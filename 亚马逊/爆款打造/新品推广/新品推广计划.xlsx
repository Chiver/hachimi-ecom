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autoCompressPictures="0"/>
  <mc:AlternateContent xmlns:mc="http://schemas.openxmlformats.org/markup-compatibility/2006">
    <mc:Choice Requires="x15">
      <x15ac:absPath xmlns:x15ac="http://schemas.microsoft.com/office/spreadsheetml/2010/11/ac" url="E:\产品升级\资料包\4-1待检查表格\"/>
    </mc:Choice>
  </mc:AlternateContent>
  <xr:revisionPtr revIDLastSave="0" documentId="8_{78C934B2-9806-4E06-AA4D-407EC7E4F4A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新品推广计划1" sheetId="4" r:id="rId1"/>
    <sheet name="新品推广计划2" sheetId="7" r:id="rId2"/>
    <sheet name="推广运营计划周报" sheetId="5" r:id="rId3"/>
    <sheet name="年度备货销售计划" sheetId="6" r:id="rId4"/>
    <sheet name="销售计划" sheetId="1" state="hidden" r:id="rId5"/>
    <sheet name="成本利润核算" sheetId="2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4" i="6" l="1"/>
  <c r="C21" i="6"/>
  <c r="C16" i="6"/>
  <c r="C13" i="6"/>
  <c r="C12" i="6"/>
  <c r="J4" i="2"/>
  <c r="E4" i="2"/>
  <c r="H4" i="2"/>
  <c r="K4" i="2"/>
  <c r="L4" i="2" s="1"/>
  <c r="E3" i="2"/>
  <c r="G3" i="2"/>
  <c r="J3" i="2"/>
  <c r="H3" i="2" s="1"/>
  <c r="K3" i="2"/>
  <c r="L3" i="2" s="1"/>
  <c r="T26" i="1"/>
  <c r="T24" i="1"/>
  <c r="T22" i="1"/>
  <c r="R14" i="1"/>
  <c r="R16" i="1" s="1"/>
  <c r="R20" i="1"/>
  <c r="Q14" i="1"/>
  <c r="Q16" i="1" s="1"/>
  <c r="Q20" i="1"/>
  <c r="P14" i="1"/>
  <c r="P20" i="1" s="1"/>
  <c r="O14" i="1"/>
  <c r="O20" i="1"/>
  <c r="N14" i="1"/>
  <c r="N18" i="1" s="1"/>
  <c r="N20" i="1"/>
  <c r="M14" i="1"/>
  <c r="M20" i="1"/>
  <c r="J14" i="1"/>
  <c r="J16" i="1" s="1"/>
  <c r="J20" i="1"/>
  <c r="I14" i="1"/>
  <c r="I20" i="1" s="1"/>
  <c r="H14" i="1"/>
  <c r="H20" i="1"/>
  <c r="S14" i="1"/>
  <c r="S16" i="1" s="1"/>
  <c r="S18" i="1"/>
  <c r="R18" i="1"/>
  <c r="K14" i="1"/>
  <c r="K16" i="1" s="1"/>
  <c r="K18" i="1"/>
  <c r="P16" i="1"/>
  <c r="O16" i="1"/>
  <c r="I16" i="1"/>
  <c r="H16" i="1"/>
  <c r="O18" i="1"/>
  <c r="M16" i="1"/>
  <c r="L14" i="1"/>
  <c r="L18" i="1" s="1"/>
  <c r="H18" i="1"/>
  <c r="O19" i="6"/>
  <c r="O18" i="6"/>
  <c r="O17" i="6"/>
  <c r="O16" i="6"/>
  <c r="N16" i="6"/>
  <c r="M16" i="6"/>
  <c r="L16" i="6"/>
  <c r="K16" i="6"/>
  <c r="J16" i="6"/>
  <c r="I16" i="6"/>
  <c r="H16" i="6"/>
  <c r="G16" i="6"/>
  <c r="F16" i="6"/>
  <c r="E16" i="6"/>
  <c r="D16" i="6"/>
  <c r="M8" i="6"/>
  <c r="M14" i="6" s="1"/>
  <c r="L8" i="6"/>
  <c r="L11" i="6" s="1"/>
  <c r="L15" i="6"/>
  <c r="K8" i="6"/>
  <c r="K11" i="6" s="1"/>
  <c r="K15" i="6"/>
  <c r="J8" i="6"/>
  <c r="J15" i="6" s="1"/>
  <c r="I8" i="6"/>
  <c r="I11" i="6" s="1"/>
  <c r="I21" i="6" s="1"/>
  <c r="I15" i="6"/>
  <c r="E8" i="6"/>
  <c r="E13" i="6" s="1"/>
  <c r="D8" i="6"/>
  <c r="D15" i="6"/>
  <c r="C8" i="6"/>
  <c r="C11" i="6" s="1"/>
  <c r="C15" i="6"/>
  <c r="N8" i="6"/>
  <c r="N14" i="6" s="1"/>
  <c r="N21" i="6" s="1"/>
  <c r="F8" i="6"/>
  <c r="F11" i="6" s="1"/>
  <c r="F21" i="6" s="1"/>
  <c r="F14" i="6"/>
  <c r="L13" i="6"/>
  <c r="K13" i="6"/>
  <c r="J13" i="6"/>
  <c r="O12" i="6"/>
  <c r="N12" i="6"/>
  <c r="M12" i="6"/>
  <c r="L12" i="6"/>
  <c r="K12" i="6"/>
  <c r="J12" i="6"/>
  <c r="J21" i="6" s="1"/>
  <c r="I12" i="6"/>
  <c r="H12" i="6"/>
  <c r="G12" i="6"/>
  <c r="F12" i="6"/>
  <c r="E12" i="6"/>
  <c r="D12" i="6"/>
  <c r="N11" i="6"/>
  <c r="M10" i="6"/>
  <c r="E10" i="6"/>
  <c r="O10" i="6"/>
  <c r="N10" i="6"/>
  <c r="L10" i="6"/>
  <c r="K10" i="6"/>
  <c r="J10" i="6"/>
  <c r="I10" i="6"/>
  <c r="H10" i="6"/>
  <c r="G10" i="6"/>
  <c r="F10" i="6"/>
  <c r="D10" i="6"/>
  <c r="C10" i="6"/>
  <c r="O8" i="6"/>
  <c r="O15" i="6"/>
  <c r="N15" i="6"/>
  <c r="I13" i="6"/>
  <c r="H8" i="6"/>
  <c r="H14" i="6" s="1"/>
  <c r="G8" i="6"/>
  <c r="G14" i="6" s="1"/>
  <c r="G15" i="6"/>
  <c r="F15" i="6"/>
  <c r="D14" i="6"/>
  <c r="J11" i="6"/>
  <c r="J14" i="6"/>
  <c r="L20" i="1"/>
  <c r="M18" i="1"/>
  <c r="O14" i="6"/>
  <c r="F13" i="6"/>
  <c r="I14" i="6"/>
  <c r="G13" i="6"/>
  <c r="O13" i="6"/>
  <c r="T14" i="1"/>
  <c r="N13" i="6"/>
  <c r="S20" i="1" l="1"/>
  <c r="T20" i="1" s="1"/>
  <c r="J18" i="1"/>
  <c r="M3" i="2"/>
  <c r="H15" i="6"/>
  <c r="M11" i="6"/>
  <c r="M21" i="6" s="1"/>
  <c r="M13" i="6"/>
  <c r="K20" i="1"/>
  <c r="Q18" i="1"/>
  <c r="G11" i="6"/>
  <c r="G21" i="6" s="1"/>
  <c r="O11" i="6"/>
  <c r="O21" i="6" s="1"/>
  <c r="H13" i="6"/>
  <c r="D11" i="6"/>
  <c r="D21" i="6" s="1"/>
  <c r="E14" i="6"/>
  <c r="E15" i="6"/>
  <c r="M15" i="6"/>
  <c r="L16" i="1"/>
  <c r="T16" i="1" s="1"/>
  <c r="N16" i="1"/>
  <c r="H11" i="6"/>
  <c r="H21" i="6" s="1"/>
  <c r="L21" i="6"/>
  <c r="D13" i="6"/>
  <c r="K14" i="6"/>
  <c r="K21" i="6" s="1"/>
  <c r="E11" i="6"/>
  <c r="E21" i="6" s="1"/>
  <c r="L14" i="6"/>
  <c r="P18" i="1"/>
  <c r="I18" i="1"/>
  <c r="T18" i="1" s="1"/>
</calcChain>
</file>

<file path=xl/sharedStrings.xml><?xml version="1.0" encoding="utf-8"?>
<sst xmlns="http://schemas.openxmlformats.org/spreadsheetml/2006/main" count="235" uniqueCount="182">
  <si>
    <t>新品推广计划（高预算）</t>
  </si>
  <si>
    <t>序号</t>
  </si>
  <si>
    <t>项目名称</t>
  </si>
  <si>
    <t>项目解释</t>
  </si>
  <si>
    <t>推广目标</t>
  </si>
  <si>
    <t>测评数量</t>
  </si>
  <si>
    <t>预算金额-$</t>
  </si>
  <si>
    <t>时间周期(days)</t>
  </si>
  <si>
    <t>实施细节</t>
  </si>
  <si>
    <t>30个产品计划</t>
  </si>
  <si>
    <t>rank10000</t>
  </si>
  <si>
    <t>新品期30天</t>
  </si>
  <si>
    <t>产品A+页面</t>
  </si>
  <si>
    <t>主图视频</t>
  </si>
  <si>
    <t>图片建模</t>
  </si>
  <si>
    <t>长期</t>
  </si>
  <si>
    <t>预算季度20%，前期控制排名，曝光优化图片，acos不管理，刷单刷广告词，中期转化率20%控制。后期CTR千分之5-1%,CR转化率10%合格,CR行业转化率15%.</t>
  </si>
  <si>
    <t>超链和权威链接分享</t>
  </si>
  <si>
    <t>邮件分享或超链提高转化</t>
  </si>
  <si>
    <t>刷单（真实购买）</t>
  </si>
  <si>
    <t>第一周1-5个左右一天，看产品，自然销量增加后2-4个，刷关键转化率，保持持续出单，提升排名；增加好评维护评分提高转化</t>
  </si>
  <si>
    <t>rank20000</t>
  </si>
  <si>
    <t>看竞争对手</t>
  </si>
  <si>
    <t>螺旋式刷，配合广告曝光</t>
  </si>
  <si>
    <t>真实Reviewer评论+评论图片和视频</t>
  </si>
  <si>
    <t>找中介</t>
  </si>
  <si>
    <t>10—20</t>
  </si>
  <si>
    <t>监控差评增加好评10-20，依据行业定，做好评论跟进。</t>
  </si>
  <si>
    <t>每周增加2-3个直评</t>
  </si>
  <si>
    <t>每周1-3，埋词引导</t>
  </si>
  <si>
    <t>老账号购买</t>
  </si>
  <si>
    <t>确定推广日期，预算好推广数量，最好红人可以再购买产品，确认发帖时间，辅助红人留言</t>
  </si>
  <si>
    <t>加购物车</t>
  </si>
  <si>
    <t>每2天1次、中介</t>
  </si>
  <si>
    <t>增加权重</t>
  </si>
  <si>
    <t>15-30</t>
  </si>
  <si>
    <t>feedback及点赞跟进</t>
  </si>
  <si>
    <t>增加权重、点好评</t>
  </si>
  <si>
    <t>增加权重曝光</t>
  </si>
  <si>
    <t>月4次</t>
  </si>
  <si>
    <t>确定好秒杀时间</t>
  </si>
  <si>
    <t>BD</t>
  </si>
  <si>
    <t>电台、电视广告、bbc类型媒体、新闻网站</t>
  </si>
  <si>
    <t>联系发稿上新闻</t>
  </si>
  <si>
    <t>独立站引流到亚马逊+亚马逊联盟</t>
  </si>
  <si>
    <t>做透明计划或独家计划、限购、防断货、调价等等</t>
  </si>
  <si>
    <t>其他</t>
  </si>
  <si>
    <t>新品推广计划（低预算）</t>
  </si>
  <si>
    <t>备注</t>
  </si>
  <si>
    <t>单独建立listing</t>
  </si>
  <si>
    <t>完善5点，描述，图片，准备好A+图片和文案（A+先不上传）</t>
  </si>
  <si>
    <t>/</t>
  </si>
  <si>
    <t>合并到老的listing</t>
  </si>
  <si>
    <t>去同行标题寻找关键词放入ST</t>
  </si>
  <si>
    <t>开3个自动广告组</t>
  </si>
  <si>
    <t>根据产品情况和FBA库存而定</t>
  </si>
  <si>
    <t>$10-$50</t>
  </si>
  <si>
    <t>不刷免评，至少一张带图，图片必须精美，带视频最好</t>
  </si>
  <si>
    <t>&lt;$120</t>
  </si>
  <si>
    <t>QA</t>
  </si>
  <si>
    <t>与刷单同时进行，每天上2个，连续10天</t>
  </si>
  <si>
    <t>&lt;$30</t>
  </si>
  <si>
    <t>产品成本</t>
  </si>
  <si>
    <t>10天后评价QA都齐了，调整自动广告，开启手动广告</t>
  </si>
  <si>
    <t>否定点击差的词，好词放入词组和广泛，熟悉的词或特别好的词直接打精准</t>
  </si>
  <si>
    <t>$20-$50</t>
  </si>
  <si>
    <t>跟进亚马逊推荐的秒杀活动</t>
  </si>
  <si>
    <t>用父体里其他产品报名秒杀，能报的全报（后面留下时段好的，其他取消）秒杀编辑里其他产品去掉，留下新品，让秒杀过渡给新品独有</t>
  </si>
  <si>
    <t>拆分变体，上传A+页面</t>
  </si>
  <si>
    <t>自动广告刷流量，手动广告引订单</t>
  </si>
  <si>
    <t>每周下载周报告，每月下载月报告，定期调整</t>
  </si>
  <si>
    <t>视情况而定</t>
  </si>
  <si>
    <t>尽量先发给留了feedback的客户</t>
  </si>
  <si>
    <t>跟踪表部分asin数据状态和登记日期</t>
  </si>
  <si>
    <t>备货计划</t>
  </si>
  <si>
    <t>推广计划周报</t>
  </si>
  <si>
    <t>推广计划本月报</t>
  </si>
  <si>
    <t>推广计划下月预计报</t>
  </si>
  <si>
    <t>Type</t>
  </si>
  <si>
    <t>Brand</t>
  </si>
  <si>
    <t>SKU</t>
  </si>
  <si>
    <t>product-name</t>
  </si>
  <si>
    <t>ASIN</t>
  </si>
  <si>
    <t>Track Date</t>
  </si>
  <si>
    <t>Price</t>
  </si>
  <si>
    <t>RANK</t>
  </si>
  <si>
    <t>product star</t>
  </si>
  <si>
    <t>review (数量）</t>
  </si>
  <si>
    <t>Sales</t>
  </si>
  <si>
    <t>Inventory</t>
  </si>
  <si>
    <t>本月底预计剩余库存余量</t>
  </si>
  <si>
    <t>预计下月所需库存量</t>
  </si>
  <si>
    <t>在途库存量1</t>
  </si>
  <si>
    <t>本月发货时间</t>
  </si>
  <si>
    <t>预计库存到货时间</t>
  </si>
  <si>
    <t>预计产品到货时间当天在仓余量</t>
  </si>
  <si>
    <t>预计下月底亚马逊库存在仓余量</t>
  </si>
  <si>
    <t>是否会缺货？填写是或否</t>
  </si>
  <si>
    <t>本周计划上评</t>
  </si>
  <si>
    <t>上评完成率</t>
  </si>
  <si>
    <t>本周计划销量</t>
  </si>
  <si>
    <t>本周销量完成率（均按照实际完成填写）</t>
  </si>
  <si>
    <t>本周推广计划花费完成率</t>
  </si>
  <si>
    <t>本月计划上评</t>
  </si>
  <si>
    <t>本月完成率</t>
  </si>
  <si>
    <t>本月计划销量</t>
  </si>
  <si>
    <t>本月销量完成率</t>
  </si>
  <si>
    <t>本月推广计划花费完成率</t>
  </si>
  <si>
    <t>下月计划上评</t>
  </si>
  <si>
    <t>下月完成率</t>
  </si>
  <si>
    <t>下月计划销量</t>
  </si>
  <si>
    <t>下月销量完成率</t>
  </si>
  <si>
    <t>下月推广计划费用$（广告/站内站外推广加刷单刷评论，含刷单中介佣金+刷单产品成本、fba佣金、fba物流费）</t>
  </si>
  <si>
    <t>下月推广计划花费完成率</t>
  </si>
  <si>
    <t>a18</t>
  </si>
  <si>
    <t>A</t>
  </si>
  <si>
    <t>Q00046</t>
  </si>
  <si>
    <t>6DAAD7U</t>
  </si>
  <si>
    <t>A产品asin12335bo销售美国推广计划</t>
  </si>
  <si>
    <t>进度计划</t>
  </si>
  <si>
    <r>
      <rPr>
        <sz val="11"/>
        <color theme="1"/>
        <rFont val="Tahoma"/>
        <family val="2"/>
      </rPr>
      <t>4</t>
    </r>
    <r>
      <rPr>
        <sz val="11"/>
        <color theme="1"/>
        <rFont val="宋体"/>
        <family val="3"/>
        <charset val="134"/>
      </rPr>
      <t>月</t>
    </r>
  </si>
  <si>
    <r>
      <rPr>
        <sz val="11"/>
        <color theme="1"/>
        <rFont val="Tahoma"/>
        <family val="2"/>
      </rPr>
      <t>5月</t>
    </r>
  </si>
  <si>
    <r>
      <rPr>
        <sz val="11"/>
        <color theme="1"/>
        <rFont val="Tahoma"/>
        <family val="2"/>
      </rPr>
      <t>6月</t>
    </r>
  </si>
  <si>
    <r>
      <rPr>
        <sz val="11"/>
        <color theme="1"/>
        <rFont val="Tahoma"/>
        <family val="2"/>
      </rPr>
      <t>7月</t>
    </r>
  </si>
  <si>
    <r>
      <rPr>
        <sz val="11"/>
        <color theme="1"/>
        <rFont val="Tahoma"/>
        <family val="2"/>
      </rPr>
      <t>8月</t>
    </r>
  </si>
  <si>
    <r>
      <rPr>
        <sz val="11"/>
        <color theme="1"/>
        <rFont val="Tahoma"/>
        <family val="2"/>
      </rPr>
      <t>9月</t>
    </r>
  </si>
  <si>
    <r>
      <rPr>
        <sz val="11"/>
        <color theme="1"/>
        <rFont val="Tahoma"/>
        <family val="2"/>
      </rPr>
      <t>10月</t>
    </r>
  </si>
  <si>
    <r>
      <rPr>
        <sz val="11"/>
        <color theme="1"/>
        <rFont val="Tahoma"/>
        <family val="2"/>
      </rPr>
      <t>11月</t>
    </r>
  </si>
  <si>
    <r>
      <rPr>
        <sz val="11"/>
        <color theme="1"/>
        <rFont val="Tahoma"/>
        <family val="2"/>
      </rPr>
      <t>12月</t>
    </r>
  </si>
  <si>
    <r>
      <rPr>
        <sz val="11"/>
        <color theme="1"/>
        <rFont val="Tahoma"/>
        <family val="2"/>
      </rPr>
      <t>1</t>
    </r>
    <r>
      <rPr>
        <sz val="11"/>
        <color theme="1"/>
        <rFont val="宋体"/>
        <family val="3"/>
        <charset val="134"/>
      </rPr>
      <t>月</t>
    </r>
  </si>
  <si>
    <r>
      <rPr>
        <sz val="11"/>
        <color theme="1"/>
        <rFont val="Tahoma"/>
        <family val="2"/>
      </rPr>
      <t>2月</t>
    </r>
  </si>
  <si>
    <r>
      <rPr>
        <sz val="11"/>
        <color theme="1"/>
        <rFont val="Tahoma"/>
        <family val="2"/>
      </rPr>
      <t>3月</t>
    </r>
  </si>
  <si>
    <t>总计</t>
  </si>
  <si>
    <t>销量</t>
  </si>
  <si>
    <t>价格</t>
  </si>
  <si>
    <t>销售额</t>
  </si>
  <si>
    <t>产品总成本</t>
  </si>
  <si>
    <t>亚马逊佣金</t>
  </si>
  <si>
    <t>FBA物流</t>
  </si>
  <si>
    <t>退货</t>
  </si>
  <si>
    <t>站内广告</t>
  </si>
  <si>
    <t>测评费用（含测评亚马逊佣金、fba物流费和中介佣金）</t>
  </si>
  <si>
    <t>头程</t>
  </si>
  <si>
    <r>
      <rPr>
        <b/>
        <sz val="11"/>
        <color theme="1"/>
        <rFont val="宋体"/>
        <family val="3"/>
        <charset val="134"/>
      </rPr>
      <t>站内</t>
    </r>
    <r>
      <rPr>
        <b/>
        <sz val="11"/>
        <color theme="1"/>
        <rFont val="Tahoma"/>
        <family val="2"/>
      </rPr>
      <t>deal</t>
    </r>
  </si>
  <si>
    <r>
      <rPr>
        <b/>
        <sz val="11"/>
        <color theme="1"/>
        <rFont val="宋体"/>
        <family val="3"/>
        <charset val="134"/>
      </rPr>
      <t>站外</t>
    </r>
    <r>
      <rPr>
        <b/>
        <sz val="11"/>
        <color theme="1"/>
        <rFont val="Tahoma"/>
        <family val="2"/>
      </rPr>
      <t>deal</t>
    </r>
  </si>
  <si>
    <t>推广</t>
  </si>
  <si>
    <t>备注其他推广手段</t>
  </si>
  <si>
    <t>利润</t>
  </si>
  <si>
    <r>
      <rPr>
        <sz val="16"/>
        <color theme="1"/>
        <rFont val="Tahoma"/>
        <family val="2"/>
      </rPr>
      <t xml:space="preserve">1. </t>
    </r>
    <r>
      <rPr>
        <sz val="16"/>
        <color theme="1"/>
        <rFont val="宋体"/>
        <family val="3"/>
        <charset val="134"/>
      </rPr>
      <t>英国年度销量预计：</t>
    </r>
    <r>
      <rPr>
        <sz val="16"/>
        <color theme="1"/>
        <rFont val="Tahoma"/>
        <family val="2"/>
      </rPr>
      <t xml:space="preserve">pcs    </t>
    </r>
    <r>
      <rPr>
        <sz val="16"/>
        <color theme="1"/>
        <rFont val="宋体"/>
        <family val="3"/>
        <charset val="134"/>
      </rPr>
      <t>销售额预计：</t>
    </r>
    <r>
      <rPr>
        <sz val="16"/>
        <color theme="1"/>
        <rFont val="Tahoma"/>
        <family val="2"/>
      </rPr>
      <t xml:space="preserve">   
2. </t>
    </r>
    <r>
      <rPr>
        <sz val="16"/>
        <rFont val="宋体"/>
        <family val="3"/>
        <charset val="134"/>
      </rPr>
      <t>年度毛利润额（除去退货广告推广测评</t>
    </r>
    <r>
      <rPr>
        <sz val="16"/>
        <rFont val="Tahoma"/>
        <family val="2"/>
      </rPr>
      <t>deal</t>
    </r>
    <r>
      <rPr>
        <sz val="16"/>
        <rFont val="宋体"/>
        <family val="3"/>
        <charset val="134"/>
      </rPr>
      <t>等）：</t>
    </r>
    <r>
      <rPr>
        <sz val="16"/>
        <rFont val="Tahoma"/>
        <family val="2"/>
      </rPr>
      <t xml:space="preserve"> </t>
    </r>
    <r>
      <rPr>
        <sz val="16"/>
        <color rgb="FFFF0000"/>
        <rFont val="Tahoma"/>
        <family val="2"/>
      </rPr>
      <t xml:space="preserve">
</t>
    </r>
    <r>
      <rPr>
        <sz val="16"/>
        <rFont val="Tahoma"/>
        <family val="2"/>
      </rPr>
      <t xml:space="preserve">3. </t>
    </r>
    <r>
      <rPr>
        <sz val="16"/>
        <rFont val="宋体"/>
        <family val="3"/>
        <charset val="134"/>
      </rPr>
      <t>毛利润率</t>
    </r>
    <r>
      <rPr>
        <sz val="16"/>
        <rFont val="Tahoma"/>
        <family val="2"/>
      </rPr>
      <t>:</t>
    </r>
  </si>
  <si>
    <t>A产品销售英国推广计划</t>
  </si>
  <si>
    <t>测评费用</t>
  </si>
  <si>
    <t>总结：</t>
  </si>
  <si>
    <r>
      <rPr>
        <sz val="16"/>
        <color theme="1"/>
        <rFont val="Tahoma"/>
        <family val="2"/>
      </rPr>
      <t xml:space="preserve">1. </t>
    </r>
    <r>
      <rPr>
        <sz val="16"/>
        <color theme="1"/>
        <rFont val="宋体"/>
        <family val="3"/>
        <charset val="134"/>
      </rPr>
      <t>英国年度销量预计：</t>
    </r>
    <r>
      <rPr>
        <sz val="16"/>
        <color theme="1"/>
        <rFont val="Tahoma"/>
        <family val="2"/>
      </rPr>
      <t xml:space="preserve">4850-5000pcs    </t>
    </r>
    <r>
      <rPr>
        <sz val="16"/>
        <color theme="1"/>
        <rFont val="宋体"/>
        <family val="3"/>
        <charset val="134"/>
      </rPr>
      <t>销售额预计：</t>
    </r>
    <r>
      <rPr>
        <sz val="16"/>
        <color theme="1"/>
        <rFont val="Tahoma"/>
        <family val="2"/>
      </rPr>
      <t xml:space="preserve"> 22W-23W  GBP    
2. </t>
    </r>
    <r>
      <rPr>
        <sz val="16"/>
        <rFont val="宋体"/>
        <family val="3"/>
        <charset val="134"/>
      </rPr>
      <t>年度毛利润额（除去退货广告推广测评</t>
    </r>
    <r>
      <rPr>
        <sz val="16"/>
        <rFont val="Tahoma"/>
        <family val="2"/>
      </rPr>
      <t>deal</t>
    </r>
    <r>
      <rPr>
        <sz val="16"/>
        <rFont val="宋体"/>
        <family val="3"/>
        <charset val="134"/>
      </rPr>
      <t>等）：</t>
    </r>
    <r>
      <rPr>
        <sz val="16"/>
        <rFont val="Tahoma"/>
        <family val="2"/>
      </rPr>
      <t xml:space="preserve"> </t>
    </r>
    <r>
      <rPr>
        <sz val="16"/>
        <color rgb="FFFF0000"/>
        <rFont val="Tahoma"/>
        <family val="2"/>
      </rPr>
      <t xml:space="preserve">
   </t>
    </r>
    <r>
      <rPr>
        <sz val="16"/>
        <rFont val="Tahoma"/>
        <family val="2"/>
      </rPr>
      <t>15.44*4850-22305.15-11152.58-12417.3-800-200-1200</t>
    </r>
    <r>
      <rPr>
        <sz val="16"/>
        <color rgb="FFFF0000"/>
        <rFont val="Tahoma"/>
        <family val="2"/>
      </rPr>
      <t xml:space="preserve">=2.7W GBP = 23W RMB
</t>
    </r>
    <r>
      <rPr>
        <sz val="16"/>
        <rFont val="Tahoma"/>
        <family val="2"/>
      </rPr>
      <t xml:space="preserve">3. </t>
    </r>
    <r>
      <rPr>
        <sz val="16"/>
        <rFont val="宋体"/>
        <family val="3"/>
        <charset val="134"/>
      </rPr>
      <t>毛利润率</t>
    </r>
    <r>
      <rPr>
        <sz val="16"/>
        <rFont val="Tahoma"/>
        <family val="2"/>
      </rPr>
      <t xml:space="preserve">=12%  
4. </t>
    </r>
    <r>
      <rPr>
        <sz val="16"/>
        <rFont val="宋体"/>
        <family val="3"/>
        <charset val="134"/>
      </rPr>
      <t>综上所述预计欧洲五国年度销量：</t>
    </r>
    <r>
      <rPr>
        <sz val="16"/>
        <rFont val="Tahoma"/>
        <family val="2"/>
      </rPr>
      <t xml:space="preserve"> 1.3W pcs   </t>
    </r>
    <r>
      <rPr>
        <sz val="16"/>
        <rFont val="宋体"/>
        <family val="3"/>
        <charset val="134"/>
      </rPr>
      <t>销售额预计：</t>
    </r>
    <r>
      <rPr>
        <sz val="16"/>
        <rFont val="Tahoma"/>
        <family val="2"/>
      </rPr>
      <t xml:space="preserve"> 600W RMB   </t>
    </r>
    <r>
      <rPr>
        <sz val="16"/>
        <rFont val="宋体"/>
        <family val="3"/>
        <charset val="134"/>
      </rPr>
      <t>毛利：</t>
    </r>
    <r>
      <rPr>
        <sz val="16"/>
        <rFont val="Tahoma"/>
        <family val="2"/>
      </rPr>
      <t xml:space="preserve"> 70W RMB</t>
    </r>
  </si>
  <si>
    <t>汇率：</t>
  </si>
  <si>
    <r>
      <rPr>
        <sz val="11"/>
        <color theme="1"/>
        <rFont val="宋体"/>
        <family val="3"/>
        <charset val="134"/>
      </rPr>
      <t>产品名称</t>
    </r>
  </si>
  <si>
    <t>国家</t>
  </si>
  <si>
    <r>
      <rPr>
        <sz val="11"/>
        <color theme="1"/>
        <rFont val="宋体"/>
        <family val="3"/>
        <charset val="134"/>
      </rPr>
      <t>售价</t>
    </r>
  </si>
  <si>
    <r>
      <rPr>
        <sz val="11"/>
        <color theme="1"/>
        <rFont val="宋体"/>
        <family val="3"/>
        <charset val="134"/>
      </rPr>
      <t>佣金比例</t>
    </r>
  </si>
  <si>
    <r>
      <rPr>
        <sz val="11"/>
        <color theme="1"/>
        <rFont val="宋体"/>
        <family val="3"/>
        <charset val="134"/>
      </rPr>
      <t>佣金</t>
    </r>
  </si>
  <si>
    <r>
      <rPr>
        <sz val="11"/>
        <color theme="1"/>
        <rFont val="宋体"/>
        <family val="3"/>
        <charset val="134"/>
      </rPr>
      <t>平台运费</t>
    </r>
  </si>
  <si>
    <r>
      <rPr>
        <sz val="11"/>
        <color theme="1"/>
        <rFont val="宋体"/>
        <family val="3"/>
        <charset val="134"/>
      </rPr>
      <t>空运</t>
    </r>
  </si>
  <si>
    <r>
      <rPr>
        <sz val="11"/>
        <color theme="1"/>
        <rFont val="宋体"/>
        <family val="3"/>
        <charset val="134"/>
      </rPr>
      <t>最低售价</t>
    </r>
  </si>
  <si>
    <r>
      <rPr>
        <sz val="11"/>
        <color theme="1"/>
        <rFont val="宋体"/>
        <family val="3"/>
        <charset val="134"/>
      </rPr>
      <t>成本（</t>
    </r>
    <r>
      <rPr>
        <sz val="11"/>
        <color theme="1"/>
        <rFont val="Calibri"/>
        <family val="2"/>
      </rPr>
      <t>RMB</t>
    </r>
    <r>
      <rPr>
        <sz val="11"/>
        <color theme="1"/>
        <rFont val="宋体"/>
        <family val="3"/>
        <charset val="134"/>
      </rPr>
      <t>）</t>
    </r>
  </si>
  <si>
    <t>成本</t>
  </si>
  <si>
    <r>
      <rPr>
        <sz val="11"/>
        <color theme="1"/>
        <rFont val="宋体"/>
        <family val="3"/>
        <charset val="134"/>
      </rPr>
      <t>毛利</t>
    </r>
  </si>
  <si>
    <r>
      <rPr>
        <sz val="11"/>
        <color theme="1"/>
        <rFont val="宋体"/>
        <family val="3"/>
        <charset val="134"/>
      </rPr>
      <t>毛利润率</t>
    </r>
  </si>
  <si>
    <t>英国</t>
  </si>
  <si>
    <t>欧四</t>
  </si>
  <si>
    <t>coupon，捆绑促销</t>
    <phoneticPr fontId="27" type="noConversion"/>
  </si>
  <si>
    <t xml:space="preserve">vine </t>
    <phoneticPr fontId="27" type="noConversion"/>
  </si>
  <si>
    <t>CPC、ams广告、对手广告数据获取出单词竞价标准</t>
    <phoneticPr fontId="27" type="noConversion"/>
  </si>
  <si>
    <t>直评论、QA、feedback</t>
    <phoneticPr fontId="27" type="noConversion"/>
  </si>
  <si>
    <t>通过Yotube外部流量，通过reviewer测评最终形成购买</t>
    <phoneticPr fontId="27" type="noConversion"/>
  </si>
  <si>
    <t>LD、LD加购</t>
    <phoneticPr fontId="27" type="noConversion"/>
  </si>
  <si>
    <t>后台推荐+找中介</t>
    <phoneticPr fontId="27" type="noConversion"/>
  </si>
  <si>
    <t>后台推荐+找中介/客户经理</t>
    <phoneticPr fontId="27" type="noConversion"/>
  </si>
  <si>
    <t>sd类型平台促销、各个国外电子类或reddit类型网站发帖、可品牌合作</t>
    <phoneticPr fontId="27" type="noConversion"/>
  </si>
  <si>
    <t>向老客户发邮件找他们测试店铺新品</t>
    <phoneticPr fontId="27" type="noConversion"/>
  </si>
  <si>
    <r>
      <rPr>
        <b/>
        <sz val="8"/>
        <color rgb="FF000000"/>
        <rFont val="微软雅黑"/>
        <family val="2"/>
        <charset val="134"/>
      </rPr>
      <t>预计库存到货后合计库存在仓余量</t>
    </r>
    <r>
      <rPr>
        <b/>
        <sz val="8"/>
        <color rgb="FF000000"/>
        <rFont val="Arial"/>
        <family val="2"/>
      </rPr>
      <t>(</t>
    </r>
    <r>
      <rPr>
        <b/>
        <sz val="8"/>
        <color rgb="FF000000"/>
        <rFont val="微软雅黑"/>
        <family val="2"/>
        <charset val="134"/>
      </rPr>
      <t>减去预估销量后剩余的库存）</t>
    </r>
    <phoneticPr fontId="27" type="noConversion"/>
  </si>
  <si>
    <t>本周推广计划费用$（广告/站内站外推广加刷单刷评论，含刷单中介佣金+刷单产品成本、fba佣金、fba物流费）</t>
    <phoneticPr fontId="27" type="noConversion"/>
  </si>
  <si>
    <t>本月推广计划费用$（广告/站内站外推广加刷单刷评论，含刷单中介佣金+刷单产品成本、fba佣金、fba物流费）</t>
    <phoneticPr fontId="27" type="noConversion"/>
  </si>
  <si>
    <t>社交红人推广、FaceBook、youtube红人、刷促销量</t>
    <phoneticPr fontId="2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</si>
</sst>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24" formatCode="\$#,##0_);[Red]\(\$#,##0\)"/>
    <numFmt numFmtId="176" formatCode="0.00_);[Red]\(0.00\)"/>
    <numFmt numFmtId="177" formatCode="0.00_ "/>
    <numFmt numFmtId="178" formatCode="\¥#,##0.00;\¥\-#,##0.00"/>
    <numFmt numFmtId="179" formatCode="\$#,##0.00;\-\$#,##0.00"/>
    <numFmt numFmtId="180" formatCode="m&quot;月&quot;d&quot;日&quot;;@"/>
  </numFmts>
  <fonts count="32">
    <font>
      <sz val="11"/>
      <color theme="1"/>
      <name val="Tahoma"/>
      <charset val="134"/>
    </font>
    <font>
      <sz val="26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8"/>
      <name val="Calibri"/>
      <family val="2"/>
    </font>
    <font>
      <b/>
      <sz val="11"/>
      <color theme="1"/>
      <name val="宋体"/>
      <family val="3"/>
      <charset val="134"/>
    </font>
    <font>
      <b/>
      <sz val="11"/>
      <color theme="1"/>
      <name val="Tahoma"/>
      <family val="2"/>
    </font>
    <font>
      <sz val="16"/>
      <color theme="1"/>
      <name val="Tahoma"/>
      <family val="2"/>
    </font>
    <font>
      <b/>
      <sz val="26"/>
      <color theme="1"/>
      <name val="宋体"/>
      <family val="3"/>
      <charset val="134"/>
    </font>
    <font>
      <b/>
      <sz val="26"/>
      <color theme="1"/>
      <name val="Tahoma"/>
      <family val="2"/>
    </font>
    <font>
      <b/>
      <sz val="8"/>
      <color theme="1"/>
      <name val="Arial Unicode MS"/>
      <family val="2"/>
    </font>
    <font>
      <sz val="10"/>
      <color theme="1"/>
      <name val="微软雅黑"/>
      <family val="2"/>
      <charset val="134"/>
    </font>
    <font>
      <b/>
      <sz val="8"/>
      <color rgb="FF000000"/>
      <name val="Arial Unicode MS"/>
      <family val="2"/>
    </font>
    <font>
      <sz val="9"/>
      <color theme="1"/>
      <name val="宋体"/>
      <family val="3"/>
      <charset val="134"/>
    </font>
    <font>
      <b/>
      <sz val="10"/>
      <color theme="1"/>
      <name val="微软雅黑"/>
      <family val="2"/>
      <charset val="134"/>
    </font>
    <font>
      <u/>
      <sz val="11"/>
      <color rgb="FF800080"/>
      <name val="宋体"/>
      <family val="3"/>
      <charset val="134"/>
      <scheme val="minor"/>
    </font>
    <font>
      <u/>
      <sz val="10"/>
      <color rgb="FF0000FF"/>
      <name val="微软雅黑"/>
      <family val="2"/>
      <charset val="134"/>
    </font>
    <font>
      <u/>
      <sz val="11"/>
      <color rgb="FF0000FF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6"/>
      <color theme="1"/>
      <name val="宋体"/>
      <family val="3"/>
      <charset val="134"/>
    </font>
    <font>
      <sz val="16"/>
      <name val="宋体"/>
      <family val="3"/>
      <charset val="134"/>
    </font>
    <font>
      <sz val="16"/>
      <name val="Tahoma"/>
      <family val="2"/>
    </font>
    <font>
      <sz val="16"/>
      <color rgb="FFFF0000"/>
      <name val="Tahoma"/>
      <family val="2"/>
    </font>
    <font>
      <sz val="11"/>
      <color rgb="FF000000"/>
      <name val="宋体"/>
      <family val="3"/>
      <charset val="134"/>
    </font>
    <font>
      <sz val="9"/>
      <name val="Tahoma"/>
      <family val="2"/>
    </font>
    <font>
      <sz val="11"/>
      <color theme="1"/>
      <name val="Tahoma"/>
      <family val="2"/>
    </font>
    <font>
      <b/>
      <sz val="8"/>
      <color rgb="FF000000"/>
      <name val="微软雅黑"/>
      <family val="2"/>
      <charset val="134"/>
    </font>
    <font>
      <b/>
      <sz val="8"/>
      <color rgb="FF000000"/>
      <name val="Arial"/>
      <family val="2"/>
    </font>
    <font>
      <b/>
      <sz val="8"/>
      <color rgb="FF000000"/>
      <name val="Arial Unicode MS"/>
      <family val="2"/>
      <charset val="134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7030A0"/>
      </left>
      <right style="hair">
        <color rgb="FF7030A0"/>
      </right>
      <top style="medium">
        <color rgb="FF7030A0"/>
      </top>
      <bottom style="hair">
        <color rgb="FF7030A0"/>
      </bottom>
      <diagonal/>
    </border>
    <border>
      <left style="hair">
        <color rgb="FF7030A0"/>
      </left>
      <right style="hair">
        <color rgb="FF7030A0"/>
      </right>
      <top style="medium">
        <color rgb="FF7030A0"/>
      </top>
      <bottom style="hair">
        <color rgb="FF7030A0"/>
      </bottom>
      <diagonal/>
    </border>
    <border>
      <left style="medium">
        <color rgb="FF7030A0"/>
      </left>
      <right style="hair">
        <color rgb="FF7030A0"/>
      </right>
      <top style="hair">
        <color rgb="FF7030A0"/>
      </top>
      <bottom style="hair">
        <color rgb="FF7030A0"/>
      </bottom>
      <diagonal/>
    </border>
    <border>
      <left style="hair">
        <color rgb="FF7030A0"/>
      </left>
      <right style="hair">
        <color rgb="FF7030A0"/>
      </right>
      <top style="hair">
        <color rgb="FF7030A0"/>
      </top>
      <bottom style="hair">
        <color rgb="FF7030A0"/>
      </bottom>
      <diagonal/>
    </border>
    <border>
      <left style="medium">
        <color rgb="FF7030A0"/>
      </left>
      <right style="hair">
        <color rgb="FF7030A0"/>
      </right>
      <top style="hair">
        <color rgb="FF7030A0"/>
      </top>
      <bottom style="medium">
        <color rgb="FF7030A0"/>
      </bottom>
      <diagonal/>
    </border>
    <border>
      <left style="hair">
        <color rgb="FF7030A0"/>
      </left>
      <right style="hair">
        <color rgb="FF7030A0"/>
      </right>
      <top style="hair">
        <color rgb="FF7030A0"/>
      </top>
      <bottom style="medium">
        <color rgb="FF7030A0"/>
      </bottom>
      <diagonal/>
    </border>
    <border>
      <left style="hair">
        <color rgb="FF7030A0"/>
      </left>
      <right style="medium">
        <color rgb="FF7030A0"/>
      </right>
      <top style="medium">
        <color rgb="FF7030A0"/>
      </top>
      <bottom style="hair">
        <color rgb="FF7030A0"/>
      </bottom>
      <diagonal/>
    </border>
    <border>
      <left style="hair">
        <color rgb="FF7030A0"/>
      </left>
      <right style="medium">
        <color rgb="FF7030A0"/>
      </right>
      <top style="hair">
        <color rgb="FF7030A0"/>
      </top>
      <bottom style="hair">
        <color rgb="FF7030A0"/>
      </bottom>
      <diagonal/>
    </border>
    <border>
      <left style="hair">
        <color rgb="FF7030A0"/>
      </left>
      <right style="medium">
        <color rgb="FF7030A0"/>
      </right>
      <top style="hair">
        <color rgb="FF7030A0"/>
      </top>
      <bottom style="medium">
        <color rgb="FF7030A0"/>
      </bottom>
      <diagonal/>
    </border>
    <border>
      <left style="thick">
        <color rgb="FF7030A0"/>
      </left>
      <right style="hair">
        <color rgb="FF7030A0"/>
      </right>
      <top style="thick">
        <color rgb="FF7030A0"/>
      </top>
      <bottom style="hair">
        <color rgb="FF7030A0"/>
      </bottom>
      <diagonal/>
    </border>
    <border>
      <left style="hair">
        <color rgb="FF7030A0"/>
      </left>
      <right style="hair">
        <color rgb="FF7030A0"/>
      </right>
      <top style="thick">
        <color rgb="FF7030A0"/>
      </top>
      <bottom style="hair">
        <color rgb="FF7030A0"/>
      </bottom>
      <diagonal/>
    </border>
    <border>
      <left style="thick">
        <color rgb="FF7030A0"/>
      </left>
      <right style="hair">
        <color rgb="FF7030A0"/>
      </right>
      <top style="hair">
        <color rgb="FF7030A0"/>
      </top>
      <bottom style="thick">
        <color rgb="FF7030A0"/>
      </bottom>
      <diagonal/>
    </border>
    <border>
      <left style="hair">
        <color rgb="FF7030A0"/>
      </left>
      <right style="hair">
        <color rgb="FF7030A0"/>
      </right>
      <top style="hair">
        <color rgb="FF7030A0"/>
      </top>
      <bottom style="thick">
        <color rgb="FF7030A0"/>
      </bottom>
      <diagonal/>
    </border>
    <border>
      <left style="hair">
        <color theme="7"/>
      </left>
      <right style="hair">
        <color theme="7"/>
      </right>
      <top/>
      <bottom style="hair">
        <color theme="7"/>
      </bottom>
      <diagonal/>
    </border>
    <border>
      <left style="hair">
        <color rgb="FF7030A0"/>
      </left>
      <right style="thick">
        <color rgb="FF7030A0"/>
      </right>
      <top style="thick">
        <color rgb="FF7030A0"/>
      </top>
      <bottom style="hair">
        <color rgb="FF7030A0"/>
      </bottom>
      <diagonal/>
    </border>
    <border>
      <left style="hair">
        <color rgb="FF7030A0"/>
      </left>
      <right style="thick">
        <color rgb="FF7030A0"/>
      </right>
      <top style="hair">
        <color rgb="FF7030A0"/>
      </top>
      <bottom style="thick">
        <color rgb="FF7030A0"/>
      </bottom>
      <diagonal/>
    </border>
    <border>
      <left style="thin">
        <color rgb="FF7030A0"/>
      </left>
      <right style="hair">
        <color rgb="FF7030A0"/>
      </right>
      <top/>
      <bottom style="hair">
        <color rgb="FF7030A0"/>
      </bottom>
      <diagonal/>
    </border>
  </borders>
  <cellStyleXfs count="8">
    <xf numFmtId="0" fontId="0" fillId="0" borderId="0"/>
    <xf numFmtId="0" fontId="18" fillId="0" borderId="0" applyNumberFormat="0" applyFill="0" applyBorder="0" applyAlignment="0" applyProtection="0">
      <alignment vertical="center"/>
    </xf>
    <xf numFmtId="0" fontId="21" fillId="0" borderId="0" applyFont="0" applyAlignment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</cellStyleXfs>
  <cellXfs count="93">
    <xf numFmtId="0" fontId="0" fillId="0" borderId="0" xfId="0"/>
    <xf numFmtId="176" fontId="0" fillId="0" borderId="0" xfId="0" applyNumberFormat="1"/>
    <xf numFmtId="40" fontId="0" fillId="0" borderId="0" xfId="0" applyNumberFormat="1"/>
    <xf numFmtId="10" fontId="0" fillId="0" borderId="0" xfId="0" applyNumberFormat="1"/>
    <xf numFmtId="0" fontId="2" fillId="3" borderId="2" xfId="6" applyFont="1" applyFill="1" applyBorder="1" applyAlignment="1">
      <alignment horizontal="left" vertical="center" wrapText="1"/>
    </xf>
    <xf numFmtId="0" fontId="3" fillId="3" borderId="2" xfId="6" applyFont="1" applyFill="1" applyBorder="1" applyAlignment="1">
      <alignment horizontal="left" vertical="center" wrapText="1"/>
    </xf>
    <xf numFmtId="9" fontId="2" fillId="3" borderId="2" xfId="6" applyNumberFormat="1" applyFont="1" applyFill="1" applyBorder="1" applyAlignment="1">
      <alignment horizontal="left" vertical="center" wrapText="1"/>
    </xf>
    <xf numFmtId="176" fontId="2" fillId="3" borderId="2" xfId="6" applyNumberFormat="1" applyFont="1" applyFill="1" applyBorder="1" applyAlignment="1">
      <alignment horizontal="left" vertical="center" wrapText="1"/>
    </xf>
    <xf numFmtId="40" fontId="2" fillId="3" borderId="2" xfId="6" applyNumberFormat="1" applyFont="1" applyFill="1" applyBorder="1" applyAlignment="1">
      <alignment horizontal="left" vertical="center" wrapText="1"/>
    </xf>
    <xf numFmtId="0" fontId="3" fillId="0" borderId="0" xfId="0" applyFont="1"/>
    <xf numFmtId="9" fontId="0" fillId="0" borderId="0" xfId="0" applyNumberFormat="1"/>
    <xf numFmtId="0" fontId="3" fillId="4" borderId="2" xfId="6" applyFont="1" applyFill="1" applyBorder="1" applyAlignment="1">
      <alignment horizontal="left" vertical="center"/>
    </xf>
    <xf numFmtId="0" fontId="4" fillId="0" borderId="0" xfId="6">
      <alignment vertical="center"/>
    </xf>
    <xf numFmtId="178" fontId="2" fillId="3" borderId="2" xfId="6" applyNumberFormat="1" applyFont="1" applyFill="1" applyBorder="1" applyAlignment="1">
      <alignment horizontal="left" vertical="center" wrapText="1"/>
    </xf>
    <xf numFmtId="176" fontId="3" fillId="3" borderId="2" xfId="6" applyNumberFormat="1" applyFont="1" applyFill="1" applyBorder="1" applyAlignment="1">
      <alignment horizontal="left" vertical="center" wrapText="1"/>
    </xf>
    <xf numFmtId="10" fontId="2" fillId="3" borderId="2" xfId="6" applyNumberFormat="1" applyFont="1" applyFill="1" applyBorder="1" applyAlignment="1">
      <alignment horizontal="left" vertical="center" wrapText="1"/>
    </xf>
    <xf numFmtId="0" fontId="5" fillId="3" borderId="2" xfId="3" applyFont="1" applyFill="1" applyBorder="1" applyAlignment="1">
      <alignment horizontal="left" vertical="center"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3" fillId="5" borderId="6" xfId="0" applyFont="1" applyFill="1" applyBorder="1"/>
    <xf numFmtId="0" fontId="3" fillId="5" borderId="7" xfId="0" applyFont="1" applyFill="1" applyBorder="1"/>
    <xf numFmtId="0" fontId="0" fillId="5" borderId="7" xfId="0" applyFill="1" applyBorder="1"/>
    <xf numFmtId="0" fontId="6" fillId="0" borderId="6" xfId="0" applyFont="1" applyBorder="1"/>
    <xf numFmtId="0" fontId="7" fillId="0" borderId="6" xfId="0" applyFont="1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9" xfId="0" applyBorder="1"/>
    <xf numFmtId="0" fontId="0" fillId="0" borderId="12" xfId="0" applyBorder="1"/>
    <xf numFmtId="0" fontId="3" fillId="6" borderId="6" xfId="0" applyFont="1" applyFill="1" applyBorder="1"/>
    <xf numFmtId="0" fontId="3" fillId="6" borderId="7" xfId="0" applyFont="1" applyFill="1" applyBorder="1"/>
    <xf numFmtId="0" fontId="0" fillId="6" borderId="7" xfId="0" applyFill="1" applyBorder="1"/>
    <xf numFmtId="0" fontId="6" fillId="3" borderId="6" xfId="0" applyFont="1" applyFill="1" applyBorder="1"/>
    <xf numFmtId="0" fontId="6" fillId="5" borderId="6" xfId="0" applyFont="1" applyFill="1" applyBorder="1"/>
    <xf numFmtId="0" fontId="6" fillId="5" borderId="6" xfId="0" applyFont="1" applyFill="1" applyBorder="1" applyAlignment="1">
      <alignment wrapText="1"/>
    </xf>
    <xf numFmtId="0" fontId="3" fillId="5" borderId="0" xfId="0" applyFont="1" applyFill="1"/>
    <xf numFmtId="0" fontId="7" fillId="5" borderId="6" xfId="0" applyFont="1" applyFill="1" applyBorder="1"/>
    <xf numFmtId="0" fontId="11" fillId="7" borderId="15" xfId="0" applyFont="1" applyFill="1" applyBorder="1" applyAlignment="1">
      <alignment horizontal="center" vertical="center" wrapText="1"/>
    </xf>
    <xf numFmtId="0" fontId="11" fillId="7" borderId="16" xfId="0" applyFont="1" applyFill="1" applyBorder="1" applyAlignment="1">
      <alignment horizontal="center" vertical="center" wrapText="1"/>
    </xf>
    <xf numFmtId="180" fontId="12" fillId="0" borderId="17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vertical="center"/>
    </xf>
    <xf numFmtId="0" fontId="11" fillId="3" borderId="16" xfId="0" applyFont="1" applyFill="1" applyBorder="1" applyAlignment="1">
      <alignment horizontal="center" vertical="center" wrapText="1"/>
    </xf>
    <xf numFmtId="0" fontId="13" fillId="9" borderId="16" xfId="0" applyFont="1" applyFill="1" applyBorder="1" applyAlignment="1">
      <alignment horizontal="center" vertical="center" wrapText="1"/>
    </xf>
    <xf numFmtId="0" fontId="13" fillId="3" borderId="16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vertical="center"/>
    </xf>
    <xf numFmtId="0" fontId="14" fillId="3" borderId="16" xfId="0" applyFont="1" applyFill="1" applyBorder="1" applyAlignment="1">
      <alignment horizontal="center" vertical="center" wrapText="1"/>
    </xf>
    <xf numFmtId="0" fontId="14" fillId="3" borderId="19" xfId="0" applyFont="1" applyFill="1" applyBorder="1" applyAlignment="1">
      <alignment horizontal="center" vertical="center" wrapText="1"/>
    </xf>
    <xf numFmtId="0" fontId="12" fillId="0" borderId="0" xfId="0" applyFont="1" applyAlignment="1">
      <alignment wrapText="1"/>
    </xf>
    <xf numFmtId="0" fontId="12" fillId="0" borderId="0" xfId="0" applyFont="1" applyAlignment="1">
      <alignment horizontal="center" wrapText="1"/>
    </xf>
    <xf numFmtId="0" fontId="15" fillId="6" borderId="2" xfId="0" applyFont="1" applyFill="1" applyBorder="1" applyAlignment="1">
      <alignment horizontal="center" wrapText="1"/>
    </xf>
    <xf numFmtId="0" fontId="15" fillId="6" borderId="2" xfId="0" applyFont="1" applyFill="1" applyBorder="1" applyAlignment="1">
      <alignment vertical="center" wrapText="1"/>
    </xf>
    <xf numFmtId="0" fontId="15" fillId="6" borderId="2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wrapText="1"/>
    </xf>
    <xf numFmtId="0" fontId="12" fillId="0" borderId="2" xfId="0" applyFont="1" applyBorder="1" applyAlignment="1">
      <alignment vertical="center" wrapText="1"/>
    </xf>
    <xf numFmtId="0" fontId="12" fillId="0" borderId="2" xfId="0" applyFont="1" applyBorder="1" applyAlignment="1">
      <alignment horizontal="center" vertical="center" wrapText="1"/>
    </xf>
    <xf numFmtId="24" fontId="12" fillId="0" borderId="2" xfId="0" applyNumberFormat="1" applyFont="1" applyBorder="1" applyAlignment="1">
      <alignment horizontal="center" vertical="center" wrapText="1"/>
    </xf>
    <xf numFmtId="0" fontId="12" fillId="0" borderId="2" xfId="0" applyFont="1" applyBorder="1" applyAlignment="1">
      <alignment vertical="center"/>
    </xf>
    <xf numFmtId="0" fontId="12" fillId="0" borderId="2" xfId="0" applyFont="1" applyBorder="1" applyAlignment="1">
      <alignment wrapText="1"/>
    </xf>
    <xf numFmtId="0" fontId="12" fillId="0" borderId="0" xfId="0" applyFont="1" applyAlignment="1">
      <alignment vertical="center" wrapText="1"/>
    </xf>
    <xf numFmtId="0" fontId="12" fillId="0" borderId="20" xfId="0" applyFont="1" applyBorder="1" applyAlignment="1">
      <alignment horizontal="center" wrapText="1"/>
    </xf>
    <xf numFmtId="0" fontId="12" fillId="0" borderId="0" xfId="0" applyFont="1" applyAlignment="1">
      <alignment horizontal="center" vertical="center" wrapText="1"/>
    </xf>
    <xf numFmtId="0" fontId="16" fillId="0" borderId="2" xfId="1" applyFont="1" applyFill="1" applyBorder="1" applyAlignment="1">
      <alignment vertical="center" wrapText="1"/>
    </xf>
    <xf numFmtId="0" fontId="17" fillId="0" borderId="2" xfId="1" applyFont="1" applyFill="1" applyBorder="1" applyAlignment="1">
      <alignment vertical="center" wrapText="1"/>
    </xf>
    <xf numFmtId="0" fontId="26" fillId="0" borderId="0" xfId="0" applyFont="1" applyAlignment="1">
      <alignment horizontal="left" vertical="center"/>
    </xf>
    <xf numFmtId="0" fontId="18" fillId="0" borderId="0" xfId="1" applyAlignment="1">
      <alignment horizontal="left" vertical="center"/>
    </xf>
    <xf numFmtId="0" fontId="15" fillId="13" borderId="2" xfId="0" applyFont="1" applyFill="1" applyBorder="1" applyAlignment="1">
      <alignment horizontal="center" wrapText="1"/>
    </xf>
    <xf numFmtId="0" fontId="15" fillId="13" borderId="2" xfId="0" applyFont="1" applyFill="1" applyBorder="1" applyAlignment="1">
      <alignment horizontal="center" vertical="center" wrapText="1"/>
    </xf>
    <xf numFmtId="0" fontId="3" fillId="6" borderId="13" xfId="0" applyFont="1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3" fillId="8" borderId="14" xfId="0" applyFont="1" applyFill="1" applyBorder="1" applyAlignment="1">
      <alignment horizontal="center"/>
    </xf>
    <xf numFmtId="0" fontId="0" fillId="8" borderId="14" xfId="0" applyFill="1" applyBorder="1" applyAlignment="1">
      <alignment horizontal="center"/>
    </xf>
    <xf numFmtId="0" fontId="3" fillId="10" borderId="14" xfId="0" applyFont="1" applyFill="1" applyBorder="1" applyAlignment="1">
      <alignment horizontal="center"/>
    </xf>
    <xf numFmtId="0" fontId="0" fillId="10" borderId="14" xfId="0" applyFill="1" applyBorder="1" applyAlignment="1">
      <alignment horizontal="center"/>
    </xf>
    <xf numFmtId="0" fontId="3" fillId="11" borderId="14" xfId="0" applyFont="1" applyFill="1" applyBorder="1" applyAlignment="1">
      <alignment horizontal="center"/>
    </xf>
    <xf numFmtId="0" fontId="0" fillId="11" borderId="14" xfId="0" applyFill="1" applyBorder="1" applyAlignment="1">
      <alignment horizontal="center"/>
    </xf>
    <xf numFmtId="0" fontId="3" fillId="12" borderId="14" xfId="0" applyFont="1" applyFill="1" applyBorder="1" applyAlignment="1">
      <alignment horizontal="center"/>
    </xf>
    <xf numFmtId="0" fontId="3" fillId="12" borderId="18" xfId="0" applyFont="1" applyFill="1" applyBorder="1" applyAlignment="1">
      <alignment horizontal="center"/>
    </xf>
    <xf numFmtId="0" fontId="9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1" fillId="2" borderId="1" xfId="6" applyFont="1" applyFill="1" applyBorder="1" applyAlignment="1">
      <alignment horizontal="center" vertical="center"/>
    </xf>
    <xf numFmtId="9" fontId="1" fillId="2" borderId="1" xfId="6" applyNumberFormat="1" applyFont="1" applyFill="1" applyBorder="1" applyAlignment="1">
      <alignment horizontal="center" vertical="center"/>
    </xf>
    <xf numFmtId="177" fontId="1" fillId="2" borderId="1" xfId="6" applyNumberFormat="1" applyFont="1" applyFill="1" applyBorder="1" applyAlignment="1">
      <alignment horizontal="center" vertical="center"/>
    </xf>
    <xf numFmtId="178" fontId="1" fillId="2" borderId="1" xfId="6" applyNumberFormat="1" applyFont="1" applyFill="1" applyBorder="1" applyAlignment="1">
      <alignment horizontal="center" vertical="center"/>
    </xf>
    <xf numFmtId="179" fontId="1" fillId="2" borderId="1" xfId="6" applyNumberFormat="1" applyFont="1" applyFill="1" applyBorder="1" applyAlignment="1">
      <alignment horizontal="center" vertical="center"/>
    </xf>
    <xf numFmtId="10" fontId="1" fillId="2" borderId="3" xfId="6" applyNumberFormat="1" applyFont="1" applyFill="1" applyBorder="1" applyAlignment="1">
      <alignment horizontal="center" vertical="center"/>
    </xf>
    <xf numFmtId="0" fontId="31" fillId="3" borderId="16" xfId="0" applyFont="1" applyFill="1" applyBorder="1" applyAlignment="1">
      <alignment horizontal="center" vertical="center" wrapText="1"/>
    </xf>
  </cellXfs>
  <cellStyles count="8">
    <cellStyle name="常规" xfId="0" builtinId="0"/>
    <cellStyle name="常规 2" xfId="3" xr:uid="{00000000-0005-0000-0000-000000000000}"/>
    <cellStyle name="常规 2 2" xfId="2" xr:uid="{00000000-0005-0000-0000-000001000000}"/>
    <cellStyle name="常规 2 6" xfId="4" xr:uid="{00000000-0005-0000-0000-000002000000}"/>
    <cellStyle name="常规 3" xfId="5" xr:uid="{00000000-0005-0000-0000-000003000000}"/>
    <cellStyle name="常规 4" xfId="6" xr:uid="{00000000-0005-0000-0000-000004000000}"/>
    <cellStyle name="常规 5" xfId="7" xr:uid="{00000000-0005-0000-0000-000005000000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H34"/>
  <sheetViews>
    <sheetView tabSelected="1" workbookViewId="0">
      <selection activeCell="E16" sqref="E16"/>
    </sheetView>
  </sheetViews>
  <sheetFormatPr defaultColWidth="10.69921875" defaultRowHeight="15"/>
  <cols>
    <col min="1" max="1" width="10.69921875" style="51" customWidth="1"/>
    <col min="2" max="2" width="27.69921875" style="50" customWidth="1"/>
    <col min="3" max="3" width="55.19921875" style="50" customWidth="1"/>
    <col min="4" max="4" width="26.19921875" style="50" customWidth="1"/>
    <col min="5" max="5" width="10.69921875" style="51" customWidth="1"/>
    <col min="6" max="6" width="8" style="51" customWidth="1"/>
    <col min="7" max="7" width="9.5" style="50" customWidth="1"/>
    <col min="8" max="8" width="35.796875" style="50" customWidth="1"/>
    <col min="9" max="9" width="10.69921875" style="50" customWidth="1"/>
    <col min="10" max="16384" width="10.69921875" style="50"/>
  </cols>
  <sheetData>
    <row r="1" spans="1:8" ht="15.6">
      <c r="A1" s="68" t="s">
        <v>0</v>
      </c>
      <c r="B1" s="68"/>
      <c r="C1" s="68"/>
      <c r="D1" s="68"/>
      <c r="E1" s="68"/>
      <c r="F1" s="68"/>
      <c r="G1" s="68"/>
      <c r="H1" s="68"/>
    </row>
    <row r="2" spans="1:8" ht="31.2">
      <c r="A2" s="52" t="s">
        <v>1</v>
      </c>
      <c r="B2" s="53" t="s">
        <v>2</v>
      </c>
      <c r="C2" s="53" t="s">
        <v>3</v>
      </c>
      <c r="D2" s="53" t="s">
        <v>4</v>
      </c>
      <c r="E2" s="54" t="s">
        <v>5</v>
      </c>
      <c r="F2" s="54" t="s">
        <v>6</v>
      </c>
      <c r="G2" s="53" t="s">
        <v>7</v>
      </c>
      <c r="H2" s="53" t="s">
        <v>8</v>
      </c>
    </row>
    <row r="3" spans="1:8">
      <c r="A3" s="55">
        <v>1</v>
      </c>
      <c r="B3" s="56" t="s">
        <v>169</v>
      </c>
      <c r="C3" s="56" t="s">
        <v>9</v>
      </c>
      <c r="D3" s="56" t="s">
        <v>10</v>
      </c>
      <c r="E3" s="57">
        <v>30</v>
      </c>
      <c r="F3" s="57">
        <v>200</v>
      </c>
      <c r="G3" s="56" t="s">
        <v>11</v>
      </c>
      <c r="H3" s="56"/>
    </row>
    <row r="4" spans="1:8">
      <c r="A4" s="55">
        <v>3</v>
      </c>
      <c r="B4" s="56" t="s">
        <v>168</v>
      </c>
      <c r="C4" s="56"/>
      <c r="D4" s="56"/>
      <c r="E4" s="57"/>
      <c r="F4" s="57"/>
      <c r="G4" s="56" t="s">
        <v>11</v>
      </c>
      <c r="H4" s="56"/>
    </row>
    <row r="5" spans="1:8">
      <c r="A5" s="55">
        <v>4</v>
      </c>
      <c r="B5" s="59" t="s">
        <v>12</v>
      </c>
      <c r="C5" s="56"/>
      <c r="D5" s="56"/>
      <c r="E5" s="57"/>
      <c r="F5" s="57"/>
      <c r="G5" s="56" t="s">
        <v>11</v>
      </c>
      <c r="H5" s="56"/>
    </row>
    <row r="6" spans="1:8">
      <c r="A6" s="55">
        <v>5</v>
      </c>
      <c r="B6" s="56" t="s">
        <v>13</v>
      </c>
      <c r="C6" s="56"/>
      <c r="D6" s="56"/>
      <c r="E6" s="57">
        <v>1</v>
      </c>
      <c r="F6" s="57"/>
      <c r="G6" s="56" t="s">
        <v>11</v>
      </c>
      <c r="H6" s="56"/>
    </row>
    <row r="7" spans="1:8">
      <c r="A7" s="55">
        <v>6</v>
      </c>
      <c r="B7" s="56" t="s">
        <v>14</v>
      </c>
      <c r="C7" s="60"/>
      <c r="D7" s="56"/>
      <c r="E7" s="57">
        <v>2</v>
      </c>
      <c r="F7" s="57"/>
      <c r="G7" s="56" t="s">
        <v>11</v>
      </c>
      <c r="H7" s="56"/>
    </row>
    <row r="8" spans="1:8" ht="60">
      <c r="A8" s="55">
        <v>7</v>
      </c>
      <c r="B8" s="56" t="s">
        <v>170</v>
      </c>
      <c r="C8" s="56"/>
      <c r="D8" s="56" t="s">
        <v>10</v>
      </c>
      <c r="E8" s="57"/>
      <c r="F8" s="57"/>
      <c r="G8" s="56" t="s">
        <v>15</v>
      </c>
      <c r="H8" s="56" t="s">
        <v>16</v>
      </c>
    </row>
    <row r="9" spans="1:8">
      <c r="A9" s="55">
        <v>9</v>
      </c>
      <c r="B9" s="56" t="s">
        <v>17</v>
      </c>
      <c r="C9" s="56" t="s">
        <v>18</v>
      </c>
      <c r="D9" s="56"/>
      <c r="E9" s="57">
        <v>20</v>
      </c>
      <c r="F9" s="57"/>
      <c r="G9" s="56" t="s">
        <v>15</v>
      </c>
      <c r="H9" s="56"/>
    </row>
    <row r="10" spans="1:8" ht="30">
      <c r="A10" s="55">
        <v>10</v>
      </c>
      <c r="B10" s="56" t="s">
        <v>19</v>
      </c>
      <c r="C10" s="56" t="s">
        <v>20</v>
      </c>
      <c r="D10" s="56" t="s">
        <v>21</v>
      </c>
      <c r="E10" s="57" t="s">
        <v>22</v>
      </c>
      <c r="F10" s="57"/>
      <c r="G10" s="56" t="s">
        <v>11</v>
      </c>
      <c r="H10" s="56" t="s">
        <v>23</v>
      </c>
    </row>
    <row r="11" spans="1:8" ht="30">
      <c r="A11" s="55">
        <v>11</v>
      </c>
      <c r="B11" s="56" t="s">
        <v>24</v>
      </c>
      <c r="C11" s="56" t="s">
        <v>25</v>
      </c>
      <c r="D11" s="56"/>
      <c r="E11" s="57" t="s">
        <v>26</v>
      </c>
      <c r="F11" s="57"/>
      <c r="G11" s="56" t="s">
        <v>15</v>
      </c>
      <c r="H11" s="56" t="s">
        <v>27</v>
      </c>
    </row>
    <row r="12" spans="1:8">
      <c r="A12" s="55">
        <v>12</v>
      </c>
      <c r="B12" s="56" t="s">
        <v>171</v>
      </c>
      <c r="C12" s="56" t="s">
        <v>28</v>
      </c>
      <c r="D12" s="56" t="s">
        <v>29</v>
      </c>
      <c r="E12" s="57">
        <v>8</v>
      </c>
      <c r="F12" s="57"/>
      <c r="G12" s="56" t="s">
        <v>11</v>
      </c>
      <c r="H12" s="56" t="s">
        <v>30</v>
      </c>
    </row>
    <row r="13" spans="1:8" ht="30">
      <c r="A13" s="55">
        <v>13</v>
      </c>
      <c r="B13" s="56" t="s">
        <v>181</v>
      </c>
      <c r="C13" s="64"/>
      <c r="D13" s="56" t="s">
        <v>172</v>
      </c>
      <c r="E13" s="57"/>
      <c r="F13" s="57"/>
      <c r="G13" s="56" t="s">
        <v>11</v>
      </c>
      <c r="H13" s="56" t="s">
        <v>31</v>
      </c>
    </row>
    <row r="14" spans="1:8">
      <c r="A14" s="55">
        <v>14</v>
      </c>
      <c r="B14" s="56" t="s">
        <v>32</v>
      </c>
      <c r="C14" s="56" t="s">
        <v>33</v>
      </c>
      <c r="D14" s="56" t="s">
        <v>34</v>
      </c>
      <c r="E14" s="57" t="s">
        <v>35</v>
      </c>
      <c r="F14" s="57"/>
      <c r="G14" s="56" t="s">
        <v>11</v>
      </c>
      <c r="H14" s="56"/>
    </row>
    <row r="15" spans="1:8">
      <c r="A15" s="55">
        <v>15</v>
      </c>
      <c r="B15" s="56" t="s">
        <v>36</v>
      </c>
      <c r="C15" s="56" t="s">
        <v>25</v>
      </c>
      <c r="D15" s="56" t="s">
        <v>37</v>
      </c>
      <c r="E15" s="57"/>
      <c r="F15" s="57"/>
      <c r="G15" s="56" t="s">
        <v>11</v>
      </c>
      <c r="H15" s="56"/>
    </row>
    <row r="16" spans="1:8">
      <c r="A16" s="55">
        <v>16</v>
      </c>
      <c r="B16" s="56" t="s">
        <v>173</v>
      </c>
      <c r="C16" s="56" t="s">
        <v>174</v>
      </c>
      <c r="D16" s="56" t="s">
        <v>38</v>
      </c>
      <c r="E16" s="57" t="s">
        <v>39</v>
      </c>
      <c r="F16" s="57">
        <v>150</v>
      </c>
      <c r="G16" s="56" t="s">
        <v>15</v>
      </c>
      <c r="H16" s="56" t="s">
        <v>40</v>
      </c>
    </row>
    <row r="17" spans="1:8">
      <c r="A17" s="55">
        <v>17</v>
      </c>
      <c r="B17" s="56" t="s">
        <v>41</v>
      </c>
      <c r="C17" s="56" t="s">
        <v>175</v>
      </c>
      <c r="D17" s="56"/>
      <c r="E17" s="57"/>
      <c r="F17" s="57"/>
      <c r="G17" s="56" t="s">
        <v>15</v>
      </c>
      <c r="H17" s="56"/>
    </row>
    <row r="18" spans="1:8" ht="30">
      <c r="A18" s="55">
        <v>18</v>
      </c>
      <c r="B18" s="56" t="s">
        <v>176</v>
      </c>
      <c r="C18" s="56" t="s">
        <v>25</v>
      </c>
      <c r="D18" s="65"/>
      <c r="E18" s="57"/>
      <c r="F18" s="57"/>
      <c r="G18" s="56" t="s">
        <v>15</v>
      </c>
      <c r="H18" s="56"/>
    </row>
    <row r="19" spans="1:8" ht="30">
      <c r="A19" s="55">
        <v>19</v>
      </c>
      <c r="B19" s="56" t="s">
        <v>42</v>
      </c>
      <c r="C19" s="56" t="s">
        <v>43</v>
      </c>
      <c r="D19" s="56"/>
      <c r="E19" s="57"/>
      <c r="F19" s="57"/>
      <c r="G19" s="56" t="s">
        <v>15</v>
      </c>
      <c r="H19" s="56"/>
    </row>
    <row r="20" spans="1:8">
      <c r="A20" s="55">
        <v>20</v>
      </c>
      <c r="B20" s="56" t="s">
        <v>44</v>
      </c>
      <c r="C20" s="56"/>
      <c r="D20" s="56"/>
      <c r="E20" s="57"/>
      <c r="F20" s="57"/>
      <c r="G20" s="56"/>
      <c r="H20" s="56"/>
    </row>
    <row r="21" spans="1:8" ht="30">
      <c r="A21" s="55">
        <v>21</v>
      </c>
      <c r="B21" s="60" t="s">
        <v>45</v>
      </c>
      <c r="C21" s="60"/>
      <c r="D21" s="60"/>
      <c r="E21" s="57"/>
      <c r="F21" s="57"/>
      <c r="G21" s="56" t="s">
        <v>11</v>
      </c>
      <c r="H21" s="56" t="s">
        <v>46</v>
      </c>
    </row>
    <row r="22" spans="1:8">
      <c r="A22" s="62"/>
      <c r="E22" s="63"/>
      <c r="F22" s="63"/>
      <c r="G22" s="61"/>
      <c r="H22" s="61"/>
    </row>
    <row r="23" spans="1:8">
      <c r="A23" s="62"/>
      <c r="E23" s="63"/>
      <c r="F23" s="63"/>
      <c r="G23" s="61"/>
      <c r="H23" s="61"/>
    </row>
    <row r="24" spans="1:8">
      <c r="A24" s="62"/>
      <c r="E24" s="63"/>
      <c r="F24" s="63"/>
      <c r="G24" s="61"/>
      <c r="H24" s="61"/>
    </row>
    <row r="25" spans="1:8">
      <c r="A25" s="62"/>
      <c r="E25" s="63"/>
      <c r="F25" s="63"/>
      <c r="G25" s="61"/>
      <c r="H25" s="61"/>
    </row>
    <row r="26" spans="1:8">
      <c r="A26" s="62"/>
      <c r="E26" s="63"/>
      <c r="F26" s="63"/>
      <c r="G26" s="61"/>
      <c r="H26" s="61"/>
    </row>
    <row r="27" spans="1:8">
      <c r="A27" s="62"/>
      <c r="E27" s="63"/>
      <c r="F27" s="63"/>
      <c r="G27" s="61"/>
      <c r="H27" s="61"/>
    </row>
    <row r="28" spans="1:8">
      <c r="A28" s="62"/>
      <c r="E28" s="63"/>
      <c r="F28" s="63"/>
      <c r="G28" s="61"/>
      <c r="H28" s="61"/>
    </row>
    <row r="29" spans="1:8">
      <c r="A29" s="62"/>
    </row>
    <row r="30" spans="1:8">
      <c r="A30" s="62"/>
    </row>
    <row r="31" spans="1:8">
      <c r="A31" s="62"/>
    </row>
    <row r="32" spans="1:8">
      <c r="A32" s="62"/>
    </row>
    <row r="33" spans="1:1">
      <c r="A33" s="62"/>
    </row>
    <row r="34" spans="1:1">
      <c r="A34" s="62"/>
    </row>
  </sheetData>
  <mergeCells count="1">
    <mergeCell ref="A1:H1"/>
  </mergeCells>
  <phoneticPr fontId="27" type="noConversion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XFA24"/>
  <sheetViews>
    <sheetView zoomScale="140" zoomScaleNormal="140" workbookViewId="0">
      <selection activeCell="B15" sqref="B15"/>
    </sheetView>
  </sheetViews>
  <sheetFormatPr defaultColWidth="10.69921875" defaultRowHeight="15"/>
  <cols>
    <col min="1" max="1" width="10.69921875" style="51" customWidth="1"/>
    <col min="2" max="2" width="26.69921875" style="50" customWidth="1"/>
    <col min="3" max="3" width="45.296875" style="50" customWidth="1"/>
    <col min="4" max="4" width="11.69921875" style="51" customWidth="1"/>
    <col min="5" max="5" width="9.5" style="50" customWidth="1"/>
    <col min="6" max="16381" width="10.69921875" style="50" customWidth="1"/>
  </cols>
  <sheetData>
    <row r="1" spans="1:7" s="50" customFormat="1" ht="39" customHeight="1">
      <c r="A1" s="69" t="s">
        <v>47</v>
      </c>
      <c r="B1" s="69"/>
      <c r="C1" s="69"/>
      <c r="D1" s="69"/>
      <c r="E1" s="69"/>
    </row>
    <row r="2" spans="1:7" s="50" customFormat="1" ht="15.6">
      <c r="A2" s="52" t="s">
        <v>1</v>
      </c>
      <c r="B2" s="53" t="s">
        <v>2</v>
      </c>
      <c r="C2" s="53" t="s">
        <v>3</v>
      </c>
      <c r="D2" s="54" t="s">
        <v>6</v>
      </c>
      <c r="E2" s="54" t="s">
        <v>48</v>
      </c>
    </row>
    <row r="3" spans="1:7" s="50" customFormat="1" ht="33" customHeight="1">
      <c r="A3" s="55">
        <v>1</v>
      </c>
      <c r="B3" s="56" t="s">
        <v>49</v>
      </c>
      <c r="C3" s="56" t="s">
        <v>50</v>
      </c>
      <c r="D3" s="57" t="s">
        <v>51</v>
      </c>
      <c r="E3" s="56"/>
    </row>
    <row r="4" spans="1:7" s="50" customFormat="1" ht="19.95" customHeight="1">
      <c r="A4" s="55">
        <v>2</v>
      </c>
      <c r="B4" s="56" t="s">
        <v>52</v>
      </c>
      <c r="C4" s="56" t="s">
        <v>53</v>
      </c>
      <c r="D4" s="57" t="s">
        <v>51</v>
      </c>
      <c r="E4" s="56"/>
      <c r="G4" s="66"/>
    </row>
    <row r="5" spans="1:7" s="50" customFormat="1" ht="19.95" customHeight="1">
      <c r="A5" s="55">
        <v>3</v>
      </c>
      <c r="B5" s="59" t="s">
        <v>54</v>
      </c>
      <c r="C5" s="60" t="s">
        <v>55</v>
      </c>
      <c r="D5" s="55" t="s">
        <v>56</v>
      </c>
      <c r="E5" s="56"/>
      <c r="G5" s="67"/>
    </row>
    <row r="6" spans="1:7" s="50" customFormat="1" ht="19.95" customHeight="1">
      <c r="A6" s="55">
        <v>4</v>
      </c>
      <c r="B6" s="56" t="s">
        <v>19</v>
      </c>
      <c r="C6" s="56" t="s">
        <v>57</v>
      </c>
      <c r="D6" s="57" t="s">
        <v>58</v>
      </c>
      <c r="E6" s="56"/>
    </row>
    <row r="7" spans="1:7" s="50" customFormat="1" ht="19.95" customHeight="1">
      <c r="A7" s="55">
        <v>5</v>
      </c>
      <c r="B7" s="56" t="s">
        <v>59</v>
      </c>
      <c r="C7" s="60" t="s">
        <v>60</v>
      </c>
      <c r="D7" s="57" t="s">
        <v>61</v>
      </c>
      <c r="E7" s="56"/>
    </row>
    <row r="8" spans="1:7" s="50" customFormat="1" ht="30">
      <c r="A8" s="55">
        <v>6</v>
      </c>
      <c r="B8" s="56" t="s">
        <v>63</v>
      </c>
      <c r="C8" s="56" t="s">
        <v>64</v>
      </c>
      <c r="D8" s="57" t="s">
        <v>65</v>
      </c>
      <c r="E8" s="56"/>
    </row>
    <row r="9" spans="1:7" s="50" customFormat="1" ht="45">
      <c r="A9" s="55">
        <v>7</v>
      </c>
      <c r="B9" s="61" t="s">
        <v>66</v>
      </c>
      <c r="C9" s="56" t="s">
        <v>67</v>
      </c>
      <c r="D9" s="58">
        <v>300</v>
      </c>
      <c r="E9" s="56"/>
    </row>
    <row r="10" spans="1:7" s="50" customFormat="1">
      <c r="A10" s="55">
        <v>8</v>
      </c>
      <c r="B10" s="56" t="s">
        <v>68</v>
      </c>
      <c r="C10" s="56"/>
      <c r="D10" s="57" t="s">
        <v>51</v>
      </c>
      <c r="E10" s="56"/>
    </row>
    <row r="11" spans="1:7" s="50" customFormat="1" ht="21" customHeight="1">
      <c r="A11" s="55">
        <v>9</v>
      </c>
      <c r="B11" s="56" t="s">
        <v>69</v>
      </c>
      <c r="C11" s="56" t="s">
        <v>70</v>
      </c>
      <c r="D11" s="57" t="s">
        <v>71</v>
      </c>
      <c r="E11" s="56"/>
    </row>
    <row r="12" spans="1:7" s="50" customFormat="1" ht="21" customHeight="1">
      <c r="A12" s="55">
        <v>10</v>
      </c>
      <c r="B12" s="56" t="s">
        <v>177</v>
      </c>
      <c r="C12" s="56" t="s">
        <v>72</v>
      </c>
      <c r="D12" s="57" t="s">
        <v>51</v>
      </c>
      <c r="E12" s="56"/>
    </row>
    <row r="13" spans="1:7" s="50" customFormat="1">
      <c r="A13" s="62"/>
      <c r="D13" s="63"/>
      <c r="E13" s="61"/>
    </row>
    <row r="14" spans="1:7" s="50" customFormat="1">
      <c r="A14" s="62"/>
      <c r="D14" s="63"/>
      <c r="E14" s="61"/>
    </row>
    <row r="15" spans="1:7" s="50" customFormat="1">
      <c r="A15" s="62"/>
      <c r="D15" s="63"/>
      <c r="E15" s="61"/>
    </row>
    <row r="16" spans="1:7" s="50" customFormat="1">
      <c r="A16" s="62"/>
      <c r="D16" s="63"/>
      <c r="E16" s="61"/>
    </row>
    <row r="17" spans="1:5" s="50" customFormat="1">
      <c r="A17" s="62"/>
      <c r="D17" s="63"/>
      <c r="E17" s="61"/>
    </row>
    <row r="18" spans="1:5" s="50" customFormat="1">
      <c r="A18" s="62"/>
      <c r="D18" s="63"/>
      <c r="E18" s="61"/>
    </row>
    <row r="19" spans="1:5" s="50" customFormat="1">
      <c r="A19" s="62"/>
      <c r="D19" s="51"/>
    </row>
    <row r="20" spans="1:5" s="50" customFormat="1">
      <c r="A20" s="62"/>
      <c r="D20" s="51"/>
    </row>
    <row r="21" spans="1:5" s="50" customFormat="1">
      <c r="A21" s="62"/>
      <c r="D21" s="51"/>
    </row>
    <row r="22" spans="1:5" s="50" customFormat="1">
      <c r="A22" s="62"/>
      <c r="D22" s="51"/>
    </row>
    <row r="23" spans="1:5" s="50" customFormat="1">
      <c r="A23" s="62"/>
      <c r="D23" s="51"/>
    </row>
    <row r="24" spans="1:5" s="50" customFormat="1">
      <c r="A24" s="62"/>
      <c r="D24" s="51"/>
    </row>
  </sheetData>
  <mergeCells count="1">
    <mergeCell ref="A1:E1"/>
  </mergeCells>
  <phoneticPr fontId="27" type="noConversion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3"/>
  <sheetViews>
    <sheetView topLeftCell="M1" workbookViewId="0">
      <selection activeCell="Z2" sqref="Z2"/>
    </sheetView>
  </sheetViews>
  <sheetFormatPr defaultColWidth="3.796875" defaultRowHeight="13.8"/>
  <cols>
    <col min="1" max="5" width="3.796875" customWidth="1"/>
    <col min="6" max="6" width="8.19921875" customWidth="1"/>
    <col min="7" max="7" width="3.796875" customWidth="1"/>
    <col min="8" max="8" width="7.19921875" customWidth="1"/>
    <col min="9" max="12" width="3.796875" customWidth="1"/>
    <col min="13" max="13" width="5.296875" customWidth="1"/>
    <col min="14" max="17" width="3.796875" customWidth="1"/>
    <col min="18" max="21" width="5.796875" customWidth="1"/>
    <col min="22" max="25" width="7.19921875" customWidth="1"/>
    <col min="26" max="26" width="10.19921875" customWidth="1"/>
    <col min="27" max="38" width="7.19921875" customWidth="1"/>
    <col min="39" max="39" width="3.796875" customWidth="1"/>
    <col min="40" max="40" width="6.19921875" customWidth="1"/>
    <col min="41" max="16383" width="3.796875" customWidth="1"/>
  </cols>
  <sheetData>
    <row r="1" spans="1:41" ht="14.4">
      <c r="A1" s="70" t="s">
        <v>73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2" t="s">
        <v>74</v>
      </c>
      <c r="N1" s="73"/>
      <c r="O1" s="73"/>
      <c r="P1" s="73"/>
      <c r="Q1" s="73"/>
      <c r="R1" s="73"/>
      <c r="S1" s="73"/>
      <c r="T1" s="73"/>
      <c r="U1" s="73"/>
      <c r="V1" s="74" t="s">
        <v>75</v>
      </c>
      <c r="W1" s="75"/>
      <c r="X1" s="75"/>
      <c r="Y1" s="75"/>
      <c r="Z1" s="75"/>
      <c r="AA1" s="75"/>
      <c r="AB1" s="76" t="s">
        <v>76</v>
      </c>
      <c r="AC1" s="77"/>
      <c r="AD1" s="77"/>
      <c r="AE1" s="77"/>
      <c r="AF1" s="77"/>
      <c r="AG1" s="77"/>
      <c r="AH1" s="78" t="s">
        <v>77</v>
      </c>
      <c r="AI1" s="78"/>
      <c r="AJ1" s="78"/>
      <c r="AK1" s="78"/>
      <c r="AL1" s="78"/>
      <c r="AM1" s="78"/>
      <c r="AN1" s="78"/>
      <c r="AO1" s="79"/>
    </row>
    <row r="2" spans="1:41" ht="82.05" customHeight="1">
      <c r="A2" s="39" t="s">
        <v>78</v>
      </c>
      <c r="B2" s="40" t="s">
        <v>79</v>
      </c>
      <c r="C2" s="40" t="s">
        <v>80</v>
      </c>
      <c r="D2" s="40" t="s">
        <v>81</v>
      </c>
      <c r="E2" s="40" t="s">
        <v>82</v>
      </c>
      <c r="F2" s="40" t="s">
        <v>83</v>
      </c>
      <c r="G2" s="40" t="s">
        <v>84</v>
      </c>
      <c r="H2" s="40" t="s">
        <v>85</v>
      </c>
      <c r="I2" s="40" t="s">
        <v>86</v>
      </c>
      <c r="J2" s="40" t="s">
        <v>87</v>
      </c>
      <c r="K2" s="44" t="s">
        <v>88</v>
      </c>
      <c r="L2" s="45" t="s">
        <v>89</v>
      </c>
      <c r="M2" s="46" t="s">
        <v>90</v>
      </c>
      <c r="N2" s="46" t="s">
        <v>91</v>
      </c>
      <c r="O2" s="46" t="s">
        <v>92</v>
      </c>
      <c r="P2" s="46" t="s">
        <v>93</v>
      </c>
      <c r="Q2" s="46" t="s">
        <v>94</v>
      </c>
      <c r="R2" s="46" t="s">
        <v>95</v>
      </c>
      <c r="S2" s="92" t="s">
        <v>178</v>
      </c>
      <c r="T2" s="46" t="s">
        <v>96</v>
      </c>
      <c r="U2" s="46" t="s">
        <v>97</v>
      </c>
      <c r="V2" s="48" t="s">
        <v>98</v>
      </c>
      <c r="W2" s="48" t="s">
        <v>99</v>
      </c>
      <c r="X2" s="48" t="s">
        <v>100</v>
      </c>
      <c r="Y2" s="48" t="s">
        <v>101</v>
      </c>
      <c r="Z2" s="48" t="s">
        <v>179</v>
      </c>
      <c r="AA2" s="48" t="s">
        <v>102</v>
      </c>
      <c r="AB2" s="48" t="s">
        <v>103</v>
      </c>
      <c r="AC2" s="48" t="s">
        <v>104</v>
      </c>
      <c r="AD2" s="48" t="s">
        <v>105</v>
      </c>
      <c r="AE2" s="48" t="s">
        <v>106</v>
      </c>
      <c r="AF2" s="48" t="s">
        <v>180</v>
      </c>
      <c r="AG2" s="48" t="s">
        <v>107</v>
      </c>
      <c r="AH2" s="48" t="s">
        <v>108</v>
      </c>
      <c r="AI2" s="48" t="s">
        <v>109</v>
      </c>
      <c r="AJ2" s="48" t="s">
        <v>110</v>
      </c>
      <c r="AK2" s="48" t="s">
        <v>111</v>
      </c>
      <c r="AL2" s="48" t="s">
        <v>108</v>
      </c>
      <c r="AM2" s="48" t="s">
        <v>111</v>
      </c>
      <c r="AN2" s="48" t="s">
        <v>112</v>
      </c>
      <c r="AO2" s="49" t="s">
        <v>113</v>
      </c>
    </row>
    <row r="3" spans="1:41" ht="15">
      <c r="A3" s="41" t="s">
        <v>114</v>
      </c>
      <c r="B3" s="41" t="s">
        <v>115</v>
      </c>
      <c r="C3" s="42" t="s">
        <v>116</v>
      </c>
      <c r="D3" s="42">
        <v>7</v>
      </c>
      <c r="E3" s="42" t="s">
        <v>117</v>
      </c>
      <c r="F3" s="43"/>
      <c r="G3" s="42">
        <v>59.99</v>
      </c>
      <c r="H3" s="42">
        <v>5220</v>
      </c>
      <c r="I3" s="42">
        <v>4.3</v>
      </c>
      <c r="J3" s="42">
        <v>386</v>
      </c>
      <c r="K3" s="47"/>
      <c r="L3" s="42">
        <v>110</v>
      </c>
      <c r="M3" s="42"/>
      <c r="N3" s="42"/>
      <c r="O3" s="42"/>
      <c r="P3" s="42"/>
      <c r="Q3" s="42"/>
      <c r="R3" s="42"/>
      <c r="S3" s="42"/>
      <c r="T3" s="42"/>
      <c r="U3" s="42"/>
    </row>
  </sheetData>
  <mergeCells count="5">
    <mergeCell ref="A1:L1"/>
    <mergeCell ref="M1:U1"/>
    <mergeCell ref="V1:AA1"/>
    <mergeCell ref="AB1:AG1"/>
    <mergeCell ref="AH1:AO1"/>
  </mergeCells>
  <phoneticPr fontId="27" type="noConversion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5"/>
  <sheetViews>
    <sheetView topLeftCell="A13" workbookViewId="0">
      <selection activeCell="G14" sqref="G14"/>
    </sheetView>
  </sheetViews>
  <sheetFormatPr defaultColWidth="8.796875" defaultRowHeight="13.8"/>
  <sheetData>
    <row r="1" spans="1:16">
      <c r="A1" s="17"/>
      <c r="B1" s="18"/>
      <c r="C1" s="18"/>
      <c r="D1" s="18"/>
      <c r="E1" s="80" t="s">
        <v>118</v>
      </c>
      <c r="F1" s="81"/>
      <c r="G1" s="81"/>
      <c r="H1" s="81"/>
      <c r="I1" s="81"/>
      <c r="J1" s="81"/>
      <c r="K1" s="81"/>
      <c r="L1" s="81"/>
      <c r="M1" s="18"/>
      <c r="N1" s="18"/>
      <c r="O1" s="18"/>
      <c r="P1" s="27"/>
    </row>
    <row r="2" spans="1:16">
      <c r="A2" s="19"/>
      <c r="B2" s="20"/>
      <c r="C2" s="20"/>
      <c r="D2" s="20"/>
      <c r="E2" s="82"/>
      <c r="F2" s="82"/>
      <c r="G2" s="82"/>
      <c r="H2" s="82"/>
      <c r="I2" s="82"/>
      <c r="J2" s="82"/>
      <c r="K2" s="82"/>
      <c r="L2" s="82"/>
      <c r="M2" s="20"/>
      <c r="N2" s="20"/>
      <c r="O2" s="20"/>
      <c r="P2" s="28"/>
    </row>
    <row r="3" spans="1:16">
      <c r="A3" s="19"/>
      <c r="B3" s="20"/>
      <c r="C3" s="20"/>
      <c r="D3" s="20"/>
      <c r="E3" s="82"/>
      <c r="F3" s="82"/>
      <c r="G3" s="82"/>
      <c r="H3" s="82"/>
      <c r="I3" s="82"/>
      <c r="J3" s="82"/>
      <c r="K3" s="82"/>
      <c r="L3" s="82"/>
      <c r="M3" s="20"/>
      <c r="N3" s="20"/>
      <c r="O3" s="20"/>
      <c r="P3" s="28"/>
    </row>
    <row r="4" spans="1:16">
      <c r="A4" s="19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8"/>
    </row>
    <row r="5" spans="1:16" ht="19.5" customHeight="1">
      <c r="A5" s="31" t="s">
        <v>119</v>
      </c>
      <c r="B5" s="32" t="s">
        <v>48</v>
      </c>
      <c r="C5" s="33" t="s">
        <v>120</v>
      </c>
      <c r="D5" s="33" t="s">
        <v>121</v>
      </c>
      <c r="E5" s="33" t="s">
        <v>122</v>
      </c>
      <c r="F5" s="33" t="s">
        <v>123</v>
      </c>
      <c r="G5" s="33" t="s">
        <v>124</v>
      </c>
      <c r="H5" s="33" t="s">
        <v>125</v>
      </c>
      <c r="I5" s="33" t="s">
        <v>126</v>
      </c>
      <c r="J5" s="33" t="s">
        <v>127</v>
      </c>
      <c r="K5" s="33" t="s">
        <v>128</v>
      </c>
      <c r="L5" s="33" t="s">
        <v>129</v>
      </c>
      <c r="M5" s="33" t="s">
        <v>130</v>
      </c>
      <c r="N5" s="33" t="s">
        <v>131</v>
      </c>
      <c r="O5" s="32" t="s">
        <v>132</v>
      </c>
      <c r="P5" s="28"/>
    </row>
    <row r="6" spans="1:16" ht="19.5" customHeight="1">
      <c r="A6" s="34" t="s">
        <v>133</v>
      </c>
      <c r="B6" s="20"/>
      <c r="C6" s="20">
        <v>300</v>
      </c>
      <c r="D6" s="20">
        <v>300</v>
      </c>
      <c r="E6" s="20">
        <v>500</v>
      </c>
      <c r="F6" s="20">
        <v>600</v>
      </c>
      <c r="G6" s="20">
        <v>500</v>
      </c>
      <c r="H6" s="20">
        <v>500</v>
      </c>
      <c r="I6" s="20">
        <v>450</v>
      </c>
      <c r="J6" s="20">
        <v>800</v>
      </c>
      <c r="K6" s="20">
        <v>500</v>
      </c>
      <c r="L6" s="20">
        <v>500</v>
      </c>
      <c r="M6" s="20">
        <v>400</v>
      </c>
      <c r="N6" s="20">
        <v>400</v>
      </c>
      <c r="O6" s="20">
        <v>4850</v>
      </c>
      <c r="P6" s="28"/>
    </row>
    <row r="7" spans="1:16" ht="19.5" customHeight="1">
      <c r="A7" s="35" t="s">
        <v>134</v>
      </c>
      <c r="B7" s="20"/>
      <c r="C7" s="20">
        <v>45.99</v>
      </c>
      <c r="D7" s="20">
        <v>45.99</v>
      </c>
      <c r="E7" s="20">
        <v>45.99</v>
      </c>
      <c r="F7" s="20">
        <v>45.99</v>
      </c>
      <c r="G7" s="20">
        <v>45.99</v>
      </c>
      <c r="H7" s="20">
        <v>45.99</v>
      </c>
      <c r="I7" s="20">
        <v>45.99</v>
      </c>
      <c r="J7" s="20">
        <v>45.99</v>
      </c>
      <c r="K7" s="20">
        <v>45.99</v>
      </c>
      <c r="L7" s="20">
        <v>45.99</v>
      </c>
      <c r="M7" s="20">
        <v>45.99</v>
      </c>
      <c r="N7" s="20">
        <v>45.99</v>
      </c>
      <c r="O7" s="20">
        <v>45.99</v>
      </c>
    </row>
    <row r="8" spans="1:16" ht="14.4">
      <c r="A8" s="35" t="s">
        <v>135</v>
      </c>
      <c r="B8" s="20"/>
      <c r="C8" s="20">
        <f>C6*C7</f>
        <v>13797</v>
      </c>
      <c r="D8" s="20">
        <f t="shared" ref="D8:O8" si="0">D6*D7</f>
        <v>13797</v>
      </c>
      <c r="E8" s="20">
        <f t="shared" si="0"/>
        <v>22995</v>
      </c>
      <c r="F8" s="20">
        <f t="shared" si="0"/>
        <v>27594</v>
      </c>
      <c r="G8" s="20">
        <f t="shared" si="0"/>
        <v>22995</v>
      </c>
      <c r="H8" s="20">
        <f t="shared" si="0"/>
        <v>22995</v>
      </c>
      <c r="I8" s="20">
        <f t="shared" si="0"/>
        <v>20695.5</v>
      </c>
      <c r="J8" s="20">
        <f t="shared" si="0"/>
        <v>36792</v>
      </c>
      <c r="K8" s="20">
        <f t="shared" si="0"/>
        <v>22995</v>
      </c>
      <c r="L8" s="20">
        <f t="shared" si="0"/>
        <v>22995</v>
      </c>
      <c r="M8" s="20">
        <f t="shared" si="0"/>
        <v>18396</v>
      </c>
      <c r="N8" s="20">
        <f t="shared" si="0"/>
        <v>18396</v>
      </c>
      <c r="O8" s="20">
        <f t="shared" si="0"/>
        <v>223051.5</v>
      </c>
    </row>
    <row r="9" spans="1:16" ht="14.4">
      <c r="A9" s="35" t="s">
        <v>62</v>
      </c>
      <c r="B9" s="20"/>
      <c r="C9" s="20">
        <v>15</v>
      </c>
      <c r="D9" s="20">
        <v>15</v>
      </c>
      <c r="E9" s="20">
        <v>15</v>
      </c>
      <c r="F9" s="20">
        <v>15</v>
      </c>
      <c r="G9" s="20">
        <v>15</v>
      </c>
      <c r="H9" s="20">
        <v>15</v>
      </c>
      <c r="I9" s="20">
        <v>15</v>
      </c>
      <c r="J9" s="20">
        <v>15</v>
      </c>
      <c r="K9" s="20">
        <v>15</v>
      </c>
      <c r="L9" s="20">
        <v>15</v>
      </c>
      <c r="M9" s="20">
        <v>15</v>
      </c>
      <c r="N9" s="20">
        <v>15</v>
      </c>
      <c r="O9" s="20">
        <v>15</v>
      </c>
    </row>
    <row r="10" spans="1:16" ht="14.4">
      <c r="A10" s="35" t="s">
        <v>136</v>
      </c>
      <c r="B10" s="20"/>
      <c r="C10" s="20">
        <f>C9*C6</f>
        <v>4500</v>
      </c>
      <c r="D10" s="20">
        <f t="shared" ref="D10:O10" si="1">D9*D6</f>
        <v>4500</v>
      </c>
      <c r="E10" s="20">
        <f t="shared" si="1"/>
        <v>7500</v>
      </c>
      <c r="F10" s="20">
        <f t="shared" si="1"/>
        <v>9000</v>
      </c>
      <c r="G10" s="20">
        <f t="shared" si="1"/>
        <v>7500</v>
      </c>
      <c r="H10" s="20">
        <f t="shared" si="1"/>
        <v>7500</v>
      </c>
      <c r="I10" s="20">
        <f t="shared" si="1"/>
        <v>6750</v>
      </c>
      <c r="J10" s="20">
        <f t="shared" si="1"/>
        <v>12000</v>
      </c>
      <c r="K10" s="20">
        <f t="shared" si="1"/>
        <v>7500</v>
      </c>
      <c r="L10" s="20">
        <f t="shared" si="1"/>
        <v>7500</v>
      </c>
      <c r="M10" s="20">
        <f t="shared" si="1"/>
        <v>6000</v>
      </c>
      <c r="N10" s="20">
        <f t="shared" si="1"/>
        <v>6000</v>
      </c>
      <c r="O10" s="20">
        <f t="shared" si="1"/>
        <v>72750</v>
      </c>
    </row>
    <row r="11" spans="1:16" ht="14.4">
      <c r="A11" s="35" t="s">
        <v>137</v>
      </c>
      <c r="B11" s="20"/>
      <c r="C11" s="20">
        <f>C8*0.15</f>
        <v>2069.5499999999997</v>
      </c>
      <c r="D11" s="20">
        <f t="shared" ref="D11:O11" si="2">D8*0.15</f>
        <v>2069.5499999999997</v>
      </c>
      <c r="E11" s="20">
        <f t="shared" si="2"/>
        <v>3449.25</v>
      </c>
      <c r="F11" s="20">
        <f t="shared" si="2"/>
        <v>4139.0999999999995</v>
      </c>
      <c r="G11" s="20">
        <f t="shared" si="2"/>
        <v>3449.25</v>
      </c>
      <c r="H11" s="20">
        <f t="shared" si="2"/>
        <v>3449.25</v>
      </c>
      <c r="I11" s="20">
        <f t="shared" si="2"/>
        <v>3104.3249999999998</v>
      </c>
      <c r="J11" s="20">
        <f t="shared" si="2"/>
        <v>5518.8</v>
      </c>
      <c r="K11" s="20">
        <f t="shared" si="2"/>
        <v>3449.25</v>
      </c>
      <c r="L11" s="20">
        <f t="shared" si="2"/>
        <v>3449.25</v>
      </c>
      <c r="M11" s="20">
        <f t="shared" si="2"/>
        <v>2759.4</v>
      </c>
      <c r="N11" s="20">
        <f t="shared" si="2"/>
        <v>2759.4</v>
      </c>
      <c r="O11" s="20">
        <f t="shared" si="2"/>
        <v>33457.724999999999</v>
      </c>
    </row>
    <row r="12" spans="1:16" ht="14.4">
      <c r="A12" s="35" t="s">
        <v>138</v>
      </c>
      <c r="B12" s="20"/>
      <c r="C12" s="20">
        <f>4.17*C6</f>
        <v>1251</v>
      </c>
      <c r="D12" s="20">
        <f t="shared" ref="D12:O12" si="3">4.17*D6</f>
        <v>1251</v>
      </c>
      <c r="E12" s="20">
        <f t="shared" si="3"/>
        <v>2085</v>
      </c>
      <c r="F12" s="20">
        <f t="shared" si="3"/>
        <v>2502</v>
      </c>
      <c r="G12" s="20">
        <f t="shared" si="3"/>
        <v>2085</v>
      </c>
      <c r="H12" s="20">
        <f t="shared" si="3"/>
        <v>2085</v>
      </c>
      <c r="I12" s="20">
        <f t="shared" si="3"/>
        <v>1876.5</v>
      </c>
      <c r="J12" s="20">
        <f t="shared" si="3"/>
        <v>3336</v>
      </c>
      <c r="K12" s="20">
        <f t="shared" si="3"/>
        <v>2085</v>
      </c>
      <c r="L12" s="20">
        <f t="shared" si="3"/>
        <v>2085</v>
      </c>
      <c r="M12" s="20">
        <f t="shared" si="3"/>
        <v>1668</v>
      </c>
      <c r="N12" s="20">
        <f t="shared" si="3"/>
        <v>1668</v>
      </c>
      <c r="O12" s="20">
        <f t="shared" si="3"/>
        <v>20224.5</v>
      </c>
    </row>
    <row r="13" spans="1:16" ht="14.4">
      <c r="A13" s="35" t="s">
        <v>139</v>
      </c>
      <c r="B13" s="20"/>
      <c r="C13" s="20">
        <f>C8*0.05</f>
        <v>689.85</v>
      </c>
      <c r="D13" s="20">
        <f t="shared" ref="D13:O13" si="4">D8*0.05</f>
        <v>689.85</v>
      </c>
      <c r="E13" s="20">
        <f t="shared" si="4"/>
        <v>1149.75</v>
      </c>
      <c r="F13" s="20">
        <f t="shared" si="4"/>
        <v>1379.7</v>
      </c>
      <c r="G13" s="20">
        <f t="shared" si="4"/>
        <v>1149.75</v>
      </c>
      <c r="H13" s="20">
        <f t="shared" si="4"/>
        <v>1149.75</v>
      </c>
      <c r="I13" s="20">
        <f t="shared" si="4"/>
        <v>1034.7750000000001</v>
      </c>
      <c r="J13" s="20">
        <f t="shared" si="4"/>
        <v>1839.6000000000001</v>
      </c>
      <c r="K13" s="20">
        <f t="shared" si="4"/>
        <v>1149.75</v>
      </c>
      <c r="L13" s="20">
        <f t="shared" si="4"/>
        <v>1149.75</v>
      </c>
      <c r="M13" s="20">
        <f t="shared" si="4"/>
        <v>919.80000000000007</v>
      </c>
      <c r="N13" s="20">
        <f t="shared" si="4"/>
        <v>919.80000000000007</v>
      </c>
      <c r="O13" s="20">
        <f t="shared" si="4"/>
        <v>11152.575000000001</v>
      </c>
    </row>
    <row r="14" spans="1:16" ht="14.4">
      <c r="A14" s="35" t="s">
        <v>140</v>
      </c>
      <c r="B14" s="20"/>
      <c r="C14" s="20">
        <f>C8*0.1</f>
        <v>1379.7</v>
      </c>
      <c r="D14" s="20">
        <f t="shared" ref="D14:O14" si="5">D8*0.1</f>
        <v>1379.7</v>
      </c>
      <c r="E14" s="20">
        <f t="shared" si="5"/>
        <v>2299.5</v>
      </c>
      <c r="F14" s="20">
        <f t="shared" si="5"/>
        <v>2759.4</v>
      </c>
      <c r="G14" s="20">
        <f t="shared" si="5"/>
        <v>2299.5</v>
      </c>
      <c r="H14" s="20">
        <f t="shared" si="5"/>
        <v>2299.5</v>
      </c>
      <c r="I14" s="20">
        <f t="shared" si="5"/>
        <v>2069.5500000000002</v>
      </c>
      <c r="J14" s="20">
        <f t="shared" si="5"/>
        <v>3679.2000000000003</v>
      </c>
      <c r="K14" s="20">
        <f t="shared" si="5"/>
        <v>2299.5</v>
      </c>
      <c r="L14" s="20">
        <f t="shared" si="5"/>
        <v>2299.5</v>
      </c>
      <c r="M14" s="20">
        <f t="shared" si="5"/>
        <v>1839.6000000000001</v>
      </c>
      <c r="N14" s="20">
        <f t="shared" si="5"/>
        <v>1839.6000000000001</v>
      </c>
      <c r="O14" s="20">
        <f t="shared" si="5"/>
        <v>22305.15</v>
      </c>
    </row>
    <row r="15" spans="1:16" ht="25.05" customHeight="1">
      <c r="A15" s="36" t="s">
        <v>141</v>
      </c>
      <c r="B15" s="20"/>
      <c r="C15" s="20">
        <f>C8*0.1</f>
        <v>1379.7</v>
      </c>
      <c r="D15" s="20">
        <f t="shared" ref="D15:O15" si="6">D8*0.1</f>
        <v>1379.7</v>
      </c>
      <c r="E15" s="20">
        <f t="shared" si="6"/>
        <v>2299.5</v>
      </c>
      <c r="F15" s="20">
        <f t="shared" si="6"/>
        <v>2759.4</v>
      </c>
      <c r="G15" s="20">
        <f t="shared" si="6"/>
        <v>2299.5</v>
      </c>
      <c r="H15" s="20">
        <f t="shared" si="6"/>
        <v>2299.5</v>
      </c>
      <c r="I15" s="20">
        <f t="shared" si="6"/>
        <v>2069.5500000000002</v>
      </c>
      <c r="J15" s="20">
        <f t="shared" si="6"/>
        <v>3679.2000000000003</v>
      </c>
      <c r="K15" s="20">
        <f t="shared" si="6"/>
        <v>2299.5</v>
      </c>
      <c r="L15" s="20">
        <f t="shared" si="6"/>
        <v>2299.5</v>
      </c>
      <c r="M15" s="20">
        <f t="shared" si="6"/>
        <v>1839.6000000000001</v>
      </c>
      <c r="N15" s="20">
        <f t="shared" si="6"/>
        <v>1839.6000000000001</v>
      </c>
      <c r="O15" s="20">
        <f t="shared" si="6"/>
        <v>22305.15</v>
      </c>
    </row>
    <row r="16" spans="1:16" ht="14.4">
      <c r="A16" s="37" t="s">
        <v>142</v>
      </c>
      <c r="C16">
        <f>1.5*C6</f>
        <v>450</v>
      </c>
      <c r="D16">
        <f t="shared" ref="D16:O16" si="7">1.5*D6</f>
        <v>450</v>
      </c>
      <c r="E16">
        <f t="shared" si="7"/>
        <v>750</v>
      </c>
      <c r="F16">
        <f t="shared" si="7"/>
        <v>900</v>
      </c>
      <c r="G16">
        <f t="shared" si="7"/>
        <v>750</v>
      </c>
      <c r="H16">
        <f t="shared" si="7"/>
        <v>750</v>
      </c>
      <c r="I16">
        <f t="shared" si="7"/>
        <v>675</v>
      </c>
      <c r="J16">
        <f t="shared" si="7"/>
        <v>1200</v>
      </c>
      <c r="K16">
        <f t="shared" si="7"/>
        <v>750</v>
      </c>
      <c r="L16">
        <f t="shared" si="7"/>
        <v>750</v>
      </c>
      <c r="M16">
        <f t="shared" si="7"/>
        <v>600</v>
      </c>
      <c r="N16">
        <f t="shared" si="7"/>
        <v>600</v>
      </c>
      <c r="O16">
        <f t="shared" si="7"/>
        <v>7275</v>
      </c>
    </row>
    <row r="17" spans="1:15" ht="14.4">
      <c r="A17" s="38" t="s">
        <v>143</v>
      </c>
      <c r="B17" s="20"/>
      <c r="C17" s="20">
        <v>50</v>
      </c>
      <c r="D17" s="20">
        <v>50</v>
      </c>
      <c r="E17" s="20">
        <v>50</v>
      </c>
      <c r="F17" s="20">
        <v>75</v>
      </c>
      <c r="G17" s="20">
        <v>25</v>
      </c>
      <c r="H17" s="20">
        <v>50</v>
      </c>
      <c r="I17" s="20">
        <v>50</v>
      </c>
      <c r="J17" s="20">
        <v>150</v>
      </c>
      <c r="K17" s="20">
        <v>150</v>
      </c>
      <c r="L17" s="20">
        <v>50</v>
      </c>
      <c r="M17" s="20">
        <v>50</v>
      </c>
      <c r="N17" s="20">
        <v>50</v>
      </c>
      <c r="O17" s="20">
        <f t="shared" ref="O17:O19" si="8">SUM(C17:N17)</f>
        <v>800</v>
      </c>
    </row>
    <row r="18" spans="1:15" ht="14.4">
      <c r="A18" s="38" t="s">
        <v>144</v>
      </c>
      <c r="B18" s="20"/>
      <c r="C18" s="20"/>
      <c r="D18" s="20"/>
      <c r="E18" s="20">
        <v>100</v>
      </c>
      <c r="F18" s="20"/>
      <c r="G18" s="20"/>
      <c r="H18" s="20"/>
      <c r="I18" s="20">
        <v>100</v>
      </c>
      <c r="J18" s="20"/>
      <c r="K18" s="20"/>
      <c r="L18" s="20"/>
      <c r="M18" s="20"/>
      <c r="N18" s="20"/>
      <c r="O18" s="20">
        <f t="shared" si="8"/>
        <v>200</v>
      </c>
    </row>
    <row r="19" spans="1:15" ht="14.4">
      <c r="A19" s="35" t="s">
        <v>145</v>
      </c>
      <c r="B19" s="20"/>
      <c r="C19" s="20">
        <v>100</v>
      </c>
      <c r="D19" s="20">
        <v>100</v>
      </c>
      <c r="E19" s="20">
        <v>100</v>
      </c>
      <c r="F19" s="20">
        <v>100</v>
      </c>
      <c r="G19" s="20">
        <v>100</v>
      </c>
      <c r="H19" s="20">
        <v>100</v>
      </c>
      <c r="I19" s="20">
        <v>100</v>
      </c>
      <c r="J19" s="20">
        <v>100</v>
      </c>
      <c r="K19" s="20">
        <v>100</v>
      </c>
      <c r="L19" s="20">
        <v>100</v>
      </c>
      <c r="M19" s="20">
        <v>100</v>
      </c>
      <c r="N19" s="20">
        <v>100</v>
      </c>
      <c r="O19" s="20">
        <f t="shared" si="8"/>
        <v>1200</v>
      </c>
    </row>
    <row r="20" spans="1:15" ht="14.4">
      <c r="A20" s="35" t="s">
        <v>146</v>
      </c>
    </row>
    <row r="21" spans="1:15" ht="14.4">
      <c r="A21" s="37" t="s">
        <v>147</v>
      </c>
      <c r="C21">
        <f>C8-C11-C12-C13-C14-C15-C16-C17-C18-C19-C10-C20</f>
        <v>1927.1999999999998</v>
      </c>
      <c r="D21">
        <f t="shared" ref="D21:O21" si="9">D8-D11-D12-D13-D14-D15-D16-D17-D18-D19-D10-D20</f>
        <v>1927.1999999999998</v>
      </c>
      <c r="E21">
        <f t="shared" si="9"/>
        <v>3212</v>
      </c>
      <c r="F21">
        <f t="shared" si="9"/>
        <v>3979.3999999999996</v>
      </c>
      <c r="G21">
        <f t="shared" si="9"/>
        <v>3337</v>
      </c>
      <c r="H21">
        <f t="shared" si="9"/>
        <v>3312</v>
      </c>
      <c r="I21">
        <f t="shared" si="9"/>
        <v>2865.7999999999993</v>
      </c>
      <c r="J21">
        <f t="shared" si="9"/>
        <v>5289.2000000000007</v>
      </c>
      <c r="K21">
        <f t="shared" si="9"/>
        <v>3212</v>
      </c>
      <c r="L21">
        <f t="shared" si="9"/>
        <v>3312</v>
      </c>
      <c r="M21">
        <f t="shared" si="9"/>
        <v>2619.6000000000004</v>
      </c>
      <c r="N21">
        <f t="shared" si="9"/>
        <v>2619.6000000000004</v>
      </c>
      <c r="O21">
        <f t="shared" si="9"/>
        <v>31381.399999999994</v>
      </c>
    </row>
    <row r="22" spans="1:15">
      <c r="A22" s="83" t="s">
        <v>148</v>
      </c>
      <c r="B22" s="84"/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</row>
    <row r="23" spans="1:15">
      <c r="A23" s="84"/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</row>
    <row r="24" spans="1:15">
      <c r="A24" s="84"/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</row>
    <row r="25" spans="1:15">
      <c r="A25" s="84"/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</row>
    <row r="26" spans="1:15">
      <c r="A26" s="84"/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</row>
    <row r="27" spans="1:15">
      <c r="A27" s="84"/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</row>
    <row r="28" spans="1:15">
      <c r="A28" s="84"/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</row>
    <row r="29" spans="1:15">
      <c r="A29" s="84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</row>
    <row r="30" spans="1:15">
      <c r="A30" s="84"/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</row>
    <row r="31" spans="1:15">
      <c r="A31" s="84"/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</row>
    <row r="32" spans="1:15">
      <c r="A32" s="84"/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</row>
    <row r="33" spans="1:13">
      <c r="A33" s="84"/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</row>
    <row r="34" spans="1:13">
      <c r="A34" s="84"/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</row>
    <row r="35" spans="1:13">
      <c r="A35" s="85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</row>
  </sheetData>
  <mergeCells count="2">
    <mergeCell ref="E1:L3"/>
    <mergeCell ref="A22:M35"/>
  </mergeCells>
  <phoneticPr fontId="27" type="noConversion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6:U42"/>
  <sheetViews>
    <sheetView topLeftCell="D19" zoomScale="85" zoomScaleNormal="85" zoomScalePageLayoutView="85" workbookViewId="0">
      <selection activeCell="G29" sqref="G29:S42"/>
    </sheetView>
  </sheetViews>
  <sheetFormatPr defaultColWidth="9" defaultRowHeight="13.8"/>
  <cols>
    <col min="6" max="6" width="21" customWidth="1"/>
    <col min="22" max="22" width="10.5" customWidth="1"/>
  </cols>
  <sheetData>
    <row r="6" spans="6:21">
      <c r="F6" s="17"/>
      <c r="G6" s="18"/>
      <c r="H6" s="18"/>
      <c r="I6" s="18"/>
      <c r="J6" s="80" t="s">
        <v>149</v>
      </c>
      <c r="K6" s="81"/>
      <c r="L6" s="81"/>
      <c r="M6" s="81"/>
      <c r="N6" s="81"/>
      <c r="O6" s="81"/>
      <c r="P6" s="81"/>
      <c r="Q6" s="81"/>
      <c r="R6" s="18"/>
      <c r="S6" s="18"/>
      <c r="T6" s="18"/>
      <c r="U6" s="27"/>
    </row>
    <row r="7" spans="6:21">
      <c r="F7" s="19"/>
      <c r="G7" s="20"/>
      <c r="H7" s="20"/>
      <c r="I7" s="20"/>
      <c r="J7" s="82"/>
      <c r="K7" s="82"/>
      <c r="L7" s="82"/>
      <c r="M7" s="82"/>
      <c r="N7" s="82"/>
      <c r="O7" s="82"/>
      <c r="P7" s="82"/>
      <c r="Q7" s="82"/>
      <c r="R7" s="20"/>
      <c r="S7" s="20"/>
      <c r="T7" s="20"/>
      <c r="U7" s="28"/>
    </row>
    <row r="8" spans="6:21">
      <c r="F8" s="19"/>
      <c r="G8" s="20"/>
      <c r="H8" s="20"/>
      <c r="I8" s="20"/>
      <c r="J8" s="82"/>
      <c r="K8" s="82"/>
      <c r="L8" s="82"/>
      <c r="M8" s="82"/>
      <c r="N8" s="82"/>
      <c r="O8" s="82"/>
      <c r="P8" s="82"/>
      <c r="Q8" s="82"/>
      <c r="R8" s="20"/>
      <c r="S8" s="20"/>
      <c r="T8" s="20"/>
      <c r="U8" s="28"/>
    </row>
    <row r="9" spans="6:21">
      <c r="F9" s="19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8"/>
    </row>
    <row r="10" spans="6:21" ht="19.5" customHeight="1">
      <c r="F10" s="21" t="s">
        <v>119</v>
      </c>
      <c r="G10" s="22" t="s">
        <v>48</v>
      </c>
      <c r="H10" s="23" t="s">
        <v>120</v>
      </c>
      <c r="I10" s="23" t="s">
        <v>121</v>
      </c>
      <c r="J10" s="23" t="s">
        <v>122</v>
      </c>
      <c r="K10" s="23" t="s">
        <v>123</v>
      </c>
      <c r="L10" s="23" t="s">
        <v>124</v>
      </c>
      <c r="M10" s="23" t="s">
        <v>125</v>
      </c>
      <c r="N10" s="23" t="s">
        <v>126</v>
      </c>
      <c r="O10" s="23" t="s">
        <v>127</v>
      </c>
      <c r="P10" s="23" t="s">
        <v>128</v>
      </c>
      <c r="Q10" s="23" t="s">
        <v>129</v>
      </c>
      <c r="R10" s="23" t="s">
        <v>130</v>
      </c>
      <c r="S10" s="23" t="s">
        <v>131</v>
      </c>
      <c r="T10" s="22" t="s">
        <v>132</v>
      </c>
      <c r="U10" s="28"/>
    </row>
    <row r="11" spans="6:21" ht="19.5" customHeight="1">
      <c r="F11" s="19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8"/>
    </row>
    <row r="12" spans="6:21" ht="19.5" customHeight="1">
      <c r="F12" s="24" t="s">
        <v>133</v>
      </c>
      <c r="G12" s="20"/>
      <c r="H12" s="20">
        <v>300</v>
      </c>
      <c r="I12" s="20">
        <v>300</v>
      </c>
      <c r="J12" s="20">
        <v>500</v>
      </c>
      <c r="K12" s="20">
        <v>600</v>
      </c>
      <c r="L12" s="20">
        <v>500</v>
      </c>
      <c r="M12" s="20">
        <v>500</v>
      </c>
      <c r="N12" s="20">
        <v>450</v>
      </c>
      <c r="O12" s="20">
        <v>800</v>
      </c>
      <c r="P12" s="20">
        <v>500</v>
      </c>
      <c r="Q12" s="20">
        <v>500</v>
      </c>
      <c r="R12" s="20">
        <v>400</v>
      </c>
      <c r="S12" s="20">
        <v>400</v>
      </c>
      <c r="T12" s="20">
        <v>4850</v>
      </c>
      <c r="U12" s="28"/>
    </row>
    <row r="13" spans="6:21" ht="8.25" customHeight="1">
      <c r="F13" s="25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8"/>
    </row>
    <row r="14" spans="6:21" ht="19.5" customHeight="1">
      <c r="F14" s="24" t="s">
        <v>135</v>
      </c>
      <c r="G14" s="20"/>
      <c r="H14" s="20">
        <f>H12*45.99</f>
        <v>13797</v>
      </c>
      <c r="I14" s="20">
        <f t="shared" ref="I14:S14" si="0">I12*45.99</f>
        <v>13797</v>
      </c>
      <c r="J14" s="20">
        <f t="shared" si="0"/>
        <v>22995</v>
      </c>
      <c r="K14" s="20">
        <f t="shared" si="0"/>
        <v>27594</v>
      </c>
      <c r="L14" s="20">
        <f t="shared" si="0"/>
        <v>22995</v>
      </c>
      <c r="M14" s="20">
        <f t="shared" si="0"/>
        <v>22995</v>
      </c>
      <c r="N14" s="20">
        <f t="shared" si="0"/>
        <v>20695.5</v>
      </c>
      <c r="O14" s="20">
        <f t="shared" si="0"/>
        <v>36792</v>
      </c>
      <c r="P14" s="20">
        <f t="shared" si="0"/>
        <v>22995</v>
      </c>
      <c r="Q14" s="20">
        <f t="shared" si="0"/>
        <v>22995</v>
      </c>
      <c r="R14" s="20">
        <f t="shared" si="0"/>
        <v>18396</v>
      </c>
      <c r="S14" s="20">
        <f t="shared" si="0"/>
        <v>18396</v>
      </c>
      <c r="T14" s="20">
        <f>SUM(H14:S14)</f>
        <v>264442.5</v>
      </c>
      <c r="U14" s="28"/>
    </row>
    <row r="15" spans="6:21" ht="9" customHeight="1">
      <c r="F15" s="25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8"/>
    </row>
    <row r="16" spans="6:21" ht="19.5" customHeight="1">
      <c r="F16" s="24" t="s">
        <v>139</v>
      </c>
      <c r="G16" s="20"/>
      <c r="H16" s="20">
        <f>H14*0.05</f>
        <v>689.85</v>
      </c>
      <c r="I16" s="20">
        <f t="shared" ref="I16:S16" si="1">I14*0.05</f>
        <v>689.85</v>
      </c>
      <c r="J16" s="20">
        <f t="shared" si="1"/>
        <v>1149.75</v>
      </c>
      <c r="K16" s="20">
        <f t="shared" si="1"/>
        <v>1379.7</v>
      </c>
      <c r="L16" s="20">
        <f t="shared" si="1"/>
        <v>1149.75</v>
      </c>
      <c r="M16" s="20">
        <f t="shared" si="1"/>
        <v>1149.75</v>
      </c>
      <c r="N16" s="20">
        <f t="shared" si="1"/>
        <v>1034.7750000000001</v>
      </c>
      <c r="O16" s="20">
        <f t="shared" si="1"/>
        <v>1839.6000000000001</v>
      </c>
      <c r="P16" s="20">
        <f t="shared" si="1"/>
        <v>1149.75</v>
      </c>
      <c r="Q16" s="20">
        <f t="shared" si="1"/>
        <v>1149.75</v>
      </c>
      <c r="R16" s="20">
        <f t="shared" si="1"/>
        <v>919.80000000000007</v>
      </c>
      <c r="S16" s="20">
        <f t="shared" si="1"/>
        <v>919.80000000000007</v>
      </c>
      <c r="T16" s="20">
        <f t="shared" ref="T16" si="2">SUM(H16:S16)</f>
        <v>13222.124999999998</v>
      </c>
      <c r="U16" s="28"/>
    </row>
    <row r="17" spans="6:21" ht="9.75" customHeight="1">
      <c r="F17" s="25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8"/>
    </row>
    <row r="18" spans="6:21" ht="19.5" customHeight="1">
      <c r="F18" s="24" t="s">
        <v>140</v>
      </c>
      <c r="G18" s="20"/>
      <c r="H18" s="20">
        <f>H14*0.1</f>
        <v>1379.7</v>
      </c>
      <c r="I18" s="20">
        <f t="shared" ref="I18:S18" si="3">I14*0.1</f>
        <v>1379.7</v>
      </c>
      <c r="J18" s="20">
        <f t="shared" si="3"/>
        <v>2299.5</v>
      </c>
      <c r="K18" s="20">
        <f t="shared" si="3"/>
        <v>2759.4</v>
      </c>
      <c r="L18" s="20">
        <f t="shared" si="3"/>
        <v>2299.5</v>
      </c>
      <c r="M18" s="20">
        <f t="shared" si="3"/>
        <v>2299.5</v>
      </c>
      <c r="N18" s="20">
        <f t="shared" si="3"/>
        <v>2069.5500000000002</v>
      </c>
      <c r="O18" s="20">
        <f t="shared" si="3"/>
        <v>3679.2000000000003</v>
      </c>
      <c r="P18" s="20">
        <f t="shared" si="3"/>
        <v>2299.5</v>
      </c>
      <c r="Q18" s="20">
        <f t="shared" si="3"/>
        <v>2299.5</v>
      </c>
      <c r="R18" s="20">
        <f t="shared" si="3"/>
        <v>1839.6000000000001</v>
      </c>
      <c r="S18" s="20">
        <f t="shared" si="3"/>
        <v>1839.6000000000001</v>
      </c>
      <c r="T18" s="20">
        <f>SUM(H18:S18)</f>
        <v>26444.249999999996</v>
      </c>
      <c r="U18" s="28"/>
    </row>
    <row r="19" spans="6:21" ht="11.25" customHeight="1">
      <c r="F19" s="25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8"/>
    </row>
    <row r="20" spans="6:21" ht="19.5" customHeight="1">
      <c r="F20" s="24" t="s">
        <v>150</v>
      </c>
      <c r="G20" s="20"/>
      <c r="H20" s="20">
        <f>H14*0.1</f>
        <v>1379.7</v>
      </c>
      <c r="I20" s="20">
        <f>I14*0.1</f>
        <v>1379.7</v>
      </c>
      <c r="J20" s="20">
        <f>J14*0.05</f>
        <v>1149.75</v>
      </c>
      <c r="K20" s="20">
        <f t="shared" ref="K20:S20" si="4">K14*0.05</f>
        <v>1379.7</v>
      </c>
      <c r="L20" s="20">
        <f t="shared" si="4"/>
        <v>1149.75</v>
      </c>
      <c r="M20" s="20">
        <f t="shared" si="4"/>
        <v>1149.75</v>
      </c>
      <c r="N20" s="20">
        <f t="shared" si="4"/>
        <v>1034.7750000000001</v>
      </c>
      <c r="O20" s="20">
        <f t="shared" si="4"/>
        <v>1839.6000000000001</v>
      </c>
      <c r="P20" s="20">
        <f t="shared" si="4"/>
        <v>1149.75</v>
      </c>
      <c r="Q20" s="20">
        <f t="shared" si="4"/>
        <v>1149.75</v>
      </c>
      <c r="R20" s="20">
        <f t="shared" si="4"/>
        <v>919.80000000000007</v>
      </c>
      <c r="S20" s="20">
        <f t="shared" si="4"/>
        <v>919.80000000000007</v>
      </c>
      <c r="T20" s="20">
        <f>SUM(H20:S20)</f>
        <v>14601.824999999999</v>
      </c>
      <c r="U20" s="28"/>
    </row>
    <row r="21" spans="6:21" ht="8.25" customHeight="1">
      <c r="F21" s="25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8"/>
    </row>
    <row r="22" spans="6:21" ht="19.5" customHeight="1">
      <c r="F22" s="25" t="s">
        <v>143</v>
      </c>
      <c r="G22" s="20"/>
      <c r="H22" s="20">
        <v>50</v>
      </c>
      <c r="I22" s="20">
        <v>50</v>
      </c>
      <c r="J22" s="20">
        <v>50</v>
      </c>
      <c r="K22" s="20">
        <v>75</v>
      </c>
      <c r="L22" s="20">
        <v>25</v>
      </c>
      <c r="M22" s="20">
        <v>50</v>
      </c>
      <c r="N22" s="20">
        <v>50</v>
      </c>
      <c r="O22" s="20">
        <v>150</v>
      </c>
      <c r="P22" s="20">
        <v>150</v>
      </c>
      <c r="Q22" s="20">
        <v>50</v>
      </c>
      <c r="R22" s="20">
        <v>50</v>
      </c>
      <c r="S22" s="20">
        <v>50</v>
      </c>
      <c r="T22" s="20">
        <f>SUM(H22:S22)</f>
        <v>800</v>
      </c>
      <c r="U22" s="28"/>
    </row>
    <row r="23" spans="6:21" ht="8.25" customHeight="1">
      <c r="F23" s="25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8"/>
    </row>
    <row r="24" spans="6:21" ht="19.5" customHeight="1">
      <c r="F24" s="25" t="s">
        <v>144</v>
      </c>
      <c r="G24" s="20"/>
      <c r="H24" s="20"/>
      <c r="I24" s="20"/>
      <c r="J24" s="20">
        <v>100</v>
      </c>
      <c r="K24" s="20"/>
      <c r="L24" s="20"/>
      <c r="M24" s="20"/>
      <c r="N24" s="20">
        <v>100</v>
      </c>
      <c r="O24" s="20"/>
      <c r="P24" s="20"/>
      <c r="Q24" s="20"/>
      <c r="R24" s="20"/>
      <c r="S24" s="20"/>
      <c r="T24" s="20">
        <f>SUM(H24:S24)</f>
        <v>200</v>
      </c>
      <c r="U24" s="28"/>
    </row>
    <row r="25" spans="6:21" ht="9.75" customHeight="1">
      <c r="F25" s="25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8"/>
    </row>
    <row r="26" spans="6:21" ht="19.5" customHeight="1">
      <c r="F26" s="24" t="s">
        <v>145</v>
      </c>
      <c r="G26" s="20"/>
      <c r="H26" s="20">
        <v>100</v>
      </c>
      <c r="I26" s="20">
        <v>100</v>
      </c>
      <c r="J26" s="20">
        <v>100</v>
      </c>
      <c r="K26" s="20">
        <v>100</v>
      </c>
      <c r="L26" s="20">
        <v>100</v>
      </c>
      <c r="M26" s="20">
        <v>100</v>
      </c>
      <c r="N26" s="20">
        <v>100</v>
      </c>
      <c r="O26" s="20">
        <v>100</v>
      </c>
      <c r="P26" s="20">
        <v>100</v>
      </c>
      <c r="Q26" s="20">
        <v>100</v>
      </c>
      <c r="R26" s="20">
        <v>100</v>
      </c>
      <c r="S26" s="20">
        <v>100</v>
      </c>
      <c r="T26" s="20">
        <f>SUM(H26:S26)</f>
        <v>1200</v>
      </c>
      <c r="U26" s="28"/>
    </row>
    <row r="27" spans="6:21" ht="19.5" customHeight="1">
      <c r="F27" s="24" t="s">
        <v>146</v>
      </c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8"/>
    </row>
    <row r="28" spans="6:21" ht="9.75" customHeight="1">
      <c r="F28" s="25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8"/>
    </row>
    <row r="29" spans="6:21" ht="14.4">
      <c r="F29" s="24" t="s">
        <v>151</v>
      </c>
      <c r="G29" s="83" t="s">
        <v>152</v>
      </c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20"/>
      <c r="U29" s="28"/>
    </row>
    <row r="30" spans="6:21">
      <c r="F30" s="19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20"/>
      <c r="U30" s="28"/>
    </row>
    <row r="31" spans="6:21">
      <c r="F31" s="19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20"/>
      <c r="U31" s="28"/>
    </row>
    <row r="32" spans="6:21">
      <c r="F32" s="19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20"/>
      <c r="U32" s="28"/>
    </row>
    <row r="33" spans="6:21">
      <c r="F33" s="19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20"/>
      <c r="U33" s="28"/>
    </row>
    <row r="34" spans="6:21">
      <c r="F34" s="19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20"/>
      <c r="U34" s="28"/>
    </row>
    <row r="35" spans="6:21">
      <c r="F35" s="19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20"/>
      <c r="U35" s="28"/>
    </row>
    <row r="36" spans="6:21">
      <c r="F36" s="19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20"/>
      <c r="U36" s="28"/>
    </row>
    <row r="37" spans="6:21">
      <c r="F37" s="19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20"/>
      <c r="U37" s="28"/>
    </row>
    <row r="38" spans="6:21">
      <c r="F38" s="19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20"/>
      <c r="U38" s="28"/>
    </row>
    <row r="39" spans="6:21">
      <c r="F39" s="19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20"/>
      <c r="U39" s="28"/>
    </row>
    <row r="40" spans="6:21">
      <c r="F40" s="19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20"/>
      <c r="U40" s="28"/>
    </row>
    <row r="41" spans="6:21">
      <c r="F41" s="19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20"/>
      <c r="U41" s="28"/>
    </row>
    <row r="42" spans="6:21">
      <c r="F42" s="26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29"/>
      <c r="U42" s="30"/>
    </row>
  </sheetData>
  <mergeCells count="2">
    <mergeCell ref="J6:Q8"/>
    <mergeCell ref="G29:S42"/>
  </mergeCells>
  <phoneticPr fontId="27" type="noConversion"/>
  <pageMargins left="0.69930555555555596" right="0.69930555555555596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4"/>
  <sheetViews>
    <sheetView workbookViewId="0">
      <selection activeCell="L4" sqref="L4"/>
    </sheetView>
  </sheetViews>
  <sheetFormatPr defaultColWidth="9" defaultRowHeight="13.8"/>
  <cols>
    <col min="1" max="1" width="13.19921875" customWidth="1"/>
    <col min="5" max="5" width="9" style="1"/>
    <col min="7" max="7" width="9" style="2"/>
    <col min="10" max="10" width="9" style="1"/>
    <col min="12" max="12" width="9" style="3"/>
  </cols>
  <sheetData>
    <row r="1" spans="1:18" ht="33.6">
      <c r="A1" s="86"/>
      <c r="B1" s="86"/>
      <c r="C1" s="86"/>
      <c r="D1" s="87"/>
      <c r="E1" s="88"/>
      <c r="F1" s="86"/>
      <c r="G1" s="86"/>
      <c r="H1" s="86"/>
      <c r="I1" s="89"/>
      <c r="J1" s="90"/>
      <c r="K1" s="86"/>
      <c r="L1" s="91"/>
      <c r="M1" s="11" t="s">
        <v>153</v>
      </c>
      <c r="N1" s="12">
        <v>8.7235999999999994</v>
      </c>
      <c r="O1" s="12">
        <v>7.5506000000000002</v>
      </c>
      <c r="P1" s="12"/>
      <c r="Q1" s="12"/>
      <c r="R1" s="12"/>
    </row>
    <row r="2" spans="1:18" ht="29.4">
      <c r="A2" s="4" t="s">
        <v>154</v>
      </c>
      <c r="B2" s="5" t="s">
        <v>155</v>
      </c>
      <c r="C2" s="4" t="s">
        <v>156</v>
      </c>
      <c r="D2" s="6" t="s">
        <v>157</v>
      </c>
      <c r="E2" s="7" t="s">
        <v>158</v>
      </c>
      <c r="F2" s="4" t="s">
        <v>159</v>
      </c>
      <c r="G2" s="8" t="s">
        <v>160</v>
      </c>
      <c r="H2" s="4" t="s">
        <v>161</v>
      </c>
      <c r="I2" s="13" t="s">
        <v>162</v>
      </c>
      <c r="J2" s="14" t="s">
        <v>163</v>
      </c>
      <c r="K2" s="4" t="s">
        <v>164</v>
      </c>
      <c r="L2" s="15" t="s">
        <v>165</v>
      </c>
      <c r="M2" s="16"/>
      <c r="N2" s="16"/>
      <c r="O2" s="16"/>
      <c r="P2" s="16"/>
      <c r="Q2" s="16"/>
      <c r="R2" s="16"/>
    </row>
    <row r="3" spans="1:18" ht="30.75" customHeight="1">
      <c r="B3" s="9" t="s">
        <v>166</v>
      </c>
      <c r="C3">
        <v>45.99</v>
      </c>
      <c r="D3" s="10">
        <v>0.15</v>
      </c>
      <c r="E3" s="1">
        <f>D3*C3</f>
        <v>6.8985000000000003</v>
      </c>
      <c r="F3">
        <v>2.41</v>
      </c>
      <c r="G3" s="2">
        <f>G4*O1/N1</f>
        <v>1.982080104543996</v>
      </c>
      <c r="H3" s="1">
        <f>J3+E3+F3+G3</f>
        <v>30.548684556834335</v>
      </c>
      <c r="I3">
        <v>168</v>
      </c>
      <c r="J3" s="1">
        <f>I3/N1</f>
        <v>19.25810445229034</v>
      </c>
      <c r="K3" s="1">
        <f>C3-E3-F3-G3-J3</f>
        <v>15.441315443165664</v>
      </c>
      <c r="L3" s="3">
        <f>K3/C3</f>
        <v>0.33575376045152561</v>
      </c>
      <c r="M3">
        <f>K3*4850</f>
        <v>74890.379899353473</v>
      </c>
    </row>
    <row r="4" spans="1:18" ht="30.75" customHeight="1">
      <c r="B4" s="9" t="s">
        <v>167</v>
      </c>
      <c r="C4">
        <v>69.989999999999995</v>
      </c>
      <c r="D4" s="10">
        <v>0.15</v>
      </c>
      <c r="E4" s="1">
        <f>D4*C4</f>
        <v>10.498499999999998</v>
      </c>
      <c r="F4">
        <v>3.74</v>
      </c>
      <c r="G4" s="2">
        <v>2.29</v>
      </c>
      <c r="H4" s="1">
        <f>J4+E4+F4+G4</f>
        <v>38.778387426164805</v>
      </c>
      <c r="I4">
        <v>168</v>
      </c>
      <c r="J4" s="1">
        <f>I4/O1</f>
        <v>22.249887426164808</v>
      </c>
      <c r="K4" s="1">
        <f>C4-E4-F4-G4-J4</f>
        <v>31.211612573835186</v>
      </c>
      <c r="L4" s="3">
        <f>K4/C4</f>
        <v>0.44594388589563067</v>
      </c>
    </row>
  </sheetData>
  <mergeCells count="1">
    <mergeCell ref="A1:L1"/>
  </mergeCells>
  <phoneticPr fontId="27" type="noConversion"/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新品推广计划1</vt:lpstr>
      <vt:lpstr>新品推广计划2</vt:lpstr>
      <vt:lpstr>推广运营计划周报</vt:lpstr>
      <vt:lpstr>年度备货销售计划</vt:lpstr>
      <vt:lpstr>销售计划</vt:lpstr>
      <vt:lpstr>成本利润核算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2008-09-11T17:22:00Z</dcterms:created>
  <dcterms:modified xsi:type="dcterms:W3CDTF">2025-04-02T15:50:20Z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ubyTemplateID" linkTarget="0">
    <vt:lpwstr>14</vt:lpwstr>
  </property>
  <property fmtid="{D5CDD505-2E9C-101B-9397-08002B2CF9AE}" pid="3" name="KSOProductBuildVer">
    <vt:lpwstr>2052-11.1.0.11115</vt:lpwstr>
  </property>
  <property fmtid="{D5CDD505-2E9C-101B-9397-08002B2CF9AE}" pid="4" name="ICV">
    <vt:lpwstr>9BF80485B9FB4C8989EDF8CED3C80BB5</vt:lpwstr>
  </property>
</Properties>
</file>