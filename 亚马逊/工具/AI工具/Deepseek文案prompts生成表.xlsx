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文案生成"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A4" authorId="0">
      <text>
        <r>
          <rPr>
            <sz val="9"/>
            <rFont val="宋体"/>
            <charset val="134"/>
          </rPr>
          <t>必填，最好用该产品本土最核心关键词</t>
        </r>
      </text>
    </comment>
    <comment ref="C4" authorId="0">
      <text>
        <r>
          <rPr>
            <sz val="9"/>
            <rFont val="宋体"/>
            <charset val="134"/>
          </rPr>
          <t>选填, 建议输入本土核心词或长尾词</t>
        </r>
      </text>
    </comment>
    <comment ref="C5" authorId="0">
      <text>
        <r>
          <rPr>
            <sz val="9"/>
            <rFont val="宋体"/>
            <charset val="134"/>
          </rPr>
          <t xml:space="preserve">选填，五行和描述是否在开头加入Emoji符号
</t>
        </r>
      </text>
    </comment>
    <comment ref="A6" authorId="0">
      <text>
        <r>
          <rPr>
            <sz val="9"/>
            <rFont val="宋体"/>
            <charset val="134"/>
          </rPr>
          <t>必填，产品形状、尺寸、颜色、功能、卖点等，用逗号隔开</t>
        </r>
      </text>
    </comment>
    <comment ref="A7" authorId="0">
      <text>
        <r>
          <rPr>
            <sz val="9"/>
            <rFont val="宋体"/>
            <charset val="134"/>
          </rPr>
          <t xml:space="preserve">选填，一条优秀的竞品标题
</t>
        </r>
      </text>
    </comment>
    <comment ref="A8" authorId="0">
      <text>
        <r>
          <rPr>
            <sz val="9"/>
            <rFont val="宋体"/>
            <charset val="134"/>
          </rPr>
          <t xml:space="preserve">选填，一条优秀的竞品五行
</t>
        </r>
      </text>
    </comment>
    <comment ref="A9" authorId="0">
      <text>
        <r>
          <rPr>
            <sz val="9"/>
            <rFont val="宋体"/>
            <charset val="134"/>
          </rPr>
          <t xml:space="preserve">选填，一条优秀的竞品描述
</t>
        </r>
      </text>
    </comment>
  </commentList>
</comments>
</file>

<file path=xl/sharedStrings.xml><?xml version="1.0" encoding="utf-8"?>
<sst xmlns="http://schemas.openxmlformats.org/spreadsheetml/2006/main" count="27" uniqueCount="24">
  <si>
    <t>文案生成与优化</t>
  </si>
  <si>
    <t>SB/SD标题</t>
  </si>
  <si>
    <t>POST文案</t>
  </si>
  <si>
    <t>文案打分</t>
  </si>
  <si>
    <t>标题优化</t>
  </si>
  <si>
    <t>标题撰写</t>
  </si>
  <si>
    <t>五行优化</t>
  </si>
  <si>
    <t>五行撰写</t>
  </si>
  <si>
    <t>描述优化</t>
  </si>
  <si>
    <t>描述撰写</t>
  </si>
  <si>
    <t>*任务类型</t>
  </si>
  <si>
    <t>📖标题优化</t>
  </si>
  <si>
    <t>*销售站点</t>
  </si>
  <si>
    <t>🇺🇸美国</t>
  </si>
  <si>
    <t>portable power station</t>
  </si>
  <si>
    <t>portable power station, solar generator, power generator, outdoor generator, electric generator</t>
  </si>
  <si>
    <t>Anker</t>
  </si>
  <si>
    <t>加入</t>
  </si>
  <si>
    <t>550Wh, 1000W, 4个小时快速充电，带LED灯光</t>
  </si>
  <si>
    <t>AKN889</t>
  </si>
  <si>
    <t>Jackery Portable Power Station Explorer 300, 293Wh Backup Lithium Battery, 110V/300W Pure Sine Wave AC Outlet, Solar Generator (Solar Panel Not Included) for Outdoors Camping Travel Hunting Blackout</t>
  </si>
  <si>
    <t>[Tiny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t>
  </si>
  <si>
    <t>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t>
  </si>
  <si>
    <t>》》在出现的文字处填入相应内容，带*号是必填《《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</si>
</sst>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indexed="8"/>
      <name val="Helvetica Neue"/>
      <charset val="134"/>
    </font>
    <font>
      <b/>
      <sz val="11"/>
      <color rgb="FF000000"/>
      <name val="宋体"/>
      <charset val="134"/>
    </font>
    <font>
      <sz val="11"/>
      <color rgb="FF000000"/>
      <name val="宋体"/>
      <charset val="134"/>
    </font>
    <font>
      <b/>
      <sz val="11"/>
      <name val="宋体"/>
      <charset val="134"/>
    </font>
    <font>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8">
    <fill>
      <patternFill patternType="none"/>
    </fill>
    <fill>
      <patternFill patternType="gray125"/>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7"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8" borderId="6" applyNumberFormat="0" applyAlignment="0" applyProtection="0">
      <alignment vertical="center"/>
    </xf>
    <xf numFmtId="0" fontId="15" fillId="9" borderId="7" applyNumberFormat="0" applyAlignment="0" applyProtection="0">
      <alignment vertical="center"/>
    </xf>
    <xf numFmtId="0" fontId="16" fillId="9" borderId="6" applyNumberFormat="0" applyAlignment="0" applyProtection="0">
      <alignment vertical="center"/>
    </xf>
    <xf numFmtId="0" fontId="17" fillId="10"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7">
    <xf numFmtId="0" fontId="0" fillId="0" borderId="0" xfId="0">
      <alignment vertical="top" wrapText="1"/>
    </xf>
    <xf numFmtId="0" fontId="1" fillId="0" borderId="0" xfId="0" applyNumberFormat="1" applyFont="1" applyFill="1" applyBorder="1" applyAlignment="1" applyProtection="1">
      <alignment vertical="center"/>
      <protection locked="0" hidden="1"/>
    </xf>
    <xf numFmtId="0" fontId="2" fillId="0" borderId="0" xfId="0" applyNumberFormat="1" applyFont="1" applyFill="1" applyBorder="1" applyAlignment="1" applyProtection="1">
      <alignment vertical="center"/>
      <protection locked="0" hidden="1"/>
    </xf>
    <xf numFmtId="0" fontId="2" fillId="0" borderId="0" xfId="0" applyNumberFormat="1" applyFont="1" applyFill="1" applyBorder="1" applyAlignment="1" applyProtection="1">
      <alignment vertical="center" wrapText="1"/>
      <protection locked="0" hidden="1"/>
    </xf>
    <xf numFmtId="0" fontId="1" fillId="2" borderId="0" xfId="0" applyNumberFormat="1" applyFont="1" applyFill="1" applyBorder="1" applyAlignment="1" applyProtection="1">
      <alignment horizontal="center" vertical="center"/>
      <protection locked="0" hidden="1"/>
    </xf>
    <xf numFmtId="0" fontId="1" fillId="3" borderId="1" xfId="0" applyNumberFormat="1" applyFont="1" applyFill="1" applyBorder="1" applyAlignment="1" applyProtection="1">
      <alignment horizontal="center" vertical="center" wrapText="1"/>
      <protection locked="0" hidden="1"/>
    </xf>
    <xf numFmtId="0" fontId="1" fillId="0" borderId="0" xfId="0" applyNumberFormat="1" applyFont="1" applyFill="1" applyBorder="1" applyAlignment="1" applyProtection="1">
      <alignment vertical="center" wrapText="1"/>
      <protection locked="0" hidden="1"/>
    </xf>
    <xf numFmtId="0" fontId="3" fillId="4" borderId="1" xfId="0" applyNumberFormat="1" applyFont="1" applyFill="1" applyBorder="1" applyAlignment="1" applyProtection="1">
      <alignment vertical="center"/>
      <protection locked="0" hidden="1"/>
    </xf>
    <xf numFmtId="0" fontId="2" fillId="5" borderId="1" xfId="0" applyNumberFormat="1" applyFont="1" applyFill="1" applyBorder="1" applyAlignment="1" applyProtection="1">
      <alignment vertical="center" wrapText="1"/>
      <protection locked="0" hidden="1"/>
    </xf>
    <xf numFmtId="0" fontId="1" fillId="4" borderId="1" xfId="0" applyNumberFormat="1" applyFont="1" applyFill="1" applyBorder="1" applyAlignment="1" applyProtection="1">
      <alignment vertical="center"/>
      <protection locked="0" hidden="1"/>
    </xf>
    <xf numFmtId="0" fontId="2" fillId="5" borderId="2" xfId="0" applyNumberFormat="1" applyFont="1" applyFill="1" applyBorder="1" applyAlignment="1" applyProtection="1">
      <alignment vertical="center" wrapText="1"/>
      <protection locked="0" hidden="1"/>
    </xf>
    <xf numFmtId="0" fontId="2" fillId="6" borderId="1" xfId="0" applyNumberFormat="1" applyFont="1" applyFill="1" applyBorder="1" applyAlignment="1" applyProtection="1">
      <alignment horizontal="left" vertical="top" wrapText="1"/>
      <protection hidden="1"/>
    </xf>
    <xf numFmtId="0" fontId="2" fillId="0" borderId="0" xfId="0" applyNumberFormat="1" applyFont="1" applyFill="1" applyBorder="1" applyAlignment="1" applyProtection="1">
      <alignment horizontal="left" vertical="top" wrapText="1"/>
      <protection locked="0" hidden="1"/>
    </xf>
    <xf numFmtId="0" fontId="1" fillId="5" borderId="1" xfId="0" applyNumberFormat="1" applyFont="1" applyFill="1" applyBorder="1" applyAlignment="1" applyProtection="1">
      <alignment vertical="center"/>
      <protection locked="0" hidden="1"/>
    </xf>
    <xf numFmtId="0" fontId="2" fillId="5" borderId="2" xfId="0" applyNumberFormat="1" applyFont="1" applyFill="1" applyBorder="1" applyAlignment="1" applyProtection="1">
      <alignment vertical="center"/>
      <protection locked="0" hidden="1"/>
    </xf>
    <xf numFmtId="0" fontId="4" fillId="0" borderId="0" xfId="0" applyNumberFormat="1" applyFont="1" applyFill="1" applyBorder="1" applyAlignment="1" applyProtection="1">
      <alignment horizontal="center" vertical="center"/>
      <protection locked="0" hidden="1"/>
    </xf>
    <xf numFmtId="0" fontId="2" fillId="0" borderId="0" xfId="0" applyNumberFormat="1" applyFont="1" applyFill="1" applyBorder="1" applyAlignment="1" applyProtection="1">
      <alignment horizontal="center" vertical="top"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tabSelected="1" workbookViewId="0">
      <selection activeCell="D13" sqref="D13"/>
    </sheetView>
  </sheetViews>
  <sheetFormatPr defaultColWidth="8.35238095238095" defaultRowHeight="13.5"/>
  <cols>
    <col min="1" max="1" width="13.3809523809524" style="2" customWidth="1"/>
    <col min="2" max="2" width="20.9809523809524" style="3" customWidth="1"/>
    <col min="3" max="4" width="20.9809523809524" style="2" customWidth="1"/>
    <col min="5" max="5" width="77.9714285714286" style="3" customWidth="1"/>
    <col min="6" max="7" width="45.2285714285714" style="3" customWidth="1"/>
    <col min="8" max="14" width="64.1333333333333" style="3" customWidth="1"/>
    <col min="15" max="15" width="8.57142857142857" style="2" customWidth="1"/>
    <col min="16" max="16384" width="8.57142857142857" style="2"/>
  </cols>
  <sheetData>
    <row r="1" s="1" customFormat="1" ht="31" customHeight="1" spans="1:14">
      <c r="A1" s="4" t="s">
        <v>0</v>
      </c>
      <c r="B1" s="4"/>
      <c r="C1" s="4"/>
      <c r="D1" s="4"/>
      <c r="E1" s="5" t="str">
        <f>B2&amp;"Prompts"</f>
        <v>📖标题优化Prompts</v>
      </c>
      <c r="F1" s="6" t="s">
        <v>1</v>
      </c>
      <c r="G1" s="6" t="s">
        <v>2</v>
      </c>
      <c r="H1" s="6" t="s">
        <v>3</v>
      </c>
      <c r="I1" s="6" t="s">
        <v>4</v>
      </c>
      <c r="J1" s="6" t="s">
        <v>5</v>
      </c>
      <c r="K1" s="6" t="s">
        <v>6</v>
      </c>
      <c r="L1" s="6" t="s">
        <v>7</v>
      </c>
      <c r="M1" s="6" t="s">
        <v>8</v>
      </c>
      <c r="N1" s="6" t="s">
        <v>9</v>
      </c>
    </row>
    <row r="2" s="2" customFormat="1" ht="31" customHeight="1" spans="1:14">
      <c r="A2" s="7" t="s">
        <v>10</v>
      </c>
      <c r="B2" s="8" t="s">
        <v>11</v>
      </c>
      <c r="C2" s="9" t="str">
        <f>IF(OR(B2="💯文案打分",B2="📖标题优化",B2="📖五行优化",B2="📖描述优化",),"","受众人群")</f>
        <v/>
      </c>
      <c r="D2" s="10"/>
      <c r="E2" s="11" t="str">
        <f>TRIM(IF(B2="✍️标题撰写",J2,IF(B2="✍️五行撰写",L2,IF(B2="✍️描述撰写",N2,IF(B2="💯文案打分",H2,IF(B2="📖标题优化",I2,IF(B2="📖五行优化",K2,IF(B2="📖描述优化",M2,IF(B2="📱亚马逊Post",G2,IF(B2="🌟SB/SD标题",F2,""))))))))))</f>
        <v>你是一名🇺🇸美国资深的亚马逊文案专家，你将为我优化本土化的，生动的，详细的优秀文案，能够打动消费者的购买欲，提升商品曝光率和转化率。这是我的标题:Jackery Portable Power Station Explorer 300, 293Wh Backup Lithium Battery, 110V/300W Pure Sine Wave AC Outlet, Solar Generator (Solar Panel Not Included) for Outdoors Camping Travel Hunting Blackout。根据以上信息,优化亚马逊标题,要求如下：1.字数不低于100字符，不超过200字符；2.用🇺🇸美国语输出标题；3.埋入以下关键词并加粗其字体:portable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F2" s="12" t="str">
        <f>"你是一名"&amp;B3&amp;"资深的亚马逊文案专家，用英文撰写 10 个亚马逊sponsered brand或sponsered display广告标题，字符不超过50个字符，关于"&amp;B4&amp;"，品牌为："&amp;B5&amp;"，埋入关键词："&amp;D4&amp;"，参数为"&amp;B6&amp;"，受众人群场景为"&amp;D2&amp;"，"&amp;D3&amp;"。，吸引人注意力，整个标题语言生动有感染力能激发消费者购买欲，用英文输出，并翻译为中文。"</f>
        <v>你是一名🇺🇸美国资深的亚马逊文案专家，用英文撰写 10 个亚马逊sponsered brand或sponsered display广告标题，字符不超过50个字符，关于portable power station，品牌为：Anker，埋入关键词：portable power station, solar generator, power generator, outdoor generator, electric generator，参数为550Wh, 1000W, 4个小时快速充电，带LED灯光，受众人群场景为，。，吸引人注意力，整个标题语言生动有感染力能激发消费者购买欲，用英文输出，并翻译为中文。</v>
      </c>
      <c r="G2" s="12" t="str">
        <f>"你是一名"&amp;B3&amp;"资深的亚马逊文案专家，用英文撰写10条关于"&amp;B4&amp;"在亚马逊的post，品牌为："&amp;B5&amp;"埋入关键词："&amp;D4&amp;"，参数为"&amp;B6&amp;"，受众人群场景为"&amp;D2&amp;"，"&amp;D3&amp;"。要求前100个字符吸引人注意力，整个post语言生动有感染力能激发消费者购买欲，"&amp;D5&amp;"emoji；再配上3个相关大流量的hashtag标签，用英文输出，并翻译为中文。"</f>
        <v>你是一名🇺🇸美国资深的亚马逊文案专家，用英文撰写10条关于portable power station在亚马逊的post，品牌为：Anker埋入关键词：portable power station, solar generator, power generator, outdoor generator, electric generator，参数为550Wh, 1000W, 4个小时快速充电，带LED灯光，受众人群场景为，。要求前100个字符吸引人注意力，整个post语言生动有感染力能激发消费者购买欲，加入emoji；再配上3个相关大流量的hashtag标签，用英文输出，并翻译为中文。</v>
      </c>
      <c r="H2" s="12" t="str">
        <f>"你是一名"&amp;B3&amp;"资深的亚马逊文案专家，请分析以下bullet points内容，根据亚马逊规则，从合规性、SEO（依据是否埋入以下关键词"&amp;D4&amp;")，语法拼写、可读性、卖点，语言本土化，专业性，情感表达、号召性等方面评估Listing的质量，并打分（满分10分），最后给到打分理由用表格输出:
#bullet points：："&amp;D8</f>
        <v>你是一名🇺🇸美国资深的亚马逊文案专家，请分析以下bullet points内容，根据亚马逊规则，从合规性、SEO（依据是否埋入以下关键词portable power station, solar generator, power generator, outdoor generator, electric generator)，语法拼写、可读性、卖点，语言本土化，专业性，情感表达、号召性等方面评估Listing的质量，并打分（满分10分），最后给到打分理由用表格输出:
#bullet points：：Introducing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v>
      </c>
      <c r="I2" s="12" t="str">
        <f>"你是一名"&amp;B3&amp;"资深的亚马逊文案专家，你将为我优化本土化的，生动的，详细的优秀文案，能够打动消费者的购买欲，提升商品曝光率和转化率。这是我的标题:"&amp;D7&amp;"。根据以上信息,优化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你是一名🇺🇸美国资深的亚马逊文案专家，你将为我优化本土化的，生动的，详细的优秀文案，能够打动消费者的购买欲，提升商品曝光率和转化率。这是我的标题:Jackery Portable Power Station Explorer 300, 293Wh Backup Lithium Battery, 110V/300W Pure Sine Wave AC Outlet, Solar Generator (Solar Panel Not Included) for Outdoors Camping Travel Hunting Blackout。根据以上信息,优化亚马逊标题,要求如下：1.字数不低于100字符，不超过200字符；2.用🇺🇸美国语输出标题；3.埋入以下关键词并加粗其字体:portable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J2" s="12" t="str">
        <f>"你是一名"&amp;B3&amp;"资深的亚马逊文案专家，你将为我撰写本土化的，生动的，详细的优秀文案，能够打动消费者的购买欲，提升商品曝光率和转化率。参考竞品标题:"&amp;B7&amp;"。以下是我的产品信息：品牌名称:"&amp;B5&amp;";产品型号:"&amp;D6&amp;";商品名称:"&amp;B4&amp;";产品受众:"&amp;D2&amp;";使用场景:"&amp;D3&amp;";核心参数:"&amp;B6&amp;";根据以上信息,撰写一条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你是一名🇺🇸美国资深的亚马逊文案专家，你将为我撰写本土化的，生动的，详细的优秀文案，能够打动消费者的购买欲，提升商品曝光率和转化率。参考竞品标题:Jackery Portable Power Station Explorer 300, 293Wh Backup Lithium Battery, 110V/300W Pure Sine Wave AC Outlet, Solar Generator (Solar Panel Not Included) for Outdoors Camping Travel Hunting Blackout。以下是我的产品信息：品牌名称:Anker;产品型号:AKN889;商品名称:portable power station;产品受众:;使用场景:;核心参数:550Wh, 1000W, 4个小时快速充电，带LED灯光;根据以上信息,撰写一条亚马逊标题,要求如下：1.字数不低于100字符，不超过200字符；2.用🇺🇸美国语输出标题；3.埋入以下关键词并加粗其字体:portable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K2" s="12" t="str">
        <f>"你是一名"&amp;B3&amp;"资深的亚马逊文案专家，你将为我优化本土化的，生动的，详细专业的优秀文案，能够打动消费者的购买欲，提升商品曝光率和转化率。
#这是我的Bullet Points:"&amp;D8&amp;"。
#以下是我的产品信息：
品牌名称:"&amp;B5&amp;";产品型号:"&amp;D6&amp;";商品名称:"&amp;B4&amp;";产品受众:"&amp;D2&amp;";使用场景:"&amp;D3&amp;";核心参数:"&amp;B6&amp;"
#根据以上信息,
1、检查Bullet Points与功能参数是否一致，用文字输出；
2、检查是否有语法和拼写错误，用文字输出；
3、检查是否埋入含有以下关键词"&amp;D4&amp;"将没有埋入的词找出来，用文字输出；
4、优化5条亚马逊Bullet Points,要求如下：
-内容与实际功能参数保持一致；
-保持正确的语法与拼写；
-字数不低于500字符，不超过1000字符；
-用"&amp;B3&amp;"语输出Bullet Points，每段开头"&amp;D5&amp;"*1个对应的Emoji符号；
-埋入以下关键词并加粗:"&amp;D4&amp;"；
-将输出内容翻译为中文，不要有任何解释，输出格式：
-&lt;原文&gt;-：
-&lt;翻译&gt;-：
-将更改的内容进行加粗，并告知更改原因。"</f>
        <v>你是一名🇺🇸美国资深的亚马逊文案专家，你将为我优化本土化的，生动的，详细专业的优秀文案，能够打动消费者的购买欲，提升商品曝光率和转化率。
#这是我的Bullet Points:Introducing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
#以下是我的产品信息：
品牌名称:Anker;产品型号:AKN889;商品名称:portable power station;产品受众:;使用场景:;核心参数:550Wh, 1000W, 4个小时快速充电，带LED灯光
#根据以上信息,
1、检查Bullet Points与功能参数是否一致，用文字输出；
2、检查是否有语法和拼写错误，用文字输出；
3、检查是否埋入含有以下关键词portable power station, solar generator, power generator, outdoor generator, electric generator将没有埋入的词找出来，用文字输出；
4、优化5条亚马逊Bullet Points,要求如下：
-内容与实际功能参数保持一致；
-保持正确的语法与拼写；
-字数不低于500字符，不超过1000字符；
-用🇺🇸美国语输出Bullet Points，每段开头加入*1个对应的Emoji符号；
-埋入以下关键词并加粗:portable power station, solar generator, power generator, outdoor generator, electric generator；
-将输出内容翻译为中文，不要有任何解释，输出格式：
-&lt;原文&gt;-：
-&lt;翻译&gt;-：
-将更改的内容进行加粗，并告知更改原因。</v>
      </c>
      <c r="L2" s="12" t="str">
        <f>"你是一名"&amp;B3&amp;"资深的亚马逊文案专家，你将为我撰写本土化的，生动的，详细的优秀文案，能够打动消费者的购买欲，提升商品曝光率和转化率。参考竞品Bullet Points:"&amp;B8&amp;"。以下是我的产品信息：品牌名称:"&amp;B5&amp;";产品型号:"&amp;D6&amp;";商品名称:"&amp;B4&amp;";产品受众:"&amp;D2&amp;";使用场景:"&amp;D3&amp;";核心参数:"&amp;B6&amp;";根据以上信息,撰写5条亚马逊Bullet Points,要求如下：1.字数不低于500字符，不超过1000字符；2.用"&amp;B3&amp;"语输出Bullet Points，每段开头"&amp;D5&amp;"*1个对应的Emoji符号；3.埋入以下关键词并加粗:"&amp;D4&amp;"；4.将输出内容翻译为中文，不要有任何解释，输出格式：
-&lt;原文&gt;-：
-&lt;翻译&gt;-："</f>
        <v>你是一名🇺🇸美国资深的亚马逊文案专家，你将为我撰写本土化的，生动的，详细的优秀文案，能够打动消费者的购买欲，提升商品曝光率和转化率。参考竞品Bullet Points:[Tiny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service.。以下是我的产品信息：品牌名称:Anker;产品型号:AKN889;商品名称:portable power station;产品受众:;使用场景:;核心参数:550Wh, 1000W, 4个小时快速充电，带LED灯光;根据以上信息,撰写5条亚马逊Bullet Points,要求如下：1.字数不低于500字符，不超过1000字符；2.用🇺🇸美国语输出Bullet Points，每段开头加入*1个对应的Emoji符号；3.埋入以下关键词并加粗:portable power station, solar generator, power generator, outdoor generator, electric generator；4.将输出内容翻译为中文，不要有任何解释，输出格式：
-&lt;原文&gt;-：
-&lt;翻译&gt;-：</v>
      </c>
      <c r="M2" s="16" t="str">
        <f>"你是一名"&amp;B3&amp;"资深的亚马逊文案专家，你将为我优化本土化的，生动的，详细的优秀文案，能够打动消费者的购买欲，提升商品曝光率和转化率。这是我的Description:"&amp;D9&amp;"。根据以上信息,优化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你是一名🇺🇸美国资深的亚马逊文案专家，你将为我优化本土化的，生动的，详细的优秀文案，能够打动消费者的购买欲，提升商品曝光率和转化率。这是我的Description:Introducing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today!。根据以上信息,优化亚马Description,要求如下：1.用HTML语言输出，字数不低于1000字符，不超过2000字符；2.用🇺🇸美国语输出Description，每段开头加入*1个对应的Emoji符号；3.埋入以下关键词并加粗:portable power station, solar generator, power generator, outdoor generator, electric generator；4.将输出内容翻译为中文，不要有任何解释，输出格式：-Description:：-翻译：</v>
      </c>
      <c r="N2" s="12" t="str">
        <f>"你是一名"&amp;B3&amp;"资深的亚马逊文案专家，你将为我撰写本土化的，生动的，详细的优秀文案，能够打动消费者的购买欲，提升商品曝光率和转化率。参考竞品Description:"&amp;B9&amp;"。以下是我的产品信息：品牌名称:"&amp;B5&amp;";产品型号:"&amp;D6&amp;";商品名称:"&amp;B4&amp;";产品受众:"&amp;D2&amp;";使用场景:"&amp;D3&amp;";核心参数:"&amp;B6&amp;";根据以上信息,撰写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你是一名🇺🇸美国资深的亚马逊文案专家，你将为我撰写本土化的，生动的，详细的优秀文案，能够打动消费者的购买欲，提升商品曝光率和转化率。参考竞品Description:Introducing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today!。以下是我的产品信息：品牌名称:Anker;产品型号:AKN889;商品名称:portable power station;产品受众:;使用场景:;核心参数:550Wh, 1000W, 4个小时快速充电，带LED灯光;根据以上信息,撰写亚马Description,要求如下：1.用HTML语言输出，字数不低于1000字符，不超过2000字符；2.用🇺🇸美国语输出Description，每段开头加入*1个对应的Emoji符号；3.埋入以下关键词并加粗:portable power station, solar generator, power generator, outdoor generator, electric generator；4.将输出内容翻译为中文，不要有任何解释，输出格式：-Description:：-翻译：</v>
      </c>
    </row>
    <row r="3" s="2" customFormat="1" ht="31" customHeight="1" spans="1:14">
      <c r="A3" s="7" t="s">
        <v>12</v>
      </c>
      <c r="B3" s="13" t="s">
        <v>13</v>
      </c>
      <c r="C3" s="9" t="str">
        <f>IF(OR(B2="💯文案打分",B2="📖标题优化",B2="📖五行优化",B2="📖描述优化",),"","使用场景")</f>
        <v/>
      </c>
      <c r="D3" s="10"/>
      <c r="E3" s="11"/>
      <c r="F3" s="12"/>
      <c r="G3" s="12"/>
      <c r="H3" s="12"/>
      <c r="I3" s="12"/>
      <c r="J3" s="12"/>
      <c r="K3" s="12"/>
      <c r="L3" s="12"/>
      <c r="M3" s="16"/>
      <c r="N3" s="12"/>
    </row>
    <row r="4" s="2" customFormat="1" ht="31" customHeight="1" spans="1:14">
      <c r="A4" s="7" t="str">
        <f>IF(OR(B2="💯文案打分",B2="📖标题优化",B2="📖五行优化",B2="📖描述优化",),"","*商品名称")</f>
        <v/>
      </c>
      <c r="B4" s="8" t="s">
        <v>14</v>
      </c>
      <c r="C4" s="9" t="str">
        <f>IF(B2="💯文案打分","","埋入关键词")</f>
        <v>埋入关键词</v>
      </c>
      <c r="D4" s="14" t="s">
        <v>15</v>
      </c>
      <c r="E4" s="11"/>
      <c r="F4" s="12"/>
      <c r="G4" s="12"/>
      <c r="H4" s="12"/>
      <c r="I4" s="12"/>
      <c r="J4" s="12"/>
      <c r="K4" s="12"/>
      <c r="L4" s="12"/>
      <c r="M4" s="16"/>
      <c r="N4" s="12"/>
    </row>
    <row r="5" s="2" customFormat="1" ht="31" customHeight="1" spans="1:14">
      <c r="A5" s="7" t="str">
        <f>IF(OR(B2="💯文案打分",B2="📖标题优化",B2="📖五行优化",B2="📖描述优化",),"","*品牌名称")</f>
        <v/>
      </c>
      <c r="B5" s="8" t="s">
        <v>16</v>
      </c>
      <c r="C5" s="9" t="str">
        <f>IF(OR(B2="💯文案打分",B2="📖标题优化",,B2="✍️标题撰写"),"","是否加入Emoji")</f>
        <v/>
      </c>
      <c r="D5" s="14" t="s">
        <v>17</v>
      </c>
      <c r="E5" s="11"/>
      <c r="F5" s="12"/>
      <c r="G5" s="12"/>
      <c r="H5" s="12"/>
      <c r="I5" s="12"/>
      <c r="J5" s="12"/>
      <c r="K5" s="12"/>
      <c r="L5" s="12"/>
      <c r="M5" s="16"/>
      <c r="N5" s="12"/>
    </row>
    <row r="6" s="2" customFormat="1" ht="31" customHeight="1" spans="1:14">
      <c r="A6" s="7" t="str">
        <f>IF(OR(B2="💯文案打分",B2="📖标题优化",B2="📖五行优化",B2="📖描述优化",),"","*产品参数")</f>
        <v/>
      </c>
      <c r="B6" s="8" t="s">
        <v>18</v>
      </c>
      <c r="C6" s="9" t="str">
        <f>IF(OR(B2="💯文案打分",B2="📖标题优化",B2="📖五行优化",B2="📖描述优化",),"","产品型号")</f>
        <v/>
      </c>
      <c r="D6" s="8" t="s">
        <v>19</v>
      </c>
      <c r="E6" s="11"/>
      <c r="F6" s="12"/>
      <c r="G6" s="12"/>
      <c r="H6" s="12"/>
      <c r="I6" s="12"/>
      <c r="J6" s="12"/>
      <c r="K6" s="12"/>
      <c r="L6" s="12"/>
      <c r="M6" s="16"/>
      <c r="N6" s="12"/>
    </row>
    <row r="7" s="2" customFormat="1" ht="31" customHeight="1" spans="1:14">
      <c r="A7" s="9" t="str">
        <f>IF(B2="✍️标题撰写","参考竞品标题","")</f>
        <v/>
      </c>
      <c r="B7" s="14" t="s">
        <v>20</v>
      </c>
      <c r="C7" s="9" t="str">
        <f>IF(OR(B2="📖标题优化",B2="💯文案打分"),"*我的标题","")</f>
        <v>*我的标题</v>
      </c>
      <c r="D7" s="14" t="s">
        <v>20</v>
      </c>
      <c r="E7" s="11"/>
      <c r="F7" s="12"/>
      <c r="G7" s="12"/>
      <c r="H7" s="12"/>
      <c r="I7" s="12"/>
      <c r="J7" s="12"/>
      <c r="K7" s="12"/>
      <c r="L7" s="12"/>
      <c r="M7" s="16"/>
      <c r="N7" s="12"/>
    </row>
    <row r="8" s="2" customFormat="1" ht="31" customHeight="1" spans="1:14">
      <c r="A8" s="9" t="str">
        <f>IF(B2="✍️五行撰写","参考竞品五行","")</f>
        <v/>
      </c>
      <c r="B8" s="10" t="s">
        <v>21</v>
      </c>
      <c r="C8" s="9" t="str">
        <f>IF(OR(B2="📖五行优化",B2="💯文案打分"),"*我的五行","")</f>
        <v/>
      </c>
      <c r="D8" s="10" t="s">
        <v>22</v>
      </c>
      <c r="E8" s="11"/>
      <c r="F8" s="12"/>
      <c r="G8" s="12"/>
      <c r="H8" s="12"/>
      <c r="I8" s="12"/>
      <c r="J8" s="12"/>
      <c r="K8" s="12"/>
      <c r="L8" s="12"/>
      <c r="M8" s="16"/>
      <c r="N8" s="12"/>
    </row>
    <row r="9" s="2" customFormat="1" ht="31" customHeight="1" spans="1:14">
      <c r="A9" s="9" t="str">
        <f>IF(B2="✍️描述撰写","参考竞品描述","")</f>
        <v/>
      </c>
      <c r="B9" s="10" t="s">
        <v>22</v>
      </c>
      <c r="C9" s="9" t="b">
        <f>IF(OR(B2="📖描述优化",B2="💯文案打分"),"")</f>
        <v>0</v>
      </c>
      <c r="D9" s="10" t="s">
        <v>22</v>
      </c>
      <c r="E9" s="11"/>
      <c r="F9" s="12"/>
      <c r="G9" s="12"/>
      <c r="H9" s="12"/>
      <c r="I9" s="12"/>
      <c r="J9" s="12"/>
      <c r="K9" s="12"/>
      <c r="L9" s="12"/>
      <c r="M9" s="16"/>
      <c r="N9" s="12"/>
    </row>
    <row r="10" s="2" customFormat="1" ht="31" customHeight="1" spans="1:14">
      <c r="A10" s="15" t="s">
        <v>23</v>
      </c>
      <c r="B10" s="15"/>
      <c r="C10" s="15"/>
      <c r="D10" s="15"/>
      <c r="E10" s="11"/>
      <c r="F10" s="12"/>
      <c r="G10" s="12"/>
      <c r="H10" s="12"/>
      <c r="I10" s="12"/>
      <c r="J10" s="12"/>
      <c r="K10" s="12"/>
      <c r="L10" s="12"/>
      <c r="M10" s="16"/>
      <c r="N10" s="12"/>
    </row>
    <row r="11" s="2" customFormat="1" ht="31" customHeight="1" spans="3:14">
      <c r="C11" s="3"/>
      <c r="D11" s="3"/>
      <c r="E11" s="11"/>
      <c r="F11" s="12"/>
      <c r="G11" s="12"/>
      <c r="H11" s="12"/>
      <c r="I11" s="12"/>
      <c r="J11" s="12"/>
      <c r="K11" s="12"/>
      <c r="L11" s="12"/>
      <c r="M11" s="16"/>
      <c r="N11" s="12"/>
    </row>
    <row r="12" s="2" customFormat="1" ht="31" customHeight="1" spans="2:14">
      <c r="B12" s="3"/>
      <c r="C12" s="3"/>
      <c r="D12" s="3"/>
      <c r="E12" s="11"/>
      <c r="F12" s="12"/>
      <c r="G12" s="12"/>
      <c r="H12" s="12"/>
      <c r="I12" s="12"/>
      <c r="J12" s="12"/>
      <c r="K12" s="12"/>
      <c r="L12" s="12"/>
      <c r="M12" s="16"/>
      <c r="N12" s="12"/>
    </row>
    <row r="13" s="2" customFormat="1" ht="409" customHeight="1" spans="2:14">
      <c r="B13" s="3"/>
      <c r="E13" s="11"/>
      <c r="F13" s="12"/>
      <c r="G13" s="12"/>
      <c r="H13" s="12"/>
      <c r="I13" s="12"/>
      <c r="J13" s="12"/>
      <c r="K13" s="12"/>
      <c r="L13" s="12"/>
      <c r="M13" s="16"/>
      <c r="N13" s="12"/>
    </row>
    <row r="14" s="2" customFormat="1" spans="2:14">
      <c r="B14" s="3"/>
      <c r="E14" s="3"/>
      <c r="F14" s="3"/>
      <c r="G14" s="3"/>
      <c r="H14" s="3"/>
      <c r="I14" s="3"/>
      <c r="J14" s="3"/>
      <c r="K14" s="3"/>
      <c r="L14" s="3"/>
      <c r="M14" s="3"/>
      <c r="N14" s="3"/>
    </row>
    <row r="15" s="2" customFormat="1" spans="2:14">
      <c r="B15" s="3"/>
      <c r="E15" s="3"/>
      <c r="F15" s="3"/>
      <c r="G15" s="3"/>
      <c r="H15" s="3"/>
      <c r="I15" s="3"/>
      <c r="J15" s="3">
        <f>LEN(J14)*2</f>
        <v>0</v>
      </c>
      <c r="K15" s="3"/>
      <c r="L15" s="3"/>
      <c r="M15" s="3"/>
      <c r="N15" s="3"/>
    </row>
    <row r="16" s="2" customFormat="1" spans="2:14">
      <c r="B16" s="3"/>
      <c r="E16" s="3"/>
      <c r="F16" s="3"/>
      <c r="G16" s="3"/>
      <c r="H16" s="3"/>
      <c r="I16" s="3"/>
      <c r="J16" s="3"/>
      <c r="K16" s="3"/>
      <c r="L16" s="3"/>
      <c r="M16" s="3"/>
      <c r="N16" s="3"/>
    </row>
    <row r="17" s="2" customFormat="1" spans="2:14">
      <c r="B17" s="3"/>
      <c r="E17" s="3"/>
      <c r="F17" s="3"/>
      <c r="G17" s="3"/>
      <c r="H17" s="3"/>
      <c r="I17" s="3"/>
      <c r="J17" s="3"/>
      <c r="K17" s="3"/>
      <c r="L17" s="3"/>
      <c r="M17" s="3"/>
      <c r="N17" s="3"/>
    </row>
  </sheetData>
  <mergeCells count="12">
    <mergeCell ref="A1:D1"/>
    <mergeCell ref="A10:D10"/>
    <mergeCell ref="E2:E13"/>
    <mergeCell ref="F2:F13"/>
    <mergeCell ref="G2:G13"/>
    <mergeCell ref="H2:H13"/>
    <mergeCell ref="I2:I12"/>
    <mergeCell ref="J2:J13"/>
    <mergeCell ref="K2:K13"/>
    <mergeCell ref="L2:L13"/>
    <mergeCell ref="M2:M13"/>
    <mergeCell ref="N2:N13"/>
  </mergeCells>
  <dataValidations count="5">
    <dataValidation type="list" allowBlank="1" showInputMessage="1" showErrorMessage="1" sqref="B2">
      <formula1>"✍️标题撰写,✍️五行撰写,✍️描述撰写,💯文案打分,📖标题优化,📖五行优化,📖描述优化,📱亚马逊Post,🌟SB/SD标题,说明书,品牌名,品牌故事,Slogan,Review,QA,埋词,视频脚本,图片文案"</formula1>
    </dataValidation>
    <dataValidation type="list" allowBlank="1" showInputMessage="1" showErrorMessage="1" sqref="B3">
      <formula1>"🇺🇸美国,🇯🇵日本,🇩🇪德国,🇨🇦加拿大,🇲🇽墨西哥,🇫🇷法国,🇮🇹意大利,🇪🇸西班牙,🇳🇱荷兰,🇵🇹葡萄牙,🇹🇷土耳其,🇦🇪阿拉伯,🇸🇪瑞典,🇵🇱波兰"</formula1>
    </dataValidation>
    <dataValidation type="list" allowBlank="1" showInputMessage="1" showErrorMessage="1" sqref="D5 C14:I14">
      <formula1>"加入,不加入"</formula1>
    </dataValidation>
    <dataValidation type="list" allowBlank="1" showInputMessage="1" showErrorMessage="1" sqref="B18:I18">
      <formula1>"英语,日语,德语,法语,意大利语,西班牙语,荷兰语,葡萄牙语,土耳其语,阿拉伯语,瑞典语,波兰语"</formula1>
    </dataValidation>
    <dataValidation allowBlank="1" showInputMessage="1" showErrorMessage="1" sqref="E2:I13"/>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文案生成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自己的文件存本地</cp:lastModifiedBy>
  <dcterms:created xsi:type="dcterms:W3CDTF">2024-12-12T09:00:40Z</dcterms:created>
  <dcterms:modified xsi:type="dcterms:W3CDTF">2024-12-12T09:03:18Z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C8CDF3584EAE416BACAA4AE07ED6D72C_11</vt:lpwstr>
  </property>
  <property fmtid="{D5CDD505-2E9C-101B-9397-08002B2CF9AE}" pid="3" name="KSOProductBuildVer">
    <vt:lpwstr>2052-12.1.0.19302</vt:lpwstr>
  </property>
</Properties>
</file>