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客服板块"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user</author>
  </authors>
  <commentList>
    <comment ref="A7" authorId="0">
      <text>
        <r>
          <rPr>
            <b/>
            <sz val="9"/>
            <rFont val="宋体"/>
            <charset val="134"/>
          </rPr>
          <t>user:</t>
        </r>
        <r>
          <rPr>
            <sz val="9"/>
            <rFont val="宋体"/>
            <charset val="134"/>
          </rPr>
          <t xml:space="preserve">
消息，评论，feedback，退款反馈，亚马逊case/poa</t>
        </r>
      </text>
    </comment>
  </commentList>
</comments>
</file>

<file path=xl/sharedStrings.xml><?xml version="1.0" encoding="utf-8"?>
<sst xmlns="http://schemas.openxmlformats.org/spreadsheetml/2006/main" count="43" uniqueCount="42">
  <si>
    <t>售后管理</t>
  </si>
  <si>
    <t>消息回复</t>
  </si>
  <si>
    <t>退款回复</t>
  </si>
  <si>
    <t>邀请好评</t>
  </si>
  <si>
    <t>删除差评</t>
  </si>
  <si>
    <t>反馈分析</t>
  </si>
  <si>
    <t>撰写POA</t>
  </si>
  <si>
    <t>赶跟卖</t>
  </si>
  <si>
    <t>*任务类型</t>
  </si>
  <si>
    <t>✍️撰写POA</t>
  </si>
  <si>
    <t>*销售站点</t>
  </si>
  <si>
    <t>🇺🇸美国</t>
  </si>
  <si>
    <t>*产品</t>
  </si>
  <si>
    <t>usb c hub</t>
  </si>
  <si>
    <t>*店铺/品牌名称</t>
  </si>
  <si>
    <t>anker</t>
  </si>
  <si>
    <t>*客服姓名</t>
  </si>
  <si>
    <t>Jayden</t>
  </si>
  <si>
    <t>*客户消息(反馈)</t>
  </si>
  <si>
    <t>this hub is expensive but good quality</t>
  </si>
  <si>
    <t>我的要求</t>
  </si>
  <si>
    <t>一分钱一分货，感谢对产品对认可，我们会不断提升产品质量</t>
  </si>
  <si>
    <t>产品说明书</t>
  </si>
  <si>
    <t>产品常见问题</t>
  </si>
  <si>
    <t>退款换货政策</t>
  </si>
  <si>
    <t>1.如果顾客对产品不满意或者退款没有信息，可以给顾客10%退款；
2.如果产品损坏，可以给顾客换新品。</t>
  </si>
  <si>
    <t>产品</t>
  </si>
  <si>
    <t>说明书</t>
  </si>
  <si>
    <t>常见问题</t>
  </si>
  <si>
    <t>portable power station</t>
  </si>
  <si>
    <t>500Wh Portable Power Station User Manual
Thank you for choosing our 500Wh Portable Power Station. This user manual will guide you through its setup and operation to ensure you get the most out of your device. Please read this manual carefully before use.
Specifications:
Capacity: 500Wh (Watt-hours)
Input: AC Adapter 15V/4A
DC Input: Solar Panel 18V/100W Max.
Output:
AC Output: 110V/500W (Peak 1000W)
DC Output: 12V/10A (Max.)
USB Output: 5V/2.4A (x4), Quick Charge 3.0 (x1), Type-C PD 60W (x1)
Weight: [insert weight here]
Dimensions: [insert dimensions here]
Safety Precautions:
Keep the power station away from high temperatures, direct sunlight, water, and flammable materials.
Do not disassemble or modify the power station.
Keep out of reach of children.
Only use the included AC adapter for charging.
Do not expose the power station to rain or moisture.
Charging:
AC Charging: Connect the included AC adapter to the AC input port on the power station, then plug it into a standard wall outlet. The charging indicator will illuminate red while charging and turn green when fully charged.
Solar Charging: Connect a compatible solar panel (not included) to the DC input port on the power station. Ensure the solar panel is facing direct sunlight for optimal charging efficiency.
Usage:
Powering Devices: Press the power button to turn on the power station. Use the various output ports to charge or power your devices.
LED Light: Press the light button to turn on the LED light. Press again to switch between brightness levels (low, medium, high, SOS).
LCD Display: The LCD display shows the battery level, input/output status, and other information.
Maintenance:
Keep the power station clean and dry.
Store in a cool, dry place when not in use.
Recharge the power station every 3-6 months if not in use for an extended period.
Troubleshooting:
If the power station does not turn on, ensure it is adequately charged.
If the power station becomes hot during use, disconnect devices and allow it to cool down.
If you encounter any other issues, please contact customer support for assistance.
Warranty:
This power station is covered by a [insert warranty period] warranty against defects in materials and workmanship. Please retain your proof of purchase for warranty claims.
For further assistance or inquiries, please contact our customer support team at [insert contact information].
Thank you for choosing our 500Wh Portable Power Station. We hope it serves you well for all your portable power needs.</t>
  </si>
  <si>
    <t>Q: How long does it take to fully charge the power station using the AC adapter?
A: Typically, it takes approximately [insert charging time here] to fully charge the power station using the included AC adapter.
Q: Can I charge the power station while using it to power my devices?
A: Yes, you can charge the power station while simultaneously using it to power your devices. However, please note that this may affect the charging time.
Q: What type of solar panel should I use to charge the power station?
A: You should use a compatible solar panel with an output of 18V/100W maximum to charge the power station efficiently.
Q: How can I tell when the power station is fully charged?
A: The charging indicator will illuminate red while charging and turn green when the power station is fully charged.
Q: What is the maximum power output of the AC port?
A: The AC port has a maximum power output of 110V/500W, with a peak power of 1000W.
Q: Can I use the power station to charge my laptop?
A: Yes, you can use the Type-C PD 60W port to charge compatible laptops.
Q: How long does the LED light last on a full charge?
A: The LED light duration varies depending on the brightness level. Typically, it can last for several hours on a full charge.
Q: Can I charge the power station using a different AC adapter?
A: It is recommended to use the included AC adapter for charging to ensure compatibility and safety.
Q: Is the power station waterproof?
A: No, the power station is not waterproof. Keep it away from water and moisture to prevent damage.
Q: What should I do if the power station overheats during use?
A: Disconnect all devices and allow the power station to cool down. Ensure it is placed in a well-ventilated area to prevent overheating.</t>
  </si>
  <si>
    <t>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t>
  </si>
  <si>
    <t>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t>
  </si>
  <si>
    <t>空气净化器</t>
  </si>
  <si>
    <t>空气净化器使用说明书
感谢您选择我们的空气净化器。本使用说明书将指导您设置、操作和维护您的空气净化器，以确保其性能达到最佳状态。在使用前，请仔细阅读本手册。
规格参数：
型号：【填入型号】
覆盖面积：【填入覆盖面积，例如400平方英尺】
CADR（洁净空气传递率）：【填入除尘、花粉和烟雾的CADR】
过滤系统：预过滤器、真HEPA过滤器、活性炭过滤器
功耗：【填入功耗，单位瓦特】
噪音水平：【填入噪音水平，单位分贝】
尺寸：【填入尺寸，单位英寸或厘米】
重量：【填入重量，单位磅或千克】
额定电压：【填入额定电压】
额定频率：【填入额定频率】
安全注意事项：
在使用空气净化器前，请阅读所有说明。
保持空气净化器远离水源和潮湿处，以避免电气危险。
使用空气净化器时，请勿潮湿的手操作。
在清洁或维护空气净化器之前，请先拔掉电源插头。
将空气净化器放在儿童和宠物无法触及的地方。
使用时请勿堵塞空气进出口。
仅使用提供的电源线和适配器。
安装：
将空气净化器从包装中取出，放置在平坦稳固的表面上。
移除空气净化器上的任何包装材料。
在空气净化器内找到预过滤器、真HEPA过滤器和活性炭过滤器。
根据滤网更换指南中提供的说明安装滤网。
将电源线插入适当的电源插座中。
操作：
按下电源按钮打开空气净化器。
使用速度控制按钮选择所需的风速（低、中、高）。
空气净化器将开始循环并净化房间内的空气。
如有的话，使用定时器功能设置所需的运行时间。
监控空气质量指示器以评估空气净化过程的效果。
根据使用情况和环境条件更换滤网。
维护：
定期用软湿布清洁空气净化器外壳。
根据制造商的建议更换滤网。
检查空气进出口通风口是否有任何阻塞，并在必要时清洁。
当空气净化器不使用时，请将其存放在阴凉干燥的地方。
故障排除：
如果空气净化器无法启动，请检查电源线和电源插座。
如果空气净化器发出异常的气味或声音，请停止使用并联系客户支持。
如果空气净化器不能有效净化空气，请确保滤网安装正确且未被堵塞。
保修：
本空气净化器享有【填入保修期】的质量保证期，保修期内提供免费维修服务。请保留购买凭证以便索取保修服务。
如需进一步帮助或咨询，请联系我们的客户支持团队【填入联系方式】。
感谢您选择我们的空气净化器。我们希望它能为您提供清洁、新鲜的空气，持续多年。</t>
  </si>
  <si>
    <t>问：空气净化器需要多长时间清洁一次？
答：根据使用频率和环境条件不同，建议每2至4周清洁一次空气净化器外壳，并根据滤网更换指南定期更换滤网。
问：空气净化器可以在哪种空间使用？
答：我们的空气净化器适用于家庭、办公室、卧室、客厅等空间，覆盖面积为【填入覆盖面积】。
问：空气净化器可以去除哪些污染物？
答：空气净化器配备预过滤器、真HEPA过滤器和活性炭过滤器，可以有效去除空气中的灰尘、花粉、烟雾、异味和挥发性有机化合物等污染物。
问：空气净化器的噪音水平如何？
答：空气净化器的噪音水平较低，一般在【填入分贝数】之内，在夜间使用时也不会造成干扰。
问：滤网需要多久更换一次？
答：根据使用情况和环境条件不同，滤网更换周期一般为6个月至1年，具体时间可根据空气净化器显示的滤网寿命指示进行调整。
问：空气净化器需要特殊的维护吗？
答：除定期清洁外，空气净化器不需要特殊的维护。请保持通风良好，并定期更换滤网以保持最佳性能。
问：空气净化器是否可以改善室内空气质量？
答：是的，空气净化器通过过滤空气中的污染物质，可以显著改善室内空气质量，为您提供清新健康的室内环境。
问：空气净化器的能耗如何？
答：空气净化器的能耗较低，一般为【填入瓦特数】，是节能环保的家居设备。
问：可以长时间连续使用空气净化器吗？
答：是的，空气净化器可以长时间连续使用，但建议根据需要适时关闭，并在不使用时将其拔掉电源。
问：空气净化器可以去除宠物异味吗？
答：是的，空气净化器配备的活性炭过滤器可以有效去除宠物异味，为您打造清新舒适的家居环境。</t>
  </si>
  <si>
    <t>扫地机器人</t>
  </si>
  <si>
    <t xml:space="preserve">欢迎您购买我们的智能扫地机器人！这款机器人集先进技术与便捷功能于一身，为您的家庭清洁提供了全新的解决方案。在开始使用之前，请务必仔细阅读本说明书，以确保您能充分利用机器人的功能。
产品规格：
型号： XJ-2000
尺寸： 35厘米（直径）x 8厘米（高度）
重量： 3.5千克
电池容量： 4500毫安时（mAh）
充电时间： 4小时
工作时间： 2.5小时
吸尘器功率： 20瓦特（W）
噪音水平： 小于60分贝（dB）
配件清单：
充电座 x 1
遥控器 x 1
侧刷 x 2
滤网 x 1
使用说明书 x 1
使用方法：
充电： 将充电座连接电源，然后将机器人对准充电座并将其插入，确保充电接触良好。
启动机器人： 按下机器人上的电源按钮，等待机器人启动完成。
选择模式： 机器人配有自动、边沿、深度等多种清扫模式，请根据需要选择相应模式。
开始清扫： 按下开始按钮，机器人将开始自动清扫地面。
遥控操作： 如需手动控制机器人，可使用配备的遥控器进行方向控制和其他操作。
定时清扫： 通过遥控器或者机器人上的定时按钮设置清扫时间，机器人将在设定时间自动启动清扫。
注意事项：
请将机器人放置在平坦的地面上启动，避免在台阶或其他高低差明显的地方使用。
避免机器人长时间工作于潮湿环境，以免影响机器人性能和寿命。
定期清理滤网和侧刷，保持机器人吸尘效果。
请勿让机器人进入危险区域，如火灾危险区域或水池边缘。
如遇到障碍物，机器人会自动停止工作并发出警报，请及时检查和清理障碍物。
请勿将机器人用于吸尘液体或其他不可吸收的物质。
希望我们的产品能够为您的家庭清洁带来便利和舒适体验。如果您在使用过程中遇到任何问题，请及时联系我们的客服团队。
</t>
  </si>
  <si>
    <t>Q1：机器人启动后无法正常工作怎么办？
A1：首先，请确保机器人已充电并处于开启状态。如果问题仍然存在，可能是机器人传感器受到干扰或清洁零件需要更换，请联系客服人员进行进一步检查。
Q2：机器人清扫地面时漏吸怎么办？
A2：漏吸可能是由于滤网堵塞或吸尘口有异物阻塞导致的。建议清理滤网和吸尘口，并定期清理机器人各部件以保持畅通。
Q3：机器人清扫后地面上仍有灰尘怎么办？
A3：如果机器人无法完全清扫地面上的灰尘，可能是因为清扫模式选择不当或者清扫时间不足。请尝试使用深度清扫模式，并延长清扫时间。
Q4：机器人清扫时发出异常噪音怎么办？
A4：异常噪音可能是由于清扫刷或其他零部件磨损造成的。建议立即停止使用并联系客服进行检修或更换零件。
Q5：机器人能否清洁地毯和地板？
A5：是的，我们的机器人适用于清洁地毯和多种硬质地板，如木地板、瓷砖等。不过，不同类型的地毯和地板可能需要不同的清扫模式，建议根据实际情况选择合适的模式。
Q6：机器人能否通过遥控器进行控制？
A6：是的，我们的机器人配备了遥控器，您可以通过遥控器对机器人进行方向控制、启停操作等。
Q7：机器人如何避免撞到家具或墙壁？
A7：机器人配备了智能避障传感器，能够识别家具和墙壁等障碍物，并自动避开。但有时避障传感器可能会失灵，建议确保清扫区域内无障碍物，并定期清理机器人周围的空间。
Q8：机器人需要定期维护吗？
A8：是的，机器人需要定期清理滤网、侧刷等零部件，并确保各部件正常运转。建议每次使用后清理一次，定期进行彻底清洁和维护，以保持机器人的清扫效果和性能。
Q9：机器人的电池续航时间是多久？
A9：机器人的电池续航时间取决于清扫模式和工作环境，一般可以持续工作2至3个小时。充满电后，机器人通常能够清扫100至150平方米的区域。
Q10：机器人是否适用于所有房间？
A10：是的，我们的机器人适用于各种房间，包括客厅、卧室、厨房等。但请注意避免机器人进入危险区域，如厨房的油烟区域或浴室的湿润区域。</t>
  </si>
  <si>
    <t>baby monitor</t>
  </si>
  <si>
    <t>dash cam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</si>
</sst>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indexed="8"/>
      <name val="Helvetica Neue"/>
      <charset val="134"/>
    </font>
    <font>
      <b/>
      <sz val="11"/>
      <color rgb="FF000000"/>
      <name val="宋体"/>
      <charset val="134"/>
    </font>
    <font>
      <sz val="11"/>
      <color rgb="FF000000"/>
      <name val="宋体"/>
      <charset val="134"/>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8">
    <fill>
      <patternFill patternType="none"/>
    </fill>
    <fill>
      <patternFill patternType="gray125"/>
    </fill>
    <fill>
      <patternFill patternType="solid">
        <fgColor rgb="FF2F75B5"/>
        <bgColor indexed="64"/>
      </patternFill>
    </fill>
    <fill>
      <patternFill patternType="solid">
        <fgColor rgb="FFF4B084"/>
        <bgColor indexed="64"/>
      </patternFill>
    </fill>
    <fill>
      <patternFill patternType="solid">
        <fgColor rgb="FF9BC2E6"/>
        <bgColor indexed="64"/>
      </patternFill>
    </fill>
    <fill>
      <patternFill patternType="solid">
        <fgColor rgb="FFDDEBF7"/>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alignment vertical="top" wrapText="1"/>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7"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8" borderId="5" applyNumberFormat="0" applyAlignment="0" applyProtection="0">
      <alignment vertical="center"/>
    </xf>
    <xf numFmtId="0" fontId="14" fillId="9" borderId="6" applyNumberFormat="0" applyAlignment="0" applyProtection="0">
      <alignment vertical="center"/>
    </xf>
    <xf numFmtId="0" fontId="15" fillId="9" borderId="5" applyNumberFormat="0" applyAlignment="0" applyProtection="0">
      <alignment vertical="center"/>
    </xf>
    <xf numFmtId="0" fontId="16" fillId="10"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22" fillId="37" borderId="0" applyNumberFormat="0" applyBorder="0" applyAlignment="0" applyProtection="0">
      <alignment vertical="center"/>
    </xf>
  </cellStyleXfs>
  <cellXfs count="16">
    <xf numFmtId="0" fontId="0" fillId="0" borderId="0" xfId="0">
      <alignment vertical="top" wrapText="1"/>
    </xf>
    <xf numFmtId="0" fontId="1" fillId="0" borderId="0" xfId="0" applyNumberFormat="1" applyFont="1" applyFill="1" applyBorder="1" applyAlignment="1" applyProtection="1">
      <alignment vertical="center"/>
      <protection locked="0" hidden="1"/>
    </xf>
    <xf numFmtId="0" fontId="2" fillId="0" borderId="0" xfId="0" applyNumberFormat="1" applyFont="1" applyFill="1" applyBorder="1" applyAlignment="1" applyProtection="1">
      <alignment vertical="center"/>
      <protection locked="0" hidden="1"/>
    </xf>
    <xf numFmtId="0" fontId="2" fillId="0" borderId="0" xfId="0" applyNumberFormat="1" applyFont="1" applyFill="1" applyBorder="1" applyAlignment="1" applyProtection="1">
      <alignment vertical="center" wrapText="1"/>
      <protection locked="0" hidden="1"/>
    </xf>
    <xf numFmtId="0" fontId="1" fillId="2" borderId="1" xfId="0" applyNumberFormat="1" applyFont="1" applyFill="1" applyBorder="1" applyAlignment="1" applyProtection="1">
      <alignment horizontal="center" vertical="center"/>
      <protection locked="0" hidden="1"/>
    </xf>
    <xf numFmtId="0" fontId="1" fillId="3" borderId="1" xfId="0" applyNumberFormat="1" applyFont="1" applyFill="1" applyBorder="1" applyAlignment="1" applyProtection="1">
      <alignment vertical="center" wrapText="1"/>
      <protection locked="0" hidden="1"/>
    </xf>
    <xf numFmtId="0" fontId="1" fillId="0" borderId="1" xfId="0" applyNumberFormat="1" applyFont="1" applyFill="1" applyBorder="1" applyAlignment="1" applyProtection="1">
      <alignment vertical="center" wrapText="1"/>
      <protection locked="0" hidden="1"/>
    </xf>
    <xf numFmtId="0" fontId="3" fillId="4" borderId="1" xfId="0" applyNumberFormat="1" applyFont="1" applyFill="1" applyBorder="1" applyAlignment="1" applyProtection="1">
      <alignment vertical="center"/>
      <protection locked="0" hidden="1"/>
    </xf>
    <xf numFmtId="0" fontId="2" fillId="5" borderId="1" xfId="0" applyNumberFormat="1" applyFont="1" applyFill="1" applyBorder="1" applyAlignment="1" applyProtection="1">
      <alignment vertical="center"/>
      <protection locked="0" hidden="1"/>
    </xf>
    <xf numFmtId="0" fontId="2" fillId="6" borderId="1" xfId="0" applyNumberFormat="1" applyFont="1" applyFill="1" applyBorder="1" applyAlignment="1" applyProtection="1">
      <alignment horizontal="center" vertical="top" wrapText="1"/>
      <protection hidden="1"/>
    </xf>
    <xf numFmtId="0" fontId="2" fillId="0" borderId="1" xfId="0" applyNumberFormat="1" applyFont="1" applyFill="1" applyBorder="1" applyAlignment="1" applyProtection="1">
      <alignment horizontal="center" vertical="top" wrapText="1"/>
      <protection locked="0" hidden="1"/>
    </xf>
    <xf numFmtId="0" fontId="1" fillId="5" borderId="1" xfId="0" applyNumberFormat="1" applyFont="1" applyFill="1" applyBorder="1" applyAlignment="1" applyProtection="1">
      <alignment vertical="center"/>
      <protection locked="0" hidden="1"/>
    </xf>
    <xf numFmtId="0" fontId="1" fillId="4" borderId="1" xfId="0" applyNumberFormat="1" applyFont="1" applyFill="1" applyBorder="1" applyAlignment="1" applyProtection="1">
      <alignment vertical="center"/>
      <protection locked="0" hidden="1"/>
    </xf>
    <xf numFmtId="0" fontId="2" fillId="5" borderId="1" xfId="0" applyNumberFormat="1" applyFont="1" applyFill="1" applyBorder="1" applyAlignment="1" applyProtection="1">
      <alignment vertical="center" wrapText="1"/>
      <protection locked="0" hidden="1"/>
    </xf>
    <xf numFmtId="0" fontId="1" fillId="0" borderId="0" xfId="0" applyNumberFormat="1" applyFont="1" applyFill="1" applyBorder="1" applyAlignment="1" applyProtection="1">
      <alignment vertical="center" wrapText="1"/>
      <protection locked="0" hidden="1"/>
    </xf>
    <xf numFmtId="0" fontId="1" fillId="0" borderId="1" xfId="0" applyNumberFormat="1" applyFont="1" applyFill="1" applyBorder="1" applyAlignment="1" applyProtection="1">
      <alignment vertical="center"/>
      <protection locked="0" hidden="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1" workbookViewId="0">
      <selection activeCell="C2" sqref="C2:C11"/>
    </sheetView>
  </sheetViews>
  <sheetFormatPr defaultColWidth="8.35238095238095" defaultRowHeight="13.5"/>
  <cols>
    <col min="1" max="1" width="16.8095238095238" style="2" customWidth="1"/>
    <col min="2" max="2" width="45.9714285714286" style="2" customWidth="1"/>
    <col min="3" max="9" width="46.2190476190476" style="3" customWidth="1"/>
    <col min="10" max="10" width="33.7809523809524" style="2" customWidth="1"/>
    <col min="11" max="11" width="8.57142857142857" style="2" customWidth="1"/>
    <col min="12" max="16384" width="8.57142857142857" style="2"/>
  </cols>
  <sheetData>
    <row r="1" s="1" customFormat="1" ht="29" customHeight="1" spans="1:10">
      <c r="A1" s="4" t="s">
        <v>0</v>
      </c>
      <c r="B1" s="4"/>
      <c r="C1" s="5" t="str">
        <f>B2&amp;"Prompts"</f>
        <v>✍️撰写POAPrompts</v>
      </c>
      <c r="D1" s="6" t="s">
        <v>1</v>
      </c>
      <c r="E1" s="6" t="s">
        <v>2</v>
      </c>
      <c r="F1" s="6" t="s">
        <v>3</v>
      </c>
      <c r="G1" s="6" t="s">
        <v>4</v>
      </c>
      <c r="H1" s="6" t="s">
        <v>5</v>
      </c>
      <c r="I1" s="6" t="s">
        <v>6</v>
      </c>
      <c r="J1" s="15" t="s">
        <v>7</v>
      </c>
    </row>
    <row r="2" s="2" customFormat="1" ht="44" customHeight="1" spans="1:10">
      <c r="A2" s="7" t="s">
        <v>8</v>
      </c>
      <c r="B2" s="8" t="s">
        <v>9</v>
      </c>
      <c r="C2" s="9" t="str">
        <f>IF(B2="🐶赶跟卖",J2,IF(B2="📧消息回复",D2,IF(B2="🛒退款回复",E2,IF(B2="😊邀请好评",F2,IF(B2="🌟删除差评",G2,IF(B2="📃反馈分析",H2,IF(B2="✍️撰写POA",I2,"")))))))</f>
        <v>你是一位资深的🇺🇸美国亚马逊anker店铺的客服Jayden，用你专业的客服经验协助我解决POA问题。POA结构参考：1.承认错误,2. 简要概述其余部分，强调“根本原因”、“已采取措施”和“未来预防措施”。 3. “根本原因”：详细描述一个现实可行的错误或故障，导致导致暂停的违规行为。一定要拥有它。 4.“已采取措施”：详细描述负责任的、注重细节的企业将采取哪些行动来纠正导致暂停的违规行为。 5. “未来预防措施”：详细描述一个负责任的、注重细节的企业将采取什么行动来确保根本原因几乎不可能再次发生。POA输出语言为((🇺🇸美国语言))，以下是亚马逊的警告信：this hub is expensive but good quality</v>
      </c>
      <c r="D2" s="10" t="str">
        <f>"【说明书内容】："&amp;B9&amp;",【常见QA】:"&amp;B10&amp;"【退款政策】:"&amp;B11&amp;"你是一位资深的"&amp;B3&amp;"亚马逊"&amp;B5&amp;"店铺"&amp;"的客服"&amp;B6&amp;"，用【"&amp;B3&amp;"使用语言】输出。用你专业的客服经验协助我解决顾客在亚马逊购物中遇到的问题和投诉，无论是关于订单、支付、配送、退换货的，你都会根据顾客的具体情况在我的指示下给出详细的解释和指导。回答风格以友好、专业、耐心。在给出结果后询问顾客是否还需要其他帮助或反馈内容是否满意。始终以该角色的身份和名义回答我的任何问题。请根据下列信息,用【"&amp;B3&amp;"使用语言】输出回复顾客：1.【顾客信息】："&amp;B7&amp;"2.【我的要求】是:"&amp;B8</f>
        <v>【说明书内容】：Product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same,【常见QA】:Q: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system.【退款政策】:1.如果顾客对产品不满意或者退款没有信息，可以给顾客10%退款；
2.如果产品损坏，可以给顾客换新品。你是一位资深的🇺🇸美国亚马逊anker店铺的客服Jayden，用【🇺🇸美国使用语言】输出。用你专业的客服经验协助我解决顾客在亚马逊购物中遇到的问题和投诉，无论是关于订单、支付、配送、退换货的，你都会根据顾客的具体情况在我的指示下给出详细的解释和指导。回答风格以友好、专业、耐心。在给出结果后询问顾客是否还需要其他帮助或反馈内容是否满意。始终以该角色的身份和名义回答我的任何问题。请根据下列信息,用【🇺🇸美国使用语言】输出回复顾客：1.【顾客信息】：this hub is expensive but good quality2.【我的要求】是:一分钱一分货，感谢对产品对认可，我们会不断提升产品质量</v>
      </c>
      <c r="E2" s="10" t="str">
        <f>"【说明书内容】："&amp;B9&amp;",【常见QA】:"&amp;B10&amp;"【退款政策】:"&amp;B11&amp;"你是一位资深的"&amp;B3&amp;"亚马逊"&amp;B5&amp;"店铺"&amp;"的客服"&amp;B6&amp;"，用【"&amp;B3&amp;"使用语言】输出，用你专业的客服经验协助我解决顾客在亚马逊购物中遇到的问题和投诉，无论是关于订单、支付、配送、退换货的，你都会根据顾客的具体情况在我的指示下给出详细的解释和指导。回答风格以友好、专业、耐心。在给出结果后询问顾客是否还需要其他帮助或反馈内容是否满意。始终以该角色的身份和名义回答我的任何问题。请根据下列信息,用【"&amp;B3&amp;"使用语言】输出，回复挽留顾客，表达歉意，根据顾客遇到问题给到相应解决方案，另外可以给20% 做为补偿：1.【顾客退款原因】："&amp;B7&amp;"2.*【我的要求】是:"&amp;B8</f>
        <v>【说明书内容】：Product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same,【常见QA】:Q: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system.【退款政策】:1.如果顾客对产品不满意或者退款没有信息，可以给顾客10%退款；
2.如果产品损坏，可以给顾客换新品。你是一位资深的🇺🇸美国亚马逊anker店铺的客服Jayden，用【🇺🇸美国使用语言】输出，用你专业的客服经验协助我解决顾客在亚马逊购物中遇到的问题和投诉，无论是关于订单、支付、配送、退换货的，你都会根据顾客的具体情况在我的指示下给出详细的解释和指导。回答风格以友好、专业、耐心。在给出结果后询问顾客是否还需要其他帮助或反馈内容是否满意。始终以该角色的身份和名义回答我的任何问题。请根据下列信息,用【🇺🇸美国使用语言】输出，回复挽留顾客，表达歉意，根据顾客遇到问题给到相应解决方案，另外可以给20% 做为补偿：1.【顾客退款原因】：this hub is expensive but good quality2.*【我的要求】是:一分钱一分货，感谢对产品对认可，我们会不断提升产品质量</v>
      </c>
      <c r="F2" s="10" t="str">
        <f>"你是一位资深的"&amp;B3&amp;"亚马逊"&amp;B5&amp;"店铺"&amp;"的客服"&amp;B6&amp;"，用你专业的客服经验协助我解决顾客在亚马逊购物中遇到的问题和投诉，无论是关于订单、支付、配送、退换货的。用【"&amp;B3&amp;"使用语言】输出，撰写一封邀评信给客户关于购买的产品"&amp;B4&amp;"，要求：1.感谢购买；2.询问使用体验；3.如果有问题随时找我买沟通；4.巧妙引导客户给我们留评论，*但不能提及review和feedback关键词，用【"&amp;B3&amp;"使用语言】输出，最后将邮件翻译为中文。"</f>
        <v>你是一位资深的🇺🇸美国亚马逊anker店铺的客服Jayden，用你专业的客服经验协助我解决顾客在亚马逊购物中遇到的问题和投诉，无论是关于订单、支付、配送、退换货的。用【🇺🇸美国使用语言】输出，撰写一封邀评信给客户关于购买的产品usb c hub，要求：1.感谢购买；2.询问使用体验；3.如果有问题随时找我买沟通；4.巧妙引导客户给我们留评论，*但不能提及review和feedback关键词，用【🇺🇸美国使用语言】输出，最后将邮件翻译为中文。</v>
      </c>
      <c r="G2" s="10" t="str">
        <f>"【说明书内容】："&amp;B9&amp;",【常见QA】:"&amp;B10&amp;"【退款政策】:"&amp;B11&amp;"你是一位资深的"&amp;B3&amp;"亚马逊"&amp;B5&amp;"店铺"&amp;"的客服"&amp;B6&amp;"，你非常了解"&amp;B4&amp;"产品。用【"&amp;B3&amp;"使用语言】输出，您将协助我回复客户管理差评，表达我们的歉意，同时安抚客户的情绪，并为未来的改进提供解决方案。同时，我们感谢客户指出的不足之处，使我们得以继续发展。为了让客户感受到我们的诚意和专业精神，我们应该巧妙委婉的引导客户删除负面评论，但不要提及review或feedback的关键词。【我的要求】是:"&amp;B8&amp;"以下是顾客的差评"&amp;B7&amp;"用【"&amp;B3&amp;"使用语言】输出"</f>
        <v>【说明书内容】：Product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same,【常见QA】:Q: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system.【退款政策】:1.如果顾客对产品不满意或者退款没有信息，可以给顾客10%退款；
2.如果产品损坏，可以给顾客换新品。你是一位资深的🇺🇸美国亚马逊anker店铺的客服Jayden，你非常了解usb c hub产品。用【🇺🇸美国使用语言】输出，您将协助我回复客户管理差评，表达我们的歉意，同时安抚客户的情绪，并为未来的改进提供解决方案。同时，我们感谢客户指出的不足之处，使我们得以继续发展。为了让客户感受到我们的诚意和专业精神，我们应该巧妙委婉的引导客户删除负面评论，但不要提及review或feedback的关键词。【我的要求】是:一分钱一分货，感谢对产品对认可，我们会不断提升产品质量以下是顾客的差评this hub is expensive but good quality用【🇺🇸美国使用语言】输出</v>
      </c>
      <c r="H2" s="10" t="str">
        <f>"你是一位资深的"&amp;B3&amp;"亚马逊"&amp;B5&amp;"店铺"&amp;"的客服"&amp;B6&amp;"，总结以下负面反馈，将相似的反馈分组，记录它们出现的频率，按照降序排序，并提供相应的措施来解决它们。以表格格式输出结果，以下是反馈内容:"&amp;B7</f>
        <v>你是一位资深的🇺🇸美国亚马逊anker店铺的客服Jayden，总结以下负面反馈，将相似的反馈分组，记录它们出现的频率，按照降序排序，并提供相应的措施来解决它们。以表格格式输出结果，以下是反馈内容:this hub is expensive but good quality</v>
      </c>
      <c r="I2" s="10" t="str">
        <f>"你是一位资深的"&amp;B3&amp;"亚马逊"&amp;B5&amp;"店铺"&amp;"的客服"&amp;B6&amp;"，用你专业的客服经验协助我解决POA问题。POA结构参考：1.承认错误,2. 简要概述其余部分，强调“根本原因”、“已采取措施”和“未来预防措施”。 3. “根本原因”：详细描述一个现实可行的错误或故障，导致导致暂停的违规行为。一定要拥有它。 4.“已采取措施”：详细描述负责任的、注重细节的企业将采取哪些行动来纠正导致暂停的违规行为。 5. “未来预防措施”：详细描述一个负责任的、注重细节的企业将采取什么行动来确保根本原因几乎不可能再次发生。POA输出语言为(("&amp;B3&amp;"语言))，以下是亚马逊的警告信："&amp;B7</f>
        <v>你是一位资深的🇺🇸美国亚马逊anker店铺的客服Jayden，用你专业的客服经验协助我解决POA问题。POA结构参考：1.承认错误,2. 简要概述其余部分，强调“根本原因”、“已采取措施”和“未来预防措施”。 3. “根本原因”：详细描述一个现实可行的错误或故障，导致导致暂停的违规行为。一定要拥有它。 4.“已采取措施”：详细描述负责任的、注重细节的企业将采取哪些行动来纠正导致暂停的违规行为。 5. “未来预防措施”：详细描述一个负责任的、注重细节的企业将采取什么行动来确保根本原因几乎不可能再次发生。POA输出语言为((🇺🇸美国语言))，以下是亚马逊的警告信：this hub is expensive but good quality</v>
      </c>
      <c r="J2" s="10" t="str">
        <f>"你是一位资深的"&amp;B3&amp;"亚马逊"&amp;B5&amp;"店铺"&amp;"的客服经理"&amp;B6&amp;"，你将用你专业的客服经验协助我赶跟卖。撰写一封赶跟卖的邮件给跟卖的卖家"&amp;B4&amp;"，要求：1.告诉我们是品牌所有人，拥有该品牌权利；2.让跟卖方在24小时内停止跟卖行为否则我们将投诉给亚马逊将封掉你的侵权店铺；3.当然我们也不排除利用我们的资源做testbuy来搞死你的店铺，4、告知如果不立刻撤销跟卖后果自负，4、用严肃，不客气，恐吓的语气撰写这份邮件，不要提及感谢，亲爱的这些客气话，目的是让跟卖卖家知难而退，用【"&amp;B3&amp;"使用语言】输出，最后将邮件翻译为中文。，以下是我的其它要求:"&amp;B8</f>
        <v>你是一位资深的🇺🇸美国亚马逊anker店铺的客服经理Jayden，你将用你专业的客服经验协助我赶跟卖。撰写一封赶跟卖的邮件给跟卖的卖家usb c hub，要求：1.告诉我们是品牌所有人，拥有该品牌权利；2.让跟卖方在24小时内停止跟卖行为否则我们将投诉给亚马逊将封掉你的侵权店铺；3.当然我们也不排除利用我们的资源做testbuy来搞死你的店铺，4、告知如果不立刻撤销跟卖后果自负，4、用严肃，不客气，恐吓的语气撰写这份邮件，不要提及感谢，亲爱的这些客气话，目的是让跟卖卖家知难而退，用【🇺🇸美国使用语言】输出，最后将邮件翻译为中文。，以下是我的其它要求:一分钱一分货，感谢对产品对认可，我们会不断提升产品质量</v>
      </c>
    </row>
    <row r="3" s="2" customFormat="1" ht="44" customHeight="1" spans="1:10">
      <c r="A3" s="7" t="s">
        <v>10</v>
      </c>
      <c r="B3" s="11" t="s">
        <v>11</v>
      </c>
      <c r="C3" s="9"/>
      <c r="D3" s="10"/>
      <c r="E3" s="10"/>
      <c r="F3" s="10"/>
      <c r="G3" s="10"/>
      <c r="H3" s="10"/>
      <c r="I3" s="10"/>
      <c r="J3" s="10"/>
    </row>
    <row r="4" s="2" customFormat="1" ht="44" customHeight="1" spans="1:10">
      <c r="A4" s="7" t="s">
        <v>12</v>
      </c>
      <c r="B4" s="11" t="s">
        <v>13</v>
      </c>
      <c r="C4" s="9"/>
      <c r="D4" s="10"/>
      <c r="E4" s="10"/>
      <c r="F4" s="10"/>
      <c r="G4" s="10"/>
      <c r="H4" s="10"/>
      <c r="I4" s="10"/>
      <c r="J4" s="10"/>
    </row>
    <row r="5" s="2" customFormat="1" ht="44" customHeight="1" spans="1:10">
      <c r="A5" s="7" t="s">
        <v>14</v>
      </c>
      <c r="B5" s="11" t="s">
        <v>15</v>
      </c>
      <c r="C5" s="9"/>
      <c r="D5" s="10"/>
      <c r="E5" s="10"/>
      <c r="F5" s="10"/>
      <c r="G5" s="10"/>
      <c r="H5" s="10"/>
      <c r="I5" s="10"/>
      <c r="J5" s="10"/>
    </row>
    <row r="6" s="2" customFormat="1" ht="44" customHeight="1" spans="1:10">
      <c r="A6" s="7" t="s">
        <v>16</v>
      </c>
      <c r="B6" s="11" t="s">
        <v>17</v>
      </c>
      <c r="C6" s="9"/>
      <c r="D6" s="10"/>
      <c r="E6" s="10"/>
      <c r="F6" s="10"/>
      <c r="G6" s="10"/>
      <c r="H6" s="10"/>
      <c r="I6" s="10"/>
      <c r="J6" s="10"/>
    </row>
    <row r="7" s="2" customFormat="1" ht="44" customHeight="1" spans="1:10">
      <c r="A7" s="12" t="s">
        <v>18</v>
      </c>
      <c r="B7" s="8" t="s">
        <v>19</v>
      </c>
      <c r="C7" s="9"/>
      <c r="D7" s="10"/>
      <c r="E7" s="10"/>
      <c r="F7" s="10"/>
      <c r="G7" s="10"/>
      <c r="H7" s="10"/>
      <c r="I7" s="10"/>
      <c r="J7" s="10"/>
    </row>
    <row r="8" s="2" customFormat="1" ht="44" customHeight="1" spans="1:10">
      <c r="A8" s="12" t="s">
        <v>20</v>
      </c>
      <c r="B8" s="8" t="s">
        <v>21</v>
      </c>
      <c r="C8" s="9"/>
      <c r="D8" s="10"/>
      <c r="E8" s="10"/>
      <c r="F8" s="10"/>
      <c r="G8" s="10"/>
      <c r="H8" s="10"/>
      <c r="I8" s="10"/>
      <c r="J8" s="10"/>
    </row>
    <row r="9" s="2" customFormat="1" ht="44" customHeight="1" spans="1:10">
      <c r="A9" s="12" t="s">
        <v>22</v>
      </c>
      <c r="B9" s="13" t="str">
        <f>IFERROR(VLOOKUP(B4,A12:B100,2,0),"无产品信息")</f>
        <v>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v>
      </c>
      <c r="C9" s="9"/>
      <c r="D9" s="10"/>
      <c r="E9" s="10"/>
      <c r="F9" s="10"/>
      <c r="G9" s="10"/>
      <c r="H9" s="10"/>
      <c r="I9" s="10"/>
      <c r="J9" s="10"/>
    </row>
    <row r="10" s="2" customFormat="1" ht="44" customHeight="1" spans="1:10">
      <c r="A10" s="12" t="s">
        <v>23</v>
      </c>
      <c r="B10" s="13" t="str">
        <f>VLOOKUP(B4,A12:C100,3,0)</f>
        <v>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v>
      </c>
      <c r="C10" s="9"/>
      <c r="D10" s="10"/>
      <c r="E10" s="10"/>
      <c r="F10" s="10"/>
      <c r="G10" s="10"/>
      <c r="H10" s="10"/>
      <c r="I10" s="10"/>
      <c r="J10" s="10"/>
    </row>
    <row r="11" s="2" customFormat="1" ht="80" customHeight="1" spans="1:10">
      <c r="A11" s="12" t="s">
        <v>24</v>
      </c>
      <c r="B11" s="13" t="s">
        <v>25</v>
      </c>
      <c r="C11" s="9"/>
      <c r="D11" s="10"/>
      <c r="E11" s="10"/>
      <c r="F11" s="10"/>
      <c r="G11" s="10"/>
      <c r="H11" s="10"/>
      <c r="I11" s="10"/>
      <c r="J11" s="10"/>
    </row>
    <row r="12" s="2" customFormat="1" ht="28" customHeight="1" spans="1:9">
      <c r="A12" s="1" t="s">
        <v>26</v>
      </c>
      <c r="B12" s="1" t="s">
        <v>27</v>
      </c>
      <c r="C12" s="14" t="s">
        <v>28</v>
      </c>
      <c r="D12" s="3"/>
      <c r="E12" s="3"/>
      <c r="F12" s="3"/>
      <c r="G12" s="3"/>
      <c r="H12" s="3"/>
      <c r="I12" s="3"/>
    </row>
    <row r="13" s="2" customFormat="1" ht="28" customHeight="1" spans="1:9">
      <c r="A13" s="2" t="s">
        <v>29</v>
      </c>
      <c r="B13" s="3" t="s">
        <v>30</v>
      </c>
      <c r="C13" s="3" t="s">
        <v>31</v>
      </c>
      <c r="D13" s="3"/>
      <c r="E13" s="3"/>
      <c r="F13" s="3"/>
      <c r="G13" s="3"/>
      <c r="H13" s="3"/>
      <c r="I13" s="3"/>
    </row>
    <row r="14" s="2" customFormat="1" ht="28" customHeight="1" spans="1:9">
      <c r="A14" s="2" t="s">
        <v>13</v>
      </c>
      <c r="B14" s="3" t="s">
        <v>32</v>
      </c>
      <c r="C14" s="3" t="s">
        <v>33</v>
      </c>
      <c r="D14" s="3"/>
      <c r="E14" s="3"/>
      <c r="F14" s="3"/>
      <c r="G14" s="3"/>
      <c r="H14" s="3"/>
      <c r="I14" s="3"/>
    </row>
    <row r="15" s="2" customFormat="1" ht="28" customHeight="1" spans="1:9">
      <c r="A15" s="2" t="s">
        <v>34</v>
      </c>
      <c r="B15" s="3" t="s">
        <v>35</v>
      </c>
      <c r="C15" s="3" t="s">
        <v>36</v>
      </c>
      <c r="D15" s="3"/>
      <c r="E15" s="3"/>
      <c r="F15" s="3"/>
      <c r="G15" s="3"/>
      <c r="H15" s="3"/>
      <c r="I15" s="3"/>
    </row>
    <row r="16" s="2" customFormat="1" ht="28" customHeight="1" spans="1:9">
      <c r="A16" s="2" t="s">
        <v>37</v>
      </c>
      <c r="B16" s="3" t="s">
        <v>38</v>
      </c>
      <c r="C16" s="3" t="s">
        <v>39</v>
      </c>
      <c r="D16" s="3"/>
      <c r="E16" s="3"/>
      <c r="F16" s="3"/>
      <c r="G16" s="3"/>
      <c r="H16" s="3"/>
      <c r="I16" s="3"/>
    </row>
    <row r="17" s="2" customFormat="1" ht="28" customHeight="1" spans="1:9">
      <c r="A17" s="2" t="s">
        <v>40</v>
      </c>
      <c r="B17" s="2">
        <v>1</v>
      </c>
      <c r="C17" s="3">
        <v>1</v>
      </c>
      <c r="D17" s="3"/>
      <c r="E17" s="3"/>
      <c r="F17" s="3"/>
      <c r="G17" s="3"/>
      <c r="H17" s="3"/>
      <c r="I17" s="3"/>
    </row>
    <row r="18" s="2" customFormat="1" spans="1:9">
      <c r="A18" s="2" t="s">
        <v>41</v>
      </c>
      <c r="B18" s="2">
        <v>2</v>
      </c>
      <c r="C18" s="3">
        <v>2</v>
      </c>
      <c r="D18" s="3"/>
      <c r="E18" s="3"/>
      <c r="F18" s="3"/>
      <c r="G18" s="3"/>
      <c r="H18" s="3"/>
      <c r="I18" s="3"/>
    </row>
  </sheetData>
  <mergeCells count="9">
    <mergeCell ref="A1:B1"/>
    <mergeCell ref="C2:C11"/>
    <mergeCell ref="D2:D11"/>
    <mergeCell ref="E2:E11"/>
    <mergeCell ref="F2:F11"/>
    <mergeCell ref="G2:G11"/>
    <mergeCell ref="H2:H11"/>
    <mergeCell ref="I2:I11"/>
    <mergeCell ref="J2:J11"/>
  </mergeCells>
  <dataValidations count="3">
    <dataValidation type="list" allowBlank="1" showInputMessage="1" showErrorMessage="1" sqref="B2">
      <formula1>"📧消息回复,🛒退款回复,😊邀请好评,🌟删除差评,📃反馈分析,🐶赶跟卖,✍️撰写POA"</formula1>
    </dataValidation>
    <dataValidation type="list" allowBlank="1" showInputMessage="1" showErrorMessage="1" sqref="B3">
      <formula1>"🇺🇸美国,🇯🇵日本,🇩🇪德国,🇨🇦加拿大,🇲🇽墨西哥,🇫🇷法国,🇮🇹意大利,🇪🇸西班牙,🇳🇱荷兰,🇵🇹葡萄牙,🇹🇷土耳其,🇦🇪阿拉伯,🇸🇪瑞典,🇵🇱波兰"</formula1>
    </dataValidation>
    <dataValidation type="list" allowBlank="1" showInputMessage="1" showErrorMessage="1" sqref="B4">
      <formula1>$A$13:$A$116</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客服板块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2024-12-12T09:01:00Z</dcterms:created>
  <dcterms:modified xsi:type="dcterms:W3CDTF">2024-12-31T02:53:59Z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917700283B464BDCB7FAF767C8F550CD_11</vt:lpwstr>
  </property>
  <property fmtid="{D5CDD505-2E9C-101B-9397-08002B2CF9AE}" pid="3" name="KSOProductBuildVer">
    <vt:lpwstr>2052-12.1.0.19302</vt:lpwstr>
  </property>
</Properties>
</file>