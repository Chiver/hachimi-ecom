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运营总表" sheetId="7" r:id="rId1"/>
    <sheet name="推广计划" sheetId="1" r:id="rId2"/>
    <sheet name="推广记录表" sheetId="2" r:id="rId3"/>
    <sheet name="广告预算计算" sheetId="6" r:id="rId4"/>
    <sheet name="广告竞价计算" sheetId="4" r:id="rId5"/>
    <sheet name="广告调整记录" sheetId="5" r:id="rId6"/>
    <sheet name="广告周数据和月数据" sheetId="3" r:id="rId7"/>
    <sheet name="刷单留评记录表" sheetId="9" r:id="rId8"/>
    <sheet name="关键词位置" sheetId="11" r:id="rId9"/>
    <sheet name="WpsReserved_CellImgList" sheetId="10" state="very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<sst xmlns="http://schemas.openxmlformats.org/spreadsheetml/2006/main" count="329" uniqueCount="219">
  <si>
    <t>Date</t>
  </si>
  <si>
    <t>买家访问次数</t>
  </si>
  <si>
    <t>订单商品数量转化率</t>
  </si>
  <si>
    <t>销量</t>
  </si>
  <si>
    <t>多渠道数量</t>
  </si>
  <si>
    <t>商品销售额</t>
  </si>
  <si>
    <t>退款量</t>
  </si>
  <si>
    <t>退款金额</t>
  </si>
  <si>
    <t>Promote折扣</t>
  </si>
  <si>
    <t>促销占比</t>
  </si>
  <si>
    <t>广告花费</t>
  </si>
  <si>
    <t>ACoAs</t>
  </si>
  <si>
    <t>曝光量</t>
  </si>
  <si>
    <t>点击量</t>
  </si>
  <si>
    <t>点击率</t>
  </si>
  <si>
    <t>直接订单量</t>
  </si>
  <si>
    <t>直接销售额</t>
  </si>
  <si>
    <t>直接订单量占比</t>
  </si>
  <si>
    <t>间接订单量</t>
  </si>
  <si>
    <t>推广计划</t>
  </si>
  <si>
    <t>推广计划时长：</t>
  </si>
  <si>
    <t>4周</t>
  </si>
  <si>
    <t>前期准备</t>
  </si>
  <si>
    <t>负责人</t>
  </si>
  <si>
    <t>完成情况</t>
  </si>
  <si>
    <t>备注</t>
  </si>
  <si>
    <t>目标排名</t>
  </si>
  <si>
    <t>市场调研</t>
  </si>
  <si>
    <t>关键词规划</t>
  </si>
  <si>
    <t>推广期测评量：</t>
  </si>
  <si>
    <t>链接文案</t>
  </si>
  <si>
    <t>图片需求</t>
  </si>
  <si>
    <t>下采购单</t>
  </si>
  <si>
    <t>重点推广关键词：</t>
  </si>
  <si>
    <t>头程发货</t>
  </si>
  <si>
    <t>推广规划</t>
  </si>
  <si>
    <t>推广周期</t>
  </si>
  <si>
    <t>上线第1周</t>
  </si>
  <si>
    <t>上线第2周</t>
  </si>
  <si>
    <t>上线第3周</t>
  </si>
  <si>
    <t>上线第4周</t>
  </si>
  <si>
    <t>第一阶段推广期结束</t>
  </si>
  <si>
    <t>售价</t>
  </si>
  <si>
    <t>测评</t>
  </si>
  <si>
    <t>留评单：</t>
  </si>
  <si>
    <t>免评单（包含留feedback）：</t>
  </si>
  <si>
    <t>总量</t>
  </si>
  <si>
    <t>预估链接review数</t>
  </si>
  <si>
    <t>Q&amp;A</t>
  </si>
  <si>
    <t>文字</t>
  </si>
  <si>
    <t>视频</t>
  </si>
  <si>
    <t>站内广告</t>
  </si>
  <si>
    <t>自动</t>
  </si>
  <si>
    <t>广泛</t>
  </si>
  <si>
    <t>词组</t>
  </si>
  <si>
    <t>精准</t>
  </si>
  <si>
    <t>类目定投</t>
  </si>
  <si>
    <t>ASIN定投</t>
  </si>
  <si>
    <t>品牌广告</t>
  </si>
  <si>
    <t>其他动作(Coupon, Promotion, giveaway, 站内回访, 站内索评,秒杀)</t>
  </si>
  <si>
    <t>大类排名</t>
  </si>
  <si>
    <t>小类排名</t>
  </si>
  <si>
    <t>主打关键词</t>
  </si>
  <si>
    <t>产品推广记录表</t>
  </si>
  <si>
    <r>
      <rPr>
        <sz val="12"/>
        <color theme="0"/>
        <rFont val="宋体"/>
        <charset val="134"/>
      </rPr>
      <t>周推广目的</t>
    </r>
  </si>
  <si>
    <r>
      <rPr>
        <sz val="12"/>
        <color theme="0"/>
        <rFont val="宋体"/>
        <charset val="134"/>
      </rPr>
      <t>周</t>
    </r>
  </si>
  <si>
    <r>
      <rPr>
        <sz val="12"/>
        <color theme="0"/>
        <rFont val="宋体"/>
        <charset val="134"/>
      </rPr>
      <t>日</t>
    </r>
  </si>
  <si>
    <r>
      <rPr>
        <sz val="12"/>
        <color theme="0"/>
        <rFont val="宋体"/>
        <charset val="134"/>
      </rPr>
      <t>刷单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关键词</t>
    </r>
  </si>
  <si>
    <r>
      <rPr>
        <sz val="12"/>
        <color theme="0"/>
        <rFont val="宋体"/>
        <charset val="134"/>
      </rPr>
      <t>关键词排名</t>
    </r>
  </si>
  <si>
    <r>
      <rPr>
        <sz val="12"/>
        <color theme="0"/>
        <rFont val="宋体"/>
        <charset val="134"/>
      </rPr>
      <t>流量</t>
    </r>
  </si>
  <si>
    <r>
      <rPr>
        <sz val="12"/>
        <color theme="0"/>
        <rFont val="宋体"/>
        <charset val="134"/>
      </rPr>
      <t>转化率</t>
    </r>
  </si>
  <si>
    <r>
      <rPr>
        <sz val="12"/>
        <color theme="0"/>
        <rFont val="宋体"/>
        <charset val="134"/>
      </rPr>
      <t>实际转化率</t>
    </r>
    <r>
      <rPr>
        <sz val="12"/>
        <color theme="0"/>
        <rFont val="Arial"/>
        <charset val="134"/>
      </rPr>
      <t xml:space="preserve">
(</t>
    </r>
    <r>
      <rPr>
        <sz val="12"/>
        <color theme="0"/>
        <rFont val="宋体"/>
        <charset val="134"/>
      </rPr>
      <t>自然订单</t>
    </r>
    <r>
      <rPr>
        <sz val="12"/>
        <color theme="0"/>
        <rFont val="Arial"/>
        <charset val="134"/>
      </rPr>
      <t>)</t>
    </r>
  </si>
  <si>
    <r>
      <rPr>
        <sz val="12"/>
        <color theme="0"/>
        <rFont val="宋体"/>
        <charset val="134"/>
      </rPr>
      <t>订单</t>
    </r>
  </si>
  <si>
    <r>
      <rPr>
        <sz val="12"/>
        <color theme="0"/>
        <rFont val="宋体"/>
        <charset val="134"/>
      </rPr>
      <t>大类排名</t>
    </r>
  </si>
  <si>
    <r>
      <rPr>
        <sz val="12"/>
        <color theme="0"/>
        <rFont val="宋体"/>
        <charset val="134"/>
      </rPr>
      <t>小类排名</t>
    </r>
  </si>
  <si>
    <r>
      <rPr>
        <sz val="12"/>
        <color theme="0"/>
        <rFont val="宋体"/>
        <charset val="134"/>
      </rPr>
      <t>售价</t>
    </r>
  </si>
  <si>
    <r>
      <rPr>
        <sz val="12"/>
        <color theme="0"/>
        <rFont val="宋体"/>
        <charset val="134"/>
      </rPr>
      <t>评论数量</t>
    </r>
  </si>
  <si>
    <r>
      <rPr>
        <sz val="12"/>
        <color theme="0"/>
        <rFont val="Arial"/>
        <charset val="134"/>
      </rPr>
      <t>Q&amp;A</t>
    </r>
    <r>
      <rPr>
        <sz val="12"/>
        <color theme="0"/>
        <rFont val="宋体"/>
        <charset val="134"/>
      </rPr>
      <t>数量</t>
    </r>
  </si>
  <si>
    <r>
      <rPr>
        <sz val="12"/>
        <color theme="0"/>
        <rFont val="宋体"/>
        <charset val="134"/>
      </rPr>
      <t>星级评分</t>
    </r>
  </si>
  <si>
    <r>
      <rPr>
        <sz val="12"/>
        <color theme="0"/>
        <rFont val="宋体"/>
        <charset val="134"/>
      </rPr>
      <t>广告曝光</t>
    </r>
  </si>
  <si>
    <r>
      <rPr>
        <sz val="12"/>
        <color theme="0"/>
        <rFont val="宋体"/>
        <charset val="134"/>
      </rPr>
      <t>广告点击</t>
    </r>
  </si>
  <si>
    <r>
      <rPr>
        <sz val="12"/>
        <color theme="0"/>
        <rFont val="宋体"/>
        <charset val="134"/>
      </rPr>
      <t>广告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点击率</t>
    </r>
  </si>
  <si>
    <r>
      <rPr>
        <sz val="12"/>
        <color theme="0"/>
        <rFont val="宋体"/>
        <charset val="134"/>
      </rPr>
      <t>广告花费</t>
    </r>
  </si>
  <si>
    <r>
      <rPr>
        <sz val="12"/>
        <color theme="0"/>
        <rFont val="宋体"/>
        <charset val="134"/>
      </rPr>
      <t>广告直接订单</t>
    </r>
  </si>
  <si>
    <r>
      <rPr>
        <sz val="12"/>
        <color theme="0"/>
        <rFont val="宋体"/>
        <charset val="134"/>
      </rPr>
      <t>广告直接销售额</t>
    </r>
  </si>
  <si>
    <r>
      <rPr>
        <sz val="12"/>
        <color theme="0"/>
        <rFont val="宋体"/>
        <charset val="134"/>
      </rPr>
      <t>站内推广动作</t>
    </r>
  </si>
  <si>
    <r>
      <rPr>
        <sz val="12"/>
        <color theme="0"/>
        <rFont val="宋体"/>
        <charset val="134"/>
      </rPr>
      <t>站外推广动作</t>
    </r>
  </si>
  <si>
    <r>
      <rPr>
        <sz val="12"/>
        <color theme="0"/>
        <rFont val="宋体"/>
        <charset val="134"/>
      </rPr>
      <t>周推广总结</t>
    </r>
  </si>
  <si>
    <t>ASIN</t>
  </si>
  <si>
    <r>
      <rPr>
        <sz val="12"/>
        <color theme="0"/>
        <rFont val="宋体"/>
        <charset val="134"/>
      </rPr>
      <t>自然排名</t>
    </r>
  </si>
  <si>
    <r>
      <rPr>
        <sz val="12"/>
        <color theme="0"/>
        <rFont val="宋体"/>
        <charset val="134"/>
      </rPr>
      <t>广告排名</t>
    </r>
  </si>
  <si>
    <t>总订单</t>
  </si>
  <si>
    <r>
      <rPr>
        <sz val="12"/>
        <color theme="0"/>
        <rFont val="宋体"/>
        <charset val="134"/>
      </rPr>
      <t>自然订单</t>
    </r>
  </si>
  <si>
    <r>
      <rPr>
        <sz val="12"/>
        <color theme="0"/>
        <rFont val="宋体"/>
        <charset val="134"/>
      </rPr>
      <t>广告订单</t>
    </r>
  </si>
  <si>
    <r>
      <rPr>
        <sz val="12"/>
        <color theme="0"/>
        <rFont val="宋体"/>
        <charset val="134"/>
      </rPr>
      <t>站外送测</t>
    </r>
  </si>
  <si>
    <t xml:space="preserve">1. 链接因安全问题被下架近10天, 29号恢复在售, 重新进行链接的转化激活以及引流
2. 站内建立引流的广告结构,配合站外推词
3. 页面优惠券 进行活动流量入口布局及吸引转化
</t>
  </si>
  <si>
    <t>Week1</t>
  </si>
  <si>
    <t>/</t>
  </si>
  <si>
    <t>1. 上线3-5条Q&amp;A
2.基础流量涌进 , 词的位置逐渐上升, 调整广告 重新分配预算 以偏转化的广告结构增加销量及转化
3. coupon从10%调至15% 刺激转化</t>
  </si>
  <si>
    <t>Week2</t>
  </si>
  <si>
    <t>1. 稳定产品大类排名在2000名以内, 小类前15名
2. 保持当前强转化的广告结构 提升链接转化, 获得更多的流量分配
3. 提报站内秒杀及会员专属折扣, 在这个月冲销量排名</t>
  </si>
  <si>
    <t>Week3</t>
  </si>
  <si>
    <t>、</t>
  </si>
  <si>
    <t>1. 产品排名稳定在1000名以内
2. 增评及增加Q&amp;A</t>
  </si>
  <si>
    <t>Week4</t>
  </si>
  <si>
    <t>广告预算计算</t>
  </si>
  <si>
    <t>产品单价</t>
  </si>
  <si>
    <t>日均销售额</t>
  </si>
  <si>
    <t>当前广告转化率</t>
  </si>
  <si>
    <r>
      <rPr>
        <b/>
        <sz val="12"/>
        <color theme="0"/>
        <rFont val="宋体"/>
        <charset val="134"/>
      </rPr>
      <t>当前</t>
    </r>
    <r>
      <rPr>
        <b/>
        <sz val="12"/>
        <color theme="0"/>
        <rFont val="Arial"/>
        <charset val="134"/>
      </rPr>
      <t>CPC</t>
    </r>
  </si>
  <si>
    <t>当前点击率</t>
  </si>
  <si>
    <t>预估广告花费</t>
  </si>
  <si>
    <t>预期曝光量</t>
  </si>
  <si>
    <t>预期点击次数(日均)</t>
  </si>
  <si>
    <t>预期广告出单(日均)</t>
  </si>
  <si>
    <t>预期销售额(日均)</t>
  </si>
  <si>
    <r>
      <rPr>
        <b/>
        <sz val="12"/>
        <color theme="0"/>
        <rFont val="宋体"/>
        <charset val="134"/>
      </rPr>
      <t>预估综合</t>
    </r>
    <r>
      <rPr>
        <b/>
        <sz val="12"/>
        <color theme="0"/>
        <rFont val="Arial"/>
        <charset val="134"/>
      </rPr>
      <t>ACOS</t>
    </r>
  </si>
  <si>
    <r>
      <rPr>
        <b/>
        <sz val="12"/>
        <color theme="0"/>
        <rFont val="宋体"/>
        <charset val="134"/>
      </rPr>
      <t>预估</t>
    </r>
    <r>
      <rPr>
        <b/>
        <sz val="12"/>
        <color theme="0"/>
        <rFont val="Arial"/>
        <charset val="134"/>
      </rPr>
      <t>ACOS</t>
    </r>
  </si>
  <si>
    <t>预估ROAS</t>
  </si>
  <si>
    <r>
      <rPr>
        <b/>
        <sz val="11"/>
        <color theme="1"/>
        <rFont val="Microsoft YaHei UI"/>
        <charset val="134"/>
      </rPr>
      <t>基础竞价</t>
    </r>
  </si>
  <si>
    <r>
      <rPr>
        <b/>
        <sz val="11"/>
        <color theme="0"/>
        <rFont val="Microsoft YaHei UI"/>
        <charset val="134"/>
      </rPr>
      <t>目标</t>
    </r>
    <r>
      <rPr>
        <b/>
        <sz val="11"/>
        <color theme="0"/>
        <rFont val="Arial"/>
        <charset val="134"/>
      </rPr>
      <t>ACoS</t>
    </r>
  </si>
  <si>
    <r>
      <rPr>
        <b/>
        <sz val="11"/>
        <color theme="0"/>
        <rFont val="Microsoft YaHei UI"/>
        <charset val="134"/>
      </rPr>
      <t>产品售价</t>
    </r>
  </si>
  <si>
    <r>
      <rPr>
        <b/>
        <sz val="11"/>
        <color theme="0"/>
        <rFont val="Microsoft YaHei UI"/>
        <charset val="134"/>
      </rPr>
      <t>转化率</t>
    </r>
  </si>
  <si>
    <r>
      <rPr>
        <b/>
        <sz val="11"/>
        <color theme="0"/>
        <rFont val="Microsoft YaHei UI"/>
        <charset val="134"/>
      </rPr>
      <t>调整比例</t>
    </r>
  </si>
  <si>
    <r>
      <rPr>
        <b/>
        <sz val="11"/>
        <color theme="0"/>
        <rFont val="Microsoft YaHei UI"/>
        <charset val="134"/>
      </rPr>
      <t>期望投入多少产生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</si>
  <si>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多少次点击产生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</si>
  <si>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单次点击收入</t>
    </r>
  </si>
  <si>
    <r>
      <rPr>
        <b/>
        <sz val="11"/>
        <color theme="0"/>
        <rFont val="Microsoft YaHei UI"/>
        <charset val="134"/>
      </rPr>
      <t>目标竞价</t>
    </r>
  </si>
  <si>
    <r>
      <rPr>
        <b/>
        <sz val="11"/>
        <color theme="1"/>
        <rFont val="Microsoft YaHei UI"/>
        <charset val="134"/>
      </rPr>
      <t>广告位调整竞价</t>
    </r>
  </si>
  <si>
    <r>
      <rPr>
        <b/>
        <sz val="11"/>
        <color theme="0"/>
        <rFont val="Microsoft YaHei UI"/>
        <charset val="134"/>
      </rPr>
      <t>广告位</t>
    </r>
    <r>
      <rPr>
        <b/>
        <sz val="11"/>
        <color theme="0"/>
        <rFont val="Arial"/>
        <charset val="134"/>
      </rPr>
      <t xml:space="preserve"> Placement</t>
    </r>
  </si>
  <si>
    <r>
      <rPr>
        <b/>
        <sz val="11"/>
        <color theme="0"/>
        <rFont val="Microsoft YaHei UI"/>
        <charset val="134"/>
      </rPr>
      <t>点击</t>
    </r>
  </si>
  <si>
    <r>
      <rPr>
        <b/>
        <sz val="11"/>
        <color theme="0"/>
        <rFont val="Microsoft YaHei UI"/>
        <charset val="134"/>
      </rPr>
      <t>销售额</t>
    </r>
  </si>
  <si>
    <t>CPC</t>
  </si>
  <si>
    <t>First page Top of Search on Amazon</t>
  </si>
  <si>
    <t>Product pages on Amazon</t>
  </si>
  <si>
    <t>Rest of search on Amazon</t>
  </si>
  <si>
    <r>
      <rPr>
        <sz val="11"/>
        <color theme="1"/>
        <rFont val="Microsoft YaHei UI"/>
        <charset val="134"/>
      </rPr>
      <t>总计</t>
    </r>
  </si>
  <si>
    <r>
      <rPr>
        <sz val="11"/>
        <color theme="0"/>
        <rFont val="Microsoft YaHei UI"/>
        <charset val="134"/>
      </rPr>
      <t>最高</t>
    </r>
    <r>
      <rPr>
        <sz val="11"/>
        <color theme="0"/>
        <rFont val="Arial"/>
        <charset val="134"/>
      </rPr>
      <t>SPC</t>
    </r>
    <r>
      <rPr>
        <sz val="11"/>
        <color theme="0"/>
        <rFont val="Microsoft YaHei UI"/>
        <charset val="134"/>
      </rPr>
      <t>位置点击占比</t>
    </r>
  </si>
  <si>
    <r>
      <rPr>
        <sz val="11"/>
        <color theme="0"/>
        <rFont val="Microsoft YaHei UI"/>
        <charset val="134"/>
      </rPr>
      <t>默认竞价</t>
    </r>
    <r>
      <rPr>
        <sz val="11"/>
        <color theme="0"/>
        <rFont val="Arial"/>
        <charset val="134"/>
      </rPr>
      <t>(</t>
    </r>
    <r>
      <rPr>
        <sz val="11"/>
        <color theme="0"/>
        <rFont val="Microsoft YaHei UI"/>
        <charset val="134"/>
      </rPr>
      <t>单关键词广告活动）</t>
    </r>
  </si>
  <si>
    <r>
      <rPr>
        <sz val="11"/>
        <color theme="0"/>
        <rFont val="Arial"/>
        <charset val="134"/>
      </rPr>
      <t xml:space="preserve">Top of Search </t>
    </r>
    <r>
      <rPr>
        <sz val="11"/>
        <color theme="0"/>
        <rFont val="Microsoft YaHei UI"/>
        <charset val="134"/>
      </rPr>
      <t>调整比例</t>
    </r>
  </si>
  <si>
    <r>
      <rPr>
        <sz val="11"/>
        <color theme="0"/>
        <rFont val="Arial"/>
        <charset val="134"/>
      </rPr>
      <t xml:space="preserve">Product pages </t>
    </r>
    <r>
      <rPr>
        <sz val="11"/>
        <color theme="0"/>
        <rFont val="Microsoft YaHei UI"/>
        <charset val="134"/>
      </rPr>
      <t>调整比例</t>
    </r>
  </si>
  <si>
    <r>
      <rPr>
        <b/>
        <sz val="11"/>
        <color theme="1"/>
        <rFont val="Microsoft YaHei UI"/>
        <charset val="134"/>
      </rPr>
      <t>多关键词广告活动</t>
    </r>
  </si>
  <si>
    <r>
      <rPr>
        <b/>
        <sz val="11"/>
        <color theme="0"/>
        <rFont val="Microsoft YaHei UI"/>
        <charset val="134"/>
      </rPr>
      <t>关键词</t>
    </r>
  </si>
  <si>
    <r>
      <rPr>
        <b/>
        <sz val="11"/>
        <color theme="0"/>
        <rFont val="Microsoft YaHei UI"/>
        <charset val="134"/>
      </rPr>
      <t>竞价</t>
    </r>
  </si>
  <si>
    <r>
      <rPr>
        <b/>
        <sz val="24"/>
        <color theme="0"/>
        <rFont val="宋体"/>
        <charset val="134"/>
      </rPr>
      <t>广告调整记录</t>
    </r>
  </si>
  <si>
    <r>
      <rPr>
        <sz val="12"/>
        <color theme="0"/>
        <rFont val="宋体"/>
        <charset val="134"/>
      </rPr>
      <t>日期</t>
    </r>
  </si>
  <si>
    <r>
      <rPr>
        <b/>
        <sz val="14"/>
        <color theme="0"/>
        <rFont val="宋体"/>
        <charset val="134"/>
      </rPr>
      <t>广告结构调整</t>
    </r>
  </si>
  <si>
    <r>
      <rPr>
        <b/>
        <sz val="14"/>
        <color theme="0"/>
        <rFont val="宋体"/>
        <charset val="134"/>
      </rPr>
      <t>广告活动</t>
    </r>
  </si>
  <si>
    <r>
      <rPr>
        <b/>
        <sz val="14"/>
        <color rgb="FFFFFFFF"/>
        <rFont val="汉仪书宋二KW"/>
        <charset val="134"/>
      </rPr>
      <t>调整记录</t>
    </r>
  </si>
  <si>
    <r>
      <rPr>
        <sz val="11"/>
        <color theme="0"/>
        <rFont val="宋体"/>
        <charset val="134"/>
      </rPr>
      <t>自动广告</t>
    </r>
  </si>
  <si>
    <r>
      <rPr>
        <sz val="11"/>
        <color theme="0"/>
        <rFont val="宋体"/>
        <charset val="134"/>
      </rPr>
      <t>手动广告</t>
    </r>
  </si>
  <si>
    <r>
      <rPr>
        <sz val="11"/>
        <color theme="0"/>
        <rFont val="宋体"/>
        <charset val="134"/>
      </rPr>
      <t>产品定投</t>
    </r>
  </si>
  <si>
    <r>
      <rPr>
        <sz val="11"/>
        <color theme="0"/>
        <rFont val="宋体"/>
        <charset val="134"/>
      </rPr>
      <t>类目定投</t>
    </r>
  </si>
  <si>
    <r>
      <rPr>
        <sz val="11"/>
        <color theme="0"/>
        <rFont val="宋体"/>
        <charset val="134"/>
      </rPr>
      <t>品牌广告</t>
    </r>
  </si>
  <si>
    <r>
      <rPr>
        <sz val="11"/>
        <color theme="0"/>
        <rFont val="宋体"/>
        <charset val="134"/>
      </rPr>
      <t>视频广告</t>
    </r>
  </si>
  <si>
    <r>
      <rPr>
        <sz val="11"/>
        <color theme="0"/>
        <rFont val="Arial"/>
        <charset val="134"/>
      </rPr>
      <t>SD</t>
    </r>
    <r>
      <rPr>
        <sz val="11"/>
        <color theme="0"/>
        <rFont val="宋体"/>
        <charset val="134"/>
      </rPr>
      <t>广告</t>
    </r>
  </si>
  <si>
    <r>
      <rPr>
        <sz val="11"/>
        <color theme="0"/>
        <rFont val="宋体"/>
        <charset val="134"/>
      </rPr>
      <t>广告活动</t>
    </r>
  </si>
  <si>
    <r>
      <rPr>
        <sz val="11"/>
        <color theme="0"/>
        <rFont val="宋体"/>
        <charset val="134"/>
      </rPr>
      <t>广告组</t>
    </r>
  </si>
  <si>
    <r>
      <rPr>
        <sz val="11"/>
        <color rgb="FFFFFFFF"/>
        <rFont val="汉仪书宋二KW"/>
        <charset val="134"/>
      </rPr>
      <t>预算</t>
    </r>
    <r>
      <rPr>
        <sz val="11"/>
        <color rgb="FFFFFFFF"/>
        <rFont val="Arial"/>
        <charset val="134"/>
      </rPr>
      <t>/</t>
    </r>
    <r>
      <rPr>
        <sz val="11"/>
        <color rgb="FFFFFFFF"/>
        <rFont val="汉仪书宋二KW"/>
        <charset val="134"/>
      </rPr>
      <t>竞价调整</t>
    </r>
  </si>
  <si>
    <r>
      <rPr>
        <sz val="11"/>
        <color rgb="FFFFFFFF"/>
        <rFont val="汉仪书宋二KW"/>
        <charset val="134"/>
      </rPr>
      <t>广告策略调整</t>
    </r>
  </si>
  <si>
    <r>
      <rPr>
        <sz val="11"/>
        <color rgb="FFFFFFFF"/>
        <rFont val="汉仪书宋二KW"/>
        <charset val="134"/>
      </rPr>
      <t>位置比例调整</t>
    </r>
  </si>
  <si>
    <r>
      <rPr>
        <sz val="11"/>
        <color rgb="FFFFFFFF"/>
        <rFont val="宋体"/>
        <charset val="134"/>
      </rPr>
      <t>添加</t>
    </r>
    <r>
      <rPr>
        <sz val="11"/>
        <color rgb="FFFFFFFF"/>
        <rFont val="Arial"/>
        <charset val="134"/>
      </rPr>
      <t>/</t>
    </r>
    <r>
      <rPr>
        <sz val="11"/>
        <color rgb="FFFFFFFF"/>
        <rFont val="宋体"/>
        <charset val="134"/>
      </rPr>
      <t>删除关键词</t>
    </r>
    <r>
      <rPr>
        <sz val="11"/>
        <color rgb="FFFFFFFF"/>
        <rFont val="Arial"/>
        <charset val="134"/>
      </rPr>
      <t xml:space="preserve"> ASIN</t>
    </r>
  </si>
  <si>
    <r>
      <rPr>
        <sz val="11"/>
        <color rgb="FFFFFFFF"/>
        <rFont val="宋体"/>
        <charset val="134"/>
      </rPr>
      <t>关键词</t>
    </r>
    <r>
      <rPr>
        <sz val="11"/>
        <color rgb="FFFFFFFF"/>
        <rFont val="Arial"/>
        <charset val="134"/>
      </rPr>
      <t>/ASIN</t>
    </r>
    <r>
      <rPr>
        <sz val="11"/>
        <color rgb="FFFFFFFF"/>
        <rFont val="宋体"/>
        <charset val="134"/>
      </rPr>
      <t>否定</t>
    </r>
  </si>
  <si>
    <r>
      <rPr>
        <sz val="11"/>
        <color rgb="FFFFFFFF"/>
        <rFont val="汉仪书宋二KW"/>
        <charset val="134"/>
      </rPr>
      <t>原始预算</t>
    </r>
  </si>
  <si>
    <r>
      <rPr>
        <sz val="11"/>
        <color rgb="FFFFFFFF"/>
        <rFont val="汉仪书宋二KW"/>
        <charset val="134"/>
      </rPr>
      <t>调整预算</t>
    </r>
  </si>
  <si>
    <r>
      <rPr>
        <sz val="11"/>
        <color rgb="FFFFFFFF"/>
        <rFont val="汉仪书宋二KW"/>
        <charset val="134"/>
      </rPr>
      <t>关键词</t>
    </r>
  </si>
  <si>
    <r>
      <rPr>
        <sz val="11"/>
        <color rgb="FFFFFFFF"/>
        <rFont val="汉仪书宋二KW"/>
        <charset val="134"/>
      </rPr>
      <t>原始竞价</t>
    </r>
  </si>
  <si>
    <r>
      <rPr>
        <sz val="11"/>
        <color rgb="FFFFFFFF"/>
        <rFont val="汉仪书宋二KW"/>
        <charset val="134"/>
      </rPr>
      <t>调整竞价</t>
    </r>
  </si>
  <si>
    <r>
      <rPr>
        <sz val="11"/>
        <color rgb="FFFFFFFF"/>
        <rFont val="汉仪书宋二KW"/>
        <charset val="134"/>
      </rPr>
      <t>原始策略</t>
    </r>
  </si>
  <si>
    <r>
      <rPr>
        <sz val="11"/>
        <color rgb="FFFFFFFF"/>
        <rFont val="汉仪书宋二KW"/>
        <charset val="134"/>
      </rPr>
      <t>调整策略</t>
    </r>
  </si>
  <si>
    <r>
      <rPr>
        <sz val="11"/>
        <color rgb="FFFFFFFF"/>
        <rFont val="汉仪书宋二KW"/>
        <charset val="134"/>
      </rPr>
      <t>位置</t>
    </r>
  </si>
  <si>
    <r>
      <rPr>
        <sz val="11"/>
        <color rgb="FFFFFFFF"/>
        <rFont val="汉仪书宋二KW"/>
        <charset val="134"/>
      </rPr>
      <t>原始比例</t>
    </r>
  </si>
  <si>
    <r>
      <rPr>
        <sz val="11"/>
        <color rgb="FFFFFFFF"/>
        <rFont val="汉仪书宋二KW"/>
        <charset val="134"/>
      </rPr>
      <t>调整比例</t>
    </r>
  </si>
  <si>
    <r>
      <rPr>
        <sz val="11"/>
        <color rgb="FFFFFFFF"/>
        <rFont val="宋体"/>
        <charset val="134"/>
      </rPr>
      <t>添加</t>
    </r>
  </si>
  <si>
    <r>
      <rPr>
        <sz val="11"/>
        <color rgb="FFFFFFFF"/>
        <rFont val="宋体"/>
        <charset val="134"/>
      </rPr>
      <t>删除</t>
    </r>
    <r>
      <rPr>
        <sz val="11"/>
        <color rgb="FFFFFFFF"/>
        <rFont val="Arial"/>
        <charset val="134"/>
      </rPr>
      <t>(Archive Or Pause)</t>
    </r>
  </si>
  <si>
    <r>
      <rPr>
        <sz val="11"/>
        <color rgb="FFFFFFFF"/>
        <rFont val="宋体"/>
        <charset val="134"/>
      </rPr>
      <t>词组否定</t>
    </r>
  </si>
  <si>
    <r>
      <rPr>
        <sz val="11"/>
        <color rgb="FFFFFFFF"/>
        <rFont val="宋体"/>
        <charset val="134"/>
      </rPr>
      <t>精准否定</t>
    </r>
  </si>
  <si>
    <r>
      <rPr>
        <b/>
        <sz val="18"/>
        <color theme="0"/>
        <rFont val="宋体"/>
        <charset val="134"/>
      </rPr>
      <t>产品广告数据周</t>
    </r>
    <r>
      <rPr>
        <b/>
        <sz val="18"/>
        <color theme="0"/>
        <rFont val="Arial"/>
        <charset val="134"/>
      </rPr>
      <t>/</t>
    </r>
    <r>
      <rPr>
        <b/>
        <sz val="18"/>
        <color theme="0"/>
        <rFont val="宋体"/>
        <charset val="134"/>
      </rPr>
      <t>月统计</t>
    </r>
  </si>
  <si>
    <r>
      <rPr>
        <sz val="11"/>
        <color theme="0"/>
        <rFont val="Arial"/>
        <charset val="134"/>
      </rPr>
      <t>1-7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</si>
  <si>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8-14</t>
    </r>
    <r>
      <rPr>
        <sz val="11"/>
        <color theme="0"/>
        <rFont val="宋体"/>
        <charset val="134"/>
      </rPr>
      <t>日产品广告数据分析</t>
    </r>
  </si>
  <si>
    <r>
      <rPr>
        <sz val="10"/>
        <color theme="1"/>
        <rFont val="宋体"/>
        <charset val="134"/>
      </rPr>
      <t>产品</t>
    </r>
  </si>
  <si>
    <t>月份</t>
  </si>
  <si>
    <r>
      <rPr>
        <sz val="10"/>
        <color theme="1"/>
        <rFont val="宋体"/>
        <charset val="134"/>
      </rPr>
      <t>站点</t>
    </r>
  </si>
  <si>
    <r>
      <rPr>
        <sz val="10"/>
        <color theme="1"/>
        <rFont val="宋体"/>
        <charset val="134"/>
      </rPr>
      <t>花费</t>
    </r>
  </si>
  <si>
    <r>
      <rPr>
        <sz val="10"/>
        <color theme="1"/>
        <rFont val="宋体"/>
        <charset val="134"/>
      </rPr>
      <t>曝光</t>
    </r>
  </si>
  <si>
    <r>
      <rPr>
        <sz val="10"/>
        <color theme="1"/>
        <rFont val="宋体"/>
        <charset val="134"/>
      </rPr>
      <t>点击次数</t>
    </r>
  </si>
  <si>
    <r>
      <rPr>
        <sz val="10"/>
        <color theme="1"/>
        <rFont val="宋体"/>
        <charset val="134"/>
      </rPr>
      <t>每次点击费用</t>
    </r>
  </si>
  <si>
    <r>
      <rPr>
        <sz val="10"/>
        <color theme="1"/>
        <rFont val="宋体"/>
        <charset val="134"/>
      </rPr>
      <t>点击率</t>
    </r>
  </si>
  <si>
    <r>
      <rPr>
        <sz val="10"/>
        <color theme="1"/>
        <rFont val="宋体"/>
        <charset val="134"/>
      </rPr>
      <t>销售额</t>
    </r>
  </si>
  <si>
    <r>
      <rPr>
        <sz val="10"/>
        <color theme="1"/>
        <rFont val="宋体"/>
        <charset val="134"/>
      </rPr>
      <t>订单</t>
    </r>
  </si>
  <si>
    <t>ACOS</t>
  </si>
  <si>
    <r>
      <rPr>
        <sz val="10"/>
        <color theme="1"/>
        <rFont val="宋体"/>
        <charset val="134"/>
      </rPr>
      <t>总销售额</t>
    </r>
  </si>
  <si>
    <r>
      <rPr>
        <sz val="10"/>
        <color theme="1"/>
        <rFont val="宋体"/>
        <charset val="134"/>
      </rPr>
      <t>广告花费占总销售比</t>
    </r>
  </si>
  <si>
    <r>
      <rPr>
        <sz val="10"/>
        <color theme="1"/>
        <rFont val="宋体"/>
        <charset val="134"/>
      </rPr>
      <t>总计</t>
    </r>
  </si>
  <si>
    <r>
      <rPr>
        <sz val="11"/>
        <color theme="0"/>
        <rFont val="Arial"/>
        <charset val="134"/>
      </rPr>
      <t>15-22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</si>
  <si>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23-30</t>
    </r>
    <r>
      <rPr>
        <sz val="11"/>
        <color theme="0"/>
        <rFont val="宋体"/>
        <charset val="134"/>
      </rPr>
      <t>日产品广告数据分析</t>
    </r>
  </si>
  <si>
    <r>
      <rPr>
        <b/>
        <sz val="12"/>
        <color theme="1"/>
        <rFont val="宋体"/>
        <charset val="134"/>
      </rPr>
      <t>上半月和下半月产品分析</t>
    </r>
  </si>
  <si>
    <r>
      <rPr>
        <sz val="11"/>
        <color theme="0"/>
        <rFont val="Arial"/>
        <charset val="134"/>
      </rPr>
      <t>1-14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</si>
  <si>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15-31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</si>
  <si>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宋体"/>
        <charset val="134"/>
      </rPr>
      <t>当月产品广告数据分析</t>
    </r>
  </si>
  <si>
    <t>时间</t>
  </si>
  <si>
    <r>
      <rPr>
        <b/>
        <sz val="10"/>
        <color rgb="FFFFFFFF"/>
        <rFont val="微软雅黑"/>
        <charset val="134"/>
      </rPr>
      <t>订单号</t>
    </r>
  </si>
  <si>
    <r>
      <rPr>
        <b/>
        <sz val="10"/>
        <color rgb="FFFFFFFF"/>
        <rFont val="微软雅黑"/>
        <charset val="134"/>
      </rPr>
      <t>渠道</t>
    </r>
    <r>
      <rPr>
        <b/>
        <sz val="10"/>
        <color rgb="FFFFFFFF"/>
        <rFont val="Arial"/>
        <charset val="134"/>
      </rPr>
      <t>SKU</t>
    </r>
  </si>
  <si>
    <r>
      <rPr>
        <b/>
        <sz val="10"/>
        <color rgb="FFFFFFFF"/>
        <rFont val="微软雅黑"/>
        <charset val="134"/>
      </rPr>
      <t>产品名称</t>
    </r>
  </si>
  <si>
    <t>ID</t>
  </si>
  <si>
    <r>
      <rPr>
        <b/>
        <sz val="10"/>
        <color rgb="FFFFFFFF"/>
        <rFont val="Arial"/>
        <charset val="134"/>
      </rPr>
      <t>Paypal</t>
    </r>
    <r>
      <rPr>
        <b/>
        <sz val="10"/>
        <color rgb="FFFFFFFF"/>
        <rFont val="微软雅黑"/>
        <charset val="134"/>
      </rPr>
      <t>账号</t>
    </r>
  </si>
  <si>
    <r>
      <rPr>
        <b/>
        <sz val="10"/>
        <color rgb="FFFFFFFF"/>
        <rFont val="微软雅黑"/>
        <charset val="134"/>
      </rPr>
      <t>金额</t>
    </r>
  </si>
  <si>
    <r>
      <rPr>
        <b/>
        <sz val="10"/>
        <color rgb="FFFFFFFF"/>
        <rFont val="微软雅黑"/>
        <charset val="134"/>
      </rPr>
      <t>刷单关键词</t>
    </r>
  </si>
  <si>
    <r>
      <rPr>
        <b/>
        <sz val="10"/>
        <color rgb="FFFFFFFF"/>
        <rFont val="汉仪书宋二KW"/>
        <charset val="134"/>
      </rPr>
      <t>刷单类型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汉仪书宋二KW"/>
        <charset val="134"/>
      </rPr>
      <t>免评单</t>
    </r>
    <r>
      <rPr>
        <b/>
        <sz val="10"/>
        <color rgb="FFFFFFFF"/>
        <rFont val="Arial"/>
        <charset val="134"/>
      </rPr>
      <t>OR</t>
    </r>
    <r>
      <rPr>
        <b/>
        <sz val="10"/>
        <color rgb="FFFFFFFF"/>
        <rFont val="汉仪书宋二KW"/>
        <charset val="134"/>
      </rPr>
      <t>留评单）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</si>
  <si>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质量</t>
    </r>
  </si>
  <si>
    <r>
      <rPr>
        <b/>
        <sz val="10"/>
        <color rgb="FFFFFFFF"/>
        <rFont val="微软雅黑"/>
        <charset val="134"/>
      </rPr>
      <t>订单备注</t>
    </r>
  </si>
  <si>
    <r>
      <rPr>
        <b/>
        <sz val="10"/>
        <color rgb="FFFFFFFF"/>
        <rFont val="微软雅黑"/>
        <charset val="134"/>
      </rPr>
      <t>留评日期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</si>
  <si>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</si>
  <si>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Arial"/>
        <charset val="134"/>
      </rPr>
      <t>review profile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</si>
  <si>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微软雅黑"/>
        <charset val="134"/>
      </rPr>
      <t>备注</t>
    </r>
  </si>
  <si>
    <r>
      <rPr>
        <b/>
        <sz val="11"/>
        <color rgb="FFFFFFFF"/>
        <rFont val="宋体"/>
        <charset val="134"/>
      </rPr>
      <t>主要关键词</t>
    </r>
  </si>
  <si>
    <r>
      <rPr>
        <b/>
        <sz val="11"/>
        <color rgb="FFFFFFFF"/>
        <rFont val="宋体"/>
        <charset val="134"/>
      </rPr>
      <t>位置</t>
    </r>
  </si>
  <si>
    <t>广告排位</t>
  </si>
  <si>
    <t>自然排位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</si>
</sst>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€&quot;#,##0.00;&quot;€&quot;\-#,##0.00"/>
    <numFmt numFmtId="178" formatCode="&quot;€&quot;#,##0;&quot;€&quot;\-#,##0"/>
    <numFmt numFmtId="179" formatCode="\$#,##0.00;\-\$#,##0.00"/>
    <numFmt numFmtId="180" formatCode="[$$-409]#,##0.00;\([$$-409]#,##0.00\)"/>
    <numFmt numFmtId="181" formatCode="[$$-409]#,##0.00_);\([$$-409]#,##0.00\)"/>
    <numFmt numFmtId="182" formatCode="#,##0.00\ &quot;€&quot;;\-#,##0.00\ &quot;€&quot;"/>
    <numFmt numFmtId="183" formatCode="#,##0.00\ [$€-407];\-#,##0.00\ [$€-407]"/>
    <numFmt numFmtId="184" formatCode="0_ "/>
  </numFmts>
  <fonts count="7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0"/>
      <color rgb="FFFFFFFF"/>
      <name val="Arial"/>
      <charset val="134"/>
    </font>
    <font>
      <b/>
      <sz val="18"/>
      <color theme="0"/>
      <name val="Arial"/>
      <charset val="134"/>
    </font>
    <font>
      <sz val="18"/>
      <color theme="1"/>
      <name val="Arial"/>
      <charset val="134"/>
    </font>
    <font>
      <sz val="11"/>
      <color theme="0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24"/>
      <color theme="0"/>
      <name val="Arial"/>
      <charset val="134"/>
    </font>
    <font>
      <sz val="12"/>
      <color theme="0"/>
      <name val="Arial"/>
      <charset val="134"/>
    </font>
    <font>
      <b/>
      <sz val="14"/>
      <color theme="0"/>
      <name val="Arial"/>
      <charset val="134"/>
    </font>
    <font>
      <sz val="11"/>
      <color rgb="FF000000"/>
      <name val="汉仪书宋二KW"/>
      <charset val="134"/>
    </font>
    <font>
      <sz val="11"/>
      <color rgb="FFFFFFFF"/>
      <name val="汉仪书宋二KW"/>
      <charset val="134"/>
    </font>
    <font>
      <b/>
      <sz val="14"/>
      <color rgb="FFFFFFFF"/>
      <name val="Arial"/>
      <charset val="134"/>
    </font>
    <font>
      <sz val="11"/>
      <color rgb="FFFFFFFF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Microsoft YaHei UI"/>
      <charset val="134"/>
    </font>
    <font>
      <b/>
      <sz val="11"/>
      <color theme="0"/>
      <name val="Arial"/>
      <charset val="134"/>
    </font>
    <font>
      <sz val="14"/>
      <color theme="1"/>
      <name val="Arial"/>
      <charset val="134"/>
    </font>
    <font>
      <b/>
      <sz val="24"/>
      <color theme="0"/>
      <name val="宋体"/>
      <charset val="134"/>
    </font>
    <font>
      <b/>
      <sz val="12"/>
      <color theme="0"/>
      <name val="Arial"/>
      <charset val="134"/>
    </font>
    <font>
      <b/>
      <sz val="12"/>
      <color theme="0"/>
      <name val="宋体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26"/>
      <color rgb="FFFFFFFF"/>
      <name val="宋体"/>
      <charset val="134"/>
    </font>
    <font>
      <b/>
      <sz val="26"/>
      <color rgb="FFFFFFFF"/>
      <name val="Arial"/>
      <charset val="134"/>
    </font>
    <font>
      <sz val="12"/>
      <color theme="0"/>
      <name val="宋体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8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6"/>
      <color theme="0"/>
      <name val="微软雅黑"/>
      <charset val="134"/>
    </font>
    <font>
      <b/>
      <sz val="10"/>
      <name val="Arial"/>
      <charset val="134"/>
    </font>
    <font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  <font>
      <sz val="11"/>
      <color theme="0"/>
      <name val="Microsoft YaHei UI"/>
      <charset val="134"/>
    </font>
    <font>
      <sz val="11"/>
      <color theme="0"/>
      <name val="宋体"/>
      <charset val="134"/>
    </font>
    <font>
      <sz val="10"/>
      <color theme="1"/>
      <name val="宋体"/>
      <charset val="134"/>
    </font>
    <font>
      <b/>
      <sz val="10"/>
      <color rgb="FFFFFFFF"/>
      <name val="微软雅黑"/>
      <charset val="134"/>
    </font>
    <font>
      <b/>
      <sz val="14"/>
      <color theme="0"/>
      <name val="宋体"/>
      <charset val="134"/>
    </font>
    <font>
      <sz val="11"/>
      <color rgb="FFFFFFFF"/>
      <name val="宋体"/>
      <charset val="134"/>
    </font>
    <font>
      <b/>
      <sz val="11"/>
      <color theme="1"/>
      <name val="Microsoft YaHei UI"/>
      <charset val="134"/>
    </font>
    <font>
      <b/>
      <sz val="14"/>
      <color rgb="FFFFFFFF"/>
      <name val="汉仪书宋二KW"/>
      <charset val="134"/>
    </font>
    <font>
      <sz val="11"/>
      <color theme="1"/>
      <name val="Microsoft YaHei UI"/>
      <charset val="134"/>
    </font>
    <font>
      <b/>
      <sz val="12"/>
      <color theme="1"/>
      <name val="宋体"/>
      <charset val="134"/>
    </font>
    <font>
      <b/>
      <sz val="10"/>
      <color rgb="FFFFFFFF"/>
      <name val="汉仪书宋二KW"/>
      <charset val="134"/>
    </font>
    <font>
      <b/>
      <sz val="18"/>
      <color theme="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BC2E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17" applyNumberFormat="0" applyAlignment="0" applyProtection="0">
      <alignment vertical="center"/>
    </xf>
    <xf numFmtId="0" fontId="48" fillId="16" borderId="18" applyNumberFormat="0" applyAlignment="0" applyProtection="0">
      <alignment vertical="center"/>
    </xf>
    <xf numFmtId="0" fontId="49" fillId="16" borderId="17" applyNumberFormat="0" applyAlignment="0" applyProtection="0">
      <alignment vertical="center"/>
    </xf>
    <xf numFmtId="0" fontId="50" fillId="17" borderId="19" applyNumberFormat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/>
    </xf>
    <xf numFmtId="10" fontId="8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77" fontId="10" fillId="6" borderId="3" xfId="0" applyNumberFormat="1" applyFont="1" applyFill="1" applyBorder="1" applyAlignment="1">
      <alignment horizontal="center" vertical="center" wrapText="1"/>
    </xf>
    <xf numFmtId="178" fontId="15" fillId="7" borderId="3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77" fontId="15" fillId="7" borderId="3" xfId="0" applyNumberFormat="1" applyFont="1" applyFill="1" applyBorder="1" applyAlignment="1">
      <alignment horizontal="center" vertical="center" wrapText="1"/>
    </xf>
    <xf numFmtId="178" fontId="16" fillId="7" borderId="3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177" fontId="16" fillId="7" borderId="3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0" fillId="6" borderId="3" xfId="0" applyNumberFormat="1" applyFont="1" applyFill="1" applyBorder="1" applyAlignment="1">
      <alignment horizontal="center" vertical="center" wrapText="1"/>
    </xf>
    <xf numFmtId="9" fontId="15" fillId="7" borderId="3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9" fontId="16" fillId="7" borderId="3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8" fillId="8" borderId="3" xfId="0" applyFont="1" applyFill="1" applyBorder="1" applyAlignment="1">
      <alignment vertical="center"/>
    </xf>
    <xf numFmtId="9" fontId="1" fillId="9" borderId="3" xfId="0" applyNumberFormat="1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179" fontId="1" fillId="9" borderId="3" xfId="0" applyNumberFormat="1" applyFont="1" applyFill="1" applyBorder="1" applyAlignment="1">
      <alignment vertical="center"/>
    </xf>
    <xf numFmtId="179" fontId="1" fillId="10" borderId="3" xfId="0" applyNumberFormat="1" applyFont="1" applyFill="1" applyBorder="1" applyAlignment="1">
      <alignment horizontal="right" vertical="center"/>
    </xf>
    <xf numFmtId="0" fontId="1" fillId="10" borderId="3" xfId="0" applyFont="1" applyFill="1" applyBorder="1" applyAlignment="1">
      <alignment horizontal="right" vertical="center"/>
    </xf>
    <xf numFmtId="0" fontId="19" fillId="11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1" fontId="1" fillId="9" borderId="3" xfId="0" applyNumberFormat="1" applyFont="1" applyFill="1" applyBorder="1" applyAlignment="1">
      <alignment vertical="center"/>
    </xf>
    <xf numFmtId="180" fontId="1" fillId="9" borderId="3" xfId="0" applyNumberFormat="1" applyFont="1" applyFill="1" applyBorder="1" applyAlignment="1">
      <alignment vertical="center"/>
    </xf>
    <xf numFmtId="181" fontId="1" fillId="10" borderId="3" xfId="0" applyNumberFormat="1" applyFont="1" applyFill="1" applyBorder="1" applyAlignment="1">
      <alignment horizontal="right" vertical="center"/>
    </xf>
    <xf numFmtId="181" fontId="20" fillId="0" borderId="0" xfId="0" applyNumberFormat="1" applyFont="1" applyFill="1" applyAlignment="1">
      <alignment vertical="center"/>
    </xf>
    <xf numFmtId="1" fontId="1" fillId="10" borderId="3" xfId="0" applyNumberFormat="1" applyFont="1" applyFill="1" applyBorder="1" applyAlignment="1">
      <alignment vertical="center"/>
    </xf>
    <xf numFmtId="180" fontId="1" fillId="10" borderId="3" xfId="0" applyNumberFormat="1" applyFont="1" applyFill="1" applyBorder="1" applyAlignment="1">
      <alignment vertical="center"/>
    </xf>
    <xf numFmtId="0" fontId="7" fillId="11" borderId="3" xfId="0" applyFont="1" applyFill="1" applyBorder="1" applyAlignment="1">
      <alignment vertical="center"/>
    </xf>
    <xf numFmtId="10" fontId="1" fillId="10" borderId="3" xfId="3" applyNumberFormat="1" applyFont="1" applyFill="1" applyBorder="1" applyAlignment="1">
      <alignment horizontal="right" vertical="center"/>
    </xf>
    <xf numFmtId="1" fontId="1" fillId="0" borderId="0" xfId="0" applyNumberFormat="1" applyFont="1" applyFill="1" applyAlignment="1">
      <alignment vertical="center"/>
    </xf>
    <xf numFmtId="0" fontId="7" fillId="11" borderId="3" xfId="0" applyFont="1" applyFill="1" applyBorder="1" applyAlignment="1">
      <alignment horizontal="left" vertical="center"/>
    </xf>
    <xf numFmtId="9" fontId="1" fillId="10" borderId="3" xfId="3" applyFont="1" applyFill="1" applyBorder="1" applyAlignment="1">
      <alignment horizontal="right" vertical="center"/>
    </xf>
    <xf numFmtId="0" fontId="1" fillId="9" borderId="3" xfId="0" applyFont="1" applyFill="1" applyBorder="1" applyAlignment="1">
      <alignment horizontal="center" vertical="center"/>
    </xf>
    <xf numFmtId="2" fontId="1" fillId="9" borderId="3" xfId="0" applyNumberFormat="1" applyFont="1" applyFill="1" applyBorder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182" fontId="21" fillId="12" borderId="3" xfId="0" applyNumberFormat="1" applyFont="1" applyFill="1" applyBorder="1" applyAlignment="1">
      <alignment horizontal="center" vertical="center"/>
    </xf>
    <xf numFmtId="10" fontId="21" fillId="1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182" fontId="23" fillId="2" borderId="3" xfId="0" applyNumberFormat="1" applyFont="1" applyFill="1" applyBorder="1" applyAlignment="1">
      <alignment horizontal="center" vertical="center"/>
    </xf>
    <xf numFmtId="183" fontId="23" fillId="2" borderId="3" xfId="0" applyNumberFormat="1" applyFont="1" applyFill="1" applyBorder="1" applyAlignment="1">
      <alignment horizontal="center" vertical="center"/>
    </xf>
    <xf numFmtId="10" fontId="23" fillId="2" borderId="3" xfId="0" applyNumberFormat="1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182" fontId="24" fillId="0" borderId="3" xfId="0" applyNumberFormat="1" applyFont="1" applyFill="1" applyBorder="1" applyAlignment="1">
      <alignment horizontal="center" vertical="center"/>
    </xf>
    <xf numFmtId="183" fontId="24" fillId="0" borderId="3" xfId="0" applyNumberFormat="1" applyFont="1" applyFill="1" applyBorder="1" applyAlignment="1">
      <alignment horizontal="center" vertical="center"/>
    </xf>
    <xf numFmtId="10" fontId="24" fillId="0" borderId="3" xfId="0" applyNumberFormat="1" applyFont="1" applyFill="1" applyBorder="1" applyAlignment="1">
      <alignment horizontal="center" vertical="center"/>
    </xf>
    <xf numFmtId="182" fontId="25" fillId="0" borderId="3" xfId="0" applyNumberFormat="1" applyFont="1" applyFill="1" applyBorder="1" applyAlignment="1">
      <alignment horizontal="center" vertical="center"/>
    </xf>
    <xf numFmtId="10" fontId="25" fillId="0" borderId="3" xfId="0" applyNumberFormat="1" applyFont="1" applyFill="1" applyBorder="1" applyAlignment="1">
      <alignment horizontal="center" vertical="center"/>
    </xf>
    <xf numFmtId="184" fontId="24" fillId="0" borderId="3" xfId="0" applyNumberFormat="1" applyFont="1" applyFill="1" applyBorder="1" applyAlignment="1">
      <alignment horizontal="center" vertical="center"/>
    </xf>
    <xf numFmtId="184" fontId="23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NumberFormat="1" applyFont="1" applyFill="1" applyBorder="1" applyAlignment="1">
      <alignment horizontal="center" vertical="center"/>
    </xf>
    <xf numFmtId="0" fontId="24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28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0" fontId="27" fillId="2" borderId="0" xfId="0" applyNumberFormat="1" applyFont="1" applyFill="1" applyBorder="1" applyAlignment="1">
      <alignment horizontal="center" vertical="center" wrapText="1"/>
    </xf>
    <xf numFmtId="10" fontId="11" fillId="6" borderId="0" xfId="0" applyNumberFormat="1" applyFont="1" applyFill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/>
    </xf>
    <xf numFmtId="177" fontId="27" fillId="2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0" fontId="28" fillId="6" borderId="0" xfId="0" applyNumberFormat="1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9" fillId="0" borderId="0" xfId="0" applyFont="1" applyFill="1" applyAlignment="1">
      <alignment vertical="center"/>
    </xf>
    <xf numFmtId="0" fontId="29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1" fillId="2" borderId="7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2" fillId="0" borderId="3" xfId="0" applyFont="1" applyFill="1" applyBorder="1" applyAlignment="1">
      <alignment vertical="center" wrapText="1"/>
    </xf>
    <xf numFmtId="0" fontId="30" fillId="0" borderId="3" xfId="0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vertical="center" wrapText="1"/>
    </xf>
    <xf numFmtId="0" fontId="29" fillId="0" borderId="3" xfId="0" applyFont="1" applyFill="1" applyBorder="1" applyAlignment="1">
      <alignment vertical="center" wrapText="1"/>
    </xf>
    <xf numFmtId="0" fontId="32" fillId="0" borderId="3" xfId="0" applyFont="1" applyFill="1" applyBorder="1" applyAlignment="1">
      <alignment horizontal="left" vertical="center" wrapText="1"/>
    </xf>
    <xf numFmtId="0" fontId="30" fillId="0" borderId="3" xfId="0" applyFont="1" applyFill="1" applyBorder="1" applyAlignment="1">
      <alignment vertical="center" wrapText="1"/>
    </xf>
    <xf numFmtId="0" fontId="34" fillId="13" borderId="3" xfId="0" applyFont="1" applyFill="1" applyBorder="1" applyAlignment="1">
      <alignment horizontal="left" vertical="center" wrapText="1"/>
    </xf>
    <xf numFmtId="14" fontId="29" fillId="0" borderId="3" xfId="0" applyNumberFormat="1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177" fontId="30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left" vertical="center" wrapText="1"/>
    </xf>
    <xf numFmtId="58" fontId="30" fillId="0" borderId="3" xfId="0" applyNumberFormat="1" applyFont="1" applyFill="1" applyBorder="1" applyAlignment="1">
      <alignment horizontal="left" vertical="center" wrapText="1"/>
    </xf>
    <xf numFmtId="58" fontId="33" fillId="0" borderId="3" xfId="0" applyNumberFormat="1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left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left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horizontal="left" vertical="center"/>
    </xf>
    <xf numFmtId="177" fontId="0" fillId="0" borderId="0" xfId="0" applyNumberFormat="1">
      <alignment vertical="center"/>
    </xf>
    <xf numFmtId="0" fontId="19" fillId="2" borderId="3" xfId="0" applyFont="1" applyFill="1" applyBorder="1" applyAlignment="1">
      <alignment horizontal="center" vertical="center"/>
    </xf>
    <xf numFmtId="10" fontId="19" fillId="2" borderId="3" xfId="0" applyNumberFormat="1" applyFont="1" applyFill="1" applyBorder="1" applyAlignment="1">
      <alignment horizontal="center" vertical="center"/>
    </xf>
    <xf numFmtId="182" fontId="19" fillId="2" borderId="3" xfId="0" applyNumberFormat="1" applyFont="1" applyFill="1" applyBorder="1" applyAlignment="1">
      <alignment horizontal="center" vertical="center"/>
    </xf>
    <xf numFmtId="177" fontId="19" fillId="2" borderId="3" xfId="0" applyNumberFormat="1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/>
    </xf>
    <xf numFmtId="182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84" fontId="3" fillId="0" borderId="3" xfId="0" applyNumberFormat="1" applyFont="1" applyFill="1" applyBorder="1" applyAlignment="1">
      <alignment horizontal="center" vertical="center"/>
    </xf>
    <xf numFmtId="184" fontId="3" fillId="0" borderId="0" xfId="0" applyNumberFormat="1" applyFont="1" applyFill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546A"/>
      <color rgb="004472C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xSplit="1" ySplit="1" topLeftCell="C2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3.5"/>
  <cols>
    <col min="1" max="1" width="12.125" customWidth="1"/>
    <col min="2" max="2" width="13.75" customWidth="1"/>
    <col min="3" max="3" width="20.375" customWidth="1"/>
    <col min="4" max="4" width="5.375" customWidth="1"/>
    <col min="5" max="5" width="11.5" customWidth="1"/>
    <col min="6" max="6" width="12.125" customWidth="1"/>
    <col min="7" max="7" width="7.375" customWidth="1"/>
    <col min="8" max="8" width="9.375" style="180" customWidth="1"/>
    <col min="9" max="9" width="12.125" customWidth="1"/>
    <col min="10" max="17" width="12.75" customWidth="1"/>
    <col min="18" max="18" width="16" customWidth="1"/>
    <col min="19" max="19" width="12.75" customWidth="1"/>
  </cols>
  <sheetData>
    <row r="1" ht="54" customHeight="1" spans="1:19">
      <c r="A1" s="181" t="s">
        <v>0</v>
      </c>
      <c r="B1" s="181" t="s">
        <v>1</v>
      </c>
      <c r="C1" s="182" t="s">
        <v>2</v>
      </c>
      <c r="D1" s="182" t="s">
        <v>3</v>
      </c>
      <c r="E1" s="181" t="s">
        <v>4</v>
      </c>
      <c r="F1" s="183" t="s">
        <v>5</v>
      </c>
      <c r="G1" s="181" t="s">
        <v>6</v>
      </c>
      <c r="H1" s="184" t="s">
        <v>7</v>
      </c>
      <c r="I1" s="183" t="s">
        <v>8</v>
      </c>
      <c r="J1" s="182" t="s">
        <v>9</v>
      </c>
      <c r="K1" s="183" t="s">
        <v>10</v>
      </c>
      <c r="L1" s="182" t="s">
        <v>11</v>
      </c>
      <c r="M1" s="181" t="s">
        <v>12</v>
      </c>
      <c r="N1" s="181" t="s">
        <v>13</v>
      </c>
      <c r="O1" s="182" t="s">
        <v>14</v>
      </c>
      <c r="P1" s="181" t="s">
        <v>15</v>
      </c>
      <c r="Q1" s="183" t="s">
        <v>16</v>
      </c>
      <c r="R1" s="182" t="s">
        <v>17</v>
      </c>
      <c r="S1" s="181" t="s">
        <v>18</v>
      </c>
    </row>
    <row r="2" ht="28" customHeight="1" spans="1:20">
      <c r="A2" s="185"/>
      <c r="B2" s="186"/>
      <c r="C2" s="187"/>
      <c r="D2" s="186"/>
      <c r="E2" s="186"/>
      <c r="F2" s="188"/>
      <c r="G2" s="186"/>
      <c r="H2" s="189"/>
      <c r="I2" s="188"/>
      <c r="J2" s="187"/>
      <c r="K2" s="188"/>
      <c r="L2" s="187"/>
      <c r="M2" s="200"/>
      <c r="N2" s="186"/>
      <c r="O2" s="187"/>
      <c r="P2" s="186"/>
      <c r="Q2" s="188"/>
      <c r="R2" s="187"/>
      <c r="S2" s="186"/>
      <c r="T2" s="203"/>
    </row>
    <row r="3" ht="28" customHeight="1" spans="1:20">
      <c r="A3" s="185"/>
      <c r="B3" s="186"/>
      <c r="C3" s="187"/>
      <c r="D3" s="186"/>
      <c r="E3" s="186"/>
      <c r="F3" s="188"/>
      <c r="G3" s="186"/>
      <c r="H3" s="189"/>
      <c r="I3" s="188"/>
      <c r="J3" s="187"/>
      <c r="K3" s="188"/>
      <c r="L3" s="187"/>
      <c r="M3" s="200"/>
      <c r="N3" s="186"/>
      <c r="O3" s="187"/>
      <c r="P3" s="186"/>
      <c r="Q3" s="188"/>
      <c r="R3" s="187"/>
      <c r="S3" s="186"/>
      <c r="T3" s="203"/>
    </row>
    <row r="4" ht="28" customHeight="1" spans="1:20">
      <c r="A4" s="190"/>
      <c r="B4" s="191"/>
      <c r="C4" s="192"/>
      <c r="D4" s="191"/>
      <c r="E4" s="191"/>
      <c r="F4" s="193"/>
      <c r="G4" s="191"/>
      <c r="H4" s="194"/>
      <c r="I4" s="193"/>
      <c r="J4" s="192"/>
      <c r="K4" s="193"/>
      <c r="L4" s="192"/>
      <c r="M4" s="201"/>
      <c r="N4" s="191"/>
      <c r="O4" s="192"/>
      <c r="P4" s="191"/>
      <c r="Q4" s="193"/>
      <c r="R4" s="192"/>
      <c r="S4" s="191"/>
      <c r="T4" s="203"/>
    </row>
    <row r="5" ht="28" customHeight="1" spans="1:20">
      <c r="A5" s="190"/>
      <c r="B5" s="191"/>
      <c r="C5" s="192"/>
      <c r="D5" s="191"/>
      <c r="E5" s="191"/>
      <c r="F5" s="193"/>
      <c r="G5" s="191"/>
      <c r="H5" s="194"/>
      <c r="I5" s="193"/>
      <c r="J5" s="192"/>
      <c r="K5" s="193"/>
      <c r="L5" s="192"/>
      <c r="M5" s="201"/>
      <c r="N5" s="191"/>
      <c r="O5" s="192"/>
      <c r="P5" s="191"/>
      <c r="Q5" s="193"/>
      <c r="R5" s="192"/>
      <c r="S5" s="191"/>
      <c r="T5" s="203"/>
    </row>
    <row r="6" ht="28" customHeight="1" spans="1:20">
      <c r="A6" s="190"/>
      <c r="B6" s="191"/>
      <c r="C6" s="192"/>
      <c r="D6" s="191"/>
      <c r="E6" s="191"/>
      <c r="F6" s="193"/>
      <c r="G6" s="191"/>
      <c r="H6" s="194"/>
      <c r="I6" s="193"/>
      <c r="J6" s="192"/>
      <c r="K6" s="193"/>
      <c r="L6" s="192"/>
      <c r="M6" s="201"/>
      <c r="N6" s="191"/>
      <c r="O6" s="192"/>
      <c r="P6" s="191"/>
      <c r="Q6" s="193"/>
      <c r="R6" s="192"/>
      <c r="S6" s="191"/>
      <c r="T6" s="204"/>
    </row>
    <row r="7" ht="28" customHeight="1" spans="1:19">
      <c r="A7" s="190"/>
      <c r="B7" s="191"/>
      <c r="C7" s="192"/>
      <c r="D7" s="191"/>
      <c r="E7" s="191"/>
      <c r="F7" s="193"/>
      <c r="G7" s="191"/>
      <c r="H7" s="194"/>
      <c r="I7" s="193"/>
      <c r="J7" s="192"/>
      <c r="K7" s="193"/>
      <c r="L7" s="192"/>
      <c r="M7" s="201"/>
      <c r="N7" s="191"/>
      <c r="O7" s="192"/>
      <c r="P7" s="191"/>
      <c r="Q7" s="193"/>
      <c r="R7" s="192"/>
      <c r="S7" s="191"/>
    </row>
    <row r="8" ht="28" customHeight="1" spans="1:19">
      <c r="A8" s="190"/>
      <c r="B8" s="191"/>
      <c r="C8" s="192"/>
      <c r="D8" s="191"/>
      <c r="E8" s="191"/>
      <c r="F8" s="193"/>
      <c r="G8" s="191"/>
      <c r="H8" s="194"/>
      <c r="I8" s="193"/>
      <c r="J8" s="192"/>
      <c r="K8" s="193"/>
      <c r="L8" s="192"/>
      <c r="M8" s="201"/>
      <c r="N8" s="191"/>
      <c r="O8" s="192"/>
      <c r="P8" s="191"/>
      <c r="Q8" s="193"/>
      <c r="R8" s="192"/>
      <c r="S8" s="191"/>
    </row>
    <row r="9" ht="28" customHeight="1" spans="1:19">
      <c r="A9" s="190"/>
      <c r="B9" s="191"/>
      <c r="C9" s="192"/>
      <c r="D9" s="191"/>
      <c r="E9" s="191"/>
      <c r="F9" s="193"/>
      <c r="G9" s="191"/>
      <c r="H9" s="194"/>
      <c r="I9" s="193"/>
      <c r="J9" s="192"/>
      <c r="K9" s="193"/>
      <c r="L9" s="192"/>
      <c r="M9" s="201"/>
      <c r="N9" s="191"/>
      <c r="O9" s="192"/>
      <c r="P9" s="191"/>
      <c r="Q9" s="193"/>
      <c r="R9" s="192"/>
      <c r="S9" s="191"/>
    </row>
    <row r="10" ht="28" customHeight="1" spans="1:19">
      <c r="A10" s="190"/>
      <c r="B10" s="191"/>
      <c r="C10" s="192"/>
      <c r="D10" s="191"/>
      <c r="E10" s="191"/>
      <c r="F10" s="193"/>
      <c r="G10" s="191"/>
      <c r="H10" s="194"/>
      <c r="I10" s="193"/>
      <c r="J10" s="192"/>
      <c r="K10" s="193"/>
      <c r="L10" s="192"/>
      <c r="M10" s="201"/>
      <c r="N10" s="191"/>
      <c r="O10" s="192"/>
      <c r="P10" s="191"/>
      <c r="Q10" s="193"/>
      <c r="R10" s="192"/>
      <c r="S10" s="191"/>
    </row>
    <row r="11" ht="28" customHeight="1" spans="1:19">
      <c r="A11" s="190"/>
      <c r="B11" s="191"/>
      <c r="C11" s="192"/>
      <c r="D11" s="191"/>
      <c r="E11" s="191"/>
      <c r="F11" s="193"/>
      <c r="G11" s="191"/>
      <c r="H11" s="194"/>
      <c r="I11" s="193"/>
      <c r="J11" s="192"/>
      <c r="K11" s="193"/>
      <c r="L11" s="192"/>
      <c r="M11" s="201"/>
      <c r="N11" s="191"/>
      <c r="O11" s="192"/>
      <c r="P11" s="191"/>
      <c r="Q11" s="193"/>
      <c r="R11" s="192"/>
      <c r="S11" s="191"/>
    </row>
    <row r="12" ht="28" customHeight="1" spans="1:19">
      <c r="A12" s="190"/>
      <c r="B12" s="191"/>
      <c r="C12" s="192"/>
      <c r="D12" s="191"/>
      <c r="E12" s="191"/>
      <c r="F12" s="193"/>
      <c r="G12" s="191"/>
      <c r="H12" s="194"/>
      <c r="I12" s="193"/>
      <c r="J12" s="192"/>
      <c r="K12" s="193"/>
      <c r="L12" s="192"/>
      <c r="M12" s="201"/>
      <c r="N12" s="191"/>
      <c r="O12" s="192"/>
      <c r="P12" s="191"/>
      <c r="Q12" s="193"/>
      <c r="R12" s="192"/>
      <c r="S12" s="191"/>
    </row>
    <row r="13" ht="28" customHeight="1" spans="1:19">
      <c r="A13" s="190"/>
      <c r="B13" s="191"/>
      <c r="C13" s="192"/>
      <c r="D13" s="191"/>
      <c r="E13" s="191"/>
      <c r="F13" s="193"/>
      <c r="G13" s="191"/>
      <c r="H13" s="194"/>
      <c r="I13" s="193"/>
      <c r="J13" s="192"/>
      <c r="K13" s="193"/>
      <c r="L13" s="192"/>
      <c r="M13" s="201"/>
      <c r="N13" s="191"/>
      <c r="O13" s="192"/>
      <c r="P13" s="191"/>
      <c r="Q13" s="193"/>
      <c r="R13" s="192"/>
      <c r="S13" s="191"/>
    </row>
    <row r="14" ht="28" customHeight="1" spans="1:19">
      <c r="A14" s="190"/>
      <c r="B14" s="191"/>
      <c r="C14" s="192"/>
      <c r="D14" s="191"/>
      <c r="E14" s="191"/>
      <c r="F14" s="193"/>
      <c r="G14" s="191"/>
      <c r="H14" s="194"/>
      <c r="I14" s="193"/>
      <c r="J14" s="192"/>
      <c r="K14" s="193"/>
      <c r="L14" s="192"/>
      <c r="M14" s="201"/>
      <c r="N14" s="191"/>
      <c r="O14" s="192"/>
      <c r="P14" s="191"/>
      <c r="Q14" s="193"/>
      <c r="R14" s="192"/>
      <c r="S14" s="191"/>
    </row>
    <row r="15" ht="28" customHeight="1" spans="1:19">
      <c r="A15" s="190"/>
      <c r="B15" s="191"/>
      <c r="C15" s="192"/>
      <c r="D15" s="191"/>
      <c r="E15" s="191"/>
      <c r="F15" s="193"/>
      <c r="G15" s="191"/>
      <c r="H15" s="194"/>
      <c r="I15" s="193"/>
      <c r="J15" s="192"/>
      <c r="K15" s="193"/>
      <c r="L15" s="192"/>
      <c r="M15" s="201"/>
      <c r="N15" s="191"/>
      <c r="O15" s="192"/>
      <c r="P15" s="191"/>
      <c r="Q15" s="193"/>
      <c r="R15" s="192"/>
      <c r="S15" s="191"/>
    </row>
    <row r="16" ht="28" customHeight="1" spans="1:19">
      <c r="A16" s="190"/>
      <c r="B16" s="191"/>
      <c r="C16" s="192"/>
      <c r="D16" s="191"/>
      <c r="E16" s="191"/>
      <c r="F16" s="193"/>
      <c r="G16" s="191"/>
      <c r="H16" s="194"/>
      <c r="I16" s="193"/>
      <c r="J16" s="192"/>
      <c r="K16" s="193"/>
      <c r="L16" s="192"/>
      <c r="M16" s="201"/>
      <c r="N16" s="191"/>
      <c r="O16" s="192"/>
      <c r="P16" s="191"/>
      <c r="Q16" s="193"/>
      <c r="R16" s="192"/>
      <c r="S16" s="191"/>
    </row>
    <row r="17" ht="28" customHeight="1" spans="1:19">
      <c r="A17" s="190"/>
      <c r="B17" s="191"/>
      <c r="C17" s="192"/>
      <c r="D17" s="191"/>
      <c r="E17" s="191"/>
      <c r="F17" s="193"/>
      <c r="G17" s="191"/>
      <c r="H17" s="194"/>
      <c r="I17" s="193"/>
      <c r="J17" s="192"/>
      <c r="K17" s="193"/>
      <c r="L17" s="192"/>
      <c r="M17" s="201"/>
      <c r="N17" s="191"/>
      <c r="O17" s="192"/>
      <c r="P17" s="191"/>
      <c r="Q17" s="193"/>
      <c r="R17" s="192"/>
      <c r="S17" s="191"/>
    </row>
    <row r="18" ht="28" customHeight="1" spans="1:19">
      <c r="A18" s="190"/>
      <c r="B18" s="191"/>
      <c r="C18" s="192"/>
      <c r="D18" s="191"/>
      <c r="E18" s="191"/>
      <c r="F18" s="193"/>
      <c r="G18" s="191"/>
      <c r="H18" s="194"/>
      <c r="I18" s="193"/>
      <c r="J18" s="192"/>
      <c r="K18" s="193"/>
      <c r="L18" s="192"/>
      <c r="M18" s="201"/>
      <c r="N18" s="191"/>
      <c r="O18" s="192"/>
      <c r="P18" s="191"/>
      <c r="Q18" s="193"/>
      <c r="R18" s="192"/>
      <c r="S18" s="191"/>
    </row>
    <row r="19" ht="28" customHeight="1" spans="1:19">
      <c r="A19" s="190"/>
      <c r="B19" s="191"/>
      <c r="C19" s="192"/>
      <c r="D19" s="191"/>
      <c r="E19" s="191"/>
      <c r="F19" s="193"/>
      <c r="G19" s="191"/>
      <c r="H19" s="194"/>
      <c r="I19" s="193"/>
      <c r="J19" s="192"/>
      <c r="K19" s="193"/>
      <c r="L19" s="192"/>
      <c r="M19" s="201"/>
      <c r="N19" s="191"/>
      <c r="O19" s="192"/>
      <c r="P19" s="191"/>
      <c r="Q19" s="193"/>
      <c r="R19" s="192"/>
      <c r="S19" s="191"/>
    </row>
    <row r="20" ht="28" customHeight="1" spans="1:19">
      <c r="A20" s="190"/>
      <c r="B20" s="191"/>
      <c r="C20" s="192"/>
      <c r="D20" s="191"/>
      <c r="E20" s="191"/>
      <c r="F20" s="193"/>
      <c r="G20" s="191"/>
      <c r="H20" s="194"/>
      <c r="I20" s="193"/>
      <c r="J20" s="192"/>
      <c r="K20" s="193"/>
      <c r="L20" s="192"/>
      <c r="M20" s="201"/>
      <c r="N20" s="191"/>
      <c r="O20" s="192"/>
      <c r="P20" s="191"/>
      <c r="Q20" s="193"/>
      <c r="R20" s="192"/>
      <c r="S20" s="191"/>
    </row>
    <row r="21" ht="28" customHeight="1" spans="1:19">
      <c r="A21" s="190"/>
      <c r="B21" s="191"/>
      <c r="C21" s="192"/>
      <c r="D21" s="191"/>
      <c r="E21" s="191"/>
      <c r="F21" s="193"/>
      <c r="G21" s="191"/>
      <c r="H21" s="194"/>
      <c r="I21" s="193"/>
      <c r="J21" s="192"/>
      <c r="K21" s="193"/>
      <c r="L21" s="192"/>
      <c r="M21" s="201"/>
      <c r="N21" s="191"/>
      <c r="O21" s="192"/>
      <c r="P21" s="191"/>
      <c r="Q21" s="193"/>
      <c r="R21" s="192"/>
      <c r="S21" s="191"/>
    </row>
    <row r="22" ht="28" customHeight="1" spans="1:19">
      <c r="A22" s="190"/>
      <c r="B22" s="191"/>
      <c r="C22" s="192"/>
      <c r="D22" s="191"/>
      <c r="E22" s="191"/>
      <c r="F22" s="193"/>
      <c r="G22" s="191"/>
      <c r="H22" s="194"/>
      <c r="I22" s="193"/>
      <c r="J22" s="192"/>
      <c r="K22" s="193"/>
      <c r="L22" s="192"/>
      <c r="M22" s="201"/>
      <c r="N22" s="191"/>
      <c r="O22" s="192"/>
      <c r="P22" s="191"/>
      <c r="Q22" s="193"/>
      <c r="R22" s="192"/>
      <c r="S22" s="191"/>
    </row>
    <row r="23" ht="27" customHeight="1" spans="1:19">
      <c r="A23" s="195"/>
      <c r="B23" s="196"/>
      <c r="C23" s="197"/>
      <c r="D23" s="196"/>
      <c r="E23" s="196"/>
      <c r="F23" s="198"/>
      <c r="G23" s="196"/>
      <c r="H23" s="199"/>
      <c r="I23" s="196"/>
      <c r="J23" s="197"/>
      <c r="K23" s="198"/>
      <c r="L23" s="197"/>
      <c r="M23" s="202"/>
      <c r="N23" s="196"/>
      <c r="O23" s="197"/>
      <c r="P23" s="196"/>
      <c r="Q23" s="198"/>
      <c r="R23" s="197"/>
      <c r="S23" s="196"/>
    </row>
    <row r="24" ht="27" customHeight="1" spans="1:19">
      <c r="A24" s="195"/>
      <c r="B24" s="196"/>
      <c r="C24" s="197"/>
      <c r="D24" s="196"/>
      <c r="E24" s="196"/>
      <c r="F24" s="198"/>
      <c r="G24" s="196"/>
      <c r="H24" s="199"/>
      <c r="I24" s="196"/>
      <c r="J24" s="197"/>
      <c r="K24" s="198"/>
      <c r="L24" s="197"/>
      <c r="M24" s="202"/>
      <c r="N24" s="196"/>
      <c r="O24" s="197"/>
      <c r="P24" s="196"/>
      <c r="Q24" s="198"/>
      <c r="R24" s="197"/>
      <c r="S24" s="196"/>
    </row>
    <row r="25" ht="27" customHeight="1" spans="1:19">
      <c r="A25" s="195"/>
      <c r="B25" s="196"/>
      <c r="C25" s="197"/>
      <c r="D25" s="196"/>
      <c r="E25" s="196"/>
      <c r="F25" s="198"/>
      <c r="G25" s="196"/>
      <c r="H25" s="198"/>
      <c r="I25" s="198"/>
      <c r="J25" s="197"/>
      <c r="K25" s="198"/>
      <c r="L25" s="197"/>
      <c r="M25" s="202"/>
      <c r="N25" s="196"/>
      <c r="O25" s="197"/>
      <c r="P25" s="196"/>
      <c r="Q25" s="198"/>
      <c r="R25" s="197"/>
      <c r="S25" s="196"/>
    </row>
    <row r="26" ht="27" customHeight="1" spans="1:19">
      <c r="A26" s="195"/>
      <c r="B26" s="196"/>
      <c r="C26" s="197"/>
      <c r="D26" s="196"/>
      <c r="E26" s="196"/>
      <c r="F26" s="198"/>
      <c r="G26" s="196"/>
      <c r="H26" s="198"/>
      <c r="I26" s="198"/>
      <c r="J26" s="197"/>
      <c r="K26" s="198"/>
      <c r="L26" s="197"/>
      <c r="M26" s="202"/>
      <c r="N26" s="196"/>
      <c r="O26" s="197"/>
      <c r="P26" s="196"/>
      <c r="Q26" s="198"/>
      <c r="R26" s="197"/>
      <c r="S26" s="196"/>
    </row>
    <row r="27" ht="27" customHeight="1" spans="1:19">
      <c r="A27" s="195"/>
      <c r="B27" s="196"/>
      <c r="C27" s="197"/>
      <c r="D27" s="196"/>
      <c r="E27" s="196"/>
      <c r="F27" s="198"/>
      <c r="G27" s="196"/>
      <c r="H27" s="198"/>
      <c r="I27" s="198"/>
      <c r="J27" s="197"/>
      <c r="K27" s="198"/>
      <c r="L27" s="197"/>
      <c r="M27" s="202"/>
      <c r="N27" s="196"/>
      <c r="O27" s="197"/>
      <c r="P27" s="196"/>
      <c r="Q27" s="198"/>
      <c r="R27" s="197"/>
      <c r="S27" s="196"/>
    </row>
    <row r="28" ht="27" customHeight="1" spans="1:19">
      <c r="A28" s="195"/>
      <c r="B28" s="196"/>
      <c r="C28" s="197"/>
      <c r="D28" s="196"/>
      <c r="E28" s="196"/>
      <c r="F28" s="198"/>
      <c r="G28" s="196"/>
      <c r="H28" s="198"/>
      <c r="I28" s="198"/>
      <c r="J28" s="197"/>
      <c r="K28" s="198"/>
      <c r="L28" s="197"/>
      <c r="M28" s="202"/>
      <c r="N28" s="196"/>
      <c r="O28" s="197"/>
      <c r="P28" s="196"/>
      <c r="Q28" s="198"/>
      <c r="R28" s="197"/>
      <c r="S28" s="196"/>
    </row>
    <row r="29" ht="27" customHeight="1" spans="1:19">
      <c r="A29" s="195"/>
      <c r="B29" s="196"/>
      <c r="C29" s="197"/>
      <c r="D29" s="196"/>
      <c r="E29" s="196"/>
      <c r="F29" s="198"/>
      <c r="G29" s="196"/>
      <c r="H29" s="198"/>
      <c r="I29" s="198"/>
      <c r="J29" s="197"/>
      <c r="K29" s="198"/>
      <c r="L29" s="197"/>
      <c r="M29" s="202"/>
      <c r="N29" s="196"/>
      <c r="O29" s="197"/>
      <c r="P29" s="196"/>
      <c r="Q29" s="198"/>
      <c r="R29" s="197"/>
      <c r="S29" s="196"/>
    </row>
    <row r="30" ht="27" customHeight="1" spans="1:19">
      <c r="A30" s="195"/>
      <c r="B30" s="196"/>
      <c r="C30" s="197"/>
      <c r="D30" s="196"/>
      <c r="E30" s="196"/>
      <c r="F30" s="198"/>
      <c r="G30" s="196"/>
      <c r="H30" s="198"/>
      <c r="I30" s="198"/>
      <c r="J30" s="197"/>
      <c r="K30" s="198"/>
      <c r="L30" s="197"/>
      <c r="M30" s="202"/>
      <c r="N30" s="196"/>
      <c r="O30" s="197"/>
      <c r="P30" s="196"/>
      <c r="Q30" s="198"/>
      <c r="R30" s="197"/>
      <c r="S30" s="196"/>
    </row>
    <row r="31" ht="27" customHeight="1" spans="1:19">
      <c r="A31" s="195"/>
      <c r="B31" s="196"/>
      <c r="C31" s="197"/>
      <c r="D31" s="196"/>
      <c r="E31" s="196"/>
      <c r="F31" s="198"/>
      <c r="G31" s="196"/>
      <c r="H31" s="198"/>
      <c r="I31" s="198"/>
      <c r="J31" s="197"/>
      <c r="K31" s="198"/>
      <c r="L31" s="197"/>
      <c r="M31" s="202"/>
      <c r="N31" s="196"/>
      <c r="O31" s="197"/>
      <c r="P31" s="196"/>
      <c r="Q31" s="198"/>
      <c r="R31" s="197"/>
      <c r="S31" s="196"/>
    </row>
    <row r="32" ht="27" customHeight="1" spans="1:19">
      <c r="A32" s="195"/>
      <c r="B32" s="196"/>
      <c r="C32" s="197"/>
      <c r="D32" s="196"/>
      <c r="E32" s="196"/>
      <c r="F32" s="198"/>
      <c r="G32" s="196"/>
      <c r="H32" s="198"/>
      <c r="I32" s="198"/>
      <c r="J32" s="197"/>
      <c r="K32" s="198"/>
      <c r="L32" s="197"/>
      <c r="M32" s="202"/>
      <c r="N32" s="196"/>
      <c r="O32" s="197"/>
      <c r="P32" s="196"/>
      <c r="Q32" s="198"/>
      <c r="R32" s="197"/>
      <c r="S32" s="196"/>
    </row>
    <row r="33" ht="27" customHeight="1" spans="1:19">
      <c r="A33" s="195"/>
      <c r="B33" s="196"/>
      <c r="C33" s="197"/>
      <c r="D33" s="196"/>
      <c r="E33" s="196"/>
      <c r="F33" s="198"/>
      <c r="G33" s="196"/>
      <c r="H33" s="198"/>
      <c r="I33" s="198"/>
      <c r="J33" s="197"/>
      <c r="K33" s="198"/>
      <c r="L33" s="197"/>
      <c r="M33" s="202"/>
      <c r="N33" s="196"/>
      <c r="O33" s="197"/>
      <c r="P33" s="196"/>
      <c r="Q33" s="198"/>
      <c r="R33" s="197"/>
      <c r="S33" s="196"/>
    </row>
    <row r="34" ht="27" customHeight="1" spans="1:19">
      <c r="A34" s="195"/>
      <c r="B34" s="196"/>
      <c r="C34" s="197"/>
      <c r="D34" s="196"/>
      <c r="E34" s="196"/>
      <c r="F34" s="198"/>
      <c r="G34" s="196"/>
      <c r="H34" s="198"/>
      <c r="I34" s="198"/>
      <c r="J34" s="197"/>
      <c r="K34" s="198"/>
      <c r="L34" s="197"/>
      <c r="M34" s="202"/>
      <c r="N34" s="196"/>
      <c r="O34" s="197"/>
      <c r="P34" s="196"/>
      <c r="Q34" s="198"/>
      <c r="R34" s="197"/>
      <c r="S34" s="196"/>
    </row>
    <row r="35" ht="27" customHeight="1" spans="1:19">
      <c r="A35" s="195"/>
      <c r="B35" s="196"/>
      <c r="C35" s="197"/>
      <c r="D35" s="196"/>
      <c r="E35" s="196"/>
      <c r="F35" s="198"/>
      <c r="G35" s="196"/>
      <c r="H35" s="198"/>
      <c r="I35" s="198"/>
      <c r="J35" s="197"/>
      <c r="K35" s="198"/>
      <c r="L35" s="197"/>
      <c r="M35" s="202"/>
      <c r="N35" s="196"/>
      <c r="O35" s="197"/>
      <c r="P35" s="196"/>
      <c r="Q35" s="198"/>
      <c r="R35" s="197"/>
      <c r="S35" s="196"/>
    </row>
    <row r="36" ht="27" customHeight="1" spans="1:19">
      <c r="A36" s="195"/>
      <c r="B36" s="196"/>
      <c r="C36" s="197"/>
      <c r="D36" s="196"/>
      <c r="E36" s="196"/>
      <c r="F36" s="198"/>
      <c r="G36" s="196"/>
      <c r="H36" s="198"/>
      <c r="I36" s="198"/>
      <c r="J36" s="197"/>
      <c r="K36" s="198"/>
      <c r="L36" s="197"/>
      <c r="M36" s="202"/>
      <c r="N36" s="196"/>
      <c r="O36" s="197"/>
      <c r="P36" s="196"/>
      <c r="Q36" s="198"/>
      <c r="R36" s="197"/>
      <c r="S36" s="196"/>
    </row>
    <row r="37" ht="27" customHeight="1" spans="1:19">
      <c r="A37" s="195"/>
      <c r="B37" s="196"/>
      <c r="C37" s="197"/>
      <c r="D37" s="196"/>
      <c r="E37" s="196"/>
      <c r="F37" s="198"/>
      <c r="G37" s="196"/>
      <c r="H37" s="198"/>
      <c r="I37" s="198"/>
      <c r="J37" s="197"/>
      <c r="K37" s="198"/>
      <c r="L37" s="197"/>
      <c r="M37" s="202"/>
      <c r="N37" s="196"/>
      <c r="O37" s="197"/>
      <c r="P37" s="196"/>
      <c r="Q37" s="198"/>
      <c r="R37" s="197"/>
      <c r="S37" s="196"/>
    </row>
    <row r="38" ht="27" customHeight="1" spans="1:19">
      <c r="A38" s="195"/>
      <c r="B38" s="196"/>
      <c r="C38" s="197"/>
      <c r="D38" s="196"/>
      <c r="E38" s="196"/>
      <c r="F38" s="198"/>
      <c r="G38" s="196"/>
      <c r="H38" s="198"/>
      <c r="I38" s="198"/>
      <c r="J38" s="197"/>
      <c r="K38" s="198"/>
      <c r="L38" s="197"/>
      <c r="M38" s="202"/>
      <c r="N38" s="196"/>
      <c r="O38" s="197"/>
      <c r="P38" s="196"/>
      <c r="Q38" s="198"/>
      <c r="R38" s="197"/>
      <c r="S38" s="196"/>
    </row>
    <row r="39" ht="27" customHeight="1" spans="1:19">
      <c r="A39" s="195"/>
      <c r="B39" s="196"/>
      <c r="C39" s="197"/>
      <c r="D39" s="196"/>
      <c r="E39" s="196"/>
      <c r="F39" s="198"/>
      <c r="G39" s="196"/>
      <c r="H39" s="198"/>
      <c r="I39" s="198"/>
      <c r="J39" s="197"/>
      <c r="K39" s="198"/>
      <c r="L39" s="197"/>
      <c r="M39" s="202"/>
      <c r="N39" s="196"/>
      <c r="O39" s="197"/>
      <c r="P39" s="196"/>
      <c r="Q39" s="198"/>
      <c r="R39" s="197"/>
      <c r="S39" s="196"/>
    </row>
    <row r="40" ht="27" customHeight="1" spans="1:19">
      <c r="A40" s="195"/>
      <c r="B40" s="196"/>
      <c r="C40" s="197"/>
      <c r="D40" s="196"/>
      <c r="E40" s="196"/>
      <c r="F40" s="198"/>
      <c r="G40" s="196"/>
      <c r="H40" s="198"/>
      <c r="I40" s="198"/>
      <c r="J40" s="197"/>
      <c r="K40" s="198"/>
      <c r="L40" s="197"/>
      <c r="M40" s="202"/>
      <c r="N40" s="196"/>
      <c r="O40" s="197"/>
      <c r="P40" s="196"/>
      <c r="Q40" s="198"/>
      <c r="R40" s="197"/>
      <c r="S40" s="196"/>
    </row>
    <row r="41" ht="27" customHeight="1" spans="1:19">
      <c r="A41" s="195"/>
      <c r="B41" s="196"/>
      <c r="C41" s="197"/>
      <c r="D41" s="196"/>
      <c r="E41" s="196"/>
      <c r="F41" s="198"/>
      <c r="G41" s="196"/>
      <c r="H41" s="198"/>
      <c r="I41" s="198"/>
      <c r="J41" s="197"/>
      <c r="K41" s="198"/>
      <c r="L41" s="197"/>
      <c r="M41" s="202"/>
      <c r="N41" s="196"/>
      <c r="O41" s="197"/>
      <c r="P41" s="196"/>
      <c r="Q41" s="198"/>
      <c r="R41" s="197"/>
      <c r="S41" s="196"/>
    </row>
    <row r="42" ht="27" customHeight="1" spans="1:19">
      <c r="A42" s="195"/>
      <c r="B42" s="196"/>
      <c r="C42" s="197"/>
      <c r="D42" s="196"/>
      <c r="E42" s="196"/>
      <c r="F42" s="198"/>
      <c r="G42" s="196"/>
      <c r="H42" s="198"/>
      <c r="I42" s="198"/>
      <c r="J42" s="197"/>
      <c r="K42" s="198"/>
      <c r="L42" s="197"/>
      <c r="M42" s="202"/>
      <c r="N42" s="196"/>
      <c r="O42" s="197"/>
      <c r="P42" s="196"/>
      <c r="Q42" s="198"/>
      <c r="R42" s="197"/>
      <c r="S42" s="196"/>
    </row>
    <row r="43" ht="27" customHeight="1" spans="1:19">
      <c r="A43" s="195"/>
      <c r="B43" s="196"/>
      <c r="C43" s="197"/>
      <c r="D43" s="196"/>
      <c r="E43" s="196"/>
      <c r="F43" s="198"/>
      <c r="G43" s="196"/>
      <c r="H43" s="198"/>
      <c r="I43" s="198"/>
      <c r="J43" s="197"/>
      <c r="K43" s="198"/>
      <c r="L43" s="197"/>
      <c r="M43" s="202"/>
      <c r="N43" s="196"/>
      <c r="O43" s="197"/>
      <c r="P43" s="196"/>
      <c r="Q43" s="198"/>
      <c r="R43" s="197"/>
      <c r="S43" s="196"/>
    </row>
    <row r="44" ht="27" customHeight="1" spans="1:19">
      <c r="A44" s="195"/>
      <c r="B44" s="196"/>
      <c r="C44" s="197"/>
      <c r="D44" s="196"/>
      <c r="E44" s="196"/>
      <c r="F44" s="198"/>
      <c r="G44" s="196"/>
      <c r="H44" s="198"/>
      <c r="I44" s="198"/>
      <c r="J44" s="197"/>
      <c r="K44" s="198"/>
      <c r="L44" s="197"/>
      <c r="M44" s="202"/>
      <c r="N44" s="196"/>
      <c r="O44" s="197"/>
      <c r="P44" s="196"/>
      <c r="Q44" s="198"/>
      <c r="R44" s="197"/>
      <c r="S44" s="196"/>
    </row>
    <row r="45" ht="27" customHeight="1" spans="1:19">
      <c r="A45" s="195"/>
      <c r="B45" s="196"/>
      <c r="C45" s="197"/>
      <c r="D45" s="196"/>
      <c r="E45" s="196"/>
      <c r="F45" s="198"/>
      <c r="G45" s="196"/>
      <c r="H45" s="198"/>
      <c r="I45" s="198"/>
      <c r="J45" s="197"/>
      <c r="K45" s="198"/>
      <c r="L45" s="197"/>
      <c r="M45" s="202"/>
      <c r="N45" s="196"/>
      <c r="O45" s="197"/>
      <c r="P45" s="196"/>
      <c r="Q45" s="198"/>
      <c r="R45" s="197"/>
      <c r="S45" s="196"/>
    </row>
    <row r="46" ht="27" customHeight="1" spans="1:19">
      <c r="A46" s="195"/>
      <c r="B46" s="196"/>
      <c r="C46" s="197"/>
      <c r="D46" s="196"/>
      <c r="E46" s="196"/>
      <c r="F46" s="198"/>
      <c r="G46" s="196"/>
      <c r="H46" s="198"/>
      <c r="I46" s="198"/>
      <c r="J46" s="197"/>
      <c r="K46" s="198"/>
      <c r="L46" s="197"/>
      <c r="M46" s="202"/>
      <c r="N46" s="196"/>
      <c r="O46" s="197"/>
      <c r="P46" s="196"/>
      <c r="Q46" s="198"/>
      <c r="R46" s="197"/>
      <c r="S46" s="196"/>
    </row>
    <row r="47" ht="27" customHeight="1" spans="1:19">
      <c r="A47" s="195"/>
      <c r="B47" s="196"/>
      <c r="C47" s="197"/>
      <c r="D47" s="196"/>
      <c r="E47" s="196"/>
      <c r="F47" s="198"/>
      <c r="G47" s="196"/>
      <c r="H47" s="198"/>
      <c r="I47" s="198"/>
      <c r="J47" s="197"/>
      <c r="K47" s="198"/>
      <c r="L47" s="197"/>
      <c r="M47" s="202"/>
      <c r="N47" s="196"/>
      <c r="O47" s="197"/>
      <c r="P47" s="196"/>
      <c r="Q47" s="198"/>
      <c r="R47" s="197"/>
      <c r="S47" s="196"/>
    </row>
    <row r="48" ht="27" customHeight="1" spans="1:19">
      <c r="A48" s="195"/>
      <c r="B48" s="196"/>
      <c r="C48" s="197"/>
      <c r="D48" s="196"/>
      <c r="E48" s="196"/>
      <c r="F48" s="198"/>
      <c r="G48" s="196"/>
      <c r="H48" s="198"/>
      <c r="I48" s="198"/>
      <c r="J48" s="197"/>
      <c r="K48" s="198"/>
      <c r="L48" s="197"/>
      <c r="M48" s="202"/>
      <c r="N48" s="196"/>
      <c r="O48" s="197"/>
      <c r="P48" s="196"/>
      <c r="Q48" s="198"/>
      <c r="R48" s="197"/>
      <c r="S48" s="196"/>
    </row>
    <row r="49" ht="27" customHeight="1" spans="1:19">
      <c r="A49" s="195"/>
      <c r="B49" s="196"/>
      <c r="C49" s="197"/>
      <c r="D49" s="196"/>
      <c r="E49" s="196"/>
      <c r="F49" s="198"/>
      <c r="G49" s="196"/>
      <c r="H49" s="198"/>
      <c r="I49" s="198"/>
      <c r="J49" s="197"/>
      <c r="K49" s="198"/>
      <c r="L49" s="197"/>
      <c r="M49" s="202"/>
      <c r="N49" s="196"/>
      <c r="O49" s="197"/>
      <c r="P49" s="196"/>
      <c r="Q49" s="198"/>
      <c r="R49" s="197"/>
      <c r="S49" s="196"/>
    </row>
    <row r="50" ht="27" customHeight="1" spans="1:19">
      <c r="A50" s="195"/>
      <c r="B50" s="196"/>
      <c r="C50" s="197"/>
      <c r="D50" s="196"/>
      <c r="E50" s="196"/>
      <c r="F50" s="198"/>
      <c r="G50" s="196"/>
      <c r="H50" s="198"/>
      <c r="I50" s="198"/>
      <c r="J50" s="197"/>
      <c r="K50" s="198"/>
      <c r="L50" s="197"/>
      <c r="M50" s="202"/>
      <c r="N50" s="196"/>
      <c r="O50" s="197"/>
      <c r="P50" s="196"/>
      <c r="Q50" s="198"/>
      <c r="R50" s="197"/>
      <c r="S50" s="196"/>
    </row>
    <row r="51" ht="27" customHeight="1" spans="1:19">
      <c r="A51" s="195"/>
      <c r="B51" s="196"/>
      <c r="C51" s="197"/>
      <c r="D51" s="196"/>
      <c r="E51" s="196"/>
      <c r="F51" s="198"/>
      <c r="G51" s="196"/>
      <c r="H51" s="198"/>
      <c r="I51" s="198"/>
      <c r="J51" s="197"/>
      <c r="K51" s="198"/>
      <c r="L51" s="197"/>
      <c r="M51" s="202"/>
      <c r="N51" s="196"/>
      <c r="O51" s="197"/>
      <c r="P51" s="196"/>
      <c r="Q51" s="198"/>
      <c r="R51" s="197"/>
      <c r="S51" s="196"/>
    </row>
    <row r="52" ht="27" customHeight="1" spans="1:19">
      <c r="A52" s="195"/>
      <c r="B52" s="196"/>
      <c r="C52" s="197"/>
      <c r="D52" s="196"/>
      <c r="E52" s="196"/>
      <c r="F52" s="198"/>
      <c r="G52" s="196"/>
      <c r="H52" s="198"/>
      <c r="I52" s="198"/>
      <c r="J52" s="197"/>
      <c r="K52" s="198"/>
      <c r="L52" s="197"/>
      <c r="M52" s="202"/>
      <c r="N52" s="196"/>
      <c r="O52" s="197"/>
      <c r="P52" s="196"/>
      <c r="Q52" s="198"/>
      <c r="R52" s="197"/>
      <c r="S52" s="196"/>
    </row>
    <row r="53" ht="27" customHeight="1" spans="1:19">
      <c r="A53" s="195"/>
      <c r="B53" s="196"/>
      <c r="C53" s="197"/>
      <c r="D53" s="196"/>
      <c r="E53" s="196"/>
      <c r="F53" s="198"/>
      <c r="G53" s="196"/>
      <c r="H53" s="198"/>
      <c r="I53" s="198"/>
      <c r="J53" s="197"/>
      <c r="K53" s="198"/>
      <c r="L53" s="197"/>
      <c r="M53" s="202"/>
      <c r="N53" s="196"/>
      <c r="O53" s="197"/>
      <c r="P53" s="196"/>
      <c r="Q53" s="198"/>
      <c r="R53" s="197"/>
      <c r="S53" s="196"/>
    </row>
    <row r="54" ht="27" customHeight="1" spans="1:19">
      <c r="A54" s="195"/>
      <c r="B54" s="196"/>
      <c r="C54" s="197"/>
      <c r="D54" s="196"/>
      <c r="E54" s="196"/>
      <c r="F54" s="198"/>
      <c r="G54" s="196"/>
      <c r="H54" s="198"/>
      <c r="I54" s="198"/>
      <c r="J54" s="197"/>
      <c r="K54" s="198"/>
      <c r="L54" s="197"/>
      <c r="M54" s="202"/>
      <c r="N54" s="196"/>
      <c r="O54" s="197"/>
      <c r="P54" s="196"/>
      <c r="Q54" s="198"/>
      <c r="R54" s="197"/>
      <c r="S54" s="196"/>
    </row>
    <row r="55" ht="27" customHeight="1" spans="1:19">
      <c r="A55" s="195"/>
      <c r="B55" s="196"/>
      <c r="C55" s="197"/>
      <c r="D55" s="196"/>
      <c r="E55" s="196"/>
      <c r="F55" s="198"/>
      <c r="G55" s="196"/>
      <c r="H55" s="198"/>
      <c r="I55" s="198"/>
      <c r="J55" s="197"/>
      <c r="K55" s="198"/>
      <c r="L55" s="197"/>
      <c r="M55" s="196"/>
      <c r="N55" s="196"/>
      <c r="O55" s="197"/>
      <c r="P55" s="196"/>
      <c r="Q55" s="198"/>
      <c r="R55" s="197"/>
      <c r="S55" s="196"/>
    </row>
    <row r="56" ht="27" customHeight="1" spans="1:19">
      <c r="A56" s="195"/>
      <c r="B56" s="196"/>
      <c r="C56" s="197"/>
      <c r="D56" s="196"/>
      <c r="E56" s="196"/>
      <c r="F56" s="198"/>
      <c r="G56" s="196"/>
      <c r="H56" s="198"/>
      <c r="I56" s="198"/>
      <c r="J56" s="197"/>
      <c r="K56" s="198"/>
      <c r="L56" s="197"/>
      <c r="M56" s="196"/>
      <c r="N56" s="196"/>
      <c r="O56" s="197"/>
      <c r="P56" s="196"/>
      <c r="Q56" s="198"/>
      <c r="R56" s="197"/>
      <c r="S56" s="196"/>
    </row>
    <row r="57" ht="27" customHeight="1" spans="1:19">
      <c r="A57" s="195"/>
      <c r="B57" s="196"/>
      <c r="C57" s="197"/>
      <c r="D57" s="196"/>
      <c r="E57" s="196"/>
      <c r="F57" s="198"/>
      <c r="G57" s="196"/>
      <c r="H57" s="198"/>
      <c r="I57" s="198"/>
      <c r="J57" s="197"/>
      <c r="K57" s="198"/>
      <c r="L57" s="197"/>
      <c r="M57" s="196"/>
      <c r="N57" s="196"/>
      <c r="O57" s="197"/>
      <c r="P57" s="196"/>
      <c r="Q57" s="198"/>
      <c r="R57" s="197"/>
      <c r="S57" s="196"/>
    </row>
    <row r="58" ht="27" customHeight="1" spans="1:19">
      <c r="A58" s="195"/>
      <c r="B58" s="196"/>
      <c r="C58" s="197"/>
      <c r="D58" s="196"/>
      <c r="E58" s="196"/>
      <c r="F58" s="198"/>
      <c r="G58" s="196"/>
      <c r="H58" s="198"/>
      <c r="I58" s="198"/>
      <c r="J58" s="197"/>
      <c r="K58" s="198"/>
      <c r="L58" s="197"/>
      <c r="M58" s="196"/>
      <c r="N58" s="196"/>
      <c r="O58" s="197"/>
      <c r="P58" s="196"/>
      <c r="Q58" s="198"/>
      <c r="R58" s="197"/>
      <c r="S58" s="196"/>
    </row>
    <row r="59" ht="27" customHeight="1" spans="1:19">
      <c r="A59" s="195"/>
      <c r="B59" s="196"/>
      <c r="C59" s="197"/>
      <c r="D59" s="196"/>
      <c r="E59" s="196"/>
      <c r="F59" s="198"/>
      <c r="G59" s="196"/>
      <c r="H59" s="198"/>
      <c r="I59" s="198"/>
      <c r="J59" s="197"/>
      <c r="K59" s="198"/>
      <c r="L59" s="197"/>
      <c r="M59" s="196"/>
      <c r="N59" s="196"/>
      <c r="O59" s="197"/>
      <c r="P59" s="196"/>
      <c r="Q59" s="198"/>
      <c r="R59" s="197"/>
      <c r="S59" s="196"/>
    </row>
    <row r="60" ht="27" customHeight="1" spans="1:19">
      <c r="A60" s="195"/>
      <c r="B60" s="196"/>
      <c r="C60" s="197"/>
      <c r="D60" s="196"/>
      <c r="E60" s="196"/>
      <c r="F60" s="198"/>
      <c r="G60" s="196"/>
      <c r="H60" s="198"/>
      <c r="I60" s="198"/>
      <c r="J60" s="197"/>
      <c r="K60" s="198"/>
      <c r="L60" s="197"/>
      <c r="M60" s="196"/>
      <c r="N60" s="196"/>
      <c r="O60" s="197"/>
      <c r="P60" s="196"/>
      <c r="Q60" s="198"/>
      <c r="R60" s="197"/>
      <c r="S60" s="196"/>
    </row>
    <row r="61" ht="27" customHeight="1" spans="1:19">
      <c r="A61" s="195"/>
      <c r="B61" s="196"/>
      <c r="C61" s="197"/>
      <c r="D61" s="196"/>
      <c r="E61" s="196"/>
      <c r="F61" s="198"/>
      <c r="G61" s="196"/>
      <c r="H61" s="198"/>
      <c r="I61" s="198"/>
      <c r="J61" s="197"/>
      <c r="K61" s="198"/>
      <c r="L61" s="197"/>
      <c r="M61" s="196"/>
      <c r="N61" s="196"/>
      <c r="O61" s="197"/>
      <c r="P61" s="196"/>
      <c r="Q61" s="198"/>
      <c r="R61" s="197"/>
      <c r="S61" s="196"/>
    </row>
    <row r="62" ht="27" customHeight="1" spans="1:19">
      <c r="A62" s="195"/>
      <c r="B62" s="196"/>
      <c r="C62" s="197"/>
      <c r="D62" s="196"/>
      <c r="E62" s="196"/>
      <c r="F62" s="198"/>
      <c r="G62" s="196"/>
      <c r="H62" s="198"/>
      <c r="I62" s="198"/>
      <c r="J62" s="197"/>
      <c r="K62" s="198"/>
      <c r="L62" s="197"/>
      <c r="M62" s="196"/>
      <c r="N62" s="196"/>
      <c r="O62" s="197"/>
      <c r="P62" s="196"/>
      <c r="Q62" s="198"/>
      <c r="R62" s="197"/>
      <c r="S62" s="196"/>
    </row>
    <row r="63" ht="27" customHeight="1" spans="1:19">
      <c r="A63" s="195"/>
      <c r="B63" s="196"/>
      <c r="C63" s="197"/>
      <c r="D63" s="196"/>
      <c r="E63" s="196"/>
      <c r="F63" s="198"/>
      <c r="G63" s="196"/>
      <c r="H63" s="198"/>
      <c r="I63" s="198"/>
      <c r="J63" s="197"/>
      <c r="K63" s="198"/>
      <c r="L63" s="197"/>
      <c r="M63" s="196"/>
      <c r="N63" s="196"/>
      <c r="O63" s="197"/>
      <c r="P63" s="196"/>
      <c r="Q63" s="198"/>
      <c r="R63" s="197"/>
      <c r="S63" s="196"/>
    </row>
    <row r="64" ht="27" customHeight="1" spans="1:19">
      <c r="A64" s="195"/>
      <c r="B64" s="196"/>
      <c r="C64" s="197"/>
      <c r="D64" s="196"/>
      <c r="E64" s="196"/>
      <c r="F64" s="198"/>
      <c r="G64" s="196"/>
      <c r="H64" s="198"/>
      <c r="I64" s="198"/>
      <c r="J64" s="197"/>
      <c r="K64" s="198"/>
      <c r="L64" s="197"/>
      <c r="M64" s="196"/>
      <c r="N64" s="196"/>
      <c r="O64" s="197"/>
      <c r="P64" s="196"/>
      <c r="Q64" s="198"/>
      <c r="R64" s="197"/>
      <c r="S64" s="196"/>
    </row>
    <row r="65" ht="27" customHeight="1" spans="1:19">
      <c r="A65" s="195"/>
      <c r="B65" s="196"/>
      <c r="C65" s="197"/>
      <c r="D65" s="196"/>
      <c r="E65" s="196"/>
      <c r="F65" s="198"/>
      <c r="G65" s="196"/>
      <c r="H65" s="198"/>
      <c r="I65" s="198"/>
      <c r="J65" s="197"/>
      <c r="K65" s="198"/>
      <c r="L65" s="197"/>
      <c r="M65" s="196"/>
      <c r="N65" s="196"/>
      <c r="O65" s="197"/>
      <c r="P65" s="196"/>
      <c r="Q65" s="198"/>
      <c r="R65" s="197"/>
      <c r="S65" s="196"/>
    </row>
    <row r="66" ht="27" customHeight="1" spans="1:19">
      <c r="A66" s="195"/>
      <c r="B66" s="196"/>
      <c r="C66" s="197"/>
      <c r="D66" s="196"/>
      <c r="E66" s="196"/>
      <c r="F66" s="198"/>
      <c r="G66" s="196"/>
      <c r="H66" s="198"/>
      <c r="I66" s="198"/>
      <c r="J66" s="197"/>
      <c r="K66" s="198"/>
      <c r="L66" s="197"/>
      <c r="M66" s="196"/>
      <c r="N66" s="196"/>
      <c r="O66" s="197"/>
      <c r="P66" s="196"/>
      <c r="Q66" s="198"/>
      <c r="R66" s="197"/>
      <c r="S66" s="196"/>
    </row>
    <row r="67" ht="27" customHeight="1" spans="1:19">
      <c r="A67" s="195"/>
      <c r="B67" s="196"/>
      <c r="C67" s="197"/>
      <c r="D67" s="196"/>
      <c r="E67" s="196"/>
      <c r="F67" s="198"/>
      <c r="G67" s="196"/>
      <c r="H67" s="198"/>
      <c r="I67" s="198"/>
      <c r="J67" s="197"/>
      <c r="K67" s="198"/>
      <c r="L67" s="197"/>
      <c r="M67" s="196"/>
      <c r="N67" s="196"/>
      <c r="O67" s="197"/>
      <c r="P67" s="196"/>
      <c r="Q67" s="198"/>
      <c r="R67" s="197"/>
      <c r="S67" s="196"/>
    </row>
    <row r="68" ht="27" customHeight="1" spans="1:19">
      <c r="A68" s="195"/>
      <c r="B68" s="196"/>
      <c r="C68" s="197"/>
      <c r="D68" s="196"/>
      <c r="E68" s="196"/>
      <c r="F68" s="198"/>
      <c r="G68" s="196"/>
      <c r="H68" s="198"/>
      <c r="I68" s="198"/>
      <c r="J68" s="197"/>
      <c r="K68" s="198"/>
      <c r="L68" s="197"/>
      <c r="M68" s="196"/>
      <c r="N68" s="196"/>
      <c r="O68" s="197"/>
      <c r="P68" s="196"/>
      <c r="Q68" s="198"/>
      <c r="R68" s="197"/>
      <c r="S68" s="196"/>
    </row>
    <row r="69" ht="27" customHeight="1" spans="1:19">
      <c r="A69" s="195"/>
      <c r="B69" s="196"/>
      <c r="C69" s="197"/>
      <c r="D69" s="196"/>
      <c r="E69" s="196"/>
      <c r="F69" s="198"/>
      <c r="G69" s="196"/>
      <c r="H69" s="198"/>
      <c r="I69" s="198"/>
      <c r="J69" s="197"/>
      <c r="K69" s="198"/>
      <c r="L69" s="197"/>
      <c r="M69" s="196"/>
      <c r="N69" s="196"/>
      <c r="O69" s="197"/>
      <c r="P69" s="196"/>
      <c r="Q69" s="198"/>
      <c r="R69" s="197"/>
      <c r="S69" s="196"/>
    </row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abSelected="1" workbookViewId="0">
      <pane ySplit="12" topLeftCell="A13" activePane="bottomLeft" state="frozen"/>
      <selection/>
      <selection pane="bottomLeft" activeCell="J14" sqref="J14"/>
    </sheetView>
  </sheetViews>
  <sheetFormatPr defaultColWidth="9" defaultRowHeight="16.5"/>
  <cols>
    <col min="1" max="1" width="21.125" style="143" customWidth="1"/>
    <col min="2" max="2" width="15.4416666666667" style="143" customWidth="1"/>
    <col min="3" max="3" width="19.6333333333333" style="143" customWidth="1"/>
    <col min="4" max="4" width="23.0916666666667" style="143" customWidth="1"/>
    <col min="5" max="5" width="23.6333333333333" style="143" customWidth="1"/>
    <col min="6" max="6" width="26.9083333333333" style="143" customWidth="1"/>
    <col min="7" max="7" width="23.375" style="143" customWidth="1"/>
    <col min="8" max="8" width="7.09166666666667" style="143" customWidth="1"/>
    <col min="9" max="16384" width="9" style="143"/>
  </cols>
  <sheetData>
    <row r="1" s="143" customFormat="1" ht="54" customHeight="1" spans="1:7">
      <c r="A1" s="146" t="s">
        <v>19</v>
      </c>
      <c r="B1" s="147"/>
      <c r="C1" s="147"/>
      <c r="D1" s="147"/>
      <c r="E1" s="147"/>
      <c r="F1" s="147"/>
      <c r="G1" s="147"/>
    </row>
    <row r="2" s="143" customFormat="1" ht="27" customHeight="1" spans="1:7">
      <c r="A2" s="148" t="s">
        <v>20</v>
      </c>
      <c r="B2" s="149" t="s">
        <v>21</v>
      </c>
      <c r="C2" s="149"/>
      <c r="D2" s="148" t="s">
        <v>22</v>
      </c>
      <c r="E2" s="150" t="s">
        <v>23</v>
      </c>
      <c r="F2" s="150" t="s">
        <v>24</v>
      </c>
      <c r="G2" s="151" t="s">
        <v>25</v>
      </c>
    </row>
    <row r="3" s="143" customFormat="1" spans="1:7">
      <c r="A3" s="152" t="s">
        <v>26</v>
      </c>
      <c r="B3" s="149"/>
      <c r="C3" s="149"/>
      <c r="D3" s="148" t="s">
        <v>27</v>
      </c>
      <c r="E3" s="153"/>
      <c r="F3" s="151"/>
      <c r="G3" s="151"/>
    </row>
    <row r="4" s="143" customFormat="1" spans="1:7">
      <c r="A4" s="152"/>
      <c r="B4" s="149"/>
      <c r="C4" s="149"/>
      <c r="D4" s="148" t="s">
        <v>28</v>
      </c>
      <c r="E4" s="153"/>
      <c r="F4" s="151"/>
      <c r="G4" s="151"/>
    </row>
    <row r="5" s="143" customFormat="1" spans="1:7">
      <c r="A5" s="152" t="s">
        <v>29</v>
      </c>
      <c r="B5" s="149"/>
      <c r="C5" s="149"/>
      <c r="D5" s="148" t="s">
        <v>30</v>
      </c>
      <c r="E5" s="153"/>
      <c r="F5" s="151"/>
      <c r="G5" s="151"/>
    </row>
    <row r="6" s="143" customFormat="1" spans="1:7">
      <c r="A6" s="152"/>
      <c r="B6" s="149"/>
      <c r="C6" s="149"/>
      <c r="D6" s="148" t="s">
        <v>31</v>
      </c>
      <c r="E6" s="153"/>
      <c r="F6" s="151"/>
      <c r="G6" s="151"/>
    </row>
    <row r="7" s="143" customFormat="1" spans="1:7">
      <c r="A7" s="152"/>
      <c r="B7" s="149"/>
      <c r="C7" s="149"/>
      <c r="D7" s="148" t="s">
        <v>32</v>
      </c>
      <c r="E7" s="153"/>
      <c r="F7" s="151"/>
      <c r="G7" s="151"/>
    </row>
    <row r="8" s="143" customFormat="1" spans="1:7">
      <c r="A8" s="152" t="s">
        <v>33</v>
      </c>
      <c r="B8" s="154"/>
      <c r="C8" s="154"/>
      <c r="D8" s="148" t="s">
        <v>34</v>
      </c>
      <c r="E8" s="153"/>
      <c r="F8" s="151"/>
      <c r="G8" s="151"/>
    </row>
    <row r="9" s="143" customFormat="1" spans="1:7">
      <c r="A9" s="152"/>
      <c r="B9" s="154"/>
      <c r="C9" s="154"/>
      <c r="D9" s="148" t="s">
        <v>19</v>
      </c>
      <c r="E9" s="153"/>
      <c r="F9" s="151"/>
      <c r="G9" s="151"/>
    </row>
    <row r="10" s="143" customFormat="1" spans="1:7">
      <c r="A10" s="152"/>
      <c r="B10" s="154"/>
      <c r="C10" s="154"/>
      <c r="D10" s="148"/>
      <c r="E10" s="153"/>
      <c r="F10" s="155"/>
      <c r="G10" s="151"/>
    </row>
    <row r="11" s="143" customFormat="1" ht="51" customHeight="1" spans="1:7">
      <c r="A11" s="156" t="s">
        <v>35</v>
      </c>
      <c r="B11" s="156"/>
      <c r="C11" s="156"/>
      <c r="D11" s="156"/>
      <c r="E11" s="156"/>
      <c r="F11" s="156"/>
      <c r="G11" s="156"/>
    </row>
    <row r="12" s="143" customFormat="1" ht="31" customHeight="1" spans="1:23">
      <c r="A12" s="157" t="s">
        <v>36</v>
      </c>
      <c r="B12" s="158"/>
      <c r="C12" s="159" t="s">
        <v>37</v>
      </c>
      <c r="D12" s="159" t="s">
        <v>38</v>
      </c>
      <c r="E12" s="159" t="s">
        <v>39</v>
      </c>
      <c r="F12" s="159" t="s">
        <v>40</v>
      </c>
      <c r="G12" s="160" t="s">
        <v>41</v>
      </c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</row>
    <row r="13" s="143" customFormat="1" ht="29" customHeight="1" spans="1:23">
      <c r="A13" s="150" t="s">
        <v>42</v>
      </c>
      <c r="B13" s="150"/>
      <c r="C13" s="162"/>
      <c r="D13" s="162"/>
      <c r="E13" s="162"/>
      <c r="F13" s="162"/>
      <c r="G13" s="162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</row>
    <row r="14" s="143" customFormat="1" ht="30" customHeight="1" spans="1:23">
      <c r="A14" s="148" t="s">
        <v>43</v>
      </c>
      <c r="B14" s="148" t="s">
        <v>44</v>
      </c>
      <c r="C14" s="163"/>
      <c r="D14" s="163"/>
      <c r="E14" s="163"/>
      <c r="F14" s="163"/>
      <c r="G14" s="160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</row>
    <row r="15" s="143" customFormat="1" ht="33" spans="1:23">
      <c r="A15" s="148"/>
      <c r="B15" s="148" t="s">
        <v>45</v>
      </c>
      <c r="C15" s="163"/>
      <c r="D15" s="163"/>
      <c r="E15" s="163"/>
      <c r="F15" s="163"/>
      <c r="G15" s="160"/>
      <c r="H15" s="161"/>
      <c r="I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</row>
    <row r="16" s="143" customFormat="1" ht="27" customHeight="1" spans="1:23">
      <c r="A16" s="148"/>
      <c r="B16" s="148" t="s">
        <v>46</v>
      </c>
      <c r="C16" s="163"/>
      <c r="D16" s="163"/>
      <c r="E16" s="163"/>
      <c r="F16" s="163"/>
      <c r="G16" s="160"/>
      <c r="H16" s="161"/>
      <c r="I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</row>
    <row r="17" s="143" customFormat="1" ht="33" customHeight="1" spans="1:23">
      <c r="A17" s="148"/>
      <c r="B17" s="148" t="s">
        <v>47</v>
      </c>
      <c r="C17" s="163"/>
      <c r="D17" s="163"/>
      <c r="E17" s="163"/>
      <c r="F17" s="163"/>
      <c r="G17" s="160"/>
      <c r="H17" s="161"/>
      <c r="I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</row>
    <row r="18" s="143" customFormat="1" spans="1:23">
      <c r="A18" s="164" t="s">
        <v>48</v>
      </c>
      <c r="B18" s="148" t="s">
        <v>49</v>
      </c>
      <c r="C18" s="163"/>
      <c r="D18" s="165"/>
      <c r="E18" s="163"/>
      <c r="F18" s="163"/>
      <c r="G18" s="166"/>
      <c r="H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</row>
    <row r="19" s="143" customFormat="1" ht="30" customHeight="1" spans="1:23">
      <c r="A19" s="167"/>
      <c r="B19" s="148" t="s">
        <v>50</v>
      </c>
      <c r="C19" s="163"/>
      <c r="D19" s="163"/>
      <c r="E19" s="163"/>
      <c r="F19" s="163"/>
      <c r="G19" s="160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</row>
    <row r="20" s="143" customFormat="1" spans="1:23">
      <c r="A20" s="152" t="s">
        <v>51</v>
      </c>
      <c r="B20" s="148" t="s">
        <v>52</v>
      </c>
      <c r="C20" s="149"/>
      <c r="D20" s="149"/>
      <c r="E20" s="149"/>
      <c r="F20" s="163"/>
      <c r="G20" s="168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</row>
    <row r="21" s="143" customFormat="1" spans="1:23">
      <c r="A21" s="152"/>
      <c r="B21" s="148" t="s">
        <v>53</v>
      </c>
      <c r="C21" s="149"/>
      <c r="D21" s="149"/>
      <c r="E21" s="149"/>
      <c r="F21" s="163"/>
      <c r="G21" s="168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</row>
    <row r="22" s="143" customFormat="1" spans="1:23">
      <c r="A22" s="152"/>
      <c r="B22" s="148" t="s">
        <v>54</v>
      </c>
      <c r="C22" s="149"/>
      <c r="D22" s="169"/>
      <c r="E22" s="149"/>
      <c r="F22" s="170"/>
      <c r="G22" s="168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</row>
    <row r="23" s="143" customFormat="1" spans="1:23">
      <c r="A23" s="152"/>
      <c r="B23" s="148" t="s">
        <v>55</v>
      </c>
      <c r="C23" s="149"/>
      <c r="D23" s="149"/>
      <c r="E23" s="149"/>
      <c r="F23" s="171"/>
      <c r="G23" s="168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</row>
    <row r="24" s="143" customFormat="1" spans="1:23">
      <c r="A24" s="152"/>
      <c r="B24" s="148" t="s">
        <v>56</v>
      </c>
      <c r="C24" s="149"/>
      <c r="D24" s="149"/>
      <c r="E24" s="149"/>
      <c r="F24" s="171"/>
      <c r="G24" s="168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</row>
    <row r="25" s="143" customFormat="1" spans="1:23">
      <c r="A25" s="152"/>
      <c r="B25" s="150" t="s">
        <v>57</v>
      </c>
      <c r="C25" s="149"/>
      <c r="D25" s="149"/>
      <c r="E25" s="149"/>
      <c r="F25" s="172"/>
      <c r="G25" s="168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s="143" customFormat="1" spans="1:23">
      <c r="A26" s="152"/>
      <c r="B26" s="150" t="s">
        <v>58</v>
      </c>
      <c r="C26" s="149"/>
      <c r="D26" s="149"/>
      <c r="E26" s="149"/>
      <c r="F26" s="163"/>
      <c r="G26" s="168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s="143" customFormat="1" ht="54" customHeight="1" spans="1:23">
      <c r="A27" s="150" t="s">
        <v>59</v>
      </c>
      <c r="B27" s="150"/>
      <c r="C27" s="149"/>
      <c r="D27" s="163"/>
      <c r="E27" s="149"/>
      <c r="F27" s="163"/>
      <c r="G27" s="160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s="143" customFormat="1" spans="1:23">
      <c r="A28" s="173" t="s">
        <v>26</v>
      </c>
      <c r="B28" s="150" t="s">
        <v>60</v>
      </c>
      <c r="C28" s="163"/>
      <c r="D28" s="163"/>
      <c r="E28" s="163"/>
      <c r="F28" s="163"/>
      <c r="G28" s="160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s="143" customFormat="1" spans="1:23">
      <c r="A29" s="174"/>
      <c r="B29" s="168" t="s">
        <v>61</v>
      </c>
      <c r="C29" s="163"/>
      <c r="D29" s="163"/>
      <c r="E29" s="163"/>
      <c r="F29" s="163"/>
      <c r="G29" s="160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s="143" customFormat="1" spans="1:23">
      <c r="A30" s="160" t="s">
        <v>62</v>
      </c>
      <c r="B30" s="150"/>
      <c r="C30" s="175"/>
      <c r="D30" s="149"/>
      <c r="E30" s="149"/>
      <c r="F30" s="175"/>
      <c r="G30" s="160"/>
      <c r="H30" s="145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s="143" customFormat="1" spans="1:23">
      <c r="A31" s="160"/>
      <c r="B31" s="150"/>
      <c r="C31" s="160"/>
      <c r="D31" s="160"/>
      <c r="E31" s="160"/>
      <c r="F31" s="160"/>
      <c r="G31" s="160"/>
      <c r="H31" s="145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s="143" customFormat="1" spans="1:8">
      <c r="A32" s="160"/>
      <c r="B32" s="168"/>
      <c r="C32" s="163"/>
      <c r="D32" s="163"/>
      <c r="E32" s="163"/>
      <c r="F32" s="163"/>
      <c r="G32" s="176"/>
      <c r="H32" s="145"/>
    </row>
    <row r="33" s="143" customFormat="1" spans="1:8">
      <c r="A33" s="160"/>
      <c r="B33" s="168"/>
      <c r="C33" s="163"/>
      <c r="D33" s="163"/>
      <c r="E33" s="163"/>
      <c r="F33" s="163"/>
      <c r="G33" s="176"/>
      <c r="H33" s="145"/>
    </row>
    <row r="34" s="143" customFormat="1" spans="1:8">
      <c r="A34" s="160"/>
      <c r="B34" s="168"/>
      <c r="C34" s="163"/>
      <c r="D34" s="163"/>
      <c r="E34" s="163"/>
      <c r="F34" s="163"/>
      <c r="G34" s="176"/>
      <c r="H34" s="145"/>
    </row>
    <row r="35" s="143" customFormat="1" spans="1:8">
      <c r="A35" s="160"/>
      <c r="B35" s="168"/>
      <c r="C35" s="163"/>
      <c r="D35" s="163"/>
      <c r="E35" s="163"/>
      <c r="F35" s="163"/>
      <c r="G35" s="176"/>
      <c r="H35" s="145"/>
    </row>
    <row r="36" s="143" customFormat="1" spans="1:8">
      <c r="A36" s="160"/>
      <c r="B36" s="168"/>
      <c r="C36" s="163"/>
      <c r="D36" s="163"/>
      <c r="E36" s="163"/>
      <c r="F36" s="163"/>
      <c r="G36" s="176"/>
      <c r="H36" s="145"/>
    </row>
    <row r="37" s="143" customFormat="1" ht="21" customHeight="1" spans="1:8">
      <c r="A37" s="160"/>
      <c r="B37" s="168"/>
      <c r="C37" s="163"/>
      <c r="D37" s="163"/>
      <c r="E37" s="163"/>
      <c r="F37" s="163"/>
      <c r="G37" s="176"/>
      <c r="H37" s="145"/>
    </row>
    <row r="38" s="143" customFormat="1" spans="1:8">
      <c r="A38" s="160"/>
      <c r="B38" s="168"/>
      <c r="C38" s="163"/>
      <c r="D38" s="163"/>
      <c r="E38" s="163"/>
      <c r="F38" s="163"/>
      <c r="G38" s="176"/>
      <c r="H38" s="145"/>
    </row>
    <row r="39" s="143" customFormat="1" spans="1:8">
      <c r="A39" s="160"/>
      <c r="B39" s="168"/>
      <c r="C39" s="163"/>
      <c r="D39" s="163"/>
      <c r="E39" s="163"/>
      <c r="F39" s="163"/>
      <c r="G39" s="176"/>
      <c r="H39" s="145"/>
    </row>
    <row r="40" s="144" customFormat="1" spans="3:8">
      <c r="C40" s="177"/>
      <c r="D40" s="177"/>
      <c r="E40" s="177"/>
      <c r="F40" s="177"/>
      <c r="H40" s="178"/>
    </row>
    <row r="41" s="144" customFormat="1" spans="3:8">
      <c r="C41" s="177"/>
      <c r="D41" s="177"/>
      <c r="E41" s="177"/>
      <c r="F41" s="177"/>
      <c r="H41" s="178"/>
    </row>
    <row r="42" s="143" customFormat="1" spans="3:8">
      <c r="C42" s="179"/>
      <c r="D42" s="177"/>
      <c r="E42" s="177"/>
      <c r="F42" s="177"/>
      <c r="G42" s="144"/>
      <c r="H42" s="145"/>
    </row>
    <row r="43" s="143" customFormat="1" spans="4:8">
      <c r="D43" s="177"/>
      <c r="E43" s="177"/>
      <c r="F43" s="144"/>
      <c r="G43" s="144"/>
      <c r="H43" s="145"/>
    </row>
    <row r="44" s="143" customFormat="1" spans="4:8">
      <c r="D44" s="177"/>
      <c r="E44" s="177"/>
      <c r="F44" s="144"/>
      <c r="G44" s="144"/>
      <c r="H44" s="145"/>
    </row>
    <row r="45" s="143" customFormat="1" spans="4:8">
      <c r="D45" s="144"/>
      <c r="E45" s="177"/>
      <c r="F45" s="144"/>
      <c r="G45" s="144"/>
      <c r="H45" s="145"/>
    </row>
    <row r="46" s="145" customFormat="1" spans="4:7">
      <c r="D46" s="178"/>
      <c r="E46" s="177"/>
      <c r="F46" s="178"/>
      <c r="G46" s="178"/>
    </row>
    <row r="47" s="145" customFormat="1"/>
  </sheetData>
  <sheetProtection formatCells="0" insertHyperlinks="0" autoFilter="0"/>
  <mergeCells count="20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G11"/>
    <mergeCell ref="A12:B12"/>
    <mergeCell ref="A3:A4"/>
    <mergeCell ref="A5:A7"/>
    <mergeCell ref="A8:A10"/>
    <mergeCell ref="A18:A19"/>
    <mergeCell ref="A20:A26"/>
    <mergeCell ref="A28:A29"/>
    <mergeCell ref="A30:A39"/>
    <mergeCell ref="F22:F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workbookViewId="0">
      <pane ySplit="5" topLeftCell="A18" activePane="bottomLeft" state="frozen"/>
      <selection/>
      <selection pane="bottomLeft" activeCell="A1" sqref="A1:AD33"/>
    </sheetView>
  </sheetViews>
  <sheetFormatPr defaultColWidth="9" defaultRowHeight="14.25"/>
  <cols>
    <col min="1" max="1" width="15.375" style="114" customWidth="1"/>
    <col min="2" max="2" width="12.5" style="114" customWidth="1"/>
    <col min="3" max="3" width="7.375" style="114" customWidth="1"/>
    <col min="4" max="4" width="10.375" style="114" customWidth="1"/>
    <col min="5" max="5" width="20.25" style="114" customWidth="1"/>
    <col min="6" max="6" width="10.625" style="114" customWidth="1"/>
    <col min="7" max="7" width="10" style="114" customWidth="1"/>
    <col min="8" max="8" width="4.625" style="114" customWidth="1"/>
    <col min="9" max="9" width="7.5" style="115" customWidth="1"/>
    <col min="10" max="10" width="10.625" style="115" customWidth="1"/>
    <col min="11" max="11" width="10.625" style="114" hidden="1" customWidth="1"/>
    <col min="12" max="14" width="4.625" style="114" customWidth="1"/>
    <col min="15" max="15" width="6.375" style="114" customWidth="1"/>
    <col min="16" max="16" width="4.625" style="114" customWidth="1"/>
    <col min="17" max="17" width="6.375" style="116" customWidth="1"/>
    <col min="18" max="18" width="4.625" style="114" customWidth="1"/>
    <col min="19" max="19" width="4.875" style="114" customWidth="1"/>
    <col min="20" max="20" width="4.625" style="114" customWidth="1"/>
    <col min="21" max="21" width="6.375" style="114" customWidth="1"/>
    <col min="22" max="22" width="4.625" style="114" customWidth="1"/>
    <col min="23" max="23" width="6.625" style="115" customWidth="1"/>
    <col min="24" max="24" width="9.625" style="116" customWidth="1"/>
    <col min="25" max="25" width="6.625" style="114" customWidth="1"/>
    <col min="26" max="26" width="8.625" style="116" customWidth="1"/>
    <col min="27" max="27" width="15.125" style="114" customWidth="1"/>
    <col min="28" max="28" width="14.5" style="114" customWidth="1"/>
    <col min="29" max="29" width="10.125" style="114" customWidth="1"/>
    <col min="30" max="30" width="5.125" style="114" customWidth="1"/>
    <col min="31" max="16384" width="9" style="14"/>
  </cols>
  <sheetData>
    <row r="1" spans="1:31">
      <c r="A1" s="117" t="s">
        <v>63</v>
      </c>
      <c r="B1" s="118"/>
      <c r="C1" s="118"/>
      <c r="D1" s="118"/>
      <c r="E1" s="118"/>
      <c r="F1" s="118"/>
      <c r="G1" s="118"/>
      <c r="H1" s="118"/>
      <c r="I1" s="127"/>
      <c r="J1" s="127"/>
      <c r="K1" s="127"/>
      <c r="L1" s="118"/>
      <c r="M1" s="118"/>
      <c r="N1" s="118"/>
      <c r="O1" s="118"/>
      <c r="P1" s="118"/>
      <c r="Q1" s="130"/>
      <c r="R1" s="118"/>
      <c r="S1" s="118"/>
      <c r="T1" s="118"/>
      <c r="U1" s="118"/>
      <c r="V1" s="118"/>
      <c r="W1" s="127"/>
      <c r="X1" s="130"/>
      <c r="Y1" s="118"/>
      <c r="Z1" s="130"/>
      <c r="AA1" s="118"/>
      <c r="AB1" s="118"/>
      <c r="AC1" s="118"/>
      <c r="AD1" s="118"/>
      <c r="AE1" s="134"/>
    </row>
    <row r="2" spans="1:31">
      <c r="A2" s="118"/>
      <c r="B2" s="118"/>
      <c r="C2" s="118"/>
      <c r="D2" s="118"/>
      <c r="E2" s="118"/>
      <c r="F2" s="118"/>
      <c r="G2" s="118"/>
      <c r="H2" s="118"/>
      <c r="I2" s="127"/>
      <c r="J2" s="127"/>
      <c r="K2" s="127"/>
      <c r="L2" s="118"/>
      <c r="M2" s="118"/>
      <c r="N2" s="118"/>
      <c r="O2" s="118"/>
      <c r="P2" s="118"/>
      <c r="Q2" s="130"/>
      <c r="R2" s="118"/>
      <c r="S2" s="118"/>
      <c r="T2" s="118"/>
      <c r="U2" s="118"/>
      <c r="V2" s="118"/>
      <c r="W2" s="127"/>
      <c r="X2" s="130"/>
      <c r="Y2" s="118"/>
      <c r="Z2" s="130"/>
      <c r="AA2" s="118"/>
      <c r="AB2" s="118"/>
      <c r="AC2" s="118"/>
      <c r="AD2" s="118"/>
      <c r="AE2" s="134"/>
    </row>
    <row r="3" ht="24" customHeight="1" spans="1:31">
      <c r="A3" s="118"/>
      <c r="B3" s="118"/>
      <c r="C3" s="118"/>
      <c r="D3" s="118"/>
      <c r="E3" s="118"/>
      <c r="F3" s="118"/>
      <c r="G3" s="118"/>
      <c r="H3" s="118"/>
      <c r="I3" s="127"/>
      <c r="J3" s="127"/>
      <c r="K3" s="127"/>
      <c r="L3" s="118"/>
      <c r="M3" s="118"/>
      <c r="N3" s="118"/>
      <c r="O3" s="118"/>
      <c r="P3" s="118"/>
      <c r="Q3" s="130"/>
      <c r="R3" s="118"/>
      <c r="S3" s="118"/>
      <c r="T3" s="118"/>
      <c r="U3" s="118"/>
      <c r="V3" s="118"/>
      <c r="W3" s="127"/>
      <c r="X3" s="130"/>
      <c r="Y3" s="118"/>
      <c r="Z3" s="130"/>
      <c r="AA3" s="118"/>
      <c r="AB3" s="118"/>
      <c r="AC3" s="118"/>
      <c r="AD3" s="118"/>
      <c r="AE3" s="134"/>
    </row>
    <row r="4" ht="32.25" customHeight="1" spans="1:31">
      <c r="A4" s="119" t="s">
        <v>64</v>
      </c>
      <c r="B4" s="119"/>
      <c r="C4" s="119" t="s">
        <v>65</v>
      </c>
      <c r="D4" s="119" t="s">
        <v>66</v>
      </c>
      <c r="E4" s="120" t="s">
        <v>67</v>
      </c>
      <c r="F4" s="119" t="s">
        <v>68</v>
      </c>
      <c r="G4" s="119"/>
      <c r="H4" s="119" t="s">
        <v>69</v>
      </c>
      <c r="I4" s="128" t="s">
        <v>70</v>
      </c>
      <c r="J4" s="128" t="s">
        <v>71</v>
      </c>
      <c r="K4" s="128"/>
      <c r="L4" s="119" t="s">
        <v>72</v>
      </c>
      <c r="M4" s="119"/>
      <c r="N4" s="119"/>
      <c r="O4" s="119" t="s">
        <v>73</v>
      </c>
      <c r="P4" s="119" t="s">
        <v>74</v>
      </c>
      <c r="Q4" s="131" t="s">
        <v>75</v>
      </c>
      <c r="R4" s="119" t="s">
        <v>76</v>
      </c>
      <c r="S4" s="119" t="s">
        <v>77</v>
      </c>
      <c r="T4" s="119" t="s">
        <v>78</v>
      </c>
      <c r="U4" s="119" t="s">
        <v>79</v>
      </c>
      <c r="V4" s="119" t="s">
        <v>80</v>
      </c>
      <c r="W4" s="132" t="s">
        <v>81</v>
      </c>
      <c r="X4" s="131" t="s">
        <v>82</v>
      </c>
      <c r="Y4" s="119" t="s">
        <v>83</v>
      </c>
      <c r="Z4" s="131" t="s">
        <v>84</v>
      </c>
      <c r="AA4" s="119" t="s">
        <v>85</v>
      </c>
      <c r="AB4" s="119" t="s">
        <v>86</v>
      </c>
      <c r="AC4" s="119" t="s">
        <v>87</v>
      </c>
      <c r="AD4" s="119"/>
      <c r="AE4" s="134"/>
    </row>
    <row r="5" ht="33" customHeight="1" spans="1:31">
      <c r="A5" s="119"/>
      <c r="B5" s="119" t="s">
        <v>88</v>
      </c>
      <c r="C5" s="119"/>
      <c r="D5" s="119"/>
      <c r="E5" s="121"/>
      <c r="F5" s="119" t="s">
        <v>89</v>
      </c>
      <c r="G5" s="119" t="s">
        <v>90</v>
      </c>
      <c r="H5" s="119"/>
      <c r="I5" s="128"/>
      <c r="J5" s="128"/>
      <c r="K5" s="128" t="s">
        <v>91</v>
      </c>
      <c r="L5" s="119" t="s">
        <v>92</v>
      </c>
      <c r="M5" s="119" t="s">
        <v>93</v>
      </c>
      <c r="N5" s="119" t="s">
        <v>94</v>
      </c>
      <c r="O5" s="119"/>
      <c r="P5" s="119"/>
      <c r="Q5" s="131"/>
      <c r="R5" s="119"/>
      <c r="S5" s="119"/>
      <c r="T5" s="119"/>
      <c r="U5" s="119"/>
      <c r="V5" s="119"/>
      <c r="W5" s="128"/>
      <c r="X5" s="131"/>
      <c r="Y5" s="119"/>
      <c r="Z5" s="131"/>
      <c r="AA5" s="119"/>
      <c r="AB5" s="119"/>
      <c r="AC5" s="119"/>
      <c r="AD5" s="119"/>
      <c r="AE5" s="134"/>
    </row>
    <row r="6" ht="32.25" customHeight="1" spans="1:30">
      <c r="A6" s="122" t="s">
        <v>95</v>
      </c>
      <c r="B6" s="123"/>
      <c r="C6" s="123" t="s">
        <v>96</v>
      </c>
      <c r="D6" s="124">
        <v>44593</v>
      </c>
      <c r="E6" s="125"/>
      <c r="F6" s="125"/>
      <c r="G6" s="125"/>
      <c r="H6" s="114">
        <f>SUMIF(运营总表!A:A,D:D,运营总表!B:B)</f>
        <v>0</v>
      </c>
      <c r="I6" s="115">
        <f>SUMIF(运营总表!A:A,D:D,运营总表!C:C)</f>
        <v>0</v>
      </c>
      <c r="J6" s="129" t="s">
        <v>97</v>
      </c>
      <c r="K6" s="125">
        <f>SUMIF(运营总表!A:A,D:D,运营总表!D:D)</f>
        <v>0</v>
      </c>
      <c r="L6" s="125" t="s">
        <v>97</v>
      </c>
      <c r="M6" s="125" t="s">
        <v>97</v>
      </c>
      <c r="N6" s="125" t="s">
        <v>97</v>
      </c>
      <c r="O6" s="125"/>
      <c r="P6" s="125"/>
      <c r="Q6" s="133"/>
      <c r="R6" s="125"/>
      <c r="S6" s="125"/>
      <c r="T6" s="125"/>
      <c r="U6" s="114">
        <f>SUMIF(运营总表!A:A,D:D,运营总表!M:M)</f>
        <v>0</v>
      </c>
      <c r="V6" s="114">
        <f>SUMIF(运营总表!A:A,D:D,运营总表!N:N)</f>
        <v>0</v>
      </c>
      <c r="W6" s="115">
        <f>IFERROR(V6/U6,0)</f>
        <v>0</v>
      </c>
      <c r="X6" s="116">
        <f>SUMIF(运营总表!A:A,D:D,运营总表!K:K)</f>
        <v>0</v>
      </c>
      <c r="Y6" s="114">
        <f>SUMIF(运营总表!A:A,D:D,运营总表!P:P)</f>
        <v>0</v>
      </c>
      <c r="Z6" s="116">
        <f>SUMIF(运营总表!A:A,D:D,运营总表!Q:Q)</f>
        <v>0</v>
      </c>
      <c r="AA6" s="125"/>
      <c r="AB6" s="125"/>
      <c r="AC6" s="135"/>
      <c r="AD6" s="136"/>
    </row>
    <row r="7" ht="29" customHeight="1" spans="1:30">
      <c r="A7" s="126"/>
      <c r="B7" s="123"/>
      <c r="D7" s="124">
        <v>44594</v>
      </c>
      <c r="E7" s="125"/>
      <c r="F7" s="125"/>
      <c r="G7" s="125"/>
      <c r="H7" s="114">
        <f>SUMIF(运营总表!A:A,D:D,运营总表!B:B)</f>
        <v>0</v>
      </c>
      <c r="I7" s="115">
        <f>SUMIF(运营总表!A:A,D:D,运营总表!C:C)</f>
        <v>0</v>
      </c>
      <c r="J7" s="129" t="s">
        <v>97</v>
      </c>
      <c r="K7" s="125">
        <f>SUMIF(运营总表!A:A,D:D,运营总表!D:D)</f>
        <v>0</v>
      </c>
      <c r="L7" s="125" t="s">
        <v>97</v>
      </c>
      <c r="M7" s="125" t="s">
        <v>97</v>
      </c>
      <c r="N7" s="125" t="s">
        <v>97</v>
      </c>
      <c r="O7" s="125"/>
      <c r="P7" s="125"/>
      <c r="Q7" s="133"/>
      <c r="R7" s="125"/>
      <c r="S7" s="125"/>
      <c r="T7" s="125"/>
      <c r="U7" s="114">
        <f>SUMIF(运营总表!A:A,D:D,运营总表!M:M)</f>
        <v>0</v>
      </c>
      <c r="V7" s="114">
        <f>SUMIF(运营总表!A:A,D:D,运营总表!N:N)</f>
        <v>0</v>
      </c>
      <c r="W7" s="115">
        <f>IFERROR(V7/U7,0)</f>
        <v>0</v>
      </c>
      <c r="X7" s="116">
        <f>SUMIF(运营总表!A:A,D:D,运营总表!K:K)</f>
        <v>0</v>
      </c>
      <c r="Y7" s="114">
        <f>SUMIF(运营总表!A:A,D:D,运营总表!P:P)</f>
        <v>0</v>
      </c>
      <c r="Z7" s="116">
        <f>SUMIF(运营总表!A:A,D:D,运营总表!Q:Q)</f>
        <v>0</v>
      </c>
      <c r="AA7" s="125"/>
      <c r="AB7" s="125"/>
      <c r="AC7" s="135"/>
      <c r="AD7" s="136"/>
    </row>
    <row r="8" ht="29.25" customHeight="1" spans="1:30">
      <c r="A8" s="126"/>
      <c r="B8" s="123"/>
      <c r="D8" s="124">
        <v>44595</v>
      </c>
      <c r="E8" s="125"/>
      <c r="F8" s="125"/>
      <c r="G8" s="125"/>
      <c r="H8" s="114">
        <f>SUMIF(运营总表!A:A,D:D,运营总表!B:B)</f>
        <v>0</v>
      </c>
      <c r="I8" s="115">
        <f>SUMIF(运营总表!A:A,D:D,运营总表!C:C)</f>
        <v>0</v>
      </c>
      <c r="J8" s="129" t="s">
        <v>97</v>
      </c>
      <c r="K8" s="125">
        <f>SUMIF(运营总表!A:A,D:D,运营总表!D:D)</f>
        <v>0</v>
      </c>
      <c r="L8" s="125" t="s">
        <v>97</v>
      </c>
      <c r="M8" s="125" t="s">
        <v>97</v>
      </c>
      <c r="N8" s="125" t="s">
        <v>97</v>
      </c>
      <c r="O8" s="125"/>
      <c r="P8" s="125"/>
      <c r="Q8" s="133"/>
      <c r="R8" s="125"/>
      <c r="S8" s="125"/>
      <c r="T8" s="125"/>
      <c r="U8" s="114">
        <f>SUMIF(运营总表!A:A,D:D,运营总表!M:M)</f>
        <v>0</v>
      </c>
      <c r="V8" s="114">
        <f>SUMIF(运营总表!A:A,D:D,运营总表!N:N)</f>
        <v>0</v>
      </c>
      <c r="W8" s="115">
        <f>IFERROR(V8/U8,0)</f>
        <v>0</v>
      </c>
      <c r="X8" s="116">
        <f>SUMIF(运营总表!A:A,D:D,运营总表!K:K)</f>
        <v>0</v>
      </c>
      <c r="Y8" s="114">
        <f>SUMIF(运营总表!A:A,D:D,运营总表!P:P)</f>
        <v>0</v>
      </c>
      <c r="Z8" s="116">
        <f>SUMIF(运营总表!A:A,D:D,运营总表!Q:Q)</f>
        <v>0</v>
      </c>
      <c r="AA8" s="125"/>
      <c r="AB8" s="125"/>
      <c r="AC8" s="135"/>
      <c r="AD8" s="136"/>
    </row>
    <row r="9" ht="29" customHeight="1" spans="1:30">
      <c r="A9" s="126"/>
      <c r="B9" s="123"/>
      <c r="D9" s="124">
        <v>44596</v>
      </c>
      <c r="E9" s="125"/>
      <c r="F9" s="125"/>
      <c r="G9" s="125"/>
      <c r="H9" s="114">
        <f>SUMIF(运营总表!A:A,D:D,运营总表!B:B)</f>
        <v>0</v>
      </c>
      <c r="I9" s="115">
        <f>SUMIF(运营总表!A:A,D:D,运营总表!C:C)</f>
        <v>0</v>
      </c>
      <c r="J9" s="129" t="s">
        <v>97</v>
      </c>
      <c r="K9" s="125">
        <f>SUMIF(运营总表!A:A,D:D,运营总表!D:D)</f>
        <v>0</v>
      </c>
      <c r="L9" s="125" t="s">
        <v>97</v>
      </c>
      <c r="M9" s="125" t="s">
        <v>97</v>
      </c>
      <c r="N9" s="125" t="s">
        <v>97</v>
      </c>
      <c r="O9" s="125"/>
      <c r="P9" s="125"/>
      <c r="Q9" s="133"/>
      <c r="R9" s="125"/>
      <c r="S9" s="125"/>
      <c r="T9" s="125"/>
      <c r="U9" s="114">
        <f>SUMIF(运营总表!A:A,D:D,运营总表!M:M)</f>
        <v>0</v>
      </c>
      <c r="V9" s="114">
        <f>SUMIF(运营总表!A:A,D:D,运营总表!N:N)</f>
        <v>0</v>
      </c>
      <c r="W9" s="115">
        <f>IFERROR(V9/U9,0)</f>
        <v>0</v>
      </c>
      <c r="X9" s="116">
        <f>SUMIF(运营总表!A:A,D:D,运营总表!K:K)</f>
        <v>0</v>
      </c>
      <c r="Y9" s="114">
        <f>SUMIF(运营总表!A:A,D:D,运营总表!P:P)</f>
        <v>0</v>
      </c>
      <c r="Z9" s="116">
        <f>SUMIF(运营总表!A:A,D:D,运营总表!Q:Q)</f>
        <v>0</v>
      </c>
      <c r="AA9" s="125"/>
      <c r="AB9" s="125"/>
      <c r="AC9" s="135"/>
      <c r="AD9" s="136"/>
    </row>
    <row r="10" spans="1:30">
      <c r="A10" s="126"/>
      <c r="B10" s="123"/>
      <c r="D10" s="124">
        <v>44597</v>
      </c>
      <c r="H10" s="114">
        <f>SUMIF(运营总表!A:A,D:D,运营总表!B:B)</f>
        <v>0</v>
      </c>
      <c r="I10" s="115">
        <f>SUMIF(运营总表!A:A,D:D,运营总表!C:C)</f>
        <v>0</v>
      </c>
      <c r="J10" s="115">
        <f>IFERROR(K10/H10,0)</f>
        <v>0</v>
      </c>
      <c r="K10" s="125">
        <f>SUMIF(运营总表!A:A,D:D,运营总表!D:D)</f>
        <v>0</v>
      </c>
      <c r="L10" s="114">
        <f>IFERROR(K10-M10,0)</f>
        <v>0</v>
      </c>
      <c r="M10" s="114">
        <f>Y10</f>
        <v>0</v>
      </c>
      <c r="N10" s="114">
        <v>0</v>
      </c>
      <c r="U10" s="114">
        <f>SUMIF(运营总表!A:A,D:D,运营总表!M:M)</f>
        <v>0</v>
      </c>
      <c r="V10" s="114">
        <f>SUMIF(运营总表!A:A,D:D,运营总表!N:N)</f>
        <v>0</v>
      </c>
      <c r="W10" s="115">
        <f>IFERROR(V10/U10,0)</f>
        <v>0</v>
      </c>
      <c r="X10" s="116">
        <f>SUMIF(运营总表!A:A,D:D,运营总表!K:K)</f>
        <v>0</v>
      </c>
      <c r="Y10" s="114">
        <f>SUMIF(运营总表!A:A,D:D,运营总表!P:P)</f>
        <v>0</v>
      </c>
      <c r="Z10" s="116">
        <f>SUMIF(运营总表!A:A,D:D,运营总表!Q:Q)</f>
        <v>0</v>
      </c>
      <c r="AA10" s="126"/>
      <c r="AC10" s="135"/>
      <c r="AD10" s="136"/>
    </row>
    <row r="11" ht="27.75" customHeight="1" spans="1:30">
      <c r="A11" s="126"/>
      <c r="B11" s="123"/>
      <c r="D11" s="124">
        <v>44598</v>
      </c>
      <c r="H11" s="114">
        <f>SUMIF(运营总表!A:A,D:D,运营总表!B:B)</f>
        <v>0</v>
      </c>
      <c r="I11" s="115">
        <f>SUMIF(运营总表!A:A,D:D,运营总表!C:C)</f>
        <v>0</v>
      </c>
      <c r="J11" s="115">
        <f t="shared" ref="J11:J33" si="0">IFERROR(K11/H11,0)</f>
        <v>0</v>
      </c>
      <c r="K11" s="125">
        <v>1</v>
      </c>
      <c r="L11" s="114">
        <f t="shared" ref="L11:L33" si="1">IFERROR(K11-M11,0)</f>
        <v>1</v>
      </c>
      <c r="M11" s="114">
        <f t="shared" ref="M11:M33" si="2">Y11</f>
        <v>0</v>
      </c>
      <c r="N11" s="114">
        <v>0</v>
      </c>
      <c r="U11" s="114">
        <f>SUMIF(运营总表!A:A,D:D,运营总表!M:M)</f>
        <v>0</v>
      </c>
      <c r="V11" s="114">
        <f>SUMIF(运营总表!A:A,D:D,运营总表!N:N)</f>
        <v>0</v>
      </c>
      <c r="W11" s="115">
        <f t="shared" ref="W11:W33" si="3">IFERROR(V11/U11,0)</f>
        <v>0</v>
      </c>
      <c r="X11" s="116">
        <f>SUMIF(运营总表!A:A,D:D,运营总表!K:K)</f>
        <v>0</v>
      </c>
      <c r="Y11" s="114">
        <f>SUMIF(运营总表!A:A,D:D,运营总表!P:P)</f>
        <v>0</v>
      </c>
      <c r="Z11" s="116">
        <f>SUMIF(运营总表!A:A,D:D,运营总表!Q:Q)</f>
        <v>0</v>
      </c>
      <c r="AC11" s="135"/>
      <c r="AD11" s="136"/>
    </row>
    <row r="12" ht="29" customHeight="1" spans="1:30">
      <c r="A12" s="126"/>
      <c r="B12" s="123"/>
      <c r="D12" s="124">
        <v>44599</v>
      </c>
      <c r="H12" s="114">
        <f>SUMIF(运营总表!A:A,D:D,运营总表!B:B)</f>
        <v>0</v>
      </c>
      <c r="I12" s="115">
        <f>SUMIF(运营总表!A:A,D:D,运营总表!C:C)</f>
        <v>0</v>
      </c>
      <c r="J12" s="115">
        <f t="shared" si="0"/>
        <v>0</v>
      </c>
      <c r="K12" s="125">
        <f>SUMIF(运营总表!A:A,D:D,运营总表!D:D)</f>
        <v>0</v>
      </c>
      <c r="L12" s="114">
        <f t="shared" si="1"/>
        <v>0</v>
      </c>
      <c r="M12" s="114">
        <f t="shared" si="2"/>
        <v>0</v>
      </c>
      <c r="N12" s="114">
        <v>0</v>
      </c>
      <c r="U12" s="114">
        <f>SUMIF(运营总表!A:A,D:D,运营总表!M:M)</f>
        <v>0</v>
      </c>
      <c r="V12" s="114">
        <f>SUMIF(运营总表!A:A,D:D,运营总表!N:N)</f>
        <v>0</v>
      </c>
      <c r="W12" s="115">
        <f t="shared" si="3"/>
        <v>0</v>
      </c>
      <c r="X12" s="116">
        <f>SUMIF(运营总表!A:A,D:D,运营总表!K:K)</f>
        <v>0</v>
      </c>
      <c r="Y12" s="114">
        <f>SUMIF(运营总表!A:A,D:D,运营总表!P:P)</f>
        <v>0</v>
      </c>
      <c r="Z12" s="116">
        <f>SUMIF(运营总表!A:A,D:D,运营总表!Q:Q)</f>
        <v>0</v>
      </c>
      <c r="AC12" s="137"/>
      <c r="AD12" s="138"/>
    </row>
    <row r="13" ht="29" customHeight="1" spans="1:30">
      <c r="A13" s="122" t="s">
        <v>98</v>
      </c>
      <c r="C13" s="123" t="s">
        <v>99</v>
      </c>
      <c r="D13" s="124">
        <v>44600</v>
      </c>
      <c r="H13" s="114">
        <f>SUMIF(运营总表!A:A,D:D,运营总表!B:B)</f>
        <v>0</v>
      </c>
      <c r="I13" s="115">
        <f>SUMIF(运营总表!A:A,D:D,运营总表!C:C)</f>
        <v>0</v>
      </c>
      <c r="J13" s="115">
        <f t="shared" si="0"/>
        <v>0</v>
      </c>
      <c r="K13" s="125">
        <f>SUMIF(运营总表!A:A,D:D,运营总表!D:D)</f>
        <v>0</v>
      </c>
      <c r="L13" s="114">
        <f t="shared" si="1"/>
        <v>0</v>
      </c>
      <c r="M13" s="114">
        <f t="shared" si="2"/>
        <v>0</v>
      </c>
      <c r="N13" s="114">
        <v>1</v>
      </c>
      <c r="U13" s="114">
        <f>SUMIF(运营总表!A:A,D:D,运营总表!M:M)</f>
        <v>0</v>
      </c>
      <c r="V13" s="114">
        <f>SUMIF(运营总表!A:A,D:D,运营总表!N:N)</f>
        <v>0</v>
      </c>
      <c r="W13" s="115">
        <f t="shared" si="3"/>
        <v>0</v>
      </c>
      <c r="X13" s="116">
        <f>SUMIF(运营总表!A:A,D:D,运营总表!K:K)</f>
        <v>0</v>
      </c>
      <c r="Y13" s="114">
        <f>SUMIF(运营总表!A:A,D:D,运营总表!P:P)</f>
        <v>0</v>
      </c>
      <c r="Z13" s="116">
        <f>SUMIF(运营总表!A:A,D:D,运营总表!Q:Q)</f>
        <v>0</v>
      </c>
      <c r="AA13" s="126"/>
      <c r="AC13" s="139"/>
      <c r="AD13" s="140"/>
    </row>
    <row r="14" ht="29" customHeight="1" spans="1:30">
      <c r="A14" s="126"/>
      <c r="D14" s="124">
        <v>44601</v>
      </c>
      <c r="H14" s="114">
        <f>SUMIF(运营总表!A:A,D:D,运营总表!B:B)</f>
        <v>0</v>
      </c>
      <c r="I14" s="115">
        <f>SUMIF(运营总表!A:A,D:D,运营总表!C:C)</f>
        <v>0</v>
      </c>
      <c r="J14" s="115">
        <f t="shared" si="0"/>
        <v>0</v>
      </c>
      <c r="K14" s="125">
        <f>SUMIF(运营总表!A:A,D:D,运营总表!D:D)</f>
        <v>0</v>
      </c>
      <c r="L14" s="114">
        <f t="shared" si="1"/>
        <v>0</v>
      </c>
      <c r="M14" s="114">
        <f t="shared" si="2"/>
        <v>0</v>
      </c>
      <c r="N14" s="114">
        <v>2</v>
      </c>
      <c r="U14" s="114">
        <f>SUMIF(运营总表!A:A,D:D,运营总表!M:M)</f>
        <v>0</v>
      </c>
      <c r="V14" s="114">
        <f>SUMIF(运营总表!A:A,D:D,运营总表!N:N)</f>
        <v>0</v>
      </c>
      <c r="W14" s="115">
        <f t="shared" si="3"/>
        <v>0</v>
      </c>
      <c r="X14" s="116">
        <f>SUMIF(运营总表!A:A,D:D,运营总表!K:K)</f>
        <v>0</v>
      </c>
      <c r="Y14" s="114">
        <f>SUMIF(运营总表!A:A,D:D,运营总表!P:P)</f>
        <v>0</v>
      </c>
      <c r="Z14" s="116">
        <f>SUMIF(运营总表!A:A,D:D,运营总表!Q:Q)</f>
        <v>0</v>
      </c>
      <c r="AC14" s="139"/>
      <c r="AD14" s="140"/>
    </row>
    <row r="15" ht="29" customHeight="1" spans="1:30">
      <c r="A15" s="126"/>
      <c r="D15" s="124">
        <v>44602</v>
      </c>
      <c r="H15" s="114">
        <f>SUMIF(运营总表!A:A,D:D,运营总表!B:B)</f>
        <v>0</v>
      </c>
      <c r="I15" s="115">
        <f>SUMIF(运营总表!A:A,D:D,运营总表!C:C)</f>
        <v>0</v>
      </c>
      <c r="J15" s="115">
        <f t="shared" si="0"/>
        <v>0</v>
      </c>
      <c r="K15" s="125">
        <f>SUMIF(运营总表!A:A,D:D,运营总表!D:D)</f>
        <v>0</v>
      </c>
      <c r="L15" s="114">
        <f t="shared" si="1"/>
        <v>0</v>
      </c>
      <c r="M15" s="114">
        <f t="shared" si="2"/>
        <v>0</v>
      </c>
      <c r="N15" s="114">
        <v>2</v>
      </c>
      <c r="U15" s="114">
        <f>SUMIF(运营总表!A:A,D:D,运营总表!M:M)</f>
        <v>0</v>
      </c>
      <c r="V15" s="114">
        <f>SUMIF(运营总表!A:A,D:D,运营总表!N:N)</f>
        <v>0</v>
      </c>
      <c r="W15" s="115">
        <f t="shared" si="3"/>
        <v>0</v>
      </c>
      <c r="X15" s="116">
        <f>SUMIF(运营总表!A:A,D:D,运营总表!K:K)</f>
        <v>0</v>
      </c>
      <c r="Y15" s="114">
        <f>SUMIF(运营总表!A:A,D:D,运营总表!P:P)</f>
        <v>0</v>
      </c>
      <c r="Z15" s="116">
        <f>SUMIF(运营总表!A:A,D:D,运营总表!Q:Q)</f>
        <v>0</v>
      </c>
      <c r="AC15" s="139"/>
      <c r="AD15" s="140"/>
    </row>
    <row r="16" ht="29" customHeight="1" spans="1:30">
      <c r="A16" s="126"/>
      <c r="D16" s="124">
        <v>44603</v>
      </c>
      <c r="H16" s="114">
        <f>SUMIF(运营总表!A:A,D:D,运营总表!B:B)</f>
        <v>0</v>
      </c>
      <c r="I16" s="115">
        <f>SUMIF(运营总表!A:A,D:D,运营总表!C:C)</f>
        <v>0</v>
      </c>
      <c r="J16" s="115">
        <f t="shared" si="0"/>
        <v>0</v>
      </c>
      <c r="K16" s="125">
        <f>SUMIF(运营总表!A:A,D:D,运营总表!D:D)</f>
        <v>0</v>
      </c>
      <c r="L16" s="114">
        <f t="shared" si="1"/>
        <v>0</v>
      </c>
      <c r="M16" s="114">
        <f t="shared" si="2"/>
        <v>0</v>
      </c>
      <c r="N16" s="114">
        <v>0</v>
      </c>
      <c r="U16" s="114">
        <f>SUMIF(运营总表!A:A,D:D,运营总表!M:M)</f>
        <v>0</v>
      </c>
      <c r="V16" s="114">
        <f>SUMIF(运营总表!A:A,D:D,运营总表!N:N)</f>
        <v>0</v>
      </c>
      <c r="W16" s="115">
        <f t="shared" si="3"/>
        <v>0</v>
      </c>
      <c r="X16" s="116">
        <f>SUMIF(运营总表!A:A,D:D,运营总表!K:K)</f>
        <v>0</v>
      </c>
      <c r="Y16" s="114">
        <f>SUMIF(运营总表!A:A,D:D,运营总表!P:P)</f>
        <v>0</v>
      </c>
      <c r="Z16" s="116">
        <f>SUMIF(运营总表!A:A,D:D,运营总表!Q:Q)</f>
        <v>0</v>
      </c>
      <c r="AC16" s="139"/>
      <c r="AD16" s="140"/>
    </row>
    <row r="17" ht="29" customHeight="1" spans="1:30">
      <c r="A17" s="126"/>
      <c r="D17" s="124">
        <v>44604</v>
      </c>
      <c r="H17" s="114">
        <f>SUMIF(运营总表!A:A,D:D,运营总表!B:B)</f>
        <v>0</v>
      </c>
      <c r="I17" s="115">
        <f>SUMIF(运营总表!A:A,D:D,运营总表!C:C)</f>
        <v>0</v>
      </c>
      <c r="J17" s="115">
        <f t="shared" si="0"/>
        <v>0</v>
      </c>
      <c r="K17" s="125">
        <f>SUMIF(运营总表!A:A,D:D,运营总表!D:D)</f>
        <v>0</v>
      </c>
      <c r="L17" s="114">
        <f t="shared" si="1"/>
        <v>0</v>
      </c>
      <c r="M17" s="114">
        <f t="shared" si="2"/>
        <v>0</v>
      </c>
      <c r="N17" s="114">
        <v>1</v>
      </c>
      <c r="U17" s="114">
        <f>SUMIF(运营总表!A:A,D:D,运营总表!M:M)</f>
        <v>0</v>
      </c>
      <c r="V17" s="114">
        <f>SUMIF(运营总表!A:A,D:D,运营总表!N:N)</f>
        <v>0</v>
      </c>
      <c r="W17" s="115">
        <f t="shared" si="3"/>
        <v>0</v>
      </c>
      <c r="X17" s="116">
        <f>SUMIF(运营总表!A:A,D:D,运营总表!K:K)</f>
        <v>0</v>
      </c>
      <c r="Y17" s="114">
        <f>SUMIF(运营总表!A:A,D:D,运营总表!P:P)</f>
        <v>0</v>
      </c>
      <c r="Z17" s="116">
        <f>SUMIF(运营总表!A:A,D:D,运营总表!Q:Q)</f>
        <v>0</v>
      </c>
      <c r="AC17" s="139"/>
      <c r="AD17" s="140"/>
    </row>
    <row r="18" spans="1:30">
      <c r="A18" s="126"/>
      <c r="D18" s="124">
        <v>44605</v>
      </c>
      <c r="H18" s="114">
        <f>SUMIF(运营总表!A:A,D:D,运营总表!B:B)</f>
        <v>0</v>
      </c>
      <c r="I18" s="115">
        <f>SUMIF(运营总表!A:A,D:D,运营总表!C:C)</f>
        <v>0</v>
      </c>
      <c r="J18" s="115">
        <f t="shared" si="0"/>
        <v>0</v>
      </c>
      <c r="K18" s="125">
        <f>SUMIF(运营总表!A:A,D:D,运营总表!D:D)</f>
        <v>0</v>
      </c>
      <c r="L18" s="114">
        <f t="shared" si="1"/>
        <v>0</v>
      </c>
      <c r="M18" s="114">
        <f t="shared" si="2"/>
        <v>0</v>
      </c>
      <c r="N18" s="114">
        <v>0</v>
      </c>
      <c r="U18" s="114">
        <f>SUMIF(运营总表!A:A,D:D,运营总表!M:M)</f>
        <v>0</v>
      </c>
      <c r="V18" s="114">
        <f>SUMIF(运营总表!A:A,D:D,运营总表!N:N)</f>
        <v>0</v>
      </c>
      <c r="W18" s="115">
        <f t="shared" si="3"/>
        <v>0</v>
      </c>
      <c r="X18" s="116">
        <f>SUMIF(运营总表!A:A,D:D,运营总表!K:K)</f>
        <v>0</v>
      </c>
      <c r="Y18" s="114">
        <f>SUMIF(运营总表!A:A,D:D,运营总表!P:P)</f>
        <v>0</v>
      </c>
      <c r="Z18" s="116">
        <f>SUMIF(运营总表!A:A,D:D,运营总表!Q:Q)</f>
        <v>0</v>
      </c>
      <c r="AA18" s="126"/>
      <c r="AC18" s="139"/>
      <c r="AD18" s="140"/>
    </row>
    <row r="19" ht="29" customHeight="1" spans="1:30">
      <c r="A19" s="126"/>
      <c r="D19" s="124">
        <v>44606</v>
      </c>
      <c r="H19" s="114">
        <f>SUMIF(运营总表!A:A,D:D,运营总表!B:B)</f>
        <v>0</v>
      </c>
      <c r="I19" s="115">
        <f>SUMIF(运营总表!A:A,D:D,运营总表!C:C)</f>
        <v>0</v>
      </c>
      <c r="J19" s="115">
        <f t="shared" si="0"/>
        <v>0</v>
      </c>
      <c r="K19" s="125">
        <f>SUMIF(运营总表!A:A,D:D,运营总表!D:D)</f>
        <v>0</v>
      </c>
      <c r="L19" s="114">
        <f t="shared" si="1"/>
        <v>0</v>
      </c>
      <c r="M19" s="114">
        <f t="shared" si="2"/>
        <v>0</v>
      </c>
      <c r="N19" s="114">
        <v>0</v>
      </c>
      <c r="U19" s="114">
        <f>SUMIF(运营总表!A:A,D:D,运营总表!M:M)</f>
        <v>0</v>
      </c>
      <c r="V19" s="114">
        <f>SUMIF(运营总表!A:A,D:D,运营总表!N:N)</f>
        <v>0</v>
      </c>
      <c r="W19" s="115">
        <f t="shared" si="3"/>
        <v>0</v>
      </c>
      <c r="X19" s="116">
        <f>SUMIF(运营总表!A:A,D:D,运营总表!K:K)</f>
        <v>0</v>
      </c>
      <c r="Y19" s="114">
        <f>SUMIF(运营总表!A:A,D:D,运营总表!P:P)</f>
        <v>0</v>
      </c>
      <c r="Z19" s="116">
        <f>SUMIF(运营总表!A:A,D:D,运营总表!Q:Q)</f>
        <v>0</v>
      </c>
      <c r="AC19" s="141"/>
      <c r="AD19" s="142"/>
    </row>
    <row r="20" ht="29" customHeight="1" spans="1:30">
      <c r="A20" s="122" t="s">
        <v>100</v>
      </c>
      <c r="C20" s="123" t="s">
        <v>101</v>
      </c>
      <c r="D20" s="124">
        <v>44607</v>
      </c>
      <c r="H20" s="114">
        <f>SUMIF(运营总表!A:A,D:D,运营总表!B:B)</f>
        <v>0</v>
      </c>
      <c r="I20" s="115">
        <f>SUMIF(运营总表!A:A,D:D,运营总表!C:C)</f>
        <v>0</v>
      </c>
      <c r="J20" s="115">
        <f t="shared" si="0"/>
        <v>0</v>
      </c>
      <c r="K20" s="125">
        <f>SUMIF(运营总表!A:A,D:D,运营总表!D:D)</f>
        <v>0</v>
      </c>
      <c r="L20" s="114">
        <f t="shared" si="1"/>
        <v>0</v>
      </c>
      <c r="M20" s="114">
        <f t="shared" si="2"/>
        <v>0</v>
      </c>
      <c r="N20" s="114">
        <v>3</v>
      </c>
      <c r="U20" s="114">
        <f>SUMIF(运营总表!A:A,D:D,运营总表!M:M)</f>
        <v>0</v>
      </c>
      <c r="V20" s="114">
        <f>SUMIF(运营总表!A:A,D:D,运营总表!N:N)</f>
        <v>0</v>
      </c>
      <c r="W20" s="115">
        <f t="shared" si="3"/>
        <v>0</v>
      </c>
      <c r="X20" s="116">
        <f>SUMIF(运营总表!A:A,D:D,运营总表!K:K)</f>
        <v>0</v>
      </c>
      <c r="Y20" s="114">
        <f>SUMIF(运营总表!A:A,D:D,运营总表!P:P)</f>
        <v>0</v>
      </c>
      <c r="Z20" s="116">
        <f>SUMIF(运营总表!A:A,D:D,运营总表!Q:Q)</f>
        <v>0</v>
      </c>
      <c r="AC20" s="139"/>
      <c r="AD20" s="140"/>
    </row>
    <row r="21" ht="29" customHeight="1" spans="1:30">
      <c r="A21" s="126"/>
      <c r="D21" s="124">
        <v>44608</v>
      </c>
      <c r="H21" s="114">
        <f>SUMIF(运营总表!A:A,D:D,运营总表!B:B)</f>
        <v>0</v>
      </c>
      <c r="I21" s="115">
        <f>SUMIF(运营总表!A:A,D:D,运营总表!C:C)</f>
        <v>0</v>
      </c>
      <c r="J21" s="115">
        <f t="shared" si="0"/>
        <v>0</v>
      </c>
      <c r="K21" s="125">
        <f>SUMIF(运营总表!A:A,D:D,运营总表!D:D)</f>
        <v>0</v>
      </c>
      <c r="L21" s="114">
        <f t="shared" si="1"/>
        <v>0</v>
      </c>
      <c r="M21" s="114">
        <f t="shared" si="2"/>
        <v>0</v>
      </c>
      <c r="N21" s="114">
        <v>5</v>
      </c>
      <c r="U21" s="114">
        <f>SUMIF(运营总表!A:A,D:D,运营总表!M:M)</f>
        <v>0</v>
      </c>
      <c r="V21" s="114">
        <f>SUMIF(运营总表!A:A,D:D,运营总表!N:N)</f>
        <v>0</v>
      </c>
      <c r="W21" s="115">
        <f t="shared" si="3"/>
        <v>0</v>
      </c>
      <c r="X21" s="116">
        <f>SUMIF(运营总表!A:A,D:D,运营总表!K:K)</f>
        <v>0</v>
      </c>
      <c r="Y21" s="114">
        <f>SUMIF(运营总表!A:A,D:D,运营总表!P:P)</f>
        <v>0</v>
      </c>
      <c r="Z21" s="116">
        <f>SUMIF(运营总表!A:A,D:D,运营总表!Q:Q)</f>
        <v>0</v>
      </c>
      <c r="AC21" s="139"/>
      <c r="AD21" s="140"/>
    </row>
    <row r="22" ht="29" customHeight="1" spans="1:30">
      <c r="A22" s="126"/>
      <c r="D22" s="124">
        <v>44609</v>
      </c>
      <c r="H22" s="114">
        <f>SUMIF(运营总表!A:A,D:D,运营总表!B:B)</f>
        <v>0</v>
      </c>
      <c r="I22" s="115">
        <f>SUMIF(运营总表!A:A,D:D,运营总表!C:C)</f>
        <v>0</v>
      </c>
      <c r="J22" s="115">
        <f t="shared" si="0"/>
        <v>0</v>
      </c>
      <c r="K22" s="125">
        <f>SUMIF(运营总表!A:A,D:D,运营总表!D:D)</f>
        <v>0</v>
      </c>
      <c r="L22" s="114">
        <f t="shared" si="1"/>
        <v>0</v>
      </c>
      <c r="M22" s="114">
        <f t="shared" si="2"/>
        <v>0</v>
      </c>
      <c r="N22" s="114">
        <v>2</v>
      </c>
      <c r="U22" s="114">
        <f>SUMIF(运营总表!A:A,D:D,运营总表!M:M)</f>
        <v>0</v>
      </c>
      <c r="V22" s="114">
        <f>SUMIF(运营总表!A:A,D:D,运营总表!N:N)</f>
        <v>0</v>
      </c>
      <c r="W22" s="115">
        <f t="shared" si="3"/>
        <v>0</v>
      </c>
      <c r="X22" s="116" t="s">
        <v>102</v>
      </c>
      <c r="Y22" s="114">
        <f>SUMIF(运营总表!A:A,D:D,运营总表!P:P)</f>
        <v>0</v>
      </c>
      <c r="Z22" s="116">
        <f>SUMIF(运营总表!A:A,D:D,运营总表!Q:Q)</f>
        <v>0</v>
      </c>
      <c r="AA22" s="126"/>
      <c r="AC22" s="139"/>
      <c r="AD22" s="140"/>
    </row>
    <row r="23" ht="29" customHeight="1" spans="1:30">
      <c r="A23" s="126"/>
      <c r="D23" s="124">
        <v>44610</v>
      </c>
      <c r="H23" s="114">
        <f>SUMIF(运营总表!A:A,D:D,运营总表!B:B)</f>
        <v>0</v>
      </c>
      <c r="I23" s="115">
        <f>SUMIF(运营总表!A:A,D:D,运营总表!C:C)</f>
        <v>0</v>
      </c>
      <c r="J23" s="115">
        <f t="shared" si="0"/>
        <v>0</v>
      </c>
      <c r="K23" s="125">
        <f>SUMIF(运营总表!A:A,D:D,运营总表!D:D)</f>
        <v>0</v>
      </c>
      <c r="L23" s="114">
        <f t="shared" si="1"/>
        <v>0</v>
      </c>
      <c r="M23" s="114">
        <f t="shared" si="2"/>
        <v>0</v>
      </c>
      <c r="N23" s="114">
        <v>3</v>
      </c>
      <c r="U23" s="114">
        <f>SUMIF(运营总表!A:A,D:D,运营总表!M:M)</f>
        <v>0</v>
      </c>
      <c r="V23" s="114">
        <f>SUMIF(运营总表!A:A,D:D,运营总表!N:N)</f>
        <v>0</v>
      </c>
      <c r="W23" s="115">
        <f t="shared" si="3"/>
        <v>0</v>
      </c>
      <c r="X23" s="116">
        <f>SUMIF(运营总表!A:A,D:D,运营总表!K:K)</f>
        <v>0</v>
      </c>
      <c r="Y23" s="114">
        <f>SUMIF(运营总表!A:A,D:D,运营总表!P:P)</f>
        <v>0</v>
      </c>
      <c r="Z23" s="116">
        <f>SUMIF(运营总表!A:A,D:D,运营总表!Q:Q)</f>
        <v>0</v>
      </c>
      <c r="AC23" s="139"/>
      <c r="AD23" s="140"/>
    </row>
    <row r="24" ht="29" customHeight="1" spans="1:30">
      <c r="A24" s="126"/>
      <c r="D24" s="124">
        <v>44611</v>
      </c>
      <c r="H24" s="114">
        <f>SUMIF(运营总表!A:A,D:D,运营总表!B:B)</f>
        <v>0</v>
      </c>
      <c r="I24" s="115">
        <f>SUMIF(运营总表!A:A,D:D,运营总表!C:C)</f>
        <v>0</v>
      </c>
      <c r="J24" s="115">
        <f t="shared" si="0"/>
        <v>0</v>
      </c>
      <c r="K24" s="125">
        <f>SUMIF(运营总表!A:A,D:D,运营总表!D:D)</f>
        <v>0</v>
      </c>
      <c r="L24" s="114">
        <f t="shared" si="1"/>
        <v>0</v>
      </c>
      <c r="M24" s="114">
        <f t="shared" si="2"/>
        <v>0</v>
      </c>
      <c r="N24" s="114">
        <v>0</v>
      </c>
      <c r="U24" s="114">
        <f>SUMIF(运营总表!A:A,D:D,运营总表!M:M)</f>
        <v>0</v>
      </c>
      <c r="V24" s="114">
        <f>SUMIF(运营总表!A:A,D:D,运营总表!N:N)</f>
        <v>0</v>
      </c>
      <c r="W24" s="115">
        <f t="shared" si="3"/>
        <v>0</v>
      </c>
      <c r="X24" s="116">
        <f>SUMIF(运营总表!A:A,D:D,运营总表!K:K)</f>
        <v>0</v>
      </c>
      <c r="Y24" s="114">
        <f>SUMIF(运营总表!A:A,D:D,运营总表!P:P)</f>
        <v>0</v>
      </c>
      <c r="Z24" s="116">
        <f>SUMIF(运营总表!A:A,D:D,运营总表!Q:Q)</f>
        <v>0</v>
      </c>
      <c r="AC24" s="139"/>
      <c r="AD24" s="140"/>
    </row>
    <row r="25" ht="29" customHeight="1" spans="1:30">
      <c r="A25" s="126"/>
      <c r="D25" s="124">
        <v>44612</v>
      </c>
      <c r="H25" s="114">
        <f>SUMIF(运营总表!A:A,D:D,运营总表!B:B)</f>
        <v>0</v>
      </c>
      <c r="I25" s="115">
        <f>SUMIF(运营总表!A:A,D:D,运营总表!C:C)</f>
        <v>0</v>
      </c>
      <c r="J25" s="115">
        <f t="shared" si="0"/>
        <v>0</v>
      </c>
      <c r="K25" s="125">
        <f>SUMIF(运营总表!A:A,D:D,运营总表!D:D)</f>
        <v>0</v>
      </c>
      <c r="L25" s="114">
        <f t="shared" si="1"/>
        <v>0</v>
      </c>
      <c r="M25" s="114">
        <f t="shared" si="2"/>
        <v>0</v>
      </c>
      <c r="N25" s="114">
        <v>0</v>
      </c>
      <c r="U25" s="114">
        <f>SUMIF(运营总表!A:A,D:D,运营总表!M:M)</f>
        <v>0</v>
      </c>
      <c r="V25" s="114">
        <f>SUMIF(运营总表!A:A,D:D,运营总表!N:N)</f>
        <v>0</v>
      </c>
      <c r="W25" s="115">
        <f t="shared" si="3"/>
        <v>0</v>
      </c>
      <c r="X25" s="116">
        <f>SUMIF(运营总表!A:A,D:D,运营总表!K:K)</f>
        <v>0</v>
      </c>
      <c r="Y25" s="114">
        <f>SUMIF(运营总表!A:A,D:D,运营总表!P:P)</f>
        <v>0</v>
      </c>
      <c r="Z25" s="116">
        <f>SUMIF(运营总表!A:A,D:D,运营总表!Q:Q)</f>
        <v>0</v>
      </c>
      <c r="AC25" s="139"/>
      <c r="AD25" s="140"/>
    </row>
    <row r="26" ht="29" customHeight="1" spans="1:30">
      <c r="A26" s="126"/>
      <c r="D26" s="124">
        <v>44613</v>
      </c>
      <c r="H26" s="114">
        <f>SUMIF(运营总表!A:A,D:D,运营总表!B:B)</f>
        <v>0</v>
      </c>
      <c r="I26" s="115">
        <f>SUMIF(运营总表!A:A,D:D,运营总表!C:C)</f>
        <v>0</v>
      </c>
      <c r="J26" s="115">
        <f t="shared" si="0"/>
        <v>0</v>
      </c>
      <c r="K26" s="125">
        <f>SUMIF(运营总表!A:A,D:D,运营总表!D:D)</f>
        <v>0</v>
      </c>
      <c r="L26" s="114">
        <f t="shared" si="1"/>
        <v>0</v>
      </c>
      <c r="M26" s="114">
        <f t="shared" si="2"/>
        <v>0</v>
      </c>
      <c r="N26" s="114">
        <v>0</v>
      </c>
      <c r="U26" s="114">
        <f>SUMIF(运营总表!A:A,D:D,运营总表!M:M)</f>
        <v>0</v>
      </c>
      <c r="V26" s="114">
        <f>SUMIF(运营总表!A:A,D:D,运营总表!N:N)</f>
        <v>0</v>
      </c>
      <c r="W26" s="115">
        <f t="shared" si="3"/>
        <v>0</v>
      </c>
      <c r="X26" s="116">
        <f>SUMIF(运营总表!A:A,D:D,运营总表!K:K)</f>
        <v>0</v>
      </c>
      <c r="Y26" s="114">
        <f>SUMIF(运营总表!A:A,D:D,运营总表!P:P)</f>
        <v>0</v>
      </c>
      <c r="Z26" s="116">
        <f>SUMIF(运营总表!A:A,D:D,运营总表!Q:Q)</f>
        <v>0</v>
      </c>
      <c r="AC26" s="141"/>
      <c r="AD26" s="142"/>
    </row>
    <row r="27" ht="29" customHeight="1" spans="1:30">
      <c r="A27" s="122" t="s">
        <v>103</v>
      </c>
      <c r="C27" s="123" t="s">
        <v>104</v>
      </c>
      <c r="D27" s="124">
        <v>44614</v>
      </c>
      <c r="H27" s="114">
        <f>SUMIF(运营总表!A:A,D:D,运营总表!B:B)</f>
        <v>0</v>
      </c>
      <c r="I27" s="115">
        <f>SUMIF(运营总表!A:A,D:D,运营总表!C:C)</f>
        <v>0</v>
      </c>
      <c r="J27" s="115">
        <f t="shared" si="0"/>
        <v>0</v>
      </c>
      <c r="K27" s="125">
        <f>SUMIF(运营总表!A:A,D:D,运营总表!D:D)</f>
        <v>0</v>
      </c>
      <c r="L27" s="114">
        <f t="shared" si="1"/>
        <v>0</v>
      </c>
      <c r="M27" s="114">
        <f t="shared" si="2"/>
        <v>0</v>
      </c>
      <c r="N27" s="114">
        <v>3</v>
      </c>
      <c r="U27" s="114">
        <f>SUMIF(运营总表!A:A,D:D,运营总表!M:M)</f>
        <v>0</v>
      </c>
      <c r="V27" s="114">
        <f>SUMIF(运营总表!A:A,D:D,运营总表!N:N)</f>
        <v>0</v>
      </c>
      <c r="W27" s="115">
        <f t="shared" si="3"/>
        <v>0</v>
      </c>
      <c r="X27" s="116">
        <f>SUMIF(运营总表!A:A,D:D,运营总表!K:K)</f>
        <v>0</v>
      </c>
      <c r="Y27" s="114">
        <f>SUMIF(运营总表!A:A,D:D,运营总表!P:P)</f>
        <v>0</v>
      </c>
      <c r="Z27" s="116">
        <f>SUMIF(运营总表!A:A,D:D,运营总表!Q:Q)</f>
        <v>0</v>
      </c>
      <c r="AC27" s="139"/>
      <c r="AD27" s="140"/>
    </row>
    <row r="28" spans="1:30">
      <c r="A28" s="126"/>
      <c r="D28" s="124">
        <v>44615</v>
      </c>
      <c r="H28" s="114">
        <f>SUMIF(运营总表!A:A,D:D,运营总表!B:B)</f>
        <v>0</v>
      </c>
      <c r="I28" s="115">
        <f>SUMIF(运营总表!A:A,D:D,运营总表!C:C)</f>
        <v>0</v>
      </c>
      <c r="J28" s="115">
        <f t="shared" si="0"/>
        <v>0</v>
      </c>
      <c r="K28" s="125">
        <f>SUMIF(运营总表!A:A,D:D,运营总表!D:D)</f>
        <v>0</v>
      </c>
      <c r="L28" s="114">
        <f t="shared" si="1"/>
        <v>0</v>
      </c>
      <c r="M28" s="114">
        <f t="shared" si="2"/>
        <v>0</v>
      </c>
      <c r="N28" s="114">
        <v>4</v>
      </c>
      <c r="U28" s="114">
        <f>SUMIF(运营总表!A:A,D:D,运营总表!M:M)</f>
        <v>0</v>
      </c>
      <c r="V28" s="114">
        <f>SUMIF(运营总表!A:A,D:D,运营总表!N:N)</f>
        <v>0</v>
      </c>
      <c r="W28" s="115">
        <f t="shared" si="3"/>
        <v>0</v>
      </c>
      <c r="X28" s="116">
        <f>SUMIF(运营总表!A:A,D:D,运营总表!K:K)</f>
        <v>0</v>
      </c>
      <c r="Y28" s="114">
        <f>SUMIF(运营总表!A:A,D:D,运营总表!P:P)</f>
        <v>0</v>
      </c>
      <c r="Z28" s="116">
        <f>SUMIF(运营总表!A:A,D:D,运营总表!Q:Q)</f>
        <v>0</v>
      </c>
      <c r="AA28" s="126"/>
      <c r="AC28" s="139"/>
      <c r="AD28" s="140"/>
    </row>
    <row r="29" ht="29" customHeight="1" spans="1:30">
      <c r="A29" s="126"/>
      <c r="D29" s="124">
        <v>44616</v>
      </c>
      <c r="H29" s="114">
        <f>SUMIF(运营总表!A:A,D:D,运营总表!B:B)</f>
        <v>0</v>
      </c>
      <c r="I29" s="115">
        <f>SUMIF(运营总表!A:A,D:D,运营总表!C:C)</f>
        <v>0</v>
      </c>
      <c r="J29" s="115">
        <f t="shared" si="0"/>
        <v>0</v>
      </c>
      <c r="K29" s="125">
        <f>SUMIF(运营总表!A:A,D:D,运营总表!D:D)</f>
        <v>0</v>
      </c>
      <c r="L29" s="114">
        <f t="shared" si="1"/>
        <v>0</v>
      </c>
      <c r="M29" s="114">
        <f t="shared" si="2"/>
        <v>0</v>
      </c>
      <c r="N29" s="114">
        <v>2</v>
      </c>
      <c r="U29" s="114">
        <f>SUMIF(运营总表!A:A,D:D,运营总表!M:M)</f>
        <v>0</v>
      </c>
      <c r="V29" s="114">
        <f>SUMIF(运营总表!A:A,D:D,运营总表!N:N)</f>
        <v>0</v>
      </c>
      <c r="W29" s="115">
        <f t="shared" si="3"/>
        <v>0</v>
      </c>
      <c r="X29" s="116">
        <f>SUMIF(运营总表!A:A,D:D,运营总表!K:K)</f>
        <v>0</v>
      </c>
      <c r="Y29" s="114">
        <f>SUMIF(运营总表!A:A,D:D,运营总表!P:P)</f>
        <v>0</v>
      </c>
      <c r="Z29" s="116">
        <f>SUMIF(运营总表!A:A,D:D,运营总表!Q:Q)</f>
        <v>0</v>
      </c>
      <c r="AC29" s="139"/>
      <c r="AD29" s="140"/>
    </row>
    <row r="30" ht="29" customHeight="1" spans="1:30">
      <c r="A30" s="126"/>
      <c r="D30" s="124">
        <v>44617</v>
      </c>
      <c r="H30" s="114">
        <f>SUMIF(运营总表!A:A,D:D,运营总表!B:B)</f>
        <v>0</v>
      </c>
      <c r="I30" s="115">
        <f>SUMIF(运营总表!A:A,D:D,运营总表!C:C)</f>
        <v>0</v>
      </c>
      <c r="J30" s="115">
        <f t="shared" si="0"/>
        <v>0</v>
      </c>
      <c r="K30" s="125">
        <f>SUMIF(运营总表!A:A,D:D,运营总表!D:D)</f>
        <v>0</v>
      </c>
      <c r="L30" s="114">
        <f t="shared" si="1"/>
        <v>0</v>
      </c>
      <c r="M30" s="114">
        <f t="shared" si="2"/>
        <v>0</v>
      </c>
      <c r="N30" s="114">
        <v>1</v>
      </c>
      <c r="U30" s="114">
        <f>SUMIF(运营总表!A:A,D:D,运营总表!M:M)</f>
        <v>0</v>
      </c>
      <c r="V30" s="114">
        <f>SUMIF(运营总表!A:A,D:D,运营总表!N:N)</f>
        <v>0</v>
      </c>
      <c r="W30" s="115">
        <f t="shared" si="3"/>
        <v>0</v>
      </c>
      <c r="X30" s="116">
        <f>SUMIF(运营总表!A:A,D:D,运营总表!K:K)</f>
        <v>0</v>
      </c>
      <c r="Y30" s="114">
        <f>SUMIF(运营总表!A:A,D:D,运营总表!P:P)</f>
        <v>0</v>
      </c>
      <c r="Z30" s="116">
        <f>SUMIF(运营总表!A:A,D:D,运营总表!Q:Q)</f>
        <v>0</v>
      </c>
      <c r="AC30" s="139"/>
      <c r="AD30" s="140"/>
    </row>
    <row r="31" ht="29" customHeight="1" spans="1:30">
      <c r="A31" s="126"/>
      <c r="D31" s="124">
        <v>44618</v>
      </c>
      <c r="H31" s="114">
        <f>SUMIF(运营总表!A:A,D:D,运营总表!B:B)</f>
        <v>0</v>
      </c>
      <c r="I31" s="115">
        <f>SUMIF(运营总表!A:A,D:D,运营总表!C:C)</f>
        <v>0</v>
      </c>
      <c r="J31" s="115">
        <f t="shared" si="0"/>
        <v>0</v>
      </c>
      <c r="K31" s="125">
        <f>SUMIF(运营总表!A:A,D:D,运营总表!D:D)</f>
        <v>0</v>
      </c>
      <c r="L31" s="114">
        <f t="shared" si="1"/>
        <v>0</v>
      </c>
      <c r="M31" s="114">
        <f t="shared" si="2"/>
        <v>0</v>
      </c>
      <c r="N31" s="114">
        <v>0</v>
      </c>
      <c r="U31" s="114">
        <f>SUMIF(运营总表!A:A,D:D,运营总表!M:M)</f>
        <v>0</v>
      </c>
      <c r="V31" s="114">
        <f>SUMIF(运营总表!A:A,D:D,运营总表!N:N)</f>
        <v>0</v>
      </c>
      <c r="W31" s="115">
        <f t="shared" si="3"/>
        <v>0</v>
      </c>
      <c r="X31" s="116">
        <f>SUMIF(运营总表!A:A,D:D,运营总表!K:K)</f>
        <v>0</v>
      </c>
      <c r="Y31" s="114">
        <f>SUMIF(运营总表!A:A,D:D,运营总表!P:P)</f>
        <v>0</v>
      </c>
      <c r="Z31" s="116">
        <f>SUMIF(运营总表!A:A,D:D,运营总表!Q:Q)</f>
        <v>0</v>
      </c>
      <c r="AA31" s="126"/>
      <c r="AC31" s="139"/>
      <c r="AD31" s="140"/>
    </row>
    <row r="32" ht="29" customHeight="1" spans="1:30">
      <c r="A32" s="126"/>
      <c r="D32" s="124">
        <v>44619</v>
      </c>
      <c r="H32" s="114">
        <f>SUMIF(运营总表!A:A,D:D,运营总表!B:B)</f>
        <v>0</v>
      </c>
      <c r="I32" s="115">
        <f>SUMIF(运营总表!A:A,D:D,运营总表!C:C)</f>
        <v>0</v>
      </c>
      <c r="J32" s="115">
        <f t="shared" si="0"/>
        <v>0</v>
      </c>
      <c r="K32" s="125">
        <f>SUMIF(运营总表!A:A,D:D,运营总表!D:D)</f>
        <v>0</v>
      </c>
      <c r="L32" s="114">
        <f t="shared" si="1"/>
        <v>0</v>
      </c>
      <c r="M32" s="114">
        <f t="shared" si="2"/>
        <v>0</v>
      </c>
      <c r="N32" s="114">
        <v>0</v>
      </c>
      <c r="U32" s="114">
        <f>SUMIF(运营总表!A:A,D:D,运营总表!M:M)</f>
        <v>0</v>
      </c>
      <c r="V32" s="114">
        <f>SUMIF(运营总表!A:A,D:D,运营总表!N:N)</f>
        <v>0</v>
      </c>
      <c r="W32" s="115">
        <f t="shared" si="3"/>
        <v>0</v>
      </c>
      <c r="X32" s="116">
        <f>SUMIF(运营总表!A:A,D:D,运营总表!K:K)</f>
        <v>0</v>
      </c>
      <c r="Y32" s="114">
        <f>SUMIF(运营总表!A:A,D:D,运营总表!P:P)</f>
        <v>0</v>
      </c>
      <c r="Z32" s="116">
        <f>SUMIF(运营总表!A:A,D:D,运营总表!Q:Q)</f>
        <v>0</v>
      </c>
      <c r="AC32" s="139"/>
      <c r="AD32" s="140"/>
    </row>
    <row r="33" ht="29" customHeight="1" spans="1:30">
      <c r="A33" s="126"/>
      <c r="D33" s="124">
        <v>44620</v>
      </c>
      <c r="H33" s="114">
        <f>SUMIF(运营总表!A:A,D:D,运营总表!B:B)</f>
        <v>0</v>
      </c>
      <c r="I33" s="115">
        <f>SUMIF(运营总表!A:A,D:D,运营总表!C:C)</f>
        <v>0</v>
      </c>
      <c r="J33" s="115">
        <f t="shared" si="0"/>
        <v>0</v>
      </c>
      <c r="K33" s="125">
        <f>SUMIF(运营总表!A:A,D:D,运营总表!D:D)</f>
        <v>0</v>
      </c>
      <c r="L33" s="114">
        <f t="shared" si="1"/>
        <v>0</v>
      </c>
      <c r="M33" s="114">
        <f t="shared" si="2"/>
        <v>0</v>
      </c>
      <c r="N33" s="114">
        <v>0</v>
      </c>
      <c r="U33" s="114">
        <f>SUMIF(运营总表!A:A,D:D,运营总表!M:M)</f>
        <v>0</v>
      </c>
      <c r="V33" s="114">
        <f>SUMIF(运营总表!A:A,D:D,运营总表!N:N)</f>
        <v>0</v>
      </c>
      <c r="W33" s="115">
        <f t="shared" si="3"/>
        <v>0</v>
      </c>
      <c r="X33" s="116">
        <f>SUMIF(运营总表!A:A,D:D,运营总表!K:K)</f>
        <v>0</v>
      </c>
      <c r="Y33" s="114">
        <f>SUMIF(运营总表!A:A,D:D,运营总表!P:P)</f>
        <v>0</v>
      </c>
      <c r="Z33" s="116">
        <f>SUMIF(运营总表!A:A,D:D,运营总表!Q:Q)</f>
        <v>0</v>
      </c>
      <c r="AC33" s="141"/>
      <c r="AD33" s="142"/>
    </row>
  </sheetData>
  <sheetProtection formatCells="0" insertHyperlinks="0" autoFilter="0"/>
  <mergeCells count="37">
    <mergeCell ref="F4:G4"/>
    <mergeCell ref="L4:N4"/>
    <mergeCell ref="A4:A5"/>
    <mergeCell ref="A6:A12"/>
    <mergeCell ref="A13:A19"/>
    <mergeCell ref="A20:A26"/>
    <mergeCell ref="A27:A33"/>
    <mergeCell ref="C4:C5"/>
    <mergeCell ref="C6:C12"/>
    <mergeCell ref="C13:C19"/>
    <mergeCell ref="C20:C26"/>
    <mergeCell ref="C27:C33"/>
    <mergeCell ref="D4:D5"/>
    <mergeCell ref="E4:E5"/>
    <mergeCell ref="H4:H5"/>
    <mergeCell ref="I4:I5"/>
    <mergeCell ref="J4:J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1:AD3"/>
    <mergeCell ref="AC4:AD5"/>
    <mergeCell ref="AC6:AD12"/>
    <mergeCell ref="AC13:AD19"/>
    <mergeCell ref="AC20:AD26"/>
    <mergeCell ref="AC27:AD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:N3"/>
    </sheetView>
  </sheetViews>
  <sheetFormatPr defaultColWidth="9" defaultRowHeight="13.5" outlineLevelRow="2"/>
  <cols>
    <col min="1" max="1" width="15.25" customWidth="1"/>
    <col min="2" max="2" width="9.875" customWidth="1"/>
    <col min="3" max="3" width="12.25" customWidth="1"/>
    <col min="4" max="4" width="17" customWidth="1"/>
    <col min="5" max="5" width="9.75" customWidth="1"/>
    <col min="6" max="6" width="12.25" customWidth="1"/>
    <col min="7" max="7" width="14.625" customWidth="1"/>
    <col min="8" max="8" width="12.25" customWidth="1"/>
    <col min="9" max="10" width="21.875" customWidth="1"/>
    <col min="11" max="11" width="19.5" customWidth="1"/>
    <col min="12" max="12" width="16" customWidth="1"/>
    <col min="13" max="13" width="11.25" customWidth="1"/>
    <col min="14" max="14" width="14.125" customWidth="1"/>
  </cols>
  <sheetData>
    <row r="1" ht="57" customHeight="1" spans="1:14">
      <c r="A1" s="96" t="s">
        <v>105</v>
      </c>
      <c r="B1" s="97"/>
      <c r="C1" s="96"/>
      <c r="D1" s="98"/>
      <c r="E1" s="97"/>
      <c r="F1" s="97"/>
      <c r="G1" s="96"/>
      <c r="H1" s="96"/>
      <c r="I1" s="96"/>
      <c r="J1" s="96"/>
      <c r="K1" s="97"/>
      <c r="L1" s="98"/>
      <c r="M1" s="96"/>
      <c r="N1" s="96"/>
    </row>
    <row r="2" ht="54" customHeight="1" spans="1:14">
      <c r="A2" s="99" t="s">
        <v>88</v>
      </c>
      <c r="B2" s="100" t="s">
        <v>106</v>
      </c>
      <c r="C2" s="101" t="s">
        <v>107</v>
      </c>
      <c r="D2" s="102" t="s">
        <v>108</v>
      </c>
      <c r="E2" s="100" t="s">
        <v>109</v>
      </c>
      <c r="F2" s="100" t="s">
        <v>110</v>
      </c>
      <c r="G2" s="101" t="s">
        <v>111</v>
      </c>
      <c r="H2" s="101" t="s">
        <v>112</v>
      </c>
      <c r="I2" s="110" t="s">
        <v>113</v>
      </c>
      <c r="J2" s="110" t="s">
        <v>114</v>
      </c>
      <c r="K2" s="100" t="s">
        <v>115</v>
      </c>
      <c r="L2" s="102" t="s">
        <v>116</v>
      </c>
      <c r="M2" s="111" t="s">
        <v>117</v>
      </c>
      <c r="N2" s="112" t="s">
        <v>118</v>
      </c>
    </row>
    <row r="3" ht="51" customHeight="1" spans="1:14">
      <c r="A3" s="103"/>
      <c r="B3" s="104"/>
      <c r="C3" s="105"/>
      <c r="D3" s="106"/>
      <c r="E3" s="107"/>
      <c r="F3" s="108"/>
      <c r="G3" s="105">
        <f>IFERROR(J3/D3*E3,0)</f>
        <v>0</v>
      </c>
      <c r="H3" s="109">
        <f>IFERROR(I3/F3,0)</f>
        <v>0</v>
      </c>
      <c r="I3" s="109">
        <f>IFERROR(J3/D3,0)</f>
        <v>0</v>
      </c>
      <c r="J3" s="109"/>
      <c r="K3" s="104">
        <f>J3*B3</f>
        <v>0</v>
      </c>
      <c r="L3" s="106">
        <f>IFERROR(G3/(C3+K3),0)</f>
        <v>0</v>
      </c>
      <c r="M3" s="106">
        <f>IFERROR(G3/K3,0)</f>
        <v>0</v>
      </c>
      <c r="N3" s="113">
        <f>IFERROR(K3/G3,0)</f>
        <v>0</v>
      </c>
    </row>
  </sheetData>
  <sheetProtection formatCells="0" insertHyperlinks="0" autoFilter="0"/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workbookViewId="0">
      <selection activeCell="E27" sqref="A1:E27"/>
    </sheetView>
  </sheetViews>
  <sheetFormatPr defaultColWidth="9" defaultRowHeight="14.25" outlineLevelCol="4"/>
  <cols>
    <col min="1" max="1" width="51" style="1" customWidth="1"/>
    <col min="2" max="5" width="21.25" style="1" customWidth="1"/>
    <col min="6" max="16384" width="9" style="1"/>
  </cols>
  <sheetData>
    <row r="1" ht="18" customHeight="1" spans="1:5">
      <c r="A1" s="71" t="s">
        <v>119</v>
      </c>
      <c r="B1" s="72"/>
      <c r="C1" s="72"/>
      <c r="D1" s="72"/>
      <c r="E1" s="72"/>
    </row>
    <row r="2" ht="18" customHeight="1" spans="1:5">
      <c r="A2" s="73" t="s">
        <v>120</v>
      </c>
      <c r="B2" s="74"/>
      <c r="C2" s="72"/>
      <c r="D2" s="72"/>
      <c r="E2" s="72"/>
    </row>
    <row r="3" ht="18" customHeight="1" spans="1:5">
      <c r="A3" s="75" t="s">
        <v>121</v>
      </c>
      <c r="B3" s="76"/>
      <c r="C3" s="72"/>
      <c r="D3" s="72"/>
      <c r="E3" s="72"/>
    </row>
    <row r="4" ht="18" customHeight="1" spans="1:5">
      <c r="A4" s="75" t="s">
        <v>122</v>
      </c>
      <c r="B4" s="74"/>
      <c r="C4" s="72"/>
      <c r="D4" s="72"/>
      <c r="E4" s="72"/>
    </row>
    <row r="5" ht="18" customHeight="1" spans="1:5">
      <c r="A5" s="75" t="s">
        <v>123</v>
      </c>
      <c r="B5" s="74"/>
      <c r="C5" s="72"/>
      <c r="D5" s="72"/>
      <c r="E5" s="72"/>
    </row>
    <row r="6" ht="18" customHeight="1" spans="1:5">
      <c r="A6" s="72"/>
      <c r="B6" s="72"/>
      <c r="C6" s="72"/>
      <c r="D6" s="72"/>
      <c r="E6" s="72"/>
    </row>
    <row r="7" ht="18" customHeight="1" spans="1:5">
      <c r="A7" s="75" t="s">
        <v>124</v>
      </c>
      <c r="B7" s="77">
        <f>B2*B3</f>
        <v>0</v>
      </c>
      <c r="C7" s="72"/>
      <c r="D7" s="72"/>
      <c r="E7" s="72"/>
    </row>
    <row r="8" ht="18" customHeight="1" spans="1:5">
      <c r="A8" s="75" t="s">
        <v>125</v>
      </c>
      <c r="B8" s="78">
        <f>IFERROR(1/B4,0)</f>
        <v>0</v>
      </c>
      <c r="C8" s="72"/>
      <c r="D8" s="72"/>
      <c r="E8" s="72"/>
    </row>
    <row r="9" ht="18" customHeight="1" spans="1:5">
      <c r="A9" s="75" t="s">
        <v>126</v>
      </c>
      <c r="B9" s="77">
        <f>IFERROR(B3*B4,0)</f>
        <v>0</v>
      </c>
      <c r="C9" s="72"/>
      <c r="D9" s="72"/>
      <c r="E9" s="72"/>
    </row>
    <row r="10" ht="18" customHeight="1" spans="1:5">
      <c r="A10" s="75" t="s">
        <v>127</v>
      </c>
      <c r="B10" s="77">
        <f>IFERROR(B2*B3*B4*(1+B5),0)</f>
        <v>0</v>
      </c>
      <c r="C10" s="72"/>
      <c r="D10" s="72"/>
      <c r="E10" s="72"/>
    </row>
    <row r="11" ht="18" customHeight="1" spans="1:5">
      <c r="A11" s="72"/>
      <c r="B11" s="72"/>
      <c r="C11" s="72"/>
      <c r="D11" s="72"/>
      <c r="E11" s="72"/>
    </row>
    <row r="12" ht="18" customHeight="1" spans="1:5">
      <c r="A12" s="71" t="s">
        <v>128</v>
      </c>
      <c r="B12" s="72"/>
      <c r="C12" s="72"/>
      <c r="D12" s="72"/>
      <c r="E12" s="72"/>
    </row>
    <row r="13" ht="18" customHeight="1" spans="1:5">
      <c r="A13" s="79" t="s">
        <v>129</v>
      </c>
      <c r="B13" s="79" t="s">
        <v>130</v>
      </c>
      <c r="C13" s="79" t="s">
        <v>131</v>
      </c>
      <c r="D13" s="79" t="s">
        <v>132</v>
      </c>
      <c r="E13" s="80"/>
    </row>
    <row r="14" ht="18" customHeight="1" spans="1:5">
      <c r="A14" s="81" t="s">
        <v>133</v>
      </c>
      <c r="B14" s="82"/>
      <c r="C14" s="83"/>
      <c r="D14" s="84">
        <f>IFERROR(C14/B14,0)</f>
        <v>0</v>
      </c>
      <c r="E14" s="85"/>
    </row>
    <row r="15" ht="18" customHeight="1" spans="1:5">
      <c r="A15" s="81" t="s">
        <v>134</v>
      </c>
      <c r="B15" s="82"/>
      <c r="C15" s="83"/>
      <c r="D15" s="84">
        <f>IFERROR(C15/B15,0)</f>
        <v>0</v>
      </c>
      <c r="E15" s="85"/>
    </row>
    <row r="16" ht="18" customHeight="1" spans="1:5">
      <c r="A16" s="81" t="s">
        <v>135</v>
      </c>
      <c r="B16" s="82"/>
      <c r="C16" s="83"/>
      <c r="D16" s="84">
        <f>IFERROR(C16/B16,0)</f>
        <v>0</v>
      </c>
      <c r="E16" s="85"/>
    </row>
    <row r="17" ht="18" customHeight="1" spans="1:5">
      <c r="A17" s="81" t="s">
        <v>136</v>
      </c>
      <c r="B17" s="86">
        <f>SUM(B14:B16)</f>
        <v>0</v>
      </c>
      <c r="C17" s="87">
        <f>SUM(C14:C16)</f>
        <v>0</v>
      </c>
      <c r="D17" s="84">
        <f>IFERROR(C17/B17,0)</f>
        <v>0</v>
      </c>
      <c r="E17" s="85"/>
    </row>
    <row r="18" ht="18" customHeight="1" spans="1:5">
      <c r="A18" s="88" t="s">
        <v>137</v>
      </c>
      <c r="B18" s="89">
        <f>IFERROR(B14/B17,0)</f>
        <v>0</v>
      </c>
      <c r="C18" s="84"/>
      <c r="D18" s="84"/>
      <c r="E18" s="85"/>
    </row>
    <row r="19" ht="18" customHeight="1" spans="1:5">
      <c r="A19" s="72"/>
      <c r="B19" s="90"/>
      <c r="C19" s="72"/>
      <c r="D19" s="72"/>
      <c r="E19" s="85"/>
    </row>
    <row r="20" ht="18" customHeight="1" spans="1:5">
      <c r="A20" s="91" t="s">
        <v>138</v>
      </c>
      <c r="B20" s="77" t="e">
        <f>_xlfn.IFS(AND(D16&lt;D15,D16&lt;D14),D16*B2,AND(D15&lt;D14,D15&lt;D16),(C15+C16)/(B15+B16)*B2,AND(D14&lt;D15,D14&lt;D16),(C14+C16)/(B14+B16)*B2)</f>
        <v>#N/A</v>
      </c>
      <c r="C20" s="72"/>
      <c r="D20" s="72"/>
      <c r="E20" s="80"/>
    </row>
    <row r="21" ht="18" customHeight="1" spans="1:5">
      <c r="A21" s="91" t="s">
        <v>139</v>
      </c>
      <c r="B21" s="92">
        <f>IFERROR(IF((D14/((C15+C16)/(B15+B16))-1)&lt;0,"0%",(D14/((C15+C16)/(B15+B16))-1)),0)</f>
        <v>0</v>
      </c>
      <c r="C21" s="72"/>
      <c r="D21" s="72"/>
      <c r="E21" s="80"/>
    </row>
    <row r="22" ht="18" customHeight="1" spans="1:5">
      <c r="A22" s="91" t="s">
        <v>140</v>
      </c>
      <c r="B22" s="92">
        <f>IFERROR(IF((D15/((C16+C17)/(B16+B17))-1)&lt;0,"0%",(D15/((C16+C17)/(B16+B17))-1)),0)</f>
        <v>0</v>
      </c>
      <c r="C22" s="72"/>
      <c r="D22" s="72"/>
      <c r="E22" s="80"/>
    </row>
    <row r="23" ht="18" customHeight="1" spans="1:5">
      <c r="A23" s="72"/>
      <c r="B23" s="72"/>
      <c r="C23" s="72"/>
      <c r="D23" s="72"/>
      <c r="E23" s="72"/>
    </row>
    <row r="24" ht="18" customHeight="1" spans="1:5">
      <c r="A24" s="71" t="s">
        <v>141</v>
      </c>
      <c r="B24" s="72"/>
      <c r="C24" s="72"/>
      <c r="D24" s="72"/>
      <c r="E24" s="72"/>
    </row>
    <row r="25" ht="18" customHeight="1" spans="1:5">
      <c r="A25" s="79" t="s">
        <v>142</v>
      </c>
      <c r="B25" s="79" t="s">
        <v>130</v>
      </c>
      <c r="C25" s="79" t="s">
        <v>131</v>
      </c>
      <c r="D25" s="79" t="s">
        <v>132</v>
      </c>
      <c r="E25" s="79" t="s">
        <v>143</v>
      </c>
    </row>
    <row r="26" ht="18" customHeight="1" spans="1:5">
      <c r="A26" s="81"/>
      <c r="B26" s="93"/>
      <c r="C26" s="93"/>
      <c r="D26" s="94"/>
      <c r="E26" s="95">
        <f>IFERROR(D26*$C$2/(1+$C$21*$C$18),0)</f>
        <v>0</v>
      </c>
    </row>
    <row r="27" ht="18" customHeight="1" spans="1:5">
      <c r="A27" s="81"/>
      <c r="B27" s="93"/>
      <c r="C27" s="93"/>
      <c r="D27" s="94"/>
      <c r="E27" s="95">
        <f>IFERROR(D27*$C$2/(1+$C$21*$C$18),0)</f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workbookViewId="0">
      <pane xSplit="11" ySplit="6" topLeftCell="T7" activePane="bottomRight" state="frozen"/>
      <selection/>
      <selection pane="topRight"/>
      <selection pane="bottomLeft"/>
      <selection pane="bottomRight" activeCell="A1" sqref="A1:Y8"/>
    </sheetView>
  </sheetViews>
  <sheetFormatPr defaultColWidth="9" defaultRowHeight="14.25"/>
  <cols>
    <col min="1" max="1" width="10.375" style="7" customWidth="1"/>
    <col min="2" max="2" width="12.5" style="7" customWidth="1"/>
    <col min="3" max="8" width="8.625" style="7" customWidth="1"/>
    <col min="9" max="9" width="7.5" style="7" customWidth="1"/>
    <col min="10" max="11" width="31.125" style="7" customWidth="1"/>
    <col min="12" max="13" width="6.125" style="39" customWidth="1"/>
    <col min="14" max="14" width="27.125" style="7" customWidth="1"/>
    <col min="15" max="16" width="6.125" style="8" customWidth="1"/>
    <col min="17" max="18" width="6.125" style="7" customWidth="1"/>
    <col min="19" max="19" width="13.25" style="7" customWidth="1"/>
    <col min="20" max="21" width="6.125" style="40" customWidth="1"/>
    <col min="22" max="22" width="27.125" style="7" customWidth="1"/>
    <col min="23" max="23" width="21.625" style="7" customWidth="1"/>
    <col min="24" max="24" width="8.875" style="7" customWidth="1"/>
    <col min="25" max="25" width="11.875" style="7" customWidth="1"/>
    <col min="26" max="16384" width="9" style="7"/>
  </cols>
  <sheetData>
    <row r="1" spans="1:25">
      <c r="A1" s="41" t="s">
        <v>144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50"/>
      <c r="M1" s="50"/>
      <c r="N1" s="51"/>
      <c r="O1" s="52"/>
      <c r="P1" s="52"/>
      <c r="Q1" s="51"/>
      <c r="R1" s="51"/>
      <c r="S1" s="51"/>
      <c r="T1" s="62"/>
      <c r="U1" s="62"/>
      <c r="V1" s="41"/>
      <c r="W1" s="41"/>
      <c r="X1" s="41"/>
      <c r="Y1" s="41"/>
    </row>
    <row r="2" spans="1: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50"/>
      <c r="M2" s="50"/>
      <c r="N2" s="51"/>
      <c r="O2" s="52"/>
      <c r="P2" s="52"/>
      <c r="Q2" s="51"/>
      <c r="R2" s="51"/>
      <c r="S2" s="51"/>
      <c r="T2" s="62"/>
      <c r="U2" s="62"/>
      <c r="V2" s="41"/>
      <c r="W2" s="41"/>
      <c r="X2" s="41"/>
      <c r="Y2" s="41"/>
    </row>
    <row r="3" ht="45" customHeight="1" spans="1: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50"/>
      <c r="M3" s="50"/>
      <c r="N3" s="51"/>
      <c r="O3" s="52"/>
      <c r="P3" s="52"/>
      <c r="Q3" s="51"/>
      <c r="R3" s="51"/>
      <c r="S3" s="51"/>
      <c r="T3" s="62"/>
      <c r="U3" s="62"/>
      <c r="V3" s="41"/>
      <c r="W3" s="41"/>
      <c r="X3" s="41"/>
      <c r="Y3" s="41"/>
    </row>
    <row r="4" ht="39" customHeight="1" spans="1:25">
      <c r="A4" s="42" t="s">
        <v>145</v>
      </c>
      <c r="B4" s="42" t="s">
        <v>88</v>
      </c>
      <c r="C4" s="43" t="s">
        <v>146</v>
      </c>
      <c r="D4" s="43"/>
      <c r="E4" s="43"/>
      <c r="F4" s="43"/>
      <c r="G4" s="43"/>
      <c r="H4" s="43"/>
      <c r="I4" s="43"/>
      <c r="J4" s="43" t="s">
        <v>147</v>
      </c>
      <c r="K4" s="43"/>
      <c r="L4" s="53" t="s">
        <v>148</v>
      </c>
      <c r="M4" s="53"/>
      <c r="N4" s="54"/>
      <c r="O4" s="55"/>
      <c r="P4" s="55"/>
      <c r="Q4" s="54"/>
      <c r="R4" s="54"/>
      <c r="S4" s="54"/>
      <c r="T4" s="63"/>
      <c r="U4" s="63"/>
      <c r="V4" s="64"/>
      <c r="W4" s="64"/>
      <c r="X4" s="64"/>
      <c r="Y4" s="64"/>
    </row>
    <row r="5" spans="1:25">
      <c r="A5" s="42"/>
      <c r="B5" s="42"/>
      <c r="C5" s="44" t="s">
        <v>149</v>
      </c>
      <c r="D5" s="44" t="s">
        <v>150</v>
      </c>
      <c r="E5" s="44" t="s">
        <v>151</v>
      </c>
      <c r="F5" s="44" t="s">
        <v>152</v>
      </c>
      <c r="G5" s="44" t="s">
        <v>153</v>
      </c>
      <c r="H5" s="44" t="s">
        <v>154</v>
      </c>
      <c r="I5" s="44" t="s">
        <v>155</v>
      </c>
      <c r="J5" s="44" t="s">
        <v>156</v>
      </c>
      <c r="K5" s="44" t="s">
        <v>157</v>
      </c>
      <c r="L5" s="56" t="s">
        <v>158</v>
      </c>
      <c r="M5" s="56"/>
      <c r="N5" s="57"/>
      <c r="O5" s="58"/>
      <c r="P5" s="58"/>
      <c r="Q5" s="57" t="s">
        <v>159</v>
      </c>
      <c r="R5" s="57"/>
      <c r="S5" s="57" t="s">
        <v>160</v>
      </c>
      <c r="T5" s="65"/>
      <c r="U5" s="65"/>
      <c r="V5" s="66" t="s">
        <v>161</v>
      </c>
      <c r="W5" s="66"/>
      <c r="X5" s="66" t="s">
        <v>162</v>
      </c>
      <c r="Y5" s="66"/>
    </row>
    <row r="6" ht="27" spans="1:25">
      <c r="A6" s="42"/>
      <c r="B6" s="42"/>
      <c r="C6" s="44"/>
      <c r="D6" s="44"/>
      <c r="E6" s="44"/>
      <c r="F6" s="44"/>
      <c r="G6" s="44"/>
      <c r="H6" s="44"/>
      <c r="I6" s="44"/>
      <c r="J6" s="44"/>
      <c r="K6" s="44"/>
      <c r="L6" s="56" t="s">
        <v>163</v>
      </c>
      <c r="M6" s="56" t="s">
        <v>164</v>
      </c>
      <c r="N6" s="57" t="s">
        <v>165</v>
      </c>
      <c r="O6" s="58" t="s">
        <v>166</v>
      </c>
      <c r="P6" s="58" t="s">
        <v>167</v>
      </c>
      <c r="Q6" s="57" t="s">
        <v>168</v>
      </c>
      <c r="R6" s="57" t="s">
        <v>169</v>
      </c>
      <c r="S6" s="57" t="s">
        <v>170</v>
      </c>
      <c r="T6" s="65" t="s">
        <v>171</v>
      </c>
      <c r="U6" s="65" t="s">
        <v>172</v>
      </c>
      <c r="V6" s="66" t="s">
        <v>173</v>
      </c>
      <c r="W6" s="66" t="s">
        <v>174</v>
      </c>
      <c r="X6" s="66" t="s">
        <v>175</v>
      </c>
      <c r="Y6" s="66" t="s">
        <v>176</v>
      </c>
    </row>
    <row r="7" s="17" customFormat="1" ht="21.75" customHeight="1" spans="1:25">
      <c r="A7" s="45"/>
      <c r="B7" s="15"/>
      <c r="C7" s="15"/>
      <c r="D7" s="15"/>
      <c r="E7" s="15"/>
      <c r="F7" s="15"/>
      <c r="G7" s="15"/>
      <c r="H7" s="15"/>
      <c r="I7" s="15"/>
      <c r="J7" s="15"/>
      <c r="K7" s="15"/>
      <c r="L7" s="59"/>
      <c r="M7" s="59"/>
      <c r="N7" s="59"/>
      <c r="O7" s="59"/>
      <c r="P7" s="60"/>
      <c r="Q7" s="59"/>
      <c r="R7" s="59"/>
      <c r="S7" s="59"/>
      <c r="T7" s="67"/>
      <c r="U7" s="67"/>
      <c r="V7" s="59"/>
      <c r="W7" s="59"/>
      <c r="X7" s="59"/>
      <c r="Y7" s="59"/>
    </row>
    <row r="8" s="17" customFormat="1" ht="21.75" customHeight="1" spans="1:25">
      <c r="A8" s="45"/>
      <c r="B8" s="15"/>
      <c r="C8" s="15"/>
      <c r="D8" s="15"/>
      <c r="E8" s="15"/>
      <c r="F8" s="15"/>
      <c r="G8" s="15"/>
      <c r="H8" s="15"/>
      <c r="I8" s="15"/>
      <c r="J8" s="15"/>
      <c r="K8" s="15"/>
      <c r="L8" s="59"/>
      <c r="M8" s="59"/>
      <c r="N8" s="59"/>
      <c r="O8" s="59"/>
      <c r="P8" s="60"/>
      <c r="Q8" s="59"/>
      <c r="R8" s="59"/>
      <c r="S8" s="59"/>
      <c r="T8" s="67"/>
      <c r="U8" s="67"/>
      <c r="V8" s="59"/>
      <c r="W8" s="59"/>
      <c r="X8" s="59"/>
      <c r="Y8" s="59"/>
    </row>
    <row r="9" s="17" customFormat="1" ht="21.75" customHeight="1" spans="1:25">
      <c r="A9" s="46"/>
      <c r="L9" s="47"/>
      <c r="M9" s="47"/>
      <c r="N9" s="47"/>
      <c r="O9" s="47"/>
      <c r="P9" s="18"/>
      <c r="Q9" s="47"/>
      <c r="R9" s="47"/>
      <c r="S9" s="47"/>
      <c r="T9" s="68"/>
      <c r="U9" s="68"/>
      <c r="V9" s="47"/>
      <c r="W9" s="47"/>
      <c r="X9" s="47"/>
      <c r="Y9" s="47"/>
    </row>
    <row r="10" s="17" customFormat="1" ht="21.75" customHeight="1" spans="1:23">
      <c r="A10" s="46"/>
      <c r="L10" s="47"/>
      <c r="M10" s="47"/>
      <c r="N10" s="47"/>
      <c r="O10" s="47"/>
      <c r="P10" s="18"/>
      <c r="Q10" s="47"/>
      <c r="R10" s="47"/>
      <c r="S10" s="47"/>
      <c r="T10" s="68"/>
      <c r="U10" s="68"/>
      <c r="V10" s="47"/>
      <c r="W10" s="47"/>
    </row>
    <row r="11" s="17" customFormat="1" ht="21.75" customHeight="1" spans="1:23">
      <c r="A11" s="46"/>
      <c r="L11" s="47"/>
      <c r="M11" s="47"/>
      <c r="N11" s="47"/>
      <c r="O11" s="47"/>
      <c r="P11" s="18"/>
      <c r="Q11" s="47"/>
      <c r="R11" s="47"/>
      <c r="S11" s="47"/>
      <c r="T11" s="68"/>
      <c r="U11" s="68"/>
      <c r="V11" s="47"/>
      <c r="W11" s="47"/>
    </row>
    <row r="12" s="17" customFormat="1" ht="21.75" customHeight="1" spans="1:21">
      <c r="A12" s="46"/>
      <c r="L12" s="47"/>
      <c r="M12" s="47"/>
      <c r="N12" s="47"/>
      <c r="O12" s="47"/>
      <c r="P12" s="18"/>
      <c r="Q12" s="47"/>
      <c r="R12" s="47"/>
      <c r="T12" s="68"/>
      <c r="U12" s="68"/>
    </row>
    <row r="13" s="17" customFormat="1" ht="21.75" customHeight="1" spans="1:21">
      <c r="A13" s="46"/>
      <c r="L13" s="47"/>
      <c r="M13" s="47"/>
      <c r="N13" s="47"/>
      <c r="O13" s="47"/>
      <c r="P13" s="18"/>
      <c r="Q13" s="47"/>
      <c r="R13" s="47"/>
      <c r="T13" s="68"/>
      <c r="U13" s="68"/>
    </row>
    <row r="14" s="17" customFormat="1" ht="21.75" customHeight="1" spans="1:21">
      <c r="A14" s="46"/>
      <c r="L14" s="18"/>
      <c r="P14" s="18"/>
      <c r="T14" s="68"/>
      <c r="U14" s="68"/>
    </row>
    <row r="15" s="17" customFormat="1" ht="21.75" customHeight="1" spans="1:21">
      <c r="A15" s="46"/>
      <c r="L15" s="18"/>
      <c r="P15" s="18"/>
      <c r="T15" s="68"/>
      <c r="U15" s="68"/>
    </row>
    <row r="16" s="17" customFormat="1" ht="21.75" customHeight="1" spans="1:21">
      <c r="A16" s="46"/>
      <c r="L16" s="47"/>
      <c r="M16" s="47"/>
      <c r="N16" s="47"/>
      <c r="O16" s="18"/>
      <c r="P16" s="18"/>
      <c r="T16" s="68"/>
      <c r="U16" s="68"/>
    </row>
    <row r="17" s="17" customFormat="1" ht="21.75" customHeight="1" spans="1:21">
      <c r="A17" s="46"/>
      <c r="L17" s="47"/>
      <c r="M17" s="47"/>
      <c r="N17" s="47"/>
      <c r="O17" s="18"/>
      <c r="P17" s="18"/>
      <c r="T17" s="68"/>
      <c r="U17" s="68"/>
    </row>
    <row r="18" s="17" customFormat="1" ht="21.75" customHeight="1" spans="1:21">
      <c r="A18" s="46"/>
      <c r="L18" s="47"/>
      <c r="M18" s="47"/>
      <c r="N18" s="47"/>
      <c r="O18" s="18"/>
      <c r="P18" s="18"/>
      <c r="T18" s="68"/>
      <c r="U18" s="68"/>
    </row>
    <row r="19" s="17" customFormat="1" ht="27.75" customHeight="1" spans="1:21">
      <c r="A19" s="46"/>
      <c r="L19" s="47"/>
      <c r="M19" s="47"/>
      <c r="N19" s="47"/>
      <c r="O19" s="18"/>
      <c r="P19" s="18"/>
      <c r="T19" s="68"/>
      <c r="U19" s="68"/>
    </row>
    <row r="20" s="17" customFormat="1" spans="1:22">
      <c r="A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18"/>
      <c r="P20" s="18"/>
      <c r="T20" s="68"/>
      <c r="U20" s="68"/>
      <c r="V20" s="69"/>
    </row>
    <row r="21" s="17" customFormat="1" spans="1:21">
      <c r="A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18"/>
      <c r="P21" s="18"/>
      <c r="T21" s="68"/>
      <c r="U21" s="68"/>
    </row>
    <row r="22" s="17" customFormat="1" spans="1:22">
      <c r="A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18"/>
      <c r="P22" s="18"/>
      <c r="T22" s="68"/>
      <c r="U22" s="68"/>
      <c r="V22" s="69"/>
    </row>
    <row r="23" s="17" customFormat="1" spans="1:22">
      <c r="A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18"/>
      <c r="P23" s="18"/>
      <c r="T23" s="68"/>
      <c r="U23" s="68"/>
      <c r="V23" s="69"/>
    </row>
    <row r="24" s="17" customFormat="1" spans="1:21">
      <c r="A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18"/>
      <c r="P24" s="18"/>
      <c r="T24" s="68"/>
      <c r="U24" s="68"/>
    </row>
    <row r="25" s="17" customFormat="1" spans="1:21">
      <c r="A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8"/>
      <c r="P25" s="18"/>
      <c r="T25" s="68"/>
      <c r="U25" s="68"/>
    </row>
    <row r="26" s="17" customFormat="1" spans="1:22">
      <c r="A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18"/>
      <c r="P26" s="18"/>
      <c r="T26" s="68"/>
      <c r="U26" s="68"/>
      <c r="V26" s="69"/>
    </row>
    <row r="27" s="17" customFormat="1" spans="1:21">
      <c r="A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18"/>
      <c r="P27" s="18"/>
      <c r="T27" s="68"/>
      <c r="U27" s="68"/>
    </row>
    <row r="28" s="17" customFormat="1" spans="1:21">
      <c r="A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18"/>
      <c r="P28" s="18"/>
      <c r="T28" s="68"/>
      <c r="U28" s="68"/>
    </row>
    <row r="29" s="17" customFormat="1" spans="1:21">
      <c r="A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18"/>
      <c r="P29" s="18"/>
      <c r="T29" s="68"/>
      <c r="U29" s="68"/>
    </row>
    <row r="30" s="17" customFormat="1" spans="1:21">
      <c r="A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18"/>
      <c r="P30" s="18"/>
      <c r="T30" s="68"/>
      <c r="U30" s="68"/>
    </row>
    <row r="31" s="17" customFormat="1" ht="27.75" customHeight="1" spans="1:21">
      <c r="A31" s="46"/>
      <c r="L31" s="47"/>
      <c r="M31" s="47"/>
      <c r="O31" s="18"/>
      <c r="P31" s="18"/>
      <c r="T31" s="68"/>
      <c r="U31" s="68"/>
    </row>
    <row r="32" s="17" customFormat="1" ht="27.75" customHeight="1" spans="12:21">
      <c r="L32" s="47"/>
      <c r="M32" s="47"/>
      <c r="O32" s="18"/>
      <c r="P32" s="18"/>
      <c r="T32" s="68"/>
      <c r="U32" s="68"/>
    </row>
    <row r="33" s="17" customFormat="1" ht="27.75" customHeight="1" spans="12:21">
      <c r="L33" s="47"/>
      <c r="M33" s="47"/>
      <c r="O33" s="18"/>
      <c r="P33" s="18"/>
      <c r="T33" s="68"/>
      <c r="U33" s="68"/>
    </row>
    <row r="34" s="17" customFormat="1" ht="23.25" customHeight="1" spans="12:21">
      <c r="L34" s="47"/>
      <c r="M34" s="47"/>
      <c r="O34" s="18"/>
      <c r="P34" s="18"/>
      <c r="T34" s="68"/>
      <c r="U34" s="68"/>
    </row>
    <row r="35" s="17" customFormat="1" ht="25.5" customHeight="1" spans="12:21">
      <c r="L35" s="47"/>
      <c r="M35" s="47"/>
      <c r="O35" s="18"/>
      <c r="P35" s="18"/>
      <c r="T35" s="68"/>
      <c r="U35" s="68"/>
    </row>
    <row r="36" s="17" customFormat="1" ht="25.5" customHeight="1" spans="1:21">
      <c r="A36" s="46"/>
      <c r="E36" s="48"/>
      <c r="L36" s="47"/>
      <c r="M36" s="47"/>
      <c r="N36" s="61"/>
      <c r="O36" s="18"/>
      <c r="P36" s="18"/>
      <c r="T36" s="68"/>
      <c r="U36" s="68"/>
    </row>
    <row r="37" s="17" customFormat="1" ht="25.5" customHeight="1" spans="5:21">
      <c r="E37" s="48"/>
      <c r="L37" s="47"/>
      <c r="M37" s="47"/>
      <c r="N37" s="61"/>
      <c r="O37" s="18"/>
      <c r="P37" s="18"/>
      <c r="T37" s="68"/>
      <c r="U37" s="68"/>
    </row>
    <row r="38" s="17" customFormat="1" ht="25.5" customHeight="1" spans="5:23">
      <c r="E38" s="48"/>
      <c r="L38" s="47"/>
      <c r="M38" s="47"/>
      <c r="O38" s="18"/>
      <c r="P38" s="18"/>
      <c r="T38" s="68"/>
      <c r="U38" s="68"/>
      <c r="W38" s="61"/>
    </row>
    <row r="39" s="17" customFormat="1" ht="25.5" customHeight="1" spans="5:21">
      <c r="E39" s="48"/>
      <c r="L39" s="47"/>
      <c r="M39" s="47"/>
      <c r="O39" s="18"/>
      <c r="P39" s="18"/>
      <c r="T39" s="68"/>
      <c r="U39" s="68"/>
    </row>
    <row r="40" s="17" customFormat="1" ht="25.5" customHeight="1" spans="5:21">
      <c r="E40" s="48"/>
      <c r="L40" s="47"/>
      <c r="M40" s="47"/>
      <c r="O40" s="18"/>
      <c r="P40" s="18"/>
      <c r="T40" s="68"/>
      <c r="U40" s="68"/>
    </row>
    <row r="41" s="17" customFormat="1" ht="25.5" customHeight="1" spans="5:21">
      <c r="E41" s="48"/>
      <c r="L41" s="47"/>
      <c r="M41" s="47"/>
      <c r="O41" s="18"/>
      <c r="P41" s="18"/>
      <c r="T41" s="68"/>
      <c r="U41" s="68"/>
    </row>
    <row r="42" s="17" customFormat="1" ht="25.5" customHeight="1" spans="5:21">
      <c r="E42" s="48"/>
      <c r="L42" s="47"/>
      <c r="M42" s="47"/>
      <c r="O42" s="18"/>
      <c r="P42" s="18"/>
      <c r="T42" s="68"/>
      <c r="U42" s="68"/>
    </row>
    <row r="43" s="17" customFormat="1" ht="25.5" customHeight="1" spans="5:21">
      <c r="E43" s="48"/>
      <c r="L43" s="47"/>
      <c r="M43" s="47"/>
      <c r="O43" s="18"/>
      <c r="P43" s="18"/>
      <c r="T43" s="68"/>
      <c r="U43" s="68"/>
    </row>
    <row r="44" s="17" customFormat="1" ht="25.5" customHeight="1" spans="5:23">
      <c r="E44" s="48"/>
      <c r="L44" s="47"/>
      <c r="M44" s="47"/>
      <c r="T44" s="68"/>
      <c r="U44" s="68"/>
      <c r="W44" s="69"/>
    </row>
    <row r="45" s="17" customFormat="1" ht="25.5" customHeight="1" spans="4:21">
      <c r="D45" s="49"/>
      <c r="L45" s="47"/>
      <c r="M45" s="47"/>
      <c r="N45" s="47"/>
      <c r="O45" s="18"/>
      <c r="P45" s="18"/>
      <c r="R45" s="18"/>
      <c r="S45" s="18"/>
      <c r="T45" s="68"/>
      <c r="U45" s="68"/>
    </row>
    <row r="46" s="17" customFormat="1" ht="25.5" customHeight="1" spans="4:21">
      <c r="D46" s="49"/>
      <c r="L46" s="47"/>
      <c r="M46" s="47"/>
      <c r="O46" s="18"/>
      <c r="P46" s="18"/>
      <c r="T46" s="68"/>
      <c r="U46" s="68"/>
    </row>
    <row r="47" s="17" customFormat="1" ht="25.5" customHeight="1" spans="3:21">
      <c r="C47" s="49"/>
      <c r="L47" s="47"/>
      <c r="M47" s="47"/>
      <c r="T47" s="68"/>
      <c r="U47" s="68"/>
    </row>
    <row r="48" s="17" customFormat="1" ht="25.5" customHeight="1" spans="3:21">
      <c r="C48" s="49"/>
      <c r="L48" s="47"/>
      <c r="M48" s="47"/>
      <c r="T48" s="68"/>
      <c r="U48" s="68"/>
    </row>
    <row r="49" s="17" customFormat="1" ht="25.5" customHeight="1" spans="4:21">
      <c r="D49" s="49"/>
      <c r="L49" s="47"/>
      <c r="M49" s="47"/>
      <c r="O49" s="18"/>
      <c r="P49" s="18"/>
      <c r="T49" s="68"/>
      <c r="U49" s="68"/>
    </row>
    <row r="50" s="17" customFormat="1" ht="25.5" customHeight="1" spans="12:21">
      <c r="L50" s="47"/>
      <c r="M50" s="47"/>
      <c r="O50" s="18"/>
      <c r="P50" s="18"/>
      <c r="T50" s="68"/>
      <c r="U50" s="68"/>
    </row>
    <row r="51" s="17" customFormat="1" ht="25.5" customHeight="1" spans="1:25">
      <c r="A51" s="46"/>
      <c r="L51" s="47"/>
      <c r="M51" s="47"/>
      <c r="O51" s="18"/>
      <c r="P51" s="18"/>
      <c r="T51" s="68"/>
      <c r="U51" s="68"/>
      <c r="W51" s="61"/>
      <c r="Y51" s="61"/>
    </row>
    <row r="52" s="17" customFormat="1" ht="25.5" customHeight="1" spans="12:25">
      <c r="L52" s="47"/>
      <c r="M52" s="47"/>
      <c r="O52" s="18"/>
      <c r="P52" s="18"/>
      <c r="T52" s="68"/>
      <c r="U52" s="68"/>
      <c r="Y52" s="69"/>
    </row>
    <row r="53" s="17" customFormat="1" ht="25.5" customHeight="1" spans="12:21">
      <c r="L53" s="47"/>
      <c r="M53" s="47"/>
      <c r="O53" s="18"/>
      <c r="P53" s="18"/>
      <c r="T53" s="68"/>
      <c r="U53" s="68"/>
    </row>
    <row r="54" s="17" customFormat="1" ht="25.5" customHeight="1" spans="12:21">
      <c r="L54" s="47"/>
      <c r="M54" s="47"/>
      <c r="O54" s="18"/>
      <c r="P54" s="18"/>
      <c r="T54" s="68"/>
      <c r="U54" s="68"/>
    </row>
    <row r="55" s="17" customFormat="1" ht="25.5" customHeight="1" spans="12:21">
      <c r="L55" s="47"/>
      <c r="M55" s="47"/>
      <c r="O55" s="18"/>
      <c r="P55" s="18"/>
      <c r="T55" s="68"/>
      <c r="U55" s="68"/>
    </row>
    <row r="56" s="17" customFormat="1" ht="25.5" customHeight="1" spans="12:21">
      <c r="L56" s="47"/>
      <c r="M56" s="47"/>
      <c r="O56" s="18"/>
      <c r="P56" s="18"/>
      <c r="T56" s="68"/>
      <c r="U56" s="68"/>
    </row>
    <row r="57" s="17" customFormat="1" ht="25.5" customHeight="1" spans="12:21">
      <c r="L57" s="47"/>
      <c r="M57" s="47"/>
      <c r="O57" s="18"/>
      <c r="P57" s="18"/>
      <c r="T57" s="68"/>
      <c r="U57" s="68"/>
    </row>
    <row r="58" s="17" customFormat="1" ht="25.5" customHeight="1" spans="12:21">
      <c r="L58" s="47"/>
      <c r="M58" s="47"/>
      <c r="O58" s="18"/>
      <c r="P58" s="18"/>
      <c r="T58" s="68"/>
      <c r="U58" s="68"/>
    </row>
    <row r="59" s="17" customFormat="1" ht="25.5" customHeight="1" spans="12:21">
      <c r="L59" s="47"/>
      <c r="M59" s="47"/>
      <c r="O59" s="18"/>
      <c r="P59" s="18"/>
      <c r="T59" s="68"/>
      <c r="U59" s="68"/>
    </row>
    <row r="60" s="17" customFormat="1" ht="25.5" customHeight="1" spans="12:25">
      <c r="L60" s="47"/>
      <c r="M60" s="47"/>
      <c r="O60" s="18"/>
      <c r="P60" s="18"/>
      <c r="T60" s="68"/>
      <c r="U60" s="68"/>
      <c r="Y60" s="69"/>
    </row>
    <row r="61" s="17" customFormat="1" ht="25.5" customHeight="1" spans="12:21">
      <c r="L61" s="47"/>
      <c r="M61" s="47"/>
      <c r="O61" s="18"/>
      <c r="P61" s="18"/>
      <c r="T61" s="68"/>
      <c r="U61" s="68"/>
    </row>
    <row r="62" s="17" customFormat="1" ht="25.5" customHeight="1" spans="12:21">
      <c r="L62" s="47"/>
      <c r="M62" s="47"/>
      <c r="O62" s="18"/>
      <c r="P62" s="18"/>
      <c r="T62" s="68"/>
      <c r="U62" s="68"/>
    </row>
    <row r="63" s="17" customFormat="1" ht="25.5" customHeight="1" spans="12:21">
      <c r="L63" s="47"/>
      <c r="M63" s="47"/>
      <c r="O63" s="18"/>
      <c r="P63" s="18"/>
      <c r="T63" s="68"/>
      <c r="U63" s="68"/>
    </row>
    <row r="64" s="17" customFormat="1" ht="25.5" customHeight="1" spans="12:21">
      <c r="L64" s="47"/>
      <c r="M64" s="47"/>
      <c r="O64" s="18"/>
      <c r="P64" s="18"/>
      <c r="T64" s="68"/>
      <c r="U64" s="68"/>
    </row>
    <row r="65" s="17" customFormat="1" ht="25.5" customHeight="1" spans="12:21">
      <c r="L65" s="47"/>
      <c r="M65" s="47"/>
      <c r="O65" s="18"/>
      <c r="P65" s="18"/>
      <c r="T65" s="68"/>
      <c r="U65" s="68"/>
    </row>
    <row r="66" s="17" customFormat="1" ht="25.5" customHeight="1" spans="12:21">
      <c r="L66" s="47"/>
      <c r="M66" s="47"/>
      <c r="O66" s="18"/>
      <c r="P66" s="18"/>
      <c r="T66" s="68"/>
      <c r="U66" s="68"/>
    </row>
    <row r="67" s="17" customFormat="1" ht="25.5" customHeight="1" spans="12:21">
      <c r="L67" s="47"/>
      <c r="M67" s="47"/>
      <c r="O67" s="18"/>
      <c r="P67" s="18"/>
      <c r="T67" s="68"/>
      <c r="U67" s="68"/>
    </row>
    <row r="68" s="17" customFormat="1" ht="25.5" customHeight="1" spans="12:21">
      <c r="L68" s="47"/>
      <c r="M68" s="47"/>
      <c r="O68" s="18"/>
      <c r="P68" s="18"/>
      <c r="T68" s="68"/>
      <c r="U68" s="68"/>
    </row>
    <row r="69" s="17" customFormat="1" ht="25.5" customHeight="1" spans="12:21">
      <c r="L69" s="47"/>
      <c r="M69" s="47"/>
      <c r="O69" s="18"/>
      <c r="P69" s="18"/>
      <c r="T69" s="68"/>
      <c r="U69" s="68"/>
    </row>
    <row r="70" s="17" customFormat="1" ht="25.5" customHeight="1" spans="12:25">
      <c r="L70" s="47"/>
      <c r="M70" s="47"/>
      <c r="O70" s="18"/>
      <c r="P70" s="18"/>
      <c r="T70" s="68"/>
      <c r="U70" s="68"/>
      <c r="Y70" s="69"/>
    </row>
    <row r="71" s="17" customFormat="1" ht="25.5" customHeight="1" spans="12:21">
      <c r="L71" s="47"/>
      <c r="M71" s="47"/>
      <c r="O71" s="18"/>
      <c r="P71" s="18"/>
      <c r="T71" s="68"/>
      <c r="U71" s="68"/>
    </row>
    <row r="72" s="17" customFormat="1" ht="25.5" customHeight="1" spans="12:21">
      <c r="L72" s="47"/>
      <c r="M72" s="47"/>
      <c r="O72" s="18"/>
      <c r="P72" s="18"/>
      <c r="T72" s="68"/>
      <c r="U72" s="68"/>
    </row>
    <row r="73" s="17" customFormat="1" ht="25.5" customHeight="1" spans="12:21">
      <c r="L73" s="47"/>
      <c r="M73" s="47"/>
      <c r="O73" s="18"/>
      <c r="P73" s="18"/>
      <c r="T73" s="68"/>
      <c r="U73" s="68"/>
    </row>
    <row r="74" s="17" customFormat="1" ht="25.5" customHeight="1" spans="12:21">
      <c r="L74" s="47"/>
      <c r="M74" s="47"/>
      <c r="O74" s="18"/>
      <c r="P74" s="18"/>
      <c r="T74" s="68"/>
      <c r="U74" s="68"/>
    </row>
    <row r="75" s="17" customFormat="1" ht="25.5" customHeight="1" spans="12:21">
      <c r="L75" s="47"/>
      <c r="M75" s="47"/>
      <c r="O75" s="18"/>
      <c r="P75" s="18"/>
      <c r="T75" s="68"/>
      <c r="U75" s="68"/>
    </row>
    <row r="76" s="17" customFormat="1" ht="26.25" customHeight="1" spans="12:21">
      <c r="L76" s="47"/>
      <c r="M76" s="47"/>
      <c r="O76" s="18"/>
      <c r="P76" s="18"/>
      <c r="T76" s="68"/>
      <c r="U76" s="68"/>
    </row>
    <row r="77" s="17" customFormat="1" ht="26.25" customHeight="1" spans="12:21">
      <c r="L77" s="47"/>
      <c r="M77" s="47"/>
      <c r="O77" s="18"/>
      <c r="P77" s="18"/>
      <c r="T77" s="68"/>
      <c r="U77" s="68"/>
    </row>
    <row r="78" s="17" customFormat="1" ht="26.25" customHeight="1" spans="12:22">
      <c r="L78" s="47"/>
      <c r="M78" s="47"/>
      <c r="O78" s="18"/>
      <c r="P78" s="18"/>
      <c r="T78" s="68"/>
      <c r="U78" s="68"/>
      <c r="V78" s="70"/>
    </row>
    <row r="79" s="17" customFormat="1" ht="26.25" customHeight="1" spans="12:21">
      <c r="L79" s="47"/>
      <c r="M79" s="47"/>
      <c r="O79" s="18"/>
      <c r="P79" s="18"/>
      <c r="T79" s="68"/>
      <c r="U79" s="68"/>
    </row>
    <row r="80" s="17" customFormat="1" ht="26.25" customHeight="1" spans="12:21">
      <c r="L80" s="47"/>
      <c r="M80" s="47"/>
      <c r="O80" s="18"/>
      <c r="P80" s="18"/>
      <c r="T80" s="68"/>
      <c r="U80" s="68"/>
    </row>
    <row r="81" s="17" customFormat="1" ht="26.25" customHeight="1" spans="12:22">
      <c r="L81" s="47"/>
      <c r="M81" s="47"/>
      <c r="O81" s="18"/>
      <c r="P81" s="18"/>
      <c r="T81" s="68"/>
      <c r="U81" s="68"/>
      <c r="V81" s="70"/>
    </row>
    <row r="82" s="17" customFormat="1" ht="26.25" customHeight="1" spans="12:21">
      <c r="L82" s="47"/>
      <c r="M82" s="47"/>
      <c r="O82" s="18"/>
      <c r="P82" s="18"/>
      <c r="T82" s="68"/>
      <c r="U82" s="68"/>
    </row>
    <row r="83" s="17" customFormat="1" ht="26.25" customHeight="1" spans="12:21">
      <c r="L83" s="47"/>
      <c r="M83" s="47"/>
      <c r="O83" s="18"/>
      <c r="P83" s="18"/>
      <c r="T83" s="68"/>
      <c r="U83" s="68"/>
    </row>
    <row r="84" s="17" customFormat="1" ht="26.25" customHeight="1" spans="12:21">
      <c r="L84" s="47"/>
      <c r="M84" s="47"/>
      <c r="O84" s="18"/>
      <c r="P84" s="18"/>
      <c r="T84" s="68"/>
      <c r="U84" s="68"/>
    </row>
    <row r="85" s="17" customFormat="1" ht="26.25" customHeight="1" spans="12:21">
      <c r="L85" s="47"/>
      <c r="M85" s="47"/>
      <c r="O85" s="18"/>
      <c r="P85" s="18"/>
      <c r="T85" s="68"/>
      <c r="U85" s="68"/>
    </row>
    <row r="86" s="17" customFormat="1" ht="26.25" customHeight="1" spans="12:21">
      <c r="L86" s="47"/>
      <c r="M86" s="47"/>
      <c r="O86" s="18"/>
      <c r="P86" s="18"/>
      <c r="T86" s="68"/>
      <c r="U86" s="68"/>
    </row>
    <row r="87" s="17" customFormat="1" ht="26.25" customHeight="1" spans="12:22">
      <c r="L87" s="47"/>
      <c r="M87" s="47"/>
      <c r="O87" s="18"/>
      <c r="P87" s="18"/>
      <c r="T87" s="68"/>
      <c r="U87" s="68"/>
      <c r="V87" s="69"/>
    </row>
    <row r="88" s="17" customFormat="1" ht="26.25" customHeight="1" spans="12:21">
      <c r="L88" s="47"/>
      <c r="M88" s="47"/>
      <c r="O88" s="18"/>
      <c r="P88" s="18"/>
      <c r="T88" s="68"/>
      <c r="U88" s="68"/>
    </row>
    <row r="89" s="17" customFormat="1" ht="26.25" customHeight="1" spans="12:22">
      <c r="L89" s="47"/>
      <c r="M89" s="47"/>
      <c r="O89" s="18"/>
      <c r="P89" s="18"/>
      <c r="T89" s="68"/>
      <c r="U89" s="68"/>
      <c r="V89" s="69"/>
    </row>
    <row r="90" s="17" customFormat="1" ht="26.25" customHeight="1" spans="12:21">
      <c r="L90" s="47"/>
      <c r="M90" s="47"/>
      <c r="O90" s="18"/>
      <c r="P90" s="18"/>
      <c r="T90" s="68"/>
      <c r="U90" s="68"/>
    </row>
    <row r="91" s="17" customFormat="1" ht="26.25" customHeight="1" spans="12:21">
      <c r="L91" s="47"/>
      <c r="M91" s="47"/>
      <c r="O91" s="18"/>
      <c r="P91" s="18"/>
      <c r="T91" s="68"/>
      <c r="U91" s="68"/>
    </row>
    <row r="92" s="17" customFormat="1" ht="26.25" customHeight="1" spans="12:22">
      <c r="L92" s="47"/>
      <c r="M92" s="47"/>
      <c r="O92" s="18"/>
      <c r="P92" s="18"/>
      <c r="T92" s="68"/>
      <c r="U92" s="68"/>
      <c r="V92" s="69"/>
    </row>
    <row r="93" s="17" customFormat="1" ht="26.25" customHeight="1" spans="12:21">
      <c r="L93" s="47"/>
      <c r="M93" s="47"/>
      <c r="O93" s="18"/>
      <c r="P93" s="18"/>
      <c r="T93" s="68"/>
      <c r="U93" s="68"/>
    </row>
    <row r="94" s="17" customFormat="1" ht="26.25" customHeight="1" spans="12:21">
      <c r="L94" s="47"/>
      <c r="M94" s="47"/>
      <c r="O94" s="18"/>
      <c r="P94" s="18"/>
      <c r="T94" s="68"/>
      <c r="U94" s="68"/>
    </row>
    <row r="95" s="17" customFormat="1" ht="26.25" customHeight="1" spans="12:21">
      <c r="L95" s="47"/>
      <c r="M95" s="47"/>
      <c r="O95" s="18"/>
      <c r="P95" s="18"/>
      <c r="T95" s="68"/>
      <c r="U95" s="68"/>
    </row>
    <row r="96" s="17" customFormat="1" ht="26.25" customHeight="1" spans="12:21">
      <c r="L96" s="47"/>
      <c r="M96" s="47"/>
      <c r="O96" s="18"/>
      <c r="P96" s="18"/>
      <c r="T96" s="68"/>
      <c r="U96" s="68"/>
    </row>
    <row r="97" s="17" customFormat="1" ht="26.25" customHeight="1" spans="12:22">
      <c r="L97" s="47"/>
      <c r="M97" s="47"/>
      <c r="O97" s="18"/>
      <c r="P97" s="18"/>
      <c r="T97" s="68"/>
      <c r="U97" s="68"/>
      <c r="V97" s="69"/>
    </row>
    <row r="98" s="17" customFormat="1" ht="26.25" customHeight="1" spans="12:21">
      <c r="L98" s="47"/>
      <c r="M98" s="47"/>
      <c r="O98" s="18"/>
      <c r="P98" s="18"/>
      <c r="T98" s="68"/>
      <c r="U98" s="68"/>
    </row>
    <row r="99" s="17" customFormat="1" ht="26.25" customHeight="1" spans="12:21">
      <c r="L99" s="47"/>
      <c r="M99" s="47"/>
      <c r="O99" s="18"/>
      <c r="P99" s="18"/>
      <c r="T99" s="68"/>
      <c r="U99" s="68"/>
    </row>
    <row r="100" s="17" customFormat="1" ht="26.25" customHeight="1" spans="12:21">
      <c r="L100" s="47"/>
      <c r="M100" s="47"/>
      <c r="O100" s="18"/>
      <c r="P100" s="18"/>
      <c r="T100" s="68"/>
      <c r="U100" s="68"/>
    </row>
    <row r="101" s="17" customFormat="1" ht="26.25" customHeight="1" spans="12:21">
      <c r="L101" s="47"/>
      <c r="M101" s="47"/>
      <c r="O101" s="18"/>
      <c r="P101" s="18"/>
      <c r="T101" s="68"/>
      <c r="U101" s="68"/>
    </row>
    <row r="102" s="17" customFormat="1" ht="26.25" customHeight="1" spans="12:21">
      <c r="L102" s="47"/>
      <c r="M102" s="47"/>
      <c r="O102" s="18"/>
      <c r="P102" s="18"/>
      <c r="T102" s="68"/>
      <c r="U102" s="68"/>
    </row>
    <row r="103" s="17" customFormat="1" ht="26.25" customHeight="1" spans="12:21">
      <c r="L103" s="47"/>
      <c r="M103" s="47"/>
      <c r="O103" s="18"/>
      <c r="P103" s="18"/>
      <c r="T103" s="68"/>
      <c r="U103" s="68"/>
    </row>
    <row r="104" s="17" customFormat="1" ht="26.25" customHeight="1" spans="12:21">
      <c r="L104" s="47"/>
      <c r="M104" s="47"/>
      <c r="O104" s="18"/>
      <c r="P104" s="18"/>
      <c r="T104" s="68"/>
      <c r="U104" s="68"/>
    </row>
    <row r="105" s="17" customFormat="1" ht="26.25" customHeight="1" spans="12:21">
      <c r="L105" s="47"/>
      <c r="M105" s="47"/>
      <c r="O105" s="18"/>
      <c r="P105" s="18"/>
      <c r="T105" s="68"/>
      <c r="U105" s="68"/>
    </row>
    <row r="106" s="17" customFormat="1" ht="26.25" customHeight="1" spans="12:21">
      <c r="L106" s="47"/>
      <c r="M106" s="47"/>
      <c r="O106" s="18"/>
      <c r="P106" s="18"/>
      <c r="T106" s="68"/>
      <c r="U106" s="68"/>
    </row>
    <row r="107" s="17" customFormat="1" ht="26.25" customHeight="1" spans="12:21">
      <c r="L107" s="47"/>
      <c r="M107" s="47"/>
      <c r="O107" s="18"/>
      <c r="P107" s="18"/>
      <c r="T107" s="68"/>
      <c r="U107" s="68"/>
    </row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</sheetData>
  <sheetProtection formatCells="0" insertHyperlinks="0" autoFilter="0"/>
  <mergeCells count="20">
    <mergeCell ref="C4:I4"/>
    <mergeCell ref="J4:K4"/>
    <mergeCell ref="L4:Y4"/>
    <mergeCell ref="L5:P5"/>
    <mergeCell ref="Q5:R5"/>
    <mergeCell ref="S5:U5"/>
    <mergeCell ref="V5:W5"/>
    <mergeCell ref="X5:Y5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Y3"/>
  </mergeCells>
  <dataValidations count="1">
    <dataValidation allowBlank="1" showInputMessage="1" showErrorMessage="1" sqref="L4:M4 J30:J31 J33:J35 J104:J65572 K30:K35 K104:K1048576 C1:I35 C49:I1048576 C36:K48 J1:K29 J49:K103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showGridLines="0" topLeftCell="A24" workbookViewId="0">
      <selection activeCell="A1" sqref="A1:AA58"/>
    </sheetView>
  </sheetViews>
  <sheetFormatPr defaultColWidth="9" defaultRowHeight="14.25"/>
  <cols>
    <col min="1" max="1" width="11.625" style="17" customWidth="1"/>
    <col min="2" max="3" width="10.125" style="17" customWidth="1"/>
    <col min="4" max="4" width="10.125" style="18" customWidth="1"/>
    <col min="5" max="6" width="10.125" style="17" customWidth="1"/>
    <col min="7" max="7" width="10.75" style="18" customWidth="1"/>
    <col min="8" max="8" width="10.125" style="19" customWidth="1"/>
    <col min="9" max="9" width="10.125" style="18" customWidth="1"/>
    <col min="10" max="10" width="10.125" style="17" customWidth="1"/>
    <col min="11" max="11" width="10.125" style="19" customWidth="1"/>
    <col min="12" max="12" width="10.125" style="18" customWidth="1"/>
    <col min="13" max="13" width="10.125" style="19" customWidth="1"/>
    <col min="14" max="14" width="2.78333333333333" style="17" customWidth="1"/>
    <col min="15" max="15" width="11.625" style="17" customWidth="1"/>
    <col min="16" max="17" width="8.5" style="17" customWidth="1"/>
    <col min="18" max="18" width="8.5" style="18" customWidth="1"/>
    <col min="19" max="20" width="8.5" style="17" customWidth="1"/>
    <col min="21" max="21" width="11.375" style="18" customWidth="1"/>
    <col min="22" max="22" width="8.5" style="19" customWidth="1"/>
    <col min="23" max="23" width="8.5" style="18" customWidth="1"/>
    <col min="24" max="24" width="7.75" style="17" customWidth="1"/>
    <col min="25" max="25" width="7.5" style="19" customWidth="1"/>
    <col min="26" max="26" width="8.5" style="18" customWidth="1"/>
    <col min="27" max="27" width="8.5" style="19" customWidth="1"/>
    <col min="28" max="16384" width="9" style="17"/>
  </cols>
  <sheetData>
    <row r="1" s="17" customFormat="1" ht="44" customHeight="1" spans="1:27">
      <c r="A1" s="20" t="s">
        <v>177</v>
      </c>
      <c r="B1" s="20"/>
      <c r="C1" s="20"/>
      <c r="D1" s="21"/>
      <c r="E1" s="20"/>
      <c r="F1" s="20"/>
      <c r="G1" s="21"/>
      <c r="H1" s="22"/>
      <c r="I1" s="21"/>
      <c r="J1" s="20"/>
      <c r="K1" s="22"/>
      <c r="L1" s="21"/>
      <c r="M1" s="22"/>
      <c r="N1" s="20"/>
      <c r="O1" s="20"/>
      <c r="P1" s="20"/>
      <c r="Q1" s="20"/>
      <c r="R1" s="21"/>
      <c r="S1" s="20"/>
      <c r="T1" s="20"/>
      <c r="U1" s="21"/>
      <c r="V1" s="22"/>
      <c r="W1" s="21"/>
      <c r="X1" s="20"/>
      <c r="Y1" s="22"/>
      <c r="Z1" s="21"/>
      <c r="AA1" s="22"/>
    </row>
    <row r="2" s="17" customFormat="1" ht="9.75" customHeight="1" spans="1:27">
      <c r="A2" s="23"/>
      <c r="B2" s="23"/>
      <c r="C2" s="23"/>
      <c r="D2" s="24"/>
      <c r="E2" s="23"/>
      <c r="F2" s="23"/>
      <c r="G2" s="24"/>
      <c r="H2" s="25"/>
      <c r="I2" s="24"/>
      <c r="J2" s="23"/>
      <c r="K2" s="25"/>
      <c r="L2" s="24"/>
      <c r="M2" s="25"/>
      <c r="N2" s="23"/>
      <c r="O2" s="23"/>
      <c r="P2" s="23"/>
      <c r="Q2" s="23"/>
      <c r="R2" s="24"/>
      <c r="S2" s="23"/>
      <c r="T2" s="23"/>
      <c r="U2" s="24"/>
      <c r="V2" s="25"/>
      <c r="W2" s="24"/>
      <c r="X2" s="23"/>
      <c r="Y2" s="25"/>
      <c r="Z2" s="24"/>
      <c r="AA2" s="25"/>
    </row>
    <row r="3" s="17" customFormat="1" ht="30" customHeight="1" spans="1:27">
      <c r="A3" s="26" t="s">
        <v>178</v>
      </c>
      <c r="B3" s="26"/>
      <c r="C3" s="26"/>
      <c r="D3" s="27"/>
      <c r="E3" s="26"/>
      <c r="F3" s="26"/>
      <c r="G3" s="27"/>
      <c r="H3" s="28"/>
      <c r="I3" s="27"/>
      <c r="J3" s="26"/>
      <c r="K3" s="28"/>
      <c r="L3" s="27"/>
      <c r="M3" s="28"/>
      <c r="O3" s="26" t="s">
        <v>179</v>
      </c>
      <c r="P3" s="26"/>
      <c r="Q3" s="26"/>
      <c r="R3" s="27"/>
      <c r="S3" s="26"/>
      <c r="T3" s="26"/>
      <c r="U3" s="27"/>
      <c r="V3" s="28"/>
      <c r="W3" s="27"/>
      <c r="X3" s="26"/>
      <c r="Y3" s="28"/>
      <c r="Z3" s="27"/>
      <c r="AA3" s="28"/>
    </row>
    <row r="4" s="17" customFormat="1" ht="36" spans="1:27">
      <c r="A4" s="29" t="s">
        <v>180</v>
      </c>
      <c r="B4" s="29" t="s">
        <v>181</v>
      </c>
      <c r="C4" s="29" t="s">
        <v>182</v>
      </c>
      <c r="D4" s="30" t="s">
        <v>183</v>
      </c>
      <c r="E4" s="31" t="s">
        <v>184</v>
      </c>
      <c r="F4" s="31" t="s">
        <v>185</v>
      </c>
      <c r="G4" s="30" t="s">
        <v>186</v>
      </c>
      <c r="H4" s="32" t="s">
        <v>187</v>
      </c>
      <c r="I4" s="30" t="s">
        <v>188</v>
      </c>
      <c r="J4" s="31" t="s">
        <v>189</v>
      </c>
      <c r="K4" s="32" t="s">
        <v>190</v>
      </c>
      <c r="L4" s="30" t="s">
        <v>191</v>
      </c>
      <c r="M4" s="32" t="s">
        <v>192</v>
      </c>
      <c r="N4" s="38"/>
      <c r="O4" s="31" t="s">
        <v>180</v>
      </c>
      <c r="P4" s="29" t="s">
        <v>181</v>
      </c>
      <c r="Q4" s="31" t="s">
        <v>182</v>
      </c>
      <c r="R4" s="30" t="s">
        <v>183</v>
      </c>
      <c r="S4" s="31" t="s">
        <v>184</v>
      </c>
      <c r="T4" s="31" t="s">
        <v>185</v>
      </c>
      <c r="U4" s="30" t="s">
        <v>186</v>
      </c>
      <c r="V4" s="32" t="s">
        <v>187</v>
      </c>
      <c r="W4" s="30" t="s">
        <v>188</v>
      </c>
      <c r="X4" s="31" t="s">
        <v>189</v>
      </c>
      <c r="Y4" s="32" t="s">
        <v>190</v>
      </c>
      <c r="Z4" s="30" t="s">
        <v>191</v>
      </c>
      <c r="AA4" s="32" t="s">
        <v>192</v>
      </c>
    </row>
    <row r="5" s="17" customFormat="1" spans="1:27">
      <c r="A5" s="29"/>
      <c r="B5" s="29"/>
      <c r="C5" s="29"/>
      <c r="D5" s="33"/>
      <c r="E5" s="29"/>
      <c r="F5" s="29"/>
      <c r="G5" s="33"/>
      <c r="H5" s="34"/>
      <c r="I5" s="33"/>
      <c r="J5" s="29"/>
      <c r="K5" s="34"/>
      <c r="L5" s="33"/>
      <c r="M5" s="34"/>
      <c r="N5" s="38"/>
      <c r="O5" s="29"/>
      <c r="P5" s="29"/>
      <c r="Q5" s="29"/>
      <c r="R5" s="33"/>
      <c r="S5" s="29"/>
      <c r="T5" s="29"/>
      <c r="U5" s="33"/>
      <c r="V5" s="34"/>
      <c r="W5" s="33"/>
      <c r="X5" s="29"/>
      <c r="Y5" s="34"/>
      <c r="Z5" s="33"/>
      <c r="AA5" s="34">
        <f>IFERROR(R5/Z5,0)</f>
        <v>0</v>
      </c>
    </row>
    <row r="6" s="17" customFormat="1" spans="1:27">
      <c r="A6" s="29"/>
      <c r="B6" s="29"/>
      <c r="C6" s="29"/>
      <c r="D6" s="33"/>
      <c r="E6" s="29"/>
      <c r="F6" s="29"/>
      <c r="G6" s="33"/>
      <c r="H6" s="34"/>
      <c r="I6" s="33"/>
      <c r="J6" s="29"/>
      <c r="K6" s="34"/>
      <c r="L6" s="33"/>
      <c r="M6" s="34"/>
      <c r="N6" s="38"/>
      <c r="O6" s="29"/>
      <c r="P6" s="29"/>
      <c r="Q6" s="29"/>
      <c r="R6" s="33"/>
      <c r="S6" s="29"/>
      <c r="T6" s="29"/>
      <c r="U6" s="33"/>
      <c r="V6" s="34"/>
      <c r="W6" s="33"/>
      <c r="X6" s="29"/>
      <c r="Y6" s="34"/>
      <c r="Z6" s="33"/>
      <c r="AA6" s="34"/>
    </row>
    <row r="7" s="17" customFormat="1" spans="1:27">
      <c r="A7" s="29"/>
      <c r="B7" s="29"/>
      <c r="C7" s="29"/>
      <c r="D7" s="33"/>
      <c r="E7" s="29"/>
      <c r="F7" s="29"/>
      <c r="G7" s="33"/>
      <c r="H7" s="34"/>
      <c r="I7" s="33"/>
      <c r="J7" s="29"/>
      <c r="K7" s="34"/>
      <c r="L7" s="33"/>
      <c r="M7" s="34"/>
      <c r="N7" s="38"/>
      <c r="O7" s="29"/>
      <c r="P7" s="29"/>
      <c r="Q7" s="29"/>
      <c r="R7" s="33"/>
      <c r="S7" s="29"/>
      <c r="T7" s="29"/>
      <c r="U7" s="33"/>
      <c r="V7" s="34"/>
      <c r="W7" s="33"/>
      <c r="X7" s="29"/>
      <c r="Y7" s="34"/>
      <c r="Z7" s="33"/>
      <c r="AA7" s="34"/>
    </row>
    <row r="8" s="17" customFormat="1" spans="1:27">
      <c r="A8" s="29"/>
      <c r="B8" s="29"/>
      <c r="C8" s="29"/>
      <c r="D8" s="33"/>
      <c r="E8" s="29"/>
      <c r="F8" s="29"/>
      <c r="G8" s="33"/>
      <c r="H8" s="34"/>
      <c r="I8" s="33"/>
      <c r="J8" s="29"/>
      <c r="K8" s="34"/>
      <c r="L8" s="33"/>
      <c r="M8" s="34"/>
      <c r="N8" s="38"/>
      <c r="O8" s="29"/>
      <c r="P8" s="29"/>
      <c r="Q8" s="29"/>
      <c r="R8" s="33"/>
      <c r="S8" s="29"/>
      <c r="T8" s="29"/>
      <c r="U8" s="33"/>
      <c r="V8" s="34"/>
      <c r="W8" s="33"/>
      <c r="X8" s="29"/>
      <c r="Y8" s="34"/>
      <c r="Z8" s="33"/>
      <c r="AA8" s="34"/>
    </row>
    <row r="9" s="17" customFormat="1" spans="1:27">
      <c r="A9" s="29"/>
      <c r="B9" s="29"/>
      <c r="C9" s="29"/>
      <c r="D9" s="33"/>
      <c r="E9" s="29"/>
      <c r="F9" s="29"/>
      <c r="G9" s="33"/>
      <c r="H9" s="34"/>
      <c r="I9" s="33"/>
      <c r="J9" s="29"/>
      <c r="K9" s="34"/>
      <c r="L9" s="33"/>
      <c r="M9" s="34"/>
      <c r="N9" s="38"/>
      <c r="O9" s="29"/>
      <c r="P9" s="29"/>
      <c r="Q9" s="29"/>
      <c r="R9" s="33"/>
      <c r="S9" s="29"/>
      <c r="T9" s="29"/>
      <c r="U9" s="33"/>
      <c r="V9" s="34"/>
      <c r="W9" s="33"/>
      <c r="X9" s="29"/>
      <c r="Y9" s="34"/>
      <c r="Z9" s="33"/>
      <c r="AA9" s="34"/>
    </row>
    <row r="10" s="17" customFormat="1" spans="1:27">
      <c r="A10" s="29"/>
      <c r="B10" s="29"/>
      <c r="C10" s="29"/>
      <c r="D10" s="33"/>
      <c r="E10" s="29"/>
      <c r="F10" s="29"/>
      <c r="G10" s="33"/>
      <c r="H10" s="34"/>
      <c r="I10" s="33"/>
      <c r="J10" s="29"/>
      <c r="K10" s="34"/>
      <c r="L10" s="33"/>
      <c r="M10" s="34"/>
      <c r="N10" s="38"/>
      <c r="O10" s="29"/>
      <c r="P10" s="29"/>
      <c r="Q10" s="29"/>
      <c r="R10" s="33"/>
      <c r="S10" s="29"/>
      <c r="T10" s="29"/>
      <c r="U10" s="33"/>
      <c r="V10" s="34"/>
      <c r="W10" s="33"/>
      <c r="X10" s="29"/>
      <c r="Y10" s="34"/>
      <c r="Z10" s="33"/>
      <c r="AA10" s="34"/>
    </row>
    <row r="11" s="17" customFormat="1" spans="1:27">
      <c r="A11" s="29"/>
      <c r="B11" s="29"/>
      <c r="C11" s="29"/>
      <c r="D11" s="33"/>
      <c r="E11" s="29"/>
      <c r="F11" s="29"/>
      <c r="G11" s="33"/>
      <c r="H11" s="34"/>
      <c r="I11" s="33"/>
      <c r="J11" s="29"/>
      <c r="K11" s="34"/>
      <c r="L11" s="33"/>
      <c r="M11" s="34"/>
      <c r="N11" s="38"/>
      <c r="O11" s="29"/>
      <c r="P11" s="29"/>
      <c r="Q11" s="29"/>
      <c r="R11" s="33"/>
      <c r="S11" s="29"/>
      <c r="T11" s="29"/>
      <c r="U11" s="33"/>
      <c r="V11" s="34"/>
      <c r="W11" s="33"/>
      <c r="X11" s="29"/>
      <c r="Y11" s="34"/>
      <c r="Z11" s="33"/>
      <c r="AA11" s="34"/>
    </row>
    <row r="12" s="17" customFormat="1" spans="1:27">
      <c r="A12" s="29"/>
      <c r="B12" s="29"/>
      <c r="C12" s="29"/>
      <c r="D12" s="33"/>
      <c r="E12" s="29"/>
      <c r="F12" s="29"/>
      <c r="G12" s="33"/>
      <c r="H12" s="34"/>
      <c r="I12" s="33"/>
      <c r="J12" s="29"/>
      <c r="K12" s="34"/>
      <c r="L12" s="33"/>
      <c r="M12" s="34"/>
      <c r="N12" s="38"/>
      <c r="O12" s="29"/>
      <c r="P12" s="29"/>
      <c r="Q12" s="29"/>
      <c r="R12" s="33"/>
      <c r="S12" s="29"/>
      <c r="T12" s="29"/>
      <c r="U12" s="33"/>
      <c r="V12" s="34"/>
      <c r="W12" s="33"/>
      <c r="X12" s="29"/>
      <c r="Y12" s="34"/>
      <c r="Z12" s="33"/>
      <c r="AA12" s="34"/>
    </row>
    <row r="13" s="17" customFormat="1" spans="1:27">
      <c r="A13" s="29"/>
      <c r="B13" s="29"/>
      <c r="C13" s="29"/>
      <c r="D13" s="33"/>
      <c r="E13" s="29"/>
      <c r="F13" s="29"/>
      <c r="G13" s="33"/>
      <c r="H13" s="34"/>
      <c r="I13" s="33"/>
      <c r="J13" s="29"/>
      <c r="K13" s="34"/>
      <c r="L13" s="33"/>
      <c r="M13" s="34"/>
      <c r="N13" s="38"/>
      <c r="O13" s="29"/>
      <c r="P13" s="29"/>
      <c r="Q13" s="29"/>
      <c r="R13" s="33"/>
      <c r="S13" s="29"/>
      <c r="T13" s="29"/>
      <c r="U13" s="33"/>
      <c r="V13" s="34"/>
      <c r="W13" s="33"/>
      <c r="X13" s="29"/>
      <c r="Y13" s="34"/>
      <c r="Z13" s="33"/>
      <c r="AA13" s="34"/>
    </row>
    <row r="14" s="17" customFormat="1" spans="1:27">
      <c r="A14" s="29"/>
      <c r="B14" s="29"/>
      <c r="C14" s="29"/>
      <c r="D14" s="33"/>
      <c r="E14" s="29"/>
      <c r="F14" s="29"/>
      <c r="G14" s="33"/>
      <c r="H14" s="34"/>
      <c r="I14" s="33"/>
      <c r="J14" s="29"/>
      <c r="K14" s="34"/>
      <c r="L14" s="33"/>
      <c r="M14" s="34"/>
      <c r="N14" s="38"/>
      <c r="O14" s="29"/>
      <c r="P14" s="29"/>
      <c r="Q14" s="29"/>
      <c r="R14" s="33"/>
      <c r="S14" s="29"/>
      <c r="T14" s="29"/>
      <c r="U14" s="33"/>
      <c r="V14" s="34"/>
      <c r="W14" s="33"/>
      <c r="X14" s="29"/>
      <c r="Y14" s="34"/>
      <c r="Z14" s="33"/>
      <c r="AA14" s="34"/>
    </row>
    <row r="15" s="17" customFormat="1" spans="1:27">
      <c r="A15" s="29" t="s">
        <v>193</v>
      </c>
      <c r="B15" s="29"/>
      <c r="C15" s="29"/>
      <c r="D15" s="33"/>
      <c r="E15" s="29"/>
      <c r="F15" s="29"/>
      <c r="G15" s="33"/>
      <c r="H15" s="34"/>
      <c r="I15" s="33"/>
      <c r="J15" s="29"/>
      <c r="K15" s="34"/>
      <c r="L15" s="33"/>
      <c r="M15" s="34"/>
      <c r="N15" s="38"/>
      <c r="O15" s="29" t="s">
        <v>193</v>
      </c>
      <c r="P15" s="29"/>
      <c r="Q15" s="29"/>
      <c r="R15" s="33"/>
      <c r="S15" s="29"/>
      <c r="T15" s="29"/>
      <c r="U15" s="33"/>
      <c r="V15" s="34"/>
      <c r="W15" s="33"/>
      <c r="X15" s="29"/>
      <c r="Y15" s="34"/>
      <c r="Z15" s="33"/>
      <c r="AA15" s="34"/>
    </row>
    <row r="17" s="17" customFormat="1" ht="32" customHeight="1" spans="1:27">
      <c r="A17" s="26" t="s">
        <v>194</v>
      </c>
      <c r="B17" s="26"/>
      <c r="C17" s="26"/>
      <c r="D17" s="27"/>
      <c r="E17" s="26"/>
      <c r="F17" s="26"/>
      <c r="G17" s="27"/>
      <c r="H17" s="28"/>
      <c r="I17" s="27"/>
      <c r="J17" s="26"/>
      <c r="K17" s="28"/>
      <c r="L17" s="27"/>
      <c r="M17" s="28"/>
      <c r="O17" s="26" t="s">
        <v>195</v>
      </c>
      <c r="P17" s="26"/>
      <c r="Q17" s="26"/>
      <c r="R17" s="27"/>
      <c r="S17" s="26"/>
      <c r="T17" s="26"/>
      <c r="U17" s="27"/>
      <c r="V17" s="28"/>
      <c r="W17" s="27"/>
      <c r="X17" s="26"/>
      <c r="Y17" s="28"/>
      <c r="Z17" s="27"/>
      <c r="AA17" s="28"/>
    </row>
    <row r="18" s="17" customFormat="1" ht="36" spans="1:27">
      <c r="A18" s="29" t="s">
        <v>180</v>
      </c>
      <c r="B18" s="29" t="s">
        <v>181</v>
      </c>
      <c r="C18" s="29" t="s">
        <v>182</v>
      </c>
      <c r="D18" s="30" t="s">
        <v>183</v>
      </c>
      <c r="E18" s="31" t="s">
        <v>184</v>
      </c>
      <c r="F18" s="31" t="s">
        <v>185</v>
      </c>
      <c r="G18" s="30" t="s">
        <v>186</v>
      </c>
      <c r="H18" s="32" t="s">
        <v>187</v>
      </c>
      <c r="I18" s="30" t="s">
        <v>188</v>
      </c>
      <c r="J18" s="31" t="s">
        <v>189</v>
      </c>
      <c r="K18" s="32" t="s">
        <v>190</v>
      </c>
      <c r="L18" s="30" t="s">
        <v>191</v>
      </c>
      <c r="M18" s="32" t="s">
        <v>192</v>
      </c>
      <c r="N18" s="38"/>
      <c r="O18" s="31" t="s">
        <v>180</v>
      </c>
      <c r="P18" s="29" t="s">
        <v>181</v>
      </c>
      <c r="Q18" s="31" t="s">
        <v>182</v>
      </c>
      <c r="R18" s="30" t="s">
        <v>183</v>
      </c>
      <c r="S18" s="31" t="s">
        <v>184</v>
      </c>
      <c r="T18" s="31" t="s">
        <v>185</v>
      </c>
      <c r="U18" s="30" t="s">
        <v>186</v>
      </c>
      <c r="V18" s="32" t="s">
        <v>187</v>
      </c>
      <c r="W18" s="30" t="s">
        <v>188</v>
      </c>
      <c r="X18" s="31" t="s">
        <v>189</v>
      </c>
      <c r="Y18" s="32" t="s">
        <v>190</v>
      </c>
      <c r="Z18" s="30" t="s">
        <v>191</v>
      </c>
      <c r="AA18" s="32" t="s">
        <v>192</v>
      </c>
    </row>
    <row r="19" s="17" customFormat="1" spans="1:27">
      <c r="A19" s="29"/>
      <c r="B19" s="29"/>
      <c r="C19" s="29"/>
      <c r="D19" s="33"/>
      <c r="E19" s="29"/>
      <c r="F19" s="29"/>
      <c r="G19" s="33"/>
      <c r="H19" s="34"/>
      <c r="I19" s="33"/>
      <c r="J19" s="29"/>
      <c r="K19" s="34"/>
      <c r="L19" s="33"/>
      <c r="M19" s="34"/>
      <c r="N19" s="38"/>
      <c r="O19" s="29"/>
      <c r="P19" s="29"/>
      <c r="Q19" s="29"/>
      <c r="R19" s="33"/>
      <c r="S19" s="29"/>
      <c r="T19" s="29"/>
      <c r="U19" s="33"/>
      <c r="V19" s="34"/>
      <c r="W19" s="33"/>
      <c r="X19" s="29"/>
      <c r="Y19" s="34"/>
      <c r="Z19" s="33"/>
      <c r="AA19" s="34"/>
    </row>
    <row r="20" s="17" customFormat="1" spans="1:27">
      <c r="A20" s="29"/>
      <c r="B20" s="29"/>
      <c r="C20" s="29"/>
      <c r="D20" s="33"/>
      <c r="E20" s="29"/>
      <c r="F20" s="29"/>
      <c r="G20" s="33"/>
      <c r="H20" s="34"/>
      <c r="I20" s="33"/>
      <c r="J20" s="29"/>
      <c r="K20" s="34"/>
      <c r="L20" s="33"/>
      <c r="M20" s="34"/>
      <c r="N20" s="38"/>
      <c r="O20" s="29"/>
      <c r="P20" s="29"/>
      <c r="Q20" s="29"/>
      <c r="R20" s="33"/>
      <c r="S20" s="29"/>
      <c r="T20" s="29"/>
      <c r="U20" s="33"/>
      <c r="V20" s="34"/>
      <c r="W20" s="33"/>
      <c r="X20" s="29"/>
      <c r="Y20" s="34"/>
      <c r="Z20" s="33"/>
      <c r="AA20" s="34"/>
    </row>
    <row r="21" s="17" customFormat="1" spans="1:27">
      <c r="A21" s="29"/>
      <c r="B21" s="29"/>
      <c r="C21" s="29"/>
      <c r="D21" s="33"/>
      <c r="E21" s="29"/>
      <c r="F21" s="29"/>
      <c r="G21" s="33"/>
      <c r="H21" s="34"/>
      <c r="I21" s="33"/>
      <c r="J21" s="29"/>
      <c r="K21" s="34"/>
      <c r="L21" s="33"/>
      <c r="M21" s="34"/>
      <c r="N21" s="38"/>
      <c r="O21" s="29"/>
      <c r="P21" s="29"/>
      <c r="Q21" s="29"/>
      <c r="R21" s="33"/>
      <c r="S21" s="29"/>
      <c r="T21" s="29"/>
      <c r="U21" s="33"/>
      <c r="V21" s="34"/>
      <c r="W21" s="33"/>
      <c r="X21" s="29"/>
      <c r="Y21" s="34"/>
      <c r="Z21" s="33"/>
      <c r="AA21" s="34"/>
    </row>
    <row r="22" s="17" customFormat="1" spans="1:27">
      <c r="A22" s="29"/>
      <c r="B22" s="29"/>
      <c r="C22" s="29"/>
      <c r="D22" s="33"/>
      <c r="E22" s="29"/>
      <c r="F22" s="29"/>
      <c r="G22" s="33"/>
      <c r="H22" s="34"/>
      <c r="I22" s="33"/>
      <c r="J22" s="29"/>
      <c r="K22" s="34"/>
      <c r="L22" s="33"/>
      <c r="M22" s="34"/>
      <c r="N22" s="38"/>
      <c r="O22" s="29"/>
      <c r="P22" s="29"/>
      <c r="Q22" s="29"/>
      <c r="R22" s="33"/>
      <c r="S22" s="29"/>
      <c r="T22" s="29"/>
      <c r="U22" s="33"/>
      <c r="V22" s="34"/>
      <c r="W22" s="33"/>
      <c r="X22" s="29"/>
      <c r="Y22" s="34"/>
      <c r="Z22" s="33"/>
      <c r="AA22" s="34"/>
    </row>
    <row r="23" s="17" customFormat="1" spans="1:27">
      <c r="A23" s="29"/>
      <c r="B23" s="29"/>
      <c r="C23" s="29"/>
      <c r="D23" s="33"/>
      <c r="E23" s="29"/>
      <c r="F23" s="29"/>
      <c r="G23" s="33"/>
      <c r="H23" s="34"/>
      <c r="I23" s="33"/>
      <c r="J23" s="29"/>
      <c r="K23" s="34"/>
      <c r="L23" s="33"/>
      <c r="M23" s="34"/>
      <c r="N23" s="38"/>
      <c r="O23" s="29"/>
      <c r="P23" s="29"/>
      <c r="Q23" s="29"/>
      <c r="R23" s="33"/>
      <c r="S23" s="29"/>
      <c r="T23" s="29"/>
      <c r="U23" s="33"/>
      <c r="V23" s="34"/>
      <c r="W23" s="33"/>
      <c r="X23" s="29"/>
      <c r="Y23" s="34"/>
      <c r="Z23" s="33"/>
      <c r="AA23" s="34"/>
    </row>
    <row r="24" s="17" customFormat="1" spans="1:27">
      <c r="A24" s="29"/>
      <c r="B24" s="29"/>
      <c r="C24" s="29"/>
      <c r="D24" s="33"/>
      <c r="E24" s="29"/>
      <c r="F24" s="29"/>
      <c r="G24" s="33"/>
      <c r="H24" s="34"/>
      <c r="I24" s="33"/>
      <c r="J24" s="29"/>
      <c r="K24" s="34"/>
      <c r="L24" s="33"/>
      <c r="M24" s="34"/>
      <c r="N24" s="38"/>
      <c r="O24" s="29"/>
      <c r="P24" s="29"/>
      <c r="Q24" s="29"/>
      <c r="R24" s="33"/>
      <c r="S24" s="29"/>
      <c r="T24" s="29"/>
      <c r="U24" s="33"/>
      <c r="V24" s="34"/>
      <c r="W24" s="33"/>
      <c r="X24" s="29"/>
      <c r="Y24" s="34"/>
      <c r="Z24" s="33"/>
      <c r="AA24" s="34"/>
    </row>
    <row r="25" s="17" customFormat="1" spans="1:27">
      <c r="A25" s="29"/>
      <c r="B25" s="29"/>
      <c r="C25" s="29"/>
      <c r="D25" s="33"/>
      <c r="E25" s="29"/>
      <c r="F25" s="29"/>
      <c r="G25" s="33"/>
      <c r="H25" s="34"/>
      <c r="I25" s="33"/>
      <c r="J25" s="29"/>
      <c r="K25" s="34"/>
      <c r="L25" s="33"/>
      <c r="M25" s="34"/>
      <c r="N25" s="38"/>
      <c r="O25" s="29"/>
      <c r="P25" s="29"/>
      <c r="Q25" s="29"/>
      <c r="R25" s="33"/>
      <c r="S25" s="29"/>
      <c r="T25" s="29"/>
      <c r="U25" s="33"/>
      <c r="V25" s="34"/>
      <c r="W25" s="33"/>
      <c r="X25" s="29"/>
      <c r="Y25" s="34"/>
      <c r="Z25" s="33"/>
      <c r="AA25" s="34"/>
    </row>
    <row r="26" s="17" customFormat="1" spans="1:27">
      <c r="A26" s="29"/>
      <c r="B26" s="29"/>
      <c r="C26" s="29"/>
      <c r="D26" s="33"/>
      <c r="E26" s="29"/>
      <c r="F26" s="29"/>
      <c r="G26" s="33"/>
      <c r="H26" s="34"/>
      <c r="I26" s="33"/>
      <c r="J26" s="29"/>
      <c r="K26" s="34"/>
      <c r="L26" s="33"/>
      <c r="M26" s="34"/>
      <c r="N26" s="38"/>
      <c r="O26" s="29"/>
      <c r="P26" s="29"/>
      <c r="Q26" s="29"/>
      <c r="R26" s="33"/>
      <c r="S26" s="29"/>
      <c r="T26" s="29"/>
      <c r="U26" s="33"/>
      <c r="V26" s="34"/>
      <c r="W26" s="33"/>
      <c r="X26" s="29"/>
      <c r="Y26" s="34"/>
      <c r="Z26" s="33"/>
      <c r="AA26" s="34"/>
    </row>
    <row r="27" s="17" customFormat="1" spans="1:27">
      <c r="A27" s="29"/>
      <c r="B27" s="29"/>
      <c r="C27" s="29"/>
      <c r="D27" s="33"/>
      <c r="E27" s="29"/>
      <c r="F27" s="29"/>
      <c r="G27" s="33"/>
      <c r="H27" s="34"/>
      <c r="I27" s="33"/>
      <c r="J27" s="29"/>
      <c r="K27" s="34"/>
      <c r="L27" s="33"/>
      <c r="M27" s="34"/>
      <c r="N27" s="38"/>
      <c r="O27" s="29"/>
      <c r="P27" s="29"/>
      <c r="Q27" s="29"/>
      <c r="R27" s="33"/>
      <c r="S27" s="29"/>
      <c r="T27" s="29"/>
      <c r="U27" s="33"/>
      <c r="V27" s="34"/>
      <c r="W27" s="33"/>
      <c r="X27" s="29"/>
      <c r="Y27" s="34"/>
      <c r="Z27" s="33"/>
      <c r="AA27" s="34"/>
    </row>
    <row r="28" s="17" customFormat="1" spans="1:27">
      <c r="A28" s="29"/>
      <c r="B28" s="29"/>
      <c r="C28" s="29"/>
      <c r="D28" s="33"/>
      <c r="E28" s="29"/>
      <c r="F28" s="29"/>
      <c r="G28" s="33"/>
      <c r="H28" s="34"/>
      <c r="I28" s="33"/>
      <c r="J28" s="29"/>
      <c r="K28" s="34"/>
      <c r="L28" s="33"/>
      <c r="M28" s="34"/>
      <c r="N28" s="38"/>
      <c r="O28" s="29"/>
      <c r="P28" s="29"/>
      <c r="Q28" s="29"/>
      <c r="R28" s="33"/>
      <c r="S28" s="29"/>
      <c r="T28" s="29"/>
      <c r="U28" s="33"/>
      <c r="V28" s="34"/>
      <c r="W28" s="33"/>
      <c r="X28" s="29"/>
      <c r="Y28" s="34"/>
      <c r="Z28" s="33"/>
      <c r="AA28" s="34"/>
    </row>
    <row r="29" s="17" customFormat="1" spans="1:27">
      <c r="A29" s="29" t="s">
        <v>193</v>
      </c>
      <c r="B29" s="29"/>
      <c r="C29" s="29"/>
      <c r="D29" s="33"/>
      <c r="E29" s="29"/>
      <c r="F29" s="29"/>
      <c r="G29" s="33"/>
      <c r="H29" s="34"/>
      <c r="I29" s="33"/>
      <c r="J29" s="29"/>
      <c r="K29" s="34"/>
      <c r="L29" s="33"/>
      <c r="M29" s="34"/>
      <c r="N29" s="38"/>
      <c r="O29" s="29" t="s">
        <v>193</v>
      </c>
      <c r="P29" s="29"/>
      <c r="Q29" s="29"/>
      <c r="R29" s="33"/>
      <c r="S29" s="29"/>
      <c r="T29" s="29"/>
      <c r="U29" s="33"/>
      <c r="V29" s="34"/>
      <c r="W29" s="33"/>
      <c r="X29" s="29"/>
      <c r="Y29" s="34"/>
      <c r="Z29" s="33"/>
      <c r="AA29" s="34"/>
    </row>
    <row r="31" s="17" customFormat="1" ht="24.75" customHeight="1" spans="1:27">
      <c r="A31" s="35" t="s">
        <v>196</v>
      </c>
      <c r="B31" s="35"/>
      <c r="C31" s="35"/>
      <c r="D31" s="36"/>
      <c r="E31" s="35"/>
      <c r="F31" s="35"/>
      <c r="G31" s="36"/>
      <c r="H31" s="37"/>
      <c r="I31" s="36"/>
      <c r="J31" s="35"/>
      <c r="K31" s="37"/>
      <c r="L31" s="36"/>
      <c r="M31" s="37"/>
      <c r="N31" s="35"/>
      <c r="O31" s="35"/>
      <c r="P31" s="35"/>
      <c r="Q31" s="35"/>
      <c r="R31" s="36"/>
      <c r="S31" s="35"/>
      <c r="T31" s="35"/>
      <c r="U31" s="36"/>
      <c r="V31" s="37"/>
      <c r="W31" s="36"/>
      <c r="X31" s="35"/>
      <c r="Y31" s="37"/>
      <c r="Z31" s="36"/>
      <c r="AA31" s="37"/>
    </row>
    <row r="32" s="17" customFormat="1" ht="27" customHeight="1" spans="1:27">
      <c r="A32" s="26" t="s">
        <v>197</v>
      </c>
      <c r="B32" s="26"/>
      <c r="C32" s="26"/>
      <c r="D32" s="27"/>
      <c r="E32" s="26"/>
      <c r="F32" s="26"/>
      <c r="G32" s="27"/>
      <c r="H32" s="28"/>
      <c r="I32" s="27"/>
      <c r="J32" s="26"/>
      <c r="K32" s="28"/>
      <c r="L32" s="27"/>
      <c r="M32" s="28"/>
      <c r="O32" s="26" t="s">
        <v>198</v>
      </c>
      <c r="P32" s="26"/>
      <c r="Q32" s="26"/>
      <c r="R32" s="27"/>
      <c r="S32" s="26"/>
      <c r="T32" s="26"/>
      <c r="U32" s="27"/>
      <c r="V32" s="28"/>
      <c r="W32" s="27"/>
      <c r="X32" s="26"/>
      <c r="Y32" s="28"/>
      <c r="Z32" s="27"/>
      <c r="AA32" s="28"/>
    </row>
    <row r="33" s="17" customFormat="1" ht="36" spans="1:27">
      <c r="A33" s="29" t="s">
        <v>180</v>
      </c>
      <c r="B33" s="29" t="s">
        <v>181</v>
      </c>
      <c r="C33" s="29" t="s">
        <v>182</v>
      </c>
      <c r="D33" s="30" t="s">
        <v>183</v>
      </c>
      <c r="E33" s="31" t="s">
        <v>184</v>
      </c>
      <c r="F33" s="31" t="s">
        <v>185</v>
      </c>
      <c r="G33" s="30" t="s">
        <v>186</v>
      </c>
      <c r="H33" s="32" t="s">
        <v>187</v>
      </c>
      <c r="I33" s="30" t="s">
        <v>188</v>
      </c>
      <c r="J33" s="31" t="s">
        <v>189</v>
      </c>
      <c r="K33" s="32" t="s">
        <v>190</v>
      </c>
      <c r="L33" s="30" t="s">
        <v>191</v>
      </c>
      <c r="M33" s="32" t="s">
        <v>192</v>
      </c>
      <c r="N33" s="38"/>
      <c r="O33" s="31" t="s">
        <v>180</v>
      </c>
      <c r="P33" s="29" t="s">
        <v>181</v>
      </c>
      <c r="Q33" s="31" t="s">
        <v>182</v>
      </c>
      <c r="R33" s="30" t="s">
        <v>183</v>
      </c>
      <c r="S33" s="31" t="s">
        <v>184</v>
      </c>
      <c r="T33" s="31" t="s">
        <v>185</v>
      </c>
      <c r="U33" s="30" t="s">
        <v>186</v>
      </c>
      <c r="V33" s="32" t="s">
        <v>187</v>
      </c>
      <c r="W33" s="30" t="s">
        <v>188</v>
      </c>
      <c r="X33" s="31" t="s">
        <v>189</v>
      </c>
      <c r="Y33" s="32" t="s">
        <v>190</v>
      </c>
      <c r="Z33" s="30" t="s">
        <v>191</v>
      </c>
      <c r="AA33" s="32" t="s">
        <v>192</v>
      </c>
    </row>
    <row r="34" s="17" customFormat="1" spans="1:27">
      <c r="A34" s="29"/>
      <c r="B34" s="29"/>
      <c r="C34" s="29"/>
      <c r="D34" s="33"/>
      <c r="E34" s="29"/>
      <c r="F34" s="29"/>
      <c r="G34" s="33"/>
      <c r="H34" s="34"/>
      <c r="I34" s="33"/>
      <c r="J34" s="29"/>
      <c r="K34" s="34"/>
      <c r="L34" s="33"/>
      <c r="M34" s="34"/>
      <c r="N34" s="38"/>
      <c r="O34" s="29"/>
      <c r="P34" s="29"/>
      <c r="Q34" s="29"/>
      <c r="R34" s="33"/>
      <c r="S34" s="29"/>
      <c r="T34" s="29"/>
      <c r="U34" s="33"/>
      <c r="V34" s="34"/>
      <c r="W34" s="33"/>
      <c r="X34" s="29"/>
      <c r="Y34" s="34"/>
      <c r="Z34" s="33"/>
      <c r="AA34" s="34"/>
    </row>
    <row r="35" s="17" customFormat="1" spans="1:27">
      <c r="A35" s="29"/>
      <c r="B35" s="29"/>
      <c r="C35" s="29"/>
      <c r="D35" s="33"/>
      <c r="E35" s="29"/>
      <c r="F35" s="29"/>
      <c r="G35" s="33"/>
      <c r="H35" s="34"/>
      <c r="I35" s="33"/>
      <c r="J35" s="29"/>
      <c r="K35" s="34"/>
      <c r="L35" s="33"/>
      <c r="M35" s="34"/>
      <c r="N35" s="38"/>
      <c r="O35" s="29"/>
      <c r="P35" s="29"/>
      <c r="Q35" s="29"/>
      <c r="R35" s="33"/>
      <c r="S35" s="29"/>
      <c r="T35" s="29"/>
      <c r="U35" s="33"/>
      <c r="V35" s="34"/>
      <c r="W35" s="33"/>
      <c r="X35" s="29"/>
      <c r="Y35" s="34"/>
      <c r="Z35" s="33"/>
      <c r="AA35" s="34"/>
    </row>
    <row r="36" s="17" customFormat="1" spans="1:27">
      <c r="A36" s="29"/>
      <c r="B36" s="29"/>
      <c r="C36" s="29"/>
      <c r="D36" s="33"/>
      <c r="E36" s="29"/>
      <c r="F36" s="29"/>
      <c r="G36" s="33"/>
      <c r="H36" s="34"/>
      <c r="I36" s="33"/>
      <c r="J36" s="29"/>
      <c r="K36" s="34"/>
      <c r="L36" s="33"/>
      <c r="M36" s="34"/>
      <c r="N36" s="38"/>
      <c r="O36" s="29"/>
      <c r="P36" s="29"/>
      <c r="Q36" s="29"/>
      <c r="R36" s="33"/>
      <c r="S36" s="29"/>
      <c r="T36" s="29"/>
      <c r="U36" s="33"/>
      <c r="V36" s="34"/>
      <c r="W36" s="33"/>
      <c r="X36" s="29"/>
      <c r="Y36" s="34"/>
      <c r="Z36" s="33"/>
      <c r="AA36" s="34"/>
    </row>
    <row r="37" s="17" customFormat="1" spans="1:27">
      <c r="A37" s="29"/>
      <c r="B37" s="29"/>
      <c r="C37" s="29"/>
      <c r="D37" s="33"/>
      <c r="E37" s="29"/>
      <c r="F37" s="29"/>
      <c r="G37" s="33"/>
      <c r="H37" s="34"/>
      <c r="I37" s="33"/>
      <c r="J37" s="29"/>
      <c r="K37" s="34"/>
      <c r="L37" s="33"/>
      <c r="M37" s="34"/>
      <c r="N37" s="38"/>
      <c r="O37" s="29"/>
      <c r="P37" s="29"/>
      <c r="Q37" s="29"/>
      <c r="R37" s="33"/>
      <c r="S37" s="29"/>
      <c r="T37" s="29"/>
      <c r="U37" s="33"/>
      <c r="V37" s="34"/>
      <c r="W37" s="33"/>
      <c r="X37" s="29"/>
      <c r="Y37" s="34"/>
      <c r="Z37" s="33"/>
      <c r="AA37" s="34"/>
    </row>
    <row r="38" s="17" customFormat="1" spans="1:27">
      <c r="A38" s="29"/>
      <c r="B38" s="29"/>
      <c r="C38" s="29"/>
      <c r="D38" s="33"/>
      <c r="E38" s="29"/>
      <c r="F38" s="29"/>
      <c r="G38" s="33"/>
      <c r="H38" s="34"/>
      <c r="I38" s="33"/>
      <c r="J38" s="29"/>
      <c r="K38" s="34"/>
      <c r="L38" s="33"/>
      <c r="M38" s="34"/>
      <c r="N38" s="38"/>
      <c r="O38" s="29"/>
      <c r="P38" s="29"/>
      <c r="Q38" s="29"/>
      <c r="R38" s="33"/>
      <c r="S38" s="29"/>
      <c r="T38" s="29"/>
      <c r="U38" s="33"/>
      <c r="V38" s="34"/>
      <c r="W38" s="33"/>
      <c r="X38" s="29"/>
      <c r="Y38" s="34"/>
      <c r="Z38" s="33"/>
      <c r="AA38" s="34"/>
    </row>
    <row r="39" s="17" customFormat="1" spans="1:27">
      <c r="A39" s="29"/>
      <c r="B39" s="29"/>
      <c r="C39" s="29"/>
      <c r="D39" s="33"/>
      <c r="E39" s="29"/>
      <c r="F39" s="29"/>
      <c r="G39" s="33"/>
      <c r="H39" s="34"/>
      <c r="I39" s="33"/>
      <c r="J39" s="29"/>
      <c r="K39" s="34"/>
      <c r="L39" s="33"/>
      <c r="M39" s="34"/>
      <c r="N39" s="38"/>
      <c r="O39" s="29"/>
      <c r="P39" s="29"/>
      <c r="Q39" s="29"/>
      <c r="R39" s="33"/>
      <c r="S39" s="29"/>
      <c r="T39" s="29"/>
      <c r="U39" s="33"/>
      <c r="V39" s="34"/>
      <c r="W39" s="33"/>
      <c r="X39" s="29"/>
      <c r="Y39" s="34"/>
      <c r="Z39" s="33"/>
      <c r="AA39" s="34"/>
    </row>
    <row r="40" s="17" customFormat="1" spans="1:27">
      <c r="A40" s="29"/>
      <c r="B40" s="29"/>
      <c r="C40" s="29"/>
      <c r="D40" s="33"/>
      <c r="E40" s="29"/>
      <c r="F40" s="29"/>
      <c r="G40" s="33"/>
      <c r="H40" s="34"/>
      <c r="I40" s="33"/>
      <c r="J40" s="29"/>
      <c r="K40" s="34"/>
      <c r="L40" s="33"/>
      <c r="M40" s="34"/>
      <c r="N40" s="38"/>
      <c r="O40" s="29"/>
      <c r="P40" s="29"/>
      <c r="Q40" s="29"/>
      <c r="R40" s="33"/>
      <c r="S40" s="29"/>
      <c r="T40" s="29"/>
      <c r="U40" s="33"/>
      <c r="V40" s="34"/>
      <c r="W40" s="33"/>
      <c r="X40" s="29"/>
      <c r="Y40" s="34"/>
      <c r="Z40" s="33"/>
      <c r="AA40" s="34"/>
    </row>
    <row r="41" s="17" customFormat="1" spans="1:27">
      <c r="A41" s="29"/>
      <c r="B41" s="29"/>
      <c r="C41" s="29"/>
      <c r="D41" s="33"/>
      <c r="E41" s="29"/>
      <c r="F41" s="29"/>
      <c r="G41" s="33"/>
      <c r="H41" s="34"/>
      <c r="I41" s="33"/>
      <c r="J41" s="29"/>
      <c r="K41" s="34"/>
      <c r="L41" s="33"/>
      <c r="M41" s="34"/>
      <c r="N41" s="38"/>
      <c r="O41" s="29"/>
      <c r="P41" s="29"/>
      <c r="Q41" s="29"/>
      <c r="R41" s="33"/>
      <c r="S41" s="29"/>
      <c r="T41" s="29"/>
      <c r="U41" s="33"/>
      <c r="V41" s="34"/>
      <c r="W41" s="33"/>
      <c r="X41" s="29"/>
      <c r="Y41" s="34"/>
      <c r="Z41" s="33"/>
      <c r="AA41" s="34"/>
    </row>
    <row r="42" s="17" customFormat="1" spans="1:27">
      <c r="A42" s="29"/>
      <c r="B42" s="29"/>
      <c r="C42" s="29"/>
      <c r="D42" s="33"/>
      <c r="E42" s="29"/>
      <c r="F42" s="29"/>
      <c r="G42" s="33"/>
      <c r="H42" s="34"/>
      <c r="I42" s="33"/>
      <c r="J42" s="29"/>
      <c r="K42" s="34"/>
      <c r="L42" s="33"/>
      <c r="M42" s="34"/>
      <c r="N42" s="38"/>
      <c r="O42" s="29"/>
      <c r="P42" s="29"/>
      <c r="Q42" s="29"/>
      <c r="R42" s="33"/>
      <c r="S42" s="29"/>
      <c r="T42" s="29"/>
      <c r="U42" s="33"/>
      <c r="V42" s="34"/>
      <c r="W42" s="33"/>
      <c r="X42" s="29"/>
      <c r="Y42" s="34"/>
      <c r="Z42" s="33"/>
      <c r="AA42" s="34"/>
    </row>
    <row r="43" s="17" customFormat="1" spans="1:27">
      <c r="A43" s="29"/>
      <c r="B43" s="29"/>
      <c r="C43" s="29"/>
      <c r="D43" s="33"/>
      <c r="E43" s="29"/>
      <c r="F43" s="29"/>
      <c r="G43" s="33"/>
      <c r="H43" s="34"/>
      <c r="I43" s="33"/>
      <c r="J43" s="29"/>
      <c r="K43" s="34"/>
      <c r="L43" s="33"/>
      <c r="M43" s="34"/>
      <c r="N43" s="38"/>
      <c r="O43" s="29"/>
      <c r="P43" s="29"/>
      <c r="Q43" s="29"/>
      <c r="R43" s="33"/>
      <c r="S43" s="29"/>
      <c r="T43" s="29"/>
      <c r="U43" s="33"/>
      <c r="V43" s="34"/>
      <c r="W43" s="33"/>
      <c r="X43" s="29"/>
      <c r="Y43" s="34"/>
      <c r="Z43" s="33"/>
      <c r="AA43" s="34"/>
    </row>
    <row r="44" s="17" customFormat="1" spans="1:27">
      <c r="A44" s="29" t="s">
        <v>193</v>
      </c>
      <c r="B44" s="29"/>
      <c r="C44" s="29"/>
      <c r="D44" s="33"/>
      <c r="E44" s="29"/>
      <c r="F44" s="29"/>
      <c r="G44" s="33"/>
      <c r="H44" s="34"/>
      <c r="I44" s="33"/>
      <c r="J44" s="29"/>
      <c r="K44" s="34"/>
      <c r="L44" s="33"/>
      <c r="M44" s="34"/>
      <c r="N44" s="38"/>
      <c r="O44" s="29" t="s">
        <v>193</v>
      </c>
      <c r="P44" s="29"/>
      <c r="Q44" s="29"/>
      <c r="R44" s="33"/>
      <c r="S44" s="29"/>
      <c r="T44" s="29"/>
      <c r="U44" s="33"/>
      <c r="V44" s="34"/>
      <c r="W44" s="33"/>
      <c r="X44" s="29"/>
      <c r="Y44" s="34"/>
      <c r="Z44" s="33"/>
      <c r="AA44" s="34"/>
    </row>
    <row r="46" s="17" customFormat="1" ht="27" customHeight="1" spans="1:27">
      <c r="A46" s="26" t="s">
        <v>199</v>
      </c>
      <c r="B46" s="26"/>
      <c r="C46" s="26"/>
      <c r="D46" s="27"/>
      <c r="E46" s="26"/>
      <c r="F46" s="26"/>
      <c r="G46" s="27"/>
      <c r="H46" s="28"/>
      <c r="I46" s="27"/>
      <c r="J46" s="26"/>
      <c r="K46" s="28"/>
      <c r="L46" s="27"/>
      <c r="M46" s="28"/>
      <c r="R46" s="18"/>
      <c r="U46" s="18"/>
      <c r="V46" s="19"/>
      <c r="W46" s="18"/>
      <c r="Y46" s="19"/>
      <c r="Z46" s="18"/>
      <c r="AA46" s="19"/>
    </row>
    <row r="47" s="17" customFormat="1" ht="24" spans="1:27">
      <c r="A47" s="29" t="s">
        <v>180</v>
      </c>
      <c r="B47" s="29" t="s">
        <v>181</v>
      </c>
      <c r="C47" s="29" t="s">
        <v>182</v>
      </c>
      <c r="D47" s="30" t="s">
        <v>183</v>
      </c>
      <c r="E47" s="31" t="s">
        <v>184</v>
      </c>
      <c r="F47" s="31" t="s">
        <v>185</v>
      </c>
      <c r="G47" s="30" t="s">
        <v>186</v>
      </c>
      <c r="H47" s="32" t="s">
        <v>187</v>
      </c>
      <c r="I47" s="30" t="s">
        <v>188</v>
      </c>
      <c r="J47" s="31" t="s">
        <v>189</v>
      </c>
      <c r="K47" s="32" t="s">
        <v>190</v>
      </c>
      <c r="L47" s="30" t="s">
        <v>191</v>
      </c>
      <c r="M47" s="32" t="s">
        <v>192</v>
      </c>
      <c r="R47" s="18"/>
      <c r="U47" s="18"/>
      <c r="V47" s="19"/>
      <c r="W47" s="18"/>
      <c r="Y47" s="19"/>
      <c r="Z47" s="18"/>
      <c r="AA47" s="19"/>
    </row>
    <row r="48" s="17" customFormat="1" spans="1:27">
      <c r="A48" s="29"/>
      <c r="B48" s="29"/>
      <c r="C48" s="29"/>
      <c r="D48" s="33"/>
      <c r="E48" s="29"/>
      <c r="F48" s="29"/>
      <c r="G48" s="33"/>
      <c r="H48" s="34"/>
      <c r="I48" s="33"/>
      <c r="J48" s="29"/>
      <c r="K48" s="34"/>
      <c r="L48" s="33"/>
      <c r="M48" s="34"/>
      <c r="R48" s="18"/>
      <c r="U48" s="18"/>
      <c r="V48" s="19"/>
      <c r="W48" s="18"/>
      <c r="Y48" s="19"/>
      <c r="Z48" s="18"/>
      <c r="AA48" s="19"/>
    </row>
    <row r="49" s="17" customFormat="1" spans="1:27">
      <c r="A49" s="29"/>
      <c r="B49" s="29"/>
      <c r="C49" s="29"/>
      <c r="D49" s="33"/>
      <c r="E49" s="29"/>
      <c r="F49" s="29"/>
      <c r="G49" s="33"/>
      <c r="H49" s="34"/>
      <c r="I49" s="33"/>
      <c r="J49" s="29"/>
      <c r="K49" s="34"/>
      <c r="L49" s="33"/>
      <c r="M49" s="34"/>
      <c r="R49" s="18"/>
      <c r="U49" s="18"/>
      <c r="V49" s="19"/>
      <c r="W49" s="18"/>
      <c r="Y49" s="19"/>
      <c r="Z49" s="18"/>
      <c r="AA49" s="19"/>
    </row>
    <row r="50" s="17" customFormat="1" spans="1:27">
      <c r="A50" s="29"/>
      <c r="B50" s="29"/>
      <c r="C50" s="29"/>
      <c r="D50" s="33"/>
      <c r="E50" s="29"/>
      <c r="F50" s="29"/>
      <c r="G50" s="33"/>
      <c r="H50" s="34"/>
      <c r="I50" s="33"/>
      <c r="J50" s="29"/>
      <c r="K50" s="34"/>
      <c r="L50" s="33"/>
      <c r="M50" s="34"/>
      <c r="R50" s="18"/>
      <c r="U50" s="18"/>
      <c r="V50" s="19"/>
      <c r="W50" s="18"/>
      <c r="Y50" s="19"/>
      <c r="Z50" s="18"/>
      <c r="AA50" s="19"/>
    </row>
    <row r="51" s="17" customFormat="1" spans="1:27">
      <c r="A51" s="29"/>
      <c r="B51" s="29"/>
      <c r="C51" s="29"/>
      <c r="D51" s="33"/>
      <c r="E51" s="29"/>
      <c r="F51" s="29"/>
      <c r="G51" s="33"/>
      <c r="H51" s="34"/>
      <c r="I51" s="33"/>
      <c r="J51" s="29"/>
      <c r="K51" s="34"/>
      <c r="L51" s="33"/>
      <c r="M51" s="34"/>
      <c r="R51" s="18"/>
      <c r="U51" s="18"/>
      <c r="V51" s="19"/>
      <c r="W51" s="18"/>
      <c r="Y51" s="19"/>
      <c r="Z51" s="18"/>
      <c r="AA51" s="19"/>
    </row>
    <row r="52" s="17" customFormat="1" spans="1:27">
      <c r="A52" s="29"/>
      <c r="B52" s="29"/>
      <c r="C52" s="29"/>
      <c r="D52" s="33"/>
      <c r="E52" s="29"/>
      <c r="F52" s="29"/>
      <c r="G52" s="33"/>
      <c r="H52" s="34"/>
      <c r="I52" s="33"/>
      <c r="J52" s="29"/>
      <c r="K52" s="34"/>
      <c r="L52" s="33"/>
      <c r="M52" s="34"/>
      <c r="R52" s="18"/>
      <c r="U52" s="18"/>
      <c r="V52" s="19"/>
      <c r="W52" s="18"/>
      <c r="Y52" s="19"/>
      <c r="Z52" s="18"/>
      <c r="AA52" s="19"/>
    </row>
    <row r="53" s="17" customFormat="1" spans="1:27">
      <c r="A53" s="29"/>
      <c r="B53" s="29"/>
      <c r="C53" s="29"/>
      <c r="D53" s="33"/>
      <c r="E53" s="29"/>
      <c r="F53" s="29"/>
      <c r="G53" s="33"/>
      <c r="H53" s="34"/>
      <c r="I53" s="33"/>
      <c r="J53" s="29"/>
      <c r="K53" s="34"/>
      <c r="L53" s="33"/>
      <c r="M53" s="34"/>
      <c r="R53" s="18"/>
      <c r="U53" s="18"/>
      <c r="V53" s="19"/>
      <c r="W53" s="18"/>
      <c r="Y53" s="19"/>
      <c r="Z53" s="18"/>
      <c r="AA53" s="19"/>
    </row>
    <row r="54" s="17" customFormat="1" spans="1:27">
      <c r="A54" s="29"/>
      <c r="B54" s="29"/>
      <c r="C54" s="29"/>
      <c r="D54" s="33"/>
      <c r="E54" s="29"/>
      <c r="F54" s="29"/>
      <c r="G54" s="33"/>
      <c r="H54" s="34"/>
      <c r="I54" s="33"/>
      <c r="J54" s="29"/>
      <c r="K54" s="34"/>
      <c r="L54" s="33"/>
      <c r="M54" s="34"/>
      <c r="R54" s="18"/>
      <c r="U54" s="18"/>
      <c r="V54" s="19"/>
      <c r="W54" s="18"/>
      <c r="Y54" s="19"/>
      <c r="Z54" s="18"/>
      <c r="AA54" s="19"/>
    </row>
    <row r="55" s="17" customFormat="1" spans="1:27">
      <c r="A55" s="29"/>
      <c r="B55" s="29"/>
      <c r="C55" s="29"/>
      <c r="D55" s="33"/>
      <c r="E55" s="29"/>
      <c r="F55" s="29"/>
      <c r="G55" s="33"/>
      <c r="H55" s="34"/>
      <c r="I55" s="33"/>
      <c r="J55" s="29"/>
      <c r="K55" s="34"/>
      <c r="L55" s="33"/>
      <c r="M55" s="34"/>
      <c r="R55" s="18"/>
      <c r="U55" s="18"/>
      <c r="V55" s="19"/>
      <c r="W55" s="18"/>
      <c r="Y55" s="19"/>
      <c r="Z55" s="18"/>
      <c r="AA55" s="19"/>
    </row>
    <row r="56" s="17" customFormat="1" spans="1:27">
      <c r="A56" s="29"/>
      <c r="B56" s="29"/>
      <c r="C56" s="29"/>
      <c r="D56" s="33"/>
      <c r="E56" s="29"/>
      <c r="F56" s="29"/>
      <c r="G56" s="33"/>
      <c r="H56" s="34"/>
      <c r="I56" s="33"/>
      <c r="J56" s="29"/>
      <c r="K56" s="34"/>
      <c r="L56" s="33"/>
      <c r="M56" s="34"/>
      <c r="R56" s="18"/>
      <c r="U56" s="18"/>
      <c r="V56" s="19"/>
      <c r="W56" s="18"/>
      <c r="Y56" s="19"/>
      <c r="Z56" s="18"/>
      <c r="AA56" s="19"/>
    </row>
    <row r="57" s="17" customFormat="1" spans="1:27">
      <c r="A57" s="29"/>
      <c r="B57" s="29"/>
      <c r="C57" s="29"/>
      <c r="D57" s="33"/>
      <c r="E57" s="29"/>
      <c r="F57" s="29"/>
      <c r="G57" s="33"/>
      <c r="H57" s="34"/>
      <c r="I57" s="33"/>
      <c r="J57" s="29"/>
      <c r="K57" s="34"/>
      <c r="L57" s="33"/>
      <c r="M57" s="34"/>
      <c r="R57" s="18"/>
      <c r="U57" s="18"/>
      <c r="V57" s="19"/>
      <c r="W57" s="18"/>
      <c r="Y57" s="19"/>
      <c r="Z57" s="18"/>
      <c r="AA57" s="19"/>
    </row>
    <row r="58" s="17" customFormat="1" spans="1:27">
      <c r="A58" s="29" t="s">
        <v>193</v>
      </c>
      <c r="B58" s="29"/>
      <c r="C58" s="29"/>
      <c r="D58" s="33"/>
      <c r="E58" s="29"/>
      <c r="F58" s="29"/>
      <c r="G58" s="33"/>
      <c r="H58" s="34"/>
      <c r="I58" s="33"/>
      <c r="J58" s="29"/>
      <c r="K58" s="34"/>
      <c r="L58" s="33"/>
      <c r="M58" s="34"/>
      <c r="R58" s="18"/>
      <c r="U58" s="18"/>
      <c r="V58" s="19"/>
      <c r="W58" s="18"/>
      <c r="Y58" s="19"/>
      <c r="Z58" s="18"/>
      <c r="AA58" s="19"/>
    </row>
  </sheetData>
  <sheetProtection formatCells="0" insertHyperlinks="0" autoFilter="0"/>
  <mergeCells count="9">
    <mergeCell ref="A1:AA1"/>
    <mergeCell ref="A3:M3"/>
    <mergeCell ref="O3:AA3"/>
    <mergeCell ref="A17:M17"/>
    <mergeCell ref="O17:AA17"/>
    <mergeCell ref="A31:AA31"/>
    <mergeCell ref="A32:M32"/>
    <mergeCell ref="O32:AA32"/>
    <mergeCell ref="A46:M4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D1" workbookViewId="0">
      <selection activeCell="I39" sqref="I39"/>
    </sheetView>
  </sheetViews>
  <sheetFormatPr defaultColWidth="9" defaultRowHeight="14.25" outlineLevelRow="5"/>
  <cols>
    <col min="1" max="1" width="10.375" style="7"/>
    <col min="2" max="2" width="29.875" style="7" customWidth="1"/>
    <col min="3" max="3" width="20.875" style="7" customWidth="1"/>
    <col min="4" max="4" width="18.625" style="7" customWidth="1"/>
    <col min="5" max="5" width="16.875" style="7" customWidth="1"/>
    <col min="6" max="6" width="31.5" style="7" customWidth="1"/>
    <col min="7" max="7" width="7.125" style="8" customWidth="1"/>
    <col min="8" max="8" width="31.875" style="7" customWidth="1"/>
    <col min="9" max="9" width="25" style="7" customWidth="1"/>
    <col min="10" max="10" width="19.125" style="7" customWidth="1"/>
    <col min="11" max="11" width="17.25" style="7" customWidth="1"/>
    <col min="12" max="13" width="14.375" style="7" customWidth="1"/>
    <col min="14" max="14" width="17.125" style="7" customWidth="1"/>
    <col min="15" max="15" width="5.625" style="7" customWidth="1"/>
    <col min="16" max="16384" width="9" style="7"/>
  </cols>
  <sheetData>
    <row r="1" ht="48" customHeight="1" spans="1:15">
      <c r="A1" s="9" t="s">
        <v>200</v>
      </c>
      <c r="B1" s="10" t="s">
        <v>201</v>
      </c>
      <c r="C1" s="11" t="s">
        <v>202</v>
      </c>
      <c r="D1" s="11" t="s">
        <v>203</v>
      </c>
      <c r="E1" s="11" t="s">
        <v>204</v>
      </c>
      <c r="F1" s="11" t="s">
        <v>205</v>
      </c>
      <c r="G1" s="12" t="s">
        <v>206</v>
      </c>
      <c r="H1" s="13" t="s">
        <v>207</v>
      </c>
      <c r="I1" s="13" t="s">
        <v>208</v>
      </c>
      <c r="J1" s="13" t="s">
        <v>209</v>
      </c>
      <c r="K1" s="13" t="s">
        <v>210</v>
      </c>
      <c r="L1" s="13" t="s">
        <v>211</v>
      </c>
      <c r="M1" s="13" t="s">
        <v>212</v>
      </c>
      <c r="N1" s="13" t="s">
        <v>213</v>
      </c>
      <c r="O1" s="13" t="s">
        <v>214</v>
      </c>
    </row>
    <row r="2" ht="27" customHeight="1" spans="3:15">
      <c r="C2" s="14"/>
      <c r="D2" s="14"/>
      <c r="E2" s="14"/>
      <c r="F2" s="15"/>
      <c r="G2" s="16"/>
      <c r="H2" s="14"/>
      <c r="I2" s="14"/>
      <c r="J2" s="14"/>
      <c r="K2" s="14"/>
      <c r="L2" s="14"/>
      <c r="M2" s="14"/>
      <c r="N2" s="14"/>
      <c r="O2" s="14"/>
    </row>
    <row r="3" spans="3:15">
      <c r="C3" s="14"/>
      <c r="D3" s="14"/>
      <c r="E3" s="14"/>
      <c r="F3" s="14"/>
      <c r="G3" s="16"/>
      <c r="H3" s="14"/>
      <c r="I3" s="14"/>
      <c r="J3" s="14"/>
      <c r="K3" s="14"/>
      <c r="L3" s="14"/>
      <c r="M3" s="14"/>
      <c r="N3" s="14"/>
      <c r="O3" s="14"/>
    </row>
    <row r="4" spans="3:15">
      <c r="C4" s="14"/>
      <c r="D4" s="14"/>
      <c r="E4" s="14"/>
      <c r="F4" s="14"/>
      <c r="G4" s="16"/>
      <c r="H4" s="14"/>
      <c r="I4" s="14"/>
      <c r="J4" s="14"/>
      <c r="K4" s="14"/>
      <c r="L4" s="14"/>
      <c r="M4" s="14"/>
      <c r="N4" s="14"/>
      <c r="O4" s="14"/>
    </row>
    <row r="5" spans="3:15">
      <c r="C5" s="14"/>
      <c r="D5" s="14"/>
      <c r="E5" s="14"/>
      <c r="F5" s="14"/>
      <c r="G5" s="16"/>
      <c r="H5" s="14"/>
      <c r="I5" s="14"/>
      <c r="J5" s="14"/>
      <c r="K5" s="14"/>
      <c r="L5" s="14"/>
      <c r="M5" s="14"/>
      <c r="N5" s="14"/>
      <c r="O5" s="14"/>
    </row>
    <row r="6" spans="3:15">
      <c r="C6" s="14"/>
      <c r="D6" s="14"/>
      <c r="E6" s="14"/>
      <c r="F6" s="14"/>
      <c r="G6" s="16"/>
      <c r="H6" s="14"/>
      <c r="I6" s="14"/>
      <c r="J6" s="14"/>
      <c r="K6" s="14"/>
      <c r="L6" s="14"/>
      <c r="M6" s="14"/>
      <c r="N6" s="14"/>
      <c r="O6" s="14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opLeftCell="C1" workbookViewId="0">
      <selection activeCell="A1" sqref="A1:S7"/>
    </sheetView>
  </sheetViews>
  <sheetFormatPr defaultColWidth="9" defaultRowHeight="14.25" outlineLevelRow="6"/>
  <cols>
    <col min="1" max="1" width="28.75" style="1" customWidth="1"/>
    <col min="2" max="16" width="9" style="1"/>
    <col min="17" max="17" width="7.5" style="1" customWidth="1"/>
    <col min="18" max="25" width="10.875" style="1" customWidth="1"/>
    <col min="26" max="16384" width="9" style="1"/>
  </cols>
  <sheetData>
    <row r="1" ht="26.25" customHeight="1" spans="1:30">
      <c r="A1" s="2" t="s">
        <v>215</v>
      </c>
      <c r="B1" s="2" t="s">
        <v>216</v>
      </c>
      <c r="C1" s="3">
        <v>44593</v>
      </c>
      <c r="D1" s="3">
        <v>44594</v>
      </c>
      <c r="E1" s="3">
        <v>44595</v>
      </c>
      <c r="F1" s="3">
        <v>44596</v>
      </c>
      <c r="G1" s="3">
        <v>44597</v>
      </c>
      <c r="H1" s="3">
        <v>44598</v>
      </c>
      <c r="I1" s="3">
        <v>44599</v>
      </c>
      <c r="J1" s="3">
        <v>44600</v>
      </c>
      <c r="K1" s="3">
        <v>44601</v>
      </c>
      <c r="L1" s="3">
        <v>44602</v>
      </c>
      <c r="M1" s="3">
        <v>44603</v>
      </c>
      <c r="N1" s="3">
        <v>44604</v>
      </c>
      <c r="O1" s="3">
        <v>44605</v>
      </c>
      <c r="P1" s="3">
        <v>44606</v>
      </c>
      <c r="Q1" s="3">
        <v>44607</v>
      </c>
      <c r="R1" s="3">
        <v>44608</v>
      </c>
      <c r="S1" s="3">
        <v>44609</v>
      </c>
      <c r="T1" s="3">
        <v>44610</v>
      </c>
      <c r="U1" s="3">
        <v>44611</v>
      </c>
      <c r="V1" s="3">
        <v>44612</v>
      </c>
      <c r="W1" s="3">
        <v>44613</v>
      </c>
      <c r="X1" s="3">
        <v>44614</v>
      </c>
      <c r="Y1" s="3">
        <v>44615</v>
      </c>
      <c r="Z1" s="3">
        <v>44616</v>
      </c>
      <c r="AA1" s="3">
        <v>44617</v>
      </c>
      <c r="AB1" s="3">
        <v>44618</v>
      </c>
      <c r="AC1" s="3">
        <v>44619</v>
      </c>
      <c r="AD1" s="3">
        <v>44620</v>
      </c>
    </row>
    <row r="2" ht="26.25" customHeight="1" spans="1:30">
      <c r="A2" s="4"/>
      <c r="B2" s="4" t="s">
        <v>217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6.25" customHeight="1" spans="1:30">
      <c r="A3" s="4"/>
      <c r="B3" s="4" t="s">
        <v>218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6.25" customHeight="1" spans="1:30">
      <c r="A4" s="5"/>
      <c r="B4" s="5" t="s">
        <v>217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26.25" customHeight="1" spans="1:30">
      <c r="A5" s="5"/>
      <c r="B5" s="5" t="s">
        <v>218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26.25" customHeight="1" spans="1:30">
      <c r="A6" s="6"/>
      <c r="B6" s="6" t="s">
        <v>217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6.25" customHeight="1" spans="1:30">
      <c r="A7" s="6"/>
      <c r="B7" s="6" t="s">
        <v>218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sheetProtection formatCells="0" insertHyperlinks="0" autoFilter="0"/>
  <mergeCells count="3">
    <mergeCell ref="A2:A3"/>
    <mergeCell ref="A4:A5"/>
    <mergeCell ref="A6:A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运营总表</vt:lpstr>
      <vt:lpstr>推广计划</vt:lpstr>
      <vt:lpstr>推广记录表</vt:lpstr>
      <vt:lpstr>广告预算计算</vt:lpstr>
      <vt:lpstr>广告竞价计算</vt:lpstr>
      <vt:lpstr>广告调整记录</vt:lpstr>
      <vt:lpstr>广告周数据和月数据</vt:lpstr>
      <vt:lpstr>刷单留评记录表</vt:lpstr>
      <vt:lpstr>关键词位置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小虎牙</cp:lastModifiedBy>
  <dcterms:created xsi:type="dcterms:W3CDTF">2021-11-20T11:39:00Z</dcterms:created>
  <dcterms:modified xsi:type="dcterms:W3CDTF">2024-12-27T10:53:34Z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03C14A58CC5C42BAB4D19930E96602C5_13</vt:lpwstr>
  </property>
  <property fmtid="{D5CDD505-2E9C-101B-9397-08002B2CF9AE}" pid="3" name="KSOProductBuildVer">
    <vt:lpwstr>2052-12.1.0.19302</vt:lpwstr>
  </property>
</Properties>
</file>