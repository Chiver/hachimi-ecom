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M3" i="1"/>
  <c r="N3" i="1"/>
</calcChain>
</file>

<file path=xl/sharedStrings.xml><?xml version="1.0" encoding="utf-8"?>
<sst xmlns="http://schemas.openxmlformats.org/spreadsheetml/2006/main" count="17" uniqueCount="17">
  <si>
    <t>利润=（售价+运费—佣金）*汇率-成本-头程-运输-其他                  p`=m/C=m/(c+v)=利润÷收入（营收）×100%=利润率</t>
  </si>
  <si>
    <t>产品ASIN</t>
  </si>
  <si>
    <t>产品名称</t>
  </si>
  <si>
    <t>销售账号</t>
  </si>
  <si>
    <r>
      <rPr>
        <sz val="10"/>
        <rFont val="宋体"/>
        <family val="3"/>
        <charset val="134"/>
      </rPr>
      <t>总销售额</t>
    </r>
    <r>
      <rPr>
        <sz val="10"/>
        <rFont val="Calibri"/>
        <family val="2"/>
      </rPr>
      <t xml:space="preserve">
(USD)</t>
    </r>
  </si>
  <si>
    <t>汇率</t>
  </si>
  <si>
    <r>
      <rPr>
        <sz val="10"/>
        <rFont val="宋体"/>
        <family val="3"/>
        <charset val="134"/>
      </rPr>
      <t>产品成本</t>
    </r>
    <r>
      <rPr>
        <sz val="10"/>
        <rFont val="Calibri"/>
        <family val="2"/>
      </rPr>
      <t xml:space="preserve">
(</t>
    </r>
    <r>
      <rPr>
        <sz val="10"/>
        <rFont val="宋体"/>
        <family val="3"/>
        <charset val="134"/>
      </rPr>
      <t>元</t>
    </r>
    <r>
      <rPr>
        <sz val="10"/>
        <rFont val="Calibri"/>
        <family val="2"/>
      </rPr>
      <t>)</t>
    </r>
  </si>
  <si>
    <r>
      <rPr>
        <sz val="10"/>
        <rFont val="宋体"/>
        <family val="3"/>
        <charset val="134"/>
      </rPr>
      <t>平台佣金</t>
    </r>
    <r>
      <rPr>
        <sz val="10"/>
        <rFont val="Calibri"/>
        <family val="2"/>
      </rPr>
      <t xml:space="preserve">
(</t>
    </r>
    <r>
      <rPr>
        <sz val="10"/>
        <rFont val="宋体"/>
        <family val="3"/>
        <charset val="134"/>
      </rPr>
      <t>元</t>
    </r>
    <r>
      <rPr>
        <sz val="10"/>
        <rFont val="Calibri"/>
        <family val="2"/>
      </rPr>
      <t>)</t>
    </r>
  </si>
  <si>
    <t>国内配送费分摊
(元)</t>
  </si>
  <si>
    <r>
      <rPr>
        <sz val="10"/>
        <color theme="1"/>
        <rFont val="Calibri"/>
        <family val="2"/>
      </rPr>
      <t>FBA</t>
    </r>
    <r>
      <rPr>
        <sz val="10"/>
        <color theme="1"/>
        <rFont val="宋体"/>
        <family val="3"/>
        <charset val="134"/>
      </rPr>
      <t>头程运输成本</t>
    </r>
    <r>
      <rPr>
        <sz val="10"/>
        <color theme="1"/>
        <rFont val="Calibri"/>
        <family val="2"/>
      </rPr>
      <t xml:space="preserve">
(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Calibri"/>
        <family val="2"/>
      </rPr>
      <t>)</t>
    </r>
  </si>
  <si>
    <t>仓储费</t>
  </si>
  <si>
    <t>退费(元)</t>
  </si>
  <si>
    <t>其他费用(元)</t>
  </si>
  <si>
    <t>毛利润(元)</t>
  </si>
  <si>
    <t>利润率</t>
  </si>
  <si>
    <t>无线充电器</t>
  </si>
  <si>
    <t>MeillyDE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</si>
</sst>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Calibri"/>
      <family val="2"/>
    </font>
    <font>
      <b/>
      <sz val="10"/>
      <color rgb="FFFF000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0"/>
      <name val="Calibri"/>
      <family val="2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</xdr:row>
      <xdr:rowOff>200025</xdr:rowOff>
    </xdr:from>
    <xdr:to>
      <xdr:col>8</xdr:col>
      <xdr:colOff>1143000</xdr:colOff>
      <xdr:row>36</xdr:row>
      <xdr:rowOff>107950</xdr:rowOff>
    </xdr:to>
    <xdr:pic>
      <xdr:nvPicPr>
        <xdr:cNvPr id="2" name="图片 1" descr="9898458413152552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46835"/>
          <a:ext cx="10058400" cy="807656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36</xdr:row>
      <xdr:rowOff>3175</xdr:rowOff>
    </xdr:from>
    <xdr:to>
      <xdr:col>8</xdr:col>
      <xdr:colOff>1143000</xdr:colOff>
      <xdr:row>67</xdr:row>
      <xdr:rowOff>45085</xdr:rowOff>
    </xdr:to>
    <xdr:pic>
      <xdr:nvPicPr>
        <xdr:cNvPr id="3" name="图片 2" descr="44391273886200252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9318625"/>
          <a:ext cx="10058400" cy="795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pane ySplit="2" topLeftCell="A3" activePane="bottomLeft" state="frozen"/>
      <selection pane="bottomLeft" activeCell="J9" sqref="J9"/>
    </sheetView>
  </sheetViews>
  <sheetFormatPr baseColWidth="10" defaultColWidth="15.6640625" defaultRowHeight="20" customHeight="1" x14ac:dyDescent="0"/>
  <cols>
    <col min="1" max="3" width="15.6640625" style="2" customWidth="1"/>
    <col min="4" max="4" width="11.1640625" style="2" customWidth="1"/>
    <col min="5" max="5" width="10.5" style="2" customWidth="1"/>
    <col min="6" max="7" width="15.6640625" style="2" customWidth="1"/>
    <col min="8" max="8" width="17.1640625" style="2" customWidth="1"/>
    <col min="9" max="9" width="15.6640625" style="2" customWidth="1"/>
    <col min="10" max="16384" width="15.6640625" style="2"/>
  </cols>
  <sheetData>
    <row r="1" spans="1:14" ht="20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" customFormat="1" ht="30" customHeight="1">
      <c r="A2" s="1" t="s">
        <v>1</v>
      </c>
      <c r="B2" s="1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5" t="s">
        <v>8</v>
      </c>
      <c r="I2" s="7" t="s">
        <v>9</v>
      </c>
      <c r="J2" s="4" t="s">
        <v>10</v>
      </c>
      <c r="K2" s="1" t="s">
        <v>11</v>
      </c>
      <c r="L2" s="1" t="s">
        <v>12</v>
      </c>
      <c r="M2" s="8" t="s">
        <v>13</v>
      </c>
      <c r="N2" s="8" t="s">
        <v>14</v>
      </c>
    </row>
    <row r="3" spans="1:14" ht="20" customHeight="1">
      <c r="B3" s="2" t="s">
        <v>15</v>
      </c>
      <c r="C3" s="2" t="s">
        <v>16</v>
      </c>
      <c r="D3" s="2">
        <v>16.989999999999998</v>
      </c>
      <c r="E3" s="2">
        <v>6.6</v>
      </c>
      <c r="F3" s="2">
        <v>35</v>
      </c>
      <c r="G3" s="6">
        <f>D3*0.12*E3</f>
        <v>13.456079999999998</v>
      </c>
      <c r="H3" s="2">
        <v>2</v>
      </c>
      <c r="I3" s="2">
        <v>28</v>
      </c>
      <c r="M3" s="6">
        <f>D3*E3-F3-G3-H3-I3-K3-L3-J3</f>
        <v>33.677919999999986</v>
      </c>
      <c r="N3" s="9">
        <f>M3/(D3*E3)</f>
        <v>0.30033638325574752</v>
      </c>
    </row>
    <row r="8" spans="1:14" ht="20" customHeight="1">
      <c r="J8" s="10"/>
    </row>
    <row r="9" spans="1:14" ht="20" customHeight="1">
      <c r="J9" s="11"/>
    </row>
  </sheetData>
  <mergeCells count="1">
    <mergeCell ref="A1:N1"/>
  </mergeCells>
  <phoneticPr fontId="10" type="noConversion"/>
  <pageMargins left="0.75" right="0.75" top="1" bottom="1" header="0.51180555555555596" footer="0.51180555555555596"/>
  <pageSetup paperSize="256" orientation="portrait" horizontalDpi="203" verticalDpi="20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lepecq</dc:creator>
  <cp:lastModifiedBy>Microsoft Office 用户</cp:lastModifiedBy>
  <dcterms:created xsi:type="dcterms:W3CDTF">2017-11-06T02:17:00Z</dcterms:created>
  <dcterms:modified xsi:type="dcterms:W3CDTF">2023-04-17T14:16:50Z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AF313E657AA246478BE53315395B5274</vt:lpwstr>
  </property>
</Properties>
</file>