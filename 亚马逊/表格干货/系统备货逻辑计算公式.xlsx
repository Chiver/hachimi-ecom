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" i="1" l="1"/>
  <c r="G8" i="1"/>
  <c r="O3" i="1"/>
  <c r="Q3" i="1"/>
  <c r="B3" i="1"/>
</calcChain>
</file>

<file path=xl/sharedStrings.xml><?xml version="1.0" encoding="utf-8"?>
<sst xmlns="http://schemas.openxmlformats.org/spreadsheetml/2006/main" count="41" uniqueCount="41">
  <si>
    <t>系统备货计算公式</t>
  </si>
  <si>
    <t>日期</t>
  </si>
  <si>
    <t>容错数量</t>
  </si>
  <si>
    <t>3天出单</t>
  </si>
  <si>
    <r>
      <rPr>
        <b/>
        <sz val="14"/>
        <rFont val="Calibri"/>
        <family val="2"/>
      </rPr>
      <t>15</t>
    </r>
    <r>
      <rPr>
        <b/>
        <sz val="14"/>
        <rFont val="宋体"/>
        <family val="3"/>
        <charset val="134"/>
      </rPr>
      <t>天出单</t>
    </r>
  </si>
  <si>
    <r>
      <rPr>
        <b/>
        <sz val="14"/>
        <rFont val="Calibri"/>
        <family val="2"/>
      </rPr>
      <t>30</t>
    </r>
    <r>
      <rPr>
        <b/>
        <sz val="14"/>
        <rFont val="宋体"/>
        <family val="3"/>
        <charset val="134"/>
      </rPr>
      <t>天出单</t>
    </r>
    <r>
      <rPr>
        <b/>
        <sz val="14"/>
        <rFont val="Calibri"/>
        <family val="2"/>
      </rPr>
      <t xml:space="preserve"> </t>
    </r>
  </si>
  <si>
    <t>大类排名</t>
  </si>
  <si>
    <t>小类排名</t>
  </si>
  <si>
    <t>评分</t>
  </si>
  <si>
    <t>曝光</t>
  </si>
  <si>
    <t>点击率</t>
  </si>
  <si>
    <t>转化率</t>
  </si>
  <si>
    <t>刷单库存</t>
  </si>
  <si>
    <t>秒杀库存</t>
  </si>
  <si>
    <t>备货天数
+物流时效</t>
  </si>
  <si>
    <t>备货数量</t>
  </si>
  <si>
    <t>FBA库存</t>
  </si>
  <si>
    <t>调拨需求</t>
  </si>
  <si>
    <t>2017.09.30</t>
  </si>
  <si>
    <t>50</t>
  </si>
  <si>
    <t>206</t>
  </si>
  <si>
    <t>300</t>
  </si>
  <si>
    <t>4800</t>
  </si>
  <si>
    <t>2</t>
  </si>
  <si>
    <t>4.5</t>
  </si>
  <si>
    <t>45</t>
  </si>
  <si>
    <t>1.如果评分降低，备货库存可以相对减少</t>
  </si>
  <si>
    <r>
      <rPr>
        <b/>
        <sz val="16"/>
        <color theme="1"/>
        <rFont val="Calibri"/>
        <family val="2"/>
      </rPr>
      <t>2.</t>
    </r>
    <r>
      <rPr>
        <b/>
        <sz val="16"/>
        <color theme="1"/>
        <rFont val="宋体"/>
        <family val="3"/>
        <charset val="134"/>
      </rPr>
      <t>如果质量可以改善，那么刷单库存就增加</t>
    </r>
  </si>
  <si>
    <t>评分常规算法</t>
  </si>
  <si>
    <r>
      <rPr>
        <b/>
        <sz val="16"/>
        <color theme="1"/>
        <rFont val="Calibri"/>
        <family val="2"/>
      </rPr>
      <t>3.</t>
    </r>
    <r>
      <rPr>
        <b/>
        <sz val="16"/>
        <color theme="1"/>
        <rFont val="宋体"/>
        <family val="3"/>
        <charset val="134"/>
      </rPr>
      <t>实际调拨数量</t>
    </r>
    <r>
      <rPr>
        <b/>
        <sz val="16"/>
        <color theme="1"/>
        <rFont val="Calibri"/>
        <family val="2"/>
      </rPr>
      <t>=</t>
    </r>
    <r>
      <rPr>
        <b/>
        <sz val="16"/>
        <color theme="1"/>
        <rFont val="宋体"/>
        <family val="3"/>
        <charset val="134"/>
      </rPr>
      <t>备货数量</t>
    </r>
    <r>
      <rPr>
        <b/>
        <sz val="16"/>
        <color theme="1"/>
        <rFont val="Calibri"/>
        <family val="2"/>
      </rPr>
      <t>-</t>
    </r>
    <r>
      <rPr>
        <b/>
        <sz val="16"/>
        <color theme="1"/>
        <rFont val="宋体"/>
        <family val="3"/>
        <charset val="134"/>
      </rPr>
      <t>现有库存</t>
    </r>
  </si>
  <si>
    <t>✬</t>
  </si>
  <si>
    <t>✬✬</t>
  </si>
  <si>
    <t>✬✬✬</t>
  </si>
  <si>
    <t>✬✬✬✬</t>
  </si>
  <si>
    <t>✬✬✬✬✬</t>
  </si>
  <si>
    <t>评论总数</t>
  </si>
  <si>
    <t>得分</t>
  </si>
  <si>
    <t>目标评分</t>
  </si>
  <si>
    <t>需求数量</t>
  </si>
  <si>
    <r>
      <rPr>
        <b/>
        <sz val="16"/>
        <color theme="1"/>
        <rFont val="Calibri"/>
        <family val="2"/>
      </rPr>
      <t>4.</t>
    </r>
    <r>
      <rPr>
        <b/>
        <sz val="16"/>
        <color theme="1"/>
        <rFont val="宋体"/>
        <family val="3"/>
        <charset val="134"/>
      </rPr>
      <t>季节性产品另外分析</t>
    </r>
  </si>
  <si>
    <r>
      <rPr>
        <b/>
        <sz val="16"/>
        <color theme="1"/>
        <rFont val="Calibri"/>
        <family val="2"/>
      </rPr>
      <t>5.</t>
    </r>
    <r>
      <rPr>
        <b/>
        <sz val="16"/>
        <color theme="1"/>
        <rFont val="宋体"/>
        <family val="3"/>
        <charset val="134"/>
      </rPr>
      <t>旺季不要备大货，按照常规出单来算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</si>
</sst>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3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20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Calibri"/>
      <family val="2"/>
    </font>
    <font>
      <b/>
      <sz val="14"/>
      <color rgb="FFFF0000"/>
      <name val="宋体"/>
      <family val="3"/>
      <charset val="134"/>
    </font>
    <font>
      <sz val="10"/>
      <color theme="1"/>
      <name val="Calibri"/>
      <family val="2"/>
    </font>
    <font>
      <b/>
      <sz val="14"/>
      <color rgb="FFFF0000"/>
      <name val="锐字工房云字库锐倩GBK"/>
      <charset val="134"/>
    </font>
    <font>
      <sz val="10"/>
      <name val="Calibri"/>
      <family val="2"/>
    </font>
    <font>
      <sz val="10"/>
      <color rgb="FFFF0000"/>
      <name val="Calibri"/>
      <family val="2"/>
    </font>
    <font>
      <sz val="20"/>
      <color rgb="FFFF0000"/>
      <name val="锐字工房云字库锐倩GBK"/>
      <charset val="134"/>
    </font>
    <font>
      <b/>
      <sz val="12"/>
      <color rgb="FFFFC000"/>
      <name val="宋体"/>
      <family val="3"/>
      <charset val="134"/>
    </font>
    <font>
      <b/>
      <sz val="16"/>
      <color rgb="FF92D050"/>
      <name val="宋体"/>
      <family val="3"/>
      <charset val="134"/>
    </font>
    <font>
      <b/>
      <sz val="12"/>
      <color theme="1"/>
      <name val="锐字工房云字库锐倩GBK"/>
      <charset val="134"/>
    </font>
    <font>
      <b/>
      <sz val="14"/>
      <color rgb="FFC00000"/>
      <name val="锐字工房云字库锐倩GBK"/>
      <charset val="134"/>
    </font>
    <font>
      <b/>
      <sz val="16"/>
      <color theme="1"/>
      <name val="宋体"/>
      <family val="3"/>
      <charset val="134"/>
    </font>
    <font>
      <b/>
      <sz val="16"/>
      <color theme="1"/>
      <name val="Calibri"/>
      <family val="2"/>
    </font>
    <font>
      <b/>
      <sz val="14"/>
      <color rgb="FFFF0000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49" fontId="12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76" fontId="15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0" fillId="0" borderId="0" xfId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E4" workbookViewId="0">
      <selection activeCell="F10" sqref="F10:F11"/>
    </sheetView>
  </sheetViews>
  <sheetFormatPr baseColWidth="10" defaultColWidth="12.83203125" defaultRowHeight="40" customHeight="1" x14ac:dyDescent="0"/>
  <cols>
    <col min="1" max="1" width="12.83203125" style="2" customWidth="1"/>
    <col min="2" max="16384" width="12.83203125" style="2"/>
  </cols>
  <sheetData>
    <row r="1" spans="1:17" ht="40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s="1" customFormat="1" ht="40" customHeight="1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7" t="s">
        <v>8</v>
      </c>
      <c r="I2" s="22" t="s">
        <v>9</v>
      </c>
      <c r="J2" s="22" t="s">
        <v>10</v>
      </c>
      <c r="K2" s="22" t="s">
        <v>11</v>
      </c>
      <c r="L2" s="5" t="s">
        <v>12</v>
      </c>
      <c r="M2" s="5" t="s">
        <v>13</v>
      </c>
      <c r="N2" s="5" t="s">
        <v>14</v>
      </c>
      <c r="O2" s="23" t="s">
        <v>15</v>
      </c>
      <c r="P2" s="5" t="s">
        <v>16</v>
      </c>
      <c r="Q2" s="34" t="s">
        <v>17</v>
      </c>
    </row>
    <row r="3" spans="1:17" ht="40" customHeight="1">
      <c r="A3" s="8" t="s">
        <v>18</v>
      </c>
      <c r="B3" s="9">
        <f>(C3/3+D3/15+E3/30)/3</f>
        <v>13.466666666666667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1" t="s">
        <v>24</v>
      </c>
      <c r="I3" s="24">
        <v>0.17380000000000001</v>
      </c>
      <c r="J3" s="24">
        <v>0.19020000000000001</v>
      </c>
      <c r="K3" s="24">
        <v>0.17649999999999999</v>
      </c>
      <c r="L3" s="25">
        <v>68</v>
      </c>
      <c r="M3" s="25">
        <v>300</v>
      </c>
      <c r="N3" s="26" t="s">
        <v>25</v>
      </c>
      <c r="O3" s="27">
        <f>(C3/3+D3/15+E3/30)/3*N3+L3+M3</f>
        <v>974</v>
      </c>
      <c r="P3" s="25">
        <v>500</v>
      </c>
      <c r="Q3" s="35">
        <f>O3-P3</f>
        <v>474</v>
      </c>
    </row>
    <row r="4" spans="1:17" ht="40" customHeight="1">
      <c r="A4" s="12"/>
      <c r="B4" s="8"/>
      <c r="C4" s="13"/>
      <c r="D4" s="13"/>
      <c r="E4" s="13"/>
      <c r="F4" s="10"/>
      <c r="G4" s="10"/>
      <c r="H4" s="14"/>
      <c r="I4" s="28"/>
      <c r="J4" s="28"/>
      <c r="K4" s="29" t="s">
        <v>26</v>
      </c>
      <c r="L4" s="25"/>
      <c r="M4" s="26"/>
      <c r="N4" s="10"/>
      <c r="O4" s="10"/>
      <c r="P4" s="25"/>
    </row>
    <row r="5" spans="1:17" ht="40" customHeight="1">
      <c r="A5" s="12"/>
      <c r="B5" s="8"/>
      <c r="C5" s="13"/>
      <c r="D5" s="13"/>
      <c r="E5" s="13"/>
      <c r="F5" s="10"/>
      <c r="G5" s="10"/>
      <c r="H5" s="14"/>
      <c r="I5" s="28"/>
      <c r="J5" s="28"/>
      <c r="K5" s="30" t="s">
        <v>27</v>
      </c>
      <c r="L5" s="25"/>
      <c r="M5" s="26"/>
      <c r="N5" s="10"/>
      <c r="O5" s="31"/>
      <c r="P5" s="25"/>
    </row>
    <row r="6" spans="1:17" ht="40" customHeight="1">
      <c r="A6" s="39" t="s">
        <v>28</v>
      </c>
      <c r="B6" s="39"/>
      <c r="C6" s="39"/>
      <c r="D6" s="39"/>
      <c r="E6" s="39"/>
      <c r="F6" s="39"/>
      <c r="G6" s="39"/>
      <c r="H6" s="39"/>
      <c r="I6" s="39"/>
      <c r="J6" s="32"/>
      <c r="K6" s="33" t="s">
        <v>29</v>
      </c>
      <c r="L6" s="13"/>
      <c r="M6" s="13"/>
      <c r="N6" s="31"/>
      <c r="O6" s="31"/>
      <c r="P6" s="25"/>
    </row>
    <row r="7" spans="1:17" ht="40" customHeight="1">
      <c r="A7" s="15" t="s">
        <v>30</v>
      </c>
      <c r="B7" s="16" t="s">
        <v>31</v>
      </c>
      <c r="C7" s="17" t="s">
        <v>32</v>
      </c>
      <c r="D7" s="17" t="s">
        <v>33</v>
      </c>
      <c r="E7" s="16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32"/>
      <c r="K7" s="33" t="s">
        <v>39</v>
      </c>
      <c r="L7" s="13"/>
      <c r="M7" s="13"/>
      <c r="N7" s="31"/>
      <c r="O7" s="31"/>
      <c r="P7" s="25"/>
    </row>
    <row r="8" spans="1:17" ht="40" customHeight="1">
      <c r="A8" s="19">
        <v>12</v>
      </c>
      <c r="B8" s="19">
        <v>11</v>
      </c>
      <c r="C8" s="19">
        <v>33</v>
      </c>
      <c r="D8" s="19">
        <v>54</v>
      </c>
      <c r="E8" s="19">
        <v>157</v>
      </c>
      <c r="F8" s="19">
        <v>267</v>
      </c>
      <c r="G8" s="20">
        <f>(A8*1+B8*2+C8*3+D8*4+E8*5)/F8</f>
        <v>4.2471910112359552</v>
      </c>
      <c r="H8" s="19">
        <v>4.4000000000000004</v>
      </c>
      <c r="I8" s="19">
        <f>((H8*F8)-(A8*1+B8*2+C8*3+D8*4+E8*5))/(5-H8)</f>
        <v>68.000000000000341</v>
      </c>
      <c r="J8" s="32"/>
      <c r="K8" s="33" t="s">
        <v>40</v>
      </c>
      <c r="L8" s="13"/>
      <c r="M8" s="13"/>
      <c r="N8" s="31"/>
      <c r="O8" s="31"/>
      <c r="P8" s="25"/>
    </row>
    <row r="9" spans="1:17" ht="40" customHeight="1">
      <c r="A9" s="19"/>
      <c r="B9" s="19"/>
      <c r="C9" s="19"/>
      <c r="D9" s="19"/>
      <c r="E9" s="19"/>
      <c r="F9" s="19"/>
      <c r="G9" s="19"/>
      <c r="H9" s="19"/>
      <c r="I9" s="19"/>
      <c r="J9" s="32"/>
      <c r="K9" s="33"/>
      <c r="L9" s="13"/>
      <c r="M9" s="13"/>
      <c r="N9" s="31"/>
      <c r="O9" s="31"/>
      <c r="P9" s="25"/>
    </row>
    <row r="10" spans="1:17" ht="40" customHeight="1">
      <c r="A10" s="19"/>
      <c r="B10" s="19"/>
      <c r="C10" s="19"/>
      <c r="D10" s="21"/>
      <c r="E10" s="21"/>
      <c r="F10" s="36"/>
      <c r="G10" s="21"/>
      <c r="H10" s="21"/>
      <c r="I10" s="19"/>
      <c r="J10" s="32"/>
      <c r="K10" s="33"/>
      <c r="L10" s="13"/>
      <c r="M10" s="13"/>
      <c r="N10" s="31"/>
      <c r="O10" s="31"/>
      <c r="P10" s="25"/>
    </row>
    <row r="11" spans="1:17" ht="40" customHeight="1">
      <c r="F11" s="37"/>
    </row>
  </sheetData>
  <mergeCells count="2">
    <mergeCell ref="A1:Q1"/>
    <mergeCell ref="A6:I6"/>
  </mergeCells>
  <phoneticPr fontId="21" type="noConversion"/>
  <pageMargins left="0.75" right="0.75" top="1" bottom="1" header="0.51180555555555596" footer="0.51180555555555596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用户</cp:lastModifiedBy>
  <dcterms:created xsi:type="dcterms:W3CDTF">2017-08-31T09:29:00Z</dcterms:created>
  <dcterms:modified xsi:type="dcterms:W3CDTF">2023-04-17T14:25:30Z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F82888C566EA4B9EAFF3BE2EDCC26233</vt:lpwstr>
  </property>
</Properties>
</file>