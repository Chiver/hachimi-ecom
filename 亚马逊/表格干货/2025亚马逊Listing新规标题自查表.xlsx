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 activeTab="1"/>
  </bookViews>
  <sheets>
    <sheet name="单复数" sheetId="1" r:id="rId1"/>
    <sheet name="标题检测" sheetId="2" r:id="rId2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<sst xmlns="http://schemas.openxmlformats.org/spreadsheetml/2006/main" count="77" uniqueCount="75">
  <si>
    <t>复数</t>
  </si>
  <si>
    <t>单数</t>
  </si>
  <si>
    <t>men</t>
  </si>
  <si>
    <t>man</t>
  </si>
  <si>
    <t>women</t>
  </si>
  <si>
    <t>woman</t>
  </si>
  <si>
    <t>children</t>
  </si>
  <si>
    <t>child</t>
  </si>
  <si>
    <t>teeth</t>
  </si>
  <si>
    <t>tooth</t>
  </si>
  <si>
    <t>feet</t>
  </si>
  <si>
    <t>foot</t>
  </si>
  <si>
    <t>geese</t>
  </si>
  <si>
    <t>goose</t>
  </si>
  <si>
    <t>mice</t>
  </si>
  <si>
    <t>mouse</t>
  </si>
  <si>
    <t>oxen</t>
  </si>
  <si>
    <t>ox</t>
  </si>
  <si>
    <t>buses</t>
  </si>
  <si>
    <t>bus</t>
  </si>
  <si>
    <t>boxes</t>
  </si>
  <si>
    <t>box</t>
  </si>
  <si>
    <t>potatoes</t>
  </si>
  <si>
    <t>potato</t>
  </si>
  <si>
    <t>tomatoes</t>
  </si>
  <si>
    <t>tomato</t>
  </si>
  <si>
    <t>heroes</t>
  </si>
  <si>
    <t>hero</t>
  </si>
  <si>
    <t>echoes</t>
  </si>
  <si>
    <t>echo</t>
  </si>
  <si>
    <t>torpedoes</t>
  </si>
  <si>
    <t>torpedo</t>
  </si>
  <si>
    <t>hampers</t>
  </si>
  <si>
    <t>hamper</t>
  </si>
  <si>
    <t>baskets</t>
  </si>
  <si>
    <t>basket</t>
  </si>
  <si>
    <t>wolves</t>
  </si>
  <si>
    <t>wolf</t>
  </si>
  <si>
    <t>lives</t>
  </si>
  <si>
    <t>life</t>
  </si>
  <si>
    <t>leaves</t>
  </si>
  <si>
    <t>leaf</t>
  </si>
  <si>
    <t>knives</t>
  </si>
  <si>
    <t>knife</t>
  </si>
  <si>
    <t>wives</t>
  </si>
  <si>
    <t>wife</t>
  </si>
  <si>
    <t>toys</t>
  </si>
  <si>
    <t>toy</t>
  </si>
  <si>
    <t>bags</t>
  </si>
  <si>
    <t>bag</t>
  </si>
  <si>
    <t>buds</t>
  </si>
  <si>
    <t>bud</t>
  </si>
  <si>
    <t>输入产品标题 （请控制好标题长度，超过200个字符会变成红色）</t>
  </si>
  <si>
    <t>去掉标点符号</t>
  </si>
  <si>
    <t>单复数统一成单数</t>
  </si>
  <si>
    <t>单词拆分</t>
  </si>
  <si>
    <t>计数项:单词拆分</t>
  </si>
  <si>
    <t>结果</t>
  </si>
  <si>
    <t>Sauna Suit for Women Weight Loss Sauna Shirt for Women Sweat Suit Waist Trainer Vest Fitness Body Shaper Zipper Suit</t>
  </si>
  <si>
    <t>Body</t>
  </si>
  <si>
    <t>Fitness</t>
  </si>
  <si>
    <t>for</t>
  </si>
  <si>
    <t>Loss</t>
  </si>
  <si>
    <t>Sauna</t>
  </si>
  <si>
    <t>Shaper</t>
  </si>
  <si>
    <t>Shirt</t>
  </si>
  <si>
    <t>Suit</t>
  </si>
  <si>
    <t>Sweat</t>
  </si>
  <si>
    <t>Trainer</t>
  </si>
  <si>
    <t>Vest</t>
  </si>
  <si>
    <t>Waist</t>
  </si>
  <si>
    <t>Weight</t>
  </si>
  <si>
    <t>Zipper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</si>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</sst>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45"/>
      <color rgb="FFFFFFFF"/>
      <name val="var(--ds-font-family-code)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 applyProtection="1">
      <alignment vertical="center" wrapText="1"/>
    </xf>
    <xf numFmtId="0" fontId="0" fillId="0" borderId="0" xfId="0" applyAlignment="1" applyProtection="1">
      <alignment wrapText="1"/>
    </xf>
    <xf numFmtId="0" fontId="0" fillId="0" borderId="0" xfId="0" applyProtection="1"/>
    <xf numFmtId="0" fontId="0" fillId="0" borderId="0" xfId="0" applyAlignment="1" applyProtection="1">
      <alignment vertical="center"/>
    </xf>
    <xf numFmtId="49" fontId="0" fillId="0" borderId="0" xfId="0" applyNumberFormat="1" applyAlignment="1" applyProtection="1">
      <alignment vertical="center"/>
    </xf>
    <xf numFmtId="0" fontId="0" fillId="0" borderId="1" xfId="0" applyBorder="1" applyAlignment="1" applyProtection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0" fillId="0" borderId="4" xfId="0" applyBorder="1"/>
    <xf numFmtId="0" fontId="0" fillId="0" borderId="1" xfId="0" applyBorder="1" applyAlignment="1" applyProtection="1">
      <alignment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0" fillId="2" borderId="1" xfId="0" applyFill="1" applyBorder="1" applyAlignment="1" applyProtection="1">
      <alignment horizontal="left"/>
    </xf>
    <xf numFmtId="49" fontId="0" fillId="0" borderId="1" xfId="0" applyNumberFormat="1" applyBorder="1" applyAlignment="1" applyProtection="1">
      <alignment vertical="center"/>
    </xf>
    <xf numFmtId="0" fontId="0" fillId="0" borderId="1" xfId="0" applyBorder="1" applyProtection="1"/>
    <xf numFmtId="0" fontId="2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6">
    <dxf>
      <border>
        <bottom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alignment wrapText="1"/>
    </dxf>
    <dxf>
      <alignment wrapText="1"/>
    </dxf>
    <dxf>
      <alignment vertical="center"/>
    </dxf>
    <dxf>
      <alignment vertic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fill>
        <patternFill patternType="solid">
          <bgColor theme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color rgb="FFFF0000"/>
      </font>
      <fill>
        <patternFill patternType="none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27.5897337963" refreshedBy="Administrator" recordCount="21">
  <cacheSource type="worksheet">
    <worksheetSource ref="D1:D1048576" sheet="标题检测"/>
  </cacheSource>
  <cacheFields count="1">
    <cacheField name="单词拆分" numFmtId="0">
      <sharedItems containsBlank="1" count="54">
        <s v="Sauna"/>
        <s v="Suit"/>
        <s v="for"/>
        <s v="woman"/>
        <s v="Weight"/>
        <s v="Loss"/>
        <s v="Shirt"/>
        <s v="Sweat"/>
        <s v="Waist"/>
        <s v="Trainer"/>
        <s v="Vest"/>
        <s v="Fitness"/>
        <s v="Body"/>
        <s v="Shaper"/>
        <s v="Zipper"/>
        <m/>
        <s v="SHRRADOO" u="1"/>
        <s v="man" u="1"/>
        <s v="Casual" u="1"/>
        <s v="Work" u="1"/>
        <s v="Bag" u="1"/>
        <s v="17inch" u="1"/>
        <s v="Backpack" u="1"/>
        <s v="Airline" u="1"/>
        <s v="Approved" u="1"/>
        <s v="Hiking" u="1"/>
        <s v="Business" u="1"/>
        <s v="Pink" u="1"/>
        <s v="khaki" u="1"/>
        <s v="Travel" u="1"/>
        <s v="Laptops" u="1"/>
        <s v="Amazon" u="1"/>
        <s v="Echo" u="1"/>
        <s v="bud" u="1"/>
        <s v="newest" u="1"/>
        <s v="model" u="1"/>
        <s v="True" u="1"/>
        <s v="Wireless" u="1"/>
        <s v="Bluetooth" u="1"/>
        <s v="5.2" u="1"/>
        <s v="Earbuds" u="1"/>
        <s v="with" u="1"/>
        <s v="Alexa" u="1"/>
        <s v="audio" u="1"/>
        <s v="personalization" u="1"/>
        <s v="multipoint" u="1"/>
        <s v="20H" u="1"/>
        <s v="battery" u="1"/>
        <s v="charging" u="1"/>
        <s v="case" u="1"/>
        <s v="fast" u="1"/>
        <s v="resistant" u="1"/>
        <s v="Black" u="1"/>
        <s v="Wrose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</r>
  <r>
    <x v="1"/>
  </r>
  <r>
    <x v="2"/>
  </r>
  <r>
    <x v="3"/>
  </r>
  <r>
    <x v="4"/>
  </r>
  <r>
    <x v="5"/>
  </r>
  <r>
    <x v="0"/>
  </r>
  <r>
    <x v="6"/>
  </r>
  <r>
    <x v="2"/>
  </r>
  <r>
    <x v="3"/>
  </r>
  <r>
    <x v="7"/>
  </r>
  <r>
    <x v="1"/>
  </r>
  <r>
    <x v="8"/>
  </r>
  <r>
    <x v="9"/>
  </r>
  <r>
    <x v="10"/>
  </r>
  <r>
    <x v="11"/>
  </r>
  <r>
    <x v="12"/>
  </r>
  <r>
    <x v="13"/>
  </r>
  <r>
    <x v="14"/>
  </r>
  <r>
    <x v="1"/>
  </r>
  <r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E1:F18" firstHeaderRow="1" firstDataRow="1" firstDataCol="1"/>
  <pivotFields count="1">
    <pivotField axis="axisRow" dataField="1" compact="0" sortType="ascending" showAll="0">
      <items count="55">
        <item m="1" x="21"/>
        <item m="1" x="46"/>
        <item m="1" x="39"/>
        <item m="1" x="23"/>
        <item m="1" x="42"/>
        <item m="1" x="31"/>
        <item m="1" x="24"/>
        <item m="1" x="43"/>
        <item m="1" x="22"/>
        <item m="1" x="20"/>
        <item m="1" x="47"/>
        <item m="1" x="52"/>
        <item m="1" x="38"/>
        <item x="12"/>
        <item m="1" x="33"/>
        <item m="1" x="26"/>
        <item m="1" x="49"/>
        <item m="1" x="18"/>
        <item m="1" x="48"/>
        <item m="1" x="40"/>
        <item m="1" x="32"/>
        <item m="1" x="50"/>
        <item x="11"/>
        <item x="2"/>
        <item m="1" x="25"/>
        <item m="1" x="28"/>
        <item m="1" x="30"/>
        <item x="5"/>
        <item m="1" x="17"/>
        <item m="1" x="35"/>
        <item m="1" x="45"/>
        <item m="1" x="34"/>
        <item m="1" x="44"/>
        <item m="1" x="27"/>
        <item m="1" x="51"/>
        <item x="0"/>
        <item x="13"/>
        <item x="6"/>
        <item m="1" x="16"/>
        <item x="1"/>
        <item x="7"/>
        <item x="9"/>
        <item m="1" x="29"/>
        <item m="1" x="36"/>
        <item x="10"/>
        <item x="8"/>
        <item x="4"/>
        <item m="1" x="37"/>
        <item m="1" x="41"/>
        <item x="3"/>
        <item m="1" x="19"/>
        <item m="1" x="53"/>
        <item x="14"/>
        <item x="15"/>
        <item t="default"/>
      </items>
    </pivotField>
  </pivotFields>
  <rowFields count="1">
    <field x="0"/>
  </rowFields>
  <rowItems count="17">
    <i>
      <x v="13"/>
    </i>
    <i>
      <x v="22"/>
    </i>
    <i>
      <x v="23"/>
    </i>
    <i>
      <x v="27"/>
    </i>
    <i>
      <x v="35"/>
    </i>
    <i>
      <x v="36"/>
    </i>
    <i>
      <x v="37"/>
    </i>
    <i>
      <x v="39"/>
    </i>
    <i>
      <x v="40"/>
    </i>
    <i>
      <x v="41"/>
    </i>
    <i>
      <x v="44"/>
    </i>
    <i>
      <x v="45"/>
    </i>
    <i>
      <x v="46"/>
    </i>
    <i>
      <x v="49"/>
    </i>
    <i>
      <x v="52"/>
    </i>
    <i>
      <x v="53"/>
    </i>
    <i t="grand">
      <x/>
    </i>
  </rowItems>
  <colItems count="1">
    <i/>
  </colItems>
  <dataFields count="1">
    <dataField name="计数项:单词拆分" fld="0" subtotal="count" baseField="0" baseItem="0"/>
  </dataFields>
  <formats count="133">
    <format dxfId="0">
      <pivotArea field="0" type="button" dataOnly="0" labelOnly="1" outline="0" fieldPosition="0"/>
    </format>
    <format dxfId="1">
      <pivotArea dataOnly="0" labelOnly="1" fieldPosition="0">
        <references count="1">
          <reference field="0" count="1">
            <x v="1"/>
          </reference>
        </references>
      </pivotArea>
    </format>
    <format dxfId="2">
      <pivotArea dataOnly="0" labelOnly="1" fieldPosition="0">
        <references count="1">
          <reference field="0" count="1">
            <x v="2"/>
          </reference>
        </references>
      </pivotArea>
    </format>
    <format dxfId="3">
      <pivotArea dataOnly="0" labelOnly="1" fieldPosition="0">
        <references count="1">
          <reference field="0" count="1">
            <x v="4"/>
          </reference>
        </references>
      </pivotArea>
    </format>
    <format dxfId="4">
      <pivotArea dataOnly="0" labelOnly="1" fieldPosition="0">
        <references count="1">
          <reference field="0" count="1">
            <x v="5"/>
          </reference>
        </references>
      </pivotArea>
    </format>
    <format dxfId="5">
      <pivotArea dataOnly="0" labelOnly="1" fieldPosition="0">
        <references count="1">
          <reference field="0" count="1">
            <x v="7"/>
          </reference>
        </references>
      </pivotArea>
    </format>
    <format dxfId="6">
      <pivotArea dataOnly="0" labelOnly="1" fieldPosition="0">
        <references count="1">
          <reference field="0" count="1">
            <x v="10"/>
          </reference>
        </references>
      </pivotArea>
    </format>
    <format dxfId="7">
      <pivotArea dataOnly="0" labelOnly="1" fieldPosition="0">
        <references count="1">
          <reference field="0" count="1">
            <x v="11"/>
          </reference>
        </references>
      </pivotArea>
    </format>
    <format dxfId="8">
      <pivotArea dataOnly="0" labelOnly="1" fieldPosition="0">
        <references count="1">
          <reference field="0" count="1">
            <x v="12"/>
          </reference>
        </references>
      </pivotArea>
    </format>
    <format dxfId="9">
      <pivotArea dataOnly="0" labelOnly="1" fieldPosition="0">
        <references count="1">
          <reference field="0" count="1">
            <x v="14"/>
          </reference>
        </references>
      </pivotArea>
    </format>
    <format dxfId="10">
      <pivotArea dataOnly="0" labelOnly="1" fieldPosition="0">
        <references count="1">
          <reference field="0" count="1">
            <x v="16"/>
          </reference>
        </references>
      </pivotArea>
    </format>
    <format dxfId="11">
      <pivotArea dataOnly="0" labelOnly="1" fieldPosition="0">
        <references count="1">
          <reference field="0" count="1">
            <x v="18"/>
          </reference>
        </references>
      </pivotArea>
    </format>
    <format dxfId="12">
      <pivotArea dataOnly="0" labelOnly="1" fieldPosition="0">
        <references count="1">
          <reference field="0" count="1">
            <x v="19"/>
          </reference>
        </references>
      </pivotArea>
    </format>
    <format dxfId="13">
      <pivotArea dataOnly="0" labelOnly="1" fieldPosition="0">
        <references count="1">
          <reference field="0" count="1">
            <x v="20"/>
          </reference>
        </references>
      </pivotArea>
    </format>
    <format dxfId="14">
      <pivotArea dataOnly="0" labelOnly="1" fieldPosition="0">
        <references count="1">
          <reference field="0" count="1">
            <x v="21"/>
          </reference>
        </references>
      </pivotArea>
    </format>
    <format dxfId="15">
      <pivotArea dataOnly="0" labelOnly="1" fieldPosition="0">
        <references count="1">
          <reference field="0" count="1">
            <x v="29"/>
          </reference>
        </references>
      </pivotArea>
    </format>
    <format dxfId="16">
      <pivotArea dataOnly="0" labelOnly="1" fieldPosition="0">
        <references count="1">
          <reference field="0" count="1">
            <x v="30"/>
          </reference>
        </references>
      </pivotArea>
    </format>
    <format dxfId="17">
      <pivotArea dataOnly="0" labelOnly="1" fieldPosition="0">
        <references count="1">
          <reference field="0" count="1">
            <x v="31"/>
          </reference>
        </references>
      </pivotArea>
    </format>
    <format dxfId="18">
      <pivotArea dataOnly="0" labelOnly="1" fieldPosition="0">
        <references count="1">
          <reference field="0" count="1">
            <x v="32"/>
          </reference>
        </references>
      </pivotArea>
    </format>
    <format dxfId="19">
      <pivotArea dataOnly="0" labelOnly="1" fieldPosition="0">
        <references count="1">
          <reference field="0" count="1">
            <x v="34"/>
          </reference>
        </references>
      </pivotArea>
    </format>
    <format dxfId="20">
      <pivotArea dataOnly="0" labelOnly="1" fieldPosition="0">
        <references count="1">
          <reference field="0" count="1">
            <x v="40"/>
          </reference>
        </references>
      </pivotArea>
    </format>
    <format dxfId="21">
      <pivotArea dataOnly="0" labelOnly="1" fieldPosition="0">
        <references count="1">
          <reference field="0" count="1">
            <x v="43"/>
          </reference>
        </references>
      </pivotArea>
    </format>
    <format dxfId="22">
      <pivotArea dataOnly="0" labelOnly="1" fieldPosition="0">
        <references count="1">
          <reference field="0" count="1">
            <x v="47"/>
          </reference>
        </references>
      </pivotArea>
    </format>
    <format dxfId="23">
      <pivotArea dataOnly="0" labelOnly="1" fieldPosition="0">
        <references count="1">
          <reference field="0" count="1">
            <x v="48"/>
          </reference>
        </references>
      </pivotArea>
    </format>
    <format dxfId="24">
      <pivotArea dataOnly="0" labelOnly="1" fieldPosition="0">
        <references count="1">
          <reference field="0" count="1">
            <x v="51"/>
          </reference>
        </references>
      </pivotArea>
    </format>
    <format dxfId="25">
      <pivotArea dataOnly="0" labelOnly="1" fieldPosition="0">
        <references count="1">
          <reference field="0" count="1">
            <x v="53"/>
          </reference>
        </references>
      </pivotArea>
    </format>
    <format dxfId="26">
      <pivotArea dataOnly="0" labelOnly="1" grandRow="1" fieldPosition="0"/>
    </format>
    <format dxfId="27">
      <pivotArea collapsedLevelsAreSubtotals="1" fieldPosition="0"/>
    </format>
    <format dxfId="28">
      <pivotArea dataOnly="0" labelOnly="1" fieldPosition="0">
        <references count="1">
          <reference field="0" count="1">
            <x v="1"/>
          </reference>
        </references>
      </pivotArea>
    </format>
    <format dxfId="29">
      <pivotArea dataOnly="0" labelOnly="1" fieldPosition="0">
        <references count="1">
          <reference field="0" count="1">
            <x v="2"/>
          </reference>
        </references>
      </pivotArea>
    </format>
    <format dxfId="30">
      <pivotArea dataOnly="0" labelOnly="1" fieldPosition="0">
        <references count="1">
          <reference field="0" count="1">
            <x v="4"/>
          </reference>
        </references>
      </pivotArea>
    </format>
    <format dxfId="31">
      <pivotArea dataOnly="0" labelOnly="1" fieldPosition="0">
        <references count="1">
          <reference field="0" count="1">
            <x v="5"/>
          </reference>
        </references>
      </pivotArea>
    </format>
    <format dxfId="32">
      <pivotArea dataOnly="0" labelOnly="1" fieldPosition="0">
        <references count="1">
          <reference field="0" count="1">
            <x v="7"/>
          </reference>
        </references>
      </pivotArea>
    </format>
    <format dxfId="33">
      <pivotArea dataOnly="0" labelOnly="1" fieldPosition="0">
        <references count="1">
          <reference field="0" count="1">
            <x v="10"/>
          </reference>
        </references>
      </pivotArea>
    </format>
    <format dxfId="34">
      <pivotArea dataOnly="0" labelOnly="1" fieldPosition="0">
        <references count="1">
          <reference field="0" count="1">
            <x v="11"/>
          </reference>
        </references>
      </pivotArea>
    </format>
    <format dxfId="35">
      <pivotArea dataOnly="0" labelOnly="1" fieldPosition="0">
        <references count="1">
          <reference field="0" count="1">
            <x v="12"/>
          </reference>
        </references>
      </pivotArea>
    </format>
    <format dxfId="36">
      <pivotArea dataOnly="0" labelOnly="1" fieldPosition="0">
        <references count="1">
          <reference field="0" count="1">
            <x v="14"/>
          </reference>
        </references>
      </pivotArea>
    </format>
    <format dxfId="37">
      <pivotArea dataOnly="0" labelOnly="1" fieldPosition="0">
        <references count="1">
          <reference field="0" count="1">
            <x v="16"/>
          </reference>
        </references>
      </pivotArea>
    </format>
    <format dxfId="38">
      <pivotArea dataOnly="0" labelOnly="1" fieldPosition="0">
        <references count="1">
          <reference field="0" count="1">
            <x v="18"/>
          </reference>
        </references>
      </pivotArea>
    </format>
    <format dxfId="39">
      <pivotArea dataOnly="0" labelOnly="1" fieldPosition="0">
        <references count="1">
          <reference field="0" count="1">
            <x v="19"/>
          </reference>
        </references>
      </pivotArea>
    </format>
    <format dxfId="40">
      <pivotArea dataOnly="0" labelOnly="1" fieldPosition="0">
        <references count="1">
          <reference field="0" count="1">
            <x v="20"/>
          </reference>
        </references>
      </pivotArea>
    </format>
    <format dxfId="41">
      <pivotArea dataOnly="0" labelOnly="1" fieldPosition="0">
        <references count="1">
          <reference field="0" count="1">
            <x v="21"/>
          </reference>
        </references>
      </pivotArea>
    </format>
    <format dxfId="42">
      <pivotArea dataOnly="0" labelOnly="1" fieldPosition="0">
        <references count="1">
          <reference field="0" count="1">
            <x v="29"/>
          </reference>
        </references>
      </pivotArea>
    </format>
    <format dxfId="43">
      <pivotArea dataOnly="0" labelOnly="1" fieldPosition="0">
        <references count="1">
          <reference field="0" count="1">
            <x v="30"/>
          </reference>
        </references>
      </pivotArea>
    </format>
    <format dxfId="44">
      <pivotArea dataOnly="0" labelOnly="1" fieldPosition="0">
        <references count="1">
          <reference field="0" count="1">
            <x v="31"/>
          </reference>
        </references>
      </pivotArea>
    </format>
    <format dxfId="45">
      <pivotArea dataOnly="0" labelOnly="1" fieldPosition="0">
        <references count="1">
          <reference field="0" count="1">
            <x v="32"/>
          </reference>
        </references>
      </pivotArea>
    </format>
    <format dxfId="46">
      <pivotArea dataOnly="0" labelOnly="1" fieldPosition="0">
        <references count="1">
          <reference field="0" count="1">
            <x v="34"/>
          </reference>
        </references>
      </pivotArea>
    </format>
    <format dxfId="47">
      <pivotArea dataOnly="0" labelOnly="1" fieldPosition="0">
        <references count="1">
          <reference field="0" count="1">
            <x v="40"/>
          </reference>
        </references>
      </pivotArea>
    </format>
    <format dxfId="48">
      <pivotArea dataOnly="0" labelOnly="1" fieldPosition="0">
        <references count="1">
          <reference field="0" count="1">
            <x v="43"/>
          </reference>
        </references>
      </pivotArea>
    </format>
    <format dxfId="49">
      <pivotArea dataOnly="0" labelOnly="1" fieldPosition="0">
        <references count="1">
          <reference field="0" count="1">
            <x v="47"/>
          </reference>
        </references>
      </pivotArea>
    </format>
    <format dxfId="50">
      <pivotArea dataOnly="0" labelOnly="1" fieldPosition="0">
        <references count="1">
          <reference field="0" count="1">
            <x v="48"/>
          </reference>
        </references>
      </pivotArea>
    </format>
    <format dxfId="51">
      <pivotArea dataOnly="0" labelOnly="1" fieldPosition="0">
        <references count="1">
          <reference field="0" count="1">
            <x v="51"/>
          </reference>
        </references>
      </pivotArea>
    </format>
    <format dxfId="52">
      <pivotArea dataOnly="0" labelOnly="1" fieldPosition="0">
        <references count="1">
          <reference field="0" count="1">
            <x v="53"/>
          </reference>
        </references>
      </pivotArea>
    </format>
    <format dxfId="53">
      <pivotArea dataOnly="0" labelOnly="1" grandRow="1" fieldPosition="0"/>
    </format>
    <format dxfId="54">
      <pivotArea collapsedLevelsAreSubtotals="1" fieldPosition="0"/>
    </format>
    <format dxfId="55">
      <pivotArea dataOnly="0" labelOnly="1" fieldPosition="0">
        <references count="1">
          <reference field="0" count="1">
            <x v="1"/>
          </reference>
        </references>
      </pivotArea>
    </format>
    <format dxfId="56">
      <pivotArea collapsedLevelsAreSubtotals="1" fieldPosition="0">
        <references count="1">
          <reference field="0" count="1" selected="0">
            <x v="1"/>
          </reference>
        </references>
      </pivotArea>
    </format>
    <format dxfId="57">
      <pivotArea field="0" type="button" dataOnly="0" labelOnly="1" outline="0" fieldPosition="0"/>
    </format>
    <format dxfId="58">
      <pivotArea dataOnly="0" axis="axisValues" fieldPosition="0"/>
    </format>
    <format dxfId="59">
      <pivotArea field="0" type="button" dataOnly="0" labelOnly="1" outline="0" fieldPosition="0"/>
    </format>
    <format dxfId="60">
      <pivotArea dataOnly="0" axis="axisValues" fieldPosition="0"/>
    </format>
    <format dxfId="61">
      <pivotArea field="0" type="button" dataOnly="0" labelOnly="1" outline="0" fieldPosition="0"/>
    </format>
    <format dxfId="62">
      <pivotArea dataOnly="0" axis="axisValues" fieldPosition="0"/>
    </format>
    <format dxfId="63">
      <pivotArea field="0" type="button" dataOnly="0" labelOnly="1" outline="0" fieldPosition="0"/>
    </format>
    <format dxfId="64">
      <pivotArea dataOnly="0" axis="axisValues" fieldPosition="0"/>
    </format>
    <format dxfId="65">
      <pivotArea dataOnly="0" labelOnly="1" fieldPosition="0">
        <references count="1">
          <reference field="0" count="1">
            <x v="0"/>
          </reference>
        </references>
      </pivotArea>
    </format>
    <format dxfId="66">
      <pivotArea dataOnly="0" labelOnly="1" fieldPosition="0">
        <references count="1">
          <reference field="0" count="1">
            <x v="3"/>
          </reference>
        </references>
      </pivotArea>
    </format>
    <format dxfId="67">
      <pivotArea dataOnly="0" labelOnly="1" fieldPosition="0">
        <references count="1">
          <reference field="0" count="1">
            <x v="6"/>
          </reference>
        </references>
      </pivotArea>
    </format>
    <format dxfId="68">
      <pivotArea dataOnly="0" labelOnly="1" fieldPosition="0">
        <references count="1">
          <reference field="0" count="1">
            <x v="8"/>
          </reference>
        </references>
      </pivotArea>
    </format>
    <format dxfId="69">
      <pivotArea dataOnly="0" labelOnly="1" fieldPosition="0">
        <references count="1">
          <reference field="0" count="1">
            <x v="9"/>
          </reference>
        </references>
      </pivotArea>
    </format>
    <format dxfId="70">
      <pivotArea dataOnly="0" labelOnly="1" fieldPosition="0">
        <references count="1">
          <reference field="0" count="1">
            <x v="15"/>
          </reference>
        </references>
      </pivotArea>
    </format>
    <format dxfId="71">
      <pivotArea dataOnly="0" labelOnly="1" fieldPosition="0">
        <references count="1">
          <reference field="0" count="1">
            <x v="17"/>
          </reference>
        </references>
      </pivotArea>
    </format>
    <format dxfId="72">
      <pivotArea dataOnly="0" labelOnly="1" fieldPosition="0">
        <references count="1">
          <reference field="0" count="1">
            <x v="23"/>
          </reference>
        </references>
      </pivotArea>
    </format>
    <format dxfId="73">
      <pivotArea dataOnly="0" labelOnly="1" fieldPosition="0">
        <references count="1">
          <reference field="0" count="1">
            <x v="24"/>
          </reference>
        </references>
      </pivotArea>
    </format>
    <format dxfId="74">
      <pivotArea dataOnly="0" labelOnly="1" fieldPosition="0">
        <references count="1">
          <reference field="0" count="1">
            <x v="25"/>
          </reference>
        </references>
      </pivotArea>
    </format>
    <format dxfId="75">
      <pivotArea dataOnly="0" labelOnly="1" fieldPosition="0">
        <references count="1">
          <reference field="0" count="1">
            <x v="26"/>
          </reference>
        </references>
      </pivotArea>
    </format>
    <format dxfId="76">
      <pivotArea dataOnly="0" labelOnly="1" fieldPosition="0">
        <references count="1">
          <reference field="0" count="1">
            <x v="28"/>
          </reference>
        </references>
      </pivotArea>
    </format>
    <format dxfId="77">
      <pivotArea dataOnly="0" labelOnly="1" fieldPosition="0">
        <references count="1">
          <reference field="0" count="1">
            <x v="33"/>
          </reference>
        </references>
      </pivotArea>
    </format>
    <format dxfId="78">
      <pivotArea dataOnly="0" labelOnly="1" fieldPosition="0">
        <references count="1">
          <reference field="0" count="1">
            <x v="38"/>
          </reference>
        </references>
      </pivotArea>
    </format>
    <format dxfId="79">
      <pivotArea dataOnly="0" labelOnly="1" fieldPosition="0">
        <references count="1">
          <reference field="0" count="1">
            <x v="42"/>
          </reference>
        </references>
      </pivotArea>
    </format>
    <format dxfId="80">
      <pivotArea dataOnly="0" labelOnly="1" fieldPosition="0">
        <references count="1">
          <reference field="0" count="1">
            <x v="49"/>
          </reference>
        </references>
      </pivotArea>
    </format>
    <format dxfId="81">
      <pivotArea dataOnly="0" labelOnly="1" fieldPosition="0">
        <references count="1">
          <reference field="0" count="1">
            <x v="50"/>
          </reference>
        </references>
      </pivotArea>
    </format>
    <format dxfId="82">
      <pivotArea collapsedLevelsAreSubtotals="1" fieldPosition="0">
        <references count="1">
          <reference field="0" count="1" selected="0">
            <x v="0"/>
          </reference>
        </references>
      </pivotArea>
    </format>
    <format dxfId="83">
      <pivotArea collapsedLevelsAreSubtotals="1" fieldPosition="0">
        <references count="1">
          <reference field="0" count="1" selected="0">
            <x v="3"/>
          </reference>
        </references>
      </pivotArea>
    </format>
    <format dxfId="84">
      <pivotArea collapsedLevelsAreSubtotals="1" fieldPosition="0">
        <references count="1">
          <reference field="0" count="1" selected="0">
            <x v="6"/>
          </reference>
        </references>
      </pivotArea>
    </format>
    <format dxfId="85">
      <pivotArea collapsedLevelsAreSubtotals="1" fieldPosition="0">
        <references count="1">
          <reference field="0" count="1" selected="0">
            <x v="8"/>
          </reference>
        </references>
      </pivotArea>
    </format>
    <format dxfId="86">
      <pivotArea collapsedLevelsAreSubtotals="1" fieldPosition="0">
        <references count="1">
          <reference field="0" count="1" selected="0">
            <x v="9"/>
          </reference>
        </references>
      </pivotArea>
    </format>
    <format dxfId="87">
      <pivotArea collapsedLevelsAreSubtotals="1" fieldPosition="0">
        <references count="1">
          <reference field="0" count="1" selected="0">
            <x v="15"/>
          </reference>
        </references>
      </pivotArea>
    </format>
    <format dxfId="88">
      <pivotArea collapsedLevelsAreSubtotals="1" fieldPosition="0">
        <references count="1">
          <reference field="0" count="1" selected="0">
            <x v="17"/>
          </reference>
        </references>
      </pivotArea>
    </format>
    <format dxfId="89">
      <pivotArea collapsedLevelsAreSubtotals="1" fieldPosition="0">
        <references count="1">
          <reference field="0" count="1" selected="0">
            <x v="23"/>
          </reference>
        </references>
      </pivotArea>
    </format>
    <format dxfId="90">
      <pivotArea collapsedLevelsAreSubtotals="1" fieldPosition="0">
        <references count="1">
          <reference field="0" count="1" selected="0">
            <x v="24"/>
          </reference>
        </references>
      </pivotArea>
    </format>
    <format dxfId="91">
      <pivotArea collapsedLevelsAreSubtotals="1" fieldPosition="0">
        <references count="1">
          <reference field="0" count="1" selected="0">
            <x v="25"/>
          </reference>
        </references>
      </pivotArea>
    </format>
    <format dxfId="92">
      <pivotArea collapsedLevelsAreSubtotals="1" fieldPosition="0">
        <references count="1">
          <reference field="0" count="1" selected="0">
            <x v="26"/>
          </reference>
        </references>
      </pivotArea>
    </format>
    <format dxfId="93">
      <pivotArea collapsedLevelsAreSubtotals="1" fieldPosition="0">
        <references count="1">
          <reference field="0" count="1" selected="0">
            <x v="28"/>
          </reference>
        </references>
      </pivotArea>
    </format>
    <format dxfId="94">
      <pivotArea collapsedLevelsAreSubtotals="1" fieldPosition="0">
        <references count="1">
          <reference field="0" count="1" selected="0">
            <x v="33"/>
          </reference>
        </references>
      </pivotArea>
    </format>
    <format dxfId="95">
      <pivotArea collapsedLevelsAreSubtotals="1" fieldPosition="0">
        <references count="1">
          <reference field="0" count="1" selected="0">
            <x v="38"/>
          </reference>
        </references>
      </pivotArea>
    </format>
    <format dxfId="96">
      <pivotArea collapsedLevelsAreSubtotals="1" fieldPosition="0">
        <references count="1">
          <reference field="0" count="1" selected="0">
            <x v="42"/>
          </reference>
        </references>
      </pivotArea>
    </format>
    <format dxfId="97">
      <pivotArea collapsedLevelsAreSubtotals="1" fieldPosition="0">
        <references count="1">
          <reference field="0" count="1" selected="0">
            <x v="49"/>
          </reference>
        </references>
      </pivotArea>
    </format>
    <format dxfId="98">
      <pivotArea collapsedLevelsAreSubtotals="1" fieldPosition="0">
        <references count="1">
          <reference field="0" count="1" selected="0">
            <x v="50"/>
          </reference>
        </references>
      </pivotArea>
    </format>
    <format dxfId="99">
      <pivotArea dataOnly="0" labelOnly="1" fieldPosition="0">
        <references count="1">
          <reference field="0" count="1">
            <x v="0"/>
          </reference>
        </references>
      </pivotArea>
    </format>
    <format dxfId="100">
      <pivotArea dataOnly="0" labelOnly="1" fieldPosition="0">
        <references count="1">
          <reference field="0" count="1">
            <x v="3"/>
          </reference>
        </references>
      </pivotArea>
    </format>
    <format dxfId="101">
      <pivotArea dataOnly="0" labelOnly="1" fieldPosition="0">
        <references count="1">
          <reference field="0" count="1">
            <x v="6"/>
          </reference>
        </references>
      </pivotArea>
    </format>
    <format dxfId="102">
      <pivotArea dataOnly="0" labelOnly="1" fieldPosition="0">
        <references count="1">
          <reference field="0" count="1">
            <x v="8"/>
          </reference>
        </references>
      </pivotArea>
    </format>
    <format dxfId="103">
      <pivotArea dataOnly="0" labelOnly="1" fieldPosition="0">
        <references count="1">
          <reference field="0" count="1">
            <x v="9"/>
          </reference>
        </references>
      </pivotArea>
    </format>
    <format dxfId="104">
      <pivotArea dataOnly="0" labelOnly="1" fieldPosition="0">
        <references count="1">
          <reference field="0" count="1">
            <x v="15"/>
          </reference>
        </references>
      </pivotArea>
    </format>
    <format dxfId="105">
      <pivotArea dataOnly="0" labelOnly="1" fieldPosition="0">
        <references count="1">
          <reference field="0" count="1">
            <x v="17"/>
          </reference>
        </references>
      </pivotArea>
    </format>
    <format dxfId="106">
      <pivotArea dataOnly="0" labelOnly="1" fieldPosition="0">
        <references count="1">
          <reference field="0" count="1">
            <x v="23"/>
          </reference>
        </references>
      </pivotArea>
    </format>
    <format dxfId="107">
      <pivotArea dataOnly="0" labelOnly="1" fieldPosition="0">
        <references count="1">
          <reference field="0" count="1">
            <x v="24"/>
          </reference>
        </references>
      </pivotArea>
    </format>
    <format dxfId="108">
      <pivotArea dataOnly="0" labelOnly="1" fieldPosition="0">
        <references count="1">
          <reference field="0" count="1">
            <x v="25"/>
          </reference>
        </references>
      </pivotArea>
    </format>
    <format dxfId="109">
      <pivotArea dataOnly="0" labelOnly="1" fieldPosition="0">
        <references count="1">
          <reference field="0" count="1">
            <x v="26"/>
          </reference>
        </references>
      </pivotArea>
    </format>
    <format dxfId="110">
      <pivotArea dataOnly="0" labelOnly="1" fieldPosition="0">
        <references count="1">
          <reference field="0" count="1">
            <x v="28"/>
          </reference>
        </references>
      </pivotArea>
    </format>
    <format dxfId="111">
      <pivotArea dataOnly="0" labelOnly="1" fieldPosition="0">
        <references count="1">
          <reference field="0" count="1">
            <x v="33"/>
          </reference>
        </references>
      </pivotArea>
    </format>
    <format dxfId="112">
      <pivotArea dataOnly="0" labelOnly="1" fieldPosition="0">
        <references count="1">
          <reference field="0" count="1">
            <x v="38"/>
          </reference>
        </references>
      </pivotArea>
    </format>
    <format dxfId="113">
      <pivotArea dataOnly="0" labelOnly="1" fieldPosition="0">
        <references count="1">
          <reference field="0" count="1">
            <x v="42"/>
          </reference>
        </references>
      </pivotArea>
    </format>
    <format dxfId="114">
      <pivotArea dataOnly="0" labelOnly="1" fieldPosition="0">
        <references count="1">
          <reference field="0" count="1">
            <x v="49"/>
          </reference>
        </references>
      </pivotArea>
    </format>
    <format dxfId="115">
      <pivotArea dataOnly="0" labelOnly="1" fieldPosition="0">
        <references count="1">
          <reference field="0" count="1">
            <x v="50"/>
          </reference>
        </references>
      </pivotArea>
    </format>
    <format dxfId="116">
      <pivotArea collapsedLevelsAreSubtotals="1" fieldPosition="0">
        <references count="1">
          <reference field="0" count="1" selected="0">
            <x v="0"/>
          </reference>
        </references>
      </pivotArea>
    </format>
    <format dxfId="117">
      <pivotArea collapsedLevelsAreSubtotals="1" fieldPosition="0">
        <references count="1">
          <reference field="0" count="1" selected="0">
            <x v="3"/>
          </reference>
        </references>
      </pivotArea>
    </format>
    <format dxfId="118">
      <pivotArea collapsedLevelsAreSubtotals="1" fieldPosition="0">
        <references count="1">
          <reference field="0" count="1" selected="0">
            <x v="6"/>
          </reference>
        </references>
      </pivotArea>
    </format>
    <format dxfId="119">
      <pivotArea collapsedLevelsAreSubtotals="1" fieldPosition="0">
        <references count="1">
          <reference field="0" count="1" selected="0">
            <x v="8"/>
          </reference>
        </references>
      </pivotArea>
    </format>
    <format dxfId="120">
      <pivotArea collapsedLevelsAreSubtotals="1" fieldPosition="0">
        <references count="1">
          <reference field="0" count="1" selected="0">
            <x v="9"/>
          </reference>
        </references>
      </pivotArea>
    </format>
    <format dxfId="121">
      <pivotArea collapsedLevelsAreSubtotals="1" fieldPosition="0">
        <references count="1">
          <reference field="0" count="1" selected="0">
            <x v="15"/>
          </reference>
        </references>
      </pivotArea>
    </format>
    <format dxfId="122">
      <pivotArea collapsedLevelsAreSubtotals="1" fieldPosition="0">
        <references count="1">
          <reference field="0" count="1" selected="0">
            <x v="17"/>
          </reference>
        </references>
      </pivotArea>
    </format>
    <format dxfId="123">
      <pivotArea collapsedLevelsAreSubtotals="1" fieldPosition="0">
        <references count="1">
          <reference field="0" count="1" selected="0">
            <x v="23"/>
          </reference>
        </references>
      </pivotArea>
    </format>
    <format dxfId="124">
      <pivotArea collapsedLevelsAreSubtotals="1" fieldPosition="0">
        <references count="1">
          <reference field="0" count="1" selected="0">
            <x v="24"/>
          </reference>
        </references>
      </pivotArea>
    </format>
    <format dxfId="125">
      <pivotArea collapsedLevelsAreSubtotals="1" fieldPosition="0">
        <references count="1">
          <reference field="0" count="1" selected="0">
            <x v="25"/>
          </reference>
        </references>
      </pivotArea>
    </format>
    <format dxfId="126">
      <pivotArea collapsedLevelsAreSubtotals="1" fieldPosition="0">
        <references count="1">
          <reference field="0" count="1" selected="0">
            <x v="26"/>
          </reference>
        </references>
      </pivotArea>
    </format>
    <format dxfId="127">
      <pivotArea collapsedLevelsAreSubtotals="1" fieldPosition="0">
        <references count="1">
          <reference field="0" count="1" selected="0">
            <x v="28"/>
          </reference>
        </references>
      </pivotArea>
    </format>
    <format dxfId="128">
      <pivotArea collapsedLevelsAreSubtotals="1" fieldPosition="0">
        <references count="1">
          <reference field="0" count="1" selected="0">
            <x v="33"/>
          </reference>
        </references>
      </pivotArea>
    </format>
    <format dxfId="129">
      <pivotArea collapsedLevelsAreSubtotals="1" fieldPosition="0">
        <references count="1">
          <reference field="0" count="1" selected="0">
            <x v="38"/>
          </reference>
        </references>
      </pivotArea>
    </format>
    <format dxfId="130">
      <pivotArea collapsedLevelsAreSubtotals="1" fieldPosition="0">
        <references count="1">
          <reference field="0" count="1" selected="0">
            <x v="42"/>
          </reference>
        </references>
      </pivotArea>
    </format>
    <format dxfId="131">
      <pivotArea collapsedLevelsAreSubtotals="1" fieldPosition="0">
        <references count="1">
          <reference field="0" count="1" selected="0">
            <x v="49"/>
          </reference>
        </references>
      </pivotArea>
    </format>
    <format dxfId="132">
      <pivotArea collapsedLevelsAreSubtotals="1" fieldPosition="0">
        <references count="1">
          <reference field="0" count="1" selected="0">
            <x v="5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9"/>
  <sheetViews>
    <sheetView workbookViewId="0">
      <selection activeCell="E27" sqref="E27"/>
    </sheetView>
  </sheetViews>
  <sheetFormatPr defaultColWidth="9" defaultRowHeight="13.5" outlineLevelCol="1"/>
  <cols>
    <col min="1" max="1" width="16.225" customWidth="1"/>
    <col min="2" max="2" width="17.4416666666667" customWidth="1"/>
  </cols>
  <sheetData>
    <row r="1" spans="1:2">
      <c r="A1" s="17" t="s">
        <v>0</v>
      </c>
      <c r="B1" s="17" t="s">
        <v>1</v>
      </c>
    </row>
    <row r="2" spans="1:2">
      <c r="A2" s="18" t="s">
        <v>2</v>
      </c>
      <c r="B2" s="18" t="s">
        <v>3</v>
      </c>
    </row>
    <row r="3" spans="1:2">
      <c r="A3" s="18" t="s">
        <v>4</v>
      </c>
      <c r="B3" s="18" t="s">
        <v>5</v>
      </c>
    </row>
    <row r="4" spans="1:2">
      <c r="A4" s="18" t="s">
        <v>6</v>
      </c>
      <c r="B4" s="18" t="s">
        <v>7</v>
      </c>
    </row>
    <row r="5" spans="1:2">
      <c r="A5" s="18" t="s">
        <v>8</v>
      </c>
      <c r="B5" s="18" t="s">
        <v>9</v>
      </c>
    </row>
    <row r="6" spans="1:2">
      <c r="A6" s="18" t="s">
        <v>10</v>
      </c>
      <c r="B6" s="18" t="s">
        <v>11</v>
      </c>
    </row>
    <row r="7" spans="1:2">
      <c r="A7" s="18" t="s">
        <v>12</v>
      </c>
      <c r="B7" s="18" t="s">
        <v>13</v>
      </c>
    </row>
    <row r="8" spans="1:2">
      <c r="A8" s="18" t="s">
        <v>14</v>
      </c>
      <c r="B8" s="18" t="s">
        <v>15</v>
      </c>
    </row>
    <row r="9" spans="1:2">
      <c r="A9" s="18" t="s">
        <v>16</v>
      </c>
      <c r="B9" s="18" t="s">
        <v>17</v>
      </c>
    </row>
    <row r="10" spans="1:2">
      <c r="A10" s="18" t="s">
        <v>18</v>
      </c>
      <c r="B10" s="18" t="s">
        <v>19</v>
      </c>
    </row>
    <row r="11" spans="1:2">
      <c r="A11" s="18" t="s">
        <v>20</v>
      </c>
      <c r="B11" s="18" t="s">
        <v>21</v>
      </c>
    </row>
    <row r="12" spans="1:2">
      <c r="A12" s="18" t="s">
        <v>22</v>
      </c>
      <c r="B12" s="18" t="s">
        <v>23</v>
      </c>
    </row>
    <row r="13" spans="1:2">
      <c r="A13" s="18" t="s">
        <v>24</v>
      </c>
      <c r="B13" s="18" t="s">
        <v>25</v>
      </c>
    </row>
    <row r="14" spans="1:2">
      <c r="A14" s="18" t="s">
        <v>26</v>
      </c>
      <c r="B14" s="18" t="s">
        <v>27</v>
      </c>
    </row>
    <row r="15" spans="1:2">
      <c r="A15" s="18" t="s">
        <v>28</v>
      </c>
      <c r="B15" s="18" t="s">
        <v>29</v>
      </c>
    </row>
    <row r="16" spans="1:2">
      <c r="A16" s="18" t="s">
        <v>30</v>
      </c>
      <c r="B16" s="18" t="s">
        <v>31</v>
      </c>
    </row>
    <row r="17" spans="1:2">
      <c r="A17" s="18" t="s">
        <v>32</v>
      </c>
      <c r="B17" s="18" t="s">
        <v>33</v>
      </c>
    </row>
    <row r="18" spans="1:2">
      <c r="A18" s="18" t="s">
        <v>34</v>
      </c>
      <c r="B18" s="18" t="s">
        <v>35</v>
      </c>
    </row>
    <row r="19" spans="1:2">
      <c r="A19" s="18" t="s">
        <v>36</v>
      </c>
      <c r="B19" s="18" t="s">
        <v>37</v>
      </c>
    </row>
    <row r="20" spans="1:2">
      <c r="A20" s="18" t="s">
        <v>38</v>
      </c>
      <c r="B20" s="18" t="s">
        <v>39</v>
      </c>
    </row>
    <row r="21" spans="1:2">
      <c r="A21" s="18" t="s">
        <v>40</v>
      </c>
      <c r="B21" s="18" t="s">
        <v>41</v>
      </c>
    </row>
    <row r="22" spans="1:2">
      <c r="A22" s="18" t="s">
        <v>42</v>
      </c>
      <c r="B22" s="18" t="s">
        <v>43</v>
      </c>
    </row>
    <row r="23" spans="1:2">
      <c r="A23" s="18" t="s">
        <v>44</v>
      </c>
      <c r="B23" s="18" t="s">
        <v>45</v>
      </c>
    </row>
    <row r="24" spans="1:2">
      <c r="A24" s="18" t="s">
        <v>46</v>
      </c>
      <c r="B24" s="18" t="s">
        <v>47</v>
      </c>
    </row>
    <row r="25" spans="1:2">
      <c r="A25" s="18" t="s">
        <v>48</v>
      </c>
      <c r="B25" s="18" t="s">
        <v>49</v>
      </c>
    </row>
    <row r="26" spans="1:2">
      <c r="A26" s="18" t="s">
        <v>50</v>
      </c>
      <c r="B26" s="18" t="s">
        <v>51</v>
      </c>
    </row>
    <row r="27" spans="1:2">
      <c r="A27" s="18"/>
      <c r="B27" s="18"/>
    </row>
    <row r="28" spans="1:2">
      <c r="A28" s="18"/>
      <c r="B28" s="18"/>
    </row>
    <row r="29" spans="1:2">
      <c r="A29" s="18"/>
      <c r="B29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36"/>
  <sheetViews>
    <sheetView tabSelected="1" workbookViewId="0">
      <selection activeCell="J16" sqref="J16"/>
    </sheetView>
  </sheetViews>
  <sheetFormatPr defaultColWidth="9" defaultRowHeight="13.5" outlineLevelCol="7"/>
  <cols>
    <col min="1" max="1" width="47.6666666666667" style="3" customWidth="1"/>
    <col min="2" max="2" width="35.75" style="3" customWidth="1"/>
    <col min="3" max="3" width="27.3333333333333" style="3" customWidth="1"/>
    <col min="4" max="4" width="14.8916666666667" style="4" hidden="1" customWidth="1"/>
    <col min="5" max="5" width="9.125" style="5"/>
    <col min="6" max="6" width="17" style="3"/>
    <col min="7" max="7" width="28.8916666666667" style="3" customWidth="1"/>
    <col min="8" max="16384" width="9" style="3"/>
  </cols>
  <sheetData>
    <row r="1" s="1" customFormat="1" ht="61" customHeight="1" spans="1:7">
      <c r="A1" s="6" t="s">
        <v>52</v>
      </c>
      <c r="B1" s="6" t="s">
        <v>53</v>
      </c>
      <c r="C1" s="6" t="s">
        <v>54</v>
      </c>
      <c r="D1" s="6" t="s">
        <v>55</v>
      </c>
      <c r="E1" s="7" t="s">
        <v>55</v>
      </c>
      <c r="F1" s="7" t="s">
        <v>56</v>
      </c>
      <c r="G1" s="6" t="s">
        <v>57</v>
      </c>
    </row>
    <row r="2" s="2" customFormat="1" ht="75" customHeight="1" spans="1:8">
      <c r="A2" s="8" t="s">
        <v>58</v>
      </c>
      <c r="B2" s="8" t="str">
        <f>TRIM(SUBSTITUTE(SUBSTITUTE(SUBSTITUTE(A2,",",""),"(",""),")",""))</f>
        <v>Sauna Suit for Women Weight Loss Sauna Shirt for Women Sweat Suit Waist Trainer Vest Fitness Body Shaper Zipper Suit</v>
      </c>
      <c r="C2" s="8" t="str" cm="1">
        <f t="array" ref="C2">_xlfn.TEXTJOIN(" ",TRUE,IFERROR(VLOOKUP(_xlfn.TEXTSPLIT(B2," "),单复数!A:B,2,FALSE),_xlfn.TEXTSPLIT(B2," ")))</f>
        <v>Sauna Suit for woman Weight Loss Sauna Shirt for woman Sweat Suit Waist Trainer Vest Fitness Body Shaper Zipper Suit</v>
      </c>
      <c r="D2" s="9" t="str" cm="1">
        <f t="array" ref="D2:D21">TRIM(_xlfn.TEXTSPLIT(C2,," ",1))</f>
        <v>Sauna</v>
      </c>
      <c r="E2" t="s">
        <v>59</v>
      </c>
      <c r="F2" s="10">
        <v>1</v>
      </c>
      <c r="G2" s="11" t="str">
        <f>IF(F2&gt;2,"标题超过规定的重复两次","")</f>
        <v/>
      </c>
      <c r="H2" s="12"/>
    </row>
    <row r="3" spans="4:8">
      <c r="D3" s="11" t="str">
        <v>Suit</v>
      </c>
      <c r="E3" t="s">
        <v>60</v>
      </c>
      <c r="F3" s="10">
        <v>1</v>
      </c>
      <c r="G3" s="11" t="str">
        <f t="shared" ref="G3:G36" si="0">IF(F3&gt;2,"标题超过规定的重复两次","")</f>
        <v/>
      </c>
      <c r="H3" s="13"/>
    </row>
    <row r="4" spans="1:8">
      <c r="A4" s="14" t="str">
        <f>"标题字符总数："&amp;LEN(A2)</f>
        <v>标题字符总数：116</v>
      </c>
      <c r="D4" s="11" t="str">
        <v>for</v>
      </c>
      <c r="E4" s="10" t="s">
        <v>61</v>
      </c>
      <c r="F4" s="10">
        <v>2</v>
      </c>
      <c r="G4" s="11" t="str">
        <f t="shared" si="0"/>
        <v/>
      </c>
      <c r="H4" s="13"/>
    </row>
    <row r="5" spans="1:8">
      <c r="A5" s="2"/>
      <c r="B5" s="3"/>
      <c r="C5" s="3"/>
      <c r="D5" s="11" t="str">
        <v>woman</v>
      </c>
      <c r="E5" t="s">
        <v>62</v>
      </c>
      <c r="F5" s="10">
        <v>1</v>
      </c>
      <c r="G5" s="11" t="str">
        <f t="shared" si="0"/>
        <v/>
      </c>
      <c r="H5" s="13"/>
    </row>
    <row r="6" spans="4:8">
      <c r="D6" s="11" t="str">
        <v>Weight</v>
      </c>
      <c r="E6" t="s">
        <v>63</v>
      </c>
      <c r="F6" s="10">
        <v>2</v>
      </c>
      <c r="G6" s="11" t="str">
        <f t="shared" si="0"/>
        <v/>
      </c>
      <c r="H6" s="13"/>
    </row>
    <row r="7" spans="3:8">
      <c r="C7" s="2"/>
      <c r="D7" s="11" t="str">
        <v>Loss</v>
      </c>
      <c r="E7" t="s">
        <v>64</v>
      </c>
      <c r="F7" s="10">
        <v>1</v>
      </c>
      <c r="G7" s="11" t="str">
        <f t="shared" si="0"/>
        <v/>
      </c>
      <c r="H7" s="13"/>
    </row>
    <row r="8" spans="3:7">
      <c r="C8"/>
      <c r="D8" s="11" t="str">
        <v>Sauna</v>
      </c>
      <c r="E8" t="s">
        <v>65</v>
      </c>
      <c r="F8" s="10">
        <v>1</v>
      </c>
      <c r="G8" s="11" t="str">
        <f t="shared" si="0"/>
        <v/>
      </c>
    </row>
    <row r="9" spans="3:7">
      <c r="C9"/>
      <c r="D9" s="11" t="str">
        <v>Shirt</v>
      </c>
      <c r="E9" t="s">
        <v>66</v>
      </c>
      <c r="F9" s="10">
        <v>3</v>
      </c>
      <c r="G9" s="11" t="str">
        <f t="shared" si="0"/>
        <v>标题超过规定的重复两次</v>
      </c>
    </row>
    <row r="10" spans="3:7">
      <c r="C10"/>
      <c r="D10" s="11" t="str">
        <v>for</v>
      </c>
      <c r="E10" s="10" t="s">
        <v>67</v>
      </c>
      <c r="F10" s="10">
        <v>1</v>
      </c>
      <c r="G10" s="11" t="str">
        <f t="shared" si="0"/>
        <v/>
      </c>
    </row>
    <row r="11" spans="3:7">
      <c r="C11"/>
      <c r="D11" s="11" t="str">
        <v>woman</v>
      </c>
      <c r="E11" t="s">
        <v>68</v>
      </c>
      <c r="F11" s="10">
        <v>1</v>
      </c>
      <c r="G11" s="11" t="str">
        <f t="shared" si="0"/>
        <v/>
      </c>
    </row>
    <row r="12" spans="3:7">
      <c r="C12"/>
      <c r="D12" s="11" t="str">
        <v>Sweat</v>
      </c>
      <c r="E12" t="s">
        <v>69</v>
      </c>
      <c r="F12" s="10">
        <v>1</v>
      </c>
      <c r="G12" s="11" t="str">
        <f t="shared" si="0"/>
        <v/>
      </c>
    </row>
    <row r="13" spans="3:7">
      <c r="C13"/>
      <c r="D13" s="11" t="str">
        <v>Suit</v>
      </c>
      <c r="E13" t="s">
        <v>70</v>
      </c>
      <c r="F13" s="10">
        <v>1</v>
      </c>
      <c r="G13" s="11" t="str">
        <f t="shared" si="0"/>
        <v/>
      </c>
    </row>
    <row r="14" spans="3:7">
      <c r="C14"/>
      <c r="D14" s="11" t="str">
        <v>Waist</v>
      </c>
      <c r="E14" t="s">
        <v>71</v>
      </c>
      <c r="F14" s="10">
        <v>1</v>
      </c>
      <c r="G14" s="11" t="str">
        <f t="shared" si="0"/>
        <v/>
      </c>
    </row>
    <row r="15" spans="3:7">
      <c r="C15"/>
      <c r="D15" s="11" t="str">
        <v>Trainer</v>
      </c>
      <c r="E15" s="10" t="s">
        <v>5</v>
      </c>
      <c r="F15" s="10">
        <v>2</v>
      </c>
      <c r="G15" s="11" t="str">
        <f t="shared" si="0"/>
        <v/>
      </c>
    </row>
    <row r="16" spans="3:7">
      <c r="C16"/>
      <c r="D16" s="11" t="str">
        <v>Vest</v>
      </c>
      <c r="E16" t="s">
        <v>72</v>
      </c>
      <c r="F16" s="10">
        <v>1</v>
      </c>
      <c r="G16" s="11" t="str">
        <f t="shared" si="0"/>
        <v/>
      </c>
    </row>
    <row r="17" spans="3:7">
      <c r="C17"/>
      <c r="D17" s="11" t="str">
        <v>Fitness</v>
      </c>
      <c r="E17" s="10" t="s">
        <v>73</v>
      </c>
      <c r="F17" s="10"/>
      <c r="G17" s="11" t="str">
        <f t="shared" si="0"/>
        <v/>
      </c>
    </row>
    <row r="18" spans="3:7">
      <c r="C18"/>
      <c r="D18" s="11" t="str">
        <v>Body</v>
      </c>
      <c r="E18" s="10" t="s">
        <v>74</v>
      </c>
      <c r="F18" s="10">
        <v>20</v>
      </c>
      <c r="G18" s="11" t="str">
        <f t="shared" si="0"/>
        <v>标题超过规定的重复两次</v>
      </c>
    </row>
    <row r="19" spans="3:7">
      <c r="C19"/>
      <c r="D19" s="11" t="str">
        <v>Shaper</v>
      </c>
      <c r="E19"/>
      <c r="F19"/>
      <c r="G19" s="11" t="str">
        <f t="shared" si="0"/>
        <v/>
      </c>
    </row>
    <row r="20" spans="3:7">
      <c r="C20"/>
      <c r="D20" s="11" t="str">
        <v>Zipper</v>
      </c>
      <c r="E20"/>
      <c r="F20"/>
      <c r="G20" s="11" t="str">
        <f t="shared" si="0"/>
        <v/>
      </c>
    </row>
    <row r="21" spans="3:7">
      <c r="C21"/>
      <c r="D21" s="11" t="str">
        <v>Suit</v>
      </c>
      <c r="E21"/>
      <c r="F21"/>
      <c r="G21" s="11" t="str">
        <f t="shared" si="0"/>
        <v/>
      </c>
    </row>
    <row r="22" spans="3:7">
      <c r="C22"/>
      <c r="D22" s="11"/>
      <c r="E22"/>
      <c r="F22"/>
      <c r="G22" s="11" t="str">
        <f t="shared" si="0"/>
        <v/>
      </c>
    </row>
    <row r="23" spans="3:7">
      <c r="C23"/>
      <c r="D23" s="11"/>
      <c r="E23"/>
      <c r="F23"/>
      <c r="G23" s="11" t="str">
        <f t="shared" si="0"/>
        <v/>
      </c>
    </row>
    <row r="24" spans="3:7">
      <c r="C24"/>
      <c r="D24" s="11"/>
      <c r="E24"/>
      <c r="F24"/>
      <c r="G24" s="11" t="str">
        <f t="shared" si="0"/>
        <v/>
      </c>
    </row>
    <row r="25" spans="3:7">
      <c r="C25"/>
      <c r="D25" s="11"/>
      <c r="E25"/>
      <c r="F25"/>
      <c r="G25" s="11" t="str">
        <f t="shared" si="0"/>
        <v/>
      </c>
    </row>
    <row r="26" spans="4:7">
      <c r="D26" s="11"/>
      <c r="E26"/>
      <c r="F26"/>
      <c r="G26" s="11" t="str">
        <f t="shared" si="0"/>
        <v/>
      </c>
    </row>
    <row r="27" spans="4:7">
      <c r="D27" s="11"/>
      <c r="E27"/>
      <c r="F27"/>
      <c r="G27" s="11" t="str">
        <f t="shared" si="0"/>
        <v/>
      </c>
    </row>
    <row r="28" spans="4:7">
      <c r="D28" s="11"/>
      <c r="E28" s="15"/>
      <c r="F28" s="16"/>
      <c r="G28" s="11" t="str">
        <f t="shared" si="0"/>
        <v/>
      </c>
    </row>
    <row r="29" spans="4:7">
      <c r="D29" s="11"/>
      <c r="E29" s="16"/>
      <c r="F29" s="16"/>
      <c r="G29" s="11" t="str">
        <f t="shared" si="0"/>
        <v/>
      </c>
    </row>
    <row r="30" spans="4:7">
      <c r="D30" s="11"/>
      <c r="E30" s="15"/>
      <c r="F30" s="16"/>
      <c r="G30" s="11" t="str">
        <f t="shared" si="0"/>
        <v/>
      </c>
    </row>
    <row r="31" spans="4:7">
      <c r="D31" s="11"/>
      <c r="E31" s="15"/>
      <c r="F31" s="16"/>
      <c r="G31" s="11" t="str">
        <f t="shared" si="0"/>
        <v/>
      </c>
    </row>
    <row r="32" ht="14" customHeight="1" spans="3:7">
      <c r="C32" s="1"/>
      <c r="D32" s="4"/>
      <c r="G32" s="4" t="str">
        <f t="shared" si="0"/>
        <v/>
      </c>
    </row>
    <row r="33" spans="7:7">
      <c r="G33" s="4" t="str">
        <f t="shared" si="0"/>
        <v/>
      </c>
    </row>
    <row r="34" spans="7:7">
      <c r="G34" s="4" t="str">
        <f t="shared" si="0"/>
        <v/>
      </c>
    </row>
    <row r="35" spans="7:7">
      <c r="G35" s="4" t="str">
        <f t="shared" si="0"/>
        <v/>
      </c>
    </row>
    <row r="36" spans="7:7">
      <c r="G36" s="4" t="str">
        <f t="shared" si="0"/>
        <v/>
      </c>
    </row>
  </sheetData>
  <protectedRanges>
    <protectedRange sqref="A2" name="区域1"/>
  </protectedRanges>
  <conditionalFormatting sqref="A2">
    <cfRule type="expression" dxfId="133" priority="2">
      <formula>LEN(A2)&gt;200</formula>
    </cfRule>
  </conditionalFormatting>
  <conditionalFormatting sqref="F$1:F$1048576">
    <cfRule type="cellIs" dxfId="134" priority="1" operator="greaterThan">
      <formula>2</formula>
    </cfRule>
  </conditionalFormatting>
  <conditionalFormatting sqref="F30:F99">
    <cfRule type="cellIs" dxfId="135" priority="6" operator="greaterThan">
      <formula>2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单复数</vt:lpstr>
      <vt:lpstr>标题检测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WPS_1664800949</cp:lastModifiedBy>
  <dcterms:created xsi:type="dcterms:W3CDTF">2025-01-14T01:28:00Z</dcterms:created>
  <dcterms:modified xsi:type="dcterms:W3CDTF">2025-03-11T06:13:24Z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C9630D9A21504C7D9B4A57DB6692C9AB_13</vt:lpwstr>
  </property>
</Properties>
</file>