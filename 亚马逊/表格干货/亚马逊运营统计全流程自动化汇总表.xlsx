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0910"/>
  <workbookPr autoCompressPictures="0"/>
  <bookViews>
    <workbookView xWindow="3540" yWindow="760" windowWidth="26700" windowHeight="12460" tabRatio="212" activeTab="1"/>
  </bookViews>
  <sheets>
    <sheet name="Sheet3" sheetId="4" state="hidden" r:id="rId1"/>
    <sheet name="汇总" sheetId="2" r:id="rId2"/>
  </sheets>
  <definedNames>
    <definedName name="_xlnm._FilterDatabase" localSheetId="1" hidden="1">汇总!$A$1:$AD$39</definedName>
  </definedNames>
  <calcPr calcId="140001" concurrentCalc="0"/>
  <pivotCaches>
    <pivotCache cacheId="5" r:id="rId3"/>
  </pivotCaches>
  <extLst>
    <ext xmlns:mx="http://schemas.microsoft.com/office/mac/excel/2008/main" uri="{7523E5D3-25F3-A5E0-1632-64F254C22452}">
      <mx:ArchID Flags="2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P39" i="2" l="1"/>
  <c r="N39" i="2"/>
  <c r="M39" i="2"/>
  <c r="S39" i="2"/>
  <c r="U39" i="2"/>
  <c r="V39" i="2"/>
  <c r="W39" i="2"/>
  <c r="X39" i="2"/>
  <c r="Y39" i="2"/>
  <c r="R39" i="2"/>
  <c r="Z39" i="2"/>
  <c r="C39" i="2"/>
  <c r="AA39" i="2"/>
  <c r="T39" i="2"/>
  <c r="O39" i="2"/>
  <c r="Q39" i="2"/>
  <c r="L39" i="2"/>
  <c r="K39" i="2"/>
  <c r="J39" i="2"/>
  <c r="I39" i="2"/>
  <c r="H39" i="2"/>
  <c r="G39" i="2"/>
  <c r="F39" i="2"/>
  <c r="D39" i="2"/>
  <c r="E39" i="2"/>
  <c r="P38" i="2"/>
  <c r="N38" i="2"/>
  <c r="M38" i="2"/>
  <c r="S38" i="2"/>
  <c r="U38" i="2"/>
  <c r="V38" i="2"/>
  <c r="W38" i="2"/>
  <c r="X38" i="2"/>
  <c r="Y38" i="2"/>
  <c r="R38" i="2"/>
  <c r="Z38" i="2"/>
  <c r="C38" i="2"/>
  <c r="AA38" i="2"/>
  <c r="T38" i="2"/>
  <c r="O38" i="2"/>
  <c r="Q38" i="2"/>
  <c r="L38" i="2"/>
  <c r="K38" i="2"/>
  <c r="J38" i="2"/>
  <c r="I38" i="2"/>
  <c r="H38" i="2"/>
  <c r="G38" i="2"/>
  <c r="F38" i="2"/>
  <c r="D38" i="2"/>
  <c r="E38" i="2"/>
  <c r="P37" i="2"/>
  <c r="N37" i="2"/>
  <c r="M37" i="2"/>
  <c r="S37" i="2"/>
  <c r="U37" i="2"/>
  <c r="V37" i="2"/>
  <c r="W37" i="2"/>
  <c r="X37" i="2"/>
  <c r="Y37" i="2"/>
  <c r="R37" i="2"/>
  <c r="Z37" i="2"/>
  <c r="C37" i="2"/>
  <c r="AA37" i="2"/>
  <c r="T37" i="2"/>
  <c r="O37" i="2"/>
  <c r="Q37" i="2"/>
  <c r="L37" i="2"/>
  <c r="K37" i="2"/>
  <c r="J37" i="2"/>
  <c r="I37" i="2"/>
  <c r="H37" i="2"/>
  <c r="G37" i="2"/>
  <c r="F37" i="2"/>
  <c r="D37" i="2"/>
  <c r="E37" i="2"/>
  <c r="P36" i="2"/>
  <c r="N36" i="2"/>
  <c r="M36" i="2"/>
  <c r="S36" i="2"/>
  <c r="U36" i="2"/>
  <c r="V36" i="2"/>
  <c r="W36" i="2"/>
  <c r="X36" i="2"/>
  <c r="Y36" i="2"/>
  <c r="R36" i="2"/>
  <c r="Z36" i="2"/>
  <c r="C36" i="2"/>
  <c r="AA36" i="2"/>
  <c r="T36" i="2"/>
  <c r="O36" i="2"/>
  <c r="Q36" i="2"/>
  <c r="L36" i="2"/>
  <c r="K36" i="2"/>
  <c r="J36" i="2"/>
  <c r="I36" i="2"/>
  <c r="H36" i="2"/>
  <c r="G36" i="2"/>
  <c r="F36" i="2"/>
  <c r="D36" i="2"/>
  <c r="E36" i="2"/>
  <c r="P35" i="2"/>
  <c r="N35" i="2"/>
  <c r="M35" i="2"/>
  <c r="S35" i="2"/>
  <c r="U35" i="2"/>
  <c r="V35" i="2"/>
  <c r="W35" i="2"/>
  <c r="X35" i="2"/>
  <c r="Y35" i="2"/>
  <c r="R35" i="2"/>
  <c r="Z35" i="2"/>
  <c r="C35" i="2"/>
  <c r="AA35" i="2"/>
  <c r="T35" i="2"/>
  <c r="O35" i="2"/>
  <c r="Q35" i="2"/>
  <c r="L35" i="2"/>
  <c r="K35" i="2"/>
  <c r="J35" i="2"/>
  <c r="I35" i="2"/>
  <c r="H35" i="2"/>
  <c r="G35" i="2"/>
  <c r="F35" i="2"/>
  <c r="D35" i="2"/>
  <c r="E35" i="2"/>
  <c r="P34" i="2"/>
  <c r="N34" i="2"/>
  <c r="M34" i="2"/>
  <c r="S34" i="2"/>
  <c r="U34" i="2"/>
  <c r="V34" i="2"/>
  <c r="W34" i="2"/>
  <c r="X34" i="2"/>
  <c r="Y34" i="2"/>
  <c r="R34" i="2"/>
  <c r="Z34" i="2"/>
  <c r="C34" i="2"/>
  <c r="AA34" i="2"/>
  <c r="T34" i="2"/>
  <c r="O34" i="2"/>
  <c r="Q34" i="2"/>
  <c r="L34" i="2"/>
  <c r="K34" i="2"/>
  <c r="J34" i="2"/>
  <c r="I34" i="2"/>
  <c r="H34" i="2"/>
  <c r="G34" i="2"/>
  <c r="F34" i="2"/>
  <c r="D34" i="2"/>
  <c r="E34" i="2"/>
  <c r="P33" i="2"/>
  <c r="N33" i="2"/>
  <c r="M33" i="2"/>
  <c r="S33" i="2"/>
  <c r="U33" i="2"/>
  <c r="V33" i="2"/>
  <c r="W33" i="2"/>
  <c r="X33" i="2"/>
  <c r="Y33" i="2"/>
  <c r="R33" i="2"/>
  <c r="Z33" i="2"/>
  <c r="C33" i="2"/>
  <c r="AA33" i="2"/>
  <c r="T33" i="2"/>
  <c r="O33" i="2"/>
  <c r="Q33" i="2"/>
  <c r="L33" i="2"/>
  <c r="K33" i="2"/>
  <c r="J33" i="2"/>
  <c r="I33" i="2"/>
  <c r="H33" i="2"/>
  <c r="G33" i="2"/>
  <c r="F33" i="2"/>
  <c r="D33" i="2"/>
  <c r="E33" i="2"/>
  <c r="P32" i="2"/>
  <c r="N32" i="2"/>
  <c r="M32" i="2"/>
  <c r="S32" i="2"/>
  <c r="U32" i="2"/>
  <c r="V32" i="2"/>
  <c r="W32" i="2"/>
  <c r="X32" i="2"/>
  <c r="Y32" i="2"/>
  <c r="R32" i="2"/>
  <c r="Z32" i="2"/>
  <c r="C32" i="2"/>
  <c r="AA32" i="2"/>
  <c r="T32" i="2"/>
  <c r="O32" i="2"/>
  <c r="Q32" i="2"/>
  <c r="L32" i="2"/>
  <c r="K32" i="2"/>
  <c r="J32" i="2"/>
  <c r="I32" i="2"/>
  <c r="H32" i="2"/>
  <c r="G32" i="2"/>
  <c r="F32" i="2"/>
  <c r="D32" i="2"/>
  <c r="E32" i="2"/>
  <c r="P31" i="2"/>
  <c r="N31" i="2"/>
  <c r="M31" i="2"/>
  <c r="S31" i="2"/>
  <c r="U31" i="2"/>
  <c r="V31" i="2"/>
  <c r="W31" i="2"/>
  <c r="X31" i="2"/>
  <c r="Y31" i="2"/>
  <c r="R31" i="2"/>
  <c r="Z31" i="2"/>
  <c r="C31" i="2"/>
  <c r="AA31" i="2"/>
  <c r="T31" i="2"/>
  <c r="O31" i="2"/>
  <c r="Q31" i="2"/>
  <c r="L31" i="2"/>
  <c r="K31" i="2"/>
  <c r="J31" i="2"/>
  <c r="I31" i="2"/>
  <c r="H31" i="2"/>
  <c r="G31" i="2"/>
  <c r="F31" i="2"/>
  <c r="D31" i="2"/>
  <c r="E31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Z20" i="2"/>
  <c r="Z21" i="2"/>
  <c r="Z22" i="2"/>
  <c r="Z23" i="2"/>
  <c r="Z24" i="2"/>
  <c r="Z25" i="2"/>
  <c r="Z26" i="2"/>
  <c r="Z27" i="2"/>
  <c r="Z28" i="2"/>
  <c r="Z29" i="2"/>
  <c r="Z30" i="2"/>
  <c r="C30" i="2"/>
  <c r="AA30" i="2"/>
  <c r="Y30" i="2"/>
  <c r="X30" i="2"/>
  <c r="W30" i="2"/>
  <c r="V30" i="2"/>
  <c r="U30" i="2"/>
  <c r="S30" i="2"/>
  <c r="T30" i="2"/>
  <c r="R30" i="2"/>
  <c r="O30" i="2"/>
  <c r="Q30" i="2"/>
  <c r="P30" i="2"/>
  <c r="N30" i="2"/>
  <c r="M30" i="2"/>
  <c r="L30" i="2"/>
  <c r="K30" i="2"/>
  <c r="J30" i="2"/>
  <c r="I30" i="2"/>
  <c r="H30" i="2"/>
  <c r="G30" i="2"/>
  <c r="F30" i="2"/>
  <c r="D30" i="2"/>
  <c r="E30" i="2"/>
  <c r="AA29" i="2"/>
  <c r="T29" i="2"/>
  <c r="E29" i="2"/>
  <c r="AA28" i="2"/>
  <c r="T28" i="2"/>
  <c r="E28" i="2"/>
  <c r="AA27" i="2"/>
  <c r="T27" i="2"/>
  <c r="E27" i="2"/>
  <c r="AA26" i="2"/>
  <c r="T26" i="2"/>
  <c r="E26" i="2"/>
  <c r="AA25" i="2"/>
  <c r="T25" i="2"/>
  <c r="E25" i="2"/>
  <c r="AA24" i="2"/>
  <c r="T24" i="2"/>
  <c r="E24" i="2"/>
  <c r="AA23" i="2"/>
  <c r="T23" i="2"/>
  <c r="E23" i="2"/>
  <c r="AA22" i="2"/>
  <c r="T22" i="2"/>
  <c r="E22" i="2"/>
  <c r="AA21" i="2"/>
  <c r="T21" i="2"/>
  <c r="E21" i="2"/>
  <c r="AA20" i="2"/>
  <c r="T20" i="2"/>
  <c r="E20" i="2"/>
  <c r="AA19" i="2"/>
  <c r="T19" i="2"/>
  <c r="E19" i="2"/>
  <c r="AA18" i="2"/>
  <c r="T18" i="2"/>
  <c r="E18" i="2"/>
  <c r="AA17" i="2"/>
  <c r="T17" i="2"/>
  <c r="E17" i="2"/>
  <c r="AA16" i="2"/>
  <c r="T16" i="2"/>
  <c r="E16" i="2"/>
  <c r="AA15" i="2"/>
  <c r="T15" i="2"/>
  <c r="E15" i="2"/>
  <c r="AA14" i="2"/>
  <c r="T14" i="2"/>
  <c r="E14" i="2"/>
  <c r="AA13" i="2"/>
  <c r="T13" i="2"/>
  <c r="E13" i="2"/>
  <c r="AA12" i="2"/>
  <c r="T12" i="2"/>
  <c r="E12" i="2"/>
  <c r="AA11" i="2"/>
  <c r="T11" i="2"/>
  <c r="E11" i="2"/>
  <c r="AA10" i="2"/>
  <c r="T10" i="2"/>
  <c r="E10" i="2"/>
  <c r="AA9" i="2"/>
  <c r="T9" i="2"/>
  <c r="E9" i="2"/>
  <c r="AA8" i="2"/>
  <c r="T8" i="2"/>
  <c r="E8" i="2"/>
  <c r="AA7" i="2"/>
  <c r="T7" i="2"/>
  <c r="E7" i="2"/>
  <c r="AA6" i="2"/>
  <c r="T6" i="2"/>
  <c r="E6" i="2"/>
  <c r="AA5" i="2"/>
  <c r="T5" i="2"/>
  <c r="E5" i="2"/>
  <c r="AA4" i="2"/>
  <c r="T4" i="2"/>
  <c r="E4" i="2"/>
  <c r="AA3" i="2"/>
  <c r="T3" i="2"/>
  <c r="E3" i="2"/>
  <c r="AA2" i="2"/>
  <c r="T2" i="2"/>
  <c r="E2" i="2"/>
</calcChain>
</file>

<file path=xl/comments1.xml><?xml version="1.0" encoding="utf-8"?>
<comments xmlns="http://schemas.openxmlformats.org/spreadsheetml/2006/main">
  <authors>
    <author>Administrator</author>
    <author>Neo xie</author>
  </authors>
  <commentList>
    <comment ref="I1" authorId="0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发货运费</t>
        </r>
      </text>
    </comment>
    <comment ref="O1" authorId="0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＝（退款＋补发）＊0.85/速卖通 0.92
</t>
        </r>
      </text>
    </comment>
    <comment ref="T1" authorId="0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联盟营销佣金/销售额</t>
        </r>
      </text>
    </comment>
    <comment ref="V1" authorId="0">
      <text>
        <r>
          <rPr>
            <b/>
            <sz val="9"/>
            <rFont val="宋体"/>
            <family val="3"/>
            <charset val="134"/>
          </rPr>
          <t xml:space="preserve">Administrator:亚马逊平台需填此项数据
</t>
        </r>
      </text>
    </comment>
    <comment ref="X1" authorId="0">
      <text>
        <r>
          <rPr>
            <sz val="12"/>
            <rFont val="宋体"/>
            <family val="3"/>
            <charset val="134"/>
          </rPr>
          <t xml:space="preserve">ebay：刊登+进阶+运费+$39.99
AMZTracker
Bqool
</t>
        </r>
      </text>
    </comment>
    <comment ref="Y1" authorId="0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主要亚马逊</t>
        </r>
      </text>
    </comment>
    <comment ref="Z1" authorId="1">
      <text>
        <r>
          <rPr>
            <sz val="9"/>
            <rFont val="宋体"/>
            <family val="3"/>
            <charset val="134"/>
          </rPr>
          <t xml:space="preserve">Neo xie:
＝销售额－所有成本
</t>
        </r>
      </text>
    </comment>
    <comment ref="AA1" authorId="1">
      <text>
        <r>
          <rPr>
            <sz val="9"/>
            <rFont val="宋体"/>
            <family val="3"/>
            <charset val="134"/>
          </rPr>
          <t xml:space="preserve">＝净利润／销售额
</t>
        </r>
      </text>
    </comment>
  </commentList>
</comments>
</file>

<file path=xl/sharedStrings.xml><?xml version="1.0" encoding="utf-8"?>
<sst xmlns="http://schemas.openxmlformats.org/spreadsheetml/2006/main" count="48" uniqueCount="37">
  <si>
    <t>平台</t>
  </si>
  <si>
    <t>ebay</t>
  </si>
  <si>
    <t>wish</t>
  </si>
  <si>
    <t>速卖通</t>
  </si>
  <si>
    <t>亚马逊美国1</t>
  </si>
  <si>
    <t>亚马逊美国2</t>
  </si>
  <si>
    <t>亚马逊美国3</t>
  </si>
  <si>
    <t>亚马逊欧洲1</t>
  </si>
  <si>
    <t>亚马逊欧洲2</t>
  </si>
  <si>
    <t>亚马逊日本</t>
  </si>
  <si>
    <t>总计</t>
  </si>
  <si>
    <t>账号</t>
  </si>
  <si>
    <t>销售额</t>
  </si>
  <si>
    <t>上月销售额</t>
  </si>
  <si>
    <t>环比</t>
  </si>
  <si>
    <t>平台手续费</t>
  </si>
  <si>
    <t>支付手续费</t>
  </si>
  <si>
    <t>FBA操作费</t>
  </si>
  <si>
    <t>平台其他支出</t>
  </si>
  <si>
    <t>退款金额</t>
  </si>
  <si>
    <t>重发成本</t>
  </si>
  <si>
    <t>采购（含运费）</t>
  </si>
  <si>
    <t>头程运费</t>
  </si>
  <si>
    <t>头程关税</t>
  </si>
  <si>
    <t>目的地派送费</t>
  </si>
  <si>
    <t>易仓利润</t>
  </si>
  <si>
    <t>退货款比例</t>
  </si>
  <si>
    <t>退款返还费用</t>
  </si>
  <si>
    <t>联盟营销佣金</t>
  </si>
  <si>
    <t>营销比例</t>
  </si>
  <si>
    <t>FBA运费</t>
  </si>
  <si>
    <t>FBA仓储费用</t>
  </si>
  <si>
    <t>店铺费用</t>
  </si>
  <si>
    <t>第三方软件费用</t>
  </si>
  <si>
    <t>刷单退款</t>
  </si>
  <si>
    <t>净利润</t>
  </si>
  <si>
    <t>毛利率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</si>
</sst>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176" formatCode="#,##0.00_ "/>
    <numFmt numFmtId="177" formatCode="_ * #,##0.00_ ;_ * \-#,##0.00_ ;_ * &quot;-&quot;??_ ;_ @_ "/>
    <numFmt numFmtId="178" formatCode="0.0_);\(0.0\)"/>
    <numFmt numFmtId="179" formatCode="0.0%"/>
    <numFmt numFmtId="180" formatCode="0_);[Red]\(0\)"/>
    <numFmt numFmtId="181" formatCode="0_ "/>
    <numFmt numFmtId="182" formatCode="0.00_ "/>
  </numFmts>
  <fonts count="18" x14ac:knownFonts="1">
    <font>
      <sz val="11"/>
      <color indexed="8"/>
      <name val="Calibri"/>
      <charset val="134"/>
    </font>
    <font>
      <sz val="11"/>
      <color theme="1"/>
      <name val="宋体"/>
      <family val="3"/>
      <charset val="134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2"/>
      <color theme="7" tint="0.79992065187536243"/>
      <name val="华文楷体"/>
      <family val="1"/>
      <charset val="134"/>
    </font>
    <font>
      <sz val="11"/>
      <color theme="7" tint="0.79992065187536243"/>
      <name val="华文楷体"/>
      <family val="1"/>
      <charset val="134"/>
    </font>
    <font>
      <sz val="12"/>
      <color theme="7" tint="0.79992065187536243"/>
      <name val="华文楷体"/>
      <family val="1"/>
      <charset val="134"/>
    </font>
    <font>
      <b/>
      <sz val="12"/>
      <name val="华文楷体"/>
      <family val="1"/>
      <charset val="134"/>
    </font>
    <font>
      <sz val="11"/>
      <color theme="1"/>
      <name val="华文楷体"/>
      <family val="1"/>
      <charset val="134"/>
    </font>
    <font>
      <sz val="12"/>
      <color indexed="8"/>
      <name val="华文楷体"/>
      <family val="1"/>
      <charset val="134"/>
    </font>
    <font>
      <sz val="12"/>
      <name val="华文楷体"/>
      <family val="1"/>
      <charset val="134"/>
    </font>
    <font>
      <sz val="11"/>
      <color indexed="8"/>
      <name val="宋体"/>
      <family val="3"/>
      <charset val="134"/>
      <scheme val="minor"/>
    </font>
    <font>
      <u/>
      <sz val="11"/>
      <color rgb="FF0000FF"/>
      <name val="宋体"/>
      <family val="3"/>
      <charset val="134"/>
      <scheme val="minor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12"/>
      <name val="宋体"/>
      <family val="3"/>
      <charset val="134"/>
    </font>
    <font>
      <sz val="11"/>
      <color rgb="FF000000"/>
      <name val="宋体"/>
      <family val="3"/>
      <charset val="134"/>
    </font>
    <font>
      <sz val="9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39994506668294322"/>
        <bgColor indexed="64"/>
      </patternFill>
    </fill>
    <fill>
      <patternFill patternType="solid">
        <fgColor theme="0" tint="-0.14993743705557422"/>
        <bgColor theme="0" tint="-0.14993743705557422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/>
      <top/>
      <bottom style="thin">
        <color theme="1"/>
      </bottom>
      <diagonal/>
    </border>
    <border>
      <left/>
      <right style="medium">
        <color auto="1"/>
      </right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double">
        <color auto="1"/>
      </right>
      <top/>
      <bottom/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/>
      <right style="thin">
        <color rgb="FFABABAB"/>
      </right>
      <top/>
      <bottom/>
      <diagonal/>
    </border>
    <border>
      <left style="thin">
        <color rgb="FFABABAB"/>
      </left>
      <right/>
      <top/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/>
      <right/>
      <top style="thin">
        <color rgb="FFABABAB"/>
      </top>
      <bottom style="thin">
        <color rgb="FFABABAB"/>
      </bottom>
      <diagonal/>
    </border>
    <border>
      <left/>
      <right style="thin">
        <color rgb="FFABABAB"/>
      </right>
      <top style="thin">
        <color rgb="FFABABAB"/>
      </top>
      <bottom style="thin">
        <color rgb="FFABABAB"/>
      </bottom>
      <diagonal/>
    </border>
  </borders>
  <cellStyleXfs count="6">
    <xf numFmtId="0" fontId="0" fillId="0" borderId="0" applyFill="0" applyProtection="0"/>
    <xf numFmtId="177" fontId="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/>
    <xf numFmtId="9" fontId="1" fillId="0" borderId="0" applyFont="0" applyFill="0" applyBorder="0" applyAlignment="0" applyProtection="0">
      <alignment vertical="center"/>
    </xf>
    <xf numFmtId="0" fontId="11" fillId="0" borderId="0"/>
  </cellStyleXfs>
  <cellXfs count="64">
    <xf numFmtId="0" fontId="0" fillId="0" borderId="0" xfId="0" applyFill="1" applyProtection="1"/>
    <xf numFmtId="0" fontId="1" fillId="0" borderId="0" xfId="0" applyFont="1" applyFill="1" applyAlignment="1" applyProtection="1">
      <alignment vertical="center"/>
    </xf>
    <xf numFmtId="0" fontId="2" fillId="2" borderId="1" xfId="3" applyFont="1" applyFill="1" applyBorder="1" applyAlignment="1">
      <alignment horizontal="center" vertical="center" wrapText="1"/>
    </xf>
    <xf numFmtId="10" fontId="2" fillId="2" borderId="1" xfId="3" applyNumberFormat="1" applyFont="1" applyFill="1" applyBorder="1" applyAlignment="1">
      <alignment horizontal="center" vertical="center" wrapText="1"/>
    </xf>
    <xf numFmtId="0" fontId="3" fillId="3" borderId="2" xfId="0" applyFont="1" applyFill="1" applyBorder="1" applyAlignment="1" applyProtection="1">
      <alignment horizontal="center" vertical="center" wrapText="1"/>
    </xf>
    <xf numFmtId="176" fontId="3" fillId="3" borderId="2" xfId="0" applyNumberFormat="1" applyFont="1" applyFill="1" applyBorder="1" applyAlignment="1" applyProtection="1">
      <alignment horizontal="right"/>
    </xf>
    <xf numFmtId="9" fontId="3" fillId="3" borderId="2" xfId="4" applyFont="1" applyFill="1" applyBorder="1" applyAlignment="1">
      <alignment horizontal="right"/>
    </xf>
    <xf numFmtId="177" fontId="3" fillId="3" borderId="2" xfId="1" applyFont="1" applyFill="1" applyBorder="1" applyAlignment="1">
      <alignment horizontal="right"/>
    </xf>
    <xf numFmtId="0" fontId="3" fillId="0" borderId="0" xfId="5" applyFont="1" applyAlignment="1">
      <alignment horizontal="center" vertical="center" wrapText="1"/>
    </xf>
    <xf numFmtId="176" fontId="3" fillId="0" borderId="0" xfId="0" applyNumberFormat="1" applyFont="1" applyFill="1" applyAlignment="1" applyProtection="1">
      <alignment horizontal="right"/>
    </xf>
    <xf numFmtId="9" fontId="3" fillId="0" borderId="0" xfId="4" applyFont="1" applyFill="1" applyBorder="1" applyAlignment="1">
      <alignment horizontal="right"/>
    </xf>
    <xf numFmtId="177" fontId="3" fillId="0" borderId="0" xfId="1" applyFont="1" applyFill="1" applyBorder="1" applyAlignment="1">
      <alignment horizontal="right"/>
    </xf>
    <xf numFmtId="0" fontId="3" fillId="3" borderId="0" xfId="0" applyFont="1" applyFill="1" applyAlignment="1" applyProtection="1">
      <alignment horizontal="center" vertical="center" wrapText="1"/>
    </xf>
    <xf numFmtId="176" fontId="3" fillId="3" borderId="0" xfId="0" applyNumberFormat="1" applyFont="1" applyFill="1" applyAlignment="1" applyProtection="1">
      <alignment horizontal="right"/>
    </xf>
    <xf numFmtId="9" fontId="3" fillId="3" borderId="0" xfId="4" applyFont="1" applyFill="1" applyBorder="1" applyAlignment="1">
      <alignment horizontal="right"/>
    </xf>
    <xf numFmtId="177" fontId="3" fillId="3" borderId="0" xfId="1" applyFont="1" applyFill="1" applyBorder="1" applyAlignment="1">
      <alignment horizontal="right"/>
    </xf>
    <xf numFmtId="0" fontId="3" fillId="0" borderId="0" xfId="0" applyFont="1" applyFill="1" applyAlignment="1" applyProtection="1">
      <alignment horizontal="center" vertical="center" wrapText="1"/>
    </xf>
    <xf numFmtId="0" fontId="3" fillId="3" borderId="0" xfId="5" applyFont="1" applyFill="1" applyAlignment="1">
      <alignment horizontal="center" vertical="center" wrapText="1"/>
    </xf>
    <xf numFmtId="9" fontId="3" fillId="3" borderId="0" xfId="4" applyFont="1" applyFill="1" applyBorder="1" applyAlignment="1" applyProtection="1">
      <alignment horizontal="right"/>
    </xf>
    <xf numFmtId="9" fontId="3" fillId="0" borderId="0" xfId="4" applyFont="1" applyFill="1" applyBorder="1" applyAlignment="1" applyProtection="1">
      <alignment horizontal="right"/>
    </xf>
    <xf numFmtId="0" fontId="3" fillId="0" borderId="3" xfId="0" applyFont="1" applyFill="1" applyBorder="1" applyAlignment="1" applyProtection="1">
      <alignment horizontal="center" vertical="center" wrapText="1"/>
    </xf>
    <xf numFmtId="176" fontId="3" fillId="0" borderId="3" xfId="0" applyNumberFormat="1" applyFont="1" applyFill="1" applyBorder="1" applyAlignment="1" applyProtection="1">
      <alignment horizontal="right"/>
    </xf>
    <xf numFmtId="9" fontId="3" fillId="0" borderId="3" xfId="4" applyFont="1" applyFill="1" applyBorder="1" applyAlignment="1">
      <alignment horizontal="right"/>
    </xf>
    <xf numFmtId="177" fontId="3" fillId="0" borderId="3" xfId="1" applyFont="1" applyFill="1" applyBorder="1" applyAlignment="1">
      <alignment horizontal="right"/>
    </xf>
    <xf numFmtId="0" fontId="4" fillId="4" borderId="4" xfId="3" applyFont="1" applyFill="1" applyBorder="1" applyAlignment="1">
      <alignment horizontal="center" vertical="center" wrapText="1"/>
    </xf>
    <xf numFmtId="0" fontId="4" fillId="4" borderId="5" xfId="3" applyFont="1" applyFill="1" applyBorder="1" applyAlignment="1">
      <alignment horizontal="center" vertical="center" wrapText="1"/>
    </xf>
    <xf numFmtId="176" fontId="5" fillId="4" borderId="5" xfId="0" applyNumberFormat="1" applyFont="1" applyFill="1" applyBorder="1" applyAlignment="1" applyProtection="1">
      <alignment horizontal="right"/>
    </xf>
    <xf numFmtId="10" fontId="6" fillId="4" borderId="5" xfId="5" applyNumberFormat="1" applyFont="1" applyFill="1" applyBorder="1" applyAlignment="1">
      <alignment horizontal="right" wrapText="1"/>
    </xf>
    <xf numFmtId="177" fontId="5" fillId="4" borderId="5" xfId="1" applyFont="1" applyFill="1" applyBorder="1" applyAlignment="1">
      <alignment horizontal="right"/>
    </xf>
    <xf numFmtId="0" fontId="7" fillId="5" borderId="6" xfId="3" applyFont="1" applyFill="1" applyBorder="1" applyAlignment="1">
      <alignment horizontal="center" vertical="center" wrapText="1"/>
    </xf>
    <xf numFmtId="0" fontId="7" fillId="5" borderId="7" xfId="3" applyFont="1" applyFill="1" applyBorder="1" applyAlignment="1">
      <alignment horizontal="center" vertical="center" wrapText="1"/>
    </xf>
    <xf numFmtId="176" fontId="8" fillId="0" borderId="8" xfId="0" applyNumberFormat="1" applyFont="1" applyFill="1" applyBorder="1" applyAlignment="1" applyProtection="1">
      <alignment horizontal="right"/>
    </xf>
    <xf numFmtId="9" fontId="9" fillId="0" borderId="9" xfId="5" applyNumberFormat="1" applyFont="1" applyBorder="1" applyAlignment="1">
      <alignment horizontal="right" wrapText="1"/>
    </xf>
    <xf numFmtId="0" fontId="7" fillId="5" borderId="10" xfId="3" applyFont="1" applyFill="1" applyBorder="1" applyAlignment="1">
      <alignment horizontal="center" vertical="center" wrapText="1"/>
    </xf>
    <xf numFmtId="177" fontId="8" fillId="0" borderId="7" xfId="1" applyFont="1" applyFill="1" applyBorder="1" applyAlignment="1">
      <alignment horizontal="right"/>
    </xf>
    <xf numFmtId="0" fontId="7" fillId="5" borderId="11" xfId="3" applyFont="1" applyFill="1" applyBorder="1" applyAlignment="1">
      <alignment horizontal="center" vertical="center" wrapText="1"/>
    </xf>
    <xf numFmtId="0" fontId="7" fillId="5" borderId="9" xfId="3" applyFont="1" applyFill="1" applyBorder="1" applyAlignment="1">
      <alignment horizontal="center" vertical="center" wrapText="1"/>
    </xf>
    <xf numFmtId="177" fontId="8" fillId="0" borderId="9" xfId="1" applyFont="1" applyFill="1" applyBorder="1" applyAlignment="1">
      <alignment horizontal="right"/>
    </xf>
    <xf numFmtId="176" fontId="8" fillId="0" borderId="9" xfId="0" applyNumberFormat="1" applyFont="1" applyFill="1" applyBorder="1" applyAlignment="1" applyProtection="1">
      <alignment horizontal="right"/>
    </xf>
    <xf numFmtId="178" fontId="2" fillId="2" borderId="1" xfId="3" applyNumberFormat="1" applyFont="1" applyFill="1" applyBorder="1" applyAlignment="1">
      <alignment horizontal="center" vertical="center" wrapText="1"/>
    </xf>
    <xf numFmtId="179" fontId="2" fillId="2" borderId="1" xfId="3" applyNumberFormat="1" applyFont="1" applyFill="1" applyBorder="1" applyAlignment="1">
      <alignment horizontal="center" vertical="center" wrapText="1"/>
    </xf>
    <xf numFmtId="180" fontId="2" fillId="2" borderId="1" xfId="5" applyNumberFormat="1" applyFont="1" applyFill="1" applyBorder="1" applyAlignment="1">
      <alignment horizontal="center" vertical="center" wrapText="1"/>
    </xf>
    <xf numFmtId="181" fontId="3" fillId="3" borderId="2" xfId="4" applyNumberFormat="1" applyFont="1" applyFill="1" applyBorder="1" applyAlignment="1">
      <alignment horizontal="right"/>
    </xf>
    <xf numFmtId="182" fontId="3" fillId="3" borderId="2" xfId="4" applyNumberFormat="1" applyFont="1" applyFill="1" applyBorder="1" applyAlignment="1">
      <alignment horizontal="right"/>
    </xf>
    <xf numFmtId="182" fontId="3" fillId="0" borderId="0" xfId="4" applyNumberFormat="1" applyFont="1" applyFill="1" applyBorder="1" applyAlignment="1">
      <alignment horizontal="right"/>
    </xf>
    <xf numFmtId="182" fontId="3" fillId="3" borderId="0" xfId="4" applyNumberFormat="1" applyFont="1" applyFill="1" applyBorder="1" applyAlignment="1">
      <alignment horizontal="right"/>
    </xf>
    <xf numFmtId="182" fontId="3" fillId="0" borderId="0" xfId="0" applyNumberFormat="1" applyFont="1" applyFill="1" applyAlignment="1" applyProtection="1">
      <alignment horizontal="right"/>
    </xf>
    <xf numFmtId="182" fontId="3" fillId="0" borderId="3" xfId="4" applyNumberFormat="1" applyFont="1" applyFill="1" applyBorder="1" applyAlignment="1">
      <alignment horizontal="right"/>
    </xf>
    <xf numFmtId="9" fontId="10" fillId="0" borderId="9" xfId="5" applyNumberFormat="1" applyFont="1" applyBorder="1" applyAlignment="1">
      <alignment horizontal="right" wrapText="1"/>
    </xf>
    <xf numFmtId="0" fontId="2" fillId="2" borderId="1" xfId="0" applyFont="1" applyFill="1" applyBorder="1" applyAlignment="1" applyProtection="1">
      <alignment vertical="center"/>
    </xf>
    <xf numFmtId="0" fontId="8" fillId="0" borderId="0" xfId="0" applyFont="1" applyFill="1" applyAlignment="1" applyProtection="1">
      <alignment vertical="center"/>
    </xf>
    <xf numFmtId="9" fontId="9" fillId="0" borderId="12" xfId="4" applyFont="1" applyFill="1" applyBorder="1" applyAlignment="1" applyProtection="1">
      <alignment horizontal="right" wrapText="1"/>
    </xf>
    <xf numFmtId="9" fontId="6" fillId="4" borderId="5" xfId="4" applyFont="1" applyFill="1" applyBorder="1" applyAlignment="1" applyProtection="1">
      <alignment horizontal="right" wrapText="1"/>
    </xf>
    <xf numFmtId="9" fontId="9" fillId="0" borderId="13" xfId="4" applyFont="1" applyFill="1" applyBorder="1" applyAlignment="1" applyProtection="1">
      <alignment horizontal="right" wrapText="1"/>
    </xf>
    <xf numFmtId="0" fontId="0" fillId="0" borderId="14" xfId="0" applyFill="1" applyBorder="1" applyProtection="1"/>
    <xf numFmtId="0" fontId="0" fillId="0" borderId="15" xfId="0" applyFill="1" applyBorder="1" applyProtection="1"/>
    <xf numFmtId="0" fontId="0" fillId="0" borderId="16" xfId="0" applyFill="1" applyBorder="1" applyProtection="1"/>
    <xf numFmtId="0" fontId="0" fillId="0" borderId="17" xfId="0" applyFill="1" applyBorder="1" applyProtection="1"/>
    <xf numFmtId="0" fontId="0" fillId="0" borderId="18" xfId="0" applyFill="1" applyBorder="1" applyProtection="1"/>
    <xf numFmtId="0" fontId="0" fillId="0" borderId="19" xfId="0" applyFill="1" applyBorder="1" applyProtection="1"/>
    <xf numFmtId="0" fontId="0" fillId="0" borderId="20" xfId="0" applyFill="1" applyBorder="1" applyProtection="1"/>
    <xf numFmtId="0" fontId="0" fillId="0" borderId="21" xfId="0" applyFill="1" applyBorder="1" applyProtection="1"/>
    <xf numFmtId="0" fontId="16" fillId="0" borderId="0" xfId="0" applyFont="1" applyFill="1" applyAlignment="1" applyProtection="1">
      <alignment horizontal="left" vertical="center"/>
    </xf>
    <xf numFmtId="0" fontId="12" fillId="0" borderId="0" xfId="2" applyFill="1" applyAlignment="1" applyProtection="1">
      <alignment horizontal="left" vertical="center"/>
    </xf>
  </cellXfs>
  <cellStyles count="6">
    <cellStyle name="百分比" xfId="4" builtinId="5"/>
    <cellStyle name="超链接" xfId="2" builtinId="8"/>
    <cellStyle name="逗号" xfId="1" builtinId="3"/>
    <cellStyle name="普通" xfId="0" builtinId="0"/>
    <cellStyle name="普通 2" xfId="3"/>
    <cellStyle name="普通 3" xf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F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000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7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dministrator" refreshedDate="43018.470335648097" createdVersion="1" refreshedVersion="5" minRefreshableVersion="1" recordCount="27">
  <cacheSource type="worksheet">
    <worksheetSource ref="B1:C29" sheet="汇总"/>
  </cacheSource>
  <cacheFields count="2">
    <cacheField name="平台" numFmtId="0">
      <sharedItems count="9">
        <s v="亚马逊美国1"/>
        <s v="亚马逊欧洲1"/>
        <s v="亚马逊美国2"/>
        <s v="亚马逊美国3"/>
        <s v="亚马逊日本"/>
        <s v="速卖通"/>
        <s v="ebay"/>
        <s v="wish"/>
        <s v="亚马逊欧洲2"/>
      </sharedItems>
    </cacheField>
    <cacheField name="销售额" numFmtId="176">
      <sharedItems containsSemiMixedTypes="0" containsString="0" containsNumber="1" minValue="0" maxValue="848234.07499999995" count="27">
        <n v="848234.07499999995"/>
        <n v="345050.95500000002"/>
        <n v="134604.92499999999"/>
        <n v="98895.9"/>
        <n v="50214.525000000001"/>
        <n v="34004.36"/>
        <n v="30451.05"/>
        <n v="29192.35"/>
        <n v="23864.957999999999"/>
        <n v="19808.62"/>
        <n v="17352.205000000002"/>
        <n v="16930.810000000001"/>
        <n v="14661.665000000001"/>
        <n v="6437.1350000000002"/>
        <n v="5541.8249999999998"/>
        <n v="5397.75"/>
        <n v="4959.375"/>
        <n v="4381.45"/>
        <n v="3275.6109999999999"/>
        <n v="1511.5550000000001"/>
        <n v="437.77499999999998"/>
        <n v="413.4"/>
        <n v="233.797"/>
        <n v="191.845"/>
        <n v="121.355"/>
        <n v="119.925"/>
        <n v="106.76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7">
  <r>
    <x v="0"/>
    <x v="0"/>
  </r>
  <r>
    <x v="1"/>
    <x v="1"/>
  </r>
  <r>
    <x v="2"/>
    <x v="2"/>
  </r>
  <r>
    <x v="1"/>
    <x v="3"/>
  </r>
  <r>
    <x v="1"/>
    <x v="4"/>
  </r>
  <r>
    <x v="3"/>
    <x v="5"/>
  </r>
  <r>
    <x v="1"/>
    <x v="6"/>
  </r>
  <r>
    <x v="4"/>
    <x v="7"/>
  </r>
  <r>
    <x v="5"/>
    <x v="8"/>
  </r>
  <r>
    <x v="6"/>
    <x v="9"/>
  </r>
  <r>
    <x v="5"/>
    <x v="10"/>
  </r>
  <r>
    <x v="7"/>
    <x v="11"/>
  </r>
  <r>
    <x v="8"/>
    <x v="12"/>
  </r>
  <r>
    <x v="8"/>
    <x v="13"/>
  </r>
  <r>
    <x v="8"/>
    <x v="14"/>
  </r>
  <r>
    <x v="8"/>
    <x v="15"/>
  </r>
  <r>
    <x v="1"/>
    <x v="16"/>
  </r>
  <r>
    <x v="0"/>
    <x v="17"/>
  </r>
  <r>
    <x v="0"/>
    <x v="18"/>
  </r>
  <r>
    <x v="6"/>
    <x v="19"/>
  </r>
  <r>
    <x v="6"/>
    <x v="20"/>
  </r>
  <r>
    <x v="6"/>
    <x v="21"/>
  </r>
  <r>
    <x v="7"/>
    <x v="22"/>
  </r>
  <r>
    <x v="6"/>
    <x v="23"/>
  </r>
  <r>
    <x v="7"/>
    <x v="24"/>
  </r>
  <r>
    <x v="8"/>
    <x v="25"/>
  </r>
  <r>
    <x v="6"/>
    <x v="2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3" cacheId="5" applyNumberFormats="0" applyBorderFormats="0" applyFontFormats="0" applyPatternFormats="0" applyAlignmentFormats="0" applyWidthHeightFormats="1" dataCaption="值" updatedVersion="5" minRefreshableVersion="1" showDrill="0" useAutoFormatting="1" createdVersion="1" indent="0" compact="0" compactData="0" gridDropZones="1" multipleFieldFilters="0">
  <location ref="A3:G14" firstHeaderRow="2" firstDataRow="2" firstDataCol="1"/>
  <pivotFields count="2">
    <pivotField axis="axisRow" compact="0" outline="0" subtotalTop="0" showAll="0" includeNewItemsInFilter="1">
      <items count="10">
        <item x="6"/>
        <item x="7"/>
        <item x="5"/>
        <item x="0"/>
        <item x="2"/>
        <item x="3"/>
        <item x="1"/>
        <item x="8"/>
        <item x="4"/>
        <item t="default"/>
      </items>
    </pivotField>
    <pivotField compact="0" numFmtId="176" outline="0" subtotalTop="0" showAll="0" includeNewItemsInFilter="1"/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G14"/>
  <sheetViews>
    <sheetView workbookViewId="0">
      <selection activeCell="A7" sqref="A5:A7"/>
    </sheetView>
  </sheetViews>
  <sheetFormatPr baseColWidth="10" defaultColWidth="9.1640625" defaultRowHeight="14" x14ac:dyDescent="0"/>
  <cols>
    <col min="1" max="1" width="20.5" customWidth="1"/>
  </cols>
  <sheetData>
    <row r="3" spans="1:7">
      <c r="A3" s="54"/>
      <c r="B3" s="54"/>
      <c r="C3" s="55"/>
      <c r="D3" s="55"/>
      <c r="E3" s="55"/>
      <c r="F3" s="55"/>
      <c r="G3" s="56"/>
    </row>
    <row r="4" spans="1:7">
      <c r="A4" s="54" t="s">
        <v>0</v>
      </c>
      <c r="G4" s="57"/>
    </row>
    <row r="5" spans="1:7">
      <c r="A5" s="54" t="s">
        <v>1</v>
      </c>
      <c r="G5" s="57"/>
    </row>
    <row r="6" spans="1:7">
      <c r="A6" s="58" t="s">
        <v>2</v>
      </c>
      <c r="G6" s="57"/>
    </row>
    <row r="7" spans="1:7">
      <c r="A7" s="58" t="s">
        <v>3</v>
      </c>
      <c r="G7" s="57"/>
    </row>
    <row r="8" spans="1:7">
      <c r="A8" s="58" t="s">
        <v>4</v>
      </c>
      <c r="G8" s="57"/>
    </row>
    <row r="9" spans="1:7">
      <c r="A9" s="58" t="s">
        <v>5</v>
      </c>
      <c r="G9" s="57"/>
    </row>
    <row r="10" spans="1:7">
      <c r="A10" s="58" t="s">
        <v>6</v>
      </c>
      <c r="G10" s="57"/>
    </row>
    <row r="11" spans="1:7">
      <c r="A11" s="58" t="s">
        <v>7</v>
      </c>
      <c r="G11" s="57"/>
    </row>
    <row r="12" spans="1:7">
      <c r="A12" s="58" t="s">
        <v>8</v>
      </c>
      <c r="G12" s="57"/>
    </row>
    <row r="13" spans="1:7">
      <c r="A13" s="58" t="s">
        <v>9</v>
      </c>
      <c r="G13" s="57"/>
    </row>
    <row r="14" spans="1:7">
      <c r="A14" s="59" t="s">
        <v>10</v>
      </c>
      <c r="B14" s="60"/>
      <c r="C14" s="60"/>
      <c r="D14" s="60"/>
      <c r="E14" s="60"/>
      <c r="F14" s="60"/>
      <c r="G14" s="61"/>
    </row>
  </sheetData>
  <phoneticPr fontId="17" type="noConversion"/>
  <pageMargins left="0.75" right="0.75" top="1" bottom="1" header="0.51180555555555596" footer="0.51180555555555596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C39"/>
  <sheetViews>
    <sheetView tabSelected="1" topLeftCell="A8" workbookViewId="0">
      <selection activeCell="B20" sqref="B20"/>
    </sheetView>
  </sheetViews>
  <sheetFormatPr baseColWidth="10" defaultColWidth="10.33203125" defaultRowHeight="14" outlineLevelRow="1" outlineLevelCol="1" x14ac:dyDescent="0"/>
  <cols>
    <col min="1" max="2" width="24.33203125" style="1" customWidth="1"/>
    <col min="3" max="3" width="13.5" style="1" customWidth="1"/>
    <col min="4" max="4" width="11.1640625" style="1" customWidth="1"/>
    <col min="5" max="5" width="10.5" style="1" customWidth="1"/>
    <col min="6" max="6" width="16.1640625" style="1" customWidth="1" outlineLevel="1"/>
    <col min="7" max="8" width="10.5" style="1" customWidth="1" outlineLevel="1"/>
    <col min="9" max="9" width="14" style="1" customWidth="1" outlineLevel="1"/>
    <col min="10" max="10" width="10.5" style="1" customWidth="1" outlineLevel="1"/>
    <col min="11" max="11" width="14.1640625" style="1" customWidth="1" outlineLevel="1"/>
    <col min="12" max="12" width="11.5" style="1" customWidth="1" outlineLevel="1"/>
    <col min="13" max="13" width="16.1640625" style="1" customWidth="1" outlineLevel="1"/>
    <col min="14" max="14" width="9.5" style="1" customWidth="1" outlineLevel="1"/>
    <col min="15" max="16" width="16.5" style="1" customWidth="1" outlineLevel="1"/>
    <col min="17" max="18" width="10.5" style="1" customWidth="1" outlineLevel="1"/>
    <col min="19" max="19" width="25.33203125" style="1" customWidth="1" outlineLevel="1"/>
    <col min="20" max="25" width="10.5" style="1" customWidth="1" outlineLevel="1"/>
    <col min="26" max="26" width="13.5" style="1" customWidth="1"/>
    <col min="27" max="27" width="14.6640625" style="1" customWidth="1"/>
    <col min="28" max="28" width="10.5" style="1" customWidth="1"/>
    <col min="29" max="16384" width="10.33203125" style="1"/>
  </cols>
  <sheetData>
    <row r="1" spans="1:29" ht="34.5" customHeight="1">
      <c r="A1" s="2" t="s">
        <v>11</v>
      </c>
      <c r="B1" s="2" t="s">
        <v>0</v>
      </c>
      <c r="C1" s="2" t="s">
        <v>12</v>
      </c>
      <c r="D1" s="2" t="s">
        <v>13</v>
      </c>
      <c r="E1" s="3" t="s">
        <v>14</v>
      </c>
      <c r="F1" s="2" t="s">
        <v>15</v>
      </c>
      <c r="G1" s="2" t="s">
        <v>16</v>
      </c>
      <c r="H1" s="2" t="s">
        <v>17</v>
      </c>
      <c r="I1" s="2" t="s">
        <v>18</v>
      </c>
      <c r="J1" s="2" t="s">
        <v>19</v>
      </c>
      <c r="K1" s="2" t="s">
        <v>20</v>
      </c>
      <c r="L1" s="2" t="s">
        <v>21</v>
      </c>
      <c r="M1" s="2" t="s">
        <v>22</v>
      </c>
      <c r="N1" s="2" t="s">
        <v>23</v>
      </c>
      <c r="O1" s="39" t="s">
        <v>24</v>
      </c>
      <c r="P1" s="39" t="s">
        <v>25</v>
      </c>
      <c r="Q1" s="40" t="s">
        <v>26</v>
      </c>
      <c r="R1" s="40" t="s">
        <v>27</v>
      </c>
      <c r="S1" s="2" t="s">
        <v>28</v>
      </c>
      <c r="T1" s="3" t="s">
        <v>29</v>
      </c>
      <c r="U1" s="40" t="s">
        <v>30</v>
      </c>
      <c r="V1" s="41" t="s">
        <v>31</v>
      </c>
      <c r="W1" s="2" t="s">
        <v>32</v>
      </c>
      <c r="X1" s="2" t="s">
        <v>33</v>
      </c>
      <c r="Y1" s="49" t="s">
        <v>34</v>
      </c>
      <c r="Z1" s="2" t="s">
        <v>35</v>
      </c>
      <c r="AA1" s="3" t="s">
        <v>36</v>
      </c>
    </row>
    <row r="2" spans="1:29" outlineLevel="1">
      <c r="A2" s="4"/>
      <c r="B2" s="4"/>
      <c r="C2" s="5"/>
      <c r="D2" s="5"/>
      <c r="E2" s="6" t="str">
        <f t="shared" ref="E2:E29" si="0">IFERROR((C2-D2)/D2,"")</f>
        <v/>
      </c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6"/>
      <c r="R2" s="42"/>
      <c r="S2" s="7"/>
      <c r="T2" s="6" t="str">
        <f t="shared" ref="T2:T29" si="1">IFERROR(S2/C2,"")</f>
        <v/>
      </c>
      <c r="U2" s="43"/>
      <c r="V2" s="7"/>
      <c r="W2" s="7"/>
      <c r="X2" s="7"/>
      <c r="Y2" s="7"/>
      <c r="Z2" s="5">
        <f t="shared" ref="Z2:Z29" si="2">P2+N2+M2-S2-SUM(U2:Y2)+R2</f>
        <v>0</v>
      </c>
      <c r="AA2" s="6" t="str">
        <f t="shared" ref="AA2:AA39" si="3">IFERROR(Z2/C2,"")</f>
        <v/>
      </c>
      <c r="AB2" s="50"/>
    </row>
    <row r="3" spans="1:29" outlineLevel="1">
      <c r="A3" s="8"/>
      <c r="B3" s="8"/>
      <c r="C3" s="9"/>
      <c r="D3" s="9"/>
      <c r="E3" s="10" t="str">
        <f t="shared" si="0"/>
        <v/>
      </c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0"/>
      <c r="R3" s="44"/>
      <c r="S3" s="11"/>
      <c r="T3" s="10" t="str">
        <f t="shared" si="1"/>
        <v/>
      </c>
      <c r="U3" s="44"/>
      <c r="V3" s="11"/>
      <c r="W3" s="11"/>
      <c r="X3" s="11"/>
      <c r="Y3" s="11"/>
      <c r="Z3" s="9">
        <f t="shared" si="2"/>
        <v>0</v>
      </c>
      <c r="AA3" s="10" t="str">
        <f t="shared" si="3"/>
        <v/>
      </c>
      <c r="AB3" s="50"/>
    </row>
    <row r="4" spans="1:29" outlineLevel="1">
      <c r="A4" s="12"/>
      <c r="B4" s="12"/>
      <c r="C4" s="13"/>
      <c r="D4" s="13"/>
      <c r="E4" s="14" t="str">
        <f t="shared" si="0"/>
        <v/>
      </c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4"/>
      <c r="R4" s="45"/>
      <c r="S4" s="15"/>
      <c r="T4" s="14" t="str">
        <f t="shared" si="1"/>
        <v/>
      </c>
      <c r="U4" s="45"/>
      <c r="V4" s="15"/>
      <c r="W4" s="15"/>
      <c r="X4" s="15"/>
      <c r="Y4" s="15"/>
      <c r="Z4" s="13">
        <f t="shared" si="2"/>
        <v>0</v>
      </c>
      <c r="AA4" s="14" t="str">
        <f t="shared" si="3"/>
        <v/>
      </c>
      <c r="AB4" s="50"/>
    </row>
    <row r="5" spans="1:29" outlineLevel="1">
      <c r="A5" s="16"/>
      <c r="B5" s="16"/>
      <c r="C5" s="9"/>
      <c r="D5" s="9"/>
      <c r="E5" s="10" t="str">
        <f t="shared" si="0"/>
        <v/>
      </c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0"/>
      <c r="R5" s="44"/>
      <c r="S5" s="11"/>
      <c r="T5" s="10" t="str">
        <f t="shared" si="1"/>
        <v/>
      </c>
      <c r="U5" s="44"/>
      <c r="V5" s="11"/>
      <c r="W5" s="11"/>
      <c r="X5" s="11"/>
      <c r="Y5" s="11"/>
      <c r="Z5" s="9">
        <f t="shared" si="2"/>
        <v>0</v>
      </c>
      <c r="AA5" s="10" t="str">
        <f t="shared" si="3"/>
        <v/>
      </c>
      <c r="AB5" s="50"/>
    </row>
    <row r="6" spans="1:29" outlineLevel="1">
      <c r="A6" s="17"/>
      <c r="B6" s="17"/>
      <c r="C6" s="13"/>
      <c r="D6" s="13"/>
      <c r="E6" s="18" t="str">
        <f t="shared" si="0"/>
        <v/>
      </c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4"/>
      <c r="R6" s="45"/>
      <c r="S6" s="13"/>
      <c r="T6" s="13" t="str">
        <f t="shared" si="1"/>
        <v/>
      </c>
      <c r="U6" s="45"/>
      <c r="V6" s="13"/>
      <c r="W6" s="13"/>
      <c r="X6" s="13"/>
      <c r="Y6" s="15"/>
      <c r="Z6" s="13">
        <f t="shared" si="2"/>
        <v>0</v>
      </c>
      <c r="AA6" s="14" t="str">
        <f t="shared" si="3"/>
        <v/>
      </c>
      <c r="AB6" s="50"/>
    </row>
    <row r="7" spans="1:29" outlineLevel="1">
      <c r="A7" s="8"/>
      <c r="B7" s="8"/>
      <c r="C7" s="9"/>
      <c r="D7" s="9"/>
      <c r="E7" s="10" t="str">
        <f t="shared" si="0"/>
        <v/>
      </c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0"/>
      <c r="R7" s="44"/>
      <c r="S7" s="11"/>
      <c r="T7" s="10" t="str">
        <f t="shared" si="1"/>
        <v/>
      </c>
      <c r="U7" s="44"/>
      <c r="V7" s="11"/>
      <c r="W7" s="11"/>
      <c r="X7" s="11"/>
      <c r="Y7" s="11"/>
      <c r="Z7" s="9">
        <f t="shared" si="2"/>
        <v>0</v>
      </c>
      <c r="AA7" s="10" t="str">
        <f t="shared" si="3"/>
        <v/>
      </c>
      <c r="AB7" s="50"/>
    </row>
    <row r="8" spans="1:29" outlineLevel="1">
      <c r="A8" s="17"/>
      <c r="B8" s="17"/>
      <c r="C8" s="13"/>
      <c r="D8" s="13"/>
      <c r="E8" s="14" t="str">
        <f t="shared" si="0"/>
        <v/>
      </c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4"/>
      <c r="R8" s="45"/>
      <c r="S8" s="15"/>
      <c r="T8" s="14" t="str">
        <f t="shared" si="1"/>
        <v/>
      </c>
      <c r="U8" s="45"/>
      <c r="V8" s="15"/>
      <c r="W8" s="15"/>
      <c r="X8" s="15"/>
      <c r="Y8" s="15"/>
      <c r="Z8" s="13">
        <f t="shared" si="2"/>
        <v>0</v>
      </c>
      <c r="AA8" s="14" t="str">
        <f t="shared" si="3"/>
        <v/>
      </c>
      <c r="AB8" s="50"/>
    </row>
    <row r="9" spans="1:29" outlineLevel="1">
      <c r="A9" s="16"/>
      <c r="B9" s="16"/>
      <c r="C9" s="9"/>
      <c r="D9" s="9"/>
      <c r="E9" s="19" t="str">
        <f t="shared" si="0"/>
        <v/>
      </c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10"/>
      <c r="R9" s="46"/>
      <c r="S9" s="9"/>
      <c r="T9" s="9" t="str">
        <f t="shared" si="1"/>
        <v/>
      </c>
      <c r="U9" s="46"/>
      <c r="V9" s="9"/>
      <c r="W9" s="9"/>
      <c r="X9" s="9"/>
      <c r="Y9" s="11"/>
      <c r="Z9" s="9">
        <f t="shared" si="2"/>
        <v>0</v>
      </c>
      <c r="AA9" s="10" t="str">
        <f t="shared" si="3"/>
        <v/>
      </c>
      <c r="AB9" s="50"/>
    </row>
    <row r="10" spans="1:29" outlineLevel="1">
      <c r="A10" s="12"/>
      <c r="B10" s="12"/>
      <c r="C10" s="13"/>
      <c r="D10" s="13"/>
      <c r="E10" s="14" t="str">
        <f t="shared" si="0"/>
        <v/>
      </c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4"/>
      <c r="R10" s="45"/>
      <c r="S10" s="15"/>
      <c r="T10" s="14" t="str">
        <f t="shared" si="1"/>
        <v/>
      </c>
      <c r="U10" s="45"/>
      <c r="V10" s="15"/>
      <c r="W10" s="15"/>
      <c r="X10" s="15"/>
      <c r="Y10" s="15"/>
      <c r="Z10" s="13">
        <f t="shared" si="2"/>
        <v>0</v>
      </c>
      <c r="AA10" s="14" t="str">
        <f t="shared" si="3"/>
        <v/>
      </c>
      <c r="AB10" s="50"/>
    </row>
    <row r="11" spans="1:29" outlineLevel="1">
      <c r="A11" s="16"/>
      <c r="B11" s="16"/>
      <c r="C11" s="9"/>
      <c r="D11" s="9"/>
      <c r="E11" s="10" t="str">
        <f t="shared" si="0"/>
        <v/>
      </c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0"/>
      <c r="R11" s="44"/>
      <c r="S11" s="11"/>
      <c r="T11" s="10" t="str">
        <f t="shared" si="1"/>
        <v/>
      </c>
      <c r="U11" s="44"/>
      <c r="V11" s="11"/>
      <c r="W11" s="11"/>
      <c r="X11" s="11"/>
      <c r="Y11" s="11"/>
      <c r="Z11" s="9">
        <f t="shared" si="2"/>
        <v>0</v>
      </c>
      <c r="AA11" s="10" t="str">
        <f t="shared" si="3"/>
        <v/>
      </c>
      <c r="AB11" s="50"/>
    </row>
    <row r="12" spans="1:29" outlineLevel="1">
      <c r="A12" s="12"/>
      <c r="B12" s="12"/>
      <c r="C12" s="13"/>
      <c r="D12" s="13"/>
      <c r="E12" s="14" t="str">
        <f t="shared" si="0"/>
        <v/>
      </c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4"/>
      <c r="R12" s="45"/>
      <c r="S12" s="15"/>
      <c r="T12" s="14" t="str">
        <f t="shared" si="1"/>
        <v/>
      </c>
      <c r="U12" s="45"/>
      <c r="V12" s="15"/>
      <c r="W12" s="15"/>
      <c r="X12" s="15"/>
      <c r="Y12" s="15"/>
      <c r="Z12" s="13">
        <f t="shared" si="2"/>
        <v>0</v>
      </c>
      <c r="AA12" s="14" t="str">
        <f t="shared" si="3"/>
        <v/>
      </c>
      <c r="AB12" s="50"/>
      <c r="AC12" s="51"/>
    </row>
    <row r="13" spans="1:29" outlineLevel="1">
      <c r="A13" s="8"/>
      <c r="B13" s="8"/>
      <c r="C13" s="9"/>
      <c r="D13" s="9"/>
      <c r="E13" s="10" t="str">
        <f t="shared" si="0"/>
        <v/>
      </c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0"/>
      <c r="R13" s="44"/>
      <c r="S13" s="11"/>
      <c r="T13" s="10" t="str">
        <f t="shared" si="1"/>
        <v/>
      </c>
      <c r="U13" s="44"/>
      <c r="V13" s="11"/>
      <c r="W13" s="11"/>
      <c r="X13" s="11"/>
      <c r="Y13" s="11"/>
      <c r="Z13" s="9">
        <f t="shared" si="2"/>
        <v>0</v>
      </c>
      <c r="AA13" s="10" t="str">
        <f t="shared" si="3"/>
        <v/>
      </c>
      <c r="AB13" s="50"/>
    </row>
    <row r="14" spans="1:29" outlineLevel="1">
      <c r="A14" s="12"/>
      <c r="B14" s="12"/>
      <c r="C14" s="13"/>
      <c r="D14" s="13"/>
      <c r="E14" s="14" t="str">
        <f t="shared" si="0"/>
        <v/>
      </c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4"/>
      <c r="R14" s="45"/>
      <c r="S14" s="15"/>
      <c r="T14" s="14" t="str">
        <f t="shared" si="1"/>
        <v/>
      </c>
      <c r="U14" s="45"/>
      <c r="V14" s="15"/>
      <c r="W14" s="15"/>
      <c r="X14" s="15"/>
      <c r="Y14" s="15"/>
      <c r="Z14" s="13">
        <f t="shared" si="2"/>
        <v>0</v>
      </c>
      <c r="AA14" s="15" t="str">
        <f t="shared" si="3"/>
        <v/>
      </c>
      <c r="AB14" s="50"/>
    </row>
    <row r="15" spans="1:29" outlineLevel="1">
      <c r="A15" s="8"/>
      <c r="B15" s="8"/>
      <c r="C15" s="9"/>
      <c r="D15" s="9"/>
      <c r="E15" s="10" t="str">
        <f t="shared" si="0"/>
        <v/>
      </c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0"/>
      <c r="R15" s="44"/>
      <c r="S15" s="11"/>
      <c r="T15" s="10" t="str">
        <f t="shared" si="1"/>
        <v/>
      </c>
      <c r="U15" s="44"/>
      <c r="V15" s="11"/>
      <c r="W15" s="11"/>
      <c r="X15" s="11"/>
      <c r="Y15" s="11"/>
      <c r="Z15" s="9">
        <f t="shared" si="2"/>
        <v>0</v>
      </c>
      <c r="AA15" s="10" t="str">
        <f t="shared" si="3"/>
        <v/>
      </c>
      <c r="AB15" s="50"/>
    </row>
    <row r="16" spans="1:29" outlineLevel="1">
      <c r="A16" s="17"/>
      <c r="B16" s="17"/>
      <c r="C16" s="13"/>
      <c r="D16" s="13"/>
      <c r="E16" s="14" t="str">
        <f t="shared" si="0"/>
        <v/>
      </c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4"/>
      <c r="R16" s="45"/>
      <c r="S16" s="45"/>
      <c r="T16" s="14" t="str">
        <f t="shared" si="1"/>
        <v/>
      </c>
      <c r="U16" s="45"/>
      <c r="V16" s="45"/>
      <c r="W16" s="45"/>
      <c r="X16" s="45"/>
      <c r="Y16" s="45"/>
      <c r="Z16" s="45">
        <f t="shared" si="2"/>
        <v>0</v>
      </c>
      <c r="AA16" s="14" t="str">
        <f t="shared" si="3"/>
        <v/>
      </c>
      <c r="AB16" s="50"/>
    </row>
    <row r="17" spans="1:28" outlineLevel="1">
      <c r="A17" s="8"/>
      <c r="B17" s="8"/>
      <c r="C17" s="9"/>
      <c r="D17" s="9"/>
      <c r="E17" s="10" t="str">
        <f t="shared" si="0"/>
        <v/>
      </c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0"/>
      <c r="R17" s="44"/>
      <c r="S17" s="44"/>
      <c r="T17" s="10" t="str">
        <f t="shared" si="1"/>
        <v/>
      </c>
      <c r="U17" s="44"/>
      <c r="V17" s="44"/>
      <c r="W17" s="44"/>
      <c r="X17" s="44"/>
      <c r="Y17" s="44"/>
      <c r="Z17" s="44">
        <f t="shared" si="2"/>
        <v>0</v>
      </c>
      <c r="AA17" s="10" t="str">
        <f t="shared" si="3"/>
        <v/>
      </c>
      <c r="AB17" s="50"/>
    </row>
    <row r="18" spans="1:28" outlineLevel="1">
      <c r="A18" s="17"/>
      <c r="B18" s="17"/>
      <c r="C18" s="13"/>
      <c r="D18" s="13"/>
      <c r="E18" s="14" t="str">
        <f t="shared" si="0"/>
        <v/>
      </c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4"/>
      <c r="R18" s="45"/>
      <c r="S18" s="15"/>
      <c r="T18" s="14" t="str">
        <f t="shared" si="1"/>
        <v/>
      </c>
      <c r="U18" s="45"/>
      <c r="V18" s="15"/>
      <c r="W18" s="15"/>
      <c r="X18" s="15"/>
      <c r="Y18" s="15"/>
      <c r="Z18" s="13">
        <f t="shared" si="2"/>
        <v>0</v>
      </c>
      <c r="AA18" s="14" t="str">
        <f t="shared" si="3"/>
        <v/>
      </c>
      <c r="AB18" s="50"/>
    </row>
    <row r="19" spans="1:28" outlineLevel="1">
      <c r="A19" s="8"/>
      <c r="B19" s="8"/>
      <c r="C19" s="9"/>
      <c r="D19" s="9"/>
      <c r="E19" s="10" t="str">
        <f t="shared" si="0"/>
        <v/>
      </c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0"/>
      <c r="R19" s="44"/>
      <c r="S19" s="11"/>
      <c r="T19" s="10" t="str">
        <f t="shared" si="1"/>
        <v/>
      </c>
      <c r="U19" s="44"/>
      <c r="V19" s="11"/>
      <c r="W19" s="11"/>
      <c r="X19" s="11"/>
      <c r="Y19" s="11"/>
      <c r="Z19" s="9">
        <f t="shared" si="2"/>
        <v>0</v>
      </c>
      <c r="AA19" s="10" t="str">
        <f t="shared" si="3"/>
        <v/>
      </c>
      <c r="AB19" s="50"/>
    </row>
    <row r="20" spans="1:28" outlineLevel="1">
      <c r="A20" s="17"/>
      <c r="B20" s="62"/>
      <c r="C20" s="13"/>
      <c r="D20" s="13"/>
      <c r="E20" s="14" t="str">
        <f t="shared" si="0"/>
        <v/>
      </c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4"/>
      <c r="R20" s="45"/>
      <c r="S20" s="15"/>
      <c r="T20" s="14" t="str">
        <f t="shared" si="1"/>
        <v/>
      </c>
      <c r="U20" s="45"/>
      <c r="V20" s="15"/>
      <c r="W20" s="15"/>
      <c r="X20" s="15"/>
      <c r="Y20" s="15"/>
      <c r="Z20" s="13">
        <f t="shared" si="2"/>
        <v>0</v>
      </c>
      <c r="AA20" s="14" t="str">
        <f t="shared" si="3"/>
        <v/>
      </c>
      <c r="AB20" s="50"/>
    </row>
    <row r="21" spans="1:28" outlineLevel="1">
      <c r="A21" s="16"/>
      <c r="B21" s="63"/>
      <c r="C21" s="9"/>
      <c r="D21" s="9"/>
      <c r="E21" s="10" t="str">
        <f t="shared" si="0"/>
        <v/>
      </c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0"/>
      <c r="R21" s="44"/>
      <c r="S21" s="11"/>
      <c r="T21" s="10" t="str">
        <f t="shared" si="1"/>
        <v/>
      </c>
      <c r="U21" s="44"/>
      <c r="V21" s="11"/>
      <c r="W21" s="11"/>
      <c r="X21" s="11"/>
      <c r="Y21" s="11"/>
      <c r="Z21" s="9">
        <f t="shared" si="2"/>
        <v>0</v>
      </c>
      <c r="AA21" s="10" t="str">
        <f t="shared" si="3"/>
        <v/>
      </c>
      <c r="AB21" s="50"/>
    </row>
    <row r="22" spans="1:28" outlineLevel="1">
      <c r="A22" s="17"/>
      <c r="B22" s="17"/>
      <c r="C22" s="13"/>
      <c r="D22" s="13"/>
      <c r="E22" s="14" t="str">
        <f t="shared" si="0"/>
        <v/>
      </c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4"/>
      <c r="R22" s="45"/>
      <c r="S22" s="15"/>
      <c r="T22" s="14" t="str">
        <f t="shared" si="1"/>
        <v/>
      </c>
      <c r="U22" s="45"/>
      <c r="V22" s="15"/>
      <c r="W22" s="15"/>
      <c r="X22" s="15"/>
      <c r="Y22" s="15"/>
      <c r="Z22" s="13">
        <f t="shared" si="2"/>
        <v>0</v>
      </c>
      <c r="AA22" s="14" t="str">
        <f t="shared" si="3"/>
        <v/>
      </c>
      <c r="AB22" s="50"/>
    </row>
    <row r="23" spans="1:28" outlineLevel="1">
      <c r="A23" s="8"/>
      <c r="B23" s="8"/>
      <c r="C23" s="9"/>
      <c r="D23" s="9"/>
      <c r="E23" s="10" t="str">
        <f t="shared" si="0"/>
        <v/>
      </c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0"/>
      <c r="R23" s="44"/>
      <c r="S23" s="44"/>
      <c r="T23" s="10" t="str">
        <f t="shared" si="1"/>
        <v/>
      </c>
      <c r="U23" s="44"/>
      <c r="V23" s="44"/>
      <c r="W23" s="44"/>
      <c r="X23" s="44"/>
      <c r="Y23" s="44"/>
      <c r="Z23" s="44">
        <f t="shared" si="2"/>
        <v>0</v>
      </c>
      <c r="AA23" s="10" t="str">
        <f t="shared" si="3"/>
        <v/>
      </c>
      <c r="AB23" s="50"/>
    </row>
    <row r="24" spans="1:28" outlineLevel="1">
      <c r="A24" s="12"/>
      <c r="B24" s="12"/>
      <c r="C24" s="13"/>
      <c r="D24" s="13"/>
      <c r="E24" s="14" t="str">
        <f t="shared" si="0"/>
        <v/>
      </c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4"/>
      <c r="R24" s="45"/>
      <c r="S24" s="45"/>
      <c r="T24" s="14" t="str">
        <f t="shared" si="1"/>
        <v/>
      </c>
      <c r="U24" s="45"/>
      <c r="V24" s="45"/>
      <c r="W24" s="45"/>
      <c r="X24" s="45"/>
      <c r="Y24" s="45"/>
      <c r="Z24" s="45">
        <f t="shared" si="2"/>
        <v>0</v>
      </c>
      <c r="AA24" s="14" t="str">
        <f t="shared" si="3"/>
        <v/>
      </c>
      <c r="AB24" s="50"/>
    </row>
    <row r="25" spans="1:28" outlineLevel="1">
      <c r="A25" s="8"/>
      <c r="B25" s="8"/>
      <c r="C25" s="9"/>
      <c r="D25" s="9"/>
      <c r="E25" s="10" t="str">
        <f t="shared" si="0"/>
        <v/>
      </c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0"/>
      <c r="R25" s="44"/>
      <c r="S25" s="11"/>
      <c r="T25" s="10" t="str">
        <f t="shared" si="1"/>
        <v/>
      </c>
      <c r="U25" s="44"/>
      <c r="V25" s="11"/>
      <c r="W25" s="11"/>
      <c r="X25" s="11"/>
      <c r="Y25" s="11"/>
      <c r="Z25" s="9">
        <f t="shared" si="2"/>
        <v>0</v>
      </c>
      <c r="AA25" s="10" t="str">
        <f t="shared" si="3"/>
        <v/>
      </c>
      <c r="AB25" s="50"/>
    </row>
    <row r="26" spans="1:28" outlineLevel="1">
      <c r="A26" s="12"/>
      <c r="B26" s="12"/>
      <c r="C26" s="13"/>
      <c r="D26" s="13"/>
      <c r="E26" s="14" t="str">
        <f t="shared" si="0"/>
        <v/>
      </c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4"/>
      <c r="R26" s="45"/>
      <c r="S26" s="45"/>
      <c r="T26" s="14" t="str">
        <f t="shared" si="1"/>
        <v/>
      </c>
      <c r="U26" s="45"/>
      <c r="V26" s="45"/>
      <c r="W26" s="45"/>
      <c r="X26" s="45"/>
      <c r="Y26" s="45"/>
      <c r="Z26" s="45">
        <f t="shared" si="2"/>
        <v>0</v>
      </c>
      <c r="AA26" s="14" t="str">
        <f t="shared" si="3"/>
        <v/>
      </c>
      <c r="AB26" s="50"/>
    </row>
    <row r="27" spans="1:28" outlineLevel="1">
      <c r="A27" s="16"/>
      <c r="B27" s="16"/>
      <c r="C27" s="9"/>
      <c r="D27" s="9"/>
      <c r="E27" s="10" t="str">
        <f t="shared" si="0"/>
        <v/>
      </c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0"/>
      <c r="R27" s="44"/>
      <c r="S27" s="44"/>
      <c r="T27" s="10" t="str">
        <f t="shared" si="1"/>
        <v/>
      </c>
      <c r="U27" s="44"/>
      <c r="V27" s="44"/>
      <c r="W27" s="44"/>
      <c r="X27" s="44"/>
      <c r="Y27" s="44"/>
      <c r="Z27" s="44">
        <f t="shared" si="2"/>
        <v>0</v>
      </c>
      <c r="AA27" s="10" t="str">
        <f t="shared" si="3"/>
        <v/>
      </c>
      <c r="AB27" s="50"/>
    </row>
    <row r="28" spans="1:28" outlineLevel="1">
      <c r="A28" s="12"/>
      <c r="B28" s="12"/>
      <c r="C28" s="13"/>
      <c r="D28" s="13"/>
      <c r="E28" s="14" t="str">
        <f t="shared" si="0"/>
        <v/>
      </c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4"/>
      <c r="R28" s="45"/>
      <c r="S28" s="15"/>
      <c r="T28" s="14" t="str">
        <f t="shared" si="1"/>
        <v/>
      </c>
      <c r="U28" s="45"/>
      <c r="V28" s="15"/>
      <c r="W28" s="15"/>
      <c r="X28" s="15"/>
      <c r="Y28" s="15"/>
      <c r="Z28" s="13">
        <f t="shared" si="2"/>
        <v>0</v>
      </c>
      <c r="AA28" s="14" t="str">
        <f t="shared" si="3"/>
        <v/>
      </c>
      <c r="AB28" s="50"/>
    </row>
    <row r="29" spans="1:28" outlineLevel="1">
      <c r="A29" s="20"/>
      <c r="B29" s="20"/>
      <c r="C29" s="21"/>
      <c r="D29" s="21"/>
      <c r="E29" s="22" t="str">
        <f t="shared" si="0"/>
        <v/>
      </c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2"/>
      <c r="R29" s="47"/>
      <c r="S29" s="23"/>
      <c r="T29" s="22" t="str">
        <f t="shared" si="1"/>
        <v/>
      </c>
      <c r="U29" s="47"/>
      <c r="V29" s="23"/>
      <c r="W29" s="23"/>
      <c r="X29" s="23"/>
      <c r="Y29" s="23"/>
      <c r="Z29" s="21">
        <f t="shared" si="2"/>
        <v>0</v>
      </c>
      <c r="AA29" s="22" t="str">
        <f t="shared" si="3"/>
        <v/>
      </c>
      <c r="AB29" s="50"/>
    </row>
    <row r="30" spans="1:28">
      <c r="A30" s="24" t="s">
        <v>10</v>
      </c>
      <c r="B30" s="25"/>
      <c r="C30" s="26">
        <f>SUM(C2:C29)</f>
        <v>0</v>
      </c>
      <c r="D30" s="26">
        <f>SUM(D2:D29)</f>
        <v>0</v>
      </c>
      <c r="E30" s="27" t="e">
        <f t="shared" ref="E30" si="4">(C30-D30)/D30</f>
        <v>#DIV/0!</v>
      </c>
      <c r="F30" s="28">
        <f>SUM(F2:F29)</f>
        <v>0</v>
      </c>
      <c r="G30" s="28">
        <f t="shared" ref="G30:P30" si="5">SUM(G2:G29)</f>
        <v>0</v>
      </c>
      <c r="H30" s="28">
        <f t="shared" si="5"/>
        <v>0</v>
      </c>
      <c r="I30" s="28">
        <f t="shared" si="5"/>
        <v>0</v>
      </c>
      <c r="J30" s="28">
        <f t="shared" si="5"/>
        <v>0</v>
      </c>
      <c r="K30" s="28">
        <f t="shared" si="5"/>
        <v>0</v>
      </c>
      <c r="L30" s="28">
        <f t="shared" si="5"/>
        <v>0</v>
      </c>
      <c r="M30" s="28">
        <f t="shared" si="5"/>
        <v>0</v>
      </c>
      <c r="N30" s="28">
        <f t="shared" si="5"/>
        <v>0</v>
      </c>
      <c r="O30" s="28">
        <f t="shared" si="5"/>
        <v>0</v>
      </c>
      <c r="P30" s="28">
        <f t="shared" si="5"/>
        <v>0</v>
      </c>
      <c r="Q30" s="27" t="e">
        <f t="shared" ref="Q30:Q39" si="6">O30/C30</f>
        <v>#DIV/0!</v>
      </c>
      <c r="R30" s="28">
        <f t="shared" ref="R30:Z30" si="7">SUM(R2:R29)</f>
        <v>0</v>
      </c>
      <c r="S30" s="26">
        <f t="shared" si="7"/>
        <v>0</v>
      </c>
      <c r="T30" s="27" t="e">
        <f t="shared" ref="T30:T39" si="8">S30/C30</f>
        <v>#DIV/0!</v>
      </c>
      <c r="U30" s="26">
        <f t="shared" si="7"/>
        <v>0</v>
      </c>
      <c r="V30" s="28">
        <f t="shared" si="7"/>
        <v>0</v>
      </c>
      <c r="W30" s="28">
        <f t="shared" si="7"/>
        <v>0</v>
      </c>
      <c r="X30" s="28">
        <f t="shared" si="7"/>
        <v>0</v>
      </c>
      <c r="Y30" s="28">
        <f t="shared" si="7"/>
        <v>0</v>
      </c>
      <c r="Z30" s="28">
        <f t="shared" si="7"/>
        <v>0</v>
      </c>
      <c r="AA30" s="52" t="str">
        <f t="shared" si="3"/>
        <v/>
      </c>
      <c r="AB30" s="50"/>
    </row>
    <row r="31" spans="1:28">
      <c r="A31" s="29" t="s">
        <v>4</v>
      </c>
      <c r="B31" s="30"/>
      <c r="C31" s="31">
        <f>SUMIF($B$2:$B$29,A31,$C$2:$C$29)</f>
        <v>0</v>
      </c>
      <c r="D31" s="31">
        <f>SUMIF($B$2:$B$29,A31,$D$2:$D$29)</f>
        <v>0</v>
      </c>
      <c r="E31" s="32" t="str">
        <f>IFERROR((C31-D31)/D31,"")</f>
        <v/>
      </c>
      <c r="F31" s="31">
        <f>SUMIF($B$2:$B$29,A31,$F$2:$F$29)</f>
        <v>0</v>
      </c>
      <c r="G31" s="31">
        <f>SUMIF($B$2:$B$29,A31,$G$2:$G$29)</f>
        <v>0</v>
      </c>
      <c r="H31" s="31">
        <f>SUMIF($B$2:$B$29,A31,$H$2:$H$29)</f>
        <v>0</v>
      </c>
      <c r="I31" s="31">
        <f>SUMIF($B$2:$B$29,A31,$I$2:$I$29)</f>
        <v>0</v>
      </c>
      <c r="J31" s="31">
        <f>SUMIF($B$2:$B$29,A31,$J$2:$J$29)</f>
        <v>0</v>
      </c>
      <c r="K31" s="31">
        <f>SUMIF($B$2:$B$29,A31,$K$2:$K$29)</f>
        <v>0</v>
      </c>
      <c r="L31" s="31">
        <f>SUMIF($B$2:$B$29,A31,$L$2:$L$29)</f>
        <v>0</v>
      </c>
      <c r="M31" s="31">
        <f>SUMIF($B$2:$B$29,A31,$M$2:$M$29)</f>
        <v>0</v>
      </c>
      <c r="N31" s="31">
        <f>SUMIF($B$2:$B$29,A31,$N$2:$N$29)</f>
        <v>0</v>
      </c>
      <c r="O31" s="31">
        <f>SUMIF($B$2:$B$29,A31,$O$2:$O$29)</f>
        <v>0</v>
      </c>
      <c r="P31" s="31">
        <f>SUMIF($B$2:$B$29,A31,$P$2:$P$29)</f>
        <v>0</v>
      </c>
      <c r="Q31" s="32" t="e">
        <f t="shared" si="6"/>
        <v>#DIV/0!</v>
      </c>
      <c r="R31" s="31">
        <f>SUMIF($B$2:$B$29,A31,$R$2:$R$29)</f>
        <v>0</v>
      </c>
      <c r="S31" s="31">
        <f>SUMIF($B$2:$B$29,A31,$S$2:$S$29)</f>
        <v>0</v>
      </c>
      <c r="T31" s="48" t="e">
        <f t="shared" si="8"/>
        <v>#DIV/0!</v>
      </c>
      <c r="U31" s="31">
        <f>SUMIF($B$2:$B$29,A31,$U$2:$U$29)</f>
        <v>0</v>
      </c>
      <c r="V31" s="31">
        <f>SUMIF($B$2:$B$29,A31,$V$2:$V$29)</f>
        <v>0</v>
      </c>
      <c r="W31" s="31">
        <f>SUMIF($B$2:$B$29,A31,$W$2:$W$29)</f>
        <v>0</v>
      </c>
      <c r="X31" s="31">
        <f>SUMIF($B$2:$B$29,A31,$X$2:$X$29)</f>
        <v>0</v>
      </c>
      <c r="Y31" s="31">
        <f>SUMIF($B$2:$B$29,A31,$Y$2:$Y$29)</f>
        <v>0</v>
      </c>
      <c r="Z31" s="37">
        <f>P31+N31+M31-S31-SUM(U31:Y31)+R31</f>
        <v>0</v>
      </c>
      <c r="AA31" s="53" t="str">
        <f t="shared" si="3"/>
        <v/>
      </c>
      <c r="AB31" s="50"/>
    </row>
    <row r="32" spans="1:28">
      <c r="A32" s="33" t="s">
        <v>5</v>
      </c>
      <c r="B32" s="30"/>
      <c r="C32" s="34">
        <f t="shared" ref="C32:C39" si="9">SUMIF($B$2:$B$29,A32,$C$2:$C$29)</f>
        <v>0</v>
      </c>
      <c r="D32" s="34">
        <f t="shared" ref="D32:D39" si="10">SUMIF($B$2:$B$29,A32,$D$2:$D$29)</f>
        <v>0</v>
      </c>
      <c r="E32" s="32" t="str">
        <f t="shared" ref="E32:E39" si="11">IFERROR((C32-D32)/D32,"")</f>
        <v/>
      </c>
      <c r="F32" s="34">
        <f t="shared" ref="F32:F39" si="12">SUMIF($B$2:$B$29,A32,$F$2:$F$29)</f>
        <v>0</v>
      </c>
      <c r="G32" s="34">
        <f t="shared" ref="G32:G39" si="13">SUMIF($B$2:$B$29,A32,$G$2:$G$29)</f>
        <v>0</v>
      </c>
      <c r="H32" s="34">
        <f t="shared" ref="H32:H39" si="14">SUMIF($B$2:$B$29,A32,$H$2:$H$29)</f>
        <v>0</v>
      </c>
      <c r="I32" s="34">
        <f t="shared" ref="I32:I39" si="15">SUMIF($B$2:$B$29,A32,$I$2:$I$29)</f>
        <v>0</v>
      </c>
      <c r="J32" s="34">
        <f t="shared" ref="J32:J39" si="16">SUMIF($B$2:$B$29,A32,$J$2:$J$29)</f>
        <v>0</v>
      </c>
      <c r="K32" s="34">
        <f t="shared" ref="K32:K39" si="17">SUMIF($B$2:$B$29,A32,$K$2:$K$29)</f>
        <v>0</v>
      </c>
      <c r="L32" s="34">
        <f t="shared" ref="L32:L39" si="18">SUMIF($B$2:$B$29,A32,$L$2:$L$29)</f>
        <v>0</v>
      </c>
      <c r="M32" s="34">
        <f t="shared" ref="M32:M39" si="19">SUMIF($B$2:$B$29,A32,$M$2:$M$29)</f>
        <v>0</v>
      </c>
      <c r="N32" s="34">
        <f t="shared" ref="N32:N39" si="20">SUMIF($B$2:$B$29,A32,$N$2:$N$29)</f>
        <v>0</v>
      </c>
      <c r="O32" s="34">
        <f t="shared" ref="O32:O39" si="21">SUMIF($B$2:$B$29,A32,$O$2:$O$29)</f>
        <v>0</v>
      </c>
      <c r="P32" s="34">
        <f t="shared" ref="P32:P39" si="22">SUMIF($B$2:$B$29,A32,$P$2:$P$29)</f>
        <v>0</v>
      </c>
      <c r="Q32" s="32" t="e">
        <f t="shared" si="6"/>
        <v>#DIV/0!</v>
      </c>
      <c r="R32" s="34">
        <f t="shared" ref="R32:R39" si="23">SUMIF($B$2:$B$29,A32,$R$2:$R$29)</f>
        <v>0</v>
      </c>
      <c r="S32" s="34">
        <f t="shared" ref="S32:S39" si="24">SUMIF($B$2:$B$29,A32,$S$2:$S$29)</f>
        <v>0</v>
      </c>
      <c r="T32" s="48" t="e">
        <f t="shared" si="8"/>
        <v>#DIV/0!</v>
      </c>
      <c r="U32" s="34">
        <f t="shared" ref="U32:U39" si="25">SUMIF($B$2:$B$29,A32,$U$2:$U$29)</f>
        <v>0</v>
      </c>
      <c r="V32" s="34">
        <f t="shared" ref="V32:V39" si="26">SUMIF($B$2:$B$29,A32,$V$2:$V$29)</f>
        <v>0</v>
      </c>
      <c r="W32" s="34">
        <f t="shared" ref="W32:W39" si="27">SUMIF($B$2:$B$29,A32,$W$2:$W$29)</f>
        <v>0</v>
      </c>
      <c r="X32" s="34">
        <f t="shared" ref="X32:X39" si="28">SUMIF($B$2:$B$29,A32,$X$2:$X$29)</f>
        <v>0</v>
      </c>
      <c r="Y32" s="34">
        <f t="shared" ref="Y32:Y39" si="29">SUMIF($B$2:$B$29,A32,$Y$2:$Y$29)</f>
        <v>0</v>
      </c>
      <c r="Z32" s="37">
        <f>P32+N32+M32-S32-SUM(U32:Y32)+R32</f>
        <v>0</v>
      </c>
      <c r="AA32" s="53" t="str">
        <f t="shared" si="3"/>
        <v/>
      </c>
      <c r="AB32" s="50"/>
    </row>
    <row r="33" spans="1:28">
      <c r="A33" s="35" t="s">
        <v>6</v>
      </c>
      <c r="B33" s="36"/>
      <c r="C33" s="37">
        <f t="shared" si="9"/>
        <v>0</v>
      </c>
      <c r="D33" s="37">
        <f t="shared" si="10"/>
        <v>0</v>
      </c>
      <c r="E33" s="32" t="str">
        <f t="shared" si="11"/>
        <v/>
      </c>
      <c r="F33" s="37">
        <f t="shared" si="12"/>
        <v>0</v>
      </c>
      <c r="G33" s="37">
        <f t="shared" si="13"/>
        <v>0</v>
      </c>
      <c r="H33" s="37">
        <f t="shared" si="14"/>
        <v>0</v>
      </c>
      <c r="I33" s="37">
        <f t="shared" si="15"/>
        <v>0</v>
      </c>
      <c r="J33" s="37">
        <f t="shared" si="16"/>
        <v>0</v>
      </c>
      <c r="K33" s="37">
        <f t="shared" si="17"/>
        <v>0</v>
      </c>
      <c r="L33" s="37">
        <f t="shared" si="18"/>
        <v>0</v>
      </c>
      <c r="M33" s="37">
        <f t="shared" si="19"/>
        <v>0</v>
      </c>
      <c r="N33" s="37">
        <f t="shared" si="20"/>
        <v>0</v>
      </c>
      <c r="O33" s="37">
        <f t="shared" si="21"/>
        <v>0</v>
      </c>
      <c r="P33" s="37">
        <f t="shared" si="22"/>
        <v>0</v>
      </c>
      <c r="Q33" s="32" t="e">
        <f t="shared" si="6"/>
        <v>#DIV/0!</v>
      </c>
      <c r="R33" s="37">
        <f t="shared" si="23"/>
        <v>0</v>
      </c>
      <c r="S33" s="37">
        <f t="shared" si="24"/>
        <v>0</v>
      </c>
      <c r="T33" s="48" t="e">
        <f t="shared" si="8"/>
        <v>#DIV/0!</v>
      </c>
      <c r="U33" s="37">
        <f t="shared" si="25"/>
        <v>0</v>
      </c>
      <c r="V33" s="37">
        <f t="shared" si="26"/>
        <v>0</v>
      </c>
      <c r="W33" s="37">
        <f t="shared" si="27"/>
        <v>0</v>
      </c>
      <c r="X33" s="37">
        <f t="shared" si="28"/>
        <v>0</v>
      </c>
      <c r="Y33" s="37">
        <f t="shared" si="29"/>
        <v>0</v>
      </c>
      <c r="Z33" s="37">
        <f t="shared" ref="Z33:Z39" si="30">P33+N33+M33-S33-SUM(U33:Y33)+R33</f>
        <v>0</v>
      </c>
      <c r="AA33" s="53" t="str">
        <f t="shared" si="3"/>
        <v/>
      </c>
      <c r="AB33" s="50"/>
    </row>
    <row r="34" spans="1:28">
      <c r="A34" s="35" t="s">
        <v>7</v>
      </c>
      <c r="B34" s="36"/>
      <c r="C34" s="38">
        <f t="shared" si="9"/>
        <v>0</v>
      </c>
      <c r="D34" s="38">
        <f t="shared" si="10"/>
        <v>0</v>
      </c>
      <c r="E34" s="32" t="str">
        <f t="shared" si="11"/>
        <v/>
      </c>
      <c r="F34" s="38">
        <f t="shared" si="12"/>
        <v>0</v>
      </c>
      <c r="G34" s="38">
        <f t="shared" si="13"/>
        <v>0</v>
      </c>
      <c r="H34" s="38">
        <f t="shared" si="14"/>
        <v>0</v>
      </c>
      <c r="I34" s="38">
        <f t="shared" si="15"/>
        <v>0</v>
      </c>
      <c r="J34" s="38">
        <f t="shared" si="16"/>
        <v>0</v>
      </c>
      <c r="K34" s="38">
        <f t="shared" si="17"/>
        <v>0</v>
      </c>
      <c r="L34" s="38">
        <f t="shared" si="18"/>
        <v>0</v>
      </c>
      <c r="M34" s="38">
        <f t="shared" si="19"/>
        <v>0</v>
      </c>
      <c r="N34" s="38">
        <f t="shared" si="20"/>
        <v>0</v>
      </c>
      <c r="O34" s="38">
        <f t="shared" si="21"/>
        <v>0</v>
      </c>
      <c r="P34" s="38">
        <f t="shared" si="22"/>
        <v>0</v>
      </c>
      <c r="Q34" s="32" t="e">
        <f t="shared" si="6"/>
        <v>#DIV/0!</v>
      </c>
      <c r="R34" s="38">
        <f t="shared" si="23"/>
        <v>0</v>
      </c>
      <c r="S34" s="38">
        <f t="shared" si="24"/>
        <v>0</v>
      </c>
      <c r="T34" s="48" t="e">
        <f t="shared" si="8"/>
        <v>#DIV/0!</v>
      </c>
      <c r="U34" s="38">
        <f t="shared" si="25"/>
        <v>0</v>
      </c>
      <c r="V34" s="38">
        <f t="shared" si="26"/>
        <v>0</v>
      </c>
      <c r="W34" s="38">
        <f t="shared" si="27"/>
        <v>0</v>
      </c>
      <c r="X34" s="38">
        <f t="shared" si="28"/>
        <v>0</v>
      </c>
      <c r="Y34" s="38">
        <f t="shared" si="29"/>
        <v>0</v>
      </c>
      <c r="Z34" s="37">
        <f t="shared" si="30"/>
        <v>0</v>
      </c>
      <c r="AA34" s="53" t="str">
        <f t="shared" si="3"/>
        <v/>
      </c>
      <c r="AB34" s="50"/>
    </row>
    <row r="35" spans="1:28">
      <c r="A35" s="35" t="s">
        <v>8</v>
      </c>
      <c r="B35" s="36"/>
      <c r="C35" s="37">
        <f t="shared" si="9"/>
        <v>0</v>
      </c>
      <c r="D35" s="37">
        <f t="shared" si="10"/>
        <v>0</v>
      </c>
      <c r="E35" s="32" t="str">
        <f t="shared" si="11"/>
        <v/>
      </c>
      <c r="F35" s="37">
        <f t="shared" si="12"/>
        <v>0</v>
      </c>
      <c r="G35" s="37">
        <f t="shared" si="13"/>
        <v>0</v>
      </c>
      <c r="H35" s="37">
        <f t="shared" si="14"/>
        <v>0</v>
      </c>
      <c r="I35" s="37">
        <f t="shared" si="15"/>
        <v>0</v>
      </c>
      <c r="J35" s="37">
        <f t="shared" si="16"/>
        <v>0</v>
      </c>
      <c r="K35" s="37">
        <f t="shared" si="17"/>
        <v>0</v>
      </c>
      <c r="L35" s="37">
        <f t="shared" si="18"/>
        <v>0</v>
      </c>
      <c r="M35" s="37">
        <f t="shared" si="19"/>
        <v>0</v>
      </c>
      <c r="N35" s="37">
        <f t="shared" si="20"/>
        <v>0</v>
      </c>
      <c r="O35" s="37">
        <f t="shared" si="21"/>
        <v>0</v>
      </c>
      <c r="P35" s="37">
        <f t="shared" si="22"/>
        <v>0</v>
      </c>
      <c r="Q35" s="32" t="e">
        <f t="shared" si="6"/>
        <v>#DIV/0!</v>
      </c>
      <c r="R35" s="37">
        <f t="shared" si="23"/>
        <v>0</v>
      </c>
      <c r="S35" s="37">
        <f t="shared" si="24"/>
        <v>0</v>
      </c>
      <c r="T35" s="48" t="e">
        <f t="shared" si="8"/>
        <v>#DIV/0!</v>
      </c>
      <c r="U35" s="37">
        <f t="shared" si="25"/>
        <v>0</v>
      </c>
      <c r="V35" s="37">
        <f t="shared" si="26"/>
        <v>0</v>
      </c>
      <c r="W35" s="37">
        <f t="shared" si="27"/>
        <v>0</v>
      </c>
      <c r="X35" s="37">
        <f t="shared" si="28"/>
        <v>0</v>
      </c>
      <c r="Y35" s="37">
        <f t="shared" si="29"/>
        <v>0</v>
      </c>
      <c r="Z35" s="37">
        <f t="shared" si="30"/>
        <v>0</v>
      </c>
      <c r="AA35" s="53" t="str">
        <f t="shared" si="3"/>
        <v/>
      </c>
      <c r="AB35" s="50"/>
    </row>
    <row r="36" spans="1:28">
      <c r="A36" s="35" t="s">
        <v>9</v>
      </c>
      <c r="B36" s="36"/>
      <c r="C36" s="37">
        <f t="shared" si="9"/>
        <v>0</v>
      </c>
      <c r="D36" s="37">
        <f t="shared" si="10"/>
        <v>0</v>
      </c>
      <c r="E36" s="32" t="str">
        <f t="shared" si="11"/>
        <v/>
      </c>
      <c r="F36" s="37">
        <f t="shared" si="12"/>
        <v>0</v>
      </c>
      <c r="G36" s="37">
        <f t="shared" si="13"/>
        <v>0</v>
      </c>
      <c r="H36" s="37">
        <f t="shared" si="14"/>
        <v>0</v>
      </c>
      <c r="I36" s="37">
        <f t="shared" si="15"/>
        <v>0</v>
      </c>
      <c r="J36" s="37">
        <f t="shared" si="16"/>
        <v>0</v>
      </c>
      <c r="K36" s="37">
        <f t="shared" si="17"/>
        <v>0</v>
      </c>
      <c r="L36" s="37">
        <f t="shared" si="18"/>
        <v>0</v>
      </c>
      <c r="M36" s="37">
        <f t="shared" si="19"/>
        <v>0</v>
      </c>
      <c r="N36" s="37">
        <f t="shared" si="20"/>
        <v>0</v>
      </c>
      <c r="O36" s="37">
        <f t="shared" si="21"/>
        <v>0</v>
      </c>
      <c r="P36" s="37">
        <f t="shared" si="22"/>
        <v>0</v>
      </c>
      <c r="Q36" s="32" t="e">
        <f t="shared" si="6"/>
        <v>#DIV/0!</v>
      </c>
      <c r="R36" s="37">
        <f t="shared" si="23"/>
        <v>0</v>
      </c>
      <c r="S36" s="37">
        <f t="shared" si="24"/>
        <v>0</v>
      </c>
      <c r="T36" s="48" t="e">
        <f t="shared" si="8"/>
        <v>#DIV/0!</v>
      </c>
      <c r="U36" s="37">
        <f t="shared" si="25"/>
        <v>0</v>
      </c>
      <c r="V36" s="37">
        <f t="shared" si="26"/>
        <v>0</v>
      </c>
      <c r="W36" s="37">
        <f t="shared" si="27"/>
        <v>0</v>
      </c>
      <c r="X36" s="37">
        <f t="shared" si="28"/>
        <v>0</v>
      </c>
      <c r="Y36" s="37">
        <f t="shared" si="29"/>
        <v>0</v>
      </c>
      <c r="Z36" s="37">
        <f t="shared" si="30"/>
        <v>0</v>
      </c>
      <c r="AA36" s="53" t="str">
        <f t="shared" si="3"/>
        <v/>
      </c>
      <c r="AB36" s="50"/>
    </row>
    <row r="37" spans="1:28">
      <c r="A37" s="35" t="s">
        <v>1</v>
      </c>
      <c r="B37" s="36"/>
      <c r="C37" s="37">
        <f t="shared" si="9"/>
        <v>0</v>
      </c>
      <c r="D37" s="37">
        <f t="shared" si="10"/>
        <v>0</v>
      </c>
      <c r="E37" s="32" t="str">
        <f t="shared" si="11"/>
        <v/>
      </c>
      <c r="F37" s="37">
        <f t="shared" si="12"/>
        <v>0</v>
      </c>
      <c r="G37" s="37">
        <f t="shared" si="13"/>
        <v>0</v>
      </c>
      <c r="H37" s="37">
        <f t="shared" si="14"/>
        <v>0</v>
      </c>
      <c r="I37" s="37">
        <f t="shared" si="15"/>
        <v>0</v>
      </c>
      <c r="J37" s="37">
        <f t="shared" si="16"/>
        <v>0</v>
      </c>
      <c r="K37" s="37">
        <f t="shared" si="17"/>
        <v>0</v>
      </c>
      <c r="L37" s="37">
        <f t="shared" si="18"/>
        <v>0</v>
      </c>
      <c r="M37" s="37">
        <f t="shared" si="19"/>
        <v>0</v>
      </c>
      <c r="N37" s="37">
        <f t="shared" si="20"/>
        <v>0</v>
      </c>
      <c r="O37" s="37">
        <f t="shared" si="21"/>
        <v>0</v>
      </c>
      <c r="P37" s="37">
        <f t="shared" si="22"/>
        <v>0</v>
      </c>
      <c r="Q37" s="32" t="e">
        <f t="shared" si="6"/>
        <v>#DIV/0!</v>
      </c>
      <c r="R37" s="37">
        <f t="shared" si="23"/>
        <v>0</v>
      </c>
      <c r="S37" s="37">
        <f t="shared" si="24"/>
        <v>0</v>
      </c>
      <c r="T37" s="48" t="e">
        <f t="shared" si="8"/>
        <v>#DIV/0!</v>
      </c>
      <c r="U37" s="37">
        <f t="shared" si="25"/>
        <v>0</v>
      </c>
      <c r="V37" s="37">
        <f t="shared" si="26"/>
        <v>0</v>
      </c>
      <c r="W37" s="37">
        <f t="shared" si="27"/>
        <v>0</v>
      </c>
      <c r="X37" s="37">
        <f t="shared" si="28"/>
        <v>0</v>
      </c>
      <c r="Y37" s="37">
        <f t="shared" si="29"/>
        <v>0</v>
      </c>
      <c r="Z37" s="37">
        <f t="shared" si="30"/>
        <v>0</v>
      </c>
      <c r="AA37" s="53" t="str">
        <f t="shared" si="3"/>
        <v/>
      </c>
      <c r="AB37" s="50"/>
    </row>
    <row r="38" spans="1:28">
      <c r="A38" s="35" t="s">
        <v>2</v>
      </c>
      <c r="B38" s="36"/>
      <c r="C38" s="37">
        <f t="shared" si="9"/>
        <v>0</v>
      </c>
      <c r="D38" s="37">
        <f t="shared" si="10"/>
        <v>0</v>
      </c>
      <c r="E38" s="32" t="str">
        <f t="shared" si="11"/>
        <v/>
      </c>
      <c r="F38" s="37">
        <f t="shared" si="12"/>
        <v>0</v>
      </c>
      <c r="G38" s="37">
        <f t="shared" si="13"/>
        <v>0</v>
      </c>
      <c r="H38" s="37">
        <f t="shared" si="14"/>
        <v>0</v>
      </c>
      <c r="I38" s="37">
        <f t="shared" si="15"/>
        <v>0</v>
      </c>
      <c r="J38" s="37">
        <f t="shared" si="16"/>
        <v>0</v>
      </c>
      <c r="K38" s="37">
        <f t="shared" si="17"/>
        <v>0</v>
      </c>
      <c r="L38" s="37">
        <f t="shared" si="18"/>
        <v>0</v>
      </c>
      <c r="M38" s="37">
        <f t="shared" si="19"/>
        <v>0</v>
      </c>
      <c r="N38" s="37">
        <f t="shared" si="20"/>
        <v>0</v>
      </c>
      <c r="O38" s="37">
        <f t="shared" si="21"/>
        <v>0</v>
      </c>
      <c r="P38" s="37">
        <f t="shared" si="22"/>
        <v>0</v>
      </c>
      <c r="Q38" s="32" t="e">
        <f t="shared" si="6"/>
        <v>#DIV/0!</v>
      </c>
      <c r="R38" s="37">
        <f t="shared" si="23"/>
        <v>0</v>
      </c>
      <c r="S38" s="37">
        <f t="shared" si="24"/>
        <v>0</v>
      </c>
      <c r="T38" s="48" t="e">
        <f t="shared" si="8"/>
        <v>#DIV/0!</v>
      </c>
      <c r="U38" s="37">
        <f t="shared" si="25"/>
        <v>0</v>
      </c>
      <c r="V38" s="37">
        <f t="shared" si="26"/>
        <v>0</v>
      </c>
      <c r="W38" s="37">
        <f t="shared" si="27"/>
        <v>0</v>
      </c>
      <c r="X38" s="37">
        <f t="shared" si="28"/>
        <v>0</v>
      </c>
      <c r="Y38" s="37">
        <f t="shared" si="29"/>
        <v>0</v>
      </c>
      <c r="Z38" s="37">
        <f t="shared" si="30"/>
        <v>0</v>
      </c>
      <c r="AA38" s="53" t="str">
        <f t="shared" si="3"/>
        <v/>
      </c>
    </row>
    <row r="39" spans="1:28">
      <c r="A39" s="35" t="s">
        <v>3</v>
      </c>
      <c r="B39" s="36"/>
      <c r="C39" s="38">
        <f t="shared" si="9"/>
        <v>0</v>
      </c>
      <c r="D39" s="38">
        <f t="shared" si="10"/>
        <v>0</v>
      </c>
      <c r="E39" s="32" t="str">
        <f t="shared" si="11"/>
        <v/>
      </c>
      <c r="F39" s="38">
        <f t="shared" si="12"/>
        <v>0</v>
      </c>
      <c r="G39" s="38">
        <f t="shared" si="13"/>
        <v>0</v>
      </c>
      <c r="H39" s="38">
        <f t="shared" si="14"/>
        <v>0</v>
      </c>
      <c r="I39" s="38">
        <f t="shared" si="15"/>
        <v>0</v>
      </c>
      <c r="J39" s="38">
        <f t="shared" si="16"/>
        <v>0</v>
      </c>
      <c r="K39" s="38">
        <f t="shared" si="17"/>
        <v>0</v>
      </c>
      <c r="L39" s="38">
        <f t="shared" si="18"/>
        <v>0</v>
      </c>
      <c r="M39" s="38">
        <f t="shared" si="19"/>
        <v>0</v>
      </c>
      <c r="N39" s="38">
        <f t="shared" si="20"/>
        <v>0</v>
      </c>
      <c r="O39" s="38">
        <f t="shared" si="21"/>
        <v>0</v>
      </c>
      <c r="P39" s="38">
        <f t="shared" si="22"/>
        <v>0</v>
      </c>
      <c r="Q39" s="32" t="e">
        <f t="shared" si="6"/>
        <v>#DIV/0!</v>
      </c>
      <c r="R39" s="38">
        <f t="shared" si="23"/>
        <v>0</v>
      </c>
      <c r="S39" s="38">
        <f t="shared" si="24"/>
        <v>0</v>
      </c>
      <c r="T39" s="48" t="e">
        <f t="shared" si="8"/>
        <v>#DIV/0!</v>
      </c>
      <c r="U39" s="38">
        <f t="shared" si="25"/>
        <v>0</v>
      </c>
      <c r="V39" s="38">
        <f t="shared" si="26"/>
        <v>0</v>
      </c>
      <c r="W39" s="38">
        <f t="shared" si="27"/>
        <v>0</v>
      </c>
      <c r="X39" s="38">
        <f t="shared" si="28"/>
        <v>0</v>
      </c>
      <c r="Y39" s="38">
        <f t="shared" si="29"/>
        <v>0</v>
      </c>
      <c r="Z39" s="37">
        <f t="shared" si="30"/>
        <v>0</v>
      </c>
      <c r="AA39" s="53" t="str">
        <f t="shared" si="3"/>
        <v/>
      </c>
    </row>
  </sheetData>
  <phoneticPr fontId="17" type="noConversion"/>
  <pageMargins left="0.75" right="0.75" top="1" bottom="1" header="0.51180555555555596" footer="0.51180555555555596"/>
  <pageSetup paperSize="9" orientation="portrait"/>
  <legacyDrawing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Sheet3</vt:lpstr>
      <vt:lpstr>汇总</vt:lpstr>
    </vt:vector>
  </TitlesOfParts>
  <Company>沙之星跨境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沙之星跨境</dc:creator>
  <cp:lastModifiedBy>Microsoft Office 用户</cp:lastModifiedBy>
  <dcterms:created xsi:type="dcterms:W3CDTF">2017-10-10T02:55:00Z</dcterms:created>
  <dcterms:modified xsi:type="dcterms:W3CDTF">2023-04-17T14:26:27Z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2052-11.1.0.11045</vt:lpwstr>
  </property>
  <property fmtid="{D5CDD505-2E9C-101B-9397-08002B2CF9AE}" pid="3" name="ICV">
    <vt:lpwstr>978039B3914E4C34AC0B1CDDF4F13B5D</vt:lpwstr>
  </property>
</Properties>
</file>