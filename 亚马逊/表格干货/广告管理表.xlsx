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910"/>
  <workbookPr codeName="ThisWorkbook" autoCompressPictures="0"/>
  <bookViews>
    <workbookView xWindow="3540" yWindow="760" windowWidth="24220" windowHeight="12540"/>
  </bookViews>
  <sheets>
    <sheet name="SKU表" sheetId="14" r:id="rId1"/>
    <sheet name="广告数据报表" sheetId="25" r:id="rId2"/>
    <sheet name="广告透视表" sheetId="42" r:id="rId3"/>
    <sheet name="用法说明" sheetId="36" r:id="rId4"/>
  </sheets>
  <definedNames>
    <definedName name="_xlnm._FilterDatabase" localSheetId="1" hidden="1">广告数据报表!$A$2:$AH$2</definedName>
  </definedNames>
  <calcPr calcId="140001" concurrentCalc="0"/>
  <pivotCaches>
    <pivotCache cacheId="4" r:id="rId5"/>
  </pivotCaches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2" i="25" l="1"/>
  <c r="AL42" i="25"/>
  <c r="AJ42" i="25"/>
  <c r="AI42" i="25"/>
  <c r="N42" i="25"/>
  <c r="O42" i="25"/>
  <c r="AK41" i="25"/>
  <c r="AL41" i="25"/>
  <c r="AJ41" i="25"/>
  <c r="AI41" i="25"/>
  <c r="N41" i="25"/>
  <c r="O41" i="25"/>
  <c r="AK40" i="25"/>
  <c r="AL40" i="25"/>
  <c r="AJ40" i="25"/>
  <c r="AI40" i="25"/>
  <c r="N40" i="25"/>
  <c r="O40" i="25"/>
  <c r="AK39" i="25"/>
  <c r="AL39" i="25"/>
  <c r="AJ39" i="25"/>
  <c r="AI39" i="25"/>
  <c r="N39" i="25"/>
  <c r="O39" i="25"/>
  <c r="AK38" i="25"/>
  <c r="AL38" i="25"/>
  <c r="AJ38" i="25"/>
  <c r="AI38" i="25"/>
  <c r="N38" i="25"/>
  <c r="O38" i="25"/>
  <c r="AK37" i="25"/>
  <c r="AL37" i="25"/>
  <c r="AJ37" i="25"/>
  <c r="AI37" i="25"/>
  <c r="N37" i="25"/>
  <c r="O37" i="25"/>
  <c r="AK36" i="25"/>
  <c r="AL36" i="25"/>
  <c r="AJ36" i="25"/>
  <c r="AI36" i="25"/>
  <c r="N36" i="25"/>
  <c r="O36" i="25"/>
  <c r="AK35" i="25"/>
  <c r="AL35" i="25"/>
  <c r="AJ35" i="25"/>
  <c r="AI35" i="25"/>
  <c r="N35" i="25"/>
  <c r="O35" i="25"/>
  <c r="AK34" i="25"/>
  <c r="AL34" i="25"/>
  <c r="AJ34" i="25"/>
  <c r="AI34" i="25"/>
  <c r="N34" i="25"/>
  <c r="O34" i="25"/>
  <c r="AK33" i="25"/>
  <c r="AL33" i="25"/>
  <c r="AJ33" i="25"/>
  <c r="AI33" i="25"/>
  <c r="N33" i="25"/>
  <c r="O33" i="25"/>
  <c r="AK32" i="25"/>
  <c r="AL32" i="25"/>
  <c r="AJ32" i="25"/>
  <c r="AI32" i="25"/>
  <c r="N32" i="25"/>
  <c r="O32" i="25"/>
  <c r="AK31" i="25"/>
  <c r="AL31" i="25"/>
  <c r="AJ31" i="25"/>
  <c r="AI31" i="25"/>
  <c r="N31" i="25"/>
  <c r="O31" i="25"/>
  <c r="AK30" i="25"/>
  <c r="AL30" i="25"/>
  <c r="AJ30" i="25"/>
  <c r="AI30" i="25"/>
  <c r="N30" i="25"/>
  <c r="O30" i="25"/>
  <c r="AK29" i="25"/>
  <c r="AL29" i="25"/>
  <c r="AJ29" i="25"/>
  <c r="AI29" i="25"/>
  <c r="N29" i="25"/>
  <c r="O29" i="25"/>
  <c r="AK28" i="25"/>
  <c r="AL28" i="25"/>
  <c r="AJ28" i="25"/>
  <c r="AI28" i="25"/>
  <c r="N28" i="25"/>
  <c r="O28" i="25"/>
  <c r="AK27" i="25"/>
  <c r="AL27" i="25"/>
  <c r="AJ27" i="25"/>
  <c r="AI27" i="25"/>
  <c r="N27" i="25"/>
  <c r="O27" i="25"/>
  <c r="AK26" i="25"/>
  <c r="AL26" i="25"/>
  <c r="AJ26" i="25"/>
  <c r="AI26" i="25"/>
  <c r="N26" i="25"/>
  <c r="O26" i="25"/>
  <c r="AK25" i="25"/>
  <c r="AL25" i="25"/>
  <c r="AJ25" i="25"/>
  <c r="AI25" i="25"/>
  <c r="N25" i="25"/>
  <c r="O25" i="25"/>
  <c r="AK24" i="25"/>
  <c r="AL24" i="25"/>
  <c r="AJ24" i="25"/>
  <c r="AI24" i="25"/>
  <c r="N24" i="25"/>
  <c r="O24" i="25"/>
  <c r="AK23" i="25"/>
  <c r="AL23" i="25"/>
  <c r="AJ23" i="25"/>
  <c r="AI23" i="25"/>
  <c r="N23" i="25"/>
  <c r="O23" i="25"/>
  <c r="AK22" i="25"/>
  <c r="AL22" i="25"/>
  <c r="AJ22" i="25"/>
  <c r="AI22" i="25"/>
  <c r="N22" i="25"/>
  <c r="O22" i="25"/>
  <c r="AK21" i="25"/>
  <c r="AL21" i="25"/>
  <c r="AJ21" i="25"/>
  <c r="AI21" i="25"/>
  <c r="N21" i="25"/>
  <c r="O21" i="25"/>
  <c r="AK20" i="25"/>
  <c r="AL20" i="25"/>
  <c r="AJ20" i="25"/>
  <c r="AI20" i="25"/>
  <c r="N20" i="25"/>
  <c r="O20" i="25"/>
  <c r="AK19" i="25"/>
  <c r="AL19" i="25"/>
  <c r="AJ19" i="25"/>
  <c r="AI19" i="25"/>
  <c r="N19" i="25"/>
  <c r="O19" i="25"/>
  <c r="AK18" i="25"/>
  <c r="AL18" i="25"/>
  <c r="AJ18" i="25"/>
  <c r="AI18" i="25"/>
  <c r="N18" i="25"/>
  <c r="O18" i="25"/>
  <c r="AK17" i="25"/>
  <c r="AL17" i="25"/>
  <c r="AJ17" i="25"/>
  <c r="AI17" i="25"/>
  <c r="N17" i="25"/>
  <c r="O17" i="25"/>
  <c r="AK16" i="25"/>
  <c r="AL16" i="25"/>
  <c r="AJ16" i="25"/>
  <c r="AI16" i="25"/>
  <c r="N16" i="25"/>
  <c r="O16" i="25"/>
  <c r="AK15" i="25"/>
  <c r="AL15" i="25"/>
  <c r="AJ15" i="25"/>
  <c r="AI15" i="25"/>
  <c r="N15" i="25"/>
  <c r="O15" i="25"/>
  <c r="AK14" i="25"/>
  <c r="AL14" i="25"/>
  <c r="AJ14" i="25"/>
  <c r="AI14" i="25"/>
  <c r="N14" i="25"/>
  <c r="O14" i="25"/>
  <c r="AK13" i="25"/>
  <c r="AL13" i="25"/>
  <c r="AJ13" i="25"/>
  <c r="AI13" i="25"/>
  <c r="N13" i="25"/>
  <c r="O13" i="25"/>
  <c r="AK12" i="25"/>
  <c r="AL12" i="25"/>
  <c r="AJ12" i="25"/>
  <c r="AI12" i="25"/>
  <c r="N12" i="25"/>
  <c r="O12" i="25"/>
  <c r="AK11" i="25"/>
  <c r="AL11" i="25"/>
  <c r="AJ11" i="25"/>
  <c r="AI11" i="25"/>
  <c r="N11" i="25"/>
  <c r="O11" i="25"/>
  <c r="AK10" i="25"/>
  <c r="AL10" i="25"/>
  <c r="AJ10" i="25"/>
  <c r="AI10" i="25"/>
  <c r="N10" i="25"/>
  <c r="O10" i="25"/>
  <c r="AK9" i="25"/>
  <c r="AL9" i="25"/>
  <c r="AJ9" i="25"/>
  <c r="AI9" i="25"/>
  <c r="N9" i="25"/>
  <c r="O9" i="25"/>
  <c r="AK8" i="25"/>
  <c r="AL8" i="25"/>
  <c r="AJ8" i="25"/>
  <c r="AI8" i="25"/>
  <c r="N8" i="25"/>
  <c r="O8" i="25"/>
  <c r="AK7" i="25"/>
  <c r="AL7" i="25"/>
  <c r="AJ7" i="25"/>
  <c r="AI7" i="25"/>
  <c r="N7" i="25"/>
  <c r="O7" i="25"/>
  <c r="AK6" i="25"/>
  <c r="AL6" i="25"/>
  <c r="AJ6" i="25"/>
  <c r="AI6" i="25"/>
  <c r="N6" i="25"/>
  <c r="O6" i="25"/>
  <c r="AK5" i="25"/>
  <c r="AL5" i="25"/>
  <c r="AJ5" i="25"/>
  <c r="AI5" i="25"/>
  <c r="N5" i="25"/>
  <c r="O5" i="25"/>
  <c r="AK4" i="25"/>
  <c r="AL4" i="25"/>
  <c r="AJ4" i="25"/>
  <c r="AI4" i="25"/>
  <c r="N4" i="25"/>
  <c r="O4" i="25"/>
  <c r="AK3" i="25"/>
  <c r="AL3" i="25"/>
  <c r="AJ3" i="25"/>
  <c r="AI3" i="25"/>
  <c r="N3" i="25"/>
  <c r="O3" i="25"/>
</calcChain>
</file>

<file path=xl/comments1.xml><?xml version="1.0" encoding="utf-8"?>
<comments xmlns="http://schemas.openxmlformats.org/spreadsheetml/2006/main">
  <authors>
    <author>10038</author>
  </authors>
  <commentList>
    <comment ref="AI2" authorId="0">
      <text>
        <r>
          <rPr>
            <b/>
            <sz val="9"/>
            <rFont val="宋体"/>
            <family val="3"/>
            <charset val="134"/>
          </rPr>
          <t>自动生成：
产品名称</t>
        </r>
      </text>
    </comment>
    <comment ref="AJ2" authorId="0">
      <text>
        <r>
          <rPr>
            <b/>
            <sz val="9"/>
            <rFont val="宋体"/>
            <family val="3"/>
            <charset val="134"/>
          </rPr>
          <t>自动生成：
产品ASIN</t>
        </r>
      </text>
    </comment>
    <comment ref="AK2" authorId="0">
      <text>
        <r>
          <rPr>
            <b/>
            <sz val="9"/>
            <rFont val="宋体"/>
            <family val="3"/>
            <charset val="134"/>
          </rPr>
          <t>自动生成：
广告日期</t>
        </r>
      </text>
    </comment>
    <comment ref="AL2" authorId="0">
      <text>
        <r>
          <rPr>
            <b/>
            <sz val="9"/>
            <rFont val="宋体"/>
            <family val="3"/>
            <charset val="134"/>
          </rPr>
          <t>自动生成：
广告年月</t>
        </r>
      </text>
    </comment>
  </commentList>
</comments>
</file>

<file path=xl/sharedStrings.xml><?xml version="1.0" encoding="utf-8"?>
<sst xmlns="http://schemas.openxmlformats.org/spreadsheetml/2006/main" count="427" uniqueCount="114">
  <si>
    <r>
      <rPr>
        <b/>
        <sz val="9"/>
        <color theme="1"/>
        <rFont val="宋体"/>
        <family val="3"/>
        <charset val="134"/>
      </rPr>
      <t>产品</t>
    </r>
    <r>
      <rPr>
        <b/>
        <sz val="9"/>
        <color theme="1"/>
        <rFont val="Calibri"/>
        <family val="2"/>
      </rPr>
      <t>ASIN</t>
    </r>
    <r>
      <rPr>
        <sz val="9"/>
        <color theme="1"/>
        <rFont val="Calibri"/>
        <family val="2"/>
      </rPr>
      <t xml:space="preserve">
</t>
    </r>
    <r>
      <rPr>
        <sz val="9"/>
        <color theme="1"/>
        <rFont val="宋体"/>
        <family val="3"/>
        <charset val="134"/>
      </rPr>
      <t>这个不用解释了吧？</t>
    </r>
  </si>
  <si>
    <r>
      <rPr>
        <b/>
        <sz val="9"/>
        <color theme="1"/>
        <rFont val="Calibri"/>
        <family val="2"/>
      </rPr>
      <t>SKU</t>
    </r>
    <r>
      <rPr>
        <sz val="9"/>
        <color theme="1"/>
        <rFont val="Calibri"/>
        <family val="2"/>
      </rPr>
      <t xml:space="preserve">
Amazon</t>
    </r>
    <r>
      <rPr>
        <sz val="9"/>
        <color theme="1"/>
        <rFont val="宋体"/>
        <family val="3"/>
        <charset val="134"/>
      </rPr>
      <t>上传时用的SKU，一定要与后台一致，多个地方会用到</t>
    </r>
  </si>
  <si>
    <r>
      <rPr>
        <b/>
        <sz val="9"/>
        <color theme="1"/>
        <rFont val="宋体"/>
        <family val="3"/>
        <charset val="134"/>
      </rPr>
      <t>产品名称</t>
    </r>
    <r>
      <rPr>
        <sz val="9"/>
        <color theme="1"/>
        <rFont val="宋体"/>
        <family val="3"/>
        <charset val="134"/>
      </rPr>
      <t xml:space="preserve">
这里是产品简称，不是产品标题，为了你方便看的名称而已。</t>
    </r>
  </si>
  <si>
    <r>
      <rPr>
        <sz val="9"/>
        <color theme="1"/>
        <rFont val="宋体"/>
        <family val="3"/>
        <charset val="134"/>
      </rPr>
      <t>产品</t>
    </r>
    <r>
      <rPr>
        <sz val="9"/>
        <color theme="1"/>
        <rFont val="Calibri"/>
        <family val="2"/>
      </rPr>
      <t xml:space="preserve">ASIN
</t>
    </r>
    <r>
      <rPr>
        <sz val="9"/>
        <color theme="1"/>
        <rFont val="宋体"/>
        <family val="3"/>
        <charset val="134"/>
      </rPr>
      <t>不解释，不解释。多出来这个是为了反查ASIN的。懂Vlookup的人一看就明白。</t>
    </r>
  </si>
  <si>
    <t>ASIN</t>
  </si>
  <si>
    <t>SKU</t>
  </si>
  <si>
    <t>Name</t>
  </si>
  <si>
    <t>ASIN1</t>
  </si>
  <si>
    <t>B000010001</t>
  </si>
  <si>
    <t>SKU A</t>
  </si>
  <si>
    <t>产品A</t>
  </si>
  <si>
    <t>B000020002</t>
  </si>
  <si>
    <t>SKU B</t>
  </si>
  <si>
    <r>
      <rPr>
        <sz val="9"/>
        <color theme="1"/>
        <rFont val="宋体"/>
        <family val="3"/>
        <charset val="134"/>
      </rPr>
      <t>产品</t>
    </r>
    <r>
      <rPr>
        <sz val="9"/>
        <color theme="1"/>
        <rFont val="Calibri"/>
        <family val="2"/>
      </rPr>
      <t>B</t>
    </r>
  </si>
  <si>
    <t>名称是自动取值，只要SKU表有，名称和ASIN都会有值</t>
  </si>
  <si>
    <t>这里是时间处理栏，一样无需填写</t>
  </si>
  <si>
    <t>Campaign Name</t>
  </si>
  <si>
    <t>Ad Group Name</t>
  </si>
  <si>
    <t>Advertised SKU</t>
  </si>
  <si>
    <t>Keyword</t>
  </si>
  <si>
    <t>Match Type</t>
  </si>
  <si>
    <t>Start Date</t>
  </si>
  <si>
    <t>End Date</t>
  </si>
  <si>
    <t>Clicks</t>
  </si>
  <si>
    <t>Impressions</t>
  </si>
  <si>
    <t>CTR</t>
  </si>
  <si>
    <t>Total Spend</t>
  </si>
  <si>
    <t>Average CPC</t>
  </si>
  <si>
    <t>Currency</t>
  </si>
  <si>
    <t>1-day Orders Placed (#)</t>
  </si>
  <si>
    <t>1-day Ordered Product Sales ($)</t>
  </si>
  <si>
    <t>1-day Conversion Rate</t>
  </si>
  <si>
    <t>1-day Same SKU Units Ordered</t>
  </si>
  <si>
    <t>1-day Other SKU Units Ordered</t>
  </si>
  <si>
    <t>1-day Same SKU Units Ordered Product Sales</t>
  </si>
  <si>
    <t>1-day Other SKU Units Ordered Product Sales</t>
  </si>
  <si>
    <t>1-week Orders Placed (#)</t>
  </si>
  <si>
    <t>1-week Ordered Product Sales ($)</t>
  </si>
  <si>
    <t>1-week Conversion Rate</t>
  </si>
  <si>
    <t>1-week Same SKU Units Ordered</t>
  </si>
  <si>
    <t>1-week Other SKU Units Ordered</t>
  </si>
  <si>
    <t>1-week Same SKU Units Ordered Product Sales</t>
  </si>
  <si>
    <t>1-week Other SKU Units Ordered Product Sales</t>
  </si>
  <si>
    <t>1-month Orders Placed (#)</t>
  </si>
  <si>
    <t>1-month Ordered Product Sales ($)</t>
  </si>
  <si>
    <t>1-month Conversion Rate</t>
  </si>
  <si>
    <t>1-month Same SKU Units Ordered</t>
  </si>
  <si>
    <t>1-month Other SKU Units Ordered</t>
  </si>
  <si>
    <t>1-month Same SKU Units Ordered Product Sales</t>
  </si>
  <si>
    <t>1-month Other SKU Units Ordered Product Sales</t>
  </si>
  <si>
    <t>ProductName</t>
  </si>
  <si>
    <t>ADDate</t>
  </si>
  <si>
    <t>ADYM</t>
  </si>
  <si>
    <t>Campaign A</t>
  </si>
  <si>
    <t>Group A</t>
  </si>
  <si>
    <t>Key 1</t>
  </si>
  <si>
    <t>EXACT</t>
  </si>
  <si>
    <t>12/24/2017 0:00</t>
  </si>
  <si>
    <t>12/25/2017 0:00</t>
  </si>
  <si>
    <t>USD</t>
  </si>
  <si>
    <t>12/26/2017 0:00</t>
  </si>
  <si>
    <t>Key 2</t>
  </si>
  <si>
    <t>12/27/2017 0:00</t>
  </si>
  <si>
    <t>Key 3</t>
  </si>
  <si>
    <t>Campaign B</t>
  </si>
  <si>
    <t>Group B</t>
  </si>
  <si>
    <t>Key 4</t>
  </si>
  <si>
    <t>Key 5</t>
  </si>
  <si>
    <t>12/28/2017 0:00</t>
  </si>
  <si>
    <t>12/29/2017 0:00</t>
  </si>
  <si>
    <t>12/30/2017 0:00</t>
  </si>
  <si>
    <t>12/31/2017 0:00</t>
  </si>
  <si>
    <t>1/1/2018 0:00</t>
  </si>
  <si>
    <r>
      <rPr>
        <sz val="10"/>
        <color theme="1"/>
        <rFont val="Arial"/>
        <family val="2"/>
      </rPr>
      <t>月份筛选器</t>
    </r>
  </si>
  <si>
    <r>
      <rPr>
        <sz val="10"/>
        <color theme="1"/>
        <rFont val="Calibri"/>
        <family val="2"/>
      </rPr>
      <t>(</t>
    </r>
    <r>
      <rPr>
        <sz val="10"/>
        <color theme="1"/>
        <rFont val="Arial"/>
        <family val="2"/>
      </rPr>
      <t>全部</t>
    </r>
    <r>
      <rPr>
        <sz val="10"/>
        <color theme="1"/>
        <rFont val="Calibri"/>
        <family val="2"/>
      </rPr>
      <t>)</t>
    </r>
  </si>
  <si>
    <t>栏目解析：
展现，点击，点击率（CTR），费用，点击均价，X订单，X销售，周转化（CR）都不多说了。
单独说一下 X相关xx  ：  如果我没有理解错，就类似从本ASIN，跳转到你店铺其他产品的计量。  就是从A广告访问，但是跳转到你的B产品下单。这么个意思。
ACOS和CPA这些东西，我特意没有加进去。小小门槛，只要你学会自己加这两项，对广告的各种处理和筛选就在眼前了。
保留了月份筛选器，可以按月对广告数据进行筛选，类似一个基本的参考吧。</t>
  </si>
  <si>
    <r>
      <rPr>
        <sz val="10"/>
        <color theme="1"/>
        <rFont val="Arial"/>
        <family val="2"/>
      </rPr>
      <t>行标签</t>
    </r>
  </si>
  <si>
    <r>
      <rPr>
        <sz val="10"/>
        <color theme="1"/>
        <rFont val="Arial"/>
        <family val="2"/>
      </rPr>
      <t>总展现量</t>
    </r>
  </si>
  <si>
    <r>
      <rPr>
        <sz val="10"/>
        <color theme="1"/>
        <rFont val="Arial"/>
        <family val="2"/>
      </rPr>
      <t>总点击量</t>
    </r>
  </si>
  <si>
    <r>
      <rPr>
        <sz val="10"/>
        <color theme="1"/>
        <rFont val="Arial"/>
        <family val="2"/>
      </rPr>
      <t>点击率</t>
    </r>
    <r>
      <rPr>
        <sz val="10"/>
        <color theme="1"/>
        <rFont val="Calibri"/>
        <family val="2"/>
      </rPr>
      <t>(</t>
    </r>
    <r>
      <rPr>
        <sz val="10"/>
        <color theme="1"/>
        <rFont val="Arial"/>
        <family val="2"/>
      </rPr>
      <t>平均值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</si>
  <si>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总费用</t>
    </r>
  </si>
  <si>
    <r>
      <rPr>
        <sz val="10"/>
        <color theme="1"/>
        <rFont val="Arial"/>
        <family val="2"/>
      </rPr>
      <t>每次点击费用</t>
    </r>
  </si>
  <si>
    <r>
      <rPr>
        <sz val="10"/>
        <color theme="1"/>
        <rFont val="Arial"/>
        <family val="2"/>
      </rPr>
      <t>当日订单</t>
    </r>
    <r>
      <rPr>
        <sz val="10"/>
        <color theme="1"/>
        <rFont val="Calibri"/>
        <family val="2"/>
      </rPr>
      <t>(</t>
    </r>
    <r>
      <rPr>
        <sz val="10"/>
        <color theme="1"/>
        <rFont val="Arial"/>
        <family val="2"/>
      </rPr>
      <t>时间范围内总值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</si>
  <si>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当日销售</t>
    </r>
    <r>
      <rPr>
        <sz val="10"/>
        <color theme="1"/>
        <rFont val="Calibri"/>
        <family val="2"/>
      </rPr>
      <t>(</t>
    </r>
    <r>
      <rPr>
        <sz val="10"/>
        <color theme="1"/>
        <rFont val="Arial"/>
        <family val="2"/>
      </rPr>
      <t>时间范围内总值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</si>
  <si>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当日</t>
    </r>
    <r>
      <rPr>
        <sz val="10"/>
        <color theme="1"/>
        <rFont val="Calibri"/>
        <family val="2"/>
      </rPr>
      <t>CR</t>
    </r>
  </si>
  <si>
    <r>
      <rPr>
        <sz val="10"/>
        <color theme="1"/>
        <rFont val="Arial"/>
        <family val="2"/>
      </rPr>
      <t>日相关订单</t>
    </r>
  </si>
  <si>
    <r>
      <rPr>
        <sz val="10"/>
        <color theme="1"/>
        <rFont val="Arial"/>
        <family val="2"/>
      </rPr>
      <t>日相关销售</t>
    </r>
  </si>
  <si>
    <r>
      <rPr>
        <sz val="10"/>
        <color theme="1"/>
        <rFont val="Arial"/>
        <family val="2"/>
      </rPr>
      <t>周订单</t>
    </r>
  </si>
  <si>
    <r>
      <rPr>
        <sz val="10"/>
        <color theme="1"/>
        <rFont val="Arial"/>
        <family val="2"/>
      </rPr>
      <t>周销售</t>
    </r>
  </si>
  <si>
    <r>
      <rPr>
        <sz val="10"/>
        <color theme="1"/>
        <rFont val="Arial"/>
        <family val="2"/>
      </rPr>
      <t>周转化</t>
    </r>
  </si>
  <si>
    <r>
      <rPr>
        <sz val="10"/>
        <color theme="1"/>
        <rFont val="Arial"/>
        <family val="2"/>
      </rPr>
      <t>周相关订单</t>
    </r>
  </si>
  <si>
    <r>
      <rPr>
        <sz val="10"/>
        <color theme="1"/>
        <rFont val="Arial"/>
        <family val="2"/>
      </rPr>
      <t>周相关销售</t>
    </r>
  </si>
  <si>
    <r>
      <rPr>
        <sz val="10"/>
        <color theme="1"/>
        <rFont val="Arial"/>
        <family val="2"/>
      </rPr>
      <t>月订单</t>
    </r>
  </si>
  <si>
    <r>
      <rPr>
        <sz val="10"/>
        <color theme="1"/>
        <rFont val="Arial"/>
        <family val="2"/>
      </rPr>
      <t>月销售</t>
    </r>
  </si>
  <si>
    <r>
      <rPr>
        <sz val="10"/>
        <color theme="1"/>
        <rFont val="Arial"/>
        <family val="2"/>
      </rPr>
      <t>月</t>
    </r>
    <r>
      <rPr>
        <sz val="10"/>
        <color theme="1"/>
        <rFont val="Calibri"/>
        <family val="2"/>
      </rPr>
      <t>CR</t>
    </r>
  </si>
  <si>
    <r>
      <rPr>
        <sz val="10"/>
        <color theme="1"/>
        <rFont val="Arial"/>
        <family val="2"/>
      </rPr>
      <t>相关月订单</t>
    </r>
  </si>
  <si>
    <r>
      <rPr>
        <sz val="10"/>
        <color theme="1"/>
        <rFont val="Arial"/>
        <family val="2"/>
      </rPr>
      <t>相关月销售</t>
    </r>
  </si>
  <si>
    <r>
      <rPr>
        <sz val="10"/>
        <color theme="1"/>
        <rFont val="Calibri"/>
        <family val="2"/>
      </rPr>
      <t xml:space="preserve">B000010001 </t>
    </r>
    <r>
      <rPr>
        <sz val="10"/>
        <color theme="1"/>
        <rFont val="Arial"/>
        <family val="2"/>
      </rPr>
      <t>汇总</t>
    </r>
  </si>
  <si>
    <r>
      <rPr>
        <sz val="10"/>
        <color theme="1"/>
        <rFont val="Calibri"/>
        <family val="2"/>
      </rPr>
      <t xml:space="preserve">B000020002 </t>
    </r>
    <r>
      <rPr>
        <sz val="10"/>
        <color theme="1"/>
        <rFont val="Arial"/>
        <family val="2"/>
      </rPr>
      <t>汇总</t>
    </r>
  </si>
  <si>
    <r>
      <rPr>
        <sz val="10"/>
        <color theme="1"/>
        <rFont val="Arial"/>
        <family val="2"/>
      </rPr>
      <t>总计</t>
    </r>
  </si>
  <si>
    <t>表简称</t>
  </si>
  <si>
    <t>填写顺序</t>
  </si>
  <si>
    <t>表名称</t>
  </si>
  <si>
    <t>表依据和</t>
  </si>
  <si>
    <r>
      <rPr>
        <sz val="10"/>
        <color theme="1"/>
        <rFont val="Calibri"/>
        <family val="2"/>
      </rPr>
      <t>SKU</t>
    </r>
    <r>
      <rPr>
        <sz val="10"/>
        <color theme="1"/>
        <rFont val="宋体"/>
        <family val="3"/>
        <charset val="134"/>
      </rPr>
      <t>表</t>
    </r>
  </si>
  <si>
    <t>产品基础表</t>
  </si>
  <si>
    <r>
      <rPr>
        <sz val="10"/>
        <color theme="1"/>
        <rFont val="宋体"/>
        <family val="3"/>
        <charset val="134"/>
      </rPr>
      <t xml:space="preserve">填写产品ASIN和SKU表，其他表根据ASIN表和SKU来计算或取值。
</t>
    </r>
    <r>
      <rPr>
        <b/>
        <sz val="10"/>
        <color rgb="FFFF0000"/>
        <rFont val="宋体"/>
        <family val="3"/>
        <charset val="134"/>
      </rPr>
      <t>基础表必填。基础表必填。基础表必填。重要的事说三遍。</t>
    </r>
  </si>
  <si>
    <t>广告数据报表</t>
  </si>
  <si>
    <t>亚马逊广告明细表</t>
  </si>
  <si>
    <r>
      <rPr>
        <sz val="10"/>
        <color theme="1"/>
        <rFont val="宋体"/>
        <family val="3"/>
        <charset val="134"/>
      </rPr>
      <t xml:space="preserve">自后台导出的广告数据报表，按照时间排序后，更新到表格中。栏目一个都不要错，粘贴到非橙色区域。
</t>
    </r>
    <r>
      <rPr>
        <b/>
        <sz val="10"/>
        <color theme="7" tint="0.39994506668294322"/>
        <rFont val="宋体"/>
        <family val="3"/>
        <charset val="134"/>
      </rPr>
      <t>并且，敲黑板，重点（！！！）</t>
    </r>
    <r>
      <rPr>
        <sz val="10"/>
        <color theme="1"/>
        <rFont val="宋体"/>
        <family val="3"/>
        <charset val="134"/>
      </rPr>
      <t xml:space="preserve">：
</t>
    </r>
    <r>
      <rPr>
        <b/>
        <sz val="10"/>
        <color theme="7" tint="0.39994506668294322"/>
        <rFont val="宋体"/>
        <family val="3"/>
        <charset val="134"/>
      </rPr>
      <t xml:space="preserve">《SKU表》和《广告数据报表》都使用了“表格”。一定要保证你的数据，在表格范围内。如何确定表格范围？看你的数据最后一行的右下角是否有角标！如果我没有色盲的话，《SKU表》右下角那个蓝色的就是。
</t>
    </r>
    <r>
      <rPr>
        <sz val="10"/>
        <color theme="1"/>
        <rFont val="宋体"/>
        <family val="3"/>
        <charset val="134"/>
      </rPr>
      <t xml:space="preserve">
</t>
    </r>
    <r>
      <rPr>
        <b/>
        <sz val="10"/>
        <color theme="6"/>
        <rFont val="宋体"/>
        <family val="3"/>
        <charset val="134"/>
      </rPr>
      <t>橙色背景色特别说明</t>
    </r>
    <r>
      <rPr>
        <sz val="10"/>
        <color theme="1"/>
        <rFont val="Arial"/>
        <charset val="134"/>
        <scheme val="minor"/>
      </rPr>
      <t>：橙色背景色标记了不需要填写的区域，会公式自动取值。用于透视表的一些筛选等。懂Excel的人，也可以自己改动一下。例如把时间计算成本年第多少周什么的。脑洞大一些，细致一些。数据就拆分的更细致。</t>
    </r>
  </si>
  <si>
    <t>广告透析表</t>
  </si>
  <si>
    <t>广告数据透视表</t>
  </si>
  <si>
    <r>
      <rPr>
        <sz val="10"/>
        <color theme="1"/>
        <rFont val="宋体"/>
        <family val="3"/>
        <charset val="134"/>
      </rPr>
      <t xml:space="preserve">当所有准备工作做足后，在《广告透视表》中点击 </t>
    </r>
    <r>
      <rPr>
        <b/>
        <sz val="10"/>
        <color rgb="FFFF0000"/>
        <rFont val="宋体"/>
        <family val="3"/>
        <charset val="134"/>
      </rPr>
      <t>右键-刷新</t>
    </r>
    <r>
      <rPr>
        <sz val="10"/>
        <color theme="1"/>
        <rFont val="Arial"/>
        <charset val="134"/>
        <scheme val="minor"/>
      </rPr>
      <t xml:space="preserve"> 即可看到最新数据。
</t>
    </r>
    <r>
      <rPr>
        <b/>
        <sz val="10"/>
        <color rgb="FFFF0000"/>
        <rFont val="宋体"/>
        <family val="3"/>
        <charset val="134"/>
      </rPr>
      <t>基础工作做完只需要右键-刷新！基础工作做完只需要右键-刷新！基础工作做完只需要右键-刷新！重要的事说三遍。
反正刷新也不会在别的区域出现。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</si>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</sst>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26" formatCode="\$#,##0.00_);[Red]\(\$#,##0.00\)"/>
    <numFmt numFmtId="176" formatCode="0_ "/>
    <numFmt numFmtId="177" formatCode="\$#,##0.00;\-\$#,##0.00"/>
    <numFmt numFmtId="178" formatCode="0.00_);[Red]\(0.00\)"/>
    <numFmt numFmtId="179" formatCode="0_);[Red]\(0\)"/>
  </numFmts>
  <fonts count="27" x14ac:knownFonts="1">
    <font>
      <sz val="10"/>
      <color theme="1"/>
      <name val="Arial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3"/>
      <charset val="134"/>
    </font>
    <font>
      <sz val="10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0"/>
      <name val="宋体"/>
      <family val="3"/>
      <charset val="134"/>
    </font>
    <font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 tint="0.24994659260841701"/>
      <name val="Calibri"/>
      <family val="2"/>
    </font>
    <font>
      <sz val="9"/>
      <color theme="1" tint="0.24994659260841701"/>
      <name val="宋体"/>
      <family val="3"/>
      <charset val="134"/>
    </font>
    <font>
      <b/>
      <sz val="26"/>
      <color theme="0"/>
      <name val="Arial"/>
      <family val="2"/>
      <scheme val="major"/>
    </font>
    <font>
      <u/>
      <sz val="11"/>
      <color rgb="FF0000FF"/>
      <name val="Arial"/>
      <family val="2"/>
      <scheme val="minor"/>
    </font>
    <font>
      <sz val="9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FF0000"/>
      <name val="宋体"/>
      <family val="3"/>
      <charset val="134"/>
    </font>
    <font>
      <b/>
      <sz val="10"/>
      <color theme="7" tint="0.39994506668294322"/>
      <name val="宋体"/>
      <family val="3"/>
      <charset val="134"/>
    </font>
    <font>
      <b/>
      <sz val="10"/>
      <color theme="6"/>
      <name val="宋体"/>
      <family val="3"/>
      <charset val="134"/>
    </font>
    <font>
      <sz val="10"/>
      <color theme="1"/>
      <name val="Arial"/>
      <family val="2"/>
    </font>
    <font>
      <b/>
      <sz val="9"/>
      <color theme="1"/>
      <name val="宋体"/>
      <family val="3"/>
      <charset val="134"/>
    </font>
    <font>
      <b/>
      <sz val="9"/>
      <color theme="1"/>
      <name val="Calibri"/>
      <family val="2"/>
    </font>
    <font>
      <b/>
      <sz val="9"/>
      <name val="宋体"/>
      <family val="3"/>
      <charset val="134"/>
    </font>
    <font>
      <sz val="9"/>
      <name val="Arial"/>
      <family val="2"/>
      <scheme val="minor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5" fillId="0" borderId="0"/>
  </cellStyleXfs>
  <cellXfs count="5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10" fontId="1" fillId="0" borderId="1" xfId="0" applyNumberFormat="1" applyFont="1" applyBorder="1"/>
    <xf numFmtId="177" fontId="1" fillId="0" borderId="1" xfId="0" applyNumberFormat="1" applyFont="1" applyBorder="1"/>
    <xf numFmtId="0" fontId="1" fillId="0" borderId="1" xfId="0" applyFont="1" applyBorder="1" applyAlignment="1">
      <alignment horizontal="left" indent="1"/>
    </xf>
    <xf numFmtId="176" fontId="1" fillId="0" borderId="1" xfId="0" applyNumberFormat="1" applyFont="1" applyBorder="1"/>
    <xf numFmtId="178" fontId="3" fillId="0" borderId="0" xfId="0" applyNumberFormat="1" applyFont="1" applyAlignment="1">
      <alignment vertical="center"/>
    </xf>
    <xf numFmtId="178" fontId="4" fillId="0" borderId="0" xfId="5" applyNumberFormat="1" applyFont="1"/>
    <xf numFmtId="0" fontId="5" fillId="0" borderId="0" xfId="5"/>
    <xf numFmtId="179" fontId="5" fillId="0" borderId="0" xfId="5" applyNumberFormat="1"/>
    <xf numFmtId="10" fontId="5" fillId="0" borderId="0" xfId="5" applyNumberFormat="1"/>
    <xf numFmtId="177" fontId="5" fillId="0" borderId="0" xfId="5" applyNumberFormat="1"/>
    <xf numFmtId="26" fontId="5" fillId="0" borderId="0" xfId="5" applyNumberFormat="1"/>
    <xf numFmtId="14" fontId="5" fillId="0" borderId="0" xfId="5" applyNumberFormat="1"/>
    <xf numFmtId="0" fontId="3" fillId="0" borderId="0" xfId="0" applyFont="1" applyAlignment="1">
      <alignment vertical="center"/>
    </xf>
    <xf numFmtId="179" fontId="3" fillId="0" borderId="0" xfId="0" applyNumberFormat="1" applyFont="1" applyAlignment="1">
      <alignment vertical="center"/>
    </xf>
    <xf numFmtId="0" fontId="4" fillId="0" borderId="1" xfId="5" applyFont="1" applyBorder="1"/>
    <xf numFmtId="179" fontId="4" fillId="0" borderId="1" xfId="5" applyNumberFormat="1" applyFont="1" applyBorder="1"/>
    <xf numFmtId="10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26" fontId="3" fillId="0" borderId="0" xfId="0" applyNumberFormat="1" applyFont="1" applyAlignment="1">
      <alignment vertical="center"/>
    </xf>
    <xf numFmtId="10" fontId="4" fillId="0" borderId="1" xfId="5" applyNumberFormat="1" applyFont="1" applyBorder="1"/>
    <xf numFmtId="177" fontId="4" fillId="0" borderId="1" xfId="5" applyNumberFormat="1" applyFont="1" applyBorder="1"/>
    <xf numFmtId="26" fontId="4" fillId="0" borderId="1" xfId="5" applyNumberFormat="1" applyFont="1" applyBorder="1"/>
    <xf numFmtId="14" fontId="3" fillId="0" borderId="0" xfId="0" applyNumberFormat="1" applyFont="1" applyAlignment="1">
      <alignment vertical="center"/>
    </xf>
    <xf numFmtId="0" fontId="9" fillId="3" borderId="1" xfId="5" applyFont="1" applyFill="1" applyBorder="1"/>
    <xf numFmtId="14" fontId="9" fillId="3" borderId="1" xfId="5" applyNumberFormat="1" applyFont="1" applyFill="1" applyBorder="1"/>
    <xf numFmtId="178" fontId="9" fillId="3" borderId="1" xfId="5" applyNumberFormat="1" applyFont="1" applyFill="1" applyBorder="1"/>
    <xf numFmtId="0" fontId="10" fillId="0" borderId="0" xfId="3" applyFont="1">
      <alignment vertical="center"/>
    </xf>
    <xf numFmtId="0" fontId="10" fillId="0" borderId="0" xfId="0" applyFont="1"/>
    <xf numFmtId="0" fontId="10" fillId="4" borderId="1" xfId="3" applyFont="1" applyFill="1" applyBorder="1" applyAlignment="1">
      <alignment horizontal="center" vertical="center" wrapText="1"/>
    </xf>
    <xf numFmtId="0" fontId="11" fillId="4" borderId="1" xfId="3" applyFont="1" applyFill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/>
    </xf>
    <xf numFmtId="0" fontId="12" fillId="0" borderId="1" xfId="3" applyFont="1" applyBorder="1" applyAlignment="1">
      <alignment horizontal="left" vertical="center"/>
    </xf>
    <xf numFmtId="0" fontId="13" fillId="0" borderId="1" xfId="3" applyFont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5" fillId="0" borderId="0" xfId="2" applyAlignment="1">
      <alignment horizontal="left" vertical="center"/>
    </xf>
    <xf numFmtId="0" fontId="6" fillId="3" borderId="0" xfId="5" applyFont="1" applyFill="1"/>
    <xf numFmtId="0" fontId="7" fillId="0" borderId="0" xfId="0" applyFont="1"/>
    <xf numFmtId="14" fontId="8" fillId="3" borderId="0" xfId="5" applyNumberFormat="1" applyFont="1" applyFill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6">
    <cellStyle name="标题 5" xfId="1"/>
    <cellStyle name="常规 2" xfId="3"/>
    <cellStyle name="常规 2 4" xfId="4"/>
    <cellStyle name="常规 3" xfId="5"/>
    <cellStyle name="超链接" xfId="2" builtinId="8"/>
    <cellStyle name="普通" xfId="0" builtinId="0"/>
  </cellStyles>
  <dxfs count="140">
    <dxf>
      <alignment vertical="center"/>
    </dxf>
    <dxf>
      <alignment horizontal="center"/>
    </dxf>
    <dxf>
      <alignment wrapText="1"/>
    </dxf>
    <dxf>
      <numFmt numFmtId="180" formatCode="&quot;$&quot;#,##0.00;\-&quot;$&quot;#,##0.00"/>
    </dxf>
    <dxf>
      <numFmt numFmtId="176" formatCode="0_ "/>
      <alignment wrapText="1"/>
    </dxf>
    <dxf>
      <alignment vertical="center"/>
    </dxf>
    <dxf>
      <alignment horizontal="center"/>
    </dxf>
    <dxf>
      <numFmt numFmtId="180" formatCode="&quot;$&quot;#,##0.00;\-&quot;$&quot;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numFmt numFmtId="180" formatCode="&quot;$&quot;#,##0.00;\-&quot;$&quot;#,##0.00"/>
    </dxf>
    <dxf>
      <numFmt numFmtId="176" formatCode="0_ "/>
    </dxf>
    <dxf>
      <alignment vertical="center"/>
    </dxf>
    <dxf>
      <alignment horizontal="center"/>
    </dxf>
    <dxf>
      <numFmt numFmtId="180" formatCode="&quot;$&quot;#,##0.00;\-&quot;$&quot;#,##0.00"/>
    </dxf>
    <dxf>
      <alignment vertical="center"/>
    </dxf>
    <dxf>
      <alignment horizontal="center"/>
    </dxf>
    <dxf>
      <numFmt numFmtId="176" formatCode="0_ "/>
    </dxf>
    <dxf>
      <numFmt numFmtId="180" formatCode="&quot;$&quot;#,##0.00;\-&quot;$&quot;#,##0.00"/>
    </dxf>
    <dxf>
      <numFmt numFmtId="180" formatCode="&quot;$&quot;#,##0.00;\-&quot;$&quot;#,##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top style="thin">
          <color auto="1"/>
        </top>
        <bottom style="thin">
          <color auto="1"/>
        </bottom>
      </border>
    </dxf>
    <dxf>
      <alignment wrapText="1"/>
    </dxf>
    <dxf>
      <alignment vertical="center"/>
    </dxf>
    <dxf>
      <alignment horizontal="center"/>
    </dxf>
    <dxf>
      <numFmt numFmtId="14" formatCode="0.00%"/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4" formatCode="0.00%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</dxf>
    <dxf>
      <alignment wrapText="1"/>
    </dxf>
    <dxf>
      <font>
        <b val="0"/>
        <i val="0"/>
        <strike val="0"/>
        <u val="none"/>
        <sz val="11"/>
        <color theme="0"/>
        <name val="Calibri"/>
        <scheme val="none"/>
      </font>
      <numFmt numFmtId="178" formatCode="0.00_);[Red]\(0.00\)"/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0"/>
        <name val="Calibri"/>
        <scheme val="none"/>
      </font>
      <numFmt numFmtId="19" formatCode="yyyy/m/d"/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0"/>
        <name val="Calibri"/>
        <scheme val="none"/>
      </font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0"/>
        <name val="Calibri"/>
        <scheme val="none"/>
      </font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4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4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4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0" formatCode="&quot;$&quot;#,##0.00;\-&quot;$&quot;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80" formatCode="&quot;$&quot;#,##0.00;\-&quot;$&quot;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4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24994659260841701"/>
        <name val="Calibri"/>
        <scheme val="none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1" tint="0.24994659260841701"/>
      </font>
      <fill>
        <patternFill patternType="solid">
          <bgColor theme="0" tint="-4.9989318521683403E-2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1" tint="0.2499465926084170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color theme="4" tint="-0.249977111117893"/>
      </font>
      <border>
        <top style="thin">
          <color theme="4"/>
        </top>
      </border>
    </dxf>
    <dxf>
      <font>
        <b/>
        <color theme="4" tint="-0.249977111117893"/>
      </font>
      <border>
        <bottom style="thin">
          <color theme="4"/>
        </bottom>
      </border>
    </dxf>
    <dxf>
      <font>
        <color theme="1" tint="0.2499465926084170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bgColor theme="5" tint="0.89992980742820516"/>
        </patternFill>
      </fill>
    </dxf>
    <dxf>
      <font>
        <b/>
        <i val="0"/>
      </font>
      <fill>
        <patternFill patternType="none"/>
      </fill>
    </dxf>
    <dxf>
      <font>
        <color theme="0"/>
      </font>
      <fill>
        <patternFill patternType="solid">
          <bgColor theme="1"/>
        </patternFill>
      </fill>
    </dxf>
    <dxf>
      <border>
        <bottom style="thin">
          <color theme="3" tint="0.39991454817346722"/>
        </bottom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5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sz val="11"/>
        <color theme="0" tint="-0.34998626667073579"/>
        <name val="Century Gothic"/>
        <scheme val="none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</dxfs>
  <tableStyles count="4" defaultTableStyle="Small Business Budget Style 1" defaultPivotStyle="PivotStyleLight16">
    <tableStyle name="Employee Training Tracker - Info" pivot="0" count="4">
      <tableStyleElement type="wholeTable" dxfId="139"/>
      <tableStyleElement type="headerRow" dxfId="138"/>
      <tableStyleElement type="totalRow" dxfId="137"/>
      <tableStyleElement type="firstColumn" dxfId="136"/>
    </tableStyle>
    <tableStyle name="Small Business Budget Style 1" pivot="0" count="4">
      <tableStyleElement type="wholeTable" dxfId="135"/>
      <tableStyleElement type="headerRow" dxfId="134"/>
      <tableStyleElement type="totalRow" dxfId="133"/>
      <tableStyleElement type="firstRowStripe" dxfId="132"/>
    </tableStyle>
    <tableStyle name="Small Business Budget Style 2" pivot="0" count="7">
      <tableStyleElement type="wholeTable" dxfId="131"/>
      <tableStyleElement type="headerRow" dxfId="130"/>
      <tableStyleElement type="totalRow" dxfId="129"/>
      <tableStyleElement type="firstColumn" dxfId="128"/>
      <tableStyleElement type="lastColumn" dxfId="127"/>
      <tableStyleElement type="firstRowStripe" dxfId="126"/>
      <tableStyleElement type="firstColumnStripe" dxfId="125"/>
    </tableStyle>
    <tableStyle name="销售报表数_表样式 1" pivot="0" count="3">
      <tableStyleElement type="wholeTable" dxfId="124"/>
      <tableStyleElement type="headerRow" dxfId="123"/>
      <tableStyleElement type="firstRowStripe" dxfId="1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pivotCacheDefinition" Target="pivotCache/pivotCacheDefinition1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0" Type="http://schemas.openxmlformats.org/officeDocument/2006/relationships/customXml" Target="../customXml/item1.xml"/><Relationship Id="rId1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10038" refreshedDate="43103.525940393498" createdVersion="6" refreshedVersion="6" minRefreshableVersion="3" recordCount="40">
  <cacheSource type="worksheet">
    <worksheetSource name="tblAD"/>
  </cacheSource>
  <cacheFields count="38">
    <cacheField name="Campaign Name" numFmtId="0">
      <sharedItems containsSemiMixedTypes="0" containsNonDate="0" containsString="0"/>
    </cacheField>
    <cacheField name="Ad Group Name" numFmtId="0">
      <sharedItems containsSemiMixedTypes="0" containsNonDate="0" containsString="0"/>
    </cacheField>
    <cacheField name="Advertised SKU" numFmtId="0">
      <sharedItems containsMixedTypes="1" containsNumber="1" containsInteger="1" count="9">
        <s v="SKU A"/>
        <s v="SKU B"/>
        <n v="83227" u="1"/>
        <n v="83226" u="1"/>
        <n v="83224" u="1"/>
        <n v="83223" u="1"/>
        <n v="83222" u="1"/>
        <n v="83217" u="1"/>
        <n v="83216" u="1"/>
      </sharedItems>
    </cacheField>
    <cacheField name="Keyword" numFmtId="0">
      <sharedItems containsMixedTypes="1" containsNumber="1" containsInteger="1" count="6">
        <s v="Key 1"/>
        <s v="Key 2"/>
        <s v="Key 3"/>
        <s v="Key 4"/>
        <s v="Key 5"/>
        <n v="2825" u="1"/>
      </sharedItems>
    </cacheField>
    <cacheField name="Match Type" numFmtId="0">
      <sharedItems containsSemiMixedTypes="0" containsNonDate="0" containsString="0"/>
    </cacheField>
    <cacheField name="Start Date" numFmtId="0">
      <sharedItems containsSemiMixedTypes="0" containsNonDate="0" containsString="0"/>
    </cacheField>
    <cacheField name="End Date" numFmtId="0">
      <sharedItems containsSemiMixedTypes="0" containsNonDate="0" containsString="0"/>
    </cacheField>
    <cacheField name="Clicks" numFmtId="179">
      <sharedItems containsSemiMixedTypes="0" containsNonDate="0" containsString="0"/>
    </cacheField>
    <cacheField name="Impressions" numFmtId="179">
      <sharedItems containsSemiMixedTypes="0" containsNonDate="0" containsString="0"/>
    </cacheField>
    <cacheField name="CTR" numFmtId="10">
      <sharedItems containsSemiMixedTypes="0" containsNonDate="0" containsString="0"/>
    </cacheField>
    <cacheField name="Total Spend" numFmtId="177">
      <sharedItems containsSemiMixedTypes="0" containsNonDate="0" containsString="0"/>
    </cacheField>
    <cacheField name="Average CPC" numFmtId="177">
      <sharedItems containsSemiMixedTypes="0" containsNonDate="0" containsString="0"/>
    </cacheField>
    <cacheField name="Currency" numFmtId="0">
      <sharedItems containsSemiMixedTypes="0" containsNonDate="0" containsString="0"/>
    </cacheField>
    <cacheField name="1-day Orders Placed (#)" numFmtId="179">
      <sharedItems containsSemiMixedTypes="0" containsNonDate="0" containsString="0"/>
    </cacheField>
    <cacheField name="1-day Ordered Product Sales ($)" numFmtId="26">
      <sharedItems containsSemiMixedTypes="0" containsNonDate="0" containsString="0"/>
    </cacheField>
    <cacheField name="1-day Conversion Rate" numFmtId="10">
      <sharedItems containsSemiMixedTypes="0" containsNonDate="0" containsString="0"/>
    </cacheField>
    <cacheField name="1-day Same SKU Units Ordered" numFmtId="179">
      <sharedItems containsSemiMixedTypes="0" containsNonDate="0" containsString="0"/>
    </cacheField>
    <cacheField name="1-day Other SKU Units Ordered" numFmtId="179">
      <sharedItems containsSemiMixedTypes="0" containsNonDate="0" containsString="0"/>
    </cacheField>
    <cacheField name="1-day Same SKU Units Ordered Product Sales" numFmtId="26">
      <sharedItems containsSemiMixedTypes="0" containsNonDate="0" containsString="0"/>
    </cacheField>
    <cacheField name="1-day Other SKU Units Ordered Product Sales" numFmtId="26">
      <sharedItems containsSemiMixedTypes="0" containsNonDate="0" containsString="0"/>
    </cacheField>
    <cacheField name="1-week Orders Placed (#)" numFmtId="179">
      <sharedItems containsSemiMixedTypes="0" containsNonDate="0" containsString="0"/>
    </cacheField>
    <cacheField name="1-week Ordered Product Sales ($)" numFmtId="26">
      <sharedItems containsSemiMixedTypes="0" containsNonDate="0" containsString="0"/>
    </cacheField>
    <cacheField name="1-week Conversion Rate" numFmtId="10">
      <sharedItems containsSemiMixedTypes="0" containsNonDate="0" containsString="0"/>
    </cacheField>
    <cacheField name="1-week Same SKU Units Ordered" numFmtId="179">
      <sharedItems containsSemiMixedTypes="0" containsNonDate="0" containsString="0"/>
    </cacheField>
    <cacheField name="1-week Other SKU Units Ordered" numFmtId="179">
      <sharedItems containsSemiMixedTypes="0" containsNonDate="0" containsString="0"/>
    </cacheField>
    <cacheField name="1-week Same SKU Units Ordered Product Sales" numFmtId="26">
      <sharedItems containsSemiMixedTypes="0" containsNonDate="0" containsString="0"/>
    </cacheField>
    <cacheField name="1-week Other SKU Units Ordered Product Sales" numFmtId="26">
      <sharedItems containsSemiMixedTypes="0" containsNonDate="0" containsString="0"/>
    </cacheField>
    <cacheField name="1-month Orders Placed (#)" numFmtId="179">
      <sharedItems containsSemiMixedTypes="0" containsNonDate="0" containsString="0"/>
    </cacheField>
    <cacheField name="1-month Ordered Product Sales ($)" numFmtId="26">
      <sharedItems containsSemiMixedTypes="0" containsNonDate="0" containsString="0"/>
    </cacheField>
    <cacheField name="1-month Conversion Rate" numFmtId="10">
      <sharedItems containsSemiMixedTypes="0" containsNonDate="0" containsString="0"/>
    </cacheField>
    <cacheField name="1-month Same SKU Units Ordered" numFmtId="179">
      <sharedItems containsSemiMixedTypes="0" containsNonDate="0" containsString="0"/>
    </cacheField>
    <cacheField name="1-month Other SKU Units Ordered" numFmtId="179">
      <sharedItems containsSemiMixedTypes="0" containsNonDate="0" containsString="0"/>
    </cacheField>
    <cacheField name="1-month Same SKU Units Ordered Product Sales" numFmtId="26">
      <sharedItems containsSemiMixedTypes="0" containsNonDate="0" containsString="0"/>
    </cacheField>
    <cacheField name="1-month Other SKU Units Ordered Product Sales" numFmtId="26">
      <sharedItems containsSemiMixedTypes="0" containsNonDate="0" containsString="0"/>
    </cacheField>
    <cacheField name="ProductName" numFmtId="0">
      <sharedItems containsMixedTypes="1" containsNumber="1" containsInteger="1" count="8">
        <s v="产品A"/>
        <s v="产品B"/>
        <n v="83227" u="1"/>
        <n v="83226" u="1"/>
        <n v="83223" u="1"/>
        <n v="83222" u="1"/>
        <n v="83217" u="1"/>
        <n v="83216" u="1"/>
      </sharedItems>
    </cacheField>
    <cacheField name="ASIN" numFmtId="0">
      <sharedItems containsMixedTypes="1" containsNumber="1" containsInteger="1" count="8">
        <s v="B000010001"/>
        <s v="B000020002"/>
        <n v="83227" u="1"/>
        <n v="83226" u="1"/>
        <n v="83223" u="1"/>
        <n v="83222" u="1"/>
        <n v="83217" u="1"/>
        <n v="83216" u="1"/>
      </sharedItems>
    </cacheField>
    <cacheField name="ADDate" numFmtId="14">
      <sharedItems containsSemiMixedTypes="0" containsNonDate="0" containsString="0"/>
    </cacheField>
    <cacheField name="ADYM" numFmtId="178">
      <sharedItems count="8">
        <s v="2017/12"/>
        <s v="2017/5" u="1"/>
        <s v="2017/6" u="1"/>
        <s v="2017/7" u="1"/>
        <s v="2017/10" u="1"/>
        <s v="2017/8" u="1"/>
        <s v="2017/9" u="1"/>
        <s v="2017/1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ampaign A"/>
    <s v="Group A"/>
    <x v="0"/>
    <x v="0"/>
    <s v="EXACT"/>
    <s v="12/24/2017 0:00"/>
    <s v="12/25/2017 0:00"/>
    <n v="10"/>
    <n v="1000"/>
    <n v="0.01"/>
    <n v="15"/>
    <n v="1.5"/>
    <s v="USD"/>
    <n v="2"/>
    <n v="20"/>
    <n v="0.2"/>
    <n v="2"/>
    <n v="0"/>
    <n v="20"/>
    <n v="0"/>
    <n v="3"/>
    <n v="30"/>
    <n v="0.25"/>
    <n v="0"/>
    <n v="0"/>
    <n v="0"/>
    <n v="0"/>
    <n v="3"/>
    <n v="30"/>
    <n v="0.3"/>
    <n v="0"/>
    <n v="0"/>
    <n v="0"/>
    <n v="0"/>
    <x v="0"/>
    <x v="0"/>
    <d v="2017-12-24T00:00:00"/>
    <x v="0"/>
  </r>
  <r>
    <s v="Campaign A"/>
    <s v="Group A"/>
    <x v="0"/>
    <x v="0"/>
    <s v="EXACT"/>
    <s v="12/25/2017 0:00"/>
    <s v="12/26/2017 0:00"/>
    <n v="20"/>
    <n v="2000"/>
    <n v="0.01"/>
    <n v="26"/>
    <n v="1.3"/>
    <s v="USD"/>
    <n v="4"/>
    <n v="40"/>
    <n v="0.2"/>
    <n v="4"/>
    <n v="0"/>
    <n v="40"/>
    <n v="0"/>
    <n v="5"/>
    <n v="50"/>
    <n v="0.25"/>
    <n v="0"/>
    <n v="0"/>
    <n v="0"/>
    <n v="0"/>
    <n v="6"/>
    <n v="60"/>
    <n v="0.3"/>
    <n v="0"/>
    <n v="0"/>
    <n v="0"/>
    <n v="0"/>
    <x v="0"/>
    <x v="0"/>
    <d v="2017-12-25T00:00:00"/>
    <x v="0"/>
  </r>
  <r>
    <s v="Campaign A"/>
    <s v="Group A"/>
    <x v="0"/>
    <x v="1"/>
    <s v="EXACT"/>
    <s v="12/24/2017 0:00"/>
    <s v="12/25/2017 0:00"/>
    <n v="30"/>
    <n v="3000"/>
    <n v="0.01"/>
    <n v="51"/>
    <n v="1.7"/>
    <s v="USD"/>
    <n v="6"/>
    <n v="60"/>
    <n v="0.2"/>
    <n v="6"/>
    <n v="0"/>
    <n v="60"/>
    <n v="0"/>
    <n v="8"/>
    <n v="80"/>
    <n v="0.25"/>
    <n v="0"/>
    <n v="0"/>
    <n v="0"/>
    <n v="0"/>
    <n v="9"/>
    <n v="90"/>
    <n v="0.3"/>
    <n v="0"/>
    <n v="0"/>
    <n v="0"/>
    <n v="0"/>
    <x v="0"/>
    <x v="0"/>
    <d v="2017-12-24T00:00:00"/>
    <x v="0"/>
  </r>
  <r>
    <s v="Campaign A"/>
    <s v="Group A"/>
    <x v="0"/>
    <x v="1"/>
    <s v="EXACT"/>
    <s v="12/25/2017 0:00"/>
    <s v="12/26/2017 0:00"/>
    <n v="40"/>
    <n v="4000"/>
    <n v="0.01"/>
    <n v="84"/>
    <n v="2.1"/>
    <s v="USD"/>
    <n v="8"/>
    <n v="80"/>
    <n v="0.2"/>
    <n v="8"/>
    <n v="0"/>
    <n v="80"/>
    <n v="0"/>
    <n v="10"/>
    <n v="100"/>
    <n v="0.25"/>
    <n v="0"/>
    <n v="0"/>
    <n v="0"/>
    <n v="0"/>
    <n v="12"/>
    <n v="120"/>
    <n v="0.3"/>
    <n v="0"/>
    <n v="0"/>
    <n v="0"/>
    <n v="0"/>
    <x v="0"/>
    <x v="0"/>
    <d v="2017-12-25T00:00:00"/>
    <x v="0"/>
  </r>
  <r>
    <s v="Campaign A"/>
    <s v="Group A"/>
    <x v="0"/>
    <x v="1"/>
    <s v="EXACT"/>
    <s v="12/26/2017 0:00"/>
    <s v="12/27/2017 0:00"/>
    <n v="50"/>
    <n v="5000"/>
    <n v="0.01"/>
    <n v="40"/>
    <n v="0.8"/>
    <s v="USD"/>
    <n v="10"/>
    <n v="100"/>
    <n v="0.2"/>
    <n v="10"/>
    <n v="0"/>
    <n v="100"/>
    <n v="0"/>
    <n v="13"/>
    <n v="130"/>
    <n v="0.25"/>
    <n v="0"/>
    <n v="0"/>
    <n v="0"/>
    <n v="0"/>
    <n v="15"/>
    <n v="150"/>
    <n v="0.3"/>
    <n v="0"/>
    <n v="0"/>
    <n v="0"/>
    <n v="0"/>
    <x v="0"/>
    <x v="0"/>
    <d v="2017-12-26T00:00:00"/>
    <x v="0"/>
  </r>
  <r>
    <s v="Campaign A"/>
    <s v="Group A"/>
    <x v="0"/>
    <x v="2"/>
    <s v="EXACT"/>
    <s v="12/25/2017 0:00"/>
    <s v="12/26/2017 0:00"/>
    <n v="60"/>
    <n v="6000"/>
    <n v="0.01"/>
    <n v="42"/>
    <n v="0.7"/>
    <s v="USD"/>
    <n v="12"/>
    <n v="120"/>
    <n v="0.2"/>
    <n v="12"/>
    <n v="0"/>
    <n v="120"/>
    <n v="0"/>
    <n v="15"/>
    <n v="150"/>
    <n v="0.25"/>
    <n v="0"/>
    <n v="0"/>
    <n v="0"/>
    <n v="0"/>
    <n v="18"/>
    <n v="180"/>
    <n v="0.3"/>
    <n v="0"/>
    <n v="0"/>
    <n v="0"/>
    <n v="0"/>
    <x v="0"/>
    <x v="0"/>
    <d v="2017-12-25T00:00:00"/>
    <x v="0"/>
  </r>
  <r>
    <s v="Campaign A"/>
    <s v="Group A"/>
    <x v="0"/>
    <x v="2"/>
    <s v="EXACT"/>
    <s v="12/26/2017 0:00"/>
    <s v="12/27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0"/>
    <x v="0"/>
    <d v="2017-12-26T00:00:00"/>
    <x v="0"/>
  </r>
  <r>
    <s v="Campaign B"/>
    <s v="Group B"/>
    <x v="1"/>
    <x v="0"/>
    <s v="EXACT"/>
    <s v="12/25/2017 0:00"/>
    <s v="12/26/2017 0:00"/>
    <n v="80"/>
    <n v="8000"/>
    <n v="0.01"/>
    <n v="120"/>
    <n v="1.5"/>
    <s v="USD"/>
    <n v="16"/>
    <n v="160"/>
    <n v="0.2"/>
    <n v="16"/>
    <n v="0"/>
    <n v="160"/>
    <n v="0"/>
    <n v="20"/>
    <n v="200"/>
    <n v="0.25"/>
    <n v="0"/>
    <n v="0"/>
    <n v="0"/>
    <n v="0"/>
    <n v="24"/>
    <n v="240"/>
    <n v="0.3"/>
    <n v="0"/>
    <n v="0"/>
    <n v="0"/>
    <n v="0"/>
    <x v="1"/>
    <x v="1"/>
    <d v="2017-12-25T00:00:00"/>
    <x v="0"/>
  </r>
  <r>
    <s v="Campaign B"/>
    <s v="Group B"/>
    <x v="1"/>
    <x v="1"/>
    <s v="EXACT"/>
    <s v="12/25/2017 0:00"/>
    <s v="12/26/2017 0:00"/>
    <n v="32"/>
    <n v="3200"/>
    <n v="0.01"/>
    <n v="41.6"/>
    <n v="1.3"/>
    <s v="USD"/>
    <n v="6"/>
    <n v="60"/>
    <n v="0.2"/>
    <n v="7"/>
    <n v="0"/>
    <n v="60"/>
    <n v="0"/>
    <n v="8"/>
    <n v="80"/>
    <n v="0.25"/>
    <n v="0"/>
    <n v="0"/>
    <n v="0"/>
    <n v="0"/>
    <n v="10"/>
    <n v="100"/>
    <n v="0.3"/>
    <n v="0"/>
    <n v="0"/>
    <n v="0"/>
    <n v="0"/>
    <x v="1"/>
    <x v="1"/>
    <d v="2017-12-25T00:00:00"/>
    <x v="0"/>
  </r>
  <r>
    <s v="Campaign B"/>
    <s v="Group B"/>
    <x v="1"/>
    <x v="2"/>
    <s v="EXACT"/>
    <s v="12/25/2017 0:00"/>
    <s v="12/26/2017 0:00"/>
    <n v="45"/>
    <n v="4500"/>
    <n v="0.01"/>
    <n v="76.5"/>
    <n v="1.7"/>
    <s v="USD"/>
    <n v="9"/>
    <n v="90"/>
    <n v="0.2"/>
    <n v="9"/>
    <n v="0"/>
    <n v="90"/>
    <n v="0"/>
    <n v="12"/>
    <n v="120"/>
    <n v="0.25"/>
    <n v="0"/>
    <n v="0"/>
    <n v="0"/>
    <n v="0"/>
    <n v="14"/>
    <n v="140"/>
    <n v="0.3"/>
    <n v="0"/>
    <n v="0"/>
    <n v="0"/>
    <n v="0"/>
    <x v="1"/>
    <x v="1"/>
    <d v="2017-12-25T00:00:00"/>
    <x v="0"/>
  </r>
  <r>
    <s v="Campaign B"/>
    <s v="Group B"/>
    <x v="1"/>
    <x v="3"/>
    <s v="EXACT"/>
    <s v="12/25/2017 0:00"/>
    <s v="12/26/2017 0:00"/>
    <n v="31"/>
    <n v="3100"/>
    <n v="0.01"/>
    <n v="65.100000000000009"/>
    <n v="2.1"/>
    <s v="USD"/>
    <n v="6"/>
    <n v="60"/>
    <n v="0.2"/>
    <n v="7"/>
    <n v="0"/>
    <n v="60"/>
    <n v="0"/>
    <n v="8"/>
    <n v="80"/>
    <n v="0.25"/>
    <n v="0"/>
    <n v="0"/>
    <n v="0"/>
    <n v="0"/>
    <n v="10"/>
    <n v="100"/>
    <n v="0.3"/>
    <n v="0"/>
    <n v="0"/>
    <n v="0"/>
    <n v="0"/>
    <x v="1"/>
    <x v="1"/>
    <d v="2017-12-25T00:00:00"/>
    <x v="0"/>
  </r>
  <r>
    <s v="Campaign B"/>
    <s v="Group B"/>
    <x v="1"/>
    <x v="4"/>
    <s v="EXACT"/>
    <s v="12/25/2017 0:00"/>
    <s v="12/26/2017 0:00"/>
    <n v="42"/>
    <n v="4200"/>
    <n v="0.01"/>
    <n v="33.6"/>
    <n v="0.8"/>
    <s v="USD"/>
    <n v="8"/>
    <n v="80"/>
    <n v="0.2"/>
    <n v="9"/>
    <n v="0"/>
    <n v="80"/>
    <n v="0"/>
    <n v="11"/>
    <n v="110"/>
    <n v="0.25"/>
    <n v="0"/>
    <n v="0"/>
    <n v="0"/>
    <n v="0"/>
    <n v="13"/>
    <n v="130"/>
    <n v="0.3"/>
    <n v="0"/>
    <n v="0"/>
    <n v="0"/>
    <n v="0"/>
    <x v="1"/>
    <x v="1"/>
    <d v="2017-12-25T00:00:00"/>
    <x v="0"/>
  </r>
  <r>
    <s v="Campaign B"/>
    <s v="Group B"/>
    <x v="1"/>
    <x v="0"/>
    <s v="EXACT"/>
    <s v="12/26/2017 0:00"/>
    <s v="12/26/2017 0:00"/>
    <n v="59"/>
    <n v="5900"/>
    <n v="0.01"/>
    <n v="41.3"/>
    <n v="0.7"/>
    <s v="USD"/>
    <n v="11"/>
    <n v="110"/>
    <n v="0.2"/>
    <n v="12"/>
    <n v="0"/>
    <n v="110"/>
    <n v="0"/>
    <n v="15"/>
    <n v="150"/>
    <n v="0.25"/>
    <n v="0"/>
    <n v="0"/>
    <n v="0"/>
    <n v="0"/>
    <n v="18"/>
    <n v="180"/>
    <n v="0.3"/>
    <n v="0"/>
    <n v="0"/>
    <n v="0"/>
    <n v="0"/>
    <x v="1"/>
    <x v="1"/>
    <d v="2017-12-26T00:00:00"/>
    <x v="0"/>
  </r>
  <r>
    <s v="Campaign B"/>
    <s v="Group B"/>
    <x v="1"/>
    <x v="1"/>
    <s v="EXACT"/>
    <s v="12/26/2017 0:00"/>
    <s v="12/26/2017 0:00"/>
    <n v="73"/>
    <n v="7300"/>
    <n v="0.01"/>
    <n v="116.80000000000001"/>
    <n v="1.6"/>
    <s v="USD"/>
    <n v="14"/>
    <n v="140"/>
    <n v="0.2"/>
    <n v="15"/>
    <n v="0"/>
    <n v="140"/>
    <n v="0"/>
    <n v="19"/>
    <n v="190"/>
    <n v="0.25"/>
    <n v="0"/>
    <n v="0"/>
    <n v="0"/>
    <n v="0"/>
    <n v="22"/>
    <n v="220"/>
    <n v="0.3"/>
    <n v="0"/>
    <n v="0"/>
    <n v="0"/>
    <n v="0"/>
    <x v="1"/>
    <x v="1"/>
    <d v="2017-12-26T00:00:00"/>
    <x v="0"/>
  </r>
  <r>
    <s v="Campaign B"/>
    <s v="Group B"/>
    <x v="1"/>
    <x v="2"/>
    <s v="EXACT"/>
    <s v="12/26/2017 0:00"/>
    <s v="12/26/2017 0:00"/>
    <n v="88"/>
    <n v="8800"/>
    <n v="0.01"/>
    <n v="132"/>
    <n v="1.5"/>
    <s v="USD"/>
    <n v="17"/>
    <n v="170"/>
    <n v="0.2"/>
    <n v="18"/>
    <n v="0"/>
    <n v="170"/>
    <n v="0"/>
    <n v="22"/>
    <n v="220"/>
    <n v="0.25"/>
    <n v="0"/>
    <n v="0"/>
    <n v="0"/>
    <n v="0"/>
    <n v="27"/>
    <n v="270"/>
    <n v="0.3"/>
    <n v="0"/>
    <n v="0"/>
    <n v="0"/>
    <n v="0"/>
    <x v="1"/>
    <x v="1"/>
    <d v="2017-12-26T00:00:00"/>
    <x v="0"/>
  </r>
  <r>
    <s v="Campaign B"/>
    <s v="Group B"/>
    <x v="1"/>
    <x v="3"/>
    <s v="EXACT"/>
    <s v="12/26/2017 0:00"/>
    <s v="12/26/2017 0:00"/>
    <n v="99"/>
    <n v="9900"/>
    <n v="0.01"/>
    <n v="128.70000000000002"/>
    <n v="1.3"/>
    <s v="USD"/>
    <n v="19"/>
    <n v="190"/>
    <n v="0.2"/>
    <n v="20"/>
    <n v="0"/>
    <n v="190"/>
    <n v="0"/>
    <n v="25"/>
    <n v="250"/>
    <n v="0.25"/>
    <n v="0"/>
    <n v="0"/>
    <n v="0"/>
    <n v="0"/>
    <n v="30"/>
    <n v="300"/>
    <n v="0.3"/>
    <n v="0"/>
    <n v="0"/>
    <n v="0"/>
    <n v="0"/>
    <x v="1"/>
    <x v="1"/>
    <d v="2017-12-26T00:00:00"/>
    <x v="0"/>
  </r>
  <r>
    <s v="Campaign B"/>
    <s v="Group B"/>
    <x v="1"/>
    <x v="4"/>
    <s v="EXACT"/>
    <s v="12/26/2017 0:00"/>
    <s v="12/26/2017 0:00"/>
    <n v="60"/>
    <n v="6000"/>
    <n v="0.01"/>
    <n v="102"/>
    <n v="1.7"/>
    <s v="USD"/>
    <n v="12"/>
    <n v="120"/>
    <n v="0.2"/>
    <n v="12"/>
    <n v="0"/>
    <n v="120"/>
    <n v="0"/>
    <n v="15"/>
    <n v="150"/>
    <n v="0.25"/>
    <n v="0"/>
    <n v="0"/>
    <n v="0"/>
    <n v="0"/>
    <n v="18"/>
    <n v="180"/>
    <n v="0.3"/>
    <n v="0"/>
    <n v="0"/>
    <n v="0"/>
    <n v="0"/>
    <x v="1"/>
    <x v="1"/>
    <d v="2017-12-26T00:00:00"/>
    <x v="0"/>
  </r>
  <r>
    <s v="Campaign B"/>
    <s v="Group B"/>
    <x v="1"/>
    <x v="0"/>
    <s v="EXACT"/>
    <s v="12/27/2017 0:00"/>
    <s v="12/28/2017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1"/>
    <s v="EXACT"/>
    <s v="12/27/2017 0:00"/>
    <s v="12/28/2017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2"/>
    <s v="EXACT"/>
    <s v="12/27/2017 0:00"/>
    <s v="12/28/2017 0:00"/>
    <n v="70"/>
    <n v="7000"/>
    <n v="0.01"/>
    <n v="49"/>
    <n v="0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3"/>
    <s v="EXACT"/>
    <s v="12/27/2017 0:00"/>
    <s v="12/28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4"/>
    <s v="EXACT"/>
    <s v="12/27/2017 0:00"/>
    <s v="12/28/2017 0:00"/>
    <n v="70"/>
    <n v="7000"/>
    <n v="0.01"/>
    <n v="105"/>
    <n v="1.5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0"/>
    <s v="EXACT"/>
    <s v="12/28/2017 0:00"/>
    <s v="12/29/2017 0:00"/>
    <n v="70"/>
    <n v="7000"/>
    <n v="0.01"/>
    <n v="91"/>
    <n v="1.3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1"/>
    <s v="EXACT"/>
    <s v="12/28/2017 0:00"/>
    <s v="12/29/2017 0:00"/>
    <n v="70"/>
    <n v="7000"/>
    <n v="0.01"/>
    <n v="119"/>
    <n v="1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2"/>
    <s v="EXACT"/>
    <s v="12/28/2017 0:00"/>
    <s v="12/29/2017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3"/>
    <s v="EXACT"/>
    <s v="12/28/2017 0:00"/>
    <s v="12/29/2017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4"/>
    <s v="EXACT"/>
    <s v="12/28/2017 0:00"/>
    <s v="12/29/2017 0:00"/>
    <n v="70"/>
    <n v="7000"/>
    <n v="0.01"/>
    <n v="49"/>
    <n v="0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0"/>
    <s v="EXACT"/>
    <s v="12/29/2017 0:00"/>
    <s v="12/30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1"/>
    <s v="EXACT"/>
    <s v="12/29/2017 0:00"/>
    <s v="12/30/2017 0:00"/>
    <n v="70"/>
    <n v="7000"/>
    <n v="0.01"/>
    <n v="105"/>
    <n v="1.5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2"/>
    <s v="EXACT"/>
    <s v="12/29/2017 0:00"/>
    <s v="12/30/2017 0:00"/>
    <n v="70"/>
    <n v="7000"/>
    <n v="0.01"/>
    <n v="91"/>
    <n v="1.3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3"/>
    <s v="EXACT"/>
    <s v="12/29/2017 0:00"/>
    <s v="12/30/2017 0:00"/>
    <n v="70"/>
    <n v="7000"/>
    <n v="0.01"/>
    <n v="119"/>
    <n v="1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4"/>
    <s v="EXACT"/>
    <s v="12/29/2017 0:00"/>
    <s v="12/30/2017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0"/>
    <s v="EXACT"/>
    <s v="12/30/2017 0:00"/>
    <s v="12/31/2017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1"/>
    <s v="EXACT"/>
    <s v="12/30/2017 0:00"/>
    <s v="12/31/2017 0:00"/>
    <n v="70"/>
    <n v="7000"/>
    <n v="0.01"/>
    <n v="49"/>
    <n v="0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2"/>
    <s v="EXACT"/>
    <s v="12/30/2017 0:00"/>
    <s v="12/31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3"/>
    <s v="EXACT"/>
    <s v="12/30/2017 0:00"/>
    <s v="12/31/2017 0:00"/>
    <n v="70"/>
    <n v="7000"/>
    <n v="0.01"/>
    <n v="105"/>
    <n v="1.5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4"/>
    <s v="EXACT"/>
    <s v="12/30/2017 0:00"/>
    <s v="12/31/2017 0:00"/>
    <n v="70"/>
    <n v="7000"/>
    <n v="0.01"/>
    <n v="91"/>
    <n v="1.3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0"/>
    <s v="EXACT"/>
    <s v="12/31/2017 0:00"/>
    <s v="1/1/2018 0:00"/>
    <n v="70"/>
    <n v="7000"/>
    <n v="0.01"/>
    <n v="119"/>
    <n v="1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1T00:00:00"/>
    <x v="0"/>
  </r>
  <r>
    <s v="Campaign B"/>
    <s v="Group B"/>
    <x v="1"/>
    <x v="1"/>
    <s v="EXACT"/>
    <s v="12/31/2017 0:00"/>
    <s v="1/1/2018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1T00:00:00"/>
    <x v="0"/>
  </r>
  <r>
    <s v="Campaign B"/>
    <s v="Group B"/>
    <x v="1"/>
    <x v="2"/>
    <s v="EXACT"/>
    <s v="12/31/2017 0:00"/>
    <s v="1/1/2018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1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4" applyNumberFormats="0" applyBorderFormats="0" applyFontFormats="0" applyPatternFormats="0" applyAlignmentFormats="0" applyWidthHeightFormats="1" dataCaption="值" updatedVersion="6" minRefreshableVersion="3" useAutoFormatting="1" createdVersion="6" indent="0" outline="1" outlineData="1" multipleFieldFilters="0">
  <location ref="A5:U18" firstHeaderRow="0" firstDataRow="1" firstDataCol="1" rowPageCount="1" colPageCount="1"/>
  <pivotFields count="38">
    <pivotField subtotalTop="0" showAll="0"/>
    <pivotField subtotalTop="0" showAll="0"/>
    <pivotField subtotalTop="0" showAll="0">
      <items count="10">
        <item sd="0" m="1" x="8"/>
        <item sd="0" m="1" x="7"/>
        <item sd="0" m="1" x="6"/>
        <item sd="0" m="1" x="5"/>
        <item m="1" x="4"/>
        <item sd="0" m="1" x="3"/>
        <item sd="0" m="1" x="2"/>
        <item x="0"/>
        <item x="1"/>
        <item t="default"/>
      </items>
    </pivotField>
    <pivotField axis="axisRow" subtotalTop="0" showAll="0">
      <items count="7">
        <item m="1" x="5"/>
        <item x="0"/>
        <item x="1"/>
        <item x="2"/>
        <item x="3"/>
        <item x="4"/>
        <item t="default"/>
      </items>
    </pivotField>
    <pivotField subtotalTop="0" showAll="0"/>
    <pivotField subtotalTop="0" showAll="0"/>
    <pivotField subtotalTop="0" showAll="0"/>
    <pivotField dataField="1" numFmtId="179" subtotalTop="0" showAll="0"/>
    <pivotField dataField="1" numFmtId="179" subtotalTop="0" showAll="0"/>
    <pivotField dataField="1" numFmtId="10" subtotalTop="0" showAll="0"/>
    <pivotField dataField="1" subtotalTop="0" showAll="0"/>
    <pivotField dataField="1" subtotalTop="0" showAll="0"/>
    <pivotField subtotalTop="0" showAll="0"/>
    <pivotField dataField="1" numFmtId="179" subtotalTop="0" showAll="0"/>
    <pivotField dataField="1" subtotalTop="0" showAll="0"/>
    <pivotField dataField="1" numFmtId="10" subtotalTop="0" showAll="0"/>
    <pivotField numFmtId="179" subtotalTop="0" showAll="0"/>
    <pivotField dataField="1" numFmtId="179" subtotalTop="0" showAll="0"/>
    <pivotField subtotalTop="0" showAll="0"/>
    <pivotField dataField="1" subtotalTop="0" showAll="0"/>
    <pivotField dataField="1" numFmtId="179" subtotalTop="0" showAll="0"/>
    <pivotField dataField="1" subtotalTop="0" showAll="0"/>
    <pivotField dataField="1" numFmtId="10" subtotalTop="0" showAll="0"/>
    <pivotField numFmtId="179" subtotalTop="0" showAll="0"/>
    <pivotField dataField="1" numFmtId="179" subtotalTop="0" showAll="0"/>
    <pivotField subtotalTop="0" showAll="0"/>
    <pivotField dataField="1" subtotalTop="0" showAll="0"/>
    <pivotField dataField="1" numFmtId="179" subtotalTop="0" showAll="0"/>
    <pivotField dataField="1" subtotalTop="0" showAll="0"/>
    <pivotField dataField="1" numFmtId="10" subtotalTop="0" showAll="0"/>
    <pivotField numFmtId="179" subtotalTop="0" showAll="0"/>
    <pivotField dataField="1" numFmtId="179" subtotalTop="0" showAll="0"/>
    <pivotField subtotalTop="0" showAll="0"/>
    <pivotField dataField="1" subtotalTop="0" showAll="0"/>
    <pivotField subtotalTop="0" showAll="0">
      <items count="9">
        <item sd="0" m="1" x="5"/>
        <item sd="0" m="1" x="4"/>
        <item sd="0" m="1" x="3"/>
        <item sd="0" m="1" x="2"/>
        <item sd="0" m="1" x="7"/>
        <item sd="0" m="1" x="6"/>
        <item x="0"/>
        <item x="1"/>
        <item t="default"/>
      </items>
    </pivotField>
    <pivotField axis="axisRow" subtotalTop="0" showAll="0">
      <items count="9">
        <item sd="0" m="1" x="5"/>
        <item sd="0" m="1" x="4"/>
        <item sd="0" m="1" x="3"/>
        <item sd="0" m="1" x="2"/>
        <item m="1" x="7"/>
        <item m="1" x="6"/>
        <item x="0"/>
        <item x="1"/>
        <item t="default"/>
      </items>
    </pivotField>
    <pivotField numFmtId="14" subtotalTop="0" showAll="0"/>
    <pivotField name="月份筛选器" axis="axisPage" subtotalTop="0" showAll="0">
      <items count="9">
        <item m="1" x="1"/>
        <item m="1" x="2"/>
        <item m="1" x="3"/>
        <item m="1" x="5"/>
        <item m="1" x="6"/>
        <item m="1" x="4"/>
        <item m="1" x="7"/>
        <item x="0"/>
        <item t="default"/>
      </items>
    </pivotField>
  </pivotFields>
  <rowFields count="2">
    <field x="35"/>
    <field x="3"/>
  </rowFields>
  <rowItems count="13">
    <i>
      <x v="6"/>
    </i>
    <i r="1">
      <x v="1"/>
    </i>
    <i r="1">
      <x v="2"/>
    </i>
    <i r="1">
      <x v="3"/>
    </i>
    <i t="default">
      <x v="6"/>
    </i>
    <i>
      <x v="7"/>
    </i>
    <i r="1">
      <x v="1"/>
    </i>
    <i r="1">
      <x v="2"/>
    </i>
    <i r="1">
      <x v="3"/>
    </i>
    <i r="1">
      <x v="4"/>
    </i>
    <i r="1">
      <x v="5"/>
    </i>
    <i t="default">
      <x v="7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pageFields count="1">
    <pageField fld="37" hier="0"/>
  </pageFields>
  <dataFields count="20">
    <dataField name="总展现量" fld="8" baseField="2" baseItem="7"/>
    <dataField name="总点击量" fld="7" baseField="2" baseItem="7"/>
    <dataField name="点击率(平均值)" fld="9" subtotal="average" baseField="2" baseItem="7" numFmtId="10"/>
    <dataField name="总费用" fld="10" baseField="2" baseItem="7"/>
    <dataField name="每次点击费用" fld="11" subtotal="average" baseField="2" baseItem="7"/>
    <dataField name="当日订单(时间范围内总值)" fld="13" baseField="2" baseItem="7"/>
    <dataField name="当日销售(时间范围内总值)" fld="14" baseField="2" baseItem="7"/>
    <dataField name="当日CR" fld="15" subtotal="average" baseField="2" baseItem="7" numFmtId="10"/>
    <dataField name="日相关订单" fld="17" baseField="34" baseItem="0"/>
    <dataField name="日相关销售" fld="19" baseField="34" baseItem="0"/>
    <dataField name="周订单" fld="20" baseField="2" baseItem="0"/>
    <dataField name="周销售" fld="21" baseField="34" baseItem="0"/>
    <dataField name="周转化" fld="22" subtotal="average" baseField="2" baseItem="0" numFmtId="10"/>
    <dataField name="周相关订单" fld="24" baseField="34" baseItem="0"/>
    <dataField name="周相关销售" fld="26" baseField="34" baseItem="0"/>
    <dataField name="月订单" fld="27" baseField="34" baseItem="0" numFmtId="176"/>
    <dataField name="月销售" fld="28" baseField="34" baseItem="0"/>
    <dataField name="月CR" fld="29" subtotal="average" baseField="34" baseItem="0" numFmtId="10"/>
    <dataField name="相关月订单" fld="31" baseField="34" baseItem="0" numFmtId="176"/>
    <dataField name="相关月销售" fld="33" baseField="34" baseItem="0"/>
  </dataFields>
  <formats count="72">
    <format dxfId="71">
      <pivotArea field="2" type="button" dataOnly="0" labelOnly="1" outline="0" fieldPosition="0"/>
    </format>
    <format dxfId="7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69">
      <pivotArea field="2" type="button" dataOnly="0" labelOnly="1" outline="0" fieldPosition="0"/>
    </format>
    <format dxfId="6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67">
      <pivotArea field="2" type="button" dataOnly="0" labelOnly="1" outline="0" fieldPosition="0"/>
    </format>
    <format dxfId="6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65">
      <pivotArea field="2" type="button" dataOnly="0" labelOnly="1" outline="0" fieldPosition="0"/>
    </format>
    <format dxfId="6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63">
      <pivotArea outline="0" fieldPosition="0">
        <references count="1">
          <reference field="4294967294" count="1">
            <x v="12"/>
          </reference>
        </references>
      </pivotArea>
    </format>
    <format dxfId="62">
      <pivotArea outline="0" fieldPosition="0">
        <references count="1">
          <reference field="4294967294" count="1">
            <x v="12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fieldPosition="0"/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fieldPosition="0"/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 fieldPosition="0"/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46">
      <pivotArea field="2" type="button" dataOnly="0" labelOnly="1" outline="0" fieldPosition="0"/>
    </format>
    <format dxfId="4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44">
      <pivotArea field="2" type="button" dataOnly="0" labelOnly="1" outline="0" fieldPosition="0"/>
    </format>
    <format dxfId="4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42">
      <pivotArea field="2" type="button" dataOnly="0" labelOnly="1" outline="0" fieldPosition="0"/>
    </format>
    <format dxfId="4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" type="button" dataOnly="0" labelOnly="1" outline="0" fieldPosition="0"/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35">
      <pivotArea outline="0" fieldPosition="0">
        <references count="1">
          <reference field="4294967294" count="1">
            <x v="2"/>
          </reference>
        </references>
      </pivotArea>
    </format>
    <format dxfId="34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31">
      <pivotArea dataOnly="0" labelOnly="1" outline="0" fieldPosition="0">
        <references count="1">
          <reference field="4294967294" count="4">
            <x v="11"/>
            <x v="12"/>
            <x v="13"/>
            <x v="14"/>
          </reference>
        </references>
      </pivotArea>
    </format>
    <format dxfId="30">
      <pivotArea field="35" type="button" dataOnly="0" labelOnly="1" outline="0" fieldPosition="0"/>
    </format>
    <format dxfId="2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10"/>
            <x v="11"/>
            <x v="12"/>
            <x v="13"/>
            <x v="14"/>
          </reference>
        </references>
      </pivotArea>
    </format>
    <format dxfId="28">
      <pivotArea field="35" type="button" dataOnly="0" labelOnly="1" outline="0" fieldPosition="0"/>
    </format>
    <format dxfId="2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10"/>
            <x v="11"/>
            <x v="12"/>
            <x v="13"/>
            <x v="14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34" type="button" dataOnly="0" labelOnly="1" outline="0" fieldPosition="0"/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10"/>
            <x v="11"/>
            <x v="12"/>
            <x v="13"/>
            <x v="14"/>
          </reference>
        </references>
      </pivotArea>
    </format>
    <format dxfId="21">
      <pivotArea outline="0" fieldPosition="0">
        <references count="1">
          <reference field="4294967294" count="1">
            <x v="11"/>
          </reference>
        </references>
      </pivotArea>
    </format>
    <format dxfId="20">
      <pivotArea outline="0" fieldPosition="0">
        <references count="1">
          <reference field="4294967294" count="1">
            <x v="14"/>
          </reference>
        </references>
      </pivotArea>
    </format>
    <format dxfId="19">
      <pivotArea outline="0" fieldPosition="0">
        <references count="1">
          <reference field="4294967294" count="1">
            <x v="15"/>
          </reference>
        </references>
      </pivotArea>
    </format>
    <format dxfId="18">
      <pivotArea dataOnly="0" labelOnly="1" outline="0" fieldPosition="0">
        <references count="1">
          <reference field="4294967294" count="3">
            <x v="15"/>
            <x v="16"/>
            <x v="17"/>
          </reference>
        </references>
      </pivotArea>
    </format>
    <format dxfId="17">
      <pivotArea dataOnly="0" labelOnly="1" outline="0" fieldPosition="0">
        <references count="1">
          <reference field="4294967294" count="3">
            <x v="15"/>
            <x v="16"/>
            <x v="17"/>
          </reference>
        </references>
      </pivotArea>
    </format>
    <format dxfId="16">
      <pivotArea outline="0" fieldPosition="0">
        <references count="1">
          <reference field="4294967294" count="1">
            <x v="16"/>
          </reference>
        </references>
      </pivotArea>
    </format>
    <format dxfId="15">
      <pivotArea dataOnly="0" labelOnly="1" outline="0" fieldPosition="0">
        <references count="1">
          <reference field="4294967294" count="2">
            <x v="18"/>
            <x v="19"/>
          </reference>
        </references>
      </pivotArea>
    </format>
    <format dxfId="14">
      <pivotArea dataOnly="0" labelOnly="1" outline="0" fieldPosition="0">
        <references count="1">
          <reference field="4294967294" count="2">
            <x v="18"/>
            <x v="19"/>
          </reference>
        </references>
      </pivotArea>
    </format>
    <format dxfId="13">
      <pivotArea outline="0" fieldPosition="0">
        <references count="1">
          <reference field="4294967294" count="1">
            <x v="18"/>
          </reference>
        </references>
      </pivotArea>
    </format>
    <format dxfId="12">
      <pivotArea outline="0" fieldPosition="0">
        <references count="1">
          <reference field="4294967294" count="1">
            <x v="19"/>
          </reference>
        </references>
      </pivotArea>
    </format>
    <format dxfId="11">
      <pivotArea dataOnly="0" labelOnly="1" outline="0" fieldPosition="0">
        <references count="1">
          <reference field="4294967294" count="7">
            <x v="13"/>
            <x v="14"/>
            <x v="15"/>
            <x v="16"/>
            <x v="17"/>
            <x v="18"/>
            <x v="19"/>
          </reference>
        </references>
      </pivotArea>
    </format>
    <format dxfId="10">
      <pivotArea outline="0" fieldPosition="0">
        <references count="1">
          <reference field="4294967294" count="1">
            <x v="17"/>
          </reference>
        </references>
      </pivotArea>
    </format>
    <format dxfId="9">
      <pivotArea outline="0" fieldPosition="0">
        <references count="1">
          <reference field="4294967294" count="1">
            <x v="7"/>
          </reference>
        </references>
      </pivotArea>
    </format>
    <format dxfId="8">
      <pivotArea outline="0" fieldPosition="0">
        <references count="1">
          <reference field="4294967294" count="1">
            <x v="6"/>
          </reference>
        </references>
      </pivotArea>
    </format>
    <format dxfId="7">
      <pivotArea outline="0" fieldPosition="0">
        <references count="1">
          <reference field="4294967294" count="1">
            <x v="6"/>
          </reference>
        </references>
      </pivotArea>
    </format>
    <format dxfId="6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5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4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3">
      <pivotArea outline="0" fieldPosition="0">
        <references count="1">
          <reference field="4294967294" count="1">
            <x v="9"/>
          </reference>
        </references>
      </pivotArea>
    </format>
    <format dxfId="2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7" name="tblProduct" displayName="tblProduct" ref="A2:D4" totalsRowShown="0">
  <autoFilter ref="A2:D4"/>
  <tableColumns count="4">
    <tableColumn id="1" name="ASIN" dataDxfId="113"/>
    <tableColumn id="2" name="SKU" dataDxfId="112"/>
    <tableColumn id="3" name="Name" dataDxfId="111"/>
    <tableColumn id="4" name="ASIN1" dataDxfId="11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blAD" displayName="tblAD" ref="A2:AL42" totalsRowShown="0">
  <autoFilter ref="A2:AL42"/>
  <sortState ref="A2:AL42">
    <sortCondition ref="AK2:AK42"/>
  </sortState>
  <tableColumns count="38">
    <tableColumn id="1" name="Campaign Name" dataDxfId="109"/>
    <tableColumn id="2" name="Ad Group Name" dataDxfId="108"/>
    <tableColumn id="3" name="Advertised SKU" dataDxfId="107"/>
    <tableColumn id="4" name="Keyword" dataDxfId="106"/>
    <tableColumn id="5" name="Match Type" dataDxfId="105"/>
    <tableColumn id="6" name="Start Date" dataDxfId="104"/>
    <tableColumn id="7" name="End Date" dataDxfId="103"/>
    <tableColumn id="8" name="Clicks" dataDxfId="102"/>
    <tableColumn id="9" name="Impressions" dataDxfId="101"/>
    <tableColumn id="10" name="CTR" dataDxfId="100"/>
    <tableColumn id="11" name="Total Spend" dataDxfId="99"/>
    <tableColumn id="12" name="Average CPC" dataDxfId="98"/>
    <tableColumn id="13" name="Currency" dataDxfId="97"/>
    <tableColumn id="14" name="1-day Orders Placed (#)" dataDxfId="96">
      <calculatedColumnFormula>INT(tblAD[[#This Row],[Clicks]]*tblAD[[#This Row],[1-day Conversion Rate]])</calculatedColumnFormula>
    </tableColumn>
    <tableColumn id="15" name="1-day Ordered Product Sales ($)" dataDxfId="95">
      <calculatedColumnFormula>10*tblAD[[#This Row],[1-day Orders Placed ('#)]]</calculatedColumnFormula>
    </tableColumn>
    <tableColumn id="16" name="1-day Conversion Rate" dataDxfId="94"/>
    <tableColumn id="17" name="1-day Same SKU Units Ordered" dataDxfId="93"/>
    <tableColumn id="18" name="1-day Other SKU Units Ordered" dataDxfId="92"/>
    <tableColumn id="19" name="1-day Same SKU Units Ordered Product Sales" dataDxfId="91"/>
    <tableColumn id="20" name="1-day Other SKU Units Ordered Product Sales" dataDxfId="90"/>
    <tableColumn id="21" name="1-week Orders Placed (#)" dataDxfId="89"/>
    <tableColumn id="22" name="1-week Ordered Product Sales ($)" dataDxfId="88"/>
    <tableColumn id="23" name="1-week Conversion Rate" dataDxfId="87"/>
    <tableColumn id="24" name="1-week Same SKU Units Ordered" dataDxfId="86"/>
    <tableColumn id="25" name="1-week Other SKU Units Ordered" dataDxfId="85"/>
    <tableColumn id="26" name="1-week Same SKU Units Ordered Product Sales" dataDxfId="84"/>
    <tableColumn id="27" name="1-week Other SKU Units Ordered Product Sales" dataDxfId="83"/>
    <tableColumn id="28" name="1-month Orders Placed (#)" dataDxfId="82"/>
    <tableColumn id="29" name="1-month Ordered Product Sales ($)" dataDxfId="81"/>
    <tableColumn id="30" name="1-month Conversion Rate" dataDxfId="80"/>
    <tableColumn id="31" name="1-month Same SKU Units Ordered" dataDxfId="79"/>
    <tableColumn id="32" name="1-month Other SKU Units Ordered" dataDxfId="78"/>
    <tableColumn id="33" name="1-month Same SKU Units Ordered Product Sales" dataDxfId="77"/>
    <tableColumn id="34" name="1-month Other SKU Units Ordered Product Sales" dataDxfId="76"/>
    <tableColumn id="35" name="ProductName" dataDxfId="75">
      <calculatedColumnFormula>VLOOKUP(tblAD[[#This Row],[Advertised SKU]],tblProduct[SKU]:tblProduct[Name],2,FALSE)</calculatedColumnFormula>
    </tableColumn>
    <tableColumn id="36" name="ASIN" dataDxfId="74">
      <calculatedColumnFormula>IF(ISNA(VLOOKUP(tblAD[[#This Row],[Advertised SKU]],tblProduct[SKU]:tblProduct[ASIN1],3,FALSE)),tblAD[[#This Row],[Advertised SKU]],VLOOKUP(tblAD[[#This Row],[Advertised SKU]],tblProduct[SKU]:tblProduct[ASIN1],3,FALSE))</calculatedColumnFormula>
    </tableColumn>
    <tableColumn id="37" name="ADDate" dataDxfId="73">
      <calculatedColumnFormula>DATE(MID(tblAD[[#This Row],[Start Date]],7,4),LEFT(tblAD[[#This Row],[Start Date]],2),MID(tblAD[[#This Row],[Start Date]],4,2))</calculatedColumnFormula>
    </tableColumn>
    <tableColumn id="38" name="ADYM" dataDxfId="72">
      <calculatedColumnFormula>YEAR(tblAD[[#This Row],[ADDate]])&amp;"/"&amp;MONTH(tblAD[[#This Row],[ADDate]])</calculatedColumnFormula>
    </tableColumn>
  </tableColumns>
  <tableStyleInfo name="Small Business Budget Style 1" showFirstColumn="0" showLastColumn="0" showRowStripes="1" showColumnStripes="0"/>
</table>
</file>

<file path=xl/theme/theme1.xml><?xml version="1.0" encoding="utf-8"?>
<a:theme xmlns:a="http://schemas.openxmlformats.org/drawingml/2006/main" name="genesis_mac">
  <a:themeElements>
    <a:clrScheme name="Small Business Budget 2">
      <a:dk1>
        <a:srgbClr val="0C0C0C"/>
      </a:dk1>
      <a:lt1>
        <a:sysClr val="window" lastClr="FFFFFF"/>
      </a:lt1>
      <a:dk2>
        <a:srgbClr val="363636"/>
      </a:dk2>
      <a:lt2>
        <a:srgbClr val="D8D8D8"/>
      </a:lt2>
      <a:accent1>
        <a:srgbClr val="80B622"/>
      </a:accent1>
      <a:accent2>
        <a:srgbClr val="0C0C0C"/>
      </a:accent2>
      <a:accent3>
        <a:srgbClr val="FF6600"/>
      </a:accent3>
      <a:accent4>
        <a:srgbClr val="2397E2"/>
      </a:accent4>
      <a:accent5>
        <a:srgbClr val="D7D700"/>
      </a:accent5>
      <a:accent6>
        <a:srgbClr val="CC9900"/>
      </a:accent6>
      <a:hlink>
        <a:srgbClr val="00B0F0"/>
      </a:hlink>
      <a:folHlink>
        <a:srgbClr val="0070C0"/>
      </a:folHlink>
    </a:clrScheme>
    <a:fontScheme name="Custom 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2.xml"/><Relationship Id="rId3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2" tint="-9.9978637043366805E-2"/>
  </sheetPr>
  <dimension ref="A1:F25"/>
  <sheetViews>
    <sheetView tabSelected="1" workbookViewId="0">
      <selection activeCell="E5" sqref="E5:E6"/>
    </sheetView>
  </sheetViews>
  <sheetFormatPr baseColWidth="10" defaultColWidth="9" defaultRowHeight="12" x14ac:dyDescent="0"/>
  <cols>
    <col min="1" max="1" width="22.83203125" style="41" customWidth="1"/>
    <col min="2" max="2" width="32.5" style="41" customWidth="1"/>
    <col min="3" max="3" width="22.83203125" style="41" customWidth="1"/>
    <col min="4" max="4" width="30.33203125" style="41" customWidth="1"/>
    <col min="5" max="16384" width="9" style="41"/>
  </cols>
  <sheetData>
    <row r="1" spans="1:6" s="40" customFormat="1" ht="36">
      <c r="A1" s="42" t="s">
        <v>0</v>
      </c>
      <c r="B1" s="42" t="s">
        <v>1</v>
      </c>
      <c r="C1" s="43" t="s">
        <v>2</v>
      </c>
      <c r="D1" s="42" t="s">
        <v>3</v>
      </c>
      <c r="F1" s="41"/>
    </row>
    <row r="2" spans="1:6">
      <c r="A2" s="44" t="s">
        <v>4</v>
      </c>
      <c r="B2" s="44" t="s">
        <v>5</v>
      </c>
      <c r="C2" s="44" t="s">
        <v>6</v>
      </c>
      <c r="D2" s="44" t="s">
        <v>7</v>
      </c>
    </row>
    <row r="3" spans="1:6" ht="13.5" customHeight="1">
      <c r="A3" s="45" t="s">
        <v>8</v>
      </c>
      <c r="B3" s="45" t="s">
        <v>9</v>
      </c>
      <c r="C3" s="46" t="s">
        <v>10</v>
      </c>
      <c r="D3" s="45" t="s">
        <v>8</v>
      </c>
    </row>
    <row r="4" spans="1:6" ht="13.5" customHeight="1">
      <c r="A4" s="45" t="s">
        <v>11</v>
      </c>
      <c r="B4" s="45" t="s">
        <v>12</v>
      </c>
      <c r="C4" s="47" t="s">
        <v>13</v>
      </c>
      <c r="D4" s="45" t="s">
        <v>11</v>
      </c>
    </row>
    <row r="5" spans="1:6" ht="13.5" customHeight="1">
      <c r="E5" s="48"/>
    </row>
    <row r="6" spans="1:6" ht="13.5" customHeight="1">
      <c r="E6" s="49"/>
    </row>
    <row r="7" spans="1:6" ht="13.5" customHeight="1"/>
    <row r="8" spans="1:6" ht="13.5" customHeight="1"/>
    <row r="9" spans="1:6" ht="13.5" customHeight="1"/>
    <row r="10" spans="1:6" ht="13.5" customHeight="1"/>
    <row r="11" spans="1:6" ht="13.5" customHeight="1"/>
    <row r="12" spans="1:6" ht="13.5" customHeight="1"/>
    <row r="13" spans="1:6" ht="13.5" customHeight="1"/>
    <row r="14" spans="1:6" ht="13.5" customHeight="1"/>
    <row r="15" spans="1:6" ht="13.5" customHeight="1"/>
    <row r="16" spans="1: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</sheetData>
  <phoneticPr fontId="25" type="noConversion"/>
  <conditionalFormatting sqref="A3">
    <cfRule type="duplicateValues" dxfId="121" priority="11"/>
  </conditionalFormatting>
  <conditionalFormatting sqref="B3">
    <cfRule type="duplicateValues" dxfId="120" priority="10"/>
  </conditionalFormatting>
  <conditionalFormatting sqref="D3">
    <cfRule type="duplicateValues" dxfId="119" priority="2"/>
  </conditionalFormatting>
  <conditionalFormatting sqref="A4">
    <cfRule type="duplicateValues" dxfId="118" priority="3"/>
  </conditionalFormatting>
  <conditionalFormatting sqref="B4">
    <cfRule type="duplicateValues" dxfId="117" priority="4"/>
  </conditionalFormatting>
  <conditionalFormatting sqref="D4">
    <cfRule type="duplicateValues" dxfId="116" priority="1"/>
  </conditionalFormatting>
  <conditionalFormatting sqref="A5:A1048576 A1:A2">
    <cfRule type="duplicateValues" dxfId="115" priority="29"/>
  </conditionalFormatting>
  <conditionalFormatting sqref="D5:D1048576 D1:D2">
    <cfRule type="duplicateValues" dxfId="114" priority="9"/>
  </conditionalFormatting>
  <pageMargins left="0.7" right="0.7" top="0.75" bottom="0.75" header="0.3" footer="0.3"/>
  <pageSetup paperSize="9" orientation="portrait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FFC000"/>
  </sheetPr>
  <dimension ref="A1:AL42"/>
  <sheetViews>
    <sheetView topLeftCell="AH1" workbookViewId="0">
      <pane ySplit="2" topLeftCell="A3" activePane="bottomLeft" state="frozen"/>
      <selection pane="bottomLeft" activeCell="AK3" sqref="AK3"/>
    </sheetView>
  </sheetViews>
  <sheetFormatPr baseColWidth="10" defaultColWidth="9" defaultRowHeight="13" x14ac:dyDescent="0"/>
  <cols>
    <col min="1" max="1" width="24.6640625" style="20" customWidth="1"/>
    <col min="2" max="2" width="29" style="20" customWidth="1"/>
    <col min="3" max="3" width="38" style="20" customWidth="1"/>
    <col min="4" max="4" width="33.5" style="20" customWidth="1"/>
    <col min="5" max="5" width="11.83203125" style="20" customWidth="1"/>
    <col min="6" max="7" width="14.83203125" style="20" customWidth="1"/>
    <col min="8" max="8" width="7.33203125" style="21" customWidth="1"/>
    <col min="9" max="9" width="12" style="21" customWidth="1"/>
    <col min="10" max="10" width="8" style="22" customWidth="1"/>
    <col min="11" max="11" width="11.83203125" style="23" customWidth="1"/>
    <col min="12" max="12" width="12.33203125" style="23" customWidth="1"/>
    <col min="13" max="13" width="9.6640625" style="20" customWidth="1"/>
    <col min="14" max="14" width="9" style="21" customWidth="1"/>
    <col min="15" max="15" width="13.5" style="24" customWidth="1"/>
    <col min="16" max="16" width="13.1640625" style="22" customWidth="1"/>
    <col min="17" max="17" width="26.33203125" style="21" customWidth="1"/>
    <col min="18" max="18" width="26.6640625" style="21" customWidth="1"/>
    <col min="19" max="19" width="37.1640625" style="24" customWidth="1"/>
    <col min="20" max="20" width="37.33203125" style="24" customWidth="1"/>
    <col min="21" max="21" width="21.83203125" style="21" customWidth="1"/>
    <col min="22" max="22" width="28.33203125" style="24" customWidth="1"/>
    <col min="23" max="23" width="21.33203125" style="22" customWidth="1"/>
    <col min="24" max="24" width="27.6640625" style="21" customWidth="1"/>
    <col min="25" max="25" width="27.83203125" style="21" customWidth="1"/>
    <col min="26" max="26" width="38.33203125" style="24" customWidth="1"/>
    <col min="27" max="27" width="38.6640625" style="24" customWidth="1"/>
    <col min="28" max="28" width="23" style="21" customWidth="1"/>
    <col min="29" max="29" width="29.5" style="24" customWidth="1"/>
    <col min="30" max="30" width="22.33203125" style="22" customWidth="1"/>
    <col min="31" max="31" width="28.83203125" style="21" customWidth="1"/>
    <col min="32" max="32" width="29" style="21" customWidth="1"/>
    <col min="33" max="33" width="39.5" style="24" customWidth="1"/>
    <col min="34" max="34" width="39.6640625" style="24" customWidth="1"/>
    <col min="35" max="36" width="37.5" style="20" customWidth="1"/>
    <col min="37" max="37" width="17.6640625" style="25" customWidth="1"/>
    <col min="38" max="38" width="17.6640625" style="20" customWidth="1"/>
    <col min="39" max="16384" width="9" style="20"/>
  </cols>
  <sheetData>
    <row r="1" spans="1:38" ht="14">
      <c r="AI1" s="50" t="s">
        <v>14</v>
      </c>
      <c r="AJ1" s="51"/>
      <c r="AK1" s="52" t="s">
        <v>15</v>
      </c>
      <c r="AL1" s="52"/>
    </row>
    <row r="2" spans="1:38" s="18" customFormat="1" ht="14">
      <c r="A2" s="26" t="s">
        <v>16</v>
      </c>
      <c r="B2" s="26" t="s">
        <v>17</v>
      </c>
      <c r="C2" s="26" t="s">
        <v>18</v>
      </c>
      <c r="D2" s="26" t="s">
        <v>19</v>
      </c>
      <c r="E2" s="26" t="s">
        <v>20</v>
      </c>
      <c r="F2" s="26" t="s">
        <v>21</v>
      </c>
      <c r="G2" s="26" t="s">
        <v>22</v>
      </c>
      <c r="H2" s="27" t="s">
        <v>23</v>
      </c>
      <c r="I2" s="27" t="s">
        <v>24</v>
      </c>
      <c r="J2" s="30" t="s">
        <v>25</v>
      </c>
      <c r="K2" s="31" t="s">
        <v>26</v>
      </c>
      <c r="L2" s="31" t="s">
        <v>27</v>
      </c>
      <c r="M2" s="26" t="s">
        <v>28</v>
      </c>
      <c r="N2" s="27" t="s">
        <v>29</v>
      </c>
      <c r="O2" s="32" t="s">
        <v>30</v>
      </c>
      <c r="P2" s="30" t="s">
        <v>31</v>
      </c>
      <c r="Q2" s="27" t="s">
        <v>32</v>
      </c>
      <c r="R2" s="27" t="s">
        <v>33</v>
      </c>
      <c r="S2" s="32" t="s">
        <v>34</v>
      </c>
      <c r="T2" s="32" t="s">
        <v>35</v>
      </c>
      <c r="U2" s="27" t="s">
        <v>36</v>
      </c>
      <c r="V2" s="32" t="s">
        <v>37</v>
      </c>
      <c r="W2" s="30" t="s">
        <v>38</v>
      </c>
      <c r="X2" s="27" t="s">
        <v>39</v>
      </c>
      <c r="Y2" s="27" t="s">
        <v>40</v>
      </c>
      <c r="Z2" s="32" t="s">
        <v>41</v>
      </c>
      <c r="AA2" s="32" t="s">
        <v>42</v>
      </c>
      <c r="AB2" s="27" t="s">
        <v>43</v>
      </c>
      <c r="AC2" s="32" t="s">
        <v>44</v>
      </c>
      <c r="AD2" s="30" t="s">
        <v>45</v>
      </c>
      <c r="AE2" s="27" t="s">
        <v>46</v>
      </c>
      <c r="AF2" s="27" t="s">
        <v>47</v>
      </c>
      <c r="AG2" s="32" t="s">
        <v>48</v>
      </c>
      <c r="AH2" s="32" t="s">
        <v>49</v>
      </c>
      <c r="AI2" s="26" t="s">
        <v>50</v>
      </c>
      <c r="AJ2" s="26" t="s">
        <v>4</v>
      </c>
      <c r="AK2" s="36" t="s">
        <v>51</v>
      </c>
      <c r="AL2" s="18" t="s">
        <v>52</v>
      </c>
    </row>
    <row r="3" spans="1:38" s="19" customFormat="1" ht="14">
      <c r="A3" s="28" t="s">
        <v>53</v>
      </c>
      <c r="B3" s="28" t="s">
        <v>54</v>
      </c>
      <c r="C3" s="28" t="s">
        <v>9</v>
      </c>
      <c r="D3" s="28" t="s">
        <v>55</v>
      </c>
      <c r="E3" s="28" t="s">
        <v>56</v>
      </c>
      <c r="F3" s="28" t="s">
        <v>57</v>
      </c>
      <c r="G3" s="28" t="s">
        <v>58</v>
      </c>
      <c r="H3" s="29">
        <v>10</v>
      </c>
      <c r="I3" s="29">
        <v>1000</v>
      </c>
      <c r="J3" s="33">
        <v>0.01</v>
      </c>
      <c r="K3" s="34">
        <v>15</v>
      </c>
      <c r="L3" s="34">
        <v>1.5</v>
      </c>
      <c r="M3" s="28" t="s">
        <v>59</v>
      </c>
      <c r="N3" s="29">
        <f>INT(tblAD[[#This Row],[Clicks]]*tblAD[[#This Row],[1-day Conversion Rate]])</f>
        <v>2</v>
      </c>
      <c r="O3" s="35">
        <f>10*tblAD[[#This Row],[1-day Orders Placed ('#)]]</f>
        <v>20</v>
      </c>
      <c r="P3" s="33">
        <v>0.2</v>
      </c>
      <c r="Q3" s="29">
        <v>2</v>
      </c>
      <c r="R3" s="29">
        <v>0</v>
      </c>
      <c r="S3" s="35">
        <v>20</v>
      </c>
      <c r="T3" s="35">
        <v>0</v>
      </c>
      <c r="U3" s="29">
        <v>3</v>
      </c>
      <c r="V3" s="35">
        <v>30</v>
      </c>
      <c r="W3" s="33">
        <v>0.25</v>
      </c>
      <c r="X3" s="29">
        <v>0</v>
      </c>
      <c r="Y3" s="29">
        <v>0</v>
      </c>
      <c r="Z3" s="35">
        <v>0</v>
      </c>
      <c r="AA3" s="35">
        <v>0</v>
      </c>
      <c r="AB3" s="29">
        <v>3</v>
      </c>
      <c r="AC3" s="35">
        <v>30</v>
      </c>
      <c r="AD3" s="33">
        <v>0.3</v>
      </c>
      <c r="AE3" s="29">
        <v>0</v>
      </c>
      <c r="AF3" s="29">
        <v>0</v>
      </c>
      <c r="AG3" s="35">
        <v>0</v>
      </c>
      <c r="AH3" s="35">
        <v>0</v>
      </c>
      <c r="AI3" s="37" t="str">
        <f>VLOOKUP(tblAD[[#This Row],[Advertised SKU]],tblProduct[SKU]:tblProduct[Name],2,FALSE)</f>
        <v>产品A</v>
      </c>
      <c r="AJ3" s="37" t="str">
        <f>IF(ISNA(VLOOKUP(tblAD[[#This Row],[Advertised SKU]],tblProduct[SKU]:tblProduct[ASIN1],3,FALSE)),tblAD[[#This Row],[Advertised SKU]],VLOOKUP(tblAD[[#This Row],[Advertised SKU]],tblProduct[SKU]:tblProduct[ASIN1],3,FALSE))</f>
        <v>B000010001</v>
      </c>
      <c r="AK3" s="38">
        <f>DATE(MID(tblAD[[#This Row],[Start Date]],7,4),LEFT(tblAD[[#This Row],[Start Date]],2),MID(tblAD[[#This Row],[Start Date]],4,2))</f>
        <v>43093</v>
      </c>
      <c r="AL3" s="39" t="str">
        <f>YEAR(tblAD[[#This Row],[ADDate]])&amp;"/"&amp;MONTH(tblAD[[#This Row],[ADDate]])</f>
        <v>2017/12</v>
      </c>
    </row>
    <row r="4" spans="1:38" s="19" customFormat="1" ht="14">
      <c r="A4" s="28" t="s">
        <v>53</v>
      </c>
      <c r="B4" s="28" t="s">
        <v>54</v>
      </c>
      <c r="C4" s="28" t="s">
        <v>9</v>
      </c>
      <c r="D4" s="28" t="s">
        <v>55</v>
      </c>
      <c r="E4" s="28" t="s">
        <v>56</v>
      </c>
      <c r="F4" s="28" t="s">
        <v>58</v>
      </c>
      <c r="G4" s="28" t="s">
        <v>60</v>
      </c>
      <c r="H4" s="29">
        <v>20</v>
      </c>
      <c r="I4" s="29">
        <v>2000</v>
      </c>
      <c r="J4" s="33">
        <v>0.01</v>
      </c>
      <c r="K4" s="34">
        <v>26</v>
      </c>
      <c r="L4" s="34">
        <v>1.3</v>
      </c>
      <c r="M4" s="28" t="s">
        <v>59</v>
      </c>
      <c r="N4" s="29">
        <f>INT(tblAD[[#This Row],[Clicks]]*tblAD[[#This Row],[1-day Conversion Rate]])</f>
        <v>4</v>
      </c>
      <c r="O4" s="35">
        <f>10*tblAD[[#This Row],[1-day Orders Placed ('#)]]</f>
        <v>40</v>
      </c>
      <c r="P4" s="33">
        <v>0.2</v>
      </c>
      <c r="Q4" s="29">
        <v>4</v>
      </c>
      <c r="R4" s="29">
        <v>0</v>
      </c>
      <c r="S4" s="35">
        <v>40</v>
      </c>
      <c r="T4" s="35">
        <v>0</v>
      </c>
      <c r="U4" s="29">
        <v>5</v>
      </c>
      <c r="V4" s="35">
        <v>50</v>
      </c>
      <c r="W4" s="33">
        <v>0.25</v>
      </c>
      <c r="X4" s="29">
        <v>0</v>
      </c>
      <c r="Y4" s="29">
        <v>0</v>
      </c>
      <c r="Z4" s="35">
        <v>0</v>
      </c>
      <c r="AA4" s="35">
        <v>0</v>
      </c>
      <c r="AB4" s="29">
        <v>6</v>
      </c>
      <c r="AC4" s="35">
        <v>60</v>
      </c>
      <c r="AD4" s="33">
        <v>0.3</v>
      </c>
      <c r="AE4" s="29">
        <v>0</v>
      </c>
      <c r="AF4" s="29">
        <v>0</v>
      </c>
      <c r="AG4" s="35">
        <v>0</v>
      </c>
      <c r="AH4" s="35">
        <v>0</v>
      </c>
      <c r="AI4" s="37" t="str">
        <f>VLOOKUP(tblAD[[#This Row],[Advertised SKU]],tblProduct[SKU]:tblProduct[Name],2,FALSE)</f>
        <v>产品A</v>
      </c>
      <c r="AJ4" s="37" t="str">
        <f>IF(ISNA(VLOOKUP(tblAD[[#This Row],[Advertised SKU]],tblProduct[SKU]:tblProduct[ASIN1],3,FALSE)),tblAD[[#This Row],[Advertised SKU]],VLOOKUP(tblAD[[#This Row],[Advertised SKU]],tblProduct[SKU]:tblProduct[ASIN1],3,FALSE))</f>
        <v>B000010001</v>
      </c>
      <c r="AK4" s="38">
        <f>DATE(MID(tblAD[[#This Row],[Start Date]],7,4),LEFT(tblAD[[#This Row],[Start Date]],2),MID(tblAD[[#This Row],[Start Date]],4,2))</f>
        <v>43094</v>
      </c>
      <c r="AL4" s="39" t="str">
        <f>YEAR(tblAD[[#This Row],[ADDate]])&amp;"/"&amp;MONTH(tblAD[[#This Row],[ADDate]])</f>
        <v>2017/12</v>
      </c>
    </row>
    <row r="5" spans="1:38" s="19" customFormat="1" ht="14">
      <c r="A5" s="28" t="s">
        <v>53</v>
      </c>
      <c r="B5" s="28" t="s">
        <v>54</v>
      </c>
      <c r="C5" s="28" t="s">
        <v>9</v>
      </c>
      <c r="D5" s="28" t="s">
        <v>61</v>
      </c>
      <c r="E5" s="28" t="s">
        <v>56</v>
      </c>
      <c r="F5" s="28" t="s">
        <v>57</v>
      </c>
      <c r="G5" s="28" t="s">
        <v>58</v>
      </c>
      <c r="H5" s="29">
        <v>30</v>
      </c>
      <c r="I5" s="29">
        <v>3000</v>
      </c>
      <c r="J5" s="33">
        <v>0.01</v>
      </c>
      <c r="K5" s="34">
        <v>51</v>
      </c>
      <c r="L5" s="34">
        <v>1.7</v>
      </c>
      <c r="M5" s="28" t="s">
        <v>59</v>
      </c>
      <c r="N5" s="29">
        <f>INT(tblAD[[#This Row],[Clicks]]*tblAD[[#This Row],[1-day Conversion Rate]])</f>
        <v>6</v>
      </c>
      <c r="O5" s="35">
        <f>10*tblAD[[#This Row],[1-day Orders Placed ('#)]]</f>
        <v>60</v>
      </c>
      <c r="P5" s="33">
        <v>0.2</v>
      </c>
      <c r="Q5" s="29">
        <v>6</v>
      </c>
      <c r="R5" s="29">
        <v>0</v>
      </c>
      <c r="S5" s="35">
        <v>60</v>
      </c>
      <c r="T5" s="35">
        <v>0</v>
      </c>
      <c r="U5" s="29">
        <v>8</v>
      </c>
      <c r="V5" s="35">
        <v>80</v>
      </c>
      <c r="W5" s="33">
        <v>0.25</v>
      </c>
      <c r="X5" s="29">
        <v>0</v>
      </c>
      <c r="Y5" s="29">
        <v>0</v>
      </c>
      <c r="Z5" s="35">
        <v>0</v>
      </c>
      <c r="AA5" s="35">
        <v>0</v>
      </c>
      <c r="AB5" s="29">
        <v>9</v>
      </c>
      <c r="AC5" s="35">
        <v>90</v>
      </c>
      <c r="AD5" s="33">
        <v>0.3</v>
      </c>
      <c r="AE5" s="29">
        <v>0</v>
      </c>
      <c r="AF5" s="29">
        <v>0</v>
      </c>
      <c r="AG5" s="35">
        <v>0</v>
      </c>
      <c r="AH5" s="35">
        <v>0</v>
      </c>
      <c r="AI5" s="37" t="str">
        <f>VLOOKUP(tblAD[[#This Row],[Advertised SKU]],tblProduct[SKU]:tblProduct[Name],2,FALSE)</f>
        <v>产品A</v>
      </c>
      <c r="AJ5" s="37" t="str">
        <f>IF(ISNA(VLOOKUP(tblAD[[#This Row],[Advertised SKU]],tblProduct[SKU]:tblProduct[ASIN1],3,FALSE)),tblAD[[#This Row],[Advertised SKU]],VLOOKUP(tblAD[[#This Row],[Advertised SKU]],tblProduct[SKU]:tblProduct[ASIN1],3,FALSE))</f>
        <v>B000010001</v>
      </c>
      <c r="AK5" s="38">
        <f>DATE(MID(tblAD[[#This Row],[Start Date]],7,4),LEFT(tblAD[[#This Row],[Start Date]],2),MID(tblAD[[#This Row],[Start Date]],4,2))</f>
        <v>43093</v>
      </c>
      <c r="AL5" s="39" t="str">
        <f>YEAR(tblAD[[#This Row],[ADDate]])&amp;"/"&amp;MONTH(tblAD[[#This Row],[ADDate]])</f>
        <v>2017/12</v>
      </c>
    </row>
    <row r="6" spans="1:38" s="19" customFormat="1" ht="14">
      <c r="A6" s="28" t="s">
        <v>53</v>
      </c>
      <c r="B6" s="28" t="s">
        <v>54</v>
      </c>
      <c r="C6" s="28" t="s">
        <v>9</v>
      </c>
      <c r="D6" s="28" t="s">
        <v>61</v>
      </c>
      <c r="E6" s="28" t="s">
        <v>56</v>
      </c>
      <c r="F6" s="28" t="s">
        <v>58</v>
      </c>
      <c r="G6" s="28" t="s">
        <v>60</v>
      </c>
      <c r="H6" s="29">
        <v>40</v>
      </c>
      <c r="I6" s="29">
        <v>4000</v>
      </c>
      <c r="J6" s="33">
        <v>0.01</v>
      </c>
      <c r="K6" s="34">
        <v>84</v>
      </c>
      <c r="L6" s="34">
        <v>2.1</v>
      </c>
      <c r="M6" s="28" t="s">
        <v>59</v>
      </c>
      <c r="N6" s="29">
        <f>INT(tblAD[[#This Row],[Clicks]]*tblAD[[#This Row],[1-day Conversion Rate]])</f>
        <v>8</v>
      </c>
      <c r="O6" s="35">
        <f>10*tblAD[[#This Row],[1-day Orders Placed ('#)]]</f>
        <v>80</v>
      </c>
      <c r="P6" s="33">
        <v>0.2</v>
      </c>
      <c r="Q6" s="29">
        <v>8</v>
      </c>
      <c r="R6" s="29">
        <v>0</v>
      </c>
      <c r="S6" s="35">
        <v>80</v>
      </c>
      <c r="T6" s="35">
        <v>0</v>
      </c>
      <c r="U6" s="29">
        <v>10</v>
      </c>
      <c r="V6" s="35">
        <v>100</v>
      </c>
      <c r="W6" s="33">
        <v>0.25</v>
      </c>
      <c r="X6" s="29">
        <v>0</v>
      </c>
      <c r="Y6" s="29">
        <v>0</v>
      </c>
      <c r="Z6" s="35">
        <v>0</v>
      </c>
      <c r="AA6" s="35">
        <v>0</v>
      </c>
      <c r="AB6" s="29">
        <v>12</v>
      </c>
      <c r="AC6" s="35">
        <v>120</v>
      </c>
      <c r="AD6" s="33">
        <v>0.3</v>
      </c>
      <c r="AE6" s="29">
        <v>0</v>
      </c>
      <c r="AF6" s="29">
        <v>0</v>
      </c>
      <c r="AG6" s="35">
        <v>0</v>
      </c>
      <c r="AH6" s="35">
        <v>0</v>
      </c>
      <c r="AI6" s="37" t="str">
        <f>VLOOKUP(tblAD[[#This Row],[Advertised SKU]],tblProduct[SKU]:tblProduct[Name],2,FALSE)</f>
        <v>产品A</v>
      </c>
      <c r="AJ6" s="37" t="str">
        <f>IF(ISNA(VLOOKUP(tblAD[[#This Row],[Advertised SKU]],tblProduct[SKU]:tblProduct[ASIN1],3,FALSE)),tblAD[[#This Row],[Advertised SKU]],VLOOKUP(tblAD[[#This Row],[Advertised SKU]],tblProduct[SKU]:tblProduct[ASIN1],3,FALSE))</f>
        <v>B000010001</v>
      </c>
      <c r="AK6" s="38">
        <f>DATE(MID(tblAD[[#This Row],[Start Date]],7,4),LEFT(tblAD[[#This Row],[Start Date]],2),MID(tblAD[[#This Row],[Start Date]],4,2))</f>
        <v>43094</v>
      </c>
      <c r="AL6" s="39" t="str">
        <f>YEAR(tblAD[[#This Row],[ADDate]])&amp;"/"&amp;MONTH(tblAD[[#This Row],[ADDate]])</f>
        <v>2017/12</v>
      </c>
    </row>
    <row r="7" spans="1:38" s="19" customFormat="1" ht="14">
      <c r="A7" s="28" t="s">
        <v>53</v>
      </c>
      <c r="B7" s="28" t="s">
        <v>54</v>
      </c>
      <c r="C7" s="28" t="s">
        <v>9</v>
      </c>
      <c r="D7" s="28" t="s">
        <v>61</v>
      </c>
      <c r="E7" s="28" t="s">
        <v>56</v>
      </c>
      <c r="F7" s="28" t="s">
        <v>60</v>
      </c>
      <c r="G7" s="28" t="s">
        <v>62</v>
      </c>
      <c r="H7" s="29">
        <v>50</v>
      </c>
      <c r="I7" s="29">
        <v>5000</v>
      </c>
      <c r="J7" s="33">
        <v>0.01</v>
      </c>
      <c r="K7" s="34">
        <v>40</v>
      </c>
      <c r="L7" s="34">
        <v>0.8</v>
      </c>
      <c r="M7" s="28" t="s">
        <v>59</v>
      </c>
      <c r="N7" s="29">
        <f>INT(tblAD[[#This Row],[Clicks]]*tblAD[[#This Row],[1-day Conversion Rate]])</f>
        <v>10</v>
      </c>
      <c r="O7" s="35">
        <f>10*tblAD[[#This Row],[1-day Orders Placed ('#)]]</f>
        <v>100</v>
      </c>
      <c r="P7" s="33">
        <v>0.2</v>
      </c>
      <c r="Q7" s="29">
        <v>10</v>
      </c>
      <c r="R7" s="29">
        <v>0</v>
      </c>
      <c r="S7" s="35">
        <v>100</v>
      </c>
      <c r="T7" s="35">
        <v>0</v>
      </c>
      <c r="U7" s="29">
        <v>13</v>
      </c>
      <c r="V7" s="35">
        <v>130</v>
      </c>
      <c r="W7" s="33">
        <v>0.25</v>
      </c>
      <c r="X7" s="29">
        <v>0</v>
      </c>
      <c r="Y7" s="29">
        <v>0</v>
      </c>
      <c r="Z7" s="35">
        <v>0</v>
      </c>
      <c r="AA7" s="35">
        <v>0</v>
      </c>
      <c r="AB7" s="29">
        <v>15</v>
      </c>
      <c r="AC7" s="35">
        <v>150</v>
      </c>
      <c r="AD7" s="33">
        <v>0.3</v>
      </c>
      <c r="AE7" s="29">
        <v>0</v>
      </c>
      <c r="AF7" s="29">
        <v>0</v>
      </c>
      <c r="AG7" s="35">
        <v>0</v>
      </c>
      <c r="AH7" s="35">
        <v>0</v>
      </c>
      <c r="AI7" s="37" t="str">
        <f>VLOOKUP(tblAD[[#This Row],[Advertised SKU]],tblProduct[SKU]:tblProduct[Name],2,FALSE)</f>
        <v>产品A</v>
      </c>
      <c r="AJ7" s="37" t="str">
        <f>IF(ISNA(VLOOKUP(tblAD[[#This Row],[Advertised SKU]],tblProduct[SKU]:tblProduct[ASIN1],3,FALSE)),tblAD[[#This Row],[Advertised SKU]],VLOOKUP(tblAD[[#This Row],[Advertised SKU]],tblProduct[SKU]:tblProduct[ASIN1],3,FALSE))</f>
        <v>B000010001</v>
      </c>
      <c r="AK7" s="38">
        <f>DATE(MID(tblAD[[#This Row],[Start Date]],7,4),LEFT(tblAD[[#This Row],[Start Date]],2),MID(tblAD[[#This Row],[Start Date]],4,2))</f>
        <v>43095</v>
      </c>
      <c r="AL7" s="39" t="str">
        <f>YEAR(tblAD[[#This Row],[ADDate]])&amp;"/"&amp;MONTH(tblAD[[#This Row],[ADDate]])</f>
        <v>2017/12</v>
      </c>
    </row>
    <row r="8" spans="1:38" s="19" customFormat="1" ht="14">
      <c r="A8" s="28" t="s">
        <v>53</v>
      </c>
      <c r="B8" s="28" t="s">
        <v>54</v>
      </c>
      <c r="C8" s="28" t="s">
        <v>9</v>
      </c>
      <c r="D8" s="28" t="s">
        <v>63</v>
      </c>
      <c r="E8" s="28" t="s">
        <v>56</v>
      </c>
      <c r="F8" s="28" t="s">
        <v>58</v>
      </c>
      <c r="G8" s="28" t="s">
        <v>60</v>
      </c>
      <c r="H8" s="29">
        <v>60</v>
      </c>
      <c r="I8" s="29">
        <v>6000</v>
      </c>
      <c r="J8" s="33">
        <v>0.01</v>
      </c>
      <c r="K8" s="34">
        <v>42</v>
      </c>
      <c r="L8" s="34">
        <v>0.7</v>
      </c>
      <c r="M8" s="28" t="s">
        <v>59</v>
      </c>
      <c r="N8" s="29">
        <f>INT(tblAD[[#This Row],[Clicks]]*tblAD[[#This Row],[1-day Conversion Rate]])</f>
        <v>12</v>
      </c>
      <c r="O8" s="35">
        <f>10*tblAD[[#This Row],[1-day Orders Placed ('#)]]</f>
        <v>120</v>
      </c>
      <c r="P8" s="33">
        <v>0.2</v>
      </c>
      <c r="Q8" s="29">
        <v>12</v>
      </c>
      <c r="R8" s="29">
        <v>0</v>
      </c>
      <c r="S8" s="35">
        <v>120</v>
      </c>
      <c r="T8" s="35">
        <v>0</v>
      </c>
      <c r="U8" s="29">
        <v>15</v>
      </c>
      <c r="V8" s="35">
        <v>150</v>
      </c>
      <c r="W8" s="33">
        <v>0.25</v>
      </c>
      <c r="X8" s="29">
        <v>0</v>
      </c>
      <c r="Y8" s="29">
        <v>0</v>
      </c>
      <c r="Z8" s="35">
        <v>0</v>
      </c>
      <c r="AA8" s="35">
        <v>0</v>
      </c>
      <c r="AB8" s="29">
        <v>18</v>
      </c>
      <c r="AC8" s="35">
        <v>180</v>
      </c>
      <c r="AD8" s="33">
        <v>0.3</v>
      </c>
      <c r="AE8" s="29">
        <v>0</v>
      </c>
      <c r="AF8" s="29">
        <v>0</v>
      </c>
      <c r="AG8" s="35">
        <v>0</v>
      </c>
      <c r="AH8" s="35">
        <v>0</v>
      </c>
      <c r="AI8" s="37" t="str">
        <f>VLOOKUP(tblAD[[#This Row],[Advertised SKU]],tblProduct[SKU]:tblProduct[Name],2,FALSE)</f>
        <v>产品A</v>
      </c>
      <c r="AJ8" s="37" t="str">
        <f>IF(ISNA(VLOOKUP(tblAD[[#This Row],[Advertised SKU]],tblProduct[SKU]:tblProduct[ASIN1],3,FALSE)),tblAD[[#This Row],[Advertised SKU]],VLOOKUP(tblAD[[#This Row],[Advertised SKU]],tblProduct[SKU]:tblProduct[ASIN1],3,FALSE))</f>
        <v>B000010001</v>
      </c>
      <c r="AK8" s="38">
        <f>DATE(MID(tblAD[[#This Row],[Start Date]],7,4),LEFT(tblAD[[#This Row],[Start Date]],2),MID(tblAD[[#This Row],[Start Date]],4,2))</f>
        <v>43094</v>
      </c>
      <c r="AL8" s="39" t="str">
        <f>YEAR(tblAD[[#This Row],[ADDate]])&amp;"/"&amp;MONTH(tblAD[[#This Row],[ADDate]])</f>
        <v>2017/12</v>
      </c>
    </row>
    <row r="9" spans="1:38" s="19" customFormat="1" ht="14">
      <c r="A9" s="28" t="s">
        <v>53</v>
      </c>
      <c r="B9" s="28" t="s">
        <v>54</v>
      </c>
      <c r="C9" s="28" t="s">
        <v>9</v>
      </c>
      <c r="D9" s="28" t="s">
        <v>63</v>
      </c>
      <c r="E9" s="28" t="s">
        <v>56</v>
      </c>
      <c r="F9" s="28" t="s">
        <v>60</v>
      </c>
      <c r="G9" s="28" t="s">
        <v>62</v>
      </c>
      <c r="H9" s="29">
        <v>70</v>
      </c>
      <c r="I9" s="29">
        <v>7000</v>
      </c>
      <c r="J9" s="33">
        <v>0.01</v>
      </c>
      <c r="K9" s="34">
        <v>112</v>
      </c>
      <c r="L9" s="34">
        <v>1.6</v>
      </c>
      <c r="M9" s="28" t="s">
        <v>59</v>
      </c>
      <c r="N9" s="29">
        <f>INT(tblAD[[#This Row],[Clicks]]*tblAD[[#This Row],[1-day Conversion Rate]])</f>
        <v>14</v>
      </c>
      <c r="O9" s="35">
        <f>10*tblAD[[#This Row],[1-day Orders Placed ('#)]]</f>
        <v>140</v>
      </c>
      <c r="P9" s="33">
        <v>0.2</v>
      </c>
      <c r="Q9" s="29">
        <v>14</v>
      </c>
      <c r="R9" s="29">
        <v>0</v>
      </c>
      <c r="S9" s="35">
        <v>140</v>
      </c>
      <c r="T9" s="35">
        <v>0</v>
      </c>
      <c r="U9" s="29">
        <v>18</v>
      </c>
      <c r="V9" s="35">
        <v>180</v>
      </c>
      <c r="W9" s="33">
        <v>0.25</v>
      </c>
      <c r="X9" s="29">
        <v>0</v>
      </c>
      <c r="Y9" s="29">
        <v>0</v>
      </c>
      <c r="Z9" s="35">
        <v>0</v>
      </c>
      <c r="AA9" s="35">
        <v>0</v>
      </c>
      <c r="AB9" s="29">
        <v>21</v>
      </c>
      <c r="AC9" s="35">
        <v>210</v>
      </c>
      <c r="AD9" s="33">
        <v>0.3</v>
      </c>
      <c r="AE9" s="29">
        <v>0</v>
      </c>
      <c r="AF9" s="29">
        <v>0</v>
      </c>
      <c r="AG9" s="35">
        <v>0</v>
      </c>
      <c r="AH9" s="35">
        <v>0</v>
      </c>
      <c r="AI9" s="37" t="str">
        <f>VLOOKUP(tblAD[[#This Row],[Advertised SKU]],tblProduct[SKU]:tblProduct[Name],2,FALSE)</f>
        <v>产品A</v>
      </c>
      <c r="AJ9" s="37" t="str">
        <f>IF(ISNA(VLOOKUP(tblAD[[#This Row],[Advertised SKU]],tblProduct[SKU]:tblProduct[ASIN1],3,FALSE)),tblAD[[#This Row],[Advertised SKU]],VLOOKUP(tblAD[[#This Row],[Advertised SKU]],tblProduct[SKU]:tblProduct[ASIN1],3,FALSE))</f>
        <v>B000010001</v>
      </c>
      <c r="AK9" s="38">
        <f>DATE(MID(tblAD[[#This Row],[Start Date]],7,4),LEFT(tblAD[[#This Row],[Start Date]],2),MID(tblAD[[#This Row],[Start Date]],4,2))</f>
        <v>43095</v>
      </c>
      <c r="AL9" s="39" t="str">
        <f>YEAR(tblAD[[#This Row],[ADDate]])&amp;"/"&amp;MONTH(tblAD[[#This Row],[ADDate]])</f>
        <v>2017/12</v>
      </c>
    </row>
    <row r="10" spans="1:38" s="19" customFormat="1" ht="14">
      <c r="A10" s="28" t="s">
        <v>64</v>
      </c>
      <c r="B10" s="28" t="s">
        <v>65</v>
      </c>
      <c r="C10" s="28" t="s">
        <v>12</v>
      </c>
      <c r="D10" s="28" t="s">
        <v>55</v>
      </c>
      <c r="E10" s="28" t="s">
        <v>56</v>
      </c>
      <c r="F10" s="28" t="s">
        <v>58</v>
      </c>
      <c r="G10" s="28" t="s">
        <v>60</v>
      </c>
      <c r="H10" s="29">
        <v>80</v>
      </c>
      <c r="I10" s="29">
        <v>8000</v>
      </c>
      <c r="J10" s="33">
        <v>0.01</v>
      </c>
      <c r="K10" s="34">
        <v>120</v>
      </c>
      <c r="L10" s="34">
        <v>1.5</v>
      </c>
      <c r="M10" s="28" t="s">
        <v>59</v>
      </c>
      <c r="N10" s="29">
        <f>INT(tblAD[[#This Row],[Clicks]]*tblAD[[#This Row],[1-day Conversion Rate]])</f>
        <v>16</v>
      </c>
      <c r="O10" s="35">
        <f>10*tblAD[[#This Row],[1-day Orders Placed ('#)]]</f>
        <v>160</v>
      </c>
      <c r="P10" s="33">
        <v>0.2</v>
      </c>
      <c r="Q10" s="29">
        <v>16</v>
      </c>
      <c r="R10" s="29">
        <v>0</v>
      </c>
      <c r="S10" s="35">
        <v>160</v>
      </c>
      <c r="T10" s="35">
        <v>0</v>
      </c>
      <c r="U10" s="29">
        <v>20</v>
      </c>
      <c r="V10" s="35">
        <v>200</v>
      </c>
      <c r="W10" s="33">
        <v>0.25</v>
      </c>
      <c r="X10" s="29">
        <v>0</v>
      </c>
      <c r="Y10" s="29">
        <v>0</v>
      </c>
      <c r="Z10" s="35">
        <v>0</v>
      </c>
      <c r="AA10" s="35">
        <v>0</v>
      </c>
      <c r="AB10" s="29">
        <v>24</v>
      </c>
      <c r="AC10" s="35">
        <v>240</v>
      </c>
      <c r="AD10" s="33">
        <v>0.3</v>
      </c>
      <c r="AE10" s="29">
        <v>0</v>
      </c>
      <c r="AF10" s="29">
        <v>0</v>
      </c>
      <c r="AG10" s="35">
        <v>0</v>
      </c>
      <c r="AH10" s="35">
        <v>0</v>
      </c>
      <c r="AI10" s="37" t="str">
        <f>VLOOKUP(tblAD[[#This Row],[Advertised SKU]],tblProduct[SKU]:tblProduct[Name],2,FALSE)</f>
        <v>产品B</v>
      </c>
      <c r="AJ10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0" s="38">
        <f>DATE(MID(tblAD[[#This Row],[Start Date]],7,4),LEFT(tblAD[[#This Row],[Start Date]],2),MID(tblAD[[#This Row],[Start Date]],4,2))</f>
        <v>43094</v>
      </c>
      <c r="AL10" s="39" t="str">
        <f>YEAR(tblAD[[#This Row],[ADDate]])&amp;"/"&amp;MONTH(tblAD[[#This Row],[ADDate]])</f>
        <v>2017/12</v>
      </c>
    </row>
    <row r="11" spans="1:38" s="19" customFormat="1" ht="14">
      <c r="A11" s="28" t="s">
        <v>64</v>
      </c>
      <c r="B11" s="28" t="s">
        <v>65</v>
      </c>
      <c r="C11" s="28" t="s">
        <v>12</v>
      </c>
      <c r="D11" s="28" t="s">
        <v>61</v>
      </c>
      <c r="E11" s="28" t="s">
        <v>56</v>
      </c>
      <c r="F11" s="28" t="s">
        <v>58</v>
      </c>
      <c r="G11" s="28" t="s">
        <v>60</v>
      </c>
      <c r="H11" s="29">
        <v>32</v>
      </c>
      <c r="I11" s="29">
        <v>3200</v>
      </c>
      <c r="J11" s="33">
        <v>0.01</v>
      </c>
      <c r="K11" s="34">
        <v>41.6</v>
      </c>
      <c r="L11" s="34">
        <v>1.3</v>
      </c>
      <c r="M11" s="28" t="s">
        <v>59</v>
      </c>
      <c r="N11" s="29">
        <f>INT(tblAD[[#This Row],[Clicks]]*tblAD[[#This Row],[1-day Conversion Rate]])</f>
        <v>6</v>
      </c>
      <c r="O11" s="35">
        <f>10*tblAD[[#This Row],[1-day Orders Placed ('#)]]</f>
        <v>60</v>
      </c>
      <c r="P11" s="33">
        <v>0.2</v>
      </c>
      <c r="Q11" s="29">
        <v>7</v>
      </c>
      <c r="R11" s="29">
        <v>0</v>
      </c>
      <c r="S11" s="35">
        <v>60</v>
      </c>
      <c r="T11" s="35">
        <v>0</v>
      </c>
      <c r="U11" s="29">
        <v>8</v>
      </c>
      <c r="V11" s="35">
        <v>80</v>
      </c>
      <c r="W11" s="33">
        <v>0.25</v>
      </c>
      <c r="X11" s="29">
        <v>0</v>
      </c>
      <c r="Y11" s="29">
        <v>0</v>
      </c>
      <c r="Z11" s="35">
        <v>0</v>
      </c>
      <c r="AA11" s="35">
        <v>0</v>
      </c>
      <c r="AB11" s="29">
        <v>10</v>
      </c>
      <c r="AC11" s="35">
        <v>100</v>
      </c>
      <c r="AD11" s="33">
        <v>0.3</v>
      </c>
      <c r="AE11" s="29">
        <v>0</v>
      </c>
      <c r="AF11" s="29">
        <v>0</v>
      </c>
      <c r="AG11" s="35">
        <v>0</v>
      </c>
      <c r="AH11" s="35">
        <v>0</v>
      </c>
      <c r="AI11" s="37" t="str">
        <f>VLOOKUP(tblAD[[#This Row],[Advertised SKU]],tblProduct[SKU]:tblProduct[Name],2,FALSE)</f>
        <v>产品B</v>
      </c>
      <c r="AJ11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1" s="38">
        <f>DATE(MID(tblAD[[#This Row],[Start Date]],7,4),LEFT(tblAD[[#This Row],[Start Date]],2),MID(tblAD[[#This Row],[Start Date]],4,2))</f>
        <v>43094</v>
      </c>
      <c r="AL11" s="39" t="str">
        <f>YEAR(tblAD[[#This Row],[ADDate]])&amp;"/"&amp;MONTH(tblAD[[#This Row],[ADDate]])</f>
        <v>2017/12</v>
      </c>
    </row>
    <row r="12" spans="1:38" s="19" customFormat="1" ht="14">
      <c r="A12" s="28" t="s">
        <v>64</v>
      </c>
      <c r="B12" s="28" t="s">
        <v>65</v>
      </c>
      <c r="C12" s="28" t="s">
        <v>12</v>
      </c>
      <c r="D12" s="28" t="s">
        <v>63</v>
      </c>
      <c r="E12" s="28" t="s">
        <v>56</v>
      </c>
      <c r="F12" s="28" t="s">
        <v>58</v>
      </c>
      <c r="G12" s="28" t="s">
        <v>60</v>
      </c>
      <c r="H12" s="29">
        <v>45</v>
      </c>
      <c r="I12" s="29">
        <v>4500</v>
      </c>
      <c r="J12" s="33">
        <v>0.01</v>
      </c>
      <c r="K12" s="34">
        <v>76.5</v>
      </c>
      <c r="L12" s="34">
        <v>1.7</v>
      </c>
      <c r="M12" s="28" t="s">
        <v>59</v>
      </c>
      <c r="N12" s="29">
        <f>INT(tblAD[[#This Row],[Clicks]]*tblAD[[#This Row],[1-day Conversion Rate]])</f>
        <v>9</v>
      </c>
      <c r="O12" s="35">
        <f>10*tblAD[[#This Row],[1-day Orders Placed ('#)]]</f>
        <v>90</v>
      </c>
      <c r="P12" s="33">
        <v>0.2</v>
      </c>
      <c r="Q12" s="29">
        <v>9</v>
      </c>
      <c r="R12" s="29">
        <v>0</v>
      </c>
      <c r="S12" s="35">
        <v>90</v>
      </c>
      <c r="T12" s="35">
        <v>0</v>
      </c>
      <c r="U12" s="29">
        <v>12</v>
      </c>
      <c r="V12" s="35">
        <v>120</v>
      </c>
      <c r="W12" s="33">
        <v>0.25</v>
      </c>
      <c r="X12" s="29">
        <v>0</v>
      </c>
      <c r="Y12" s="29">
        <v>0</v>
      </c>
      <c r="Z12" s="35">
        <v>0</v>
      </c>
      <c r="AA12" s="35">
        <v>0</v>
      </c>
      <c r="AB12" s="29">
        <v>14</v>
      </c>
      <c r="AC12" s="35">
        <v>140</v>
      </c>
      <c r="AD12" s="33">
        <v>0.3</v>
      </c>
      <c r="AE12" s="29">
        <v>0</v>
      </c>
      <c r="AF12" s="29">
        <v>0</v>
      </c>
      <c r="AG12" s="35">
        <v>0</v>
      </c>
      <c r="AH12" s="35">
        <v>0</v>
      </c>
      <c r="AI12" s="37" t="str">
        <f>VLOOKUP(tblAD[[#This Row],[Advertised SKU]],tblProduct[SKU]:tblProduct[Name],2,FALSE)</f>
        <v>产品B</v>
      </c>
      <c r="AJ12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2" s="38">
        <f>DATE(MID(tblAD[[#This Row],[Start Date]],7,4),LEFT(tblAD[[#This Row],[Start Date]],2),MID(tblAD[[#This Row],[Start Date]],4,2))</f>
        <v>43094</v>
      </c>
      <c r="AL12" s="39" t="str">
        <f>YEAR(tblAD[[#This Row],[ADDate]])&amp;"/"&amp;MONTH(tblAD[[#This Row],[ADDate]])</f>
        <v>2017/12</v>
      </c>
    </row>
    <row r="13" spans="1:38" s="19" customFormat="1" ht="14">
      <c r="A13" s="28" t="s">
        <v>64</v>
      </c>
      <c r="B13" s="28" t="s">
        <v>65</v>
      </c>
      <c r="C13" s="28" t="s">
        <v>12</v>
      </c>
      <c r="D13" s="28" t="s">
        <v>66</v>
      </c>
      <c r="E13" s="28" t="s">
        <v>56</v>
      </c>
      <c r="F13" s="28" t="s">
        <v>58</v>
      </c>
      <c r="G13" s="28" t="s">
        <v>60</v>
      </c>
      <c r="H13" s="29">
        <v>31</v>
      </c>
      <c r="I13" s="29">
        <v>3100</v>
      </c>
      <c r="J13" s="33">
        <v>0.01</v>
      </c>
      <c r="K13" s="34">
        <v>65.099999999999994</v>
      </c>
      <c r="L13" s="34">
        <v>2.1</v>
      </c>
      <c r="M13" s="28" t="s">
        <v>59</v>
      </c>
      <c r="N13" s="29">
        <f>INT(tblAD[[#This Row],[Clicks]]*tblAD[[#This Row],[1-day Conversion Rate]])</f>
        <v>6</v>
      </c>
      <c r="O13" s="35">
        <f>10*tblAD[[#This Row],[1-day Orders Placed ('#)]]</f>
        <v>60</v>
      </c>
      <c r="P13" s="33">
        <v>0.2</v>
      </c>
      <c r="Q13" s="29">
        <v>7</v>
      </c>
      <c r="R13" s="29">
        <v>0</v>
      </c>
      <c r="S13" s="35">
        <v>60</v>
      </c>
      <c r="T13" s="35">
        <v>0</v>
      </c>
      <c r="U13" s="29">
        <v>8</v>
      </c>
      <c r="V13" s="35">
        <v>80</v>
      </c>
      <c r="W13" s="33">
        <v>0.25</v>
      </c>
      <c r="X13" s="29">
        <v>0</v>
      </c>
      <c r="Y13" s="29">
        <v>0</v>
      </c>
      <c r="Z13" s="35">
        <v>0</v>
      </c>
      <c r="AA13" s="35">
        <v>0</v>
      </c>
      <c r="AB13" s="29">
        <v>10</v>
      </c>
      <c r="AC13" s="35">
        <v>100</v>
      </c>
      <c r="AD13" s="33">
        <v>0.3</v>
      </c>
      <c r="AE13" s="29">
        <v>0</v>
      </c>
      <c r="AF13" s="29">
        <v>0</v>
      </c>
      <c r="AG13" s="35">
        <v>0</v>
      </c>
      <c r="AH13" s="35">
        <v>0</v>
      </c>
      <c r="AI13" s="37" t="str">
        <f>VLOOKUP(tblAD[[#This Row],[Advertised SKU]],tblProduct[SKU]:tblProduct[Name],2,FALSE)</f>
        <v>产品B</v>
      </c>
      <c r="AJ13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3" s="38">
        <f>DATE(MID(tblAD[[#This Row],[Start Date]],7,4),LEFT(tblAD[[#This Row],[Start Date]],2),MID(tblAD[[#This Row],[Start Date]],4,2))</f>
        <v>43094</v>
      </c>
      <c r="AL13" s="39" t="str">
        <f>YEAR(tblAD[[#This Row],[ADDate]])&amp;"/"&amp;MONTH(tblAD[[#This Row],[ADDate]])</f>
        <v>2017/12</v>
      </c>
    </row>
    <row r="14" spans="1:38" s="19" customFormat="1" ht="14">
      <c r="A14" s="28" t="s">
        <v>64</v>
      </c>
      <c r="B14" s="28" t="s">
        <v>65</v>
      </c>
      <c r="C14" s="28" t="s">
        <v>12</v>
      </c>
      <c r="D14" s="28" t="s">
        <v>67</v>
      </c>
      <c r="E14" s="28" t="s">
        <v>56</v>
      </c>
      <c r="F14" s="28" t="s">
        <v>58</v>
      </c>
      <c r="G14" s="28" t="s">
        <v>60</v>
      </c>
      <c r="H14" s="29">
        <v>42</v>
      </c>
      <c r="I14" s="29">
        <v>4200</v>
      </c>
      <c r="J14" s="33">
        <v>0.01</v>
      </c>
      <c r="K14" s="34">
        <v>33.6</v>
      </c>
      <c r="L14" s="34">
        <v>0.8</v>
      </c>
      <c r="M14" s="28" t="s">
        <v>59</v>
      </c>
      <c r="N14" s="29">
        <f>INT(tblAD[[#This Row],[Clicks]]*tblAD[[#This Row],[1-day Conversion Rate]])</f>
        <v>8</v>
      </c>
      <c r="O14" s="35">
        <f>10*tblAD[[#This Row],[1-day Orders Placed ('#)]]</f>
        <v>80</v>
      </c>
      <c r="P14" s="33">
        <v>0.2</v>
      </c>
      <c r="Q14" s="29">
        <v>9</v>
      </c>
      <c r="R14" s="29">
        <v>0</v>
      </c>
      <c r="S14" s="35">
        <v>80</v>
      </c>
      <c r="T14" s="35">
        <v>0</v>
      </c>
      <c r="U14" s="29">
        <v>11</v>
      </c>
      <c r="V14" s="35">
        <v>110</v>
      </c>
      <c r="W14" s="33">
        <v>0.25</v>
      </c>
      <c r="X14" s="29">
        <v>0</v>
      </c>
      <c r="Y14" s="29">
        <v>0</v>
      </c>
      <c r="Z14" s="35">
        <v>0</v>
      </c>
      <c r="AA14" s="35">
        <v>0</v>
      </c>
      <c r="AB14" s="29">
        <v>13</v>
      </c>
      <c r="AC14" s="35">
        <v>130</v>
      </c>
      <c r="AD14" s="33">
        <v>0.3</v>
      </c>
      <c r="AE14" s="29">
        <v>0</v>
      </c>
      <c r="AF14" s="29">
        <v>0</v>
      </c>
      <c r="AG14" s="35">
        <v>0</v>
      </c>
      <c r="AH14" s="35">
        <v>0</v>
      </c>
      <c r="AI14" s="37" t="str">
        <f>VLOOKUP(tblAD[[#This Row],[Advertised SKU]],tblProduct[SKU]:tblProduct[Name],2,FALSE)</f>
        <v>产品B</v>
      </c>
      <c r="AJ14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4" s="38">
        <f>DATE(MID(tblAD[[#This Row],[Start Date]],7,4),LEFT(tblAD[[#This Row],[Start Date]],2),MID(tblAD[[#This Row],[Start Date]],4,2))</f>
        <v>43094</v>
      </c>
      <c r="AL14" s="39" t="str">
        <f>YEAR(tblAD[[#This Row],[ADDate]])&amp;"/"&amp;MONTH(tblAD[[#This Row],[ADDate]])</f>
        <v>2017/12</v>
      </c>
    </row>
    <row r="15" spans="1:38" s="19" customFormat="1" ht="14">
      <c r="A15" s="28" t="s">
        <v>64</v>
      </c>
      <c r="B15" s="28" t="s">
        <v>65</v>
      </c>
      <c r="C15" s="28" t="s">
        <v>12</v>
      </c>
      <c r="D15" s="28" t="s">
        <v>55</v>
      </c>
      <c r="E15" s="28" t="s">
        <v>56</v>
      </c>
      <c r="F15" s="28" t="s">
        <v>60</v>
      </c>
      <c r="G15" s="28" t="s">
        <v>60</v>
      </c>
      <c r="H15" s="29">
        <v>59</v>
      </c>
      <c r="I15" s="29">
        <v>5900</v>
      </c>
      <c r="J15" s="33">
        <v>0.01</v>
      </c>
      <c r="K15" s="34">
        <v>41.3</v>
      </c>
      <c r="L15" s="34">
        <v>0.7</v>
      </c>
      <c r="M15" s="28" t="s">
        <v>59</v>
      </c>
      <c r="N15" s="29">
        <f>INT(tblAD[[#This Row],[Clicks]]*tblAD[[#This Row],[1-day Conversion Rate]])</f>
        <v>11</v>
      </c>
      <c r="O15" s="35">
        <f>10*tblAD[[#This Row],[1-day Orders Placed ('#)]]</f>
        <v>110</v>
      </c>
      <c r="P15" s="33">
        <v>0.2</v>
      </c>
      <c r="Q15" s="29">
        <v>12</v>
      </c>
      <c r="R15" s="29">
        <v>0</v>
      </c>
      <c r="S15" s="35">
        <v>110</v>
      </c>
      <c r="T15" s="35">
        <v>0</v>
      </c>
      <c r="U15" s="29">
        <v>15</v>
      </c>
      <c r="V15" s="35">
        <v>150</v>
      </c>
      <c r="W15" s="33">
        <v>0.25</v>
      </c>
      <c r="X15" s="29">
        <v>0</v>
      </c>
      <c r="Y15" s="29">
        <v>0</v>
      </c>
      <c r="Z15" s="35">
        <v>0</v>
      </c>
      <c r="AA15" s="35">
        <v>0</v>
      </c>
      <c r="AB15" s="29">
        <v>18</v>
      </c>
      <c r="AC15" s="35">
        <v>180</v>
      </c>
      <c r="AD15" s="33">
        <v>0.3</v>
      </c>
      <c r="AE15" s="29">
        <v>0</v>
      </c>
      <c r="AF15" s="29">
        <v>0</v>
      </c>
      <c r="AG15" s="35">
        <v>0</v>
      </c>
      <c r="AH15" s="35">
        <v>0</v>
      </c>
      <c r="AI15" s="37" t="str">
        <f>VLOOKUP(tblAD[[#This Row],[Advertised SKU]],tblProduct[SKU]:tblProduct[Name],2,FALSE)</f>
        <v>产品B</v>
      </c>
      <c r="AJ15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5" s="38">
        <f>DATE(MID(tblAD[[#This Row],[Start Date]],7,4),LEFT(tblAD[[#This Row],[Start Date]],2),MID(tblAD[[#This Row],[Start Date]],4,2))</f>
        <v>43095</v>
      </c>
      <c r="AL15" s="39" t="str">
        <f>YEAR(tblAD[[#This Row],[ADDate]])&amp;"/"&amp;MONTH(tblAD[[#This Row],[ADDate]])</f>
        <v>2017/12</v>
      </c>
    </row>
    <row r="16" spans="1:38" s="19" customFormat="1" ht="14">
      <c r="A16" s="28" t="s">
        <v>64</v>
      </c>
      <c r="B16" s="28" t="s">
        <v>65</v>
      </c>
      <c r="C16" s="28" t="s">
        <v>12</v>
      </c>
      <c r="D16" s="28" t="s">
        <v>61</v>
      </c>
      <c r="E16" s="28" t="s">
        <v>56</v>
      </c>
      <c r="F16" s="28" t="s">
        <v>60</v>
      </c>
      <c r="G16" s="28" t="s">
        <v>60</v>
      </c>
      <c r="H16" s="29">
        <v>73</v>
      </c>
      <c r="I16" s="29">
        <v>7300</v>
      </c>
      <c r="J16" s="33">
        <v>0.01</v>
      </c>
      <c r="K16" s="34">
        <v>116.8</v>
      </c>
      <c r="L16" s="34">
        <v>1.6</v>
      </c>
      <c r="M16" s="28" t="s">
        <v>59</v>
      </c>
      <c r="N16" s="29">
        <f>INT(tblAD[[#This Row],[Clicks]]*tblAD[[#This Row],[1-day Conversion Rate]])</f>
        <v>14</v>
      </c>
      <c r="O16" s="35">
        <f>10*tblAD[[#This Row],[1-day Orders Placed ('#)]]</f>
        <v>140</v>
      </c>
      <c r="P16" s="33">
        <v>0.2</v>
      </c>
      <c r="Q16" s="29">
        <v>15</v>
      </c>
      <c r="R16" s="29">
        <v>0</v>
      </c>
      <c r="S16" s="35">
        <v>140</v>
      </c>
      <c r="T16" s="35">
        <v>0</v>
      </c>
      <c r="U16" s="29">
        <v>19</v>
      </c>
      <c r="V16" s="35">
        <v>190</v>
      </c>
      <c r="W16" s="33">
        <v>0.25</v>
      </c>
      <c r="X16" s="29">
        <v>0</v>
      </c>
      <c r="Y16" s="29">
        <v>0</v>
      </c>
      <c r="Z16" s="35">
        <v>0</v>
      </c>
      <c r="AA16" s="35">
        <v>0</v>
      </c>
      <c r="AB16" s="29">
        <v>22</v>
      </c>
      <c r="AC16" s="35">
        <v>220</v>
      </c>
      <c r="AD16" s="33">
        <v>0.3</v>
      </c>
      <c r="AE16" s="29">
        <v>0</v>
      </c>
      <c r="AF16" s="29">
        <v>0</v>
      </c>
      <c r="AG16" s="35">
        <v>0</v>
      </c>
      <c r="AH16" s="35">
        <v>0</v>
      </c>
      <c r="AI16" s="37" t="str">
        <f>VLOOKUP(tblAD[[#This Row],[Advertised SKU]],tblProduct[SKU]:tblProduct[Name],2,FALSE)</f>
        <v>产品B</v>
      </c>
      <c r="AJ16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6" s="38">
        <f>DATE(MID(tblAD[[#This Row],[Start Date]],7,4),LEFT(tblAD[[#This Row],[Start Date]],2),MID(tblAD[[#This Row],[Start Date]],4,2))</f>
        <v>43095</v>
      </c>
      <c r="AL16" s="39" t="str">
        <f>YEAR(tblAD[[#This Row],[ADDate]])&amp;"/"&amp;MONTH(tblAD[[#This Row],[ADDate]])</f>
        <v>2017/12</v>
      </c>
    </row>
    <row r="17" spans="1:38" s="19" customFormat="1" ht="14">
      <c r="A17" s="28" t="s">
        <v>64</v>
      </c>
      <c r="B17" s="28" t="s">
        <v>65</v>
      </c>
      <c r="C17" s="28" t="s">
        <v>12</v>
      </c>
      <c r="D17" s="28" t="s">
        <v>63</v>
      </c>
      <c r="E17" s="28" t="s">
        <v>56</v>
      </c>
      <c r="F17" s="28" t="s">
        <v>60</v>
      </c>
      <c r="G17" s="28" t="s">
        <v>60</v>
      </c>
      <c r="H17" s="29">
        <v>88</v>
      </c>
      <c r="I17" s="29">
        <v>8800</v>
      </c>
      <c r="J17" s="33">
        <v>0.01</v>
      </c>
      <c r="K17" s="34">
        <v>132</v>
      </c>
      <c r="L17" s="34">
        <v>1.5</v>
      </c>
      <c r="M17" s="28" t="s">
        <v>59</v>
      </c>
      <c r="N17" s="29">
        <f>INT(tblAD[[#This Row],[Clicks]]*tblAD[[#This Row],[1-day Conversion Rate]])</f>
        <v>17</v>
      </c>
      <c r="O17" s="35">
        <f>10*tblAD[[#This Row],[1-day Orders Placed ('#)]]</f>
        <v>170</v>
      </c>
      <c r="P17" s="33">
        <v>0.2</v>
      </c>
      <c r="Q17" s="29">
        <v>18</v>
      </c>
      <c r="R17" s="29">
        <v>0</v>
      </c>
      <c r="S17" s="35">
        <v>170</v>
      </c>
      <c r="T17" s="35">
        <v>0</v>
      </c>
      <c r="U17" s="29">
        <v>22</v>
      </c>
      <c r="V17" s="35">
        <v>220</v>
      </c>
      <c r="W17" s="33">
        <v>0.25</v>
      </c>
      <c r="X17" s="29">
        <v>0</v>
      </c>
      <c r="Y17" s="29">
        <v>0</v>
      </c>
      <c r="Z17" s="35">
        <v>0</v>
      </c>
      <c r="AA17" s="35">
        <v>0</v>
      </c>
      <c r="AB17" s="29">
        <v>27</v>
      </c>
      <c r="AC17" s="35">
        <v>270</v>
      </c>
      <c r="AD17" s="33">
        <v>0.3</v>
      </c>
      <c r="AE17" s="29">
        <v>0</v>
      </c>
      <c r="AF17" s="29">
        <v>0</v>
      </c>
      <c r="AG17" s="35">
        <v>0</v>
      </c>
      <c r="AH17" s="35">
        <v>0</v>
      </c>
      <c r="AI17" s="37" t="str">
        <f>VLOOKUP(tblAD[[#This Row],[Advertised SKU]],tblProduct[SKU]:tblProduct[Name],2,FALSE)</f>
        <v>产品B</v>
      </c>
      <c r="AJ17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7" s="38">
        <f>DATE(MID(tblAD[[#This Row],[Start Date]],7,4),LEFT(tblAD[[#This Row],[Start Date]],2),MID(tblAD[[#This Row],[Start Date]],4,2))</f>
        <v>43095</v>
      </c>
      <c r="AL17" s="39" t="str">
        <f>YEAR(tblAD[[#This Row],[ADDate]])&amp;"/"&amp;MONTH(tblAD[[#This Row],[ADDate]])</f>
        <v>2017/12</v>
      </c>
    </row>
    <row r="18" spans="1:38" s="19" customFormat="1" ht="14">
      <c r="A18" s="28" t="s">
        <v>64</v>
      </c>
      <c r="B18" s="28" t="s">
        <v>65</v>
      </c>
      <c r="C18" s="28" t="s">
        <v>12</v>
      </c>
      <c r="D18" s="28" t="s">
        <v>66</v>
      </c>
      <c r="E18" s="28" t="s">
        <v>56</v>
      </c>
      <c r="F18" s="28" t="s">
        <v>60</v>
      </c>
      <c r="G18" s="28" t="s">
        <v>60</v>
      </c>
      <c r="H18" s="29">
        <v>99</v>
      </c>
      <c r="I18" s="29">
        <v>9900</v>
      </c>
      <c r="J18" s="33">
        <v>0.01</v>
      </c>
      <c r="K18" s="34">
        <v>128.69999999999999</v>
      </c>
      <c r="L18" s="34">
        <v>1.3</v>
      </c>
      <c r="M18" s="28" t="s">
        <v>59</v>
      </c>
      <c r="N18" s="29">
        <f>INT(tblAD[[#This Row],[Clicks]]*tblAD[[#This Row],[1-day Conversion Rate]])</f>
        <v>19</v>
      </c>
      <c r="O18" s="35">
        <f>10*tblAD[[#This Row],[1-day Orders Placed ('#)]]</f>
        <v>190</v>
      </c>
      <c r="P18" s="33">
        <v>0.2</v>
      </c>
      <c r="Q18" s="29">
        <v>20</v>
      </c>
      <c r="R18" s="29">
        <v>0</v>
      </c>
      <c r="S18" s="35">
        <v>190</v>
      </c>
      <c r="T18" s="35">
        <v>0</v>
      </c>
      <c r="U18" s="29">
        <v>25</v>
      </c>
      <c r="V18" s="35">
        <v>250</v>
      </c>
      <c r="W18" s="33">
        <v>0.25</v>
      </c>
      <c r="X18" s="29">
        <v>0</v>
      </c>
      <c r="Y18" s="29">
        <v>0</v>
      </c>
      <c r="Z18" s="35">
        <v>0</v>
      </c>
      <c r="AA18" s="35">
        <v>0</v>
      </c>
      <c r="AB18" s="29">
        <v>30</v>
      </c>
      <c r="AC18" s="35">
        <v>300</v>
      </c>
      <c r="AD18" s="33">
        <v>0.3</v>
      </c>
      <c r="AE18" s="29">
        <v>0</v>
      </c>
      <c r="AF18" s="29">
        <v>0</v>
      </c>
      <c r="AG18" s="35">
        <v>0</v>
      </c>
      <c r="AH18" s="35">
        <v>0</v>
      </c>
      <c r="AI18" s="37" t="str">
        <f>VLOOKUP(tblAD[[#This Row],[Advertised SKU]],tblProduct[SKU]:tblProduct[Name],2,FALSE)</f>
        <v>产品B</v>
      </c>
      <c r="AJ18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8" s="38">
        <f>DATE(MID(tblAD[[#This Row],[Start Date]],7,4),LEFT(tblAD[[#This Row],[Start Date]],2),MID(tblAD[[#This Row],[Start Date]],4,2))</f>
        <v>43095</v>
      </c>
      <c r="AL18" s="39" t="str">
        <f>YEAR(tblAD[[#This Row],[ADDate]])&amp;"/"&amp;MONTH(tblAD[[#This Row],[ADDate]])</f>
        <v>2017/12</v>
      </c>
    </row>
    <row r="19" spans="1:38" s="19" customFormat="1" ht="14">
      <c r="A19" s="28" t="s">
        <v>64</v>
      </c>
      <c r="B19" s="28" t="s">
        <v>65</v>
      </c>
      <c r="C19" s="28" t="s">
        <v>12</v>
      </c>
      <c r="D19" s="28" t="s">
        <v>67</v>
      </c>
      <c r="E19" s="28" t="s">
        <v>56</v>
      </c>
      <c r="F19" s="28" t="s">
        <v>60</v>
      </c>
      <c r="G19" s="28" t="s">
        <v>60</v>
      </c>
      <c r="H19" s="29">
        <v>60</v>
      </c>
      <c r="I19" s="29">
        <v>6000</v>
      </c>
      <c r="J19" s="33">
        <v>0.01</v>
      </c>
      <c r="K19" s="34">
        <v>102</v>
      </c>
      <c r="L19" s="34">
        <v>1.7</v>
      </c>
      <c r="M19" s="28" t="s">
        <v>59</v>
      </c>
      <c r="N19" s="29">
        <f>INT(tblAD[[#This Row],[Clicks]]*tblAD[[#This Row],[1-day Conversion Rate]])</f>
        <v>12</v>
      </c>
      <c r="O19" s="35">
        <f>10*tblAD[[#This Row],[1-day Orders Placed ('#)]]</f>
        <v>120</v>
      </c>
      <c r="P19" s="33">
        <v>0.2</v>
      </c>
      <c r="Q19" s="29">
        <v>12</v>
      </c>
      <c r="R19" s="29">
        <v>0</v>
      </c>
      <c r="S19" s="35">
        <v>120</v>
      </c>
      <c r="T19" s="35">
        <v>0</v>
      </c>
      <c r="U19" s="29">
        <v>15</v>
      </c>
      <c r="V19" s="35">
        <v>150</v>
      </c>
      <c r="W19" s="33">
        <v>0.25</v>
      </c>
      <c r="X19" s="29">
        <v>0</v>
      </c>
      <c r="Y19" s="29">
        <v>0</v>
      </c>
      <c r="Z19" s="35">
        <v>0</v>
      </c>
      <c r="AA19" s="35">
        <v>0</v>
      </c>
      <c r="AB19" s="29">
        <v>18</v>
      </c>
      <c r="AC19" s="35">
        <v>180</v>
      </c>
      <c r="AD19" s="33">
        <v>0.3</v>
      </c>
      <c r="AE19" s="29">
        <v>0</v>
      </c>
      <c r="AF19" s="29">
        <v>0</v>
      </c>
      <c r="AG19" s="35">
        <v>0</v>
      </c>
      <c r="AH19" s="35">
        <v>0</v>
      </c>
      <c r="AI19" s="37" t="str">
        <f>VLOOKUP(tblAD[[#This Row],[Advertised SKU]],tblProduct[SKU]:tblProduct[Name],2,FALSE)</f>
        <v>产品B</v>
      </c>
      <c r="AJ19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19" s="38">
        <f>DATE(MID(tblAD[[#This Row],[Start Date]],7,4),LEFT(tblAD[[#This Row],[Start Date]],2),MID(tblAD[[#This Row],[Start Date]],4,2))</f>
        <v>43095</v>
      </c>
      <c r="AL19" s="39" t="str">
        <f>YEAR(tblAD[[#This Row],[ADDate]])&amp;"/"&amp;MONTH(tblAD[[#This Row],[ADDate]])</f>
        <v>2017/12</v>
      </c>
    </row>
    <row r="20" spans="1:38" s="19" customFormat="1" ht="14">
      <c r="A20" s="28" t="s">
        <v>64</v>
      </c>
      <c r="B20" s="28" t="s">
        <v>65</v>
      </c>
      <c r="C20" s="28" t="s">
        <v>12</v>
      </c>
      <c r="D20" s="28" t="s">
        <v>55</v>
      </c>
      <c r="E20" s="28" t="s">
        <v>56</v>
      </c>
      <c r="F20" s="28" t="s">
        <v>62</v>
      </c>
      <c r="G20" s="28" t="s">
        <v>68</v>
      </c>
      <c r="H20" s="29">
        <v>70</v>
      </c>
      <c r="I20" s="29">
        <v>7000</v>
      </c>
      <c r="J20" s="33">
        <v>0.01</v>
      </c>
      <c r="K20" s="34">
        <v>147</v>
      </c>
      <c r="L20" s="34">
        <v>2.1</v>
      </c>
      <c r="M20" s="28" t="s">
        <v>59</v>
      </c>
      <c r="N20" s="29">
        <f>INT(tblAD[[#This Row],[Clicks]]*tblAD[[#This Row],[1-day Conversion Rate]])</f>
        <v>14</v>
      </c>
      <c r="O20" s="35">
        <f>10*tblAD[[#This Row],[1-day Orders Placed ('#)]]</f>
        <v>140</v>
      </c>
      <c r="P20" s="33">
        <v>0.2</v>
      </c>
      <c r="Q20" s="29">
        <v>14</v>
      </c>
      <c r="R20" s="29">
        <v>0</v>
      </c>
      <c r="S20" s="35">
        <v>140</v>
      </c>
      <c r="T20" s="35">
        <v>0</v>
      </c>
      <c r="U20" s="29">
        <v>18</v>
      </c>
      <c r="V20" s="35">
        <v>180</v>
      </c>
      <c r="W20" s="33">
        <v>0.25</v>
      </c>
      <c r="X20" s="29">
        <v>0</v>
      </c>
      <c r="Y20" s="29">
        <v>0</v>
      </c>
      <c r="Z20" s="35">
        <v>0</v>
      </c>
      <c r="AA20" s="35">
        <v>0</v>
      </c>
      <c r="AB20" s="29">
        <v>21</v>
      </c>
      <c r="AC20" s="35">
        <v>210</v>
      </c>
      <c r="AD20" s="33">
        <v>0.3</v>
      </c>
      <c r="AE20" s="29">
        <v>0</v>
      </c>
      <c r="AF20" s="29">
        <v>0</v>
      </c>
      <c r="AG20" s="35">
        <v>0</v>
      </c>
      <c r="AH20" s="35">
        <v>0</v>
      </c>
      <c r="AI20" s="37" t="str">
        <f>VLOOKUP(tblAD[[#This Row],[Advertised SKU]],tblProduct[SKU]:tblProduct[Name],2,FALSE)</f>
        <v>产品B</v>
      </c>
      <c r="AJ20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0" s="38">
        <f>DATE(MID(tblAD[[#This Row],[Start Date]],7,4),LEFT(tblAD[[#This Row],[Start Date]],2),MID(tblAD[[#This Row],[Start Date]],4,2))</f>
        <v>43096</v>
      </c>
      <c r="AL20" s="39" t="str">
        <f>YEAR(tblAD[[#This Row],[ADDate]])&amp;"/"&amp;MONTH(tblAD[[#This Row],[ADDate]])</f>
        <v>2017/12</v>
      </c>
    </row>
    <row r="21" spans="1:38" s="19" customFormat="1" ht="14">
      <c r="A21" s="28" t="s">
        <v>64</v>
      </c>
      <c r="B21" s="28" t="s">
        <v>65</v>
      </c>
      <c r="C21" s="28" t="s">
        <v>12</v>
      </c>
      <c r="D21" s="28" t="s">
        <v>61</v>
      </c>
      <c r="E21" s="28" t="s">
        <v>56</v>
      </c>
      <c r="F21" s="28" t="s">
        <v>62</v>
      </c>
      <c r="G21" s="28" t="s">
        <v>68</v>
      </c>
      <c r="H21" s="29">
        <v>70</v>
      </c>
      <c r="I21" s="29">
        <v>7000</v>
      </c>
      <c r="J21" s="33">
        <v>0.01</v>
      </c>
      <c r="K21" s="34">
        <v>56</v>
      </c>
      <c r="L21" s="34">
        <v>0.8</v>
      </c>
      <c r="M21" s="28" t="s">
        <v>59</v>
      </c>
      <c r="N21" s="29">
        <f>INT(tblAD[[#This Row],[Clicks]]*tblAD[[#This Row],[1-day Conversion Rate]])</f>
        <v>14</v>
      </c>
      <c r="O21" s="35">
        <f>10*tblAD[[#This Row],[1-day Orders Placed ('#)]]</f>
        <v>140</v>
      </c>
      <c r="P21" s="33">
        <v>0.2</v>
      </c>
      <c r="Q21" s="29">
        <v>14</v>
      </c>
      <c r="R21" s="29">
        <v>0</v>
      </c>
      <c r="S21" s="35">
        <v>140</v>
      </c>
      <c r="T21" s="35">
        <v>0</v>
      </c>
      <c r="U21" s="29">
        <v>18</v>
      </c>
      <c r="V21" s="35">
        <v>180</v>
      </c>
      <c r="W21" s="33">
        <v>0.25</v>
      </c>
      <c r="X21" s="29">
        <v>0</v>
      </c>
      <c r="Y21" s="29">
        <v>0</v>
      </c>
      <c r="Z21" s="35">
        <v>0</v>
      </c>
      <c r="AA21" s="35">
        <v>0</v>
      </c>
      <c r="AB21" s="29">
        <v>21</v>
      </c>
      <c r="AC21" s="35">
        <v>210</v>
      </c>
      <c r="AD21" s="33">
        <v>0.3</v>
      </c>
      <c r="AE21" s="29">
        <v>0</v>
      </c>
      <c r="AF21" s="29">
        <v>0</v>
      </c>
      <c r="AG21" s="35">
        <v>0</v>
      </c>
      <c r="AH21" s="35">
        <v>0</v>
      </c>
      <c r="AI21" s="37" t="str">
        <f>VLOOKUP(tblAD[[#This Row],[Advertised SKU]],tblProduct[SKU]:tblProduct[Name],2,FALSE)</f>
        <v>产品B</v>
      </c>
      <c r="AJ21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1" s="38">
        <f>DATE(MID(tblAD[[#This Row],[Start Date]],7,4),LEFT(tblAD[[#This Row],[Start Date]],2),MID(tblAD[[#This Row],[Start Date]],4,2))</f>
        <v>43096</v>
      </c>
      <c r="AL21" s="39" t="str">
        <f>YEAR(tblAD[[#This Row],[ADDate]])&amp;"/"&amp;MONTH(tblAD[[#This Row],[ADDate]])</f>
        <v>2017/12</v>
      </c>
    </row>
    <row r="22" spans="1:38" s="19" customFormat="1" ht="14">
      <c r="A22" s="28" t="s">
        <v>64</v>
      </c>
      <c r="B22" s="28" t="s">
        <v>65</v>
      </c>
      <c r="C22" s="28" t="s">
        <v>12</v>
      </c>
      <c r="D22" s="28" t="s">
        <v>63</v>
      </c>
      <c r="E22" s="28" t="s">
        <v>56</v>
      </c>
      <c r="F22" s="28" t="s">
        <v>62</v>
      </c>
      <c r="G22" s="28" t="s">
        <v>68</v>
      </c>
      <c r="H22" s="29">
        <v>70</v>
      </c>
      <c r="I22" s="29">
        <v>7000</v>
      </c>
      <c r="J22" s="33">
        <v>0.01</v>
      </c>
      <c r="K22" s="34">
        <v>49</v>
      </c>
      <c r="L22" s="34">
        <v>0.7</v>
      </c>
      <c r="M22" s="28" t="s">
        <v>59</v>
      </c>
      <c r="N22" s="29">
        <f>INT(tblAD[[#This Row],[Clicks]]*tblAD[[#This Row],[1-day Conversion Rate]])</f>
        <v>14</v>
      </c>
      <c r="O22" s="35">
        <f>10*tblAD[[#This Row],[1-day Orders Placed ('#)]]</f>
        <v>140</v>
      </c>
      <c r="P22" s="33">
        <v>0.2</v>
      </c>
      <c r="Q22" s="29">
        <v>14</v>
      </c>
      <c r="R22" s="29">
        <v>0</v>
      </c>
      <c r="S22" s="35">
        <v>140</v>
      </c>
      <c r="T22" s="35">
        <v>0</v>
      </c>
      <c r="U22" s="29">
        <v>18</v>
      </c>
      <c r="V22" s="35">
        <v>180</v>
      </c>
      <c r="W22" s="33">
        <v>0.25</v>
      </c>
      <c r="X22" s="29">
        <v>0</v>
      </c>
      <c r="Y22" s="29">
        <v>0</v>
      </c>
      <c r="Z22" s="35">
        <v>0</v>
      </c>
      <c r="AA22" s="35">
        <v>0</v>
      </c>
      <c r="AB22" s="29">
        <v>21</v>
      </c>
      <c r="AC22" s="35">
        <v>210</v>
      </c>
      <c r="AD22" s="33">
        <v>0.3</v>
      </c>
      <c r="AE22" s="29">
        <v>0</v>
      </c>
      <c r="AF22" s="29">
        <v>0</v>
      </c>
      <c r="AG22" s="35">
        <v>0</v>
      </c>
      <c r="AH22" s="35">
        <v>0</v>
      </c>
      <c r="AI22" s="37" t="str">
        <f>VLOOKUP(tblAD[[#This Row],[Advertised SKU]],tblProduct[SKU]:tblProduct[Name],2,FALSE)</f>
        <v>产品B</v>
      </c>
      <c r="AJ22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2" s="38">
        <f>DATE(MID(tblAD[[#This Row],[Start Date]],7,4),LEFT(tblAD[[#This Row],[Start Date]],2),MID(tblAD[[#This Row],[Start Date]],4,2))</f>
        <v>43096</v>
      </c>
      <c r="AL22" s="39" t="str">
        <f>YEAR(tblAD[[#This Row],[ADDate]])&amp;"/"&amp;MONTH(tblAD[[#This Row],[ADDate]])</f>
        <v>2017/12</v>
      </c>
    </row>
    <row r="23" spans="1:38" s="19" customFormat="1" ht="14">
      <c r="A23" s="28" t="s">
        <v>64</v>
      </c>
      <c r="B23" s="28" t="s">
        <v>65</v>
      </c>
      <c r="C23" s="28" t="s">
        <v>12</v>
      </c>
      <c r="D23" s="28" t="s">
        <v>66</v>
      </c>
      <c r="E23" s="28" t="s">
        <v>56</v>
      </c>
      <c r="F23" s="28" t="s">
        <v>62</v>
      </c>
      <c r="G23" s="28" t="s">
        <v>68</v>
      </c>
      <c r="H23" s="29">
        <v>70</v>
      </c>
      <c r="I23" s="29">
        <v>7000</v>
      </c>
      <c r="J23" s="33">
        <v>0.01</v>
      </c>
      <c r="K23" s="34">
        <v>112</v>
      </c>
      <c r="L23" s="34">
        <v>1.6</v>
      </c>
      <c r="M23" s="28" t="s">
        <v>59</v>
      </c>
      <c r="N23" s="29">
        <f>INT(tblAD[[#This Row],[Clicks]]*tblAD[[#This Row],[1-day Conversion Rate]])</f>
        <v>14</v>
      </c>
      <c r="O23" s="35">
        <f>10*tblAD[[#This Row],[1-day Orders Placed ('#)]]</f>
        <v>140</v>
      </c>
      <c r="P23" s="33">
        <v>0.2</v>
      </c>
      <c r="Q23" s="29">
        <v>14</v>
      </c>
      <c r="R23" s="29">
        <v>0</v>
      </c>
      <c r="S23" s="35">
        <v>140</v>
      </c>
      <c r="T23" s="35">
        <v>0</v>
      </c>
      <c r="U23" s="29">
        <v>18</v>
      </c>
      <c r="V23" s="35">
        <v>180</v>
      </c>
      <c r="W23" s="33">
        <v>0.25</v>
      </c>
      <c r="X23" s="29">
        <v>0</v>
      </c>
      <c r="Y23" s="29">
        <v>0</v>
      </c>
      <c r="Z23" s="35">
        <v>0</v>
      </c>
      <c r="AA23" s="35">
        <v>0</v>
      </c>
      <c r="AB23" s="29">
        <v>21</v>
      </c>
      <c r="AC23" s="35">
        <v>210</v>
      </c>
      <c r="AD23" s="33">
        <v>0.3</v>
      </c>
      <c r="AE23" s="29">
        <v>0</v>
      </c>
      <c r="AF23" s="29">
        <v>0</v>
      </c>
      <c r="AG23" s="35">
        <v>0</v>
      </c>
      <c r="AH23" s="35">
        <v>0</v>
      </c>
      <c r="AI23" s="37" t="str">
        <f>VLOOKUP(tblAD[[#This Row],[Advertised SKU]],tblProduct[SKU]:tblProduct[Name],2,FALSE)</f>
        <v>产品B</v>
      </c>
      <c r="AJ23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3" s="38">
        <f>DATE(MID(tblAD[[#This Row],[Start Date]],7,4),LEFT(tblAD[[#This Row],[Start Date]],2),MID(tblAD[[#This Row],[Start Date]],4,2))</f>
        <v>43096</v>
      </c>
      <c r="AL23" s="39" t="str">
        <f>YEAR(tblAD[[#This Row],[ADDate]])&amp;"/"&amp;MONTH(tblAD[[#This Row],[ADDate]])</f>
        <v>2017/12</v>
      </c>
    </row>
    <row r="24" spans="1:38" s="19" customFormat="1" ht="14">
      <c r="A24" s="28" t="s">
        <v>64</v>
      </c>
      <c r="B24" s="28" t="s">
        <v>65</v>
      </c>
      <c r="C24" s="28" t="s">
        <v>12</v>
      </c>
      <c r="D24" s="28" t="s">
        <v>67</v>
      </c>
      <c r="E24" s="28" t="s">
        <v>56</v>
      </c>
      <c r="F24" s="28" t="s">
        <v>62</v>
      </c>
      <c r="G24" s="28" t="s">
        <v>68</v>
      </c>
      <c r="H24" s="29">
        <v>70</v>
      </c>
      <c r="I24" s="29">
        <v>7000</v>
      </c>
      <c r="J24" s="33">
        <v>0.01</v>
      </c>
      <c r="K24" s="34">
        <v>105</v>
      </c>
      <c r="L24" s="34">
        <v>1.5</v>
      </c>
      <c r="M24" s="28" t="s">
        <v>59</v>
      </c>
      <c r="N24" s="29">
        <f>INT(tblAD[[#This Row],[Clicks]]*tblAD[[#This Row],[1-day Conversion Rate]])</f>
        <v>14</v>
      </c>
      <c r="O24" s="35">
        <f>10*tblAD[[#This Row],[1-day Orders Placed ('#)]]</f>
        <v>140</v>
      </c>
      <c r="P24" s="33">
        <v>0.2</v>
      </c>
      <c r="Q24" s="29">
        <v>14</v>
      </c>
      <c r="R24" s="29">
        <v>0</v>
      </c>
      <c r="S24" s="35">
        <v>140</v>
      </c>
      <c r="T24" s="35">
        <v>0</v>
      </c>
      <c r="U24" s="29">
        <v>18</v>
      </c>
      <c r="V24" s="35">
        <v>180</v>
      </c>
      <c r="W24" s="33">
        <v>0.25</v>
      </c>
      <c r="X24" s="29">
        <v>0</v>
      </c>
      <c r="Y24" s="29">
        <v>0</v>
      </c>
      <c r="Z24" s="35">
        <v>0</v>
      </c>
      <c r="AA24" s="35">
        <v>0</v>
      </c>
      <c r="AB24" s="29">
        <v>21</v>
      </c>
      <c r="AC24" s="35">
        <v>210</v>
      </c>
      <c r="AD24" s="33">
        <v>0.3</v>
      </c>
      <c r="AE24" s="29">
        <v>0</v>
      </c>
      <c r="AF24" s="29">
        <v>0</v>
      </c>
      <c r="AG24" s="35">
        <v>0</v>
      </c>
      <c r="AH24" s="35">
        <v>0</v>
      </c>
      <c r="AI24" s="37" t="str">
        <f>VLOOKUP(tblAD[[#This Row],[Advertised SKU]],tblProduct[SKU]:tblProduct[Name],2,FALSE)</f>
        <v>产品B</v>
      </c>
      <c r="AJ24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4" s="38">
        <f>DATE(MID(tblAD[[#This Row],[Start Date]],7,4),LEFT(tblAD[[#This Row],[Start Date]],2),MID(tblAD[[#This Row],[Start Date]],4,2))</f>
        <v>43096</v>
      </c>
      <c r="AL24" s="39" t="str">
        <f>YEAR(tblAD[[#This Row],[ADDate]])&amp;"/"&amp;MONTH(tblAD[[#This Row],[ADDate]])</f>
        <v>2017/12</v>
      </c>
    </row>
    <row r="25" spans="1:38" s="19" customFormat="1" ht="14">
      <c r="A25" s="28" t="s">
        <v>64</v>
      </c>
      <c r="B25" s="28" t="s">
        <v>65</v>
      </c>
      <c r="C25" s="28" t="s">
        <v>12</v>
      </c>
      <c r="D25" s="28" t="s">
        <v>55</v>
      </c>
      <c r="E25" s="28" t="s">
        <v>56</v>
      </c>
      <c r="F25" s="28" t="s">
        <v>68</v>
      </c>
      <c r="G25" s="28" t="s">
        <v>69</v>
      </c>
      <c r="H25" s="29">
        <v>70</v>
      </c>
      <c r="I25" s="29">
        <v>7000</v>
      </c>
      <c r="J25" s="33">
        <v>0.01</v>
      </c>
      <c r="K25" s="34">
        <v>91</v>
      </c>
      <c r="L25" s="34">
        <v>1.3</v>
      </c>
      <c r="M25" s="28" t="s">
        <v>59</v>
      </c>
      <c r="N25" s="29">
        <f>INT(tblAD[[#This Row],[Clicks]]*tblAD[[#This Row],[1-day Conversion Rate]])</f>
        <v>14</v>
      </c>
      <c r="O25" s="35">
        <f>10*tblAD[[#This Row],[1-day Orders Placed ('#)]]</f>
        <v>140</v>
      </c>
      <c r="P25" s="33">
        <v>0.2</v>
      </c>
      <c r="Q25" s="29">
        <v>14</v>
      </c>
      <c r="R25" s="29">
        <v>0</v>
      </c>
      <c r="S25" s="35">
        <v>140</v>
      </c>
      <c r="T25" s="35">
        <v>0</v>
      </c>
      <c r="U25" s="29">
        <v>18</v>
      </c>
      <c r="V25" s="35">
        <v>180</v>
      </c>
      <c r="W25" s="33">
        <v>0.25</v>
      </c>
      <c r="X25" s="29">
        <v>0</v>
      </c>
      <c r="Y25" s="29">
        <v>0</v>
      </c>
      <c r="Z25" s="35">
        <v>0</v>
      </c>
      <c r="AA25" s="35">
        <v>0</v>
      </c>
      <c r="AB25" s="29">
        <v>21</v>
      </c>
      <c r="AC25" s="35">
        <v>210</v>
      </c>
      <c r="AD25" s="33">
        <v>0.3</v>
      </c>
      <c r="AE25" s="29">
        <v>0</v>
      </c>
      <c r="AF25" s="29">
        <v>0</v>
      </c>
      <c r="AG25" s="35">
        <v>0</v>
      </c>
      <c r="AH25" s="35">
        <v>0</v>
      </c>
      <c r="AI25" s="37" t="str">
        <f>VLOOKUP(tblAD[[#This Row],[Advertised SKU]],tblProduct[SKU]:tblProduct[Name],2,FALSE)</f>
        <v>产品B</v>
      </c>
      <c r="AJ25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5" s="38">
        <f>DATE(MID(tblAD[[#This Row],[Start Date]],7,4),LEFT(tblAD[[#This Row],[Start Date]],2),MID(tblAD[[#This Row],[Start Date]],4,2))</f>
        <v>43097</v>
      </c>
      <c r="AL25" s="39" t="str">
        <f>YEAR(tblAD[[#This Row],[ADDate]])&amp;"/"&amp;MONTH(tblAD[[#This Row],[ADDate]])</f>
        <v>2017/12</v>
      </c>
    </row>
    <row r="26" spans="1:38" s="19" customFormat="1" ht="14">
      <c r="A26" s="28" t="s">
        <v>64</v>
      </c>
      <c r="B26" s="28" t="s">
        <v>65</v>
      </c>
      <c r="C26" s="28" t="s">
        <v>12</v>
      </c>
      <c r="D26" s="28" t="s">
        <v>61</v>
      </c>
      <c r="E26" s="28" t="s">
        <v>56</v>
      </c>
      <c r="F26" s="28" t="s">
        <v>68</v>
      </c>
      <c r="G26" s="28" t="s">
        <v>69</v>
      </c>
      <c r="H26" s="29">
        <v>70</v>
      </c>
      <c r="I26" s="29">
        <v>7000</v>
      </c>
      <c r="J26" s="33">
        <v>0.01</v>
      </c>
      <c r="K26" s="34">
        <v>119</v>
      </c>
      <c r="L26" s="34">
        <v>1.7</v>
      </c>
      <c r="M26" s="28" t="s">
        <v>59</v>
      </c>
      <c r="N26" s="29">
        <f>INT(tblAD[[#This Row],[Clicks]]*tblAD[[#This Row],[1-day Conversion Rate]])</f>
        <v>14</v>
      </c>
      <c r="O26" s="35">
        <f>10*tblAD[[#This Row],[1-day Orders Placed ('#)]]</f>
        <v>140</v>
      </c>
      <c r="P26" s="33">
        <v>0.2</v>
      </c>
      <c r="Q26" s="29">
        <v>14</v>
      </c>
      <c r="R26" s="29">
        <v>0</v>
      </c>
      <c r="S26" s="35">
        <v>140</v>
      </c>
      <c r="T26" s="35">
        <v>0</v>
      </c>
      <c r="U26" s="29">
        <v>18</v>
      </c>
      <c r="V26" s="35">
        <v>180</v>
      </c>
      <c r="W26" s="33">
        <v>0.25</v>
      </c>
      <c r="X26" s="29">
        <v>0</v>
      </c>
      <c r="Y26" s="29">
        <v>0</v>
      </c>
      <c r="Z26" s="35">
        <v>0</v>
      </c>
      <c r="AA26" s="35">
        <v>0</v>
      </c>
      <c r="AB26" s="29">
        <v>21</v>
      </c>
      <c r="AC26" s="35">
        <v>210</v>
      </c>
      <c r="AD26" s="33">
        <v>0.3</v>
      </c>
      <c r="AE26" s="29">
        <v>0</v>
      </c>
      <c r="AF26" s="29">
        <v>0</v>
      </c>
      <c r="AG26" s="35">
        <v>0</v>
      </c>
      <c r="AH26" s="35">
        <v>0</v>
      </c>
      <c r="AI26" s="37" t="str">
        <f>VLOOKUP(tblAD[[#This Row],[Advertised SKU]],tblProduct[SKU]:tblProduct[Name],2,FALSE)</f>
        <v>产品B</v>
      </c>
      <c r="AJ26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6" s="38">
        <f>DATE(MID(tblAD[[#This Row],[Start Date]],7,4),LEFT(tblAD[[#This Row],[Start Date]],2),MID(tblAD[[#This Row],[Start Date]],4,2))</f>
        <v>43097</v>
      </c>
      <c r="AL26" s="39" t="str">
        <f>YEAR(tblAD[[#This Row],[ADDate]])&amp;"/"&amp;MONTH(tblAD[[#This Row],[ADDate]])</f>
        <v>2017/12</v>
      </c>
    </row>
    <row r="27" spans="1:38" s="19" customFormat="1" ht="14">
      <c r="A27" s="28" t="s">
        <v>64</v>
      </c>
      <c r="B27" s="28" t="s">
        <v>65</v>
      </c>
      <c r="C27" s="28" t="s">
        <v>12</v>
      </c>
      <c r="D27" s="28" t="s">
        <v>63</v>
      </c>
      <c r="E27" s="28" t="s">
        <v>56</v>
      </c>
      <c r="F27" s="28" t="s">
        <v>68</v>
      </c>
      <c r="G27" s="28" t="s">
        <v>69</v>
      </c>
      <c r="H27" s="29">
        <v>70</v>
      </c>
      <c r="I27" s="29">
        <v>7000</v>
      </c>
      <c r="J27" s="33">
        <v>0.01</v>
      </c>
      <c r="K27" s="34">
        <v>147</v>
      </c>
      <c r="L27" s="34">
        <v>2.1</v>
      </c>
      <c r="M27" s="28" t="s">
        <v>59</v>
      </c>
      <c r="N27" s="29">
        <f>INT(tblAD[[#This Row],[Clicks]]*tblAD[[#This Row],[1-day Conversion Rate]])</f>
        <v>14</v>
      </c>
      <c r="O27" s="35">
        <f>10*tblAD[[#This Row],[1-day Orders Placed ('#)]]</f>
        <v>140</v>
      </c>
      <c r="P27" s="33">
        <v>0.2</v>
      </c>
      <c r="Q27" s="29">
        <v>14</v>
      </c>
      <c r="R27" s="29">
        <v>0</v>
      </c>
      <c r="S27" s="35">
        <v>140</v>
      </c>
      <c r="T27" s="35">
        <v>0</v>
      </c>
      <c r="U27" s="29">
        <v>18</v>
      </c>
      <c r="V27" s="35">
        <v>180</v>
      </c>
      <c r="W27" s="33">
        <v>0.25</v>
      </c>
      <c r="X27" s="29">
        <v>0</v>
      </c>
      <c r="Y27" s="29">
        <v>0</v>
      </c>
      <c r="Z27" s="35">
        <v>0</v>
      </c>
      <c r="AA27" s="35">
        <v>0</v>
      </c>
      <c r="AB27" s="29">
        <v>21</v>
      </c>
      <c r="AC27" s="35">
        <v>210</v>
      </c>
      <c r="AD27" s="33">
        <v>0.3</v>
      </c>
      <c r="AE27" s="29">
        <v>0</v>
      </c>
      <c r="AF27" s="29">
        <v>0</v>
      </c>
      <c r="AG27" s="35">
        <v>0</v>
      </c>
      <c r="AH27" s="35">
        <v>0</v>
      </c>
      <c r="AI27" s="37" t="str">
        <f>VLOOKUP(tblAD[[#This Row],[Advertised SKU]],tblProduct[SKU]:tblProduct[Name],2,FALSE)</f>
        <v>产品B</v>
      </c>
      <c r="AJ27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7" s="38">
        <f>DATE(MID(tblAD[[#This Row],[Start Date]],7,4),LEFT(tblAD[[#This Row],[Start Date]],2),MID(tblAD[[#This Row],[Start Date]],4,2))</f>
        <v>43097</v>
      </c>
      <c r="AL27" s="39" t="str">
        <f>YEAR(tblAD[[#This Row],[ADDate]])&amp;"/"&amp;MONTH(tblAD[[#This Row],[ADDate]])</f>
        <v>2017/12</v>
      </c>
    </row>
    <row r="28" spans="1:38" s="19" customFormat="1" ht="14">
      <c r="A28" s="28" t="s">
        <v>64</v>
      </c>
      <c r="B28" s="28" t="s">
        <v>65</v>
      </c>
      <c r="C28" s="28" t="s">
        <v>12</v>
      </c>
      <c r="D28" s="28" t="s">
        <v>66</v>
      </c>
      <c r="E28" s="28" t="s">
        <v>56</v>
      </c>
      <c r="F28" s="28" t="s">
        <v>68</v>
      </c>
      <c r="G28" s="28" t="s">
        <v>69</v>
      </c>
      <c r="H28" s="29">
        <v>70</v>
      </c>
      <c r="I28" s="29">
        <v>7000</v>
      </c>
      <c r="J28" s="33">
        <v>0.01</v>
      </c>
      <c r="K28" s="34">
        <v>56</v>
      </c>
      <c r="L28" s="34">
        <v>0.8</v>
      </c>
      <c r="M28" s="28" t="s">
        <v>59</v>
      </c>
      <c r="N28" s="29">
        <f>INT(tblAD[[#This Row],[Clicks]]*tblAD[[#This Row],[1-day Conversion Rate]])</f>
        <v>14</v>
      </c>
      <c r="O28" s="35">
        <f>10*tblAD[[#This Row],[1-day Orders Placed ('#)]]</f>
        <v>140</v>
      </c>
      <c r="P28" s="33">
        <v>0.2</v>
      </c>
      <c r="Q28" s="29">
        <v>14</v>
      </c>
      <c r="R28" s="29">
        <v>0</v>
      </c>
      <c r="S28" s="35">
        <v>140</v>
      </c>
      <c r="T28" s="35">
        <v>0</v>
      </c>
      <c r="U28" s="29">
        <v>18</v>
      </c>
      <c r="V28" s="35">
        <v>180</v>
      </c>
      <c r="W28" s="33">
        <v>0.25</v>
      </c>
      <c r="X28" s="29">
        <v>0</v>
      </c>
      <c r="Y28" s="29">
        <v>0</v>
      </c>
      <c r="Z28" s="35">
        <v>0</v>
      </c>
      <c r="AA28" s="35">
        <v>0</v>
      </c>
      <c r="AB28" s="29">
        <v>21</v>
      </c>
      <c r="AC28" s="35">
        <v>210</v>
      </c>
      <c r="AD28" s="33">
        <v>0.3</v>
      </c>
      <c r="AE28" s="29">
        <v>0</v>
      </c>
      <c r="AF28" s="29">
        <v>0</v>
      </c>
      <c r="AG28" s="35">
        <v>0</v>
      </c>
      <c r="AH28" s="35">
        <v>0</v>
      </c>
      <c r="AI28" s="37" t="str">
        <f>VLOOKUP(tblAD[[#This Row],[Advertised SKU]],tblProduct[SKU]:tblProduct[Name],2,FALSE)</f>
        <v>产品B</v>
      </c>
      <c r="AJ28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8" s="38">
        <f>DATE(MID(tblAD[[#This Row],[Start Date]],7,4),LEFT(tblAD[[#This Row],[Start Date]],2),MID(tblAD[[#This Row],[Start Date]],4,2))</f>
        <v>43097</v>
      </c>
      <c r="AL28" s="39" t="str">
        <f>YEAR(tblAD[[#This Row],[ADDate]])&amp;"/"&amp;MONTH(tblAD[[#This Row],[ADDate]])</f>
        <v>2017/12</v>
      </c>
    </row>
    <row r="29" spans="1:38" s="19" customFormat="1" ht="14">
      <c r="A29" s="28" t="s">
        <v>64</v>
      </c>
      <c r="B29" s="28" t="s">
        <v>65</v>
      </c>
      <c r="C29" s="28" t="s">
        <v>12</v>
      </c>
      <c r="D29" s="28" t="s">
        <v>67</v>
      </c>
      <c r="E29" s="28" t="s">
        <v>56</v>
      </c>
      <c r="F29" s="28" t="s">
        <v>68</v>
      </c>
      <c r="G29" s="28" t="s">
        <v>69</v>
      </c>
      <c r="H29" s="29">
        <v>70</v>
      </c>
      <c r="I29" s="29">
        <v>7000</v>
      </c>
      <c r="J29" s="33">
        <v>0.01</v>
      </c>
      <c r="K29" s="34">
        <v>49</v>
      </c>
      <c r="L29" s="34">
        <v>0.7</v>
      </c>
      <c r="M29" s="28" t="s">
        <v>59</v>
      </c>
      <c r="N29" s="29">
        <f>INT(tblAD[[#This Row],[Clicks]]*tblAD[[#This Row],[1-day Conversion Rate]])</f>
        <v>14</v>
      </c>
      <c r="O29" s="35">
        <f>10*tblAD[[#This Row],[1-day Orders Placed ('#)]]</f>
        <v>140</v>
      </c>
      <c r="P29" s="33">
        <v>0.2</v>
      </c>
      <c r="Q29" s="29">
        <v>14</v>
      </c>
      <c r="R29" s="29">
        <v>0</v>
      </c>
      <c r="S29" s="35">
        <v>140</v>
      </c>
      <c r="T29" s="35">
        <v>0</v>
      </c>
      <c r="U29" s="29">
        <v>18</v>
      </c>
      <c r="V29" s="35">
        <v>180</v>
      </c>
      <c r="W29" s="33">
        <v>0.25</v>
      </c>
      <c r="X29" s="29">
        <v>0</v>
      </c>
      <c r="Y29" s="29">
        <v>0</v>
      </c>
      <c r="Z29" s="35">
        <v>0</v>
      </c>
      <c r="AA29" s="35">
        <v>0</v>
      </c>
      <c r="AB29" s="29">
        <v>21</v>
      </c>
      <c r="AC29" s="35">
        <v>210</v>
      </c>
      <c r="AD29" s="33">
        <v>0.3</v>
      </c>
      <c r="AE29" s="29">
        <v>0</v>
      </c>
      <c r="AF29" s="29">
        <v>0</v>
      </c>
      <c r="AG29" s="35">
        <v>0</v>
      </c>
      <c r="AH29" s="35">
        <v>0</v>
      </c>
      <c r="AI29" s="37" t="str">
        <f>VLOOKUP(tblAD[[#This Row],[Advertised SKU]],tblProduct[SKU]:tblProduct[Name],2,FALSE)</f>
        <v>产品B</v>
      </c>
      <c r="AJ29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29" s="38">
        <f>DATE(MID(tblAD[[#This Row],[Start Date]],7,4),LEFT(tblAD[[#This Row],[Start Date]],2),MID(tblAD[[#This Row],[Start Date]],4,2))</f>
        <v>43097</v>
      </c>
      <c r="AL29" s="39" t="str">
        <f>YEAR(tblAD[[#This Row],[ADDate]])&amp;"/"&amp;MONTH(tblAD[[#This Row],[ADDate]])</f>
        <v>2017/12</v>
      </c>
    </row>
    <row r="30" spans="1:38" s="19" customFormat="1" ht="14">
      <c r="A30" s="28" t="s">
        <v>64</v>
      </c>
      <c r="B30" s="28" t="s">
        <v>65</v>
      </c>
      <c r="C30" s="28" t="s">
        <v>12</v>
      </c>
      <c r="D30" s="28" t="s">
        <v>55</v>
      </c>
      <c r="E30" s="28" t="s">
        <v>56</v>
      </c>
      <c r="F30" s="28" t="s">
        <v>69</v>
      </c>
      <c r="G30" s="28" t="s">
        <v>70</v>
      </c>
      <c r="H30" s="29">
        <v>70</v>
      </c>
      <c r="I30" s="29">
        <v>7000</v>
      </c>
      <c r="J30" s="33">
        <v>0.01</v>
      </c>
      <c r="K30" s="34">
        <v>112</v>
      </c>
      <c r="L30" s="34">
        <v>1.6</v>
      </c>
      <c r="M30" s="28" t="s">
        <v>59</v>
      </c>
      <c r="N30" s="29">
        <f>INT(tblAD[[#This Row],[Clicks]]*tblAD[[#This Row],[1-day Conversion Rate]])</f>
        <v>14</v>
      </c>
      <c r="O30" s="35">
        <f>10*tblAD[[#This Row],[1-day Orders Placed ('#)]]</f>
        <v>140</v>
      </c>
      <c r="P30" s="33">
        <v>0.2</v>
      </c>
      <c r="Q30" s="29">
        <v>14</v>
      </c>
      <c r="R30" s="29">
        <v>0</v>
      </c>
      <c r="S30" s="35">
        <v>140</v>
      </c>
      <c r="T30" s="35">
        <v>0</v>
      </c>
      <c r="U30" s="29">
        <v>18</v>
      </c>
      <c r="V30" s="35">
        <v>180</v>
      </c>
      <c r="W30" s="33">
        <v>0.25</v>
      </c>
      <c r="X30" s="29">
        <v>0</v>
      </c>
      <c r="Y30" s="29">
        <v>0</v>
      </c>
      <c r="Z30" s="35">
        <v>0</v>
      </c>
      <c r="AA30" s="35">
        <v>0</v>
      </c>
      <c r="AB30" s="29">
        <v>21</v>
      </c>
      <c r="AC30" s="35">
        <v>210</v>
      </c>
      <c r="AD30" s="33">
        <v>0.3</v>
      </c>
      <c r="AE30" s="29">
        <v>0</v>
      </c>
      <c r="AF30" s="29">
        <v>0</v>
      </c>
      <c r="AG30" s="35">
        <v>0</v>
      </c>
      <c r="AH30" s="35">
        <v>0</v>
      </c>
      <c r="AI30" s="37" t="str">
        <f>VLOOKUP(tblAD[[#This Row],[Advertised SKU]],tblProduct[SKU]:tblProduct[Name],2,FALSE)</f>
        <v>产品B</v>
      </c>
      <c r="AJ30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0" s="38">
        <f>DATE(MID(tblAD[[#This Row],[Start Date]],7,4),LEFT(tblAD[[#This Row],[Start Date]],2),MID(tblAD[[#This Row],[Start Date]],4,2))</f>
        <v>43098</v>
      </c>
      <c r="AL30" s="39" t="str">
        <f>YEAR(tblAD[[#This Row],[ADDate]])&amp;"/"&amp;MONTH(tblAD[[#This Row],[ADDate]])</f>
        <v>2017/12</v>
      </c>
    </row>
    <row r="31" spans="1:38" s="19" customFormat="1" ht="14">
      <c r="A31" s="28" t="s">
        <v>64</v>
      </c>
      <c r="B31" s="28" t="s">
        <v>65</v>
      </c>
      <c r="C31" s="28" t="s">
        <v>12</v>
      </c>
      <c r="D31" s="28" t="s">
        <v>61</v>
      </c>
      <c r="E31" s="28" t="s">
        <v>56</v>
      </c>
      <c r="F31" s="28" t="s">
        <v>69</v>
      </c>
      <c r="G31" s="28" t="s">
        <v>70</v>
      </c>
      <c r="H31" s="29">
        <v>70</v>
      </c>
      <c r="I31" s="29">
        <v>7000</v>
      </c>
      <c r="J31" s="33">
        <v>0.01</v>
      </c>
      <c r="K31" s="34">
        <v>105</v>
      </c>
      <c r="L31" s="34">
        <v>1.5</v>
      </c>
      <c r="M31" s="28" t="s">
        <v>59</v>
      </c>
      <c r="N31" s="29">
        <f>INT(tblAD[[#This Row],[Clicks]]*tblAD[[#This Row],[1-day Conversion Rate]])</f>
        <v>14</v>
      </c>
      <c r="O31" s="35">
        <f>10*tblAD[[#This Row],[1-day Orders Placed ('#)]]</f>
        <v>140</v>
      </c>
      <c r="P31" s="33">
        <v>0.2</v>
      </c>
      <c r="Q31" s="29">
        <v>14</v>
      </c>
      <c r="R31" s="29">
        <v>0</v>
      </c>
      <c r="S31" s="35">
        <v>140</v>
      </c>
      <c r="T31" s="35">
        <v>0</v>
      </c>
      <c r="U31" s="29">
        <v>18</v>
      </c>
      <c r="V31" s="35">
        <v>180</v>
      </c>
      <c r="W31" s="33">
        <v>0.25</v>
      </c>
      <c r="X31" s="29">
        <v>0</v>
      </c>
      <c r="Y31" s="29">
        <v>0</v>
      </c>
      <c r="Z31" s="35">
        <v>0</v>
      </c>
      <c r="AA31" s="35">
        <v>0</v>
      </c>
      <c r="AB31" s="29">
        <v>21</v>
      </c>
      <c r="AC31" s="35">
        <v>210</v>
      </c>
      <c r="AD31" s="33">
        <v>0.3</v>
      </c>
      <c r="AE31" s="29">
        <v>0</v>
      </c>
      <c r="AF31" s="29">
        <v>0</v>
      </c>
      <c r="AG31" s="35">
        <v>0</v>
      </c>
      <c r="AH31" s="35">
        <v>0</v>
      </c>
      <c r="AI31" s="37" t="str">
        <f>VLOOKUP(tblAD[[#This Row],[Advertised SKU]],tblProduct[SKU]:tblProduct[Name],2,FALSE)</f>
        <v>产品B</v>
      </c>
      <c r="AJ31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1" s="38">
        <f>DATE(MID(tblAD[[#This Row],[Start Date]],7,4),LEFT(tblAD[[#This Row],[Start Date]],2),MID(tblAD[[#This Row],[Start Date]],4,2))</f>
        <v>43098</v>
      </c>
      <c r="AL31" s="39" t="str">
        <f>YEAR(tblAD[[#This Row],[ADDate]])&amp;"/"&amp;MONTH(tblAD[[#This Row],[ADDate]])</f>
        <v>2017/12</v>
      </c>
    </row>
    <row r="32" spans="1:38" s="19" customFormat="1" ht="14">
      <c r="A32" s="28" t="s">
        <v>64</v>
      </c>
      <c r="B32" s="28" t="s">
        <v>65</v>
      </c>
      <c r="C32" s="28" t="s">
        <v>12</v>
      </c>
      <c r="D32" s="28" t="s">
        <v>63</v>
      </c>
      <c r="E32" s="28" t="s">
        <v>56</v>
      </c>
      <c r="F32" s="28" t="s">
        <v>69</v>
      </c>
      <c r="G32" s="28" t="s">
        <v>70</v>
      </c>
      <c r="H32" s="29">
        <v>70</v>
      </c>
      <c r="I32" s="29">
        <v>7000</v>
      </c>
      <c r="J32" s="33">
        <v>0.01</v>
      </c>
      <c r="K32" s="34">
        <v>91</v>
      </c>
      <c r="L32" s="34">
        <v>1.3</v>
      </c>
      <c r="M32" s="28" t="s">
        <v>59</v>
      </c>
      <c r="N32" s="29">
        <f>INT(tblAD[[#This Row],[Clicks]]*tblAD[[#This Row],[1-day Conversion Rate]])</f>
        <v>14</v>
      </c>
      <c r="O32" s="35">
        <f>10*tblAD[[#This Row],[1-day Orders Placed ('#)]]</f>
        <v>140</v>
      </c>
      <c r="P32" s="33">
        <v>0.2</v>
      </c>
      <c r="Q32" s="29">
        <v>14</v>
      </c>
      <c r="R32" s="29">
        <v>0</v>
      </c>
      <c r="S32" s="35">
        <v>140</v>
      </c>
      <c r="T32" s="35">
        <v>0</v>
      </c>
      <c r="U32" s="29">
        <v>18</v>
      </c>
      <c r="V32" s="35">
        <v>180</v>
      </c>
      <c r="W32" s="33">
        <v>0.25</v>
      </c>
      <c r="X32" s="29">
        <v>0</v>
      </c>
      <c r="Y32" s="29">
        <v>0</v>
      </c>
      <c r="Z32" s="35">
        <v>0</v>
      </c>
      <c r="AA32" s="35">
        <v>0</v>
      </c>
      <c r="AB32" s="29">
        <v>21</v>
      </c>
      <c r="AC32" s="35">
        <v>210</v>
      </c>
      <c r="AD32" s="33">
        <v>0.3</v>
      </c>
      <c r="AE32" s="29">
        <v>0</v>
      </c>
      <c r="AF32" s="29">
        <v>0</v>
      </c>
      <c r="AG32" s="35">
        <v>0</v>
      </c>
      <c r="AH32" s="35">
        <v>0</v>
      </c>
      <c r="AI32" s="37" t="str">
        <f>VLOOKUP(tblAD[[#This Row],[Advertised SKU]],tblProduct[SKU]:tblProduct[Name],2,FALSE)</f>
        <v>产品B</v>
      </c>
      <c r="AJ32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2" s="38">
        <f>DATE(MID(tblAD[[#This Row],[Start Date]],7,4),LEFT(tblAD[[#This Row],[Start Date]],2),MID(tblAD[[#This Row],[Start Date]],4,2))</f>
        <v>43098</v>
      </c>
      <c r="AL32" s="39" t="str">
        <f>YEAR(tblAD[[#This Row],[ADDate]])&amp;"/"&amp;MONTH(tblAD[[#This Row],[ADDate]])</f>
        <v>2017/12</v>
      </c>
    </row>
    <row r="33" spans="1:38" s="19" customFormat="1" ht="14">
      <c r="A33" s="28" t="s">
        <v>64</v>
      </c>
      <c r="B33" s="28" t="s">
        <v>65</v>
      </c>
      <c r="C33" s="28" t="s">
        <v>12</v>
      </c>
      <c r="D33" s="28" t="s">
        <v>66</v>
      </c>
      <c r="E33" s="28" t="s">
        <v>56</v>
      </c>
      <c r="F33" s="28" t="s">
        <v>69</v>
      </c>
      <c r="G33" s="28" t="s">
        <v>70</v>
      </c>
      <c r="H33" s="29">
        <v>70</v>
      </c>
      <c r="I33" s="29">
        <v>7000</v>
      </c>
      <c r="J33" s="33">
        <v>0.01</v>
      </c>
      <c r="K33" s="34">
        <v>119</v>
      </c>
      <c r="L33" s="34">
        <v>1.7</v>
      </c>
      <c r="M33" s="28" t="s">
        <v>59</v>
      </c>
      <c r="N33" s="29">
        <f>INT(tblAD[[#This Row],[Clicks]]*tblAD[[#This Row],[1-day Conversion Rate]])</f>
        <v>14</v>
      </c>
      <c r="O33" s="35">
        <f>10*tblAD[[#This Row],[1-day Orders Placed ('#)]]</f>
        <v>140</v>
      </c>
      <c r="P33" s="33">
        <v>0.2</v>
      </c>
      <c r="Q33" s="29">
        <v>14</v>
      </c>
      <c r="R33" s="29">
        <v>0</v>
      </c>
      <c r="S33" s="35">
        <v>140</v>
      </c>
      <c r="T33" s="35">
        <v>0</v>
      </c>
      <c r="U33" s="29">
        <v>18</v>
      </c>
      <c r="V33" s="35">
        <v>180</v>
      </c>
      <c r="W33" s="33">
        <v>0.25</v>
      </c>
      <c r="X33" s="29">
        <v>0</v>
      </c>
      <c r="Y33" s="29">
        <v>0</v>
      </c>
      <c r="Z33" s="35">
        <v>0</v>
      </c>
      <c r="AA33" s="35">
        <v>0</v>
      </c>
      <c r="AB33" s="29">
        <v>21</v>
      </c>
      <c r="AC33" s="35">
        <v>210</v>
      </c>
      <c r="AD33" s="33">
        <v>0.3</v>
      </c>
      <c r="AE33" s="29">
        <v>0</v>
      </c>
      <c r="AF33" s="29">
        <v>0</v>
      </c>
      <c r="AG33" s="35">
        <v>0</v>
      </c>
      <c r="AH33" s="35">
        <v>0</v>
      </c>
      <c r="AI33" s="37" t="str">
        <f>VLOOKUP(tblAD[[#This Row],[Advertised SKU]],tblProduct[SKU]:tblProduct[Name],2,FALSE)</f>
        <v>产品B</v>
      </c>
      <c r="AJ33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3" s="38">
        <f>DATE(MID(tblAD[[#This Row],[Start Date]],7,4),LEFT(tblAD[[#This Row],[Start Date]],2),MID(tblAD[[#This Row],[Start Date]],4,2))</f>
        <v>43098</v>
      </c>
      <c r="AL33" s="39" t="str">
        <f>YEAR(tblAD[[#This Row],[ADDate]])&amp;"/"&amp;MONTH(tblAD[[#This Row],[ADDate]])</f>
        <v>2017/12</v>
      </c>
    </row>
    <row r="34" spans="1:38" s="19" customFormat="1" ht="14">
      <c r="A34" s="28" t="s">
        <v>64</v>
      </c>
      <c r="B34" s="28" t="s">
        <v>65</v>
      </c>
      <c r="C34" s="28" t="s">
        <v>12</v>
      </c>
      <c r="D34" s="28" t="s">
        <v>67</v>
      </c>
      <c r="E34" s="28" t="s">
        <v>56</v>
      </c>
      <c r="F34" s="28" t="s">
        <v>69</v>
      </c>
      <c r="G34" s="28" t="s">
        <v>70</v>
      </c>
      <c r="H34" s="29">
        <v>70</v>
      </c>
      <c r="I34" s="29">
        <v>7000</v>
      </c>
      <c r="J34" s="33">
        <v>0.01</v>
      </c>
      <c r="K34" s="34">
        <v>147</v>
      </c>
      <c r="L34" s="34">
        <v>2.1</v>
      </c>
      <c r="M34" s="28" t="s">
        <v>59</v>
      </c>
      <c r="N34" s="29">
        <f>INT(tblAD[[#This Row],[Clicks]]*tblAD[[#This Row],[1-day Conversion Rate]])</f>
        <v>14</v>
      </c>
      <c r="O34" s="35">
        <f>10*tblAD[[#This Row],[1-day Orders Placed ('#)]]</f>
        <v>140</v>
      </c>
      <c r="P34" s="33">
        <v>0.2</v>
      </c>
      <c r="Q34" s="29">
        <v>14</v>
      </c>
      <c r="R34" s="29">
        <v>0</v>
      </c>
      <c r="S34" s="35">
        <v>140</v>
      </c>
      <c r="T34" s="35">
        <v>0</v>
      </c>
      <c r="U34" s="29">
        <v>18</v>
      </c>
      <c r="V34" s="35">
        <v>180</v>
      </c>
      <c r="W34" s="33">
        <v>0.25</v>
      </c>
      <c r="X34" s="29">
        <v>0</v>
      </c>
      <c r="Y34" s="29">
        <v>0</v>
      </c>
      <c r="Z34" s="35">
        <v>0</v>
      </c>
      <c r="AA34" s="35">
        <v>0</v>
      </c>
      <c r="AB34" s="29">
        <v>21</v>
      </c>
      <c r="AC34" s="35">
        <v>210</v>
      </c>
      <c r="AD34" s="33">
        <v>0.3</v>
      </c>
      <c r="AE34" s="29">
        <v>0</v>
      </c>
      <c r="AF34" s="29">
        <v>0</v>
      </c>
      <c r="AG34" s="35">
        <v>0</v>
      </c>
      <c r="AH34" s="35">
        <v>0</v>
      </c>
      <c r="AI34" s="37" t="str">
        <f>VLOOKUP(tblAD[[#This Row],[Advertised SKU]],tblProduct[SKU]:tblProduct[Name],2,FALSE)</f>
        <v>产品B</v>
      </c>
      <c r="AJ34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4" s="38">
        <f>DATE(MID(tblAD[[#This Row],[Start Date]],7,4),LEFT(tblAD[[#This Row],[Start Date]],2),MID(tblAD[[#This Row],[Start Date]],4,2))</f>
        <v>43098</v>
      </c>
      <c r="AL34" s="39" t="str">
        <f>YEAR(tblAD[[#This Row],[ADDate]])&amp;"/"&amp;MONTH(tblAD[[#This Row],[ADDate]])</f>
        <v>2017/12</v>
      </c>
    </row>
    <row r="35" spans="1:38" s="19" customFormat="1" ht="14">
      <c r="A35" s="28" t="s">
        <v>64</v>
      </c>
      <c r="B35" s="28" t="s">
        <v>65</v>
      </c>
      <c r="C35" s="28" t="s">
        <v>12</v>
      </c>
      <c r="D35" s="28" t="s">
        <v>55</v>
      </c>
      <c r="E35" s="28" t="s">
        <v>56</v>
      </c>
      <c r="F35" s="28" t="s">
        <v>70</v>
      </c>
      <c r="G35" s="28" t="s">
        <v>71</v>
      </c>
      <c r="H35" s="29">
        <v>70</v>
      </c>
      <c r="I35" s="29">
        <v>7000</v>
      </c>
      <c r="J35" s="33">
        <v>0.01</v>
      </c>
      <c r="K35" s="34">
        <v>56</v>
      </c>
      <c r="L35" s="34">
        <v>0.8</v>
      </c>
      <c r="M35" s="28" t="s">
        <v>59</v>
      </c>
      <c r="N35" s="29">
        <f>INT(tblAD[[#This Row],[Clicks]]*tblAD[[#This Row],[1-day Conversion Rate]])</f>
        <v>14</v>
      </c>
      <c r="O35" s="35">
        <f>10*tblAD[[#This Row],[1-day Orders Placed ('#)]]</f>
        <v>140</v>
      </c>
      <c r="P35" s="33">
        <v>0.2</v>
      </c>
      <c r="Q35" s="29">
        <v>14</v>
      </c>
      <c r="R35" s="29">
        <v>0</v>
      </c>
      <c r="S35" s="35">
        <v>140</v>
      </c>
      <c r="T35" s="35">
        <v>0</v>
      </c>
      <c r="U35" s="29">
        <v>18</v>
      </c>
      <c r="V35" s="35">
        <v>180</v>
      </c>
      <c r="W35" s="33">
        <v>0.25</v>
      </c>
      <c r="X35" s="29">
        <v>0</v>
      </c>
      <c r="Y35" s="29">
        <v>0</v>
      </c>
      <c r="Z35" s="35">
        <v>0</v>
      </c>
      <c r="AA35" s="35">
        <v>0</v>
      </c>
      <c r="AB35" s="29">
        <v>21</v>
      </c>
      <c r="AC35" s="35">
        <v>210</v>
      </c>
      <c r="AD35" s="33">
        <v>0.3</v>
      </c>
      <c r="AE35" s="29">
        <v>0</v>
      </c>
      <c r="AF35" s="29">
        <v>0</v>
      </c>
      <c r="AG35" s="35">
        <v>0</v>
      </c>
      <c r="AH35" s="35">
        <v>0</v>
      </c>
      <c r="AI35" s="37" t="str">
        <f>VLOOKUP(tblAD[[#This Row],[Advertised SKU]],tblProduct[SKU]:tblProduct[Name],2,FALSE)</f>
        <v>产品B</v>
      </c>
      <c r="AJ35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5" s="38">
        <f>DATE(MID(tblAD[[#This Row],[Start Date]],7,4),LEFT(tblAD[[#This Row],[Start Date]],2),MID(tblAD[[#This Row],[Start Date]],4,2))</f>
        <v>43099</v>
      </c>
      <c r="AL35" s="39" t="str">
        <f>YEAR(tblAD[[#This Row],[ADDate]])&amp;"/"&amp;MONTH(tblAD[[#This Row],[ADDate]])</f>
        <v>2017/12</v>
      </c>
    </row>
    <row r="36" spans="1:38" s="19" customFormat="1" ht="14">
      <c r="A36" s="28" t="s">
        <v>64</v>
      </c>
      <c r="B36" s="28" t="s">
        <v>65</v>
      </c>
      <c r="C36" s="28" t="s">
        <v>12</v>
      </c>
      <c r="D36" s="28" t="s">
        <v>61</v>
      </c>
      <c r="E36" s="28" t="s">
        <v>56</v>
      </c>
      <c r="F36" s="28" t="s">
        <v>70</v>
      </c>
      <c r="G36" s="28" t="s">
        <v>71</v>
      </c>
      <c r="H36" s="29">
        <v>70</v>
      </c>
      <c r="I36" s="29">
        <v>7000</v>
      </c>
      <c r="J36" s="33">
        <v>0.01</v>
      </c>
      <c r="K36" s="34">
        <v>49</v>
      </c>
      <c r="L36" s="34">
        <v>0.7</v>
      </c>
      <c r="M36" s="28" t="s">
        <v>59</v>
      </c>
      <c r="N36" s="29">
        <f>INT(tblAD[[#This Row],[Clicks]]*tblAD[[#This Row],[1-day Conversion Rate]])</f>
        <v>14</v>
      </c>
      <c r="O36" s="35">
        <f>10*tblAD[[#This Row],[1-day Orders Placed ('#)]]</f>
        <v>140</v>
      </c>
      <c r="P36" s="33">
        <v>0.2</v>
      </c>
      <c r="Q36" s="29">
        <v>14</v>
      </c>
      <c r="R36" s="29">
        <v>0</v>
      </c>
      <c r="S36" s="35">
        <v>140</v>
      </c>
      <c r="T36" s="35">
        <v>0</v>
      </c>
      <c r="U36" s="29">
        <v>18</v>
      </c>
      <c r="V36" s="35">
        <v>180</v>
      </c>
      <c r="W36" s="33">
        <v>0.25</v>
      </c>
      <c r="X36" s="29">
        <v>0</v>
      </c>
      <c r="Y36" s="29">
        <v>0</v>
      </c>
      <c r="Z36" s="35">
        <v>0</v>
      </c>
      <c r="AA36" s="35">
        <v>0</v>
      </c>
      <c r="AB36" s="29">
        <v>21</v>
      </c>
      <c r="AC36" s="35">
        <v>210</v>
      </c>
      <c r="AD36" s="33">
        <v>0.3</v>
      </c>
      <c r="AE36" s="29">
        <v>0</v>
      </c>
      <c r="AF36" s="29">
        <v>0</v>
      </c>
      <c r="AG36" s="35">
        <v>0</v>
      </c>
      <c r="AH36" s="35">
        <v>0</v>
      </c>
      <c r="AI36" s="37" t="str">
        <f>VLOOKUP(tblAD[[#This Row],[Advertised SKU]],tblProduct[SKU]:tblProduct[Name],2,FALSE)</f>
        <v>产品B</v>
      </c>
      <c r="AJ36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6" s="38">
        <f>DATE(MID(tblAD[[#This Row],[Start Date]],7,4),LEFT(tblAD[[#This Row],[Start Date]],2),MID(tblAD[[#This Row],[Start Date]],4,2))</f>
        <v>43099</v>
      </c>
      <c r="AL36" s="39" t="str">
        <f>YEAR(tblAD[[#This Row],[ADDate]])&amp;"/"&amp;MONTH(tblAD[[#This Row],[ADDate]])</f>
        <v>2017/12</v>
      </c>
    </row>
    <row r="37" spans="1:38" s="19" customFormat="1" ht="14">
      <c r="A37" s="28" t="s">
        <v>64</v>
      </c>
      <c r="B37" s="28" t="s">
        <v>65</v>
      </c>
      <c r="C37" s="28" t="s">
        <v>12</v>
      </c>
      <c r="D37" s="28" t="s">
        <v>63</v>
      </c>
      <c r="E37" s="28" t="s">
        <v>56</v>
      </c>
      <c r="F37" s="28" t="s">
        <v>70</v>
      </c>
      <c r="G37" s="28" t="s">
        <v>71</v>
      </c>
      <c r="H37" s="29">
        <v>70</v>
      </c>
      <c r="I37" s="29">
        <v>7000</v>
      </c>
      <c r="J37" s="33">
        <v>0.01</v>
      </c>
      <c r="K37" s="34">
        <v>112</v>
      </c>
      <c r="L37" s="34">
        <v>1.6</v>
      </c>
      <c r="M37" s="28" t="s">
        <v>59</v>
      </c>
      <c r="N37" s="29">
        <f>INT(tblAD[[#This Row],[Clicks]]*tblAD[[#This Row],[1-day Conversion Rate]])</f>
        <v>14</v>
      </c>
      <c r="O37" s="35">
        <f>10*tblAD[[#This Row],[1-day Orders Placed ('#)]]</f>
        <v>140</v>
      </c>
      <c r="P37" s="33">
        <v>0.2</v>
      </c>
      <c r="Q37" s="29">
        <v>14</v>
      </c>
      <c r="R37" s="29">
        <v>0</v>
      </c>
      <c r="S37" s="35">
        <v>140</v>
      </c>
      <c r="T37" s="35">
        <v>0</v>
      </c>
      <c r="U37" s="29">
        <v>18</v>
      </c>
      <c r="V37" s="35">
        <v>180</v>
      </c>
      <c r="W37" s="33">
        <v>0.25</v>
      </c>
      <c r="X37" s="29">
        <v>0</v>
      </c>
      <c r="Y37" s="29">
        <v>0</v>
      </c>
      <c r="Z37" s="35">
        <v>0</v>
      </c>
      <c r="AA37" s="35">
        <v>0</v>
      </c>
      <c r="AB37" s="29">
        <v>21</v>
      </c>
      <c r="AC37" s="35">
        <v>210</v>
      </c>
      <c r="AD37" s="33">
        <v>0.3</v>
      </c>
      <c r="AE37" s="29">
        <v>0</v>
      </c>
      <c r="AF37" s="29">
        <v>0</v>
      </c>
      <c r="AG37" s="35">
        <v>0</v>
      </c>
      <c r="AH37" s="35">
        <v>0</v>
      </c>
      <c r="AI37" s="37" t="str">
        <f>VLOOKUP(tblAD[[#This Row],[Advertised SKU]],tblProduct[SKU]:tblProduct[Name],2,FALSE)</f>
        <v>产品B</v>
      </c>
      <c r="AJ37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7" s="38">
        <f>DATE(MID(tblAD[[#This Row],[Start Date]],7,4),LEFT(tblAD[[#This Row],[Start Date]],2),MID(tblAD[[#This Row],[Start Date]],4,2))</f>
        <v>43099</v>
      </c>
      <c r="AL37" s="39" t="str">
        <f>YEAR(tblAD[[#This Row],[ADDate]])&amp;"/"&amp;MONTH(tblAD[[#This Row],[ADDate]])</f>
        <v>2017/12</v>
      </c>
    </row>
    <row r="38" spans="1:38" s="19" customFormat="1" ht="14">
      <c r="A38" s="28" t="s">
        <v>64</v>
      </c>
      <c r="B38" s="28" t="s">
        <v>65</v>
      </c>
      <c r="C38" s="28" t="s">
        <v>12</v>
      </c>
      <c r="D38" s="28" t="s">
        <v>66</v>
      </c>
      <c r="E38" s="28" t="s">
        <v>56</v>
      </c>
      <c r="F38" s="28" t="s">
        <v>70</v>
      </c>
      <c r="G38" s="28" t="s">
        <v>71</v>
      </c>
      <c r="H38" s="29">
        <v>70</v>
      </c>
      <c r="I38" s="29">
        <v>7000</v>
      </c>
      <c r="J38" s="33">
        <v>0.01</v>
      </c>
      <c r="K38" s="34">
        <v>105</v>
      </c>
      <c r="L38" s="34">
        <v>1.5</v>
      </c>
      <c r="M38" s="28" t="s">
        <v>59</v>
      </c>
      <c r="N38" s="29">
        <f>INT(tblAD[[#This Row],[Clicks]]*tblAD[[#This Row],[1-day Conversion Rate]])</f>
        <v>14</v>
      </c>
      <c r="O38" s="35">
        <f>10*tblAD[[#This Row],[1-day Orders Placed ('#)]]</f>
        <v>140</v>
      </c>
      <c r="P38" s="33">
        <v>0.2</v>
      </c>
      <c r="Q38" s="29">
        <v>14</v>
      </c>
      <c r="R38" s="29">
        <v>0</v>
      </c>
      <c r="S38" s="35">
        <v>140</v>
      </c>
      <c r="T38" s="35">
        <v>0</v>
      </c>
      <c r="U38" s="29">
        <v>18</v>
      </c>
      <c r="V38" s="35">
        <v>180</v>
      </c>
      <c r="W38" s="33">
        <v>0.25</v>
      </c>
      <c r="X38" s="29">
        <v>0</v>
      </c>
      <c r="Y38" s="29">
        <v>0</v>
      </c>
      <c r="Z38" s="35">
        <v>0</v>
      </c>
      <c r="AA38" s="35">
        <v>0</v>
      </c>
      <c r="AB38" s="29">
        <v>21</v>
      </c>
      <c r="AC38" s="35">
        <v>210</v>
      </c>
      <c r="AD38" s="33">
        <v>0.3</v>
      </c>
      <c r="AE38" s="29">
        <v>0</v>
      </c>
      <c r="AF38" s="29">
        <v>0</v>
      </c>
      <c r="AG38" s="35">
        <v>0</v>
      </c>
      <c r="AH38" s="35">
        <v>0</v>
      </c>
      <c r="AI38" s="37" t="str">
        <f>VLOOKUP(tblAD[[#This Row],[Advertised SKU]],tblProduct[SKU]:tblProduct[Name],2,FALSE)</f>
        <v>产品B</v>
      </c>
      <c r="AJ38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8" s="38">
        <f>DATE(MID(tblAD[[#This Row],[Start Date]],7,4),LEFT(tblAD[[#This Row],[Start Date]],2),MID(tblAD[[#This Row],[Start Date]],4,2))</f>
        <v>43099</v>
      </c>
      <c r="AL38" s="39" t="str">
        <f>YEAR(tblAD[[#This Row],[ADDate]])&amp;"/"&amp;MONTH(tblAD[[#This Row],[ADDate]])</f>
        <v>2017/12</v>
      </c>
    </row>
    <row r="39" spans="1:38" s="19" customFormat="1" ht="14">
      <c r="A39" s="28" t="s">
        <v>64</v>
      </c>
      <c r="B39" s="28" t="s">
        <v>65</v>
      </c>
      <c r="C39" s="28" t="s">
        <v>12</v>
      </c>
      <c r="D39" s="28" t="s">
        <v>67</v>
      </c>
      <c r="E39" s="28" t="s">
        <v>56</v>
      </c>
      <c r="F39" s="28" t="s">
        <v>70</v>
      </c>
      <c r="G39" s="28" t="s">
        <v>71</v>
      </c>
      <c r="H39" s="29">
        <v>70</v>
      </c>
      <c r="I39" s="29">
        <v>7000</v>
      </c>
      <c r="J39" s="33">
        <v>0.01</v>
      </c>
      <c r="K39" s="34">
        <v>91</v>
      </c>
      <c r="L39" s="34">
        <v>1.3</v>
      </c>
      <c r="M39" s="28" t="s">
        <v>59</v>
      </c>
      <c r="N39" s="29">
        <f>INT(tblAD[[#This Row],[Clicks]]*tblAD[[#This Row],[1-day Conversion Rate]])</f>
        <v>14</v>
      </c>
      <c r="O39" s="35">
        <f>10*tblAD[[#This Row],[1-day Orders Placed ('#)]]</f>
        <v>140</v>
      </c>
      <c r="P39" s="33">
        <v>0.2</v>
      </c>
      <c r="Q39" s="29">
        <v>14</v>
      </c>
      <c r="R39" s="29">
        <v>0</v>
      </c>
      <c r="S39" s="35">
        <v>140</v>
      </c>
      <c r="T39" s="35">
        <v>0</v>
      </c>
      <c r="U39" s="29">
        <v>18</v>
      </c>
      <c r="V39" s="35">
        <v>180</v>
      </c>
      <c r="W39" s="33">
        <v>0.25</v>
      </c>
      <c r="X39" s="29">
        <v>0</v>
      </c>
      <c r="Y39" s="29">
        <v>0</v>
      </c>
      <c r="Z39" s="35">
        <v>0</v>
      </c>
      <c r="AA39" s="35">
        <v>0</v>
      </c>
      <c r="AB39" s="29">
        <v>21</v>
      </c>
      <c r="AC39" s="35">
        <v>210</v>
      </c>
      <c r="AD39" s="33">
        <v>0.3</v>
      </c>
      <c r="AE39" s="29">
        <v>0</v>
      </c>
      <c r="AF39" s="29">
        <v>0</v>
      </c>
      <c r="AG39" s="35">
        <v>0</v>
      </c>
      <c r="AH39" s="35">
        <v>0</v>
      </c>
      <c r="AI39" s="37" t="str">
        <f>VLOOKUP(tblAD[[#This Row],[Advertised SKU]],tblProduct[SKU]:tblProduct[Name],2,FALSE)</f>
        <v>产品B</v>
      </c>
      <c r="AJ39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39" s="38">
        <f>DATE(MID(tblAD[[#This Row],[Start Date]],7,4),LEFT(tblAD[[#This Row],[Start Date]],2),MID(tblAD[[#This Row],[Start Date]],4,2))</f>
        <v>43099</v>
      </c>
      <c r="AL39" s="39" t="str">
        <f>YEAR(tblAD[[#This Row],[ADDate]])&amp;"/"&amp;MONTH(tblAD[[#This Row],[ADDate]])</f>
        <v>2017/12</v>
      </c>
    </row>
    <row r="40" spans="1:38" s="19" customFormat="1" ht="14">
      <c r="A40" s="28" t="s">
        <v>64</v>
      </c>
      <c r="B40" s="28" t="s">
        <v>65</v>
      </c>
      <c r="C40" s="28" t="s">
        <v>12</v>
      </c>
      <c r="D40" s="28" t="s">
        <v>55</v>
      </c>
      <c r="E40" s="28" t="s">
        <v>56</v>
      </c>
      <c r="F40" s="28" t="s">
        <v>71</v>
      </c>
      <c r="G40" s="28" t="s">
        <v>72</v>
      </c>
      <c r="H40" s="29">
        <v>70</v>
      </c>
      <c r="I40" s="29">
        <v>7000</v>
      </c>
      <c r="J40" s="33">
        <v>0.01</v>
      </c>
      <c r="K40" s="34">
        <v>119</v>
      </c>
      <c r="L40" s="34">
        <v>1.7</v>
      </c>
      <c r="M40" s="28" t="s">
        <v>59</v>
      </c>
      <c r="N40" s="29">
        <f>INT(tblAD[[#This Row],[Clicks]]*tblAD[[#This Row],[1-day Conversion Rate]])</f>
        <v>14</v>
      </c>
      <c r="O40" s="35">
        <f>10*tblAD[[#This Row],[1-day Orders Placed ('#)]]</f>
        <v>140</v>
      </c>
      <c r="P40" s="33">
        <v>0.2</v>
      </c>
      <c r="Q40" s="29">
        <v>14</v>
      </c>
      <c r="R40" s="29">
        <v>0</v>
      </c>
      <c r="S40" s="35">
        <v>140</v>
      </c>
      <c r="T40" s="35">
        <v>0</v>
      </c>
      <c r="U40" s="29">
        <v>18</v>
      </c>
      <c r="V40" s="35">
        <v>180</v>
      </c>
      <c r="W40" s="33">
        <v>0.25</v>
      </c>
      <c r="X40" s="29">
        <v>0</v>
      </c>
      <c r="Y40" s="29">
        <v>0</v>
      </c>
      <c r="Z40" s="35">
        <v>0</v>
      </c>
      <c r="AA40" s="35">
        <v>0</v>
      </c>
      <c r="AB40" s="29">
        <v>21</v>
      </c>
      <c r="AC40" s="35">
        <v>210</v>
      </c>
      <c r="AD40" s="33">
        <v>0.3</v>
      </c>
      <c r="AE40" s="29">
        <v>0</v>
      </c>
      <c r="AF40" s="29">
        <v>0</v>
      </c>
      <c r="AG40" s="35">
        <v>0</v>
      </c>
      <c r="AH40" s="35">
        <v>0</v>
      </c>
      <c r="AI40" s="37" t="str">
        <f>VLOOKUP(tblAD[[#This Row],[Advertised SKU]],tblProduct[SKU]:tblProduct[Name],2,FALSE)</f>
        <v>产品B</v>
      </c>
      <c r="AJ40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40" s="38">
        <f>DATE(MID(tblAD[[#This Row],[Start Date]],7,4),LEFT(tblAD[[#This Row],[Start Date]],2),MID(tblAD[[#This Row],[Start Date]],4,2))</f>
        <v>43100</v>
      </c>
      <c r="AL40" s="39" t="str">
        <f>YEAR(tblAD[[#This Row],[ADDate]])&amp;"/"&amp;MONTH(tblAD[[#This Row],[ADDate]])</f>
        <v>2017/12</v>
      </c>
    </row>
    <row r="41" spans="1:38" s="19" customFormat="1" ht="14">
      <c r="A41" s="28" t="s">
        <v>64</v>
      </c>
      <c r="B41" s="28" t="s">
        <v>65</v>
      </c>
      <c r="C41" s="28" t="s">
        <v>12</v>
      </c>
      <c r="D41" s="28" t="s">
        <v>61</v>
      </c>
      <c r="E41" s="28" t="s">
        <v>56</v>
      </c>
      <c r="F41" s="28" t="s">
        <v>71</v>
      </c>
      <c r="G41" s="28" t="s">
        <v>72</v>
      </c>
      <c r="H41" s="29">
        <v>70</v>
      </c>
      <c r="I41" s="29">
        <v>7000</v>
      </c>
      <c r="J41" s="33">
        <v>0.01</v>
      </c>
      <c r="K41" s="34">
        <v>147</v>
      </c>
      <c r="L41" s="34">
        <v>2.1</v>
      </c>
      <c r="M41" s="28" t="s">
        <v>59</v>
      </c>
      <c r="N41" s="29">
        <f>INT(tblAD[[#This Row],[Clicks]]*tblAD[[#This Row],[1-day Conversion Rate]])</f>
        <v>14</v>
      </c>
      <c r="O41" s="35">
        <f>10*tblAD[[#This Row],[1-day Orders Placed ('#)]]</f>
        <v>140</v>
      </c>
      <c r="P41" s="33">
        <v>0.2</v>
      </c>
      <c r="Q41" s="29">
        <v>14</v>
      </c>
      <c r="R41" s="29">
        <v>0</v>
      </c>
      <c r="S41" s="35">
        <v>140</v>
      </c>
      <c r="T41" s="35">
        <v>0</v>
      </c>
      <c r="U41" s="29">
        <v>18</v>
      </c>
      <c r="V41" s="35">
        <v>180</v>
      </c>
      <c r="W41" s="33">
        <v>0.25</v>
      </c>
      <c r="X41" s="29">
        <v>0</v>
      </c>
      <c r="Y41" s="29">
        <v>0</v>
      </c>
      <c r="Z41" s="35">
        <v>0</v>
      </c>
      <c r="AA41" s="35">
        <v>0</v>
      </c>
      <c r="AB41" s="29">
        <v>21</v>
      </c>
      <c r="AC41" s="35">
        <v>210</v>
      </c>
      <c r="AD41" s="33">
        <v>0.3</v>
      </c>
      <c r="AE41" s="29">
        <v>0</v>
      </c>
      <c r="AF41" s="29">
        <v>0</v>
      </c>
      <c r="AG41" s="35">
        <v>0</v>
      </c>
      <c r="AH41" s="35">
        <v>0</v>
      </c>
      <c r="AI41" s="37" t="str">
        <f>VLOOKUP(tblAD[[#This Row],[Advertised SKU]],tblProduct[SKU]:tblProduct[Name],2,FALSE)</f>
        <v>产品B</v>
      </c>
      <c r="AJ41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41" s="38">
        <f>DATE(MID(tblAD[[#This Row],[Start Date]],7,4),LEFT(tblAD[[#This Row],[Start Date]],2),MID(tblAD[[#This Row],[Start Date]],4,2))</f>
        <v>43100</v>
      </c>
      <c r="AL41" s="39" t="str">
        <f>YEAR(tblAD[[#This Row],[ADDate]])&amp;"/"&amp;MONTH(tblAD[[#This Row],[ADDate]])</f>
        <v>2017/12</v>
      </c>
    </row>
    <row r="42" spans="1:38" s="19" customFormat="1" ht="14">
      <c r="A42" s="28" t="s">
        <v>64</v>
      </c>
      <c r="B42" s="28" t="s">
        <v>65</v>
      </c>
      <c r="C42" s="28" t="s">
        <v>12</v>
      </c>
      <c r="D42" s="28" t="s">
        <v>63</v>
      </c>
      <c r="E42" s="28" t="s">
        <v>56</v>
      </c>
      <c r="F42" s="28" t="s">
        <v>71</v>
      </c>
      <c r="G42" s="28" t="s">
        <v>72</v>
      </c>
      <c r="H42" s="29">
        <v>70</v>
      </c>
      <c r="I42" s="29">
        <v>7000</v>
      </c>
      <c r="J42" s="33">
        <v>0.01</v>
      </c>
      <c r="K42" s="34">
        <v>56</v>
      </c>
      <c r="L42" s="34">
        <v>0.8</v>
      </c>
      <c r="M42" s="28" t="s">
        <v>59</v>
      </c>
      <c r="N42" s="29">
        <f>INT(tblAD[[#This Row],[Clicks]]*tblAD[[#This Row],[1-day Conversion Rate]])</f>
        <v>14</v>
      </c>
      <c r="O42" s="35">
        <f>10*tblAD[[#This Row],[1-day Orders Placed ('#)]]</f>
        <v>140</v>
      </c>
      <c r="P42" s="33">
        <v>0.2</v>
      </c>
      <c r="Q42" s="29">
        <v>14</v>
      </c>
      <c r="R42" s="29">
        <v>0</v>
      </c>
      <c r="S42" s="35">
        <v>140</v>
      </c>
      <c r="T42" s="35">
        <v>0</v>
      </c>
      <c r="U42" s="29">
        <v>18</v>
      </c>
      <c r="V42" s="35">
        <v>180</v>
      </c>
      <c r="W42" s="33">
        <v>0.25</v>
      </c>
      <c r="X42" s="29">
        <v>0</v>
      </c>
      <c r="Y42" s="29">
        <v>0</v>
      </c>
      <c r="Z42" s="35">
        <v>0</v>
      </c>
      <c r="AA42" s="35">
        <v>0</v>
      </c>
      <c r="AB42" s="29">
        <v>21</v>
      </c>
      <c r="AC42" s="35">
        <v>210</v>
      </c>
      <c r="AD42" s="33">
        <v>0.3</v>
      </c>
      <c r="AE42" s="29">
        <v>0</v>
      </c>
      <c r="AF42" s="29">
        <v>0</v>
      </c>
      <c r="AG42" s="35">
        <v>0</v>
      </c>
      <c r="AH42" s="35">
        <v>0</v>
      </c>
      <c r="AI42" s="37" t="str">
        <f>VLOOKUP(tblAD[[#This Row],[Advertised SKU]],tblProduct[SKU]:tblProduct[Name],2,FALSE)</f>
        <v>产品B</v>
      </c>
      <c r="AJ42" s="37" t="str">
        <f>IF(ISNA(VLOOKUP(tblAD[[#This Row],[Advertised SKU]],tblProduct[SKU]:tblProduct[ASIN1],3,FALSE)),tblAD[[#This Row],[Advertised SKU]],VLOOKUP(tblAD[[#This Row],[Advertised SKU]],tblProduct[SKU]:tblProduct[ASIN1],3,FALSE))</f>
        <v>B000020002</v>
      </c>
      <c r="AK42" s="38">
        <f>DATE(MID(tblAD[[#This Row],[Start Date]],7,4),LEFT(tblAD[[#This Row],[Start Date]],2),MID(tblAD[[#This Row],[Start Date]],4,2))</f>
        <v>43100</v>
      </c>
      <c r="AL42" s="39" t="str">
        <f>YEAR(tblAD[[#This Row],[ADDate]])&amp;"/"&amp;MONTH(tblAD[[#This Row],[ADDate]])</f>
        <v>2017/12</v>
      </c>
    </row>
  </sheetData>
  <mergeCells count="2">
    <mergeCell ref="AI1:AJ1"/>
    <mergeCell ref="AK1:AL1"/>
  </mergeCells>
  <phoneticPr fontId="25" type="noConversion"/>
  <pageMargins left="0.7" right="0.7" top="0.75" bottom="0.75" header="0.3" footer="0.3"/>
  <pageSetup paperSize="9" orientation="portrait"/>
  <legacyDrawing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U5416"/>
  <sheetViews>
    <sheetView workbookViewId="0">
      <selection activeCell="X25" sqref="X25"/>
    </sheetView>
  </sheetViews>
  <sheetFormatPr baseColWidth="10" defaultColWidth="9" defaultRowHeight="14" x14ac:dyDescent="0"/>
  <cols>
    <col min="1" max="1" width="14.6640625" style="6" customWidth="1"/>
    <col min="2" max="2" width="8" style="6" customWidth="1"/>
    <col min="3" max="3" width="4.83203125" style="6" customWidth="1"/>
    <col min="4" max="4" width="6.5" style="6" customWidth="1"/>
    <col min="5" max="5" width="8.5" style="6" customWidth="1"/>
    <col min="6" max="6" width="8.33203125" style="6" customWidth="1"/>
    <col min="7" max="7" width="6.5" style="6" customWidth="1"/>
    <col min="8" max="8" width="8.5" style="6" customWidth="1"/>
    <col min="9" max="9" width="6.6640625" style="6" customWidth="1"/>
    <col min="10" max="12" width="6.5" style="6" customWidth="1"/>
    <col min="13" max="13" width="8.5" style="6" customWidth="1"/>
    <col min="14" max="14" width="6.6640625" style="7" customWidth="1"/>
    <col min="15" max="17" width="6.5" style="7" customWidth="1"/>
    <col min="18" max="18" width="8.5" style="7" customWidth="1"/>
    <col min="19" max="19" width="6.6640625" style="7" customWidth="1"/>
    <col min="20" max="23" width="8.33203125" style="7" customWidth="1"/>
    <col min="24" max="25" width="10" style="7" customWidth="1"/>
    <col min="26" max="26" width="21" style="7" customWidth="1"/>
    <col min="27" max="27" width="16.6640625" style="7" customWidth="1"/>
    <col min="28" max="28" width="12.83203125" style="7" customWidth="1"/>
    <col min="29" max="29" width="16.5" style="7" customWidth="1"/>
    <col min="30" max="30" width="11.83203125" style="7" customWidth="1"/>
    <col min="31" max="31" width="6.1640625" style="7" customWidth="1"/>
    <col min="32" max="32" width="8.33203125" style="7" customWidth="1"/>
    <col min="33" max="33" width="18" style="7" customWidth="1"/>
    <col min="34" max="34" width="10" style="7" customWidth="1"/>
    <col min="35" max="35" width="14" style="7" customWidth="1"/>
    <col min="36" max="36" width="13.1640625" style="7" customWidth="1"/>
    <col min="37" max="37" width="9.1640625" style="7" customWidth="1"/>
    <col min="38" max="38" width="11.1640625" style="7" customWidth="1"/>
    <col min="39" max="39" width="14.83203125" style="7" customWidth="1"/>
    <col min="40" max="40" width="16" style="7" customWidth="1"/>
    <col min="41" max="41" width="12.33203125" style="7" customWidth="1"/>
    <col min="42" max="42" width="8" style="7" customWidth="1"/>
    <col min="43" max="43" width="16" style="7" customWidth="1"/>
    <col min="44" max="44" width="14.5" style="7" customWidth="1"/>
    <col min="45" max="45" width="14" style="7" customWidth="1"/>
    <col min="46" max="46" width="11" style="7" customWidth="1"/>
    <col min="47" max="47" width="15.6640625" style="7" customWidth="1"/>
    <col min="48" max="48" width="7.6640625" style="7" customWidth="1"/>
    <col min="49" max="49" width="14.6640625" style="7" customWidth="1"/>
    <col min="50" max="50" width="13.1640625" style="7" customWidth="1"/>
    <col min="51" max="51" width="10.83203125" style="7" customWidth="1"/>
    <col min="52" max="52" width="16" style="7" customWidth="1"/>
    <col min="53" max="53" width="15" style="7" customWidth="1"/>
    <col min="54" max="54" width="13.1640625" style="7" customWidth="1"/>
    <col min="55" max="55" width="13" style="7" customWidth="1"/>
    <col min="56" max="56" width="14" style="7" customWidth="1"/>
    <col min="57" max="57" width="13.33203125" style="7" customWidth="1"/>
    <col min="58" max="58" width="16.5" style="7" customWidth="1"/>
    <col min="59" max="59" width="17" style="7" customWidth="1"/>
    <col min="60" max="60" width="22.6640625" style="7" customWidth="1"/>
    <col min="61" max="61" width="12.33203125" style="7" customWidth="1"/>
    <col min="62" max="62" width="14" style="7" customWidth="1"/>
    <col min="63" max="63" width="11.83203125" style="7" customWidth="1"/>
    <col min="64" max="64" width="8" style="7" customWidth="1"/>
    <col min="65" max="65" width="21" style="7" customWidth="1"/>
    <col min="66" max="66" width="15.83203125" style="7" customWidth="1"/>
    <col min="67" max="67" width="14" style="7" customWidth="1"/>
    <col min="68" max="68" width="15.5" style="7" customWidth="1"/>
    <col min="69" max="69" width="13.1640625" style="7" customWidth="1"/>
    <col min="70" max="70" width="14.83203125" style="7" customWidth="1"/>
    <col min="71" max="71" width="18.83203125" style="7" customWidth="1"/>
    <col min="72" max="72" width="15.5" style="7" customWidth="1"/>
    <col min="73" max="73" width="10.83203125" style="7" customWidth="1"/>
    <col min="74" max="74" width="14" style="7" customWidth="1"/>
    <col min="75" max="75" width="19" style="7" customWidth="1"/>
    <col min="76" max="76" width="16.33203125" style="7" customWidth="1"/>
    <col min="77" max="77" width="22.5" style="7" customWidth="1"/>
    <col min="78" max="78" width="16.1640625" style="7" customWidth="1"/>
    <col min="79" max="79" width="22.5" style="7" customWidth="1"/>
    <col min="80" max="80" width="10.83203125" style="7" customWidth="1"/>
    <col min="81" max="81" width="12.5" style="7" customWidth="1"/>
    <col min="82" max="82" width="14.1640625" style="7" customWidth="1"/>
    <col min="83" max="83" width="9" style="7" customWidth="1"/>
    <col min="84" max="84" width="20.33203125" style="7" customWidth="1"/>
    <col min="85" max="85" width="15.5" style="7" customWidth="1"/>
    <col min="86" max="86" width="12.5" style="7" customWidth="1"/>
    <col min="87" max="87" width="10.5" style="7" customWidth="1"/>
    <col min="88" max="88" width="13.5" style="7" customWidth="1"/>
    <col min="89" max="89" width="14.5" style="7" customWidth="1"/>
    <col min="90" max="90" width="15.33203125" style="7" customWidth="1"/>
    <col min="91" max="91" width="21.6640625" style="7" customWidth="1"/>
    <col min="92" max="92" width="21" style="7" customWidth="1"/>
    <col min="93" max="93" width="12.5" style="7" customWidth="1"/>
    <col min="94" max="94" width="18" style="7" customWidth="1"/>
    <col min="95" max="95" width="13.5" style="7" customWidth="1"/>
    <col min="96" max="96" width="19.5" style="7" customWidth="1"/>
    <col min="97" max="97" width="16.6640625" style="7" customWidth="1"/>
    <col min="98" max="98" width="4.6640625" style="7" customWidth="1"/>
    <col min="99" max="99" width="20.83203125" style="7" customWidth="1"/>
    <col min="100" max="100" width="4.6640625" style="7" customWidth="1"/>
    <col min="101" max="101" width="17.1640625" style="7" customWidth="1"/>
    <col min="102" max="102" width="8.5" style="7" customWidth="1"/>
    <col min="103" max="103" width="11.33203125" style="7" customWidth="1"/>
    <col min="104" max="104" width="15.33203125" style="7" customWidth="1"/>
    <col min="105" max="105" width="14.5" style="7" customWidth="1"/>
    <col min="106" max="106" width="8.6640625" style="7" customWidth="1"/>
    <col min="107" max="107" width="16.6640625" style="7" customWidth="1"/>
    <col min="108" max="108" width="6.5" style="7" customWidth="1"/>
    <col min="109" max="109" width="11.33203125" style="7" customWidth="1"/>
    <col min="110" max="110" width="14.5" style="7" customWidth="1"/>
    <col min="111" max="111" width="17.83203125" style="7" customWidth="1"/>
    <col min="112" max="112" width="9.33203125" style="7" customWidth="1"/>
    <col min="113" max="113" width="13.33203125" style="7" customWidth="1"/>
    <col min="114" max="114" width="4.6640625" style="7" customWidth="1"/>
    <col min="115" max="115" width="7.6640625" style="7" customWidth="1"/>
    <col min="116" max="116" width="8.5" style="7" customWidth="1"/>
    <col min="117" max="117" width="14.6640625" style="7" customWidth="1"/>
    <col min="118" max="118" width="11.33203125" style="7" customWidth="1"/>
    <col min="119" max="119" width="10.5" style="7" customWidth="1"/>
    <col min="120" max="120" width="17.83203125" style="7" customWidth="1"/>
    <col min="121" max="121" width="12" style="7" customWidth="1"/>
    <col min="122" max="122" width="21" style="7" customWidth="1"/>
    <col min="123" max="123" width="16.6640625" style="7" customWidth="1"/>
    <col min="124" max="124" width="12.83203125" style="7" customWidth="1"/>
    <col min="125" max="125" width="16.5" style="7" customWidth="1"/>
    <col min="126" max="126" width="11.83203125" style="7" customWidth="1"/>
    <col min="127" max="127" width="6.1640625" style="7" customWidth="1"/>
    <col min="128" max="128" width="8.33203125" style="7" customWidth="1"/>
    <col min="129" max="129" width="18" style="7" customWidth="1"/>
    <col min="130" max="130" width="10" style="7" customWidth="1"/>
    <col min="131" max="131" width="14" style="7" customWidth="1"/>
    <col min="132" max="132" width="13.1640625" style="7" customWidth="1"/>
    <col min="133" max="133" width="9.1640625" style="7" customWidth="1"/>
    <col min="134" max="134" width="11.1640625" style="7" customWidth="1"/>
    <col min="135" max="135" width="14.83203125" style="7" customWidth="1"/>
    <col min="136" max="136" width="16" style="7" customWidth="1"/>
    <col min="137" max="137" width="12.33203125" style="7" customWidth="1"/>
    <col min="138" max="138" width="8" style="7" customWidth="1"/>
    <col min="139" max="139" width="16" style="7" customWidth="1"/>
    <col min="140" max="140" width="14.5" style="7" customWidth="1"/>
    <col min="141" max="141" width="14" style="7" customWidth="1"/>
    <col min="142" max="142" width="11" style="7" customWidth="1"/>
    <col min="143" max="143" width="15.6640625" style="7" customWidth="1"/>
    <col min="144" max="144" width="7.6640625" style="7" customWidth="1"/>
    <col min="145" max="145" width="14.6640625" style="7" customWidth="1"/>
    <col min="146" max="146" width="13.1640625" style="7" customWidth="1"/>
    <col min="147" max="147" width="10.83203125" style="7" customWidth="1"/>
    <col min="148" max="148" width="16" style="7" customWidth="1"/>
    <col min="149" max="149" width="15" style="7" customWidth="1"/>
    <col min="150" max="150" width="13.1640625" style="7" customWidth="1"/>
    <col min="151" max="151" width="13" style="7" customWidth="1"/>
    <col min="152" max="152" width="14" style="7" customWidth="1"/>
    <col min="153" max="153" width="13.33203125" style="7" customWidth="1"/>
    <col min="154" max="154" width="16.5" style="7" customWidth="1"/>
    <col min="155" max="155" width="17" style="7" customWidth="1"/>
    <col min="156" max="156" width="22.6640625" style="7" customWidth="1"/>
    <col min="157" max="157" width="12.33203125" style="7" customWidth="1"/>
    <col min="158" max="158" width="14" style="7" customWidth="1"/>
    <col min="159" max="159" width="11.83203125" style="7" customWidth="1"/>
    <col min="160" max="160" width="8" style="7" customWidth="1"/>
    <col min="161" max="161" width="21" style="7" customWidth="1"/>
    <col min="162" max="162" width="15.83203125" style="7" customWidth="1"/>
    <col min="163" max="163" width="14" style="7" customWidth="1"/>
    <col min="164" max="164" width="15.5" style="7" customWidth="1"/>
    <col min="165" max="165" width="13.1640625" style="7" customWidth="1"/>
    <col min="166" max="166" width="14.83203125" style="7" customWidth="1"/>
    <col min="167" max="167" width="18.83203125" style="7" customWidth="1"/>
    <col min="168" max="168" width="15.5" style="7" customWidth="1"/>
    <col min="169" max="169" width="10.83203125" style="7" customWidth="1"/>
    <col min="170" max="170" width="14" style="7" customWidth="1"/>
    <col min="171" max="171" width="19" style="7" customWidth="1"/>
    <col min="172" max="172" width="16.33203125" style="7" customWidth="1"/>
    <col min="173" max="173" width="22.5" style="7" customWidth="1"/>
    <col min="174" max="174" width="16.1640625" style="7" customWidth="1"/>
    <col min="175" max="175" width="22.5" style="7" customWidth="1"/>
    <col min="176" max="176" width="10.83203125" style="7" customWidth="1"/>
    <col min="177" max="177" width="12.5" style="7" customWidth="1"/>
    <col min="178" max="178" width="14.1640625" style="7" customWidth="1"/>
    <col min="179" max="179" width="9" style="7" customWidth="1"/>
    <col min="180" max="180" width="20.33203125" style="7" customWidth="1"/>
    <col min="181" max="181" width="15.5" style="7" customWidth="1"/>
    <col min="182" max="182" width="12.5" style="7" customWidth="1"/>
    <col min="183" max="183" width="10.5" style="7" customWidth="1"/>
    <col min="184" max="184" width="13.5" style="7" customWidth="1"/>
    <col min="185" max="185" width="14.5" style="7" customWidth="1"/>
    <col min="186" max="186" width="15.33203125" style="7" customWidth="1"/>
    <col min="187" max="187" width="21.6640625" style="7" customWidth="1"/>
    <col min="188" max="188" width="21" style="7" customWidth="1"/>
    <col min="189" max="189" width="12.5" style="7" customWidth="1"/>
    <col min="190" max="190" width="18" style="7" customWidth="1"/>
    <col min="191" max="191" width="13.5" style="7" customWidth="1"/>
    <col min="192" max="192" width="19.5" style="7" customWidth="1"/>
    <col min="193" max="193" width="16.6640625" style="7" customWidth="1"/>
    <col min="194" max="194" width="6.5" style="7" customWidth="1"/>
    <col min="195" max="195" width="20.83203125" style="7" customWidth="1"/>
    <col min="196" max="196" width="5.6640625" style="7" customWidth="1"/>
    <col min="197" max="197" width="17.1640625" style="7" customWidth="1"/>
    <col min="198" max="198" width="8.5" style="7" customWidth="1"/>
    <col min="199" max="199" width="11.33203125" style="7" customWidth="1"/>
    <col min="200" max="200" width="15.33203125" style="7" customWidth="1"/>
    <col min="201" max="201" width="14.5" style="7" customWidth="1"/>
    <col min="202" max="202" width="8.6640625" style="7" customWidth="1"/>
    <col min="203" max="203" width="16.6640625" style="7" customWidth="1"/>
    <col min="204" max="204" width="6.5" style="7" customWidth="1"/>
    <col min="205" max="205" width="11.33203125" style="7" customWidth="1"/>
    <col min="206" max="206" width="14.5" style="7" customWidth="1"/>
    <col min="207" max="207" width="17.83203125" style="7" customWidth="1"/>
    <col min="208" max="208" width="9.33203125" style="7" customWidth="1"/>
    <col min="209" max="209" width="13.33203125" style="7" customWidth="1"/>
    <col min="210" max="210" width="5.6640625" style="7" customWidth="1"/>
    <col min="211" max="211" width="7.6640625" style="7" customWidth="1"/>
    <col min="212" max="212" width="8.5" style="7" customWidth="1"/>
    <col min="213" max="213" width="14.6640625" style="7" customWidth="1"/>
    <col min="214" max="214" width="11.33203125" style="7" customWidth="1"/>
    <col min="215" max="215" width="10.5" style="7" customWidth="1"/>
    <col min="216" max="216" width="17.83203125" style="7" customWidth="1"/>
    <col min="217" max="217" width="12" style="7" customWidth="1"/>
    <col min="218" max="218" width="21" style="7" customWidth="1"/>
    <col min="219" max="219" width="16.6640625" style="7" customWidth="1"/>
    <col min="220" max="220" width="12.83203125" style="7" customWidth="1"/>
    <col min="221" max="221" width="16.5" style="7" customWidth="1"/>
    <col min="222" max="222" width="11.83203125" style="7" customWidth="1"/>
    <col min="223" max="223" width="6.1640625" style="7" customWidth="1"/>
    <col min="224" max="224" width="8.33203125" style="7" customWidth="1"/>
    <col min="225" max="225" width="18" style="7" customWidth="1"/>
    <col min="226" max="226" width="10" style="7" customWidth="1"/>
    <col min="227" max="227" width="14" style="7" customWidth="1"/>
    <col min="228" max="228" width="13.1640625" style="7" customWidth="1"/>
    <col min="229" max="229" width="9.1640625" style="7" customWidth="1"/>
    <col min="230" max="230" width="11.1640625" style="7" customWidth="1"/>
    <col min="231" max="231" width="14.83203125" style="7" customWidth="1"/>
    <col min="232" max="232" width="16" style="7" customWidth="1"/>
    <col min="233" max="233" width="12.33203125" style="7" customWidth="1"/>
    <col min="234" max="234" width="8" style="7" customWidth="1"/>
    <col min="235" max="235" width="16" style="7" customWidth="1"/>
    <col min="236" max="236" width="14.5" style="7" customWidth="1"/>
    <col min="237" max="237" width="14" style="7" customWidth="1"/>
    <col min="238" max="238" width="11" style="7" customWidth="1"/>
    <col min="239" max="239" width="15.6640625" style="7" customWidth="1"/>
    <col min="240" max="240" width="7.6640625" style="7" customWidth="1"/>
    <col min="241" max="241" width="14.6640625" style="7" customWidth="1"/>
    <col min="242" max="242" width="13.1640625" style="7" customWidth="1"/>
    <col min="243" max="243" width="10.83203125" style="7" customWidth="1"/>
    <col min="244" max="244" width="16" style="7" customWidth="1"/>
    <col min="245" max="245" width="15" style="7" customWidth="1"/>
    <col min="246" max="246" width="13.1640625" style="7" customWidth="1"/>
    <col min="247" max="247" width="13" style="7" customWidth="1"/>
    <col min="248" max="248" width="14" style="7" customWidth="1"/>
    <col min="249" max="249" width="13.33203125" style="7" customWidth="1"/>
    <col min="250" max="250" width="16.5" style="7" customWidth="1"/>
    <col min="251" max="251" width="17" style="7" customWidth="1"/>
    <col min="252" max="252" width="22.6640625" style="7" customWidth="1"/>
    <col min="253" max="253" width="12.33203125" style="7" customWidth="1"/>
    <col min="254" max="254" width="14" style="7" customWidth="1"/>
    <col min="255" max="255" width="11.83203125" style="7" customWidth="1"/>
    <col min="256" max="256" width="8" style="7" customWidth="1"/>
    <col min="257" max="257" width="21" style="7" customWidth="1"/>
    <col min="258" max="258" width="15.83203125" style="7" customWidth="1"/>
    <col min="259" max="259" width="14" style="7" customWidth="1"/>
    <col min="260" max="260" width="15.5" style="7" customWidth="1"/>
    <col min="261" max="261" width="13.1640625" style="7" customWidth="1"/>
    <col min="262" max="262" width="14.83203125" style="7" customWidth="1"/>
    <col min="263" max="263" width="18.83203125" style="7" customWidth="1"/>
    <col min="264" max="264" width="15.5" style="7" customWidth="1"/>
    <col min="265" max="265" width="10.83203125" style="7" customWidth="1"/>
    <col min="266" max="266" width="14" style="7" customWidth="1"/>
    <col min="267" max="267" width="19" style="7" customWidth="1"/>
    <col min="268" max="268" width="16.33203125" style="7" customWidth="1"/>
    <col min="269" max="269" width="22.5" style="7" customWidth="1"/>
    <col min="270" max="270" width="16.1640625" style="7" customWidth="1"/>
    <col min="271" max="271" width="22.5" style="7" customWidth="1"/>
    <col min="272" max="272" width="10.83203125" style="7" customWidth="1"/>
    <col min="273" max="273" width="12.5" style="7" customWidth="1"/>
    <col min="274" max="274" width="14.1640625" style="7" customWidth="1"/>
    <col min="275" max="275" width="9" style="7" customWidth="1"/>
    <col min="276" max="276" width="20.33203125" style="7" customWidth="1"/>
    <col min="277" max="277" width="15.5" style="7" customWidth="1"/>
    <col min="278" max="278" width="12.5" style="7" customWidth="1"/>
    <col min="279" max="279" width="10.5" style="7" customWidth="1"/>
    <col min="280" max="280" width="13.5" style="7" customWidth="1"/>
    <col min="281" max="281" width="14.5" style="7" customWidth="1"/>
    <col min="282" max="282" width="15.33203125" style="7" customWidth="1"/>
    <col min="283" max="283" width="21.6640625" style="7" customWidth="1"/>
    <col min="284" max="284" width="21" style="7" customWidth="1"/>
    <col min="285" max="285" width="12.5" style="7" customWidth="1"/>
    <col min="286" max="286" width="18" style="7" customWidth="1"/>
    <col min="287" max="287" width="13.5" style="7" customWidth="1"/>
    <col min="288" max="288" width="19.5" style="7" customWidth="1"/>
    <col min="289" max="289" width="16.6640625" style="7" customWidth="1"/>
    <col min="290" max="290" width="6.1640625" style="7" customWidth="1"/>
    <col min="291" max="291" width="20.83203125" style="7" customWidth="1"/>
    <col min="292" max="292" width="5.33203125" style="7" customWidth="1"/>
    <col min="293" max="293" width="17.1640625" style="7" customWidth="1"/>
    <col min="294" max="294" width="8.5" style="7" customWidth="1"/>
    <col min="295" max="295" width="11.33203125" style="7" customWidth="1"/>
    <col min="296" max="296" width="15.33203125" style="7" customWidth="1"/>
    <col min="297" max="297" width="14.5" style="7" customWidth="1"/>
    <col min="298" max="298" width="8.6640625" style="7" customWidth="1"/>
    <col min="299" max="299" width="16.6640625" style="7" customWidth="1"/>
    <col min="300" max="300" width="6.5" style="7" customWidth="1"/>
    <col min="301" max="301" width="11.33203125" style="7" customWidth="1"/>
    <col min="302" max="302" width="14.5" style="7" customWidth="1"/>
    <col min="303" max="303" width="17.83203125" style="7" customWidth="1"/>
    <col min="304" max="304" width="9.33203125" style="7" customWidth="1"/>
    <col min="305" max="305" width="13.33203125" style="7" customWidth="1"/>
    <col min="306" max="306" width="5.33203125" style="7" customWidth="1"/>
    <col min="307" max="307" width="7.6640625" style="7" customWidth="1"/>
    <col min="308" max="308" width="8.5" style="7" customWidth="1"/>
    <col min="309" max="309" width="14.6640625" style="7" customWidth="1"/>
    <col min="310" max="310" width="11.33203125" style="7" customWidth="1"/>
    <col min="311" max="311" width="10.5" style="7" customWidth="1"/>
    <col min="312" max="312" width="17.83203125" style="7" customWidth="1"/>
    <col min="313" max="313" width="12" style="7" customWidth="1"/>
    <col min="314" max="314" width="21" style="7" customWidth="1"/>
    <col min="315" max="315" width="16.6640625" style="7" customWidth="1"/>
    <col min="316" max="316" width="12.83203125" style="7" customWidth="1"/>
    <col min="317" max="317" width="16.5" style="7" customWidth="1"/>
    <col min="318" max="318" width="11.83203125" style="7" customWidth="1"/>
    <col min="319" max="319" width="6.1640625" style="7" customWidth="1"/>
    <col min="320" max="320" width="8.33203125" style="7" customWidth="1"/>
    <col min="321" max="321" width="18" style="7" customWidth="1"/>
    <col min="322" max="322" width="10" style="7" customWidth="1"/>
    <col min="323" max="323" width="14" style="7" customWidth="1"/>
    <col min="324" max="324" width="13.1640625" style="7" customWidth="1"/>
    <col min="325" max="325" width="9.1640625" style="7" customWidth="1"/>
    <col min="326" max="326" width="11.1640625" style="7" customWidth="1"/>
    <col min="327" max="327" width="14.83203125" style="7" customWidth="1"/>
    <col min="328" max="328" width="16" style="7" customWidth="1"/>
    <col min="329" max="329" width="12.33203125" style="7" customWidth="1"/>
    <col min="330" max="330" width="8" style="7" customWidth="1"/>
    <col min="331" max="331" width="16" style="7" customWidth="1"/>
    <col min="332" max="332" width="14.5" style="7" customWidth="1"/>
    <col min="333" max="333" width="14" style="7" customWidth="1"/>
    <col min="334" max="334" width="11" style="7" customWidth="1"/>
    <col min="335" max="335" width="15.6640625" style="7" customWidth="1"/>
    <col min="336" max="336" width="7.6640625" style="7" customWidth="1"/>
    <col min="337" max="337" width="14.6640625" style="7" customWidth="1"/>
    <col min="338" max="338" width="13.1640625" style="7" customWidth="1"/>
    <col min="339" max="339" width="10.83203125" style="7" customWidth="1"/>
    <col min="340" max="340" width="16" style="7" customWidth="1"/>
    <col min="341" max="341" width="15" style="7" customWidth="1"/>
    <col min="342" max="342" width="13.1640625" style="7" customWidth="1"/>
    <col min="343" max="343" width="13" style="7" customWidth="1"/>
    <col min="344" max="344" width="14" style="7" customWidth="1"/>
    <col min="345" max="345" width="13.33203125" style="7" customWidth="1"/>
    <col min="346" max="346" width="16.5" style="7" customWidth="1"/>
    <col min="347" max="347" width="17" style="7" customWidth="1"/>
    <col min="348" max="348" width="22.6640625" style="7" customWidth="1"/>
    <col min="349" max="349" width="12.33203125" style="7" customWidth="1"/>
    <col min="350" max="350" width="14" style="7" customWidth="1"/>
    <col min="351" max="351" width="11.83203125" style="7" customWidth="1"/>
    <col min="352" max="352" width="8" style="7" customWidth="1"/>
    <col min="353" max="353" width="21" style="7" customWidth="1"/>
    <col min="354" max="354" width="15.83203125" style="7" customWidth="1"/>
    <col min="355" max="355" width="14" style="7" customWidth="1"/>
    <col min="356" max="356" width="15.5" style="7" customWidth="1"/>
    <col min="357" max="357" width="13.1640625" style="7" customWidth="1"/>
    <col min="358" max="358" width="14.83203125" style="7" customWidth="1"/>
    <col min="359" max="359" width="18.83203125" style="7" customWidth="1"/>
    <col min="360" max="360" width="15.5" style="7" customWidth="1"/>
    <col min="361" max="361" width="10.83203125" style="7" customWidth="1"/>
    <col min="362" max="362" width="14" style="7" customWidth="1"/>
    <col min="363" max="363" width="19" style="7" customWidth="1"/>
    <col min="364" max="364" width="16.33203125" style="7" customWidth="1"/>
    <col min="365" max="365" width="22.5" style="7" customWidth="1"/>
    <col min="366" max="366" width="16.1640625" style="7" customWidth="1"/>
    <col min="367" max="367" width="22.5" style="7" customWidth="1"/>
    <col min="368" max="368" width="10.83203125" style="7" customWidth="1"/>
    <col min="369" max="369" width="12.5" style="7" customWidth="1"/>
    <col min="370" max="370" width="14.1640625" style="7" customWidth="1"/>
    <col min="371" max="371" width="9" style="7" customWidth="1"/>
    <col min="372" max="372" width="20.33203125" style="7" customWidth="1"/>
    <col min="373" max="373" width="15.5" style="7" customWidth="1"/>
    <col min="374" max="374" width="12.5" style="7" customWidth="1"/>
    <col min="375" max="375" width="10.5" style="7" customWidth="1"/>
    <col min="376" max="376" width="13.5" style="7" customWidth="1"/>
    <col min="377" max="377" width="14.5" style="7" customWidth="1"/>
    <col min="378" max="378" width="15.33203125" style="7" customWidth="1"/>
    <col min="379" max="379" width="21.6640625" style="7" customWidth="1"/>
    <col min="380" max="380" width="21" style="7" customWidth="1"/>
    <col min="381" max="381" width="12.5" style="7" customWidth="1"/>
    <col min="382" max="382" width="18" style="7" customWidth="1"/>
    <col min="383" max="383" width="13.5" style="7" customWidth="1"/>
    <col min="384" max="384" width="19.5" style="7" customWidth="1"/>
    <col min="385" max="385" width="16.6640625" style="7" customWidth="1"/>
    <col min="386" max="386" width="8.33203125" style="7" customWidth="1"/>
    <col min="387" max="387" width="20.83203125" style="7" customWidth="1"/>
    <col min="388" max="388" width="5.33203125" style="7" customWidth="1"/>
    <col min="389" max="389" width="17.1640625" style="7" customWidth="1"/>
    <col min="390" max="390" width="8.5" style="7" customWidth="1"/>
    <col min="391" max="391" width="11.33203125" style="7" customWidth="1"/>
    <col min="392" max="392" width="15.33203125" style="7" customWidth="1"/>
    <col min="393" max="393" width="14.5" style="7" customWidth="1"/>
    <col min="394" max="394" width="8.6640625" style="7" customWidth="1"/>
    <col min="395" max="395" width="16.6640625" style="7" customWidth="1"/>
    <col min="396" max="396" width="6.5" style="7" customWidth="1"/>
    <col min="397" max="397" width="11.33203125" style="7" customWidth="1"/>
    <col min="398" max="398" width="14.5" style="7" customWidth="1"/>
    <col min="399" max="399" width="17.83203125" style="7" customWidth="1"/>
    <col min="400" max="400" width="9.33203125" style="7" customWidth="1"/>
    <col min="401" max="401" width="13.33203125" style="7" customWidth="1"/>
    <col min="402" max="402" width="5.33203125" style="7" customWidth="1"/>
    <col min="403" max="403" width="7.6640625" style="7" customWidth="1"/>
    <col min="404" max="404" width="8.5" style="7" customWidth="1"/>
    <col min="405" max="405" width="14.6640625" style="7" customWidth="1"/>
    <col min="406" max="406" width="11.33203125" style="7" customWidth="1"/>
    <col min="407" max="407" width="10.5" style="7" customWidth="1"/>
    <col min="408" max="408" width="17.83203125" style="7" customWidth="1"/>
    <col min="409" max="409" width="12" style="7" customWidth="1"/>
    <col min="410" max="410" width="21" style="7" customWidth="1"/>
    <col min="411" max="411" width="16.6640625" style="7" customWidth="1"/>
    <col min="412" max="412" width="12.83203125" style="7" customWidth="1"/>
    <col min="413" max="413" width="16.5" style="7" customWidth="1"/>
    <col min="414" max="414" width="11.83203125" style="7" customWidth="1"/>
    <col min="415" max="415" width="6.1640625" style="7" customWidth="1"/>
    <col min="416" max="416" width="8.33203125" style="7" customWidth="1"/>
    <col min="417" max="417" width="18" style="7" customWidth="1"/>
    <col min="418" max="418" width="10" style="7" customWidth="1"/>
    <col min="419" max="419" width="14" style="7" customWidth="1"/>
    <col min="420" max="420" width="13.1640625" style="7" customWidth="1"/>
    <col min="421" max="421" width="9.1640625" style="7" customWidth="1"/>
    <col min="422" max="422" width="11.1640625" style="7" customWidth="1"/>
    <col min="423" max="423" width="14.83203125" style="7" customWidth="1"/>
    <col min="424" max="424" width="16" style="7" customWidth="1"/>
    <col min="425" max="425" width="12.33203125" style="7" customWidth="1"/>
    <col min="426" max="426" width="8" style="7" customWidth="1"/>
    <col min="427" max="427" width="16" style="7" customWidth="1"/>
    <col min="428" max="428" width="14.5" style="7" customWidth="1"/>
    <col min="429" max="429" width="14" style="7" customWidth="1"/>
    <col min="430" max="430" width="11" style="7" customWidth="1"/>
    <col min="431" max="431" width="15.6640625" style="7" customWidth="1"/>
    <col min="432" max="432" width="7.6640625" style="7" customWidth="1"/>
    <col min="433" max="433" width="14.6640625" style="7" customWidth="1"/>
    <col min="434" max="434" width="13.1640625" style="7" customWidth="1"/>
    <col min="435" max="435" width="10.83203125" style="7" customWidth="1"/>
    <col min="436" max="436" width="16" style="7" customWidth="1"/>
    <col min="437" max="437" width="15" style="7" customWidth="1"/>
    <col min="438" max="438" width="13.1640625" style="7" customWidth="1"/>
    <col min="439" max="439" width="13" style="7" customWidth="1"/>
    <col min="440" max="440" width="14" style="7" customWidth="1"/>
    <col min="441" max="441" width="13.33203125" style="7" customWidth="1"/>
    <col min="442" max="442" width="16.5" style="7" customWidth="1"/>
    <col min="443" max="443" width="17" style="7" customWidth="1"/>
    <col min="444" max="444" width="22.6640625" style="7" customWidth="1"/>
    <col min="445" max="445" width="12.33203125" style="7" customWidth="1"/>
    <col min="446" max="446" width="14" style="7" customWidth="1"/>
    <col min="447" max="447" width="11.83203125" style="7" customWidth="1"/>
    <col min="448" max="448" width="8" style="7" customWidth="1"/>
    <col min="449" max="449" width="21" style="7" customWidth="1"/>
    <col min="450" max="450" width="15.83203125" style="7" customWidth="1"/>
    <col min="451" max="451" width="14" style="7" customWidth="1"/>
    <col min="452" max="452" width="15.5" style="7" customWidth="1"/>
    <col min="453" max="453" width="13.1640625" style="7" customWidth="1"/>
    <col min="454" max="454" width="14.83203125" style="7" customWidth="1"/>
    <col min="455" max="455" width="18.83203125" style="7" customWidth="1"/>
    <col min="456" max="456" width="15.5" style="7" customWidth="1"/>
    <col min="457" max="457" width="10.83203125" style="7" customWidth="1"/>
    <col min="458" max="458" width="14" style="7" customWidth="1"/>
    <col min="459" max="459" width="19" style="7" customWidth="1"/>
    <col min="460" max="460" width="16.33203125" style="7" customWidth="1"/>
    <col min="461" max="461" width="22.5" style="7" customWidth="1"/>
    <col min="462" max="462" width="16.1640625" style="7" customWidth="1"/>
    <col min="463" max="463" width="22.5" style="7" customWidth="1"/>
    <col min="464" max="464" width="10.83203125" style="7" customWidth="1"/>
    <col min="465" max="465" width="12.5" style="7" customWidth="1"/>
    <col min="466" max="466" width="14.1640625" style="7" customWidth="1"/>
    <col min="467" max="467" width="9" style="7" customWidth="1"/>
    <col min="468" max="468" width="20.33203125" style="7" customWidth="1"/>
    <col min="469" max="469" width="15.5" style="7" customWidth="1"/>
    <col min="470" max="470" width="12.5" style="7" customWidth="1"/>
    <col min="471" max="471" width="10.5" style="7" customWidth="1"/>
    <col min="472" max="472" width="13.5" style="7" customWidth="1"/>
    <col min="473" max="473" width="14.5" style="7" customWidth="1"/>
    <col min="474" max="474" width="15.33203125" style="7" customWidth="1"/>
    <col min="475" max="475" width="21.6640625" style="7" customWidth="1"/>
    <col min="476" max="476" width="21" style="7" customWidth="1"/>
    <col min="477" max="477" width="12.5" style="7" customWidth="1"/>
    <col min="478" max="478" width="18" style="7" customWidth="1"/>
    <col min="479" max="479" width="13.5" style="7" customWidth="1"/>
    <col min="480" max="480" width="19.5" style="7" customWidth="1"/>
    <col min="481" max="481" width="16.6640625" style="7" customWidth="1"/>
    <col min="482" max="482" width="6.5" style="7" customWidth="1"/>
    <col min="483" max="483" width="20.83203125" style="7" customWidth="1"/>
    <col min="484" max="484" width="4.6640625" style="7" customWidth="1"/>
    <col min="485" max="485" width="17.1640625" style="7" customWidth="1"/>
    <col min="486" max="486" width="8.5" style="7" customWidth="1"/>
    <col min="487" max="487" width="11.33203125" style="7" customWidth="1"/>
    <col min="488" max="488" width="15.33203125" style="7" customWidth="1"/>
    <col min="489" max="489" width="14.5" style="7" customWidth="1"/>
    <col min="490" max="490" width="8.6640625" style="7" customWidth="1"/>
    <col min="491" max="491" width="16.6640625" style="7" customWidth="1"/>
    <col min="492" max="492" width="6.5" style="7" customWidth="1"/>
    <col min="493" max="493" width="11.33203125" style="7" customWidth="1"/>
    <col min="494" max="494" width="14.5" style="7" customWidth="1"/>
    <col min="495" max="495" width="17.83203125" style="7" customWidth="1"/>
    <col min="496" max="496" width="9.33203125" style="7" customWidth="1"/>
    <col min="497" max="497" width="13.33203125" style="7" customWidth="1"/>
    <col min="498" max="498" width="4.6640625" style="7" customWidth="1"/>
    <col min="499" max="499" width="7.6640625" style="7" customWidth="1"/>
    <col min="500" max="500" width="8.5" style="7" customWidth="1"/>
    <col min="501" max="501" width="14.6640625" style="7" customWidth="1"/>
    <col min="502" max="502" width="11.33203125" style="7" customWidth="1"/>
    <col min="503" max="503" width="10.5" style="7" customWidth="1"/>
    <col min="504" max="504" width="17.83203125" style="7" customWidth="1"/>
    <col min="505" max="505" width="12" style="7" customWidth="1"/>
    <col min="506" max="506" width="21" style="7" customWidth="1"/>
    <col min="507" max="507" width="16.6640625" style="7" customWidth="1"/>
    <col min="508" max="508" width="12.83203125" style="7" customWidth="1"/>
    <col min="509" max="509" width="16.5" style="7" customWidth="1"/>
    <col min="510" max="510" width="11.83203125" style="7" customWidth="1"/>
    <col min="511" max="511" width="6.1640625" style="7" customWidth="1"/>
    <col min="512" max="512" width="8.33203125" style="7" customWidth="1"/>
    <col min="513" max="513" width="18" style="7" customWidth="1"/>
    <col min="514" max="514" width="10" style="7" customWidth="1"/>
    <col min="515" max="515" width="14" style="7" customWidth="1"/>
    <col min="516" max="516" width="13.1640625" style="7" customWidth="1"/>
    <col min="517" max="517" width="9.1640625" style="7" customWidth="1"/>
    <col min="518" max="518" width="11.1640625" style="7" customWidth="1"/>
    <col min="519" max="519" width="14.83203125" style="7" customWidth="1"/>
    <col min="520" max="520" width="16" style="7" customWidth="1"/>
    <col min="521" max="521" width="12.33203125" style="7" customWidth="1"/>
    <col min="522" max="522" width="8" style="7" customWidth="1"/>
    <col min="523" max="523" width="16" style="7" customWidth="1"/>
    <col min="524" max="524" width="14.5" style="7" customWidth="1"/>
    <col min="525" max="525" width="14" style="7" customWidth="1"/>
    <col min="526" max="526" width="11" style="7" customWidth="1"/>
    <col min="527" max="527" width="15.6640625" style="7" customWidth="1"/>
    <col min="528" max="528" width="7.6640625" style="7" customWidth="1"/>
    <col min="529" max="529" width="14.6640625" style="7" customWidth="1"/>
    <col min="530" max="530" width="13.1640625" style="7" customWidth="1"/>
    <col min="531" max="531" width="10.83203125" style="7" customWidth="1"/>
    <col min="532" max="532" width="16" style="7" customWidth="1"/>
    <col min="533" max="533" width="15" style="7" customWidth="1"/>
    <col min="534" max="534" width="13.1640625" style="7" customWidth="1"/>
    <col min="535" max="535" width="13" style="7" customWidth="1"/>
    <col min="536" max="536" width="14" style="7" customWidth="1"/>
    <col min="537" max="537" width="13.33203125" style="7" customWidth="1"/>
    <col min="538" max="538" width="16.5" style="7" customWidth="1"/>
    <col min="539" max="539" width="17" style="7" customWidth="1"/>
    <col min="540" max="540" width="22.6640625" style="7" customWidth="1"/>
    <col min="541" max="541" width="12.33203125" style="7" customWidth="1"/>
    <col min="542" max="542" width="14" style="7" customWidth="1"/>
    <col min="543" max="543" width="11.83203125" style="7" customWidth="1"/>
    <col min="544" max="544" width="8" style="7" customWidth="1"/>
    <col min="545" max="545" width="21" style="7" customWidth="1"/>
    <col min="546" max="546" width="15.83203125" style="7" customWidth="1"/>
    <col min="547" max="547" width="14" style="7" customWidth="1"/>
    <col min="548" max="548" width="15.5" style="7" customWidth="1"/>
    <col min="549" max="549" width="13.1640625" style="7" customWidth="1"/>
    <col min="550" max="550" width="14.83203125" style="7" customWidth="1"/>
    <col min="551" max="551" width="18.83203125" style="7" customWidth="1"/>
    <col min="552" max="552" width="15.5" style="7" customWidth="1"/>
    <col min="553" max="553" width="10.83203125" style="7" customWidth="1"/>
    <col min="554" max="554" width="14" style="7" customWidth="1"/>
    <col min="555" max="555" width="19" style="7" customWidth="1"/>
    <col min="556" max="556" width="16.33203125" style="7" customWidth="1"/>
    <col min="557" max="557" width="22.5" style="7" customWidth="1"/>
    <col min="558" max="558" width="16.1640625" style="7" customWidth="1"/>
    <col min="559" max="559" width="22.5" style="7" customWidth="1"/>
    <col min="560" max="560" width="10.83203125" style="7" customWidth="1"/>
    <col min="561" max="561" width="12.5" style="7" customWidth="1"/>
    <col min="562" max="562" width="14.1640625" style="7" customWidth="1"/>
    <col min="563" max="563" width="9" style="7" customWidth="1"/>
    <col min="564" max="564" width="20.33203125" style="7" customWidth="1"/>
    <col min="565" max="565" width="15.5" style="7" customWidth="1"/>
    <col min="566" max="566" width="12.5" style="7" customWidth="1"/>
    <col min="567" max="567" width="10.5" style="7" customWidth="1"/>
    <col min="568" max="568" width="13.5" style="7" customWidth="1"/>
    <col min="569" max="569" width="14.5" style="7" customWidth="1"/>
    <col min="570" max="570" width="15.33203125" style="7" customWidth="1"/>
    <col min="571" max="571" width="21.6640625" style="7" customWidth="1"/>
    <col min="572" max="572" width="21" style="7" customWidth="1"/>
    <col min="573" max="573" width="12.5" style="7" customWidth="1"/>
    <col min="574" max="574" width="18" style="7" customWidth="1"/>
    <col min="575" max="575" width="13.5" style="7" customWidth="1"/>
    <col min="576" max="576" width="19.5" style="7" customWidth="1"/>
    <col min="577" max="577" width="16.6640625" style="7" customWidth="1"/>
    <col min="578" max="578" width="8.33203125" style="7" customWidth="1"/>
    <col min="579" max="579" width="20.83203125" style="7" customWidth="1"/>
    <col min="580" max="580" width="4.6640625" style="7" customWidth="1"/>
    <col min="581" max="581" width="17.1640625" style="7" customWidth="1"/>
    <col min="582" max="582" width="8.5" style="7" customWidth="1"/>
    <col min="583" max="583" width="11.33203125" style="7" customWidth="1"/>
    <col min="584" max="584" width="15.33203125" style="7" customWidth="1"/>
    <col min="585" max="585" width="14.5" style="7" customWidth="1"/>
    <col min="586" max="586" width="8.6640625" style="7" customWidth="1"/>
    <col min="587" max="587" width="16.6640625" style="7" customWidth="1"/>
    <col min="588" max="588" width="6.5" style="7" customWidth="1"/>
    <col min="589" max="589" width="11.33203125" style="7" customWidth="1"/>
    <col min="590" max="590" width="14.5" style="7" customWidth="1"/>
    <col min="591" max="591" width="17.83203125" style="7" customWidth="1"/>
    <col min="592" max="592" width="9.33203125" style="7" customWidth="1"/>
    <col min="593" max="593" width="13.33203125" style="7" customWidth="1"/>
    <col min="594" max="594" width="4.6640625" style="7" customWidth="1"/>
    <col min="595" max="595" width="7.6640625" style="7" customWidth="1"/>
    <col min="596" max="596" width="8.5" style="7" customWidth="1"/>
    <col min="597" max="597" width="14.6640625" style="7" customWidth="1"/>
    <col min="598" max="598" width="11.33203125" style="7" customWidth="1"/>
    <col min="599" max="599" width="10.5" style="7" customWidth="1"/>
    <col min="600" max="600" width="17.83203125" style="7" customWidth="1"/>
    <col min="601" max="601" width="12" style="7" customWidth="1"/>
    <col min="602" max="602" width="21" style="7" customWidth="1"/>
    <col min="603" max="603" width="16.6640625" style="7" customWidth="1"/>
    <col min="604" max="604" width="12.83203125" style="7" customWidth="1"/>
    <col min="605" max="605" width="16.5" style="7" customWidth="1"/>
    <col min="606" max="606" width="11.83203125" style="7" customWidth="1"/>
    <col min="607" max="607" width="6.1640625" style="7" customWidth="1"/>
    <col min="608" max="608" width="8.33203125" style="7" customWidth="1"/>
    <col min="609" max="609" width="18" style="7" customWidth="1"/>
    <col min="610" max="610" width="10" style="7" customWidth="1"/>
    <col min="611" max="611" width="14" style="7" customWidth="1"/>
    <col min="612" max="612" width="13.1640625" style="7" customWidth="1"/>
    <col min="613" max="613" width="9.1640625" style="7" customWidth="1"/>
    <col min="614" max="614" width="11.1640625" style="7" customWidth="1"/>
    <col min="615" max="615" width="14.83203125" style="7" customWidth="1"/>
    <col min="616" max="616" width="16" style="7" customWidth="1"/>
    <col min="617" max="617" width="12.33203125" style="7" customWidth="1"/>
    <col min="618" max="618" width="8" style="7" customWidth="1"/>
    <col min="619" max="619" width="16" style="7" customWidth="1"/>
    <col min="620" max="620" width="14.5" style="7" customWidth="1"/>
    <col min="621" max="621" width="14" style="7" customWidth="1"/>
    <col min="622" max="622" width="11" style="7" customWidth="1"/>
    <col min="623" max="623" width="15.6640625" style="7" customWidth="1"/>
    <col min="624" max="624" width="7.6640625" style="7" customWidth="1"/>
    <col min="625" max="625" width="14.6640625" style="7" customWidth="1"/>
    <col min="626" max="626" width="13.1640625" style="7" customWidth="1"/>
    <col min="627" max="627" width="10.83203125" style="7" customWidth="1"/>
    <col min="628" max="628" width="16" style="7" customWidth="1"/>
    <col min="629" max="629" width="15" style="7" customWidth="1"/>
    <col min="630" max="630" width="13.1640625" style="7" customWidth="1"/>
    <col min="631" max="631" width="13" style="7" customWidth="1"/>
    <col min="632" max="632" width="14" style="7" customWidth="1"/>
    <col min="633" max="633" width="13.33203125" style="7" customWidth="1"/>
    <col min="634" max="634" width="16.5" style="7" customWidth="1"/>
    <col min="635" max="635" width="17" style="7" customWidth="1"/>
    <col min="636" max="636" width="22.6640625" style="7" customWidth="1"/>
    <col min="637" max="637" width="12.33203125" style="7" customWidth="1"/>
    <col min="638" max="638" width="14" style="7" customWidth="1"/>
    <col min="639" max="639" width="11.83203125" style="7" customWidth="1"/>
    <col min="640" max="640" width="8" style="7" customWidth="1"/>
    <col min="641" max="641" width="21" style="7" customWidth="1"/>
    <col min="642" max="642" width="15.83203125" style="7" customWidth="1"/>
    <col min="643" max="643" width="14" style="7" customWidth="1"/>
    <col min="644" max="644" width="15.5" style="7" customWidth="1"/>
    <col min="645" max="645" width="13.1640625" style="7" customWidth="1"/>
    <col min="646" max="646" width="14.83203125" style="7" customWidth="1"/>
    <col min="647" max="647" width="18.83203125" style="7" customWidth="1"/>
    <col min="648" max="648" width="15.5" style="7" customWidth="1"/>
    <col min="649" max="649" width="10.83203125" style="7" customWidth="1"/>
    <col min="650" max="650" width="14" style="7" customWidth="1"/>
    <col min="651" max="651" width="19" style="7" customWidth="1"/>
    <col min="652" max="652" width="16.33203125" style="7" customWidth="1"/>
    <col min="653" max="653" width="22.5" style="7" customWidth="1"/>
    <col min="654" max="654" width="16.1640625" style="7" customWidth="1"/>
    <col min="655" max="655" width="22.5" style="7" customWidth="1"/>
    <col min="656" max="656" width="10.83203125" style="7" customWidth="1"/>
    <col min="657" max="657" width="12.5" style="7" customWidth="1"/>
    <col min="658" max="658" width="14.1640625" style="7" customWidth="1"/>
    <col min="659" max="659" width="9" style="7" customWidth="1"/>
    <col min="660" max="660" width="20.33203125" style="7" customWidth="1"/>
    <col min="661" max="661" width="15.5" style="7" customWidth="1"/>
    <col min="662" max="662" width="12.5" style="7" customWidth="1"/>
    <col min="663" max="663" width="10.5" style="7" customWidth="1"/>
    <col min="664" max="664" width="13.5" style="7" customWidth="1"/>
    <col min="665" max="665" width="14.5" style="7" customWidth="1"/>
    <col min="666" max="666" width="15.33203125" style="7" customWidth="1"/>
    <col min="667" max="667" width="21.6640625" style="7" customWidth="1"/>
    <col min="668" max="668" width="21" style="7" customWidth="1"/>
    <col min="669" max="669" width="12.5" style="7" customWidth="1"/>
    <col min="670" max="670" width="18" style="7" customWidth="1"/>
    <col min="671" max="671" width="13.5" style="7" customWidth="1"/>
    <col min="672" max="672" width="19.5" style="7" customWidth="1"/>
    <col min="673" max="673" width="16.6640625" style="7" customWidth="1"/>
    <col min="674" max="674" width="6.5" style="7" customWidth="1"/>
    <col min="675" max="675" width="20.83203125" style="7" customWidth="1"/>
    <col min="676" max="676" width="5.6640625" style="7" customWidth="1"/>
    <col min="677" max="677" width="17.1640625" style="7" customWidth="1"/>
    <col min="678" max="678" width="8.5" style="7" customWidth="1"/>
    <col min="679" max="679" width="11.33203125" style="7" customWidth="1"/>
    <col min="680" max="680" width="15.33203125" style="7" customWidth="1"/>
    <col min="681" max="681" width="14.5" style="7" customWidth="1"/>
    <col min="682" max="682" width="8.6640625" style="7" customWidth="1"/>
    <col min="683" max="683" width="16.6640625" style="7" customWidth="1"/>
    <col min="684" max="684" width="6.5" style="7" customWidth="1"/>
    <col min="685" max="685" width="11.33203125" style="7" customWidth="1"/>
    <col min="686" max="686" width="14.5" style="7" customWidth="1"/>
    <col min="687" max="687" width="17.83203125" style="7" customWidth="1"/>
    <col min="688" max="688" width="9.33203125" style="7" customWidth="1"/>
    <col min="689" max="689" width="13.33203125" style="7" customWidth="1"/>
    <col min="690" max="690" width="5.6640625" style="7" customWidth="1"/>
    <col min="691" max="691" width="7.6640625" style="7" customWidth="1"/>
    <col min="692" max="692" width="8.5" style="7" customWidth="1"/>
    <col min="693" max="693" width="14.6640625" style="7" customWidth="1"/>
    <col min="694" max="694" width="11.33203125" style="7" customWidth="1"/>
    <col min="695" max="695" width="10.5" style="7" customWidth="1"/>
    <col min="696" max="696" width="17.83203125" style="7" customWidth="1"/>
    <col min="697" max="697" width="12" style="7" customWidth="1"/>
    <col min="698" max="698" width="21" style="7" customWidth="1"/>
    <col min="699" max="699" width="16.6640625" style="7" customWidth="1"/>
    <col min="700" max="700" width="12.83203125" style="7" customWidth="1"/>
    <col min="701" max="701" width="16.5" style="7" customWidth="1"/>
    <col min="702" max="702" width="11.83203125" style="7" customWidth="1"/>
    <col min="703" max="703" width="6.1640625" style="7" customWidth="1"/>
    <col min="704" max="704" width="8.33203125" style="7" customWidth="1"/>
    <col min="705" max="705" width="18" style="7" customWidth="1"/>
    <col min="706" max="706" width="10" style="7" customWidth="1"/>
    <col min="707" max="707" width="14" style="7" customWidth="1"/>
    <col min="708" max="708" width="13.1640625" style="7" customWidth="1"/>
    <col min="709" max="709" width="9.1640625" style="7" customWidth="1"/>
    <col min="710" max="710" width="11.1640625" style="7" customWidth="1"/>
    <col min="711" max="711" width="14.83203125" style="7" customWidth="1"/>
    <col min="712" max="712" width="16" style="7" customWidth="1"/>
    <col min="713" max="713" width="12.33203125" style="7" customWidth="1"/>
    <col min="714" max="714" width="8" style="7" customWidth="1"/>
    <col min="715" max="715" width="16" style="7" customWidth="1"/>
    <col min="716" max="716" width="14.5" style="7" customWidth="1"/>
    <col min="717" max="717" width="14" style="7" customWidth="1"/>
    <col min="718" max="718" width="11" style="7" customWidth="1"/>
    <col min="719" max="719" width="15.6640625" style="7" customWidth="1"/>
    <col min="720" max="720" width="7.6640625" style="7" customWidth="1"/>
    <col min="721" max="721" width="14.6640625" style="7" customWidth="1"/>
    <col min="722" max="722" width="13.1640625" style="7" customWidth="1"/>
    <col min="723" max="723" width="10.83203125" style="7" customWidth="1"/>
    <col min="724" max="724" width="16" style="7" customWidth="1"/>
    <col min="725" max="725" width="15" style="7" customWidth="1"/>
    <col min="726" max="726" width="13.1640625" style="7" customWidth="1"/>
    <col min="727" max="727" width="13" style="7" customWidth="1"/>
    <col min="728" max="728" width="14" style="7" customWidth="1"/>
    <col min="729" max="729" width="13.33203125" style="7" customWidth="1"/>
    <col min="730" max="730" width="16.5" style="7" customWidth="1"/>
    <col min="731" max="731" width="17" style="7" customWidth="1"/>
    <col min="732" max="732" width="22.6640625" style="7" customWidth="1"/>
    <col min="733" max="733" width="12.33203125" style="7" customWidth="1"/>
    <col min="734" max="734" width="14" style="7" customWidth="1"/>
    <col min="735" max="735" width="11.83203125" style="7" customWidth="1"/>
    <col min="736" max="736" width="8" style="7" customWidth="1"/>
    <col min="737" max="737" width="21" style="7" customWidth="1"/>
    <col min="738" max="738" width="15.83203125" style="7" customWidth="1"/>
    <col min="739" max="739" width="14" style="7" customWidth="1"/>
    <col min="740" max="740" width="15.5" style="7" customWidth="1"/>
    <col min="741" max="741" width="13.1640625" style="7" customWidth="1"/>
    <col min="742" max="742" width="14.83203125" style="7" customWidth="1"/>
    <col min="743" max="743" width="18.83203125" style="7" customWidth="1"/>
    <col min="744" max="744" width="15.5" style="7" customWidth="1"/>
    <col min="745" max="745" width="10.83203125" style="7" customWidth="1"/>
    <col min="746" max="746" width="14" style="7" customWidth="1"/>
    <col min="747" max="747" width="19" style="7" customWidth="1"/>
    <col min="748" max="748" width="16.33203125" style="7" customWidth="1"/>
    <col min="749" max="749" width="22.5" style="7" customWidth="1"/>
    <col min="750" max="750" width="16.1640625" style="7" customWidth="1"/>
    <col min="751" max="751" width="22.5" style="7" customWidth="1"/>
    <col min="752" max="752" width="10.83203125" style="7" customWidth="1"/>
    <col min="753" max="753" width="12.5" style="7" customWidth="1"/>
    <col min="754" max="754" width="14.1640625" style="7" customWidth="1"/>
    <col min="755" max="755" width="9" style="7" customWidth="1"/>
    <col min="756" max="756" width="20.33203125" style="7" customWidth="1"/>
    <col min="757" max="757" width="15.5" style="7" customWidth="1"/>
    <col min="758" max="758" width="12.5" style="7" customWidth="1"/>
    <col min="759" max="759" width="10.5" style="7" customWidth="1"/>
    <col min="760" max="760" width="13.5" style="7" customWidth="1"/>
    <col min="761" max="761" width="14.5" style="7" customWidth="1"/>
    <col min="762" max="762" width="15.33203125" style="7" customWidth="1"/>
    <col min="763" max="763" width="21.6640625" style="7" customWidth="1"/>
    <col min="764" max="764" width="21" style="7" customWidth="1"/>
    <col min="765" max="765" width="12.5" style="7" customWidth="1"/>
    <col min="766" max="766" width="18" style="7" customWidth="1"/>
    <col min="767" max="767" width="13.5" style="7" customWidth="1"/>
    <col min="768" max="768" width="19.5" style="7" customWidth="1"/>
    <col min="769" max="769" width="16.6640625" style="7" customWidth="1"/>
    <col min="770" max="770" width="8.1640625" style="7" customWidth="1"/>
    <col min="771" max="771" width="20.83203125" style="7" customWidth="1"/>
    <col min="772" max="772" width="4.6640625" style="7" customWidth="1"/>
    <col min="773" max="773" width="17.1640625" style="7" customWidth="1"/>
    <col min="774" max="774" width="8.5" style="7" customWidth="1"/>
    <col min="775" max="775" width="11.33203125" style="7" customWidth="1"/>
    <col min="776" max="776" width="15.33203125" style="7" customWidth="1"/>
    <col min="777" max="777" width="14.5" style="7" customWidth="1"/>
    <col min="778" max="778" width="8.6640625" style="7" customWidth="1"/>
    <col min="779" max="779" width="16.6640625" style="7" customWidth="1"/>
    <col min="780" max="780" width="6.5" style="7" customWidth="1"/>
    <col min="781" max="781" width="11.33203125" style="7" customWidth="1"/>
    <col min="782" max="782" width="14.5" style="7" customWidth="1"/>
    <col min="783" max="783" width="17.83203125" style="7" customWidth="1"/>
    <col min="784" max="784" width="9.33203125" style="7" customWidth="1"/>
    <col min="785" max="785" width="13.33203125" style="7" customWidth="1"/>
    <col min="786" max="786" width="4.6640625" style="7" customWidth="1"/>
    <col min="787" max="787" width="7.6640625" style="7" customWidth="1"/>
    <col min="788" max="788" width="8.5" style="7" customWidth="1"/>
    <col min="789" max="789" width="14.6640625" style="7" customWidth="1"/>
    <col min="790" max="790" width="11.33203125" style="7" customWidth="1"/>
    <col min="791" max="791" width="10.5" style="7" customWidth="1"/>
    <col min="792" max="792" width="17.83203125" style="7" customWidth="1"/>
    <col min="793" max="793" width="12" style="7" customWidth="1"/>
    <col min="794" max="794" width="21" style="7" customWidth="1"/>
    <col min="795" max="795" width="16.6640625" style="7" customWidth="1"/>
    <col min="796" max="796" width="12.83203125" style="7" customWidth="1"/>
    <col min="797" max="797" width="16.5" style="7" customWidth="1"/>
    <col min="798" max="798" width="11.83203125" style="7" customWidth="1"/>
    <col min="799" max="799" width="6.1640625" style="7" customWidth="1"/>
    <col min="800" max="800" width="8.33203125" style="7" customWidth="1"/>
    <col min="801" max="801" width="18" style="7" customWidth="1"/>
    <col min="802" max="802" width="10" style="7" customWidth="1"/>
    <col min="803" max="803" width="14" style="7" customWidth="1"/>
    <col min="804" max="804" width="13.1640625" style="7" customWidth="1"/>
    <col min="805" max="805" width="9.1640625" style="7" customWidth="1"/>
    <col min="806" max="806" width="11.1640625" style="7" customWidth="1"/>
    <col min="807" max="807" width="14.83203125" style="7" customWidth="1"/>
    <col min="808" max="808" width="16" style="7" customWidth="1"/>
    <col min="809" max="809" width="12.33203125" style="7" customWidth="1"/>
    <col min="810" max="810" width="8" style="7" customWidth="1"/>
    <col min="811" max="811" width="16" style="7" customWidth="1"/>
    <col min="812" max="812" width="14.5" style="7" customWidth="1"/>
    <col min="813" max="813" width="14" style="7" customWidth="1"/>
    <col min="814" max="814" width="11" style="7" customWidth="1"/>
    <col min="815" max="815" width="15.6640625" style="7" customWidth="1"/>
    <col min="816" max="816" width="7.6640625" style="7" customWidth="1"/>
    <col min="817" max="817" width="14.6640625" style="7" customWidth="1"/>
    <col min="818" max="818" width="13.1640625" style="7" customWidth="1"/>
    <col min="819" max="819" width="10.83203125" style="7" customWidth="1"/>
    <col min="820" max="820" width="16" style="7" customWidth="1"/>
    <col min="821" max="821" width="15" style="7" customWidth="1"/>
    <col min="822" max="822" width="13.1640625" style="7" customWidth="1"/>
    <col min="823" max="823" width="13" style="7" customWidth="1"/>
    <col min="824" max="824" width="14" style="7" customWidth="1"/>
    <col min="825" max="825" width="13.33203125" style="7" customWidth="1"/>
    <col min="826" max="826" width="16.5" style="7" customWidth="1"/>
    <col min="827" max="827" width="17" style="7" customWidth="1"/>
    <col min="828" max="828" width="22.6640625" style="7" customWidth="1"/>
    <col min="829" max="829" width="12.33203125" style="7" customWidth="1"/>
    <col min="830" max="830" width="14" style="7" customWidth="1"/>
    <col min="831" max="831" width="11.83203125" style="7" customWidth="1"/>
    <col min="832" max="832" width="8" style="7" customWidth="1"/>
    <col min="833" max="833" width="21" style="7" customWidth="1"/>
    <col min="834" max="834" width="15.83203125" style="7" customWidth="1"/>
    <col min="835" max="835" width="14" style="7" customWidth="1"/>
    <col min="836" max="836" width="15.5" style="7" customWidth="1"/>
    <col min="837" max="837" width="13.1640625" style="7" customWidth="1"/>
    <col min="838" max="838" width="14.83203125" style="7" customWidth="1"/>
    <col min="839" max="839" width="18.83203125" style="7" customWidth="1"/>
    <col min="840" max="840" width="15.5" style="7" customWidth="1"/>
    <col min="841" max="841" width="10.83203125" style="7" customWidth="1"/>
    <col min="842" max="842" width="14" style="7" customWidth="1"/>
    <col min="843" max="843" width="19" style="7" customWidth="1"/>
    <col min="844" max="844" width="16.33203125" style="7" customWidth="1"/>
    <col min="845" max="845" width="22.5" style="7" customWidth="1"/>
    <col min="846" max="846" width="16.1640625" style="7" customWidth="1"/>
    <col min="847" max="847" width="22.5" style="7" customWidth="1"/>
    <col min="848" max="848" width="10.83203125" style="7" customWidth="1"/>
    <col min="849" max="849" width="12.5" style="7" customWidth="1"/>
    <col min="850" max="850" width="14.1640625" style="7" customWidth="1"/>
    <col min="851" max="851" width="9" style="7" customWidth="1"/>
    <col min="852" max="852" width="20.33203125" style="7" customWidth="1"/>
    <col min="853" max="853" width="15.5" style="7" customWidth="1"/>
    <col min="854" max="854" width="12.5" style="7" customWidth="1"/>
    <col min="855" max="855" width="10.5" style="7" customWidth="1"/>
    <col min="856" max="856" width="13.5" style="7" customWidth="1"/>
    <col min="857" max="857" width="14.5" style="7" customWidth="1"/>
    <col min="858" max="858" width="15.33203125" style="7" customWidth="1"/>
    <col min="859" max="859" width="21.6640625" style="7" customWidth="1"/>
    <col min="860" max="860" width="21" style="7" customWidth="1"/>
    <col min="861" max="861" width="12.5" style="7" customWidth="1"/>
    <col min="862" max="862" width="18" style="7" customWidth="1"/>
    <col min="863" max="863" width="13.5" style="7" customWidth="1"/>
    <col min="864" max="864" width="19.5" style="7" customWidth="1"/>
    <col min="865" max="865" width="16.6640625" style="7" customWidth="1"/>
    <col min="866" max="866" width="8.1640625" style="7" customWidth="1"/>
    <col min="867" max="867" width="20.83203125" style="7" customWidth="1"/>
    <col min="868" max="868" width="4.6640625" style="7" customWidth="1"/>
    <col min="869" max="869" width="17.1640625" style="7" customWidth="1"/>
    <col min="870" max="870" width="8.5" style="7" customWidth="1"/>
    <col min="871" max="871" width="11.33203125" style="7" customWidth="1"/>
    <col min="872" max="872" width="15.33203125" style="7" customWidth="1"/>
    <col min="873" max="873" width="14.5" style="7" customWidth="1"/>
    <col min="874" max="874" width="8.6640625" style="7" customWidth="1"/>
    <col min="875" max="875" width="16.6640625" style="7" customWidth="1"/>
    <col min="876" max="876" width="6.5" style="7" customWidth="1"/>
    <col min="877" max="877" width="11.33203125" style="7" customWidth="1"/>
    <col min="878" max="878" width="14.5" style="7" customWidth="1"/>
    <col min="879" max="879" width="17.83203125" style="7" customWidth="1"/>
    <col min="880" max="880" width="9.33203125" style="7" customWidth="1"/>
    <col min="881" max="881" width="13.33203125" style="7" customWidth="1"/>
    <col min="882" max="882" width="4.6640625" style="7" customWidth="1"/>
    <col min="883" max="883" width="7.6640625" style="7" customWidth="1"/>
    <col min="884" max="884" width="8.5" style="7" customWidth="1"/>
    <col min="885" max="885" width="14.6640625" style="7" customWidth="1"/>
    <col min="886" max="886" width="11.33203125" style="7" customWidth="1"/>
    <col min="887" max="887" width="10.5" style="7" customWidth="1"/>
    <col min="888" max="888" width="17.83203125" style="7" customWidth="1"/>
    <col min="889" max="889" width="12" style="7" customWidth="1"/>
    <col min="890" max="890" width="21" style="7" customWidth="1"/>
    <col min="891" max="891" width="16.6640625" style="7" customWidth="1"/>
    <col min="892" max="892" width="12.83203125" style="7" customWidth="1"/>
    <col min="893" max="893" width="16.5" style="7" customWidth="1"/>
    <col min="894" max="894" width="11.83203125" style="7" customWidth="1"/>
    <col min="895" max="895" width="6.1640625" style="7" customWidth="1"/>
    <col min="896" max="896" width="8.33203125" style="7" customWidth="1"/>
    <col min="897" max="897" width="18" style="7" customWidth="1"/>
    <col min="898" max="898" width="10" style="7" customWidth="1"/>
    <col min="899" max="899" width="14" style="7" customWidth="1"/>
    <col min="900" max="900" width="13.1640625" style="7" customWidth="1"/>
    <col min="901" max="901" width="9.1640625" style="7" customWidth="1"/>
    <col min="902" max="902" width="11.1640625" style="7" customWidth="1"/>
    <col min="903" max="903" width="14.83203125" style="7" customWidth="1"/>
    <col min="904" max="904" width="16" style="7" customWidth="1"/>
    <col min="905" max="905" width="12.33203125" style="7" customWidth="1"/>
    <col min="906" max="906" width="8" style="7" customWidth="1"/>
    <col min="907" max="907" width="16" style="7" customWidth="1"/>
    <col min="908" max="908" width="14.5" style="7" customWidth="1"/>
    <col min="909" max="909" width="14" style="7" customWidth="1"/>
    <col min="910" max="910" width="11" style="7" customWidth="1"/>
    <col min="911" max="911" width="15.6640625" style="7" customWidth="1"/>
    <col min="912" max="912" width="7.6640625" style="7" customWidth="1"/>
    <col min="913" max="913" width="14.6640625" style="7" customWidth="1"/>
    <col min="914" max="914" width="13.1640625" style="7" customWidth="1"/>
    <col min="915" max="915" width="10.83203125" style="7" customWidth="1"/>
    <col min="916" max="916" width="16" style="7" customWidth="1"/>
    <col min="917" max="917" width="15" style="7" customWidth="1"/>
    <col min="918" max="918" width="13.1640625" style="7" customWidth="1"/>
    <col min="919" max="919" width="13" style="7" customWidth="1"/>
    <col min="920" max="920" width="14" style="7" customWidth="1"/>
    <col min="921" max="921" width="13.33203125" style="7" customWidth="1"/>
    <col min="922" max="922" width="16.5" style="7" customWidth="1"/>
    <col min="923" max="923" width="17" style="7" customWidth="1"/>
    <col min="924" max="924" width="22.6640625" style="7" customWidth="1"/>
    <col min="925" max="925" width="12.33203125" style="7" customWidth="1"/>
    <col min="926" max="926" width="14" style="7" customWidth="1"/>
    <col min="927" max="927" width="11.83203125" style="7" customWidth="1"/>
    <col min="928" max="928" width="8" style="7" customWidth="1"/>
    <col min="929" max="929" width="21" style="7" customWidth="1"/>
    <col min="930" max="930" width="15.83203125" style="7" customWidth="1"/>
    <col min="931" max="931" width="14" style="7" customWidth="1"/>
    <col min="932" max="932" width="15.5" style="7" customWidth="1"/>
    <col min="933" max="933" width="13.1640625" style="7" customWidth="1"/>
    <col min="934" max="934" width="14.83203125" style="7" customWidth="1"/>
    <col min="935" max="935" width="18.83203125" style="7" customWidth="1"/>
    <col min="936" max="936" width="15.5" style="7" customWidth="1"/>
    <col min="937" max="937" width="10.83203125" style="7" customWidth="1"/>
    <col min="938" max="938" width="14" style="7" customWidth="1"/>
    <col min="939" max="939" width="19" style="7" customWidth="1"/>
    <col min="940" max="940" width="16.33203125" style="7" customWidth="1"/>
    <col min="941" max="941" width="22.5" style="7" customWidth="1"/>
    <col min="942" max="942" width="16.1640625" style="7" customWidth="1"/>
    <col min="943" max="943" width="22.5" style="7" customWidth="1"/>
    <col min="944" max="944" width="10.83203125" style="7" customWidth="1"/>
    <col min="945" max="945" width="12.5" style="7" customWidth="1"/>
    <col min="946" max="946" width="14.1640625" style="7" customWidth="1"/>
    <col min="947" max="947" width="9" style="7" customWidth="1"/>
    <col min="948" max="948" width="20.33203125" style="7" customWidth="1"/>
    <col min="949" max="949" width="15.5" style="7" customWidth="1"/>
    <col min="950" max="950" width="12.5" style="7" customWidth="1"/>
    <col min="951" max="951" width="10.5" style="7" customWidth="1"/>
    <col min="952" max="952" width="13.5" style="7" customWidth="1"/>
    <col min="953" max="953" width="14.5" style="7" customWidth="1"/>
    <col min="954" max="954" width="15.33203125" style="7" customWidth="1"/>
    <col min="955" max="955" width="21.6640625" style="7" customWidth="1"/>
    <col min="956" max="956" width="21" style="7" customWidth="1"/>
    <col min="957" max="957" width="12.5" style="7" customWidth="1"/>
    <col min="958" max="958" width="18" style="7" customWidth="1"/>
    <col min="959" max="959" width="13.5" style="7" customWidth="1"/>
    <col min="960" max="960" width="19.5" style="7" customWidth="1"/>
    <col min="961" max="961" width="16.6640625" style="7" customWidth="1"/>
    <col min="962" max="962" width="8.33203125" style="7" customWidth="1"/>
    <col min="963" max="963" width="20.83203125" style="7" customWidth="1"/>
    <col min="964" max="964" width="4.6640625" style="7" customWidth="1"/>
    <col min="965" max="965" width="17.1640625" style="7" customWidth="1"/>
    <col min="966" max="966" width="8.5" style="7" customWidth="1"/>
    <col min="967" max="967" width="11.33203125" style="7" customWidth="1"/>
    <col min="968" max="968" width="15.33203125" style="7" customWidth="1"/>
    <col min="969" max="969" width="14.5" style="7" customWidth="1"/>
    <col min="970" max="970" width="8.6640625" style="7" customWidth="1"/>
    <col min="971" max="971" width="16.6640625" style="7" customWidth="1"/>
    <col min="972" max="972" width="6.5" style="7" customWidth="1"/>
    <col min="973" max="973" width="11.33203125" style="7" customWidth="1"/>
    <col min="974" max="974" width="14.5" style="7" customWidth="1"/>
    <col min="975" max="975" width="17.83203125" style="7" customWidth="1"/>
    <col min="976" max="976" width="9.33203125" style="7" customWidth="1"/>
    <col min="977" max="977" width="13.33203125" style="7" customWidth="1"/>
    <col min="978" max="978" width="4.6640625" style="7" customWidth="1"/>
    <col min="979" max="979" width="7.6640625" style="7" customWidth="1"/>
    <col min="980" max="980" width="8.5" style="7" customWidth="1"/>
    <col min="981" max="981" width="14.6640625" style="7" customWidth="1"/>
    <col min="982" max="982" width="11.33203125" style="7" customWidth="1"/>
    <col min="983" max="983" width="10.5" style="7" customWidth="1"/>
    <col min="984" max="984" width="17.83203125" style="7" customWidth="1"/>
    <col min="985" max="985" width="12" style="7" customWidth="1"/>
    <col min="986" max="986" width="21" style="7" customWidth="1"/>
    <col min="987" max="987" width="16.6640625" style="7" customWidth="1"/>
    <col min="988" max="988" width="12.83203125" style="7" customWidth="1"/>
    <col min="989" max="989" width="16.5" style="7" customWidth="1"/>
    <col min="990" max="990" width="11.83203125" style="7" customWidth="1"/>
    <col min="991" max="991" width="6.1640625" style="7" customWidth="1"/>
    <col min="992" max="992" width="8.33203125" style="7" customWidth="1"/>
    <col min="993" max="993" width="18" style="7" customWidth="1"/>
    <col min="994" max="994" width="10" style="7" customWidth="1"/>
    <col min="995" max="995" width="14" style="7" customWidth="1"/>
    <col min="996" max="996" width="13.1640625" style="7" customWidth="1"/>
    <col min="997" max="997" width="9.1640625" style="7" customWidth="1"/>
    <col min="998" max="998" width="11.1640625" style="7" customWidth="1"/>
    <col min="999" max="999" width="14.83203125" style="7" customWidth="1"/>
    <col min="1000" max="1000" width="16" style="7" customWidth="1"/>
    <col min="1001" max="1001" width="12.33203125" style="7" customWidth="1"/>
    <col min="1002" max="1002" width="8" style="7" customWidth="1"/>
    <col min="1003" max="1003" width="16" style="7" customWidth="1"/>
    <col min="1004" max="1004" width="14.5" style="7" customWidth="1"/>
    <col min="1005" max="1005" width="14" style="7" customWidth="1"/>
    <col min="1006" max="1006" width="11" style="7" customWidth="1"/>
    <col min="1007" max="1007" width="15.6640625" style="7" customWidth="1"/>
    <col min="1008" max="1008" width="7.6640625" style="7" customWidth="1"/>
    <col min="1009" max="1009" width="14.6640625" style="7" customWidth="1"/>
    <col min="1010" max="1010" width="13.1640625" style="7" customWidth="1"/>
    <col min="1011" max="1011" width="10.83203125" style="7" customWidth="1"/>
    <col min="1012" max="1012" width="16" style="7" customWidth="1"/>
    <col min="1013" max="1013" width="15" style="7" customWidth="1"/>
    <col min="1014" max="1014" width="13.1640625" style="7" customWidth="1"/>
    <col min="1015" max="1015" width="13" style="7" customWidth="1"/>
    <col min="1016" max="1016" width="14" style="7" customWidth="1"/>
    <col min="1017" max="1017" width="13.33203125" style="7" customWidth="1"/>
    <col min="1018" max="1018" width="16.5" style="7" customWidth="1"/>
    <col min="1019" max="1019" width="17" style="7" customWidth="1"/>
    <col min="1020" max="1020" width="22.6640625" style="7" customWidth="1"/>
    <col min="1021" max="1021" width="12.33203125" style="7" customWidth="1"/>
    <col min="1022" max="1022" width="14" style="7" customWidth="1"/>
    <col min="1023" max="1023" width="11.83203125" style="7" customWidth="1"/>
    <col min="1024" max="1024" width="8" style="7" customWidth="1"/>
    <col min="1025" max="1025" width="21" style="7" customWidth="1"/>
    <col min="1026" max="1026" width="15.83203125" style="7" customWidth="1"/>
    <col min="1027" max="1027" width="14" style="7" customWidth="1"/>
    <col min="1028" max="1028" width="15.5" style="7" customWidth="1"/>
    <col min="1029" max="1029" width="13.1640625" style="7" customWidth="1"/>
    <col min="1030" max="1030" width="14.83203125" style="7" customWidth="1"/>
    <col min="1031" max="1031" width="18.83203125" style="7" customWidth="1"/>
    <col min="1032" max="1032" width="15.5" style="7" customWidth="1"/>
    <col min="1033" max="1033" width="10.83203125" style="7" customWidth="1"/>
    <col min="1034" max="1034" width="14" style="7" customWidth="1"/>
    <col min="1035" max="1035" width="19" style="7" customWidth="1"/>
    <col min="1036" max="1036" width="16.33203125" style="7" customWidth="1"/>
    <col min="1037" max="1037" width="22.5" style="7" customWidth="1"/>
    <col min="1038" max="1038" width="16.1640625" style="7" customWidth="1"/>
    <col min="1039" max="1039" width="22.5" style="7" customWidth="1"/>
    <col min="1040" max="1040" width="10.83203125" style="7" customWidth="1"/>
    <col min="1041" max="1041" width="12.5" style="7" customWidth="1"/>
    <col min="1042" max="1042" width="14.1640625" style="7" customWidth="1"/>
    <col min="1043" max="1043" width="9" style="7" customWidth="1"/>
    <col min="1044" max="1044" width="20.33203125" style="7" customWidth="1"/>
    <col min="1045" max="1045" width="15.5" style="7" customWidth="1"/>
    <col min="1046" max="1046" width="12.5" style="7" customWidth="1"/>
    <col min="1047" max="1047" width="10.5" style="7" customWidth="1"/>
    <col min="1048" max="1048" width="13.5" style="7" customWidth="1"/>
    <col min="1049" max="1049" width="14.5" style="7" customWidth="1"/>
    <col min="1050" max="1050" width="15.33203125" style="7" customWidth="1"/>
    <col min="1051" max="1051" width="21.6640625" style="7" customWidth="1"/>
    <col min="1052" max="1052" width="21" style="7" customWidth="1"/>
    <col min="1053" max="1053" width="12.5" style="7" customWidth="1"/>
    <col min="1054" max="1054" width="18" style="7" customWidth="1"/>
    <col min="1055" max="1055" width="13.5" style="7" customWidth="1"/>
    <col min="1056" max="1056" width="19.5" style="7" customWidth="1"/>
    <col min="1057" max="1057" width="16.6640625" style="7" customWidth="1"/>
    <col min="1058" max="1058" width="8.33203125" style="7" customWidth="1"/>
    <col min="1059" max="1059" width="20.83203125" style="7" customWidth="1"/>
    <col min="1060" max="1060" width="4.6640625" style="7" customWidth="1"/>
    <col min="1061" max="1061" width="17.1640625" style="7" customWidth="1"/>
    <col min="1062" max="1062" width="8.5" style="7" customWidth="1"/>
    <col min="1063" max="1063" width="11.33203125" style="7" customWidth="1"/>
    <col min="1064" max="1064" width="15.33203125" style="7" customWidth="1"/>
    <col min="1065" max="1065" width="14.5" style="7" customWidth="1"/>
    <col min="1066" max="1066" width="8.6640625" style="7" customWidth="1"/>
    <col min="1067" max="1067" width="16.6640625" style="7" customWidth="1"/>
    <col min="1068" max="1068" width="6.5" style="7" customWidth="1"/>
    <col min="1069" max="1069" width="11.33203125" style="7" customWidth="1"/>
    <col min="1070" max="1070" width="14.5" style="7" customWidth="1"/>
    <col min="1071" max="1071" width="17.83203125" style="7" customWidth="1"/>
    <col min="1072" max="1072" width="9.33203125" style="7" customWidth="1"/>
    <col min="1073" max="1073" width="13.33203125" style="7" customWidth="1"/>
    <col min="1074" max="1074" width="4.6640625" style="7" customWidth="1"/>
    <col min="1075" max="1075" width="7.6640625" style="7" customWidth="1"/>
    <col min="1076" max="1076" width="8.5" style="7" customWidth="1"/>
    <col min="1077" max="1077" width="14.6640625" style="7" customWidth="1"/>
    <col min="1078" max="1078" width="11.33203125" style="7" customWidth="1"/>
    <col min="1079" max="1079" width="10.5" style="7" customWidth="1"/>
    <col min="1080" max="1080" width="17.83203125" style="7" customWidth="1"/>
    <col min="1081" max="1081" width="12" style="7" customWidth="1"/>
    <col min="1082" max="1082" width="21" style="7" customWidth="1"/>
    <col min="1083" max="1083" width="16.6640625" style="7" customWidth="1"/>
    <col min="1084" max="1084" width="12.83203125" style="7" customWidth="1"/>
    <col min="1085" max="1085" width="16.5" style="7" customWidth="1"/>
    <col min="1086" max="1086" width="11.83203125" style="7" customWidth="1"/>
    <col min="1087" max="1087" width="6.1640625" style="7" customWidth="1"/>
    <col min="1088" max="1088" width="8.33203125" style="7" customWidth="1"/>
    <col min="1089" max="1089" width="18" style="7" customWidth="1"/>
    <col min="1090" max="1090" width="10" style="7" customWidth="1"/>
    <col min="1091" max="1091" width="14" style="7" customWidth="1"/>
    <col min="1092" max="1092" width="13.1640625" style="7" customWidth="1"/>
    <col min="1093" max="1093" width="9.1640625" style="7" customWidth="1"/>
    <col min="1094" max="1094" width="11.1640625" style="7" customWidth="1"/>
    <col min="1095" max="1095" width="14.83203125" style="7" customWidth="1"/>
    <col min="1096" max="1096" width="16" style="7" customWidth="1"/>
    <col min="1097" max="1097" width="12.33203125" style="7" customWidth="1"/>
    <col min="1098" max="1098" width="8" style="7" customWidth="1"/>
    <col min="1099" max="1099" width="16" style="7" customWidth="1"/>
    <col min="1100" max="1100" width="14.5" style="7" customWidth="1"/>
    <col min="1101" max="1101" width="14" style="7" customWidth="1"/>
    <col min="1102" max="1102" width="11" style="7" customWidth="1"/>
    <col min="1103" max="1103" width="15.6640625" style="7" customWidth="1"/>
    <col min="1104" max="1104" width="7.6640625" style="7" customWidth="1"/>
    <col min="1105" max="1105" width="14.6640625" style="7" customWidth="1"/>
    <col min="1106" max="1106" width="13.1640625" style="7" customWidth="1"/>
    <col min="1107" max="1107" width="10.83203125" style="7" customWidth="1"/>
    <col min="1108" max="1108" width="16" style="7" customWidth="1"/>
    <col min="1109" max="1109" width="15" style="7" customWidth="1"/>
    <col min="1110" max="1110" width="13.1640625" style="7" customWidth="1"/>
    <col min="1111" max="1111" width="13" style="7" customWidth="1"/>
    <col min="1112" max="1112" width="14" style="7" customWidth="1"/>
    <col min="1113" max="1113" width="13.33203125" style="7" customWidth="1"/>
    <col min="1114" max="1114" width="16.5" style="7" customWidth="1"/>
    <col min="1115" max="1115" width="17" style="7" customWidth="1"/>
    <col min="1116" max="1116" width="22.6640625" style="7" customWidth="1"/>
    <col min="1117" max="1117" width="12.33203125" style="7" customWidth="1"/>
    <col min="1118" max="1118" width="14" style="7" customWidth="1"/>
    <col min="1119" max="1119" width="11.83203125" style="7" customWidth="1"/>
    <col min="1120" max="1120" width="8" style="7" customWidth="1"/>
    <col min="1121" max="1121" width="21" style="7" customWidth="1"/>
    <col min="1122" max="1122" width="15.83203125" style="7" customWidth="1"/>
    <col min="1123" max="1123" width="14" style="7" customWidth="1"/>
    <col min="1124" max="1124" width="15.5" style="7" customWidth="1"/>
    <col min="1125" max="1125" width="13.1640625" style="7" customWidth="1"/>
    <col min="1126" max="1126" width="14.83203125" style="7" customWidth="1"/>
    <col min="1127" max="1127" width="18.83203125" style="7" customWidth="1"/>
    <col min="1128" max="1128" width="15.5" style="7" customWidth="1"/>
    <col min="1129" max="1129" width="10.83203125" style="7" customWidth="1"/>
    <col min="1130" max="1130" width="14" style="7" customWidth="1"/>
    <col min="1131" max="1131" width="19" style="7" customWidth="1"/>
    <col min="1132" max="1132" width="16.33203125" style="7" customWidth="1"/>
    <col min="1133" max="1133" width="22.5" style="7" customWidth="1"/>
    <col min="1134" max="1134" width="16.1640625" style="7" customWidth="1"/>
    <col min="1135" max="1135" width="22.5" style="7" customWidth="1"/>
    <col min="1136" max="1136" width="10.83203125" style="7" customWidth="1"/>
    <col min="1137" max="1137" width="12.5" style="7" customWidth="1"/>
    <col min="1138" max="1138" width="14.1640625" style="7" customWidth="1"/>
    <col min="1139" max="1139" width="9" style="7" customWidth="1"/>
    <col min="1140" max="1140" width="20.33203125" style="7" customWidth="1"/>
    <col min="1141" max="1141" width="15.5" style="7" customWidth="1"/>
    <col min="1142" max="1142" width="12.5" style="7" customWidth="1"/>
    <col min="1143" max="1143" width="10.5" style="7" customWidth="1"/>
    <col min="1144" max="1144" width="13.5" style="7" customWidth="1"/>
    <col min="1145" max="1145" width="14.5" style="7" customWidth="1"/>
    <col min="1146" max="1146" width="15.33203125" style="7" customWidth="1"/>
    <col min="1147" max="1147" width="21.6640625" style="7" customWidth="1"/>
    <col min="1148" max="1148" width="21" style="7" customWidth="1"/>
    <col min="1149" max="1149" width="12.5" style="7" customWidth="1"/>
    <col min="1150" max="1150" width="18" style="7" customWidth="1"/>
    <col min="1151" max="1151" width="13.5" style="7" customWidth="1"/>
    <col min="1152" max="1152" width="19.5" style="7" customWidth="1"/>
    <col min="1153" max="1153" width="16.6640625" style="7" customWidth="1"/>
    <col min="1154" max="1155" width="8.33203125" style="7" customWidth="1"/>
    <col min="1156" max="1156" width="10" style="7" customWidth="1"/>
    <col min="1157" max="1157" width="8.33203125" style="7" customWidth="1"/>
    <col min="1158" max="1158" width="12" style="7" customWidth="1"/>
    <col min="1159" max="1159" width="10" style="7" customWidth="1"/>
    <col min="1160" max="1160" width="14" style="7" customWidth="1"/>
    <col min="1161" max="1161" width="10" style="7" customWidth="1"/>
    <col min="1162" max="1162" width="17.6640625" style="7" customWidth="1"/>
    <col min="1163" max="1164" width="19.5" style="7" customWidth="1"/>
    <col min="1165" max="1165" width="21.33203125" style="7" customWidth="1"/>
    <col min="1166" max="16384" width="9" style="7"/>
  </cols>
  <sheetData>
    <row r="1" spans="1:1165">
      <c r="A1" s="8"/>
      <c r="B1" s="8"/>
    </row>
    <row r="2" spans="1:1165">
      <c r="A2" s="8"/>
      <c r="B2" s="8"/>
    </row>
    <row r="3" spans="1:1165">
      <c r="A3" s="6" t="s">
        <v>73</v>
      </c>
      <c r="B3" s="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165" ht="71.25" customHeight="1">
      <c r="A4" s="53" t="s">
        <v>75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 spans="1:1165" ht="64">
      <c r="A5" s="10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81</v>
      </c>
      <c r="G5" s="12" t="s">
        <v>82</v>
      </c>
      <c r="H5" s="12" t="s">
        <v>83</v>
      </c>
      <c r="I5" s="12" t="s">
        <v>84</v>
      </c>
      <c r="J5" s="11" t="s">
        <v>85</v>
      </c>
      <c r="K5" s="11" t="s">
        <v>86</v>
      </c>
      <c r="L5" s="11" t="s">
        <v>87</v>
      </c>
      <c r="M5" s="11" t="s">
        <v>88</v>
      </c>
      <c r="N5" s="10" t="s">
        <v>89</v>
      </c>
      <c r="O5" s="11" t="s">
        <v>90</v>
      </c>
      <c r="P5" s="11" t="s">
        <v>91</v>
      </c>
      <c r="Q5" s="11" t="s">
        <v>92</v>
      </c>
      <c r="R5" s="11" t="s">
        <v>93</v>
      </c>
      <c r="S5" s="11" t="s">
        <v>94</v>
      </c>
      <c r="T5" s="11" t="s">
        <v>95</v>
      </c>
      <c r="U5" s="11" t="s">
        <v>96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</row>
    <row r="6" spans="1:1165">
      <c r="A6" s="13" t="s">
        <v>8</v>
      </c>
      <c r="D6" s="14"/>
      <c r="E6" s="15"/>
      <c r="F6" s="15"/>
      <c r="H6" s="15"/>
      <c r="I6" s="14"/>
      <c r="K6" s="15"/>
      <c r="M6" s="15"/>
      <c r="N6" s="14"/>
      <c r="O6" s="6"/>
      <c r="P6" s="15"/>
      <c r="Q6" s="17"/>
      <c r="R6" s="15"/>
      <c r="S6" s="14"/>
      <c r="T6" s="17"/>
      <c r="U6" s="15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</row>
    <row r="7" spans="1:1165">
      <c r="A7" s="16" t="s">
        <v>55</v>
      </c>
      <c r="B7" s="6">
        <v>3000</v>
      </c>
      <c r="C7" s="6">
        <v>30</v>
      </c>
      <c r="D7" s="14">
        <v>0.01</v>
      </c>
      <c r="E7" s="15">
        <v>41</v>
      </c>
      <c r="F7" s="15">
        <v>1.4</v>
      </c>
      <c r="G7" s="6">
        <v>6</v>
      </c>
      <c r="H7" s="15">
        <v>60</v>
      </c>
      <c r="I7" s="14">
        <v>0.2</v>
      </c>
      <c r="J7" s="6">
        <v>0</v>
      </c>
      <c r="K7" s="15">
        <v>0</v>
      </c>
      <c r="L7" s="6">
        <v>8</v>
      </c>
      <c r="M7" s="15">
        <v>80</v>
      </c>
      <c r="N7" s="14">
        <v>0.25</v>
      </c>
      <c r="O7" s="6">
        <v>0</v>
      </c>
      <c r="P7" s="15">
        <v>0</v>
      </c>
      <c r="Q7" s="17">
        <v>9</v>
      </c>
      <c r="R7" s="15">
        <v>90</v>
      </c>
      <c r="S7" s="14">
        <v>0.3</v>
      </c>
      <c r="T7" s="17">
        <v>0</v>
      </c>
      <c r="U7" s="15">
        <v>0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</row>
    <row r="8" spans="1:1165">
      <c r="A8" s="16" t="s">
        <v>61</v>
      </c>
      <c r="B8" s="6">
        <v>12000</v>
      </c>
      <c r="C8" s="6">
        <v>120</v>
      </c>
      <c r="D8" s="14">
        <v>0.01</v>
      </c>
      <c r="E8" s="15">
        <v>175</v>
      </c>
      <c r="F8" s="15">
        <v>1.5333333333333301</v>
      </c>
      <c r="G8" s="6">
        <v>24</v>
      </c>
      <c r="H8" s="15">
        <v>240</v>
      </c>
      <c r="I8" s="14">
        <v>0.2</v>
      </c>
      <c r="J8" s="6">
        <v>0</v>
      </c>
      <c r="K8" s="15">
        <v>0</v>
      </c>
      <c r="L8" s="6">
        <v>31</v>
      </c>
      <c r="M8" s="15">
        <v>310</v>
      </c>
      <c r="N8" s="14">
        <v>0.25</v>
      </c>
      <c r="O8" s="6">
        <v>0</v>
      </c>
      <c r="P8" s="15">
        <v>0</v>
      </c>
      <c r="Q8" s="17">
        <v>36</v>
      </c>
      <c r="R8" s="15">
        <v>360</v>
      </c>
      <c r="S8" s="14">
        <v>0.3</v>
      </c>
      <c r="T8" s="17">
        <v>0</v>
      </c>
      <c r="U8" s="15">
        <v>0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</row>
    <row r="9" spans="1:1165">
      <c r="A9" s="16" t="s">
        <v>63</v>
      </c>
      <c r="B9" s="6">
        <v>13000</v>
      </c>
      <c r="C9" s="6">
        <v>130</v>
      </c>
      <c r="D9" s="14">
        <v>0.01</v>
      </c>
      <c r="E9" s="15">
        <v>154</v>
      </c>
      <c r="F9" s="15">
        <v>1.1499999999999999</v>
      </c>
      <c r="G9" s="6">
        <v>26</v>
      </c>
      <c r="H9" s="15">
        <v>260</v>
      </c>
      <c r="I9" s="14">
        <v>0.2</v>
      </c>
      <c r="J9" s="6">
        <v>0</v>
      </c>
      <c r="K9" s="15">
        <v>0</v>
      </c>
      <c r="L9" s="6">
        <v>33</v>
      </c>
      <c r="M9" s="15">
        <v>330</v>
      </c>
      <c r="N9" s="14">
        <v>0.25</v>
      </c>
      <c r="O9" s="6">
        <v>0</v>
      </c>
      <c r="P9" s="15">
        <v>0</v>
      </c>
      <c r="Q9" s="17">
        <v>39</v>
      </c>
      <c r="R9" s="15">
        <v>390</v>
      </c>
      <c r="S9" s="14">
        <v>0.3</v>
      </c>
      <c r="T9" s="17">
        <v>0</v>
      </c>
      <c r="U9" s="15">
        <v>0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</row>
    <row r="10" spans="1:1165">
      <c r="A10" s="13" t="s">
        <v>97</v>
      </c>
      <c r="B10" s="6">
        <v>28000</v>
      </c>
      <c r="C10" s="6">
        <v>280</v>
      </c>
      <c r="D10" s="14">
        <v>0.01</v>
      </c>
      <c r="E10" s="15">
        <v>370</v>
      </c>
      <c r="F10" s="15">
        <v>1.3857142857142899</v>
      </c>
      <c r="G10" s="6">
        <v>56</v>
      </c>
      <c r="H10" s="15">
        <v>560</v>
      </c>
      <c r="I10" s="14">
        <v>0.2</v>
      </c>
      <c r="J10" s="6">
        <v>0</v>
      </c>
      <c r="K10" s="15">
        <v>0</v>
      </c>
      <c r="L10" s="6">
        <v>72</v>
      </c>
      <c r="M10" s="15">
        <v>720</v>
      </c>
      <c r="N10" s="14">
        <v>0.25</v>
      </c>
      <c r="O10" s="6">
        <v>0</v>
      </c>
      <c r="P10" s="15">
        <v>0</v>
      </c>
      <c r="Q10" s="17">
        <v>84</v>
      </c>
      <c r="R10" s="15">
        <v>840</v>
      </c>
      <c r="S10" s="14">
        <v>0.3</v>
      </c>
      <c r="T10" s="17">
        <v>0</v>
      </c>
      <c r="U10" s="15">
        <v>0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</row>
    <row r="11" spans="1:1165">
      <c r="A11" s="13" t="s">
        <v>11</v>
      </c>
      <c r="D11" s="14"/>
      <c r="E11" s="15"/>
      <c r="F11" s="15"/>
      <c r="H11" s="15"/>
      <c r="I11" s="14"/>
      <c r="K11" s="15"/>
      <c r="M11" s="15"/>
      <c r="N11" s="14"/>
      <c r="O11" s="6"/>
      <c r="P11" s="15"/>
      <c r="Q11" s="17"/>
      <c r="R11" s="15"/>
      <c r="S11" s="14"/>
      <c r="T11" s="17"/>
      <c r="U11" s="15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</row>
    <row r="12" spans="1:1165">
      <c r="A12" s="16" t="s">
        <v>55</v>
      </c>
      <c r="B12" s="6">
        <v>48900</v>
      </c>
      <c r="C12" s="6">
        <v>489</v>
      </c>
      <c r="D12" s="14">
        <v>0.01</v>
      </c>
      <c r="E12" s="15">
        <v>686.3</v>
      </c>
      <c r="F12" s="15">
        <v>1.3857142857142899</v>
      </c>
      <c r="G12" s="6">
        <v>97</v>
      </c>
      <c r="H12" s="15">
        <v>970</v>
      </c>
      <c r="I12" s="14">
        <v>0.2</v>
      </c>
      <c r="J12" s="6">
        <v>0</v>
      </c>
      <c r="K12" s="15">
        <v>0</v>
      </c>
      <c r="L12" s="6">
        <v>125</v>
      </c>
      <c r="M12" s="15">
        <v>1250</v>
      </c>
      <c r="N12" s="14">
        <v>0.25</v>
      </c>
      <c r="O12" s="6">
        <v>0</v>
      </c>
      <c r="P12" s="15">
        <v>0</v>
      </c>
      <c r="Q12" s="17">
        <v>147</v>
      </c>
      <c r="R12" s="15">
        <v>1470</v>
      </c>
      <c r="S12" s="14">
        <v>0.3</v>
      </c>
      <c r="T12" s="17">
        <v>0</v>
      </c>
      <c r="U12" s="15">
        <v>0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</row>
    <row r="13" spans="1:1165">
      <c r="A13" s="16" t="s">
        <v>61</v>
      </c>
      <c r="B13" s="6">
        <v>45500</v>
      </c>
      <c r="C13" s="6">
        <v>455</v>
      </c>
      <c r="D13" s="14">
        <v>0.01</v>
      </c>
      <c r="E13" s="15">
        <v>634.4</v>
      </c>
      <c r="F13" s="15">
        <v>1.3857142857142899</v>
      </c>
      <c r="G13" s="6">
        <v>90</v>
      </c>
      <c r="H13" s="15">
        <v>900</v>
      </c>
      <c r="I13" s="14">
        <v>0.2</v>
      </c>
      <c r="J13" s="6">
        <v>0</v>
      </c>
      <c r="K13" s="15">
        <v>0</v>
      </c>
      <c r="L13" s="6">
        <v>117</v>
      </c>
      <c r="M13" s="15">
        <v>1170</v>
      </c>
      <c r="N13" s="14">
        <v>0.25</v>
      </c>
      <c r="O13" s="6">
        <v>0</v>
      </c>
      <c r="P13" s="15">
        <v>0</v>
      </c>
      <c r="Q13" s="17">
        <v>137</v>
      </c>
      <c r="R13" s="15">
        <v>1370</v>
      </c>
      <c r="S13" s="14">
        <v>0.3</v>
      </c>
      <c r="T13" s="17">
        <v>0</v>
      </c>
      <c r="U13" s="15">
        <v>0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</row>
    <row r="14" spans="1:1165">
      <c r="A14" s="16" t="s">
        <v>63</v>
      </c>
      <c r="B14" s="6">
        <v>48300</v>
      </c>
      <c r="C14" s="6">
        <v>483</v>
      </c>
      <c r="D14" s="14">
        <v>0.01</v>
      </c>
      <c r="E14" s="15">
        <v>663.5</v>
      </c>
      <c r="F14" s="15">
        <v>1.3857142857142899</v>
      </c>
      <c r="G14" s="6">
        <v>96</v>
      </c>
      <c r="H14" s="15">
        <v>960</v>
      </c>
      <c r="I14" s="14">
        <v>0.2</v>
      </c>
      <c r="J14" s="6">
        <v>0</v>
      </c>
      <c r="K14" s="15">
        <v>0</v>
      </c>
      <c r="L14" s="6">
        <v>124</v>
      </c>
      <c r="M14" s="15">
        <v>1240</v>
      </c>
      <c r="N14" s="14">
        <v>0.25</v>
      </c>
      <c r="O14" s="6">
        <v>0</v>
      </c>
      <c r="P14" s="15">
        <v>0</v>
      </c>
      <c r="Q14" s="17">
        <v>146</v>
      </c>
      <c r="R14" s="15">
        <v>1460</v>
      </c>
      <c r="S14" s="14">
        <v>0.3</v>
      </c>
      <c r="T14" s="17">
        <v>0</v>
      </c>
      <c r="U14" s="15">
        <v>0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</row>
    <row r="15" spans="1:1165">
      <c r="A15" s="16" t="s">
        <v>66</v>
      </c>
      <c r="B15" s="6">
        <v>41000</v>
      </c>
      <c r="C15" s="6">
        <v>410</v>
      </c>
      <c r="D15" s="14">
        <v>0.01</v>
      </c>
      <c r="E15" s="15">
        <v>585.79999999999995</v>
      </c>
      <c r="F15" s="15">
        <v>1.5</v>
      </c>
      <c r="G15" s="6">
        <v>81</v>
      </c>
      <c r="H15" s="15">
        <v>810</v>
      </c>
      <c r="I15" s="14">
        <v>0.2</v>
      </c>
      <c r="J15" s="6">
        <v>0</v>
      </c>
      <c r="K15" s="15">
        <v>0</v>
      </c>
      <c r="L15" s="6">
        <v>105</v>
      </c>
      <c r="M15" s="15">
        <v>1050</v>
      </c>
      <c r="N15" s="14">
        <v>0.25</v>
      </c>
      <c r="O15" s="6">
        <v>0</v>
      </c>
      <c r="P15" s="15">
        <v>0</v>
      </c>
      <c r="Q15" s="17">
        <v>124</v>
      </c>
      <c r="R15" s="15">
        <v>1240</v>
      </c>
      <c r="S15" s="14">
        <v>0.3</v>
      </c>
      <c r="T15" s="17">
        <v>0</v>
      </c>
      <c r="U15" s="15">
        <v>0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</row>
    <row r="16" spans="1:1165">
      <c r="A16" s="16" t="s">
        <v>67</v>
      </c>
      <c r="B16" s="6">
        <v>38200</v>
      </c>
      <c r="C16" s="6">
        <v>382</v>
      </c>
      <c r="D16" s="14">
        <v>0.01</v>
      </c>
      <c r="E16" s="15">
        <v>527.6</v>
      </c>
      <c r="F16" s="15">
        <v>1.35</v>
      </c>
      <c r="G16" s="6">
        <v>76</v>
      </c>
      <c r="H16" s="15">
        <v>760</v>
      </c>
      <c r="I16" s="14">
        <v>0.2</v>
      </c>
      <c r="J16" s="6">
        <v>0</v>
      </c>
      <c r="K16" s="15">
        <v>0</v>
      </c>
      <c r="L16" s="6">
        <v>98</v>
      </c>
      <c r="M16" s="15">
        <v>980</v>
      </c>
      <c r="N16" s="14">
        <v>0.25</v>
      </c>
      <c r="O16" s="6">
        <v>0</v>
      </c>
      <c r="P16" s="15">
        <v>0</v>
      </c>
      <c r="Q16" s="17">
        <v>115</v>
      </c>
      <c r="R16" s="15">
        <v>1150</v>
      </c>
      <c r="S16" s="14">
        <v>0.3</v>
      </c>
      <c r="T16" s="17">
        <v>0</v>
      </c>
      <c r="U16" s="15">
        <v>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</row>
    <row r="17" spans="1:1165">
      <c r="A17" s="13" t="s">
        <v>98</v>
      </c>
      <c r="B17" s="6">
        <v>221900</v>
      </c>
      <c r="C17" s="6">
        <v>2219</v>
      </c>
      <c r="D17" s="14">
        <v>0.01</v>
      </c>
      <c r="E17" s="15">
        <v>3097.6</v>
      </c>
      <c r="F17" s="15">
        <v>1.4</v>
      </c>
      <c r="G17" s="6">
        <v>440</v>
      </c>
      <c r="H17" s="15">
        <v>4400</v>
      </c>
      <c r="I17" s="14">
        <v>0.2</v>
      </c>
      <c r="J17" s="6">
        <v>0</v>
      </c>
      <c r="K17" s="15">
        <v>0</v>
      </c>
      <c r="L17" s="6">
        <v>569</v>
      </c>
      <c r="M17" s="15">
        <v>5690</v>
      </c>
      <c r="N17" s="14">
        <v>0.25</v>
      </c>
      <c r="O17" s="6">
        <v>0</v>
      </c>
      <c r="P17" s="15">
        <v>0</v>
      </c>
      <c r="Q17" s="17">
        <v>669</v>
      </c>
      <c r="R17" s="15">
        <v>6690</v>
      </c>
      <c r="S17" s="14">
        <v>0.3</v>
      </c>
      <c r="T17" s="17">
        <v>0</v>
      </c>
      <c r="U17" s="15">
        <v>0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</row>
    <row r="18" spans="1:1165">
      <c r="A18" s="13" t="s">
        <v>99</v>
      </c>
      <c r="B18" s="6">
        <v>249900</v>
      </c>
      <c r="C18" s="6">
        <v>2499</v>
      </c>
      <c r="D18" s="14">
        <v>0.01</v>
      </c>
      <c r="E18" s="15">
        <v>3467.6</v>
      </c>
      <c r="F18" s="15">
        <v>1.3975</v>
      </c>
      <c r="G18" s="6">
        <v>496</v>
      </c>
      <c r="H18" s="15">
        <v>4960</v>
      </c>
      <c r="I18" s="14">
        <v>0.2</v>
      </c>
      <c r="J18" s="6">
        <v>0</v>
      </c>
      <c r="K18" s="15">
        <v>0</v>
      </c>
      <c r="L18" s="6">
        <v>641</v>
      </c>
      <c r="M18" s="15">
        <v>6410</v>
      </c>
      <c r="N18" s="14">
        <v>0.25</v>
      </c>
      <c r="O18" s="6">
        <v>0</v>
      </c>
      <c r="P18" s="15">
        <v>0</v>
      </c>
      <c r="Q18" s="17">
        <v>753</v>
      </c>
      <c r="R18" s="15">
        <v>7530</v>
      </c>
      <c r="S18" s="14">
        <v>0.3</v>
      </c>
      <c r="T18" s="17">
        <v>0</v>
      </c>
      <c r="U18" s="15">
        <v>0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</row>
    <row r="19" spans="1:116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</row>
    <row r="20" spans="1:116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</row>
    <row r="21" spans="1:116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</row>
    <row r="22" spans="1:116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</row>
    <row r="23" spans="1:116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</row>
    <row r="24" spans="1:116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</row>
    <row r="25" spans="1:116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</row>
    <row r="26" spans="1:116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</row>
    <row r="27" spans="1:116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</row>
    <row r="28" spans="1:116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</row>
    <row r="29" spans="1:116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</row>
    <row r="30" spans="1:116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</row>
    <row r="31" spans="1:116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</row>
    <row r="32" spans="1:116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</row>
    <row r="33" spans="1: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1: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1: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1: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1: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</row>
    <row r="59" spans="1: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</row>
    <row r="60" spans="1: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</row>
    <row r="61" spans="1: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</row>
    <row r="62" spans="1: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1: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1: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1: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1: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1: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1: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  <row r="80" spans="1: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</row>
    <row r="81" spans="1: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</row>
    <row r="82" spans="1: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</row>
    <row r="83" spans="1: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1: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1: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1: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1: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</row>
    <row r="88" spans="1: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</row>
    <row r="89" spans="1: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</row>
    <row r="90" spans="1: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</row>
    <row r="102" spans="1: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</row>
    <row r="103" spans="1: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 spans="1: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</row>
    <row r="105" spans="1: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</row>
    <row r="106" spans="1: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</row>
    <row r="108" spans="1: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</row>
    <row r="109" spans="1: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1: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</row>
    <row r="124" spans="1: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</row>
    <row r="125" spans="1: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</row>
    <row r="126" spans="1: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</row>
    <row r="127" spans="1: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</row>
    <row r="128" spans="1: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</row>
    <row r="146" spans="1: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</row>
    <row r="147" spans="1: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1: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</row>
    <row r="149" spans="1: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</row>
    <row r="151" spans="1: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 spans="1: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1: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1: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5" spans="1: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</row>
    <row r="156" spans="1: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1: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</row>
    <row r="169" spans="1: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1: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1: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</row>
    <row r="190" spans="1: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</row>
    <row r="191" spans="1: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</row>
    <row r="192" spans="1: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</row>
    <row r="193" spans="1: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</row>
    <row r="194" spans="1: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</row>
    <row r="195" spans="1: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</row>
    <row r="196" spans="1: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</row>
    <row r="197" spans="1: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</row>
    <row r="198" spans="1: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</row>
    <row r="199" spans="1: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</row>
    <row r="200" spans="1: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1: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 spans="1: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</row>
    <row r="214" spans="1: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1: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</row>
    <row r="217" spans="1: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1: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1: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</row>
    <row r="220" spans="1: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</row>
    <row r="234" spans="1: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</row>
    <row r="235" spans="1: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</row>
    <row r="236" spans="1: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</row>
    <row r="237" spans="1: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</row>
    <row r="238" spans="1: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</row>
    <row r="239" spans="1: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</row>
    <row r="240" spans="1: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</row>
    <row r="241" spans="1: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</row>
    <row r="242" spans="1: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</row>
    <row r="243" spans="1: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</row>
    <row r="244" spans="1: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</row>
    <row r="256" spans="1: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</row>
    <row r="257" spans="1: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</row>
    <row r="258" spans="1: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 spans="1: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</row>
    <row r="260" spans="1: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</row>
    <row r="261" spans="1: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</row>
    <row r="262" spans="1: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</row>
    <row r="263" spans="1: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</row>
    <row r="264" spans="1: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</row>
    <row r="265" spans="1: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</row>
    <row r="266" spans="1: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  <row r="277" spans="1: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</row>
    <row r="278" spans="1: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</row>
    <row r="279" spans="1: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</row>
    <row r="280" spans="1: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</row>
    <row r="281" spans="1: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</row>
    <row r="282" spans="1: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</row>
    <row r="283" spans="1: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</row>
    <row r="284" spans="1: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</row>
    <row r="285" spans="1: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</row>
    <row r="286" spans="1: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</row>
    <row r="287" spans="1: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</row>
    <row r="288" spans="1: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</row>
    <row r="289" spans="1: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</row>
    <row r="290" spans="1: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</row>
    <row r="291" spans="1: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</row>
    <row r="292" spans="1: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</row>
    <row r="293" spans="1: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</row>
    <row r="294" spans="1: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</row>
    <row r="295" spans="1: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</row>
    <row r="296" spans="1: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</row>
    <row r="297" spans="1: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</row>
    <row r="298" spans="1: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</row>
    <row r="299" spans="1: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</row>
    <row r="300" spans="1: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</row>
    <row r="301" spans="1: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</row>
    <row r="302" spans="1: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</row>
    <row r="303" spans="1: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</row>
    <row r="304" spans="1: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</row>
    <row r="305" spans="1: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</row>
    <row r="306" spans="1: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</row>
    <row r="307" spans="1: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</row>
    <row r="308" spans="1: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</row>
    <row r="309" spans="1: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</row>
    <row r="310" spans="1: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</row>
    <row r="311" spans="1: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</row>
    <row r="312" spans="1: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</row>
    <row r="313" spans="1: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</row>
    <row r="314" spans="1: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</row>
    <row r="315" spans="1: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</row>
    <row r="316" spans="1: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</row>
    <row r="317" spans="1: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</row>
    <row r="318" spans="1: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</row>
    <row r="319" spans="1: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</row>
    <row r="320" spans="1: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</row>
    <row r="321" spans="1: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</row>
    <row r="322" spans="1: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</row>
    <row r="323" spans="1: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</row>
    <row r="324" spans="1: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</row>
    <row r="325" spans="1: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</row>
    <row r="326" spans="1: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</row>
    <row r="327" spans="1: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</row>
    <row r="328" spans="1: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</row>
    <row r="329" spans="1: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</row>
    <row r="330" spans="1: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</row>
    <row r="331" spans="1: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</row>
    <row r="332" spans="1: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</row>
    <row r="333" spans="1: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</row>
    <row r="334" spans="1: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</row>
    <row r="335" spans="1: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 spans="1: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</row>
    <row r="337" spans="1: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</row>
    <row r="338" spans="1: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</row>
    <row r="339" spans="1: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 spans="1: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</row>
    <row r="341" spans="1: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</row>
    <row r="342" spans="1: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</row>
    <row r="343" spans="1: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</row>
    <row r="344" spans="1: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</row>
    <row r="345" spans="1: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</row>
    <row r="346" spans="1: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</row>
    <row r="347" spans="1: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</row>
    <row r="348" spans="1: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</row>
    <row r="349" spans="1: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</row>
    <row r="350" spans="1: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</row>
    <row r="351" spans="1: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</row>
    <row r="352" spans="1: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</row>
    <row r="353" spans="1: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</row>
    <row r="354" spans="1: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</row>
    <row r="355" spans="1: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 spans="1: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</row>
    <row r="357" spans="1: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</row>
    <row r="358" spans="1: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</row>
    <row r="359" spans="1: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</row>
    <row r="360" spans="1: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</row>
    <row r="361" spans="1: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</row>
    <row r="362" spans="1: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</row>
    <row r="363" spans="1: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</row>
    <row r="364" spans="1: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</row>
    <row r="365" spans="1: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</row>
    <row r="366" spans="1: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 spans="1: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</row>
    <row r="368" spans="1: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</row>
    <row r="369" spans="1: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</row>
    <row r="370" spans="1: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</row>
    <row r="371" spans="1: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</row>
    <row r="372" spans="1: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 spans="1: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</row>
    <row r="374" spans="1: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</row>
    <row r="375" spans="1: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</row>
    <row r="376" spans="1: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</row>
    <row r="377" spans="1: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</row>
    <row r="378" spans="1: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</row>
    <row r="379" spans="1: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</row>
    <row r="380" spans="1: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</row>
    <row r="381" spans="1: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</row>
    <row r="382" spans="1: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</row>
    <row r="383" spans="1: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</row>
    <row r="384" spans="1: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</row>
    <row r="385" spans="1: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</row>
    <row r="386" spans="1: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</row>
    <row r="387" spans="1: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</row>
    <row r="388" spans="1: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</row>
    <row r="389" spans="1: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</row>
    <row r="390" spans="1: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</row>
    <row r="391" spans="1: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</row>
    <row r="392" spans="1: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</row>
    <row r="393" spans="1: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</row>
    <row r="394" spans="1: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</row>
    <row r="395" spans="1: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</row>
    <row r="396" spans="1: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</row>
    <row r="397" spans="1: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</row>
    <row r="398" spans="1: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</row>
    <row r="399" spans="1: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</row>
    <row r="400" spans="1: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</row>
    <row r="401" spans="1: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</row>
    <row r="402" spans="1: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</row>
    <row r="403" spans="1: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</row>
    <row r="404" spans="1: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</row>
    <row r="405" spans="1: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</row>
    <row r="406" spans="1: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</row>
    <row r="407" spans="1: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</row>
    <row r="408" spans="1: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</row>
    <row r="409" spans="1: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</row>
    <row r="410" spans="1: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</row>
    <row r="411" spans="1: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</row>
    <row r="412" spans="1: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</row>
    <row r="413" spans="1: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</row>
    <row r="414" spans="1: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</row>
    <row r="415" spans="1: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</row>
    <row r="416" spans="1: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</row>
    <row r="417" spans="1: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</row>
    <row r="418" spans="1: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</row>
    <row r="419" spans="1: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</row>
    <row r="420" spans="1: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</row>
    <row r="421" spans="1: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</row>
    <row r="422" spans="1: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</row>
    <row r="423" spans="1: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</row>
    <row r="424" spans="1: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</row>
    <row r="425" spans="1: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</row>
    <row r="426" spans="1: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</row>
    <row r="427" spans="1: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</row>
    <row r="428" spans="1: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</row>
    <row r="429" spans="1: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</row>
    <row r="430" spans="1: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</row>
    <row r="431" spans="1: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</row>
    <row r="432" spans="1: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</row>
    <row r="433" spans="1: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</row>
    <row r="434" spans="1: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</row>
    <row r="435" spans="1: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</row>
    <row r="436" spans="1: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</row>
    <row r="437" spans="1: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</row>
    <row r="438" spans="1: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</row>
    <row r="439" spans="1: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</row>
    <row r="440" spans="1: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</row>
    <row r="441" spans="1: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</row>
    <row r="442" spans="1: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</row>
    <row r="443" spans="1: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</row>
    <row r="444" spans="1: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</row>
    <row r="445" spans="1: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</row>
    <row r="446" spans="1: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</row>
    <row r="447" spans="1: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</row>
    <row r="448" spans="1: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</row>
    <row r="449" spans="1: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</row>
    <row r="450" spans="1: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</row>
    <row r="451" spans="1: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</row>
    <row r="452" spans="1: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</row>
    <row r="453" spans="1: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</row>
    <row r="454" spans="1: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</row>
    <row r="455" spans="1: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</row>
    <row r="456" spans="1: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</row>
    <row r="457" spans="1: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</row>
    <row r="458" spans="1: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</row>
    <row r="459" spans="1: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</row>
    <row r="460" spans="1: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</row>
    <row r="461" spans="1: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</row>
    <row r="462" spans="1: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</row>
    <row r="463" spans="1: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</row>
    <row r="464" spans="1: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</row>
    <row r="465" spans="1: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</row>
    <row r="466" spans="1: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</row>
    <row r="467" spans="1: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</row>
    <row r="468" spans="1: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</row>
    <row r="469" spans="1: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</row>
    <row r="470" spans="1: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</row>
    <row r="471" spans="1: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</row>
    <row r="472" spans="1: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</row>
    <row r="473" spans="1: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</row>
    <row r="474" spans="1: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</row>
    <row r="475" spans="1: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</row>
    <row r="476" spans="1: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</row>
    <row r="477" spans="1: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</row>
    <row r="478" spans="1: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</row>
    <row r="479" spans="1: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</row>
    <row r="480" spans="1: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</row>
    <row r="481" spans="1: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</row>
    <row r="482" spans="1: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</row>
    <row r="483" spans="1: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</row>
    <row r="484" spans="1: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</row>
    <row r="485" spans="1: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</row>
    <row r="486" spans="1: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</row>
    <row r="487" spans="1: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</row>
    <row r="488" spans="1: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</row>
    <row r="489" spans="1: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</row>
    <row r="490" spans="1: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</row>
    <row r="491" spans="1: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</row>
    <row r="492" spans="1: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</row>
    <row r="493" spans="1: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</row>
    <row r="494" spans="1: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</row>
    <row r="495" spans="1: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</row>
    <row r="496" spans="1: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</row>
    <row r="497" spans="1: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</row>
    <row r="498" spans="1: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</row>
    <row r="499" spans="1: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</row>
    <row r="500" spans="1: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</row>
    <row r="501" spans="1: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</row>
    <row r="502" spans="1: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</row>
    <row r="503" spans="1: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</row>
    <row r="504" spans="1: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</row>
    <row r="505" spans="1: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</row>
    <row r="506" spans="1: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</row>
    <row r="507" spans="1: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</row>
    <row r="508" spans="1: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</row>
    <row r="509" spans="1: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</row>
    <row r="510" spans="1: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</row>
    <row r="511" spans="1: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</row>
    <row r="512" spans="1: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</row>
    <row r="513" spans="1: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</row>
    <row r="514" spans="1: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</row>
    <row r="515" spans="1: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</row>
    <row r="516" spans="1: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</row>
    <row r="517" spans="1: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</row>
    <row r="518" spans="1: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</row>
    <row r="519" spans="1: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</row>
    <row r="520" spans="1: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</row>
    <row r="521" spans="1: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</row>
    <row r="522" spans="1: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</row>
    <row r="523" spans="1: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</row>
    <row r="524" spans="1: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</row>
    <row r="525" spans="1: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</row>
    <row r="526" spans="1: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</row>
    <row r="527" spans="1: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</row>
    <row r="528" spans="1: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</row>
    <row r="529" spans="1: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</row>
    <row r="530" spans="1: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</row>
    <row r="531" spans="1: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</row>
    <row r="532" spans="1: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</row>
    <row r="533" spans="1: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</row>
    <row r="534" spans="1: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</row>
    <row r="535" spans="1: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</row>
    <row r="536" spans="1: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</row>
    <row r="537" spans="1: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</row>
    <row r="538" spans="1: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</row>
    <row r="539" spans="1: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</row>
    <row r="540" spans="1: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</row>
    <row r="541" spans="1: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</row>
    <row r="542" spans="1: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</row>
    <row r="543" spans="1: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</row>
    <row r="544" spans="1: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</row>
    <row r="545" spans="1: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</row>
    <row r="546" spans="1: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</row>
    <row r="547" spans="1: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</row>
    <row r="548" spans="1: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</row>
    <row r="549" spans="1: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</row>
    <row r="550" spans="1: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</row>
    <row r="551" spans="1: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</row>
    <row r="552" spans="1: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</row>
    <row r="553" spans="1: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</row>
    <row r="554" spans="1: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</row>
    <row r="555" spans="1: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</row>
    <row r="556" spans="1: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</row>
    <row r="557" spans="1: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</row>
    <row r="558" spans="1: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</row>
    <row r="559" spans="1: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</row>
    <row r="560" spans="1: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</row>
    <row r="561" spans="1: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</row>
    <row r="562" spans="1: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</row>
    <row r="563" spans="1: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</row>
    <row r="564" spans="1: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</row>
    <row r="565" spans="1: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</row>
    <row r="566" spans="1: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</row>
    <row r="567" spans="1: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</row>
    <row r="568" spans="1: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</row>
    <row r="569" spans="1: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</row>
    <row r="570" spans="1: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</row>
    <row r="571" spans="1: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</row>
    <row r="572" spans="1: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</row>
    <row r="573" spans="1: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</row>
    <row r="574" spans="1: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</row>
    <row r="575" spans="1: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</row>
    <row r="576" spans="1: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</row>
    <row r="577" spans="1: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</row>
    <row r="578" spans="1: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</row>
    <row r="579" spans="1: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</row>
    <row r="580" spans="1: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</row>
    <row r="581" spans="1: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</row>
    <row r="582" spans="1: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</row>
    <row r="583" spans="1: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</row>
    <row r="584" spans="1: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</row>
    <row r="585" spans="1: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</row>
    <row r="586" spans="1: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</row>
    <row r="587" spans="1: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</row>
    <row r="588" spans="1: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</row>
    <row r="589" spans="1: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</row>
    <row r="590" spans="1: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</row>
    <row r="591" spans="1: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</row>
    <row r="592" spans="1: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</row>
    <row r="593" spans="1: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</row>
    <row r="594" spans="1: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</row>
    <row r="595" spans="1: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</row>
    <row r="596" spans="1: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</row>
    <row r="597" spans="1: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</row>
    <row r="598" spans="1: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</row>
    <row r="599" spans="1: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</row>
    <row r="600" spans="1: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</row>
    <row r="601" spans="1: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</row>
    <row r="602" spans="1: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</row>
    <row r="603" spans="1: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</row>
    <row r="604" spans="1: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</row>
    <row r="605" spans="1: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</row>
    <row r="606" spans="1: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</row>
    <row r="607" spans="1: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</row>
    <row r="608" spans="1: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</row>
    <row r="609" spans="1: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</row>
    <row r="610" spans="1: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</row>
    <row r="611" spans="1: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</row>
    <row r="612" spans="1: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</row>
    <row r="613" spans="1: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</row>
    <row r="614" spans="1: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</row>
    <row r="615" spans="1: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</row>
    <row r="616" spans="1: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</row>
    <row r="617" spans="1: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</row>
    <row r="618" spans="1: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</row>
    <row r="619" spans="1: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</row>
    <row r="620" spans="1: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</row>
    <row r="621" spans="1: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</row>
    <row r="622" spans="1: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</row>
    <row r="623" spans="1: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</row>
    <row r="624" spans="1: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</row>
    <row r="625" spans="1: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</row>
    <row r="626" spans="1: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</row>
    <row r="627" spans="1: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</row>
    <row r="628" spans="1: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</row>
    <row r="629" spans="1: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</row>
    <row r="630" spans="1: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</row>
    <row r="631" spans="1: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</row>
    <row r="632" spans="1: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</row>
    <row r="633" spans="1: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</row>
    <row r="634" spans="1: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</row>
    <row r="635" spans="1: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</row>
    <row r="636" spans="1: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</row>
    <row r="637" spans="1: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</row>
    <row r="638" spans="1: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</row>
    <row r="639" spans="1: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</row>
    <row r="640" spans="1: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</row>
    <row r="641" spans="1: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</row>
    <row r="642" spans="1: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</row>
    <row r="643" spans="1: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</row>
    <row r="644" spans="1: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</row>
    <row r="645" spans="1: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</row>
    <row r="646" spans="1: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</row>
    <row r="647" spans="1: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</row>
    <row r="648" spans="1: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</row>
    <row r="649" spans="1: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</row>
    <row r="650" spans="1: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</row>
    <row r="651" spans="1: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</row>
    <row r="652" spans="1: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</row>
    <row r="653" spans="1: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</row>
    <row r="654" spans="1: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</row>
    <row r="655" spans="1: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</row>
    <row r="656" spans="1: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</row>
    <row r="657" spans="1: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</row>
    <row r="658" spans="1: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</row>
    <row r="659" spans="1: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</row>
    <row r="660" spans="1: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</row>
    <row r="661" spans="1: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</row>
    <row r="662" spans="1: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</row>
    <row r="663" spans="1: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</row>
    <row r="664" spans="1: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</row>
    <row r="665" spans="1: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</row>
    <row r="666" spans="1: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</row>
    <row r="667" spans="1: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</row>
    <row r="668" spans="1: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</row>
    <row r="669" spans="1: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</row>
    <row r="670" spans="1: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</row>
    <row r="671" spans="1: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</row>
    <row r="672" spans="1: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</row>
    <row r="673" spans="1: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</row>
    <row r="674" spans="1: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</row>
    <row r="675" spans="1: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</row>
    <row r="676" spans="1: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</row>
    <row r="677" spans="1: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</row>
    <row r="678" spans="1: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</row>
    <row r="679" spans="1: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</row>
    <row r="680" spans="1: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</row>
    <row r="681" spans="1: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</row>
    <row r="682" spans="1: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</row>
    <row r="683" spans="1: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</row>
    <row r="684" spans="1: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</row>
    <row r="685" spans="1: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</row>
    <row r="686" spans="1: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</row>
    <row r="687" spans="1: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</row>
    <row r="688" spans="1: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</row>
    <row r="689" spans="1: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</row>
    <row r="690" spans="1: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</row>
    <row r="691" spans="1: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</row>
    <row r="692" spans="1: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</row>
    <row r="693" spans="1: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</row>
    <row r="694" spans="1: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</row>
    <row r="695" spans="1: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</row>
    <row r="696" spans="1: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</row>
    <row r="697" spans="1: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</row>
    <row r="698" spans="1: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</row>
    <row r="699" spans="1: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</row>
    <row r="700" spans="1: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</row>
    <row r="701" spans="1: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</row>
    <row r="702" spans="1: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</row>
    <row r="703" spans="1: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</row>
    <row r="704" spans="1: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</row>
    <row r="705" spans="1: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</row>
    <row r="706" spans="1: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</row>
    <row r="707" spans="1: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</row>
    <row r="708" spans="1: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</row>
    <row r="709" spans="1: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</row>
    <row r="710" spans="1: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</row>
    <row r="711" spans="1: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</row>
    <row r="712" spans="1: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</row>
    <row r="713" spans="1: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</row>
    <row r="714" spans="1: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</row>
    <row r="715" spans="1: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</row>
    <row r="716" spans="1: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</row>
    <row r="717" spans="1: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</row>
    <row r="718" spans="1: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</row>
    <row r="719" spans="1: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</row>
    <row r="720" spans="1: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</row>
    <row r="721" spans="1: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</row>
    <row r="722" spans="1: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</row>
    <row r="723" spans="1: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</row>
    <row r="724" spans="1: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</row>
    <row r="725" spans="1: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</row>
    <row r="726" spans="1: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</row>
    <row r="727" spans="1: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</row>
    <row r="728" spans="1: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</row>
    <row r="729" spans="1: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</row>
    <row r="730" spans="1: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</row>
    <row r="731" spans="1: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</row>
    <row r="732" spans="1: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</row>
    <row r="733" spans="1: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</row>
    <row r="734" spans="1: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</row>
    <row r="735" spans="1: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</row>
    <row r="736" spans="1: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</row>
    <row r="737" spans="1: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</row>
    <row r="738" spans="1: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</row>
    <row r="739" spans="1: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</row>
    <row r="740" spans="1: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</row>
    <row r="741" spans="1: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</row>
    <row r="742" spans="1: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</row>
    <row r="743" spans="1: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</row>
    <row r="744" spans="1: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</row>
    <row r="745" spans="1: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</row>
    <row r="746" spans="1: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</row>
    <row r="747" spans="1: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</row>
    <row r="748" spans="1: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</row>
    <row r="749" spans="1: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</row>
    <row r="750" spans="1: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</row>
    <row r="751" spans="1: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</row>
    <row r="752" spans="1: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</row>
    <row r="753" spans="1: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</row>
    <row r="754" spans="1: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</row>
    <row r="755" spans="1: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</row>
    <row r="756" spans="1: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</row>
    <row r="757" spans="1: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</row>
    <row r="758" spans="1: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</row>
    <row r="759" spans="1: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</row>
    <row r="760" spans="1: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</row>
    <row r="761" spans="1: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</row>
    <row r="762" spans="1: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</row>
    <row r="763" spans="1: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</row>
    <row r="764" spans="1: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</row>
    <row r="765" spans="1: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</row>
    <row r="766" spans="1: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</row>
    <row r="767" spans="1: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</row>
    <row r="768" spans="1: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</row>
    <row r="769" spans="1: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</row>
    <row r="770" spans="1: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</row>
    <row r="771" spans="1: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</row>
    <row r="772" spans="1: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</row>
    <row r="773" spans="1: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</row>
    <row r="774" spans="1: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</row>
    <row r="775" spans="1: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</row>
    <row r="776" spans="1: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</row>
    <row r="777" spans="1: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</row>
    <row r="778" spans="1: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</row>
    <row r="779" spans="1: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</row>
    <row r="780" spans="1: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</row>
    <row r="781" spans="1: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</row>
    <row r="782" spans="1: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</row>
    <row r="783" spans="1: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</row>
    <row r="784" spans="1: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</row>
    <row r="785" spans="1: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</row>
    <row r="786" spans="1: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</row>
    <row r="787" spans="1: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</row>
    <row r="788" spans="1: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</row>
    <row r="789" spans="1: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</row>
    <row r="790" spans="1: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</row>
    <row r="791" spans="1: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</row>
    <row r="792" spans="1: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</row>
    <row r="793" spans="1: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</row>
    <row r="794" spans="1: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</row>
    <row r="795" spans="1: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</row>
    <row r="796" spans="1: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</row>
    <row r="797" spans="1: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</row>
    <row r="798" spans="1: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</row>
    <row r="799" spans="1: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</row>
    <row r="800" spans="1: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</row>
    <row r="801" spans="1: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</row>
    <row r="802" spans="1: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</row>
    <row r="803" spans="1: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</row>
    <row r="804" spans="1: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</row>
    <row r="805" spans="1: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</row>
    <row r="806" spans="1: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</row>
    <row r="807" spans="1: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</row>
    <row r="808" spans="1: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</row>
    <row r="809" spans="1: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</row>
    <row r="810" spans="1: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</row>
    <row r="811" spans="1: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</row>
    <row r="812" spans="1: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</row>
    <row r="813" spans="1: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</row>
    <row r="814" spans="1: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</row>
    <row r="815" spans="1: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</row>
    <row r="816" spans="1: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</row>
    <row r="817" spans="1: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</row>
    <row r="818" spans="1: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</row>
    <row r="819" spans="1: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</row>
    <row r="820" spans="1: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</row>
    <row r="821" spans="1: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</row>
    <row r="822" spans="1: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</row>
    <row r="823" spans="1: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</row>
    <row r="824" spans="1: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</row>
    <row r="825" spans="1: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</row>
    <row r="826" spans="1: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</row>
    <row r="827" spans="1: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</row>
    <row r="828" spans="1: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</row>
    <row r="829" spans="1: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</row>
    <row r="830" spans="1: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</row>
    <row r="831" spans="1: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</row>
    <row r="832" spans="1: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</row>
    <row r="833" spans="1: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</row>
    <row r="834" spans="1: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</row>
    <row r="835" spans="1: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</row>
    <row r="836" spans="1: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</row>
    <row r="837" spans="1: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</row>
    <row r="838" spans="1: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</row>
    <row r="839" spans="1: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</row>
    <row r="840" spans="1: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</row>
    <row r="841" spans="1: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</row>
    <row r="842" spans="1: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</row>
    <row r="843" spans="1: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</row>
    <row r="844" spans="1: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</row>
    <row r="845" spans="1: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</row>
    <row r="846" spans="1: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</row>
    <row r="847" spans="1: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</row>
    <row r="848" spans="1: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</row>
    <row r="849" spans="1: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</row>
    <row r="850" spans="1: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</row>
    <row r="851" spans="1: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</row>
    <row r="852" spans="1: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</row>
    <row r="853" spans="1: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</row>
    <row r="854" spans="1: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</row>
    <row r="855" spans="1: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</row>
    <row r="856" spans="1: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</row>
    <row r="857" spans="1: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</row>
    <row r="858" spans="1: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</row>
    <row r="859" spans="1: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</row>
    <row r="860" spans="1: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</row>
    <row r="861" spans="1: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</row>
    <row r="862" spans="1: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</row>
    <row r="863" spans="1: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</row>
    <row r="864" spans="1: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</row>
    <row r="865" spans="1: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</row>
    <row r="866" spans="1: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</row>
    <row r="867" spans="1: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</row>
    <row r="868" spans="1: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</row>
    <row r="869" spans="1: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</row>
    <row r="870" spans="1: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</row>
    <row r="871" spans="1: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</row>
    <row r="872" spans="1: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</row>
    <row r="873" spans="1: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</row>
    <row r="874" spans="1: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</row>
    <row r="875" spans="1: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</row>
    <row r="876" spans="1: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</row>
    <row r="877" spans="1: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</row>
    <row r="878" spans="1: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</row>
    <row r="879" spans="1: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</row>
    <row r="880" spans="1: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</row>
    <row r="881" spans="1: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</row>
    <row r="882" spans="1: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</row>
    <row r="883" spans="1: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</row>
    <row r="884" spans="1: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</row>
    <row r="885" spans="1: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</row>
    <row r="886" spans="1: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</row>
    <row r="887" spans="1: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</row>
    <row r="888" spans="1: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</row>
    <row r="889" spans="1: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</row>
    <row r="890" spans="1: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</row>
    <row r="891" spans="1: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</row>
    <row r="892" spans="1: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</row>
    <row r="893" spans="1: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</row>
    <row r="894" spans="1: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</row>
    <row r="895" spans="1: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</row>
    <row r="896" spans="1: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</row>
    <row r="897" spans="1: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</row>
    <row r="898" spans="1: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</row>
    <row r="899" spans="1: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</row>
    <row r="900" spans="1: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</row>
    <row r="901" spans="1: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</row>
    <row r="902" spans="1: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</row>
    <row r="908" spans="1: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</row>
    <row r="909" spans="1: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</row>
    <row r="910" spans="1: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</row>
    <row r="911" spans="1: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</row>
    <row r="912" spans="1: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</row>
    <row r="913" spans="1: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</row>
    <row r="914" spans="1: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</row>
    <row r="915" spans="1: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</row>
    <row r="916" spans="1: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</row>
    <row r="917" spans="1: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</row>
    <row r="918" spans="1: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</row>
    <row r="919" spans="1: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</row>
    <row r="920" spans="1: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</row>
    <row r="921" spans="1: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</row>
    <row r="922" spans="1: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</row>
    <row r="923" spans="1: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</row>
    <row r="924" spans="1: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</row>
    <row r="925" spans="1: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</row>
    <row r="926" spans="1: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</row>
    <row r="927" spans="1: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</row>
    <row r="928" spans="1: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</row>
    <row r="929" spans="1: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</row>
    <row r="930" spans="1: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</row>
    <row r="931" spans="1: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</row>
    <row r="932" spans="1: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</row>
    <row r="933" spans="1: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</row>
    <row r="934" spans="1: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</row>
    <row r="935" spans="1: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</row>
    <row r="936" spans="1: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</row>
    <row r="937" spans="1: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</row>
    <row r="938" spans="1: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</row>
    <row r="939" spans="1: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</row>
    <row r="940" spans="1: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</row>
    <row r="941" spans="1: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</row>
    <row r="942" spans="1: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</row>
    <row r="943" spans="1: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</row>
    <row r="944" spans="1: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</row>
    <row r="945" spans="1: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</row>
    <row r="946" spans="1: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</row>
    <row r="947" spans="1: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</row>
    <row r="948" spans="1: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</row>
    <row r="949" spans="1: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</row>
    <row r="950" spans="1: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</row>
    <row r="951" spans="1: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</row>
    <row r="952" spans="1: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</row>
    <row r="953" spans="1: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</row>
    <row r="954" spans="1: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</row>
    <row r="955" spans="1: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</row>
    <row r="956" spans="1: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</row>
    <row r="957" spans="1: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</row>
    <row r="958" spans="1: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</row>
    <row r="959" spans="1: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</row>
    <row r="960" spans="1: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</row>
    <row r="961" spans="1: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</row>
    <row r="962" spans="1: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</row>
    <row r="963" spans="1: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</row>
    <row r="964" spans="1: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</row>
    <row r="965" spans="1: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</row>
    <row r="966" spans="1: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</row>
    <row r="967" spans="1: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</row>
    <row r="968" spans="1: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</row>
    <row r="969" spans="1: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</row>
    <row r="970" spans="1: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</row>
    <row r="971" spans="1: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</row>
    <row r="972" spans="1: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</row>
    <row r="973" spans="1: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</row>
    <row r="974" spans="1: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</row>
    <row r="975" spans="1: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</row>
    <row r="976" spans="1: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</row>
    <row r="977" spans="1: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</row>
    <row r="978" spans="1: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</row>
    <row r="979" spans="1: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</row>
    <row r="980" spans="1: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</row>
    <row r="981" spans="1: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</row>
    <row r="982" spans="1: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</row>
    <row r="983" spans="1: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</row>
    <row r="984" spans="1: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</row>
    <row r="985" spans="1: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</row>
    <row r="986" spans="1: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</row>
    <row r="987" spans="1: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</row>
    <row r="988" spans="1: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</row>
    <row r="989" spans="1: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</row>
    <row r="990" spans="1: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</row>
    <row r="991" spans="1: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</row>
    <row r="992" spans="1: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</row>
    <row r="993" spans="1: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</row>
    <row r="994" spans="1: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</row>
    <row r="995" spans="1: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</row>
    <row r="996" spans="1: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</row>
    <row r="997" spans="1: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</row>
    <row r="998" spans="1: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</row>
    <row r="999" spans="1: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</row>
    <row r="1000" spans="1: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</row>
    <row r="1001" spans="1: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</row>
    <row r="1002" spans="1: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</row>
    <row r="1003" spans="1: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</row>
    <row r="1004" spans="1: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</row>
    <row r="1005" spans="1: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</row>
    <row r="1006" spans="1: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</row>
    <row r="1007" spans="1: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</row>
    <row r="1008" spans="1: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</row>
    <row r="1009" spans="1: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</row>
    <row r="1010" spans="1: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</row>
    <row r="1011" spans="1: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</row>
    <row r="1012" spans="1: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</row>
    <row r="1013" spans="1: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</row>
    <row r="1014" spans="1: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</row>
    <row r="1015" spans="1: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</row>
    <row r="1016" spans="1: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</row>
    <row r="1017" spans="1: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</row>
    <row r="1018" spans="1: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</row>
    <row r="1019" spans="1: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</row>
    <row r="1020" spans="1: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</row>
    <row r="1021" spans="1: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</row>
    <row r="1022" spans="1: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</row>
    <row r="1023" spans="1: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</row>
    <row r="1024" spans="1: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</row>
    <row r="1025" spans="1: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</row>
    <row r="1026" spans="1: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</row>
    <row r="1027" spans="1: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</row>
    <row r="1028" spans="1: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</row>
    <row r="1029" spans="1: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</row>
    <row r="1030" spans="1: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</row>
    <row r="1031" spans="1: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</row>
    <row r="1032" spans="1: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</row>
    <row r="1033" spans="1: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</row>
    <row r="1034" spans="1: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</row>
    <row r="1035" spans="1: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</row>
    <row r="1036" spans="1: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</row>
    <row r="1037" spans="1: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</row>
    <row r="1038" spans="1: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</row>
    <row r="1039" spans="1: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</row>
    <row r="1040" spans="1: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</row>
    <row r="1041" spans="1: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</row>
    <row r="1042" spans="1: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</row>
    <row r="1043" spans="1: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</row>
    <row r="1044" spans="1: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</row>
    <row r="1045" spans="1: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</row>
    <row r="1046" spans="1: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</row>
    <row r="1047" spans="1: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</row>
    <row r="1048" spans="1: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</row>
    <row r="1049" spans="1: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</row>
    <row r="1050" spans="1: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</row>
    <row r="1051" spans="1: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</row>
    <row r="1052" spans="1: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</row>
    <row r="1053" spans="1: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</row>
    <row r="1054" spans="1: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</row>
    <row r="1055" spans="1: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</row>
    <row r="1056" spans="1: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</row>
    <row r="1057" spans="1: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</row>
    <row r="1058" spans="1: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</row>
    <row r="1059" spans="1: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</row>
    <row r="1060" spans="1: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</row>
    <row r="1061" spans="1: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</row>
    <row r="1062" spans="1: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</row>
    <row r="1063" spans="1: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</row>
    <row r="1064" spans="1: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</row>
    <row r="1065" spans="1: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</row>
    <row r="1066" spans="1: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</row>
    <row r="1067" spans="1: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</row>
    <row r="1068" spans="1: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</row>
    <row r="1069" spans="1: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</row>
    <row r="1070" spans="1: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</row>
    <row r="1071" spans="1: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</row>
    <row r="1072" spans="1: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</row>
    <row r="1073" spans="1: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</row>
    <row r="1074" spans="1: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</row>
    <row r="1075" spans="1: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</row>
    <row r="1076" spans="1: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</row>
    <row r="1077" spans="1: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</row>
    <row r="1078" spans="1: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</row>
    <row r="1079" spans="1: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</row>
    <row r="1080" spans="1: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</row>
    <row r="1081" spans="1: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</row>
    <row r="1082" spans="1: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</row>
    <row r="1083" spans="1: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</row>
    <row r="1084" spans="1: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</row>
    <row r="1085" spans="1: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</row>
    <row r="1086" spans="1: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</row>
    <row r="1087" spans="1: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</row>
    <row r="1088" spans="1: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</row>
    <row r="1089" spans="1: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</row>
    <row r="1090" spans="1: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</row>
    <row r="1091" spans="1: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</row>
    <row r="1092" spans="1: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</row>
    <row r="1093" spans="1: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</row>
    <row r="1094" spans="1: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</row>
    <row r="1095" spans="1: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</row>
    <row r="1096" spans="1: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</row>
    <row r="1097" spans="1: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</row>
    <row r="1098" spans="1: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</row>
    <row r="1099" spans="1: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</row>
    <row r="1100" spans="1: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</row>
    <row r="1101" spans="1: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</row>
    <row r="1102" spans="1: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</row>
    <row r="1103" spans="1: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</row>
    <row r="1104" spans="1: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</row>
    <row r="1105" spans="1: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</row>
    <row r="1106" spans="1: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</row>
    <row r="1107" spans="1: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</row>
    <row r="1108" spans="1: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</row>
    <row r="1109" spans="1: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</row>
    <row r="1110" spans="1: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</row>
    <row r="1111" spans="1: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</row>
    <row r="1112" spans="1: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</row>
    <row r="1113" spans="1: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</row>
    <row r="1114" spans="1: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</row>
    <row r="1115" spans="1: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</row>
    <row r="1116" spans="1: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</row>
    <row r="1117" spans="1: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</row>
    <row r="1118" spans="1: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</row>
    <row r="1119" spans="1: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</row>
    <row r="1120" spans="1: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</row>
    <row r="1121" spans="1: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</row>
    <row r="1122" spans="1: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</row>
    <row r="1123" spans="1: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</row>
    <row r="1124" spans="1: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</row>
    <row r="1125" spans="1: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</row>
    <row r="1126" spans="1: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</row>
    <row r="1127" spans="1: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</row>
    <row r="1128" spans="1: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</row>
    <row r="1129" spans="1: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</row>
    <row r="1130" spans="1: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</row>
    <row r="1131" spans="1: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</row>
    <row r="1132" spans="1: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</row>
    <row r="1133" spans="1: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</row>
    <row r="1134" spans="1: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</row>
    <row r="1135" spans="1: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</row>
    <row r="1136" spans="1: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</row>
    <row r="1137" spans="1: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</row>
    <row r="1138" spans="1: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</row>
    <row r="1139" spans="1: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</row>
    <row r="1140" spans="1: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</row>
    <row r="1141" spans="1: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</row>
    <row r="1142" spans="1: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</row>
    <row r="1143" spans="1: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</row>
    <row r="1144" spans="1: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</row>
    <row r="1145" spans="1: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</row>
    <row r="1146" spans="1: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</row>
    <row r="1147" spans="1: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</row>
    <row r="1148" spans="1: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</row>
    <row r="1149" spans="1: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</row>
    <row r="1150" spans="1: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</row>
    <row r="1151" spans="1: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</row>
    <row r="1152" spans="1: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</row>
    <row r="1153" spans="1: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</row>
    <row r="1154" spans="1: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</row>
    <row r="1155" spans="1: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</row>
    <row r="1156" spans="1: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</row>
    <row r="1157" spans="1: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</row>
    <row r="1158" spans="1: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</row>
    <row r="1159" spans="1: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</row>
    <row r="1160" spans="1: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</row>
    <row r="1161" spans="1: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</row>
    <row r="1162" spans="1: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</row>
    <row r="1163" spans="1: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</row>
    <row r="1164" spans="1: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</row>
    <row r="1165" spans="1: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</row>
    <row r="1166" spans="1: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</row>
    <row r="1167" spans="1: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</row>
    <row r="1168" spans="1: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</row>
    <row r="1169" spans="1: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</row>
    <row r="1170" spans="1: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</row>
    <row r="1171" spans="1: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</row>
    <row r="1172" spans="1: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</row>
    <row r="1173" spans="1: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</row>
    <row r="1174" spans="1: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</row>
    <row r="1175" spans="1: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</row>
    <row r="1176" spans="1: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</row>
    <row r="1177" spans="1: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</row>
    <row r="1178" spans="1: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</row>
    <row r="1179" spans="1: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</row>
    <row r="1180" spans="1: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</row>
    <row r="1181" spans="1: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</row>
    <row r="1182" spans="1: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</row>
    <row r="1183" spans="1: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</row>
    <row r="1184" spans="1: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</row>
    <row r="1185" spans="1: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</row>
    <row r="1186" spans="1: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</row>
    <row r="1187" spans="1: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</row>
    <row r="1188" spans="1: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</row>
    <row r="1189" spans="1: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</row>
    <row r="1190" spans="1: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</row>
    <row r="1191" spans="1: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</row>
    <row r="1192" spans="1: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</row>
    <row r="1193" spans="1: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</row>
    <row r="1194" spans="1: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</row>
    <row r="1195" spans="1: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</row>
    <row r="1196" spans="1: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</row>
    <row r="1197" spans="1: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</row>
    <row r="1198" spans="1: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</row>
    <row r="1199" spans="1: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</row>
    <row r="1200" spans="1: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</row>
    <row r="1201" spans="1: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</row>
    <row r="1202" spans="1: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</row>
    <row r="1203" spans="1: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</row>
    <row r="1204" spans="1: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</row>
    <row r="1205" spans="1: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</row>
    <row r="1206" spans="1: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</row>
    <row r="1207" spans="1: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</row>
    <row r="1208" spans="1: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</row>
    <row r="1209" spans="1: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</row>
    <row r="1210" spans="1: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</row>
    <row r="1211" spans="1: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</row>
    <row r="1212" spans="1: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</row>
    <row r="1213" spans="1: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</row>
    <row r="1214" spans="1: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</row>
    <row r="1215" spans="1: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</row>
    <row r="1216" spans="1: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</row>
    <row r="1217" spans="1: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</row>
    <row r="1218" spans="1: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</row>
    <row r="1219" spans="1: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</row>
    <row r="1220" spans="1: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</row>
    <row r="1221" spans="1: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</row>
    <row r="1222" spans="1: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</row>
    <row r="1223" spans="1: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</row>
    <row r="1224" spans="1: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</row>
    <row r="1225" spans="1: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</row>
    <row r="1226" spans="1: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</row>
    <row r="1227" spans="1: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</row>
    <row r="1228" spans="1: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</row>
    <row r="1229" spans="1: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</row>
    <row r="1230" spans="1: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</row>
    <row r="1231" spans="1: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</row>
    <row r="1232" spans="1: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</row>
    <row r="1233" spans="1: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</row>
    <row r="1234" spans="1: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</row>
    <row r="1235" spans="1: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</row>
    <row r="1236" spans="1: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</row>
    <row r="1237" spans="1: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</row>
    <row r="1238" spans="1: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</row>
    <row r="1239" spans="1: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</row>
    <row r="1240" spans="1: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</row>
    <row r="1241" spans="1: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</row>
    <row r="1242" spans="1: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</row>
    <row r="1243" spans="1: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</row>
    <row r="1244" spans="1: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</row>
    <row r="1245" spans="1: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</row>
    <row r="1246" spans="1: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</row>
    <row r="1247" spans="1: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</row>
    <row r="1248" spans="1: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</row>
    <row r="1249" spans="1: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</row>
    <row r="1250" spans="1: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</row>
    <row r="1251" spans="1: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</row>
    <row r="1252" spans="1: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</row>
    <row r="1253" spans="1: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</row>
    <row r="1254" spans="1: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</row>
    <row r="1255" spans="1: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</row>
    <row r="1256" spans="1: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</row>
    <row r="1257" spans="1: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</row>
    <row r="1258" spans="1: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</row>
    <row r="1259" spans="1: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</row>
    <row r="1260" spans="1: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</row>
    <row r="1261" spans="1: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</row>
    <row r="1262" spans="1: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</row>
    <row r="1263" spans="1: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</row>
    <row r="1264" spans="1: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</row>
    <row r="1265" spans="1: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</row>
    <row r="1266" spans="1: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</row>
    <row r="1267" spans="1: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</row>
    <row r="1268" spans="1: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</row>
    <row r="1269" spans="1: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</row>
    <row r="1270" spans="1: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</row>
    <row r="1271" spans="1: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</row>
    <row r="1272" spans="1: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</row>
    <row r="1273" spans="1: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</row>
    <row r="1274" spans="1: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</row>
    <row r="1275" spans="1: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</row>
    <row r="1276" spans="1: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</row>
    <row r="1277" spans="1: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</row>
    <row r="1278" spans="1: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</row>
    <row r="1279" spans="1: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</row>
    <row r="1280" spans="1: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</row>
    <row r="1281" spans="1: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</row>
    <row r="1282" spans="1: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</row>
    <row r="1283" spans="1: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</row>
    <row r="1284" spans="1: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</row>
    <row r="1285" spans="1: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</row>
    <row r="1286" spans="1: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</row>
    <row r="1287" spans="1: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</row>
    <row r="1288" spans="1: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</row>
    <row r="1289" spans="1: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</row>
    <row r="1290" spans="1: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</row>
    <row r="1291" spans="1: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</row>
    <row r="1292" spans="1: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</row>
    <row r="1293" spans="1: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</row>
    <row r="1294" spans="1: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</row>
    <row r="1295" spans="1: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</row>
    <row r="1296" spans="1: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</row>
    <row r="1297" spans="1: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</row>
    <row r="1298" spans="1: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</row>
    <row r="1299" spans="1: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</row>
    <row r="1300" spans="1: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</row>
    <row r="1301" spans="1: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</row>
    <row r="1302" spans="1: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</row>
    <row r="1303" spans="1: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</row>
    <row r="1304" spans="1: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</row>
    <row r="1305" spans="1: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</row>
    <row r="1306" spans="1: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</row>
    <row r="1307" spans="1: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</row>
    <row r="1308" spans="1: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</row>
    <row r="1309" spans="1: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</row>
    <row r="1310" spans="1: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</row>
    <row r="1311" spans="1: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</row>
    <row r="1312" spans="1: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</row>
    <row r="1313" spans="1: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</row>
    <row r="1314" spans="1: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</row>
    <row r="1315" spans="1: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</row>
    <row r="1316" spans="1: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</row>
    <row r="1317" spans="1: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</row>
    <row r="1318" spans="1: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</row>
    <row r="1319" spans="1: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</row>
    <row r="1320" spans="1: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</row>
    <row r="1321" spans="1: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</row>
    <row r="1322" spans="1: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</row>
    <row r="1323" spans="1: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</row>
    <row r="1324" spans="1: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</row>
    <row r="1325" spans="1: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</row>
    <row r="1326" spans="1: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</row>
    <row r="1327" spans="1: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</row>
    <row r="1328" spans="1: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</row>
    <row r="1329" spans="1: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</row>
    <row r="1330" spans="1: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</row>
    <row r="1331" spans="1: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</row>
    <row r="1332" spans="1: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</row>
    <row r="1333" spans="1: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</row>
    <row r="1334" spans="1: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</row>
    <row r="1335" spans="1: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</row>
    <row r="1336" spans="1: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</row>
    <row r="1337" spans="1: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</row>
    <row r="1338" spans="1: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</row>
    <row r="1339" spans="1: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</row>
    <row r="1340" spans="1: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</row>
    <row r="1341" spans="1: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</row>
    <row r="1342" spans="1: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</row>
    <row r="1343" spans="1: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</row>
    <row r="1344" spans="1: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</row>
    <row r="1345" spans="1: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</row>
    <row r="1346" spans="1: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</row>
    <row r="1347" spans="1: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</row>
    <row r="1348" spans="1: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</row>
    <row r="1349" spans="1: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</row>
    <row r="1350" spans="1: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</row>
    <row r="1351" spans="1: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</row>
    <row r="1352" spans="1: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</row>
    <row r="1353" spans="1: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</row>
    <row r="1354" spans="1: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</row>
    <row r="1355" spans="1: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</row>
    <row r="1356" spans="1: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</row>
    <row r="1357" spans="1: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</row>
    <row r="1358" spans="1: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</row>
    <row r="1359" spans="1: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</row>
    <row r="1360" spans="1: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</row>
    <row r="1361" spans="1: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</row>
    <row r="1362" spans="1: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</row>
    <row r="1363" spans="1: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</row>
    <row r="1364" spans="1: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</row>
    <row r="1365" spans="1: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</row>
    <row r="1366" spans="1: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</row>
    <row r="1367" spans="1: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</row>
    <row r="1368" spans="1: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</row>
    <row r="1369" spans="1: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</row>
    <row r="1370" spans="1: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</row>
    <row r="1371" spans="1: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</row>
    <row r="1372" spans="1: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</row>
    <row r="1373" spans="1: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</row>
    <row r="1374" spans="1: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</row>
    <row r="1375" spans="1: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</row>
    <row r="1376" spans="1: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</row>
    <row r="1377" spans="1: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</row>
    <row r="1378" spans="1: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</row>
    <row r="1379" spans="1: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</row>
    <row r="1380" spans="1: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</row>
    <row r="1381" spans="1: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</row>
    <row r="1382" spans="1: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</row>
    <row r="1383" spans="1: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</row>
    <row r="1384" spans="1: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</row>
    <row r="1385" spans="1: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</row>
    <row r="1386" spans="1: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</row>
    <row r="1387" spans="1: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</row>
    <row r="1388" spans="1: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</row>
    <row r="1389" spans="1: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</row>
    <row r="1390" spans="1: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</row>
    <row r="1391" spans="1: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</row>
    <row r="1392" spans="1: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</row>
    <row r="1393" spans="1: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</row>
    <row r="1394" spans="1: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</row>
    <row r="1395" spans="1: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</row>
    <row r="1396" spans="1: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</row>
    <row r="1397" spans="1: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</row>
    <row r="1398" spans="1: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</row>
    <row r="1399" spans="1: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</row>
    <row r="1400" spans="1: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</row>
    <row r="1401" spans="1: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</row>
    <row r="1402" spans="1: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</row>
    <row r="1403" spans="1: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</row>
    <row r="1404" spans="1: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</row>
    <row r="1405" spans="1: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</row>
    <row r="1406" spans="1: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</row>
    <row r="1407" spans="1: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</row>
    <row r="1408" spans="1: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</row>
    <row r="1409" spans="1: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</row>
    <row r="1410" spans="1: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</row>
    <row r="1411" spans="1: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</row>
    <row r="1412" spans="1: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</row>
    <row r="1413" spans="1: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</row>
    <row r="1414" spans="1: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</row>
    <row r="1415" spans="1: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</row>
    <row r="1416" spans="1: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</row>
    <row r="1417" spans="1: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</row>
    <row r="1418" spans="1: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</row>
    <row r="1419" spans="1: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</row>
    <row r="1420" spans="1: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</row>
    <row r="1421" spans="1: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</row>
    <row r="1422" spans="1: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</row>
    <row r="1423" spans="1: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</row>
    <row r="1424" spans="1: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</row>
    <row r="1425" spans="1: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</row>
    <row r="1426" spans="1: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</row>
    <row r="1427" spans="1: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</row>
    <row r="1428" spans="1: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</row>
    <row r="1429" spans="1: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</row>
    <row r="1430" spans="1: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</row>
    <row r="1431" spans="1: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</row>
    <row r="1432" spans="1: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</row>
    <row r="1433" spans="1: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</row>
    <row r="1434" spans="1: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</row>
    <row r="1435" spans="1: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</row>
    <row r="1436" spans="1: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</row>
    <row r="1437" spans="1: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</row>
    <row r="1438" spans="1: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</row>
    <row r="1439" spans="1: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</row>
    <row r="1440" spans="1: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</row>
    <row r="1441" spans="1: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</row>
    <row r="1442" spans="1: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</row>
    <row r="1443" spans="1: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</row>
    <row r="1444" spans="1: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</row>
    <row r="1445" spans="1: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</row>
    <row r="1446" spans="1: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</row>
    <row r="1447" spans="1: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</row>
    <row r="1448" spans="1: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</row>
    <row r="1449" spans="1: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</row>
    <row r="1450" spans="1: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</row>
    <row r="1451" spans="1: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</row>
    <row r="1452" spans="1: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</row>
    <row r="1453" spans="1: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</row>
    <row r="1454" spans="1: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</row>
    <row r="1455" spans="1: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</row>
    <row r="1456" spans="1: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</row>
    <row r="1457" spans="1: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</row>
    <row r="1458" spans="1: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</row>
    <row r="1459" spans="1: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</row>
    <row r="1460" spans="1: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</row>
    <row r="1461" spans="1: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</row>
    <row r="1462" spans="1: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</row>
    <row r="1463" spans="1: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</row>
    <row r="1464" spans="1: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</row>
    <row r="1465" spans="1: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</row>
    <row r="1466" spans="1: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</row>
    <row r="1467" spans="1: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</row>
    <row r="1468" spans="1: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</row>
    <row r="1469" spans="1: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</row>
    <row r="1470" spans="1: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</row>
    <row r="1471" spans="1: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</row>
    <row r="1472" spans="1: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</row>
    <row r="1473" spans="1: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</row>
    <row r="1474" spans="1: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</row>
    <row r="1475" spans="1: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</row>
    <row r="1476" spans="1: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</row>
    <row r="1477" spans="1: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</row>
    <row r="1478" spans="1: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</row>
    <row r="1479" spans="1: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</row>
    <row r="1480" spans="1: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</row>
    <row r="1481" spans="1: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</row>
    <row r="1482" spans="1: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</row>
    <row r="1483" spans="1: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</row>
    <row r="1484" spans="1: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</row>
    <row r="1485" spans="1: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</row>
    <row r="1486" spans="1: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</row>
    <row r="1487" spans="1: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</row>
    <row r="1488" spans="1: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</row>
    <row r="1489" spans="1: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</row>
    <row r="1490" spans="1: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</row>
    <row r="1491" spans="1: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</row>
    <row r="1492" spans="1: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</row>
    <row r="1493" spans="1: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</row>
    <row r="1494" spans="1: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</row>
    <row r="1495" spans="1: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</row>
    <row r="1496" spans="1: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</row>
    <row r="1497" spans="1: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</row>
    <row r="1498" spans="1: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</row>
    <row r="1499" spans="1: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</row>
    <row r="1500" spans="1: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</row>
    <row r="1501" spans="1: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</row>
    <row r="1502" spans="1: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</row>
    <row r="1503" spans="1: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</row>
    <row r="1504" spans="1: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</row>
    <row r="1505" spans="1: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</row>
    <row r="1506" spans="1: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</row>
    <row r="1507" spans="1: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</row>
    <row r="1508" spans="1: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</row>
    <row r="1509" spans="1: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</row>
    <row r="1510" spans="1: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</row>
    <row r="1511" spans="1: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</row>
    <row r="1512" spans="1: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</row>
    <row r="1513" spans="1: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</row>
    <row r="1514" spans="1: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</row>
    <row r="1515" spans="1: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</row>
    <row r="1516" spans="1: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</row>
    <row r="1517" spans="1: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</row>
    <row r="1518" spans="1: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</row>
    <row r="1519" spans="1: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</row>
    <row r="1520" spans="1: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</row>
    <row r="1521" spans="1: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</row>
    <row r="1522" spans="1: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</row>
    <row r="1523" spans="1: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</row>
    <row r="1524" spans="1: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</row>
    <row r="1525" spans="1: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</row>
    <row r="1526" spans="1: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</row>
    <row r="1527" spans="1: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</row>
    <row r="1528" spans="1: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</row>
    <row r="1529" spans="1: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</row>
    <row r="1530" spans="1: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</row>
    <row r="1531" spans="1: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</row>
    <row r="1532" spans="1: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</row>
    <row r="1533" spans="1: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</row>
    <row r="1534" spans="1: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</row>
    <row r="1535" spans="1: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</row>
    <row r="1536" spans="1: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</row>
    <row r="1537" spans="1: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</row>
    <row r="1538" spans="1: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</row>
    <row r="1539" spans="1: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</row>
    <row r="1540" spans="1: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</row>
    <row r="1541" spans="1: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</row>
    <row r="1542" spans="1: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</row>
    <row r="1543" spans="1: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</row>
    <row r="1544" spans="1: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</row>
    <row r="1545" spans="1: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</row>
    <row r="1546" spans="1: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</row>
    <row r="1547" spans="1: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</row>
    <row r="1548" spans="1: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</row>
    <row r="1549" spans="1: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</row>
    <row r="1550" spans="1: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</row>
    <row r="1551" spans="1: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</row>
    <row r="1552" spans="1: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</row>
    <row r="1553" spans="1: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</row>
    <row r="1554" spans="1: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</row>
    <row r="1555" spans="1: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</row>
    <row r="1556" spans="1: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</row>
    <row r="1557" spans="1: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</row>
    <row r="1558" spans="1: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</row>
    <row r="1559" spans="1: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</row>
    <row r="1560" spans="1: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</row>
    <row r="1561" spans="1: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</row>
    <row r="1562" spans="1: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</row>
    <row r="1563" spans="1: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</row>
    <row r="1564" spans="1: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</row>
    <row r="1565" spans="1: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</row>
    <row r="1566" spans="1: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</row>
    <row r="1567" spans="1: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</row>
    <row r="1568" spans="1: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</row>
    <row r="1569" spans="1: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</row>
    <row r="1570" spans="1: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</row>
    <row r="1571" spans="1: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</row>
    <row r="1572" spans="1: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</row>
    <row r="1573" spans="1: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</row>
    <row r="1574" spans="1: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</row>
    <row r="1575" spans="1: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</row>
    <row r="1576" spans="1: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</row>
    <row r="1577" spans="1: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</row>
    <row r="1578" spans="1: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</row>
    <row r="1579" spans="1: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</row>
    <row r="1580" spans="1: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</row>
    <row r="1581" spans="1: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</row>
    <row r="1582" spans="1: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</row>
    <row r="1583" spans="1: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</row>
    <row r="1584" spans="1: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</row>
    <row r="1585" spans="1: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</row>
    <row r="1586" spans="1: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</row>
    <row r="1587" spans="1: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</row>
    <row r="1588" spans="1: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</row>
    <row r="1589" spans="1: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</row>
    <row r="1590" spans="1: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</row>
    <row r="1591" spans="1: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</row>
    <row r="1592" spans="1: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</row>
    <row r="1593" spans="1: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</row>
    <row r="1594" spans="1: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</row>
    <row r="1595" spans="1: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</row>
    <row r="1596" spans="1: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</row>
    <row r="1597" spans="1: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</row>
    <row r="1598" spans="1: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</row>
    <row r="1599" spans="1: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</row>
    <row r="1600" spans="1: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</row>
    <row r="1601" spans="1: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</row>
    <row r="1602" spans="1: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</row>
    <row r="1603" spans="1: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</row>
    <row r="1604" spans="1: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</row>
    <row r="1605" spans="1: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</row>
    <row r="1606" spans="1: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</row>
    <row r="1607" spans="1: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</row>
    <row r="1608" spans="1: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</row>
    <row r="1609" spans="1: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</row>
    <row r="1610" spans="1: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</row>
    <row r="1611" spans="1: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</row>
    <row r="1612" spans="1: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</row>
    <row r="1613" spans="1: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</row>
    <row r="1614" spans="1: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</row>
    <row r="1615" spans="1: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</row>
    <row r="1616" spans="1: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</row>
    <row r="1617" spans="1: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</row>
    <row r="1618" spans="1: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</row>
    <row r="1619" spans="1: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</row>
    <row r="1620" spans="1: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</row>
    <row r="1621" spans="1: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</row>
    <row r="1622" spans="1: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</row>
    <row r="1623" spans="1: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</row>
    <row r="1624" spans="1: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</row>
    <row r="1625" spans="1: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</row>
    <row r="1626" spans="1: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</row>
    <row r="1627" spans="1: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</row>
    <row r="1628" spans="1: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</row>
    <row r="1629" spans="1: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</row>
    <row r="1630" spans="1: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</row>
    <row r="1631" spans="1: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</row>
    <row r="1632" spans="1: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</row>
    <row r="1633" spans="1: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</row>
    <row r="1634" spans="1: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</row>
    <row r="1635" spans="1: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</row>
    <row r="1636" spans="1: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</row>
    <row r="1637" spans="1: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</row>
    <row r="1638" spans="1: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</row>
    <row r="1639" spans="1: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</row>
    <row r="1640" spans="1: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</row>
    <row r="1641" spans="1: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</row>
    <row r="1642" spans="1: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</row>
    <row r="1643" spans="1: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</row>
    <row r="1644" spans="1: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</row>
    <row r="1645" spans="1: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</row>
    <row r="1646" spans="1: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</row>
    <row r="1647" spans="1: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</row>
    <row r="1648" spans="1: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</row>
    <row r="1649" spans="1: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</row>
    <row r="1650" spans="1: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</row>
    <row r="1651" spans="1: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</row>
    <row r="1652" spans="1: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</row>
    <row r="1653" spans="1: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</row>
    <row r="1654" spans="1: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</row>
    <row r="1655" spans="1: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</row>
    <row r="1656" spans="1: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</row>
    <row r="1657" spans="1: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</row>
    <row r="1658" spans="1: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</row>
    <row r="1659" spans="1: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</row>
    <row r="1660" spans="1: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</row>
    <row r="1661" spans="1: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</row>
    <row r="1662" spans="1: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</row>
    <row r="1663" spans="1: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</row>
    <row r="1664" spans="1: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</row>
    <row r="1665" spans="1: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</row>
    <row r="1666" spans="1: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</row>
    <row r="1667" spans="1: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</row>
    <row r="1668" spans="1: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</row>
    <row r="1669" spans="1: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</row>
    <row r="1670" spans="1: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</row>
    <row r="1671" spans="1: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</row>
    <row r="1672" spans="1: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</row>
    <row r="1673" spans="1: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</row>
    <row r="1674" spans="1: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</row>
    <row r="1675" spans="1: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</row>
    <row r="1676" spans="1: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</row>
    <row r="1677" spans="1: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</row>
    <row r="1678" spans="1: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</row>
    <row r="1679" spans="1: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</row>
    <row r="1680" spans="1: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</row>
    <row r="1681" spans="1: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</row>
    <row r="1682" spans="1: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</row>
    <row r="1683" spans="1: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</row>
    <row r="1684" spans="1: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</row>
    <row r="1685" spans="1: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</row>
    <row r="1686" spans="1: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</row>
    <row r="1687" spans="1: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</row>
    <row r="1688" spans="1: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</row>
    <row r="1689" spans="1: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</row>
    <row r="1690" spans="1: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</row>
    <row r="1691" spans="1: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</row>
    <row r="1692" spans="1: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</row>
    <row r="1693" spans="1: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</row>
    <row r="1694" spans="1: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</row>
    <row r="1695" spans="1: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</row>
    <row r="1696" spans="1: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</row>
    <row r="1697" spans="1: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</row>
    <row r="1698" spans="1: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</row>
    <row r="1699" spans="1: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</row>
    <row r="1700" spans="1: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</row>
    <row r="1701" spans="1: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</row>
    <row r="1702" spans="1: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</row>
    <row r="1703" spans="1: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</row>
    <row r="1704" spans="1: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</row>
    <row r="1705" spans="1: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</row>
    <row r="1706" spans="1: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</row>
    <row r="1707" spans="1: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</row>
    <row r="1708" spans="1: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</row>
    <row r="1709" spans="1: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</row>
    <row r="1710" spans="1: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</row>
    <row r="1711" spans="1: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</row>
    <row r="1712" spans="1: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</row>
    <row r="1713" spans="1: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</row>
    <row r="1714" spans="1: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</row>
    <row r="1715" spans="1: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</row>
    <row r="1716" spans="1: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</row>
    <row r="1717" spans="1: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</row>
    <row r="1718" spans="1: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</row>
    <row r="1719" spans="1: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</row>
    <row r="1720" spans="1: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</row>
    <row r="1721" spans="1: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</row>
    <row r="1722" spans="1: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</row>
    <row r="1723" spans="1: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</row>
    <row r="1724" spans="1: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</row>
    <row r="1725" spans="1: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</row>
    <row r="1726" spans="1: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</row>
    <row r="1727" spans="1: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</row>
    <row r="1728" spans="1: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</row>
    <row r="1729" spans="1: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</row>
    <row r="1730" spans="1: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</row>
    <row r="1731" spans="1: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</row>
    <row r="1732" spans="1: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</row>
    <row r="1733" spans="1: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</row>
    <row r="1734" spans="1: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</row>
    <row r="1735" spans="1: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</row>
    <row r="1736" spans="1: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</row>
    <row r="1737" spans="1: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</row>
    <row r="1738" spans="1: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</row>
    <row r="1739" spans="1: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</row>
    <row r="1740" spans="1: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</row>
    <row r="1741" spans="1: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</row>
    <row r="1742" spans="1: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</row>
    <row r="1743" spans="1: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</row>
    <row r="1744" spans="1: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</row>
    <row r="1745" spans="1: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</row>
    <row r="1746" spans="1: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</row>
    <row r="1747" spans="1: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</row>
    <row r="1748" spans="1: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</row>
    <row r="1749" spans="1: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</row>
    <row r="1750" spans="1: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</row>
    <row r="1751" spans="1: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</row>
    <row r="1752" spans="1: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</row>
    <row r="1753" spans="1: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</row>
    <row r="1754" spans="1: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</row>
    <row r="1755" spans="1: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</row>
    <row r="1756" spans="1: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</row>
    <row r="1757" spans="1: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</row>
    <row r="1758" spans="1: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</row>
    <row r="1759" spans="1: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</row>
    <row r="1760" spans="1: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</row>
    <row r="1761" spans="1: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</row>
    <row r="1762" spans="1: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</row>
    <row r="1763" spans="1: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</row>
    <row r="1764" spans="1: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</row>
    <row r="1765" spans="1: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</row>
    <row r="1766" spans="1: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</row>
    <row r="1767" spans="1: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</row>
    <row r="1768" spans="1: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</row>
    <row r="1769" spans="1: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</row>
    <row r="1770" spans="1: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</row>
    <row r="1771" spans="1: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</row>
    <row r="1772" spans="1: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</row>
    <row r="1773" spans="1: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</row>
    <row r="1774" spans="1: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</row>
    <row r="1775" spans="1: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</row>
    <row r="1776" spans="1: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</row>
    <row r="1777" spans="1: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</row>
    <row r="1778" spans="1: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</row>
    <row r="1779" spans="1: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</row>
    <row r="1780" spans="1: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</row>
    <row r="1781" spans="1: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</row>
    <row r="1782" spans="1: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</row>
    <row r="1783" spans="1: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</row>
    <row r="1784" spans="1: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</row>
    <row r="1785" spans="1: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</row>
    <row r="1786" spans="1: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</row>
    <row r="1787" spans="1: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</row>
    <row r="1788" spans="1: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</row>
    <row r="1789" spans="1: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</row>
    <row r="1790" spans="1: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</row>
    <row r="1791" spans="1: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</row>
    <row r="1792" spans="1: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</row>
    <row r="1793" spans="1: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</row>
    <row r="1794" spans="1: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</row>
    <row r="1795" spans="1: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</row>
    <row r="1796" spans="1: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</row>
    <row r="1797" spans="1: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</row>
    <row r="1798" spans="1: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</row>
    <row r="1799" spans="1: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</row>
    <row r="1800" spans="1: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</row>
    <row r="1801" spans="1: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</row>
    <row r="1802" spans="1: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</row>
    <row r="1803" spans="1: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</row>
    <row r="1804" spans="1: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</row>
    <row r="1805" spans="1: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</row>
    <row r="1806" spans="1: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</row>
    <row r="1807" spans="1: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</row>
    <row r="1808" spans="1: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</row>
    <row r="1809" spans="1: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</row>
    <row r="1810" spans="1: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</row>
    <row r="1811" spans="1: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</row>
    <row r="1812" spans="1: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</row>
    <row r="1813" spans="1: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</row>
    <row r="1814" spans="1: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</row>
    <row r="1815" spans="1: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</row>
    <row r="1816" spans="1: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</row>
    <row r="1817" spans="1: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</row>
    <row r="1818" spans="1: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</row>
    <row r="1819" spans="1: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</row>
    <row r="1820" spans="1: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</row>
    <row r="1821" spans="1: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</row>
    <row r="1822" spans="1: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</row>
    <row r="1823" spans="1: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</row>
    <row r="1824" spans="1: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</row>
    <row r="1825" spans="1: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</row>
    <row r="1826" spans="1: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</row>
    <row r="1827" spans="1: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</row>
    <row r="1828" spans="1: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</row>
    <row r="1829" spans="1: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</row>
    <row r="1830" spans="1: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</row>
    <row r="1831" spans="1: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</row>
    <row r="1832" spans="1: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</row>
    <row r="1833" spans="1: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</row>
    <row r="1834" spans="1: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</row>
    <row r="1835" spans="1: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</row>
    <row r="1836" spans="1: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</row>
    <row r="1837" spans="1: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</row>
    <row r="1838" spans="1: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</row>
    <row r="1839" spans="1: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</row>
    <row r="1840" spans="1: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</row>
    <row r="1841" spans="1: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</row>
    <row r="1842" spans="1: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</row>
    <row r="1843" spans="1: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</row>
    <row r="1844" spans="1: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</row>
    <row r="1845" spans="1: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</row>
    <row r="1846" spans="1: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</row>
    <row r="1847" spans="1: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</row>
    <row r="1848" spans="1: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</row>
    <row r="1849" spans="1: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</row>
    <row r="1850" spans="1: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</row>
    <row r="1851" spans="1: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</row>
    <row r="1852" spans="1: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</row>
    <row r="1853" spans="1: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</row>
    <row r="1854" spans="1: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</row>
    <row r="1855" spans="1: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</row>
    <row r="1856" spans="1: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</row>
    <row r="1857" spans="1:2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</row>
    <row r="1858" spans="1:2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</row>
    <row r="1859" spans="1:2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</row>
    <row r="1860" spans="1:2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</row>
    <row r="1861" spans="1:2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</row>
    <row r="1862" spans="1:2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</row>
    <row r="1863" spans="1:2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</row>
    <row r="1864" spans="1:2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</row>
    <row r="1865" spans="1:2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</row>
    <row r="1866" spans="1:2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</row>
    <row r="1867" spans="1:2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</row>
    <row r="1868" spans="1:2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</row>
    <row r="1869" spans="1:2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</row>
    <row r="1870" spans="1:2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</row>
    <row r="1871" spans="1:2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</row>
    <row r="1872" spans="1:2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</row>
    <row r="1873" spans="1:20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</row>
    <row r="1874" spans="1:20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</row>
    <row r="1875" spans="1:20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</row>
    <row r="1876" spans="1:20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</row>
    <row r="1877" spans="1:20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</row>
    <row r="1878" spans="1:20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</row>
    <row r="1879" spans="1:20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</row>
    <row r="1880" spans="1:20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</row>
    <row r="1881" spans="1:20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</row>
    <row r="1882" spans="1:20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</row>
    <row r="1883" spans="1:20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</row>
    <row r="1884" spans="1:20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</row>
    <row r="1885" spans="1:20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</row>
    <row r="1886" spans="1:20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</row>
    <row r="1887" spans="1:20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</row>
    <row r="1888" spans="1:20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</row>
    <row r="1889" spans="1:20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</row>
    <row r="1890" spans="1:20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</row>
    <row r="1891" spans="1:20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</row>
    <row r="1892" spans="1:20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</row>
    <row r="1893" spans="1:20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</row>
    <row r="1894" spans="1:20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</row>
    <row r="1895" spans="1:20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</row>
    <row r="1896" spans="1:20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</row>
    <row r="1897" spans="1:20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</row>
    <row r="1898" spans="1:20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</row>
    <row r="1899" spans="1:20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</row>
    <row r="1900" spans="1:20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</row>
    <row r="1901" spans="1:20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</row>
    <row r="1902" spans="1:20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</row>
    <row r="1903" spans="1:20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</row>
    <row r="1904" spans="1:20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</row>
    <row r="1905" spans="1:20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</row>
    <row r="1906" spans="1:20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</row>
    <row r="1907" spans="1:20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</row>
    <row r="1908" spans="1:20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</row>
    <row r="1909" spans="1:20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</row>
    <row r="1910" spans="1:20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</row>
    <row r="1911" spans="1:20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spans="1:20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</row>
    <row r="1913" spans="1:20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</row>
    <row r="1914" spans="1:20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</row>
    <row r="1915" spans="1:20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</row>
    <row r="1916" spans="1:20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</row>
    <row r="1917" spans="1:20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</row>
    <row r="1918" spans="1:20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</row>
    <row r="1919" spans="1:20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</row>
    <row r="1920" spans="1:20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</row>
    <row r="1921" spans="1:20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</row>
    <row r="1922" spans="1:20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</row>
    <row r="1923" spans="1:20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spans="1:20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</row>
    <row r="1925" spans="1:20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</row>
    <row r="1926" spans="1:20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</row>
    <row r="1927" spans="1:20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</row>
    <row r="1928" spans="1:20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spans="1:20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</row>
    <row r="1930" spans="1:20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</row>
    <row r="1931" spans="1:20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</row>
    <row r="1932" spans="1:20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</row>
    <row r="1933" spans="1:20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spans="1:20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</row>
    <row r="1935" spans="1:20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</row>
    <row r="1936" spans="1:20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</row>
    <row r="1937" spans="1:20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</row>
    <row r="1938" spans="1:20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</row>
    <row r="1939" spans="1:20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</row>
    <row r="1940" spans="1:20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</row>
    <row r="1941" spans="1:20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</row>
    <row r="1942" spans="1:20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</row>
    <row r="1943" spans="1:20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</row>
    <row r="1944" spans="1:20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</row>
    <row r="1945" spans="1:20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</row>
    <row r="1946" spans="1:20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</row>
    <row r="1947" spans="1:20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</row>
    <row r="1948" spans="1:20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</row>
    <row r="1949" spans="1:20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</row>
    <row r="1950" spans="1:20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</row>
    <row r="1951" spans="1:20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</row>
    <row r="1952" spans="1:20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</row>
    <row r="1953" spans="1:20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</row>
    <row r="1954" spans="1:20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</row>
    <row r="1955" spans="1:20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</row>
    <row r="1956" spans="1:20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</row>
    <row r="1957" spans="1:20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</row>
    <row r="1958" spans="1:20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</row>
    <row r="1959" spans="1:20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</row>
    <row r="1960" spans="1:20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</row>
    <row r="1961" spans="1:20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</row>
    <row r="1962" spans="1:20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</row>
    <row r="1963" spans="1:20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</row>
    <row r="1964" spans="1:20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</row>
    <row r="1965" spans="1:20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</row>
    <row r="1966" spans="1:20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</row>
    <row r="1967" spans="1:20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</row>
    <row r="1968" spans="1:20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</row>
    <row r="1969" spans="1:20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</row>
    <row r="1970" spans="1:20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</row>
    <row r="1971" spans="1:20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</row>
    <row r="1972" spans="1:20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</row>
    <row r="1973" spans="1:20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</row>
    <row r="1974" spans="1:20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</row>
    <row r="1975" spans="1:20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</row>
    <row r="1976" spans="1:20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</row>
    <row r="1977" spans="1:20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</row>
    <row r="1978" spans="1:20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</row>
    <row r="1979" spans="1:20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</row>
    <row r="1980" spans="1:20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</row>
    <row r="1981" spans="1:20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</row>
    <row r="1982" spans="1:20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</row>
    <row r="1983" spans="1:20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</row>
    <row r="1984" spans="1:20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</row>
    <row r="1985" spans="1:20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</row>
    <row r="1986" spans="1:20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</row>
    <row r="1987" spans="1:20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</row>
    <row r="1988" spans="1:20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</row>
    <row r="1989" spans="1:20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</row>
    <row r="1990" spans="1:20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</row>
    <row r="1991" spans="1:20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</row>
    <row r="1992" spans="1:20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</row>
    <row r="1993" spans="1:20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</row>
    <row r="1994" spans="1:20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</row>
    <row r="1995" spans="1:20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</row>
    <row r="1996" spans="1:20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</row>
    <row r="1997" spans="1:20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</row>
    <row r="1998" spans="1:20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</row>
    <row r="1999" spans="1:20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</row>
    <row r="2000" spans="1:20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</row>
    <row r="2001" spans="1:20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</row>
    <row r="2002" spans="1:20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</row>
    <row r="2003" spans="1:20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</row>
    <row r="2004" spans="1:20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</row>
    <row r="2005" spans="1:20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</row>
    <row r="2006" spans="1:20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</row>
    <row r="2007" spans="1:20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</row>
    <row r="2008" spans="1:20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</row>
    <row r="2009" spans="1:20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</row>
    <row r="2010" spans="1:20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</row>
    <row r="2011" spans="1:20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</row>
    <row r="2012" spans="1:20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</row>
    <row r="2013" spans="1:20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</row>
    <row r="2014" spans="1:20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</row>
    <row r="2015" spans="1:20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</row>
    <row r="2016" spans="1:20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</row>
    <row r="2017" spans="1:20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</row>
    <row r="2018" spans="1:20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</row>
    <row r="2019" spans="1:20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</row>
    <row r="2020" spans="1:20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</row>
    <row r="2021" spans="1:20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</row>
    <row r="2022" spans="1:20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</row>
    <row r="2023" spans="1:20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</row>
    <row r="2024" spans="1:20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</row>
    <row r="2025" spans="1:20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</row>
    <row r="2026" spans="1:20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</row>
    <row r="2027" spans="1:20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</row>
    <row r="2028" spans="1:20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</row>
    <row r="2029" spans="1:20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</row>
    <row r="2030" spans="1:20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</row>
    <row r="2031" spans="1:20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</row>
    <row r="2032" spans="1:20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</row>
    <row r="2033" spans="1:20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</row>
    <row r="2034" spans="1:20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</row>
    <row r="2035" spans="1:20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</row>
    <row r="2036" spans="1:20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</row>
    <row r="2037" spans="1:20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</row>
    <row r="2038" spans="1:20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</row>
    <row r="2039" spans="1:20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</row>
    <row r="2040" spans="1:20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</row>
    <row r="2041" spans="1:20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</row>
    <row r="2042" spans="1:20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</row>
    <row r="2043" spans="1:20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</row>
    <row r="2044" spans="1:20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</row>
    <row r="2045" spans="1:20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</row>
    <row r="2046" spans="1:20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</row>
    <row r="2047" spans="1:20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</row>
    <row r="2048" spans="1:20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</row>
    <row r="2049" spans="1:20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</row>
    <row r="2050" spans="1:20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</row>
    <row r="2051" spans="1:20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</row>
    <row r="2052" spans="1:20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</row>
    <row r="2053" spans="1:20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</row>
    <row r="2054" spans="1:20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</row>
    <row r="2055" spans="1:20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</row>
    <row r="2056" spans="1:20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</row>
    <row r="2057" spans="1:20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</row>
    <row r="2058" spans="1:20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</row>
    <row r="2059" spans="1:20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</row>
    <row r="2060" spans="1:20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</row>
    <row r="2061" spans="1:20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</row>
    <row r="2062" spans="1:20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</row>
    <row r="2063" spans="1:20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</row>
    <row r="2064" spans="1:20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</row>
    <row r="2065" spans="1:20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</row>
    <row r="2066" spans="1:20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</row>
    <row r="2067" spans="1:20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</row>
    <row r="2068" spans="1:20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</row>
    <row r="2069" spans="1:20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</row>
    <row r="2070" spans="1:20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</row>
    <row r="2071" spans="1:20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</row>
    <row r="2072" spans="1:20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</row>
    <row r="2073" spans="1:20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</row>
    <row r="2074" spans="1:20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</row>
    <row r="2075" spans="1:20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</row>
    <row r="2076" spans="1:20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</row>
    <row r="2077" spans="1:20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</row>
    <row r="2078" spans="1:20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</row>
    <row r="2079" spans="1:20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</row>
    <row r="2080" spans="1:20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</row>
    <row r="2081" spans="1:20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</row>
    <row r="2082" spans="1:20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</row>
    <row r="2083" spans="1:20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</row>
    <row r="2084" spans="1:20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</row>
    <row r="2085" spans="1:20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spans="1:20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</row>
    <row r="2087" spans="1:20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</row>
    <row r="2088" spans="1:20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</row>
    <row r="2089" spans="1:20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</row>
    <row r="2090" spans="1:20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</row>
    <row r="2091" spans="1:20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</row>
    <row r="2092" spans="1:20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</row>
    <row r="2093" spans="1:20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</row>
    <row r="2094" spans="1:20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</row>
    <row r="2095" spans="1:20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</row>
    <row r="2096" spans="1:20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</row>
    <row r="2097" spans="1:20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</row>
    <row r="2098" spans="1:20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</row>
    <row r="2099" spans="1:20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</row>
    <row r="2100" spans="1:20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</row>
    <row r="2101" spans="1:20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</row>
    <row r="2102" spans="1:20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</row>
    <row r="2103" spans="1:20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</row>
    <row r="2104" spans="1:20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</row>
    <row r="2105" spans="1:20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</row>
    <row r="2106" spans="1:20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</row>
    <row r="2107" spans="1:20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</row>
    <row r="2108" spans="1:20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</row>
    <row r="2109" spans="1:20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</row>
    <row r="2110" spans="1:20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</row>
    <row r="2111" spans="1:20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</row>
    <row r="2112" spans="1:20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</row>
    <row r="2113" spans="1:20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</row>
    <row r="2114" spans="1:20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</row>
    <row r="2115" spans="1:20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</row>
    <row r="2116" spans="1:20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</row>
    <row r="2117" spans="1:20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</row>
    <row r="2118" spans="1:20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</row>
    <row r="2119" spans="1:20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</row>
    <row r="2120" spans="1:20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</row>
    <row r="2121" spans="1:20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</row>
    <row r="2122" spans="1:20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</row>
    <row r="2123" spans="1:20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</row>
    <row r="2124" spans="1:20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</row>
    <row r="2125" spans="1:20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</row>
    <row r="2126" spans="1:20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</row>
    <row r="2127" spans="1:20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</row>
    <row r="2128" spans="1:20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</row>
    <row r="2129" spans="1:20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</row>
    <row r="2130" spans="1:20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</row>
    <row r="2131" spans="1:20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</row>
    <row r="2132" spans="1:20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</row>
    <row r="2133" spans="1:20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</row>
    <row r="2134" spans="1:20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</row>
    <row r="2135" spans="1:20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</row>
    <row r="2136" spans="1:20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</row>
    <row r="2137" spans="1:20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</row>
    <row r="2138" spans="1:20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</row>
    <row r="2139" spans="1:20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</row>
    <row r="2140" spans="1:20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</row>
    <row r="2141" spans="1:20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</row>
    <row r="2142" spans="1:20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</row>
    <row r="2143" spans="1:20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</row>
    <row r="2144" spans="1:20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</row>
    <row r="2145" spans="1:20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</row>
    <row r="2146" spans="1:20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</row>
    <row r="2147" spans="1:20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</row>
    <row r="2148" spans="1:20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</row>
    <row r="2149" spans="1:20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</row>
    <row r="2150" spans="1:20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</row>
    <row r="2151" spans="1:20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</row>
    <row r="2152" spans="1:20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</row>
    <row r="2153" spans="1:20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</row>
    <row r="2154" spans="1:20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</row>
    <row r="2155" spans="1:20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</row>
    <row r="2156" spans="1:20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</row>
    <row r="2157" spans="1:20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</row>
    <row r="2158" spans="1:20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</row>
    <row r="2159" spans="1:20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</row>
    <row r="2160" spans="1:20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</row>
    <row r="2161" spans="1:20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</row>
    <row r="2162" spans="1:20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</row>
    <row r="2163" spans="1:20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</row>
    <row r="2164" spans="1:20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</row>
    <row r="2165" spans="1:20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</row>
    <row r="2166" spans="1:20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</row>
    <row r="2167" spans="1:20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</row>
    <row r="2168" spans="1:20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</row>
    <row r="2169" spans="1:20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</row>
    <row r="2170" spans="1:20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</row>
    <row r="2171" spans="1:20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</row>
    <row r="2172" spans="1:20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</row>
    <row r="2173" spans="1:20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</row>
    <row r="2174" spans="1:20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</row>
    <row r="2175" spans="1:20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</row>
    <row r="2176" spans="1:20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</row>
    <row r="2177" spans="1:20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</row>
    <row r="2178" spans="1:20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</row>
    <row r="2179" spans="1:20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</row>
    <row r="2180" spans="1:20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</row>
    <row r="2181" spans="1:20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</row>
    <row r="2182" spans="1:20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</row>
    <row r="2183" spans="1:20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</row>
    <row r="2184" spans="1:20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</row>
    <row r="2185" spans="1:20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</row>
    <row r="2186" spans="1:20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</row>
    <row r="2187" spans="1:20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</row>
    <row r="2188" spans="1:20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</row>
    <row r="2189" spans="1:20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</row>
    <row r="2190" spans="1:20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</row>
    <row r="2191" spans="1:20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</row>
    <row r="2192" spans="1:20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</row>
    <row r="2193" spans="1:20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</row>
    <row r="2194" spans="1:20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</row>
    <row r="2195" spans="1:20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</row>
    <row r="2196" spans="1:20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</row>
    <row r="2197" spans="1:20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</row>
    <row r="2198" spans="1:20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</row>
    <row r="2199" spans="1:20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</row>
    <row r="2200" spans="1:20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</row>
    <row r="2201" spans="1:20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</row>
    <row r="2202" spans="1:20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</row>
    <row r="2203" spans="1:20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</row>
    <row r="2204" spans="1:20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</row>
    <row r="2205" spans="1:20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</row>
    <row r="2206" spans="1:20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</row>
    <row r="2207" spans="1:20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</row>
    <row r="2208" spans="1:20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</row>
    <row r="2209" spans="1:20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</row>
    <row r="2210" spans="1:20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</row>
    <row r="2211" spans="1:20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</row>
    <row r="2212" spans="1:20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</row>
    <row r="2213" spans="1:20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</row>
    <row r="2214" spans="1:20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</row>
    <row r="2215" spans="1:20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</row>
    <row r="2216" spans="1:20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</row>
    <row r="2217" spans="1:20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</row>
    <row r="2218" spans="1:20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</row>
    <row r="2219" spans="1:20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</row>
    <row r="2220" spans="1:20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</row>
    <row r="2221" spans="1:20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</row>
    <row r="2222" spans="1:20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</row>
    <row r="2223" spans="1:20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</row>
    <row r="2224" spans="1:20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</row>
    <row r="2225" spans="1:20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</row>
    <row r="2226" spans="1:20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</row>
    <row r="2227" spans="1:20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</row>
    <row r="2228" spans="1:20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</row>
    <row r="2229" spans="1:20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</row>
    <row r="2230" spans="1:20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</row>
    <row r="2231" spans="1:20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</row>
    <row r="2232" spans="1:20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</row>
    <row r="2233" spans="1:20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</row>
    <row r="2234" spans="1:20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</row>
    <row r="2235" spans="1:20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</row>
    <row r="2236" spans="1:20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</row>
    <row r="2237" spans="1:20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</row>
    <row r="2238" spans="1:20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</row>
    <row r="2239" spans="1:20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</row>
    <row r="2240" spans="1:20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</row>
    <row r="2241" spans="1:20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</row>
    <row r="2242" spans="1:20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</row>
    <row r="2243" spans="1:20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</row>
    <row r="2244" spans="1:20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</row>
    <row r="2245" spans="1:20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</row>
    <row r="2246" spans="1:20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</row>
    <row r="2247" spans="1:20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</row>
    <row r="2248" spans="1:20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</row>
    <row r="2249" spans="1:20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</row>
    <row r="2250" spans="1:20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</row>
    <row r="2251" spans="1:20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</row>
    <row r="2252" spans="1:20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</row>
    <row r="2253" spans="1:20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</row>
    <row r="2254" spans="1:20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</row>
    <row r="2255" spans="1:20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</row>
    <row r="2256" spans="1:20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</row>
    <row r="2257" spans="1:20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</row>
    <row r="2258" spans="1:20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</row>
    <row r="2259" spans="1:20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</row>
    <row r="2260" spans="1:20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</row>
    <row r="2261" spans="1:20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</row>
    <row r="2262" spans="1:20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</row>
    <row r="2263" spans="1:20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</row>
    <row r="2264" spans="1:20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</row>
    <row r="2265" spans="1:20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</row>
    <row r="2266" spans="1:20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</row>
    <row r="2267" spans="1:20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</row>
    <row r="2268" spans="1:20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</row>
    <row r="2269" spans="1:20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</row>
    <row r="2270" spans="1:20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</row>
    <row r="2271" spans="1:20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</row>
    <row r="2272" spans="1:20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</row>
    <row r="2273" spans="1:20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</row>
    <row r="2274" spans="1:20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</row>
    <row r="2275" spans="1:20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</row>
    <row r="2276" spans="1:20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</row>
    <row r="2277" spans="1:20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</row>
    <row r="2278" spans="1:20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</row>
    <row r="2279" spans="1:20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</row>
    <row r="2280" spans="1:20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</row>
    <row r="2281" spans="1:20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</row>
    <row r="2282" spans="1:20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</row>
    <row r="2283" spans="1:20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</row>
    <row r="2284" spans="1:20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</row>
    <row r="2285" spans="1:20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</row>
    <row r="2286" spans="1:20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</row>
    <row r="2287" spans="1:20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</row>
    <row r="2288" spans="1:20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</row>
    <row r="2289" spans="1:20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</row>
    <row r="2290" spans="1:20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</row>
    <row r="2291" spans="1:20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</row>
    <row r="2292" spans="1:20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</row>
    <row r="2293" spans="1:20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</row>
    <row r="2294" spans="1:20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</row>
    <row r="2295" spans="1:20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</row>
    <row r="2296" spans="1:20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</row>
    <row r="2297" spans="1:20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</row>
    <row r="2298" spans="1:20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</row>
    <row r="2299" spans="1:20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</row>
    <row r="2300" spans="1:20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</row>
    <row r="2301" spans="1:20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</row>
    <row r="2302" spans="1:20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</row>
    <row r="2303" spans="1:20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</row>
    <row r="2304" spans="1:20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</row>
    <row r="2305" spans="1:20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</row>
    <row r="2306" spans="1:20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</row>
    <row r="2307" spans="1:20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</row>
    <row r="2308" spans="1:20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</row>
    <row r="2309" spans="1:20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</row>
    <row r="2310" spans="1:20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</row>
    <row r="2311" spans="1:20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</row>
    <row r="2312" spans="1:20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</row>
    <row r="2313" spans="1:20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</row>
    <row r="2314" spans="1:20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</row>
    <row r="2315" spans="1:20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</row>
    <row r="2316" spans="1:20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</row>
    <row r="2317" spans="1:20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</row>
    <row r="2318" spans="1:20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</row>
    <row r="2319" spans="1:20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</row>
    <row r="2320" spans="1:20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</row>
    <row r="2321" spans="1:20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</row>
    <row r="2322" spans="1:20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</row>
    <row r="2323" spans="1:20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</row>
    <row r="2324" spans="1:20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</row>
    <row r="2325" spans="1:20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</row>
    <row r="2326" spans="1:20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</row>
    <row r="2327" spans="1:20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</row>
    <row r="2328" spans="1:20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</row>
    <row r="2329" spans="1:20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</row>
    <row r="2330" spans="1:20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</row>
    <row r="2331" spans="1:20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</row>
    <row r="2332" spans="1:20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</row>
    <row r="2333" spans="1:20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</row>
    <row r="2334" spans="1:20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</row>
    <row r="2335" spans="1:20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</row>
    <row r="2336" spans="1:20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</row>
    <row r="2337" spans="1:20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</row>
    <row r="2338" spans="1:20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</row>
    <row r="2339" spans="1:20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</row>
    <row r="2340" spans="1:20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</row>
    <row r="2341" spans="1:20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</row>
    <row r="2342" spans="1:20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</row>
    <row r="2343" spans="1:20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</row>
    <row r="2344" spans="1:20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</row>
    <row r="2345" spans="1:20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</row>
    <row r="2346" spans="1:20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</row>
    <row r="2347" spans="1:20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</row>
    <row r="2348" spans="1:20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</row>
    <row r="2349" spans="1:20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</row>
    <row r="2350" spans="1:20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</row>
    <row r="2351" spans="1:20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</row>
    <row r="2352" spans="1:20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</row>
    <row r="2353" spans="1:20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</row>
    <row r="2354" spans="1:20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</row>
    <row r="2355" spans="1:20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</row>
    <row r="2356" spans="1:20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</row>
    <row r="2357" spans="1:20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</row>
    <row r="2358" spans="1:20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</row>
    <row r="2359" spans="1:20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</row>
    <row r="2360" spans="1:20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</row>
    <row r="2361" spans="1:20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</row>
    <row r="2362" spans="1:20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</row>
    <row r="2363" spans="1:20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</row>
    <row r="2364" spans="1:20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</row>
    <row r="2365" spans="1:20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</row>
    <row r="2366" spans="1:20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</row>
    <row r="2367" spans="1:20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</row>
    <row r="2368" spans="1:20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</row>
    <row r="2369" spans="1:20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</row>
    <row r="2370" spans="1:20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</row>
    <row r="2371" spans="1:20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</row>
    <row r="2372" spans="1:20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</row>
    <row r="2373" spans="1:20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</row>
    <row r="2374" spans="1:20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</row>
    <row r="2375" spans="1:20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</row>
    <row r="2376" spans="1:20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</row>
    <row r="2377" spans="1:20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</row>
    <row r="2378" spans="1:20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</row>
    <row r="2379" spans="1:20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</row>
    <row r="2380" spans="1:20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</row>
    <row r="2381" spans="1:20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</row>
    <row r="2382" spans="1:20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</row>
    <row r="2383" spans="1:20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</row>
    <row r="2384" spans="1:20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</row>
    <row r="2385" spans="1:20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</row>
    <row r="2386" spans="1:20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</row>
    <row r="2387" spans="1:20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</row>
    <row r="2388" spans="1:20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</row>
    <row r="2389" spans="1:20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</row>
    <row r="2390" spans="1:20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</row>
    <row r="2391" spans="1:20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</row>
    <row r="2392" spans="1:20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</row>
    <row r="2393" spans="1:20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</row>
    <row r="2394" spans="1:20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</row>
    <row r="2395" spans="1:20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</row>
    <row r="2396" spans="1:20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</row>
    <row r="2397" spans="1:20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</row>
    <row r="2398" spans="1:20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</row>
    <row r="2399" spans="1:20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</row>
    <row r="2400" spans="1:20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</row>
    <row r="2401" spans="1:20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</row>
    <row r="2402" spans="1:20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</row>
    <row r="2403" spans="1:20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</row>
    <row r="2404" spans="1:20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</row>
    <row r="2405" spans="1:20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</row>
    <row r="2406" spans="1:20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</row>
    <row r="2407" spans="1:20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</row>
    <row r="2408" spans="1:20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</row>
    <row r="2409" spans="1:20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</row>
    <row r="2410" spans="1:20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</row>
    <row r="2411" spans="1:20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</row>
    <row r="2412" spans="1:20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</row>
    <row r="2413" spans="1:20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</row>
    <row r="2414" spans="1:20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</row>
    <row r="2415" spans="1:20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</row>
    <row r="2416" spans="1:20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</row>
    <row r="2417" spans="1:20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</row>
    <row r="2418" spans="1:20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</row>
    <row r="2419" spans="1:20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</row>
    <row r="2420" spans="1:20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</row>
    <row r="2421" spans="1:20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</row>
    <row r="2422" spans="1:20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</row>
    <row r="2423" spans="1:20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</row>
    <row r="2424" spans="1:20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</row>
    <row r="2425" spans="1:20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</row>
    <row r="2426" spans="1:20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</row>
    <row r="2427" spans="1:20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</row>
    <row r="2428" spans="1:20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</row>
    <row r="2429" spans="1:20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</row>
    <row r="2430" spans="1:20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</row>
    <row r="2431" spans="1:20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</row>
    <row r="2432" spans="1:20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</row>
    <row r="2433" spans="1:20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</row>
    <row r="2434" spans="1:20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</row>
    <row r="2435" spans="1:20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</row>
    <row r="2436" spans="1:20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</row>
    <row r="2437" spans="1:20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</row>
    <row r="2438" spans="1:20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</row>
    <row r="2439" spans="1:20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</row>
    <row r="2440" spans="1:20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</row>
    <row r="2441" spans="1:20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</row>
    <row r="2442" spans="1:20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</row>
    <row r="2443" spans="1:20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</row>
    <row r="2444" spans="1:20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</row>
    <row r="2445" spans="1:20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</row>
    <row r="2446" spans="1:20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</row>
    <row r="2447" spans="1:20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</row>
    <row r="2448" spans="1:20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</row>
    <row r="2449" spans="1:20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</row>
    <row r="2450" spans="1:20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</row>
    <row r="2451" spans="1:20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</row>
    <row r="2452" spans="1:20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</row>
    <row r="2453" spans="1:20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</row>
    <row r="2454" spans="1:20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</row>
    <row r="2455" spans="1:20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</row>
    <row r="2456" spans="1:20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</row>
    <row r="2457" spans="1:20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</row>
    <row r="2458" spans="1:20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</row>
    <row r="2459" spans="1:20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</row>
    <row r="2460" spans="1:20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</row>
    <row r="2461" spans="1:20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</row>
    <row r="2462" spans="1:20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</row>
    <row r="2463" spans="1:20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</row>
    <row r="2464" spans="1:20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</row>
    <row r="2465" spans="1:20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</row>
    <row r="2466" spans="1:20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</row>
    <row r="2467" spans="1:20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</row>
    <row r="2468" spans="1:20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</row>
    <row r="2469" spans="1:20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</row>
    <row r="2470" spans="1:20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</row>
    <row r="2471" spans="1:20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</row>
    <row r="2472" spans="1:20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</row>
    <row r="2473" spans="1:20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</row>
    <row r="2474" spans="1:20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</row>
    <row r="2475" spans="1:20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</row>
    <row r="2476" spans="1:20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</row>
    <row r="2477" spans="1:20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</row>
    <row r="2478" spans="1:20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</row>
    <row r="2479" spans="1:20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</row>
    <row r="2480" spans="1:20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</row>
    <row r="2481" spans="1:20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</row>
    <row r="2482" spans="1:20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</row>
    <row r="2483" spans="1:20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</row>
    <row r="2484" spans="1:20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</row>
    <row r="2485" spans="1:20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</row>
    <row r="2486" spans="1:20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</row>
    <row r="2487" spans="1:20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</row>
    <row r="2488" spans="1:20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</row>
    <row r="2489" spans="1:20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</row>
    <row r="2490" spans="1:20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</row>
    <row r="2491" spans="1:20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</row>
    <row r="2492" spans="1:20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</row>
    <row r="2493" spans="1:20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</row>
    <row r="2494" spans="1:20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</row>
    <row r="2495" spans="1:20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</row>
    <row r="2496" spans="1:20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</row>
    <row r="2497" spans="1:20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</row>
    <row r="2498" spans="1:20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</row>
    <row r="2499" spans="1:20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</row>
    <row r="2500" spans="1:20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</row>
    <row r="2501" spans="1:20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</row>
    <row r="2502" spans="1:20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</row>
    <row r="2503" spans="1:20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</row>
    <row r="2504" spans="1:20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</row>
    <row r="2505" spans="1:20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</row>
    <row r="2506" spans="1:20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</row>
    <row r="2507" spans="1:20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</row>
    <row r="2508" spans="1:20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</row>
    <row r="2509" spans="1:20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</row>
    <row r="2510" spans="1:20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</row>
    <row r="2511" spans="1:20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</row>
    <row r="2512" spans="1:20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</row>
    <row r="2513" spans="1:20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</row>
    <row r="2514" spans="1:20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</row>
    <row r="2515" spans="1:20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</row>
    <row r="2516" spans="1:20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</row>
    <row r="2517" spans="1:20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</row>
    <row r="2518" spans="1:20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</row>
    <row r="2519" spans="1:20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</row>
    <row r="2520" spans="1:20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</row>
    <row r="2521" spans="1:20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</row>
    <row r="2522" spans="1:20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</row>
    <row r="2523" spans="1:20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</row>
    <row r="2524" spans="1:20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</row>
    <row r="2525" spans="1:20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</row>
    <row r="2526" spans="1:20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</row>
    <row r="2527" spans="1:20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</row>
    <row r="2528" spans="1:20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</row>
    <row r="2529" spans="1:20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</row>
    <row r="2530" spans="1:20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</row>
    <row r="2531" spans="1:20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</row>
    <row r="2532" spans="1:20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</row>
    <row r="2533" spans="1:20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</row>
    <row r="2534" spans="1:20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</row>
    <row r="2535" spans="1:20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</row>
    <row r="2536" spans="1:20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</row>
    <row r="2537" spans="1:20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</row>
    <row r="2538" spans="1:20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</row>
    <row r="2539" spans="1:20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</row>
    <row r="2540" spans="1:20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</row>
    <row r="2541" spans="1:20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</row>
    <row r="2542" spans="1:20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</row>
    <row r="2543" spans="1:20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</row>
    <row r="2544" spans="1:20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</row>
    <row r="2545" spans="1:20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</row>
    <row r="2546" spans="1:20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</row>
    <row r="2547" spans="1:20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</row>
    <row r="2548" spans="1:20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</row>
    <row r="2549" spans="1:20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</row>
    <row r="2550" spans="1:20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</row>
    <row r="2551" spans="1:20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</row>
    <row r="2552" spans="1:20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</row>
    <row r="2553" spans="1:20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</row>
    <row r="2554" spans="1:20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</row>
    <row r="2555" spans="1:20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</row>
    <row r="2556" spans="1:20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</row>
    <row r="2557" spans="1:20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</row>
    <row r="2558" spans="1:20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</row>
    <row r="2559" spans="1:20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</row>
    <row r="2560" spans="1:20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</row>
    <row r="2561" spans="1:20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</row>
    <row r="2562" spans="1:20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</row>
    <row r="2563" spans="1:20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</row>
    <row r="2564" spans="1:20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</row>
    <row r="2565" spans="1:20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</row>
    <row r="2566" spans="1:20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</row>
    <row r="2567" spans="1:20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</row>
    <row r="2568" spans="1:20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</row>
    <row r="2569" spans="1:20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</row>
    <row r="2570" spans="1:20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</row>
    <row r="2571" spans="1:20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</row>
    <row r="2572" spans="1:20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</row>
    <row r="2573" spans="1:20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</row>
    <row r="2574" spans="1:20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</row>
    <row r="2575" spans="1:20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</row>
    <row r="2576" spans="1:20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</row>
    <row r="2577" spans="1:20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</row>
    <row r="2578" spans="1:20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</row>
    <row r="2579" spans="1:20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</row>
    <row r="2580" spans="1:20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</row>
    <row r="2581" spans="1:20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</row>
    <row r="2582" spans="1:20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</row>
    <row r="2583" spans="1:20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</row>
    <row r="2584" spans="1:20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</row>
    <row r="2585" spans="1:20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</row>
    <row r="2586" spans="1:20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</row>
    <row r="2587" spans="1:20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</row>
    <row r="2588" spans="1:20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</row>
    <row r="2589" spans="1:20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</row>
    <row r="2590" spans="1:20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</row>
    <row r="2591" spans="1:20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</row>
    <row r="2592" spans="1:20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</row>
    <row r="2593" spans="1:20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</row>
    <row r="2594" spans="1:20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</row>
    <row r="2595" spans="1:20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</row>
    <row r="2596" spans="1:20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</row>
    <row r="2597" spans="1:20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</row>
    <row r="2598" spans="1:20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</row>
    <row r="2599" spans="1:20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</row>
    <row r="2600" spans="1:20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</row>
    <row r="2601" spans="1:20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</row>
    <row r="2602" spans="1:20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</row>
    <row r="2603" spans="1:20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</row>
    <row r="2604" spans="1:20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</row>
    <row r="2605" spans="1:20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</row>
    <row r="2606" spans="1:20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</row>
    <row r="2607" spans="1:20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</row>
    <row r="2608" spans="1:20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</row>
    <row r="2609" spans="1:20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</row>
    <row r="2610" spans="1:20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</row>
    <row r="2611" spans="1:20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</row>
    <row r="2612" spans="1:20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</row>
    <row r="2613" spans="1:20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</row>
    <row r="2614" spans="1:20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</row>
    <row r="2615" spans="1:20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</row>
    <row r="2616" spans="1:20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</row>
    <row r="2617" spans="1:20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</row>
    <row r="2618" spans="1:20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</row>
    <row r="2619" spans="1:20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</row>
    <row r="2620" spans="1:20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</row>
    <row r="2621" spans="1:20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</row>
    <row r="2622" spans="1:20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</row>
    <row r="2623" spans="1:20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</row>
    <row r="2624" spans="1:20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</row>
    <row r="2625" spans="1:20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</row>
    <row r="2626" spans="1:20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</row>
    <row r="2627" spans="1:20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</row>
    <row r="2628" spans="1:20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</row>
    <row r="2629" spans="1:20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</row>
    <row r="2630" spans="1:20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</row>
    <row r="2631" spans="1:20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</row>
    <row r="2632" spans="1:20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</row>
    <row r="2633" spans="1:20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</row>
    <row r="2634" spans="1:20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</row>
    <row r="2635" spans="1:20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</row>
    <row r="2636" spans="1:20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</row>
    <row r="2637" spans="1:20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</row>
    <row r="2638" spans="1:20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</row>
    <row r="2639" spans="1:20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</row>
    <row r="2640" spans="1:20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</row>
    <row r="2641" spans="1:20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</row>
    <row r="2642" spans="1:20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</row>
    <row r="2643" spans="1:20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</row>
    <row r="2644" spans="1:20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</row>
    <row r="2645" spans="1:20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</row>
    <row r="2646" spans="1:20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</row>
    <row r="2647" spans="1:20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</row>
    <row r="2648" spans="1:20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</row>
    <row r="2649" spans="1:20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</row>
    <row r="2650" spans="1:20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</row>
    <row r="2651" spans="1:20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</row>
    <row r="2652" spans="1:20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</row>
    <row r="2653" spans="1:20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</row>
    <row r="2654" spans="1:20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</row>
    <row r="2655" spans="1:20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</row>
    <row r="2656" spans="1:20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</row>
    <row r="2657" spans="1:20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</row>
    <row r="2658" spans="1:20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</row>
    <row r="2659" spans="1:20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</row>
    <row r="2660" spans="1:20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</row>
    <row r="2661" spans="1:20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</row>
    <row r="2662" spans="1:20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</row>
    <row r="2663" spans="1:20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</row>
    <row r="2664" spans="1:20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</row>
    <row r="2665" spans="1:20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</row>
    <row r="2666" spans="1:20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</row>
    <row r="2667" spans="1:20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</row>
    <row r="2668" spans="1:20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</row>
    <row r="2669" spans="1:20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</row>
    <row r="2670" spans="1:20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</row>
    <row r="2671" spans="1:20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</row>
    <row r="2672" spans="1:20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</row>
    <row r="2673" spans="1:20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</row>
    <row r="2674" spans="1:20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</row>
    <row r="2675" spans="1:20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</row>
    <row r="2676" spans="1:20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</row>
    <row r="2677" spans="1:20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</row>
    <row r="2678" spans="1:20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</row>
    <row r="2679" spans="1:20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</row>
    <row r="2680" spans="1:20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</row>
    <row r="2681" spans="1:20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</row>
    <row r="2682" spans="1:20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</row>
    <row r="2683" spans="1:20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</row>
    <row r="2684" spans="1:20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</row>
    <row r="2685" spans="1:20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</row>
    <row r="2686" spans="1:20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</row>
    <row r="2687" spans="1:20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</row>
    <row r="2688" spans="1:20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</row>
    <row r="2689" spans="1:20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</row>
    <row r="2690" spans="1:20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</row>
    <row r="2691" spans="1:20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</row>
    <row r="2692" spans="1:20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</row>
    <row r="2693" spans="1:20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</row>
    <row r="2694" spans="1:20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</row>
    <row r="2695" spans="1:20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</row>
    <row r="2696" spans="1:20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</row>
    <row r="2697" spans="1:20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</row>
    <row r="2698" spans="1:20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</row>
    <row r="2699" spans="1:20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</row>
    <row r="2700" spans="1:20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</row>
    <row r="2701" spans="1:20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</row>
    <row r="2702" spans="1:20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</row>
    <row r="2703" spans="1:20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</row>
    <row r="2704" spans="1:20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</row>
    <row r="2705" spans="1:20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</row>
    <row r="2706" spans="1:20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</row>
    <row r="2707" spans="1:20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</row>
    <row r="2708" spans="1:20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</row>
    <row r="2709" spans="1:20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</row>
    <row r="2710" spans="1:20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</row>
    <row r="2711" spans="1:20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</row>
    <row r="2712" spans="1:20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</row>
    <row r="2713" spans="1:20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</row>
    <row r="2714" spans="1:20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</row>
    <row r="2715" spans="1:20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</row>
    <row r="2716" spans="1:20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</row>
    <row r="2717" spans="1:20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</row>
    <row r="2718" spans="1:20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</row>
    <row r="2719" spans="1:20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</row>
    <row r="2720" spans="1:20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</row>
    <row r="2721" spans="1:20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</row>
    <row r="2722" spans="1:20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</row>
    <row r="2723" spans="1:20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</row>
    <row r="2724" spans="1:20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</row>
    <row r="2725" spans="1:20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</row>
    <row r="2726" spans="1:20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</row>
    <row r="2727" spans="1:20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</row>
    <row r="2728" spans="1:20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</row>
    <row r="2729" spans="1:20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</row>
    <row r="2730" spans="1:20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</row>
    <row r="2731" spans="1:20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</row>
    <row r="2732" spans="1:20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</row>
    <row r="2733" spans="1:20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</row>
    <row r="2734" spans="1:20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</row>
    <row r="2735" spans="1:20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</row>
    <row r="2736" spans="1:20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</row>
    <row r="2737" spans="1:20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</row>
    <row r="2738" spans="1:20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</row>
    <row r="2739" spans="1:20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</row>
    <row r="2740" spans="1:20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</row>
    <row r="2741" spans="1:20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</row>
    <row r="2742" spans="1:20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</row>
    <row r="2743" spans="1:20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</row>
    <row r="2744" spans="1:20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</row>
    <row r="2745" spans="1:20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</row>
    <row r="2746" spans="1:20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</row>
    <row r="2747" spans="1:20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</row>
    <row r="2748" spans="1:20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</row>
    <row r="2749" spans="1:20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</row>
    <row r="2750" spans="1:20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</row>
    <row r="2751" spans="1:20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</row>
    <row r="2752" spans="1:20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</row>
    <row r="2753" spans="1:20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</row>
    <row r="2754" spans="1:20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</row>
    <row r="2755" spans="1:20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</row>
    <row r="2756" spans="1:20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</row>
    <row r="2757" spans="1:20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</row>
    <row r="2758" spans="1:20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</row>
    <row r="2759" spans="1:20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</row>
    <row r="2760" spans="1:20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</row>
    <row r="2761" spans="1:20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</row>
    <row r="2762" spans="1:20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</row>
    <row r="2763" spans="1:20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</row>
    <row r="2764" spans="1:20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</row>
    <row r="2765" spans="1:20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</row>
    <row r="2766" spans="1:20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</row>
    <row r="2767" spans="1:20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</row>
    <row r="2768" spans="1:20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</row>
    <row r="2769" spans="1:20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</row>
    <row r="2770" spans="1:20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</row>
    <row r="2771" spans="1:20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</row>
    <row r="2772" spans="1:20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</row>
    <row r="2773" spans="1:20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</row>
    <row r="2774" spans="1:20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</row>
    <row r="2775" spans="1:20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</row>
    <row r="2776" spans="1:20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</row>
    <row r="2777" spans="1:20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</row>
    <row r="2778" spans="1:20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</row>
    <row r="2779" spans="1:20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</row>
    <row r="2780" spans="1:20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</row>
    <row r="2781" spans="1:20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</row>
    <row r="2782" spans="1:20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</row>
    <row r="2783" spans="1:20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</row>
    <row r="2784" spans="1:20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</row>
    <row r="2785" spans="1:20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</row>
    <row r="2786" spans="1:20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</row>
    <row r="2787" spans="1:20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</row>
    <row r="2788" spans="1:20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</row>
    <row r="2789" spans="1:20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</row>
    <row r="2790" spans="1:20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</row>
    <row r="2791" spans="1:20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</row>
    <row r="2792" spans="1:20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</row>
    <row r="2793" spans="1:20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</row>
    <row r="2794" spans="1:20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</row>
    <row r="2795" spans="1:20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spans="1:20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</row>
    <row r="2797" spans="1:20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</row>
    <row r="2798" spans="1:20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</row>
    <row r="2799" spans="1:20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</row>
    <row r="2800" spans="1:20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</row>
    <row r="2801" spans="1:20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</row>
    <row r="2802" spans="1:20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</row>
    <row r="2803" spans="1:20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</row>
    <row r="2804" spans="1:20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</row>
    <row r="2805" spans="1:20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</row>
    <row r="2806" spans="1:20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</row>
    <row r="2807" spans="1:20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</row>
    <row r="2808" spans="1:20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</row>
    <row r="2809" spans="1:20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</row>
    <row r="2810" spans="1:20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</row>
    <row r="2811" spans="1:20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</row>
    <row r="2812" spans="1:20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</row>
    <row r="2813" spans="1:20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</row>
    <row r="2814" spans="1:20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</row>
    <row r="2815" spans="1:20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</row>
    <row r="2816" spans="1:20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</row>
    <row r="2817" spans="1:20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</row>
    <row r="2818" spans="1:20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</row>
    <row r="2819" spans="1:20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</row>
    <row r="2820" spans="1:20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</row>
    <row r="2821" spans="1:20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</row>
    <row r="2822" spans="1:20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</row>
    <row r="2823" spans="1:20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</row>
    <row r="2824" spans="1:20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</row>
    <row r="2825" spans="1:20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</row>
    <row r="2826" spans="1:20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</row>
    <row r="2827" spans="1:20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</row>
    <row r="2828" spans="1:20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</row>
    <row r="2829" spans="1:20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</row>
    <row r="2830" spans="1:20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</row>
    <row r="2831" spans="1:20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</row>
    <row r="2832" spans="1:20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</row>
    <row r="2833" spans="1:20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</row>
    <row r="2834" spans="1:20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</row>
    <row r="2835" spans="1:20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</row>
    <row r="2836" spans="1:20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</row>
    <row r="2837" spans="1:20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</row>
    <row r="2838" spans="1:20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</row>
    <row r="2839" spans="1:20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</row>
    <row r="2840" spans="1:20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</row>
    <row r="2841" spans="1:20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</row>
    <row r="2842" spans="1:20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</row>
    <row r="2843" spans="1:20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</row>
    <row r="2844" spans="1:20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</row>
    <row r="2845" spans="1:20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</row>
    <row r="2846" spans="1:20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</row>
    <row r="2847" spans="1:20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</row>
    <row r="2848" spans="1:20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</row>
    <row r="2849" spans="1:20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</row>
    <row r="2850" spans="1:20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</row>
    <row r="2851" spans="1:20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</row>
    <row r="2852" spans="1:20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</row>
    <row r="2853" spans="1:20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</row>
    <row r="2854" spans="1:20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</row>
    <row r="2855" spans="1:20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</row>
    <row r="2856" spans="1:20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</row>
    <row r="2857" spans="1:20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</row>
    <row r="2858" spans="1:20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</row>
    <row r="2859" spans="1:20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</row>
    <row r="2860" spans="1:20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</row>
    <row r="2861" spans="1:20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</row>
    <row r="2862" spans="1:20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</row>
    <row r="2863" spans="1:20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</row>
    <row r="2864" spans="1:20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</row>
    <row r="2865" spans="1:20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</row>
    <row r="2866" spans="1:20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</row>
    <row r="2867" spans="1:20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</row>
    <row r="2868" spans="1:20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</row>
    <row r="2869" spans="1:20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</row>
    <row r="2870" spans="1:20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</row>
    <row r="2871" spans="1:20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</row>
    <row r="2872" spans="1:20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</row>
    <row r="2873" spans="1:20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</row>
    <row r="2874" spans="1:20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</row>
    <row r="2875" spans="1:20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</row>
    <row r="2876" spans="1:20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</row>
    <row r="2877" spans="1:20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</row>
    <row r="2878" spans="1:20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</row>
    <row r="2879" spans="1:20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</row>
    <row r="2880" spans="1:20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</row>
    <row r="2881" spans="1:20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</row>
    <row r="2882" spans="1:20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</row>
    <row r="2883" spans="1:20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</row>
    <row r="2884" spans="1:20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</row>
    <row r="2885" spans="1:20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</row>
    <row r="2886" spans="1:20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</row>
    <row r="2887" spans="1:20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</row>
    <row r="2888" spans="1:20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</row>
    <row r="2889" spans="1:20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</row>
    <row r="2890" spans="1:20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</row>
    <row r="2891" spans="1:20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</row>
    <row r="2892" spans="1:20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</row>
    <row r="2893" spans="1:20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</row>
    <row r="2894" spans="1:20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</row>
    <row r="2895" spans="1:20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</row>
    <row r="2896" spans="1:20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</row>
    <row r="2897" spans="1:20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</row>
    <row r="2898" spans="1:20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</row>
    <row r="2899" spans="1:20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</row>
    <row r="2900" spans="1:20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</row>
    <row r="2901" spans="1:20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</row>
    <row r="2902" spans="1:20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</row>
    <row r="2903" spans="1:20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</row>
    <row r="2904" spans="1:20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</row>
    <row r="2905" spans="1:20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</row>
    <row r="2906" spans="1:20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</row>
    <row r="2907" spans="1:20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</row>
    <row r="2908" spans="1:20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</row>
    <row r="2909" spans="1:20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</row>
    <row r="2910" spans="1:20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</row>
    <row r="2911" spans="1:20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</row>
    <row r="2912" spans="1:20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</row>
    <row r="2913" spans="1:20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</row>
    <row r="2914" spans="1:20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</row>
    <row r="2915" spans="1:20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</row>
    <row r="2916" spans="1:20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</row>
    <row r="2917" spans="1:20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</row>
    <row r="2918" spans="1:20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</row>
    <row r="2919" spans="1:20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</row>
    <row r="2920" spans="1:20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</row>
    <row r="2921" spans="1:20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</row>
    <row r="2922" spans="1:20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</row>
    <row r="2923" spans="1:20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</row>
    <row r="2924" spans="1:20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</row>
    <row r="2925" spans="1:20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</row>
    <row r="2926" spans="1:20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</row>
    <row r="2927" spans="1:20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</row>
    <row r="2928" spans="1:20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</row>
    <row r="2929" spans="1:20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</row>
    <row r="2930" spans="1:20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</row>
    <row r="2931" spans="1:20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</row>
    <row r="2932" spans="1:20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</row>
    <row r="2933" spans="1:20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</row>
    <row r="2934" spans="1:20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</row>
    <row r="2935" spans="1:20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</row>
    <row r="2936" spans="1:20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</row>
    <row r="2937" spans="1:20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</row>
    <row r="2938" spans="1:20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</row>
    <row r="2939" spans="1:20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</row>
    <row r="2940" spans="1:20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</row>
    <row r="2941" spans="1:20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</row>
    <row r="2942" spans="1:20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</row>
    <row r="2943" spans="1:20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</row>
    <row r="2944" spans="1:20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</row>
    <row r="2945" spans="1:20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</row>
    <row r="2946" spans="1:20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</row>
    <row r="2947" spans="1:20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</row>
    <row r="2948" spans="1:20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</row>
    <row r="2949" spans="1:20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</row>
    <row r="2950" spans="1:20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</row>
    <row r="2951" spans="1:20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</row>
    <row r="2952" spans="1:20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</row>
    <row r="2953" spans="1:20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</row>
    <row r="2954" spans="1:20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</row>
    <row r="2955" spans="1:20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</row>
    <row r="2956" spans="1:20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</row>
    <row r="2957" spans="1:20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</row>
    <row r="2958" spans="1:20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</row>
    <row r="2959" spans="1:20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</row>
    <row r="2960" spans="1:20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</row>
    <row r="2961" spans="1:20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</row>
    <row r="2962" spans="1:20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</row>
    <row r="2963" spans="1:20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</row>
    <row r="2964" spans="1:20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</row>
    <row r="2965" spans="1:20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</row>
    <row r="2966" spans="1:20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</row>
    <row r="2967" spans="1:20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</row>
    <row r="2968" spans="1:20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</row>
    <row r="2969" spans="1:20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</row>
    <row r="2970" spans="1:20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</row>
    <row r="2971" spans="1:20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</row>
    <row r="2972" spans="1:20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</row>
    <row r="2973" spans="1:20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</row>
    <row r="2974" spans="1:20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</row>
    <row r="2975" spans="1:20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</row>
    <row r="2976" spans="1:20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</row>
    <row r="2977" spans="1:20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</row>
    <row r="2978" spans="1:20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</row>
    <row r="2979" spans="1:20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</row>
    <row r="2980" spans="1:20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</row>
    <row r="2981" spans="1:20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</row>
    <row r="2982" spans="1:20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</row>
    <row r="2983" spans="1:20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</row>
    <row r="2984" spans="1:20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</row>
    <row r="2985" spans="1:20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</row>
    <row r="2986" spans="1:20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</row>
    <row r="2987" spans="1:20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</row>
    <row r="2988" spans="1:20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</row>
    <row r="2989" spans="1:20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</row>
    <row r="2990" spans="1:20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</row>
    <row r="2991" spans="1:20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</row>
    <row r="2992" spans="1:20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</row>
    <row r="2993" spans="1:20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</row>
    <row r="2994" spans="1:20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</row>
    <row r="2995" spans="1:20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</row>
    <row r="2996" spans="1:20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</row>
    <row r="2997" spans="1:20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</row>
    <row r="2998" spans="1:20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</row>
    <row r="2999" spans="1:20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</row>
    <row r="3000" spans="1:20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</row>
    <row r="3001" spans="1:20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</row>
    <row r="3002" spans="1:20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</row>
    <row r="3003" spans="1:20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</row>
    <row r="3004" spans="1:20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</row>
    <row r="3005" spans="1:20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</row>
    <row r="3006" spans="1:20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</row>
    <row r="3007" spans="1:20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</row>
    <row r="3008" spans="1:20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</row>
    <row r="3009" spans="1:20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</row>
    <row r="3010" spans="1:20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</row>
    <row r="3011" spans="1:20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</row>
    <row r="3012" spans="1:20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</row>
    <row r="3013" spans="1:20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</row>
    <row r="3014" spans="1:20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</row>
    <row r="3015" spans="1:20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</row>
    <row r="3016" spans="1:20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</row>
    <row r="3017" spans="1:20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</row>
    <row r="3018" spans="1:20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</row>
    <row r="3019" spans="1:20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</row>
    <row r="3020" spans="1:20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</row>
    <row r="3021" spans="1:20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</row>
    <row r="3022" spans="1:20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</row>
    <row r="3023" spans="1:20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</row>
    <row r="3024" spans="1:20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</row>
    <row r="3025" spans="1:20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</row>
    <row r="3026" spans="1:20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</row>
    <row r="3027" spans="1:20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</row>
    <row r="3028" spans="1:20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</row>
    <row r="3029" spans="1:20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</row>
    <row r="3030" spans="1:20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</row>
    <row r="3031" spans="1:20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</row>
    <row r="3032" spans="1:20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</row>
    <row r="3033" spans="1:20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</row>
    <row r="3034" spans="1:20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</row>
    <row r="3035" spans="1:20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</row>
    <row r="3036" spans="1:20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</row>
    <row r="3037" spans="1:20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</row>
    <row r="3038" spans="1:20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</row>
    <row r="3039" spans="1:20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</row>
    <row r="3040" spans="1:20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</row>
    <row r="3041" spans="1:20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</row>
    <row r="3042" spans="1:20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</row>
    <row r="3043" spans="1:20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</row>
    <row r="3044" spans="1:20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</row>
    <row r="3045" spans="1:20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</row>
    <row r="3046" spans="1:20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</row>
    <row r="3047" spans="1:20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</row>
    <row r="3048" spans="1:20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</row>
    <row r="3049" spans="1:20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</row>
    <row r="3050" spans="1:20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</row>
    <row r="3051" spans="1:20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</row>
    <row r="3052" spans="1:20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</row>
    <row r="3053" spans="1:20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</row>
    <row r="3054" spans="1:20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</row>
    <row r="3055" spans="1:20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</row>
    <row r="3056" spans="1:20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</row>
    <row r="3057" spans="1:20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</row>
    <row r="3058" spans="1:20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</row>
    <row r="3059" spans="1:20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</row>
    <row r="3060" spans="1:20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</row>
    <row r="3061" spans="1:20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</row>
    <row r="3062" spans="1:20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</row>
    <row r="3063" spans="1:20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</row>
    <row r="3064" spans="1:20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</row>
    <row r="3065" spans="1:20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</row>
    <row r="3066" spans="1:20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</row>
    <row r="3067" spans="1:20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</row>
    <row r="3068" spans="1:20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</row>
    <row r="3069" spans="1:20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</row>
    <row r="3070" spans="1:20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</row>
    <row r="3071" spans="1:20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</row>
    <row r="3072" spans="1:20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</row>
    <row r="3073" spans="1:20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</row>
    <row r="3074" spans="1:20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</row>
    <row r="3075" spans="1:20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</row>
    <row r="3076" spans="1:20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</row>
    <row r="3077" spans="1:20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</row>
    <row r="3078" spans="1:20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</row>
    <row r="3079" spans="1:20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</row>
    <row r="3080" spans="1:20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</row>
    <row r="3081" spans="1:20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</row>
    <row r="3082" spans="1:20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</row>
    <row r="3083" spans="1:20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</row>
    <row r="3084" spans="1:20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</row>
    <row r="3085" spans="1:20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</row>
    <row r="3086" spans="1:20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</row>
    <row r="3087" spans="1:20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</row>
    <row r="3088" spans="1:20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</row>
    <row r="3089" spans="1:20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</row>
    <row r="3090" spans="1:20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</row>
    <row r="3091" spans="1:20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</row>
    <row r="3092" spans="1:20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</row>
    <row r="3093" spans="1:20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</row>
    <row r="3094" spans="1:20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</row>
    <row r="3095" spans="1:20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</row>
    <row r="3096" spans="1:20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</row>
    <row r="3097" spans="1:20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</row>
    <row r="3098" spans="1:20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</row>
    <row r="3099" spans="1:20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</row>
    <row r="3100" spans="1:20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</row>
    <row r="3101" spans="1:20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</row>
    <row r="3102" spans="1:20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</row>
    <row r="3103" spans="1:20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</row>
    <row r="3104" spans="1:20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</row>
    <row r="3105" spans="1:20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</row>
    <row r="3106" spans="1:20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</row>
    <row r="3107" spans="1:20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</row>
    <row r="3108" spans="1:20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</row>
    <row r="3109" spans="1:20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</row>
    <row r="3110" spans="1:20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</row>
    <row r="3111" spans="1:20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</row>
    <row r="3112" spans="1:20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</row>
    <row r="3113" spans="1:20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</row>
    <row r="3114" spans="1:20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</row>
    <row r="3115" spans="1:20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</row>
    <row r="3116" spans="1:20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</row>
    <row r="3117" spans="1:20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</row>
    <row r="3118" spans="1:20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</row>
    <row r="3119" spans="1:20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</row>
    <row r="3120" spans="1:20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</row>
    <row r="3121" spans="1:20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</row>
    <row r="3122" spans="1:20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</row>
    <row r="3123" spans="1:20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</row>
    <row r="3124" spans="1:20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</row>
    <row r="3125" spans="1:20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</row>
    <row r="3126" spans="1:20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</row>
    <row r="3127" spans="1:20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</row>
    <row r="3128" spans="1:20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</row>
    <row r="3129" spans="1:20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</row>
    <row r="3130" spans="1:20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</row>
    <row r="3131" spans="1:20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</row>
    <row r="3132" spans="1:20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</row>
    <row r="3133" spans="1:20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</row>
    <row r="3134" spans="1:20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</row>
    <row r="3135" spans="1:20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</row>
    <row r="3136" spans="1:20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</row>
    <row r="3137" spans="1:20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</row>
    <row r="3138" spans="1:20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</row>
    <row r="3139" spans="1:20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</row>
    <row r="3140" spans="1:20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</row>
    <row r="3141" spans="1:20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</row>
    <row r="3142" spans="1:20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</row>
    <row r="3143" spans="1:20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</row>
    <row r="3144" spans="1:20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</row>
    <row r="3145" spans="1:20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</row>
    <row r="3146" spans="1:20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</row>
    <row r="3147" spans="1:20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</row>
    <row r="3148" spans="1:20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</row>
    <row r="3149" spans="1:20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</row>
    <row r="3150" spans="1:20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</row>
    <row r="3151" spans="1:20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</row>
    <row r="3152" spans="1:20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</row>
    <row r="3153" spans="1:20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</row>
    <row r="3154" spans="1:20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</row>
    <row r="3155" spans="1:20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</row>
    <row r="3156" spans="1:20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</row>
    <row r="3157" spans="1:20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</row>
    <row r="3158" spans="1:20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</row>
    <row r="3159" spans="1:20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</row>
    <row r="3160" spans="1:20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</row>
    <row r="3161" spans="1:20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</row>
    <row r="3162" spans="1:20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</row>
    <row r="3163" spans="1:20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</row>
    <row r="3164" spans="1:20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</row>
    <row r="3165" spans="1:20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</row>
    <row r="3166" spans="1:20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</row>
    <row r="3167" spans="1:20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</row>
    <row r="3168" spans="1:20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</row>
    <row r="3169" spans="1:20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</row>
    <row r="3170" spans="1:20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</row>
    <row r="3171" spans="1:20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</row>
    <row r="3172" spans="1:20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</row>
    <row r="3173" spans="1:20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</row>
    <row r="3174" spans="1:20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</row>
    <row r="3175" spans="1:20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</row>
    <row r="3176" spans="1:20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</row>
    <row r="3177" spans="1:20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</row>
    <row r="3178" spans="1:20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</row>
    <row r="3179" spans="1:20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</row>
    <row r="3180" spans="1:20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</row>
    <row r="3181" spans="1:20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</row>
    <row r="3182" spans="1:20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</row>
    <row r="3183" spans="1:20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</row>
    <row r="3184" spans="1:20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</row>
    <row r="3185" spans="1:20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</row>
    <row r="3186" spans="1:20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</row>
    <row r="3187" spans="1:20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</row>
    <row r="3188" spans="1:20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</row>
    <row r="3189" spans="1:20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</row>
    <row r="3190" spans="1:20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</row>
    <row r="3191" spans="1:20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</row>
    <row r="3192" spans="1:20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</row>
    <row r="3193" spans="1:20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</row>
    <row r="3194" spans="1:20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</row>
    <row r="3195" spans="1:20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</row>
    <row r="3196" spans="1:20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</row>
    <row r="3197" spans="1:20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</row>
    <row r="3198" spans="1:20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</row>
    <row r="3199" spans="1:20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</row>
    <row r="3200" spans="1:20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</row>
    <row r="3201" spans="1:20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</row>
    <row r="3202" spans="1:20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</row>
    <row r="3203" spans="1:20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</row>
    <row r="3204" spans="1:20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</row>
    <row r="3205" spans="1:20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</row>
    <row r="3206" spans="1:20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</row>
    <row r="3207" spans="1:20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</row>
    <row r="3208" spans="1:20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</row>
    <row r="3209" spans="1:20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</row>
    <row r="3210" spans="1:20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</row>
    <row r="3211" spans="1:20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</row>
    <row r="3212" spans="1:20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</row>
    <row r="3213" spans="1:20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</row>
    <row r="3214" spans="1:20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</row>
    <row r="3215" spans="1:20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</row>
    <row r="3216" spans="1:20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</row>
    <row r="3217" spans="1:20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</row>
    <row r="3218" spans="1:20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</row>
    <row r="3219" spans="1:20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</row>
    <row r="3220" spans="1:20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</row>
    <row r="3221" spans="1:20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</row>
    <row r="3222" spans="1:20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</row>
    <row r="3223" spans="1:20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</row>
    <row r="3224" spans="1:20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</row>
    <row r="3225" spans="1:20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</row>
    <row r="3226" spans="1:20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</row>
    <row r="3227" spans="1:20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</row>
    <row r="3228" spans="1:20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</row>
    <row r="3229" spans="1:20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</row>
    <row r="3230" spans="1:20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</row>
    <row r="3231" spans="1:20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</row>
    <row r="3232" spans="1:20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</row>
    <row r="3233" spans="1:20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</row>
    <row r="3234" spans="1:20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</row>
    <row r="3235" spans="1:20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</row>
    <row r="3236" spans="1:20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</row>
    <row r="3237" spans="1:20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</row>
    <row r="3238" spans="1:20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</row>
    <row r="3239" spans="1:20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</row>
    <row r="3240" spans="1:20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</row>
    <row r="3241" spans="1:20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</row>
    <row r="3242" spans="1:20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</row>
    <row r="3243" spans="1:20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</row>
    <row r="3244" spans="1:20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</row>
    <row r="3245" spans="1:20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</row>
    <row r="3246" spans="1:20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</row>
    <row r="3247" spans="1:20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</row>
    <row r="3248" spans="1:20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</row>
    <row r="3249" spans="1:20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</row>
    <row r="3250" spans="1:20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</row>
    <row r="3251" spans="1:20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</row>
    <row r="3252" spans="1:20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</row>
    <row r="3253" spans="1:20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</row>
    <row r="3254" spans="1:20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</row>
    <row r="3255" spans="1:20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</row>
    <row r="3256" spans="1:20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</row>
    <row r="3257" spans="1:20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</row>
    <row r="3258" spans="1:20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</row>
    <row r="3259" spans="1:20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</row>
    <row r="3260" spans="1:20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</row>
    <row r="3261" spans="1:20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</row>
    <row r="3262" spans="1:20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</row>
    <row r="3263" spans="1:20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</row>
    <row r="3264" spans="1:20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</row>
    <row r="3265" spans="1:20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</row>
    <row r="3266" spans="1:20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</row>
    <row r="3267" spans="1:20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</row>
    <row r="3268" spans="1:20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</row>
    <row r="3269" spans="1:20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</row>
    <row r="3270" spans="1:20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</row>
    <row r="3271" spans="1:20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</row>
    <row r="3272" spans="1:20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</row>
    <row r="3273" spans="1:20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</row>
    <row r="3274" spans="1:20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</row>
    <row r="3275" spans="1:20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</row>
    <row r="3276" spans="1:20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</row>
    <row r="3277" spans="1:20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</row>
    <row r="3278" spans="1:20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</row>
    <row r="3279" spans="1:20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</row>
    <row r="3280" spans="1:20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</row>
    <row r="3281" spans="1:20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</row>
    <row r="3282" spans="1:20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</row>
    <row r="3283" spans="1:20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</row>
    <row r="3284" spans="1:20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</row>
    <row r="3285" spans="1:20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</row>
    <row r="3286" spans="1:20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</row>
    <row r="3287" spans="1:20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</row>
    <row r="3288" spans="1:20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</row>
    <row r="3289" spans="1:20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</row>
    <row r="3290" spans="1:20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</row>
    <row r="3291" spans="1:20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</row>
    <row r="3292" spans="1:20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</row>
    <row r="3293" spans="1:20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</row>
    <row r="3294" spans="1:20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</row>
    <row r="3295" spans="1:20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</row>
    <row r="3296" spans="1:20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</row>
    <row r="3297" spans="1:20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</row>
    <row r="3298" spans="1:20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</row>
    <row r="3299" spans="1:20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</row>
    <row r="3300" spans="1:20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</row>
    <row r="3301" spans="1:20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</row>
    <row r="3302" spans="1:20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</row>
    <row r="3303" spans="1:20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</row>
    <row r="3304" spans="1:20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</row>
    <row r="3305" spans="1:20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</row>
    <row r="3306" spans="1:20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</row>
    <row r="3307" spans="1:20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</row>
    <row r="3308" spans="1:20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</row>
    <row r="3309" spans="1:20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</row>
    <row r="3310" spans="1:20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</row>
    <row r="3311" spans="1:20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</row>
    <row r="3312" spans="1:20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</row>
    <row r="3313" spans="1:20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</row>
    <row r="3314" spans="1:20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</row>
    <row r="3315" spans="1:20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</row>
    <row r="3316" spans="1:20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</row>
    <row r="3317" spans="1:20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</row>
    <row r="3318" spans="1:20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</row>
    <row r="3319" spans="1:20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</row>
    <row r="3320" spans="1:20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</row>
    <row r="3321" spans="1:20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</row>
    <row r="3322" spans="1:20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</row>
    <row r="3323" spans="1:20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</row>
    <row r="3324" spans="1:20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</row>
    <row r="3325" spans="1:20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</row>
    <row r="3326" spans="1:20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</row>
    <row r="3327" spans="1:20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</row>
    <row r="3328" spans="1:20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</row>
    <row r="3329" spans="1:20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</row>
    <row r="3330" spans="1:20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</row>
    <row r="3331" spans="1:20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</row>
    <row r="3332" spans="1:20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</row>
    <row r="3333" spans="1:20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</row>
    <row r="3334" spans="1:20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</row>
    <row r="3335" spans="1:20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</row>
    <row r="3336" spans="1:20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</row>
    <row r="3337" spans="1:20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</row>
    <row r="3338" spans="1:20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</row>
    <row r="3339" spans="1:20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</row>
    <row r="3340" spans="1:20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</row>
    <row r="3341" spans="1:20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</row>
    <row r="3342" spans="1:20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</row>
    <row r="3343" spans="1:20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</row>
    <row r="3344" spans="1:20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</row>
    <row r="3345" spans="1:20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</row>
    <row r="3346" spans="1:20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</row>
    <row r="3347" spans="1:20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</row>
    <row r="3348" spans="1:20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</row>
    <row r="3349" spans="1:20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</row>
    <row r="3350" spans="1:20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</row>
    <row r="3351" spans="1:20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</row>
    <row r="3352" spans="1:20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</row>
    <row r="3353" spans="1:20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</row>
    <row r="3354" spans="1:20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</row>
    <row r="3355" spans="1:20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</row>
    <row r="3356" spans="1:20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</row>
    <row r="3357" spans="1:20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</row>
    <row r="3358" spans="1:20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</row>
    <row r="3359" spans="1:20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</row>
    <row r="3360" spans="1:20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</row>
    <row r="3361" spans="1:20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</row>
    <row r="3362" spans="1:20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</row>
    <row r="3363" spans="1:20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</row>
    <row r="3364" spans="1:20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</row>
    <row r="3365" spans="1:20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</row>
    <row r="3366" spans="1:20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</row>
    <row r="3367" spans="1:20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</row>
    <row r="3368" spans="1:20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</row>
    <row r="3369" spans="1:20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</row>
    <row r="3370" spans="1:20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</row>
    <row r="3371" spans="1:20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</row>
    <row r="3372" spans="1:20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</row>
    <row r="3373" spans="1:20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</row>
    <row r="3374" spans="1:20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</row>
    <row r="3375" spans="1:20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</row>
    <row r="3376" spans="1:20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</row>
    <row r="3377" spans="1:20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</row>
    <row r="3378" spans="1:20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</row>
    <row r="3379" spans="1:20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</row>
    <row r="3380" spans="1:20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</row>
    <row r="3381" spans="1:20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</row>
    <row r="3382" spans="1:20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</row>
    <row r="3383" spans="1:20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</row>
    <row r="3384" spans="1:20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</row>
    <row r="3385" spans="1:20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</row>
    <row r="3386" spans="1:20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</row>
    <row r="3387" spans="1:20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</row>
    <row r="3388" spans="1:20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</row>
    <row r="3389" spans="1:20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</row>
    <row r="3390" spans="1:20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</row>
    <row r="3391" spans="1:20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</row>
    <row r="3392" spans="1:20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</row>
    <row r="3393" spans="1:20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</row>
    <row r="3394" spans="1:20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</row>
    <row r="3395" spans="1:20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</row>
    <row r="3396" spans="1:20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</row>
    <row r="3397" spans="1:20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</row>
    <row r="3398" spans="1:20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</row>
    <row r="3399" spans="1:20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</row>
    <row r="3400" spans="1:20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</row>
    <row r="3401" spans="1:20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</row>
    <row r="3402" spans="1:20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</row>
    <row r="3403" spans="1:20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</row>
    <row r="3404" spans="1:20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</row>
    <row r="3405" spans="1:20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</row>
    <row r="3406" spans="1:20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</row>
    <row r="3407" spans="1:20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</row>
    <row r="3408" spans="1:20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</row>
    <row r="3409" spans="1:20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</row>
    <row r="3410" spans="1:20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</row>
    <row r="3411" spans="1:20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</row>
    <row r="3412" spans="1:20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</row>
    <row r="3413" spans="1:20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</row>
    <row r="3414" spans="1:20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</row>
    <row r="3415" spans="1:20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</row>
    <row r="3416" spans="1:20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</row>
    <row r="3417" spans="1:20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</row>
    <row r="3418" spans="1:20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</row>
    <row r="3419" spans="1:20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</row>
    <row r="3420" spans="1:20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</row>
    <row r="3421" spans="1:20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</row>
    <row r="3422" spans="1:20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</row>
    <row r="3423" spans="1:20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</row>
    <row r="3424" spans="1:20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</row>
    <row r="3425" spans="1:20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</row>
    <row r="3426" spans="1:20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</row>
    <row r="3427" spans="1:20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</row>
    <row r="3428" spans="1:20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</row>
    <row r="3429" spans="1:20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</row>
    <row r="3430" spans="1:20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</row>
    <row r="3431" spans="1:20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</row>
    <row r="3432" spans="1:20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</row>
    <row r="3433" spans="1:20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</row>
    <row r="3434" spans="1:20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</row>
    <row r="3435" spans="1:20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</row>
    <row r="3436" spans="1:20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</row>
    <row r="3437" spans="1:20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</row>
    <row r="3438" spans="1:20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</row>
    <row r="3439" spans="1:20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</row>
    <row r="3440" spans="1:20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</row>
    <row r="3441" spans="1:20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</row>
    <row r="3442" spans="1:20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</row>
    <row r="3443" spans="1:20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</row>
    <row r="3444" spans="1:20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</row>
    <row r="3445" spans="1:20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</row>
    <row r="3446" spans="1:20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</row>
    <row r="3447" spans="1:20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</row>
    <row r="3448" spans="1:20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</row>
    <row r="3449" spans="1:20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</row>
    <row r="3450" spans="1:20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</row>
    <row r="3451" spans="1:20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</row>
    <row r="3452" spans="1:20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</row>
    <row r="3453" spans="1:20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</row>
    <row r="3454" spans="1:20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</row>
    <row r="3455" spans="1:20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</row>
    <row r="3456" spans="1:20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</row>
    <row r="3457" spans="1:20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</row>
    <row r="3458" spans="1:20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</row>
    <row r="3459" spans="1:20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</row>
    <row r="3460" spans="1:20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</row>
    <row r="3461" spans="1:20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</row>
    <row r="3462" spans="1:20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</row>
    <row r="3463" spans="1:20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</row>
    <row r="3464" spans="1:20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</row>
    <row r="3465" spans="1:20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</row>
    <row r="3466" spans="1:20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</row>
    <row r="3467" spans="1:20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</row>
    <row r="3468" spans="1:20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</row>
    <row r="3469" spans="1:20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</row>
    <row r="3470" spans="1:20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</row>
    <row r="3471" spans="1:20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</row>
    <row r="3472" spans="1:20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</row>
    <row r="3473" spans="1:20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</row>
    <row r="3474" spans="1:20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</row>
    <row r="3475" spans="1:20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</row>
    <row r="3476" spans="1:20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</row>
    <row r="3477" spans="1:20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</row>
    <row r="3478" spans="1:20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</row>
    <row r="3479" spans="1:20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</row>
    <row r="3480" spans="1:20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</row>
    <row r="3481" spans="1:20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</row>
    <row r="3482" spans="1:20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</row>
    <row r="3483" spans="1:20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</row>
    <row r="3484" spans="1:20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</row>
    <row r="3485" spans="1:20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</row>
    <row r="3486" spans="1:20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</row>
    <row r="3487" spans="1:20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</row>
    <row r="3488" spans="1:20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</row>
    <row r="3489" spans="1:20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</row>
    <row r="3490" spans="1:20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</row>
    <row r="3491" spans="1:20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</row>
    <row r="3492" spans="1:20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</row>
    <row r="3493" spans="1:20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</row>
    <row r="3494" spans="1:20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</row>
    <row r="3495" spans="1:20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</row>
    <row r="3496" spans="1:20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</row>
    <row r="3497" spans="1:20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</row>
    <row r="3498" spans="1:20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</row>
    <row r="3499" spans="1:20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</row>
    <row r="3500" spans="1:20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</row>
    <row r="3501" spans="1:20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</row>
    <row r="3502" spans="1:20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</row>
    <row r="3503" spans="1:20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</row>
    <row r="3504" spans="1:20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</row>
    <row r="3505" spans="1:20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</row>
    <row r="3506" spans="1:20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</row>
    <row r="3507" spans="1:20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</row>
    <row r="3508" spans="1:20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</row>
    <row r="3509" spans="1:20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</row>
    <row r="3510" spans="1:20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</row>
    <row r="3511" spans="1:20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</row>
    <row r="3512" spans="1:20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</row>
    <row r="3513" spans="1:20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</row>
    <row r="3514" spans="1:20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</row>
    <row r="3515" spans="1:20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</row>
    <row r="3516" spans="1:20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</row>
    <row r="3517" spans="1:20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</row>
    <row r="3518" spans="1:20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</row>
    <row r="3519" spans="1:20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</row>
    <row r="3520" spans="1:20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</row>
    <row r="3521" spans="1:20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</row>
    <row r="3522" spans="1:20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</row>
    <row r="3523" spans="1:20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</row>
    <row r="3524" spans="1:20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</row>
    <row r="3525" spans="1:20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</row>
    <row r="3526" spans="1:20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</row>
    <row r="3527" spans="1:20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</row>
    <row r="3528" spans="1:20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</row>
    <row r="3529" spans="1:20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</row>
    <row r="3530" spans="1:20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</row>
    <row r="3531" spans="1:20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</row>
    <row r="3532" spans="1:20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</row>
    <row r="3533" spans="1:20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</row>
    <row r="3534" spans="1:20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</row>
    <row r="3535" spans="1:20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</row>
    <row r="3536" spans="1:20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</row>
    <row r="3537" spans="1:20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</row>
    <row r="3538" spans="1:20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</row>
    <row r="3539" spans="1:20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</row>
    <row r="3540" spans="1:20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</row>
    <row r="3541" spans="1:20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</row>
    <row r="3542" spans="1:20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</row>
    <row r="3543" spans="1:20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</row>
    <row r="3544" spans="1:20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</row>
    <row r="3545" spans="1:20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</row>
    <row r="3546" spans="1:20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</row>
    <row r="3547" spans="1:20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</row>
    <row r="3548" spans="1:20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</row>
    <row r="3549" spans="1:20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</row>
    <row r="3550" spans="1:20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</row>
    <row r="3551" spans="1:20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</row>
    <row r="3552" spans="1:20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</row>
    <row r="3553" spans="1:20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</row>
    <row r="3554" spans="1:20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</row>
    <row r="3555" spans="1:20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</row>
    <row r="3556" spans="1:20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</row>
    <row r="3557" spans="1:20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</row>
    <row r="3558" spans="1:20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</row>
    <row r="3559" spans="1:20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</row>
    <row r="3560" spans="1:20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</row>
    <row r="3561" spans="1:20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</row>
    <row r="3562" spans="1:20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</row>
    <row r="3563" spans="1:20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</row>
    <row r="3564" spans="1:20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</row>
    <row r="3565" spans="1:20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</row>
    <row r="3566" spans="1:20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</row>
    <row r="3567" spans="1:20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</row>
    <row r="3568" spans="1:20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</row>
    <row r="3569" spans="1:20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</row>
    <row r="3570" spans="1:20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</row>
    <row r="3571" spans="1:20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</row>
    <row r="3572" spans="1:20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</row>
    <row r="3573" spans="1:20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</row>
    <row r="3574" spans="1:20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</row>
    <row r="3575" spans="1:20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</row>
    <row r="3576" spans="1:20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</row>
    <row r="3577" spans="1:20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</row>
    <row r="3578" spans="1:20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</row>
    <row r="3579" spans="1:20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</row>
    <row r="3580" spans="1:20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</row>
    <row r="3581" spans="1:20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</row>
    <row r="3582" spans="1:20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</row>
    <row r="3583" spans="1:20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</row>
    <row r="3584" spans="1:20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</row>
    <row r="3585" spans="1:20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</row>
    <row r="3586" spans="1:20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</row>
    <row r="3587" spans="1:20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</row>
    <row r="3588" spans="1:20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</row>
    <row r="3589" spans="1:20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</row>
    <row r="3590" spans="1:20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</row>
    <row r="3591" spans="1:20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</row>
    <row r="3592" spans="1:20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</row>
    <row r="3593" spans="1:20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</row>
    <row r="3594" spans="1:20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</row>
    <row r="3595" spans="1:20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</row>
    <row r="3596" spans="1:20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</row>
    <row r="3597" spans="1:20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</row>
    <row r="3598" spans="1:20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</row>
    <row r="3599" spans="1:20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</row>
    <row r="3600" spans="1:20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</row>
    <row r="3601" spans="1:20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</row>
    <row r="3602" spans="1:20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</row>
    <row r="3603" spans="1:20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</row>
    <row r="3604" spans="1:20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</row>
    <row r="3605" spans="1:20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</row>
    <row r="3606" spans="1:20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</row>
    <row r="3607" spans="1:20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</row>
    <row r="3608" spans="1:20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</row>
    <row r="3609" spans="1:20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</row>
    <row r="3610" spans="1:20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</row>
    <row r="3611" spans="1:20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</row>
    <row r="3612" spans="1:20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</row>
    <row r="3613" spans="1:20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</row>
    <row r="3614" spans="1:20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</row>
    <row r="3615" spans="1:20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</row>
    <row r="3616" spans="1:20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</row>
    <row r="3617" spans="1:20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</row>
    <row r="3618" spans="1:20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</row>
    <row r="3619" spans="1:20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</row>
    <row r="3620" spans="1:20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</row>
    <row r="3621" spans="1:20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</row>
    <row r="3622" spans="1:20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</row>
    <row r="3623" spans="1:20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</row>
    <row r="3624" spans="1:20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</row>
    <row r="3625" spans="1:20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</row>
    <row r="3626" spans="1:20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</row>
    <row r="3627" spans="1:20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</row>
    <row r="3628" spans="1:20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</row>
    <row r="3629" spans="1:20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</row>
    <row r="3630" spans="1:20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</row>
    <row r="3631" spans="1:20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</row>
    <row r="3632" spans="1:20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</row>
    <row r="3633" spans="1:20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</row>
    <row r="3634" spans="1:20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</row>
    <row r="3635" spans="1:20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</row>
    <row r="3636" spans="1:20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</row>
    <row r="3637" spans="1:20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</row>
    <row r="3638" spans="1:20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</row>
    <row r="3639" spans="1:20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</row>
    <row r="3640" spans="1:20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</row>
    <row r="3641" spans="1:20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</row>
    <row r="3642" spans="1:20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</row>
    <row r="3643" spans="1:20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</row>
    <row r="3644" spans="1:20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</row>
    <row r="3645" spans="1:20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</row>
    <row r="3646" spans="1:20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</row>
    <row r="3647" spans="1:20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</row>
    <row r="3648" spans="1:20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</row>
    <row r="3649" spans="1:20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</row>
    <row r="3650" spans="1:20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</row>
    <row r="3651" spans="1:20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</row>
    <row r="3652" spans="1:20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</row>
    <row r="3653" spans="1:20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</row>
    <row r="3654" spans="1:20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</row>
    <row r="3655" spans="1:20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</row>
    <row r="3656" spans="1:20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</row>
    <row r="3657" spans="1:20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</row>
    <row r="3658" spans="1:20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</row>
    <row r="3659" spans="1:20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</row>
    <row r="3660" spans="1:20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</row>
    <row r="3661" spans="1:20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</row>
    <row r="3662" spans="1:20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</row>
    <row r="3663" spans="1:20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</row>
    <row r="3664" spans="1:20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</row>
    <row r="3665" spans="1:20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</row>
    <row r="3666" spans="1:20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</row>
    <row r="3667" spans="1:20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</row>
    <row r="3668" spans="1:20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</row>
    <row r="3669" spans="1:20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</row>
    <row r="3670" spans="1:20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</row>
    <row r="3671" spans="1:20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</row>
    <row r="3672" spans="1:20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</row>
    <row r="3673" spans="1:20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</row>
    <row r="3674" spans="1:20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</row>
    <row r="3675" spans="1:20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</row>
    <row r="3676" spans="1:20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</row>
    <row r="3677" spans="1:20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</row>
    <row r="3678" spans="1:20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</row>
    <row r="3679" spans="1:20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</row>
    <row r="3680" spans="1:20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</row>
    <row r="3681" spans="1:20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</row>
    <row r="3682" spans="1:20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</row>
    <row r="3683" spans="1:20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</row>
    <row r="3684" spans="1:20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</row>
    <row r="3685" spans="1:20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</row>
    <row r="3686" spans="1:20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</row>
    <row r="3687" spans="1:20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</row>
    <row r="3688" spans="1:20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</row>
    <row r="3689" spans="1:20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</row>
    <row r="3690" spans="1:20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</row>
    <row r="3691" spans="1:20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</row>
    <row r="3692" spans="1:20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</row>
    <row r="3693" spans="1:20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</row>
    <row r="3694" spans="1:20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</row>
    <row r="3695" spans="1:20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</row>
    <row r="3696" spans="1:20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</row>
    <row r="3697" spans="1:20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</row>
    <row r="3698" spans="1:20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</row>
    <row r="3699" spans="1:20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</row>
    <row r="3700" spans="1:20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</row>
    <row r="3701" spans="1:20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</row>
    <row r="3702" spans="1:20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</row>
    <row r="3703" spans="1:20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</row>
    <row r="3704" spans="1:20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</row>
    <row r="3705" spans="1:20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</row>
    <row r="3706" spans="1:20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</row>
    <row r="3707" spans="1:20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</row>
    <row r="3708" spans="1:20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</row>
    <row r="3709" spans="1:20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</row>
    <row r="3710" spans="1:20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</row>
    <row r="3711" spans="1:20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</row>
    <row r="3712" spans="1:20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</row>
    <row r="3713" spans="1:20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</row>
    <row r="3714" spans="1:20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</row>
    <row r="3715" spans="1:20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</row>
    <row r="3716" spans="1:20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</row>
    <row r="3717" spans="1:20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</row>
    <row r="3718" spans="1:20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</row>
    <row r="3719" spans="1:20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</row>
    <row r="3720" spans="1:20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</row>
    <row r="3721" spans="1:20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</row>
    <row r="3722" spans="1:20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</row>
    <row r="3723" spans="1:20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</row>
    <row r="3724" spans="1:20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</row>
    <row r="3725" spans="1:20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</row>
    <row r="3726" spans="1:20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</row>
    <row r="3727" spans="1:20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</row>
    <row r="3728" spans="1:20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</row>
    <row r="3729" spans="1:20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</row>
    <row r="3730" spans="1:20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</row>
    <row r="3731" spans="1:20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</row>
    <row r="3732" spans="1:20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</row>
    <row r="3733" spans="1:20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</row>
    <row r="3734" spans="1:20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</row>
    <row r="3735" spans="1:20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</row>
    <row r="3736" spans="1:20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</row>
    <row r="3737" spans="1:20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</row>
    <row r="3738" spans="1:20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</row>
    <row r="3739" spans="1:20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</row>
    <row r="3740" spans="1:20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</row>
    <row r="3741" spans="1:20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</row>
    <row r="3742" spans="1:20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</row>
    <row r="3743" spans="1:20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</row>
    <row r="3744" spans="1:20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</row>
    <row r="3745" spans="1:20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</row>
    <row r="3746" spans="1:20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</row>
    <row r="3747" spans="1:20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</row>
    <row r="3748" spans="1:20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</row>
    <row r="3749" spans="1:20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</row>
    <row r="3750" spans="1:20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</row>
    <row r="3751" spans="1:20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</row>
    <row r="3752" spans="1:20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</row>
    <row r="3753" spans="1:20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</row>
    <row r="3754" spans="1:20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</row>
    <row r="3755" spans="1:20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</row>
    <row r="3756" spans="1:20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</row>
    <row r="3757" spans="1:20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</row>
    <row r="3758" spans="1:20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</row>
    <row r="3759" spans="1:20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</row>
    <row r="3760" spans="1:20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</row>
    <row r="3761" spans="1:20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</row>
    <row r="3762" spans="1:20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</row>
    <row r="3763" spans="1:20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</row>
    <row r="3764" spans="1:20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</row>
    <row r="3765" spans="1:20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</row>
    <row r="3766" spans="1:20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</row>
    <row r="3767" spans="1:20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</row>
    <row r="3768" spans="1:20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</row>
    <row r="3769" spans="1:20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</row>
    <row r="3770" spans="1:20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</row>
    <row r="3771" spans="1:20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</row>
    <row r="3772" spans="1:20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</row>
    <row r="3773" spans="1:20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</row>
    <row r="3774" spans="1:20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</row>
    <row r="3775" spans="1:20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</row>
    <row r="3776" spans="1:20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</row>
    <row r="3777" spans="1:20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</row>
    <row r="3778" spans="1:20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</row>
    <row r="3779" spans="1:20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</row>
    <row r="3780" spans="1:20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</row>
    <row r="3781" spans="1:20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</row>
    <row r="3782" spans="1:20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</row>
    <row r="3783" spans="1:20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</row>
    <row r="3784" spans="1:20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</row>
    <row r="3785" spans="1:20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</row>
    <row r="3786" spans="1:20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</row>
    <row r="3787" spans="1:20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</row>
    <row r="3788" spans="1:20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</row>
    <row r="3789" spans="1:20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</row>
    <row r="3790" spans="1:20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</row>
    <row r="3791" spans="1:20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</row>
    <row r="3792" spans="1:20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</row>
    <row r="3793" spans="1:20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</row>
    <row r="3794" spans="1:20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</row>
    <row r="3795" spans="1:20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</row>
    <row r="3796" spans="1:20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</row>
    <row r="3797" spans="1:20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</row>
    <row r="3798" spans="1:20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</row>
    <row r="3799" spans="1:20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</row>
    <row r="3800" spans="1:20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</row>
    <row r="3801" spans="1:20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</row>
    <row r="3802" spans="1:20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</row>
    <row r="3803" spans="1:20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</row>
    <row r="3804" spans="1:20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</row>
    <row r="3805" spans="1:20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</row>
    <row r="3806" spans="1:20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</row>
    <row r="3807" spans="1:20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</row>
    <row r="3808" spans="1:20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</row>
    <row r="3809" spans="1:20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</row>
    <row r="3810" spans="1:20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</row>
    <row r="3811" spans="1:20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</row>
    <row r="3812" spans="1:20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</row>
    <row r="3813" spans="1:20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</row>
    <row r="3814" spans="1:20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</row>
    <row r="3815" spans="1:20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</row>
    <row r="3816" spans="1:20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</row>
    <row r="3817" spans="1:20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</row>
    <row r="3818" spans="1:20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</row>
    <row r="3819" spans="1:20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</row>
    <row r="3820" spans="1:20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</row>
    <row r="3821" spans="1:20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</row>
    <row r="3822" spans="1:20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</row>
    <row r="3823" spans="1:20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</row>
    <row r="3824" spans="1:20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</row>
    <row r="3825" spans="1:20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</row>
    <row r="3826" spans="1:20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</row>
    <row r="3827" spans="1:20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</row>
    <row r="3828" spans="1:20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</row>
    <row r="3829" spans="1:20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</row>
    <row r="3830" spans="1:20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</row>
    <row r="3831" spans="1:20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</row>
    <row r="3832" spans="1:20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</row>
    <row r="3833" spans="1:20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</row>
    <row r="3834" spans="1:20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</row>
    <row r="3835" spans="1:20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</row>
    <row r="3836" spans="1:20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</row>
    <row r="3837" spans="1:20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</row>
    <row r="3838" spans="1:20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</row>
    <row r="3839" spans="1:20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</row>
    <row r="3840" spans="1:20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</row>
    <row r="3841" spans="1:20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</row>
    <row r="3842" spans="1:20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</row>
    <row r="3843" spans="1:20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</row>
    <row r="3844" spans="1:20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</row>
    <row r="3845" spans="1:20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</row>
    <row r="3846" spans="1:20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</row>
    <row r="3847" spans="1:20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</row>
    <row r="3848" spans="1:20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</row>
    <row r="3849" spans="1:20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</row>
    <row r="3850" spans="1:20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</row>
    <row r="3851" spans="1:20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</row>
    <row r="3852" spans="1:20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</row>
    <row r="3853" spans="1:20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</row>
    <row r="3854" spans="1:20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</row>
    <row r="3855" spans="1:20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</row>
    <row r="3856" spans="1:20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</row>
    <row r="3857" spans="1:20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</row>
    <row r="3858" spans="1:20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</row>
    <row r="3859" spans="1:20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</row>
    <row r="3860" spans="1:20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</row>
    <row r="3861" spans="1:20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</row>
    <row r="3862" spans="1:20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</row>
    <row r="3863" spans="1:20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</row>
    <row r="3864" spans="1:20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</row>
    <row r="3865" spans="1:20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</row>
    <row r="3866" spans="1:20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</row>
    <row r="3867" spans="1:20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</row>
    <row r="3868" spans="1:20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</row>
    <row r="3869" spans="1:20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</row>
    <row r="3870" spans="1:20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</row>
    <row r="3871" spans="1:20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</row>
    <row r="3872" spans="1:20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</row>
    <row r="3873" spans="1:20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</row>
    <row r="3874" spans="1:20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</row>
    <row r="3875" spans="1:20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</row>
    <row r="3876" spans="1:20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</row>
    <row r="3877" spans="1:20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</row>
    <row r="3878" spans="1:20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</row>
    <row r="3879" spans="1:20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</row>
    <row r="3880" spans="1:20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</row>
    <row r="3881" spans="1:20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</row>
    <row r="3882" spans="1:20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</row>
    <row r="3883" spans="1:20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</row>
    <row r="3884" spans="1:20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</row>
    <row r="3885" spans="1:20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</row>
    <row r="3886" spans="1:20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</row>
    <row r="3887" spans="1:20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</row>
    <row r="3888" spans="1:20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</row>
    <row r="3889" spans="1:20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</row>
    <row r="3890" spans="1:20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</row>
    <row r="3891" spans="1:20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</row>
    <row r="3892" spans="1:20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</row>
    <row r="3893" spans="1:20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</row>
    <row r="3894" spans="1:20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</row>
    <row r="3895" spans="1:20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</row>
    <row r="3896" spans="1:20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</row>
    <row r="3897" spans="1:20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</row>
    <row r="3898" spans="1:20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</row>
    <row r="3899" spans="1:20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</row>
    <row r="3900" spans="1:20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</row>
    <row r="3901" spans="1:20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</row>
    <row r="3902" spans="1:20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</row>
    <row r="3903" spans="1:20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</row>
    <row r="3904" spans="1:20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</row>
    <row r="3905" spans="1:20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</row>
    <row r="3906" spans="1:20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</row>
    <row r="3907" spans="1:20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</row>
    <row r="3908" spans="1:20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</row>
    <row r="3909" spans="1:20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</row>
    <row r="3910" spans="1:20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</row>
    <row r="3911" spans="1:20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</row>
    <row r="3912" spans="1:20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</row>
    <row r="3913" spans="1:20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</row>
    <row r="3914" spans="1:20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</row>
    <row r="3915" spans="1:20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</row>
    <row r="3916" spans="1:20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</row>
    <row r="3917" spans="1:20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</row>
    <row r="3918" spans="1:20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</row>
    <row r="3919" spans="1:20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</row>
    <row r="3920" spans="1:20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</row>
    <row r="3921" spans="1:20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</row>
    <row r="3922" spans="1:20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</row>
    <row r="3923" spans="1:20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</row>
    <row r="3924" spans="1:20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</row>
    <row r="3925" spans="1:20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</row>
    <row r="3926" spans="1:20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</row>
    <row r="3927" spans="1:20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</row>
    <row r="3928" spans="1:20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</row>
    <row r="3929" spans="1:20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</row>
    <row r="3930" spans="1:20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</row>
    <row r="3931" spans="1:20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</row>
    <row r="3932" spans="1:20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</row>
    <row r="3933" spans="1:20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</row>
    <row r="3934" spans="1:20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</row>
    <row r="3935" spans="1:20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</row>
    <row r="3936" spans="1:20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</row>
    <row r="3937" spans="1:20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</row>
    <row r="3938" spans="1:20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</row>
    <row r="3939" spans="1:20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</row>
    <row r="3940" spans="1:20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</row>
    <row r="3941" spans="1:20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</row>
    <row r="3942" spans="1:20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</row>
    <row r="3943" spans="1:20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</row>
    <row r="3944" spans="1:20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</row>
    <row r="3945" spans="1:20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</row>
    <row r="3946" spans="1:20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</row>
    <row r="3947" spans="1:20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</row>
    <row r="3948" spans="1:20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</row>
    <row r="3949" spans="1:20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</row>
    <row r="3950" spans="1:20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</row>
    <row r="3951" spans="1:20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</row>
    <row r="3952" spans="1:20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</row>
    <row r="3953" spans="1:20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</row>
    <row r="3954" spans="1:20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</row>
    <row r="3955" spans="1:20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</row>
    <row r="3956" spans="1:20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</row>
    <row r="3957" spans="1:20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</row>
    <row r="3958" spans="1:20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</row>
    <row r="3959" spans="1:20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</row>
    <row r="3960" spans="1:20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</row>
    <row r="3961" spans="1:20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</row>
    <row r="3962" spans="1:20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</row>
    <row r="3963" spans="1:20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</row>
    <row r="3964" spans="1:20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</row>
    <row r="3965" spans="1:20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</row>
    <row r="3966" spans="1:20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</row>
    <row r="3967" spans="1:20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</row>
    <row r="3968" spans="1:20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</row>
    <row r="3969" spans="1:20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</row>
    <row r="3970" spans="1:20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</row>
    <row r="3971" spans="1:20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</row>
    <row r="3972" spans="1:20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</row>
    <row r="3973" spans="1:20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</row>
    <row r="3974" spans="1:20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</row>
    <row r="3975" spans="1:20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</row>
    <row r="3976" spans="1:20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</row>
    <row r="3977" spans="1:20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</row>
    <row r="3978" spans="1:20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</row>
    <row r="3979" spans="1:20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</row>
    <row r="3980" spans="1:20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</row>
    <row r="3981" spans="1:20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</row>
    <row r="3982" spans="1:20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</row>
    <row r="3983" spans="1:20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</row>
    <row r="3984" spans="1:20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</row>
    <row r="3985" spans="1:20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</row>
    <row r="3986" spans="1:20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</row>
    <row r="3987" spans="1:20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</row>
    <row r="3988" spans="1:20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</row>
    <row r="3989" spans="1:20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</row>
    <row r="3990" spans="1:20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</row>
    <row r="3991" spans="1:20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</row>
    <row r="3992" spans="1:20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</row>
    <row r="3993" spans="1:20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</row>
    <row r="3994" spans="1:20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</row>
    <row r="3995" spans="1:20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</row>
    <row r="3996" spans="1:20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</row>
    <row r="3997" spans="1:20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</row>
    <row r="3998" spans="1:20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</row>
    <row r="3999" spans="1:20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</row>
    <row r="4000" spans="1:20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</row>
    <row r="4001" spans="1:20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</row>
    <row r="4002" spans="1:20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</row>
    <row r="4003" spans="1:20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</row>
    <row r="4004" spans="1:20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</row>
    <row r="4005" spans="1:20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</row>
    <row r="4006" spans="1:20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</row>
    <row r="4007" spans="1:20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</row>
    <row r="4008" spans="1:20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</row>
    <row r="4009" spans="1:20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</row>
    <row r="4010" spans="1:20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</row>
    <row r="4011" spans="1:20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</row>
    <row r="4012" spans="1:20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</row>
    <row r="4013" spans="1:20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</row>
    <row r="4014" spans="1:20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</row>
    <row r="4015" spans="1:20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</row>
    <row r="4016" spans="1:20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</row>
    <row r="4017" spans="1:20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</row>
    <row r="4018" spans="1:20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</row>
    <row r="4019" spans="1:20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</row>
    <row r="4020" spans="1:20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</row>
    <row r="4021" spans="1:20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</row>
    <row r="4022" spans="1:20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</row>
    <row r="4023" spans="1:20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</row>
    <row r="4024" spans="1:20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</row>
    <row r="4025" spans="1:20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</row>
    <row r="4026" spans="1:20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</row>
    <row r="4027" spans="1:20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</row>
    <row r="4028" spans="1:20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</row>
    <row r="4029" spans="1:20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</row>
    <row r="4030" spans="1:20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</row>
    <row r="4031" spans="1:20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</row>
    <row r="4032" spans="1:20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</row>
    <row r="4033" spans="1:20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</row>
    <row r="4034" spans="1:20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</row>
    <row r="4035" spans="1:20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</row>
    <row r="4036" spans="1:20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</row>
    <row r="4037" spans="1:20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</row>
    <row r="4038" spans="1:20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</row>
    <row r="4039" spans="1:20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</row>
    <row r="4040" spans="1:20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</row>
    <row r="4041" spans="1:20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</row>
    <row r="4042" spans="1:20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</row>
    <row r="4043" spans="1:20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</row>
    <row r="4044" spans="1:20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</row>
    <row r="4045" spans="1:20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</row>
    <row r="4046" spans="1:20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</row>
    <row r="4047" spans="1:20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</row>
    <row r="4048" spans="1:20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</row>
    <row r="4049" spans="1:20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</row>
    <row r="4050" spans="1:20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</row>
    <row r="4051" spans="1:20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</row>
    <row r="4052" spans="1:20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</row>
    <row r="4053" spans="1:20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</row>
    <row r="4054" spans="1:20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</row>
    <row r="4055" spans="1:20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</row>
    <row r="4056" spans="1:20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</row>
    <row r="4057" spans="1:20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</row>
    <row r="4058" spans="1:20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</row>
    <row r="4059" spans="1:20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</row>
    <row r="4060" spans="1:20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</row>
    <row r="4061" spans="1:20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</row>
    <row r="4062" spans="1:20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</row>
    <row r="4063" spans="1:20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</row>
    <row r="4064" spans="1:20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</row>
    <row r="4065" spans="1:20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</row>
    <row r="4066" spans="1:20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</row>
    <row r="4067" spans="1:20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</row>
    <row r="4068" spans="1:20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</row>
    <row r="4069" spans="1:20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</row>
    <row r="4070" spans="1:20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</row>
    <row r="4071" spans="1:20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</row>
    <row r="4072" spans="1:20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</row>
    <row r="4073" spans="1:20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</row>
    <row r="4074" spans="1:20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</row>
    <row r="4075" spans="1:20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</row>
    <row r="4076" spans="1:20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</row>
    <row r="4077" spans="1:20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</row>
    <row r="4078" spans="1:20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</row>
    <row r="4079" spans="1:20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</row>
    <row r="4080" spans="1:20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</row>
    <row r="4081" spans="1:20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</row>
    <row r="4082" spans="1:20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</row>
    <row r="4083" spans="1:20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</row>
    <row r="4084" spans="1:20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</row>
    <row r="4085" spans="1:20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</row>
    <row r="4086" spans="1:20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</row>
    <row r="4087" spans="1:20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</row>
    <row r="4088" spans="1:20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</row>
    <row r="4089" spans="1:20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</row>
    <row r="4090" spans="1:20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</row>
    <row r="4091" spans="1:20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</row>
    <row r="4092" spans="1:20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</row>
    <row r="4093" spans="1:20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</row>
    <row r="4094" spans="1:20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</row>
    <row r="4095" spans="1:20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</row>
    <row r="4096" spans="1:20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</row>
    <row r="4097" spans="1:20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</row>
    <row r="4098" spans="1:20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</row>
    <row r="4099" spans="1:20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</row>
    <row r="4100" spans="1:20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</row>
    <row r="4101" spans="1:20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</row>
    <row r="4102" spans="1:20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</row>
    <row r="4103" spans="1:20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</row>
    <row r="4104" spans="1:20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</row>
    <row r="4105" spans="1:20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</row>
    <row r="4106" spans="1:20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</row>
    <row r="4107" spans="1:20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</row>
    <row r="4108" spans="1:20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</row>
    <row r="4109" spans="1:20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</row>
    <row r="4110" spans="1:20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</row>
    <row r="4111" spans="1:20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</row>
    <row r="4112" spans="1:20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</row>
    <row r="4113" spans="1:20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</row>
    <row r="4114" spans="1:20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</row>
    <row r="4115" spans="1:20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</row>
    <row r="4116" spans="1:20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</row>
    <row r="4117" spans="1:20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</row>
    <row r="4118" spans="1:20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</row>
    <row r="4119" spans="1:20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</row>
    <row r="4120" spans="1:20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</row>
    <row r="4121" spans="1:20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</row>
    <row r="4122" spans="1:20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</row>
    <row r="4123" spans="1:20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</row>
    <row r="4124" spans="1:20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</row>
    <row r="4125" spans="1:20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</row>
    <row r="4126" spans="1:20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</row>
    <row r="4127" spans="1:20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</row>
    <row r="4128" spans="1:20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</row>
    <row r="4129" spans="1:20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</row>
    <row r="4130" spans="1:20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</row>
    <row r="4131" spans="1:20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</row>
    <row r="4132" spans="1:20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</row>
    <row r="4133" spans="1:20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</row>
    <row r="4134" spans="1:20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</row>
    <row r="4135" spans="1:20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</row>
    <row r="4136" spans="1:20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</row>
    <row r="4137" spans="1:20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</row>
    <row r="4138" spans="1:20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</row>
    <row r="4139" spans="1:20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</row>
    <row r="4140" spans="1:20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</row>
    <row r="4141" spans="1:20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</row>
    <row r="4142" spans="1:20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</row>
    <row r="4143" spans="1:20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</row>
    <row r="4144" spans="1:20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</row>
    <row r="4145" spans="1:20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</row>
    <row r="4146" spans="1:20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</row>
    <row r="4147" spans="1:20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</row>
    <row r="4148" spans="1:20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</row>
    <row r="4149" spans="1:20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</row>
    <row r="4150" spans="1:20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</row>
    <row r="4151" spans="1:20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</row>
    <row r="4152" spans="1:20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</row>
    <row r="4153" spans="1:20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</row>
    <row r="4154" spans="1:20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</row>
    <row r="4155" spans="1:20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</row>
    <row r="4156" spans="1:20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</row>
    <row r="4157" spans="1:20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</row>
    <row r="4158" spans="1:20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</row>
    <row r="4159" spans="1:20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</row>
    <row r="4160" spans="1:20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</row>
    <row r="4161" spans="1:20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</row>
    <row r="4162" spans="1:20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</row>
    <row r="4163" spans="1:20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</row>
    <row r="4164" spans="1:20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</row>
    <row r="4165" spans="1:20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</row>
    <row r="4166" spans="1:20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</row>
    <row r="4167" spans="1:20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</row>
    <row r="4168" spans="1:20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</row>
    <row r="4169" spans="1:20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</row>
    <row r="4170" spans="1:20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</row>
    <row r="4171" spans="1:20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</row>
    <row r="4172" spans="1:20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</row>
    <row r="4173" spans="1:20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</row>
    <row r="4174" spans="1:20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</row>
    <row r="4175" spans="1:20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</row>
    <row r="4176" spans="1:20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</row>
    <row r="4177" spans="1:20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</row>
    <row r="4178" spans="1:20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</row>
    <row r="4179" spans="1:20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</row>
    <row r="4180" spans="1:20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</row>
    <row r="4181" spans="1:20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</row>
    <row r="4182" spans="1:20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</row>
    <row r="4183" spans="1:20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</row>
    <row r="4184" spans="1:20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</row>
    <row r="4185" spans="1:20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</row>
    <row r="4186" spans="1:20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</row>
    <row r="4187" spans="1:20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</row>
    <row r="4188" spans="1:20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</row>
    <row r="4189" spans="1:20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</row>
    <row r="4190" spans="1:20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</row>
    <row r="4191" spans="1:20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</row>
    <row r="4192" spans="1:20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</row>
    <row r="4193" spans="1:20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</row>
    <row r="4194" spans="1:20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</row>
    <row r="4195" spans="1:20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</row>
    <row r="4196" spans="1:20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</row>
    <row r="4197" spans="1:20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</row>
    <row r="4198" spans="1:20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</row>
    <row r="4199" spans="1:20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</row>
    <row r="4200" spans="1:20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</row>
    <row r="4201" spans="1:20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</row>
    <row r="4202" spans="1:20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</row>
    <row r="4203" spans="1:20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</row>
    <row r="4204" spans="1:20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</row>
    <row r="4205" spans="1:20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</row>
    <row r="4206" spans="1:20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</row>
    <row r="4207" spans="1:20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</row>
    <row r="4208" spans="1:20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</row>
    <row r="4209" spans="1:20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</row>
    <row r="4210" spans="1:20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</row>
    <row r="4211" spans="1:20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</row>
    <row r="4212" spans="1:20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</row>
    <row r="4213" spans="1:20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</row>
    <row r="4214" spans="1:20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</row>
    <row r="4215" spans="1:20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</row>
    <row r="4216" spans="1:20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</row>
    <row r="4217" spans="1:20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</row>
    <row r="4218" spans="1:20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</row>
    <row r="4219" spans="1:20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</row>
    <row r="4220" spans="1:20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</row>
    <row r="4221" spans="1:20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</row>
    <row r="4222" spans="1:20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</row>
    <row r="4223" spans="1:20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</row>
    <row r="4224" spans="1:20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</row>
    <row r="4225" spans="1:20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</row>
    <row r="4226" spans="1:20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</row>
    <row r="4227" spans="1:20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</row>
    <row r="4228" spans="1:20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</row>
    <row r="4229" spans="1:20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</row>
    <row r="4230" spans="1:20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</row>
    <row r="4231" spans="1:20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</row>
    <row r="4232" spans="1:20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</row>
    <row r="4233" spans="1:20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</row>
    <row r="4234" spans="1:20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</row>
    <row r="4235" spans="1:20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</row>
    <row r="4236" spans="1:20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</row>
    <row r="4237" spans="1:20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</row>
    <row r="4238" spans="1:20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</row>
    <row r="4239" spans="1:20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</row>
    <row r="4240" spans="1:20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</row>
    <row r="4241" spans="1:20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</row>
    <row r="4242" spans="1:20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</row>
    <row r="4243" spans="1:20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</row>
    <row r="4244" spans="1:20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</row>
    <row r="4245" spans="1:20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</row>
    <row r="4246" spans="1:20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</row>
    <row r="4247" spans="1:20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</row>
    <row r="4248" spans="1:20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</row>
    <row r="4249" spans="1:20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</row>
    <row r="4250" spans="1:20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</row>
    <row r="4251" spans="1:20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</row>
    <row r="4252" spans="1:20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</row>
    <row r="4253" spans="1:20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</row>
    <row r="4254" spans="1:20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</row>
    <row r="4255" spans="1:20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</row>
    <row r="4256" spans="1:20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</row>
    <row r="4257" spans="1:20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</row>
    <row r="4258" spans="1:20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</row>
    <row r="4259" spans="1:20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</row>
    <row r="4260" spans="1:20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</row>
    <row r="4261" spans="1:20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</row>
    <row r="4262" spans="1:20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</row>
    <row r="4263" spans="1:20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</row>
    <row r="4264" spans="1:20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</row>
    <row r="4265" spans="1:20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</row>
    <row r="4266" spans="1:20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</row>
    <row r="4267" spans="1:20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</row>
    <row r="4268" spans="1:20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</row>
    <row r="4269" spans="1:20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</row>
    <row r="4270" spans="1:20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</row>
    <row r="4271" spans="1:20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</row>
    <row r="4272" spans="1:20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</row>
    <row r="4273" spans="1:20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</row>
    <row r="4274" spans="1:20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</row>
    <row r="4275" spans="1:20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</row>
    <row r="4276" spans="1:20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</row>
    <row r="4277" spans="1:20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</row>
    <row r="4278" spans="1:20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</row>
    <row r="4279" spans="1:20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</row>
    <row r="4280" spans="1:20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</row>
    <row r="4281" spans="1:20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</row>
    <row r="4282" spans="1:20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</row>
    <row r="4283" spans="1:20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</row>
    <row r="4284" spans="1:20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</row>
    <row r="4285" spans="1:20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</row>
    <row r="4286" spans="1:20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</row>
    <row r="4287" spans="1:20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</row>
    <row r="4288" spans="1:20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</row>
    <row r="4289" spans="1:20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</row>
    <row r="4290" spans="1:20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</row>
    <row r="4291" spans="1:20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</row>
    <row r="4292" spans="1:20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</row>
    <row r="4293" spans="1:20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</row>
    <row r="4294" spans="1:20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</row>
    <row r="4295" spans="1:20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</row>
    <row r="4296" spans="1:20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</row>
    <row r="4297" spans="1:20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</row>
    <row r="4298" spans="1:20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</row>
    <row r="4299" spans="1:20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</row>
    <row r="4300" spans="1:20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</row>
    <row r="4301" spans="1:20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</row>
    <row r="4302" spans="1:20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</row>
    <row r="4303" spans="1:20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</row>
    <row r="4304" spans="1:20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</row>
    <row r="4305" spans="1:20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</row>
    <row r="4306" spans="1:20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</row>
    <row r="4307" spans="1:20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</row>
    <row r="4308" spans="1:20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</row>
    <row r="4309" spans="1:20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</row>
    <row r="4310" spans="1:20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</row>
    <row r="4311" spans="1:20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</row>
    <row r="4312" spans="1:20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</row>
    <row r="4313" spans="1:20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</row>
    <row r="4314" spans="1:20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</row>
    <row r="4315" spans="1:20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</row>
    <row r="4316" spans="1:20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</row>
    <row r="4317" spans="1:20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</row>
    <row r="4318" spans="1:20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</row>
    <row r="4319" spans="1:20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</row>
    <row r="4320" spans="1:20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</row>
    <row r="4321" spans="1:20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</row>
    <row r="4322" spans="1:20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</row>
    <row r="4323" spans="1:20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</row>
    <row r="4324" spans="1:20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</row>
    <row r="4325" spans="1:20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</row>
    <row r="4326" spans="1:20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</row>
    <row r="4327" spans="1:20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</row>
    <row r="4328" spans="1:20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</row>
    <row r="4329" spans="1:20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</row>
    <row r="4330" spans="1:20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</row>
    <row r="4331" spans="1:20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</row>
    <row r="4332" spans="1:20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</row>
    <row r="4333" spans="1:20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</row>
    <row r="4334" spans="1:20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</row>
    <row r="4335" spans="1:20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</row>
    <row r="4336" spans="1:20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</row>
    <row r="4337" spans="1:20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</row>
    <row r="4338" spans="1:20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</row>
    <row r="4339" spans="1:20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</row>
    <row r="4340" spans="1:20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</row>
    <row r="4341" spans="1:20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</row>
    <row r="4342" spans="1:20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</row>
    <row r="4343" spans="1:20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</row>
    <row r="4344" spans="1:20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</row>
    <row r="4345" spans="1:20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</row>
    <row r="4346" spans="1:20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</row>
    <row r="4347" spans="1:20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</row>
    <row r="4348" spans="1:20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</row>
    <row r="4349" spans="1:20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</row>
    <row r="4350" spans="1:20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</row>
    <row r="4351" spans="1:20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</row>
    <row r="4352" spans="1:20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</row>
    <row r="4353" spans="1:20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</row>
    <row r="4354" spans="1:20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</row>
    <row r="4355" spans="1:20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</row>
    <row r="4356" spans="1:20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</row>
    <row r="4357" spans="1:20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</row>
    <row r="4358" spans="1:20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</row>
    <row r="4359" spans="1:20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</row>
    <row r="4360" spans="1:20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</row>
    <row r="4361" spans="1:20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</row>
    <row r="4362" spans="1:20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</row>
    <row r="4363" spans="1:20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</row>
    <row r="4364" spans="1:20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</row>
    <row r="4365" spans="1:20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</row>
    <row r="4366" spans="1:20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</row>
    <row r="4367" spans="1:20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</row>
    <row r="4368" spans="1:20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</row>
    <row r="4369" spans="1:20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</row>
    <row r="4370" spans="1:20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</row>
    <row r="4371" spans="1:20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</row>
    <row r="4372" spans="1:20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</row>
    <row r="4373" spans="1:20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</row>
    <row r="4374" spans="1:20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</row>
    <row r="4375" spans="1:20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</row>
    <row r="4376" spans="1:20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</row>
    <row r="4377" spans="1:20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</row>
    <row r="4378" spans="1:20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</row>
    <row r="4379" spans="1:20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</row>
    <row r="4380" spans="1:20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</row>
    <row r="4381" spans="1:20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</row>
    <row r="4382" spans="1:20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</row>
    <row r="4383" spans="1:20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</row>
    <row r="4384" spans="1:20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</row>
    <row r="4385" spans="1:20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</row>
    <row r="4386" spans="1:20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</row>
    <row r="4387" spans="1:20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</row>
    <row r="4388" spans="1:20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</row>
    <row r="4389" spans="1:20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</row>
    <row r="4390" spans="1:20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</row>
    <row r="4391" spans="1:20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</row>
    <row r="4392" spans="1:20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</row>
    <row r="4393" spans="1:20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</row>
    <row r="4394" spans="1:20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</row>
    <row r="4395" spans="1:20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</row>
    <row r="4396" spans="1:20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</row>
    <row r="4397" spans="1:20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</row>
    <row r="4398" spans="1:20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</row>
    <row r="4399" spans="1:20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</row>
    <row r="4400" spans="1:20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</row>
    <row r="4401" spans="1:20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</row>
    <row r="4402" spans="1:20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</row>
    <row r="4403" spans="1:20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</row>
    <row r="4404" spans="1:20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</row>
    <row r="4405" spans="1:20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</row>
    <row r="4406" spans="1:20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</row>
    <row r="4407" spans="1:20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</row>
    <row r="4408" spans="1:20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</row>
    <row r="4409" spans="1:20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</row>
    <row r="4410" spans="1:20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</row>
    <row r="4411" spans="1:20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</row>
    <row r="4412" spans="1:20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</row>
    <row r="4413" spans="1:20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</row>
    <row r="4414" spans="1:20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</row>
    <row r="4415" spans="1:20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</row>
    <row r="4416" spans="1:20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</row>
    <row r="4417" spans="1:20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</row>
    <row r="4418" spans="1:20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</row>
    <row r="4419" spans="1:20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</row>
    <row r="4420" spans="1:20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</row>
    <row r="4421" spans="1:20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</row>
    <row r="4422" spans="1:20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</row>
    <row r="4423" spans="1:20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</row>
    <row r="4424" spans="1:20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</row>
    <row r="4425" spans="1:20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</row>
    <row r="4426" spans="1:20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</row>
    <row r="4427" spans="1:20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</row>
    <row r="4428" spans="1:20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</row>
    <row r="4429" spans="1:20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</row>
    <row r="4430" spans="1:20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</row>
    <row r="4431" spans="1:20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</row>
    <row r="4432" spans="1:20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</row>
    <row r="4433" spans="1:20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</row>
    <row r="4434" spans="1:20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</row>
    <row r="4435" spans="1:20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</row>
    <row r="4436" spans="1:20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</row>
    <row r="4437" spans="1:20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</row>
    <row r="4438" spans="1:20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</row>
    <row r="4439" spans="1:20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</row>
    <row r="4440" spans="1:20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</row>
    <row r="4441" spans="1:20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</row>
    <row r="4442" spans="1:20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</row>
    <row r="4443" spans="1:20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</row>
    <row r="4444" spans="1:20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</row>
    <row r="4445" spans="1:20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</row>
    <row r="4446" spans="1:20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</row>
    <row r="4447" spans="1:20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</row>
    <row r="4448" spans="1:20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</row>
    <row r="4449" spans="1:20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</row>
    <row r="4450" spans="1:20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</row>
    <row r="4451" spans="1:20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</row>
    <row r="4452" spans="1:20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</row>
    <row r="4453" spans="1:20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</row>
    <row r="4454" spans="1:20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</row>
    <row r="4455" spans="1:20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</row>
    <row r="4456" spans="1:20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</row>
    <row r="4457" spans="1:20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</row>
    <row r="4458" spans="1:20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</row>
    <row r="4459" spans="1:20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</row>
    <row r="4460" spans="1:20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</row>
    <row r="4461" spans="1:20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</row>
    <row r="4462" spans="1:20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</row>
    <row r="4463" spans="1:20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</row>
    <row r="4464" spans="1:20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</row>
    <row r="4465" spans="1:20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</row>
    <row r="4466" spans="1:20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</row>
    <row r="4467" spans="1:20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</row>
    <row r="4468" spans="1:20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</row>
    <row r="4469" spans="1:20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</row>
    <row r="4470" spans="1:20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</row>
    <row r="4471" spans="1:20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</row>
    <row r="4472" spans="1:20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</row>
    <row r="4473" spans="1:20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</row>
    <row r="4474" spans="1:20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</row>
    <row r="4475" spans="1:20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</row>
    <row r="4476" spans="1:20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</row>
    <row r="4477" spans="1:20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</row>
    <row r="4478" spans="1:20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</row>
    <row r="4479" spans="1:20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</row>
    <row r="4480" spans="1:20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</row>
    <row r="4481" spans="1:20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</row>
    <row r="4482" spans="1:20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</row>
    <row r="4483" spans="1:20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</row>
    <row r="4484" spans="1:20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</row>
    <row r="4485" spans="1:20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</row>
    <row r="4486" spans="1:20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</row>
    <row r="4487" spans="1:20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</row>
    <row r="4488" spans="1:20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</row>
    <row r="4489" spans="1:20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</row>
    <row r="4490" spans="1:20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</row>
    <row r="4491" spans="1:20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</row>
    <row r="4492" spans="1:20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</row>
    <row r="4493" spans="1:20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</row>
    <row r="4494" spans="1:20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</row>
    <row r="4495" spans="1:20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</row>
    <row r="4496" spans="1:20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</row>
    <row r="4497" spans="1:20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</row>
    <row r="4498" spans="1:20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</row>
    <row r="4499" spans="1:20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</row>
    <row r="4500" spans="1:20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</row>
    <row r="4501" spans="1:20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</row>
    <row r="4502" spans="1:20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</row>
    <row r="4503" spans="1:20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</row>
    <row r="4504" spans="1:20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</row>
    <row r="4505" spans="1:20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</row>
    <row r="4506" spans="1:20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</row>
    <row r="4507" spans="1:20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</row>
    <row r="4508" spans="1:20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</row>
    <row r="4509" spans="1:20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</row>
    <row r="4510" spans="1:20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</row>
    <row r="4511" spans="1:20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</row>
    <row r="4512" spans="1:20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</row>
    <row r="4513" spans="1:20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</row>
    <row r="4514" spans="1:20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</row>
    <row r="4515" spans="1:20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</row>
    <row r="4516" spans="1:20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</row>
    <row r="4517" spans="1:20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</row>
    <row r="4518" spans="1:20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</row>
    <row r="4519" spans="1:20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</row>
    <row r="4520" spans="1:20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</row>
    <row r="4521" spans="1:20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</row>
    <row r="4522" spans="1:20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</row>
    <row r="4523" spans="1:20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</row>
    <row r="4524" spans="1:20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</row>
    <row r="4525" spans="1:20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</row>
    <row r="4526" spans="1:20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</row>
    <row r="4527" spans="1:20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</row>
    <row r="4528" spans="1:20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</row>
    <row r="4529" spans="1:20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</row>
    <row r="4530" spans="1:20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</row>
    <row r="4531" spans="1:20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</row>
    <row r="4532" spans="1:20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</row>
    <row r="4533" spans="1:20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</row>
    <row r="4534" spans="1:20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</row>
    <row r="4535" spans="1:20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</row>
    <row r="4536" spans="1:20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</row>
    <row r="4537" spans="1:20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</row>
    <row r="4538" spans="1:20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</row>
    <row r="4539" spans="1:20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</row>
    <row r="4540" spans="1:20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</row>
    <row r="4541" spans="1:20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</row>
    <row r="4542" spans="1:20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</row>
    <row r="4543" spans="1:20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</row>
    <row r="4544" spans="1:20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</row>
    <row r="4545" spans="1:20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</row>
    <row r="4546" spans="1:20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</row>
    <row r="4547" spans="1:20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</row>
    <row r="4548" spans="1:20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</row>
    <row r="4549" spans="1:20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</row>
    <row r="4550" spans="1:20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</row>
    <row r="4551" spans="1:20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</row>
    <row r="4552" spans="1:20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</row>
    <row r="4553" spans="1:20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</row>
    <row r="4554" spans="1:20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</row>
    <row r="4555" spans="1:20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</row>
    <row r="4556" spans="1:20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</row>
    <row r="4557" spans="1:20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</row>
    <row r="4558" spans="1:20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</row>
    <row r="4559" spans="1:20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</row>
    <row r="4560" spans="1:20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</row>
    <row r="4561" spans="1:20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</row>
    <row r="4562" spans="1:20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</row>
    <row r="4563" spans="1:20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</row>
    <row r="4564" spans="1:20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</row>
    <row r="4565" spans="1:20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</row>
    <row r="4566" spans="1:20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</row>
    <row r="4567" spans="1:20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</row>
    <row r="4568" spans="1:20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</row>
    <row r="4569" spans="1:20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</row>
    <row r="4570" spans="1:20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</row>
    <row r="4571" spans="1:20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</row>
    <row r="4572" spans="1:20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</row>
    <row r="4573" spans="1:20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</row>
    <row r="4574" spans="1:20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</row>
    <row r="4575" spans="1:20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</row>
    <row r="4576" spans="1:20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</row>
    <row r="4577" spans="1:20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</row>
    <row r="4578" spans="1:20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</row>
    <row r="4579" spans="1:20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</row>
    <row r="4580" spans="1:20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</row>
    <row r="4581" spans="1:20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</row>
    <row r="4582" spans="1:20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</row>
    <row r="4583" spans="1:20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</row>
    <row r="4584" spans="1:20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</row>
    <row r="4585" spans="1:20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</row>
    <row r="4586" spans="1:20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</row>
    <row r="4587" spans="1:20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</row>
    <row r="4588" spans="1:20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</row>
    <row r="4589" spans="1:20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</row>
    <row r="4590" spans="1:20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</row>
    <row r="4591" spans="1:20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</row>
    <row r="4592" spans="1:20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</row>
    <row r="4593" spans="1:20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</row>
    <row r="4594" spans="1:20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</row>
    <row r="4595" spans="1:20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</row>
    <row r="4596" spans="1:20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</row>
    <row r="4597" spans="1:20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</row>
    <row r="4598" spans="1:20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</row>
    <row r="4599" spans="1:20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</row>
    <row r="4600" spans="1:20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</row>
    <row r="4601" spans="1:20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</row>
    <row r="4602" spans="1:20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</row>
    <row r="4603" spans="1:20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</row>
    <row r="4604" spans="1:20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</row>
    <row r="4605" spans="1:20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</row>
    <row r="4606" spans="1:20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</row>
    <row r="4607" spans="1:20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</row>
    <row r="4608" spans="1:20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</row>
    <row r="4609" spans="1:20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</row>
    <row r="4610" spans="1:20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</row>
    <row r="4611" spans="1:20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</row>
    <row r="4612" spans="1:20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</row>
    <row r="4613" spans="1:20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</row>
    <row r="4614" spans="1:20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</row>
    <row r="4615" spans="1:20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</row>
    <row r="4616" spans="1:20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</row>
    <row r="4617" spans="1:20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</row>
    <row r="4618" spans="1:20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</row>
    <row r="4619" spans="1:20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</row>
    <row r="4620" spans="1:20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</row>
    <row r="4621" spans="1:20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</row>
    <row r="4622" spans="1:20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</row>
    <row r="4623" spans="1:20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</row>
    <row r="4624" spans="1:20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</row>
    <row r="4625" spans="1:20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</row>
    <row r="4626" spans="1:20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</row>
    <row r="4627" spans="1:20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</row>
    <row r="4628" spans="1:20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</row>
    <row r="4629" spans="1:20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</row>
    <row r="4630" spans="1:20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</row>
    <row r="4631" spans="1:20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</row>
    <row r="4632" spans="1:20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</row>
    <row r="4633" spans="1:20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</row>
    <row r="4634" spans="1:20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</row>
    <row r="4635" spans="1:20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</row>
    <row r="4636" spans="1:20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</row>
    <row r="4637" spans="1:20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</row>
    <row r="4638" spans="1:20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</row>
    <row r="4639" spans="1:20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</row>
    <row r="4640" spans="1:20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</row>
    <row r="4641" spans="1:20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</row>
    <row r="4642" spans="1:20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</row>
    <row r="4643" spans="1:20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</row>
    <row r="4644" spans="1:20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</row>
    <row r="4645" spans="1:20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</row>
    <row r="4646" spans="1:20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</row>
    <row r="4647" spans="1:20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</row>
    <row r="4648" spans="1:20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</row>
    <row r="4649" spans="1:20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</row>
    <row r="4650" spans="1:20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</row>
    <row r="4651" spans="1:20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</row>
    <row r="4652" spans="1:20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</row>
    <row r="4653" spans="1:20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</row>
    <row r="4654" spans="1:20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</row>
    <row r="4655" spans="1:20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</row>
    <row r="4656" spans="1:20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</row>
    <row r="4657" spans="1:20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</row>
    <row r="4658" spans="1:20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</row>
    <row r="4659" spans="1:20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</row>
    <row r="4660" spans="1:20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</row>
    <row r="4661" spans="1:20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</row>
    <row r="4662" spans="1:20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</row>
    <row r="4663" spans="1:20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</row>
    <row r="4664" spans="1:20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</row>
    <row r="4665" spans="1:20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</row>
    <row r="4666" spans="1:20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</row>
    <row r="4667" spans="1:20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</row>
    <row r="4668" spans="1:20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</row>
    <row r="4669" spans="1:20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</row>
    <row r="4670" spans="1:20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</row>
    <row r="4671" spans="1:20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</row>
    <row r="4672" spans="1:20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</row>
    <row r="4673" spans="1:20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</row>
    <row r="4674" spans="1:20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</row>
    <row r="4675" spans="1:20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</row>
    <row r="4676" spans="1:20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</row>
    <row r="4677" spans="1:20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</row>
    <row r="4678" spans="1:20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</row>
    <row r="4679" spans="1:20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</row>
    <row r="4680" spans="1:20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</row>
    <row r="4681" spans="1:20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</row>
    <row r="4682" spans="1:20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</row>
    <row r="4683" spans="1:20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</row>
    <row r="4684" spans="1:20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</row>
    <row r="4685" spans="1:20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</row>
    <row r="4686" spans="1:20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</row>
    <row r="4687" spans="1:20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</row>
    <row r="4688" spans="1:20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</row>
    <row r="4689" spans="1:20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</row>
    <row r="4690" spans="1:20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</row>
    <row r="4691" spans="1:20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</row>
    <row r="4692" spans="1:20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</row>
    <row r="4693" spans="1:20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</row>
    <row r="4694" spans="1:20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</row>
    <row r="4695" spans="1:20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</row>
    <row r="4696" spans="1:20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</row>
    <row r="4697" spans="1:20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</row>
    <row r="4698" spans="1:20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</row>
    <row r="4699" spans="1:20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</row>
    <row r="4700" spans="1:20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</row>
    <row r="4701" spans="1:20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</row>
    <row r="4702" spans="1:20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</row>
    <row r="4703" spans="1:20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</row>
    <row r="4704" spans="1:20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</row>
    <row r="4705" spans="1:20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</row>
    <row r="4706" spans="1:20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</row>
    <row r="4707" spans="1:20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</row>
    <row r="4708" spans="1:20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</row>
    <row r="4709" spans="1:20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</row>
    <row r="4710" spans="1:20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</row>
    <row r="4711" spans="1:20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</row>
    <row r="4712" spans="1:20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</row>
    <row r="4713" spans="1:20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</row>
    <row r="4714" spans="1:20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</row>
    <row r="4715" spans="1:20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</row>
    <row r="4716" spans="1:20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</row>
    <row r="4717" spans="1:20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</row>
    <row r="4718" spans="1:20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</row>
    <row r="4719" spans="1:20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</row>
    <row r="4720" spans="1:20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</row>
    <row r="4721" spans="1:20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</row>
    <row r="4722" spans="1:20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</row>
    <row r="4723" spans="1:20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</row>
    <row r="4724" spans="1:20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</row>
    <row r="4725" spans="1:20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</row>
    <row r="4726" spans="1:20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</row>
    <row r="4727" spans="1:20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</row>
    <row r="4728" spans="1:20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</row>
    <row r="4729" spans="1:20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</row>
    <row r="4730" spans="1:20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</row>
    <row r="4731" spans="1:20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</row>
    <row r="4732" spans="1:20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</row>
    <row r="4733" spans="1:20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</row>
    <row r="4734" spans="1:20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</row>
    <row r="4735" spans="1:20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</row>
    <row r="4736" spans="1:20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</row>
    <row r="4737" spans="1:20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</row>
    <row r="4738" spans="1:20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</row>
    <row r="4739" spans="1:20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</row>
    <row r="4740" spans="1:20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</row>
    <row r="4741" spans="1:20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</row>
    <row r="4742" spans="1:20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</row>
    <row r="4743" spans="1:20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</row>
    <row r="4744" spans="1:20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</row>
    <row r="4745" spans="1:20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</row>
    <row r="4746" spans="1:20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</row>
    <row r="4747" spans="1:20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</row>
    <row r="4748" spans="1:20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</row>
    <row r="4749" spans="1:20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</row>
    <row r="4750" spans="1:20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</row>
    <row r="4751" spans="1:20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</row>
    <row r="4752" spans="1:20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</row>
    <row r="4753" spans="1:20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</row>
    <row r="4754" spans="1:20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</row>
    <row r="4755" spans="1:20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</row>
    <row r="4756" spans="1:20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</row>
    <row r="4757" spans="1:20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</row>
    <row r="4758" spans="1:20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</row>
    <row r="4759" spans="1:20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</row>
    <row r="4760" spans="1:20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</row>
    <row r="4761" spans="1:20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</row>
    <row r="4762" spans="1:20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</row>
    <row r="4763" spans="1:20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</row>
    <row r="4764" spans="1:20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</row>
    <row r="4765" spans="1:20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</row>
    <row r="4766" spans="1:20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</row>
    <row r="4767" spans="1:20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</row>
    <row r="4768" spans="1:20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</row>
    <row r="4769" spans="1:20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</row>
    <row r="4770" spans="1:20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</row>
    <row r="4771" spans="1:20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</row>
    <row r="4772" spans="1:20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</row>
    <row r="4773" spans="1:20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</row>
    <row r="4774" spans="1:20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</row>
    <row r="4775" spans="1:20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</row>
    <row r="4776" spans="1:20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</row>
    <row r="4777" spans="1:20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</row>
    <row r="4778" spans="1:20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</row>
    <row r="4779" spans="1:20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</row>
    <row r="4780" spans="1:20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</row>
    <row r="4781" spans="1:20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</row>
    <row r="4782" spans="1:20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</row>
    <row r="4783" spans="1:20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</row>
    <row r="4784" spans="1:20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</row>
    <row r="4785" spans="1:20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</row>
    <row r="4786" spans="1:20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</row>
    <row r="4787" spans="1:20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</row>
    <row r="4788" spans="1:20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</row>
    <row r="4789" spans="1:20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</row>
    <row r="4790" spans="1:20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</row>
    <row r="4791" spans="1:20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</row>
    <row r="4792" spans="1:20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</row>
    <row r="4793" spans="1:20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</row>
    <row r="4794" spans="1:20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</row>
    <row r="4795" spans="1:20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</row>
    <row r="4796" spans="1:20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</row>
    <row r="4797" spans="1:20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</row>
    <row r="4798" spans="1:20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</row>
    <row r="4799" spans="1:20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</row>
    <row r="4800" spans="1:20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</row>
    <row r="4801" spans="1:20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</row>
    <row r="4802" spans="1:20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</row>
    <row r="4803" spans="1:20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</row>
    <row r="4804" spans="1:20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</row>
    <row r="4805" spans="1:20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</row>
    <row r="4806" spans="1:20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</row>
    <row r="4807" spans="1:20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</row>
    <row r="4808" spans="1:20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</row>
    <row r="4809" spans="1:20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</row>
    <row r="4810" spans="1:20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</row>
    <row r="4811" spans="1:20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</row>
    <row r="4812" spans="1:20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</row>
    <row r="4813" spans="1:20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</row>
    <row r="4814" spans="1:20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</row>
    <row r="4815" spans="1:20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</row>
    <row r="4816" spans="1:20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</row>
    <row r="4817" spans="1:20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</row>
    <row r="4818" spans="1:20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</row>
    <row r="4819" spans="1:20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</row>
    <row r="4820" spans="1:20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</row>
    <row r="4821" spans="1:20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</row>
    <row r="4822" spans="1:20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</row>
    <row r="4823" spans="1:20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</row>
    <row r="4824" spans="1:20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</row>
    <row r="4825" spans="1:20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</row>
    <row r="4826" spans="1:20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</row>
    <row r="4827" spans="1:20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</row>
    <row r="4828" spans="1:20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</row>
    <row r="4829" spans="1:20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</row>
    <row r="4830" spans="1:20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</row>
    <row r="4831" spans="1:20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</row>
    <row r="4832" spans="1:20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</row>
    <row r="4833" spans="1:20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</row>
    <row r="4834" spans="1:20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</row>
    <row r="4835" spans="1:20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</row>
    <row r="4836" spans="1:20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</row>
    <row r="4837" spans="1:20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</row>
    <row r="4838" spans="1:20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</row>
    <row r="4839" spans="1:20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</row>
    <row r="4840" spans="1:20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</row>
    <row r="4841" spans="1:20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</row>
    <row r="4842" spans="1:20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</row>
    <row r="4843" spans="1:20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</row>
    <row r="4844" spans="1:20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</row>
    <row r="4845" spans="1:20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</row>
    <row r="4846" spans="1:20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</row>
    <row r="4847" spans="1:20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</row>
    <row r="4848" spans="1:20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</row>
    <row r="4849" spans="1:20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</row>
    <row r="4850" spans="1:20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</row>
    <row r="4851" spans="1:20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</row>
    <row r="4852" spans="1:20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</row>
    <row r="4853" spans="1:20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</row>
    <row r="4854" spans="1:20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</row>
    <row r="4855" spans="1:20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</row>
    <row r="4856" spans="1:20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</row>
    <row r="4857" spans="1:20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</row>
    <row r="4858" spans="1:20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</row>
    <row r="4859" spans="1:20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</row>
    <row r="4860" spans="1:20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</row>
    <row r="4861" spans="1:20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</row>
    <row r="4862" spans="1:20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</row>
    <row r="4863" spans="1:20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</row>
    <row r="4864" spans="1:20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</row>
    <row r="4865" spans="1:20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</row>
    <row r="4866" spans="1:20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</row>
    <row r="4867" spans="1:20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</row>
    <row r="4868" spans="1:20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</row>
    <row r="4869" spans="1:20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</row>
    <row r="4870" spans="1:20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</row>
    <row r="4871" spans="1:20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</row>
    <row r="4872" spans="1:20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</row>
    <row r="4873" spans="1:20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</row>
    <row r="4874" spans="1:20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</row>
    <row r="4875" spans="1:20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</row>
    <row r="4876" spans="1:20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</row>
    <row r="4877" spans="1:20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</row>
    <row r="4878" spans="1:20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</row>
    <row r="4879" spans="1:20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</row>
    <row r="4880" spans="1:20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</row>
    <row r="4881" spans="1:20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</row>
    <row r="4882" spans="1:20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</row>
    <row r="4883" spans="1:20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</row>
    <row r="4884" spans="1:20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</row>
    <row r="4885" spans="1:20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</row>
    <row r="4886" spans="1:20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</row>
    <row r="4887" spans="1:20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</row>
    <row r="4888" spans="1:20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</row>
    <row r="4889" spans="1:20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</row>
    <row r="4890" spans="1:20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</row>
    <row r="4891" spans="1:20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</row>
    <row r="4892" spans="1:20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</row>
    <row r="4893" spans="1:20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</row>
    <row r="4894" spans="1:20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</row>
    <row r="4895" spans="1:20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</row>
    <row r="4896" spans="1:20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</row>
    <row r="4897" spans="1:20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</row>
    <row r="4898" spans="1:20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</row>
    <row r="4899" spans="1:20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</row>
    <row r="4900" spans="1:20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</row>
    <row r="4901" spans="1:20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</row>
    <row r="4902" spans="1:20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</row>
    <row r="4903" spans="1:20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</row>
    <row r="4904" spans="1:20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</row>
    <row r="4905" spans="1:20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</row>
    <row r="4906" spans="1:20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</row>
    <row r="4907" spans="1:20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</row>
    <row r="4908" spans="1:20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</row>
    <row r="4909" spans="1:20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</row>
    <row r="4910" spans="1:20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</row>
    <row r="4911" spans="1:20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</row>
    <row r="4912" spans="1:20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</row>
    <row r="4913" spans="1:20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</row>
    <row r="4914" spans="1:20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</row>
    <row r="4915" spans="1:20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</row>
    <row r="4916" spans="1:20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</row>
    <row r="4917" spans="1:20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</row>
    <row r="4918" spans="1:20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</row>
    <row r="4919" spans="1:20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</row>
    <row r="4920" spans="1:20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</row>
    <row r="4921" spans="1:20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</row>
    <row r="4922" spans="1:20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</row>
    <row r="4923" spans="1:20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</row>
    <row r="4924" spans="1:20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</row>
    <row r="4925" spans="1:20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</row>
    <row r="4926" spans="1:20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</row>
    <row r="4927" spans="1:20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</row>
    <row r="4928" spans="1:20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</row>
    <row r="4929" spans="1:20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</row>
    <row r="4930" spans="1:20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</row>
    <row r="4931" spans="1:20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</row>
    <row r="4932" spans="1:20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</row>
    <row r="4933" spans="1:20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</row>
    <row r="4934" spans="1:20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</row>
    <row r="4935" spans="1:20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</row>
    <row r="4936" spans="1:20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</row>
    <row r="4937" spans="1:20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</row>
    <row r="4938" spans="1:20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</row>
    <row r="4939" spans="1:20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</row>
    <row r="4940" spans="1:20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</row>
    <row r="4941" spans="1:20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</row>
    <row r="4942" spans="1:20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</row>
    <row r="4943" spans="1:20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</row>
    <row r="4944" spans="1:20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</row>
    <row r="4945" spans="1:20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</row>
    <row r="4946" spans="1:20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</row>
    <row r="4947" spans="1:20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</row>
    <row r="4948" spans="1:20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</row>
    <row r="4949" spans="1:20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</row>
    <row r="4950" spans="1:20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</row>
    <row r="4951" spans="1:20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</row>
    <row r="4952" spans="1:20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</row>
    <row r="4953" spans="1:20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</row>
    <row r="4954" spans="1:20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</row>
    <row r="4955" spans="1:20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</row>
    <row r="4956" spans="1:20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</row>
    <row r="4957" spans="1:20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</row>
    <row r="4958" spans="1:20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</row>
    <row r="4959" spans="1:20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</row>
    <row r="4960" spans="1:20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</row>
    <row r="4961" spans="1:20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</row>
    <row r="4962" spans="1:20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</row>
    <row r="4963" spans="1:20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</row>
    <row r="4964" spans="1:20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</row>
    <row r="4965" spans="1:20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</row>
    <row r="4966" spans="1:20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</row>
    <row r="4967" spans="1:20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</row>
    <row r="4968" spans="1:20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</row>
    <row r="4969" spans="1:20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</row>
    <row r="4970" spans="1:20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</row>
    <row r="4971" spans="1:20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</row>
    <row r="4972" spans="1:20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</row>
    <row r="4973" spans="1:20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</row>
    <row r="4974" spans="1:20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</row>
    <row r="4975" spans="1:20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</row>
    <row r="4976" spans="1:20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</row>
    <row r="4977" spans="1:20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</row>
    <row r="4978" spans="1:20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</row>
    <row r="4979" spans="1:20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</row>
    <row r="4980" spans="1:20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</row>
    <row r="4981" spans="1:20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</row>
    <row r="4982" spans="1:20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</row>
    <row r="4983" spans="1:20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</row>
    <row r="4984" spans="1:20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</row>
    <row r="4985" spans="1:20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</row>
    <row r="4986" spans="1:20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</row>
    <row r="4987" spans="1:20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</row>
    <row r="4988" spans="1:20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</row>
    <row r="4989" spans="1:20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</row>
    <row r="4990" spans="1:20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</row>
    <row r="4991" spans="1:20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</row>
    <row r="4992" spans="1:20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</row>
    <row r="4993" spans="1:20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</row>
    <row r="4994" spans="1:20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</row>
    <row r="4995" spans="1:20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</row>
    <row r="4996" spans="1:20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</row>
    <row r="4997" spans="1:20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</row>
    <row r="4998" spans="1:20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</row>
    <row r="4999" spans="1:20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</row>
    <row r="5000" spans="1:20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</row>
    <row r="5001" spans="1:20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</row>
    <row r="5002" spans="1:20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</row>
    <row r="5003" spans="1:20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</row>
    <row r="5004" spans="1:20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</row>
    <row r="5005" spans="1:20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</row>
    <row r="5006" spans="1:20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</row>
    <row r="5007" spans="1:20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</row>
    <row r="5008" spans="1:20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</row>
    <row r="5009" spans="1:20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</row>
    <row r="5010" spans="1:20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</row>
    <row r="5011" spans="1:20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</row>
    <row r="5012" spans="1:20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</row>
    <row r="5013" spans="1:20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</row>
    <row r="5014" spans="1:20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</row>
    <row r="5015" spans="1:20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</row>
    <row r="5016" spans="1:20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</row>
    <row r="5017" spans="1:20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</row>
    <row r="5018" spans="1:20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</row>
    <row r="5019" spans="1:20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</row>
    <row r="5020" spans="1:20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</row>
    <row r="5021" spans="1:20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</row>
    <row r="5022" spans="1:20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</row>
    <row r="5023" spans="1:20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</row>
    <row r="5024" spans="1:20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</row>
    <row r="5025" spans="1:20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</row>
    <row r="5026" spans="1:20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</row>
    <row r="5027" spans="1:20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</row>
    <row r="5028" spans="1:20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</row>
    <row r="5029" spans="1:20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</row>
    <row r="5030" spans="1:20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</row>
    <row r="5031" spans="1:20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</row>
    <row r="5032" spans="1:20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</row>
    <row r="5033" spans="1:20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</row>
    <row r="5034" spans="1:20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</row>
    <row r="5035" spans="1:20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</row>
    <row r="5036" spans="1:20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</row>
    <row r="5037" spans="1:20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</row>
    <row r="5038" spans="1:20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</row>
    <row r="5039" spans="1:20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</row>
    <row r="5040" spans="1:20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</row>
    <row r="5041" spans="1:20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</row>
    <row r="5042" spans="1:20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</row>
    <row r="5043" spans="1:20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</row>
    <row r="5044" spans="1:20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</row>
    <row r="5045" spans="1:20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</row>
    <row r="5046" spans="1:20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</row>
    <row r="5047" spans="1:20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</row>
    <row r="5048" spans="1:20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</row>
    <row r="5049" spans="1:20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</row>
    <row r="5050" spans="1:20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</row>
    <row r="5051" spans="1:20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</row>
    <row r="5052" spans="1:20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</row>
    <row r="5053" spans="1:20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</row>
    <row r="5054" spans="1:20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</row>
    <row r="5055" spans="1:20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</row>
    <row r="5056" spans="1:20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</row>
    <row r="5057" spans="1:20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</row>
    <row r="5058" spans="1:20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</row>
    <row r="5059" spans="1:20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</row>
    <row r="5060" spans="1:20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</row>
    <row r="5061" spans="1:20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</row>
    <row r="5062" spans="1:20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</row>
    <row r="5063" spans="1:20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</row>
    <row r="5064" spans="1:20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</row>
    <row r="5065" spans="1:20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</row>
    <row r="5066" spans="1:20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</row>
    <row r="5067" spans="1:20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</row>
    <row r="5068" spans="1:20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</row>
    <row r="5069" spans="1:20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</row>
    <row r="5070" spans="1:20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</row>
    <row r="5071" spans="1:20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</row>
    <row r="5072" spans="1:20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</row>
    <row r="5073" spans="1:20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</row>
    <row r="5074" spans="1:20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</row>
    <row r="5075" spans="1:20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</row>
    <row r="5076" spans="1:20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</row>
    <row r="5077" spans="1:20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</row>
    <row r="5078" spans="1:20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</row>
    <row r="5079" spans="1:20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</row>
    <row r="5080" spans="1:20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</row>
    <row r="5081" spans="1:20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</row>
    <row r="5082" spans="1:20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</row>
    <row r="5083" spans="1:20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</row>
    <row r="5084" spans="1:20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</row>
    <row r="5085" spans="1:20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</row>
    <row r="5086" spans="1:20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</row>
    <row r="5087" spans="1:20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</row>
    <row r="5088" spans="1:20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</row>
    <row r="5089" spans="1:20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</row>
    <row r="5090" spans="1:20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</row>
    <row r="5091" spans="1:20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</row>
    <row r="5092" spans="1:20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</row>
    <row r="5093" spans="1:20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</row>
    <row r="5094" spans="1:20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</row>
    <row r="5095" spans="1:20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</row>
    <row r="5096" spans="1:20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</row>
    <row r="5097" spans="1:20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</row>
    <row r="5098" spans="1:20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</row>
    <row r="5099" spans="1:20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</row>
    <row r="5100" spans="1:20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</row>
    <row r="5101" spans="1:20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</row>
    <row r="5102" spans="1:20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</row>
    <row r="5103" spans="1:20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</row>
    <row r="5104" spans="1:20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</row>
    <row r="5105" spans="1:20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</row>
    <row r="5106" spans="1:20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</row>
    <row r="5107" spans="1:20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</row>
    <row r="5108" spans="1:20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</row>
    <row r="5109" spans="1:20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</row>
    <row r="5110" spans="1:20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</row>
    <row r="5111" spans="1:20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</row>
    <row r="5112" spans="1:20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</row>
    <row r="5113" spans="1:20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</row>
    <row r="5114" spans="1:20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</row>
    <row r="5115" spans="1:20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</row>
    <row r="5116" spans="1:20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</row>
    <row r="5117" spans="1:20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</row>
    <row r="5118" spans="1:20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</row>
    <row r="5119" spans="1:20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</row>
    <row r="5120" spans="1:20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</row>
    <row r="5121" spans="1:20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</row>
    <row r="5122" spans="1:20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</row>
    <row r="5123" spans="1:20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</row>
    <row r="5124" spans="1:20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</row>
    <row r="5125" spans="1:20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</row>
    <row r="5126" spans="1:20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</row>
    <row r="5127" spans="1:20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</row>
    <row r="5128" spans="1:20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</row>
    <row r="5129" spans="1:20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</row>
    <row r="5130" spans="1:20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</row>
    <row r="5131" spans="1:20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</row>
    <row r="5132" spans="1:20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</row>
    <row r="5133" spans="1:20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</row>
    <row r="5134" spans="1:20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</row>
    <row r="5135" spans="1:20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</row>
    <row r="5136" spans="1:20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</row>
    <row r="5137" spans="1:20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</row>
    <row r="5138" spans="1:20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</row>
    <row r="5139" spans="1:20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</row>
    <row r="5140" spans="1:20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</row>
    <row r="5141" spans="1:20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</row>
    <row r="5142" spans="1:20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</row>
    <row r="5143" spans="1:20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</row>
    <row r="5144" spans="1:20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</row>
    <row r="5145" spans="1:20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</row>
    <row r="5146" spans="1:20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</row>
    <row r="5147" spans="1:20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</row>
    <row r="5148" spans="1:20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</row>
    <row r="5149" spans="1:20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</row>
    <row r="5150" spans="1:20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</row>
    <row r="5151" spans="1:20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</row>
    <row r="5152" spans="1:20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</row>
    <row r="5153" spans="1:20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</row>
    <row r="5154" spans="1:20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</row>
    <row r="5155" spans="1:20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</row>
    <row r="5156" spans="1:20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</row>
    <row r="5157" spans="1:20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</row>
    <row r="5158" spans="1:20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</row>
    <row r="5159" spans="1:20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</row>
    <row r="5160" spans="1:20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</row>
    <row r="5161" spans="1:20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</row>
    <row r="5162" spans="1:20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</row>
    <row r="5163" spans="1:20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</row>
    <row r="5164" spans="1:20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</row>
    <row r="5165" spans="1:20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</row>
    <row r="5166" spans="1:20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</row>
    <row r="5167" spans="1:20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</row>
    <row r="5168" spans="1:20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</row>
    <row r="5169" spans="1:20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</row>
    <row r="5170" spans="1:20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</row>
    <row r="5171" spans="1:20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</row>
    <row r="5172" spans="1:20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</row>
    <row r="5173" spans="1:20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</row>
    <row r="5174" spans="1:20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</row>
    <row r="5175" spans="1:20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</row>
    <row r="5176" spans="1:20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</row>
    <row r="5177" spans="1:20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</row>
    <row r="5178" spans="1:20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</row>
    <row r="5179" spans="1:20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</row>
    <row r="5180" spans="1:20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</row>
    <row r="5181" spans="1:20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</row>
    <row r="5182" spans="1:20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</row>
    <row r="5183" spans="1:20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</row>
    <row r="5184" spans="1:20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</row>
    <row r="5185" spans="1:20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</row>
    <row r="5186" spans="1:20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</row>
    <row r="5187" spans="1:20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</row>
    <row r="5188" spans="1:20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</row>
    <row r="5189" spans="1:20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</row>
    <row r="5190" spans="1:20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</row>
    <row r="5191" spans="1:20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</row>
    <row r="5192" spans="1:20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</row>
    <row r="5193" spans="1:20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</row>
    <row r="5194" spans="1:20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</row>
    <row r="5195" spans="1:20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</row>
    <row r="5196" spans="1:20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</row>
    <row r="5197" spans="1:20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</row>
    <row r="5198" spans="1:20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</row>
    <row r="5199" spans="1:20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</row>
    <row r="5200" spans="1:20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</row>
    <row r="5201" spans="1:20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</row>
    <row r="5202" spans="1:20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</row>
    <row r="5203" spans="1:20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</row>
    <row r="5204" spans="1:20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</row>
    <row r="5205" spans="1:20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</row>
    <row r="5206" spans="1:20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</row>
    <row r="5207" spans="1:20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</row>
    <row r="5208" spans="1:20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</row>
    <row r="5209" spans="1:20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</row>
    <row r="5210" spans="1:20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</row>
    <row r="5211" spans="1:20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</row>
    <row r="5212" spans="1:20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</row>
    <row r="5213" spans="1:20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</row>
    <row r="5214" spans="1:20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</row>
    <row r="5215" spans="1:20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</row>
    <row r="5216" spans="1:20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</row>
    <row r="5217" spans="1:20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</row>
    <row r="5218" spans="1:20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</row>
    <row r="5219" spans="1:20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</row>
    <row r="5220" spans="1:20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</row>
    <row r="5221" spans="1:20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</row>
    <row r="5222" spans="1:20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</row>
    <row r="5223" spans="1:20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</row>
    <row r="5224" spans="1:20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</row>
    <row r="5225" spans="1:20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</row>
    <row r="5226" spans="1:20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</row>
    <row r="5227" spans="1:20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</row>
    <row r="5228" spans="1:20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</row>
    <row r="5229" spans="1:20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</row>
    <row r="5230" spans="1:20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</row>
    <row r="5231" spans="1:20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</row>
    <row r="5232" spans="1:20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</row>
    <row r="5233" spans="1:20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</row>
    <row r="5234" spans="1:20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</row>
    <row r="5235" spans="1:20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</row>
    <row r="5236" spans="1:20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</row>
    <row r="5237" spans="1:20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</row>
    <row r="5238" spans="1:20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</row>
    <row r="5239" spans="1:20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</row>
    <row r="5240" spans="1:20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</row>
    <row r="5241" spans="1:20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</row>
    <row r="5242" spans="1:20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</row>
    <row r="5243" spans="1:20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</row>
    <row r="5244" spans="1:20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</row>
    <row r="5245" spans="1:20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</row>
    <row r="5246" spans="1:20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</row>
    <row r="5247" spans="1:20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</row>
    <row r="5248" spans="1:20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</row>
    <row r="5249" spans="1:20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</row>
    <row r="5250" spans="1:20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</row>
    <row r="5251" spans="1:20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</row>
    <row r="5252" spans="1:20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</row>
    <row r="5253" spans="1:20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</row>
    <row r="5254" spans="1:20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</row>
    <row r="5255" spans="1:20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</row>
    <row r="5256" spans="1:20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</row>
    <row r="5257" spans="1:20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</row>
    <row r="5258" spans="1:20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</row>
    <row r="5259" spans="1:20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</row>
    <row r="5260" spans="1:20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</row>
    <row r="5261" spans="1:20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</row>
    <row r="5262" spans="1:20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</row>
    <row r="5263" spans="1:20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</row>
    <row r="5264" spans="1:20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</row>
    <row r="5265" spans="1:20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</row>
    <row r="5266" spans="1:20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</row>
    <row r="5267" spans="1:20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</row>
    <row r="5268" spans="1:20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</row>
    <row r="5269" spans="1:20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</row>
    <row r="5270" spans="1:20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</row>
    <row r="5271" spans="1:20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</row>
    <row r="5272" spans="1:20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</row>
    <row r="5273" spans="1:20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</row>
    <row r="5274" spans="1:20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</row>
    <row r="5275" spans="1:20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</row>
    <row r="5276" spans="1:20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</row>
    <row r="5277" spans="1:20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</row>
    <row r="5278" spans="1:20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</row>
    <row r="5279" spans="1:20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</row>
    <row r="5280" spans="1:20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</row>
    <row r="5281" spans="1:20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</row>
    <row r="5282" spans="1:20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</row>
    <row r="5283" spans="1:20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</row>
    <row r="5284" spans="1:20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</row>
    <row r="5285" spans="1:20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</row>
    <row r="5286" spans="1:20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</row>
    <row r="5287" spans="1:20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</row>
    <row r="5288" spans="1:20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</row>
    <row r="5289" spans="1:20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</row>
    <row r="5290" spans="1:20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</row>
    <row r="5291" spans="1:20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</row>
    <row r="5292" spans="1:20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</row>
    <row r="5293" spans="1:20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</row>
    <row r="5294" spans="1:20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</row>
    <row r="5295" spans="1:20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</row>
    <row r="5296" spans="1:20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</row>
    <row r="5297" spans="1:20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</row>
    <row r="5298" spans="1:20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</row>
    <row r="5299" spans="1:20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</row>
    <row r="5300" spans="1:20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</row>
    <row r="5301" spans="1:20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</row>
    <row r="5302" spans="1:20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</row>
    <row r="5303" spans="1:20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</row>
    <row r="5304" spans="1:20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</row>
    <row r="5305" spans="1:20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</row>
    <row r="5306" spans="1:20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</row>
    <row r="5307" spans="1:20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</row>
    <row r="5308" spans="1:20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</row>
    <row r="5309" spans="1:20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</row>
    <row r="5310" spans="1:20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</row>
    <row r="5311" spans="1:20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</row>
    <row r="5312" spans="1:20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</row>
    <row r="5313" spans="1:20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</row>
    <row r="5314" spans="1:20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</row>
    <row r="5315" spans="1:20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</row>
    <row r="5316" spans="1:20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</row>
    <row r="5317" spans="1:20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</row>
    <row r="5318" spans="1:20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</row>
    <row r="5319" spans="1:20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</row>
    <row r="5320" spans="1:20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</row>
    <row r="5321" spans="1:20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</row>
    <row r="5322" spans="1:20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</row>
    <row r="5323" spans="1:20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</row>
    <row r="5324" spans="1:20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</row>
    <row r="5325" spans="1:20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</row>
    <row r="5326" spans="1:20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</row>
    <row r="5327" spans="1:20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</row>
    <row r="5328" spans="1:20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</row>
    <row r="5329" spans="1:20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</row>
    <row r="5330" spans="1:20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</row>
    <row r="5331" spans="1:20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</row>
    <row r="5332" spans="1:20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</row>
    <row r="5333" spans="1:20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</row>
    <row r="5334" spans="1:20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</row>
    <row r="5335" spans="1:20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</row>
    <row r="5336" spans="1:20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</row>
    <row r="5337" spans="1:20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</row>
    <row r="5338" spans="1:20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</row>
    <row r="5339" spans="1:20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</row>
    <row r="5340" spans="1:20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</row>
    <row r="5341" spans="1:20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</row>
    <row r="5342" spans="1:20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</row>
    <row r="5343" spans="1:20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</row>
    <row r="5344" spans="1:20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</row>
    <row r="5345" spans="1:20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</row>
    <row r="5346" spans="1:20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</row>
    <row r="5347" spans="1:20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</row>
    <row r="5348" spans="1:20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</row>
    <row r="5349" spans="1:20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</row>
    <row r="5350" spans="1:20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</row>
    <row r="5351" spans="1:20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</row>
    <row r="5352" spans="1:20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</row>
    <row r="5353" spans="1:20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</row>
    <row r="5354" spans="1:20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</row>
    <row r="5355" spans="1:20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</row>
    <row r="5356" spans="1:20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</row>
    <row r="5357" spans="1:20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</row>
    <row r="5358" spans="1:20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</row>
    <row r="5359" spans="1:20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</row>
    <row r="5360" spans="1:20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</row>
    <row r="5361" spans="1:20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</row>
    <row r="5362" spans="1:20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</row>
    <row r="5363" spans="1:20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</row>
    <row r="5364" spans="1:20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</row>
    <row r="5365" spans="1:20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</row>
    <row r="5366" spans="1:20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</row>
    <row r="5367" spans="1:20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</row>
    <row r="5368" spans="1:20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</row>
    <row r="5369" spans="1:20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</row>
    <row r="5370" spans="1:20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</row>
    <row r="5371" spans="1:20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</row>
    <row r="5372" spans="1:20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</row>
    <row r="5373" spans="1:20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</row>
    <row r="5374" spans="1:20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</row>
    <row r="5375" spans="1:20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</row>
    <row r="5376" spans="1:20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</row>
    <row r="5377" spans="1:20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</row>
    <row r="5378" spans="1:20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</row>
    <row r="5379" spans="1:20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</row>
    <row r="5380" spans="1:20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</row>
    <row r="5381" spans="1:20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</row>
    <row r="5382" spans="1:20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</row>
    <row r="5383" spans="1:20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</row>
    <row r="5384" spans="1:20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</row>
    <row r="5385" spans="1:20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</row>
    <row r="5386" spans="1:20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</row>
    <row r="5387" spans="1:20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</row>
    <row r="5388" spans="1:20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</row>
    <row r="5389" spans="1:20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</row>
    <row r="5390" spans="1:20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</row>
    <row r="5391" spans="1:20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</row>
    <row r="5392" spans="1:20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</row>
    <row r="5393" spans="1:20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</row>
    <row r="5394" spans="1:20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</row>
    <row r="5395" spans="1:20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</row>
    <row r="5396" spans="1:20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</row>
    <row r="5397" spans="1:20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</row>
    <row r="5398" spans="1:20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</row>
    <row r="5399" spans="1:20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</row>
    <row r="5400" spans="1:20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</row>
    <row r="5401" spans="1:20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</row>
    <row r="5402" spans="1:20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</row>
    <row r="5403" spans="1:20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</row>
    <row r="5404" spans="1:20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</row>
    <row r="5405" spans="1:20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</row>
    <row r="5406" spans="1:20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</row>
    <row r="5407" spans="1:20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</row>
    <row r="5408" spans="1:20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</row>
    <row r="5409" spans="1:20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</row>
    <row r="5410" spans="1:20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</row>
    <row r="5411" spans="1:20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</row>
    <row r="5412" spans="1:20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</row>
    <row r="5413" spans="1:20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</row>
    <row r="5414" spans="1:20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</row>
    <row r="5415" spans="1:20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</row>
    <row r="5416" spans="1:20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</row>
  </sheetData>
  <mergeCells count="1">
    <mergeCell ref="A4:U4"/>
  </mergeCells>
  <phoneticPr fontId="2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opLeftCell="A3" workbookViewId="0">
      <selection activeCell="E5" sqref="E5"/>
    </sheetView>
  </sheetViews>
  <sheetFormatPr baseColWidth="10" defaultColWidth="9" defaultRowHeight="12" x14ac:dyDescent="0"/>
  <cols>
    <col min="1" max="2" width="18.6640625" customWidth="1"/>
    <col min="3" max="3" width="27.6640625" customWidth="1"/>
    <col min="4" max="4" width="71" customWidth="1"/>
    <col min="5" max="5" width="61" customWidth="1"/>
    <col min="6" max="6" width="141.83203125" customWidth="1"/>
  </cols>
  <sheetData>
    <row r="1" spans="1:4">
      <c r="A1" s="1" t="s">
        <v>100</v>
      </c>
      <c r="B1" s="1" t="s">
        <v>101</v>
      </c>
      <c r="C1" s="1" t="s">
        <v>102</v>
      </c>
      <c r="D1" s="1" t="s">
        <v>103</v>
      </c>
    </row>
    <row r="2" spans="1:4" ht="26">
      <c r="A2" s="2" t="s">
        <v>104</v>
      </c>
      <c r="B2" s="2">
        <v>1</v>
      </c>
      <c r="C2" s="3" t="s">
        <v>105</v>
      </c>
      <c r="D2" s="4" t="s">
        <v>106</v>
      </c>
    </row>
    <row r="3" spans="1:4" ht="141">
      <c r="A3" s="5" t="s">
        <v>107</v>
      </c>
      <c r="B3" s="2">
        <v>2</v>
      </c>
      <c r="C3" s="3" t="s">
        <v>108</v>
      </c>
      <c r="D3" s="4" t="s">
        <v>109</v>
      </c>
    </row>
    <row r="4" spans="1:4" ht="52">
      <c r="A4" s="5" t="s">
        <v>110</v>
      </c>
      <c r="B4" s="2">
        <v>3</v>
      </c>
      <c r="C4" s="3" t="s">
        <v>111</v>
      </c>
      <c r="D4" s="4" t="s">
        <v>112</v>
      </c>
    </row>
    <row r="6" spans="1:4">
      <c r="D6" t="s">
        <v>113</v>
      </c>
    </row>
  </sheetData>
  <phoneticPr fontId="2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D15C3ECF-7372-4281-ABB4-347705D5BB58}">
  <ds:schemaRefs/>
</ds:datastoreItem>
</file>

<file path=customXml/itemProps2.xml><?xml version="1.0" encoding="utf-8"?>
<ds:datastoreItem xmlns:ds="http://schemas.openxmlformats.org/officeDocument/2006/customXml" ds:itemID="{45668261-D5CD-49C3-914E-FF5912B4E0E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SKU表</vt:lpstr>
      <vt:lpstr>广告数据报表</vt:lpstr>
      <vt:lpstr>广告透视表</vt:lpstr>
      <vt:lpstr>用法说明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10038</dc:creator>
  <cp:lastModifiedBy>Microsoft Office 用户</cp:lastModifiedBy>
  <cp:lastPrinted>2017-11-01T15:41:00Z</cp:lastPrinted>
  <dcterms:created xsi:type="dcterms:W3CDTF">2017-07-27T07:58:00Z</dcterms:created>
  <dcterms:modified xsi:type="dcterms:W3CDTF">2023-04-17T14:20:51Z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TC034580729991</vt:lpwstr>
  </property>
  <property fmtid="{D5CDD505-2E9C-101B-9397-08002B2CF9AE}" pid="3" name="KSOProductBuildVer">
    <vt:lpwstr>2052-11.1.0.11115</vt:lpwstr>
  </property>
  <property fmtid="{D5CDD505-2E9C-101B-9397-08002B2CF9AE}" pid="4" name="ICV">
    <vt:lpwstr>98560844901F427FBCFFEB1069115767</vt:lpwstr>
  </property>
</Properties>
</file>