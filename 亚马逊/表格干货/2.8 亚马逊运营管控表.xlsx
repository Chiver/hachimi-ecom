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25" activeTab="2"/>
  </bookViews>
  <sheets>
    <sheet name="运营工作" sheetId="3" r:id="rId1"/>
    <sheet name="产品定价表" sheetId="13" r:id="rId2"/>
    <sheet name="产品上架" sheetId="11" r:id="rId3"/>
    <sheet name="单品推广表" sheetId="12" r:id="rId4"/>
    <sheet name="产品每日统计表" sheetId="2" r:id="rId5"/>
    <sheet name="周报表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钟晓良</author>
  </authors>
  <commentList>
    <comment ref="R2" authorId="0">
      <text>
        <r>
          <rPr>
            <b/>
            <sz val="9"/>
            <rFont val="宋体"/>
            <charset val="134"/>
          </rPr>
          <t>钟晓良:</t>
        </r>
        <r>
          <rPr>
            <sz val="9"/>
            <rFont val="宋体"/>
            <charset val="134"/>
          </rPr>
          <t xml:space="preserve">
由于汇率和售价均会发生波动，针对美国市场的即以美金为基本计算依据，如果欧州即以欧元为基本计算依据</t>
        </r>
      </text>
    </comment>
    <comment ref="H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请在对应字段填写批注信息：目标对手的LISTING信息</t>
        </r>
      </text>
    </comment>
    <comment ref="K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开发给出指导价，运营根据市场及定位，给出阶段定价</t>
        </r>
      </text>
    </comment>
    <comment ref="L3" authorId="0">
      <text>
        <r>
          <rPr>
            <b/>
            <sz val="9"/>
            <rFont val="宋体"/>
            <charset val="134"/>
          </rPr>
          <t>钟晓良:
计算值</t>
        </r>
      </text>
    </comment>
    <comment ref="M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预估值</t>
        </r>
      </text>
    </comment>
    <comment ref="R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如果是美国就是美元，如果是加拿大就是加元，如果是欧州就是欧元，依此类推</t>
        </r>
      </text>
    </comment>
    <comment ref="U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运营员依产品实际情况，精密称量、计算得出，手动输入</t>
        </r>
      </text>
    </comment>
    <comment ref="V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所有占比之和如不等于100%，说明计算错误
</t>
        </r>
      </text>
    </comment>
    <comment ref="W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X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Y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Z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AA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AB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AC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D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E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F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G3" authorId="0">
      <text>
        <r>
          <rPr>
            <b/>
            <sz val="9"/>
            <rFont val="宋体"/>
            <charset val="134"/>
          </rPr>
          <t>张广明:
手动输入：计划占销售额的百分比
欧州价外税是20%，折算为价内税即=20%/(1+20%）=16.67%</t>
        </r>
      </text>
    </comment>
    <comment ref="AH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J3" authorId="0">
      <text>
        <r>
          <rPr>
            <sz val="9"/>
            <rFont val="宋体"/>
            <charset val="134"/>
          </rPr>
          <t>此为定价计算结果，等于售价减所有成本后的毛利额占销售额比率，计算结果</t>
        </r>
      </text>
    </comment>
    <comment ref="AK3" authorId="0">
      <text>
        <r>
          <rPr>
            <sz val="9"/>
            <rFont val="宋体"/>
            <charset val="134"/>
          </rPr>
          <t>由美金定价换算得来（有公式）直拉</t>
        </r>
      </text>
    </comment>
    <comment ref="AL3" authorId="0">
      <text>
        <r>
          <rPr>
            <sz val="9"/>
            <rFont val="宋体"/>
            <charset val="134"/>
          </rPr>
          <t xml:space="preserve">
即采购进来的单价，不含国内运费</t>
        </r>
      </text>
    </comment>
    <comment ref="AM3" authorId="0">
      <text>
        <r>
          <rPr>
            <sz val="9"/>
            <rFont val="宋体"/>
            <charset val="134"/>
          </rPr>
          <t>国内采购产生的运费</t>
        </r>
      </text>
    </comment>
    <comment ref="AN3" authorId="0">
      <text>
        <r>
          <rPr>
            <sz val="9"/>
            <rFont val="宋体"/>
            <charset val="134"/>
          </rPr>
          <t>针对此产品产生的包材费</t>
        </r>
      </text>
    </comment>
    <comment ref="AO3" authorId="0">
      <text>
        <r>
          <rPr>
            <sz val="9"/>
            <rFont val="宋体"/>
            <charset val="134"/>
          </rPr>
          <t>额外产生的打包费</t>
        </r>
      </text>
    </comment>
    <comment ref="AP3" authorId="0">
      <text>
        <r>
          <rPr>
            <sz val="9"/>
            <rFont val="宋体"/>
            <charset val="134"/>
          </rPr>
          <t>=对应运输方式*单价</t>
        </r>
      </text>
    </comment>
    <comment ref="AQ3" authorId="0">
      <text>
        <r>
          <rPr>
            <sz val="9"/>
            <rFont val="宋体"/>
            <charset val="134"/>
          </rPr>
          <t>由美金计价折算而来</t>
        </r>
      </text>
    </comment>
    <comment ref="AR3" authorId="0">
      <text>
        <r>
          <rPr>
            <sz val="9"/>
            <rFont val="宋体"/>
            <charset val="134"/>
          </rPr>
          <t>由美金计价折算而来</t>
        </r>
      </text>
    </comment>
    <comment ref="AS3" authorId="0">
      <text>
        <r>
          <rPr>
            <sz val="9"/>
            <rFont val="宋体"/>
            <charset val="134"/>
          </rPr>
          <t xml:space="preserve">
由美金计价折算而来</t>
        </r>
      </text>
    </comment>
    <comment ref="AT3" authorId="0">
      <text>
        <r>
          <rPr>
            <sz val="9"/>
            <rFont val="宋体"/>
            <charset val="134"/>
          </rPr>
          <t>由美金计价折算而来</t>
        </r>
      </text>
    </comment>
    <comment ref="AU3" authorId="0">
      <text>
        <r>
          <rPr>
            <sz val="9"/>
            <rFont val="宋体"/>
            <charset val="134"/>
          </rPr>
          <t>由美金计价折算而来</t>
        </r>
      </text>
    </comment>
    <comment ref="AV3" authorId="0">
      <text>
        <r>
          <rPr>
            <sz val="9"/>
            <rFont val="宋体"/>
            <charset val="134"/>
          </rPr>
          <t>由美金计价折算而来</t>
        </r>
      </text>
    </comment>
    <comment ref="AW3" authorId="0">
      <text>
        <r>
          <rPr>
            <sz val="9"/>
            <rFont val="宋体"/>
            <charset val="134"/>
          </rPr>
          <t>由美金计价折算而</t>
        </r>
      </text>
    </comment>
    <comment ref="AX3" authorId="0">
      <text>
        <r>
          <rPr>
            <sz val="9"/>
            <rFont val="宋体"/>
            <charset val="134"/>
          </rPr>
          <t>由美金计价折算而来</t>
        </r>
      </text>
    </comment>
    <comment ref="AY3" authorId="0">
      <text>
        <r>
          <rPr>
            <sz val="9"/>
            <rFont val="宋体"/>
            <charset val="134"/>
          </rPr>
          <t xml:space="preserve">=目标销售定价
</t>
        </r>
      </text>
    </comment>
    <comment ref="AZ3" authorId="0">
      <text>
        <r>
          <rPr>
            <sz val="9"/>
            <rFont val="宋体"/>
            <charset val="134"/>
          </rPr>
          <t>由RMB计价折算而来</t>
        </r>
      </text>
    </comment>
    <comment ref="BA3" authorId="0">
      <text>
        <r>
          <rPr>
            <sz val="9"/>
            <rFont val="宋体"/>
            <charset val="134"/>
          </rPr>
          <t>由RMB计价折算而来</t>
        </r>
      </text>
    </comment>
    <comment ref="BB3" authorId="0">
      <text>
        <r>
          <rPr>
            <sz val="9"/>
            <rFont val="宋体"/>
            <charset val="134"/>
          </rPr>
          <t xml:space="preserve">
由RMB计价折算而来</t>
        </r>
      </text>
    </comment>
    <comment ref="BC3" authorId="0">
      <text>
        <r>
          <rPr>
            <sz val="9"/>
            <rFont val="宋体"/>
            <charset val="134"/>
          </rPr>
          <t>由RMB计价折算而来</t>
        </r>
      </text>
    </comment>
    <comment ref="BD3" authorId="0">
      <text>
        <r>
          <rPr>
            <sz val="9"/>
            <rFont val="宋体"/>
            <charset val="134"/>
          </rPr>
          <t>由RMB计价折算而来</t>
        </r>
      </text>
    </comment>
    <comment ref="BE3" authorId="0">
      <text>
        <r>
          <rPr>
            <sz val="9"/>
            <rFont val="宋体"/>
            <charset val="134"/>
          </rPr>
          <t xml:space="preserve">
由运营按平台规则精确计算得来，以平台结算货币为准</t>
        </r>
      </text>
    </comment>
    <comment ref="BF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G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H3" authorId="0">
      <text>
        <r>
          <rPr>
            <sz val="9"/>
            <rFont val="宋体"/>
            <charset val="134"/>
          </rPr>
          <t xml:space="preserve">
公式计算自动得出
=美金售价*对应计划占比</t>
        </r>
      </text>
    </comment>
    <comment ref="BI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J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K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L3" authorId="0">
      <text>
        <r>
          <rPr>
            <sz val="9"/>
            <rFont val="宋体"/>
            <charset val="134"/>
          </rPr>
          <t>=售价-所有成本（含退货成本）</t>
        </r>
      </text>
    </comment>
  </commentList>
</comments>
</file>

<file path=xl/comments2.xml><?xml version="1.0" encoding="utf-8"?>
<comments xmlns="http://schemas.openxmlformats.org/spreadsheetml/2006/main">
  <authors>
    <author>钟晓良</author>
  </authors>
  <commentList>
    <comment ref="C8" authorId="0">
      <text>
        <r>
          <rPr>
            <sz val="9"/>
            <rFont val="宋体"/>
            <charset val="134"/>
          </rPr>
          <t xml:space="preserve">
推广费包含：视频拍摄费、测评费（含review\免评\rating\)、VINE费用、QA费用、秒杀费用（含LD及BD)、站外费</t>
        </r>
      </text>
    </comment>
    <comment ref="C9" authorId="0">
      <text>
        <r>
          <rPr>
            <sz val="9"/>
            <rFont val="宋体"/>
            <charset val="134"/>
          </rPr>
          <t>仅指广告占比</t>
        </r>
      </text>
    </comment>
  </commentList>
</comments>
</file>

<file path=xl/sharedStrings.xml><?xml version="1.0" encoding="utf-8"?>
<sst xmlns="http://schemas.openxmlformats.org/spreadsheetml/2006/main" count="436" uniqueCount="296">
  <si>
    <t>工作明细：</t>
  </si>
  <si>
    <t>回复Amazon后台及官网邮件，解决客人的售后，退货，补发配件等问题，并将问题反馈至主管</t>
  </si>
  <si>
    <t>跟踪之前的售后及差评处理。</t>
  </si>
  <si>
    <t>查看feedback及review差评，处理feedback汇总差评。</t>
  </si>
  <si>
    <t>发要好评邮件（请勿出现code/review/feedback/coupons/等诱导性词）</t>
  </si>
  <si>
    <t>查看正在推的产品的曝光，转化率。</t>
  </si>
  <si>
    <t>关注账号健康状况。</t>
  </si>
  <si>
    <t>查找差评，并处理差评。</t>
  </si>
  <si>
    <t>产品上架。</t>
  </si>
  <si>
    <t>广告，关键词分析，优化广告，优化关键词。</t>
  </si>
  <si>
    <t>图片及产品详情页优化处理。</t>
  </si>
  <si>
    <t>数据统计分析，完善爆款表。</t>
  </si>
  <si>
    <t>竞争对手分析。</t>
  </si>
  <si>
    <t>每周做差评汇总表。</t>
  </si>
  <si>
    <t>根据货柜发货单做发货详情及条码并提交给仓库主管。</t>
  </si>
  <si>
    <t>关注FBA到货情况</t>
  </si>
  <si>
    <t>向数据员或财务提供其所需的账号数据。</t>
  </si>
  <si>
    <t>关注库存及评价，即使调整售价及listing组合。</t>
  </si>
  <si>
    <t>发货，打标签</t>
  </si>
  <si>
    <t>新产品的拍照安排，说明书，包装制作。</t>
  </si>
  <si>
    <t>新款测款以及完成新款测款报告。</t>
  </si>
  <si>
    <t>将回款计划发给财务</t>
  </si>
  <si>
    <t>关注账号收款及其他信息是否正常。</t>
  </si>
  <si>
    <t>对于出现2次以上非常规产品质量问题，主动向主管反映。</t>
  </si>
  <si>
    <t>每月做利润表，并与财务对海运情况。</t>
  </si>
  <si>
    <t>协助主管做新产品及新类目开发，做简单的市场调查。</t>
  </si>
  <si>
    <t>注：</t>
  </si>
  <si>
    <t>此表中有“蓝色”填充区域为公式计算区，只须下拉，非填充区（即白色区）为填写输入区</t>
  </si>
  <si>
    <t>基础信息</t>
  </si>
  <si>
    <t>销售目标定价</t>
  </si>
  <si>
    <t>基本指标或计划占比</t>
  </si>
  <si>
    <t>RMB计价</t>
  </si>
  <si>
    <t>平台本位币计价（如USD\加元\欧元等）</t>
  </si>
  <si>
    <t>店铺</t>
  </si>
  <si>
    <t>组别</t>
  </si>
  <si>
    <t>运营员</t>
  </si>
  <si>
    <t>主管</t>
  </si>
  <si>
    <t>日期</t>
  </si>
  <si>
    <t>产品名称</t>
  </si>
  <si>
    <t>ASIN</t>
  </si>
  <si>
    <t>目标排名</t>
  </si>
  <si>
    <t>目标对手售价USD</t>
  </si>
  <si>
    <t>目标对手月销量</t>
  </si>
  <si>
    <t>销售定价USD</t>
  </si>
  <si>
    <t>毛利率</t>
  </si>
  <si>
    <t>日均销量</t>
  </si>
  <si>
    <t>月销量</t>
  </si>
  <si>
    <t>日营业额RMB</t>
  </si>
  <si>
    <t>月营业额RMB</t>
  </si>
  <si>
    <t>月毛利额RMB</t>
  </si>
  <si>
    <t>汇率</t>
  </si>
  <si>
    <t>运输方式</t>
  </si>
  <si>
    <t>运输预估单价（元/kg)</t>
  </si>
  <si>
    <t>重量（KG）</t>
  </si>
  <si>
    <t>售价为100%</t>
  </si>
  <si>
    <t>采购进价占比</t>
  </si>
  <si>
    <t>国内运费占比</t>
  </si>
  <si>
    <t>包材成本占比</t>
  </si>
  <si>
    <t>打包费占比</t>
  </si>
  <si>
    <t>FBA头程运费占比</t>
  </si>
  <si>
    <t>FBA配送占比</t>
  </si>
  <si>
    <t>推广费率</t>
  </si>
  <si>
    <t>广告费率</t>
  </si>
  <si>
    <t>优惠券
Coupon</t>
  </si>
  <si>
    <t>佣金占比</t>
  </si>
  <si>
    <t>VAT价内税率</t>
  </si>
  <si>
    <t>退货率</t>
  </si>
  <si>
    <t>退货成本率</t>
  </si>
  <si>
    <t>售价</t>
  </si>
  <si>
    <t>采购进价</t>
  </si>
  <si>
    <t>国内运费</t>
  </si>
  <si>
    <t>包材成本</t>
  </si>
  <si>
    <t>打包费</t>
  </si>
  <si>
    <t>FBA头程运费</t>
  </si>
  <si>
    <t>FBA配送费</t>
  </si>
  <si>
    <t>推广费</t>
  </si>
  <si>
    <t>广告费</t>
  </si>
  <si>
    <t>优惠券（Coupon）</t>
  </si>
  <si>
    <t>平台佣金</t>
  </si>
  <si>
    <t>VAT</t>
  </si>
  <si>
    <t>退货成本额</t>
  </si>
  <si>
    <t>毛利额</t>
  </si>
  <si>
    <t>前期</t>
  </si>
  <si>
    <t>US</t>
  </si>
  <si>
    <t>精品</t>
  </si>
  <si>
    <t>A1</t>
  </si>
  <si>
    <t>快船</t>
  </si>
  <si>
    <t>后期</t>
  </si>
  <si>
    <t xml:space="preserve">产品上架前准备工作 </t>
  </si>
  <si>
    <t>部门</t>
  </si>
  <si>
    <t>亚马逊</t>
  </si>
  <si>
    <t>账号</t>
  </si>
  <si>
    <t>产品</t>
  </si>
  <si>
    <t>plant stand</t>
  </si>
  <si>
    <t>中文名称</t>
  </si>
  <si>
    <t>花架</t>
  </si>
  <si>
    <t>立项时间</t>
  </si>
  <si>
    <t>2021.8.31</t>
  </si>
  <si>
    <t>上架时间</t>
  </si>
  <si>
    <t>图片</t>
  </si>
  <si>
    <t>#</t>
  </si>
  <si>
    <t>指标</t>
  </si>
  <si>
    <t>量化工作</t>
  </si>
  <si>
    <t>计划完成时间</t>
  </si>
  <si>
    <t>实际完成</t>
  </si>
  <si>
    <t>是否Delay</t>
  </si>
  <si>
    <t>备注（完成与否及原因）</t>
  </si>
  <si>
    <t>产品推广方案</t>
  </si>
  <si>
    <t>前期快船或者限时达发600个到美国发50个到加拿大申请VINE计划做评价壳 积累评价</t>
  </si>
  <si>
    <t>新品发票确认</t>
  </si>
  <si>
    <t>提前准备好开票信息</t>
  </si>
  <si>
    <t>节点类目或危险品审核</t>
  </si>
  <si>
    <t>无需危险品审核</t>
  </si>
  <si>
    <t>上架推广主核心词</t>
  </si>
  <si>
    <t>fishing pliers</t>
  </si>
  <si>
    <t>listing创建</t>
  </si>
  <si>
    <t>A、按照SKU命名规则在后台创建listing
B:创建货件
C、确认采购数量</t>
  </si>
  <si>
    <t>发货</t>
  </si>
  <si>
    <t>600个快船（美国）+50个空运加拿大</t>
  </si>
  <si>
    <t>测尺寸产品</t>
  </si>
  <si>
    <t>提前管控好FBA收费</t>
  </si>
  <si>
    <t>主图</t>
  </si>
  <si>
    <t>根据市场图片情况与讨论而得的思路与美工沟通主图</t>
  </si>
  <si>
    <t>附图</t>
  </si>
  <si>
    <t>6张精修附图</t>
  </si>
  <si>
    <t>A+</t>
  </si>
  <si>
    <t>A+涉及的文案和图片</t>
  </si>
  <si>
    <t>视频</t>
  </si>
  <si>
    <t>找国外模特拍摄产品测评视频</t>
  </si>
  <si>
    <t>文案</t>
  </si>
  <si>
    <t>标题、五点、描述、关键词ST</t>
  </si>
  <si>
    <t>review种子</t>
  </si>
  <si>
    <t>提前准备好至少8-15个review种子</t>
  </si>
  <si>
    <t>PPC核心词和否定词</t>
  </si>
  <si>
    <t>提前准备好最少8-15个辅助核心推广词，20-30个拓展词，10-30个否定词</t>
  </si>
  <si>
    <t>LD促销布局</t>
  </si>
  <si>
    <t>暂时不考虑做秒杀，先做站外</t>
  </si>
  <si>
    <t>旺季埋词</t>
  </si>
  <si>
    <t>全年性产品，比较固定，旺季时期周期性深挖当期热门关键词</t>
  </si>
  <si>
    <t>QA布局</t>
  </si>
  <si>
    <t>提前准备好5个首页QA</t>
  </si>
  <si>
    <t>站外促销引流</t>
  </si>
  <si>
    <t>第二（三）阶段做站外冲排名，引流</t>
  </si>
  <si>
    <t>coupon</t>
  </si>
  <si>
    <t>5%/10%</t>
  </si>
  <si>
    <t>求评邮件</t>
  </si>
  <si>
    <t>前期测评8-15单（fishing pliers），积累评价。</t>
  </si>
  <si>
    <t>产品推广计划与达成表</t>
  </si>
  <si>
    <t>路亚钳</t>
  </si>
  <si>
    <t>运营员：张广明</t>
  </si>
  <si>
    <t>目标工作内容及分类</t>
  </si>
  <si>
    <t>计划执行</t>
  </si>
  <si>
    <t>计划</t>
  </si>
  <si>
    <t>达成</t>
  </si>
  <si>
    <t>达成率</t>
  </si>
  <si>
    <t>说明</t>
  </si>
  <si>
    <t>日历周序</t>
  </si>
  <si>
    <t>序</t>
  </si>
  <si>
    <t>类别</t>
  </si>
  <si>
    <t>项目</t>
  </si>
  <si>
    <t>单位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</si>
  <si>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</si>
  <si>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</si>
  <si>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</si>
  <si>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</si>
  <si>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</si>
  <si>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</si>
  <si>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</si>
  <si>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</si>
  <si>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</si>
  <si>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小计</t>
  </si>
  <si>
    <t>产品定价</t>
  </si>
  <si>
    <t>USD</t>
  </si>
  <si>
    <t>%</t>
  </si>
  <si>
    <t>Coupon占比</t>
  </si>
  <si>
    <t>营销费合计占比</t>
  </si>
  <si>
    <t>备货及销量</t>
  </si>
  <si>
    <t>备货：开售前（600快船+50空派-CA）</t>
  </si>
  <si>
    <t>件</t>
  </si>
  <si>
    <t>700快船+1000海运</t>
  </si>
  <si>
    <t>日销售量</t>
  </si>
  <si>
    <t>周销售量</t>
  </si>
  <si>
    <t>周销售额</t>
  </si>
  <si>
    <t>营销费合计</t>
  </si>
  <si>
    <t>周毛利额</t>
  </si>
  <si>
    <t>周毛利率</t>
  </si>
  <si>
    <t>周营销费占比</t>
  </si>
  <si>
    <t>周ACOS</t>
  </si>
  <si>
    <t>营销策划</t>
  </si>
  <si>
    <t>视频拍摄</t>
  </si>
  <si>
    <t>次</t>
  </si>
  <si>
    <t>review</t>
  </si>
  <si>
    <t>免评</t>
  </si>
  <si>
    <t>rating</t>
  </si>
  <si>
    <t>VINE</t>
  </si>
  <si>
    <t>QA</t>
  </si>
  <si>
    <t>LD</t>
  </si>
  <si>
    <t>BD</t>
  </si>
  <si>
    <t>站外</t>
  </si>
  <si>
    <t>CPC</t>
  </si>
  <si>
    <t>Coupon</t>
  </si>
  <si>
    <t>营销费</t>
  </si>
  <si>
    <t>视频拍摄费用</t>
  </si>
  <si>
    <t>测评费用</t>
  </si>
  <si>
    <r>
      <rPr>
        <sz val="8"/>
        <color theme="1"/>
        <rFont val="Arial"/>
        <charset val="134"/>
      </rPr>
      <t>VINE</t>
    </r>
    <r>
      <rPr>
        <sz val="8"/>
        <color theme="1"/>
        <rFont val="宋体"/>
        <charset val="134"/>
      </rPr>
      <t>费用</t>
    </r>
  </si>
  <si>
    <r>
      <rPr>
        <sz val="8"/>
        <color theme="1"/>
        <rFont val="Arial"/>
        <charset val="134"/>
      </rPr>
      <t>QA</t>
    </r>
    <r>
      <rPr>
        <sz val="8"/>
        <color theme="1"/>
        <rFont val="宋体"/>
        <charset val="134"/>
      </rPr>
      <t>费用</t>
    </r>
  </si>
  <si>
    <t>秒杀费用</t>
  </si>
  <si>
    <t>站外费</t>
  </si>
  <si>
    <r>
      <rPr>
        <sz val="8"/>
        <color theme="1"/>
        <rFont val="Arial"/>
        <charset val="134"/>
      </rPr>
      <t>CPC</t>
    </r>
    <r>
      <rPr>
        <sz val="8"/>
        <color theme="1"/>
        <rFont val="微软雅黑"/>
        <charset val="134"/>
      </rPr>
      <t>费用</t>
    </r>
  </si>
  <si>
    <t>Coupon折扣额</t>
  </si>
  <si>
    <t>营销费占比</t>
  </si>
  <si>
    <t>Coupon折扣占比</t>
  </si>
  <si>
    <t>SKU</t>
  </si>
  <si>
    <t>FNSKU</t>
  </si>
  <si>
    <t>周期及店铺信息</t>
  </si>
  <si>
    <r>
      <rPr>
        <b/>
        <sz val="11"/>
        <color theme="1"/>
        <rFont val="Arial"/>
        <charset val="134"/>
      </rPr>
      <t>lisitng</t>
    </r>
    <r>
      <rPr>
        <b/>
        <sz val="11"/>
        <color theme="1"/>
        <rFont val="宋体"/>
        <charset val="134"/>
      </rPr>
      <t>数据</t>
    </r>
  </si>
  <si>
    <t>广告数据</t>
  </si>
  <si>
    <t>关键词数据</t>
  </si>
  <si>
    <t>库存数据</t>
  </si>
  <si>
    <t>销售价格</t>
  </si>
  <si>
    <t>日单量</t>
  </si>
  <si>
    <t>销售额</t>
  </si>
  <si>
    <t>大类排名</t>
  </si>
  <si>
    <t>小类排名</t>
  </si>
  <si>
    <t>自然出单量</t>
  </si>
  <si>
    <t>自然排名</t>
  </si>
  <si>
    <t>评分</t>
  </si>
  <si>
    <t>放单数量</t>
  </si>
  <si>
    <r>
      <rPr>
        <b/>
        <sz val="11"/>
        <color theme="1"/>
        <rFont val="Arial"/>
        <charset val="134"/>
      </rPr>
      <t>review/QA</t>
    </r>
    <r>
      <rPr>
        <b/>
        <sz val="11"/>
        <color theme="1"/>
        <rFont val="宋体"/>
        <charset val="134"/>
      </rPr>
      <t>总数</t>
    </r>
  </si>
  <si>
    <r>
      <rPr>
        <b/>
        <sz val="11"/>
        <color theme="1"/>
        <rFont val="Arial"/>
        <charset val="134"/>
      </rPr>
      <t>5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</si>
  <si>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4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</si>
  <si>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3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</si>
  <si>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2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</si>
  <si>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1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</si>
  <si>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review</t>
    </r>
    <r>
      <rPr>
        <b/>
        <sz val="11"/>
        <color theme="1"/>
        <rFont val="宋体"/>
        <charset val="134"/>
      </rPr>
      <t>数量</t>
    </r>
  </si>
  <si>
    <r>
      <rPr>
        <b/>
        <sz val="11"/>
        <color theme="1"/>
        <rFont val="Arial"/>
        <charset val="134"/>
      </rPr>
      <t>Rating</t>
    </r>
    <r>
      <rPr>
        <b/>
        <sz val="11"/>
        <color theme="1"/>
        <rFont val="宋体"/>
        <charset val="134"/>
      </rPr>
      <t>数量</t>
    </r>
  </si>
  <si>
    <t>占比</t>
  </si>
  <si>
    <r>
      <rPr>
        <b/>
        <sz val="11"/>
        <color theme="1"/>
        <rFont val="宋体"/>
        <charset val="134"/>
      </rPr>
      <t>今日</t>
    </r>
    <r>
      <rPr>
        <b/>
        <sz val="11"/>
        <color theme="1"/>
        <rFont val="Arial"/>
        <charset val="134"/>
      </rPr>
      <t>4</t>
    </r>
    <r>
      <rPr>
        <b/>
        <sz val="11"/>
        <color theme="1"/>
        <rFont val="宋体"/>
        <charset val="134"/>
      </rPr>
      <t>星</t>
    </r>
    <r>
      <rPr>
        <b/>
        <sz val="11"/>
        <color theme="1"/>
        <rFont val="Arial"/>
        <charset val="134"/>
      </rPr>
      <t>%</t>
    </r>
  </si>
  <si>
    <t>广告预算</t>
  </si>
  <si>
    <t>广告出单</t>
  </si>
  <si>
    <t>广告排名</t>
  </si>
  <si>
    <t>曝光量</t>
  </si>
  <si>
    <t>点击量</t>
  </si>
  <si>
    <t>点击率</t>
  </si>
  <si>
    <t>订单转化率</t>
  </si>
  <si>
    <t>ACoS</t>
  </si>
  <si>
    <t>点击费用</t>
  </si>
  <si>
    <t>广告花费</t>
  </si>
  <si>
    <t>推广费用</t>
  </si>
  <si>
    <t>推广费用占比</t>
  </si>
  <si>
    <r>
      <rPr>
        <b/>
        <sz val="11"/>
        <color theme="1"/>
        <rFont val="宋体"/>
        <charset val="134"/>
      </rPr>
      <t>关键词</t>
    </r>
    <r>
      <rPr>
        <b/>
        <sz val="11"/>
        <color theme="1"/>
        <rFont val="Arial"/>
        <charset val="134"/>
      </rPr>
      <t>1</t>
    </r>
  </si>
  <si>
    <t>排名</t>
  </si>
  <si>
    <r>
      <rPr>
        <b/>
        <sz val="11"/>
        <color theme="1"/>
        <rFont val="宋体"/>
        <charset val="134"/>
      </rPr>
      <t>关键词</t>
    </r>
    <r>
      <rPr>
        <b/>
        <sz val="11"/>
        <color theme="1"/>
        <rFont val="Arial"/>
        <charset val="134"/>
      </rPr>
      <t>2</t>
    </r>
  </si>
  <si>
    <r>
      <rPr>
        <b/>
        <sz val="11"/>
        <color theme="1"/>
        <rFont val="宋体"/>
        <charset val="134"/>
      </rPr>
      <t>关键词</t>
    </r>
    <r>
      <rPr>
        <b/>
        <sz val="11"/>
        <color theme="1"/>
        <rFont val="Arial"/>
        <charset val="134"/>
      </rPr>
      <t>3</t>
    </r>
  </si>
  <si>
    <r>
      <rPr>
        <b/>
        <sz val="11"/>
        <color theme="1"/>
        <rFont val="Arial"/>
        <charset val="134"/>
      </rPr>
      <t>FBA</t>
    </r>
    <r>
      <rPr>
        <b/>
        <sz val="11"/>
        <color theme="1"/>
        <rFont val="宋体"/>
        <charset val="134"/>
      </rPr>
      <t>库存</t>
    </r>
  </si>
  <si>
    <t>在途库存</t>
  </si>
  <si>
    <t>仓库库存</t>
  </si>
  <si>
    <t>催评数</t>
  </si>
  <si>
    <t>买家之声反馈</t>
  </si>
  <si>
    <t>优化操作</t>
  </si>
  <si>
    <t>店铺信息</t>
  </si>
  <si>
    <t>产品信息</t>
  </si>
  <si>
    <t>周计划</t>
  </si>
  <si>
    <t>实际反馈</t>
  </si>
  <si>
    <t>库存</t>
  </si>
  <si>
    <t>本周计划运营思路及动作</t>
  </si>
  <si>
    <t>销售表现</t>
  </si>
  <si>
    <t>推广成本</t>
  </si>
  <si>
    <t>广告表现</t>
  </si>
  <si>
    <t>周期</t>
  </si>
  <si>
    <t>秒杀活动备注</t>
  </si>
  <si>
    <t>订单数</t>
  </si>
  <si>
    <t>计划花费
(广告+优惠券+刷单+秒杀）</t>
  </si>
  <si>
    <t>刷单费用</t>
  </si>
  <si>
    <r>
      <rPr>
        <b/>
        <sz val="12"/>
        <color theme="1"/>
        <rFont val="微软雅黑"/>
        <charset val="134"/>
      </rPr>
      <t>折扣</t>
    </r>
    <r>
      <rPr>
        <b/>
        <sz val="12"/>
        <color theme="1"/>
        <rFont val="Arial"/>
        <charset val="134"/>
      </rPr>
      <t xml:space="preserve">
</t>
    </r>
    <r>
      <rPr>
        <b/>
        <sz val="12"/>
        <color theme="1"/>
        <rFont val="微软雅黑"/>
        <charset val="134"/>
      </rPr>
      <t>（优惠券</t>
    </r>
    <r>
      <rPr>
        <b/>
        <sz val="12"/>
        <color theme="1"/>
        <rFont val="Arial"/>
        <charset val="134"/>
      </rPr>
      <t>+</t>
    </r>
    <r>
      <rPr>
        <b/>
        <sz val="12"/>
        <color theme="1"/>
        <rFont val="微软雅黑"/>
        <charset val="134"/>
      </rPr>
      <t>秒杀费用）</t>
    </r>
  </si>
  <si>
    <t>站外费用</t>
  </si>
  <si>
    <t>计划毛利率</t>
  </si>
  <si>
    <r>
      <rPr>
        <b/>
        <sz val="12"/>
        <color rgb="FF000000"/>
        <rFont val="Arial"/>
        <charset val="134"/>
      </rPr>
      <t xml:space="preserve">review
</t>
    </r>
    <r>
      <rPr>
        <b/>
        <sz val="12"/>
        <color rgb="FF000000"/>
        <rFont val="微软雅黑"/>
        <charset val="134"/>
      </rPr>
      <t>数量</t>
    </r>
  </si>
  <si>
    <r>
      <rPr>
        <b/>
        <sz val="12"/>
        <color rgb="FF000000"/>
        <rFont val="Arial"/>
        <charset val="134"/>
      </rPr>
      <t xml:space="preserve">rating
</t>
    </r>
    <r>
      <rPr>
        <b/>
        <sz val="12"/>
        <color rgb="FF000000"/>
        <rFont val="微软雅黑"/>
        <charset val="134"/>
      </rPr>
      <t>数量</t>
    </r>
  </si>
  <si>
    <r>
      <rPr>
        <b/>
        <sz val="12"/>
        <color rgb="FF000000"/>
        <rFont val="微软雅黑"/>
        <charset val="134"/>
      </rPr>
      <t>免评</t>
    </r>
    <r>
      <rPr>
        <b/>
        <sz val="12"/>
        <color rgb="FF000000"/>
        <rFont val="Arial"/>
        <charset val="134"/>
      </rPr>
      <t xml:space="preserve">
</t>
    </r>
    <r>
      <rPr>
        <b/>
        <sz val="12"/>
        <color rgb="FF000000"/>
        <rFont val="微软雅黑"/>
        <charset val="134"/>
      </rPr>
      <t>数量</t>
    </r>
  </si>
  <si>
    <t>刷单占比</t>
  </si>
  <si>
    <r>
      <rPr>
        <b/>
        <sz val="12"/>
        <color rgb="FF000000"/>
        <rFont val="Arial"/>
        <charset val="134"/>
      </rPr>
      <t xml:space="preserve">QA
</t>
    </r>
    <r>
      <rPr>
        <b/>
        <sz val="12"/>
        <color rgb="FF000000"/>
        <rFont val="微软雅黑"/>
        <charset val="134"/>
      </rPr>
      <t>数量</t>
    </r>
  </si>
  <si>
    <t>广告销售额</t>
  </si>
  <si>
    <t>广告订单数</t>
  </si>
  <si>
    <t>广告费占比</t>
  </si>
  <si>
    <t>广告曝光率</t>
  </si>
  <si>
    <t>广告点击率</t>
  </si>
  <si>
    <t>广告转化率</t>
  </si>
  <si>
    <t>ACOS</t>
  </si>
  <si>
    <t>ACoAS</t>
  </si>
  <si>
    <t>实际花费
(广告+优惠券+刷单+秒杀）</t>
  </si>
  <si>
    <t>实际毛利率</t>
  </si>
  <si>
    <t>本周实际退货率</t>
  </si>
  <si>
    <t>实际放单数量</t>
  </si>
  <si>
    <t>可售库存</t>
  </si>
  <si>
    <r>
      <rPr>
        <b/>
        <sz val="12"/>
        <color theme="1"/>
        <rFont val="微软雅黑"/>
        <charset val="134"/>
      </rPr>
      <t>备货</t>
    </r>
    <r>
      <rPr>
        <b/>
        <sz val="12"/>
        <color theme="1"/>
        <rFont val="Arial"/>
        <charset val="134"/>
      </rPr>
      <t xml:space="preserve">
(</t>
    </r>
    <r>
      <rPr>
        <b/>
        <sz val="12"/>
        <color theme="1"/>
        <rFont val="微软雅黑"/>
        <charset val="134"/>
      </rPr>
      <t>未交货数量）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</si>
</sst>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_ "/>
    <numFmt numFmtId="179" formatCode="0.0%"/>
  </numFmts>
  <fonts count="6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4"/>
      <color theme="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000000"/>
      <name val="Arial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2"/>
      <color theme="0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0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11"/>
      <color rgb="FFFF0000"/>
      <name val="Arial"/>
      <charset val="134"/>
    </font>
    <font>
      <b/>
      <sz val="11"/>
      <color rgb="FF000000"/>
      <name val="Arial"/>
      <charset val="134"/>
    </font>
    <font>
      <sz val="8"/>
      <color theme="1"/>
      <name val="宋体"/>
      <charset val="134"/>
      <scheme val="minor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b/>
      <sz val="14"/>
      <color theme="1"/>
      <name val="宋体"/>
      <charset val="134"/>
      <scheme val="minor"/>
    </font>
    <font>
      <b/>
      <sz val="8"/>
      <color theme="1"/>
      <name val="宋体"/>
      <charset val="134"/>
    </font>
    <font>
      <sz val="8"/>
      <color theme="1"/>
      <name val="宋体"/>
      <charset val="134"/>
    </font>
    <font>
      <sz val="6"/>
      <color theme="1"/>
      <name val="宋体"/>
      <charset val="134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6"/>
      <color theme="1"/>
      <name val="Arial"/>
      <charset val="134"/>
    </font>
    <font>
      <sz val="6"/>
      <color theme="1"/>
      <name val="微软雅黑"/>
      <charset val="134"/>
    </font>
    <font>
      <sz val="12"/>
      <name val="宋体"/>
      <charset val="134"/>
    </font>
    <font>
      <b/>
      <sz val="26"/>
      <name val="宋体"/>
      <charset val="134"/>
      <scheme val="minor"/>
    </font>
    <font>
      <b/>
      <sz val="12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</font>
    <font>
      <b/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2"/>
      <color rgb="FFFF0000"/>
      <name val="黑体"/>
      <charset val="134"/>
    </font>
    <font>
      <sz val="12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AF49F"/>
        <bgColor indexed="64"/>
      </patternFill>
    </fill>
    <fill>
      <patternFill patternType="solid">
        <fgColor rgb="FFFAF49F"/>
        <bgColor theme="8" tint="0.799951170384838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51170384838"/>
        <bgColor theme="8" tint="0.799951170384838"/>
      </patternFill>
    </fill>
    <fill>
      <patternFill patternType="solid">
        <fgColor rgb="FFAAB0FB"/>
        <bgColor indexed="64"/>
      </patternFill>
    </fill>
    <fill>
      <patternFill patternType="solid">
        <fgColor rgb="FFF7DEFF"/>
        <bgColor indexed="64"/>
      </patternFill>
    </fill>
    <fill>
      <patternFill patternType="solid">
        <fgColor rgb="FFF7DEFF"/>
        <bgColor theme="8" tint="0.799951170384838"/>
      </patternFill>
    </fill>
    <fill>
      <patternFill patternType="solid">
        <fgColor theme="7" tint="0.599993896298105"/>
        <bgColor theme="8" tint="0.799951170384838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EBEEBF"/>
        <bgColor indexed="64"/>
      </patternFill>
    </fill>
    <fill>
      <patternFill patternType="solid">
        <fgColor rgb="FFFFC8B8"/>
        <bgColor indexed="64"/>
      </patternFill>
    </fill>
    <fill>
      <patternFill patternType="solid">
        <fgColor theme="0"/>
        <bgColor theme="5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8D3E8"/>
        <bgColor indexed="64"/>
      </patternFill>
    </fill>
    <fill>
      <patternFill patternType="solid">
        <fgColor rgb="FFAAFB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/>
      <top style="medium">
        <color rgb="FF92D050"/>
      </top>
      <bottom style="medium">
        <color rgb="FF92D050"/>
      </bottom>
      <diagonal/>
    </border>
    <border>
      <left/>
      <right/>
      <top style="medium">
        <color rgb="FF92D050"/>
      </top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4" borderId="25" applyNumberFormat="0" applyAlignment="0" applyProtection="0">
      <alignment vertical="center"/>
    </xf>
    <xf numFmtId="0" fontId="50" fillId="25" borderId="26" applyNumberFormat="0" applyAlignment="0" applyProtection="0">
      <alignment vertical="center"/>
    </xf>
    <xf numFmtId="0" fontId="51" fillId="25" borderId="25" applyNumberFormat="0" applyAlignment="0" applyProtection="0">
      <alignment vertical="center"/>
    </xf>
    <xf numFmtId="0" fontId="52" fillId="26" borderId="27" applyNumberFormat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/>
    </xf>
    <xf numFmtId="0" fontId="18" fillId="7" borderId="0" xfId="0" applyFont="1" applyFill="1" applyBorder="1">
      <alignment vertical="center"/>
    </xf>
    <xf numFmtId="0" fontId="19" fillId="7" borderId="0" xfId="0" applyFont="1" applyFill="1" applyBorder="1" applyAlignment="1">
      <alignment horizontal="center" vertical="center"/>
    </xf>
    <xf numFmtId="0" fontId="20" fillId="7" borderId="0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 wrapText="1"/>
    </xf>
    <xf numFmtId="0" fontId="21" fillId="7" borderId="0" xfId="0" applyFont="1" applyFill="1" applyBorder="1" applyAlignment="1">
      <alignment horizontal="center" vertical="center" wrapText="1"/>
    </xf>
    <xf numFmtId="0" fontId="22" fillId="18" borderId="0" xfId="0" applyFont="1" applyFill="1" applyBorder="1" applyAlignment="1">
      <alignment horizontal="center" vertical="center" wrapText="1"/>
    </xf>
    <xf numFmtId="0" fontId="22" fillId="18" borderId="0" xfId="0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0" fontId="22" fillId="18" borderId="11" xfId="0" applyFont="1" applyFill="1" applyBorder="1" applyAlignment="1">
      <alignment horizontal="center" vertical="center"/>
    </xf>
    <xf numFmtId="0" fontId="23" fillId="18" borderId="1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18" borderId="11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/>
    </xf>
    <xf numFmtId="10" fontId="23" fillId="18" borderId="11" xfId="0" applyNumberFormat="1" applyFont="1" applyFill="1" applyBorder="1" applyAlignment="1">
      <alignment horizontal="center" vertical="center"/>
    </xf>
    <xf numFmtId="9" fontId="23" fillId="18" borderId="11" xfId="0" applyNumberFormat="1" applyFont="1" applyFill="1" applyBorder="1" applyAlignment="1">
      <alignment horizontal="center" vertical="center"/>
    </xf>
    <xf numFmtId="0" fontId="24" fillId="18" borderId="11" xfId="0" applyFont="1" applyFill="1" applyBorder="1" applyAlignment="1">
      <alignment horizontal="center" vertical="center" wrapText="1"/>
    </xf>
    <xf numFmtId="0" fontId="24" fillId="18" borderId="11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18" fillId="7" borderId="11" xfId="0" applyFont="1" applyFill="1" applyBorder="1">
      <alignment vertical="center"/>
    </xf>
    <xf numFmtId="0" fontId="18" fillId="7" borderId="11" xfId="0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center" vertical="center" wrapText="1"/>
    </xf>
    <xf numFmtId="0" fontId="25" fillId="18" borderId="11" xfId="0" applyFont="1" applyFill="1" applyBorder="1" applyAlignment="1">
      <alignment horizontal="center" vertical="center" wrapText="1"/>
    </xf>
    <xf numFmtId="176" fontId="18" fillId="7" borderId="11" xfId="0" applyNumberFormat="1" applyFont="1" applyFill="1" applyBorder="1">
      <alignment vertical="center"/>
    </xf>
    <xf numFmtId="0" fontId="20" fillId="7" borderId="11" xfId="0" applyFont="1" applyFill="1" applyBorder="1" applyAlignment="1">
      <alignment horizontal="center" vertical="center" wrapText="1"/>
    </xf>
    <xf numFmtId="0" fontId="20" fillId="18" borderId="11" xfId="0" applyFont="1" applyFill="1" applyBorder="1" applyAlignment="1">
      <alignment horizontal="center" vertical="center" wrapText="1"/>
    </xf>
    <xf numFmtId="10" fontId="18" fillId="7" borderId="11" xfId="0" applyNumberFormat="1" applyFont="1" applyFill="1" applyBorder="1">
      <alignment vertical="center"/>
    </xf>
    <xf numFmtId="0" fontId="18" fillId="7" borderId="11" xfId="0" applyNumberFormat="1" applyFont="1" applyFill="1" applyBorder="1" applyAlignment="1" applyProtection="1">
      <alignment vertical="center"/>
    </xf>
    <xf numFmtId="177" fontId="26" fillId="18" borderId="0" xfId="0" applyNumberFormat="1" applyFont="1" applyFill="1" applyBorder="1" applyAlignment="1">
      <alignment horizontal="center" vertical="center" wrapText="1"/>
    </xf>
    <xf numFmtId="0" fontId="26" fillId="18" borderId="0" xfId="0" applyFont="1" applyFill="1" applyBorder="1" applyAlignment="1">
      <alignment horizontal="center" vertical="center" wrapText="1"/>
    </xf>
    <xf numFmtId="0" fontId="19" fillId="18" borderId="0" xfId="0" applyFont="1" applyFill="1" applyBorder="1" applyAlignment="1">
      <alignment horizontal="center" vertical="center" wrapText="1"/>
    </xf>
    <xf numFmtId="177" fontId="25" fillId="18" borderId="11" xfId="0" applyNumberFormat="1" applyFont="1" applyFill="1" applyBorder="1" applyAlignment="1">
      <alignment horizontal="center" vertical="center" wrapText="1"/>
    </xf>
    <xf numFmtId="178" fontId="20" fillId="18" borderId="11" xfId="0" applyNumberFormat="1" applyFont="1" applyFill="1" applyBorder="1" applyAlignment="1">
      <alignment horizontal="center" vertical="center" wrapText="1"/>
    </xf>
    <xf numFmtId="178" fontId="27" fillId="18" borderId="11" xfId="0" applyNumberFormat="1" applyFont="1" applyFill="1" applyBorder="1" applyAlignment="1">
      <alignment horizontal="center" vertical="center" wrapText="1"/>
    </xf>
    <xf numFmtId="0" fontId="27" fillId="7" borderId="0" xfId="0" applyFont="1" applyFill="1" applyBorder="1" applyAlignment="1">
      <alignment horizontal="center" vertical="center"/>
    </xf>
    <xf numFmtId="0" fontId="28" fillId="18" borderId="11" xfId="0" applyFont="1" applyFill="1" applyBorder="1" applyAlignment="1">
      <alignment horizontal="center" vertical="center" wrapText="1"/>
    </xf>
    <xf numFmtId="0" fontId="27" fillId="18" borderId="11" xfId="0" applyFont="1" applyFill="1" applyBorder="1" applyAlignment="1">
      <alignment horizontal="center" vertical="center" wrapText="1"/>
    </xf>
    <xf numFmtId="0" fontId="27" fillId="7" borderId="11" xfId="0" applyFont="1" applyFill="1" applyBorder="1" applyAlignment="1">
      <alignment horizontal="center" vertical="center" wrapText="1"/>
    </xf>
    <xf numFmtId="0" fontId="20" fillId="18" borderId="11" xfId="0" applyNumberFormat="1" applyFont="1" applyFill="1" applyBorder="1" applyAlignment="1">
      <alignment horizontal="center" vertical="center" wrapText="1"/>
    </xf>
    <xf numFmtId="176" fontId="20" fillId="18" borderId="11" xfId="0" applyNumberFormat="1" applyFont="1" applyFill="1" applyBorder="1" applyAlignment="1">
      <alignment horizontal="center" vertical="center" wrapText="1"/>
    </xf>
    <xf numFmtId="178" fontId="22" fillId="18" borderId="0" xfId="0" applyNumberFormat="1" applyFont="1" applyFill="1" applyBorder="1" applyAlignment="1">
      <alignment horizontal="center" vertical="center" wrapText="1"/>
    </xf>
    <xf numFmtId="177" fontId="22" fillId="18" borderId="0" xfId="0" applyNumberFormat="1" applyFont="1" applyFill="1" applyBorder="1" applyAlignment="1">
      <alignment horizontal="center" vertical="center" wrapText="1"/>
    </xf>
    <xf numFmtId="178" fontId="26" fillId="18" borderId="0" xfId="0" applyNumberFormat="1" applyFont="1" applyFill="1" applyBorder="1" applyAlignment="1">
      <alignment horizontal="center" vertical="center" wrapText="1"/>
    </xf>
    <xf numFmtId="0" fontId="22" fillId="7" borderId="0" xfId="0" applyFont="1" applyFill="1" applyBorder="1" applyAlignment="1">
      <alignment horizontal="center" vertical="center" wrapText="1"/>
    </xf>
    <xf numFmtId="178" fontId="23" fillId="18" borderId="11" xfId="0" applyNumberFormat="1" applyFont="1" applyFill="1" applyBorder="1" applyAlignment="1">
      <alignment horizontal="center" vertical="center" wrapText="1"/>
    </xf>
    <xf numFmtId="177" fontId="23" fillId="18" borderId="11" xfId="0" applyNumberFormat="1" applyFont="1" applyFill="1" applyBorder="1" applyAlignment="1">
      <alignment horizontal="center" vertical="center" wrapText="1"/>
    </xf>
    <xf numFmtId="178" fontId="25" fillId="18" borderId="11" xfId="0" applyNumberFormat="1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20" fillId="18" borderId="0" xfId="0" applyFont="1" applyFill="1" applyBorder="1" applyAlignment="1">
      <alignment horizontal="center" vertical="center" wrapText="1"/>
    </xf>
    <xf numFmtId="0" fontId="23" fillId="18" borderId="0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 wrapText="1"/>
    </xf>
    <xf numFmtId="0" fontId="26" fillId="7" borderId="0" xfId="0" applyFont="1" applyFill="1" applyBorder="1" applyAlignment="1">
      <alignment horizontal="center" vertical="center" wrapText="1"/>
    </xf>
    <xf numFmtId="0" fontId="22" fillId="7" borderId="0" xfId="0" applyFont="1" applyFill="1" applyBorder="1" applyAlignment="1">
      <alignment horizontal="center" vertical="center"/>
    </xf>
    <xf numFmtId="0" fontId="23" fillId="7" borderId="0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30" fillId="19" borderId="1" xfId="0" applyFont="1" applyFill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33" fillId="2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9" fontId="29" fillId="0" borderId="2" xfId="0" applyNumberFormat="1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58" fontId="31" fillId="19" borderId="1" xfId="0" applyNumberFormat="1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33" fillId="20" borderId="1" xfId="0" applyFont="1" applyFill="1" applyBorder="1" applyAlignment="1">
      <alignment vertical="center" wrapText="1"/>
    </xf>
    <xf numFmtId="58" fontId="34" fillId="0" borderId="2" xfId="0" applyNumberFormat="1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58" fontId="34" fillId="0" borderId="1" xfId="0" applyNumberFormat="1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vertical="center"/>
    </xf>
    <xf numFmtId="0" fontId="36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>
      <alignment vertical="center"/>
    </xf>
    <xf numFmtId="0" fontId="18" fillId="0" borderId="0" xfId="0" applyFont="1" applyFill="1">
      <alignment vertical="center"/>
    </xf>
    <xf numFmtId="0" fontId="21" fillId="0" borderId="0" xfId="0" applyFont="1" applyProtection="1">
      <alignment vertical="center"/>
      <protection locked="0"/>
    </xf>
    <xf numFmtId="0" fontId="36" fillId="0" borderId="12" xfId="0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 wrapText="1"/>
      <protection locked="0"/>
    </xf>
    <xf numFmtId="0" fontId="37" fillId="0" borderId="14" xfId="0" applyFont="1" applyFill="1" applyBorder="1" applyAlignment="1" applyProtection="1">
      <alignment horizontal="center" vertical="center" wrapText="1"/>
      <protection locked="0"/>
    </xf>
    <xf numFmtId="0" fontId="37" fillId="0" borderId="15" xfId="0" applyFont="1" applyFill="1" applyBorder="1" applyAlignment="1" applyProtection="1">
      <alignment horizontal="center" vertical="center" wrapText="1"/>
      <protection locked="0"/>
    </xf>
    <xf numFmtId="0" fontId="37" fillId="0" borderId="16" xfId="0" applyFont="1" applyFill="1" applyBorder="1" applyAlignment="1" applyProtection="1">
      <alignment horizontal="center" vertical="center" wrapText="1"/>
      <protection locked="0"/>
    </xf>
    <xf numFmtId="0" fontId="18" fillId="0" borderId="17" xfId="0" applyFont="1" applyFill="1" applyBorder="1" applyAlignment="1" applyProtection="1">
      <alignment horizontal="center" vertical="center" wrapText="1"/>
      <protection locked="0"/>
    </xf>
    <xf numFmtId="0" fontId="18" fillId="0" borderId="18" xfId="0" applyFont="1" applyBorder="1" applyAlignment="1" applyProtection="1">
      <alignment horizontal="center" vertical="center"/>
      <protection locked="0"/>
    </xf>
    <xf numFmtId="14" fontId="18" fillId="0" borderId="18" xfId="0" applyNumberFormat="1" applyFont="1" applyBorder="1" applyAlignment="1" applyProtection="1">
      <alignment horizontal="center" vertical="center"/>
      <protection locked="0"/>
    </xf>
    <xf numFmtId="0" fontId="18" fillId="0" borderId="18" xfId="0" applyFont="1" applyBorder="1" applyProtection="1">
      <alignment vertical="center"/>
      <protection locked="0"/>
    </xf>
    <xf numFmtId="0" fontId="37" fillId="0" borderId="19" xfId="0" applyFont="1" applyFill="1" applyBorder="1" applyAlignment="1" applyProtection="1">
      <alignment horizontal="center" vertical="center"/>
      <protection locked="0"/>
    </xf>
    <xf numFmtId="0" fontId="37" fillId="0" borderId="20" xfId="0" applyFont="1" applyFill="1" applyBorder="1" applyAlignment="1" applyProtection="1">
      <alignment horizontal="center" vertical="center"/>
      <protection locked="0"/>
    </xf>
    <xf numFmtId="0" fontId="37" fillId="0" borderId="21" xfId="0" applyFont="1" applyFill="1" applyBorder="1" applyAlignment="1" applyProtection="1">
      <alignment horizontal="center" vertical="center"/>
      <protection locked="0"/>
    </xf>
    <xf numFmtId="14" fontId="18" fillId="0" borderId="18" xfId="0" applyNumberFormat="1" applyFont="1" applyFill="1" applyBorder="1" applyAlignment="1" applyProtection="1">
      <alignment horizontal="center" vertical="center"/>
      <protection locked="0"/>
    </xf>
    <xf numFmtId="0" fontId="18" fillId="0" borderId="18" xfId="0" applyFont="1" applyFill="1" applyBorder="1" applyAlignment="1" applyProtection="1">
      <alignment horizontal="center" vertical="center"/>
      <protection locked="0"/>
    </xf>
    <xf numFmtId="0" fontId="18" fillId="0" borderId="18" xfId="0" applyFont="1" applyFill="1" applyBorder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0" fontId="38" fillId="0" borderId="0" xfId="0" applyFont="1" applyProtection="1">
      <alignment vertical="center"/>
      <protection locked="0"/>
    </xf>
    <xf numFmtId="0" fontId="18" fillId="21" borderId="13" xfId="0" applyFont="1" applyFill="1" applyBorder="1" applyAlignment="1" applyProtection="1">
      <alignment horizontal="center" vertical="center" wrapText="1"/>
      <protection locked="0"/>
    </xf>
    <xf numFmtId="0" fontId="18" fillId="22" borderId="13" xfId="0" applyFont="1" applyFill="1" applyBorder="1" applyAlignment="1" applyProtection="1">
      <alignment horizontal="center" vertical="center" wrapText="1"/>
      <protection locked="0"/>
    </xf>
    <xf numFmtId="41" fontId="18" fillId="0" borderId="13" xfId="0" applyNumberFormat="1" applyFont="1" applyBorder="1" applyAlignment="1" applyProtection="1">
      <alignment horizontal="center" vertical="center" wrapText="1"/>
      <protection locked="0"/>
    </xf>
    <xf numFmtId="41" fontId="18" fillId="22" borderId="13" xfId="0" applyNumberFormat="1" applyFont="1" applyFill="1" applyBorder="1" applyAlignment="1" applyProtection="1">
      <alignment horizontal="center" vertical="center" wrapText="1"/>
      <protection locked="0"/>
    </xf>
    <xf numFmtId="41" fontId="18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8" fillId="21" borderId="18" xfId="0" applyFont="1" applyFill="1" applyBorder="1" applyProtection="1">
      <alignment vertical="center"/>
      <protection locked="0"/>
    </xf>
    <xf numFmtId="179" fontId="18" fillId="22" borderId="18" xfId="0" applyNumberFormat="1" applyFont="1" applyFill="1" applyBorder="1" applyProtection="1">
      <alignment vertical="center"/>
      <protection locked="0"/>
    </xf>
    <xf numFmtId="41" fontId="18" fillId="0" borderId="18" xfId="0" applyNumberFormat="1" applyFont="1" applyBorder="1" applyProtection="1">
      <alignment vertical="center"/>
      <protection locked="0"/>
    </xf>
    <xf numFmtId="41" fontId="18" fillId="22" borderId="18" xfId="0" applyNumberFormat="1" applyFont="1" applyFill="1" applyBorder="1" applyProtection="1">
      <alignment vertical="center"/>
      <protection locked="0"/>
    </xf>
    <xf numFmtId="179" fontId="18" fillId="0" borderId="18" xfId="0" applyNumberFormat="1" applyFont="1" applyFill="1" applyBorder="1" applyProtection="1">
      <alignment vertical="center"/>
      <protection locked="0"/>
    </xf>
    <xf numFmtId="41" fontId="18" fillId="0" borderId="18" xfId="0" applyNumberFormat="1" applyFont="1" applyFill="1" applyBorder="1" applyProtection="1">
      <alignment vertical="center"/>
      <protection locked="0"/>
    </xf>
    <xf numFmtId="0" fontId="18" fillId="22" borderId="18" xfId="0" applyFont="1" applyFill="1" applyBorder="1" applyProtection="1">
      <alignment vertical="center"/>
      <protection locked="0"/>
    </xf>
    <xf numFmtId="0" fontId="18" fillId="21" borderId="0" xfId="0" applyFont="1" applyFill="1" applyProtection="1">
      <alignment vertical="center"/>
      <protection locked="0"/>
    </xf>
    <xf numFmtId="0" fontId="18" fillId="22" borderId="0" xfId="0" applyFont="1" applyFill="1" applyProtection="1">
      <alignment vertical="center"/>
      <protection locked="0"/>
    </xf>
    <xf numFmtId="41" fontId="18" fillId="0" borderId="0" xfId="0" applyNumberFormat="1" applyFont="1" applyProtection="1">
      <alignment vertical="center"/>
      <protection locked="0"/>
    </xf>
    <xf numFmtId="41" fontId="18" fillId="22" borderId="0" xfId="0" applyNumberFormat="1" applyFont="1" applyFill="1" applyProtection="1">
      <alignment vertical="center"/>
      <protection locked="0"/>
    </xf>
    <xf numFmtId="9" fontId="18" fillId="22" borderId="13" xfId="0" applyNumberFormat="1" applyFont="1" applyFill="1" applyBorder="1" applyAlignment="1" applyProtection="1">
      <alignment horizontal="center" vertical="center" wrapText="1"/>
      <protection locked="0"/>
    </xf>
    <xf numFmtId="179" fontId="18" fillId="22" borderId="13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Alignment="1" applyProtection="1">
      <alignment horizontal="center" vertical="center" wrapText="1"/>
      <protection locked="0"/>
    </xf>
    <xf numFmtId="9" fontId="18" fillId="0" borderId="17" xfId="0" applyNumberFormat="1" applyFont="1" applyFill="1" applyBorder="1" applyAlignment="1" applyProtection="1">
      <alignment horizontal="center" vertical="center" wrapText="1"/>
      <protection locked="0"/>
    </xf>
    <xf numFmtId="179" fontId="18" fillId="0" borderId="17" xfId="0" applyNumberFormat="1" applyFont="1" applyFill="1" applyBorder="1" applyAlignment="1" applyProtection="1">
      <alignment horizontal="center" vertical="center" wrapText="1"/>
      <protection locked="0"/>
    </xf>
    <xf numFmtId="9" fontId="18" fillId="22" borderId="18" xfId="0" applyNumberFormat="1" applyFont="1" applyFill="1" applyBorder="1" applyProtection="1">
      <alignment vertical="center"/>
      <protection locked="0"/>
    </xf>
    <xf numFmtId="9" fontId="18" fillId="0" borderId="18" xfId="0" applyNumberFormat="1" applyFont="1" applyFill="1" applyBorder="1" applyProtection="1">
      <alignment vertical="center"/>
      <protection locked="0"/>
    </xf>
    <xf numFmtId="9" fontId="18" fillId="22" borderId="0" xfId="0" applyNumberFormat="1" applyFont="1" applyFill="1" applyProtection="1">
      <alignment vertical="center"/>
      <protection locked="0"/>
    </xf>
    <xf numFmtId="179" fontId="18" fillId="22" borderId="0" xfId="0" applyNumberFormat="1" applyFont="1" applyFill="1" applyProtection="1">
      <alignment vertical="center"/>
      <protection locked="0"/>
    </xf>
    <xf numFmtId="179" fontId="18" fillId="0" borderId="13" xfId="0" applyNumberFormat="1" applyFont="1" applyBorder="1" applyAlignment="1" applyProtection="1">
      <alignment horizontal="center" vertical="center" wrapText="1"/>
      <protection locked="0"/>
    </xf>
    <xf numFmtId="179" fontId="18" fillId="0" borderId="18" xfId="0" applyNumberFormat="1" applyFont="1" applyBorder="1" applyProtection="1">
      <alignment vertical="center"/>
      <protection locked="0"/>
    </xf>
    <xf numFmtId="179" fontId="18" fillId="0" borderId="0" xfId="0" applyNumberFormat="1" applyFont="1" applyProtection="1">
      <alignment vertical="center"/>
      <protection locked="0"/>
    </xf>
    <xf numFmtId="43" fontId="36" fillId="0" borderId="12" xfId="0" applyNumberFormat="1" applyFont="1" applyBorder="1" applyAlignment="1" applyProtection="1">
      <alignment horizontal="center" vertical="center"/>
      <protection locked="0"/>
    </xf>
    <xf numFmtId="43" fontId="18" fillId="22" borderId="13" xfId="0" applyNumberFormat="1" applyFont="1" applyFill="1" applyBorder="1" applyAlignment="1" applyProtection="1">
      <alignment horizontal="center" vertical="center" wrapText="1"/>
      <protection locked="0"/>
    </xf>
    <xf numFmtId="43" fontId="18" fillId="0" borderId="13" xfId="0" applyNumberFormat="1" applyFont="1" applyBorder="1" applyAlignment="1" applyProtection="1">
      <alignment horizontal="center" vertical="center" wrapText="1"/>
      <protection locked="0"/>
    </xf>
    <xf numFmtId="43" fontId="18" fillId="0" borderId="17" xfId="0" applyNumberFormat="1" applyFont="1" applyFill="1" applyBorder="1" applyAlignment="1" applyProtection="1">
      <alignment horizontal="center" vertical="center" wrapText="1"/>
      <protection locked="0"/>
    </xf>
    <xf numFmtId="43" fontId="18" fillId="22" borderId="18" xfId="0" applyNumberFormat="1" applyFont="1" applyFill="1" applyBorder="1" applyProtection="1">
      <alignment vertical="center"/>
      <protection locked="0"/>
    </xf>
    <xf numFmtId="43" fontId="18" fillId="0" borderId="18" xfId="0" applyNumberFormat="1" applyFont="1" applyBorder="1" applyProtection="1">
      <alignment vertical="center"/>
      <protection locked="0"/>
    </xf>
    <xf numFmtId="43" fontId="18" fillId="0" borderId="18" xfId="0" applyNumberFormat="1" applyFont="1" applyFill="1" applyBorder="1" applyProtection="1">
      <alignment vertical="center"/>
      <protection locked="0"/>
    </xf>
    <xf numFmtId="43" fontId="18" fillId="22" borderId="0" xfId="0" applyNumberFormat="1" applyFont="1" applyFill="1" applyProtection="1">
      <alignment vertical="center"/>
      <protection locked="0"/>
    </xf>
    <xf numFmtId="43" fontId="18" fillId="0" borderId="0" xfId="0" applyNumberFormat="1" applyFont="1" applyProtection="1">
      <alignment vertical="center"/>
      <protection locked="0"/>
    </xf>
    <xf numFmtId="43" fontId="36" fillId="7" borderId="12" xfId="0" applyNumberFormat="1" applyFont="1" applyFill="1" applyBorder="1" applyAlignment="1" applyProtection="1">
      <alignment horizontal="center" vertical="center"/>
      <protection locked="0"/>
    </xf>
    <xf numFmtId="43" fontId="18" fillId="7" borderId="13" xfId="0" applyNumberFormat="1" applyFont="1" applyFill="1" applyBorder="1" applyAlignment="1" applyProtection="1">
      <alignment horizontal="center" vertical="center" wrapText="1"/>
      <protection locked="0"/>
    </xf>
    <xf numFmtId="43" fontId="18" fillId="7" borderId="18" xfId="0" applyNumberFormat="1" applyFont="1" applyFill="1" applyBorder="1" applyProtection="1">
      <alignment vertical="center"/>
      <protection locked="0"/>
    </xf>
    <xf numFmtId="43" fontId="18" fillId="7" borderId="0" xfId="0" applyNumberFormat="1" applyFont="1" applyFill="1" applyProtection="1">
      <alignment vertical="center"/>
      <protection locked="0"/>
    </xf>
    <xf numFmtId="0" fontId="39" fillId="0" borderId="1" xfId="0" applyFont="1" applyBorder="1">
      <alignment vertical="center"/>
    </xf>
    <xf numFmtId="0" fontId="40" fillId="0" borderId="1" xfId="0" applyFont="1" applyFill="1" applyBorder="1" applyAlignment="1">
      <alignment vertical="center" wrapText="1"/>
    </xf>
    <xf numFmtId="0" fontId="35" fillId="0" borderId="1" xfId="0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4" xfId="50"/>
  </cellStyles>
  <tableStyles count="0" defaultTableStyle="TableStyleMedium2" defaultPivotStyle="PivotStyleLight16"/>
  <colors>
    <mruColors>
      <color rgb="00F8D3E8"/>
      <color rgb="00AAFBFE"/>
      <color rgb="00A4BAE2"/>
      <color rgb="00C9EAFD"/>
      <color rgb="00EE7171"/>
      <color rgb="00F0A5CE"/>
      <color rgb="00D9C6EF"/>
      <color rgb="00AAB0FB"/>
      <color rgb="00FAF49F"/>
      <color rgb="00F7D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"/>
    </sheetView>
  </sheetViews>
  <sheetFormatPr defaultColWidth="9" defaultRowHeight="13.5"/>
  <cols>
    <col min="1" max="1" width="72.2666666666667" customWidth="1"/>
  </cols>
  <sheetData>
    <row r="1" ht="15" customHeight="1" spans="1:1">
      <c r="A1" s="203" t="s">
        <v>0</v>
      </c>
    </row>
    <row r="2" ht="15" customHeight="1" spans="1:1">
      <c r="A2" s="204" t="s">
        <v>1</v>
      </c>
    </row>
    <row r="3" ht="15" customHeight="1" spans="1:1">
      <c r="A3" s="204" t="s">
        <v>2</v>
      </c>
    </row>
    <row r="4" ht="15" customHeight="1" spans="1:1">
      <c r="A4" s="204" t="s">
        <v>3</v>
      </c>
    </row>
    <row r="5" ht="15" customHeight="1" spans="1:1">
      <c r="A5" s="204" t="s">
        <v>4</v>
      </c>
    </row>
    <row r="6" ht="15" customHeight="1" spans="1:1">
      <c r="A6" s="204" t="s">
        <v>5</v>
      </c>
    </row>
    <row r="7" ht="15" customHeight="1" spans="1:1">
      <c r="A7" s="204" t="s">
        <v>6</v>
      </c>
    </row>
    <row r="8" ht="15" customHeight="1" spans="1:1">
      <c r="A8" s="204" t="s">
        <v>7</v>
      </c>
    </row>
    <row r="9" ht="15" customHeight="1" spans="1:1">
      <c r="A9" s="204" t="s">
        <v>8</v>
      </c>
    </row>
    <row r="10" ht="15" customHeight="1" spans="1:1">
      <c r="A10" s="204" t="s">
        <v>9</v>
      </c>
    </row>
    <row r="11" ht="15" customHeight="1" spans="1:1">
      <c r="A11" s="204" t="s">
        <v>10</v>
      </c>
    </row>
    <row r="12" ht="15" customHeight="1" spans="1:1">
      <c r="A12" s="204" t="s">
        <v>11</v>
      </c>
    </row>
    <row r="13" ht="15" customHeight="1" spans="1:1">
      <c r="A13" s="204" t="s">
        <v>12</v>
      </c>
    </row>
    <row r="14" ht="15" customHeight="1" spans="1:1">
      <c r="A14" s="204" t="s">
        <v>13</v>
      </c>
    </row>
    <row r="15" ht="15" customHeight="1" spans="1:1">
      <c r="A15" s="204" t="s">
        <v>14</v>
      </c>
    </row>
    <row r="16" ht="15" customHeight="1" spans="1:1">
      <c r="A16" s="204" t="s">
        <v>15</v>
      </c>
    </row>
    <row r="17" ht="15" customHeight="1" spans="1:1">
      <c r="A17" s="204" t="s">
        <v>16</v>
      </c>
    </row>
    <row r="18" ht="15" customHeight="1" spans="1:1">
      <c r="A18" s="204" t="s">
        <v>17</v>
      </c>
    </row>
    <row r="19" ht="15" customHeight="1" spans="1:1">
      <c r="A19" s="204" t="s">
        <v>18</v>
      </c>
    </row>
    <row r="20" ht="15" customHeight="1" spans="1:1">
      <c r="A20" s="204" t="s">
        <v>19</v>
      </c>
    </row>
    <row r="21" ht="15" customHeight="1" spans="1:1">
      <c r="A21" s="204" t="s">
        <v>20</v>
      </c>
    </row>
    <row r="22" ht="15" customHeight="1" spans="1:1">
      <c r="A22" s="204" t="s">
        <v>21</v>
      </c>
    </row>
    <row r="23" ht="15" customHeight="1" spans="1:1">
      <c r="A23" s="204" t="s">
        <v>22</v>
      </c>
    </row>
    <row r="24" ht="15" customHeight="1" spans="1:1">
      <c r="A24" s="204" t="s">
        <v>23</v>
      </c>
    </row>
    <row r="25" ht="15" customHeight="1" spans="1:1">
      <c r="A25" s="204" t="s">
        <v>24</v>
      </c>
    </row>
    <row r="26" ht="15" customHeight="1" spans="1:1">
      <c r="A26" s="204" t="s">
        <v>25</v>
      </c>
    </row>
    <row r="27" spans="1:1">
      <c r="A27" s="20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66"/>
  <sheetViews>
    <sheetView workbookViewId="0">
      <selection activeCell="D26" sqref="D26"/>
    </sheetView>
  </sheetViews>
  <sheetFormatPr defaultColWidth="9" defaultRowHeight="13.5"/>
  <sheetData>
    <row r="1" ht="26" customHeight="1" spans="1:10">
      <c r="A1" s="144" t="s">
        <v>26</v>
      </c>
      <c r="B1" s="144" t="s">
        <v>27</v>
      </c>
      <c r="C1" s="144"/>
      <c r="D1" s="144"/>
      <c r="E1" s="144"/>
      <c r="F1" s="144"/>
      <c r="G1" s="144"/>
      <c r="H1" s="144"/>
      <c r="I1" s="161"/>
      <c r="J1" s="161"/>
    </row>
    <row r="2" s="139" customFormat="1" ht="18" customHeight="1" spans="1:64">
      <c r="A2" s="145" t="s">
        <v>28</v>
      </c>
      <c r="B2" s="145"/>
      <c r="C2" s="145"/>
      <c r="D2" s="145"/>
      <c r="E2" s="145"/>
      <c r="F2" s="145"/>
      <c r="G2" s="145"/>
      <c r="H2" s="145" t="s">
        <v>29</v>
      </c>
      <c r="I2" s="145"/>
      <c r="J2" s="145"/>
      <c r="K2" s="145"/>
      <c r="L2" s="145"/>
      <c r="M2" s="145"/>
      <c r="N2" s="145"/>
      <c r="O2" s="145"/>
      <c r="P2" s="145"/>
      <c r="Q2" s="145"/>
      <c r="R2" s="145" t="s">
        <v>30</v>
      </c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90" t="s">
        <v>31</v>
      </c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9" t="s">
        <v>32</v>
      </c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</row>
    <row r="3" s="140" customFormat="1" ht="48" customHeight="1" spans="1:64">
      <c r="A3" s="146" t="s">
        <v>33</v>
      </c>
      <c r="B3" s="146" t="s">
        <v>34</v>
      </c>
      <c r="C3" s="146" t="s">
        <v>35</v>
      </c>
      <c r="D3" s="146" t="s">
        <v>36</v>
      </c>
      <c r="E3" s="146" t="s">
        <v>37</v>
      </c>
      <c r="F3" s="146" t="s">
        <v>38</v>
      </c>
      <c r="G3" s="146" t="s">
        <v>39</v>
      </c>
      <c r="H3" s="146" t="s">
        <v>40</v>
      </c>
      <c r="I3" s="146" t="s">
        <v>41</v>
      </c>
      <c r="J3" s="146" t="s">
        <v>42</v>
      </c>
      <c r="K3" s="162" t="s">
        <v>43</v>
      </c>
      <c r="L3" s="163" t="s">
        <v>44</v>
      </c>
      <c r="M3" s="164" t="s">
        <v>45</v>
      </c>
      <c r="N3" s="165" t="s">
        <v>46</v>
      </c>
      <c r="O3" s="165" t="s">
        <v>47</v>
      </c>
      <c r="P3" s="165" t="s">
        <v>48</v>
      </c>
      <c r="Q3" s="165" t="s">
        <v>49</v>
      </c>
      <c r="R3" s="146" t="s">
        <v>50</v>
      </c>
      <c r="S3" s="146" t="s">
        <v>51</v>
      </c>
      <c r="T3" s="146" t="s">
        <v>52</v>
      </c>
      <c r="U3" s="146" t="s">
        <v>53</v>
      </c>
      <c r="V3" s="178" t="s">
        <v>54</v>
      </c>
      <c r="W3" s="179" t="s">
        <v>55</v>
      </c>
      <c r="X3" s="179" t="s">
        <v>56</v>
      </c>
      <c r="Y3" s="179" t="s">
        <v>57</v>
      </c>
      <c r="Z3" s="179" t="s">
        <v>58</v>
      </c>
      <c r="AA3" s="179" t="s">
        <v>59</v>
      </c>
      <c r="AB3" s="179" t="s">
        <v>60</v>
      </c>
      <c r="AC3" s="187" t="s">
        <v>61</v>
      </c>
      <c r="AD3" s="187" t="s">
        <v>62</v>
      </c>
      <c r="AE3" s="187" t="s">
        <v>63</v>
      </c>
      <c r="AF3" s="187" t="s">
        <v>64</v>
      </c>
      <c r="AG3" s="187" t="s">
        <v>65</v>
      </c>
      <c r="AH3" s="187" t="s">
        <v>66</v>
      </c>
      <c r="AI3" s="187" t="s">
        <v>67</v>
      </c>
      <c r="AJ3" s="179" t="s">
        <v>44</v>
      </c>
      <c r="AK3" s="191" t="s">
        <v>68</v>
      </c>
      <c r="AL3" s="192" t="s">
        <v>69</v>
      </c>
      <c r="AM3" s="192" t="s">
        <v>70</v>
      </c>
      <c r="AN3" s="192" t="s">
        <v>71</v>
      </c>
      <c r="AO3" s="192" t="s">
        <v>72</v>
      </c>
      <c r="AP3" s="191" t="s">
        <v>73</v>
      </c>
      <c r="AQ3" s="191" t="s">
        <v>74</v>
      </c>
      <c r="AR3" s="191" t="s">
        <v>75</v>
      </c>
      <c r="AS3" s="191" t="s">
        <v>76</v>
      </c>
      <c r="AT3" s="191" t="s">
        <v>77</v>
      </c>
      <c r="AU3" s="191" t="s">
        <v>78</v>
      </c>
      <c r="AV3" s="191" t="s">
        <v>79</v>
      </c>
      <c r="AW3" s="191" t="s">
        <v>80</v>
      </c>
      <c r="AX3" s="191" t="s">
        <v>81</v>
      </c>
      <c r="AY3" s="191" t="s">
        <v>68</v>
      </c>
      <c r="AZ3" s="191" t="s">
        <v>69</v>
      </c>
      <c r="BA3" s="191" t="s">
        <v>70</v>
      </c>
      <c r="BB3" s="191" t="s">
        <v>71</v>
      </c>
      <c r="BC3" s="191" t="s">
        <v>72</v>
      </c>
      <c r="BD3" s="191" t="s">
        <v>73</v>
      </c>
      <c r="BE3" s="200" t="s">
        <v>74</v>
      </c>
      <c r="BF3" s="191" t="s">
        <v>75</v>
      </c>
      <c r="BG3" s="191" t="s">
        <v>76</v>
      </c>
      <c r="BH3" s="191" t="s">
        <v>77</v>
      </c>
      <c r="BI3" s="191" t="s">
        <v>78</v>
      </c>
      <c r="BJ3" s="191" t="s">
        <v>79</v>
      </c>
      <c r="BK3" s="191" t="s">
        <v>80</v>
      </c>
      <c r="BL3" s="191" t="s">
        <v>81</v>
      </c>
    </row>
    <row r="4" s="141" customFormat="1" ht="23" customHeight="1" spans="1:64">
      <c r="A4" s="147" t="s">
        <v>82</v>
      </c>
      <c r="B4" s="148"/>
      <c r="C4" s="148"/>
      <c r="D4" s="149"/>
      <c r="E4" s="150"/>
      <c r="F4" s="150"/>
      <c r="G4" s="150"/>
      <c r="H4" s="150"/>
      <c r="I4" s="150"/>
      <c r="J4" s="150"/>
      <c r="K4" s="150"/>
      <c r="L4" s="150"/>
      <c r="M4" s="166"/>
      <c r="N4" s="166"/>
      <c r="O4" s="166"/>
      <c r="P4" s="166"/>
      <c r="Q4" s="166"/>
      <c r="R4" s="180"/>
      <c r="S4" s="150"/>
      <c r="T4" s="150"/>
      <c r="U4" s="150"/>
      <c r="V4" s="181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</row>
    <row r="5" s="142" customFormat="1" ht="18" customHeight="1" spans="1:64">
      <c r="A5" s="151" t="s">
        <v>83</v>
      </c>
      <c r="B5" s="151" t="s">
        <v>84</v>
      </c>
      <c r="C5" s="151"/>
      <c r="D5" s="151">
        <v>1</v>
      </c>
      <c r="E5" s="152">
        <f ca="1">TODAY()</f>
        <v>45245</v>
      </c>
      <c r="F5" s="151"/>
      <c r="G5" s="151" t="s">
        <v>85</v>
      </c>
      <c r="H5" s="153">
        <v>20</v>
      </c>
      <c r="I5" s="153">
        <v>19.99</v>
      </c>
      <c r="J5" s="153">
        <v>1270</v>
      </c>
      <c r="K5" s="167">
        <v>17.99</v>
      </c>
      <c r="L5" s="168">
        <f>AJ5</f>
        <v>-0.0852517370761532</v>
      </c>
      <c r="M5" s="169">
        <v>30</v>
      </c>
      <c r="N5" s="170">
        <f>M5*30</f>
        <v>900</v>
      </c>
      <c r="O5" s="170">
        <f>K5*M5*R5</f>
        <v>3454.08</v>
      </c>
      <c r="P5" s="170">
        <f>K5*N5*R5</f>
        <v>103622.4</v>
      </c>
      <c r="Q5" s="170">
        <f>P5*AJ5</f>
        <v>-8833.98959999998</v>
      </c>
      <c r="R5" s="150">
        <v>6.4</v>
      </c>
      <c r="S5" s="153" t="s">
        <v>86</v>
      </c>
      <c r="T5" s="153">
        <v>21</v>
      </c>
      <c r="U5" s="153">
        <v>0.22</v>
      </c>
      <c r="V5" s="183" t="str">
        <f>IF(SUM(W5:AJ5)-AH5=1,100%,"错")</f>
        <v>错</v>
      </c>
      <c r="W5" s="168">
        <f t="shared" ref="W5:AB5" si="0">IF($AY5=0,0,AZ5/$AY5)</f>
        <v>0.364785992217899</v>
      </c>
      <c r="X5" s="168">
        <f t="shared" si="0"/>
        <v>0</v>
      </c>
      <c r="Y5" s="168">
        <f t="shared" si="0"/>
        <v>0</v>
      </c>
      <c r="Z5" s="168">
        <f t="shared" si="0"/>
        <v>0</v>
      </c>
      <c r="AA5" s="168">
        <f t="shared" si="0"/>
        <v>0.0401264591439689</v>
      </c>
      <c r="AB5" s="168">
        <f t="shared" si="0"/>
        <v>0.269594219010561</v>
      </c>
      <c r="AC5" s="188">
        <v>0.05</v>
      </c>
      <c r="AD5" s="188">
        <v>0.15</v>
      </c>
      <c r="AE5" s="188">
        <v>0.05</v>
      </c>
      <c r="AF5" s="188">
        <v>0.15</v>
      </c>
      <c r="AG5" s="188"/>
      <c r="AH5" s="188">
        <v>0.01</v>
      </c>
      <c r="AI5" s="188">
        <v>0</v>
      </c>
      <c r="AJ5" s="168">
        <f>IF(BL5=0,0,BL5/$AY5)</f>
        <v>-0.0852517370761532</v>
      </c>
      <c r="AK5" s="194">
        <f>$AY5*$R5</f>
        <v>115.136</v>
      </c>
      <c r="AL5" s="195">
        <v>42</v>
      </c>
      <c r="AM5" s="195"/>
      <c r="AN5" s="195"/>
      <c r="AO5" s="195"/>
      <c r="AP5" s="194">
        <f>T5*U5</f>
        <v>4.62</v>
      </c>
      <c r="AQ5" s="194">
        <f t="shared" ref="AQ5:AX5" si="1">BE5*$R5</f>
        <v>31.04</v>
      </c>
      <c r="AR5" s="194">
        <f t="shared" si="1"/>
        <v>5.7568</v>
      </c>
      <c r="AS5" s="194">
        <f t="shared" si="1"/>
        <v>17.2704</v>
      </c>
      <c r="AT5" s="194">
        <f t="shared" si="1"/>
        <v>5.7568</v>
      </c>
      <c r="AU5" s="194">
        <f t="shared" si="1"/>
        <v>17.2704</v>
      </c>
      <c r="AV5" s="194">
        <f t="shared" si="1"/>
        <v>0</v>
      </c>
      <c r="AW5" s="194">
        <f t="shared" si="1"/>
        <v>1.237144</v>
      </c>
      <c r="AX5" s="194">
        <f t="shared" si="1"/>
        <v>-9.81554399999998</v>
      </c>
      <c r="AY5" s="194">
        <f>K5</f>
        <v>17.99</v>
      </c>
      <c r="AZ5" s="194">
        <f t="shared" ref="AZ5:BD5" si="2">IF($R5=0,0,AL5/$R5)</f>
        <v>6.5625</v>
      </c>
      <c r="BA5" s="194">
        <f t="shared" si="2"/>
        <v>0</v>
      </c>
      <c r="BB5" s="194">
        <f t="shared" si="2"/>
        <v>0</v>
      </c>
      <c r="BC5" s="194">
        <f t="shared" si="2"/>
        <v>0</v>
      </c>
      <c r="BD5" s="194">
        <f t="shared" si="2"/>
        <v>0.721875</v>
      </c>
      <c r="BE5" s="201">
        <v>4.85</v>
      </c>
      <c r="BF5" s="194">
        <f t="shared" ref="BF5:BJ5" si="3">$AY5*AC5</f>
        <v>0.8995</v>
      </c>
      <c r="BG5" s="194">
        <f t="shared" si="3"/>
        <v>2.6985</v>
      </c>
      <c r="BH5" s="194">
        <f t="shared" si="3"/>
        <v>0.8995</v>
      </c>
      <c r="BI5" s="194">
        <f t="shared" si="3"/>
        <v>2.6985</v>
      </c>
      <c r="BJ5" s="194">
        <f t="shared" si="3"/>
        <v>0</v>
      </c>
      <c r="BK5" s="194">
        <f>SUM(AZ5:BJ5)*AH5</f>
        <v>0.19330375</v>
      </c>
      <c r="BL5" s="194">
        <f>AY5-SUM(AZ5:BK5)</f>
        <v>-1.53367875</v>
      </c>
    </row>
    <row r="6" s="143" customFormat="1" ht="18" customHeight="1" spans="1:64">
      <c r="A6" s="154" t="s">
        <v>87</v>
      </c>
      <c r="B6" s="155"/>
      <c r="C6" s="155"/>
      <c r="D6" s="156"/>
      <c r="E6" s="157"/>
      <c r="F6" s="158"/>
      <c r="G6" s="158"/>
      <c r="H6" s="159"/>
      <c r="I6" s="159"/>
      <c r="J6" s="159"/>
      <c r="K6" s="159"/>
      <c r="L6" s="171"/>
      <c r="M6" s="172"/>
      <c r="N6" s="172"/>
      <c r="O6" s="172"/>
      <c r="P6" s="172"/>
      <c r="Q6" s="172"/>
      <c r="R6" s="150"/>
      <c r="S6" s="159"/>
      <c r="T6" s="159"/>
      <c r="U6" s="159"/>
      <c r="V6" s="184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96"/>
      <c r="AL6" s="196"/>
      <c r="AM6" s="196"/>
      <c r="AN6" s="196"/>
      <c r="AO6" s="196"/>
      <c r="AP6" s="196"/>
      <c r="AQ6" s="196"/>
      <c r="AR6" s="196"/>
      <c r="AS6" s="196"/>
      <c r="AT6" s="196"/>
      <c r="AU6" s="196"/>
      <c r="AV6" s="196"/>
      <c r="AW6" s="196"/>
      <c r="AX6" s="196"/>
      <c r="AY6" s="196"/>
      <c r="AZ6" s="196"/>
      <c r="BA6" s="196"/>
      <c r="BB6" s="196"/>
      <c r="BC6" s="196"/>
      <c r="BD6" s="196"/>
      <c r="BE6" s="196"/>
      <c r="BF6" s="196"/>
      <c r="BG6" s="196"/>
      <c r="BH6" s="196"/>
      <c r="BI6" s="196"/>
      <c r="BJ6" s="196"/>
      <c r="BK6" s="196"/>
      <c r="BL6" s="196"/>
    </row>
    <row r="7" s="142" customFormat="1" ht="18" customHeight="1" spans="1:64">
      <c r="A7" s="151" t="s">
        <v>83</v>
      </c>
      <c r="B7" s="151" t="s">
        <v>84</v>
      </c>
      <c r="C7" s="151"/>
      <c r="D7" s="151">
        <v>1</v>
      </c>
      <c r="E7" s="152">
        <f ca="1">TODAY()</f>
        <v>45245</v>
      </c>
      <c r="F7" s="151"/>
      <c r="G7" s="151" t="s">
        <v>85</v>
      </c>
      <c r="H7" s="153">
        <v>5</v>
      </c>
      <c r="I7" s="153">
        <v>23.99</v>
      </c>
      <c r="J7" s="153">
        <v>2200</v>
      </c>
      <c r="K7" s="167">
        <v>21.99</v>
      </c>
      <c r="L7" s="168">
        <f>AJ7</f>
        <v>0.159868542519327</v>
      </c>
      <c r="M7" s="169">
        <v>100</v>
      </c>
      <c r="N7" s="170">
        <f>M7*30</f>
        <v>3000</v>
      </c>
      <c r="O7" s="170">
        <f>K7*M7*R7</f>
        <v>14073.6</v>
      </c>
      <c r="P7" s="170">
        <f>K7*N7*R7</f>
        <v>422208</v>
      </c>
      <c r="Q7" s="170">
        <f>P7*AJ7</f>
        <v>67497.7776</v>
      </c>
      <c r="R7" s="150">
        <v>6.4</v>
      </c>
      <c r="S7" s="153" t="s">
        <v>86</v>
      </c>
      <c r="T7" s="153">
        <v>21</v>
      </c>
      <c r="U7" s="153">
        <v>0.22</v>
      </c>
      <c r="V7" s="183" t="str">
        <f>IF(SUM(W7:AJ7)-AH7=1,100%,"错")</f>
        <v>错</v>
      </c>
      <c r="W7" s="168">
        <f t="shared" ref="W7:AB7" si="4">IF($AY7=0,0,AZ7/$AY7)</f>
        <v>0.298431105047749</v>
      </c>
      <c r="X7" s="168">
        <f t="shared" si="4"/>
        <v>0</v>
      </c>
      <c r="Y7" s="168">
        <f t="shared" si="4"/>
        <v>0</v>
      </c>
      <c r="Z7" s="168">
        <f t="shared" si="4"/>
        <v>0</v>
      </c>
      <c r="AA7" s="168">
        <f t="shared" si="4"/>
        <v>0.0328274215552524</v>
      </c>
      <c r="AB7" s="168">
        <f t="shared" si="4"/>
        <v>0.220554797635289</v>
      </c>
      <c r="AC7" s="188">
        <v>0.02</v>
      </c>
      <c r="AD7" s="188">
        <v>0.06</v>
      </c>
      <c r="AE7" s="188">
        <v>0.05</v>
      </c>
      <c r="AF7" s="188">
        <v>0.15</v>
      </c>
      <c r="AG7" s="188"/>
      <c r="AH7" s="188">
        <v>0.01</v>
      </c>
      <c r="AI7" s="188">
        <v>0</v>
      </c>
      <c r="AJ7" s="168">
        <f>IF(BL7=0,0,BL7/$AY7)</f>
        <v>0.159868542519327</v>
      </c>
      <c r="AK7" s="194">
        <f>$AY7*$R7</f>
        <v>140.736</v>
      </c>
      <c r="AL7" s="195">
        <v>42</v>
      </c>
      <c r="AM7" s="195"/>
      <c r="AN7" s="195"/>
      <c r="AO7" s="195"/>
      <c r="AP7" s="194">
        <f>T7*U7</f>
        <v>4.62</v>
      </c>
      <c r="AQ7" s="194">
        <f t="shared" ref="AQ7:AX7" si="5">BE7*$R7</f>
        <v>31.04</v>
      </c>
      <c r="AR7" s="194">
        <f t="shared" si="5"/>
        <v>2.81472</v>
      </c>
      <c r="AS7" s="194">
        <f t="shared" si="5"/>
        <v>8.44416</v>
      </c>
      <c r="AT7" s="194">
        <f t="shared" si="5"/>
        <v>7.0368</v>
      </c>
      <c r="AU7" s="194">
        <f t="shared" si="5"/>
        <v>21.1104</v>
      </c>
      <c r="AV7" s="194">
        <f t="shared" si="5"/>
        <v>0</v>
      </c>
      <c r="AW7" s="194">
        <f t="shared" si="5"/>
        <v>1.1706608</v>
      </c>
      <c r="AX7" s="194">
        <f t="shared" si="5"/>
        <v>22.4992592</v>
      </c>
      <c r="AY7" s="194">
        <f>K7</f>
        <v>21.99</v>
      </c>
      <c r="AZ7" s="194">
        <f t="shared" ref="AZ7:BD7" si="6">IF($R7=0,0,AL7/$R7)</f>
        <v>6.5625</v>
      </c>
      <c r="BA7" s="194">
        <f t="shared" si="6"/>
        <v>0</v>
      </c>
      <c r="BB7" s="194">
        <f t="shared" si="6"/>
        <v>0</v>
      </c>
      <c r="BC7" s="194">
        <f t="shared" si="6"/>
        <v>0</v>
      </c>
      <c r="BD7" s="194">
        <f t="shared" si="6"/>
        <v>0.721875</v>
      </c>
      <c r="BE7" s="201">
        <v>4.85</v>
      </c>
      <c r="BF7" s="194">
        <f t="shared" ref="BF7:BJ7" si="7">$AY7*AC7</f>
        <v>0.4398</v>
      </c>
      <c r="BG7" s="194">
        <f t="shared" si="7"/>
        <v>1.3194</v>
      </c>
      <c r="BH7" s="194">
        <f t="shared" si="7"/>
        <v>1.0995</v>
      </c>
      <c r="BI7" s="194">
        <f t="shared" si="7"/>
        <v>3.2985</v>
      </c>
      <c r="BJ7" s="194">
        <f t="shared" si="7"/>
        <v>0</v>
      </c>
      <c r="BK7" s="194">
        <f>SUM(AZ7:BJ7)*AH7</f>
        <v>0.18291575</v>
      </c>
      <c r="BL7" s="194">
        <f>AY7-SUM(AZ7:BK7)</f>
        <v>3.51550925</v>
      </c>
    </row>
    <row r="8" s="142" customFormat="1" ht="18" customHeight="1" spans="1:64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67"/>
      <c r="L8" s="173"/>
      <c r="M8" s="169"/>
      <c r="N8" s="170"/>
      <c r="O8" s="170"/>
      <c r="P8" s="170"/>
      <c r="Q8" s="170"/>
      <c r="R8" s="153"/>
      <c r="S8" s="153"/>
      <c r="T8" s="153"/>
      <c r="U8" s="153"/>
      <c r="V8" s="183"/>
      <c r="W8" s="168"/>
      <c r="X8" s="168"/>
      <c r="Y8" s="168"/>
      <c r="Z8" s="168"/>
      <c r="AA8" s="168"/>
      <c r="AB8" s="168"/>
      <c r="AC8" s="188"/>
      <c r="AD8" s="188"/>
      <c r="AE8" s="188"/>
      <c r="AF8" s="188"/>
      <c r="AG8" s="188"/>
      <c r="AH8" s="188"/>
      <c r="AI8" s="188"/>
      <c r="AJ8" s="168"/>
      <c r="AK8" s="194"/>
      <c r="AL8" s="195"/>
      <c r="AM8" s="195"/>
      <c r="AN8" s="195"/>
      <c r="AO8" s="195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201"/>
      <c r="BF8" s="194"/>
      <c r="BG8" s="194"/>
      <c r="BH8" s="194"/>
      <c r="BI8" s="194"/>
      <c r="BJ8" s="194"/>
      <c r="BK8" s="194"/>
      <c r="BL8" s="194"/>
    </row>
    <row r="9" s="142" customFormat="1" ht="18" customHeight="1" spans="1:64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67"/>
      <c r="L9" s="173"/>
      <c r="M9" s="169"/>
      <c r="N9" s="170"/>
      <c r="O9" s="170"/>
      <c r="P9" s="170"/>
      <c r="Q9" s="170"/>
      <c r="R9" s="153"/>
      <c r="S9" s="153"/>
      <c r="T9" s="153"/>
      <c r="U9" s="153"/>
      <c r="V9" s="183"/>
      <c r="W9" s="168"/>
      <c r="X9" s="168"/>
      <c r="Y9" s="168"/>
      <c r="Z9" s="168"/>
      <c r="AA9" s="168"/>
      <c r="AB9" s="168"/>
      <c r="AC9" s="188"/>
      <c r="AD9" s="188"/>
      <c r="AE9" s="188"/>
      <c r="AF9" s="188"/>
      <c r="AG9" s="188"/>
      <c r="AH9" s="188"/>
      <c r="AI9" s="188"/>
      <c r="AJ9" s="168"/>
      <c r="AK9" s="194"/>
      <c r="AL9" s="195"/>
      <c r="AM9" s="195"/>
      <c r="AN9" s="195"/>
      <c r="AO9" s="195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201"/>
      <c r="BF9" s="194"/>
      <c r="BG9" s="194"/>
      <c r="BH9" s="194"/>
      <c r="BI9" s="194"/>
      <c r="BJ9" s="194"/>
      <c r="BK9" s="194"/>
      <c r="BL9" s="194"/>
    </row>
    <row r="10" s="142" customFormat="1" ht="18" customHeight="1" spans="1:64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67"/>
      <c r="L10" s="173"/>
      <c r="M10" s="169"/>
      <c r="N10" s="170"/>
      <c r="O10" s="170"/>
      <c r="P10" s="170"/>
      <c r="Q10" s="170"/>
      <c r="R10" s="153"/>
      <c r="S10" s="153"/>
      <c r="T10" s="153"/>
      <c r="U10" s="153"/>
      <c r="V10" s="183"/>
      <c r="W10" s="168"/>
      <c r="X10" s="168"/>
      <c r="Y10" s="168"/>
      <c r="Z10" s="168"/>
      <c r="AA10" s="168"/>
      <c r="AB10" s="168"/>
      <c r="AC10" s="188"/>
      <c r="AD10" s="188"/>
      <c r="AE10" s="188"/>
      <c r="AF10" s="188"/>
      <c r="AG10" s="188"/>
      <c r="AH10" s="188"/>
      <c r="AI10" s="188"/>
      <c r="AJ10" s="168"/>
      <c r="AK10" s="194"/>
      <c r="AL10" s="195"/>
      <c r="AM10" s="195"/>
      <c r="AN10" s="195"/>
      <c r="AO10" s="195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201"/>
      <c r="BF10" s="194"/>
      <c r="BG10" s="194"/>
      <c r="BH10" s="194"/>
      <c r="BI10" s="194"/>
      <c r="BJ10" s="194"/>
      <c r="BK10" s="194"/>
      <c r="BL10" s="194"/>
    </row>
    <row r="11" s="142" customFormat="1" ht="18" customHeight="1" spans="1:64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67"/>
      <c r="L11" s="173"/>
      <c r="M11" s="169"/>
      <c r="N11" s="170"/>
      <c r="O11" s="170"/>
      <c r="P11" s="170"/>
      <c r="Q11" s="170"/>
      <c r="R11" s="153"/>
      <c r="S11" s="153"/>
      <c r="T11" s="153"/>
      <c r="U11" s="153"/>
      <c r="V11" s="183"/>
      <c r="W11" s="168"/>
      <c r="X11" s="168"/>
      <c r="Y11" s="168"/>
      <c r="Z11" s="168"/>
      <c r="AA11" s="168"/>
      <c r="AB11" s="168"/>
      <c r="AC11" s="188"/>
      <c r="AD11" s="188"/>
      <c r="AE11" s="188"/>
      <c r="AF11" s="188"/>
      <c r="AG11" s="188"/>
      <c r="AH11" s="188"/>
      <c r="AI11" s="188"/>
      <c r="AJ11" s="168"/>
      <c r="AK11" s="194"/>
      <c r="AL11" s="195"/>
      <c r="AM11" s="195"/>
      <c r="AN11" s="195"/>
      <c r="AO11" s="195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201"/>
      <c r="BF11" s="194"/>
      <c r="BG11" s="194"/>
      <c r="BH11" s="194"/>
      <c r="BI11" s="194"/>
      <c r="BJ11" s="194"/>
      <c r="BK11" s="194"/>
      <c r="BL11" s="194"/>
    </row>
    <row r="12" s="142" customFormat="1" ht="18" customHeight="1" spans="1:64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67"/>
      <c r="L12" s="173"/>
      <c r="M12" s="169"/>
      <c r="N12" s="170"/>
      <c r="O12" s="170"/>
      <c r="P12" s="170"/>
      <c r="Q12" s="170"/>
      <c r="R12" s="153"/>
      <c r="S12" s="153"/>
      <c r="T12" s="153"/>
      <c r="U12" s="153"/>
      <c r="V12" s="183"/>
      <c r="W12" s="168"/>
      <c r="X12" s="168"/>
      <c r="Y12" s="168"/>
      <c r="Z12" s="168"/>
      <c r="AA12" s="168"/>
      <c r="AB12" s="168"/>
      <c r="AC12" s="188"/>
      <c r="AD12" s="188"/>
      <c r="AE12" s="188"/>
      <c r="AF12" s="188"/>
      <c r="AG12" s="188"/>
      <c r="AH12" s="188"/>
      <c r="AI12" s="188"/>
      <c r="AJ12" s="168"/>
      <c r="AK12" s="194"/>
      <c r="AL12" s="195"/>
      <c r="AM12" s="195"/>
      <c r="AN12" s="195"/>
      <c r="AO12" s="195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201"/>
      <c r="BF12" s="194"/>
      <c r="BG12" s="194"/>
      <c r="BH12" s="194"/>
      <c r="BI12" s="194"/>
      <c r="BJ12" s="194"/>
      <c r="BK12" s="194"/>
      <c r="BL12" s="194"/>
    </row>
    <row r="13" s="142" customFormat="1" ht="18" customHeight="1" spans="1:64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67"/>
      <c r="L13" s="173"/>
      <c r="M13" s="169"/>
      <c r="N13" s="170"/>
      <c r="O13" s="170"/>
      <c r="P13" s="170"/>
      <c r="Q13" s="170"/>
      <c r="R13" s="153"/>
      <c r="S13" s="153"/>
      <c r="T13" s="153"/>
      <c r="U13" s="153"/>
      <c r="V13" s="183"/>
      <c r="W13" s="168"/>
      <c r="X13" s="168"/>
      <c r="Y13" s="168"/>
      <c r="Z13" s="168"/>
      <c r="AA13" s="168"/>
      <c r="AB13" s="168"/>
      <c r="AC13" s="188"/>
      <c r="AD13" s="188"/>
      <c r="AE13" s="188"/>
      <c r="AF13" s="188"/>
      <c r="AG13" s="188"/>
      <c r="AH13" s="188"/>
      <c r="AI13" s="188"/>
      <c r="AJ13" s="168"/>
      <c r="AK13" s="194"/>
      <c r="AL13" s="195"/>
      <c r="AM13" s="195"/>
      <c r="AN13" s="195"/>
      <c r="AO13" s="195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201"/>
      <c r="BF13" s="194"/>
      <c r="BG13" s="194"/>
      <c r="BH13" s="194"/>
      <c r="BI13" s="194"/>
      <c r="BJ13" s="194"/>
      <c r="BK13" s="194"/>
      <c r="BL13" s="194"/>
    </row>
    <row r="14" s="142" customFormat="1" ht="18" customHeight="1" spans="1:64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67"/>
      <c r="L14" s="173"/>
      <c r="M14" s="169"/>
      <c r="N14" s="170"/>
      <c r="O14" s="170"/>
      <c r="P14" s="170"/>
      <c r="Q14" s="170"/>
      <c r="R14" s="153"/>
      <c r="S14" s="153"/>
      <c r="T14" s="153"/>
      <c r="U14" s="153"/>
      <c r="V14" s="183"/>
      <c r="W14" s="168"/>
      <c r="X14" s="168"/>
      <c r="Y14" s="168"/>
      <c r="Z14" s="168"/>
      <c r="AA14" s="168"/>
      <c r="AB14" s="168"/>
      <c r="AC14" s="188"/>
      <c r="AD14" s="188"/>
      <c r="AE14" s="188"/>
      <c r="AF14" s="188"/>
      <c r="AG14" s="188"/>
      <c r="AH14" s="188"/>
      <c r="AI14" s="188"/>
      <c r="AJ14" s="168"/>
      <c r="AK14" s="194"/>
      <c r="AL14" s="195"/>
      <c r="AM14" s="195"/>
      <c r="AN14" s="195"/>
      <c r="AO14" s="195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201"/>
      <c r="BF14" s="194"/>
      <c r="BG14" s="194"/>
      <c r="BH14" s="194"/>
      <c r="BI14" s="194"/>
      <c r="BJ14" s="194"/>
      <c r="BK14" s="194"/>
      <c r="BL14" s="194"/>
    </row>
    <row r="15" s="142" customFormat="1" ht="18" customHeight="1" spans="1:64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67"/>
      <c r="L15" s="173"/>
      <c r="M15" s="169"/>
      <c r="N15" s="170"/>
      <c r="O15" s="170"/>
      <c r="P15" s="170"/>
      <c r="Q15" s="170"/>
      <c r="R15" s="153"/>
      <c r="S15" s="153"/>
      <c r="T15" s="153"/>
      <c r="U15" s="153"/>
      <c r="V15" s="183"/>
      <c r="W15" s="168"/>
      <c r="X15" s="168"/>
      <c r="Y15" s="168"/>
      <c r="Z15" s="168"/>
      <c r="AA15" s="168"/>
      <c r="AB15" s="168"/>
      <c r="AC15" s="188"/>
      <c r="AD15" s="188"/>
      <c r="AE15" s="188"/>
      <c r="AF15" s="188"/>
      <c r="AG15" s="188"/>
      <c r="AH15" s="188"/>
      <c r="AI15" s="188"/>
      <c r="AJ15" s="168"/>
      <c r="AK15" s="194"/>
      <c r="AL15" s="195"/>
      <c r="AM15" s="195"/>
      <c r="AN15" s="195"/>
      <c r="AO15" s="195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  <c r="BB15" s="194"/>
      <c r="BC15" s="194"/>
      <c r="BD15" s="194"/>
      <c r="BE15" s="201"/>
      <c r="BF15" s="194"/>
      <c r="BG15" s="194"/>
      <c r="BH15" s="194"/>
      <c r="BI15" s="194"/>
      <c r="BJ15" s="194"/>
      <c r="BK15" s="194"/>
      <c r="BL15" s="194"/>
    </row>
    <row r="16" s="142" customFormat="1" ht="18" customHeight="1" spans="1:64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67"/>
      <c r="L16" s="173"/>
      <c r="M16" s="169"/>
      <c r="N16" s="170"/>
      <c r="O16" s="170"/>
      <c r="P16" s="170"/>
      <c r="Q16" s="170"/>
      <c r="R16" s="153"/>
      <c r="S16" s="153"/>
      <c r="T16" s="153"/>
      <c r="U16" s="153"/>
      <c r="V16" s="183"/>
      <c r="W16" s="168"/>
      <c r="X16" s="168"/>
      <c r="Y16" s="168"/>
      <c r="Z16" s="168"/>
      <c r="AA16" s="168"/>
      <c r="AB16" s="168"/>
      <c r="AC16" s="188"/>
      <c r="AD16" s="188"/>
      <c r="AE16" s="188"/>
      <c r="AF16" s="188"/>
      <c r="AG16" s="188"/>
      <c r="AH16" s="188"/>
      <c r="AI16" s="188"/>
      <c r="AJ16" s="168"/>
      <c r="AK16" s="194"/>
      <c r="AL16" s="195"/>
      <c r="AM16" s="195"/>
      <c r="AN16" s="195"/>
      <c r="AO16" s="195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201"/>
      <c r="BF16" s="194"/>
      <c r="BG16" s="194"/>
      <c r="BH16" s="194"/>
      <c r="BI16" s="194"/>
      <c r="BJ16" s="194"/>
      <c r="BK16" s="194"/>
      <c r="BL16" s="194"/>
    </row>
    <row r="17" s="142" customFormat="1" ht="18" customHeight="1" spans="1:64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67"/>
      <c r="L17" s="173"/>
      <c r="M17" s="169"/>
      <c r="N17" s="170"/>
      <c r="O17" s="170"/>
      <c r="P17" s="170"/>
      <c r="Q17" s="170"/>
      <c r="R17" s="153"/>
      <c r="S17" s="153"/>
      <c r="T17" s="153"/>
      <c r="U17" s="153"/>
      <c r="V17" s="183"/>
      <c r="W17" s="168"/>
      <c r="X17" s="168"/>
      <c r="Y17" s="168"/>
      <c r="Z17" s="168"/>
      <c r="AA17" s="168"/>
      <c r="AB17" s="168"/>
      <c r="AC17" s="188"/>
      <c r="AD17" s="188"/>
      <c r="AE17" s="188"/>
      <c r="AF17" s="188"/>
      <c r="AG17" s="188"/>
      <c r="AH17" s="188"/>
      <c r="AI17" s="188"/>
      <c r="AJ17" s="168"/>
      <c r="AK17" s="194"/>
      <c r="AL17" s="195"/>
      <c r="AM17" s="195"/>
      <c r="AN17" s="195"/>
      <c r="AO17" s="195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201"/>
      <c r="BF17" s="194"/>
      <c r="BG17" s="194"/>
      <c r="BH17" s="194"/>
      <c r="BI17" s="194"/>
      <c r="BJ17" s="194"/>
      <c r="BK17" s="194"/>
      <c r="BL17" s="194"/>
    </row>
    <row r="18" s="142" customFormat="1" ht="18" customHeight="1" spans="1:64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67"/>
      <c r="L18" s="173"/>
      <c r="M18" s="169"/>
      <c r="N18" s="170"/>
      <c r="O18" s="170"/>
      <c r="P18" s="170"/>
      <c r="Q18" s="170"/>
      <c r="R18" s="153"/>
      <c r="S18" s="153"/>
      <c r="T18" s="153"/>
      <c r="U18" s="153"/>
      <c r="V18" s="183"/>
      <c r="W18" s="168"/>
      <c r="X18" s="168"/>
      <c r="Y18" s="168"/>
      <c r="Z18" s="168"/>
      <c r="AA18" s="168"/>
      <c r="AB18" s="168"/>
      <c r="AC18" s="188"/>
      <c r="AD18" s="188"/>
      <c r="AE18" s="188"/>
      <c r="AF18" s="188"/>
      <c r="AG18" s="188"/>
      <c r="AH18" s="188"/>
      <c r="AI18" s="188"/>
      <c r="AJ18" s="168"/>
      <c r="AK18" s="194"/>
      <c r="AL18" s="195"/>
      <c r="AM18" s="195"/>
      <c r="AN18" s="195"/>
      <c r="AO18" s="195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201"/>
      <c r="BF18" s="194"/>
      <c r="BG18" s="194"/>
      <c r="BH18" s="194"/>
      <c r="BI18" s="194"/>
      <c r="BJ18" s="194"/>
      <c r="BK18" s="194"/>
      <c r="BL18" s="194"/>
    </row>
    <row r="19" s="142" customFormat="1" ht="18" customHeight="1" spans="1:64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67"/>
      <c r="L19" s="173"/>
      <c r="M19" s="169"/>
      <c r="N19" s="170"/>
      <c r="O19" s="170"/>
      <c r="P19" s="170"/>
      <c r="Q19" s="170"/>
      <c r="R19" s="153"/>
      <c r="S19" s="153"/>
      <c r="T19" s="153"/>
      <c r="U19" s="153"/>
      <c r="V19" s="183"/>
      <c r="W19" s="168"/>
      <c r="X19" s="168"/>
      <c r="Y19" s="168"/>
      <c r="Z19" s="168"/>
      <c r="AA19" s="168"/>
      <c r="AB19" s="168"/>
      <c r="AC19" s="188"/>
      <c r="AD19" s="188"/>
      <c r="AE19" s="188"/>
      <c r="AF19" s="188"/>
      <c r="AG19" s="188"/>
      <c r="AH19" s="188"/>
      <c r="AI19" s="188"/>
      <c r="AJ19" s="168"/>
      <c r="AK19" s="194"/>
      <c r="AL19" s="195"/>
      <c r="AM19" s="195"/>
      <c r="AN19" s="195"/>
      <c r="AO19" s="195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201"/>
      <c r="BF19" s="194"/>
      <c r="BG19" s="194"/>
      <c r="BH19" s="194"/>
      <c r="BI19" s="194"/>
      <c r="BJ19" s="194"/>
      <c r="BK19" s="194"/>
      <c r="BL19" s="194"/>
    </row>
    <row r="20" s="142" customFormat="1" ht="18" customHeight="1" spans="1:64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67"/>
      <c r="L20" s="173"/>
      <c r="M20" s="169"/>
      <c r="N20" s="170"/>
      <c r="O20" s="170"/>
      <c r="P20" s="170"/>
      <c r="Q20" s="170"/>
      <c r="R20" s="153"/>
      <c r="S20" s="153"/>
      <c r="T20" s="153"/>
      <c r="U20" s="153"/>
      <c r="V20" s="183"/>
      <c r="W20" s="168"/>
      <c r="X20" s="168"/>
      <c r="Y20" s="168"/>
      <c r="Z20" s="168"/>
      <c r="AA20" s="168"/>
      <c r="AB20" s="168"/>
      <c r="AC20" s="188"/>
      <c r="AD20" s="188"/>
      <c r="AE20" s="188"/>
      <c r="AF20" s="188"/>
      <c r="AG20" s="188"/>
      <c r="AH20" s="188"/>
      <c r="AI20" s="188"/>
      <c r="AJ20" s="168"/>
      <c r="AK20" s="194"/>
      <c r="AL20" s="195"/>
      <c r="AM20" s="195"/>
      <c r="AN20" s="195"/>
      <c r="AO20" s="195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201"/>
      <c r="BF20" s="194"/>
      <c r="BG20" s="194"/>
      <c r="BH20" s="194"/>
      <c r="BI20" s="194"/>
      <c r="BJ20" s="194"/>
      <c r="BK20" s="194"/>
      <c r="BL20" s="194"/>
    </row>
    <row r="21" s="142" customFormat="1" ht="18" customHeight="1" spans="1:64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67"/>
      <c r="L21" s="173"/>
      <c r="M21" s="169"/>
      <c r="N21" s="170"/>
      <c r="O21" s="170"/>
      <c r="P21" s="170"/>
      <c r="Q21" s="170"/>
      <c r="R21" s="153"/>
      <c r="S21" s="153"/>
      <c r="T21" s="153"/>
      <c r="U21" s="153"/>
      <c r="V21" s="183"/>
      <c r="W21" s="168"/>
      <c r="X21" s="168"/>
      <c r="Y21" s="168"/>
      <c r="Z21" s="168"/>
      <c r="AA21" s="168"/>
      <c r="AB21" s="168"/>
      <c r="AC21" s="188"/>
      <c r="AD21" s="188"/>
      <c r="AE21" s="188"/>
      <c r="AF21" s="188"/>
      <c r="AG21" s="188"/>
      <c r="AH21" s="188"/>
      <c r="AI21" s="188"/>
      <c r="AJ21" s="168"/>
      <c r="AK21" s="194"/>
      <c r="AL21" s="195"/>
      <c r="AM21" s="195"/>
      <c r="AN21" s="195"/>
      <c r="AO21" s="195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194"/>
      <c r="BD21" s="194"/>
      <c r="BE21" s="201"/>
      <c r="BF21" s="194"/>
      <c r="BG21" s="194"/>
      <c r="BH21" s="194"/>
      <c r="BI21" s="194"/>
      <c r="BJ21" s="194"/>
      <c r="BK21" s="194"/>
      <c r="BL21" s="194"/>
    </row>
    <row r="22" s="142" customFormat="1" ht="18" customHeight="1" spans="1:64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67"/>
      <c r="L22" s="173"/>
      <c r="M22" s="169"/>
      <c r="N22" s="170"/>
      <c r="O22" s="170"/>
      <c r="P22" s="170"/>
      <c r="Q22" s="170"/>
      <c r="R22" s="153"/>
      <c r="S22" s="153"/>
      <c r="T22" s="153"/>
      <c r="U22" s="153"/>
      <c r="V22" s="183"/>
      <c r="W22" s="168"/>
      <c r="X22" s="168"/>
      <c r="Y22" s="168"/>
      <c r="Z22" s="168"/>
      <c r="AA22" s="168"/>
      <c r="AB22" s="168"/>
      <c r="AC22" s="188"/>
      <c r="AD22" s="188"/>
      <c r="AE22" s="188"/>
      <c r="AF22" s="188"/>
      <c r="AG22" s="188"/>
      <c r="AH22" s="188"/>
      <c r="AI22" s="188"/>
      <c r="AJ22" s="168"/>
      <c r="AK22" s="194"/>
      <c r="AL22" s="195"/>
      <c r="AM22" s="195"/>
      <c r="AN22" s="195"/>
      <c r="AO22" s="195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201"/>
      <c r="BF22" s="194"/>
      <c r="BG22" s="194"/>
      <c r="BH22" s="194"/>
      <c r="BI22" s="194"/>
      <c r="BJ22" s="194"/>
      <c r="BK22" s="194"/>
      <c r="BL22" s="194"/>
    </row>
    <row r="23" s="142" customFormat="1" ht="18" customHeight="1" spans="1:64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67"/>
      <c r="L23" s="173"/>
      <c r="M23" s="169"/>
      <c r="N23" s="170"/>
      <c r="O23" s="170"/>
      <c r="P23" s="170"/>
      <c r="Q23" s="170"/>
      <c r="R23" s="153"/>
      <c r="S23" s="153"/>
      <c r="T23" s="153"/>
      <c r="U23" s="153"/>
      <c r="V23" s="183"/>
      <c r="W23" s="168"/>
      <c r="X23" s="168"/>
      <c r="Y23" s="168"/>
      <c r="Z23" s="168"/>
      <c r="AA23" s="168"/>
      <c r="AB23" s="168"/>
      <c r="AC23" s="188"/>
      <c r="AD23" s="188"/>
      <c r="AE23" s="188"/>
      <c r="AF23" s="188"/>
      <c r="AG23" s="188"/>
      <c r="AH23" s="188"/>
      <c r="AI23" s="188"/>
      <c r="AJ23" s="168"/>
      <c r="AK23" s="194"/>
      <c r="AL23" s="195"/>
      <c r="AM23" s="195"/>
      <c r="AN23" s="195"/>
      <c r="AO23" s="195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201"/>
      <c r="BF23" s="194"/>
      <c r="BG23" s="194"/>
      <c r="BH23" s="194"/>
      <c r="BI23" s="194"/>
      <c r="BJ23" s="194"/>
      <c r="BK23" s="194"/>
      <c r="BL23" s="194"/>
    </row>
    <row r="24" s="142" customFormat="1" ht="18" customHeight="1" spans="1:64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74"/>
      <c r="L24" s="175"/>
      <c r="M24" s="176"/>
      <c r="N24" s="177"/>
      <c r="O24" s="177"/>
      <c r="P24" s="177"/>
      <c r="Q24" s="177"/>
      <c r="R24" s="160"/>
      <c r="S24" s="160"/>
      <c r="T24" s="160"/>
      <c r="U24" s="160"/>
      <c r="V24" s="185"/>
      <c r="W24" s="186"/>
      <c r="X24" s="186"/>
      <c r="Y24" s="186"/>
      <c r="Z24" s="186"/>
      <c r="AA24" s="186"/>
      <c r="AB24" s="186"/>
      <c r="AC24" s="189"/>
      <c r="AD24" s="189"/>
      <c r="AE24" s="189"/>
      <c r="AF24" s="189"/>
      <c r="AG24" s="189"/>
      <c r="AH24" s="189"/>
      <c r="AI24" s="189"/>
      <c r="AJ24" s="186"/>
      <c r="AK24" s="197"/>
      <c r="AL24" s="198"/>
      <c r="AM24" s="198"/>
      <c r="AN24" s="198"/>
      <c r="AO24" s="198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202"/>
      <c r="BF24" s="197"/>
      <c r="BG24" s="197"/>
      <c r="BH24" s="197"/>
      <c r="BI24" s="197"/>
      <c r="BJ24" s="197"/>
      <c r="BK24" s="197"/>
      <c r="BL24" s="197"/>
    </row>
    <row r="25" s="142" customFormat="1" ht="18" customHeight="1" spans="1:64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74"/>
      <c r="L25" s="175"/>
      <c r="M25" s="176"/>
      <c r="N25" s="177"/>
      <c r="O25" s="177"/>
      <c r="P25" s="177"/>
      <c r="Q25" s="177"/>
      <c r="R25" s="160"/>
      <c r="S25" s="160"/>
      <c r="T25" s="160"/>
      <c r="U25" s="160"/>
      <c r="V25" s="185"/>
      <c r="W25" s="186"/>
      <c r="X25" s="186"/>
      <c r="Y25" s="186"/>
      <c r="Z25" s="186"/>
      <c r="AA25" s="186"/>
      <c r="AB25" s="186"/>
      <c r="AC25" s="189"/>
      <c r="AD25" s="189"/>
      <c r="AE25" s="189"/>
      <c r="AF25" s="189"/>
      <c r="AG25" s="189"/>
      <c r="AH25" s="189"/>
      <c r="AI25" s="189"/>
      <c r="AJ25" s="186"/>
      <c r="AK25" s="197"/>
      <c r="AL25" s="198"/>
      <c r="AM25" s="198"/>
      <c r="AN25" s="198"/>
      <c r="AO25" s="198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202"/>
      <c r="BF25" s="197"/>
      <c r="BG25" s="197"/>
      <c r="BH25" s="197"/>
      <c r="BI25" s="197"/>
      <c r="BJ25" s="197"/>
      <c r="BK25" s="197"/>
      <c r="BL25" s="197"/>
    </row>
    <row r="26" s="142" customFormat="1" ht="18" customHeight="1" spans="1:64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74"/>
      <c r="L26" s="175"/>
      <c r="M26" s="176"/>
      <c r="N26" s="177"/>
      <c r="O26" s="177"/>
      <c r="P26" s="177"/>
      <c r="Q26" s="177"/>
      <c r="R26" s="160"/>
      <c r="S26" s="160"/>
      <c r="T26" s="160"/>
      <c r="U26" s="160"/>
      <c r="V26" s="185"/>
      <c r="W26" s="186"/>
      <c r="X26" s="186"/>
      <c r="Y26" s="186"/>
      <c r="Z26" s="186"/>
      <c r="AA26" s="186"/>
      <c r="AB26" s="186"/>
      <c r="AC26" s="189"/>
      <c r="AD26" s="189"/>
      <c r="AE26" s="189"/>
      <c r="AF26" s="189"/>
      <c r="AG26" s="189"/>
      <c r="AH26" s="189"/>
      <c r="AI26" s="189"/>
      <c r="AJ26" s="186"/>
      <c r="AK26" s="197"/>
      <c r="AL26" s="198"/>
      <c r="AM26" s="198"/>
      <c r="AN26" s="198"/>
      <c r="AO26" s="198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202"/>
      <c r="BF26" s="197"/>
      <c r="BG26" s="197"/>
      <c r="BH26" s="197"/>
      <c r="BI26" s="197"/>
      <c r="BJ26" s="197"/>
      <c r="BK26" s="197"/>
      <c r="BL26" s="197"/>
    </row>
    <row r="27" s="142" customFormat="1" ht="18" customHeight="1" spans="1:64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74"/>
      <c r="L27" s="175"/>
      <c r="M27" s="176"/>
      <c r="N27" s="177"/>
      <c r="O27" s="177"/>
      <c r="P27" s="177"/>
      <c r="Q27" s="177"/>
      <c r="R27" s="160"/>
      <c r="S27" s="160"/>
      <c r="T27" s="160"/>
      <c r="U27" s="160"/>
      <c r="V27" s="185"/>
      <c r="W27" s="186"/>
      <c r="X27" s="186"/>
      <c r="Y27" s="186"/>
      <c r="Z27" s="186"/>
      <c r="AA27" s="186"/>
      <c r="AB27" s="186"/>
      <c r="AC27" s="189"/>
      <c r="AD27" s="189"/>
      <c r="AE27" s="189"/>
      <c r="AF27" s="189"/>
      <c r="AG27" s="189"/>
      <c r="AH27" s="189"/>
      <c r="AI27" s="189"/>
      <c r="AJ27" s="186"/>
      <c r="AK27" s="197"/>
      <c r="AL27" s="198"/>
      <c r="AM27" s="198"/>
      <c r="AN27" s="198"/>
      <c r="AO27" s="198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202"/>
      <c r="BF27" s="197"/>
      <c r="BG27" s="197"/>
      <c r="BH27" s="197"/>
      <c r="BI27" s="197"/>
      <c r="BJ27" s="197"/>
      <c r="BK27" s="197"/>
      <c r="BL27" s="197"/>
    </row>
    <row r="28" s="142" customFormat="1" ht="18" customHeight="1" spans="1:64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74"/>
      <c r="L28" s="175"/>
      <c r="M28" s="176"/>
      <c r="N28" s="177"/>
      <c r="O28" s="177"/>
      <c r="P28" s="177"/>
      <c r="Q28" s="177"/>
      <c r="R28" s="160"/>
      <c r="S28" s="160"/>
      <c r="T28" s="160"/>
      <c r="U28" s="160"/>
      <c r="V28" s="185"/>
      <c r="W28" s="186"/>
      <c r="X28" s="186"/>
      <c r="Y28" s="186"/>
      <c r="Z28" s="186"/>
      <c r="AA28" s="186"/>
      <c r="AB28" s="186"/>
      <c r="AC28" s="189"/>
      <c r="AD28" s="189"/>
      <c r="AE28" s="189"/>
      <c r="AF28" s="189"/>
      <c r="AG28" s="189"/>
      <c r="AH28" s="189"/>
      <c r="AI28" s="189"/>
      <c r="AJ28" s="186"/>
      <c r="AK28" s="197"/>
      <c r="AL28" s="198"/>
      <c r="AM28" s="198"/>
      <c r="AN28" s="198"/>
      <c r="AO28" s="198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202"/>
      <c r="BF28" s="197"/>
      <c r="BG28" s="197"/>
      <c r="BH28" s="197"/>
      <c r="BI28" s="197"/>
      <c r="BJ28" s="197"/>
      <c r="BK28" s="197"/>
      <c r="BL28" s="197"/>
    </row>
    <row r="29" s="142" customFormat="1" ht="18" customHeight="1" spans="1:64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74"/>
      <c r="L29" s="175"/>
      <c r="M29" s="176"/>
      <c r="N29" s="177"/>
      <c r="O29" s="177"/>
      <c r="P29" s="177"/>
      <c r="Q29" s="177"/>
      <c r="R29" s="160"/>
      <c r="S29" s="160"/>
      <c r="T29" s="160"/>
      <c r="U29" s="160"/>
      <c r="V29" s="185"/>
      <c r="W29" s="186"/>
      <c r="X29" s="186"/>
      <c r="Y29" s="186"/>
      <c r="Z29" s="186"/>
      <c r="AA29" s="186"/>
      <c r="AB29" s="186"/>
      <c r="AC29" s="189"/>
      <c r="AD29" s="189"/>
      <c r="AE29" s="189"/>
      <c r="AF29" s="189"/>
      <c r="AG29" s="189"/>
      <c r="AH29" s="189"/>
      <c r="AI29" s="189"/>
      <c r="AJ29" s="186"/>
      <c r="AK29" s="197"/>
      <c r="AL29" s="198"/>
      <c r="AM29" s="198"/>
      <c r="AN29" s="198"/>
      <c r="AO29" s="198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202"/>
      <c r="BF29" s="197"/>
      <c r="BG29" s="197"/>
      <c r="BH29" s="197"/>
      <c r="BI29" s="197"/>
      <c r="BJ29" s="197"/>
      <c r="BK29" s="197"/>
      <c r="BL29" s="197"/>
    </row>
    <row r="30" s="142" customFormat="1" ht="18" customHeight="1" spans="1:64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74"/>
      <c r="L30" s="175"/>
      <c r="M30" s="176"/>
      <c r="N30" s="177"/>
      <c r="O30" s="177"/>
      <c r="P30" s="177"/>
      <c r="Q30" s="177"/>
      <c r="R30" s="160"/>
      <c r="S30" s="160"/>
      <c r="T30" s="160"/>
      <c r="U30" s="160"/>
      <c r="V30" s="185"/>
      <c r="W30" s="186"/>
      <c r="X30" s="186"/>
      <c r="Y30" s="186"/>
      <c r="Z30" s="186"/>
      <c r="AA30" s="186"/>
      <c r="AB30" s="186"/>
      <c r="AC30" s="189"/>
      <c r="AD30" s="189"/>
      <c r="AE30" s="189"/>
      <c r="AF30" s="189"/>
      <c r="AG30" s="189"/>
      <c r="AH30" s="189"/>
      <c r="AI30" s="189"/>
      <c r="AJ30" s="186"/>
      <c r="AK30" s="197"/>
      <c r="AL30" s="198"/>
      <c r="AM30" s="198"/>
      <c r="AN30" s="198"/>
      <c r="AO30" s="198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202"/>
      <c r="BF30" s="197"/>
      <c r="BG30" s="197"/>
      <c r="BH30" s="197"/>
      <c r="BI30" s="197"/>
      <c r="BJ30" s="197"/>
      <c r="BK30" s="197"/>
      <c r="BL30" s="197"/>
    </row>
    <row r="31" s="142" customFormat="1" ht="18" customHeight="1" spans="1:64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74"/>
      <c r="L31" s="175"/>
      <c r="M31" s="176"/>
      <c r="N31" s="177"/>
      <c r="O31" s="177"/>
      <c r="P31" s="177"/>
      <c r="Q31" s="177"/>
      <c r="R31" s="160"/>
      <c r="S31" s="160"/>
      <c r="T31" s="160"/>
      <c r="U31" s="160"/>
      <c r="V31" s="185"/>
      <c r="W31" s="186"/>
      <c r="X31" s="186"/>
      <c r="Y31" s="186"/>
      <c r="Z31" s="186"/>
      <c r="AA31" s="186"/>
      <c r="AB31" s="186"/>
      <c r="AC31" s="189"/>
      <c r="AD31" s="189"/>
      <c r="AE31" s="189"/>
      <c r="AF31" s="189"/>
      <c r="AG31" s="189"/>
      <c r="AH31" s="189"/>
      <c r="AI31" s="189"/>
      <c r="AJ31" s="186"/>
      <c r="AK31" s="197"/>
      <c r="AL31" s="198"/>
      <c r="AM31" s="198"/>
      <c r="AN31" s="198"/>
      <c r="AO31" s="198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202"/>
      <c r="BF31" s="197"/>
      <c r="BG31" s="197"/>
      <c r="BH31" s="197"/>
      <c r="BI31" s="197"/>
      <c r="BJ31" s="197"/>
      <c r="BK31" s="197"/>
      <c r="BL31" s="197"/>
    </row>
    <row r="32" s="142" customFormat="1" ht="18" customHeight="1" spans="1:64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74"/>
      <c r="L32" s="175"/>
      <c r="M32" s="176"/>
      <c r="N32" s="177"/>
      <c r="O32" s="177"/>
      <c r="P32" s="177"/>
      <c r="Q32" s="177"/>
      <c r="R32" s="160"/>
      <c r="S32" s="160"/>
      <c r="T32" s="160"/>
      <c r="U32" s="160"/>
      <c r="V32" s="185"/>
      <c r="W32" s="186"/>
      <c r="X32" s="186"/>
      <c r="Y32" s="186"/>
      <c r="Z32" s="186"/>
      <c r="AA32" s="186"/>
      <c r="AB32" s="186"/>
      <c r="AC32" s="189"/>
      <c r="AD32" s="189"/>
      <c r="AE32" s="189"/>
      <c r="AF32" s="189"/>
      <c r="AG32" s="189"/>
      <c r="AH32" s="189"/>
      <c r="AI32" s="189"/>
      <c r="AJ32" s="186"/>
      <c r="AK32" s="197"/>
      <c r="AL32" s="198"/>
      <c r="AM32" s="198"/>
      <c r="AN32" s="198"/>
      <c r="AO32" s="198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202"/>
      <c r="BF32" s="197"/>
      <c r="BG32" s="197"/>
      <c r="BH32" s="197"/>
      <c r="BI32" s="197"/>
      <c r="BJ32" s="197"/>
      <c r="BK32" s="197"/>
      <c r="BL32" s="197"/>
    </row>
    <row r="33" s="142" customFormat="1" ht="18" customHeight="1" spans="1:64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74"/>
      <c r="L33" s="175"/>
      <c r="M33" s="176"/>
      <c r="N33" s="177"/>
      <c r="O33" s="177"/>
      <c r="P33" s="177"/>
      <c r="Q33" s="177"/>
      <c r="R33" s="160"/>
      <c r="S33" s="160"/>
      <c r="T33" s="160"/>
      <c r="U33" s="160"/>
      <c r="V33" s="185"/>
      <c r="W33" s="186"/>
      <c r="X33" s="186"/>
      <c r="Y33" s="186"/>
      <c r="Z33" s="186"/>
      <c r="AA33" s="186"/>
      <c r="AB33" s="186"/>
      <c r="AC33" s="189"/>
      <c r="AD33" s="189"/>
      <c r="AE33" s="189"/>
      <c r="AF33" s="189"/>
      <c r="AG33" s="189"/>
      <c r="AH33" s="189"/>
      <c r="AI33" s="189"/>
      <c r="AJ33" s="186"/>
      <c r="AK33" s="197"/>
      <c r="AL33" s="198"/>
      <c r="AM33" s="198"/>
      <c r="AN33" s="198"/>
      <c r="AO33" s="198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202"/>
      <c r="BF33" s="197"/>
      <c r="BG33" s="197"/>
      <c r="BH33" s="197"/>
      <c r="BI33" s="197"/>
      <c r="BJ33" s="197"/>
      <c r="BK33" s="197"/>
      <c r="BL33" s="197"/>
    </row>
    <row r="34" s="142" customFormat="1" ht="18" customHeight="1" spans="1:64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74"/>
      <c r="L34" s="175"/>
      <c r="M34" s="176"/>
      <c r="N34" s="177"/>
      <c r="O34" s="177"/>
      <c r="P34" s="177"/>
      <c r="Q34" s="177"/>
      <c r="R34" s="160"/>
      <c r="S34" s="160"/>
      <c r="T34" s="160"/>
      <c r="U34" s="160"/>
      <c r="V34" s="185"/>
      <c r="W34" s="186"/>
      <c r="X34" s="186"/>
      <c r="Y34" s="186"/>
      <c r="Z34" s="186"/>
      <c r="AA34" s="186"/>
      <c r="AB34" s="186"/>
      <c r="AC34" s="189"/>
      <c r="AD34" s="189"/>
      <c r="AE34" s="189"/>
      <c r="AF34" s="189"/>
      <c r="AG34" s="189"/>
      <c r="AH34" s="189"/>
      <c r="AI34" s="189"/>
      <c r="AJ34" s="186"/>
      <c r="AK34" s="197"/>
      <c r="AL34" s="198"/>
      <c r="AM34" s="198"/>
      <c r="AN34" s="198"/>
      <c r="AO34" s="198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202"/>
      <c r="BF34" s="197"/>
      <c r="BG34" s="197"/>
      <c r="BH34" s="197"/>
      <c r="BI34" s="197"/>
      <c r="BJ34" s="197"/>
      <c r="BK34" s="197"/>
      <c r="BL34" s="197"/>
    </row>
    <row r="35" s="142" customFormat="1" ht="18" customHeight="1" spans="1:64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74"/>
      <c r="L35" s="175"/>
      <c r="M35" s="176"/>
      <c r="N35" s="177"/>
      <c r="O35" s="177"/>
      <c r="P35" s="177"/>
      <c r="Q35" s="177"/>
      <c r="R35" s="160"/>
      <c r="S35" s="160"/>
      <c r="T35" s="160"/>
      <c r="U35" s="160"/>
      <c r="V35" s="185"/>
      <c r="W35" s="186"/>
      <c r="X35" s="186"/>
      <c r="Y35" s="186"/>
      <c r="Z35" s="186"/>
      <c r="AA35" s="186"/>
      <c r="AB35" s="186"/>
      <c r="AC35" s="189"/>
      <c r="AD35" s="189"/>
      <c r="AE35" s="189"/>
      <c r="AF35" s="189"/>
      <c r="AG35" s="189"/>
      <c r="AH35" s="189"/>
      <c r="AI35" s="189"/>
      <c r="AJ35" s="186"/>
      <c r="AK35" s="197"/>
      <c r="AL35" s="198"/>
      <c r="AM35" s="198"/>
      <c r="AN35" s="198"/>
      <c r="AO35" s="198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202"/>
      <c r="BF35" s="197"/>
      <c r="BG35" s="197"/>
      <c r="BH35" s="197"/>
      <c r="BI35" s="197"/>
      <c r="BJ35" s="197"/>
      <c r="BK35" s="197"/>
      <c r="BL35" s="197"/>
    </row>
    <row r="36" s="142" customFormat="1" ht="18" customHeight="1" spans="1:64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74"/>
      <c r="L36" s="175"/>
      <c r="M36" s="176"/>
      <c r="N36" s="177"/>
      <c r="O36" s="177"/>
      <c r="P36" s="177"/>
      <c r="Q36" s="177"/>
      <c r="R36" s="160"/>
      <c r="S36" s="160"/>
      <c r="T36" s="160"/>
      <c r="U36" s="160"/>
      <c r="V36" s="185"/>
      <c r="W36" s="186"/>
      <c r="X36" s="186"/>
      <c r="Y36" s="186"/>
      <c r="Z36" s="186"/>
      <c r="AA36" s="186"/>
      <c r="AB36" s="186"/>
      <c r="AC36" s="189"/>
      <c r="AD36" s="189"/>
      <c r="AE36" s="189"/>
      <c r="AF36" s="189"/>
      <c r="AG36" s="189"/>
      <c r="AH36" s="189"/>
      <c r="AI36" s="189"/>
      <c r="AJ36" s="186"/>
      <c r="AK36" s="197"/>
      <c r="AL36" s="198"/>
      <c r="AM36" s="198"/>
      <c r="AN36" s="198"/>
      <c r="AO36" s="198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202"/>
      <c r="BF36" s="197"/>
      <c r="BG36" s="197"/>
      <c r="BH36" s="197"/>
      <c r="BI36" s="197"/>
      <c r="BJ36" s="197"/>
      <c r="BK36" s="197"/>
      <c r="BL36" s="197"/>
    </row>
    <row r="37" s="142" customFormat="1" ht="18" customHeight="1" spans="1:64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74"/>
      <c r="L37" s="175"/>
      <c r="M37" s="176"/>
      <c r="N37" s="177"/>
      <c r="O37" s="177"/>
      <c r="P37" s="177"/>
      <c r="Q37" s="177"/>
      <c r="R37" s="160"/>
      <c r="S37" s="160"/>
      <c r="T37" s="160"/>
      <c r="U37" s="160"/>
      <c r="V37" s="185"/>
      <c r="W37" s="186"/>
      <c r="X37" s="186"/>
      <c r="Y37" s="186"/>
      <c r="Z37" s="186"/>
      <c r="AA37" s="186"/>
      <c r="AB37" s="186"/>
      <c r="AC37" s="189"/>
      <c r="AD37" s="189"/>
      <c r="AE37" s="189"/>
      <c r="AF37" s="189"/>
      <c r="AG37" s="189"/>
      <c r="AH37" s="189"/>
      <c r="AI37" s="189"/>
      <c r="AJ37" s="186"/>
      <c r="AK37" s="197"/>
      <c r="AL37" s="198"/>
      <c r="AM37" s="198"/>
      <c r="AN37" s="198"/>
      <c r="AO37" s="198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202"/>
      <c r="BF37" s="197"/>
      <c r="BG37" s="197"/>
      <c r="BH37" s="197"/>
      <c r="BI37" s="197"/>
      <c r="BJ37" s="197"/>
      <c r="BK37" s="197"/>
      <c r="BL37" s="197"/>
    </row>
    <row r="38" s="142" customFormat="1" ht="18" customHeight="1" spans="1:64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74"/>
      <c r="L38" s="175"/>
      <c r="M38" s="176"/>
      <c r="N38" s="177"/>
      <c r="O38" s="177"/>
      <c r="P38" s="177"/>
      <c r="Q38" s="177"/>
      <c r="R38" s="160"/>
      <c r="S38" s="160"/>
      <c r="T38" s="160"/>
      <c r="U38" s="160"/>
      <c r="V38" s="185"/>
      <c r="W38" s="186"/>
      <c r="X38" s="186"/>
      <c r="Y38" s="186"/>
      <c r="Z38" s="186"/>
      <c r="AA38" s="186"/>
      <c r="AB38" s="186"/>
      <c r="AC38" s="189"/>
      <c r="AD38" s="189"/>
      <c r="AE38" s="189"/>
      <c r="AF38" s="189"/>
      <c r="AG38" s="189"/>
      <c r="AH38" s="189"/>
      <c r="AI38" s="189"/>
      <c r="AJ38" s="186"/>
      <c r="AK38" s="197"/>
      <c r="AL38" s="198"/>
      <c r="AM38" s="198"/>
      <c r="AN38" s="198"/>
      <c r="AO38" s="198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7"/>
      <c r="BA38" s="197"/>
      <c r="BB38" s="197"/>
      <c r="BC38" s="197"/>
      <c r="BD38" s="197"/>
      <c r="BE38" s="202"/>
      <c r="BF38" s="197"/>
      <c r="BG38" s="197"/>
      <c r="BH38" s="197"/>
      <c r="BI38" s="197"/>
      <c r="BJ38" s="197"/>
      <c r="BK38" s="197"/>
      <c r="BL38" s="197"/>
    </row>
    <row r="39" s="142" customFormat="1" ht="18" customHeight="1" spans="1:64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74"/>
      <c r="L39" s="175"/>
      <c r="M39" s="176"/>
      <c r="N39" s="177"/>
      <c r="O39" s="177"/>
      <c r="P39" s="177"/>
      <c r="Q39" s="177"/>
      <c r="R39" s="160"/>
      <c r="S39" s="160"/>
      <c r="T39" s="160"/>
      <c r="U39" s="160"/>
      <c r="V39" s="185"/>
      <c r="W39" s="186"/>
      <c r="X39" s="186"/>
      <c r="Y39" s="186"/>
      <c r="Z39" s="186"/>
      <c r="AA39" s="186"/>
      <c r="AB39" s="186"/>
      <c r="AC39" s="189"/>
      <c r="AD39" s="189"/>
      <c r="AE39" s="189"/>
      <c r="AF39" s="189"/>
      <c r="AG39" s="189"/>
      <c r="AH39" s="189"/>
      <c r="AI39" s="189"/>
      <c r="AJ39" s="186"/>
      <c r="AK39" s="197"/>
      <c r="AL39" s="198"/>
      <c r="AM39" s="198"/>
      <c r="AN39" s="198"/>
      <c r="AO39" s="198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202"/>
      <c r="BF39" s="197"/>
      <c r="BG39" s="197"/>
      <c r="BH39" s="197"/>
      <c r="BI39" s="197"/>
      <c r="BJ39" s="197"/>
      <c r="BK39" s="197"/>
      <c r="BL39" s="197"/>
    </row>
    <row r="40" s="142" customFormat="1" ht="18" customHeight="1" spans="1:64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74"/>
      <c r="L40" s="175"/>
      <c r="M40" s="176"/>
      <c r="N40" s="177"/>
      <c r="O40" s="177"/>
      <c r="P40" s="177"/>
      <c r="Q40" s="177"/>
      <c r="R40" s="160"/>
      <c r="S40" s="160"/>
      <c r="T40" s="160"/>
      <c r="U40" s="160"/>
      <c r="V40" s="185"/>
      <c r="W40" s="186"/>
      <c r="X40" s="186"/>
      <c r="Y40" s="186"/>
      <c r="Z40" s="186"/>
      <c r="AA40" s="186"/>
      <c r="AB40" s="186"/>
      <c r="AC40" s="189"/>
      <c r="AD40" s="189"/>
      <c r="AE40" s="189"/>
      <c r="AF40" s="189"/>
      <c r="AG40" s="189"/>
      <c r="AH40" s="189"/>
      <c r="AI40" s="189"/>
      <c r="AJ40" s="186"/>
      <c r="AK40" s="197"/>
      <c r="AL40" s="198"/>
      <c r="AM40" s="198"/>
      <c r="AN40" s="198"/>
      <c r="AO40" s="198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  <c r="BC40" s="197"/>
      <c r="BD40" s="197"/>
      <c r="BE40" s="202"/>
      <c r="BF40" s="197"/>
      <c r="BG40" s="197"/>
      <c r="BH40" s="197"/>
      <c r="BI40" s="197"/>
      <c r="BJ40" s="197"/>
      <c r="BK40" s="197"/>
      <c r="BL40" s="197"/>
    </row>
    <row r="41" s="142" customFormat="1" ht="18" customHeight="1" spans="1:64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74"/>
      <c r="L41" s="175"/>
      <c r="M41" s="176"/>
      <c r="N41" s="177"/>
      <c r="O41" s="177"/>
      <c r="P41" s="177"/>
      <c r="Q41" s="177"/>
      <c r="R41" s="160"/>
      <c r="S41" s="160"/>
      <c r="T41" s="160"/>
      <c r="U41" s="160"/>
      <c r="V41" s="185"/>
      <c r="W41" s="186"/>
      <c r="X41" s="186"/>
      <c r="Y41" s="186"/>
      <c r="Z41" s="186"/>
      <c r="AA41" s="186"/>
      <c r="AB41" s="186"/>
      <c r="AC41" s="189"/>
      <c r="AD41" s="189"/>
      <c r="AE41" s="189"/>
      <c r="AF41" s="189"/>
      <c r="AG41" s="189"/>
      <c r="AH41" s="189"/>
      <c r="AI41" s="189"/>
      <c r="AJ41" s="186"/>
      <c r="AK41" s="197"/>
      <c r="AL41" s="198"/>
      <c r="AM41" s="198"/>
      <c r="AN41" s="198"/>
      <c r="AO41" s="198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202"/>
      <c r="BF41" s="197"/>
      <c r="BG41" s="197"/>
      <c r="BH41" s="197"/>
      <c r="BI41" s="197"/>
      <c r="BJ41" s="197"/>
      <c r="BK41" s="197"/>
      <c r="BL41" s="197"/>
    </row>
    <row r="42" s="142" customFormat="1" ht="18" customHeight="1" spans="1:64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74"/>
      <c r="L42" s="175"/>
      <c r="M42" s="176"/>
      <c r="N42" s="177"/>
      <c r="O42" s="177"/>
      <c r="P42" s="177"/>
      <c r="Q42" s="177"/>
      <c r="R42" s="160"/>
      <c r="S42" s="160"/>
      <c r="T42" s="160"/>
      <c r="U42" s="160"/>
      <c r="V42" s="185"/>
      <c r="W42" s="186"/>
      <c r="X42" s="186"/>
      <c r="Y42" s="186"/>
      <c r="Z42" s="186"/>
      <c r="AA42" s="186"/>
      <c r="AB42" s="186"/>
      <c r="AC42" s="189"/>
      <c r="AD42" s="189"/>
      <c r="AE42" s="189"/>
      <c r="AF42" s="189"/>
      <c r="AG42" s="189"/>
      <c r="AH42" s="189"/>
      <c r="AI42" s="189"/>
      <c r="AJ42" s="186"/>
      <c r="AK42" s="197"/>
      <c r="AL42" s="198"/>
      <c r="AM42" s="198"/>
      <c r="AN42" s="198"/>
      <c r="AO42" s="198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202"/>
      <c r="BF42" s="197"/>
      <c r="BG42" s="197"/>
      <c r="BH42" s="197"/>
      <c r="BI42" s="197"/>
      <c r="BJ42" s="197"/>
      <c r="BK42" s="197"/>
      <c r="BL42" s="197"/>
    </row>
    <row r="43" s="142" customFormat="1" ht="18" customHeight="1" spans="1:64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74"/>
      <c r="L43" s="175"/>
      <c r="M43" s="176"/>
      <c r="N43" s="177"/>
      <c r="O43" s="177"/>
      <c r="P43" s="177"/>
      <c r="Q43" s="177"/>
      <c r="R43" s="160"/>
      <c r="S43" s="160"/>
      <c r="T43" s="160"/>
      <c r="U43" s="160"/>
      <c r="V43" s="185"/>
      <c r="W43" s="186"/>
      <c r="X43" s="186"/>
      <c r="Y43" s="186"/>
      <c r="Z43" s="186"/>
      <c r="AA43" s="186"/>
      <c r="AB43" s="186"/>
      <c r="AC43" s="189"/>
      <c r="AD43" s="189"/>
      <c r="AE43" s="189"/>
      <c r="AF43" s="189"/>
      <c r="AG43" s="189"/>
      <c r="AH43" s="189"/>
      <c r="AI43" s="189"/>
      <c r="AJ43" s="186"/>
      <c r="AK43" s="197"/>
      <c r="AL43" s="198"/>
      <c r="AM43" s="198"/>
      <c r="AN43" s="198"/>
      <c r="AO43" s="198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  <c r="BC43" s="197"/>
      <c r="BD43" s="197"/>
      <c r="BE43" s="202"/>
      <c r="BF43" s="197"/>
      <c r="BG43" s="197"/>
      <c r="BH43" s="197"/>
      <c r="BI43" s="197"/>
      <c r="BJ43" s="197"/>
      <c r="BK43" s="197"/>
      <c r="BL43" s="197"/>
    </row>
    <row r="44" s="142" customFormat="1" ht="18" customHeight="1" spans="1:64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74"/>
      <c r="L44" s="175"/>
      <c r="M44" s="176"/>
      <c r="N44" s="177"/>
      <c r="O44" s="177"/>
      <c r="P44" s="177"/>
      <c r="Q44" s="177"/>
      <c r="R44" s="160"/>
      <c r="S44" s="160"/>
      <c r="T44" s="160"/>
      <c r="U44" s="160"/>
      <c r="V44" s="185"/>
      <c r="W44" s="186"/>
      <c r="X44" s="186"/>
      <c r="Y44" s="186"/>
      <c r="Z44" s="186"/>
      <c r="AA44" s="186"/>
      <c r="AB44" s="186"/>
      <c r="AC44" s="189"/>
      <c r="AD44" s="189"/>
      <c r="AE44" s="189"/>
      <c r="AF44" s="189"/>
      <c r="AG44" s="189"/>
      <c r="AH44" s="189"/>
      <c r="AI44" s="189"/>
      <c r="AJ44" s="186"/>
      <c r="AK44" s="197"/>
      <c r="AL44" s="198"/>
      <c r="AM44" s="198"/>
      <c r="AN44" s="198"/>
      <c r="AO44" s="198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  <c r="BC44" s="197"/>
      <c r="BD44" s="197"/>
      <c r="BE44" s="202"/>
      <c r="BF44" s="197"/>
      <c r="BG44" s="197"/>
      <c r="BH44" s="197"/>
      <c r="BI44" s="197"/>
      <c r="BJ44" s="197"/>
      <c r="BK44" s="197"/>
      <c r="BL44" s="197"/>
    </row>
    <row r="45" s="142" customFormat="1" ht="18" customHeight="1" spans="1:64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74"/>
      <c r="L45" s="175"/>
      <c r="M45" s="176"/>
      <c r="N45" s="177"/>
      <c r="O45" s="177"/>
      <c r="P45" s="177"/>
      <c r="Q45" s="177"/>
      <c r="R45" s="160"/>
      <c r="S45" s="160"/>
      <c r="T45" s="160"/>
      <c r="U45" s="160"/>
      <c r="V45" s="185"/>
      <c r="W45" s="186"/>
      <c r="X45" s="186"/>
      <c r="Y45" s="186"/>
      <c r="Z45" s="186"/>
      <c r="AA45" s="186"/>
      <c r="AB45" s="186"/>
      <c r="AC45" s="189"/>
      <c r="AD45" s="189"/>
      <c r="AE45" s="189"/>
      <c r="AF45" s="189"/>
      <c r="AG45" s="189"/>
      <c r="AH45" s="189"/>
      <c r="AI45" s="189"/>
      <c r="AJ45" s="186"/>
      <c r="AK45" s="197"/>
      <c r="AL45" s="198"/>
      <c r="AM45" s="198"/>
      <c r="AN45" s="198"/>
      <c r="AO45" s="198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202"/>
      <c r="BF45" s="197"/>
      <c r="BG45" s="197"/>
      <c r="BH45" s="197"/>
      <c r="BI45" s="197"/>
      <c r="BJ45" s="197"/>
      <c r="BK45" s="197"/>
      <c r="BL45" s="197"/>
    </row>
    <row r="46" s="142" customFormat="1" ht="18" customHeight="1" spans="1:64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74"/>
      <c r="L46" s="175"/>
      <c r="M46" s="176"/>
      <c r="N46" s="177"/>
      <c r="O46" s="177"/>
      <c r="P46" s="177"/>
      <c r="Q46" s="177"/>
      <c r="R46" s="160"/>
      <c r="S46" s="160"/>
      <c r="T46" s="160"/>
      <c r="U46" s="160"/>
      <c r="V46" s="185"/>
      <c r="W46" s="186"/>
      <c r="X46" s="186"/>
      <c r="Y46" s="186"/>
      <c r="Z46" s="186"/>
      <c r="AA46" s="186"/>
      <c r="AB46" s="186"/>
      <c r="AC46" s="189"/>
      <c r="AD46" s="189"/>
      <c r="AE46" s="189"/>
      <c r="AF46" s="189"/>
      <c r="AG46" s="189"/>
      <c r="AH46" s="189"/>
      <c r="AI46" s="189"/>
      <c r="AJ46" s="186"/>
      <c r="AK46" s="197"/>
      <c r="AL46" s="198"/>
      <c r="AM46" s="198"/>
      <c r="AN46" s="198"/>
      <c r="AO46" s="198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197"/>
      <c r="BE46" s="202"/>
      <c r="BF46" s="197"/>
      <c r="BG46" s="197"/>
      <c r="BH46" s="197"/>
      <c r="BI46" s="197"/>
      <c r="BJ46" s="197"/>
      <c r="BK46" s="197"/>
      <c r="BL46" s="197"/>
    </row>
    <row r="47" s="142" customFormat="1" ht="18" customHeight="1" spans="1:64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74"/>
      <c r="L47" s="175"/>
      <c r="M47" s="176"/>
      <c r="N47" s="177"/>
      <c r="O47" s="177"/>
      <c r="P47" s="177"/>
      <c r="Q47" s="177"/>
      <c r="R47" s="160"/>
      <c r="S47" s="160"/>
      <c r="T47" s="160"/>
      <c r="U47" s="160"/>
      <c r="V47" s="185"/>
      <c r="W47" s="186"/>
      <c r="X47" s="186"/>
      <c r="Y47" s="186"/>
      <c r="Z47" s="186"/>
      <c r="AA47" s="186"/>
      <c r="AB47" s="186"/>
      <c r="AC47" s="189"/>
      <c r="AD47" s="189"/>
      <c r="AE47" s="189"/>
      <c r="AF47" s="189"/>
      <c r="AG47" s="189"/>
      <c r="AH47" s="189"/>
      <c r="AI47" s="189"/>
      <c r="AJ47" s="186"/>
      <c r="AK47" s="197"/>
      <c r="AL47" s="198"/>
      <c r="AM47" s="198"/>
      <c r="AN47" s="198"/>
      <c r="AO47" s="198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197"/>
      <c r="BE47" s="202"/>
      <c r="BF47" s="197"/>
      <c r="BG47" s="197"/>
      <c r="BH47" s="197"/>
      <c r="BI47" s="197"/>
      <c r="BJ47" s="197"/>
      <c r="BK47" s="197"/>
      <c r="BL47" s="197"/>
    </row>
    <row r="48" s="142" customFormat="1" ht="18" customHeight="1" spans="1:64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74"/>
      <c r="L48" s="175"/>
      <c r="M48" s="176"/>
      <c r="N48" s="177"/>
      <c r="O48" s="177"/>
      <c r="P48" s="177"/>
      <c r="Q48" s="177"/>
      <c r="R48" s="160"/>
      <c r="S48" s="160"/>
      <c r="T48" s="160"/>
      <c r="U48" s="160"/>
      <c r="V48" s="185"/>
      <c r="W48" s="186"/>
      <c r="X48" s="186"/>
      <c r="Y48" s="186"/>
      <c r="Z48" s="186"/>
      <c r="AA48" s="186"/>
      <c r="AB48" s="186"/>
      <c r="AC48" s="189"/>
      <c r="AD48" s="189"/>
      <c r="AE48" s="189"/>
      <c r="AF48" s="189"/>
      <c r="AG48" s="189"/>
      <c r="AH48" s="189"/>
      <c r="AI48" s="189"/>
      <c r="AJ48" s="186"/>
      <c r="AK48" s="197"/>
      <c r="AL48" s="198"/>
      <c r="AM48" s="198"/>
      <c r="AN48" s="198"/>
      <c r="AO48" s="198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202"/>
      <c r="BF48" s="197"/>
      <c r="BG48" s="197"/>
      <c r="BH48" s="197"/>
      <c r="BI48" s="197"/>
      <c r="BJ48" s="197"/>
      <c r="BK48" s="197"/>
      <c r="BL48" s="197"/>
    </row>
    <row r="49" s="142" customFormat="1" ht="18" customHeight="1" spans="1:64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74"/>
      <c r="L49" s="175"/>
      <c r="M49" s="176"/>
      <c r="N49" s="177"/>
      <c r="O49" s="177"/>
      <c r="P49" s="177"/>
      <c r="Q49" s="177"/>
      <c r="R49" s="160"/>
      <c r="S49" s="160"/>
      <c r="T49" s="160"/>
      <c r="U49" s="160"/>
      <c r="V49" s="185"/>
      <c r="W49" s="186"/>
      <c r="X49" s="186"/>
      <c r="Y49" s="186"/>
      <c r="Z49" s="186"/>
      <c r="AA49" s="186"/>
      <c r="AB49" s="186"/>
      <c r="AC49" s="189"/>
      <c r="AD49" s="189"/>
      <c r="AE49" s="189"/>
      <c r="AF49" s="189"/>
      <c r="AG49" s="189"/>
      <c r="AH49" s="189"/>
      <c r="AI49" s="189"/>
      <c r="AJ49" s="186"/>
      <c r="AK49" s="197"/>
      <c r="AL49" s="198"/>
      <c r="AM49" s="198"/>
      <c r="AN49" s="198"/>
      <c r="AO49" s="198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197"/>
      <c r="BC49" s="197"/>
      <c r="BD49" s="197"/>
      <c r="BE49" s="202"/>
      <c r="BF49" s="197"/>
      <c r="BG49" s="197"/>
      <c r="BH49" s="197"/>
      <c r="BI49" s="197"/>
      <c r="BJ49" s="197"/>
      <c r="BK49" s="197"/>
      <c r="BL49" s="197"/>
    </row>
    <row r="50" s="142" customFormat="1" ht="18" customHeight="1" spans="1:64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74"/>
      <c r="L50" s="175"/>
      <c r="M50" s="176"/>
      <c r="N50" s="177"/>
      <c r="O50" s="177"/>
      <c r="P50" s="177"/>
      <c r="Q50" s="177"/>
      <c r="R50" s="160"/>
      <c r="S50" s="160"/>
      <c r="T50" s="160"/>
      <c r="U50" s="160"/>
      <c r="V50" s="185"/>
      <c r="W50" s="186"/>
      <c r="X50" s="186"/>
      <c r="Y50" s="186"/>
      <c r="Z50" s="186"/>
      <c r="AA50" s="186"/>
      <c r="AB50" s="186"/>
      <c r="AC50" s="189"/>
      <c r="AD50" s="189"/>
      <c r="AE50" s="189"/>
      <c r="AF50" s="189"/>
      <c r="AG50" s="189"/>
      <c r="AH50" s="189"/>
      <c r="AI50" s="189"/>
      <c r="AJ50" s="186"/>
      <c r="AK50" s="197"/>
      <c r="AL50" s="198"/>
      <c r="AM50" s="198"/>
      <c r="AN50" s="198"/>
      <c r="AO50" s="198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  <c r="BC50" s="197"/>
      <c r="BD50" s="197"/>
      <c r="BE50" s="202"/>
      <c r="BF50" s="197"/>
      <c r="BG50" s="197"/>
      <c r="BH50" s="197"/>
      <c r="BI50" s="197"/>
      <c r="BJ50" s="197"/>
      <c r="BK50" s="197"/>
      <c r="BL50" s="197"/>
    </row>
    <row r="51" s="142" customFormat="1" ht="18" customHeight="1" spans="1:64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74"/>
      <c r="L51" s="175"/>
      <c r="M51" s="176"/>
      <c r="N51" s="177"/>
      <c r="O51" s="177"/>
      <c r="P51" s="177"/>
      <c r="Q51" s="177"/>
      <c r="R51" s="160"/>
      <c r="S51" s="160"/>
      <c r="T51" s="160"/>
      <c r="U51" s="160"/>
      <c r="V51" s="185"/>
      <c r="W51" s="186"/>
      <c r="X51" s="186"/>
      <c r="Y51" s="186"/>
      <c r="Z51" s="186"/>
      <c r="AA51" s="186"/>
      <c r="AB51" s="186"/>
      <c r="AC51" s="189"/>
      <c r="AD51" s="189"/>
      <c r="AE51" s="189"/>
      <c r="AF51" s="189"/>
      <c r="AG51" s="189"/>
      <c r="AH51" s="189"/>
      <c r="AI51" s="189"/>
      <c r="AJ51" s="186"/>
      <c r="AK51" s="197"/>
      <c r="AL51" s="198"/>
      <c r="AM51" s="198"/>
      <c r="AN51" s="198"/>
      <c r="AO51" s="198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202"/>
      <c r="BF51" s="197"/>
      <c r="BG51" s="197"/>
      <c r="BH51" s="197"/>
      <c r="BI51" s="197"/>
      <c r="BJ51" s="197"/>
      <c r="BK51" s="197"/>
      <c r="BL51" s="197"/>
    </row>
    <row r="52" s="142" customFormat="1" ht="18" customHeight="1" spans="1:64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74"/>
      <c r="L52" s="175"/>
      <c r="M52" s="176"/>
      <c r="N52" s="177"/>
      <c r="O52" s="177"/>
      <c r="P52" s="177"/>
      <c r="Q52" s="177"/>
      <c r="R52" s="160"/>
      <c r="S52" s="160"/>
      <c r="T52" s="160"/>
      <c r="U52" s="160"/>
      <c r="V52" s="185"/>
      <c r="W52" s="186"/>
      <c r="X52" s="186"/>
      <c r="Y52" s="186"/>
      <c r="Z52" s="186"/>
      <c r="AA52" s="186"/>
      <c r="AB52" s="186"/>
      <c r="AC52" s="189"/>
      <c r="AD52" s="189"/>
      <c r="AE52" s="189"/>
      <c r="AF52" s="189"/>
      <c r="AG52" s="189"/>
      <c r="AH52" s="189"/>
      <c r="AI52" s="189"/>
      <c r="AJ52" s="186"/>
      <c r="AK52" s="197"/>
      <c r="AL52" s="198"/>
      <c r="AM52" s="198"/>
      <c r="AN52" s="198"/>
      <c r="AO52" s="198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202"/>
      <c r="BF52" s="197"/>
      <c r="BG52" s="197"/>
      <c r="BH52" s="197"/>
      <c r="BI52" s="197"/>
      <c r="BJ52" s="197"/>
      <c r="BK52" s="197"/>
      <c r="BL52" s="197"/>
    </row>
    <row r="53" s="142" customFormat="1" ht="18" customHeight="1" spans="1:64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74"/>
      <c r="L53" s="175"/>
      <c r="M53" s="176"/>
      <c r="N53" s="177"/>
      <c r="O53" s="177"/>
      <c r="P53" s="177"/>
      <c r="Q53" s="177"/>
      <c r="R53" s="160"/>
      <c r="S53" s="160"/>
      <c r="T53" s="160"/>
      <c r="U53" s="160"/>
      <c r="V53" s="185"/>
      <c r="W53" s="186"/>
      <c r="X53" s="186"/>
      <c r="Y53" s="186"/>
      <c r="Z53" s="186"/>
      <c r="AA53" s="186"/>
      <c r="AB53" s="186"/>
      <c r="AC53" s="189"/>
      <c r="AD53" s="189"/>
      <c r="AE53" s="189"/>
      <c r="AF53" s="189"/>
      <c r="AG53" s="189"/>
      <c r="AH53" s="189"/>
      <c r="AI53" s="189"/>
      <c r="AJ53" s="186"/>
      <c r="AK53" s="197"/>
      <c r="AL53" s="198"/>
      <c r="AM53" s="198"/>
      <c r="AN53" s="198"/>
      <c r="AO53" s="198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202"/>
      <c r="BF53" s="197"/>
      <c r="BG53" s="197"/>
      <c r="BH53" s="197"/>
      <c r="BI53" s="197"/>
      <c r="BJ53" s="197"/>
      <c r="BK53" s="197"/>
      <c r="BL53" s="197"/>
    </row>
    <row r="54" s="142" customFormat="1" ht="18" customHeight="1" spans="1:64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74"/>
      <c r="L54" s="175"/>
      <c r="M54" s="176"/>
      <c r="N54" s="177"/>
      <c r="O54" s="177"/>
      <c r="P54" s="177"/>
      <c r="Q54" s="177"/>
      <c r="R54" s="160"/>
      <c r="S54" s="160"/>
      <c r="T54" s="160"/>
      <c r="U54" s="160"/>
      <c r="V54" s="185"/>
      <c r="W54" s="186"/>
      <c r="X54" s="186"/>
      <c r="Y54" s="186"/>
      <c r="Z54" s="186"/>
      <c r="AA54" s="186"/>
      <c r="AB54" s="186"/>
      <c r="AC54" s="189"/>
      <c r="AD54" s="189"/>
      <c r="AE54" s="189"/>
      <c r="AF54" s="189"/>
      <c r="AG54" s="189"/>
      <c r="AH54" s="189"/>
      <c r="AI54" s="189"/>
      <c r="AJ54" s="186"/>
      <c r="AK54" s="197"/>
      <c r="AL54" s="198"/>
      <c r="AM54" s="198"/>
      <c r="AN54" s="198"/>
      <c r="AO54" s="198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202"/>
      <c r="BF54" s="197"/>
      <c r="BG54" s="197"/>
      <c r="BH54" s="197"/>
      <c r="BI54" s="197"/>
      <c r="BJ54" s="197"/>
      <c r="BK54" s="197"/>
      <c r="BL54" s="197"/>
    </row>
    <row r="55" s="142" customFormat="1" ht="18" customHeight="1" spans="1:64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74"/>
      <c r="L55" s="175"/>
      <c r="M55" s="176"/>
      <c r="N55" s="177"/>
      <c r="O55" s="177"/>
      <c r="P55" s="177"/>
      <c r="Q55" s="177"/>
      <c r="R55" s="160"/>
      <c r="S55" s="160"/>
      <c r="T55" s="160"/>
      <c r="U55" s="160"/>
      <c r="V55" s="185"/>
      <c r="W55" s="186"/>
      <c r="X55" s="186"/>
      <c r="Y55" s="186"/>
      <c r="Z55" s="186"/>
      <c r="AA55" s="186"/>
      <c r="AB55" s="186"/>
      <c r="AC55" s="189"/>
      <c r="AD55" s="189"/>
      <c r="AE55" s="189"/>
      <c r="AF55" s="189"/>
      <c r="AG55" s="189"/>
      <c r="AH55" s="189"/>
      <c r="AI55" s="189"/>
      <c r="AJ55" s="186"/>
      <c r="AK55" s="197"/>
      <c r="AL55" s="198"/>
      <c r="AM55" s="198"/>
      <c r="AN55" s="198"/>
      <c r="AO55" s="198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202"/>
      <c r="BF55" s="197"/>
      <c r="BG55" s="197"/>
      <c r="BH55" s="197"/>
      <c r="BI55" s="197"/>
      <c r="BJ55" s="197"/>
      <c r="BK55" s="197"/>
      <c r="BL55" s="197"/>
    </row>
    <row r="56" s="142" customFormat="1" ht="18" customHeight="1" spans="1:64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74"/>
      <c r="L56" s="175"/>
      <c r="M56" s="176"/>
      <c r="N56" s="177"/>
      <c r="O56" s="177"/>
      <c r="P56" s="177"/>
      <c r="Q56" s="177"/>
      <c r="R56" s="160"/>
      <c r="S56" s="160"/>
      <c r="T56" s="160"/>
      <c r="U56" s="160"/>
      <c r="V56" s="185"/>
      <c r="W56" s="186"/>
      <c r="X56" s="186"/>
      <c r="Y56" s="186"/>
      <c r="Z56" s="186"/>
      <c r="AA56" s="186"/>
      <c r="AB56" s="186"/>
      <c r="AC56" s="189"/>
      <c r="AD56" s="189"/>
      <c r="AE56" s="189"/>
      <c r="AF56" s="189"/>
      <c r="AG56" s="189"/>
      <c r="AH56" s="189"/>
      <c r="AI56" s="189"/>
      <c r="AJ56" s="186"/>
      <c r="AK56" s="197"/>
      <c r="AL56" s="198"/>
      <c r="AM56" s="198"/>
      <c r="AN56" s="198"/>
      <c r="AO56" s="198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  <c r="BC56" s="197"/>
      <c r="BD56" s="197"/>
      <c r="BE56" s="202"/>
      <c r="BF56" s="197"/>
      <c r="BG56" s="197"/>
      <c r="BH56" s="197"/>
      <c r="BI56" s="197"/>
      <c r="BJ56" s="197"/>
      <c r="BK56" s="197"/>
      <c r="BL56" s="197"/>
    </row>
    <row r="57" s="142" customFormat="1" ht="18" customHeight="1" spans="1:64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74"/>
      <c r="L57" s="175"/>
      <c r="M57" s="176"/>
      <c r="N57" s="177"/>
      <c r="O57" s="177"/>
      <c r="P57" s="177"/>
      <c r="Q57" s="177"/>
      <c r="R57" s="160"/>
      <c r="S57" s="160"/>
      <c r="T57" s="160"/>
      <c r="U57" s="160"/>
      <c r="V57" s="185"/>
      <c r="W57" s="186"/>
      <c r="X57" s="186"/>
      <c r="Y57" s="186"/>
      <c r="Z57" s="186"/>
      <c r="AA57" s="186"/>
      <c r="AB57" s="186"/>
      <c r="AC57" s="189"/>
      <c r="AD57" s="189"/>
      <c r="AE57" s="189"/>
      <c r="AF57" s="189"/>
      <c r="AG57" s="189"/>
      <c r="AH57" s="189"/>
      <c r="AI57" s="189"/>
      <c r="AJ57" s="186"/>
      <c r="AK57" s="197"/>
      <c r="AL57" s="198"/>
      <c r="AM57" s="198"/>
      <c r="AN57" s="198"/>
      <c r="AO57" s="198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  <c r="BC57" s="197"/>
      <c r="BD57" s="197"/>
      <c r="BE57" s="202"/>
      <c r="BF57" s="197"/>
      <c r="BG57" s="197"/>
      <c r="BH57" s="197"/>
      <c r="BI57" s="197"/>
      <c r="BJ57" s="197"/>
      <c r="BK57" s="197"/>
      <c r="BL57" s="197"/>
    </row>
    <row r="58" s="142" customFormat="1" ht="18" customHeight="1" spans="1:64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74"/>
      <c r="L58" s="175"/>
      <c r="M58" s="176"/>
      <c r="N58" s="177"/>
      <c r="O58" s="177"/>
      <c r="P58" s="177"/>
      <c r="Q58" s="177"/>
      <c r="R58" s="160"/>
      <c r="S58" s="160"/>
      <c r="T58" s="160"/>
      <c r="U58" s="160"/>
      <c r="V58" s="185"/>
      <c r="W58" s="186"/>
      <c r="X58" s="186"/>
      <c r="Y58" s="186"/>
      <c r="Z58" s="186"/>
      <c r="AA58" s="186"/>
      <c r="AB58" s="186"/>
      <c r="AC58" s="189"/>
      <c r="AD58" s="189"/>
      <c r="AE58" s="189"/>
      <c r="AF58" s="189"/>
      <c r="AG58" s="189"/>
      <c r="AH58" s="189"/>
      <c r="AI58" s="189"/>
      <c r="AJ58" s="186"/>
      <c r="AK58" s="197"/>
      <c r="AL58" s="198"/>
      <c r="AM58" s="198"/>
      <c r="AN58" s="198"/>
      <c r="AO58" s="198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202"/>
      <c r="BF58" s="197"/>
      <c r="BG58" s="197"/>
      <c r="BH58" s="197"/>
      <c r="BI58" s="197"/>
      <c r="BJ58" s="197"/>
      <c r="BK58" s="197"/>
      <c r="BL58" s="197"/>
    </row>
    <row r="59" s="142" customFormat="1" ht="18" customHeight="1" spans="1:64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74"/>
      <c r="L59" s="175"/>
      <c r="M59" s="176"/>
      <c r="N59" s="177"/>
      <c r="O59" s="177"/>
      <c r="P59" s="177"/>
      <c r="Q59" s="177"/>
      <c r="R59" s="160"/>
      <c r="S59" s="160"/>
      <c r="T59" s="160"/>
      <c r="U59" s="160"/>
      <c r="V59" s="185"/>
      <c r="W59" s="186"/>
      <c r="X59" s="186"/>
      <c r="Y59" s="186"/>
      <c r="Z59" s="186"/>
      <c r="AA59" s="186"/>
      <c r="AB59" s="186"/>
      <c r="AC59" s="189"/>
      <c r="AD59" s="189"/>
      <c r="AE59" s="189"/>
      <c r="AF59" s="189"/>
      <c r="AG59" s="189"/>
      <c r="AH59" s="189"/>
      <c r="AI59" s="189"/>
      <c r="AJ59" s="186"/>
      <c r="AK59" s="197"/>
      <c r="AL59" s="198"/>
      <c r="AM59" s="198"/>
      <c r="AN59" s="198"/>
      <c r="AO59" s="198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202"/>
      <c r="BF59" s="197"/>
      <c r="BG59" s="197"/>
      <c r="BH59" s="197"/>
      <c r="BI59" s="197"/>
      <c r="BJ59" s="197"/>
      <c r="BK59" s="197"/>
      <c r="BL59" s="197"/>
    </row>
    <row r="60" s="142" customFormat="1" ht="18" customHeight="1" spans="1:64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74"/>
      <c r="L60" s="175"/>
      <c r="M60" s="176"/>
      <c r="N60" s="177"/>
      <c r="O60" s="177"/>
      <c r="P60" s="177"/>
      <c r="Q60" s="177"/>
      <c r="R60" s="160"/>
      <c r="S60" s="160"/>
      <c r="T60" s="160"/>
      <c r="U60" s="160"/>
      <c r="V60" s="185"/>
      <c r="W60" s="186"/>
      <c r="X60" s="186"/>
      <c r="Y60" s="186"/>
      <c r="Z60" s="186"/>
      <c r="AA60" s="186"/>
      <c r="AB60" s="186"/>
      <c r="AC60" s="189"/>
      <c r="AD60" s="189"/>
      <c r="AE60" s="189"/>
      <c r="AF60" s="189"/>
      <c r="AG60" s="189"/>
      <c r="AH60" s="189"/>
      <c r="AI60" s="189"/>
      <c r="AJ60" s="186"/>
      <c r="AK60" s="197"/>
      <c r="AL60" s="198"/>
      <c r="AM60" s="198"/>
      <c r="AN60" s="198"/>
      <c r="AO60" s="198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202"/>
      <c r="BF60" s="197"/>
      <c r="BG60" s="197"/>
      <c r="BH60" s="197"/>
      <c r="BI60" s="197"/>
      <c r="BJ60" s="197"/>
      <c r="BK60" s="197"/>
      <c r="BL60" s="197"/>
    </row>
    <row r="61" s="142" customFormat="1" ht="18" customHeight="1" spans="1:64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74"/>
      <c r="L61" s="175"/>
      <c r="M61" s="176"/>
      <c r="N61" s="177"/>
      <c r="O61" s="177"/>
      <c r="P61" s="177"/>
      <c r="Q61" s="177"/>
      <c r="R61" s="160"/>
      <c r="S61" s="160"/>
      <c r="T61" s="160"/>
      <c r="U61" s="160"/>
      <c r="V61" s="185"/>
      <c r="W61" s="186"/>
      <c r="X61" s="186"/>
      <c r="Y61" s="186"/>
      <c r="Z61" s="186"/>
      <c r="AA61" s="186"/>
      <c r="AB61" s="186"/>
      <c r="AC61" s="189"/>
      <c r="AD61" s="189"/>
      <c r="AE61" s="189"/>
      <c r="AF61" s="189"/>
      <c r="AG61" s="189"/>
      <c r="AH61" s="189"/>
      <c r="AI61" s="189"/>
      <c r="AJ61" s="186"/>
      <c r="AK61" s="197"/>
      <c r="AL61" s="198"/>
      <c r="AM61" s="198"/>
      <c r="AN61" s="198"/>
      <c r="AO61" s="198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202"/>
      <c r="BF61" s="197"/>
      <c r="BG61" s="197"/>
      <c r="BH61" s="197"/>
      <c r="BI61" s="197"/>
      <c r="BJ61" s="197"/>
      <c r="BK61" s="197"/>
      <c r="BL61" s="197"/>
    </row>
    <row r="62" s="142" customFormat="1" ht="18" customHeight="1" spans="1:64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74"/>
      <c r="L62" s="175"/>
      <c r="M62" s="176"/>
      <c r="N62" s="177"/>
      <c r="O62" s="177"/>
      <c r="P62" s="177"/>
      <c r="Q62" s="177"/>
      <c r="R62" s="160"/>
      <c r="S62" s="160"/>
      <c r="T62" s="160"/>
      <c r="U62" s="160"/>
      <c r="V62" s="185"/>
      <c r="W62" s="186"/>
      <c r="X62" s="186"/>
      <c r="Y62" s="186"/>
      <c r="Z62" s="186"/>
      <c r="AA62" s="186"/>
      <c r="AB62" s="186"/>
      <c r="AC62" s="189"/>
      <c r="AD62" s="189"/>
      <c r="AE62" s="189"/>
      <c r="AF62" s="189"/>
      <c r="AG62" s="189"/>
      <c r="AH62" s="189"/>
      <c r="AI62" s="189"/>
      <c r="AJ62" s="186"/>
      <c r="AK62" s="197"/>
      <c r="AL62" s="198"/>
      <c r="AM62" s="198"/>
      <c r="AN62" s="198"/>
      <c r="AO62" s="198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202"/>
      <c r="BF62" s="197"/>
      <c r="BG62" s="197"/>
      <c r="BH62" s="197"/>
      <c r="BI62" s="197"/>
      <c r="BJ62" s="197"/>
      <c r="BK62" s="197"/>
      <c r="BL62" s="197"/>
    </row>
    <row r="63" s="142" customFormat="1" ht="18" customHeight="1" spans="1:64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74"/>
      <c r="L63" s="175"/>
      <c r="M63" s="176"/>
      <c r="N63" s="177"/>
      <c r="O63" s="177"/>
      <c r="P63" s="177"/>
      <c r="Q63" s="177"/>
      <c r="R63" s="160"/>
      <c r="S63" s="160"/>
      <c r="T63" s="160"/>
      <c r="U63" s="160"/>
      <c r="V63" s="185"/>
      <c r="W63" s="186"/>
      <c r="X63" s="186"/>
      <c r="Y63" s="186"/>
      <c r="Z63" s="186"/>
      <c r="AA63" s="186"/>
      <c r="AB63" s="186"/>
      <c r="AC63" s="189"/>
      <c r="AD63" s="189"/>
      <c r="AE63" s="189"/>
      <c r="AF63" s="189"/>
      <c r="AG63" s="189"/>
      <c r="AH63" s="189"/>
      <c r="AI63" s="189"/>
      <c r="AJ63" s="186"/>
      <c r="AK63" s="197"/>
      <c r="AL63" s="198"/>
      <c r="AM63" s="198"/>
      <c r="AN63" s="198"/>
      <c r="AO63" s="198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202"/>
      <c r="BF63" s="197"/>
      <c r="BG63" s="197"/>
      <c r="BH63" s="197"/>
      <c r="BI63" s="197"/>
      <c r="BJ63" s="197"/>
      <c r="BK63" s="197"/>
      <c r="BL63" s="197"/>
    </row>
    <row r="64" s="142" customFormat="1" ht="18" customHeight="1" spans="1:64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74"/>
      <c r="L64" s="175"/>
      <c r="M64" s="176"/>
      <c r="N64" s="177"/>
      <c r="O64" s="177"/>
      <c r="P64" s="177"/>
      <c r="Q64" s="177"/>
      <c r="R64" s="160"/>
      <c r="S64" s="160"/>
      <c r="T64" s="160"/>
      <c r="U64" s="160"/>
      <c r="V64" s="185"/>
      <c r="W64" s="186"/>
      <c r="X64" s="186"/>
      <c r="Y64" s="186"/>
      <c r="Z64" s="186"/>
      <c r="AA64" s="186"/>
      <c r="AB64" s="186"/>
      <c r="AC64" s="189"/>
      <c r="AD64" s="189"/>
      <c r="AE64" s="189"/>
      <c r="AF64" s="189"/>
      <c r="AG64" s="189"/>
      <c r="AH64" s="189"/>
      <c r="AI64" s="189"/>
      <c r="AJ64" s="186"/>
      <c r="AK64" s="197"/>
      <c r="AL64" s="198"/>
      <c r="AM64" s="198"/>
      <c r="AN64" s="198"/>
      <c r="AO64" s="198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202"/>
      <c r="BF64" s="197"/>
      <c r="BG64" s="197"/>
      <c r="BH64" s="197"/>
      <c r="BI64" s="197"/>
      <c r="BJ64" s="197"/>
      <c r="BK64" s="197"/>
      <c r="BL64" s="197"/>
    </row>
    <row r="65" s="142" customFormat="1" ht="18" customHeight="1" spans="1:64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74"/>
      <c r="L65" s="175"/>
      <c r="M65" s="176"/>
      <c r="N65" s="177"/>
      <c r="O65" s="177"/>
      <c r="P65" s="177"/>
      <c r="Q65" s="177"/>
      <c r="R65" s="160"/>
      <c r="S65" s="160"/>
      <c r="T65" s="160"/>
      <c r="U65" s="160"/>
      <c r="V65" s="185"/>
      <c r="W65" s="186"/>
      <c r="X65" s="186"/>
      <c r="Y65" s="186"/>
      <c r="Z65" s="186"/>
      <c r="AA65" s="186"/>
      <c r="AB65" s="186"/>
      <c r="AC65" s="189"/>
      <c r="AD65" s="189"/>
      <c r="AE65" s="189"/>
      <c r="AF65" s="189"/>
      <c r="AG65" s="189"/>
      <c r="AH65" s="189"/>
      <c r="AI65" s="189"/>
      <c r="AJ65" s="186"/>
      <c r="AK65" s="197"/>
      <c r="AL65" s="198"/>
      <c r="AM65" s="198"/>
      <c r="AN65" s="198"/>
      <c r="AO65" s="198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197"/>
      <c r="BC65" s="197"/>
      <c r="BD65" s="197"/>
      <c r="BE65" s="202"/>
      <c r="BF65" s="197"/>
      <c r="BG65" s="197"/>
      <c r="BH65" s="197"/>
      <c r="BI65" s="197"/>
      <c r="BJ65" s="197"/>
      <c r="BK65" s="197"/>
      <c r="BL65" s="197"/>
    </row>
    <row r="66" s="142" customFormat="1" ht="18" customHeight="1" spans="1:64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74"/>
      <c r="L66" s="175"/>
      <c r="M66" s="176"/>
      <c r="N66" s="177"/>
      <c r="O66" s="177"/>
      <c r="P66" s="177"/>
      <c r="Q66" s="177"/>
      <c r="R66" s="160"/>
      <c r="S66" s="160"/>
      <c r="T66" s="160"/>
      <c r="U66" s="160"/>
      <c r="V66" s="185"/>
      <c r="W66" s="186"/>
      <c r="X66" s="186"/>
      <c r="Y66" s="186"/>
      <c r="Z66" s="186"/>
      <c r="AA66" s="186"/>
      <c r="AB66" s="186"/>
      <c r="AC66" s="189"/>
      <c r="AD66" s="189"/>
      <c r="AE66" s="189"/>
      <c r="AF66" s="189"/>
      <c r="AG66" s="189"/>
      <c r="AH66" s="189"/>
      <c r="AI66" s="189"/>
      <c r="AJ66" s="186"/>
      <c r="AK66" s="197"/>
      <c r="AL66" s="198"/>
      <c r="AM66" s="198"/>
      <c r="AN66" s="198"/>
      <c r="AO66" s="198"/>
      <c r="AP66" s="197"/>
      <c r="AQ66" s="197"/>
      <c r="AR66" s="197"/>
      <c r="AS66" s="197"/>
      <c r="AT66" s="197"/>
      <c r="AU66" s="197"/>
      <c r="AV66" s="197"/>
      <c r="AW66" s="197"/>
      <c r="AX66" s="197"/>
      <c r="AY66" s="197"/>
      <c r="AZ66" s="197"/>
      <c r="BA66" s="197"/>
      <c r="BB66" s="197"/>
      <c r="BC66" s="197"/>
      <c r="BD66" s="197"/>
      <c r="BE66" s="202"/>
      <c r="BF66" s="197"/>
      <c r="BG66" s="197"/>
      <c r="BH66" s="197"/>
      <c r="BI66" s="197"/>
      <c r="BJ66" s="197"/>
      <c r="BK66" s="197"/>
      <c r="BL66" s="197"/>
    </row>
  </sheetData>
  <mergeCells count="7">
    <mergeCell ref="A2:G2"/>
    <mergeCell ref="H2:Q2"/>
    <mergeCell ref="R2:AJ2"/>
    <mergeCell ref="AK2:AX2"/>
    <mergeCell ref="AY2:BL2"/>
    <mergeCell ref="A4:D4"/>
    <mergeCell ref="A6:D6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topLeftCell="A10" workbookViewId="0">
      <selection activeCell="M16" sqref="M16:N16"/>
    </sheetView>
  </sheetViews>
  <sheetFormatPr defaultColWidth="9" defaultRowHeight="14.25"/>
  <cols>
    <col min="1" max="5" width="9" style="116"/>
    <col min="6" max="6" width="13.3583333333333" style="116" customWidth="1"/>
    <col min="7" max="7" width="9.625" style="116" customWidth="1"/>
    <col min="8" max="8" width="9" style="116"/>
    <col min="9" max="9" width="9.75" style="116" customWidth="1"/>
    <col min="10" max="10" width="13.25" style="116" customWidth="1"/>
    <col min="11" max="11" width="9.625" style="116" customWidth="1"/>
    <col min="12" max="13" width="9" style="116"/>
    <col min="14" max="14" width="12.275" style="116" customWidth="1"/>
    <col min="15" max="16384" width="9" style="116"/>
  </cols>
  <sheetData>
    <row r="1" s="116" customFormat="1" ht="33.75" spans="1:14">
      <c r="A1" s="117" t="s">
        <v>88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="116" customFormat="1" ht="18" customHeight="1" spans="1:14">
      <c r="A2" s="118" t="s">
        <v>89</v>
      </c>
      <c r="B2" s="118" t="s">
        <v>90</v>
      </c>
      <c r="C2" s="118" t="s">
        <v>91</v>
      </c>
      <c r="D2" s="118"/>
      <c r="E2" s="118" t="s">
        <v>92</v>
      </c>
      <c r="F2" s="118" t="s">
        <v>93</v>
      </c>
      <c r="G2" s="118" t="s">
        <v>94</v>
      </c>
      <c r="H2" s="118" t="s">
        <v>95</v>
      </c>
      <c r="I2" s="118" t="s">
        <v>96</v>
      </c>
      <c r="J2" s="131" t="s">
        <v>97</v>
      </c>
      <c r="K2" s="118" t="s">
        <v>98</v>
      </c>
      <c r="L2" s="131"/>
      <c r="M2" s="118" t="s">
        <v>99</v>
      </c>
      <c r="N2" s="118"/>
    </row>
    <row r="3" s="116" customFormat="1" ht="28.5" spans="1:14">
      <c r="A3" s="119" t="s">
        <v>100</v>
      </c>
      <c r="B3" s="120" t="s">
        <v>101</v>
      </c>
      <c r="C3" s="120"/>
      <c r="D3" s="120" t="s">
        <v>102</v>
      </c>
      <c r="E3" s="120"/>
      <c r="F3" s="120"/>
      <c r="G3" s="120"/>
      <c r="H3" s="120"/>
      <c r="I3" s="120" t="s">
        <v>103</v>
      </c>
      <c r="J3" s="120"/>
      <c r="K3" s="120" t="s">
        <v>104</v>
      </c>
      <c r="L3" s="132" t="s">
        <v>105</v>
      </c>
      <c r="M3" s="120" t="s">
        <v>106</v>
      </c>
      <c r="N3" s="133"/>
    </row>
    <row r="4" s="116" customFormat="1" ht="28.5" customHeight="1" spans="1:14">
      <c r="A4" s="121">
        <v>1</v>
      </c>
      <c r="B4" s="122" t="s">
        <v>107</v>
      </c>
      <c r="C4" s="123"/>
      <c r="D4" s="122" t="s">
        <v>108</v>
      </c>
      <c r="E4" s="124"/>
      <c r="F4" s="124"/>
      <c r="G4" s="124"/>
      <c r="H4" s="123"/>
      <c r="I4" s="134"/>
      <c r="J4" s="135"/>
      <c r="K4" s="136"/>
      <c r="L4" s="121"/>
      <c r="M4" s="137"/>
      <c r="N4" s="135"/>
    </row>
    <row r="5" s="116" customFormat="1" ht="28.5" customHeight="1" spans="1:14">
      <c r="A5" s="121">
        <v>2</v>
      </c>
      <c r="B5" s="122" t="s">
        <v>109</v>
      </c>
      <c r="C5" s="123"/>
      <c r="D5" s="122" t="s">
        <v>110</v>
      </c>
      <c r="E5" s="124"/>
      <c r="F5" s="124"/>
      <c r="G5" s="124"/>
      <c r="H5" s="123"/>
      <c r="I5" s="134"/>
      <c r="J5" s="135"/>
      <c r="K5" s="121"/>
      <c r="L5" s="121"/>
      <c r="M5" s="137"/>
      <c r="N5" s="135"/>
    </row>
    <row r="6" s="116" customFormat="1" ht="28.5" customHeight="1" spans="1:14">
      <c r="A6" s="121">
        <v>3</v>
      </c>
      <c r="B6" s="122" t="s">
        <v>111</v>
      </c>
      <c r="C6" s="123"/>
      <c r="D6" s="122" t="s">
        <v>112</v>
      </c>
      <c r="E6" s="124"/>
      <c r="F6" s="124"/>
      <c r="G6" s="124"/>
      <c r="H6" s="123"/>
      <c r="I6" s="134"/>
      <c r="J6" s="135"/>
      <c r="K6" s="121"/>
      <c r="L6" s="121"/>
      <c r="M6" s="137"/>
      <c r="N6" s="135"/>
    </row>
    <row r="7" s="116" customFormat="1" ht="28.5" customHeight="1" spans="1:14">
      <c r="A7" s="121">
        <v>4</v>
      </c>
      <c r="B7" s="122" t="s">
        <v>113</v>
      </c>
      <c r="C7" s="123"/>
      <c r="D7" s="122" t="s">
        <v>114</v>
      </c>
      <c r="E7" s="124"/>
      <c r="F7" s="124"/>
      <c r="G7" s="124"/>
      <c r="H7" s="123"/>
      <c r="I7" s="134"/>
      <c r="J7" s="135"/>
      <c r="K7" s="121"/>
      <c r="L7" s="121"/>
      <c r="M7" s="137"/>
      <c r="N7" s="135"/>
    </row>
    <row r="8" s="116" customFormat="1" ht="46" customHeight="1" spans="1:14">
      <c r="A8" s="121">
        <v>5</v>
      </c>
      <c r="B8" s="122" t="s">
        <v>115</v>
      </c>
      <c r="C8" s="123"/>
      <c r="D8" s="125" t="s">
        <v>116</v>
      </c>
      <c r="E8" s="124"/>
      <c r="F8" s="124"/>
      <c r="G8" s="124"/>
      <c r="H8" s="123"/>
      <c r="I8" s="134"/>
      <c r="J8" s="135"/>
      <c r="K8" s="121"/>
      <c r="L8" s="121"/>
      <c r="M8" s="137"/>
      <c r="N8" s="135"/>
    </row>
    <row r="9" s="116" customFormat="1" ht="28.5" customHeight="1" spans="1:14">
      <c r="A9" s="121">
        <v>6</v>
      </c>
      <c r="B9" s="122" t="s">
        <v>117</v>
      </c>
      <c r="C9" s="123"/>
      <c r="D9" s="122" t="s">
        <v>118</v>
      </c>
      <c r="E9" s="124"/>
      <c r="F9" s="124"/>
      <c r="G9" s="124"/>
      <c r="H9" s="123"/>
      <c r="I9" s="134"/>
      <c r="J9" s="135"/>
      <c r="K9" s="121"/>
      <c r="L9" s="121"/>
      <c r="M9" s="137"/>
      <c r="N9" s="135"/>
    </row>
    <row r="10" s="116" customFormat="1" ht="28.5" customHeight="1" spans="1:14">
      <c r="A10" s="121">
        <v>7</v>
      </c>
      <c r="B10" s="122" t="s">
        <v>119</v>
      </c>
      <c r="C10" s="123"/>
      <c r="D10" s="122" t="s">
        <v>120</v>
      </c>
      <c r="E10" s="124"/>
      <c r="F10" s="124"/>
      <c r="G10" s="124"/>
      <c r="H10" s="123"/>
      <c r="I10" s="134"/>
      <c r="J10" s="135"/>
      <c r="K10" s="121"/>
      <c r="L10" s="121"/>
      <c r="M10" s="137"/>
      <c r="N10" s="135"/>
    </row>
    <row r="11" s="116" customFormat="1" ht="28.5" customHeight="1" spans="1:14">
      <c r="A11" s="121">
        <v>8</v>
      </c>
      <c r="B11" s="122" t="s">
        <v>121</v>
      </c>
      <c r="C11" s="123"/>
      <c r="D11" s="122" t="s">
        <v>122</v>
      </c>
      <c r="E11" s="124"/>
      <c r="F11" s="124"/>
      <c r="G11" s="124"/>
      <c r="H11" s="123"/>
      <c r="I11" s="134"/>
      <c r="J11" s="135"/>
      <c r="K11" s="121"/>
      <c r="L11" s="121"/>
      <c r="M11" s="137"/>
      <c r="N11" s="135"/>
    </row>
    <row r="12" s="116" customFormat="1" ht="28.5" customHeight="1" spans="1:14">
      <c r="A12" s="121">
        <v>9</v>
      </c>
      <c r="B12" s="122" t="s">
        <v>123</v>
      </c>
      <c r="C12" s="123"/>
      <c r="D12" s="122" t="s">
        <v>124</v>
      </c>
      <c r="E12" s="124"/>
      <c r="F12" s="124"/>
      <c r="G12" s="124"/>
      <c r="H12" s="123"/>
      <c r="I12" s="134"/>
      <c r="J12" s="135"/>
      <c r="K12" s="121"/>
      <c r="L12" s="121"/>
      <c r="M12" s="137"/>
      <c r="N12" s="135"/>
    </row>
    <row r="13" s="116" customFormat="1" ht="28.5" customHeight="1" spans="1:14">
      <c r="A13" s="121">
        <v>10</v>
      </c>
      <c r="B13" s="122" t="s">
        <v>125</v>
      </c>
      <c r="C13" s="123"/>
      <c r="D13" s="122" t="s">
        <v>126</v>
      </c>
      <c r="E13" s="124"/>
      <c r="F13" s="124"/>
      <c r="G13" s="124"/>
      <c r="H13" s="123"/>
      <c r="I13" s="134"/>
      <c r="J13" s="135"/>
      <c r="K13" s="121"/>
      <c r="L13" s="121"/>
      <c r="M13" s="137"/>
      <c r="N13" s="135"/>
    </row>
    <row r="14" s="116" customFormat="1" ht="28.5" customHeight="1" spans="1:14">
      <c r="A14" s="121">
        <v>11</v>
      </c>
      <c r="B14" s="122" t="s">
        <v>127</v>
      </c>
      <c r="C14" s="123"/>
      <c r="D14" s="122" t="s">
        <v>128</v>
      </c>
      <c r="E14" s="124"/>
      <c r="F14" s="124"/>
      <c r="G14" s="124"/>
      <c r="H14" s="123"/>
      <c r="I14" s="134"/>
      <c r="J14" s="135"/>
      <c r="K14" s="121"/>
      <c r="L14" s="121"/>
      <c r="M14" s="137"/>
      <c r="N14" s="135"/>
    </row>
    <row r="15" s="116" customFormat="1" ht="28.5" customHeight="1" spans="1:14">
      <c r="A15" s="121">
        <v>12</v>
      </c>
      <c r="B15" s="122" t="s">
        <v>129</v>
      </c>
      <c r="C15" s="123"/>
      <c r="D15" s="122" t="s">
        <v>130</v>
      </c>
      <c r="E15" s="124"/>
      <c r="F15" s="124"/>
      <c r="G15" s="124"/>
      <c r="H15" s="123"/>
      <c r="I15" s="134"/>
      <c r="J15" s="135"/>
      <c r="K15" s="121"/>
      <c r="L15" s="121"/>
      <c r="M15" s="137"/>
      <c r="N15" s="135"/>
    </row>
    <row r="16" s="116" customFormat="1" ht="28.5" customHeight="1" spans="1:14">
      <c r="A16" s="121">
        <v>13</v>
      </c>
      <c r="B16" s="122" t="s">
        <v>131</v>
      </c>
      <c r="C16" s="123"/>
      <c r="D16" s="122" t="s">
        <v>132</v>
      </c>
      <c r="E16" s="124"/>
      <c r="F16" s="124"/>
      <c r="G16" s="124"/>
      <c r="H16" s="123"/>
      <c r="I16" s="134"/>
      <c r="J16" s="135"/>
      <c r="K16" s="121"/>
      <c r="L16" s="121"/>
      <c r="M16" s="137"/>
      <c r="N16" s="135"/>
    </row>
    <row r="17" s="116" customFormat="1" ht="28.5" customHeight="1" spans="1:14">
      <c r="A17" s="121">
        <v>14</v>
      </c>
      <c r="B17" s="122" t="s">
        <v>133</v>
      </c>
      <c r="C17" s="123"/>
      <c r="D17" s="122" t="s">
        <v>134</v>
      </c>
      <c r="E17" s="124"/>
      <c r="F17" s="124"/>
      <c r="G17" s="124"/>
      <c r="H17" s="123"/>
      <c r="I17" s="134"/>
      <c r="J17" s="135"/>
      <c r="K17" s="121"/>
      <c r="L17" s="121"/>
      <c r="M17" s="137"/>
      <c r="N17" s="135"/>
    </row>
    <row r="18" s="116" customFormat="1" ht="28.5" customHeight="1" spans="1:14">
      <c r="A18" s="121">
        <v>16</v>
      </c>
      <c r="B18" s="122" t="s">
        <v>135</v>
      </c>
      <c r="C18" s="123"/>
      <c r="D18" s="122" t="s">
        <v>136</v>
      </c>
      <c r="E18" s="124"/>
      <c r="F18" s="124"/>
      <c r="G18" s="124"/>
      <c r="H18" s="123"/>
      <c r="I18" s="134"/>
      <c r="J18" s="135"/>
      <c r="K18" s="121"/>
      <c r="L18" s="121"/>
      <c r="M18" s="137"/>
      <c r="N18" s="135"/>
    </row>
    <row r="19" s="116" customFormat="1" ht="28.5" customHeight="1" spans="1:14">
      <c r="A19" s="121">
        <v>17</v>
      </c>
      <c r="B19" s="122" t="s">
        <v>137</v>
      </c>
      <c r="C19" s="123"/>
      <c r="D19" s="122" t="s">
        <v>138</v>
      </c>
      <c r="E19" s="124"/>
      <c r="F19" s="124"/>
      <c r="G19" s="124"/>
      <c r="H19" s="123"/>
      <c r="I19" s="134"/>
      <c r="J19" s="135"/>
      <c r="K19" s="121"/>
      <c r="L19" s="121"/>
      <c r="M19" s="137"/>
      <c r="N19" s="135"/>
    </row>
    <row r="20" s="116" customFormat="1" ht="28.5" customHeight="1" spans="1:14">
      <c r="A20" s="121">
        <v>18</v>
      </c>
      <c r="B20" s="122" t="s">
        <v>139</v>
      </c>
      <c r="C20" s="123"/>
      <c r="D20" s="122" t="s">
        <v>140</v>
      </c>
      <c r="E20" s="124"/>
      <c r="F20" s="124"/>
      <c r="G20" s="124"/>
      <c r="H20" s="123"/>
      <c r="I20" s="134"/>
      <c r="J20" s="135"/>
      <c r="K20" s="121"/>
      <c r="L20" s="121"/>
      <c r="M20" s="137"/>
      <c r="N20" s="135"/>
    </row>
    <row r="21" s="116" customFormat="1" ht="28.5" customHeight="1" spans="1:14">
      <c r="A21" s="121">
        <v>19</v>
      </c>
      <c r="B21" s="122" t="s">
        <v>141</v>
      </c>
      <c r="C21" s="123"/>
      <c r="D21" s="122" t="s">
        <v>142</v>
      </c>
      <c r="E21" s="124"/>
      <c r="F21" s="124"/>
      <c r="G21" s="124"/>
      <c r="H21" s="123"/>
      <c r="I21" s="134"/>
      <c r="J21" s="135"/>
      <c r="K21" s="121"/>
      <c r="L21" s="121"/>
      <c r="M21" s="137"/>
      <c r="N21" s="135"/>
    </row>
    <row r="22" s="116" customFormat="1" ht="28.5" customHeight="1" spans="1:14">
      <c r="A22" s="121">
        <v>20</v>
      </c>
      <c r="B22" s="122" t="s">
        <v>143</v>
      </c>
      <c r="C22" s="123"/>
      <c r="D22" s="126" t="s">
        <v>144</v>
      </c>
      <c r="E22" s="124"/>
      <c r="F22" s="124"/>
      <c r="G22" s="124"/>
      <c r="H22" s="123"/>
      <c r="I22" s="134"/>
      <c r="J22" s="135"/>
      <c r="K22" s="121"/>
      <c r="L22" s="121"/>
      <c r="M22" s="137"/>
      <c r="N22" s="135"/>
    </row>
    <row r="23" s="116" customFormat="1" ht="27.75" customHeight="1" spans="1:14">
      <c r="A23" s="121">
        <v>21</v>
      </c>
      <c r="B23" s="127" t="s">
        <v>145</v>
      </c>
      <c r="C23" s="127"/>
      <c r="D23" s="128" t="s">
        <v>146</v>
      </c>
      <c r="E23" s="129"/>
      <c r="F23" s="129"/>
      <c r="G23" s="129"/>
      <c r="H23" s="130"/>
      <c r="I23" s="134"/>
      <c r="J23" s="135"/>
      <c r="K23" s="138"/>
      <c r="L23" s="138"/>
      <c r="M23" s="137"/>
      <c r="N23" s="135"/>
    </row>
  </sheetData>
  <mergeCells count="85">
    <mergeCell ref="A1:N1"/>
    <mergeCell ref="B3:C3"/>
    <mergeCell ref="D3:H3"/>
    <mergeCell ref="I3:J3"/>
    <mergeCell ref="M3:N3"/>
    <mergeCell ref="B4:C4"/>
    <mergeCell ref="D4:H4"/>
    <mergeCell ref="I4:J4"/>
    <mergeCell ref="M4:N4"/>
    <mergeCell ref="B5:C5"/>
    <mergeCell ref="D5:H5"/>
    <mergeCell ref="I5:J5"/>
    <mergeCell ref="M5:N5"/>
    <mergeCell ref="B6:C6"/>
    <mergeCell ref="D6:H6"/>
    <mergeCell ref="I6:J6"/>
    <mergeCell ref="M6:N6"/>
    <mergeCell ref="B7:C7"/>
    <mergeCell ref="D7:H7"/>
    <mergeCell ref="I7:J7"/>
    <mergeCell ref="M7:N7"/>
    <mergeCell ref="B8:C8"/>
    <mergeCell ref="D8:H8"/>
    <mergeCell ref="I8:J8"/>
    <mergeCell ref="M8:N8"/>
    <mergeCell ref="B9:C9"/>
    <mergeCell ref="D9:H9"/>
    <mergeCell ref="I9:J9"/>
    <mergeCell ref="M9:N9"/>
    <mergeCell ref="B10:C10"/>
    <mergeCell ref="D10:H10"/>
    <mergeCell ref="I10:J10"/>
    <mergeCell ref="M10:N10"/>
    <mergeCell ref="B11:C11"/>
    <mergeCell ref="D11:H11"/>
    <mergeCell ref="I11:J11"/>
    <mergeCell ref="M11:N11"/>
    <mergeCell ref="B12:C12"/>
    <mergeCell ref="D12:H12"/>
    <mergeCell ref="I12:J12"/>
    <mergeCell ref="M12:N12"/>
    <mergeCell ref="B13:C13"/>
    <mergeCell ref="D13:H13"/>
    <mergeCell ref="I13:J13"/>
    <mergeCell ref="M13:N13"/>
    <mergeCell ref="B14:C14"/>
    <mergeCell ref="D14:H14"/>
    <mergeCell ref="I14:J14"/>
    <mergeCell ref="M14:N14"/>
    <mergeCell ref="B15:C15"/>
    <mergeCell ref="D15:H15"/>
    <mergeCell ref="I15:J15"/>
    <mergeCell ref="M15:N15"/>
    <mergeCell ref="B16:C16"/>
    <mergeCell ref="D16:H16"/>
    <mergeCell ref="I16:J16"/>
    <mergeCell ref="M16:N16"/>
    <mergeCell ref="B17:C17"/>
    <mergeCell ref="D17:H17"/>
    <mergeCell ref="I17:J17"/>
    <mergeCell ref="M17:N17"/>
    <mergeCell ref="B18:C18"/>
    <mergeCell ref="D18:H18"/>
    <mergeCell ref="I18:J18"/>
    <mergeCell ref="M18:N18"/>
    <mergeCell ref="B19:C19"/>
    <mergeCell ref="D19:H19"/>
    <mergeCell ref="I19:J19"/>
    <mergeCell ref="M19:N19"/>
    <mergeCell ref="B20:C20"/>
    <mergeCell ref="D20:H20"/>
    <mergeCell ref="I20:J20"/>
    <mergeCell ref="M20:N20"/>
    <mergeCell ref="B21:C21"/>
    <mergeCell ref="D21:H21"/>
    <mergeCell ref="I21:J21"/>
    <mergeCell ref="M21:N21"/>
    <mergeCell ref="B22:C22"/>
    <mergeCell ref="D22:H22"/>
    <mergeCell ref="I22:J22"/>
    <mergeCell ref="M22:N22"/>
    <mergeCell ref="B23:C23"/>
    <mergeCell ref="D23:H23"/>
    <mergeCell ref="I23:J23"/>
    <mergeCell ref="M23:N2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7"/>
  <sheetViews>
    <sheetView zoomScale="145" zoomScaleNormal="145" topLeftCell="A24" workbookViewId="0">
      <selection activeCell="E7" sqref="E7"/>
    </sheetView>
  </sheetViews>
  <sheetFormatPr defaultColWidth="6.6" defaultRowHeight="14" customHeight="1"/>
  <cols>
    <col min="1" max="1" width="3.06666666666667" style="60" customWidth="1"/>
    <col min="2" max="2" width="3.86666666666667" style="63" customWidth="1"/>
    <col min="3" max="3" width="22.125" style="60" customWidth="1"/>
    <col min="4" max="4" width="7.06666666666667" style="60" customWidth="1"/>
    <col min="5" max="5" width="9.48333333333333" style="60"/>
    <col min="6" max="6" width="8.875" style="60"/>
    <col min="7" max="7" width="8.125" style="60"/>
    <col min="8" max="9" width="9.48333333333333" style="60"/>
    <col min="10" max="10" width="9.91666666666667" style="60" customWidth="1"/>
    <col min="11" max="11" width="8.18333333333333" style="60"/>
    <col min="12" max="12" width="7.375" style="60"/>
    <col min="13" max="13" width="8.125" style="60"/>
    <col min="14" max="14" width="12.35" style="60" customWidth="1"/>
    <col min="15" max="15" width="9.625" style="60"/>
    <col min="16" max="16" width="6.625" style="60"/>
    <col min="17" max="16384" width="6.6" style="60"/>
  </cols>
  <sheetData>
    <row r="1" s="60" customFormat="1" ht="23.25" customHeight="1" spans="1:26">
      <c r="A1" s="64" t="s">
        <v>147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="61" customFormat="1" ht="27" customHeight="1" spans="2:42">
      <c r="B2" s="65" t="s">
        <v>33</v>
      </c>
      <c r="C2" s="66" t="s">
        <v>83</v>
      </c>
      <c r="D2" s="66" t="s">
        <v>38</v>
      </c>
      <c r="E2" s="66" t="s">
        <v>148</v>
      </c>
      <c r="F2" s="66"/>
      <c r="G2" s="66"/>
      <c r="H2" s="66"/>
      <c r="I2" s="66"/>
      <c r="J2" s="66" t="s">
        <v>149</v>
      </c>
      <c r="K2" s="88" t="s">
        <v>84</v>
      </c>
      <c r="L2" s="88"/>
      <c r="M2" s="89" t="s">
        <v>36</v>
      </c>
      <c r="N2" s="65">
        <v>1</v>
      </c>
      <c r="O2" s="90"/>
      <c r="P2" s="90"/>
      <c r="Q2" s="90"/>
      <c r="R2" s="90"/>
      <c r="S2" s="90"/>
      <c r="T2" s="89"/>
      <c r="U2" s="100"/>
      <c r="V2" s="101"/>
      <c r="W2" s="102"/>
      <c r="X2" s="103"/>
      <c r="Y2" s="89"/>
      <c r="Z2" s="107"/>
      <c r="AA2" s="90"/>
      <c r="AB2" s="65"/>
      <c r="AC2" s="65"/>
      <c r="AD2" s="107"/>
      <c r="AE2" s="65"/>
      <c r="AF2" s="65"/>
      <c r="AG2" s="65"/>
      <c r="AH2" s="103"/>
      <c r="AI2" s="111"/>
      <c r="AJ2" s="111"/>
      <c r="AK2" s="111"/>
      <c r="AL2" s="111"/>
      <c r="AM2" s="112"/>
      <c r="AN2" s="112"/>
      <c r="AO2" s="112"/>
      <c r="AP2" s="111"/>
    </row>
    <row r="3" s="61" customFormat="1" ht="16.9" customHeight="1" spans="1:42">
      <c r="A3" s="67" t="s">
        <v>150</v>
      </c>
      <c r="B3" s="68"/>
      <c r="C3" s="68"/>
      <c r="D3" s="69" t="s">
        <v>151</v>
      </c>
      <c r="E3" s="69" t="s">
        <v>152</v>
      </c>
      <c r="F3" s="69"/>
      <c r="G3" s="69"/>
      <c r="H3" s="69"/>
      <c r="I3" s="69"/>
      <c r="J3" s="69"/>
      <c r="K3" s="69"/>
      <c r="L3" s="69"/>
      <c r="M3" s="69"/>
      <c r="N3" s="69"/>
      <c r="O3" s="69" t="s">
        <v>153</v>
      </c>
      <c r="P3" s="69"/>
      <c r="Q3" s="69"/>
      <c r="R3" s="69"/>
      <c r="S3" s="69"/>
      <c r="T3" s="69"/>
      <c r="U3" s="69"/>
      <c r="V3" s="69"/>
      <c r="W3" s="69"/>
      <c r="X3" s="69"/>
      <c r="Y3" s="82" t="s">
        <v>154</v>
      </c>
      <c r="Z3" s="81" t="s">
        <v>155</v>
      </c>
      <c r="AA3" s="90"/>
      <c r="AB3" s="65"/>
      <c r="AC3" s="65"/>
      <c r="AD3" s="107"/>
      <c r="AE3" s="65"/>
      <c r="AF3" s="65"/>
      <c r="AG3" s="65"/>
      <c r="AH3" s="103"/>
      <c r="AI3" s="111"/>
      <c r="AJ3" s="111"/>
      <c r="AK3" s="111"/>
      <c r="AL3" s="111"/>
      <c r="AM3" s="112"/>
      <c r="AN3" s="112"/>
      <c r="AO3" s="112"/>
      <c r="AP3" s="111"/>
    </row>
    <row r="4" s="62" customFormat="1" ht="13.5" customHeight="1" spans="1:42">
      <c r="A4" s="68"/>
      <c r="B4" s="68"/>
      <c r="C4" s="68"/>
      <c r="D4" s="70" t="s">
        <v>156</v>
      </c>
      <c r="E4" s="70"/>
      <c r="F4" s="70"/>
      <c r="G4" s="70"/>
      <c r="H4" s="70"/>
      <c r="I4" s="70"/>
      <c r="J4" s="70"/>
      <c r="K4" s="91"/>
      <c r="L4" s="92"/>
      <c r="M4" s="82"/>
      <c r="N4" s="85"/>
      <c r="O4" s="84"/>
      <c r="P4" s="85"/>
      <c r="Q4" s="85"/>
      <c r="R4" s="85"/>
      <c r="S4" s="85"/>
      <c r="T4" s="82"/>
      <c r="U4" s="104"/>
      <c r="V4" s="105"/>
      <c r="W4" s="106"/>
      <c r="X4" s="81"/>
      <c r="Y4" s="82"/>
      <c r="Z4" s="81"/>
      <c r="AA4" s="108"/>
      <c r="AB4" s="109"/>
      <c r="AC4" s="109"/>
      <c r="AD4" s="110"/>
      <c r="AE4" s="109"/>
      <c r="AF4" s="109"/>
      <c r="AG4" s="109"/>
      <c r="AH4" s="113"/>
      <c r="AI4" s="114"/>
      <c r="AJ4" s="114"/>
      <c r="AK4" s="114"/>
      <c r="AL4" s="114"/>
      <c r="AM4" s="115"/>
      <c r="AN4" s="115"/>
      <c r="AO4" s="115"/>
      <c r="AP4" s="114"/>
    </row>
    <row r="5" s="62" customFormat="1" customHeight="1" spans="1:42">
      <c r="A5" s="71" t="s">
        <v>157</v>
      </c>
      <c r="B5" s="72" t="s">
        <v>158</v>
      </c>
      <c r="C5" s="70" t="s">
        <v>159</v>
      </c>
      <c r="D5" s="70" t="s">
        <v>160</v>
      </c>
      <c r="E5" s="70" t="s">
        <v>161</v>
      </c>
      <c r="F5" s="70" t="s">
        <v>162</v>
      </c>
      <c r="G5" s="70" t="s">
        <v>163</v>
      </c>
      <c r="H5" s="70" t="s">
        <v>164</v>
      </c>
      <c r="I5" s="70" t="s">
        <v>165</v>
      </c>
      <c r="J5" s="70" t="s">
        <v>166</v>
      </c>
      <c r="K5" s="70" t="s">
        <v>167</v>
      </c>
      <c r="L5" s="70" t="s">
        <v>168</v>
      </c>
      <c r="M5" s="70" t="s">
        <v>169</v>
      </c>
      <c r="N5" s="70" t="s">
        <v>170</v>
      </c>
      <c r="O5" s="70" t="s">
        <v>161</v>
      </c>
      <c r="P5" s="70" t="s">
        <v>162</v>
      </c>
      <c r="Q5" s="70" t="s">
        <v>163</v>
      </c>
      <c r="R5" s="70" t="s">
        <v>164</v>
      </c>
      <c r="S5" s="70" t="s">
        <v>165</v>
      </c>
      <c r="T5" s="70" t="s">
        <v>166</v>
      </c>
      <c r="U5" s="70" t="s">
        <v>167</v>
      </c>
      <c r="V5" s="70" t="s">
        <v>168</v>
      </c>
      <c r="W5" s="70" t="s">
        <v>169</v>
      </c>
      <c r="X5" s="70" t="s">
        <v>170</v>
      </c>
      <c r="Y5" s="82"/>
      <c r="Z5" s="81"/>
      <c r="AA5" s="108"/>
      <c r="AB5" s="109"/>
      <c r="AC5" s="109"/>
      <c r="AD5" s="110"/>
      <c r="AE5" s="109"/>
      <c r="AF5" s="109"/>
      <c r="AG5" s="109"/>
      <c r="AH5" s="113"/>
      <c r="AI5" s="114"/>
      <c r="AJ5" s="114"/>
      <c r="AK5" s="114"/>
      <c r="AL5" s="114"/>
      <c r="AM5" s="115"/>
      <c r="AN5" s="115"/>
      <c r="AO5" s="115"/>
      <c r="AP5" s="114"/>
    </row>
    <row r="6" s="62" customFormat="1" customHeight="1" spans="1:42">
      <c r="A6" s="73">
        <v>3</v>
      </c>
      <c r="B6" s="72" t="s">
        <v>171</v>
      </c>
      <c r="C6" s="72" t="s">
        <v>148</v>
      </c>
      <c r="D6" s="70" t="s">
        <v>172</v>
      </c>
      <c r="E6" s="70">
        <v>23.99</v>
      </c>
      <c r="F6" s="70">
        <v>23.99</v>
      </c>
      <c r="G6" s="70">
        <v>23.99</v>
      </c>
      <c r="H6" s="70">
        <v>17.99</v>
      </c>
      <c r="I6" s="70">
        <v>17.99</v>
      </c>
      <c r="J6" s="70">
        <v>18.99</v>
      </c>
      <c r="K6" s="70">
        <v>18.99</v>
      </c>
      <c r="L6" s="70">
        <v>19.99</v>
      </c>
      <c r="M6" s="70">
        <v>19.99</v>
      </c>
      <c r="N6" s="85"/>
      <c r="O6" s="84"/>
      <c r="P6" s="85"/>
      <c r="Q6" s="85"/>
      <c r="R6" s="85"/>
      <c r="S6" s="85"/>
      <c r="T6" s="82"/>
      <c r="U6" s="104"/>
      <c r="V6" s="105"/>
      <c r="W6" s="106"/>
      <c r="X6" s="81"/>
      <c r="Y6" s="82"/>
      <c r="Z6" s="84"/>
      <c r="AA6" s="108"/>
      <c r="AB6" s="109"/>
      <c r="AC6" s="109"/>
      <c r="AD6" s="110"/>
      <c r="AE6" s="109"/>
      <c r="AF6" s="109"/>
      <c r="AG6" s="109"/>
      <c r="AH6" s="113"/>
      <c r="AI6" s="114"/>
      <c r="AJ6" s="114"/>
      <c r="AK6" s="114"/>
      <c r="AL6" s="114"/>
      <c r="AM6" s="115"/>
      <c r="AN6" s="115"/>
      <c r="AO6" s="115"/>
      <c r="AP6" s="114"/>
    </row>
    <row r="7" s="62" customFormat="1" customHeight="1" spans="1:42">
      <c r="A7" s="73">
        <v>4</v>
      </c>
      <c r="B7" s="72"/>
      <c r="C7" s="70" t="s">
        <v>44</v>
      </c>
      <c r="D7" s="70" t="s">
        <v>173</v>
      </c>
      <c r="E7" s="74">
        <v>0.382</v>
      </c>
      <c r="F7" s="74">
        <v>0.382</v>
      </c>
      <c r="G7" s="74">
        <v>0.2</v>
      </c>
      <c r="H7" s="74">
        <v>0.25</v>
      </c>
      <c r="I7" s="74">
        <v>0.25</v>
      </c>
      <c r="J7" s="74">
        <v>0.25</v>
      </c>
      <c r="K7" s="74">
        <v>0.25</v>
      </c>
      <c r="L7" s="74">
        <v>0.25</v>
      </c>
      <c r="M7" s="74">
        <v>0.25</v>
      </c>
      <c r="N7" s="85"/>
      <c r="O7" s="84"/>
      <c r="P7" s="85"/>
      <c r="Q7" s="85"/>
      <c r="R7" s="85"/>
      <c r="S7" s="85"/>
      <c r="T7" s="82"/>
      <c r="U7" s="104"/>
      <c r="V7" s="105"/>
      <c r="W7" s="106"/>
      <c r="X7" s="81"/>
      <c r="Y7" s="82"/>
      <c r="Z7" s="84"/>
      <c r="AA7" s="108"/>
      <c r="AB7" s="109"/>
      <c r="AC7" s="109"/>
      <c r="AD7" s="110"/>
      <c r="AE7" s="109"/>
      <c r="AF7" s="109"/>
      <c r="AG7" s="109"/>
      <c r="AH7" s="113"/>
      <c r="AI7" s="114"/>
      <c r="AJ7" s="114"/>
      <c r="AK7" s="114"/>
      <c r="AL7" s="114"/>
      <c r="AM7" s="115"/>
      <c r="AN7" s="115"/>
      <c r="AO7" s="115"/>
      <c r="AP7" s="114"/>
    </row>
    <row r="8" s="62" customFormat="1" customHeight="1" spans="1:42">
      <c r="A8" s="73">
        <v>5</v>
      </c>
      <c r="B8" s="72"/>
      <c r="C8" s="70" t="s">
        <v>61</v>
      </c>
      <c r="D8" s="70" t="s">
        <v>173</v>
      </c>
      <c r="E8" s="74">
        <f>SUM(E32:E38)/E15</f>
        <v>0.77255999523611</v>
      </c>
      <c r="F8" s="74">
        <f t="shared" ref="E8:M8" si="0">SUM(F32:F38)/F15</f>
        <v>0.463375045724834</v>
      </c>
      <c r="G8" s="74">
        <f t="shared" si="0"/>
        <v>0.325072947061276</v>
      </c>
      <c r="H8" s="74">
        <f t="shared" si="0"/>
        <v>0.425814605998041</v>
      </c>
      <c r="I8" s="74">
        <f t="shared" si="0"/>
        <v>0.268823949813388</v>
      </c>
      <c r="J8" s="74">
        <f t="shared" si="0"/>
        <v>0.1</v>
      </c>
      <c r="K8" s="74">
        <f t="shared" si="0"/>
        <v>0.120300480381726</v>
      </c>
      <c r="L8" s="74">
        <f t="shared" si="0"/>
        <v>0.08</v>
      </c>
      <c r="M8" s="74">
        <f t="shared" si="0"/>
        <v>0.08</v>
      </c>
      <c r="N8" s="85"/>
      <c r="O8" s="84"/>
      <c r="P8" s="85"/>
      <c r="Q8" s="85"/>
      <c r="R8" s="85"/>
      <c r="S8" s="85"/>
      <c r="T8" s="82"/>
      <c r="U8" s="104"/>
      <c r="V8" s="105"/>
      <c r="W8" s="106"/>
      <c r="X8" s="81"/>
      <c r="Y8" s="82"/>
      <c r="Z8" s="84"/>
      <c r="AA8" s="108"/>
      <c r="AB8" s="109"/>
      <c r="AC8" s="109"/>
      <c r="AD8" s="110"/>
      <c r="AE8" s="109"/>
      <c r="AF8" s="109"/>
      <c r="AG8" s="109"/>
      <c r="AH8" s="113"/>
      <c r="AI8" s="114"/>
      <c r="AJ8" s="114"/>
      <c r="AK8" s="114"/>
      <c r="AL8" s="114"/>
      <c r="AM8" s="115"/>
      <c r="AN8" s="115"/>
      <c r="AO8" s="115"/>
      <c r="AP8" s="114"/>
    </row>
    <row r="9" s="62" customFormat="1" customHeight="1" spans="1:42">
      <c r="A9" s="73">
        <v>6</v>
      </c>
      <c r="B9" s="72"/>
      <c r="C9" s="70" t="s">
        <v>62</v>
      </c>
      <c r="D9" s="70" t="s">
        <v>173</v>
      </c>
      <c r="E9" s="74">
        <v>0.2</v>
      </c>
      <c r="F9" s="74">
        <v>0.2</v>
      </c>
      <c r="G9" s="74">
        <v>0.15</v>
      </c>
      <c r="H9" s="74">
        <v>0.15</v>
      </c>
      <c r="I9" s="74">
        <v>0.1</v>
      </c>
      <c r="J9" s="74">
        <v>0.1</v>
      </c>
      <c r="K9" s="74">
        <v>0.08</v>
      </c>
      <c r="L9" s="74">
        <v>0.08</v>
      </c>
      <c r="M9" s="74">
        <v>0.08</v>
      </c>
      <c r="N9" s="85"/>
      <c r="O9" s="84"/>
      <c r="P9" s="85"/>
      <c r="Q9" s="85"/>
      <c r="R9" s="85"/>
      <c r="S9" s="85"/>
      <c r="T9" s="82"/>
      <c r="U9" s="104"/>
      <c r="V9" s="105"/>
      <c r="W9" s="106"/>
      <c r="X9" s="81"/>
      <c r="Y9" s="82"/>
      <c r="Z9" s="84"/>
      <c r="AA9" s="108"/>
      <c r="AB9" s="109"/>
      <c r="AC9" s="109"/>
      <c r="AD9" s="110"/>
      <c r="AE9" s="109"/>
      <c r="AF9" s="109"/>
      <c r="AG9" s="109"/>
      <c r="AH9" s="113"/>
      <c r="AI9" s="114"/>
      <c r="AJ9" s="114"/>
      <c r="AK9" s="114"/>
      <c r="AL9" s="114"/>
      <c r="AM9" s="115"/>
      <c r="AN9" s="115"/>
      <c r="AO9" s="115"/>
      <c r="AP9" s="114"/>
    </row>
    <row r="10" s="62" customFormat="1" customHeight="1" spans="1:42">
      <c r="A10" s="73">
        <v>7</v>
      </c>
      <c r="B10" s="72"/>
      <c r="C10" s="70" t="s">
        <v>174</v>
      </c>
      <c r="D10" s="70" t="s">
        <v>173</v>
      </c>
      <c r="E10" s="74">
        <v>0.05</v>
      </c>
      <c r="F10" s="74">
        <v>0.05</v>
      </c>
      <c r="G10" s="74">
        <v>0.05</v>
      </c>
      <c r="H10" s="75">
        <v>0.05</v>
      </c>
      <c r="I10" s="75">
        <v>0.05</v>
      </c>
      <c r="J10" s="75">
        <v>0</v>
      </c>
      <c r="K10" s="75">
        <v>0</v>
      </c>
      <c r="L10" s="75">
        <v>0</v>
      </c>
      <c r="M10" s="75">
        <v>0</v>
      </c>
      <c r="N10" s="85"/>
      <c r="O10" s="84"/>
      <c r="P10" s="85"/>
      <c r="Q10" s="85"/>
      <c r="R10" s="85"/>
      <c r="S10" s="85"/>
      <c r="T10" s="82"/>
      <c r="U10" s="104"/>
      <c r="V10" s="105"/>
      <c r="W10" s="106"/>
      <c r="X10" s="81"/>
      <c r="Y10" s="82"/>
      <c r="Z10" s="84"/>
      <c r="AA10" s="108"/>
      <c r="AB10" s="109"/>
      <c r="AC10" s="109"/>
      <c r="AD10" s="110"/>
      <c r="AE10" s="109"/>
      <c r="AF10" s="109"/>
      <c r="AG10" s="109"/>
      <c r="AH10" s="113"/>
      <c r="AI10" s="114"/>
      <c r="AJ10" s="114"/>
      <c r="AK10" s="114"/>
      <c r="AL10" s="114"/>
      <c r="AM10" s="115"/>
      <c r="AN10" s="115"/>
      <c r="AO10" s="115"/>
      <c r="AP10" s="114"/>
    </row>
    <row r="11" s="62" customFormat="1" customHeight="1" spans="1:42">
      <c r="A11" s="73">
        <v>8</v>
      </c>
      <c r="B11" s="72"/>
      <c r="C11" s="70" t="s">
        <v>175</v>
      </c>
      <c r="D11" s="70" t="s">
        <v>173</v>
      </c>
      <c r="E11" s="74">
        <f>E16/E15</f>
        <v>0.82255999523611</v>
      </c>
      <c r="F11" s="74">
        <f t="shared" ref="E11:M11" si="1">F16/F15</f>
        <v>0.513375045724834</v>
      </c>
      <c r="G11" s="74">
        <f t="shared" si="1"/>
        <v>0.375072947061276</v>
      </c>
      <c r="H11" s="74">
        <f t="shared" si="1"/>
        <v>0.475814605998041</v>
      </c>
      <c r="I11" s="74">
        <f t="shared" si="1"/>
        <v>0.318823949813388</v>
      </c>
      <c r="J11" s="74">
        <f t="shared" si="1"/>
        <v>0.1</v>
      </c>
      <c r="K11" s="74">
        <f t="shared" si="1"/>
        <v>0.120300480381726</v>
      </c>
      <c r="L11" s="74">
        <f t="shared" si="1"/>
        <v>0.08</v>
      </c>
      <c r="M11" s="74">
        <f t="shared" si="1"/>
        <v>0.08</v>
      </c>
      <c r="N11" s="85"/>
      <c r="O11" s="84"/>
      <c r="P11" s="85"/>
      <c r="Q11" s="85"/>
      <c r="R11" s="85"/>
      <c r="S11" s="85"/>
      <c r="T11" s="82"/>
      <c r="U11" s="104"/>
      <c r="V11" s="105"/>
      <c r="W11" s="106"/>
      <c r="X11" s="81"/>
      <c r="Y11" s="82"/>
      <c r="Z11" s="84"/>
      <c r="AA11" s="108"/>
      <c r="AB11" s="109"/>
      <c r="AC11" s="109"/>
      <c r="AD11" s="110"/>
      <c r="AE11" s="109"/>
      <c r="AF11" s="109"/>
      <c r="AG11" s="109"/>
      <c r="AH11" s="113"/>
      <c r="AI11" s="114"/>
      <c r="AJ11" s="114"/>
      <c r="AK11" s="114"/>
      <c r="AL11" s="114"/>
      <c r="AM11" s="115"/>
      <c r="AN11" s="115"/>
      <c r="AO11" s="115"/>
      <c r="AP11" s="114"/>
    </row>
    <row r="12" s="62" customFormat="1" ht="33" customHeight="1" spans="1:42">
      <c r="A12" s="73">
        <v>9</v>
      </c>
      <c r="B12" s="72" t="s">
        <v>176</v>
      </c>
      <c r="C12" s="70" t="s">
        <v>177</v>
      </c>
      <c r="D12" s="70" t="s">
        <v>178</v>
      </c>
      <c r="E12" s="76"/>
      <c r="F12" s="77"/>
      <c r="G12" s="72" t="s">
        <v>179</v>
      </c>
      <c r="I12" s="77"/>
      <c r="J12" s="77"/>
      <c r="K12" s="93"/>
      <c r="L12" s="94"/>
      <c r="M12" s="95"/>
      <c r="N12" s="96"/>
      <c r="O12" s="97"/>
      <c r="P12" s="96"/>
      <c r="Q12" s="96"/>
      <c r="R12" s="85"/>
      <c r="S12" s="85"/>
      <c r="T12" s="82"/>
      <c r="U12" s="104"/>
      <c r="V12" s="105"/>
      <c r="W12" s="106"/>
      <c r="X12" s="81"/>
      <c r="Y12" s="82"/>
      <c r="Z12" s="84"/>
      <c r="AA12" s="108"/>
      <c r="AB12" s="109"/>
      <c r="AC12" s="109"/>
      <c r="AD12" s="110"/>
      <c r="AE12" s="109"/>
      <c r="AF12" s="109"/>
      <c r="AG12" s="109"/>
      <c r="AH12" s="113"/>
      <c r="AI12" s="114"/>
      <c r="AJ12" s="114"/>
      <c r="AK12" s="114"/>
      <c r="AL12" s="114"/>
      <c r="AM12" s="115"/>
      <c r="AN12" s="115"/>
      <c r="AO12" s="115"/>
      <c r="AP12" s="114"/>
    </row>
    <row r="13" s="62" customFormat="1" customHeight="1" spans="1:42">
      <c r="A13" s="73">
        <v>10</v>
      </c>
      <c r="B13" s="72"/>
      <c r="C13" s="70" t="s">
        <v>180</v>
      </c>
      <c r="D13" s="70" t="s">
        <v>178</v>
      </c>
      <c r="E13" s="70">
        <v>4</v>
      </c>
      <c r="F13" s="70">
        <v>7</v>
      </c>
      <c r="G13" s="70">
        <v>9</v>
      </c>
      <c r="H13" s="70">
        <v>9</v>
      </c>
      <c r="I13" s="70">
        <v>10</v>
      </c>
      <c r="J13" s="70">
        <v>15</v>
      </c>
      <c r="K13" s="70">
        <v>28</v>
      </c>
      <c r="L13" s="70">
        <v>35</v>
      </c>
      <c r="M13" s="70">
        <v>46</v>
      </c>
      <c r="N13" s="85"/>
      <c r="O13" s="84"/>
      <c r="P13" s="85"/>
      <c r="Q13" s="85"/>
      <c r="R13" s="85"/>
      <c r="S13" s="85"/>
      <c r="T13" s="82"/>
      <c r="U13" s="104"/>
      <c r="V13" s="105"/>
      <c r="W13" s="106"/>
      <c r="X13" s="81"/>
      <c r="Y13" s="82"/>
      <c r="Z13" s="84"/>
      <c r="AA13" s="108"/>
      <c r="AB13" s="109"/>
      <c r="AC13" s="109"/>
      <c r="AD13" s="110"/>
      <c r="AE13" s="109"/>
      <c r="AF13" s="109"/>
      <c r="AG13" s="109"/>
      <c r="AH13" s="113"/>
      <c r="AI13" s="114"/>
      <c r="AJ13" s="114"/>
      <c r="AK13" s="114"/>
      <c r="AL13" s="114"/>
      <c r="AM13" s="115"/>
      <c r="AN13" s="115"/>
      <c r="AO13" s="115"/>
      <c r="AP13" s="114"/>
    </row>
    <row r="14" s="62" customFormat="1" customHeight="1" spans="1:42">
      <c r="A14" s="73">
        <v>11</v>
      </c>
      <c r="B14" s="72"/>
      <c r="C14" s="70" t="s">
        <v>181</v>
      </c>
      <c r="D14" s="70" t="s">
        <v>178</v>
      </c>
      <c r="E14" s="70">
        <f>E13*7</f>
        <v>28</v>
      </c>
      <c r="F14" s="70">
        <f t="shared" ref="E14:M14" si="2">F13*7</f>
        <v>49</v>
      </c>
      <c r="G14" s="70">
        <f t="shared" si="2"/>
        <v>63</v>
      </c>
      <c r="H14" s="70">
        <f t="shared" si="2"/>
        <v>63</v>
      </c>
      <c r="I14" s="70">
        <f t="shared" si="2"/>
        <v>70</v>
      </c>
      <c r="J14" s="70">
        <f t="shared" si="2"/>
        <v>105</v>
      </c>
      <c r="K14" s="70">
        <f t="shared" si="2"/>
        <v>196</v>
      </c>
      <c r="L14" s="70">
        <f t="shared" si="2"/>
        <v>245</v>
      </c>
      <c r="M14" s="70">
        <f t="shared" si="2"/>
        <v>322</v>
      </c>
      <c r="N14" s="98">
        <f t="shared" ref="N14:N17" si="3">SUM(E14:M14)</f>
        <v>1141</v>
      </c>
      <c r="O14" s="84"/>
      <c r="P14" s="85"/>
      <c r="Q14" s="85"/>
      <c r="R14" s="85"/>
      <c r="S14" s="85"/>
      <c r="T14" s="82"/>
      <c r="U14" s="104"/>
      <c r="V14" s="105"/>
      <c r="W14" s="106"/>
      <c r="X14" s="81"/>
      <c r="Y14" s="82"/>
      <c r="Z14" s="84"/>
      <c r="AA14" s="108"/>
      <c r="AB14" s="109"/>
      <c r="AC14" s="109"/>
      <c r="AD14" s="110"/>
      <c r="AE14" s="109"/>
      <c r="AF14" s="109"/>
      <c r="AG14" s="109"/>
      <c r="AH14" s="113"/>
      <c r="AI14" s="114"/>
      <c r="AJ14" s="114"/>
      <c r="AK14" s="114"/>
      <c r="AL14" s="114"/>
      <c r="AM14" s="115"/>
      <c r="AN14" s="115"/>
      <c r="AO14" s="115"/>
      <c r="AP14" s="114"/>
    </row>
    <row r="15" s="62" customFormat="1" customHeight="1" spans="1:42">
      <c r="A15" s="73">
        <v>12</v>
      </c>
      <c r="B15" s="72"/>
      <c r="C15" s="70" t="s">
        <v>182</v>
      </c>
      <c r="D15" s="70" t="s">
        <v>172</v>
      </c>
      <c r="E15" s="70">
        <f>E14*E6</f>
        <v>671.72</v>
      </c>
      <c r="F15" s="70">
        <f t="shared" ref="F15:M15" si="4">F14*F6</f>
        <v>1175.51</v>
      </c>
      <c r="G15" s="70">
        <f t="shared" si="4"/>
        <v>1511.37</v>
      </c>
      <c r="H15" s="70">
        <f t="shared" si="4"/>
        <v>1133.37</v>
      </c>
      <c r="I15" s="70">
        <f t="shared" si="4"/>
        <v>1259.3</v>
      </c>
      <c r="J15" s="70">
        <f t="shared" si="4"/>
        <v>1993.95</v>
      </c>
      <c r="K15" s="70">
        <f t="shared" si="4"/>
        <v>3722.04</v>
      </c>
      <c r="L15" s="70">
        <f t="shared" si="4"/>
        <v>4897.55</v>
      </c>
      <c r="M15" s="70">
        <f t="shared" si="4"/>
        <v>6436.78</v>
      </c>
      <c r="N15" s="98">
        <f t="shared" si="3"/>
        <v>22801.59</v>
      </c>
      <c r="O15" s="84"/>
      <c r="P15" s="85"/>
      <c r="Q15" s="85"/>
      <c r="R15" s="85"/>
      <c r="S15" s="85"/>
      <c r="T15" s="82"/>
      <c r="U15" s="104"/>
      <c r="V15" s="105"/>
      <c r="W15" s="106"/>
      <c r="X15" s="81"/>
      <c r="Y15" s="82"/>
      <c r="Z15" s="84"/>
      <c r="AA15" s="108"/>
      <c r="AB15" s="109"/>
      <c r="AC15" s="109"/>
      <c r="AD15" s="110"/>
      <c r="AE15" s="109"/>
      <c r="AF15" s="109"/>
      <c r="AG15" s="109"/>
      <c r="AH15" s="113"/>
      <c r="AI15" s="114"/>
      <c r="AJ15" s="114"/>
      <c r="AK15" s="114"/>
      <c r="AL15" s="114"/>
      <c r="AM15" s="115"/>
      <c r="AN15" s="115"/>
      <c r="AO15" s="115"/>
      <c r="AP15" s="114"/>
    </row>
    <row r="16" s="62" customFormat="1" customHeight="1" spans="1:42">
      <c r="A16" s="73">
        <v>13</v>
      </c>
      <c r="B16" s="72"/>
      <c r="C16" s="70" t="s">
        <v>183</v>
      </c>
      <c r="D16" s="70" t="s">
        <v>172</v>
      </c>
      <c r="E16" s="70">
        <f>SUM(E32:E39)</f>
        <v>552.53</v>
      </c>
      <c r="F16" s="70">
        <f t="shared" ref="E16:M16" si="5">SUM(F32:F39)</f>
        <v>603.4775</v>
      </c>
      <c r="G16" s="70">
        <f t="shared" si="5"/>
        <v>566.874</v>
      </c>
      <c r="H16" s="70">
        <f t="shared" si="5"/>
        <v>539.274</v>
      </c>
      <c r="I16" s="70">
        <f t="shared" si="5"/>
        <v>401.495</v>
      </c>
      <c r="J16" s="70">
        <f t="shared" si="5"/>
        <v>199.395</v>
      </c>
      <c r="K16" s="70">
        <f t="shared" si="5"/>
        <v>447.7632</v>
      </c>
      <c r="L16" s="70">
        <f t="shared" si="5"/>
        <v>391.804</v>
      </c>
      <c r="M16" s="70">
        <f t="shared" si="5"/>
        <v>514.9424</v>
      </c>
      <c r="N16" s="99">
        <f t="shared" si="3"/>
        <v>4217.5551</v>
      </c>
      <c r="O16" s="84"/>
      <c r="P16" s="85"/>
      <c r="Q16" s="85"/>
      <c r="R16" s="85"/>
      <c r="S16" s="85"/>
      <c r="T16" s="82"/>
      <c r="U16" s="104"/>
      <c r="V16" s="105"/>
      <c r="W16" s="106"/>
      <c r="X16" s="81"/>
      <c r="Y16" s="82"/>
      <c r="Z16" s="84"/>
      <c r="AA16" s="108"/>
      <c r="AB16" s="109"/>
      <c r="AC16" s="109"/>
      <c r="AD16" s="110"/>
      <c r="AE16" s="109"/>
      <c r="AF16" s="109"/>
      <c r="AG16" s="109"/>
      <c r="AH16" s="113"/>
      <c r="AI16" s="114"/>
      <c r="AJ16" s="114"/>
      <c r="AK16" s="114"/>
      <c r="AL16" s="114"/>
      <c r="AM16" s="115"/>
      <c r="AN16" s="115"/>
      <c r="AO16" s="115"/>
      <c r="AP16" s="114"/>
    </row>
    <row r="17" s="62" customFormat="1" customHeight="1" spans="1:42">
      <c r="A17" s="73">
        <v>14</v>
      </c>
      <c r="B17" s="72"/>
      <c r="C17" s="70" t="s">
        <v>184</v>
      </c>
      <c r="D17" s="70" t="s">
        <v>172</v>
      </c>
      <c r="E17" s="70">
        <f>E15*E18</f>
        <v>-295.93296</v>
      </c>
      <c r="F17" s="70">
        <f t="shared" ref="E17:M17" si="6">F15*F18</f>
        <v>-154.43268</v>
      </c>
      <c r="G17" s="70">
        <f t="shared" si="6"/>
        <v>-264.6</v>
      </c>
      <c r="H17" s="70">
        <f t="shared" si="6"/>
        <v>-255.9315</v>
      </c>
      <c r="I17" s="70">
        <f t="shared" si="6"/>
        <v>-86.67</v>
      </c>
      <c r="J17" s="70">
        <f t="shared" si="6"/>
        <v>299.0925</v>
      </c>
      <c r="K17" s="70">
        <f t="shared" si="6"/>
        <v>482.7468</v>
      </c>
      <c r="L17" s="70">
        <f t="shared" si="6"/>
        <v>832.5835</v>
      </c>
      <c r="M17" s="70">
        <f t="shared" si="6"/>
        <v>1094.2526</v>
      </c>
      <c r="N17" s="99">
        <f t="shared" si="3"/>
        <v>1651.10826</v>
      </c>
      <c r="O17" s="84"/>
      <c r="P17" s="85"/>
      <c r="Q17" s="85"/>
      <c r="R17" s="85"/>
      <c r="S17" s="85"/>
      <c r="T17" s="82"/>
      <c r="U17" s="104"/>
      <c r="V17" s="105"/>
      <c r="W17" s="106"/>
      <c r="X17" s="81"/>
      <c r="Y17" s="82"/>
      <c r="Z17" s="84"/>
      <c r="AA17" s="108"/>
      <c r="AB17" s="109"/>
      <c r="AC17" s="109"/>
      <c r="AD17" s="110"/>
      <c r="AE17" s="109"/>
      <c r="AF17" s="109"/>
      <c r="AG17" s="109"/>
      <c r="AH17" s="113"/>
      <c r="AI17" s="114"/>
      <c r="AJ17" s="114"/>
      <c r="AK17" s="114"/>
      <c r="AL17" s="114"/>
      <c r="AM17" s="115"/>
      <c r="AN17" s="115"/>
      <c r="AO17" s="115"/>
      <c r="AP17" s="114"/>
    </row>
    <row r="18" s="62" customFormat="1" customHeight="1" spans="1:42">
      <c r="A18" s="73">
        <v>15</v>
      </c>
      <c r="B18" s="72"/>
      <c r="C18" s="70" t="s">
        <v>185</v>
      </c>
      <c r="D18" s="70" t="s">
        <v>173</v>
      </c>
      <c r="E18" s="74">
        <f>E7-E11</f>
        <v>-0.44055999523611</v>
      </c>
      <c r="F18" s="74">
        <f t="shared" ref="F18:M18" si="7">F7-F11</f>
        <v>-0.131375045724834</v>
      </c>
      <c r="G18" s="74">
        <f t="shared" si="7"/>
        <v>-0.175072947061276</v>
      </c>
      <c r="H18" s="74">
        <f t="shared" si="7"/>
        <v>-0.225814605998041</v>
      </c>
      <c r="I18" s="74">
        <f t="shared" si="7"/>
        <v>-0.0688239498133884</v>
      </c>
      <c r="J18" s="74">
        <f t="shared" si="7"/>
        <v>0.15</v>
      </c>
      <c r="K18" s="74">
        <f t="shared" si="7"/>
        <v>0.129699519618274</v>
      </c>
      <c r="L18" s="74">
        <f t="shared" si="7"/>
        <v>0.17</v>
      </c>
      <c r="M18" s="74">
        <f t="shared" si="7"/>
        <v>0.17</v>
      </c>
      <c r="N18" s="85"/>
      <c r="O18" s="84"/>
      <c r="P18" s="85"/>
      <c r="Q18" s="85"/>
      <c r="R18" s="85"/>
      <c r="S18" s="85"/>
      <c r="T18" s="82"/>
      <c r="U18" s="104"/>
      <c r="V18" s="105"/>
      <c r="W18" s="106"/>
      <c r="X18" s="81"/>
      <c r="Y18" s="82"/>
      <c r="Z18" s="84"/>
      <c r="AA18" s="108"/>
      <c r="AB18" s="109"/>
      <c r="AC18" s="109"/>
      <c r="AD18" s="110"/>
      <c r="AE18" s="109"/>
      <c r="AF18" s="109"/>
      <c r="AG18" s="109"/>
      <c r="AH18" s="113"/>
      <c r="AI18" s="114"/>
      <c r="AJ18" s="114"/>
      <c r="AK18" s="114"/>
      <c r="AL18" s="114"/>
      <c r="AM18" s="115"/>
      <c r="AN18" s="115"/>
      <c r="AO18" s="115"/>
      <c r="AP18" s="114"/>
    </row>
    <row r="19" s="62" customFormat="1" customHeight="1" spans="1:42">
      <c r="A19" s="73">
        <v>16</v>
      </c>
      <c r="B19" s="72"/>
      <c r="C19" s="70" t="s">
        <v>186</v>
      </c>
      <c r="D19" s="70" t="s">
        <v>173</v>
      </c>
      <c r="E19" s="74">
        <f t="shared" ref="E19:M19" si="8">E16/E15</f>
        <v>0.82255999523611</v>
      </c>
      <c r="F19" s="74">
        <f t="shared" si="8"/>
        <v>0.513375045724834</v>
      </c>
      <c r="G19" s="74">
        <f t="shared" si="8"/>
        <v>0.375072947061276</v>
      </c>
      <c r="H19" s="74">
        <f t="shared" si="8"/>
        <v>0.475814605998041</v>
      </c>
      <c r="I19" s="74">
        <f t="shared" si="8"/>
        <v>0.318823949813388</v>
      </c>
      <c r="J19" s="74">
        <f t="shared" si="8"/>
        <v>0.1</v>
      </c>
      <c r="K19" s="74">
        <f t="shared" si="8"/>
        <v>0.120300480381726</v>
      </c>
      <c r="L19" s="74">
        <f t="shared" si="8"/>
        <v>0.08</v>
      </c>
      <c r="M19" s="74">
        <f t="shared" si="8"/>
        <v>0.08</v>
      </c>
      <c r="N19" s="85"/>
      <c r="O19" s="84"/>
      <c r="P19" s="85"/>
      <c r="Q19" s="85"/>
      <c r="R19" s="85"/>
      <c r="S19" s="85"/>
      <c r="T19" s="82"/>
      <c r="U19" s="104"/>
      <c r="V19" s="105"/>
      <c r="W19" s="106"/>
      <c r="X19" s="81"/>
      <c r="Y19" s="82"/>
      <c r="Z19" s="84"/>
      <c r="AA19" s="108"/>
      <c r="AB19" s="109"/>
      <c r="AC19" s="109"/>
      <c r="AD19" s="110"/>
      <c r="AE19" s="109"/>
      <c r="AF19" s="109"/>
      <c r="AG19" s="109"/>
      <c r="AH19" s="113"/>
      <c r="AI19" s="114"/>
      <c r="AJ19" s="114"/>
      <c r="AK19" s="114"/>
      <c r="AL19" s="114"/>
      <c r="AM19" s="115"/>
      <c r="AN19" s="115"/>
      <c r="AO19" s="115"/>
      <c r="AP19" s="114"/>
    </row>
    <row r="20" s="62" customFormat="1" customHeight="1" spans="1:42">
      <c r="A20" s="73">
        <v>17</v>
      </c>
      <c r="B20" s="72"/>
      <c r="C20" s="70" t="s">
        <v>187</v>
      </c>
      <c r="D20" s="70" t="s">
        <v>173</v>
      </c>
      <c r="E20" s="75">
        <v>0.8</v>
      </c>
      <c r="F20" s="75">
        <v>0.8</v>
      </c>
      <c r="G20" s="75">
        <v>0.7</v>
      </c>
      <c r="H20" s="75">
        <v>0.6</v>
      </c>
      <c r="I20" s="75">
        <v>0.5</v>
      </c>
      <c r="J20" s="75">
        <v>0.5</v>
      </c>
      <c r="K20" s="75">
        <v>0.4</v>
      </c>
      <c r="L20" s="75">
        <v>0.3</v>
      </c>
      <c r="M20" s="75">
        <v>0.25</v>
      </c>
      <c r="N20" s="85"/>
      <c r="O20" s="84"/>
      <c r="P20" s="85"/>
      <c r="Q20" s="85"/>
      <c r="R20" s="85"/>
      <c r="S20" s="85"/>
      <c r="T20" s="82"/>
      <c r="U20" s="104"/>
      <c r="V20" s="105"/>
      <c r="W20" s="106"/>
      <c r="X20" s="81"/>
      <c r="Y20" s="82"/>
      <c r="Z20" s="84"/>
      <c r="AA20" s="108"/>
      <c r="AB20" s="109"/>
      <c r="AC20" s="109"/>
      <c r="AD20" s="110"/>
      <c r="AE20" s="109"/>
      <c r="AF20" s="109"/>
      <c r="AG20" s="109"/>
      <c r="AH20" s="113"/>
      <c r="AI20" s="114"/>
      <c r="AJ20" s="114"/>
      <c r="AK20" s="114"/>
      <c r="AL20" s="114"/>
      <c r="AM20" s="115"/>
      <c r="AN20" s="115"/>
      <c r="AO20" s="115"/>
      <c r="AP20" s="114"/>
    </row>
    <row r="21" s="62" customFormat="1" customHeight="1" spans="1:42">
      <c r="A21" s="73">
        <v>18</v>
      </c>
      <c r="B21" s="72" t="s">
        <v>188</v>
      </c>
      <c r="C21" s="70" t="s">
        <v>189</v>
      </c>
      <c r="D21" s="70" t="s">
        <v>190</v>
      </c>
      <c r="E21" s="70"/>
      <c r="F21" s="70"/>
      <c r="G21" s="70"/>
      <c r="H21" s="70">
        <v>1</v>
      </c>
      <c r="I21" s="70"/>
      <c r="J21" s="70">
        <v>1</v>
      </c>
      <c r="K21" s="91"/>
      <c r="L21" s="92"/>
      <c r="M21" s="82"/>
      <c r="N21" s="85"/>
      <c r="O21" s="84"/>
      <c r="P21" s="85"/>
      <c r="Q21" s="85"/>
      <c r="R21" s="85"/>
      <c r="S21" s="85"/>
      <c r="T21" s="82"/>
      <c r="U21" s="104"/>
      <c r="V21" s="105"/>
      <c r="W21" s="106"/>
      <c r="X21" s="81"/>
      <c r="Y21" s="82"/>
      <c r="Z21" s="84"/>
      <c r="AA21" s="108"/>
      <c r="AB21" s="109"/>
      <c r="AC21" s="109"/>
      <c r="AD21" s="110"/>
      <c r="AE21" s="109"/>
      <c r="AF21" s="109"/>
      <c r="AG21" s="109"/>
      <c r="AH21" s="113"/>
      <c r="AI21" s="114"/>
      <c r="AJ21" s="114"/>
      <c r="AK21" s="114"/>
      <c r="AL21" s="114"/>
      <c r="AM21" s="115"/>
      <c r="AN21" s="115"/>
      <c r="AO21" s="115"/>
      <c r="AP21" s="114"/>
    </row>
    <row r="22" s="62" customFormat="1" customHeight="1" spans="1:42">
      <c r="A22" s="73">
        <v>19</v>
      </c>
      <c r="B22" s="72"/>
      <c r="C22" s="70" t="s">
        <v>191</v>
      </c>
      <c r="D22" s="70" t="s">
        <v>190</v>
      </c>
      <c r="E22" s="70">
        <v>10</v>
      </c>
      <c r="F22" s="70">
        <v>5</v>
      </c>
      <c r="G22" s="70">
        <v>2</v>
      </c>
      <c r="H22" s="70">
        <v>2</v>
      </c>
      <c r="I22" s="70">
        <v>2</v>
      </c>
      <c r="J22" s="70"/>
      <c r="K22" s="91"/>
      <c r="L22" s="92"/>
      <c r="M22" s="82"/>
      <c r="N22" s="85"/>
      <c r="O22" s="84"/>
      <c r="P22" s="85"/>
      <c r="Q22" s="85"/>
      <c r="R22" s="85"/>
      <c r="S22" s="85"/>
      <c r="T22" s="82"/>
      <c r="U22" s="104"/>
      <c r="V22" s="105"/>
      <c r="W22" s="106"/>
      <c r="X22" s="81"/>
      <c r="Y22" s="82"/>
      <c r="Z22" s="84"/>
      <c r="AA22" s="108"/>
      <c r="AB22" s="109"/>
      <c r="AC22" s="109"/>
      <c r="AD22" s="110"/>
      <c r="AE22" s="109"/>
      <c r="AF22" s="109"/>
      <c r="AG22" s="109"/>
      <c r="AH22" s="113"/>
      <c r="AI22" s="114"/>
      <c r="AJ22" s="114"/>
      <c r="AK22" s="114"/>
      <c r="AL22" s="114"/>
      <c r="AM22" s="115"/>
      <c r="AN22" s="115"/>
      <c r="AO22" s="115"/>
      <c r="AP22" s="114"/>
    </row>
    <row r="23" s="62" customFormat="1" customHeight="1" spans="1:42">
      <c r="A23" s="73">
        <v>20</v>
      </c>
      <c r="B23" s="72"/>
      <c r="C23" s="70" t="s">
        <v>192</v>
      </c>
      <c r="D23" s="70" t="s">
        <v>190</v>
      </c>
      <c r="E23" s="70"/>
      <c r="F23" s="70"/>
      <c r="G23" s="70"/>
      <c r="H23" s="70"/>
      <c r="I23" s="70"/>
      <c r="J23" s="70"/>
      <c r="K23" s="91"/>
      <c r="L23" s="92"/>
      <c r="M23" s="82"/>
      <c r="N23" s="85"/>
      <c r="O23" s="84"/>
      <c r="P23" s="85"/>
      <c r="Q23" s="85"/>
      <c r="R23" s="85"/>
      <c r="S23" s="85"/>
      <c r="T23" s="82"/>
      <c r="U23" s="104"/>
      <c r="V23" s="105"/>
      <c r="W23" s="106"/>
      <c r="X23" s="81"/>
      <c r="Y23" s="82"/>
      <c r="Z23" s="84"/>
      <c r="AA23" s="108"/>
      <c r="AB23" s="109"/>
      <c r="AC23" s="109"/>
      <c r="AD23" s="110"/>
      <c r="AE23" s="109"/>
      <c r="AF23" s="109"/>
      <c r="AG23" s="109"/>
      <c r="AH23" s="113"/>
      <c r="AI23" s="114"/>
      <c r="AJ23" s="114"/>
      <c r="AK23" s="114"/>
      <c r="AL23" s="114"/>
      <c r="AM23" s="115"/>
      <c r="AN23" s="115"/>
      <c r="AO23" s="115"/>
      <c r="AP23" s="114"/>
    </row>
    <row r="24" s="62" customFormat="1" customHeight="1" spans="1:42">
      <c r="A24" s="73">
        <v>21</v>
      </c>
      <c r="B24" s="72"/>
      <c r="C24" s="70" t="s">
        <v>193</v>
      </c>
      <c r="D24" s="70" t="s">
        <v>190</v>
      </c>
      <c r="E24" s="70"/>
      <c r="F24" s="70"/>
      <c r="G24" s="70"/>
      <c r="H24" s="70"/>
      <c r="I24" s="70"/>
      <c r="J24" s="70"/>
      <c r="K24" s="91"/>
      <c r="L24" s="92"/>
      <c r="M24" s="82"/>
      <c r="N24" s="85"/>
      <c r="O24" s="84"/>
      <c r="P24" s="85"/>
      <c r="Q24" s="85"/>
      <c r="R24" s="85"/>
      <c r="S24" s="85"/>
      <c r="T24" s="82"/>
      <c r="U24" s="104"/>
      <c r="V24" s="105"/>
      <c r="W24" s="106"/>
      <c r="X24" s="81"/>
      <c r="Y24" s="82"/>
      <c r="Z24" s="84"/>
      <c r="AA24" s="108"/>
      <c r="AB24" s="109"/>
      <c r="AC24" s="109"/>
      <c r="AD24" s="110"/>
      <c r="AE24" s="109"/>
      <c r="AF24" s="109"/>
      <c r="AG24" s="109"/>
      <c r="AH24" s="113"/>
      <c r="AI24" s="114"/>
      <c r="AJ24" s="114"/>
      <c r="AK24" s="114"/>
      <c r="AL24" s="114"/>
      <c r="AM24" s="115"/>
      <c r="AN24" s="115"/>
      <c r="AO24" s="115"/>
      <c r="AP24" s="114"/>
    </row>
    <row r="25" s="62" customFormat="1" customHeight="1" spans="1:42">
      <c r="A25" s="73">
        <v>22</v>
      </c>
      <c r="B25" s="72"/>
      <c r="C25" s="72" t="s">
        <v>194</v>
      </c>
      <c r="D25" s="70" t="s">
        <v>190</v>
      </c>
      <c r="E25" s="70">
        <v>10</v>
      </c>
      <c r="F25" s="70">
        <v>10</v>
      </c>
      <c r="G25" s="70">
        <v>10</v>
      </c>
      <c r="H25" s="70">
        <v>10</v>
      </c>
      <c r="I25" s="70">
        <v>10</v>
      </c>
      <c r="J25" s="70"/>
      <c r="K25" s="91"/>
      <c r="L25" s="92"/>
      <c r="M25" s="82"/>
      <c r="N25" s="85"/>
      <c r="O25" s="84"/>
      <c r="P25" s="85"/>
      <c r="Q25" s="85"/>
      <c r="R25" s="85"/>
      <c r="S25" s="85"/>
      <c r="T25" s="82"/>
      <c r="U25" s="104"/>
      <c r="V25" s="105"/>
      <c r="W25" s="106"/>
      <c r="X25" s="81"/>
      <c r="Y25" s="82"/>
      <c r="Z25" s="84"/>
      <c r="AA25" s="108"/>
      <c r="AB25" s="109"/>
      <c r="AC25" s="109"/>
      <c r="AD25" s="110"/>
      <c r="AE25" s="109"/>
      <c r="AF25" s="109"/>
      <c r="AG25" s="109"/>
      <c r="AH25" s="113"/>
      <c r="AI25" s="114"/>
      <c r="AJ25" s="114"/>
      <c r="AK25" s="114"/>
      <c r="AL25" s="114"/>
      <c r="AM25" s="115"/>
      <c r="AN25" s="115"/>
      <c r="AO25" s="115"/>
      <c r="AP25" s="114"/>
    </row>
    <row r="26" s="62" customFormat="1" customHeight="1" spans="1:42">
      <c r="A26" s="73">
        <v>23</v>
      </c>
      <c r="B26" s="72"/>
      <c r="C26" s="70" t="s">
        <v>195</v>
      </c>
      <c r="D26" s="70" t="s">
        <v>190</v>
      </c>
      <c r="E26" s="70">
        <v>10</v>
      </c>
      <c r="F26" s="70">
        <v>5</v>
      </c>
      <c r="G26" s="70"/>
      <c r="H26" s="70"/>
      <c r="I26" s="70"/>
      <c r="J26" s="70"/>
      <c r="K26" s="91"/>
      <c r="L26" s="92"/>
      <c r="M26" s="82"/>
      <c r="N26" s="85"/>
      <c r="O26" s="84"/>
      <c r="P26" s="85"/>
      <c r="Q26" s="85"/>
      <c r="R26" s="85"/>
      <c r="S26" s="85"/>
      <c r="T26" s="82"/>
      <c r="U26" s="104"/>
      <c r="V26" s="105"/>
      <c r="W26" s="106"/>
      <c r="X26" s="81"/>
      <c r="Y26" s="82"/>
      <c r="Z26" s="84"/>
      <c r="AA26" s="108"/>
      <c r="AB26" s="109"/>
      <c r="AC26" s="109"/>
      <c r="AD26" s="110"/>
      <c r="AE26" s="109"/>
      <c r="AF26" s="109"/>
      <c r="AG26" s="109"/>
      <c r="AH26" s="113"/>
      <c r="AI26" s="114"/>
      <c r="AJ26" s="114"/>
      <c r="AK26" s="114"/>
      <c r="AL26" s="114"/>
      <c r="AM26" s="115"/>
      <c r="AN26" s="115"/>
      <c r="AO26" s="115"/>
      <c r="AP26" s="114"/>
    </row>
    <row r="27" s="62" customFormat="1" customHeight="1" spans="1:42">
      <c r="A27" s="73">
        <v>24</v>
      </c>
      <c r="B27" s="72"/>
      <c r="C27" s="70" t="s">
        <v>196</v>
      </c>
      <c r="D27" s="70" t="s">
        <v>190</v>
      </c>
      <c r="E27" s="70"/>
      <c r="F27" s="70"/>
      <c r="G27" s="70"/>
      <c r="H27" s="70"/>
      <c r="I27" s="70"/>
      <c r="J27" s="70"/>
      <c r="K27" s="70">
        <v>1</v>
      </c>
      <c r="L27" s="70"/>
      <c r="M27" s="70">
        <v>1</v>
      </c>
      <c r="N27" s="85"/>
      <c r="O27" s="84"/>
      <c r="P27" s="85"/>
      <c r="Q27" s="85"/>
      <c r="R27" s="85"/>
      <c r="S27" s="85"/>
      <c r="T27" s="82"/>
      <c r="U27" s="104"/>
      <c r="V27" s="105"/>
      <c r="W27" s="106"/>
      <c r="X27" s="81"/>
      <c r="Y27" s="82"/>
      <c r="Z27" s="84"/>
      <c r="AA27" s="108"/>
      <c r="AB27" s="109"/>
      <c r="AC27" s="109"/>
      <c r="AD27" s="110"/>
      <c r="AE27" s="109"/>
      <c r="AF27" s="109"/>
      <c r="AG27" s="109"/>
      <c r="AH27" s="113"/>
      <c r="AI27" s="114"/>
      <c r="AJ27" s="114"/>
      <c r="AK27" s="114"/>
      <c r="AL27" s="114"/>
      <c r="AM27" s="115"/>
      <c r="AN27" s="115"/>
      <c r="AO27" s="115"/>
      <c r="AP27" s="114"/>
    </row>
    <row r="28" s="62" customFormat="1" customHeight="1" spans="1:42">
      <c r="A28" s="73">
        <v>25</v>
      </c>
      <c r="B28" s="72"/>
      <c r="C28" s="70" t="s">
        <v>197</v>
      </c>
      <c r="D28" s="70" t="s">
        <v>190</v>
      </c>
      <c r="E28" s="70"/>
      <c r="F28" s="70"/>
      <c r="G28" s="70"/>
      <c r="H28" s="70"/>
      <c r="I28" s="70"/>
      <c r="J28" s="70"/>
      <c r="K28" s="91"/>
      <c r="L28" s="92"/>
      <c r="M28" s="82"/>
      <c r="N28" s="85"/>
      <c r="O28" s="84"/>
      <c r="P28" s="85"/>
      <c r="Q28" s="85"/>
      <c r="R28" s="85"/>
      <c r="S28" s="85"/>
      <c r="T28" s="82"/>
      <c r="U28" s="104"/>
      <c r="V28" s="105"/>
      <c r="W28" s="106"/>
      <c r="X28" s="81"/>
      <c r="Y28" s="82"/>
      <c r="Z28" s="84"/>
      <c r="AA28" s="108"/>
      <c r="AB28" s="109"/>
      <c r="AC28" s="109"/>
      <c r="AD28" s="110"/>
      <c r="AE28" s="109"/>
      <c r="AF28" s="109"/>
      <c r="AG28" s="109"/>
      <c r="AH28" s="113"/>
      <c r="AI28" s="114"/>
      <c r="AJ28" s="114"/>
      <c r="AK28" s="114"/>
      <c r="AL28" s="114"/>
      <c r="AM28" s="115"/>
      <c r="AN28" s="115"/>
      <c r="AO28" s="115"/>
      <c r="AP28" s="114"/>
    </row>
    <row r="29" s="60" customFormat="1" customHeight="1" spans="1:26">
      <c r="A29" s="73">
        <v>26</v>
      </c>
      <c r="B29" s="72"/>
      <c r="C29" s="78" t="s">
        <v>198</v>
      </c>
      <c r="D29" s="79"/>
      <c r="E29" s="79"/>
      <c r="F29" s="79">
        <v>1</v>
      </c>
      <c r="G29" s="79">
        <v>1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="60" customFormat="1" customHeight="1" spans="1:26">
      <c r="A30" s="73">
        <v>27</v>
      </c>
      <c r="B30" s="72"/>
      <c r="C30" s="78" t="s">
        <v>199</v>
      </c>
      <c r="D30" s="79"/>
      <c r="E30" s="79">
        <v>1.3</v>
      </c>
      <c r="F30" s="79">
        <v>1.2</v>
      </c>
      <c r="G30" s="79">
        <v>1</v>
      </c>
      <c r="H30" s="79">
        <v>1</v>
      </c>
      <c r="I30" s="79">
        <v>1</v>
      </c>
      <c r="J30" s="79">
        <v>0.8</v>
      </c>
      <c r="K30" s="79">
        <v>0.8</v>
      </c>
      <c r="L30" s="79">
        <v>0.6</v>
      </c>
      <c r="M30" s="79">
        <v>0.6</v>
      </c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="62" customFormat="1" customHeight="1" spans="1:42">
      <c r="A31" s="73">
        <v>28</v>
      </c>
      <c r="B31" s="72"/>
      <c r="C31" s="70" t="s">
        <v>200</v>
      </c>
      <c r="D31" s="70"/>
      <c r="E31" s="74">
        <v>0.05</v>
      </c>
      <c r="F31" s="74">
        <v>0.05</v>
      </c>
      <c r="G31" s="74">
        <v>0.05</v>
      </c>
      <c r="H31" s="75">
        <v>0.05</v>
      </c>
      <c r="I31" s="75">
        <f t="shared" ref="I31:M31" si="9">I10</f>
        <v>0.05</v>
      </c>
      <c r="J31" s="75">
        <f t="shared" si="9"/>
        <v>0</v>
      </c>
      <c r="K31" s="75">
        <f t="shared" si="9"/>
        <v>0</v>
      </c>
      <c r="L31" s="75">
        <f t="shared" si="9"/>
        <v>0</v>
      </c>
      <c r="M31" s="75">
        <f t="shared" si="9"/>
        <v>0</v>
      </c>
      <c r="N31" s="85"/>
      <c r="O31" s="84"/>
      <c r="P31" s="85"/>
      <c r="Q31" s="85"/>
      <c r="R31" s="85"/>
      <c r="S31" s="85"/>
      <c r="T31" s="82"/>
      <c r="U31" s="104"/>
      <c r="V31" s="105"/>
      <c r="W31" s="106"/>
      <c r="X31" s="81"/>
      <c r="Y31" s="82"/>
      <c r="Z31" s="84"/>
      <c r="AA31" s="108"/>
      <c r="AB31" s="109"/>
      <c r="AC31" s="109"/>
      <c r="AD31" s="110"/>
      <c r="AE31" s="109"/>
      <c r="AF31" s="109"/>
      <c r="AG31" s="109"/>
      <c r="AH31" s="113"/>
      <c r="AI31" s="114"/>
      <c r="AJ31" s="114"/>
      <c r="AK31" s="114"/>
      <c r="AL31" s="114"/>
      <c r="AM31" s="115"/>
      <c r="AN31" s="115"/>
      <c r="AO31" s="115"/>
      <c r="AP31" s="114"/>
    </row>
    <row r="32" s="60" customFormat="1" customHeight="1" spans="1:26">
      <c r="A32" s="73">
        <v>29</v>
      </c>
      <c r="B32" s="80" t="s">
        <v>201</v>
      </c>
      <c r="C32" s="81" t="s">
        <v>202</v>
      </c>
      <c r="D32" s="81" t="s">
        <v>172</v>
      </c>
      <c r="E32" s="79"/>
      <c r="F32" s="79"/>
      <c r="G32" s="79"/>
      <c r="H32" s="79">
        <v>100</v>
      </c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="60" customFormat="1" customHeight="1" spans="1:26">
      <c r="A33" s="73">
        <v>30</v>
      </c>
      <c r="B33" s="80"/>
      <c r="C33" s="82" t="s">
        <v>203</v>
      </c>
      <c r="D33" s="81" t="s">
        <v>172</v>
      </c>
      <c r="E33" s="83">
        <f>15*E22</f>
        <v>150</v>
      </c>
      <c r="F33" s="83">
        <f t="shared" ref="F33:M33" si="10">15*F22</f>
        <v>75</v>
      </c>
      <c r="G33" s="83">
        <f t="shared" si="10"/>
        <v>30</v>
      </c>
      <c r="H33" s="83">
        <f t="shared" si="10"/>
        <v>30</v>
      </c>
      <c r="I33" s="83">
        <f t="shared" si="10"/>
        <v>30</v>
      </c>
      <c r="J33" s="83">
        <f t="shared" si="10"/>
        <v>0</v>
      </c>
      <c r="K33" s="83">
        <f t="shared" si="10"/>
        <v>0</v>
      </c>
      <c r="L33" s="83">
        <f t="shared" si="10"/>
        <v>0</v>
      </c>
      <c r="M33" s="83">
        <f t="shared" si="10"/>
        <v>0</v>
      </c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="60" customFormat="1" customHeight="1" spans="1:26">
      <c r="A34" s="73">
        <v>31</v>
      </c>
      <c r="B34" s="80"/>
      <c r="C34" s="84" t="s">
        <v>204</v>
      </c>
      <c r="D34" s="81" t="s">
        <v>172</v>
      </c>
      <c r="E34" s="79">
        <f>18.26*E25</f>
        <v>182.6</v>
      </c>
      <c r="F34" s="79">
        <f t="shared" ref="E34:M34" si="11">18.26*F25</f>
        <v>182.6</v>
      </c>
      <c r="G34" s="79">
        <f t="shared" si="11"/>
        <v>182.6</v>
      </c>
      <c r="H34" s="79">
        <f t="shared" si="11"/>
        <v>182.6</v>
      </c>
      <c r="I34" s="79">
        <f t="shared" si="11"/>
        <v>182.6</v>
      </c>
      <c r="J34" s="79">
        <f t="shared" si="11"/>
        <v>0</v>
      </c>
      <c r="K34" s="79">
        <f t="shared" si="11"/>
        <v>0</v>
      </c>
      <c r="L34" s="79">
        <f t="shared" si="11"/>
        <v>0</v>
      </c>
      <c r="M34" s="79">
        <f t="shared" si="11"/>
        <v>0</v>
      </c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="60" customFormat="1" customHeight="1" spans="1:26">
      <c r="A35" s="73">
        <v>32</v>
      </c>
      <c r="B35" s="80"/>
      <c r="C35" s="85" t="s">
        <v>205</v>
      </c>
      <c r="D35" s="81" t="s">
        <v>172</v>
      </c>
      <c r="E35" s="79">
        <v>2</v>
      </c>
      <c r="F35" s="79">
        <v>2</v>
      </c>
      <c r="G35" s="79">
        <v>2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="60" customFormat="1" customHeight="1" spans="1:26">
      <c r="A36" s="73">
        <v>33</v>
      </c>
      <c r="B36" s="80"/>
      <c r="C36" s="72" t="s">
        <v>206</v>
      </c>
      <c r="D36" s="81" t="s">
        <v>172</v>
      </c>
      <c r="E36" s="79"/>
      <c r="F36" s="79"/>
      <c r="G36" s="79"/>
      <c r="H36" s="79"/>
      <c r="I36" s="79"/>
      <c r="J36" s="79"/>
      <c r="K36" s="79">
        <v>150</v>
      </c>
      <c r="L36" s="79">
        <v>0</v>
      </c>
      <c r="M36" s="79">
        <v>0</v>
      </c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="60" customFormat="1" customHeight="1" spans="1:26">
      <c r="A37" s="73">
        <v>34</v>
      </c>
      <c r="B37" s="80"/>
      <c r="C37" s="72" t="s">
        <v>207</v>
      </c>
      <c r="D37" s="81" t="s">
        <v>172</v>
      </c>
      <c r="E37" s="79">
        <v>50</v>
      </c>
      <c r="F37" s="79">
        <v>50</v>
      </c>
      <c r="G37" s="79">
        <v>50</v>
      </c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="60" customFormat="1" customHeight="1" spans="1:26">
      <c r="A38" s="73">
        <v>35</v>
      </c>
      <c r="B38" s="80"/>
      <c r="C38" s="84" t="s">
        <v>208</v>
      </c>
      <c r="D38" s="81" t="s">
        <v>172</v>
      </c>
      <c r="E38" s="79">
        <f>E15*E9</f>
        <v>134.344</v>
      </c>
      <c r="F38" s="79">
        <f t="shared" ref="F38:M38" si="12">F15*F9</f>
        <v>235.102</v>
      </c>
      <c r="G38" s="79">
        <f t="shared" si="12"/>
        <v>226.7055</v>
      </c>
      <c r="H38" s="79">
        <f t="shared" si="12"/>
        <v>170.0055</v>
      </c>
      <c r="I38" s="79">
        <f t="shared" si="12"/>
        <v>125.93</v>
      </c>
      <c r="J38" s="79">
        <f t="shared" si="12"/>
        <v>199.395</v>
      </c>
      <c r="K38" s="79">
        <f t="shared" si="12"/>
        <v>297.7632</v>
      </c>
      <c r="L38" s="79">
        <f t="shared" si="12"/>
        <v>391.804</v>
      </c>
      <c r="M38" s="79">
        <f t="shared" si="12"/>
        <v>514.9424</v>
      </c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="60" customFormat="1" customHeight="1" spans="1:26">
      <c r="A39" s="73">
        <v>36</v>
      </c>
      <c r="B39" s="80"/>
      <c r="C39" s="70" t="s">
        <v>209</v>
      </c>
      <c r="D39" s="81" t="s">
        <v>172</v>
      </c>
      <c r="E39" s="79">
        <f t="shared" ref="E39:M39" si="13">E15*E31</f>
        <v>33.586</v>
      </c>
      <c r="F39" s="79">
        <f t="shared" si="13"/>
        <v>58.7755</v>
      </c>
      <c r="G39" s="79">
        <f t="shared" si="13"/>
        <v>75.5685</v>
      </c>
      <c r="H39" s="79">
        <f t="shared" si="13"/>
        <v>56.6685</v>
      </c>
      <c r="I39" s="79">
        <f t="shared" si="13"/>
        <v>62.965</v>
      </c>
      <c r="J39" s="79">
        <f t="shared" si="13"/>
        <v>0</v>
      </c>
      <c r="K39" s="79">
        <f t="shared" si="13"/>
        <v>0</v>
      </c>
      <c r="L39" s="79">
        <f t="shared" si="13"/>
        <v>0</v>
      </c>
      <c r="M39" s="79">
        <f t="shared" si="13"/>
        <v>0</v>
      </c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="60" customFormat="1" customHeight="1" spans="1:26">
      <c r="A40" s="73">
        <v>37</v>
      </c>
      <c r="B40" s="80" t="s">
        <v>210</v>
      </c>
      <c r="C40" s="81" t="s">
        <v>202</v>
      </c>
      <c r="D40" s="72" t="s">
        <v>173</v>
      </c>
      <c r="E40" s="86">
        <f t="shared" ref="E40:M40" si="14">E32/E15</f>
        <v>0</v>
      </c>
      <c r="F40" s="86">
        <f t="shared" si="14"/>
        <v>0</v>
      </c>
      <c r="G40" s="86">
        <f t="shared" si="14"/>
        <v>0</v>
      </c>
      <c r="H40" s="86">
        <f t="shared" si="14"/>
        <v>0.0882324395387208</v>
      </c>
      <c r="I40" s="86">
        <f t="shared" si="14"/>
        <v>0</v>
      </c>
      <c r="J40" s="86">
        <f t="shared" si="14"/>
        <v>0</v>
      </c>
      <c r="K40" s="86">
        <f t="shared" si="14"/>
        <v>0</v>
      </c>
      <c r="L40" s="86">
        <f t="shared" si="14"/>
        <v>0</v>
      </c>
      <c r="M40" s="86">
        <f t="shared" si="14"/>
        <v>0</v>
      </c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="60" customFormat="1" customHeight="1" spans="1:26">
      <c r="A41" s="73">
        <v>38</v>
      </c>
      <c r="B41" s="80"/>
      <c r="C41" s="82" t="s">
        <v>203</v>
      </c>
      <c r="D41" s="72" t="s">
        <v>173</v>
      </c>
      <c r="E41" s="86">
        <f t="shared" ref="E41:M41" si="15">E33/E15</f>
        <v>0.2233073304353</v>
      </c>
      <c r="F41" s="86">
        <f t="shared" si="15"/>
        <v>0.0638020944100858</v>
      </c>
      <c r="G41" s="86">
        <f t="shared" si="15"/>
        <v>0.0198495404831378</v>
      </c>
      <c r="H41" s="86">
        <f t="shared" si="15"/>
        <v>0.0264697318616162</v>
      </c>
      <c r="I41" s="86">
        <f t="shared" si="15"/>
        <v>0.0238227586754546</v>
      </c>
      <c r="J41" s="86">
        <f t="shared" si="15"/>
        <v>0</v>
      </c>
      <c r="K41" s="86">
        <f t="shared" si="15"/>
        <v>0</v>
      </c>
      <c r="L41" s="86">
        <f t="shared" si="15"/>
        <v>0</v>
      </c>
      <c r="M41" s="86">
        <f t="shared" si="15"/>
        <v>0</v>
      </c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="60" customFormat="1" customHeight="1" spans="1:26">
      <c r="A42" s="73">
        <v>39</v>
      </c>
      <c r="B42" s="80"/>
      <c r="C42" s="84" t="s">
        <v>204</v>
      </c>
      <c r="D42" s="72" t="s">
        <v>173</v>
      </c>
      <c r="E42" s="86">
        <f t="shared" ref="E42:M42" si="16">E34/E15</f>
        <v>0.271839456916572</v>
      </c>
      <c r="F42" s="86">
        <f t="shared" si="16"/>
        <v>0.155336832523756</v>
      </c>
      <c r="G42" s="86">
        <f t="shared" si="16"/>
        <v>0.120817536407366</v>
      </c>
      <c r="H42" s="86">
        <f t="shared" si="16"/>
        <v>0.161112434597704</v>
      </c>
      <c r="I42" s="86">
        <f t="shared" si="16"/>
        <v>0.145001191137934</v>
      </c>
      <c r="J42" s="86">
        <f t="shared" si="16"/>
        <v>0</v>
      </c>
      <c r="K42" s="86">
        <f t="shared" si="16"/>
        <v>0</v>
      </c>
      <c r="L42" s="86">
        <f t="shared" si="16"/>
        <v>0</v>
      </c>
      <c r="M42" s="86">
        <f t="shared" si="16"/>
        <v>0</v>
      </c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="60" customFormat="1" customHeight="1" spans="1:26">
      <c r="A43" s="73">
        <v>40</v>
      </c>
      <c r="B43" s="80"/>
      <c r="C43" s="85" t="s">
        <v>205</v>
      </c>
      <c r="D43" s="72" t="s">
        <v>173</v>
      </c>
      <c r="E43" s="86">
        <f t="shared" ref="E43:M43" si="17">E35/E15</f>
        <v>0.00297743107247067</v>
      </c>
      <c r="F43" s="86">
        <f t="shared" si="17"/>
        <v>0.00170138918426896</v>
      </c>
      <c r="G43" s="86">
        <f t="shared" si="17"/>
        <v>0.00132330269887585</v>
      </c>
      <c r="H43" s="86">
        <f t="shared" si="17"/>
        <v>0</v>
      </c>
      <c r="I43" s="86">
        <f t="shared" si="17"/>
        <v>0</v>
      </c>
      <c r="J43" s="86">
        <f t="shared" si="17"/>
        <v>0</v>
      </c>
      <c r="K43" s="86">
        <f t="shared" si="17"/>
        <v>0</v>
      </c>
      <c r="L43" s="86">
        <f t="shared" si="17"/>
        <v>0</v>
      </c>
      <c r="M43" s="86">
        <f t="shared" si="17"/>
        <v>0</v>
      </c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="60" customFormat="1" customHeight="1" spans="1:26">
      <c r="A44" s="73">
        <v>41</v>
      </c>
      <c r="B44" s="80"/>
      <c r="C44" s="72" t="s">
        <v>206</v>
      </c>
      <c r="D44" s="72" t="s">
        <v>173</v>
      </c>
      <c r="E44" s="87">
        <v>0</v>
      </c>
      <c r="F44" s="86">
        <v>0</v>
      </c>
      <c r="G44" s="86">
        <v>0</v>
      </c>
      <c r="H44" s="86">
        <v>0</v>
      </c>
      <c r="I44" s="86">
        <f t="shared" ref="I44:M44" si="18">150/I15</f>
        <v>0.119113793377273</v>
      </c>
      <c r="J44" s="86">
        <f t="shared" si="18"/>
        <v>0.0752275633792222</v>
      </c>
      <c r="K44" s="86">
        <f t="shared" si="18"/>
        <v>0.0403004803817262</v>
      </c>
      <c r="L44" s="86">
        <f t="shared" si="18"/>
        <v>0.0306275586772978</v>
      </c>
      <c r="M44" s="86">
        <f t="shared" si="18"/>
        <v>0.0233035772544657</v>
      </c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="60" customFormat="1" customHeight="1" spans="1:26">
      <c r="A45" s="73">
        <v>42</v>
      </c>
      <c r="B45" s="80"/>
      <c r="C45" s="72" t="s">
        <v>207</v>
      </c>
      <c r="D45" s="72" t="s">
        <v>173</v>
      </c>
      <c r="E45" s="86">
        <f t="shared" ref="E45:M45" si="19">E37/E15</f>
        <v>0.0744357768117668</v>
      </c>
      <c r="F45" s="86">
        <f t="shared" si="19"/>
        <v>0.0425347296067239</v>
      </c>
      <c r="G45" s="86">
        <f t="shared" si="19"/>
        <v>0.0330825674718964</v>
      </c>
      <c r="H45" s="86">
        <f t="shared" si="19"/>
        <v>0</v>
      </c>
      <c r="I45" s="86">
        <f t="shared" si="19"/>
        <v>0</v>
      </c>
      <c r="J45" s="86">
        <f t="shared" si="19"/>
        <v>0</v>
      </c>
      <c r="K45" s="86">
        <f t="shared" si="19"/>
        <v>0</v>
      </c>
      <c r="L45" s="86">
        <f t="shared" si="19"/>
        <v>0</v>
      </c>
      <c r="M45" s="86">
        <f t="shared" si="19"/>
        <v>0</v>
      </c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="60" customFormat="1" customHeight="1" spans="1:26">
      <c r="A46" s="73">
        <v>43</v>
      </c>
      <c r="B46" s="80"/>
      <c r="C46" s="84" t="s">
        <v>208</v>
      </c>
      <c r="D46" s="72" t="s">
        <v>173</v>
      </c>
      <c r="E46" s="86">
        <f>E38/E15</f>
        <v>0.2</v>
      </c>
      <c r="F46" s="86">
        <f t="shared" ref="E46:M46" si="20">F38/F15</f>
        <v>0.2</v>
      </c>
      <c r="G46" s="86">
        <f t="shared" si="20"/>
        <v>0.15</v>
      </c>
      <c r="H46" s="86">
        <f t="shared" si="20"/>
        <v>0.15</v>
      </c>
      <c r="I46" s="86">
        <f t="shared" si="20"/>
        <v>0.1</v>
      </c>
      <c r="J46" s="86">
        <f t="shared" si="20"/>
        <v>0.1</v>
      </c>
      <c r="K46" s="86">
        <f t="shared" si="20"/>
        <v>0.08</v>
      </c>
      <c r="L46" s="86">
        <f t="shared" si="20"/>
        <v>0.08</v>
      </c>
      <c r="M46" s="86">
        <f t="shared" si="20"/>
        <v>0.08</v>
      </c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="60" customFormat="1" customHeight="1" spans="1:26">
      <c r="A47" s="73">
        <v>44</v>
      </c>
      <c r="B47" s="80"/>
      <c r="C47" s="70" t="s">
        <v>211</v>
      </c>
      <c r="D47" s="72" t="s">
        <v>173</v>
      </c>
      <c r="E47" s="86">
        <f t="shared" ref="E47:M47" si="21">E39/E15</f>
        <v>0.05</v>
      </c>
      <c r="F47" s="86">
        <f t="shared" si="21"/>
        <v>0.05</v>
      </c>
      <c r="G47" s="86">
        <f t="shared" si="21"/>
        <v>0.05</v>
      </c>
      <c r="H47" s="86">
        <f t="shared" si="21"/>
        <v>0.05</v>
      </c>
      <c r="I47" s="86">
        <f t="shared" si="21"/>
        <v>0.05</v>
      </c>
      <c r="J47" s="86">
        <f t="shared" si="21"/>
        <v>0</v>
      </c>
      <c r="K47" s="86">
        <f t="shared" si="21"/>
        <v>0</v>
      </c>
      <c r="L47" s="86">
        <f t="shared" si="21"/>
        <v>0</v>
      </c>
      <c r="M47" s="86">
        <f t="shared" si="21"/>
        <v>0</v>
      </c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</sheetData>
  <mergeCells count="14">
    <mergeCell ref="A1:Z1"/>
    <mergeCell ref="E2:I2"/>
    <mergeCell ref="K2:L2"/>
    <mergeCell ref="N2:O2"/>
    <mergeCell ref="E3:N3"/>
    <mergeCell ref="O3:X3"/>
    <mergeCell ref="B6:B11"/>
    <mergeCell ref="B12:B20"/>
    <mergeCell ref="B21:B31"/>
    <mergeCell ref="B32:B39"/>
    <mergeCell ref="B40:B47"/>
    <mergeCell ref="Y3:Y5"/>
    <mergeCell ref="Z3:Z5"/>
    <mergeCell ref="A3:C4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13"/>
  <sheetViews>
    <sheetView topLeftCell="A4" workbookViewId="0">
      <selection activeCell="E18" sqref="E18"/>
    </sheetView>
  </sheetViews>
  <sheetFormatPr defaultColWidth="9" defaultRowHeight="15"/>
  <cols>
    <col min="1" max="1" width="9.6" style="21" customWidth="1"/>
    <col min="2" max="3" width="7.6" style="21" customWidth="1"/>
    <col min="4" max="4" width="9" style="21"/>
    <col min="5" max="5" width="9" style="21" customWidth="1"/>
    <col min="6" max="8" width="9" style="21"/>
    <col min="9" max="9" width="10.4666666666667" style="21" customWidth="1"/>
    <col min="10" max="10" width="8.46666666666667" style="21" customWidth="1"/>
    <col min="11" max="11" width="11.8666666666667" style="21" customWidth="1"/>
    <col min="12" max="12" width="8.86666666666667" style="21" customWidth="1"/>
    <col min="13" max="13" width="9" style="21" customWidth="1"/>
    <col min="14" max="14" width="9" style="21"/>
    <col min="15" max="15" width="11" style="21" customWidth="1"/>
    <col min="16" max="18" width="9" style="21"/>
    <col min="19" max="19" width="10.8666666666667" style="21" customWidth="1"/>
    <col min="20" max="30" width="9" style="21"/>
    <col min="31" max="31" width="11" style="21" customWidth="1"/>
    <col min="32" max="32" width="11.4" style="21" customWidth="1"/>
    <col min="33" max="33" width="10.6" style="21" customWidth="1"/>
    <col min="34" max="34" width="9" style="21"/>
    <col min="35" max="35" width="10" style="21" customWidth="1"/>
    <col min="36" max="36" width="9" style="21"/>
    <col min="37" max="37" width="11.4666666666667" style="21" customWidth="1"/>
    <col min="38" max="38" width="9.26666666666667" style="21" customWidth="1"/>
    <col min="39" max="39" width="15" style="21" customWidth="1"/>
    <col min="40" max="40" width="9.4" style="21" customWidth="1"/>
    <col min="41" max="41" width="11.2666666666667" style="21" customWidth="1"/>
    <col min="42" max="42" width="14.4666666666667" style="21" customWidth="1"/>
    <col min="43" max="44" width="9.13333333333333" style="21" customWidth="1"/>
    <col min="45" max="47" width="10.7333333333333" style="21" customWidth="1"/>
    <col min="48" max="48" width="12.4666666666667" style="21" customWidth="1"/>
    <col min="49" max="49" width="13.2666666666667" style="21" customWidth="1"/>
    <col min="50" max="51" width="9.46666666666667" style="21" customWidth="1"/>
    <col min="52" max="52" width="9" style="21"/>
    <col min="53" max="53" width="16.1333333333333" style="21" customWidth="1"/>
    <col min="54" max="54" width="22.8666666666667" style="21" customWidth="1"/>
    <col min="55" max="16384" width="9" style="21"/>
  </cols>
  <sheetData>
    <row r="1" ht="46.05" customHeight="1" spans="1:134">
      <c r="A1" s="22" t="s">
        <v>38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</row>
    <row r="2" ht="34.05" customHeight="1" spans="1:134">
      <c r="A2" s="23" t="s">
        <v>212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</row>
    <row r="3" ht="38" customHeight="1" spans="1:134">
      <c r="A3" s="24" t="s">
        <v>39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</row>
    <row r="4" ht="33" customHeight="1" spans="1:134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</row>
    <row r="5" ht="25.05" customHeight="1" spans="1:134">
      <c r="A5" s="26" t="s">
        <v>214</v>
      </c>
      <c r="B5" s="27"/>
      <c r="C5" s="27"/>
      <c r="D5" s="27"/>
      <c r="E5" s="28"/>
      <c r="F5" s="29" t="s">
        <v>215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42"/>
      <c r="AE5" s="43" t="s">
        <v>216</v>
      </c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51"/>
      <c r="AQ5" s="43" t="s">
        <v>217</v>
      </c>
      <c r="AR5" s="44"/>
      <c r="AS5" s="44"/>
      <c r="AT5" s="44"/>
      <c r="AU5" s="44"/>
      <c r="AV5" s="51"/>
      <c r="AW5" s="55" t="s">
        <v>218</v>
      </c>
      <c r="AX5" s="56"/>
      <c r="AY5" s="56"/>
      <c r="AZ5" s="56"/>
      <c r="BA5" s="56"/>
      <c r="BB5" s="56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</row>
    <row r="6" ht="24" customHeight="1" spans="1:54">
      <c r="A6" s="31" t="s">
        <v>33</v>
      </c>
      <c r="B6" s="31" t="s">
        <v>34</v>
      </c>
      <c r="C6" s="31" t="s">
        <v>35</v>
      </c>
      <c r="D6" s="31" t="s">
        <v>36</v>
      </c>
      <c r="E6" s="32" t="s">
        <v>37</v>
      </c>
      <c r="F6" s="25" t="s">
        <v>219</v>
      </c>
      <c r="G6" s="25" t="s">
        <v>220</v>
      </c>
      <c r="H6" s="25" t="s">
        <v>221</v>
      </c>
      <c r="I6" s="25" t="s">
        <v>222</v>
      </c>
      <c r="J6" s="25" t="s">
        <v>223</v>
      </c>
      <c r="K6" s="25" t="s">
        <v>224</v>
      </c>
      <c r="L6" s="25" t="s">
        <v>225</v>
      </c>
      <c r="M6" s="25" t="s">
        <v>226</v>
      </c>
      <c r="N6" s="36" t="s">
        <v>227</v>
      </c>
      <c r="O6" s="37" t="s">
        <v>228</v>
      </c>
      <c r="P6" s="38" t="s">
        <v>229</v>
      </c>
      <c r="Q6" s="38"/>
      <c r="R6" s="38"/>
      <c r="S6" s="38" t="s">
        <v>230</v>
      </c>
      <c r="T6" s="38"/>
      <c r="U6" s="38"/>
      <c r="V6" s="38" t="s">
        <v>231</v>
      </c>
      <c r="W6" s="38"/>
      <c r="X6" s="38"/>
      <c r="Y6" s="38" t="s">
        <v>232</v>
      </c>
      <c r="Z6" s="38"/>
      <c r="AA6" s="38"/>
      <c r="AB6" s="38" t="s">
        <v>233</v>
      </c>
      <c r="AC6" s="38"/>
      <c r="AD6" s="38"/>
      <c r="AE6" s="45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52"/>
      <c r="AQ6" s="45"/>
      <c r="AR6" s="46"/>
      <c r="AS6" s="46"/>
      <c r="AT6" s="46"/>
      <c r="AU6" s="46"/>
      <c r="AV6" s="52"/>
      <c r="AW6" s="56"/>
      <c r="AX6" s="56"/>
      <c r="AY6" s="56"/>
      <c r="AZ6" s="56"/>
      <c r="BA6" s="56"/>
      <c r="BB6" s="56"/>
    </row>
    <row r="7" ht="43.05" customHeight="1" spans="1:134">
      <c r="A7" s="31"/>
      <c r="B7" s="31"/>
      <c r="C7" s="31"/>
      <c r="D7" s="31"/>
      <c r="E7" s="33"/>
      <c r="F7" s="23"/>
      <c r="G7" s="23"/>
      <c r="H7" s="23"/>
      <c r="I7" s="23"/>
      <c r="J7" s="23"/>
      <c r="K7" s="23"/>
      <c r="L7" s="23"/>
      <c r="M7" s="23"/>
      <c r="N7" s="37"/>
      <c r="O7" s="37"/>
      <c r="P7" s="39" t="s">
        <v>234</v>
      </c>
      <c r="Q7" s="39" t="s">
        <v>235</v>
      </c>
      <c r="R7" s="40" t="s">
        <v>236</v>
      </c>
      <c r="S7" s="41" t="s">
        <v>234</v>
      </c>
      <c r="T7" s="39" t="s">
        <v>235</v>
      </c>
      <c r="U7" s="40" t="s">
        <v>237</v>
      </c>
      <c r="V7" s="39" t="s">
        <v>234</v>
      </c>
      <c r="W7" s="39" t="s">
        <v>235</v>
      </c>
      <c r="X7" s="40" t="s">
        <v>236</v>
      </c>
      <c r="Y7" s="39" t="s">
        <v>234</v>
      </c>
      <c r="Z7" s="39" t="s">
        <v>235</v>
      </c>
      <c r="AA7" s="40" t="s">
        <v>236</v>
      </c>
      <c r="AB7" s="39" t="s">
        <v>234</v>
      </c>
      <c r="AC7" s="39" t="s">
        <v>235</v>
      </c>
      <c r="AD7" s="40" t="s">
        <v>236</v>
      </c>
      <c r="AE7" s="47" t="s">
        <v>238</v>
      </c>
      <c r="AF7" s="47" t="s">
        <v>239</v>
      </c>
      <c r="AG7" s="47" t="s">
        <v>240</v>
      </c>
      <c r="AH7" s="47" t="s">
        <v>241</v>
      </c>
      <c r="AI7" s="47" t="s">
        <v>242</v>
      </c>
      <c r="AJ7" s="47" t="s">
        <v>243</v>
      </c>
      <c r="AK7" s="47" t="s">
        <v>244</v>
      </c>
      <c r="AL7" s="50" t="s">
        <v>245</v>
      </c>
      <c r="AM7" s="47" t="s">
        <v>246</v>
      </c>
      <c r="AN7" s="47" t="s">
        <v>247</v>
      </c>
      <c r="AO7" s="53" t="s">
        <v>248</v>
      </c>
      <c r="AP7" s="53" t="s">
        <v>249</v>
      </c>
      <c r="AQ7" s="47" t="s">
        <v>250</v>
      </c>
      <c r="AR7" s="47" t="s">
        <v>251</v>
      </c>
      <c r="AS7" s="47" t="s">
        <v>252</v>
      </c>
      <c r="AT7" s="47" t="s">
        <v>251</v>
      </c>
      <c r="AU7" s="47" t="s">
        <v>253</v>
      </c>
      <c r="AV7" s="47" t="s">
        <v>251</v>
      </c>
      <c r="AW7" s="57" t="s">
        <v>254</v>
      </c>
      <c r="AX7" s="58" t="s">
        <v>255</v>
      </c>
      <c r="AY7" s="58" t="s">
        <v>256</v>
      </c>
      <c r="AZ7" s="58" t="s">
        <v>257</v>
      </c>
      <c r="BA7" s="58" t="s">
        <v>258</v>
      </c>
      <c r="BB7" s="58" t="s">
        <v>259</v>
      </c>
      <c r="DV7" s="59"/>
      <c r="DW7" s="59"/>
      <c r="DX7" s="59"/>
      <c r="DY7" s="59"/>
      <c r="DZ7" s="59"/>
      <c r="EA7" s="59"/>
      <c r="EB7" s="59"/>
      <c r="EC7" s="59"/>
      <c r="ED7" s="59"/>
    </row>
    <row r="9" spans="31:48">
      <c r="AE9" s="48"/>
      <c r="AF9" s="49"/>
      <c r="AG9" s="49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</row>
    <row r="11" spans="6:7">
      <c r="F11" s="34"/>
      <c r="G11" s="34"/>
    </row>
    <row r="12" spans="6:7">
      <c r="F12" s="34"/>
      <c r="G12" s="34"/>
    </row>
    <row r="13" spans="6:7">
      <c r="F13" s="35"/>
      <c r="G13" s="35"/>
    </row>
  </sheetData>
  <mergeCells count="29">
    <mergeCell ref="B1:BB1"/>
    <mergeCell ref="B2:BB2"/>
    <mergeCell ref="B3:BB3"/>
    <mergeCell ref="B4:BB4"/>
    <mergeCell ref="A5:E5"/>
    <mergeCell ref="F5:AD5"/>
    <mergeCell ref="P6:R6"/>
    <mergeCell ref="S6:U6"/>
    <mergeCell ref="V6:X6"/>
    <mergeCell ref="Y6:AA6"/>
    <mergeCell ref="AB6:AD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Q5:AV6"/>
    <mergeCell ref="AW5:BB6"/>
    <mergeCell ref="AE5:AP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R3"/>
  <sheetViews>
    <sheetView zoomScale="70" zoomScaleNormal="70" workbookViewId="0">
      <selection activeCell="I20" sqref="I20"/>
    </sheetView>
  </sheetViews>
  <sheetFormatPr defaultColWidth="9" defaultRowHeight="30" customHeight="1" outlineLevelRow="2"/>
  <cols>
    <col min="1" max="3" width="9" style="3"/>
    <col min="4" max="4" width="10.8666666666667" style="3" customWidth="1"/>
    <col min="5" max="5" width="12.3333333333333" style="3" customWidth="1"/>
    <col min="6" max="6" width="15.3333333333333" style="3" customWidth="1"/>
    <col min="7" max="7" width="12.3333333333333" style="3" customWidth="1"/>
    <col min="8" max="8" width="15.7333333333333" style="3" customWidth="1"/>
    <col min="9" max="9" width="14.2666666666667" style="3" customWidth="1"/>
    <col min="10" max="10" width="10.5333333333333" style="3" customWidth="1"/>
    <col min="11" max="11" width="10.7333333333333" style="3" customWidth="1"/>
    <col min="12" max="12" width="11.2666666666667" style="3" customWidth="1"/>
    <col min="13" max="13" width="11.9333333333333" style="3" customWidth="1"/>
    <col min="14" max="14" width="18.5333333333333" style="3" customWidth="1"/>
    <col min="15" max="15" width="12.6666666666667" style="3" customWidth="1"/>
    <col min="16" max="16" width="15.5333333333333" style="3" customWidth="1"/>
    <col min="17" max="17" width="11.2666666666667" style="3" customWidth="1"/>
    <col min="18" max="18" width="11.8" style="3" customWidth="1"/>
    <col min="19" max="19" width="14.2666666666667" style="3" customWidth="1"/>
    <col min="20" max="20" width="10.7333333333333" style="3" customWidth="1"/>
    <col min="21" max="22" width="13" style="3" customWidth="1"/>
    <col min="23" max="23" width="11.4" style="3" customWidth="1"/>
    <col min="24" max="24" width="9.66666666666667" style="3" customWidth="1"/>
    <col min="25" max="25" width="12.4666666666667" style="3" customWidth="1"/>
    <col min="26" max="26" width="10.5333333333333" style="3" customWidth="1"/>
    <col min="27" max="28" width="12.4666666666667" style="3" customWidth="1"/>
    <col min="29" max="29" width="12.3333333333333" style="3" customWidth="1"/>
    <col min="30" max="30" width="11.9333333333333" style="3" customWidth="1"/>
    <col min="31" max="33" width="11.6" style="3" customWidth="1"/>
    <col min="34" max="34" width="12.1333333333333" style="3" customWidth="1"/>
    <col min="35" max="35" width="13.7333333333333" style="3" customWidth="1"/>
    <col min="36" max="37" width="13.4" style="3" customWidth="1"/>
    <col min="38" max="38" width="16.0666666666667" style="3" customWidth="1"/>
    <col min="39" max="39" width="10.6" style="3" customWidth="1"/>
    <col min="40" max="40" width="11" style="3" customWidth="1"/>
    <col min="41" max="41" width="12.8666666666667" style="3" customWidth="1"/>
    <col min="42" max="42" width="12.1333333333333" style="3" customWidth="1"/>
    <col min="43" max="43" width="9.06666666666667" style="3" customWidth="1"/>
    <col min="44" max="44" width="13.4" style="3" customWidth="1"/>
    <col min="45" max="45" width="10.4666666666667" style="3" customWidth="1"/>
    <col min="46" max="46" width="10.7333333333333" style="3" customWidth="1"/>
    <col min="47" max="47" width="10" style="3" customWidth="1"/>
    <col min="48" max="48" width="11.8" style="3" customWidth="1"/>
    <col min="49" max="49" width="10.8666666666667" style="3" customWidth="1"/>
    <col min="50" max="51" width="9.6" style="3" customWidth="1"/>
    <col min="52" max="52" width="12.3333333333333" style="3" customWidth="1"/>
    <col min="53" max="54" width="11.6" style="3" customWidth="1"/>
    <col min="55" max="55" width="11.4" style="3" customWidth="1"/>
    <col min="56" max="56" width="13.2" style="3" customWidth="1"/>
    <col min="57" max="57" width="16.0666666666667" style="3" customWidth="1"/>
    <col min="58" max="59" width="12.4666666666667" style="3" customWidth="1"/>
    <col min="60" max="60" width="17.6666666666667" style="3" customWidth="1"/>
    <col min="61" max="61" width="11.6" style="3" customWidth="1"/>
    <col min="62" max="63" width="9" style="3"/>
    <col min="64" max="64" width="14.0666666666667" style="3" customWidth="1"/>
    <col min="65" max="65" width="31.6" style="3" customWidth="1"/>
    <col min="66" max="16384" width="9" style="3"/>
  </cols>
  <sheetData>
    <row r="1" s="1" customFormat="1" ht="62" customHeight="1" spans="1:125">
      <c r="A1" s="4" t="s">
        <v>260</v>
      </c>
      <c r="B1" s="4"/>
      <c r="C1" s="4"/>
      <c r="D1" s="4"/>
      <c r="E1" s="4"/>
      <c r="F1" s="4" t="s">
        <v>261</v>
      </c>
      <c r="G1" s="4"/>
      <c r="H1" s="4"/>
      <c r="I1" s="4"/>
      <c r="J1" s="10" t="s">
        <v>262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 t="s">
        <v>263</v>
      </c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 t="s">
        <v>264</v>
      </c>
      <c r="BJ1" s="10"/>
      <c r="BK1" s="10"/>
      <c r="BL1" s="10"/>
      <c r="BM1" s="10" t="s">
        <v>265</v>
      </c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</row>
    <row r="2" s="1" customFormat="1" ht="62" customHeight="1" spans="1:125">
      <c r="A2" s="4"/>
      <c r="B2" s="4"/>
      <c r="C2" s="4"/>
      <c r="D2" s="4"/>
      <c r="E2" s="4"/>
      <c r="F2" s="4"/>
      <c r="G2" s="4"/>
      <c r="H2" s="4"/>
      <c r="I2" s="4"/>
      <c r="J2" s="11" t="s">
        <v>266</v>
      </c>
      <c r="K2" s="11"/>
      <c r="L2" s="11"/>
      <c r="M2" s="11"/>
      <c r="N2" s="11" t="s">
        <v>267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4" t="s">
        <v>268</v>
      </c>
      <c r="AA2" s="14"/>
      <c r="AB2" s="14"/>
      <c r="AC2" s="14"/>
      <c r="AD2" s="14"/>
      <c r="AE2" s="14"/>
      <c r="AF2" s="14"/>
      <c r="AG2" s="14"/>
      <c r="AH2" s="14"/>
      <c r="AI2" s="15" t="s">
        <v>266</v>
      </c>
      <c r="AJ2" s="15"/>
      <c r="AK2" s="15"/>
      <c r="AL2" s="15"/>
      <c r="AM2" s="15" t="s">
        <v>267</v>
      </c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6" t="s">
        <v>268</v>
      </c>
      <c r="BA2" s="16"/>
      <c r="BB2" s="16"/>
      <c r="BC2" s="16"/>
      <c r="BD2" s="16"/>
      <c r="BE2" s="16"/>
      <c r="BF2" s="16"/>
      <c r="BG2" s="16"/>
      <c r="BH2" s="16"/>
      <c r="BI2" s="10"/>
      <c r="BJ2" s="10"/>
      <c r="BK2" s="10"/>
      <c r="BL2" s="10"/>
      <c r="BM2" s="10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</row>
    <row r="3" s="2" customFormat="1" ht="48" customHeight="1" spans="1:148">
      <c r="A3" s="5" t="s">
        <v>33</v>
      </c>
      <c r="B3" s="5" t="s">
        <v>34</v>
      </c>
      <c r="C3" s="5" t="s">
        <v>35</v>
      </c>
      <c r="D3" s="5" t="s">
        <v>36</v>
      </c>
      <c r="E3" s="6" t="s">
        <v>269</v>
      </c>
      <c r="F3" s="7" t="s">
        <v>38</v>
      </c>
      <c r="G3" s="8" t="s">
        <v>39</v>
      </c>
      <c r="H3" s="9" t="s">
        <v>270</v>
      </c>
      <c r="I3" s="9" t="s">
        <v>219</v>
      </c>
      <c r="J3" s="9" t="s">
        <v>222</v>
      </c>
      <c r="K3" s="9" t="s">
        <v>223</v>
      </c>
      <c r="L3" s="9" t="s">
        <v>271</v>
      </c>
      <c r="M3" s="9" t="s">
        <v>221</v>
      </c>
      <c r="N3" s="12" t="s">
        <v>272</v>
      </c>
      <c r="O3" s="12" t="s">
        <v>273</v>
      </c>
      <c r="P3" s="12" t="s">
        <v>274</v>
      </c>
      <c r="Q3" s="12" t="s">
        <v>275</v>
      </c>
      <c r="R3" s="12" t="s">
        <v>276</v>
      </c>
      <c r="S3" s="9" t="s">
        <v>227</v>
      </c>
      <c r="T3" s="13" t="s">
        <v>277</v>
      </c>
      <c r="U3" s="13" t="s">
        <v>278</v>
      </c>
      <c r="V3" s="9" t="s">
        <v>279</v>
      </c>
      <c r="W3" s="9" t="s">
        <v>280</v>
      </c>
      <c r="X3" s="13" t="s">
        <v>281</v>
      </c>
      <c r="Y3" s="9" t="s">
        <v>226</v>
      </c>
      <c r="Z3" s="12" t="s">
        <v>247</v>
      </c>
      <c r="AA3" s="12" t="s">
        <v>282</v>
      </c>
      <c r="AB3" s="12" t="s">
        <v>283</v>
      </c>
      <c r="AC3" s="12" t="s">
        <v>284</v>
      </c>
      <c r="AD3" s="12" t="s">
        <v>285</v>
      </c>
      <c r="AE3" s="12" t="s">
        <v>286</v>
      </c>
      <c r="AF3" s="12" t="s">
        <v>287</v>
      </c>
      <c r="AG3" s="12" t="s">
        <v>288</v>
      </c>
      <c r="AH3" s="12" t="s">
        <v>289</v>
      </c>
      <c r="AI3" s="9" t="s">
        <v>222</v>
      </c>
      <c r="AJ3" s="9" t="s">
        <v>223</v>
      </c>
      <c r="AK3" s="9" t="s">
        <v>271</v>
      </c>
      <c r="AL3" s="9" t="s">
        <v>221</v>
      </c>
      <c r="AM3" s="12" t="s">
        <v>290</v>
      </c>
      <c r="AN3" s="12" t="s">
        <v>273</v>
      </c>
      <c r="AO3" s="12" t="s">
        <v>274</v>
      </c>
      <c r="AP3" s="12" t="s">
        <v>275</v>
      </c>
      <c r="AQ3" s="12" t="s">
        <v>291</v>
      </c>
      <c r="AR3" s="12" t="s">
        <v>292</v>
      </c>
      <c r="AS3" s="9" t="s">
        <v>293</v>
      </c>
      <c r="AT3" s="13" t="s">
        <v>277</v>
      </c>
      <c r="AU3" s="13" t="s">
        <v>278</v>
      </c>
      <c r="AV3" s="9" t="s">
        <v>279</v>
      </c>
      <c r="AW3" s="9" t="s">
        <v>280</v>
      </c>
      <c r="AX3" s="13" t="s">
        <v>281</v>
      </c>
      <c r="AY3" s="9" t="s">
        <v>226</v>
      </c>
      <c r="AZ3" s="12" t="s">
        <v>247</v>
      </c>
      <c r="BA3" s="12" t="s">
        <v>282</v>
      </c>
      <c r="BB3" s="12" t="s">
        <v>283</v>
      </c>
      <c r="BC3" s="12" t="s">
        <v>284</v>
      </c>
      <c r="BD3" s="12" t="s">
        <v>285</v>
      </c>
      <c r="BE3" s="12" t="s">
        <v>286</v>
      </c>
      <c r="BF3" s="12" t="s">
        <v>287</v>
      </c>
      <c r="BG3" s="12" t="s">
        <v>288</v>
      </c>
      <c r="BH3" s="12" t="s">
        <v>289</v>
      </c>
      <c r="BI3" s="12" t="s">
        <v>294</v>
      </c>
      <c r="BJ3" s="12" t="s">
        <v>255</v>
      </c>
      <c r="BK3" s="12" t="s">
        <v>256</v>
      </c>
      <c r="BL3" s="12" t="s">
        <v>295</v>
      </c>
      <c r="BM3" s="17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</row>
  </sheetData>
  <mergeCells count="12">
    <mergeCell ref="J1:AH1"/>
    <mergeCell ref="AI1:BH1"/>
    <mergeCell ref="J2:M2"/>
    <mergeCell ref="N2:Y2"/>
    <mergeCell ref="Z2:AH2"/>
    <mergeCell ref="AI2:AL2"/>
    <mergeCell ref="AM2:AY2"/>
    <mergeCell ref="AZ2:BH2"/>
    <mergeCell ref="BM1:BM3"/>
    <mergeCell ref="A1:E2"/>
    <mergeCell ref="F1:I2"/>
    <mergeCell ref="BI1:B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运营工作</vt:lpstr>
      <vt:lpstr>产品定价表</vt:lpstr>
      <vt:lpstr>产品上架</vt:lpstr>
      <vt:lpstr>单品推广表</vt:lpstr>
      <vt:lpstr>产品每日统计表</vt:lpstr>
      <vt:lpstr>周报表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木杉</cp:lastModifiedBy>
  <dcterms:created xsi:type="dcterms:W3CDTF">2021-05-15T01:19:00Z</dcterms:created>
  <dcterms:modified xsi:type="dcterms:W3CDTF">2023-11-15T08:36:57Z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2052-12.1.0.15933</vt:lpwstr>
  </property>
  <property fmtid="{D5CDD505-2E9C-101B-9397-08002B2CF9AE}" pid="3" name="ICV">
    <vt:lpwstr>45646515FE354E1993E07BB5368A36BC</vt:lpwstr>
  </property>
</Properties>
</file>