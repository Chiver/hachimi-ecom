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运营推广计划表" sheetId="1" r:id="rId1"/>
    <sheet name="首批与返单囤货数量预测表" sheetId="3" r:id="rId2"/>
    <sheet name="毛利测算表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F2" authorId="0">
      <text>
        <r>
          <rPr>
            <sz val="9"/>
            <color rgb="FF000000"/>
            <rFont val="宋体"/>
            <charset val="134"/>
          </rPr>
          <t>seamoon ao:
定价目标，由运营人员根据阶段定价策划确定</t>
        </r>
        <r>
          <rPr>
            <sz val="10"/>
            <color rgb="FF000000"/>
            <rFont val="宋体"/>
            <charset val="134"/>
          </rPr>
          <t xml:space="preserve">
  - 林爱敏
  - Ellen Lee
  - 王可欣
  - 王可欣</t>
        </r>
        <r>
          <rPr>
            <sz val="10"/>
            <rFont val="宋体"/>
            <charset val="134"/>
          </rPr>
          <t xml:space="preserve">
  - 王可欣</t>
        </r>
      </text>
    </comment>
    <comment ref="N3" authorId="0">
      <text>
        <r>
          <rPr>
            <b/>
            <sz val="9"/>
            <color rgb="FF000000"/>
            <rFont val="宋体"/>
            <charset val="134"/>
          </rPr>
          <t>zbird:</t>
        </r>
        <r>
          <rPr>
            <sz val="9"/>
            <color rgb="FF000000"/>
            <rFont val="宋体"/>
            <charset val="134"/>
          </rPr>
          <t xml:space="preserve">
有两周的实际销量后，对应的日销需要填写实际的日销，同时后续的日销需要重新预估</t>
        </r>
        <r>
          <rPr>
            <sz val="10"/>
            <color rgb="FF000000"/>
            <rFont val="宋体"/>
            <charset val="134"/>
          </rPr>
          <t xml:space="preserve">
  - 林爱敏
  - Ellen Lee
  - 王可欣
  - 王可欣</t>
        </r>
        <r>
          <rPr>
            <sz val="10"/>
            <rFont val="宋体"/>
            <charset val="134"/>
          </rPr>
          <t xml:space="preserve">
  - 王可欣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color rgb="FF000000"/>
            <rFont val="宋体"/>
            <charset val="134"/>
          </rPr>
          <t>设置售价梯度值</t>
        </r>
        <r>
          <rPr>
            <sz val="10"/>
            <color rgb="FF000000"/>
            <rFont val="宋体"/>
            <charset val="134"/>
          </rPr>
          <t xml:space="preserve">
  - 林爱敏
  - Ellen Lee
  - 王可欣
  - 王可欣</t>
        </r>
        <r>
          <rPr>
            <sz val="10"/>
            <rFont val="宋体"/>
            <charset val="134"/>
          </rPr>
          <t xml:space="preserve">
  - 王可欣</t>
        </r>
      </text>
    </comment>
    <comment ref="B17" authorId="0">
      <text>
        <r>
          <rPr>
            <b/>
            <sz val="9"/>
            <color rgb="FF000000"/>
            <rFont val="宋体"/>
            <charset val="134"/>
          </rPr>
          <t>在此调价！
不用手动改上面表格数据</t>
        </r>
        <r>
          <rPr>
            <sz val="10"/>
            <color rgb="FF000000"/>
            <rFont val="宋体"/>
            <charset val="134"/>
          </rPr>
          <t xml:space="preserve">
  - 林爱敏
  - Ellen Lee
  - 王可欣
  - 王可欣</t>
        </r>
        <r>
          <rPr>
            <sz val="10"/>
            <rFont val="宋体"/>
            <charset val="134"/>
          </rPr>
          <t xml:space="preserve">
  - 王可欣</t>
        </r>
      </text>
    </comment>
  </commentList>
</comments>
</file>

<file path=xl/sharedStrings.xml><?xml version="1.0" encoding="utf-8"?>
<sst xmlns="http://schemas.openxmlformats.org/spreadsheetml/2006/main" count="453" uniqueCount="238">
  <si>
    <t>亚马逊新品利润预算表</t>
  </si>
  <si>
    <t>单个头程计算表</t>
  </si>
  <si>
    <t>料号</t>
  </si>
  <si>
    <t>SKU</t>
  </si>
  <si>
    <t>产品排名目标</t>
  </si>
  <si>
    <t>外箱尺寸（inch）</t>
  </si>
  <si>
    <t>品名</t>
  </si>
  <si>
    <t>ASIN</t>
  </si>
  <si>
    <t>产品销量目标</t>
  </si>
  <si>
    <t>外箱尺寸（cm）</t>
  </si>
  <si>
    <t>原币</t>
  </si>
  <si>
    <t>汇率</t>
  </si>
  <si>
    <t>预计达成时间</t>
  </si>
  <si>
    <t>体积</t>
  </si>
  <si>
    <t>币别</t>
  </si>
  <si>
    <t>人民币（元）</t>
  </si>
  <si>
    <t>重量（kg）</t>
  </si>
  <si>
    <t>销售期间</t>
  </si>
  <si>
    <t>推广期</t>
  </si>
  <si>
    <t>盈利期</t>
  </si>
  <si>
    <t>总合计</t>
  </si>
  <si>
    <t>备注</t>
  </si>
  <si>
    <t>体积重</t>
  </si>
  <si>
    <t>类目           产品链接</t>
  </si>
  <si>
    <t>第一月</t>
  </si>
  <si>
    <t>第二月</t>
  </si>
  <si>
    <t>第三月</t>
  </si>
  <si>
    <t>物流价格/kg</t>
  </si>
  <si>
    <t>收入</t>
  </si>
  <si>
    <t>刷单数量</t>
  </si>
  <si>
    <t>预估刷单单量</t>
  </si>
  <si>
    <t>单个运费</t>
  </si>
  <si>
    <t>正常销量</t>
  </si>
  <si>
    <t>预估正常销量（不包含刷单单量），需要通过囤货计划中的销量预估，公式会自动汇总</t>
  </si>
  <si>
    <t>单项数量</t>
  </si>
  <si>
    <t>汇总销量</t>
  </si>
  <si>
    <t>预估销量（包含刷单单量）</t>
  </si>
  <si>
    <t>单个头程</t>
  </si>
  <si>
    <t>不含税售价（人民币）</t>
  </si>
  <si>
    <t>product sales价格</t>
  </si>
  <si>
    <t>空运</t>
  </si>
  <si>
    <t>红单</t>
  </si>
  <si>
    <t>海运</t>
  </si>
  <si>
    <t>销售税率</t>
  </si>
  <si>
    <t>product sales tax税率，欧洲站20%，美国站0%</t>
  </si>
  <si>
    <t>产品包装信息</t>
  </si>
  <si>
    <t>含税售价(美元或其他货币）</t>
  </si>
  <si>
    <t>亚马逊上的售价</t>
  </si>
  <si>
    <t>彩盒尺寸（cm)</t>
  </si>
  <si>
    <t>包裹重量(KG)</t>
  </si>
  <si>
    <t>含税售价（人民币）</t>
  </si>
  <si>
    <t>退款率</t>
  </si>
  <si>
    <t>预估退款率</t>
  </si>
  <si>
    <t>各费用占比</t>
  </si>
  <si>
    <t>不含税销售额（人民币）</t>
  </si>
  <si>
    <t>阶段</t>
  </si>
  <si>
    <t>第1月</t>
  </si>
  <si>
    <t>第2月</t>
  </si>
  <si>
    <t>第3月及以后</t>
  </si>
  <si>
    <t>含税销售额（人民币）</t>
  </si>
  <si>
    <t>营销占比</t>
  </si>
  <si>
    <t>成本</t>
  </si>
  <si>
    <t>产品成本单价（人民币）</t>
  </si>
  <si>
    <t>站内促销营销比</t>
  </si>
  <si>
    <t>总成本（人民币）</t>
  </si>
  <si>
    <t>站外营销比</t>
  </si>
  <si>
    <t>毛利</t>
  </si>
  <si>
    <t>毛利额（人民币）</t>
  </si>
  <si>
    <t>不含税销售额减去产品总成本</t>
  </si>
  <si>
    <t>成本比</t>
  </si>
  <si>
    <t>毛利率</t>
  </si>
  <si>
    <t>物流费用比例</t>
  </si>
  <si>
    <t>站内促销费用</t>
  </si>
  <si>
    <t>LD次数</t>
  </si>
  <si>
    <t>每月预计秒杀次数</t>
  </si>
  <si>
    <t>佣金比</t>
  </si>
  <si>
    <t>7DD次数</t>
  </si>
  <si>
    <t>每月预计7天促销次数</t>
  </si>
  <si>
    <t>FBA配送费比</t>
  </si>
  <si>
    <t>Coupon</t>
  </si>
  <si>
    <t>优惠券的优惠金额数或者百分比</t>
  </si>
  <si>
    <t>其他费用</t>
  </si>
  <si>
    <t>Coupon Rate（使用率）</t>
  </si>
  <si>
    <t>优惠券使用率=Coupon兑换数/总订单,第一次制作的时候需要预估，有两周的数据后可以实际计算；</t>
  </si>
  <si>
    <t>退款</t>
  </si>
  <si>
    <t>Prime Discount（折扣）</t>
  </si>
  <si>
    <t>会员专项折扣百分比</t>
  </si>
  <si>
    <t>净利率</t>
  </si>
  <si>
    <t>总计（人民币）</t>
  </si>
  <si>
    <t>请注意修改个站点LD,7DD的价格，参考右下方的价格信息</t>
  </si>
  <si>
    <t>站内预估数据</t>
  </si>
  <si>
    <t>CPC（预估）(美元或其他货币）</t>
  </si>
  <si>
    <t>参考类似产品历史数据或者卖家精灵，对CPC值做预估</t>
  </si>
  <si>
    <t>转化率（预估）</t>
  </si>
  <si>
    <t>结合后台商品探测器的类目关键词转化率和产品本身，对产品做出转化率预估</t>
  </si>
  <si>
    <t>US</t>
  </si>
  <si>
    <t>广告订单成本（每单）(美元或其他货币）</t>
  </si>
  <si>
    <t>每个广告订单所需要的广告费</t>
  </si>
  <si>
    <t>EU</t>
  </si>
  <si>
    <t>广告订单占比（预估）</t>
  </si>
  <si>
    <t>整月广告订单占比的预估值</t>
  </si>
  <si>
    <t>UK</t>
  </si>
  <si>
    <t>广告订单营销比（Acos）</t>
  </si>
  <si>
    <t>费用</t>
  </si>
  <si>
    <t>站内推广费（人民币）</t>
  </si>
  <si>
    <t>站内促销费用明细（当地货币）</t>
  </si>
  <si>
    <t>站内推广费（美金）</t>
  </si>
  <si>
    <t>站点</t>
  </si>
  <si>
    <t>LD</t>
  </si>
  <si>
    <t>7DD</t>
  </si>
  <si>
    <t>广告营销比=ACOS*广告订单占比</t>
  </si>
  <si>
    <t>平台佣金（人民币）</t>
  </si>
  <si>
    <t>DE</t>
  </si>
  <si>
    <t>平台佣金比例</t>
  </si>
  <si>
    <t>FBA配送费（美元或其他货币）</t>
  </si>
  <si>
    <t>IT/FR/ES</t>
  </si>
  <si>
    <t>FBA配送费（人民币）</t>
  </si>
  <si>
    <t>单个产品FBA配送费</t>
  </si>
  <si>
    <t>FBA配送费（总）（人民币）</t>
  </si>
  <si>
    <t>平台及其他费用</t>
  </si>
  <si>
    <t>包含站内订阅、仓储、弃置等，可以按照2%计算</t>
  </si>
  <si>
    <t>单个头程及海外仓费(人民币）</t>
  </si>
  <si>
    <t>单个产品头程及海外仓费，头程费按以下方法预估</t>
  </si>
  <si>
    <t>头程及海外仓费（总）</t>
  </si>
  <si>
    <t>测评佣金（红包，人民币）</t>
  </si>
  <si>
    <t>单个产品营销佣金（红包）</t>
  </si>
  <si>
    <t>测评费用（总）</t>
  </si>
  <si>
    <t>站外红人等推广费及其他报销（人民币）</t>
  </si>
  <si>
    <t>站外所有推广费及报销费用</t>
  </si>
  <si>
    <t>费用总额</t>
  </si>
  <si>
    <t>总费用占比</t>
  </si>
  <si>
    <t>利润</t>
  </si>
  <si>
    <t>净毛利额（人民币）</t>
  </si>
  <si>
    <t>净毛利率</t>
  </si>
  <si>
    <t>填表说明：</t>
  </si>
  <si>
    <t>绿底为必填项，非绿底的是自动计算项，欧洲站的销售税率设定为20%，美国站销售税率设定为0%。</t>
  </si>
  <si>
    <t>头程费预估：先核算出各种物流方式的单位头程费，再测算每个阶段红单比重、空派比重、海运比重，最后核算出相应阶段的综合单位头程费。
公式：单位综合头程费=单位红单头程费*红单比重+单位空运头程费*空运比重+单位海运头程费*海运比重。（红单比重+空运比重+海运比重=1）</t>
  </si>
  <si>
    <t>销售价格预估：平台订单价格按同类同级别产品的市场价估算。</t>
  </si>
  <si>
    <t>总结</t>
  </si>
  <si>
    <t>月份</t>
  </si>
  <si>
    <t>月销量</t>
  </si>
  <si>
    <t>月销售额（RMB）</t>
  </si>
  <si>
    <t>广告费</t>
  </si>
  <si>
    <t>广销比</t>
  </si>
  <si>
    <t>净利润（RMB)</t>
  </si>
  <si>
    <t>第1个月</t>
  </si>
  <si>
    <t>第2个月</t>
  </si>
  <si>
    <t>第3个月</t>
  </si>
  <si>
    <t>盈亏平衡测算</t>
  </si>
  <si>
    <t>三个月内是否存在正向利润</t>
  </si>
  <si>
    <t>日期</t>
  </si>
  <si>
    <t>周</t>
  </si>
  <si>
    <t>天数</t>
  </si>
  <si>
    <t>客单价</t>
  </si>
  <si>
    <t>日总单量
（预计）</t>
  </si>
  <si>
    <t>当前库存</t>
  </si>
  <si>
    <t>预计剩余库存</t>
  </si>
  <si>
    <t>到货库存</t>
  </si>
  <si>
    <t>13周销量计划</t>
  </si>
  <si>
    <t>第一周</t>
  </si>
  <si>
    <t>销售时间</t>
  </si>
  <si>
    <t>预计达到小排名</t>
  </si>
  <si>
    <t>日销</t>
  </si>
  <si>
    <t>下单总量</t>
  </si>
  <si>
    <t>第二周</t>
  </si>
  <si>
    <t>第三周</t>
  </si>
  <si>
    <t>第四周</t>
  </si>
  <si>
    <t>第五周</t>
  </si>
  <si>
    <t>第六周</t>
  </si>
  <si>
    <t>第七周</t>
  </si>
  <si>
    <t>第八周</t>
  </si>
  <si>
    <t>第九周</t>
  </si>
  <si>
    <t>第十周</t>
  </si>
  <si>
    <t>第十一周</t>
  </si>
  <si>
    <t>第十二周</t>
  </si>
  <si>
    <t>第十三周</t>
  </si>
  <si>
    <t>汇总</t>
  </si>
  <si>
    <t>首批+返单下单计划</t>
  </si>
  <si>
    <t>批次</t>
  </si>
  <si>
    <t>下单量</t>
  </si>
  <si>
    <t>物流时效</t>
  </si>
  <si>
    <t>物流渠道</t>
  </si>
  <si>
    <t>产品交期</t>
  </si>
  <si>
    <t>下单时间</t>
  </si>
  <si>
    <t>付款金额</t>
  </si>
  <si>
    <t>交货时间</t>
  </si>
  <si>
    <t>国内离港时间</t>
  </si>
  <si>
    <t>到货时间</t>
  </si>
  <si>
    <t>首批</t>
  </si>
  <si>
    <t>返单</t>
  </si>
  <si>
    <t>基础信息</t>
  </si>
  <si>
    <t>产品交期/天</t>
  </si>
  <si>
    <t>天</t>
  </si>
  <si>
    <t>人民币</t>
  </si>
  <si>
    <t>快递时效</t>
  </si>
  <si>
    <t>快船时效</t>
  </si>
  <si>
    <t>慢船时效</t>
  </si>
  <si>
    <t>空运时效</t>
  </si>
  <si>
    <t>卡航</t>
  </si>
  <si>
    <t>单次补货维持天数</t>
  </si>
  <si>
    <t>交货后国内处理时间</t>
  </si>
  <si>
    <t>利润核算表（海运）</t>
  </si>
  <si>
    <t>利润核算表（空运）</t>
  </si>
  <si>
    <t>利润核算表（快船）</t>
  </si>
  <si>
    <t>售价阶梯</t>
  </si>
  <si>
    <t>成本结构</t>
  </si>
  <si>
    <t>净利润</t>
  </si>
  <si>
    <t>采购成本</t>
  </si>
  <si>
    <t>采购占比</t>
  </si>
  <si>
    <t>头程运费</t>
  </si>
  <si>
    <t>头程占比</t>
  </si>
  <si>
    <t>FBA费用</t>
  </si>
  <si>
    <t>交易佣金</t>
  </si>
  <si>
    <t>仓租（淡/旺）</t>
  </si>
  <si>
    <t>广告费用</t>
  </si>
  <si>
    <t>汇率折损</t>
  </si>
  <si>
    <t>退款费用</t>
  </si>
  <si>
    <t>VAT税</t>
  </si>
  <si>
    <t>头程运输</t>
  </si>
  <si>
    <t>设定售价</t>
  </si>
  <si>
    <t>英镑</t>
  </si>
  <si>
    <t>海运成本</t>
  </si>
  <si>
    <t>空派成本</t>
  </si>
  <si>
    <t>DHL成本</t>
  </si>
  <si>
    <t>长</t>
  </si>
  <si>
    <t>厘米</t>
  </si>
  <si>
    <t>宽</t>
  </si>
  <si>
    <t>高</t>
  </si>
  <si>
    <t>产品实重</t>
  </si>
  <si>
    <t>千克</t>
  </si>
  <si>
    <t>海运体积重</t>
  </si>
  <si>
    <t>渠道</t>
  </si>
  <si>
    <t>实时价格</t>
  </si>
  <si>
    <t>海运价格</t>
  </si>
  <si>
    <t>元/KG</t>
  </si>
  <si>
    <t>空派价格</t>
  </si>
  <si>
    <t>卡航价格</t>
  </si>
  <si>
    <t>FBA配送费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</si>
</sst>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"/>
    <numFmt numFmtId="177" formatCode="&quot;$&quot;#,##0.00;\-&quot;$&quot;#,##0.00"/>
    <numFmt numFmtId="178" formatCode="[$£-809]#,##0.00;\-[$£-809]#,##0.00"/>
    <numFmt numFmtId="179" formatCode="&quot;$&quot;#,##0.00_);[Red]\(&quot;$&quot;#,##0.00\)"/>
    <numFmt numFmtId="180" formatCode="[$£-809]#,##0.00_);[Red]\([$£-809]#,##0.00\)"/>
    <numFmt numFmtId="181" formatCode="&quot;￥&quot;#,##0.0_);[Red]\(&quot;￥&quot;#,##0.0\)"/>
    <numFmt numFmtId="182" formatCode="0.00_ "/>
    <numFmt numFmtId="183" formatCode="&quot;￥&quot;#,##0.00_);[Red]\(&quot;￥&quot;#,##0.00\)"/>
    <numFmt numFmtId="184" formatCode="0_);[Red]\(0\)"/>
    <numFmt numFmtId="185" formatCode="0_ "/>
    <numFmt numFmtId="186" formatCode="yyyy/m/d;@"/>
    <numFmt numFmtId="187" formatCode="#,##0.00_ "/>
    <numFmt numFmtId="188" formatCode="#,##0.000_ "/>
    <numFmt numFmtId="189" formatCode="#,##0.0_ "/>
    <numFmt numFmtId="190" formatCode="&quot;£&quot;#,##0.00;[Red]\(&quot;£&quot;#,##0.00\)"/>
    <numFmt numFmtId="191" formatCode="0.0_);[Red]\(0.0\)"/>
    <numFmt numFmtId="192" formatCode="#,##0_ "/>
    <numFmt numFmtId="193" formatCode="0.0%"/>
    <numFmt numFmtId="194" formatCode="0.000%"/>
  </numFmts>
  <fonts count="52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b/>
      <sz val="14"/>
      <color rgb="FF000000"/>
      <name val="微软雅黑"/>
      <charset val="134"/>
    </font>
    <font>
      <b/>
      <sz val="16"/>
      <color rgb="FFFFFFFF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b/>
      <sz val="14"/>
      <color rgb="FFFFFFFF"/>
      <name val="微软雅黑"/>
      <charset val="134"/>
    </font>
    <font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C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3F3F3F"/>
      <name val="微软雅黑"/>
      <charset val="134"/>
    </font>
    <font>
      <b/>
      <sz val="20"/>
      <color rgb="FF3F3F3F"/>
      <name val="微软雅黑"/>
      <charset val="134"/>
    </font>
    <font>
      <sz val="10"/>
      <color rgb="FF000000"/>
      <name val="等线"/>
      <charset val="134"/>
    </font>
    <font>
      <b/>
      <sz val="15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C55A11"/>
      <name val="微软雅黑"/>
      <charset val="134"/>
    </font>
    <font>
      <b/>
      <sz val="10"/>
      <color rgb="FFC55A11"/>
      <name val="微软雅黑"/>
      <charset val="134"/>
    </font>
    <font>
      <b/>
      <sz val="15"/>
      <color rgb="FFC00000"/>
      <name val="微软雅黑"/>
      <charset val="134"/>
    </font>
    <font>
      <sz val="10"/>
      <color rgb="FFC00000"/>
      <name val="微软雅黑"/>
      <charset val="134"/>
    </font>
    <font>
      <b/>
      <sz val="10"/>
      <color rgb="FFFF0000"/>
      <name val="宋体"/>
      <charset val="134"/>
    </font>
    <font>
      <b/>
      <sz val="10"/>
      <color rgb="FF70AD47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9"/>
      <color rgb="FF00000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96B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 diagonalDown="1"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 style="thin">
        <color rgb="FF000000"/>
      </diagonal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20" borderId="4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5" applyNumberFormat="0" applyFill="0" applyAlignment="0" applyProtection="0">
      <alignment vertical="center"/>
    </xf>
    <xf numFmtId="0" fontId="35" fillId="0" borderId="45" applyNumberFormat="0" applyFill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1" borderId="47" applyNumberFormat="0" applyAlignment="0" applyProtection="0">
      <alignment vertical="center"/>
    </xf>
    <xf numFmtId="0" fontId="38" fillId="12" borderId="48" applyNumberFormat="0" applyAlignment="0" applyProtection="0">
      <alignment vertical="center"/>
    </xf>
    <xf numFmtId="0" fontId="39" fillId="12" borderId="47" applyNumberFormat="0" applyAlignment="0" applyProtection="0">
      <alignment vertical="center"/>
    </xf>
    <xf numFmtId="0" fontId="40" fillId="22" borderId="49" applyNumberFormat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7" fontId="4" fillId="3" borderId="1" xfId="0" applyNumberFormat="1" applyFont="1" applyFill="1" applyBorder="1" applyAlignment="1" applyProtection="1">
      <alignment horizontal="center"/>
    </xf>
    <xf numFmtId="0" fontId="2" fillId="0" borderId="2" xfId="0" applyFont="1" applyBorder="1" applyAlignment="1" applyProtection="1"/>
    <xf numFmtId="177" fontId="5" fillId="4" borderId="3" xfId="0" applyNumberFormat="1" applyFont="1" applyFill="1" applyBorder="1" applyAlignment="1" applyProtection="1">
      <alignment horizontal="center" vertical="center"/>
    </xf>
    <xf numFmtId="177" fontId="6" fillId="5" borderId="1" xfId="0" applyNumberFormat="1" applyFont="1" applyFill="1" applyBorder="1" applyAlignment="1" applyProtection="1">
      <alignment horizontal="center" vertical="center"/>
    </xf>
    <xf numFmtId="177" fontId="6" fillId="5" borderId="2" xfId="0" applyNumberFormat="1" applyFont="1" applyFill="1" applyBorder="1" applyAlignment="1" applyProtection="1">
      <alignment horizontal="center" vertical="center"/>
    </xf>
    <xf numFmtId="177" fontId="5" fillId="6" borderId="3" xfId="0" applyNumberFormat="1" applyFont="1" applyFill="1" applyBorder="1" applyAlignment="1" applyProtection="1">
      <alignment horizontal="center" vertical="center"/>
    </xf>
    <xf numFmtId="177" fontId="5" fillId="6" borderId="3" xfId="0" applyNumberFormat="1" applyFont="1" applyFill="1" applyBorder="1" applyAlignment="1" applyProtection="1">
      <alignment horizontal="left" vertical="center"/>
    </xf>
    <xf numFmtId="178" fontId="5" fillId="0" borderId="3" xfId="0" applyNumberFormat="1" applyFont="1" applyBorder="1" applyAlignment="1" applyProtection="1">
      <alignment horizontal="center" vertical="center"/>
    </xf>
    <xf numFmtId="10" fontId="5" fillId="0" borderId="3" xfId="0" applyNumberFormat="1" applyFont="1" applyBorder="1" applyAlignment="1" applyProtection="1">
      <alignment horizontal="center" vertical="center"/>
    </xf>
    <xf numFmtId="178" fontId="5" fillId="7" borderId="3" xfId="0" applyNumberFormat="1" applyFont="1" applyFill="1" applyBorder="1" applyAlignment="1" applyProtection="1">
      <alignment horizontal="center" vertical="center"/>
    </xf>
    <xf numFmtId="10" fontId="5" fillId="7" borderId="3" xfId="0" applyNumberFormat="1" applyFont="1" applyFill="1" applyBorder="1" applyAlignment="1" applyProtection="1">
      <alignment horizontal="center" vertical="center"/>
    </xf>
    <xf numFmtId="178" fontId="5" fillId="8" borderId="3" xfId="0" applyNumberFormat="1" applyFont="1" applyFill="1" applyBorder="1" applyAlignment="1" applyProtection="1">
      <alignment horizontal="center" vertical="center"/>
    </xf>
    <xf numFmtId="10" fontId="5" fillId="8" borderId="3" xfId="0" applyNumberFormat="1" applyFont="1" applyFill="1" applyBorder="1" applyAlignment="1" applyProtection="1">
      <alignment horizontal="center" vertical="center"/>
    </xf>
    <xf numFmtId="0" fontId="5" fillId="0" borderId="0" xfId="0" applyFont="1">
      <alignment vertical="center"/>
    </xf>
    <xf numFmtId="179" fontId="3" fillId="0" borderId="3" xfId="0" applyNumberFormat="1" applyFont="1" applyBorder="1" applyAlignment="1" applyProtection="1">
      <alignment horizontal="center" vertical="center"/>
    </xf>
    <xf numFmtId="180" fontId="7" fillId="0" borderId="3" xfId="0" applyNumberFormat="1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left" vertical="center"/>
    </xf>
    <xf numFmtId="0" fontId="5" fillId="0" borderId="3" xfId="0" applyFont="1" applyBorder="1" applyAlignment="1" applyProtection="1">
      <alignment horizontal="left"/>
    </xf>
    <xf numFmtId="177" fontId="5" fillId="9" borderId="3" xfId="0" applyNumberFormat="1" applyFont="1" applyFill="1" applyBorder="1" applyAlignment="1" applyProtection="1">
      <alignment horizontal="left"/>
    </xf>
    <xf numFmtId="181" fontId="5" fillId="9" borderId="3" xfId="0" applyNumberFormat="1" applyFont="1" applyFill="1" applyBorder="1" applyAlignment="1" applyProtection="1">
      <alignment horizontal="left" vertical="center"/>
    </xf>
    <xf numFmtId="179" fontId="5" fillId="0" borderId="3" xfId="0" applyNumberFormat="1" applyFont="1" applyBorder="1" applyAlignment="1" applyProtection="1">
      <alignment horizontal="left" vertical="center"/>
    </xf>
    <xf numFmtId="180" fontId="5" fillId="0" borderId="3" xfId="0" applyNumberFormat="1" applyFont="1" applyBorder="1" applyAlignment="1" applyProtection="1">
      <alignment horizontal="left" vertical="center"/>
    </xf>
    <xf numFmtId="177" fontId="5" fillId="0" borderId="3" xfId="0" applyNumberFormat="1" applyFont="1" applyBorder="1" applyAlignment="1" applyProtection="1">
      <alignment horizontal="left" vertical="center"/>
    </xf>
    <xf numFmtId="181" fontId="5" fillId="0" borderId="3" xfId="0" applyNumberFormat="1" applyFont="1" applyBorder="1" applyAlignment="1" applyProtection="1">
      <alignment horizontal="left" vertical="center"/>
    </xf>
    <xf numFmtId="177" fontId="5" fillId="0" borderId="3" xfId="0" applyNumberFormat="1" applyFont="1" applyBorder="1" applyAlignment="1" applyProtection="1">
      <alignment horizontal="left"/>
    </xf>
    <xf numFmtId="0" fontId="5" fillId="9" borderId="3" xfId="0" applyFont="1" applyFill="1" applyBorder="1" applyAlignment="1" applyProtection="1">
      <alignment horizontal="left" vertical="center"/>
    </xf>
    <xf numFmtId="0" fontId="5" fillId="0" borderId="3" xfId="0" applyFont="1" applyBorder="1" applyAlignment="1" applyProtection="1">
      <alignment horizontal="center" vertical="center"/>
    </xf>
    <xf numFmtId="182" fontId="5" fillId="9" borderId="3" xfId="0" applyNumberFormat="1" applyFont="1" applyFill="1" applyBorder="1" applyAlignment="1" applyProtection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Protection="1">
      <alignment vertical="center"/>
    </xf>
    <xf numFmtId="0" fontId="5" fillId="9" borderId="3" xfId="0" applyFont="1" applyFill="1" applyBorder="1" applyProtection="1">
      <alignment vertical="center"/>
    </xf>
    <xf numFmtId="183" fontId="5" fillId="9" borderId="3" xfId="0" applyNumberFormat="1" applyFont="1" applyFill="1" applyBorder="1" applyAlignment="1" applyProtection="1">
      <alignment horizontal="left" vertical="center"/>
    </xf>
    <xf numFmtId="180" fontId="6" fillId="9" borderId="3" xfId="0" applyNumberFormat="1" applyFont="1" applyFill="1" applyBorder="1" applyAlignment="1" applyProtection="1">
      <alignment horizontal="left" vertical="center"/>
    </xf>
    <xf numFmtId="179" fontId="5" fillId="0" borderId="0" xfId="0" applyNumberFormat="1" applyFont="1" applyAlignment="1">
      <alignment horizontal="left" vertical="center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/>
    <xf numFmtId="177" fontId="6" fillId="5" borderId="4" xfId="0" applyNumberFormat="1" applyFont="1" applyFill="1" applyBorder="1" applyAlignment="1" applyProtection="1">
      <alignment horizontal="center" vertical="center"/>
    </xf>
    <xf numFmtId="177" fontId="5" fillId="10" borderId="3" xfId="0" applyNumberFormat="1" applyFont="1" applyFill="1" applyBorder="1" applyAlignment="1" applyProtection="1">
      <alignment horizontal="center" vertical="center"/>
    </xf>
    <xf numFmtId="0" fontId="5" fillId="11" borderId="3" xfId="0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77" fontId="4" fillId="3" borderId="3" xfId="0" applyNumberFormat="1" applyFont="1" applyFill="1" applyBorder="1" applyAlignment="1" applyProtection="1">
      <alignment horizontal="center"/>
    </xf>
    <xf numFmtId="0" fontId="4" fillId="3" borderId="3" xfId="0" applyFont="1" applyFill="1" applyBorder="1" applyAlignment="1" applyProtection="1">
      <alignment horizontal="center"/>
    </xf>
    <xf numFmtId="177" fontId="5" fillId="6" borderId="3" xfId="0" applyNumberFormat="1" applyFont="1" applyFill="1" applyBorder="1" applyProtection="1">
      <alignment vertical="center"/>
    </xf>
    <xf numFmtId="0" fontId="8" fillId="0" borderId="0" xfId="0" applyFont="1" applyAlignment="1">
      <alignment horizontal="center" vertical="center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182" fontId="3" fillId="12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 wrapText="1"/>
      <protection hidden="1"/>
    </xf>
    <xf numFmtId="14" fontId="5" fillId="9" borderId="3" xfId="0" applyNumberFormat="1" applyFont="1" applyFill="1" applyBorder="1" applyAlignment="1" applyProtection="1">
      <alignment horizontal="center" vertical="center"/>
      <protection hidden="1"/>
    </xf>
    <xf numFmtId="14" fontId="5" fillId="0" borderId="3" xfId="0" applyNumberFormat="1" applyFont="1" applyBorder="1" applyAlignment="1" applyProtection="1">
      <alignment horizontal="center" vertical="center"/>
      <protection hidden="1"/>
    </xf>
    <xf numFmtId="184" fontId="5" fillId="0" borderId="3" xfId="0" applyNumberFormat="1" applyFont="1" applyBorder="1" applyAlignment="1" applyProtection="1">
      <alignment horizontal="center" vertical="center"/>
      <protection hidden="1"/>
    </xf>
    <xf numFmtId="182" fontId="5" fillId="0" borderId="3" xfId="0" applyNumberFormat="1" applyFont="1" applyBorder="1" applyAlignment="1" applyProtection="1">
      <alignment horizontal="center" vertical="center"/>
      <protection hidden="1"/>
    </xf>
    <xf numFmtId="185" fontId="5" fillId="0" borderId="3" xfId="0" applyNumberFormat="1" applyFont="1" applyBorder="1" applyAlignment="1" applyProtection="1">
      <alignment horizontal="center" vertical="center"/>
      <protection hidden="1"/>
    </xf>
    <xf numFmtId="185" fontId="5" fillId="13" borderId="3" xfId="0" applyNumberFormat="1" applyFont="1" applyFill="1" applyBorder="1" applyAlignment="1" applyProtection="1">
      <alignment horizontal="center" vertical="center"/>
      <protection hidden="1"/>
    </xf>
    <xf numFmtId="0" fontId="9" fillId="14" borderId="1" xfId="0" applyFont="1" applyFill="1" applyBorder="1" applyAlignment="1" applyProtection="1">
      <alignment horizontal="center" vertical="center"/>
      <protection hidden="1"/>
    </xf>
    <xf numFmtId="0" fontId="9" fillId="14" borderId="2" xfId="0" applyFont="1" applyFill="1" applyBorder="1" applyAlignment="1" applyProtection="1">
      <alignment horizontal="center" vertical="center"/>
      <protection hidden="1"/>
    </xf>
    <xf numFmtId="0" fontId="9" fillId="14" borderId="4" xfId="0" applyFont="1" applyFill="1" applyBorder="1" applyAlignment="1" applyProtection="1">
      <alignment horizontal="center" vertical="center"/>
      <protection hidden="1"/>
    </xf>
    <xf numFmtId="185" fontId="5" fillId="9" borderId="3" xfId="0" applyNumberFormat="1" applyFont="1" applyFill="1" applyBorder="1" applyAlignment="1" applyProtection="1">
      <alignment horizontal="center" vertical="center"/>
    </xf>
    <xf numFmtId="0" fontId="10" fillId="15" borderId="3" xfId="0" applyFont="1" applyFill="1" applyBorder="1" applyAlignment="1" applyProtection="1">
      <alignment horizontal="center" vertical="center"/>
    </xf>
    <xf numFmtId="185" fontId="5" fillId="9" borderId="3" xfId="0" applyNumberFormat="1" applyFont="1" applyFill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</xf>
    <xf numFmtId="0" fontId="8" fillId="9" borderId="3" xfId="0" applyFont="1" applyFill="1" applyBorder="1" applyAlignment="1" applyProtection="1">
      <alignment horizontal="center" vertical="center" wrapText="1"/>
    </xf>
    <xf numFmtId="185" fontId="8" fillId="9" borderId="3" xfId="0" applyNumberFormat="1" applyFont="1" applyFill="1" applyBorder="1" applyAlignment="1" applyProtection="1">
      <alignment horizontal="center" vertical="center"/>
    </xf>
    <xf numFmtId="185" fontId="8" fillId="0" borderId="3" xfId="0" applyNumberFormat="1" applyFont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center" vertical="center" wrapText="1"/>
    </xf>
    <xf numFmtId="185" fontId="8" fillId="0" borderId="3" xfId="0" applyNumberFormat="1" applyFont="1" applyBorder="1" applyAlignment="1" applyProtection="1">
      <alignment horizontal="center" vertical="center"/>
    </xf>
    <xf numFmtId="0" fontId="9" fillId="14" borderId="3" xfId="0" applyFont="1" applyFill="1" applyBorder="1" applyAlignment="1" applyProtection="1">
      <alignment horizontal="center" vertical="center"/>
    </xf>
    <xf numFmtId="185" fontId="3" fillId="12" borderId="3" xfId="0" applyNumberFormat="1" applyFont="1" applyFill="1" applyBorder="1" applyAlignment="1" applyProtection="1">
      <alignment horizontal="center" vertical="center"/>
      <protection hidden="1"/>
    </xf>
    <xf numFmtId="0" fontId="8" fillId="9" borderId="3" xfId="0" applyFont="1" applyFill="1" applyBorder="1" applyAlignment="1" applyProtection="1">
      <alignment horizontal="center" vertical="center"/>
    </xf>
    <xf numFmtId="0" fontId="11" fillId="9" borderId="3" xfId="0" applyFont="1" applyFill="1" applyBorder="1" applyAlignment="1" applyProtection="1">
      <alignment horizontal="center" vertical="center"/>
    </xf>
    <xf numFmtId="185" fontId="5" fillId="12" borderId="3" xfId="0" applyNumberFormat="1" applyFont="1" applyFill="1" applyBorder="1" applyAlignment="1" applyProtection="1">
      <alignment horizontal="center" vertical="center"/>
      <protection hidden="1"/>
    </xf>
    <xf numFmtId="14" fontId="8" fillId="9" borderId="3" xfId="0" applyNumberFormat="1" applyFont="1" applyFill="1" applyBorder="1" applyAlignment="1" applyProtection="1">
      <alignment horizontal="center" vertical="center"/>
    </xf>
    <xf numFmtId="186" fontId="8" fillId="0" borderId="3" xfId="0" applyNumberFormat="1" applyFont="1" applyBorder="1" applyAlignment="1" applyProtection="1">
      <alignment horizontal="center" vertical="center"/>
    </xf>
    <xf numFmtId="14" fontId="8" fillId="0" borderId="3" xfId="0" applyNumberFormat="1" applyFont="1" applyBorder="1" applyAlignment="1" applyProtection="1">
      <alignment horizontal="center" vertical="center"/>
    </xf>
    <xf numFmtId="186" fontId="11" fillId="9" borderId="3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87" fontId="12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88" fontId="12" fillId="0" borderId="0" xfId="0" applyNumberFormat="1" applyFont="1" applyAlignment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7" xfId="0" applyFont="1" applyBorder="1" applyAlignment="1" applyProtection="1">
      <alignment horizontal="left" vertical="center"/>
    </xf>
    <xf numFmtId="0" fontId="12" fillId="0" borderId="8" xfId="0" applyFont="1" applyBorder="1" applyAlignment="1" applyProtection="1">
      <alignment horizontal="left" vertical="center"/>
    </xf>
    <xf numFmtId="188" fontId="17" fillId="16" borderId="3" xfId="0" applyNumberFormat="1" applyFont="1" applyFill="1" applyBorder="1" applyAlignment="1" applyProtection="1">
      <alignment horizontal="left" vertical="center" wrapText="1"/>
    </xf>
    <xf numFmtId="188" fontId="17" fillId="0" borderId="3" xfId="0" applyNumberFormat="1" applyFont="1" applyBorder="1" applyAlignment="1" applyProtection="1">
      <alignment horizontal="left" vertical="center"/>
    </xf>
    <xf numFmtId="0" fontId="12" fillId="9" borderId="3" xfId="0" applyFont="1" applyFill="1" applyBorder="1" applyAlignment="1" applyProtection="1">
      <alignment horizontal="left" vertical="center"/>
    </xf>
    <xf numFmtId="0" fontId="16" fillId="0" borderId="3" xfId="0" applyFont="1" applyBorder="1" applyAlignment="1" applyProtection="1">
      <alignment horizontal="left" vertical="center"/>
    </xf>
    <xf numFmtId="0" fontId="12" fillId="9" borderId="1" xfId="0" applyFont="1" applyFill="1" applyBorder="1" applyAlignment="1" applyProtection="1">
      <alignment horizontal="left" vertical="center"/>
    </xf>
    <xf numFmtId="0" fontId="12" fillId="9" borderId="9" xfId="0" applyFont="1" applyFill="1" applyBorder="1" applyAlignment="1" applyProtection="1">
      <alignment horizontal="left" vertical="center"/>
    </xf>
    <xf numFmtId="0" fontId="17" fillId="0" borderId="3" xfId="0" applyFont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left" vertical="center"/>
    </xf>
    <xf numFmtId="58" fontId="17" fillId="16" borderId="3" xfId="0" applyNumberFormat="1" applyFont="1" applyFill="1" applyBorder="1" applyAlignment="1" applyProtection="1">
      <alignment horizontal="left" vertical="center"/>
    </xf>
    <xf numFmtId="188" fontId="12" fillId="9" borderId="1" xfId="0" applyNumberFormat="1" applyFont="1" applyFill="1" applyBorder="1" applyAlignment="1" applyProtection="1">
      <alignment horizontal="left" vertical="center"/>
    </xf>
    <xf numFmtId="0" fontId="17" fillId="0" borderId="10" xfId="0" applyFont="1" applyBorder="1" applyAlignment="1" applyProtection="1">
      <alignment horizontal="left" vertical="center"/>
    </xf>
    <xf numFmtId="0" fontId="17" fillId="16" borderId="11" xfId="0" applyFont="1" applyFill="1" applyBorder="1" applyAlignment="1" applyProtection="1">
      <alignment horizontal="left" vertical="center"/>
    </xf>
    <xf numFmtId="0" fontId="18" fillId="0" borderId="11" xfId="0" applyFont="1" applyBorder="1" applyAlignment="1" applyProtection="1">
      <alignment horizontal="left" vertical="center"/>
    </xf>
    <xf numFmtId="188" fontId="12" fillId="0" borderId="12" xfId="0" applyNumberFormat="1" applyFont="1" applyBorder="1" applyAlignment="1" applyProtection="1">
      <alignment horizontal="left" vertical="center"/>
    </xf>
    <xf numFmtId="0" fontId="12" fillId="0" borderId="13" xfId="0" applyFont="1" applyBorder="1" applyAlignment="1" applyProtection="1">
      <alignment horizontal="left" vertical="center"/>
    </xf>
    <xf numFmtId="0" fontId="12" fillId="17" borderId="14" xfId="0" applyFont="1" applyFill="1" applyBorder="1" applyAlignment="1" applyProtection="1">
      <alignment horizontal="left" vertical="center"/>
    </xf>
    <xf numFmtId="0" fontId="12" fillId="17" borderId="15" xfId="0" applyFont="1" applyFill="1" applyBorder="1" applyAlignment="1" applyProtection="1">
      <alignment horizontal="left" vertical="center"/>
    </xf>
    <xf numFmtId="189" fontId="12" fillId="0" borderId="15" xfId="0" applyNumberFormat="1" applyFont="1" applyBorder="1" applyAlignment="1" applyProtection="1">
      <alignment horizontal="left" vertical="center"/>
    </xf>
    <xf numFmtId="0" fontId="12" fillId="0" borderId="16" xfId="0" applyFont="1" applyBorder="1" applyAlignment="1" applyProtection="1">
      <alignment horizontal="left" vertical="center"/>
    </xf>
    <xf numFmtId="0" fontId="12" fillId="0" borderId="17" xfId="0" applyFont="1" applyBorder="1" applyAlignment="1" applyProtection="1">
      <alignment horizontal="left" vertical="center"/>
    </xf>
    <xf numFmtId="0" fontId="19" fillId="0" borderId="0" xfId="0" applyFont="1" applyAlignment="1">
      <alignment horizontal="left" vertical="center"/>
    </xf>
    <xf numFmtId="57" fontId="12" fillId="0" borderId="18" xfId="0" applyNumberFormat="1" applyFont="1" applyBorder="1" applyAlignment="1" applyProtection="1">
      <alignment horizontal="left" vertical="center"/>
    </xf>
    <xf numFmtId="189" fontId="12" fillId="0" borderId="18" xfId="0" applyNumberFormat="1" applyFont="1" applyBorder="1" applyAlignment="1" applyProtection="1">
      <alignment horizontal="left" vertical="center"/>
    </xf>
    <xf numFmtId="0" fontId="12" fillId="0" borderId="19" xfId="0" applyFont="1" applyBorder="1" applyAlignment="1" applyProtection="1">
      <alignment horizontal="left" vertical="center"/>
    </xf>
    <xf numFmtId="0" fontId="20" fillId="0" borderId="20" xfId="0" applyFont="1" applyBorder="1" applyAlignment="1" applyProtection="1">
      <alignment horizontal="left" vertical="center" textRotation="255"/>
    </xf>
    <xf numFmtId="0" fontId="12" fillId="0" borderId="18" xfId="0" applyFont="1" applyBorder="1" applyAlignment="1" applyProtection="1">
      <alignment horizontal="left" vertical="center"/>
    </xf>
    <xf numFmtId="0" fontId="21" fillId="9" borderId="18" xfId="0" applyFont="1" applyFill="1" applyBorder="1" applyAlignment="1" applyProtection="1">
      <alignment horizontal="left" vertical="center"/>
    </xf>
    <xf numFmtId="0" fontId="22" fillId="0" borderId="18" xfId="0" applyFont="1" applyBorder="1" applyAlignment="1" applyProtection="1">
      <alignment horizontal="left" vertical="center"/>
    </xf>
    <xf numFmtId="185" fontId="21" fillId="0" borderId="18" xfId="0" applyNumberFormat="1" applyFont="1" applyBorder="1" applyAlignment="1" applyProtection="1">
      <alignment horizontal="left" vertical="center"/>
    </xf>
    <xf numFmtId="185" fontId="22" fillId="0" borderId="18" xfId="0" applyNumberFormat="1" applyFont="1" applyBorder="1" applyAlignment="1" applyProtection="1">
      <alignment horizontal="left" vertical="center"/>
    </xf>
    <xf numFmtId="0" fontId="21" fillId="0" borderId="18" xfId="0" applyFont="1" applyBorder="1" applyAlignment="1" applyProtection="1">
      <alignment horizontal="left" vertical="center"/>
    </xf>
    <xf numFmtId="182" fontId="21" fillId="0" borderId="18" xfId="0" applyNumberFormat="1" applyFont="1" applyBorder="1" applyAlignment="1" applyProtection="1">
      <alignment horizontal="left" vertical="center"/>
    </xf>
    <xf numFmtId="10" fontId="21" fillId="0" borderId="18" xfId="0" applyNumberFormat="1" applyFont="1" applyBorder="1" applyAlignment="1" applyProtection="1">
      <alignment horizontal="left" vertical="center"/>
    </xf>
    <xf numFmtId="10" fontId="22" fillId="0" borderId="18" xfId="0" applyNumberFormat="1" applyFont="1" applyBorder="1" applyAlignment="1" applyProtection="1">
      <alignment horizontal="left" vertical="center"/>
    </xf>
    <xf numFmtId="190" fontId="21" fillId="9" borderId="18" xfId="0" applyNumberFormat="1" applyFont="1" applyFill="1" applyBorder="1" applyAlignment="1" applyProtection="1">
      <alignment horizontal="left" vertical="center"/>
    </xf>
    <xf numFmtId="182" fontId="22" fillId="0" borderId="18" xfId="0" applyNumberFormat="1" applyFont="1" applyBorder="1" applyAlignment="1" applyProtection="1">
      <alignment horizontal="left" vertical="center"/>
    </xf>
    <xf numFmtId="191" fontId="21" fillId="0" borderId="18" xfId="0" applyNumberFormat="1" applyFont="1" applyBorder="1" applyAlignment="1" applyProtection="1">
      <alignment horizontal="left" vertical="center"/>
    </xf>
    <xf numFmtId="191" fontId="22" fillId="0" borderId="18" xfId="0" applyNumberFormat="1" applyFont="1" applyBorder="1" applyAlignment="1" applyProtection="1">
      <alignment horizontal="left" vertical="center"/>
    </xf>
    <xf numFmtId="0" fontId="23" fillId="0" borderId="19" xfId="0" applyFont="1" applyBorder="1" applyAlignment="1" applyProtection="1">
      <alignment horizontal="left" vertical="center"/>
    </xf>
    <xf numFmtId="9" fontId="21" fillId="0" borderId="18" xfId="0" applyNumberFormat="1" applyFont="1" applyBorder="1" applyAlignment="1" applyProtection="1">
      <alignment horizontal="left" vertical="center"/>
    </xf>
    <xf numFmtId="9" fontId="22" fillId="0" borderId="18" xfId="0" applyNumberFormat="1" applyFont="1" applyBorder="1" applyAlignment="1" applyProtection="1">
      <alignment horizontal="left" vertical="center"/>
    </xf>
    <xf numFmtId="192" fontId="12" fillId="0" borderId="18" xfId="0" applyNumberFormat="1" applyFont="1" applyBorder="1" applyAlignment="1" applyProtection="1">
      <alignment horizontal="left" vertical="center"/>
    </xf>
    <xf numFmtId="192" fontId="21" fillId="0" borderId="18" xfId="0" applyNumberFormat="1" applyFont="1" applyBorder="1" applyAlignment="1" applyProtection="1">
      <alignment horizontal="left" vertical="center"/>
    </xf>
    <xf numFmtId="192" fontId="22" fillId="0" borderId="18" xfId="0" applyNumberFormat="1" applyFont="1" applyBorder="1" applyAlignment="1" applyProtection="1">
      <alignment horizontal="left" vertical="center"/>
    </xf>
    <xf numFmtId="0" fontId="20" fillId="0" borderId="21" xfId="0" applyFont="1" applyBorder="1" applyAlignment="1" applyProtection="1">
      <alignment horizontal="left" vertical="center" textRotation="255"/>
    </xf>
    <xf numFmtId="192" fontId="12" fillId="0" borderId="22" xfId="0" applyNumberFormat="1" applyFont="1" applyBorder="1" applyAlignment="1" applyProtection="1">
      <alignment horizontal="left" vertical="center"/>
    </xf>
    <xf numFmtId="192" fontId="21" fillId="0" borderId="22" xfId="0" applyNumberFormat="1" applyFont="1" applyBorder="1" applyAlignment="1" applyProtection="1">
      <alignment horizontal="left" vertical="center"/>
    </xf>
    <xf numFmtId="192" fontId="22" fillId="0" borderId="22" xfId="0" applyNumberFormat="1" applyFont="1" applyBorder="1" applyAlignment="1" applyProtection="1">
      <alignment horizontal="left" vertical="center"/>
    </xf>
    <xf numFmtId="0" fontId="12" fillId="0" borderId="23" xfId="0" applyFont="1" applyBorder="1" applyAlignment="1" applyProtection="1">
      <alignment horizontal="left" vertical="center"/>
    </xf>
    <xf numFmtId="0" fontId="20" fillId="0" borderId="14" xfId="0" applyFont="1" applyBorder="1" applyAlignment="1" applyProtection="1">
      <alignment horizontal="left" vertical="center" textRotation="255"/>
    </xf>
    <xf numFmtId="0" fontId="12" fillId="0" borderId="15" xfId="0" applyFont="1" applyBorder="1" applyAlignment="1" applyProtection="1">
      <alignment horizontal="left" vertical="center"/>
    </xf>
    <xf numFmtId="182" fontId="21" fillId="0" borderId="15" xfId="0" applyNumberFormat="1" applyFont="1" applyBorder="1" applyAlignment="1" applyProtection="1">
      <alignment horizontal="left" vertical="center"/>
    </xf>
    <xf numFmtId="0" fontId="12" fillId="0" borderId="22" xfId="0" applyFont="1" applyBorder="1" applyAlignment="1" applyProtection="1">
      <alignment horizontal="left" vertical="center"/>
    </xf>
    <xf numFmtId="192" fontId="21" fillId="0" borderId="15" xfId="0" applyNumberFormat="1" applyFont="1" applyBorder="1" applyAlignment="1" applyProtection="1">
      <alignment horizontal="left" vertical="center"/>
    </xf>
    <xf numFmtId="10" fontId="21" fillId="0" borderId="22" xfId="0" applyNumberFormat="1" applyFont="1" applyBorder="1" applyAlignment="1" applyProtection="1">
      <alignment horizontal="left" vertical="center"/>
    </xf>
    <xf numFmtId="10" fontId="22" fillId="0" borderId="11" xfId="0" applyNumberFormat="1" applyFont="1" applyBorder="1" applyAlignment="1" applyProtection="1">
      <alignment horizontal="left" vertical="center"/>
    </xf>
    <xf numFmtId="0" fontId="20" fillId="0" borderId="24" xfId="0" applyFont="1" applyBorder="1" applyAlignment="1" applyProtection="1">
      <alignment horizontal="left" vertical="center" textRotation="255"/>
    </xf>
    <xf numFmtId="0" fontId="12" fillId="0" borderId="25" xfId="0" applyFont="1" applyBorder="1" applyAlignment="1" applyProtection="1">
      <alignment horizontal="left" vertical="center"/>
    </xf>
    <xf numFmtId="0" fontId="21" fillId="9" borderId="15" xfId="0" applyFont="1" applyFill="1" applyBorder="1" applyAlignment="1" applyProtection="1">
      <alignment horizontal="left" vertical="center"/>
    </xf>
    <xf numFmtId="10" fontId="23" fillId="0" borderId="15" xfId="0" applyNumberFormat="1" applyFont="1" applyBorder="1" applyAlignment="1" applyProtection="1">
      <alignment horizontal="left" vertical="center"/>
    </xf>
    <xf numFmtId="0" fontId="20" fillId="0" borderId="26" xfId="0" applyFont="1" applyBorder="1" applyAlignment="1" applyProtection="1">
      <alignment horizontal="left" vertical="center" textRotation="255"/>
    </xf>
    <xf numFmtId="0" fontId="12" fillId="0" borderId="27" xfId="0" applyFont="1" applyBorder="1" applyAlignment="1" applyProtection="1">
      <alignment horizontal="left" vertical="center"/>
    </xf>
    <xf numFmtId="10" fontId="23" fillId="0" borderId="18" xfId="0" applyNumberFormat="1" applyFont="1" applyBorder="1" applyAlignment="1" applyProtection="1">
      <alignment horizontal="left" vertical="center"/>
    </xf>
    <xf numFmtId="9" fontId="21" fillId="9" borderId="18" xfId="0" applyNumberFormat="1" applyFont="1" applyFill="1" applyBorder="1" applyAlignment="1" applyProtection="1">
      <alignment horizontal="left" vertical="center"/>
    </xf>
    <xf numFmtId="0" fontId="20" fillId="0" borderId="28" xfId="0" applyFont="1" applyBorder="1" applyAlignment="1" applyProtection="1">
      <alignment horizontal="left" vertical="center" textRotation="255"/>
    </xf>
    <xf numFmtId="0" fontId="12" fillId="0" borderId="29" xfId="0" applyFont="1" applyBorder="1" applyAlignment="1" applyProtection="1">
      <alignment horizontal="left" vertical="center"/>
    </xf>
    <xf numFmtId="192" fontId="23" fillId="0" borderId="22" xfId="0" applyNumberFormat="1" applyFont="1" applyBorder="1" applyAlignment="1" applyProtection="1">
      <alignment horizontal="left" vertical="center"/>
    </xf>
    <xf numFmtId="0" fontId="16" fillId="0" borderId="23" xfId="0" applyFont="1" applyBorder="1" applyAlignment="1" applyProtection="1">
      <alignment horizontal="left" vertical="center"/>
    </xf>
    <xf numFmtId="0" fontId="12" fillId="0" borderId="30" xfId="0" applyFont="1" applyBorder="1" applyAlignment="1" applyProtection="1">
      <alignment horizontal="left" vertical="center"/>
    </xf>
    <xf numFmtId="182" fontId="21" fillId="9" borderId="31" xfId="0" applyNumberFormat="1" applyFont="1" applyFill="1" applyBorder="1" applyAlignment="1" applyProtection="1">
      <alignment horizontal="left" vertical="center"/>
    </xf>
    <xf numFmtId="182" fontId="22" fillId="0" borderId="31" xfId="0" applyNumberFormat="1" applyFont="1" applyBorder="1" applyAlignment="1" applyProtection="1">
      <alignment horizontal="left" vertical="center"/>
    </xf>
    <xf numFmtId="0" fontId="12" fillId="0" borderId="32" xfId="0" applyFont="1" applyBorder="1" applyAlignment="1" applyProtection="1">
      <alignment horizontal="left" vertical="center"/>
    </xf>
    <xf numFmtId="10" fontId="21" fillId="9" borderId="18" xfId="0" applyNumberFormat="1" applyFont="1" applyFill="1" applyBorder="1" applyAlignment="1" applyProtection="1">
      <alignment horizontal="left" vertical="center"/>
    </xf>
    <xf numFmtId="10" fontId="23" fillId="0" borderId="22" xfId="0" applyNumberFormat="1" applyFont="1" applyBorder="1" applyAlignment="1" applyProtection="1">
      <alignment horizontal="left" vertical="center"/>
    </xf>
    <xf numFmtId="0" fontId="12" fillId="0" borderId="33" xfId="0" applyFont="1" applyBorder="1" applyAlignment="1" applyProtection="1">
      <alignment horizontal="left" vertical="center"/>
    </xf>
    <xf numFmtId="192" fontId="21" fillId="0" borderId="34" xfId="0" applyNumberFormat="1" applyFont="1" applyBorder="1" applyAlignment="1" applyProtection="1">
      <alignment horizontal="left" vertical="center"/>
    </xf>
    <xf numFmtId="192" fontId="22" fillId="0" borderId="34" xfId="0" applyNumberFormat="1" applyFont="1" applyBorder="1" applyAlignment="1" applyProtection="1">
      <alignment horizontal="left" vertical="center"/>
    </xf>
    <xf numFmtId="0" fontId="12" fillId="0" borderId="35" xfId="0" applyFont="1" applyBorder="1" applyAlignment="1" applyProtection="1">
      <alignment horizontal="left" vertical="center"/>
    </xf>
    <xf numFmtId="0" fontId="20" fillId="0" borderId="36" xfId="0" applyFont="1" applyBorder="1" applyAlignment="1" applyProtection="1">
      <alignment horizontal="left" vertical="center" textRotation="255"/>
    </xf>
    <xf numFmtId="0" fontId="12" fillId="0" borderId="37" xfId="0" applyFont="1" applyBorder="1" applyAlignment="1" applyProtection="1">
      <alignment horizontal="left" vertical="center"/>
    </xf>
    <xf numFmtId="192" fontId="21" fillId="0" borderId="38" xfId="0" applyNumberFormat="1" applyFont="1" applyBorder="1" applyAlignment="1" applyProtection="1">
      <alignment horizontal="left" vertical="center"/>
    </xf>
    <xf numFmtId="192" fontId="22" fillId="0" borderId="38" xfId="0" applyNumberFormat="1" applyFont="1" applyBorder="1" applyAlignment="1" applyProtection="1">
      <alignment horizontal="left" vertical="center"/>
    </xf>
    <xf numFmtId="0" fontId="12" fillId="0" borderId="39" xfId="0" applyFont="1" applyBorder="1" applyAlignment="1" applyProtection="1">
      <alignment horizontal="left" vertical="center"/>
    </xf>
    <xf numFmtId="193" fontId="12" fillId="0" borderId="37" xfId="0" applyNumberFormat="1" applyFont="1" applyBorder="1" applyAlignment="1" applyProtection="1">
      <alignment horizontal="left" vertical="center"/>
    </xf>
    <xf numFmtId="10" fontId="21" fillId="0" borderId="38" xfId="0" applyNumberFormat="1" applyFont="1" applyBorder="1" applyAlignment="1" applyProtection="1">
      <alignment horizontal="left" vertical="center"/>
    </xf>
    <xf numFmtId="182" fontId="22" fillId="0" borderId="38" xfId="0" applyNumberFormat="1" applyFont="1" applyBorder="1" applyAlignment="1" applyProtection="1">
      <alignment horizontal="left" vertical="center"/>
    </xf>
    <xf numFmtId="187" fontId="20" fillId="0" borderId="20" xfId="0" applyNumberFormat="1" applyFont="1" applyBorder="1" applyAlignment="1" applyProtection="1">
      <alignment horizontal="left" vertical="center" textRotation="255"/>
    </xf>
    <xf numFmtId="187" fontId="12" fillId="0" borderId="37" xfId="0" applyNumberFormat="1" applyFont="1" applyBorder="1" applyAlignment="1" applyProtection="1">
      <alignment horizontal="left" vertical="center"/>
    </xf>
    <xf numFmtId="187" fontId="12" fillId="0" borderId="39" xfId="0" applyNumberFormat="1" applyFont="1" applyBorder="1" applyAlignment="1" applyProtection="1">
      <alignment horizontal="left" vertical="center"/>
    </xf>
    <xf numFmtId="10" fontId="21" fillId="9" borderId="38" xfId="0" applyNumberFormat="1" applyFont="1" applyFill="1" applyBorder="1" applyAlignment="1" applyProtection="1">
      <alignment horizontal="left" vertical="center"/>
    </xf>
    <xf numFmtId="10" fontId="22" fillId="0" borderId="38" xfId="0" applyNumberFormat="1" applyFont="1" applyBorder="1" applyAlignment="1" applyProtection="1">
      <alignment horizontal="left" vertical="center"/>
    </xf>
    <xf numFmtId="182" fontId="21" fillId="9" borderId="38" xfId="0" applyNumberFormat="1" applyFont="1" applyFill="1" applyBorder="1" applyAlignment="1" applyProtection="1">
      <alignment horizontal="left" vertical="center"/>
    </xf>
    <xf numFmtId="182" fontId="21" fillId="0" borderId="38" xfId="0" applyNumberFormat="1" applyFont="1" applyBorder="1" applyAlignment="1" applyProtection="1">
      <alignment horizontal="left" vertical="center"/>
    </xf>
    <xf numFmtId="187" fontId="12" fillId="0" borderId="40" xfId="0" applyNumberFormat="1" applyFont="1" applyBorder="1" applyAlignment="1" applyProtection="1">
      <alignment horizontal="left" vertical="center"/>
    </xf>
    <xf numFmtId="10" fontId="21" fillId="0" borderId="41" xfId="0" applyNumberFormat="1" applyFont="1" applyBorder="1" applyAlignment="1" applyProtection="1">
      <alignment horizontal="left" vertical="center"/>
    </xf>
    <xf numFmtId="10" fontId="22" fillId="0" borderId="41" xfId="0" applyNumberFormat="1" applyFont="1" applyBorder="1" applyAlignment="1" applyProtection="1">
      <alignment horizontal="left" vertical="center"/>
    </xf>
    <xf numFmtId="0" fontId="12" fillId="0" borderId="42" xfId="0" applyFont="1" applyBorder="1" applyAlignment="1" applyProtection="1">
      <alignment horizontal="left" vertical="center"/>
    </xf>
    <xf numFmtId="0" fontId="24" fillId="0" borderId="14" xfId="0" applyFont="1" applyBorder="1" applyAlignment="1" applyProtection="1">
      <alignment horizontal="left" vertical="center" textRotation="255"/>
    </xf>
    <xf numFmtId="187" fontId="15" fillId="0" borderId="15" xfId="0" applyNumberFormat="1" applyFont="1" applyBorder="1" applyAlignment="1" applyProtection="1">
      <alignment horizontal="left" vertical="center"/>
    </xf>
    <xf numFmtId="182" fontId="25" fillId="0" borderId="15" xfId="0" applyNumberFormat="1" applyFont="1" applyBorder="1" applyAlignment="1" applyProtection="1">
      <alignment horizontal="left" vertical="center"/>
    </xf>
    <xf numFmtId="0" fontId="24" fillId="0" borderId="21" xfId="0" applyFont="1" applyBorder="1" applyAlignment="1" applyProtection="1">
      <alignment horizontal="left" vertical="center" textRotation="255"/>
    </xf>
    <xf numFmtId="187" fontId="15" fillId="0" borderId="22" xfId="0" applyNumberFormat="1" applyFont="1" applyBorder="1" applyAlignment="1" applyProtection="1">
      <alignment horizontal="left" vertical="center"/>
    </xf>
    <xf numFmtId="10" fontId="25" fillId="0" borderId="22" xfId="0" applyNumberFormat="1" applyFont="1" applyBorder="1" applyAlignment="1" applyProtection="1">
      <alignment horizontal="left" vertical="center"/>
    </xf>
    <xf numFmtId="0" fontId="15" fillId="0" borderId="23" xfId="0" applyFont="1" applyBorder="1" applyAlignment="1" applyProtection="1">
      <alignment horizontal="left" vertical="center"/>
    </xf>
    <xf numFmtId="0" fontId="12" fillId="0" borderId="3" xfId="0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left" vertical="center"/>
    </xf>
    <xf numFmtId="188" fontId="12" fillId="0" borderId="3" xfId="0" applyNumberFormat="1" applyFont="1" applyBorder="1" applyAlignment="1" applyProtection="1">
      <alignment horizontal="left" vertical="center"/>
    </xf>
    <xf numFmtId="188" fontId="16" fillId="0" borderId="3" xfId="0" applyNumberFormat="1" applyFont="1" applyBorder="1" applyAlignment="1" applyProtection="1">
      <alignment horizontal="left" vertical="center"/>
    </xf>
    <xf numFmtId="0" fontId="12" fillId="0" borderId="3" xfId="0" applyFont="1" applyBorder="1" applyAlignment="1" applyProtection="1">
      <alignment horizontal="left" vertical="center" wrapText="1"/>
    </xf>
    <xf numFmtId="185" fontId="12" fillId="0" borderId="3" xfId="0" applyNumberFormat="1" applyFont="1" applyBorder="1" applyAlignment="1" applyProtection="1">
      <alignment horizontal="left" vertical="center"/>
    </xf>
    <xf numFmtId="192" fontId="12" fillId="0" borderId="3" xfId="0" applyNumberFormat="1" applyFont="1" applyBorder="1" applyAlignment="1" applyProtection="1">
      <alignment horizontal="left" vertical="center"/>
    </xf>
    <xf numFmtId="194" fontId="12" fillId="0" borderId="3" xfId="0" applyNumberFormat="1" applyFont="1" applyBorder="1" applyAlignment="1" applyProtection="1">
      <alignment horizontal="left" vertical="center"/>
    </xf>
    <xf numFmtId="182" fontId="12" fillId="0" borderId="3" xfId="0" applyNumberFormat="1" applyFont="1" applyBorder="1" applyAlignment="1" applyProtection="1">
      <alignment horizontal="left" vertical="center"/>
    </xf>
    <xf numFmtId="0" fontId="12" fillId="0" borderId="43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center"/>
    </xf>
    <xf numFmtId="0" fontId="12" fillId="18" borderId="3" xfId="0" applyFont="1" applyFill="1" applyBorder="1" applyAlignment="1" applyProtection="1">
      <alignment horizontal="left" vertical="center"/>
    </xf>
    <xf numFmtId="0" fontId="14" fillId="0" borderId="3" xfId="0" applyFont="1" applyBorder="1" applyAlignment="1" applyProtection="1">
      <alignment horizontal="left" vertical="center"/>
    </xf>
    <xf numFmtId="182" fontId="26" fillId="9" borderId="3" xfId="0" applyNumberFormat="1" applyFont="1" applyFill="1" applyBorder="1" applyAlignment="1" applyProtection="1">
      <alignment horizontal="left" vertical="center"/>
    </xf>
    <xf numFmtId="182" fontId="16" fillId="9" borderId="3" xfId="0" applyNumberFormat="1" applyFont="1" applyFill="1" applyBorder="1" applyAlignment="1" applyProtection="1">
      <alignment horizontal="left" vertical="center"/>
    </xf>
    <xf numFmtId="182" fontId="12" fillId="0" borderId="0" xfId="0" applyNumberFormat="1" applyFont="1" applyAlignment="1">
      <alignment horizontal="left" vertical="center"/>
    </xf>
    <xf numFmtId="185" fontId="14" fillId="9" borderId="3" xfId="0" applyNumberFormat="1" applyFont="1" applyFill="1" applyBorder="1" applyAlignment="1" applyProtection="1">
      <alignment horizontal="left" vertical="center"/>
    </xf>
    <xf numFmtId="182" fontId="16" fillId="0" borderId="3" xfId="0" applyNumberFormat="1" applyFont="1" applyBorder="1" applyAlignment="1" applyProtection="1">
      <alignment horizontal="left" vertical="center"/>
    </xf>
    <xf numFmtId="0" fontId="12" fillId="19" borderId="3" xfId="0" applyFont="1" applyFill="1" applyBorder="1" applyAlignment="1" applyProtection="1">
      <alignment horizontal="left" vertical="center"/>
    </xf>
    <xf numFmtId="10" fontId="12" fillId="0" borderId="3" xfId="0" applyNumberFormat="1" applyFont="1" applyBorder="1" applyAlignment="1" applyProtection="1">
      <alignment horizontal="left" vertical="center"/>
    </xf>
    <xf numFmtId="10" fontId="16" fillId="0" borderId="3" xfId="0" applyNumberFormat="1" applyFont="1" applyBorder="1" applyAlignment="1" applyProtection="1">
      <alignment horizontal="left" vertical="center"/>
    </xf>
    <xf numFmtId="0" fontId="27" fillId="0" borderId="3" xfId="0" applyFont="1" applyBorder="1" applyAlignment="1" applyProtection="1">
      <alignment horizontal="left" vertical="center"/>
    </xf>
    <xf numFmtId="10" fontId="27" fillId="0" borderId="3" xfId="0" applyNumberFormat="1" applyFont="1" applyBorder="1" applyAlignment="1" applyProtection="1">
      <alignment horizontal="left" vertical="center"/>
    </xf>
    <xf numFmtId="0" fontId="12" fillId="16" borderId="3" xfId="0" applyFont="1" applyFill="1" applyBorder="1" applyAlignment="1" applyProtection="1">
      <alignment horizontal="left" vertical="center"/>
    </xf>
    <xf numFmtId="10" fontId="12" fillId="16" borderId="3" xfId="0" applyNumberFormat="1" applyFont="1" applyFill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/>
    </xf>
    <xf numFmtId="189" fontId="12" fillId="9" borderId="3" xfId="0" applyNumberFormat="1" applyFont="1" applyFill="1" applyBorder="1" applyAlignment="1" applyProtection="1">
      <alignment horizontal="left" vertical="center"/>
    </xf>
    <xf numFmtId="192" fontId="12" fillId="0" borderId="43" xfId="0" applyNumberFormat="1" applyFont="1" applyBorder="1" applyAlignment="1">
      <alignment horizontal="left" vertical="center"/>
    </xf>
    <xf numFmtId="192" fontId="12" fillId="0" borderId="43" xfId="3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11430</xdr:colOff>
      <xdr:row>15</xdr:row>
      <xdr:rowOff>9525</xdr:rowOff>
    </xdr:from>
    <xdr:ext cx="661670" cy="3476625"/>
    <xdr:sp>
      <xdr:nvSpPr>
        <xdr:cNvPr id="2" name="shape1"/>
        <xdr:cNvSpPr/>
      </xdr:nvSpPr>
      <xdr:spPr>
        <a:xfrm>
          <a:off x="3224530" y="3190875"/>
          <a:ext cx="661670" cy="3476625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3" name="shape2"/>
        <xdr:cNvSpPr/>
      </xdr:nvSpPr>
      <xdr:spPr>
        <a:xfrm>
          <a:off x="3224530" y="3771900"/>
          <a:ext cx="661670" cy="3390900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4" name="shape3"/>
        <xdr:cNvSpPr/>
      </xdr:nvSpPr>
      <xdr:spPr>
        <a:xfrm>
          <a:off x="3224530" y="3771900"/>
          <a:ext cx="661670" cy="3390900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5" name="shape4"/>
        <xdr:cNvSpPr/>
      </xdr:nvSpPr>
      <xdr:spPr>
        <a:xfrm>
          <a:off x="3224530" y="3190875"/>
          <a:ext cx="661670" cy="3476625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6" name="shape5"/>
        <xdr:cNvSpPr/>
      </xdr:nvSpPr>
      <xdr:spPr>
        <a:xfrm>
          <a:off x="3224530" y="3771900"/>
          <a:ext cx="661670" cy="3390900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7" name="shape6"/>
        <xdr:cNvSpPr/>
      </xdr:nvSpPr>
      <xdr:spPr>
        <a:xfrm>
          <a:off x="3224530" y="3190875"/>
          <a:ext cx="661670" cy="3476625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8" name="shape7"/>
        <xdr:cNvSpPr/>
      </xdr:nvSpPr>
      <xdr:spPr>
        <a:xfrm>
          <a:off x="3224530" y="3771900"/>
          <a:ext cx="661670" cy="3390900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9" name="shape8"/>
        <xdr:cNvSpPr/>
      </xdr:nvSpPr>
      <xdr:spPr>
        <a:xfrm>
          <a:off x="3224530" y="3771900"/>
          <a:ext cx="661670" cy="3390900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15</xdr:row>
      <xdr:rowOff>9525</xdr:rowOff>
    </xdr:from>
    <xdr:ext cx="661670" cy="3476625"/>
    <xdr:sp>
      <xdr:nvSpPr>
        <xdr:cNvPr id="10" name="shape9"/>
        <xdr:cNvSpPr/>
      </xdr:nvSpPr>
      <xdr:spPr>
        <a:xfrm>
          <a:off x="3224530" y="3190875"/>
          <a:ext cx="661670" cy="3476625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  <xdr:oneCellAnchor>
    <xdr:from>
      <xdr:col>5</xdr:col>
      <xdr:colOff>11430</xdr:colOff>
      <xdr:row>17</xdr:row>
      <xdr:rowOff>9526</xdr:rowOff>
    </xdr:from>
    <xdr:ext cx="661670" cy="3390900"/>
    <xdr:sp>
      <xdr:nvSpPr>
        <xdr:cNvPr id="11" name="shape10"/>
        <xdr:cNvSpPr/>
      </xdr:nvSpPr>
      <xdr:spPr>
        <a:xfrm>
          <a:off x="3224530" y="3771900"/>
          <a:ext cx="661670" cy="3390900"/>
        </a:xfrm>
        <a:prstGeom prst="rect">
          <a:avLst/>
        </a:prstGeom>
        <a:solidFill>
          <a:srgbClr val="EA7B30"/>
        </a:solidFill>
        <a:ln w="12700">
          <a:solidFill>
            <a:srgbClr val="1E4E7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600" b="1" baseline="0">
              <a:solidFill>
                <a:srgbClr val="FFFFFF"/>
              </a:solidFill>
              <a:latin typeface="等线 Light" panose="02010600030101010101" charset="-122"/>
            </a:rPr>
            <a:t>请产品开发将黄色区域填写准确</a:t>
          </a:r>
          <a:endParaRPr lang="zh-CN" altLang="en-US" sz="1600" b="1" baseline="0">
            <a:solidFill>
              <a:srgbClr val="FFFFFF"/>
            </a:solidFill>
            <a:latin typeface="等线 Light" panose="02010600030101010101" charset="-122"/>
          </a:endParaRPr>
        </a:p>
        <a:p>
          <a:pPr algn="ctr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N68"/>
  <sheetViews>
    <sheetView showGridLines="0" tabSelected="1" zoomScale="115" zoomScaleNormal="115" topLeftCell="A2" workbookViewId="0">
      <selection activeCell="F11" sqref="F11"/>
    </sheetView>
  </sheetViews>
  <sheetFormatPr defaultColWidth="10.3333333333333" defaultRowHeight="16.5" customHeight="1"/>
  <cols>
    <col min="1" max="1" width="3.16666666666667" style="80" customWidth="1"/>
    <col min="2" max="2" width="17.3333333333333" style="80" customWidth="1"/>
    <col min="3" max="3" width="45.75" style="80" customWidth="1"/>
    <col min="4" max="4" width="10.1666666666667" style="80" customWidth="1"/>
    <col min="5" max="5" width="10.9583333333333" style="80" customWidth="1"/>
    <col min="6" max="6" width="11.1666666666667" style="86" customWidth="1"/>
    <col min="7" max="7" width="10.1666666666667" style="86" customWidth="1"/>
    <col min="8" max="8" width="80.8333333333333" style="80" customWidth="1"/>
    <col min="9" max="9" width="3.66666666666667" style="80" customWidth="1"/>
    <col min="10" max="10" width="15" style="80" customWidth="1"/>
    <col min="11" max="11" width="8.16666666666667" style="80" customWidth="1"/>
    <col min="12" max="12" width="7.33333333333333" style="80" customWidth="1"/>
    <col min="13" max="13" width="10.6666666666667" style="80" customWidth="1"/>
    <col min="14" max="14" width="5.33333333333333" style="80" customWidth="1"/>
    <col min="15" max="15" width="11.8333333333333" style="80" customWidth="1"/>
    <col min="16" max="40" width="9.16666666666667" style="80" customWidth="1"/>
  </cols>
  <sheetData>
    <row r="1" s="80" customFormat="1" ht="19" customHeight="1" spans="6:7">
      <c r="F1" s="86"/>
      <c r="G1" s="86"/>
    </row>
    <row r="2" s="80" customFormat="1" ht="28" customHeight="1" spans="2:13">
      <c r="B2" s="87" t="s">
        <v>0</v>
      </c>
      <c r="C2" s="88"/>
      <c r="D2" s="88"/>
      <c r="E2" s="88"/>
      <c r="F2" s="88"/>
      <c r="G2" s="88"/>
      <c r="H2" s="89"/>
      <c r="J2" s="206" t="s">
        <v>1</v>
      </c>
      <c r="K2" s="206"/>
      <c r="L2" s="206"/>
      <c r="M2" s="206"/>
    </row>
    <row r="3" s="80" customFormat="1" ht="21" customHeight="1" spans="2:13">
      <c r="B3" s="90" t="s">
        <v>2</v>
      </c>
      <c r="C3" s="91"/>
      <c r="D3" s="92" t="s">
        <v>3</v>
      </c>
      <c r="E3" s="93"/>
      <c r="F3" s="94" t="s">
        <v>4</v>
      </c>
      <c r="G3" s="95"/>
      <c r="H3" s="96"/>
      <c r="J3" s="196" t="s">
        <v>5</v>
      </c>
      <c r="K3" s="203">
        <f>K4/2.54</f>
        <v>7.48031496062992</v>
      </c>
      <c r="L3" s="203">
        <f>L4/2.54</f>
        <v>7.48031496062992</v>
      </c>
      <c r="M3" s="203">
        <f>M4/2.54</f>
        <v>6.69291338582677</v>
      </c>
    </row>
    <row r="4" s="80" customFormat="1" ht="21" customHeight="1" spans="2:13">
      <c r="B4" s="90" t="s">
        <v>6</v>
      </c>
      <c r="C4" s="91"/>
      <c r="D4" s="97" t="s">
        <v>7</v>
      </c>
      <c r="E4" s="93"/>
      <c r="F4" s="94" t="s">
        <v>8</v>
      </c>
      <c r="G4" s="95"/>
      <c r="H4" s="96"/>
      <c r="J4" s="207" t="s">
        <v>9</v>
      </c>
      <c r="K4" s="208">
        <v>19</v>
      </c>
      <c r="L4" s="208">
        <v>19</v>
      </c>
      <c r="M4" s="208">
        <v>17</v>
      </c>
    </row>
    <row r="5" s="80" customFormat="1" ht="21" customHeight="1" spans="2:14">
      <c r="B5" s="98" t="s">
        <v>10</v>
      </c>
      <c r="C5" s="99"/>
      <c r="D5" s="97" t="s">
        <v>11</v>
      </c>
      <c r="E5" s="93"/>
      <c r="F5" s="94" t="s">
        <v>12</v>
      </c>
      <c r="G5" s="100"/>
      <c r="H5" s="96"/>
      <c r="J5" s="196" t="s">
        <v>13</v>
      </c>
      <c r="K5" s="203">
        <f>K4*L4*M4</f>
        <v>6137</v>
      </c>
      <c r="L5" s="203"/>
      <c r="M5" s="203"/>
      <c r="N5" s="82"/>
    </row>
    <row r="6" s="80" customFormat="1" ht="21" customHeight="1" spans="2:14">
      <c r="B6" s="101" t="s">
        <v>14</v>
      </c>
      <c r="C6" s="102" t="s">
        <v>15</v>
      </c>
      <c r="D6" s="103"/>
      <c r="E6" s="103"/>
      <c r="F6" s="103"/>
      <c r="G6" s="104"/>
      <c r="H6" s="105"/>
      <c r="J6" s="196" t="s">
        <v>16</v>
      </c>
      <c r="K6" s="209">
        <v>0.76</v>
      </c>
      <c r="L6" s="209"/>
      <c r="M6" s="209"/>
      <c r="N6" s="210"/>
    </row>
    <row r="7" s="80" customFormat="1" ht="23.25" customHeight="1" spans="2:13">
      <c r="B7" s="106" t="s">
        <v>17</v>
      </c>
      <c r="C7" s="107"/>
      <c r="D7" s="107" t="s">
        <v>18</v>
      </c>
      <c r="E7" s="107"/>
      <c r="F7" s="107" t="s">
        <v>19</v>
      </c>
      <c r="G7" s="108" t="s">
        <v>20</v>
      </c>
      <c r="H7" s="109" t="s">
        <v>21</v>
      </c>
      <c r="J7" s="196" t="s">
        <v>22</v>
      </c>
      <c r="K7" s="203">
        <f>K5/6000</f>
        <v>1.02283333333333</v>
      </c>
      <c r="L7" s="203">
        <f>K5/5000</f>
        <v>1.2274</v>
      </c>
      <c r="M7" s="203">
        <f>K5/6000</f>
        <v>1.02283333333333</v>
      </c>
    </row>
    <row r="8" s="80" customFormat="1" ht="24.95" customHeight="1" spans="2:13">
      <c r="B8" s="110" t="s">
        <v>23</v>
      </c>
      <c r="C8" s="111"/>
      <c r="D8" s="112" t="s">
        <v>24</v>
      </c>
      <c r="E8" s="112" t="s">
        <v>25</v>
      </c>
      <c r="F8" s="112" t="s">
        <v>26</v>
      </c>
      <c r="G8" s="113"/>
      <c r="H8" s="114"/>
      <c r="J8" s="196" t="s">
        <v>27</v>
      </c>
      <c r="K8" s="209">
        <v>51</v>
      </c>
      <c r="L8" s="209"/>
      <c r="M8" s="209">
        <v>15</v>
      </c>
    </row>
    <row r="9" s="81" customFormat="1" ht="24.95" customHeight="1" spans="2:14">
      <c r="B9" s="115" t="s">
        <v>28</v>
      </c>
      <c r="C9" s="116" t="s">
        <v>29</v>
      </c>
      <c r="D9" s="117"/>
      <c r="E9" s="117"/>
      <c r="F9" s="117"/>
      <c r="G9" s="118">
        <f>SUM(D9:F9)</f>
        <v>0</v>
      </c>
      <c r="H9" s="114" t="s">
        <v>30</v>
      </c>
      <c r="J9" s="196" t="s">
        <v>31</v>
      </c>
      <c r="K9" s="203">
        <f>IF(K7&gt;$K$6,K7*K8,$K$6*K8)</f>
        <v>52.1645</v>
      </c>
      <c r="L9" s="203">
        <f>IF(L7&gt;$K$6,L7*L8,$K$6*L8)</f>
        <v>0</v>
      </c>
      <c r="M9" s="203">
        <f>IF(M7&gt;$K$6,M7*M8,$K$6*M8)</f>
        <v>15.3425</v>
      </c>
      <c r="N9" s="83"/>
    </row>
    <row r="10" s="81" customFormat="1" ht="24.95" customHeight="1" spans="2:14">
      <c r="B10" s="115"/>
      <c r="C10" s="116" t="s">
        <v>32</v>
      </c>
      <c r="D10" s="119">
        <f>SUMIF(首批与返单囤货数量预测表!C:C,D8,首批与返单囤货数量预测表!G:G)</f>
        <v>0</v>
      </c>
      <c r="E10" s="119">
        <f>SUMIF(首批与返单囤货数量预测表!C:C,E8,首批与返单囤货数量预测表!G:G)</f>
        <v>0</v>
      </c>
      <c r="F10" s="119">
        <f>SUMIF(首批与返单囤货数量预测表!C:C,F8,首批与返单囤货数量预测表!G:G)</f>
        <v>0</v>
      </c>
      <c r="G10" s="120">
        <f>SUM(D10:F10)</f>
        <v>0</v>
      </c>
      <c r="H10" s="114" t="s">
        <v>33</v>
      </c>
      <c r="J10" s="207" t="s">
        <v>34</v>
      </c>
      <c r="K10" s="211">
        <v>1</v>
      </c>
      <c r="L10" s="211"/>
      <c r="M10" s="211"/>
      <c r="N10" s="80"/>
    </row>
    <row r="11" s="82" customFormat="1" ht="24.95" customHeight="1" spans="2:14">
      <c r="B11" s="115"/>
      <c r="C11" s="116" t="s">
        <v>35</v>
      </c>
      <c r="D11" s="121">
        <f>D9+D10</f>
        <v>0</v>
      </c>
      <c r="E11" s="121">
        <f>E9+E10</f>
        <v>0</v>
      </c>
      <c r="F11" s="121">
        <f>F9+F10</f>
        <v>0</v>
      </c>
      <c r="G11" s="118">
        <f>SUM(D11:F11)</f>
        <v>0</v>
      </c>
      <c r="H11" s="114" t="s">
        <v>36</v>
      </c>
      <c r="J11" s="196" t="s">
        <v>37</v>
      </c>
      <c r="K11" s="212">
        <f>K9/K10</f>
        <v>52.1645</v>
      </c>
      <c r="L11" s="212">
        <f>L9/K10</f>
        <v>0</v>
      </c>
      <c r="M11" s="212">
        <f>M9/K10</f>
        <v>15.3425</v>
      </c>
      <c r="N11" s="80"/>
    </row>
    <row r="12" s="82" customFormat="1" ht="24.95" customHeight="1" spans="2:14">
      <c r="B12" s="115"/>
      <c r="C12" s="116" t="s">
        <v>38</v>
      </c>
      <c r="D12" s="122">
        <f>D16/(1+D13)</f>
        <v>0</v>
      </c>
      <c r="E12" s="122">
        <f>E16/(1+E13)</f>
        <v>0</v>
      </c>
      <c r="F12" s="122">
        <f>F16/(1+F13)</f>
        <v>0</v>
      </c>
      <c r="G12" s="118"/>
      <c r="H12" s="114" t="s">
        <v>39</v>
      </c>
      <c r="J12" s="196"/>
      <c r="K12" s="196" t="s">
        <v>40</v>
      </c>
      <c r="L12" s="196" t="s">
        <v>41</v>
      </c>
      <c r="M12" s="196" t="s">
        <v>42</v>
      </c>
      <c r="N12" s="80"/>
    </row>
    <row r="13" s="82" customFormat="1" ht="24.95" customHeight="1" spans="2:14">
      <c r="B13" s="115"/>
      <c r="C13" s="116" t="s">
        <v>43</v>
      </c>
      <c r="D13" s="123">
        <f>IF($C$5="美元",0,20%)</f>
        <v>0.2</v>
      </c>
      <c r="E13" s="123">
        <f>IF($C$5="美元",0,20%)</f>
        <v>0.2</v>
      </c>
      <c r="F13" s="123">
        <f>IF($C$5="美元",0,20%)</f>
        <v>0.2</v>
      </c>
      <c r="G13" s="124"/>
      <c r="H13" s="114" t="s">
        <v>44</v>
      </c>
      <c r="J13" s="206" t="s">
        <v>45</v>
      </c>
      <c r="K13" s="206"/>
      <c r="L13" s="206"/>
      <c r="M13" s="206"/>
      <c r="N13" s="80"/>
    </row>
    <row r="14" s="82" customFormat="1" ht="24.95" customHeight="1" spans="2:14">
      <c r="B14" s="115"/>
      <c r="C14" s="116" t="s">
        <v>46</v>
      </c>
      <c r="D14" s="125"/>
      <c r="E14" s="125"/>
      <c r="F14" s="125"/>
      <c r="G14" s="126"/>
      <c r="H14" s="114" t="s">
        <v>47</v>
      </c>
      <c r="J14" s="196" t="s">
        <v>48</v>
      </c>
      <c r="K14" s="93"/>
      <c r="L14" s="93"/>
      <c r="M14" s="93"/>
      <c r="N14" s="80"/>
    </row>
    <row r="15" s="82" customFormat="1" ht="24.95" customHeight="1" spans="2:14">
      <c r="B15" s="115"/>
      <c r="C15" s="116" t="s">
        <v>11</v>
      </c>
      <c r="D15" s="127">
        <f>$E$5</f>
        <v>0</v>
      </c>
      <c r="E15" s="127">
        <f>$E$5</f>
        <v>0</v>
      </c>
      <c r="F15" s="127">
        <f>$E$5</f>
        <v>0</v>
      </c>
      <c r="G15" s="128"/>
      <c r="H15" s="129"/>
      <c r="J15" s="196" t="s">
        <v>49</v>
      </c>
      <c r="K15" s="196">
        <v>0.76</v>
      </c>
      <c r="L15" s="196"/>
      <c r="M15" s="196"/>
      <c r="N15" s="80"/>
    </row>
    <row r="16" s="82" customFormat="1" ht="24.95" customHeight="1" spans="2:8">
      <c r="B16" s="115"/>
      <c r="C16" s="116" t="s">
        <v>50</v>
      </c>
      <c r="D16" s="122">
        <f>D14*D15</f>
        <v>0</v>
      </c>
      <c r="E16" s="122">
        <f>E14*E15</f>
        <v>0</v>
      </c>
      <c r="F16" s="122">
        <f>F14*F15</f>
        <v>0</v>
      </c>
      <c r="G16" s="126"/>
      <c r="H16" s="114"/>
    </row>
    <row r="17" s="82" customFormat="1" ht="24.95" customHeight="1" spans="2:13">
      <c r="B17" s="115"/>
      <c r="C17" s="116" t="s">
        <v>51</v>
      </c>
      <c r="D17" s="130" t="e">
        <f>#REF!</f>
        <v>#REF!</v>
      </c>
      <c r="E17" s="130" t="e">
        <f>#REF!</f>
        <v>#REF!</v>
      </c>
      <c r="F17" s="130" t="e">
        <f>#REF!</f>
        <v>#REF!</v>
      </c>
      <c r="G17" s="131"/>
      <c r="H17" s="114" t="s">
        <v>52</v>
      </c>
      <c r="I17" s="80"/>
      <c r="J17" s="213" t="s">
        <v>53</v>
      </c>
      <c r="K17" s="213"/>
      <c r="L17" s="213"/>
      <c r="M17" s="213"/>
    </row>
    <row r="18" s="80" customFormat="1" ht="24.95" customHeight="1" spans="2:13">
      <c r="B18" s="115"/>
      <c r="C18" s="132" t="s">
        <v>54</v>
      </c>
      <c r="D18" s="133">
        <f>D11*D12</f>
        <v>0</v>
      </c>
      <c r="E18" s="133">
        <f>E11*E12</f>
        <v>0</v>
      </c>
      <c r="F18" s="133">
        <f>F11*F12</f>
        <v>0</v>
      </c>
      <c r="G18" s="134">
        <f>SUM(D18:F18)</f>
        <v>0</v>
      </c>
      <c r="H18" s="114"/>
      <c r="J18" s="196" t="s">
        <v>55</v>
      </c>
      <c r="K18" s="214" t="s">
        <v>56</v>
      </c>
      <c r="L18" s="214" t="s">
        <v>57</v>
      </c>
      <c r="M18" s="214" t="s">
        <v>58</v>
      </c>
    </row>
    <row r="19" s="80" customFormat="1" ht="24.95" customHeight="1" spans="2:13">
      <c r="B19" s="135"/>
      <c r="C19" s="136" t="s">
        <v>59</v>
      </c>
      <c r="D19" s="137">
        <f>D16*D11</f>
        <v>0</v>
      </c>
      <c r="E19" s="137">
        <f>E16*E11</f>
        <v>0</v>
      </c>
      <c r="F19" s="137">
        <f>F16*F11</f>
        <v>0</v>
      </c>
      <c r="G19" s="138">
        <f>SUM(D19:F19)</f>
        <v>0</v>
      </c>
      <c r="H19" s="139"/>
      <c r="J19" s="94" t="s">
        <v>60</v>
      </c>
      <c r="K19" s="215" t="e">
        <f>D37</f>
        <v>#DIV/0!</v>
      </c>
      <c r="L19" s="215" t="e">
        <f>E37</f>
        <v>#DIV/0!</v>
      </c>
      <c r="M19" s="215" t="e">
        <f>F37</f>
        <v>#DIV/0!</v>
      </c>
    </row>
    <row r="20" s="80" customFormat="1" ht="24.95" customHeight="1" spans="2:13">
      <c r="B20" s="140" t="s">
        <v>61</v>
      </c>
      <c r="C20" s="141" t="s">
        <v>62</v>
      </c>
      <c r="D20" s="142" t="e">
        <f>#REF!</f>
        <v>#REF!</v>
      </c>
      <c r="E20" s="142" t="e">
        <f>#REF!</f>
        <v>#REF!</v>
      </c>
      <c r="F20" s="142" t="e">
        <f>#REF!</f>
        <v>#REF!</v>
      </c>
      <c r="G20" s="126"/>
      <c r="H20" s="109"/>
      <c r="J20" s="94" t="s">
        <v>63</v>
      </c>
      <c r="K20" s="215" t="e">
        <f>D29/D19</f>
        <v>#DIV/0!</v>
      </c>
      <c r="L20" s="215" t="e">
        <f>E29/E19</f>
        <v>#DIV/0!</v>
      </c>
      <c r="M20" s="215" t="e">
        <f>F29/F19</f>
        <v>#DIV/0!</v>
      </c>
    </row>
    <row r="21" s="80" customFormat="1" ht="24.95" customHeight="1" spans="2:13">
      <c r="B21" s="135"/>
      <c r="C21" s="143" t="s">
        <v>64</v>
      </c>
      <c r="D21" s="137" t="e">
        <f>D11*D20</f>
        <v>#REF!</v>
      </c>
      <c r="E21" s="137" t="e">
        <f>E11*E20</f>
        <v>#REF!</v>
      </c>
      <c r="F21" s="137" t="e">
        <f>F11*F20</f>
        <v>#REF!</v>
      </c>
      <c r="G21" s="138" t="e">
        <f>SUM(D21:F21)</f>
        <v>#REF!</v>
      </c>
      <c r="H21" s="139"/>
      <c r="J21" s="94" t="s">
        <v>65</v>
      </c>
      <c r="K21" s="215" t="e">
        <f>(D47+D48)/D19</f>
        <v>#REF!</v>
      </c>
      <c r="L21" s="215" t="e">
        <f>(E47+E48)/E19</f>
        <v>#REF!</v>
      </c>
      <c r="M21" s="215" t="e">
        <f>(F47+F48)/F19</f>
        <v>#REF!</v>
      </c>
    </row>
    <row r="22" s="82" customFormat="1" ht="24.95" customHeight="1" spans="2:13">
      <c r="B22" s="140" t="s">
        <v>66</v>
      </c>
      <c r="C22" s="141" t="s">
        <v>67</v>
      </c>
      <c r="D22" s="144" t="e">
        <f>D18-D21</f>
        <v>#REF!</v>
      </c>
      <c r="E22" s="144" t="e">
        <f>E18-E21</f>
        <v>#REF!</v>
      </c>
      <c r="F22" s="144" t="e">
        <f>F18-F21</f>
        <v>#REF!</v>
      </c>
      <c r="G22" s="134" t="e">
        <f>SUM(D22:F22)</f>
        <v>#REF!</v>
      </c>
      <c r="H22" s="109" t="s">
        <v>68</v>
      </c>
      <c r="I22" s="80"/>
      <c r="J22" s="216" t="s">
        <v>69</v>
      </c>
      <c r="K22" s="217" t="e">
        <f>D21/D19</f>
        <v>#REF!</v>
      </c>
      <c r="L22" s="217" t="e">
        <f>E21/E19</f>
        <v>#REF!</v>
      </c>
      <c r="M22" s="217" t="e">
        <f>F21/F19</f>
        <v>#REF!</v>
      </c>
    </row>
    <row r="23" s="80" customFormat="1" ht="24.95" customHeight="1" spans="2:13">
      <c r="B23" s="135"/>
      <c r="C23" s="143" t="s">
        <v>70</v>
      </c>
      <c r="D23" s="145" t="e">
        <f>D22/D18</f>
        <v>#REF!</v>
      </c>
      <c r="E23" s="145" t="e">
        <f>E22/E18</f>
        <v>#REF!</v>
      </c>
      <c r="F23" s="145" t="e">
        <f>F22/F18</f>
        <v>#REF!</v>
      </c>
      <c r="G23" s="146" t="e">
        <f>SUM(D22:F22)/SUM(D18:F18)</f>
        <v>#REF!</v>
      </c>
      <c r="H23" s="139"/>
      <c r="J23" s="216" t="s">
        <v>71</v>
      </c>
      <c r="K23" s="217" t="e">
        <f>D45/D19</f>
        <v>#DIV/0!</v>
      </c>
      <c r="L23" s="217" t="e">
        <f>E45/E19</f>
        <v>#DIV/0!</v>
      </c>
      <c r="M23" s="217" t="e">
        <f>F45/F19</f>
        <v>#DIV/0!</v>
      </c>
    </row>
    <row r="24" s="80" customFormat="1" ht="24.95" customHeight="1" spans="2:13">
      <c r="B24" s="147" t="s">
        <v>72</v>
      </c>
      <c r="C24" s="148" t="s">
        <v>73</v>
      </c>
      <c r="D24" s="149"/>
      <c r="E24" s="149"/>
      <c r="F24" s="149"/>
      <c r="G24" s="150"/>
      <c r="H24" s="109" t="s">
        <v>74</v>
      </c>
      <c r="J24" s="216" t="s">
        <v>75</v>
      </c>
      <c r="K24" s="217">
        <f>D39</f>
        <v>0</v>
      </c>
      <c r="L24" s="217">
        <f>E39</f>
        <v>0</v>
      </c>
      <c r="M24" s="217">
        <f>F39</f>
        <v>0</v>
      </c>
    </row>
    <row r="25" s="80" customFormat="1" ht="24.95" customHeight="1" spans="2:13">
      <c r="B25" s="151"/>
      <c r="C25" s="152" t="s">
        <v>76</v>
      </c>
      <c r="D25" s="117"/>
      <c r="E25" s="117"/>
      <c r="F25" s="117"/>
      <c r="G25" s="153"/>
      <c r="H25" s="114" t="s">
        <v>77</v>
      </c>
      <c r="J25" s="216" t="s">
        <v>78</v>
      </c>
      <c r="K25" s="217" t="e">
        <f>D42/D19</f>
        <v>#DIV/0!</v>
      </c>
      <c r="L25" s="217" t="e">
        <f>E42/E19</f>
        <v>#DIV/0!</v>
      </c>
      <c r="M25" s="217" t="e">
        <f>F42/F19</f>
        <v>#DIV/0!</v>
      </c>
    </row>
    <row r="26" s="80" customFormat="1" ht="24.95" customHeight="1" spans="2:13">
      <c r="B26" s="151"/>
      <c r="C26" s="152" t="s">
        <v>79</v>
      </c>
      <c r="D26" s="154"/>
      <c r="E26" s="154"/>
      <c r="F26" s="154"/>
      <c r="G26" s="153"/>
      <c r="H26" s="114" t="s">
        <v>80</v>
      </c>
      <c r="J26" s="216" t="s">
        <v>81</v>
      </c>
      <c r="K26" s="217">
        <v>0.02</v>
      </c>
      <c r="L26" s="217">
        <v>0.02</v>
      </c>
      <c r="M26" s="217">
        <v>0.02</v>
      </c>
    </row>
    <row r="27" s="80" customFormat="1" ht="24.95" customHeight="1" spans="2:13">
      <c r="B27" s="151"/>
      <c r="C27" s="152" t="s">
        <v>82</v>
      </c>
      <c r="D27" s="154"/>
      <c r="E27" s="154"/>
      <c r="F27" s="154"/>
      <c r="G27" s="153"/>
      <c r="H27" s="114" t="s">
        <v>83</v>
      </c>
      <c r="J27" s="216" t="s">
        <v>84</v>
      </c>
      <c r="K27" s="217" t="e">
        <f>D17</f>
        <v>#REF!</v>
      </c>
      <c r="L27" s="217" t="e">
        <f>E17</f>
        <v>#REF!</v>
      </c>
      <c r="M27" s="217" t="e">
        <f>F17</f>
        <v>#REF!</v>
      </c>
    </row>
    <row r="28" s="80" customFormat="1" ht="24.95" customHeight="1" spans="2:13">
      <c r="B28" s="151"/>
      <c r="C28" s="152" t="s">
        <v>85</v>
      </c>
      <c r="D28" s="154"/>
      <c r="E28" s="154"/>
      <c r="F28" s="154"/>
      <c r="G28" s="153"/>
      <c r="H28" s="114" t="s">
        <v>86</v>
      </c>
      <c r="J28" s="218" t="s">
        <v>87</v>
      </c>
      <c r="K28" s="219" t="e">
        <f>1-SUM(K19:K27)</f>
        <v>#DIV/0!</v>
      </c>
      <c r="L28" s="219" t="e">
        <f>1-SUM(L19:L27)</f>
        <v>#DIV/0!</v>
      </c>
      <c r="M28" s="219" t="e">
        <f>1-SUM(M19:M27)</f>
        <v>#DIV/0!</v>
      </c>
    </row>
    <row r="29" s="80" customFormat="1" ht="24.95" customHeight="1" spans="2:8">
      <c r="B29" s="155"/>
      <c r="C29" s="156" t="s">
        <v>88</v>
      </c>
      <c r="D29" s="137">
        <f>IF(D26&gt;0.8,(D24*$K$37+D25*$L$37+D26*D27*D11+D28*D14*D11+0.6*D11*D27)*D15,(D24*$K$37+D25*$L$37+D26*D14*D27*D11+D28*D14*D11+0.6*D11*D27)*D15)</f>
        <v>0</v>
      </c>
      <c r="E29" s="137">
        <f>IF(E26&gt;0.8,(E24*$K$37+E25*$L$37+E26*E27*E11+E28*E14*E11+0.6*E11*E27)*E15,(E24*$K$37+E25*$L$37+E26*E14*E27*E11+E28*E14*E11+0.6*E11*E27)*E15)</f>
        <v>0</v>
      </c>
      <c r="F29" s="137">
        <f>IF(F26&gt;0.8,(F24*$K$37+F25*$L$37+F26*F27*F11+F28*F14*F11+0.6*F11*F27)*F15,(F24*$K$37+F25*$L$37+F26*F14*F27*F11+F28*F14*F11+0.6*F11*F27)*F15)</f>
        <v>0</v>
      </c>
      <c r="G29" s="157">
        <f>SUM(D29:F29)</f>
        <v>0</v>
      </c>
      <c r="H29" s="158" t="s">
        <v>89</v>
      </c>
    </row>
    <row r="30" s="80" customFormat="1" ht="24.95" customHeight="1" spans="2:11">
      <c r="B30" s="151" t="s">
        <v>90</v>
      </c>
      <c r="C30" s="159" t="s">
        <v>91</v>
      </c>
      <c r="D30" s="160"/>
      <c r="E30" s="160"/>
      <c r="F30" s="160"/>
      <c r="G30" s="161"/>
      <c r="H30" s="162" t="s">
        <v>92</v>
      </c>
      <c r="J30" s="220" t="s">
        <v>11</v>
      </c>
      <c r="K30" s="221"/>
    </row>
    <row r="31" s="80" customFormat="1" ht="24.95" customHeight="1" spans="2:11">
      <c r="B31" s="151"/>
      <c r="C31" s="152" t="s">
        <v>93</v>
      </c>
      <c r="D31" s="163"/>
      <c r="E31" s="163"/>
      <c r="F31" s="163"/>
      <c r="G31" s="126"/>
      <c r="H31" s="114" t="s">
        <v>94</v>
      </c>
      <c r="J31" s="196" t="s">
        <v>95</v>
      </c>
      <c r="K31" s="222">
        <v>7.1</v>
      </c>
    </row>
    <row r="32" s="80" customFormat="1" ht="24.95" customHeight="1" spans="2:13">
      <c r="B32" s="151"/>
      <c r="C32" s="152" t="s">
        <v>96</v>
      </c>
      <c r="D32" s="122" t="e">
        <f>D30/D31</f>
        <v>#DIV/0!</v>
      </c>
      <c r="E32" s="122" t="e">
        <f>E30/E31</f>
        <v>#DIV/0!</v>
      </c>
      <c r="F32" s="122" t="e">
        <f>F30/F31</f>
        <v>#DIV/0!</v>
      </c>
      <c r="G32" s="126"/>
      <c r="H32" s="114" t="s">
        <v>97</v>
      </c>
      <c r="J32" s="196" t="s">
        <v>98</v>
      </c>
      <c r="K32" s="222">
        <v>7.3</v>
      </c>
      <c r="M32" s="210"/>
    </row>
    <row r="33" s="80" customFormat="1" ht="24.95" customHeight="1" spans="2:11">
      <c r="B33" s="151"/>
      <c r="C33" s="152" t="s">
        <v>99</v>
      </c>
      <c r="D33" s="163"/>
      <c r="E33" s="163"/>
      <c r="F33" s="163"/>
      <c r="G33" s="126"/>
      <c r="H33" s="114" t="s">
        <v>100</v>
      </c>
      <c r="J33" s="196" t="s">
        <v>101</v>
      </c>
      <c r="K33" s="222">
        <v>8.4</v>
      </c>
    </row>
    <row r="34" s="80" customFormat="1" ht="24.95" customHeight="1" spans="2:8">
      <c r="B34" s="155"/>
      <c r="C34" s="156" t="s">
        <v>102</v>
      </c>
      <c r="D34" s="145" t="e">
        <f>D32/D14</f>
        <v>#DIV/0!</v>
      </c>
      <c r="E34" s="145" t="e">
        <f>E32/E14</f>
        <v>#DIV/0!</v>
      </c>
      <c r="F34" s="145" t="e">
        <f>F32/F14</f>
        <v>#DIV/0!</v>
      </c>
      <c r="G34" s="164"/>
      <c r="H34" s="139"/>
    </row>
    <row r="35" s="80" customFormat="1" ht="24.95" customHeight="1" spans="2:12">
      <c r="B35" s="140" t="s">
        <v>103</v>
      </c>
      <c r="C35" s="165" t="s">
        <v>104</v>
      </c>
      <c r="D35" s="166" t="e">
        <f>D16*D11*D37</f>
        <v>#DIV/0!</v>
      </c>
      <c r="E35" s="166" t="e">
        <f>E16*E11*E37</f>
        <v>#DIV/0!</v>
      </c>
      <c r="F35" s="166" t="e">
        <f>F16*F11*F37</f>
        <v>#DIV/0!</v>
      </c>
      <c r="G35" s="167" t="e">
        <f>SUM(D35:F35)</f>
        <v>#DIV/0!</v>
      </c>
      <c r="H35" s="168"/>
      <c r="J35" s="196" t="s">
        <v>105</v>
      </c>
      <c r="K35" s="196"/>
      <c r="L35" s="196"/>
    </row>
    <row r="36" s="81" customFormat="1" ht="24.95" customHeight="1" spans="2:13">
      <c r="B36" s="169"/>
      <c r="C36" s="170" t="s">
        <v>106</v>
      </c>
      <c r="D36" s="171" t="e">
        <f>D35/$D$15</f>
        <v>#DIV/0!</v>
      </c>
      <c r="E36" s="171" t="e">
        <f>E35/$D$15</f>
        <v>#DIV/0!</v>
      </c>
      <c r="F36" s="171" t="e">
        <f>F35/$D$15</f>
        <v>#DIV/0!</v>
      </c>
      <c r="G36" s="172" t="e">
        <f>SUM(D36:F36)</f>
        <v>#DIV/0!</v>
      </c>
      <c r="H36" s="173"/>
      <c r="I36" s="80"/>
      <c r="J36" s="196" t="s">
        <v>107</v>
      </c>
      <c r="K36" s="196" t="s">
        <v>108</v>
      </c>
      <c r="L36" s="196" t="s">
        <v>109</v>
      </c>
      <c r="M36" s="80"/>
    </row>
    <row r="37" s="80" customFormat="1" ht="24.95" customHeight="1" spans="2:12">
      <c r="B37" s="115"/>
      <c r="C37" s="174" t="s">
        <v>60</v>
      </c>
      <c r="D37" s="175" t="e">
        <f>D34*D33</f>
        <v>#DIV/0!</v>
      </c>
      <c r="E37" s="175" t="e">
        <f>E34*E33</f>
        <v>#DIV/0!</v>
      </c>
      <c r="F37" s="175" t="e">
        <f>F34*F33</f>
        <v>#DIV/0!</v>
      </c>
      <c r="G37" s="176"/>
      <c r="H37" s="173" t="s">
        <v>110</v>
      </c>
      <c r="J37" s="196" t="s">
        <v>95</v>
      </c>
      <c r="K37" s="196">
        <v>150</v>
      </c>
      <c r="L37" s="196">
        <v>300</v>
      </c>
    </row>
    <row r="38" s="83" customFormat="1" ht="24.95" customHeight="1" spans="2:13">
      <c r="B38" s="177"/>
      <c r="C38" s="178" t="s">
        <v>111</v>
      </c>
      <c r="D38" s="171">
        <f>D16*D11*D39</f>
        <v>0</v>
      </c>
      <c r="E38" s="171">
        <f>E16*E11*E39</f>
        <v>0</v>
      </c>
      <c r="F38" s="171">
        <f>F16*F11*F39</f>
        <v>0</v>
      </c>
      <c r="G38" s="172">
        <f>SUM(D38:F38)</f>
        <v>0</v>
      </c>
      <c r="H38" s="179"/>
      <c r="J38" s="196" t="s">
        <v>112</v>
      </c>
      <c r="K38" s="196">
        <v>35</v>
      </c>
      <c r="L38" s="196">
        <v>70</v>
      </c>
      <c r="M38" s="81"/>
    </row>
    <row r="39" s="80" customFormat="1" ht="24.95" customHeight="1" spans="2:12">
      <c r="B39" s="115"/>
      <c r="C39" s="174" t="s">
        <v>113</v>
      </c>
      <c r="D39" s="180"/>
      <c r="E39" s="180"/>
      <c r="F39" s="180"/>
      <c r="G39" s="181"/>
      <c r="H39" s="173"/>
      <c r="J39" s="196" t="s">
        <v>101</v>
      </c>
      <c r="K39" s="196">
        <v>25</v>
      </c>
      <c r="L39" s="196">
        <v>50</v>
      </c>
    </row>
    <row r="40" s="80" customFormat="1" ht="24.95" customHeight="1" spans="2:13">
      <c r="B40" s="115"/>
      <c r="C40" s="174" t="s">
        <v>114</v>
      </c>
      <c r="D40" s="182"/>
      <c r="E40" s="183">
        <f>D40</f>
        <v>0</v>
      </c>
      <c r="F40" s="183">
        <f>E40</f>
        <v>0</v>
      </c>
      <c r="G40" s="176"/>
      <c r="H40" s="173"/>
      <c r="J40" s="196" t="s">
        <v>115</v>
      </c>
      <c r="K40" s="196">
        <v>20</v>
      </c>
      <c r="L40" s="196">
        <v>40</v>
      </c>
      <c r="M40" s="83"/>
    </row>
    <row r="41" s="80" customFormat="1" ht="24.95" customHeight="1" spans="2:8">
      <c r="B41" s="115"/>
      <c r="C41" s="174" t="s">
        <v>116</v>
      </c>
      <c r="D41" s="183">
        <f>D40*D15</f>
        <v>0</v>
      </c>
      <c r="E41" s="183">
        <f>E40*E15</f>
        <v>0</v>
      </c>
      <c r="F41" s="183">
        <f>F40*F15</f>
        <v>0</v>
      </c>
      <c r="G41" s="176"/>
      <c r="H41" s="173" t="s">
        <v>117</v>
      </c>
    </row>
    <row r="42" s="80" customFormat="1" ht="24.95" customHeight="1" spans="2:8">
      <c r="B42" s="115"/>
      <c r="C42" s="174" t="s">
        <v>118</v>
      </c>
      <c r="D42" s="171">
        <f>D41*D11</f>
        <v>0</v>
      </c>
      <c r="E42" s="171">
        <f>E41*E11</f>
        <v>0</v>
      </c>
      <c r="F42" s="171">
        <f>F41*F11</f>
        <v>0</v>
      </c>
      <c r="G42" s="172">
        <f>SUM(D42:F42)</f>
        <v>0</v>
      </c>
      <c r="H42" s="173"/>
    </row>
    <row r="43" s="80" customFormat="1" ht="24.95" customHeight="1" spans="2:8">
      <c r="B43" s="115"/>
      <c r="C43" s="178" t="s">
        <v>119</v>
      </c>
      <c r="D43" s="171">
        <f>ROUND(D19*2%,2)</f>
        <v>0</v>
      </c>
      <c r="E43" s="171">
        <f>ROUND(E19*2%,2)</f>
        <v>0</v>
      </c>
      <c r="F43" s="171">
        <f>ROUND(F19*2%,2)</f>
        <v>0</v>
      </c>
      <c r="G43" s="172">
        <f>SUM(D43:F43)</f>
        <v>0</v>
      </c>
      <c r="H43" s="173" t="s">
        <v>120</v>
      </c>
    </row>
    <row r="44" s="80" customFormat="1" ht="24.95" customHeight="1" spans="2:8">
      <c r="B44" s="115"/>
      <c r="C44" s="178" t="s">
        <v>121</v>
      </c>
      <c r="D44" s="182"/>
      <c r="E44" s="183">
        <f>D44</f>
        <v>0</v>
      </c>
      <c r="F44" s="183">
        <f>E44</f>
        <v>0</v>
      </c>
      <c r="G44" s="176"/>
      <c r="H44" s="173" t="s">
        <v>122</v>
      </c>
    </row>
    <row r="45" s="80" customFormat="1" ht="24.95" customHeight="1" spans="2:8">
      <c r="B45" s="115"/>
      <c r="C45" s="178" t="s">
        <v>123</v>
      </c>
      <c r="D45" s="171">
        <f>D44*D11</f>
        <v>0</v>
      </c>
      <c r="E45" s="171">
        <f>E44*E11</f>
        <v>0</v>
      </c>
      <c r="F45" s="171">
        <f>F44*F11</f>
        <v>0</v>
      </c>
      <c r="G45" s="172">
        <f>SUM(D45:F45)</f>
        <v>0</v>
      </c>
      <c r="H45" s="173"/>
    </row>
    <row r="46" s="80" customFormat="1" ht="24.95" customHeight="1" spans="2:8">
      <c r="B46" s="115"/>
      <c r="C46" s="178" t="s">
        <v>124</v>
      </c>
      <c r="D46" s="182"/>
      <c r="E46" s="182"/>
      <c r="F46" s="182"/>
      <c r="G46" s="176"/>
      <c r="H46" s="173" t="s">
        <v>125</v>
      </c>
    </row>
    <row r="47" s="80" customFormat="1" ht="24.95" customHeight="1" spans="2:8">
      <c r="B47" s="115"/>
      <c r="C47" s="178" t="s">
        <v>126</v>
      </c>
      <c r="D47" s="171" t="e">
        <f>((D14*0.15+D40)*D15+D20+D44+D46)*D9</f>
        <v>#REF!</v>
      </c>
      <c r="E47" s="171" t="e">
        <f>((E14*0.15+E40)*E15+E20+E44+E46)*E9</f>
        <v>#REF!</v>
      </c>
      <c r="F47" s="171" t="e">
        <f>((F14*0.15+F40)*F15+F20+F44+F46)*F9</f>
        <v>#REF!</v>
      </c>
      <c r="G47" s="172" t="e">
        <f>SUM(D47:F47)</f>
        <v>#REF!</v>
      </c>
      <c r="H47" s="173"/>
    </row>
    <row r="48" s="80" customFormat="1" ht="24.95" customHeight="1" spans="2:8">
      <c r="B48" s="115"/>
      <c r="C48" s="178" t="s">
        <v>127</v>
      </c>
      <c r="D48" s="183">
        <v>0</v>
      </c>
      <c r="E48" s="183">
        <v>0</v>
      </c>
      <c r="F48" s="183">
        <v>0</v>
      </c>
      <c r="G48" s="176">
        <f>SUM(D48:F48)</f>
        <v>0</v>
      </c>
      <c r="H48" s="173" t="s">
        <v>128</v>
      </c>
    </row>
    <row r="49" s="80" customFormat="1" ht="24.95" customHeight="1" spans="2:8">
      <c r="B49" s="115"/>
      <c r="C49" s="178" t="s">
        <v>129</v>
      </c>
      <c r="D49" s="171" t="e">
        <f>D48+D47+D45+D43+D42+D38+D35+D29+D17*D19</f>
        <v>#REF!</v>
      </c>
      <c r="E49" s="171" t="e">
        <f>E48+E47+E45+E43+E42+E38+E35+E29+E17*E19</f>
        <v>#REF!</v>
      </c>
      <c r="F49" s="171" t="e">
        <f>F48+F47+F45+F43+F42+F38+F35+F29+F17*F19</f>
        <v>#REF!</v>
      </c>
      <c r="G49" s="172" t="e">
        <f>G48+G47+G45+G43+G42+G38+G35+G29+G17*G19</f>
        <v>#REF!</v>
      </c>
      <c r="H49" s="173"/>
    </row>
    <row r="50" s="80" customFormat="1" ht="24.95" customHeight="1" spans="2:8">
      <c r="B50" s="135"/>
      <c r="C50" s="184" t="s">
        <v>130</v>
      </c>
      <c r="D50" s="185" t="e">
        <f>D49/D18</f>
        <v>#REF!</v>
      </c>
      <c r="E50" s="185" t="e">
        <f>E49/E18</f>
        <v>#REF!</v>
      </c>
      <c r="F50" s="185" t="e">
        <f>F49/F18</f>
        <v>#REF!</v>
      </c>
      <c r="G50" s="186" t="e">
        <f>G49/G18</f>
        <v>#REF!</v>
      </c>
      <c r="H50" s="187"/>
    </row>
    <row r="51" s="84" customFormat="1" ht="24.95" customHeight="1" spans="2:14">
      <c r="B51" s="188" t="s">
        <v>131</v>
      </c>
      <c r="C51" s="189" t="s">
        <v>132</v>
      </c>
      <c r="D51" s="190" t="e">
        <f t="shared" ref="D51:F51" si="0">D22-D49</f>
        <v>#REF!</v>
      </c>
      <c r="E51" s="190" t="e">
        <f t="shared" si="0"/>
        <v>#REF!</v>
      </c>
      <c r="F51" s="190" t="e">
        <f t="shared" si="0"/>
        <v>#REF!</v>
      </c>
      <c r="G51" s="190" t="e">
        <f>SUM(D51:F51)</f>
        <v>#REF!</v>
      </c>
      <c r="H51" s="109"/>
      <c r="J51" s="80"/>
      <c r="K51" s="80"/>
      <c r="L51" s="80"/>
      <c r="M51" s="80"/>
      <c r="N51" s="80"/>
    </row>
    <row r="52" s="84" customFormat="1" ht="24.95" customHeight="1" spans="2:13">
      <c r="B52" s="191"/>
      <c r="C52" s="192" t="s">
        <v>133</v>
      </c>
      <c r="D52" s="193" t="e">
        <f>D51/D18</f>
        <v>#REF!</v>
      </c>
      <c r="E52" s="193" t="e">
        <f>E51/E18</f>
        <v>#REF!</v>
      </c>
      <c r="F52" s="193" t="e">
        <f>F51/F18</f>
        <v>#REF!</v>
      </c>
      <c r="G52" s="193" t="e">
        <f>G51/G18</f>
        <v>#REF!</v>
      </c>
      <c r="H52" s="194"/>
      <c r="J52" s="80"/>
      <c r="K52" s="80"/>
      <c r="L52" s="80"/>
      <c r="M52" s="80"/>
    </row>
    <row r="53" s="80" customFormat="1" customHeight="1" spans="6:14">
      <c r="F53" s="86"/>
      <c r="G53" s="86"/>
      <c r="J53" s="84"/>
      <c r="N53" s="84"/>
    </row>
    <row r="54" s="85" customFormat="1" customHeight="1" spans="2:14">
      <c r="B54" s="195" t="s">
        <v>134</v>
      </c>
      <c r="C54" s="196" t="s">
        <v>135</v>
      </c>
      <c r="D54" s="196"/>
      <c r="E54" s="196"/>
      <c r="F54" s="197"/>
      <c r="G54" s="198"/>
      <c r="H54" s="94"/>
      <c r="J54" s="84"/>
      <c r="K54" s="84"/>
      <c r="L54" s="84"/>
      <c r="M54" s="84"/>
      <c r="N54" s="80"/>
    </row>
    <row r="55" s="85" customFormat="1" ht="33.95" customHeight="1" spans="2:13">
      <c r="B55" s="195"/>
      <c r="C55" s="199" t="s">
        <v>136</v>
      </c>
      <c r="D55" s="196"/>
      <c r="E55" s="196"/>
      <c r="F55" s="196"/>
      <c r="G55" s="196"/>
      <c r="H55" s="196"/>
      <c r="J55" s="80"/>
      <c r="K55" s="84"/>
      <c r="L55" s="84"/>
      <c r="M55" s="84"/>
    </row>
    <row r="56" s="85" customFormat="1" customHeight="1" spans="2:13">
      <c r="B56" s="195"/>
      <c r="C56" s="196" t="s">
        <v>137</v>
      </c>
      <c r="D56" s="196"/>
      <c r="E56" s="196"/>
      <c r="F56" s="197"/>
      <c r="G56" s="198"/>
      <c r="H56" s="94"/>
      <c r="K56" s="80"/>
      <c r="L56" s="80"/>
      <c r="M56" s="80"/>
    </row>
    <row r="57" s="80" customFormat="1" customHeight="1" spans="6:13">
      <c r="F57" s="86"/>
      <c r="G57" s="86"/>
      <c r="J57" s="85"/>
      <c r="K57" s="85"/>
      <c r="L57" s="85"/>
      <c r="M57" s="85"/>
    </row>
    <row r="58" s="80" customFormat="1" customHeight="1" spans="2:13">
      <c r="B58" s="195" t="s">
        <v>138</v>
      </c>
      <c r="C58" s="196" t="s">
        <v>139</v>
      </c>
      <c r="D58" s="196" t="s">
        <v>140</v>
      </c>
      <c r="E58" s="196" t="s">
        <v>141</v>
      </c>
      <c r="F58" s="197" t="s">
        <v>142</v>
      </c>
      <c r="G58" s="197" t="s">
        <v>143</v>
      </c>
      <c r="H58" s="196" t="s">
        <v>144</v>
      </c>
      <c r="K58" s="85"/>
      <c r="L58" s="85"/>
      <c r="M58" s="85"/>
    </row>
    <row r="59" s="80" customFormat="1" customHeight="1" spans="2:8">
      <c r="B59" s="195"/>
      <c r="C59" s="196" t="s">
        <v>145</v>
      </c>
      <c r="D59" s="200">
        <f>D10</f>
        <v>0</v>
      </c>
      <c r="E59" s="201">
        <f>D19</f>
        <v>0</v>
      </c>
      <c r="F59" s="201" t="e">
        <f>D35</f>
        <v>#DIV/0!</v>
      </c>
      <c r="G59" s="202" t="e">
        <f>D37</f>
        <v>#DIV/0!</v>
      </c>
      <c r="H59" s="203" t="e">
        <f>D51</f>
        <v>#REF!</v>
      </c>
    </row>
    <row r="60" s="80" customFormat="1" customHeight="1" spans="2:8">
      <c r="B60" s="195"/>
      <c r="C60" s="196" t="s">
        <v>146</v>
      </c>
      <c r="D60" s="200">
        <f>E10</f>
        <v>0</v>
      </c>
      <c r="E60" s="201">
        <f>E19</f>
        <v>0</v>
      </c>
      <c r="F60" s="201" t="e">
        <f>E35</f>
        <v>#DIV/0!</v>
      </c>
      <c r="G60" s="202" t="e">
        <f>E37</f>
        <v>#DIV/0!</v>
      </c>
      <c r="H60" s="203" t="e">
        <f>E51</f>
        <v>#REF!</v>
      </c>
    </row>
    <row r="61" s="80" customFormat="1" customHeight="1" spans="2:8">
      <c r="B61" s="195"/>
      <c r="C61" s="196" t="s">
        <v>147</v>
      </c>
      <c r="D61" s="200">
        <f>F10</f>
        <v>0</v>
      </c>
      <c r="E61" s="201">
        <f>F19</f>
        <v>0</v>
      </c>
      <c r="F61" s="201" t="e">
        <f>F35</f>
        <v>#DIV/0!</v>
      </c>
      <c r="G61" s="202" t="e">
        <f>F37</f>
        <v>#DIV/0!</v>
      </c>
      <c r="H61" s="203" t="e">
        <f>F51</f>
        <v>#REF!</v>
      </c>
    </row>
    <row r="63" customHeight="1" spans="2:4">
      <c r="B63" s="204" t="s">
        <v>148</v>
      </c>
      <c r="C63" s="205" t="s">
        <v>149</v>
      </c>
      <c r="D63" s="204" t="e">
        <f>IF(OR(D52&gt;0,E52&gt;0,F52&gt;0),"是","否")</f>
        <v>#REF!</v>
      </c>
    </row>
    <row r="64" customHeight="1" spans="2:4">
      <c r="B64" s="204"/>
      <c r="C64" s="205" t="e">
        <f>IF(D63="否","三个月无转正的利润月,请优化利润","")</f>
        <v>#REF!</v>
      </c>
      <c r="D64" s="204"/>
    </row>
    <row r="65" customHeight="1" spans="2:4">
      <c r="B65" s="204"/>
      <c r="C65" s="205" t="e">
        <f>IF(D63="是","已经产生的亏损","")</f>
        <v>#REF!</v>
      </c>
      <c r="D65" s="223" t="e">
        <f>IF(D63="是",G51,"")</f>
        <v>#REF!</v>
      </c>
    </row>
    <row r="66" customHeight="1" spans="2:4">
      <c r="B66" s="204"/>
      <c r="C66" s="205" t="e">
        <f>IF(D63="是","当前单个销量利润","")</f>
        <v>#REF!</v>
      </c>
      <c r="D66" s="223" t="e">
        <f>IF(D63="是",H61/D61,"")</f>
        <v>#REF!</v>
      </c>
    </row>
    <row r="67" customHeight="1" spans="2:4">
      <c r="B67" s="204"/>
      <c r="C67" s="205" t="e">
        <f>IF(D63="是","当前月销量","")</f>
        <v>#REF!</v>
      </c>
      <c r="D67" s="205" t="e">
        <f>IF(D63="是",D61,"")</f>
        <v>#REF!</v>
      </c>
    </row>
    <row r="68" customHeight="1" spans="2:4">
      <c r="B68" s="204"/>
      <c r="C68" s="205" t="e">
        <f>IF(D63="是","利润转正月数","")</f>
        <v>#REF!</v>
      </c>
      <c r="D68" s="224" t="e">
        <f>IF(D63="是",-D65/(D67*D66)+3,"")</f>
        <v>#REF!</v>
      </c>
    </row>
  </sheetData>
  <mergeCells count="24">
    <mergeCell ref="B2:H2"/>
    <mergeCell ref="J2:M2"/>
    <mergeCell ref="K5:M5"/>
    <mergeCell ref="K6:M6"/>
    <mergeCell ref="B7:C7"/>
    <mergeCell ref="D7:E7"/>
    <mergeCell ref="K10:M10"/>
    <mergeCell ref="J13:M13"/>
    <mergeCell ref="J17:M17"/>
    <mergeCell ref="J30:K30"/>
    <mergeCell ref="J35:L35"/>
    <mergeCell ref="C55:H55"/>
    <mergeCell ref="B9:B19"/>
    <mergeCell ref="B20:B21"/>
    <mergeCell ref="B22:B23"/>
    <mergeCell ref="B24:B29"/>
    <mergeCell ref="B30:B34"/>
    <mergeCell ref="B35:B50"/>
    <mergeCell ref="B51:B52"/>
    <mergeCell ref="B54:B56"/>
    <mergeCell ref="B58:B61"/>
    <mergeCell ref="B63:B68"/>
    <mergeCell ref="G7:G8"/>
    <mergeCell ref="H7:H8"/>
  </mergeCells>
  <dataValidations count="2">
    <dataValidation type="list" allowBlank="1" showInputMessage="1" showErrorMessage="1" sqref="C5">
      <formula1>"美元,英镑,欧元"</formula1>
    </dataValidation>
    <dataValidation type="list" allowBlank="1" showInputMessage="1" showErrorMessage="1" sqref="D14:F14">
      <formula1>毛利测算表!$B$5:$B$14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U92"/>
  <sheetViews>
    <sheetView showGridLines="0" topLeftCell="A2" workbookViewId="0">
      <selection activeCell="N4" sqref="N4:N5"/>
    </sheetView>
  </sheetViews>
  <sheetFormatPr defaultColWidth="9" defaultRowHeight="16.5" customHeight="1"/>
  <cols>
    <col min="1" max="1" width="3" style="18" customWidth="1"/>
    <col min="2" max="2" width="12.1666666666667" style="18" customWidth="1"/>
    <col min="3" max="6" width="11.1666666666667" style="18" customWidth="1"/>
    <col min="7" max="7" width="10.3333333333333" style="18" customWidth="1"/>
    <col min="8" max="8" width="17.1666666666667" style="18" customWidth="1"/>
    <col min="9" max="9" width="16.5" style="18" customWidth="1"/>
    <col min="10" max="10" width="11.1666666666667" style="18" customWidth="1"/>
    <col min="11" max="11" width="2.16666666666667" style="18" customWidth="1"/>
    <col min="12" max="12" width="24.5" style="18" customWidth="1"/>
    <col min="13" max="13" width="19.1666666666667" style="18" customWidth="1"/>
    <col min="14" max="15" width="11.1666666666667" style="18" customWidth="1"/>
    <col min="16" max="16" width="15.1666666666667" style="18" customWidth="1"/>
    <col min="17" max="17" width="18.1666666666667" style="18" customWidth="1"/>
    <col min="18" max="18" width="11.1666666666667" style="18" customWidth="1"/>
    <col min="19" max="19" width="12.3333333333333" style="18" customWidth="1"/>
    <col min="20" max="20" width="16.5" style="18" customWidth="1"/>
    <col min="21" max="21" width="12.3333333333333" style="18" customWidth="1"/>
    <col min="22" max="40" width="9" style="18"/>
  </cols>
  <sheetData>
    <row r="1" ht="17.25" customHeight="1" spans="2:10">
      <c r="B1" s="49"/>
      <c r="C1" s="49"/>
      <c r="D1" s="49"/>
      <c r="E1" s="49"/>
      <c r="F1" s="49"/>
      <c r="G1" s="49"/>
      <c r="H1" s="49"/>
      <c r="I1" s="49"/>
      <c r="J1" s="49"/>
    </row>
    <row r="2" ht="42" customHeight="1" spans="2:15">
      <c r="B2" s="50" t="s">
        <v>150</v>
      </c>
      <c r="C2" s="50" t="s">
        <v>139</v>
      </c>
      <c r="D2" s="50" t="s">
        <v>151</v>
      </c>
      <c r="E2" s="50" t="s">
        <v>152</v>
      </c>
      <c r="F2" s="51" t="s">
        <v>153</v>
      </c>
      <c r="G2" s="52" t="s">
        <v>154</v>
      </c>
      <c r="H2" s="50" t="s">
        <v>155</v>
      </c>
      <c r="I2" s="50" t="s">
        <v>156</v>
      </c>
      <c r="J2" s="50" t="s">
        <v>157</v>
      </c>
      <c r="L2" s="59" t="s">
        <v>158</v>
      </c>
      <c r="M2" s="60"/>
      <c r="N2" s="60"/>
      <c r="O2" s="61"/>
    </row>
    <row r="3" ht="20.25" customHeight="1" spans="2:15">
      <c r="B3" s="53"/>
      <c r="C3" s="54" t="s">
        <v>24</v>
      </c>
      <c r="D3" s="54" t="s">
        <v>159</v>
      </c>
      <c r="E3" s="55">
        <v>1</v>
      </c>
      <c r="F3" s="56"/>
      <c r="G3" s="57">
        <f>VLOOKUP(D3,L:N,3,0)</f>
        <v>0</v>
      </c>
      <c r="H3" s="58"/>
      <c r="I3" s="58"/>
      <c r="J3" s="62"/>
      <c r="L3" s="63" t="s">
        <v>160</v>
      </c>
      <c r="M3" s="63" t="s">
        <v>161</v>
      </c>
      <c r="N3" s="63" t="s">
        <v>162</v>
      </c>
      <c r="O3" s="63" t="s">
        <v>163</v>
      </c>
    </row>
    <row r="4" ht="17.25" customHeight="1" spans="2:15">
      <c r="B4" s="53"/>
      <c r="C4" s="54" t="s">
        <v>24</v>
      </c>
      <c r="D4" s="54" t="s">
        <v>159</v>
      </c>
      <c r="E4" s="55">
        <v>2</v>
      </c>
      <c r="F4" s="56"/>
      <c r="G4" s="57">
        <f t="shared" ref="G4:G35" si="0">VLOOKUP(D4,L:N,3,0)</f>
        <v>0</v>
      </c>
      <c r="H4" s="57">
        <f t="shared" ref="H4:H67" si="1">IF(I3&lt;0,0,I3)</f>
        <v>0</v>
      </c>
      <c r="I4" s="57">
        <f t="shared" ref="I4:I67" si="2">IF(H4-G4+J4&lt;0,0,H4-G4+J4)</f>
        <v>0</v>
      </c>
      <c r="J4" s="64"/>
      <c r="L4" s="65" t="s">
        <v>159</v>
      </c>
      <c r="M4" s="66"/>
      <c r="N4" s="67"/>
      <c r="O4" s="68">
        <f t="shared" ref="O4:O16" si="3">N4*7</f>
        <v>0</v>
      </c>
    </row>
    <row r="5" ht="17.25" customHeight="1" spans="2:15">
      <c r="B5" s="53"/>
      <c r="C5" s="54" t="s">
        <v>24</v>
      </c>
      <c r="D5" s="54" t="s">
        <v>159</v>
      </c>
      <c r="E5" s="55">
        <v>3</v>
      </c>
      <c r="F5" s="56"/>
      <c r="G5" s="57">
        <f t="shared" si="0"/>
        <v>0</v>
      </c>
      <c r="H5" s="57">
        <f t="shared" si="1"/>
        <v>0</v>
      </c>
      <c r="I5" s="57">
        <f t="shared" si="2"/>
        <v>0</v>
      </c>
      <c r="J5" s="62"/>
      <c r="L5" s="65" t="s">
        <v>164</v>
      </c>
      <c r="M5" s="66"/>
      <c r="N5" s="67"/>
      <c r="O5" s="68">
        <f t="shared" si="3"/>
        <v>0</v>
      </c>
    </row>
    <row r="6" ht="17.25" customHeight="1" spans="2:15">
      <c r="B6" s="53"/>
      <c r="C6" s="54" t="s">
        <v>24</v>
      </c>
      <c r="D6" s="54" t="s">
        <v>159</v>
      </c>
      <c r="E6" s="55">
        <v>4</v>
      </c>
      <c r="F6" s="56"/>
      <c r="G6" s="57">
        <f t="shared" si="0"/>
        <v>0</v>
      </c>
      <c r="H6" s="57">
        <f t="shared" si="1"/>
        <v>0</v>
      </c>
      <c r="I6" s="57">
        <f t="shared" si="2"/>
        <v>0</v>
      </c>
      <c r="J6" s="64"/>
      <c r="L6" s="65" t="s">
        <v>165</v>
      </c>
      <c r="M6" s="66"/>
      <c r="N6" s="67"/>
      <c r="O6" s="68">
        <f t="shared" si="3"/>
        <v>0</v>
      </c>
    </row>
    <row r="7" ht="17.25" customHeight="1" spans="2:15">
      <c r="B7" s="53"/>
      <c r="C7" s="54" t="s">
        <v>24</v>
      </c>
      <c r="D7" s="54" t="s">
        <v>159</v>
      </c>
      <c r="E7" s="55">
        <v>5</v>
      </c>
      <c r="F7" s="56"/>
      <c r="G7" s="57">
        <f t="shared" si="0"/>
        <v>0</v>
      </c>
      <c r="H7" s="57">
        <f t="shared" si="1"/>
        <v>0</v>
      </c>
      <c r="I7" s="57">
        <f t="shared" si="2"/>
        <v>0</v>
      </c>
      <c r="J7" s="62"/>
      <c r="L7" s="65" t="s">
        <v>166</v>
      </c>
      <c r="M7" s="66"/>
      <c r="N7" s="67"/>
      <c r="O7" s="68">
        <f t="shared" si="3"/>
        <v>0</v>
      </c>
    </row>
    <row r="8" ht="17.25" customHeight="1" spans="2:15">
      <c r="B8" s="53"/>
      <c r="C8" s="54" t="s">
        <v>24</v>
      </c>
      <c r="D8" s="54" t="s">
        <v>159</v>
      </c>
      <c r="E8" s="55">
        <v>6</v>
      </c>
      <c r="F8" s="56"/>
      <c r="G8" s="57">
        <f t="shared" si="0"/>
        <v>0</v>
      </c>
      <c r="H8" s="57">
        <f t="shared" si="1"/>
        <v>0</v>
      </c>
      <c r="I8" s="57">
        <f t="shared" si="2"/>
        <v>0</v>
      </c>
      <c r="J8" s="64"/>
      <c r="L8" s="65" t="s">
        <v>167</v>
      </c>
      <c r="M8" s="66"/>
      <c r="N8" s="67"/>
      <c r="O8" s="68">
        <f t="shared" si="3"/>
        <v>0</v>
      </c>
    </row>
    <row r="9" ht="17.25" customHeight="1" spans="2:15">
      <c r="B9" s="53"/>
      <c r="C9" s="54" t="s">
        <v>24</v>
      </c>
      <c r="D9" s="54" t="s">
        <v>159</v>
      </c>
      <c r="E9" s="55">
        <v>7</v>
      </c>
      <c r="F9" s="56"/>
      <c r="G9" s="57">
        <f t="shared" si="0"/>
        <v>0</v>
      </c>
      <c r="H9" s="57">
        <f t="shared" si="1"/>
        <v>0</v>
      </c>
      <c r="I9" s="57">
        <f t="shared" si="2"/>
        <v>0</v>
      </c>
      <c r="J9" s="62"/>
      <c r="L9" s="65" t="s">
        <v>168</v>
      </c>
      <c r="M9" s="66"/>
      <c r="N9" s="67"/>
      <c r="O9" s="68">
        <f t="shared" si="3"/>
        <v>0</v>
      </c>
    </row>
    <row r="10" ht="17.25" customHeight="1" spans="2:15">
      <c r="B10" s="53"/>
      <c r="C10" s="54" t="s">
        <v>24</v>
      </c>
      <c r="D10" s="54" t="s">
        <v>164</v>
      </c>
      <c r="E10" s="55">
        <v>8</v>
      </c>
      <c r="F10" s="56"/>
      <c r="G10" s="57">
        <f t="shared" si="0"/>
        <v>0</v>
      </c>
      <c r="H10" s="57">
        <f t="shared" si="1"/>
        <v>0</v>
      </c>
      <c r="I10" s="57">
        <f t="shared" si="2"/>
        <v>0</v>
      </c>
      <c r="J10" s="64"/>
      <c r="L10" s="65" t="s">
        <v>169</v>
      </c>
      <c r="M10" s="66"/>
      <c r="N10" s="67"/>
      <c r="O10" s="68">
        <f t="shared" si="3"/>
        <v>0</v>
      </c>
    </row>
    <row r="11" ht="17.25" customHeight="1" spans="2:15">
      <c r="B11" s="53"/>
      <c r="C11" s="54" t="s">
        <v>24</v>
      </c>
      <c r="D11" s="54" t="s">
        <v>164</v>
      </c>
      <c r="E11" s="55">
        <v>9</v>
      </c>
      <c r="F11" s="56"/>
      <c r="G11" s="57">
        <f t="shared" si="0"/>
        <v>0</v>
      </c>
      <c r="H11" s="57">
        <f t="shared" si="1"/>
        <v>0</v>
      </c>
      <c r="I11" s="57">
        <f t="shared" si="2"/>
        <v>0</v>
      </c>
      <c r="J11" s="62"/>
      <c r="L11" s="65" t="s">
        <v>170</v>
      </c>
      <c r="M11" s="66"/>
      <c r="N11" s="67"/>
      <c r="O11" s="68">
        <f t="shared" si="3"/>
        <v>0</v>
      </c>
    </row>
    <row r="12" ht="17.25" customHeight="1" spans="2:15">
      <c r="B12" s="53"/>
      <c r="C12" s="54" t="s">
        <v>24</v>
      </c>
      <c r="D12" s="54" t="s">
        <v>164</v>
      </c>
      <c r="E12" s="55">
        <v>10</v>
      </c>
      <c r="F12" s="56"/>
      <c r="G12" s="57">
        <f t="shared" si="0"/>
        <v>0</v>
      </c>
      <c r="H12" s="57">
        <f t="shared" si="1"/>
        <v>0</v>
      </c>
      <c r="I12" s="57">
        <f t="shared" si="2"/>
        <v>0</v>
      </c>
      <c r="J12" s="64"/>
      <c r="L12" s="65" t="s">
        <v>171</v>
      </c>
      <c r="M12" s="66"/>
      <c r="N12" s="67"/>
      <c r="O12" s="68">
        <f t="shared" si="3"/>
        <v>0</v>
      </c>
    </row>
    <row r="13" ht="17.25" customHeight="1" spans="2:15">
      <c r="B13" s="53"/>
      <c r="C13" s="54" t="s">
        <v>24</v>
      </c>
      <c r="D13" s="54" t="s">
        <v>164</v>
      </c>
      <c r="E13" s="55">
        <v>11</v>
      </c>
      <c r="F13" s="56"/>
      <c r="G13" s="57">
        <f t="shared" si="0"/>
        <v>0</v>
      </c>
      <c r="H13" s="57">
        <f t="shared" si="1"/>
        <v>0</v>
      </c>
      <c r="I13" s="57">
        <f t="shared" si="2"/>
        <v>0</v>
      </c>
      <c r="J13" s="62"/>
      <c r="L13" s="65" t="s">
        <v>172</v>
      </c>
      <c r="M13" s="66"/>
      <c r="N13" s="67"/>
      <c r="O13" s="68">
        <f t="shared" si="3"/>
        <v>0</v>
      </c>
    </row>
    <row r="14" ht="17.25" customHeight="1" spans="2:15">
      <c r="B14" s="53"/>
      <c r="C14" s="54" t="s">
        <v>24</v>
      </c>
      <c r="D14" s="54" t="s">
        <v>164</v>
      </c>
      <c r="E14" s="55">
        <v>12</v>
      </c>
      <c r="F14" s="56"/>
      <c r="G14" s="57">
        <f t="shared" si="0"/>
        <v>0</v>
      </c>
      <c r="H14" s="57">
        <f t="shared" si="1"/>
        <v>0</v>
      </c>
      <c r="I14" s="57">
        <f t="shared" si="2"/>
        <v>0</v>
      </c>
      <c r="J14" s="64"/>
      <c r="L14" s="65" t="s">
        <v>173</v>
      </c>
      <c r="M14" s="66"/>
      <c r="N14" s="67"/>
      <c r="O14" s="68">
        <f t="shared" si="3"/>
        <v>0</v>
      </c>
    </row>
    <row r="15" ht="17.25" customHeight="1" spans="2:15">
      <c r="B15" s="53"/>
      <c r="C15" s="54" t="s">
        <v>24</v>
      </c>
      <c r="D15" s="54" t="s">
        <v>164</v>
      </c>
      <c r="E15" s="55">
        <v>13</v>
      </c>
      <c r="F15" s="56"/>
      <c r="G15" s="57">
        <f t="shared" si="0"/>
        <v>0</v>
      </c>
      <c r="H15" s="57">
        <f t="shared" si="1"/>
        <v>0</v>
      </c>
      <c r="I15" s="57">
        <f t="shared" si="2"/>
        <v>0</v>
      </c>
      <c r="J15" s="62"/>
      <c r="L15" s="65" t="s">
        <v>174</v>
      </c>
      <c r="M15" s="66"/>
      <c r="N15" s="67"/>
      <c r="O15" s="68">
        <f t="shared" si="3"/>
        <v>0</v>
      </c>
    </row>
    <row r="16" ht="17.25" customHeight="1" spans="2:15">
      <c r="B16" s="53"/>
      <c r="C16" s="54" t="s">
        <v>24</v>
      </c>
      <c r="D16" s="54" t="s">
        <v>164</v>
      </c>
      <c r="E16" s="55">
        <v>14</v>
      </c>
      <c r="F16" s="56"/>
      <c r="G16" s="57">
        <f t="shared" si="0"/>
        <v>0</v>
      </c>
      <c r="H16" s="57">
        <f t="shared" si="1"/>
        <v>0</v>
      </c>
      <c r="I16" s="57">
        <f t="shared" si="2"/>
        <v>0</v>
      </c>
      <c r="J16" s="64"/>
      <c r="L16" s="65" t="s">
        <v>175</v>
      </c>
      <c r="M16" s="66"/>
      <c r="N16" s="67"/>
      <c r="O16" s="68">
        <f t="shared" si="3"/>
        <v>0</v>
      </c>
    </row>
    <row r="17" ht="17.25" customHeight="1" spans="2:15">
      <c r="B17" s="53"/>
      <c r="C17" s="54" t="s">
        <v>24</v>
      </c>
      <c r="D17" s="54" t="s">
        <v>165</v>
      </c>
      <c r="E17" s="55">
        <v>15</v>
      </c>
      <c r="F17" s="56"/>
      <c r="G17" s="57">
        <f t="shared" si="0"/>
        <v>0</v>
      </c>
      <c r="H17" s="57">
        <f t="shared" si="1"/>
        <v>0</v>
      </c>
      <c r="I17" s="57">
        <f t="shared" si="2"/>
        <v>0</v>
      </c>
      <c r="J17" s="62"/>
      <c r="L17" s="65" t="s">
        <v>176</v>
      </c>
      <c r="M17" s="69"/>
      <c r="N17" s="70"/>
      <c r="O17" s="68">
        <f>SUM(O4:O16)</f>
        <v>0</v>
      </c>
    </row>
    <row r="18" customHeight="1" spans="2:10">
      <c r="B18" s="53"/>
      <c r="C18" s="54" t="s">
        <v>24</v>
      </c>
      <c r="D18" s="54" t="s">
        <v>165</v>
      </c>
      <c r="E18" s="55">
        <v>16</v>
      </c>
      <c r="F18" s="56"/>
      <c r="G18" s="57">
        <f t="shared" si="0"/>
        <v>0</v>
      </c>
      <c r="H18" s="57">
        <f t="shared" si="1"/>
        <v>0</v>
      </c>
      <c r="I18" s="57">
        <f t="shared" si="2"/>
        <v>0</v>
      </c>
      <c r="J18" s="64"/>
    </row>
    <row r="19" ht="21" customHeight="1" spans="2:21">
      <c r="B19" s="53"/>
      <c r="C19" s="54" t="s">
        <v>24</v>
      </c>
      <c r="D19" s="54" t="s">
        <v>165</v>
      </c>
      <c r="E19" s="55">
        <v>17</v>
      </c>
      <c r="F19" s="56"/>
      <c r="G19" s="57">
        <f t="shared" si="0"/>
        <v>0</v>
      </c>
      <c r="H19" s="57">
        <f t="shared" si="1"/>
        <v>0</v>
      </c>
      <c r="I19" s="57">
        <f t="shared" si="2"/>
        <v>0</v>
      </c>
      <c r="J19" s="62"/>
      <c r="L19" s="71" t="s">
        <v>177</v>
      </c>
      <c r="M19" s="71"/>
      <c r="N19" s="71"/>
      <c r="O19" s="71"/>
      <c r="P19" s="71"/>
      <c r="Q19" s="71"/>
      <c r="R19" s="71"/>
      <c r="S19" s="71"/>
      <c r="T19" s="71"/>
      <c r="U19" s="71"/>
    </row>
    <row r="20" ht="21" customHeight="1" spans="2:21">
      <c r="B20" s="53"/>
      <c r="C20" s="54" t="s">
        <v>24</v>
      </c>
      <c r="D20" s="54" t="s">
        <v>165</v>
      </c>
      <c r="E20" s="55">
        <v>18</v>
      </c>
      <c r="F20" s="56"/>
      <c r="G20" s="57">
        <f t="shared" si="0"/>
        <v>0</v>
      </c>
      <c r="H20" s="57">
        <f t="shared" si="1"/>
        <v>0</v>
      </c>
      <c r="I20" s="57">
        <f t="shared" si="2"/>
        <v>0</v>
      </c>
      <c r="J20" s="64"/>
      <c r="L20" s="72" t="s">
        <v>178</v>
      </c>
      <c r="M20" s="72" t="s">
        <v>179</v>
      </c>
      <c r="N20" s="72" t="s">
        <v>180</v>
      </c>
      <c r="O20" s="72" t="s">
        <v>181</v>
      </c>
      <c r="P20" s="72" t="s">
        <v>182</v>
      </c>
      <c r="Q20" s="72" t="s">
        <v>183</v>
      </c>
      <c r="R20" s="72" t="s">
        <v>184</v>
      </c>
      <c r="S20" s="72" t="s">
        <v>185</v>
      </c>
      <c r="T20" s="72" t="s">
        <v>186</v>
      </c>
      <c r="U20" s="72" t="s">
        <v>187</v>
      </c>
    </row>
    <row r="21" ht="17.25" customHeight="1" spans="2:21">
      <c r="B21" s="53"/>
      <c r="C21" s="54" t="s">
        <v>24</v>
      </c>
      <c r="D21" s="54" t="s">
        <v>165</v>
      </c>
      <c r="E21" s="55">
        <v>19</v>
      </c>
      <c r="F21" s="56"/>
      <c r="G21" s="57">
        <f t="shared" si="0"/>
        <v>0</v>
      </c>
      <c r="H21" s="57">
        <f t="shared" si="1"/>
        <v>0</v>
      </c>
      <c r="I21" s="57">
        <f t="shared" si="2"/>
        <v>0</v>
      </c>
      <c r="J21" s="62"/>
      <c r="L21" s="65" t="s">
        <v>188</v>
      </c>
      <c r="M21" s="73"/>
      <c r="N21" s="65" t="e">
        <f>_xlfn.IFS(O21=$L$29,$M$29,O21=$L$30,$M$30,O21=$L$31,$M$31,O21=$L$32,$M$32,O21=$L$33,$M$33)</f>
        <v>#N/A</v>
      </c>
      <c r="O21" s="73"/>
      <c r="P21" s="65">
        <f>$M$27</f>
        <v>0</v>
      </c>
      <c r="Q21" s="76"/>
      <c r="R21" s="65">
        <f>M21*$M$28</f>
        <v>0</v>
      </c>
      <c r="S21" s="77">
        <f>P21+Q21</f>
        <v>0</v>
      </c>
      <c r="T21" s="77">
        <f>S21+M35</f>
        <v>0</v>
      </c>
      <c r="U21" s="77" t="e">
        <f>T21+N21</f>
        <v>#N/A</v>
      </c>
    </row>
    <row r="22" ht="18" customHeight="1" spans="2:21">
      <c r="B22" s="53"/>
      <c r="C22" s="54" t="s">
        <v>24</v>
      </c>
      <c r="D22" s="54" t="s">
        <v>165</v>
      </c>
      <c r="E22" s="55">
        <v>20</v>
      </c>
      <c r="F22" s="56"/>
      <c r="G22" s="57">
        <f t="shared" si="0"/>
        <v>0</v>
      </c>
      <c r="H22" s="57">
        <f t="shared" si="1"/>
        <v>0</v>
      </c>
      <c r="I22" s="57">
        <f t="shared" si="2"/>
        <v>0</v>
      </c>
      <c r="J22" s="64"/>
      <c r="L22" s="65" t="s">
        <v>188</v>
      </c>
      <c r="M22" s="73"/>
      <c r="N22" s="65" t="e">
        <f>_xlfn.IFS(O22=$L$29,$M$29,O22=$L$30,$M$30,O22=$L$31,$M$31,O22=$L$32,$M$32,O22=$L$33,$M$33)</f>
        <v>#N/A</v>
      </c>
      <c r="O22" s="73"/>
      <c r="P22" s="65">
        <f>$M$27</f>
        <v>0</v>
      </c>
      <c r="Q22" s="76"/>
      <c r="R22" s="65">
        <f>M22*$M$28</f>
        <v>0</v>
      </c>
      <c r="S22" s="77">
        <f>P22+Q22</f>
        <v>0</v>
      </c>
      <c r="T22" s="77">
        <f>S22+M35</f>
        <v>0</v>
      </c>
      <c r="U22" s="77" t="e">
        <f>T22+N22</f>
        <v>#N/A</v>
      </c>
    </row>
    <row r="23" ht="17.25" customHeight="1" spans="2:21">
      <c r="B23" s="53"/>
      <c r="C23" s="54" t="s">
        <v>24</v>
      </c>
      <c r="D23" s="54" t="s">
        <v>165</v>
      </c>
      <c r="E23" s="55">
        <v>21</v>
      </c>
      <c r="F23" s="56"/>
      <c r="G23" s="57">
        <f t="shared" si="0"/>
        <v>0</v>
      </c>
      <c r="H23" s="57">
        <f t="shared" si="1"/>
        <v>0</v>
      </c>
      <c r="I23" s="57">
        <f t="shared" si="2"/>
        <v>0</v>
      </c>
      <c r="J23" s="62"/>
      <c r="L23" s="65" t="s">
        <v>189</v>
      </c>
      <c r="M23" s="73"/>
      <c r="N23" s="65" t="e">
        <f>_xlfn.IFS(O23=$L$29,$M$29,O23=$L$30,$M$30,O23=$L$31,$M$31,O23=$L$32,$M$32,O23=$L$33,$M$33)</f>
        <v>#N/A</v>
      </c>
      <c r="O23" s="73"/>
      <c r="P23" s="65">
        <f>$M$27</f>
        <v>0</v>
      </c>
      <c r="Q23" s="78" t="e">
        <f>S23-P23</f>
        <v>#N/A</v>
      </c>
      <c r="R23" s="65">
        <f>M23*$M$28</f>
        <v>0</v>
      </c>
      <c r="S23" s="77" t="e">
        <f>T23-M38</f>
        <v>#N/A</v>
      </c>
      <c r="T23" s="77" t="e">
        <f>U23-N23</f>
        <v>#N/A</v>
      </c>
      <c r="U23" s="79"/>
    </row>
    <row r="24" ht="17.25" customHeight="1" spans="2:21">
      <c r="B24" s="53"/>
      <c r="C24" s="54" t="s">
        <v>24</v>
      </c>
      <c r="D24" s="54" t="s">
        <v>166</v>
      </c>
      <c r="E24" s="55">
        <v>22</v>
      </c>
      <c r="F24" s="56"/>
      <c r="G24" s="57">
        <f t="shared" si="0"/>
        <v>0</v>
      </c>
      <c r="H24" s="57">
        <f t="shared" si="1"/>
        <v>0</v>
      </c>
      <c r="I24" s="57">
        <f t="shared" si="2"/>
        <v>0</v>
      </c>
      <c r="J24" s="64"/>
      <c r="L24" s="65" t="s">
        <v>189</v>
      </c>
      <c r="M24" s="74"/>
      <c r="N24" s="65" t="e">
        <f>_xlfn.IFS(O24=$L$29,$M$29,O24=$L$30,$M$30,O24=$L$31,$M$31,O24=$L$32,$M$32,O24=$L$33,$M$33)</f>
        <v>#N/A</v>
      </c>
      <c r="O24" s="73"/>
      <c r="P24" s="65">
        <f>$M$27</f>
        <v>0</v>
      </c>
      <c r="Q24" s="78" t="e">
        <f>S24-P24</f>
        <v>#N/A</v>
      </c>
      <c r="R24" s="65">
        <f>M24*$M$28</f>
        <v>0</v>
      </c>
      <c r="S24" s="77" t="e">
        <f>T24-M39</f>
        <v>#N/A</v>
      </c>
      <c r="T24" s="77" t="e">
        <f>U24-N24</f>
        <v>#N/A</v>
      </c>
      <c r="U24" s="79"/>
    </row>
    <row r="25" customHeight="1" spans="2:20">
      <c r="B25" s="53"/>
      <c r="C25" s="54" t="s">
        <v>24</v>
      </c>
      <c r="D25" s="54" t="s">
        <v>166</v>
      </c>
      <c r="E25" s="55">
        <v>23</v>
      </c>
      <c r="F25" s="56"/>
      <c r="G25" s="57">
        <f t="shared" si="0"/>
        <v>0</v>
      </c>
      <c r="H25" s="57">
        <f t="shared" si="1"/>
        <v>0</v>
      </c>
      <c r="I25" s="57">
        <f t="shared" si="2"/>
        <v>0</v>
      </c>
      <c r="J25" s="62"/>
      <c r="Q25" s="44"/>
      <c r="R25" s="44"/>
      <c r="S25" s="44"/>
      <c r="T25" s="44"/>
    </row>
    <row r="26" ht="21" customHeight="1" spans="2:20">
      <c r="B26" s="53"/>
      <c r="C26" s="54" t="s">
        <v>24</v>
      </c>
      <c r="D26" s="54" t="s">
        <v>166</v>
      </c>
      <c r="E26" s="55">
        <v>24</v>
      </c>
      <c r="F26" s="56"/>
      <c r="G26" s="57">
        <f t="shared" si="0"/>
        <v>0</v>
      </c>
      <c r="H26" s="57">
        <f t="shared" si="1"/>
        <v>0</v>
      </c>
      <c r="I26" s="57">
        <f t="shared" si="2"/>
        <v>0</v>
      </c>
      <c r="J26" s="64"/>
      <c r="L26" s="71" t="s">
        <v>190</v>
      </c>
      <c r="M26" s="71"/>
      <c r="N26" s="71"/>
      <c r="O26" s="44"/>
      <c r="P26" s="44"/>
      <c r="Q26" s="44"/>
      <c r="R26" s="44"/>
      <c r="S26" s="44"/>
      <c r="T26" s="44"/>
    </row>
    <row r="27" ht="21" customHeight="1" spans="2:20">
      <c r="B27" s="53"/>
      <c r="C27" s="54" t="s">
        <v>24</v>
      </c>
      <c r="D27" s="54" t="s">
        <v>166</v>
      </c>
      <c r="E27" s="55">
        <v>25</v>
      </c>
      <c r="F27" s="56"/>
      <c r="G27" s="57">
        <f t="shared" si="0"/>
        <v>0</v>
      </c>
      <c r="H27" s="57">
        <f t="shared" si="1"/>
        <v>0</v>
      </c>
      <c r="I27" s="57">
        <f t="shared" si="2"/>
        <v>0</v>
      </c>
      <c r="J27" s="62"/>
      <c r="L27" s="72" t="s">
        <v>191</v>
      </c>
      <c r="M27" s="73"/>
      <c r="N27" s="31" t="s">
        <v>192</v>
      </c>
      <c r="O27" s="44"/>
      <c r="P27" s="44"/>
      <c r="Q27" s="44"/>
      <c r="R27" s="44"/>
      <c r="S27" s="44"/>
      <c r="T27" s="44"/>
    </row>
    <row r="28" ht="21" customHeight="1" spans="2:20">
      <c r="B28" s="53"/>
      <c r="C28" s="54" t="s">
        <v>24</v>
      </c>
      <c r="D28" s="54" t="s">
        <v>166</v>
      </c>
      <c r="E28" s="55">
        <v>26</v>
      </c>
      <c r="F28" s="56"/>
      <c r="G28" s="57">
        <f t="shared" si="0"/>
        <v>0</v>
      </c>
      <c r="H28" s="57">
        <f t="shared" si="1"/>
        <v>0</v>
      </c>
      <c r="I28" s="57">
        <f t="shared" si="2"/>
        <v>0</v>
      </c>
      <c r="J28" s="64"/>
      <c r="L28" s="72" t="s">
        <v>61</v>
      </c>
      <c r="M28" s="73"/>
      <c r="N28" s="31" t="s">
        <v>193</v>
      </c>
      <c r="O28" s="44"/>
      <c r="P28" s="44"/>
      <c r="Q28" s="44"/>
      <c r="R28" s="44"/>
      <c r="S28" s="44"/>
      <c r="T28" s="44"/>
    </row>
    <row r="29" ht="21" customHeight="1" spans="2:14">
      <c r="B29" s="53"/>
      <c r="C29" s="54" t="s">
        <v>24</v>
      </c>
      <c r="D29" s="54" t="s">
        <v>166</v>
      </c>
      <c r="E29" s="55">
        <v>27</v>
      </c>
      <c r="F29" s="56"/>
      <c r="G29" s="57">
        <f t="shared" si="0"/>
        <v>0</v>
      </c>
      <c r="H29" s="57">
        <f t="shared" si="1"/>
        <v>0</v>
      </c>
      <c r="I29" s="57">
        <f t="shared" si="2"/>
        <v>0</v>
      </c>
      <c r="J29" s="62"/>
      <c r="L29" s="72" t="s">
        <v>194</v>
      </c>
      <c r="M29" s="73"/>
      <c r="N29" s="31" t="s">
        <v>192</v>
      </c>
    </row>
    <row r="30" ht="21" customHeight="1" spans="2:14">
      <c r="B30" s="53"/>
      <c r="C30" s="54" t="s">
        <v>24</v>
      </c>
      <c r="D30" s="54" t="s">
        <v>166</v>
      </c>
      <c r="E30" s="55">
        <v>28</v>
      </c>
      <c r="F30" s="56"/>
      <c r="G30" s="57">
        <f t="shared" si="0"/>
        <v>0</v>
      </c>
      <c r="H30" s="57">
        <f t="shared" si="1"/>
        <v>0</v>
      </c>
      <c r="I30" s="57">
        <f t="shared" si="2"/>
        <v>0</v>
      </c>
      <c r="J30" s="64"/>
      <c r="L30" s="72" t="s">
        <v>195</v>
      </c>
      <c r="M30" s="73"/>
      <c r="N30" s="31" t="s">
        <v>192</v>
      </c>
    </row>
    <row r="31" ht="21" customHeight="1" spans="2:14">
      <c r="B31" s="53"/>
      <c r="C31" s="54" t="s">
        <v>24</v>
      </c>
      <c r="D31" s="54" t="s">
        <v>167</v>
      </c>
      <c r="E31" s="55">
        <v>29</v>
      </c>
      <c r="F31" s="56"/>
      <c r="G31" s="57">
        <f t="shared" si="0"/>
        <v>0</v>
      </c>
      <c r="H31" s="57">
        <f t="shared" si="1"/>
        <v>0</v>
      </c>
      <c r="I31" s="57">
        <f t="shared" si="2"/>
        <v>0</v>
      </c>
      <c r="J31" s="62"/>
      <c r="L31" s="72" t="s">
        <v>196</v>
      </c>
      <c r="M31" s="73"/>
      <c r="N31" s="31" t="s">
        <v>192</v>
      </c>
    </row>
    <row r="32" ht="21" customHeight="1" spans="2:14">
      <c r="B32" s="53"/>
      <c r="C32" s="54" t="s">
        <v>24</v>
      </c>
      <c r="D32" s="54" t="s">
        <v>167</v>
      </c>
      <c r="E32" s="55">
        <v>30</v>
      </c>
      <c r="F32" s="56"/>
      <c r="G32" s="57">
        <f t="shared" si="0"/>
        <v>0</v>
      </c>
      <c r="H32" s="57">
        <f t="shared" si="1"/>
        <v>0</v>
      </c>
      <c r="I32" s="57">
        <f t="shared" si="2"/>
        <v>0</v>
      </c>
      <c r="J32" s="64"/>
      <c r="L32" s="72" t="s">
        <v>197</v>
      </c>
      <c r="M32" s="73"/>
      <c r="N32" s="31" t="s">
        <v>192</v>
      </c>
    </row>
    <row r="33" ht="21" customHeight="1" spans="2:14">
      <c r="B33" s="53"/>
      <c r="C33" s="54" t="s">
        <v>25</v>
      </c>
      <c r="D33" s="54" t="s">
        <v>167</v>
      </c>
      <c r="E33" s="55">
        <v>31</v>
      </c>
      <c r="F33" s="56"/>
      <c r="G33" s="57">
        <f t="shared" si="0"/>
        <v>0</v>
      </c>
      <c r="H33" s="57">
        <f t="shared" si="1"/>
        <v>0</v>
      </c>
      <c r="I33" s="57">
        <f t="shared" si="2"/>
        <v>0</v>
      </c>
      <c r="J33" s="62"/>
      <c r="L33" s="72" t="s">
        <v>198</v>
      </c>
      <c r="M33" s="73"/>
      <c r="N33" s="31" t="s">
        <v>192</v>
      </c>
    </row>
    <row r="34" ht="21" customHeight="1" spans="2:14">
      <c r="B34" s="53"/>
      <c r="C34" s="54" t="s">
        <v>25</v>
      </c>
      <c r="D34" s="54" t="s">
        <v>167</v>
      </c>
      <c r="E34" s="55">
        <v>32</v>
      </c>
      <c r="F34" s="56"/>
      <c r="G34" s="57">
        <f t="shared" si="0"/>
        <v>0</v>
      </c>
      <c r="H34" s="57">
        <f t="shared" si="1"/>
        <v>0</v>
      </c>
      <c r="I34" s="57">
        <f t="shared" si="2"/>
        <v>0</v>
      </c>
      <c r="J34" s="64"/>
      <c r="L34" s="72" t="s">
        <v>199</v>
      </c>
      <c r="M34" s="73"/>
      <c r="N34" s="31" t="s">
        <v>192</v>
      </c>
    </row>
    <row r="35" ht="21" customHeight="1" spans="2:14">
      <c r="B35" s="53"/>
      <c r="C35" s="54" t="s">
        <v>25</v>
      </c>
      <c r="D35" s="54" t="s">
        <v>167</v>
      </c>
      <c r="E35" s="55">
        <v>33</v>
      </c>
      <c r="F35" s="56"/>
      <c r="G35" s="57">
        <f t="shared" si="0"/>
        <v>0</v>
      </c>
      <c r="H35" s="57">
        <f t="shared" si="1"/>
        <v>0</v>
      </c>
      <c r="I35" s="57">
        <f t="shared" si="2"/>
        <v>0</v>
      </c>
      <c r="J35" s="62"/>
      <c r="L35" s="72" t="s">
        <v>200</v>
      </c>
      <c r="M35" s="73"/>
      <c r="N35" s="31" t="s">
        <v>192</v>
      </c>
    </row>
    <row r="36" customHeight="1" spans="2:10">
      <c r="B36" s="53"/>
      <c r="C36" s="54" t="s">
        <v>25</v>
      </c>
      <c r="D36" s="54" t="s">
        <v>167</v>
      </c>
      <c r="E36" s="55">
        <v>34</v>
      </c>
      <c r="F36" s="56"/>
      <c r="G36" s="57">
        <f t="shared" ref="G36:G67" si="4">VLOOKUP(D36,L:N,3,0)</f>
        <v>0</v>
      </c>
      <c r="H36" s="57">
        <f t="shared" si="1"/>
        <v>0</v>
      </c>
      <c r="I36" s="57">
        <f t="shared" si="2"/>
        <v>0</v>
      </c>
      <c r="J36" s="64"/>
    </row>
    <row r="37" customHeight="1" spans="2:10">
      <c r="B37" s="53"/>
      <c r="C37" s="54" t="s">
        <v>25</v>
      </c>
      <c r="D37" s="54" t="s">
        <v>167</v>
      </c>
      <c r="E37" s="55">
        <v>35</v>
      </c>
      <c r="F37" s="56"/>
      <c r="G37" s="57">
        <f t="shared" si="4"/>
        <v>0</v>
      </c>
      <c r="H37" s="57">
        <f t="shared" si="1"/>
        <v>0</v>
      </c>
      <c r="I37" s="57">
        <f t="shared" si="2"/>
        <v>0</v>
      </c>
      <c r="J37" s="62"/>
    </row>
    <row r="38" customHeight="1" spans="2:10">
      <c r="B38" s="53"/>
      <c r="C38" s="54" t="s">
        <v>25</v>
      </c>
      <c r="D38" s="54" t="s">
        <v>168</v>
      </c>
      <c r="E38" s="55">
        <v>36</v>
      </c>
      <c r="F38" s="56"/>
      <c r="G38" s="57">
        <f t="shared" si="4"/>
        <v>0</v>
      </c>
      <c r="H38" s="57">
        <f t="shared" si="1"/>
        <v>0</v>
      </c>
      <c r="I38" s="57">
        <f t="shared" si="2"/>
        <v>0</v>
      </c>
      <c r="J38" s="64"/>
    </row>
    <row r="39" customHeight="1" spans="2:10">
      <c r="B39" s="53"/>
      <c r="C39" s="54" t="s">
        <v>25</v>
      </c>
      <c r="D39" s="54" t="s">
        <v>168</v>
      </c>
      <c r="E39" s="55">
        <v>37</v>
      </c>
      <c r="F39" s="56"/>
      <c r="G39" s="57">
        <f t="shared" si="4"/>
        <v>0</v>
      </c>
      <c r="H39" s="57">
        <f t="shared" si="1"/>
        <v>0</v>
      </c>
      <c r="I39" s="57">
        <f t="shared" si="2"/>
        <v>0</v>
      </c>
      <c r="J39" s="62"/>
    </row>
    <row r="40" customHeight="1" spans="2:10">
      <c r="B40" s="53"/>
      <c r="C40" s="54" t="s">
        <v>25</v>
      </c>
      <c r="D40" s="54" t="s">
        <v>168</v>
      </c>
      <c r="E40" s="55">
        <v>38</v>
      </c>
      <c r="F40" s="56"/>
      <c r="G40" s="57">
        <f t="shared" si="4"/>
        <v>0</v>
      </c>
      <c r="H40" s="57">
        <f t="shared" si="1"/>
        <v>0</v>
      </c>
      <c r="I40" s="57">
        <f t="shared" si="2"/>
        <v>0</v>
      </c>
      <c r="J40" s="64"/>
    </row>
    <row r="41" customHeight="1" spans="2:10">
      <c r="B41" s="53"/>
      <c r="C41" s="54" t="s">
        <v>25</v>
      </c>
      <c r="D41" s="54" t="s">
        <v>168</v>
      </c>
      <c r="E41" s="55">
        <v>39</v>
      </c>
      <c r="F41" s="56"/>
      <c r="G41" s="57">
        <f t="shared" si="4"/>
        <v>0</v>
      </c>
      <c r="H41" s="57">
        <f t="shared" si="1"/>
        <v>0</v>
      </c>
      <c r="I41" s="57">
        <f t="shared" si="2"/>
        <v>0</v>
      </c>
      <c r="J41" s="62"/>
    </row>
    <row r="42" customHeight="1" spans="2:10">
      <c r="B42" s="53"/>
      <c r="C42" s="54" t="s">
        <v>25</v>
      </c>
      <c r="D42" s="54" t="s">
        <v>168</v>
      </c>
      <c r="E42" s="55">
        <v>40</v>
      </c>
      <c r="F42" s="56"/>
      <c r="G42" s="57">
        <f t="shared" si="4"/>
        <v>0</v>
      </c>
      <c r="H42" s="57">
        <f t="shared" si="1"/>
        <v>0</v>
      </c>
      <c r="I42" s="57">
        <f t="shared" si="2"/>
        <v>0</v>
      </c>
      <c r="J42" s="64"/>
    </row>
    <row r="43" customHeight="1" spans="2:10">
      <c r="B43" s="53"/>
      <c r="C43" s="54" t="s">
        <v>25</v>
      </c>
      <c r="D43" s="54" t="s">
        <v>168</v>
      </c>
      <c r="E43" s="55">
        <v>41</v>
      </c>
      <c r="F43" s="56"/>
      <c r="G43" s="57">
        <f t="shared" si="4"/>
        <v>0</v>
      </c>
      <c r="H43" s="57">
        <f t="shared" si="1"/>
        <v>0</v>
      </c>
      <c r="I43" s="57">
        <f t="shared" si="2"/>
        <v>0</v>
      </c>
      <c r="J43" s="62"/>
    </row>
    <row r="44" customHeight="1" spans="2:10">
      <c r="B44" s="53"/>
      <c r="C44" s="54" t="s">
        <v>25</v>
      </c>
      <c r="D44" s="54" t="s">
        <v>168</v>
      </c>
      <c r="E44" s="55">
        <v>42</v>
      </c>
      <c r="F44" s="56"/>
      <c r="G44" s="57">
        <f t="shared" si="4"/>
        <v>0</v>
      </c>
      <c r="H44" s="57">
        <f t="shared" si="1"/>
        <v>0</v>
      </c>
      <c r="I44" s="57">
        <f t="shared" si="2"/>
        <v>0</v>
      </c>
      <c r="J44" s="64"/>
    </row>
    <row r="45" customHeight="1" spans="2:10">
      <c r="B45" s="53"/>
      <c r="C45" s="54" t="s">
        <v>25</v>
      </c>
      <c r="D45" s="54" t="s">
        <v>169</v>
      </c>
      <c r="E45" s="55">
        <v>43</v>
      </c>
      <c r="F45" s="56"/>
      <c r="G45" s="57">
        <f t="shared" si="4"/>
        <v>0</v>
      </c>
      <c r="H45" s="57">
        <f t="shared" si="1"/>
        <v>0</v>
      </c>
      <c r="I45" s="57">
        <f t="shared" si="2"/>
        <v>0</v>
      </c>
      <c r="J45" s="62"/>
    </row>
    <row r="46" customHeight="1" spans="2:10">
      <c r="B46" s="53"/>
      <c r="C46" s="54" t="s">
        <v>25</v>
      </c>
      <c r="D46" s="54" t="s">
        <v>169</v>
      </c>
      <c r="E46" s="55">
        <v>44</v>
      </c>
      <c r="F46" s="56"/>
      <c r="G46" s="57">
        <f t="shared" si="4"/>
        <v>0</v>
      </c>
      <c r="H46" s="57">
        <f t="shared" si="1"/>
        <v>0</v>
      </c>
      <c r="I46" s="57">
        <f t="shared" si="2"/>
        <v>0</v>
      </c>
      <c r="J46" s="64"/>
    </row>
    <row r="47" customHeight="1" spans="2:10">
      <c r="B47" s="53"/>
      <c r="C47" s="54" t="s">
        <v>25</v>
      </c>
      <c r="D47" s="54" t="s">
        <v>169</v>
      </c>
      <c r="E47" s="55">
        <v>45</v>
      </c>
      <c r="F47" s="56"/>
      <c r="G47" s="57">
        <f t="shared" si="4"/>
        <v>0</v>
      </c>
      <c r="H47" s="57">
        <f t="shared" si="1"/>
        <v>0</v>
      </c>
      <c r="I47" s="57">
        <f t="shared" si="2"/>
        <v>0</v>
      </c>
      <c r="J47" s="62"/>
    </row>
    <row r="48" customHeight="1" spans="2:10">
      <c r="B48" s="53"/>
      <c r="C48" s="54" t="s">
        <v>25</v>
      </c>
      <c r="D48" s="54" t="s">
        <v>169</v>
      </c>
      <c r="E48" s="55">
        <v>46</v>
      </c>
      <c r="F48" s="56"/>
      <c r="G48" s="57">
        <f t="shared" si="4"/>
        <v>0</v>
      </c>
      <c r="H48" s="57">
        <f t="shared" si="1"/>
        <v>0</v>
      </c>
      <c r="I48" s="57">
        <f t="shared" si="2"/>
        <v>0</v>
      </c>
      <c r="J48" s="64"/>
    </row>
    <row r="49" customHeight="1" spans="2:10">
      <c r="B49" s="53"/>
      <c r="C49" s="54" t="s">
        <v>25</v>
      </c>
      <c r="D49" s="54" t="s">
        <v>169</v>
      </c>
      <c r="E49" s="55">
        <v>47</v>
      </c>
      <c r="F49" s="56"/>
      <c r="G49" s="57">
        <f t="shared" si="4"/>
        <v>0</v>
      </c>
      <c r="H49" s="57">
        <f t="shared" si="1"/>
        <v>0</v>
      </c>
      <c r="I49" s="57">
        <f t="shared" si="2"/>
        <v>0</v>
      </c>
      <c r="J49" s="62"/>
    </row>
    <row r="50" customHeight="1" spans="2:10">
      <c r="B50" s="53"/>
      <c r="C50" s="54" t="s">
        <v>25</v>
      </c>
      <c r="D50" s="54" t="s">
        <v>169</v>
      </c>
      <c r="E50" s="55">
        <v>48</v>
      </c>
      <c r="F50" s="56"/>
      <c r="G50" s="57">
        <f t="shared" si="4"/>
        <v>0</v>
      </c>
      <c r="H50" s="57">
        <f t="shared" si="1"/>
        <v>0</v>
      </c>
      <c r="I50" s="57">
        <f t="shared" si="2"/>
        <v>0</v>
      </c>
      <c r="J50" s="64"/>
    </row>
    <row r="51" customHeight="1" spans="2:10">
      <c r="B51" s="53"/>
      <c r="C51" s="54" t="s">
        <v>25</v>
      </c>
      <c r="D51" s="54" t="s">
        <v>169</v>
      </c>
      <c r="E51" s="55">
        <v>49</v>
      </c>
      <c r="F51" s="56"/>
      <c r="G51" s="57">
        <f t="shared" si="4"/>
        <v>0</v>
      </c>
      <c r="H51" s="57">
        <f t="shared" si="1"/>
        <v>0</v>
      </c>
      <c r="I51" s="57">
        <f t="shared" si="2"/>
        <v>0</v>
      </c>
      <c r="J51" s="62"/>
    </row>
    <row r="52" customHeight="1" spans="2:10">
      <c r="B52" s="53"/>
      <c r="C52" s="54" t="s">
        <v>25</v>
      </c>
      <c r="D52" s="54" t="s">
        <v>170</v>
      </c>
      <c r="E52" s="55">
        <v>50</v>
      </c>
      <c r="F52" s="56"/>
      <c r="G52" s="57">
        <f t="shared" si="4"/>
        <v>0</v>
      </c>
      <c r="H52" s="57">
        <f t="shared" si="1"/>
        <v>0</v>
      </c>
      <c r="I52" s="57">
        <f t="shared" si="2"/>
        <v>0</v>
      </c>
      <c r="J52" s="62"/>
    </row>
    <row r="53" customHeight="1" spans="2:10">
      <c r="B53" s="53"/>
      <c r="C53" s="54" t="s">
        <v>25</v>
      </c>
      <c r="D53" s="54" t="s">
        <v>170</v>
      </c>
      <c r="E53" s="55">
        <v>51</v>
      </c>
      <c r="F53" s="56"/>
      <c r="G53" s="57">
        <f t="shared" si="4"/>
        <v>0</v>
      </c>
      <c r="H53" s="57">
        <f t="shared" si="1"/>
        <v>0</v>
      </c>
      <c r="I53" s="57">
        <f t="shared" si="2"/>
        <v>0</v>
      </c>
      <c r="J53" s="62"/>
    </row>
    <row r="54" customHeight="1" spans="2:10">
      <c r="B54" s="53"/>
      <c r="C54" s="54" t="s">
        <v>25</v>
      </c>
      <c r="D54" s="54" t="s">
        <v>170</v>
      </c>
      <c r="E54" s="55">
        <v>52</v>
      </c>
      <c r="F54" s="56"/>
      <c r="G54" s="57">
        <f t="shared" si="4"/>
        <v>0</v>
      </c>
      <c r="H54" s="57">
        <f t="shared" si="1"/>
        <v>0</v>
      </c>
      <c r="I54" s="57">
        <f t="shared" si="2"/>
        <v>0</v>
      </c>
      <c r="J54" s="64"/>
    </row>
    <row r="55" customHeight="1" spans="2:10">
      <c r="B55" s="53"/>
      <c r="C55" s="54" t="s">
        <v>25</v>
      </c>
      <c r="D55" s="54" t="s">
        <v>170</v>
      </c>
      <c r="E55" s="55">
        <v>53</v>
      </c>
      <c r="F55" s="56"/>
      <c r="G55" s="57">
        <f t="shared" si="4"/>
        <v>0</v>
      </c>
      <c r="H55" s="57">
        <f t="shared" si="1"/>
        <v>0</v>
      </c>
      <c r="I55" s="57">
        <f t="shared" si="2"/>
        <v>0</v>
      </c>
      <c r="J55" s="62"/>
    </row>
    <row r="56" customHeight="1" spans="2:10">
      <c r="B56" s="53"/>
      <c r="C56" s="54" t="s">
        <v>25</v>
      </c>
      <c r="D56" s="54" t="s">
        <v>170</v>
      </c>
      <c r="E56" s="55">
        <v>54</v>
      </c>
      <c r="F56" s="56"/>
      <c r="G56" s="57">
        <f t="shared" si="4"/>
        <v>0</v>
      </c>
      <c r="H56" s="57">
        <f t="shared" si="1"/>
        <v>0</v>
      </c>
      <c r="I56" s="75">
        <f t="shared" si="2"/>
        <v>0</v>
      </c>
      <c r="J56" s="64"/>
    </row>
    <row r="57" customHeight="1" spans="2:10">
      <c r="B57" s="53"/>
      <c r="C57" s="54" t="s">
        <v>25</v>
      </c>
      <c r="D57" s="54" t="s">
        <v>170</v>
      </c>
      <c r="E57" s="55">
        <v>55</v>
      </c>
      <c r="F57" s="56"/>
      <c r="G57" s="57">
        <f t="shared" si="4"/>
        <v>0</v>
      </c>
      <c r="H57" s="57">
        <f t="shared" si="1"/>
        <v>0</v>
      </c>
      <c r="I57" s="57">
        <f t="shared" si="2"/>
        <v>0</v>
      </c>
      <c r="J57" s="62"/>
    </row>
    <row r="58" customHeight="1" spans="2:10">
      <c r="B58" s="53"/>
      <c r="C58" s="54" t="s">
        <v>25</v>
      </c>
      <c r="D58" s="54" t="s">
        <v>170</v>
      </c>
      <c r="E58" s="55">
        <v>56</v>
      </c>
      <c r="F58" s="56"/>
      <c r="G58" s="57">
        <f t="shared" si="4"/>
        <v>0</v>
      </c>
      <c r="H58" s="57">
        <f t="shared" si="1"/>
        <v>0</v>
      </c>
      <c r="I58" s="57">
        <f t="shared" si="2"/>
        <v>0</v>
      </c>
      <c r="J58" s="64"/>
    </row>
    <row r="59" customHeight="1" spans="2:10">
      <c r="B59" s="53"/>
      <c r="C59" s="54" t="s">
        <v>25</v>
      </c>
      <c r="D59" s="54" t="s">
        <v>171</v>
      </c>
      <c r="E59" s="55">
        <v>57</v>
      </c>
      <c r="F59" s="56"/>
      <c r="G59" s="57">
        <f t="shared" si="4"/>
        <v>0</v>
      </c>
      <c r="H59" s="57">
        <f t="shared" si="1"/>
        <v>0</v>
      </c>
      <c r="I59" s="57">
        <f t="shared" si="2"/>
        <v>0</v>
      </c>
      <c r="J59" s="62"/>
    </row>
    <row r="60" customHeight="1" spans="2:10">
      <c r="B60" s="53"/>
      <c r="C60" s="54" t="s">
        <v>25</v>
      </c>
      <c r="D60" s="54" t="s">
        <v>171</v>
      </c>
      <c r="E60" s="55">
        <v>58</v>
      </c>
      <c r="F60" s="56"/>
      <c r="G60" s="57">
        <f t="shared" si="4"/>
        <v>0</v>
      </c>
      <c r="H60" s="57">
        <f t="shared" si="1"/>
        <v>0</v>
      </c>
      <c r="I60" s="57">
        <f t="shared" si="2"/>
        <v>0</v>
      </c>
      <c r="J60" s="64"/>
    </row>
    <row r="61" customHeight="1" spans="2:10">
      <c r="B61" s="53"/>
      <c r="C61" s="54" t="s">
        <v>25</v>
      </c>
      <c r="D61" s="54" t="s">
        <v>171</v>
      </c>
      <c r="E61" s="55">
        <v>59</v>
      </c>
      <c r="F61" s="56"/>
      <c r="G61" s="57">
        <f t="shared" si="4"/>
        <v>0</v>
      </c>
      <c r="H61" s="57">
        <f t="shared" si="1"/>
        <v>0</v>
      </c>
      <c r="I61" s="57">
        <f t="shared" si="2"/>
        <v>0</v>
      </c>
      <c r="J61" s="62"/>
    </row>
    <row r="62" customHeight="1" spans="2:10">
      <c r="B62" s="53"/>
      <c r="C62" s="54" t="s">
        <v>25</v>
      </c>
      <c r="D62" s="54" t="s">
        <v>171</v>
      </c>
      <c r="E62" s="55">
        <v>60</v>
      </c>
      <c r="F62" s="56"/>
      <c r="G62" s="57">
        <f t="shared" si="4"/>
        <v>0</v>
      </c>
      <c r="H62" s="57">
        <f t="shared" si="1"/>
        <v>0</v>
      </c>
      <c r="I62" s="57">
        <f t="shared" si="2"/>
        <v>0</v>
      </c>
      <c r="J62" s="64"/>
    </row>
    <row r="63" customHeight="1" spans="2:10">
      <c r="B63" s="53"/>
      <c r="C63" s="54" t="s">
        <v>26</v>
      </c>
      <c r="D63" s="54" t="s">
        <v>171</v>
      </c>
      <c r="E63" s="55">
        <v>61</v>
      </c>
      <c r="F63" s="56"/>
      <c r="G63" s="57">
        <f t="shared" si="4"/>
        <v>0</v>
      </c>
      <c r="H63" s="57">
        <f t="shared" si="1"/>
        <v>0</v>
      </c>
      <c r="I63" s="57">
        <f t="shared" si="2"/>
        <v>0</v>
      </c>
      <c r="J63" s="64"/>
    </row>
    <row r="64" customHeight="1" spans="2:10">
      <c r="B64" s="53"/>
      <c r="C64" s="54" t="s">
        <v>26</v>
      </c>
      <c r="D64" s="54" t="s">
        <v>171</v>
      </c>
      <c r="E64" s="55">
        <v>62</v>
      </c>
      <c r="F64" s="56"/>
      <c r="G64" s="57">
        <f t="shared" si="4"/>
        <v>0</v>
      </c>
      <c r="H64" s="57">
        <f t="shared" si="1"/>
        <v>0</v>
      </c>
      <c r="I64" s="57">
        <f t="shared" si="2"/>
        <v>0</v>
      </c>
      <c r="J64" s="64"/>
    </row>
    <row r="65" customHeight="1" spans="2:10">
      <c r="B65" s="53"/>
      <c r="C65" s="54" t="s">
        <v>26</v>
      </c>
      <c r="D65" s="54" t="s">
        <v>171</v>
      </c>
      <c r="E65" s="55">
        <v>63</v>
      </c>
      <c r="F65" s="56"/>
      <c r="G65" s="57">
        <f t="shared" si="4"/>
        <v>0</v>
      </c>
      <c r="H65" s="57">
        <f t="shared" si="1"/>
        <v>0</v>
      </c>
      <c r="I65" s="57">
        <f t="shared" si="2"/>
        <v>0</v>
      </c>
      <c r="J65" s="62"/>
    </row>
    <row r="66" customHeight="1" spans="2:10">
      <c r="B66" s="53"/>
      <c r="C66" s="54" t="s">
        <v>26</v>
      </c>
      <c r="D66" s="54" t="s">
        <v>172</v>
      </c>
      <c r="E66" s="55">
        <v>64</v>
      </c>
      <c r="F66" s="56"/>
      <c r="G66" s="57">
        <f t="shared" si="4"/>
        <v>0</v>
      </c>
      <c r="H66" s="57">
        <f t="shared" si="1"/>
        <v>0</v>
      </c>
      <c r="I66" s="57">
        <f t="shared" si="2"/>
        <v>0</v>
      </c>
      <c r="J66" s="64"/>
    </row>
    <row r="67" customHeight="1" spans="2:10">
      <c r="B67" s="53"/>
      <c r="C67" s="54" t="s">
        <v>26</v>
      </c>
      <c r="D67" s="54" t="s">
        <v>172</v>
      </c>
      <c r="E67" s="55">
        <v>65</v>
      </c>
      <c r="F67" s="56"/>
      <c r="G67" s="57">
        <f t="shared" si="4"/>
        <v>0</v>
      </c>
      <c r="H67" s="57">
        <f t="shared" si="1"/>
        <v>0</v>
      </c>
      <c r="I67" s="57">
        <f t="shared" si="2"/>
        <v>0</v>
      </c>
      <c r="J67" s="62"/>
    </row>
    <row r="68" customHeight="1" spans="2:10">
      <c r="B68" s="53"/>
      <c r="C68" s="54" t="s">
        <v>26</v>
      </c>
      <c r="D68" s="54" t="s">
        <v>172</v>
      </c>
      <c r="E68" s="55">
        <v>66</v>
      </c>
      <c r="F68" s="56"/>
      <c r="G68" s="57">
        <f t="shared" ref="G68:G92" si="5">VLOOKUP(D68,L:N,3,0)</f>
        <v>0</v>
      </c>
      <c r="H68" s="57">
        <f t="shared" ref="H68:H92" si="6">IF(I67&lt;0,0,I67)</f>
        <v>0</v>
      </c>
      <c r="I68" s="57">
        <f t="shared" ref="I68:I92" si="7">IF(H68-G68+J68&lt;0,0,H68-G68+J68)</f>
        <v>0</v>
      </c>
      <c r="J68" s="64"/>
    </row>
    <row r="69" customHeight="1" spans="2:10">
      <c r="B69" s="53"/>
      <c r="C69" s="54" t="s">
        <v>26</v>
      </c>
      <c r="D69" s="54" t="s">
        <v>172</v>
      </c>
      <c r="E69" s="55">
        <v>67</v>
      </c>
      <c r="F69" s="56"/>
      <c r="G69" s="57">
        <f t="shared" si="5"/>
        <v>0</v>
      </c>
      <c r="H69" s="57">
        <f t="shared" si="6"/>
        <v>0</v>
      </c>
      <c r="I69" s="57">
        <f t="shared" si="7"/>
        <v>0</v>
      </c>
      <c r="J69" s="62"/>
    </row>
    <row r="70" customHeight="1" spans="2:10">
      <c r="B70" s="53"/>
      <c r="C70" s="54" t="s">
        <v>26</v>
      </c>
      <c r="D70" s="54" t="s">
        <v>172</v>
      </c>
      <c r="E70" s="55">
        <v>68</v>
      </c>
      <c r="F70" s="56"/>
      <c r="G70" s="57">
        <f t="shared" si="5"/>
        <v>0</v>
      </c>
      <c r="H70" s="57">
        <f t="shared" si="6"/>
        <v>0</v>
      </c>
      <c r="I70" s="57">
        <f t="shared" si="7"/>
        <v>0</v>
      </c>
      <c r="J70" s="64"/>
    </row>
    <row r="71" customHeight="1" spans="2:10">
      <c r="B71" s="53"/>
      <c r="C71" s="54" t="s">
        <v>26</v>
      </c>
      <c r="D71" s="54" t="s">
        <v>172</v>
      </c>
      <c r="E71" s="55">
        <v>69</v>
      </c>
      <c r="F71" s="56"/>
      <c r="G71" s="57">
        <f t="shared" si="5"/>
        <v>0</v>
      </c>
      <c r="H71" s="57">
        <f t="shared" si="6"/>
        <v>0</v>
      </c>
      <c r="I71" s="57">
        <f t="shared" si="7"/>
        <v>0</v>
      </c>
      <c r="J71" s="62"/>
    </row>
    <row r="72" customHeight="1" spans="2:10">
      <c r="B72" s="53"/>
      <c r="C72" s="54" t="s">
        <v>26</v>
      </c>
      <c r="D72" s="54" t="s">
        <v>172</v>
      </c>
      <c r="E72" s="55">
        <v>70</v>
      </c>
      <c r="F72" s="56"/>
      <c r="G72" s="57">
        <f t="shared" si="5"/>
        <v>0</v>
      </c>
      <c r="H72" s="57">
        <f t="shared" si="6"/>
        <v>0</v>
      </c>
      <c r="I72" s="57">
        <f t="shared" si="7"/>
        <v>0</v>
      </c>
      <c r="J72" s="64"/>
    </row>
    <row r="73" customHeight="1" spans="2:10">
      <c r="B73" s="53"/>
      <c r="C73" s="54" t="s">
        <v>26</v>
      </c>
      <c r="D73" s="54" t="s">
        <v>173</v>
      </c>
      <c r="E73" s="55">
        <v>71</v>
      </c>
      <c r="F73" s="56"/>
      <c r="G73" s="57">
        <f t="shared" si="5"/>
        <v>0</v>
      </c>
      <c r="H73" s="57">
        <f t="shared" si="6"/>
        <v>0</v>
      </c>
      <c r="I73" s="57">
        <f t="shared" si="7"/>
        <v>0</v>
      </c>
      <c r="J73" s="62"/>
    </row>
    <row r="74" customHeight="1" spans="2:10">
      <c r="B74" s="53"/>
      <c r="C74" s="54" t="s">
        <v>26</v>
      </c>
      <c r="D74" s="54" t="s">
        <v>173</v>
      </c>
      <c r="E74" s="55">
        <v>72</v>
      </c>
      <c r="F74" s="56"/>
      <c r="G74" s="57">
        <f t="shared" si="5"/>
        <v>0</v>
      </c>
      <c r="H74" s="57">
        <f t="shared" si="6"/>
        <v>0</v>
      </c>
      <c r="I74" s="57">
        <f t="shared" si="7"/>
        <v>0</v>
      </c>
      <c r="J74" s="64"/>
    </row>
    <row r="75" customHeight="1" spans="2:10">
      <c r="B75" s="53"/>
      <c r="C75" s="54" t="s">
        <v>26</v>
      </c>
      <c r="D75" s="54" t="s">
        <v>173</v>
      </c>
      <c r="E75" s="55">
        <v>73</v>
      </c>
      <c r="F75" s="56"/>
      <c r="G75" s="57">
        <f t="shared" si="5"/>
        <v>0</v>
      </c>
      <c r="H75" s="57">
        <f t="shared" si="6"/>
        <v>0</v>
      </c>
      <c r="I75" s="57">
        <f t="shared" si="7"/>
        <v>0</v>
      </c>
      <c r="J75" s="62"/>
    </row>
    <row r="76" customHeight="1" spans="2:10">
      <c r="B76" s="53"/>
      <c r="C76" s="54" t="s">
        <v>26</v>
      </c>
      <c r="D76" s="54" t="s">
        <v>173</v>
      </c>
      <c r="E76" s="55">
        <v>74</v>
      </c>
      <c r="F76" s="56"/>
      <c r="G76" s="57">
        <f t="shared" si="5"/>
        <v>0</v>
      </c>
      <c r="H76" s="57">
        <f t="shared" si="6"/>
        <v>0</v>
      </c>
      <c r="I76" s="57">
        <f t="shared" si="7"/>
        <v>0</v>
      </c>
      <c r="J76" s="64"/>
    </row>
    <row r="77" customHeight="1" spans="2:10">
      <c r="B77" s="53"/>
      <c r="C77" s="54" t="s">
        <v>26</v>
      </c>
      <c r="D77" s="54" t="s">
        <v>173</v>
      </c>
      <c r="E77" s="55">
        <v>75</v>
      </c>
      <c r="F77" s="56"/>
      <c r="G77" s="57">
        <f t="shared" si="5"/>
        <v>0</v>
      </c>
      <c r="H77" s="57">
        <f t="shared" si="6"/>
        <v>0</v>
      </c>
      <c r="I77" s="57">
        <f t="shared" si="7"/>
        <v>0</v>
      </c>
      <c r="J77" s="62"/>
    </row>
    <row r="78" customHeight="1" spans="2:10">
      <c r="B78" s="53"/>
      <c r="C78" s="54" t="s">
        <v>26</v>
      </c>
      <c r="D78" s="54" t="s">
        <v>173</v>
      </c>
      <c r="E78" s="55">
        <v>76</v>
      </c>
      <c r="F78" s="56"/>
      <c r="G78" s="57">
        <f t="shared" si="5"/>
        <v>0</v>
      </c>
      <c r="H78" s="57">
        <f t="shared" si="6"/>
        <v>0</v>
      </c>
      <c r="I78" s="57">
        <f t="shared" si="7"/>
        <v>0</v>
      </c>
      <c r="J78" s="64"/>
    </row>
    <row r="79" customHeight="1" spans="2:10">
      <c r="B79" s="53"/>
      <c r="C79" s="54" t="s">
        <v>26</v>
      </c>
      <c r="D79" s="54" t="s">
        <v>173</v>
      </c>
      <c r="E79" s="55">
        <v>77</v>
      </c>
      <c r="F79" s="56"/>
      <c r="G79" s="57">
        <f t="shared" si="5"/>
        <v>0</v>
      </c>
      <c r="H79" s="57">
        <f t="shared" si="6"/>
        <v>0</v>
      </c>
      <c r="I79" s="57">
        <f t="shared" si="7"/>
        <v>0</v>
      </c>
      <c r="J79" s="62"/>
    </row>
    <row r="80" customHeight="1" spans="2:10">
      <c r="B80" s="53"/>
      <c r="C80" s="54" t="s">
        <v>26</v>
      </c>
      <c r="D80" s="54" t="s">
        <v>174</v>
      </c>
      <c r="E80" s="55">
        <v>78</v>
      </c>
      <c r="F80" s="56"/>
      <c r="G80" s="57">
        <f t="shared" si="5"/>
        <v>0</v>
      </c>
      <c r="H80" s="57">
        <f t="shared" si="6"/>
        <v>0</v>
      </c>
      <c r="I80" s="57">
        <f t="shared" si="7"/>
        <v>0</v>
      </c>
      <c r="J80" s="64"/>
    </row>
    <row r="81" customHeight="1" spans="2:10">
      <c r="B81" s="53"/>
      <c r="C81" s="54" t="s">
        <v>26</v>
      </c>
      <c r="D81" s="54" t="s">
        <v>174</v>
      </c>
      <c r="E81" s="55">
        <v>79</v>
      </c>
      <c r="F81" s="56"/>
      <c r="G81" s="57">
        <f t="shared" si="5"/>
        <v>0</v>
      </c>
      <c r="H81" s="57">
        <f t="shared" si="6"/>
        <v>0</v>
      </c>
      <c r="I81" s="57">
        <f t="shared" si="7"/>
        <v>0</v>
      </c>
      <c r="J81" s="62"/>
    </row>
    <row r="82" customHeight="1" spans="2:10">
      <c r="B82" s="53"/>
      <c r="C82" s="54" t="s">
        <v>26</v>
      </c>
      <c r="D82" s="54" t="s">
        <v>174</v>
      </c>
      <c r="E82" s="55">
        <v>80</v>
      </c>
      <c r="F82" s="56"/>
      <c r="G82" s="57">
        <f t="shared" si="5"/>
        <v>0</v>
      </c>
      <c r="H82" s="57">
        <f t="shared" si="6"/>
        <v>0</v>
      </c>
      <c r="I82" s="57">
        <f t="shared" si="7"/>
        <v>0</v>
      </c>
      <c r="J82" s="64"/>
    </row>
    <row r="83" customHeight="1" spans="2:10">
      <c r="B83" s="53"/>
      <c r="C83" s="54" t="s">
        <v>26</v>
      </c>
      <c r="D83" s="54" t="s">
        <v>174</v>
      </c>
      <c r="E83" s="55">
        <v>81</v>
      </c>
      <c r="F83" s="56"/>
      <c r="G83" s="57">
        <f t="shared" si="5"/>
        <v>0</v>
      </c>
      <c r="H83" s="57">
        <f t="shared" si="6"/>
        <v>0</v>
      </c>
      <c r="I83" s="57">
        <f t="shared" si="7"/>
        <v>0</v>
      </c>
      <c r="J83" s="62"/>
    </row>
    <row r="84" customHeight="1" spans="2:10">
      <c r="B84" s="53"/>
      <c r="C84" s="54" t="s">
        <v>26</v>
      </c>
      <c r="D84" s="54" t="s">
        <v>174</v>
      </c>
      <c r="E84" s="55">
        <v>82</v>
      </c>
      <c r="F84" s="56"/>
      <c r="G84" s="57">
        <f t="shared" si="5"/>
        <v>0</v>
      </c>
      <c r="H84" s="57">
        <f t="shared" si="6"/>
        <v>0</v>
      </c>
      <c r="I84" s="57">
        <f t="shared" si="7"/>
        <v>0</v>
      </c>
      <c r="J84" s="64"/>
    </row>
    <row r="85" customHeight="1" spans="2:10">
      <c r="B85" s="53"/>
      <c r="C85" s="54" t="s">
        <v>26</v>
      </c>
      <c r="D85" s="54" t="s">
        <v>174</v>
      </c>
      <c r="E85" s="55">
        <v>83</v>
      </c>
      <c r="F85" s="56"/>
      <c r="G85" s="57">
        <f t="shared" si="5"/>
        <v>0</v>
      </c>
      <c r="H85" s="57">
        <f t="shared" si="6"/>
        <v>0</v>
      </c>
      <c r="I85" s="57">
        <f t="shared" si="7"/>
        <v>0</v>
      </c>
      <c r="J85" s="62"/>
    </row>
    <row r="86" ht="17.25" customHeight="1" spans="2:10">
      <c r="B86" s="53"/>
      <c r="C86" s="54" t="s">
        <v>26</v>
      </c>
      <c r="D86" s="54" t="s">
        <v>174</v>
      </c>
      <c r="E86" s="55">
        <v>84</v>
      </c>
      <c r="F86" s="56"/>
      <c r="G86" s="57">
        <f t="shared" si="5"/>
        <v>0</v>
      </c>
      <c r="H86" s="57">
        <f t="shared" si="6"/>
        <v>0</v>
      </c>
      <c r="I86" s="57">
        <f t="shared" si="7"/>
        <v>0</v>
      </c>
      <c r="J86" s="73"/>
    </row>
    <row r="87" ht="17.25" customHeight="1" spans="2:10">
      <c r="B87" s="53"/>
      <c r="C87" s="54" t="s">
        <v>26</v>
      </c>
      <c r="D87" s="54" t="s">
        <v>175</v>
      </c>
      <c r="E87" s="55">
        <v>85</v>
      </c>
      <c r="F87" s="56"/>
      <c r="G87" s="57">
        <f t="shared" si="5"/>
        <v>0</v>
      </c>
      <c r="H87" s="57">
        <f t="shared" si="6"/>
        <v>0</v>
      </c>
      <c r="I87" s="57">
        <f t="shared" si="7"/>
        <v>0</v>
      </c>
      <c r="J87" s="73"/>
    </row>
    <row r="88" ht="17.25" customHeight="1" spans="2:10">
      <c r="B88" s="53"/>
      <c r="C88" s="54" t="s">
        <v>26</v>
      </c>
      <c r="D88" s="54" t="s">
        <v>175</v>
      </c>
      <c r="E88" s="55">
        <v>86</v>
      </c>
      <c r="F88" s="56"/>
      <c r="G88" s="57">
        <f t="shared" si="5"/>
        <v>0</v>
      </c>
      <c r="H88" s="57">
        <f t="shared" si="6"/>
        <v>0</v>
      </c>
      <c r="I88" s="57">
        <f t="shared" si="7"/>
        <v>0</v>
      </c>
      <c r="J88" s="73"/>
    </row>
    <row r="89" ht="17.25" customHeight="1" spans="2:10">
      <c r="B89" s="53"/>
      <c r="C89" s="54" t="s">
        <v>26</v>
      </c>
      <c r="D89" s="54" t="s">
        <v>175</v>
      </c>
      <c r="E89" s="55">
        <v>87</v>
      </c>
      <c r="F89" s="56"/>
      <c r="G89" s="57">
        <f t="shared" si="5"/>
        <v>0</v>
      </c>
      <c r="H89" s="57">
        <f t="shared" si="6"/>
        <v>0</v>
      </c>
      <c r="I89" s="57">
        <f t="shared" si="7"/>
        <v>0</v>
      </c>
      <c r="J89" s="73"/>
    </row>
    <row r="90" ht="17.25" customHeight="1" spans="2:10">
      <c r="B90" s="53"/>
      <c r="C90" s="54" t="s">
        <v>26</v>
      </c>
      <c r="D90" s="54" t="s">
        <v>175</v>
      </c>
      <c r="E90" s="55">
        <v>88</v>
      </c>
      <c r="F90" s="56"/>
      <c r="G90" s="57">
        <f t="shared" si="5"/>
        <v>0</v>
      </c>
      <c r="H90" s="57">
        <f t="shared" si="6"/>
        <v>0</v>
      </c>
      <c r="I90" s="57">
        <f t="shared" si="7"/>
        <v>0</v>
      </c>
      <c r="J90" s="73"/>
    </row>
    <row r="91" ht="17.25" customHeight="1" spans="2:10">
      <c r="B91" s="53"/>
      <c r="C91" s="54" t="s">
        <v>26</v>
      </c>
      <c r="D91" s="54" t="s">
        <v>175</v>
      </c>
      <c r="E91" s="55">
        <v>89</v>
      </c>
      <c r="F91" s="56"/>
      <c r="G91" s="57">
        <f t="shared" si="5"/>
        <v>0</v>
      </c>
      <c r="H91" s="57">
        <f t="shared" si="6"/>
        <v>0</v>
      </c>
      <c r="I91" s="57">
        <f t="shared" si="7"/>
        <v>0</v>
      </c>
      <c r="J91" s="73"/>
    </row>
    <row r="92" ht="17.25" customHeight="1" spans="2:10">
      <c r="B92" s="53"/>
      <c r="C92" s="54" t="s">
        <v>26</v>
      </c>
      <c r="D92" s="54" t="s">
        <v>175</v>
      </c>
      <c r="E92" s="55">
        <v>90</v>
      </c>
      <c r="F92" s="56"/>
      <c r="G92" s="57">
        <f t="shared" si="5"/>
        <v>0</v>
      </c>
      <c r="H92" s="57">
        <f t="shared" si="6"/>
        <v>0</v>
      </c>
      <c r="I92" s="57">
        <f t="shared" si="7"/>
        <v>0</v>
      </c>
      <c r="J92" s="73"/>
    </row>
  </sheetData>
  <mergeCells count="3">
    <mergeCell ref="L2:O2"/>
    <mergeCell ref="L19:U19"/>
    <mergeCell ref="L26:N26"/>
  </mergeCells>
  <conditionalFormatting sqref="I3:I92">
    <cfRule type="cellIs" dxfId="0" priority="1" operator="lessThan">
      <formula>10</formula>
    </cfRule>
  </conditionalFormatting>
  <dataValidations count="1">
    <dataValidation type="list" allowBlank="1" showInputMessage="1" showErrorMessage="1" sqref="O21:O24">
      <formula1>$L$29:$L$33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AB38"/>
  <sheetViews>
    <sheetView showGridLines="0" workbookViewId="0">
      <selection activeCell="N19" sqref="N19"/>
    </sheetView>
  </sheetViews>
  <sheetFormatPr defaultColWidth="9" defaultRowHeight="13.5" customHeight="1"/>
  <cols>
    <col min="1" max="1" width="2.16666666666667" style="2" customWidth="1"/>
    <col min="2" max="2" width="13.5" style="2" customWidth="1"/>
    <col min="3" max="8" width="8.83333333333333" style="2" customWidth="1"/>
    <col min="9" max="9" width="13.6666666666667" style="3" customWidth="1"/>
    <col min="10" max="12" width="8.83333333333333" style="2" customWidth="1"/>
    <col min="13" max="14" width="8.16666666666667" style="2" customWidth="1"/>
    <col min="15" max="15" width="8" style="2" customWidth="1"/>
    <col min="16" max="16" width="1.625" style="2" customWidth="1"/>
    <col min="17" max="19" width="8.83333333333333" style="2" customWidth="1"/>
    <col min="20" max="20" width="8.16666666666667" style="2" customWidth="1"/>
    <col min="21" max="21" width="8" style="2" customWidth="1"/>
    <col min="22" max="22" width="1.625" style="2" customWidth="1"/>
    <col min="23" max="23" width="12.8333333333333" style="2" customWidth="1"/>
    <col min="24" max="25" width="8.83333333333333" style="2" customWidth="1"/>
    <col min="26" max="26" width="8.16666666666667" style="2" customWidth="1"/>
    <col min="27" max="27" width="12.8333333333333" style="2" customWidth="1"/>
    <col min="28" max="28" width="18.8333333333333" style="2" customWidth="1"/>
  </cols>
  <sheetData>
    <row r="2" ht="22.5" customHeight="1" spans="2:28">
      <c r="B2" s="4">
        <v>1</v>
      </c>
      <c r="C2" s="5" t="s">
        <v>201</v>
      </c>
      <c r="D2" s="6"/>
      <c r="E2" s="6"/>
      <c r="F2" s="6"/>
      <c r="G2" s="6"/>
      <c r="H2" s="6"/>
      <c r="I2" s="39"/>
      <c r="J2" s="6"/>
      <c r="K2" s="6"/>
      <c r="L2" s="6"/>
      <c r="M2" s="6"/>
      <c r="N2" s="6"/>
      <c r="O2" s="40"/>
      <c r="P2" s="18"/>
      <c r="Q2" s="46" t="s">
        <v>202</v>
      </c>
      <c r="R2" s="46"/>
      <c r="S2" s="46"/>
      <c r="T2" s="46"/>
      <c r="U2" s="47"/>
      <c r="V2" s="18"/>
      <c r="W2" s="46" t="s">
        <v>203</v>
      </c>
      <c r="X2" s="46"/>
      <c r="Y2" s="46"/>
      <c r="Z2" s="46"/>
      <c r="AA2" s="47"/>
      <c r="AB2" s="18"/>
    </row>
    <row r="3" ht="16.5" customHeight="1" spans="2:28">
      <c r="B3" s="7" t="s">
        <v>204</v>
      </c>
      <c r="C3" s="8" t="s">
        <v>205</v>
      </c>
      <c r="D3" s="9"/>
      <c r="E3" s="9"/>
      <c r="F3" s="9"/>
      <c r="G3" s="9"/>
      <c r="H3" s="9"/>
      <c r="I3" s="9"/>
      <c r="J3" s="9"/>
      <c r="K3" s="9"/>
      <c r="L3" s="41"/>
      <c r="M3" s="41"/>
      <c r="N3" s="42" t="s">
        <v>206</v>
      </c>
      <c r="O3" s="43" t="s">
        <v>87</v>
      </c>
      <c r="P3" s="18"/>
      <c r="Q3" s="9"/>
      <c r="R3" s="9"/>
      <c r="S3" s="9"/>
      <c r="T3" s="42" t="s">
        <v>206</v>
      </c>
      <c r="U3" s="43" t="s">
        <v>87</v>
      </c>
      <c r="V3" s="18"/>
      <c r="W3" s="9"/>
      <c r="X3" s="9"/>
      <c r="Y3" s="9"/>
      <c r="Z3" s="42" t="s">
        <v>206</v>
      </c>
      <c r="AA3" s="43" t="s">
        <v>87</v>
      </c>
      <c r="AB3" s="18"/>
    </row>
    <row r="4" ht="16.5" customHeight="1" spans="2:28">
      <c r="B4" s="7"/>
      <c r="C4" s="10" t="s">
        <v>207</v>
      </c>
      <c r="D4" s="11" t="s">
        <v>208</v>
      </c>
      <c r="E4" s="11" t="s">
        <v>209</v>
      </c>
      <c r="F4" s="11" t="s">
        <v>210</v>
      </c>
      <c r="G4" s="11" t="s">
        <v>211</v>
      </c>
      <c r="H4" s="11" t="s">
        <v>212</v>
      </c>
      <c r="I4" s="10" t="s">
        <v>213</v>
      </c>
      <c r="J4" s="11" t="s">
        <v>214</v>
      </c>
      <c r="K4" s="11" t="s">
        <v>215</v>
      </c>
      <c r="L4" s="11" t="s">
        <v>216</v>
      </c>
      <c r="M4" s="11" t="s">
        <v>217</v>
      </c>
      <c r="N4" s="42"/>
      <c r="O4" s="43"/>
      <c r="P4" s="18"/>
      <c r="Q4" s="11" t="s">
        <v>208</v>
      </c>
      <c r="R4" s="11" t="s">
        <v>209</v>
      </c>
      <c r="S4" s="11" t="s">
        <v>210</v>
      </c>
      <c r="T4" s="42"/>
      <c r="U4" s="43"/>
      <c r="V4" s="18"/>
      <c r="W4" s="48" t="s">
        <v>208</v>
      </c>
      <c r="X4" s="48" t="s">
        <v>218</v>
      </c>
      <c r="Y4" s="48" t="s">
        <v>210</v>
      </c>
      <c r="Z4" s="42"/>
      <c r="AA4" s="43"/>
      <c r="AB4" s="18"/>
    </row>
    <row r="5" s="1" customFormat="1" ht="16.5" customHeight="1" spans="1:28">
      <c r="A5" s="3"/>
      <c r="B5" s="12">
        <f>B6-$B$2</f>
        <v>-4</v>
      </c>
      <c r="C5" s="12" t="e">
        <f t="shared" ref="C5:C14" si="0">$E$19</f>
        <v>#DIV/0!</v>
      </c>
      <c r="D5" s="13" t="e">
        <f t="shared" ref="D5:D14" si="1">C5/B5*100%</f>
        <v>#DIV/0!</v>
      </c>
      <c r="E5" s="12" t="e">
        <f t="shared" ref="E5:E14" si="2">$E$20</f>
        <v>#DIV/0!</v>
      </c>
      <c r="F5" s="13" t="e">
        <f t="shared" ref="F5:F14" si="3">E5/B5*100%</f>
        <v>#DIV/0!</v>
      </c>
      <c r="G5" s="12">
        <f t="shared" ref="G5:G14" si="4">$C$36</f>
        <v>0</v>
      </c>
      <c r="H5" s="12">
        <f t="shared" ref="H5:H14" si="5">B5*0.15</f>
        <v>-0.6</v>
      </c>
      <c r="I5" s="12">
        <v>0</v>
      </c>
      <c r="J5" s="12">
        <f t="shared" ref="J5:J14" si="6">B5*0.1</f>
        <v>-0.4</v>
      </c>
      <c r="K5" s="12">
        <f t="shared" ref="K5:K14" si="7">B5*0.03</f>
        <v>-0.12</v>
      </c>
      <c r="L5" s="12">
        <f t="shared" ref="L5:L14" si="8">B5*$C$29</f>
        <v>0</v>
      </c>
      <c r="M5" s="12">
        <f t="shared" ref="M5:M14" si="9">(B5-J5)/1.2*0.2</f>
        <v>-0.6</v>
      </c>
      <c r="N5" s="12" t="e">
        <f t="shared" ref="N5:N14" si="10">B5-C5-E5-G5-H5-J5-K5-L5-I5-M5</f>
        <v>#DIV/0!</v>
      </c>
      <c r="O5" s="13" t="e">
        <f t="shared" ref="O5:O14" si="11">N5/B5</f>
        <v>#DIV/0!</v>
      </c>
      <c r="P5" s="44"/>
      <c r="Q5" s="13" t="e">
        <f t="shared" ref="Q5:Q14" si="12">C5/B5*100%</f>
        <v>#DIV/0!</v>
      </c>
      <c r="R5" s="12" t="e">
        <f t="shared" ref="R5:R14" si="13">$E$21</f>
        <v>#DIV/0!</v>
      </c>
      <c r="S5" s="13" t="e">
        <f t="shared" ref="S5:S14" si="14">R5/B5*100%</f>
        <v>#DIV/0!</v>
      </c>
      <c r="T5" s="12" t="e">
        <f t="shared" ref="T5:T14" si="15">B5-C5-R5-G5-H5-J5-K5-L5-I5-M5</f>
        <v>#DIV/0!</v>
      </c>
      <c r="U5" s="13" t="e">
        <f t="shared" ref="U5:U14" si="16">T5/B5</f>
        <v>#DIV/0!</v>
      </c>
      <c r="V5" s="44"/>
      <c r="W5" s="13" t="e">
        <f t="shared" ref="W5:W14" si="17">C5/B5*100%</f>
        <v>#DIV/0!</v>
      </c>
      <c r="X5" s="12" t="e">
        <f t="shared" ref="X5:X14" si="18">$E$22</f>
        <v>#DIV/0!</v>
      </c>
      <c r="Y5" s="13" t="e">
        <f t="shared" ref="Y5:Y14" si="19">X5/B5*100%</f>
        <v>#DIV/0!</v>
      </c>
      <c r="Z5" s="12" t="e">
        <f t="shared" ref="Z5:Z14" si="20">B5-C5-X5-G5-H5-J5-K5-L5-I5-M5</f>
        <v>#DIV/0!</v>
      </c>
      <c r="AA5" s="13" t="e">
        <f t="shared" ref="AA5:AA14" si="21">Z5/B5</f>
        <v>#DIV/0!</v>
      </c>
      <c r="AB5" s="44"/>
    </row>
    <row r="6" s="1" customFormat="1" ht="16.5" customHeight="1" spans="1:28">
      <c r="A6" s="3"/>
      <c r="B6" s="12">
        <f>B7-$B$2</f>
        <v>-3</v>
      </c>
      <c r="C6" s="12" t="e">
        <f t="shared" si="0"/>
        <v>#DIV/0!</v>
      </c>
      <c r="D6" s="13" t="e">
        <f t="shared" si="1"/>
        <v>#DIV/0!</v>
      </c>
      <c r="E6" s="12" t="e">
        <f t="shared" si="2"/>
        <v>#DIV/0!</v>
      </c>
      <c r="F6" s="13" t="e">
        <f t="shared" si="3"/>
        <v>#DIV/0!</v>
      </c>
      <c r="G6" s="12">
        <f t="shared" si="4"/>
        <v>0</v>
      </c>
      <c r="H6" s="12">
        <f t="shared" si="5"/>
        <v>-0.45</v>
      </c>
      <c r="I6" s="12">
        <v>0</v>
      </c>
      <c r="J6" s="12">
        <f t="shared" si="6"/>
        <v>-0.3</v>
      </c>
      <c r="K6" s="12">
        <f t="shared" si="7"/>
        <v>-0.09</v>
      </c>
      <c r="L6" s="12">
        <f t="shared" si="8"/>
        <v>0</v>
      </c>
      <c r="M6" s="12">
        <f t="shared" si="9"/>
        <v>-0.45</v>
      </c>
      <c r="N6" s="12" t="e">
        <f t="shared" si="10"/>
        <v>#DIV/0!</v>
      </c>
      <c r="O6" s="13" t="e">
        <f t="shared" si="11"/>
        <v>#DIV/0!</v>
      </c>
      <c r="P6" s="44"/>
      <c r="Q6" s="13" t="e">
        <f t="shared" si="12"/>
        <v>#DIV/0!</v>
      </c>
      <c r="R6" s="12" t="e">
        <f t="shared" si="13"/>
        <v>#DIV/0!</v>
      </c>
      <c r="S6" s="13" t="e">
        <f t="shared" si="14"/>
        <v>#DIV/0!</v>
      </c>
      <c r="T6" s="12" t="e">
        <f t="shared" si="15"/>
        <v>#DIV/0!</v>
      </c>
      <c r="U6" s="13" t="e">
        <f t="shared" si="16"/>
        <v>#DIV/0!</v>
      </c>
      <c r="V6" s="44"/>
      <c r="W6" s="13" t="e">
        <f t="shared" si="17"/>
        <v>#DIV/0!</v>
      </c>
      <c r="X6" s="12" t="e">
        <f t="shared" si="18"/>
        <v>#DIV/0!</v>
      </c>
      <c r="Y6" s="13" t="e">
        <f t="shared" si="19"/>
        <v>#DIV/0!</v>
      </c>
      <c r="Z6" s="12" t="e">
        <f t="shared" si="20"/>
        <v>#DIV/0!</v>
      </c>
      <c r="AA6" s="13" t="e">
        <f t="shared" si="21"/>
        <v>#DIV/0!</v>
      </c>
      <c r="AB6" s="44"/>
    </row>
    <row r="7" s="1" customFormat="1" ht="16.5" customHeight="1" spans="1:28">
      <c r="A7" s="3"/>
      <c r="B7" s="12">
        <f>B8-$B$2</f>
        <v>-2</v>
      </c>
      <c r="C7" s="12" t="e">
        <f t="shared" si="0"/>
        <v>#DIV/0!</v>
      </c>
      <c r="D7" s="13" t="e">
        <f t="shared" si="1"/>
        <v>#DIV/0!</v>
      </c>
      <c r="E7" s="12" t="e">
        <f t="shared" si="2"/>
        <v>#DIV/0!</v>
      </c>
      <c r="F7" s="13" t="e">
        <f t="shared" si="3"/>
        <v>#DIV/0!</v>
      </c>
      <c r="G7" s="12">
        <f t="shared" si="4"/>
        <v>0</v>
      </c>
      <c r="H7" s="12">
        <f t="shared" si="5"/>
        <v>-0.3</v>
      </c>
      <c r="I7" s="12">
        <v>0</v>
      </c>
      <c r="J7" s="12">
        <f t="shared" si="6"/>
        <v>-0.2</v>
      </c>
      <c r="K7" s="12">
        <f t="shared" si="7"/>
        <v>-0.06</v>
      </c>
      <c r="L7" s="12">
        <f t="shared" si="8"/>
        <v>0</v>
      </c>
      <c r="M7" s="12">
        <f t="shared" si="9"/>
        <v>-0.3</v>
      </c>
      <c r="N7" s="12" t="e">
        <f t="shared" si="10"/>
        <v>#DIV/0!</v>
      </c>
      <c r="O7" s="13" t="e">
        <f t="shared" si="11"/>
        <v>#DIV/0!</v>
      </c>
      <c r="P7" s="44"/>
      <c r="Q7" s="13" t="e">
        <f t="shared" si="12"/>
        <v>#DIV/0!</v>
      </c>
      <c r="R7" s="12" t="e">
        <f t="shared" si="13"/>
        <v>#DIV/0!</v>
      </c>
      <c r="S7" s="13" t="e">
        <f t="shared" si="14"/>
        <v>#DIV/0!</v>
      </c>
      <c r="T7" s="12" t="e">
        <f t="shared" si="15"/>
        <v>#DIV/0!</v>
      </c>
      <c r="U7" s="13" t="e">
        <f t="shared" si="16"/>
        <v>#DIV/0!</v>
      </c>
      <c r="V7" s="44"/>
      <c r="W7" s="13" t="e">
        <f t="shared" si="17"/>
        <v>#DIV/0!</v>
      </c>
      <c r="X7" s="12" t="e">
        <f t="shared" si="18"/>
        <v>#DIV/0!</v>
      </c>
      <c r="Y7" s="13" t="e">
        <f t="shared" si="19"/>
        <v>#DIV/0!</v>
      </c>
      <c r="Z7" s="12" t="e">
        <f t="shared" si="20"/>
        <v>#DIV/0!</v>
      </c>
      <c r="AA7" s="13" t="e">
        <f t="shared" si="21"/>
        <v>#DIV/0!</v>
      </c>
      <c r="AB7" s="44"/>
    </row>
    <row r="8" s="1" customFormat="1" ht="16.5" customHeight="1" spans="1:28">
      <c r="A8" s="3"/>
      <c r="B8" s="12">
        <f>B9-$B$2</f>
        <v>-1</v>
      </c>
      <c r="C8" s="12" t="e">
        <f t="shared" si="0"/>
        <v>#DIV/0!</v>
      </c>
      <c r="D8" s="13" t="e">
        <f t="shared" si="1"/>
        <v>#DIV/0!</v>
      </c>
      <c r="E8" s="12" t="e">
        <f t="shared" si="2"/>
        <v>#DIV/0!</v>
      </c>
      <c r="F8" s="13" t="e">
        <f t="shared" si="3"/>
        <v>#DIV/0!</v>
      </c>
      <c r="G8" s="12">
        <f t="shared" si="4"/>
        <v>0</v>
      </c>
      <c r="H8" s="12">
        <f t="shared" si="5"/>
        <v>-0.15</v>
      </c>
      <c r="I8" s="12">
        <v>0</v>
      </c>
      <c r="J8" s="12">
        <f t="shared" si="6"/>
        <v>-0.1</v>
      </c>
      <c r="K8" s="12">
        <f t="shared" si="7"/>
        <v>-0.03</v>
      </c>
      <c r="L8" s="12">
        <f t="shared" si="8"/>
        <v>0</v>
      </c>
      <c r="M8" s="12">
        <f t="shared" si="9"/>
        <v>-0.15</v>
      </c>
      <c r="N8" s="12" t="e">
        <f t="shared" si="10"/>
        <v>#DIV/0!</v>
      </c>
      <c r="O8" s="13" t="e">
        <f t="shared" si="11"/>
        <v>#DIV/0!</v>
      </c>
      <c r="P8" s="44"/>
      <c r="Q8" s="13" t="e">
        <f t="shared" si="12"/>
        <v>#DIV/0!</v>
      </c>
      <c r="R8" s="12" t="e">
        <f t="shared" si="13"/>
        <v>#DIV/0!</v>
      </c>
      <c r="S8" s="13" t="e">
        <f t="shared" si="14"/>
        <v>#DIV/0!</v>
      </c>
      <c r="T8" s="12" t="e">
        <f t="shared" si="15"/>
        <v>#DIV/0!</v>
      </c>
      <c r="U8" s="13" t="e">
        <f t="shared" si="16"/>
        <v>#DIV/0!</v>
      </c>
      <c r="V8" s="44"/>
      <c r="W8" s="13" t="e">
        <f t="shared" si="17"/>
        <v>#DIV/0!</v>
      </c>
      <c r="X8" s="12" t="e">
        <f t="shared" si="18"/>
        <v>#DIV/0!</v>
      </c>
      <c r="Y8" s="13" t="e">
        <f t="shared" si="19"/>
        <v>#DIV/0!</v>
      </c>
      <c r="Z8" s="12" t="e">
        <f t="shared" si="20"/>
        <v>#DIV/0!</v>
      </c>
      <c r="AA8" s="13" t="e">
        <f t="shared" si="21"/>
        <v>#DIV/0!</v>
      </c>
      <c r="AB8" s="44"/>
    </row>
    <row r="9" s="1" customFormat="1" ht="16.5" customHeight="1" spans="1:28">
      <c r="A9" s="3"/>
      <c r="B9" s="14">
        <f>B17</f>
        <v>0</v>
      </c>
      <c r="C9" s="14" t="e">
        <f t="shared" si="0"/>
        <v>#DIV/0!</v>
      </c>
      <c r="D9" s="15" t="e">
        <f t="shared" si="1"/>
        <v>#DIV/0!</v>
      </c>
      <c r="E9" s="14" t="e">
        <f t="shared" si="2"/>
        <v>#DIV/0!</v>
      </c>
      <c r="F9" s="15" t="e">
        <f t="shared" si="3"/>
        <v>#DIV/0!</v>
      </c>
      <c r="G9" s="14">
        <f t="shared" si="4"/>
        <v>0</v>
      </c>
      <c r="H9" s="14">
        <f t="shared" si="5"/>
        <v>0</v>
      </c>
      <c r="I9" s="14">
        <v>0</v>
      </c>
      <c r="J9" s="14">
        <f t="shared" si="6"/>
        <v>0</v>
      </c>
      <c r="K9" s="14">
        <f t="shared" si="7"/>
        <v>0</v>
      </c>
      <c r="L9" s="14">
        <f t="shared" si="8"/>
        <v>0</v>
      </c>
      <c r="M9" s="14">
        <f t="shared" si="9"/>
        <v>0</v>
      </c>
      <c r="N9" s="14" t="e">
        <f t="shared" si="10"/>
        <v>#DIV/0!</v>
      </c>
      <c r="O9" s="15" t="e">
        <f t="shared" si="11"/>
        <v>#DIV/0!</v>
      </c>
      <c r="P9" s="44"/>
      <c r="Q9" s="15" t="e">
        <f t="shared" si="12"/>
        <v>#DIV/0!</v>
      </c>
      <c r="R9" s="14" t="e">
        <f t="shared" si="13"/>
        <v>#DIV/0!</v>
      </c>
      <c r="S9" s="15" t="e">
        <f t="shared" si="14"/>
        <v>#DIV/0!</v>
      </c>
      <c r="T9" s="14" t="e">
        <f t="shared" si="15"/>
        <v>#DIV/0!</v>
      </c>
      <c r="U9" s="15" t="e">
        <f t="shared" si="16"/>
        <v>#DIV/0!</v>
      </c>
      <c r="V9" s="44"/>
      <c r="W9" s="15" t="e">
        <f t="shared" si="17"/>
        <v>#DIV/0!</v>
      </c>
      <c r="X9" s="14" t="e">
        <f t="shared" si="18"/>
        <v>#DIV/0!</v>
      </c>
      <c r="Y9" s="15" t="e">
        <f t="shared" si="19"/>
        <v>#DIV/0!</v>
      </c>
      <c r="Z9" s="14" t="e">
        <f t="shared" si="20"/>
        <v>#DIV/0!</v>
      </c>
      <c r="AA9" s="15" t="e">
        <f t="shared" si="21"/>
        <v>#DIV/0!</v>
      </c>
      <c r="AB9" s="44"/>
    </row>
    <row r="10" s="1" customFormat="1" ht="16.5" customHeight="1" spans="1:28">
      <c r="A10" s="3"/>
      <c r="B10" s="12">
        <f>B9+$B$2</f>
        <v>1</v>
      </c>
      <c r="C10" s="12" t="e">
        <f t="shared" si="0"/>
        <v>#DIV/0!</v>
      </c>
      <c r="D10" s="13" t="e">
        <f t="shared" si="1"/>
        <v>#DIV/0!</v>
      </c>
      <c r="E10" s="12" t="e">
        <f t="shared" si="2"/>
        <v>#DIV/0!</v>
      </c>
      <c r="F10" s="13" t="e">
        <f t="shared" si="3"/>
        <v>#DIV/0!</v>
      </c>
      <c r="G10" s="12">
        <f t="shared" si="4"/>
        <v>0</v>
      </c>
      <c r="H10" s="12">
        <f t="shared" si="5"/>
        <v>0.15</v>
      </c>
      <c r="I10" s="12">
        <v>0</v>
      </c>
      <c r="J10" s="12">
        <f t="shared" si="6"/>
        <v>0.1</v>
      </c>
      <c r="K10" s="12">
        <f t="shared" si="7"/>
        <v>0.03</v>
      </c>
      <c r="L10" s="12">
        <f t="shared" si="8"/>
        <v>0</v>
      </c>
      <c r="M10" s="12">
        <f t="shared" si="9"/>
        <v>0.15</v>
      </c>
      <c r="N10" s="12" t="e">
        <f t="shared" si="10"/>
        <v>#DIV/0!</v>
      </c>
      <c r="O10" s="13" t="e">
        <f t="shared" si="11"/>
        <v>#DIV/0!</v>
      </c>
      <c r="P10" s="44"/>
      <c r="Q10" s="13" t="e">
        <f t="shared" si="12"/>
        <v>#DIV/0!</v>
      </c>
      <c r="R10" s="12" t="e">
        <f t="shared" si="13"/>
        <v>#DIV/0!</v>
      </c>
      <c r="S10" s="13" t="e">
        <f t="shared" si="14"/>
        <v>#DIV/0!</v>
      </c>
      <c r="T10" s="12" t="e">
        <f t="shared" si="15"/>
        <v>#DIV/0!</v>
      </c>
      <c r="U10" s="13" t="e">
        <f t="shared" si="16"/>
        <v>#DIV/0!</v>
      </c>
      <c r="V10" s="44"/>
      <c r="W10" s="13" t="e">
        <f t="shared" si="17"/>
        <v>#DIV/0!</v>
      </c>
      <c r="X10" s="12" t="e">
        <f t="shared" si="18"/>
        <v>#DIV/0!</v>
      </c>
      <c r="Y10" s="13" t="e">
        <f t="shared" si="19"/>
        <v>#DIV/0!</v>
      </c>
      <c r="Z10" s="12" t="e">
        <f t="shared" si="20"/>
        <v>#DIV/0!</v>
      </c>
      <c r="AA10" s="13" t="e">
        <f t="shared" si="21"/>
        <v>#DIV/0!</v>
      </c>
      <c r="AB10" s="44"/>
    </row>
    <row r="11" s="1" customFormat="1" ht="16.5" customHeight="1" spans="1:28">
      <c r="A11" s="3"/>
      <c r="B11" s="12">
        <f>B10+$B$2</f>
        <v>2</v>
      </c>
      <c r="C11" s="12" t="e">
        <f t="shared" si="0"/>
        <v>#DIV/0!</v>
      </c>
      <c r="D11" s="13" t="e">
        <f t="shared" si="1"/>
        <v>#DIV/0!</v>
      </c>
      <c r="E11" s="12" t="e">
        <f t="shared" si="2"/>
        <v>#DIV/0!</v>
      </c>
      <c r="F11" s="13" t="e">
        <f t="shared" si="3"/>
        <v>#DIV/0!</v>
      </c>
      <c r="G11" s="12">
        <f t="shared" si="4"/>
        <v>0</v>
      </c>
      <c r="H11" s="12">
        <f t="shared" si="5"/>
        <v>0.3</v>
      </c>
      <c r="I11" s="12">
        <v>0</v>
      </c>
      <c r="J11" s="12">
        <f t="shared" si="6"/>
        <v>0.2</v>
      </c>
      <c r="K11" s="12">
        <f t="shared" si="7"/>
        <v>0.06</v>
      </c>
      <c r="L11" s="12">
        <f t="shared" si="8"/>
        <v>0</v>
      </c>
      <c r="M11" s="12">
        <f t="shared" si="9"/>
        <v>0.3</v>
      </c>
      <c r="N11" s="12" t="e">
        <f t="shared" si="10"/>
        <v>#DIV/0!</v>
      </c>
      <c r="O11" s="13" t="e">
        <f t="shared" si="11"/>
        <v>#DIV/0!</v>
      </c>
      <c r="P11" s="45"/>
      <c r="Q11" s="13" t="e">
        <f t="shared" si="12"/>
        <v>#DIV/0!</v>
      </c>
      <c r="R11" s="12" t="e">
        <f t="shared" si="13"/>
        <v>#DIV/0!</v>
      </c>
      <c r="S11" s="13" t="e">
        <f t="shared" si="14"/>
        <v>#DIV/0!</v>
      </c>
      <c r="T11" s="12" t="e">
        <f t="shared" si="15"/>
        <v>#DIV/0!</v>
      </c>
      <c r="U11" s="13" t="e">
        <f t="shared" si="16"/>
        <v>#DIV/0!</v>
      </c>
      <c r="V11" s="45"/>
      <c r="W11" s="13" t="e">
        <f t="shared" si="17"/>
        <v>#DIV/0!</v>
      </c>
      <c r="X11" s="12" t="e">
        <f t="shared" si="18"/>
        <v>#DIV/0!</v>
      </c>
      <c r="Y11" s="13" t="e">
        <f t="shared" si="19"/>
        <v>#DIV/0!</v>
      </c>
      <c r="Z11" s="12" t="e">
        <f t="shared" si="20"/>
        <v>#DIV/0!</v>
      </c>
      <c r="AA11" s="13" t="e">
        <f t="shared" si="21"/>
        <v>#DIV/0!</v>
      </c>
      <c r="AB11" s="44"/>
    </row>
    <row r="12" s="1" customFormat="1" ht="16.5" customHeight="1" spans="1:28">
      <c r="A12" s="3"/>
      <c r="B12" s="12">
        <f>B11+$B$2</f>
        <v>3</v>
      </c>
      <c r="C12" s="12" t="e">
        <f t="shared" si="0"/>
        <v>#DIV/0!</v>
      </c>
      <c r="D12" s="13" t="e">
        <f t="shared" si="1"/>
        <v>#DIV/0!</v>
      </c>
      <c r="E12" s="12" t="e">
        <f t="shared" si="2"/>
        <v>#DIV/0!</v>
      </c>
      <c r="F12" s="13" t="e">
        <f t="shared" si="3"/>
        <v>#DIV/0!</v>
      </c>
      <c r="G12" s="12">
        <f t="shared" si="4"/>
        <v>0</v>
      </c>
      <c r="H12" s="12">
        <f t="shared" si="5"/>
        <v>0.45</v>
      </c>
      <c r="I12" s="12">
        <v>0</v>
      </c>
      <c r="J12" s="12">
        <f t="shared" si="6"/>
        <v>0.3</v>
      </c>
      <c r="K12" s="12">
        <f t="shared" si="7"/>
        <v>0.09</v>
      </c>
      <c r="L12" s="12">
        <f t="shared" si="8"/>
        <v>0</v>
      </c>
      <c r="M12" s="12">
        <f t="shared" si="9"/>
        <v>0.45</v>
      </c>
      <c r="N12" s="12" t="e">
        <f t="shared" si="10"/>
        <v>#DIV/0!</v>
      </c>
      <c r="O12" s="13" t="e">
        <f t="shared" si="11"/>
        <v>#DIV/0!</v>
      </c>
      <c r="P12" s="45"/>
      <c r="Q12" s="13" t="e">
        <f t="shared" si="12"/>
        <v>#DIV/0!</v>
      </c>
      <c r="R12" s="12" t="e">
        <f t="shared" si="13"/>
        <v>#DIV/0!</v>
      </c>
      <c r="S12" s="13" t="e">
        <f t="shared" si="14"/>
        <v>#DIV/0!</v>
      </c>
      <c r="T12" s="12" t="e">
        <f t="shared" si="15"/>
        <v>#DIV/0!</v>
      </c>
      <c r="U12" s="13" t="e">
        <f t="shared" si="16"/>
        <v>#DIV/0!</v>
      </c>
      <c r="V12" s="45"/>
      <c r="W12" s="13" t="e">
        <f t="shared" si="17"/>
        <v>#DIV/0!</v>
      </c>
      <c r="X12" s="12" t="e">
        <f t="shared" si="18"/>
        <v>#DIV/0!</v>
      </c>
      <c r="Y12" s="13" t="e">
        <f t="shared" si="19"/>
        <v>#DIV/0!</v>
      </c>
      <c r="Z12" s="12" t="e">
        <f t="shared" si="20"/>
        <v>#DIV/0!</v>
      </c>
      <c r="AA12" s="13" t="e">
        <f t="shared" si="21"/>
        <v>#DIV/0!</v>
      </c>
      <c r="AB12" s="44"/>
    </row>
    <row r="13" s="1" customFormat="1" ht="16.5" customHeight="1" spans="1:28">
      <c r="A13" s="3"/>
      <c r="B13" s="12">
        <f>B12+$B$2</f>
        <v>4</v>
      </c>
      <c r="C13" s="12" t="e">
        <f t="shared" si="0"/>
        <v>#DIV/0!</v>
      </c>
      <c r="D13" s="13" t="e">
        <f t="shared" si="1"/>
        <v>#DIV/0!</v>
      </c>
      <c r="E13" s="12" t="e">
        <f t="shared" si="2"/>
        <v>#DIV/0!</v>
      </c>
      <c r="F13" s="13" t="e">
        <f t="shared" si="3"/>
        <v>#DIV/0!</v>
      </c>
      <c r="G13" s="12">
        <f t="shared" si="4"/>
        <v>0</v>
      </c>
      <c r="H13" s="12">
        <f t="shared" si="5"/>
        <v>0.6</v>
      </c>
      <c r="I13" s="12">
        <v>0</v>
      </c>
      <c r="J13" s="12">
        <f t="shared" si="6"/>
        <v>0.4</v>
      </c>
      <c r="K13" s="12">
        <f t="shared" si="7"/>
        <v>0.12</v>
      </c>
      <c r="L13" s="12">
        <f t="shared" si="8"/>
        <v>0</v>
      </c>
      <c r="M13" s="12">
        <f t="shared" si="9"/>
        <v>0.6</v>
      </c>
      <c r="N13" s="12" t="e">
        <f t="shared" si="10"/>
        <v>#DIV/0!</v>
      </c>
      <c r="O13" s="13" t="e">
        <f t="shared" si="11"/>
        <v>#DIV/0!</v>
      </c>
      <c r="P13" s="45"/>
      <c r="Q13" s="13" t="e">
        <f t="shared" si="12"/>
        <v>#DIV/0!</v>
      </c>
      <c r="R13" s="12" t="e">
        <f t="shared" si="13"/>
        <v>#DIV/0!</v>
      </c>
      <c r="S13" s="13" t="e">
        <f t="shared" si="14"/>
        <v>#DIV/0!</v>
      </c>
      <c r="T13" s="12" t="e">
        <f t="shared" si="15"/>
        <v>#DIV/0!</v>
      </c>
      <c r="U13" s="13" t="e">
        <f t="shared" si="16"/>
        <v>#DIV/0!</v>
      </c>
      <c r="V13" s="45"/>
      <c r="W13" s="13" t="e">
        <f t="shared" si="17"/>
        <v>#DIV/0!</v>
      </c>
      <c r="X13" s="12" t="e">
        <f t="shared" si="18"/>
        <v>#DIV/0!</v>
      </c>
      <c r="Y13" s="13" t="e">
        <f t="shared" si="19"/>
        <v>#DIV/0!</v>
      </c>
      <c r="Z13" s="12" t="e">
        <f t="shared" si="20"/>
        <v>#DIV/0!</v>
      </c>
      <c r="AA13" s="13" t="e">
        <f t="shared" si="21"/>
        <v>#DIV/0!</v>
      </c>
      <c r="AB13" s="44"/>
    </row>
    <row r="14" s="1" customFormat="1" ht="16.5" customHeight="1" spans="1:28">
      <c r="A14" s="3"/>
      <c r="B14" s="12">
        <f>B13+$B$2</f>
        <v>5</v>
      </c>
      <c r="C14" s="16" t="e">
        <f t="shared" si="0"/>
        <v>#DIV/0!</v>
      </c>
      <c r="D14" s="17" t="e">
        <f t="shared" si="1"/>
        <v>#DIV/0!</v>
      </c>
      <c r="E14" s="16" t="e">
        <f t="shared" si="2"/>
        <v>#DIV/0!</v>
      </c>
      <c r="F14" s="17" t="e">
        <f t="shared" si="3"/>
        <v>#DIV/0!</v>
      </c>
      <c r="G14" s="16">
        <f t="shared" si="4"/>
        <v>0</v>
      </c>
      <c r="H14" s="16">
        <f t="shared" si="5"/>
        <v>0.75</v>
      </c>
      <c r="I14" s="16">
        <v>0</v>
      </c>
      <c r="J14" s="12">
        <f t="shared" si="6"/>
        <v>0.5</v>
      </c>
      <c r="K14" s="16">
        <f t="shared" si="7"/>
        <v>0.15</v>
      </c>
      <c r="L14" s="16">
        <f t="shared" si="8"/>
        <v>0</v>
      </c>
      <c r="M14" s="12">
        <f t="shared" si="9"/>
        <v>0.75</v>
      </c>
      <c r="N14" s="16" t="e">
        <f t="shared" si="10"/>
        <v>#DIV/0!</v>
      </c>
      <c r="O14" s="17" t="e">
        <f t="shared" si="11"/>
        <v>#DIV/0!</v>
      </c>
      <c r="P14" s="45"/>
      <c r="Q14" s="13" t="e">
        <f t="shared" si="12"/>
        <v>#DIV/0!</v>
      </c>
      <c r="R14" s="16" t="e">
        <f t="shared" si="13"/>
        <v>#DIV/0!</v>
      </c>
      <c r="S14" s="13" t="e">
        <f t="shared" si="14"/>
        <v>#DIV/0!</v>
      </c>
      <c r="T14" s="12" t="e">
        <f t="shared" si="15"/>
        <v>#DIV/0!</v>
      </c>
      <c r="U14" s="13" t="e">
        <f t="shared" si="16"/>
        <v>#DIV/0!</v>
      </c>
      <c r="V14" s="45"/>
      <c r="W14" s="13" t="e">
        <f t="shared" si="17"/>
        <v>#DIV/0!</v>
      </c>
      <c r="X14" s="16" t="e">
        <f t="shared" si="18"/>
        <v>#DIV/0!</v>
      </c>
      <c r="Y14" s="13" t="e">
        <f t="shared" si="19"/>
        <v>#DIV/0!</v>
      </c>
      <c r="Z14" s="12" t="e">
        <f t="shared" si="20"/>
        <v>#DIV/0!</v>
      </c>
      <c r="AA14" s="13" t="e">
        <f t="shared" si="21"/>
        <v>#DIV/0!</v>
      </c>
      <c r="AB14" s="44"/>
    </row>
    <row r="15" ht="16.5" customHeight="1" spans="2:28">
      <c r="B15" s="18"/>
      <c r="C15" s="18"/>
      <c r="D15" s="18"/>
      <c r="E15" s="18"/>
      <c r="F15" s="18"/>
      <c r="G15" s="18"/>
      <c r="H15" s="18"/>
      <c r="I15" s="44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ht="21" customHeight="1" spans="2:28">
      <c r="B16" s="19" t="s">
        <v>219</v>
      </c>
      <c r="C16" s="18"/>
      <c r="D16" s="18"/>
      <c r="E16" s="18"/>
      <c r="F16" s="18"/>
      <c r="G16" s="18"/>
      <c r="H16" s="18"/>
      <c r="I16" s="44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ht="24.75" customHeight="1" spans="2:28">
      <c r="B17" s="20"/>
      <c r="C17" s="18"/>
      <c r="D17" s="18"/>
      <c r="E17" s="18"/>
      <c r="F17" s="18"/>
      <c r="G17" s="18"/>
      <c r="H17" s="18"/>
      <c r="I17" s="44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ht="16.5" customHeight="1" spans="2:28">
      <c r="B18" s="21"/>
      <c r="C18" s="22" t="s">
        <v>193</v>
      </c>
      <c r="D18" s="22"/>
      <c r="E18" s="22" t="s">
        <v>220</v>
      </c>
      <c r="F18" s="18"/>
      <c r="G18" s="18"/>
      <c r="H18" s="18"/>
      <c r="I18" s="44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ht="14.25" customHeight="1" spans="2:28">
      <c r="B19" s="23" t="s">
        <v>207</v>
      </c>
      <c r="C19" s="24"/>
      <c r="D19" s="25"/>
      <c r="E19" s="26" t="e">
        <f>C19/$C$23</f>
        <v>#DIV/0!</v>
      </c>
      <c r="F19" s="18"/>
      <c r="G19" s="18"/>
      <c r="H19" s="18"/>
      <c r="I19" s="44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ht="16.5" customHeight="1" spans="2:28">
      <c r="B20" s="27" t="s">
        <v>221</v>
      </c>
      <c r="C20" s="28">
        <f>MAX(C28*C32,C27*C32)</f>
        <v>0</v>
      </c>
      <c r="D20" s="25"/>
      <c r="E20" s="26" t="e">
        <f>C20/$C$23</f>
        <v>#DIV/0!</v>
      </c>
      <c r="F20" s="18"/>
      <c r="G20" s="18"/>
      <c r="H20" s="18"/>
      <c r="I20" s="44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ht="16.5" customHeight="1" spans="2:28">
      <c r="B21" s="29" t="s">
        <v>222</v>
      </c>
      <c r="C21" s="28">
        <f>MAX(C27*C33,C28*C33)</f>
        <v>0</v>
      </c>
      <c r="D21" s="25"/>
      <c r="E21" s="26" t="e">
        <f>C21/$C$23</f>
        <v>#DIV/0!</v>
      </c>
      <c r="F21" s="18"/>
      <c r="G21" s="18"/>
      <c r="H21" s="18"/>
      <c r="I21" s="44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ht="16.5" customHeight="1" spans="2:28">
      <c r="B22" s="29" t="s">
        <v>223</v>
      </c>
      <c r="C22" s="28">
        <f>MAX(C34*C27,C34*C28)</f>
        <v>0</v>
      </c>
      <c r="D22" s="25"/>
      <c r="E22" s="26" t="e">
        <f>C22/$C$23</f>
        <v>#DIV/0!</v>
      </c>
      <c r="F22" s="18"/>
      <c r="G22" s="18"/>
      <c r="H22" s="18"/>
      <c r="I22" s="44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ht="14.25" customHeight="1" spans="2:28">
      <c r="B23" s="30" t="s">
        <v>11</v>
      </c>
      <c r="C23" s="30"/>
      <c r="D23" s="31"/>
      <c r="E23" s="21"/>
      <c r="F23" s="18"/>
      <c r="G23" s="18"/>
      <c r="H23" s="18"/>
      <c r="I23" s="44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ht="16.5" customHeight="1" spans="2:28">
      <c r="B24" s="30" t="s">
        <v>224</v>
      </c>
      <c r="C24" s="30"/>
      <c r="D24" s="21"/>
      <c r="E24" s="21" t="s">
        <v>225</v>
      </c>
      <c r="F24" s="18"/>
      <c r="G24" s="18"/>
      <c r="H24" s="18"/>
      <c r="I24" s="44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ht="16.5" customHeight="1" spans="2:28">
      <c r="B25" s="30" t="s">
        <v>226</v>
      </c>
      <c r="C25" s="30"/>
      <c r="D25" s="21"/>
      <c r="E25" s="21" t="s">
        <v>225</v>
      </c>
      <c r="F25" s="18"/>
      <c r="G25" s="18"/>
      <c r="H25" s="18"/>
      <c r="I25" s="44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ht="16.5" customHeight="1" spans="2:28">
      <c r="B26" s="30" t="s">
        <v>227</v>
      </c>
      <c r="C26" s="30"/>
      <c r="D26" s="21"/>
      <c r="E26" s="21" t="s">
        <v>225</v>
      </c>
      <c r="F26" s="18"/>
      <c r="G26" s="18"/>
      <c r="H26" s="18"/>
      <c r="I26" s="44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ht="14.25" customHeight="1" spans="2:28">
      <c r="B27" s="23" t="s">
        <v>228</v>
      </c>
      <c r="C27" s="32"/>
      <c r="D27" s="21"/>
      <c r="E27" s="21" t="s">
        <v>229</v>
      </c>
      <c r="F27" s="18"/>
      <c r="G27" s="18"/>
      <c r="H27" s="18"/>
      <c r="I27" s="44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ht="16.5" customHeight="1" spans="2:28">
      <c r="B28" s="23" t="s">
        <v>230</v>
      </c>
      <c r="C28" s="32"/>
      <c r="D28" s="21"/>
      <c r="E28" s="21" t="s">
        <v>229</v>
      </c>
      <c r="F28" s="18"/>
      <c r="G28" s="18"/>
      <c r="H28" s="18"/>
      <c r="I28" s="44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ht="14.25" customHeight="1" spans="2:28">
      <c r="B29" s="23" t="s">
        <v>52</v>
      </c>
      <c r="C29" s="32"/>
      <c r="D29" s="21"/>
      <c r="E29" s="21"/>
      <c r="F29" s="18"/>
      <c r="G29" s="18"/>
      <c r="H29" s="18"/>
      <c r="I29" s="44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ht="16.5" customHeight="1" spans="2:28">
      <c r="B30" s="18"/>
      <c r="C30" s="18"/>
      <c r="D30" s="18"/>
      <c r="E30" s="33"/>
      <c r="F30" s="18"/>
      <c r="G30" s="18"/>
      <c r="H30" s="18"/>
      <c r="I30" s="44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ht="16.5" customHeight="1" spans="2:28">
      <c r="B31" s="34" t="s">
        <v>231</v>
      </c>
      <c r="C31" s="34" t="s">
        <v>232</v>
      </c>
      <c r="D31" s="18"/>
      <c r="E31" s="33"/>
      <c r="F31" s="18"/>
      <c r="G31" s="18"/>
      <c r="H31" s="18"/>
      <c r="I31" s="44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ht="14.25" customHeight="1" spans="2:28">
      <c r="B32" s="35" t="s">
        <v>233</v>
      </c>
      <c r="C32" s="36"/>
      <c r="D32" s="18"/>
      <c r="E32" s="33" t="s">
        <v>234</v>
      </c>
      <c r="F32" s="18"/>
      <c r="G32" s="18"/>
      <c r="H32" s="18"/>
      <c r="I32" s="44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ht="14.25" customHeight="1" spans="2:28">
      <c r="B33" s="35" t="s">
        <v>235</v>
      </c>
      <c r="C33" s="36"/>
      <c r="D33" s="18"/>
      <c r="E33" s="33" t="s">
        <v>234</v>
      </c>
      <c r="F33" s="18"/>
      <c r="G33" s="18"/>
      <c r="H33" s="18"/>
      <c r="I33" s="44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ht="16.5" customHeight="1" spans="2:28">
      <c r="B34" s="35" t="s">
        <v>236</v>
      </c>
      <c r="C34" s="36"/>
      <c r="D34" s="18"/>
      <c r="E34" s="33" t="s">
        <v>234</v>
      </c>
      <c r="F34" s="18"/>
      <c r="G34" s="18"/>
      <c r="H34" s="18"/>
      <c r="I34" s="44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ht="16.5" customHeight="1" spans="2:28">
      <c r="B35" s="18"/>
      <c r="C35" s="33"/>
      <c r="D35" s="18"/>
      <c r="E35" s="33"/>
      <c r="F35" s="18"/>
      <c r="G35" s="18"/>
      <c r="H35" s="18"/>
      <c r="I35" s="44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ht="14.25" customHeight="1" spans="2:28">
      <c r="B36" s="18" t="s">
        <v>237</v>
      </c>
      <c r="C36" s="37"/>
      <c r="D36" s="18"/>
      <c r="E36" s="33"/>
      <c r="F36" s="18"/>
      <c r="G36" s="18"/>
      <c r="H36" s="18"/>
      <c r="I36" s="44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ht="16.5" customHeight="1" spans="2:28">
      <c r="B37" s="18"/>
      <c r="C37" s="38"/>
      <c r="D37" s="18"/>
      <c r="E37" s="33"/>
      <c r="F37" s="18"/>
      <c r="G37" s="18"/>
      <c r="H37" s="18"/>
      <c r="I37" s="44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ht="16.5" customHeight="1" spans="2:28">
      <c r="B38" s="18"/>
      <c r="C38" s="38"/>
      <c r="D38" s="18"/>
      <c r="E38" s="33"/>
      <c r="F38" s="18"/>
      <c r="G38" s="18"/>
      <c r="H38" s="18"/>
      <c r="I38" s="44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</sheetData>
  <mergeCells count="13">
    <mergeCell ref="C2:O2"/>
    <mergeCell ref="Q2:U2"/>
    <mergeCell ref="W2:AA2"/>
    <mergeCell ref="C3:L3"/>
    <mergeCell ref="Q3:S3"/>
    <mergeCell ref="W3:Y3"/>
    <mergeCell ref="B3:B4"/>
    <mergeCell ref="N3:N4"/>
    <mergeCell ref="O3:O4"/>
    <mergeCell ref="T3:T4"/>
    <mergeCell ref="U3:U4"/>
    <mergeCell ref="Z3:Z4"/>
    <mergeCell ref="AA3:AA4"/>
  </mergeCells>
  <conditionalFormatting sqref="O5:O14 U5:U14 AA5:AA14">
    <cfRule type="cellIs" dxfId="1" priority="1" stopIfTrue="1" operator="lessThan">
      <formula>0</formula>
    </cfRule>
  </conditionalFormatting>
  <pageMargins left="0.7" right="0.7" top="0.75" bottom="0.75" header="0.3" footer="0.3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运营推广计划表</vt:lpstr>
      <vt:lpstr>首批与返单囤货数量预测表</vt:lpstr>
      <vt:lpstr>毛利测算表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热衷.</cp:lastModifiedBy>
  <dcterms:created xsi:type="dcterms:W3CDTF">2006-09-16T00:00:00Z</dcterms:created>
  <dcterms:modified xsi:type="dcterms:W3CDTF">2024-12-12T03:59:45Z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2E56100C79E04B3BB9905C78187F0FE4</vt:lpwstr>
  </property>
  <property fmtid="{D5CDD505-2E9C-101B-9397-08002B2CF9AE}" pid="3" name="KSOProductBuildVer">
    <vt:lpwstr>2052-12.1.0.19302</vt:lpwstr>
  </property>
</Properties>
</file>