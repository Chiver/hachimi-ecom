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US站点" sheetId="1" r:id="rId1"/>
    <sheet name="DE站点" sheetId="2" r:id="rId2"/>
    <sheet name="FR | IT | ES 站点" sheetId="4" r:id="rId3"/>
    <sheet name="UK站点" sheetId="3" r:id="rId4"/>
    <sheet name="JP站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<sst xmlns="http://schemas.openxmlformats.org/spreadsheetml/2006/main" count="95" uniqueCount="11">
  <si>
    <t>优惠券</t>
  </si>
  <si>
    <t>LD</t>
  </si>
  <si>
    <t>BD</t>
  </si>
  <si>
    <t>数量</t>
  </si>
  <si>
    <t>售价</t>
  </si>
  <si>
    <t>原收费</t>
  </si>
  <si>
    <t>新收费</t>
  </si>
  <si>
    <t>折合每个产品的优惠券成本</t>
  </si>
  <si>
    <t>折合每个产品的LD成本</t>
  </si>
  <si>
    <t>BD天数</t>
  </si>
  <si>
    <t>折合每个产品的BD成本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</si>
</sst>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411]#,##0.00;\-[$¥-411]#,##0.00"/>
    <numFmt numFmtId="177" formatCode="[$£-809]#,##0.00;\-[$£-809]#,##0.00"/>
    <numFmt numFmtId="178" formatCode="#,##0.00\ &quot;€&quot;;\-#,##0.00\ &quot;€&quot;"/>
    <numFmt numFmtId="179" formatCode="0.00_ "/>
    <numFmt numFmtId="180" formatCode="\$#,##0.00;\-\$#,##0.00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77" fontId="1" fillId="2" borderId="1" xfId="0" applyNumberFormat="1" applyFont="1" applyFill="1" applyBorder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/>
    </xf>
    <xf numFmtId="178" fontId="1" fillId="2" borderId="1" xfId="0" applyNumberFormat="1" applyFont="1" applyFill="1" applyBorder="1" applyAlignment="1">
      <alignment horizontal="left" vertical="center"/>
    </xf>
    <xf numFmtId="178" fontId="1" fillId="0" borderId="1" xfId="0" applyNumberFormat="1" applyFont="1" applyBorder="1" applyAlignment="1">
      <alignment horizontal="left" vertical="center"/>
    </xf>
    <xf numFmtId="178" fontId="1" fillId="0" borderId="1" xfId="0" applyNumberFormat="1" applyFont="1" applyBorder="1" applyAlignment="1">
      <alignment horizontal="left" vertical="center" wrapText="1"/>
    </xf>
    <xf numFmtId="179" fontId="1" fillId="2" borderId="1" xfId="0" applyNumberFormat="1" applyFont="1" applyFill="1" applyBorder="1" applyAlignment="1">
      <alignment horizontal="left" vertical="center"/>
    </xf>
    <xf numFmtId="180" fontId="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workbookViewId="0">
      <selection activeCell="H18" sqref="H18"/>
    </sheetView>
  </sheetViews>
  <sheetFormatPr defaultColWidth="9" defaultRowHeight="13.8"/>
  <cols>
    <col min="3" max="4" width="9" style="1"/>
    <col min="5" max="5" width="25.5" style="1" customWidth="1"/>
    <col min="8" max="8" width="11.3796296296296" customWidth="1"/>
    <col min="9" max="9" width="14" customWidth="1"/>
    <col min="10" max="10" width="12.5" customWidth="1"/>
    <col min="11" max="11" width="24.3796296296296" customWidth="1"/>
    <col min="14" max="14" width="11.7777777777778"/>
    <col min="15" max="15" width="9.5" customWidth="1"/>
    <col min="17" max="17" width="12.8888888888889" customWidth="1"/>
    <col min="18" max="18" width="25.3796296296296" customWidth="1"/>
  </cols>
  <sheetData>
    <row r="1" spans="1:18">
      <c r="A1" s="2" t="s">
        <v>0</v>
      </c>
      <c r="B1" s="3"/>
      <c r="C1" s="3"/>
      <c r="D1" s="3"/>
      <c r="E1" s="3"/>
      <c r="G1" s="2" t="s">
        <v>1</v>
      </c>
      <c r="H1" s="3"/>
      <c r="I1" s="3"/>
      <c r="J1" s="3"/>
      <c r="K1" s="3"/>
      <c r="M1" s="2" t="s">
        <v>2</v>
      </c>
      <c r="N1" s="3"/>
      <c r="O1" s="3"/>
      <c r="P1" s="3"/>
      <c r="Q1" s="3"/>
      <c r="R1" s="3"/>
    </row>
    <row r="2" spans="1:18">
      <c r="A2" s="4" t="s">
        <v>3</v>
      </c>
      <c r="B2" s="4" t="s">
        <v>4</v>
      </c>
      <c r="C2" s="5" t="s">
        <v>5</v>
      </c>
      <c r="D2" s="5" t="s">
        <v>6</v>
      </c>
      <c r="E2" s="5" t="s">
        <v>7</v>
      </c>
      <c r="G2" s="4" t="s">
        <v>3</v>
      </c>
      <c r="H2" s="4" t="s">
        <v>4</v>
      </c>
      <c r="I2" s="5" t="s">
        <v>5</v>
      </c>
      <c r="J2" s="5" t="s">
        <v>6</v>
      </c>
      <c r="K2" s="5" t="s">
        <v>8</v>
      </c>
      <c r="M2" s="4" t="s">
        <v>3</v>
      </c>
      <c r="N2" s="4" t="s">
        <v>4</v>
      </c>
      <c r="O2" s="4" t="s">
        <v>9</v>
      </c>
      <c r="P2" s="5" t="s">
        <v>5</v>
      </c>
      <c r="Q2" s="5" t="s">
        <v>6</v>
      </c>
      <c r="R2" s="5" t="s">
        <v>10</v>
      </c>
    </row>
    <row r="3" spans="1:18">
      <c r="A3" s="6"/>
      <c r="B3" s="14"/>
      <c r="C3" s="15">
        <f>A3*0.6</f>
        <v>0</v>
      </c>
      <c r="D3" s="15">
        <f>5+B3*A3*2.5%</f>
        <v>5</v>
      </c>
      <c r="E3" s="15" t="str">
        <f>IF(A3="","",D3/A3)</f>
        <v/>
      </c>
      <c r="G3" s="6"/>
      <c r="H3" s="14"/>
      <c r="I3" s="15">
        <v>150</v>
      </c>
      <c r="J3" s="15">
        <f t="shared" ref="J3:J20" si="0">70+MIN(2000,H3*G3*1%)</f>
        <v>70</v>
      </c>
      <c r="K3" s="15" t="str">
        <f t="shared" ref="K3:K20" si="1">IF(G3="","",J3/G3)</f>
        <v/>
      </c>
      <c r="M3" s="6">
        <v>1</v>
      </c>
      <c r="N3" s="14">
        <v>260000</v>
      </c>
      <c r="O3" s="6">
        <v>14</v>
      </c>
      <c r="P3" s="15">
        <v>300</v>
      </c>
      <c r="Q3" s="15">
        <f>70*O3+MIN(2000,N3*M3*1%)</f>
        <v>2980</v>
      </c>
      <c r="R3" s="15">
        <f t="shared" ref="R3:R20" si="2">IF(M3="","",Q3/M3)</f>
        <v>2980</v>
      </c>
    </row>
    <row r="4" spans="1:18">
      <c r="A4" s="6"/>
      <c r="B4" s="14"/>
      <c r="C4" s="15">
        <f t="shared" ref="C4:C20" si="3">A4*0.6</f>
        <v>0</v>
      </c>
      <c r="D4" s="15">
        <f t="shared" ref="D4:D20" si="4">5+B4*A4*2.5%</f>
        <v>5</v>
      </c>
      <c r="E4" s="15" t="str">
        <f t="shared" ref="E4:E20" si="5">IF(A4="","",D4/A4)</f>
        <v/>
      </c>
      <c r="G4" s="6"/>
      <c r="H4" s="14"/>
      <c r="I4" s="15">
        <v>150</v>
      </c>
      <c r="J4" s="15">
        <f t="shared" si="0"/>
        <v>70</v>
      </c>
      <c r="K4" s="15" t="str">
        <f t="shared" si="1"/>
        <v/>
      </c>
      <c r="M4" s="6"/>
      <c r="N4" s="14"/>
      <c r="O4" s="6"/>
      <c r="P4" s="15">
        <v>300</v>
      </c>
      <c r="Q4" s="15">
        <f t="shared" ref="Q4:Q20" si="6">70*O4+MIN(2000,N4*M4*1%)</f>
        <v>0</v>
      </c>
      <c r="R4" s="15" t="str">
        <f t="shared" si="2"/>
        <v/>
      </c>
    </row>
    <row r="5" spans="1:18">
      <c r="A5" s="6"/>
      <c r="B5" s="14"/>
      <c r="C5" s="15">
        <f t="shared" si="3"/>
        <v>0</v>
      </c>
      <c r="D5" s="15">
        <f t="shared" si="4"/>
        <v>5</v>
      </c>
      <c r="E5" s="15" t="str">
        <f t="shared" si="5"/>
        <v/>
      </c>
      <c r="G5" s="6"/>
      <c r="H5" s="14"/>
      <c r="I5" s="15">
        <v>150</v>
      </c>
      <c r="J5" s="15">
        <f t="shared" si="0"/>
        <v>70</v>
      </c>
      <c r="K5" s="15" t="str">
        <f t="shared" si="1"/>
        <v/>
      </c>
      <c r="M5" s="6"/>
      <c r="N5" s="14"/>
      <c r="O5" s="6"/>
      <c r="P5" s="15">
        <v>300</v>
      </c>
      <c r="Q5" s="15">
        <f t="shared" si="6"/>
        <v>0</v>
      </c>
      <c r="R5" s="15" t="str">
        <f t="shared" si="2"/>
        <v/>
      </c>
    </row>
    <row r="6" spans="1:18">
      <c r="A6" s="6"/>
      <c r="B6" s="14"/>
      <c r="C6" s="15">
        <f t="shared" si="3"/>
        <v>0</v>
      </c>
      <c r="D6" s="15">
        <f t="shared" si="4"/>
        <v>5</v>
      </c>
      <c r="E6" s="15" t="str">
        <f t="shared" si="5"/>
        <v/>
      </c>
      <c r="G6" s="6"/>
      <c r="H6" s="14"/>
      <c r="I6" s="15">
        <v>150</v>
      </c>
      <c r="J6" s="15">
        <f t="shared" si="0"/>
        <v>70</v>
      </c>
      <c r="K6" s="15" t="str">
        <f t="shared" si="1"/>
        <v/>
      </c>
      <c r="M6" s="6"/>
      <c r="N6" s="14"/>
      <c r="O6" s="6"/>
      <c r="P6" s="15">
        <v>300</v>
      </c>
      <c r="Q6" s="15">
        <f t="shared" si="6"/>
        <v>0</v>
      </c>
      <c r="R6" s="15" t="str">
        <f t="shared" si="2"/>
        <v/>
      </c>
    </row>
    <row r="7" spans="1:18">
      <c r="A7" s="6"/>
      <c r="B7" s="14"/>
      <c r="C7" s="15">
        <f t="shared" si="3"/>
        <v>0</v>
      </c>
      <c r="D7" s="15">
        <f t="shared" si="4"/>
        <v>5</v>
      </c>
      <c r="E7" s="15" t="str">
        <f t="shared" si="5"/>
        <v/>
      </c>
      <c r="G7" s="6"/>
      <c r="H7" s="14"/>
      <c r="I7" s="15">
        <v>150</v>
      </c>
      <c r="J7" s="15">
        <f t="shared" si="0"/>
        <v>70</v>
      </c>
      <c r="K7" s="15" t="str">
        <f t="shared" si="1"/>
        <v/>
      </c>
      <c r="M7" s="6"/>
      <c r="N7" s="14"/>
      <c r="O7" s="6"/>
      <c r="P7" s="15">
        <v>300</v>
      </c>
      <c r="Q7" s="15">
        <f t="shared" si="6"/>
        <v>0</v>
      </c>
      <c r="R7" s="15" t="str">
        <f t="shared" si="2"/>
        <v/>
      </c>
    </row>
    <row r="8" spans="1:18">
      <c r="A8" s="6"/>
      <c r="B8" s="14"/>
      <c r="C8" s="15">
        <f t="shared" si="3"/>
        <v>0</v>
      </c>
      <c r="D8" s="15">
        <f t="shared" si="4"/>
        <v>5</v>
      </c>
      <c r="E8" s="15" t="str">
        <f t="shared" si="5"/>
        <v/>
      </c>
      <c r="G8" s="6"/>
      <c r="H8" s="14"/>
      <c r="I8" s="15">
        <v>150</v>
      </c>
      <c r="J8" s="15">
        <f t="shared" si="0"/>
        <v>70</v>
      </c>
      <c r="K8" s="15" t="str">
        <f t="shared" si="1"/>
        <v/>
      </c>
      <c r="M8" s="6"/>
      <c r="N8" s="14"/>
      <c r="O8" s="6"/>
      <c r="P8" s="15">
        <v>300</v>
      </c>
      <c r="Q8" s="15">
        <f t="shared" si="6"/>
        <v>0</v>
      </c>
      <c r="R8" s="15" t="str">
        <f t="shared" si="2"/>
        <v/>
      </c>
    </row>
    <row r="9" spans="1:18">
      <c r="A9" s="6"/>
      <c r="B9" s="14"/>
      <c r="C9" s="15">
        <f t="shared" si="3"/>
        <v>0</v>
      </c>
      <c r="D9" s="15">
        <f t="shared" si="4"/>
        <v>5</v>
      </c>
      <c r="E9" s="15" t="str">
        <f t="shared" si="5"/>
        <v/>
      </c>
      <c r="G9" s="6"/>
      <c r="H9" s="14"/>
      <c r="I9" s="15">
        <v>150</v>
      </c>
      <c r="J9" s="15">
        <f t="shared" si="0"/>
        <v>70</v>
      </c>
      <c r="K9" s="15" t="str">
        <f t="shared" si="1"/>
        <v/>
      </c>
      <c r="M9" s="6"/>
      <c r="N9" s="14"/>
      <c r="O9" s="6"/>
      <c r="P9" s="15">
        <v>300</v>
      </c>
      <c r="Q9" s="15">
        <f t="shared" si="6"/>
        <v>0</v>
      </c>
      <c r="R9" s="15" t="str">
        <f t="shared" si="2"/>
        <v/>
      </c>
    </row>
    <row r="10" spans="1:18">
      <c r="A10" s="6"/>
      <c r="B10" s="14"/>
      <c r="C10" s="15">
        <f t="shared" si="3"/>
        <v>0</v>
      </c>
      <c r="D10" s="15">
        <f t="shared" si="4"/>
        <v>5</v>
      </c>
      <c r="E10" s="15" t="str">
        <f t="shared" si="5"/>
        <v/>
      </c>
      <c r="G10" s="6"/>
      <c r="H10" s="14"/>
      <c r="I10" s="15">
        <v>150</v>
      </c>
      <c r="J10" s="15">
        <f t="shared" si="0"/>
        <v>70</v>
      </c>
      <c r="K10" s="15" t="str">
        <f t="shared" si="1"/>
        <v/>
      </c>
      <c r="M10" s="6"/>
      <c r="N10" s="14"/>
      <c r="O10" s="6"/>
      <c r="P10" s="15">
        <v>300</v>
      </c>
      <c r="Q10" s="15">
        <f t="shared" si="6"/>
        <v>0</v>
      </c>
      <c r="R10" s="15" t="str">
        <f t="shared" si="2"/>
        <v/>
      </c>
    </row>
    <row r="11" spans="1:18">
      <c r="A11" s="6"/>
      <c r="B11" s="14"/>
      <c r="C11" s="15">
        <f t="shared" si="3"/>
        <v>0</v>
      </c>
      <c r="D11" s="15">
        <f t="shared" si="4"/>
        <v>5</v>
      </c>
      <c r="E11" s="15" t="str">
        <f t="shared" si="5"/>
        <v/>
      </c>
      <c r="G11" s="6"/>
      <c r="H11" s="14"/>
      <c r="I11" s="15">
        <v>150</v>
      </c>
      <c r="J11" s="15">
        <f t="shared" si="0"/>
        <v>70</v>
      </c>
      <c r="K11" s="15" t="str">
        <f t="shared" si="1"/>
        <v/>
      </c>
      <c r="M11" s="6"/>
      <c r="N11" s="14"/>
      <c r="O11" s="6"/>
      <c r="P11" s="15">
        <v>300</v>
      </c>
      <c r="Q11" s="15">
        <f t="shared" si="6"/>
        <v>0</v>
      </c>
      <c r="R11" s="15" t="str">
        <f t="shared" si="2"/>
        <v/>
      </c>
    </row>
    <row r="12" spans="1:18">
      <c r="A12" s="6"/>
      <c r="B12" s="14"/>
      <c r="C12" s="15">
        <f t="shared" si="3"/>
        <v>0</v>
      </c>
      <c r="D12" s="15">
        <f t="shared" si="4"/>
        <v>5</v>
      </c>
      <c r="E12" s="15" t="str">
        <f t="shared" si="5"/>
        <v/>
      </c>
      <c r="G12" s="6"/>
      <c r="H12" s="14"/>
      <c r="I12" s="15">
        <v>150</v>
      </c>
      <c r="J12" s="15">
        <f t="shared" si="0"/>
        <v>70</v>
      </c>
      <c r="K12" s="15" t="str">
        <f t="shared" si="1"/>
        <v/>
      </c>
      <c r="M12" s="6"/>
      <c r="N12" s="14"/>
      <c r="O12" s="6"/>
      <c r="P12" s="15">
        <v>300</v>
      </c>
      <c r="Q12" s="15">
        <f t="shared" si="6"/>
        <v>0</v>
      </c>
      <c r="R12" s="15" t="str">
        <f t="shared" si="2"/>
        <v/>
      </c>
    </row>
    <row r="13" spans="1:18">
      <c r="A13" s="6"/>
      <c r="B13" s="14"/>
      <c r="C13" s="15">
        <f t="shared" si="3"/>
        <v>0</v>
      </c>
      <c r="D13" s="15">
        <f t="shared" si="4"/>
        <v>5</v>
      </c>
      <c r="E13" s="15" t="str">
        <f t="shared" si="5"/>
        <v/>
      </c>
      <c r="G13" s="6"/>
      <c r="H13" s="14"/>
      <c r="I13" s="15">
        <v>150</v>
      </c>
      <c r="J13" s="15">
        <f t="shared" si="0"/>
        <v>70</v>
      </c>
      <c r="K13" s="15" t="str">
        <f t="shared" si="1"/>
        <v/>
      </c>
      <c r="M13" s="6"/>
      <c r="N13" s="14"/>
      <c r="O13" s="6"/>
      <c r="P13" s="15">
        <v>300</v>
      </c>
      <c r="Q13" s="15">
        <f t="shared" si="6"/>
        <v>0</v>
      </c>
      <c r="R13" s="15" t="str">
        <f t="shared" si="2"/>
        <v/>
      </c>
    </row>
    <row r="14" spans="1:18">
      <c r="A14" s="6"/>
      <c r="B14" s="14"/>
      <c r="C14" s="15">
        <f t="shared" si="3"/>
        <v>0</v>
      </c>
      <c r="D14" s="15">
        <f t="shared" si="4"/>
        <v>5</v>
      </c>
      <c r="E14" s="15" t="str">
        <f t="shared" si="5"/>
        <v/>
      </c>
      <c r="G14" s="6"/>
      <c r="H14" s="14"/>
      <c r="I14" s="15">
        <v>150</v>
      </c>
      <c r="J14" s="15">
        <f t="shared" si="0"/>
        <v>70</v>
      </c>
      <c r="K14" s="15" t="str">
        <f t="shared" si="1"/>
        <v/>
      </c>
      <c r="M14" s="6"/>
      <c r="N14" s="14"/>
      <c r="O14" s="6"/>
      <c r="P14" s="15">
        <v>300</v>
      </c>
      <c r="Q14" s="15">
        <f t="shared" si="6"/>
        <v>0</v>
      </c>
      <c r="R14" s="15" t="str">
        <f t="shared" si="2"/>
        <v/>
      </c>
    </row>
    <row r="15" spans="1:18">
      <c r="A15" s="6"/>
      <c r="B15" s="14"/>
      <c r="C15" s="15">
        <f t="shared" si="3"/>
        <v>0</v>
      </c>
      <c r="D15" s="15">
        <f t="shared" si="4"/>
        <v>5</v>
      </c>
      <c r="E15" s="15" t="str">
        <f t="shared" si="5"/>
        <v/>
      </c>
      <c r="G15" s="6"/>
      <c r="H15" s="14"/>
      <c r="I15" s="15">
        <v>150</v>
      </c>
      <c r="J15" s="15">
        <f t="shared" si="0"/>
        <v>70</v>
      </c>
      <c r="K15" s="15" t="str">
        <f t="shared" si="1"/>
        <v/>
      </c>
      <c r="M15" s="6"/>
      <c r="N15" s="14"/>
      <c r="O15" s="6"/>
      <c r="P15" s="15">
        <v>300</v>
      </c>
      <c r="Q15" s="15">
        <f t="shared" si="6"/>
        <v>0</v>
      </c>
      <c r="R15" s="15" t="str">
        <f t="shared" si="2"/>
        <v/>
      </c>
    </row>
    <row r="16" spans="1:18">
      <c r="A16" s="6"/>
      <c r="B16" s="14"/>
      <c r="C16" s="15">
        <f t="shared" si="3"/>
        <v>0</v>
      </c>
      <c r="D16" s="15">
        <f t="shared" si="4"/>
        <v>5</v>
      </c>
      <c r="E16" s="15" t="str">
        <f t="shared" si="5"/>
        <v/>
      </c>
      <c r="G16" s="6"/>
      <c r="H16" s="14"/>
      <c r="I16" s="15">
        <v>150</v>
      </c>
      <c r="J16" s="15">
        <f t="shared" si="0"/>
        <v>70</v>
      </c>
      <c r="K16" s="15" t="str">
        <f t="shared" si="1"/>
        <v/>
      </c>
      <c r="M16" s="6"/>
      <c r="N16" s="14"/>
      <c r="O16" s="6"/>
      <c r="P16" s="15">
        <v>300</v>
      </c>
      <c r="Q16" s="15">
        <f t="shared" si="6"/>
        <v>0</v>
      </c>
      <c r="R16" s="15" t="str">
        <f t="shared" si="2"/>
        <v/>
      </c>
    </row>
    <row r="17" spans="1:18">
      <c r="A17" s="6"/>
      <c r="B17" s="14"/>
      <c r="C17" s="15">
        <f t="shared" si="3"/>
        <v>0</v>
      </c>
      <c r="D17" s="15">
        <f t="shared" si="4"/>
        <v>5</v>
      </c>
      <c r="E17" s="15" t="str">
        <f t="shared" si="5"/>
        <v/>
      </c>
      <c r="G17" s="6"/>
      <c r="H17" s="14"/>
      <c r="I17" s="15">
        <v>150</v>
      </c>
      <c r="J17" s="15">
        <f t="shared" si="0"/>
        <v>70</v>
      </c>
      <c r="K17" s="15" t="str">
        <f t="shared" si="1"/>
        <v/>
      </c>
      <c r="M17" s="6"/>
      <c r="N17" s="14"/>
      <c r="O17" s="6"/>
      <c r="P17" s="15">
        <v>300</v>
      </c>
      <c r="Q17" s="15">
        <f t="shared" si="6"/>
        <v>0</v>
      </c>
      <c r="R17" s="15" t="str">
        <f t="shared" si="2"/>
        <v/>
      </c>
    </row>
    <row r="18" spans="1:18">
      <c r="A18" s="6"/>
      <c r="B18" s="14"/>
      <c r="C18" s="15">
        <f t="shared" si="3"/>
        <v>0</v>
      </c>
      <c r="D18" s="15">
        <f t="shared" si="4"/>
        <v>5</v>
      </c>
      <c r="E18" s="15" t="str">
        <f t="shared" si="5"/>
        <v/>
      </c>
      <c r="G18" s="6"/>
      <c r="H18" s="14"/>
      <c r="I18" s="15">
        <v>150</v>
      </c>
      <c r="J18" s="15">
        <f t="shared" si="0"/>
        <v>70</v>
      </c>
      <c r="K18" s="15" t="str">
        <f t="shared" si="1"/>
        <v/>
      </c>
      <c r="M18" s="6"/>
      <c r="N18" s="14"/>
      <c r="O18" s="6"/>
      <c r="P18" s="15">
        <v>300</v>
      </c>
      <c r="Q18" s="15">
        <f t="shared" si="6"/>
        <v>0</v>
      </c>
      <c r="R18" s="15" t="str">
        <f t="shared" si="2"/>
        <v/>
      </c>
    </row>
    <row r="19" spans="1:18">
      <c r="A19" s="6"/>
      <c r="B19" s="14"/>
      <c r="C19" s="15">
        <f t="shared" si="3"/>
        <v>0</v>
      </c>
      <c r="D19" s="15">
        <f t="shared" si="4"/>
        <v>5</v>
      </c>
      <c r="E19" s="15" t="str">
        <f t="shared" si="5"/>
        <v/>
      </c>
      <c r="G19" s="6"/>
      <c r="H19" s="14"/>
      <c r="I19" s="15">
        <v>150</v>
      </c>
      <c r="J19" s="15">
        <f t="shared" si="0"/>
        <v>70</v>
      </c>
      <c r="K19" s="15" t="str">
        <f t="shared" si="1"/>
        <v/>
      </c>
      <c r="M19" s="6"/>
      <c r="N19" s="14"/>
      <c r="O19" s="6"/>
      <c r="P19" s="15">
        <v>300</v>
      </c>
      <c r="Q19" s="15">
        <f t="shared" si="6"/>
        <v>0</v>
      </c>
      <c r="R19" s="15" t="str">
        <f t="shared" si="2"/>
        <v/>
      </c>
    </row>
    <row r="20" spans="1:18">
      <c r="A20" s="6"/>
      <c r="B20" s="14"/>
      <c r="C20" s="15">
        <f t="shared" si="3"/>
        <v>0</v>
      </c>
      <c r="D20" s="15">
        <f t="shared" si="4"/>
        <v>5</v>
      </c>
      <c r="E20" s="15" t="str">
        <f t="shared" si="5"/>
        <v/>
      </c>
      <c r="G20" s="6"/>
      <c r="H20" s="14"/>
      <c r="I20" s="15">
        <v>150</v>
      </c>
      <c r="J20" s="15">
        <f t="shared" si="0"/>
        <v>70</v>
      </c>
      <c r="K20" s="15" t="str">
        <f t="shared" si="1"/>
        <v/>
      </c>
      <c r="M20" s="6"/>
      <c r="N20" s="14"/>
      <c r="O20" s="6"/>
      <c r="P20" s="15">
        <v>300</v>
      </c>
      <c r="Q20" s="15">
        <f t="shared" si="6"/>
        <v>0</v>
      </c>
      <c r="R20" s="15" t="str">
        <f t="shared" si="2"/>
        <v/>
      </c>
    </row>
  </sheetData>
  <mergeCells count="3">
    <mergeCell ref="A1:E1"/>
    <mergeCell ref="G1:K1"/>
    <mergeCell ref="M1:R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workbookViewId="0">
      <selection activeCell="D3" sqref="D3"/>
    </sheetView>
  </sheetViews>
  <sheetFormatPr defaultColWidth="9" defaultRowHeight="13.8"/>
  <cols>
    <col min="3" max="4" width="9" style="1"/>
    <col min="5" max="5" width="25.5" style="1" customWidth="1"/>
    <col min="8" max="8" width="11.3796296296296" customWidth="1"/>
    <col min="9" max="9" width="14" customWidth="1"/>
    <col min="10" max="10" width="12.5" customWidth="1"/>
    <col min="11" max="11" width="24.3796296296296" customWidth="1"/>
    <col min="15" max="15" width="9.5" customWidth="1"/>
    <col min="16" max="16" width="9.33333333333333"/>
    <col min="18" max="18" width="25.3796296296296" customWidth="1"/>
  </cols>
  <sheetData>
    <row r="1" customFormat="1" spans="1:18">
      <c r="A1" s="2" t="s">
        <v>0</v>
      </c>
      <c r="B1" s="3"/>
      <c r="C1" s="3"/>
      <c r="D1" s="3"/>
      <c r="E1" s="3"/>
      <c r="G1" s="2" t="s">
        <v>1</v>
      </c>
      <c r="H1" s="3"/>
      <c r="I1" s="3"/>
      <c r="J1" s="3"/>
      <c r="K1" s="3"/>
      <c r="M1" s="2" t="s">
        <v>2</v>
      </c>
      <c r="N1" s="3"/>
      <c r="O1" s="3"/>
      <c r="P1" s="3"/>
      <c r="Q1" s="3"/>
      <c r="R1" s="3"/>
    </row>
    <row r="2" spans="1:18">
      <c r="A2" s="4" t="s">
        <v>3</v>
      </c>
      <c r="B2" s="4" t="s">
        <v>4</v>
      </c>
      <c r="C2" s="5" t="s">
        <v>5</v>
      </c>
      <c r="D2" s="5" t="s">
        <v>6</v>
      </c>
      <c r="E2" s="5" t="s">
        <v>7</v>
      </c>
      <c r="G2" s="4" t="s">
        <v>3</v>
      </c>
      <c r="H2" s="4" t="s">
        <v>4</v>
      </c>
      <c r="I2" s="5" t="s">
        <v>5</v>
      </c>
      <c r="J2" s="5" t="s">
        <v>6</v>
      </c>
      <c r="K2" s="5" t="s">
        <v>8</v>
      </c>
      <c r="M2" s="4" t="s">
        <v>3</v>
      </c>
      <c r="N2" s="4" t="s">
        <v>4</v>
      </c>
      <c r="O2" s="4" t="s">
        <v>9</v>
      </c>
      <c r="P2" s="5" t="s">
        <v>5</v>
      </c>
      <c r="Q2" s="5" t="s">
        <v>6</v>
      </c>
      <c r="R2" s="5" t="s">
        <v>10</v>
      </c>
    </row>
    <row r="3" spans="1:18">
      <c r="A3" s="6"/>
      <c r="B3" s="11"/>
      <c r="C3" s="12">
        <f t="shared" ref="C3:C20" si="0">A3*0.5</f>
        <v>0</v>
      </c>
      <c r="D3" s="12">
        <f t="shared" ref="D3:D20" si="1">4+B3*A3*1.5%</f>
        <v>4</v>
      </c>
      <c r="E3" s="12" t="str">
        <f>IF(A3="","",D3/A3)</f>
        <v/>
      </c>
      <c r="G3" s="6"/>
      <c r="H3" s="11"/>
      <c r="I3" s="12">
        <v>35</v>
      </c>
      <c r="J3" s="13">
        <f>4+MIN(500,H3*G3*0.75%)</f>
        <v>4</v>
      </c>
      <c r="K3" s="12" t="str">
        <f t="shared" ref="K3:K20" si="2">IF(G3="","",J3/G3)</f>
        <v/>
      </c>
      <c r="M3" s="6"/>
      <c r="N3" s="11"/>
      <c r="O3" s="6"/>
      <c r="P3" s="12">
        <v>70</v>
      </c>
      <c r="Q3" s="13">
        <f t="shared" ref="Q3:Q20" si="3">4*O3+MIN(500,N3*M3*0.75%)</f>
        <v>0</v>
      </c>
      <c r="R3" s="12" t="str">
        <f t="shared" ref="R3:R20" si="4">IF(M3="","",Q3/M3)</f>
        <v/>
      </c>
    </row>
    <row r="4" spans="1:18">
      <c r="A4" s="6"/>
      <c r="B4" s="11"/>
      <c r="C4" s="12">
        <f t="shared" si="0"/>
        <v>0</v>
      </c>
      <c r="D4" s="12">
        <f t="shared" si="1"/>
        <v>4</v>
      </c>
      <c r="E4" s="12" t="str">
        <f t="shared" ref="E3:E20" si="5">IF(A4="","",D4/A4)</f>
        <v/>
      </c>
      <c r="G4" s="6"/>
      <c r="H4" s="11"/>
      <c r="I4" s="12">
        <v>35</v>
      </c>
      <c r="J4" s="13">
        <f t="shared" ref="J3:J20" si="6">4+MIN(500,H4*G4*0.75%)</f>
        <v>4</v>
      </c>
      <c r="K4" s="12" t="str">
        <f t="shared" si="2"/>
        <v/>
      </c>
      <c r="M4" s="6"/>
      <c r="N4" s="11"/>
      <c r="O4" s="6"/>
      <c r="P4" s="12">
        <v>70</v>
      </c>
      <c r="Q4" s="13">
        <f t="shared" si="3"/>
        <v>0</v>
      </c>
      <c r="R4" s="12" t="str">
        <f t="shared" si="4"/>
        <v/>
      </c>
    </row>
    <row r="5" spans="1:18">
      <c r="A5" s="6"/>
      <c r="B5" s="11"/>
      <c r="C5" s="12">
        <f t="shared" si="0"/>
        <v>0</v>
      </c>
      <c r="D5" s="12">
        <f t="shared" si="1"/>
        <v>4</v>
      </c>
      <c r="E5" s="12" t="str">
        <f t="shared" si="5"/>
        <v/>
      </c>
      <c r="G5" s="6"/>
      <c r="H5" s="11"/>
      <c r="I5" s="12">
        <v>35</v>
      </c>
      <c r="J5" s="13">
        <f t="shared" si="6"/>
        <v>4</v>
      </c>
      <c r="K5" s="12" t="str">
        <f t="shared" si="2"/>
        <v/>
      </c>
      <c r="M5" s="6"/>
      <c r="N5" s="11"/>
      <c r="O5" s="6"/>
      <c r="P5" s="12">
        <v>70</v>
      </c>
      <c r="Q5" s="13">
        <f t="shared" si="3"/>
        <v>0</v>
      </c>
      <c r="R5" s="12" t="str">
        <f t="shared" si="4"/>
        <v/>
      </c>
    </row>
    <row r="6" spans="1:18">
      <c r="A6" s="6"/>
      <c r="B6" s="11"/>
      <c r="C6" s="12">
        <f t="shared" si="0"/>
        <v>0</v>
      </c>
      <c r="D6" s="12">
        <f t="shared" si="1"/>
        <v>4</v>
      </c>
      <c r="E6" s="12" t="str">
        <f t="shared" si="5"/>
        <v/>
      </c>
      <c r="G6" s="6"/>
      <c r="H6" s="11"/>
      <c r="I6" s="12">
        <v>35</v>
      </c>
      <c r="J6" s="13">
        <f t="shared" si="6"/>
        <v>4</v>
      </c>
      <c r="K6" s="12" t="str">
        <f t="shared" si="2"/>
        <v/>
      </c>
      <c r="M6" s="6"/>
      <c r="N6" s="11"/>
      <c r="O6" s="6"/>
      <c r="P6" s="12">
        <v>70</v>
      </c>
      <c r="Q6" s="13">
        <f t="shared" si="3"/>
        <v>0</v>
      </c>
      <c r="R6" s="12" t="str">
        <f t="shared" si="4"/>
        <v/>
      </c>
    </row>
    <row r="7" spans="1:18">
      <c r="A7" s="6"/>
      <c r="B7" s="11"/>
      <c r="C7" s="12">
        <f t="shared" si="0"/>
        <v>0</v>
      </c>
      <c r="D7" s="12">
        <f t="shared" si="1"/>
        <v>4</v>
      </c>
      <c r="E7" s="12" t="str">
        <f t="shared" si="5"/>
        <v/>
      </c>
      <c r="G7" s="6"/>
      <c r="H7" s="11"/>
      <c r="I7" s="12">
        <v>35</v>
      </c>
      <c r="J7" s="13">
        <f t="shared" si="6"/>
        <v>4</v>
      </c>
      <c r="K7" s="12" t="str">
        <f t="shared" si="2"/>
        <v/>
      </c>
      <c r="M7" s="6"/>
      <c r="N7" s="11"/>
      <c r="O7" s="6"/>
      <c r="P7" s="12">
        <v>70</v>
      </c>
      <c r="Q7" s="13">
        <f t="shared" si="3"/>
        <v>0</v>
      </c>
      <c r="R7" s="12" t="str">
        <f t="shared" si="4"/>
        <v/>
      </c>
    </row>
    <row r="8" spans="1:18">
      <c r="A8" s="6"/>
      <c r="B8" s="11"/>
      <c r="C8" s="12">
        <f t="shared" si="0"/>
        <v>0</v>
      </c>
      <c r="D8" s="12">
        <f t="shared" si="1"/>
        <v>4</v>
      </c>
      <c r="E8" s="12" t="str">
        <f t="shared" si="5"/>
        <v/>
      </c>
      <c r="G8" s="6"/>
      <c r="H8" s="11"/>
      <c r="I8" s="12">
        <v>35</v>
      </c>
      <c r="J8" s="13">
        <f t="shared" si="6"/>
        <v>4</v>
      </c>
      <c r="K8" s="12" t="str">
        <f t="shared" si="2"/>
        <v/>
      </c>
      <c r="M8" s="6"/>
      <c r="N8" s="11"/>
      <c r="O8" s="6"/>
      <c r="P8" s="12">
        <v>70</v>
      </c>
      <c r="Q8" s="13">
        <f t="shared" si="3"/>
        <v>0</v>
      </c>
      <c r="R8" s="12" t="str">
        <f t="shared" si="4"/>
        <v/>
      </c>
    </row>
    <row r="9" spans="1:18">
      <c r="A9" s="6"/>
      <c r="B9" s="11"/>
      <c r="C9" s="12">
        <f t="shared" si="0"/>
        <v>0</v>
      </c>
      <c r="D9" s="12">
        <f t="shared" si="1"/>
        <v>4</v>
      </c>
      <c r="E9" s="12" t="str">
        <f t="shared" si="5"/>
        <v/>
      </c>
      <c r="G9" s="6"/>
      <c r="H9" s="11"/>
      <c r="I9" s="12">
        <v>35</v>
      </c>
      <c r="J9" s="13">
        <f t="shared" si="6"/>
        <v>4</v>
      </c>
      <c r="K9" s="12" t="str">
        <f t="shared" si="2"/>
        <v/>
      </c>
      <c r="M9" s="6"/>
      <c r="N9" s="11"/>
      <c r="O9" s="6"/>
      <c r="P9" s="12">
        <v>70</v>
      </c>
      <c r="Q9" s="13">
        <f t="shared" si="3"/>
        <v>0</v>
      </c>
      <c r="R9" s="12" t="str">
        <f t="shared" si="4"/>
        <v/>
      </c>
    </row>
    <row r="10" spans="1:18">
      <c r="A10" s="6"/>
      <c r="B10" s="11"/>
      <c r="C10" s="12">
        <f t="shared" si="0"/>
        <v>0</v>
      </c>
      <c r="D10" s="12">
        <f t="shared" si="1"/>
        <v>4</v>
      </c>
      <c r="E10" s="12" t="str">
        <f t="shared" si="5"/>
        <v/>
      </c>
      <c r="G10" s="6"/>
      <c r="H10" s="11"/>
      <c r="I10" s="12">
        <v>35</v>
      </c>
      <c r="J10" s="13">
        <f t="shared" si="6"/>
        <v>4</v>
      </c>
      <c r="K10" s="12" t="str">
        <f t="shared" si="2"/>
        <v/>
      </c>
      <c r="M10" s="6"/>
      <c r="N10" s="11"/>
      <c r="O10" s="6"/>
      <c r="P10" s="12">
        <v>70</v>
      </c>
      <c r="Q10" s="13">
        <f t="shared" si="3"/>
        <v>0</v>
      </c>
      <c r="R10" s="12" t="str">
        <f t="shared" si="4"/>
        <v/>
      </c>
    </row>
    <row r="11" spans="1:18">
      <c r="A11" s="6"/>
      <c r="B11" s="11"/>
      <c r="C11" s="12">
        <f t="shared" si="0"/>
        <v>0</v>
      </c>
      <c r="D11" s="12">
        <f t="shared" si="1"/>
        <v>4</v>
      </c>
      <c r="E11" s="12" t="str">
        <f t="shared" si="5"/>
        <v/>
      </c>
      <c r="G11" s="6"/>
      <c r="H11" s="11"/>
      <c r="I11" s="12">
        <v>35</v>
      </c>
      <c r="J11" s="13">
        <f t="shared" si="6"/>
        <v>4</v>
      </c>
      <c r="K11" s="12" t="str">
        <f t="shared" si="2"/>
        <v/>
      </c>
      <c r="M11" s="6"/>
      <c r="N11" s="11"/>
      <c r="O11" s="6"/>
      <c r="P11" s="12">
        <v>70</v>
      </c>
      <c r="Q11" s="13">
        <f t="shared" si="3"/>
        <v>0</v>
      </c>
      <c r="R11" s="12" t="str">
        <f t="shared" si="4"/>
        <v/>
      </c>
    </row>
    <row r="12" spans="1:18">
      <c r="A12" s="6"/>
      <c r="B12" s="11"/>
      <c r="C12" s="12">
        <f t="shared" si="0"/>
        <v>0</v>
      </c>
      <c r="D12" s="12">
        <f t="shared" si="1"/>
        <v>4</v>
      </c>
      <c r="E12" s="12" t="str">
        <f t="shared" si="5"/>
        <v/>
      </c>
      <c r="G12" s="6"/>
      <c r="H12" s="11"/>
      <c r="I12" s="12">
        <v>35</v>
      </c>
      <c r="J12" s="13">
        <f t="shared" si="6"/>
        <v>4</v>
      </c>
      <c r="K12" s="12" t="str">
        <f t="shared" si="2"/>
        <v/>
      </c>
      <c r="M12" s="6"/>
      <c r="N12" s="11"/>
      <c r="O12" s="6"/>
      <c r="P12" s="12">
        <v>70</v>
      </c>
      <c r="Q12" s="13">
        <f t="shared" si="3"/>
        <v>0</v>
      </c>
      <c r="R12" s="12" t="str">
        <f t="shared" si="4"/>
        <v/>
      </c>
    </row>
    <row r="13" spans="1:18">
      <c r="A13" s="6"/>
      <c r="B13" s="11"/>
      <c r="C13" s="12">
        <f t="shared" si="0"/>
        <v>0</v>
      </c>
      <c r="D13" s="12">
        <f t="shared" si="1"/>
        <v>4</v>
      </c>
      <c r="E13" s="12" t="str">
        <f t="shared" si="5"/>
        <v/>
      </c>
      <c r="G13" s="6"/>
      <c r="H13" s="11"/>
      <c r="I13" s="12">
        <v>35</v>
      </c>
      <c r="J13" s="13">
        <f t="shared" si="6"/>
        <v>4</v>
      </c>
      <c r="K13" s="12" t="str">
        <f t="shared" si="2"/>
        <v/>
      </c>
      <c r="M13" s="6"/>
      <c r="N13" s="11"/>
      <c r="O13" s="6"/>
      <c r="P13" s="12">
        <v>70</v>
      </c>
      <c r="Q13" s="13">
        <f t="shared" si="3"/>
        <v>0</v>
      </c>
      <c r="R13" s="12" t="str">
        <f t="shared" si="4"/>
        <v/>
      </c>
    </row>
    <row r="14" spans="1:18">
      <c r="A14" s="6"/>
      <c r="B14" s="11"/>
      <c r="C14" s="12">
        <f t="shared" si="0"/>
        <v>0</v>
      </c>
      <c r="D14" s="12">
        <f t="shared" si="1"/>
        <v>4</v>
      </c>
      <c r="E14" s="12" t="str">
        <f t="shared" si="5"/>
        <v/>
      </c>
      <c r="G14" s="6"/>
      <c r="H14" s="11"/>
      <c r="I14" s="12">
        <v>35</v>
      </c>
      <c r="J14" s="13">
        <f t="shared" si="6"/>
        <v>4</v>
      </c>
      <c r="K14" s="12" t="str">
        <f t="shared" si="2"/>
        <v/>
      </c>
      <c r="M14" s="6"/>
      <c r="N14" s="11"/>
      <c r="O14" s="6"/>
      <c r="P14" s="12">
        <v>70</v>
      </c>
      <c r="Q14" s="13">
        <f t="shared" si="3"/>
        <v>0</v>
      </c>
      <c r="R14" s="12" t="str">
        <f t="shared" si="4"/>
        <v/>
      </c>
    </row>
    <row r="15" spans="1:18">
      <c r="A15" s="6"/>
      <c r="B15" s="11"/>
      <c r="C15" s="12">
        <f t="shared" si="0"/>
        <v>0</v>
      </c>
      <c r="D15" s="12">
        <f t="shared" si="1"/>
        <v>4</v>
      </c>
      <c r="E15" s="12" t="str">
        <f t="shared" si="5"/>
        <v/>
      </c>
      <c r="G15" s="6"/>
      <c r="H15" s="11"/>
      <c r="I15" s="12">
        <v>35</v>
      </c>
      <c r="J15" s="13">
        <f t="shared" si="6"/>
        <v>4</v>
      </c>
      <c r="K15" s="12" t="str">
        <f t="shared" si="2"/>
        <v/>
      </c>
      <c r="M15" s="6"/>
      <c r="N15" s="11"/>
      <c r="O15" s="6"/>
      <c r="P15" s="12">
        <v>70</v>
      </c>
      <c r="Q15" s="13">
        <f t="shared" si="3"/>
        <v>0</v>
      </c>
      <c r="R15" s="12" t="str">
        <f t="shared" si="4"/>
        <v/>
      </c>
    </row>
    <row r="16" spans="1:18">
      <c r="A16" s="6"/>
      <c r="B16" s="11"/>
      <c r="C16" s="12">
        <f t="shared" si="0"/>
        <v>0</v>
      </c>
      <c r="D16" s="12">
        <f t="shared" si="1"/>
        <v>4</v>
      </c>
      <c r="E16" s="12" t="str">
        <f t="shared" si="5"/>
        <v/>
      </c>
      <c r="G16" s="6"/>
      <c r="H16" s="11"/>
      <c r="I16" s="12">
        <v>35</v>
      </c>
      <c r="J16" s="13">
        <f t="shared" si="6"/>
        <v>4</v>
      </c>
      <c r="K16" s="12" t="str">
        <f t="shared" si="2"/>
        <v/>
      </c>
      <c r="M16" s="6"/>
      <c r="N16" s="11"/>
      <c r="O16" s="6"/>
      <c r="P16" s="12">
        <v>70</v>
      </c>
      <c r="Q16" s="13">
        <f t="shared" si="3"/>
        <v>0</v>
      </c>
      <c r="R16" s="12" t="str">
        <f t="shared" si="4"/>
        <v/>
      </c>
    </row>
    <row r="17" spans="1:18">
      <c r="A17" s="6"/>
      <c r="B17" s="11"/>
      <c r="C17" s="12">
        <f t="shared" si="0"/>
        <v>0</v>
      </c>
      <c r="D17" s="12">
        <f t="shared" si="1"/>
        <v>4</v>
      </c>
      <c r="E17" s="12" t="str">
        <f t="shared" si="5"/>
        <v/>
      </c>
      <c r="G17" s="6"/>
      <c r="H17" s="11"/>
      <c r="I17" s="12">
        <v>35</v>
      </c>
      <c r="J17" s="13">
        <f t="shared" si="6"/>
        <v>4</v>
      </c>
      <c r="K17" s="12" t="str">
        <f t="shared" si="2"/>
        <v/>
      </c>
      <c r="M17" s="6"/>
      <c r="N17" s="11"/>
      <c r="O17" s="6"/>
      <c r="P17" s="12">
        <v>70</v>
      </c>
      <c r="Q17" s="13">
        <f t="shared" si="3"/>
        <v>0</v>
      </c>
      <c r="R17" s="12" t="str">
        <f t="shared" si="4"/>
        <v/>
      </c>
    </row>
    <row r="18" spans="1:18">
      <c r="A18" s="6"/>
      <c r="B18" s="11"/>
      <c r="C18" s="12">
        <f t="shared" si="0"/>
        <v>0</v>
      </c>
      <c r="D18" s="12">
        <f t="shared" si="1"/>
        <v>4</v>
      </c>
      <c r="E18" s="12" t="str">
        <f t="shared" si="5"/>
        <v/>
      </c>
      <c r="G18" s="6"/>
      <c r="H18" s="11"/>
      <c r="I18" s="12">
        <v>35</v>
      </c>
      <c r="J18" s="13">
        <f t="shared" si="6"/>
        <v>4</v>
      </c>
      <c r="K18" s="12" t="str">
        <f t="shared" si="2"/>
        <v/>
      </c>
      <c r="M18" s="6"/>
      <c r="N18" s="11"/>
      <c r="O18" s="6"/>
      <c r="P18" s="12">
        <v>70</v>
      </c>
      <c r="Q18" s="13">
        <f t="shared" si="3"/>
        <v>0</v>
      </c>
      <c r="R18" s="12" t="str">
        <f t="shared" si="4"/>
        <v/>
      </c>
    </row>
    <row r="19" spans="1:18">
      <c r="A19" s="6"/>
      <c r="B19" s="11"/>
      <c r="C19" s="12">
        <f t="shared" si="0"/>
        <v>0</v>
      </c>
      <c r="D19" s="12">
        <f t="shared" si="1"/>
        <v>4</v>
      </c>
      <c r="E19" s="12" t="str">
        <f t="shared" si="5"/>
        <v/>
      </c>
      <c r="G19" s="6"/>
      <c r="H19" s="11"/>
      <c r="I19" s="12">
        <v>35</v>
      </c>
      <c r="J19" s="13">
        <f t="shared" si="6"/>
        <v>4</v>
      </c>
      <c r="K19" s="12" t="str">
        <f t="shared" si="2"/>
        <v/>
      </c>
      <c r="M19" s="6"/>
      <c r="N19" s="11"/>
      <c r="O19" s="6"/>
      <c r="P19" s="12">
        <v>70</v>
      </c>
      <c r="Q19" s="13">
        <f t="shared" si="3"/>
        <v>0</v>
      </c>
      <c r="R19" s="12" t="str">
        <f t="shared" si="4"/>
        <v/>
      </c>
    </row>
    <row r="20" spans="1:18">
      <c r="A20" s="6"/>
      <c r="B20" s="11"/>
      <c r="C20" s="12">
        <f t="shared" si="0"/>
        <v>0</v>
      </c>
      <c r="D20" s="12">
        <f t="shared" si="1"/>
        <v>4</v>
      </c>
      <c r="E20" s="12" t="str">
        <f t="shared" si="5"/>
        <v/>
      </c>
      <c r="G20" s="6"/>
      <c r="H20" s="11"/>
      <c r="I20" s="12">
        <v>35</v>
      </c>
      <c r="J20" s="13">
        <f t="shared" si="6"/>
        <v>4</v>
      </c>
      <c r="K20" s="12" t="str">
        <f t="shared" si="2"/>
        <v/>
      </c>
      <c r="M20" s="6"/>
      <c r="N20" s="11"/>
      <c r="O20" s="6"/>
      <c r="P20" s="12">
        <v>70</v>
      </c>
      <c r="Q20" s="13">
        <f t="shared" si="3"/>
        <v>0</v>
      </c>
      <c r="R20" s="12" t="str">
        <f t="shared" si="4"/>
        <v/>
      </c>
    </row>
  </sheetData>
  <mergeCells count="3">
    <mergeCell ref="A1:E1"/>
    <mergeCell ref="G1:K1"/>
    <mergeCell ref="M1:R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workbookViewId="0">
      <selection activeCell="E23" sqref="E23"/>
    </sheetView>
  </sheetViews>
  <sheetFormatPr defaultColWidth="9" defaultRowHeight="13.8"/>
  <cols>
    <col min="3" max="4" width="9" style="1"/>
    <col min="5" max="5" width="25.5" style="1" customWidth="1"/>
    <col min="8" max="8" width="11.3796296296296" customWidth="1"/>
    <col min="9" max="9" width="14" customWidth="1"/>
    <col min="10" max="10" width="12.5" customWidth="1"/>
    <col min="11" max="11" width="24.3796296296296" customWidth="1"/>
    <col min="15" max="15" width="9.5" customWidth="1"/>
    <col min="16" max="16" width="9.33333333333333"/>
    <col min="18" max="18" width="25.3796296296296" customWidth="1"/>
  </cols>
  <sheetData>
    <row r="1" customFormat="1" spans="1:18">
      <c r="A1" s="2" t="s">
        <v>0</v>
      </c>
      <c r="B1" s="3"/>
      <c r="C1" s="3"/>
      <c r="D1" s="3"/>
      <c r="E1" s="3"/>
      <c r="G1" s="2" t="s">
        <v>1</v>
      </c>
      <c r="H1" s="3"/>
      <c r="I1" s="3"/>
      <c r="J1" s="3"/>
      <c r="K1" s="3"/>
      <c r="M1" s="2" t="s">
        <v>2</v>
      </c>
      <c r="N1" s="3"/>
      <c r="O1" s="3"/>
      <c r="P1" s="3"/>
      <c r="Q1" s="3"/>
      <c r="R1" s="3"/>
    </row>
    <row r="2" spans="1:18">
      <c r="A2" s="4" t="s">
        <v>3</v>
      </c>
      <c r="B2" s="4" t="s">
        <v>4</v>
      </c>
      <c r="C2" s="5" t="s">
        <v>5</v>
      </c>
      <c r="D2" s="5" t="s">
        <v>6</v>
      </c>
      <c r="E2" s="5" t="s">
        <v>7</v>
      </c>
      <c r="G2" s="4" t="s">
        <v>3</v>
      </c>
      <c r="H2" s="4" t="s">
        <v>4</v>
      </c>
      <c r="I2" s="5" t="s">
        <v>5</v>
      </c>
      <c r="J2" s="5" t="s">
        <v>6</v>
      </c>
      <c r="K2" s="5" t="s">
        <v>8</v>
      </c>
      <c r="M2" s="4" t="s">
        <v>3</v>
      </c>
      <c r="N2" s="4" t="s">
        <v>4</v>
      </c>
      <c r="O2" s="4" t="s">
        <v>9</v>
      </c>
      <c r="P2" s="5" t="s">
        <v>5</v>
      </c>
      <c r="Q2" s="5" t="s">
        <v>6</v>
      </c>
      <c r="R2" s="5" t="s">
        <v>10</v>
      </c>
    </row>
    <row r="3" spans="1:18">
      <c r="A3" s="6"/>
      <c r="B3" s="11"/>
      <c r="C3" s="12">
        <f t="shared" ref="C3:C20" si="0">A3*0.5</f>
        <v>0</v>
      </c>
      <c r="D3" s="12">
        <f>2+B3*A3*1%</f>
        <v>2</v>
      </c>
      <c r="E3" s="12" t="str">
        <f t="shared" ref="E3:E20" si="1">IF(A3="","",D3/A3)</f>
        <v/>
      </c>
      <c r="G3" s="6"/>
      <c r="H3" s="11"/>
      <c r="I3" s="12">
        <v>20</v>
      </c>
      <c r="J3" s="13">
        <f t="shared" ref="J3:J20" si="2">2.5+MIN(400,H3*G3*0.5%)</f>
        <v>2.5</v>
      </c>
      <c r="K3" s="12" t="str">
        <f t="shared" ref="K3:K20" si="3">IF(G3="","",J3/G3)</f>
        <v/>
      </c>
      <c r="M3" s="6"/>
      <c r="N3" s="11"/>
      <c r="O3" s="6"/>
      <c r="P3" s="12">
        <v>40</v>
      </c>
      <c r="Q3" s="13">
        <f t="shared" ref="Q3:Q20" si="4">2.5*O3+MIN(400,N3*M3*0.5%)</f>
        <v>0</v>
      </c>
      <c r="R3" s="12" t="str">
        <f t="shared" ref="R3:R20" si="5">IF(M3="","",Q3/M3)</f>
        <v/>
      </c>
    </row>
    <row r="4" spans="1:18">
      <c r="A4" s="6"/>
      <c r="B4" s="11"/>
      <c r="C4" s="12">
        <f t="shared" si="0"/>
        <v>0</v>
      </c>
      <c r="D4" s="12">
        <f t="shared" ref="D4:D20" si="6">2+B4*A4*1%</f>
        <v>2</v>
      </c>
      <c r="E4" s="12" t="str">
        <f t="shared" si="1"/>
        <v/>
      </c>
      <c r="G4" s="6"/>
      <c r="H4" s="11"/>
      <c r="I4" s="12">
        <v>20</v>
      </c>
      <c r="J4" s="13">
        <f t="shared" si="2"/>
        <v>2.5</v>
      </c>
      <c r="K4" s="12" t="str">
        <f t="shared" si="3"/>
        <v/>
      </c>
      <c r="M4" s="6"/>
      <c r="N4" s="11"/>
      <c r="O4" s="6"/>
      <c r="P4" s="12">
        <v>40</v>
      </c>
      <c r="Q4" s="13">
        <f t="shared" si="4"/>
        <v>0</v>
      </c>
      <c r="R4" s="12" t="str">
        <f t="shared" si="5"/>
        <v/>
      </c>
    </row>
    <row r="5" spans="1:18">
      <c r="A5" s="6"/>
      <c r="B5" s="11"/>
      <c r="C5" s="12">
        <f t="shared" si="0"/>
        <v>0</v>
      </c>
      <c r="D5" s="12">
        <f t="shared" si="6"/>
        <v>2</v>
      </c>
      <c r="E5" s="12" t="str">
        <f t="shared" si="1"/>
        <v/>
      </c>
      <c r="G5" s="6"/>
      <c r="H5" s="11"/>
      <c r="I5" s="12">
        <v>20</v>
      </c>
      <c r="J5" s="13">
        <f t="shared" si="2"/>
        <v>2.5</v>
      </c>
      <c r="K5" s="12" t="str">
        <f t="shared" si="3"/>
        <v/>
      </c>
      <c r="M5" s="6"/>
      <c r="N5" s="11"/>
      <c r="O5" s="6"/>
      <c r="P5" s="12">
        <v>40</v>
      </c>
      <c r="Q5" s="13">
        <f t="shared" si="4"/>
        <v>0</v>
      </c>
      <c r="R5" s="12" t="str">
        <f t="shared" si="5"/>
        <v/>
      </c>
    </row>
    <row r="6" spans="1:18">
      <c r="A6" s="6"/>
      <c r="B6" s="11"/>
      <c r="C6" s="12">
        <f t="shared" si="0"/>
        <v>0</v>
      </c>
      <c r="D6" s="12">
        <f t="shared" si="6"/>
        <v>2</v>
      </c>
      <c r="E6" s="12" t="str">
        <f t="shared" si="1"/>
        <v/>
      </c>
      <c r="G6" s="6"/>
      <c r="H6" s="11"/>
      <c r="I6" s="12">
        <v>20</v>
      </c>
      <c r="J6" s="13">
        <f t="shared" si="2"/>
        <v>2.5</v>
      </c>
      <c r="K6" s="12" t="str">
        <f t="shared" si="3"/>
        <v/>
      </c>
      <c r="M6" s="6"/>
      <c r="N6" s="11"/>
      <c r="O6" s="6"/>
      <c r="P6" s="12">
        <v>40</v>
      </c>
      <c r="Q6" s="13">
        <f t="shared" si="4"/>
        <v>0</v>
      </c>
      <c r="R6" s="12" t="str">
        <f t="shared" si="5"/>
        <v/>
      </c>
    </row>
    <row r="7" spans="1:18">
      <c r="A7" s="6"/>
      <c r="B7" s="11"/>
      <c r="C7" s="12">
        <f t="shared" si="0"/>
        <v>0</v>
      </c>
      <c r="D7" s="12">
        <f t="shared" si="6"/>
        <v>2</v>
      </c>
      <c r="E7" s="12" t="str">
        <f t="shared" si="1"/>
        <v/>
      </c>
      <c r="G7" s="6"/>
      <c r="H7" s="11"/>
      <c r="I7" s="12">
        <v>20</v>
      </c>
      <c r="J7" s="13">
        <f t="shared" si="2"/>
        <v>2.5</v>
      </c>
      <c r="K7" s="12" t="str">
        <f t="shared" si="3"/>
        <v/>
      </c>
      <c r="M7" s="6"/>
      <c r="N7" s="11"/>
      <c r="O7" s="6"/>
      <c r="P7" s="12">
        <v>40</v>
      </c>
      <c r="Q7" s="13">
        <f t="shared" si="4"/>
        <v>0</v>
      </c>
      <c r="R7" s="12" t="str">
        <f t="shared" si="5"/>
        <v/>
      </c>
    </row>
    <row r="8" spans="1:18">
      <c r="A8" s="6"/>
      <c r="B8" s="11"/>
      <c r="C8" s="12">
        <f t="shared" si="0"/>
        <v>0</v>
      </c>
      <c r="D8" s="12">
        <f t="shared" si="6"/>
        <v>2</v>
      </c>
      <c r="E8" s="12" t="str">
        <f t="shared" si="1"/>
        <v/>
      </c>
      <c r="G8" s="6"/>
      <c r="H8" s="11"/>
      <c r="I8" s="12">
        <v>20</v>
      </c>
      <c r="J8" s="13">
        <f t="shared" si="2"/>
        <v>2.5</v>
      </c>
      <c r="K8" s="12" t="str">
        <f t="shared" si="3"/>
        <v/>
      </c>
      <c r="M8" s="6"/>
      <c r="N8" s="11"/>
      <c r="O8" s="6"/>
      <c r="P8" s="12">
        <v>40</v>
      </c>
      <c r="Q8" s="13">
        <f t="shared" si="4"/>
        <v>0</v>
      </c>
      <c r="R8" s="12" t="str">
        <f t="shared" si="5"/>
        <v/>
      </c>
    </row>
    <row r="9" spans="1:18">
      <c r="A9" s="6"/>
      <c r="B9" s="11"/>
      <c r="C9" s="12">
        <f t="shared" si="0"/>
        <v>0</v>
      </c>
      <c r="D9" s="12">
        <f t="shared" si="6"/>
        <v>2</v>
      </c>
      <c r="E9" s="12" t="str">
        <f t="shared" si="1"/>
        <v/>
      </c>
      <c r="G9" s="6"/>
      <c r="H9" s="11"/>
      <c r="I9" s="12">
        <v>20</v>
      </c>
      <c r="J9" s="13">
        <f t="shared" si="2"/>
        <v>2.5</v>
      </c>
      <c r="K9" s="12" t="str">
        <f t="shared" si="3"/>
        <v/>
      </c>
      <c r="M9" s="6"/>
      <c r="N9" s="11"/>
      <c r="O9" s="6"/>
      <c r="P9" s="12">
        <v>40</v>
      </c>
      <c r="Q9" s="13">
        <f t="shared" si="4"/>
        <v>0</v>
      </c>
      <c r="R9" s="12" t="str">
        <f t="shared" si="5"/>
        <v/>
      </c>
    </row>
    <row r="10" spans="1:18">
      <c r="A10" s="6"/>
      <c r="B10" s="11"/>
      <c r="C10" s="12">
        <f t="shared" si="0"/>
        <v>0</v>
      </c>
      <c r="D10" s="12">
        <f t="shared" si="6"/>
        <v>2</v>
      </c>
      <c r="E10" s="12" t="str">
        <f t="shared" si="1"/>
        <v/>
      </c>
      <c r="G10" s="6"/>
      <c r="H10" s="11"/>
      <c r="I10" s="12">
        <v>20</v>
      </c>
      <c r="J10" s="13">
        <f t="shared" si="2"/>
        <v>2.5</v>
      </c>
      <c r="K10" s="12" t="str">
        <f t="shared" si="3"/>
        <v/>
      </c>
      <c r="M10" s="6"/>
      <c r="N10" s="11"/>
      <c r="O10" s="6"/>
      <c r="P10" s="12">
        <v>40</v>
      </c>
      <c r="Q10" s="13">
        <f t="shared" si="4"/>
        <v>0</v>
      </c>
      <c r="R10" s="12" t="str">
        <f t="shared" si="5"/>
        <v/>
      </c>
    </row>
    <row r="11" spans="1:18">
      <c r="A11" s="6"/>
      <c r="B11" s="11"/>
      <c r="C11" s="12">
        <f t="shared" si="0"/>
        <v>0</v>
      </c>
      <c r="D11" s="12">
        <f t="shared" si="6"/>
        <v>2</v>
      </c>
      <c r="E11" s="12" t="str">
        <f t="shared" si="1"/>
        <v/>
      </c>
      <c r="G11" s="6"/>
      <c r="H11" s="11"/>
      <c r="I11" s="12">
        <v>20</v>
      </c>
      <c r="J11" s="13">
        <f t="shared" si="2"/>
        <v>2.5</v>
      </c>
      <c r="K11" s="12" t="str">
        <f t="shared" si="3"/>
        <v/>
      </c>
      <c r="M11" s="6"/>
      <c r="N11" s="11"/>
      <c r="O11" s="6"/>
      <c r="P11" s="12">
        <v>40</v>
      </c>
      <c r="Q11" s="13">
        <f t="shared" si="4"/>
        <v>0</v>
      </c>
      <c r="R11" s="12" t="str">
        <f t="shared" si="5"/>
        <v/>
      </c>
    </row>
    <row r="12" spans="1:18">
      <c r="A12" s="6"/>
      <c r="B12" s="11"/>
      <c r="C12" s="12">
        <f t="shared" si="0"/>
        <v>0</v>
      </c>
      <c r="D12" s="12">
        <f t="shared" si="6"/>
        <v>2</v>
      </c>
      <c r="E12" s="12" t="str">
        <f t="shared" si="1"/>
        <v/>
      </c>
      <c r="G12" s="6"/>
      <c r="H12" s="11"/>
      <c r="I12" s="12">
        <v>20</v>
      </c>
      <c r="J12" s="13">
        <f t="shared" si="2"/>
        <v>2.5</v>
      </c>
      <c r="K12" s="12" t="str">
        <f t="shared" si="3"/>
        <v/>
      </c>
      <c r="M12" s="6"/>
      <c r="N12" s="11"/>
      <c r="O12" s="6"/>
      <c r="P12" s="12">
        <v>40</v>
      </c>
      <c r="Q12" s="13">
        <f t="shared" si="4"/>
        <v>0</v>
      </c>
      <c r="R12" s="12" t="str">
        <f t="shared" si="5"/>
        <v/>
      </c>
    </row>
    <row r="13" spans="1:18">
      <c r="A13" s="6"/>
      <c r="B13" s="11"/>
      <c r="C13" s="12">
        <f t="shared" si="0"/>
        <v>0</v>
      </c>
      <c r="D13" s="12">
        <f t="shared" si="6"/>
        <v>2</v>
      </c>
      <c r="E13" s="12" t="str">
        <f t="shared" si="1"/>
        <v/>
      </c>
      <c r="G13" s="6"/>
      <c r="H13" s="11"/>
      <c r="I13" s="12">
        <v>20</v>
      </c>
      <c r="J13" s="13">
        <f t="shared" si="2"/>
        <v>2.5</v>
      </c>
      <c r="K13" s="12" t="str">
        <f t="shared" si="3"/>
        <v/>
      </c>
      <c r="M13" s="6"/>
      <c r="N13" s="11"/>
      <c r="O13" s="6"/>
      <c r="P13" s="12">
        <v>40</v>
      </c>
      <c r="Q13" s="13">
        <f t="shared" si="4"/>
        <v>0</v>
      </c>
      <c r="R13" s="12" t="str">
        <f t="shared" si="5"/>
        <v/>
      </c>
    </row>
    <row r="14" spans="1:18">
      <c r="A14" s="6"/>
      <c r="B14" s="11"/>
      <c r="C14" s="12">
        <f t="shared" si="0"/>
        <v>0</v>
      </c>
      <c r="D14" s="12">
        <f t="shared" si="6"/>
        <v>2</v>
      </c>
      <c r="E14" s="12" t="str">
        <f t="shared" si="1"/>
        <v/>
      </c>
      <c r="G14" s="6"/>
      <c r="H14" s="11"/>
      <c r="I14" s="12">
        <v>20</v>
      </c>
      <c r="J14" s="13">
        <f t="shared" si="2"/>
        <v>2.5</v>
      </c>
      <c r="K14" s="12" t="str">
        <f t="shared" si="3"/>
        <v/>
      </c>
      <c r="M14" s="6"/>
      <c r="N14" s="11"/>
      <c r="O14" s="6"/>
      <c r="P14" s="12">
        <v>40</v>
      </c>
      <c r="Q14" s="13">
        <f t="shared" si="4"/>
        <v>0</v>
      </c>
      <c r="R14" s="12" t="str">
        <f t="shared" si="5"/>
        <v/>
      </c>
    </row>
    <row r="15" spans="1:18">
      <c r="A15" s="6"/>
      <c r="B15" s="11"/>
      <c r="C15" s="12">
        <f t="shared" si="0"/>
        <v>0</v>
      </c>
      <c r="D15" s="12">
        <f t="shared" si="6"/>
        <v>2</v>
      </c>
      <c r="E15" s="12" t="str">
        <f t="shared" si="1"/>
        <v/>
      </c>
      <c r="G15" s="6"/>
      <c r="H15" s="11"/>
      <c r="I15" s="12">
        <v>20</v>
      </c>
      <c r="J15" s="13">
        <f t="shared" si="2"/>
        <v>2.5</v>
      </c>
      <c r="K15" s="12" t="str">
        <f t="shared" si="3"/>
        <v/>
      </c>
      <c r="M15" s="6"/>
      <c r="N15" s="11"/>
      <c r="O15" s="6"/>
      <c r="P15" s="12">
        <v>40</v>
      </c>
      <c r="Q15" s="13">
        <f t="shared" si="4"/>
        <v>0</v>
      </c>
      <c r="R15" s="12" t="str">
        <f t="shared" si="5"/>
        <v/>
      </c>
    </row>
    <row r="16" spans="1:18">
      <c r="A16" s="6"/>
      <c r="B16" s="11"/>
      <c r="C16" s="12">
        <f t="shared" si="0"/>
        <v>0</v>
      </c>
      <c r="D16" s="12">
        <f t="shared" si="6"/>
        <v>2</v>
      </c>
      <c r="E16" s="12" t="str">
        <f t="shared" si="1"/>
        <v/>
      </c>
      <c r="G16" s="6"/>
      <c r="H16" s="11"/>
      <c r="I16" s="12">
        <v>20</v>
      </c>
      <c r="J16" s="13">
        <f t="shared" si="2"/>
        <v>2.5</v>
      </c>
      <c r="K16" s="12" t="str">
        <f t="shared" si="3"/>
        <v/>
      </c>
      <c r="M16" s="6"/>
      <c r="N16" s="11"/>
      <c r="O16" s="6"/>
      <c r="P16" s="12">
        <v>40</v>
      </c>
      <c r="Q16" s="13">
        <f t="shared" si="4"/>
        <v>0</v>
      </c>
      <c r="R16" s="12" t="str">
        <f t="shared" si="5"/>
        <v/>
      </c>
    </row>
    <row r="17" spans="1:18">
      <c r="A17" s="6"/>
      <c r="B17" s="11"/>
      <c r="C17" s="12">
        <f t="shared" si="0"/>
        <v>0</v>
      </c>
      <c r="D17" s="12">
        <f t="shared" si="6"/>
        <v>2</v>
      </c>
      <c r="E17" s="12" t="str">
        <f t="shared" si="1"/>
        <v/>
      </c>
      <c r="G17" s="6"/>
      <c r="H17" s="11"/>
      <c r="I17" s="12">
        <v>20</v>
      </c>
      <c r="J17" s="13">
        <f t="shared" si="2"/>
        <v>2.5</v>
      </c>
      <c r="K17" s="12" t="str">
        <f t="shared" si="3"/>
        <v/>
      </c>
      <c r="M17" s="6"/>
      <c r="N17" s="11"/>
      <c r="O17" s="6"/>
      <c r="P17" s="12">
        <v>40</v>
      </c>
      <c r="Q17" s="13">
        <f t="shared" si="4"/>
        <v>0</v>
      </c>
      <c r="R17" s="12" t="str">
        <f t="shared" si="5"/>
        <v/>
      </c>
    </row>
    <row r="18" spans="1:18">
      <c r="A18" s="6"/>
      <c r="B18" s="11"/>
      <c r="C18" s="12">
        <f t="shared" si="0"/>
        <v>0</v>
      </c>
      <c r="D18" s="12">
        <f t="shared" si="6"/>
        <v>2</v>
      </c>
      <c r="E18" s="12" t="str">
        <f t="shared" si="1"/>
        <v/>
      </c>
      <c r="G18" s="6"/>
      <c r="H18" s="11"/>
      <c r="I18" s="12">
        <v>20</v>
      </c>
      <c r="J18" s="13">
        <f t="shared" si="2"/>
        <v>2.5</v>
      </c>
      <c r="K18" s="12" t="str">
        <f t="shared" si="3"/>
        <v/>
      </c>
      <c r="M18" s="6"/>
      <c r="N18" s="11"/>
      <c r="O18" s="6"/>
      <c r="P18" s="12">
        <v>40</v>
      </c>
      <c r="Q18" s="13">
        <f t="shared" si="4"/>
        <v>0</v>
      </c>
      <c r="R18" s="12" t="str">
        <f t="shared" si="5"/>
        <v/>
      </c>
    </row>
    <row r="19" spans="1:18">
      <c r="A19" s="6"/>
      <c r="B19" s="11"/>
      <c r="C19" s="12">
        <f t="shared" si="0"/>
        <v>0</v>
      </c>
      <c r="D19" s="12">
        <f t="shared" si="6"/>
        <v>2</v>
      </c>
      <c r="E19" s="12" t="str">
        <f t="shared" si="1"/>
        <v/>
      </c>
      <c r="G19" s="6"/>
      <c r="H19" s="11"/>
      <c r="I19" s="12">
        <v>20</v>
      </c>
      <c r="J19" s="13">
        <f t="shared" si="2"/>
        <v>2.5</v>
      </c>
      <c r="K19" s="12" t="str">
        <f t="shared" si="3"/>
        <v/>
      </c>
      <c r="M19" s="6"/>
      <c r="N19" s="11"/>
      <c r="O19" s="6"/>
      <c r="P19" s="12">
        <v>40</v>
      </c>
      <c r="Q19" s="13">
        <f t="shared" si="4"/>
        <v>0</v>
      </c>
      <c r="R19" s="12" t="str">
        <f t="shared" si="5"/>
        <v/>
      </c>
    </row>
    <row r="20" spans="1:18">
      <c r="A20" s="6"/>
      <c r="B20" s="11"/>
      <c r="C20" s="12">
        <f t="shared" si="0"/>
        <v>0</v>
      </c>
      <c r="D20" s="12">
        <f t="shared" si="6"/>
        <v>2</v>
      </c>
      <c r="E20" s="12" t="str">
        <f t="shared" si="1"/>
        <v/>
      </c>
      <c r="G20" s="6"/>
      <c r="H20" s="11"/>
      <c r="I20" s="12">
        <v>20</v>
      </c>
      <c r="J20" s="13">
        <f t="shared" si="2"/>
        <v>2.5</v>
      </c>
      <c r="K20" s="12" t="str">
        <f t="shared" si="3"/>
        <v/>
      </c>
      <c r="M20" s="6"/>
      <c r="N20" s="11"/>
      <c r="O20" s="6"/>
      <c r="P20" s="12">
        <v>40</v>
      </c>
      <c r="Q20" s="13">
        <f t="shared" si="4"/>
        <v>0</v>
      </c>
      <c r="R20" s="12" t="str">
        <f t="shared" si="5"/>
        <v/>
      </c>
    </row>
  </sheetData>
  <mergeCells count="3">
    <mergeCell ref="A1:E1"/>
    <mergeCell ref="G1:K1"/>
    <mergeCell ref="M1:R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workbookViewId="0">
      <selection activeCell="P15" sqref="P15"/>
    </sheetView>
  </sheetViews>
  <sheetFormatPr defaultColWidth="9" defaultRowHeight="13.8"/>
  <cols>
    <col min="3" max="4" width="9" style="1"/>
    <col min="5" max="5" width="25.5" style="1" customWidth="1"/>
    <col min="8" max="8" width="11.3796296296296" customWidth="1"/>
    <col min="9" max="9" width="14" customWidth="1"/>
    <col min="10" max="10" width="12.5" customWidth="1"/>
    <col min="11" max="11" width="24.3796296296296" customWidth="1"/>
    <col min="15" max="15" width="9.5" customWidth="1"/>
    <col min="18" max="18" width="25.3796296296296" customWidth="1"/>
  </cols>
  <sheetData>
    <row r="1" customFormat="1" spans="1:18">
      <c r="A1" s="2" t="s">
        <v>0</v>
      </c>
      <c r="B1" s="3"/>
      <c r="C1" s="3"/>
      <c r="D1" s="3"/>
      <c r="E1" s="3"/>
      <c r="G1" s="2" t="s">
        <v>1</v>
      </c>
      <c r="H1" s="3"/>
      <c r="I1" s="3"/>
      <c r="J1" s="3"/>
      <c r="K1" s="3"/>
      <c r="M1" s="2" t="s">
        <v>2</v>
      </c>
      <c r="N1" s="3"/>
      <c r="O1" s="3"/>
      <c r="P1" s="3"/>
      <c r="Q1" s="3"/>
      <c r="R1" s="3"/>
    </row>
    <row r="2" spans="1:18">
      <c r="A2" s="4" t="s">
        <v>3</v>
      </c>
      <c r="B2" s="4" t="s">
        <v>4</v>
      </c>
      <c r="C2" s="5" t="s">
        <v>5</v>
      </c>
      <c r="D2" s="5" t="s">
        <v>6</v>
      </c>
      <c r="E2" s="5" t="s">
        <v>7</v>
      </c>
      <c r="G2" s="4" t="s">
        <v>3</v>
      </c>
      <c r="H2" s="4" t="s">
        <v>4</v>
      </c>
      <c r="I2" s="5" t="s">
        <v>5</v>
      </c>
      <c r="J2" s="5" t="s">
        <v>6</v>
      </c>
      <c r="K2" s="5" t="s">
        <v>8</v>
      </c>
      <c r="M2" s="4" t="s">
        <v>3</v>
      </c>
      <c r="N2" s="4" t="s">
        <v>4</v>
      </c>
      <c r="O2" s="4" t="s">
        <v>9</v>
      </c>
      <c r="P2" s="5" t="s">
        <v>5</v>
      </c>
      <c r="Q2" s="5" t="s">
        <v>6</v>
      </c>
      <c r="R2" s="5" t="s">
        <v>10</v>
      </c>
    </row>
    <row r="3" spans="1:18">
      <c r="A3" s="6"/>
      <c r="B3" s="9"/>
      <c r="C3" s="10">
        <f t="shared" ref="C3:C20" si="0">A3*0.45</f>
        <v>0</v>
      </c>
      <c r="D3" s="10">
        <f>2+B3*A3*1.5%</f>
        <v>2</v>
      </c>
      <c r="E3" s="10" t="str">
        <f t="shared" ref="E3:E20" si="1">IF(A3="","",D3/A3)</f>
        <v/>
      </c>
      <c r="G3" s="6"/>
      <c r="H3" s="9"/>
      <c r="I3" s="10">
        <v>25</v>
      </c>
      <c r="J3" s="10">
        <f t="shared" ref="J3:J20" si="2">2.5+MIN(400,H3*G3*0.75%)</f>
        <v>2.5</v>
      </c>
      <c r="K3" s="10" t="str">
        <f t="shared" ref="K3:K20" si="3">IF(G3="","",J3/G3)</f>
        <v/>
      </c>
      <c r="M3" s="6"/>
      <c r="N3" s="9"/>
      <c r="O3" s="6"/>
      <c r="P3" s="10">
        <v>50</v>
      </c>
      <c r="Q3" s="10">
        <f t="shared" ref="Q3:Q20" si="4">2.5*O3+MIN(400,N3*M3*0.75%)</f>
        <v>0</v>
      </c>
      <c r="R3" s="10" t="str">
        <f t="shared" ref="R3:R20" si="5">IF(M3="","",Q3/M3)</f>
        <v/>
      </c>
    </row>
    <row r="4" spans="1:18">
      <c r="A4" s="6"/>
      <c r="B4" s="9"/>
      <c r="C4" s="10">
        <f t="shared" si="0"/>
        <v>0</v>
      </c>
      <c r="D4" s="10">
        <f t="shared" ref="D4:D20" si="6">2+B4*A4*1.5%</f>
        <v>2</v>
      </c>
      <c r="E4" s="10" t="str">
        <f t="shared" si="1"/>
        <v/>
      </c>
      <c r="G4" s="6"/>
      <c r="H4" s="9"/>
      <c r="I4" s="10">
        <v>25</v>
      </c>
      <c r="J4" s="10">
        <f t="shared" si="2"/>
        <v>2.5</v>
      </c>
      <c r="K4" s="10" t="str">
        <f t="shared" si="3"/>
        <v/>
      </c>
      <c r="M4" s="6"/>
      <c r="N4" s="9"/>
      <c r="O4" s="6"/>
      <c r="P4" s="10">
        <v>50</v>
      </c>
      <c r="Q4" s="10">
        <f t="shared" si="4"/>
        <v>0</v>
      </c>
      <c r="R4" s="10" t="str">
        <f t="shared" si="5"/>
        <v/>
      </c>
    </row>
    <row r="5" spans="1:18">
      <c r="A5" s="6"/>
      <c r="B5" s="9"/>
      <c r="C5" s="10">
        <f t="shared" si="0"/>
        <v>0</v>
      </c>
      <c r="D5" s="10">
        <f t="shared" si="6"/>
        <v>2</v>
      </c>
      <c r="E5" s="10" t="str">
        <f t="shared" si="1"/>
        <v/>
      </c>
      <c r="G5" s="6"/>
      <c r="H5" s="9"/>
      <c r="I5" s="10">
        <v>25</v>
      </c>
      <c r="J5" s="10">
        <f t="shared" si="2"/>
        <v>2.5</v>
      </c>
      <c r="K5" s="10" t="str">
        <f t="shared" si="3"/>
        <v/>
      </c>
      <c r="M5" s="6"/>
      <c r="N5" s="9"/>
      <c r="O5" s="6"/>
      <c r="P5" s="10">
        <v>50</v>
      </c>
      <c r="Q5" s="10">
        <f t="shared" si="4"/>
        <v>0</v>
      </c>
      <c r="R5" s="10" t="str">
        <f t="shared" si="5"/>
        <v/>
      </c>
    </row>
    <row r="6" spans="1:18">
      <c r="A6" s="6"/>
      <c r="B6" s="9"/>
      <c r="C6" s="10">
        <f t="shared" si="0"/>
        <v>0</v>
      </c>
      <c r="D6" s="10">
        <f t="shared" si="6"/>
        <v>2</v>
      </c>
      <c r="E6" s="10" t="str">
        <f t="shared" si="1"/>
        <v/>
      </c>
      <c r="G6" s="6"/>
      <c r="H6" s="9"/>
      <c r="I6" s="10">
        <v>25</v>
      </c>
      <c r="J6" s="10">
        <f t="shared" si="2"/>
        <v>2.5</v>
      </c>
      <c r="K6" s="10" t="str">
        <f t="shared" si="3"/>
        <v/>
      </c>
      <c r="M6" s="6"/>
      <c r="N6" s="9"/>
      <c r="O6" s="6"/>
      <c r="P6" s="10">
        <v>50</v>
      </c>
      <c r="Q6" s="10">
        <f t="shared" si="4"/>
        <v>0</v>
      </c>
      <c r="R6" s="10" t="str">
        <f t="shared" si="5"/>
        <v/>
      </c>
    </row>
    <row r="7" spans="1:18">
      <c r="A7" s="6"/>
      <c r="B7" s="9"/>
      <c r="C7" s="10">
        <f t="shared" si="0"/>
        <v>0</v>
      </c>
      <c r="D7" s="10">
        <f t="shared" si="6"/>
        <v>2</v>
      </c>
      <c r="E7" s="10" t="str">
        <f t="shared" si="1"/>
        <v/>
      </c>
      <c r="G7" s="6"/>
      <c r="H7" s="9"/>
      <c r="I7" s="10">
        <v>25</v>
      </c>
      <c r="J7" s="10">
        <f t="shared" si="2"/>
        <v>2.5</v>
      </c>
      <c r="K7" s="10" t="str">
        <f t="shared" si="3"/>
        <v/>
      </c>
      <c r="M7" s="6"/>
      <c r="N7" s="9"/>
      <c r="O7" s="6"/>
      <c r="P7" s="10">
        <v>50</v>
      </c>
      <c r="Q7" s="10">
        <f t="shared" si="4"/>
        <v>0</v>
      </c>
      <c r="R7" s="10" t="str">
        <f t="shared" si="5"/>
        <v/>
      </c>
    </row>
    <row r="8" spans="1:18">
      <c r="A8" s="6"/>
      <c r="B8" s="9"/>
      <c r="C8" s="10">
        <f t="shared" si="0"/>
        <v>0</v>
      </c>
      <c r="D8" s="10">
        <f t="shared" si="6"/>
        <v>2</v>
      </c>
      <c r="E8" s="10" t="str">
        <f t="shared" si="1"/>
        <v/>
      </c>
      <c r="G8" s="6"/>
      <c r="H8" s="9"/>
      <c r="I8" s="10">
        <v>25</v>
      </c>
      <c r="J8" s="10">
        <f t="shared" si="2"/>
        <v>2.5</v>
      </c>
      <c r="K8" s="10" t="str">
        <f t="shared" si="3"/>
        <v/>
      </c>
      <c r="M8" s="6"/>
      <c r="N8" s="9"/>
      <c r="O8" s="6"/>
      <c r="P8" s="10">
        <v>50</v>
      </c>
      <c r="Q8" s="10">
        <f t="shared" si="4"/>
        <v>0</v>
      </c>
      <c r="R8" s="10" t="str">
        <f t="shared" si="5"/>
        <v/>
      </c>
    </row>
    <row r="9" spans="1:18">
      <c r="A9" s="6"/>
      <c r="B9" s="9"/>
      <c r="C9" s="10">
        <f t="shared" si="0"/>
        <v>0</v>
      </c>
      <c r="D9" s="10">
        <f t="shared" si="6"/>
        <v>2</v>
      </c>
      <c r="E9" s="10" t="str">
        <f t="shared" si="1"/>
        <v/>
      </c>
      <c r="G9" s="6"/>
      <c r="H9" s="9"/>
      <c r="I9" s="10">
        <v>25</v>
      </c>
      <c r="J9" s="10">
        <f t="shared" si="2"/>
        <v>2.5</v>
      </c>
      <c r="K9" s="10" t="str">
        <f t="shared" si="3"/>
        <v/>
      </c>
      <c r="M9" s="6"/>
      <c r="N9" s="9"/>
      <c r="O9" s="6"/>
      <c r="P9" s="10">
        <v>50</v>
      </c>
      <c r="Q9" s="10">
        <f t="shared" si="4"/>
        <v>0</v>
      </c>
      <c r="R9" s="10" t="str">
        <f t="shared" si="5"/>
        <v/>
      </c>
    </row>
    <row r="10" spans="1:18">
      <c r="A10" s="6"/>
      <c r="B10" s="9"/>
      <c r="C10" s="10">
        <f t="shared" si="0"/>
        <v>0</v>
      </c>
      <c r="D10" s="10">
        <f t="shared" si="6"/>
        <v>2</v>
      </c>
      <c r="E10" s="10" t="str">
        <f t="shared" si="1"/>
        <v/>
      </c>
      <c r="G10" s="6"/>
      <c r="H10" s="9"/>
      <c r="I10" s="10">
        <v>25</v>
      </c>
      <c r="J10" s="10">
        <f t="shared" si="2"/>
        <v>2.5</v>
      </c>
      <c r="K10" s="10" t="str">
        <f t="shared" si="3"/>
        <v/>
      </c>
      <c r="M10" s="6"/>
      <c r="N10" s="9"/>
      <c r="O10" s="6"/>
      <c r="P10" s="10">
        <v>50</v>
      </c>
      <c r="Q10" s="10">
        <f t="shared" si="4"/>
        <v>0</v>
      </c>
      <c r="R10" s="10" t="str">
        <f t="shared" si="5"/>
        <v/>
      </c>
    </row>
    <row r="11" spans="1:18">
      <c r="A11" s="6"/>
      <c r="B11" s="9"/>
      <c r="C11" s="10">
        <f t="shared" si="0"/>
        <v>0</v>
      </c>
      <c r="D11" s="10">
        <f t="shared" si="6"/>
        <v>2</v>
      </c>
      <c r="E11" s="10" t="str">
        <f t="shared" si="1"/>
        <v/>
      </c>
      <c r="G11" s="6"/>
      <c r="H11" s="9"/>
      <c r="I11" s="10">
        <v>25</v>
      </c>
      <c r="J11" s="10">
        <f t="shared" si="2"/>
        <v>2.5</v>
      </c>
      <c r="K11" s="10" t="str">
        <f t="shared" si="3"/>
        <v/>
      </c>
      <c r="M11" s="6"/>
      <c r="N11" s="9"/>
      <c r="O11" s="6"/>
      <c r="P11" s="10">
        <v>50</v>
      </c>
      <c r="Q11" s="10">
        <f t="shared" si="4"/>
        <v>0</v>
      </c>
      <c r="R11" s="10" t="str">
        <f t="shared" si="5"/>
        <v/>
      </c>
    </row>
    <row r="12" spans="1:18">
      <c r="A12" s="6"/>
      <c r="B12" s="9"/>
      <c r="C12" s="10">
        <f t="shared" si="0"/>
        <v>0</v>
      </c>
      <c r="D12" s="10">
        <f t="shared" si="6"/>
        <v>2</v>
      </c>
      <c r="E12" s="10" t="str">
        <f t="shared" si="1"/>
        <v/>
      </c>
      <c r="G12" s="6"/>
      <c r="H12" s="9"/>
      <c r="I12" s="10">
        <v>25</v>
      </c>
      <c r="J12" s="10">
        <f t="shared" si="2"/>
        <v>2.5</v>
      </c>
      <c r="K12" s="10" t="str">
        <f t="shared" si="3"/>
        <v/>
      </c>
      <c r="M12" s="6"/>
      <c r="N12" s="9"/>
      <c r="O12" s="6"/>
      <c r="P12" s="10">
        <v>50</v>
      </c>
      <c r="Q12" s="10">
        <f t="shared" si="4"/>
        <v>0</v>
      </c>
      <c r="R12" s="10" t="str">
        <f t="shared" si="5"/>
        <v/>
      </c>
    </row>
    <row r="13" spans="1:18">
      <c r="A13" s="6"/>
      <c r="B13" s="9"/>
      <c r="C13" s="10">
        <f t="shared" si="0"/>
        <v>0</v>
      </c>
      <c r="D13" s="10">
        <f t="shared" si="6"/>
        <v>2</v>
      </c>
      <c r="E13" s="10" t="str">
        <f t="shared" si="1"/>
        <v/>
      </c>
      <c r="G13" s="6"/>
      <c r="H13" s="9"/>
      <c r="I13" s="10">
        <v>25</v>
      </c>
      <c r="J13" s="10">
        <f t="shared" si="2"/>
        <v>2.5</v>
      </c>
      <c r="K13" s="10" t="str">
        <f t="shared" si="3"/>
        <v/>
      </c>
      <c r="M13" s="6"/>
      <c r="N13" s="9"/>
      <c r="O13" s="6"/>
      <c r="P13" s="10">
        <v>50</v>
      </c>
      <c r="Q13" s="10">
        <f t="shared" si="4"/>
        <v>0</v>
      </c>
      <c r="R13" s="10" t="str">
        <f t="shared" si="5"/>
        <v/>
      </c>
    </row>
    <row r="14" spans="1:18">
      <c r="A14" s="6"/>
      <c r="B14" s="9"/>
      <c r="C14" s="10">
        <f t="shared" si="0"/>
        <v>0</v>
      </c>
      <c r="D14" s="10">
        <f t="shared" si="6"/>
        <v>2</v>
      </c>
      <c r="E14" s="10" t="str">
        <f t="shared" si="1"/>
        <v/>
      </c>
      <c r="G14" s="6"/>
      <c r="H14" s="9"/>
      <c r="I14" s="10">
        <v>25</v>
      </c>
      <c r="J14" s="10">
        <f t="shared" si="2"/>
        <v>2.5</v>
      </c>
      <c r="K14" s="10" t="str">
        <f t="shared" si="3"/>
        <v/>
      </c>
      <c r="M14" s="6"/>
      <c r="N14" s="9"/>
      <c r="O14" s="6"/>
      <c r="P14" s="10">
        <v>50</v>
      </c>
      <c r="Q14" s="10">
        <f t="shared" si="4"/>
        <v>0</v>
      </c>
      <c r="R14" s="10" t="str">
        <f t="shared" si="5"/>
        <v/>
      </c>
    </row>
    <row r="15" spans="1:18">
      <c r="A15" s="6"/>
      <c r="B15" s="9"/>
      <c r="C15" s="10">
        <f t="shared" si="0"/>
        <v>0</v>
      </c>
      <c r="D15" s="10">
        <f t="shared" si="6"/>
        <v>2</v>
      </c>
      <c r="E15" s="10" t="str">
        <f t="shared" si="1"/>
        <v/>
      </c>
      <c r="G15" s="6"/>
      <c r="H15" s="9"/>
      <c r="I15" s="10">
        <v>25</v>
      </c>
      <c r="J15" s="10">
        <f t="shared" si="2"/>
        <v>2.5</v>
      </c>
      <c r="K15" s="10" t="str">
        <f t="shared" si="3"/>
        <v/>
      </c>
      <c r="M15" s="6"/>
      <c r="N15" s="9"/>
      <c r="O15" s="6"/>
      <c r="P15" s="10">
        <v>50</v>
      </c>
      <c r="Q15" s="10">
        <f t="shared" si="4"/>
        <v>0</v>
      </c>
      <c r="R15" s="10" t="str">
        <f t="shared" si="5"/>
        <v/>
      </c>
    </row>
    <row r="16" spans="1:18">
      <c r="A16" s="6"/>
      <c r="B16" s="9"/>
      <c r="C16" s="10">
        <f t="shared" si="0"/>
        <v>0</v>
      </c>
      <c r="D16" s="10">
        <f t="shared" si="6"/>
        <v>2</v>
      </c>
      <c r="E16" s="10" t="str">
        <f t="shared" si="1"/>
        <v/>
      </c>
      <c r="G16" s="6"/>
      <c r="H16" s="9"/>
      <c r="I16" s="10">
        <v>25</v>
      </c>
      <c r="J16" s="10">
        <f t="shared" si="2"/>
        <v>2.5</v>
      </c>
      <c r="K16" s="10" t="str">
        <f t="shared" si="3"/>
        <v/>
      </c>
      <c r="M16" s="6"/>
      <c r="N16" s="9"/>
      <c r="O16" s="6"/>
      <c r="P16" s="10">
        <v>50</v>
      </c>
      <c r="Q16" s="10">
        <f t="shared" si="4"/>
        <v>0</v>
      </c>
      <c r="R16" s="10" t="str">
        <f t="shared" si="5"/>
        <v/>
      </c>
    </row>
    <row r="17" spans="1:18">
      <c r="A17" s="6"/>
      <c r="B17" s="9"/>
      <c r="C17" s="10">
        <f t="shared" si="0"/>
        <v>0</v>
      </c>
      <c r="D17" s="10">
        <f t="shared" si="6"/>
        <v>2</v>
      </c>
      <c r="E17" s="10" t="str">
        <f t="shared" si="1"/>
        <v/>
      </c>
      <c r="G17" s="6"/>
      <c r="H17" s="9"/>
      <c r="I17" s="10">
        <v>25</v>
      </c>
      <c r="J17" s="10">
        <f t="shared" si="2"/>
        <v>2.5</v>
      </c>
      <c r="K17" s="10" t="str">
        <f t="shared" si="3"/>
        <v/>
      </c>
      <c r="M17" s="6"/>
      <c r="N17" s="9"/>
      <c r="O17" s="6"/>
      <c r="P17" s="10">
        <v>50</v>
      </c>
      <c r="Q17" s="10">
        <f t="shared" si="4"/>
        <v>0</v>
      </c>
      <c r="R17" s="10" t="str">
        <f t="shared" si="5"/>
        <v/>
      </c>
    </row>
    <row r="18" spans="1:18">
      <c r="A18" s="6"/>
      <c r="B18" s="9"/>
      <c r="C18" s="10">
        <f t="shared" si="0"/>
        <v>0</v>
      </c>
      <c r="D18" s="10">
        <f t="shared" si="6"/>
        <v>2</v>
      </c>
      <c r="E18" s="10" t="str">
        <f t="shared" si="1"/>
        <v/>
      </c>
      <c r="G18" s="6"/>
      <c r="H18" s="9"/>
      <c r="I18" s="10">
        <v>25</v>
      </c>
      <c r="J18" s="10">
        <f t="shared" si="2"/>
        <v>2.5</v>
      </c>
      <c r="K18" s="10" t="str">
        <f t="shared" si="3"/>
        <v/>
      </c>
      <c r="M18" s="6"/>
      <c r="N18" s="9"/>
      <c r="O18" s="6"/>
      <c r="P18" s="10">
        <v>50</v>
      </c>
      <c r="Q18" s="10">
        <f t="shared" si="4"/>
        <v>0</v>
      </c>
      <c r="R18" s="10" t="str">
        <f t="shared" si="5"/>
        <v/>
      </c>
    </row>
    <row r="19" spans="1:18">
      <c r="A19" s="6"/>
      <c r="B19" s="9"/>
      <c r="C19" s="10">
        <f t="shared" si="0"/>
        <v>0</v>
      </c>
      <c r="D19" s="10">
        <f t="shared" si="6"/>
        <v>2</v>
      </c>
      <c r="E19" s="10" t="str">
        <f t="shared" si="1"/>
        <v/>
      </c>
      <c r="G19" s="6"/>
      <c r="H19" s="9"/>
      <c r="I19" s="10">
        <v>25</v>
      </c>
      <c r="J19" s="10">
        <f t="shared" si="2"/>
        <v>2.5</v>
      </c>
      <c r="K19" s="10" t="str">
        <f t="shared" si="3"/>
        <v/>
      </c>
      <c r="M19" s="6"/>
      <c r="N19" s="9"/>
      <c r="O19" s="6"/>
      <c r="P19" s="10">
        <v>50</v>
      </c>
      <c r="Q19" s="10">
        <f t="shared" si="4"/>
        <v>0</v>
      </c>
      <c r="R19" s="10" t="str">
        <f t="shared" si="5"/>
        <v/>
      </c>
    </row>
    <row r="20" spans="1:18">
      <c r="A20" s="6"/>
      <c r="B20" s="9"/>
      <c r="C20" s="10">
        <f t="shared" si="0"/>
        <v>0</v>
      </c>
      <c r="D20" s="10">
        <f t="shared" si="6"/>
        <v>2</v>
      </c>
      <c r="E20" s="10" t="str">
        <f t="shared" si="1"/>
        <v/>
      </c>
      <c r="G20" s="6"/>
      <c r="H20" s="9"/>
      <c r="I20" s="10">
        <v>25</v>
      </c>
      <c r="J20" s="10">
        <f t="shared" si="2"/>
        <v>2.5</v>
      </c>
      <c r="K20" s="10" t="str">
        <f t="shared" si="3"/>
        <v/>
      </c>
      <c r="M20" s="6"/>
      <c r="N20" s="9"/>
      <c r="O20" s="6"/>
      <c r="P20" s="10">
        <v>50</v>
      </c>
      <c r="Q20" s="10">
        <f t="shared" si="4"/>
        <v>0</v>
      </c>
      <c r="R20" s="10" t="str">
        <f t="shared" si="5"/>
        <v/>
      </c>
    </row>
  </sheetData>
  <mergeCells count="3">
    <mergeCell ref="A1:E1"/>
    <mergeCell ref="G1:K1"/>
    <mergeCell ref="M1:R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opLeftCell="D1" workbookViewId="0">
      <selection activeCell="O26" sqref="O26"/>
    </sheetView>
  </sheetViews>
  <sheetFormatPr defaultColWidth="9" defaultRowHeight="13.8"/>
  <cols>
    <col min="3" max="4" width="9" style="1"/>
    <col min="5" max="5" width="25.5" style="1" customWidth="1"/>
    <col min="8" max="8" width="11.3796296296296" customWidth="1"/>
    <col min="9" max="9" width="15.7777777777778" customWidth="1"/>
    <col min="10" max="10" width="12.5" customWidth="1"/>
    <col min="11" max="11" width="24.3796296296296" customWidth="1"/>
    <col min="15" max="15" width="9.5" customWidth="1"/>
    <col min="16" max="16" width="10.4444444444444"/>
    <col min="18" max="18" width="25.3796296296296" customWidth="1"/>
  </cols>
  <sheetData>
    <row r="1" customFormat="1" spans="1:18">
      <c r="A1" s="2" t="s">
        <v>0</v>
      </c>
      <c r="B1" s="3"/>
      <c r="C1" s="3"/>
      <c r="D1" s="3"/>
      <c r="E1" s="3"/>
      <c r="G1" s="2" t="s">
        <v>1</v>
      </c>
      <c r="H1" s="3"/>
      <c r="I1" s="3"/>
      <c r="J1" s="3"/>
      <c r="K1" s="3"/>
      <c r="M1" s="2" t="s">
        <v>2</v>
      </c>
      <c r="N1" s="3"/>
      <c r="O1" s="3"/>
      <c r="P1" s="3"/>
      <c r="Q1" s="3"/>
      <c r="R1" s="3"/>
    </row>
    <row r="2" spans="1:18">
      <c r="A2" s="4" t="s">
        <v>3</v>
      </c>
      <c r="B2" s="4" t="s">
        <v>4</v>
      </c>
      <c r="C2" s="5" t="s">
        <v>5</v>
      </c>
      <c r="D2" s="5" t="s">
        <v>6</v>
      </c>
      <c r="E2" s="5" t="s">
        <v>7</v>
      </c>
      <c r="G2" s="4" t="s">
        <v>3</v>
      </c>
      <c r="H2" s="4" t="s">
        <v>4</v>
      </c>
      <c r="I2" s="5" t="s">
        <v>5</v>
      </c>
      <c r="J2" s="5" t="s">
        <v>6</v>
      </c>
      <c r="K2" s="5" t="s">
        <v>8</v>
      </c>
      <c r="M2" s="4" t="s">
        <v>3</v>
      </c>
      <c r="N2" s="4" t="s">
        <v>4</v>
      </c>
      <c r="O2" s="4" t="s">
        <v>9</v>
      </c>
      <c r="P2" s="5" t="s">
        <v>5</v>
      </c>
      <c r="Q2" s="5" t="s">
        <v>6</v>
      </c>
      <c r="R2" s="5" t="s">
        <v>10</v>
      </c>
    </row>
    <row r="3" spans="1:18">
      <c r="A3" s="6"/>
      <c r="B3" s="7"/>
      <c r="C3" s="8">
        <f t="shared" ref="C3:C20" si="0">A3*60</f>
        <v>0</v>
      </c>
      <c r="D3" s="8">
        <f t="shared" ref="D3:D20" si="1">150+B3*A3*1.5%</f>
        <v>150</v>
      </c>
      <c r="E3" s="8" t="str">
        <f t="shared" ref="E3:E20" si="2">IF(A3="","",D3/A3)</f>
        <v/>
      </c>
      <c r="G3" s="6"/>
      <c r="H3" s="7"/>
      <c r="I3" s="8">
        <v>4000</v>
      </c>
      <c r="J3" s="8">
        <f t="shared" ref="J3:J20" si="3">150+MIN(15000,H3*G3*1%)</f>
        <v>150</v>
      </c>
      <c r="K3" s="8" t="str">
        <f t="shared" ref="K3:K20" si="4">IF(G3="","",J3/G3)</f>
        <v/>
      </c>
      <c r="M3" s="6"/>
      <c r="N3" s="7"/>
      <c r="O3" s="6"/>
      <c r="P3" s="8">
        <v>8000</v>
      </c>
      <c r="Q3" s="8">
        <f t="shared" ref="Q3:Q20" si="5">150*O3+MIN(15000,N3*M3*1%)</f>
        <v>0</v>
      </c>
      <c r="R3" s="8" t="str">
        <f t="shared" ref="R3:R20" si="6">IF(M3="","",Q3/M3)</f>
        <v/>
      </c>
    </row>
    <row r="4" spans="1:18">
      <c r="A4" s="6"/>
      <c r="B4" s="7"/>
      <c r="C4" s="8">
        <f t="shared" si="0"/>
        <v>0</v>
      </c>
      <c r="D4" s="8">
        <f t="shared" si="1"/>
        <v>150</v>
      </c>
      <c r="E4" s="8" t="str">
        <f t="shared" si="2"/>
        <v/>
      </c>
      <c r="G4" s="6"/>
      <c r="H4" s="7"/>
      <c r="I4" s="8">
        <v>4000</v>
      </c>
      <c r="J4" s="8">
        <f t="shared" si="3"/>
        <v>150</v>
      </c>
      <c r="K4" s="8" t="str">
        <f t="shared" si="4"/>
        <v/>
      </c>
      <c r="M4" s="6"/>
      <c r="N4" s="7"/>
      <c r="O4" s="6"/>
      <c r="P4" s="8">
        <v>8000</v>
      </c>
      <c r="Q4" s="8">
        <f t="shared" si="5"/>
        <v>0</v>
      </c>
      <c r="R4" s="8" t="str">
        <f t="shared" si="6"/>
        <v/>
      </c>
    </row>
    <row r="5" spans="1:18">
      <c r="A5" s="6"/>
      <c r="B5" s="7"/>
      <c r="C5" s="8">
        <f t="shared" si="0"/>
        <v>0</v>
      </c>
      <c r="D5" s="8">
        <f t="shared" si="1"/>
        <v>150</v>
      </c>
      <c r="E5" s="8" t="str">
        <f t="shared" si="2"/>
        <v/>
      </c>
      <c r="G5" s="6"/>
      <c r="H5" s="7"/>
      <c r="I5" s="8">
        <v>4000</v>
      </c>
      <c r="J5" s="8">
        <f t="shared" si="3"/>
        <v>150</v>
      </c>
      <c r="K5" s="8" t="str">
        <f t="shared" si="4"/>
        <v/>
      </c>
      <c r="M5" s="6"/>
      <c r="N5" s="7"/>
      <c r="O5" s="6"/>
      <c r="P5" s="8">
        <v>8000</v>
      </c>
      <c r="Q5" s="8">
        <f t="shared" si="5"/>
        <v>0</v>
      </c>
      <c r="R5" s="8" t="str">
        <f t="shared" si="6"/>
        <v/>
      </c>
    </row>
    <row r="6" spans="1:18">
      <c r="A6" s="6"/>
      <c r="B6" s="7"/>
      <c r="C6" s="8">
        <f t="shared" si="0"/>
        <v>0</v>
      </c>
      <c r="D6" s="8">
        <f t="shared" si="1"/>
        <v>150</v>
      </c>
      <c r="E6" s="8" t="str">
        <f t="shared" si="2"/>
        <v/>
      </c>
      <c r="G6" s="6"/>
      <c r="H6" s="7"/>
      <c r="I6" s="8">
        <v>4000</v>
      </c>
      <c r="J6" s="8">
        <f t="shared" si="3"/>
        <v>150</v>
      </c>
      <c r="K6" s="8" t="str">
        <f t="shared" si="4"/>
        <v/>
      </c>
      <c r="M6" s="6"/>
      <c r="N6" s="7"/>
      <c r="O6" s="6"/>
      <c r="P6" s="8">
        <v>8000</v>
      </c>
      <c r="Q6" s="8">
        <f t="shared" si="5"/>
        <v>0</v>
      </c>
      <c r="R6" s="8" t="str">
        <f t="shared" si="6"/>
        <v/>
      </c>
    </row>
    <row r="7" spans="1:18">
      <c r="A7" s="6"/>
      <c r="B7" s="7"/>
      <c r="C7" s="8">
        <f t="shared" si="0"/>
        <v>0</v>
      </c>
      <c r="D7" s="8">
        <f t="shared" si="1"/>
        <v>150</v>
      </c>
      <c r="E7" s="8" t="str">
        <f t="shared" si="2"/>
        <v/>
      </c>
      <c r="G7" s="6"/>
      <c r="H7" s="7"/>
      <c r="I7" s="8">
        <v>4000</v>
      </c>
      <c r="J7" s="8">
        <f t="shared" si="3"/>
        <v>150</v>
      </c>
      <c r="K7" s="8" t="str">
        <f t="shared" si="4"/>
        <v/>
      </c>
      <c r="M7" s="6"/>
      <c r="N7" s="7"/>
      <c r="O7" s="6"/>
      <c r="P7" s="8">
        <v>8000</v>
      </c>
      <c r="Q7" s="8">
        <f t="shared" si="5"/>
        <v>0</v>
      </c>
      <c r="R7" s="8" t="str">
        <f t="shared" si="6"/>
        <v/>
      </c>
    </row>
    <row r="8" spans="1:18">
      <c r="A8" s="6"/>
      <c r="B8" s="7"/>
      <c r="C8" s="8">
        <f t="shared" si="0"/>
        <v>0</v>
      </c>
      <c r="D8" s="8">
        <f t="shared" si="1"/>
        <v>150</v>
      </c>
      <c r="E8" s="8" t="str">
        <f t="shared" si="2"/>
        <v/>
      </c>
      <c r="G8" s="6"/>
      <c r="H8" s="7"/>
      <c r="I8" s="8">
        <v>4000</v>
      </c>
      <c r="J8" s="8">
        <f t="shared" si="3"/>
        <v>150</v>
      </c>
      <c r="K8" s="8" t="str">
        <f t="shared" si="4"/>
        <v/>
      </c>
      <c r="M8" s="6"/>
      <c r="N8" s="7"/>
      <c r="O8" s="6"/>
      <c r="P8" s="8">
        <v>8000</v>
      </c>
      <c r="Q8" s="8">
        <f t="shared" si="5"/>
        <v>0</v>
      </c>
      <c r="R8" s="8" t="str">
        <f t="shared" si="6"/>
        <v/>
      </c>
    </row>
    <row r="9" spans="1:18">
      <c r="A9" s="6"/>
      <c r="B9" s="7"/>
      <c r="C9" s="8">
        <f t="shared" si="0"/>
        <v>0</v>
      </c>
      <c r="D9" s="8">
        <f t="shared" si="1"/>
        <v>150</v>
      </c>
      <c r="E9" s="8" t="str">
        <f t="shared" si="2"/>
        <v/>
      </c>
      <c r="G9" s="6"/>
      <c r="H9" s="7"/>
      <c r="I9" s="8">
        <v>4000</v>
      </c>
      <c r="J9" s="8">
        <f t="shared" si="3"/>
        <v>150</v>
      </c>
      <c r="K9" s="8" t="str">
        <f t="shared" si="4"/>
        <v/>
      </c>
      <c r="M9" s="6"/>
      <c r="N9" s="7"/>
      <c r="O9" s="6"/>
      <c r="P9" s="8">
        <v>8000</v>
      </c>
      <c r="Q9" s="8">
        <f t="shared" si="5"/>
        <v>0</v>
      </c>
      <c r="R9" s="8" t="str">
        <f t="shared" si="6"/>
        <v/>
      </c>
    </row>
    <row r="10" spans="1:18">
      <c r="A10" s="6"/>
      <c r="B10" s="7"/>
      <c r="C10" s="8">
        <f t="shared" si="0"/>
        <v>0</v>
      </c>
      <c r="D10" s="8">
        <f t="shared" si="1"/>
        <v>150</v>
      </c>
      <c r="E10" s="8" t="str">
        <f t="shared" si="2"/>
        <v/>
      </c>
      <c r="G10" s="6"/>
      <c r="H10" s="7"/>
      <c r="I10" s="8">
        <v>4000</v>
      </c>
      <c r="J10" s="8">
        <f t="shared" si="3"/>
        <v>150</v>
      </c>
      <c r="K10" s="8" t="str">
        <f t="shared" si="4"/>
        <v/>
      </c>
      <c r="M10" s="6"/>
      <c r="N10" s="7"/>
      <c r="O10" s="6"/>
      <c r="P10" s="8">
        <v>8000</v>
      </c>
      <c r="Q10" s="8">
        <f t="shared" si="5"/>
        <v>0</v>
      </c>
      <c r="R10" s="8" t="str">
        <f t="shared" si="6"/>
        <v/>
      </c>
    </row>
    <row r="11" spans="1:18">
      <c r="A11" s="6"/>
      <c r="B11" s="7"/>
      <c r="C11" s="8">
        <f t="shared" si="0"/>
        <v>0</v>
      </c>
      <c r="D11" s="8">
        <f t="shared" si="1"/>
        <v>150</v>
      </c>
      <c r="E11" s="8" t="str">
        <f t="shared" si="2"/>
        <v/>
      </c>
      <c r="G11" s="6"/>
      <c r="H11" s="7"/>
      <c r="I11" s="8">
        <v>4000</v>
      </c>
      <c r="J11" s="8">
        <f t="shared" si="3"/>
        <v>150</v>
      </c>
      <c r="K11" s="8" t="str">
        <f t="shared" si="4"/>
        <v/>
      </c>
      <c r="M11" s="6"/>
      <c r="N11" s="7"/>
      <c r="O11" s="6"/>
      <c r="P11" s="8">
        <v>8000</v>
      </c>
      <c r="Q11" s="8">
        <f t="shared" si="5"/>
        <v>0</v>
      </c>
      <c r="R11" s="8" t="str">
        <f t="shared" si="6"/>
        <v/>
      </c>
    </row>
    <row r="12" spans="1:18">
      <c r="A12" s="6"/>
      <c r="B12" s="7"/>
      <c r="C12" s="8">
        <f t="shared" si="0"/>
        <v>0</v>
      </c>
      <c r="D12" s="8">
        <f t="shared" si="1"/>
        <v>150</v>
      </c>
      <c r="E12" s="8" t="str">
        <f t="shared" si="2"/>
        <v/>
      </c>
      <c r="G12" s="6"/>
      <c r="H12" s="7"/>
      <c r="I12" s="8">
        <v>4000</v>
      </c>
      <c r="J12" s="8">
        <f t="shared" si="3"/>
        <v>150</v>
      </c>
      <c r="K12" s="8" t="str">
        <f t="shared" si="4"/>
        <v/>
      </c>
      <c r="M12" s="6"/>
      <c r="N12" s="7"/>
      <c r="O12" s="6"/>
      <c r="P12" s="8">
        <v>8000</v>
      </c>
      <c r="Q12" s="8">
        <f t="shared" si="5"/>
        <v>0</v>
      </c>
      <c r="R12" s="8" t="str">
        <f t="shared" si="6"/>
        <v/>
      </c>
    </row>
    <row r="13" spans="1:18">
      <c r="A13" s="6"/>
      <c r="B13" s="7"/>
      <c r="C13" s="8">
        <f t="shared" si="0"/>
        <v>0</v>
      </c>
      <c r="D13" s="8">
        <f t="shared" si="1"/>
        <v>150</v>
      </c>
      <c r="E13" s="8" t="str">
        <f t="shared" si="2"/>
        <v/>
      </c>
      <c r="G13" s="6"/>
      <c r="H13" s="7"/>
      <c r="I13" s="8">
        <v>4000</v>
      </c>
      <c r="J13" s="8">
        <f t="shared" si="3"/>
        <v>150</v>
      </c>
      <c r="K13" s="8" t="str">
        <f t="shared" si="4"/>
        <v/>
      </c>
      <c r="M13" s="6"/>
      <c r="N13" s="7"/>
      <c r="O13" s="6"/>
      <c r="P13" s="8">
        <v>8000</v>
      </c>
      <c r="Q13" s="8">
        <f t="shared" si="5"/>
        <v>0</v>
      </c>
      <c r="R13" s="8" t="str">
        <f t="shared" si="6"/>
        <v/>
      </c>
    </row>
    <row r="14" spans="1:18">
      <c r="A14" s="6"/>
      <c r="B14" s="7"/>
      <c r="C14" s="8">
        <f t="shared" si="0"/>
        <v>0</v>
      </c>
      <c r="D14" s="8">
        <f t="shared" si="1"/>
        <v>150</v>
      </c>
      <c r="E14" s="8" t="str">
        <f t="shared" si="2"/>
        <v/>
      </c>
      <c r="G14" s="6"/>
      <c r="H14" s="7"/>
      <c r="I14" s="8">
        <v>4000</v>
      </c>
      <c r="J14" s="8">
        <f t="shared" si="3"/>
        <v>150</v>
      </c>
      <c r="K14" s="8" t="str">
        <f t="shared" si="4"/>
        <v/>
      </c>
      <c r="M14" s="6"/>
      <c r="N14" s="7"/>
      <c r="O14" s="6"/>
      <c r="P14" s="8">
        <v>8000</v>
      </c>
      <c r="Q14" s="8">
        <f t="shared" si="5"/>
        <v>0</v>
      </c>
      <c r="R14" s="8" t="str">
        <f t="shared" si="6"/>
        <v/>
      </c>
    </row>
    <row r="15" spans="1:18">
      <c r="A15" s="6"/>
      <c r="B15" s="7"/>
      <c r="C15" s="8">
        <f t="shared" si="0"/>
        <v>0</v>
      </c>
      <c r="D15" s="8">
        <f t="shared" si="1"/>
        <v>150</v>
      </c>
      <c r="E15" s="8" t="str">
        <f t="shared" si="2"/>
        <v/>
      </c>
      <c r="G15" s="6"/>
      <c r="H15" s="7"/>
      <c r="I15" s="8">
        <v>4000</v>
      </c>
      <c r="J15" s="8">
        <f t="shared" si="3"/>
        <v>150</v>
      </c>
      <c r="K15" s="8" t="str">
        <f t="shared" si="4"/>
        <v/>
      </c>
      <c r="M15" s="6"/>
      <c r="N15" s="7"/>
      <c r="O15" s="6"/>
      <c r="P15" s="8">
        <v>8000</v>
      </c>
      <c r="Q15" s="8">
        <f t="shared" si="5"/>
        <v>0</v>
      </c>
      <c r="R15" s="8" t="str">
        <f t="shared" si="6"/>
        <v/>
      </c>
    </row>
    <row r="16" spans="1:18">
      <c r="A16" s="6"/>
      <c r="B16" s="7"/>
      <c r="C16" s="8">
        <f t="shared" si="0"/>
        <v>0</v>
      </c>
      <c r="D16" s="8">
        <f t="shared" si="1"/>
        <v>150</v>
      </c>
      <c r="E16" s="8" t="str">
        <f t="shared" si="2"/>
        <v/>
      </c>
      <c r="G16" s="6"/>
      <c r="H16" s="7"/>
      <c r="I16" s="8">
        <v>4000</v>
      </c>
      <c r="J16" s="8">
        <f t="shared" si="3"/>
        <v>150</v>
      </c>
      <c r="K16" s="8" t="str">
        <f t="shared" si="4"/>
        <v/>
      </c>
      <c r="M16" s="6"/>
      <c r="N16" s="7"/>
      <c r="O16" s="6"/>
      <c r="P16" s="8">
        <v>8000</v>
      </c>
      <c r="Q16" s="8">
        <f t="shared" si="5"/>
        <v>0</v>
      </c>
      <c r="R16" s="8" t="str">
        <f t="shared" si="6"/>
        <v/>
      </c>
    </row>
    <row r="17" spans="1:18">
      <c r="A17" s="6"/>
      <c r="B17" s="7"/>
      <c r="C17" s="8">
        <f t="shared" si="0"/>
        <v>0</v>
      </c>
      <c r="D17" s="8">
        <f t="shared" si="1"/>
        <v>150</v>
      </c>
      <c r="E17" s="8" t="str">
        <f t="shared" si="2"/>
        <v/>
      </c>
      <c r="G17" s="6"/>
      <c r="H17" s="7"/>
      <c r="I17" s="8">
        <v>4000</v>
      </c>
      <c r="J17" s="8">
        <f t="shared" si="3"/>
        <v>150</v>
      </c>
      <c r="K17" s="8" t="str">
        <f t="shared" si="4"/>
        <v/>
      </c>
      <c r="M17" s="6"/>
      <c r="N17" s="7"/>
      <c r="O17" s="6"/>
      <c r="P17" s="8">
        <v>8000</v>
      </c>
      <c r="Q17" s="8">
        <f t="shared" si="5"/>
        <v>0</v>
      </c>
      <c r="R17" s="8" t="str">
        <f t="shared" si="6"/>
        <v/>
      </c>
    </row>
    <row r="18" spans="1:18">
      <c r="A18" s="6"/>
      <c r="B18" s="7"/>
      <c r="C18" s="8">
        <f t="shared" si="0"/>
        <v>0</v>
      </c>
      <c r="D18" s="8">
        <f t="shared" si="1"/>
        <v>150</v>
      </c>
      <c r="E18" s="8" t="str">
        <f t="shared" si="2"/>
        <v/>
      </c>
      <c r="G18" s="6"/>
      <c r="H18" s="7"/>
      <c r="I18" s="8">
        <v>4000</v>
      </c>
      <c r="J18" s="8">
        <f t="shared" si="3"/>
        <v>150</v>
      </c>
      <c r="K18" s="8" t="str">
        <f t="shared" si="4"/>
        <v/>
      </c>
      <c r="M18" s="6"/>
      <c r="N18" s="7"/>
      <c r="O18" s="6"/>
      <c r="P18" s="8">
        <v>8000</v>
      </c>
      <c r="Q18" s="8">
        <f t="shared" si="5"/>
        <v>0</v>
      </c>
      <c r="R18" s="8" t="str">
        <f t="shared" si="6"/>
        <v/>
      </c>
    </row>
    <row r="19" spans="1:18">
      <c r="A19" s="6"/>
      <c r="B19" s="7"/>
      <c r="C19" s="8">
        <f t="shared" si="0"/>
        <v>0</v>
      </c>
      <c r="D19" s="8">
        <f t="shared" si="1"/>
        <v>150</v>
      </c>
      <c r="E19" s="8" t="str">
        <f t="shared" si="2"/>
        <v/>
      </c>
      <c r="G19" s="6"/>
      <c r="H19" s="7"/>
      <c r="I19" s="8">
        <v>4000</v>
      </c>
      <c r="J19" s="8">
        <f t="shared" si="3"/>
        <v>150</v>
      </c>
      <c r="K19" s="8" t="str">
        <f t="shared" si="4"/>
        <v/>
      </c>
      <c r="M19" s="6"/>
      <c r="N19" s="7"/>
      <c r="O19" s="6"/>
      <c r="P19" s="8">
        <v>8000</v>
      </c>
      <c r="Q19" s="8">
        <f t="shared" si="5"/>
        <v>0</v>
      </c>
      <c r="R19" s="8" t="str">
        <f t="shared" si="6"/>
        <v/>
      </c>
    </row>
    <row r="20" spans="1:18">
      <c r="A20" s="6"/>
      <c r="B20" s="7"/>
      <c r="C20" s="8">
        <f t="shared" si="0"/>
        <v>0</v>
      </c>
      <c r="D20" s="8">
        <f t="shared" si="1"/>
        <v>150</v>
      </c>
      <c r="E20" s="8" t="str">
        <f t="shared" si="2"/>
        <v/>
      </c>
      <c r="G20" s="6"/>
      <c r="H20" s="7"/>
      <c r="I20" s="8">
        <v>4000</v>
      </c>
      <c r="J20" s="8">
        <f t="shared" si="3"/>
        <v>150</v>
      </c>
      <c r="K20" s="8" t="str">
        <f t="shared" si="4"/>
        <v/>
      </c>
      <c r="M20" s="6"/>
      <c r="N20" s="7"/>
      <c r="O20" s="6"/>
      <c r="P20" s="8">
        <v>8000</v>
      </c>
      <c r="Q20" s="8">
        <f t="shared" si="5"/>
        <v>0</v>
      </c>
      <c r="R20" s="8" t="str">
        <f t="shared" si="6"/>
        <v/>
      </c>
    </row>
  </sheetData>
  <mergeCells count="3">
    <mergeCell ref="A1:E1"/>
    <mergeCell ref="G1:K1"/>
    <mergeCell ref="M1:R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US站点</vt:lpstr>
      <vt:lpstr>DE站点</vt:lpstr>
      <vt:lpstr>FR | IT | ES 站点</vt:lpstr>
      <vt:lpstr>UK站点</vt:lpstr>
      <vt:lpstr>JP站点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简随行约以礼</cp:lastModifiedBy>
  <dcterms:created xsi:type="dcterms:W3CDTF">2025-03-21T01:39:00Z</dcterms:created>
  <dcterms:modified xsi:type="dcterms:W3CDTF">2025-03-21T03:12:13Z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1C43E341D30946E382BC57AAFDE4B6BE_13</vt:lpwstr>
  </property>
  <property fmtid="{D5CDD505-2E9C-101B-9397-08002B2CF9AE}" pid="3" name="KSOProductBuildVer">
    <vt:lpwstr>2052-12.1.0.20305</vt:lpwstr>
  </property>
</Properties>
</file>