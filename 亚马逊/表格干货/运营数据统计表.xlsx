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tabRatio="847" activeTab="2"/>
  </bookViews>
  <sheets>
    <sheet name="每日数据" sheetId="2" r:id="rId1"/>
    <sheet name="广告每日操作记录" sheetId="3" r:id="rId2"/>
    <sheet name="每周营销数据" sheetId="4" r:id="rId3"/>
    <sheet name="广告每周数据统计" sheetId="9" r:id="rId4"/>
    <sheet name="每周ROI表格追踪" sheetId="6" r:id="rId5"/>
    <sheet name="Listing优化记录" sheetId="7" r:id="rId6"/>
    <sheet name="周退货率" sheetId="8" r:id="rId7"/>
  </sheets>
  <definedNames>
    <definedName name="_xlnm._FilterDatabase" localSheetId="0" hidden="1">每日数据!$B$1:$B$29</definedName>
  </definedNames>
  <calcPr calcId="144525" concurrentCalc="0"/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sharedStrings.xml><?xml version="1.0" encoding="utf-8"?>
<sst xmlns="http://schemas.openxmlformats.org/spreadsheetml/2006/main" count="473" uniqueCount="246">
  <si>
    <t>图片</t>
  </si>
  <si>
    <t>日期</t>
  </si>
  <si>
    <t>周</t>
  </si>
  <si>
    <t>五</t>
  </si>
  <si>
    <t>六</t>
  </si>
  <si>
    <t>日</t>
  </si>
  <si>
    <t>一</t>
  </si>
  <si>
    <t>二</t>
  </si>
  <si>
    <t>三</t>
  </si>
  <si>
    <t>四</t>
  </si>
  <si>
    <t>访问数</t>
  </si>
  <si>
    <t>销量</t>
  </si>
  <si>
    <t>销售额</t>
  </si>
  <si>
    <t>刷单费用</t>
  </si>
  <si>
    <t>刷单数量</t>
  </si>
  <si>
    <t>库存及毛利：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</si>
  <si>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</si>
  <si>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</si>
  <si>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</si>
  <si>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</si>
  <si>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</si>
  <si>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</si>
  <si>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</si>
  <si>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</si>
  <si>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</si>
  <si>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</si>
  <si>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</si>
  <si>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</si>
  <si>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</si>
  <si>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</si>
  <si>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</si>
  <si>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</si>
  <si>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</si>
  <si>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</si>
  <si>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售价</t>
  </si>
  <si>
    <t>实际订单数</t>
  </si>
  <si>
    <t>实际销售额</t>
  </si>
  <si>
    <t>总费用</t>
  </si>
  <si>
    <t>费用占比</t>
  </si>
  <si>
    <t>销量增长率</t>
  </si>
  <si>
    <t>/</t>
  </si>
  <si>
    <t>SKU</t>
  </si>
  <si>
    <t>事项</t>
  </si>
  <si>
    <t>原</t>
  </si>
  <si>
    <t>新</t>
  </si>
  <si>
    <t>追踪日期</t>
  </si>
  <si>
    <t>每周营销数据</t>
  </si>
  <si>
    <t>项目</t>
  </si>
  <si>
    <t>SKU:</t>
  </si>
  <si>
    <t>转化率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</si>
  <si>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</si>
  <si>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</si>
  <si>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</si>
  <si>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</si>
  <si>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</si>
  <si>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</si>
  <si>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</si>
  <si>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</si>
  <si>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</si>
  <si>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ASIN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</si>
  <si>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</si>
  <si>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</si>
  <si>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</si>
  <si>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</si>
  <si>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</si>
  <si>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</si>
  <si>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</si>
  <si>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</si>
  <si>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</si>
  <si>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</si>
  <si>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</si>
  <si>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</si>
  <si>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</si>
  <si>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</si>
  <si>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</si>
  <si>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</si>
  <si>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</si>
  <si>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</si>
  <si>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</si>
  <si>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</si>
  <si>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</si>
  <si>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</si>
  <si>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</si>
  <si>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</si>
  <si>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</si>
  <si>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</si>
  <si>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</si>
  <si>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</si>
  <si>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</si>
  <si>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</si>
  <si>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</si>
  <si>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</si>
  <si>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</si>
  <si>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</si>
  <si>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</si>
  <si>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</si>
  <si>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</si>
  <si>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</si>
  <si>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</si>
  <si>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</si>
  <si>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</si>
  <si>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</si>
  <si>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</si>
  <si>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</si>
  <si>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</si>
  <si>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</si>
  <si>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</si>
  <si>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</si>
  <si>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</si>
  <si>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</si>
  <si>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</si>
  <si>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月退货率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</si>
  <si>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</si>
  <si>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</si>
  <si>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</si>
  <si>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</si>
  <si>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</si>
  <si>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</si>
  <si>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</si>
  <si>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</si>
  <si>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</si>
  <si>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</si>
  <si>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</si>
  <si>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</si>
  <si>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</si>
  <si>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</si>
  <si>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</si>
  <si>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</si>
  <si>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</si>
  <si>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</si>
  <si>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</si>
  <si>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</si>
  <si>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</si>
  <si>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</si>
  <si>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</si>
  <si>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</si>
  <si>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</si>
  <si>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</si>
  <si>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</si>
  <si>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更多资料请扫码关注公众号或添加个人微信获取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</si>
  <si>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</si>
  <si>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</si>
  <si>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</si>
  <si>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</si>
  <si>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</si>
  <si>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</si>
  <si>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</si>
  <si>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</si>
  <si>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</si>
  <si>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</si>
  <si>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</si>
  <si>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</si>
  <si>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</si>
  <si>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</si>
  <si>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</si>
  <si>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</si>
  <si>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</si>
  <si>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</si>
  <si>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</si>
  <si>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</si>
  <si>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</si>
  <si>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</si>
  <si>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</si>
  <si>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</si>
  <si>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</si>
  <si>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</si>
  <si>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</si>
  <si>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</si>
  <si>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</si>
  <si>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</si>
  <si>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</si>
  <si>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</si>
  <si>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</si>
  <si>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</si>
  <si>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</si>
  <si>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</si>
  <si>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</si>
  <si>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</si>
  <si>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</si>
  <si>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</si>
  <si>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</si>
  <si>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</si>
  <si>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</si>
  <si>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</si>
  <si>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</si>
  <si>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</si>
  <si>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</si>
  <si>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</si>
  <si>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</si>
  <si>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</si>
  <si>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</si>
  <si>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</si>
  <si>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</si>
  <si>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</si>
  <si>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</si>
  <si>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</si>
  <si>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</si>
  <si>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</si>
  <si>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</si>
  <si>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</si>
  <si>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</si>
  <si>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</si>
  <si>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</si>
  <si>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</si>
  <si>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</si>
  <si>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</si>
  <si>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</si>
  <si>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</si>
  <si>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</si>
  <si>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</si>
  <si>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</si>
  <si>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</si>
  <si>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</si>
  <si>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</si>
  <si>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</si>
  <si>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</si>
  <si>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</si>
  <si>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</si>
  <si>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</si>
  <si>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</si>
  <si>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</si>
  <si>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</si>
  <si>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</si>
  <si>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</si>
  <si>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</si>
  <si>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</si>
  <si>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</si>
  <si>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</si>
  <si>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</si>
  <si>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</si>
  <si>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</si>
  <si>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</si>
  <si>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</si>
  <si>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</si>
  <si>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Listing优化记录</t>
  </si>
  <si>
    <t>效果跟踪</t>
  </si>
  <si>
    <t>2019/1/14-1/20</t>
  </si>
  <si>
    <t>2019/1/21-1/27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</si>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</sst>
</file>

<file path=xl/styles.xml><?xml version="1.0" encoding="utf-8"?>
<styleSheet xmlns="http://schemas.openxmlformats.org/spreadsheetml/2006/main">
  <numFmts count="46">
    <numFmt numFmtId="176" formatCode="\¥#,##0.00;[Red]\¥\-#,##0.00"/>
    <numFmt numFmtId="23" formatCode="\$#,##0_);\(\$#,##0\)"/>
    <numFmt numFmtId="177" formatCode="#\ ??/??"/>
    <numFmt numFmtId="178" formatCode="mmmm\-yy"/>
    <numFmt numFmtId="179" formatCode="#\ ?/?"/>
    <numFmt numFmtId="26" formatCode="\$#,##0.00_);[Red]\(\$#,##0.00\)"/>
    <numFmt numFmtId="180" formatCode="[DBNum1][$-804]yyyy&quot;年&quot;m&quot;月&quot;d&quot;日&quot;"/>
    <numFmt numFmtId="181" formatCode="h:mm:ss\ AM/PM"/>
    <numFmt numFmtId="182" formatCode="[DBNum1][$-804]m&quot;月&quot;d&quot;日&quot;"/>
    <numFmt numFmtId="8" formatCode="&quot;￥&quot;#,##0.00;[Red]&quot;￥&quot;\-#,##0.00"/>
    <numFmt numFmtId="183" formatCode="yyyy/m/d\ h:mm\ AM/PM"/>
    <numFmt numFmtId="184" formatCode="mm/dd/yy"/>
    <numFmt numFmtId="185" formatCode="yy/m/d"/>
    <numFmt numFmtId="186" formatCode="mmmmm"/>
    <numFmt numFmtId="187" formatCode="h:mm\ AM/PM"/>
    <numFmt numFmtId="188" formatCode="[$-804]aaa"/>
    <numFmt numFmtId="42" formatCode="_ &quot;￥&quot;* #,##0_ ;_ &quot;￥&quot;* \-#,##0_ ;_ &quot;￥&quot;* &quot;-&quot;_ ;_ @_ "/>
    <numFmt numFmtId="189" formatCode="yyyy/m/d;@"/>
    <numFmt numFmtId="190" formatCode="[DBNum1]h&quot;时&quot;mm&quot;分&quot;"/>
    <numFmt numFmtId="191" formatCode="&quot;第&quot;@&quot;周&quot;"/>
    <numFmt numFmtId="44" formatCode="_ &quot;￥&quot;* #,##0.00_ ;_ &quot;￥&quot;* \-#,##0.00_ ;_ &quot;￥&quot;* &quot;-&quot;??_ ;_ @_ "/>
    <numFmt numFmtId="192" formatCode="[$-804]aaaa"/>
    <numFmt numFmtId="193" formatCode="m&quot;月&quot;d&quot;日&quot;;@"/>
    <numFmt numFmtId="194" formatCode="mmmmm\-yy"/>
    <numFmt numFmtId="195" formatCode="\¥#,##0;[Red]\¥\-#,##0"/>
    <numFmt numFmtId="196" formatCode="\¥#,##0.00;\¥\-#,##0.00"/>
    <numFmt numFmtId="197" formatCode="#\ ??"/>
    <numFmt numFmtId="198" formatCode="dd\-mmm\-yy"/>
    <numFmt numFmtId="6" formatCode="&quot;￥&quot;#,##0;[Red]&quot;￥&quot;\-#,##0"/>
    <numFmt numFmtId="24" formatCode="\$#,##0_);[Red]\(\$#,##0\)"/>
    <numFmt numFmtId="199" formatCode="0.0%"/>
    <numFmt numFmtId="200" formatCode="\¥#,##0;\¥\-#,##0"/>
    <numFmt numFmtId="201" formatCode="\$#,##0;\-\$#,##0"/>
    <numFmt numFmtId="202" formatCode="\$#,##0.00;\-\$#,##0.00"/>
    <numFmt numFmtId="203" formatCode="#,##0_ "/>
    <numFmt numFmtId="204" formatCode="m/d"/>
    <numFmt numFmtId="205" formatCode="#,##0.00_ "/>
    <numFmt numFmtId="7" formatCode="&quot;￥&quot;#,##0.00;&quot;￥&quot;\-#,##0.00"/>
    <numFmt numFmtId="25" formatCode="\$#,##0.00_);\(\$#,##0.00\)"/>
    <numFmt numFmtId="41" formatCode="_ * #,##0_ ;_ * \-#,##0_ ;_ * &quot;-&quot;_ ;_ @_ "/>
    <numFmt numFmtId="5" formatCode="&quot;￥&quot;#,##0;&quot;￥&quot;\-#,##0"/>
    <numFmt numFmtId="206" formatCode="0.0_ "/>
    <numFmt numFmtId="207" formatCode="0_ "/>
    <numFmt numFmtId="208" formatCode="[DBNum1][$-804]yyyy&quot;年&quot;m&quot;月&quot;"/>
    <numFmt numFmtId="43" formatCode="_ * #,##0.00_ ;_ * \-#,##0.00_ ;_ * &quot;-&quot;??_ ;_ @_ "/>
    <numFmt numFmtId="209" formatCode="[DBNum1]上午/下午h&quot;时&quot;mm&quot;分&quot;"/>
  </numFmts>
  <fonts count="3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indexed="8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>
      <alignment vertical="center"/>
    </xf>
    <xf numFmtId="0" fontId="32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31" fillId="44" borderId="16" applyNumberFormat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26" fillId="27" borderId="16" applyNumberFormat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4" fillId="29" borderId="14" applyNumberFormat="0" applyAlignment="0" applyProtection="0">
      <alignment vertical="center"/>
    </xf>
    <xf numFmtId="0" fontId="23" fillId="27" borderId="13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</cellStyleXfs>
  <cellXfs count="18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20" applyFont="1" applyFill="1" applyBorder="1" applyAlignment="1">
      <alignment horizontal="center" vertical="center"/>
    </xf>
    <xf numFmtId="58" fontId="3" fillId="3" borderId="1" xfId="1" applyNumberFormat="1" applyFont="1" applyFill="1" applyBorder="1" applyAlignment="1">
      <alignment horizontal="center" vertical="center"/>
    </xf>
    <xf numFmtId="0" fontId="3" fillId="4" borderId="1" xfId="20" applyFont="1" applyFill="1" applyBorder="1" applyAlignment="1">
      <alignment horizontal="center" vertical="center" wrapText="1"/>
    </xf>
    <xf numFmtId="203" fontId="1" fillId="0" borderId="1" xfId="0" applyNumberFormat="1" applyFont="1" applyFill="1" applyBorder="1" applyAlignment="1">
      <alignment horizontal="center" vertical="center"/>
    </xf>
    <xf numFmtId="207" fontId="1" fillId="0" borderId="1" xfId="0" applyNumberFormat="1" applyFont="1" applyFill="1" applyBorder="1" applyAlignment="1">
      <alignment horizontal="center" vertical="center"/>
    </xf>
    <xf numFmtId="202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93" fontId="1" fillId="0" borderId="0" xfId="0" applyNumberFormat="1" applyFont="1" applyFill="1" applyBorder="1" applyAlignment="1">
      <alignment vertical="center"/>
    </xf>
    <xf numFmtId="193" fontId="1" fillId="0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9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93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93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19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93" fontId="1" fillId="5" borderId="1" xfId="0" applyNumberFormat="1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91" fontId="4" fillId="0" borderId="0" xfId="0" applyNumberFormat="1" applyFont="1" applyFill="1" applyAlignment="1">
      <alignment horizontal="center" vertical="center"/>
    </xf>
    <xf numFmtId="193" fontId="4" fillId="0" borderId="0" xfId="0" applyNumberFormat="1" applyFont="1" applyFill="1" applyAlignment="1">
      <alignment horizontal="center" vertical="center"/>
    </xf>
    <xf numFmtId="20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7" fontId="4" fillId="7" borderId="1" xfId="0" applyNumberFormat="1" applyFont="1" applyFill="1" applyBorder="1" applyAlignment="1">
      <alignment horizontal="center" vertical="center"/>
    </xf>
    <xf numFmtId="193" fontId="4" fillId="7" borderId="1" xfId="0" applyNumberFormat="1" applyFont="1" applyFill="1" applyBorder="1" applyAlignment="1">
      <alignment horizontal="center" vertical="center"/>
    </xf>
    <xf numFmtId="191" fontId="4" fillId="0" borderId="1" xfId="0" applyNumberFormat="1" applyFont="1" applyFill="1" applyBorder="1" applyAlignment="1">
      <alignment horizontal="center" vertical="center"/>
    </xf>
    <xf numFmtId="193" fontId="4" fillId="0" borderId="1" xfId="0" applyNumberFormat="1" applyFont="1" applyFill="1" applyBorder="1" applyAlignment="1">
      <alignment horizontal="center" vertical="center"/>
    </xf>
    <xf numFmtId="207" fontId="4" fillId="0" borderId="1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207" fontId="4" fillId="0" borderId="5" xfId="0" applyNumberFormat="1" applyFont="1" applyFill="1" applyBorder="1" applyAlignment="1">
      <alignment horizontal="center" vertical="center" wrapText="1"/>
    </xf>
    <xf numFmtId="193" fontId="4" fillId="0" borderId="5" xfId="0" applyNumberFormat="1" applyFont="1" applyFill="1" applyBorder="1" applyAlignment="1">
      <alignment horizontal="center" vertical="center" wrapText="1"/>
    </xf>
    <xf numFmtId="191" fontId="4" fillId="0" borderId="6" xfId="0" applyNumberFormat="1" applyFont="1" applyFill="1" applyBorder="1" applyAlignment="1">
      <alignment horizontal="center" vertical="center"/>
    </xf>
    <xf numFmtId="193" fontId="4" fillId="0" borderId="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02" fontId="4" fillId="0" borderId="1" xfId="0" applyNumberFormat="1" applyFont="1" applyFill="1" applyBorder="1" applyAlignment="1">
      <alignment horizontal="center" vertical="center"/>
    </xf>
    <xf numFmtId="189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24" fontId="4" fillId="0" borderId="1" xfId="0" applyNumberFormat="1" applyFont="1" applyFill="1" applyBorder="1" applyAlignment="1">
      <alignment horizontal="center" vertical="center"/>
    </xf>
    <xf numFmtId="202" fontId="4" fillId="0" borderId="1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89" fontId="4" fillId="8" borderId="1" xfId="0" applyNumberFormat="1" applyFont="1" applyFill="1" applyBorder="1" applyAlignment="1">
      <alignment horizontal="center" vertical="center"/>
    </xf>
    <xf numFmtId="189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5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202" fontId="4" fillId="0" borderId="6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199" fontId="4" fillId="0" borderId="5" xfId="0" applyNumberFormat="1" applyFont="1" applyFill="1" applyBorder="1" applyAlignment="1">
      <alignment horizontal="center" vertical="center" wrapText="1"/>
    </xf>
    <xf numFmtId="199" fontId="7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203" fontId="4" fillId="0" borderId="1" xfId="0" applyNumberFormat="1" applyFont="1" applyFill="1" applyBorder="1" applyAlignment="1">
      <alignment horizontal="center" vertical="center"/>
    </xf>
    <xf numFmtId="205" fontId="4" fillId="7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91" fontId="4" fillId="12" borderId="0" xfId="0" applyNumberFormat="1" applyFont="1" applyFill="1" applyAlignment="1">
      <alignment horizontal="center" vertical="center"/>
    </xf>
    <xf numFmtId="207" fontId="4" fillId="13" borderId="1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207" fontId="4" fillId="0" borderId="1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0" fontId="4" fillId="0" borderId="2" xfId="0" applyNumberFormat="1" applyFont="1" applyFill="1" applyBorder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10" fontId="4" fillId="0" borderId="7" xfId="0" applyNumberFormat="1" applyFont="1" applyFill="1" applyBorder="1" applyAlignment="1">
      <alignment horizontal="center" vertical="center"/>
    </xf>
    <xf numFmtId="205" fontId="4" fillId="0" borderId="2" xfId="0" applyNumberFormat="1" applyFont="1" applyFill="1" applyBorder="1" applyAlignment="1">
      <alignment horizontal="center" vertical="center"/>
    </xf>
    <xf numFmtId="205" fontId="4" fillId="0" borderId="7" xfId="0" applyNumberFormat="1" applyFont="1" applyFill="1" applyBorder="1" applyAlignment="1">
      <alignment horizontal="center" vertical="center"/>
    </xf>
    <xf numFmtId="205" fontId="4" fillId="0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202" fontId="4" fillId="7" borderId="1" xfId="0" applyNumberFormat="1" applyFont="1" applyFill="1" applyBorder="1" applyAlignment="1">
      <alignment horizontal="center" vertical="center"/>
    </xf>
    <xf numFmtId="191" fontId="4" fillId="12" borderId="0" xfId="0" applyNumberFormat="1" applyFont="1" applyFill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93" fontId="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203" fontId="12" fillId="0" borderId="1" xfId="0" applyNumberFormat="1" applyFont="1" applyFill="1" applyBorder="1" applyAlignment="1">
      <alignment horizontal="center" vertical="center"/>
    </xf>
    <xf numFmtId="202" fontId="12" fillId="0" borderId="1" xfId="0" applyNumberFormat="1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203" fontId="1" fillId="0" borderId="0" xfId="0" applyNumberFormat="1" applyFont="1" applyFill="1" applyBorder="1" applyAlignment="1">
      <alignment horizontal="center" vertical="center"/>
    </xf>
    <xf numFmtId="207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Alignment="1">
      <alignment horizontal="center" vertical="center"/>
    </xf>
    <xf numFmtId="207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0" fontId="3" fillId="5" borderId="2" xfId="20" applyFont="1" applyFill="1" applyBorder="1" applyAlignment="1">
      <alignment horizontal="center" vertical="center" wrapText="1"/>
    </xf>
    <xf numFmtId="203" fontId="3" fillId="5" borderId="1" xfId="20" applyNumberFormat="1" applyFont="1" applyFill="1" applyBorder="1" applyAlignment="1">
      <alignment horizontal="center" vertical="center" wrapText="1"/>
    </xf>
    <xf numFmtId="203" fontId="3" fillId="14" borderId="7" xfId="1" applyNumberFormat="1" applyFont="1" applyFill="1" applyBorder="1" applyAlignment="1">
      <alignment horizontal="center" vertical="center"/>
    </xf>
    <xf numFmtId="203" fontId="1" fillId="0" borderId="2" xfId="0" applyNumberFormat="1" applyFont="1" applyFill="1" applyBorder="1" applyAlignment="1">
      <alignment horizontal="center" vertical="center"/>
    </xf>
    <xf numFmtId="203" fontId="1" fillId="0" borderId="7" xfId="0" applyNumberFormat="1" applyFont="1" applyFill="1" applyBorder="1" applyAlignment="1">
      <alignment horizontal="center" vertical="center"/>
    </xf>
    <xf numFmtId="207" fontId="3" fillId="5" borderId="1" xfId="20" applyNumberFormat="1" applyFont="1" applyFill="1" applyBorder="1" applyAlignment="1">
      <alignment horizontal="center" vertical="center" wrapText="1"/>
    </xf>
    <xf numFmtId="207" fontId="3" fillId="14" borderId="7" xfId="1" applyNumberFormat="1" applyFont="1" applyFill="1" applyBorder="1" applyAlignment="1">
      <alignment horizontal="center" vertical="center"/>
    </xf>
    <xf numFmtId="207" fontId="1" fillId="0" borderId="2" xfId="0" applyNumberFormat="1" applyFont="1" applyFill="1" applyBorder="1" applyAlignment="1">
      <alignment horizontal="center" vertical="center"/>
    </xf>
    <xf numFmtId="207" fontId="1" fillId="0" borderId="7" xfId="0" applyNumberFormat="1" applyFont="1" applyFill="1" applyBorder="1" applyAlignment="1">
      <alignment horizontal="center" vertical="center"/>
    </xf>
    <xf numFmtId="202" fontId="3" fillId="14" borderId="7" xfId="1" applyNumberFormat="1" applyFont="1" applyFill="1" applyBorder="1" applyAlignment="1">
      <alignment horizontal="center" vertical="center"/>
    </xf>
    <xf numFmtId="202" fontId="1" fillId="0" borderId="2" xfId="0" applyNumberFormat="1" applyFont="1" applyFill="1" applyBorder="1" applyAlignment="1">
      <alignment horizontal="center" vertical="center"/>
    </xf>
    <xf numFmtId="202" fontId="1" fillId="0" borderId="7" xfId="0" applyNumberFormat="1" applyFont="1" applyFill="1" applyBorder="1" applyAlignment="1">
      <alignment horizontal="center" vertical="center"/>
    </xf>
    <xf numFmtId="202" fontId="3" fillId="14" borderId="7" xfId="20" applyNumberFormat="1" applyFont="1" applyFill="1" applyBorder="1" applyAlignment="1">
      <alignment horizontal="center" vertical="center"/>
    </xf>
    <xf numFmtId="207" fontId="3" fillId="14" borderId="7" xfId="20" applyNumberFormat="1" applyFont="1" applyFill="1" applyBorder="1" applyAlignment="1">
      <alignment horizontal="center" vertical="center"/>
    </xf>
    <xf numFmtId="10" fontId="3" fillId="5" borderId="1" xfId="20" applyNumberFormat="1" applyFont="1" applyFill="1" applyBorder="1" applyAlignment="1">
      <alignment horizontal="center" vertical="center" wrapText="1"/>
    </xf>
    <xf numFmtId="10" fontId="3" fillId="15" borderId="7" xfId="1" applyNumberFormat="1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202" fontId="3" fillId="5" borderId="1" xfId="20" applyNumberFormat="1" applyFont="1" applyFill="1" applyBorder="1" applyAlignment="1">
      <alignment horizontal="center" vertical="center" wrapText="1"/>
    </xf>
    <xf numFmtId="202" fontId="1" fillId="15" borderId="7" xfId="0" applyNumberFormat="1" applyFont="1" applyFill="1" applyBorder="1" applyAlignment="1">
      <alignment horizontal="center" vertical="center"/>
    </xf>
    <xf numFmtId="207" fontId="1" fillId="15" borderId="7" xfId="0" applyNumberFormat="1" applyFont="1" applyFill="1" applyBorder="1" applyAlignment="1">
      <alignment horizontal="center" vertical="center"/>
    </xf>
    <xf numFmtId="202" fontId="3" fillId="15" borderId="7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9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93" fontId="1" fillId="0" borderId="1" xfId="0" applyNumberFormat="1" applyFont="1" applyBorder="1" applyAlignment="1">
      <alignment horizontal="center" vertical="center"/>
    </xf>
    <xf numFmtId="203" fontId="1" fillId="0" borderId="0" xfId="0" applyNumberFormat="1" applyFont="1" applyAlignment="1">
      <alignment horizontal="center" vertical="center"/>
    </xf>
    <xf numFmtId="207" fontId="1" fillId="0" borderId="0" xfId="0" applyNumberFormat="1" applyFont="1" applyAlignment="1">
      <alignment horizontal="center" vertical="center"/>
    </xf>
    <xf numFmtId="202" fontId="1" fillId="0" borderId="0" xfId="0" applyNumberFormat="1" applyFont="1" applyAlignment="1">
      <alignment horizontal="center" vertical="center"/>
    </xf>
    <xf numFmtId="206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01" fontId="1" fillId="0" borderId="0" xfId="0" applyNumberFormat="1" applyFont="1" applyAlignment="1">
      <alignment horizontal="center" vertical="center"/>
    </xf>
    <xf numFmtId="193" fontId="3" fillId="0" borderId="1" xfId="20" applyNumberFormat="1" applyFont="1" applyFill="1" applyBorder="1" applyAlignment="1">
      <alignment horizontal="center" vertical="center" wrapText="1"/>
    </xf>
    <xf numFmtId="193" fontId="3" fillId="13" borderId="1" xfId="20" applyNumberFormat="1" applyFont="1" applyFill="1" applyBorder="1" applyAlignment="1">
      <alignment horizontal="center" vertical="center"/>
    </xf>
    <xf numFmtId="0" fontId="3" fillId="0" borderId="1" xfId="20" applyFont="1" applyFill="1" applyBorder="1" applyAlignment="1">
      <alignment horizontal="center" vertical="center" wrapText="1"/>
    </xf>
    <xf numFmtId="0" fontId="3" fillId="13" borderId="1" xfId="20" applyFont="1" applyFill="1" applyBorder="1" applyAlignment="1">
      <alignment horizontal="center" vertical="center"/>
    </xf>
    <xf numFmtId="203" fontId="3" fillId="0" borderId="1" xfId="20" applyNumberFormat="1" applyFont="1" applyFill="1" applyBorder="1" applyAlignment="1">
      <alignment horizontal="center" vertical="center" wrapText="1"/>
    </xf>
    <xf numFmtId="203" fontId="3" fillId="14" borderId="1" xfId="1" applyNumberFormat="1" applyFont="1" applyFill="1" applyBorder="1" applyAlignment="1">
      <alignment horizontal="center" vertical="center"/>
    </xf>
    <xf numFmtId="203" fontId="1" fillId="0" borderId="1" xfId="0" applyNumberFormat="1" applyFont="1" applyBorder="1" applyAlignment="1">
      <alignment horizontal="center" vertical="center"/>
    </xf>
    <xf numFmtId="207" fontId="3" fillId="0" borderId="1" xfId="20" applyNumberFormat="1" applyFont="1" applyFill="1" applyBorder="1" applyAlignment="1">
      <alignment horizontal="center" vertical="center" wrapText="1"/>
    </xf>
    <xf numFmtId="207" fontId="3" fillId="14" borderId="1" xfId="1" applyNumberFormat="1" applyFont="1" applyFill="1" applyBorder="1" applyAlignment="1">
      <alignment horizontal="center" vertical="center"/>
    </xf>
    <xf numFmtId="207" fontId="1" fillId="0" borderId="1" xfId="0" applyNumberFormat="1" applyFont="1" applyBorder="1" applyAlignment="1">
      <alignment horizontal="center" vertical="center"/>
    </xf>
    <xf numFmtId="202" fontId="3" fillId="0" borderId="1" xfId="20" applyNumberFormat="1" applyFont="1" applyFill="1" applyBorder="1" applyAlignment="1">
      <alignment horizontal="center" vertical="center" wrapText="1"/>
    </xf>
    <xf numFmtId="202" fontId="3" fillId="14" borderId="1" xfId="1" applyNumberFormat="1" applyFont="1" applyFill="1" applyBorder="1" applyAlignment="1">
      <alignment horizontal="center" vertical="center"/>
    </xf>
    <xf numFmtId="202" fontId="1" fillId="0" borderId="1" xfId="0" applyNumberFormat="1" applyFont="1" applyBorder="1" applyAlignment="1">
      <alignment horizontal="center" vertical="center"/>
    </xf>
    <xf numFmtId="202" fontId="3" fillId="14" borderId="1" xfId="20" applyNumberFormat="1" applyFont="1" applyFill="1" applyBorder="1" applyAlignment="1">
      <alignment horizontal="center" vertical="center"/>
    </xf>
    <xf numFmtId="207" fontId="3" fillId="14" borderId="1" xfId="20" applyNumberFormat="1" applyFont="1" applyFill="1" applyBorder="1" applyAlignment="1">
      <alignment horizontal="center" vertical="center"/>
    </xf>
    <xf numFmtId="203" fontId="3" fillId="15" borderId="1" xfId="1" applyNumberFormat="1" applyFont="1" applyFill="1" applyBorder="1" applyAlignment="1">
      <alignment horizontal="center" vertical="center"/>
    </xf>
    <xf numFmtId="207" fontId="3" fillId="15" borderId="1" xfId="1" applyNumberFormat="1" applyFont="1" applyFill="1" applyBorder="1" applyAlignment="1">
      <alignment horizontal="center" vertical="center"/>
    </xf>
    <xf numFmtId="202" fontId="3" fillId="15" borderId="1" xfId="1" applyNumberFormat="1" applyFont="1" applyFill="1" applyBorder="1" applyAlignment="1">
      <alignment horizontal="center" vertical="center"/>
    </xf>
    <xf numFmtId="207" fontId="3" fillId="0" borderId="6" xfId="20" applyNumberFormat="1" applyFont="1" applyFill="1" applyBorder="1" applyAlignment="1">
      <alignment horizontal="center" vertical="center" wrapText="1"/>
    </xf>
    <xf numFmtId="207" fontId="3" fillId="16" borderId="1" xfId="1" applyNumberFormat="1" applyFont="1" applyFill="1" applyBorder="1" applyAlignment="1">
      <alignment horizontal="center" vertical="center"/>
    </xf>
    <xf numFmtId="207" fontId="3" fillId="0" borderId="8" xfId="20" applyNumberFormat="1" applyFont="1" applyFill="1" applyBorder="1" applyAlignment="1">
      <alignment horizontal="center" vertical="center" wrapText="1"/>
    </xf>
    <xf numFmtId="206" fontId="3" fillId="0" borderId="8" xfId="20" applyNumberFormat="1" applyFont="1" applyFill="1" applyBorder="1" applyAlignment="1">
      <alignment horizontal="center" vertical="center" wrapText="1"/>
    </xf>
    <xf numFmtId="206" fontId="3" fillId="16" borderId="1" xfId="1" applyNumberFormat="1" applyFont="1" applyFill="1" applyBorder="1" applyAlignment="1">
      <alignment horizontal="center" vertical="center"/>
    </xf>
    <xf numFmtId="206" fontId="1" fillId="0" borderId="1" xfId="0" applyNumberFormat="1" applyFont="1" applyBorder="1" applyAlignment="1">
      <alignment horizontal="center" vertical="center"/>
    </xf>
    <xf numFmtId="207" fontId="3" fillId="0" borderId="5" xfId="2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17" borderId="1" xfId="1" applyNumberFormat="1" applyFont="1" applyFill="1" applyBorder="1" applyAlignment="1">
      <alignment horizontal="center" vertical="center"/>
    </xf>
    <xf numFmtId="10" fontId="1" fillId="17" borderId="1" xfId="0" applyNumberFormat="1" applyFont="1" applyFill="1" applyBorder="1" applyAlignment="1">
      <alignment horizontal="center" vertical="center"/>
    </xf>
    <xf numFmtId="202" fontId="3" fillId="17" borderId="1" xfId="1" applyNumberFormat="1" applyFont="1" applyFill="1" applyBorder="1" applyAlignment="1">
      <alignment horizontal="center" vertical="center"/>
    </xf>
    <xf numFmtId="202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201" fontId="1" fillId="0" borderId="1" xfId="0" applyNumberFormat="1" applyFont="1" applyBorder="1" applyAlignment="1">
      <alignment horizontal="center" vertical="center"/>
    </xf>
    <xf numFmtId="201" fontId="3" fillId="17" borderId="1" xfId="1" applyNumberFormat="1" applyFont="1" applyFill="1" applyBorder="1" applyAlignment="1">
      <alignment horizontal="center" vertical="center"/>
    </xf>
  </cellXfs>
  <cellStyles count="51">
    <cellStyle name="常规" xfId="0" builtinId="0"/>
    <cellStyle name="常规 12 2 4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常规 23" xfId="20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2" defaultPivotStyle="PivotStyleLight16"/>
  <colors>
    <mruColors>
      <color rgb="00FBD4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79</xdr:col>
      <xdr:colOff>82550</xdr:colOff>
      <xdr:row>4</xdr:row>
      <xdr:rowOff>50800</xdr:rowOff>
    </xdr:from>
    <xdr:to>
      <xdr:col>82</xdr:col>
      <xdr:colOff>489585</xdr:colOff>
      <xdr:row>14</xdr:row>
      <xdr:rowOff>152400</xdr:rowOff>
    </xdr:to>
    <xdr:pic>
      <xdr:nvPicPr>
        <xdr:cNvPr id="2" name="图片 1" descr="公众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69790" y="1422400"/>
          <a:ext cx="2466340" cy="2387600"/>
        </a:xfrm>
        <a:prstGeom prst="rect">
          <a:avLst/>
        </a:prstGeom>
      </xdr:spPr>
    </xdr:pic>
    <xdr:clientData/>
  </xdr:twoCellAnchor>
  <xdr:twoCellAnchor editAs="oneCell">
    <xdr:from>
      <xdr:col>83</xdr:col>
      <xdr:colOff>147955</xdr:colOff>
      <xdr:row>4</xdr:row>
      <xdr:rowOff>45720</xdr:rowOff>
    </xdr:from>
    <xdr:to>
      <xdr:col>86</xdr:col>
      <xdr:colOff>327025</xdr:colOff>
      <xdr:row>16</xdr:row>
      <xdr:rowOff>101600</xdr:rowOff>
    </xdr:to>
    <xdr:pic>
      <xdr:nvPicPr>
        <xdr:cNvPr id="3" name="图片 2" descr="微信图片_202011071338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280935" y="1417320"/>
          <a:ext cx="2238375" cy="2799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showGridLines="0" workbookViewId="0">
      <pane xSplit="2" topLeftCell="C1" activePane="topRight" state="frozen"/>
      <selection/>
      <selection pane="topRight" activeCell="F8" sqref="F8:F9"/>
    </sheetView>
  </sheetViews>
  <sheetFormatPr defaultColWidth="8.88888888888889" defaultRowHeight="18" customHeight="1"/>
  <cols>
    <col min="1" max="1" width="19" style="137" customWidth="1"/>
    <col min="2" max="2" width="13.8888888888889" style="137" customWidth="1"/>
    <col min="3" max="16384" width="8.88888888888889" style="137"/>
  </cols>
  <sheetData>
    <row r="1" s="138" customFormat="1" customHeight="1" spans="1:23">
      <c r="A1" s="147" t="s">
        <v>0</v>
      </c>
      <c r="B1" s="148" t="s">
        <v>1</v>
      </c>
      <c r="C1" s="148">
        <v>43476</v>
      </c>
      <c r="D1" s="148">
        <v>43477</v>
      </c>
      <c r="E1" s="148">
        <v>43478</v>
      </c>
      <c r="F1" s="148">
        <v>43479</v>
      </c>
      <c r="G1" s="148">
        <v>43480</v>
      </c>
      <c r="H1" s="148">
        <v>43481</v>
      </c>
      <c r="I1" s="148">
        <v>43482</v>
      </c>
      <c r="J1" s="148">
        <v>43483</v>
      </c>
      <c r="K1" s="148">
        <v>43484</v>
      </c>
      <c r="L1" s="148">
        <v>43485</v>
      </c>
      <c r="M1" s="148">
        <v>43486</v>
      </c>
      <c r="N1" s="148">
        <v>43487</v>
      </c>
      <c r="O1" s="148">
        <v>43488</v>
      </c>
      <c r="P1" s="148">
        <v>43489</v>
      </c>
      <c r="Q1" s="148">
        <v>43490</v>
      </c>
      <c r="R1" s="148">
        <v>43491</v>
      </c>
      <c r="S1" s="148">
        <v>43492</v>
      </c>
      <c r="T1" s="148">
        <v>43493</v>
      </c>
      <c r="U1" s="148">
        <v>43494</v>
      </c>
      <c r="V1" s="148">
        <v>43495</v>
      </c>
      <c r="W1" s="148">
        <v>43496</v>
      </c>
    </row>
    <row r="2" customHeight="1" spans="1:23">
      <c r="A2" s="149"/>
      <c r="B2" s="150" t="s">
        <v>2</v>
      </c>
      <c r="C2" s="150" t="s">
        <v>3</v>
      </c>
      <c r="D2" s="150" t="s">
        <v>4</v>
      </c>
      <c r="E2" s="150" t="s">
        <v>5</v>
      </c>
      <c r="F2" s="150" t="s">
        <v>6</v>
      </c>
      <c r="G2" s="150" t="s">
        <v>7</v>
      </c>
      <c r="H2" s="150" t="s">
        <v>8</v>
      </c>
      <c r="I2" s="150" t="s">
        <v>9</v>
      </c>
      <c r="J2" s="150" t="s">
        <v>3</v>
      </c>
      <c r="K2" s="150" t="s">
        <v>4</v>
      </c>
      <c r="L2" s="150" t="s">
        <v>5</v>
      </c>
      <c r="M2" s="150" t="s">
        <v>6</v>
      </c>
      <c r="N2" s="150" t="s">
        <v>7</v>
      </c>
      <c r="O2" s="150" t="s">
        <v>8</v>
      </c>
      <c r="P2" s="150" t="s">
        <v>9</v>
      </c>
      <c r="Q2" s="150" t="s">
        <v>3</v>
      </c>
      <c r="R2" s="150" t="s">
        <v>4</v>
      </c>
      <c r="S2" s="150" t="s">
        <v>5</v>
      </c>
      <c r="T2" s="150" t="s">
        <v>6</v>
      </c>
      <c r="U2" s="150" t="s">
        <v>7</v>
      </c>
      <c r="V2" s="150" t="s">
        <v>8</v>
      </c>
      <c r="W2" s="150" t="s">
        <v>9</v>
      </c>
    </row>
    <row r="3" s="141" customFormat="1" customHeight="1" spans="1:23">
      <c r="A3" s="151"/>
      <c r="B3" s="152" t="s">
        <v>10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</row>
    <row r="4" s="142" customFormat="1" customHeight="1" spans="1:23">
      <c r="A4" s="154"/>
      <c r="B4" s="155" t="s">
        <v>11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</row>
    <row r="5" s="143" customFormat="1" customHeight="1" spans="1:23">
      <c r="A5" s="157"/>
      <c r="B5" s="158" t="s">
        <v>12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</row>
    <row r="6" s="143" customFormat="1" customHeight="1" spans="1:23">
      <c r="A6" s="157"/>
      <c r="B6" s="160" t="s">
        <v>13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</row>
    <row r="7" customHeight="1" spans="1:23">
      <c r="A7" s="149"/>
      <c r="B7" s="161" t="s">
        <v>14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</row>
    <row r="8" s="141" customFormat="1" customHeight="1" spans="1:23">
      <c r="A8" s="151" t="s">
        <v>15</v>
      </c>
      <c r="B8" s="162" t="s">
        <v>16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</row>
    <row r="9" s="142" customFormat="1" customHeight="1" spans="1:23">
      <c r="A9" s="154"/>
      <c r="B9" s="163" t="s">
        <v>17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</row>
    <row r="10" s="142" customFormat="1" customHeight="1" spans="1:23">
      <c r="A10" s="154"/>
      <c r="B10" s="163" t="s">
        <v>18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</row>
    <row r="11" s="143" customFormat="1" customHeight="1" spans="1:23">
      <c r="A11" s="157"/>
      <c r="B11" s="164" t="s">
        <v>19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</row>
    <row r="12" s="142" customFormat="1" customHeight="1" spans="1:23">
      <c r="A12" s="165" t="s">
        <v>20</v>
      </c>
      <c r="B12" s="166" t="s">
        <v>21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 s="142" customFormat="1" customHeight="1" spans="1:23">
      <c r="A13" s="167"/>
      <c r="B13" s="166" t="s">
        <v>22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</row>
    <row r="14" s="142" customFormat="1" customHeight="1" spans="1:23">
      <c r="A14" s="167"/>
      <c r="B14" s="166" t="s">
        <v>23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</row>
    <row r="15" s="142" customFormat="1" customHeight="1" spans="1:23">
      <c r="A15" s="167"/>
      <c r="B15" s="166" t="s">
        <v>24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</row>
    <row r="16" s="142" customFormat="1" customHeight="1" spans="1:23">
      <c r="A16" s="167"/>
      <c r="B16" s="166" t="s">
        <v>25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</row>
    <row r="17" s="144" customFormat="1" customHeight="1" spans="1:23">
      <c r="A17" s="168"/>
      <c r="B17" s="169" t="s">
        <v>26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</row>
    <row r="18" s="142" customFormat="1" customHeight="1" spans="1:23">
      <c r="A18" s="171"/>
      <c r="B18" s="166" t="s">
        <v>27</v>
      </c>
      <c r="C18" s="156">
        <f t="shared" ref="C18:W18" si="0">C15+C16</f>
        <v>0</v>
      </c>
      <c r="D18" s="156">
        <f t="shared" si="0"/>
        <v>0</v>
      </c>
      <c r="E18" s="156">
        <f t="shared" si="0"/>
        <v>0</v>
      </c>
      <c r="F18" s="156">
        <f t="shared" si="0"/>
        <v>0</v>
      </c>
      <c r="G18" s="156">
        <f t="shared" si="0"/>
        <v>0</v>
      </c>
      <c r="H18" s="156">
        <f t="shared" si="0"/>
        <v>0</v>
      </c>
      <c r="I18" s="156">
        <f t="shared" si="0"/>
        <v>0</v>
      </c>
      <c r="J18" s="156">
        <f t="shared" si="0"/>
        <v>0</v>
      </c>
      <c r="K18" s="156">
        <f t="shared" si="0"/>
        <v>0</v>
      </c>
      <c r="L18" s="156">
        <f t="shared" si="0"/>
        <v>0</v>
      </c>
      <c r="M18" s="156">
        <f t="shared" si="0"/>
        <v>0</v>
      </c>
      <c r="N18" s="156">
        <f t="shared" si="0"/>
        <v>0</v>
      </c>
      <c r="O18" s="156">
        <f t="shared" si="0"/>
        <v>0</v>
      </c>
      <c r="P18" s="156">
        <f t="shared" si="0"/>
        <v>0</v>
      </c>
      <c r="Q18" s="156">
        <f t="shared" si="0"/>
        <v>0</v>
      </c>
      <c r="R18" s="156">
        <f t="shared" si="0"/>
        <v>0</v>
      </c>
      <c r="S18" s="156">
        <f t="shared" si="0"/>
        <v>0</v>
      </c>
      <c r="T18" s="156">
        <f t="shared" si="0"/>
        <v>0</v>
      </c>
      <c r="U18" s="156">
        <f t="shared" si="0"/>
        <v>0</v>
      </c>
      <c r="V18" s="156">
        <f t="shared" si="0"/>
        <v>0</v>
      </c>
      <c r="W18" s="156">
        <f t="shared" si="0"/>
        <v>0</v>
      </c>
    </row>
    <row r="19" s="145" customFormat="1" customHeight="1" spans="1:23">
      <c r="A19" s="172" t="s">
        <v>28</v>
      </c>
      <c r="B19" s="173" t="s">
        <v>29</v>
      </c>
      <c r="C19" s="172" t="e">
        <f>C9/C3</f>
        <v>#DIV/0!</v>
      </c>
      <c r="D19" s="172" t="e">
        <f>D9/D3</f>
        <v>#DIV/0!</v>
      </c>
      <c r="E19" s="172" t="e">
        <f>E9/E3</f>
        <v>#DIV/0!</v>
      </c>
      <c r="F19" s="172" t="e">
        <f>F9/F3</f>
        <v>#DIV/0!</v>
      </c>
      <c r="G19" s="172" t="e">
        <f t="shared" ref="G19:M19" si="1">G9/G3</f>
        <v>#DIV/0!</v>
      </c>
      <c r="H19" s="172" t="e">
        <f t="shared" si="1"/>
        <v>#DIV/0!</v>
      </c>
      <c r="I19" s="172" t="e">
        <f t="shared" si="1"/>
        <v>#DIV/0!</v>
      </c>
      <c r="J19" s="172" t="e">
        <f t="shared" si="1"/>
        <v>#DIV/0!</v>
      </c>
      <c r="K19" s="172" t="e">
        <f t="shared" si="1"/>
        <v>#DIV/0!</v>
      </c>
      <c r="L19" s="172" t="e">
        <f t="shared" si="1"/>
        <v>#DIV/0!</v>
      </c>
      <c r="M19" s="172" t="e">
        <f t="shared" si="1"/>
        <v>#DIV/0!</v>
      </c>
      <c r="N19" s="172" t="e">
        <f t="shared" ref="N19:W19" si="2">N9/N3</f>
        <v>#DIV/0!</v>
      </c>
      <c r="O19" s="172" t="e">
        <f t="shared" si="2"/>
        <v>#DIV/0!</v>
      </c>
      <c r="P19" s="172" t="e">
        <f t="shared" si="2"/>
        <v>#DIV/0!</v>
      </c>
      <c r="Q19" s="172" t="e">
        <f t="shared" si="2"/>
        <v>#DIV/0!</v>
      </c>
      <c r="R19" s="172" t="e">
        <f t="shared" si="2"/>
        <v>#DIV/0!</v>
      </c>
      <c r="S19" s="172" t="e">
        <f t="shared" si="2"/>
        <v>#DIV/0!</v>
      </c>
      <c r="T19" s="172" t="e">
        <f t="shared" si="2"/>
        <v>#DIV/0!</v>
      </c>
      <c r="U19" s="172" t="e">
        <f t="shared" si="2"/>
        <v>#DIV/0!</v>
      </c>
      <c r="V19" s="172" t="e">
        <f t="shared" si="2"/>
        <v>#DIV/0!</v>
      </c>
      <c r="W19" s="172" t="e">
        <f t="shared" si="2"/>
        <v>#DIV/0!</v>
      </c>
    </row>
    <row r="20" s="145" customFormat="1" customHeight="1" spans="1:23">
      <c r="A20" s="172"/>
      <c r="B20" s="174" t="s">
        <v>30</v>
      </c>
      <c r="C20" s="172" t="e">
        <f>C9/C8</f>
        <v>#DIV/0!</v>
      </c>
      <c r="D20" s="172" t="e">
        <f>D9/D8</f>
        <v>#DIV/0!</v>
      </c>
      <c r="E20" s="172" t="e">
        <f>E9/E8</f>
        <v>#DIV/0!</v>
      </c>
      <c r="F20" s="172" t="e">
        <f>F9/F8</f>
        <v>#DIV/0!</v>
      </c>
      <c r="G20" s="172" t="e">
        <f t="shared" ref="G20:M20" si="3">G9/G8</f>
        <v>#DIV/0!</v>
      </c>
      <c r="H20" s="172" t="e">
        <f t="shared" si="3"/>
        <v>#DIV/0!</v>
      </c>
      <c r="I20" s="172" t="e">
        <f t="shared" si="3"/>
        <v>#DIV/0!</v>
      </c>
      <c r="J20" s="172" t="e">
        <f t="shared" si="3"/>
        <v>#DIV/0!</v>
      </c>
      <c r="K20" s="172" t="e">
        <f t="shared" si="3"/>
        <v>#DIV/0!</v>
      </c>
      <c r="L20" s="172" t="e">
        <f t="shared" si="3"/>
        <v>#DIV/0!</v>
      </c>
      <c r="M20" s="172" t="e">
        <f t="shared" si="3"/>
        <v>#DIV/0!</v>
      </c>
      <c r="N20" s="172" t="e">
        <f t="shared" ref="N20:W20" si="4">N9/N8</f>
        <v>#DIV/0!</v>
      </c>
      <c r="O20" s="172" t="e">
        <f t="shared" si="4"/>
        <v>#DIV/0!</v>
      </c>
      <c r="P20" s="172" t="e">
        <f t="shared" si="4"/>
        <v>#DIV/0!</v>
      </c>
      <c r="Q20" s="172" t="e">
        <f t="shared" si="4"/>
        <v>#DIV/0!</v>
      </c>
      <c r="R20" s="172" t="e">
        <f t="shared" si="4"/>
        <v>#DIV/0!</v>
      </c>
      <c r="S20" s="172" t="e">
        <f t="shared" si="4"/>
        <v>#DIV/0!</v>
      </c>
      <c r="T20" s="172" t="e">
        <f t="shared" si="4"/>
        <v>#DIV/0!</v>
      </c>
      <c r="U20" s="172" t="e">
        <f t="shared" si="4"/>
        <v>#DIV/0!</v>
      </c>
      <c r="V20" s="172" t="e">
        <f t="shared" si="4"/>
        <v>#DIV/0!</v>
      </c>
      <c r="W20" s="172" t="e">
        <f t="shared" si="4"/>
        <v>#DIV/0!</v>
      </c>
    </row>
    <row r="21" s="143" customFormat="1" customHeight="1" spans="1:23">
      <c r="A21" s="159"/>
      <c r="B21" s="175" t="s">
        <v>31</v>
      </c>
      <c r="C21" s="159" t="e">
        <f>C11/C9</f>
        <v>#DIV/0!</v>
      </c>
      <c r="D21" s="159" t="e">
        <f>D11/D9</f>
        <v>#DIV/0!</v>
      </c>
      <c r="E21" s="159" t="e">
        <f>E11/E9</f>
        <v>#DIV/0!</v>
      </c>
      <c r="F21" s="159" t="e">
        <f>F11/F9</f>
        <v>#DIV/0!</v>
      </c>
      <c r="G21" s="159" t="e">
        <f t="shared" ref="G21:M21" si="5">G11/G9</f>
        <v>#DIV/0!</v>
      </c>
      <c r="H21" s="159" t="e">
        <f t="shared" si="5"/>
        <v>#DIV/0!</v>
      </c>
      <c r="I21" s="159" t="e">
        <f t="shared" si="5"/>
        <v>#DIV/0!</v>
      </c>
      <c r="J21" s="159" t="e">
        <f t="shared" si="5"/>
        <v>#DIV/0!</v>
      </c>
      <c r="K21" s="159" t="e">
        <f t="shared" si="5"/>
        <v>#DIV/0!</v>
      </c>
      <c r="L21" s="159" t="e">
        <f t="shared" si="5"/>
        <v>#DIV/0!</v>
      </c>
      <c r="M21" s="159" t="e">
        <f t="shared" si="5"/>
        <v>#DIV/0!</v>
      </c>
      <c r="N21" s="159" t="e">
        <f t="shared" ref="N21:W21" si="6">N11/N9</f>
        <v>#DIV/0!</v>
      </c>
      <c r="O21" s="159" t="e">
        <f t="shared" si="6"/>
        <v>#DIV/0!</v>
      </c>
      <c r="P21" s="159" t="e">
        <f t="shared" si="6"/>
        <v>#DIV/0!</v>
      </c>
      <c r="Q21" s="159" t="e">
        <f t="shared" si="6"/>
        <v>#DIV/0!</v>
      </c>
      <c r="R21" s="159" t="e">
        <f t="shared" si="6"/>
        <v>#DIV/0!</v>
      </c>
      <c r="S21" s="159" t="e">
        <f t="shared" si="6"/>
        <v>#DIV/0!</v>
      </c>
      <c r="T21" s="159" t="e">
        <f t="shared" si="6"/>
        <v>#DIV/0!</v>
      </c>
      <c r="U21" s="159" t="e">
        <f t="shared" si="6"/>
        <v>#DIV/0!</v>
      </c>
      <c r="V21" s="159" t="e">
        <f t="shared" si="6"/>
        <v>#DIV/0!</v>
      </c>
      <c r="W21" s="159" t="e">
        <f t="shared" si="6"/>
        <v>#DIV/0!</v>
      </c>
    </row>
    <row r="22" s="145" customFormat="1" customHeight="1" spans="1:23">
      <c r="A22" s="172"/>
      <c r="B22" s="173" t="s">
        <v>32</v>
      </c>
      <c r="C22" s="172" t="e">
        <f>C10/C9</f>
        <v>#DIV/0!</v>
      </c>
      <c r="D22" s="172" t="e">
        <f>D10/D9</f>
        <v>#DIV/0!</v>
      </c>
      <c r="E22" s="172" t="e">
        <f>E10/E9</f>
        <v>#DIV/0!</v>
      </c>
      <c r="F22" s="172" t="e">
        <f>F10/F9</f>
        <v>#DIV/0!</v>
      </c>
      <c r="G22" s="172" t="e">
        <f t="shared" ref="G22:M22" si="7">G10/G9</f>
        <v>#DIV/0!</v>
      </c>
      <c r="H22" s="172" t="e">
        <f t="shared" si="7"/>
        <v>#DIV/0!</v>
      </c>
      <c r="I22" s="172" t="e">
        <f t="shared" si="7"/>
        <v>#DIV/0!</v>
      </c>
      <c r="J22" s="172" t="e">
        <f t="shared" si="7"/>
        <v>#DIV/0!</v>
      </c>
      <c r="K22" s="172" t="e">
        <f t="shared" si="7"/>
        <v>#DIV/0!</v>
      </c>
      <c r="L22" s="172" t="e">
        <f t="shared" si="7"/>
        <v>#DIV/0!</v>
      </c>
      <c r="M22" s="172" t="e">
        <f t="shared" si="7"/>
        <v>#DIV/0!</v>
      </c>
      <c r="N22" s="172" t="e">
        <f t="shared" ref="N22:W22" si="8">N10/N9</f>
        <v>#DIV/0!</v>
      </c>
      <c r="O22" s="172" t="e">
        <f t="shared" si="8"/>
        <v>#DIV/0!</v>
      </c>
      <c r="P22" s="172" t="e">
        <f t="shared" si="8"/>
        <v>#DIV/0!</v>
      </c>
      <c r="Q22" s="172" t="e">
        <f t="shared" si="8"/>
        <v>#DIV/0!</v>
      </c>
      <c r="R22" s="172" t="e">
        <f t="shared" si="8"/>
        <v>#DIV/0!</v>
      </c>
      <c r="S22" s="172" t="e">
        <f t="shared" si="8"/>
        <v>#DIV/0!</v>
      </c>
      <c r="T22" s="172" t="e">
        <f t="shared" si="8"/>
        <v>#DIV/0!</v>
      </c>
      <c r="U22" s="172" t="e">
        <f t="shared" si="8"/>
        <v>#DIV/0!</v>
      </c>
      <c r="V22" s="172" t="e">
        <f t="shared" si="8"/>
        <v>#DIV/0!</v>
      </c>
      <c r="W22" s="172" t="e">
        <f t="shared" si="8"/>
        <v>#DIV/0!</v>
      </c>
    </row>
    <row r="23" s="145" customFormat="1" customHeight="1" spans="1:23">
      <c r="A23" s="172"/>
      <c r="B23" s="173" t="s">
        <v>33</v>
      </c>
      <c r="C23" s="172" t="e">
        <f>C4/C3</f>
        <v>#DIV/0!</v>
      </c>
      <c r="D23" s="172" t="e">
        <f>D4/D3</f>
        <v>#DIV/0!</v>
      </c>
      <c r="E23" s="172" t="e">
        <f>E4/E3</f>
        <v>#DIV/0!</v>
      </c>
      <c r="F23" s="172" t="e">
        <f>F4/F3</f>
        <v>#DIV/0!</v>
      </c>
      <c r="G23" s="172" t="e">
        <f t="shared" ref="G23:M23" si="9">G4/G3</f>
        <v>#DIV/0!</v>
      </c>
      <c r="H23" s="172" t="e">
        <f t="shared" si="9"/>
        <v>#DIV/0!</v>
      </c>
      <c r="I23" s="172" t="e">
        <f t="shared" si="9"/>
        <v>#DIV/0!</v>
      </c>
      <c r="J23" s="172" t="e">
        <f t="shared" si="9"/>
        <v>#DIV/0!</v>
      </c>
      <c r="K23" s="172" t="e">
        <f t="shared" si="9"/>
        <v>#DIV/0!</v>
      </c>
      <c r="L23" s="172" t="e">
        <f t="shared" si="9"/>
        <v>#DIV/0!</v>
      </c>
      <c r="M23" s="172" t="e">
        <f t="shared" si="9"/>
        <v>#DIV/0!</v>
      </c>
      <c r="N23" s="172" t="e">
        <f t="shared" ref="N23:W23" si="10">N4/N3</f>
        <v>#DIV/0!</v>
      </c>
      <c r="O23" s="172" t="e">
        <f t="shared" si="10"/>
        <v>#DIV/0!</v>
      </c>
      <c r="P23" s="172" t="e">
        <f t="shared" si="10"/>
        <v>#DIV/0!</v>
      </c>
      <c r="Q23" s="172" t="e">
        <f t="shared" si="10"/>
        <v>#DIV/0!</v>
      </c>
      <c r="R23" s="172" t="e">
        <f t="shared" si="10"/>
        <v>#DIV/0!</v>
      </c>
      <c r="S23" s="172" t="e">
        <f t="shared" si="10"/>
        <v>#DIV/0!</v>
      </c>
      <c r="T23" s="172" t="e">
        <f t="shared" si="10"/>
        <v>#DIV/0!</v>
      </c>
      <c r="U23" s="172" t="e">
        <f t="shared" si="10"/>
        <v>#DIV/0!</v>
      </c>
      <c r="V23" s="172" t="e">
        <f t="shared" si="10"/>
        <v>#DIV/0!</v>
      </c>
      <c r="W23" s="172" t="e">
        <f t="shared" si="10"/>
        <v>#DIV/0!</v>
      </c>
    </row>
    <row r="24" s="143" customFormat="1" customHeight="1" spans="1:23">
      <c r="A24" s="159"/>
      <c r="B24" s="176" t="s">
        <v>34</v>
      </c>
      <c r="C24" s="159" t="e">
        <f>C5/C4</f>
        <v>#DIV/0!</v>
      </c>
      <c r="D24" s="159" t="e">
        <f>D5/D4</f>
        <v>#DIV/0!</v>
      </c>
      <c r="E24" s="159" t="e">
        <f>E5/E4</f>
        <v>#DIV/0!</v>
      </c>
      <c r="F24" s="159" t="e">
        <f>F5/F4</f>
        <v>#DIV/0!</v>
      </c>
      <c r="G24" s="159" t="e">
        <f t="shared" ref="G24:M24" si="11">G5/G4</f>
        <v>#DIV/0!</v>
      </c>
      <c r="H24" s="159" t="e">
        <f t="shared" si="11"/>
        <v>#DIV/0!</v>
      </c>
      <c r="I24" s="159" t="e">
        <f t="shared" si="11"/>
        <v>#DIV/0!</v>
      </c>
      <c r="J24" s="159" t="e">
        <f t="shared" si="11"/>
        <v>#DIV/0!</v>
      </c>
      <c r="K24" s="159" t="e">
        <f t="shared" si="11"/>
        <v>#DIV/0!</v>
      </c>
      <c r="L24" s="159" t="e">
        <f t="shared" si="11"/>
        <v>#DIV/0!</v>
      </c>
      <c r="M24" s="159" t="e">
        <f t="shared" si="11"/>
        <v>#DIV/0!</v>
      </c>
      <c r="N24" s="159" t="e">
        <f t="shared" ref="N24:W24" si="12">N5/N4</f>
        <v>#DIV/0!</v>
      </c>
      <c r="O24" s="159" t="e">
        <f t="shared" si="12"/>
        <v>#DIV/0!</v>
      </c>
      <c r="P24" s="159" t="e">
        <f t="shared" si="12"/>
        <v>#DIV/0!</v>
      </c>
      <c r="Q24" s="159" t="e">
        <f t="shared" si="12"/>
        <v>#DIV/0!</v>
      </c>
      <c r="R24" s="159" t="e">
        <f t="shared" si="12"/>
        <v>#DIV/0!</v>
      </c>
      <c r="S24" s="159" t="e">
        <f t="shared" si="12"/>
        <v>#DIV/0!</v>
      </c>
      <c r="T24" s="159" t="e">
        <f t="shared" si="12"/>
        <v>#DIV/0!</v>
      </c>
      <c r="U24" s="159" t="e">
        <f t="shared" si="12"/>
        <v>#DIV/0!</v>
      </c>
      <c r="V24" s="159" t="e">
        <f t="shared" si="12"/>
        <v>#DIV/0!</v>
      </c>
      <c r="W24" s="159" t="e">
        <f t="shared" si="12"/>
        <v>#DIV/0!</v>
      </c>
    </row>
    <row r="25" customHeight="1" spans="1:23">
      <c r="A25" s="139"/>
      <c r="B25" s="177" t="s">
        <v>35</v>
      </c>
      <c r="C25" s="139">
        <f>C4-C7</f>
        <v>0</v>
      </c>
      <c r="D25" s="139">
        <f>D4-D7</f>
        <v>0</v>
      </c>
      <c r="E25" s="139">
        <f>E4-E7</f>
        <v>0</v>
      </c>
      <c r="F25" s="139">
        <f>F4-F7</f>
        <v>0</v>
      </c>
      <c r="G25" s="139">
        <f t="shared" ref="G25:M25" si="13">G4-G7</f>
        <v>0</v>
      </c>
      <c r="H25" s="139">
        <f t="shared" si="13"/>
        <v>0</v>
      </c>
      <c r="I25" s="139">
        <f t="shared" si="13"/>
        <v>0</v>
      </c>
      <c r="J25" s="139">
        <f t="shared" si="13"/>
        <v>0</v>
      </c>
      <c r="K25" s="139">
        <f t="shared" si="13"/>
        <v>0</v>
      </c>
      <c r="L25" s="139">
        <f t="shared" si="13"/>
        <v>0</v>
      </c>
      <c r="M25" s="139">
        <f t="shared" si="13"/>
        <v>0</v>
      </c>
      <c r="N25" s="139">
        <f t="shared" ref="N25:W25" si="14">N4-N7</f>
        <v>0</v>
      </c>
      <c r="O25" s="139">
        <f t="shared" si="14"/>
        <v>0</v>
      </c>
      <c r="P25" s="139">
        <f t="shared" si="14"/>
        <v>0</v>
      </c>
      <c r="Q25" s="139">
        <f t="shared" si="14"/>
        <v>0</v>
      </c>
      <c r="R25" s="139">
        <f t="shared" si="14"/>
        <v>0</v>
      </c>
      <c r="S25" s="139">
        <f t="shared" si="14"/>
        <v>0</v>
      </c>
      <c r="T25" s="139">
        <f t="shared" si="14"/>
        <v>0</v>
      </c>
      <c r="U25" s="139">
        <f t="shared" si="14"/>
        <v>0</v>
      </c>
      <c r="V25" s="139">
        <f t="shared" si="14"/>
        <v>0</v>
      </c>
      <c r="W25" s="139">
        <f t="shared" si="14"/>
        <v>0</v>
      </c>
    </row>
    <row r="26" s="143" customFormat="1" customHeight="1" spans="1:23">
      <c r="A26" s="159"/>
      <c r="B26" s="176" t="s">
        <v>36</v>
      </c>
      <c r="C26" s="159" t="e">
        <f>C5-C24*C7</f>
        <v>#DIV/0!</v>
      </c>
      <c r="D26" s="159" t="e">
        <f>D5-D24*D7</f>
        <v>#DIV/0!</v>
      </c>
      <c r="E26" s="159" t="e">
        <f>E5-E24*E7</f>
        <v>#DIV/0!</v>
      </c>
      <c r="F26" s="159" t="e">
        <f>F5-F24*F7</f>
        <v>#DIV/0!</v>
      </c>
      <c r="G26" s="159" t="e">
        <f t="shared" ref="G26:M26" si="15">G5-G24*G7</f>
        <v>#DIV/0!</v>
      </c>
      <c r="H26" s="159" t="e">
        <f t="shared" si="15"/>
        <v>#DIV/0!</v>
      </c>
      <c r="I26" s="159" t="e">
        <f t="shared" si="15"/>
        <v>#DIV/0!</v>
      </c>
      <c r="J26" s="159" t="e">
        <f t="shared" si="15"/>
        <v>#DIV/0!</v>
      </c>
      <c r="K26" s="159" t="e">
        <f t="shared" si="15"/>
        <v>#DIV/0!</v>
      </c>
      <c r="L26" s="159" t="e">
        <f t="shared" si="15"/>
        <v>#DIV/0!</v>
      </c>
      <c r="M26" s="159" t="e">
        <f t="shared" si="15"/>
        <v>#DIV/0!</v>
      </c>
      <c r="N26" s="159" t="e">
        <f t="shared" ref="N26:W26" si="16">N5-N24*N7</f>
        <v>#DIV/0!</v>
      </c>
      <c r="O26" s="159" t="e">
        <f t="shared" si="16"/>
        <v>#DIV/0!</v>
      </c>
      <c r="P26" s="159" t="e">
        <f t="shared" si="16"/>
        <v>#DIV/0!</v>
      </c>
      <c r="Q26" s="159" t="e">
        <f t="shared" si="16"/>
        <v>#DIV/0!</v>
      </c>
      <c r="R26" s="159" t="e">
        <f t="shared" si="16"/>
        <v>#DIV/0!</v>
      </c>
      <c r="S26" s="159" t="e">
        <f t="shared" si="16"/>
        <v>#DIV/0!</v>
      </c>
      <c r="T26" s="159" t="e">
        <f t="shared" si="16"/>
        <v>#DIV/0!</v>
      </c>
      <c r="U26" s="159" t="e">
        <f t="shared" si="16"/>
        <v>#DIV/0!</v>
      </c>
      <c r="V26" s="159" t="e">
        <f t="shared" si="16"/>
        <v>#DIV/0!</v>
      </c>
      <c r="W26" s="159" t="e">
        <f t="shared" si="16"/>
        <v>#DIV/0!</v>
      </c>
    </row>
    <row r="27" s="146" customFormat="1" customHeight="1" spans="1:23">
      <c r="A27" s="178"/>
      <c r="B27" s="179" t="s">
        <v>37</v>
      </c>
      <c r="C27" s="178">
        <f>C6+C11</f>
        <v>0</v>
      </c>
      <c r="D27" s="178">
        <f>D6+D11</f>
        <v>0</v>
      </c>
      <c r="E27" s="178">
        <f>E6+E11</f>
        <v>0</v>
      </c>
      <c r="F27" s="178">
        <f>F6+F11</f>
        <v>0</v>
      </c>
      <c r="G27" s="178">
        <f t="shared" ref="G27:M27" si="17">G6+G11</f>
        <v>0</v>
      </c>
      <c r="H27" s="178">
        <f t="shared" si="17"/>
        <v>0</v>
      </c>
      <c r="I27" s="178">
        <f t="shared" si="17"/>
        <v>0</v>
      </c>
      <c r="J27" s="178">
        <f t="shared" si="17"/>
        <v>0</v>
      </c>
      <c r="K27" s="178">
        <f t="shared" si="17"/>
        <v>0</v>
      </c>
      <c r="L27" s="178">
        <f t="shared" si="17"/>
        <v>0</v>
      </c>
      <c r="M27" s="178">
        <f t="shared" si="17"/>
        <v>0</v>
      </c>
      <c r="N27" s="178">
        <f t="shared" ref="N27:W27" si="18">N6+N11</f>
        <v>0</v>
      </c>
      <c r="O27" s="178">
        <f t="shared" si="18"/>
        <v>0</v>
      </c>
      <c r="P27" s="178">
        <f t="shared" si="18"/>
        <v>0</v>
      </c>
      <c r="Q27" s="178">
        <f t="shared" si="18"/>
        <v>0</v>
      </c>
      <c r="R27" s="178">
        <f t="shared" si="18"/>
        <v>0</v>
      </c>
      <c r="S27" s="178">
        <f t="shared" si="18"/>
        <v>0</v>
      </c>
      <c r="T27" s="178">
        <f t="shared" si="18"/>
        <v>0</v>
      </c>
      <c r="U27" s="178">
        <f t="shared" si="18"/>
        <v>0</v>
      </c>
      <c r="V27" s="178">
        <f t="shared" si="18"/>
        <v>0</v>
      </c>
      <c r="W27" s="178">
        <f t="shared" si="18"/>
        <v>0</v>
      </c>
    </row>
    <row r="28" s="145" customFormat="1" customHeight="1" spans="1:23">
      <c r="A28" s="172"/>
      <c r="B28" s="173" t="s">
        <v>38</v>
      </c>
      <c r="C28" s="172" t="e">
        <f>C27/C26</f>
        <v>#DIV/0!</v>
      </c>
      <c r="D28" s="172" t="e">
        <f>D27/D26</f>
        <v>#DIV/0!</v>
      </c>
      <c r="E28" s="172" t="e">
        <f>E27/E26</f>
        <v>#DIV/0!</v>
      </c>
      <c r="F28" s="172" t="e">
        <f>F27/F26</f>
        <v>#DIV/0!</v>
      </c>
      <c r="G28" s="172" t="e">
        <f t="shared" ref="G28:M28" si="19">G27/G26</f>
        <v>#DIV/0!</v>
      </c>
      <c r="H28" s="172" t="e">
        <f t="shared" si="19"/>
        <v>#DIV/0!</v>
      </c>
      <c r="I28" s="172" t="e">
        <f t="shared" si="19"/>
        <v>#DIV/0!</v>
      </c>
      <c r="J28" s="172" t="e">
        <f t="shared" si="19"/>
        <v>#DIV/0!</v>
      </c>
      <c r="K28" s="172" t="e">
        <f t="shared" si="19"/>
        <v>#DIV/0!</v>
      </c>
      <c r="L28" s="172" t="e">
        <f t="shared" si="19"/>
        <v>#DIV/0!</v>
      </c>
      <c r="M28" s="172" t="e">
        <f t="shared" si="19"/>
        <v>#DIV/0!</v>
      </c>
      <c r="N28" s="172" t="e">
        <f t="shared" ref="N28:W28" si="20">N27/N26</f>
        <v>#DIV/0!</v>
      </c>
      <c r="O28" s="172" t="e">
        <f t="shared" si="20"/>
        <v>#DIV/0!</v>
      </c>
      <c r="P28" s="172" t="e">
        <f t="shared" si="20"/>
        <v>#DIV/0!</v>
      </c>
      <c r="Q28" s="172" t="e">
        <f t="shared" si="20"/>
        <v>#DIV/0!</v>
      </c>
      <c r="R28" s="172" t="e">
        <f t="shared" si="20"/>
        <v>#DIV/0!</v>
      </c>
      <c r="S28" s="172" t="e">
        <f t="shared" si="20"/>
        <v>#DIV/0!</v>
      </c>
      <c r="T28" s="172" t="e">
        <f t="shared" si="20"/>
        <v>#DIV/0!</v>
      </c>
      <c r="U28" s="172" t="e">
        <f t="shared" si="20"/>
        <v>#DIV/0!</v>
      </c>
      <c r="V28" s="172" t="e">
        <f t="shared" si="20"/>
        <v>#DIV/0!</v>
      </c>
      <c r="W28" s="172" t="e">
        <f t="shared" si="20"/>
        <v>#DIV/0!</v>
      </c>
    </row>
    <row r="29" s="145" customFormat="1" customHeight="1" spans="1:23">
      <c r="A29" s="172"/>
      <c r="B29" s="173" t="s">
        <v>39</v>
      </c>
      <c r="C29" s="172" t="s">
        <v>40</v>
      </c>
      <c r="D29" s="172" t="s">
        <v>40</v>
      </c>
      <c r="E29" s="172" t="e">
        <f>(E4-#REF!)/#REF!</f>
        <v>#REF!</v>
      </c>
      <c r="F29" s="172" t="e">
        <f>(F4-#REF!)/#REF!</f>
        <v>#REF!</v>
      </c>
      <c r="G29" s="172" t="e">
        <f>(G4-#REF!)/#REF!</f>
        <v>#REF!</v>
      </c>
      <c r="H29" s="172" t="e">
        <f>(H4-#REF!)/#REF!</f>
        <v>#REF!</v>
      </c>
      <c r="I29" s="172" t="e">
        <f>(I4-#REF!)/#REF!</f>
        <v>#REF!</v>
      </c>
      <c r="J29" s="172" t="e">
        <f>(J4-C4)/C4</f>
        <v>#DIV/0!</v>
      </c>
      <c r="K29" s="172" t="e">
        <f>(K4-D4)/D4</f>
        <v>#DIV/0!</v>
      </c>
      <c r="L29" s="172" t="e">
        <f>(L4-E4)/E4</f>
        <v>#DIV/0!</v>
      </c>
      <c r="M29" s="172" t="e">
        <f>(M4-F4)/F4</f>
        <v>#DIV/0!</v>
      </c>
      <c r="N29" s="172" t="e">
        <f t="shared" ref="N29:W29" si="21">(N4-G4)/G4</f>
        <v>#DIV/0!</v>
      </c>
      <c r="O29" s="172" t="e">
        <f t="shared" si="21"/>
        <v>#DIV/0!</v>
      </c>
      <c r="P29" s="172" t="e">
        <f t="shared" si="21"/>
        <v>#DIV/0!</v>
      </c>
      <c r="Q29" s="172" t="e">
        <f t="shared" si="21"/>
        <v>#DIV/0!</v>
      </c>
      <c r="R29" s="172" t="e">
        <f t="shared" si="21"/>
        <v>#DIV/0!</v>
      </c>
      <c r="S29" s="172" t="e">
        <f t="shared" si="21"/>
        <v>#DIV/0!</v>
      </c>
      <c r="T29" s="172" t="e">
        <f t="shared" si="21"/>
        <v>#DIV/0!</v>
      </c>
      <c r="U29" s="172" t="e">
        <f t="shared" si="21"/>
        <v>#DIV/0!</v>
      </c>
      <c r="V29" s="172" t="e">
        <f t="shared" si="21"/>
        <v>#DIV/0!</v>
      </c>
      <c r="W29" s="172" t="e">
        <f t="shared" si="21"/>
        <v>#DIV/0!</v>
      </c>
    </row>
  </sheetData>
  <sheetProtection formatCells="0" insertHyperlinks="0" autoFilter="0"/>
  <mergeCells count="4">
    <mergeCell ref="A1:A7"/>
    <mergeCell ref="A8:A11"/>
    <mergeCell ref="A12:A18"/>
    <mergeCell ref="A19:A29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2" sqref="D2"/>
    </sheetView>
  </sheetViews>
  <sheetFormatPr defaultColWidth="8.88888888888889" defaultRowHeight="18" customHeight="1" outlineLevelCol="7"/>
  <cols>
    <col min="1" max="1" width="8.88888888888889" style="137"/>
    <col min="2" max="2" width="8.88888888888889" style="138"/>
    <col min="3" max="3" width="8.88888888888889" style="137"/>
    <col min="4" max="5" width="30.7777777777778" style="137" customWidth="1"/>
    <col min="6" max="6" width="8.88888888888889" style="138"/>
    <col min="7" max="8" width="30.7777777777778" style="137" customWidth="1"/>
    <col min="9" max="16384" width="8.88888888888889" style="137"/>
  </cols>
  <sheetData>
    <row r="1" customHeight="1" spans="1:8">
      <c r="A1" s="16" t="s">
        <v>41</v>
      </c>
      <c r="B1" s="17" t="s">
        <v>1</v>
      </c>
      <c r="C1" s="16" t="s">
        <v>42</v>
      </c>
      <c r="D1" s="16" t="s">
        <v>43</v>
      </c>
      <c r="E1" s="16" t="s">
        <v>44</v>
      </c>
      <c r="F1" s="17" t="s">
        <v>45</v>
      </c>
      <c r="G1" s="16" t="s">
        <v>43</v>
      </c>
      <c r="H1" s="16" t="s">
        <v>44</v>
      </c>
    </row>
    <row r="2" ht="100" customHeight="1" spans="1:8">
      <c r="A2" s="139"/>
      <c r="B2" s="140">
        <v>43466</v>
      </c>
      <c r="C2" s="139"/>
      <c r="D2" s="139"/>
      <c r="E2" s="139"/>
      <c r="F2" s="140">
        <f>B2+7</f>
        <v>43473</v>
      </c>
      <c r="G2" s="139"/>
      <c r="H2" s="139"/>
    </row>
    <row r="3" ht="100" customHeight="1" spans="1:8">
      <c r="A3" s="139"/>
      <c r="B3" s="140"/>
      <c r="C3" s="139"/>
      <c r="D3" s="139"/>
      <c r="E3" s="139"/>
      <c r="F3" s="140">
        <f t="shared" ref="F3:F25" si="0">B3+7</f>
        <v>7</v>
      </c>
      <c r="G3" s="139"/>
      <c r="H3" s="139"/>
    </row>
    <row r="4" ht="100" customHeight="1" spans="1:8">
      <c r="A4" s="139"/>
      <c r="B4" s="140"/>
      <c r="C4" s="139"/>
      <c r="D4" s="139"/>
      <c r="E4" s="139"/>
      <c r="F4" s="140">
        <f t="shared" si="0"/>
        <v>7</v>
      </c>
      <c r="G4" s="139"/>
      <c r="H4" s="139"/>
    </row>
    <row r="5" ht="100" customHeight="1" spans="1:8">
      <c r="A5" s="139"/>
      <c r="B5" s="140"/>
      <c r="C5" s="139"/>
      <c r="D5" s="139"/>
      <c r="E5" s="139"/>
      <c r="F5" s="140">
        <f t="shared" si="0"/>
        <v>7</v>
      </c>
      <c r="G5" s="139"/>
      <c r="H5" s="139"/>
    </row>
    <row r="6" ht="100" customHeight="1" spans="1:8">
      <c r="A6" s="139"/>
      <c r="B6" s="140"/>
      <c r="C6" s="139"/>
      <c r="D6" s="139"/>
      <c r="E6" s="139"/>
      <c r="F6" s="140">
        <f t="shared" si="0"/>
        <v>7</v>
      </c>
      <c r="G6" s="139"/>
      <c r="H6" s="139"/>
    </row>
    <row r="7" ht="100" customHeight="1" spans="1:8">
      <c r="A7" s="139"/>
      <c r="B7" s="140"/>
      <c r="C7" s="139"/>
      <c r="D7" s="139"/>
      <c r="E7" s="139"/>
      <c r="F7" s="140">
        <f t="shared" si="0"/>
        <v>7</v>
      </c>
      <c r="G7" s="139"/>
      <c r="H7" s="139"/>
    </row>
    <row r="8" ht="100" customHeight="1" spans="1:8">
      <c r="A8" s="139"/>
      <c r="B8" s="140"/>
      <c r="C8" s="139"/>
      <c r="D8" s="139"/>
      <c r="E8" s="139"/>
      <c r="F8" s="140">
        <f t="shared" si="0"/>
        <v>7</v>
      </c>
      <c r="G8" s="139"/>
      <c r="H8" s="139"/>
    </row>
    <row r="9" ht="100" customHeight="1" spans="1:8">
      <c r="A9" s="139"/>
      <c r="B9" s="140"/>
      <c r="C9" s="139"/>
      <c r="D9" s="139"/>
      <c r="E9" s="139"/>
      <c r="F9" s="140">
        <f t="shared" si="0"/>
        <v>7</v>
      </c>
      <c r="G9" s="139"/>
      <c r="H9" s="139"/>
    </row>
    <row r="10" ht="100" customHeight="1" spans="1:8">
      <c r="A10" s="139"/>
      <c r="B10" s="140"/>
      <c r="C10" s="139"/>
      <c r="D10" s="139"/>
      <c r="E10" s="139"/>
      <c r="F10" s="140">
        <f t="shared" si="0"/>
        <v>7</v>
      </c>
      <c r="G10" s="139"/>
      <c r="H10" s="139"/>
    </row>
    <row r="11" ht="100" customHeight="1" spans="1:8">
      <c r="A11" s="139"/>
      <c r="B11" s="140"/>
      <c r="C11" s="139"/>
      <c r="D11" s="139"/>
      <c r="E11" s="139"/>
      <c r="F11" s="140">
        <f t="shared" si="0"/>
        <v>7</v>
      </c>
      <c r="G11" s="139"/>
      <c r="H11" s="139"/>
    </row>
    <row r="12" ht="100" customHeight="1" spans="1:8">
      <c r="A12" s="139"/>
      <c r="B12" s="140"/>
      <c r="C12" s="139"/>
      <c r="D12" s="139"/>
      <c r="E12" s="139"/>
      <c r="F12" s="140">
        <f t="shared" si="0"/>
        <v>7</v>
      </c>
      <c r="G12" s="139"/>
      <c r="H12" s="139"/>
    </row>
    <row r="13" ht="100" customHeight="1" spans="1:8">
      <c r="A13" s="139"/>
      <c r="B13" s="140"/>
      <c r="C13" s="139"/>
      <c r="D13" s="139"/>
      <c r="E13" s="139"/>
      <c r="F13" s="140">
        <f t="shared" si="0"/>
        <v>7</v>
      </c>
      <c r="G13" s="139"/>
      <c r="H13" s="139"/>
    </row>
    <row r="14" ht="100" customHeight="1" spans="1:8">
      <c r="A14" s="139"/>
      <c r="B14" s="140"/>
      <c r="C14" s="139"/>
      <c r="D14" s="139"/>
      <c r="E14" s="139"/>
      <c r="F14" s="140">
        <f t="shared" si="0"/>
        <v>7</v>
      </c>
      <c r="G14" s="139"/>
      <c r="H14" s="139"/>
    </row>
    <row r="15" ht="100" customHeight="1" spans="1:8">
      <c r="A15" s="139"/>
      <c r="B15" s="140"/>
      <c r="C15" s="139"/>
      <c r="D15" s="139"/>
      <c r="E15" s="139"/>
      <c r="F15" s="140">
        <f t="shared" si="0"/>
        <v>7</v>
      </c>
      <c r="G15" s="139"/>
      <c r="H15" s="139"/>
    </row>
    <row r="16" ht="100" customHeight="1" spans="1:8">
      <c r="A16" s="139"/>
      <c r="B16" s="140"/>
      <c r="C16" s="139"/>
      <c r="D16" s="139"/>
      <c r="E16" s="139"/>
      <c r="F16" s="140">
        <f t="shared" si="0"/>
        <v>7</v>
      </c>
      <c r="G16" s="139"/>
      <c r="H16" s="139"/>
    </row>
    <row r="17" ht="100" customHeight="1" spans="1:8">
      <c r="A17" s="139"/>
      <c r="B17" s="140"/>
      <c r="C17" s="139"/>
      <c r="D17" s="139"/>
      <c r="E17" s="139"/>
      <c r="F17" s="140">
        <f t="shared" si="0"/>
        <v>7</v>
      </c>
      <c r="G17" s="139"/>
      <c r="H17" s="139"/>
    </row>
    <row r="18" ht="100" customHeight="1" spans="1:8">
      <c r="A18" s="139"/>
      <c r="B18" s="140"/>
      <c r="C18" s="139"/>
      <c r="D18" s="139"/>
      <c r="E18" s="139"/>
      <c r="F18" s="140">
        <f t="shared" si="0"/>
        <v>7</v>
      </c>
      <c r="G18" s="139"/>
      <c r="H18" s="139"/>
    </row>
    <row r="19" ht="100" customHeight="1" spans="1:8">
      <c r="A19" s="139"/>
      <c r="B19" s="140"/>
      <c r="C19" s="139"/>
      <c r="D19" s="139"/>
      <c r="E19" s="139"/>
      <c r="F19" s="140">
        <f t="shared" si="0"/>
        <v>7</v>
      </c>
      <c r="G19" s="139"/>
      <c r="H19" s="139"/>
    </row>
    <row r="20" ht="100" customHeight="1" spans="1:8">
      <c r="A20" s="139"/>
      <c r="B20" s="140"/>
      <c r="C20" s="139"/>
      <c r="D20" s="139"/>
      <c r="E20" s="139"/>
      <c r="F20" s="140">
        <f t="shared" si="0"/>
        <v>7</v>
      </c>
      <c r="G20" s="139"/>
      <c r="H20" s="139"/>
    </row>
    <row r="21" ht="100" customHeight="1" spans="1:8">
      <c r="A21" s="139"/>
      <c r="B21" s="140"/>
      <c r="C21" s="139"/>
      <c r="D21" s="139"/>
      <c r="E21" s="139"/>
      <c r="F21" s="140">
        <f t="shared" si="0"/>
        <v>7</v>
      </c>
      <c r="G21" s="139"/>
      <c r="H21" s="139"/>
    </row>
    <row r="22" ht="100" customHeight="1" spans="1:8">
      <c r="A22" s="139"/>
      <c r="B22" s="140"/>
      <c r="C22" s="139"/>
      <c r="D22" s="139"/>
      <c r="E22" s="139"/>
      <c r="F22" s="140">
        <f t="shared" si="0"/>
        <v>7</v>
      </c>
      <c r="G22" s="139"/>
      <c r="H22" s="139"/>
    </row>
    <row r="23" ht="100" customHeight="1" spans="1:8">
      <c r="A23" s="139"/>
      <c r="B23" s="140"/>
      <c r="C23" s="139"/>
      <c r="D23" s="139"/>
      <c r="E23" s="139"/>
      <c r="F23" s="140">
        <f t="shared" si="0"/>
        <v>7</v>
      </c>
      <c r="G23" s="139"/>
      <c r="H23" s="139"/>
    </row>
    <row r="24" ht="100" customHeight="1" spans="1:8">
      <c r="A24" s="139"/>
      <c r="B24" s="140"/>
      <c r="C24" s="139"/>
      <c r="D24" s="139"/>
      <c r="E24" s="139"/>
      <c r="F24" s="140">
        <f t="shared" si="0"/>
        <v>7</v>
      </c>
      <c r="G24" s="139"/>
      <c r="H24" s="139"/>
    </row>
    <row r="25" ht="100" customHeight="1" spans="1:8">
      <c r="A25" s="139"/>
      <c r="B25" s="140"/>
      <c r="C25" s="139"/>
      <c r="D25" s="139"/>
      <c r="E25" s="139"/>
      <c r="F25" s="140">
        <f t="shared" si="0"/>
        <v>7</v>
      </c>
      <c r="G25" s="139"/>
      <c r="H25" s="139"/>
    </row>
  </sheetData>
  <sheetProtection formatCells="0" insertHyperlinks="0" autoFilter="0"/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showGridLines="0" tabSelected="1" workbookViewId="0">
      <selection activeCell="A33" sqref="A33"/>
    </sheetView>
  </sheetViews>
  <sheetFormatPr defaultColWidth="8" defaultRowHeight="18" customHeight="1"/>
  <cols>
    <col min="1" max="1" width="7.22222222222222" style="13" customWidth="1"/>
    <col min="2" max="2" width="11.7777777777778" style="13" customWidth="1"/>
    <col min="3" max="18" width="6.77777777777778" style="13" customWidth="1"/>
    <col min="19" max="16383" width="8" style="13"/>
  </cols>
  <sheetData>
    <row r="1" s="1" customFormat="1" customHeight="1" spans="1:18">
      <c r="A1" s="115" t="s">
        <v>46</v>
      </c>
      <c r="B1" s="4" t="s">
        <v>47</v>
      </c>
      <c r="C1" s="5">
        <v>43471</v>
      </c>
      <c r="D1" s="5">
        <f t="shared" ref="D1:H1" si="0">C1+6</f>
        <v>43477</v>
      </c>
      <c r="E1" s="5">
        <f t="shared" ref="E1:I1" si="1">D1+1</f>
        <v>43478</v>
      </c>
      <c r="F1" s="5">
        <f t="shared" si="0"/>
        <v>43484</v>
      </c>
      <c r="G1" s="5">
        <f t="shared" si="1"/>
        <v>43485</v>
      </c>
      <c r="H1" s="5">
        <f t="shared" si="0"/>
        <v>43491</v>
      </c>
      <c r="I1" s="5">
        <f t="shared" si="1"/>
        <v>43492</v>
      </c>
      <c r="J1" s="5">
        <f t="shared" ref="J1:N1" si="2">I1+6</f>
        <v>43498</v>
      </c>
      <c r="K1" s="5">
        <f t="shared" ref="K1:O1" si="3">J1+1</f>
        <v>43499</v>
      </c>
      <c r="L1" s="5">
        <f t="shared" si="2"/>
        <v>43505</v>
      </c>
      <c r="M1" s="5">
        <f t="shared" si="3"/>
        <v>43506</v>
      </c>
      <c r="N1" s="5">
        <f t="shared" si="2"/>
        <v>43512</v>
      </c>
      <c r="O1" s="5">
        <f t="shared" si="3"/>
        <v>43513</v>
      </c>
      <c r="P1" s="5">
        <f>O1+6</f>
        <v>43519</v>
      </c>
      <c r="Q1" s="5">
        <f>P1+1</f>
        <v>43520</v>
      </c>
      <c r="R1" s="5">
        <f>Q1+6</f>
        <v>43526</v>
      </c>
    </row>
    <row r="2" s="109" customFormat="1" customHeight="1" spans="1:18">
      <c r="A2" s="116"/>
      <c r="B2" s="117" t="s">
        <v>10</v>
      </c>
      <c r="C2" s="118"/>
      <c r="D2" s="119"/>
      <c r="E2" s="118"/>
      <c r="F2" s="119"/>
      <c r="G2" s="118"/>
      <c r="H2" s="119"/>
      <c r="I2" s="118"/>
      <c r="J2" s="119"/>
      <c r="K2" s="118"/>
      <c r="L2" s="119"/>
      <c r="M2" s="118"/>
      <c r="N2" s="119"/>
      <c r="O2" s="118"/>
      <c r="P2" s="119"/>
      <c r="Q2" s="118"/>
      <c r="R2" s="119"/>
    </row>
    <row r="3" s="110" customFormat="1" customHeight="1" spans="1:18">
      <c r="A3" s="120"/>
      <c r="B3" s="121" t="s">
        <v>11</v>
      </c>
      <c r="C3" s="122"/>
      <c r="D3" s="123"/>
      <c r="E3" s="122"/>
      <c r="F3" s="123"/>
      <c r="G3" s="122"/>
      <c r="H3" s="123"/>
      <c r="I3" s="122"/>
      <c r="J3" s="123"/>
      <c r="K3" s="122"/>
      <c r="L3" s="123"/>
      <c r="M3" s="122"/>
      <c r="N3" s="123"/>
      <c r="O3" s="122"/>
      <c r="P3" s="123"/>
      <c r="Q3" s="122"/>
      <c r="R3" s="123"/>
    </row>
    <row r="4" s="111" customFormat="1" customHeight="1" spans="1:18">
      <c r="A4" s="116"/>
      <c r="B4" s="124" t="s">
        <v>12</v>
      </c>
      <c r="C4" s="125"/>
      <c r="D4" s="126"/>
      <c r="E4" s="125"/>
      <c r="F4" s="126"/>
      <c r="G4" s="125"/>
      <c r="H4" s="126"/>
      <c r="I4" s="125"/>
      <c r="J4" s="126"/>
      <c r="K4" s="125"/>
      <c r="L4" s="126"/>
      <c r="M4" s="125"/>
      <c r="N4" s="126"/>
      <c r="O4" s="125"/>
      <c r="P4" s="126"/>
      <c r="Q4" s="125"/>
      <c r="R4" s="126"/>
    </row>
    <row r="5" s="111" customFormat="1" customHeight="1" spans="1:18">
      <c r="A5" s="116"/>
      <c r="B5" s="127" t="s">
        <v>13</v>
      </c>
      <c r="C5" s="125"/>
      <c r="D5" s="126"/>
      <c r="E5" s="125"/>
      <c r="F5" s="126"/>
      <c r="G5" s="125"/>
      <c r="H5" s="126"/>
      <c r="I5" s="125"/>
      <c r="J5" s="126"/>
      <c r="K5" s="125"/>
      <c r="L5" s="126"/>
      <c r="M5" s="125"/>
      <c r="N5" s="126"/>
      <c r="O5" s="125"/>
      <c r="P5" s="126"/>
      <c r="Q5" s="125"/>
      <c r="R5" s="126"/>
    </row>
    <row r="6" s="112" customFormat="1" customHeight="1" spans="1:18">
      <c r="A6" s="116"/>
      <c r="B6" s="128" t="s">
        <v>14</v>
      </c>
      <c r="C6" s="122"/>
      <c r="D6" s="123"/>
      <c r="E6" s="122"/>
      <c r="F6" s="123"/>
      <c r="G6" s="122"/>
      <c r="H6" s="123"/>
      <c r="I6" s="122"/>
      <c r="J6" s="123"/>
      <c r="K6" s="122"/>
      <c r="L6" s="123"/>
      <c r="M6" s="122"/>
      <c r="N6" s="123"/>
      <c r="O6" s="122"/>
      <c r="P6" s="123"/>
      <c r="Q6" s="122"/>
      <c r="R6" s="123"/>
    </row>
    <row r="7" s="111" customFormat="1" customHeight="1" spans="1:18">
      <c r="A7" s="116"/>
      <c r="B7" s="127" t="s">
        <v>19</v>
      </c>
      <c r="C7" s="125"/>
      <c r="D7" s="126"/>
      <c r="E7" s="125"/>
      <c r="F7" s="126"/>
      <c r="G7" s="125"/>
      <c r="H7" s="126"/>
      <c r="I7" s="125"/>
      <c r="J7" s="126"/>
      <c r="K7" s="125"/>
      <c r="L7" s="126"/>
      <c r="M7" s="125"/>
      <c r="N7" s="126"/>
      <c r="O7" s="125"/>
      <c r="P7" s="126"/>
      <c r="Q7" s="125"/>
      <c r="R7" s="126"/>
    </row>
    <row r="8" s="111" customFormat="1" customHeight="1" spans="1:18">
      <c r="A8" s="116"/>
      <c r="B8" s="127" t="s">
        <v>13</v>
      </c>
      <c r="C8" s="125"/>
      <c r="D8" s="126"/>
      <c r="E8" s="125"/>
      <c r="F8" s="126"/>
      <c r="G8" s="125"/>
      <c r="H8" s="126"/>
      <c r="I8" s="125"/>
      <c r="J8" s="126"/>
      <c r="K8" s="125"/>
      <c r="L8" s="126"/>
      <c r="M8" s="125"/>
      <c r="N8" s="126"/>
      <c r="O8" s="125"/>
      <c r="P8" s="126"/>
      <c r="Q8" s="125"/>
      <c r="R8" s="126"/>
    </row>
    <row r="9" s="113" customFormat="1" customHeight="1" spans="1:18">
      <c r="A9" s="129" t="s">
        <v>48</v>
      </c>
      <c r="B9" s="130" t="s">
        <v>49</v>
      </c>
      <c r="C9" s="131" t="e">
        <f>C3/C2</f>
        <v>#DIV/0!</v>
      </c>
      <c r="D9" s="132"/>
      <c r="E9" s="131" t="e">
        <f>E3/E2</f>
        <v>#DIV/0!</v>
      </c>
      <c r="F9" s="132"/>
      <c r="G9" s="131" t="e">
        <f>G3/G2</f>
        <v>#DIV/0!</v>
      </c>
      <c r="H9" s="132"/>
      <c r="I9" s="131" t="e">
        <f>I3/I2</f>
        <v>#DIV/0!</v>
      </c>
      <c r="J9" s="132"/>
      <c r="K9" s="131" t="e">
        <f>K3/K2</f>
        <v>#DIV/0!</v>
      </c>
      <c r="L9" s="132"/>
      <c r="M9" s="131" t="e">
        <f>M3/M2</f>
        <v>#DIV/0!</v>
      </c>
      <c r="N9" s="132"/>
      <c r="O9" s="131" t="e">
        <f>O3/O2</f>
        <v>#DIV/0!</v>
      </c>
      <c r="P9" s="132"/>
      <c r="Q9" s="131" t="e">
        <f>Q3/Q2</f>
        <v>#DIV/0!</v>
      </c>
      <c r="R9" s="132"/>
    </row>
    <row r="10" s="114" customFormat="1" customHeight="1" spans="1:18">
      <c r="A10" s="133"/>
      <c r="B10" s="134" t="s">
        <v>34</v>
      </c>
      <c r="C10" s="125" t="e">
        <f>C4/C3</f>
        <v>#DIV/0!</v>
      </c>
      <c r="D10" s="126"/>
      <c r="E10" s="125" t="e">
        <f>E4/E3</f>
        <v>#DIV/0!</v>
      </c>
      <c r="F10" s="126"/>
      <c r="G10" s="125" t="e">
        <f>G4/G3</f>
        <v>#DIV/0!</v>
      </c>
      <c r="H10" s="126"/>
      <c r="I10" s="125" t="e">
        <f>I4/I3</f>
        <v>#DIV/0!</v>
      </c>
      <c r="J10" s="126"/>
      <c r="K10" s="125" t="e">
        <f>K4/K3</f>
        <v>#DIV/0!</v>
      </c>
      <c r="L10" s="126"/>
      <c r="M10" s="125" t="e">
        <f>M4/M3</f>
        <v>#DIV/0!</v>
      </c>
      <c r="N10" s="126"/>
      <c r="O10" s="125" t="e">
        <f>O4/O3</f>
        <v>#DIV/0!</v>
      </c>
      <c r="P10" s="126"/>
      <c r="Q10" s="125" t="e">
        <f>Q4/Q3</f>
        <v>#DIV/0!</v>
      </c>
      <c r="R10" s="126"/>
    </row>
    <row r="11" s="110" customFormat="1" customHeight="1" spans="1:18">
      <c r="A11" s="120"/>
      <c r="B11" s="135" t="s">
        <v>35</v>
      </c>
      <c r="C11" s="122">
        <f>C3-C6</f>
        <v>0</v>
      </c>
      <c r="D11" s="123"/>
      <c r="E11" s="122">
        <f>E3-E6</f>
        <v>0</v>
      </c>
      <c r="F11" s="123"/>
      <c r="G11" s="122">
        <f>G3-G6</f>
        <v>0</v>
      </c>
      <c r="H11" s="123"/>
      <c r="I11" s="122">
        <f>I3-I6</f>
        <v>0</v>
      </c>
      <c r="J11" s="123"/>
      <c r="K11" s="122">
        <f>K3-K6</f>
        <v>0</v>
      </c>
      <c r="L11" s="123"/>
      <c r="M11" s="122">
        <f>M3-M6</f>
        <v>0</v>
      </c>
      <c r="N11" s="123"/>
      <c r="O11" s="122">
        <f>O3-O6</f>
        <v>0</v>
      </c>
      <c r="P11" s="123"/>
      <c r="Q11" s="122">
        <f>Q3-Q6</f>
        <v>0</v>
      </c>
      <c r="R11" s="123"/>
    </row>
    <row r="12" s="114" customFormat="1" customHeight="1" spans="1:18">
      <c r="A12" s="133"/>
      <c r="B12" s="134" t="s">
        <v>36</v>
      </c>
      <c r="C12" s="125" t="e">
        <f>C4-C10*C6</f>
        <v>#DIV/0!</v>
      </c>
      <c r="D12" s="126"/>
      <c r="E12" s="125" t="e">
        <f>E4-E10*E6</f>
        <v>#DIV/0!</v>
      </c>
      <c r="F12" s="126"/>
      <c r="G12" s="125" t="e">
        <f>G4-G10*G6</f>
        <v>#DIV/0!</v>
      </c>
      <c r="H12" s="126"/>
      <c r="I12" s="125" t="e">
        <f>I4-I10*I6</f>
        <v>#DIV/0!</v>
      </c>
      <c r="J12" s="126"/>
      <c r="K12" s="125" t="e">
        <f>K4-K10*K6</f>
        <v>#DIV/0!</v>
      </c>
      <c r="L12" s="126"/>
      <c r="M12" s="125" t="e">
        <f>M4-M10*M6</f>
        <v>#DIV/0!</v>
      </c>
      <c r="N12" s="126"/>
      <c r="O12" s="125" t="e">
        <f>O4-O10*O6</f>
        <v>#DIV/0!</v>
      </c>
      <c r="P12" s="126"/>
      <c r="Q12" s="125" t="e">
        <f>Q4-Q10*Q6</f>
        <v>#DIV/0!</v>
      </c>
      <c r="R12" s="126"/>
    </row>
    <row r="13" s="114" customFormat="1" customHeight="1" spans="1:18">
      <c r="A13" s="133"/>
      <c r="B13" s="136" t="s">
        <v>37</v>
      </c>
      <c r="C13" s="125">
        <f>C7+C8</f>
        <v>0</v>
      </c>
      <c r="D13" s="126"/>
      <c r="E13" s="125">
        <f>E7+E8</f>
        <v>0</v>
      </c>
      <c r="F13" s="126"/>
      <c r="G13" s="125">
        <f>G7+G8</f>
        <v>0</v>
      </c>
      <c r="H13" s="126"/>
      <c r="I13" s="125">
        <f>I7+I8</f>
        <v>0</v>
      </c>
      <c r="J13" s="126"/>
      <c r="K13" s="125">
        <f>K7+K8</f>
        <v>0</v>
      </c>
      <c r="L13" s="126"/>
      <c r="M13" s="125">
        <f>M7+M8</f>
        <v>0</v>
      </c>
      <c r="N13" s="126"/>
      <c r="O13" s="125">
        <f>O7+O8</f>
        <v>0</v>
      </c>
      <c r="P13" s="126"/>
      <c r="Q13" s="125">
        <f>Q7+Q8</f>
        <v>0</v>
      </c>
      <c r="R13" s="126"/>
    </row>
    <row r="14" s="113" customFormat="1" customHeight="1" spans="1:18">
      <c r="A14" s="129"/>
      <c r="B14" s="130" t="s">
        <v>38</v>
      </c>
      <c r="C14" s="131" t="e">
        <f>C13/C12</f>
        <v>#DIV/0!</v>
      </c>
      <c r="D14" s="132"/>
      <c r="E14" s="131" t="e">
        <f>E13/E12</f>
        <v>#DIV/0!</v>
      </c>
      <c r="F14" s="132"/>
      <c r="G14" s="131" t="e">
        <f>G13/G12</f>
        <v>#DIV/0!</v>
      </c>
      <c r="H14" s="132"/>
      <c r="I14" s="131" t="e">
        <f>I13/I12</f>
        <v>#DIV/0!</v>
      </c>
      <c r="J14" s="132"/>
      <c r="K14" s="131" t="e">
        <f>K13/K12</f>
        <v>#DIV/0!</v>
      </c>
      <c r="L14" s="132"/>
      <c r="M14" s="131" t="e">
        <f>M13/M12</f>
        <v>#DIV/0!</v>
      </c>
      <c r="N14" s="132"/>
      <c r="O14" s="131" t="e">
        <f>O13/O12</f>
        <v>#DIV/0!</v>
      </c>
      <c r="P14" s="132"/>
      <c r="Q14" s="131" t="e">
        <f>Q13/Q12</f>
        <v>#DIV/0!</v>
      </c>
      <c r="R14" s="132"/>
    </row>
    <row r="15" s="113" customFormat="1" customHeight="1" spans="1:18">
      <c r="A15" s="129"/>
      <c r="B15" s="130" t="s">
        <v>39</v>
      </c>
      <c r="C15" s="131" t="s">
        <v>40</v>
      </c>
      <c r="D15" s="132"/>
      <c r="E15" s="131" t="e">
        <f>(E3-C3)/C3</f>
        <v>#DIV/0!</v>
      </c>
      <c r="F15" s="132"/>
      <c r="G15" s="131" t="e">
        <f>(G3-E3)/E3</f>
        <v>#DIV/0!</v>
      </c>
      <c r="H15" s="132"/>
      <c r="I15" s="131" t="e">
        <f>(I3-G3)/G3</f>
        <v>#DIV/0!</v>
      </c>
      <c r="J15" s="132"/>
      <c r="K15" s="131" t="e">
        <f>(K3-I3)/I3</f>
        <v>#DIV/0!</v>
      </c>
      <c r="L15" s="132"/>
      <c r="M15" s="131" t="e">
        <f>(M3-K3)/K3</f>
        <v>#DIV/0!</v>
      </c>
      <c r="N15" s="132"/>
      <c r="O15" s="131" t="e">
        <f>(O3-M3)/M3</f>
        <v>#DIV/0!</v>
      </c>
      <c r="P15" s="132"/>
      <c r="Q15" s="131" t="e">
        <f>(Q3-O3)/O3</f>
        <v>#DIV/0!</v>
      </c>
      <c r="R15" s="132"/>
    </row>
    <row r="17" s="1" customFormat="1" customHeight="1" spans="1:18">
      <c r="A17" s="115" t="s">
        <v>46</v>
      </c>
      <c r="B17" s="4" t="s">
        <v>47</v>
      </c>
      <c r="C17" s="5">
        <v>43471</v>
      </c>
      <c r="D17" s="5">
        <f t="shared" ref="D17:H17" si="4">C17+6</f>
        <v>43477</v>
      </c>
      <c r="E17" s="5">
        <f t="shared" ref="E17:I17" si="5">D17+1</f>
        <v>43478</v>
      </c>
      <c r="F17" s="5">
        <f t="shared" si="4"/>
        <v>43484</v>
      </c>
      <c r="G17" s="5">
        <f t="shared" si="5"/>
        <v>43485</v>
      </c>
      <c r="H17" s="5">
        <f t="shared" si="4"/>
        <v>43491</v>
      </c>
      <c r="I17" s="5">
        <f t="shared" si="5"/>
        <v>43492</v>
      </c>
      <c r="J17" s="5">
        <f t="shared" ref="J17:N17" si="6">I17+6</f>
        <v>43498</v>
      </c>
      <c r="K17" s="5">
        <f t="shared" ref="K17:O17" si="7">J17+1</f>
        <v>43499</v>
      </c>
      <c r="L17" s="5">
        <f t="shared" si="6"/>
        <v>43505</v>
      </c>
      <c r="M17" s="5">
        <f t="shared" si="7"/>
        <v>43506</v>
      </c>
      <c r="N17" s="5">
        <f t="shared" si="6"/>
        <v>43512</v>
      </c>
      <c r="O17" s="5">
        <f t="shared" si="7"/>
        <v>43513</v>
      </c>
      <c r="P17" s="5">
        <f>O17+6</f>
        <v>43519</v>
      </c>
      <c r="Q17" s="5">
        <f>P17+1</f>
        <v>43520</v>
      </c>
      <c r="R17" s="5">
        <f>Q17+6</f>
        <v>43526</v>
      </c>
    </row>
    <row r="18" s="109" customFormat="1" customHeight="1" spans="1:18">
      <c r="A18" s="116"/>
      <c r="B18" s="117" t="s">
        <v>10</v>
      </c>
      <c r="C18" s="118"/>
      <c r="D18" s="119"/>
      <c r="E18" s="118"/>
      <c r="F18" s="119"/>
      <c r="G18" s="118"/>
      <c r="H18" s="119"/>
      <c r="I18" s="118"/>
      <c r="J18" s="119"/>
      <c r="K18" s="118"/>
      <c r="L18" s="119"/>
      <c r="M18" s="118"/>
      <c r="N18" s="119"/>
      <c r="O18" s="118"/>
      <c r="P18" s="119"/>
      <c r="Q18" s="118"/>
      <c r="R18" s="119"/>
    </row>
    <row r="19" s="110" customFormat="1" customHeight="1" spans="1:18">
      <c r="A19" s="120"/>
      <c r="B19" s="121" t="s">
        <v>11</v>
      </c>
      <c r="C19" s="122"/>
      <c r="D19" s="123"/>
      <c r="E19" s="122"/>
      <c r="F19" s="123"/>
      <c r="G19" s="122"/>
      <c r="H19" s="123"/>
      <c r="I19" s="122"/>
      <c r="J19" s="123"/>
      <c r="K19" s="122"/>
      <c r="L19" s="123"/>
      <c r="M19" s="122"/>
      <c r="N19" s="123"/>
      <c r="O19" s="122"/>
      <c r="P19" s="123"/>
      <c r="Q19" s="122"/>
      <c r="R19" s="123"/>
    </row>
    <row r="20" s="111" customFormat="1" customHeight="1" spans="1:18">
      <c r="A20" s="116"/>
      <c r="B20" s="124" t="s">
        <v>12</v>
      </c>
      <c r="C20" s="125"/>
      <c r="D20" s="126"/>
      <c r="E20" s="125"/>
      <c r="F20" s="126"/>
      <c r="G20" s="125"/>
      <c r="H20" s="126"/>
      <c r="I20" s="125"/>
      <c r="J20" s="126"/>
      <c r="K20" s="125"/>
      <c r="L20" s="126"/>
      <c r="M20" s="125"/>
      <c r="N20" s="126"/>
      <c r="O20" s="125"/>
      <c r="P20" s="126"/>
      <c r="Q20" s="125"/>
      <c r="R20" s="126"/>
    </row>
    <row r="21" s="111" customFormat="1" customHeight="1" spans="1:18">
      <c r="A21" s="116"/>
      <c r="B21" s="127" t="s">
        <v>13</v>
      </c>
      <c r="C21" s="125"/>
      <c r="D21" s="126"/>
      <c r="E21" s="125"/>
      <c r="F21" s="126"/>
      <c r="G21" s="125"/>
      <c r="H21" s="126"/>
      <c r="I21" s="125"/>
      <c r="J21" s="126"/>
      <c r="K21" s="125"/>
      <c r="L21" s="126"/>
      <c r="M21" s="125"/>
      <c r="N21" s="126"/>
      <c r="O21" s="125"/>
      <c r="P21" s="126"/>
      <c r="Q21" s="125"/>
      <c r="R21" s="126"/>
    </row>
    <row r="22" s="112" customFormat="1" customHeight="1" spans="1:18">
      <c r="A22" s="116"/>
      <c r="B22" s="128" t="s">
        <v>14</v>
      </c>
      <c r="C22" s="122"/>
      <c r="D22" s="123"/>
      <c r="E22" s="122"/>
      <c r="F22" s="123"/>
      <c r="G22" s="122"/>
      <c r="H22" s="123"/>
      <c r="I22" s="122"/>
      <c r="J22" s="123"/>
      <c r="K22" s="122"/>
      <c r="L22" s="123"/>
      <c r="M22" s="122"/>
      <c r="N22" s="123"/>
      <c r="O22" s="122"/>
      <c r="P22" s="123"/>
      <c r="Q22" s="122"/>
      <c r="R22" s="123"/>
    </row>
    <row r="23" s="111" customFormat="1" customHeight="1" spans="1:18">
      <c r="A23" s="116"/>
      <c r="B23" s="127" t="s">
        <v>19</v>
      </c>
      <c r="C23" s="125"/>
      <c r="D23" s="126"/>
      <c r="E23" s="125"/>
      <c r="F23" s="126"/>
      <c r="G23" s="125"/>
      <c r="H23" s="126"/>
      <c r="I23" s="125"/>
      <c r="J23" s="126"/>
      <c r="K23" s="125"/>
      <c r="L23" s="126"/>
      <c r="M23" s="125"/>
      <c r="N23" s="126"/>
      <c r="O23" s="125"/>
      <c r="P23" s="126"/>
      <c r="Q23" s="125"/>
      <c r="R23" s="126"/>
    </row>
    <row r="24" s="111" customFormat="1" customHeight="1" spans="1:18">
      <c r="A24" s="116"/>
      <c r="B24" s="127" t="s">
        <v>13</v>
      </c>
      <c r="C24" s="125"/>
      <c r="D24" s="126"/>
      <c r="E24" s="125"/>
      <c r="F24" s="126"/>
      <c r="G24" s="125"/>
      <c r="H24" s="126"/>
      <c r="I24" s="125"/>
      <c r="J24" s="126"/>
      <c r="K24" s="125"/>
      <c r="L24" s="126"/>
      <c r="M24" s="125"/>
      <c r="N24" s="126"/>
      <c r="O24" s="125"/>
      <c r="P24" s="126"/>
      <c r="Q24" s="125"/>
      <c r="R24" s="126"/>
    </row>
    <row r="25" s="113" customFormat="1" customHeight="1" spans="1:18">
      <c r="A25" s="129"/>
      <c r="B25" s="130" t="s">
        <v>49</v>
      </c>
      <c r="C25" s="131" t="e">
        <f>C19/C18</f>
        <v>#DIV/0!</v>
      </c>
      <c r="D25" s="132"/>
      <c r="E25" s="131" t="e">
        <f>E19/E18</f>
        <v>#DIV/0!</v>
      </c>
      <c r="F25" s="132"/>
      <c r="G25" s="131" t="e">
        <f>G19/G18</f>
        <v>#DIV/0!</v>
      </c>
      <c r="H25" s="132"/>
      <c r="I25" s="131" t="e">
        <f>I19/I18</f>
        <v>#DIV/0!</v>
      </c>
      <c r="J25" s="132"/>
      <c r="K25" s="131" t="e">
        <f>K19/K18</f>
        <v>#DIV/0!</v>
      </c>
      <c r="L25" s="132"/>
      <c r="M25" s="131" t="e">
        <f>M19/M18</f>
        <v>#DIV/0!</v>
      </c>
      <c r="N25" s="132"/>
      <c r="O25" s="131" t="e">
        <f>O19/O18</f>
        <v>#DIV/0!</v>
      </c>
      <c r="P25" s="132"/>
      <c r="Q25" s="131" t="e">
        <f>Q19/Q18</f>
        <v>#DIV/0!</v>
      </c>
      <c r="R25" s="132"/>
    </row>
    <row r="26" s="114" customFormat="1" customHeight="1" spans="1:18">
      <c r="A26" s="133"/>
      <c r="B26" s="134" t="s">
        <v>34</v>
      </c>
      <c r="C26" s="125" t="e">
        <f>C20/C19</f>
        <v>#DIV/0!</v>
      </c>
      <c r="D26" s="126"/>
      <c r="E26" s="125" t="e">
        <f>E20/E19</f>
        <v>#DIV/0!</v>
      </c>
      <c r="F26" s="126"/>
      <c r="G26" s="125" t="e">
        <f>G20/G19</f>
        <v>#DIV/0!</v>
      </c>
      <c r="H26" s="126"/>
      <c r="I26" s="125" t="e">
        <f>I20/I19</f>
        <v>#DIV/0!</v>
      </c>
      <c r="J26" s="126"/>
      <c r="K26" s="125" t="e">
        <f>K20/K19</f>
        <v>#DIV/0!</v>
      </c>
      <c r="L26" s="126"/>
      <c r="M26" s="125" t="e">
        <f>M20/M19</f>
        <v>#DIV/0!</v>
      </c>
      <c r="N26" s="126"/>
      <c r="O26" s="125" t="e">
        <f>O20/O19</f>
        <v>#DIV/0!</v>
      </c>
      <c r="P26" s="126"/>
      <c r="Q26" s="125" t="e">
        <f>Q20/Q19</f>
        <v>#DIV/0!</v>
      </c>
      <c r="R26" s="126"/>
    </row>
    <row r="27" s="110" customFormat="1" customHeight="1" spans="1:18">
      <c r="A27" s="120"/>
      <c r="B27" s="135" t="s">
        <v>35</v>
      </c>
      <c r="C27" s="122">
        <f>C19-C22</f>
        <v>0</v>
      </c>
      <c r="D27" s="123"/>
      <c r="E27" s="122">
        <f>E19-E22</f>
        <v>0</v>
      </c>
      <c r="F27" s="123"/>
      <c r="G27" s="122">
        <f>G19-G22</f>
        <v>0</v>
      </c>
      <c r="H27" s="123"/>
      <c r="I27" s="122">
        <f>I19-I22</f>
        <v>0</v>
      </c>
      <c r="J27" s="123"/>
      <c r="K27" s="122">
        <f>K19-K22</f>
        <v>0</v>
      </c>
      <c r="L27" s="123"/>
      <c r="M27" s="122">
        <f>M19-M22</f>
        <v>0</v>
      </c>
      <c r="N27" s="123"/>
      <c r="O27" s="122">
        <f>O19-O22</f>
        <v>0</v>
      </c>
      <c r="P27" s="123"/>
      <c r="Q27" s="122">
        <f>Q19-Q22</f>
        <v>0</v>
      </c>
      <c r="R27" s="123"/>
    </row>
    <row r="28" s="114" customFormat="1" customHeight="1" spans="1:18">
      <c r="A28" s="133"/>
      <c r="B28" s="134" t="s">
        <v>36</v>
      </c>
      <c r="C28" s="125" t="e">
        <f>C20-C26*C22</f>
        <v>#DIV/0!</v>
      </c>
      <c r="D28" s="126"/>
      <c r="E28" s="125" t="e">
        <f>E20-E26*E22</f>
        <v>#DIV/0!</v>
      </c>
      <c r="F28" s="126"/>
      <c r="G28" s="125" t="e">
        <f>G20-G26*G22</f>
        <v>#DIV/0!</v>
      </c>
      <c r="H28" s="126"/>
      <c r="I28" s="125" t="e">
        <f>I20-I26*I22</f>
        <v>#DIV/0!</v>
      </c>
      <c r="J28" s="126"/>
      <c r="K28" s="125" t="e">
        <f>K20-K26*K22</f>
        <v>#DIV/0!</v>
      </c>
      <c r="L28" s="126"/>
      <c r="M28" s="125" t="e">
        <f>M20-M26*M22</f>
        <v>#DIV/0!</v>
      </c>
      <c r="N28" s="126"/>
      <c r="O28" s="125" t="e">
        <f>O20-O26*O22</f>
        <v>#DIV/0!</v>
      </c>
      <c r="P28" s="126"/>
      <c r="Q28" s="125" t="e">
        <f>Q20-Q26*Q22</f>
        <v>#DIV/0!</v>
      </c>
      <c r="R28" s="126"/>
    </row>
    <row r="29" s="114" customFormat="1" customHeight="1" spans="1:18">
      <c r="A29" s="133"/>
      <c r="B29" s="136" t="s">
        <v>37</v>
      </c>
      <c r="C29" s="125">
        <f>C23+C24</f>
        <v>0</v>
      </c>
      <c r="D29" s="126"/>
      <c r="E29" s="125">
        <f>E23+E24</f>
        <v>0</v>
      </c>
      <c r="F29" s="126"/>
      <c r="G29" s="125">
        <f>G23+G24</f>
        <v>0</v>
      </c>
      <c r="H29" s="126"/>
      <c r="I29" s="125">
        <f>I23+I24</f>
        <v>0</v>
      </c>
      <c r="J29" s="126"/>
      <c r="K29" s="125">
        <f>K23+K24</f>
        <v>0</v>
      </c>
      <c r="L29" s="126"/>
      <c r="M29" s="125">
        <f>M23+M24</f>
        <v>0</v>
      </c>
      <c r="N29" s="126"/>
      <c r="O29" s="125">
        <f>O23+O24</f>
        <v>0</v>
      </c>
      <c r="P29" s="126"/>
      <c r="Q29" s="125">
        <f>Q23+Q24</f>
        <v>0</v>
      </c>
      <c r="R29" s="126"/>
    </row>
    <row r="30" s="113" customFormat="1" customHeight="1" spans="1:18">
      <c r="A30" s="129"/>
      <c r="B30" s="130" t="s">
        <v>38</v>
      </c>
      <c r="C30" s="131" t="e">
        <f>C29/C28</f>
        <v>#DIV/0!</v>
      </c>
      <c r="D30" s="132"/>
      <c r="E30" s="131" t="e">
        <f>E29/E28</f>
        <v>#DIV/0!</v>
      </c>
      <c r="F30" s="132"/>
      <c r="G30" s="131" t="e">
        <f>G29/G28</f>
        <v>#DIV/0!</v>
      </c>
      <c r="H30" s="132"/>
      <c r="I30" s="131" t="e">
        <f>I29/I28</f>
        <v>#DIV/0!</v>
      </c>
      <c r="J30" s="132"/>
      <c r="K30" s="131" t="e">
        <f>K29/K28</f>
        <v>#DIV/0!</v>
      </c>
      <c r="L30" s="132"/>
      <c r="M30" s="131" t="e">
        <f>M29/M28</f>
        <v>#DIV/0!</v>
      </c>
      <c r="N30" s="132"/>
      <c r="O30" s="131" t="e">
        <f>O29/O28</f>
        <v>#DIV/0!</v>
      </c>
      <c r="P30" s="132"/>
      <c r="Q30" s="131" t="e">
        <f>Q29/Q28</f>
        <v>#DIV/0!</v>
      </c>
      <c r="R30" s="132"/>
    </row>
    <row r="31" s="113" customFormat="1" customHeight="1" spans="1:18">
      <c r="A31" s="129"/>
      <c r="B31" s="130" t="s">
        <v>39</v>
      </c>
      <c r="C31" s="131" t="s">
        <v>40</v>
      </c>
      <c r="D31" s="132"/>
      <c r="E31" s="131" t="e">
        <f t="shared" ref="E31:I31" si="8">(E19-C19)/C19</f>
        <v>#DIV/0!</v>
      </c>
      <c r="F31" s="132"/>
      <c r="G31" s="131" t="e">
        <f t="shared" si="8"/>
        <v>#DIV/0!</v>
      </c>
      <c r="H31" s="132"/>
      <c r="I31" s="131" t="e">
        <f t="shared" si="8"/>
        <v>#DIV/0!</v>
      </c>
      <c r="J31" s="132"/>
      <c r="K31" s="131" t="e">
        <f t="shared" ref="K31:O31" si="9">(K19-I19)/I19</f>
        <v>#DIV/0!</v>
      </c>
      <c r="L31" s="132"/>
      <c r="M31" s="131" t="e">
        <f t="shared" si="9"/>
        <v>#DIV/0!</v>
      </c>
      <c r="N31" s="132"/>
      <c r="O31" s="131" t="e">
        <f t="shared" si="9"/>
        <v>#DIV/0!</v>
      </c>
      <c r="P31" s="132"/>
      <c r="Q31" s="131" t="e">
        <f>(Q19-O19)/O19</f>
        <v>#DIV/0!</v>
      </c>
      <c r="R31" s="132"/>
    </row>
    <row r="33" s="1" customFormat="1" customHeight="1" spans="1:18">
      <c r="A33" s="115" t="s">
        <v>46</v>
      </c>
      <c r="B33" s="4" t="s">
        <v>47</v>
      </c>
      <c r="C33" s="5">
        <v>43471</v>
      </c>
      <c r="D33" s="5">
        <f t="shared" ref="D33:H33" si="10">C33+6</f>
        <v>43477</v>
      </c>
      <c r="E33" s="5">
        <f t="shared" ref="E33:I33" si="11">D33+1</f>
        <v>43478</v>
      </c>
      <c r="F33" s="5">
        <f t="shared" si="10"/>
        <v>43484</v>
      </c>
      <c r="G33" s="5">
        <f t="shared" si="11"/>
        <v>43485</v>
      </c>
      <c r="H33" s="5">
        <f t="shared" si="10"/>
        <v>43491</v>
      </c>
      <c r="I33" s="5">
        <f t="shared" si="11"/>
        <v>43492</v>
      </c>
      <c r="J33" s="5">
        <f t="shared" ref="J33:N33" si="12">I33+6</f>
        <v>43498</v>
      </c>
      <c r="K33" s="5">
        <f t="shared" ref="K33:O33" si="13">J33+1</f>
        <v>43499</v>
      </c>
      <c r="L33" s="5">
        <f t="shared" si="12"/>
        <v>43505</v>
      </c>
      <c r="M33" s="5">
        <f t="shared" si="13"/>
        <v>43506</v>
      </c>
      <c r="N33" s="5">
        <f t="shared" si="12"/>
        <v>43512</v>
      </c>
      <c r="O33" s="5">
        <f t="shared" si="13"/>
        <v>43513</v>
      </c>
      <c r="P33" s="5">
        <f>O33+6</f>
        <v>43519</v>
      </c>
      <c r="Q33" s="5">
        <f>P33+1</f>
        <v>43520</v>
      </c>
      <c r="R33" s="5">
        <f>Q33+6</f>
        <v>43526</v>
      </c>
    </row>
    <row r="34" s="109" customFormat="1" customHeight="1" spans="1:18">
      <c r="A34" s="116"/>
      <c r="B34" s="117" t="s">
        <v>10</v>
      </c>
      <c r="C34" s="118"/>
      <c r="D34" s="119"/>
      <c r="E34" s="118"/>
      <c r="F34" s="119"/>
      <c r="G34" s="118"/>
      <c r="H34" s="119"/>
      <c r="I34" s="118"/>
      <c r="J34" s="119"/>
      <c r="K34" s="118"/>
      <c r="L34" s="119"/>
      <c r="M34" s="118"/>
      <c r="N34" s="119"/>
      <c r="O34" s="118"/>
      <c r="P34" s="119"/>
      <c r="Q34" s="118"/>
      <c r="R34" s="119"/>
    </row>
    <row r="35" s="110" customFormat="1" customHeight="1" spans="1:18">
      <c r="A35" s="120"/>
      <c r="B35" s="121" t="s">
        <v>11</v>
      </c>
      <c r="C35" s="122"/>
      <c r="D35" s="123"/>
      <c r="E35" s="122"/>
      <c r="F35" s="123"/>
      <c r="G35" s="122"/>
      <c r="H35" s="123"/>
      <c r="I35" s="122"/>
      <c r="J35" s="123"/>
      <c r="K35" s="122"/>
      <c r="L35" s="123"/>
      <c r="M35" s="122"/>
      <c r="N35" s="123"/>
      <c r="O35" s="122"/>
      <c r="P35" s="123"/>
      <c r="Q35" s="122"/>
      <c r="R35" s="123"/>
    </row>
    <row r="36" s="111" customFormat="1" customHeight="1" spans="1:18">
      <c r="A36" s="116"/>
      <c r="B36" s="124" t="s">
        <v>12</v>
      </c>
      <c r="C36" s="125"/>
      <c r="D36" s="126"/>
      <c r="E36" s="125"/>
      <c r="F36" s="126"/>
      <c r="G36" s="125"/>
      <c r="H36" s="126"/>
      <c r="I36" s="125"/>
      <c r="J36" s="126"/>
      <c r="K36" s="125"/>
      <c r="L36" s="126"/>
      <c r="M36" s="125"/>
      <c r="N36" s="126"/>
      <c r="O36" s="125"/>
      <c r="P36" s="126"/>
      <c r="Q36" s="125"/>
      <c r="R36" s="126"/>
    </row>
    <row r="37" s="111" customFormat="1" customHeight="1" spans="1:18">
      <c r="A37" s="116"/>
      <c r="B37" s="127" t="s">
        <v>13</v>
      </c>
      <c r="C37" s="125"/>
      <c r="D37" s="126"/>
      <c r="E37" s="125"/>
      <c r="F37" s="126"/>
      <c r="G37" s="125"/>
      <c r="H37" s="126"/>
      <c r="I37" s="125"/>
      <c r="J37" s="126"/>
      <c r="K37" s="125"/>
      <c r="L37" s="126"/>
      <c r="M37" s="125"/>
      <c r="N37" s="126"/>
      <c r="O37" s="125"/>
      <c r="P37" s="126"/>
      <c r="Q37" s="125"/>
      <c r="R37" s="126"/>
    </row>
    <row r="38" s="112" customFormat="1" customHeight="1" spans="1:18">
      <c r="A38" s="116"/>
      <c r="B38" s="128" t="s">
        <v>14</v>
      </c>
      <c r="C38" s="122"/>
      <c r="D38" s="123"/>
      <c r="E38" s="122"/>
      <c r="F38" s="123"/>
      <c r="G38" s="122"/>
      <c r="H38" s="123"/>
      <c r="I38" s="122"/>
      <c r="J38" s="123"/>
      <c r="K38" s="122"/>
      <c r="L38" s="123"/>
      <c r="M38" s="122"/>
      <c r="N38" s="123"/>
      <c r="O38" s="122"/>
      <c r="P38" s="123"/>
      <c r="Q38" s="122"/>
      <c r="R38" s="123"/>
    </row>
    <row r="39" s="111" customFormat="1" customHeight="1" spans="1:18">
      <c r="A39" s="116"/>
      <c r="B39" s="127" t="s">
        <v>19</v>
      </c>
      <c r="C39" s="125"/>
      <c r="D39" s="126"/>
      <c r="E39" s="125"/>
      <c r="F39" s="126"/>
      <c r="G39" s="125"/>
      <c r="H39" s="126"/>
      <c r="I39" s="125"/>
      <c r="J39" s="126"/>
      <c r="K39" s="125"/>
      <c r="L39" s="126"/>
      <c r="M39" s="125"/>
      <c r="N39" s="126"/>
      <c r="O39" s="125"/>
      <c r="P39" s="126"/>
      <c r="Q39" s="125"/>
      <c r="R39" s="126"/>
    </row>
    <row r="40" s="111" customFormat="1" customHeight="1" spans="1:18">
      <c r="A40" s="116"/>
      <c r="B40" s="127" t="s">
        <v>13</v>
      </c>
      <c r="C40" s="125"/>
      <c r="D40" s="126"/>
      <c r="E40" s="125"/>
      <c r="F40" s="126"/>
      <c r="G40" s="125"/>
      <c r="H40" s="126"/>
      <c r="I40" s="125"/>
      <c r="J40" s="126"/>
      <c r="K40" s="125"/>
      <c r="L40" s="126"/>
      <c r="M40" s="125"/>
      <c r="N40" s="126"/>
      <c r="O40" s="125"/>
      <c r="P40" s="126"/>
      <c r="Q40" s="125"/>
      <c r="R40" s="126"/>
    </row>
    <row r="41" s="113" customFormat="1" customHeight="1" spans="1:18">
      <c r="A41" s="129"/>
      <c r="B41" s="130" t="s">
        <v>49</v>
      </c>
      <c r="C41" s="131" t="e">
        <f>C35/C34</f>
        <v>#DIV/0!</v>
      </c>
      <c r="D41" s="132"/>
      <c r="E41" s="131" t="e">
        <f>E35/E34</f>
        <v>#DIV/0!</v>
      </c>
      <c r="F41" s="132"/>
      <c r="G41" s="131" t="e">
        <f>G35/G34</f>
        <v>#DIV/0!</v>
      </c>
      <c r="H41" s="132"/>
      <c r="I41" s="131" t="e">
        <f>I35/I34</f>
        <v>#DIV/0!</v>
      </c>
      <c r="J41" s="132"/>
      <c r="K41" s="131" t="e">
        <f>K35/K34</f>
        <v>#DIV/0!</v>
      </c>
      <c r="L41" s="132"/>
      <c r="M41" s="131" t="e">
        <f>M35/M34</f>
        <v>#DIV/0!</v>
      </c>
      <c r="N41" s="132"/>
      <c r="O41" s="131" t="e">
        <f>O35/O34</f>
        <v>#DIV/0!</v>
      </c>
      <c r="P41" s="132"/>
      <c r="Q41" s="131" t="e">
        <f>Q35/Q34</f>
        <v>#DIV/0!</v>
      </c>
      <c r="R41" s="132"/>
    </row>
    <row r="42" s="114" customFormat="1" customHeight="1" spans="1:18">
      <c r="A42" s="133"/>
      <c r="B42" s="134" t="s">
        <v>34</v>
      </c>
      <c r="C42" s="125" t="e">
        <f>C36/C35</f>
        <v>#DIV/0!</v>
      </c>
      <c r="D42" s="126"/>
      <c r="E42" s="125" t="e">
        <f>E36/E35</f>
        <v>#DIV/0!</v>
      </c>
      <c r="F42" s="126"/>
      <c r="G42" s="125" t="e">
        <f>G36/G35</f>
        <v>#DIV/0!</v>
      </c>
      <c r="H42" s="126"/>
      <c r="I42" s="125" t="e">
        <f>I36/I35</f>
        <v>#DIV/0!</v>
      </c>
      <c r="J42" s="126"/>
      <c r="K42" s="125" t="e">
        <f>K36/K35</f>
        <v>#DIV/0!</v>
      </c>
      <c r="L42" s="126"/>
      <c r="M42" s="125" t="e">
        <f>M36/M35</f>
        <v>#DIV/0!</v>
      </c>
      <c r="N42" s="126"/>
      <c r="O42" s="125" t="e">
        <f>O36/O35</f>
        <v>#DIV/0!</v>
      </c>
      <c r="P42" s="126"/>
      <c r="Q42" s="125" t="e">
        <f>Q36/Q35</f>
        <v>#DIV/0!</v>
      </c>
      <c r="R42" s="126"/>
    </row>
    <row r="43" s="110" customFormat="1" customHeight="1" spans="1:18">
      <c r="A43" s="120"/>
      <c r="B43" s="135" t="s">
        <v>35</v>
      </c>
      <c r="C43" s="122">
        <f>C35-C38</f>
        <v>0</v>
      </c>
      <c r="D43" s="123"/>
      <c r="E43" s="122">
        <f>E35-E38</f>
        <v>0</v>
      </c>
      <c r="F43" s="123"/>
      <c r="G43" s="122">
        <f>G35-G38</f>
        <v>0</v>
      </c>
      <c r="H43" s="123"/>
      <c r="I43" s="122">
        <f>I35-I38</f>
        <v>0</v>
      </c>
      <c r="J43" s="123"/>
      <c r="K43" s="122">
        <f>K35-K38</f>
        <v>0</v>
      </c>
      <c r="L43" s="123"/>
      <c r="M43" s="122">
        <f>M35-M38</f>
        <v>0</v>
      </c>
      <c r="N43" s="123"/>
      <c r="O43" s="122">
        <f>O35-O38</f>
        <v>0</v>
      </c>
      <c r="P43" s="123"/>
      <c r="Q43" s="122">
        <f>Q35-Q38</f>
        <v>0</v>
      </c>
      <c r="R43" s="123"/>
    </row>
    <row r="44" s="114" customFormat="1" customHeight="1" spans="1:18">
      <c r="A44" s="133"/>
      <c r="B44" s="134" t="s">
        <v>36</v>
      </c>
      <c r="C44" s="125" t="e">
        <f>C36-C42*C38</f>
        <v>#DIV/0!</v>
      </c>
      <c r="D44" s="126"/>
      <c r="E44" s="125" t="e">
        <f>E36-E42*E38</f>
        <v>#DIV/0!</v>
      </c>
      <c r="F44" s="126"/>
      <c r="G44" s="125" t="e">
        <f>G36-G42*G38</f>
        <v>#DIV/0!</v>
      </c>
      <c r="H44" s="126"/>
      <c r="I44" s="125" t="e">
        <f>I36-I42*I38</f>
        <v>#DIV/0!</v>
      </c>
      <c r="J44" s="126"/>
      <c r="K44" s="125" t="e">
        <f>K36-K42*K38</f>
        <v>#DIV/0!</v>
      </c>
      <c r="L44" s="126"/>
      <c r="M44" s="125" t="e">
        <f>M36-M42*M38</f>
        <v>#DIV/0!</v>
      </c>
      <c r="N44" s="126"/>
      <c r="O44" s="125" t="e">
        <f>O36-O42*O38</f>
        <v>#DIV/0!</v>
      </c>
      <c r="P44" s="126"/>
      <c r="Q44" s="125" t="e">
        <f>Q36-Q42*Q38</f>
        <v>#DIV/0!</v>
      </c>
      <c r="R44" s="126"/>
    </row>
    <row r="45" s="114" customFormat="1" customHeight="1" spans="1:18">
      <c r="A45" s="133"/>
      <c r="B45" s="136" t="s">
        <v>37</v>
      </c>
      <c r="C45" s="125">
        <f>C39+C40</f>
        <v>0</v>
      </c>
      <c r="D45" s="126"/>
      <c r="E45" s="125">
        <f>E39+E40</f>
        <v>0</v>
      </c>
      <c r="F45" s="126"/>
      <c r="G45" s="125">
        <f>G39+G40</f>
        <v>0</v>
      </c>
      <c r="H45" s="126"/>
      <c r="I45" s="125">
        <f>I39+I40</f>
        <v>0</v>
      </c>
      <c r="J45" s="126"/>
      <c r="K45" s="125">
        <f>K39+K40</f>
        <v>0</v>
      </c>
      <c r="L45" s="126"/>
      <c r="M45" s="125">
        <f>M39+M40</f>
        <v>0</v>
      </c>
      <c r="N45" s="126"/>
      <c r="O45" s="125">
        <f>O39+O40</f>
        <v>0</v>
      </c>
      <c r="P45" s="126"/>
      <c r="Q45" s="125">
        <f>Q39+Q40</f>
        <v>0</v>
      </c>
      <c r="R45" s="126"/>
    </row>
    <row r="46" s="113" customFormat="1" customHeight="1" spans="1:18">
      <c r="A46" s="129"/>
      <c r="B46" s="130" t="s">
        <v>38</v>
      </c>
      <c r="C46" s="131" t="e">
        <f>C45/C44</f>
        <v>#DIV/0!</v>
      </c>
      <c r="D46" s="132"/>
      <c r="E46" s="131" t="e">
        <f>E45/E44</f>
        <v>#DIV/0!</v>
      </c>
      <c r="F46" s="132"/>
      <c r="G46" s="131" t="e">
        <f>G45/G44</f>
        <v>#DIV/0!</v>
      </c>
      <c r="H46" s="132"/>
      <c r="I46" s="131" t="e">
        <f>I45/I44</f>
        <v>#DIV/0!</v>
      </c>
      <c r="J46" s="132"/>
      <c r="K46" s="131" t="e">
        <f>K45/K44</f>
        <v>#DIV/0!</v>
      </c>
      <c r="L46" s="132"/>
      <c r="M46" s="131" t="e">
        <f>M45/M44</f>
        <v>#DIV/0!</v>
      </c>
      <c r="N46" s="132"/>
      <c r="O46" s="131" t="e">
        <f>O45/O44</f>
        <v>#DIV/0!</v>
      </c>
      <c r="P46" s="132"/>
      <c r="Q46" s="131" t="e">
        <f>Q45/Q44</f>
        <v>#DIV/0!</v>
      </c>
      <c r="R46" s="132"/>
    </row>
    <row r="47" s="113" customFormat="1" customHeight="1" spans="1:18">
      <c r="A47" s="129"/>
      <c r="B47" s="130" t="s">
        <v>39</v>
      </c>
      <c r="C47" s="131" t="s">
        <v>40</v>
      </c>
      <c r="D47" s="132"/>
      <c r="E47" s="131" t="e">
        <f t="shared" ref="E47:I47" si="14">(E35-C35)/C35</f>
        <v>#DIV/0!</v>
      </c>
      <c r="F47" s="132"/>
      <c r="G47" s="131" t="e">
        <f t="shared" si="14"/>
        <v>#DIV/0!</v>
      </c>
      <c r="H47" s="132"/>
      <c r="I47" s="131" t="e">
        <f t="shared" si="14"/>
        <v>#DIV/0!</v>
      </c>
      <c r="J47" s="132"/>
      <c r="K47" s="131" t="e">
        <f t="shared" ref="K47:O47" si="15">(K35-I35)/I35</f>
        <v>#DIV/0!</v>
      </c>
      <c r="L47" s="132"/>
      <c r="M47" s="131" t="e">
        <f t="shared" si="15"/>
        <v>#DIV/0!</v>
      </c>
      <c r="N47" s="132"/>
      <c r="O47" s="131" t="e">
        <f t="shared" si="15"/>
        <v>#DIV/0!</v>
      </c>
      <c r="P47" s="132"/>
      <c r="Q47" s="131" t="e">
        <f>(Q35-O35)/O35</f>
        <v>#DIV/0!</v>
      </c>
      <c r="R47" s="132"/>
    </row>
  </sheetData>
  <sheetProtection formatCells="0" insertHyperlinks="0" autoFilter="0"/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120" zoomScaleNormal="120" workbookViewId="0">
      <selection activeCell="B4" sqref="B4"/>
    </sheetView>
  </sheetViews>
  <sheetFormatPr defaultColWidth="8.94074074074074" defaultRowHeight="16.5"/>
  <sheetData>
    <row r="1" spans="1:14">
      <c r="A1" s="2" t="s">
        <v>41</v>
      </c>
      <c r="B1" s="104" t="s">
        <v>1</v>
      </c>
      <c r="C1" s="104" t="s">
        <v>2</v>
      </c>
      <c r="D1" s="105" t="s">
        <v>50</v>
      </c>
      <c r="E1" s="105" t="s">
        <v>51</v>
      </c>
      <c r="F1" s="105" t="s">
        <v>52</v>
      </c>
      <c r="G1" s="105" t="s">
        <v>53</v>
      </c>
      <c r="H1" s="106" t="s">
        <v>54</v>
      </c>
      <c r="I1" s="105" t="s">
        <v>55</v>
      </c>
      <c r="J1" s="105" t="s">
        <v>56</v>
      </c>
      <c r="K1" s="105" t="s">
        <v>57</v>
      </c>
      <c r="L1" s="107" t="s">
        <v>31</v>
      </c>
      <c r="M1" s="108" t="s">
        <v>30</v>
      </c>
      <c r="N1" s="108" t="s">
        <v>58</v>
      </c>
    </row>
    <row r="2" spans="1:14">
      <c r="A2" s="2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sheetProtection formatCells="0" insertHyperlinks="0" autoFilter="0"/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60"/>
  <sheetViews>
    <sheetView topLeftCell="A4" workbookViewId="0">
      <selection activeCell="CN13" sqref="CN13"/>
    </sheetView>
  </sheetViews>
  <sheetFormatPr defaultColWidth="8" defaultRowHeight="18" customHeight="1"/>
  <cols>
    <col min="1" max="1" width="8" style="36"/>
    <col min="2" max="2" width="8" style="37"/>
    <col min="3" max="3" width="8.00740740740741" style="37" customWidth="1"/>
    <col min="4" max="5" width="8.00740740740741" style="38" customWidth="1"/>
    <col min="6" max="18" width="8.00740740740741" style="39" customWidth="1"/>
    <col min="19" max="19" width="17.3333333333333" style="35" customWidth="1"/>
    <col min="20" max="22" width="8.00740740740741" style="39" customWidth="1"/>
    <col min="23" max="24" width="10.1111111111111" style="39" customWidth="1"/>
    <col min="25" max="91" width="8.00740740740741" style="39" customWidth="1"/>
    <col min="92" max="16384" width="8" style="31"/>
  </cols>
  <sheetData>
    <row r="1" s="31" customFormat="1" ht="30" customHeight="1" spans="1:92">
      <c r="A1" s="40" t="s">
        <v>41</v>
      </c>
      <c r="B1" s="41" t="s">
        <v>59</v>
      </c>
      <c r="C1" s="41" t="s">
        <v>60</v>
      </c>
      <c r="D1" s="40" t="s">
        <v>61</v>
      </c>
      <c r="E1" s="40" t="s">
        <v>62</v>
      </c>
      <c r="F1" s="40" t="s">
        <v>63</v>
      </c>
      <c r="G1" s="40" t="s">
        <v>64</v>
      </c>
      <c r="H1" s="51" t="s">
        <v>65</v>
      </c>
      <c r="I1" s="51" t="s">
        <v>66</v>
      </c>
      <c r="J1" s="51" t="s">
        <v>67</v>
      </c>
      <c r="K1" s="51" t="s">
        <v>68</v>
      </c>
      <c r="L1" s="51" t="s">
        <v>69</v>
      </c>
      <c r="M1" s="51" t="s">
        <v>70</v>
      </c>
      <c r="N1" s="51" t="s">
        <v>34</v>
      </c>
      <c r="O1" s="51" t="s">
        <v>71</v>
      </c>
      <c r="P1" s="58" t="s">
        <v>72</v>
      </c>
      <c r="Q1" s="51" t="s">
        <v>73</v>
      </c>
      <c r="R1" s="58" t="s">
        <v>74</v>
      </c>
      <c r="S1" s="58" t="s">
        <v>75</v>
      </c>
      <c r="T1" s="58" t="s">
        <v>76</v>
      </c>
      <c r="U1" s="51" t="s">
        <v>77</v>
      </c>
      <c r="V1" s="58" t="s">
        <v>78</v>
      </c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</row>
    <row r="2" s="31" customFormat="1" customHeight="1" spans="1:91">
      <c r="A2" s="42"/>
      <c r="B2" s="43"/>
      <c r="C2" s="43"/>
      <c r="D2" s="44"/>
      <c r="E2" s="43">
        <v>43478</v>
      </c>
      <c r="F2" s="52">
        <v>27.65</v>
      </c>
      <c r="G2" s="52">
        <v>11.93</v>
      </c>
      <c r="H2" s="52">
        <v>4.7</v>
      </c>
      <c r="I2" s="52">
        <v>15</v>
      </c>
      <c r="J2" s="52">
        <v>0.7</v>
      </c>
      <c r="K2" s="52">
        <f>N2*15%</f>
        <v>11.9985</v>
      </c>
      <c r="L2" s="52">
        <f>F2+G2+H2+J2+K2</f>
        <v>56.9785</v>
      </c>
      <c r="M2" s="52">
        <f>F2+G2+I2+J2+K2</f>
        <v>67.2785</v>
      </c>
      <c r="N2" s="52">
        <v>79.99</v>
      </c>
      <c r="O2" s="52">
        <f>N2-L2</f>
        <v>23.0115</v>
      </c>
      <c r="P2" s="59">
        <f>O2/N2</f>
        <v>0.287679709963745</v>
      </c>
      <c r="Q2" s="52">
        <f>N2-M2</f>
        <v>12.7115</v>
      </c>
      <c r="R2" s="59">
        <f>Q2/N2</f>
        <v>0.158913614201775</v>
      </c>
      <c r="S2" s="61">
        <f>L2</f>
        <v>56.9785</v>
      </c>
      <c r="T2" s="52"/>
      <c r="U2" s="52">
        <v>150</v>
      </c>
      <c r="V2" s="52">
        <v>100</v>
      </c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</row>
    <row r="3" s="32" customFormat="1" ht="30" customHeight="1" spans="1:90">
      <c r="A3" s="45" t="s">
        <v>79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62"/>
      <c r="R3" s="63" t="s">
        <v>80</v>
      </c>
      <c r="S3" s="64"/>
      <c r="T3" s="65" t="s">
        <v>81</v>
      </c>
      <c r="U3" s="65"/>
      <c r="V3" s="65"/>
      <c r="W3" s="65"/>
      <c r="X3" s="65"/>
      <c r="Y3" s="69" t="s">
        <v>82</v>
      </c>
      <c r="Z3" s="69"/>
      <c r="AA3" s="69"/>
      <c r="AB3" s="69"/>
      <c r="AC3" s="69"/>
      <c r="AD3" s="71" t="s">
        <v>83</v>
      </c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6"/>
      <c r="AY3" s="65" t="s">
        <v>84</v>
      </c>
      <c r="AZ3" s="65"/>
      <c r="BA3" s="65"/>
      <c r="BB3" s="65"/>
      <c r="BC3" s="65"/>
      <c r="BD3" s="69" t="s">
        <v>85</v>
      </c>
      <c r="BE3" s="69"/>
      <c r="BF3" s="69"/>
      <c r="BG3" s="69"/>
      <c r="BH3" s="69"/>
      <c r="BP3" s="35" t="s">
        <v>86</v>
      </c>
      <c r="BQ3" s="35"/>
      <c r="BR3" s="35"/>
      <c r="BS3" s="35"/>
      <c r="BT3" s="35"/>
      <c r="BU3" s="35"/>
      <c r="BV3" s="35"/>
      <c r="BW3" s="35"/>
      <c r="BX3" s="35"/>
      <c r="BY3" s="35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</row>
    <row r="4" s="33" customFormat="1" ht="30" customHeight="1" spans="1:68">
      <c r="A4" s="47" t="s">
        <v>2</v>
      </c>
      <c r="B4" s="48" t="s">
        <v>87</v>
      </c>
      <c r="C4" s="48" t="s">
        <v>88</v>
      </c>
      <c r="D4" s="47" t="s">
        <v>89</v>
      </c>
      <c r="E4" s="47" t="s">
        <v>90</v>
      </c>
      <c r="F4" s="53" t="s">
        <v>91</v>
      </c>
      <c r="G4" s="53" t="s">
        <v>92</v>
      </c>
      <c r="H4" s="54" t="s">
        <v>93</v>
      </c>
      <c r="I4" s="54" t="s">
        <v>94</v>
      </c>
      <c r="J4" s="54" t="s">
        <v>95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66" t="s">
        <v>104</v>
      </c>
      <c r="T4" s="66" t="s">
        <v>105</v>
      </c>
      <c r="U4" s="66" t="s">
        <v>106</v>
      </c>
      <c r="V4" s="66" t="s">
        <v>107</v>
      </c>
      <c r="W4" s="66" t="s">
        <v>108</v>
      </c>
      <c r="X4" s="66" t="s">
        <v>109</v>
      </c>
      <c r="Y4" s="66" t="s">
        <v>105</v>
      </c>
      <c r="Z4" s="66" t="s">
        <v>106</v>
      </c>
      <c r="AA4" s="66" t="s">
        <v>107</v>
      </c>
      <c r="AB4" s="66" t="s">
        <v>108</v>
      </c>
      <c r="AC4" s="66" t="s">
        <v>109</v>
      </c>
      <c r="AD4" s="73" t="s">
        <v>110</v>
      </c>
      <c r="AE4" s="73" t="s">
        <v>111</v>
      </c>
      <c r="AF4" s="74" t="s">
        <v>112</v>
      </c>
      <c r="AG4" s="73" t="s">
        <v>113</v>
      </c>
      <c r="AH4" s="54" t="s">
        <v>114</v>
      </c>
      <c r="AI4" s="54" t="s">
        <v>115</v>
      </c>
      <c r="AJ4" s="54" t="s">
        <v>116</v>
      </c>
      <c r="AK4" s="54" t="s">
        <v>115</v>
      </c>
      <c r="AL4" s="54" t="s">
        <v>115</v>
      </c>
      <c r="AM4" s="54" t="s">
        <v>96</v>
      </c>
      <c r="AN4" s="54" t="s">
        <v>115</v>
      </c>
      <c r="AO4" s="54" t="s">
        <v>115</v>
      </c>
      <c r="AP4" s="54" t="s">
        <v>117</v>
      </c>
      <c r="AQ4" s="54" t="s">
        <v>118</v>
      </c>
      <c r="AR4" s="54" t="s">
        <v>115</v>
      </c>
      <c r="AS4" s="54" t="s">
        <v>99</v>
      </c>
      <c r="AT4" s="54" t="s">
        <v>115</v>
      </c>
      <c r="AU4" s="54" t="s">
        <v>100</v>
      </c>
      <c r="AV4" s="54" t="s">
        <v>115</v>
      </c>
      <c r="AW4" s="54" t="s">
        <v>101</v>
      </c>
      <c r="AX4" s="54" t="s">
        <v>115</v>
      </c>
      <c r="AY4" s="67" t="s">
        <v>119</v>
      </c>
      <c r="AZ4" s="66" t="s">
        <v>120</v>
      </c>
      <c r="BA4" s="66" t="s">
        <v>121</v>
      </c>
      <c r="BB4" s="66" t="s">
        <v>122</v>
      </c>
      <c r="BC4" s="66" t="s">
        <v>123</v>
      </c>
      <c r="BD4" s="66" t="s">
        <v>119</v>
      </c>
      <c r="BE4" s="66" t="s">
        <v>124</v>
      </c>
      <c r="BF4" s="66" t="s">
        <v>121</v>
      </c>
      <c r="BG4" s="66" t="s">
        <v>122</v>
      </c>
      <c r="BH4" s="66" t="s">
        <v>123</v>
      </c>
      <c r="BI4" s="77"/>
      <c r="BJ4" s="77"/>
      <c r="BK4" s="77"/>
      <c r="BL4" s="77"/>
      <c r="BM4" s="77"/>
      <c r="BN4" s="77"/>
      <c r="BO4" s="77"/>
      <c r="BP4" s="77"/>
    </row>
    <row r="5" s="31" customFormat="1" customHeight="1" spans="1:87">
      <c r="A5" s="42" t="s">
        <v>125</v>
      </c>
      <c r="B5" s="43">
        <f>E2</f>
        <v>43478</v>
      </c>
      <c r="C5" s="43">
        <f t="shared" ref="C5:C68" si="0">B5+6</f>
        <v>43484</v>
      </c>
      <c r="D5" s="44">
        <v>7</v>
      </c>
      <c r="E5" s="44">
        <v>5</v>
      </c>
      <c r="F5" s="55">
        <f t="shared" ref="F5:F68" si="1">E5*D5</f>
        <v>35</v>
      </c>
      <c r="G5" s="55">
        <v>54.99</v>
      </c>
      <c r="H5" s="55">
        <v>1</v>
      </c>
      <c r="I5" s="55">
        <v>3</v>
      </c>
      <c r="J5" s="55">
        <v>2</v>
      </c>
      <c r="K5" s="55"/>
      <c r="L5" s="55"/>
      <c r="M5" s="55">
        <v>358.64</v>
      </c>
      <c r="N5" s="55"/>
      <c r="O5" s="55"/>
      <c r="P5" s="55"/>
      <c r="Q5" s="55">
        <v>0</v>
      </c>
      <c r="R5" s="55"/>
      <c r="S5" s="67"/>
      <c r="T5" s="52">
        <f>($F$2+$G$2+$J$2+$G5*15%)*F5</f>
        <v>1698.4975</v>
      </c>
      <c r="U5" s="52">
        <f>$F5*$H$2</f>
        <v>164.5</v>
      </c>
      <c r="V5" s="52">
        <f>$H5*$S$2+$I5*$T$2+$K5*$U$2+$M5+$P5*$V$2+N5*F5</f>
        <v>415.6185</v>
      </c>
      <c r="W5" s="52">
        <f t="shared" ref="W5:W68" si="2">T5+U5+V5</f>
        <v>2278.616</v>
      </c>
      <c r="X5" s="52">
        <f t="shared" ref="X5:X68" si="3">G5*F5</f>
        <v>1924.65</v>
      </c>
      <c r="Y5" s="52">
        <f>($F$2+$G$2+$J$2+$K$2)*F5</f>
        <v>1829.7475</v>
      </c>
      <c r="Z5" s="52">
        <f>$I$2*$F5</f>
        <v>525</v>
      </c>
      <c r="AA5" s="52">
        <f>$H5*$S$2+$I5*$T$2+$K5*$U$2+$M5+$P5*$V$2</f>
        <v>415.6185</v>
      </c>
      <c r="AB5" s="52">
        <f>Y5+Z5+AA5</f>
        <v>2770.366</v>
      </c>
      <c r="AC5" s="52">
        <f>G5*F5</f>
        <v>1924.65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77"/>
      <c r="BJ5" s="77"/>
      <c r="BK5" s="77"/>
      <c r="BL5" s="77"/>
      <c r="BM5" s="77"/>
      <c r="BN5" s="77"/>
      <c r="BO5" s="77"/>
      <c r="BP5" s="77"/>
      <c r="CB5" s="39"/>
      <c r="CC5" s="39"/>
      <c r="CD5" s="39"/>
      <c r="CE5" s="39"/>
      <c r="CF5" s="39"/>
      <c r="CG5" s="39"/>
      <c r="CH5" s="39"/>
      <c r="CI5" s="39"/>
    </row>
    <row r="6" s="31" customFormat="1" customHeight="1" spans="1:87">
      <c r="A6" s="42" t="s">
        <v>126</v>
      </c>
      <c r="B6" s="43">
        <f t="shared" ref="B6:B69" si="4">C5+1</f>
        <v>43485</v>
      </c>
      <c r="C6" s="43">
        <f t="shared" si="0"/>
        <v>43491</v>
      </c>
      <c r="D6" s="44">
        <v>7</v>
      </c>
      <c r="E6" s="44">
        <v>29</v>
      </c>
      <c r="F6" s="55">
        <f t="shared" si="1"/>
        <v>203</v>
      </c>
      <c r="G6" s="55">
        <v>54.99</v>
      </c>
      <c r="H6" s="55"/>
      <c r="I6" s="55"/>
      <c r="J6" s="55">
        <v>3</v>
      </c>
      <c r="K6" s="55"/>
      <c r="L6" s="55"/>
      <c r="M6" s="55">
        <v>826.86</v>
      </c>
      <c r="N6" s="55"/>
      <c r="O6" s="55"/>
      <c r="P6" s="55"/>
      <c r="Q6" s="55">
        <v>2</v>
      </c>
      <c r="R6" s="55"/>
      <c r="S6" s="67"/>
      <c r="T6" s="52">
        <f>($F$2+$G$2+$J$2+$G6*15%)*F6</f>
        <v>9851.2855</v>
      </c>
      <c r="U6" s="52">
        <f>$F6*$H$2</f>
        <v>954.1</v>
      </c>
      <c r="V6" s="52">
        <f>$H6*$S$2+$I6*$T$2+$K6*$U$2+$M6+$P6*$V$2+N6*F6</f>
        <v>826.86</v>
      </c>
      <c r="W6" s="52">
        <f t="shared" si="2"/>
        <v>11632.2455</v>
      </c>
      <c r="X6" s="52">
        <f t="shared" si="3"/>
        <v>11162.97</v>
      </c>
      <c r="Y6" s="52"/>
      <c r="Z6" s="52"/>
      <c r="AA6" s="52"/>
      <c r="AB6" s="52"/>
      <c r="AC6" s="52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2"/>
      <c r="BA6" s="52"/>
      <c r="BB6" s="52"/>
      <c r="BC6" s="52"/>
      <c r="BD6" s="52"/>
      <c r="BE6" s="52"/>
      <c r="BF6" s="52"/>
      <c r="BG6" s="52"/>
      <c r="BH6" s="52"/>
      <c r="BI6" s="77"/>
      <c r="BJ6" s="77"/>
      <c r="BK6" s="77"/>
      <c r="BL6" s="77"/>
      <c r="BM6" s="77"/>
      <c r="BN6" s="77"/>
      <c r="BO6" s="77"/>
      <c r="BP6" s="77"/>
      <c r="CB6" s="39"/>
      <c r="CC6" s="39"/>
      <c r="CD6" s="39"/>
      <c r="CE6" s="39"/>
      <c r="CF6" s="39"/>
      <c r="CG6" s="39"/>
      <c r="CH6" s="39"/>
      <c r="CI6" s="39"/>
    </row>
    <row r="7" s="31" customFormat="1" customHeight="1" spans="1:87">
      <c r="A7" s="42" t="s">
        <v>127</v>
      </c>
      <c r="B7" s="43">
        <f t="shared" si="4"/>
        <v>43492</v>
      </c>
      <c r="C7" s="43">
        <f t="shared" si="0"/>
        <v>43498</v>
      </c>
      <c r="D7" s="44">
        <v>7</v>
      </c>
      <c r="E7" s="44">
        <v>62</v>
      </c>
      <c r="F7" s="55">
        <f t="shared" si="1"/>
        <v>434</v>
      </c>
      <c r="G7" s="55">
        <v>59.99</v>
      </c>
      <c r="H7" s="55"/>
      <c r="I7" s="55"/>
      <c r="J7" s="55">
        <v>10</v>
      </c>
      <c r="K7" s="55"/>
      <c r="L7" s="55"/>
      <c r="M7" s="55">
        <v>1207.34</v>
      </c>
      <c r="N7" s="55"/>
      <c r="O7" s="55"/>
      <c r="P7" s="55"/>
      <c r="Q7" s="55">
        <v>5</v>
      </c>
      <c r="R7" s="55"/>
      <c r="S7" s="67"/>
      <c r="T7" s="52">
        <f>($F$2+$G$2+$J$2+$G7*15%)*F7</f>
        <v>21386.869</v>
      </c>
      <c r="U7" s="52">
        <f>$F7*$H$2</f>
        <v>2039.8</v>
      </c>
      <c r="V7" s="52">
        <f>$H7*$S$2+$I7*$T$2+$K7*$U$2+$M7+$P7*$V$2+N7*F7</f>
        <v>1207.34</v>
      </c>
      <c r="W7" s="52">
        <f t="shared" si="2"/>
        <v>24634.009</v>
      </c>
      <c r="X7" s="52">
        <f t="shared" si="3"/>
        <v>26035.66</v>
      </c>
      <c r="Y7" s="52"/>
      <c r="Z7" s="52"/>
      <c r="AA7" s="52"/>
      <c r="AB7" s="52"/>
      <c r="AC7" s="52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2"/>
      <c r="BA7" s="52"/>
      <c r="BB7" s="52"/>
      <c r="BC7" s="52"/>
      <c r="BD7" s="52"/>
      <c r="BE7" s="52"/>
      <c r="BF7" s="52"/>
      <c r="BG7" s="52"/>
      <c r="BH7" s="52"/>
      <c r="BI7" s="77"/>
      <c r="BJ7" s="77"/>
      <c r="BK7" s="77"/>
      <c r="BL7" s="77"/>
      <c r="BM7" s="77"/>
      <c r="BN7" s="77"/>
      <c r="BO7" s="77"/>
      <c r="BP7" s="77"/>
      <c r="CB7" s="39"/>
      <c r="CC7" s="39"/>
      <c r="CD7" s="39"/>
      <c r="CE7" s="39"/>
      <c r="CF7" s="39"/>
      <c r="CG7" s="39"/>
      <c r="CH7" s="39"/>
      <c r="CI7" s="39"/>
    </row>
    <row r="8" s="31" customFormat="1" customHeight="1" spans="1:87">
      <c r="A8" s="42" t="s">
        <v>128</v>
      </c>
      <c r="B8" s="43">
        <f t="shared" si="4"/>
        <v>43499</v>
      </c>
      <c r="C8" s="43">
        <f t="shared" si="0"/>
        <v>43505</v>
      </c>
      <c r="D8" s="44">
        <v>7</v>
      </c>
      <c r="E8" s="44">
        <v>98</v>
      </c>
      <c r="F8" s="55">
        <f t="shared" si="1"/>
        <v>686</v>
      </c>
      <c r="G8" s="56">
        <v>64.99</v>
      </c>
      <c r="H8" s="57"/>
      <c r="I8" s="55"/>
      <c r="J8" s="55"/>
      <c r="K8" s="55"/>
      <c r="L8" s="55"/>
      <c r="M8" s="55">
        <v>1693.48</v>
      </c>
      <c r="N8" s="55"/>
      <c r="O8" s="55"/>
      <c r="P8" s="55"/>
      <c r="Q8" s="55">
        <v>10</v>
      </c>
      <c r="R8" s="67"/>
      <c r="S8" s="67"/>
      <c r="T8" s="52">
        <f>($F$2+$G$2+$J$2+$G8*15%)*F8</f>
        <v>34319.551</v>
      </c>
      <c r="U8" s="52">
        <f>$F8*$H$2</f>
        <v>3224.2</v>
      </c>
      <c r="V8" s="52">
        <f>$H8*$S$2+$I8*$T$2+$K8*$U$2+$M8+$P8*$V$2+N8*F8</f>
        <v>1693.48</v>
      </c>
      <c r="W8" s="52">
        <f t="shared" si="2"/>
        <v>39237.231</v>
      </c>
      <c r="X8" s="52">
        <f t="shared" si="3"/>
        <v>44583.14</v>
      </c>
      <c r="Y8" s="52"/>
      <c r="Z8" s="52"/>
      <c r="AA8" s="52"/>
      <c r="AB8" s="52"/>
      <c r="AC8" s="52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2"/>
      <c r="BA8" s="52"/>
      <c r="BB8" s="52"/>
      <c r="BC8" s="52"/>
      <c r="BD8" s="52"/>
      <c r="BE8" s="52"/>
      <c r="BF8" s="52"/>
      <c r="BG8" s="52"/>
      <c r="BH8" s="52"/>
      <c r="BI8" s="77"/>
      <c r="BJ8" s="77"/>
      <c r="BK8" s="77"/>
      <c r="BL8" s="77"/>
      <c r="BM8" s="77"/>
      <c r="BN8" s="77"/>
      <c r="BO8" s="77"/>
      <c r="BP8" s="77"/>
      <c r="CB8" s="39"/>
      <c r="CC8" s="39"/>
      <c r="CD8" s="39"/>
      <c r="CE8" s="39"/>
      <c r="CF8" s="39"/>
      <c r="CG8" s="39"/>
      <c r="CH8" s="39"/>
      <c r="CI8" s="39"/>
    </row>
    <row r="9" s="31" customFormat="1" customHeight="1" spans="1:87">
      <c r="A9" s="42" t="s">
        <v>129</v>
      </c>
      <c r="B9" s="43">
        <f t="shared" si="4"/>
        <v>43506</v>
      </c>
      <c r="C9" s="43">
        <f t="shared" si="0"/>
        <v>43512</v>
      </c>
      <c r="D9" s="44">
        <v>7</v>
      </c>
      <c r="E9" s="44">
        <v>98</v>
      </c>
      <c r="F9" s="55">
        <f t="shared" si="1"/>
        <v>686</v>
      </c>
      <c r="G9" s="55">
        <v>64.99</v>
      </c>
      <c r="H9" s="55"/>
      <c r="I9" s="55"/>
      <c r="J9" s="55"/>
      <c r="K9" s="55"/>
      <c r="L9" s="55"/>
      <c r="M9" s="55">
        <v>1500</v>
      </c>
      <c r="N9" s="55"/>
      <c r="O9" s="55"/>
      <c r="P9" s="55"/>
      <c r="Q9" s="55">
        <v>14</v>
      </c>
      <c r="R9" s="55"/>
      <c r="S9" s="67"/>
      <c r="T9" s="52">
        <f>($F$2+$G$2+$J$2+$G9*15%)*F9</f>
        <v>34319.551</v>
      </c>
      <c r="U9" s="52">
        <f>$F9*$H$2</f>
        <v>3224.2</v>
      </c>
      <c r="V9" s="52">
        <f>$H9*$S$2+$I9*$T$2+$K9*$U$2+$M9+$P9*$V$2+N9*F9</f>
        <v>1500</v>
      </c>
      <c r="W9" s="52">
        <f t="shared" si="2"/>
        <v>39043.751</v>
      </c>
      <c r="X9" s="52">
        <f t="shared" si="3"/>
        <v>44583.14</v>
      </c>
      <c r="Y9" s="52"/>
      <c r="Z9" s="52"/>
      <c r="AA9" s="52"/>
      <c r="AB9" s="52"/>
      <c r="AC9" s="52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2"/>
      <c r="BA9" s="52"/>
      <c r="BB9" s="52"/>
      <c r="BC9" s="52"/>
      <c r="BD9" s="52"/>
      <c r="BE9" s="52"/>
      <c r="BF9" s="52"/>
      <c r="BG9" s="52"/>
      <c r="BH9" s="52"/>
      <c r="BI9" s="77"/>
      <c r="BJ9" s="77"/>
      <c r="BK9" s="77"/>
      <c r="BL9" s="77"/>
      <c r="BM9" s="77"/>
      <c r="BN9" s="77"/>
      <c r="BO9" s="77"/>
      <c r="BP9" s="77"/>
      <c r="CB9" s="39"/>
      <c r="CC9" s="39"/>
      <c r="CD9" s="39"/>
      <c r="CE9" s="39"/>
      <c r="CF9" s="39"/>
      <c r="CG9" s="39"/>
      <c r="CH9" s="39"/>
      <c r="CI9" s="39"/>
    </row>
    <row r="10" s="31" customFormat="1" customHeight="1" spans="1:87">
      <c r="A10" s="42" t="s">
        <v>130</v>
      </c>
      <c r="B10" s="43">
        <f t="shared" si="4"/>
        <v>43513</v>
      </c>
      <c r="C10" s="43">
        <f t="shared" si="0"/>
        <v>43519</v>
      </c>
      <c r="D10" s="44">
        <v>7</v>
      </c>
      <c r="E10" s="44">
        <v>0</v>
      </c>
      <c r="F10" s="55">
        <f t="shared" si="1"/>
        <v>0</v>
      </c>
      <c r="G10" s="55">
        <v>64.99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7"/>
      <c r="T10" s="52">
        <f>($F$2+$G$2+$J$2+$G10*15%)*F10</f>
        <v>0</v>
      </c>
      <c r="U10" s="52">
        <f>$F10*$H$2</f>
        <v>0</v>
      </c>
      <c r="V10" s="52">
        <f>$H10*$S$2+$I10*$T$2+$K10*$U$2+$M10+$P10*$V$2+N10*F10</f>
        <v>0</v>
      </c>
      <c r="W10" s="52">
        <f t="shared" si="2"/>
        <v>0</v>
      </c>
      <c r="X10" s="52">
        <f t="shared" si="3"/>
        <v>0</v>
      </c>
      <c r="Y10" s="52"/>
      <c r="Z10" s="52"/>
      <c r="AA10" s="52"/>
      <c r="AB10" s="52"/>
      <c r="AC10" s="52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2"/>
      <c r="BA10" s="52"/>
      <c r="BB10" s="52"/>
      <c r="BC10" s="52"/>
      <c r="BD10" s="52"/>
      <c r="BE10" s="52"/>
      <c r="BF10" s="52"/>
      <c r="BG10" s="52"/>
      <c r="BH10" s="52"/>
      <c r="BI10" s="77"/>
      <c r="BJ10" s="77"/>
      <c r="BK10" s="77"/>
      <c r="BL10" s="77"/>
      <c r="BM10" s="77"/>
      <c r="BN10" s="77"/>
      <c r="BO10" s="77"/>
      <c r="BP10" s="77"/>
      <c r="CB10" s="39"/>
      <c r="CC10" s="39"/>
      <c r="CD10" s="39"/>
      <c r="CE10" s="39"/>
      <c r="CF10" s="39"/>
      <c r="CG10" s="39"/>
      <c r="CH10" s="39"/>
      <c r="CI10" s="39"/>
    </row>
    <row r="11" s="31" customFormat="1" customHeight="1" spans="1:87">
      <c r="A11" s="42" t="s">
        <v>131</v>
      </c>
      <c r="B11" s="43">
        <f t="shared" si="4"/>
        <v>43520</v>
      </c>
      <c r="C11" s="43">
        <f t="shared" si="0"/>
        <v>43526</v>
      </c>
      <c r="D11" s="44">
        <v>7</v>
      </c>
      <c r="E11" s="44">
        <v>50</v>
      </c>
      <c r="F11" s="55">
        <f t="shared" si="1"/>
        <v>350</v>
      </c>
      <c r="G11" s="55">
        <v>69.99</v>
      </c>
      <c r="H11" s="55"/>
      <c r="I11" s="55">
        <v>5</v>
      </c>
      <c r="J11" s="55"/>
      <c r="K11" s="55"/>
      <c r="L11" s="55"/>
      <c r="M11" s="55">
        <v>1500</v>
      </c>
      <c r="N11" s="55"/>
      <c r="O11" s="55"/>
      <c r="P11" s="55"/>
      <c r="Q11" s="55">
        <v>20</v>
      </c>
      <c r="R11" s="55"/>
      <c r="S11" s="35"/>
      <c r="T11" s="52">
        <f>($F$2+$G$2+$J$2+$G11*15%)*F11</f>
        <v>17772.475</v>
      </c>
      <c r="U11" s="52">
        <f>$F11*$H$2</f>
        <v>1645</v>
      </c>
      <c r="V11" s="52">
        <f>$H11*$S$2+$I11*$T$2+$K11*$U$2+$M11+$P11*$V$2+N11*F11</f>
        <v>1500</v>
      </c>
      <c r="W11" s="52">
        <f t="shared" si="2"/>
        <v>20917.475</v>
      </c>
      <c r="X11" s="52">
        <f t="shared" si="3"/>
        <v>24496.5</v>
      </c>
      <c r="Y11" s="52"/>
      <c r="Z11" s="52"/>
      <c r="AA11" s="52"/>
      <c r="AB11" s="52"/>
      <c r="AC11" s="52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2"/>
      <c r="BA11" s="52"/>
      <c r="BB11" s="52"/>
      <c r="BC11" s="52"/>
      <c r="BD11" s="52"/>
      <c r="BE11" s="52"/>
      <c r="BF11" s="52"/>
      <c r="BG11" s="52"/>
      <c r="BH11" s="52"/>
      <c r="BI11" s="77"/>
      <c r="BJ11" s="77"/>
      <c r="BK11" s="77"/>
      <c r="BL11" s="77"/>
      <c r="BM11" s="77"/>
      <c r="BN11" s="77"/>
      <c r="BO11" s="77"/>
      <c r="BP11" s="77"/>
      <c r="CB11" s="39"/>
      <c r="CC11" s="39"/>
      <c r="CD11" s="39"/>
      <c r="CE11" s="39"/>
      <c r="CF11" s="39"/>
      <c r="CG11" s="39"/>
      <c r="CH11" s="39"/>
      <c r="CI11" s="39"/>
    </row>
    <row r="12" s="31" customFormat="1" customHeight="1" spans="1:87">
      <c r="A12" s="42" t="s">
        <v>132</v>
      </c>
      <c r="B12" s="43">
        <f t="shared" si="4"/>
        <v>43527</v>
      </c>
      <c r="C12" s="43">
        <f t="shared" si="0"/>
        <v>43533</v>
      </c>
      <c r="D12" s="44">
        <v>7</v>
      </c>
      <c r="E12" s="44">
        <v>80</v>
      </c>
      <c r="F12" s="55">
        <f t="shared" si="1"/>
        <v>560</v>
      </c>
      <c r="G12" s="55">
        <v>69.99</v>
      </c>
      <c r="H12" s="55"/>
      <c r="I12" s="55"/>
      <c r="J12" s="55"/>
      <c r="K12" s="55"/>
      <c r="L12" s="55"/>
      <c r="M12" s="55">
        <v>1500</v>
      </c>
      <c r="N12" s="55"/>
      <c r="O12" s="55"/>
      <c r="P12" s="55"/>
      <c r="Q12" s="55"/>
      <c r="R12" s="55"/>
      <c r="S12" s="67"/>
      <c r="T12" s="52">
        <f>($F$2+$G$2+$J$2+$G12*15%)*F12</f>
        <v>28435.96</v>
      </c>
      <c r="U12" s="52">
        <f>$F12*$H$2</f>
        <v>2632</v>
      </c>
      <c r="V12" s="52">
        <f>$H12*$S$2+$I12*$T$2+$K12*$U$2+$M12+$P12*$V$2+N12*F12</f>
        <v>1500</v>
      </c>
      <c r="W12" s="52">
        <f t="shared" si="2"/>
        <v>32567.96</v>
      </c>
      <c r="X12" s="52">
        <f t="shared" si="3"/>
        <v>39194.4</v>
      </c>
      <c r="Y12" s="52"/>
      <c r="Z12" s="52"/>
      <c r="AA12" s="52"/>
      <c r="AB12" s="52"/>
      <c r="AC12" s="52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2"/>
      <c r="BA12" s="52"/>
      <c r="BB12" s="52"/>
      <c r="BC12" s="52"/>
      <c r="BD12" s="52"/>
      <c r="BE12" s="52"/>
      <c r="BF12" s="52"/>
      <c r="BG12" s="52"/>
      <c r="BH12" s="52"/>
      <c r="BI12" s="77"/>
      <c r="BJ12" s="77"/>
      <c r="BK12" s="77"/>
      <c r="BL12" s="77"/>
      <c r="BM12" s="77"/>
      <c r="BN12" s="77"/>
      <c r="BO12" s="77"/>
      <c r="BP12" s="77"/>
      <c r="CB12" s="39"/>
      <c r="CC12" s="39"/>
      <c r="CD12" s="39"/>
      <c r="CE12" s="39"/>
      <c r="CF12" s="39"/>
      <c r="CG12" s="39"/>
      <c r="CH12" s="39"/>
      <c r="CI12" s="39"/>
    </row>
    <row r="13" s="31" customFormat="1" customHeight="1" spans="1:87">
      <c r="A13" s="42" t="s">
        <v>133</v>
      </c>
      <c r="B13" s="43">
        <f t="shared" si="4"/>
        <v>43534</v>
      </c>
      <c r="C13" s="43">
        <f t="shared" si="0"/>
        <v>43540</v>
      </c>
      <c r="D13" s="44">
        <v>7</v>
      </c>
      <c r="E13" s="44">
        <v>110</v>
      </c>
      <c r="F13" s="55">
        <f t="shared" si="1"/>
        <v>770</v>
      </c>
      <c r="G13" s="55">
        <v>74.99</v>
      </c>
      <c r="H13" s="55"/>
      <c r="I13" s="55"/>
      <c r="J13" s="55"/>
      <c r="K13" s="55"/>
      <c r="L13" s="55"/>
      <c r="M13" s="55">
        <v>1500</v>
      </c>
      <c r="N13" s="55"/>
      <c r="O13" s="55"/>
      <c r="P13" s="55"/>
      <c r="Q13" s="55"/>
      <c r="R13" s="55"/>
      <c r="S13" s="67"/>
      <c r="T13" s="52">
        <f>($F$2+$G$2+$J$2+$G13*15%)*F13</f>
        <v>39676.945</v>
      </c>
      <c r="U13" s="52">
        <f>$F13*$H$2</f>
        <v>3619</v>
      </c>
      <c r="V13" s="52">
        <f>$H13*$S$2+$I13*$T$2+$K13*$U$2+$M13+$P13*$V$2+N13*F13</f>
        <v>1500</v>
      </c>
      <c r="W13" s="52">
        <f t="shared" si="2"/>
        <v>44795.945</v>
      </c>
      <c r="X13" s="52">
        <f t="shared" si="3"/>
        <v>57742.3</v>
      </c>
      <c r="Y13" s="52"/>
      <c r="Z13" s="52"/>
      <c r="AA13" s="52"/>
      <c r="AB13" s="52"/>
      <c r="AC13" s="52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2"/>
      <c r="BA13" s="52"/>
      <c r="BB13" s="52"/>
      <c r="BC13" s="52"/>
      <c r="BD13" s="52"/>
      <c r="BE13" s="52"/>
      <c r="BF13" s="52"/>
      <c r="BG13" s="52"/>
      <c r="BH13" s="52"/>
      <c r="BI13" s="77"/>
      <c r="BJ13" s="77"/>
      <c r="BK13" s="77"/>
      <c r="BL13" s="77"/>
      <c r="BM13" s="77"/>
      <c r="BN13" s="77"/>
      <c r="BO13" s="77"/>
      <c r="BP13" s="77"/>
      <c r="CB13" s="39"/>
      <c r="CC13" s="39"/>
      <c r="CD13" s="39"/>
      <c r="CE13" s="39"/>
      <c r="CF13" s="39"/>
      <c r="CG13" s="39"/>
      <c r="CH13" s="39"/>
      <c r="CI13" s="39"/>
    </row>
    <row r="14" s="31" customFormat="1" customHeight="1" spans="1:87">
      <c r="A14" s="42" t="s">
        <v>134</v>
      </c>
      <c r="B14" s="43">
        <f t="shared" si="4"/>
        <v>43541</v>
      </c>
      <c r="C14" s="43">
        <f t="shared" si="0"/>
        <v>43547</v>
      </c>
      <c r="D14" s="44">
        <v>7</v>
      </c>
      <c r="E14" s="44">
        <v>110</v>
      </c>
      <c r="F14" s="55">
        <f t="shared" si="1"/>
        <v>770</v>
      </c>
      <c r="G14" s="55">
        <v>74.99</v>
      </c>
      <c r="H14" s="55"/>
      <c r="I14" s="55"/>
      <c r="J14" s="55"/>
      <c r="K14" s="55"/>
      <c r="L14" s="55"/>
      <c r="M14" s="55">
        <v>1500</v>
      </c>
      <c r="N14" s="55"/>
      <c r="O14" s="55"/>
      <c r="P14" s="55"/>
      <c r="Q14" s="55"/>
      <c r="R14" s="55"/>
      <c r="S14" s="67"/>
      <c r="T14" s="52">
        <f>($F$2+$G$2+$J$2+$G14*15%)*F14</f>
        <v>39676.945</v>
      </c>
      <c r="U14" s="52">
        <f>$F14*$H$2</f>
        <v>3619</v>
      </c>
      <c r="V14" s="52">
        <f>$H14*$S$2+$I14*$T$2+$K14*$U$2+$M14+$P14*$V$2+N14*F14</f>
        <v>1500</v>
      </c>
      <c r="W14" s="52">
        <f t="shared" si="2"/>
        <v>44795.945</v>
      </c>
      <c r="X14" s="52">
        <f t="shared" si="3"/>
        <v>57742.3</v>
      </c>
      <c r="Y14" s="52"/>
      <c r="Z14" s="52"/>
      <c r="AA14" s="52"/>
      <c r="AB14" s="52"/>
      <c r="AC14" s="52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2"/>
      <c r="BA14" s="52"/>
      <c r="BB14" s="52"/>
      <c r="BC14" s="52"/>
      <c r="BD14" s="52"/>
      <c r="BE14" s="52"/>
      <c r="BF14" s="52"/>
      <c r="BG14" s="52"/>
      <c r="BH14" s="52"/>
      <c r="BI14" s="77"/>
      <c r="BJ14" s="77"/>
      <c r="BK14" s="77"/>
      <c r="BL14" s="77"/>
      <c r="BM14" s="77"/>
      <c r="BN14" s="77"/>
      <c r="BO14" s="77"/>
      <c r="BP14" s="77"/>
      <c r="CB14" s="39"/>
      <c r="CC14" s="39"/>
      <c r="CD14" s="39"/>
      <c r="CE14" s="39"/>
      <c r="CF14" s="39"/>
      <c r="CG14" s="39"/>
      <c r="CH14" s="39"/>
      <c r="CI14" s="39"/>
    </row>
    <row r="15" s="31" customFormat="1" customHeight="1" spans="1:87">
      <c r="A15" s="42" t="s">
        <v>135</v>
      </c>
      <c r="B15" s="43">
        <f t="shared" si="4"/>
        <v>43548</v>
      </c>
      <c r="C15" s="43">
        <f t="shared" si="0"/>
        <v>43554</v>
      </c>
      <c r="D15" s="44">
        <v>7</v>
      </c>
      <c r="E15" s="44">
        <v>120</v>
      </c>
      <c r="F15" s="55">
        <f t="shared" si="1"/>
        <v>840</v>
      </c>
      <c r="G15" s="55">
        <v>74.99</v>
      </c>
      <c r="H15" s="55"/>
      <c r="I15" s="55"/>
      <c r="J15" s="55"/>
      <c r="K15" s="55"/>
      <c r="L15" s="55"/>
      <c r="M15" s="55">
        <v>1500</v>
      </c>
      <c r="N15" s="55"/>
      <c r="O15" s="55"/>
      <c r="P15" s="55"/>
      <c r="Q15" s="55"/>
      <c r="R15" s="55"/>
      <c r="S15" s="67"/>
      <c r="T15" s="52">
        <f>($F$2+$G$2+$J$2+$G15*15%)*F15</f>
        <v>43283.94</v>
      </c>
      <c r="U15" s="52">
        <f>$F15*$H$2</f>
        <v>3948</v>
      </c>
      <c r="V15" s="52">
        <f>$H15*$S$2+$I15*$T$2+$K15*$U$2+$M15+$P15*$V$2+N15*F15</f>
        <v>1500</v>
      </c>
      <c r="W15" s="52">
        <f t="shared" si="2"/>
        <v>48731.94</v>
      </c>
      <c r="X15" s="52">
        <f t="shared" si="3"/>
        <v>62991.6</v>
      </c>
      <c r="Y15" s="52"/>
      <c r="Z15" s="52"/>
      <c r="AA15" s="52"/>
      <c r="AB15" s="52"/>
      <c r="AC15" s="52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2"/>
      <c r="BA15" s="52"/>
      <c r="BB15" s="52"/>
      <c r="BC15" s="52"/>
      <c r="BD15" s="52"/>
      <c r="BE15" s="52"/>
      <c r="BF15" s="52"/>
      <c r="BG15" s="52"/>
      <c r="BH15" s="52"/>
      <c r="BI15" s="77"/>
      <c r="BJ15" s="77"/>
      <c r="BK15" s="77"/>
      <c r="BL15" s="77"/>
      <c r="BM15" s="77"/>
      <c r="BN15" s="77"/>
      <c r="BO15" s="77"/>
      <c r="BP15" s="77"/>
      <c r="CB15" s="39"/>
      <c r="CC15" s="39"/>
      <c r="CD15" s="39"/>
      <c r="CE15" s="39"/>
      <c r="CF15" s="39"/>
      <c r="CG15" s="39"/>
      <c r="CH15" s="39"/>
      <c r="CI15" s="39"/>
    </row>
    <row r="16" s="31" customFormat="1" customHeight="1" spans="1:87">
      <c r="A16" s="49" t="s">
        <v>136</v>
      </c>
      <c r="B16" s="50">
        <f t="shared" si="4"/>
        <v>43555</v>
      </c>
      <c r="C16" s="50">
        <f t="shared" si="0"/>
        <v>43561</v>
      </c>
      <c r="D16" s="44">
        <v>7</v>
      </c>
      <c r="E16" s="44">
        <v>120</v>
      </c>
      <c r="F16" s="55">
        <f t="shared" si="1"/>
        <v>840</v>
      </c>
      <c r="G16" s="55">
        <v>74.99</v>
      </c>
      <c r="H16" s="55"/>
      <c r="I16" s="55"/>
      <c r="J16" s="55"/>
      <c r="K16" s="55"/>
      <c r="L16" s="55"/>
      <c r="M16" s="55">
        <v>1500</v>
      </c>
      <c r="N16" s="60"/>
      <c r="O16" s="55"/>
      <c r="P16" s="55"/>
      <c r="Q16" s="55">
        <v>30</v>
      </c>
      <c r="R16" s="55"/>
      <c r="S16" s="67"/>
      <c r="T16" s="52">
        <f>($F$2+$G$2+$J$2+$G16*15%)*F16</f>
        <v>43283.94</v>
      </c>
      <c r="U16" s="52">
        <f>$F16*$H$2</f>
        <v>3948</v>
      </c>
      <c r="V16" s="52">
        <f>$H16*$S$2+$I16*$T$2+$K16*$U$2+$M16+$P16*$V$2+N16*F16</f>
        <v>1500</v>
      </c>
      <c r="W16" s="52">
        <f t="shared" si="2"/>
        <v>48731.94</v>
      </c>
      <c r="X16" s="52">
        <f t="shared" si="3"/>
        <v>62991.6</v>
      </c>
      <c r="Y16" s="52"/>
      <c r="Z16" s="52"/>
      <c r="AA16" s="52"/>
      <c r="AB16" s="52"/>
      <c r="AC16" s="52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2"/>
      <c r="BA16" s="52"/>
      <c r="BB16" s="52"/>
      <c r="BC16" s="52"/>
      <c r="BD16" s="52"/>
      <c r="BE16" s="52"/>
      <c r="BF16" s="52"/>
      <c r="BG16" s="52"/>
      <c r="BH16" s="52"/>
      <c r="BI16" s="77"/>
      <c r="BJ16" s="77"/>
      <c r="BK16" s="77"/>
      <c r="BL16" s="77"/>
      <c r="BM16" s="77"/>
      <c r="BN16" s="77"/>
      <c r="BO16" s="77"/>
      <c r="BP16" s="77"/>
      <c r="CF16" s="39"/>
      <c r="CG16" s="39"/>
      <c r="CH16" s="39"/>
      <c r="CI16" s="39"/>
    </row>
    <row r="17" s="31" customFormat="1" customHeight="1" spans="1:87">
      <c r="A17" s="49" t="s">
        <v>137</v>
      </c>
      <c r="B17" s="50">
        <f t="shared" si="4"/>
        <v>43562</v>
      </c>
      <c r="C17" s="50">
        <f t="shared" si="0"/>
        <v>43568</v>
      </c>
      <c r="D17" s="44">
        <v>7</v>
      </c>
      <c r="E17" s="44">
        <v>120</v>
      </c>
      <c r="F17" s="55">
        <f t="shared" si="1"/>
        <v>840</v>
      </c>
      <c r="G17" s="55">
        <v>74.99</v>
      </c>
      <c r="H17" s="55"/>
      <c r="I17" s="55"/>
      <c r="J17" s="55"/>
      <c r="K17" s="55"/>
      <c r="L17" s="55"/>
      <c r="M17" s="55">
        <v>1500</v>
      </c>
      <c r="N17" s="60"/>
      <c r="O17" s="55"/>
      <c r="P17" s="55"/>
      <c r="Q17" s="55"/>
      <c r="R17" s="55"/>
      <c r="S17" s="67"/>
      <c r="T17" s="52">
        <f>($F$2+$G$2+$J$2+$G17*15%)*F17</f>
        <v>43283.94</v>
      </c>
      <c r="U17" s="52">
        <f>$F17*$H$2</f>
        <v>3948</v>
      </c>
      <c r="V17" s="52">
        <f>$H17*$S$2+$I17*$T$2+$K17*$U$2+$M17+$P17*$V$2+N17*F17</f>
        <v>1500</v>
      </c>
      <c r="W17" s="52">
        <f t="shared" si="2"/>
        <v>48731.94</v>
      </c>
      <c r="X17" s="52">
        <f t="shared" si="3"/>
        <v>62991.6</v>
      </c>
      <c r="Y17" s="52"/>
      <c r="Z17" s="52"/>
      <c r="AA17" s="52"/>
      <c r="AB17" s="52"/>
      <c r="AC17" s="52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2"/>
      <c r="BA17" s="52"/>
      <c r="BB17" s="52"/>
      <c r="BC17" s="52"/>
      <c r="BD17" s="52"/>
      <c r="BE17" s="52"/>
      <c r="BF17" s="52"/>
      <c r="BG17" s="52"/>
      <c r="BH17" s="52"/>
      <c r="BI17" s="77"/>
      <c r="BJ17" s="77"/>
      <c r="BK17" s="77"/>
      <c r="BL17" s="77"/>
      <c r="BM17" s="77"/>
      <c r="BN17" s="77"/>
      <c r="BO17" s="77"/>
      <c r="BP17" s="77"/>
      <c r="CF17" s="39"/>
      <c r="CG17" s="39"/>
      <c r="CH17" s="39"/>
      <c r="CI17" s="39"/>
    </row>
    <row r="18" s="31" customFormat="1" customHeight="1" spans="1:87">
      <c r="A18" s="49" t="s">
        <v>138</v>
      </c>
      <c r="B18" s="50">
        <f t="shared" si="4"/>
        <v>43569</v>
      </c>
      <c r="C18" s="50">
        <f t="shared" si="0"/>
        <v>43575</v>
      </c>
      <c r="D18" s="44">
        <v>7</v>
      </c>
      <c r="E18" s="44">
        <v>110</v>
      </c>
      <c r="F18" s="55">
        <f t="shared" si="1"/>
        <v>770</v>
      </c>
      <c r="G18" s="55">
        <v>74.99</v>
      </c>
      <c r="H18" s="55"/>
      <c r="I18" s="55"/>
      <c r="J18" s="55"/>
      <c r="K18" s="55"/>
      <c r="L18" s="55"/>
      <c r="M18" s="55">
        <v>1500</v>
      </c>
      <c r="N18" s="55"/>
      <c r="O18" s="55"/>
      <c r="P18" s="55"/>
      <c r="Q18" s="55">
        <v>40</v>
      </c>
      <c r="R18" s="55"/>
      <c r="S18" s="67"/>
      <c r="T18" s="52">
        <f>($F$2+$G$2+$J$2+$G18*15%)*F18</f>
        <v>39676.945</v>
      </c>
      <c r="U18" s="52">
        <f>$F18*$H$2</f>
        <v>3619</v>
      </c>
      <c r="V18" s="52">
        <f>$H18*$S$2+$I18*$T$2+$K18*$U$2+$M18+$P18*$V$2+N18*F18</f>
        <v>1500</v>
      </c>
      <c r="W18" s="52">
        <f t="shared" si="2"/>
        <v>44795.945</v>
      </c>
      <c r="X18" s="52">
        <f t="shared" si="3"/>
        <v>57742.3</v>
      </c>
      <c r="Y18" s="52"/>
      <c r="Z18" s="52"/>
      <c r="AA18" s="52"/>
      <c r="AB18" s="52"/>
      <c r="AC18" s="52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2"/>
      <c r="BA18" s="52"/>
      <c r="BB18" s="52"/>
      <c r="BC18" s="52"/>
      <c r="BD18" s="52"/>
      <c r="BE18" s="52"/>
      <c r="BF18" s="52"/>
      <c r="BG18" s="52"/>
      <c r="BH18" s="52"/>
      <c r="BI18" s="77"/>
      <c r="BJ18" s="77"/>
      <c r="BK18" s="77"/>
      <c r="BL18" s="77"/>
      <c r="BM18" s="77"/>
      <c r="BN18" s="77"/>
      <c r="BO18" s="77"/>
      <c r="BP18" s="77"/>
      <c r="CB18" s="79" t="s">
        <v>139</v>
      </c>
      <c r="CC18" s="79"/>
      <c r="CD18" s="79"/>
      <c r="CE18" s="79"/>
      <c r="CF18" s="79"/>
      <c r="CG18" s="79"/>
      <c r="CH18" s="79"/>
      <c r="CI18" s="79"/>
    </row>
    <row r="19" s="31" customFormat="1" customHeight="1" spans="1:68">
      <c r="A19" s="49" t="s">
        <v>140</v>
      </c>
      <c r="B19" s="50">
        <f t="shared" si="4"/>
        <v>43576</v>
      </c>
      <c r="C19" s="50">
        <f t="shared" si="0"/>
        <v>43582</v>
      </c>
      <c r="D19" s="44">
        <v>7</v>
      </c>
      <c r="E19" s="44">
        <v>110</v>
      </c>
      <c r="F19" s="55">
        <f t="shared" si="1"/>
        <v>770</v>
      </c>
      <c r="G19" s="55">
        <v>74.99</v>
      </c>
      <c r="H19" s="55"/>
      <c r="I19" s="55"/>
      <c r="J19" s="55"/>
      <c r="K19" s="55"/>
      <c r="L19" s="55"/>
      <c r="M19" s="55">
        <v>1500</v>
      </c>
      <c r="N19" s="55"/>
      <c r="O19" s="55"/>
      <c r="P19" s="55"/>
      <c r="Q19" s="55"/>
      <c r="R19" s="55"/>
      <c r="S19" s="67"/>
      <c r="T19" s="52">
        <f>($F$2+$G$2+$J$2+$G19*15%)*F19</f>
        <v>39676.945</v>
      </c>
      <c r="U19" s="52">
        <f>$F19*$H$2</f>
        <v>3619</v>
      </c>
      <c r="V19" s="52">
        <f>$H19*$S$2+$I19*$T$2+$K19*$U$2+$M19+$P19*$V$2+N19*F19</f>
        <v>1500</v>
      </c>
      <c r="W19" s="52">
        <f t="shared" si="2"/>
        <v>44795.945</v>
      </c>
      <c r="X19" s="52">
        <f t="shared" si="3"/>
        <v>57742.3</v>
      </c>
      <c r="Y19" s="52"/>
      <c r="Z19" s="52"/>
      <c r="AA19" s="52"/>
      <c r="AB19" s="52"/>
      <c r="AC19" s="52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2"/>
      <c r="BA19" s="52"/>
      <c r="BB19" s="52"/>
      <c r="BC19" s="52"/>
      <c r="BD19" s="52"/>
      <c r="BE19" s="52"/>
      <c r="BF19" s="52"/>
      <c r="BG19" s="52"/>
      <c r="BH19" s="52"/>
      <c r="BI19" s="77"/>
      <c r="BJ19" s="77"/>
      <c r="BK19" s="77"/>
      <c r="BL19" s="77"/>
      <c r="BM19" s="77"/>
      <c r="BN19" s="77"/>
      <c r="BO19" s="77"/>
      <c r="BP19" s="77"/>
    </row>
    <row r="20" s="31" customFormat="1" customHeight="1" spans="1:68">
      <c r="A20" s="49" t="s">
        <v>141</v>
      </c>
      <c r="B20" s="50">
        <f t="shared" si="4"/>
        <v>43583</v>
      </c>
      <c r="C20" s="50">
        <f t="shared" si="0"/>
        <v>43589</v>
      </c>
      <c r="D20" s="44">
        <v>7</v>
      </c>
      <c r="E20" s="44">
        <v>100</v>
      </c>
      <c r="F20" s="55">
        <f t="shared" si="1"/>
        <v>700</v>
      </c>
      <c r="G20" s="55">
        <v>74.99</v>
      </c>
      <c r="H20" s="55"/>
      <c r="I20" s="55"/>
      <c r="J20" s="55"/>
      <c r="K20" s="55"/>
      <c r="L20" s="55"/>
      <c r="M20" s="55">
        <v>1500</v>
      </c>
      <c r="N20" s="55"/>
      <c r="O20" s="55"/>
      <c r="P20" s="55"/>
      <c r="Q20" s="55"/>
      <c r="R20" s="55"/>
      <c r="S20" s="67"/>
      <c r="T20" s="52">
        <f>($F$2+$G$2+$J$2+$G20*15%)*F20</f>
        <v>36069.95</v>
      </c>
      <c r="U20" s="52">
        <f>$F20*$H$2</f>
        <v>3290</v>
      </c>
      <c r="V20" s="52">
        <f>$H20*$S$2+$I20*$T$2+$K20*$U$2+$M20+$P20*$V$2+N20*F20</f>
        <v>1500</v>
      </c>
      <c r="W20" s="52">
        <f t="shared" si="2"/>
        <v>40859.95</v>
      </c>
      <c r="X20" s="52">
        <f t="shared" si="3"/>
        <v>52493</v>
      </c>
      <c r="Y20" s="52"/>
      <c r="Z20" s="52"/>
      <c r="AA20" s="52"/>
      <c r="AB20" s="52"/>
      <c r="AC20" s="52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2"/>
      <c r="BA20" s="52"/>
      <c r="BB20" s="52"/>
      <c r="BC20" s="52"/>
      <c r="BD20" s="52"/>
      <c r="BE20" s="52"/>
      <c r="BF20" s="52"/>
      <c r="BG20" s="52"/>
      <c r="BH20" s="52"/>
      <c r="BI20" s="77"/>
      <c r="BJ20" s="77"/>
      <c r="BK20" s="77"/>
      <c r="BL20" s="77"/>
      <c r="BM20" s="77"/>
      <c r="BN20" s="77"/>
      <c r="BO20" s="77"/>
      <c r="BP20" s="77"/>
    </row>
    <row r="21" s="31" customFormat="1" customHeight="1" spans="1:68">
      <c r="A21" s="49" t="s">
        <v>142</v>
      </c>
      <c r="B21" s="50">
        <f t="shared" si="4"/>
        <v>43590</v>
      </c>
      <c r="C21" s="50">
        <f t="shared" si="0"/>
        <v>43596</v>
      </c>
      <c r="D21" s="44">
        <v>7</v>
      </c>
      <c r="E21" s="44">
        <v>100</v>
      </c>
      <c r="F21" s="55">
        <f t="shared" si="1"/>
        <v>700</v>
      </c>
      <c r="G21" s="55">
        <v>74.99</v>
      </c>
      <c r="H21" s="55"/>
      <c r="I21" s="55"/>
      <c r="J21" s="55"/>
      <c r="K21" s="55"/>
      <c r="L21" s="55"/>
      <c r="M21" s="55">
        <v>1500</v>
      </c>
      <c r="N21" s="55"/>
      <c r="O21" s="55"/>
      <c r="P21" s="55"/>
      <c r="Q21" s="55"/>
      <c r="R21" s="55"/>
      <c r="S21" s="67"/>
      <c r="T21" s="52">
        <f>($F$2+$G$2+$J$2+$G21*15%)*F21</f>
        <v>36069.95</v>
      </c>
      <c r="U21" s="52">
        <f>$F21*$H$2</f>
        <v>3290</v>
      </c>
      <c r="V21" s="52">
        <f>$H21*$S$2+$I21*$T$2+$K21*$U$2+$M21+$P21*$V$2+N21*F21</f>
        <v>1500</v>
      </c>
      <c r="W21" s="52">
        <f t="shared" si="2"/>
        <v>40859.95</v>
      </c>
      <c r="X21" s="52">
        <f t="shared" si="3"/>
        <v>52493</v>
      </c>
      <c r="Y21" s="52"/>
      <c r="Z21" s="52"/>
      <c r="AA21" s="52"/>
      <c r="AB21" s="52"/>
      <c r="AC21" s="52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2"/>
      <c r="BA21" s="52"/>
      <c r="BB21" s="52"/>
      <c r="BC21" s="52"/>
      <c r="BD21" s="52"/>
      <c r="BE21" s="52"/>
      <c r="BF21" s="52"/>
      <c r="BG21" s="52"/>
      <c r="BH21" s="52"/>
      <c r="BI21" s="77"/>
      <c r="BJ21" s="77"/>
      <c r="BK21" s="77"/>
      <c r="BL21" s="77"/>
      <c r="BM21" s="77"/>
      <c r="BN21" s="77"/>
      <c r="BO21" s="77"/>
      <c r="BP21" s="77"/>
    </row>
    <row r="22" s="31" customFormat="1" customHeight="1" spans="1:68">
      <c r="A22" s="49" t="s">
        <v>143</v>
      </c>
      <c r="B22" s="50">
        <f t="shared" si="4"/>
        <v>43597</v>
      </c>
      <c r="C22" s="50">
        <f t="shared" si="0"/>
        <v>43603</v>
      </c>
      <c r="D22" s="44">
        <v>7</v>
      </c>
      <c r="E22" s="44">
        <v>90</v>
      </c>
      <c r="F22" s="55">
        <f t="shared" si="1"/>
        <v>630</v>
      </c>
      <c r="G22" s="55">
        <v>74.99</v>
      </c>
      <c r="H22" s="55"/>
      <c r="I22" s="55"/>
      <c r="J22" s="55"/>
      <c r="K22" s="55"/>
      <c r="L22" s="55"/>
      <c r="M22" s="55">
        <v>1500</v>
      </c>
      <c r="N22" s="55"/>
      <c r="O22" s="55"/>
      <c r="P22" s="55"/>
      <c r="Q22" s="55"/>
      <c r="R22" s="55"/>
      <c r="S22" s="67"/>
      <c r="T22" s="52">
        <f>($F$2+$G$2+$J$2+$G22*15%)*F22</f>
        <v>32462.955</v>
      </c>
      <c r="U22" s="52">
        <f>$F22*$H$2</f>
        <v>2961</v>
      </c>
      <c r="V22" s="52">
        <f>$H22*$S$2+$I22*$T$2+$K22*$U$2+$M22+$P22*$V$2+N22*F22</f>
        <v>1500</v>
      </c>
      <c r="W22" s="52">
        <f t="shared" si="2"/>
        <v>36923.955</v>
      </c>
      <c r="X22" s="52">
        <f t="shared" si="3"/>
        <v>47243.7</v>
      </c>
      <c r="Y22" s="52"/>
      <c r="Z22" s="52"/>
      <c r="AA22" s="52"/>
      <c r="AB22" s="52"/>
      <c r="AC22" s="52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2"/>
      <c r="BA22" s="52"/>
      <c r="BB22" s="52"/>
      <c r="BC22" s="52"/>
      <c r="BD22" s="52"/>
      <c r="BE22" s="52"/>
      <c r="BF22" s="52"/>
      <c r="BG22" s="52"/>
      <c r="BH22" s="52"/>
      <c r="BI22" s="77"/>
      <c r="BJ22" s="77"/>
      <c r="BK22" s="77"/>
      <c r="BL22" s="77"/>
      <c r="BM22" s="77"/>
      <c r="BN22" s="77"/>
      <c r="BO22" s="77"/>
      <c r="BP22" s="77"/>
    </row>
    <row r="23" s="31" customFormat="1" customHeight="1" spans="1:68">
      <c r="A23" s="49" t="s">
        <v>144</v>
      </c>
      <c r="B23" s="50">
        <f t="shared" si="4"/>
        <v>43604</v>
      </c>
      <c r="C23" s="50">
        <f t="shared" si="0"/>
        <v>43610</v>
      </c>
      <c r="D23" s="44">
        <v>7</v>
      </c>
      <c r="E23" s="44">
        <v>90</v>
      </c>
      <c r="F23" s="55">
        <f t="shared" si="1"/>
        <v>630</v>
      </c>
      <c r="G23" s="55">
        <v>74.99</v>
      </c>
      <c r="H23" s="55"/>
      <c r="I23" s="55"/>
      <c r="J23" s="55"/>
      <c r="K23" s="55"/>
      <c r="L23" s="55"/>
      <c r="M23" s="55">
        <v>1500</v>
      </c>
      <c r="N23" s="55"/>
      <c r="O23" s="55"/>
      <c r="P23" s="55"/>
      <c r="Q23" s="55">
        <v>50</v>
      </c>
      <c r="R23" s="55"/>
      <c r="S23" s="67"/>
      <c r="T23" s="52">
        <f>($F$2+$G$2+$J$2+$G23*15%)*F23</f>
        <v>32462.955</v>
      </c>
      <c r="U23" s="52">
        <f>$F23*$H$2</f>
        <v>2961</v>
      </c>
      <c r="V23" s="52">
        <f>$H23*$S$2+$I23*$T$2+$K23*$U$2+$M23+$P23*$V$2+N23*F23</f>
        <v>1500</v>
      </c>
      <c r="W23" s="52">
        <f t="shared" si="2"/>
        <v>36923.955</v>
      </c>
      <c r="X23" s="52">
        <f t="shared" si="3"/>
        <v>47243.7</v>
      </c>
      <c r="Y23" s="52"/>
      <c r="Z23" s="52"/>
      <c r="AA23" s="52"/>
      <c r="AB23" s="52"/>
      <c r="AC23" s="52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2"/>
      <c r="BA23" s="52"/>
      <c r="BB23" s="52"/>
      <c r="BC23" s="52"/>
      <c r="BD23" s="52"/>
      <c r="BE23" s="52"/>
      <c r="BF23" s="52"/>
      <c r="BG23" s="52"/>
      <c r="BH23" s="52"/>
      <c r="BI23" s="77"/>
      <c r="BJ23" s="77"/>
      <c r="BK23" s="77"/>
      <c r="BL23" s="77"/>
      <c r="BM23" s="77"/>
      <c r="BN23" s="77"/>
      <c r="BO23" s="77"/>
      <c r="BP23" s="77"/>
    </row>
    <row r="24" s="31" customFormat="1" customHeight="1" spans="1:68">
      <c r="A24" s="49" t="s">
        <v>145</v>
      </c>
      <c r="B24" s="50">
        <f t="shared" si="4"/>
        <v>43611</v>
      </c>
      <c r="C24" s="50">
        <f t="shared" si="0"/>
        <v>43617</v>
      </c>
      <c r="D24" s="44">
        <v>7</v>
      </c>
      <c r="E24" s="44">
        <v>90</v>
      </c>
      <c r="F24" s="55">
        <f t="shared" si="1"/>
        <v>630</v>
      </c>
      <c r="G24" s="55">
        <v>74.99</v>
      </c>
      <c r="H24" s="55"/>
      <c r="I24" s="55"/>
      <c r="J24" s="55"/>
      <c r="K24" s="55"/>
      <c r="L24" s="55"/>
      <c r="M24" s="55">
        <v>1500</v>
      </c>
      <c r="N24" s="55"/>
      <c r="O24" s="55"/>
      <c r="P24" s="55"/>
      <c r="Q24" s="55"/>
      <c r="R24" s="55"/>
      <c r="S24" s="67"/>
      <c r="T24" s="52">
        <f>($F$2+$G$2+$J$2+$G24*15%)*F24</f>
        <v>32462.955</v>
      </c>
      <c r="U24" s="52">
        <f>$F24*$H$2</f>
        <v>2961</v>
      </c>
      <c r="V24" s="52">
        <f>$H24*$S$2+$I24*$T$2+$K24*$U$2+$M24+$P24*$V$2+N24*F24</f>
        <v>1500</v>
      </c>
      <c r="W24" s="52">
        <f t="shared" si="2"/>
        <v>36923.955</v>
      </c>
      <c r="X24" s="52">
        <f t="shared" si="3"/>
        <v>47243.7</v>
      </c>
      <c r="Y24" s="52"/>
      <c r="Z24" s="52"/>
      <c r="AA24" s="52"/>
      <c r="AB24" s="52"/>
      <c r="AC24" s="52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2"/>
      <c r="BA24" s="52"/>
      <c r="BB24" s="52"/>
      <c r="BC24" s="52"/>
      <c r="BD24" s="52"/>
      <c r="BE24" s="52"/>
      <c r="BF24" s="52"/>
      <c r="BG24" s="52"/>
      <c r="BH24" s="52"/>
      <c r="BI24" s="77"/>
      <c r="BJ24" s="77"/>
      <c r="BK24" s="77"/>
      <c r="BL24" s="77"/>
      <c r="BM24" s="77"/>
      <c r="BN24" s="77"/>
      <c r="BO24" s="77"/>
      <c r="BP24" s="77"/>
    </row>
    <row r="25" s="31" customFormat="1" customHeight="1" spans="1:68">
      <c r="A25" s="49" t="s">
        <v>146</v>
      </c>
      <c r="B25" s="50">
        <f t="shared" si="4"/>
        <v>43618</v>
      </c>
      <c r="C25" s="50">
        <f t="shared" si="0"/>
        <v>43624</v>
      </c>
      <c r="D25" s="44">
        <v>7</v>
      </c>
      <c r="E25" s="44">
        <v>100</v>
      </c>
      <c r="F25" s="55">
        <f t="shared" si="1"/>
        <v>700</v>
      </c>
      <c r="G25" s="55">
        <v>74.99</v>
      </c>
      <c r="H25" s="55"/>
      <c r="I25" s="55"/>
      <c r="J25" s="55"/>
      <c r="K25" s="55"/>
      <c r="L25" s="55"/>
      <c r="M25" s="55">
        <v>1500</v>
      </c>
      <c r="N25" s="55"/>
      <c r="O25" s="55"/>
      <c r="P25" s="55"/>
      <c r="Q25" s="55"/>
      <c r="R25" s="55"/>
      <c r="S25" s="67"/>
      <c r="T25" s="52">
        <f>($F$2+$G$2+$J$2+$G25*15%)*F25</f>
        <v>36069.95</v>
      </c>
      <c r="U25" s="52">
        <f>$F25*$H$2</f>
        <v>3290</v>
      </c>
      <c r="V25" s="52">
        <f>$H25*$S$2+$I25*$T$2+$K25*$U$2+$M25+$P25*$V$2+N25*F25</f>
        <v>1500</v>
      </c>
      <c r="W25" s="52">
        <f t="shared" si="2"/>
        <v>40859.95</v>
      </c>
      <c r="X25" s="52">
        <f t="shared" si="3"/>
        <v>52493</v>
      </c>
      <c r="Y25" s="52"/>
      <c r="Z25" s="52"/>
      <c r="AA25" s="52"/>
      <c r="AB25" s="52"/>
      <c r="AC25" s="52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2"/>
      <c r="BA25" s="52"/>
      <c r="BB25" s="52"/>
      <c r="BC25" s="52"/>
      <c r="BD25" s="52"/>
      <c r="BE25" s="52"/>
      <c r="BF25" s="52"/>
      <c r="BG25" s="52"/>
      <c r="BH25" s="52"/>
      <c r="BI25" s="77"/>
      <c r="BJ25" s="77"/>
      <c r="BK25" s="77"/>
      <c r="BL25" s="77"/>
      <c r="BM25" s="77"/>
      <c r="BN25" s="77"/>
      <c r="BO25" s="77"/>
      <c r="BP25" s="77"/>
    </row>
    <row r="26" s="31" customFormat="1" customHeight="1" spans="1:68">
      <c r="A26" s="49" t="s">
        <v>147</v>
      </c>
      <c r="B26" s="50">
        <f t="shared" si="4"/>
        <v>43625</v>
      </c>
      <c r="C26" s="50">
        <f t="shared" si="0"/>
        <v>43631</v>
      </c>
      <c r="D26" s="44">
        <v>7</v>
      </c>
      <c r="E26" s="44">
        <v>100</v>
      </c>
      <c r="F26" s="55">
        <f t="shared" si="1"/>
        <v>700</v>
      </c>
      <c r="G26" s="55">
        <v>74.99</v>
      </c>
      <c r="H26" s="55"/>
      <c r="I26" s="55"/>
      <c r="J26" s="55"/>
      <c r="K26" s="55"/>
      <c r="L26" s="55"/>
      <c r="M26" s="55">
        <v>1500</v>
      </c>
      <c r="N26" s="55"/>
      <c r="O26" s="55"/>
      <c r="P26" s="55"/>
      <c r="Q26" s="55"/>
      <c r="R26" s="55"/>
      <c r="S26" s="67"/>
      <c r="T26" s="52">
        <f>($F$2+$G$2+$J$2+$G26*15%)*F26</f>
        <v>36069.95</v>
      </c>
      <c r="U26" s="52">
        <f>$F26*$H$2</f>
        <v>3290</v>
      </c>
      <c r="V26" s="52">
        <f>$H26*$S$2+$I26*$T$2+$K26*$U$2+$M26+$P26*$V$2+N26*F26</f>
        <v>1500</v>
      </c>
      <c r="W26" s="52">
        <f t="shared" si="2"/>
        <v>40859.95</v>
      </c>
      <c r="X26" s="52">
        <f t="shared" si="3"/>
        <v>52493</v>
      </c>
      <c r="Y26" s="52"/>
      <c r="Z26" s="52"/>
      <c r="AA26" s="52"/>
      <c r="AB26" s="52"/>
      <c r="AC26" s="52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2"/>
      <c r="BA26" s="52"/>
      <c r="BB26" s="52"/>
      <c r="BC26" s="52"/>
      <c r="BD26" s="52"/>
      <c r="BE26" s="52"/>
      <c r="BF26" s="52"/>
      <c r="BG26" s="52"/>
      <c r="BH26" s="52"/>
      <c r="BI26" s="77"/>
      <c r="BJ26" s="77"/>
      <c r="BK26" s="77"/>
      <c r="BL26" s="77"/>
      <c r="BM26" s="77"/>
      <c r="BN26" s="77"/>
      <c r="BO26" s="77"/>
      <c r="BP26" s="77"/>
    </row>
    <row r="27" s="31" customFormat="1" customHeight="1" spans="1:68">
      <c r="A27" s="49" t="s">
        <v>148</v>
      </c>
      <c r="B27" s="50">
        <f t="shared" si="4"/>
        <v>43632</v>
      </c>
      <c r="C27" s="50">
        <f t="shared" si="0"/>
        <v>43638</v>
      </c>
      <c r="D27" s="44">
        <v>7</v>
      </c>
      <c r="E27" s="44">
        <v>100</v>
      </c>
      <c r="F27" s="55">
        <f t="shared" si="1"/>
        <v>700</v>
      </c>
      <c r="G27" s="55">
        <v>74.99</v>
      </c>
      <c r="H27" s="55"/>
      <c r="I27" s="55"/>
      <c r="J27" s="55"/>
      <c r="K27" s="55"/>
      <c r="L27" s="55"/>
      <c r="M27" s="55">
        <v>1500</v>
      </c>
      <c r="N27" s="55"/>
      <c r="O27" s="55"/>
      <c r="P27" s="55"/>
      <c r="Q27" s="55"/>
      <c r="R27" s="55"/>
      <c r="S27" s="35"/>
      <c r="T27" s="52">
        <f>($F$2+$G$2+$J$2+$G27*15%)*F27</f>
        <v>36069.95</v>
      </c>
      <c r="U27" s="52">
        <f>$F27*$H$2</f>
        <v>3290</v>
      </c>
      <c r="V27" s="52">
        <f>$H27*$S$2+$I27*$T$2+$K27*$U$2+$M27+$P27*$V$2+N27*F27</f>
        <v>1500</v>
      </c>
      <c r="W27" s="52">
        <f t="shared" si="2"/>
        <v>40859.95</v>
      </c>
      <c r="X27" s="52">
        <f t="shared" si="3"/>
        <v>52493</v>
      </c>
      <c r="Y27" s="52"/>
      <c r="Z27" s="52"/>
      <c r="AA27" s="52"/>
      <c r="AB27" s="52"/>
      <c r="AC27" s="52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2"/>
      <c r="BA27" s="52"/>
      <c r="BB27" s="52"/>
      <c r="BC27" s="52"/>
      <c r="BD27" s="52"/>
      <c r="BE27" s="52"/>
      <c r="BF27" s="52"/>
      <c r="BG27" s="52"/>
      <c r="BH27" s="52"/>
      <c r="BI27" s="77"/>
      <c r="BJ27" s="77"/>
      <c r="BK27" s="77"/>
      <c r="BL27" s="77"/>
      <c r="BM27" s="77"/>
      <c r="BN27" s="77"/>
      <c r="BO27" s="77"/>
      <c r="BP27" s="77"/>
    </row>
    <row r="28" s="31" customFormat="1" customHeight="1" spans="1:68">
      <c r="A28" s="49" t="s">
        <v>149</v>
      </c>
      <c r="B28" s="50">
        <f t="shared" si="4"/>
        <v>43639</v>
      </c>
      <c r="C28" s="50">
        <f t="shared" si="0"/>
        <v>43645</v>
      </c>
      <c r="D28" s="44">
        <v>7</v>
      </c>
      <c r="E28" s="44">
        <v>100</v>
      </c>
      <c r="F28" s="55">
        <f t="shared" si="1"/>
        <v>700</v>
      </c>
      <c r="G28" s="55">
        <v>74.99</v>
      </c>
      <c r="H28" s="55"/>
      <c r="I28" s="55"/>
      <c r="J28" s="55"/>
      <c r="K28" s="55"/>
      <c r="L28" s="55"/>
      <c r="M28" s="55">
        <v>1500</v>
      </c>
      <c r="N28" s="55"/>
      <c r="O28" s="55"/>
      <c r="P28" s="55"/>
      <c r="Q28" s="55"/>
      <c r="R28" s="55"/>
      <c r="S28" s="67"/>
      <c r="T28" s="52">
        <f>($F$2+$G$2+$J$2+$G28*15%)*F28</f>
        <v>36069.95</v>
      </c>
      <c r="U28" s="52">
        <f>$F28*$H$2</f>
        <v>3290</v>
      </c>
      <c r="V28" s="52">
        <f>$H28*$S$2+$I28*$T$2+$K28*$U$2+$M28+$P28*$V$2+N28*F28</f>
        <v>1500</v>
      </c>
      <c r="W28" s="52">
        <f t="shared" si="2"/>
        <v>40859.95</v>
      </c>
      <c r="X28" s="52">
        <f t="shared" si="3"/>
        <v>52493</v>
      </c>
      <c r="Y28" s="52"/>
      <c r="Z28" s="52"/>
      <c r="AA28" s="52"/>
      <c r="AB28" s="52"/>
      <c r="AC28" s="52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2"/>
      <c r="BA28" s="52"/>
      <c r="BB28" s="52"/>
      <c r="BC28" s="52"/>
      <c r="BD28" s="52"/>
      <c r="BE28" s="52"/>
      <c r="BF28" s="52"/>
      <c r="BG28" s="52"/>
      <c r="BH28" s="52"/>
      <c r="BI28" s="77"/>
      <c r="BJ28" s="77"/>
      <c r="BK28" s="77"/>
      <c r="BL28" s="77"/>
      <c r="BM28" s="77"/>
      <c r="BN28" s="77"/>
      <c r="BO28" s="77"/>
      <c r="BP28" s="77"/>
    </row>
    <row r="29" s="31" customFormat="1" customHeight="1" spans="1:68">
      <c r="A29" s="49" t="s">
        <v>150</v>
      </c>
      <c r="B29" s="50">
        <f t="shared" si="4"/>
        <v>43646</v>
      </c>
      <c r="C29" s="50">
        <f t="shared" si="0"/>
        <v>43652</v>
      </c>
      <c r="D29" s="44">
        <v>7</v>
      </c>
      <c r="E29" s="44">
        <v>100</v>
      </c>
      <c r="F29" s="55">
        <f t="shared" si="1"/>
        <v>700</v>
      </c>
      <c r="G29" s="55">
        <v>74.99</v>
      </c>
      <c r="H29" s="55"/>
      <c r="I29" s="55"/>
      <c r="J29" s="55"/>
      <c r="K29" s="55"/>
      <c r="L29" s="55"/>
      <c r="M29" s="55">
        <v>1500</v>
      </c>
      <c r="N29" s="55"/>
      <c r="O29" s="55"/>
      <c r="P29" s="55"/>
      <c r="Q29" s="55"/>
      <c r="R29" s="55"/>
      <c r="S29" s="67"/>
      <c r="T29" s="52">
        <f>($F$2+$G$2+$J$2+$G29*15%)*F29</f>
        <v>36069.95</v>
      </c>
      <c r="U29" s="52">
        <f>$F29*$H$2</f>
        <v>3290</v>
      </c>
      <c r="V29" s="52">
        <f>$H29*$S$2+$I29*$T$2+$K29*$U$2+$M29+$P29*$V$2+N29*F29</f>
        <v>1500</v>
      </c>
      <c r="W29" s="52">
        <f t="shared" si="2"/>
        <v>40859.95</v>
      </c>
      <c r="X29" s="52">
        <f t="shared" si="3"/>
        <v>52493</v>
      </c>
      <c r="Y29" s="52"/>
      <c r="Z29" s="52"/>
      <c r="AA29" s="52"/>
      <c r="AB29" s="52"/>
      <c r="AC29" s="52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2"/>
      <c r="BA29" s="52"/>
      <c r="BB29" s="52"/>
      <c r="BC29" s="52"/>
      <c r="BD29" s="52"/>
      <c r="BE29" s="52"/>
      <c r="BF29" s="52"/>
      <c r="BG29" s="52"/>
      <c r="BH29" s="52"/>
      <c r="BI29" s="77"/>
      <c r="BJ29" s="77"/>
      <c r="BK29" s="77"/>
      <c r="BL29" s="77"/>
      <c r="BM29" s="77"/>
      <c r="BN29" s="77"/>
      <c r="BO29" s="77"/>
      <c r="BP29" s="77"/>
    </row>
    <row r="30" s="31" customFormat="1" customHeight="1" spans="1:68">
      <c r="A30" s="49" t="s">
        <v>151</v>
      </c>
      <c r="B30" s="50">
        <f t="shared" si="4"/>
        <v>43653</v>
      </c>
      <c r="C30" s="50">
        <f t="shared" si="0"/>
        <v>43659</v>
      </c>
      <c r="D30" s="44">
        <v>7</v>
      </c>
      <c r="E30" s="44">
        <v>130</v>
      </c>
      <c r="F30" s="55">
        <f t="shared" si="1"/>
        <v>910</v>
      </c>
      <c r="G30" s="55">
        <v>79.99</v>
      </c>
      <c r="H30" s="55"/>
      <c r="I30" s="55"/>
      <c r="J30" s="55"/>
      <c r="K30" s="55"/>
      <c r="L30" s="55"/>
      <c r="M30" s="55">
        <v>1500</v>
      </c>
      <c r="N30" s="55"/>
      <c r="O30" s="55"/>
      <c r="P30" s="55"/>
      <c r="Q30" s="55"/>
      <c r="R30" s="55"/>
      <c r="S30" s="67"/>
      <c r="T30" s="52">
        <f>($F$2+$G$2+$J$2+$G30*15%)*F30</f>
        <v>47573.435</v>
      </c>
      <c r="U30" s="52">
        <f>$F30*$H$2</f>
        <v>4277</v>
      </c>
      <c r="V30" s="52">
        <f>$H30*$S$2+$I30*$T$2+$K30*$U$2+$M30+$P30*$V$2+N30*F30</f>
        <v>1500</v>
      </c>
      <c r="W30" s="52">
        <f t="shared" si="2"/>
        <v>53350.435</v>
      </c>
      <c r="X30" s="52">
        <f t="shared" si="3"/>
        <v>72790.9</v>
      </c>
      <c r="Y30" s="52"/>
      <c r="Z30" s="52"/>
      <c r="AA30" s="52"/>
      <c r="AB30" s="52"/>
      <c r="AC30" s="52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2"/>
      <c r="BA30" s="52"/>
      <c r="BB30" s="52"/>
      <c r="BC30" s="52"/>
      <c r="BD30" s="52"/>
      <c r="BE30" s="52"/>
      <c r="BF30" s="52"/>
      <c r="BG30" s="52"/>
      <c r="BH30" s="52"/>
      <c r="BI30" s="77"/>
      <c r="BJ30" s="77"/>
      <c r="BK30" s="77"/>
      <c r="BL30" s="77"/>
      <c r="BM30" s="77"/>
      <c r="BN30" s="77"/>
      <c r="BO30" s="77"/>
      <c r="BP30" s="77"/>
    </row>
    <row r="31" s="31" customFormat="1" customHeight="1" spans="1:68">
      <c r="A31" s="49" t="s">
        <v>152</v>
      </c>
      <c r="B31" s="50">
        <f t="shared" si="4"/>
        <v>43660</v>
      </c>
      <c r="C31" s="50">
        <f t="shared" si="0"/>
        <v>43666</v>
      </c>
      <c r="D31" s="44">
        <v>7</v>
      </c>
      <c r="E31" s="44">
        <v>130</v>
      </c>
      <c r="F31" s="55">
        <f t="shared" si="1"/>
        <v>910</v>
      </c>
      <c r="G31" s="55">
        <v>79.99</v>
      </c>
      <c r="H31" s="55"/>
      <c r="I31" s="55"/>
      <c r="J31" s="55"/>
      <c r="K31" s="55"/>
      <c r="L31" s="55"/>
      <c r="M31" s="55">
        <v>1500</v>
      </c>
      <c r="N31" s="55"/>
      <c r="O31" s="55"/>
      <c r="P31" s="55"/>
      <c r="Q31" s="55"/>
      <c r="R31" s="55"/>
      <c r="S31" s="67"/>
      <c r="T31" s="52">
        <f>($F$2+$G$2+$J$2+$G31*15%)*F31</f>
        <v>47573.435</v>
      </c>
      <c r="U31" s="52">
        <f>$F31*$H$2</f>
        <v>4277</v>
      </c>
      <c r="V31" s="52">
        <f>$H31*$S$2+$I31*$T$2+$K31*$U$2+$M31+$P31*$V$2+N31*F31</f>
        <v>1500</v>
      </c>
      <c r="W31" s="52">
        <f t="shared" si="2"/>
        <v>53350.435</v>
      </c>
      <c r="X31" s="52">
        <f t="shared" si="3"/>
        <v>72790.9</v>
      </c>
      <c r="Y31" s="52"/>
      <c r="Z31" s="52"/>
      <c r="AA31" s="52"/>
      <c r="AB31" s="52"/>
      <c r="AC31" s="52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2"/>
      <c r="BA31" s="52"/>
      <c r="BB31" s="52"/>
      <c r="BC31" s="52"/>
      <c r="BD31" s="52"/>
      <c r="BE31" s="52"/>
      <c r="BF31" s="52"/>
      <c r="BG31" s="52"/>
      <c r="BH31" s="52"/>
      <c r="BI31" s="77"/>
      <c r="BJ31" s="77"/>
      <c r="BK31" s="77"/>
      <c r="BL31" s="77"/>
      <c r="BM31" s="77"/>
      <c r="BN31" s="77"/>
      <c r="BO31" s="77"/>
      <c r="BP31" s="77"/>
    </row>
    <row r="32" s="31" customFormat="1" customHeight="1" spans="1:68">
      <c r="A32" s="49" t="s">
        <v>153</v>
      </c>
      <c r="B32" s="50">
        <f t="shared" si="4"/>
        <v>43667</v>
      </c>
      <c r="C32" s="50">
        <f t="shared" si="0"/>
        <v>43673</v>
      </c>
      <c r="D32" s="44">
        <v>7</v>
      </c>
      <c r="E32" s="44">
        <v>130</v>
      </c>
      <c r="F32" s="55">
        <f t="shared" si="1"/>
        <v>910</v>
      </c>
      <c r="G32" s="55">
        <v>79.99</v>
      </c>
      <c r="H32" s="55"/>
      <c r="I32" s="55"/>
      <c r="J32" s="55"/>
      <c r="K32" s="55"/>
      <c r="L32" s="55"/>
      <c r="M32" s="55">
        <v>1500</v>
      </c>
      <c r="N32" s="55"/>
      <c r="O32" s="55"/>
      <c r="P32" s="55"/>
      <c r="Q32" s="55"/>
      <c r="R32" s="55"/>
      <c r="S32" s="68"/>
      <c r="T32" s="52">
        <f>($F$2+$G$2+$J$2+$G32*15%)*F32</f>
        <v>47573.435</v>
      </c>
      <c r="U32" s="52">
        <f>$F32*$H$2</f>
        <v>4277</v>
      </c>
      <c r="V32" s="52">
        <f>$H32*$S$2+$I32*$T$2+$K32*$U$2+$M32+$P32*$V$2+N32*F32</f>
        <v>1500</v>
      </c>
      <c r="W32" s="52">
        <f t="shared" si="2"/>
        <v>53350.435</v>
      </c>
      <c r="X32" s="52">
        <f t="shared" si="3"/>
        <v>72790.9</v>
      </c>
      <c r="Y32" s="70"/>
      <c r="Z32" s="70"/>
      <c r="AA32" s="70"/>
      <c r="AB32" s="70"/>
      <c r="AC32" s="70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0"/>
      <c r="BA32" s="70"/>
      <c r="BB32" s="70"/>
      <c r="BC32" s="70"/>
      <c r="BD32" s="70"/>
      <c r="BE32" s="70"/>
      <c r="BF32" s="70"/>
      <c r="BG32" s="70"/>
      <c r="BH32" s="70"/>
      <c r="BI32" s="77"/>
      <c r="BJ32" s="77"/>
      <c r="BK32" s="77"/>
      <c r="BL32" s="77"/>
      <c r="BM32" s="77"/>
      <c r="BN32" s="77"/>
      <c r="BO32" s="77"/>
      <c r="BP32" s="77"/>
    </row>
    <row r="33" s="31" customFormat="1" customHeight="1" spans="1:68">
      <c r="A33" s="49" t="s">
        <v>154</v>
      </c>
      <c r="B33" s="50">
        <f t="shared" si="4"/>
        <v>43674</v>
      </c>
      <c r="C33" s="50">
        <f t="shared" si="0"/>
        <v>43680</v>
      </c>
      <c r="D33" s="44">
        <v>7</v>
      </c>
      <c r="E33" s="44">
        <v>130</v>
      </c>
      <c r="F33" s="55">
        <f t="shared" si="1"/>
        <v>910</v>
      </c>
      <c r="G33" s="55">
        <v>79.99</v>
      </c>
      <c r="H33" s="55"/>
      <c r="I33" s="55"/>
      <c r="J33" s="55"/>
      <c r="K33" s="55"/>
      <c r="L33" s="55"/>
      <c r="M33" s="55">
        <v>1500</v>
      </c>
      <c r="N33" s="55"/>
      <c r="O33" s="55"/>
      <c r="P33" s="55"/>
      <c r="Q33" s="55"/>
      <c r="R33" s="55"/>
      <c r="S33" s="68"/>
      <c r="T33" s="52">
        <f>($F$2+$G$2+$J$2+$G33*15%)*F33</f>
        <v>47573.435</v>
      </c>
      <c r="U33" s="52">
        <f>$F33*$H$2</f>
        <v>4277</v>
      </c>
      <c r="V33" s="52">
        <f>$H33*$S$2+$I33*$T$2+$K33*$U$2+$M33+$P33*$V$2+N33*F33</f>
        <v>1500</v>
      </c>
      <c r="W33" s="52">
        <f t="shared" si="2"/>
        <v>53350.435</v>
      </c>
      <c r="X33" s="52">
        <f t="shared" si="3"/>
        <v>72790.9</v>
      </c>
      <c r="Y33" s="70"/>
      <c r="Z33" s="70"/>
      <c r="AA33" s="70"/>
      <c r="AB33" s="70"/>
      <c r="AC33" s="70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0"/>
      <c r="BA33" s="70"/>
      <c r="BB33" s="70"/>
      <c r="BC33" s="70"/>
      <c r="BD33" s="70"/>
      <c r="BE33" s="70"/>
      <c r="BF33" s="70"/>
      <c r="BG33" s="70"/>
      <c r="BH33" s="70"/>
      <c r="BI33" s="77"/>
      <c r="BJ33" s="77"/>
      <c r="BK33" s="77"/>
      <c r="BL33" s="77"/>
      <c r="BM33" s="77"/>
      <c r="BN33" s="77"/>
      <c r="BO33" s="77"/>
      <c r="BP33" s="77"/>
    </row>
    <row r="34" s="31" customFormat="1" customHeight="1" spans="1:68">
      <c r="A34" s="49" t="s">
        <v>155</v>
      </c>
      <c r="B34" s="50">
        <f t="shared" si="4"/>
        <v>43681</v>
      </c>
      <c r="C34" s="50">
        <f t="shared" si="0"/>
        <v>43687</v>
      </c>
      <c r="D34" s="44">
        <v>7</v>
      </c>
      <c r="E34" s="44">
        <v>120</v>
      </c>
      <c r="F34" s="55">
        <f t="shared" si="1"/>
        <v>840</v>
      </c>
      <c r="G34" s="55">
        <v>79.99</v>
      </c>
      <c r="H34" s="55"/>
      <c r="I34" s="55"/>
      <c r="J34" s="55"/>
      <c r="K34" s="55"/>
      <c r="L34" s="55"/>
      <c r="M34" s="55">
        <v>1500</v>
      </c>
      <c r="N34" s="55"/>
      <c r="O34" s="55"/>
      <c r="P34" s="55"/>
      <c r="Q34" s="55"/>
      <c r="R34" s="55"/>
      <c r="S34" s="68"/>
      <c r="T34" s="52">
        <f>($F$2+$G$2+$J$2+$G34*15%)*F34</f>
        <v>43913.94</v>
      </c>
      <c r="U34" s="52">
        <f>$F34*$H$2</f>
        <v>3948</v>
      </c>
      <c r="V34" s="52">
        <f>$H34*$S$2+$I34*$T$2+$K34*$U$2+$M34+$P34*$V$2+N34*F34</f>
        <v>1500</v>
      </c>
      <c r="W34" s="52">
        <f t="shared" si="2"/>
        <v>49361.94</v>
      </c>
      <c r="X34" s="52">
        <f t="shared" si="3"/>
        <v>67191.6</v>
      </c>
      <c r="Y34" s="70"/>
      <c r="Z34" s="70"/>
      <c r="AA34" s="70"/>
      <c r="AB34" s="70"/>
      <c r="AC34" s="70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0"/>
      <c r="BA34" s="70"/>
      <c r="BB34" s="70"/>
      <c r="BC34" s="70"/>
      <c r="BD34" s="70"/>
      <c r="BE34" s="70"/>
      <c r="BF34" s="70"/>
      <c r="BG34" s="70"/>
      <c r="BH34" s="70"/>
      <c r="BI34" s="77"/>
      <c r="BJ34" s="77"/>
      <c r="BK34" s="77"/>
      <c r="BL34" s="77"/>
      <c r="BM34" s="77"/>
      <c r="BN34" s="77"/>
      <c r="BO34" s="77"/>
      <c r="BP34" s="77"/>
    </row>
    <row r="35" s="31" customFormat="1" customHeight="1" spans="1:68">
      <c r="A35" s="49" t="s">
        <v>156</v>
      </c>
      <c r="B35" s="50">
        <f t="shared" si="4"/>
        <v>43688</v>
      </c>
      <c r="C35" s="50">
        <f t="shared" si="0"/>
        <v>43694</v>
      </c>
      <c r="D35" s="44">
        <v>7</v>
      </c>
      <c r="E35" s="44">
        <v>120</v>
      </c>
      <c r="F35" s="55">
        <f t="shared" si="1"/>
        <v>840</v>
      </c>
      <c r="G35" s="55">
        <v>79.99</v>
      </c>
      <c r="H35" s="55"/>
      <c r="I35" s="55"/>
      <c r="J35" s="55"/>
      <c r="K35" s="55"/>
      <c r="L35" s="55"/>
      <c r="M35" s="55">
        <v>1500</v>
      </c>
      <c r="N35" s="55"/>
      <c r="O35" s="55"/>
      <c r="P35" s="55"/>
      <c r="Q35" s="55"/>
      <c r="R35" s="55"/>
      <c r="S35" s="68"/>
      <c r="T35" s="52">
        <f>($F$2+$G$2+$J$2+$G35*15%)*F35</f>
        <v>43913.94</v>
      </c>
      <c r="U35" s="52">
        <f>$F35*$H$2</f>
        <v>3948</v>
      </c>
      <c r="V35" s="52">
        <f>$H35*$S$2+$I35*$T$2+$K35*$U$2+$M35+$P35*$V$2+N35*F35</f>
        <v>1500</v>
      </c>
      <c r="W35" s="52">
        <f t="shared" si="2"/>
        <v>49361.94</v>
      </c>
      <c r="X35" s="52">
        <f t="shared" si="3"/>
        <v>67191.6</v>
      </c>
      <c r="Y35" s="70"/>
      <c r="Z35" s="70"/>
      <c r="AA35" s="70"/>
      <c r="AB35" s="70"/>
      <c r="AC35" s="70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0"/>
      <c r="BA35" s="70"/>
      <c r="BB35" s="70"/>
      <c r="BC35" s="70"/>
      <c r="BD35" s="70"/>
      <c r="BE35" s="70"/>
      <c r="BF35" s="70"/>
      <c r="BG35" s="70"/>
      <c r="BH35" s="70"/>
      <c r="BI35" s="77"/>
      <c r="BJ35" s="77"/>
      <c r="BK35" s="77"/>
      <c r="BL35" s="77"/>
      <c r="BM35" s="77"/>
      <c r="BN35" s="77"/>
      <c r="BO35" s="77"/>
      <c r="BP35" s="77"/>
    </row>
    <row r="36" s="31" customFormat="1" customHeight="1" spans="1:68">
      <c r="A36" s="49" t="s">
        <v>157</v>
      </c>
      <c r="B36" s="50">
        <f t="shared" si="4"/>
        <v>43695</v>
      </c>
      <c r="C36" s="50">
        <f t="shared" si="0"/>
        <v>43701</v>
      </c>
      <c r="D36" s="44">
        <v>7</v>
      </c>
      <c r="E36" s="44">
        <v>120</v>
      </c>
      <c r="F36" s="55">
        <f t="shared" si="1"/>
        <v>840</v>
      </c>
      <c r="G36" s="55">
        <v>79.99</v>
      </c>
      <c r="H36" s="55"/>
      <c r="I36" s="55"/>
      <c r="J36" s="55"/>
      <c r="K36" s="55"/>
      <c r="L36" s="55"/>
      <c r="M36" s="55">
        <v>1500</v>
      </c>
      <c r="N36" s="55"/>
      <c r="O36" s="55"/>
      <c r="P36" s="55"/>
      <c r="Q36" s="55"/>
      <c r="R36" s="55"/>
      <c r="S36" s="68"/>
      <c r="T36" s="52">
        <f>($F$2+$G$2+$J$2+$G36*15%)*F36</f>
        <v>43913.94</v>
      </c>
      <c r="U36" s="52">
        <f>$F36*$H$2</f>
        <v>3948</v>
      </c>
      <c r="V36" s="52">
        <f>$H36*$S$2+$I36*$T$2+$K36*$U$2+$M36+$P36*$V$2+N36*F36</f>
        <v>1500</v>
      </c>
      <c r="W36" s="52">
        <f t="shared" si="2"/>
        <v>49361.94</v>
      </c>
      <c r="X36" s="52">
        <f t="shared" si="3"/>
        <v>67191.6</v>
      </c>
      <c r="Y36" s="70"/>
      <c r="Z36" s="70"/>
      <c r="AA36" s="70"/>
      <c r="AB36" s="70"/>
      <c r="AC36" s="70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0"/>
      <c r="BA36" s="70"/>
      <c r="BB36" s="70"/>
      <c r="BC36" s="70"/>
      <c r="BD36" s="70"/>
      <c r="BE36" s="70"/>
      <c r="BF36" s="70"/>
      <c r="BG36" s="70"/>
      <c r="BH36" s="70"/>
      <c r="BI36" s="77"/>
      <c r="BJ36" s="77"/>
      <c r="BK36" s="77"/>
      <c r="BL36" s="77"/>
      <c r="BM36" s="77"/>
      <c r="BN36" s="77"/>
      <c r="BO36" s="77"/>
      <c r="BP36" s="77"/>
    </row>
    <row r="37" s="31" customFormat="1" customHeight="1" spans="1:68">
      <c r="A37" s="49" t="s">
        <v>158</v>
      </c>
      <c r="B37" s="50">
        <f t="shared" si="4"/>
        <v>43702</v>
      </c>
      <c r="C37" s="50">
        <f t="shared" si="0"/>
        <v>43708</v>
      </c>
      <c r="D37" s="44">
        <v>7</v>
      </c>
      <c r="E37" s="44">
        <v>120</v>
      </c>
      <c r="F37" s="55">
        <f t="shared" si="1"/>
        <v>840</v>
      </c>
      <c r="G37" s="55">
        <v>79.99</v>
      </c>
      <c r="H37" s="55"/>
      <c r="I37" s="55"/>
      <c r="J37" s="55"/>
      <c r="K37" s="55"/>
      <c r="L37" s="55"/>
      <c r="M37" s="55">
        <v>1500</v>
      </c>
      <c r="N37" s="55"/>
      <c r="O37" s="55"/>
      <c r="P37" s="55"/>
      <c r="Q37" s="55"/>
      <c r="R37" s="55"/>
      <c r="S37" s="68"/>
      <c r="T37" s="52">
        <f>($F$2+$G$2+$J$2+$G37*15%)*F37</f>
        <v>43913.94</v>
      </c>
      <c r="U37" s="52">
        <f>$F37*$H$2</f>
        <v>3948</v>
      </c>
      <c r="V37" s="52">
        <f>$H37*$S$2+$I37*$T$2+$K37*$U$2+$M37+$P37*$V$2+N37*F37</f>
        <v>1500</v>
      </c>
      <c r="W37" s="52">
        <f t="shared" si="2"/>
        <v>49361.94</v>
      </c>
      <c r="X37" s="52">
        <f t="shared" si="3"/>
        <v>67191.6</v>
      </c>
      <c r="Y37" s="70"/>
      <c r="Z37" s="70"/>
      <c r="AA37" s="70"/>
      <c r="AB37" s="70"/>
      <c r="AC37" s="70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0"/>
      <c r="BA37" s="70"/>
      <c r="BB37" s="70"/>
      <c r="BC37" s="70"/>
      <c r="BD37" s="70"/>
      <c r="BE37" s="70"/>
      <c r="BF37" s="70"/>
      <c r="BG37" s="70"/>
      <c r="BH37" s="70"/>
      <c r="BI37" s="77"/>
      <c r="BJ37" s="77"/>
      <c r="BK37" s="77"/>
      <c r="BL37" s="77"/>
      <c r="BM37" s="77"/>
      <c r="BN37" s="77"/>
      <c r="BO37" s="77"/>
      <c r="BP37" s="77"/>
    </row>
    <row r="38" s="31" customFormat="1" customHeight="1" spans="1:68">
      <c r="A38" s="49" t="s">
        <v>159</v>
      </c>
      <c r="B38" s="50">
        <f t="shared" si="4"/>
        <v>43709</v>
      </c>
      <c r="C38" s="50">
        <f t="shared" si="0"/>
        <v>43715</v>
      </c>
      <c r="D38" s="44">
        <v>7</v>
      </c>
      <c r="E38" s="44">
        <v>140</v>
      </c>
      <c r="F38" s="55">
        <f t="shared" si="1"/>
        <v>980</v>
      </c>
      <c r="G38" s="55">
        <v>79.99</v>
      </c>
      <c r="H38" s="55"/>
      <c r="I38" s="55"/>
      <c r="J38" s="55"/>
      <c r="K38" s="55"/>
      <c r="L38" s="55"/>
      <c r="M38" s="55">
        <v>1500</v>
      </c>
      <c r="N38" s="55"/>
      <c r="O38" s="55"/>
      <c r="P38" s="55"/>
      <c r="Q38" s="55"/>
      <c r="R38" s="55"/>
      <c r="S38" s="68"/>
      <c r="T38" s="52">
        <f>($F$2+$G$2+$J$2+$G38*15%)*F38</f>
        <v>51232.93</v>
      </c>
      <c r="U38" s="52">
        <f>$F38*$H$2</f>
        <v>4606</v>
      </c>
      <c r="V38" s="52">
        <f>$H38*$S$2+$I38*$T$2+$K38*$U$2+$M38+$P38*$V$2+N38*F38</f>
        <v>1500</v>
      </c>
      <c r="W38" s="52">
        <f t="shared" si="2"/>
        <v>57338.93</v>
      </c>
      <c r="X38" s="52">
        <f t="shared" si="3"/>
        <v>78390.2</v>
      </c>
      <c r="Y38" s="70"/>
      <c r="Z38" s="70"/>
      <c r="AA38" s="70"/>
      <c r="AB38" s="70"/>
      <c r="AC38" s="70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0"/>
      <c r="BA38" s="70"/>
      <c r="BB38" s="70"/>
      <c r="BC38" s="70"/>
      <c r="BD38" s="70"/>
      <c r="BE38" s="70"/>
      <c r="BF38" s="70"/>
      <c r="BG38" s="70"/>
      <c r="BH38" s="70"/>
      <c r="BI38" s="77"/>
      <c r="BJ38" s="77"/>
      <c r="BK38" s="77"/>
      <c r="BL38" s="77"/>
      <c r="BM38" s="77"/>
      <c r="BN38" s="77"/>
      <c r="BO38" s="77"/>
      <c r="BP38" s="77"/>
    </row>
    <row r="39" s="31" customFormat="1" customHeight="1" spans="1:68">
      <c r="A39" s="49" t="s">
        <v>160</v>
      </c>
      <c r="B39" s="50">
        <f t="shared" si="4"/>
        <v>43716</v>
      </c>
      <c r="C39" s="50">
        <f t="shared" si="0"/>
        <v>43722</v>
      </c>
      <c r="D39" s="44">
        <v>7</v>
      </c>
      <c r="E39" s="44">
        <v>140</v>
      </c>
      <c r="F39" s="55">
        <f t="shared" si="1"/>
        <v>980</v>
      </c>
      <c r="G39" s="55">
        <v>79.99</v>
      </c>
      <c r="H39" s="55"/>
      <c r="I39" s="55"/>
      <c r="J39" s="55"/>
      <c r="K39" s="55"/>
      <c r="L39" s="55"/>
      <c r="M39" s="55">
        <v>1500</v>
      </c>
      <c r="N39" s="55"/>
      <c r="O39" s="55"/>
      <c r="P39" s="55"/>
      <c r="Q39" s="55"/>
      <c r="R39" s="55"/>
      <c r="S39" s="68"/>
      <c r="T39" s="52">
        <f>($F$2+$G$2+$J$2+$G39*15%)*F39</f>
        <v>51232.93</v>
      </c>
      <c r="U39" s="52">
        <f>$F39*$H$2</f>
        <v>4606</v>
      </c>
      <c r="V39" s="52">
        <f>$H39*$S$2+$I39*$T$2+$K39*$U$2+$M39+$P39*$V$2+N39*F39</f>
        <v>1500</v>
      </c>
      <c r="W39" s="52">
        <f t="shared" si="2"/>
        <v>57338.93</v>
      </c>
      <c r="X39" s="52">
        <f t="shared" si="3"/>
        <v>78390.2</v>
      </c>
      <c r="Y39" s="70"/>
      <c r="Z39" s="70"/>
      <c r="AA39" s="70"/>
      <c r="AB39" s="70"/>
      <c r="AC39" s="70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0"/>
      <c r="BA39" s="70"/>
      <c r="BB39" s="70"/>
      <c r="BC39" s="70"/>
      <c r="BD39" s="70"/>
      <c r="BE39" s="70"/>
      <c r="BF39" s="70"/>
      <c r="BG39" s="70"/>
      <c r="BH39" s="70"/>
      <c r="BI39" s="77"/>
      <c r="BJ39" s="77"/>
      <c r="BK39" s="77"/>
      <c r="BL39" s="77"/>
      <c r="BM39" s="77"/>
      <c r="BN39" s="77"/>
      <c r="BO39" s="77"/>
      <c r="BP39" s="77"/>
    </row>
    <row r="40" s="31" customFormat="1" customHeight="1" spans="1:68">
      <c r="A40" s="49" t="s">
        <v>161</v>
      </c>
      <c r="B40" s="50">
        <f t="shared" si="4"/>
        <v>43723</v>
      </c>
      <c r="C40" s="50">
        <f t="shared" si="0"/>
        <v>43729</v>
      </c>
      <c r="D40" s="44">
        <v>7</v>
      </c>
      <c r="E40" s="44">
        <v>140</v>
      </c>
      <c r="F40" s="55">
        <f t="shared" si="1"/>
        <v>980</v>
      </c>
      <c r="G40" s="55">
        <v>79.99</v>
      </c>
      <c r="H40" s="55"/>
      <c r="I40" s="55"/>
      <c r="J40" s="55"/>
      <c r="K40" s="55"/>
      <c r="L40" s="55"/>
      <c r="M40" s="55">
        <v>1500</v>
      </c>
      <c r="N40" s="55"/>
      <c r="O40" s="55"/>
      <c r="P40" s="55"/>
      <c r="Q40" s="55"/>
      <c r="R40" s="55"/>
      <c r="S40" s="67"/>
      <c r="T40" s="52">
        <f>($F$2+$G$2+$J$2+$G40*15%)*F40</f>
        <v>51232.93</v>
      </c>
      <c r="U40" s="52">
        <f>$F40*$H$2</f>
        <v>4606</v>
      </c>
      <c r="V40" s="52">
        <f>$H40*$S$2+$I40*$T$2+$K40*$U$2+$M40+$P40*$V$2+N40*F40</f>
        <v>1500</v>
      </c>
      <c r="W40" s="52">
        <f t="shared" si="2"/>
        <v>57338.93</v>
      </c>
      <c r="X40" s="52">
        <f t="shared" si="3"/>
        <v>78390.2</v>
      </c>
      <c r="Y40" s="70"/>
      <c r="Z40" s="70"/>
      <c r="AA40" s="70"/>
      <c r="AB40" s="70"/>
      <c r="AC40" s="70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0"/>
      <c r="BA40" s="70"/>
      <c r="BB40" s="70"/>
      <c r="BC40" s="70"/>
      <c r="BD40" s="70"/>
      <c r="BE40" s="70"/>
      <c r="BF40" s="70"/>
      <c r="BG40" s="70"/>
      <c r="BH40" s="70"/>
      <c r="BI40" s="77"/>
      <c r="BJ40" s="77"/>
      <c r="BK40" s="77"/>
      <c r="BL40" s="77"/>
      <c r="BM40" s="77"/>
      <c r="BN40" s="77"/>
      <c r="BO40" s="77"/>
      <c r="BP40" s="77"/>
    </row>
    <row r="41" s="31" customFormat="1" customHeight="1" spans="1:68">
      <c r="A41" s="49" t="s">
        <v>162</v>
      </c>
      <c r="B41" s="50">
        <f t="shared" si="4"/>
        <v>43730</v>
      </c>
      <c r="C41" s="50">
        <f t="shared" si="0"/>
        <v>43736</v>
      </c>
      <c r="D41" s="44">
        <v>7</v>
      </c>
      <c r="E41" s="44">
        <v>140</v>
      </c>
      <c r="F41" s="55">
        <f t="shared" si="1"/>
        <v>980</v>
      </c>
      <c r="G41" s="55">
        <v>79.99</v>
      </c>
      <c r="H41" s="55"/>
      <c r="I41" s="55"/>
      <c r="J41" s="55"/>
      <c r="K41" s="55"/>
      <c r="L41" s="55"/>
      <c r="M41" s="55">
        <v>1500</v>
      </c>
      <c r="N41" s="55"/>
      <c r="O41" s="55"/>
      <c r="P41" s="55"/>
      <c r="Q41" s="55"/>
      <c r="R41" s="55"/>
      <c r="S41" s="35"/>
      <c r="T41" s="52">
        <f>($F$2+$G$2+$J$2+$G41*15%)*F41</f>
        <v>51232.93</v>
      </c>
      <c r="U41" s="52">
        <f>$F41*$H$2</f>
        <v>4606</v>
      </c>
      <c r="V41" s="52">
        <f>$H41*$S$2+$I41*$T$2+$K41*$U$2+$M41+$P41*$V$2+N41*F41</f>
        <v>1500</v>
      </c>
      <c r="W41" s="52">
        <f t="shared" si="2"/>
        <v>57338.93</v>
      </c>
      <c r="X41" s="52">
        <f t="shared" si="3"/>
        <v>78390.2</v>
      </c>
      <c r="Y41" s="70"/>
      <c r="Z41" s="70"/>
      <c r="AA41" s="70"/>
      <c r="AB41" s="70"/>
      <c r="AC41" s="70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0"/>
      <c r="BA41" s="70"/>
      <c r="BB41" s="70"/>
      <c r="BC41" s="70"/>
      <c r="BD41" s="70"/>
      <c r="BE41" s="70"/>
      <c r="BF41" s="70"/>
      <c r="BG41" s="70"/>
      <c r="BH41" s="70"/>
      <c r="BI41" s="77"/>
      <c r="BJ41" s="77"/>
      <c r="BK41" s="77"/>
      <c r="BL41" s="77"/>
      <c r="BM41" s="77"/>
      <c r="BN41" s="77"/>
      <c r="BO41" s="77"/>
      <c r="BP41" s="77"/>
    </row>
    <row r="42" s="31" customFormat="1" customHeight="1" spans="1:68">
      <c r="A42" s="49" t="s">
        <v>163</v>
      </c>
      <c r="B42" s="50">
        <f t="shared" si="4"/>
        <v>43737</v>
      </c>
      <c r="C42" s="50">
        <f t="shared" si="0"/>
        <v>43743</v>
      </c>
      <c r="D42" s="44">
        <v>7</v>
      </c>
      <c r="E42" s="44">
        <v>140</v>
      </c>
      <c r="F42" s="55">
        <f t="shared" si="1"/>
        <v>980</v>
      </c>
      <c r="G42" s="55">
        <v>79.99</v>
      </c>
      <c r="H42" s="55"/>
      <c r="I42" s="55"/>
      <c r="J42" s="55"/>
      <c r="K42" s="55"/>
      <c r="L42" s="55"/>
      <c r="M42" s="55">
        <v>1500</v>
      </c>
      <c r="N42" s="55"/>
      <c r="O42" s="55"/>
      <c r="P42" s="55"/>
      <c r="Q42" s="55"/>
      <c r="R42" s="55"/>
      <c r="S42" s="68"/>
      <c r="T42" s="52">
        <f>($F$2+$G$2+$J$2+$G42*15%)*F42</f>
        <v>51232.93</v>
      </c>
      <c r="U42" s="52">
        <f>$F42*$H$2</f>
        <v>4606</v>
      </c>
      <c r="V42" s="52">
        <f>$H42*$S$2+$I42*$T$2+$K42*$U$2+$M42+$P42*$V$2+N42*F42</f>
        <v>1500</v>
      </c>
      <c r="W42" s="52">
        <f t="shared" si="2"/>
        <v>57338.93</v>
      </c>
      <c r="X42" s="52">
        <f t="shared" si="3"/>
        <v>78390.2</v>
      </c>
      <c r="Y42" s="70"/>
      <c r="Z42" s="70"/>
      <c r="AA42" s="70"/>
      <c r="AB42" s="70"/>
      <c r="AC42" s="70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0"/>
      <c r="BA42" s="70"/>
      <c r="BB42" s="70"/>
      <c r="BC42" s="70"/>
      <c r="BD42" s="70"/>
      <c r="BE42" s="70"/>
      <c r="BF42" s="70"/>
      <c r="BG42" s="70"/>
      <c r="BH42" s="70"/>
      <c r="BI42" s="77"/>
      <c r="BJ42" s="77"/>
      <c r="BK42" s="77"/>
      <c r="BL42" s="77"/>
      <c r="BM42" s="77"/>
      <c r="BN42" s="77"/>
      <c r="BO42" s="77"/>
      <c r="BP42" s="77"/>
    </row>
    <row r="43" s="31" customFormat="1" customHeight="1" spans="1:68">
      <c r="A43" s="49" t="s">
        <v>164</v>
      </c>
      <c r="B43" s="50">
        <f t="shared" si="4"/>
        <v>43744</v>
      </c>
      <c r="C43" s="50">
        <f t="shared" si="0"/>
        <v>43750</v>
      </c>
      <c r="D43" s="44">
        <v>7</v>
      </c>
      <c r="E43" s="44">
        <v>140</v>
      </c>
      <c r="F43" s="55">
        <f t="shared" si="1"/>
        <v>980</v>
      </c>
      <c r="G43" s="55">
        <v>79.99</v>
      </c>
      <c r="H43" s="55"/>
      <c r="I43" s="55"/>
      <c r="J43" s="55"/>
      <c r="K43" s="55"/>
      <c r="L43" s="55"/>
      <c r="M43" s="55">
        <v>1500</v>
      </c>
      <c r="N43" s="55"/>
      <c r="O43" s="55"/>
      <c r="P43" s="55"/>
      <c r="Q43" s="55"/>
      <c r="R43" s="55"/>
      <c r="S43" s="68"/>
      <c r="T43" s="52">
        <f>($F$2+$G$2+$J$2+$G43*15%)*F43</f>
        <v>51232.93</v>
      </c>
      <c r="U43" s="52">
        <f>$F43*$H$2</f>
        <v>4606</v>
      </c>
      <c r="V43" s="52">
        <f>$H43*$S$2+$I43*$T$2+$K43*$U$2+$M43+$P43*$V$2+N43*F43</f>
        <v>1500</v>
      </c>
      <c r="W43" s="52">
        <f t="shared" si="2"/>
        <v>57338.93</v>
      </c>
      <c r="X43" s="52">
        <f t="shared" si="3"/>
        <v>78390.2</v>
      </c>
      <c r="Y43" s="70"/>
      <c r="Z43" s="70"/>
      <c r="AA43" s="70"/>
      <c r="AB43" s="70"/>
      <c r="AC43" s="70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0"/>
      <c r="BA43" s="70"/>
      <c r="BB43" s="70"/>
      <c r="BC43" s="70"/>
      <c r="BD43" s="70"/>
      <c r="BE43" s="70"/>
      <c r="BF43" s="70"/>
      <c r="BG43" s="70"/>
      <c r="BH43" s="70"/>
      <c r="BI43" s="77"/>
      <c r="BJ43" s="77"/>
      <c r="BK43" s="77"/>
      <c r="BL43" s="77"/>
      <c r="BM43" s="77"/>
      <c r="BN43" s="77"/>
      <c r="BO43" s="77"/>
      <c r="BP43" s="77"/>
    </row>
    <row r="44" s="31" customFormat="1" customHeight="1" spans="1:68">
      <c r="A44" s="49" t="s">
        <v>165</v>
      </c>
      <c r="B44" s="50">
        <f t="shared" si="4"/>
        <v>43751</v>
      </c>
      <c r="C44" s="50">
        <f t="shared" si="0"/>
        <v>43757</v>
      </c>
      <c r="D44" s="44">
        <v>7</v>
      </c>
      <c r="E44" s="44">
        <v>140</v>
      </c>
      <c r="F44" s="55">
        <f t="shared" si="1"/>
        <v>980</v>
      </c>
      <c r="G44" s="55">
        <v>79.99</v>
      </c>
      <c r="H44" s="55"/>
      <c r="I44" s="55"/>
      <c r="J44" s="55"/>
      <c r="K44" s="55"/>
      <c r="L44" s="55"/>
      <c r="M44" s="55">
        <v>1500</v>
      </c>
      <c r="N44" s="55"/>
      <c r="O44" s="55"/>
      <c r="P44" s="55"/>
      <c r="Q44" s="55"/>
      <c r="R44" s="55"/>
      <c r="S44" s="68"/>
      <c r="T44" s="52">
        <f>($F$2+$G$2+$J$2+$G44*15%)*F44</f>
        <v>51232.93</v>
      </c>
      <c r="U44" s="52">
        <f>$F44*$H$2</f>
        <v>4606</v>
      </c>
      <c r="V44" s="52">
        <f>$H44*$S$2+$I44*$T$2+$K44*$U$2+$M44+$P44*$V$2+N44*F44</f>
        <v>1500</v>
      </c>
      <c r="W44" s="52">
        <f t="shared" si="2"/>
        <v>57338.93</v>
      </c>
      <c r="X44" s="52">
        <f t="shared" si="3"/>
        <v>78390.2</v>
      </c>
      <c r="Y44" s="70"/>
      <c r="Z44" s="70"/>
      <c r="AA44" s="70"/>
      <c r="AB44" s="70"/>
      <c r="AC44" s="70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0"/>
      <c r="BA44" s="70"/>
      <c r="BB44" s="70"/>
      <c r="BC44" s="70"/>
      <c r="BD44" s="70"/>
      <c r="BE44" s="70"/>
      <c r="BF44" s="70"/>
      <c r="BG44" s="70"/>
      <c r="BH44" s="70"/>
      <c r="BI44" s="77"/>
      <c r="BJ44" s="77"/>
      <c r="BK44" s="77"/>
      <c r="BL44" s="77"/>
      <c r="BM44" s="77"/>
      <c r="BN44" s="77"/>
      <c r="BO44" s="77"/>
      <c r="BP44" s="77"/>
    </row>
    <row r="45" s="31" customFormat="1" customHeight="1" spans="1:68">
      <c r="A45" s="49" t="s">
        <v>166</v>
      </c>
      <c r="B45" s="50">
        <f t="shared" si="4"/>
        <v>43758</v>
      </c>
      <c r="C45" s="50">
        <f t="shared" si="0"/>
        <v>43764</v>
      </c>
      <c r="D45" s="44">
        <v>7</v>
      </c>
      <c r="E45" s="44">
        <v>140</v>
      </c>
      <c r="F45" s="55">
        <f t="shared" si="1"/>
        <v>980</v>
      </c>
      <c r="G45" s="55">
        <v>79.99</v>
      </c>
      <c r="H45" s="55"/>
      <c r="I45" s="55"/>
      <c r="J45" s="55"/>
      <c r="K45" s="55"/>
      <c r="L45" s="55"/>
      <c r="M45" s="55">
        <v>1500</v>
      </c>
      <c r="N45" s="55"/>
      <c r="O45" s="55"/>
      <c r="P45" s="55"/>
      <c r="Q45" s="55"/>
      <c r="R45" s="55"/>
      <c r="S45" s="68"/>
      <c r="T45" s="52">
        <f>($F$2+$G$2+$J$2+$G45*15%)*F45</f>
        <v>51232.93</v>
      </c>
      <c r="U45" s="52">
        <f>$F45*$H$2</f>
        <v>4606</v>
      </c>
      <c r="V45" s="52">
        <f>$H45*$S$2+$I45*$T$2+$K45*$U$2+$M45+$P45*$V$2+N45*F45</f>
        <v>1500</v>
      </c>
      <c r="W45" s="52">
        <f t="shared" si="2"/>
        <v>57338.93</v>
      </c>
      <c r="X45" s="52">
        <f t="shared" si="3"/>
        <v>78390.2</v>
      </c>
      <c r="Y45" s="70"/>
      <c r="Z45" s="70"/>
      <c r="AA45" s="70"/>
      <c r="AB45" s="70"/>
      <c r="AC45" s="70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0"/>
      <c r="BA45" s="70"/>
      <c r="BB45" s="70"/>
      <c r="BC45" s="70"/>
      <c r="BD45" s="70"/>
      <c r="BE45" s="70"/>
      <c r="BF45" s="70"/>
      <c r="BG45" s="70"/>
      <c r="BH45" s="70"/>
      <c r="BI45" s="77"/>
      <c r="BJ45" s="77"/>
      <c r="BK45" s="77"/>
      <c r="BL45" s="77"/>
      <c r="BM45" s="77"/>
      <c r="BN45" s="77"/>
      <c r="BO45" s="77"/>
      <c r="BP45" s="77"/>
    </row>
    <row r="46" s="31" customFormat="1" customHeight="1" spans="1:68">
      <c r="A46" s="49" t="s">
        <v>167</v>
      </c>
      <c r="B46" s="50">
        <f t="shared" si="4"/>
        <v>43765</v>
      </c>
      <c r="C46" s="50">
        <f t="shared" si="0"/>
        <v>43771</v>
      </c>
      <c r="D46" s="44">
        <v>7</v>
      </c>
      <c r="E46" s="44">
        <v>140</v>
      </c>
      <c r="F46" s="55">
        <f t="shared" si="1"/>
        <v>980</v>
      </c>
      <c r="G46" s="55">
        <v>79.99</v>
      </c>
      <c r="H46" s="55"/>
      <c r="I46" s="55"/>
      <c r="J46" s="55"/>
      <c r="K46" s="55"/>
      <c r="L46" s="55"/>
      <c r="M46" s="55">
        <v>1500</v>
      </c>
      <c r="N46" s="55"/>
      <c r="O46" s="55"/>
      <c r="P46" s="55"/>
      <c r="Q46" s="55"/>
      <c r="R46" s="55"/>
      <c r="S46" s="68"/>
      <c r="T46" s="52">
        <f>($F$2+$G$2+$J$2+$G46*15%)*F46</f>
        <v>51232.93</v>
      </c>
      <c r="U46" s="52">
        <f>$F46*$H$2</f>
        <v>4606</v>
      </c>
      <c r="V46" s="52">
        <f>$H46*$S$2+$I46*$T$2+$K46*$U$2+$M46+$P46*$V$2+N46*F46</f>
        <v>1500</v>
      </c>
      <c r="W46" s="52">
        <f t="shared" si="2"/>
        <v>57338.93</v>
      </c>
      <c r="X46" s="52">
        <f t="shared" si="3"/>
        <v>78390.2</v>
      </c>
      <c r="Y46" s="70"/>
      <c r="Z46" s="70"/>
      <c r="AA46" s="70"/>
      <c r="AB46" s="70"/>
      <c r="AC46" s="70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0"/>
      <c r="BA46" s="70"/>
      <c r="BB46" s="70"/>
      <c r="BC46" s="70"/>
      <c r="BD46" s="70"/>
      <c r="BE46" s="70"/>
      <c r="BF46" s="70"/>
      <c r="BG46" s="70"/>
      <c r="BH46" s="70"/>
      <c r="BI46" s="77"/>
      <c r="BJ46" s="77"/>
      <c r="BK46" s="77"/>
      <c r="BL46" s="77"/>
      <c r="BM46" s="77"/>
      <c r="BN46" s="77"/>
      <c r="BO46" s="77"/>
      <c r="BP46" s="77"/>
    </row>
    <row r="47" s="31" customFormat="1" customHeight="1" spans="1:68">
      <c r="A47" s="49" t="s">
        <v>168</v>
      </c>
      <c r="B47" s="50">
        <f t="shared" si="4"/>
        <v>43772</v>
      </c>
      <c r="C47" s="50">
        <f t="shared" si="0"/>
        <v>43778</v>
      </c>
      <c r="D47" s="44">
        <v>7</v>
      </c>
      <c r="E47" s="44">
        <v>140</v>
      </c>
      <c r="F47" s="55">
        <f t="shared" si="1"/>
        <v>980</v>
      </c>
      <c r="G47" s="55">
        <v>79.99</v>
      </c>
      <c r="H47" s="55"/>
      <c r="I47" s="55"/>
      <c r="J47" s="55"/>
      <c r="K47" s="55"/>
      <c r="L47" s="55"/>
      <c r="M47" s="55">
        <v>1500</v>
      </c>
      <c r="N47" s="55"/>
      <c r="O47" s="55"/>
      <c r="P47" s="55"/>
      <c r="Q47" s="55"/>
      <c r="R47" s="55"/>
      <c r="S47" s="68"/>
      <c r="T47" s="52">
        <f>($F$2+$G$2+$J$2+$G47*15%)*F47</f>
        <v>51232.93</v>
      </c>
      <c r="U47" s="52">
        <f>$F47*$H$2</f>
        <v>4606</v>
      </c>
      <c r="V47" s="52">
        <f>$H47*$S$2+$I47*$T$2+$K47*$U$2+$M47+$P47*$V$2+N47*F47</f>
        <v>1500</v>
      </c>
      <c r="W47" s="52">
        <f t="shared" si="2"/>
        <v>57338.93</v>
      </c>
      <c r="X47" s="52">
        <f t="shared" si="3"/>
        <v>78390.2</v>
      </c>
      <c r="Y47" s="70"/>
      <c r="Z47" s="70"/>
      <c r="AA47" s="70"/>
      <c r="AB47" s="70"/>
      <c r="AC47" s="70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0"/>
      <c r="BA47" s="70"/>
      <c r="BB47" s="70"/>
      <c r="BC47" s="70"/>
      <c r="BD47" s="70"/>
      <c r="BE47" s="70"/>
      <c r="BF47" s="70"/>
      <c r="BG47" s="70"/>
      <c r="BH47" s="70"/>
      <c r="BI47" s="77"/>
      <c r="BJ47" s="77"/>
      <c r="BK47" s="77"/>
      <c r="BL47" s="77"/>
      <c r="BM47" s="77"/>
      <c r="BN47" s="77"/>
      <c r="BO47" s="77"/>
      <c r="BP47" s="77"/>
    </row>
    <row r="48" s="31" customFormat="1" customHeight="1" spans="1:68">
      <c r="A48" s="49" t="s">
        <v>169</v>
      </c>
      <c r="B48" s="50">
        <f t="shared" si="4"/>
        <v>43779</v>
      </c>
      <c r="C48" s="50">
        <f t="shared" si="0"/>
        <v>43785</v>
      </c>
      <c r="D48" s="44">
        <v>7</v>
      </c>
      <c r="E48" s="44">
        <v>140</v>
      </c>
      <c r="F48" s="55">
        <f t="shared" si="1"/>
        <v>980</v>
      </c>
      <c r="G48" s="55">
        <v>79.99</v>
      </c>
      <c r="H48" s="55"/>
      <c r="I48" s="55"/>
      <c r="J48" s="55"/>
      <c r="K48" s="55"/>
      <c r="L48" s="55"/>
      <c r="M48" s="55">
        <v>1500</v>
      </c>
      <c r="N48" s="55"/>
      <c r="O48" s="55"/>
      <c r="P48" s="55"/>
      <c r="Q48" s="55"/>
      <c r="R48" s="55"/>
      <c r="S48" s="68"/>
      <c r="T48" s="52">
        <f>($F$2+$G$2+$J$2+$G48*15%)*F48</f>
        <v>51232.93</v>
      </c>
      <c r="U48" s="52">
        <f>$F48*$H$2</f>
        <v>4606</v>
      </c>
      <c r="V48" s="52">
        <f>$H48*$S$2+$I48*$T$2+$K48*$U$2+$M48+$P48*$V$2+N48*F48</f>
        <v>1500</v>
      </c>
      <c r="W48" s="52">
        <f t="shared" si="2"/>
        <v>57338.93</v>
      </c>
      <c r="X48" s="52">
        <f t="shared" si="3"/>
        <v>78390.2</v>
      </c>
      <c r="Y48" s="70"/>
      <c r="Z48" s="70"/>
      <c r="AA48" s="70"/>
      <c r="AB48" s="70"/>
      <c r="AC48" s="70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0"/>
      <c r="BA48" s="70"/>
      <c r="BB48" s="70"/>
      <c r="BC48" s="70"/>
      <c r="BD48" s="70"/>
      <c r="BE48" s="70"/>
      <c r="BF48" s="70"/>
      <c r="BG48" s="70"/>
      <c r="BH48" s="70"/>
      <c r="BI48" s="77"/>
      <c r="BJ48" s="77"/>
      <c r="BK48" s="77"/>
      <c r="BL48" s="77"/>
      <c r="BM48" s="77"/>
      <c r="BN48" s="77"/>
      <c r="BO48" s="77"/>
      <c r="BP48" s="77"/>
    </row>
    <row r="49" s="31" customFormat="1" customHeight="1" spans="1:68">
      <c r="A49" s="49" t="s">
        <v>170</v>
      </c>
      <c r="B49" s="50">
        <f t="shared" si="4"/>
        <v>43786</v>
      </c>
      <c r="C49" s="50">
        <f t="shared" si="0"/>
        <v>43792</v>
      </c>
      <c r="D49" s="44">
        <v>7</v>
      </c>
      <c r="E49" s="44">
        <v>140</v>
      </c>
      <c r="F49" s="55">
        <f t="shared" si="1"/>
        <v>980</v>
      </c>
      <c r="G49" s="55">
        <v>79.99</v>
      </c>
      <c r="H49" s="55"/>
      <c r="I49" s="55"/>
      <c r="J49" s="55"/>
      <c r="K49" s="55"/>
      <c r="L49" s="55"/>
      <c r="M49" s="55">
        <v>1500</v>
      </c>
      <c r="N49" s="55"/>
      <c r="O49" s="55"/>
      <c r="P49" s="55"/>
      <c r="Q49" s="55"/>
      <c r="R49" s="55"/>
      <c r="S49" s="68"/>
      <c r="T49" s="52">
        <f>($F$2+$G$2+$J$2+$G49*15%)*F49</f>
        <v>51232.93</v>
      </c>
      <c r="U49" s="52">
        <f>$F49*$H$2</f>
        <v>4606</v>
      </c>
      <c r="V49" s="52">
        <f>$H49*$S$2+$I49*$T$2+$K49*$U$2+$M49+$P49*$V$2+N49*F49</f>
        <v>1500</v>
      </c>
      <c r="W49" s="52">
        <f t="shared" si="2"/>
        <v>57338.93</v>
      </c>
      <c r="X49" s="52">
        <f t="shared" si="3"/>
        <v>78390.2</v>
      </c>
      <c r="Y49" s="70"/>
      <c r="Z49" s="70"/>
      <c r="AA49" s="70"/>
      <c r="AB49" s="70"/>
      <c r="AC49" s="70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0"/>
      <c r="BA49" s="70"/>
      <c r="BB49" s="70"/>
      <c r="BC49" s="70"/>
      <c r="BD49" s="70"/>
      <c r="BE49" s="70"/>
      <c r="BF49" s="70"/>
      <c r="BG49" s="70"/>
      <c r="BH49" s="70"/>
      <c r="BI49" s="77"/>
      <c r="BJ49" s="77"/>
      <c r="BK49" s="77"/>
      <c r="BL49" s="77"/>
      <c r="BM49" s="77"/>
      <c r="BN49" s="77"/>
      <c r="BO49" s="77"/>
      <c r="BP49" s="77"/>
    </row>
    <row r="50" s="31" customFormat="1" customHeight="1" spans="1:68">
      <c r="A50" s="49" t="s">
        <v>171</v>
      </c>
      <c r="B50" s="50">
        <f t="shared" si="4"/>
        <v>43793</v>
      </c>
      <c r="C50" s="50">
        <f t="shared" si="0"/>
        <v>43799</v>
      </c>
      <c r="D50" s="44">
        <v>7</v>
      </c>
      <c r="E50" s="44">
        <v>140</v>
      </c>
      <c r="F50" s="55">
        <f t="shared" si="1"/>
        <v>980</v>
      </c>
      <c r="G50" s="55">
        <v>79.99</v>
      </c>
      <c r="H50" s="55"/>
      <c r="I50" s="55"/>
      <c r="J50" s="55"/>
      <c r="K50" s="55"/>
      <c r="L50" s="55"/>
      <c r="M50" s="55">
        <v>1500</v>
      </c>
      <c r="N50" s="55"/>
      <c r="O50" s="55"/>
      <c r="P50" s="55"/>
      <c r="Q50" s="55"/>
      <c r="R50" s="55"/>
      <c r="S50" s="68"/>
      <c r="T50" s="52">
        <f>($F$2+$G$2+$J$2+$G50*15%)*F50</f>
        <v>51232.93</v>
      </c>
      <c r="U50" s="52">
        <f>$F50*$H$2</f>
        <v>4606</v>
      </c>
      <c r="V50" s="52">
        <f>$H50*$S$2+$I50*$T$2+$K50*$U$2+$M50+$P50*$V$2+N50*F50</f>
        <v>1500</v>
      </c>
      <c r="W50" s="52">
        <f t="shared" si="2"/>
        <v>57338.93</v>
      </c>
      <c r="X50" s="52">
        <f t="shared" si="3"/>
        <v>78390.2</v>
      </c>
      <c r="Y50" s="70"/>
      <c r="Z50" s="70"/>
      <c r="AA50" s="70"/>
      <c r="AB50" s="70"/>
      <c r="AC50" s="70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0"/>
      <c r="BA50" s="70"/>
      <c r="BB50" s="70"/>
      <c r="BC50" s="70"/>
      <c r="BD50" s="70"/>
      <c r="BE50" s="70"/>
      <c r="BF50" s="70"/>
      <c r="BG50" s="70"/>
      <c r="BH50" s="70"/>
      <c r="BI50" s="77"/>
      <c r="BJ50" s="77"/>
      <c r="BK50" s="77"/>
      <c r="BL50" s="77"/>
      <c r="BM50" s="77"/>
      <c r="BN50" s="77"/>
      <c r="BO50" s="77"/>
      <c r="BP50" s="77"/>
    </row>
    <row r="51" s="31" customFormat="1" customHeight="1" spans="1:68">
      <c r="A51" s="49" t="s">
        <v>172</v>
      </c>
      <c r="B51" s="50">
        <f t="shared" si="4"/>
        <v>43800</v>
      </c>
      <c r="C51" s="50">
        <f t="shared" si="0"/>
        <v>43806</v>
      </c>
      <c r="D51" s="44">
        <v>7</v>
      </c>
      <c r="E51" s="44">
        <v>140</v>
      </c>
      <c r="F51" s="55">
        <f t="shared" si="1"/>
        <v>980</v>
      </c>
      <c r="G51" s="55">
        <v>79.99</v>
      </c>
      <c r="H51" s="55"/>
      <c r="I51" s="55"/>
      <c r="J51" s="55"/>
      <c r="K51" s="55"/>
      <c r="L51" s="55"/>
      <c r="M51" s="55">
        <v>1500</v>
      </c>
      <c r="N51" s="55"/>
      <c r="O51" s="55"/>
      <c r="P51" s="55"/>
      <c r="Q51" s="55"/>
      <c r="R51" s="55"/>
      <c r="S51" s="68"/>
      <c r="T51" s="52">
        <f>($F$2+$G$2+$J$2+$G51*15%)*F51</f>
        <v>51232.93</v>
      </c>
      <c r="U51" s="52">
        <f>$F51*$H$2</f>
        <v>4606</v>
      </c>
      <c r="V51" s="52">
        <f>$H51*$S$2+$I51*$T$2+$K51*$U$2+$M51+$P51*$V$2+N51*F51</f>
        <v>1500</v>
      </c>
      <c r="W51" s="52">
        <f t="shared" si="2"/>
        <v>57338.93</v>
      </c>
      <c r="X51" s="52">
        <f t="shared" si="3"/>
        <v>78390.2</v>
      </c>
      <c r="Y51" s="70"/>
      <c r="Z51" s="70"/>
      <c r="AA51" s="70"/>
      <c r="AB51" s="70"/>
      <c r="AC51" s="70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0"/>
      <c r="BA51" s="70"/>
      <c r="BB51" s="70"/>
      <c r="BC51" s="70"/>
      <c r="BD51" s="70"/>
      <c r="BE51" s="70"/>
      <c r="BF51" s="70"/>
      <c r="BG51" s="70"/>
      <c r="BH51" s="70"/>
      <c r="BI51" s="77"/>
      <c r="BJ51" s="77"/>
      <c r="BK51" s="77"/>
      <c r="BL51" s="77"/>
      <c r="BM51" s="77"/>
      <c r="BN51" s="77"/>
      <c r="BO51" s="77"/>
      <c r="BP51" s="77"/>
    </row>
    <row r="52" s="31" customFormat="1" customHeight="1" spans="1:68">
      <c r="A52" s="49" t="s">
        <v>173</v>
      </c>
      <c r="B52" s="50">
        <f t="shared" si="4"/>
        <v>43807</v>
      </c>
      <c r="C52" s="50">
        <f t="shared" si="0"/>
        <v>43813</v>
      </c>
      <c r="D52" s="44">
        <v>7</v>
      </c>
      <c r="E52" s="44">
        <v>140</v>
      </c>
      <c r="F52" s="55">
        <f t="shared" si="1"/>
        <v>980</v>
      </c>
      <c r="G52" s="55">
        <v>79.99</v>
      </c>
      <c r="H52" s="55"/>
      <c r="I52" s="55"/>
      <c r="J52" s="55"/>
      <c r="K52" s="55"/>
      <c r="L52" s="55"/>
      <c r="M52" s="55">
        <v>1500</v>
      </c>
      <c r="N52" s="55"/>
      <c r="O52" s="55"/>
      <c r="P52" s="55"/>
      <c r="Q52" s="55"/>
      <c r="R52" s="55"/>
      <c r="S52" s="68"/>
      <c r="T52" s="52">
        <f>($F$2+$G$2+$J$2+$G52*15%)*F52</f>
        <v>51232.93</v>
      </c>
      <c r="U52" s="52">
        <f>$F52*$H$2</f>
        <v>4606</v>
      </c>
      <c r="V52" s="52">
        <f>$H52*$S$2+$I52*$T$2+$K52*$U$2+$M52+$P52*$V$2+N52*F52</f>
        <v>1500</v>
      </c>
      <c r="W52" s="52">
        <f t="shared" si="2"/>
        <v>57338.93</v>
      </c>
      <c r="X52" s="52">
        <f t="shared" si="3"/>
        <v>78390.2</v>
      </c>
      <c r="Y52" s="70"/>
      <c r="Z52" s="70"/>
      <c r="AA52" s="70"/>
      <c r="AB52" s="70"/>
      <c r="AC52" s="70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0"/>
      <c r="BA52" s="70"/>
      <c r="BB52" s="70"/>
      <c r="BC52" s="70"/>
      <c r="BD52" s="70"/>
      <c r="BE52" s="70"/>
      <c r="BF52" s="70"/>
      <c r="BG52" s="70"/>
      <c r="BH52" s="70"/>
      <c r="BI52" s="77"/>
      <c r="BJ52" s="77"/>
      <c r="BK52" s="77"/>
      <c r="BL52" s="77"/>
      <c r="BM52" s="77"/>
      <c r="BN52" s="77"/>
      <c r="BO52" s="77"/>
      <c r="BP52" s="77"/>
    </row>
    <row r="53" s="31" customFormat="1" customHeight="1" spans="1:68">
      <c r="A53" s="49" t="s">
        <v>174</v>
      </c>
      <c r="B53" s="50">
        <f t="shared" si="4"/>
        <v>43814</v>
      </c>
      <c r="C53" s="50">
        <f t="shared" si="0"/>
        <v>43820</v>
      </c>
      <c r="D53" s="44">
        <v>7</v>
      </c>
      <c r="E53" s="44">
        <v>140</v>
      </c>
      <c r="F53" s="55">
        <f t="shared" si="1"/>
        <v>980</v>
      </c>
      <c r="G53" s="55">
        <v>79.99</v>
      </c>
      <c r="H53" s="55"/>
      <c r="I53" s="55"/>
      <c r="J53" s="55"/>
      <c r="K53" s="55"/>
      <c r="L53" s="55"/>
      <c r="M53" s="55">
        <v>1500</v>
      </c>
      <c r="N53" s="55"/>
      <c r="O53" s="55"/>
      <c r="P53" s="55"/>
      <c r="Q53" s="55"/>
      <c r="R53" s="55"/>
      <c r="S53" s="68"/>
      <c r="T53" s="52">
        <f>($F$2+$G$2+$J$2+$G53*15%)*F53</f>
        <v>51232.93</v>
      </c>
      <c r="U53" s="52">
        <f>$F53*$H$2</f>
        <v>4606</v>
      </c>
      <c r="V53" s="52">
        <f>$H53*$S$2+$I53*$T$2+$K53*$U$2+$M53+$P53*$V$2+N53*F53</f>
        <v>1500</v>
      </c>
      <c r="W53" s="52">
        <f t="shared" si="2"/>
        <v>57338.93</v>
      </c>
      <c r="X53" s="52">
        <f t="shared" si="3"/>
        <v>78390.2</v>
      </c>
      <c r="Y53" s="70"/>
      <c r="Z53" s="70"/>
      <c r="AA53" s="70"/>
      <c r="AB53" s="70"/>
      <c r="AC53" s="70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0"/>
      <c r="BA53" s="70"/>
      <c r="BB53" s="70"/>
      <c r="BC53" s="70"/>
      <c r="BD53" s="70"/>
      <c r="BE53" s="70"/>
      <c r="BF53" s="70"/>
      <c r="BG53" s="70"/>
      <c r="BH53" s="70"/>
      <c r="BI53" s="77"/>
      <c r="BJ53" s="77"/>
      <c r="BK53" s="77"/>
      <c r="BL53" s="77"/>
      <c r="BM53" s="77"/>
      <c r="BN53" s="77"/>
      <c r="BO53" s="77"/>
      <c r="BP53" s="77"/>
    </row>
    <row r="54" s="31" customFormat="1" customHeight="1" spans="1:68">
      <c r="A54" s="49" t="s">
        <v>175</v>
      </c>
      <c r="B54" s="50">
        <f t="shared" si="4"/>
        <v>43821</v>
      </c>
      <c r="C54" s="50">
        <f t="shared" si="0"/>
        <v>43827</v>
      </c>
      <c r="D54" s="44">
        <v>7</v>
      </c>
      <c r="E54" s="44">
        <v>140</v>
      </c>
      <c r="F54" s="55">
        <f t="shared" si="1"/>
        <v>980</v>
      </c>
      <c r="G54" s="55">
        <v>79.99</v>
      </c>
      <c r="H54" s="55"/>
      <c r="I54" s="55"/>
      <c r="J54" s="55"/>
      <c r="K54" s="55"/>
      <c r="L54" s="55"/>
      <c r="M54" s="55">
        <v>1500</v>
      </c>
      <c r="N54" s="55"/>
      <c r="O54" s="55"/>
      <c r="P54" s="55"/>
      <c r="Q54" s="55"/>
      <c r="R54" s="55"/>
      <c r="S54" s="68"/>
      <c r="T54" s="52">
        <f>($F$2+$G$2+$J$2+$G54*15%)*F54</f>
        <v>51232.93</v>
      </c>
      <c r="U54" s="52">
        <f>$F54*$H$2</f>
        <v>4606</v>
      </c>
      <c r="V54" s="52">
        <f>$H54*$S$2+$I54*$T$2+$K54*$U$2+$M54+$P54*$V$2+N54*F54</f>
        <v>1500</v>
      </c>
      <c r="W54" s="52">
        <f t="shared" si="2"/>
        <v>57338.93</v>
      </c>
      <c r="X54" s="52">
        <f t="shared" si="3"/>
        <v>78390.2</v>
      </c>
      <c r="Y54" s="70"/>
      <c r="Z54" s="70"/>
      <c r="AA54" s="70"/>
      <c r="AB54" s="70"/>
      <c r="AC54" s="70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0"/>
      <c r="BA54" s="70"/>
      <c r="BB54" s="70"/>
      <c r="BC54" s="70"/>
      <c r="BD54" s="70"/>
      <c r="BE54" s="70"/>
      <c r="BF54" s="70"/>
      <c r="BG54" s="70"/>
      <c r="BH54" s="70"/>
      <c r="BI54" s="77"/>
      <c r="BJ54" s="77"/>
      <c r="BK54" s="77"/>
      <c r="BL54" s="77"/>
      <c r="BM54" s="77"/>
      <c r="BN54" s="77"/>
      <c r="BO54" s="77"/>
      <c r="BP54" s="77"/>
    </row>
    <row r="55" s="31" customFormat="1" customHeight="1" spans="1:68">
      <c r="A55" s="49" t="s">
        <v>176</v>
      </c>
      <c r="B55" s="50">
        <f t="shared" si="4"/>
        <v>43828</v>
      </c>
      <c r="C55" s="50">
        <f t="shared" si="0"/>
        <v>43834</v>
      </c>
      <c r="D55" s="44">
        <v>7</v>
      </c>
      <c r="E55" s="44">
        <v>120</v>
      </c>
      <c r="F55" s="55">
        <f t="shared" si="1"/>
        <v>840</v>
      </c>
      <c r="G55" s="55">
        <v>79.99</v>
      </c>
      <c r="H55" s="55"/>
      <c r="I55" s="55"/>
      <c r="J55" s="55"/>
      <c r="K55" s="55"/>
      <c r="L55" s="55"/>
      <c r="M55" s="55">
        <v>1500</v>
      </c>
      <c r="N55" s="55"/>
      <c r="O55" s="55"/>
      <c r="P55" s="55"/>
      <c r="Q55" s="55"/>
      <c r="R55" s="55"/>
      <c r="S55" s="68"/>
      <c r="T55" s="52">
        <f>($F$2+$G$2+$J$2+$G55*15%)*F55</f>
        <v>43913.94</v>
      </c>
      <c r="U55" s="52">
        <f>$F55*$H$2</f>
        <v>3948</v>
      </c>
      <c r="V55" s="52">
        <f>$H55*$S$2+$I55*$T$2+$K55*$U$2+$M55+$P55*$V$2+N55*F55</f>
        <v>1500</v>
      </c>
      <c r="W55" s="52">
        <f t="shared" si="2"/>
        <v>49361.94</v>
      </c>
      <c r="X55" s="52">
        <f t="shared" si="3"/>
        <v>67191.6</v>
      </c>
      <c r="Y55" s="70"/>
      <c r="Z55" s="70"/>
      <c r="AA55" s="70"/>
      <c r="AB55" s="70"/>
      <c r="AC55" s="70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0"/>
      <c r="BA55" s="70"/>
      <c r="BB55" s="70"/>
      <c r="BC55" s="70"/>
      <c r="BD55" s="70"/>
      <c r="BE55" s="70"/>
      <c r="BF55" s="70"/>
      <c r="BG55" s="70"/>
      <c r="BH55" s="70"/>
      <c r="BI55" s="77"/>
      <c r="BJ55" s="77"/>
      <c r="BK55" s="77"/>
      <c r="BL55" s="77"/>
      <c r="BM55" s="77"/>
      <c r="BN55" s="77"/>
      <c r="BO55" s="77"/>
      <c r="BP55" s="77"/>
    </row>
    <row r="56" s="31" customFormat="1" customHeight="1" spans="1:68">
      <c r="A56" s="49" t="s">
        <v>177</v>
      </c>
      <c r="B56" s="50">
        <f t="shared" si="4"/>
        <v>43835</v>
      </c>
      <c r="C56" s="50">
        <f t="shared" si="0"/>
        <v>43841</v>
      </c>
      <c r="D56" s="44">
        <v>7</v>
      </c>
      <c r="E56" s="44">
        <v>120</v>
      </c>
      <c r="F56" s="55">
        <f t="shared" si="1"/>
        <v>840</v>
      </c>
      <c r="G56" s="55">
        <v>79.99</v>
      </c>
      <c r="H56" s="55"/>
      <c r="I56" s="55"/>
      <c r="J56" s="55"/>
      <c r="K56" s="55"/>
      <c r="L56" s="55"/>
      <c r="M56" s="55">
        <v>1500</v>
      </c>
      <c r="N56" s="55"/>
      <c r="O56" s="55"/>
      <c r="P56" s="55"/>
      <c r="Q56" s="55"/>
      <c r="R56" s="55"/>
      <c r="S56" s="68"/>
      <c r="T56" s="52">
        <f>($F$2+$G$2+$J$2+$G56*15%)*F56</f>
        <v>43913.94</v>
      </c>
      <c r="U56" s="52">
        <f>$F56*$H$2</f>
        <v>3948</v>
      </c>
      <c r="V56" s="52">
        <f>$H56*$S$2+$I56*$T$2+$K56*$U$2+$M56+$P56*$V$2+N56*F56</f>
        <v>1500</v>
      </c>
      <c r="W56" s="52">
        <f t="shared" si="2"/>
        <v>49361.94</v>
      </c>
      <c r="X56" s="52">
        <f t="shared" si="3"/>
        <v>67191.6</v>
      </c>
      <c r="Y56" s="70"/>
      <c r="Z56" s="70"/>
      <c r="AA56" s="70"/>
      <c r="AB56" s="70"/>
      <c r="AC56" s="70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0"/>
      <c r="BA56" s="70"/>
      <c r="BB56" s="70"/>
      <c r="BC56" s="70"/>
      <c r="BD56" s="70"/>
      <c r="BE56" s="70"/>
      <c r="BF56" s="70"/>
      <c r="BG56" s="70"/>
      <c r="BH56" s="70"/>
      <c r="BI56" s="77"/>
      <c r="BJ56" s="77"/>
      <c r="BK56" s="77"/>
      <c r="BL56" s="77"/>
      <c r="BM56" s="77"/>
      <c r="BN56" s="77"/>
      <c r="BO56" s="77"/>
      <c r="BP56" s="77"/>
    </row>
    <row r="57" s="31" customFormat="1" customHeight="1" spans="1:68">
      <c r="A57" s="49" t="s">
        <v>178</v>
      </c>
      <c r="B57" s="50">
        <f t="shared" si="4"/>
        <v>43842</v>
      </c>
      <c r="C57" s="50">
        <f t="shared" si="0"/>
        <v>43848</v>
      </c>
      <c r="D57" s="44">
        <v>7</v>
      </c>
      <c r="E57" s="44">
        <v>120</v>
      </c>
      <c r="F57" s="55">
        <f t="shared" si="1"/>
        <v>840</v>
      </c>
      <c r="G57" s="55">
        <v>79.99</v>
      </c>
      <c r="H57" s="55"/>
      <c r="I57" s="55"/>
      <c r="J57" s="55"/>
      <c r="K57" s="55"/>
      <c r="L57" s="55"/>
      <c r="M57" s="55">
        <v>1500</v>
      </c>
      <c r="N57" s="55"/>
      <c r="O57" s="55"/>
      <c r="P57" s="55"/>
      <c r="Q57" s="55"/>
      <c r="R57" s="55"/>
      <c r="S57" s="68"/>
      <c r="T57" s="52">
        <f>($F$2+$G$2+$J$2+$G57*15%)*F57</f>
        <v>43913.94</v>
      </c>
      <c r="U57" s="52">
        <f>$F57*$H$2</f>
        <v>3948</v>
      </c>
      <c r="V57" s="52">
        <f>$H57*$S$2+$I57*$T$2+$K57*$U$2+$M57+$P57*$V$2+N57*F57</f>
        <v>1500</v>
      </c>
      <c r="W57" s="52">
        <f t="shared" si="2"/>
        <v>49361.94</v>
      </c>
      <c r="X57" s="52">
        <f t="shared" si="3"/>
        <v>67191.6</v>
      </c>
      <c r="Y57" s="70"/>
      <c r="Z57" s="70"/>
      <c r="AA57" s="70"/>
      <c r="AB57" s="70"/>
      <c r="AC57" s="70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0"/>
      <c r="BA57" s="70"/>
      <c r="BB57" s="70"/>
      <c r="BC57" s="70"/>
      <c r="BD57" s="70"/>
      <c r="BE57" s="70"/>
      <c r="BF57" s="70"/>
      <c r="BG57" s="70"/>
      <c r="BH57" s="70"/>
      <c r="BI57" s="77"/>
      <c r="BJ57" s="77"/>
      <c r="BK57" s="77"/>
      <c r="BL57" s="77"/>
      <c r="BM57" s="77"/>
      <c r="BN57" s="77"/>
      <c r="BO57" s="77"/>
      <c r="BP57" s="77"/>
    </row>
    <row r="58" s="31" customFormat="1" customHeight="1" spans="1:68">
      <c r="A58" s="49" t="s">
        <v>179</v>
      </c>
      <c r="B58" s="50">
        <f t="shared" si="4"/>
        <v>43849</v>
      </c>
      <c r="C58" s="50">
        <f t="shared" si="0"/>
        <v>43855</v>
      </c>
      <c r="D58" s="44">
        <v>7</v>
      </c>
      <c r="E58" s="44">
        <v>120</v>
      </c>
      <c r="F58" s="55">
        <f t="shared" si="1"/>
        <v>840</v>
      </c>
      <c r="G58" s="55">
        <v>79.99</v>
      </c>
      <c r="H58" s="55"/>
      <c r="I58" s="55"/>
      <c r="J58" s="55"/>
      <c r="K58" s="55"/>
      <c r="L58" s="55"/>
      <c r="M58" s="55">
        <v>1500</v>
      </c>
      <c r="N58" s="55"/>
      <c r="O58" s="55"/>
      <c r="P58" s="55"/>
      <c r="Q58" s="55"/>
      <c r="R58" s="55"/>
      <c r="S58" s="68"/>
      <c r="T58" s="52">
        <f>($F$2+$G$2+$J$2+$G58*15%)*F58</f>
        <v>43913.94</v>
      </c>
      <c r="U58" s="52">
        <f>$F58*$H$2</f>
        <v>3948</v>
      </c>
      <c r="V58" s="52">
        <f>$H58*$S$2+$I58*$T$2+$K58*$U$2+$M58+$P58*$V$2+N58*F58</f>
        <v>1500</v>
      </c>
      <c r="W58" s="52">
        <f t="shared" si="2"/>
        <v>49361.94</v>
      </c>
      <c r="X58" s="52">
        <f t="shared" si="3"/>
        <v>67191.6</v>
      </c>
      <c r="Y58" s="70"/>
      <c r="Z58" s="70"/>
      <c r="AA58" s="70"/>
      <c r="AB58" s="70"/>
      <c r="AC58" s="70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0"/>
      <c r="BA58" s="70"/>
      <c r="BB58" s="70"/>
      <c r="BC58" s="70"/>
      <c r="BD58" s="70"/>
      <c r="BE58" s="70"/>
      <c r="BF58" s="70"/>
      <c r="BG58" s="70"/>
      <c r="BH58" s="70"/>
      <c r="BI58" s="77"/>
      <c r="BJ58" s="77"/>
      <c r="BK58" s="77"/>
      <c r="BL58" s="77"/>
      <c r="BM58" s="77"/>
      <c r="BN58" s="77"/>
      <c r="BO58" s="77"/>
      <c r="BP58" s="77"/>
    </row>
    <row r="59" s="31" customFormat="1" customHeight="1" spans="1:68">
      <c r="A59" s="49" t="s">
        <v>180</v>
      </c>
      <c r="B59" s="50">
        <f t="shared" si="4"/>
        <v>43856</v>
      </c>
      <c r="C59" s="50">
        <f t="shared" si="0"/>
        <v>43862</v>
      </c>
      <c r="D59" s="44">
        <v>7</v>
      </c>
      <c r="E59" s="44">
        <v>120</v>
      </c>
      <c r="F59" s="55">
        <f t="shared" si="1"/>
        <v>840</v>
      </c>
      <c r="G59" s="55">
        <v>79.99</v>
      </c>
      <c r="H59" s="55"/>
      <c r="I59" s="55"/>
      <c r="J59" s="55"/>
      <c r="K59" s="55"/>
      <c r="L59" s="55"/>
      <c r="M59" s="55">
        <v>1500</v>
      </c>
      <c r="N59" s="55"/>
      <c r="O59" s="55"/>
      <c r="P59" s="55"/>
      <c r="Q59" s="55"/>
      <c r="R59" s="55"/>
      <c r="S59" s="68"/>
      <c r="T59" s="52">
        <f>($F$2+$G$2+$J$2+$G59*15%)*F59</f>
        <v>43913.94</v>
      </c>
      <c r="U59" s="52">
        <f>$F59*$H$2</f>
        <v>3948</v>
      </c>
      <c r="V59" s="52">
        <f>$H59*$S$2+$I59*$T$2+$K59*$U$2+$M59+$P59*$V$2+N59*F59</f>
        <v>1500</v>
      </c>
      <c r="W59" s="52">
        <f t="shared" si="2"/>
        <v>49361.94</v>
      </c>
      <c r="X59" s="52">
        <f t="shared" si="3"/>
        <v>67191.6</v>
      </c>
      <c r="Y59" s="70"/>
      <c r="Z59" s="70"/>
      <c r="AA59" s="70"/>
      <c r="AB59" s="70"/>
      <c r="AC59" s="70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0"/>
      <c r="BA59" s="70"/>
      <c r="BB59" s="70"/>
      <c r="BC59" s="70"/>
      <c r="BD59" s="70"/>
      <c r="BE59" s="70"/>
      <c r="BF59" s="70"/>
      <c r="BG59" s="70"/>
      <c r="BH59" s="70"/>
      <c r="BI59" s="77"/>
      <c r="BJ59" s="77"/>
      <c r="BK59" s="77"/>
      <c r="BL59" s="77"/>
      <c r="BM59" s="77"/>
      <c r="BN59" s="77"/>
      <c r="BO59" s="77"/>
      <c r="BP59" s="77"/>
    </row>
    <row r="60" s="31" customFormat="1" customHeight="1" spans="1:68">
      <c r="A60" s="49" t="s">
        <v>181</v>
      </c>
      <c r="B60" s="50">
        <f t="shared" si="4"/>
        <v>43863</v>
      </c>
      <c r="C60" s="50">
        <f t="shared" si="0"/>
        <v>43869</v>
      </c>
      <c r="D60" s="44">
        <v>7</v>
      </c>
      <c r="E60" s="44">
        <v>130</v>
      </c>
      <c r="F60" s="55">
        <f t="shared" si="1"/>
        <v>910</v>
      </c>
      <c r="G60" s="55">
        <v>79.99</v>
      </c>
      <c r="H60" s="55"/>
      <c r="I60" s="55"/>
      <c r="J60" s="55"/>
      <c r="K60" s="55"/>
      <c r="L60" s="55"/>
      <c r="M60" s="55">
        <v>1500</v>
      </c>
      <c r="N60" s="55"/>
      <c r="O60" s="55"/>
      <c r="P60" s="55"/>
      <c r="Q60" s="55"/>
      <c r="R60" s="55"/>
      <c r="S60" s="68"/>
      <c r="T60" s="52">
        <f>($F$2+$G$2+$J$2+$G60*15%)*F60</f>
        <v>47573.435</v>
      </c>
      <c r="U60" s="52">
        <f>$F60*$H$2</f>
        <v>4277</v>
      </c>
      <c r="V60" s="52">
        <f>$H60*$S$2+$I60*$T$2+$K60*$U$2+$M60+$P60*$V$2+N60*F60</f>
        <v>1500</v>
      </c>
      <c r="W60" s="52">
        <f t="shared" si="2"/>
        <v>53350.435</v>
      </c>
      <c r="X60" s="52">
        <f t="shared" si="3"/>
        <v>72790.9</v>
      </c>
      <c r="Y60" s="70"/>
      <c r="Z60" s="70"/>
      <c r="AA60" s="70"/>
      <c r="AB60" s="70"/>
      <c r="AC60" s="70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0"/>
      <c r="BA60" s="70"/>
      <c r="BB60" s="70"/>
      <c r="BC60" s="70"/>
      <c r="BD60" s="70"/>
      <c r="BE60" s="70"/>
      <c r="BF60" s="70"/>
      <c r="BG60" s="70"/>
      <c r="BH60" s="70"/>
      <c r="BI60" s="77"/>
      <c r="BJ60" s="77"/>
      <c r="BK60" s="77"/>
      <c r="BL60" s="77"/>
      <c r="BM60" s="77"/>
      <c r="BN60" s="77"/>
      <c r="BO60" s="77"/>
      <c r="BP60" s="77"/>
    </row>
    <row r="61" s="31" customFormat="1" customHeight="1" spans="1:68">
      <c r="A61" s="49" t="s">
        <v>182</v>
      </c>
      <c r="B61" s="50">
        <f t="shared" si="4"/>
        <v>43870</v>
      </c>
      <c r="C61" s="50">
        <f t="shared" si="0"/>
        <v>43876</v>
      </c>
      <c r="D61" s="44">
        <v>7</v>
      </c>
      <c r="E61" s="44">
        <v>130</v>
      </c>
      <c r="F61" s="55">
        <f t="shared" si="1"/>
        <v>910</v>
      </c>
      <c r="G61" s="55">
        <v>79.99</v>
      </c>
      <c r="H61" s="55"/>
      <c r="I61" s="55"/>
      <c r="J61" s="55"/>
      <c r="K61" s="55"/>
      <c r="L61" s="55"/>
      <c r="M61" s="55">
        <v>1500</v>
      </c>
      <c r="N61" s="55"/>
      <c r="O61" s="55"/>
      <c r="P61" s="55"/>
      <c r="Q61" s="55"/>
      <c r="R61" s="55"/>
      <c r="S61" s="68"/>
      <c r="T61" s="52">
        <f>($F$2+$G$2+$J$2+$G61*15%)*F61</f>
        <v>47573.435</v>
      </c>
      <c r="U61" s="52">
        <f>$F61*$H$2</f>
        <v>4277</v>
      </c>
      <c r="V61" s="52">
        <f>$H61*$S$2+$I61*$T$2+$K61*$U$2+$M61+$P61*$V$2+N61*F61</f>
        <v>1500</v>
      </c>
      <c r="W61" s="52">
        <f t="shared" si="2"/>
        <v>53350.435</v>
      </c>
      <c r="X61" s="52">
        <f t="shared" si="3"/>
        <v>72790.9</v>
      </c>
      <c r="Y61" s="70"/>
      <c r="Z61" s="70"/>
      <c r="AA61" s="70"/>
      <c r="AB61" s="70"/>
      <c r="AC61" s="70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0"/>
      <c r="BA61" s="70"/>
      <c r="BB61" s="70"/>
      <c r="BC61" s="70"/>
      <c r="BD61" s="70"/>
      <c r="BE61" s="70"/>
      <c r="BF61" s="70"/>
      <c r="BG61" s="70"/>
      <c r="BH61" s="70"/>
      <c r="BI61" s="77"/>
      <c r="BJ61" s="77"/>
      <c r="BK61" s="77"/>
      <c r="BL61" s="77"/>
      <c r="BM61" s="77"/>
      <c r="BN61" s="77"/>
      <c r="BO61" s="77"/>
      <c r="BP61" s="77"/>
    </row>
    <row r="62" s="31" customFormat="1" customHeight="1" spans="1:68">
      <c r="A62" s="49" t="s">
        <v>183</v>
      </c>
      <c r="B62" s="50">
        <f t="shared" si="4"/>
        <v>43877</v>
      </c>
      <c r="C62" s="50">
        <f t="shared" si="0"/>
        <v>43883</v>
      </c>
      <c r="D62" s="44">
        <v>7</v>
      </c>
      <c r="E62" s="44">
        <v>130</v>
      </c>
      <c r="F62" s="55">
        <f t="shared" si="1"/>
        <v>910</v>
      </c>
      <c r="G62" s="55">
        <v>79.99</v>
      </c>
      <c r="H62" s="55"/>
      <c r="I62" s="55"/>
      <c r="J62" s="55"/>
      <c r="K62" s="55"/>
      <c r="L62" s="55"/>
      <c r="M62" s="55">
        <v>1500</v>
      </c>
      <c r="N62" s="55"/>
      <c r="O62" s="55"/>
      <c r="P62" s="55"/>
      <c r="Q62" s="55"/>
      <c r="R62" s="55"/>
      <c r="S62" s="68"/>
      <c r="T62" s="52">
        <f>($F$2+$G$2+$J$2+$G62*15%)*F62</f>
        <v>47573.435</v>
      </c>
      <c r="U62" s="52">
        <f>$F62*$H$2</f>
        <v>4277</v>
      </c>
      <c r="V62" s="52">
        <f>$H62*$S$2+$I62*$T$2+$K62*$U$2+$M62+$P62*$V$2+N62*F62</f>
        <v>1500</v>
      </c>
      <c r="W62" s="52">
        <f t="shared" si="2"/>
        <v>53350.435</v>
      </c>
      <c r="X62" s="52">
        <f t="shared" si="3"/>
        <v>72790.9</v>
      </c>
      <c r="Y62" s="70"/>
      <c r="Z62" s="70"/>
      <c r="AA62" s="70"/>
      <c r="AB62" s="70"/>
      <c r="AC62" s="70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0"/>
      <c r="BA62" s="70"/>
      <c r="BB62" s="70"/>
      <c r="BC62" s="70"/>
      <c r="BD62" s="70"/>
      <c r="BE62" s="70"/>
      <c r="BF62" s="70"/>
      <c r="BG62" s="70"/>
      <c r="BH62" s="70"/>
      <c r="BI62" s="77"/>
      <c r="BJ62" s="77"/>
      <c r="BK62" s="77"/>
      <c r="BL62" s="77"/>
      <c r="BM62" s="77"/>
      <c r="BN62" s="77"/>
      <c r="BO62" s="77"/>
      <c r="BP62" s="77"/>
    </row>
    <row r="63" s="31" customFormat="1" customHeight="1" spans="1:68">
      <c r="A63" s="49" t="s">
        <v>184</v>
      </c>
      <c r="B63" s="50">
        <f t="shared" si="4"/>
        <v>43884</v>
      </c>
      <c r="C63" s="50">
        <f t="shared" si="0"/>
        <v>43890</v>
      </c>
      <c r="D63" s="44">
        <v>7</v>
      </c>
      <c r="E63" s="44">
        <v>130</v>
      </c>
      <c r="F63" s="55">
        <f t="shared" si="1"/>
        <v>910</v>
      </c>
      <c r="G63" s="55">
        <v>79.99</v>
      </c>
      <c r="H63" s="55"/>
      <c r="I63" s="55"/>
      <c r="J63" s="55"/>
      <c r="K63" s="55"/>
      <c r="L63" s="55"/>
      <c r="M63" s="55">
        <v>1500</v>
      </c>
      <c r="N63" s="55"/>
      <c r="O63" s="55"/>
      <c r="P63" s="55"/>
      <c r="Q63" s="55"/>
      <c r="R63" s="55"/>
      <c r="S63" s="68"/>
      <c r="T63" s="52">
        <f>($F$2+$G$2+$J$2+$G63*15%)*F63</f>
        <v>47573.435</v>
      </c>
      <c r="U63" s="52">
        <f>$F63*$H$2</f>
        <v>4277</v>
      </c>
      <c r="V63" s="52">
        <f>$H63*$S$2+$I63*$T$2+$K63*$U$2+$M63+$P63*$V$2+N63*F63</f>
        <v>1500</v>
      </c>
      <c r="W63" s="52">
        <f t="shared" si="2"/>
        <v>53350.435</v>
      </c>
      <c r="X63" s="52">
        <f t="shared" si="3"/>
        <v>72790.9</v>
      </c>
      <c r="Y63" s="70"/>
      <c r="Z63" s="70"/>
      <c r="AA63" s="70"/>
      <c r="AB63" s="70"/>
      <c r="AC63" s="70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0"/>
      <c r="BA63" s="70"/>
      <c r="BB63" s="70"/>
      <c r="BC63" s="70"/>
      <c r="BD63" s="70"/>
      <c r="BE63" s="70"/>
      <c r="BF63" s="70"/>
      <c r="BG63" s="70"/>
      <c r="BH63" s="70"/>
      <c r="BI63" s="77"/>
      <c r="BJ63" s="77"/>
      <c r="BK63" s="77"/>
      <c r="BL63" s="77"/>
      <c r="BM63" s="77"/>
      <c r="BN63" s="77"/>
      <c r="BO63" s="77"/>
      <c r="BP63" s="77"/>
    </row>
    <row r="64" s="31" customFormat="1" customHeight="1" spans="1:68">
      <c r="A64" s="49" t="s">
        <v>185</v>
      </c>
      <c r="B64" s="50">
        <f t="shared" si="4"/>
        <v>43891</v>
      </c>
      <c r="C64" s="50">
        <f t="shared" si="0"/>
        <v>43897</v>
      </c>
      <c r="D64" s="44">
        <v>7</v>
      </c>
      <c r="E64" s="44">
        <v>130</v>
      </c>
      <c r="F64" s="55">
        <f t="shared" si="1"/>
        <v>910</v>
      </c>
      <c r="G64" s="55">
        <v>79.99</v>
      </c>
      <c r="H64" s="55"/>
      <c r="I64" s="55"/>
      <c r="J64" s="55"/>
      <c r="K64" s="55"/>
      <c r="L64" s="55"/>
      <c r="M64" s="55">
        <v>1500</v>
      </c>
      <c r="N64" s="55"/>
      <c r="O64" s="55"/>
      <c r="P64" s="55"/>
      <c r="Q64" s="55"/>
      <c r="R64" s="55"/>
      <c r="S64" s="68"/>
      <c r="T64" s="52">
        <f>($F$2+$G$2+$J$2+$G64*15%)*F64</f>
        <v>47573.435</v>
      </c>
      <c r="U64" s="52">
        <f>$F64*$H$2</f>
        <v>4277</v>
      </c>
      <c r="V64" s="52">
        <f>$H64*$S$2+$I64*$T$2+$K64*$U$2+$M64+$P64*$V$2+N64*F64</f>
        <v>1500</v>
      </c>
      <c r="W64" s="52">
        <f t="shared" si="2"/>
        <v>53350.435</v>
      </c>
      <c r="X64" s="52">
        <f t="shared" si="3"/>
        <v>72790.9</v>
      </c>
      <c r="Y64" s="70"/>
      <c r="Z64" s="70"/>
      <c r="AA64" s="70"/>
      <c r="AB64" s="70"/>
      <c r="AC64" s="70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0"/>
      <c r="BA64" s="70"/>
      <c r="BB64" s="70"/>
      <c r="BC64" s="70"/>
      <c r="BD64" s="70"/>
      <c r="BE64" s="70"/>
      <c r="BF64" s="70"/>
      <c r="BG64" s="70"/>
      <c r="BH64" s="70"/>
      <c r="BI64" s="77"/>
      <c r="BJ64" s="77"/>
      <c r="BK64" s="77"/>
      <c r="BL64" s="77"/>
      <c r="BM64" s="77"/>
      <c r="BN64" s="77"/>
      <c r="BO64" s="77"/>
      <c r="BP64" s="77"/>
    </row>
    <row r="65" s="31" customFormat="1" customHeight="1" spans="1:68">
      <c r="A65" s="49" t="s">
        <v>186</v>
      </c>
      <c r="B65" s="50">
        <f t="shared" si="4"/>
        <v>43898</v>
      </c>
      <c r="C65" s="50">
        <f t="shared" si="0"/>
        <v>43904</v>
      </c>
      <c r="D65" s="44">
        <v>7</v>
      </c>
      <c r="E65" s="44">
        <v>130</v>
      </c>
      <c r="F65" s="55">
        <f t="shared" si="1"/>
        <v>910</v>
      </c>
      <c r="G65" s="55">
        <v>79.99</v>
      </c>
      <c r="H65" s="55"/>
      <c r="I65" s="55"/>
      <c r="J65" s="55"/>
      <c r="K65" s="55"/>
      <c r="L65" s="55"/>
      <c r="M65" s="55">
        <v>1500</v>
      </c>
      <c r="N65" s="55"/>
      <c r="O65" s="55"/>
      <c r="P65" s="55"/>
      <c r="Q65" s="55"/>
      <c r="R65" s="55"/>
      <c r="S65" s="68"/>
      <c r="T65" s="52">
        <f>($F$2+$G$2+$J$2+$G65*15%)*F65</f>
        <v>47573.435</v>
      </c>
      <c r="U65" s="52">
        <f>$F65*$H$2</f>
        <v>4277</v>
      </c>
      <c r="V65" s="52">
        <f>$H65*$S$2+$I65*$T$2+$K65*$U$2+$M65+$P65*$V$2+N65*F65</f>
        <v>1500</v>
      </c>
      <c r="W65" s="52">
        <f t="shared" si="2"/>
        <v>53350.435</v>
      </c>
      <c r="X65" s="52">
        <f t="shared" si="3"/>
        <v>72790.9</v>
      </c>
      <c r="Y65" s="70"/>
      <c r="Z65" s="70"/>
      <c r="AA65" s="70"/>
      <c r="AB65" s="70"/>
      <c r="AC65" s="70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0"/>
      <c r="BA65" s="70"/>
      <c r="BB65" s="70"/>
      <c r="BC65" s="70"/>
      <c r="BD65" s="70"/>
      <c r="BE65" s="70"/>
      <c r="BF65" s="70"/>
      <c r="BG65" s="70"/>
      <c r="BH65" s="70"/>
      <c r="BI65" s="77"/>
      <c r="BJ65" s="77"/>
      <c r="BK65" s="77"/>
      <c r="BL65" s="77"/>
      <c r="BM65" s="77"/>
      <c r="BN65" s="77"/>
      <c r="BO65" s="77"/>
      <c r="BP65" s="77"/>
    </row>
    <row r="66" s="31" customFormat="1" customHeight="1" spans="1:68">
      <c r="A66" s="49" t="s">
        <v>187</v>
      </c>
      <c r="B66" s="50">
        <f t="shared" si="4"/>
        <v>43905</v>
      </c>
      <c r="C66" s="50">
        <f t="shared" si="0"/>
        <v>43911</v>
      </c>
      <c r="D66" s="44">
        <v>7</v>
      </c>
      <c r="E66" s="44">
        <v>130</v>
      </c>
      <c r="F66" s="55">
        <f t="shared" si="1"/>
        <v>910</v>
      </c>
      <c r="G66" s="55">
        <v>79.99</v>
      </c>
      <c r="H66" s="55"/>
      <c r="I66" s="55"/>
      <c r="J66" s="55"/>
      <c r="K66" s="55"/>
      <c r="L66" s="55"/>
      <c r="M66" s="55">
        <v>1500</v>
      </c>
      <c r="N66" s="55"/>
      <c r="O66" s="55"/>
      <c r="P66" s="55"/>
      <c r="Q66" s="55"/>
      <c r="R66" s="55"/>
      <c r="S66" s="68"/>
      <c r="T66" s="52">
        <f>($F$2+$G$2+$J$2+$G66*15%)*F66</f>
        <v>47573.435</v>
      </c>
      <c r="U66" s="52">
        <f>$F66*$H$2</f>
        <v>4277</v>
      </c>
      <c r="V66" s="52">
        <f>$H66*$S$2+$I66*$T$2+$K66*$U$2+$M66+$P66*$V$2+N66*F66</f>
        <v>1500</v>
      </c>
      <c r="W66" s="52">
        <f t="shared" si="2"/>
        <v>53350.435</v>
      </c>
      <c r="X66" s="52">
        <f t="shared" si="3"/>
        <v>72790.9</v>
      </c>
      <c r="Y66" s="70"/>
      <c r="Z66" s="70"/>
      <c r="AA66" s="70"/>
      <c r="AB66" s="70"/>
      <c r="AC66" s="70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0"/>
      <c r="BA66" s="70"/>
      <c r="BB66" s="70"/>
      <c r="BC66" s="70"/>
      <c r="BD66" s="70"/>
      <c r="BE66" s="70"/>
      <c r="BF66" s="70"/>
      <c r="BG66" s="70"/>
      <c r="BH66" s="70"/>
      <c r="BI66" s="77"/>
      <c r="BJ66" s="77"/>
      <c r="BK66" s="77"/>
      <c r="BL66" s="77"/>
      <c r="BM66" s="77"/>
      <c r="BN66" s="77"/>
      <c r="BO66" s="77"/>
      <c r="BP66" s="77"/>
    </row>
    <row r="67" s="31" customFormat="1" customHeight="1" spans="1:68">
      <c r="A67" s="49" t="s">
        <v>188</v>
      </c>
      <c r="B67" s="50">
        <f t="shared" si="4"/>
        <v>43912</v>
      </c>
      <c r="C67" s="50">
        <f t="shared" si="0"/>
        <v>43918</v>
      </c>
      <c r="D67" s="44">
        <v>7</v>
      </c>
      <c r="E67" s="44">
        <v>130</v>
      </c>
      <c r="F67" s="55">
        <f t="shared" si="1"/>
        <v>910</v>
      </c>
      <c r="G67" s="55">
        <v>79.99</v>
      </c>
      <c r="H67" s="55"/>
      <c r="I67" s="55"/>
      <c r="J67" s="55"/>
      <c r="K67" s="55"/>
      <c r="L67" s="55"/>
      <c r="M67" s="55">
        <v>1500</v>
      </c>
      <c r="N67" s="55"/>
      <c r="O67" s="55"/>
      <c r="P67" s="55"/>
      <c r="Q67" s="55"/>
      <c r="R67" s="55"/>
      <c r="S67" s="68"/>
      <c r="T67" s="52">
        <f>($F$2+$G$2+$J$2+$G67*15%)*F67</f>
        <v>47573.435</v>
      </c>
      <c r="U67" s="52">
        <f>$F67*$H$2</f>
        <v>4277</v>
      </c>
      <c r="V67" s="52">
        <f>$H67*$S$2+$I67*$T$2+$K67*$U$2+$M67+$P67*$V$2+N67*F67</f>
        <v>1500</v>
      </c>
      <c r="W67" s="52">
        <f t="shared" si="2"/>
        <v>53350.435</v>
      </c>
      <c r="X67" s="52">
        <f t="shared" si="3"/>
        <v>72790.9</v>
      </c>
      <c r="Y67" s="70"/>
      <c r="Z67" s="70"/>
      <c r="AA67" s="70"/>
      <c r="AB67" s="70"/>
      <c r="AC67" s="70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0"/>
      <c r="BA67" s="70"/>
      <c r="BB67" s="70"/>
      <c r="BC67" s="70"/>
      <c r="BD67" s="70"/>
      <c r="BE67" s="70"/>
      <c r="BF67" s="70"/>
      <c r="BG67" s="70"/>
      <c r="BH67" s="70"/>
      <c r="BI67" s="77"/>
      <c r="BJ67" s="77"/>
      <c r="BK67" s="77"/>
      <c r="BL67" s="77"/>
      <c r="BM67" s="77"/>
      <c r="BN67" s="77"/>
      <c r="BO67" s="77"/>
      <c r="BP67" s="77"/>
    </row>
    <row r="68" s="31" customFormat="1" customHeight="1" spans="1:68">
      <c r="A68" s="49" t="s">
        <v>189</v>
      </c>
      <c r="B68" s="50">
        <f t="shared" si="4"/>
        <v>43919</v>
      </c>
      <c r="C68" s="50">
        <f t="shared" si="0"/>
        <v>43925</v>
      </c>
      <c r="D68" s="44">
        <v>7</v>
      </c>
      <c r="E68" s="44">
        <v>130</v>
      </c>
      <c r="F68" s="55">
        <f t="shared" si="1"/>
        <v>910</v>
      </c>
      <c r="G68" s="55">
        <v>79.99</v>
      </c>
      <c r="H68" s="55"/>
      <c r="I68" s="55"/>
      <c r="J68" s="55"/>
      <c r="K68" s="55"/>
      <c r="L68" s="55"/>
      <c r="M68" s="55">
        <v>1500</v>
      </c>
      <c r="N68" s="55"/>
      <c r="O68" s="55"/>
      <c r="P68" s="55"/>
      <c r="Q68" s="55"/>
      <c r="R68" s="55"/>
      <c r="S68" s="68"/>
      <c r="T68" s="52">
        <f>($F$2+$G$2+$J$2+$G68*15%)*F68</f>
        <v>47573.435</v>
      </c>
      <c r="U68" s="52">
        <f>$F68*$H$2</f>
        <v>4277</v>
      </c>
      <c r="V68" s="52">
        <f>$H68*$S$2+$I68*$T$2+$K68*$U$2+$M68+$P68*$V$2+N68*F68</f>
        <v>1500</v>
      </c>
      <c r="W68" s="52">
        <f t="shared" si="2"/>
        <v>53350.435</v>
      </c>
      <c r="X68" s="52">
        <f t="shared" si="3"/>
        <v>72790.9</v>
      </c>
      <c r="Y68" s="70"/>
      <c r="Z68" s="70"/>
      <c r="AA68" s="70"/>
      <c r="AB68" s="70"/>
      <c r="AC68" s="70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0"/>
      <c r="BA68" s="70"/>
      <c r="BB68" s="70"/>
      <c r="BC68" s="70"/>
      <c r="BD68" s="70"/>
      <c r="BE68" s="70"/>
      <c r="BF68" s="70"/>
      <c r="BG68" s="70"/>
      <c r="BH68" s="70"/>
      <c r="BI68" s="77"/>
      <c r="BJ68" s="77"/>
      <c r="BK68" s="77"/>
      <c r="BL68" s="77"/>
      <c r="BM68" s="77"/>
      <c r="BN68" s="77"/>
      <c r="BO68" s="77"/>
      <c r="BP68" s="77"/>
    </row>
    <row r="69" s="31" customFormat="1" customHeight="1" spans="1:68">
      <c r="A69" s="49" t="s">
        <v>190</v>
      </c>
      <c r="B69" s="50">
        <f t="shared" si="4"/>
        <v>43926</v>
      </c>
      <c r="C69" s="50">
        <f t="shared" ref="C69:C72" si="5">B69+6</f>
        <v>43932</v>
      </c>
      <c r="D69" s="44">
        <v>7</v>
      </c>
      <c r="E69" s="44">
        <v>130</v>
      </c>
      <c r="F69" s="55">
        <f t="shared" ref="F69:F72" si="6">E69*D69</f>
        <v>910</v>
      </c>
      <c r="G69" s="55">
        <v>79.99</v>
      </c>
      <c r="H69" s="55"/>
      <c r="I69" s="55"/>
      <c r="J69" s="55"/>
      <c r="K69" s="55"/>
      <c r="L69" s="55"/>
      <c r="M69" s="55">
        <v>1500</v>
      </c>
      <c r="N69" s="55"/>
      <c r="O69" s="55"/>
      <c r="P69" s="55"/>
      <c r="Q69" s="55"/>
      <c r="R69" s="55"/>
      <c r="S69" s="68"/>
      <c r="T69" s="52">
        <f>($F$2+$G$2+$J$2+$G69*15%)*F69</f>
        <v>47573.435</v>
      </c>
      <c r="U69" s="52">
        <f>$F69*$H$2</f>
        <v>4277</v>
      </c>
      <c r="V69" s="52">
        <f>$H69*$S$2+$I69*$T$2+$K69*$U$2+$M69+$P69*$V$2+N69*F69</f>
        <v>1500</v>
      </c>
      <c r="W69" s="52">
        <f t="shared" ref="W69:W72" si="7">T69+U69+V69</f>
        <v>53350.435</v>
      </c>
      <c r="X69" s="52">
        <f t="shared" ref="X69:X72" si="8">G69*F69</f>
        <v>72790.9</v>
      </c>
      <c r="Y69" s="70"/>
      <c r="Z69" s="70"/>
      <c r="AA69" s="70"/>
      <c r="AB69" s="70"/>
      <c r="AC69" s="70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0"/>
      <c r="BA69" s="70"/>
      <c r="BB69" s="70"/>
      <c r="BC69" s="70"/>
      <c r="BD69" s="70"/>
      <c r="BE69" s="70"/>
      <c r="BF69" s="70"/>
      <c r="BG69" s="70"/>
      <c r="BH69" s="70"/>
      <c r="BI69" s="77"/>
      <c r="BJ69" s="77"/>
      <c r="BK69" s="77"/>
      <c r="BL69" s="77"/>
      <c r="BM69" s="77"/>
      <c r="BN69" s="77"/>
      <c r="BO69" s="77"/>
      <c r="BP69" s="77"/>
    </row>
    <row r="70" s="31" customFormat="1" customHeight="1" spans="1:68">
      <c r="A70" s="49" t="s">
        <v>191</v>
      </c>
      <c r="B70" s="50">
        <f t="shared" ref="B70:B72" si="9">C69+1</f>
        <v>43933</v>
      </c>
      <c r="C70" s="50">
        <f t="shared" si="5"/>
        <v>43939</v>
      </c>
      <c r="D70" s="44">
        <v>7</v>
      </c>
      <c r="E70" s="44">
        <v>130</v>
      </c>
      <c r="F70" s="55">
        <f t="shared" si="6"/>
        <v>910</v>
      </c>
      <c r="G70" s="55">
        <v>79.99</v>
      </c>
      <c r="H70" s="55"/>
      <c r="I70" s="55"/>
      <c r="J70" s="55"/>
      <c r="K70" s="55"/>
      <c r="L70" s="55"/>
      <c r="M70" s="55">
        <v>1500</v>
      </c>
      <c r="N70" s="55"/>
      <c r="O70" s="55"/>
      <c r="P70" s="55"/>
      <c r="Q70" s="55"/>
      <c r="R70" s="55"/>
      <c r="S70" s="68"/>
      <c r="T70" s="52">
        <f>($F$2+$G$2+$J$2+$G70*15%)*F70</f>
        <v>47573.435</v>
      </c>
      <c r="U70" s="52">
        <f>$F70*$H$2</f>
        <v>4277</v>
      </c>
      <c r="V70" s="52">
        <f>$H70*$S$2+$I70*$T$2+$K70*$U$2+$M70+$P70*$V$2+N70*F70</f>
        <v>1500</v>
      </c>
      <c r="W70" s="52">
        <f t="shared" si="7"/>
        <v>53350.435</v>
      </c>
      <c r="X70" s="52">
        <f t="shared" si="8"/>
        <v>72790.9</v>
      </c>
      <c r="Y70" s="70"/>
      <c r="Z70" s="70"/>
      <c r="AA70" s="70"/>
      <c r="AB70" s="70"/>
      <c r="AC70" s="70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0"/>
      <c r="BA70" s="70"/>
      <c r="BB70" s="70"/>
      <c r="BC70" s="70"/>
      <c r="BD70" s="70"/>
      <c r="BE70" s="70"/>
      <c r="BF70" s="70"/>
      <c r="BG70" s="70"/>
      <c r="BH70" s="70"/>
      <c r="BI70" s="77"/>
      <c r="BJ70" s="77"/>
      <c r="BK70" s="77"/>
      <c r="BL70" s="77"/>
      <c r="BM70" s="77"/>
      <c r="BN70" s="77"/>
      <c r="BO70" s="77"/>
      <c r="BP70" s="77"/>
    </row>
    <row r="71" s="31" customFormat="1" customHeight="1" spans="1:68">
      <c r="A71" s="49" t="s">
        <v>192</v>
      </c>
      <c r="B71" s="50">
        <f t="shared" si="9"/>
        <v>43940</v>
      </c>
      <c r="C71" s="50">
        <f t="shared" si="5"/>
        <v>43946</v>
      </c>
      <c r="D71" s="44">
        <v>7</v>
      </c>
      <c r="E71" s="44">
        <v>130</v>
      </c>
      <c r="F71" s="55">
        <f t="shared" si="6"/>
        <v>910</v>
      </c>
      <c r="G71" s="55">
        <v>79.99</v>
      </c>
      <c r="H71" s="55"/>
      <c r="I71" s="55"/>
      <c r="J71" s="55"/>
      <c r="K71" s="55"/>
      <c r="L71" s="55"/>
      <c r="M71" s="55">
        <v>1500</v>
      </c>
      <c r="N71" s="55"/>
      <c r="O71" s="55"/>
      <c r="P71" s="55"/>
      <c r="Q71" s="55"/>
      <c r="R71" s="55"/>
      <c r="S71" s="68"/>
      <c r="T71" s="52">
        <f>($F$2+$G$2+$J$2+$G71*15%)*F71</f>
        <v>47573.435</v>
      </c>
      <c r="U71" s="52">
        <f>$F71*$H$2</f>
        <v>4277</v>
      </c>
      <c r="V71" s="52">
        <f>$H71*$S$2+$I71*$T$2+$K71*$U$2+$M71+$P71*$V$2+N71*F71</f>
        <v>1500</v>
      </c>
      <c r="W71" s="52">
        <f t="shared" si="7"/>
        <v>53350.435</v>
      </c>
      <c r="X71" s="52">
        <f t="shared" si="8"/>
        <v>72790.9</v>
      </c>
      <c r="Y71" s="70"/>
      <c r="Z71" s="70"/>
      <c r="AA71" s="70"/>
      <c r="AB71" s="70"/>
      <c r="AC71" s="70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0"/>
      <c r="BA71" s="70"/>
      <c r="BB71" s="70"/>
      <c r="BC71" s="70"/>
      <c r="BD71" s="70"/>
      <c r="BE71" s="70"/>
      <c r="BF71" s="70"/>
      <c r="BG71" s="70"/>
      <c r="BH71" s="70"/>
      <c r="BI71" s="77"/>
      <c r="BJ71" s="77"/>
      <c r="BK71" s="77"/>
      <c r="BL71" s="77"/>
      <c r="BM71" s="77"/>
      <c r="BN71" s="77"/>
      <c r="BO71" s="77"/>
      <c r="BP71" s="77"/>
    </row>
    <row r="72" s="31" customFormat="1" customHeight="1" spans="1:68">
      <c r="A72" s="49" t="s">
        <v>193</v>
      </c>
      <c r="B72" s="50">
        <f t="shared" si="9"/>
        <v>43947</v>
      </c>
      <c r="C72" s="50">
        <f t="shared" si="5"/>
        <v>43953</v>
      </c>
      <c r="D72" s="44">
        <v>7</v>
      </c>
      <c r="E72" s="44">
        <v>130</v>
      </c>
      <c r="F72" s="55">
        <f t="shared" si="6"/>
        <v>910</v>
      </c>
      <c r="G72" s="55">
        <v>79.99</v>
      </c>
      <c r="H72" s="55"/>
      <c r="I72" s="55"/>
      <c r="J72" s="55"/>
      <c r="K72" s="55"/>
      <c r="L72" s="55"/>
      <c r="M72" s="55">
        <v>1500</v>
      </c>
      <c r="N72" s="55"/>
      <c r="O72" s="55"/>
      <c r="P72" s="55"/>
      <c r="Q72" s="55"/>
      <c r="R72" s="55"/>
      <c r="S72" s="68"/>
      <c r="T72" s="52">
        <f>($F$2+$G$2+$J$2+$G72*15%)*F72</f>
        <v>47573.435</v>
      </c>
      <c r="U72" s="52">
        <f>$F72*$H$2</f>
        <v>4277</v>
      </c>
      <c r="V72" s="52">
        <f>$H72*$S$2+$I72*$T$2+$K72*$U$2+$M72+$P72*$V$2+N72*F72</f>
        <v>1500</v>
      </c>
      <c r="W72" s="52">
        <f t="shared" si="7"/>
        <v>53350.435</v>
      </c>
      <c r="X72" s="52">
        <f t="shared" si="8"/>
        <v>72790.9</v>
      </c>
      <c r="Y72" s="70"/>
      <c r="Z72" s="70"/>
      <c r="AA72" s="70"/>
      <c r="AB72" s="70"/>
      <c r="AC72" s="70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0"/>
      <c r="BA72" s="70"/>
      <c r="BB72" s="70"/>
      <c r="BC72" s="70"/>
      <c r="BD72" s="70"/>
      <c r="BE72" s="70"/>
      <c r="BF72" s="70"/>
      <c r="BG72" s="70"/>
      <c r="BH72" s="70"/>
      <c r="BI72" s="77"/>
      <c r="BJ72" s="77"/>
      <c r="BK72" s="77"/>
      <c r="BL72" s="77"/>
      <c r="BM72" s="77"/>
      <c r="BN72" s="77"/>
      <c r="BO72" s="77"/>
      <c r="BP72" s="77"/>
    </row>
    <row r="73" s="31" customFormat="1" customHeight="1" spans="1:68">
      <c r="A73" s="43" t="s">
        <v>194</v>
      </c>
      <c r="B73" s="43"/>
      <c r="C73" s="43"/>
      <c r="D73" s="44"/>
      <c r="E73" s="44"/>
      <c r="F73" s="55">
        <f>SUM(F5:F72)</f>
        <v>55034</v>
      </c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68"/>
      <c r="T73" s="70"/>
      <c r="U73" s="70"/>
      <c r="V73" s="70"/>
      <c r="W73" s="52">
        <f>SUM(W5:W72)</f>
        <v>3218459.0675</v>
      </c>
      <c r="X73" s="70">
        <f>SUM(X5:X72)</f>
        <v>4295909.66</v>
      </c>
      <c r="Y73" s="70"/>
      <c r="Z73" s="70"/>
      <c r="AA73" s="70"/>
      <c r="AB73" s="70"/>
      <c r="AC73" s="70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0"/>
      <c r="BA73" s="70"/>
      <c r="BB73" s="70"/>
      <c r="BC73" s="70"/>
      <c r="BD73" s="70"/>
      <c r="BE73" s="70"/>
      <c r="BF73" s="70"/>
      <c r="BG73" s="70"/>
      <c r="BH73" s="70"/>
      <c r="BI73" s="77"/>
      <c r="BJ73" s="77"/>
      <c r="BK73" s="77"/>
      <c r="BL73" s="77"/>
      <c r="BM73" s="77"/>
      <c r="BN73" s="77"/>
      <c r="BO73" s="77"/>
      <c r="BP73" s="77"/>
    </row>
    <row r="74" s="31" customFormat="1" customHeight="1" spans="1:68">
      <c r="A74" s="42"/>
      <c r="B74" s="43"/>
      <c r="C74" s="43"/>
      <c r="D74" s="44"/>
      <c r="E74" s="44"/>
      <c r="F74" s="55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55"/>
      <c r="S74" s="67"/>
      <c r="T74" s="55"/>
      <c r="U74" s="55"/>
      <c r="V74" s="55"/>
      <c r="W74" s="55" t="s">
        <v>194</v>
      </c>
      <c r="X74" s="83">
        <f>X73-W73</f>
        <v>1077450.5925</v>
      </c>
      <c r="Y74" s="55"/>
      <c r="Z74" s="55"/>
      <c r="AA74" s="55"/>
      <c r="AB74" s="52"/>
      <c r="AC74" s="52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2"/>
      <c r="BA74" s="52"/>
      <c r="BB74" s="52"/>
      <c r="BC74" s="52"/>
      <c r="BD74" s="52"/>
      <c r="BE74" s="52"/>
      <c r="BF74" s="52"/>
      <c r="BG74" s="52"/>
      <c r="BH74" s="52"/>
      <c r="BI74" s="77"/>
      <c r="BJ74" s="77"/>
      <c r="BK74" s="77"/>
      <c r="BL74" s="77"/>
      <c r="BM74" s="77"/>
      <c r="BN74" s="77"/>
      <c r="BO74" s="77"/>
      <c r="BP74" s="77"/>
    </row>
    <row r="75" s="31" customFormat="1" customHeight="1" spans="1:91">
      <c r="A75" s="42"/>
      <c r="B75" s="43"/>
      <c r="C75" s="43"/>
      <c r="D75" s="44"/>
      <c r="E75" s="44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7"/>
      <c r="T75" s="55"/>
      <c r="U75" s="55"/>
      <c r="V75" s="55" t="s">
        <v>194</v>
      </c>
      <c r="W75" s="57" t="e">
        <f>X74-W74</f>
        <v>#VALUE!</v>
      </c>
      <c r="X75" s="57"/>
      <c r="Y75" s="55"/>
      <c r="Z75" s="55"/>
      <c r="AA75" s="55" t="s">
        <v>194</v>
      </c>
      <c r="AB75" s="57">
        <f>AC74-AB74</f>
        <v>0</v>
      </c>
      <c r="AC75" s="57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</row>
    <row r="76" s="31" customFormat="1" customHeight="1" spans="1:91">
      <c r="A76" s="36"/>
      <c r="B76" s="37"/>
      <c r="C76" s="37"/>
      <c r="D76" s="38"/>
      <c r="E76" s="38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</row>
    <row r="77" s="33" customFormat="1" customHeight="1" spans="1:81">
      <c r="A77" s="80" t="s">
        <v>195</v>
      </c>
      <c r="B77" s="80" t="s">
        <v>196</v>
      </c>
      <c r="C77" s="80" t="s">
        <v>197</v>
      </c>
      <c r="D77" s="80" t="s">
        <v>119</v>
      </c>
      <c r="E77" s="80" t="s">
        <v>198</v>
      </c>
      <c r="F77" s="80" t="s">
        <v>199</v>
      </c>
      <c r="G77" s="80" t="s">
        <v>34</v>
      </c>
      <c r="H77" s="80" t="s">
        <v>200</v>
      </c>
      <c r="I77" s="80" t="s">
        <v>201</v>
      </c>
      <c r="J77" s="80" t="s">
        <v>202</v>
      </c>
      <c r="K77" s="80" t="s">
        <v>203</v>
      </c>
      <c r="L77" s="80" t="s">
        <v>204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</row>
    <row r="78" s="33" customFormat="1" customHeight="1" spans="1:8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</row>
    <row r="79" s="31" customFormat="1" customHeight="1" spans="1:91">
      <c r="A79" s="42" t="s">
        <v>125</v>
      </c>
      <c r="B79" s="44">
        <f t="shared" ref="B79:B142" si="10">F5</f>
        <v>35</v>
      </c>
      <c r="C79" s="82">
        <f t="shared" ref="C79:C142" si="11">V5</f>
        <v>415.6185</v>
      </c>
      <c r="D79" s="44">
        <f t="shared" ref="D79:D142" si="12">T5</f>
        <v>1698.4975</v>
      </c>
      <c r="E79" s="44">
        <f t="shared" ref="E79:E142" si="13">U5</f>
        <v>164.5</v>
      </c>
      <c r="F79" s="55">
        <f t="shared" ref="F79:F142" si="14">W5</f>
        <v>2278.616</v>
      </c>
      <c r="G79" s="55">
        <f t="shared" ref="G79:G142" si="15">G5</f>
        <v>54.99</v>
      </c>
      <c r="H79" s="55">
        <f>G79-($F$2+$G$2+$H$2+$J$2+G79*15%)</f>
        <v>1.7615</v>
      </c>
      <c r="I79" s="59">
        <f t="shared" ref="I79:I142" si="16">H79/G79</f>
        <v>0.0320330969267139</v>
      </c>
      <c r="J79" s="55">
        <f t="shared" ref="J79:J142" si="17">X5</f>
        <v>1924.65</v>
      </c>
      <c r="K79" s="55">
        <f t="shared" ref="K79:K142" si="18">H79*B79</f>
        <v>61.6524999999999</v>
      </c>
      <c r="L79" s="59">
        <f t="shared" ref="L79:L142" si="19">K79/F79</f>
        <v>0.0270569942456298</v>
      </c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</row>
    <row r="80" s="31" customFormat="1" customHeight="1" spans="1:91">
      <c r="A80" s="42" t="s">
        <v>126</v>
      </c>
      <c r="B80" s="44">
        <f t="shared" si="10"/>
        <v>203</v>
      </c>
      <c r="C80" s="82">
        <f t="shared" si="11"/>
        <v>826.86</v>
      </c>
      <c r="D80" s="44">
        <f t="shared" si="12"/>
        <v>9851.2855</v>
      </c>
      <c r="E80" s="44">
        <f t="shared" si="13"/>
        <v>954.1</v>
      </c>
      <c r="F80" s="55">
        <f t="shared" si="14"/>
        <v>11632.2455</v>
      </c>
      <c r="G80" s="55">
        <f t="shared" si="15"/>
        <v>54.99</v>
      </c>
      <c r="H80" s="55">
        <f>G80-($F$2+$G$2+$H$2+$J$2+G80*15%)</f>
        <v>1.7615</v>
      </c>
      <c r="I80" s="59">
        <f t="shared" si="16"/>
        <v>0.0320330969267139</v>
      </c>
      <c r="J80" s="55">
        <f t="shared" si="17"/>
        <v>11162.97</v>
      </c>
      <c r="K80" s="55">
        <f t="shared" si="18"/>
        <v>357.5845</v>
      </c>
      <c r="L80" s="59">
        <f t="shared" si="19"/>
        <v>0.030740797208931</v>
      </c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</row>
    <row r="81" s="31" customFormat="1" customHeight="1" spans="1:91">
      <c r="A81" s="42" t="s">
        <v>127</v>
      </c>
      <c r="B81" s="44">
        <f t="shared" si="10"/>
        <v>434</v>
      </c>
      <c r="C81" s="82">
        <f t="shared" si="11"/>
        <v>1207.34</v>
      </c>
      <c r="D81" s="44">
        <f t="shared" si="12"/>
        <v>21386.869</v>
      </c>
      <c r="E81" s="44">
        <f t="shared" si="13"/>
        <v>2039.8</v>
      </c>
      <c r="F81" s="55">
        <f t="shared" si="14"/>
        <v>24634.009</v>
      </c>
      <c r="G81" s="55">
        <f t="shared" si="15"/>
        <v>59.99</v>
      </c>
      <c r="H81" s="55">
        <f>G81-($F$2+$G$2+$H$2+$J$2+G81*15%)</f>
        <v>6.0115</v>
      </c>
      <c r="I81" s="59">
        <f t="shared" si="16"/>
        <v>0.100208368061344</v>
      </c>
      <c r="J81" s="55">
        <f t="shared" si="17"/>
        <v>26035.66</v>
      </c>
      <c r="K81" s="55">
        <f t="shared" si="18"/>
        <v>2608.991</v>
      </c>
      <c r="L81" s="59">
        <f t="shared" si="19"/>
        <v>0.105910126118733</v>
      </c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</row>
    <row r="82" s="31" customFormat="1" customHeight="1" spans="1:91">
      <c r="A82" s="42" t="s">
        <v>128</v>
      </c>
      <c r="B82" s="44">
        <f t="shared" si="10"/>
        <v>686</v>
      </c>
      <c r="C82" s="82">
        <f t="shared" si="11"/>
        <v>1693.48</v>
      </c>
      <c r="D82" s="44">
        <f t="shared" si="12"/>
        <v>34319.551</v>
      </c>
      <c r="E82" s="44">
        <f t="shared" si="13"/>
        <v>3224.2</v>
      </c>
      <c r="F82" s="55">
        <f t="shared" si="14"/>
        <v>39237.231</v>
      </c>
      <c r="G82" s="55">
        <f t="shared" si="15"/>
        <v>64.99</v>
      </c>
      <c r="H82" s="55">
        <f>G82-($F$2+$G$2+$H$2+$J$2+G82*15%)</f>
        <v>10.2615</v>
      </c>
      <c r="I82" s="59">
        <f t="shared" si="16"/>
        <v>0.15789352208032</v>
      </c>
      <c r="J82" s="55">
        <f t="shared" si="17"/>
        <v>44583.14</v>
      </c>
      <c r="K82" s="55">
        <f t="shared" si="18"/>
        <v>7039.38899999999</v>
      </c>
      <c r="L82" s="59">
        <f t="shared" si="19"/>
        <v>0.179405855627274</v>
      </c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</row>
    <row r="83" s="31" customFormat="1" customHeight="1" spans="1:91">
      <c r="A83" s="42" t="s">
        <v>129</v>
      </c>
      <c r="B83" s="44">
        <f t="shared" si="10"/>
        <v>686</v>
      </c>
      <c r="C83" s="82">
        <f t="shared" si="11"/>
        <v>1500</v>
      </c>
      <c r="D83" s="44">
        <f t="shared" si="12"/>
        <v>34319.551</v>
      </c>
      <c r="E83" s="44">
        <f t="shared" si="13"/>
        <v>3224.2</v>
      </c>
      <c r="F83" s="55">
        <f t="shared" si="14"/>
        <v>39043.751</v>
      </c>
      <c r="G83" s="55">
        <f t="shared" si="15"/>
        <v>64.99</v>
      </c>
      <c r="H83" s="55">
        <f>G83-($F$2+$G$2+$H$2+$J$2+G83*15%)</f>
        <v>10.2615</v>
      </c>
      <c r="I83" s="59">
        <f t="shared" si="16"/>
        <v>0.15789352208032</v>
      </c>
      <c r="J83" s="55">
        <f t="shared" si="17"/>
        <v>44583.14</v>
      </c>
      <c r="K83" s="55">
        <f t="shared" si="18"/>
        <v>7039.38899999999</v>
      </c>
      <c r="L83" s="59">
        <f t="shared" si="19"/>
        <v>0.180294895334211</v>
      </c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</row>
    <row r="84" s="31" customFormat="1" customHeight="1" spans="1:91">
      <c r="A84" s="42" t="s">
        <v>130</v>
      </c>
      <c r="B84" s="44">
        <f t="shared" si="10"/>
        <v>0</v>
      </c>
      <c r="C84" s="82">
        <f t="shared" si="11"/>
        <v>0</v>
      </c>
      <c r="D84" s="44">
        <f t="shared" si="12"/>
        <v>0</v>
      </c>
      <c r="E84" s="44">
        <f t="shared" si="13"/>
        <v>0</v>
      </c>
      <c r="F84" s="55">
        <f t="shared" si="14"/>
        <v>0</v>
      </c>
      <c r="G84" s="55">
        <f t="shared" si="15"/>
        <v>64.99</v>
      </c>
      <c r="H84" s="55">
        <f>G84-($F$2+$G$2+$H$2+$J$2+G84*15%)</f>
        <v>10.2615</v>
      </c>
      <c r="I84" s="59">
        <f t="shared" si="16"/>
        <v>0.15789352208032</v>
      </c>
      <c r="J84" s="55">
        <f t="shared" si="17"/>
        <v>0</v>
      </c>
      <c r="K84" s="55">
        <f t="shared" si="18"/>
        <v>0</v>
      </c>
      <c r="L84" s="59" t="e">
        <f t="shared" si="19"/>
        <v>#DIV/0!</v>
      </c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</row>
    <row r="85" s="31" customFormat="1" customHeight="1" spans="1:91">
      <c r="A85" s="42" t="s">
        <v>131</v>
      </c>
      <c r="B85" s="44">
        <f t="shared" si="10"/>
        <v>350</v>
      </c>
      <c r="C85" s="82">
        <f t="shared" si="11"/>
        <v>1500</v>
      </c>
      <c r="D85" s="44">
        <f t="shared" si="12"/>
        <v>17772.475</v>
      </c>
      <c r="E85" s="44">
        <f t="shared" si="13"/>
        <v>1645</v>
      </c>
      <c r="F85" s="55">
        <f t="shared" si="14"/>
        <v>20917.475</v>
      </c>
      <c r="G85" s="55">
        <f t="shared" si="15"/>
        <v>69.99</v>
      </c>
      <c r="H85" s="55">
        <f>G85-($F$2+$G$2+$H$2+$J$2+G85*15%)</f>
        <v>14.5115</v>
      </c>
      <c r="I85" s="59">
        <f t="shared" si="16"/>
        <v>0.207336762394628</v>
      </c>
      <c r="J85" s="55">
        <f t="shared" si="17"/>
        <v>24496.5</v>
      </c>
      <c r="K85" s="55">
        <f t="shared" si="18"/>
        <v>5079.025</v>
      </c>
      <c r="L85" s="59">
        <f t="shared" si="19"/>
        <v>0.242812528758849</v>
      </c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</row>
    <row r="86" s="31" customFormat="1" customHeight="1" spans="1:91">
      <c r="A86" s="42" t="s">
        <v>132</v>
      </c>
      <c r="B86" s="44">
        <f t="shared" si="10"/>
        <v>560</v>
      </c>
      <c r="C86" s="82">
        <f t="shared" si="11"/>
        <v>1500</v>
      </c>
      <c r="D86" s="44">
        <f t="shared" si="12"/>
        <v>28435.96</v>
      </c>
      <c r="E86" s="44">
        <f t="shared" si="13"/>
        <v>2632</v>
      </c>
      <c r="F86" s="55">
        <f t="shared" si="14"/>
        <v>32567.96</v>
      </c>
      <c r="G86" s="55">
        <f t="shared" si="15"/>
        <v>69.99</v>
      </c>
      <c r="H86" s="55">
        <f>G86-($F$2+$G$2+$H$2+$J$2+G86*15%)</f>
        <v>14.5115</v>
      </c>
      <c r="I86" s="59">
        <f t="shared" si="16"/>
        <v>0.207336762394628</v>
      </c>
      <c r="J86" s="55">
        <f t="shared" si="17"/>
        <v>39194.4</v>
      </c>
      <c r="K86" s="55">
        <f t="shared" si="18"/>
        <v>8126.44</v>
      </c>
      <c r="L86" s="59">
        <f t="shared" si="19"/>
        <v>0.249522536873664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</row>
    <row r="87" s="31" customFormat="1" customHeight="1" spans="1:91">
      <c r="A87" s="42" t="s">
        <v>133</v>
      </c>
      <c r="B87" s="44">
        <f t="shared" si="10"/>
        <v>770</v>
      </c>
      <c r="C87" s="82">
        <f t="shared" si="11"/>
        <v>1500</v>
      </c>
      <c r="D87" s="44">
        <f t="shared" si="12"/>
        <v>39676.945</v>
      </c>
      <c r="E87" s="44">
        <f t="shared" si="13"/>
        <v>3619</v>
      </c>
      <c r="F87" s="55">
        <f t="shared" si="14"/>
        <v>44795.945</v>
      </c>
      <c r="G87" s="55">
        <f t="shared" si="15"/>
        <v>74.99</v>
      </c>
      <c r="H87" s="55">
        <f>G87-($F$2+$G$2+$H$2+$J$2+G87*15%)</f>
        <v>18.7615</v>
      </c>
      <c r="I87" s="59">
        <f t="shared" si="16"/>
        <v>0.250186691558874</v>
      </c>
      <c r="J87" s="55">
        <f t="shared" si="17"/>
        <v>57742.3</v>
      </c>
      <c r="K87" s="55">
        <f t="shared" si="18"/>
        <v>14446.355</v>
      </c>
      <c r="L87" s="59">
        <f t="shared" si="19"/>
        <v>0.322492471137734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</row>
    <row r="88" s="31" customFormat="1" customHeight="1" spans="1:91">
      <c r="A88" s="42" t="s">
        <v>134</v>
      </c>
      <c r="B88" s="44">
        <f t="shared" si="10"/>
        <v>770</v>
      </c>
      <c r="C88" s="82">
        <f t="shared" si="11"/>
        <v>1500</v>
      </c>
      <c r="D88" s="44">
        <f t="shared" si="12"/>
        <v>39676.945</v>
      </c>
      <c r="E88" s="44">
        <f t="shared" si="13"/>
        <v>3619</v>
      </c>
      <c r="F88" s="55">
        <f t="shared" si="14"/>
        <v>44795.945</v>
      </c>
      <c r="G88" s="55">
        <f t="shared" si="15"/>
        <v>74.99</v>
      </c>
      <c r="H88" s="55">
        <f>G88-($F$2+$G$2+$H$2+$J$2+G88*15%)</f>
        <v>18.7615</v>
      </c>
      <c r="I88" s="59">
        <f t="shared" si="16"/>
        <v>0.250186691558874</v>
      </c>
      <c r="J88" s="55">
        <f t="shared" si="17"/>
        <v>57742.3</v>
      </c>
      <c r="K88" s="55">
        <f t="shared" si="18"/>
        <v>14446.355</v>
      </c>
      <c r="L88" s="59">
        <f t="shared" si="19"/>
        <v>0.322492471137734</v>
      </c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</row>
    <row r="89" s="31" customFormat="1" customHeight="1" spans="1:91">
      <c r="A89" s="42" t="s">
        <v>135</v>
      </c>
      <c r="B89" s="44">
        <f t="shared" si="10"/>
        <v>840</v>
      </c>
      <c r="C89" s="82">
        <f t="shared" si="11"/>
        <v>1500</v>
      </c>
      <c r="D89" s="44">
        <f t="shared" si="12"/>
        <v>43283.94</v>
      </c>
      <c r="E89" s="44">
        <f t="shared" si="13"/>
        <v>3948</v>
      </c>
      <c r="F89" s="55">
        <f t="shared" si="14"/>
        <v>48731.94</v>
      </c>
      <c r="G89" s="55">
        <f t="shared" si="15"/>
        <v>74.99</v>
      </c>
      <c r="H89" s="55">
        <f>G89-($F$2+$G$2+$H$2+$J$2+G89*15%)</f>
        <v>18.7615</v>
      </c>
      <c r="I89" s="59">
        <f t="shared" si="16"/>
        <v>0.250186691558874</v>
      </c>
      <c r="J89" s="55">
        <f t="shared" si="17"/>
        <v>62991.6</v>
      </c>
      <c r="K89" s="55">
        <f t="shared" si="18"/>
        <v>15759.66</v>
      </c>
      <c r="L89" s="59">
        <f t="shared" si="19"/>
        <v>0.3233948822887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</row>
    <row r="90" s="31" customFormat="1" customHeight="1" spans="1:91">
      <c r="A90" s="42" t="s">
        <v>136</v>
      </c>
      <c r="B90" s="44">
        <f t="shared" si="10"/>
        <v>840</v>
      </c>
      <c r="C90" s="82">
        <f t="shared" si="11"/>
        <v>1500</v>
      </c>
      <c r="D90" s="44">
        <f t="shared" si="12"/>
        <v>43283.94</v>
      </c>
      <c r="E90" s="44">
        <f t="shared" si="13"/>
        <v>3948</v>
      </c>
      <c r="F90" s="55">
        <f t="shared" si="14"/>
        <v>48731.94</v>
      </c>
      <c r="G90" s="55">
        <f t="shared" si="15"/>
        <v>74.99</v>
      </c>
      <c r="H90" s="55">
        <f>G90-($F$2+$G$2+$H$2+$J$2+G90*15%)</f>
        <v>18.7615</v>
      </c>
      <c r="I90" s="59">
        <f t="shared" si="16"/>
        <v>0.250186691558874</v>
      </c>
      <c r="J90" s="55">
        <f t="shared" si="17"/>
        <v>62991.6</v>
      </c>
      <c r="K90" s="55">
        <f t="shared" si="18"/>
        <v>15759.66</v>
      </c>
      <c r="L90" s="59">
        <f t="shared" si="19"/>
        <v>0.3233948822887</v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</row>
    <row r="91" s="31" customFormat="1" customHeight="1" spans="1:91">
      <c r="A91" s="42" t="s">
        <v>137</v>
      </c>
      <c r="B91" s="44">
        <f t="shared" si="10"/>
        <v>840</v>
      </c>
      <c r="C91" s="82">
        <f t="shared" si="11"/>
        <v>1500</v>
      </c>
      <c r="D91" s="44">
        <f t="shared" si="12"/>
        <v>43283.94</v>
      </c>
      <c r="E91" s="44">
        <f t="shared" si="13"/>
        <v>3948</v>
      </c>
      <c r="F91" s="55">
        <f t="shared" si="14"/>
        <v>48731.94</v>
      </c>
      <c r="G91" s="55">
        <f t="shared" si="15"/>
        <v>74.99</v>
      </c>
      <c r="H91" s="55">
        <f>G91-($F$2+$G$2+$H$2+$J$2+G91*15%)</f>
        <v>18.7615</v>
      </c>
      <c r="I91" s="59">
        <f t="shared" si="16"/>
        <v>0.250186691558874</v>
      </c>
      <c r="J91" s="55">
        <f t="shared" si="17"/>
        <v>62991.6</v>
      </c>
      <c r="K91" s="55">
        <f t="shared" si="18"/>
        <v>15759.66</v>
      </c>
      <c r="L91" s="59">
        <f t="shared" si="19"/>
        <v>0.3233948822887</v>
      </c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</row>
    <row r="92" s="31" customFormat="1" customHeight="1" spans="1:91">
      <c r="A92" s="42" t="s">
        <v>138</v>
      </c>
      <c r="B92" s="44">
        <f t="shared" si="10"/>
        <v>770</v>
      </c>
      <c r="C92" s="82">
        <f t="shared" si="11"/>
        <v>1500</v>
      </c>
      <c r="D92" s="44">
        <f t="shared" si="12"/>
        <v>39676.945</v>
      </c>
      <c r="E92" s="44">
        <f t="shared" si="13"/>
        <v>3619</v>
      </c>
      <c r="F92" s="55">
        <f t="shared" si="14"/>
        <v>44795.945</v>
      </c>
      <c r="G92" s="55">
        <f t="shared" si="15"/>
        <v>74.99</v>
      </c>
      <c r="H92" s="55">
        <f>G92-($F$2+$G$2+$H$2+$J$2+G92*15%)</f>
        <v>18.7615</v>
      </c>
      <c r="I92" s="59">
        <f t="shared" si="16"/>
        <v>0.250186691558874</v>
      </c>
      <c r="J92" s="55">
        <f t="shared" si="17"/>
        <v>57742.3</v>
      </c>
      <c r="K92" s="55">
        <f t="shared" si="18"/>
        <v>14446.355</v>
      </c>
      <c r="L92" s="59">
        <f t="shared" si="19"/>
        <v>0.322492471137734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</row>
    <row r="93" s="31" customFormat="1" customHeight="1" spans="1:91">
      <c r="A93" s="42" t="s">
        <v>140</v>
      </c>
      <c r="B93" s="44">
        <f t="shared" si="10"/>
        <v>770</v>
      </c>
      <c r="C93" s="82">
        <f t="shared" si="11"/>
        <v>1500</v>
      </c>
      <c r="D93" s="44">
        <f t="shared" si="12"/>
        <v>39676.945</v>
      </c>
      <c r="E93" s="44">
        <f t="shared" si="13"/>
        <v>3619</v>
      </c>
      <c r="F93" s="55">
        <f t="shared" si="14"/>
        <v>44795.945</v>
      </c>
      <c r="G93" s="55">
        <f t="shared" si="15"/>
        <v>74.99</v>
      </c>
      <c r="H93" s="55">
        <f>G93-($F$2+$G$2+$H$2+$J$2+G93*15%)</f>
        <v>18.7615</v>
      </c>
      <c r="I93" s="59">
        <f t="shared" si="16"/>
        <v>0.250186691558874</v>
      </c>
      <c r="J93" s="55">
        <f t="shared" si="17"/>
        <v>57742.3</v>
      </c>
      <c r="K93" s="55">
        <f t="shared" si="18"/>
        <v>14446.355</v>
      </c>
      <c r="L93" s="59">
        <f t="shared" si="19"/>
        <v>0.322492471137734</v>
      </c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</row>
    <row r="94" s="31" customFormat="1" customHeight="1" spans="1:91">
      <c r="A94" s="42" t="s">
        <v>141</v>
      </c>
      <c r="B94" s="44">
        <f t="shared" si="10"/>
        <v>700</v>
      </c>
      <c r="C94" s="82">
        <f t="shared" si="11"/>
        <v>1500</v>
      </c>
      <c r="D94" s="44">
        <f t="shared" si="12"/>
        <v>36069.95</v>
      </c>
      <c r="E94" s="44">
        <f t="shared" si="13"/>
        <v>3290</v>
      </c>
      <c r="F94" s="55">
        <f t="shared" si="14"/>
        <v>40859.95</v>
      </c>
      <c r="G94" s="55">
        <f t="shared" si="15"/>
        <v>74.99</v>
      </c>
      <c r="H94" s="55">
        <f>G94-($F$2+$G$2+$H$2+$J$2+G94*15%)</f>
        <v>18.7615</v>
      </c>
      <c r="I94" s="59">
        <f t="shared" si="16"/>
        <v>0.250186691558874</v>
      </c>
      <c r="J94" s="55">
        <f t="shared" si="17"/>
        <v>52493</v>
      </c>
      <c r="K94" s="55">
        <f t="shared" si="18"/>
        <v>13133.05</v>
      </c>
      <c r="L94" s="59">
        <f t="shared" si="19"/>
        <v>0.321416203397214</v>
      </c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</row>
    <row r="95" s="31" customFormat="1" customHeight="1" spans="1:91">
      <c r="A95" s="42" t="s">
        <v>142</v>
      </c>
      <c r="B95" s="44">
        <f t="shared" si="10"/>
        <v>700</v>
      </c>
      <c r="C95" s="82">
        <f t="shared" si="11"/>
        <v>1500</v>
      </c>
      <c r="D95" s="44">
        <f t="shared" si="12"/>
        <v>36069.95</v>
      </c>
      <c r="E95" s="44">
        <f t="shared" si="13"/>
        <v>3290</v>
      </c>
      <c r="F95" s="55">
        <f t="shared" si="14"/>
        <v>40859.95</v>
      </c>
      <c r="G95" s="55">
        <f t="shared" si="15"/>
        <v>74.99</v>
      </c>
      <c r="H95" s="55">
        <f>G95-($F$2+$G$2+$H$2+$J$2+G95*15%)</f>
        <v>18.7615</v>
      </c>
      <c r="I95" s="59">
        <f t="shared" si="16"/>
        <v>0.250186691558874</v>
      </c>
      <c r="J95" s="55">
        <f t="shared" si="17"/>
        <v>52493</v>
      </c>
      <c r="K95" s="55">
        <f t="shared" si="18"/>
        <v>13133.05</v>
      </c>
      <c r="L95" s="59">
        <f t="shared" si="19"/>
        <v>0.321416203397214</v>
      </c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</row>
    <row r="96" s="31" customFormat="1" customHeight="1" spans="1:91">
      <c r="A96" s="42" t="s">
        <v>143</v>
      </c>
      <c r="B96" s="44">
        <f t="shared" si="10"/>
        <v>630</v>
      </c>
      <c r="C96" s="82">
        <f t="shared" si="11"/>
        <v>1500</v>
      </c>
      <c r="D96" s="44">
        <f t="shared" si="12"/>
        <v>32462.955</v>
      </c>
      <c r="E96" s="44">
        <f t="shared" si="13"/>
        <v>2961</v>
      </c>
      <c r="F96" s="55">
        <f t="shared" si="14"/>
        <v>36923.955</v>
      </c>
      <c r="G96" s="55">
        <f t="shared" si="15"/>
        <v>74.99</v>
      </c>
      <c r="H96" s="55">
        <f>G96-($F$2+$G$2+$H$2+$J$2+G96*15%)</f>
        <v>18.7615</v>
      </c>
      <c r="I96" s="59">
        <f t="shared" si="16"/>
        <v>0.250186691558874</v>
      </c>
      <c r="J96" s="55">
        <f t="shared" si="17"/>
        <v>47243.7</v>
      </c>
      <c r="K96" s="55">
        <f t="shared" si="18"/>
        <v>11819.745</v>
      </c>
      <c r="L96" s="59">
        <f t="shared" si="19"/>
        <v>0.320110481122621</v>
      </c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</row>
    <row r="97" s="31" customFormat="1" customHeight="1" spans="1:91">
      <c r="A97" s="42" t="s">
        <v>144</v>
      </c>
      <c r="B97" s="44">
        <f t="shared" si="10"/>
        <v>630</v>
      </c>
      <c r="C97" s="82">
        <f t="shared" si="11"/>
        <v>1500</v>
      </c>
      <c r="D97" s="44">
        <f t="shared" si="12"/>
        <v>32462.955</v>
      </c>
      <c r="E97" s="44">
        <f t="shared" si="13"/>
        <v>2961</v>
      </c>
      <c r="F97" s="55">
        <f t="shared" si="14"/>
        <v>36923.955</v>
      </c>
      <c r="G97" s="55">
        <f t="shared" si="15"/>
        <v>74.99</v>
      </c>
      <c r="H97" s="55">
        <f>G97-($F$2+$G$2+$H$2+$J$2+G97*15%)</f>
        <v>18.7615</v>
      </c>
      <c r="I97" s="59">
        <f t="shared" si="16"/>
        <v>0.250186691558874</v>
      </c>
      <c r="J97" s="55">
        <f t="shared" si="17"/>
        <v>47243.7</v>
      </c>
      <c r="K97" s="55">
        <f t="shared" si="18"/>
        <v>11819.745</v>
      </c>
      <c r="L97" s="59">
        <f t="shared" si="19"/>
        <v>0.320110481122621</v>
      </c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</row>
    <row r="98" s="31" customFormat="1" customHeight="1" spans="1:91">
      <c r="A98" s="42" t="s">
        <v>145</v>
      </c>
      <c r="B98" s="44">
        <f t="shared" si="10"/>
        <v>630</v>
      </c>
      <c r="C98" s="82">
        <f t="shared" si="11"/>
        <v>1500</v>
      </c>
      <c r="D98" s="44">
        <f t="shared" si="12"/>
        <v>32462.955</v>
      </c>
      <c r="E98" s="44">
        <f t="shared" si="13"/>
        <v>2961</v>
      </c>
      <c r="F98" s="55">
        <f t="shared" si="14"/>
        <v>36923.955</v>
      </c>
      <c r="G98" s="55">
        <f t="shared" si="15"/>
        <v>74.99</v>
      </c>
      <c r="H98" s="55">
        <f>G98-($F$2+$G$2+$H$2+$J$2+G98*15%)</f>
        <v>18.7615</v>
      </c>
      <c r="I98" s="59">
        <f t="shared" si="16"/>
        <v>0.250186691558874</v>
      </c>
      <c r="J98" s="55">
        <f t="shared" si="17"/>
        <v>47243.7</v>
      </c>
      <c r="K98" s="55">
        <f t="shared" si="18"/>
        <v>11819.745</v>
      </c>
      <c r="L98" s="59">
        <f t="shared" si="19"/>
        <v>0.320110481122621</v>
      </c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</row>
    <row r="99" s="31" customFormat="1" customHeight="1" spans="1:91">
      <c r="A99" s="42" t="s">
        <v>146</v>
      </c>
      <c r="B99" s="44">
        <f t="shared" si="10"/>
        <v>700</v>
      </c>
      <c r="C99" s="82">
        <f t="shared" si="11"/>
        <v>1500</v>
      </c>
      <c r="D99" s="44">
        <f t="shared" si="12"/>
        <v>36069.95</v>
      </c>
      <c r="E99" s="44">
        <f t="shared" si="13"/>
        <v>3290</v>
      </c>
      <c r="F99" s="55">
        <f t="shared" si="14"/>
        <v>40859.95</v>
      </c>
      <c r="G99" s="55">
        <f t="shared" si="15"/>
        <v>74.99</v>
      </c>
      <c r="H99" s="55">
        <f>G99-($F$2+$G$2+$H$2+$J$2+G99*15%)</f>
        <v>18.7615</v>
      </c>
      <c r="I99" s="59">
        <f t="shared" si="16"/>
        <v>0.250186691558874</v>
      </c>
      <c r="J99" s="55">
        <f t="shared" si="17"/>
        <v>52493</v>
      </c>
      <c r="K99" s="55">
        <f t="shared" si="18"/>
        <v>13133.05</v>
      </c>
      <c r="L99" s="59">
        <f t="shared" si="19"/>
        <v>0.321416203397214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</row>
    <row r="100" s="31" customFormat="1" customHeight="1" spans="1:91">
      <c r="A100" s="42" t="s">
        <v>147</v>
      </c>
      <c r="B100" s="44">
        <f t="shared" si="10"/>
        <v>700</v>
      </c>
      <c r="C100" s="82">
        <f t="shared" si="11"/>
        <v>1500</v>
      </c>
      <c r="D100" s="44">
        <f t="shared" si="12"/>
        <v>36069.95</v>
      </c>
      <c r="E100" s="44">
        <f t="shared" si="13"/>
        <v>3290</v>
      </c>
      <c r="F100" s="55">
        <f t="shared" si="14"/>
        <v>40859.95</v>
      </c>
      <c r="G100" s="55">
        <f t="shared" si="15"/>
        <v>74.99</v>
      </c>
      <c r="H100" s="55">
        <f>G100-($F$2+$G$2+$H$2+$J$2+G100*15%)</f>
        <v>18.7615</v>
      </c>
      <c r="I100" s="59">
        <f t="shared" si="16"/>
        <v>0.250186691558874</v>
      </c>
      <c r="J100" s="55">
        <f t="shared" si="17"/>
        <v>52493</v>
      </c>
      <c r="K100" s="55">
        <f t="shared" si="18"/>
        <v>13133.05</v>
      </c>
      <c r="L100" s="59">
        <f t="shared" si="19"/>
        <v>0.321416203397214</v>
      </c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</row>
    <row r="101" s="31" customFormat="1" customHeight="1" spans="1:91">
      <c r="A101" s="42" t="s">
        <v>148</v>
      </c>
      <c r="B101" s="44">
        <f t="shared" si="10"/>
        <v>700</v>
      </c>
      <c r="C101" s="82">
        <f t="shared" si="11"/>
        <v>1500</v>
      </c>
      <c r="D101" s="44">
        <f t="shared" si="12"/>
        <v>36069.95</v>
      </c>
      <c r="E101" s="44">
        <f t="shared" si="13"/>
        <v>3290</v>
      </c>
      <c r="F101" s="55">
        <f t="shared" si="14"/>
        <v>40859.95</v>
      </c>
      <c r="G101" s="55">
        <f t="shared" si="15"/>
        <v>74.99</v>
      </c>
      <c r="H101" s="55">
        <f>G101-($F$2+$G$2+$H$2+$J$2+G101*15%)</f>
        <v>18.7615</v>
      </c>
      <c r="I101" s="59">
        <f t="shared" si="16"/>
        <v>0.250186691558874</v>
      </c>
      <c r="J101" s="55">
        <f t="shared" si="17"/>
        <v>52493</v>
      </c>
      <c r="K101" s="55">
        <f t="shared" si="18"/>
        <v>13133.05</v>
      </c>
      <c r="L101" s="59">
        <f t="shared" si="19"/>
        <v>0.321416203397214</v>
      </c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</row>
    <row r="102" s="31" customFormat="1" customHeight="1" spans="1:91">
      <c r="A102" s="42" t="s">
        <v>149</v>
      </c>
      <c r="B102" s="44">
        <f t="shared" si="10"/>
        <v>700</v>
      </c>
      <c r="C102" s="82">
        <f t="shared" si="11"/>
        <v>1500</v>
      </c>
      <c r="D102" s="44">
        <f t="shared" si="12"/>
        <v>36069.95</v>
      </c>
      <c r="E102" s="44">
        <f t="shared" si="13"/>
        <v>3290</v>
      </c>
      <c r="F102" s="55">
        <f t="shared" si="14"/>
        <v>40859.95</v>
      </c>
      <c r="G102" s="55">
        <f t="shared" si="15"/>
        <v>74.99</v>
      </c>
      <c r="H102" s="55">
        <f>G102-($F$2+$G$2+$H$2+$J$2+G102*15%)</f>
        <v>18.7615</v>
      </c>
      <c r="I102" s="59">
        <f t="shared" si="16"/>
        <v>0.250186691558874</v>
      </c>
      <c r="J102" s="55">
        <f t="shared" si="17"/>
        <v>52493</v>
      </c>
      <c r="K102" s="55">
        <f t="shared" si="18"/>
        <v>13133.05</v>
      </c>
      <c r="L102" s="59">
        <f t="shared" si="19"/>
        <v>0.321416203397214</v>
      </c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</row>
    <row r="103" s="31" customFormat="1" customHeight="1" spans="1:91">
      <c r="A103" s="42" t="s">
        <v>150</v>
      </c>
      <c r="B103" s="44">
        <f t="shared" si="10"/>
        <v>700</v>
      </c>
      <c r="C103" s="82">
        <f t="shared" si="11"/>
        <v>1500</v>
      </c>
      <c r="D103" s="44">
        <f t="shared" si="12"/>
        <v>36069.95</v>
      </c>
      <c r="E103" s="44">
        <f t="shared" si="13"/>
        <v>3290</v>
      </c>
      <c r="F103" s="55">
        <f t="shared" si="14"/>
        <v>40859.95</v>
      </c>
      <c r="G103" s="55">
        <f t="shared" si="15"/>
        <v>74.99</v>
      </c>
      <c r="H103" s="55">
        <f>G103-($F$2+$G$2+$H$2+$J$2+G103*15%)</f>
        <v>18.7615</v>
      </c>
      <c r="I103" s="59">
        <f t="shared" si="16"/>
        <v>0.250186691558874</v>
      </c>
      <c r="J103" s="55">
        <f t="shared" si="17"/>
        <v>52493</v>
      </c>
      <c r="K103" s="55">
        <f t="shared" si="18"/>
        <v>13133.05</v>
      </c>
      <c r="L103" s="59">
        <f t="shared" si="19"/>
        <v>0.321416203397214</v>
      </c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</row>
    <row r="104" s="31" customFormat="1" customHeight="1" spans="1:91">
      <c r="A104" s="42" t="s">
        <v>151</v>
      </c>
      <c r="B104" s="44">
        <f t="shared" si="10"/>
        <v>910</v>
      </c>
      <c r="C104" s="82">
        <f t="shared" si="11"/>
        <v>1500</v>
      </c>
      <c r="D104" s="44">
        <f t="shared" si="12"/>
        <v>47573.435</v>
      </c>
      <c r="E104" s="44">
        <f t="shared" si="13"/>
        <v>4277</v>
      </c>
      <c r="F104" s="55">
        <f t="shared" si="14"/>
        <v>53350.435</v>
      </c>
      <c r="G104" s="55">
        <f t="shared" si="15"/>
        <v>79.99</v>
      </c>
      <c r="H104" s="55">
        <f>G104-($F$2+$G$2+$H$2+$J$2+G104*15%)</f>
        <v>23.0115</v>
      </c>
      <c r="I104" s="59">
        <f t="shared" si="16"/>
        <v>0.287679709963745</v>
      </c>
      <c r="J104" s="55">
        <f t="shared" si="17"/>
        <v>72790.9</v>
      </c>
      <c r="K104" s="55">
        <f t="shared" si="18"/>
        <v>20940.465</v>
      </c>
      <c r="L104" s="59">
        <f t="shared" si="19"/>
        <v>0.392507858651949</v>
      </c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</row>
    <row r="105" s="31" customFormat="1" customHeight="1" spans="1:91">
      <c r="A105" s="42" t="s">
        <v>152</v>
      </c>
      <c r="B105" s="44">
        <f t="shared" si="10"/>
        <v>910</v>
      </c>
      <c r="C105" s="82">
        <f t="shared" si="11"/>
        <v>1500</v>
      </c>
      <c r="D105" s="44">
        <f t="shared" si="12"/>
        <v>47573.435</v>
      </c>
      <c r="E105" s="44">
        <f t="shared" si="13"/>
        <v>4277</v>
      </c>
      <c r="F105" s="55">
        <f t="shared" si="14"/>
        <v>53350.435</v>
      </c>
      <c r="G105" s="55">
        <f t="shared" si="15"/>
        <v>79.99</v>
      </c>
      <c r="H105" s="55">
        <f>G105-($F$2+$G$2+$H$2+$J$2+G105*15%)</f>
        <v>23.0115</v>
      </c>
      <c r="I105" s="59">
        <f t="shared" si="16"/>
        <v>0.287679709963745</v>
      </c>
      <c r="J105" s="55">
        <f t="shared" si="17"/>
        <v>72790.9</v>
      </c>
      <c r="K105" s="55">
        <f t="shared" si="18"/>
        <v>20940.465</v>
      </c>
      <c r="L105" s="59">
        <f t="shared" si="19"/>
        <v>0.392507858651949</v>
      </c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</row>
    <row r="106" s="31" customFormat="1" customHeight="1" spans="1:91">
      <c r="A106" s="42" t="s">
        <v>153</v>
      </c>
      <c r="B106" s="44">
        <f t="shared" si="10"/>
        <v>910</v>
      </c>
      <c r="C106" s="82">
        <f t="shared" si="11"/>
        <v>1500</v>
      </c>
      <c r="D106" s="44">
        <f t="shared" si="12"/>
        <v>47573.435</v>
      </c>
      <c r="E106" s="44">
        <f t="shared" si="13"/>
        <v>4277</v>
      </c>
      <c r="F106" s="55">
        <f t="shared" si="14"/>
        <v>53350.435</v>
      </c>
      <c r="G106" s="55">
        <f t="shared" si="15"/>
        <v>79.99</v>
      </c>
      <c r="H106" s="55">
        <f>G106-($F$2+$G$2+$H$2+$J$2+G106*15%)</f>
        <v>23.0115</v>
      </c>
      <c r="I106" s="59">
        <f t="shared" si="16"/>
        <v>0.287679709963745</v>
      </c>
      <c r="J106" s="55">
        <f t="shared" si="17"/>
        <v>72790.9</v>
      </c>
      <c r="K106" s="55">
        <f t="shared" si="18"/>
        <v>20940.465</v>
      </c>
      <c r="L106" s="59">
        <f t="shared" si="19"/>
        <v>0.392507858651949</v>
      </c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</row>
    <row r="107" s="31" customFormat="1" customHeight="1" spans="1:91">
      <c r="A107" s="42" t="s">
        <v>154</v>
      </c>
      <c r="B107" s="44">
        <f t="shared" si="10"/>
        <v>910</v>
      </c>
      <c r="C107" s="82">
        <f t="shared" si="11"/>
        <v>1500</v>
      </c>
      <c r="D107" s="44">
        <f t="shared" si="12"/>
        <v>47573.435</v>
      </c>
      <c r="E107" s="44">
        <f t="shared" si="13"/>
        <v>4277</v>
      </c>
      <c r="F107" s="55">
        <f t="shared" si="14"/>
        <v>53350.435</v>
      </c>
      <c r="G107" s="55">
        <f t="shared" si="15"/>
        <v>79.99</v>
      </c>
      <c r="H107" s="55">
        <f>G107-($F$2+$G$2+$H$2+$J$2+G107*15%)</f>
        <v>23.0115</v>
      </c>
      <c r="I107" s="59">
        <f t="shared" si="16"/>
        <v>0.287679709963745</v>
      </c>
      <c r="J107" s="55">
        <f t="shared" si="17"/>
        <v>72790.9</v>
      </c>
      <c r="K107" s="55">
        <f t="shared" si="18"/>
        <v>20940.465</v>
      </c>
      <c r="L107" s="59">
        <f t="shared" si="19"/>
        <v>0.392507858651949</v>
      </c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</row>
    <row r="108" s="31" customFormat="1" customHeight="1" spans="1:91">
      <c r="A108" s="42" t="s">
        <v>155</v>
      </c>
      <c r="B108" s="44">
        <f t="shared" si="10"/>
        <v>840</v>
      </c>
      <c r="C108" s="82">
        <f t="shared" si="11"/>
        <v>1500</v>
      </c>
      <c r="D108" s="44">
        <f t="shared" si="12"/>
        <v>43913.94</v>
      </c>
      <c r="E108" s="44">
        <f t="shared" si="13"/>
        <v>3948</v>
      </c>
      <c r="F108" s="55">
        <f t="shared" si="14"/>
        <v>49361.94</v>
      </c>
      <c r="G108" s="55">
        <f t="shared" si="15"/>
        <v>79.99</v>
      </c>
      <c r="H108" s="55">
        <f>G108-($F$2+$G$2+$H$2+$J$2+G108*15%)</f>
        <v>23.0115</v>
      </c>
      <c r="I108" s="59">
        <f t="shared" si="16"/>
        <v>0.287679709963745</v>
      </c>
      <c r="J108" s="55">
        <f t="shared" si="17"/>
        <v>67191.6</v>
      </c>
      <c r="K108" s="55">
        <f t="shared" si="18"/>
        <v>19329.66</v>
      </c>
      <c r="L108" s="59">
        <f t="shared" si="19"/>
        <v>0.391590362939544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</row>
    <row r="109" s="31" customFormat="1" customHeight="1" spans="1:91">
      <c r="A109" s="42" t="s">
        <v>156</v>
      </c>
      <c r="B109" s="44">
        <f t="shared" si="10"/>
        <v>840</v>
      </c>
      <c r="C109" s="82">
        <f t="shared" si="11"/>
        <v>1500</v>
      </c>
      <c r="D109" s="44">
        <f t="shared" si="12"/>
        <v>43913.94</v>
      </c>
      <c r="E109" s="44">
        <f t="shared" si="13"/>
        <v>3948</v>
      </c>
      <c r="F109" s="55">
        <f t="shared" si="14"/>
        <v>49361.94</v>
      </c>
      <c r="G109" s="55">
        <f t="shared" si="15"/>
        <v>79.99</v>
      </c>
      <c r="H109" s="55">
        <f>G109-($F$2+$G$2+$H$2+$J$2+G109*15%)</f>
        <v>23.0115</v>
      </c>
      <c r="I109" s="59">
        <f t="shared" si="16"/>
        <v>0.287679709963745</v>
      </c>
      <c r="J109" s="55">
        <f t="shared" si="17"/>
        <v>67191.6</v>
      </c>
      <c r="K109" s="55">
        <f t="shared" si="18"/>
        <v>19329.66</v>
      </c>
      <c r="L109" s="59">
        <f t="shared" si="19"/>
        <v>0.391590362939544</v>
      </c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</row>
    <row r="110" s="31" customFormat="1" customHeight="1" spans="1:91">
      <c r="A110" s="42" t="s">
        <v>157</v>
      </c>
      <c r="B110" s="44">
        <f t="shared" si="10"/>
        <v>840</v>
      </c>
      <c r="C110" s="82">
        <f t="shared" si="11"/>
        <v>1500</v>
      </c>
      <c r="D110" s="44">
        <f t="shared" si="12"/>
        <v>43913.94</v>
      </c>
      <c r="E110" s="44">
        <f t="shared" si="13"/>
        <v>3948</v>
      </c>
      <c r="F110" s="55">
        <f t="shared" si="14"/>
        <v>49361.94</v>
      </c>
      <c r="G110" s="55">
        <f t="shared" si="15"/>
        <v>79.99</v>
      </c>
      <c r="H110" s="55">
        <f>G110-($F$2+$G$2+$H$2+$J$2+G110*15%)</f>
        <v>23.0115</v>
      </c>
      <c r="I110" s="59">
        <f t="shared" si="16"/>
        <v>0.287679709963745</v>
      </c>
      <c r="J110" s="55">
        <f t="shared" si="17"/>
        <v>67191.6</v>
      </c>
      <c r="K110" s="55">
        <f t="shared" si="18"/>
        <v>19329.66</v>
      </c>
      <c r="L110" s="59">
        <f t="shared" si="19"/>
        <v>0.391590362939544</v>
      </c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</row>
    <row r="111" s="31" customFormat="1" customHeight="1" spans="1:91">
      <c r="A111" s="42" t="s">
        <v>158</v>
      </c>
      <c r="B111" s="44">
        <f t="shared" si="10"/>
        <v>840</v>
      </c>
      <c r="C111" s="82">
        <f t="shared" si="11"/>
        <v>1500</v>
      </c>
      <c r="D111" s="44">
        <f t="shared" si="12"/>
        <v>43913.94</v>
      </c>
      <c r="E111" s="44">
        <f t="shared" si="13"/>
        <v>3948</v>
      </c>
      <c r="F111" s="55">
        <f t="shared" si="14"/>
        <v>49361.94</v>
      </c>
      <c r="G111" s="55">
        <f t="shared" si="15"/>
        <v>79.99</v>
      </c>
      <c r="H111" s="55">
        <f>G111-($F$2+$G$2+$H$2+$J$2+G111*15%)</f>
        <v>23.0115</v>
      </c>
      <c r="I111" s="59">
        <f t="shared" si="16"/>
        <v>0.287679709963745</v>
      </c>
      <c r="J111" s="55">
        <f t="shared" si="17"/>
        <v>67191.6</v>
      </c>
      <c r="K111" s="55">
        <f t="shared" si="18"/>
        <v>19329.66</v>
      </c>
      <c r="L111" s="59">
        <f t="shared" si="19"/>
        <v>0.391590362939544</v>
      </c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</row>
    <row r="112" s="31" customFormat="1" customHeight="1" spans="1:91">
      <c r="A112" s="42" t="s">
        <v>159</v>
      </c>
      <c r="B112" s="44">
        <f t="shared" si="10"/>
        <v>980</v>
      </c>
      <c r="C112" s="82">
        <f t="shared" si="11"/>
        <v>1500</v>
      </c>
      <c r="D112" s="44">
        <f t="shared" si="12"/>
        <v>51232.93</v>
      </c>
      <c r="E112" s="44">
        <f t="shared" si="13"/>
        <v>4606</v>
      </c>
      <c r="F112" s="55">
        <f t="shared" si="14"/>
        <v>57338.93</v>
      </c>
      <c r="G112" s="55">
        <f t="shared" si="15"/>
        <v>79.99</v>
      </c>
      <c r="H112" s="55">
        <f>G112-($F$2+$G$2+$H$2+$J$2+G112*15%)</f>
        <v>23.0115</v>
      </c>
      <c r="I112" s="59">
        <f t="shared" si="16"/>
        <v>0.287679709963745</v>
      </c>
      <c r="J112" s="55">
        <f t="shared" si="17"/>
        <v>78390.2</v>
      </c>
      <c r="K112" s="55">
        <f t="shared" si="18"/>
        <v>22551.27</v>
      </c>
      <c r="L112" s="59">
        <f t="shared" si="19"/>
        <v>0.393297712391912</v>
      </c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</row>
    <row r="113" s="31" customFormat="1" customHeight="1" spans="1:91">
      <c r="A113" s="42" t="s">
        <v>160</v>
      </c>
      <c r="B113" s="44">
        <f t="shared" si="10"/>
        <v>980</v>
      </c>
      <c r="C113" s="82">
        <f t="shared" si="11"/>
        <v>1500</v>
      </c>
      <c r="D113" s="44">
        <f t="shared" si="12"/>
        <v>51232.93</v>
      </c>
      <c r="E113" s="44">
        <f t="shared" si="13"/>
        <v>4606</v>
      </c>
      <c r="F113" s="55">
        <f t="shared" si="14"/>
        <v>57338.93</v>
      </c>
      <c r="G113" s="55">
        <f t="shared" si="15"/>
        <v>79.99</v>
      </c>
      <c r="H113" s="55">
        <f>G113-($F$2+$G$2+$H$2+$J$2+G113*15%)</f>
        <v>23.0115</v>
      </c>
      <c r="I113" s="59">
        <f t="shared" si="16"/>
        <v>0.287679709963745</v>
      </c>
      <c r="J113" s="55">
        <f t="shared" si="17"/>
        <v>78390.2</v>
      </c>
      <c r="K113" s="55">
        <f t="shared" si="18"/>
        <v>22551.27</v>
      </c>
      <c r="L113" s="59">
        <f t="shared" si="19"/>
        <v>0.393297712391912</v>
      </c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</row>
    <row r="114" s="31" customFormat="1" customHeight="1" spans="1:91">
      <c r="A114" s="42" t="s">
        <v>161</v>
      </c>
      <c r="B114" s="44">
        <f t="shared" si="10"/>
        <v>980</v>
      </c>
      <c r="C114" s="82">
        <f t="shared" si="11"/>
        <v>1500</v>
      </c>
      <c r="D114" s="44">
        <f t="shared" si="12"/>
        <v>51232.93</v>
      </c>
      <c r="E114" s="44">
        <f t="shared" si="13"/>
        <v>4606</v>
      </c>
      <c r="F114" s="55">
        <f t="shared" si="14"/>
        <v>57338.93</v>
      </c>
      <c r="G114" s="55">
        <f t="shared" si="15"/>
        <v>79.99</v>
      </c>
      <c r="H114" s="55">
        <f>G114-($F$2+$G$2+$H$2+$J$2+G114*15%)</f>
        <v>23.0115</v>
      </c>
      <c r="I114" s="59">
        <f t="shared" si="16"/>
        <v>0.287679709963745</v>
      </c>
      <c r="J114" s="55">
        <f t="shared" si="17"/>
        <v>78390.2</v>
      </c>
      <c r="K114" s="55">
        <f t="shared" si="18"/>
        <v>22551.27</v>
      </c>
      <c r="L114" s="59">
        <f t="shared" si="19"/>
        <v>0.393297712391912</v>
      </c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</row>
    <row r="115" s="31" customFormat="1" customHeight="1" spans="1:91">
      <c r="A115" s="42" t="s">
        <v>162</v>
      </c>
      <c r="B115" s="44">
        <f t="shared" si="10"/>
        <v>980</v>
      </c>
      <c r="C115" s="82">
        <f t="shared" si="11"/>
        <v>1500</v>
      </c>
      <c r="D115" s="44">
        <f t="shared" si="12"/>
        <v>51232.93</v>
      </c>
      <c r="E115" s="44">
        <f t="shared" si="13"/>
        <v>4606</v>
      </c>
      <c r="F115" s="55">
        <f t="shared" si="14"/>
        <v>57338.93</v>
      </c>
      <c r="G115" s="55">
        <f t="shared" si="15"/>
        <v>79.99</v>
      </c>
      <c r="H115" s="55">
        <f>G115-($F$2+$G$2+$H$2+$J$2+G115*15%)</f>
        <v>23.0115</v>
      </c>
      <c r="I115" s="59">
        <f t="shared" si="16"/>
        <v>0.287679709963745</v>
      </c>
      <c r="J115" s="55">
        <f t="shared" si="17"/>
        <v>78390.2</v>
      </c>
      <c r="K115" s="55">
        <f t="shared" si="18"/>
        <v>22551.27</v>
      </c>
      <c r="L115" s="59">
        <f t="shared" si="19"/>
        <v>0.393297712391912</v>
      </c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</row>
    <row r="116" s="31" customFormat="1" customHeight="1" spans="1:91">
      <c r="A116" s="42" t="s">
        <v>163</v>
      </c>
      <c r="B116" s="44">
        <f t="shared" si="10"/>
        <v>980</v>
      </c>
      <c r="C116" s="82">
        <f t="shared" si="11"/>
        <v>1500</v>
      </c>
      <c r="D116" s="44">
        <f t="shared" si="12"/>
        <v>51232.93</v>
      </c>
      <c r="E116" s="44">
        <f t="shared" si="13"/>
        <v>4606</v>
      </c>
      <c r="F116" s="55">
        <f t="shared" si="14"/>
        <v>57338.93</v>
      </c>
      <c r="G116" s="55">
        <f t="shared" si="15"/>
        <v>79.99</v>
      </c>
      <c r="H116" s="55">
        <f>G116-($F$2+$G$2+$H$2+$J$2+G116*15%)</f>
        <v>23.0115</v>
      </c>
      <c r="I116" s="59">
        <f t="shared" si="16"/>
        <v>0.287679709963745</v>
      </c>
      <c r="J116" s="55">
        <f t="shared" si="17"/>
        <v>78390.2</v>
      </c>
      <c r="K116" s="55">
        <f t="shared" si="18"/>
        <v>22551.27</v>
      </c>
      <c r="L116" s="59">
        <f t="shared" si="19"/>
        <v>0.393297712391912</v>
      </c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</row>
    <row r="117" s="31" customFormat="1" customHeight="1" spans="1:91">
      <c r="A117" s="42" t="s">
        <v>164</v>
      </c>
      <c r="B117" s="44">
        <f t="shared" si="10"/>
        <v>980</v>
      </c>
      <c r="C117" s="82">
        <f t="shared" si="11"/>
        <v>1500</v>
      </c>
      <c r="D117" s="44">
        <f t="shared" si="12"/>
        <v>51232.93</v>
      </c>
      <c r="E117" s="44">
        <f t="shared" si="13"/>
        <v>4606</v>
      </c>
      <c r="F117" s="55">
        <f t="shared" si="14"/>
        <v>57338.93</v>
      </c>
      <c r="G117" s="55">
        <f t="shared" si="15"/>
        <v>79.99</v>
      </c>
      <c r="H117" s="55">
        <f>G117-($F$2+$G$2+$H$2+$J$2+G117*15%)</f>
        <v>23.0115</v>
      </c>
      <c r="I117" s="59">
        <f t="shared" si="16"/>
        <v>0.287679709963745</v>
      </c>
      <c r="J117" s="55">
        <f t="shared" si="17"/>
        <v>78390.2</v>
      </c>
      <c r="K117" s="55">
        <f t="shared" si="18"/>
        <v>22551.27</v>
      </c>
      <c r="L117" s="59">
        <f t="shared" si="19"/>
        <v>0.393297712391912</v>
      </c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</row>
    <row r="118" s="31" customFormat="1" customHeight="1" spans="1:91">
      <c r="A118" s="42" t="s">
        <v>165</v>
      </c>
      <c r="B118" s="44">
        <f t="shared" si="10"/>
        <v>980</v>
      </c>
      <c r="C118" s="82">
        <f t="shared" si="11"/>
        <v>1500</v>
      </c>
      <c r="D118" s="44">
        <f t="shared" si="12"/>
        <v>51232.93</v>
      </c>
      <c r="E118" s="44">
        <f t="shared" si="13"/>
        <v>4606</v>
      </c>
      <c r="F118" s="55">
        <f t="shared" si="14"/>
        <v>57338.93</v>
      </c>
      <c r="G118" s="55">
        <f t="shared" si="15"/>
        <v>79.99</v>
      </c>
      <c r="H118" s="55">
        <f>G118-($F$2+$G$2+$H$2+$J$2+G118*15%)</f>
        <v>23.0115</v>
      </c>
      <c r="I118" s="59">
        <f t="shared" si="16"/>
        <v>0.287679709963745</v>
      </c>
      <c r="J118" s="55">
        <f t="shared" si="17"/>
        <v>78390.2</v>
      </c>
      <c r="K118" s="55">
        <f t="shared" si="18"/>
        <v>22551.27</v>
      </c>
      <c r="L118" s="59">
        <f t="shared" si="19"/>
        <v>0.393297712391912</v>
      </c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</row>
    <row r="119" s="31" customFormat="1" customHeight="1" spans="1:91">
      <c r="A119" s="42" t="s">
        <v>166</v>
      </c>
      <c r="B119" s="44">
        <f t="shared" si="10"/>
        <v>980</v>
      </c>
      <c r="C119" s="82">
        <f t="shared" si="11"/>
        <v>1500</v>
      </c>
      <c r="D119" s="44">
        <f t="shared" si="12"/>
        <v>51232.93</v>
      </c>
      <c r="E119" s="44">
        <f t="shared" si="13"/>
        <v>4606</v>
      </c>
      <c r="F119" s="55">
        <f t="shared" si="14"/>
        <v>57338.93</v>
      </c>
      <c r="G119" s="55">
        <f t="shared" si="15"/>
        <v>79.99</v>
      </c>
      <c r="H119" s="55">
        <f>G119-($F$2+$G$2+$H$2+$J$2+G119*15%)</f>
        <v>23.0115</v>
      </c>
      <c r="I119" s="59">
        <f t="shared" si="16"/>
        <v>0.287679709963745</v>
      </c>
      <c r="J119" s="55">
        <f t="shared" si="17"/>
        <v>78390.2</v>
      </c>
      <c r="K119" s="55">
        <f t="shared" si="18"/>
        <v>22551.27</v>
      </c>
      <c r="L119" s="59">
        <f t="shared" si="19"/>
        <v>0.393297712391912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</row>
    <row r="120" s="31" customFormat="1" customHeight="1" spans="1:91">
      <c r="A120" s="42" t="s">
        <v>167</v>
      </c>
      <c r="B120" s="44">
        <f t="shared" si="10"/>
        <v>980</v>
      </c>
      <c r="C120" s="82">
        <f t="shared" si="11"/>
        <v>1500</v>
      </c>
      <c r="D120" s="44">
        <f t="shared" si="12"/>
        <v>51232.93</v>
      </c>
      <c r="E120" s="44">
        <f t="shared" si="13"/>
        <v>4606</v>
      </c>
      <c r="F120" s="55">
        <f t="shared" si="14"/>
        <v>57338.93</v>
      </c>
      <c r="G120" s="55">
        <f t="shared" si="15"/>
        <v>79.99</v>
      </c>
      <c r="H120" s="55">
        <f>G120-($F$2+$G$2+$H$2+$J$2+G120*15%)</f>
        <v>23.0115</v>
      </c>
      <c r="I120" s="59">
        <f t="shared" si="16"/>
        <v>0.287679709963745</v>
      </c>
      <c r="J120" s="55">
        <f t="shared" si="17"/>
        <v>78390.2</v>
      </c>
      <c r="K120" s="55">
        <f t="shared" si="18"/>
        <v>22551.27</v>
      </c>
      <c r="L120" s="59">
        <f t="shared" si="19"/>
        <v>0.393297712391912</v>
      </c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</row>
    <row r="121" s="31" customFormat="1" customHeight="1" spans="1:91">
      <c r="A121" s="42" t="s">
        <v>168</v>
      </c>
      <c r="B121" s="44">
        <f t="shared" si="10"/>
        <v>980</v>
      </c>
      <c r="C121" s="82">
        <f t="shared" si="11"/>
        <v>1500</v>
      </c>
      <c r="D121" s="44">
        <f t="shared" si="12"/>
        <v>51232.93</v>
      </c>
      <c r="E121" s="44">
        <f t="shared" si="13"/>
        <v>4606</v>
      </c>
      <c r="F121" s="55">
        <f t="shared" si="14"/>
        <v>57338.93</v>
      </c>
      <c r="G121" s="55">
        <f t="shared" si="15"/>
        <v>79.99</v>
      </c>
      <c r="H121" s="55">
        <f>G121-($F$2+$G$2+$H$2+$J$2+G121*15%)</f>
        <v>23.0115</v>
      </c>
      <c r="I121" s="59">
        <f t="shared" si="16"/>
        <v>0.287679709963745</v>
      </c>
      <c r="J121" s="55">
        <f t="shared" si="17"/>
        <v>78390.2</v>
      </c>
      <c r="K121" s="55">
        <f t="shared" si="18"/>
        <v>22551.27</v>
      </c>
      <c r="L121" s="59">
        <f t="shared" si="19"/>
        <v>0.393297712391912</v>
      </c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</row>
    <row r="122" s="31" customFormat="1" customHeight="1" spans="1:91">
      <c r="A122" s="42" t="s">
        <v>169</v>
      </c>
      <c r="B122" s="44">
        <f t="shared" si="10"/>
        <v>980</v>
      </c>
      <c r="C122" s="82">
        <f t="shared" si="11"/>
        <v>1500</v>
      </c>
      <c r="D122" s="44">
        <f t="shared" si="12"/>
        <v>51232.93</v>
      </c>
      <c r="E122" s="44">
        <f t="shared" si="13"/>
        <v>4606</v>
      </c>
      <c r="F122" s="55">
        <f t="shared" si="14"/>
        <v>57338.93</v>
      </c>
      <c r="G122" s="55">
        <f t="shared" si="15"/>
        <v>79.99</v>
      </c>
      <c r="H122" s="55">
        <f>G122-($F$2+$G$2+$H$2+$J$2+G122*15%)</f>
        <v>23.0115</v>
      </c>
      <c r="I122" s="59">
        <f t="shared" si="16"/>
        <v>0.287679709963745</v>
      </c>
      <c r="J122" s="55">
        <f t="shared" si="17"/>
        <v>78390.2</v>
      </c>
      <c r="K122" s="55">
        <f t="shared" si="18"/>
        <v>22551.27</v>
      </c>
      <c r="L122" s="59">
        <f t="shared" si="19"/>
        <v>0.393297712391912</v>
      </c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</row>
    <row r="123" s="31" customFormat="1" customHeight="1" spans="1:91">
      <c r="A123" s="42" t="s">
        <v>170</v>
      </c>
      <c r="B123" s="44">
        <f t="shared" si="10"/>
        <v>980</v>
      </c>
      <c r="C123" s="82">
        <f t="shared" si="11"/>
        <v>1500</v>
      </c>
      <c r="D123" s="44">
        <f t="shared" si="12"/>
        <v>51232.93</v>
      </c>
      <c r="E123" s="44">
        <f t="shared" si="13"/>
        <v>4606</v>
      </c>
      <c r="F123" s="55">
        <f t="shared" si="14"/>
        <v>57338.93</v>
      </c>
      <c r="G123" s="55">
        <f t="shared" si="15"/>
        <v>79.99</v>
      </c>
      <c r="H123" s="55">
        <f>G123-($F$2+$G$2+$H$2+$J$2+G123*15%)</f>
        <v>23.0115</v>
      </c>
      <c r="I123" s="59">
        <f t="shared" si="16"/>
        <v>0.287679709963745</v>
      </c>
      <c r="J123" s="55">
        <f t="shared" si="17"/>
        <v>78390.2</v>
      </c>
      <c r="K123" s="55">
        <f t="shared" si="18"/>
        <v>22551.27</v>
      </c>
      <c r="L123" s="59">
        <f t="shared" si="19"/>
        <v>0.393297712391912</v>
      </c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</row>
    <row r="124" s="31" customFormat="1" customHeight="1" spans="1:91">
      <c r="A124" s="42" t="s">
        <v>171</v>
      </c>
      <c r="B124" s="44">
        <f t="shared" si="10"/>
        <v>980</v>
      </c>
      <c r="C124" s="82">
        <f t="shared" si="11"/>
        <v>1500</v>
      </c>
      <c r="D124" s="44">
        <f t="shared" si="12"/>
        <v>51232.93</v>
      </c>
      <c r="E124" s="44">
        <f t="shared" si="13"/>
        <v>4606</v>
      </c>
      <c r="F124" s="55">
        <f t="shared" si="14"/>
        <v>57338.93</v>
      </c>
      <c r="G124" s="55">
        <f t="shared" si="15"/>
        <v>79.99</v>
      </c>
      <c r="H124" s="55">
        <f>G124-($F$2+$G$2+$H$2+$J$2+G124*15%)</f>
        <v>23.0115</v>
      </c>
      <c r="I124" s="59">
        <f t="shared" si="16"/>
        <v>0.287679709963745</v>
      </c>
      <c r="J124" s="55">
        <f t="shared" si="17"/>
        <v>78390.2</v>
      </c>
      <c r="K124" s="55">
        <f t="shared" si="18"/>
        <v>22551.27</v>
      </c>
      <c r="L124" s="59">
        <f t="shared" si="19"/>
        <v>0.393297712391912</v>
      </c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</row>
    <row r="125" s="31" customFormat="1" customHeight="1" spans="1:91">
      <c r="A125" s="42" t="s">
        <v>172</v>
      </c>
      <c r="B125" s="44">
        <f t="shared" si="10"/>
        <v>980</v>
      </c>
      <c r="C125" s="82">
        <f t="shared" si="11"/>
        <v>1500</v>
      </c>
      <c r="D125" s="44">
        <f t="shared" si="12"/>
        <v>51232.93</v>
      </c>
      <c r="E125" s="44">
        <f t="shared" si="13"/>
        <v>4606</v>
      </c>
      <c r="F125" s="55">
        <f t="shared" si="14"/>
        <v>57338.93</v>
      </c>
      <c r="G125" s="55">
        <f t="shared" si="15"/>
        <v>79.99</v>
      </c>
      <c r="H125" s="55">
        <f>G125-($F$2+$G$2+$H$2+$J$2+G125*15%)</f>
        <v>23.0115</v>
      </c>
      <c r="I125" s="59">
        <f t="shared" si="16"/>
        <v>0.287679709963745</v>
      </c>
      <c r="J125" s="55">
        <f t="shared" si="17"/>
        <v>78390.2</v>
      </c>
      <c r="K125" s="55">
        <f t="shared" si="18"/>
        <v>22551.27</v>
      </c>
      <c r="L125" s="59">
        <f t="shared" si="19"/>
        <v>0.393297712391912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</row>
    <row r="126" s="31" customFormat="1" customHeight="1" spans="1:91">
      <c r="A126" s="42" t="s">
        <v>173</v>
      </c>
      <c r="B126" s="44">
        <f t="shared" si="10"/>
        <v>980</v>
      </c>
      <c r="C126" s="82">
        <f t="shared" si="11"/>
        <v>1500</v>
      </c>
      <c r="D126" s="44">
        <f t="shared" si="12"/>
        <v>51232.93</v>
      </c>
      <c r="E126" s="44">
        <f t="shared" si="13"/>
        <v>4606</v>
      </c>
      <c r="F126" s="55">
        <f t="shared" si="14"/>
        <v>57338.93</v>
      </c>
      <c r="G126" s="55">
        <f t="shared" si="15"/>
        <v>79.99</v>
      </c>
      <c r="H126" s="55">
        <f>G126-($F$2+$G$2+$H$2+$J$2+G126*15%)</f>
        <v>23.0115</v>
      </c>
      <c r="I126" s="59">
        <f t="shared" si="16"/>
        <v>0.287679709963745</v>
      </c>
      <c r="J126" s="55">
        <f t="shared" si="17"/>
        <v>78390.2</v>
      </c>
      <c r="K126" s="55">
        <f t="shared" si="18"/>
        <v>22551.27</v>
      </c>
      <c r="L126" s="59">
        <f t="shared" si="19"/>
        <v>0.393297712391912</v>
      </c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</row>
    <row r="127" s="31" customFormat="1" customHeight="1" spans="1:91">
      <c r="A127" s="42" t="s">
        <v>174</v>
      </c>
      <c r="B127" s="44">
        <f t="shared" si="10"/>
        <v>980</v>
      </c>
      <c r="C127" s="82">
        <f t="shared" si="11"/>
        <v>1500</v>
      </c>
      <c r="D127" s="44">
        <f t="shared" si="12"/>
        <v>51232.93</v>
      </c>
      <c r="E127" s="44">
        <f t="shared" si="13"/>
        <v>4606</v>
      </c>
      <c r="F127" s="55">
        <f t="shared" si="14"/>
        <v>57338.93</v>
      </c>
      <c r="G127" s="55">
        <f t="shared" si="15"/>
        <v>79.99</v>
      </c>
      <c r="H127" s="55">
        <f>G127-($F$2+$G$2+$H$2+$J$2+G127*15%)</f>
        <v>23.0115</v>
      </c>
      <c r="I127" s="59">
        <f t="shared" si="16"/>
        <v>0.287679709963745</v>
      </c>
      <c r="J127" s="55">
        <f t="shared" si="17"/>
        <v>78390.2</v>
      </c>
      <c r="K127" s="55">
        <f t="shared" si="18"/>
        <v>22551.27</v>
      </c>
      <c r="L127" s="59">
        <f t="shared" si="19"/>
        <v>0.393297712391912</v>
      </c>
      <c r="M127" s="39"/>
      <c r="N127" s="39"/>
      <c r="O127" s="39"/>
      <c r="P127" s="39"/>
      <c r="Q127" s="39"/>
      <c r="R127" s="39"/>
      <c r="S127" s="35"/>
      <c r="T127" s="39"/>
      <c r="U127" s="39"/>
      <c r="V127" s="39"/>
      <c r="W127" s="84"/>
      <c r="X127" s="84"/>
      <c r="Y127" s="39"/>
      <c r="Z127" s="39"/>
      <c r="AA127" s="39"/>
      <c r="AB127" s="84"/>
      <c r="AC127" s="84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</row>
    <row r="128" s="31" customFormat="1" customHeight="1" spans="1:91">
      <c r="A128" s="42" t="s">
        <v>175</v>
      </c>
      <c r="B128" s="44">
        <f t="shared" si="10"/>
        <v>980</v>
      </c>
      <c r="C128" s="82">
        <f t="shared" si="11"/>
        <v>1500</v>
      </c>
      <c r="D128" s="44">
        <f t="shared" si="12"/>
        <v>51232.93</v>
      </c>
      <c r="E128" s="44">
        <f t="shared" si="13"/>
        <v>4606</v>
      </c>
      <c r="F128" s="55">
        <f t="shared" si="14"/>
        <v>57338.93</v>
      </c>
      <c r="G128" s="55">
        <f t="shared" si="15"/>
        <v>79.99</v>
      </c>
      <c r="H128" s="55">
        <f>G128-($F$2+$G$2+$H$2+$J$2+G128*15%)</f>
        <v>23.0115</v>
      </c>
      <c r="I128" s="59">
        <f t="shared" si="16"/>
        <v>0.287679709963745</v>
      </c>
      <c r="J128" s="55">
        <f t="shared" si="17"/>
        <v>78390.2</v>
      </c>
      <c r="K128" s="55">
        <f t="shared" si="18"/>
        <v>22551.27</v>
      </c>
      <c r="L128" s="59">
        <f t="shared" si="19"/>
        <v>0.393297712391912</v>
      </c>
      <c r="M128" s="39"/>
      <c r="N128" s="39"/>
      <c r="O128" s="39"/>
      <c r="P128" s="39"/>
      <c r="Q128" s="39"/>
      <c r="R128" s="39"/>
      <c r="S128" s="35"/>
      <c r="T128" s="39"/>
      <c r="U128" s="39"/>
      <c r="V128" s="39"/>
      <c r="W128" s="84"/>
      <c r="X128" s="84"/>
      <c r="Y128" s="39"/>
      <c r="Z128" s="39"/>
      <c r="AA128" s="39"/>
      <c r="AB128" s="84"/>
      <c r="AC128" s="84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</row>
    <row r="129" s="31" customFormat="1" customHeight="1" spans="1:91">
      <c r="A129" s="42" t="s">
        <v>176</v>
      </c>
      <c r="B129" s="44">
        <f t="shared" si="10"/>
        <v>840</v>
      </c>
      <c r="C129" s="82">
        <f t="shared" si="11"/>
        <v>1500</v>
      </c>
      <c r="D129" s="44">
        <f t="shared" si="12"/>
        <v>43913.94</v>
      </c>
      <c r="E129" s="44">
        <f t="shared" si="13"/>
        <v>3948</v>
      </c>
      <c r="F129" s="55">
        <f t="shared" si="14"/>
        <v>49361.94</v>
      </c>
      <c r="G129" s="55">
        <f t="shared" si="15"/>
        <v>79.99</v>
      </c>
      <c r="H129" s="55">
        <f>G129-($F$2+$G$2+$H$2+$J$2+G129*15%)</f>
        <v>23.0115</v>
      </c>
      <c r="I129" s="59">
        <f t="shared" si="16"/>
        <v>0.287679709963745</v>
      </c>
      <c r="J129" s="55">
        <f t="shared" si="17"/>
        <v>67191.6</v>
      </c>
      <c r="K129" s="55">
        <f t="shared" si="18"/>
        <v>19329.66</v>
      </c>
      <c r="L129" s="59">
        <f t="shared" si="19"/>
        <v>0.391590362939544</v>
      </c>
      <c r="M129" s="39"/>
      <c r="N129" s="39"/>
      <c r="O129" s="39"/>
      <c r="P129" s="39"/>
      <c r="Q129" s="39"/>
      <c r="R129" s="39"/>
      <c r="S129" s="35"/>
      <c r="T129" s="39"/>
      <c r="U129" s="39"/>
      <c r="V129" s="39"/>
      <c r="W129" s="84"/>
      <c r="X129" s="84"/>
      <c r="Y129" s="39"/>
      <c r="Z129" s="39"/>
      <c r="AA129" s="39"/>
      <c r="AB129" s="84"/>
      <c r="AC129" s="84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</row>
    <row r="130" s="31" customFormat="1" customHeight="1" spans="1:91">
      <c r="A130" s="42" t="s">
        <v>177</v>
      </c>
      <c r="B130" s="44">
        <f t="shared" si="10"/>
        <v>840</v>
      </c>
      <c r="C130" s="82">
        <f t="shared" si="11"/>
        <v>1500</v>
      </c>
      <c r="D130" s="44">
        <f t="shared" si="12"/>
        <v>43913.94</v>
      </c>
      <c r="E130" s="44">
        <f t="shared" si="13"/>
        <v>3948</v>
      </c>
      <c r="F130" s="55">
        <f t="shared" si="14"/>
        <v>49361.94</v>
      </c>
      <c r="G130" s="55">
        <f t="shared" si="15"/>
        <v>79.99</v>
      </c>
      <c r="H130" s="55">
        <f>G130-($F$2+$G$2+$H$2+$J$2+G130*15%)</f>
        <v>23.0115</v>
      </c>
      <c r="I130" s="59">
        <f t="shared" si="16"/>
        <v>0.287679709963745</v>
      </c>
      <c r="J130" s="55">
        <f t="shared" si="17"/>
        <v>67191.6</v>
      </c>
      <c r="K130" s="55">
        <f t="shared" si="18"/>
        <v>19329.66</v>
      </c>
      <c r="L130" s="59">
        <f t="shared" si="19"/>
        <v>0.391590362939544</v>
      </c>
      <c r="M130" s="39"/>
      <c r="N130" s="39"/>
      <c r="O130" s="39"/>
      <c r="P130" s="39"/>
      <c r="Q130" s="39"/>
      <c r="R130" s="39"/>
      <c r="S130" s="35"/>
      <c r="T130" s="39"/>
      <c r="U130" s="39"/>
      <c r="V130" s="39"/>
      <c r="W130" s="84"/>
      <c r="X130" s="84"/>
      <c r="Y130" s="39"/>
      <c r="Z130" s="39"/>
      <c r="AA130" s="39"/>
      <c r="AB130" s="84"/>
      <c r="AC130" s="84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</row>
    <row r="131" s="31" customFormat="1" customHeight="1" spans="1:91">
      <c r="A131" s="42" t="s">
        <v>178</v>
      </c>
      <c r="B131" s="44">
        <f t="shared" si="10"/>
        <v>840</v>
      </c>
      <c r="C131" s="82">
        <f t="shared" si="11"/>
        <v>1500</v>
      </c>
      <c r="D131" s="44">
        <f t="shared" si="12"/>
        <v>43913.94</v>
      </c>
      <c r="E131" s="44">
        <f t="shared" si="13"/>
        <v>3948</v>
      </c>
      <c r="F131" s="55">
        <f t="shared" si="14"/>
        <v>49361.94</v>
      </c>
      <c r="G131" s="55">
        <f t="shared" si="15"/>
        <v>79.99</v>
      </c>
      <c r="H131" s="55">
        <f>G131-($F$2+$G$2+$H$2+$J$2+G131*15%)</f>
        <v>23.0115</v>
      </c>
      <c r="I131" s="59">
        <f t="shared" si="16"/>
        <v>0.287679709963745</v>
      </c>
      <c r="J131" s="55">
        <f t="shared" si="17"/>
        <v>67191.6</v>
      </c>
      <c r="K131" s="55">
        <f t="shared" si="18"/>
        <v>19329.66</v>
      </c>
      <c r="L131" s="59">
        <f t="shared" si="19"/>
        <v>0.391590362939544</v>
      </c>
      <c r="M131" s="39"/>
      <c r="N131" s="39"/>
      <c r="O131" s="39"/>
      <c r="P131" s="39"/>
      <c r="Q131" s="39"/>
      <c r="R131" s="39"/>
      <c r="S131" s="35"/>
      <c r="T131" s="39"/>
      <c r="U131" s="39"/>
      <c r="V131" s="39"/>
      <c r="W131" s="84"/>
      <c r="X131" s="84"/>
      <c r="Y131" s="39"/>
      <c r="Z131" s="39"/>
      <c r="AA131" s="39"/>
      <c r="AB131" s="84"/>
      <c r="AC131" s="84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</row>
    <row r="132" s="31" customFormat="1" customHeight="1" spans="1:91">
      <c r="A132" s="42" t="s">
        <v>179</v>
      </c>
      <c r="B132" s="44">
        <f t="shared" si="10"/>
        <v>840</v>
      </c>
      <c r="C132" s="82">
        <f t="shared" si="11"/>
        <v>1500</v>
      </c>
      <c r="D132" s="44">
        <f t="shared" si="12"/>
        <v>43913.94</v>
      </c>
      <c r="E132" s="44">
        <f t="shared" si="13"/>
        <v>3948</v>
      </c>
      <c r="F132" s="55">
        <f t="shared" si="14"/>
        <v>49361.94</v>
      </c>
      <c r="G132" s="55">
        <f t="shared" si="15"/>
        <v>79.99</v>
      </c>
      <c r="H132" s="55">
        <f>G132-($F$2+$G$2+$H$2+$J$2+G132*15%)</f>
        <v>23.0115</v>
      </c>
      <c r="I132" s="59">
        <f t="shared" si="16"/>
        <v>0.287679709963745</v>
      </c>
      <c r="J132" s="55">
        <f t="shared" si="17"/>
        <v>67191.6</v>
      </c>
      <c r="K132" s="55">
        <f t="shared" si="18"/>
        <v>19329.66</v>
      </c>
      <c r="L132" s="59">
        <f t="shared" si="19"/>
        <v>0.391590362939544</v>
      </c>
      <c r="M132" s="39"/>
      <c r="N132" s="39"/>
      <c r="O132" s="39"/>
      <c r="P132" s="39"/>
      <c r="Q132" s="39"/>
      <c r="R132" s="39"/>
      <c r="S132" s="35"/>
      <c r="T132" s="39"/>
      <c r="U132" s="39"/>
      <c r="V132" s="39"/>
      <c r="W132" s="84"/>
      <c r="X132" s="84"/>
      <c r="Y132" s="39"/>
      <c r="Z132" s="39"/>
      <c r="AA132" s="39"/>
      <c r="AB132" s="84"/>
      <c r="AC132" s="84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</row>
    <row r="133" s="31" customFormat="1" customHeight="1" spans="1:91">
      <c r="A133" s="42" t="s">
        <v>180</v>
      </c>
      <c r="B133" s="44">
        <f t="shared" si="10"/>
        <v>840</v>
      </c>
      <c r="C133" s="82">
        <f t="shared" si="11"/>
        <v>1500</v>
      </c>
      <c r="D133" s="44">
        <f t="shared" si="12"/>
        <v>43913.94</v>
      </c>
      <c r="E133" s="44">
        <f t="shared" si="13"/>
        <v>3948</v>
      </c>
      <c r="F133" s="55">
        <f t="shared" si="14"/>
        <v>49361.94</v>
      </c>
      <c r="G133" s="55">
        <f t="shared" si="15"/>
        <v>79.99</v>
      </c>
      <c r="H133" s="55">
        <f>G133-($F$2+$G$2+$H$2+$J$2+G133*15%)</f>
        <v>23.0115</v>
      </c>
      <c r="I133" s="59">
        <f t="shared" si="16"/>
        <v>0.287679709963745</v>
      </c>
      <c r="J133" s="55">
        <f t="shared" si="17"/>
        <v>67191.6</v>
      </c>
      <c r="K133" s="55">
        <f t="shared" si="18"/>
        <v>19329.66</v>
      </c>
      <c r="L133" s="59">
        <f t="shared" si="19"/>
        <v>0.391590362939544</v>
      </c>
      <c r="M133" s="39"/>
      <c r="N133" s="39"/>
      <c r="O133" s="39"/>
      <c r="P133" s="39"/>
      <c r="Q133" s="39"/>
      <c r="R133" s="39"/>
      <c r="S133" s="35"/>
      <c r="T133" s="39"/>
      <c r="U133" s="39"/>
      <c r="V133" s="39"/>
      <c r="W133" s="84"/>
      <c r="X133" s="84"/>
      <c r="Y133" s="39"/>
      <c r="Z133" s="39"/>
      <c r="AA133" s="39"/>
      <c r="AB133" s="84"/>
      <c r="AC133" s="84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</row>
    <row r="134" s="31" customFormat="1" customHeight="1" spans="1:91">
      <c r="A134" s="42" t="s">
        <v>181</v>
      </c>
      <c r="B134" s="44">
        <f t="shared" si="10"/>
        <v>910</v>
      </c>
      <c r="C134" s="82">
        <f t="shared" si="11"/>
        <v>1500</v>
      </c>
      <c r="D134" s="44">
        <f t="shared" si="12"/>
        <v>47573.435</v>
      </c>
      <c r="E134" s="44">
        <f t="shared" si="13"/>
        <v>4277</v>
      </c>
      <c r="F134" s="55">
        <f t="shared" si="14"/>
        <v>53350.435</v>
      </c>
      <c r="G134" s="55">
        <f t="shared" si="15"/>
        <v>79.99</v>
      </c>
      <c r="H134" s="55">
        <f>G134-($F$2+$G$2+$H$2+$J$2+G134*15%)</f>
        <v>23.0115</v>
      </c>
      <c r="I134" s="59">
        <f t="shared" si="16"/>
        <v>0.287679709963745</v>
      </c>
      <c r="J134" s="55">
        <f t="shared" si="17"/>
        <v>72790.9</v>
      </c>
      <c r="K134" s="55">
        <f t="shared" si="18"/>
        <v>20940.465</v>
      </c>
      <c r="L134" s="59">
        <f t="shared" si="19"/>
        <v>0.392507858651949</v>
      </c>
      <c r="M134" s="39"/>
      <c r="N134" s="39"/>
      <c r="O134" s="39"/>
      <c r="P134" s="39"/>
      <c r="Q134" s="39"/>
      <c r="R134" s="39"/>
      <c r="S134" s="35"/>
      <c r="T134" s="39"/>
      <c r="U134" s="39"/>
      <c r="V134" s="39"/>
      <c r="W134" s="84"/>
      <c r="X134" s="84"/>
      <c r="Y134" s="39"/>
      <c r="Z134" s="39"/>
      <c r="AA134" s="39"/>
      <c r="AB134" s="84"/>
      <c r="AC134" s="84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</row>
    <row r="135" s="31" customFormat="1" customHeight="1" spans="1:91">
      <c r="A135" s="42" t="s">
        <v>182</v>
      </c>
      <c r="B135" s="44">
        <f t="shared" si="10"/>
        <v>910</v>
      </c>
      <c r="C135" s="82">
        <f t="shared" si="11"/>
        <v>1500</v>
      </c>
      <c r="D135" s="44">
        <f t="shared" si="12"/>
        <v>47573.435</v>
      </c>
      <c r="E135" s="44">
        <f t="shared" si="13"/>
        <v>4277</v>
      </c>
      <c r="F135" s="55">
        <f t="shared" si="14"/>
        <v>53350.435</v>
      </c>
      <c r="G135" s="55">
        <f t="shared" si="15"/>
        <v>79.99</v>
      </c>
      <c r="H135" s="55">
        <f>G135-($F$2+$G$2+$H$2+$J$2+G135*15%)</f>
        <v>23.0115</v>
      </c>
      <c r="I135" s="59">
        <f t="shared" si="16"/>
        <v>0.287679709963745</v>
      </c>
      <c r="J135" s="55">
        <f t="shared" si="17"/>
        <v>72790.9</v>
      </c>
      <c r="K135" s="55">
        <f t="shared" si="18"/>
        <v>20940.465</v>
      </c>
      <c r="L135" s="59">
        <f t="shared" si="19"/>
        <v>0.392507858651949</v>
      </c>
      <c r="M135" s="39"/>
      <c r="N135" s="39"/>
      <c r="O135" s="39"/>
      <c r="P135" s="39"/>
      <c r="Q135" s="39"/>
      <c r="R135" s="39"/>
      <c r="S135" s="35"/>
      <c r="T135" s="39"/>
      <c r="U135" s="39"/>
      <c r="V135" s="39"/>
      <c r="W135" s="84"/>
      <c r="X135" s="84"/>
      <c r="Y135" s="39"/>
      <c r="Z135" s="39"/>
      <c r="AA135" s="39"/>
      <c r="AB135" s="84"/>
      <c r="AC135" s="84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</row>
    <row r="136" s="31" customFormat="1" customHeight="1" spans="1:91">
      <c r="A136" s="42" t="s">
        <v>183</v>
      </c>
      <c r="B136" s="44">
        <f t="shared" si="10"/>
        <v>910</v>
      </c>
      <c r="C136" s="82">
        <f t="shared" si="11"/>
        <v>1500</v>
      </c>
      <c r="D136" s="44">
        <f t="shared" si="12"/>
        <v>47573.435</v>
      </c>
      <c r="E136" s="44">
        <f t="shared" si="13"/>
        <v>4277</v>
      </c>
      <c r="F136" s="55">
        <f t="shared" si="14"/>
        <v>53350.435</v>
      </c>
      <c r="G136" s="55">
        <f t="shared" si="15"/>
        <v>79.99</v>
      </c>
      <c r="H136" s="55">
        <f>G136-($F$2+$G$2+$H$2+$J$2+G136*15%)</f>
        <v>23.0115</v>
      </c>
      <c r="I136" s="59">
        <f t="shared" si="16"/>
        <v>0.287679709963745</v>
      </c>
      <c r="J136" s="55">
        <f t="shared" si="17"/>
        <v>72790.9</v>
      </c>
      <c r="K136" s="55">
        <f t="shared" si="18"/>
        <v>20940.465</v>
      </c>
      <c r="L136" s="59">
        <f t="shared" si="19"/>
        <v>0.392507858651949</v>
      </c>
      <c r="M136" s="39"/>
      <c r="N136" s="39"/>
      <c r="O136" s="39"/>
      <c r="P136" s="39"/>
      <c r="Q136" s="39"/>
      <c r="R136" s="39"/>
      <c r="S136" s="35"/>
      <c r="T136" s="39"/>
      <c r="U136" s="39"/>
      <c r="V136" s="39"/>
      <c r="W136" s="84"/>
      <c r="X136" s="84"/>
      <c r="Y136" s="39"/>
      <c r="Z136" s="39"/>
      <c r="AA136" s="39"/>
      <c r="AB136" s="84"/>
      <c r="AC136" s="84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</row>
    <row r="137" s="31" customFormat="1" customHeight="1" spans="1:91">
      <c r="A137" s="42" t="s">
        <v>184</v>
      </c>
      <c r="B137" s="44">
        <f t="shared" si="10"/>
        <v>910</v>
      </c>
      <c r="C137" s="82">
        <f t="shared" si="11"/>
        <v>1500</v>
      </c>
      <c r="D137" s="44">
        <f t="shared" si="12"/>
        <v>47573.435</v>
      </c>
      <c r="E137" s="44">
        <f t="shared" si="13"/>
        <v>4277</v>
      </c>
      <c r="F137" s="55">
        <f t="shared" si="14"/>
        <v>53350.435</v>
      </c>
      <c r="G137" s="55">
        <f t="shared" si="15"/>
        <v>79.99</v>
      </c>
      <c r="H137" s="55">
        <f>G137-($F$2+$G$2+$H$2+$J$2+G137*15%)</f>
        <v>23.0115</v>
      </c>
      <c r="I137" s="59">
        <f t="shared" si="16"/>
        <v>0.287679709963745</v>
      </c>
      <c r="J137" s="55">
        <f t="shared" si="17"/>
        <v>72790.9</v>
      </c>
      <c r="K137" s="55">
        <f t="shared" si="18"/>
        <v>20940.465</v>
      </c>
      <c r="L137" s="59">
        <f t="shared" si="19"/>
        <v>0.392507858651949</v>
      </c>
      <c r="M137" s="39"/>
      <c r="N137" s="39"/>
      <c r="O137" s="39"/>
      <c r="P137" s="39"/>
      <c r="Q137" s="39"/>
      <c r="R137" s="39"/>
      <c r="S137" s="35"/>
      <c r="T137" s="39"/>
      <c r="U137" s="39"/>
      <c r="V137" s="39"/>
      <c r="W137" s="84"/>
      <c r="X137" s="84"/>
      <c r="Y137" s="39"/>
      <c r="Z137" s="39"/>
      <c r="AA137" s="39"/>
      <c r="AB137" s="84"/>
      <c r="AC137" s="84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</row>
    <row r="138" s="31" customFormat="1" customHeight="1" spans="1:91">
      <c r="A138" s="42" t="s">
        <v>185</v>
      </c>
      <c r="B138" s="44">
        <f t="shared" si="10"/>
        <v>910</v>
      </c>
      <c r="C138" s="82">
        <f t="shared" si="11"/>
        <v>1500</v>
      </c>
      <c r="D138" s="44">
        <f t="shared" si="12"/>
        <v>47573.435</v>
      </c>
      <c r="E138" s="44">
        <f t="shared" si="13"/>
        <v>4277</v>
      </c>
      <c r="F138" s="55">
        <f t="shared" si="14"/>
        <v>53350.435</v>
      </c>
      <c r="G138" s="55">
        <f t="shared" si="15"/>
        <v>79.99</v>
      </c>
      <c r="H138" s="55">
        <f>G138-($F$2+$G$2+$H$2+$J$2+G138*15%)</f>
        <v>23.0115</v>
      </c>
      <c r="I138" s="59">
        <f t="shared" si="16"/>
        <v>0.287679709963745</v>
      </c>
      <c r="J138" s="55">
        <f t="shared" si="17"/>
        <v>72790.9</v>
      </c>
      <c r="K138" s="55">
        <f t="shared" si="18"/>
        <v>20940.465</v>
      </c>
      <c r="L138" s="59">
        <f t="shared" si="19"/>
        <v>0.392507858651949</v>
      </c>
      <c r="M138" s="39"/>
      <c r="N138" s="39"/>
      <c r="O138" s="39"/>
      <c r="P138" s="39"/>
      <c r="Q138" s="39"/>
      <c r="R138" s="39"/>
      <c r="S138" s="35"/>
      <c r="T138" s="39"/>
      <c r="U138" s="39"/>
      <c r="V138" s="39"/>
      <c r="W138" s="84"/>
      <c r="X138" s="84"/>
      <c r="Y138" s="39"/>
      <c r="Z138" s="39"/>
      <c r="AA138" s="39"/>
      <c r="AB138" s="84"/>
      <c r="AC138" s="84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</row>
    <row r="139" s="31" customFormat="1" customHeight="1" spans="1:91">
      <c r="A139" s="42" t="s">
        <v>186</v>
      </c>
      <c r="B139" s="44">
        <f t="shared" si="10"/>
        <v>910</v>
      </c>
      <c r="C139" s="82">
        <f t="shared" si="11"/>
        <v>1500</v>
      </c>
      <c r="D139" s="44">
        <f t="shared" si="12"/>
        <v>47573.435</v>
      </c>
      <c r="E139" s="44">
        <f t="shared" si="13"/>
        <v>4277</v>
      </c>
      <c r="F139" s="55">
        <f t="shared" si="14"/>
        <v>53350.435</v>
      </c>
      <c r="G139" s="55">
        <f t="shared" si="15"/>
        <v>79.99</v>
      </c>
      <c r="H139" s="55">
        <f>G139-($F$2+$G$2+$H$2+$J$2+G139*15%)</f>
        <v>23.0115</v>
      </c>
      <c r="I139" s="59">
        <f t="shared" si="16"/>
        <v>0.287679709963745</v>
      </c>
      <c r="J139" s="55">
        <f t="shared" si="17"/>
        <v>72790.9</v>
      </c>
      <c r="K139" s="55">
        <f t="shared" si="18"/>
        <v>20940.465</v>
      </c>
      <c r="L139" s="59">
        <f t="shared" si="19"/>
        <v>0.392507858651949</v>
      </c>
      <c r="M139" s="39"/>
      <c r="N139" s="39"/>
      <c r="O139" s="39"/>
      <c r="P139" s="39"/>
      <c r="Q139" s="39"/>
      <c r="R139" s="39"/>
      <c r="S139" s="35"/>
      <c r="T139" s="39"/>
      <c r="U139" s="39"/>
      <c r="V139" s="39"/>
      <c r="W139" s="84"/>
      <c r="X139" s="84"/>
      <c r="Y139" s="39"/>
      <c r="Z139" s="39"/>
      <c r="AA139" s="39"/>
      <c r="AB139" s="84"/>
      <c r="AC139" s="84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</row>
    <row r="140" s="31" customFormat="1" customHeight="1" spans="1:91">
      <c r="A140" s="42" t="s">
        <v>187</v>
      </c>
      <c r="B140" s="44">
        <f t="shared" si="10"/>
        <v>910</v>
      </c>
      <c r="C140" s="82">
        <f t="shared" si="11"/>
        <v>1500</v>
      </c>
      <c r="D140" s="44">
        <f t="shared" si="12"/>
        <v>47573.435</v>
      </c>
      <c r="E140" s="44">
        <f t="shared" si="13"/>
        <v>4277</v>
      </c>
      <c r="F140" s="55">
        <f t="shared" si="14"/>
        <v>53350.435</v>
      </c>
      <c r="G140" s="55">
        <f t="shared" si="15"/>
        <v>79.99</v>
      </c>
      <c r="H140" s="55">
        <f>G140-($F$2+$G$2+$H$2+$J$2+G140*15%)</f>
        <v>23.0115</v>
      </c>
      <c r="I140" s="59">
        <f t="shared" si="16"/>
        <v>0.287679709963745</v>
      </c>
      <c r="J140" s="55">
        <f t="shared" si="17"/>
        <v>72790.9</v>
      </c>
      <c r="K140" s="55">
        <f t="shared" si="18"/>
        <v>20940.465</v>
      </c>
      <c r="L140" s="59">
        <f t="shared" si="19"/>
        <v>0.392507858651949</v>
      </c>
      <c r="M140" s="39"/>
      <c r="N140" s="39"/>
      <c r="O140" s="39"/>
      <c r="P140" s="39"/>
      <c r="Q140" s="39"/>
      <c r="R140" s="39"/>
      <c r="S140" s="35"/>
      <c r="T140" s="39"/>
      <c r="U140" s="39"/>
      <c r="V140" s="39"/>
      <c r="W140" s="84"/>
      <c r="X140" s="84"/>
      <c r="Y140" s="39"/>
      <c r="Z140" s="39"/>
      <c r="AA140" s="39"/>
      <c r="AB140" s="84"/>
      <c r="AC140" s="84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</row>
    <row r="141" s="31" customFormat="1" customHeight="1" spans="1:91">
      <c r="A141" s="42" t="s">
        <v>188</v>
      </c>
      <c r="B141" s="44">
        <f t="shared" si="10"/>
        <v>910</v>
      </c>
      <c r="C141" s="82">
        <f t="shared" si="11"/>
        <v>1500</v>
      </c>
      <c r="D141" s="44">
        <f t="shared" si="12"/>
        <v>47573.435</v>
      </c>
      <c r="E141" s="44">
        <f t="shared" si="13"/>
        <v>4277</v>
      </c>
      <c r="F141" s="55">
        <f t="shared" si="14"/>
        <v>53350.435</v>
      </c>
      <c r="G141" s="55">
        <f t="shared" si="15"/>
        <v>79.99</v>
      </c>
      <c r="H141" s="55">
        <f>G141-($F$2+$G$2+$H$2+$J$2+G141*15%)</f>
        <v>23.0115</v>
      </c>
      <c r="I141" s="59">
        <f t="shared" si="16"/>
        <v>0.287679709963745</v>
      </c>
      <c r="J141" s="55">
        <f t="shared" si="17"/>
        <v>72790.9</v>
      </c>
      <c r="K141" s="55">
        <f t="shared" si="18"/>
        <v>20940.465</v>
      </c>
      <c r="L141" s="59">
        <f t="shared" si="19"/>
        <v>0.392507858651949</v>
      </c>
      <c r="M141" s="39"/>
      <c r="N141" s="39"/>
      <c r="O141" s="39"/>
      <c r="P141" s="39"/>
      <c r="Q141" s="39"/>
      <c r="R141" s="39"/>
      <c r="S141" s="35"/>
      <c r="T141" s="39"/>
      <c r="U141" s="39"/>
      <c r="V141" s="39"/>
      <c r="W141" s="84"/>
      <c r="X141" s="84"/>
      <c r="Y141" s="39"/>
      <c r="Z141" s="39"/>
      <c r="AA141" s="39"/>
      <c r="AB141" s="84"/>
      <c r="AC141" s="84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</row>
    <row r="142" s="31" customFormat="1" customHeight="1" spans="1:91">
      <c r="A142" s="42" t="s">
        <v>189</v>
      </c>
      <c r="B142" s="44">
        <f t="shared" si="10"/>
        <v>910</v>
      </c>
      <c r="C142" s="82">
        <f t="shared" si="11"/>
        <v>1500</v>
      </c>
      <c r="D142" s="44">
        <f t="shared" si="12"/>
        <v>47573.435</v>
      </c>
      <c r="E142" s="44">
        <f t="shared" si="13"/>
        <v>4277</v>
      </c>
      <c r="F142" s="55">
        <f t="shared" si="14"/>
        <v>53350.435</v>
      </c>
      <c r="G142" s="55">
        <f t="shared" si="15"/>
        <v>79.99</v>
      </c>
      <c r="H142" s="55">
        <f>G142-($F$2+$G$2+$H$2+$J$2+G142*15%)</f>
        <v>23.0115</v>
      </c>
      <c r="I142" s="59">
        <f t="shared" si="16"/>
        <v>0.287679709963745</v>
      </c>
      <c r="J142" s="55">
        <f t="shared" si="17"/>
        <v>72790.9</v>
      </c>
      <c r="K142" s="55">
        <f t="shared" si="18"/>
        <v>20940.465</v>
      </c>
      <c r="L142" s="59">
        <f t="shared" si="19"/>
        <v>0.392507858651949</v>
      </c>
      <c r="M142" s="39"/>
      <c r="N142" s="39"/>
      <c r="O142" s="39"/>
      <c r="P142" s="39"/>
      <c r="Q142" s="39"/>
      <c r="R142" s="39"/>
      <c r="S142" s="35"/>
      <c r="T142" s="39"/>
      <c r="U142" s="39"/>
      <c r="V142" s="39"/>
      <c r="W142" s="84"/>
      <c r="X142" s="84"/>
      <c r="Y142" s="39"/>
      <c r="Z142" s="39"/>
      <c r="AA142" s="39"/>
      <c r="AB142" s="84"/>
      <c r="AC142" s="84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</row>
    <row r="143" s="31" customFormat="1" customHeight="1" spans="1:91">
      <c r="A143" s="42" t="s">
        <v>190</v>
      </c>
      <c r="B143" s="44">
        <f t="shared" ref="B143:B146" si="20">F69</f>
        <v>910</v>
      </c>
      <c r="C143" s="82">
        <f t="shared" ref="C143:C146" si="21">V69</f>
        <v>1500</v>
      </c>
      <c r="D143" s="44">
        <f t="shared" ref="D143:D146" si="22">T69</f>
        <v>47573.435</v>
      </c>
      <c r="E143" s="44">
        <f t="shared" ref="E143:E146" si="23">U69</f>
        <v>4277</v>
      </c>
      <c r="F143" s="55">
        <f t="shared" ref="F143:F146" si="24">W69</f>
        <v>53350.435</v>
      </c>
      <c r="G143" s="55">
        <f t="shared" ref="G143:G146" si="25">G69</f>
        <v>79.99</v>
      </c>
      <c r="H143" s="55">
        <f>G143-($F$2+$G$2+$H$2+$J$2+G143*15%)</f>
        <v>23.0115</v>
      </c>
      <c r="I143" s="59">
        <f t="shared" ref="I143:I146" si="26">H143/G143</f>
        <v>0.287679709963745</v>
      </c>
      <c r="J143" s="55">
        <f t="shared" ref="J143:J146" si="27">X69</f>
        <v>72790.9</v>
      </c>
      <c r="K143" s="55">
        <f t="shared" ref="K143:K146" si="28">H143*B143</f>
        <v>20940.465</v>
      </c>
      <c r="L143" s="59">
        <f t="shared" ref="L143:L146" si="29">K143/F143</f>
        <v>0.392507858651949</v>
      </c>
      <c r="M143" s="39"/>
      <c r="N143" s="39"/>
      <c r="O143" s="39"/>
      <c r="P143" s="39"/>
      <c r="Q143" s="39"/>
      <c r="R143" s="39"/>
      <c r="S143" s="35"/>
      <c r="T143" s="39"/>
      <c r="U143" s="39"/>
      <c r="V143" s="39"/>
      <c r="W143" s="84"/>
      <c r="X143" s="84"/>
      <c r="Y143" s="39"/>
      <c r="Z143" s="39"/>
      <c r="AA143" s="39"/>
      <c r="AB143" s="84"/>
      <c r="AC143" s="84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</row>
    <row r="144" s="31" customFormat="1" customHeight="1" spans="1:91">
      <c r="A144" s="42" t="s">
        <v>191</v>
      </c>
      <c r="B144" s="44">
        <f t="shared" si="20"/>
        <v>910</v>
      </c>
      <c r="C144" s="82">
        <f t="shared" si="21"/>
        <v>1500</v>
      </c>
      <c r="D144" s="44">
        <f t="shared" si="22"/>
        <v>47573.435</v>
      </c>
      <c r="E144" s="44">
        <f t="shared" si="23"/>
        <v>4277</v>
      </c>
      <c r="F144" s="55">
        <f t="shared" si="24"/>
        <v>53350.435</v>
      </c>
      <c r="G144" s="55">
        <f t="shared" si="25"/>
        <v>79.99</v>
      </c>
      <c r="H144" s="55">
        <f>G144-($F$2+$G$2+$H$2+$J$2+G144*15%)</f>
        <v>23.0115</v>
      </c>
      <c r="I144" s="59">
        <f t="shared" si="26"/>
        <v>0.287679709963745</v>
      </c>
      <c r="J144" s="55">
        <f t="shared" si="27"/>
        <v>72790.9</v>
      </c>
      <c r="K144" s="55">
        <f t="shared" si="28"/>
        <v>20940.465</v>
      </c>
      <c r="L144" s="59">
        <f t="shared" si="29"/>
        <v>0.392507858651949</v>
      </c>
      <c r="M144" s="39"/>
      <c r="N144" s="39"/>
      <c r="O144" s="39"/>
      <c r="P144" s="39"/>
      <c r="Q144" s="39"/>
      <c r="R144" s="39"/>
      <c r="S144" s="35"/>
      <c r="T144" s="39"/>
      <c r="U144" s="39"/>
      <c r="V144" s="39"/>
      <c r="W144" s="84"/>
      <c r="X144" s="84"/>
      <c r="Y144" s="39"/>
      <c r="Z144" s="39"/>
      <c r="AA144" s="39"/>
      <c r="AB144" s="84"/>
      <c r="AC144" s="84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</row>
    <row r="145" s="31" customFormat="1" customHeight="1" spans="1:91">
      <c r="A145" s="42" t="s">
        <v>192</v>
      </c>
      <c r="B145" s="44">
        <f t="shared" si="20"/>
        <v>910</v>
      </c>
      <c r="C145" s="82">
        <f t="shared" si="21"/>
        <v>1500</v>
      </c>
      <c r="D145" s="44">
        <f t="shared" si="22"/>
        <v>47573.435</v>
      </c>
      <c r="E145" s="44">
        <f t="shared" si="23"/>
        <v>4277</v>
      </c>
      <c r="F145" s="55">
        <f t="shared" si="24"/>
        <v>53350.435</v>
      </c>
      <c r="G145" s="55">
        <f t="shared" si="25"/>
        <v>79.99</v>
      </c>
      <c r="H145" s="55">
        <f>G145-($F$2+$G$2+$H$2+$J$2+G145*15%)</f>
        <v>23.0115</v>
      </c>
      <c r="I145" s="59">
        <f t="shared" si="26"/>
        <v>0.287679709963745</v>
      </c>
      <c r="J145" s="55">
        <f t="shared" si="27"/>
        <v>72790.9</v>
      </c>
      <c r="K145" s="55">
        <f t="shared" si="28"/>
        <v>20940.465</v>
      </c>
      <c r="L145" s="59">
        <f t="shared" si="29"/>
        <v>0.392507858651949</v>
      </c>
      <c r="M145" s="39"/>
      <c r="N145" s="39"/>
      <c r="O145" s="39"/>
      <c r="P145" s="39"/>
      <c r="Q145" s="39"/>
      <c r="R145" s="39"/>
      <c r="S145" s="35"/>
      <c r="T145" s="39"/>
      <c r="U145" s="39"/>
      <c r="V145" s="39"/>
      <c r="W145" s="84"/>
      <c r="X145" s="84"/>
      <c r="Y145" s="39"/>
      <c r="Z145" s="39"/>
      <c r="AA145" s="39"/>
      <c r="AB145" s="84"/>
      <c r="AC145" s="84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</row>
    <row r="146" s="31" customFormat="1" customHeight="1" spans="1:91">
      <c r="A146" s="42" t="s">
        <v>193</v>
      </c>
      <c r="B146" s="44">
        <f t="shared" si="20"/>
        <v>910</v>
      </c>
      <c r="C146" s="82">
        <f t="shared" si="21"/>
        <v>1500</v>
      </c>
      <c r="D146" s="44">
        <f t="shared" si="22"/>
        <v>47573.435</v>
      </c>
      <c r="E146" s="44">
        <f t="shared" si="23"/>
        <v>4277</v>
      </c>
      <c r="F146" s="55">
        <f t="shared" si="24"/>
        <v>53350.435</v>
      </c>
      <c r="G146" s="55">
        <f t="shared" si="25"/>
        <v>79.99</v>
      </c>
      <c r="H146" s="55">
        <f>G146-($F$2+$G$2+$H$2+$J$2+G146*15%)</f>
        <v>23.0115</v>
      </c>
      <c r="I146" s="59">
        <f t="shared" si="26"/>
        <v>0.287679709963745</v>
      </c>
      <c r="J146" s="55">
        <f t="shared" si="27"/>
        <v>72790.9</v>
      </c>
      <c r="K146" s="55">
        <f t="shared" si="28"/>
        <v>20940.465</v>
      </c>
      <c r="L146" s="59">
        <f t="shared" si="29"/>
        <v>0.392507858651949</v>
      </c>
      <c r="M146" s="39"/>
      <c r="N146" s="39"/>
      <c r="O146" s="39"/>
      <c r="P146" s="39"/>
      <c r="Q146" s="39"/>
      <c r="R146" s="39"/>
      <c r="S146" s="35"/>
      <c r="T146" s="39"/>
      <c r="U146" s="39"/>
      <c r="V146" s="39"/>
      <c r="W146" s="84"/>
      <c r="X146" s="84"/>
      <c r="Y146" s="39"/>
      <c r="Z146" s="39"/>
      <c r="AA146" s="39"/>
      <c r="AB146" s="84"/>
      <c r="AC146" s="84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</row>
    <row r="147" s="34" customFormat="1" customHeight="1"/>
    <row r="148" s="31" customFormat="1" customHeight="1" spans="1:91">
      <c r="A148" s="85" t="s">
        <v>205</v>
      </c>
      <c r="B148" s="85"/>
      <c r="C148" s="80" t="s">
        <v>12</v>
      </c>
      <c r="D148" s="80" t="s">
        <v>206</v>
      </c>
      <c r="E148" s="80" t="s">
        <v>207</v>
      </c>
      <c r="F148" s="80" t="s">
        <v>208</v>
      </c>
      <c r="G148" s="80"/>
      <c r="H148" s="80" t="s">
        <v>209</v>
      </c>
      <c r="I148" s="80"/>
      <c r="J148" s="93" t="s">
        <v>199</v>
      </c>
      <c r="K148" s="96"/>
      <c r="L148" s="39"/>
      <c r="M148" s="39"/>
      <c r="N148" s="39"/>
      <c r="O148" s="39"/>
      <c r="P148" s="39"/>
      <c r="Q148" s="39"/>
      <c r="R148" s="39"/>
      <c r="S148" s="35"/>
      <c r="T148" s="39"/>
      <c r="U148" s="39"/>
      <c r="V148" s="39"/>
      <c r="W148" s="84"/>
      <c r="X148" s="84"/>
      <c r="Y148" s="39"/>
      <c r="Z148" s="39"/>
      <c r="AA148" s="39"/>
      <c r="AB148" s="84"/>
      <c r="AC148" s="84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</row>
    <row r="149" s="31" customFormat="1" customHeight="1" spans="1:91">
      <c r="A149" s="85"/>
      <c r="B149" s="85"/>
      <c r="C149" s="80">
        <f>SUM(J79:J90)</f>
        <v>433448.26</v>
      </c>
      <c r="D149" s="80">
        <f>SUM(C79:C90)</f>
        <v>14643.2985</v>
      </c>
      <c r="E149" s="80">
        <f>SUM(K79:K90)</f>
        <v>90724.5009999999</v>
      </c>
      <c r="F149" s="91">
        <f t="shared" ref="F149:F153" si="30">E149*(1-5%)</f>
        <v>86188.2759499999</v>
      </c>
      <c r="G149" s="92"/>
      <c r="H149" s="93">
        <f t="shared" ref="H149:H153" si="31">F149/J149</f>
        <v>0.241175771916246</v>
      </c>
      <c r="I149" s="96"/>
      <c r="J149" s="97">
        <f>SUM(F79:F90)</f>
        <v>357367.0575</v>
      </c>
      <c r="K149" s="98"/>
      <c r="L149" s="39"/>
      <c r="M149" s="39"/>
      <c r="N149" s="39"/>
      <c r="O149" s="39"/>
      <c r="P149" s="39"/>
      <c r="Q149" s="39"/>
      <c r="R149" s="39"/>
      <c r="S149" s="35"/>
      <c r="T149" s="39"/>
      <c r="U149" s="39"/>
      <c r="V149" s="39"/>
      <c r="W149" s="84"/>
      <c r="X149" s="84"/>
      <c r="Y149" s="39"/>
      <c r="Z149" s="39"/>
      <c r="AA149" s="39"/>
      <c r="AB149" s="84"/>
      <c r="AC149" s="84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</row>
    <row r="150" s="31" customFormat="1" customHeight="1" spans="1:91">
      <c r="A150" s="85" t="s">
        <v>210</v>
      </c>
      <c r="B150" s="85"/>
      <c r="C150" s="80" t="s">
        <v>12</v>
      </c>
      <c r="D150" s="80" t="s">
        <v>206</v>
      </c>
      <c r="E150" s="80" t="s">
        <v>207</v>
      </c>
      <c r="F150" s="80" t="s">
        <v>208</v>
      </c>
      <c r="G150" s="80"/>
      <c r="H150" s="80" t="s">
        <v>209</v>
      </c>
      <c r="I150" s="80"/>
      <c r="J150" s="93" t="s">
        <v>199</v>
      </c>
      <c r="K150" s="96"/>
      <c r="L150" s="39"/>
      <c r="M150" s="39"/>
      <c r="N150" s="39"/>
      <c r="O150" s="39"/>
      <c r="P150" s="39"/>
      <c r="Q150" s="39"/>
      <c r="R150" s="39"/>
      <c r="S150" s="35"/>
      <c r="T150" s="39"/>
      <c r="U150" s="39"/>
      <c r="V150" s="39"/>
      <c r="W150" s="84"/>
      <c r="X150" s="84"/>
      <c r="Y150" s="39"/>
      <c r="Z150" s="39"/>
      <c r="AA150" s="39"/>
      <c r="AB150" s="84"/>
      <c r="AC150" s="84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</row>
    <row r="151" s="31" customFormat="1" customHeight="1" spans="1:91">
      <c r="A151" s="85"/>
      <c r="B151" s="85"/>
      <c r="C151" s="80">
        <f>SUM(J79:J102)</f>
        <v>1068613.56</v>
      </c>
      <c r="D151" s="80">
        <f>SUM(C79:C102)</f>
        <v>32643.2985</v>
      </c>
      <c r="E151" s="80">
        <f>SUM(K79:K102)</f>
        <v>249634.406</v>
      </c>
      <c r="F151" s="91">
        <f t="shared" si="30"/>
        <v>237152.6857</v>
      </c>
      <c r="G151" s="92"/>
      <c r="H151" s="93">
        <f t="shared" si="31"/>
        <v>0.655306665435741</v>
      </c>
      <c r="I151" s="96"/>
      <c r="J151" s="97">
        <v>361895.7325</v>
      </c>
      <c r="K151" s="98"/>
      <c r="L151" s="39"/>
      <c r="M151" s="39"/>
      <c r="N151" s="39"/>
      <c r="O151" s="39"/>
      <c r="P151" s="39"/>
      <c r="Q151" s="39"/>
      <c r="R151" s="39"/>
      <c r="S151" s="35"/>
      <c r="T151" s="39"/>
      <c r="U151" s="39"/>
      <c r="V151" s="39"/>
      <c r="W151" s="84"/>
      <c r="X151" s="84"/>
      <c r="Y151" s="39"/>
      <c r="Z151" s="39"/>
      <c r="AA151" s="39"/>
      <c r="AB151" s="84"/>
      <c r="AC151" s="84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</row>
    <row r="152" s="31" customFormat="1" customHeight="1" spans="1:91">
      <c r="A152" s="85" t="s">
        <v>211</v>
      </c>
      <c r="B152" s="85"/>
      <c r="C152" s="80" t="s">
        <v>12</v>
      </c>
      <c r="D152" s="80" t="s">
        <v>206</v>
      </c>
      <c r="E152" s="80" t="s">
        <v>207</v>
      </c>
      <c r="F152" s="80" t="s">
        <v>208</v>
      </c>
      <c r="G152" s="80"/>
      <c r="H152" s="80" t="s">
        <v>209</v>
      </c>
      <c r="I152" s="80"/>
      <c r="J152" s="93" t="s">
        <v>199</v>
      </c>
      <c r="K152" s="96"/>
      <c r="L152" s="39"/>
      <c r="M152" s="39"/>
      <c r="N152" s="39"/>
      <c r="O152" s="39"/>
      <c r="P152" s="39"/>
      <c r="Q152" s="39"/>
      <c r="R152" s="39"/>
      <c r="S152" s="35"/>
      <c r="T152" s="39"/>
      <c r="U152" s="39"/>
      <c r="V152" s="39"/>
      <c r="W152" s="84"/>
      <c r="X152" s="84"/>
      <c r="Y152" s="39"/>
      <c r="Z152" s="39"/>
      <c r="AA152" s="39"/>
      <c r="AB152" s="84"/>
      <c r="AC152" s="84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</row>
    <row r="153" s="31" customFormat="1" customHeight="1" spans="1:91">
      <c r="A153" s="85"/>
      <c r="B153" s="85"/>
      <c r="C153" s="80">
        <f>SUM(J79:J120)</f>
        <v>2386548.36</v>
      </c>
      <c r="D153" s="80">
        <f>SUM(C79:C120)</f>
        <v>59643.2985</v>
      </c>
      <c r="E153" s="80">
        <f>SUM(K83:K120)</f>
        <v>616741.769</v>
      </c>
      <c r="F153" s="91">
        <f t="shared" si="30"/>
        <v>585904.68055</v>
      </c>
      <c r="G153" s="92"/>
      <c r="H153" s="93">
        <f t="shared" si="31"/>
        <v>1.61898753683148</v>
      </c>
      <c r="I153" s="96"/>
      <c r="J153" s="97">
        <v>361895.7325</v>
      </c>
      <c r="K153" s="98"/>
      <c r="L153" s="39"/>
      <c r="M153" s="39"/>
      <c r="N153" s="39"/>
      <c r="O153" s="39"/>
      <c r="P153" s="39"/>
      <c r="Q153" s="39"/>
      <c r="R153" s="39"/>
      <c r="S153" s="35"/>
      <c r="T153" s="39"/>
      <c r="U153" s="39"/>
      <c r="V153" s="39"/>
      <c r="W153" s="84"/>
      <c r="X153" s="84"/>
      <c r="Y153" s="39"/>
      <c r="Z153" s="39"/>
      <c r="AA153" s="39"/>
      <c r="AB153" s="84"/>
      <c r="AC153" s="84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</row>
    <row r="154" s="31" customFormat="1" customHeight="1" spans="1:91">
      <c r="A154" s="85" t="s">
        <v>212</v>
      </c>
      <c r="B154" s="85"/>
      <c r="C154" s="80" t="s">
        <v>12</v>
      </c>
      <c r="D154" s="80" t="s">
        <v>206</v>
      </c>
      <c r="E154" s="80" t="s">
        <v>207</v>
      </c>
      <c r="F154" s="80" t="s">
        <v>208</v>
      </c>
      <c r="G154" s="80"/>
      <c r="H154" s="80" t="s">
        <v>209</v>
      </c>
      <c r="I154" s="80"/>
      <c r="J154" s="93" t="s">
        <v>199</v>
      </c>
      <c r="K154" s="96"/>
      <c r="L154" s="39"/>
      <c r="M154" s="39"/>
      <c r="N154" s="39"/>
      <c r="O154" s="39"/>
      <c r="P154" s="39"/>
      <c r="Q154" s="39"/>
      <c r="R154" s="39"/>
      <c r="S154" s="35"/>
      <c r="T154" s="39"/>
      <c r="U154" s="39"/>
      <c r="V154" s="39"/>
      <c r="W154" s="84"/>
      <c r="X154" s="84"/>
      <c r="Y154" s="39"/>
      <c r="Z154" s="39"/>
      <c r="AA154" s="39"/>
      <c r="AB154" s="84"/>
      <c r="AC154" s="84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</row>
    <row r="155" s="31" customFormat="1" customHeight="1" spans="1:91">
      <c r="A155" s="85"/>
      <c r="B155" s="85"/>
      <c r="C155" s="80">
        <f>SUM(J79:J146)</f>
        <v>4295909.66</v>
      </c>
      <c r="D155" s="80">
        <f>SUM(C79:C146)</f>
        <v>98643.2985</v>
      </c>
      <c r="E155" s="80">
        <f>SUM(K79:K146)</f>
        <v>1176093.891</v>
      </c>
      <c r="F155" s="91">
        <f>E155*(1-5%)</f>
        <v>1117289.19645</v>
      </c>
      <c r="G155" s="92"/>
      <c r="H155" s="93">
        <f>F155/J155</f>
        <v>3.08732349158055</v>
      </c>
      <c r="I155" s="96"/>
      <c r="J155" s="97">
        <v>361895.7325</v>
      </c>
      <c r="K155" s="98"/>
      <c r="L155" s="39"/>
      <c r="M155" s="39"/>
      <c r="N155" s="39"/>
      <c r="O155" s="39"/>
      <c r="P155" s="39"/>
      <c r="Q155" s="39"/>
      <c r="R155" s="39"/>
      <c r="S155" s="35"/>
      <c r="T155" s="39"/>
      <c r="U155" s="39"/>
      <c r="V155" s="39"/>
      <c r="W155" s="84"/>
      <c r="X155" s="84"/>
      <c r="Y155" s="39"/>
      <c r="Z155" s="39"/>
      <c r="AA155" s="39"/>
      <c r="AB155" s="84"/>
      <c r="AC155" s="84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</row>
    <row r="156" s="31" customFormat="1" customHeight="1" spans="1:91">
      <c r="A156" s="36"/>
      <c r="B156" s="37"/>
      <c r="C156" s="86"/>
      <c r="D156" s="86"/>
      <c r="E156" s="86"/>
      <c r="F156" s="86"/>
      <c r="G156" s="86"/>
      <c r="H156" s="94"/>
      <c r="I156" s="94"/>
      <c r="J156" s="99"/>
      <c r="K156" s="99"/>
      <c r="L156" s="39"/>
      <c r="M156" s="39"/>
      <c r="N156" s="39"/>
      <c r="O156" s="39"/>
      <c r="P156" s="39"/>
      <c r="Q156" s="39"/>
      <c r="R156" s="39"/>
      <c r="S156" s="35"/>
      <c r="T156" s="39"/>
      <c r="U156" s="39"/>
      <c r="V156" s="39"/>
      <c r="W156" s="84"/>
      <c r="X156" s="84"/>
      <c r="Y156" s="39"/>
      <c r="Z156" s="39"/>
      <c r="AA156" s="39"/>
      <c r="AB156" s="84"/>
      <c r="AC156" s="84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</row>
    <row r="157" s="31" customFormat="1" customHeight="1" spans="1:9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102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</row>
    <row r="158" s="31" customFormat="1" customHeight="1" spans="1:91">
      <c r="A158" s="88" t="s">
        <v>213</v>
      </c>
      <c r="B158" s="88"/>
      <c r="C158" s="88"/>
      <c r="D158" s="89" t="s">
        <v>214</v>
      </c>
      <c r="E158" s="95"/>
      <c r="F158" s="95"/>
      <c r="G158" s="95"/>
      <c r="H158" s="95"/>
      <c r="I158" s="100"/>
      <c r="J158" s="89" t="s">
        <v>215</v>
      </c>
      <c r="K158" s="95"/>
      <c r="L158" s="95"/>
      <c r="M158" s="95"/>
      <c r="N158" s="95"/>
      <c r="O158" s="100"/>
      <c r="P158" s="89" t="s">
        <v>216</v>
      </c>
      <c r="Q158" s="95"/>
      <c r="R158" s="100"/>
      <c r="S158" s="103" t="s">
        <v>217</v>
      </c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</row>
    <row r="159" s="35" customFormat="1" ht="30" customHeight="1" spans="1:19">
      <c r="A159" s="90" t="s">
        <v>218</v>
      </c>
      <c r="B159" s="67" t="s">
        <v>219</v>
      </c>
      <c r="C159" s="67" t="s">
        <v>220</v>
      </c>
      <c r="D159" s="67" t="s">
        <v>221</v>
      </c>
      <c r="E159" s="67" t="s">
        <v>222</v>
      </c>
      <c r="F159" s="67" t="s">
        <v>223</v>
      </c>
      <c r="G159" s="67" t="s">
        <v>224</v>
      </c>
      <c r="H159" s="67" t="s">
        <v>225</v>
      </c>
      <c r="I159" s="67" t="s">
        <v>226</v>
      </c>
      <c r="J159" s="67" t="s">
        <v>227</v>
      </c>
      <c r="K159" s="67" t="s">
        <v>228</v>
      </c>
      <c r="L159" s="67" t="s">
        <v>229</v>
      </c>
      <c r="M159" s="67" t="s">
        <v>201</v>
      </c>
      <c r="N159" s="67" t="s">
        <v>200</v>
      </c>
      <c r="O159" s="67" t="s">
        <v>230</v>
      </c>
      <c r="P159" s="67" t="s">
        <v>231</v>
      </c>
      <c r="Q159" s="67" t="s">
        <v>232</v>
      </c>
      <c r="R159" s="67" t="s">
        <v>233</v>
      </c>
      <c r="S159" s="67"/>
    </row>
    <row r="160" s="31" customFormat="1" ht="30" customHeight="1" spans="1:92">
      <c r="A160" s="43">
        <f>E2</f>
        <v>43478</v>
      </c>
      <c r="B160" s="43">
        <f>A160</f>
        <v>43478</v>
      </c>
      <c r="C160" s="43"/>
      <c r="D160" s="52"/>
      <c r="E160" s="52"/>
      <c r="F160" s="52"/>
      <c r="G160" s="52"/>
      <c r="H160" s="52"/>
      <c r="I160" s="101"/>
      <c r="J160" s="52"/>
      <c r="K160" s="52"/>
      <c r="L160" s="52"/>
      <c r="M160" s="59"/>
      <c r="N160" s="52"/>
      <c r="O160" s="55"/>
      <c r="P160" s="67"/>
      <c r="Q160" s="67"/>
      <c r="R160" s="67"/>
      <c r="S160" s="67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</row>
  </sheetData>
  <sheetProtection formatCells="0" insertHyperlinks="0" autoFilter="0"/>
  <mergeCells count="59">
    <mergeCell ref="A3:Q3"/>
    <mergeCell ref="R3:S3"/>
    <mergeCell ref="T3:X3"/>
    <mergeCell ref="Y3:AC3"/>
    <mergeCell ref="AD3:AX3"/>
    <mergeCell ref="AY3:BC3"/>
    <mergeCell ref="BD3:BH3"/>
    <mergeCell ref="BP3:BY3"/>
    <mergeCell ref="CB18:CI18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  <mergeCell ref="CB5:CE15"/>
    <mergeCell ref="CF5:CI17"/>
  </mergeCells>
  <pageMargins left="0.75" right="0.75" top="1" bottom="1" header="0.511805555555556" footer="0.511805555555556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M6" sqref="M6"/>
    </sheetView>
  </sheetViews>
  <sheetFormatPr defaultColWidth="8" defaultRowHeight="18" customHeight="1"/>
  <cols>
    <col min="1" max="1" width="8" style="13"/>
    <col min="2" max="2" width="8" style="14"/>
    <col min="3" max="3" width="30.7777777777778" style="13" customWidth="1"/>
    <col min="4" max="5" width="20.7777777777778" style="13" customWidth="1"/>
    <col min="6" max="6" width="8.33333333333333" style="14" customWidth="1"/>
    <col min="7" max="8" width="20.7777777777778" style="13" customWidth="1"/>
    <col min="9" max="11" width="19.4444444444444" style="13" customWidth="1"/>
    <col min="12" max="16384" width="8" style="13"/>
  </cols>
  <sheetData>
    <row r="1" s="13" customFormat="1" customHeight="1" spans="1:8">
      <c r="A1" s="12" t="s">
        <v>234</v>
      </c>
      <c r="B1" s="15"/>
      <c r="C1" s="12"/>
      <c r="D1" s="12"/>
      <c r="E1" s="24"/>
      <c r="F1" s="25" t="s">
        <v>235</v>
      </c>
      <c r="G1" s="26"/>
      <c r="H1" s="27"/>
    </row>
    <row r="2" s="13" customFormat="1" customHeight="1" spans="1:10">
      <c r="A2" s="12"/>
      <c r="B2" s="15"/>
      <c r="C2" s="12"/>
      <c r="D2" s="12"/>
      <c r="E2" s="24"/>
      <c r="F2" s="25"/>
      <c r="G2" s="26"/>
      <c r="H2" s="27"/>
      <c r="I2" s="1"/>
      <c r="J2" s="1"/>
    </row>
    <row r="3" s="1" customFormat="1" customHeight="1" spans="1:11">
      <c r="A3" s="16" t="s">
        <v>41</v>
      </c>
      <c r="B3" s="17" t="s">
        <v>1</v>
      </c>
      <c r="C3" s="18" t="s">
        <v>42</v>
      </c>
      <c r="D3" s="18" t="s">
        <v>43</v>
      </c>
      <c r="E3" s="18" t="s">
        <v>44</v>
      </c>
      <c r="F3" s="28" t="s">
        <v>45</v>
      </c>
      <c r="G3" s="18" t="s">
        <v>43</v>
      </c>
      <c r="H3" s="18" t="s">
        <v>44</v>
      </c>
      <c r="I3" s="12"/>
      <c r="J3" s="12"/>
      <c r="K3" s="12"/>
    </row>
    <row r="4" s="1" customFormat="1" ht="100" customHeight="1" spans="1:11">
      <c r="A4" s="19"/>
      <c r="B4" s="20">
        <v>43478</v>
      </c>
      <c r="C4" s="11"/>
      <c r="D4" s="11"/>
      <c r="E4" s="11"/>
      <c r="F4" s="29">
        <f>B4+7</f>
        <v>43485</v>
      </c>
      <c r="G4" s="11"/>
      <c r="H4" s="11"/>
      <c r="I4" s="12"/>
      <c r="J4" s="12"/>
      <c r="K4" s="12"/>
    </row>
    <row r="5" s="13" customFormat="1" ht="100" customHeight="1" spans="1:8">
      <c r="A5" s="21"/>
      <c r="B5" s="22"/>
      <c r="C5" s="11"/>
      <c r="D5" s="23"/>
      <c r="E5" s="23"/>
      <c r="F5" s="29"/>
      <c r="G5" s="30"/>
      <c r="H5" s="30"/>
    </row>
    <row r="6" ht="100" customHeight="1" spans="1:8">
      <c r="A6" s="21"/>
      <c r="B6" s="22"/>
      <c r="C6" s="21"/>
      <c r="D6" s="21"/>
      <c r="E6" s="21"/>
      <c r="F6" s="22"/>
      <c r="G6" s="21"/>
      <c r="H6" s="21"/>
    </row>
    <row r="7" ht="100" customHeight="1" spans="1:8">
      <c r="A7" s="21"/>
      <c r="B7" s="22"/>
      <c r="C7" s="21"/>
      <c r="D7" s="21"/>
      <c r="E7" s="21"/>
      <c r="F7" s="22"/>
      <c r="G7" s="21"/>
      <c r="H7" s="21"/>
    </row>
    <row r="8" ht="100" customHeight="1" spans="1:8">
      <c r="A8" s="21"/>
      <c r="B8" s="22"/>
      <c r="C8" s="21"/>
      <c r="D8" s="21"/>
      <c r="E8" s="21"/>
      <c r="F8" s="22"/>
      <c r="G8" s="21"/>
      <c r="H8" s="21"/>
    </row>
    <row r="9" ht="100" customHeight="1" spans="1:8">
      <c r="A9" s="21"/>
      <c r="B9" s="22"/>
      <c r="C9" s="21"/>
      <c r="D9" s="21"/>
      <c r="E9" s="21"/>
      <c r="F9" s="22"/>
      <c r="G9" s="21"/>
      <c r="H9" s="21"/>
    </row>
    <row r="10" ht="100" customHeight="1" spans="1:8">
      <c r="A10" s="21"/>
      <c r="B10" s="22"/>
      <c r="C10" s="21"/>
      <c r="D10" s="21"/>
      <c r="E10" s="21"/>
      <c r="F10" s="22"/>
      <c r="G10" s="21"/>
      <c r="H10" s="21"/>
    </row>
    <row r="11" ht="100" customHeight="1" spans="1:8">
      <c r="A11" s="21"/>
      <c r="B11" s="22"/>
      <c r="C11" s="21"/>
      <c r="D11" s="21"/>
      <c r="E11" s="21"/>
      <c r="F11" s="22"/>
      <c r="G11" s="21"/>
      <c r="H11" s="21"/>
    </row>
    <row r="12" ht="100" customHeight="1" spans="1:8">
      <c r="A12" s="21"/>
      <c r="B12" s="22"/>
      <c r="C12" s="21"/>
      <c r="D12" s="21"/>
      <c r="E12" s="21"/>
      <c r="F12" s="22"/>
      <c r="G12" s="21"/>
      <c r="H12" s="21"/>
    </row>
    <row r="13" ht="100" customHeight="1" spans="1:8">
      <c r="A13" s="21"/>
      <c r="B13" s="22"/>
      <c r="C13" s="21"/>
      <c r="D13" s="21"/>
      <c r="E13" s="21"/>
      <c r="F13" s="22"/>
      <c r="G13" s="21"/>
      <c r="H13" s="21"/>
    </row>
    <row r="14" ht="100" customHeight="1" spans="1:8">
      <c r="A14" s="21"/>
      <c r="B14" s="22"/>
      <c r="C14" s="21"/>
      <c r="D14" s="21"/>
      <c r="E14" s="21"/>
      <c r="F14" s="22"/>
      <c r="G14" s="21"/>
      <c r="H14" s="21"/>
    </row>
    <row r="15" ht="100" customHeight="1" spans="1:8">
      <c r="A15" s="21"/>
      <c r="B15" s="22"/>
      <c r="C15" s="21"/>
      <c r="D15" s="21"/>
      <c r="E15" s="21"/>
      <c r="F15" s="22"/>
      <c r="G15" s="21"/>
      <c r="H15" s="21"/>
    </row>
    <row r="16" ht="100" customHeight="1" spans="1:8">
      <c r="A16" s="21"/>
      <c r="B16" s="22"/>
      <c r="C16" s="21"/>
      <c r="D16" s="21"/>
      <c r="E16" s="21"/>
      <c r="F16" s="22"/>
      <c r="G16" s="21"/>
      <c r="H16" s="21"/>
    </row>
    <row r="17" ht="100" customHeight="1" spans="1:8">
      <c r="A17" s="21"/>
      <c r="B17" s="22"/>
      <c r="C17" s="21"/>
      <c r="D17" s="21"/>
      <c r="E17" s="21"/>
      <c r="F17" s="22"/>
      <c r="G17" s="21"/>
      <c r="H17" s="21"/>
    </row>
    <row r="18" ht="100" customHeight="1" spans="1:8">
      <c r="A18" s="21"/>
      <c r="B18" s="22"/>
      <c r="C18" s="21"/>
      <c r="D18" s="21"/>
      <c r="E18" s="21"/>
      <c r="F18" s="22"/>
      <c r="G18" s="21"/>
      <c r="H18" s="21"/>
    </row>
    <row r="19" ht="100" customHeight="1" spans="1:8">
      <c r="A19" s="21"/>
      <c r="B19" s="22"/>
      <c r="C19" s="21"/>
      <c r="D19" s="21"/>
      <c r="E19" s="21"/>
      <c r="F19" s="22"/>
      <c r="G19" s="21"/>
      <c r="H19" s="21"/>
    </row>
  </sheetData>
  <sheetProtection formatCells="0" insertHyperlinks="0" autoFilter="0"/>
  <mergeCells count="3">
    <mergeCell ref="I2:J2"/>
    <mergeCell ref="A1:E2"/>
    <mergeCell ref="F1:H2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G9" sqref="G9"/>
    </sheetView>
  </sheetViews>
  <sheetFormatPr defaultColWidth="16.7777777777778" defaultRowHeight="16.5" outlineLevelCol="4"/>
  <cols>
    <col min="1" max="249" width="16.7777777777778" style="1" customWidth="1"/>
    <col min="250" max="16375" width="16.7777777777778" style="2" customWidth="1"/>
    <col min="16376" max="16384" width="16.7777777777778" style="2"/>
  </cols>
  <sheetData>
    <row r="1" s="1" customFormat="1" spans="1:5">
      <c r="A1" s="3" t="s">
        <v>0</v>
      </c>
      <c r="B1" s="4" t="s">
        <v>47</v>
      </c>
      <c r="C1" s="5" t="s">
        <v>236</v>
      </c>
      <c r="D1" s="5" t="s">
        <v>237</v>
      </c>
      <c r="E1" s="5" t="s">
        <v>111</v>
      </c>
    </row>
    <row r="2" s="1" customFormat="1" ht="21" customHeight="1" spans="1:5">
      <c r="A2" s="6"/>
      <c r="B2" s="2" t="s">
        <v>238</v>
      </c>
      <c r="C2" s="7"/>
      <c r="D2" s="7"/>
      <c r="E2" s="7"/>
    </row>
    <row r="3" s="1" customFormat="1" ht="21" customHeight="1" spans="1:5">
      <c r="A3" s="6"/>
      <c r="B3" s="2" t="s">
        <v>239</v>
      </c>
      <c r="C3" s="8"/>
      <c r="D3" s="8"/>
      <c r="E3" s="8"/>
    </row>
    <row r="4" s="1" customFormat="1" ht="21" customHeight="1" spans="1:5">
      <c r="A4" s="6"/>
      <c r="B4" s="2" t="s">
        <v>240</v>
      </c>
      <c r="C4" s="9" t="e">
        <f>C3/C2</f>
        <v>#DIV/0!</v>
      </c>
      <c r="D4" s="9" t="e">
        <f>D3/D2</f>
        <v>#DIV/0!</v>
      </c>
      <c r="E4" s="9" t="e">
        <f>E3/E2</f>
        <v>#DIV/0!</v>
      </c>
    </row>
    <row r="5" s="1" customFormat="1" ht="21" customHeight="1" spans="1:5">
      <c r="A5" s="6"/>
      <c r="B5" s="2" t="s">
        <v>241</v>
      </c>
      <c r="C5" s="10"/>
      <c r="D5" s="10"/>
      <c r="E5" s="10"/>
    </row>
    <row r="6" s="1" customFormat="1" ht="21" customHeight="1" spans="1:5">
      <c r="A6" s="6" t="s">
        <v>242</v>
      </c>
      <c r="B6" s="2" t="s">
        <v>243</v>
      </c>
      <c r="C6" s="7" t="e">
        <f>C5/C2</f>
        <v>#DIV/0!</v>
      </c>
      <c r="D6" s="7" t="e">
        <f>D5/D2</f>
        <v>#DIV/0!</v>
      </c>
      <c r="E6" s="7" t="e">
        <f>E5/E2</f>
        <v>#DIV/0!</v>
      </c>
    </row>
    <row r="7" s="1" customFormat="1" ht="84" customHeight="1" spans="1:5">
      <c r="A7" s="6" t="s">
        <v>244</v>
      </c>
      <c r="B7" s="2" t="s">
        <v>245</v>
      </c>
      <c r="C7" s="7"/>
      <c r="D7" s="7"/>
      <c r="E7" s="11"/>
    </row>
    <row r="8" s="2" customFormat="1" spans="1:5">
      <c r="A8" s="1"/>
      <c r="B8" s="1"/>
      <c r="C8" s="1"/>
      <c r="D8" s="1"/>
      <c r="E8" s="12"/>
    </row>
    <row r="9" s="1" customFormat="1" spans="1:5">
      <c r="A9" s="3" t="s">
        <v>0</v>
      </c>
      <c r="B9" s="4" t="s">
        <v>47</v>
      </c>
      <c r="C9" s="5" t="s">
        <v>236</v>
      </c>
      <c r="D9" s="5" t="s">
        <v>237</v>
      </c>
      <c r="E9" s="5" t="s">
        <v>111</v>
      </c>
    </row>
    <row r="10" s="1" customFormat="1" ht="21" customHeight="1" spans="1:5">
      <c r="A10" s="6"/>
      <c r="B10" s="2" t="s">
        <v>238</v>
      </c>
      <c r="C10" s="7"/>
      <c r="D10" s="7"/>
      <c r="E10" s="7"/>
    </row>
    <row r="11" s="1" customFormat="1" ht="21" customHeight="1" spans="1:5">
      <c r="A11" s="6"/>
      <c r="B11" s="2" t="s">
        <v>239</v>
      </c>
      <c r="C11" s="8"/>
      <c r="D11" s="8"/>
      <c r="E11" s="8"/>
    </row>
    <row r="12" s="1" customFormat="1" ht="21" customHeight="1" spans="1:5">
      <c r="A12" s="6"/>
      <c r="B12" s="2" t="s">
        <v>240</v>
      </c>
      <c r="C12" s="9" t="e">
        <f>C11/C10</f>
        <v>#DIV/0!</v>
      </c>
      <c r="D12" s="9" t="e">
        <f>D11/D10</f>
        <v>#DIV/0!</v>
      </c>
      <c r="E12" s="9" t="e">
        <f>E11/E10</f>
        <v>#DIV/0!</v>
      </c>
    </row>
    <row r="13" s="1" customFormat="1" ht="21" customHeight="1" spans="1:5">
      <c r="A13" s="6"/>
      <c r="B13" s="2" t="s">
        <v>241</v>
      </c>
      <c r="C13" s="10"/>
      <c r="D13" s="10"/>
      <c r="E13" s="10"/>
    </row>
    <row r="14" s="1" customFormat="1" ht="21" customHeight="1" spans="1:5">
      <c r="A14" s="6" t="s">
        <v>242</v>
      </c>
      <c r="B14" s="2" t="s">
        <v>243</v>
      </c>
      <c r="C14" s="7" t="e">
        <f>C13/C10</f>
        <v>#DIV/0!</v>
      </c>
      <c r="D14" s="7" t="e">
        <f>D13/D10</f>
        <v>#DIV/0!</v>
      </c>
      <c r="E14" s="7" t="e">
        <f>E13/E10</f>
        <v>#DIV/0!</v>
      </c>
    </row>
    <row r="15" s="1" customFormat="1" ht="84" customHeight="1" spans="1:5">
      <c r="A15" s="6" t="s">
        <v>244</v>
      </c>
      <c r="B15" s="2" t="s">
        <v>245</v>
      </c>
      <c r="C15" s="7"/>
      <c r="D15" s="7"/>
      <c r="E15" s="11"/>
    </row>
    <row r="17" s="1" customFormat="1" spans="1:5">
      <c r="A17" s="3" t="s">
        <v>0</v>
      </c>
      <c r="B17" s="4" t="s">
        <v>47</v>
      </c>
      <c r="C17" s="5" t="s">
        <v>236</v>
      </c>
      <c r="D17" s="5" t="s">
        <v>237</v>
      </c>
      <c r="E17" s="5" t="s">
        <v>111</v>
      </c>
    </row>
    <row r="18" s="1" customFormat="1" ht="21" customHeight="1" spans="1:5">
      <c r="A18" s="6"/>
      <c r="B18" s="2" t="s">
        <v>238</v>
      </c>
      <c r="C18" s="7"/>
      <c r="D18" s="7"/>
      <c r="E18" s="7"/>
    </row>
    <row r="19" s="1" customFormat="1" ht="21" customHeight="1" spans="1:5">
      <c r="A19" s="6"/>
      <c r="B19" s="2" t="s">
        <v>239</v>
      </c>
      <c r="C19" s="8"/>
      <c r="D19" s="8"/>
      <c r="E19" s="8"/>
    </row>
    <row r="20" s="1" customFormat="1" ht="21" customHeight="1" spans="1:5">
      <c r="A20" s="6"/>
      <c r="B20" s="2" t="s">
        <v>240</v>
      </c>
      <c r="C20" s="9" t="e">
        <f>C19/C18</f>
        <v>#DIV/0!</v>
      </c>
      <c r="D20" s="9" t="e">
        <f>D19/D18</f>
        <v>#DIV/0!</v>
      </c>
      <c r="E20" s="9" t="e">
        <f>E19/E18</f>
        <v>#DIV/0!</v>
      </c>
    </row>
    <row r="21" s="1" customFormat="1" ht="21" customHeight="1" spans="1:5">
      <c r="A21" s="6"/>
      <c r="B21" s="2" t="s">
        <v>241</v>
      </c>
      <c r="C21" s="10"/>
      <c r="D21" s="10"/>
      <c r="E21" s="10"/>
    </row>
    <row r="22" s="1" customFormat="1" ht="21" customHeight="1" spans="1:5">
      <c r="A22" s="6" t="s">
        <v>242</v>
      </c>
      <c r="B22" s="2" t="s">
        <v>243</v>
      </c>
      <c r="C22" s="7" t="e">
        <f>C21/C18</f>
        <v>#DIV/0!</v>
      </c>
      <c r="D22" s="7" t="e">
        <f>D21/D18</f>
        <v>#DIV/0!</v>
      </c>
      <c r="E22" s="7" t="e">
        <f>E21/E18</f>
        <v>#DIV/0!</v>
      </c>
    </row>
    <row r="23" s="1" customFormat="1" ht="84" customHeight="1" spans="1:5">
      <c r="A23" s="6" t="s">
        <v>244</v>
      </c>
      <c r="B23" s="2" t="s">
        <v>245</v>
      </c>
      <c r="C23" s="7"/>
      <c r="D23" s="7"/>
      <c r="E23" s="11"/>
    </row>
  </sheetData>
  <sheetProtection formatCells="0" insertHyperlinks="0" autoFilter="0"/>
  <mergeCells count="3">
    <mergeCell ref="A2:A5"/>
    <mergeCell ref="A10:A13"/>
    <mergeCell ref="A18:A21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3">
    <comment s:ref="F1" rgbClr="FF0000">
      <item id="{2df662d1-b8b0-41f8-bb25-131d994f19ad}" isNormal="1">
        <s:text>
          <s:r>
            <s:t xml:space="preserve">固定7天追踪</s:t>
          </s:r>
        </s:text>
      </item>
    </comment>
  </commentList>
  <commentList sheetStid="6">
    <comment s:ref="N1" rgbClr="FF0000">
      <item id="{6cde9427-458c-483a-ad7e-f1e4fbfe7939}" isNormal="1">
        <s:text>
          <s:r>
            <s:t xml:space="preserve">由于推广期、稳定期、上升期的售价不同，此处取平均值价格</s:t>
          </s:r>
        </s:text>
      </item>
    </comment>
    <comment s:ref="S1" rgbClr="FF0000">
      <item id="{4247badd-efad-49ca-9a4a-c8862a411dbd}" isNormal="1">
        <s:text>
          <s:r>
            <s:t xml:space="preserve">成本价</s:t>
          </s:r>
        </s:text>
      </item>
    </comment>
    <comment s:ref="R4" rgbClr="FF0000">
      <item id="{497e9d91-124b-46a5-bf70-e889a1fd5269}" isNormal="1">
        <s:text>
          <s:r>
            <s:t xml:space="preserve">参照空运备货计划表</s:t>
          </s:r>
        </s:text>
      </item>
    </comment>
    <comment s:ref="S4" rgbClr="FF0000">
      <item id="{492c5b57-a201-430b-ab57-4e1fde1cde13}" isNormal="1">
        <s:text>
          <s:r>
            <s:t xml:space="preserve">参考海运补货计划表</s:t>
          </s:r>
        </s:text>
      </item>
    </comment>
    <comment s:ref="V4" rgbClr="FF0000">
      <item id="{af5f7b7e-c7bd-4eee-9c41-46c026da7566}" isNormal="1">
        <s:text>
          <s:r>
            <s:t xml:space="preserve"> 个人刷单费用
+
 公司测评费用
+
 LD费用
+ 
 CPC费用
+
 站外推广费用</s:t>
          </s:r>
        </s:text>
      </item>
    </comment>
    <comment s:ref="AA4" rgbClr="FF0000">
      <item id="{a9093072-47fa-432f-b5a7-b03814f124d2}" isNormal="1">
        <s:text>
          <s:r>
            <s:t xml:space="preserve"> 个人刷单费用
+
 公司测评费用
+
 LD费用
+ 
 CPC费用
+
 站外推广费用</s:t>
          </s:r>
        </s:text>
      </item>
    </comment>
    <comment s:ref="AI4" rgbClr="FF0000">
      <item id="{0dd6db8d-9c50-4e5e-aacf-6dde8951323e}" isNormal="1">
        <s:text>
          <s:r>
            <s:t xml:space="preserve">个人测评的留评率，留评内容，是否在预计时间内达到留评数量</s:t>
          </s:r>
        </s:text>
      </item>
    </comment>
    <comment s:ref="AK4" rgbClr="FF0000">
      <item id="{6e1a5694-c10e-4ede-bb88-50e8698af88f}" isNormal="1">
        <s:text>
          <s:r>
            <s:t xml:space="preserve">特殊产品需要留视频的，或者留feedback的是否留了</s:t>
          </s:r>
        </s:text>
      </item>
    </comment>
    <comment s:ref="AN4" rgbClr="FF0000">
      <item id="{a171e2c5-8b42-447c-8f92-be4b0d198b0f}" isNormal="1">
        <s:text>
          <s:r>
            <s:t xml:space="preserve">参加LD后的效果分析，出单情况与CPC对比</s:t>
          </s:r>
        </s:text>
      </item>
    </comment>
    <comment s:ref="AP4" rgbClr="FF0000">
      <item id="{1f9c4ae4-df7b-4f3a-bd8f-b6a1485d0bbf}" isNormal="1">
        <s:text>
          <s:r>
            <s:t xml:space="preserve">广告坑位不在前三页，打”/”,须加钱或换词</s:t>
          </s:r>
        </s:text>
      </item>
    </comment>
    <comment s:ref="AR4" rgbClr="FF0000">
      <item id="{c91b85a4-f7cf-49fa-8057-88b9524b3d2e}" isNormal="1">
        <s:text>
          <s:r>
            <s:t xml:space="preserve">观察CTR和CR，以及追踪广告位置，每天要做一个记录</s:t>
          </s:r>
        </s:text>
      </item>
    </comment>
    <comment s:ref="AT4" rgbClr="FF0000">
      <item id="{4bb08007-bf57-4fb1-aeb5-bdf9c6868949}" isNormal="1">
        <s:text>
          <s:r>
            <s:t xml:space="preserve">coupon的使用情况</s:t>
          </s:r>
        </s:text>
      </item>
    </comment>
    <comment s:ref="AV4" rgbClr="FF0000">
      <item id="{e6cf4659-abea-4d2d-8dfe-2fa27517f6d8}" isNormal="1">
        <s:text>
          <s:r>
            <s:t xml:space="preserve">促销的效果</s:t>
          </s:r>
        </s:text>
      </item>
    </comment>
    <comment s:ref="BA4" rgbClr="FF0000">
      <item id="{d98520a4-7678-4bb0-902b-95270af8a94a}" isNormal="1">
        <s:text>
          <s:r>
            <s:t xml:space="preserve"> 个人刷单费用
+
 公司测评费用
+
 LD费用
+ 
 CPC费用
+
 站外推广费用</s:t>
          </s:r>
        </s:text>
      </item>
    </comment>
    <comment s:ref="BF4" rgbClr="FF0000">
      <item id="{781a3782-cd87-4a19-88ae-7aaefa577fa7}" isNormal="1">
        <s:text>
          <s:r>
            <s:t xml:space="preserve"> 个人刷单费用
+
 公司测评费用
+
 LD费用
+ 
 CPC费用
+
 站外推广费用</s:t>
          </s:r>
        </s:text>
      </item>
    </comment>
  </commentList>
  <commentList sheetStid="7">
    <comment s:ref="B4" rgbClr="FF0000">
      <item id="{de4e88ed-3a31-4f55-81ee-e3b7f82aafee}" isNormal="1">
        <s:text>
          <s:r>
            <s:t xml:space="preserve">修改日期</s:t>
          </s:r>
        </s:text>
      </item>
    </comment>
    <comment s:ref="F4" rgbClr="FF0000">
      <item id="{0d49c845-c596-49d3-b29f-9c32fc89ae4f}" isNormal="1">
        <s:text>
          <s:r>
            <s:t xml:space="preserve">公式自动填充 7天追踪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9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2" master=""/>
  <rangeList sheetStid="3" master=""/>
  <rangeList sheetStid="4" master=""/>
  <rangeList sheetStid="9" master=""/>
  <rangeList sheetStid="6" master=""/>
  <rangeList sheetStid="7" master=""/>
  <rangeList sheetStid="8" master=""/>
</allowEditUser>
</file>

<file path=customXml/item4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9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每日数据</vt:lpstr>
      <vt:lpstr>广告每日操作记录</vt:lpstr>
      <vt:lpstr>每周营销数据</vt:lpstr>
      <vt:lpstr>广告每周数据统计</vt:lpstr>
      <vt:lpstr>每周ROI表格追踪</vt:lpstr>
      <vt:lpstr>Listing优化记录</vt:lpstr>
      <vt:lpstr>周退货率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及时雨</cp:lastModifiedBy>
  <dcterms:created xsi:type="dcterms:W3CDTF">2019-01-07T22:18:00Z</dcterms:created>
  <dcterms:modified xsi:type="dcterms:W3CDTF">2020-11-16T10:06:00Z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KSORubyTemplateID" linkTarget="0">
    <vt:lpwstr>11</vt:lpwstr>
  </property>
</Properties>
</file>