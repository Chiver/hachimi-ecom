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4220" windowHeight="12540"/>
  </bookViews>
  <sheets>
    <sheet name="推广数据跟踪" sheetId="3" r:id="rId1"/>
    <sheet name="客户信息" sheetId="1" state="hidden" r:id="rId2"/>
    <sheet name="Sheet1" sheetId="4" state="hidden" r:id="rId3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4" i="3" l="1"/>
  <c r="E44" i="3"/>
  <c r="D44" i="3"/>
  <c r="J44" i="3"/>
  <c r="C44" i="3"/>
  <c r="B44" i="3"/>
  <c r="F43" i="3"/>
  <c r="E43" i="3"/>
  <c r="D43" i="3"/>
  <c r="J43" i="3"/>
  <c r="C43" i="3"/>
  <c r="B43" i="3"/>
  <c r="K42" i="3"/>
  <c r="J42" i="3"/>
  <c r="I42" i="3"/>
  <c r="H42" i="3"/>
  <c r="K41" i="3"/>
  <c r="J41" i="3"/>
  <c r="I41" i="3"/>
  <c r="H41" i="3"/>
  <c r="K40" i="3"/>
  <c r="J40" i="3"/>
  <c r="I40" i="3"/>
  <c r="H40" i="3"/>
  <c r="K39" i="3"/>
  <c r="J39" i="3"/>
  <c r="I39" i="3"/>
  <c r="H39" i="3"/>
  <c r="K38" i="3"/>
  <c r="J38" i="3"/>
  <c r="I38" i="3"/>
  <c r="H38" i="3"/>
  <c r="K37" i="3"/>
  <c r="J37" i="3"/>
  <c r="I37" i="3"/>
  <c r="H37" i="3"/>
  <c r="K36" i="3"/>
  <c r="J36" i="3"/>
  <c r="I36" i="3"/>
  <c r="H36" i="3"/>
  <c r="K35" i="3"/>
  <c r="J35" i="3"/>
  <c r="I35" i="3"/>
  <c r="H35" i="3"/>
  <c r="K34" i="3"/>
  <c r="J34" i="3"/>
  <c r="I34" i="3"/>
  <c r="H34" i="3"/>
  <c r="K33" i="3"/>
  <c r="J33" i="3"/>
  <c r="I33" i="3"/>
  <c r="H33" i="3"/>
  <c r="K32" i="3"/>
  <c r="J32" i="3"/>
  <c r="I32" i="3"/>
  <c r="H32" i="3"/>
  <c r="K31" i="3"/>
  <c r="J31" i="3"/>
  <c r="I31" i="3"/>
  <c r="H31" i="3"/>
  <c r="K30" i="3"/>
  <c r="J30" i="3"/>
  <c r="I30" i="3"/>
  <c r="H30" i="3"/>
  <c r="K29" i="3"/>
  <c r="J29" i="3"/>
  <c r="I29" i="3"/>
  <c r="H29" i="3"/>
  <c r="K28" i="3"/>
  <c r="J28" i="3"/>
  <c r="I28" i="3"/>
  <c r="H28" i="3"/>
  <c r="K27" i="3"/>
  <c r="J27" i="3"/>
  <c r="I27" i="3"/>
  <c r="H27" i="3"/>
  <c r="K26" i="3"/>
  <c r="J26" i="3"/>
  <c r="I26" i="3"/>
  <c r="H26" i="3"/>
  <c r="K25" i="3"/>
  <c r="J25" i="3"/>
  <c r="I25" i="3"/>
  <c r="H25" i="3"/>
  <c r="K24" i="3"/>
  <c r="J24" i="3"/>
  <c r="I24" i="3"/>
  <c r="H24" i="3"/>
  <c r="K23" i="3"/>
  <c r="J23" i="3"/>
  <c r="I23" i="3"/>
  <c r="H23" i="3"/>
  <c r="K22" i="3"/>
  <c r="J22" i="3"/>
  <c r="I22" i="3"/>
  <c r="H22" i="3"/>
  <c r="K21" i="3"/>
  <c r="J21" i="3"/>
  <c r="I21" i="3"/>
  <c r="H21" i="3"/>
  <c r="K20" i="3"/>
  <c r="J20" i="3"/>
  <c r="I20" i="3"/>
  <c r="H20" i="3"/>
  <c r="K19" i="3"/>
  <c r="J19" i="3"/>
  <c r="I19" i="3"/>
  <c r="H19" i="3"/>
  <c r="K18" i="3"/>
  <c r="J18" i="3"/>
  <c r="I18" i="3"/>
  <c r="H18" i="3"/>
  <c r="K17" i="3"/>
  <c r="J17" i="3"/>
  <c r="I17" i="3"/>
  <c r="H17" i="3"/>
  <c r="K16" i="3"/>
  <c r="J16" i="3"/>
  <c r="I16" i="3"/>
  <c r="H16" i="3"/>
  <c r="K15" i="3"/>
  <c r="J15" i="3"/>
  <c r="I15" i="3"/>
  <c r="H15" i="3"/>
  <c r="K14" i="3"/>
  <c r="J14" i="3"/>
  <c r="I14" i="3"/>
  <c r="H14" i="3"/>
  <c r="K13" i="3"/>
  <c r="J13" i="3"/>
  <c r="I13" i="3"/>
  <c r="H13" i="3"/>
  <c r="K12" i="3"/>
  <c r="K44" i="3"/>
  <c r="J12" i="3"/>
  <c r="I12" i="3"/>
  <c r="I44" i="3"/>
  <c r="H12" i="3"/>
  <c r="H44" i="3"/>
  <c r="H43" i="3"/>
  <c r="I43" i="3"/>
  <c r="K43" i="3"/>
</calcChain>
</file>

<file path=xl/sharedStrings.xml><?xml version="1.0" encoding="utf-8"?>
<sst xmlns="http://schemas.openxmlformats.org/spreadsheetml/2006/main" count="103" uniqueCount="90">
  <si>
    <t>时间</t>
  </si>
  <si>
    <t>展现量</t>
  </si>
  <si>
    <t>点击量</t>
  </si>
  <si>
    <t>日消耗</t>
  </si>
  <si>
    <t>成交量</t>
  </si>
  <si>
    <t>成交金额</t>
  </si>
  <si>
    <t>CTR</t>
  </si>
  <si>
    <t>点击转化率</t>
  </si>
  <si>
    <t>acos</t>
  </si>
  <si>
    <t>平均点击消耗</t>
  </si>
  <si>
    <t>今日动作</t>
  </si>
  <si>
    <t>今日工作总结</t>
  </si>
  <si>
    <t>周总结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</si>
  <si>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</si>
  <si>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</si>
  <si>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</si>
  <si>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</si>
  <si>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</si>
  <si>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</si>
  <si>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</si>
  <si>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</si>
  <si>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</si>
  <si>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</si>
  <si>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</si>
  <si>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</si>
  <si>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</si>
  <si>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</si>
  <si>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</si>
  <si>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</si>
  <si>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</si>
  <si>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</si>
  <si>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</si>
  <si>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</si>
  <si>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</si>
  <si>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</si>
  <si>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</si>
  <si>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</si>
  <si>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</si>
  <si>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</si>
  <si>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</si>
  <si>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</si>
  <si>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</si>
  <si>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</si>
  <si>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</si>
  <si>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总和</t>
  </si>
  <si>
    <t>日平均</t>
  </si>
  <si>
    <t>店铺信息</t>
  </si>
  <si>
    <t>店铺名称</t>
  </si>
  <si>
    <t>蓝佰帝旗舰店</t>
  </si>
  <si>
    <t>店铺地址</t>
  </si>
  <si>
    <t>http://labatey.tmall.com/</t>
  </si>
  <si>
    <t>店铺行业</t>
  </si>
  <si>
    <t>卫浴，洁具（家装）</t>
  </si>
  <si>
    <t>推广时间</t>
  </si>
  <si>
    <t>4-29—7-29</t>
  </si>
  <si>
    <t>推广商品数</t>
  </si>
  <si>
    <t>推广日限额</t>
  </si>
  <si>
    <t>推广地域</t>
  </si>
  <si>
    <t>除了温州其他全境投放</t>
  </si>
  <si>
    <t>联系人信息</t>
  </si>
  <si>
    <t>姓名</t>
  </si>
  <si>
    <t>陈立萍</t>
  </si>
  <si>
    <t>地址</t>
  </si>
  <si>
    <t>咨询旺旺：</t>
  </si>
  <si>
    <t>邮箱</t>
  </si>
  <si>
    <t>liujiaz0219@yahoo.cn</t>
  </si>
  <si>
    <t>手机</t>
  </si>
  <si>
    <t>账户监管人信息</t>
  </si>
  <si>
    <t>SALES</t>
  </si>
  <si>
    <t>吕丽鲜</t>
  </si>
  <si>
    <t>AM</t>
  </si>
  <si>
    <t>王红妹</t>
  </si>
  <si>
    <t>AE</t>
  </si>
  <si>
    <t>桃子</t>
  </si>
  <si>
    <t>绑定账号</t>
  </si>
  <si>
    <t>杭州运维11</t>
  </si>
  <si>
    <t>推广商品</t>
  </si>
  <si>
    <t>商品链接</t>
  </si>
  <si>
    <t>http://item.tmall.com/item.htm?id=8895874480&amp;frm=</t>
  </si>
  <si>
    <t>商品促销信息</t>
  </si>
  <si>
    <t xml:space="preserve">http://item.tmall.com/item.htm?id=10062325298&amp;frm= </t>
  </si>
  <si>
    <t>http://item.tmall.com/item.htm?id=7332851104</t>
  </si>
  <si>
    <t>http://item.taobao.com/item.htm?id=8878483954</t>
  </si>
  <si>
    <t>http://item.taobao.com/item.htm?id=7972029316</t>
  </si>
  <si>
    <t>备用商品</t>
  </si>
  <si>
    <t>http://item.tmall.com/item.htm?id=8077360782</t>
  </si>
  <si>
    <t>http://item.tmall.com/item.htm?id=9529666258&amp;prc=1</t>
  </si>
  <si>
    <r>
      <rPr>
        <sz val="10.5"/>
        <color theme="1"/>
        <rFont val="Calibri"/>
        <family val="2"/>
      </rPr>
      <t>http://item.taobao.com/item.htm?id=7421143160</t>
    </r>
    <r>
      <rPr>
        <sz val="10.5"/>
        <color theme="1"/>
        <rFont val="Calibri"/>
        <family val="2"/>
      </rPr>
      <t xml:space="preserve">
 http://item.taobao.com/item.htm?id=10234113522</t>
    </r>
  </si>
  <si>
    <t>包邮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</si>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</sst>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_);[Red]\(0\)"/>
    <numFmt numFmtId="177" formatCode="0.00_);\(0.00\)"/>
    <numFmt numFmtId="178" formatCode="0.00_);[Red]\(0.00\)"/>
    <numFmt numFmtId="179" formatCode="0.00_ "/>
    <numFmt numFmtId="180" formatCode="&quot;￥&quot;#,##0.00;[Red]&quot;￥&quot;\-#,##0.00"/>
  </numFmts>
  <fonts count="13" x14ac:knownFonts="1">
    <font>
      <sz val="11"/>
      <color theme="1"/>
      <name val="宋体"/>
      <charset val="134"/>
      <scheme val="minor"/>
    </font>
    <font>
      <sz val="10"/>
      <color theme="0"/>
      <name val="宋体"/>
      <family val="3"/>
      <charset val="134"/>
      <scheme val="minor"/>
    </font>
    <font>
      <sz val="10.5"/>
      <color theme="1"/>
      <name val="Calibri"/>
      <family val="2"/>
    </font>
    <font>
      <sz val="10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Calibri"/>
      <family val="2"/>
    </font>
    <font>
      <sz val="10.5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color rgb="FF000000"/>
      <name val="Arial"/>
      <family val="2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399914548173467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Alignment="1" applyProtection="1"/>
    <xf numFmtId="0" fontId="2" fillId="0" borderId="0" xfId="0" applyFont="1" applyAlignment="1">
      <alignment wrapText="1"/>
    </xf>
    <xf numFmtId="0" fontId="9" fillId="0" borderId="0" xfId="0" applyFont="1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176" fontId="3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 wrapText="1"/>
    </xf>
    <xf numFmtId="180" fontId="10" fillId="0" borderId="0" xfId="0" applyNumberFormat="1" applyFont="1" applyAlignment="1">
      <alignment horizontal="center" wrapText="1"/>
    </xf>
    <xf numFmtId="180" fontId="10" fillId="0" borderId="0" xfId="0" applyNumberFormat="1" applyFont="1"/>
    <xf numFmtId="0" fontId="3" fillId="4" borderId="0" xfId="0" applyFont="1" applyFill="1" applyAlignment="1">
      <alignment horizontal="center" vertical="center"/>
    </xf>
    <xf numFmtId="179" fontId="3" fillId="4" borderId="0" xfId="0" applyNumberFormat="1" applyFont="1" applyFill="1" applyAlignment="1">
      <alignment vertical="center"/>
    </xf>
    <xf numFmtId="10" fontId="3" fillId="4" borderId="0" xfId="0" applyNumberFormat="1" applyFont="1" applyFill="1" applyAlignment="1">
      <alignment vertical="center"/>
    </xf>
    <xf numFmtId="14" fontId="10" fillId="0" borderId="0" xfId="0" applyNumberFormat="1" applyFont="1" applyAlignment="1">
      <alignment horizontal="center" wrapText="1"/>
    </xf>
    <xf numFmtId="10" fontId="10" fillId="0" borderId="0" xfId="0" applyNumberFormat="1" applyFont="1" applyAlignment="1">
      <alignment horizontal="center" wrapText="1"/>
    </xf>
    <xf numFmtId="177" fontId="1" fillId="2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0" borderId="0" xfId="1" applyAlignment="1" applyProtection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2">
    <cellStyle name="超链接" xfId="1" builtinId="8"/>
    <cellStyle name="普通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390519187363"/>
          <c:y val="0.0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推广数据跟踪!$C$11</c:f>
              <c:strCache>
                <c:ptCount val="1"/>
                <c:pt idx="0">
                  <c:v>点击量</c:v>
                </c:pt>
              </c:strCache>
            </c:strRef>
          </c:tx>
          <c:cat>
            <c:strRef>
              <c:f>推广数据跟踪!$A$12:$A$42</c:f>
              <c:strCache>
                <c:ptCount val="31"/>
                <c:pt idx="0">
                  <c:v>1日</c:v>
                </c:pt>
                <c:pt idx="1">
                  <c:v>2日</c:v>
                </c:pt>
                <c:pt idx="2">
                  <c:v>3日</c:v>
                </c:pt>
                <c:pt idx="3">
                  <c:v>4日</c:v>
                </c:pt>
                <c:pt idx="4">
                  <c:v>5日</c:v>
                </c:pt>
                <c:pt idx="5">
                  <c:v>6日</c:v>
                </c:pt>
                <c:pt idx="6">
                  <c:v>7日</c:v>
                </c:pt>
                <c:pt idx="7">
                  <c:v>8日</c:v>
                </c:pt>
                <c:pt idx="8">
                  <c:v>9日</c:v>
                </c:pt>
                <c:pt idx="9">
                  <c:v>10日</c:v>
                </c:pt>
                <c:pt idx="10">
                  <c:v>11日</c:v>
                </c:pt>
                <c:pt idx="11">
                  <c:v>12日</c:v>
                </c:pt>
                <c:pt idx="12">
                  <c:v>13日</c:v>
                </c:pt>
                <c:pt idx="13">
                  <c:v>14日</c:v>
                </c:pt>
                <c:pt idx="14">
                  <c:v>15日</c:v>
                </c:pt>
                <c:pt idx="15">
                  <c:v>16日</c:v>
                </c:pt>
                <c:pt idx="16">
                  <c:v>17日</c:v>
                </c:pt>
                <c:pt idx="17">
                  <c:v>18日</c:v>
                </c:pt>
                <c:pt idx="18">
                  <c:v>19日</c:v>
                </c:pt>
                <c:pt idx="19">
                  <c:v>20日</c:v>
                </c:pt>
                <c:pt idx="20">
                  <c:v>21日</c:v>
                </c:pt>
                <c:pt idx="21">
                  <c:v>22日</c:v>
                </c:pt>
                <c:pt idx="22">
                  <c:v>23日</c:v>
                </c:pt>
                <c:pt idx="23">
                  <c:v>24日</c:v>
                </c:pt>
                <c:pt idx="24">
                  <c:v>25日</c:v>
                </c:pt>
                <c:pt idx="25">
                  <c:v>26日</c:v>
                </c:pt>
                <c:pt idx="26">
                  <c:v>27日</c:v>
                </c:pt>
                <c:pt idx="27">
                  <c:v>28日</c:v>
                </c:pt>
                <c:pt idx="28">
                  <c:v>29日</c:v>
                </c:pt>
                <c:pt idx="29">
                  <c:v>30日</c:v>
                </c:pt>
                <c:pt idx="30">
                  <c:v>31日</c:v>
                </c:pt>
              </c:strCache>
            </c:strRef>
          </c:cat>
          <c:val>
            <c:numRef>
              <c:f>推广数据跟踪!$C$12:$C$42</c:f>
              <c:numCache>
                <c:formatCode>0_);[Red]\(0\)</c:formatCode>
                <c:ptCount val="31"/>
                <c:pt idx="0">
                  <c:v>258.0</c:v>
                </c:pt>
                <c:pt idx="1">
                  <c:v>301.0</c:v>
                </c:pt>
                <c:pt idx="2">
                  <c:v>323.0</c:v>
                </c:pt>
                <c:pt idx="3">
                  <c:v>293.0</c:v>
                </c:pt>
                <c:pt idx="4">
                  <c:v>271.0</c:v>
                </c:pt>
                <c:pt idx="5">
                  <c:v>249.0</c:v>
                </c:pt>
                <c:pt idx="6">
                  <c:v>261.0</c:v>
                </c:pt>
                <c:pt idx="7">
                  <c:v>333.0</c:v>
                </c:pt>
                <c:pt idx="8">
                  <c:v>318.0</c:v>
                </c:pt>
                <c:pt idx="9">
                  <c:v>278.0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127-5544-95DA-9ABC1C1BF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3635624"/>
        <c:axId val="-2099663144"/>
      </c:lineChart>
      <c:catAx>
        <c:axId val="-2133635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099663144"/>
        <c:crosses val="autoZero"/>
        <c:auto val="1"/>
        <c:lblAlgn val="ctr"/>
        <c:lblOffset val="100"/>
        <c:noMultiLvlLbl val="0"/>
      </c:catAx>
      <c:valAx>
        <c:axId val="-2099663144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1336356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推广数据跟踪!$E$11</c:f>
              <c:strCache>
                <c:ptCount val="1"/>
                <c:pt idx="0">
                  <c:v>成交量</c:v>
                </c:pt>
              </c:strCache>
            </c:strRef>
          </c:tx>
          <c:cat>
            <c:strRef>
              <c:f>推广数据跟踪!$A$12:$A$42</c:f>
              <c:strCache>
                <c:ptCount val="31"/>
                <c:pt idx="0">
                  <c:v>1日</c:v>
                </c:pt>
                <c:pt idx="1">
                  <c:v>2日</c:v>
                </c:pt>
                <c:pt idx="2">
                  <c:v>3日</c:v>
                </c:pt>
                <c:pt idx="3">
                  <c:v>4日</c:v>
                </c:pt>
                <c:pt idx="4">
                  <c:v>5日</c:v>
                </c:pt>
                <c:pt idx="5">
                  <c:v>6日</c:v>
                </c:pt>
                <c:pt idx="6">
                  <c:v>7日</c:v>
                </c:pt>
                <c:pt idx="7">
                  <c:v>8日</c:v>
                </c:pt>
                <c:pt idx="8">
                  <c:v>9日</c:v>
                </c:pt>
                <c:pt idx="9">
                  <c:v>10日</c:v>
                </c:pt>
                <c:pt idx="10">
                  <c:v>11日</c:v>
                </c:pt>
                <c:pt idx="11">
                  <c:v>12日</c:v>
                </c:pt>
                <c:pt idx="12">
                  <c:v>13日</c:v>
                </c:pt>
                <c:pt idx="13">
                  <c:v>14日</c:v>
                </c:pt>
                <c:pt idx="14">
                  <c:v>15日</c:v>
                </c:pt>
                <c:pt idx="15">
                  <c:v>16日</c:v>
                </c:pt>
                <c:pt idx="16">
                  <c:v>17日</c:v>
                </c:pt>
                <c:pt idx="17">
                  <c:v>18日</c:v>
                </c:pt>
                <c:pt idx="18">
                  <c:v>19日</c:v>
                </c:pt>
                <c:pt idx="19">
                  <c:v>20日</c:v>
                </c:pt>
                <c:pt idx="20">
                  <c:v>21日</c:v>
                </c:pt>
                <c:pt idx="21">
                  <c:v>22日</c:v>
                </c:pt>
                <c:pt idx="22">
                  <c:v>23日</c:v>
                </c:pt>
                <c:pt idx="23">
                  <c:v>24日</c:v>
                </c:pt>
                <c:pt idx="24">
                  <c:v>25日</c:v>
                </c:pt>
                <c:pt idx="25">
                  <c:v>26日</c:v>
                </c:pt>
                <c:pt idx="26">
                  <c:v>27日</c:v>
                </c:pt>
                <c:pt idx="27">
                  <c:v>28日</c:v>
                </c:pt>
                <c:pt idx="28">
                  <c:v>29日</c:v>
                </c:pt>
                <c:pt idx="29">
                  <c:v>30日</c:v>
                </c:pt>
                <c:pt idx="30">
                  <c:v>31日</c:v>
                </c:pt>
              </c:strCache>
            </c:strRef>
          </c:cat>
          <c:val>
            <c:numRef>
              <c:f>推广数据跟踪!$E$12:$E$42</c:f>
              <c:numCache>
                <c:formatCode>0_);[Red]\(0\)</c:formatCode>
                <c:ptCount val="31"/>
                <c:pt idx="0">
                  <c:v>27.0</c:v>
                </c:pt>
                <c:pt idx="1">
                  <c:v>36.0</c:v>
                </c:pt>
                <c:pt idx="2">
                  <c:v>29.0</c:v>
                </c:pt>
                <c:pt idx="3">
                  <c:v>17.0</c:v>
                </c:pt>
                <c:pt idx="4">
                  <c:v>17.0</c:v>
                </c:pt>
                <c:pt idx="5">
                  <c:v>15.0</c:v>
                </c:pt>
                <c:pt idx="6">
                  <c:v>22.0</c:v>
                </c:pt>
                <c:pt idx="7">
                  <c:v>24.0</c:v>
                </c:pt>
                <c:pt idx="8">
                  <c:v>24.0</c:v>
                </c:pt>
                <c:pt idx="9">
                  <c:v>11.0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25C-0D49-90E6-A56248875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99586264"/>
        <c:axId val="-2133491752"/>
      </c:lineChart>
      <c:catAx>
        <c:axId val="-20995862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133491752"/>
        <c:crosses val="autoZero"/>
        <c:auto val="1"/>
        <c:lblAlgn val="ctr"/>
        <c:lblOffset val="100"/>
        <c:noMultiLvlLbl val="0"/>
      </c:catAx>
      <c:valAx>
        <c:axId val="-2133491752"/>
        <c:scaling>
          <c:orientation val="minMax"/>
        </c:scaling>
        <c:delete val="0"/>
        <c:axPos val="l"/>
        <c:majorGridlines/>
        <c:numFmt formatCode="0_);[Red]\(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09958626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推广数据跟踪!$H$11</c:f>
              <c:strCache>
                <c:ptCount val="1"/>
                <c:pt idx="0">
                  <c:v>CTR</c:v>
                </c:pt>
              </c:strCache>
            </c:strRef>
          </c:tx>
          <c:cat>
            <c:strRef>
              <c:f>推广数据跟踪!$A$12:$A$42</c:f>
              <c:strCache>
                <c:ptCount val="31"/>
                <c:pt idx="0">
                  <c:v>1日</c:v>
                </c:pt>
                <c:pt idx="1">
                  <c:v>2日</c:v>
                </c:pt>
                <c:pt idx="2">
                  <c:v>3日</c:v>
                </c:pt>
                <c:pt idx="3">
                  <c:v>4日</c:v>
                </c:pt>
                <c:pt idx="4">
                  <c:v>5日</c:v>
                </c:pt>
                <c:pt idx="5">
                  <c:v>6日</c:v>
                </c:pt>
                <c:pt idx="6">
                  <c:v>7日</c:v>
                </c:pt>
                <c:pt idx="7">
                  <c:v>8日</c:v>
                </c:pt>
                <c:pt idx="8">
                  <c:v>9日</c:v>
                </c:pt>
                <c:pt idx="9">
                  <c:v>10日</c:v>
                </c:pt>
                <c:pt idx="10">
                  <c:v>11日</c:v>
                </c:pt>
                <c:pt idx="11">
                  <c:v>12日</c:v>
                </c:pt>
                <c:pt idx="12">
                  <c:v>13日</c:v>
                </c:pt>
                <c:pt idx="13">
                  <c:v>14日</c:v>
                </c:pt>
                <c:pt idx="14">
                  <c:v>15日</c:v>
                </c:pt>
                <c:pt idx="15">
                  <c:v>16日</c:v>
                </c:pt>
                <c:pt idx="16">
                  <c:v>17日</c:v>
                </c:pt>
                <c:pt idx="17">
                  <c:v>18日</c:v>
                </c:pt>
                <c:pt idx="18">
                  <c:v>19日</c:v>
                </c:pt>
                <c:pt idx="19">
                  <c:v>20日</c:v>
                </c:pt>
                <c:pt idx="20">
                  <c:v>21日</c:v>
                </c:pt>
                <c:pt idx="21">
                  <c:v>22日</c:v>
                </c:pt>
                <c:pt idx="22">
                  <c:v>23日</c:v>
                </c:pt>
                <c:pt idx="23">
                  <c:v>24日</c:v>
                </c:pt>
                <c:pt idx="24">
                  <c:v>25日</c:v>
                </c:pt>
                <c:pt idx="25">
                  <c:v>26日</c:v>
                </c:pt>
                <c:pt idx="26">
                  <c:v>27日</c:v>
                </c:pt>
                <c:pt idx="27">
                  <c:v>28日</c:v>
                </c:pt>
                <c:pt idx="28">
                  <c:v>29日</c:v>
                </c:pt>
                <c:pt idx="29">
                  <c:v>30日</c:v>
                </c:pt>
                <c:pt idx="30">
                  <c:v>31日</c:v>
                </c:pt>
              </c:strCache>
            </c:strRef>
          </c:cat>
          <c:val>
            <c:numRef>
              <c:f>推广数据跟踪!$H$12:$H$42</c:f>
              <c:numCache>
                <c:formatCode>0.00%</c:formatCode>
                <c:ptCount val="31"/>
                <c:pt idx="0">
                  <c:v>0.00296869066933619</c:v>
                </c:pt>
                <c:pt idx="1">
                  <c:v>0.00260441452588407</c:v>
                </c:pt>
                <c:pt idx="2">
                  <c:v>0.00289943537311155</c:v>
                </c:pt>
                <c:pt idx="3">
                  <c:v>0.00256704544458949</c:v>
                </c:pt>
                <c:pt idx="4">
                  <c:v>0.00237278044338598</c:v>
                </c:pt>
                <c:pt idx="5">
                  <c:v>0.00222595698271084</c:v>
                </c:pt>
                <c:pt idx="6">
                  <c:v>0.00236389490177609</c:v>
                </c:pt>
                <c:pt idx="7">
                  <c:v>0.00274791018542205</c:v>
                </c:pt>
                <c:pt idx="8">
                  <c:v>0.00254479397572042</c:v>
                </c:pt>
                <c:pt idx="9">
                  <c:v>0.00225347545900377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  <c:pt idx="20">
                  <c:v>0.0</c:v>
                </c:pt>
                <c:pt idx="21">
                  <c:v>0.0</c:v>
                </c:pt>
                <c:pt idx="22">
                  <c:v>0.0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440-904D-B4DD-E0769F1D1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3844616"/>
        <c:axId val="-2133778536"/>
      </c:lineChart>
      <c:catAx>
        <c:axId val="-2133844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133778536"/>
        <c:crosses val="autoZero"/>
        <c:auto val="1"/>
        <c:lblAlgn val="ctr"/>
        <c:lblOffset val="100"/>
        <c:noMultiLvlLbl val="0"/>
      </c:catAx>
      <c:valAx>
        <c:axId val="-213377853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13384461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800" b="1"/>
              <a:t>展现量</a:t>
            </a:r>
          </a:p>
        </c:rich>
      </c:tx>
      <c:layout>
        <c:manualLayout>
          <c:xMode val="edge"/>
          <c:yMode val="edge"/>
          <c:x val="0.386229819563153"/>
          <c:y val="0.02081887578070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7568850902184"/>
          <c:y val="0.187369882026371"/>
          <c:w val="0.83673314339981"/>
          <c:h val="0.6691186675919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推广数据跟踪!$F$12:$F$42</c:f>
              <c:numCache>
                <c:formatCode>0.00_ </c:formatCode>
                <c:ptCount val="31"/>
                <c:pt idx="0" formatCode="0.00_);[Red]\(0.00\)">
                  <c:v>724.46</c:v>
                </c:pt>
                <c:pt idx="1">
                  <c:v>971.28</c:v>
                </c:pt>
                <c:pt idx="2">
                  <c:v>781.42</c:v>
                </c:pt>
                <c:pt idx="3">
                  <c:v>457.66</c:v>
                </c:pt>
                <c:pt idx="4">
                  <c:v>442.67</c:v>
                </c:pt>
                <c:pt idx="5">
                  <c:v>404.7</c:v>
                </c:pt>
                <c:pt idx="6">
                  <c:v>593.5599999999999</c:v>
                </c:pt>
                <c:pt idx="7">
                  <c:v>646.52</c:v>
                </c:pt>
                <c:pt idx="8">
                  <c:v>674.5</c:v>
                </c:pt>
                <c:pt idx="9">
                  <c:v>296.78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BF7-E54C-B667-D8DB4E79C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368344"/>
        <c:axId val="-2098634296"/>
      </c:lineChart>
      <c:catAx>
        <c:axId val="2140368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2098634296"/>
        <c:crosses val="autoZero"/>
        <c:auto val="1"/>
        <c:lblAlgn val="ctr"/>
        <c:lblOffset val="100"/>
        <c:noMultiLvlLbl val="0"/>
      </c:catAx>
      <c:valAx>
        <c:axId val="-209863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0368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9525</xdr:rowOff>
    </xdr:from>
    <xdr:to>
      <xdr:col>5</xdr:col>
      <xdr:colOff>86360</xdr:colOff>
      <xdr:row>10</xdr:row>
      <xdr:rowOff>19050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304800</xdr:colOff>
      <xdr:row>0</xdr:row>
      <xdr:rowOff>635</xdr:rowOff>
    </xdr:from>
    <xdr:to>
      <xdr:col>10</xdr:col>
      <xdr:colOff>400050</xdr:colOff>
      <xdr:row>10</xdr:row>
      <xdr:rowOff>19685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609599</xdr:colOff>
      <xdr:row>0</xdr:row>
      <xdr:rowOff>0</xdr:rowOff>
    </xdr:from>
    <xdr:to>
      <xdr:col>12</xdr:col>
      <xdr:colOff>523874</xdr:colOff>
      <xdr:row>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3721100</xdr:colOff>
      <xdr:row>0</xdr:row>
      <xdr:rowOff>28575</xdr:rowOff>
    </xdr:from>
    <xdr:to>
      <xdr:col>13</xdr:col>
      <xdr:colOff>2863215</xdr:colOff>
      <xdr:row>9</xdr:row>
      <xdr:rowOff>144145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item.taobao.com/item.htm?id=7972029316" TargetMode="External"/><Relationship Id="rId4" Type="http://schemas.openxmlformats.org/officeDocument/2006/relationships/hyperlink" Target="http://item.tmall.com/item.htm?id=8077360782" TargetMode="External"/><Relationship Id="rId5" Type="http://schemas.openxmlformats.org/officeDocument/2006/relationships/hyperlink" Target="mailto:liujiaz0219@yahoo.cn" TargetMode="External"/><Relationship Id="rId1" Type="http://schemas.openxmlformats.org/officeDocument/2006/relationships/hyperlink" Target="http://item.tmall.com/item.htm?id=7332851104" TargetMode="External"/><Relationship Id="rId2" Type="http://schemas.openxmlformats.org/officeDocument/2006/relationships/hyperlink" Target="http://item.taobao.com/item.htm?id=88784839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O58"/>
  <sheetViews>
    <sheetView tabSelected="1" workbookViewId="0">
      <selection activeCell="L20" sqref="L20"/>
    </sheetView>
  </sheetViews>
  <sheetFormatPr baseColWidth="10" defaultColWidth="10.6640625" defaultRowHeight="15" customHeight="1" x14ac:dyDescent="0"/>
  <cols>
    <col min="1" max="1" width="7.6640625" style="3" customWidth="1"/>
    <col min="2" max="3" width="10.6640625" style="13" customWidth="1"/>
    <col min="4" max="4" width="10.6640625" style="3" customWidth="1"/>
    <col min="5" max="5" width="10.6640625" style="13" customWidth="1"/>
    <col min="6" max="7" width="10.6640625" style="3" customWidth="1"/>
    <col min="8" max="9" width="10.6640625" style="14" customWidth="1"/>
    <col min="10" max="10" width="10.6640625" style="15" customWidth="1"/>
    <col min="11" max="11" width="10.6640625" style="3" customWidth="1"/>
    <col min="12" max="12" width="50.6640625" style="3" customWidth="1"/>
    <col min="13" max="13" width="8.83203125" style="3" customWidth="1"/>
    <col min="14" max="14" width="41.1640625" style="3" customWidth="1"/>
    <col min="15" max="16384" width="10.6640625" style="3"/>
  </cols>
  <sheetData>
    <row r="11" spans="1:15" s="11" customFormat="1" ht="15" customHeight="1">
      <c r="A11" s="11" t="s">
        <v>0</v>
      </c>
      <c r="B11" s="16" t="s">
        <v>1</v>
      </c>
      <c r="C11" s="16" t="s">
        <v>2</v>
      </c>
      <c r="D11" s="11" t="s">
        <v>3</v>
      </c>
      <c r="E11" s="16" t="s">
        <v>4</v>
      </c>
      <c r="F11" s="11" t="s">
        <v>5</v>
      </c>
      <c r="H11" s="17" t="s">
        <v>6</v>
      </c>
      <c r="I11" s="17" t="s">
        <v>7</v>
      </c>
      <c r="J11" s="30" t="s">
        <v>8</v>
      </c>
      <c r="K11" s="11" t="s">
        <v>9</v>
      </c>
      <c r="L11" s="11" t="s">
        <v>10</v>
      </c>
      <c r="M11" s="35" t="s">
        <v>11</v>
      </c>
      <c r="N11" s="35"/>
      <c r="O11" s="11" t="s">
        <v>12</v>
      </c>
    </row>
    <row r="12" spans="1:15" ht="15" customHeight="1">
      <c r="A12" s="18" t="s">
        <v>13</v>
      </c>
      <c r="B12" s="13">
        <v>86907</v>
      </c>
      <c r="C12" s="13">
        <v>258</v>
      </c>
      <c r="D12" s="19">
        <v>185.62</v>
      </c>
      <c r="E12" s="13">
        <v>27</v>
      </c>
      <c r="F12" s="19">
        <v>724.46</v>
      </c>
      <c r="G12" s="20"/>
      <c r="H12" s="14">
        <f t="shared" ref="H12:H17" si="0">IF(B12=0,0,C12/B12)</f>
        <v>2.9686906693361871E-3</v>
      </c>
      <c r="I12" s="14">
        <f t="shared" ref="I12:I17" si="1">IF(C12=0,0,E12/C12)</f>
        <v>0.10465116279069768</v>
      </c>
      <c r="J12" s="14">
        <f t="shared" ref="J12:J17" si="2">IF(D12=0,0,D12/F12)</f>
        <v>0.25621842475775058</v>
      </c>
      <c r="K12" s="20">
        <f t="shared" ref="K12:K17" si="3">IF(C12=0,0,D12/C12)</f>
        <v>0.71945736434108531</v>
      </c>
      <c r="M12" s="34"/>
      <c r="N12" s="34"/>
    </row>
    <row r="13" spans="1:15" ht="15" customHeight="1">
      <c r="A13" s="18" t="s">
        <v>14</v>
      </c>
      <c r="B13" s="13">
        <v>115573</v>
      </c>
      <c r="C13" s="13">
        <v>301</v>
      </c>
      <c r="D13" s="20">
        <v>210.83</v>
      </c>
      <c r="E13" s="13">
        <v>36</v>
      </c>
      <c r="F13" s="20">
        <v>971.28</v>
      </c>
      <c r="G13" s="20"/>
      <c r="H13" s="14">
        <f t="shared" si="0"/>
        <v>2.6044145258840735E-3</v>
      </c>
      <c r="I13" s="14">
        <f t="shared" si="1"/>
        <v>0.11960132890365449</v>
      </c>
      <c r="J13" s="14">
        <f t="shared" si="2"/>
        <v>0.21706408038876535</v>
      </c>
      <c r="K13" s="20">
        <f t="shared" si="3"/>
        <v>0.70043189368770764</v>
      </c>
      <c r="M13" s="34"/>
      <c r="N13" s="34"/>
    </row>
    <row r="14" spans="1:15" ht="15" customHeight="1">
      <c r="A14" s="18" t="s">
        <v>15</v>
      </c>
      <c r="B14" s="13">
        <v>111401</v>
      </c>
      <c r="C14" s="13">
        <v>323</v>
      </c>
      <c r="D14" s="20">
        <v>231.1</v>
      </c>
      <c r="E14" s="13">
        <v>29</v>
      </c>
      <c r="F14" s="20">
        <v>781.42</v>
      </c>
      <c r="G14" s="20"/>
      <c r="H14" s="14">
        <f t="shared" si="0"/>
        <v>2.8994353731115518E-3</v>
      </c>
      <c r="I14" s="14">
        <f t="shared" si="1"/>
        <v>8.9783281733746126E-2</v>
      </c>
      <c r="J14" s="14">
        <f t="shared" si="2"/>
        <v>0.29574364618259069</v>
      </c>
      <c r="K14" s="20">
        <f t="shared" si="3"/>
        <v>0.71547987616099074</v>
      </c>
      <c r="M14" s="34"/>
      <c r="N14" s="34"/>
    </row>
    <row r="15" spans="1:15" ht="15" customHeight="1">
      <c r="A15" s="18" t="s">
        <v>16</v>
      </c>
      <c r="B15" s="13">
        <v>114139</v>
      </c>
      <c r="C15" s="13">
        <v>293</v>
      </c>
      <c r="D15" s="20">
        <v>209.04</v>
      </c>
      <c r="E15" s="13">
        <v>17</v>
      </c>
      <c r="F15" s="20">
        <v>457.66</v>
      </c>
      <c r="G15" s="20"/>
      <c r="H15" s="14">
        <f t="shared" si="0"/>
        <v>2.567045444589492E-3</v>
      </c>
      <c r="I15" s="14">
        <f t="shared" si="1"/>
        <v>5.8020477815699661E-2</v>
      </c>
      <c r="J15" s="14">
        <f t="shared" si="2"/>
        <v>0.45675829218196912</v>
      </c>
      <c r="K15" s="20">
        <f t="shared" si="3"/>
        <v>0.71344709897610914</v>
      </c>
      <c r="L15" s="31"/>
      <c r="M15" s="34"/>
      <c r="N15" s="34"/>
    </row>
    <row r="16" spans="1:15" ht="15" customHeight="1">
      <c r="A16" s="18" t="s">
        <v>17</v>
      </c>
      <c r="B16" s="13">
        <v>114212</v>
      </c>
      <c r="C16" s="13">
        <v>271</v>
      </c>
      <c r="D16" s="20">
        <v>181.04</v>
      </c>
      <c r="E16" s="13">
        <v>17</v>
      </c>
      <c r="F16" s="20">
        <v>442.67</v>
      </c>
      <c r="G16" s="20"/>
      <c r="H16" s="14">
        <f t="shared" si="0"/>
        <v>2.3727804433859839E-3</v>
      </c>
      <c r="I16" s="14">
        <f t="shared" si="1"/>
        <v>6.273062730627306E-2</v>
      </c>
      <c r="J16" s="14">
        <f t="shared" si="2"/>
        <v>0.40897282399981927</v>
      </c>
      <c r="K16" s="20">
        <f t="shared" si="3"/>
        <v>0.66804428044280439</v>
      </c>
      <c r="L16" s="32"/>
      <c r="M16" s="34"/>
      <c r="N16" s="34"/>
    </row>
    <row r="17" spans="1:14" ht="15" customHeight="1">
      <c r="A17" s="18" t="s">
        <v>18</v>
      </c>
      <c r="B17" s="13">
        <v>111862</v>
      </c>
      <c r="C17" s="13">
        <v>249</v>
      </c>
      <c r="D17" s="20">
        <v>158.84</v>
      </c>
      <c r="E17" s="13">
        <v>15</v>
      </c>
      <c r="F17" s="20">
        <v>404.7</v>
      </c>
      <c r="G17" s="20"/>
      <c r="H17" s="14">
        <f t="shared" si="0"/>
        <v>2.2259569827108401E-3</v>
      </c>
      <c r="I17" s="14">
        <f t="shared" si="1"/>
        <v>6.0240963855421686E-2</v>
      </c>
      <c r="J17" s="14">
        <f t="shared" si="2"/>
        <v>0.39248826291079814</v>
      </c>
      <c r="K17" s="20">
        <f t="shared" si="3"/>
        <v>0.63791164658634536</v>
      </c>
      <c r="M17" s="34"/>
      <c r="N17" s="34"/>
    </row>
    <row r="18" spans="1:14" ht="15" customHeight="1">
      <c r="A18" s="18" t="s">
        <v>19</v>
      </c>
      <c r="B18" s="13">
        <v>110411</v>
      </c>
      <c r="C18" s="13">
        <v>261</v>
      </c>
      <c r="D18" s="20">
        <v>172.08</v>
      </c>
      <c r="E18" s="13">
        <v>22</v>
      </c>
      <c r="F18" s="20">
        <v>593.55999999999995</v>
      </c>
      <c r="G18" s="20"/>
      <c r="H18" s="14">
        <f t="shared" ref="H18:H32" si="4">IF(B18=0,0,C18/B18)</f>
        <v>2.3638949017760914E-3</v>
      </c>
      <c r="I18" s="14">
        <f t="shared" ref="I18:I32" si="5">IF(C18=0,0,E18/C18)</f>
        <v>8.4291187739463605E-2</v>
      </c>
      <c r="J18" s="14">
        <f t="shared" ref="J18:J32" si="6">IF(D18=0,0,D18/F18)</f>
        <v>0.28991171911853902</v>
      </c>
      <c r="K18" s="20">
        <f t="shared" ref="K18:K32" si="7">IF(C18=0,0,D18/C18)</f>
        <v>0.65931034482758621</v>
      </c>
      <c r="M18" s="34"/>
      <c r="N18" s="34"/>
    </row>
    <row r="19" spans="1:14" ht="15" customHeight="1">
      <c r="A19" s="18" t="s">
        <v>20</v>
      </c>
      <c r="B19" s="13">
        <v>121183</v>
      </c>
      <c r="C19" s="13">
        <v>333</v>
      </c>
      <c r="D19" s="20">
        <v>216.18</v>
      </c>
      <c r="E19" s="13">
        <v>24</v>
      </c>
      <c r="F19" s="20">
        <v>646.52</v>
      </c>
      <c r="G19" s="20"/>
      <c r="H19" s="14">
        <f t="shared" si="4"/>
        <v>2.7479101854220476E-3</v>
      </c>
      <c r="I19" s="14">
        <f t="shared" si="5"/>
        <v>7.2072072072072071E-2</v>
      </c>
      <c r="J19" s="14">
        <f t="shared" si="6"/>
        <v>0.33437480665718</v>
      </c>
      <c r="K19" s="20">
        <f t="shared" si="7"/>
        <v>0.64918918918918922</v>
      </c>
      <c r="M19" s="34"/>
      <c r="N19" s="34"/>
    </row>
    <row r="20" spans="1:14" ht="15" customHeight="1">
      <c r="A20" s="18" t="s">
        <v>21</v>
      </c>
      <c r="B20" s="13">
        <v>124961</v>
      </c>
      <c r="C20" s="13">
        <v>318</v>
      </c>
      <c r="D20" s="20">
        <v>207.51</v>
      </c>
      <c r="E20" s="13">
        <v>24</v>
      </c>
      <c r="F20" s="20">
        <v>674.5</v>
      </c>
      <c r="G20" s="20"/>
      <c r="H20" s="14">
        <f t="shared" si="4"/>
        <v>2.5447939757204247E-3</v>
      </c>
      <c r="I20" s="14">
        <f t="shared" si="5"/>
        <v>7.5471698113207544E-2</v>
      </c>
      <c r="J20" s="14">
        <f t="shared" si="6"/>
        <v>0.30765011119347663</v>
      </c>
      <c r="K20" s="20">
        <f t="shared" si="7"/>
        <v>0.65254716981132077</v>
      </c>
      <c r="M20" s="34"/>
      <c r="N20" s="34"/>
    </row>
    <row r="21" spans="1:14" ht="15" customHeight="1">
      <c r="A21" s="18" t="s">
        <v>22</v>
      </c>
      <c r="B21" s="13">
        <v>123365</v>
      </c>
      <c r="C21" s="13">
        <v>278</v>
      </c>
      <c r="D21" s="20">
        <v>154.29</v>
      </c>
      <c r="E21" s="13">
        <v>11</v>
      </c>
      <c r="F21" s="20">
        <v>296.77999999999997</v>
      </c>
      <c r="G21" s="20"/>
      <c r="H21" s="14">
        <f t="shared" si="4"/>
        <v>2.2534754590037695E-3</v>
      </c>
      <c r="I21" s="14">
        <f t="shared" si="5"/>
        <v>3.9568345323741004E-2</v>
      </c>
      <c r="J21" s="14">
        <f t="shared" si="6"/>
        <v>0.51988004582519043</v>
      </c>
      <c r="K21" s="20">
        <f t="shared" si="7"/>
        <v>0.55499999999999994</v>
      </c>
    </row>
    <row r="22" spans="1:14" ht="15" customHeight="1">
      <c r="A22" s="18" t="s">
        <v>23</v>
      </c>
      <c r="D22" s="20"/>
      <c r="F22" s="20"/>
      <c r="G22" s="20"/>
      <c r="H22" s="14">
        <f t="shared" si="4"/>
        <v>0</v>
      </c>
      <c r="I22" s="14">
        <f t="shared" si="5"/>
        <v>0</v>
      </c>
      <c r="J22" s="14">
        <f t="shared" si="6"/>
        <v>0</v>
      </c>
      <c r="K22" s="20">
        <f t="shared" si="7"/>
        <v>0</v>
      </c>
    </row>
    <row r="23" spans="1:14" ht="15" customHeight="1">
      <c r="A23" s="18" t="s">
        <v>24</v>
      </c>
      <c r="D23" s="20"/>
      <c r="F23" s="20"/>
      <c r="G23" s="20"/>
      <c r="H23" s="14">
        <f t="shared" si="4"/>
        <v>0</v>
      </c>
      <c r="I23" s="14">
        <f t="shared" si="5"/>
        <v>0</v>
      </c>
      <c r="J23" s="14">
        <f t="shared" si="6"/>
        <v>0</v>
      </c>
      <c r="K23" s="20">
        <f t="shared" si="7"/>
        <v>0</v>
      </c>
    </row>
    <row r="24" spans="1:14" ht="15" customHeight="1">
      <c r="A24" s="18" t="s">
        <v>25</v>
      </c>
      <c r="D24" s="20"/>
      <c r="F24" s="20"/>
      <c r="G24" s="20"/>
      <c r="H24" s="14">
        <f t="shared" si="4"/>
        <v>0</v>
      </c>
      <c r="I24" s="14">
        <f t="shared" si="5"/>
        <v>0</v>
      </c>
      <c r="J24" s="14">
        <f t="shared" si="6"/>
        <v>0</v>
      </c>
      <c r="K24" s="20">
        <f t="shared" si="7"/>
        <v>0</v>
      </c>
    </row>
    <row r="25" spans="1:14" ht="15" customHeight="1">
      <c r="A25" s="18" t="s">
        <v>26</v>
      </c>
      <c r="D25" s="20"/>
      <c r="F25" s="20"/>
      <c r="G25" s="20"/>
      <c r="H25" s="14">
        <f t="shared" si="4"/>
        <v>0</v>
      </c>
      <c r="I25" s="14">
        <f t="shared" si="5"/>
        <v>0</v>
      </c>
      <c r="J25" s="14">
        <f t="shared" si="6"/>
        <v>0</v>
      </c>
      <c r="K25" s="20">
        <f t="shared" si="7"/>
        <v>0</v>
      </c>
    </row>
    <row r="26" spans="1:14" ht="15" customHeight="1">
      <c r="A26" s="18" t="s">
        <v>27</v>
      </c>
      <c r="D26" s="20"/>
      <c r="F26" s="20"/>
      <c r="G26" s="20"/>
      <c r="H26" s="14">
        <f t="shared" si="4"/>
        <v>0</v>
      </c>
      <c r="I26" s="14">
        <f t="shared" si="5"/>
        <v>0</v>
      </c>
      <c r="J26" s="14">
        <f t="shared" si="6"/>
        <v>0</v>
      </c>
      <c r="K26" s="20">
        <f t="shared" si="7"/>
        <v>0</v>
      </c>
    </row>
    <row r="27" spans="1:14" ht="15" customHeight="1">
      <c r="A27" s="18" t="s">
        <v>28</v>
      </c>
      <c r="D27" s="20"/>
      <c r="F27" s="20"/>
      <c r="G27" s="20"/>
      <c r="H27" s="14">
        <f t="shared" si="4"/>
        <v>0</v>
      </c>
      <c r="I27" s="14">
        <f t="shared" si="5"/>
        <v>0</v>
      </c>
      <c r="J27" s="14">
        <f t="shared" si="6"/>
        <v>0</v>
      </c>
      <c r="K27" s="20">
        <f t="shared" si="7"/>
        <v>0</v>
      </c>
    </row>
    <row r="28" spans="1:14" ht="15" customHeight="1">
      <c r="A28" s="18" t="s">
        <v>29</v>
      </c>
      <c r="D28" s="20"/>
      <c r="F28" s="20"/>
      <c r="G28" s="20"/>
      <c r="H28" s="14">
        <f t="shared" si="4"/>
        <v>0</v>
      </c>
      <c r="I28" s="14">
        <f t="shared" si="5"/>
        <v>0</v>
      </c>
      <c r="J28" s="14">
        <f t="shared" si="6"/>
        <v>0</v>
      </c>
      <c r="K28" s="20">
        <f t="shared" si="7"/>
        <v>0</v>
      </c>
    </row>
    <row r="29" spans="1:14" ht="15" customHeight="1">
      <c r="A29" s="18" t="s">
        <v>30</v>
      </c>
      <c r="D29" s="20"/>
      <c r="F29" s="20"/>
      <c r="G29" s="20"/>
      <c r="H29" s="14">
        <f t="shared" si="4"/>
        <v>0</v>
      </c>
      <c r="I29" s="14">
        <f t="shared" si="5"/>
        <v>0</v>
      </c>
      <c r="J29" s="14">
        <f t="shared" si="6"/>
        <v>0</v>
      </c>
      <c r="K29" s="20">
        <f t="shared" si="7"/>
        <v>0</v>
      </c>
    </row>
    <row r="30" spans="1:14" ht="15" customHeight="1">
      <c r="A30" s="18" t="s">
        <v>31</v>
      </c>
      <c r="D30" s="20"/>
      <c r="F30" s="20"/>
      <c r="G30" s="20"/>
      <c r="H30" s="14">
        <f t="shared" si="4"/>
        <v>0</v>
      </c>
      <c r="I30" s="14">
        <f t="shared" si="5"/>
        <v>0</v>
      </c>
      <c r="J30" s="14">
        <f t="shared" si="6"/>
        <v>0</v>
      </c>
      <c r="K30" s="20">
        <f t="shared" si="7"/>
        <v>0</v>
      </c>
    </row>
    <row r="31" spans="1:14" ht="15" customHeight="1">
      <c r="A31" s="18" t="s">
        <v>32</v>
      </c>
      <c r="D31" s="20"/>
      <c r="F31" s="20"/>
      <c r="G31" s="20"/>
      <c r="H31" s="14">
        <f t="shared" si="4"/>
        <v>0</v>
      </c>
      <c r="I31" s="14">
        <f t="shared" si="5"/>
        <v>0</v>
      </c>
      <c r="J31" s="14">
        <f t="shared" si="6"/>
        <v>0</v>
      </c>
      <c r="K31" s="20">
        <f t="shared" si="7"/>
        <v>0</v>
      </c>
    </row>
    <row r="32" spans="1:14" ht="15" customHeight="1">
      <c r="A32" s="18" t="s">
        <v>33</v>
      </c>
      <c r="D32" s="20"/>
      <c r="F32" s="20"/>
      <c r="G32" s="20"/>
      <c r="H32" s="14">
        <f t="shared" si="4"/>
        <v>0</v>
      </c>
      <c r="I32" s="14">
        <f t="shared" si="5"/>
        <v>0</v>
      </c>
      <c r="J32" s="14">
        <f t="shared" si="6"/>
        <v>0</v>
      </c>
      <c r="K32" s="20">
        <f t="shared" si="7"/>
        <v>0</v>
      </c>
    </row>
    <row r="33" spans="1:15" ht="15" customHeight="1">
      <c r="A33" s="18" t="s">
        <v>34</v>
      </c>
      <c r="D33" s="20"/>
      <c r="F33" s="20"/>
      <c r="G33" s="20"/>
      <c r="H33" s="14">
        <f t="shared" ref="H33:H42" si="8">IF(B33=0,0,C33/B33)</f>
        <v>0</v>
      </c>
      <c r="I33" s="14">
        <f t="shared" ref="I33:I42" si="9">IF(C33=0,0,E33/C33)</f>
        <v>0</v>
      </c>
      <c r="J33" s="14">
        <f t="shared" ref="J33:J44" si="10">IF(D33=0,0,D33/F33)</f>
        <v>0</v>
      </c>
      <c r="K33" s="20">
        <f t="shared" ref="K33:K42" si="11">IF(C33=0,0,D33/C33)</f>
        <v>0</v>
      </c>
    </row>
    <row r="34" spans="1:15" ht="15" customHeight="1">
      <c r="A34" s="18" t="s">
        <v>35</v>
      </c>
      <c r="B34" s="21"/>
      <c r="C34" s="22"/>
      <c r="D34" s="23"/>
      <c r="E34" s="24"/>
      <c r="F34" s="20"/>
      <c r="G34" s="20"/>
      <c r="H34" s="14">
        <f t="shared" si="8"/>
        <v>0</v>
      </c>
      <c r="I34" s="14">
        <f t="shared" si="9"/>
        <v>0</v>
      </c>
      <c r="J34" s="14">
        <f t="shared" si="10"/>
        <v>0</v>
      </c>
      <c r="K34" s="20">
        <f t="shared" si="11"/>
        <v>0</v>
      </c>
      <c r="O34" s="33"/>
    </row>
    <row r="35" spans="1:15" ht="15" customHeight="1">
      <c r="A35" s="18" t="s">
        <v>36</v>
      </c>
      <c r="B35" s="21"/>
      <c r="C35" s="22"/>
      <c r="D35" s="23"/>
      <c r="F35" s="20"/>
      <c r="G35" s="20"/>
      <c r="H35" s="14">
        <f t="shared" si="8"/>
        <v>0</v>
      </c>
      <c r="I35" s="14">
        <f t="shared" si="9"/>
        <v>0</v>
      </c>
      <c r="J35" s="14">
        <f t="shared" si="10"/>
        <v>0</v>
      </c>
      <c r="K35" s="20">
        <f t="shared" si="11"/>
        <v>0</v>
      </c>
      <c r="O35" s="33"/>
    </row>
    <row r="36" spans="1:15" ht="15" customHeight="1">
      <c r="A36" s="18" t="s">
        <v>37</v>
      </c>
      <c r="B36" s="21"/>
      <c r="C36" s="22"/>
      <c r="D36" s="23"/>
      <c r="F36" s="20"/>
      <c r="G36" s="20"/>
      <c r="H36" s="14">
        <f t="shared" si="8"/>
        <v>0</v>
      </c>
      <c r="I36" s="14">
        <f t="shared" si="9"/>
        <v>0</v>
      </c>
      <c r="J36" s="14">
        <f t="shared" si="10"/>
        <v>0</v>
      </c>
      <c r="K36" s="20">
        <f t="shared" si="11"/>
        <v>0</v>
      </c>
      <c r="O36" s="33"/>
    </row>
    <row r="37" spans="1:15" ht="15" customHeight="1">
      <c r="A37" s="18" t="s">
        <v>38</v>
      </c>
      <c r="B37" s="21"/>
      <c r="C37" s="22"/>
      <c r="D37" s="23"/>
      <c r="F37" s="20"/>
      <c r="G37" s="20"/>
      <c r="H37" s="14">
        <f t="shared" si="8"/>
        <v>0</v>
      </c>
      <c r="I37" s="14">
        <f t="shared" si="9"/>
        <v>0</v>
      </c>
      <c r="J37" s="14">
        <f t="shared" si="10"/>
        <v>0</v>
      </c>
      <c r="K37" s="20">
        <f t="shared" si="11"/>
        <v>0</v>
      </c>
      <c r="O37" s="33"/>
    </row>
    <row r="38" spans="1:15" ht="15" customHeight="1">
      <c r="A38" s="18" t="s">
        <v>39</v>
      </c>
      <c r="B38" s="21"/>
      <c r="C38" s="22"/>
      <c r="D38" s="23"/>
      <c r="F38" s="20"/>
      <c r="G38" s="20"/>
      <c r="H38" s="14">
        <f t="shared" si="8"/>
        <v>0</v>
      </c>
      <c r="I38" s="14">
        <f t="shared" si="9"/>
        <v>0</v>
      </c>
      <c r="J38" s="14">
        <f t="shared" si="10"/>
        <v>0</v>
      </c>
      <c r="K38" s="20">
        <f t="shared" si="11"/>
        <v>0</v>
      </c>
      <c r="O38" s="33"/>
    </row>
    <row r="39" spans="1:15" ht="15" customHeight="1">
      <c r="A39" s="18" t="s">
        <v>40</v>
      </c>
      <c r="B39" s="21"/>
      <c r="C39" s="22"/>
      <c r="D39" s="23"/>
      <c r="F39" s="20"/>
      <c r="G39" s="20"/>
      <c r="H39" s="14">
        <f t="shared" si="8"/>
        <v>0</v>
      </c>
      <c r="I39" s="14">
        <f t="shared" si="9"/>
        <v>0</v>
      </c>
      <c r="J39" s="14">
        <f t="shared" si="10"/>
        <v>0</v>
      </c>
      <c r="K39" s="20">
        <f t="shared" si="11"/>
        <v>0</v>
      </c>
      <c r="O39" s="33"/>
    </row>
    <row r="40" spans="1:15" ht="15" customHeight="1">
      <c r="A40" s="18" t="s">
        <v>41</v>
      </c>
      <c r="B40" s="21"/>
      <c r="C40" s="22"/>
      <c r="D40" s="23"/>
      <c r="F40" s="20"/>
      <c r="G40" s="20"/>
      <c r="H40" s="14">
        <f t="shared" si="8"/>
        <v>0</v>
      </c>
      <c r="I40" s="14">
        <f t="shared" si="9"/>
        <v>0</v>
      </c>
      <c r="J40" s="14">
        <f t="shared" si="10"/>
        <v>0</v>
      </c>
      <c r="K40" s="20">
        <f t="shared" si="11"/>
        <v>0</v>
      </c>
      <c r="O40" s="33"/>
    </row>
    <row r="41" spans="1:15" ht="15" customHeight="1">
      <c r="A41" s="18" t="s">
        <v>42</v>
      </c>
      <c r="B41" s="21"/>
      <c r="C41" s="22"/>
      <c r="D41" s="23"/>
      <c r="F41" s="20"/>
      <c r="G41" s="20"/>
      <c r="H41" s="14">
        <f t="shared" si="8"/>
        <v>0</v>
      </c>
      <c r="I41" s="14">
        <f t="shared" si="9"/>
        <v>0</v>
      </c>
      <c r="J41" s="14">
        <f t="shared" si="10"/>
        <v>0</v>
      </c>
      <c r="K41" s="20">
        <f t="shared" si="11"/>
        <v>0</v>
      </c>
      <c r="O41" s="33"/>
    </row>
    <row r="42" spans="1:15" ht="15" customHeight="1">
      <c r="A42" s="18" t="s">
        <v>43</v>
      </c>
      <c r="B42" s="21"/>
      <c r="C42" s="22"/>
      <c r="D42" s="23"/>
      <c r="F42" s="20"/>
      <c r="G42" s="20"/>
      <c r="H42" s="14">
        <f t="shared" si="8"/>
        <v>0</v>
      </c>
      <c r="I42" s="14">
        <f t="shared" si="9"/>
        <v>0</v>
      </c>
      <c r="J42" s="14">
        <f t="shared" si="10"/>
        <v>0</v>
      </c>
      <c r="K42" s="20">
        <f t="shared" si="11"/>
        <v>0</v>
      </c>
      <c r="O42" s="33"/>
    </row>
    <row r="43" spans="1:15" s="12" customFormat="1" ht="15" customHeight="1">
      <c r="A43" s="25" t="s">
        <v>44</v>
      </c>
      <c r="B43" s="26">
        <f>SUM(B12:B42)</f>
        <v>1134014</v>
      </c>
      <c r="C43" s="26">
        <f>SUM(C12:C42)</f>
        <v>2885</v>
      </c>
      <c r="D43" s="26">
        <f t="shared" ref="D43:K43" si="12">SUM(D12:D42)</f>
        <v>1926.53</v>
      </c>
      <c r="E43" s="26">
        <f t="shared" si="12"/>
        <v>222</v>
      </c>
      <c r="F43" s="26">
        <f t="shared" si="12"/>
        <v>5993.55</v>
      </c>
      <c r="G43" s="26"/>
      <c r="H43" s="27">
        <f t="shared" si="12"/>
        <v>2.5548397960940463E-2</v>
      </c>
      <c r="I43" s="27">
        <f t="shared" si="12"/>
        <v>0.76643114565397696</v>
      </c>
      <c r="J43" s="14">
        <f t="shared" si="10"/>
        <v>0.32143387474868818</v>
      </c>
      <c r="K43" s="26">
        <f t="shared" si="12"/>
        <v>6.6708188640231389</v>
      </c>
    </row>
    <row r="44" spans="1:15" s="12" customFormat="1" ht="15" customHeight="1">
      <c r="A44" s="25" t="s">
        <v>45</v>
      </c>
      <c r="B44" s="12">
        <f>IF(SUM(B12:B42)=0,0,AVERAGE(B12:B42))</f>
        <v>113401.4</v>
      </c>
      <c r="C44" s="12">
        <f>IF(SUM(C12:C42)=0,0,AVERAGE(C12:C42))</f>
        <v>288.5</v>
      </c>
      <c r="D44" s="12">
        <f t="shared" ref="D44:K44" si="13">IF(SUM(D12:D42)=0,0,AVERAGE(D12:D42))</f>
        <v>192.65299999999999</v>
      </c>
      <c r="E44" s="12">
        <f t="shared" si="13"/>
        <v>22.2</v>
      </c>
      <c r="F44" s="12">
        <f t="shared" si="13"/>
        <v>599.35500000000002</v>
      </c>
      <c r="H44" s="27">
        <f t="shared" si="13"/>
        <v>8.241418697077569E-4</v>
      </c>
      <c r="I44" s="27">
        <f t="shared" si="13"/>
        <v>2.4723585343676677E-2</v>
      </c>
      <c r="J44" s="14">
        <f t="shared" si="10"/>
        <v>0.32143387474868818</v>
      </c>
      <c r="K44" s="12">
        <f t="shared" si="13"/>
        <v>0.21518770529106901</v>
      </c>
    </row>
    <row r="46" spans="1:15" ht="15" customHeight="1">
      <c r="D46" s="20"/>
      <c r="F46" s="20"/>
    </row>
    <row r="47" spans="1:15" ht="15" customHeight="1">
      <c r="D47" s="20"/>
      <c r="F47" s="20"/>
    </row>
    <row r="49" spans="2:10" ht="15" customHeight="1">
      <c r="B49" s="3"/>
      <c r="C49" s="3"/>
      <c r="E49" s="3"/>
      <c r="H49" s="3"/>
      <c r="I49" s="3"/>
      <c r="J49" s="3"/>
    </row>
    <row r="50" spans="2:10" ht="15" customHeight="1">
      <c r="B50" s="3"/>
      <c r="C50" s="3"/>
      <c r="E50" s="3"/>
      <c r="H50" s="3"/>
      <c r="I50" s="3"/>
      <c r="J50" s="3"/>
    </row>
    <row r="51" spans="2:10" ht="15" customHeight="1">
      <c r="B51" s="3"/>
      <c r="C51" s="3"/>
      <c r="E51" s="3"/>
      <c r="H51" s="3"/>
      <c r="I51" s="3"/>
      <c r="J51" s="3"/>
    </row>
    <row r="52" spans="2:10" ht="15" customHeight="1">
      <c r="B52" s="3"/>
      <c r="C52" s="3"/>
      <c r="E52" s="3"/>
      <c r="H52" s="3"/>
      <c r="I52" s="3"/>
      <c r="J52" s="3"/>
    </row>
    <row r="53" spans="2:10" ht="15" customHeight="1">
      <c r="B53" s="3"/>
      <c r="C53" s="3"/>
      <c r="E53" s="3"/>
      <c r="H53" s="3"/>
      <c r="I53" s="3"/>
      <c r="J53" s="3"/>
    </row>
    <row r="54" spans="2:10" ht="15" customHeight="1">
      <c r="B54" s="3"/>
      <c r="C54" s="3"/>
      <c r="E54" s="3"/>
      <c r="H54" s="3"/>
      <c r="I54" s="3"/>
      <c r="J54" s="3"/>
    </row>
    <row r="55" spans="2:10" ht="15" customHeight="1">
      <c r="B55" s="3"/>
      <c r="C55" s="3"/>
      <c r="E55" s="3"/>
      <c r="H55" s="3"/>
      <c r="I55" s="3"/>
      <c r="J55" s="3"/>
    </row>
    <row r="56" spans="2:10" ht="15" customHeight="1">
      <c r="B56" s="3"/>
      <c r="C56" s="3"/>
      <c r="E56" s="3"/>
      <c r="H56" s="3"/>
      <c r="I56" s="3"/>
      <c r="J56" s="3"/>
    </row>
    <row r="57" spans="2:10" ht="15" customHeight="1">
      <c r="B57" s="3"/>
      <c r="C57" s="3"/>
      <c r="E57" s="3"/>
      <c r="H57" s="3"/>
      <c r="I57" s="3"/>
      <c r="J57" s="3"/>
    </row>
    <row r="58" spans="2:10" ht="15" customHeight="1">
      <c r="B58" s="28"/>
      <c r="C58" s="21"/>
      <c r="D58" s="22"/>
      <c r="E58" s="29"/>
      <c r="F58" s="23"/>
      <c r="G58" s="23"/>
    </row>
  </sheetData>
  <sortState ref="B52:G58">
    <sortCondition ref="B51"/>
  </sortState>
  <mergeCells count="12">
    <mergeCell ref="M11:N11"/>
    <mergeCell ref="M12:N12"/>
    <mergeCell ref="M13:N13"/>
    <mergeCell ref="M14:N14"/>
    <mergeCell ref="M15:N15"/>
    <mergeCell ref="O34:O38"/>
    <mergeCell ref="O39:O42"/>
    <mergeCell ref="M16:N16"/>
    <mergeCell ref="M17:N17"/>
    <mergeCell ref="M18:N18"/>
    <mergeCell ref="M19:N19"/>
    <mergeCell ref="M20:N20"/>
  </mergeCells>
  <phoneticPr fontId="12" type="noConversion"/>
  <pageMargins left="0.69930555555555596" right="0.69930555555555596" top="0.75" bottom="0.75" header="0.3" footer="0.3"/>
  <pageSetup paperSize="9" orientation="portrait" horizontalDpi="300" verticalDpi="30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B7" sqref="B7"/>
    </sheetView>
  </sheetViews>
  <sheetFormatPr baseColWidth="10" defaultColWidth="10.6640625" defaultRowHeight="20" customHeight="1" x14ac:dyDescent="0"/>
  <cols>
    <col min="1" max="1" width="10.6640625" style="3"/>
    <col min="2" max="2" width="30.6640625" style="3" customWidth="1"/>
    <col min="3" max="3" width="10.6640625" style="3"/>
    <col min="4" max="4" width="30.6640625" style="3" customWidth="1"/>
    <col min="5" max="5" width="10.6640625" style="3"/>
    <col min="6" max="6" width="30.6640625" style="3" customWidth="1"/>
    <col min="7" max="16384" width="10.6640625" style="3"/>
  </cols>
  <sheetData>
    <row r="1" spans="1:8" s="36" customFormat="1" ht="20" customHeight="1">
      <c r="A1" s="36" t="s">
        <v>46</v>
      </c>
    </row>
    <row r="2" spans="1:8" ht="20" customHeight="1">
      <c r="A2" s="3" t="s">
        <v>47</v>
      </c>
      <c r="B2" s="4" t="s">
        <v>48</v>
      </c>
      <c r="C2" s="3" t="s">
        <v>49</v>
      </c>
      <c r="D2" s="5" t="s">
        <v>50</v>
      </c>
      <c r="E2" s="3" t="s">
        <v>51</v>
      </c>
      <c r="F2" s="4" t="s">
        <v>52</v>
      </c>
    </row>
    <row r="3" spans="1:8" ht="20" customHeight="1">
      <c r="A3" s="3" t="s">
        <v>53</v>
      </c>
      <c r="B3" s="1" t="s">
        <v>54</v>
      </c>
      <c r="C3" s="3" t="s">
        <v>55</v>
      </c>
      <c r="D3" s="3">
        <v>6</v>
      </c>
      <c r="E3" s="3" t="s">
        <v>56</v>
      </c>
      <c r="F3" s="3">
        <v>300</v>
      </c>
    </row>
    <row r="4" spans="1:8" ht="20" customHeight="1">
      <c r="A4" s="3" t="s">
        <v>57</v>
      </c>
      <c r="B4" s="37" t="s">
        <v>58</v>
      </c>
      <c r="C4" s="37"/>
      <c r="D4" s="37"/>
      <c r="E4" s="37"/>
      <c r="F4" s="37"/>
    </row>
    <row r="5" spans="1:8" s="36" customFormat="1" ht="20" customHeight="1">
      <c r="A5" s="36" t="s">
        <v>59</v>
      </c>
    </row>
    <row r="6" spans="1:8" ht="20" customHeight="1">
      <c r="A6" s="3" t="s">
        <v>60</v>
      </c>
      <c r="B6" s="6" t="s">
        <v>61</v>
      </c>
      <c r="C6" s="3" t="s">
        <v>62</v>
      </c>
      <c r="E6" s="3" t="s">
        <v>63</v>
      </c>
      <c r="F6" s="7" t="s">
        <v>48</v>
      </c>
    </row>
    <row r="7" spans="1:8" ht="20" customHeight="1">
      <c r="A7" s="3" t="s">
        <v>64</v>
      </c>
      <c r="B7" s="8" t="s">
        <v>65</v>
      </c>
      <c r="C7" s="3" t="s">
        <v>66</v>
      </c>
      <c r="D7" s="1">
        <v>15858588487</v>
      </c>
    </row>
    <row r="8" spans="1:8" s="36" customFormat="1" ht="20" customHeight="1">
      <c r="A8" s="36" t="s">
        <v>67</v>
      </c>
    </row>
    <row r="9" spans="1:8" ht="20" customHeight="1">
      <c r="A9" s="3" t="s">
        <v>68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75</v>
      </c>
    </row>
    <row r="10" spans="1:8" s="36" customFormat="1" ht="20" customHeight="1">
      <c r="A10" s="36" t="s">
        <v>76</v>
      </c>
    </row>
    <row r="11" spans="1:8" s="1" customFormat="1" ht="20" customHeight="1">
      <c r="A11" s="1" t="s">
        <v>77</v>
      </c>
      <c r="B11" s="1" t="s">
        <v>78</v>
      </c>
      <c r="C11" s="1" t="s">
        <v>79</v>
      </c>
    </row>
    <row r="12" spans="1:8" s="1" customFormat="1" ht="20" customHeight="1">
      <c r="A12" s="1" t="s">
        <v>77</v>
      </c>
      <c r="B12" s="1" t="s">
        <v>80</v>
      </c>
      <c r="C12" s="1" t="s">
        <v>79</v>
      </c>
    </row>
    <row r="13" spans="1:8" s="1" customFormat="1" ht="20" customHeight="1">
      <c r="A13" s="1" t="s">
        <v>77</v>
      </c>
      <c r="B13" s="1" t="s">
        <v>81</v>
      </c>
      <c r="C13" s="1" t="s">
        <v>79</v>
      </c>
    </row>
    <row r="14" spans="1:8" s="1" customFormat="1" ht="20" customHeight="1">
      <c r="A14" s="1" t="s">
        <v>77</v>
      </c>
      <c r="B14" s="1" t="s">
        <v>82</v>
      </c>
      <c r="C14" s="1" t="s">
        <v>79</v>
      </c>
    </row>
    <row r="15" spans="1:8" s="1" customFormat="1" ht="20" customHeight="1">
      <c r="A15" s="1" t="s">
        <v>77</v>
      </c>
      <c r="B15" s="1" t="s">
        <v>83</v>
      </c>
      <c r="C15" s="1" t="s">
        <v>79</v>
      </c>
    </row>
    <row r="16" spans="1:8" s="2" customFormat="1" ht="20" customHeight="1">
      <c r="A16" s="2" t="s">
        <v>84</v>
      </c>
    </row>
    <row r="17" spans="1:6" s="1" customFormat="1" ht="20" customHeight="1">
      <c r="A17" s="1" t="s">
        <v>77</v>
      </c>
      <c r="B17" s="8" t="s">
        <v>85</v>
      </c>
      <c r="C17" s="1" t="s">
        <v>79</v>
      </c>
    </row>
    <row r="18" spans="1:6" s="1" customFormat="1" ht="20" customHeight="1">
      <c r="A18" s="1" t="s">
        <v>77</v>
      </c>
      <c r="B18" s="1" t="s">
        <v>86</v>
      </c>
      <c r="C18" s="1" t="s">
        <v>79</v>
      </c>
    </row>
    <row r="19" spans="1:6" s="1" customFormat="1" ht="78.75" customHeight="1">
      <c r="B19" s="9" t="s">
        <v>87</v>
      </c>
      <c r="D19" s="10" t="s">
        <v>88</v>
      </c>
    </row>
    <row r="20" spans="1:6" s="36" customFormat="1" ht="20" customHeight="1">
      <c r="A20" s="36" t="s">
        <v>89</v>
      </c>
    </row>
    <row r="21" spans="1:6" ht="20" customHeight="1">
      <c r="A21" s="37"/>
      <c r="B21" s="37"/>
      <c r="C21" s="37"/>
      <c r="D21" s="37"/>
      <c r="E21" s="37"/>
      <c r="F21" s="37"/>
    </row>
    <row r="22" spans="1:6" ht="20" customHeight="1">
      <c r="A22" s="37"/>
      <c r="B22" s="37"/>
      <c r="C22" s="37"/>
      <c r="D22" s="37"/>
      <c r="E22" s="37"/>
      <c r="F22" s="37"/>
    </row>
  </sheetData>
  <mergeCells count="7">
    <mergeCell ref="A20:XFD20"/>
    <mergeCell ref="A21:F22"/>
    <mergeCell ref="A1:XFD1"/>
    <mergeCell ref="B4:F4"/>
    <mergeCell ref="A5:XFD5"/>
    <mergeCell ref="A8:XFD8"/>
    <mergeCell ref="A10:XFD10"/>
  </mergeCells>
  <phoneticPr fontId="12" type="noConversion"/>
  <hyperlinks>
    <hyperlink ref="B13" r:id="rId1"/>
    <hyperlink ref="B14" r:id="rId2"/>
    <hyperlink ref="B15" r:id="rId3"/>
    <hyperlink ref="B17" r:id="rId4"/>
    <hyperlink ref="B7" r:id="rId5"/>
  </hyperlinks>
  <pageMargins left="0.69930555555555596" right="0.69930555555555596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4" x14ac:dyDescent="0"/>
  <sheetData/>
  <phoneticPr fontId="12" type="noConversion"/>
  <pageMargins left="0.75" right="0.75" top="1" bottom="1" header="0.51180555555555596" footer="0.51180555555555596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推广数据跟踪</vt:lpstr>
      <vt:lpstr>客户信息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QQ：178455216</dc:subject>
  <cp:keywords>QQ：178455216</cp:keywords>
  <dc:description>更多干货表格请联系QQ：178455216</dc:description>
  <cp:lastModifiedBy>Microsoft Office 用户</cp:lastModifiedBy>
  <dcterms:created xsi:type="dcterms:W3CDTF">2006-09-16T00:00:00Z</dcterms:created>
  <dcterms:modified xsi:type="dcterms:W3CDTF">2023-04-17T14:27:18Z</dcterms:modified>
  <cp:category>QQ：178455216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678F535ADE4E4D399E71C0323834CD07</vt:lpwstr>
  </property>
</Properties>
</file>