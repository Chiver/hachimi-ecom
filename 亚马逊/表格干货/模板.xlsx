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CCF6" lockStructure="1"/>
  <bookViews>
    <workbookView windowWidth="28125" windowHeight="12540"/>
  </bookViews>
  <sheets>
    <sheet name="总表" sheetId="10" r:id="rId1"/>
    <sheet name="父表 " sheetId="8" r:id="rId2"/>
    <sheet name="子表" sheetId="11" r:id="rId3"/>
    <sheet name="销售数据包" sheetId="4" r:id="rId4"/>
    <sheet name="广告数据包" sheetId="5" r:id="rId5"/>
    <sheet name="Listing记录" sheetId="7" r:id="rId6"/>
    <sheet name="Base" sheetId="2" r:id="rId7"/>
    <sheet name="月分析表" sheetId="9" r:id="rId8"/>
  </sheets>
  <definedNames>
    <definedName name="_xlnm._FilterDatabase" localSheetId="3" hidden="1">销售数据包!$A$1:$V$1</definedName>
    <definedName name="_xlnm._FilterDatabase" localSheetId="4" hidden="1">广告数据包!$A$1:$V$1</definedName>
  </definedNames>
  <calcPr calcId="144525"/>
</workbook>
</file>

<file path=xl/sharedStrings.xml><?xml version="1.0" encoding="utf-8"?>
<sst xmlns="http://schemas.openxmlformats.org/spreadsheetml/2006/main" count="158" uniqueCount="100">
  <si>
    <t>表头</t>
  </si>
  <si>
    <t>整体数据</t>
  </si>
  <si>
    <t>广告数据</t>
  </si>
  <si>
    <t>操作记录</t>
  </si>
  <si>
    <t>日期</t>
  </si>
  <si>
    <t>访客数</t>
  </si>
  <si>
    <t>销量</t>
  </si>
  <si>
    <t>订单数</t>
  </si>
  <si>
    <t>访客转化率</t>
  </si>
  <si>
    <t>转化率</t>
  </si>
  <si>
    <t>销售额</t>
  </si>
  <si>
    <t>总ACOS</t>
  </si>
  <si>
    <t>广告销售比</t>
  </si>
  <si>
    <t>星期</t>
  </si>
  <si>
    <t>Impressions</t>
  </si>
  <si>
    <t>Click</t>
  </si>
  <si>
    <t>CTR</t>
  </si>
  <si>
    <t>CPC</t>
  </si>
  <si>
    <t>Order</t>
  </si>
  <si>
    <t>Sales</t>
  </si>
  <si>
    <t>CR</t>
  </si>
  <si>
    <t>Spend</t>
  </si>
  <si>
    <t>ACOS</t>
  </si>
  <si>
    <t>年份</t>
  </si>
  <si>
    <t>月分析表-父表</t>
  </si>
  <si>
    <t>月份</t>
  </si>
  <si>
    <t>ASIN</t>
  </si>
  <si>
    <t>月分析表-子表</t>
  </si>
  <si>
    <t>ASIN1</t>
  </si>
  <si>
    <t>(父） ASIN</t>
  </si>
  <si>
    <t>（子）ASIN</t>
  </si>
  <si>
    <t>商品名称</t>
  </si>
  <si>
    <t>SKU</t>
  </si>
  <si>
    <t>买家访问次数</t>
  </si>
  <si>
    <t>买家访问次数百分比</t>
  </si>
  <si>
    <t>页面浏览次数</t>
  </si>
  <si>
    <t>页面浏览次数百分比</t>
  </si>
  <si>
    <t>购买按钮赢得率</t>
  </si>
  <si>
    <t>已订购商品数量</t>
  </si>
  <si>
    <t>订购数量 – B2B</t>
  </si>
  <si>
    <t>订单商品数量转化率</t>
  </si>
  <si>
    <t>商品转化率 – B2B</t>
  </si>
  <si>
    <t>已订购商品销售额</t>
  </si>
  <si>
    <t>已订购商品的销售额 – B2B</t>
  </si>
  <si>
    <t>订单商品种类数</t>
  </si>
  <si>
    <t>订单商品总数 – B2B</t>
  </si>
  <si>
    <t>广告组合名称</t>
  </si>
  <si>
    <t>货币</t>
  </si>
  <si>
    <t>广告活动名称</t>
  </si>
  <si>
    <t>广告组名称</t>
  </si>
  <si>
    <t>广告SKU</t>
  </si>
  <si>
    <t>广告ASIN</t>
  </si>
  <si>
    <t>展示量</t>
  </si>
  <si>
    <t>点击量</t>
  </si>
  <si>
    <t>点击率(CTR)</t>
  </si>
  <si>
    <t>每次点击成本(CPC)</t>
  </si>
  <si>
    <t>花费</t>
  </si>
  <si>
    <t>7天总销售额</t>
  </si>
  <si>
    <t>广告成本销售比(ACoS)</t>
  </si>
  <si>
    <t>投入产出比(RoAS)</t>
  </si>
  <si>
    <t>7天总订单数(#)</t>
  </si>
  <si>
    <t>7天总销售量(#)</t>
  </si>
  <si>
    <t>7天的转化率</t>
  </si>
  <si>
    <t>7天内广告SKU销售量(#)</t>
  </si>
  <si>
    <t>7天内其他SKU销售量(#)</t>
  </si>
  <si>
    <t>7天内广告SKU销售额</t>
  </si>
  <si>
    <t>7天内其他SKU销售额</t>
  </si>
  <si>
    <t>时间</t>
  </si>
  <si>
    <t>事件</t>
  </si>
  <si>
    <t>处理措施</t>
  </si>
  <si>
    <t>版权</t>
  </si>
  <si>
    <t>笨羊Noih</t>
  </si>
  <si>
    <t>知无不言ID</t>
  </si>
  <si>
    <t>noih</t>
  </si>
  <si>
    <t>SKU1</t>
  </si>
  <si>
    <t>数据源要求</t>
  </si>
  <si>
    <t>SKU2</t>
  </si>
  <si>
    <t>ASIN2</t>
  </si>
  <si>
    <t>销售数据</t>
  </si>
  <si>
    <t>根据ASIN</t>
  </si>
  <si>
    <t>详情页面上的销售量与访问量</t>
  </si>
  <si>
    <t>SKU3</t>
  </si>
  <si>
    <t>ASIN3</t>
  </si>
  <si>
    <t>广告活动类型</t>
  </si>
  <si>
    <t>报告类型</t>
  </si>
  <si>
    <t>数据范围</t>
  </si>
  <si>
    <t>商品推广</t>
  </si>
  <si>
    <t>推广的商品</t>
  </si>
  <si>
    <t>每日</t>
  </si>
  <si>
    <t>广告曝光</t>
  </si>
  <si>
    <t>广告点击</t>
  </si>
  <si>
    <t>广告CTR</t>
  </si>
  <si>
    <t>广告订单</t>
  </si>
  <si>
    <t>广告转化</t>
  </si>
  <si>
    <t>广告CPC</t>
  </si>
  <si>
    <t>广告花费</t>
  </si>
  <si>
    <t>广告ACOS</t>
  </si>
  <si>
    <t>广告销售占比</t>
  </si>
  <si>
    <t>广告销售额</t>
  </si>
  <si>
    <t>2022/1</t>
  </si>
</sst>
</file>

<file path=xl/styles.xml><?xml version="1.0" encoding="utf-8"?>
<styleSheet xmlns="http://schemas.openxmlformats.org/spreadsheetml/2006/main">
  <numFmts count="7">
    <numFmt numFmtId="176" formatCode="\$#,##0.00;\-\$#,##0.00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7" formatCode="0.00_ "/>
    <numFmt numFmtId="178" formatCode="yyyy/m/d;@"/>
  </numFmts>
  <fonts count="31">
    <font>
      <sz val="11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sz val="11"/>
      <color indexed="8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theme="1"/>
      <name val="微软雅黑"/>
      <charset val="134"/>
    </font>
    <font>
      <b/>
      <sz val="18"/>
      <color theme="0"/>
      <name val="微软雅黑"/>
      <charset val="134"/>
    </font>
    <font>
      <b/>
      <sz val="10"/>
      <color theme="0"/>
      <name val="微软雅黑"/>
      <charset val="134"/>
    </font>
    <font>
      <b/>
      <sz val="11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3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4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theme="0"/>
      </right>
      <top/>
      <bottom style="medium">
        <color auto="1"/>
      </bottom>
      <diagonal/>
    </border>
    <border>
      <left style="thin">
        <color theme="0"/>
      </left>
      <right style="thin">
        <color theme="0"/>
      </right>
      <top/>
      <bottom style="medium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/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theme="0"/>
      </right>
      <top/>
      <bottom style="dotted">
        <color auto="1"/>
      </bottom>
      <diagonal/>
    </border>
    <border>
      <left style="thin">
        <color theme="0"/>
      </left>
      <right style="thin">
        <color auto="1"/>
      </right>
      <top/>
      <bottom style="dotted">
        <color theme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thin">
        <color theme="0"/>
      </left>
      <right style="thin">
        <color auto="1"/>
      </right>
      <top style="dotted">
        <color theme="1"/>
      </top>
      <bottom style="medium">
        <color auto="1"/>
      </bottom>
      <diagonal/>
    </border>
    <border>
      <left style="thin">
        <color auto="1"/>
      </left>
      <right style="thin">
        <color theme="0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medium">
        <color auto="1"/>
      </right>
      <top/>
      <bottom/>
      <diagonal/>
    </border>
    <border>
      <left style="thin">
        <color theme="0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thin">
        <color theme="0"/>
      </left>
      <right style="medium">
        <color auto="1"/>
      </right>
      <top/>
      <bottom style="medium">
        <color auto="1"/>
      </bottom>
      <diagonal/>
    </border>
    <border>
      <left style="thin">
        <color theme="0"/>
      </left>
      <right style="thin">
        <color auto="1"/>
      </right>
      <top style="dotted">
        <color theme="1"/>
      </top>
      <bottom style="dotted">
        <color theme="1"/>
      </bottom>
      <diagonal/>
    </border>
    <border>
      <left style="thin">
        <color theme="0"/>
      </left>
      <right style="thin">
        <color auto="1"/>
      </right>
      <top style="dotted">
        <color theme="1"/>
      </top>
      <bottom style="thin">
        <color auto="1"/>
      </bottom>
      <diagonal/>
    </border>
    <border>
      <left style="medium">
        <color auto="1"/>
      </left>
      <right style="thin">
        <color theme="0"/>
      </right>
      <top style="thin">
        <color auto="1"/>
      </top>
      <bottom/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medium">
        <color auto="1"/>
      </right>
      <top style="thin">
        <color auto="1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11" borderId="5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27" borderId="59" applyNumberFormat="0" applyFon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58" applyNumberFormat="0" applyFill="0" applyAlignment="0" applyProtection="0">
      <alignment vertical="center"/>
    </xf>
    <xf numFmtId="0" fontId="22" fillId="0" borderId="58" applyNumberFormat="0" applyFill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0" fillId="0" borderId="60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14" borderId="55" applyNumberFormat="0" applyAlignment="0" applyProtection="0">
      <alignment vertical="center"/>
    </xf>
    <xf numFmtId="0" fontId="25" fillId="14" borderId="54" applyNumberFormat="0" applyAlignment="0" applyProtection="0">
      <alignment vertical="center"/>
    </xf>
    <xf numFmtId="0" fontId="13" fillId="9" borderId="53" applyNumberForma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9" fillId="0" borderId="57" applyNumberFormat="0" applyFill="0" applyAlignment="0" applyProtection="0">
      <alignment vertical="center"/>
    </xf>
    <xf numFmtId="0" fontId="18" fillId="0" borderId="56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1" fillId="2" borderId="0" xfId="0" applyFont="1" applyFill="1" applyBorder="1" applyAlignment="1" applyProtection="1">
      <alignment horizontal="center" vertical="center"/>
      <protection hidden="1"/>
    </xf>
    <xf numFmtId="49" fontId="0" fillId="0" borderId="0" xfId="0" applyNumberFormat="1" applyBorder="1" applyAlignment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  <protection hidden="1"/>
    </xf>
    <xf numFmtId="10" fontId="2" fillId="0" borderId="0" xfId="0" applyNumberFormat="1" applyFont="1" applyFill="1" applyBorder="1" applyAlignment="1" applyProtection="1">
      <alignment horizontal="center" vertical="center"/>
      <protection hidden="1"/>
    </xf>
    <xf numFmtId="0" fontId="2" fillId="0" borderId="0" xfId="0" applyNumberFormat="1" applyFont="1" applyFill="1" applyBorder="1" applyAlignment="1" applyProtection="1">
      <alignment horizontal="center" vertical="center"/>
      <protection hidden="1"/>
    </xf>
    <xf numFmtId="177" fontId="2" fillId="0" borderId="0" xfId="0" applyNumberFormat="1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0" xfId="0" applyFont="1" applyProtection="1">
      <alignment vertical="center"/>
      <protection hidden="1"/>
    </xf>
    <xf numFmtId="0" fontId="3" fillId="0" borderId="0" xfId="0" applyFont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hidden="1"/>
    </xf>
    <xf numFmtId="0" fontId="3" fillId="0" borderId="0" xfId="0" applyFont="1" applyFill="1" applyAlignment="1" applyProtection="1">
      <alignment horizontal="center" vertical="center"/>
      <protection hidden="1"/>
    </xf>
    <xf numFmtId="0" fontId="3" fillId="0" borderId="0" xfId="0" applyFont="1" applyFill="1" applyProtection="1">
      <alignment vertical="center"/>
      <protection hidden="1"/>
    </xf>
    <xf numFmtId="0" fontId="3" fillId="0" borderId="2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14" fontId="4" fillId="0" borderId="0" xfId="0" applyNumberFormat="1" applyFont="1" applyAlignment="1">
      <alignment horizontal="center" vertical="center"/>
    </xf>
    <xf numFmtId="14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Fill="1" applyAlignment="1"/>
    <xf numFmtId="0" fontId="5" fillId="0" borderId="0" xfId="0" applyFont="1" applyFill="1" applyAlignment="1">
      <alignment vertical="center"/>
    </xf>
    <xf numFmtId="10" fontId="5" fillId="0" borderId="0" xfId="0" applyNumberFormat="1" applyFont="1" applyFill="1" applyAlignment="1">
      <alignment vertical="center"/>
    </xf>
    <xf numFmtId="176" fontId="5" fillId="0" borderId="0" xfId="0" applyNumberFormat="1" applyFont="1" applyFill="1" applyAlignment="1">
      <alignment vertical="center"/>
    </xf>
    <xf numFmtId="177" fontId="5" fillId="0" borderId="0" xfId="0" applyNumberFormat="1" applyFont="1" applyFill="1" applyAlignment="1">
      <alignment vertical="center"/>
    </xf>
    <xf numFmtId="0" fontId="6" fillId="4" borderId="1" xfId="0" applyFont="1" applyFill="1" applyBorder="1" applyAlignment="1" applyProtection="1">
      <alignment horizontal="center" vertical="center"/>
    </xf>
    <xf numFmtId="178" fontId="3" fillId="0" borderId="0" xfId="0" applyNumberFormat="1" applyFont="1">
      <alignment vertical="center"/>
    </xf>
    <xf numFmtId="0" fontId="3" fillId="0" borderId="0" xfId="0" applyFont="1">
      <alignment vertical="center"/>
    </xf>
    <xf numFmtId="10" fontId="3" fillId="0" borderId="0" xfId="0" applyNumberFormat="1" applyFont="1">
      <alignment vertical="center"/>
    </xf>
    <xf numFmtId="176" fontId="3" fillId="0" borderId="0" xfId="0" applyNumberFormat="1" applyFont="1">
      <alignment vertical="center"/>
    </xf>
    <xf numFmtId="0" fontId="0" fillId="0" borderId="4" xfId="0" applyBorder="1">
      <alignment vertical="center"/>
    </xf>
    <xf numFmtId="0" fontId="1" fillId="0" borderId="4" xfId="0" applyFont="1" applyFill="1" applyBorder="1">
      <alignment vertical="center"/>
    </xf>
    <xf numFmtId="0" fontId="2" fillId="0" borderId="4" xfId="0" applyFont="1" applyBorder="1">
      <alignment vertical="center"/>
    </xf>
    <xf numFmtId="0" fontId="1" fillId="0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5" borderId="5" xfId="0" applyFont="1" applyFill="1" applyBorder="1" applyAlignment="1" applyProtection="1">
      <alignment horizontal="center" vertical="center"/>
      <protection hidden="1"/>
    </xf>
    <xf numFmtId="0" fontId="1" fillId="5" borderId="6" xfId="0" applyFont="1" applyFill="1" applyBorder="1" applyAlignment="1" applyProtection="1">
      <alignment horizontal="center" vertical="center"/>
      <protection locked="0" hidden="1"/>
    </xf>
    <xf numFmtId="0" fontId="1" fillId="5" borderId="7" xfId="0" applyFont="1" applyFill="1" applyBorder="1" applyAlignment="1" applyProtection="1">
      <alignment horizontal="center" vertical="center"/>
      <protection hidden="1"/>
    </xf>
    <xf numFmtId="0" fontId="8" fillId="5" borderId="8" xfId="0" applyFont="1" applyFill="1" applyBorder="1" applyAlignment="1" applyProtection="1">
      <alignment horizontal="center" vertical="center"/>
      <protection hidden="1"/>
    </xf>
    <xf numFmtId="0" fontId="8" fillId="5" borderId="9" xfId="0" applyFont="1" applyFill="1" applyBorder="1" applyAlignment="1" applyProtection="1">
      <alignment horizontal="center" vertical="center"/>
      <protection hidden="1"/>
    </xf>
    <xf numFmtId="0" fontId="1" fillId="5" borderId="10" xfId="0" applyFont="1" applyFill="1" applyBorder="1" applyAlignment="1" applyProtection="1">
      <alignment horizontal="center" vertical="center"/>
      <protection hidden="1"/>
    </xf>
    <xf numFmtId="0" fontId="1" fillId="5" borderId="11" xfId="0" applyFont="1" applyFill="1" applyBorder="1" applyAlignment="1" applyProtection="1">
      <alignment horizontal="center" vertical="center"/>
      <protection locked="0" hidden="1"/>
    </xf>
    <xf numFmtId="0" fontId="9" fillId="5" borderId="12" xfId="0" applyFont="1" applyFill="1" applyBorder="1" applyAlignment="1" applyProtection="1">
      <alignment horizontal="center" vertical="center"/>
      <protection locked="0" hidden="1"/>
    </xf>
    <xf numFmtId="0" fontId="8" fillId="5" borderId="13" xfId="0" applyFont="1" applyFill="1" applyBorder="1" applyAlignment="1" applyProtection="1">
      <alignment horizontal="center" vertical="center"/>
      <protection hidden="1"/>
    </xf>
    <xf numFmtId="0" fontId="8" fillId="5" borderId="14" xfId="0" applyFont="1" applyFill="1" applyBorder="1" applyAlignment="1" applyProtection="1">
      <alignment horizontal="center" vertical="center"/>
      <protection hidden="1"/>
    </xf>
    <xf numFmtId="0" fontId="10" fillId="0" borderId="15" xfId="0" applyFont="1" applyFill="1" applyBorder="1" applyAlignment="1" applyProtection="1">
      <alignment horizontal="center" vertical="center"/>
      <protection hidden="1"/>
    </xf>
    <xf numFmtId="0" fontId="10" fillId="0" borderId="16" xfId="0" applyFont="1" applyFill="1" applyBorder="1" applyAlignment="1" applyProtection="1">
      <alignment horizontal="center" vertical="center"/>
      <protection hidden="1"/>
    </xf>
    <xf numFmtId="0" fontId="10" fillId="0" borderId="17" xfId="0" applyFont="1" applyFill="1" applyBorder="1" applyAlignment="1" applyProtection="1">
      <alignment horizontal="center" vertical="center"/>
      <protection hidden="1"/>
    </xf>
    <xf numFmtId="0" fontId="10" fillId="0" borderId="18" xfId="0" applyFont="1" applyFill="1" applyBorder="1" applyAlignment="1" applyProtection="1">
      <alignment horizontal="center" vertical="center"/>
      <protection hidden="1"/>
    </xf>
    <xf numFmtId="0" fontId="10" fillId="0" borderId="19" xfId="0" applyFont="1" applyFill="1" applyBorder="1" applyAlignment="1" applyProtection="1">
      <alignment horizontal="center" vertical="center"/>
      <protection hidden="1"/>
    </xf>
    <xf numFmtId="14" fontId="11" fillId="0" borderId="20" xfId="0" applyNumberFormat="1" applyFont="1" applyFill="1" applyBorder="1" applyAlignment="1" applyProtection="1">
      <alignment horizontal="center" vertical="center"/>
      <protection hidden="1"/>
    </xf>
    <xf numFmtId="0" fontId="2" fillId="0" borderId="21" xfId="0" applyFont="1" applyFill="1" applyBorder="1" applyAlignment="1" applyProtection="1">
      <alignment horizontal="center" vertical="center"/>
      <protection hidden="1"/>
    </xf>
    <xf numFmtId="0" fontId="2" fillId="0" borderId="22" xfId="0" applyFont="1" applyFill="1" applyBorder="1" applyAlignment="1" applyProtection="1">
      <alignment horizontal="center" vertical="center"/>
      <protection hidden="1"/>
    </xf>
    <xf numFmtId="10" fontId="2" fillId="0" borderId="22" xfId="0" applyNumberFormat="1" applyFont="1" applyFill="1" applyBorder="1" applyAlignment="1" applyProtection="1">
      <alignment horizontal="center" vertical="center"/>
      <protection hidden="1"/>
    </xf>
    <xf numFmtId="14" fontId="11" fillId="0" borderId="23" xfId="0" applyNumberFormat="1" applyFont="1" applyFill="1" applyBorder="1" applyAlignment="1" applyProtection="1">
      <alignment horizontal="center" vertical="center"/>
      <protection hidden="1"/>
    </xf>
    <xf numFmtId="14" fontId="11" fillId="0" borderId="24" xfId="0" applyNumberFormat="1" applyFont="1" applyFill="1" applyBorder="1" applyAlignment="1" applyProtection="1">
      <alignment horizontal="center" vertical="center"/>
      <protection hidden="1"/>
    </xf>
    <xf numFmtId="14" fontId="11" fillId="0" borderId="25" xfId="0" applyNumberFormat="1" applyFont="1" applyFill="1" applyBorder="1" applyAlignment="1" applyProtection="1">
      <alignment horizontal="center" vertical="center"/>
      <protection hidden="1"/>
    </xf>
    <xf numFmtId="0" fontId="2" fillId="6" borderId="26" xfId="0" applyFont="1" applyFill="1" applyBorder="1" applyAlignment="1" applyProtection="1">
      <alignment horizontal="center" vertical="center"/>
      <protection hidden="1"/>
    </xf>
    <xf numFmtId="0" fontId="2" fillId="6" borderId="27" xfId="0" applyFont="1" applyFill="1" applyBorder="1" applyAlignment="1" applyProtection="1">
      <alignment horizontal="center" vertical="center"/>
      <protection hidden="1"/>
    </xf>
    <xf numFmtId="10" fontId="2" fillId="6" borderId="27" xfId="0" applyNumberFormat="1" applyFont="1" applyFill="1" applyBorder="1" applyAlignment="1" applyProtection="1">
      <alignment horizontal="center" vertical="center"/>
      <protection hidden="1"/>
    </xf>
    <xf numFmtId="0" fontId="1" fillId="0" borderId="28" xfId="0" applyFont="1" applyFill="1" applyBorder="1" applyAlignment="1">
      <alignment horizontal="center" vertical="center"/>
    </xf>
    <xf numFmtId="14" fontId="7" fillId="0" borderId="28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10" fillId="0" borderId="29" xfId="0" applyFont="1" applyFill="1" applyBorder="1" applyAlignment="1" applyProtection="1">
      <alignment horizontal="center" vertical="center"/>
      <protection hidden="1"/>
    </xf>
    <xf numFmtId="0" fontId="10" fillId="0" borderId="30" xfId="0" applyFont="1" applyFill="1" applyBorder="1" applyAlignment="1" applyProtection="1">
      <alignment horizontal="center" vertical="center"/>
      <protection hidden="1"/>
    </xf>
    <xf numFmtId="0" fontId="10" fillId="0" borderId="31" xfId="0" applyFont="1" applyFill="1" applyBorder="1" applyAlignment="1" applyProtection="1">
      <alignment horizontal="center" vertical="center"/>
      <protection hidden="1"/>
    </xf>
    <xf numFmtId="0" fontId="10" fillId="0" borderId="32" xfId="0" applyFont="1" applyFill="1" applyBorder="1" applyAlignment="1" applyProtection="1">
      <alignment horizontal="center" vertical="center"/>
      <protection hidden="1"/>
    </xf>
    <xf numFmtId="10" fontId="2" fillId="0" borderId="33" xfId="0" applyNumberFormat="1" applyFont="1" applyFill="1" applyBorder="1" applyAlignment="1" applyProtection="1">
      <alignment horizontal="center" vertical="center"/>
      <protection hidden="1"/>
    </xf>
    <xf numFmtId="0" fontId="2" fillId="0" borderId="34" xfId="0" applyFont="1" applyFill="1" applyBorder="1" applyAlignment="1" applyProtection="1">
      <alignment horizontal="center" vertical="center"/>
      <protection hidden="1"/>
    </xf>
    <xf numFmtId="0" fontId="2" fillId="0" borderId="35" xfId="0" applyFont="1" applyFill="1" applyBorder="1" applyAlignment="1" applyProtection="1">
      <alignment horizontal="center" vertical="center"/>
      <protection hidden="1"/>
    </xf>
    <xf numFmtId="177" fontId="2" fillId="0" borderId="22" xfId="0" applyNumberFormat="1" applyFont="1" applyFill="1" applyBorder="1" applyAlignment="1" applyProtection="1">
      <alignment horizontal="center" vertical="center"/>
      <protection hidden="1"/>
    </xf>
    <xf numFmtId="0" fontId="2" fillId="0" borderId="22" xfId="0" applyNumberFormat="1" applyFont="1" applyFill="1" applyBorder="1" applyAlignment="1" applyProtection="1">
      <alignment horizontal="center" vertical="center"/>
      <protection hidden="1"/>
    </xf>
    <xf numFmtId="0" fontId="2" fillId="6" borderId="36" xfId="0" applyFont="1" applyFill="1" applyBorder="1" applyAlignment="1" applyProtection="1">
      <alignment horizontal="center" vertical="center"/>
      <protection hidden="1"/>
    </xf>
    <xf numFmtId="0" fontId="2" fillId="6" borderId="37" xfId="0" applyFont="1" applyFill="1" applyBorder="1" applyAlignment="1" applyProtection="1">
      <alignment horizontal="center" vertical="center"/>
      <protection hidden="1"/>
    </xf>
    <xf numFmtId="177" fontId="2" fillId="6" borderId="27" xfId="0" applyNumberFormat="1" applyFont="1" applyFill="1" applyBorder="1" applyAlignment="1" applyProtection="1">
      <alignment horizontal="center" vertical="center"/>
      <protection hidden="1"/>
    </xf>
    <xf numFmtId="0" fontId="2" fillId="6" borderId="27" xfId="0" applyNumberFormat="1" applyFont="1" applyFill="1" applyBorder="1" applyAlignment="1" applyProtection="1">
      <alignment horizontal="center" vertical="center"/>
      <protection hidden="1"/>
    </xf>
    <xf numFmtId="0" fontId="8" fillId="5" borderId="38" xfId="0" applyFont="1" applyFill="1" applyBorder="1" applyAlignment="1" applyProtection="1">
      <alignment horizontal="center" vertical="center"/>
      <protection hidden="1"/>
    </xf>
    <xf numFmtId="0" fontId="7" fillId="0" borderId="39" xfId="0" applyFont="1" applyBorder="1" applyAlignment="1">
      <alignment horizontal="center" vertical="center"/>
    </xf>
    <xf numFmtId="0" fontId="8" fillId="5" borderId="40" xfId="0" applyFont="1" applyFill="1" applyBorder="1" applyAlignment="1" applyProtection="1">
      <alignment horizontal="center" vertical="center"/>
      <protection hidden="1"/>
    </xf>
    <xf numFmtId="0" fontId="10" fillId="0" borderId="41" xfId="0" applyFont="1" applyFill="1" applyBorder="1" applyAlignment="1" applyProtection="1">
      <alignment horizontal="center" vertical="center"/>
      <protection hidden="1"/>
    </xf>
    <xf numFmtId="0" fontId="10" fillId="0" borderId="42" xfId="0" applyFont="1" applyFill="1" applyBorder="1" applyAlignment="1" applyProtection="1">
      <alignment horizontal="center" vertical="center"/>
      <protection hidden="1"/>
    </xf>
    <xf numFmtId="0" fontId="1" fillId="0" borderId="39" xfId="0" applyFont="1" applyFill="1" applyBorder="1" applyAlignment="1">
      <alignment horizontal="center" vertical="center"/>
    </xf>
    <xf numFmtId="10" fontId="2" fillId="0" borderId="43" xfId="0" applyNumberFormat="1" applyFont="1" applyFill="1" applyBorder="1" applyAlignment="1" applyProtection="1">
      <alignment horizontal="center" vertical="center"/>
      <protection hidden="1"/>
    </xf>
    <xf numFmtId="0" fontId="2" fillId="0" borderId="39" xfId="0" applyFont="1" applyBorder="1" applyAlignment="1">
      <alignment horizontal="center" vertical="center"/>
    </xf>
    <xf numFmtId="10" fontId="2" fillId="6" borderId="44" xfId="0" applyNumberFormat="1" applyFont="1" applyFill="1" applyBorder="1" applyAlignment="1" applyProtection="1">
      <alignment horizontal="center" vertical="center"/>
      <protection hidden="1"/>
    </xf>
    <xf numFmtId="0" fontId="0" fillId="0" borderId="4" xfId="0" applyBorder="1" applyProtection="1">
      <alignment vertical="center"/>
      <protection hidden="1"/>
    </xf>
    <xf numFmtId="0" fontId="1" fillId="0" borderId="4" xfId="0" applyFont="1" applyFill="1" applyBorder="1" applyProtection="1">
      <alignment vertical="center"/>
      <protection hidden="1"/>
    </xf>
    <xf numFmtId="0" fontId="2" fillId="0" borderId="4" xfId="0" applyFont="1" applyBorder="1" applyProtection="1">
      <alignment vertical="center"/>
      <protection hidden="1"/>
    </xf>
    <xf numFmtId="0" fontId="1" fillId="0" borderId="4" xfId="0" applyFont="1" applyFill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49" fontId="8" fillId="5" borderId="9" xfId="0" applyNumberFormat="1" applyFont="1" applyFill="1" applyBorder="1" applyAlignment="1" applyProtection="1">
      <alignment horizontal="center" vertical="center"/>
      <protection hidden="1"/>
    </xf>
    <xf numFmtId="49" fontId="8" fillId="5" borderId="14" xfId="0" applyNumberFormat="1" applyFont="1" applyFill="1" applyBorder="1" applyAlignment="1" applyProtection="1">
      <alignment horizontal="center" vertical="center"/>
      <protection hidden="1"/>
    </xf>
    <xf numFmtId="0" fontId="1" fillId="0" borderId="28" xfId="0" applyFont="1" applyFill="1" applyBorder="1" applyAlignment="1" applyProtection="1">
      <alignment horizontal="center" vertical="center"/>
      <protection hidden="1"/>
    </xf>
    <xf numFmtId="14" fontId="7" fillId="0" borderId="28" xfId="0" applyNumberFormat="1" applyFont="1" applyBorder="1" applyAlignment="1" applyProtection="1">
      <alignment horizontal="center" vertical="center"/>
      <protection hidden="1"/>
    </xf>
    <xf numFmtId="0" fontId="7" fillId="0" borderId="28" xfId="0" applyFont="1" applyBorder="1" applyAlignment="1" applyProtection="1">
      <alignment horizontal="center" vertical="center"/>
      <protection hidden="1"/>
    </xf>
    <xf numFmtId="0" fontId="2" fillId="0" borderId="45" xfId="0" applyFont="1" applyFill="1" applyBorder="1" applyAlignment="1" applyProtection="1">
      <alignment horizontal="center" vertical="center"/>
      <protection hidden="1"/>
    </xf>
    <xf numFmtId="0" fontId="2" fillId="0" borderId="46" xfId="0" applyFont="1" applyFill="1" applyBorder="1" applyAlignment="1" applyProtection="1">
      <alignment horizontal="center" vertical="center"/>
      <protection hidden="1"/>
    </xf>
    <xf numFmtId="49" fontId="8" fillId="5" borderId="38" xfId="0" applyNumberFormat="1" applyFont="1" applyFill="1" applyBorder="1" applyAlignment="1" applyProtection="1">
      <alignment horizontal="center" vertical="center"/>
      <protection hidden="1"/>
    </xf>
    <xf numFmtId="0" fontId="7" fillId="0" borderId="39" xfId="0" applyFont="1" applyBorder="1" applyAlignment="1" applyProtection="1">
      <alignment horizontal="center" vertical="center"/>
      <protection hidden="1"/>
    </xf>
    <xf numFmtId="49" fontId="8" fillId="5" borderId="40" xfId="0" applyNumberFormat="1" applyFont="1" applyFill="1" applyBorder="1" applyAlignment="1" applyProtection="1">
      <alignment horizontal="center" vertical="center"/>
      <protection hidden="1"/>
    </xf>
    <xf numFmtId="0" fontId="1" fillId="0" borderId="39" xfId="0" applyFont="1" applyFill="1" applyBorder="1" applyAlignment="1" applyProtection="1">
      <alignment horizontal="center" vertical="center"/>
      <protection hidden="1"/>
    </xf>
    <xf numFmtId="0" fontId="2" fillId="0" borderId="39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left" vertical="center"/>
      <protection locked="0"/>
    </xf>
    <xf numFmtId="0" fontId="10" fillId="0" borderId="47" xfId="0" applyFont="1" applyFill="1" applyBorder="1" applyAlignment="1" applyProtection="1">
      <alignment horizontal="center" vertical="center"/>
      <protection locked="0"/>
    </xf>
    <xf numFmtId="0" fontId="10" fillId="0" borderId="8" xfId="0" applyFont="1" applyFill="1" applyBorder="1" applyAlignment="1" applyProtection="1">
      <alignment horizontal="center" vertical="center"/>
      <protection hidden="1"/>
    </xf>
    <xf numFmtId="0" fontId="10" fillId="0" borderId="9" xfId="0" applyFont="1" applyFill="1" applyBorder="1" applyAlignment="1" applyProtection="1">
      <alignment horizontal="center" vertical="center"/>
      <protection hidden="1"/>
    </xf>
    <xf numFmtId="0" fontId="10" fillId="0" borderId="38" xfId="0" applyFont="1" applyFill="1" applyBorder="1" applyAlignment="1" applyProtection="1">
      <alignment horizontal="center" vertical="center"/>
      <protection hidden="1"/>
    </xf>
    <xf numFmtId="0" fontId="10" fillId="0" borderId="48" xfId="0" applyFont="1" applyFill="1" applyBorder="1" applyAlignment="1" applyProtection="1">
      <alignment horizontal="center" vertical="center"/>
      <protection hidden="1"/>
    </xf>
    <xf numFmtId="0" fontId="10" fillId="0" borderId="49" xfId="0" applyFont="1" applyFill="1" applyBorder="1" applyAlignment="1" applyProtection="1">
      <alignment horizontal="center" vertical="center"/>
      <protection hidden="1"/>
    </xf>
    <xf numFmtId="0" fontId="10" fillId="0" borderId="50" xfId="0" applyFont="1" applyFill="1" applyBorder="1" applyAlignment="1" applyProtection="1">
      <alignment horizontal="center" vertical="center"/>
      <protection hidden="1"/>
    </xf>
    <xf numFmtId="0" fontId="10" fillId="0" borderId="51" xfId="0" applyFont="1" applyFill="1" applyBorder="1" applyAlignment="1" applyProtection="1">
      <alignment horizontal="center" vertical="center"/>
      <protection hidden="1"/>
    </xf>
    <xf numFmtId="0" fontId="10" fillId="0" borderId="52" xfId="0" applyFont="1" applyFill="1" applyBorder="1" applyAlignment="1" applyProtection="1">
      <alignment horizontal="center" vertical="center"/>
      <protection hidden="1"/>
    </xf>
    <xf numFmtId="0" fontId="10" fillId="0" borderId="39" xfId="0" applyFont="1" applyFill="1" applyBorder="1" applyAlignment="1" applyProtection="1">
      <alignment horizontal="center" vertical="center"/>
      <protection hidden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38EC6"/>
      <color rgb="00CF3A34"/>
      <color rgb="00007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6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A2" sqref="A2"/>
    </sheetView>
  </sheetViews>
  <sheetFormatPr defaultColWidth="9" defaultRowHeight="15"/>
  <cols>
    <col min="1" max="1" width="12" style="92" customWidth="1"/>
    <col min="2" max="9" width="12.625" style="93" customWidth="1"/>
    <col min="10" max="10" width="7" style="93" customWidth="1"/>
    <col min="11" max="19" width="12.625" style="93" customWidth="1"/>
    <col min="20" max="20" width="19.25" style="106" customWidth="1"/>
    <col min="21" max="16384" width="9" style="89"/>
  </cols>
  <sheetData>
    <row r="1" s="89" customFormat="1" ht="27" customHeight="1" spans="1:20">
      <c r="A1" s="107" t="s">
        <v>0</v>
      </c>
      <c r="B1" s="108" t="s">
        <v>1</v>
      </c>
      <c r="C1" s="109"/>
      <c r="D1" s="109"/>
      <c r="E1" s="109"/>
      <c r="F1" s="109"/>
      <c r="G1" s="109"/>
      <c r="H1" s="109"/>
      <c r="I1" s="109"/>
      <c r="J1" s="110"/>
      <c r="K1" s="111" t="s">
        <v>2</v>
      </c>
      <c r="L1" s="112"/>
      <c r="M1" s="112"/>
      <c r="N1" s="112"/>
      <c r="O1" s="112"/>
      <c r="P1" s="112"/>
      <c r="Q1" s="112"/>
      <c r="R1" s="112"/>
      <c r="S1" s="113"/>
      <c r="T1" s="114" t="s">
        <v>3</v>
      </c>
    </row>
    <row r="2" s="90" customFormat="1" ht="30" customHeight="1" spans="1:21">
      <c r="A2" s="51" t="s">
        <v>4</v>
      </c>
      <c r="B2" s="52" t="s">
        <v>5</v>
      </c>
      <c r="C2" s="53" t="s">
        <v>6</v>
      </c>
      <c r="D2" s="53" t="s">
        <v>7</v>
      </c>
      <c r="E2" s="53" t="s">
        <v>8</v>
      </c>
      <c r="F2" s="53" t="s">
        <v>9</v>
      </c>
      <c r="G2" s="53" t="s">
        <v>10</v>
      </c>
      <c r="H2" s="53" t="s">
        <v>11</v>
      </c>
      <c r="I2" s="53" t="s">
        <v>12</v>
      </c>
      <c r="J2" s="69" t="s">
        <v>13</v>
      </c>
      <c r="K2" s="70" t="s">
        <v>14</v>
      </c>
      <c r="L2" s="53" t="s">
        <v>15</v>
      </c>
      <c r="M2" s="53" t="s">
        <v>16</v>
      </c>
      <c r="N2" s="53" t="s">
        <v>17</v>
      </c>
      <c r="O2" s="53" t="s">
        <v>18</v>
      </c>
      <c r="P2" s="53" t="s">
        <v>19</v>
      </c>
      <c r="Q2" s="53" t="s">
        <v>20</v>
      </c>
      <c r="R2" s="53" t="s">
        <v>21</v>
      </c>
      <c r="S2" s="84" t="s">
        <v>22</v>
      </c>
      <c r="T2" s="115"/>
      <c r="U2" s="116"/>
    </row>
    <row r="3" ht="16.5" spans="1:19">
      <c r="A3" s="54">
        <v>44440</v>
      </c>
      <c r="B3" s="55">
        <f>SUMIFS(销售数据包!F:F,销售数据包!A:A,A3,销售数据包!C:C,Base!$F$2)+SUMIFS(销售数据包!F:F,销售数据包!A:A,A3,销售数据包!C:C,Base!$F$3)+SUMIFS(销售数据包!F:F,销售数据包!A:A,A3,销售数据包!C:C,Base!$F$4)</f>
        <v>0</v>
      </c>
      <c r="C3" s="56">
        <f>SUMIFS(销售数据包!K:K,销售数据包!A:A,A3,销售数据包!C:C,Base!$F$2)+SUMIFS(销售数据包!K:K,销售数据包!A:A,A3,销售数据包!C:C,Base!$F$3)+SUMIFS(销售数据包!K:K,销售数据包!A:A,A3,销售数据包!C:C,Base!$F$4)</f>
        <v>0</v>
      </c>
      <c r="D3" s="56">
        <f>SUMIFS(销售数据包!Q:Q,销售数据包!A:A,A3,销售数据包!C:C,Base!$F$2)+SUMIFS(销售数据包!Q:Q,销售数据包!A:A,A3,销售数据包!C:C,Base!$F$3)+SUMIFS(销售数据包!Q:Q,销售数据包!A:A,A3,销售数据包!C:C,Base!$F$4)</f>
        <v>0</v>
      </c>
      <c r="E3" s="57">
        <f t="shared" ref="E3:E62" si="0">IFERROR(D3/B3,0)</f>
        <v>0</v>
      </c>
      <c r="F3" s="57">
        <f t="shared" ref="F3:F62" si="1">IFERROR(C3/B3,0)</f>
        <v>0</v>
      </c>
      <c r="G3" s="56">
        <f>SUMIFS(销售数据包!O:O,销售数据包!A:A,A3)</f>
        <v>0</v>
      </c>
      <c r="H3" s="57">
        <f t="shared" ref="H3:H62" si="2">IFERROR(R3/G3,0)</f>
        <v>0</v>
      </c>
      <c r="I3" s="71">
        <f t="shared" ref="I3:I62" si="3">IFERROR(P3/G3,0)</f>
        <v>0</v>
      </c>
      <c r="J3" s="72" t="str">
        <f t="shared" ref="J3:J62" si="4">"周"&amp;WEEKDAY(A3,2)</f>
        <v>周3</v>
      </c>
      <c r="K3" s="73">
        <f>SUMIFS(广告数据包!H:H,广告数据包!A:A,A3,广告数据包!G:G,Base!$F$2)+SUMIFS(广告数据包!H:H,广告数据包!A:A,A3,广告数据包!G:G,Base!$F$3)+SUMIFS(广告数据包!H:H,广告数据包!A:A,A3,广告数据包!G:G,Base!$F$4)</f>
        <v>0</v>
      </c>
      <c r="L3" s="56">
        <f>SUMIFS(广告数据包!I:I,广告数据包!A:A,A3,广告数据包!G:G,Base!$F$2)+SUMIFS(广告数据包!I:I,广告数据包!A:A,A3,广告数据包!G:G,Base!$F$3)+SUMIFS(广告数据包!I:I,广告数据包!A:A,A3,广告数据包!G:G,Base!$F$4)</f>
        <v>0</v>
      </c>
      <c r="M3" s="57">
        <f t="shared" ref="M3:M62" si="5">IFERROR(L3/K3,0)</f>
        <v>0</v>
      </c>
      <c r="N3" s="74">
        <f t="shared" ref="N3:N62" si="6">IFERROR(R3/L3,0)</f>
        <v>0</v>
      </c>
      <c r="O3" s="75">
        <f>SUMIFS(广告数据包!P:P,广告数据包!A:A,A3,广告数据包!G:G,Base!$F$2)+SUMIFS(广告数据包!P:P,广告数据包!A:A,A3,广告数据包!G:G,Base!$F$3)+SUMIFS(广告数据包!P:P,广告数据包!A:A,A3,广告数据包!G:G,Base!$F$4)</f>
        <v>0</v>
      </c>
      <c r="P3" s="56">
        <f>SUMIFS(广告数据包!M:M,广告数据包!A:A,A3,广告数据包!G:G,Base!$F$2)+SUMIFS(广告数据包!M:M,广告数据包!A:A,A3,广告数据包!G:G,Base!$F$3)+SUMIFS(广告数据包!M:M,广告数据包!A:A,A3,广告数据包!G:G,Base!$F$4)</f>
        <v>0</v>
      </c>
      <c r="Q3" s="57">
        <f t="shared" ref="Q3:Q62" si="7">IFERROR(O3/L3,0)</f>
        <v>0</v>
      </c>
      <c r="R3" s="56">
        <f>SUMIFS(广告数据包!L:L,广告数据包!A:A,A3,广告数据包!G:G,Base!$F$2)+SUMIFS(广告数据包!L:L,广告数据包!A:A,A3,广告数据包!G:G,Base!$F$3)+SUMIFS(广告数据包!L:L,广告数据包!A:A,A3,广告数据包!G:G,Base!$F$4)</f>
        <v>0</v>
      </c>
      <c r="S3" s="86">
        <f t="shared" ref="S3:S62" si="8">IFERROR(R3/P3,0)</f>
        <v>0</v>
      </c>
    </row>
    <row r="4" ht="16.5" spans="1:19">
      <c r="A4" s="54">
        <v>44441</v>
      </c>
      <c r="B4" s="55">
        <f>SUMIFS(销售数据包!F:F,销售数据包!A:A,A4,销售数据包!C:C,Base!$F$2)+SUMIFS(销售数据包!F:F,销售数据包!A:A,A4,销售数据包!C:C,Base!$F$3)+SUMIFS(销售数据包!F:F,销售数据包!A:A,A4,销售数据包!C:C,Base!$F$4)</f>
        <v>0</v>
      </c>
      <c r="C4" s="56">
        <f>SUMIFS(销售数据包!K:K,销售数据包!A:A,A4,销售数据包!C:C,Base!$F$2)+SUMIFS(销售数据包!K:K,销售数据包!A:A,A4,销售数据包!C:C,Base!$F$3)+SUMIFS(销售数据包!K:K,销售数据包!A:A,A4,销售数据包!C:C,Base!$F$4)</f>
        <v>0</v>
      </c>
      <c r="D4" s="56">
        <f>SUMIFS(销售数据包!Q:Q,销售数据包!A:A,A4,销售数据包!C:C,Base!$F$2)+SUMIFS(销售数据包!Q:Q,销售数据包!A:A,A4,销售数据包!C:C,Base!$F$3)+SUMIFS(销售数据包!Q:Q,销售数据包!A:A,A4,销售数据包!C:C,Base!$F$4)</f>
        <v>0</v>
      </c>
      <c r="E4" s="57">
        <f t="shared" si="0"/>
        <v>0</v>
      </c>
      <c r="F4" s="57">
        <f t="shared" si="1"/>
        <v>0</v>
      </c>
      <c r="G4" s="56">
        <f>SUMIFS(销售数据包!O:O,销售数据包!A:A,A4)</f>
        <v>0</v>
      </c>
      <c r="H4" s="57">
        <f t="shared" si="2"/>
        <v>0</v>
      </c>
      <c r="I4" s="71">
        <f t="shared" si="3"/>
        <v>0</v>
      </c>
      <c r="J4" s="72" t="str">
        <f t="shared" si="4"/>
        <v>周4</v>
      </c>
      <c r="K4" s="73">
        <f>SUMIFS(广告数据包!H:H,广告数据包!A:A,A4,广告数据包!G:G,Base!$F$2)+SUMIFS(广告数据包!H:H,广告数据包!A:A,A4,广告数据包!G:G,Base!$F$3)+SUMIFS(广告数据包!H:H,广告数据包!A:A,A4,广告数据包!G:G,Base!$F$4)</f>
        <v>0</v>
      </c>
      <c r="L4" s="56">
        <f>SUMIFS(广告数据包!I:I,广告数据包!A:A,A4,广告数据包!G:G,Base!$F$2)+SUMIFS(广告数据包!I:I,广告数据包!A:A,A4,广告数据包!G:G,Base!$F$3)+SUMIFS(广告数据包!I:I,广告数据包!A:A,A4,广告数据包!G:G,Base!$F$4)</f>
        <v>0</v>
      </c>
      <c r="M4" s="57">
        <f t="shared" si="5"/>
        <v>0</v>
      </c>
      <c r="N4" s="74">
        <f t="shared" si="6"/>
        <v>0</v>
      </c>
      <c r="O4" s="75">
        <f>SUMIFS(广告数据包!P:P,广告数据包!A:A,A4,广告数据包!G:G,Base!$F$2)+SUMIFS(广告数据包!P:P,广告数据包!A:A,A4,广告数据包!G:G,Base!$F$3)+SUMIFS(广告数据包!P:P,广告数据包!A:A,A4,广告数据包!G:G,Base!$F$4)</f>
        <v>0</v>
      </c>
      <c r="P4" s="56">
        <f>SUMIFS(广告数据包!M:M,广告数据包!A:A,A4,广告数据包!G:G,Base!$F$2)+SUMIFS(广告数据包!M:M,广告数据包!A:A,A4,广告数据包!G:G,Base!$F$3)+SUMIFS(广告数据包!M:M,广告数据包!A:A,A4,广告数据包!G:G,Base!$F$4)</f>
        <v>0</v>
      </c>
      <c r="Q4" s="57">
        <f t="shared" si="7"/>
        <v>0</v>
      </c>
      <c r="R4" s="56">
        <f>SUMIFS(广告数据包!L:L,广告数据包!A:A,A4,广告数据包!G:G,Base!$F$2)+SUMIFS(广告数据包!L:L,广告数据包!A:A,A4,广告数据包!G:G,Base!$F$3)+SUMIFS(广告数据包!L:L,广告数据包!A:A,A4,广告数据包!G:G,Base!$F$4)</f>
        <v>0</v>
      </c>
      <c r="S4" s="86">
        <f t="shared" si="8"/>
        <v>0</v>
      </c>
    </row>
    <row r="5" ht="16.5" spans="1:19">
      <c r="A5" s="54">
        <v>44442</v>
      </c>
      <c r="B5" s="55">
        <f>SUMIFS(销售数据包!F:F,销售数据包!A:A,A5,销售数据包!C:C,Base!$F$2)+SUMIFS(销售数据包!F:F,销售数据包!A:A,A5,销售数据包!C:C,Base!$F$3)+SUMIFS(销售数据包!F:F,销售数据包!A:A,A5,销售数据包!C:C,Base!$F$4)</f>
        <v>0</v>
      </c>
      <c r="C5" s="56">
        <f>SUMIFS(销售数据包!K:K,销售数据包!A:A,A5,销售数据包!C:C,Base!$F$2)+SUMIFS(销售数据包!K:K,销售数据包!A:A,A5,销售数据包!C:C,Base!$F$3)+SUMIFS(销售数据包!K:K,销售数据包!A:A,A5,销售数据包!C:C,Base!$F$4)</f>
        <v>0</v>
      </c>
      <c r="D5" s="56">
        <f>SUMIFS(销售数据包!Q:Q,销售数据包!A:A,A5,销售数据包!C:C,Base!$F$2)+SUMIFS(销售数据包!Q:Q,销售数据包!A:A,A5,销售数据包!C:C,Base!$F$3)+SUMIFS(销售数据包!Q:Q,销售数据包!A:A,A5,销售数据包!C:C,Base!$F$4)</f>
        <v>0</v>
      </c>
      <c r="E5" s="57">
        <f t="shared" si="0"/>
        <v>0</v>
      </c>
      <c r="F5" s="57">
        <f t="shared" si="1"/>
        <v>0</v>
      </c>
      <c r="G5" s="56">
        <f>SUMIFS(销售数据包!O:O,销售数据包!A:A,A5)</f>
        <v>0</v>
      </c>
      <c r="H5" s="57">
        <f t="shared" si="2"/>
        <v>0</v>
      </c>
      <c r="I5" s="71">
        <f t="shared" si="3"/>
        <v>0</v>
      </c>
      <c r="J5" s="72" t="str">
        <f t="shared" si="4"/>
        <v>周5</v>
      </c>
      <c r="K5" s="73">
        <f>SUMIFS(广告数据包!H:H,广告数据包!A:A,A5,广告数据包!G:G,Base!$F$2)+SUMIFS(广告数据包!H:H,广告数据包!A:A,A5,广告数据包!G:G,Base!$F$3)+SUMIFS(广告数据包!H:H,广告数据包!A:A,A5,广告数据包!G:G,Base!$F$4)</f>
        <v>0</v>
      </c>
      <c r="L5" s="56">
        <f>SUMIFS(广告数据包!I:I,广告数据包!A:A,A5,广告数据包!G:G,Base!$F$2)+SUMIFS(广告数据包!I:I,广告数据包!A:A,A5,广告数据包!G:G,Base!$F$3)+SUMIFS(广告数据包!I:I,广告数据包!A:A,A5,广告数据包!G:G,Base!$F$4)</f>
        <v>0</v>
      </c>
      <c r="M5" s="57">
        <f t="shared" si="5"/>
        <v>0</v>
      </c>
      <c r="N5" s="74">
        <f t="shared" si="6"/>
        <v>0</v>
      </c>
      <c r="O5" s="75">
        <f>SUMIFS(广告数据包!P:P,广告数据包!A:A,A5,广告数据包!G:G,Base!$F$2)+SUMIFS(广告数据包!P:P,广告数据包!A:A,A5,广告数据包!G:G,Base!$F$3)+SUMIFS(广告数据包!P:P,广告数据包!A:A,A5,广告数据包!G:G,Base!$F$4)</f>
        <v>0</v>
      </c>
      <c r="P5" s="56">
        <f>SUMIFS(广告数据包!M:M,广告数据包!A:A,A5,广告数据包!G:G,Base!$F$2)+SUMIFS(广告数据包!M:M,广告数据包!A:A,A5,广告数据包!G:G,Base!$F$3)+SUMIFS(广告数据包!M:M,广告数据包!A:A,A5,广告数据包!G:G,Base!$F$4)</f>
        <v>0</v>
      </c>
      <c r="Q5" s="57">
        <f t="shared" si="7"/>
        <v>0</v>
      </c>
      <c r="R5" s="56">
        <f>SUMIFS(广告数据包!L:L,广告数据包!A:A,A5,广告数据包!G:G,Base!$F$2)+SUMIFS(广告数据包!L:L,广告数据包!A:A,A5,广告数据包!G:G,Base!$F$3)+SUMIFS(广告数据包!L:L,广告数据包!A:A,A5,广告数据包!G:G,Base!$F$4)</f>
        <v>0</v>
      </c>
      <c r="S5" s="86">
        <f t="shared" si="8"/>
        <v>0</v>
      </c>
    </row>
    <row r="6" ht="16.5" spans="1:19">
      <c r="A6" s="54">
        <v>44443</v>
      </c>
      <c r="B6" s="55">
        <f>SUMIFS(销售数据包!F:F,销售数据包!A:A,A6,销售数据包!C:C,Base!$F$2)+SUMIFS(销售数据包!F:F,销售数据包!A:A,A6,销售数据包!C:C,Base!$F$3)+SUMIFS(销售数据包!F:F,销售数据包!A:A,A6,销售数据包!C:C,Base!$F$4)</f>
        <v>0</v>
      </c>
      <c r="C6" s="56">
        <f>SUMIFS(销售数据包!K:K,销售数据包!A:A,A6,销售数据包!C:C,Base!$F$2)+SUMIFS(销售数据包!K:K,销售数据包!A:A,A6,销售数据包!C:C,Base!$F$3)+SUMIFS(销售数据包!K:K,销售数据包!A:A,A6,销售数据包!C:C,Base!$F$4)</f>
        <v>0</v>
      </c>
      <c r="D6" s="56">
        <f>SUMIFS(销售数据包!Q:Q,销售数据包!A:A,A6,销售数据包!C:C,Base!$F$2)+SUMIFS(销售数据包!Q:Q,销售数据包!A:A,A6,销售数据包!C:C,Base!$F$3)+SUMIFS(销售数据包!Q:Q,销售数据包!A:A,A6,销售数据包!C:C,Base!$F$4)</f>
        <v>0</v>
      </c>
      <c r="E6" s="57">
        <f t="shared" si="0"/>
        <v>0</v>
      </c>
      <c r="F6" s="57">
        <f t="shared" si="1"/>
        <v>0</v>
      </c>
      <c r="G6" s="56">
        <f>SUMIFS(销售数据包!O:O,销售数据包!A:A,A6)</f>
        <v>0</v>
      </c>
      <c r="H6" s="57">
        <f t="shared" si="2"/>
        <v>0</v>
      </c>
      <c r="I6" s="71">
        <f t="shared" si="3"/>
        <v>0</v>
      </c>
      <c r="J6" s="72" t="str">
        <f t="shared" si="4"/>
        <v>周6</v>
      </c>
      <c r="K6" s="73">
        <f>SUMIFS(广告数据包!H:H,广告数据包!A:A,A6,广告数据包!G:G,Base!$F$2)+SUMIFS(广告数据包!H:H,广告数据包!A:A,A6,广告数据包!G:G,Base!$F$3)+SUMIFS(广告数据包!H:H,广告数据包!A:A,A6,广告数据包!G:G,Base!$F$4)</f>
        <v>0</v>
      </c>
      <c r="L6" s="56">
        <f>SUMIFS(广告数据包!I:I,广告数据包!A:A,A6,广告数据包!G:G,Base!$F$2)+SUMIFS(广告数据包!I:I,广告数据包!A:A,A6,广告数据包!G:G,Base!$F$3)+SUMIFS(广告数据包!I:I,广告数据包!A:A,A6,广告数据包!G:G,Base!$F$4)</f>
        <v>0</v>
      </c>
      <c r="M6" s="57">
        <f t="shared" si="5"/>
        <v>0</v>
      </c>
      <c r="N6" s="74">
        <f t="shared" si="6"/>
        <v>0</v>
      </c>
      <c r="O6" s="75">
        <f>SUMIFS(广告数据包!P:P,广告数据包!A:A,A6,广告数据包!G:G,Base!$F$2)+SUMIFS(广告数据包!P:P,广告数据包!A:A,A6,广告数据包!G:G,Base!$F$3)+SUMIFS(广告数据包!P:P,广告数据包!A:A,A6,广告数据包!G:G,Base!$F$4)</f>
        <v>0</v>
      </c>
      <c r="P6" s="56">
        <f>SUMIFS(广告数据包!M:M,广告数据包!A:A,A6,广告数据包!G:G,Base!$F$2)+SUMIFS(广告数据包!M:M,广告数据包!A:A,A6,广告数据包!G:G,Base!$F$3)+SUMIFS(广告数据包!M:M,广告数据包!A:A,A6,广告数据包!G:G,Base!$F$4)</f>
        <v>0</v>
      </c>
      <c r="Q6" s="57">
        <f t="shared" si="7"/>
        <v>0</v>
      </c>
      <c r="R6" s="56">
        <f>SUMIFS(广告数据包!L:L,广告数据包!A:A,A6,广告数据包!G:G,Base!$F$2)+SUMIFS(广告数据包!L:L,广告数据包!A:A,A6,广告数据包!G:G,Base!$F$3)+SUMIFS(广告数据包!L:L,广告数据包!A:A,A6,广告数据包!G:G,Base!$F$4)</f>
        <v>0</v>
      </c>
      <c r="S6" s="86">
        <f t="shared" si="8"/>
        <v>0</v>
      </c>
    </row>
    <row r="7" ht="16.5" spans="1:19">
      <c r="A7" s="54">
        <v>44444</v>
      </c>
      <c r="B7" s="55">
        <f>SUMIFS(销售数据包!F:F,销售数据包!A:A,A7,销售数据包!C:C,Base!$F$2)+SUMIFS(销售数据包!F:F,销售数据包!A:A,A7,销售数据包!C:C,Base!$F$3)+SUMIFS(销售数据包!F:F,销售数据包!A:A,A7,销售数据包!C:C,Base!$F$4)</f>
        <v>0</v>
      </c>
      <c r="C7" s="56">
        <f>SUMIFS(销售数据包!K:K,销售数据包!A:A,A7,销售数据包!C:C,Base!$F$2)+SUMIFS(销售数据包!K:K,销售数据包!A:A,A7,销售数据包!C:C,Base!$F$3)+SUMIFS(销售数据包!K:K,销售数据包!A:A,A7,销售数据包!C:C,Base!$F$4)</f>
        <v>0</v>
      </c>
      <c r="D7" s="56">
        <f>SUMIFS(销售数据包!Q:Q,销售数据包!A:A,A7,销售数据包!C:C,Base!$F$2)+SUMIFS(销售数据包!Q:Q,销售数据包!A:A,A7,销售数据包!C:C,Base!$F$3)+SUMIFS(销售数据包!Q:Q,销售数据包!A:A,A7,销售数据包!C:C,Base!$F$4)</f>
        <v>0</v>
      </c>
      <c r="E7" s="57">
        <f t="shared" si="0"/>
        <v>0</v>
      </c>
      <c r="F7" s="57">
        <f t="shared" si="1"/>
        <v>0</v>
      </c>
      <c r="G7" s="56">
        <f>SUMIFS(销售数据包!O:O,销售数据包!A:A,A7)</f>
        <v>0</v>
      </c>
      <c r="H7" s="57">
        <f t="shared" si="2"/>
        <v>0</v>
      </c>
      <c r="I7" s="71">
        <f t="shared" si="3"/>
        <v>0</v>
      </c>
      <c r="J7" s="72" t="str">
        <f t="shared" si="4"/>
        <v>周7</v>
      </c>
      <c r="K7" s="73">
        <f>SUMIFS(广告数据包!H:H,广告数据包!A:A,A7,广告数据包!G:G,Base!$F$2)+SUMIFS(广告数据包!H:H,广告数据包!A:A,A7,广告数据包!G:G,Base!$F$3)+SUMIFS(广告数据包!H:H,广告数据包!A:A,A7,广告数据包!G:G,Base!$F$4)</f>
        <v>0</v>
      </c>
      <c r="L7" s="56">
        <f>SUMIFS(广告数据包!I:I,广告数据包!A:A,A7,广告数据包!G:G,Base!$F$2)+SUMIFS(广告数据包!I:I,广告数据包!A:A,A7,广告数据包!G:G,Base!$F$3)+SUMIFS(广告数据包!I:I,广告数据包!A:A,A7,广告数据包!G:G,Base!$F$4)</f>
        <v>0</v>
      </c>
      <c r="M7" s="57">
        <f t="shared" si="5"/>
        <v>0</v>
      </c>
      <c r="N7" s="74">
        <f t="shared" si="6"/>
        <v>0</v>
      </c>
      <c r="O7" s="75">
        <f>SUMIFS(广告数据包!P:P,广告数据包!A:A,A7,广告数据包!G:G,Base!$F$2)+SUMIFS(广告数据包!P:P,广告数据包!A:A,A7,广告数据包!G:G,Base!$F$3)+SUMIFS(广告数据包!P:P,广告数据包!A:A,A7,广告数据包!G:G,Base!$F$4)</f>
        <v>0</v>
      </c>
      <c r="P7" s="56">
        <f>SUMIFS(广告数据包!M:M,广告数据包!A:A,A7,广告数据包!G:G,Base!$F$2)+SUMIFS(广告数据包!M:M,广告数据包!A:A,A7,广告数据包!G:G,Base!$F$3)+SUMIFS(广告数据包!M:M,广告数据包!A:A,A7,广告数据包!G:G,Base!$F$4)</f>
        <v>0</v>
      </c>
      <c r="Q7" s="57">
        <f t="shared" si="7"/>
        <v>0</v>
      </c>
      <c r="R7" s="56">
        <f>SUMIFS(广告数据包!L:L,广告数据包!A:A,A7,广告数据包!G:G,Base!$F$2)+SUMIFS(广告数据包!L:L,广告数据包!A:A,A7,广告数据包!G:G,Base!$F$3)+SUMIFS(广告数据包!L:L,广告数据包!A:A,A7,广告数据包!G:G,Base!$F$4)</f>
        <v>0</v>
      </c>
      <c r="S7" s="86">
        <f t="shared" si="8"/>
        <v>0</v>
      </c>
    </row>
    <row r="8" ht="16.5" spans="1:19">
      <c r="A8" s="54">
        <v>44445</v>
      </c>
      <c r="B8" s="55">
        <f>SUMIFS(销售数据包!F:F,销售数据包!A:A,A8,销售数据包!C:C,Base!$F$2)+SUMIFS(销售数据包!F:F,销售数据包!A:A,A8,销售数据包!C:C,Base!$F$3)+SUMIFS(销售数据包!F:F,销售数据包!A:A,A8,销售数据包!C:C,Base!$F$4)</f>
        <v>0</v>
      </c>
      <c r="C8" s="56">
        <f>SUMIFS(销售数据包!K:K,销售数据包!A:A,A8,销售数据包!C:C,Base!$F$2)+SUMIFS(销售数据包!K:K,销售数据包!A:A,A8,销售数据包!C:C,Base!$F$3)+SUMIFS(销售数据包!K:K,销售数据包!A:A,A8,销售数据包!C:C,Base!$F$4)</f>
        <v>0</v>
      </c>
      <c r="D8" s="56">
        <f>SUMIFS(销售数据包!Q:Q,销售数据包!A:A,A8,销售数据包!C:C,Base!$F$2)+SUMIFS(销售数据包!Q:Q,销售数据包!A:A,A8,销售数据包!C:C,Base!$F$3)+SUMIFS(销售数据包!Q:Q,销售数据包!A:A,A8,销售数据包!C:C,Base!$F$4)</f>
        <v>0</v>
      </c>
      <c r="E8" s="57">
        <f t="shared" si="0"/>
        <v>0</v>
      </c>
      <c r="F8" s="57">
        <f t="shared" si="1"/>
        <v>0</v>
      </c>
      <c r="G8" s="56">
        <f>SUMIFS(销售数据包!O:O,销售数据包!A:A,A8)</f>
        <v>0</v>
      </c>
      <c r="H8" s="57">
        <f t="shared" si="2"/>
        <v>0</v>
      </c>
      <c r="I8" s="71">
        <f t="shared" si="3"/>
        <v>0</v>
      </c>
      <c r="J8" s="72" t="str">
        <f t="shared" si="4"/>
        <v>周1</v>
      </c>
      <c r="K8" s="73">
        <f>SUMIFS(广告数据包!H:H,广告数据包!A:A,A8,广告数据包!G:G,Base!$F$2)+SUMIFS(广告数据包!H:H,广告数据包!A:A,A8,广告数据包!G:G,Base!$F$3)+SUMIFS(广告数据包!H:H,广告数据包!A:A,A8,广告数据包!G:G,Base!$F$4)</f>
        <v>0</v>
      </c>
      <c r="L8" s="56">
        <f>SUMIFS(广告数据包!I:I,广告数据包!A:A,A8,广告数据包!G:G,Base!$F$2)+SUMIFS(广告数据包!I:I,广告数据包!A:A,A8,广告数据包!G:G,Base!$F$3)+SUMIFS(广告数据包!I:I,广告数据包!A:A,A8,广告数据包!G:G,Base!$F$4)</f>
        <v>0</v>
      </c>
      <c r="M8" s="57">
        <f t="shared" si="5"/>
        <v>0</v>
      </c>
      <c r="N8" s="74">
        <f t="shared" si="6"/>
        <v>0</v>
      </c>
      <c r="O8" s="75">
        <f>SUMIFS(广告数据包!P:P,广告数据包!A:A,A8,广告数据包!G:G,Base!$F$2)+SUMIFS(广告数据包!P:P,广告数据包!A:A,A8,广告数据包!G:G,Base!$F$3)+SUMIFS(广告数据包!P:P,广告数据包!A:A,A8,广告数据包!G:G,Base!$F$4)</f>
        <v>0</v>
      </c>
      <c r="P8" s="56">
        <f>SUMIFS(广告数据包!M:M,广告数据包!A:A,A8,广告数据包!G:G,Base!$F$2)+SUMIFS(广告数据包!M:M,广告数据包!A:A,A8,广告数据包!G:G,Base!$F$3)+SUMIFS(广告数据包!M:M,广告数据包!A:A,A8,广告数据包!G:G,Base!$F$4)</f>
        <v>0</v>
      </c>
      <c r="Q8" s="57">
        <f t="shared" si="7"/>
        <v>0</v>
      </c>
      <c r="R8" s="56">
        <f>SUMIFS(广告数据包!L:L,广告数据包!A:A,A8,广告数据包!G:G,Base!$F$2)+SUMIFS(广告数据包!L:L,广告数据包!A:A,A8,广告数据包!G:G,Base!$F$3)+SUMIFS(广告数据包!L:L,广告数据包!A:A,A8,广告数据包!G:G,Base!$F$4)</f>
        <v>0</v>
      </c>
      <c r="S8" s="86">
        <f t="shared" si="8"/>
        <v>0</v>
      </c>
    </row>
    <row r="9" ht="16.5" spans="1:19">
      <c r="A9" s="54">
        <v>44446</v>
      </c>
      <c r="B9" s="55">
        <f>SUMIFS(销售数据包!F:F,销售数据包!A:A,A9,销售数据包!C:C,Base!$F$2)+SUMIFS(销售数据包!F:F,销售数据包!A:A,A9,销售数据包!C:C,Base!$F$3)+SUMIFS(销售数据包!F:F,销售数据包!A:A,A9,销售数据包!C:C,Base!$F$4)</f>
        <v>0</v>
      </c>
      <c r="C9" s="56">
        <f>SUMIFS(销售数据包!K:K,销售数据包!A:A,A9,销售数据包!C:C,Base!$F$2)+SUMIFS(销售数据包!K:K,销售数据包!A:A,A9,销售数据包!C:C,Base!$F$3)+SUMIFS(销售数据包!K:K,销售数据包!A:A,A9,销售数据包!C:C,Base!$F$4)</f>
        <v>0</v>
      </c>
      <c r="D9" s="56">
        <f>SUMIFS(销售数据包!Q:Q,销售数据包!A:A,A9,销售数据包!C:C,Base!$F$2)+SUMIFS(销售数据包!Q:Q,销售数据包!A:A,A9,销售数据包!C:C,Base!$F$3)+SUMIFS(销售数据包!Q:Q,销售数据包!A:A,A9,销售数据包!C:C,Base!$F$4)</f>
        <v>0</v>
      </c>
      <c r="E9" s="57">
        <f t="shared" si="0"/>
        <v>0</v>
      </c>
      <c r="F9" s="57">
        <f t="shared" si="1"/>
        <v>0</v>
      </c>
      <c r="G9" s="56">
        <f>SUMIFS(销售数据包!O:O,销售数据包!A:A,A9)</f>
        <v>0</v>
      </c>
      <c r="H9" s="57">
        <f t="shared" si="2"/>
        <v>0</v>
      </c>
      <c r="I9" s="71">
        <f t="shared" si="3"/>
        <v>0</v>
      </c>
      <c r="J9" s="72" t="str">
        <f t="shared" si="4"/>
        <v>周2</v>
      </c>
      <c r="K9" s="73">
        <f>SUMIFS(广告数据包!H:H,广告数据包!A:A,A9,广告数据包!G:G,Base!$F$2)+SUMIFS(广告数据包!H:H,广告数据包!A:A,A9,广告数据包!G:G,Base!$F$3)+SUMIFS(广告数据包!H:H,广告数据包!A:A,A9,广告数据包!G:G,Base!$F$4)</f>
        <v>0</v>
      </c>
      <c r="L9" s="56">
        <f>SUMIFS(广告数据包!I:I,广告数据包!A:A,A9,广告数据包!G:G,Base!$F$2)+SUMIFS(广告数据包!I:I,广告数据包!A:A,A9,广告数据包!G:G,Base!$F$3)+SUMIFS(广告数据包!I:I,广告数据包!A:A,A9,广告数据包!G:G,Base!$F$4)</f>
        <v>0</v>
      </c>
      <c r="M9" s="57">
        <f t="shared" si="5"/>
        <v>0</v>
      </c>
      <c r="N9" s="74">
        <f t="shared" si="6"/>
        <v>0</v>
      </c>
      <c r="O9" s="75">
        <f>SUMIFS(广告数据包!P:P,广告数据包!A:A,A9,广告数据包!G:G,Base!$F$2)+SUMIFS(广告数据包!P:P,广告数据包!A:A,A9,广告数据包!G:G,Base!$F$3)+SUMIFS(广告数据包!P:P,广告数据包!A:A,A9,广告数据包!G:G,Base!$F$4)</f>
        <v>0</v>
      </c>
      <c r="P9" s="56">
        <f>SUMIFS(广告数据包!M:M,广告数据包!A:A,A9,广告数据包!G:G,Base!$F$2)+SUMIFS(广告数据包!M:M,广告数据包!A:A,A9,广告数据包!G:G,Base!$F$3)+SUMIFS(广告数据包!M:M,广告数据包!A:A,A9,广告数据包!G:G,Base!$F$4)</f>
        <v>0</v>
      </c>
      <c r="Q9" s="57">
        <f t="shared" si="7"/>
        <v>0</v>
      </c>
      <c r="R9" s="56">
        <f>SUMIFS(广告数据包!L:L,广告数据包!A:A,A9,广告数据包!G:G,Base!$F$2)+SUMIFS(广告数据包!L:L,广告数据包!A:A,A9,广告数据包!G:G,Base!$F$3)+SUMIFS(广告数据包!L:L,广告数据包!A:A,A9,广告数据包!G:G,Base!$F$4)</f>
        <v>0</v>
      </c>
      <c r="S9" s="86">
        <f t="shared" si="8"/>
        <v>0</v>
      </c>
    </row>
    <row r="10" ht="16.5" spans="1:19">
      <c r="A10" s="54">
        <v>44447</v>
      </c>
      <c r="B10" s="55">
        <f>SUMIFS(销售数据包!F:F,销售数据包!A:A,A10,销售数据包!C:C,Base!$F$2)+SUMIFS(销售数据包!F:F,销售数据包!A:A,A10,销售数据包!C:C,Base!$F$3)+SUMIFS(销售数据包!F:F,销售数据包!A:A,A10,销售数据包!C:C,Base!$F$4)</f>
        <v>0</v>
      </c>
      <c r="C10" s="56">
        <f>SUMIFS(销售数据包!K:K,销售数据包!A:A,A10,销售数据包!C:C,Base!$F$2)+SUMIFS(销售数据包!K:K,销售数据包!A:A,A10,销售数据包!C:C,Base!$F$3)+SUMIFS(销售数据包!K:K,销售数据包!A:A,A10,销售数据包!C:C,Base!$F$4)</f>
        <v>0</v>
      </c>
      <c r="D10" s="56">
        <f>SUMIFS(销售数据包!Q:Q,销售数据包!A:A,A10,销售数据包!C:C,Base!$F$2)+SUMIFS(销售数据包!Q:Q,销售数据包!A:A,A10,销售数据包!C:C,Base!$F$3)+SUMIFS(销售数据包!Q:Q,销售数据包!A:A,A10,销售数据包!C:C,Base!$F$4)</f>
        <v>0</v>
      </c>
      <c r="E10" s="57">
        <f t="shared" si="0"/>
        <v>0</v>
      </c>
      <c r="F10" s="57">
        <f t="shared" si="1"/>
        <v>0</v>
      </c>
      <c r="G10" s="56">
        <f>SUMIFS(销售数据包!O:O,销售数据包!A:A,A10)</f>
        <v>0</v>
      </c>
      <c r="H10" s="57">
        <f t="shared" si="2"/>
        <v>0</v>
      </c>
      <c r="I10" s="71">
        <f t="shared" si="3"/>
        <v>0</v>
      </c>
      <c r="J10" s="72" t="str">
        <f t="shared" si="4"/>
        <v>周3</v>
      </c>
      <c r="K10" s="73">
        <f>SUMIFS(广告数据包!H:H,广告数据包!A:A,A10,广告数据包!G:G,Base!$F$2)+SUMIFS(广告数据包!H:H,广告数据包!A:A,A10,广告数据包!G:G,Base!$F$3)+SUMIFS(广告数据包!H:H,广告数据包!A:A,A10,广告数据包!G:G,Base!$F$4)</f>
        <v>0</v>
      </c>
      <c r="L10" s="56">
        <f>SUMIFS(广告数据包!I:I,广告数据包!A:A,A10,广告数据包!G:G,Base!$F$2)+SUMIFS(广告数据包!I:I,广告数据包!A:A,A10,广告数据包!G:G,Base!$F$3)+SUMIFS(广告数据包!I:I,广告数据包!A:A,A10,广告数据包!G:G,Base!$F$4)</f>
        <v>0</v>
      </c>
      <c r="M10" s="57">
        <f t="shared" si="5"/>
        <v>0</v>
      </c>
      <c r="N10" s="74">
        <f t="shared" si="6"/>
        <v>0</v>
      </c>
      <c r="O10" s="75">
        <f>SUMIFS(广告数据包!P:P,广告数据包!A:A,A10,广告数据包!G:G,Base!$F$2)+SUMIFS(广告数据包!P:P,广告数据包!A:A,A10,广告数据包!G:G,Base!$F$3)+SUMIFS(广告数据包!P:P,广告数据包!A:A,A10,广告数据包!G:G,Base!$F$4)</f>
        <v>0</v>
      </c>
      <c r="P10" s="56">
        <f>SUMIFS(广告数据包!M:M,广告数据包!A:A,A10,广告数据包!G:G,Base!$F$2)+SUMIFS(广告数据包!M:M,广告数据包!A:A,A10,广告数据包!G:G,Base!$F$3)+SUMIFS(广告数据包!M:M,广告数据包!A:A,A10,广告数据包!G:G,Base!$F$4)</f>
        <v>0</v>
      </c>
      <c r="Q10" s="57">
        <f t="shared" si="7"/>
        <v>0</v>
      </c>
      <c r="R10" s="56">
        <f>SUMIFS(广告数据包!L:L,广告数据包!A:A,A10,广告数据包!G:G,Base!$F$2)+SUMIFS(广告数据包!L:L,广告数据包!A:A,A10,广告数据包!G:G,Base!$F$3)+SUMIFS(广告数据包!L:L,广告数据包!A:A,A10,广告数据包!G:G,Base!$F$4)</f>
        <v>0</v>
      </c>
      <c r="S10" s="86">
        <f t="shared" si="8"/>
        <v>0</v>
      </c>
    </row>
    <row r="11" ht="16.5" spans="1:19">
      <c r="A11" s="54">
        <v>44448</v>
      </c>
      <c r="B11" s="55">
        <f>SUMIFS(销售数据包!F:F,销售数据包!A:A,A11,销售数据包!C:C,Base!$F$2)+SUMIFS(销售数据包!F:F,销售数据包!A:A,A11,销售数据包!C:C,Base!$F$3)+SUMIFS(销售数据包!F:F,销售数据包!A:A,A11,销售数据包!C:C,Base!$F$4)</f>
        <v>0</v>
      </c>
      <c r="C11" s="56">
        <f>SUMIFS(销售数据包!K:K,销售数据包!A:A,A11,销售数据包!C:C,Base!$F$2)+SUMIFS(销售数据包!K:K,销售数据包!A:A,A11,销售数据包!C:C,Base!$F$3)+SUMIFS(销售数据包!K:K,销售数据包!A:A,A11,销售数据包!C:C,Base!$F$4)</f>
        <v>0</v>
      </c>
      <c r="D11" s="56">
        <f>SUMIFS(销售数据包!Q:Q,销售数据包!A:A,A11,销售数据包!C:C,Base!$F$2)+SUMIFS(销售数据包!Q:Q,销售数据包!A:A,A11,销售数据包!C:C,Base!$F$3)+SUMIFS(销售数据包!Q:Q,销售数据包!A:A,A11,销售数据包!C:C,Base!$F$4)</f>
        <v>0</v>
      </c>
      <c r="E11" s="57">
        <f t="shared" si="0"/>
        <v>0</v>
      </c>
      <c r="F11" s="57">
        <f t="shared" si="1"/>
        <v>0</v>
      </c>
      <c r="G11" s="56">
        <f>SUMIFS(销售数据包!O:O,销售数据包!A:A,A11)</f>
        <v>0</v>
      </c>
      <c r="H11" s="57">
        <f t="shared" si="2"/>
        <v>0</v>
      </c>
      <c r="I11" s="71">
        <f t="shared" si="3"/>
        <v>0</v>
      </c>
      <c r="J11" s="72" t="str">
        <f t="shared" si="4"/>
        <v>周4</v>
      </c>
      <c r="K11" s="73">
        <f>SUMIFS(广告数据包!H:H,广告数据包!A:A,A11,广告数据包!G:G,Base!$F$2)+SUMIFS(广告数据包!H:H,广告数据包!A:A,A11,广告数据包!G:G,Base!$F$3)+SUMIFS(广告数据包!H:H,广告数据包!A:A,A11,广告数据包!G:G,Base!$F$4)</f>
        <v>0</v>
      </c>
      <c r="L11" s="56">
        <f>SUMIFS(广告数据包!I:I,广告数据包!A:A,A11,广告数据包!G:G,Base!$F$2)+SUMIFS(广告数据包!I:I,广告数据包!A:A,A11,广告数据包!G:G,Base!$F$3)+SUMIFS(广告数据包!I:I,广告数据包!A:A,A11,广告数据包!G:G,Base!$F$4)</f>
        <v>0</v>
      </c>
      <c r="M11" s="57">
        <f t="shared" si="5"/>
        <v>0</v>
      </c>
      <c r="N11" s="74">
        <f t="shared" si="6"/>
        <v>0</v>
      </c>
      <c r="O11" s="75">
        <f>SUMIFS(广告数据包!P:P,广告数据包!A:A,A11,广告数据包!G:G,Base!$F$2)+SUMIFS(广告数据包!P:P,广告数据包!A:A,A11,广告数据包!G:G,Base!$F$3)+SUMIFS(广告数据包!P:P,广告数据包!A:A,A11,广告数据包!G:G,Base!$F$4)</f>
        <v>0</v>
      </c>
      <c r="P11" s="56">
        <f>SUMIFS(广告数据包!M:M,广告数据包!A:A,A11,广告数据包!G:G,Base!$F$2)+SUMIFS(广告数据包!M:M,广告数据包!A:A,A11,广告数据包!G:G,Base!$F$3)+SUMIFS(广告数据包!M:M,广告数据包!A:A,A11,广告数据包!G:G,Base!$F$4)</f>
        <v>0</v>
      </c>
      <c r="Q11" s="57">
        <f t="shared" si="7"/>
        <v>0</v>
      </c>
      <c r="R11" s="56">
        <f>SUMIFS(广告数据包!L:L,广告数据包!A:A,A11,广告数据包!G:G,Base!$F$2)+SUMIFS(广告数据包!L:L,广告数据包!A:A,A11,广告数据包!G:G,Base!$F$3)+SUMIFS(广告数据包!L:L,广告数据包!A:A,A11,广告数据包!G:G,Base!$F$4)</f>
        <v>0</v>
      </c>
      <c r="S11" s="86">
        <f t="shared" si="8"/>
        <v>0</v>
      </c>
    </row>
    <row r="12" ht="16.5" spans="1:19">
      <c r="A12" s="54">
        <v>44449</v>
      </c>
      <c r="B12" s="55">
        <f>SUMIFS(销售数据包!F:F,销售数据包!A:A,A12,销售数据包!C:C,Base!$F$2)+SUMIFS(销售数据包!F:F,销售数据包!A:A,A12,销售数据包!C:C,Base!$F$3)+SUMIFS(销售数据包!F:F,销售数据包!A:A,A12,销售数据包!C:C,Base!$F$4)</f>
        <v>0</v>
      </c>
      <c r="C12" s="56">
        <f>SUMIFS(销售数据包!K:K,销售数据包!A:A,A12,销售数据包!C:C,Base!$F$2)+SUMIFS(销售数据包!K:K,销售数据包!A:A,A12,销售数据包!C:C,Base!$F$3)+SUMIFS(销售数据包!K:K,销售数据包!A:A,A12,销售数据包!C:C,Base!$F$4)</f>
        <v>0</v>
      </c>
      <c r="D12" s="56">
        <f>SUMIFS(销售数据包!Q:Q,销售数据包!A:A,A12,销售数据包!C:C,Base!$F$2)+SUMIFS(销售数据包!Q:Q,销售数据包!A:A,A12,销售数据包!C:C,Base!$F$3)+SUMIFS(销售数据包!Q:Q,销售数据包!A:A,A12,销售数据包!C:C,Base!$F$4)</f>
        <v>0</v>
      </c>
      <c r="E12" s="57">
        <f t="shared" si="0"/>
        <v>0</v>
      </c>
      <c r="F12" s="57">
        <f t="shared" si="1"/>
        <v>0</v>
      </c>
      <c r="G12" s="56">
        <f>SUMIFS(销售数据包!O:O,销售数据包!A:A,A12)</f>
        <v>0</v>
      </c>
      <c r="H12" s="57">
        <f t="shared" si="2"/>
        <v>0</v>
      </c>
      <c r="I12" s="71">
        <f t="shared" si="3"/>
        <v>0</v>
      </c>
      <c r="J12" s="72" t="str">
        <f t="shared" si="4"/>
        <v>周5</v>
      </c>
      <c r="K12" s="73">
        <f>SUMIFS(广告数据包!H:H,广告数据包!A:A,A12,广告数据包!G:G,Base!$F$2)+SUMIFS(广告数据包!H:H,广告数据包!A:A,A12,广告数据包!G:G,Base!$F$3)+SUMIFS(广告数据包!H:H,广告数据包!A:A,A12,广告数据包!G:G,Base!$F$4)</f>
        <v>0</v>
      </c>
      <c r="L12" s="56">
        <f>SUMIFS(广告数据包!I:I,广告数据包!A:A,A12,广告数据包!G:G,Base!$F$2)+SUMIFS(广告数据包!I:I,广告数据包!A:A,A12,广告数据包!G:G,Base!$F$3)+SUMIFS(广告数据包!I:I,广告数据包!A:A,A12,广告数据包!G:G,Base!$F$4)</f>
        <v>0</v>
      </c>
      <c r="M12" s="57">
        <f t="shared" si="5"/>
        <v>0</v>
      </c>
      <c r="N12" s="74">
        <f t="shared" si="6"/>
        <v>0</v>
      </c>
      <c r="O12" s="75">
        <f>SUMIFS(广告数据包!P:P,广告数据包!A:A,A12,广告数据包!G:G,Base!$F$2)+SUMIFS(广告数据包!P:P,广告数据包!A:A,A12,广告数据包!G:G,Base!$F$3)+SUMIFS(广告数据包!P:P,广告数据包!A:A,A12,广告数据包!G:G,Base!$F$4)</f>
        <v>0</v>
      </c>
      <c r="P12" s="56">
        <f>SUMIFS(广告数据包!M:M,广告数据包!A:A,A12,广告数据包!G:G,Base!$F$2)+SUMIFS(广告数据包!M:M,广告数据包!A:A,A12,广告数据包!G:G,Base!$F$3)+SUMIFS(广告数据包!M:M,广告数据包!A:A,A12,广告数据包!G:G,Base!$F$4)</f>
        <v>0</v>
      </c>
      <c r="Q12" s="57">
        <f t="shared" si="7"/>
        <v>0</v>
      </c>
      <c r="R12" s="56">
        <f>SUMIFS(广告数据包!L:L,广告数据包!A:A,A12,广告数据包!G:G,Base!$F$2)+SUMIFS(广告数据包!L:L,广告数据包!A:A,A12,广告数据包!G:G,Base!$F$3)+SUMIFS(广告数据包!L:L,广告数据包!A:A,A12,广告数据包!G:G,Base!$F$4)</f>
        <v>0</v>
      </c>
      <c r="S12" s="86">
        <f t="shared" si="8"/>
        <v>0</v>
      </c>
    </row>
    <row r="13" ht="16.5" spans="1:19">
      <c r="A13" s="54">
        <v>44450</v>
      </c>
      <c r="B13" s="55">
        <f>SUMIFS(销售数据包!F:F,销售数据包!A:A,A13,销售数据包!C:C,Base!$F$2)+SUMIFS(销售数据包!F:F,销售数据包!A:A,A13,销售数据包!C:C,Base!$F$3)+SUMIFS(销售数据包!F:F,销售数据包!A:A,A13,销售数据包!C:C,Base!$F$4)</f>
        <v>0</v>
      </c>
      <c r="C13" s="56">
        <f>SUMIFS(销售数据包!K:K,销售数据包!A:A,A13,销售数据包!C:C,Base!$F$2)+SUMIFS(销售数据包!K:K,销售数据包!A:A,A13,销售数据包!C:C,Base!$F$3)+SUMIFS(销售数据包!K:K,销售数据包!A:A,A13,销售数据包!C:C,Base!$F$4)</f>
        <v>0</v>
      </c>
      <c r="D13" s="56">
        <f>SUMIFS(销售数据包!Q:Q,销售数据包!A:A,A13,销售数据包!C:C,Base!$F$2)+SUMIFS(销售数据包!Q:Q,销售数据包!A:A,A13,销售数据包!C:C,Base!$F$3)+SUMIFS(销售数据包!Q:Q,销售数据包!A:A,A13,销售数据包!C:C,Base!$F$4)</f>
        <v>0</v>
      </c>
      <c r="E13" s="57">
        <f t="shared" si="0"/>
        <v>0</v>
      </c>
      <c r="F13" s="57">
        <f t="shared" si="1"/>
        <v>0</v>
      </c>
      <c r="G13" s="56">
        <f>SUMIFS(销售数据包!O:O,销售数据包!A:A,A13)</f>
        <v>0</v>
      </c>
      <c r="H13" s="57">
        <f t="shared" si="2"/>
        <v>0</v>
      </c>
      <c r="I13" s="71">
        <f t="shared" si="3"/>
        <v>0</v>
      </c>
      <c r="J13" s="72" t="str">
        <f t="shared" si="4"/>
        <v>周6</v>
      </c>
      <c r="K13" s="73">
        <f>SUMIFS(广告数据包!H:H,广告数据包!A:A,A13,广告数据包!G:G,Base!$F$2)+SUMIFS(广告数据包!H:H,广告数据包!A:A,A13,广告数据包!G:G,Base!$F$3)+SUMIFS(广告数据包!H:H,广告数据包!A:A,A13,广告数据包!G:G,Base!$F$4)</f>
        <v>0</v>
      </c>
      <c r="L13" s="56">
        <f>SUMIFS(广告数据包!I:I,广告数据包!A:A,A13,广告数据包!G:G,Base!$F$2)+SUMIFS(广告数据包!I:I,广告数据包!A:A,A13,广告数据包!G:G,Base!$F$3)+SUMIFS(广告数据包!I:I,广告数据包!A:A,A13,广告数据包!G:G,Base!$F$4)</f>
        <v>0</v>
      </c>
      <c r="M13" s="57">
        <f t="shared" si="5"/>
        <v>0</v>
      </c>
      <c r="N13" s="74">
        <f t="shared" si="6"/>
        <v>0</v>
      </c>
      <c r="O13" s="75">
        <f>SUMIFS(广告数据包!P:P,广告数据包!A:A,A13,广告数据包!G:G,Base!$F$2)+SUMIFS(广告数据包!P:P,广告数据包!A:A,A13,广告数据包!G:G,Base!$F$3)+SUMIFS(广告数据包!P:P,广告数据包!A:A,A13,广告数据包!G:G,Base!$F$4)</f>
        <v>0</v>
      </c>
      <c r="P13" s="56">
        <f>SUMIFS(广告数据包!M:M,广告数据包!A:A,A13,广告数据包!G:G,Base!$F$2)+SUMIFS(广告数据包!M:M,广告数据包!A:A,A13,广告数据包!G:G,Base!$F$3)+SUMIFS(广告数据包!M:M,广告数据包!A:A,A13,广告数据包!G:G,Base!$F$4)</f>
        <v>0</v>
      </c>
      <c r="Q13" s="57">
        <f t="shared" si="7"/>
        <v>0</v>
      </c>
      <c r="R13" s="56">
        <f>SUMIFS(广告数据包!L:L,广告数据包!A:A,A13,广告数据包!G:G,Base!$F$2)+SUMIFS(广告数据包!L:L,广告数据包!A:A,A13,广告数据包!G:G,Base!$F$3)+SUMIFS(广告数据包!L:L,广告数据包!A:A,A13,广告数据包!G:G,Base!$F$4)</f>
        <v>0</v>
      </c>
      <c r="S13" s="86">
        <f t="shared" si="8"/>
        <v>0</v>
      </c>
    </row>
    <row r="14" ht="16.5" spans="1:19">
      <c r="A14" s="54">
        <v>44451</v>
      </c>
      <c r="B14" s="55">
        <f>SUMIFS(销售数据包!F:F,销售数据包!A:A,A14,销售数据包!C:C,Base!$F$2)+SUMIFS(销售数据包!F:F,销售数据包!A:A,A14,销售数据包!C:C,Base!$F$3)+SUMIFS(销售数据包!F:F,销售数据包!A:A,A14,销售数据包!C:C,Base!$F$4)</f>
        <v>0</v>
      </c>
      <c r="C14" s="56">
        <f>SUMIFS(销售数据包!K:K,销售数据包!A:A,A14,销售数据包!C:C,Base!$F$2)+SUMIFS(销售数据包!K:K,销售数据包!A:A,A14,销售数据包!C:C,Base!$F$3)+SUMIFS(销售数据包!K:K,销售数据包!A:A,A14,销售数据包!C:C,Base!$F$4)</f>
        <v>0</v>
      </c>
      <c r="D14" s="56">
        <f>SUMIFS(销售数据包!Q:Q,销售数据包!A:A,A14,销售数据包!C:C,Base!$F$2)+SUMIFS(销售数据包!Q:Q,销售数据包!A:A,A14,销售数据包!C:C,Base!$F$3)+SUMIFS(销售数据包!Q:Q,销售数据包!A:A,A14,销售数据包!C:C,Base!$F$4)</f>
        <v>0</v>
      </c>
      <c r="E14" s="57">
        <f t="shared" si="0"/>
        <v>0</v>
      </c>
      <c r="F14" s="57">
        <f t="shared" si="1"/>
        <v>0</v>
      </c>
      <c r="G14" s="56">
        <f>SUMIFS(销售数据包!O:O,销售数据包!A:A,A14)</f>
        <v>0</v>
      </c>
      <c r="H14" s="57">
        <f t="shared" si="2"/>
        <v>0</v>
      </c>
      <c r="I14" s="71">
        <f t="shared" si="3"/>
        <v>0</v>
      </c>
      <c r="J14" s="72" t="str">
        <f t="shared" si="4"/>
        <v>周7</v>
      </c>
      <c r="K14" s="73">
        <f>SUMIFS(广告数据包!H:H,广告数据包!A:A,A14,广告数据包!G:G,Base!$F$2)+SUMIFS(广告数据包!H:H,广告数据包!A:A,A14,广告数据包!G:G,Base!$F$3)+SUMIFS(广告数据包!H:H,广告数据包!A:A,A14,广告数据包!G:G,Base!$F$4)</f>
        <v>0</v>
      </c>
      <c r="L14" s="56">
        <f>SUMIFS(广告数据包!I:I,广告数据包!A:A,A14,广告数据包!G:G,Base!$F$2)+SUMIFS(广告数据包!I:I,广告数据包!A:A,A14,广告数据包!G:G,Base!$F$3)+SUMIFS(广告数据包!I:I,广告数据包!A:A,A14,广告数据包!G:G,Base!$F$4)</f>
        <v>0</v>
      </c>
      <c r="M14" s="57">
        <f t="shared" si="5"/>
        <v>0</v>
      </c>
      <c r="N14" s="74">
        <f t="shared" si="6"/>
        <v>0</v>
      </c>
      <c r="O14" s="75">
        <f>SUMIFS(广告数据包!P:P,广告数据包!A:A,A14,广告数据包!G:G,Base!$F$2)+SUMIFS(广告数据包!P:P,广告数据包!A:A,A14,广告数据包!G:G,Base!$F$3)+SUMIFS(广告数据包!P:P,广告数据包!A:A,A14,广告数据包!G:G,Base!$F$4)</f>
        <v>0</v>
      </c>
      <c r="P14" s="56">
        <f>SUMIFS(广告数据包!M:M,广告数据包!A:A,A14,广告数据包!G:G,Base!$F$2)+SUMIFS(广告数据包!M:M,广告数据包!A:A,A14,广告数据包!G:G,Base!$F$3)+SUMIFS(广告数据包!M:M,广告数据包!A:A,A14,广告数据包!G:G,Base!$F$4)</f>
        <v>0</v>
      </c>
      <c r="Q14" s="57">
        <f t="shared" si="7"/>
        <v>0</v>
      </c>
      <c r="R14" s="56">
        <f>SUMIFS(广告数据包!L:L,广告数据包!A:A,A14,广告数据包!G:G,Base!$F$2)+SUMIFS(广告数据包!L:L,广告数据包!A:A,A14,广告数据包!G:G,Base!$F$3)+SUMIFS(广告数据包!L:L,广告数据包!A:A,A14,广告数据包!G:G,Base!$F$4)</f>
        <v>0</v>
      </c>
      <c r="S14" s="86">
        <f t="shared" si="8"/>
        <v>0</v>
      </c>
    </row>
    <row r="15" ht="16.5" spans="1:19">
      <c r="A15" s="54">
        <v>44452</v>
      </c>
      <c r="B15" s="55">
        <f>SUMIFS(销售数据包!F:F,销售数据包!A:A,A15,销售数据包!C:C,Base!$F$2)+SUMIFS(销售数据包!F:F,销售数据包!A:A,A15,销售数据包!C:C,Base!$F$3)+SUMIFS(销售数据包!F:F,销售数据包!A:A,A15,销售数据包!C:C,Base!$F$4)</f>
        <v>0</v>
      </c>
      <c r="C15" s="56">
        <f>SUMIFS(销售数据包!K:K,销售数据包!A:A,A15,销售数据包!C:C,Base!$F$2)+SUMIFS(销售数据包!K:K,销售数据包!A:A,A15,销售数据包!C:C,Base!$F$3)+SUMIFS(销售数据包!K:K,销售数据包!A:A,A15,销售数据包!C:C,Base!$F$4)</f>
        <v>0</v>
      </c>
      <c r="D15" s="56">
        <f>SUMIFS(销售数据包!Q:Q,销售数据包!A:A,A15,销售数据包!C:C,Base!$F$2)+SUMIFS(销售数据包!Q:Q,销售数据包!A:A,A15,销售数据包!C:C,Base!$F$3)+SUMIFS(销售数据包!Q:Q,销售数据包!A:A,A15,销售数据包!C:C,Base!$F$4)</f>
        <v>0</v>
      </c>
      <c r="E15" s="57">
        <f t="shared" si="0"/>
        <v>0</v>
      </c>
      <c r="F15" s="57">
        <f t="shared" si="1"/>
        <v>0</v>
      </c>
      <c r="G15" s="56">
        <f>SUMIFS(销售数据包!O:O,销售数据包!A:A,A15)</f>
        <v>0</v>
      </c>
      <c r="H15" s="57">
        <f t="shared" si="2"/>
        <v>0</v>
      </c>
      <c r="I15" s="71">
        <f t="shared" si="3"/>
        <v>0</v>
      </c>
      <c r="J15" s="72" t="str">
        <f t="shared" si="4"/>
        <v>周1</v>
      </c>
      <c r="K15" s="73">
        <f>SUMIFS(广告数据包!H:H,广告数据包!A:A,A15,广告数据包!G:G,Base!$F$2)+SUMIFS(广告数据包!H:H,广告数据包!A:A,A15,广告数据包!G:G,Base!$F$3)+SUMIFS(广告数据包!H:H,广告数据包!A:A,A15,广告数据包!G:G,Base!$F$4)</f>
        <v>0</v>
      </c>
      <c r="L15" s="56">
        <f>SUMIFS(广告数据包!I:I,广告数据包!A:A,A15,广告数据包!G:G,Base!$F$2)+SUMIFS(广告数据包!I:I,广告数据包!A:A,A15,广告数据包!G:G,Base!$F$3)+SUMIFS(广告数据包!I:I,广告数据包!A:A,A15,广告数据包!G:G,Base!$F$4)</f>
        <v>0</v>
      </c>
      <c r="M15" s="57">
        <f t="shared" si="5"/>
        <v>0</v>
      </c>
      <c r="N15" s="74">
        <f t="shared" si="6"/>
        <v>0</v>
      </c>
      <c r="O15" s="75">
        <f>SUMIFS(广告数据包!P:P,广告数据包!A:A,A15,广告数据包!G:G,Base!$F$2)+SUMIFS(广告数据包!P:P,广告数据包!A:A,A15,广告数据包!G:G,Base!$F$3)+SUMIFS(广告数据包!P:P,广告数据包!A:A,A15,广告数据包!G:G,Base!$F$4)</f>
        <v>0</v>
      </c>
      <c r="P15" s="56">
        <f>SUMIFS(广告数据包!M:M,广告数据包!A:A,A15,广告数据包!G:G,Base!$F$2)+SUMIFS(广告数据包!M:M,广告数据包!A:A,A15,广告数据包!G:G,Base!$F$3)+SUMIFS(广告数据包!M:M,广告数据包!A:A,A15,广告数据包!G:G,Base!$F$4)</f>
        <v>0</v>
      </c>
      <c r="Q15" s="57">
        <f t="shared" si="7"/>
        <v>0</v>
      </c>
      <c r="R15" s="56">
        <f>SUMIFS(广告数据包!L:L,广告数据包!A:A,A15,广告数据包!G:G,Base!$F$2)+SUMIFS(广告数据包!L:L,广告数据包!A:A,A15,广告数据包!G:G,Base!$F$3)+SUMIFS(广告数据包!L:L,广告数据包!A:A,A15,广告数据包!G:G,Base!$F$4)</f>
        <v>0</v>
      </c>
      <c r="S15" s="86">
        <f t="shared" si="8"/>
        <v>0</v>
      </c>
    </row>
    <row r="16" ht="16.5" spans="1:19">
      <c r="A16" s="54">
        <v>44453</v>
      </c>
      <c r="B16" s="55">
        <f>SUMIFS(销售数据包!F:F,销售数据包!A:A,A16,销售数据包!C:C,Base!$F$2)+SUMIFS(销售数据包!F:F,销售数据包!A:A,A16,销售数据包!C:C,Base!$F$3)+SUMIFS(销售数据包!F:F,销售数据包!A:A,A16,销售数据包!C:C,Base!$F$4)</f>
        <v>0</v>
      </c>
      <c r="C16" s="56">
        <f>SUMIFS(销售数据包!K:K,销售数据包!A:A,A16,销售数据包!C:C,Base!$F$2)+SUMIFS(销售数据包!K:K,销售数据包!A:A,A16,销售数据包!C:C,Base!$F$3)+SUMIFS(销售数据包!K:K,销售数据包!A:A,A16,销售数据包!C:C,Base!$F$4)</f>
        <v>0</v>
      </c>
      <c r="D16" s="56">
        <f>SUMIFS(销售数据包!Q:Q,销售数据包!A:A,A16,销售数据包!C:C,Base!$F$2)+SUMIFS(销售数据包!Q:Q,销售数据包!A:A,A16,销售数据包!C:C,Base!$F$3)+SUMIFS(销售数据包!Q:Q,销售数据包!A:A,A16,销售数据包!C:C,Base!$F$4)</f>
        <v>0</v>
      </c>
      <c r="E16" s="57">
        <f t="shared" si="0"/>
        <v>0</v>
      </c>
      <c r="F16" s="57">
        <f t="shared" si="1"/>
        <v>0</v>
      </c>
      <c r="G16" s="56">
        <f>SUMIFS(销售数据包!O:O,销售数据包!A:A,A16)</f>
        <v>0</v>
      </c>
      <c r="H16" s="57">
        <f t="shared" si="2"/>
        <v>0</v>
      </c>
      <c r="I16" s="71">
        <f t="shared" si="3"/>
        <v>0</v>
      </c>
      <c r="J16" s="72" t="str">
        <f t="shared" si="4"/>
        <v>周2</v>
      </c>
      <c r="K16" s="73">
        <f>SUMIFS(广告数据包!H:H,广告数据包!A:A,A16,广告数据包!G:G,Base!$F$2)+SUMIFS(广告数据包!H:H,广告数据包!A:A,A16,广告数据包!G:G,Base!$F$3)+SUMIFS(广告数据包!H:H,广告数据包!A:A,A16,广告数据包!G:G,Base!$F$4)</f>
        <v>0</v>
      </c>
      <c r="L16" s="56">
        <f>SUMIFS(广告数据包!I:I,广告数据包!A:A,A16,广告数据包!G:G,Base!$F$2)+SUMIFS(广告数据包!I:I,广告数据包!A:A,A16,广告数据包!G:G,Base!$F$3)+SUMIFS(广告数据包!I:I,广告数据包!A:A,A16,广告数据包!G:G,Base!$F$4)</f>
        <v>0</v>
      </c>
      <c r="M16" s="57">
        <f t="shared" si="5"/>
        <v>0</v>
      </c>
      <c r="N16" s="74">
        <f t="shared" si="6"/>
        <v>0</v>
      </c>
      <c r="O16" s="75">
        <f>SUMIFS(广告数据包!P:P,广告数据包!A:A,A16,广告数据包!G:G,Base!$F$2)+SUMIFS(广告数据包!P:P,广告数据包!A:A,A16,广告数据包!G:G,Base!$F$3)+SUMIFS(广告数据包!P:P,广告数据包!A:A,A16,广告数据包!G:G,Base!$F$4)</f>
        <v>0</v>
      </c>
      <c r="P16" s="56">
        <f>SUMIFS(广告数据包!M:M,广告数据包!A:A,A16,广告数据包!G:G,Base!$F$2)+SUMIFS(广告数据包!M:M,广告数据包!A:A,A16,广告数据包!G:G,Base!$F$3)+SUMIFS(广告数据包!M:M,广告数据包!A:A,A16,广告数据包!G:G,Base!$F$4)</f>
        <v>0</v>
      </c>
      <c r="Q16" s="57">
        <f t="shared" si="7"/>
        <v>0</v>
      </c>
      <c r="R16" s="56">
        <f>SUMIFS(广告数据包!L:L,广告数据包!A:A,A16,广告数据包!G:G,Base!$F$2)+SUMIFS(广告数据包!L:L,广告数据包!A:A,A16,广告数据包!G:G,Base!$F$3)+SUMIFS(广告数据包!L:L,广告数据包!A:A,A16,广告数据包!G:G,Base!$F$4)</f>
        <v>0</v>
      </c>
      <c r="S16" s="86">
        <f t="shared" si="8"/>
        <v>0</v>
      </c>
    </row>
    <row r="17" ht="16.5" spans="1:19">
      <c r="A17" s="54">
        <v>44454</v>
      </c>
      <c r="B17" s="55">
        <f>SUMIFS(销售数据包!F:F,销售数据包!A:A,A17,销售数据包!C:C,Base!$F$2)+SUMIFS(销售数据包!F:F,销售数据包!A:A,A17,销售数据包!C:C,Base!$F$3)+SUMIFS(销售数据包!F:F,销售数据包!A:A,A17,销售数据包!C:C,Base!$F$4)</f>
        <v>0</v>
      </c>
      <c r="C17" s="56">
        <f>SUMIFS(销售数据包!K:K,销售数据包!A:A,A17,销售数据包!C:C,Base!$F$2)+SUMIFS(销售数据包!K:K,销售数据包!A:A,A17,销售数据包!C:C,Base!$F$3)+SUMIFS(销售数据包!K:K,销售数据包!A:A,A17,销售数据包!C:C,Base!$F$4)</f>
        <v>0</v>
      </c>
      <c r="D17" s="56">
        <f>SUMIFS(销售数据包!Q:Q,销售数据包!A:A,A17,销售数据包!C:C,Base!$F$2)+SUMIFS(销售数据包!Q:Q,销售数据包!A:A,A17,销售数据包!C:C,Base!$F$3)+SUMIFS(销售数据包!Q:Q,销售数据包!A:A,A17,销售数据包!C:C,Base!$F$4)</f>
        <v>0</v>
      </c>
      <c r="E17" s="57">
        <f t="shared" si="0"/>
        <v>0</v>
      </c>
      <c r="F17" s="57">
        <f t="shared" si="1"/>
        <v>0</v>
      </c>
      <c r="G17" s="56">
        <f>SUMIFS(销售数据包!O:O,销售数据包!A:A,A17)</f>
        <v>0</v>
      </c>
      <c r="H17" s="57">
        <f t="shared" si="2"/>
        <v>0</v>
      </c>
      <c r="I17" s="71">
        <f t="shared" si="3"/>
        <v>0</v>
      </c>
      <c r="J17" s="72" t="str">
        <f t="shared" si="4"/>
        <v>周3</v>
      </c>
      <c r="K17" s="73">
        <f>SUMIFS(广告数据包!H:H,广告数据包!A:A,A17,广告数据包!G:G,Base!$F$2)+SUMIFS(广告数据包!H:H,广告数据包!A:A,A17,广告数据包!G:G,Base!$F$3)+SUMIFS(广告数据包!H:H,广告数据包!A:A,A17,广告数据包!G:G,Base!$F$4)</f>
        <v>0</v>
      </c>
      <c r="L17" s="56">
        <f>SUMIFS(广告数据包!I:I,广告数据包!A:A,A17,广告数据包!G:G,Base!$F$2)+SUMIFS(广告数据包!I:I,广告数据包!A:A,A17,广告数据包!G:G,Base!$F$3)+SUMIFS(广告数据包!I:I,广告数据包!A:A,A17,广告数据包!G:G,Base!$F$4)</f>
        <v>0</v>
      </c>
      <c r="M17" s="57">
        <f t="shared" si="5"/>
        <v>0</v>
      </c>
      <c r="N17" s="74">
        <f t="shared" si="6"/>
        <v>0</v>
      </c>
      <c r="O17" s="75">
        <f>SUMIFS(广告数据包!P:P,广告数据包!A:A,A17,广告数据包!G:G,Base!$F$2)+SUMIFS(广告数据包!P:P,广告数据包!A:A,A17,广告数据包!G:G,Base!$F$3)+SUMIFS(广告数据包!P:P,广告数据包!A:A,A17,广告数据包!G:G,Base!$F$4)</f>
        <v>0</v>
      </c>
      <c r="P17" s="56">
        <f>SUMIFS(广告数据包!M:M,广告数据包!A:A,A17,广告数据包!G:G,Base!$F$2)+SUMIFS(广告数据包!M:M,广告数据包!A:A,A17,广告数据包!G:G,Base!$F$3)+SUMIFS(广告数据包!M:M,广告数据包!A:A,A17,广告数据包!G:G,Base!$F$4)</f>
        <v>0</v>
      </c>
      <c r="Q17" s="57">
        <f t="shared" si="7"/>
        <v>0</v>
      </c>
      <c r="R17" s="56">
        <f>SUMIFS(广告数据包!L:L,广告数据包!A:A,A17,广告数据包!G:G,Base!$F$2)+SUMIFS(广告数据包!L:L,广告数据包!A:A,A17,广告数据包!G:G,Base!$F$3)+SUMIFS(广告数据包!L:L,广告数据包!A:A,A17,广告数据包!G:G,Base!$F$4)</f>
        <v>0</v>
      </c>
      <c r="S17" s="86">
        <f t="shared" si="8"/>
        <v>0</v>
      </c>
    </row>
    <row r="18" ht="16.5" spans="1:19">
      <c r="A18" s="54">
        <v>44455</v>
      </c>
      <c r="B18" s="55">
        <f>SUMIFS(销售数据包!F:F,销售数据包!A:A,A18,销售数据包!C:C,Base!$F$2)+SUMIFS(销售数据包!F:F,销售数据包!A:A,A18,销售数据包!C:C,Base!$F$3)+SUMIFS(销售数据包!F:F,销售数据包!A:A,A18,销售数据包!C:C,Base!$F$4)</f>
        <v>0</v>
      </c>
      <c r="C18" s="56">
        <f>SUMIFS(销售数据包!K:K,销售数据包!A:A,A18,销售数据包!C:C,Base!$F$2)+SUMIFS(销售数据包!K:K,销售数据包!A:A,A18,销售数据包!C:C,Base!$F$3)+SUMIFS(销售数据包!K:K,销售数据包!A:A,A18,销售数据包!C:C,Base!$F$4)</f>
        <v>0</v>
      </c>
      <c r="D18" s="56">
        <f>SUMIFS(销售数据包!Q:Q,销售数据包!A:A,A18,销售数据包!C:C,Base!$F$2)+SUMIFS(销售数据包!Q:Q,销售数据包!A:A,A18,销售数据包!C:C,Base!$F$3)+SUMIFS(销售数据包!Q:Q,销售数据包!A:A,A18,销售数据包!C:C,Base!$F$4)</f>
        <v>0</v>
      </c>
      <c r="E18" s="57">
        <f t="shared" si="0"/>
        <v>0</v>
      </c>
      <c r="F18" s="57">
        <f t="shared" si="1"/>
        <v>0</v>
      </c>
      <c r="G18" s="56">
        <f>SUMIFS(销售数据包!O:O,销售数据包!A:A,A18)</f>
        <v>0</v>
      </c>
      <c r="H18" s="57">
        <f t="shared" si="2"/>
        <v>0</v>
      </c>
      <c r="I18" s="71">
        <f t="shared" si="3"/>
        <v>0</v>
      </c>
      <c r="J18" s="72" t="str">
        <f t="shared" si="4"/>
        <v>周4</v>
      </c>
      <c r="K18" s="73">
        <f>SUMIFS(广告数据包!H:H,广告数据包!A:A,A18,广告数据包!G:G,Base!$F$2)+SUMIFS(广告数据包!H:H,广告数据包!A:A,A18,广告数据包!G:G,Base!$F$3)+SUMIFS(广告数据包!H:H,广告数据包!A:A,A18,广告数据包!G:G,Base!$F$4)</f>
        <v>0</v>
      </c>
      <c r="L18" s="56">
        <f>SUMIFS(广告数据包!I:I,广告数据包!A:A,A18,广告数据包!G:G,Base!$F$2)+SUMIFS(广告数据包!I:I,广告数据包!A:A,A18,广告数据包!G:G,Base!$F$3)+SUMIFS(广告数据包!I:I,广告数据包!A:A,A18,广告数据包!G:G,Base!$F$4)</f>
        <v>0</v>
      </c>
      <c r="M18" s="57">
        <f t="shared" si="5"/>
        <v>0</v>
      </c>
      <c r="N18" s="74">
        <f t="shared" si="6"/>
        <v>0</v>
      </c>
      <c r="O18" s="75">
        <f>SUMIFS(广告数据包!P:P,广告数据包!A:A,A18,广告数据包!G:G,Base!$F$2)+SUMIFS(广告数据包!P:P,广告数据包!A:A,A18,广告数据包!G:G,Base!$F$3)+SUMIFS(广告数据包!P:P,广告数据包!A:A,A18,广告数据包!G:G,Base!$F$4)</f>
        <v>0</v>
      </c>
      <c r="P18" s="56">
        <f>SUMIFS(广告数据包!M:M,广告数据包!A:A,A18,广告数据包!G:G,Base!$F$2)+SUMIFS(广告数据包!M:M,广告数据包!A:A,A18,广告数据包!G:G,Base!$F$3)+SUMIFS(广告数据包!M:M,广告数据包!A:A,A18,广告数据包!G:G,Base!$F$4)</f>
        <v>0</v>
      </c>
      <c r="Q18" s="57">
        <f t="shared" si="7"/>
        <v>0</v>
      </c>
      <c r="R18" s="56">
        <f>SUMIFS(广告数据包!L:L,广告数据包!A:A,A18,广告数据包!G:G,Base!$F$2)+SUMIFS(广告数据包!L:L,广告数据包!A:A,A18,广告数据包!G:G,Base!$F$3)+SUMIFS(广告数据包!L:L,广告数据包!A:A,A18,广告数据包!G:G,Base!$F$4)</f>
        <v>0</v>
      </c>
      <c r="S18" s="86">
        <f t="shared" si="8"/>
        <v>0</v>
      </c>
    </row>
    <row r="19" ht="16.5" spans="1:19">
      <c r="A19" s="54">
        <v>44456</v>
      </c>
      <c r="B19" s="55">
        <f>SUMIFS(销售数据包!F:F,销售数据包!A:A,A19,销售数据包!C:C,Base!$F$2)+SUMIFS(销售数据包!F:F,销售数据包!A:A,A19,销售数据包!C:C,Base!$F$3)+SUMIFS(销售数据包!F:F,销售数据包!A:A,A19,销售数据包!C:C,Base!$F$4)</f>
        <v>0</v>
      </c>
      <c r="C19" s="56">
        <f>SUMIFS(销售数据包!K:K,销售数据包!A:A,A19,销售数据包!C:C,Base!$F$2)+SUMIFS(销售数据包!K:K,销售数据包!A:A,A19,销售数据包!C:C,Base!$F$3)+SUMIFS(销售数据包!K:K,销售数据包!A:A,A19,销售数据包!C:C,Base!$F$4)</f>
        <v>0</v>
      </c>
      <c r="D19" s="56">
        <f>SUMIFS(销售数据包!Q:Q,销售数据包!A:A,A19,销售数据包!C:C,Base!$F$2)+SUMIFS(销售数据包!Q:Q,销售数据包!A:A,A19,销售数据包!C:C,Base!$F$3)+SUMIFS(销售数据包!Q:Q,销售数据包!A:A,A19,销售数据包!C:C,Base!$F$4)</f>
        <v>0</v>
      </c>
      <c r="E19" s="57">
        <f t="shared" si="0"/>
        <v>0</v>
      </c>
      <c r="F19" s="57">
        <f t="shared" si="1"/>
        <v>0</v>
      </c>
      <c r="G19" s="56">
        <f>SUMIFS(销售数据包!O:O,销售数据包!A:A,A19)</f>
        <v>0</v>
      </c>
      <c r="H19" s="57">
        <f t="shared" si="2"/>
        <v>0</v>
      </c>
      <c r="I19" s="71">
        <f t="shared" si="3"/>
        <v>0</v>
      </c>
      <c r="J19" s="72" t="str">
        <f t="shared" si="4"/>
        <v>周5</v>
      </c>
      <c r="K19" s="73">
        <f>SUMIFS(广告数据包!H:H,广告数据包!A:A,A19,广告数据包!G:G,Base!$F$2)+SUMIFS(广告数据包!H:H,广告数据包!A:A,A19,广告数据包!G:G,Base!$F$3)+SUMIFS(广告数据包!H:H,广告数据包!A:A,A19,广告数据包!G:G,Base!$F$4)</f>
        <v>0</v>
      </c>
      <c r="L19" s="56">
        <f>SUMIFS(广告数据包!I:I,广告数据包!A:A,A19,广告数据包!G:G,Base!$F$2)+SUMIFS(广告数据包!I:I,广告数据包!A:A,A19,广告数据包!G:G,Base!$F$3)+SUMIFS(广告数据包!I:I,广告数据包!A:A,A19,广告数据包!G:G,Base!$F$4)</f>
        <v>0</v>
      </c>
      <c r="M19" s="57">
        <f t="shared" si="5"/>
        <v>0</v>
      </c>
      <c r="N19" s="74">
        <f t="shared" si="6"/>
        <v>0</v>
      </c>
      <c r="O19" s="75">
        <f>SUMIFS(广告数据包!P:P,广告数据包!A:A,A19,广告数据包!G:G,Base!$F$2)+SUMIFS(广告数据包!P:P,广告数据包!A:A,A19,广告数据包!G:G,Base!$F$3)+SUMIFS(广告数据包!P:P,广告数据包!A:A,A19,广告数据包!G:G,Base!$F$4)</f>
        <v>0</v>
      </c>
      <c r="P19" s="56">
        <f>SUMIFS(广告数据包!M:M,广告数据包!A:A,A19,广告数据包!G:G,Base!$F$2)+SUMIFS(广告数据包!M:M,广告数据包!A:A,A19,广告数据包!G:G,Base!$F$3)+SUMIFS(广告数据包!M:M,广告数据包!A:A,A19,广告数据包!G:G,Base!$F$4)</f>
        <v>0</v>
      </c>
      <c r="Q19" s="57">
        <f t="shared" si="7"/>
        <v>0</v>
      </c>
      <c r="R19" s="56">
        <f>SUMIFS(广告数据包!L:L,广告数据包!A:A,A19,广告数据包!G:G,Base!$F$2)+SUMIFS(广告数据包!L:L,广告数据包!A:A,A19,广告数据包!G:G,Base!$F$3)+SUMIFS(广告数据包!L:L,广告数据包!A:A,A19,广告数据包!G:G,Base!$F$4)</f>
        <v>0</v>
      </c>
      <c r="S19" s="86">
        <f t="shared" si="8"/>
        <v>0</v>
      </c>
    </row>
    <row r="20" ht="16.5" spans="1:19">
      <c r="A20" s="54">
        <v>44457</v>
      </c>
      <c r="B20" s="55">
        <f>SUMIFS(销售数据包!F:F,销售数据包!A:A,A20,销售数据包!C:C,Base!$F$2)+SUMIFS(销售数据包!F:F,销售数据包!A:A,A20,销售数据包!C:C,Base!$F$3)+SUMIFS(销售数据包!F:F,销售数据包!A:A,A20,销售数据包!C:C,Base!$F$4)</f>
        <v>0</v>
      </c>
      <c r="C20" s="56">
        <f>SUMIFS(销售数据包!K:K,销售数据包!A:A,A20,销售数据包!C:C,Base!$F$2)+SUMIFS(销售数据包!K:K,销售数据包!A:A,A20,销售数据包!C:C,Base!$F$3)+SUMIFS(销售数据包!K:K,销售数据包!A:A,A20,销售数据包!C:C,Base!$F$4)</f>
        <v>0</v>
      </c>
      <c r="D20" s="56">
        <f>SUMIFS(销售数据包!Q:Q,销售数据包!A:A,A20,销售数据包!C:C,Base!$F$2)+SUMIFS(销售数据包!Q:Q,销售数据包!A:A,A20,销售数据包!C:C,Base!$F$3)+SUMIFS(销售数据包!Q:Q,销售数据包!A:A,A20,销售数据包!C:C,Base!$F$4)</f>
        <v>0</v>
      </c>
      <c r="E20" s="57">
        <f t="shared" si="0"/>
        <v>0</v>
      </c>
      <c r="F20" s="57">
        <f t="shared" si="1"/>
        <v>0</v>
      </c>
      <c r="G20" s="56">
        <f>SUMIFS(销售数据包!O:O,销售数据包!A:A,A20)</f>
        <v>0</v>
      </c>
      <c r="H20" s="57">
        <f t="shared" si="2"/>
        <v>0</v>
      </c>
      <c r="I20" s="71">
        <f t="shared" si="3"/>
        <v>0</v>
      </c>
      <c r="J20" s="72" t="str">
        <f t="shared" si="4"/>
        <v>周6</v>
      </c>
      <c r="K20" s="73">
        <f>SUMIFS(广告数据包!H:H,广告数据包!A:A,A20,广告数据包!G:G,Base!$F$2)+SUMIFS(广告数据包!H:H,广告数据包!A:A,A20,广告数据包!G:G,Base!$F$3)+SUMIFS(广告数据包!H:H,广告数据包!A:A,A20,广告数据包!G:G,Base!$F$4)</f>
        <v>0</v>
      </c>
      <c r="L20" s="56">
        <f>SUMIFS(广告数据包!I:I,广告数据包!A:A,A20,广告数据包!G:G,Base!$F$2)+SUMIFS(广告数据包!I:I,广告数据包!A:A,A20,广告数据包!G:G,Base!$F$3)+SUMIFS(广告数据包!I:I,广告数据包!A:A,A20,广告数据包!G:G,Base!$F$4)</f>
        <v>0</v>
      </c>
      <c r="M20" s="57">
        <f t="shared" si="5"/>
        <v>0</v>
      </c>
      <c r="N20" s="74">
        <f t="shared" si="6"/>
        <v>0</v>
      </c>
      <c r="O20" s="75">
        <f>SUMIFS(广告数据包!P:P,广告数据包!A:A,A20,广告数据包!G:G,Base!$F$2)+SUMIFS(广告数据包!P:P,广告数据包!A:A,A20,广告数据包!G:G,Base!$F$3)+SUMIFS(广告数据包!P:P,广告数据包!A:A,A20,广告数据包!G:G,Base!$F$4)</f>
        <v>0</v>
      </c>
      <c r="P20" s="56">
        <f>SUMIFS(广告数据包!M:M,广告数据包!A:A,A20,广告数据包!G:G,Base!$F$2)+SUMIFS(广告数据包!M:M,广告数据包!A:A,A20,广告数据包!G:G,Base!$F$3)+SUMIFS(广告数据包!M:M,广告数据包!A:A,A20,广告数据包!G:G,Base!$F$4)</f>
        <v>0</v>
      </c>
      <c r="Q20" s="57">
        <f t="shared" si="7"/>
        <v>0</v>
      </c>
      <c r="R20" s="56">
        <f>SUMIFS(广告数据包!L:L,广告数据包!A:A,A20,广告数据包!G:G,Base!$F$2)+SUMIFS(广告数据包!L:L,广告数据包!A:A,A20,广告数据包!G:G,Base!$F$3)+SUMIFS(广告数据包!L:L,广告数据包!A:A,A20,广告数据包!G:G,Base!$F$4)</f>
        <v>0</v>
      </c>
      <c r="S20" s="86">
        <f t="shared" si="8"/>
        <v>0</v>
      </c>
    </row>
    <row r="21" ht="16.5" spans="1:19">
      <c r="A21" s="54">
        <v>44458</v>
      </c>
      <c r="B21" s="55">
        <f>SUMIFS(销售数据包!F:F,销售数据包!A:A,A21,销售数据包!C:C,Base!$F$2)+SUMIFS(销售数据包!F:F,销售数据包!A:A,A21,销售数据包!C:C,Base!$F$3)+SUMIFS(销售数据包!F:F,销售数据包!A:A,A21,销售数据包!C:C,Base!$F$4)</f>
        <v>0</v>
      </c>
      <c r="C21" s="56">
        <f>SUMIFS(销售数据包!K:K,销售数据包!A:A,A21,销售数据包!C:C,Base!$F$2)+SUMIFS(销售数据包!K:K,销售数据包!A:A,A21,销售数据包!C:C,Base!$F$3)+SUMIFS(销售数据包!K:K,销售数据包!A:A,A21,销售数据包!C:C,Base!$F$4)</f>
        <v>0</v>
      </c>
      <c r="D21" s="56">
        <f>SUMIFS(销售数据包!Q:Q,销售数据包!A:A,A21,销售数据包!C:C,Base!$F$2)+SUMIFS(销售数据包!Q:Q,销售数据包!A:A,A21,销售数据包!C:C,Base!$F$3)+SUMIFS(销售数据包!Q:Q,销售数据包!A:A,A21,销售数据包!C:C,Base!$F$4)</f>
        <v>0</v>
      </c>
      <c r="E21" s="57">
        <f t="shared" si="0"/>
        <v>0</v>
      </c>
      <c r="F21" s="57">
        <f t="shared" si="1"/>
        <v>0</v>
      </c>
      <c r="G21" s="56">
        <f>SUMIFS(销售数据包!O:O,销售数据包!A:A,A21)</f>
        <v>0</v>
      </c>
      <c r="H21" s="57">
        <f t="shared" si="2"/>
        <v>0</v>
      </c>
      <c r="I21" s="71">
        <f t="shared" si="3"/>
        <v>0</v>
      </c>
      <c r="J21" s="72" t="str">
        <f t="shared" si="4"/>
        <v>周7</v>
      </c>
      <c r="K21" s="73">
        <f>SUMIFS(广告数据包!H:H,广告数据包!A:A,A21,广告数据包!G:G,Base!$F$2)+SUMIFS(广告数据包!H:H,广告数据包!A:A,A21,广告数据包!G:G,Base!$F$3)+SUMIFS(广告数据包!H:H,广告数据包!A:A,A21,广告数据包!G:G,Base!$F$4)</f>
        <v>0</v>
      </c>
      <c r="L21" s="56">
        <f>SUMIFS(广告数据包!I:I,广告数据包!A:A,A21,广告数据包!G:G,Base!$F$2)+SUMIFS(广告数据包!I:I,广告数据包!A:A,A21,广告数据包!G:G,Base!$F$3)+SUMIFS(广告数据包!I:I,广告数据包!A:A,A21,广告数据包!G:G,Base!$F$4)</f>
        <v>0</v>
      </c>
      <c r="M21" s="57">
        <f t="shared" si="5"/>
        <v>0</v>
      </c>
      <c r="N21" s="74">
        <f t="shared" si="6"/>
        <v>0</v>
      </c>
      <c r="O21" s="75">
        <f>SUMIFS(广告数据包!P:P,广告数据包!A:A,A21,广告数据包!G:G,Base!$F$2)+SUMIFS(广告数据包!P:P,广告数据包!A:A,A21,广告数据包!G:G,Base!$F$3)+SUMIFS(广告数据包!P:P,广告数据包!A:A,A21,广告数据包!G:G,Base!$F$4)</f>
        <v>0</v>
      </c>
      <c r="P21" s="56">
        <f>SUMIFS(广告数据包!M:M,广告数据包!A:A,A21,广告数据包!G:G,Base!$F$2)+SUMIFS(广告数据包!M:M,广告数据包!A:A,A21,广告数据包!G:G,Base!$F$3)+SUMIFS(广告数据包!M:M,广告数据包!A:A,A21,广告数据包!G:G,Base!$F$4)</f>
        <v>0</v>
      </c>
      <c r="Q21" s="57">
        <f t="shared" si="7"/>
        <v>0</v>
      </c>
      <c r="R21" s="56">
        <f>SUMIFS(广告数据包!L:L,广告数据包!A:A,A21,广告数据包!G:G,Base!$F$2)+SUMIFS(广告数据包!L:L,广告数据包!A:A,A21,广告数据包!G:G,Base!$F$3)+SUMIFS(广告数据包!L:L,广告数据包!A:A,A21,广告数据包!G:G,Base!$F$4)</f>
        <v>0</v>
      </c>
      <c r="S21" s="86">
        <f t="shared" si="8"/>
        <v>0</v>
      </c>
    </row>
    <row r="22" ht="16.5" spans="1:19">
      <c r="A22" s="54">
        <v>44459</v>
      </c>
      <c r="B22" s="55">
        <f>SUMIFS(销售数据包!F:F,销售数据包!A:A,A22,销售数据包!C:C,Base!$F$2)+SUMIFS(销售数据包!F:F,销售数据包!A:A,A22,销售数据包!C:C,Base!$F$3)+SUMIFS(销售数据包!F:F,销售数据包!A:A,A22,销售数据包!C:C,Base!$F$4)</f>
        <v>0</v>
      </c>
      <c r="C22" s="56">
        <f>SUMIFS(销售数据包!K:K,销售数据包!A:A,A22,销售数据包!C:C,Base!$F$2)+SUMIFS(销售数据包!K:K,销售数据包!A:A,A22,销售数据包!C:C,Base!$F$3)+SUMIFS(销售数据包!K:K,销售数据包!A:A,A22,销售数据包!C:C,Base!$F$4)</f>
        <v>0</v>
      </c>
      <c r="D22" s="56">
        <f>SUMIFS(销售数据包!Q:Q,销售数据包!A:A,A22,销售数据包!C:C,Base!$F$2)+SUMIFS(销售数据包!Q:Q,销售数据包!A:A,A22,销售数据包!C:C,Base!$F$3)+SUMIFS(销售数据包!Q:Q,销售数据包!A:A,A22,销售数据包!C:C,Base!$F$4)</f>
        <v>0</v>
      </c>
      <c r="E22" s="57">
        <f t="shared" si="0"/>
        <v>0</v>
      </c>
      <c r="F22" s="57">
        <f t="shared" si="1"/>
        <v>0</v>
      </c>
      <c r="G22" s="56">
        <f>SUMIFS(销售数据包!O:O,销售数据包!A:A,A22)</f>
        <v>0</v>
      </c>
      <c r="H22" s="57">
        <f t="shared" si="2"/>
        <v>0</v>
      </c>
      <c r="I22" s="71">
        <f t="shared" si="3"/>
        <v>0</v>
      </c>
      <c r="J22" s="72" t="str">
        <f t="shared" si="4"/>
        <v>周1</v>
      </c>
      <c r="K22" s="73">
        <f>SUMIFS(广告数据包!H:H,广告数据包!A:A,A22,广告数据包!G:G,Base!$F$2)+SUMIFS(广告数据包!H:H,广告数据包!A:A,A22,广告数据包!G:G,Base!$F$3)+SUMIFS(广告数据包!H:H,广告数据包!A:A,A22,广告数据包!G:G,Base!$F$4)</f>
        <v>0</v>
      </c>
      <c r="L22" s="56">
        <f>SUMIFS(广告数据包!I:I,广告数据包!A:A,A22,广告数据包!G:G,Base!$F$2)+SUMIFS(广告数据包!I:I,广告数据包!A:A,A22,广告数据包!G:G,Base!$F$3)+SUMIFS(广告数据包!I:I,广告数据包!A:A,A22,广告数据包!G:G,Base!$F$4)</f>
        <v>0</v>
      </c>
      <c r="M22" s="57">
        <f t="shared" si="5"/>
        <v>0</v>
      </c>
      <c r="N22" s="74">
        <f t="shared" si="6"/>
        <v>0</v>
      </c>
      <c r="O22" s="75">
        <f>SUMIFS(广告数据包!P:P,广告数据包!A:A,A22,广告数据包!G:G,Base!$F$2)+SUMIFS(广告数据包!P:P,广告数据包!A:A,A22,广告数据包!G:G,Base!$F$3)+SUMIFS(广告数据包!P:P,广告数据包!A:A,A22,广告数据包!G:G,Base!$F$4)</f>
        <v>0</v>
      </c>
      <c r="P22" s="56">
        <f>SUMIFS(广告数据包!M:M,广告数据包!A:A,A22,广告数据包!G:G,Base!$F$2)+SUMIFS(广告数据包!M:M,广告数据包!A:A,A22,广告数据包!G:G,Base!$F$3)+SUMIFS(广告数据包!M:M,广告数据包!A:A,A22,广告数据包!G:G,Base!$F$4)</f>
        <v>0</v>
      </c>
      <c r="Q22" s="57">
        <f t="shared" si="7"/>
        <v>0</v>
      </c>
      <c r="R22" s="56">
        <f>SUMIFS(广告数据包!L:L,广告数据包!A:A,A22,广告数据包!G:G,Base!$F$2)+SUMIFS(广告数据包!L:L,广告数据包!A:A,A22,广告数据包!G:G,Base!$F$3)+SUMIFS(广告数据包!L:L,广告数据包!A:A,A22,广告数据包!G:G,Base!$F$4)</f>
        <v>0</v>
      </c>
      <c r="S22" s="86">
        <f t="shared" si="8"/>
        <v>0</v>
      </c>
    </row>
    <row r="23" ht="16.5" spans="1:19">
      <c r="A23" s="54">
        <v>44460</v>
      </c>
      <c r="B23" s="55">
        <f>SUMIFS(销售数据包!F:F,销售数据包!A:A,A23,销售数据包!C:C,Base!$F$2)+SUMIFS(销售数据包!F:F,销售数据包!A:A,A23,销售数据包!C:C,Base!$F$3)+SUMIFS(销售数据包!F:F,销售数据包!A:A,A23,销售数据包!C:C,Base!$F$4)</f>
        <v>0</v>
      </c>
      <c r="C23" s="56">
        <f>SUMIFS(销售数据包!K:K,销售数据包!A:A,A23,销售数据包!C:C,Base!$F$2)+SUMIFS(销售数据包!K:K,销售数据包!A:A,A23,销售数据包!C:C,Base!$F$3)+SUMIFS(销售数据包!K:K,销售数据包!A:A,A23,销售数据包!C:C,Base!$F$4)</f>
        <v>0</v>
      </c>
      <c r="D23" s="56">
        <f>SUMIFS(销售数据包!Q:Q,销售数据包!A:A,A23,销售数据包!C:C,Base!$F$2)+SUMIFS(销售数据包!Q:Q,销售数据包!A:A,A23,销售数据包!C:C,Base!$F$3)+SUMIFS(销售数据包!Q:Q,销售数据包!A:A,A23,销售数据包!C:C,Base!$F$4)</f>
        <v>0</v>
      </c>
      <c r="E23" s="57">
        <f t="shared" si="0"/>
        <v>0</v>
      </c>
      <c r="F23" s="57">
        <f t="shared" si="1"/>
        <v>0</v>
      </c>
      <c r="G23" s="56">
        <f>SUMIFS(销售数据包!O:O,销售数据包!A:A,A23)</f>
        <v>0</v>
      </c>
      <c r="H23" s="57">
        <f t="shared" si="2"/>
        <v>0</v>
      </c>
      <c r="I23" s="71">
        <f t="shared" si="3"/>
        <v>0</v>
      </c>
      <c r="J23" s="72" t="str">
        <f t="shared" si="4"/>
        <v>周2</v>
      </c>
      <c r="K23" s="73">
        <f>SUMIFS(广告数据包!H:H,广告数据包!A:A,A23,广告数据包!G:G,Base!$F$2)+SUMIFS(广告数据包!H:H,广告数据包!A:A,A23,广告数据包!G:G,Base!$F$3)+SUMIFS(广告数据包!H:H,广告数据包!A:A,A23,广告数据包!G:G,Base!$F$4)</f>
        <v>0</v>
      </c>
      <c r="L23" s="56">
        <f>SUMIFS(广告数据包!I:I,广告数据包!A:A,A23,广告数据包!G:G,Base!$F$2)+SUMIFS(广告数据包!I:I,广告数据包!A:A,A23,广告数据包!G:G,Base!$F$3)+SUMIFS(广告数据包!I:I,广告数据包!A:A,A23,广告数据包!G:G,Base!$F$4)</f>
        <v>0</v>
      </c>
      <c r="M23" s="57">
        <f t="shared" si="5"/>
        <v>0</v>
      </c>
      <c r="N23" s="74">
        <f t="shared" si="6"/>
        <v>0</v>
      </c>
      <c r="O23" s="75">
        <f>SUMIFS(广告数据包!P:P,广告数据包!A:A,A23,广告数据包!G:G,Base!$F$2)+SUMIFS(广告数据包!P:P,广告数据包!A:A,A23,广告数据包!G:G,Base!$F$3)+SUMIFS(广告数据包!P:P,广告数据包!A:A,A23,广告数据包!G:G,Base!$F$4)</f>
        <v>0</v>
      </c>
      <c r="P23" s="56">
        <f>SUMIFS(广告数据包!M:M,广告数据包!A:A,A23,广告数据包!G:G,Base!$F$2)+SUMIFS(广告数据包!M:M,广告数据包!A:A,A23,广告数据包!G:G,Base!$F$3)+SUMIFS(广告数据包!M:M,广告数据包!A:A,A23,广告数据包!G:G,Base!$F$4)</f>
        <v>0</v>
      </c>
      <c r="Q23" s="57">
        <f t="shared" si="7"/>
        <v>0</v>
      </c>
      <c r="R23" s="56">
        <f>SUMIFS(广告数据包!L:L,广告数据包!A:A,A23,广告数据包!G:G,Base!$F$2)+SUMIFS(广告数据包!L:L,广告数据包!A:A,A23,广告数据包!G:G,Base!$F$3)+SUMIFS(广告数据包!L:L,广告数据包!A:A,A23,广告数据包!G:G,Base!$F$4)</f>
        <v>0</v>
      </c>
      <c r="S23" s="86">
        <f t="shared" si="8"/>
        <v>0</v>
      </c>
    </row>
    <row r="24" ht="16.5" spans="1:19">
      <c r="A24" s="54">
        <v>44461</v>
      </c>
      <c r="B24" s="55">
        <f>SUMIFS(销售数据包!F:F,销售数据包!A:A,A24,销售数据包!C:C,Base!$F$2)+SUMIFS(销售数据包!F:F,销售数据包!A:A,A24,销售数据包!C:C,Base!$F$3)+SUMIFS(销售数据包!F:F,销售数据包!A:A,A24,销售数据包!C:C,Base!$F$4)</f>
        <v>0</v>
      </c>
      <c r="C24" s="56">
        <f>SUMIFS(销售数据包!K:K,销售数据包!A:A,A24,销售数据包!C:C,Base!$F$2)+SUMIFS(销售数据包!K:K,销售数据包!A:A,A24,销售数据包!C:C,Base!$F$3)+SUMIFS(销售数据包!K:K,销售数据包!A:A,A24,销售数据包!C:C,Base!$F$4)</f>
        <v>0</v>
      </c>
      <c r="D24" s="56">
        <f>SUMIFS(销售数据包!Q:Q,销售数据包!A:A,A24,销售数据包!C:C,Base!$F$2)+SUMIFS(销售数据包!Q:Q,销售数据包!A:A,A24,销售数据包!C:C,Base!$F$3)+SUMIFS(销售数据包!Q:Q,销售数据包!A:A,A24,销售数据包!C:C,Base!$F$4)</f>
        <v>0</v>
      </c>
      <c r="E24" s="57">
        <f t="shared" si="0"/>
        <v>0</v>
      </c>
      <c r="F24" s="57">
        <f t="shared" si="1"/>
        <v>0</v>
      </c>
      <c r="G24" s="56">
        <f>SUMIFS(销售数据包!O:O,销售数据包!A:A,A24)</f>
        <v>0</v>
      </c>
      <c r="H24" s="57">
        <f t="shared" si="2"/>
        <v>0</v>
      </c>
      <c r="I24" s="71">
        <f t="shared" si="3"/>
        <v>0</v>
      </c>
      <c r="J24" s="72" t="str">
        <f t="shared" si="4"/>
        <v>周3</v>
      </c>
      <c r="K24" s="73">
        <f>SUMIFS(广告数据包!H:H,广告数据包!A:A,A24,广告数据包!G:G,Base!$F$2)+SUMIFS(广告数据包!H:H,广告数据包!A:A,A24,广告数据包!G:G,Base!$F$3)+SUMIFS(广告数据包!H:H,广告数据包!A:A,A24,广告数据包!G:G,Base!$F$4)</f>
        <v>0</v>
      </c>
      <c r="L24" s="56">
        <f>SUMIFS(广告数据包!I:I,广告数据包!A:A,A24,广告数据包!G:G,Base!$F$2)+SUMIFS(广告数据包!I:I,广告数据包!A:A,A24,广告数据包!G:G,Base!$F$3)+SUMIFS(广告数据包!I:I,广告数据包!A:A,A24,广告数据包!G:G,Base!$F$4)</f>
        <v>0</v>
      </c>
      <c r="M24" s="57">
        <f t="shared" si="5"/>
        <v>0</v>
      </c>
      <c r="N24" s="74">
        <f t="shared" si="6"/>
        <v>0</v>
      </c>
      <c r="O24" s="75">
        <f>SUMIFS(广告数据包!P:P,广告数据包!A:A,A24,广告数据包!G:G,Base!$F$2)+SUMIFS(广告数据包!P:P,广告数据包!A:A,A24,广告数据包!G:G,Base!$F$3)+SUMIFS(广告数据包!P:P,广告数据包!A:A,A24,广告数据包!G:G,Base!$F$4)</f>
        <v>0</v>
      </c>
      <c r="P24" s="56">
        <f>SUMIFS(广告数据包!M:M,广告数据包!A:A,A24,广告数据包!G:G,Base!$F$2)+SUMIFS(广告数据包!M:M,广告数据包!A:A,A24,广告数据包!G:G,Base!$F$3)+SUMIFS(广告数据包!M:M,广告数据包!A:A,A24,广告数据包!G:G,Base!$F$4)</f>
        <v>0</v>
      </c>
      <c r="Q24" s="57">
        <f t="shared" si="7"/>
        <v>0</v>
      </c>
      <c r="R24" s="56">
        <f>SUMIFS(广告数据包!L:L,广告数据包!A:A,A24,广告数据包!G:G,Base!$F$2)+SUMIFS(广告数据包!L:L,广告数据包!A:A,A24,广告数据包!G:G,Base!$F$3)+SUMIFS(广告数据包!L:L,广告数据包!A:A,A24,广告数据包!G:G,Base!$F$4)</f>
        <v>0</v>
      </c>
      <c r="S24" s="86">
        <f t="shared" si="8"/>
        <v>0</v>
      </c>
    </row>
    <row r="25" ht="16.5" spans="1:19">
      <c r="A25" s="54">
        <v>44462</v>
      </c>
      <c r="B25" s="55">
        <f>SUMIFS(销售数据包!F:F,销售数据包!A:A,A25,销售数据包!C:C,Base!$F$2)+SUMIFS(销售数据包!F:F,销售数据包!A:A,A25,销售数据包!C:C,Base!$F$3)+SUMIFS(销售数据包!F:F,销售数据包!A:A,A25,销售数据包!C:C,Base!$F$4)</f>
        <v>0</v>
      </c>
      <c r="C25" s="56">
        <f>SUMIFS(销售数据包!K:K,销售数据包!A:A,A25,销售数据包!C:C,Base!$F$2)+SUMIFS(销售数据包!K:K,销售数据包!A:A,A25,销售数据包!C:C,Base!$F$3)+SUMIFS(销售数据包!K:K,销售数据包!A:A,A25,销售数据包!C:C,Base!$F$4)</f>
        <v>0</v>
      </c>
      <c r="D25" s="56">
        <f>SUMIFS(销售数据包!Q:Q,销售数据包!A:A,A25,销售数据包!C:C,Base!$F$2)+SUMIFS(销售数据包!Q:Q,销售数据包!A:A,A25,销售数据包!C:C,Base!$F$3)+SUMIFS(销售数据包!Q:Q,销售数据包!A:A,A25,销售数据包!C:C,Base!$F$4)</f>
        <v>0</v>
      </c>
      <c r="E25" s="57">
        <f t="shared" si="0"/>
        <v>0</v>
      </c>
      <c r="F25" s="57">
        <f t="shared" si="1"/>
        <v>0</v>
      </c>
      <c r="G25" s="56">
        <f>SUMIFS(销售数据包!O:O,销售数据包!A:A,A25)</f>
        <v>0</v>
      </c>
      <c r="H25" s="57">
        <f t="shared" si="2"/>
        <v>0</v>
      </c>
      <c r="I25" s="71">
        <f t="shared" si="3"/>
        <v>0</v>
      </c>
      <c r="J25" s="72" t="str">
        <f t="shared" si="4"/>
        <v>周4</v>
      </c>
      <c r="K25" s="73">
        <f>SUMIFS(广告数据包!H:H,广告数据包!A:A,A25,广告数据包!G:G,Base!$F$2)+SUMIFS(广告数据包!H:H,广告数据包!A:A,A25,广告数据包!G:G,Base!$F$3)+SUMIFS(广告数据包!H:H,广告数据包!A:A,A25,广告数据包!G:G,Base!$F$4)</f>
        <v>0</v>
      </c>
      <c r="L25" s="56">
        <f>SUMIFS(广告数据包!I:I,广告数据包!A:A,A25,广告数据包!G:G,Base!$F$2)+SUMIFS(广告数据包!I:I,广告数据包!A:A,A25,广告数据包!G:G,Base!$F$3)+SUMIFS(广告数据包!I:I,广告数据包!A:A,A25,广告数据包!G:G,Base!$F$4)</f>
        <v>0</v>
      </c>
      <c r="M25" s="57">
        <f t="shared" si="5"/>
        <v>0</v>
      </c>
      <c r="N25" s="74">
        <f t="shared" si="6"/>
        <v>0</v>
      </c>
      <c r="O25" s="75">
        <f>SUMIFS(广告数据包!P:P,广告数据包!A:A,A25,广告数据包!G:G,Base!$F$2)+SUMIFS(广告数据包!P:P,广告数据包!A:A,A25,广告数据包!G:G,Base!$F$3)+SUMIFS(广告数据包!P:P,广告数据包!A:A,A25,广告数据包!G:G,Base!$F$4)</f>
        <v>0</v>
      </c>
      <c r="P25" s="56">
        <f>SUMIFS(广告数据包!M:M,广告数据包!A:A,A25,广告数据包!G:G,Base!$F$2)+SUMIFS(广告数据包!M:M,广告数据包!A:A,A25,广告数据包!G:G,Base!$F$3)+SUMIFS(广告数据包!M:M,广告数据包!A:A,A25,广告数据包!G:G,Base!$F$4)</f>
        <v>0</v>
      </c>
      <c r="Q25" s="57">
        <f t="shared" si="7"/>
        <v>0</v>
      </c>
      <c r="R25" s="56">
        <f>SUMIFS(广告数据包!L:L,广告数据包!A:A,A25,广告数据包!G:G,Base!$F$2)+SUMIFS(广告数据包!L:L,广告数据包!A:A,A25,广告数据包!G:G,Base!$F$3)+SUMIFS(广告数据包!L:L,广告数据包!A:A,A25,广告数据包!G:G,Base!$F$4)</f>
        <v>0</v>
      </c>
      <c r="S25" s="86">
        <f t="shared" si="8"/>
        <v>0</v>
      </c>
    </row>
    <row r="26" ht="16.5" spans="1:19">
      <c r="A26" s="54">
        <v>44463</v>
      </c>
      <c r="B26" s="55">
        <f>SUMIFS(销售数据包!F:F,销售数据包!A:A,A26,销售数据包!C:C,Base!$F$2)+SUMIFS(销售数据包!F:F,销售数据包!A:A,A26,销售数据包!C:C,Base!$F$3)+SUMIFS(销售数据包!F:F,销售数据包!A:A,A26,销售数据包!C:C,Base!$F$4)</f>
        <v>0</v>
      </c>
      <c r="C26" s="56">
        <f>SUMIFS(销售数据包!K:K,销售数据包!A:A,A26,销售数据包!C:C,Base!$F$2)+SUMIFS(销售数据包!K:K,销售数据包!A:A,A26,销售数据包!C:C,Base!$F$3)+SUMIFS(销售数据包!K:K,销售数据包!A:A,A26,销售数据包!C:C,Base!$F$4)</f>
        <v>0</v>
      </c>
      <c r="D26" s="56">
        <f>SUMIFS(销售数据包!Q:Q,销售数据包!A:A,A26,销售数据包!C:C,Base!$F$2)+SUMIFS(销售数据包!Q:Q,销售数据包!A:A,A26,销售数据包!C:C,Base!$F$3)+SUMIFS(销售数据包!Q:Q,销售数据包!A:A,A26,销售数据包!C:C,Base!$F$4)</f>
        <v>0</v>
      </c>
      <c r="E26" s="57">
        <f t="shared" si="0"/>
        <v>0</v>
      </c>
      <c r="F26" s="57">
        <f t="shared" si="1"/>
        <v>0</v>
      </c>
      <c r="G26" s="56">
        <f>SUMIFS(销售数据包!O:O,销售数据包!A:A,A26)</f>
        <v>0</v>
      </c>
      <c r="H26" s="57">
        <f t="shared" si="2"/>
        <v>0</v>
      </c>
      <c r="I26" s="71">
        <f t="shared" si="3"/>
        <v>0</v>
      </c>
      <c r="J26" s="72" t="str">
        <f t="shared" si="4"/>
        <v>周5</v>
      </c>
      <c r="K26" s="73">
        <f>SUMIFS(广告数据包!H:H,广告数据包!A:A,A26,广告数据包!G:G,Base!$F$2)+SUMIFS(广告数据包!H:H,广告数据包!A:A,A26,广告数据包!G:G,Base!$F$3)+SUMIFS(广告数据包!H:H,广告数据包!A:A,A26,广告数据包!G:G,Base!$F$4)</f>
        <v>0</v>
      </c>
      <c r="L26" s="56">
        <f>SUMIFS(广告数据包!I:I,广告数据包!A:A,A26,广告数据包!G:G,Base!$F$2)+SUMIFS(广告数据包!I:I,广告数据包!A:A,A26,广告数据包!G:G,Base!$F$3)+SUMIFS(广告数据包!I:I,广告数据包!A:A,A26,广告数据包!G:G,Base!$F$4)</f>
        <v>0</v>
      </c>
      <c r="M26" s="57">
        <f t="shared" si="5"/>
        <v>0</v>
      </c>
      <c r="N26" s="74">
        <f t="shared" si="6"/>
        <v>0</v>
      </c>
      <c r="O26" s="75">
        <f>SUMIFS(广告数据包!P:P,广告数据包!A:A,A26,广告数据包!G:G,Base!$F$2)+SUMIFS(广告数据包!P:P,广告数据包!A:A,A26,广告数据包!G:G,Base!$F$3)+SUMIFS(广告数据包!P:P,广告数据包!A:A,A26,广告数据包!G:G,Base!$F$4)</f>
        <v>0</v>
      </c>
      <c r="P26" s="56">
        <f>SUMIFS(广告数据包!M:M,广告数据包!A:A,A26,广告数据包!G:G,Base!$F$2)+SUMIFS(广告数据包!M:M,广告数据包!A:A,A26,广告数据包!G:G,Base!$F$3)+SUMIFS(广告数据包!M:M,广告数据包!A:A,A26,广告数据包!G:G,Base!$F$4)</f>
        <v>0</v>
      </c>
      <c r="Q26" s="57">
        <f t="shared" si="7"/>
        <v>0</v>
      </c>
      <c r="R26" s="56">
        <f>SUMIFS(广告数据包!L:L,广告数据包!A:A,A26,广告数据包!G:G,Base!$F$2)+SUMIFS(广告数据包!L:L,广告数据包!A:A,A26,广告数据包!G:G,Base!$F$3)+SUMIFS(广告数据包!L:L,广告数据包!A:A,A26,广告数据包!G:G,Base!$F$4)</f>
        <v>0</v>
      </c>
      <c r="S26" s="86">
        <f t="shared" si="8"/>
        <v>0</v>
      </c>
    </row>
    <row r="27" ht="16.5" spans="1:19">
      <c r="A27" s="54">
        <v>44464</v>
      </c>
      <c r="B27" s="55">
        <f>SUMIFS(销售数据包!F:F,销售数据包!A:A,A27,销售数据包!C:C,Base!$F$2)+SUMIFS(销售数据包!F:F,销售数据包!A:A,A27,销售数据包!C:C,Base!$F$3)+SUMIFS(销售数据包!F:F,销售数据包!A:A,A27,销售数据包!C:C,Base!$F$4)</f>
        <v>0</v>
      </c>
      <c r="C27" s="56">
        <f>SUMIFS(销售数据包!K:K,销售数据包!A:A,A27,销售数据包!C:C,Base!$F$2)+SUMIFS(销售数据包!K:K,销售数据包!A:A,A27,销售数据包!C:C,Base!$F$3)+SUMIFS(销售数据包!K:K,销售数据包!A:A,A27,销售数据包!C:C,Base!$F$4)</f>
        <v>0</v>
      </c>
      <c r="D27" s="56">
        <f>SUMIFS(销售数据包!Q:Q,销售数据包!A:A,A27,销售数据包!C:C,Base!$F$2)+SUMIFS(销售数据包!Q:Q,销售数据包!A:A,A27,销售数据包!C:C,Base!$F$3)+SUMIFS(销售数据包!Q:Q,销售数据包!A:A,A27,销售数据包!C:C,Base!$F$4)</f>
        <v>0</v>
      </c>
      <c r="E27" s="57">
        <f t="shared" si="0"/>
        <v>0</v>
      </c>
      <c r="F27" s="57">
        <f t="shared" si="1"/>
        <v>0</v>
      </c>
      <c r="G27" s="56">
        <f>SUMIFS(销售数据包!O:O,销售数据包!A:A,A27)</f>
        <v>0</v>
      </c>
      <c r="H27" s="57">
        <f t="shared" si="2"/>
        <v>0</v>
      </c>
      <c r="I27" s="71">
        <f t="shared" si="3"/>
        <v>0</v>
      </c>
      <c r="J27" s="72" t="str">
        <f t="shared" si="4"/>
        <v>周6</v>
      </c>
      <c r="K27" s="73">
        <f>SUMIFS(广告数据包!H:H,广告数据包!A:A,A27,广告数据包!G:G,Base!$F$2)+SUMIFS(广告数据包!H:H,广告数据包!A:A,A27,广告数据包!G:G,Base!$F$3)+SUMIFS(广告数据包!H:H,广告数据包!A:A,A27,广告数据包!G:G,Base!$F$4)</f>
        <v>0</v>
      </c>
      <c r="L27" s="56">
        <f>SUMIFS(广告数据包!I:I,广告数据包!A:A,A27,广告数据包!G:G,Base!$F$2)+SUMIFS(广告数据包!I:I,广告数据包!A:A,A27,广告数据包!G:G,Base!$F$3)+SUMIFS(广告数据包!I:I,广告数据包!A:A,A27,广告数据包!G:G,Base!$F$4)</f>
        <v>0</v>
      </c>
      <c r="M27" s="57">
        <f t="shared" si="5"/>
        <v>0</v>
      </c>
      <c r="N27" s="74">
        <f t="shared" si="6"/>
        <v>0</v>
      </c>
      <c r="O27" s="75">
        <f>SUMIFS(广告数据包!P:P,广告数据包!A:A,A27,广告数据包!G:G,Base!$F$2)+SUMIFS(广告数据包!P:P,广告数据包!A:A,A27,广告数据包!G:G,Base!$F$3)+SUMIFS(广告数据包!P:P,广告数据包!A:A,A27,广告数据包!G:G,Base!$F$4)</f>
        <v>0</v>
      </c>
      <c r="P27" s="56">
        <f>SUMIFS(广告数据包!M:M,广告数据包!A:A,A27,广告数据包!G:G,Base!$F$2)+SUMIFS(广告数据包!M:M,广告数据包!A:A,A27,广告数据包!G:G,Base!$F$3)+SUMIFS(广告数据包!M:M,广告数据包!A:A,A27,广告数据包!G:G,Base!$F$4)</f>
        <v>0</v>
      </c>
      <c r="Q27" s="57">
        <f t="shared" si="7"/>
        <v>0</v>
      </c>
      <c r="R27" s="56">
        <f>SUMIFS(广告数据包!L:L,广告数据包!A:A,A27,广告数据包!G:G,Base!$F$2)+SUMIFS(广告数据包!L:L,广告数据包!A:A,A27,广告数据包!G:G,Base!$F$3)+SUMIFS(广告数据包!L:L,广告数据包!A:A,A27,广告数据包!G:G,Base!$F$4)</f>
        <v>0</v>
      </c>
      <c r="S27" s="86">
        <f t="shared" si="8"/>
        <v>0</v>
      </c>
    </row>
    <row r="28" ht="16.5" spans="1:19">
      <c r="A28" s="54">
        <v>44465</v>
      </c>
      <c r="B28" s="55">
        <f>SUMIFS(销售数据包!F:F,销售数据包!A:A,A28,销售数据包!C:C,Base!$F$2)+SUMIFS(销售数据包!F:F,销售数据包!A:A,A28,销售数据包!C:C,Base!$F$3)+SUMIFS(销售数据包!F:F,销售数据包!A:A,A28,销售数据包!C:C,Base!$F$4)</f>
        <v>0</v>
      </c>
      <c r="C28" s="56">
        <f>SUMIFS(销售数据包!K:K,销售数据包!A:A,A28,销售数据包!C:C,Base!$F$2)+SUMIFS(销售数据包!K:K,销售数据包!A:A,A28,销售数据包!C:C,Base!$F$3)+SUMIFS(销售数据包!K:K,销售数据包!A:A,A28,销售数据包!C:C,Base!$F$4)</f>
        <v>0</v>
      </c>
      <c r="D28" s="56">
        <f>SUMIFS(销售数据包!Q:Q,销售数据包!A:A,A28,销售数据包!C:C,Base!$F$2)+SUMIFS(销售数据包!Q:Q,销售数据包!A:A,A28,销售数据包!C:C,Base!$F$3)+SUMIFS(销售数据包!Q:Q,销售数据包!A:A,A28,销售数据包!C:C,Base!$F$4)</f>
        <v>0</v>
      </c>
      <c r="E28" s="57">
        <f t="shared" si="0"/>
        <v>0</v>
      </c>
      <c r="F28" s="57">
        <f t="shared" si="1"/>
        <v>0</v>
      </c>
      <c r="G28" s="56">
        <f>SUMIFS(销售数据包!O:O,销售数据包!A:A,A28)</f>
        <v>0</v>
      </c>
      <c r="H28" s="57">
        <f t="shared" si="2"/>
        <v>0</v>
      </c>
      <c r="I28" s="71">
        <f t="shared" si="3"/>
        <v>0</v>
      </c>
      <c r="J28" s="72" t="str">
        <f t="shared" si="4"/>
        <v>周7</v>
      </c>
      <c r="K28" s="73">
        <f>SUMIFS(广告数据包!H:H,广告数据包!A:A,A28,广告数据包!G:G,Base!$F$2)+SUMIFS(广告数据包!H:H,广告数据包!A:A,A28,广告数据包!G:G,Base!$F$3)+SUMIFS(广告数据包!H:H,广告数据包!A:A,A28,广告数据包!G:G,Base!$F$4)</f>
        <v>0</v>
      </c>
      <c r="L28" s="56">
        <f>SUMIFS(广告数据包!I:I,广告数据包!A:A,A28,广告数据包!G:G,Base!$F$2)+SUMIFS(广告数据包!I:I,广告数据包!A:A,A28,广告数据包!G:G,Base!$F$3)+SUMIFS(广告数据包!I:I,广告数据包!A:A,A28,广告数据包!G:G,Base!$F$4)</f>
        <v>0</v>
      </c>
      <c r="M28" s="57">
        <f t="shared" si="5"/>
        <v>0</v>
      </c>
      <c r="N28" s="74">
        <f t="shared" si="6"/>
        <v>0</v>
      </c>
      <c r="O28" s="75">
        <f>SUMIFS(广告数据包!P:P,广告数据包!A:A,A28,广告数据包!G:G,Base!$F$2)+SUMIFS(广告数据包!P:P,广告数据包!A:A,A28,广告数据包!G:G,Base!$F$3)+SUMIFS(广告数据包!P:P,广告数据包!A:A,A28,广告数据包!G:G,Base!$F$4)</f>
        <v>0</v>
      </c>
      <c r="P28" s="56">
        <f>SUMIFS(广告数据包!M:M,广告数据包!A:A,A28,广告数据包!G:G,Base!$F$2)+SUMIFS(广告数据包!M:M,广告数据包!A:A,A28,广告数据包!G:G,Base!$F$3)+SUMIFS(广告数据包!M:M,广告数据包!A:A,A28,广告数据包!G:G,Base!$F$4)</f>
        <v>0</v>
      </c>
      <c r="Q28" s="57">
        <f t="shared" si="7"/>
        <v>0</v>
      </c>
      <c r="R28" s="56">
        <f>SUMIFS(广告数据包!L:L,广告数据包!A:A,A28,广告数据包!G:G,Base!$F$2)+SUMIFS(广告数据包!L:L,广告数据包!A:A,A28,广告数据包!G:G,Base!$F$3)+SUMIFS(广告数据包!L:L,广告数据包!A:A,A28,广告数据包!G:G,Base!$F$4)</f>
        <v>0</v>
      </c>
      <c r="S28" s="86">
        <f t="shared" si="8"/>
        <v>0</v>
      </c>
    </row>
    <row r="29" ht="16.5" spans="1:19">
      <c r="A29" s="54">
        <v>44466</v>
      </c>
      <c r="B29" s="55">
        <f>SUMIFS(销售数据包!F:F,销售数据包!A:A,A29,销售数据包!C:C,Base!$F$2)+SUMIFS(销售数据包!F:F,销售数据包!A:A,A29,销售数据包!C:C,Base!$F$3)+SUMIFS(销售数据包!F:F,销售数据包!A:A,A29,销售数据包!C:C,Base!$F$4)</f>
        <v>0</v>
      </c>
      <c r="C29" s="56">
        <f>SUMIFS(销售数据包!K:K,销售数据包!A:A,A29,销售数据包!C:C,Base!$F$2)+SUMIFS(销售数据包!K:K,销售数据包!A:A,A29,销售数据包!C:C,Base!$F$3)+SUMIFS(销售数据包!K:K,销售数据包!A:A,A29,销售数据包!C:C,Base!$F$4)</f>
        <v>0</v>
      </c>
      <c r="D29" s="56">
        <f>SUMIFS(销售数据包!Q:Q,销售数据包!A:A,A29,销售数据包!C:C,Base!$F$2)+SUMIFS(销售数据包!Q:Q,销售数据包!A:A,A29,销售数据包!C:C,Base!$F$3)+SUMIFS(销售数据包!Q:Q,销售数据包!A:A,A29,销售数据包!C:C,Base!$F$4)</f>
        <v>0</v>
      </c>
      <c r="E29" s="57">
        <f t="shared" si="0"/>
        <v>0</v>
      </c>
      <c r="F29" s="57">
        <f t="shared" si="1"/>
        <v>0</v>
      </c>
      <c r="G29" s="56">
        <f>SUMIFS(销售数据包!O:O,销售数据包!A:A,A29)</f>
        <v>0</v>
      </c>
      <c r="H29" s="57">
        <f t="shared" si="2"/>
        <v>0</v>
      </c>
      <c r="I29" s="71">
        <f t="shared" si="3"/>
        <v>0</v>
      </c>
      <c r="J29" s="72" t="str">
        <f t="shared" si="4"/>
        <v>周1</v>
      </c>
      <c r="K29" s="73">
        <f>SUMIFS(广告数据包!H:H,广告数据包!A:A,A29,广告数据包!G:G,Base!$F$2)+SUMIFS(广告数据包!H:H,广告数据包!A:A,A29,广告数据包!G:G,Base!$F$3)+SUMIFS(广告数据包!H:H,广告数据包!A:A,A29,广告数据包!G:G,Base!$F$4)</f>
        <v>0</v>
      </c>
      <c r="L29" s="56">
        <f>SUMIFS(广告数据包!I:I,广告数据包!A:A,A29,广告数据包!G:G,Base!$F$2)+SUMIFS(广告数据包!I:I,广告数据包!A:A,A29,广告数据包!G:G,Base!$F$3)+SUMIFS(广告数据包!I:I,广告数据包!A:A,A29,广告数据包!G:G,Base!$F$4)</f>
        <v>0</v>
      </c>
      <c r="M29" s="57">
        <f t="shared" si="5"/>
        <v>0</v>
      </c>
      <c r="N29" s="74">
        <f t="shared" si="6"/>
        <v>0</v>
      </c>
      <c r="O29" s="75">
        <f>SUMIFS(广告数据包!P:P,广告数据包!A:A,A29,广告数据包!G:G,Base!$F$2)+SUMIFS(广告数据包!P:P,广告数据包!A:A,A29,广告数据包!G:G,Base!$F$3)+SUMIFS(广告数据包!P:P,广告数据包!A:A,A29,广告数据包!G:G,Base!$F$4)</f>
        <v>0</v>
      </c>
      <c r="P29" s="56">
        <f>SUMIFS(广告数据包!M:M,广告数据包!A:A,A29,广告数据包!G:G,Base!$F$2)+SUMIFS(广告数据包!M:M,广告数据包!A:A,A29,广告数据包!G:G,Base!$F$3)+SUMIFS(广告数据包!M:M,广告数据包!A:A,A29,广告数据包!G:G,Base!$F$4)</f>
        <v>0</v>
      </c>
      <c r="Q29" s="57">
        <f t="shared" si="7"/>
        <v>0</v>
      </c>
      <c r="R29" s="56">
        <f>SUMIFS(广告数据包!L:L,广告数据包!A:A,A29,广告数据包!G:G,Base!$F$2)+SUMIFS(广告数据包!L:L,广告数据包!A:A,A29,广告数据包!G:G,Base!$F$3)+SUMIFS(广告数据包!L:L,广告数据包!A:A,A29,广告数据包!G:G,Base!$F$4)</f>
        <v>0</v>
      </c>
      <c r="S29" s="86">
        <f t="shared" si="8"/>
        <v>0</v>
      </c>
    </row>
    <row r="30" ht="16.5" spans="1:19">
      <c r="A30" s="54">
        <v>44467</v>
      </c>
      <c r="B30" s="55">
        <f>SUMIFS(销售数据包!F:F,销售数据包!A:A,A30,销售数据包!C:C,Base!$F$2)+SUMIFS(销售数据包!F:F,销售数据包!A:A,A30,销售数据包!C:C,Base!$F$3)+SUMIFS(销售数据包!F:F,销售数据包!A:A,A30,销售数据包!C:C,Base!$F$4)</f>
        <v>0</v>
      </c>
      <c r="C30" s="56">
        <f>SUMIFS(销售数据包!K:K,销售数据包!A:A,A30,销售数据包!C:C,Base!$F$2)+SUMIFS(销售数据包!K:K,销售数据包!A:A,A30,销售数据包!C:C,Base!$F$3)+SUMIFS(销售数据包!K:K,销售数据包!A:A,A30,销售数据包!C:C,Base!$F$4)</f>
        <v>0</v>
      </c>
      <c r="D30" s="56">
        <f>SUMIFS(销售数据包!Q:Q,销售数据包!A:A,A30,销售数据包!C:C,Base!$F$2)+SUMIFS(销售数据包!Q:Q,销售数据包!A:A,A30,销售数据包!C:C,Base!$F$3)+SUMIFS(销售数据包!Q:Q,销售数据包!A:A,A30,销售数据包!C:C,Base!$F$4)</f>
        <v>0</v>
      </c>
      <c r="E30" s="57">
        <f t="shared" si="0"/>
        <v>0</v>
      </c>
      <c r="F30" s="57">
        <f t="shared" si="1"/>
        <v>0</v>
      </c>
      <c r="G30" s="56">
        <f>SUMIFS(销售数据包!O:O,销售数据包!A:A,A30)</f>
        <v>0</v>
      </c>
      <c r="H30" s="57">
        <f t="shared" si="2"/>
        <v>0</v>
      </c>
      <c r="I30" s="71">
        <f t="shared" si="3"/>
        <v>0</v>
      </c>
      <c r="J30" s="72" t="str">
        <f t="shared" si="4"/>
        <v>周2</v>
      </c>
      <c r="K30" s="73">
        <f>SUMIFS(广告数据包!H:H,广告数据包!A:A,A30,广告数据包!G:G,Base!$F$2)+SUMIFS(广告数据包!H:H,广告数据包!A:A,A30,广告数据包!G:G,Base!$F$3)+SUMIFS(广告数据包!H:H,广告数据包!A:A,A30,广告数据包!G:G,Base!$F$4)</f>
        <v>0</v>
      </c>
      <c r="L30" s="56">
        <f>SUMIFS(广告数据包!I:I,广告数据包!A:A,A30,广告数据包!G:G,Base!$F$2)+SUMIFS(广告数据包!I:I,广告数据包!A:A,A30,广告数据包!G:G,Base!$F$3)+SUMIFS(广告数据包!I:I,广告数据包!A:A,A30,广告数据包!G:G,Base!$F$4)</f>
        <v>0</v>
      </c>
      <c r="M30" s="57">
        <f t="shared" si="5"/>
        <v>0</v>
      </c>
      <c r="N30" s="74">
        <f t="shared" si="6"/>
        <v>0</v>
      </c>
      <c r="O30" s="75">
        <f>SUMIFS(广告数据包!P:P,广告数据包!A:A,A30,广告数据包!G:G,Base!$F$2)+SUMIFS(广告数据包!P:P,广告数据包!A:A,A30,广告数据包!G:G,Base!$F$3)+SUMIFS(广告数据包!P:P,广告数据包!A:A,A30,广告数据包!G:G,Base!$F$4)</f>
        <v>0</v>
      </c>
      <c r="P30" s="56">
        <f>SUMIFS(广告数据包!M:M,广告数据包!A:A,A30,广告数据包!G:G,Base!$F$2)+SUMIFS(广告数据包!M:M,广告数据包!A:A,A30,广告数据包!G:G,Base!$F$3)+SUMIFS(广告数据包!M:M,广告数据包!A:A,A30,广告数据包!G:G,Base!$F$4)</f>
        <v>0</v>
      </c>
      <c r="Q30" s="57">
        <f t="shared" si="7"/>
        <v>0</v>
      </c>
      <c r="R30" s="56">
        <f>SUMIFS(广告数据包!L:L,广告数据包!A:A,A30,广告数据包!G:G,Base!$F$2)+SUMIFS(广告数据包!L:L,广告数据包!A:A,A30,广告数据包!G:G,Base!$F$3)+SUMIFS(广告数据包!L:L,广告数据包!A:A,A30,广告数据包!G:G,Base!$F$4)</f>
        <v>0</v>
      </c>
      <c r="S30" s="86">
        <f t="shared" si="8"/>
        <v>0</v>
      </c>
    </row>
    <row r="31" ht="16.5" spans="1:19">
      <c r="A31" s="54">
        <v>44468</v>
      </c>
      <c r="B31" s="55">
        <f>SUMIFS(销售数据包!F:F,销售数据包!A:A,A31,销售数据包!C:C,Base!$F$2)+SUMIFS(销售数据包!F:F,销售数据包!A:A,A31,销售数据包!C:C,Base!$F$3)+SUMIFS(销售数据包!F:F,销售数据包!A:A,A31,销售数据包!C:C,Base!$F$4)</f>
        <v>0</v>
      </c>
      <c r="C31" s="56">
        <f>SUMIFS(销售数据包!K:K,销售数据包!A:A,A31,销售数据包!C:C,Base!$F$2)+SUMIFS(销售数据包!K:K,销售数据包!A:A,A31,销售数据包!C:C,Base!$F$3)+SUMIFS(销售数据包!K:K,销售数据包!A:A,A31,销售数据包!C:C,Base!$F$4)</f>
        <v>0</v>
      </c>
      <c r="D31" s="56">
        <f>SUMIFS(销售数据包!Q:Q,销售数据包!A:A,A31,销售数据包!C:C,Base!$F$2)+SUMIFS(销售数据包!Q:Q,销售数据包!A:A,A31,销售数据包!C:C,Base!$F$3)+SUMIFS(销售数据包!Q:Q,销售数据包!A:A,A31,销售数据包!C:C,Base!$F$4)</f>
        <v>0</v>
      </c>
      <c r="E31" s="57">
        <f t="shared" si="0"/>
        <v>0</v>
      </c>
      <c r="F31" s="57">
        <f t="shared" si="1"/>
        <v>0</v>
      </c>
      <c r="G31" s="56">
        <f>SUMIFS(销售数据包!O:O,销售数据包!A:A,A31)</f>
        <v>0</v>
      </c>
      <c r="H31" s="57">
        <f t="shared" si="2"/>
        <v>0</v>
      </c>
      <c r="I31" s="71">
        <f t="shared" si="3"/>
        <v>0</v>
      </c>
      <c r="J31" s="72" t="str">
        <f t="shared" si="4"/>
        <v>周3</v>
      </c>
      <c r="K31" s="73">
        <f>SUMIFS(广告数据包!H:H,广告数据包!A:A,A31,广告数据包!G:G,Base!$F$2)+SUMIFS(广告数据包!H:H,广告数据包!A:A,A31,广告数据包!G:G,Base!$F$3)+SUMIFS(广告数据包!H:H,广告数据包!A:A,A31,广告数据包!G:G,Base!$F$4)</f>
        <v>0</v>
      </c>
      <c r="L31" s="56">
        <f>SUMIFS(广告数据包!I:I,广告数据包!A:A,A31,广告数据包!G:G,Base!$F$2)+SUMIFS(广告数据包!I:I,广告数据包!A:A,A31,广告数据包!G:G,Base!$F$3)+SUMIFS(广告数据包!I:I,广告数据包!A:A,A31,广告数据包!G:G,Base!$F$4)</f>
        <v>0</v>
      </c>
      <c r="M31" s="57">
        <f t="shared" si="5"/>
        <v>0</v>
      </c>
      <c r="N31" s="74">
        <f t="shared" si="6"/>
        <v>0</v>
      </c>
      <c r="O31" s="75">
        <f>SUMIFS(广告数据包!P:P,广告数据包!A:A,A31,广告数据包!G:G,Base!$F$2)+SUMIFS(广告数据包!P:P,广告数据包!A:A,A31,广告数据包!G:G,Base!$F$3)+SUMIFS(广告数据包!P:P,广告数据包!A:A,A31,广告数据包!G:G,Base!$F$4)</f>
        <v>0</v>
      </c>
      <c r="P31" s="56">
        <f>SUMIFS(广告数据包!M:M,广告数据包!A:A,A31,广告数据包!G:G,Base!$F$2)+SUMIFS(广告数据包!M:M,广告数据包!A:A,A31,广告数据包!G:G,Base!$F$3)+SUMIFS(广告数据包!M:M,广告数据包!A:A,A31,广告数据包!G:G,Base!$F$4)</f>
        <v>0</v>
      </c>
      <c r="Q31" s="57">
        <f t="shared" si="7"/>
        <v>0</v>
      </c>
      <c r="R31" s="56">
        <f>SUMIFS(广告数据包!L:L,广告数据包!A:A,A31,广告数据包!G:G,Base!$F$2)+SUMIFS(广告数据包!L:L,广告数据包!A:A,A31,广告数据包!G:G,Base!$F$3)+SUMIFS(广告数据包!L:L,广告数据包!A:A,A31,广告数据包!G:G,Base!$F$4)</f>
        <v>0</v>
      </c>
      <c r="S31" s="86">
        <f t="shared" si="8"/>
        <v>0</v>
      </c>
    </row>
    <row r="32" ht="16.5" spans="1:19">
      <c r="A32" s="54">
        <v>44469</v>
      </c>
      <c r="B32" s="55">
        <f>SUMIFS(销售数据包!F:F,销售数据包!A:A,A32,销售数据包!C:C,Base!$F$2)+SUMIFS(销售数据包!F:F,销售数据包!A:A,A32,销售数据包!C:C,Base!$F$3)+SUMIFS(销售数据包!F:F,销售数据包!A:A,A32,销售数据包!C:C,Base!$F$4)</f>
        <v>0</v>
      </c>
      <c r="C32" s="56">
        <f>SUMIFS(销售数据包!K:K,销售数据包!A:A,A32,销售数据包!C:C,Base!$F$2)+SUMIFS(销售数据包!K:K,销售数据包!A:A,A32,销售数据包!C:C,Base!$F$3)+SUMIFS(销售数据包!K:K,销售数据包!A:A,A32,销售数据包!C:C,Base!$F$4)</f>
        <v>0</v>
      </c>
      <c r="D32" s="56">
        <f>SUMIFS(销售数据包!Q:Q,销售数据包!A:A,A32,销售数据包!C:C,Base!$F$2)+SUMIFS(销售数据包!Q:Q,销售数据包!A:A,A32,销售数据包!C:C,Base!$F$3)+SUMIFS(销售数据包!Q:Q,销售数据包!A:A,A32,销售数据包!C:C,Base!$F$4)</f>
        <v>0</v>
      </c>
      <c r="E32" s="57">
        <f t="shared" si="0"/>
        <v>0</v>
      </c>
      <c r="F32" s="57">
        <f t="shared" si="1"/>
        <v>0</v>
      </c>
      <c r="G32" s="56">
        <f>SUMIFS(销售数据包!O:O,销售数据包!A:A,A32)</f>
        <v>0</v>
      </c>
      <c r="H32" s="57">
        <f t="shared" si="2"/>
        <v>0</v>
      </c>
      <c r="I32" s="71">
        <f t="shared" si="3"/>
        <v>0</v>
      </c>
      <c r="J32" s="72" t="str">
        <f t="shared" si="4"/>
        <v>周4</v>
      </c>
      <c r="K32" s="73">
        <f>SUMIFS(广告数据包!H:H,广告数据包!A:A,A32,广告数据包!G:G,Base!$F$2)+SUMIFS(广告数据包!H:H,广告数据包!A:A,A32,广告数据包!G:G,Base!$F$3)+SUMIFS(广告数据包!H:H,广告数据包!A:A,A32,广告数据包!G:G,Base!$F$4)</f>
        <v>0</v>
      </c>
      <c r="L32" s="56">
        <f>SUMIFS(广告数据包!I:I,广告数据包!A:A,A32,广告数据包!G:G,Base!$F$2)+SUMIFS(广告数据包!I:I,广告数据包!A:A,A32,广告数据包!G:G,Base!$F$3)+SUMIFS(广告数据包!I:I,广告数据包!A:A,A32,广告数据包!G:G,Base!$F$4)</f>
        <v>0</v>
      </c>
      <c r="M32" s="57">
        <f t="shared" si="5"/>
        <v>0</v>
      </c>
      <c r="N32" s="74">
        <f t="shared" si="6"/>
        <v>0</v>
      </c>
      <c r="O32" s="75">
        <f>SUMIFS(广告数据包!P:P,广告数据包!A:A,A32,广告数据包!G:G,Base!$F$2)+SUMIFS(广告数据包!P:P,广告数据包!A:A,A32,广告数据包!G:G,Base!$F$3)+SUMIFS(广告数据包!P:P,广告数据包!A:A,A32,广告数据包!G:G,Base!$F$4)</f>
        <v>0</v>
      </c>
      <c r="P32" s="56">
        <f>SUMIFS(广告数据包!M:M,广告数据包!A:A,A32,广告数据包!G:G,Base!$F$2)+SUMIFS(广告数据包!M:M,广告数据包!A:A,A32,广告数据包!G:G,Base!$F$3)+SUMIFS(广告数据包!M:M,广告数据包!A:A,A32,广告数据包!G:G,Base!$F$4)</f>
        <v>0</v>
      </c>
      <c r="Q32" s="57">
        <f t="shared" si="7"/>
        <v>0</v>
      </c>
      <c r="R32" s="56">
        <f>SUMIFS(广告数据包!L:L,广告数据包!A:A,A32,广告数据包!G:G,Base!$F$2)+SUMIFS(广告数据包!L:L,广告数据包!A:A,A32,广告数据包!G:G,Base!$F$3)+SUMIFS(广告数据包!L:L,广告数据包!A:A,A32,广告数据包!G:G,Base!$F$4)</f>
        <v>0</v>
      </c>
      <c r="S32" s="86">
        <f t="shared" si="8"/>
        <v>0</v>
      </c>
    </row>
    <row r="33" ht="16.5" spans="1:19">
      <c r="A33" s="54">
        <v>44470</v>
      </c>
      <c r="B33" s="55">
        <f>SUMIFS(销售数据包!F:F,销售数据包!A:A,A33,销售数据包!C:C,Base!$F$2)+SUMIFS(销售数据包!F:F,销售数据包!A:A,A33,销售数据包!C:C,Base!$F$3)+SUMIFS(销售数据包!F:F,销售数据包!A:A,A33,销售数据包!C:C,Base!$F$4)</f>
        <v>0</v>
      </c>
      <c r="C33" s="56">
        <f>SUMIFS(销售数据包!K:K,销售数据包!A:A,A33,销售数据包!C:C,Base!$F$2)+SUMIFS(销售数据包!K:K,销售数据包!A:A,A33,销售数据包!C:C,Base!$F$3)+SUMIFS(销售数据包!K:K,销售数据包!A:A,A33,销售数据包!C:C,Base!$F$4)</f>
        <v>0</v>
      </c>
      <c r="D33" s="56">
        <f>SUMIFS(销售数据包!Q:Q,销售数据包!A:A,A33,销售数据包!C:C,Base!$F$2)+SUMIFS(销售数据包!Q:Q,销售数据包!A:A,A33,销售数据包!C:C,Base!$F$3)+SUMIFS(销售数据包!Q:Q,销售数据包!A:A,A33,销售数据包!C:C,Base!$F$4)</f>
        <v>0</v>
      </c>
      <c r="E33" s="57">
        <f t="shared" si="0"/>
        <v>0</v>
      </c>
      <c r="F33" s="57">
        <f t="shared" si="1"/>
        <v>0</v>
      </c>
      <c r="G33" s="56">
        <f>SUMIFS(销售数据包!O:O,销售数据包!A:A,A33)</f>
        <v>0</v>
      </c>
      <c r="H33" s="57">
        <f t="shared" si="2"/>
        <v>0</v>
      </c>
      <c r="I33" s="71">
        <f t="shared" si="3"/>
        <v>0</v>
      </c>
      <c r="J33" s="72" t="str">
        <f t="shared" si="4"/>
        <v>周5</v>
      </c>
      <c r="K33" s="73">
        <f>SUMIFS(广告数据包!H:H,广告数据包!A:A,A33,广告数据包!G:G,Base!$F$2)+SUMIFS(广告数据包!H:H,广告数据包!A:A,A33,广告数据包!G:G,Base!$F$3)+SUMIFS(广告数据包!H:H,广告数据包!A:A,A33,广告数据包!G:G,Base!$F$4)</f>
        <v>0</v>
      </c>
      <c r="L33" s="56">
        <f>SUMIFS(广告数据包!I:I,广告数据包!A:A,A33,广告数据包!G:G,Base!$F$2)+SUMIFS(广告数据包!I:I,广告数据包!A:A,A33,广告数据包!G:G,Base!$F$3)+SUMIFS(广告数据包!I:I,广告数据包!A:A,A33,广告数据包!G:G,Base!$F$4)</f>
        <v>0</v>
      </c>
      <c r="M33" s="57">
        <f t="shared" si="5"/>
        <v>0</v>
      </c>
      <c r="N33" s="74">
        <f t="shared" si="6"/>
        <v>0</v>
      </c>
      <c r="O33" s="75">
        <f>SUMIFS(广告数据包!P:P,广告数据包!A:A,A33,广告数据包!G:G,Base!$F$2)+SUMIFS(广告数据包!P:P,广告数据包!A:A,A33,广告数据包!G:G,Base!$F$3)+SUMIFS(广告数据包!P:P,广告数据包!A:A,A33,广告数据包!G:G,Base!$F$4)</f>
        <v>0</v>
      </c>
      <c r="P33" s="56">
        <f>SUMIFS(广告数据包!M:M,广告数据包!A:A,A33,广告数据包!G:G,Base!$F$2)+SUMIFS(广告数据包!M:M,广告数据包!A:A,A33,广告数据包!G:G,Base!$F$3)+SUMIFS(广告数据包!M:M,广告数据包!A:A,A33,广告数据包!G:G,Base!$F$4)</f>
        <v>0</v>
      </c>
      <c r="Q33" s="57">
        <f t="shared" si="7"/>
        <v>0</v>
      </c>
      <c r="R33" s="56">
        <f>SUMIFS(广告数据包!L:L,广告数据包!A:A,A33,广告数据包!G:G,Base!$F$2)+SUMIFS(广告数据包!L:L,广告数据包!A:A,A33,广告数据包!G:G,Base!$F$3)+SUMIFS(广告数据包!L:L,广告数据包!A:A,A33,广告数据包!G:G,Base!$F$4)</f>
        <v>0</v>
      </c>
      <c r="S33" s="86">
        <f t="shared" si="8"/>
        <v>0</v>
      </c>
    </row>
    <row r="34" ht="16.5" spans="1:19">
      <c r="A34" s="54">
        <v>44471</v>
      </c>
      <c r="B34" s="55">
        <f>SUMIFS(销售数据包!F:F,销售数据包!A:A,A34,销售数据包!C:C,Base!$F$2)+SUMIFS(销售数据包!F:F,销售数据包!A:A,A34,销售数据包!C:C,Base!$F$3)+SUMIFS(销售数据包!F:F,销售数据包!A:A,A34,销售数据包!C:C,Base!$F$4)</f>
        <v>0</v>
      </c>
      <c r="C34" s="56">
        <f>SUMIFS(销售数据包!K:K,销售数据包!A:A,A34,销售数据包!C:C,Base!$F$2)+SUMIFS(销售数据包!K:K,销售数据包!A:A,A34,销售数据包!C:C,Base!$F$3)+SUMIFS(销售数据包!K:K,销售数据包!A:A,A34,销售数据包!C:C,Base!$F$4)</f>
        <v>0</v>
      </c>
      <c r="D34" s="56">
        <f>SUMIFS(销售数据包!Q:Q,销售数据包!A:A,A34,销售数据包!C:C,Base!$F$2)+SUMIFS(销售数据包!Q:Q,销售数据包!A:A,A34,销售数据包!C:C,Base!$F$3)+SUMIFS(销售数据包!Q:Q,销售数据包!A:A,A34,销售数据包!C:C,Base!$F$4)</f>
        <v>0</v>
      </c>
      <c r="E34" s="57">
        <f t="shared" si="0"/>
        <v>0</v>
      </c>
      <c r="F34" s="57">
        <f t="shared" si="1"/>
        <v>0</v>
      </c>
      <c r="G34" s="56">
        <f>SUMIFS(销售数据包!O:O,销售数据包!A:A,A34)</f>
        <v>0</v>
      </c>
      <c r="H34" s="57">
        <f t="shared" si="2"/>
        <v>0</v>
      </c>
      <c r="I34" s="71">
        <f t="shared" si="3"/>
        <v>0</v>
      </c>
      <c r="J34" s="72" t="str">
        <f t="shared" si="4"/>
        <v>周6</v>
      </c>
      <c r="K34" s="73">
        <f>SUMIFS(广告数据包!H:H,广告数据包!A:A,A34,广告数据包!G:G,Base!$F$2)+SUMIFS(广告数据包!H:H,广告数据包!A:A,A34,广告数据包!G:G,Base!$F$3)+SUMIFS(广告数据包!H:H,广告数据包!A:A,A34,广告数据包!G:G,Base!$F$4)</f>
        <v>0</v>
      </c>
      <c r="L34" s="56">
        <f>SUMIFS(广告数据包!I:I,广告数据包!A:A,A34,广告数据包!G:G,Base!$F$2)+SUMIFS(广告数据包!I:I,广告数据包!A:A,A34,广告数据包!G:G,Base!$F$3)+SUMIFS(广告数据包!I:I,广告数据包!A:A,A34,广告数据包!G:G,Base!$F$4)</f>
        <v>0</v>
      </c>
      <c r="M34" s="57">
        <f t="shared" si="5"/>
        <v>0</v>
      </c>
      <c r="N34" s="74">
        <f t="shared" si="6"/>
        <v>0</v>
      </c>
      <c r="O34" s="75">
        <f>SUMIFS(广告数据包!P:P,广告数据包!A:A,A34,广告数据包!G:G,Base!$F$2)+SUMIFS(广告数据包!P:P,广告数据包!A:A,A34,广告数据包!G:G,Base!$F$3)+SUMIFS(广告数据包!P:P,广告数据包!A:A,A34,广告数据包!G:G,Base!$F$4)</f>
        <v>0</v>
      </c>
      <c r="P34" s="56">
        <f>SUMIFS(广告数据包!M:M,广告数据包!A:A,A34,广告数据包!G:G,Base!$F$2)+SUMIFS(广告数据包!M:M,广告数据包!A:A,A34,广告数据包!G:G,Base!$F$3)+SUMIFS(广告数据包!M:M,广告数据包!A:A,A34,广告数据包!G:G,Base!$F$4)</f>
        <v>0</v>
      </c>
      <c r="Q34" s="57">
        <f t="shared" si="7"/>
        <v>0</v>
      </c>
      <c r="R34" s="56">
        <f>SUMIFS(广告数据包!L:L,广告数据包!A:A,A34,广告数据包!G:G,Base!$F$2)+SUMIFS(广告数据包!L:L,广告数据包!A:A,A34,广告数据包!G:G,Base!$F$3)+SUMIFS(广告数据包!L:L,广告数据包!A:A,A34,广告数据包!G:G,Base!$F$4)</f>
        <v>0</v>
      </c>
      <c r="S34" s="86">
        <f t="shared" si="8"/>
        <v>0</v>
      </c>
    </row>
    <row r="35" ht="16.5" spans="1:19">
      <c r="A35" s="54">
        <v>44472</v>
      </c>
      <c r="B35" s="55">
        <f>SUMIFS(销售数据包!F:F,销售数据包!A:A,A35,销售数据包!C:C,Base!$F$2)+SUMIFS(销售数据包!F:F,销售数据包!A:A,A35,销售数据包!C:C,Base!$F$3)+SUMIFS(销售数据包!F:F,销售数据包!A:A,A35,销售数据包!C:C,Base!$F$4)</f>
        <v>0</v>
      </c>
      <c r="C35" s="56">
        <f>SUMIFS(销售数据包!K:K,销售数据包!A:A,A35,销售数据包!C:C,Base!$F$2)+SUMIFS(销售数据包!K:K,销售数据包!A:A,A35,销售数据包!C:C,Base!$F$3)+SUMIFS(销售数据包!K:K,销售数据包!A:A,A35,销售数据包!C:C,Base!$F$4)</f>
        <v>0</v>
      </c>
      <c r="D35" s="56">
        <f>SUMIFS(销售数据包!Q:Q,销售数据包!A:A,A35,销售数据包!C:C,Base!$F$2)+SUMIFS(销售数据包!Q:Q,销售数据包!A:A,A35,销售数据包!C:C,Base!$F$3)+SUMIFS(销售数据包!Q:Q,销售数据包!A:A,A35,销售数据包!C:C,Base!$F$4)</f>
        <v>0</v>
      </c>
      <c r="E35" s="57">
        <f t="shared" si="0"/>
        <v>0</v>
      </c>
      <c r="F35" s="57">
        <f t="shared" si="1"/>
        <v>0</v>
      </c>
      <c r="G35" s="56">
        <f>SUMIFS(销售数据包!O:O,销售数据包!A:A,A35)</f>
        <v>0</v>
      </c>
      <c r="H35" s="57">
        <f t="shared" si="2"/>
        <v>0</v>
      </c>
      <c r="I35" s="71">
        <f t="shared" si="3"/>
        <v>0</v>
      </c>
      <c r="J35" s="72" t="str">
        <f t="shared" si="4"/>
        <v>周7</v>
      </c>
      <c r="K35" s="73">
        <f>SUMIFS(广告数据包!H:H,广告数据包!A:A,A35,广告数据包!G:G,Base!$F$2)+SUMIFS(广告数据包!H:H,广告数据包!A:A,A35,广告数据包!G:G,Base!$F$3)+SUMIFS(广告数据包!H:H,广告数据包!A:A,A35,广告数据包!G:G,Base!$F$4)</f>
        <v>0</v>
      </c>
      <c r="L35" s="56">
        <f>SUMIFS(广告数据包!I:I,广告数据包!A:A,A35,广告数据包!G:G,Base!$F$2)+SUMIFS(广告数据包!I:I,广告数据包!A:A,A35,广告数据包!G:G,Base!$F$3)+SUMIFS(广告数据包!I:I,广告数据包!A:A,A35,广告数据包!G:G,Base!$F$4)</f>
        <v>0</v>
      </c>
      <c r="M35" s="57">
        <f t="shared" si="5"/>
        <v>0</v>
      </c>
      <c r="N35" s="74">
        <f t="shared" si="6"/>
        <v>0</v>
      </c>
      <c r="O35" s="75">
        <f>SUMIFS(广告数据包!P:P,广告数据包!A:A,A35,广告数据包!G:G,Base!$F$2)+SUMIFS(广告数据包!P:P,广告数据包!A:A,A35,广告数据包!G:G,Base!$F$3)+SUMIFS(广告数据包!P:P,广告数据包!A:A,A35,广告数据包!G:G,Base!$F$4)</f>
        <v>0</v>
      </c>
      <c r="P35" s="56">
        <f>SUMIFS(广告数据包!M:M,广告数据包!A:A,A35,广告数据包!G:G,Base!$F$2)+SUMIFS(广告数据包!M:M,广告数据包!A:A,A35,广告数据包!G:G,Base!$F$3)+SUMIFS(广告数据包!M:M,广告数据包!A:A,A35,广告数据包!G:G,Base!$F$4)</f>
        <v>0</v>
      </c>
      <c r="Q35" s="57">
        <f t="shared" si="7"/>
        <v>0</v>
      </c>
      <c r="R35" s="56">
        <f>SUMIFS(广告数据包!L:L,广告数据包!A:A,A35,广告数据包!G:G,Base!$F$2)+SUMIFS(广告数据包!L:L,广告数据包!A:A,A35,广告数据包!G:G,Base!$F$3)+SUMIFS(广告数据包!L:L,广告数据包!A:A,A35,广告数据包!G:G,Base!$F$4)</f>
        <v>0</v>
      </c>
      <c r="S35" s="86">
        <f t="shared" si="8"/>
        <v>0</v>
      </c>
    </row>
    <row r="36" ht="16.5" spans="1:19">
      <c r="A36" s="54">
        <v>44473</v>
      </c>
      <c r="B36" s="55">
        <f>SUMIFS(销售数据包!F:F,销售数据包!A:A,A36,销售数据包!C:C,Base!$F$2)+SUMIFS(销售数据包!F:F,销售数据包!A:A,A36,销售数据包!C:C,Base!$F$3)+SUMIFS(销售数据包!F:F,销售数据包!A:A,A36,销售数据包!C:C,Base!$F$4)</f>
        <v>0</v>
      </c>
      <c r="C36" s="56">
        <f>SUMIFS(销售数据包!K:K,销售数据包!A:A,A36,销售数据包!C:C,Base!$F$2)+SUMIFS(销售数据包!K:K,销售数据包!A:A,A36,销售数据包!C:C,Base!$F$3)+SUMIFS(销售数据包!K:K,销售数据包!A:A,A36,销售数据包!C:C,Base!$F$4)</f>
        <v>0</v>
      </c>
      <c r="D36" s="56">
        <f>SUMIFS(销售数据包!Q:Q,销售数据包!A:A,A36,销售数据包!C:C,Base!$F$2)+SUMIFS(销售数据包!Q:Q,销售数据包!A:A,A36,销售数据包!C:C,Base!$F$3)+SUMIFS(销售数据包!Q:Q,销售数据包!A:A,A36,销售数据包!C:C,Base!$F$4)</f>
        <v>0</v>
      </c>
      <c r="E36" s="57">
        <f t="shared" si="0"/>
        <v>0</v>
      </c>
      <c r="F36" s="57">
        <f t="shared" si="1"/>
        <v>0</v>
      </c>
      <c r="G36" s="56">
        <f>SUMIFS(销售数据包!O:O,销售数据包!A:A,A36)</f>
        <v>0</v>
      </c>
      <c r="H36" s="57">
        <f t="shared" si="2"/>
        <v>0</v>
      </c>
      <c r="I36" s="71">
        <f t="shared" si="3"/>
        <v>0</v>
      </c>
      <c r="J36" s="72" t="str">
        <f t="shared" si="4"/>
        <v>周1</v>
      </c>
      <c r="K36" s="73">
        <f>SUMIFS(广告数据包!H:H,广告数据包!A:A,A36,广告数据包!G:G,Base!$F$2)+SUMIFS(广告数据包!H:H,广告数据包!A:A,A36,广告数据包!G:G,Base!$F$3)+SUMIFS(广告数据包!H:H,广告数据包!A:A,A36,广告数据包!G:G,Base!$F$4)</f>
        <v>0</v>
      </c>
      <c r="L36" s="56">
        <f>SUMIFS(广告数据包!I:I,广告数据包!A:A,A36,广告数据包!G:G,Base!$F$2)+SUMIFS(广告数据包!I:I,广告数据包!A:A,A36,广告数据包!G:G,Base!$F$3)+SUMIFS(广告数据包!I:I,广告数据包!A:A,A36,广告数据包!G:G,Base!$F$4)</f>
        <v>0</v>
      </c>
      <c r="M36" s="57">
        <f t="shared" si="5"/>
        <v>0</v>
      </c>
      <c r="N36" s="74">
        <f t="shared" si="6"/>
        <v>0</v>
      </c>
      <c r="O36" s="75">
        <f>SUMIFS(广告数据包!P:P,广告数据包!A:A,A36,广告数据包!G:G,Base!$F$2)+SUMIFS(广告数据包!P:P,广告数据包!A:A,A36,广告数据包!G:G,Base!$F$3)+SUMIFS(广告数据包!P:P,广告数据包!A:A,A36,广告数据包!G:G,Base!$F$4)</f>
        <v>0</v>
      </c>
      <c r="P36" s="56">
        <f>SUMIFS(广告数据包!M:M,广告数据包!A:A,A36,广告数据包!G:G,Base!$F$2)+SUMIFS(广告数据包!M:M,广告数据包!A:A,A36,广告数据包!G:G,Base!$F$3)+SUMIFS(广告数据包!M:M,广告数据包!A:A,A36,广告数据包!G:G,Base!$F$4)</f>
        <v>0</v>
      </c>
      <c r="Q36" s="57">
        <f t="shared" si="7"/>
        <v>0</v>
      </c>
      <c r="R36" s="56">
        <f>SUMIFS(广告数据包!L:L,广告数据包!A:A,A36,广告数据包!G:G,Base!$F$2)+SUMIFS(广告数据包!L:L,广告数据包!A:A,A36,广告数据包!G:G,Base!$F$3)+SUMIFS(广告数据包!L:L,广告数据包!A:A,A36,广告数据包!G:G,Base!$F$4)</f>
        <v>0</v>
      </c>
      <c r="S36" s="86">
        <f t="shared" si="8"/>
        <v>0</v>
      </c>
    </row>
    <row r="37" ht="16.5" spans="1:19">
      <c r="A37" s="54">
        <v>44474</v>
      </c>
      <c r="B37" s="55">
        <f>SUMIFS(销售数据包!F:F,销售数据包!A:A,A37,销售数据包!C:C,Base!$F$2)+SUMIFS(销售数据包!F:F,销售数据包!A:A,A37,销售数据包!C:C,Base!$F$3)+SUMIFS(销售数据包!F:F,销售数据包!A:A,A37,销售数据包!C:C,Base!$F$4)</f>
        <v>0</v>
      </c>
      <c r="C37" s="56">
        <f>SUMIFS(销售数据包!K:K,销售数据包!A:A,A37,销售数据包!C:C,Base!$F$2)+SUMIFS(销售数据包!K:K,销售数据包!A:A,A37,销售数据包!C:C,Base!$F$3)+SUMIFS(销售数据包!K:K,销售数据包!A:A,A37,销售数据包!C:C,Base!$F$4)</f>
        <v>0</v>
      </c>
      <c r="D37" s="56">
        <f>SUMIFS(销售数据包!Q:Q,销售数据包!A:A,A37,销售数据包!C:C,Base!$F$2)+SUMIFS(销售数据包!Q:Q,销售数据包!A:A,A37,销售数据包!C:C,Base!$F$3)+SUMIFS(销售数据包!Q:Q,销售数据包!A:A,A37,销售数据包!C:C,Base!$F$4)</f>
        <v>0</v>
      </c>
      <c r="E37" s="57">
        <f t="shared" si="0"/>
        <v>0</v>
      </c>
      <c r="F37" s="57">
        <f t="shared" si="1"/>
        <v>0</v>
      </c>
      <c r="G37" s="56">
        <f>SUMIFS(销售数据包!O:O,销售数据包!A:A,A37)</f>
        <v>0</v>
      </c>
      <c r="H37" s="57">
        <f t="shared" si="2"/>
        <v>0</v>
      </c>
      <c r="I37" s="71">
        <f t="shared" si="3"/>
        <v>0</v>
      </c>
      <c r="J37" s="72" t="str">
        <f t="shared" si="4"/>
        <v>周2</v>
      </c>
      <c r="K37" s="73">
        <f>SUMIFS(广告数据包!H:H,广告数据包!A:A,A37,广告数据包!G:G,Base!$F$2)+SUMIFS(广告数据包!H:H,广告数据包!A:A,A37,广告数据包!G:G,Base!$F$3)+SUMIFS(广告数据包!H:H,广告数据包!A:A,A37,广告数据包!G:G,Base!$F$4)</f>
        <v>0</v>
      </c>
      <c r="L37" s="56">
        <f>SUMIFS(广告数据包!I:I,广告数据包!A:A,A37,广告数据包!G:G,Base!$F$2)+SUMIFS(广告数据包!I:I,广告数据包!A:A,A37,广告数据包!G:G,Base!$F$3)+SUMIFS(广告数据包!I:I,广告数据包!A:A,A37,广告数据包!G:G,Base!$F$4)</f>
        <v>0</v>
      </c>
      <c r="M37" s="57">
        <f t="shared" si="5"/>
        <v>0</v>
      </c>
      <c r="N37" s="74">
        <f t="shared" si="6"/>
        <v>0</v>
      </c>
      <c r="O37" s="75">
        <f>SUMIFS(广告数据包!P:P,广告数据包!A:A,A37,广告数据包!G:G,Base!$F$2)+SUMIFS(广告数据包!P:P,广告数据包!A:A,A37,广告数据包!G:G,Base!$F$3)+SUMIFS(广告数据包!P:P,广告数据包!A:A,A37,广告数据包!G:G,Base!$F$4)</f>
        <v>0</v>
      </c>
      <c r="P37" s="56">
        <f>SUMIFS(广告数据包!M:M,广告数据包!A:A,A37,广告数据包!G:G,Base!$F$2)+SUMIFS(广告数据包!M:M,广告数据包!A:A,A37,广告数据包!G:G,Base!$F$3)+SUMIFS(广告数据包!M:M,广告数据包!A:A,A37,广告数据包!G:G,Base!$F$4)</f>
        <v>0</v>
      </c>
      <c r="Q37" s="57">
        <f t="shared" si="7"/>
        <v>0</v>
      </c>
      <c r="R37" s="56">
        <f>SUMIFS(广告数据包!L:L,广告数据包!A:A,A37,广告数据包!G:G,Base!$F$2)+SUMIFS(广告数据包!L:L,广告数据包!A:A,A37,广告数据包!G:G,Base!$F$3)+SUMIFS(广告数据包!L:L,广告数据包!A:A,A37,广告数据包!G:G,Base!$F$4)</f>
        <v>0</v>
      </c>
      <c r="S37" s="86">
        <f t="shared" si="8"/>
        <v>0</v>
      </c>
    </row>
    <row r="38" ht="16.5" spans="1:19">
      <c r="A38" s="54">
        <v>44475</v>
      </c>
      <c r="B38" s="55">
        <f>SUMIFS(销售数据包!F:F,销售数据包!A:A,A38,销售数据包!C:C,Base!$F$2)+SUMIFS(销售数据包!F:F,销售数据包!A:A,A38,销售数据包!C:C,Base!$F$3)+SUMIFS(销售数据包!F:F,销售数据包!A:A,A38,销售数据包!C:C,Base!$F$4)</f>
        <v>0</v>
      </c>
      <c r="C38" s="56">
        <f>SUMIFS(销售数据包!K:K,销售数据包!A:A,A38,销售数据包!C:C,Base!$F$2)+SUMIFS(销售数据包!K:K,销售数据包!A:A,A38,销售数据包!C:C,Base!$F$3)+SUMIFS(销售数据包!K:K,销售数据包!A:A,A38,销售数据包!C:C,Base!$F$4)</f>
        <v>0</v>
      </c>
      <c r="D38" s="56">
        <f>SUMIFS(销售数据包!Q:Q,销售数据包!A:A,A38,销售数据包!C:C,Base!$F$2)+SUMIFS(销售数据包!Q:Q,销售数据包!A:A,A38,销售数据包!C:C,Base!$F$3)+SUMIFS(销售数据包!Q:Q,销售数据包!A:A,A38,销售数据包!C:C,Base!$F$4)</f>
        <v>0</v>
      </c>
      <c r="E38" s="57">
        <f t="shared" si="0"/>
        <v>0</v>
      </c>
      <c r="F38" s="57">
        <f t="shared" si="1"/>
        <v>0</v>
      </c>
      <c r="G38" s="56">
        <f>SUMIFS(销售数据包!O:O,销售数据包!A:A,A38)</f>
        <v>0</v>
      </c>
      <c r="H38" s="57">
        <f t="shared" si="2"/>
        <v>0</v>
      </c>
      <c r="I38" s="71">
        <f t="shared" si="3"/>
        <v>0</v>
      </c>
      <c r="J38" s="72" t="str">
        <f t="shared" si="4"/>
        <v>周3</v>
      </c>
      <c r="K38" s="73">
        <f>SUMIFS(广告数据包!H:H,广告数据包!A:A,A38,广告数据包!G:G,Base!$F$2)+SUMIFS(广告数据包!H:H,广告数据包!A:A,A38,广告数据包!G:G,Base!$F$3)+SUMIFS(广告数据包!H:H,广告数据包!A:A,A38,广告数据包!G:G,Base!$F$4)</f>
        <v>0</v>
      </c>
      <c r="L38" s="56">
        <f>SUMIFS(广告数据包!I:I,广告数据包!A:A,A38,广告数据包!G:G,Base!$F$2)+SUMIFS(广告数据包!I:I,广告数据包!A:A,A38,广告数据包!G:G,Base!$F$3)+SUMIFS(广告数据包!I:I,广告数据包!A:A,A38,广告数据包!G:G,Base!$F$4)</f>
        <v>0</v>
      </c>
      <c r="M38" s="57">
        <f t="shared" si="5"/>
        <v>0</v>
      </c>
      <c r="N38" s="74">
        <f t="shared" si="6"/>
        <v>0</v>
      </c>
      <c r="O38" s="75">
        <f>SUMIFS(广告数据包!P:P,广告数据包!A:A,A38,广告数据包!G:G,Base!$F$2)+SUMIFS(广告数据包!P:P,广告数据包!A:A,A38,广告数据包!G:G,Base!$F$3)+SUMIFS(广告数据包!P:P,广告数据包!A:A,A38,广告数据包!G:G,Base!$F$4)</f>
        <v>0</v>
      </c>
      <c r="P38" s="56">
        <f>SUMIFS(广告数据包!M:M,广告数据包!A:A,A38,广告数据包!G:G,Base!$F$2)+SUMIFS(广告数据包!M:M,广告数据包!A:A,A38,广告数据包!G:G,Base!$F$3)+SUMIFS(广告数据包!M:M,广告数据包!A:A,A38,广告数据包!G:G,Base!$F$4)</f>
        <v>0</v>
      </c>
      <c r="Q38" s="57">
        <f t="shared" si="7"/>
        <v>0</v>
      </c>
      <c r="R38" s="56">
        <f>SUMIFS(广告数据包!L:L,广告数据包!A:A,A38,广告数据包!G:G,Base!$F$2)+SUMIFS(广告数据包!L:L,广告数据包!A:A,A38,广告数据包!G:G,Base!$F$3)+SUMIFS(广告数据包!L:L,广告数据包!A:A,A38,广告数据包!G:G,Base!$F$4)</f>
        <v>0</v>
      </c>
      <c r="S38" s="86">
        <f t="shared" si="8"/>
        <v>0</v>
      </c>
    </row>
    <row r="39" ht="16.5" spans="1:19">
      <c r="A39" s="54">
        <v>44476</v>
      </c>
      <c r="B39" s="55">
        <f>SUMIFS(销售数据包!F:F,销售数据包!A:A,A39,销售数据包!C:C,Base!$F$2)+SUMIFS(销售数据包!F:F,销售数据包!A:A,A39,销售数据包!C:C,Base!$F$3)+SUMIFS(销售数据包!F:F,销售数据包!A:A,A39,销售数据包!C:C,Base!$F$4)</f>
        <v>0</v>
      </c>
      <c r="C39" s="56">
        <f>SUMIFS(销售数据包!K:K,销售数据包!A:A,A39,销售数据包!C:C,Base!$F$2)+SUMIFS(销售数据包!K:K,销售数据包!A:A,A39,销售数据包!C:C,Base!$F$3)+SUMIFS(销售数据包!K:K,销售数据包!A:A,A39,销售数据包!C:C,Base!$F$4)</f>
        <v>0</v>
      </c>
      <c r="D39" s="56">
        <f>SUMIFS(销售数据包!Q:Q,销售数据包!A:A,A39,销售数据包!C:C,Base!$F$2)+SUMIFS(销售数据包!Q:Q,销售数据包!A:A,A39,销售数据包!C:C,Base!$F$3)+SUMIFS(销售数据包!Q:Q,销售数据包!A:A,A39,销售数据包!C:C,Base!$F$4)</f>
        <v>0</v>
      </c>
      <c r="E39" s="57">
        <f t="shared" si="0"/>
        <v>0</v>
      </c>
      <c r="F39" s="57">
        <f t="shared" si="1"/>
        <v>0</v>
      </c>
      <c r="G39" s="56">
        <f>SUMIFS(销售数据包!O:O,销售数据包!A:A,A39)</f>
        <v>0</v>
      </c>
      <c r="H39" s="57">
        <f t="shared" si="2"/>
        <v>0</v>
      </c>
      <c r="I39" s="71">
        <f t="shared" si="3"/>
        <v>0</v>
      </c>
      <c r="J39" s="72" t="str">
        <f t="shared" si="4"/>
        <v>周4</v>
      </c>
      <c r="K39" s="73">
        <f>SUMIFS(广告数据包!H:H,广告数据包!A:A,A39,广告数据包!G:G,Base!$F$2)+SUMIFS(广告数据包!H:H,广告数据包!A:A,A39,广告数据包!G:G,Base!$F$3)+SUMIFS(广告数据包!H:H,广告数据包!A:A,A39,广告数据包!G:G,Base!$F$4)</f>
        <v>0</v>
      </c>
      <c r="L39" s="56">
        <f>SUMIFS(广告数据包!I:I,广告数据包!A:A,A39,广告数据包!G:G,Base!$F$2)+SUMIFS(广告数据包!I:I,广告数据包!A:A,A39,广告数据包!G:G,Base!$F$3)+SUMIFS(广告数据包!I:I,广告数据包!A:A,A39,广告数据包!G:G,Base!$F$4)</f>
        <v>0</v>
      </c>
      <c r="M39" s="57">
        <f t="shared" si="5"/>
        <v>0</v>
      </c>
      <c r="N39" s="74">
        <f t="shared" si="6"/>
        <v>0</v>
      </c>
      <c r="O39" s="75">
        <f>SUMIFS(广告数据包!P:P,广告数据包!A:A,A39,广告数据包!G:G,Base!$F$2)+SUMIFS(广告数据包!P:P,广告数据包!A:A,A39,广告数据包!G:G,Base!$F$3)+SUMIFS(广告数据包!P:P,广告数据包!A:A,A39,广告数据包!G:G,Base!$F$4)</f>
        <v>0</v>
      </c>
      <c r="P39" s="56">
        <f>SUMIFS(广告数据包!M:M,广告数据包!A:A,A39,广告数据包!G:G,Base!$F$2)+SUMIFS(广告数据包!M:M,广告数据包!A:A,A39,广告数据包!G:G,Base!$F$3)+SUMIFS(广告数据包!M:M,广告数据包!A:A,A39,广告数据包!G:G,Base!$F$4)</f>
        <v>0</v>
      </c>
      <c r="Q39" s="57">
        <f t="shared" si="7"/>
        <v>0</v>
      </c>
      <c r="R39" s="56">
        <f>SUMIFS(广告数据包!L:L,广告数据包!A:A,A39,广告数据包!G:G,Base!$F$2)+SUMIFS(广告数据包!L:L,广告数据包!A:A,A39,广告数据包!G:G,Base!$F$3)+SUMIFS(广告数据包!L:L,广告数据包!A:A,A39,广告数据包!G:G,Base!$F$4)</f>
        <v>0</v>
      </c>
      <c r="S39" s="86">
        <f t="shared" si="8"/>
        <v>0</v>
      </c>
    </row>
    <row r="40" ht="16.5" spans="1:19">
      <c r="A40" s="54">
        <v>44477</v>
      </c>
      <c r="B40" s="55">
        <f>SUMIFS(销售数据包!F:F,销售数据包!A:A,A40,销售数据包!C:C,Base!$F$2)+SUMIFS(销售数据包!F:F,销售数据包!A:A,A40,销售数据包!C:C,Base!$F$3)+SUMIFS(销售数据包!F:F,销售数据包!A:A,A40,销售数据包!C:C,Base!$F$4)</f>
        <v>0</v>
      </c>
      <c r="C40" s="56">
        <f>SUMIFS(销售数据包!K:K,销售数据包!A:A,A40,销售数据包!C:C,Base!$F$2)+SUMIFS(销售数据包!K:K,销售数据包!A:A,A40,销售数据包!C:C,Base!$F$3)+SUMIFS(销售数据包!K:K,销售数据包!A:A,A40,销售数据包!C:C,Base!$F$4)</f>
        <v>0</v>
      </c>
      <c r="D40" s="56">
        <f>SUMIFS(销售数据包!Q:Q,销售数据包!A:A,A40,销售数据包!C:C,Base!$F$2)+SUMIFS(销售数据包!Q:Q,销售数据包!A:A,A40,销售数据包!C:C,Base!$F$3)+SUMIFS(销售数据包!Q:Q,销售数据包!A:A,A40,销售数据包!C:C,Base!$F$4)</f>
        <v>0</v>
      </c>
      <c r="E40" s="57">
        <f t="shared" si="0"/>
        <v>0</v>
      </c>
      <c r="F40" s="57">
        <f t="shared" si="1"/>
        <v>0</v>
      </c>
      <c r="G40" s="56">
        <f>SUMIFS(销售数据包!O:O,销售数据包!A:A,A40)</f>
        <v>0</v>
      </c>
      <c r="H40" s="57">
        <f t="shared" si="2"/>
        <v>0</v>
      </c>
      <c r="I40" s="71">
        <f t="shared" si="3"/>
        <v>0</v>
      </c>
      <c r="J40" s="72" t="str">
        <f t="shared" si="4"/>
        <v>周5</v>
      </c>
      <c r="K40" s="73">
        <f>SUMIFS(广告数据包!H:H,广告数据包!A:A,A40,广告数据包!G:G,Base!$F$2)+SUMIFS(广告数据包!H:H,广告数据包!A:A,A40,广告数据包!G:G,Base!$F$3)+SUMIFS(广告数据包!H:H,广告数据包!A:A,A40,广告数据包!G:G,Base!$F$4)</f>
        <v>0</v>
      </c>
      <c r="L40" s="56">
        <f>SUMIFS(广告数据包!I:I,广告数据包!A:A,A40,广告数据包!G:G,Base!$F$2)+SUMIFS(广告数据包!I:I,广告数据包!A:A,A40,广告数据包!G:G,Base!$F$3)+SUMIFS(广告数据包!I:I,广告数据包!A:A,A40,广告数据包!G:G,Base!$F$4)</f>
        <v>0</v>
      </c>
      <c r="M40" s="57">
        <f t="shared" si="5"/>
        <v>0</v>
      </c>
      <c r="N40" s="74">
        <f t="shared" si="6"/>
        <v>0</v>
      </c>
      <c r="O40" s="75">
        <f>SUMIFS(广告数据包!P:P,广告数据包!A:A,A40,广告数据包!G:G,Base!$F$2)+SUMIFS(广告数据包!P:P,广告数据包!A:A,A40,广告数据包!G:G,Base!$F$3)+SUMIFS(广告数据包!P:P,广告数据包!A:A,A40,广告数据包!G:G,Base!$F$4)</f>
        <v>0</v>
      </c>
      <c r="P40" s="56">
        <f>SUMIFS(广告数据包!M:M,广告数据包!A:A,A40,广告数据包!G:G,Base!$F$2)+SUMIFS(广告数据包!M:M,广告数据包!A:A,A40,广告数据包!G:G,Base!$F$3)+SUMIFS(广告数据包!M:M,广告数据包!A:A,A40,广告数据包!G:G,Base!$F$4)</f>
        <v>0</v>
      </c>
      <c r="Q40" s="57">
        <f t="shared" si="7"/>
        <v>0</v>
      </c>
      <c r="R40" s="56">
        <f>SUMIFS(广告数据包!L:L,广告数据包!A:A,A40,广告数据包!G:G,Base!$F$2)+SUMIFS(广告数据包!L:L,广告数据包!A:A,A40,广告数据包!G:G,Base!$F$3)+SUMIFS(广告数据包!L:L,广告数据包!A:A,A40,广告数据包!G:G,Base!$F$4)</f>
        <v>0</v>
      </c>
      <c r="S40" s="86">
        <f t="shared" si="8"/>
        <v>0</v>
      </c>
    </row>
    <row r="41" ht="16.5" spans="1:19">
      <c r="A41" s="54">
        <v>44478</v>
      </c>
      <c r="B41" s="55">
        <f>SUMIFS(销售数据包!F:F,销售数据包!A:A,A41,销售数据包!C:C,Base!$F$2)+SUMIFS(销售数据包!F:F,销售数据包!A:A,A41,销售数据包!C:C,Base!$F$3)+SUMIFS(销售数据包!F:F,销售数据包!A:A,A41,销售数据包!C:C,Base!$F$4)</f>
        <v>0</v>
      </c>
      <c r="C41" s="56">
        <f>SUMIFS(销售数据包!K:K,销售数据包!A:A,A41,销售数据包!C:C,Base!$F$2)+SUMIFS(销售数据包!K:K,销售数据包!A:A,A41,销售数据包!C:C,Base!$F$3)+SUMIFS(销售数据包!K:K,销售数据包!A:A,A41,销售数据包!C:C,Base!$F$4)</f>
        <v>0</v>
      </c>
      <c r="D41" s="56">
        <f>SUMIFS(销售数据包!Q:Q,销售数据包!A:A,A41,销售数据包!C:C,Base!$F$2)+SUMIFS(销售数据包!Q:Q,销售数据包!A:A,A41,销售数据包!C:C,Base!$F$3)+SUMIFS(销售数据包!Q:Q,销售数据包!A:A,A41,销售数据包!C:C,Base!$F$4)</f>
        <v>0</v>
      </c>
      <c r="E41" s="57">
        <f t="shared" si="0"/>
        <v>0</v>
      </c>
      <c r="F41" s="57">
        <f t="shared" si="1"/>
        <v>0</v>
      </c>
      <c r="G41" s="56">
        <f>SUMIFS(销售数据包!O:O,销售数据包!A:A,A41)</f>
        <v>0</v>
      </c>
      <c r="H41" s="57">
        <f t="shared" si="2"/>
        <v>0</v>
      </c>
      <c r="I41" s="71">
        <f t="shared" si="3"/>
        <v>0</v>
      </c>
      <c r="J41" s="72" t="str">
        <f t="shared" si="4"/>
        <v>周6</v>
      </c>
      <c r="K41" s="73">
        <f>SUMIFS(广告数据包!H:H,广告数据包!A:A,A41,广告数据包!G:G,Base!$F$2)+SUMIFS(广告数据包!H:H,广告数据包!A:A,A41,广告数据包!G:G,Base!$F$3)+SUMIFS(广告数据包!H:H,广告数据包!A:A,A41,广告数据包!G:G,Base!$F$4)</f>
        <v>0</v>
      </c>
      <c r="L41" s="56">
        <f>SUMIFS(广告数据包!I:I,广告数据包!A:A,A41,广告数据包!G:G,Base!$F$2)+SUMIFS(广告数据包!I:I,广告数据包!A:A,A41,广告数据包!G:G,Base!$F$3)+SUMIFS(广告数据包!I:I,广告数据包!A:A,A41,广告数据包!G:G,Base!$F$4)</f>
        <v>0</v>
      </c>
      <c r="M41" s="57">
        <f t="shared" si="5"/>
        <v>0</v>
      </c>
      <c r="N41" s="74">
        <f t="shared" si="6"/>
        <v>0</v>
      </c>
      <c r="O41" s="75">
        <f>SUMIFS(广告数据包!P:P,广告数据包!A:A,A41,广告数据包!G:G,Base!$F$2)+SUMIFS(广告数据包!P:P,广告数据包!A:A,A41,广告数据包!G:G,Base!$F$3)+SUMIFS(广告数据包!P:P,广告数据包!A:A,A41,广告数据包!G:G,Base!$F$4)</f>
        <v>0</v>
      </c>
      <c r="P41" s="56">
        <f>SUMIFS(广告数据包!M:M,广告数据包!A:A,A41,广告数据包!G:G,Base!$F$2)+SUMIFS(广告数据包!M:M,广告数据包!A:A,A41,广告数据包!G:G,Base!$F$3)+SUMIFS(广告数据包!M:M,广告数据包!A:A,A41,广告数据包!G:G,Base!$F$4)</f>
        <v>0</v>
      </c>
      <c r="Q41" s="57">
        <f t="shared" si="7"/>
        <v>0</v>
      </c>
      <c r="R41" s="56">
        <f>SUMIFS(广告数据包!L:L,广告数据包!A:A,A41,广告数据包!G:G,Base!$F$2)+SUMIFS(广告数据包!L:L,广告数据包!A:A,A41,广告数据包!G:G,Base!$F$3)+SUMIFS(广告数据包!L:L,广告数据包!A:A,A41,广告数据包!G:G,Base!$F$4)</f>
        <v>0</v>
      </c>
      <c r="S41" s="86">
        <f t="shared" si="8"/>
        <v>0</v>
      </c>
    </row>
    <row r="42" ht="16.5" spans="1:19">
      <c r="A42" s="54">
        <v>44479</v>
      </c>
      <c r="B42" s="55">
        <f>SUMIFS(销售数据包!F:F,销售数据包!A:A,A42,销售数据包!C:C,Base!$F$2)+SUMIFS(销售数据包!F:F,销售数据包!A:A,A42,销售数据包!C:C,Base!$F$3)+SUMIFS(销售数据包!F:F,销售数据包!A:A,A42,销售数据包!C:C,Base!$F$4)</f>
        <v>0</v>
      </c>
      <c r="C42" s="56">
        <f>SUMIFS(销售数据包!K:K,销售数据包!A:A,A42,销售数据包!C:C,Base!$F$2)+SUMIFS(销售数据包!K:K,销售数据包!A:A,A42,销售数据包!C:C,Base!$F$3)+SUMIFS(销售数据包!K:K,销售数据包!A:A,A42,销售数据包!C:C,Base!$F$4)</f>
        <v>0</v>
      </c>
      <c r="D42" s="56">
        <f>SUMIFS(销售数据包!Q:Q,销售数据包!A:A,A42,销售数据包!C:C,Base!$F$2)+SUMIFS(销售数据包!Q:Q,销售数据包!A:A,A42,销售数据包!C:C,Base!$F$3)+SUMIFS(销售数据包!Q:Q,销售数据包!A:A,A42,销售数据包!C:C,Base!$F$4)</f>
        <v>0</v>
      </c>
      <c r="E42" s="57">
        <f t="shared" si="0"/>
        <v>0</v>
      </c>
      <c r="F42" s="57">
        <f t="shared" si="1"/>
        <v>0</v>
      </c>
      <c r="G42" s="56">
        <f>SUMIFS(销售数据包!O:O,销售数据包!A:A,A42)</f>
        <v>0</v>
      </c>
      <c r="H42" s="57">
        <f t="shared" si="2"/>
        <v>0</v>
      </c>
      <c r="I42" s="71">
        <f t="shared" si="3"/>
        <v>0</v>
      </c>
      <c r="J42" s="72" t="str">
        <f t="shared" si="4"/>
        <v>周7</v>
      </c>
      <c r="K42" s="73">
        <f>SUMIFS(广告数据包!H:H,广告数据包!A:A,A42,广告数据包!G:G,Base!$F$2)+SUMIFS(广告数据包!H:H,广告数据包!A:A,A42,广告数据包!G:G,Base!$F$3)+SUMIFS(广告数据包!H:H,广告数据包!A:A,A42,广告数据包!G:G,Base!$F$4)</f>
        <v>0</v>
      </c>
      <c r="L42" s="56">
        <f>SUMIFS(广告数据包!I:I,广告数据包!A:A,A42,广告数据包!G:G,Base!$F$2)+SUMIFS(广告数据包!I:I,广告数据包!A:A,A42,广告数据包!G:G,Base!$F$3)+SUMIFS(广告数据包!I:I,广告数据包!A:A,A42,广告数据包!G:G,Base!$F$4)</f>
        <v>0</v>
      </c>
      <c r="M42" s="57">
        <f t="shared" si="5"/>
        <v>0</v>
      </c>
      <c r="N42" s="74">
        <f t="shared" si="6"/>
        <v>0</v>
      </c>
      <c r="O42" s="75">
        <f>SUMIFS(广告数据包!P:P,广告数据包!A:A,A42,广告数据包!G:G,Base!$F$2)+SUMIFS(广告数据包!P:P,广告数据包!A:A,A42,广告数据包!G:G,Base!$F$3)+SUMIFS(广告数据包!P:P,广告数据包!A:A,A42,广告数据包!G:G,Base!$F$4)</f>
        <v>0</v>
      </c>
      <c r="P42" s="56">
        <f>SUMIFS(广告数据包!M:M,广告数据包!A:A,A42,广告数据包!G:G,Base!$F$2)+SUMIFS(广告数据包!M:M,广告数据包!A:A,A42,广告数据包!G:G,Base!$F$3)+SUMIFS(广告数据包!M:M,广告数据包!A:A,A42,广告数据包!G:G,Base!$F$4)</f>
        <v>0</v>
      </c>
      <c r="Q42" s="57">
        <f t="shared" si="7"/>
        <v>0</v>
      </c>
      <c r="R42" s="56">
        <f>SUMIFS(广告数据包!L:L,广告数据包!A:A,A42,广告数据包!G:G,Base!$F$2)+SUMIFS(广告数据包!L:L,广告数据包!A:A,A42,广告数据包!G:G,Base!$F$3)+SUMIFS(广告数据包!L:L,广告数据包!A:A,A42,广告数据包!G:G,Base!$F$4)</f>
        <v>0</v>
      </c>
      <c r="S42" s="86">
        <f t="shared" si="8"/>
        <v>0</v>
      </c>
    </row>
    <row r="43" ht="16.5" spans="1:19">
      <c r="A43" s="54">
        <v>44480</v>
      </c>
      <c r="B43" s="55">
        <f>SUMIFS(销售数据包!F:F,销售数据包!A:A,A43,销售数据包!C:C,Base!$F$2)+SUMIFS(销售数据包!F:F,销售数据包!A:A,A43,销售数据包!C:C,Base!$F$3)+SUMIFS(销售数据包!F:F,销售数据包!A:A,A43,销售数据包!C:C,Base!$F$4)</f>
        <v>0</v>
      </c>
      <c r="C43" s="56">
        <f>SUMIFS(销售数据包!K:K,销售数据包!A:A,A43,销售数据包!C:C,Base!$F$2)+SUMIFS(销售数据包!K:K,销售数据包!A:A,A43,销售数据包!C:C,Base!$F$3)+SUMIFS(销售数据包!K:K,销售数据包!A:A,A43,销售数据包!C:C,Base!$F$4)</f>
        <v>0</v>
      </c>
      <c r="D43" s="56">
        <f>SUMIFS(销售数据包!Q:Q,销售数据包!A:A,A43,销售数据包!C:C,Base!$F$2)+SUMIFS(销售数据包!Q:Q,销售数据包!A:A,A43,销售数据包!C:C,Base!$F$3)+SUMIFS(销售数据包!Q:Q,销售数据包!A:A,A43,销售数据包!C:C,Base!$F$4)</f>
        <v>0</v>
      </c>
      <c r="E43" s="57">
        <f t="shared" si="0"/>
        <v>0</v>
      </c>
      <c r="F43" s="57">
        <f t="shared" si="1"/>
        <v>0</v>
      </c>
      <c r="G43" s="56">
        <f>SUMIFS(销售数据包!O:O,销售数据包!A:A,A43)</f>
        <v>0</v>
      </c>
      <c r="H43" s="57">
        <f t="shared" si="2"/>
        <v>0</v>
      </c>
      <c r="I43" s="71">
        <f t="shared" si="3"/>
        <v>0</v>
      </c>
      <c r="J43" s="72" t="str">
        <f t="shared" si="4"/>
        <v>周1</v>
      </c>
      <c r="K43" s="73">
        <f>SUMIFS(广告数据包!H:H,广告数据包!A:A,A43,广告数据包!G:G,Base!$F$2)+SUMIFS(广告数据包!H:H,广告数据包!A:A,A43,广告数据包!G:G,Base!$F$3)+SUMIFS(广告数据包!H:H,广告数据包!A:A,A43,广告数据包!G:G,Base!$F$4)</f>
        <v>0</v>
      </c>
      <c r="L43" s="56">
        <f>SUMIFS(广告数据包!I:I,广告数据包!A:A,A43,广告数据包!G:G,Base!$F$2)+SUMIFS(广告数据包!I:I,广告数据包!A:A,A43,广告数据包!G:G,Base!$F$3)+SUMIFS(广告数据包!I:I,广告数据包!A:A,A43,广告数据包!G:G,Base!$F$4)</f>
        <v>0</v>
      </c>
      <c r="M43" s="57">
        <f t="shared" si="5"/>
        <v>0</v>
      </c>
      <c r="N43" s="74">
        <f t="shared" si="6"/>
        <v>0</v>
      </c>
      <c r="O43" s="75">
        <f>SUMIFS(广告数据包!P:P,广告数据包!A:A,A43,广告数据包!G:G,Base!$F$2)+SUMIFS(广告数据包!P:P,广告数据包!A:A,A43,广告数据包!G:G,Base!$F$3)+SUMIFS(广告数据包!P:P,广告数据包!A:A,A43,广告数据包!G:G,Base!$F$4)</f>
        <v>0</v>
      </c>
      <c r="P43" s="56">
        <f>SUMIFS(广告数据包!M:M,广告数据包!A:A,A43,广告数据包!G:G,Base!$F$2)+SUMIFS(广告数据包!M:M,广告数据包!A:A,A43,广告数据包!G:G,Base!$F$3)+SUMIFS(广告数据包!M:M,广告数据包!A:A,A43,广告数据包!G:G,Base!$F$4)</f>
        <v>0</v>
      </c>
      <c r="Q43" s="57">
        <f t="shared" si="7"/>
        <v>0</v>
      </c>
      <c r="R43" s="56">
        <f>SUMIFS(广告数据包!L:L,广告数据包!A:A,A43,广告数据包!G:G,Base!$F$2)+SUMIFS(广告数据包!L:L,广告数据包!A:A,A43,广告数据包!G:G,Base!$F$3)+SUMIFS(广告数据包!L:L,广告数据包!A:A,A43,广告数据包!G:G,Base!$F$4)</f>
        <v>0</v>
      </c>
      <c r="S43" s="86">
        <f t="shared" si="8"/>
        <v>0</v>
      </c>
    </row>
    <row r="44" ht="16.5" spans="1:19">
      <c r="A44" s="54">
        <v>44481</v>
      </c>
      <c r="B44" s="55">
        <f>SUMIFS(销售数据包!F:F,销售数据包!A:A,A44,销售数据包!C:C,Base!$F$2)+SUMIFS(销售数据包!F:F,销售数据包!A:A,A44,销售数据包!C:C,Base!$F$3)+SUMIFS(销售数据包!F:F,销售数据包!A:A,A44,销售数据包!C:C,Base!$F$4)</f>
        <v>0</v>
      </c>
      <c r="C44" s="56">
        <f>SUMIFS(销售数据包!K:K,销售数据包!A:A,A44,销售数据包!C:C,Base!$F$2)+SUMIFS(销售数据包!K:K,销售数据包!A:A,A44,销售数据包!C:C,Base!$F$3)+SUMIFS(销售数据包!K:K,销售数据包!A:A,A44,销售数据包!C:C,Base!$F$4)</f>
        <v>0</v>
      </c>
      <c r="D44" s="56">
        <f>SUMIFS(销售数据包!Q:Q,销售数据包!A:A,A44,销售数据包!C:C,Base!$F$2)+SUMIFS(销售数据包!Q:Q,销售数据包!A:A,A44,销售数据包!C:C,Base!$F$3)+SUMIFS(销售数据包!Q:Q,销售数据包!A:A,A44,销售数据包!C:C,Base!$F$4)</f>
        <v>0</v>
      </c>
      <c r="E44" s="57">
        <f t="shared" si="0"/>
        <v>0</v>
      </c>
      <c r="F44" s="57">
        <f t="shared" si="1"/>
        <v>0</v>
      </c>
      <c r="G44" s="56">
        <f>SUMIFS(销售数据包!O:O,销售数据包!A:A,A44)</f>
        <v>0</v>
      </c>
      <c r="H44" s="57">
        <f t="shared" si="2"/>
        <v>0</v>
      </c>
      <c r="I44" s="71">
        <f t="shared" si="3"/>
        <v>0</v>
      </c>
      <c r="J44" s="72" t="str">
        <f t="shared" si="4"/>
        <v>周2</v>
      </c>
      <c r="K44" s="73">
        <f>SUMIFS(广告数据包!H:H,广告数据包!A:A,A44,广告数据包!G:G,Base!$F$2)+SUMIFS(广告数据包!H:H,广告数据包!A:A,A44,广告数据包!G:G,Base!$F$3)+SUMIFS(广告数据包!H:H,广告数据包!A:A,A44,广告数据包!G:G,Base!$F$4)</f>
        <v>0</v>
      </c>
      <c r="L44" s="56">
        <f>SUMIFS(广告数据包!I:I,广告数据包!A:A,A44,广告数据包!G:G,Base!$F$2)+SUMIFS(广告数据包!I:I,广告数据包!A:A,A44,广告数据包!G:G,Base!$F$3)+SUMIFS(广告数据包!I:I,广告数据包!A:A,A44,广告数据包!G:G,Base!$F$4)</f>
        <v>0</v>
      </c>
      <c r="M44" s="57">
        <f t="shared" si="5"/>
        <v>0</v>
      </c>
      <c r="N44" s="74">
        <f t="shared" si="6"/>
        <v>0</v>
      </c>
      <c r="O44" s="75">
        <f>SUMIFS(广告数据包!P:P,广告数据包!A:A,A44,广告数据包!G:G,Base!$F$2)+SUMIFS(广告数据包!P:P,广告数据包!A:A,A44,广告数据包!G:G,Base!$F$3)+SUMIFS(广告数据包!P:P,广告数据包!A:A,A44,广告数据包!G:G,Base!$F$4)</f>
        <v>0</v>
      </c>
      <c r="P44" s="56">
        <f>SUMIFS(广告数据包!M:M,广告数据包!A:A,A44,广告数据包!G:G,Base!$F$2)+SUMIFS(广告数据包!M:M,广告数据包!A:A,A44,广告数据包!G:G,Base!$F$3)+SUMIFS(广告数据包!M:M,广告数据包!A:A,A44,广告数据包!G:G,Base!$F$4)</f>
        <v>0</v>
      </c>
      <c r="Q44" s="57">
        <f t="shared" si="7"/>
        <v>0</v>
      </c>
      <c r="R44" s="56">
        <f>SUMIFS(广告数据包!L:L,广告数据包!A:A,A44,广告数据包!G:G,Base!$F$2)+SUMIFS(广告数据包!L:L,广告数据包!A:A,A44,广告数据包!G:G,Base!$F$3)+SUMIFS(广告数据包!L:L,广告数据包!A:A,A44,广告数据包!G:G,Base!$F$4)</f>
        <v>0</v>
      </c>
      <c r="S44" s="86">
        <f t="shared" si="8"/>
        <v>0</v>
      </c>
    </row>
    <row r="45" ht="16.5" spans="1:19">
      <c r="A45" s="54">
        <v>44482</v>
      </c>
      <c r="B45" s="55">
        <f>SUMIFS(销售数据包!F:F,销售数据包!A:A,A45,销售数据包!C:C,Base!$F$2)+SUMIFS(销售数据包!F:F,销售数据包!A:A,A45,销售数据包!C:C,Base!$F$3)+SUMIFS(销售数据包!F:F,销售数据包!A:A,A45,销售数据包!C:C,Base!$F$4)</f>
        <v>0</v>
      </c>
      <c r="C45" s="56">
        <f>SUMIFS(销售数据包!K:K,销售数据包!A:A,A45,销售数据包!C:C,Base!$F$2)+SUMIFS(销售数据包!K:K,销售数据包!A:A,A45,销售数据包!C:C,Base!$F$3)+SUMIFS(销售数据包!K:K,销售数据包!A:A,A45,销售数据包!C:C,Base!$F$4)</f>
        <v>0</v>
      </c>
      <c r="D45" s="56">
        <f>SUMIFS(销售数据包!Q:Q,销售数据包!A:A,A45,销售数据包!C:C,Base!$F$2)+SUMIFS(销售数据包!Q:Q,销售数据包!A:A,A45,销售数据包!C:C,Base!$F$3)+SUMIFS(销售数据包!Q:Q,销售数据包!A:A,A45,销售数据包!C:C,Base!$F$4)</f>
        <v>0</v>
      </c>
      <c r="E45" s="57">
        <f t="shared" si="0"/>
        <v>0</v>
      </c>
      <c r="F45" s="57">
        <f t="shared" si="1"/>
        <v>0</v>
      </c>
      <c r="G45" s="56">
        <f>SUMIFS(销售数据包!O:O,销售数据包!A:A,A45)</f>
        <v>0</v>
      </c>
      <c r="H45" s="57">
        <f t="shared" si="2"/>
        <v>0</v>
      </c>
      <c r="I45" s="71">
        <f t="shared" si="3"/>
        <v>0</v>
      </c>
      <c r="J45" s="72" t="str">
        <f t="shared" si="4"/>
        <v>周3</v>
      </c>
      <c r="K45" s="73">
        <f>SUMIFS(广告数据包!H:H,广告数据包!A:A,A45,广告数据包!G:G,Base!$F$2)+SUMIFS(广告数据包!H:H,广告数据包!A:A,A45,广告数据包!G:G,Base!$F$3)+SUMIFS(广告数据包!H:H,广告数据包!A:A,A45,广告数据包!G:G,Base!$F$4)</f>
        <v>0</v>
      </c>
      <c r="L45" s="56">
        <f>SUMIFS(广告数据包!I:I,广告数据包!A:A,A45,广告数据包!G:G,Base!$F$2)+SUMIFS(广告数据包!I:I,广告数据包!A:A,A45,广告数据包!G:G,Base!$F$3)+SUMIFS(广告数据包!I:I,广告数据包!A:A,A45,广告数据包!G:G,Base!$F$4)</f>
        <v>0</v>
      </c>
      <c r="M45" s="57">
        <f t="shared" si="5"/>
        <v>0</v>
      </c>
      <c r="N45" s="74">
        <f t="shared" si="6"/>
        <v>0</v>
      </c>
      <c r="O45" s="75">
        <f>SUMIFS(广告数据包!P:P,广告数据包!A:A,A45,广告数据包!G:G,Base!$F$2)+SUMIFS(广告数据包!P:P,广告数据包!A:A,A45,广告数据包!G:G,Base!$F$3)+SUMIFS(广告数据包!P:P,广告数据包!A:A,A45,广告数据包!G:G,Base!$F$4)</f>
        <v>0</v>
      </c>
      <c r="P45" s="56">
        <f>SUMIFS(广告数据包!M:M,广告数据包!A:A,A45,广告数据包!G:G,Base!$F$2)+SUMIFS(广告数据包!M:M,广告数据包!A:A,A45,广告数据包!G:G,Base!$F$3)+SUMIFS(广告数据包!M:M,广告数据包!A:A,A45,广告数据包!G:G,Base!$F$4)</f>
        <v>0</v>
      </c>
      <c r="Q45" s="57">
        <f t="shared" si="7"/>
        <v>0</v>
      </c>
      <c r="R45" s="56">
        <f>SUMIFS(广告数据包!L:L,广告数据包!A:A,A45,广告数据包!G:G,Base!$F$2)+SUMIFS(广告数据包!L:L,广告数据包!A:A,A45,广告数据包!G:G,Base!$F$3)+SUMIFS(广告数据包!L:L,广告数据包!A:A,A45,广告数据包!G:G,Base!$F$4)</f>
        <v>0</v>
      </c>
      <c r="S45" s="86">
        <f t="shared" si="8"/>
        <v>0</v>
      </c>
    </row>
    <row r="46" ht="16.5" spans="1:19">
      <c r="A46" s="54">
        <v>44483</v>
      </c>
      <c r="B46" s="55">
        <f>SUMIFS(销售数据包!F:F,销售数据包!A:A,A46,销售数据包!C:C,Base!$F$2)+SUMIFS(销售数据包!F:F,销售数据包!A:A,A46,销售数据包!C:C,Base!$F$3)+SUMIFS(销售数据包!F:F,销售数据包!A:A,A46,销售数据包!C:C,Base!$F$4)</f>
        <v>0</v>
      </c>
      <c r="C46" s="56">
        <f>SUMIFS(销售数据包!K:K,销售数据包!A:A,A46,销售数据包!C:C,Base!$F$2)+SUMIFS(销售数据包!K:K,销售数据包!A:A,A46,销售数据包!C:C,Base!$F$3)+SUMIFS(销售数据包!K:K,销售数据包!A:A,A46,销售数据包!C:C,Base!$F$4)</f>
        <v>0</v>
      </c>
      <c r="D46" s="56">
        <f>SUMIFS(销售数据包!Q:Q,销售数据包!A:A,A46,销售数据包!C:C,Base!$F$2)+SUMIFS(销售数据包!Q:Q,销售数据包!A:A,A46,销售数据包!C:C,Base!$F$3)+SUMIFS(销售数据包!Q:Q,销售数据包!A:A,A46,销售数据包!C:C,Base!$F$4)</f>
        <v>0</v>
      </c>
      <c r="E46" s="57">
        <f t="shared" si="0"/>
        <v>0</v>
      </c>
      <c r="F46" s="57">
        <f t="shared" si="1"/>
        <v>0</v>
      </c>
      <c r="G46" s="56">
        <f>SUMIFS(销售数据包!O:O,销售数据包!A:A,A46)</f>
        <v>0</v>
      </c>
      <c r="H46" s="57">
        <f t="shared" si="2"/>
        <v>0</v>
      </c>
      <c r="I46" s="71">
        <f t="shared" si="3"/>
        <v>0</v>
      </c>
      <c r="J46" s="72" t="str">
        <f t="shared" si="4"/>
        <v>周4</v>
      </c>
      <c r="K46" s="73">
        <f>SUMIFS(广告数据包!H:H,广告数据包!A:A,A46,广告数据包!G:G,Base!$F$2)+SUMIFS(广告数据包!H:H,广告数据包!A:A,A46,广告数据包!G:G,Base!$F$3)+SUMIFS(广告数据包!H:H,广告数据包!A:A,A46,广告数据包!G:G,Base!$F$4)</f>
        <v>0</v>
      </c>
      <c r="L46" s="56">
        <f>SUMIFS(广告数据包!I:I,广告数据包!A:A,A46,广告数据包!G:G,Base!$F$2)+SUMIFS(广告数据包!I:I,广告数据包!A:A,A46,广告数据包!G:G,Base!$F$3)+SUMIFS(广告数据包!I:I,广告数据包!A:A,A46,广告数据包!G:G,Base!$F$4)</f>
        <v>0</v>
      </c>
      <c r="M46" s="57">
        <f t="shared" si="5"/>
        <v>0</v>
      </c>
      <c r="N46" s="74">
        <f t="shared" si="6"/>
        <v>0</v>
      </c>
      <c r="O46" s="75">
        <f>SUMIFS(广告数据包!P:P,广告数据包!A:A,A46,广告数据包!G:G,Base!$F$2)+SUMIFS(广告数据包!P:P,广告数据包!A:A,A46,广告数据包!G:G,Base!$F$3)+SUMIFS(广告数据包!P:P,广告数据包!A:A,A46,广告数据包!G:G,Base!$F$4)</f>
        <v>0</v>
      </c>
      <c r="P46" s="56">
        <f>SUMIFS(广告数据包!M:M,广告数据包!A:A,A46,广告数据包!G:G,Base!$F$2)+SUMIFS(广告数据包!M:M,广告数据包!A:A,A46,广告数据包!G:G,Base!$F$3)+SUMIFS(广告数据包!M:M,广告数据包!A:A,A46,广告数据包!G:G,Base!$F$4)</f>
        <v>0</v>
      </c>
      <c r="Q46" s="57">
        <f t="shared" si="7"/>
        <v>0</v>
      </c>
      <c r="R46" s="56">
        <f>SUMIFS(广告数据包!L:L,广告数据包!A:A,A46,广告数据包!G:G,Base!$F$2)+SUMIFS(广告数据包!L:L,广告数据包!A:A,A46,广告数据包!G:G,Base!$F$3)+SUMIFS(广告数据包!L:L,广告数据包!A:A,A46,广告数据包!G:G,Base!$F$4)</f>
        <v>0</v>
      </c>
      <c r="S46" s="86">
        <f t="shared" si="8"/>
        <v>0</v>
      </c>
    </row>
    <row r="47" ht="16.5" spans="1:19">
      <c r="A47" s="54">
        <v>44484</v>
      </c>
      <c r="B47" s="55">
        <f>SUMIFS(销售数据包!F:F,销售数据包!A:A,A47,销售数据包!C:C,Base!$F$2)+SUMIFS(销售数据包!F:F,销售数据包!A:A,A47,销售数据包!C:C,Base!$F$3)+SUMIFS(销售数据包!F:F,销售数据包!A:A,A47,销售数据包!C:C,Base!$F$4)</f>
        <v>0</v>
      </c>
      <c r="C47" s="56">
        <f>SUMIFS(销售数据包!K:K,销售数据包!A:A,A47,销售数据包!C:C,Base!$F$2)+SUMIFS(销售数据包!K:K,销售数据包!A:A,A47,销售数据包!C:C,Base!$F$3)+SUMIFS(销售数据包!K:K,销售数据包!A:A,A47,销售数据包!C:C,Base!$F$4)</f>
        <v>0</v>
      </c>
      <c r="D47" s="56">
        <f>SUMIFS(销售数据包!Q:Q,销售数据包!A:A,A47,销售数据包!C:C,Base!$F$2)+SUMIFS(销售数据包!Q:Q,销售数据包!A:A,A47,销售数据包!C:C,Base!$F$3)+SUMIFS(销售数据包!Q:Q,销售数据包!A:A,A47,销售数据包!C:C,Base!$F$4)</f>
        <v>0</v>
      </c>
      <c r="E47" s="57">
        <f t="shared" si="0"/>
        <v>0</v>
      </c>
      <c r="F47" s="57">
        <f t="shared" si="1"/>
        <v>0</v>
      </c>
      <c r="G47" s="56">
        <f>SUMIFS(销售数据包!O:O,销售数据包!A:A,A47)</f>
        <v>0</v>
      </c>
      <c r="H47" s="57">
        <f t="shared" si="2"/>
        <v>0</v>
      </c>
      <c r="I47" s="71">
        <f t="shared" si="3"/>
        <v>0</v>
      </c>
      <c r="J47" s="72" t="str">
        <f t="shared" si="4"/>
        <v>周5</v>
      </c>
      <c r="K47" s="73">
        <f>SUMIFS(广告数据包!H:H,广告数据包!A:A,A47,广告数据包!G:G,Base!$F$2)+SUMIFS(广告数据包!H:H,广告数据包!A:A,A47,广告数据包!G:G,Base!$F$3)+SUMIFS(广告数据包!H:H,广告数据包!A:A,A47,广告数据包!G:G,Base!$F$4)</f>
        <v>0</v>
      </c>
      <c r="L47" s="56">
        <f>SUMIFS(广告数据包!I:I,广告数据包!A:A,A47,广告数据包!G:G,Base!$F$2)+SUMIFS(广告数据包!I:I,广告数据包!A:A,A47,广告数据包!G:G,Base!$F$3)+SUMIFS(广告数据包!I:I,广告数据包!A:A,A47,广告数据包!G:G,Base!$F$4)</f>
        <v>0</v>
      </c>
      <c r="M47" s="57">
        <f t="shared" si="5"/>
        <v>0</v>
      </c>
      <c r="N47" s="74">
        <f t="shared" si="6"/>
        <v>0</v>
      </c>
      <c r="O47" s="75">
        <f>SUMIFS(广告数据包!P:P,广告数据包!A:A,A47,广告数据包!G:G,Base!$F$2)+SUMIFS(广告数据包!P:P,广告数据包!A:A,A47,广告数据包!G:G,Base!$F$3)+SUMIFS(广告数据包!P:P,广告数据包!A:A,A47,广告数据包!G:G,Base!$F$4)</f>
        <v>0</v>
      </c>
      <c r="P47" s="56">
        <f>SUMIFS(广告数据包!M:M,广告数据包!A:A,A47,广告数据包!G:G,Base!$F$2)+SUMIFS(广告数据包!M:M,广告数据包!A:A,A47,广告数据包!G:G,Base!$F$3)+SUMIFS(广告数据包!M:M,广告数据包!A:A,A47,广告数据包!G:G,Base!$F$4)</f>
        <v>0</v>
      </c>
      <c r="Q47" s="57">
        <f t="shared" si="7"/>
        <v>0</v>
      </c>
      <c r="R47" s="56">
        <f>SUMIFS(广告数据包!L:L,广告数据包!A:A,A47,广告数据包!G:G,Base!$F$2)+SUMIFS(广告数据包!L:L,广告数据包!A:A,A47,广告数据包!G:G,Base!$F$3)+SUMIFS(广告数据包!L:L,广告数据包!A:A,A47,广告数据包!G:G,Base!$F$4)</f>
        <v>0</v>
      </c>
      <c r="S47" s="86">
        <f t="shared" si="8"/>
        <v>0</v>
      </c>
    </row>
    <row r="48" ht="16.5" spans="1:19">
      <c r="A48" s="54">
        <v>44485</v>
      </c>
      <c r="B48" s="55">
        <f>SUMIFS(销售数据包!F:F,销售数据包!A:A,A48,销售数据包!C:C,Base!$F$2)+SUMIFS(销售数据包!F:F,销售数据包!A:A,A48,销售数据包!C:C,Base!$F$3)+SUMIFS(销售数据包!F:F,销售数据包!A:A,A48,销售数据包!C:C,Base!$F$4)</f>
        <v>0</v>
      </c>
      <c r="C48" s="56">
        <f>SUMIFS(销售数据包!K:K,销售数据包!A:A,A48,销售数据包!C:C,Base!$F$2)+SUMIFS(销售数据包!K:K,销售数据包!A:A,A48,销售数据包!C:C,Base!$F$3)+SUMIFS(销售数据包!K:K,销售数据包!A:A,A48,销售数据包!C:C,Base!$F$4)</f>
        <v>0</v>
      </c>
      <c r="D48" s="56">
        <f>SUMIFS(销售数据包!Q:Q,销售数据包!A:A,A48,销售数据包!C:C,Base!$F$2)+SUMIFS(销售数据包!Q:Q,销售数据包!A:A,A48,销售数据包!C:C,Base!$F$3)+SUMIFS(销售数据包!Q:Q,销售数据包!A:A,A48,销售数据包!C:C,Base!$F$4)</f>
        <v>0</v>
      </c>
      <c r="E48" s="57">
        <f t="shared" si="0"/>
        <v>0</v>
      </c>
      <c r="F48" s="57">
        <f t="shared" si="1"/>
        <v>0</v>
      </c>
      <c r="G48" s="56">
        <f>SUMIFS(销售数据包!O:O,销售数据包!A:A,A48)</f>
        <v>0</v>
      </c>
      <c r="H48" s="57">
        <f t="shared" si="2"/>
        <v>0</v>
      </c>
      <c r="I48" s="71">
        <f t="shared" si="3"/>
        <v>0</v>
      </c>
      <c r="J48" s="72" t="str">
        <f t="shared" si="4"/>
        <v>周6</v>
      </c>
      <c r="K48" s="73">
        <f>SUMIFS(广告数据包!H:H,广告数据包!A:A,A48,广告数据包!G:G,Base!$F$2)+SUMIFS(广告数据包!H:H,广告数据包!A:A,A48,广告数据包!G:G,Base!$F$3)+SUMIFS(广告数据包!H:H,广告数据包!A:A,A48,广告数据包!G:G,Base!$F$4)</f>
        <v>0</v>
      </c>
      <c r="L48" s="56">
        <f>SUMIFS(广告数据包!I:I,广告数据包!A:A,A48,广告数据包!G:G,Base!$F$2)+SUMIFS(广告数据包!I:I,广告数据包!A:A,A48,广告数据包!G:G,Base!$F$3)+SUMIFS(广告数据包!I:I,广告数据包!A:A,A48,广告数据包!G:G,Base!$F$4)</f>
        <v>0</v>
      </c>
      <c r="M48" s="57">
        <f t="shared" si="5"/>
        <v>0</v>
      </c>
      <c r="N48" s="74">
        <f t="shared" si="6"/>
        <v>0</v>
      </c>
      <c r="O48" s="75">
        <f>SUMIFS(广告数据包!P:P,广告数据包!A:A,A48,广告数据包!G:G,Base!$F$2)+SUMIFS(广告数据包!P:P,广告数据包!A:A,A48,广告数据包!G:G,Base!$F$3)+SUMIFS(广告数据包!P:P,广告数据包!A:A,A48,广告数据包!G:G,Base!$F$4)</f>
        <v>0</v>
      </c>
      <c r="P48" s="56">
        <f>SUMIFS(广告数据包!M:M,广告数据包!A:A,A48,广告数据包!G:G,Base!$F$2)+SUMIFS(广告数据包!M:M,广告数据包!A:A,A48,广告数据包!G:G,Base!$F$3)+SUMIFS(广告数据包!M:M,广告数据包!A:A,A48,广告数据包!G:G,Base!$F$4)</f>
        <v>0</v>
      </c>
      <c r="Q48" s="57">
        <f t="shared" si="7"/>
        <v>0</v>
      </c>
      <c r="R48" s="56">
        <f>SUMIFS(广告数据包!L:L,广告数据包!A:A,A48,广告数据包!G:G,Base!$F$2)+SUMIFS(广告数据包!L:L,广告数据包!A:A,A48,广告数据包!G:G,Base!$F$3)+SUMIFS(广告数据包!L:L,广告数据包!A:A,A48,广告数据包!G:G,Base!$F$4)</f>
        <v>0</v>
      </c>
      <c r="S48" s="86">
        <f t="shared" si="8"/>
        <v>0</v>
      </c>
    </row>
    <row r="49" ht="16.5" spans="1:19">
      <c r="A49" s="54">
        <v>44486</v>
      </c>
      <c r="B49" s="55">
        <f>SUMIFS(销售数据包!F:F,销售数据包!A:A,A49,销售数据包!C:C,Base!$F$2)+SUMIFS(销售数据包!F:F,销售数据包!A:A,A49,销售数据包!C:C,Base!$F$3)+SUMIFS(销售数据包!F:F,销售数据包!A:A,A49,销售数据包!C:C,Base!$F$4)</f>
        <v>0</v>
      </c>
      <c r="C49" s="56">
        <f>SUMIFS(销售数据包!K:K,销售数据包!A:A,A49,销售数据包!C:C,Base!$F$2)+SUMIFS(销售数据包!K:K,销售数据包!A:A,A49,销售数据包!C:C,Base!$F$3)+SUMIFS(销售数据包!K:K,销售数据包!A:A,A49,销售数据包!C:C,Base!$F$4)</f>
        <v>0</v>
      </c>
      <c r="D49" s="56">
        <f>SUMIFS(销售数据包!Q:Q,销售数据包!A:A,A49,销售数据包!C:C,Base!$F$2)+SUMIFS(销售数据包!Q:Q,销售数据包!A:A,A49,销售数据包!C:C,Base!$F$3)+SUMIFS(销售数据包!Q:Q,销售数据包!A:A,A49,销售数据包!C:C,Base!$F$4)</f>
        <v>0</v>
      </c>
      <c r="E49" s="57">
        <f t="shared" si="0"/>
        <v>0</v>
      </c>
      <c r="F49" s="57">
        <f t="shared" si="1"/>
        <v>0</v>
      </c>
      <c r="G49" s="56">
        <f>SUMIFS(销售数据包!O:O,销售数据包!A:A,A49)</f>
        <v>0</v>
      </c>
      <c r="H49" s="57">
        <f t="shared" si="2"/>
        <v>0</v>
      </c>
      <c r="I49" s="71">
        <f t="shared" si="3"/>
        <v>0</v>
      </c>
      <c r="J49" s="72" t="str">
        <f t="shared" si="4"/>
        <v>周7</v>
      </c>
      <c r="K49" s="73">
        <f>SUMIFS(广告数据包!H:H,广告数据包!A:A,A49,广告数据包!G:G,Base!$F$2)+SUMIFS(广告数据包!H:H,广告数据包!A:A,A49,广告数据包!G:G,Base!$F$3)+SUMIFS(广告数据包!H:H,广告数据包!A:A,A49,广告数据包!G:G,Base!$F$4)</f>
        <v>0</v>
      </c>
      <c r="L49" s="56">
        <f>SUMIFS(广告数据包!I:I,广告数据包!A:A,A49,广告数据包!G:G,Base!$F$2)+SUMIFS(广告数据包!I:I,广告数据包!A:A,A49,广告数据包!G:G,Base!$F$3)+SUMIFS(广告数据包!I:I,广告数据包!A:A,A49,广告数据包!G:G,Base!$F$4)</f>
        <v>0</v>
      </c>
      <c r="M49" s="57">
        <f t="shared" si="5"/>
        <v>0</v>
      </c>
      <c r="N49" s="74">
        <f t="shared" si="6"/>
        <v>0</v>
      </c>
      <c r="O49" s="75">
        <f>SUMIFS(广告数据包!P:P,广告数据包!A:A,A49,广告数据包!G:G,Base!$F$2)+SUMIFS(广告数据包!P:P,广告数据包!A:A,A49,广告数据包!G:G,Base!$F$3)+SUMIFS(广告数据包!P:P,广告数据包!A:A,A49,广告数据包!G:G,Base!$F$4)</f>
        <v>0</v>
      </c>
      <c r="P49" s="56">
        <f>SUMIFS(广告数据包!M:M,广告数据包!A:A,A49,广告数据包!G:G,Base!$F$2)+SUMIFS(广告数据包!M:M,广告数据包!A:A,A49,广告数据包!G:G,Base!$F$3)+SUMIFS(广告数据包!M:M,广告数据包!A:A,A49,广告数据包!G:G,Base!$F$4)</f>
        <v>0</v>
      </c>
      <c r="Q49" s="57">
        <f t="shared" si="7"/>
        <v>0</v>
      </c>
      <c r="R49" s="56">
        <f>SUMIFS(广告数据包!L:L,广告数据包!A:A,A49,广告数据包!G:G,Base!$F$2)+SUMIFS(广告数据包!L:L,广告数据包!A:A,A49,广告数据包!G:G,Base!$F$3)+SUMIFS(广告数据包!L:L,广告数据包!A:A,A49,广告数据包!G:G,Base!$F$4)</f>
        <v>0</v>
      </c>
      <c r="S49" s="86">
        <f t="shared" si="8"/>
        <v>0</v>
      </c>
    </row>
    <row r="50" ht="16.5" spans="1:19">
      <c r="A50" s="54">
        <v>44487</v>
      </c>
      <c r="B50" s="55">
        <f>SUMIFS(销售数据包!F:F,销售数据包!A:A,A50,销售数据包!C:C,Base!$F$2)+SUMIFS(销售数据包!F:F,销售数据包!A:A,A50,销售数据包!C:C,Base!$F$3)+SUMIFS(销售数据包!F:F,销售数据包!A:A,A50,销售数据包!C:C,Base!$F$4)</f>
        <v>0</v>
      </c>
      <c r="C50" s="56">
        <f>SUMIFS(销售数据包!K:K,销售数据包!A:A,A50,销售数据包!C:C,Base!$F$2)+SUMIFS(销售数据包!K:K,销售数据包!A:A,A50,销售数据包!C:C,Base!$F$3)+SUMIFS(销售数据包!K:K,销售数据包!A:A,A50,销售数据包!C:C,Base!$F$4)</f>
        <v>0</v>
      </c>
      <c r="D50" s="56">
        <f>SUMIFS(销售数据包!Q:Q,销售数据包!A:A,A50,销售数据包!C:C,Base!$F$2)+SUMIFS(销售数据包!Q:Q,销售数据包!A:A,A50,销售数据包!C:C,Base!$F$3)+SUMIFS(销售数据包!Q:Q,销售数据包!A:A,A50,销售数据包!C:C,Base!$F$4)</f>
        <v>0</v>
      </c>
      <c r="E50" s="57">
        <f t="shared" si="0"/>
        <v>0</v>
      </c>
      <c r="F50" s="57">
        <f t="shared" si="1"/>
        <v>0</v>
      </c>
      <c r="G50" s="56">
        <f>SUMIFS(销售数据包!O:O,销售数据包!A:A,A50)</f>
        <v>0</v>
      </c>
      <c r="H50" s="57">
        <f t="shared" si="2"/>
        <v>0</v>
      </c>
      <c r="I50" s="71">
        <f t="shared" si="3"/>
        <v>0</v>
      </c>
      <c r="J50" s="72" t="str">
        <f t="shared" si="4"/>
        <v>周1</v>
      </c>
      <c r="K50" s="73">
        <f>SUMIFS(广告数据包!H:H,广告数据包!A:A,A50,广告数据包!G:G,Base!$F$2)+SUMIFS(广告数据包!H:H,广告数据包!A:A,A50,广告数据包!G:G,Base!$F$3)+SUMIFS(广告数据包!H:H,广告数据包!A:A,A50,广告数据包!G:G,Base!$F$4)</f>
        <v>0</v>
      </c>
      <c r="L50" s="56">
        <f>SUMIFS(广告数据包!I:I,广告数据包!A:A,A50,广告数据包!G:G,Base!$F$2)+SUMIFS(广告数据包!I:I,广告数据包!A:A,A50,广告数据包!G:G,Base!$F$3)+SUMIFS(广告数据包!I:I,广告数据包!A:A,A50,广告数据包!G:G,Base!$F$4)</f>
        <v>0</v>
      </c>
      <c r="M50" s="57">
        <f t="shared" si="5"/>
        <v>0</v>
      </c>
      <c r="N50" s="74">
        <f t="shared" si="6"/>
        <v>0</v>
      </c>
      <c r="O50" s="75">
        <f>SUMIFS(广告数据包!P:P,广告数据包!A:A,A50,广告数据包!G:G,Base!$F$2)+SUMIFS(广告数据包!P:P,广告数据包!A:A,A50,广告数据包!G:G,Base!$F$3)+SUMIFS(广告数据包!P:P,广告数据包!A:A,A50,广告数据包!G:G,Base!$F$4)</f>
        <v>0</v>
      </c>
      <c r="P50" s="56">
        <f>SUMIFS(广告数据包!M:M,广告数据包!A:A,A50,广告数据包!G:G,Base!$F$2)+SUMIFS(广告数据包!M:M,广告数据包!A:A,A50,广告数据包!G:G,Base!$F$3)+SUMIFS(广告数据包!M:M,广告数据包!A:A,A50,广告数据包!G:G,Base!$F$4)</f>
        <v>0</v>
      </c>
      <c r="Q50" s="57">
        <f t="shared" si="7"/>
        <v>0</v>
      </c>
      <c r="R50" s="56">
        <f>SUMIFS(广告数据包!L:L,广告数据包!A:A,A50,广告数据包!G:G,Base!$F$2)+SUMIFS(广告数据包!L:L,广告数据包!A:A,A50,广告数据包!G:G,Base!$F$3)+SUMIFS(广告数据包!L:L,广告数据包!A:A,A50,广告数据包!G:G,Base!$F$4)</f>
        <v>0</v>
      </c>
      <c r="S50" s="86">
        <f t="shared" si="8"/>
        <v>0</v>
      </c>
    </row>
    <row r="51" ht="16.5" spans="1:19">
      <c r="A51" s="54">
        <v>44488</v>
      </c>
      <c r="B51" s="55">
        <f>SUMIFS(销售数据包!F:F,销售数据包!A:A,A51,销售数据包!C:C,Base!$F$2)+SUMIFS(销售数据包!F:F,销售数据包!A:A,A51,销售数据包!C:C,Base!$F$3)+SUMIFS(销售数据包!F:F,销售数据包!A:A,A51,销售数据包!C:C,Base!$F$4)</f>
        <v>0</v>
      </c>
      <c r="C51" s="56">
        <f>SUMIFS(销售数据包!K:K,销售数据包!A:A,A51,销售数据包!C:C,Base!$F$2)+SUMIFS(销售数据包!K:K,销售数据包!A:A,A51,销售数据包!C:C,Base!$F$3)+SUMIFS(销售数据包!K:K,销售数据包!A:A,A51,销售数据包!C:C,Base!$F$4)</f>
        <v>0</v>
      </c>
      <c r="D51" s="56">
        <f>SUMIFS(销售数据包!Q:Q,销售数据包!A:A,A51,销售数据包!C:C,Base!$F$2)+SUMIFS(销售数据包!Q:Q,销售数据包!A:A,A51,销售数据包!C:C,Base!$F$3)+SUMIFS(销售数据包!Q:Q,销售数据包!A:A,A51,销售数据包!C:C,Base!$F$4)</f>
        <v>0</v>
      </c>
      <c r="E51" s="57">
        <f t="shared" si="0"/>
        <v>0</v>
      </c>
      <c r="F51" s="57">
        <f t="shared" si="1"/>
        <v>0</v>
      </c>
      <c r="G51" s="56">
        <f>SUMIFS(销售数据包!O:O,销售数据包!A:A,A51)</f>
        <v>0</v>
      </c>
      <c r="H51" s="57">
        <f t="shared" si="2"/>
        <v>0</v>
      </c>
      <c r="I51" s="71">
        <f t="shared" si="3"/>
        <v>0</v>
      </c>
      <c r="J51" s="72" t="str">
        <f t="shared" si="4"/>
        <v>周2</v>
      </c>
      <c r="K51" s="73">
        <f>SUMIFS(广告数据包!H:H,广告数据包!A:A,A51,广告数据包!G:G,Base!$F$2)+SUMIFS(广告数据包!H:H,广告数据包!A:A,A51,广告数据包!G:G,Base!$F$3)+SUMIFS(广告数据包!H:H,广告数据包!A:A,A51,广告数据包!G:G,Base!$F$4)</f>
        <v>0</v>
      </c>
      <c r="L51" s="56">
        <f>SUMIFS(广告数据包!I:I,广告数据包!A:A,A51,广告数据包!G:G,Base!$F$2)+SUMIFS(广告数据包!I:I,广告数据包!A:A,A51,广告数据包!G:G,Base!$F$3)+SUMIFS(广告数据包!I:I,广告数据包!A:A,A51,广告数据包!G:G,Base!$F$4)</f>
        <v>0</v>
      </c>
      <c r="M51" s="57">
        <f t="shared" si="5"/>
        <v>0</v>
      </c>
      <c r="N51" s="74">
        <f t="shared" si="6"/>
        <v>0</v>
      </c>
      <c r="O51" s="75">
        <f>SUMIFS(广告数据包!P:P,广告数据包!A:A,A51,广告数据包!G:G,Base!$F$2)+SUMIFS(广告数据包!P:P,广告数据包!A:A,A51,广告数据包!G:G,Base!$F$3)+SUMIFS(广告数据包!P:P,广告数据包!A:A,A51,广告数据包!G:G,Base!$F$4)</f>
        <v>0</v>
      </c>
      <c r="P51" s="56">
        <f>SUMIFS(广告数据包!M:M,广告数据包!A:A,A51,广告数据包!G:G,Base!$F$2)+SUMIFS(广告数据包!M:M,广告数据包!A:A,A51,广告数据包!G:G,Base!$F$3)+SUMIFS(广告数据包!M:M,广告数据包!A:A,A51,广告数据包!G:G,Base!$F$4)</f>
        <v>0</v>
      </c>
      <c r="Q51" s="57">
        <f t="shared" si="7"/>
        <v>0</v>
      </c>
      <c r="R51" s="56">
        <f>SUMIFS(广告数据包!L:L,广告数据包!A:A,A51,广告数据包!G:G,Base!$F$2)+SUMIFS(广告数据包!L:L,广告数据包!A:A,A51,广告数据包!G:G,Base!$F$3)+SUMIFS(广告数据包!L:L,广告数据包!A:A,A51,广告数据包!G:G,Base!$F$4)</f>
        <v>0</v>
      </c>
      <c r="S51" s="86">
        <f t="shared" si="8"/>
        <v>0</v>
      </c>
    </row>
    <row r="52" ht="16.5" spans="1:19">
      <c r="A52" s="54">
        <v>44489</v>
      </c>
      <c r="B52" s="55">
        <f>SUMIFS(销售数据包!F:F,销售数据包!A:A,A52,销售数据包!C:C,Base!$F$2)+SUMIFS(销售数据包!F:F,销售数据包!A:A,A52,销售数据包!C:C,Base!$F$3)+SUMIFS(销售数据包!F:F,销售数据包!A:A,A52,销售数据包!C:C,Base!$F$4)</f>
        <v>0</v>
      </c>
      <c r="C52" s="56">
        <f>SUMIFS(销售数据包!K:K,销售数据包!A:A,A52,销售数据包!C:C,Base!$F$2)+SUMIFS(销售数据包!K:K,销售数据包!A:A,A52,销售数据包!C:C,Base!$F$3)+SUMIFS(销售数据包!K:K,销售数据包!A:A,A52,销售数据包!C:C,Base!$F$4)</f>
        <v>0</v>
      </c>
      <c r="D52" s="56">
        <f>SUMIFS(销售数据包!Q:Q,销售数据包!A:A,A52,销售数据包!C:C,Base!$F$2)+SUMIFS(销售数据包!Q:Q,销售数据包!A:A,A52,销售数据包!C:C,Base!$F$3)+SUMIFS(销售数据包!Q:Q,销售数据包!A:A,A52,销售数据包!C:C,Base!$F$4)</f>
        <v>0</v>
      </c>
      <c r="E52" s="57">
        <f t="shared" si="0"/>
        <v>0</v>
      </c>
      <c r="F52" s="57">
        <f t="shared" si="1"/>
        <v>0</v>
      </c>
      <c r="G52" s="56">
        <f>SUMIFS(销售数据包!O:O,销售数据包!A:A,A52)</f>
        <v>0</v>
      </c>
      <c r="H52" s="57">
        <f t="shared" si="2"/>
        <v>0</v>
      </c>
      <c r="I52" s="71">
        <f t="shared" si="3"/>
        <v>0</v>
      </c>
      <c r="J52" s="72" t="str">
        <f t="shared" si="4"/>
        <v>周3</v>
      </c>
      <c r="K52" s="73">
        <f>SUMIFS(广告数据包!H:H,广告数据包!A:A,A52,广告数据包!G:G,Base!$F$2)+SUMIFS(广告数据包!H:H,广告数据包!A:A,A52,广告数据包!G:G,Base!$F$3)+SUMIFS(广告数据包!H:H,广告数据包!A:A,A52,广告数据包!G:G,Base!$F$4)</f>
        <v>0</v>
      </c>
      <c r="L52" s="56">
        <f>SUMIFS(广告数据包!I:I,广告数据包!A:A,A52,广告数据包!G:G,Base!$F$2)+SUMIFS(广告数据包!I:I,广告数据包!A:A,A52,广告数据包!G:G,Base!$F$3)+SUMIFS(广告数据包!I:I,广告数据包!A:A,A52,广告数据包!G:G,Base!$F$4)</f>
        <v>0</v>
      </c>
      <c r="M52" s="57">
        <f t="shared" si="5"/>
        <v>0</v>
      </c>
      <c r="N52" s="74">
        <f t="shared" si="6"/>
        <v>0</v>
      </c>
      <c r="O52" s="75">
        <f>SUMIFS(广告数据包!P:P,广告数据包!A:A,A52,广告数据包!G:G,Base!$F$2)+SUMIFS(广告数据包!P:P,广告数据包!A:A,A52,广告数据包!G:G,Base!$F$3)+SUMIFS(广告数据包!P:P,广告数据包!A:A,A52,广告数据包!G:G,Base!$F$4)</f>
        <v>0</v>
      </c>
      <c r="P52" s="56">
        <f>SUMIFS(广告数据包!M:M,广告数据包!A:A,A52,广告数据包!G:G,Base!$F$2)+SUMIFS(广告数据包!M:M,广告数据包!A:A,A52,广告数据包!G:G,Base!$F$3)+SUMIFS(广告数据包!M:M,广告数据包!A:A,A52,广告数据包!G:G,Base!$F$4)</f>
        <v>0</v>
      </c>
      <c r="Q52" s="57">
        <f t="shared" si="7"/>
        <v>0</v>
      </c>
      <c r="R52" s="56">
        <f>SUMIFS(广告数据包!L:L,广告数据包!A:A,A52,广告数据包!G:G,Base!$F$2)+SUMIFS(广告数据包!L:L,广告数据包!A:A,A52,广告数据包!G:G,Base!$F$3)+SUMIFS(广告数据包!L:L,广告数据包!A:A,A52,广告数据包!G:G,Base!$F$4)</f>
        <v>0</v>
      </c>
      <c r="S52" s="86">
        <f t="shared" si="8"/>
        <v>0</v>
      </c>
    </row>
    <row r="53" ht="16.5" spans="1:19">
      <c r="A53" s="54">
        <v>44490</v>
      </c>
      <c r="B53" s="55">
        <f>SUMIFS(销售数据包!F:F,销售数据包!A:A,A53,销售数据包!C:C,Base!$F$2)+SUMIFS(销售数据包!F:F,销售数据包!A:A,A53,销售数据包!C:C,Base!$F$3)+SUMIFS(销售数据包!F:F,销售数据包!A:A,A53,销售数据包!C:C,Base!$F$4)</f>
        <v>0</v>
      </c>
      <c r="C53" s="56">
        <f>SUMIFS(销售数据包!K:K,销售数据包!A:A,A53,销售数据包!C:C,Base!$F$2)+SUMIFS(销售数据包!K:K,销售数据包!A:A,A53,销售数据包!C:C,Base!$F$3)+SUMIFS(销售数据包!K:K,销售数据包!A:A,A53,销售数据包!C:C,Base!$F$4)</f>
        <v>0</v>
      </c>
      <c r="D53" s="56">
        <f>SUMIFS(销售数据包!Q:Q,销售数据包!A:A,A53,销售数据包!C:C,Base!$F$2)+SUMIFS(销售数据包!Q:Q,销售数据包!A:A,A53,销售数据包!C:C,Base!$F$3)+SUMIFS(销售数据包!Q:Q,销售数据包!A:A,A53,销售数据包!C:C,Base!$F$4)</f>
        <v>0</v>
      </c>
      <c r="E53" s="57">
        <f t="shared" si="0"/>
        <v>0</v>
      </c>
      <c r="F53" s="57">
        <f t="shared" si="1"/>
        <v>0</v>
      </c>
      <c r="G53" s="56">
        <f>SUMIFS(销售数据包!O:O,销售数据包!A:A,A53)</f>
        <v>0</v>
      </c>
      <c r="H53" s="57">
        <f t="shared" si="2"/>
        <v>0</v>
      </c>
      <c r="I53" s="71">
        <f t="shared" si="3"/>
        <v>0</v>
      </c>
      <c r="J53" s="72" t="str">
        <f t="shared" si="4"/>
        <v>周4</v>
      </c>
      <c r="K53" s="73">
        <f>SUMIFS(广告数据包!H:H,广告数据包!A:A,A53,广告数据包!G:G,Base!$F$2)+SUMIFS(广告数据包!H:H,广告数据包!A:A,A53,广告数据包!G:G,Base!$F$3)+SUMIFS(广告数据包!H:H,广告数据包!A:A,A53,广告数据包!G:G,Base!$F$4)</f>
        <v>0</v>
      </c>
      <c r="L53" s="56">
        <f>SUMIFS(广告数据包!I:I,广告数据包!A:A,A53,广告数据包!G:G,Base!$F$2)+SUMIFS(广告数据包!I:I,广告数据包!A:A,A53,广告数据包!G:G,Base!$F$3)+SUMIFS(广告数据包!I:I,广告数据包!A:A,A53,广告数据包!G:G,Base!$F$4)</f>
        <v>0</v>
      </c>
      <c r="M53" s="57">
        <f t="shared" si="5"/>
        <v>0</v>
      </c>
      <c r="N53" s="74">
        <f t="shared" si="6"/>
        <v>0</v>
      </c>
      <c r="O53" s="75">
        <f>SUMIFS(广告数据包!P:P,广告数据包!A:A,A53,广告数据包!G:G,Base!$F$2)+SUMIFS(广告数据包!P:P,广告数据包!A:A,A53,广告数据包!G:G,Base!$F$3)+SUMIFS(广告数据包!P:P,广告数据包!A:A,A53,广告数据包!G:G,Base!$F$4)</f>
        <v>0</v>
      </c>
      <c r="P53" s="56">
        <f>SUMIFS(广告数据包!M:M,广告数据包!A:A,A53,广告数据包!G:G,Base!$F$2)+SUMIFS(广告数据包!M:M,广告数据包!A:A,A53,广告数据包!G:G,Base!$F$3)+SUMIFS(广告数据包!M:M,广告数据包!A:A,A53,广告数据包!G:G,Base!$F$4)</f>
        <v>0</v>
      </c>
      <c r="Q53" s="57">
        <f t="shared" si="7"/>
        <v>0</v>
      </c>
      <c r="R53" s="56">
        <f>SUMIFS(广告数据包!L:L,广告数据包!A:A,A53,广告数据包!G:G,Base!$F$2)+SUMIFS(广告数据包!L:L,广告数据包!A:A,A53,广告数据包!G:G,Base!$F$3)+SUMIFS(广告数据包!L:L,广告数据包!A:A,A53,广告数据包!G:G,Base!$F$4)</f>
        <v>0</v>
      </c>
      <c r="S53" s="86">
        <f t="shared" si="8"/>
        <v>0</v>
      </c>
    </row>
    <row r="54" ht="16.5" spans="1:19">
      <c r="A54" s="54">
        <v>44491</v>
      </c>
      <c r="B54" s="55">
        <f>SUMIFS(销售数据包!F:F,销售数据包!A:A,A54,销售数据包!C:C,Base!$F$2)+SUMIFS(销售数据包!F:F,销售数据包!A:A,A54,销售数据包!C:C,Base!$F$3)+SUMIFS(销售数据包!F:F,销售数据包!A:A,A54,销售数据包!C:C,Base!$F$4)</f>
        <v>0</v>
      </c>
      <c r="C54" s="56">
        <f>SUMIFS(销售数据包!K:K,销售数据包!A:A,A54,销售数据包!C:C,Base!$F$2)+SUMIFS(销售数据包!K:K,销售数据包!A:A,A54,销售数据包!C:C,Base!$F$3)+SUMIFS(销售数据包!K:K,销售数据包!A:A,A54,销售数据包!C:C,Base!$F$4)</f>
        <v>0</v>
      </c>
      <c r="D54" s="56">
        <f>SUMIFS(销售数据包!Q:Q,销售数据包!A:A,A54,销售数据包!C:C,Base!$F$2)+SUMIFS(销售数据包!Q:Q,销售数据包!A:A,A54,销售数据包!C:C,Base!$F$3)+SUMIFS(销售数据包!Q:Q,销售数据包!A:A,A54,销售数据包!C:C,Base!$F$4)</f>
        <v>0</v>
      </c>
      <c r="E54" s="57">
        <f t="shared" si="0"/>
        <v>0</v>
      </c>
      <c r="F54" s="57">
        <f t="shared" si="1"/>
        <v>0</v>
      </c>
      <c r="G54" s="56">
        <f>SUMIFS(销售数据包!O:O,销售数据包!A:A,A54)</f>
        <v>0</v>
      </c>
      <c r="H54" s="57">
        <f t="shared" si="2"/>
        <v>0</v>
      </c>
      <c r="I54" s="71">
        <f t="shared" si="3"/>
        <v>0</v>
      </c>
      <c r="J54" s="72" t="str">
        <f t="shared" si="4"/>
        <v>周5</v>
      </c>
      <c r="K54" s="73">
        <f>SUMIFS(广告数据包!H:H,广告数据包!A:A,A54,广告数据包!G:G,Base!$F$2)+SUMIFS(广告数据包!H:H,广告数据包!A:A,A54,广告数据包!G:G,Base!$F$3)+SUMIFS(广告数据包!H:H,广告数据包!A:A,A54,广告数据包!G:G,Base!$F$4)</f>
        <v>0</v>
      </c>
      <c r="L54" s="56">
        <f>SUMIFS(广告数据包!I:I,广告数据包!A:A,A54,广告数据包!G:G,Base!$F$2)+SUMIFS(广告数据包!I:I,广告数据包!A:A,A54,广告数据包!G:G,Base!$F$3)+SUMIFS(广告数据包!I:I,广告数据包!A:A,A54,广告数据包!G:G,Base!$F$4)</f>
        <v>0</v>
      </c>
      <c r="M54" s="57">
        <f t="shared" si="5"/>
        <v>0</v>
      </c>
      <c r="N54" s="74">
        <f t="shared" si="6"/>
        <v>0</v>
      </c>
      <c r="O54" s="75">
        <f>SUMIFS(广告数据包!P:P,广告数据包!A:A,A54,广告数据包!G:G,Base!$F$2)+SUMIFS(广告数据包!P:P,广告数据包!A:A,A54,广告数据包!G:G,Base!$F$3)+SUMIFS(广告数据包!P:P,广告数据包!A:A,A54,广告数据包!G:G,Base!$F$4)</f>
        <v>0</v>
      </c>
      <c r="P54" s="56">
        <f>SUMIFS(广告数据包!M:M,广告数据包!A:A,A54,广告数据包!G:G,Base!$F$2)+SUMIFS(广告数据包!M:M,广告数据包!A:A,A54,广告数据包!G:G,Base!$F$3)+SUMIFS(广告数据包!M:M,广告数据包!A:A,A54,广告数据包!G:G,Base!$F$4)</f>
        <v>0</v>
      </c>
      <c r="Q54" s="57">
        <f t="shared" si="7"/>
        <v>0</v>
      </c>
      <c r="R54" s="56">
        <f>SUMIFS(广告数据包!L:L,广告数据包!A:A,A54,广告数据包!G:G,Base!$F$2)+SUMIFS(广告数据包!L:L,广告数据包!A:A,A54,广告数据包!G:G,Base!$F$3)+SUMIFS(广告数据包!L:L,广告数据包!A:A,A54,广告数据包!G:G,Base!$F$4)</f>
        <v>0</v>
      </c>
      <c r="S54" s="86">
        <f t="shared" si="8"/>
        <v>0</v>
      </c>
    </row>
    <row r="55" ht="16.5" spans="1:19">
      <c r="A55" s="54">
        <v>44492</v>
      </c>
      <c r="B55" s="55">
        <f>SUMIFS(销售数据包!F:F,销售数据包!A:A,A55,销售数据包!C:C,Base!$F$2)+SUMIFS(销售数据包!F:F,销售数据包!A:A,A55,销售数据包!C:C,Base!$F$3)+SUMIFS(销售数据包!F:F,销售数据包!A:A,A55,销售数据包!C:C,Base!$F$4)</f>
        <v>0</v>
      </c>
      <c r="C55" s="56">
        <f>SUMIFS(销售数据包!K:K,销售数据包!A:A,A55,销售数据包!C:C,Base!$F$2)+SUMIFS(销售数据包!K:K,销售数据包!A:A,A55,销售数据包!C:C,Base!$F$3)+SUMIFS(销售数据包!K:K,销售数据包!A:A,A55,销售数据包!C:C,Base!$F$4)</f>
        <v>0</v>
      </c>
      <c r="D55" s="56">
        <f>SUMIFS(销售数据包!Q:Q,销售数据包!A:A,A55,销售数据包!C:C,Base!$F$2)+SUMIFS(销售数据包!Q:Q,销售数据包!A:A,A55,销售数据包!C:C,Base!$F$3)+SUMIFS(销售数据包!Q:Q,销售数据包!A:A,A55,销售数据包!C:C,Base!$F$4)</f>
        <v>0</v>
      </c>
      <c r="E55" s="57">
        <f t="shared" si="0"/>
        <v>0</v>
      </c>
      <c r="F55" s="57">
        <f t="shared" si="1"/>
        <v>0</v>
      </c>
      <c r="G55" s="56">
        <f>SUMIFS(销售数据包!O:O,销售数据包!A:A,A55)</f>
        <v>0</v>
      </c>
      <c r="H55" s="57">
        <f t="shared" si="2"/>
        <v>0</v>
      </c>
      <c r="I55" s="71">
        <f t="shared" si="3"/>
        <v>0</v>
      </c>
      <c r="J55" s="72" t="str">
        <f t="shared" si="4"/>
        <v>周6</v>
      </c>
      <c r="K55" s="73">
        <f>SUMIFS(广告数据包!H:H,广告数据包!A:A,A55,广告数据包!G:G,Base!$F$2)+SUMIFS(广告数据包!H:H,广告数据包!A:A,A55,广告数据包!G:G,Base!$F$3)+SUMIFS(广告数据包!H:H,广告数据包!A:A,A55,广告数据包!G:G,Base!$F$4)</f>
        <v>0</v>
      </c>
      <c r="L55" s="56">
        <f>SUMIFS(广告数据包!I:I,广告数据包!A:A,A55,广告数据包!G:G,Base!$F$2)+SUMIFS(广告数据包!I:I,广告数据包!A:A,A55,广告数据包!G:G,Base!$F$3)+SUMIFS(广告数据包!I:I,广告数据包!A:A,A55,广告数据包!G:G,Base!$F$4)</f>
        <v>0</v>
      </c>
      <c r="M55" s="57">
        <f t="shared" si="5"/>
        <v>0</v>
      </c>
      <c r="N55" s="74">
        <f t="shared" si="6"/>
        <v>0</v>
      </c>
      <c r="O55" s="75">
        <f>SUMIFS(广告数据包!P:P,广告数据包!A:A,A55,广告数据包!G:G,Base!$F$2)+SUMIFS(广告数据包!P:P,广告数据包!A:A,A55,广告数据包!G:G,Base!$F$3)+SUMIFS(广告数据包!P:P,广告数据包!A:A,A55,广告数据包!G:G,Base!$F$4)</f>
        <v>0</v>
      </c>
      <c r="P55" s="56">
        <f>SUMIFS(广告数据包!M:M,广告数据包!A:A,A55,广告数据包!G:G,Base!$F$2)+SUMIFS(广告数据包!M:M,广告数据包!A:A,A55,广告数据包!G:G,Base!$F$3)+SUMIFS(广告数据包!M:M,广告数据包!A:A,A55,广告数据包!G:G,Base!$F$4)</f>
        <v>0</v>
      </c>
      <c r="Q55" s="57">
        <f t="shared" si="7"/>
        <v>0</v>
      </c>
      <c r="R55" s="56">
        <f>SUMIFS(广告数据包!L:L,广告数据包!A:A,A55,广告数据包!G:G,Base!$F$2)+SUMIFS(广告数据包!L:L,广告数据包!A:A,A55,广告数据包!G:G,Base!$F$3)+SUMIFS(广告数据包!L:L,广告数据包!A:A,A55,广告数据包!G:G,Base!$F$4)</f>
        <v>0</v>
      </c>
      <c r="S55" s="86">
        <f t="shared" si="8"/>
        <v>0</v>
      </c>
    </row>
    <row r="56" ht="16.5" spans="1:19">
      <c r="A56" s="54">
        <v>44493</v>
      </c>
      <c r="B56" s="55">
        <f>SUMIFS(销售数据包!F:F,销售数据包!A:A,A56,销售数据包!C:C,Base!$F$2)+SUMIFS(销售数据包!F:F,销售数据包!A:A,A56,销售数据包!C:C,Base!$F$3)+SUMIFS(销售数据包!F:F,销售数据包!A:A,A56,销售数据包!C:C,Base!$F$4)</f>
        <v>0</v>
      </c>
      <c r="C56" s="56">
        <f>SUMIFS(销售数据包!K:K,销售数据包!A:A,A56,销售数据包!C:C,Base!$F$2)+SUMIFS(销售数据包!K:K,销售数据包!A:A,A56,销售数据包!C:C,Base!$F$3)+SUMIFS(销售数据包!K:K,销售数据包!A:A,A56,销售数据包!C:C,Base!$F$4)</f>
        <v>0</v>
      </c>
      <c r="D56" s="56">
        <f>SUMIFS(销售数据包!Q:Q,销售数据包!A:A,A56,销售数据包!C:C,Base!$F$2)+SUMIFS(销售数据包!Q:Q,销售数据包!A:A,A56,销售数据包!C:C,Base!$F$3)+SUMIFS(销售数据包!Q:Q,销售数据包!A:A,A56,销售数据包!C:C,Base!$F$4)</f>
        <v>0</v>
      </c>
      <c r="E56" s="57">
        <f t="shared" si="0"/>
        <v>0</v>
      </c>
      <c r="F56" s="57">
        <f t="shared" si="1"/>
        <v>0</v>
      </c>
      <c r="G56" s="56">
        <f>SUMIFS(销售数据包!O:O,销售数据包!A:A,A56)</f>
        <v>0</v>
      </c>
      <c r="H56" s="57">
        <f t="shared" si="2"/>
        <v>0</v>
      </c>
      <c r="I56" s="71">
        <f t="shared" si="3"/>
        <v>0</v>
      </c>
      <c r="J56" s="72" t="str">
        <f t="shared" si="4"/>
        <v>周7</v>
      </c>
      <c r="K56" s="73">
        <f>SUMIFS(广告数据包!H:H,广告数据包!A:A,A56,广告数据包!G:G,Base!$F$2)+SUMIFS(广告数据包!H:H,广告数据包!A:A,A56,广告数据包!G:G,Base!$F$3)+SUMIFS(广告数据包!H:H,广告数据包!A:A,A56,广告数据包!G:G,Base!$F$4)</f>
        <v>0</v>
      </c>
      <c r="L56" s="56">
        <f>SUMIFS(广告数据包!I:I,广告数据包!A:A,A56,广告数据包!G:G,Base!$F$2)+SUMIFS(广告数据包!I:I,广告数据包!A:A,A56,广告数据包!G:G,Base!$F$3)+SUMIFS(广告数据包!I:I,广告数据包!A:A,A56,广告数据包!G:G,Base!$F$4)</f>
        <v>0</v>
      </c>
      <c r="M56" s="57">
        <f t="shared" si="5"/>
        <v>0</v>
      </c>
      <c r="N56" s="74">
        <f t="shared" si="6"/>
        <v>0</v>
      </c>
      <c r="O56" s="75">
        <f>SUMIFS(广告数据包!P:P,广告数据包!A:A,A56,广告数据包!G:G,Base!$F$2)+SUMIFS(广告数据包!P:P,广告数据包!A:A,A56,广告数据包!G:G,Base!$F$3)+SUMIFS(广告数据包!P:P,广告数据包!A:A,A56,广告数据包!G:G,Base!$F$4)</f>
        <v>0</v>
      </c>
      <c r="P56" s="56">
        <f>SUMIFS(广告数据包!M:M,广告数据包!A:A,A56,广告数据包!G:G,Base!$F$2)+SUMIFS(广告数据包!M:M,广告数据包!A:A,A56,广告数据包!G:G,Base!$F$3)+SUMIFS(广告数据包!M:M,广告数据包!A:A,A56,广告数据包!G:G,Base!$F$4)</f>
        <v>0</v>
      </c>
      <c r="Q56" s="57">
        <f t="shared" si="7"/>
        <v>0</v>
      </c>
      <c r="R56" s="56">
        <f>SUMIFS(广告数据包!L:L,广告数据包!A:A,A56,广告数据包!G:G,Base!$F$2)+SUMIFS(广告数据包!L:L,广告数据包!A:A,A56,广告数据包!G:G,Base!$F$3)+SUMIFS(广告数据包!L:L,广告数据包!A:A,A56,广告数据包!G:G,Base!$F$4)</f>
        <v>0</v>
      </c>
      <c r="S56" s="86">
        <f t="shared" si="8"/>
        <v>0</v>
      </c>
    </row>
    <row r="57" ht="16.5" spans="1:19">
      <c r="A57" s="54">
        <v>44494</v>
      </c>
      <c r="B57" s="55">
        <f>SUMIFS(销售数据包!F:F,销售数据包!A:A,A57,销售数据包!C:C,Base!$F$2)+SUMIFS(销售数据包!F:F,销售数据包!A:A,A57,销售数据包!C:C,Base!$F$3)+SUMIFS(销售数据包!F:F,销售数据包!A:A,A57,销售数据包!C:C,Base!$F$4)</f>
        <v>0</v>
      </c>
      <c r="C57" s="56">
        <f>SUMIFS(销售数据包!K:K,销售数据包!A:A,A57,销售数据包!C:C,Base!$F$2)+SUMIFS(销售数据包!K:K,销售数据包!A:A,A57,销售数据包!C:C,Base!$F$3)+SUMIFS(销售数据包!K:K,销售数据包!A:A,A57,销售数据包!C:C,Base!$F$4)</f>
        <v>0</v>
      </c>
      <c r="D57" s="56">
        <f>SUMIFS(销售数据包!Q:Q,销售数据包!A:A,A57,销售数据包!C:C,Base!$F$2)+SUMIFS(销售数据包!Q:Q,销售数据包!A:A,A57,销售数据包!C:C,Base!$F$3)+SUMIFS(销售数据包!Q:Q,销售数据包!A:A,A57,销售数据包!C:C,Base!$F$4)</f>
        <v>0</v>
      </c>
      <c r="E57" s="57">
        <f t="shared" si="0"/>
        <v>0</v>
      </c>
      <c r="F57" s="57">
        <f t="shared" si="1"/>
        <v>0</v>
      </c>
      <c r="G57" s="56">
        <f>SUMIFS(销售数据包!O:O,销售数据包!A:A,A57)</f>
        <v>0</v>
      </c>
      <c r="H57" s="57">
        <f t="shared" si="2"/>
        <v>0</v>
      </c>
      <c r="I57" s="71">
        <f t="shared" si="3"/>
        <v>0</v>
      </c>
      <c r="J57" s="72" t="str">
        <f t="shared" si="4"/>
        <v>周1</v>
      </c>
      <c r="K57" s="73">
        <f>SUMIFS(广告数据包!H:H,广告数据包!A:A,A57,广告数据包!G:G,Base!$F$2)+SUMIFS(广告数据包!H:H,广告数据包!A:A,A57,广告数据包!G:G,Base!$F$3)+SUMIFS(广告数据包!H:H,广告数据包!A:A,A57,广告数据包!G:G,Base!$F$4)</f>
        <v>0</v>
      </c>
      <c r="L57" s="56">
        <f>SUMIFS(广告数据包!I:I,广告数据包!A:A,A57,广告数据包!G:G,Base!$F$2)+SUMIFS(广告数据包!I:I,广告数据包!A:A,A57,广告数据包!G:G,Base!$F$3)+SUMIFS(广告数据包!I:I,广告数据包!A:A,A57,广告数据包!G:G,Base!$F$4)</f>
        <v>0</v>
      </c>
      <c r="M57" s="57">
        <f t="shared" si="5"/>
        <v>0</v>
      </c>
      <c r="N57" s="74">
        <f t="shared" si="6"/>
        <v>0</v>
      </c>
      <c r="O57" s="75">
        <f>SUMIFS(广告数据包!P:P,广告数据包!A:A,A57,广告数据包!G:G,Base!$F$2)+SUMIFS(广告数据包!P:P,广告数据包!A:A,A57,广告数据包!G:G,Base!$F$3)+SUMIFS(广告数据包!P:P,广告数据包!A:A,A57,广告数据包!G:G,Base!$F$4)</f>
        <v>0</v>
      </c>
      <c r="P57" s="56">
        <f>SUMIFS(广告数据包!M:M,广告数据包!A:A,A57,广告数据包!G:G,Base!$F$2)+SUMIFS(广告数据包!M:M,广告数据包!A:A,A57,广告数据包!G:G,Base!$F$3)+SUMIFS(广告数据包!M:M,广告数据包!A:A,A57,广告数据包!G:G,Base!$F$4)</f>
        <v>0</v>
      </c>
      <c r="Q57" s="57">
        <f t="shared" si="7"/>
        <v>0</v>
      </c>
      <c r="R57" s="56">
        <f>SUMIFS(广告数据包!L:L,广告数据包!A:A,A57,广告数据包!G:G,Base!$F$2)+SUMIFS(广告数据包!L:L,广告数据包!A:A,A57,广告数据包!G:G,Base!$F$3)+SUMIFS(广告数据包!L:L,广告数据包!A:A,A57,广告数据包!G:G,Base!$F$4)</f>
        <v>0</v>
      </c>
      <c r="S57" s="86">
        <f t="shared" si="8"/>
        <v>0</v>
      </c>
    </row>
    <row r="58" ht="16.5" spans="1:19">
      <c r="A58" s="54">
        <v>44495</v>
      </c>
      <c r="B58" s="55">
        <f>SUMIFS(销售数据包!F:F,销售数据包!A:A,A58,销售数据包!C:C,Base!$F$2)+SUMIFS(销售数据包!F:F,销售数据包!A:A,A58,销售数据包!C:C,Base!$F$3)+SUMIFS(销售数据包!F:F,销售数据包!A:A,A58,销售数据包!C:C,Base!$F$4)</f>
        <v>0</v>
      </c>
      <c r="C58" s="56">
        <f>SUMIFS(销售数据包!K:K,销售数据包!A:A,A58,销售数据包!C:C,Base!$F$2)+SUMIFS(销售数据包!K:K,销售数据包!A:A,A58,销售数据包!C:C,Base!$F$3)+SUMIFS(销售数据包!K:K,销售数据包!A:A,A58,销售数据包!C:C,Base!$F$4)</f>
        <v>0</v>
      </c>
      <c r="D58" s="56">
        <f>SUMIFS(销售数据包!Q:Q,销售数据包!A:A,A58,销售数据包!C:C,Base!$F$2)+SUMIFS(销售数据包!Q:Q,销售数据包!A:A,A58,销售数据包!C:C,Base!$F$3)+SUMIFS(销售数据包!Q:Q,销售数据包!A:A,A58,销售数据包!C:C,Base!$F$4)</f>
        <v>0</v>
      </c>
      <c r="E58" s="57">
        <f t="shared" si="0"/>
        <v>0</v>
      </c>
      <c r="F58" s="57">
        <f t="shared" si="1"/>
        <v>0</v>
      </c>
      <c r="G58" s="56">
        <f>SUMIFS(销售数据包!O:O,销售数据包!A:A,A58)</f>
        <v>0</v>
      </c>
      <c r="H58" s="57">
        <f t="shared" si="2"/>
        <v>0</v>
      </c>
      <c r="I58" s="71">
        <f t="shared" si="3"/>
        <v>0</v>
      </c>
      <c r="J58" s="72" t="str">
        <f t="shared" si="4"/>
        <v>周2</v>
      </c>
      <c r="K58" s="73">
        <f>SUMIFS(广告数据包!H:H,广告数据包!A:A,A58,广告数据包!G:G,Base!$F$2)+SUMIFS(广告数据包!H:H,广告数据包!A:A,A58,广告数据包!G:G,Base!$F$3)+SUMIFS(广告数据包!H:H,广告数据包!A:A,A58,广告数据包!G:G,Base!$F$4)</f>
        <v>0</v>
      </c>
      <c r="L58" s="56">
        <f>SUMIFS(广告数据包!I:I,广告数据包!A:A,A58,广告数据包!G:G,Base!$F$2)+SUMIFS(广告数据包!I:I,广告数据包!A:A,A58,广告数据包!G:G,Base!$F$3)+SUMIFS(广告数据包!I:I,广告数据包!A:A,A58,广告数据包!G:G,Base!$F$4)</f>
        <v>0</v>
      </c>
      <c r="M58" s="57">
        <f t="shared" si="5"/>
        <v>0</v>
      </c>
      <c r="N58" s="74">
        <f t="shared" si="6"/>
        <v>0</v>
      </c>
      <c r="O58" s="75">
        <f>SUMIFS(广告数据包!P:P,广告数据包!A:A,A58,广告数据包!G:G,Base!$F$2)+SUMIFS(广告数据包!P:P,广告数据包!A:A,A58,广告数据包!G:G,Base!$F$3)+SUMIFS(广告数据包!P:P,广告数据包!A:A,A58,广告数据包!G:G,Base!$F$4)</f>
        <v>0</v>
      </c>
      <c r="P58" s="56">
        <f>SUMIFS(广告数据包!M:M,广告数据包!A:A,A58,广告数据包!G:G,Base!$F$2)+SUMIFS(广告数据包!M:M,广告数据包!A:A,A58,广告数据包!G:G,Base!$F$3)+SUMIFS(广告数据包!M:M,广告数据包!A:A,A58,广告数据包!G:G,Base!$F$4)</f>
        <v>0</v>
      </c>
      <c r="Q58" s="57">
        <f t="shared" si="7"/>
        <v>0</v>
      </c>
      <c r="R58" s="56">
        <f>SUMIFS(广告数据包!L:L,广告数据包!A:A,A58,广告数据包!G:G,Base!$F$2)+SUMIFS(广告数据包!L:L,广告数据包!A:A,A58,广告数据包!G:G,Base!$F$3)+SUMIFS(广告数据包!L:L,广告数据包!A:A,A58,广告数据包!G:G,Base!$F$4)</f>
        <v>0</v>
      </c>
      <c r="S58" s="86">
        <f t="shared" si="8"/>
        <v>0</v>
      </c>
    </row>
    <row r="59" ht="16.5" spans="1:19">
      <c r="A59" s="54">
        <v>44496</v>
      </c>
      <c r="B59" s="55">
        <f>SUMIFS(销售数据包!F:F,销售数据包!A:A,A59,销售数据包!C:C,Base!$F$2)+SUMIFS(销售数据包!F:F,销售数据包!A:A,A59,销售数据包!C:C,Base!$F$3)+SUMIFS(销售数据包!F:F,销售数据包!A:A,A59,销售数据包!C:C,Base!$F$4)</f>
        <v>0</v>
      </c>
      <c r="C59" s="56">
        <f>SUMIFS(销售数据包!K:K,销售数据包!A:A,A59,销售数据包!C:C,Base!$F$2)+SUMIFS(销售数据包!K:K,销售数据包!A:A,A59,销售数据包!C:C,Base!$F$3)+SUMIFS(销售数据包!K:K,销售数据包!A:A,A59,销售数据包!C:C,Base!$F$4)</f>
        <v>0</v>
      </c>
      <c r="D59" s="56">
        <f>SUMIFS(销售数据包!Q:Q,销售数据包!A:A,A59,销售数据包!C:C,Base!$F$2)+SUMIFS(销售数据包!Q:Q,销售数据包!A:A,A59,销售数据包!C:C,Base!$F$3)+SUMIFS(销售数据包!Q:Q,销售数据包!A:A,A59,销售数据包!C:C,Base!$F$4)</f>
        <v>0</v>
      </c>
      <c r="E59" s="57">
        <f t="shared" si="0"/>
        <v>0</v>
      </c>
      <c r="F59" s="57">
        <f t="shared" si="1"/>
        <v>0</v>
      </c>
      <c r="G59" s="56">
        <f>SUMIFS(销售数据包!O:O,销售数据包!A:A,A59)</f>
        <v>0</v>
      </c>
      <c r="H59" s="57">
        <f t="shared" si="2"/>
        <v>0</v>
      </c>
      <c r="I59" s="71">
        <f t="shared" si="3"/>
        <v>0</v>
      </c>
      <c r="J59" s="72" t="str">
        <f t="shared" si="4"/>
        <v>周3</v>
      </c>
      <c r="K59" s="73">
        <f>SUMIFS(广告数据包!H:H,广告数据包!A:A,A59,广告数据包!G:G,Base!$F$2)+SUMIFS(广告数据包!H:H,广告数据包!A:A,A59,广告数据包!G:G,Base!$F$3)+SUMIFS(广告数据包!H:H,广告数据包!A:A,A59,广告数据包!G:G,Base!$F$4)</f>
        <v>0</v>
      </c>
      <c r="L59" s="56">
        <f>SUMIFS(广告数据包!I:I,广告数据包!A:A,A59,广告数据包!G:G,Base!$F$2)+SUMIFS(广告数据包!I:I,广告数据包!A:A,A59,广告数据包!G:G,Base!$F$3)+SUMIFS(广告数据包!I:I,广告数据包!A:A,A59,广告数据包!G:G,Base!$F$4)</f>
        <v>0</v>
      </c>
      <c r="M59" s="57">
        <f t="shared" si="5"/>
        <v>0</v>
      </c>
      <c r="N59" s="74">
        <f t="shared" si="6"/>
        <v>0</v>
      </c>
      <c r="O59" s="75">
        <f>SUMIFS(广告数据包!P:P,广告数据包!A:A,A59,广告数据包!G:G,Base!$F$2)+SUMIFS(广告数据包!P:P,广告数据包!A:A,A59,广告数据包!G:G,Base!$F$3)+SUMIFS(广告数据包!P:P,广告数据包!A:A,A59,广告数据包!G:G,Base!$F$4)</f>
        <v>0</v>
      </c>
      <c r="P59" s="56">
        <f>SUMIFS(广告数据包!M:M,广告数据包!A:A,A59,广告数据包!G:G,Base!$F$2)+SUMIFS(广告数据包!M:M,广告数据包!A:A,A59,广告数据包!G:G,Base!$F$3)+SUMIFS(广告数据包!M:M,广告数据包!A:A,A59,广告数据包!G:G,Base!$F$4)</f>
        <v>0</v>
      </c>
      <c r="Q59" s="57">
        <f t="shared" si="7"/>
        <v>0</v>
      </c>
      <c r="R59" s="56">
        <f>SUMIFS(广告数据包!L:L,广告数据包!A:A,A59,广告数据包!G:G,Base!$F$2)+SUMIFS(广告数据包!L:L,广告数据包!A:A,A59,广告数据包!G:G,Base!$F$3)+SUMIFS(广告数据包!L:L,广告数据包!A:A,A59,广告数据包!G:G,Base!$F$4)</f>
        <v>0</v>
      </c>
      <c r="S59" s="86">
        <f t="shared" si="8"/>
        <v>0</v>
      </c>
    </row>
    <row r="60" ht="16.5" spans="1:19">
      <c r="A60" s="54">
        <v>44497</v>
      </c>
      <c r="B60" s="55">
        <f>SUMIFS(销售数据包!F:F,销售数据包!A:A,A60,销售数据包!C:C,Base!$F$2)+SUMIFS(销售数据包!F:F,销售数据包!A:A,A60,销售数据包!C:C,Base!$F$3)+SUMIFS(销售数据包!F:F,销售数据包!A:A,A60,销售数据包!C:C,Base!$F$4)</f>
        <v>0</v>
      </c>
      <c r="C60" s="56">
        <f>SUMIFS(销售数据包!K:K,销售数据包!A:A,A60,销售数据包!C:C,Base!$F$2)+SUMIFS(销售数据包!K:K,销售数据包!A:A,A60,销售数据包!C:C,Base!$F$3)+SUMIFS(销售数据包!K:K,销售数据包!A:A,A60,销售数据包!C:C,Base!$F$4)</f>
        <v>0</v>
      </c>
      <c r="D60" s="56">
        <f>SUMIFS(销售数据包!Q:Q,销售数据包!A:A,A60,销售数据包!C:C,Base!$F$2)+SUMIFS(销售数据包!Q:Q,销售数据包!A:A,A60,销售数据包!C:C,Base!$F$3)+SUMIFS(销售数据包!Q:Q,销售数据包!A:A,A60,销售数据包!C:C,Base!$F$4)</f>
        <v>0</v>
      </c>
      <c r="E60" s="57">
        <f t="shared" si="0"/>
        <v>0</v>
      </c>
      <c r="F60" s="57">
        <f t="shared" si="1"/>
        <v>0</v>
      </c>
      <c r="G60" s="56">
        <f>SUMIFS(销售数据包!O:O,销售数据包!A:A,A60)</f>
        <v>0</v>
      </c>
      <c r="H60" s="57">
        <f t="shared" si="2"/>
        <v>0</v>
      </c>
      <c r="I60" s="71">
        <f t="shared" si="3"/>
        <v>0</v>
      </c>
      <c r="J60" s="72" t="str">
        <f t="shared" si="4"/>
        <v>周4</v>
      </c>
      <c r="K60" s="73">
        <f>SUMIFS(广告数据包!H:H,广告数据包!A:A,A60,广告数据包!G:G,Base!$F$2)+SUMIFS(广告数据包!H:H,广告数据包!A:A,A60,广告数据包!G:G,Base!$F$3)+SUMIFS(广告数据包!H:H,广告数据包!A:A,A60,广告数据包!G:G,Base!$F$4)</f>
        <v>0</v>
      </c>
      <c r="L60" s="56">
        <f>SUMIFS(广告数据包!I:I,广告数据包!A:A,A60,广告数据包!G:G,Base!$F$2)+SUMIFS(广告数据包!I:I,广告数据包!A:A,A60,广告数据包!G:G,Base!$F$3)+SUMIFS(广告数据包!I:I,广告数据包!A:A,A60,广告数据包!G:G,Base!$F$4)</f>
        <v>0</v>
      </c>
      <c r="M60" s="57">
        <f t="shared" si="5"/>
        <v>0</v>
      </c>
      <c r="N60" s="74">
        <f t="shared" si="6"/>
        <v>0</v>
      </c>
      <c r="O60" s="75">
        <f>SUMIFS(广告数据包!P:P,广告数据包!A:A,A60,广告数据包!G:G,Base!$F$2)+SUMIFS(广告数据包!P:P,广告数据包!A:A,A60,广告数据包!G:G,Base!$F$3)+SUMIFS(广告数据包!P:P,广告数据包!A:A,A60,广告数据包!G:G,Base!$F$4)</f>
        <v>0</v>
      </c>
      <c r="P60" s="56">
        <f>SUMIFS(广告数据包!M:M,广告数据包!A:A,A60,广告数据包!G:G,Base!$F$2)+SUMIFS(广告数据包!M:M,广告数据包!A:A,A60,广告数据包!G:G,Base!$F$3)+SUMIFS(广告数据包!M:M,广告数据包!A:A,A60,广告数据包!G:G,Base!$F$4)</f>
        <v>0</v>
      </c>
      <c r="Q60" s="57">
        <f t="shared" si="7"/>
        <v>0</v>
      </c>
      <c r="R60" s="56">
        <f>SUMIFS(广告数据包!L:L,广告数据包!A:A,A60,广告数据包!G:G,Base!$F$2)+SUMIFS(广告数据包!L:L,广告数据包!A:A,A60,广告数据包!G:G,Base!$F$3)+SUMIFS(广告数据包!L:L,广告数据包!A:A,A60,广告数据包!G:G,Base!$F$4)</f>
        <v>0</v>
      </c>
      <c r="S60" s="86">
        <f t="shared" si="8"/>
        <v>0</v>
      </c>
    </row>
    <row r="61" ht="16.5" spans="1:19">
      <c r="A61" s="54">
        <v>44498</v>
      </c>
      <c r="B61" s="55">
        <f>SUMIFS(销售数据包!F:F,销售数据包!A:A,A61,销售数据包!C:C,Base!$F$2)+SUMIFS(销售数据包!F:F,销售数据包!A:A,A61,销售数据包!C:C,Base!$F$3)+SUMIFS(销售数据包!F:F,销售数据包!A:A,A61,销售数据包!C:C,Base!$F$4)</f>
        <v>0</v>
      </c>
      <c r="C61" s="56">
        <f>SUMIFS(销售数据包!K:K,销售数据包!A:A,A61,销售数据包!C:C,Base!$F$2)+SUMIFS(销售数据包!K:K,销售数据包!A:A,A61,销售数据包!C:C,Base!$F$3)+SUMIFS(销售数据包!K:K,销售数据包!A:A,A61,销售数据包!C:C,Base!$F$4)</f>
        <v>0</v>
      </c>
      <c r="D61" s="56">
        <f>SUMIFS(销售数据包!Q:Q,销售数据包!A:A,A61,销售数据包!C:C,Base!$F$2)+SUMIFS(销售数据包!Q:Q,销售数据包!A:A,A61,销售数据包!C:C,Base!$F$3)+SUMIFS(销售数据包!Q:Q,销售数据包!A:A,A61,销售数据包!C:C,Base!$F$4)</f>
        <v>0</v>
      </c>
      <c r="E61" s="57">
        <f t="shared" si="0"/>
        <v>0</v>
      </c>
      <c r="F61" s="57">
        <f t="shared" si="1"/>
        <v>0</v>
      </c>
      <c r="G61" s="56">
        <f>SUMIFS(销售数据包!O:O,销售数据包!A:A,A61)</f>
        <v>0</v>
      </c>
      <c r="H61" s="57">
        <f t="shared" si="2"/>
        <v>0</v>
      </c>
      <c r="I61" s="71">
        <f t="shared" si="3"/>
        <v>0</v>
      </c>
      <c r="J61" s="72" t="str">
        <f t="shared" si="4"/>
        <v>周5</v>
      </c>
      <c r="K61" s="73">
        <f>SUMIFS(广告数据包!H:H,广告数据包!A:A,A61,广告数据包!G:G,Base!$F$2)+SUMIFS(广告数据包!H:H,广告数据包!A:A,A61,广告数据包!G:G,Base!$F$3)+SUMIFS(广告数据包!H:H,广告数据包!A:A,A61,广告数据包!G:G,Base!$F$4)</f>
        <v>0</v>
      </c>
      <c r="L61" s="56">
        <f>SUMIFS(广告数据包!I:I,广告数据包!A:A,A61,广告数据包!G:G,Base!$F$2)+SUMIFS(广告数据包!I:I,广告数据包!A:A,A61,广告数据包!G:G,Base!$F$3)+SUMIFS(广告数据包!I:I,广告数据包!A:A,A61,广告数据包!G:G,Base!$F$4)</f>
        <v>0</v>
      </c>
      <c r="M61" s="57">
        <f t="shared" si="5"/>
        <v>0</v>
      </c>
      <c r="N61" s="74">
        <f t="shared" si="6"/>
        <v>0</v>
      </c>
      <c r="O61" s="75">
        <f>SUMIFS(广告数据包!P:P,广告数据包!A:A,A61,广告数据包!G:G,Base!$F$2)+SUMIFS(广告数据包!P:P,广告数据包!A:A,A61,广告数据包!G:G,Base!$F$3)+SUMIFS(广告数据包!P:P,广告数据包!A:A,A61,广告数据包!G:G,Base!$F$4)</f>
        <v>0</v>
      </c>
      <c r="P61" s="56">
        <f>SUMIFS(广告数据包!M:M,广告数据包!A:A,A61,广告数据包!G:G,Base!$F$2)+SUMIFS(广告数据包!M:M,广告数据包!A:A,A61,广告数据包!G:G,Base!$F$3)+SUMIFS(广告数据包!M:M,广告数据包!A:A,A61,广告数据包!G:G,Base!$F$4)</f>
        <v>0</v>
      </c>
      <c r="Q61" s="57">
        <f t="shared" si="7"/>
        <v>0</v>
      </c>
      <c r="R61" s="56">
        <f>SUMIFS(广告数据包!L:L,广告数据包!A:A,A61,广告数据包!G:G,Base!$F$2)+SUMIFS(广告数据包!L:L,广告数据包!A:A,A61,广告数据包!G:G,Base!$F$3)+SUMIFS(广告数据包!L:L,广告数据包!A:A,A61,广告数据包!G:G,Base!$F$4)</f>
        <v>0</v>
      </c>
      <c r="S61" s="86">
        <f t="shared" si="8"/>
        <v>0</v>
      </c>
    </row>
    <row r="62" ht="16.5" spans="1:19">
      <c r="A62" s="54">
        <v>44499</v>
      </c>
      <c r="B62" s="55">
        <f>SUMIFS(销售数据包!F:F,销售数据包!A:A,A62,销售数据包!C:C,Base!$F$2)+SUMIFS(销售数据包!F:F,销售数据包!A:A,A62,销售数据包!C:C,Base!$F$3)+SUMIFS(销售数据包!F:F,销售数据包!A:A,A62,销售数据包!C:C,Base!$F$4)</f>
        <v>0</v>
      </c>
      <c r="C62" s="56">
        <f>SUMIFS(销售数据包!K:K,销售数据包!A:A,A62,销售数据包!C:C,Base!$F$2)+SUMIFS(销售数据包!K:K,销售数据包!A:A,A62,销售数据包!C:C,Base!$F$3)+SUMIFS(销售数据包!K:K,销售数据包!A:A,A62,销售数据包!C:C,Base!$F$4)</f>
        <v>0</v>
      </c>
      <c r="D62" s="56">
        <f>SUMIFS(销售数据包!Q:Q,销售数据包!A:A,A62,销售数据包!C:C,Base!$F$2)+SUMIFS(销售数据包!Q:Q,销售数据包!A:A,A62,销售数据包!C:C,Base!$F$3)+SUMIFS(销售数据包!Q:Q,销售数据包!A:A,A62,销售数据包!C:C,Base!$F$4)</f>
        <v>0</v>
      </c>
      <c r="E62" s="57">
        <f t="shared" si="0"/>
        <v>0</v>
      </c>
      <c r="F62" s="57">
        <f t="shared" si="1"/>
        <v>0</v>
      </c>
      <c r="G62" s="56">
        <f>SUMIFS(销售数据包!O:O,销售数据包!A:A,A62)</f>
        <v>0</v>
      </c>
      <c r="H62" s="57">
        <f t="shared" si="2"/>
        <v>0</v>
      </c>
      <c r="I62" s="71">
        <f t="shared" si="3"/>
        <v>0</v>
      </c>
      <c r="J62" s="72" t="str">
        <f t="shared" si="4"/>
        <v>周6</v>
      </c>
      <c r="K62" s="73">
        <f>SUMIFS(广告数据包!H:H,广告数据包!A:A,A62,广告数据包!G:G,Base!$F$2)+SUMIFS(广告数据包!H:H,广告数据包!A:A,A62,广告数据包!G:G,Base!$F$3)+SUMIFS(广告数据包!H:H,广告数据包!A:A,A62,广告数据包!G:G,Base!$F$4)</f>
        <v>0</v>
      </c>
      <c r="L62" s="56">
        <f>SUMIFS(广告数据包!I:I,广告数据包!A:A,A62,广告数据包!G:G,Base!$F$2)+SUMIFS(广告数据包!I:I,广告数据包!A:A,A62,广告数据包!G:G,Base!$F$3)+SUMIFS(广告数据包!I:I,广告数据包!A:A,A62,广告数据包!G:G,Base!$F$4)</f>
        <v>0</v>
      </c>
      <c r="M62" s="57">
        <f t="shared" si="5"/>
        <v>0</v>
      </c>
      <c r="N62" s="74">
        <f t="shared" si="6"/>
        <v>0</v>
      </c>
      <c r="O62" s="75">
        <f>SUMIFS(广告数据包!P:P,广告数据包!A:A,A62,广告数据包!G:G,Base!$F$2)+SUMIFS(广告数据包!P:P,广告数据包!A:A,A62,广告数据包!G:G,Base!$F$3)+SUMIFS(广告数据包!P:P,广告数据包!A:A,A62,广告数据包!G:G,Base!$F$4)</f>
        <v>0</v>
      </c>
      <c r="P62" s="56">
        <f>SUMIFS(广告数据包!M:M,广告数据包!A:A,A62,广告数据包!G:G,Base!$F$2)+SUMIFS(广告数据包!M:M,广告数据包!A:A,A62,广告数据包!G:G,Base!$F$3)+SUMIFS(广告数据包!M:M,广告数据包!A:A,A62,广告数据包!G:G,Base!$F$4)</f>
        <v>0</v>
      </c>
      <c r="Q62" s="57">
        <f t="shared" si="7"/>
        <v>0</v>
      </c>
      <c r="R62" s="56">
        <f>SUMIFS(广告数据包!L:L,广告数据包!A:A,A62,广告数据包!G:G,Base!$F$2)+SUMIFS(广告数据包!L:L,广告数据包!A:A,A62,广告数据包!G:G,Base!$F$3)+SUMIFS(广告数据包!L:L,广告数据包!A:A,A62,广告数据包!G:G,Base!$F$4)</f>
        <v>0</v>
      </c>
      <c r="S62" s="86">
        <f t="shared" si="8"/>
        <v>0</v>
      </c>
    </row>
    <row r="63" ht="16.5" spans="1:19">
      <c r="A63" s="54">
        <v>44500</v>
      </c>
      <c r="B63" s="55">
        <f>SUMIFS(销售数据包!F:F,销售数据包!A:A,A63,销售数据包!C:C,Base!$F$2)+SUMIFS(销售数据包!F:F,销售数据包!A:A,A63,销售数据包!C:C,Base!$F$3)+SUMIFS(销售数据包!F:F,销售数据包!A:A,A63,销售数据包!C:C,Base!$F$4)</f>
        <v>0</v>
      </c>
      <c r="C63" s="56">
        <f>SUMIFS(销售数据包!K:K,销售数据包!A:A,A63,销售数据包!C:C,Base!$F$2)+SUMIFS(销售数据包!K:K,销售数据包!A:A,A63,销售数据包!C:C,Base!$F$3)+SUMIFS(销售数据包!K:K,销售数据包!A:A,A63,销售数据包!C:C,Base!$F$4)</f>
        <v>0</v>
      </c>
      <c r="D63" s="56">
        <f>SUMIFS(销售数据包!Q:Q,销售数据包!A:A,A63,销售数据包!C:C,Base!$F$2)+SUMIFS(销售数据包!Q:Q,销售数据包!A:A,A63,销售数据包!C:C,Base!$F$3)+SUMIFS(销售数据包!Q:Q,销售数据包!A:A,A63,销售数据包!C:C,Base!$F$4)</f>
        <v>0</v>
      </c>
      <c r="E63" s="57">
        <f t="shared" ref="E63:E126" si="9">IFERROR(D63/B63,0)</f>
        <v>0</v>
      </c>
      <c r="F63" s="57">
        <f t="shared" ref="F63:F126" si="10">IFERROR(C63/B63,0)</f>
        <v>0</v>
      </c>
      <c r="G63" s="56">
        <f>SUMIFS(销售数据包!O:O,销售数据包!A:A,A63)</f>
        <v>0</v>
      </c>
      <c r="H63" s="57">
        <f t="shared" ref="H63:H126" si="11">IFERROR(R63/G63,0)</f>
        <v>0</v>
      </c>
      <c r="I63" s="71">
        <f t="shared" ref="I63:I126" si="12">IFERROR(P63/G63,0)</f>
        <v>0</v>
      </c>
      <c r="J63" s="72" t="str">
        <f t="shared" ref="J63:J126" si="13">"周"&amp;WEEKDAY(A63,2)</f>
        <v>周7</v>
      </c>
      <c r="K63" s="73">
        <f>SUMIFS(广告数据包!H:H,广告数据包!A:A,A63,广告数据包!G:G,Base!$F$2)+SUMIFS(广告数据包!H:H,广告数据包!A:A,A63,广告数据包!G:G,Base!$F$3)+SUMIFS(广告数据包!H:H,广告数据包!A:A,A63,广告数据包!G:G,Base!$F$4)</f>
        <v>0</v>
      </c>
      <c r="L63" s="56">
        <f>SUMIFS(广告数据包!I:I,广告数据包!A:A,A63,广告数据包!G:G,Base!$F$2)+SUMIFS(广告数据包!I:I,广告数据包!A:A,A63,广告数据包!G:G,Base!$F$3)+SUMIFS(广告数据包!I:I,广告数据包!A:A,A63,广告数据包!G:G,Base!$F$4)</f>
        <v>0</v>
      </c>
      <c r="M63" s="57">
        <f t="shared" ref="M63:M126" si="14">IFERROR(L63/K63,0)</f>
        <v>0</v>
      </c>
      <c r="N63" s="74">
        <f t="shared" ref="N63:N126" si="15">IFERROR(R63/L63,0)</f>
        <v>0</v>
      </c>
      <c r="O63" s="75">
        <f>SUMIFS(广告数据包!P:P,广告数据包!A:A,A63,广告数据包!G:G,Base!$F$2)+SUMIFS(广告数据包!P:P,广告数据包!A:A,A63,广告数据包!G:G,Base!$F$3)+SUMIFS(广告数据包!P:P,广告数据包!A:A,A63,广告数据包!G:G,Base!$F$4)</f>
        <v>0</v>
      </c>
      <c r="P63" s="56">
        <f>SUMIFS(广告数据包!M:M,广告数据包!A:A,A63,广告数据包!G:G,Base!$F$2)+SUMIFS(广告数据包!M:M,广告数据包!A:A,A63,广告数据包!G:G,Base!$F$3)+SUMIFS(广告数据包!M:M,广告数据包!A:A,A63,广告数据包!G:G,Base!$F$4)</f>
        <v>0</v>
      </c>
      <c r="Q63" s="57">
        <f t="shared" ref="Q63:Q126" si="16">IFERROR(O63/L63,0)</f>
        <v>0</v>
      </c>
      <c r="R63" s="56">
        <f>SUMIFS(广告数据包!L:L,广告数据包!A:A,A63,广告数据包!G:G,Base!$F$2)+SUMIFS(广告数据包!L:L,广告数据包!A:A,A63,广告数据包!G:G,Base!$F$3)+SUMIFS(广告数据包!L:L,广告数据包!A:A,A63,广告数据包!G:G,Base!$F$4)</f>
        <v>0</v>
      </c>
      <c r="S63" s="86">
        <f t="shared" ref="S63:S126" si="17">IFERROR(R63/P63,0)</f>
        <v>0</v>
      </c>
    </row>
    <row r="64" ht="16.5" spans="1:19">
      <c r="A64" s="54">
        <v>44501</v>
      </c>
      <c r="B64" s="55">
        <f>SUMIFS(销售数据包!F:F,销售数据包!A:A,A64,销售数据包!C:C,Base!$F$2)+SUMIFS(销售数据包!F:F,销售数据包!A:A,A64,销售数据包!C:C,Base!$F$3)+SUMIFS(销售数据包!F:F,销售数据包!A:A,A64,销售数据包!C:C,Base!$F$4)</f>
        <v>0</v>
      </c>
      <c r="C64" s="56">
        <f>SUMIFS(销售数据包!K:K,销售数据包!A:A,A64,销售数据包!C:C,Base!$F$2)+SUMIFS(销售数据包!K:K,销售数据包!A:A,A64,销售数据包!C:C,Base!$F$3)+SUMIFS(销售数据包!K:K,销售数据包!A:A,A64,销售数据包!C:C,Base!$F$4)</f>
        <v>0</v>
      </c>
      <c r="D64" s="56">
        <f>SUMIFS(销售数据包!Q:Q,销售数据包!A:A,A64,销售数据包!C:C,Base!$F$2)+SUMIFS(销售数据包!Q:Q,销售数据包!A:A,A64,销售数据包!C:C,Base!$F$3)+SUMIFS(销售数据包!Q:Q,销售数据包!A:A,A64,销售数据包!C:C,Base!$F$4)</f>
        <v>0</v>
      </c>
      <c r="E64" s="57">
        <f t="shared" si="9"/>
        <v>0</v>
      </c>
      <c r="F64" s="57">
        <f t="shared" si="10"/>
        <v>0</v>
      </c>
      <c r="G64" s="56">
        <f>SUMIFS(销售数据包!O:O,销售数据包!A:A,A64)</f>
        <v>0</v>
      </c>
      <c r="H64" s="57">
        <f t="shared" si="11"/>
        <v>0</v>
      </c>
      <c r="I64" s="71">
        <f t="shared" si="12"/>
        <v>0</v>
      </c>
      <c r="J64" s="72" t="str">
        <f t="shared" si="13"/>
        <v>周1</v>
      </c>
      <c r="K64" s="73">
        <f>SUMIFS(广告数据包!H:H,广告数据包!A:A,A64,广告数据包!G:G,Base!$F$2)+SUMIFS(广告数据包!H:H,广告数据包!A:A,A64,广告数据包!G:G,Base!$F$3)+SUMIFS(广告数据包!H:H,广告数据包!A:A,A64,广告数据包!G:G,Base!$F$4)</f>
        <v>0</v>
      </c>
      <c r="L64" s="56">
        <f>SUMIFS(广告数据包!I:I,广告数据包!A:A,A64,广告数据包!G:G,Base!$F$2)+SUMIFS(广告数据包!I:I,广告数据包!A:A,A64,广告数据包!G:G,Base!$F$3)+SUMIFS(广告数据包!I:I,广告数据包!A:A,A64,广告数据包!G:G,Base!$F$4)</f>
        <v>0</v>
      </c>
      <c r="M64" s="57">
        <f t="shared" si="14"/>
        <v>0</v>
      </c>
      <c r="N64" s="74">
        <f t="shared" si="15"/>
        <v>0</v>
      </c>
      <c r="O64" s="75">
        <f>SUMIFS(广告数据包!P:P,广告数据包!A:A,A64,广告数据包!G:G,Base!$F$2)+SUMIFS(广告数据包!P:P,广告数据包!A:A,A64,广告数据包!G:G,Base!$F$3)+SUMIFS(广告数据包!P:P,广告数据包!A:A,A64,广告数据包!G:G,Base!$F$4)</f>
        <v>0</v>
      </c>
      <c r="P64" s="56">
        <f>SUMIFS(广告数据包!M:M,广告数据包!A:A,A64,广告数据包!G:G,Base!$F$2)+SUMIFS(广告数据包!M:M,广告数据包!A:A,A64,广告数据包!G:G,Base!$F$3)+SUMIFS(广告数据包!M:M,广告数据包!A:A,A64,广告数据包!G:G,Base!$F$4)</f>
        <v>0</v>
      </c>
      <c r="Q64" s="57">
        <f t="shared" si="16"/>
        <v>0</v>
      </c>
      <c r="R64" s="56">
        <f>SUMIFS(广告数据包!L:L,广告数据包!A:A,A64,广告数据包!G:G,Base!$F$2)+SUMIFS(广告数据包!L:L,广告数据包!A:A,A64,广告数据包!G:G,Base!$F$3)+SUMIFS(广告数据包!L:L,广告数据包!A:A,A64,广告数据包!G:G,Base!$F$4)</f>
        <v>0</v>
      </c>
      <c r="S64" s="86">
        <f t="shared" si="17"/>
        <v>0</v>
      </c>
    </row>
    <row r="65" ht="16.5" spans="1:19">
      <c r="A65" s="54">
        <v>44502</v>
      </c>
      <c r="B65" s="55">
        <f>SUMIFS(销售数据包!F:F,销售数据包!A:A,A65,销售数据包!C:C,Base!$F$2)+SUMIFS(销售数据包!F:F,销售数据包!A:A,A65,销售数据包!C:C,Base!$F$3)+SUMIFS(销售数据包!F:F,销售数据包!A:A,A65,销售数据包!C:C,Base!$F$4)</f>
        <v>0</v>
      </c>
      <c r="C65" s="56">
        <f>SUMIFS(销售数据包!K:K,销售数据包!A:A,A65,销售数据包!C:C,Base!$F$2)+SUMIFS(销售数据包!K:K,销售数据包!A:A,A65,销售数据包!C:C,Base!$F$3)+SUMIFS(销售数据包!K:K,销售数据包!A:A,A65,销售数据包!C:C,Base!$F$4)</f>
        <v>0</v>
      </c>
      <c r="D65" s="56">
        <f>SUMIFS(销售数据包!Q:Q,销售数据包!A:A,A65,销售数据包!C:C,Base!$F$2)+SUMIFS(销售数据包!Q:Q,销售数据包!A:A,A65,销售数据包!C:C,Base!$F$3)+SUMIFS(销售数据包!Q:Q,销售数据包!A:A,A65,销售数据包!C:C,Base!$F$4)</f>
        <v>0</v>
      </c>
      <c r="E65" s="57">
        <f t="shared" si="9"/>
        <v>0</v>
      </c>
      <c r="F65" s="57">
        <f t="shared" si="10"/>
        <v>0</v>
      </c>
      <c r="G65" s="56">
        <f>SUMIFS(销售数据包!O:O,销售数据包!A:A,A65)</f>
        <v>0</v>
      </c>
      <c r="H65" s="57">
        <f t="shared" si="11"/>
        <v>0</v>
      </c>
      <c r="I65" s="71">
        <f t="shared" si="12"/>
        <v>0</v>
      </c>
      <c r="J65" s="72" t="str">
        <f t="shared" si="13"/>
        <v>周2</v>
      </c>
      <c r="K65" s="73">
        <f>SUMIFS(广告数据包!H:H,广告数据包!A:A,A65,广告数据包!G:G,Base!$F$2)+SUMIFS(广告数据包!H:H,广告数据包!A:A,A65,广告数据包!G:G,Base!$F$3)+SUMIFS(广告数据包!H:H,广告数据包!A:A,A65,广告数据包!G:G,Base!$F$4)</f>
        <v>0</v>
      </c>
      <c r="L65" s="56">
        <f>SUMIFS(广告数据包!I:I,广告数据包!A:A,A65,广告数据包!G:G,Base!$F$2)+SUMIFS(广告数据包!I:I,广告数据包!A:A,A65,广告数据包!G:G,Base!$F$3)+SUMIFS(广告数据包!I:I,广告数据包!A:A,A65,广告数据包!G:G,Base!$F$4)</f>
        <v>0</v>
      </c>
      <c r="M65" s="57">
        <f t="shared" si="14"/>
        <v>0</v>
      </c>
      <c r="N65" s="74">
        <f t="shared" si="15"/>
        <v>0</v>
      </c>
      <c r="O65" s="75">
        <f>SUMIFS(广告数据包!P:P,广告数据包!A:A,A65,广告数据包!G:G,Base!$F$2)+SUMIFS(广告数据包!P:P,广告数据包!A:A,A65,广告数据包!G:G,Base!$F$3)+SUMIFS(广告数据包!P:P,广告数据包!A:A,A65,广告数据包!G:G,Base!$F$4)</f>
        <v>0</v>
      </c>
      <c r="P65" s="56">
        <f>SUMIFS(广告数据包!M:M,广告数据包!A:A,A65,广告数据包!G:G,Base!$F$2)+SUMIFS(广告数据包!M:M,广告数据包!A:A,A65,广告数据包!G:G,Base!$F$3)+SUMIFS(广告数据包!M:M,广告数据包!A:A,A65,广告数据包!G:G,Base!$F$4)</f>
        <v>0</v>
      </c>
      <c r="Q65" s="57">
        <f t="shared" si="16"/>
        <v>0</v>
      </c>
      <c r="R65" s="56">
        <f>SUMIFS(广告数据包!L:L,广告数据包!A:A,A65,广告数据包!G:G,Base!$F$2)+SUMIFS(广告数据包!L:L,广告数据包!A:A,A65,广告数据包!G:G,Base!$F$3)+SUMIFS(广告数据包!L:L,广告数据包!A:A,A65,广告数据包!G:G,Base!$F$4)</f>
        <v>0</v>
      </c>
      <c r="S65" s="86">
        <f t="shared" si="17"/>
        <v>0</v>
      </c>
    </row>
    <row r="66" ht="16.5" spans="1:19">
      <c r="A66" s="54">
        <v>44503</v>
      </c>
      <c r="B66" s="55">
        <f>SUMIFS(销售数据包!F:F,销售数据包!A:A,A66,销售数据包!C:C,Base!$F$2)+SUMIFS(销售数据包!F:F,销售数据包!A:A,A66,销售数据包!C:C,Base!$F$3)+SUMIFS(销售数据包!F:F,销售数据包!A:A,A66,销售数据包!C:C,Base!$F$4)</f>
        <v>0</v>
      </c>
      <c r="C66" s="56">
        <f>SUMIFS(销售数据包!K:K,销售数据包!A:A,A66,销售数据包!C:C,Base!$F$2)+SUMIFS(销售数据包!K:K,销售数据包!A:A,A66,销售数据包!C:C,Base!$F$3)+SUMIFS(销售数据包!K:K,销售数据包!A:A,A66,销售数据包!C:C,Base!$F$4)</f>
        <v>0</v>
      </c>
      <c r="D66" s="56">
        <f>SUMIFS(销售数据包!Q:Q,销售数据包!A:A,A66,销售数据包!C:C,Base!$F$2)+SUMIFS(销售数据包!Q:Q,销售数据包!A:A,A66,销售数据包!C:C,Base!$F$3)+SUMIFS(销售数据包!Q:Q,销售数据包!A:A,A66,销售数据包!C:C,Base!$F$4)</f>
        <v>0</v>
      </c>
      <c r="E66" s="57">
        <f t="shared" si="9"/>
        <v>0</v>
      </c>
      <c r="F66" s="57">
        <f t="shared" si="10"/>
        <v>0</v>
      </c>
      <c r="G66" s="56">
        <f>SUMIFS(销售数据包!O:O,销售数据包!A:A,A66)</f>
        <v>0</v>
      </c>
      <c r="H66" s="57">
        <f t="shared" si="11"/>
        <v>0</v>
      </c>
      <c r="I66" s="71">
        <f t="shared" si="12"/>
        <v>0</v>
      </c>
      <c r="J66" s="72" t="str">
        <f t="shared" si="13"/>
        <v>周3</v>
      </c>
      <c r="K66" s="73">
        <f>SUMIFS(广告数据包!H:H,广告数据包!A:A,A66,广告数据包!G:G,Base!$F$2)+SUMIFS(广告数据包!H:H,广告数据包!A:A,A66,广告数据包!G:G,Base!$F$3)+SUMIFS(广告数据包!H:H,广告数据包!A:A,A66,广告数据包!G:G,Base!$F$4)</f>
        <v>0</v>
      </c>
      <c r="L66" s="56">
        <f>SUMIFS(广告数据包!I:I,广告数据包!A:A,A66,广告数据包!G:G,Base!$F$2)+SUMIFS(广告数据包!I:I,广告数据包!A:A,A66,广告数据包!G:G,Base!$F$3)+SUMIFS(广告数据包!I:I,广告数据包!A:A,A66,广告数据包!G:G,Base!$F$4)</f>
        <v>0</v>
      </c>
      <c r="M66" s="57">
        <f t="shared" si="14"/>
        <v>0</v>
      </c>
      <c r="N66" s="74">
        <f t="shared" si="15"/>
        <v>0</v>
      </c>
      <c r="O66" s="75">
        <f>SUMIFS(广告数据包!P:P,广告数据包!A:A,A66,广告数据包!G:G,Base!$F$2)+SUMIFS(广告数据包!P:P,广告数据包!A:A,A66,广告数据包!G:G,Base!$F$3)+SUMIFS(广告数据包!P:P,广告数据包!A:A,A66,广告数据包!G:G,Base!$F$4)</f>
        <v>0</v>
      </c>
      <c r="P66" s="56">
        <f>SUMIFS(广告数据包!M:M,广告数据包!A:A,A66,广告数据包!G:G,Base!$F$2)+SUMIFS(广告数据包!M:M,广告数据包!A:A,A66,广告数据包!G:G,Base!$F$3)+SUMIFS(广告数据包!M:M,广告数据包!A:A,A66,广告数据包!G:G,Base!$F$4)</f>
        <v>0</v>
      </c>
      <c r="Q66" s="57">
        <f t="shared" si="16"/>
        <v>0</v>
      </c>
      <c r="R66" s="56">
        <f>SUMIFS(广告数据包!L:L,广告数据包!A:A,A66,广告数据包!G:G,Base!$F$2)+SUMIFS(广告数据包!L:L,广告数据包!A:A,A66,广告数据包!G:G,Base!$F$3)+SUMIFS(广告数据包!L:L,广告数据包!A:A,A66,广告数据包!G:G,Base!$F$4)</f>
        <v>0</v>
      </c>
      <c r="S66" s="86">
        <f t="shared" si="17"/>
        <v>0</v>
      </c>
    </row>
    <row r="67" ht="16.5" spans="1:19">
      <c r="A67" s="54">
        <v>44504</v>
      </c>
      <c r="B67" s="55">
        <f>SUMIFS(销售数据包!F:F,销售数据包!A:A,A67,销售数据包!C:C,Base!$F$2)+SUMIFS(销售数据包!F:F,销售数据包!A:A,A67,销售数据包!C:C,Base!$F$3)+SUMIFS(销售数据包!F:F,销售数据包!A:A,A67,销售数据包!C:C,Base!$F$4)</f>
        <v>0</v>
      </c>
      <c r="C67" s="56">
        <f>SUMIFS(销售数据包!K:K,销售数据包!A:A,A67,销售数据包!C:C,Base!$F$2)+SUMIFS(销售数据包!K:K,销售数据包!A:A,A67,销售数据包!C:C,Base!$F$3)+SUMIFS(销售数据包!K:K,销售数据包!A:A,A67,销售数据包!C:C,Base!$F$4)</f>
        <v>0</v>
      </c>
      <c r="D67" s="56">
        <f>SUMIFS(销售数据包!Q:Q,销售数据包!A:A,A67,销售数据包!C:C,Base!$F$2)+SUMIFS(销售数据包!Q:Q,销售数据包!A:A,A67,销售数据包!C:C,Base!$F$3)+SUMIFS(销售数据包!Q:Q,销售数据包!A:A,A67,销售数据包!C:C,Base!$F$4)</f>
        <v>0</v>
      </c>
      <c r="E67" s="57">
        <f t="shared" si="9"/>
        <v>0</v>
      </c>
      <c r="F67" s="57">
        <f t="shared" si="10"/>
        <v>0</v>
      </c>
      <c r="G67" s="56">
        <f>SUMIFS(销售数据包!O:O,销售数据包!A:A,A67)</f>
        <v>0</v>
      </c>
      <c r="H67" s="57">
        <f t="shared" si="11"/>
        <v>0</v>
      </c>
      <c r="I67" s="71">
        <f t="shared" si="12"/>
        <v>0</v>
      </c>
      <c r="J67" s="72" t="str">
        <f t="shared" si="13"/>
        <v>周4</v>
      </c>
      <c r="K67" s="73">
        <f>SUMIFS(广告数据包!H:H,广告数据包!A:A,A67,广告数据包!G:G,Base!$F$2)+SUMIFS(广告数据包!H:H,广告数据包!A:A,A67,广告数据包!G:G,Base!$F$3)+SUMIFS(广告数据包!H:H,广告数据包!A:A,A67,广告数据包!G:G,Base!$F$4)</f>
        <v>0</v>
      </c>
      <c r="L67" s="56">
        <f>SUMIFS(广告数据包!I:I,广告数据包!A:A,A67,广告数据包!G:G,Base!$F$2)+SUMIFS(广告数据包!I:I,广告数据包!A:A,A67,广告数据包!G:G,Base!$F$3)+SUMIFS(广告数据包!I:I,广告数据包!A:A,A67,广告数据包!G:G,Base!$F$4)</f>
        <v>0</v>
      </c>
      <c r="M67" s="57">
        <f t="shared" si="14"/>
        <v>0</v>
      </c>
      <c r="N67" s="74">
        <f t="shared" si="15"/>
        <v>0</v>
      </c>
      <c r="O67" s="75">
        <f>SUMIFS(广告数据包!P:P,广告数据包!A:A,A67,广告数据包!G:G,Base!$F$2)+SUMIFS(广告数据包!P:P,广告数据包!A:A,A67,广告数据包!G:G,Base!$F$3)+SUMIFS(广告数据包!P:P,广告数据包!A:A,A67,广告数据包!G:G,Base!$F$4)</f>
        <v>0</v>
      </c>
      <c r="P67" s="56">
        <f>SUMIFS(广告数据包!M:M,广告数据包!A:A,A67,广告数据包!G:G,Base!$F$2)+SUMIFS(广告数据包!M:M,广告数据包!A:A,A67,广告数据包!G:G,Base!$F$3)+SUMIFS(广告数据包!M:M,广告数据包!A:A,A67,广告数据包!G:G,Base!$F$4)</f>
        <v>0</v>
      </c>
      <c r="Q67" s="57">
        <f t="shared" si="16"/>
        <v>0</v>
      </c>
      <c r="R67" s="56">
        <f>SUMIFS(广告数据包!L:L,广告数据包!A:A,A67,广告数据包!G:G,Base!$F$2)+SUMIFS(广告数据包!L:L,广告数据包!A:A,A67,广告数据包!G:G,Base!$F$3)+SUMIFS(广告数据包!L:L,广告数据包!A:A,A67,广告数据包!G:G,Base!$F$4)</f>
        <v>0</v>
      </c>
      <c r="S67" s="86">
        <f t="shared" si="17"/>
        <v>0</v>
      </c>
    </row>
    <row r="68" ht="16.5" spans="1:19">
      <c r="A68" s="54">
        <v>44505</v>
      </c>
      <c r="B68" s="55">
        <f>SUMIFS(销售数据包!F:F,销售数据包!A:A,A68,销售数据包!C:C,Base!$F$2)+SUMIFS(销售数据包!F:F,销售数据包!A:A,A68,销售数据包!C:C,Base!$F$3)+SUMIFS(销售数据包!F:F,销售数据包!A:A,A68,销售数据包!C:C,Base!$F$4)</f>
        <v>0</v>
      </c>
      <c r="C68" s="56">
        <f>SUMIFS(销售数据包!K:K,销售数据包!A:A,A68,销售数据包!C:C,Base!$F$2)+SUMIFS(销售数据包!K:K,销售数据包!A:A,A68,销售数据包!C:C,Base!$F$3)+SUMIFS(销售数据包!K:K,销售数据包!A:A,A68,销售数据包!C:C,Base!$F$4)</f>
        <v>0</v>
      </c>
      <c r="D68" s="56">
        <f>SUMIFS(销售数据包!Q:Q,销售数据包!A:A,A68,销售数据包!C:C,Base!$F$2)+SUMIFS(销售数据包!Q:Q,销售数据包!A:A,A68,销售数据包!C:C,Base!$F$3)+SUMIFS(销售数据包!Q:Q,销售数据包!A:A,A68,销售数据包!C:C,Base!$F$4)</f>
        <v>0</v>
      </c>
      <c r="E68" s="57">
        <f t="shared" si="9"/>
        <v>0</v>
      </c>
      <c r="F68" s="57">
        <f t="shared" si="10"/>
        <v>0</v>
      </c>
      <c r="G68" s="56">
        <f>SUMIFS(销售数据包!O:O,销售数据包!A:A,A68)</f>
        <v>0</v>
      </c>
      <c r="H68" s="57">
        <f t="shared" si="11"/>
        <v>0</v>
      </c>
      <c r="I68" s="71">
        <f t="shared" si="12"/>
        <v>0</v>
      </c>
      <c r="J68" s="72" t="str">
        <f t="shared" si="13"/>
        <v>周5</v>
      </c>
      <c r="K68" s="73">
        <f>SUMIFS(广告数据包!H:H,广告数据包!A:A,A68,广告数据包!G:G,Base!$F$2)+SUMIFS(广告数据包!H:H,广告数据包!A:A,A68,广告数据包!G:G,Base!$F$3)+SUMIFS(广告数据包!H:H,广告数据包!A:A,A68,广告数据包!G:G,Base!$F$4)</f>
        <v>0</v>
      </c>
      <c r="L68" s="56">
        <f>SUMIFS(广告数据包!I:I,广告数据包!A:A,A68,广告数据包!G:G,Base!$F$2)+SUMIFS(广告数据包!I:I,广告数据包!A:A,A68,广告数据包!G:G,Base!$F$3)+SUMIFS(广告数据包!I:I,广告数据包!A:A,A68,广告数据包!G:G,Base!$F$4)</f>
        <v>0</v>
      </c>
      <c r="M68" s="57">
        <f t="shared" si="14"/>
        <v>0</v>
      </c>
      <c r="N68" s="74">
        <f t="shared" si="15"/>
        <v>0</v>
      </c>
      <c r="O68" s="75">
        <f>SUMIFS(广告数据包!P:P,广告数据包!A:A,A68,广告数据包!G:G,Base!$F$2)+SUMIFS(广告数据包!P:P,广告数据包!A:A,A68,广告数据包!G:G,Base!$F$3)+SUMIFS(广告数据包!P:P,广告数据包!A:A,A68,广告数据包!G:G,Base!$F$4)</f>
        <v>0</v>
      </c>
      <c r="P68" s="56">
        <f>SUMIFS(广告数据包!M:M,广告数据包!A:A,A68,广告数据包!G:G,Base!$F$2)+SUMIFS(广告数据包!M:M,广告数据包!A:A,A68,广告数据包!G:G,Base!$F$3)+SUMIFS(广告数据包!M:M,广告数据包!A:A,A68,广告数据包!G:G,Base!$F$4)</f>
        <v>0</v>
      </c>
      <c r="Q68" s="57">
        <f t="shared" si="16"/>
        <v>0</v>
      </c>
      <c r="R68" s="56">
        <f>SUMIFS(广告数据包!L:L,广告数据包!A:A,A68,广告数据包!G:G,Base!$F$2)+SUMIFS(广告数据包!L:L,广告数据包!A:A,A68,广告数据包!G:G,Base!$F$3)+SUMIFS(广告数据包!L:L,广告数据包!A:A,A68,广告数据包!G:G,Base!$F$4)</f>
        <v>0</v>
      </c>
      <c r="S68" s="86">
        <f t="shared" si="17"/>
        <v>0</v>
      </c>
    </row>
    <row r="69" ht="16.5" spans="1:19">
      <c r="A69" s="54">
        <v>44506</v>
      </c>
      <c r="B69" s="55">
        <f>SUMIFS(销售数据包!F:F,销售数据包!A:A,A69,销售数据包!C:C,Base!$F$2)+SUMIFS(销售数据包!F:F,销售数据包!A:A,A69,销售数据包!C:C,Base!$F$3)+SUMIFS(销售数据包!F:F,销售数据包!A:A,A69,销售数据包!C:C,Base!$F$4)</f>
        <v>0</v>
      </c>
      <c r="C69" s="56">
        <f>SUMIFS(销售数据包!K:K,销售数据包!A:A,A69,销售数据包!C:C,Base!$F$2)+SUMIFS(销售数据包!K:K,销售数据包!A:A,A69,销售数据包!C:C,Base!$F$3)+SUMIFS(销售数据包!K:K,销售数据包!A:A,A69,销售数据包!C:C,Base!$F$4)</f>
        <v>0</v>
      </c>
      <c r="D69" s="56">
        <f>SUMIFS(销售数据包!Q:Q,销售数据包!A:A,A69,销售数据包!C:C,Base!$F$2)+SUMIFS(销售数据包!Q:Q,销售数据包!A:A,A69,销售数据包!C:C,Base!$F$3)+SUMIFS(销售数据包!Q:Q,销售数据包!A:A,A69,销售数据包!C:C,Base!$F$4)</f>
        <v>0</v>
      </c>
      <c r="E69" s="57">
        <f t="shared" si="9"/>
        <v>0</v>
      </c>
      <c r="F69" s="57">
        <f t="shared" si="10"/>
        <v>0</v>
      </c>
      <c r="G69" s="56">
        <f>SUMIFS(销售数据包!O:O,销售数据包!A:A,A69)</f>
        <v>0</v>
      </c>
      <c r="H69" s="57">
        <f t="shared" si="11"/>
        <v>0</v>
      </c>
      <c r="I69" s="71">
        <f t="shared" si="12"/>
        <v>0</v>
      </c>
      <c r="J69" s="72" t="str">
        <f t="shared" si="13"/>
        <v>周6</v>
      </c>
      <c r="K69" s="73">
        <f>SUMIFS(广告数据包!H:H,广告数据包!A:A,A69,广告数据包!G:G,Base!$F$2)+SUMIFS(广告数据包!H:H,广告数据包!A:A,A69,广告数据包!G:G,Base!$F$3)+SUMIFS(广告数据包!H:H,广告数据包!A:A,A69,广告数据包!G:G,Base!$F$4)</f>
        <v>0</v>
      </c>
      <c r="L69" s="56">
        <f>SUMIFS(广告数据包!I:I,广告数据包!A:A,A69,广告数据包!G:G,Base!$F$2)+SUMIFS(广告数据包!I:I,广告数据包!A:A,A69,广告数据包!G:G,Base!$F$3)+SUMIFS(广告数据包!I:I,广告数据包!A:A,A69,广告数据包!G:G,Base!$F$4)</f>
        <v>0</v>
      </c>
      <c r="M69" s="57">
        <f t="shared" si="14"/>
        <v>0</v>
      </c>
      <c r="N69" s="74">
        <f t="shared" si="15"/>
        <v>0</v>
      </c>
      <c r="O69" s="75">
        <f>SUMIFS(广告数据包!P:P,广告数据包!A:A,A69,广告数据包!G:G,Base!$F$2)+SUMIFS(广告数据包!P:P,广告数据包!A:A,A69,广告数据包!G:G,Base!$F$3)+SUMIFS(广告数据包!P:P,广告数据包!A:A,A69,广告数据包!G:G,Base!$F$4)</f>
        <v>0</v>
      </c>
      <c r="P69" s="56">
        <f>SUMIFS(广告数据包!M:M,广告数据包!A:A,A69,广告数据包!G:G,Base!$F$2)+SUMIFS(广告数据包!M:M,广告数据包!A:A,A69,广告数据包!G:G,Base!$F$3)+SUMIFS(广告数据包!M:M,广告数据包!A:A,A69,广告数据包!G:G,Base!$F$4)</f>
        <v>0</v>
      </c>
      <c r="Q69" s="57">
        <f t="shared" si="16"/>
        <v>0</v>
      </c>
      <c r="R69" s="56">
        <f>SUMIFS(广告数据包!L:L,广告数据包!A:A,A69,广告数据包!G:G,Base!$F$2)+SUMIFS(广告数据包!L:L,广告数据包!A:A,A69,广告数据包!G:G,Base!$F$3)+SUMIFS(广告数据包!L:L,广告数据包!A:A,A69,广告数据包!G:G,Base!$F$4)</f>
        <v>0</v>
      </c>
      <c r="S69" s="86">
        <f t="shared" si="17"/>
        <v>0</v>
      </c>
    </row>
    <row r="70" ht="16.5" spans="1:19">
      <c r="A70" s="54">
        <v>44507</v>
      </c>
      <c r="B70" s="55">
        <f>SUMIFS(销售数据包!F:F,销售数据包!A:A,A70,销售数据包!C:C,Base!$F$2)+SUMIFS(销售数据包!F:F,销售数据包!A:A,A70,销售数据包!C:C,Base!$F$3)+SUMIFS(销售数据包!F:F,销售数据包!A:A,A70,销售数据包!C:C,Base!$F$4)</f>
        <v>0</v>
      </c>
      <c r="C70" s="56">
        <f>SUMIFS(销售数据包!K:K,销售数据包!A:A,A70,销售数据包!C:C,Base!$F$2)+SUMIFS(销售数据包!K:K,销售数据包!A:A,A70,销售数据包!C:C,Base!$F$3)+SUMIFS(销售数据包!K:K,销售数据包!A:A,A70,销售数据包!C:C,Base!$F$4)</f>
        <v>0</v>
      </c>
      <c r="D70" s="56">
        <f>SUMIFS(销售数据包!Q:Q,销售数据包!A:A,A70,销售数据包!C:C,Base!$F$2)+SUMIFS(销售数据包!Q:Q,销售数据包!A:A,A70,销售数据包!C:C,Base!$F$3)+SUMIFS(销售数据包!Q:Q,销售数据包!A:A,A70,销售数据包!C:C,Base!$F$4)</f>
        <v>0</v>
      </c>
      <c r="E70" s="57">
        <f t="shared" si="9"/>
        <v>0</v>
      </c>
      <c r="F70" s="57">
        <f t="shared" si="10"/>
        <v>0</v>
      </c>
      <c r="G70" s="56">
        <f>SUMIFS(销售数据包!O:O,销售数据包!A:A,A70)</f>
        <v>0</v>
      </c>
      <c r="H70" s="57">
        <f t="shared" si="11"/>
        <v>0</v>
      </c>
      <c r="I70" s="71">
        <f t="shared" si="12"/>
        <v>0</v>
      </c>
      <c r="J70" s="72" t="str">
        <f t="shared" si="13"/>
        <v>周7</v>
      </c>
      <c r="K70" s="73">
        <f>SUMIFS(广告数据包!H:H,广告数据包!A:A,A70,广告数据包!G:G,Base!$F$2)+SUMIFS(广告数据包!H:H,广告数据包!A:A,A70,广告数据包!G:G,Base!$F$3)+SUMIFS(广告数据包!H:H,广告数据包!A:A,A70,广告数据包!G:G,Base!$F$4)</f>
        <v>0</v>
      </c>
      <c r="L70" s="56">
        <f>SUMIFS(广告数据包!I:I,广告数据包!A:A,A70,广告数据包!G:G,Base!$F$2)+SUMIFS(广告数据包!I:I,广告数据包!A:A,A70,广告数据包!G:G,Base!$F$3)+SUMIFS(广告数据包!I:I,广告数据包!A:A,A70,广告数据包!G:G,Base!$F$4)</f>
        <v>0</v>
      </c>
      <c r="M70" s="57">
        <f t="shared" si="14"/>
        <v>0</v>
      </c>
      <c r="N70" s="74">
        <f t="shared" si="15"/>
        <v>0</v>
      </c>
      <c r="O70" s="75">
        <f>SUMIFS(广告数据包!P:P,广告数据包!A:A,A70,广告数据包!G:G,Base!$F$2)+SUMIFS(广告数据包!P:P,广告数据包!A:A,A70,广告数据包!G:G,Base!$F$3)+SUMIFS(广告数据包!P:P,广告数据包!A:A,A70,广告数据包!G:G,Base!$F$4)</f>
        <v>0</v>
      </c>
      <c r="P70" s="56">
        <f>SUMIFS(广告数据包!M:M,广告数据包!A:A,A70,广告数据包!G:G,Base!$F$2)+SUMIFS(广告数据包!M:M,广告数据包!A:A,A70,广告数据包!G:G,Base!$F$3)+SUMIFS(广告数据包!M:M,广告数据包!A:A,A70,广告数据包!G:G,Base!$F$4)</f>
        <v>0</v>
      </c>
      <c r="Q70" s="57">
        <f t="shared" si="16"/>
        <v>0</v>
      </c>
      <c r="R70" s="56">
        <f>SUMIFS(广告数据包!L:L,广告数据包!A:A,A70,广告数据包!G:G,Base!$F$2)+SUMIFS(广告数据包!L:L,广告数据包!A:A,A70,广告数据包!G:G,Base!$F$3)+SUMIFS(广告数据包!L:L,广告数据包!A:A,A70,广告数据包!G:G,Base!$F$4)</f>
        <v>0</v>
      </c>
      <c r="S70" s="86">
        <f t="shared" si="17"/>
        <v>0</v>
      </c>
    </row>
    <row r="71" ht="16.5" spans="1:19">
      <c r="A71" s="54">
        <v>44508</v>
      </c>
      <c r="B71" s="55">
        <f>SUMIFS(销售数据包!F:F,销售数据包!A:A,A71,销售数据包!C:C,Base!$F$2)+SUMIFS(销售数据包!F:F,销售数据包!A:A,A71,销售数据包!C:C,Base!$F$3)+SUMIFS(销售数据包!F:F,销售数据包!A:A,A71,销售数据包!C:C,Base!$F$4)</f>
        <v>0</v>
      </c>
      <c r="C71" s="56">
        <f>SUMIFS(销售数据包!K:K,销售数据包!A:A,A71,销售数据包!C:C,Base!$F$2)+SUMIFS(销售数据包!K:K,销售数据包!A:A,A71,销售数据包!C:C,Base!$F$3)+SUMIFS(销售数据包!K:K,销售数据包!A:A,A71,销售数据包!C:C,Base!$F$4)</f>
        <v>0</v>
      </c>
      <c r="D71" s="56">
        <f>SUMIFS(销售数据包!Q:Q,销售数据包!A:A,A71,销售数据包!C:C,Base!$F$2)+SUMIFS(销售数据包!Q:Q,销售数据包!A:A,A71,销售数据包!C:C,Base!$F$3)+SUMIFS(销售数据包!Q:Q,销售数据包!A:A,A71,销售数据包!C:C,Base!$F$4)</f>
        <v>0</v>
      </c>
      <c r="E71" s="57">
        <f t="shared" si="9"/>
        <v>0</v>
      </c>
      <c r="F71" s="57">
        <f t="shared" si="10"/>
        <v>0</v>
      </c>
      <c r="G71" s="56">
        <f>SUMIFS(销售数据包!O:O,销售数据包!A:A,A71)</f>
        <v>0</v>
      </c>
      <c r="H71" s="57">
        <f t="shared" si="11"/>
        <v>0</v>
      </c>
      <c r="I71" s="71">
        <f t="shared" si="12"/>
        <v>0</v>
      </c>
      <c r="J71" s="72" t="str">
        <f t="shared" si="13"/>
        <v>周1</v>
      </c>
      <c r="K71" s="73">
        <f>SUMIFS(广告数据包!H:H,广告数据包!A:A,A71,广告数据包!G:G,Base!$F$2)+SUMIFS(广告数据包!H:H,广告数据包!A:A,A71,广告数据包!G:G,Base!$F$3)+SUMIFS(广告数据包!H:H,广告数据包!A:A,A71,广告数据包!G:G,Base!$F$4)</f>
        <v>0</v>
      </c>
      <c r="L71" s="56">
        <f>SUMIFS(广告数据包!I:I,广告数据包!A:A,A71,广告数据包!G:G,Base!$F$2)+SUMIFS(广告数据包!I:I,广告数据包!A:A,A71,广告数据包!G:G,Base!$F$3)+SUMIFS(广告数据包!I:I,广告数据包!A:A,A71,广告数据包!G:G,Base!$F$4)</f>
        <v>0</v>
      </c>
      <c r="M71" s="57">
        <f t="shared" si="14"/>
        <v>0</v>
      </c>
      <c r="N71" s="74">
        <f t="shared" si="15"/>
        <v>0</v>
      </c>
      <c r="O71" s="75">
        <f>SUMIFS(广告数据包!P:P,广告数据包!A:A,A71,广告数据包!G:G,Base!$F$2)+SUMIFS(广告数据包!P:P,广告数据包!A:A,A71,广告数据包!G:G,Base!$F$3)+SUMIFS(广告数据包!P:P,广告数据包!A:A,A71,广告数据包!G:G,Base!$F$4)</f>
        <v>0</v>
      </c>
      <c r="P71" s="56">
        <f>SUMIFS(广告数据包!M:M,广告数据包!A:A,A71,广告数据包!G:G,Base!$F$2)+SUMIFS(广告数据包!M:M,广告数据包!A:A,A71,广告数据包!G:G,Base!$F$3)+SUMIFS(广告数据包!M:M,广告数据包!A:A,A71,广告数据包!G:G,Base!$F$4)</f>
        <v>0</v>
      </c>
      <c r="Q71" s="57">
        <f t="shared" si="16"/>
        <v>0</v>
      </c>
      <c r="R71" s="56">
        <f>SUMIFS(广告数据包!L:L,广告数据包!A:A,A71,广告数据包!G:G,Base!$F$2)+SUMIFS(广告数据包!L:L,广告数据包!A:A,A71,广告数据包!G:G,Base!$F$3)+SUMIFS(广告数据包!L:L,广告数据包!A:A,A71,广告数据包!G:G,Base!$F$4)</f>
        <v>0</v>
      </c>
      <c r="S71" s="86">
        <f t="shared" si="17"/>
        <v>0</v>
      </c>
    </row>
    <row r="72" ht="16.5" spans="1:19">
      <c r="A72" s="54">
        <v>44509</v>
      </c>
      <c r="B72" s="55">
        <f>SUMIFS(销售数据包!F:F,销售数据包!A:A,A72,销售数据包!C:C,Base!$F$2)+SUMIFS(销售数据包!F:F,销售数据包!A:A,A72,销售数据包!C:C,Base!$F$3)+SUMIFS(销售数据包!F:F,销售数据包!A:A,A72,销售数据包!C:C,Base!$F$4)</f>
        <v>0</v>
      </c>
      <c r="C72" s="56">
        <f>SUMIFS(销售数据包!K:K,销售数据包!A:A,A72,销售数据包!C:C,Base!$F$2)+SUMIFS(销售数据包!K:K,销售数据包!A:A,A72,销售数据包!C:C,Base!$F$3)+SUMIFS(销售数据包!K:K,销售数据包!A:A,A72,销售数据包!C:C,Base!$F$4)</f>
        <v>0</v>
      </c>
      <c r="D72" s="56">
        <f>SUMIFS(销售数据包!Q:Q,销售数据包!A:A,A72,销售数据包!C:C,Base!$F$2)+SUMIFS(销售数据包!Q:Q,销售数据包!A:A,A72,销售数据包!C:C,Base!$F$3)+SUMIFS(销售数据包!Q:Q,销售数据包!A:A,A72,销售数据包!C:C,Base!$F$4)</f>
        <v>0</v>
      </c>
      <c r="E72" s="57">
        <f t="shared" si="9"/>
        <v>0</v>
      </c>
      <c r="F72" s="57">
        <f t="shared" si="10"/>
        <v>0</v>
      </c>
      <c r="G72" s="56">
        <f>SUMIFS(销售数据包!O:O,销售数据包!A:A,A72)</f>
        <v>0</v>
      </c>
      <c r="H72" s="57">
        <f t="shared" si="11"/>
        <v>0</v>
      </c>
      <c r="I72" s="71">
        <f t="shared" si="12"/>
        <v>0</v>
      </c>
      <c r="J72" s="72" t="str">
        <f t="shared" si="13"/>
        <v>周2</v>
      </c>
      <c r="K72" s="73">
        <f>SUMIFS(广告数据包!H:H,广告数据包!A:A,A72,广告数据包!G:G,Base!$F$2)+SUMIFS(广告数据包!H:H,广告数据包!A:A,A72,广告数据包!G:G,Base!$F$3)+SUMIFS(广告数据包!H:H,广告数据包!A:A,A72,广告数据包!G:G,Base!$F$4)</f>
        <v>0</v>
      </c>
      <c r="L72" s="56">
        <f>SUMIFS(广告数据包!I:I,广告数据包!A:A,A72,广告数据包!G:G,Base!$F$2)+SUMIFS(广告数据包!I:I,广告数据包!A:A,A72,广告数据包!G:G,Base!$F$3)+SUMIFS(广告数据包!I:I,广告数据包!A:A,A72,广告数据包!G:G,Base!$F$4)</f>
        <v>0</v>
      </c>
      <c r="M72" s="57">
        <f t="shared" si="14"/>
        <v>0</v>
      </c>
      <c r="N72" s="74">
        <f t="shared" si="15"/>
        <v>0</v>
      </c>
      <c r="O72" s="75">
        <f>SUMIFS(广告数据包!P:P,广告数据包!A:A,A72,广告数据包!G:G,Base!$F$2)+SUMIFS(广告数据包!P:P,广告数据包!A:A,A72,广告数据包!G:G,Base!$F$3)+SUMIFS(广告数据包!P:P,广告数据包!A:A,A72,广告数据包!G:G,Base!$F$4)</f>
        <v>0</v>
      </c>
      <c r="P72" s="56">
        <f>SUMIFS(广告数据包!M:M,广告数据包!A:A,A72,广告数据包!G:G,Base!$F$2)+SUMIFS(广告数据包!M:M,广告数据包!A:A,A72,广告数据包!G:G,Base!$F$3)+SUMIFS(广告数据包!M:M,广告数据包!A:A,A72,广告数据包!G:G,Base!$F$4)</f>
        <v>0</v>
      </c>
      <c r="Q72" s="57">
        <f t="shared" si="16"/>
        <v>0</v>
      </c>
      <c r="R72" s="56">
        <f>SUMIFS(广告数据包!L:L,广告数据包!A:A,A72,广告数据包!G:G,Base!$F$2)+SUMIFS(广告数据包!L:L,广告数据包!A:A,A72,广告数据包!G:G,Base!$F$3)+SUMIFS(广告数据包!L:L,广告数据包!A:A,A72,广告数据包!G:G,Base!$F$4)</f>
        <v>0</v>
      </c>
      <c r="S72" s="86">
        <f t="shared" si="17"/>
        <v>0</v>
      </c>
    </row>
    <row r="73" ht="16.5" spans="1:19">
      <c r="A73" s="54">
        <v>44510</v>
      </c>
      <c r="B73" s="55">
        <f>SUMIFS(销售数据包!F:F,销售数据包!A:A,A73,销售数据包!C:C,Base!$F$2)+SUMIFS(销售数据包!F:F,销售数据包!A:A,A73,销售数据包!C:C,Base!$F$3)+SUMIFS(销售数据包!F:F,销售数据包!A:A,A73,销售数据包!C:C,Base!$F$4)</f>
        <v>0</v>
      </c>
      <c r="C73" s="56">
        <f>SUMIFS(销售数据包!K:K,销售数据包!A:A,A73,销售数据包!C:C,Base!$F$2)+SUMIFS(销售数据包!K:K,销售数据包!A:A,A73,销售数据包!C:C,Base!$F$3)+SUMIFS(销售数据包!K:K,销售数据包!A:A,A73,销售数据包!C:C,Base!$F$4)</f>
        <v>0</v>
      </c>
      <c r="D73" s="56">
        <f>SUMIFS(销售数据包!Q:Q,销售数据包!A:A,A73,销售数据包!C:C,Base!$F$2)+SUMIFS(销售数据包!Q:Q,销售数据包!A:A,A73,销售数据包!C:C,Base!$F$3)+SUMIFS(销售数据包!Q:Q,销售数据包!A:A,A73,销售数据包!C:C,Base!$F$4)</f>
        <v>0</v>
      </c>
      <c r="E73" s="57">
        <f t="shared" si="9"/>
        <v>0</v>
      </c>
      <c r="F73" s="57">
        <f t="shared" si="10"/>
        <v>0</v>
      </c>
      <c r="G73" s="56">
        <f>SUMIFS(销售数据包!O:O,销售数据包!A:A,A73)</f>
        <v>0</v>
      </c>
      <c r="H73" s="57">
        <f t="shared" si="11"/>
        <v>0</v>
      </c>
      <c r="I73" s="71">
        <f t="shared" si="12"/>
        <v>0</v>
      </c>
      <c r="J73" s="72" t="str">
        <f t="shared" si="13"/>
        <v>周3</v>
      </c>
      <c r="K73" s="73">
        <f>SUMIFS(广告数据包!H:H,广告数据包!A:A,A73,广告数据包!G:G,Base!$F$2)+SUMIFS(广告数据包!H:H,广告数据包!A:A,A73,广告数据包!G:G,Base!$F$3)+SUMIFS(广告数据包!H:H,广告数据包!A:A,A73,广告数据包!G:G,Base!$F$4)</f>
        <v>0</v>
      </c>
      <c r="L73" s="56">
        <f>SUMIFS(广告数据包!I:I,广告数据包!A:A,A73,广告数据包!G:G,Base!$F$2)+SUMIFS(广告数据包!I:I,广告数据包!A:A,A73,广告数据包!G:G,Base!$F$3)+SUMIFS(广告数据包!I:I,广告数据包!A:A,A73,广告数据包!G:G,Base!$F$4)</f>
        <v>0</v>
      </c>
      <c r="M73" s="57">
        <f t="shared" si="14"/>
        <v>0</v>
      </c>
      <c r="N73" s="74">
        <f t="shared" si="15"/>
        <v>0</v>
      </c>
      <c r="O73" s="75">
        <f>SUMIFS(广告数据包!P:P,广告数据包!A:A,A73,广告数据包!G:G,Base!$F$2)+SUMIFS(广告数据包!P:P,广告数据包!A:A,A73,广告数据包!G:G,Base!$F$3)+SUMIFS(广告数据包!P:P,广告数据包!A:A,A73,广告数据包!G:G,Base!$F$4)</f>
        <v>0</v>
      </c>
      <c r="P73" s="56">
        <f>SUMIFS(广告数据包!M:M,广告数据包!A:A,A73,广告数据包!G:G,Base!$F$2)+SUMIFS(广告数据包!M:M,广告数据包!A:A,A73,广告数据包!G:G,Base!$F$3)+SUMIFS(广告数据包!M:M,广告数据包!A:A,A73,广告数据包!G:G,Base!$F$4)</f>
        <v>0</v>
      </c>
      <c r="Q73" s="57">
        <f t="shared" si="16"/>
        <v>0</v>
      </c>
      <c r="R73" s="56">
        <f>SUMIFS(广告数据包!L:L,广告数据包!A:A,A73,广告数据包!G:G,Base!$F$2)+SUMIFS(广告数据包!L:L,广告数据包!A:A,A73,广告数据包!G:G,Base!$F$3)+SUMIFS(广告数据包!L:L,广告数据包!A:A,A73,广告数据包!G:G,Base!$F$4)</f>
        <v>0</v>
      </c>
      <c r="S73" s="86">
        <f t="shared" si="17"/>
        <v>0</v>
      </c>
    </row>
    <row r="74" ht="16.5" spans="1:19">
      <c r="A74" s="54">
        <v>44511</v>
      </c>
      <c r="B74" s="55">
        <f>SUMIFS(销售数据包!F:F,销售数据包!A:A,A74,销售数据包!C:C,Base!$F$2)+SUMIFS(销售数据包!F:F,销售数据包!A:A,A74,销售数据包!C:C,Base!$F$3)+SUMIFS(销售数据包!F:F,销售数据包!A:A,A74,销售数据包!C:C,Base!$F$4)</f>
        <v>0</v>
      </c>
      <c r="C74" s="56">
        <f>SUMIFS(销售数据包!K:K,销售数据包!A:A,A74,销售数据包!C:C,Base!$F$2)+SUMIFS(销售数据包!K:K,销售数据包!A:A,A74,销售数据包!C:C,Base!$F$3)+SUMIFS(销售数据包!K:K,销售数据包!A:A,A74,销售数据包!C:C,Base!$F$4)</f>
        <v>0</v>
      </c>
      <c r="D74" s="56">
        <f>SUMIFS(销售数据包!Q:Q,销售数据包!A:A,A74,销售数据包!C:C,Base!$F$2)+SUMIFS(销售数据包!Q:Q,销售数据包!A:A,A74,销售数据包!C:C,Base!$F$3)+SUMIFS(销售数据包!Q:Q,销售数据包!A:A,A74,销售数据包!C:C,Base!$F$4)</f>
        <v>0</v>
      </c>
      <c r="E74" s="57">
        <f t="shared" si="9"/>
        <v>0</v>
      </c>
      <c r="F74" s="57">
        <f t="shared" si="10"/>
        <v>0</v>
      </c>
      <c r="G74" s="56">
        <f>SUMIFS(销售数据包!O:O,销售数据包!A:A,A74)</f>
        <v>0</v>
      </c>
      <c r="H74" s="57">
        <f t="shared" si="11"/>
        <v>0</v>
      </c>
      <c r="I74" s="71">
        <f t="shared" si="12"/>
        <v>0</v>
      </c>
      <c r="J74" s="72" t="str">
        <f t="shared" si="13"/>
        <v>周4</v>
      </c>
      <c r="K74" s="73">
        <f>SUMIFS(广告数据包!H:H,广告数据包!A:A,A74,广告数据包!G:G,Base!$F$2)+SUMIFS(广告数据包!H:H,广告数据包!A:A,A74,广告数据包!G:G,Base!$F$3)+SUMIFS(广告数据包!H:H,广告数据包!A:A,A74,广告数据包!G:G,Base!$F$4)</f>
        <v>0</v>
      </c>
      <c r="L74" s="56">
        <f>SUMIFS(广告数据包!I:I,广告数据包!A:A,A74,广告数据包!G:G,Base!$F$2)+SUMIFS(广告数据包!I:I,广告数据包!A:A,A74,广告数据包!G:G,Base!$F$3)+SUMIFS(广告数据包!I:I,广告数据包!A:A,A74,广告数据包!G:G,Base!$F$4)</f>
        <v>0</v>
      </c>
      <c r="M74" s="57">
        <f t="shared" si="14"/>
        <v>0</v>
      </c>
      <c r="N74" s="74">
        <f t="shared" si="15"/>
        <v>0</v>
      </c>
      <c r="O74" s="75">
        <f>SUMIFS(广告数据包!P:P,广告数据包!A:A,A74,广告数据包!G:G,Base!$F$2)+SUMIFS(广告数据包!P:P,广告数据包!A:A,A74,广告数据包!G:G,Base!$F$3)+SUMIFS(广告数据包!P:P,广告数据包!A:A,A74,广告数据包!G:G,Base!$F$4)</f>
        <v>0</v>
      </c>
      <c r="P74" s="56">
        <f>SUMIFS(广告数据包!M:M,广告数据包!A:A,A74,广告数据包!G:G,Base!$F$2)+SUMIFS(广告数据包!M:M,广告数据包!A:A,A74,广告数据包!G:G,Base!$F$3)+SUMIFS(广告数据包!M:M,广告数据包!A:A,A74,广告数据包!G:G,Base!$F$4)</f>
        <v>0</v>
      </c>
      <c r="Q74" s="57">
        <f t="shared" si="16"/>
        <v>0</v>
      </c>
      <c r="R74" s="56">
        <f>SUMIFS(广告数据包!L:L,广告数据包!A:A,A74,广告数据包!G:G,Base!$F$2)+SUMIFS(广告数据包!L:L,广告数据包!A:A,A74,广告数据包!G:G,Base!$F$3)+SUMIFS(广告数据包!L:L,广告数据包!A:A,A74,广告数据包!G:G,Base!$F$4)</f>
        <v>0</v>
      </c>
      <c r="S74" s="86">
        <f t="shared" si="17"/>
        <v>0</v>
      </c>
    </row>
    <row r="75" ht="16.5" spans="1:19">
      <c r="A75" s="54">
        <v>44512</v>
      </c>
      <c r="B75" s="55">
        <f>SUMIFS(销售数据包!F:F,销售数据包!A:A,A75,销售数据包!C:C,Base!$F$2)+SUMIFS(销售数据包!F:F,销售数据包!A:A,A75,销售数据包!C:C,Base!$F$3)+SUMIFS(销售数据包!F:F,销售数据包!A:A,A75,销售数据包!C:C,Base!$F$4)</f>
        <v>0</v>
      </c>
      <c r="C75" s="56">
        <f>SUMIFS(销售数据包!K:K,销售数据包!A:A,A75,销售数据包!C:C,Base!$F$2)+SUMIFS(销售数据包!K:K,销售数据包!A:A,A75,销售数据包!C:C,Base!$F$3)+SUMIFS(销售数据包!K:K,销售数据包!A:A,A75,销售数据包!C:C,Base!$F$4)</f>
        <v>0</v>
      </c>
      <c r="D75" s="56">
        <f>SUMIFS(销售数据包!Q:Q,销售数据包!A:A,A75,销售数据包!C:C,Base!$F$2)+SUMIFS(销售数据包!Q:Q,销售数据包!A:A,A75,销售数据包!C:C,Base!$F$3)+SUMIFS(销售数据包!Q:Q,销售数据包!A:A,A75,销售数据包!C:C,Base!$F$4)</f>
        <v>0</v>
      </c>
      <c r="E75" s="57">
        <f t="shared" si="9"/>
        <v>0</v>
      </c>
      <c r="F75" s="57">
        <f t="shared" si="10"/>
        <v>0</v>
      </c>
      <c r="G75" s="56">
        <f>SUMIFS(销售数据包!O:O,销售数据包!A:A,A75)</f>
        <v>0</v>
      </c>
      <c r="H75" s="57">
        <f t="shared" si="11"/>
        <v>0</v>
      </c>
      <c r="I75" s="71">
        <f t="shared" si="12"/>
        <v>0</v>
      </c>
      <c r="J75" s="72" t="str">
        <f t="shared" si="13"/>
        <v>周5</v>
      </c>
      <c r="K75" s="73">
        <f>SUMIFS(广告数据包!H:H,广告数据包!A:A,A75,广告数据包!G:G,Base!$F$2)+SUMIFS(广告数据包!H:H,广告数据包!A:A,A75,广告数据包!G:G,Base!$F$3)+SUMIFS(广告数据包!H:H,广告数据包!A:A,A75,广告数据包!G:G,Base!$F$4)</f>
        <v>0</v>
      </c>
      <c r="L75" s="56">
        <f>SUMIFS(广告数据包!I:I,广告数据包!A:A,A75,广告数据包!G:G,Base!$F$2)+SUMIFS(广告数据包!I:I,广告数据包!A:A,A75,广告数据包!G:G,Base!$F$3)+SUMIFS(广告数据包!I:I,广告数据包!A:A,A75,广告数据包!G:G,Base!$F$4)</f>
        <v>0</v>
      </c>
      <c r="M75" s="57">
        <f t="shared" si="14"/>
        <v>0</v>
      </c>
      <c r="N75" s="74">
        <f t="shared" si="15"/>
        <v>0</v>
      </c>
      <c r="O75" s="75">
        <f>SUMIFS(广告数据包!P:P,广告数据包!A:A,A75,广告数据包!G:G,Base!$F$2)+SUMIFS(广告数据包!P:P,广告数据包!A:A,A75,广告数据包!G:G,Base!$F$3)+SUMIFS(广告数据包!P:P,广告数据包!A:A,A75,广告数据包!G:G,Base!$F$4)</f>
        <v>0</v>
      </c>
      <c r="P75" s="56">
        <f>SUMIFS(广告数据包!M:M,广告数据包!A:A,A75,广告数据包!G:G,Base!$F$2)+SUMIFS(广告数据包!M:M,广告数据包!A:A,A75,广告数据包!G:G,Base!$F$3)+SUMIFS(广告数据包!M:M,广告数据包!A:A,A75,广告数据包!G:G,Base!$F$4)</f>
        <v>0</v>
      </c>
      <c r="Q75" s="57">
        <f t="shared" si="16"/>
        <v>0</v>
      </c>
      <c r="R75" s="56">
        <f>SUMIFS(广告数据包!L:L,广告数据包!A:A,A75,广告数据包!G:G,Base!$F$2)+SUMIFS(广告数据包!L:L,广告数据包!A:A,A75,广告数据包!G:G,Base!$F$3)+SUMIFS(广告数据包!L:L,广告数据包!A:A,A75,广告数据包!G:G,Base!$F$4)</f>
        <v>0</v>
      </c>
      <c r="S75" s="86">
        <f t="shared" si="17"/>
        <v>0</v>
      </c>
    </row>
    <row r="76" ht="16.5" spans="1:19">
      <c r="A76" s="54">
        <v>44513</v>
      </c>
      <c r="B76" s="55">
        <f>SUMIFS(销售数据包!F:F,销售数据包!A:A,A76,销售数据包!C:C,Base!$F$2)+SUMIFS(销售数据包!F:F,销售数据包!A:A,A76,销售数据包!C:C,Base!$F$3)+SUMIFS(销售数据包!F:F,销售数据包!A:A,A76,销售数据包!C:C,Base!$F$4)</f>
        <v>0</v>
      </c>
      <c r="C76" s="56">
        <f>SUMIFS(销售数据包!K:K,销售数据包!A:A,A76,销售数据包!C:C,Base!$F$2)+SUMIFS(销售数据包!K:K,销售数据包!A:A,A76,销售数据包!C:C,Base!$F$3)+SUMIFS(销售数据包!K:K,销售数据包!A:A,A76,销售数据包!C:C,Base!$F$4)</f>
        <v>0</v>
      </c>
      <c r="D76" s="56">
        <f>SUMIFS(销售数据包!Q:Q,销售数据包!A:A,A76,销售数据包!C:C,Base!$F$2)+SUMIFS(销售数据包!Q:Q,销售数据包!A:A,A76,销售数据包!C:C,Base!$F$3)+SUMIFS(销售数据包!Q:Q,销售数据包!A:A,A76,销售数据包!C:C,Base!$F$4)</f>
        <v>0</v>
      </c>
      <c r="E76" s="57">
        <f t="shared" si="9"/>
        <v>0</v>
      </c>
      <c r="F76" s="57">
        <f t="shared" si="10"/>
        <v>0</v>
      </c>
      <c r="G76" s="56">
        <f>SUMIFS(销售数据包!O:O,销售数据包!A:A,A76)</f>
        <v>0</v>
      </c>
      <c r="H76" s="57">
        <f t="shared" si="11"/>
        <v>0</v>
      </c>
      <c r="I76" s="71">
        <f t="shared" si="12"/>
        <v>0</v>
      </c>
      <c r="J76" s="72" t="str">
        <f t="shared" si="13"/>
        <v>周6</v>
      </c>
      <c r="K76" s="73">
        <f>SUMIFS(广告数据包!H:H,广告数据包!A:A,A76,广告数据包!G:G,Base!$F$2)+SUMIFS(广告数据包!H:H,广告数据包!A:A,A76,广告数据包!G:G,Base!$F$3)+SUMIFS(广告数据包!H:H,广告数据包!A:A,A76,广告数据包!G:G,Base!$F$4)</f>
        <v>0</v>
      </c>
      <c r="L76" s="56">
        <f>SUMIFS(广告数据包!I:I,广告数据包!A:A,A76,广告数据包!G:G,Base!$F$2)+SUMIFS(广告数据包!I:I,广告数据包!A:A,A76,广告数据包!G:G,Base!$F$3)+SUMIFS(广告数据包!I:I,广告数据包!A:A,A76,广告数据包!G:G,Base!$F$4)</f>
        <v>0</v>
      </c>
      <c r="M76" s="57">
        <f t="shared" si="14"/>
        <v>0</v>
      </c>
      <c r="N76" s="74">
        <f t="shared" si="15"/>
        <v>0</v>
      </c>
      <c r="O76" s="75">
        <f>SUMIFS(广告数据包!P:P,广告数据包!A:A,A76,广告数据包!G:G,Base!$F$2)+SUMIFS(广告数据包!P:P,广告数据包!A:A,A76,广告数据包!G:G,Base!$F$3)+SUMIFS(广告数据包!P:P,广告数据包!A:A,A76,广告数据包!G:G,Base!$F$4)</f>
        <v>0</v>
      </c>
      <c r="P76" s="56">
        <f>SUMIFS(广告数据包!M:M,广告数据包!A:A,A76,广告数据包!G:G,Base!$F$2)+SUMIFS(广告数据包!M:M,广告数据包!A:A,A76,广告数据包!G:G,Base!$F$3)+SUMIFS(广告数据包!M:M,广告数据包!A:A,A76,广告数据包!G:G,Base!$F$4)</f>
        <v>0</v>
      </c>
      <c r="Q76" s="57">
        <f t="shared" si="16"/>
        <v>0</v>
      </c>
      <c r="R76" s="56">
        <f>SUMIFS(广告数据包!L:L,广告数据包!A:A,A76,广告数据包!G:G,Base!$F$2)+SUMIFS(广告数据包!L:L,广告数据包!A:A,A76,广告数据包!G:G,Base!$F$3)+SUMIFS(广告数据包!L:L,广告数据包!A:A,A76,广告数据包!G:G,Base!$F$4)</f>
        <v>0</v>
      </c>
      <c r="S76" s="86">
        <f t="shared" si="17"/>
        <v>0</v>
      </c>
    </row>
    <row r="77" ht="16.5" spans="1:19">
      <c r="A77" s="54">
        <v>44514</v>
      </c>
      <c r="B77" s="55">
        <f>SUMIFS(销售数据包!F:F,销售数据包!A:A,A77,销售数据包!C:C,Base!$F$2)+SUMIFS(销售数据包!F:F,销售数据包!A:A,A77,销售数据包!C:C,Base!$F$3)+SUMIFS(销售数据包!F:F,销售数据包!A:A,A77,销售数据包!C:C,Base!$F$4)</f>
        <v>0</v>
      </c>
      <c r="C77" s="56">
        <f>SUMIFS(销售数据包!K:K,销售数据包!A:A,A77,销售数据包!C:C,Base!$F$2)+SUMIFS(销售数据包!K:K,销售数据包!A:A,A77,销售数据包!C:C,Base!$F$3)+SUMIFS(销售数据包!K:K,销售数据包!A:A,A77,销售数据包!C:C,Base!$F$4)</f>
        <v>0</v>
      </c>
      <c r="D77" s="56">
        <f>SUMIFS(销售数据包!Q:Q,销售数据包!A:A,A77,销售数据包!C:C,Base!$F$2)+SUMIFS(销售数据包!Q:Q,销售数据包!A:A,A77,销售数据包!C:C,Base!$F$3)+SUMIFS(销售数据包!Q:Q,销售数据包!A:A,A77,销售数据包!C:C,Base!$F$4)</f>
        <v>0</v>
      </c>
      <c r="E77" s="57">
        <f t="shared" si="9"/>
        <v>0</v>
      </c>
      <c r="F77" s="57">
        <f t="shared" si="10"/>
        <v>0</v>
      </c>
      <c r="G77" s="56">
        <f>SUMIFS(销售数据包!O:O,销售数据包!A:A,A77)</f>
        <v>0</v>
      </c>
      <c r="H77" s="57">
        <f t="shared" si="11"/>
        <v>0</v>
      </c>
      <c r="I77" s="71">
        <f t="shared" si="12"/>
        <v>0</v>
      </c>
      <c r="J77" s="72" t="str">
        <f t="shared" si="13"/>
        <v>周7</v>
      </c>
      <c r="K77" s="73">
        <f>SUMIFS(广告数据包!H:H,广告数据包!A:A,A77,广告数据包!G:G,Base!$F$2)+SUMIFS(广告数据包!H:H,广告数据包!A:A,A77,广告数据包!G:G,Base!$F$3)+SUMIFS(广告数据包!H:H,广告数据包!A:A,A77,广告数据包!G:G,Base!$F$4)</f>
        <v>0</v>
      </c>
      <c r="L77" s="56">
        <f>SUMIFS(广告数据包!I:I,广告数据包!A:A,A77,广告数据包!G:G,Base!$F$2)+SUMIFS(广告数据包!I:I,广告数据包!A:A,A77,广告数据包!G:G,Base!$F$3)+SUMIFS(广告数据包!I:I,广告数据包!A:A,A77,广告数据包!G:G,Base!$F$4)</f>
        <v>0</v>
      </c>
      <c r="M77" s="57">
        <f t="shared" si="14"/>
        <v>0</v>
      </c>
      <c r="N77" s="74">
        <f t="shared" si="15"/>
        <v>0</v>
      </c>
      <c r="O77" s="75">
        <f>SUMIFS(广告数据包!P:P,广告数据包!A:A,A77,广告数据包!G:G,Base!$F$2)+SUMIFS(广告数据包!P:P,广告数据包!A:A,A77,广告数据包!G:G,Base!$F$3)+SUMIFS(广告数据包!P:P,广告数据包!A:A,A77,广告数据包!G:G,Base!$F$4)</f>
        <v>0</v>
      </c>
      <c r="P77" s="56">
        <f>SUMIFS(广告数据包!M:M,广告数据包!A:A,A77,广告数据包!G:G,Base!$F$2)+SUMIFS(广告数据包!M:M,广告数据包!A:A,A77,广告数据包!G:G,Base!$F$3)+SUMIFS(广告数据包!M:M,广告数据包!A:A,A77,广告数据包!G:G,Base!$F$4)</f>
        <v>0</v>
      </c>
      <c r="Q77" s="57">
        <f t="shared" si="16"/>
        <v>0</v>
      </c>
      <c r="R77" s="56">
        <f>SUMIFS(广告数据包!L:L,广告数据包!A:A,A77,广告数据包!G:G,Base!$F$2)+SUMIFS(广告数据包!L:L,广告数据包!A:A,A77,广告数据包!G:G,Base!$F$3)+SUMIFS(广告数据包!L:L,广告数据包!A:A,A77,广告数据包!G:G,Base!$F$4)</f>
        <v>0</v>
      </c>
      <c r="S77" s="86">
        <f t="shared" si="17"/>
        <v>0</v>
      </c>
    </row>
    <row r="78" ht="16.5" spans="1:19">
      <c r="A78" s="54">
        <v>44515</v>
      </c>
      <c r="B78" s="55">
        <f>SUMIFS(销售数据包!F:F,销售数据包!A:A,A78,销售数据包!C:C,Base!$F$2)+SUMIFS(销售数据包!F:F,销售数据包!A:A,A78,销售数据包!C:C,Base!$F$3)+SUMIFS(销售数据包!F:F,销售数据包!A:A,A78,销售数据包!C:C,Base!$F$4)</f>
        <v>0</v>
      </c>
      <c r="C78" s="56">
        <f>SUMIFS(销售数据包!K:K,销售数据包!A:A,A78,销售数据包!C:C,Base!$F$2)+SUMIFS(销售数据包!K:K,销售数据包!A:A,A78,销售数据包!C:C,Base!$F$3)+SUMIFS(销售数据包!K:K,销售数据包!A:A,A78,销售数据包!C:C,Base!$F$4)</f>
        <v>0</v>
      </c>
      <c r="D78" s="56">
        <f>SUMIFS(销售数据包!Q:Q,销售数据包!A:A,A78,销售数据包!C:C,Base!$F$2)+SUMIFS(销售数据包!Q:Q,销售数据包!A:A,A78,销售数据包!C:C,Base!$F$3)+SUMIFS(销售数据包!Q:Q,销售数据包!A:A,A78,销售数据包!C:C,Base!$F$4)</f>
        <v>0</v>
      </c>
      <c r="E78" s="57">
        <f t="shared" si="9"/>
        <v>0</v>
      </c>
      <c r="F78" s="57">
        <f t="shared" si="10"/>
        <v>0</v>
      </c>
      <c r="G78" s="56">
        <f>SUMIFS(销售数据包!O:O,销售数据包!A:A,A78)</f>
        <v>0</v>
      </c>
      <c r="H78" s="57">
        <f t="shared" si="11"/>
        <v>0</v>
      </c>
      <c r="I78" s="71">
        <f t="shared" si="12"/>
        <v>0</v>
      </c>
      <c r="J78" s="72" t="str">
        <f t="shared" si="13"/>
        <v>周1</v>
      </c>
      <c r="K78" s="73">
        <f>SUMIFS(广告数据包!H:H,广告数据包!A:A,A78,广告数据包!G:G,Base!$F$2)+SUMIFS(广告数据包!H:H,广告数据包!A:A,A78,广告数据包!G:G,Base!$F$3)+SUMIFS(广告数据包!H:H,广告数据包!A:A,A78,广告数据包!G:G,Base!$F$4)</f>
        <v>0</v>
      </c>
      <c r="L78" s="56">
        <f>SUMIFS(广告数据包!I:I,广告数据包!A:A,A78,广告数据包!G:G,Base!$F$2)+SUMIFS(广告数据包!I:I,广告数据包!A:A,A78,广告数据包!G:G,Base!$F$3)+SUMIFS(广告数据包!I:I,广告数据包!A:A,A78,广告数据包!G:G,Base!$F$4)</f>
        <v>0</v>
      </c>
      <c r="M78" s="57">
        <f t="shared" si="14"/>
        <v>0</v>
      </c>
      <c r="N78" s="74">
        <f t="shared" si="15"/>
        <v>0</v>
      </c>
      <c r="O78" s="75">
        <f>SUMIFS(广告数据包!P:P,广告数据包!A:A,A78,广告数据包!G:G,Base!$F$2)+SUMIFS(广告数据包!P:P,广告数据包!A:A,A78,广告数据包!G:G,Base!$F$3)+SUMIFS(广告数据包!P:P,广告数据包!A:A,A78,广告数据包!G:G,Base!$F$4)</f>
        <v>0</v>
      </c>
      <c r="P78" s="56">
        <f>SUMIFS(广告数据包!M:M,广告数据包!A:A,A78,广告数据包!G:G,Base!$F$2)+SUMIFS(广告数据包!M:M,广告数据包!A:A,A78,广告数据包!G:G,Base!$F$3)+SUMIFS(广告数据包!M:M,广告数据包!A:A,A78,广告数据包!G:G,Base!$F$4)</f>
        <v>0</v>
      </c>
      <c r="Q78" s="57">
        <f t="shared" si="16"/>
        <v>0</v>
      </c>
      <c r="R78" s="56">
        <f>SUMIFS(广告数据包!L:L,广告数据包!A:A,A78,广告数据包!G:G,Base!$F$2)+SUMIFS(广告数据包!L:L,广告数据包!A:A,A78,广告数据包!G:G,Base!$F$3)+SUMIFS(广告数据包!L:L,广告数据包!A:A,A78,广告数据包!G:G,Base!$F$4)</f>
        <v>0</v>
      </c>
      <c r="S78" s="86">
        <f t="shared" si="17"/>
        <v>0</v>
      </c>
    </row>
    <row r="79" ht="16.5" spans="1:19">
      <c r="A79" s="54">
        <v>44516</v>
      </c>
      <c r="B79" s="55">
        <f>SUMIFS(销售数据包!F:F,销售数据包!A:A,A79,销售数据包!C:C,Base!$F$2)+SUMIFS(销售数据包!F:F,销售数据包!A:A,A79,销售数据包!C:C,Base!$F$3)+SUMIFS(销售数据包!F:F,销售数据包!A:A,A79,销售数据包!C:C,Base!$F$4)</f>
        <v>0</v>
      </c>
      <c r="C79" s="56">
        <f>SUMIFS(销售数据包!K:K,销售数据包!A:A,A79,销售数据包!C:C,Base!$F$2)+SUMIFS(销售数据包!K:K,销售数据包!A:A,A79,销售数据包!C:C,Base!$F$3)+SUMIFS(销售数据包!K:K,销售数据包!A:A,A79,销售数据包!C:C,Base!$F$4)</f>
        <v>0</v>
      </c>
      <c r="D79" s="56">
        <f>SUMIFS(销售数据包!Q:Q,销售数据包!A:A,A79,销售数据包!C:C,Base!$F$2)+SUMIFS(销售数据包!Q:Q,销售数据包!A:A,A79,销售数据包!C:C,Base!$F$3)+SUMIFS(销售数据包!Q:Q,销售数据包!A:A,A79,销售数据包!C:C,Base!$F$4)</f>
        <v>0</v>
      </c>
      <c r="E79" s="57">
        <f t="shared" si="9"/>
        <v>0</v>
      </c>
      <c r="F79" s="57">
        <f t="shared" si="10"/>
        <v>0</v>
      </c>
      <c r="G79" s="56">
        <f>SUMIFS(销售数据包!O:O,销售数据包!A:A,A79)</f>
        <v>0</v>
      </c>
      <c r="H79" s="57">
        <f t="shared" si="11"/>
        <v>0</v>
      </c>
      <c r="I79" s="71">
        <f t="shared" si="12"/>
        <v>0</v>
      </c>
      <c r="J79" s="72" t="str">
        <f t="shared" si="13"/>
        <v>周2</v>
      </c>
      <c r="K79" s="73">
        <f>SUMIFS(广告数据包!H:H,广告数据包!A:A,A79,广告数据包!G:G,Base!$F$2)+SUMIFS(广告数据包!H:H,广告数据包!A:A,A79,广告数据包!G:G,Base!$F$3)+SUMIFS(广告数据包!H:H,广告数据包!A:A,A79,广告数据包!G:G,Base!$F$4)</f>
        <v>0</v>
      </c>
      <c r="L79" s="56">
        <f>SUMIFS(广告数据包!I:I,广告数据包!A:A,A79,广告数据包!G:G,Base!$F$2)+SUMIFS(广告数据包!I:I,广告数据包!A:A,A79,广告数据包!G:G,Base!$F$3)+SUMIFS(广告数据包!I:I,广告数据包!A:A,A79,广告数据包!G:G,Base!$F$4)</f>
        <v>0</v>
      </c>
      <c r="M79" s="57">
        <f t="shared" si="14"/>
        <v>0</v>
      </c>
      <c r="N79" s="74">
        <f t="shared" si="15"/>
        <v>0</v>
      </c>
      <c r="O79" s="75">
        <f>SUMIFS(广告数据包!P:P,广告数据包!A:A,A79,广告数据包!G:G,Base!$F$2)+SUMIFS(广告数据包!P:P,广告数据包!A:A,A79,广告数据包!G:G,Base!$F$3)+SUMIFS(广告数据包!P:P,广告数据包!A:A,A79,广告数据包!G:G,Base!$F$4)</f>
        <v>0</v>
      </c>
      <c r="P79" s="56">
        <f>SUMIFS(广告数据包!M:M,广告数据包!A:A,A79,广告数据包!G:G,Base!$F$2)+SUMIFS(广告数据包!M:M,广告数据包!A:A,A79,广告数据包!G:G,Base!$F$3)+SUMIFS(广告数据包!M:M,广告数据包!A:A,A79,广告数据包!G:G,Base!$F$4)</f>
        <v>0</v>
      </c>
      <c r="Q79" s="57">
        <f t="shared" si="16"/>
        <v>0</v>
      </c>
      <c r="R79" s="56">
        <f>SUMIFS(广告数据包!L:L,广告数据包!A:A,A79,广告数据包!G:G,Base!$F$2)+SUMIFS(广告数据包!L:L,广告数据包!A:A,A79,广告数据包!G:G,Base!$F$3)+SUMIFS(广告数据包!L:L,广告数据包!A:A,A79,广告数据包!G:G,Base!$F$4)</f>
        <v>0</v>
      </c>
      <c r="S79" s="86">
        <f t="shared" si="17"/>
        <v>0</v>
      </c>
    </row>
    <row r="80" ht="16.5" spans="1:19">
      <c r="A80" s="54">
        <v>44517</v>
      </c>
      <c r="B80" s="55">
        <f>SUMIFS(销售数据包!F:F,销售数据包!A:A,A80,销售数据包!C:C,Base!$F$2)+SUMIFS(销售数据包!F:F,销售数据包!A:A,A80,销售数据包!C:C,Base!$F$3)+SUMIFS(销售数据包!F:F,销售数据包!A:A,A80,销售数据包!C:C,Base!$F$4)</f>
        <v>0</v>
      </c>
      <c r="C80" s="56">
        <f>SUMIFS(销售数据包!K:K,销售数据包!A:A,A80,销售数据包!C:C,Base!$F$2)+SUMIFS(销售数据包!K:K,销售数据包!A:A,A80,销售数据包!C:C,Base!$F$3)+SUMIFS(销售数据包!K:K,销售数据包!A:A,A80,销售数据包!C:C,Base!$F$4)</f>
        <v>0</v>
      </c>
      <c r="D80" s="56">
        <f>SUMIFS(销售数据包!Q:Q,销售数据包!A:A,A80,销售数据包!C:C,Base!$F$2)+SUMIFS(销售数据包!Q:Q,销售数据包!A:A,A80,销售数据包!C:C,Base!$F$3)+SUMIFS(销售数据包!Q:Q,销售数据包!A:A,A80,销售数据包!C:C,Base!$F$4)</f>
        <v>0</v>
      </c>
      <c r="E80" s="57">
        <f t="shared" si="9"/>
        <v>0</v>
      </c>
      <c r="F80" s="57">
        <f t="shared" si="10"/>
        <v>0</v>
      </c>
      <c r="G80" s="56">
        <f>SUMIFS(销售数据包!O:O,销售数据包!A:A,A80)</f>
        <v>0</v>
      </c>
      <c r="H80" s="57">
        <f t="shared" si="11"/>
        <v>0</v>
      </c>
      <c r="I80" s="71">
        <f t="shared" si="12"/>
        <v>0</v>
      </c>
      <c r="J80" s="72" t="str">
        <f t="shared" si="13"/>
        <v>周3</v>
      </c>
      <c r="K80" s="73">
        <f>SUMIFS(广告数据包!H:H,广告数据包!A:A,A80,广告数据包!G:G,Base!$F$2)+SUMIFS(广告数据包!H:H,广告数据包!A:A,A80,广告数据包!G:G,Base!$F$3)+SUMIFS(广告数据包!H:H,广告数据包!A:A,A80,广告数据包!G:G,Base!$F$4)</f>
        <v>0</v>
      </c>
      <c r="L80" s="56">
        <f>SUMIFS(广告数据包!I:I,广告数据包!A:A,A80,广告数据包!G:G,Base!$F$2)+SUMIFS(广告数据包!I:I,广告数据包!A:A,A80,广告数据包!G:G,Base!$F$3)+SUMIFS(广告数据包!I:I,广告数据包!A:A,A80,广告数据包!G:G,Base!$F$4)</f>
        <v>0</v>
      </c>
      <c r="M80" s="57">
        <f t="shared" si="14"/>
        <v>0</v>
      </c>
      <c r="N80" s="74">
        <f t="shared" si="15"/>
        <v>0</v>
      </c>
      <c r="O80" s="75">
        <f>SUMIFS(广告数据包!P:P,广告数据包!A:A,A80,广告数据包!G:G,Base!$F$2)+SUMIFS(广告数据包!P:P,广告数据包!A:A,A80,广告数据包!G:G,Base!$F$3)+SUMIFS(广告数据包!P:P,广告数据包!A:A,A80,广告数据包!G:G,Base!$F$4)</f>
        <v>0</v>
      </c>
      <c r="P80" s="56">
        <f>SUMIFS(广告数据包!M:M,广告数据包!A:A,A80,广告数据包!G:G,Base!$F$2)+SUMIFS(广告数据包!M:M,广告数据包!A:A,A80,广告数据包!G:G,Base!$F$3)+SUMIFS(广告数据包!M:M,广告数据包!A:A,A80,广告数据包!G:G,Base!$F$4)</f>
        <v>0</v>
      </c>
      <c r="Q80" s="57">
        <f t="shared" si="16"/>
        <v>0</v>
      </c>
      <c r="R80" s="56">
        <f>SUMIFS(广告数据包!L:L,广告数据包!A:A,A80,广告数据包!G:G,Base!$F$2)+SUMIFS(广告数据包!L:L,广告数据包!A:A,A80,广告数据包!G:G,Base!$F$3)+SUMIFS(广告数据包!L:L,广告数据包!A:A,A80,广告数据包!G:G,Base!$F$4)</f>
        <v>0</v>
      </c>
      <c r="S80" s="86">
        <f t="shared" si="17"/>
        <v>0</v>
      </c>
    </row>
    <row r="81" ht="16.5" spans="1:19">
      <c r="A81" s="54">
        <v>44518</v>
      </c>
      <c r="B81" s="55">
        <f>SUMIFS(销售数据包!F:F,销售数据包!A:A,A81,销售数据包!C:C,Base!$F$2)+SUMIFS(销售数据包!F:F,销售数据包!A:A,A81,销售数据包!C:C,Base!$F$3)+SUMIFS(销售数据包!F:F,销售数据包!A:A,A81,销售数据包!C:C,Base!$F$4)</f>
        <v>0</v>
      </c>
      <c r="C81" s="56">
        <f>SUMIFS(销售数据包!K:K,销售数据包!A:A,A81,销售数据包!C:C,Base!$F$2)+SUMIFS(销售数据包!K:K,销售数据包!A:A,A81,销售数据包!C:C,Base!$F$3)+SUMIFS(销售数据包!K:K,销售数据包!A:A,A81,销售数据包!C:C,Base!$F$4)</f>
        <v>0</v>
      </c>
      <c r="D81" s="56">
        <f>SUMIFS(销售数据包!Q:Q,销售数据包!A:A,A81,销售数据包!C:C,Base!$F$2)+SUMIFS(销售数据包!Q:Q,销售数据包!A:A,A81,销售数据包!C:C,Base!$F$3)+SUMIFS(销售数据包!Q:Q,销售数据包!A:A,A81,销售数据包!C:C,Base!$F$4)</f>
        <v>0</v>
      </c>
      <c r="E81" s="57">
        <f t="shared" si="9"/>
        <v>0</v>
      </c>
      <c r="F81" s="57">
        <f t="shared" si="10"/>
        <v>0</v>
      </c>
      <c r="G81" s="56">
        <f>SUMIFS(销售数据包!O:O,销售数据包!A:A,A81)</f>
        <v>0</v>
      </c>
      <c r="H81" s="57">
        <f t="shared" si="11"/>
        <v>0</v>
      </c>
      <c r="I81" s="71">
        <f t="shared" si="12"/>
        <v>0</v>
      </c>
      <c r="J81" s="72" t="str">
        <f t="shared" si="13"/>
        <v>周4</v>
      </c>
      <c r="K81" s="73">
        <f>SUMIFS(广告数据包!H:H,广告数据包!A:A,A81,广告数据包!G:G,Base!$F$2)+SUMIFS(广告数据包!H:H,广告数据包!A:A,A81,广告数据包!G:G,Base!$F$3)+SUMIFS(广告数据包!H:H,广告数据包!A:A,A81,广告数据包!G:G,Base!$F$4)</f>
        <v>0</v>
      </c>
      <c r="L81" s="56">
        <f>SUMIFS(广告数据包!I:I,广告数据包!A:A,A81,广告数据包!G:G,Base!$F$2)+SUMIFS(广告数据包!I:I,广告数据包!A:A,A81,广告数据包!G:G,Base!$F$3)+SUMIFS(广告数据包!I:I,广告数据包!A:A,A81,广告数据包!G:G,Base!$F$4)</f>
        <v>0</v>
      </c>
      <c r="M81" s="57">
        <f t="shared" si="14"/>
        <v>0</v>
      </c>
      <c r="N81" s="74">
        <f t="shared" si="15"/>
        <v>0</v>
      </c>
      <c r="O81" s="75">
        <f>SUMIFS(广告数据包!P:P,广告数据包!A:A,A81,广告数据包!G:G,Base!$F$2)+SUMIFS(广告数据包!P:P,广告数据包!A:A,A81,广告数据包!G:G,Base!$F$3)+SUMIFS(广告数据包!P:P,广告数据包!A:A,A81,广告数据包!G:G,Base!$F$4)</f>
        <v>0</v>
      </c>
      <c r="P81" s="56">
        <f>SUMIFS(广告数据包!M:M,广告数据包!A:A,A81,广告数据包!G:G,Base!$F$2)+SUMIFS(广告数据包!M:M,广告数据包!A:A,A81,广告数据包!G:G,Base!$F$3)+SUMIFS(广告数据包!M:M,广告数据包!A:A,A81,广告数据包!G:G,Base!$F$4)</f>
        <v>0</v>
      </c>
      <c r="Q81" s="57">
        <f t="shared" si="16"/>
        <v>0</v>
      </c>
      <c r="R81" s="56">
        <f>SUMIFS(广告数据包!L:L,广告数据包!A:A,A81,广告数据包!G:G,Base!$F$2)+SUMIFS(广告数据包!L:L,广告数据包!A:A,A81,广告数据包!G:G,Base!$F$3)+SUMIFS(广告数据包!L:L,广告数据包!A:A,A81,广告数据包!G:G,Base!$F$4)</f>
        <v>0</v>
      </c>
      <c r="S81" s="86">
        <f t="shared" si="17"/>
        <v>0</v>
      </c>
    </row>
    <row r="82" ht="16.5" spans="1:19">
      <c r="A82" s="54">
        <v>44519</v>
      </c>
      <c r="B82" s="55">
        <f>SUMIFS(销售数据包!F:F,销售数据包!A:A,A82,销售数据包!C:C,Base!$F$2)+SUMIFS(销售数据包!F:F,销售数据包!A:A,A82,销售数据包!C:C,Base!$F$3)+SUMIFS(销售数据包!F:F,销售数据包!A:A,A82,销售数据包!C:C,Base!$F$4)</f>
        <v>0</v>
      </c>
      <c r="C82" s="56">
        <f>SUMIFS(销售数据包!K:K,销售数据包!A:A,A82,销售数据包!C:C,Base!$F$2)+SUMIFS(销售数据包!K:K,销售数据包!A:A,A82,销售数据包!C:C,Base!$F$3)+SUMIFS(销售数据包!K:K,销售数据包!A:A,A82,销售数据包!C:C,Base!$F$4)</f>
        <v>0</v>
      </c>
      <c r="D82" s="56">
        <f>SUMIFS(销售数据包!Q:Q,销售数据包!A:A,A82,销售数据包!C:C,Base!$F$2)+SUMIFS(销售数据包!Q:Q,销售数据包!A:A,A82,销售数据包!C:C,Base!$F$3)+SUMIFS(销售数据包!Q:Q,销售数据包!A:A,A82,销售数据包!C:C,Base!$F$4)</f>
        <v>0</v>
      </c>
      <c r="E82" s="57">
        <f t="shared" si="9"/>
        <v>0</v>
      </c>
      <c r="F82" s="57">
        <f t="shared" si="10"/>
        <v>0</v>
      </c>
      <c r="G82" s="56">
        <f>SUMIFS(销售数据包!O:O,销售数据包!A:A,A82)</f>
        <v>0</v>
      </c>
      <c r="H82" s="57">
        <f t="shared" si="11"/>
        <v>0</v>
      </c>
      <c r="I82" s="71">
        <f t="shared" si="12"/>
        <v>0</v>
      </c>
      <c r="J82" s="72" t="str">
        <f t="shared" si="13"/>
        <v>周5</v>
      </c>
      <c r="K82" s="73">
        <f>SUMIFS(广告数据包!H:H,广告数据包!A:A,A82,广告数据包!G:G,Base!$F$2)+SUMIFS(广告数据包!H:H,广告数据包!A:A,A82,广告数据包!G:G,Base!$F$3)+SUMIFS(广告数据包!H:H,广告数据包!A:A,A82,广告数据包!G:G,Base!$F$4)</f>
        <v>0</v>
      </c>
      <c r="L82" s="56">
        <f>SUMIFS(广告数据包!I:I,广告数据包!A:A,A82,广告数据包!G:G,Base!$F$2)+SUMIFS(广告数据包!I:I,广告数据包!A:A,A82,广告数据包!G:G,Base!$F$3)+SUMIFS(广告数据包!I:I,广告数据包!A:A,A82,广告数据包!G:G,Base!$F$4)</f>
        <v>0</v>
      </c>
      <c r="M82" s="57">
        <f t="shared" si="14"/>
        <v>0</v>
      </c>
      <c r="N82" s="74">
        <f t="shared" si="15"/>
        <v>0</v>
      </c>
      <c r="O82" s="75">
        <f>SUMIFS(广告数据包!P:P,广告数据包!A:A,A82,广告数据包!G:G,Base!$F$2)+SUMIFS(广告数据包!P:P,广告数据包!A:A,A82,广告数据包!G:G,Base!$F$3)+SUMIFS(广告数据包!P:P,广告数据包!A:A,A82,广告数据包!G:G,Base!$F$4)</f>
        <v>0</v>
      </c>
      <c r="P82" s="56">
        <f>SUMIFS(广告数据包!M:M,广告数据包!A:A,A82,广告数据包!G:G,Base!$F$2)+SUMIFS(广告数据包!M:M,广告数据包!A:A,A82,广告数据包!G:G,Base!$F$3)+SUMIFS(广告数据包!M:M,广告数据包!A:A,A82,广告数据包!G:G,Base!$F$4)</f>
        <v>0</v>
      </c>
      <c r="Q82" s="57">
        <f t="shared" si="16"/>
        <v>0</v>
      </c>
      <c r="R82" s="56">
        <f>SUMIFS(广告数据包!L:L,广告数据包!A:A,A82,广告数据包!G:G,Base!$F$2)+SUMIFS(广告数据包!L:L,广告数据包!A:A,A82,广告数据包!G:G,Base!$F$3)+SUMIFS(广告数据包!L:L,广告数据包!A:A,A82,广告数据包!G:G,Base!$F$4)</f>
        <v>0</v>
      </c>
      <c r="S82" s="86">
        <f t="shared" si="17"/>
        <v>0</v>
      </c>
    </row>
    <row r="83" ht="16.5" spans="1:19">
      <c r="A83" s="54">
        <v>44520</v>
      </c>
      <c r="B83" s="55">
        <f>SUMIFS(销售数据包!F:F,销售数据包!A:A,A83,销售数据包!C:C,Base!$F$2)+SUMIFS(销售数据包!F:F,销售数据包!A:A,A83,销售数据包!C:C,Base!$F$3)+SUMIFS(销售数据包!F:F,销售数据包!A:A,A83,销售数据包!C:C,Base!$F$4)</f>
        <v>0</v>
      </c>
      <c r="C83" s="56">
        <f>SUMIFS(销售数据包!K:K,销售数据包!A:A,A83,销售数据包!C:C,Base!$F$2)+SUMIFS(销售数据包!K:K,销售数据包!A:A,A83,销售数据包!C:C,Base!$F$3)+SUMIFS(销售数据包!K:K,销售数据包!A:A,A83,销售数据包!C:C,Base!$F$4)</f>
        <v>0</v>
      </c>
      <c r="D83" s="56">
        <f>SUMIFS(销售数据包!Q:Q,销售数据包!A:A,A83,销售数据包!C:C,Base!$F$2)+SUMIFS(销售数据包!Q:Q,销售数据包!A:A,A83,销售数据包!C:C,Base!$F$3)+SUMIFS(销售数据包!Q:Q,销售数据包!A:A,A83,销售数据包!C:C,Base!$F$4)</f>
        <v>0</v>
      </c>
      <c r="E83" s="57">
        <f t="shared" si="9"/>
        <v>0</v>
      </c>
      <c r="F83" s="57">
        <f t="shared" si="10"/>
        <v>0</v>
      </c>
      <c r="G83" s="56">
        <f>SUMIFS(销售数据包!O:O,销售数据包!A:A,A83)</f>
        <v>0</v>
      </c>
      <c r="H83" s="57">
        <f t="shared" si="11"/>
        <v>0</v>
      </c>
      <c r="I83" s="71">
        <f t="shared" si="12"/>
        <v>0</v>
      </c>
      <c r="J83" s="72" t="str">
        <f t="shared" si="13"/>
        <v>周6</v>
      </c>
      <c r="K83" s="73">
        <f>SUMIFS(广告数据包!H:H,广告数据包!A:A,A83,广告数据包!G:G,Base!$F$2)+SUMIFS(广告数据包!H:H,广告数据包!A:A,A83,广告数据包!G:G,Base!$F$3)+SUMIFS(广告数据包!H:H,广告数据包!A:A,A83,广告数据包!G:G,Base!$F$4)</f>
        <v>0</v>
      </c>
      <c r="L83" s="56">
        <f>SUMIFS(广告数据包!I:I,广告数据包!A:A,A83,广告数据包!G:G,Base!$F$2)+SUMIFS(广告数据包!I:I,广告数据包!A:A,A83,广告数据包!G:G,Base!$F$3)+SUMIFS(广告数据包!I:I,广告数据包!A:A,A83,广告数据包!G:G,Base!$F$4)</f>
        <v>0</v>
      </c>
      <c r="M83" s="57">
        <f t="shared" si="14"/>
        <v>0</v>
      </c>
      <c r="N83" s="74">
        <f t="shared" si="15"/>
        <v>0</v>
      </c>
      <c r="O83" s="75">
        <f>SUMIFS(广告数据包!P:P,广告数据包!A:A,A83,广告数据包!G:G,Base!$F$2)+SUMIFS(广告数据包!P:P,广告数据包!A:A,A83,广告数据包!G:G,Base!$F$3)+SUMIFS(广告数据包!P:P,广告数据包!A:A,A83,广告数据包!G:G,Base!$F$4)</f>
        <v>0</v>
      </c>
      <c r="P83" s="56">
        <f>SUMIFS(广告数据包!M:M,广告数据包!A:A,A83,广告数据包!G:G,Base!$F$2)+SUMIFS(广告数据包!M:M,广告数据包!A:A,A83,广告数据包!G:G,Base!$F$3)+SUMIFS(广告数据包!M:M,广告数据包!A:A,A83,广告数据包!G:G,Base!$F$4)</f>
        <v>0</v>
      </c>
      <c r="Q83" s="57">
        <f t="shared" si="16"/>
        <v>0</v>
      </c>
      <c r="R83" s="56">
        <f>SUMIFS(广告数据包!L:L,广告数据包!A:A,A83,广告数据包!G:G,Base!$F$2)+SUMIFS(广告数据包!L:L,广告数据包!A:A,A83,广告数据包!G:G,Base!$F$3)+SUMIFS(广告数据包!L:L,广告数据包!A:A,A83,广告数据包!G:G,Base!$F$4)</f>
        <v>0</v>
      </c>
      <c r="S83" s="86">
        <f t="shared" si="17"/>
        <v>0</v>
      </c>
    </row>
    <row r="84" ht="16.5" spans="1:19">
      <c r="A84" s="54">
        <v>44521</v>
      </c>
      <c r="B84" s="55">
        <f>SUMIFS(销售数据包!F:F,销售数据包!A:A,A84,销售数据包!C:C,Base!$F$2)+SUMIFS(销售数据包!F:F,销售数据包!A:A,A84,销售数据包!C:C,Base!$F$3)+SUMIFS(销售数据包!F:F,销售数据包!A:A,A84,销售数据包!C:C,Base!$F$4)</f>
        <v>0</v>
      </c>
      <c r="C84" s="56">
        <f>SUMIFS(销售数据包!K:K,销售数据包!A:A,A84,销售数据包!C:C,Base!$F$2)+SUMIFS(销售数据包!K:K,销售数据包!A:A,A84,销售数据包!C:C,Base!$F$3)+SUMIFS(销售数据包!K:K,销售数据包!A:A,A84,销售数据包!C:C,Base!$F$4)</f>
        <v>0</v>
      </c>
      <c r="D84" s="56">
        <f>SUMIFS(销售数据包!Q:Q,销售数据包!A:A,A84,销售数据包!C:C,Base!$F$2)+SUMIFS(销售数据包!Q:Q,销售数据包!A:A,A84,销售数据包!C:C,Base!$F$3)+SUMIFS(销售数据包!Q:Q,销售数据包!A:A,A84,销售数据包!C:C,Base!$F$4)</f>
        <v>0</v>
      </c>
      <c r="E84" s="57">
        <f t="shared" si="9"/>
        <v>0</v>
      </c>
      <c r="F84" s="57">
        <f t="shared" si="10"/>
        <v>0</v>
      </c>
      <c r="G84" s="56">
        <f>SUMIFS(销售数据包!O:O,销售数据包!A:A,A84)</f>
        <v>0</v>
      </c>
      <c r="H84" s="57">
        <f t="shared" si="11"/>
        <v>0</v>
      </c>
      <c r="I84" s="71">
        <f t="shared" si="12"/>
        <v>0</v>
      </c>
      <c r="J84" s="72" t="str">
        <f t="shared" si="13"/>
        <v>周7</v>
      </c>
      <c r="K84" s="73">
        <f>SUMIFS(广告数据包!H:H,广告数据包!A:A,A84,广告数据包!G:G,Base!$F$2)+SUMIFS(广告数据包!H:H,广告数据包!A:A,A84,广告数据包!G:G,Base!$F$3)+SUMIFS(广告数据包!H:H,广告数据包!A:A,A84,广告数据包!G:G,Base!$F$4)</f>
        <v>0</v>
      </c>
      <c r="L84" s="56">
        <f>SUMIFS(广告数据包!I:I,广告数据包!A:A,A84,广告数据包!G:G,Base!$F$2)+SUMIFS(广告数据包!I:I,广告数据包!A:A,A84,广告数据包!G:G,Base!$F$3)+SUMIFS(广告数据包!I:I,广告数据包!A:A,A84,广告数据包!G:G,Base!$F$4)</f>
        <v>0</v>
      </c>
      <c r="M84" s="57">
        <f t="shared" si="14"/>
        <v>0</v>
      </c>
      <c r="N84" s="74">
        <f t="shared" si="15"/>
        <v>0</v>
      </c>
      <c r="O84" s="75">
        <f>SUMIFS(广告数据包!P:P,广告数据包!A:A,A84,广告数据包!G:G,Base!$F$2)+SUMIFS(广告数据包!P:P,广告数据包!A:A,A84,广告数据包!G:G,Base!$F$3)+SUMIFS(广告数据包!P:P,广告数据包!A:A,A84,广告数据包!G:G,Base!$F$4)</f>
        <v>0</v>
      </c>
      <c r="P84" s="56">
        <f>SUMIFS(广告数据包!M:M,广告数据包!A:A,A84,广告数据包!G:G,Base!$F$2)+SUMIFS(广告数据包!M:M,广告数据包!A:A,A84,广告数据包!G:G,Base!$F$3)+SUMIFS(广告数据包!M:M,广告数据包!A:A,A84,广告数据包!G:G,Base!$F$4)</f>
        <v>0</v>
      </c>
      <c r="Q84" s="57">
        <f t="shared" si="16"/>
        <v>0</v>
      </c>
      <c r="R84" s="56">
        <f>SUMIFS(广告数据包!L:L,广告数据包!A:A,A84,广告数据包!G:G,Base!$F$2)+SUMIFS(广告数据包!L:L,广告数据包!A:A,A84,广告数据包!G:G,Base!$F$3)+SUMIFS(广告数据包!L:L,广告数据包!A:A,A84,广告数据包!G:G,Base!$F$4)</f>
        <v>0</v>
      </c>
      <c r="S84" s="86">
        <f t="shared" si="17"/>
        <v>0</v>
      </c>
    </row>
    <row r="85" ht="16.5" spans="1:19">
      <c r="A85" s="54">
        <v>44522</v>
      </c>
      <c r="B85" s="55">
        <f>SUMIFS(销售数据包!F:F,销售数据包!A:A,A85,销售数据包!C:C,Base!$F$2)+SUMIFS(销售数据包!F:F,销售数据包!A:A,A85,销售数据包!C:C,Base!$F$3)+SUMIFS(销售数据包!F:F,销售数据包!A:A,A85,销售数据包!C:C,Base!$F$4)</f>
        <v>0</v>
      </c>
      <c r="C85" s="56">
        <f>SUMIFS(销售数据包!K:K,销售数据包!A:A,A85,销售数据包!C:C,Base!$F$2)+SUMIFS(销售数据包!K:K,销售数据包!A:A,A85,销售数据包!C:C,Base!$F$3)+SUMIFS(销售数据包!K:K,销售数据包!A:A,A85,销售数据包!C:C,Base!$F$4)</f>
        <v>0</v>
      </c>
      <c r="D85" s="56">
        <f>SUMIFS(销售数据包!Q:Q,销售数据包!A:A,A85,销售数据包!C:C,Base!$F$2)+SUMIFS(销售数据包!Q:Q,销售数据包!A:A,A85,销售数据包!C:C,Base!$F$3)+SUMIFS(销售数据包!Q:Q,销售数据包!A:A,A85,销售数据包!C:C,Base!$F$4)</f>
        <v>0</v>
      </c>
      <c r="E85" s="57">
        <f t="shared" si="9"/>
        <v>0</v>
      </c>
      <c r="F85" s="57">
        <f t="shared" si="10"/>
        <v>0</v>
      </c>
      <c r="G85" s="56">
        <f>SUMIFS(销售数据包!O:O,销售数据包!A:A,A85)</f>
        <v>0</v>
      </c>
      <c r="H85" s="57">
        <f t="shared" si="11"/>
        <v>0</v>
      </c>
      <c r="I85" s="71">
        <f t="shared" si="12"/>
        <v>0</v>
      </c>
      <c r="J85" s="72" t="str">
        <f t="shared" si="13"/>
        <v>周1</v>
      </c>
      <c r="K85" s="73">
        <f>SUMIFS(广告数据包!H:H,广告数据包!A:A,A85,广告数据包!G:G,Base!$F$2)+SUMIFS(广告数据包!H:H,广告数据包!A:A,A85,广告数据包!G:G,Base!$F$3)+SUMIFS(广告数据包!H:H,广告数据包!A:A,A85,广告数据包!G:G,Base!$F$4)</f>
        <v>0</v>
      </c>
      <c r="L85" s="56">
        <f>SUMIFS(广告数据包!I:I,广告数据包!A:A,A85,广告数据包!G:G,Base!$F$2)+SUMIFS(广告数据包!I:I,广告数据包!A:A,A85,广告数据包!G:G,Base!$F$3)+SUMIFS(广告数据包!I:I,广告数据包!A:A,A85,广告数据包!G:G,Base!$F$4)</f>
        <v>0</v>
      </c>
      <c r="M85" s="57">
        <f t="shared" si="14"/>
        <v>0</v>
      </c>
      <c r="N85" s="74">
        <f t="shared" si="15"/>
        <v>0</v>
      </c>
      <c r="O85" s="75">
        <f>SUMIFS(广告数据包!P:P,广告数据包!A:A,A85,广告数据包!G:G,Base!$F$2)+SUMIFS(广告数据包!P:P,广告数据包!A:A,A85,广告数据包!G:G,Base!$F$3)+SUMIFS(广告数据包!P:P,广告数据包!A:A,A85,广告数据包!G:G,Base!$F$4)</f>
        <v>0</v>
      </c>
      <c r="P85" s="56">
        <f>SUMIFS(广告数据包!M:M,广告数据包!A:A,A85,广告数据包!G:G,Base!$F$2)+SUMIFS(广告数据包!M:M,广告数据包!A:A,A85,广告数据包!G:G,Base!$F$3)+SUMIFS(广告数据包!M:M,广告数据包!A:A,A85,广告数据包!G:G,Base!$F$4)</f>
        <v>0</v>
      </c>
      <c r="Q85" s="57">
        <f t="shared" si="16"/>
        <v>0</v>
      </c>
      <c r="R85" s="56">
        <f>SUMIFS(广告数据包!L:L,广告数据包!A:A,A85,广告数据包!G:G,Base!$F$2)+SUMIFS(广告数据包!L:L,广告数据包!A:A,A85,广告数据包!G:G,Base!$F$3)+SUMIFS(广告数据包!L:L,广告数据包!A:A,A85,广告数据包!G:G,Base!$F$4)</f>
        <v>0</v>
      </c>
      <c r="S85" s="86">
        <f t="shared" si="17"/>
        <v>0</v>
      </c>
    </row>
    <row r="86" ht="16.5" spans="1:19">
      <c r="A86" s="54">
        <v>44523</v>
      </c>
      <c r="B86" s="55">
        <f>SUMIFS(销售数据包!F:F,销售数据包!A:A,A86,销售数据包!C:C,Base!$F$2)+SUMIFS(销售数据包!F:F,销售数据包!A:A,A86,销售数据包!C:C,Base!$F$3)+SUMIFS(销售数据包!F:F,销售数据包!A:A,A86,销售数据包!C:C,Base!$F$4)</f>
        <v>0</v>
      </c>
      <c r="C86" s="56">
        <f>SUMIFS(销售数据包!K:K,销售数据包!A:A,A86,销售数据包!C:C,Base!$F$2)+SUMIFS(销售数据包!K:K,销售数据包!A:A,A86,销售数据包!C:C,Base!$F$3)+SUMIFS(销售数据包!K:K,销售数据包!A:A,A86,销售数据包!C:C,Base!$F$4)</f>
        <v>0</v>
      </c>
      <c r="D86" s="56">
        <f>SUMIFS(销售数据包!Q:Q,销售数据包!A:A,A86,销售数据包!C:C,Base!$F$2)+SUMIFS(销售数据包!Q:Q,销售数据包!A:A,A86,销售数据包!C:C,Base!$F$3)+SUMIFS(销售数据包!Q:Q,销售数据包!A:A,A86,销售数据包!C:C,Base!$F$4)</f>
        <v>0</v>
      </c>
      <c r="E86" s="57">
        <f t="shared" si="9"/>
        <v>0</v>
      </c>
      <c r="F86" s="57">
        <f t="shared" si="10"/>
        <v>0</v>
      </c>
      <c r="G86" s="56">
        <f>SUMIFS(销售数据包!O:O,销售数据包!A:A,A86)</f>
        <v>0</v>
      </c>
      <c r="H86" s="57">
        <f t="shared" si="11"/>
        <v>0</v>
      </c>
      <c r="I86" s="71">
        <f t="shared" si="12"/>
        <v>0</v>
      </c>
      <c r="J86" s="72" t="str">
        <f t="shared" si="13"/>
        <v>周2</v>
      </c>
      <c r="K86" s="73">
        <f>SUMIFS(广告数据包!H:H,广告数据包!A:A,A86,广告数据包!G:G,Base!$F$2)+SUMIFS(广告数据包!H:H,广告数据包!A:A,A86,广告数据包!G:G,Base!$F$3)+SUMIFS(广告数据包!H:H,广告数据包!A:A,A86,广告数据包!G:G,Base!$F$4)</f>
        <v>0</v>
      </c>
      <c r="L86" s="56">
        <f>SUMIFS(广告数据包!I:I,广告数据包!A:A,A86,广告数据包!G:G,Base!$F$2)+SUMIFS(广告数据包!I:I,广告数据包!A:A,A86,广告数据包!G:G,Base!$F$3)+SUMIFS(广告数据包!I:I,广告数据包!A:A,A86,广告数据包!G:G,Base!$F$4)</f>
        <v>0</v>
      </c>
      <c r="M86" s="57">
        <f t="shared" si="14"/>
        <v>0</v>
      </c>
      <c r="N86" s="74">
        <f t="shared" si="15"/>
        <v>0</v>
      </c>
      <c r="O86" s="75">
        <f>SUMIFS(广告数据包!P:P,广告数据包!A:A,A86,广告数据包!G:G,Base!$F$2)+SUMIFS(广告数据包!P:P,广告数据包!A:A,A86,广告数据包!G:G,Base!$F$3)+SUMIFS(广告数据包!P:P,广告数据包!A:A,A86,广告数据包!G:G,Base!$F$4)</f>
        <v>0</v>
      </c>
      <c r="P86" s="56">
        <f>SUMIFS(广告数据包!M:M,广告数据包!A:A,A86,广告数据包!G:G,Base!$F$2)+SUMIFS(广告数据包!M:M,广告数据包!A:A,A86,广告数据包!G:G,Base!$F$3)+SUMIFS(广告数据包!M:M,广告数据包!A:A,A86,广告数据包!G:G,Base!$F$4)</f>
        <v>0</v>
      </c>
      <c r="Q86" s="57">
        <f t="shared" si="16"/>
        <v>0</v>
      </c>
      <c r="R86" s="56">
        <f>SUMIFS(广告数据包!L:L,广告数据包!A:A,A86,广告数据包!G:G,Base!$F$2)+SUMIFS(广告数据包!L:L,广告数据包!A:A,A86,广告数据包!G:G,Base!$F$3)+SUMIFS(广告数据包!L:L,广告数据包!A:A,A86,广告数据包!G:G,Base!$F$4)</f>
        <v>0</v>
      </c>
      <c r="S86" s="86">
        <f t="shared" si="17"/>
        <v>0</v>
      </c>
    </row>
    <row r="87" ht="16.5" spans="1:19">
      <c r="A87" s="54">
        <v>44524</v>
      </c>
      <c r="B87" s="55">
        <f>SUMIFS(销售数据包!F:F,销售数据包!A:A,A87,销售数据包!C:C,Base!$F$2)+SUMIFS(销售数据包!F:F,销售数据包!A:A,A87,销售数据包!C:C,Base!$F$3)+SUMIFS(销售数据包!F:F,销售数据包!A:A,A87,销售数据包!C:C,Base!$F$4)</f>
        <v>0</v>
      </c>
      <c r="C87" s="56">
        <f>SUMIFS(销售数据包!K:K,销售数据包!A:A,A87,销售数据包!C:C,Base!$F$2)+SUMIFS(销售数据包!K:K,销售数据包!A:A,A87,销售数据包!C:C,Base!$F$3)+SUMIFS(销售数据包!K:K,销售数据包!A:A,A87,销售数据包!C:C,Base!$F$4)</f>
        <v>0</v>
      </c>
      <c r="D87" s="56">
        <f>SUMIFS(销售数据包!Q:Q,销售数据包!A:A,A87,销售数据包!C:C,Base!$F$2)+SUMIFS(销售数据包!Q:Q,销售数据包!A:A,A87,销售数据包!C:C,Base!$F$3)+SUMIFS(销售数据包!Q:Q,销售数据包!A:A,A87,销售数据包!C:C,Base!$F$4)</f>
        <v>0</v>
      </c>
      <c r="E87" s="57">
        <f t="shared" si="9"/>
        <v>0</v>
      </c>
      <c r="F87" s="57">
        <f t="shared" si="10"/>
        <v>0</v>
      </c>
      <c r="G87" s="56">
        <f>SUMIFS(销售数据包!O:O,销售数据包!A:A,A87)</f>
        <v>0</v>
      </c>
      <c r="H87" s="57">
        <f t="shared" si="11"/>
        <v>0</v>
      </c>
      <c r="I87" s="71">
        <f t="shared" si="12"/>
        <v>0</v>
      </c>
      <c r="J87" s="72" t="str">
        <f t="shared" si="13"/>
        <v>周3</v>
      </c>
      <c r="K87" s="73">
        <f>SUMIFS(广告数据包!H:H,广告数据包!A:A,A87,广告数据包!G:G,Base!$F$2)+SUMIFS(广告数据包!H:H,广告数据包!A:A,A87,广告数据包!G:G,Base!$F$3)+SUMIFS(广告数据包!H:H,广告数据包!A:A,A87,广告数据包!G:G,Base!$F$4)</f>
        <v>0</v>
      </c>
      <c r="L87" s="56">
        <f>SUMIFS(广告数据包!I:I,广告数据包!A:A,A87,广告数据包!G:G,Base!$F$2)+SUMIFS(广告数据包!I:I,广告数据包!A:A,A87,广告数据包!G:G,Base!$F$3)+SUMIFS(广告数据包!I:I,广告数据包!A:A,A87,广告数据包!G:G,Base!$F$4)</f>
        <v>0</v>
      </c>
      <c r="M87" s="57">
        <f t="shared" si="14"/>
        <v>0</v>
      </c>
      <c r="N87" s="74">
        <f t="shared" si="15"/>
        <v>0</v>
      </c>
      <c r="O87" s="75">
        <f>SUMIFS(广告数据包!P:P,广告数据包!A:A,A87,广告数据包!G:G,Base!$F$2)+SUMIFS(广告数据包!P:P,广告数据包!A:A,A87,广告数据包!G:G,Base!$F$3)+SUMIFS(广告数据包!P:P,广告数据包!A:A,A87,广告数据包!G:G,Base!$F$4)</f>
        <v>0</v>
      </c>
      <c r="P87" s="56">
        <f>SUMIFS(广告数据包!M:M,广告数据包!A:A,A87,广告数据包!G:G,Base!$F$2)+SUMIFS(广告数据包!M:M,广告数据包!A:A,A87,广告数据包!G:G,Base!$F$3)+SUMIFS(广告数据包!M:M,广告数据包!A:A,A87,广告数据包!G:G,Base!$F$4)</f>
        <v>0</v>
      </c>
      <c r="Q87" s="57">
        <f t="shared" si="16"/>
        <v>0</v>
      </c>
      <c r="R87" s="56">
        <f>SUMIFS(广告数据包!L:L,广告数据包!A:A,A87,广告数据包!G:G,Base!$F$2)+SUMIFS(广告数据包!L:L,广告数据包!A:A,A87,广告数据包!G:G,Base!$F$3)+SUMIFS(广告数据包!L:L,广告数据包!A:A,A87,广告数据包!G:G,Base!$F$4)</f>
        <v>0</v>
      </c>
      <c r="S87" s="86">
        <f t="shared" si="17"/>
        <v>0</v>
      </c>
    </row>
    <row r="88" ht="16.5" spans="1:19">
      <c r="A88" s="54">
        <v>44525</v>
      </c>
      <c r="B88" s="55">
        <f>SUMIFS(销售数据包!F:F,销售数据包!A:A,A88,销售数据包!C:C,Base!$F$2)+SUMIFS(销售数据包!F:F,销售数据包!A:A,A88,销售数据包!C:C,Base!$F$3)+SUMIFS(销售数据包!F:F,销售数据包!A:A,A88,销售数据包!C:C,Base!$F$4)</f>
        <v>0</v>
      </c>
      <c r="C88" s="56">
        <f>SUMIFS(销售数据包!K:K,销售数据包!A:A,A88,销售数据包!C:C,Base!$F$2)+SUMIFS(销售数据包!K:K,销售数据包!A:A,A88,销售数据包!C:C,Base!$F$3)+SUMIFS(销售数据包!K:K,销售数据包!A:A,A88,销售数据包!C:C,Base!$F$4)</f>
        <v>0</v>
      </c>
      <c r="D88" s="56">
        <f>SUMIFS(销售数据包!Q:Q,销售数据包!A:A,A88,销售数据包!C:C,Base!$F$2)+SUMIFS(销售数据包!Q:Q,销售数据包!A:A,A88,销售数据包!C:C,Base!$F$3)+SUMIFS(销售数据包!Q:Q,销售数据包!A:A,A88,销售数据包!C:C,Base!$F$4)</f>
        <v>0</v>
      </c>
      <c r="E88" s="57">
        <f t="shared" si="9"/>
        <v>0</v>
      </c>
      <c r="F88" s="57">
        <f t="shared" si="10"/>
        <v>0</v>
      </c>
      <c r="G88" s="56">
        <f>SUMIFS(销售数据包!O:O,销售数据包!A:A,A88)</f>
        <v>0</v>
      </c>
      <c r="H88" s="57">
        <f t="shared" si="11"/>
        <v>0</v>
      </c>
      <c r="I88" s="71">
        <f t="shared" si="12"/>
        <v>0</v>
      </c>
      <c r="J88" s="72" t="str">
        <f t="shared" si="13"/>
        <v>周4</v>
      </c>
      <c r="K88" s="73">
        <f>SUMIFS(广告数据包!H:H,广告数据包!A:A,A88,广告数据包!G:G,Base!$F$2)+SUMIFS(广告数据包!H:H,广告数据包!A:A,A88,广告数据包!G:G,Base!$F$3)+SUMIFS(广告数据包!H:H,广告数据包!A:A,A88,广告数据包!G:G,Base!$F$4)</f>
        <v>0</v>
      </c>
      <c r="L88" s="56">
        <f>SUMIFS(广告数据包!I:I,广告数据包!A:A,A88,广告数据包!G:G,Base!$F$2)+SUMIFS(广告数据包!I:I,广告数据包!A:A,A88,广告数据包!G:G,Base!$F$3)+SUMIFS(广告数据包!I:I,广告数据包!A:A,A88,广告数据包!G:G,Base!$F$4)</f>
        <v>0</v>
      </c>
      <c r="M88" s="57">
        <f t="shared" si="14"/>
        <v>0</v>
      </c>
      <c r="N88" s="74">
        <f t="shared" si="15"/>
        <v>0</v>
      </c>
      <c r="O88" s="75">
        <f>SUMIFS(广告数据包!P:P,广告数据包!A:A,A88,广告数据包!G:G,Base!$F$2)+SUMIFS(广告数据包!P:P,广告数据包!A:A,A88,广告数据包!G:G,Base!$F$3)+SUMIFS(广告数据包!P:P,广告数据包!A:A,A88,广告数据包!G:G,Base!$F$4)</f>
        <v>0</v>
      </c>
      <c r="P88" s="56">
        <f>SUMIFS(广告数据包!M:M,广告数据包!A:A,A88,广告数据包!G:G,Base!$F$2)+SUMIFS(广告数据包!M:M,广告数据包!A:A,A88,广告数据包!G:G,Base!$F$3)+SUMIFS(广告数据包!M:M,广告数据包!A:A,A88,广告数据包!G:G,Base!$F$4)</f>
        <v>0</v>
      </c>
      <c r="Q88" s="57">
        <f t="shared" si="16"/>
        <v>0</v>
      </c>
      <c r="R88" s="56">
        <f>SUMIFS(广告数据包!L:L,广告数据包!A:A,A88,广告数据包!G:G,Base!$F$2)+SUMIFS(广告数据包!L:L,广告数据包!A:A,A88,广告数据包!G:G,Base!$F$3)+SUMIFS(广告数据包!L:L,广告数据包!A:A,A88,广告数据包!G:G,Base!$F$4)</f>
        <v>0</v>
      </c>
      <c r="S88" s="86">
        <f t="shared" si="17"/>
        <v>0</v>
      </c>
    </row>
    <row r="89" ht="16.5" spans="1:19">
      <c r="A89" s="54">
        <v>44526</v>
      </c>
      <c r="B89" s="55">
        <f>SUMIFS(销售数据包!F:F,销售数据包!A:A,A89,销售数据包!C:C,Base!$F$2)+SUMIFS(销售数据包!F:F,销售数据包!A:A,A89,销售数据包!C:C,Base!$F$3)+SUMIFS(销售数据包!F:F,销售数据包!A:A,A89,销售数据包!C:C,Base!$F$4)</f>
        <v>0</v>
      </c>
      <c r="C89" s="56">
        <f>SUMIFS(销售数据包!K:K,销售数据包!A:A,A89,销售数据包!C:C,Base!$F$2)+SUMIFS(销售数据包!K:K,销售数据包!A:A,A89,销售数据包!C:C,Base!$F$3)+SUMIFS(销售数据包!K:K,销售数据包!A:A,A89,销售数据包!C:C,Base!$F$4)</f>
        <v>0</v>
      </c>
      <c r="D89" s="56">
        <f>SUMIFS(销售数据包!Q:Q,销售数据包!A:A,A89,销售数据包!C:C,Base!$F$2)+SUMIFS(销售数据包!Q:Q,销售数据包!A:A,A89,销售数据包!C:C,Base!$F$3)+SUMIFS(销售数据包!Q:Q,销售数据包!A:A,A89,销售数据包!C:C,Base!$F$4)</f>
        <v>0</v>
      </c>
      <c r="E89" s="57">
        <f t="shared" si="9"/>
        <v>0</v>
      </c>
      <c r="F89" s="57">
        <f t="shared" si="10"/>
        <v>0</v>
      </c>
      <c r="G89" s="56">
        <f>SUMIFS(销售数据包!O:O,销售数据包!A:A,A89)</f>
        <v>0</v>
      </c>
      <c r="H89" s="57">
        <f t="shared" si="11"/>
        <v>0</v>
      </c>
      <c r="I89" s="71">
        <f t="shared" si="12"/>
        <v>0</v>
      </c>
      <c r="J89" s="72" t="str">
        <f t="shared" si="13"/>
        <v>周5</v>
      </c>
      <c r="K89" s="73">
        <f>SUMIFS(广告数据包!H:H,广告数据包!A:A,A89,广告数据包!G:G,Base!$F$2)+SUMIFS(广告数据包!H:H,广告数据包!A:A,A89,广告数据包!G:G,Base!$F$3)+SUMIFS(广告数据包!H:H,广告数据包!A:A,A89,广告数据包!G:G,Base!$F$4)</f>
        <v>0</v>
      </c>
      <c r="L89" s="56">
        <f>SUMIFS(广告数据包!I:I,广告数据包!A:A,A89,广告数据包!G:G,Base!$F$2)+SUMIFS(广告数据包!I:I,广告数据包!A:A,A89,广告数据包!G:G,Base!$F$3)+SUMIFS(广告数据包!I:I,广告数据包!A:A,A89,广告数据包!G:G,Base!$F$4)</f>
        <v>0</v>
      </c>
      <c r="M89" s="57">
        <f t="shared" si="14"/>
        <v>0</v>
      </c>
      <c r="N89" s="74">
        <f t="shared" si="15"/>
        <v>0</v>
      </c>
      <c r="O89" s="75">
        <f>SUMIFS(广告数据包!P:P,广告数据包!A:A,A89,广告数据包!G:G,Base!$F$2)+SUMIFS(广告数据包!P:P,广告数据包!A:A,A89,广告数据包!G:G,Base!$F$3)+SUMIFS(广告数据包!P:P,广告数据包!A:A,A89,广告数据包!G:G,Base!$F$4)</f>
        <v>0</v>
      </c>
      <c r="P89" s="56">
        <f>SUMIFS(广告数据包!M:M,广告数据包!A:A,A89,广告数据包!G:G,Base!$F$2)+SUMIFS(广告数据包!M:M,广告数据包!A:A,A89,广告数据包!G:G,Base!$F$3)+SUMIFS(广告数据包!M:M,广告数据包!A:A,A89,广告数据包!G:G,Base!$F$4)</f>
        <v>0</v>
      </c>
      <c r="Q89" s="57">
        <f t="shared" si="16"/>
        <v>0</v>
      </c>
      <c r="R89" s="56">
        <f>SUMIFS(广告数据包!L:L,广告数据包!A:A,A89,广告数据包!G:G,Base!$F$2)+SUMIFS(广告数据包!L:L,广告数据包!A:A,A89,广告数据包!G:G,Base!$F$3)+SUMIFS(广告数据包!L:L,广告数据包!A:A,A89,广告数据包!G:G,Base!$F$4)</f>
        <v>0</v>
      </c>
      <c r="S89" s="86">
        <f t="shared" si="17"/>
        <v>0</v>
      </c>
    </row>
    <row r="90" ht="16.5" spans="1:19">
      <c r="A90" s="54">
        <v>44527</v>
      </c>
      <c r="B90" s="55">
        <f>SUMIFS(销售数据包!F:F,销售数据包!A:A,A90,销售数据包!C:C,Base!$F$2)+SUMIFS(销售数据包!F:F,销售数据包!A:A,A90,销售数据包!C:C,Base!$F$3)+SUMIFS(销售数据包!F:F,销售数据包!A:A,A90,销售数据包!C:C,Base!$F$4)</f>
        <v>0</v>
      </c>
      <c r="C90" s="56">
        <f>SUMIFS(销售数据包!K:K,销售数据包!A:A,A90,销售数据包!C:C,Base!$F$2)+SUMIFS(销售数据包!K:K,销售数据包!A:A,A90,销售数据包!C:C,Base!$F$3)+SUMIFS(销售数据包!K:K,销售数据包!A:A,A90,销售数据包!C:C,Base!$F$4)</f>
        <v>0</v>
      </c>
      <c r="D90" s="56">
        <f>SUMIFS(销售数据包!Q:Q,销售数据包!A:A,A90,销售数据包!C:C,Base!$F$2)+SUMIFS(销售数据包!Q:Q,销售数据包!A:A,A90,销售数据包!C:C,Base!$F$3)+SUMIFS(销售数据包!Q:Q,销售数据包!A:A,A90,销售数据包!C:C,Base!$F$4)</f>
        <v>0</v>
      </c>
      <c r="E90" s="57">
        <f t="shared" si="9"/>
        <v>0</v>
      </c>
      <c r="F90" s="57">
        <f t="shared" si="10"/>
        <v>0</v>
      </c>
      <c r="G90" s="56">
        <f>SUMIFS(销售数据包!O:O,销售数据包!A:A,A90)</f>
        <v>0</v>
      </c>
      <c r="H90" s="57">
        <f t="shared" si="11"/>
        <v>0</v>
      </c>
      <c r="I90" s="71">
        <f t="shared" si="12"/>
        <v>0</v>
      </c>
      <c r="J90" s="72" t="str">
        <f t="shared" si="13"/>
        <v>周6</v>
      </c>
      <c r="K90" s="73">
        <f>SUMIFS(广告数据包!H:H,广告数据包!A:A,A90,广告数据包!G:G,Base!$F$2)+SUMIFS(广告数据包!H:H,广告数据包!A:A,A90,广告数据包!G:G,Base!$F$3)+SUMIFS(广告数据包!H:H,广告数据包!A:A,A90,广告数据包!G:G,Base!$F$4)</f>
        <v>0</v>
      </c>
      <c r="L90" s="56">
        <f>SUMIFS(广告数据包!I:I,广告数据包!A:A,A90,广告数据包!G:G,Base!$F$2)+SUMIFS(广告数据包!I:I,广告数据包!A:A,A90,广告数据包!G:G,Base!$F$3)+SUMIFS(广告数据包!I:I,广告数据包!A:A,A90,广告数据包!G:G,Base!$F$4)</f>
        <v>0</v>
      </c>
      <c r="M90" s="57">
        <f t="shared" si="14"/>
        <v>0</v>
      </c>
      <c r="N90" s="74">
        <f t="shared" si="15"/>
        <v>0</v>
      </c>
      <c r="O90" s="75">
        <f>SUMIFS(广告数据包!P:P,广告数据包!A:A,A90,广告数据包!G:G,Base!$F$2)+SUMIFS(广告数据包!P:P,广告数据包!A:A,A90,广告数据包!G:G,Base!$F$3)+SUMIFS(广告数据包!P:P,广告数据包!A:A,A90,广告数据包!G:G,Base!$F$4)</f>
        <v>0</v>
      </c>
      <c r="P90" s="56">
        <f>SUMIFS(广告数据包!M:M,广告数据包!A:A,A90,广告数据包!G:G,Base!$F$2)+SUMIFS(广告数据包!M:M,广告数据包!A:A,A90,广告数据包!G:G,Base!$F$3)+SUMIFS(广告数据包!M:M,广告数据包!A:A,A90,广告数据包!G:G,Base!$F$4)</f>
        <v>0</v>
      </c>
      <c r="Q90" s="57">
        <f t="shared" si="16"/>
        <v>0</v>
      </c>
      <c r="R90" s="56">
        <f>SUMIFS(广告数据包!L:L,广告数据包!A:A,A90,广告数据包!G:G,Base!$F$2)+SUMIFS(广告数据包!L:L,广告数据包!A:A,A90,广告数据包!G:G,Base!$F$3)+SUMIFS(广告数据包!L:L,广告数据包!A:A,A90,广告数据包!G:G,Base!$F$4)</f>
        <v>0</v>
      </c>
      <c r="S90" s="86">
        <f t="shared" si="17"/>
        <v>0</v>
      </c>
    </row>
    <row r="91" ht="16.5" spans="1:19">
      <c r="A91" s="54">
        <v>44528</v>
      </c>
      <c r="B91" s="55">
        <f>SUMIFS(销售数据包!F:F,销售数据包!A:A,A91,销售数据包!C:C,Base!$F$2)+SUMIFS(销售数据包!F:F,销售数据包!A:A,A91,销售数据包!C:C,Base!$F$3)+SUMIFS(销售数据包!F:F,销售数据包!A:A,A91,销售数据包!C:C,Base!$F$4)</f>
        <v>0</v>
      </c>
      <c r="C91" s="56">
        <f>SUMIFS(销售数据包!K:K,销售数据包!A:A,A91,销售数据包!C:C,Base!$F$2)+SUMIFS(销售数据包!K:K,销售数据包!A:A,A91,销售数据包!C:C,Base!$F$3)+SUMIFS(销售数据包!K:K,销售数据包!A:A,A91,销售数据包!C:C,Base!$F$4)</f>
        <v>0</v>
      </c>
      <c r="D91" s="56">
        <f>SUMIFS(销售数据包!Q:Q,销售数据包!A:A,A91,销售数据包!C:C,Base!$F$2)+SUMIFS(销售数据包!Q:Q,销售数据包!A:A,A91,销售数据包!C:C,Base!$F$3)+SUMIFS(销售数据包!Q:Q,销售数据包!A:A,A91,销售数据包!C:C,Base!$F$4)</f>
        <v>0</v>
      </c>
      <c r="E91" s="57">
        <f t="shared" si="9"/>
        <v>0</v>
      </c>
      <c r="F91" s="57">
        <f t="shared" si="10"/>
        <v>0</v>
      </c>
      <c r="G91" s="56">
        <f>SUMIFS(销售数据包!O:O,销售数据包!A:A,A91)</f>
        <v>0</v>
      </c>
      <c r="H91" s="57">
        <f t="shared" si="11"/>
        <v>0</v>
      </c>
      <c r="I91" s="71">
        <f t="shared" si="12"/>
        <v>0</v>
      </c>
      <c r="J91" s="72" t="str">
        <f t="shared" si="13"/>
        <v>周7</v>
      </c>
      <c r="K91" s="73">
        <f>SUMIFS(广告数据包!H:H,广告数据包!A:A,A91,广告数据包!G:G,Base!$F$2)+SUMIFS(广告数据包!H:H,广告数据包!A:A,A91,广告数据包!G:G,Base!$F$3)+SUMIFS(广告数据包!H:H,广告数据包!A:A,A91,广告数据包!G:G,Base!$F$4)</f>
        <v>0</v>
      </c>
      <c r="L91" s="56">
        <f>SUMIFS(广告数据包!I:I,广告数据包!A:A,A91,广告数据包!G:G,Base!$F$2)+SUMIFS(广告数据包!I:I,广告数据包!A:A,A91,广告数据包!G:G,Base!$F$3)+SUMIFS(广告数据包!I:I,广告数据包!A:A,A91,广告数据包!G:G,Base!$F$4)</f>
        <v>0</v>
      </c>
      <c r="M91" s="57">
        <f t="shared" si="14"/>
        <v>0</v>
      </c>
      <c r="N91" s="74">
        <f t="shared" si="15"/>
        <v>0</v>
      </c>
      <c r="O91" s="75">
        <f>SUMIFS(广告数据包!P:P,广告数据包!A:A,A91,广告数据包!G:G,Base!$F$2)+SUMIFS(广告数据包!P:P,广告数据包!A:A,A91,广告数据包!G:G,Base!$F$3)+SUMIFS(广告数据包!P:P,广告数据包!A:A,A91,广告数据包!G:G,Base!$F$4)</f>
        <v>0</v>
      </c>
      <c r="P91" s="56">
        <f>SUMIFS(广告数据包!M:M,广告数据包!A:A,A91,广告数据包!G:G,Base!$F$2)+SUMIFS(广告数据包!M:M,广告数据包!A:A,A91,广告数据包!G:G,Base!$F$3)+SUMIFS(广告数据包!M:M,广告数据包!A:A,A91,广告数据包!G:G,Base!$F$4)</f>
        <v>0</v>
      </c>
      <c r="Q91" s="57">
        <f t="shared" si="16"/>
        <v>0</v>
      </c>
      <c r="R91" s="56">
        <f>SUMIFS(广告数据包!L:L,广告数据包!A:A,A91,广告数据包!G:G,Base!$F$2)+SUMIFS(广告数据包!L:L,广告数据包!A:A,A91,广告数据包!G:G,Base!$F$3)+SUMIFS(广告数据包!L:L,广告数据包!A:A,A91,广告数据包!G:G,Base!$F$4)</f>
        <v>0</v>
      </c>
      <c r="S91" s="86">
        <f t="shared" si="17"/>
        <v>0</v>
      </c>
    </row>
    <row r="92" ht="16.5" spans="1:19">
      <c r="A92" s="54">
        <v>44529</v>
      </c>
      <c r="B92" s="55">
        <f>SUMIFS(销售数据包!F:F,销售数据包!A:A,A92,销售数据包!C:C,Base!$F$2)+SUMIFS(销售数据包!F:F,销售数据包!A:A,A92,销售数据包!C:C,Base!$F$3)+SUMIFS(销售数据包!F:F,销售数据包!A:A,A92,销售数据包!C:C,Base!$F$4)</f>
        <v>0</v>
      </c>
      <c r="C92" s="56">
        <f>SUMIFS(销售数据包!K:K,销售数据包!A:A,A92,销售数据包!C:C,Base!$F$2)+SUMIFS(销售数据包!K:K,销售数据包!A:A,A92,销售数据包!C:C,Base!$F$3)+SUMIFS(销售数据包!K:K,销售数据包!A:A,A92,销售数据包!C:C,Base!$F$4)</f>
        <v>0</v>
      </c>
      <c r="D92" s="56">
        <f>SUMIFS(销售数据包!Q:Q,销售数据包!A:A,A92,销售数据包!C:C,Base!$F$2)+SUMIFS(销售数据包!Q:Q,销售数据包!A:A,A92,销售数据包!C:C,Base!$F$3)+SUMIFS(销售数据包!Q:Q,销售数据包!A:A,A92,销售数据包!C:C,Base!$F$4)</f>
        <v>0</v>
      </c>
      <c r="E92" s="57">
        <f t="shared" si="9"/>
        <v>0</v>
      </c>
      <c r="F92" s="57">
        <f t="shared" si="10"/>
        <v>0</v>
      </c>
      <c r="G92" s="56">
        <f>SUMIFS(销售数据包!O:O,销售数据包!A:A,A92)</f>
        <v>0</v>
      </c>
      <c r="H92" s="57">
        <f t="shared" si="11"/>
        <v>0</v>
      </c>
      <c r="I92" s="71">
        <f t="shared" si="12"/>
        <v>0</v>
      </c>
      <c r="J92" s="72" t="str">
        <f t="shared" si="13"/>
        <v>周1</v>
      </c>
      <c r="K92" s="73">
        <f>SUMIFS(广告数据包!H:H,广告数据包!A:A,A92,广告数据包!G:G,Base!$F$2)+SUMIFS(广告数据包!H:H,广告数据包!A:A,A92,广告数据包!G:G,Base!$F$3)+SUMIFS(广告数据包!H:H,广告数据包!A:A,A92,广告数据包!G:G,Base!$F$4)</f>
        <v>0</v>
      </c>
      <c r="L92" s="56">
        <f>SUMIFS(广告数据包!I:I,广告数据包!A:A,A92,广告数据包!G:G,Base!$F$2)+SUMIFS(广告数据包!I:I,广告数据包!A:A,A92,广告数据包!G:G,Base!$F$3)+SUMIFS(广告数据包!I:I,广告数据包!A:A,A92,广告数据包!G:G,Base!$F$4)</f>
        <v>0</v>
      </c>
      <c r="M92" s="57">
        <f t="shared" si="14"/>
        <v>0</v>
      </c>
      <c r="N92" s="74">
        <f t="shared" si="15"/>
        <v>0</v>
      </c>
      <c r="O92" s="75">
        <f>SUMIFS(广告数据包!P:P,广告数据包!A:A,A92,广告数据包!G:G,Base!$F$2)+SUMIFS(广告数据包!P:P,广告数据包!A:A,A92,广告数据包!G:G,Base!$F$3)+SUMIFS(广告数据包!P:P,广告数据包!A:A,A92,广告数据包!G:G,Base!$F$4)</f>
        <v>0</v>
      </c>
      <c r="P92" s="56">
        <f>SUMIFS(广告数据包!M:M,广告数据包!A:A,A92,广告数据包!G:G,Base!$F$2)+SUMIFS(广告数据包!M:M,广告数据包!A:A,A92,广告数据包!G:G,Base!$F$3)+SUMIFS(广告数据包!M:M,广告数据包!A:A,A92,广告数据包!G:G,Base!$F$4)</f>
        <v>0</v>
      </c>
      <c r="Q92" s="57">
        <f t="shared" si="16"/>
        <v>0</v>
      </c>
      <c r="R92" s="56">
        <f>SUMIFS(广告数据包!L:L,广告数据包!A:A,A92,广告数据包!G:G,Base!$F$2)+SUMIFS(广告数据包!L:L,广告数据包!A:A,A92,广告数据包!G:G,Base!$F$3)+SUMIFS(广告数据包!L:L,广告数据包!A:A,A92,广告数据包!G:G,Base!$F$4)</f>
        <v>0</v>
      </c>
      <c r="S92" s="86">
        <f t="shared" si="17"/>
        <v>0</v>
      </c>
    </row>
    <row r="93" ht="16.5" spans="1:19">
      <c r="A93" s="54">
        <v>44530</v>
      </c>
      <c r="B93" s="55">
        <f>SUMIFS(销售数据包!F:F,销售数据包!A:A,A93,销售数据包!C:C,Base!$F$2)+SUMIFS(销售数据包!F:F,销售数据包!A:A,A93,销售数据包!C:C,Base!$F$3)+SUMIFS(销售数据包!F:F,销售数据包!A:A,A93,销售数据包!C:C,Base!$F$4)</f>
        <v>0</v>
      </c>
      <c r="C93" s="56">
        <f>SUMIFS(销售数据包!K:K,销售数据包!A:A,A93,销售数据包!C:C,Base!$F$2)+SUMIFS(销售数据包!K:K,销售数据包!A:A,A93,销售数据包!C:C,Base!$F$3)+SUMIFS(销售数据包!K:K,销售数据包!A:A,A93,销售数据包!C:C,Base!$F$4)</f>
        <v>0</v>
      </c>
      <c r="D93" s="56">
        <f>SUMIFS(销售数据包!Q:Q,销售数据包!A:A,A93,销售数据包!C:C,Base!$F$2)+SUMIFS(销售数据包!Q:Q,销售数据包!A:A,A93,销售数据包!C:C,Base!$F$3)+SUMIFS(销售数据包!Q:Q,销售数据包!A:A,A93,销售数据包!C:C,Base!$F$4)</f>
        <v>0</v>
      </c>
      <c r="E93" s="57">
        <f t="shared" si="9"/>
        <v>0</v>
      </c>
      <c r="F93" s="57">
        <f t="shared" si="10"/>
        <v>0</v>
      </c>
      <c r="G93" s="56">
        <f>SUMIFS(销售数据包!O:O,销售数据包!A:A,A93)</f>
        <v>0</v>
      </c>
      <c r="H93" s="57">
        <f t="shared" si="11"/>
        <v>0</v>
      </c>
      <c r="I93" s="71">
        <f t="shared" si="12"/>
        <v>0</v>
      </c>
      <c r="J93" s="72" t="str">
        <f t="shared" si="13"/>
        <v>周2</v>
      </c>
      <c r="K93" s="73">
        <f>SUMIFS(广告数据包!H:H,广告数据包!A:A,A93,广告数据包!G:G,Base!$F$2)+SUMIFS(广告数据包!H:H,广告数据包!A:A,A93,广告数据包!G:G,Base!$F$3)+SUMIFS(广告数据包!H:H,广告数据包!A:A,A93,广告数据包!G:G,Base!$F$4)</f>
        <v>0</v>
      </c>
      <c r="L93" s="56">
        <f>SUMIFS(广告数据包!I:I,广告数据包!A:A,A93,广告数据包!G:G,Base!$F$2)+SUMIFS(广告数据包!I:I,广告数据包!A:A,A93,广告数据包!G:G,Base!$F$3)+SUMIFS(广告数据包!I:I,广告数据包!A:A,A93,广告数据包!G:G,Base!$F$4)</f>
        <v>0</v>
      </c>
      <c r="M93" s="57">
        <f t="shared" si="14"/>
        <v>0</v>
      </c>
      <c r="N93" s="74">
        <f t="shared" si="15"/>
        <v>0</v>
      </c>
      <c r="O93" s="75">
        <f>SUMIFS(广告数据包!P:P,广告数据包!A:A,A93,广告数据包!G:G,Base!$F$2)+SUMIFS(广告数据包!P:P,广告数据包!A:A,A93,广告数据包!G:G,Base!$F$3)+SUMIFS(广告数据包!P:P,广告数据包!A:A,A93,广告数据包!G:G,Base!$F$4)</f>
        <v>0</v>
      </c>
      <c r="P93" s="56">
        <f>SUMIFS(广告数据包!M:M,广告数据包!A:A,A93,广告数据包!G:G,Base!$F$2)+SUMIFS(广告数据包!M:M,广告数据包!A:A,A93,广告数据包!G:G,Base!$F$3)+SUMIFS(广告数据包!M:M,广告数据包!A:A,A93,广告数据包!G:G,Base!$F$4)</f>
        <v>0</v>
      </c>
      <c r="Q93" s="57">
        <f t="shared" si="16"/>
        <v>0</v>
      </c>
      <c r="R93" s="56">
        <f>SUMIFS(广告数据包!L:L,广告数据包!A:A,A93,广告数据包!G:G,Base!$F$2)+SUMIFS(广告数据包!L:L,广告数据包!A:A,A93,广告数据包!G:G,Base!$F$3)+SUMIFS(广告数据包!L:L,广告数据包!A:A,A93,广告数据包!G:G,Base!$F$4)</f>
        <v>0</v>
      </c>
      <c r="S93" s="86">
        <f t="shared" si="17"/>
        <v>0</v>
      </c>
    </row>
    <row r="94" ht="16.5" spans="1:19">
      <c r="A94" s="54">
        <v>44531</v>
      </c>
      <c r="B94" s="55">
        <f>SUMIFS(销售数据包!F:F,销售数据包!A:A,A94,销售数据包!C:C,Base!$F$2)+SUMIFS(销售数据包!F:F,销售数据包!A:A,A94,销售数据包!C:C,Base!$F$3)+SUMIFS(销售数据包!F:F,销售数据包!A:A,A94,销售数据包!C:C,Base!$F$4)</f>
        <v>0</v>
      </c>
      <c r="C94" s="56">
        <f>SUMIFS(销售数据包!K:K,销售数据包!A:A,A94,销售数据包!C:C,Base!$F$2)+SUMIFS(销售数据包!K:K,销售数据包!A:A,A94,销售数据包!C:C,Base!$F$3)+SUMIFS(销售数据包!K:K,销售数据包!A:A,A94,销售数据包!C:C,Base!$F$4)</f>
        <v>0</v>
      </c>
      <c r="D94" s="56">
        <f>SUMIFS(销售数据包!Q:Q,销售数据包!A:A,A94,销售数据包!C:C,Base!$F$2)+SUMIFS(销售数据包!Q:Q,销售数据包!A:A,A94,销售数据包!C:C,Base!$F$3)+SUMIFS(销售数据包!Q:Q,销售数据包!A:A,A94,销售数据包!C:C,Base!$F$4)</f>
        <v>0</v>
      </c>
      <c r="E94" s="57">
        <f t="shared" si="9"/>
        <v>0</v>
      </c>
      <c r="F94" s="57">
        <f t="shared" si="10"/>
        <v>0</v>
      </c>
      <c r="G94" s="56">
        <f>SUMIFS(销售数据包!O:O,销售数据包!A:A,A94)</f>
        <v>0</v>
      </c>
      <c r="H94" s="57">
        <f t="shared" si="11"/>
        <v>0</v>
      </c>
      <c r="I94" s="71">
        <f t="shared" si="12"/>
        <v>0</v>
      </c>
      <c r="J94" s="72" t="str">
        <f t="shared" si="13"/>
        <v>周3</v>
      </c>
      <c r="K94" s="73">
        <f>SUMIFS(广告数据包!H:H,广告数据包!A:A,A94,广告数据包!G:G,Base!$F$2)+SUMIFS(广告数据包!H:H,广告数据包!A:A,A94,广告数据包!G:G,Base!$F$3)+SUMIFS(广告数据包!H:H,广告数据包!A:A,A94,广告数据包!G:G,Base!$F$4)</f>
        <v>0</v>
      </c>
      <c r="L94" s="56">
        <f>SUMIFS(广告数据包!I:I,广告数据包!A:A,A94,广告数据包!G:G,Base!$F$2)+SUMIFS(广告数据包!I:I,广告数据包!A:A,A94,广告数据包!G:G,Base!$F$3)+SUMIFS(广告数据包!I:I,广告数据包!A:A,A94,广告数据包!G:G,Base!$F$4)</f>
        <v>0</v>
      </c>
      <c r="M94" s="57">
        <f t="shared" si="14"/>
        <v>0</v>
      </c>
      <c r="N94" s="74">
        <f t="shared" si="15"/>
        <v>0</v>
      </c>
      <c r="O94" s="75">
        <f>SUMIFS(广告数据包!P:P,广告数据包!A:A,A94,广告数据包!G:G,Base!$F$2)+SUMIFS(广告数据包!P:P,广告数据包!A:A,A94,广告数据包!G:G,Base!$F$3)+SUMIFS(广告数据包!P:P,广告数据包!A:A,A94,广告数据包!G:G,Base!$F$4)</f>
        <v>0</v>
      </c>
      <c r="P94" s="56">
        <f>SUMIFS(广告数据包!M:M,广告数据包!A:A,A94,广告数据包!G:G,Base!$F$2)+SUMIFS(广告数据包!M:M,广告数据包!A:A,A94,广告数据包!G:G,Base!$F$3)+SUMIFS(广告数据包!M:M,广告数据包!A:A,A94,广告数据包!G:G,Base!$F$4)</f>
        <v>0</v>
      </c>
      <c r="Q94" s="57">
        <f t="shared" si="16"/>
        <v>0</v>
      </c>
      <c r="R94" s="56">
        <f>SUMIFS(广告数据包!L:L,广告数据包!A:A,A94,广告数据包!G:G,Base!$F$2)+SUMIFS(广告数据包!L:L,广告数据包!A:A,A94,广告数据包!G:G,Base!$F$3)+SUMIFS(广告数据包!L:L,广告数据包!A:A,A94,广告数据包!G:G,Base!$F$4)</f>
        <v>0</v>
      </c>
      <c r="S94" s="86">
        <f t="shared" si="17"/>
        <v>0</v>
      </c>
    </row>
    <row r="95" ht="16.5" spans="1:19">
      <c r="A95" s="54">
        <v>44532</v>
      </c>
      <c r="B95" s="55">
        <f>SUMIFS(销售数据包!F:F,销售数据包!A:A,A95,销售数据包!C:C,Base!$F$2)+SUMIFS(销售数据包!F:F,销售数据包!A:A,A95,销售数据包!C:C,Base!$F$3)+SUMIFS(销售数据包!F:F,销售数据包!A:A,A95,销售数据包!C:C,Base!$F$4)</f>
        <v>0</v>
      </c>
      <c r="C95" s="56">
        <f>SUMIFS(销售数据包!K:K,销售数据包!A:A,A95,销售数据包!C:C,Base!$F$2)+SUMIFS(销售数据包!K:K,销售数据包!A:A,A95,销售数据包!C:C,Base!$F$3)+SUMIFS(销售数据包!K:K,销售数据包!A:A,A95,销售数据包!C:C,Base!$F$4)</f>
        <v>0</v>
      </c>
      <c r="D95" s="56">
        <f>SUMIFS(销售数据包!Q:Q,销售数据包!A:A,A95,销售数据包!C:C,Base!$F$2)+SUMIFS(销售数据包!Q:Q,销售数据包!A:A,A95,销售数据包!C:C,Base!$F$3)+SUMIFS(销售数据包!Q:Q,销售数据包!A:A,A95,销售数据包!C:C,Base!$F$4)</f>
        <v>0</v>
      </c>
      <c r="E95" s="57">
        <f t="shared" si="9"/>
        <v>0</v>
      </c>
      <c r="F95" s="57">
        <f t="shared" si="10"/>
        <v>0</v>
      </c>
      <c r="G95" s="56">
        <f>SUMIFS(销售数据包!O:O,销售数据包!A:A,A95)</f>
        <v>0</v>
      </c>
      <c r="H95" s="57">
        <f t="shared" si="11"/>
        <v>0</v>
      </c>
      <c r="I95" s="71">
        <f t="shared" si="12"/>
        <v>0</v>
      </c>
      <c r="J95" s="72" t="str">
        <f t="shared" si="13"/>
        <v>周4</v>
      </c>
      <c r="K95" s="73">
        <f>SUMIFS(广告数据包!H:H,广告数据包!A:A,A95,广告数据包!G:G,Base!$F$2)+SUMIFS(广告数据包!H:H,广告数据包!A:A,A95,广告数据包!G:G,Base!$F$3)+SUMIFS(广告数据包!H:H,广告数据包!A:A,A95,广告数据包!G:G,Base!$F$4)</f>
        <v>0</v>
      </c>
      <c r="L95" s="56">
        <f>SUMIFS(广告数据包!I:I,广告数据包!A:A,A95,广告数据包!G:G,Base!$F$2)+SUMIFS(广告数据包!I:I,广告数据包!A:A,A95,广告数据包!G:G,Base!$F$3)+SUMIFS(广告数据包!I:I,广告数据包!A:A,A95,广告数据包!G:G,Base!$F$4)</f>
        <v>0</v>
      </c>
      <c r="M95" s="57">
        <f t="shared" si="14"/>
        <v>0</v>
      </c>
      <c r="N95" s="74">
        <f t="shared" si="15"/>
        <v>0</v>
      </c>
      <c r="O95" s="75">
        <f>SUMIFS(广告数据包!P:P,广告数据包!A:A,A95,广告数据包!G:G,Base!$F$2)+SUMIFS(广告数据包!P:P,广告数据包!A:A,A95,广告数据包!G:G,Base!$F$3)+SUMIFS(广告数据包!P:P,广告数据包!A:A,A95,广告数据包!G:G,Base!$F$4)</f>
        <v>0</v>
      </c>
      <c r="P95" s="56">
        <f>SUMIFS(广告数据包!M:M,广告数据包!A:A,A95,广告数据包!G:G,Base!$F$2)+SUMIFS(广告数据包!M:M,广告数据包!A:A,A95,广告数据包!G:G,Base!$F$3)+SUMIFS(广告数据包!M:M,广告数据包!A:A,A95,广告数据包!G:G,Base!$F$4)</f>
        <v>0</v>
      </c>
      <c r="Q95" s="57">
        <f t="shared" si="16"/>
        <v>0</v>
      </c>
      <c r="R95" s="56">
        <f>SUMIFS(广告数据包!L:L,广告数据包!A:A,A95,广告数据包!G:G,Base!$F$2)+SUMIFS(广告数据包!L:L,广告数据包!A:A,A95,广告数据包!G:G,Base!$F$3)+SUMIFS(广告数据包!L:L,广告数据包!A:A,A95,广告数据包!G:G,Base!$F$4)</f>
        <v>0</v>
      </c>
      <c r="S95" s="86">
        <f t="shared" si="17"/>
        <v>0</v>
      </c>
    </row>
    <row r="96" ht="16.5" spans="1:19">
      <c r="A96" s="54">
        <v>44533</v>
      </c>
      <c r="B96" s="55">
        <f>SUMIFS(销售数据包!F:F,销售数据包!A:A,A96,销售数据包!C:C,Base!$F$2)+SUMIFS(销售数据包!F:F,销售数据包!A:A,A96,销售数据包!C:C,Base!$F$3)+SUMIFS(销售数据包!F:F,销售数据包!A:A,A96,销售数据包!C:C,Base!$F$4)</f>
        <v>0</v>
      </c>
      <c r="C96" s="56">
        <f>SUMIFS(销售数据包!K:K,销售数据包!A:A,A96,销售数据包!C:C,Base!$F$2)+SUMIFS(销售数据包!K:K,销售数据包!A:A,A96,销售数据包!C:C,Base!$F$3)+SUMIFS(销售数据包!K:K,销售数据包!A:A,A96,销售数据包!C:C,Base!$F$4)</f>
        <v>0</v>
      </c>
      <c r="D96" s="56">
        <f>SUMIFS(销售数据包!Q:Q,销售数据包!A:A,A96,销售数据包!C:C,Base!$F$2)+SUMIFS(销售数据包!Q:Q,销售数据包!A:A,A96,销售数据包!C:C,Base!$F$3)+SUMIFS(销售数据包!Q:Q,销售数据包!A:A,A96,销售数据包!C:C,Base!$F$4)</f>
        <v>0</v>
      </c>
      <c r="E96" s="57">
        <f t="shared" si="9"/>
        <v>0</v>
      </c>
      <c r="F96" s="57">
        <f t="shared" si="10"/>
        <v>0</v>
      </c>
      <c r="G96" s="56">
        <f>SUMIFS(销售数据包!O:O,销售数据包!A:A,A96)</f>
        <v>0</v>
      </c>
      <c r="H96" s="57">
        <f t="shared" si="11"/>
        <v>0</v>
      </c>
      <c r="I96" s="71">
        <f t="shared" si="12"/>
        <v>0</v>
      </c>
      <c r="J96" s="72" t="str">
        <f t="shared" si="13"/>
        <v>周5</v>
      </c>
      <c r="K96" s="73">
        <f>SUMIFS(广告数据包!H:H,广告数据包!A:A,A96,广告数据包!G:G,Base!$F$2)+SUMIFS(广告数据包!H:H,广告数据包!A:A,A96,广告数据包!G:G,Base!$F$3)+SUMIFS(广告数据包!H:H,广告数据包!A:A,A96,广告数据包!G:G,Base!$F$4)</f>
        <v>0</v>
      </c>
      <c r="L96" s="56">
        <f>SUMIFS(广告数据包!I:I,广告数据包!A:A,A96,广告数据包!G:G,Base!$F$2)+SUMIFS(广告数据包!I:I,广告数据包!A:A,A96,广告数据包!G:G,Base!$F$3)+SUMIFS(广告数据包!I:I,广告数据包!A:A,A96,广告数据包!G:G,Base!$F$4)</f>
        <v>0</v>
      </c>
      <c r="M96" s="57">
        <f t="shared" si="14"/>
        <v>0</v>
      </c>
      <c r="N96" s="74">
        <f t="shared" si="15"/>
        <v>0</v>
      </c>
      <c r="O96" s="75">
        <f>SUMIFS(广告数据包!P:P,广告数据包!A:A,A96,广告数据包!G:G,Base!$F$2)+SUMIFS(广告数据包!P:P,广告数据包!A:A,A96,广告数据包!G:G,Base!$F$3)+SUMIFS(广告数据包!P:P,广告数据包!A:A,A96,广告数据包!G:G,Base!$F$4)</f>
        <v>0</v>
      </c>
      <c r="P96" s="56">
        <f>SUMIFS(广告数据包!M:M,广告数据包!A:A,A96,广告数据包!G:G,Base!$F$2)+SUMIFS(广告数据包!M:M,广告数据包!A:A,A96,广告数据包!G:G,Base!$F$3)+SUMIFS(广告数据包!M:M,广告数据包!A:A,A96,广告数据包!G:G,Base!$F$4)</f>
        <v>0</v>
      </c>
      <c r="Q96" s="57">
        <f t="shared" si="16"/>
        <v>0</v>
      </c>
      <c r="R96" s="56">
        <f>SUMIFS(广告数据包!L:L,广告数据包!A:A,A96,广告数据包!G:G,Base!$F$2)+SUMIFS(广告数据包!L:L,广告数据包!A:A,A96,广告数据包!G:G,Base!$F$3)+SUMIFS(广告数据包!L:L,广告数据包!A:A,A96,广告数据包!G:G,Base!$F$4)</f>
        <v>0</v>
      </c>
      <c r="S96" s="86">
        <f t="shared" si="17"/>
        <v>0</v>
      </c>
    </row>
    <row r="97" ht="16.5" spans="1:19">
      <c r="A97" s="54">
        <v>44534</v>
      </c>
      <c r="B97" s="55">
        <f>SUMIFS(销售数据包!F:F,销售数据包!A:A,A97,销售数据包!C:C,Base!$F$2)+SUMIFS(销售数据包!F:F,销售数据包!A:A,A97,销售数据包!C:C,Base!$F$3)+SUMIFS(销售数据包!F:F,销售数据包!A:A,A97,销售数据包!C:C,Base!$F$4)</f>
        <v>0</v>
      </c>
      <c r="C97" s="56">
        <f>SUMIFS(销售数据包!K:K,销售数据包!A:A,A97,销售数据包!C:C,Base!$F$2)+SUMIFS(销售数据包!K:K,销售数据包!A:A,A97,销售数据包!C:C,Base!$F$3)+SUMIFS(销售数据包!K:K,销售数据包!A:A,A97,销售数据包!C:C,Base!$F$4)</f>
        <v>0</v>
      </c>
      <c r="D97" s="56">
        <f>SUMIFS(销售数据包!Q:Q,销售数据包!A:A,A97,销售数据包!C:C,Base!$F$2)+SUMIFS(销售数据包!Q:Q,销售数据包!A:A,A97,销售数据包!C:C,Base!$F$3)+SUMIFS(销售数据包!Q:Q,销售数据包!A:A,A97,销售数据包!C:C,Base!$F$4)</f>
        <v>0</v>
      </c>
      <c r="E97" s="57">
        <f t="shared" si="9"/>
        <v>0</v>
      </c>
      <c r="F97" s="57">
        <f t="shared" si="10"/>
        <v>0</v>
      </c>
      <c r="G97" s="56">
        <f>SUMIFS(销售数据包!O:O,销售数据包!A:A,A97)</f>
        <v>0</v>
      </c>
      <c r="H97" s="57">
        <f t="shared" si="11"/>
        <v>0</v>
      </c>
      <c r="I97" s="71">
        <f t="shared" si="12"/>
        <v>0</v>
      </c>
      <c r="J97" s="72" t="str">
        <f t="shared" si="13"/>
        <v>周6</v>
      </c>
      <c r="K97" s="73">
        <f>SUMIFS(广告数据包!H:H,广告数据包!A:A,A97,广告数据包!G:G,Base!$F$2)+SUMIFS(广告数据包!H:H,广告数据包!A:A,A97,广告数据包!G:G,Base!$F$3)+SUMIFS(广告数据包!H:H,广告数据包!A:A,A97,广告数据包!G:G,Base!$F$4)</f>
        <v>0</v>
      </c>
      <c r="L97" s="56">
        <f>SUMIFS(广告数据包!I:I,广告数据包!A:A,A97,广告数据包!G:G,Base!$F$2)+SUMIFS(广告数据包!I:I,广告数据包!A:A,A97,广告数据包!G:G,Base!$F$3)+SUMIFS(广告数据包!I:I,广告数据包!A:A,A97,广告数据包!G:G,Base!$F$4)</f>
        <v>0</v>
      </c>
      <c r="M97" s="57">
        <f t="shared" si="14"/>
        <v>0</v>
      </c>
      <c r="N97" s="74">
        <f t="shared" si="15"/>
        <v>0</v>
      </c>
      <c r="O97" s="75">
        <f>SUMIFS(广告数据包!P:P,广告数据包!A:A,A97,广告数据包!G:G,Base!$F$2)+SUMIFS(广告数据包!P:P,广告数据包!A:A,A97,广告数据包!G:G,Base!$F$3)+SUMIFS(广告数据包!P:P,广告数据包!A:A,A97,广告数据包!G:G,Base!$F$4)</f>
        <v>0</v>
      </c>
      <c r="P97" s="56">
        <f>SUMIFS(广告数据包!M:M,广告数据包!A:A,A97,广告数据包!G:G,Base!$F$2)+SUMIFS(广告数据包!M:M,广告数据包!A:A,A97,广告数据包!G:G,Base!$F$3)+SUMIFS(广告数据包!M:M,广告数据包!A:A,A97,广告数据包!G:G,Base!$F$4)</f>
        <v>0</v>
      </c>
      <c r="Q97" s="57">
        <f t="shared" si="16"/>
        <v>0</v>
      </c>
      <c r="R97" s="56">
        <f>SUMIFS(广告数据包!L:L,广告数据包!A:A,A97,广告数据包!G:G,Base!$F$2)+SUMIFS(广告数据包!L:L,广告数据包!A:A,A97,广告数据包!G:G,Base!$F$3)+SUMIFS(广告数据包!L:L,广告数据包!A:A,A97,广告数据包!G:G,Base!$F$4)</f>
        <v>0</v>
      </c>
      <c r="S97" s="86">
        <f t="shared" si="17"/>
        <v>0</v>
      </c>
    </row>
    <row r="98" ht="16.5" spans="1:19">
      <c r="A98" s="54">
        <v>44535</v>
      </c>
      <c r="B98" s="55">
        <f>SUMIFS(销售数据包!F:F,销售数据包!A:A,A98,销售数据包!C:C,Base!$F$2)+SUMIFS(销售数据包!F:F,销售数据包!A:A,A98,销售数据包!C:C,Base!$F$3)+SUMIFS(销售数据包!F:F,销售数据包!A:A,A98,销售数据包!C:C,Base!$F$4)</f>
        <v>0</v>
      </c>
      <c r="C98" s="56">
        <f>SUMIFS(销售数据包!K:K,销售数据包!A:A,A98,销售数据包!C:C,Base!$F$2)+SUMIFS(销售数据包!K:K,销售数据包!A:A,A98,销售数据包!C:C,Base!$F$3)+SUMIFS(销售数据包!K:K,销售数据包!A:A,A98,销售数据包!C:C,Base!$F$4)</f>
        <v>0</v>
      </c>
      <c r="D98" s="56">
        <f>SUMIFS(销售数据包!Q:Q,销售数据包!A:A,A98,销售数据包!C:C,Base!$F$2)+SUMIFS(销售数据包!Q:Q,销售数据包!A:A,A98,销售数据包!C:C,Base!$F$3)+SUMIFS(销售数据包!Q:Q,销售数据包!A:A,A98,销售数据包!C:C,Base!$F$4)</f>
        <v>0</v>
      </c>
      <c r="E98" s="57">
        <f t="shared" si="9"/>
        <v>0</v>
      </c>
      <c r="F98" s="57">
        <f t="shared" si="10"/>
        <v>0</v>
      </c>
      <c r="G98" s="56">
        <f>SUMIFS(销售数据包!O:O,销售数据包!A:A,A98)</f>
        <v>0</v>
      </c>
      <c r="H98" s="57">
        <f t="shared" si="11"/>
        <v>0</v>
      </c>
      <c r="I98" s="71">
        <f t="shared" si="12"/>
        <v>0</v>
      </c>
      <c r="J98" s="72" t="str">
        <f t="shared" si="13"/>
        <v>周7</v>
      </c>
      <c r="K98" s="73">
        <f>SUMIFS(广告数据包!H:H,广告数据包!A:A,A98,广告数据包!G:G,Base!$F$2)+SUMIFS(广告数据包!H:H,广告数据包!A:A,A98,广告数据包!G:G,Base!$F$3)+SUMIFS(广告数据包!H:H,广告数据包!A:A,A98,广告数据包!G:G,Base!$F$4)</f>
        <v>0</v>
      </c>
      <c r="L98" s="56">
        <f>SUMIFS(广告数据包!I:I,广告数据包!A:A,A98,广告数据包!G:G,Base!$F$2)+SUMIFS(广告数据包!I:I,广告数据包!A:A,A98,广告数据包!G:G,Base!$F$3)+SUMIFS(广告数据包!I:I,广告数据包!A:A,A98,广告数据包!G:G,Base!$F$4)</f>
        <v>0</v>
      </c>
      <c r="M98" s="57">
        <f t="shared" si="14"/>
        <v>0</v>
      </c>
      <c r="N98" s="74">
        <f t="shared" si="15"/>
        <v>0</v>
      </c>
      <c r="O98" s="75">
        <f>SUMIFS(广告数据包!P:P,广告数据包!A:A,A98,广告数据包!G:G,Base!$F$2)+SUMIFS(广告数据包!P:P,广告数据包!A:A,A98,广告数据包!G:G,Base!$F$3)+SUMIFS(广告数据包!P:P,广告数据包!A:A,A98,广告数据包!G:G,Base!$F$4)</f>
        <v>0</v>
      </c>
      <c r="P98" s="56">
        <f>SUMIFS(广告数据包!M:M,广告数据包!A:A,A98,广告数据包!G:G,Base!$F$2)+SUMIFS(广告数据包!M:M,广告数据包!A:A,A98,广告数据包!G:G,Base!$F$3)+SUMIFS(广告数据包!M:M,广告数据包!A:A,A98,广告数据包!G:G,Base!$F$4)</f>
        <v>0</v>
      </c>
      <c r="Q98" s="57">
        <f t="shared" si="16"/>
        <v>0</v>
      </c>
      <c r="R98" s="56">
        <f>SUMIFS(广告数据包!L:L,广告数据包!A:A,A98,广告数据包!G:G,Base!$F$2)+SUMIFS(广告数据包!L:L,广告数据包!A:A,A98,广告数据包!G:G,Base!$F$3)+SUMIFS(广告数据包!L:L,广告数据包!A:A,A98,广告数据包!G:G,Base!$F$4)</f>
        <v>0</v>
      </c>
      <c r="S98" s="86">
        <f t="shared" si="17"/>
        <v>0</v>
      </c>
    </row>
    <row r="99" ht="16.5" spans="1:19">
      <c r="A99" s="54">
        <v>44536</v>
      </c>
      <c r="B99" s="55">
        <f>SUMIFS(销售数据包!F:F,销售数据包!A:A,A99,销售数据包!C:C,Base!$F$2)+SUMIFS(销售数据包!F:F,销售数据包!A:A,A99,销售数据包!C:C,Base!$F$3)+SUMIFS(销售数据包!F:F,销售数据包!A:A,A99,销售数据包!C:C,Base!$F$4)</f>
        <v>0</v>
      </c>
      <c r="C99" s="56">
        <f>SUMIFS(销售数据包!K:K,销售数据包!A:A,A99,销售数据包!C:C,Base!$F$2)+SUMIFS(销售数据包!K:K,销售数据包!A:A,A99,销售数据包!C:C,Base!$F$3)+SUMIFS(销售数据包!K:K,销售数据包!A:A,A99,销售数据包!C:C,Base!$F$4)</f>
        <v>0</v>
      </c>
      <c r="D99" s="56">
        <f>SUMIFS(销售数据包!Q:Q,销售数据包!A:A,A99,销售数据包!C:C,Base!$F$2)+SUMIFS(销售数据包!Q:Q,销售数据包!A:A,A99,销售数据包!C:C,Base!$F$3)+SUMIFS(销售数据包!Q:Q,销售数据包!A:A,A99,销售数据包!C:C,Base!$F$4)</f>
        <v>0</v>
      </c>
      <c r="E99" s="57">
        <f t="shared" si="9"/>
        <v>0</v>
      </c>
      <c r="F99" s="57">
        <f t="shared" si="10"/>
        <v>0</v>
      </c>
      <c r="G99" s="56">
        <f>SUMIFS(销售数据包!O:O,销售数据包!A:A,A99)</f>
        <v>0</v>
      </c>
      <c r="H99" s="57">
        <f t="shared" si="11"/>
        <v>0</v>
      </c>
      <c r="I99" s="71">
        <f t="shared" si="12"/>
        <v>0</v>
      </c>
      <c r="J99" s="72" t="str">
        <f t="shared" si="13"/>
        <v>周1</v>
      </c>
      <c r="K99" s="73">
        <f>SUMIFS(广告数据包!H:H,广告数据包!A:A,A99,广告数据包!G:G,Base!$F$2)+SUMIFS(广告数据包!H:H,广告数据包!A:A,A99,广告数据包!G:G,Base!$F$3)+SUMIFS(广告数据包!H:H,广告数据包!A:A,A99,广告数据包!G:G,Base!$F$4)</f>
        <v>0</v>
      </c>
      <c r="L99" s="56">
        <f>SUMIFS(广告数据包!I:I,广告数据包!A:A,A99,广告数据包!G:G,Base!$F$2)+SUMIFS(广告数据包!I:I,广告数据包!A:A,A99,广告数据包!G:G,Base!$F$3)+SUMIFS(广告数据包!I:I,广告数据包!A:A,A99,广告数据包!G:G,Base!$F$4)</f>
        <v>0</v>
      </c>
      <c r="M99" s="57">
        <f t="shared" si="14"/>
        <v>0</v>
      </c>
      <c r="N99" s="74">
        <f t="shared" si="15"/>
        <v>0</v>
      </c>
      <c r="O99" s="75">
        <f>SUMIFS(广告数据包!P:P,广告数据包!A:A,A99,广告数据包!G:G,Base!$F$2)+SUMIFS(广告数据包!P:P,广告数据包!A:A,A99,广告数据包!G:G,Base!$F$3)+SUMIFS(广告数据包!P:P,广告数据包!A:A,A99,广告数据包!G:G,Base!$F$4)</f>
        <v>0</v>
      </c>
      <c r="P99" s="56">
        <f>SUMIFS(广告数据包!M:M,广告数据包!A:A,A99,广告数据包!G:G,Base!$F$2)+SUMIFS(广告数据包!M:M,广告数据包!A:A,A99,广告数据包!G:G,Base!$F$3)+SUMIFS(广告数据包!M:M,广告数据包!A:A,A99,广告数据包!G:G,Base!$F$4)</f>
        <v>0</v>
      </c>
      <c r="Q99" s="57">
        <f t="shared" si="16"/>
        <v>0</v>
      </c>
      <c r="R99" s="56">
        <f>SUMIFS(广告数据包!L:L,广告数据包!A:A,A99,广告数据包!G:G,Base!$F$2)+SUMIFS(广告数据包!L:L,广告数据包!A:A,A99,广告数据包!G:G,Base!$F$3)+SUMIFS(广告数据包!L:L,广告数据包!A:A,A99,广告数据包!G:G,Base!$F$4)</f>
        <v>0</v>
      </c>
      <c r="S99" s="86">
        <f t="shared" si="17"/>
        <v>0</v>
      </c>
    </row>
    <row r="100" ht="16.5" spans="1:19">
      <c r="A100" s="54">
        <v>44537</v>
      </c>
      <c r="B100" s="55">
        <f>SUMIFS(销售数据包!F:F,销售数据包!A:A,A100,销售数据包!C:C,Base!$F$2)+SUMIFS(销售数据包!F:F,销售数据包!A:A,A100,销售数据包!C:C,Base!$F$3)+SUMIFS(销售数据包!F:F,销售数据包!A:A,A100,销售数据包!C:C,Base!$F$4)</f>
        <v>0</v>
      </c>
      <c r="C100" s="56">
        <f>SUMIFS(销售数据包!K:K,销售数据包!A:A,A100,销售数据包!C:C,Base!$F$2)+SUMIFS(销售数据包!K:K,销售数据包!A:A,A100,销售数据包!C:C,Base!$F$3)+SUMIFS(销售数据包!K:K,销售数据包!A:A,A100,销售数据包!C:C,Base!$F$4)</f>
        <v>0</v>
      </c>
      <c r="D100" s="56">
        <f>SUMIFS(销售数据包!Q:Q,销售数据包!A:A,A100,销售数据包!C:C,Base!$F$2)+SUMIFS(销售数据包!Q:Q,销售数据包!A:A,A100,销售数据包!C:C,Base!$F$3)+SUMIFS(销售数据包!Q:Q,销售数据包!A:A,A100,销售数据包!C:C,Base!$F$4)</f>
        <v>0</v>
      </c>
      <c r="E100" s="57">
        <f t="shared" si="9"/>
        <v>0</v>
      </c>
      <c r="F100" s="57">
        <f t="shared" si="10"/>
        <v>0</v>
      </c>
      <c r="G100" s="56">
        <f>SUMIFS(销售数据包!O:O,销售数据包!A:A,A100)</f>
        <v>0</v>
      </c>
      <c r="H100" s="57">
        <f t="shared" si="11"/>
        <v>0</v>
      </c>
      <c r="I100" s="71">
        <f t="shared" si="12"/>
        <v>0</v>
      </c>
      <c r="J100" s="72" t="str">
        <f t="shared" si="13"/>
        <v>周2</v>
      </c>
      <c r="K100" s="73">
        <f>SUMIFS(广告数据包!H:H,广告数据包!A:A,A100,广告数据包!G:G,Base!$F$2)+SUMIFS(广告数据包!H:H,广告数据包!A:A,A100,广告数据包!G:G,Base!$F$3)+SUMIFS(广告数据包!H:H,广告数据包!A:A,A100,广告数据包!G:G,Base!$F$4)</f>
        <v>0</v>
      </c>
      <c r="L100" s="56">
        <f>SUMIFS(广告数据包!I:I,广告数据包!A:A,A100,广告数据包!G:G,Base!$F$2)+SUMIFS(广告数据包!I:I,广告数据包!A:A,A100,广告数据包!G:G,Base!$F$3)+SUMIFS(广告数据包!I:I,广告数据包!A:A,A100,广告数据包!G:G,Base!$F$4)</f>
        <v>0</v>
      </c>
      <c r="M100" s="57">
        <f t="shared" si="14"/>
        <v>0</v>
      </c>
      <c r="N100" s="74">
        <f t="shared" si="15"/>
        <v>0</v>
      </c>
      <c r="O100" s="75">
        <f>SUMIFS(广告数据包!P:P,广告数据包!A:A,A100,广告数据包!G:G,Base!$F$2)+SUMIFS(广告数据包!P:P,广告数据包!A:A,A100,广告数据包!G:G,Base!$F$3)+SUMIFS(广告数据包!P:P,广告数据包!A:A,A100,广告数据包!G:G,Base!$F$4)</f>
        <v>0</v>
      </c>
      <c r="P100" s="56">
        <f>SUMIFS(广告数据包!M:M,广告数据包!A:A,A100,广告数据包!G:G,Base!$F$2)+SUMIFS(广告数据包!M:M,广告数据包!A:A,A100,广告数据包!G:G,Base!$F$3)+SUMIFS(广告数据包!M:M,广告数据包!A:A,A100,广告数据包!G:G,Base!$F$4)</f>
        <v>0</v>
      </c>
      <c r="Q100" s="57">
        <f t="shared" si="16"/>
        <v>0</v>
      </c>
      <c r="R100" s="56">
        <f>SUMIFS(广告数据包!L:L,广告数据包!A:A,A100,广告数据包!G:G,Base!$F$2)+SUMIFS(广告数据包!L:L,广告数据包!A:A,A100,广告数据包!G:G,Base!$F$3)+SUMIFS(广告数据包!L:L,广告数据包!A:A,A100,广告数据包!G:G,Base!$F$4)</f>
        <v>0</v>
      </c>
      <c r="S100" s="86">
        <f t="shared" si="17"/>
        <v>0</v>
      </c>
    </row>
    <row r="101" ht="16.5" spans="1:19">
      <c r="A101" s="54">
        <v>44538</v>
      </c>
      <c r="B101" s="55">
        <f>SUMIFS(销售数据包!F:F,销售数据包!A:A,A101,销售数据包!C:C,Base!$F$2)+SUMIFS(销售数据包!F:F,销售数据包!A:A,A101,销售数据包!C:C,Base!$F$3)+SUMIFS(销售数据包!F:F,销售数据包!A:A,A101,销售数据包!C:C,Base!$F$4)</f>
        <v>0</v>
      </c>
      <c r="C101" s="56">
        <f>SUMIFS(销售数据包!K:K,销售数据包!A:A,A101,销售数据包!C:C,Base!$F$2)+SUMIFS(销售数据包!K:K,销售数据包!A:A,A101,销售数据包!C:C,Base!$F$3)+SUMIFS(销售数据包!K:K,销售数据包!A:A,A101,销售数据包!C:C,Base!$F$4)</f>
        <v>0</v>
      </c>
      <c r="D101" s="56">
        <f>SUMIFS(销售数据包!Q:Q,销售数据包!A:A,A101,销售数据包!C:C,Base!$F$2)+SUMIFS(销售数据包!Q:Q,销售数据包!A:A,A101,销售数据包!C:C,Base!$F$3)+SUMIFS(销售数据包!Q:Q,销售数据包!A:A,A101,销售数据包!C:C,Base!$F$4)</f>
        <v>0</v>
      </c>
      <c r="E101" s="57">
        <f t="shared" si="9"/>
        <v>0</v>
      </c>
      <c r="F101" s="57">
        <f t="shared" si="10"/>
        <v>0</v>
      </c>
      <c r="G101" s="56">
        <f>SUMIFS(销售数据包!O:O,销售数据包!A:A,A101)</f>
        <v>0</v>
      </c>
      <c r="H101" s="57">
        <f t="shared" si="11"/>
        <v>0</v>
      </c>
      <c r="I101" s="71">
        <f t="shared" si="12"/>
        <v>0</v>
      </c>
      <c r="J101" s="72" t="str">
        <f t="shared" si="13"/>
        <v>周3</v>
      </c>
      <c r="K101" s="73">
        <f>SUMIFS(广告数据包!H:H,广告数据包!A:A,A101,广告数据包!G:G,Base!$F$2)+SUMIFS(广告数据包!H:H,广告数据包!A:A,A101,广告数据包!G:G,Base!$F$3)+SUMIFS(广告数据包!H:H,广告数据包!A:A,A101,广告数据包!G:G,Base!$F$4)</f>
        <v>0</v>
      </c>
      <c r="L101" s="56">
        <f>SUMIFS(广告数据包!I:I,广告数据包!A:A,A101,广告数据包!G:G,Base!$F$2)+SUMIFS(广告数据包!I:I,广告数据包!A:A,A101,广告数据包!G:G,Base!$F$3)+SUMIFS(广告数据包!I:I,广告数据包!A:A,A101,广告数据包!G:G,Base!$F$4)</f>
        <v>0</v>
      </c>
      <c r="M101" s="57">
        <f t="shared" si="14"/>
        <v>0</v>
      </c>
      <c r="N101" s="74">
        <f t="shared" si="15"/>
        <v>0</v>
      </c>
      <c r="O101" s="75">
        <f>SUMIFS(广告数据包!P:P,广告数据包!A:A,A101,广告数据包!G:G,Base!$F$2)+SUMIFS(广告数据包!P:P,广告数据包!A:A,A101,广告数据包!G:G,Base!$F$3)+SUMIFS(广告数据包!P:P,广告数据包!A:A,A101,广告数据包!G:G,Base!$F$4)</f>
        <v>0</v>
      </c>
      <c r="P101" s="56">
        <f>SUMIFS(广告数据包!M:M,广告数据包!A:A,A101,广告数据包!G:G,Base!$F$2)+SUMIFS(广告数据包!M:M,广告数据包!A:A,A101,广告数据包!G:G,Base!$F$3)+SUMIFS(广告数据包!M:M,广告数据包!A:A,A101,广告数据包!G:G,Base!$F$4)</f>
        <v>0</v>
      </c>
      <c r="Q101" s="57">
        <f t="shared" si="16"/>
        <v>0</v>
      </c>
      <c r="R101" s="56">
        <f>SUMIFS(广告数据包!L:L,广告数据包!A:A,A101,广告数据包!G:G,Base!$F$2)+SUMIFS(广告数据包!L:L,广告数据包!A:A,A101,广告数据包!G:G,Base!$F$3)+SUMIFS(广告数据包!L:L,广告数据包!A:A,A101,广告数据包!G:G,Base!$F$4)</f>
        <v>0</v>
      </c>
      <c r="S101" s="86">
        <f t="shared" si="17"/>
        <v>0</v>
      </c>
    </row>
    <row r="102" ht="16.5" spans="1:19">
      <c r="A102" s="54">
        <v>44539</v>
      </c>
      <c r="B102" s="55">
        <f>SUMIFS(销售数据包!F:F,销售数据包!A:A,A102,销售数据包!C:C,Base!$F$2)+SUMIFS(销售数据包!F:F,销售数据包!A:A,A102,销售数据包!C:C,Base!$F$3)+SUMIFS(销售数据包!F:F,销售数据包!A:A,A102,销售数据包!C:C,Base!$F$4)</f>
        <v>0</v>
      </c>
      <c r="C102" s="56">
        <f>SUMIFS(销售数据包!K:K,销售数据包!A:A,A102,销售数据包!C:C,Base!$F$2)+SUMIFS(销售数据包!K:K,销售数据包!A:A,A102,销售数据包!C:C,Base!$F$3)+SUMIFS(销售数据包!K:K,销售数据包!A:A,A102,销售数据包!C:C,Base!$F$4)</f>
        <v>0</v>
      </c>
      <c r="D102" s="56">
        <f>SUMIFS(销售数据包!Q:Q,销售数据包!A:A,A102,销售数据包!C:C,Base!$F$2)+SUMIFS(销售数据包!Q:Q,销售数据包!A:A,A102,销售数据包!C:C,Base!$F$3)+SUMIFS(销售数据包!Q:Q,销售数据包!A:A,A102,销售数据包!C:C,Base!$F$4)</f>
        <v>0</v>
      </c>
      <c r="E102" s="57">
        <f t="shared" si="9"/>
        <v>0</v>
      </c>
      <c r="F102" s="57">
        <f t="shared" si="10"/>
        <v>0</v>
      </c>
      <c r="G102" s="56">
        <f>SUMIFS(销售数据包!O:O,销售数据包!A:A,A102)</f>
        <v>0</v>
      </c>
      <c r="H102" s="57">
        <f t="shared" si="11"/>
        <v>0</v>
      </c>
      <c r="I102" s="71">
        <f t="shared" si="12"/>
        <v>0</v>
      </c>
      <c r="J102" s="72" t="str">
        <f t="shared" si="13"/>
        <v>周4</v>
      </c>
      <c r="K102" s="73">
        <f>SUMIFS(广告数据包!H:H,广告数据包!A:A,A102,广告数据包!G:G,Base!$F$2)+SUMIFS(广告数据包!H:H,广告数据包!A:A,A102,广告数据包!G:G,Base!$F$3)+SUMIFS(广告数据包!H:H,广告数据包!A:A,A102,广告数据包!G:G,Base!$F$4)</f>
        <v>0</v>
      </c>
      <c r="L102" s="56">
        <f>SUMIFS(广告数据包!I:I,广告数据包!A:A,A102,广告数据包!G:G,Base!$F$2)+SUMIFS(广告数据包!I:I,广告数据包!A:A,A102,广告数据包!G:G,Base!$F$3)+SUMIFS(广告数据包!I:I,广告数据包!A:A,A102,广告数据包!G:G,Base!$F$4)</f>
        <v>0</v>
      </c>
      <c r="M102" s="57">
        <f t="shared" si="14"/>
        <v>0</v>
      </c>
      <c r="N102" s="74">
        <f t="shared" si="15"/>
        <v>0</v>
      </c>
      <c r="O102" s="75">
        <f>SUMIFS(广告数据包!P:P,广告数据包!A:A,A102,广告数据包!G:G,Base!$F$2)+SUMIFS(广告数据包!P:P,广告数据包!A:A,A102,广告数据包!G:G,Base!$F$3)+SUMIFS(广告数据包!P:P,广告数据包!A:A,A102,广告数据包!G:G,Base!$F$4)</f>
        <v>0</v>
      </c>
      <c r="P102" s="56">
        <f>SUMIFS(广告数据包!M:M,广告数据包!A:A,A102,广告数据包!G:G,Base!$F$2)+SUMIFS(广告数据包!M:M,广告数据包!A:A,A102,广告数据包!G:G,Base!$F$3)+SUMIFS(广告数据包!M:M,广告数据包!A:A,A102,广告数据包!G:G,Base!$F$4)</f>
        <v>0</v>
      </c>
      <c r="Q102" s="57">
        <f t="shared" si="16"/>
        <v>0</v>
      </c>
      <c r="R102" s="56">
        <f>SUMIFS(广告数据包!L:L,广告数据包!A:A,A102,广告数据包!G:G,Base!$F$2)+SUMIFS(广告数据包!L:L,广告数据包!A:A,A102,广告数据包!G:G,Base!$F$3)+SUMIFS(广告数据包!L:L,广告数据包!A:A,A102,广告数据包!G:G,Base!$F$4)</f>
        <v>0</v>
      </c>
      <c r="S102" s="86">
        <f t="shared" si="17"/>
        <v>0</v>
      </c>
    </row>
    <row r="103" ht="16.5" spans="1:19">
      <c r="A103" s="54">
        <v>44540</v>
      </c>
      <c r="B103" s="55">
        <f>SUMIFS(销售数据包!F:F,销售数据包!A:A,A103,销售数据包!C:C,Base!$F$2)+SUMIFS(销售数据包!F:F,销售数据包!A:A,A103,销售数据包!C:C,Base!$F$3)+SUMIFS(销售数据包!F:F,销售数据包!A:A,A103,销售数据包!C:C,Base!$F$4)</f>
        <v>0</v>
      </c>
      <c r="C103" s="56">
        <f>SUMIFS(销售数据包!K:K,销售数据包!A:A,A103,销售数据包!C:C,Base!$F$2)+SUMIFS(销售数据包!K:K,销售数据包!A:A,A103,销售数据包!C:C,Base!$F$3)+SUMIFS(销售数据包!K:K,销售数据包!A:A,A103,销售数据包!C:C,Base!$F$4)</f>
        <v>0</v>
      </c>
      <c r="D103" s="56">
        <f>SUMIFS(销售数据包!Q:Q,销售数据包!A:A,A103,销售数据包!C:C,Base!$F$2)+SUMIFS(销售数据包!Q:Q,销售数据包!A:A,A103,销售数据包!C:C,Base!$F$3)+SUMIFS(销售数据包!Q:Q,销售数据包!A:A,A103,销售数据包!C:C,Base!$F$4)</f>
        <v>0</v>
      </c>
      <c r="E103" s="57">
        <f t="shared" si="9"/>
        <v>0</v>
      </c>
      <c r="F103" s="57">
        <f t="shared" si="10"/>
        <v>0</v>
      </c>
      <c r="G103" s="56">
        <f>SUMIFS(销售数据包!O:O,销售数据包!A:A,A103)</f>
        <v>0</v>
      </c>
      <c r="H103" s="57">
        <f t="shared" si="11"/>
        <v>0</v>
      </c>
      <c r="I103" s="71">
        <f t="shared" si="12"/>
        <v>0</v>
      </c>
      <c r="J103" s="72" t="str">
        <f t="shared" si="13"/>
        <v>周5</v>
      </c>
      <c r="K103" s="73">
        <f>SUMIFS(广告数据包!H:H,广告数据包!A:A,A103,广告数据包!G:G,Base!$F$2)+SUMIFS(广告数据包!H:H,广告数据包!A:A,A103,广告数据包!G:G,Base!$F$3)+SUMIFS(广告数据包!H:H,广告数据包!A:A,A103,广告数据包!G:G,Base!$F$4)</f>
        <v>0</v>
      </c>
      <c r="L103" s="56">
        <f>SUMIFS(广告数据包!I:I,广告数据包!A:A,A103,广告数据包!G:G,Base!$F$2)+SUMIFS(广告数据包!I:I,广告数据包!A:A,A103,广告数据包!G:G,Base!$F$3)+SUMIFS(广告数据包!I:I,广告数据包!A:A,A103,广告数据包!G:G,Base!$F$4)</f>
        <v>0</v>
      </c>
      <c r="M103" s="57">
        <f t="shared" si="14"/>
        <v>0</v>
      </c>
      <c r="N103" s="74">
        <f t="shared" si="15"/>
        <v>0</v>
      </c>
      <c r="O103" s="75">
        <f>SUMIFS(广告数据包!P:P,广告数据包!A:A,A103,广告数据包!G:G,Base!$F$2)+SUMIFS(广告数据包!P:P,广告数据包!A:A,A103,广告数据包!G:G,Base!$F$3)+SUMIFS(广告数据包!P:P,广告数据包!A:A,A103,广告数据包!G:G,Base!$F$4)</f>
        <v>0</v>
      </c>
      <c r="P103" s="56">
        <f>SUMIFS(广告数据包!M:M,广告数据包!A:A,A103,广告数据包!G:G,Base!$F$2)+SUMIFS(广告数据包!M:M,广告数据包!A:A,A103,广告数据包!G:G,Base!$F$3)+SUMIFS(广告数据包!M:M,广告数据包!A:A,A103,广告数据包!G:G,Base!$F$4)</f>
        <v>0</v>
      </c>
      <c r="Q103" s="57">
        <f t="shared" si="16"/>
        <v>0</v>
      </c>
      <c r="R103" s="56">
        <f>SUMIFS(广告数据包!L:L,广告数据包!A:A,A103,广告数据包!G:G,Base!$F$2)+SUMIFS(广告数据包!L:L,广告数据包!A:A,A103,广告数据包!G:G,Base!$F$3)+SUMIFS(广告数据包!L:L,广告数据包!A:A,A103,广告数据包!G:G,Base!$F$4)</f>
        <v>0</v>
      </c>
      <c r="S103" s="86">
        <f t="shared" si="17"/>
        <v>0</v>
      </c>
    </row>
    <row r="104" ht="16.5" spans="1:19">
      <c r="A104" s="54">
        <v>44541</v>
      </c>
      <c r="B104" s="55">
        <f>SUMIFS(销售数据包!F:F,销售数据包!A:A,A104,销售数据包!C:C,Base!$F$2)+SUMIFS(销售数据包!F:F,销售数据包!A:A,A104,销售数据包!C:C,Base!$F$3)+SUMIFS(销售数据包!F:F,销售数据包!A:A,A104,销售数据包!C:C,Base!$F$4)</f>
        <v>0</v>
      </c>
      <c r="C104" s="56">
        <f>SUMIFS(销售数据包!K:K,销售数据包!A:A,A104,销售数据包!C:C,Base!$F$2)+SUMIFS(销售数据包!K:K,销售数据包!A:A,A104,销售数据包!C:C,Base!$F$3)+SUMIFS(销售数据包!K:K,销售数据包!A:A,A104,销售数据包!C:C,Base!$F$4)</f>
        <v>0</v>
      </c>
      <c r="D104" s="56">
        <f>SUMIFS(销售数据包!Q:Q,销售数据包!A:A,A104,销售数据包!C:C,Base!$F$2)+SUMIFS(销售数据包!Q:Q,销售数据包!A:A,A104,销售数据包!C:C,Base!$F$3)+SUMIFS(销售数据包!Q:Q,销售数据包!A:A,A104,销售数据包!C:C,Base!$F$4)</f>
        <v>0</v>
      </c>
      <c r="E104" s="57">
        <f t="shared" si="9"/>
        <v>0</v>
      </c>
      <c r="F104" s="57">
        <f t="shared" si="10"/>
        <v>0</v>
      </c>
      <c r="G104" s="56">
        <f>SUMIFS(销售数据包!O:O,销售数据包!A:A,A104)</f>
        <v>0</v>
      </c>
      <c r="H104" s="57">
        <f t="shared" si="11"/>
        <v>0</v>
      </c>
      <c r="I104" s="71">
        <f t="shared" si="12"/>
        <v>0</v>
      </c>
      <c r="J104" s="72" t="str">
        <f t="shared" si="13"/>
        <v>周6</v>
      </c>
      <c r="K104" s="73">
        <f>SUMIFS(广告数据包!H:H,广告数据包!A:A,A104,广告数据包!G:G,Base!$F$2)+SUMIFS(广告数据包!H:H,广告数据包!A:A,A104,广告数据包!G:G,Base!$F$3)+SUMIFS(广告数据包!H:H,广告数据包!A:A,A104,广告数据包!G:G,Base!$F$4)</f>
        <v>0</v>
      </c>
      <c r="L104" s="56">
        <f>SUMIFS(广告数据包!I:I,广告数据包!A:A,A104,广告数据包!G:G,Base!$F$2)+SUMIFS(广告数据包!I:I,广告数据包!A:A,A104,广告数据包!G:G,Base!$F$3)+SUMIFS(广告数据包!I:I,广告数据包!A:A,A104,广告数据包!G:G,Base!$F$4)</f>
        <v>0</v>
      </c>
      <c r="M104" s="57">
        <f t="shared" si="14"/>
        <v>0</v>
      </c>
      <c r="N104" s="74">
        <f t="shared" si="15"/>
        <v>0</v>
      </c>
      <c r="O104" s="75">
        <f>SUMIFS(广告数据包!P:P,广告数据包!A:A,A104,广告数据包!G:G,Base!$F$2)+SUMIFS(广告数据包!P:P,广告数据包!A:A,A104,广告数据包!G:G,Base!$F$3)+SUMIFS(广告数据包!P:P,广告数据包!A:A,A104,广告数据包!G:G,Base!$F$4)</f>
        <v>0</v>
      </c>
      <c r="P104" s="56">
        <f>SUMIFS(广告数据包!M:M,广告数据包!A:A,A104,广告数据包!G:G,Base!$F$2)+SUMIFS(广告数据包!M:M,广告数据包!A:A,A104,广告数据包!G:G,Base!$F$3)+SUMIFS(广告数据包!M:M,广告数据包!A:A,A104,广告数据包!G:G,Base!$F$4)</f>
        <v>0</v>
      </c>
      <c r="Q104" s="57">
        <f t="shared" si="16"/>
        <v>0</v>
      </c>
      <c r="R104" s="56">
        <f>SUMIFS(广告数据包!L:L,广告数据包!A:A,A104,广告数据包!G:G,Base!$F$2)+SUMIFS(广告数据包!L:L,广告数据包!A:A,A104,广告数据包!G:G,Base!$F$3)+SUMIFS(广告数据包!L:L,广告数据包!A:A,A104,广告数据包!G:G,Base!$F$4)</f>
        <v>0</v>
      </c>
      <c r="S104" s="86">
        <f t="shared" si="17"/>
        <v>0</v>
      </c>
    </row>
    <row r="105" ht="16.5" spans="1:19">
      <c r="A105" s="54">
        <v>44542</v>
      </c>
      <c r="B105" s="55">
        <f>SUMIFS(销售数据包!F:F,销售数据包!A:A,A105,销售数据包!C:C,Base!$F$2)+SUMIFS(销售数据包!F:F,销售数据包!A:A,A105,销售数据包!C:C,Base!$F$3)+SUMIFS(销售数据包!F:F,销售数据包!A:A,A105,销售数据包!C:C,Base!$F$4)</f>
        <v>0</v>
      </c>
      <c r="C105" s="56">
        <f>SUMIFS(销售数据包!K:K,销售数据包!A:A,A105,销售数据包!C:C,Base!$F$2)+SUMIFS(销售数据包!K:K,销售数据包!A:A,A105,销售数据包!C:C,Base!$F$3)+SUMIFS(销售数据包!K:K,销售数据包!A:A,A105,销售数据包!C:C,Base!$F$4)</f>
        <v>0</v>
      </c>
      <c r="D105" s="56">
        <f>SUMIFS(销售数据包!Q:Q,销售数据包!A:A,A105,销售数据包!C:C,Base!$F$2)+SUMIFS(销售数据包!Q:Q,销售数据包!A:A,A105,销售数据包!C:C,Base!$F$3)+SUMIFS(销售数据包!Q:Q,销售数据包!A:A,A105,销售数据包!C:C,Base!$F$4)</f>
        <v>0</v>
      </c>
      <c r="E105" s="57">
        <f t="shared" si="9"/>
        <v>0</v>
      </c>
      <c r="F105" s="57">
        <f t="shared" si="10"/>
        <v>0</v>
      </c>
      <c r="G105" s="56">
        <f>SUMIFS(销售数据包!O:O,销售数据包!A:A,A105)</f>
        <v>0</v>
      </c>
      <c r="H105" s="57">
        <f t="shared" si="11"/>
        <v>0</v>
      </c>
      <c r="I105" s="71">
        <f t="shared" si="12"/>
        <v>0</v>
      </c>
      <c r="J105" s="72" t="str">
        <f t="shared" si="13"/>
        <v>周7</v>
      </c>
      <c r="K105" s="73">
        <f>SUMIFS(广告数据包!H:H,广告数据包!A:A,A105,广告数据包!G:G,Base!$F$2)+SUMIFS(广告数据包!H:H,广告数据包!A:A,A105,广告数据包!G:G,Base!$F$3)+SUMIFS(广告数据包!H:H,广告数据包!A:A,A105,广告数据包!G:G,Base!$F$4)</f>
        <v>0</v>
      </c>
      <c r="L105" s="56">
        <f>SUMIFS(广告数据包!I:I,广告数据包!A:A,A105,广告数据包!G:G,Base!$F$2)+SUMIFS(广告数据包!I:I,广告数据包!A:A,A105,广告数据包!G:G,Base!$F$3)+SUMIFS(广告数据包!I:I,广告数据包!A:A,A105,广告数据包!G:G,Base!$F$4)</f>
        <v>0</v>
      </c>
      <c r="M105" s="57">
        <f t="shared" si="14"/>
        <v>0</v>
      </c>
      <c r="N105" s="74">
        <f t="shared" si="15"/>
        <v>0</v>
      </c>
      <c r="O105" s="75">
        <f>SUMIFS(广告数据包!P:P,广告数据包!A:A,A105,广告数据包!G:G,Base!$F$2)+SUMIFS(广告数据包!P:P,广告数据包!A:A,A105,广告数据包!G:G,Base!$F$3)+SUMIFS(广告数据包!P:P,广告数据包!A:A,A105,广告数据包!G:G,Base!$F$4)</f>
        <v>0</v>
      </c>
      <c r="P105" s="56">
        <f>SUMIFS(广告数据包!M:M,广告数据包!A:A,A105,广告数据包!G:G,Base!$F$2)+SUMIFS(广告数据包!M:M,广告数据包!A:A,A105,广告数据包!G:G,Base!$F$3)+SUMIFS(广告数据包!M:M,广告数据包!A:A,A105,广告数据包!G:G,Base!$F$4)</f>
        <v>0</v>
      </c>
      <c r="Q105" s="57">
        <f t="shared" si="16"/>
        <v>0</v>
      </c>
      <c r="R105" s="56">
        <f>SUMIFS(广告数据包!L:L,广告数据包!A:A,A105,广告数据包!G:G,Base!$F$2)+SUMIFS(广告数据包!L:L,广告数据包!A:A,A105,广告数据包!G:G,Base!$F$3)+SUMIFS(广告数据包!L:L,广告数据包!A:A,A105,广告数据包!G:G,Base!$F$4)</f>
        <v>0</v>
      </c>
      <c r="S105" s="86">
        <f t="shared" si="17"/>
        <v>0</v>
      </c>
    </row>
    <row r="106" ht="16.5" spans="1:19">
      <c r="A106" s="54">
        <v>44543</v>
      </c>
      <c r="B106" s="55">
        <f>SUMIFS(销售数据包!F:F,销售数据包!A:A,A106,销售数据包!C:C,Base!$F$2)+SUMIFS(销售数据包!F:F,销售数据包!A:A,A106,销售数据包!C:C,Base!$F$3)+SUMIFS(销售数据包!F:F,销售数据包!A:A,A106,销售数据包!C:C,Base!$F$4)</f>
        <v>0</v>
      </c>
      <c r="C106" s="56">
        <f>SUMIFS(销售数据包!K:K,销售数据包!A:A,A106,销售数据包!C:C,Base!$F$2)+SUMIFS(销售数据包!K:K,销售数据包!A:A,A106,销售数据包!C:C,Base!$F$3)+SUMIFS(销售数据包!K:K,销售数据包!A:A,A106,销售数据包!C:C,Base!$F$4)</f>
        <v>0</v>
      </c>
      <c r="D106" s="56">
        <f>SUMIFS(销售数据包!Q:Q,销售数据包!A:A,A106,销售数据包!C:C,Base!$F$2)+SUMIFS(销售数据包!Q:Q,销售数据包!A:A,A106,销售数据包!C:C,Base!$F$3)+SUMIFS(销售数据包!Q:Q,销售数据包!A:A,A106,销售数据包!C:C,Base!$F$4)</f>
        <v>0</v>
      </c>
      <c r="E106" s="57">
        <f t="shared" si="9"/>
        <v>0</v>
      </c>
      <c r="F106" s="57">
        <f t="shared" si="10"/>
        <v>0</v>
      </c>
      <c r="G106" s="56">
        <f>SUMIFS(销售数据包!O:O,销售数据包!A:A,A106)</f>
        <v>0</v>
      </c>
      <c r="H106" s="57">
        <f t="shared" si="11"/>
        <v>0</v>
      </c>
      <c r="I106" s="71">
        <f t="shared" si="12"/>
        <v>0</v>
      </c>
      <c r="J106" s="72" t="str">
        <f t="shared" si="13"/>
        <v>周1</v>
      </c>
      <c r="K106" s="73">
        <f>SUMIFS(广告数据包!H:H,广告数据包!A:A,A106,广告数据包!G:G,Base!$F$2)+SUMIFS(广告数据包!H:H,广告数据包!A:A,A106,广告数据包!G:G,Base!$F$3)+SUMIFS(广告数据包!H:H,广告数据包!A:A,A106,广告数据包!G:G,Base!$F$4)</f>
        <v>0</v>
      </c>
      <c r="L106" s="56">
        <f>SUMIFS(广告数据包!I:I,广告数据包!A:A,A106,广告数据包!G:G,Base!$F$2)+SUMIFS(广告数据包!I:I,广告数据包!A:A,A106,广告数据包!G:G,Base!$F$3)+SUMIFS(广告数据包!I:I,广告数据包!A:A,A106,广告数据包!G:G,Base!$F$4)</f>
        <v>0</v>
      </c>
      <c r="M106" s="57">
        <f t="shared" si="14"/>
        <v>0</v>
      </c>
      <c r="N106" s="74">
        <f t="shared" si="15"/>
        <v>0</v>
      </c>
      <c r="O106" s="75">
        <f>SUMIFS(广告数据包!P:P,广告数据包!A:A,A106,广告数据包!G:G,Base!$F$2)+SUMIFS(广告数据包!P:P,广告数据包!A:A,A106,广告数据包!G:G,Base!$F$3)+SUMIFS(广告数据包!P:P,广告数据包!A:A,A106,广告数据包!G:G,Base!$F$4)</f>
        <v>0</v>
      </c>
      <c r="P106" s="56">
        <f>SUMIFS(广告数据包!M:M,广告数据包!A:A,A106,广告数据包!G:G,Base!$F$2)+SUMIFS(广告数据包!M:M,广告数据包!A:A,A106,广告数据包!G:G,Base!$F$3)+SUMIFS(广告数据包!M:M,广告数据包!A:A,A106,广告数据包!G:G,Base!$F$4)</f>
        <v>0</v>
      </c>
      <c r="Q106" s="57">
        <f t="shared" si="16"/>
        <v>0</v>
      </c>
      <c r="R106" s="56">
        <f>SUMIFS(广告数据包!L:L,广告数据包!A:A,A106,广告数据包!G:G,Base!$F$2)+SUMIFS(广告数据包!L:L,广告数据包!A:A,A106,广告数据包!G:G,Base!$F$3)+SUMIFS(广告数据包!L:L,广告数据包!A:A,A106,广告数据包!G:G,Base!$F$4)</f>
        <v>0</v>
      </c>
      <c r="S106" s="86">
        <f t="shared" si="17"/>
        <v>0</v>
      </c>
    </row>
    <row r="107" ht="16.5" spans="1:19">
      <c r="A107" s="54">
        <v>44544</v>
      </c>
      <c r="B107" s="55">
        <f>SUMIFS(销售数据包!F:F,销售数据包!A:A,A107,销售数据包!C:C,Base!$F$2)+SUMIFS(销售数据包!F:F,销售数据包!A:A,A107,销售数据包!C:C,Base!$F$3)+SUMIFS(销售数据包!F:F,销售数据包!A:A,A107,销售数据包!C:C,Base!$F$4)</f>
        <v>0</v>
      </c>
      <c r="C107" s="56">
        <f>SUMIFS(销售数据包!K:K,销售数据包!A:A,A107,销售数据包!C:C,Base!$F$2)+SUMIFS(销售数据包!K:K,销售数据包!A:A,A107,销售数据包!C:C,Base!$F$3)+SUMIFS(销售数据包!K:K,销售数据包!A:A,A107,销售数据包!C:C,Base!$F$4)</f>
        <v>0</v>
      </c>
      <c r="D107" s="56">
        <f>SUMIFS(销售数据包!Q:Q,销售数据包!A:A,A107,销售数据包!C:C,Base!$F$2)+SUMIFS(销售数据包!Q:Q,销售数据包!A:A,A107,销售数据包!C:C,Base!$F$3)+SUMIFS(销售数据包!Q:Q,销售数据包!A:A,A107,销售数据包!C:C,Base!$F$4)</f>
        <v>0</v>
      </c>
      <c r="E107" s="57">
        <f t="shared" si="9"/>
        <v>0</v>
      </c>
      <c r="F107" s="57">
        <f t="shared" si="10"/>
        <v>0</v>
      </c>
      <c r="G107" s="56">
        <f>SUMIFS(销售数据包!O:O,销售数据包!A:A,A107)</f>
        <v>0</v>
      </c>
      <c r="H107" s="57">
        <f t="shared" si="11"/>
        <v>0</v>
      </c>
      <c r="I107" s="71">
        <f t="shared" si="12"/>
        <v>0</v>
      </c>
      <c r="J107" s="72" t="str">
        <f t="shared" si="13"/>
        <v>周2</v>
      </c>
      <c r="K107" s="73">
        <f>SUMIFS(广告数据包!H:H,广告数据包!A:A,A107,广告数据包!G:G,Base!$F$2)+SUMIFS(广告数据包!H:H,广告数据包!A:A,A107,广告数据包!G:G,Base!$F$3)+SUMIFS(广告数据包!H:H,广告数据包!A:A,A107,广告数据包!G:G,Base!$F$4)</f>
        <v>0</v>
      </c>
      <c r="L107" s="56">
        <f>SUMIFS(广告数据包!I:I,广告数据包!A:A,A107,广告数据包!G:G,Base!$F$2)+SUMIFS(广告数据包!I:I,广告数据包!A:A,A107,广告数据包!G:G,Base!$F$3)+SUMIFS(广告数据包!I:I,广告数据包!A:A,A107,广告数据包!G:G,Base!$F$4)</f>
        <v>0</v>
      </c>
      <c r="M107" s="57">
        <f t="shared" si="14"/>
        <v>0</v>
      </c>
      <c r="N107" s="74">
        <f t="shared" si="15"/>
        <v>0</v>
      </c>
      <c r="O107" s="75">
        <f>SUMIFS(广告数据包!P:P,广告数据包!A:A,A107,广告数据包!G:G,Base!$F$2)+SUMIFS(广告数据包!P:P,广告数据包!A:A,A107,广告数据包!G:G,Base!$F$3)+SUMIFS(广告数据包!P:P,广告数据包!A:A,A107,广告数据包!G:G,Base!$F$4)</f>
        <v>0</v>
      </c>
      <c r="P107" s="56">
        <f>SUMIFS(广告数据包!M:M,广告数据包!A:A,A107,广告数据包!G:G,Base!$F$2)+SUMIFS(广告数据包!M:M,广告数据包!A:A,A107,广告数据包!G:G,Base!$F$3)+SUMIFS(广告数据包!M:M,广告数据包!A:A,A107,广告数据包!G:G,Base!$F$4)</f>
        <v>0</v>
      </c>
      <c r="Q107" s="57">
        <f t="shared" si="16"/>
        <v>0</v>
      </c>
      <c r="R107" s="56">
        <f>SUMIFS(广告数据包!L:L,广告数据包!A:A,A107,广告数据包!G:G,Base!$F$2)+SUMIFS(广告数据包!L:L,广告数据包!A:A,A107,广告数据包!G:G,Base!$F$3)+SUMIFS(广告数据包!L:L,广告数据包!A:A,A107,广告数据包!G:G,Base!$F$4)</f>
        <v>0</v>
      </c>
      <c r="S107" s="86">
        <f t="shared" si="17"/>
        <v>0</v>
      </c>
    </row>
    <row r="108" ht="16.5" spans="1:19">
      <c r="A108" s="54">
        <v>44545</v>
      </c>
      <c r="B108" s="55">
        <f>SUMIFS(销售数据包!F:F,销售数据包!A:A,A108,销售数据包!C:C,Base!$F$2)+SUMIFS(销售数据包!F:F,销售数据包!A:A,A108,销售数据包!C:C,Base!$F$3)+SUMIFS(销售数据包!F:F,销售数据包!A:A,A108,销售数据包!C:C,Base!$F$4)</f>
        <v>0</v>
      </c>
      <c r="C108" s="56">
        <f>SUMIFS(销售数据包!K:K,销售数据包!A:A,A108,销售数据包!C:C,Base!$F$2)+SUMIFS(销售数据包!K:K,销售数据包!A:A,A108,销售数据包!C:C,Base!$F$3)+SUMIFS(销售数据包!K:K,销售数据包!A:A,A108,销售数据包!C:C,Base!$F$4)</f>
        <v>0</v>
      </c>
      <c r="D108" s="56">
        <f>SUMIFS(销售数据包!Q:Q,销售数据包!A:A,A108,销售数据包!C:C,Base!$F$2)+SUMIFS(销售数据包!Q:Q,销售数据包!A:A,A108,销售数据包!C:C,Base!$F$3)+SUMIFS(销售数据包!Q:Q,销售数据包!A:A,A108,销售数据包!C:C,Base!$F$4)</f>
        <v>0</v>
      </c>
      <c r="E108" s="57">
        <f t="shared" si="9"/>
        <v>0</v>
      </c>
      <c r="F108" s="57">
        <f t="shared" si="10"/>
        <v>0</v>
      </c>
      <c r="G108" s="56">
        <f>SUMIFS(销售数据包!O:O,销售数据包!A:A,A108)</f>
        <v>0</v>
      </c>
      <c r="H108" s="57">
        <f t="shared" si="11"/>
        <v>0</v>
      </c>
      <c r="I108" s="71">
        <f t="shared" si="12"/>
        <v>0</v>
      </c>
      <c r="J108" s="72" t="str">
        <f t="shared" si="13"/>
        <v>周3</v>
      </c>
      <c r="K108" s="73">
        <f>SUMIFS(广告数据包!H:H,广告数据包!A:A,A108,广告数据包!G:G,Base!$F$2)+SUMIFS(广告数据包!H:H,广告数据包!A:A,A108,广告数据包!G:G,Base!$F$3)+SUMIFS(广告数据包!H:H,广告数据包!A:A,A108,广告数据包!G:G,Base!$F$4)</f>
        <v>0</v>
      </c>
      <c r="L108" s="56">
        <f>SUMIFS(广告数据包!I:I,广告数据包!A:A,A108,广告数据包!G:G,Base!$F$2)+SUMIFS(广告数据包!I:I,广告数据包!A:A,A108,广告数据包!G:G,Base!$F$3)+SUMIFS(广告数据包!I:I,广告数据包!A:A,A108,广告数据包!G:G,Base!$F$4)</f>
        <v>0</v>
      </c>
      <c r="M108" s="57">
        <f t="shared" si="14"/>
        <v>0</v>
      </c>
      <c r="N108" s="74">
        <f t="shared" si="15"/>
        <v>0</v>
      </c>
      <c r="O108" s="75">
        <f>SUMIFS(广告数据包!P:P,广告数据包!A:A,A108,广告数据包!G:G,Base!$F$2)+SUMIFS(广告数据包!P:P,广告数据包!A:A,A108,广告数据包!G:G,Base!$F$3)+SUMIFS(广告数据包!P:P,广告数据包!A:A,A108,广告数据包!G:G,Base!$F$4)</f>
        <v>0</v>
      </c>
      <c r="P108" s="56">
        <f>SUMIFS(广告数据包!M:M,广告数据包!A:A,A108,广告数据包!G:G,Base!$F$2)+SUMIFS(广告数据包!M:M,广告数据包!A:A,A108,广告数据包!G:G,Base!$F$3)+SUMIFS(广告数据包!M:M,广告数据包!A:A,A108,广告数据包!G:G,Base!$F$4)</f>
        <v>0</v>
      </c>
      <c r="Q108" s="57">
        <f t="shared" si="16"/>
        <v>0</v>
      </c>
      <c r="R108" s="56">
        <f>SUMIFS(广告数据包!L:L,广告数据包!A:A,A108,广告数据包!G:G,Base!$F$2)+SUMIFS(广告数据包!L:L,广告数据包!A:A,A108,广告数据包!G:G,Base!$F$3)+SUMIFS(广告数据包!L:L,广告数据包!A:A,A108,广告数据包!G:G,Base!$F$4)</f>
        <v>0</v>
      </c>
      <c r="S108" s="86">
        <f t="shared" si="17"/>
        <v>0</v>
      </c>
    </row>
    <row r="109" ht="16.5" spans="1:19">
      <c r="A109" s="54">
        <v>44546</v>
      </c>
      <c r="B109" s="55">
        <f>SUMIFS(销售数据包!F:F,销售数据包!A:A,A109,销售数据包!C:C,Base!$F$2)+SUMIFS(销售数据包!F:F,销售数据包!A:A,A109,销售数据包!C:C,Base!$F$3)+SUMIFS(销售数据包!F:F,销售数据包!A:A,A109,销售数据包!C:C,Base!$F$4)</f>
        <v>0</v>
      </c>
      <c r="C109" s="56">
        <f>SUMIFS(销售数据包!K:K,销售数据包!A:A,A109,销售数据包!C:C,Base!$F$2)+SUMIFS(销售数据包!K:K,销售数据包!A:A,A109,销售数据包!C:C,Base!$F$3)+SUMIFS(销售数据包!K:K,销售数据包!A:A,A109,销售数据包!C:C,Base!$F$4)</f>
        <v>0</v>
      </c>
      <c r="D109" s="56">
        <f>SUMIFS(销售数据包!Q:Q,销售数据包!A:A,A109,销售数据包!C:C,Base!$F$2)+SUMIFS(销售数据包!Q:Q,销售数据包!A:A,A109,销售数据包!C:C,Base!$F$3)+SUMIFS(销售数据包!Q:Q,销售数据包!A:A,A109,销售数据包!C:C,Base!$F$4)</f>
        <v>0</v>
      </c>
      <c r="E109" s="57">
        <f t="shared" si="9"/>
        <v>0</v>
      </c>
      <c r="F109" s="57">
        <f t="shared" si="10"/>
        <v>0</v>
      </c>
      <c r="G109" s="56">
        <f>SUMIFS(销售数据包!O:O,销售数据包!A:A,A109)</f>
        <v>0</v>
      </c>
      <c r="H109" s="57">
        <f t="shared" si="11"/>
        <v>0</v>
      </c>
      <c r="I109" s="71">
        <f t="shared" si="12"/>
        <v>0</v>
      </c>
      <c r="J109" s="72" t="str">
        <f t="shared" si="13"/>
        <v>周4</v>
      </c>
      <c r="K109" s="73">
        <f>SUMIFS(广告数据包!H:H,广告数据包!A:A,A109,广告数据包!G:G,Base!$F$2)+SUMIFS(广告数据包!H:H,广告数据包!A:A,A109,广告数据包!G:G,Base!$F$3)+SUMIFS(广告数据包!H:H,广告数据包!A:A,A109,广告数据包!G:G,Base!$F$4)</f>
        <v>0</v>
      </c>
      <c r="L109" s="56">
        <f>SUMIFS(广告数据包!I:I,广告数据包!A:A,A109,广告数据包!G:G,Base!$F$2)+SUMIFS(广告数据包!I:I,广告数据包!A:A,A109,广告数据包!G:G,Base!$F$3)+SUMIFS(广告数据包!I:I,广告数据包!A:A,A109,广告数据包!G:G,Base!$F$4)</f>
        <v>0</v>
      </c>
      <c r="M109" s="57">
        <f t="shared" si="14"/>
        <v>0</v>
      </c>
      <c r="N109" s="74">
        <f t="shared" si="15"/>
        <v>0</v>
      </c>
      <c r="O109" s="75">
        <f>SUMIFS(广告数据包!P:P,广告数据包!A:A,A109,广告数据包!G:G,Base!$F$2)+SUMIFS(广告数据包!P:P,广告数据包!A:A,A109,广告数据包!G:G,Base!$F$3)+SUMIFS(广告数据包!P:P,广告数据包!A:A,A109,广告数据包!G:G,Base!$F$4)</f>
        <v>0</v>
      </c>
      <c r="P109" s="56">
        <f>SUMIFS(广告数据包!M:M,广告数据包!A:A,A109,广告数据包!G:G,Base!$F$2)+SUMIFS(广告数据包!M:M,广告数据包!A:A,A109,广告数据包!G:G,Base!$F$3)+SUMIFS(广告数据包!M:M,广告数据包!A:A,A109,广告数据包!G:G,Base!$F$4)</f>
        <v>0</v>
      </c>
      <c r="Q109" s="57">
        <f t="shared" si="16"/>
        <v>0</v>
      </c>
      <c r="R109" s="56">
        <f>SUMIFS(广告数据包!L:L,广告数据包!A:A,A109,广告数据包!G:G,Base!$F$2)+SUMIFS(广告数据包!L:L,广告数据包!A:A,A109,广告数据包!G:G,Base!$F$3)+SUMIFS(广告数据包!L:L,广告数据包!A:A,A109,广告数据包!G:G,Base!$F$4)</f>
        <v>0</v>
      </c>
      <c r="S109" s="86">
        <f t="shared" si="17"/>
        <v>0</v>
      </c>
    </row>
    <row r="110" ht="16.5" spans="1:19">
      <c r="A110" s="54">
        <v>44547</v>
      </c>
      <c r="B110" s="55">
        <f>SUMIFS(销售数据包!F:F,销售数据包!A:A,A110,销售数据包!C:C,Base!$F$2)+SUMIFS(销售数据包!F:F,销售数据包!A:A,A110,销售数据包!C:C,Base!$F$3)+SUMIFS(销售数据包!F:F,销售数据包!A:A,A110,销售数据包!C:C,Base!$F$4)</f>
        <v>0</v>
      </c>
      <c r="C110" s="56">
        <f>SUMIFS(销售数据包!K:K,销售数据包!A:A,A110,销售数据包!C:C,Base!$F$2)+SUMIFS(销售数据包!K:K,销售数据包!A:A,A110,销售数据包!C:C,Base!$F$3)+SUMIFS(销售数据包!K:K,销售数据包!A:A,A110,销售数据包!C:C,Base!$F$4)</f>
        <v>0</v>
      </c>
      <c r="D110" s="56">
        <f>SUMIFS(销售数据包!Q:Q,销售数据包!A:A,A110,销售数据包!C:C,Base!$F$2)+SUMIFS(销售数据包!Q:Q,销售数据包!A:A,A110,销售数据包!C:C,Base!$F$3)+SUMIFS(销售数据包!Q:Q,销售数据包!A:A,A110,销售数据包!C:C,Base!$F$4)</f>
        <v>0</v>
      </c>
      <c r="E110" s="57">
        <f t="shared" si="9"/>
        <v>0</v>
      </c>
      <c r="F110" s="57">
        <f t="shared" si="10"/>
        <v>0</v>
      </c>
      <c r="G110" s="56">
        <f>SUMIFS(销售数据包!O:O,销售数据包!A:A,A110)</f>
        <v>0</v>
      </c>
      <c r="H110" s="57">
        <f t="shared" si="11"/>
        <v>0</v>
      </c>
      <c r="I110" s="71">
        <f t="shared" si="12"/>
        <v>0</v>
      </c>
      <c r="J110" s="72" t="str">
        <f t="shared" si="13"/>
        <v>周5</v>
      </c>
      <c r="K110" s="73">
        <f>SUMIFS(广告数据包!H:H,广告数据包!A:A,A110,广告数据包!G:G,Base!$F$2)+SUMIFS(广告数据包!H:H,广告数据包!A:A,A110,广告数据包!G:G,Base!$F$3)+SUMIFS(广告数据包!H:H,广告数据包!A:A,A110,广告数据包!G:G,Base!$F$4)</f>
        <v>0</v>
      </c>
      <c r="L110" s="56">
        <f>SUMIFS(广告数据包!I:I,广告数据包!A:A,A110,广告数据包!G:G,Base!$F$2)+SUMIFS(广告数据包!I:I,广告数据包!A:A,A110,广告数据包!G:G,Base!$F$3)+SUMIFS(广告数据包!I:I,广告数据包!A:A,A110,广告数据包!G:G,Base!$F$4)</f>
        <v>0</v>
      </c>
      <c r="M110" s="57">
        <f t="shared" si="14"/>
        <v>0</v>
      </c>
      <c r="N110" s="74">
        <f t="shared" si="15"/>
        <v>0</v>
      </c>
      <c r="O110" s="75">
        <f>SUMIFS(广告数据包!P:P,广告数据包!A:A,A110,广告数据包!G:G,Base!$F$2)+SUMIFS(广告数据包!P:P,广告数据包!A:A,A110,广告数据包!G:G,Base!$F$3)+SUMIFS(广告数据包!P:P,广告数据包!A:A,A110,广告数据包!G:G,Base!$F$4)</f>
        <v>0</v>
      </c>
      <c r="P110" s="56">
        <f>SUMIFS(广告数据包!M:M,广告数据包!A:A,A110,广告数据包!G:G,Base!$F$2)+SUMIFS(广告数据包!M:M,广告数据包!A:A,A110,广告数据包!G:G,Base!$F$3)+SUMIFS(广告数据包!M:M,广告数据包!A:A,A110,广告数据包!G:G,Base!$F$4)</f>
        <v>0</v>
      </c>
      <c r="Q110" s="57">
        <f t="shared" si="16"/>
        <v>0</v>
      </c>
      <c r="R110" s="56">
        <f>SUMIFS(广告数据包!L:L,广告数据包!A:A,A110,广告数据包!G:G,Base!$F$2)+SUMIFS(广告数据包!L:L,广告数据包!A:A,A110,广告数据包!G:G,Base!$F$3)+SUMIFS(广告数据包!L:L,广告数据包!A:A,A110,广告数据包!G:G,Base!$F$4)</f>
        <v>0</v>
      </c>
      <c r="S110" s="86">
        <f t="shared" si="17"/>
        <v>0</v>
      </c>
    </row>
    <row r="111" ht="16.5" spans="1:19">
      <c r="A111" s="54">
        <v>44548</v>
      </c>
      <c r="B111" s="55">
        <f>SUMIFS(销售数据包!F:F,销售数据包!A:A,A111,销售数据包!C:C,Base!$F$2)+SUMIFS(销售数据包!F:F,销售数据包!A:A,A111,销售数据包!C:C,Base!$F$3)+SUMIFS(销售数据包!F:F,销售数据包!A:A,A111,销售数据包!C:C,Base!$F$4)</f>
        <v>0</v>
      </c>
      <c r="C111" s="56">
        <f>SUMIFS(销售数据包!K:K,销售数据包!A:A,A111,销售数据包!C:C,Base!$F$2)+SUMIFS(销售数据包!K:K,销售数据包!A:A,A111,销售数据包!C:C,Base!$F$3)+SUMIFS(销售数据包!K:K,销售数据包!A:A,A111,销售数据包!C:C,Base!$F$4)</f>
        <v>0</v>
      </c>
      <c r="D111" s="56">
        <f>SUMIFS(销售数据包!Q:Q,销售数据包!A:A,A111,销售数据包!C:C,Base!$F$2)+SUMIFS(销售数据包!Q:Q,销售数据包!A:A,A111,销售数据包!C:C,Base!$F$3)+SUMIFS(销售数据包!Q:Q,销售数据包!A:A,A111,销售数据包!C:C,Base!$F$4)</f>
        <v>0</v>
      </c>
      <c r="E111" s="57">
        <f t="shared" si="9"/>
        <v>0</v>
      </c>
      <c r="F111" s="57">
        <f t="shared" si="10"/>
        <v>0</v>
      </c>
      <c r="G111" s="56">
        <f>SUMIFS(销售数据包!O:O,销售数据包!A:A,A111)</f>
        <v>0</v>
      </c>
      <c r="H111" s="57">
        <f t="shared" si="11"/>
        <v>0</v>
      </c>
      <c r="I111" s="71">
        <f t="shared" si="12"/>
        <v>0</v>
      </c>
      <c r="J111" s="72" t="str">
        <f t="shared" si="13"/>
        <v>周6</v>
      </c>
      <c r="K111" s="73">
        <f>SUMIFS(广告数据包!H:H,广告数据包!A:A,A111,广告数据包!G:G,Base!$F$2)+SUMIFS(广告数据包!H:H,广告数据包!A:A,A111,广告数据包!G:G,Base!$F$3)+SUMIFS(广告数据包!H:H,广告数据包!A:A,A111,广告数据包!G:G,Base!$F$4)</f>
        <v>0</v>
      </c>
      <c r="L111" s="56">
        <f>SUMIFS(广告数据包!I:I,广告数据包!A:A,A111,广告数据包!G:G,Base!$F$2)+SUMIFS(广告数据包!I:I,广告数据包!A:A,A111,广告数据包!G:G,Base!$F$3)+SUMIFS(广告数据包!I:I,广告数据包!A:A,A111,广告数据包!G:G,Base!$F$4)</f>
        <v>0</v>
      </c>
      <c r="M111" s="57">
        <f t="shared" si="14"/>
        <v>0</v>
      </c>
      <c r="N111" s="74">
        <f t="shared" si="15"/>
        <v>0</v>
      </c>
      <c r="O111" s="75">
        <f>SUMIFS(广告数据包!P:P,广告数据包!A:A,A111,广告数据包!G:G,Base!$F$2)+SUMIFS(广告数据包!P:P,广告数据包!A:A,A111,广告数据包!G:G,Base!$F$3)+SUMIFS(广告数据包!P:P,广告数据包!A:A,A111,广告数据包!G:G,Base!$F$4)</f>
        <v>0</v>
      </c>
      <c r="P111" s="56">
        <f>SUMIFS(广告数据包!M:M,广告数据包!A:A,A111,广告数据包!G:G,Base!$F$2)+SUMIFS(广告数据包!M:M,广告数据包!A:A,A111,广告数据包!G:G,Base!$F$3)+SUMIFS(广告数据包!M:M,广告数据包!A:A,A111,广告数据包!G:G,Base!$F$4)</f>
        <v>0</v>
      </c>
      <c r="Q111" s="57">
        <f t="shared" si="16"/>
        <v>0</v>
      </c>
      <c r="R111" s="56">
        <f>SUMIFS(广告数据包!L:L,广告数据包!A:A,A111,广告数据包!G:G,Base!$F$2)+SUMIFS(广告数据包!L:L,广告数据包!A:A,A111,广告数据包!G:G,Base!$F$3)+SUMIFS(广告数据包!L:L,广告数据包!A:A,A111,广告数据包!G:G,Base!$F$4)</f>
        <v>0</v>
      </c>
      <c r="S111" s="86">
        <f t="shared" si="17"/>
        <v>0</v>
      </c>
    </row>
    <row r="112" ht="16.5" spans="1:19">
      <c r="A112" s="54">
        <v>44549</v>
      </c>
      <c r="B112" s="55">
        <f>SUMIFS(销售数据包!F:F,销售数据包!A:A,A112,销售数据包!C:C,Base!$F$2)+SUMIFS(销售数据包!F:F,销售数据包!A:A,A112,销售数据包!C:C,Base!$F$3)+SUMIFS(销售数据包!F:F,销售数据包!A:A,A112,销售数据包!C:C,Base!$F$4)</f>
        <v>0</v>
      </c>
      <c r="C112" s="56">
        <f>SUMIFS(销售数据包!K:K,销售数据包!A:A,A112,销售数据包!C:C,Base!$F$2)+SUMIFS(销售数据包!K:K,销售数据包!A:A,A112,销售数据包!C:C,Base!$F$3)+SUMIFS(销售数据包!K:K,销售数据包!A:A,A112,销售数据包!C:C,Base!$F$4)</f>
        <v>0</v>
      </c>
      <c r="D112" s="56">
        <f>SUMIFS(销售数据包!Q:Q,销售数据包!A:A,A112,销售数据包!C:C,Base!$F$2)+SUMIFS(销售数据包!Q:Q,销售数据包!A:A,A112,销售数据包!C:C,Base!$F$3)+SUMIFS(销售数据包!Q:Q,销售数据包!A:A,A112,销售数据包!C:C,Base!$F$4)</f>
        <v>0</v>
      </c>
      <c r="E112" s="57">
        <f t="shared" si="9"/>
        <v>0</v>
      </c>
      <c r="F112" s="57">
        <f t="shared" si="10"/>
        <v>0</v>
      </c>
      <c r="G112" s="56">
        <f>SUMIFS(销售数据包!O:O,销售数据包!A:A,A112)</f>
        <v>0</v>
      </c>
      <c r="H112" s="57">
        <f t="shared" si="11"/>
        <v>0</v>
      </c>
      <c r="I112" s="71">
        <f t="shared" si="12"/>
        <v>0</v>
      </c>
      <c r="J112" s="72" t="str">
        <f t="shared" si="13"/>
        <v>周7</v>
      </c>
      <c r="K112" s="73">
        <f>SUMIFS(广告数据包!H:H,广告数据包!A:A,A112,广告数据包!G:G,Base!$F$2)+SUMIFS(广告数据包!H:H,广告数据包!A:A,A112,广告数据包!G:G,Base!$F$3)+SUMIFS(广告数据包!H:H,广告数据包!A:A,A112,广告数据包!G:G,Base!$F$4)</f>
        <v>0</v>
      </c>
      <c r="L112" s="56">
        <f>SUMIFS(广告数据包!I:I,广告数据包!A:A,A112,广告数据包!G:G,Base!$F$2)+SUMIFS(广告数据包!I:I,广告数据包!A:A,A112,广告数据包!G:G,Base!$F$3)+SUMIFS(广告数据包!I:I,广告数据包!A:A,A112,广告数据包!G:G,Base!$F$4)</f>
        <v>0</v>
      </c>
      <c r="M112" s="57">
        <f t="shared" si="14"/>
        <v>0</v>
      </c>
      <c r="N112" s="74">
        <f t="shared" si="15"/>
        <v>0</v>
      </c>
      <c r="O112" s="75">
        <f>SUMIFS(广告数据包!P:P,广告数据包!A:A,A112,广告数据包!G:G,Base!$F$2)+SUMIFS(广告数据包!P:P,广告数据包!A:A,A112,广告数据包!G:G,Base!$F$3)+SUMIFS(广告数据包!P:P,广告数据包!A:A,A112,广告数据包!G:G,Base!$F$4)</f>
        <v>0</v>
      </c>
      <c r="P112" s="56">
        <f>SUMIFS(广告数据包!M:M,广告数据包!A:A,A112,广告数据包!G:G,Base!$F$2)+SUMIFS(广告数据包!M:M,广告数据包!A:A,A112,广告数据包!G:G,Base!$F$3)+SUMIFS(广告数据包!M:M,广告数据包!A:A,A112,广告数据包!G:G,Base!$F$4)</f>
        <v>0</v>
      </c>
      <c r="Q112" s="57">
        <f t="shared" si="16"/>
        <v>0</v>
      </c>
      <c r="R112" s="56">
        <f>SUMIFS(广告数据包!L:L,广告数据包!A:A,A112,广告数据包!G:G,Base!$F$2)+SUMIFS(广告数据包!L:L,广告数据包!A:A,A112,广告数据包!G:G,Base!$F$3)+SUMIFS(广告数据包!L:L,广告数据包!A:A,A112,广告数据包!G:G,Base!$F$4)</f>
        <v>0</v>
      </c>
      <c r="S112" s="86">
        <f t="shared" si="17"/>
        <v>0</v>
      </c>
    </row>
    <row r="113" ht="16.5" spans="1:19">
      <c r="A113" s="54">
        <v>44550</v>
      </c>
      <c r="B113" s="55">
        <f>SUMIFS(销售数据包!F:F,销售数据包!A:A,A113,销售数据包!C:C,Base!$F$2)+SUMIFS(销售数据包!F:F,销售数据包!A:A,A113,销售数据包!C:C,Base!$F$3)+SUMIFS(销售数据包!F:F,销售数据包!A:A,A113,销售数据包!C:C,Base!$F$4)</f>
        <v>0</v>
      </c>
      <c r="C113" s="56">
        <f>SUMIFS(销售数据包!K:K,销售数据包!A:A,A113,销售数据包!C:C,Base!$F$2)+SUMIFS(销售数据包!K:K,销售数据包!A:A,A113,销售数据包!C:C,Base!$F$3)+SUMIFS(销售数据包!K:K,销售数据包!A:A,A113,销售数据包!C:C,Base!$F$4)</f>
        <v>0</v>
      </c>
      <c r="D113" s="56">
        <f>SUMIFS(销售数据包!Q:Q,销售数据包!A:A,A113,销售数据包!C:C,Base!$F$2)+SUMIFS(销售数据包!Q:Q,销售数据包!A:A,A113,销售数据包!C:C,Base!$F$3)+SUMIFS(销售数据包!Q:Q,销售数据包!A:A,A113,销售数据包!C:C,Base!$F$4)</f>
        <v>0</v>
      </c>
      <c r="E113" s="57">
        <f t="shared" si="9"/>
        <v>0</v>
      </c>
      <c r="F113" s="57">
        <f t="shared" si="10"/>
        <v>0</v>
      </c>
      <c r="G113" s="56">
        <f>SUMIFS(销售数据包!O:O,销售数据包!A:A,A113)</f>
        <v>0</v>
      </c>
      <c r="H113" s="57">
        <f t="shared" si="11"/>
        <v>0</v>
      </c>
      <c r="I113" s="71">
        <f t="shared" si="12"/>
        <v>0</v>
      </c>
      <c r="J113" s="72" t="str">
        <f t="shared" si="13"/>
        <v>周1</v>
      </c>
      <c r="K113" s="73">
        <f>SUMIFS(广告数据包!H:H,广告数据包!A:A,A113,广告数据包!G:G,Base!$F$2)+SUMIFS(广告数据包!H:H,广告数据包!A:A,A113,广告数据包!G:G,Base!$F$3)+SUMIFS(广告数据包!H:H,广告数据包!A:A,A113,广告数据包!G:G,Base!$F$4)</f>
        <v>0</v>
      </c>
      <c r="L113" s="56">
        <f>SUMIFS(广告数据包!I:I,广告数据包!A:A,A113,广告数据包!G:G,Base!$F$2)+SUMIFS(广告数据包!I:I,广告数据包!A:A,A113,广告数据包!G:G,Base!$F$3)+SUMIFS(广告数据包!I:I,广告数据包!A:A,A113,广告数据包!G:G,Base!$F$4)</f>
        <v>0</v>
      </c>
      <c r="M113" s="57">
        <f t="shared" si="14"/>
        <v>0</v>
      </c>
      <c r="N113" s="74">
        <f t="shared" si="15"/>
        <v>0</v>
      </c>
      <c r="O113" s="75">
        <f>SUMIFS(广告数据包!P:P,广告数据包!A:A,A113,广告数据包!G:G,Base!$F$2)+SUMIFS(广告数据包!P:P,广告数据包!A:A,A113,广告数据包!G:G,Base!$F$3)+SUMIFS(广告数据包!P:P,广告数据包!A:A,A113,广告数据包!G:G,Base!$F$4)</f>
        <v>0</v>
      </c>
      <c r="P113" s="56">
        <f>SUMIFS(广告数据包!M:M,广告数据包!A:A,A113,广告数据包!G:G,Base!$F$2)+SUMIFS(广告数据包!M:M,广告数据包!A:A,A113,广告数据包!G:G,Base!$F$3)+SUMIFS(广告数据包!M:M,广告数据包!A:A,A113,广告数据包!G:G,Base!$F$4)</f>
        <v>0</v>
      </c>
      <c r="Q113" s="57">
        <f t="shared" si="16"/>
        <v>0</v>
      </c>
      <c r="R113" s="56">
        <f>SUMIFS(广告数据包!L:L,广告数据包!A:A,A113,广告数据包!G:G,Base!$F$2)+SUMIFS(广告数据包!L:L,广告数据包!A:A,A113,广告数据包!G:G,Base!$F$3)+SUMIFS(广告数据包!L:L,广告数据包!A:A,A113,广告数据包!G:G,Base!$F$4)</f>
        <v>0</v>
      </c>
      <c r="S113" s="86">
        <f t="shared" si="17"/>
        <v>0</v>
      </c>
    </row>
    <row r="114" ht="16.5" spans="1:19">
      <c r="A114" s="54">
        <v>44551</v>
      </c>
      <c r="B114" s="55">
        <f>SUMIFS(销售数据包!F:F,销售数据包!A:A,A114,销售数据包!C:C,Base!$F$2)+SUMIFS(销售数据包!F:F,销售数据包!A:A,A114,销售数据包!C:C,Base!$F$3)+SUMIFS(销售数据包!F:F,销售数据包!A:A,A114,销售数据包!C:C,Base!$F$4)</f>
        <v>0</v>
      </c>
      <c r="C114" s="56">
        <f>SUMIFS(销售数据包!K:K,销售数据包!A:A,A114,销售数据包!C:C,Base!$F$2)+SUMIFS(销售数据包!K:K,销售数据包!A:A,A114,销售数据包!C:C,Base!$F$3)+SUMIFS(销售数据包!K:K,销售数据包!A:A,A114,销售数据包!C:C,Base!$F$4)</f>
        <v>0</v>
      </c>
      <c r="D114" s="56">
        <f>SUMIFS(销售数据包!Q:Q,销售数据包!A:A,A114,销售数据包!C:C,Base!$F$2)+SUMIFS(销售数据包!Q:Q,销售数据包!A:A,A114,销售数据包!C:C,Base!$F$3)+SUMIFS(销售数据包!Q:Q,销售数据包!A:A,A114,销售数据包!C:C,Base!$F$4)</f>
        <v>0</v>
      </c>
      <c r="E114" s="57">
        <f t="shared" si="9"/>
        <v>0</v>
      </c>
      <c r="F114" s="57">
        <f t="shared" si="10"/>
        <v>0</v>
      </c>
      <c r="G114" s="56">
        <f>SUMIFS(销售数据包!O:O,销售数据包!A:A,A114)</f>
        <v>0</v>
      </c>
      <c r="H114" s="57">
        <f t="shared" si="11"/>
        <v>0</v>
      </c>
      <c r="I114" s="71">
        <f t="shared" si="12"/>
        <v>0</v>
      </c>
      <c r="J114" s="72" t="str">
        <f t="shared" si="13"/>
        <v>周2</v>
      </c>
      <c r="K114" s="73">
        <f>SUMIFS(广告数据包!H:H,广告数据包!A:A,A114,广告数据包!G:G,Base!$F$2)+SUMIFS(广告数据包!H:H,广告数据包!A:A,A114,广告数据包!G:G,Base!$F$3)+SUMIFS(广告数据包!H:H,广告数据包!A:A,A114,广告数据包!G:G,Base!$F$4)</f>
        <v>0</v>
      </c>
      <c r="L114" s="56">
        <f>SUMIFS(广告数据包!I:I,广告数据包!A:A,A114,广告数据包!G:G,Base!$F$2)+SUMIFS(广告数据包!I:I,广告数据包!A:A,A114,广告数据包!G:G,Base!$F$3)+SUMIFS(广告数据包!I:I,广告数据包!A:A,A114,广告数据包!G:G,Base!$F$4)</f>
        <v>0</v>
      </c>
      <c r="M114" s="57">
        <f t="shared" si="14"/>
        <v>0</v>
      </c>
      <c r="N114" s="74">
        <f t="shared" si="15"/>
        <v>0</v>
      </c>
      <c r="O114" s="75">
        <f>SUMIFS(广告数据包!P:P,广告数据包!A:A,A114,广告数据包!G:G,Base!$F$2)+SUMIFS(广告数据包!P:P,广告数据包!A:A,A114,广告数据包!G:G,Base!$F$3)+SUMIFS(广告数据包!P:P,广告数据包!A:A,A114,广告数据包!G:G,Base!$F$4)</f>
        <v>0</v>
      </c>
      <c r="P114" s="56">
        <f>SUMIFS(广告数据包!M:M,广告数据包!A:A,A114,广告数据包!G:G,Base!$F$2)+SUMIFS(广告数据包!M:M,广告数据包!A:A,A114,广告数据包!G:G,Base!$F$3)+SUMIFS(广告数据包!M:M,广告数据包!A:A,A114,广告数据包!G:G,Base!$F$4)</f>
        <v>0</v>
      </c>
      <c r="Q114" s="57">
        <f t="shared" si="16"/>
        <v>0</v>
      </c>
      <c r="R114" s="56">
        <f>SUMIFS(广告数据包!L:L,广告数据包!A:A,A114,广告数据包!G:G,Base!$F$2)+SUMIFS(广告数据包!L:L,广告数据包!A:A,A114,广告数据包!G:G,Base!$F$3)+SUMIFS(广告数据包!L:L,广告数据包!A:A,A114,广告数据包!G:G,Base!$F$4)</f>
        <v>0</v>
      </c>
      <c r="S114" s="86">
        <f t="shared" si="17"/>
        <v>0</v>
      </c>
    </row>
    <row r="115" ht="16.5" spans="1:19">
      <c r="A115" s="54">
        <v>44552</v>
      </c>
      <c r="B115" s="55">
        <f>SUMIFS(销售数据包!F:F,销售数据包!A:A,A115,销售数据包!C:C,Base!$F$2)+SUMIFS(销售数据包!F:F,销售数据包!A:A,A115,销售数据包!C:C,Base!$F$3)+SUMIFS(销售数据包!F:F,销售数据包!A:A,A115,销售数据包!C:C,Base!$F$4)</f>
        <v>0</v>
      </c>
      <c r="C115" s="56">
        <f>SUMIFS(销售数据包!K:K,销售数据包!A:A,A115,销售数据包!C:C,Base!$F$2)+SUMIFS(销售数据包!K:K,销售数据包!A:A,A115,销售数据包!C:C,Base!$F$3)+SUMIFS(销售数据包!K:K,销售数据包!A:A,A115,销售数据包!C:C,Base!$F$4)</f>
        <v>0</v>
      </c>
      <c r="D115" s="56">
        <f>SUMIFS(销售数据包!Q:Q,销售数据包!A:A,A115,销售数据包!C:C,Base!$F$2)+SUMIFS(销售数据包!Q:Q,销售数据包!A:A,A115,销售数据包!C:C,Base!$F$3)+SUMIFS(销售数据包!Q:Q,销售数据包!A:A,A115,销售数据包!C:C,Base!$F$4)</f>
        <v>0</v>
      </c>
      <c r="E115" s="57">
        <f t="shared" si="9"/>
        <v>0</v>
      </c>
      <c r="F115" s="57">
        <f t="shared" si="10"/>
        <v>0</v>
      </c>
      <c r="G115" s="56">
        <f>SUMIFS(销售数据包!O:O,销售数据包!A:A,A115)</f>
        <v>0</v>
      </c>
      <c r="H115" s="57">
        <f t="shared" si="11"/>
        <v>0</v>
      </c>
      <c r="I115" s="71">
        <f t="shared" si="12"/>
        <v>0</v>
      </c>
      <c r="J115" s="72" t="str">
        <f t="shared" si="13"/>
        <v>周3</v>
      </c>
      <c r="K115" s="73">
        <f>SUMIFS(广告数据包!H:H,广告数据包!A:A,A115,广告数据包!G:G,Base!$F$2)+SUMIFS(广告数据包!H:H,广告数据包!A:A,A115,广告数据包!G:G,Base!$F$3)+SUMIFS(广告数据包!H:H,广告数据包!A:A,A115,广告数据包!G:G,Base!$F$4)</f>
        <v>0</v>
      </c>
      <c r="L115" s="56">
        <f>SUMIFS(广告数据包!I:I,广告数据包!A:A,A115,广告数据包!G:G,Base!$F$2)+SUMIFS(广告数据包!I:I,广告数据包!A:A,A115,广告数据包!G:G,Base!$F$3)+SUMIFS(广告数据包!I:I,广告数据包!A:A,A115,广告数据包!G:G,Base!$F$4)</f>
        <v>0</v>
      </c>
      <c r="M115" s="57">
        <f t="shared" si="14"/>
        <v>0</v>
      </c>
      <c r="N115" s="74">
        <f t="shared" si="15"/>
        <v>0</v>
      </c>
      <c r="O115" s="75">
        <f>SUMIFS(广告数据包!P:P,广告数据包!A:A,A115,广告数据包!G:G,Base!$F$2)+SUMIFS(广告数据包!P:P,广告数据包!A:A,A115,广告数据包!G:G,Base!$F$3)+SUMIFS(广告数据包!P:P,广告数据包!A:A,A115,广告数据包!G:G,Base!$F$4)</f>
        <v>0</v>
      </c>
      <c r="P115" s="56">
        <f>SUMIFS(广告数据包!M:M,广告数据包!A:A,A115,广告数据包!G:G,Base!$F$2)+SUMIFS(广告数据包!M:M,广告数据包!A:A,A115,广告数据包!G:G,Base!$F$3)+SUMIFS(广告数据包!M:M,广告数据包!A:A,A115,广告数据包!G:G,Base!$F$4)</f>
        <v>0</v>
      </c>
      <c r="Q115" s="57">
        <f t="shared" si="16"/>
        <v>0</v>
      </c>
      <c r="R115" s="56">
        <f>SUMIFS(广告数据包!L:L,广告数据包!A:A,A115,广告数据包!G:G,Base!$F$2)+SUMIFS(广告数据包!L:L,广告数据包!A:A,A115,广告数据包!G:G,Base!$F$3)+SUMIFS(广告数据包!L:L,广告数据包!A:A,A115,广告数据包!G:G,Base!$F$4)</f>
        <v>0</v>
      </c>
      <c r="S115" s="86">
        <f t="shared" si="17"/>
        <v>0</v>
      </c>
    </row>
    <row r="116" ht="16.5" spans="1:19">
      <c r="A116" s="54">
        <v>44553</v>
      </c>
      <c r="B116" s="55">
        <f>SUMIFS(销售数据包!F:F,销售数据包!A:A,A116,销售数据包!C:C,Base!$F$2)+SUMIFS(销售数据包!F:F,销售数据包!A:A,A116,销售数据包!C:C,Base!$F$3)+SUMIFS(销售数据包!F:F,销售数据包!A:A,A116,销售数据包!C:C,Base!$F$4)</f>
        <v>0</v>
      </c>
      <c r="C116" s="56">
        <f>SUMIFS(销售数据包!K:K,销售数据包!A:A,A116,销售数据包!C:C,Base!$F$2)+SUMIFS(销售数据包!K:K,销售数据包!A:A,A116,销售数据包!C:C,Base!$F$3)+SUMIFS(销售数据包!K:K,销售数据包!A:A,A116,销售数据包!C:C,Base!$F$4)</f>
        <v>0</v>
      </c>
      <c r="D116" s="56">
        <f>SUMIFS(销售数据包!Q:Q,销售数据包!A:A,A116,销售数据包!C:C,Base!$F$2)+SUMIFS(销售数据包!Q:Q,销售数据包!A:A,A116,销售数据包!C:C,Base!$F$3)+SUMIFS(销售数据包!Q:Q,销售数据包!A:A,A116,销售数据包!C:C,Base!$F$4)</f>
        <v>0</v>
      </c>
      <c r="E116" s="57">
        <f t="shared" si="9"/>
        <v>0</v>
      </c>
      <c r="F116" s="57">
        <f t="shared" si="10"/>
        <v>0</v>
      </c>
      <c r="G116" s="56">
        <f>SUMIFS(销售数据包!O:O,销售数据包!A:A,A116)</f>
        <v>0</v>
      </c>
      <c r="H116" s="57">
        <f t="shared" si="11"/>
        <v>0</v>
      </c>
      <c r="I116" s="71">
        <f t="shared" si="12"/>
        <v>0</v>
      </c>
      <c r="J116" s="72" t="str">
        <f t="shared" si="13"/>
        <v>周4</v>
      </c>
      <c r="K116" s="73">
        <f>SUMIFS(广告数据包!H:H,广告数据包!A:A,A116,广告数据包!G:G,Base!$F$2)+SUMIFS(广告数据包!H:H,广告数据包!A:A,A116,广告数据包!G:G,Base!$F$3)+SUMIFS(广告数据包!H:H,广告数据包!A:A,A116,广告数据包!G:G,Base!$F$4)</f>
        <v>0</v>
      </c>
      <c r="L116" s="56">
        <f>SUMIFS(广告数据包!I:I,广告数据包!A:A,A116,广告数据包!G:G,Base!$F$2)+SUMIFS(广告数据包!I:I,广告数据包!A:A,A116,广告数据包!G:G,Base!$F$3)+SUMIFS(广告数据包!I:I,广告数据包!A:A,A116,广告数据包!G:G,Base!$F$4)</f>
        <v>0</v>
      </c>
      <c r="M116" s="57">
        <f t="shared" si="14"/>
        <v>0</v>
      </c>
      <c r="N116" s="74">
        <f t="shared" si="15"/>
        <v>0</v>
      </c>
      <c r="O116" s="75">
        <f>SUMIFS(广告数据包!P:P,广告数据包!A:A,A116,广告数据包!G:G,Base!$F$2)+SUMIFS(广告数据包!P:P,广告数据包!A:A,A116,广告数据包!G:G,Base!$F$3)+SUMIFS(广告数据包!P:P,广告数据包!A:A,A116,广告数据包!G:G,Base!$F$4)</f>
        <v>0</v>
      </c>
      <c r="P116" s="56">
        <f>SUMIFS(广告数据包!M:M,广告数据包!A:A,A116,广告数据包!G:G,Base!$F$2)+SUMIFS(广告数据包!M:M,广告数据包!A:A,A116,广告数据包!G:G,Base!$F$3)+SUMIFS(广告数据包!M:M,广告数据包!A:A,A116,广告数据包!G:G,Base!$F$4)</f>
        <v>0</v>
      </c>
      <c r="Q116" s="57">
        <f t="shared" si="16"/>
        <v>0</v>
      </c>
      <c r="R116" s="56">
        <f>SUMIFS(广告数据包!L:L,广告数据包!A:A,A116,广告数据包!G:G,Base!$F$2)+SUMIFS(广告数据包!L:L,广告数据包!A:A,A116,广告数据包!G:G,Base!$F$3)+SUMIFS(广告数据包!L:L,广告数据包!A:A,A116,广告数据包!G:G,Base!$F$4)</f>
        <v>0</v>
      </c>
      <c r="S116" s="86">
        <f t="shared" si="17"/>
        <v>0</v>
      </c>
    </row>
    <row r="117" ht="16.5" spans="1:19">
      <c r="A117" s="54">
        <v>44554</v>
      </c>
      <c r="B117" s="55">
        <f>SUMIFS(销售数据包!F:F,销售数据包!A:A,A117,销售数据包!C:C,Base!$F$2)+SUMIFS(销售数据包!F:F,销售数据包!A:A,A117,销售数据包!C:C,Base!$F$3)+SUMIFS(销售数据包!F:F,销售数据包!A:A,A117,销售数据包!C:C,Base!$F$4)</f>
        <v>0</v>
      </c>
      <c r="C117" s="56">
        <f>SUMIFS(销售数据包!K:K,销售数据包!A:A,A117,销售数据包!C:C,Base!$F$2)+SUMIFS(销售数据包!K:K,销售数据包!A:A,A117,销售数据包!C:C,Base!$F$3)+SUMIFS(销售数据包!K:K,销售数据包!A:A,A117,销售数据包!C:C,Base!$F$4)</f>
        <v>0</v>
      </c>
      <c r="D117" s="56">
        <f>SUMIFS(销售数据包!Q:Q,销售数据包!A:A,A117,销售数据包!C:C,Base!$F$2)+SUMIFS(销售数据包!Q:Q,销售数据包!A:A,A117,销售数据包!C:C,Base!$F$3)+SUMIFS(销售数据包!Q:Q,销售数据包!A:A,A117,销售数据包!C:C,Base!$F$4)</f>
        <v>0</v>
      </c>
      <c r="E117" s="57">
        <f t="shared" si="9"/>
        <v>0</v>
      </c>
      <c r="F117" s="57">
        <f t="shared" si="10"/>
        <v>0</v>
      </c>
      <c r="G117" s="56">
        <f>SUMIFS(销售数据包!O:O,销售数据包!A:A,A117)</f>
        <v>0</v>
      </c>
      <c r="H117" s="57">
        <f t="shared" si="11"/>
        <v>0</v>
      </c>
      <c r="I117" s="71">
        <f t="shared" si="12"/>
        <v>0</v>
      </c>
      <c r="J117" s="72" t="str">
        <f t="shared" si="13"/>
        <v>周5</v>
      </c>
      <c r="K117" s="73">
        <f>SUMIFS(广告数据包!H:H,广告数据包!A:A,A117,广告数据包!G:G,Base!$F$2)+SUMIFS(广告数据包!H:H,广告数据包!A:A,A117,广告数据包!G:G,Base!$F$3)+SUMIFS(广告数据包!H:H,广告数据包!A:A,A117,广告数据包!G:G,Base!$F$4)</f>
        <v>0</v>
      </c>
      <c r="L117" s="56">
        <f>SUMIFS(广告数据包!I:I,广告数据包!A:A,A117,广告数据包!G:G,Base!$F$2)+SUMIFS(广告数据包!I:I,广告数据包!A:A,A117,广告数据包!G:G,Base!$F$3)+SUMIFS(广告数据包!I:I,广告数据包!A:A,A117,广告数据包!G:G,Base!$F$4)</f>
        <v>0</v>
      </c>
      <c r="M117" s="57">
        <f t="shared" si="14"/>
        <v>0</v>
      </c>
      <c r="N117" s="74">
        <f t="shared" si="15"/>
        <v>0</v>
      </c>
      <c r="O117" s="75">
        <f>SUMIFS(广告数据包!P:P,广告数据包!A:A,A117,广告数据包!G:G,Base!$F$2)+SUMIFS(广告数据包!P:P,广告数据包!A:A,A117,广告数据包!G:G,Base!$F$3)+SUMIFS(广告数据包!P:P,广告数据包!A:A,A117,广告数据包!G:G,Base!$F$4)</f>
        <v>0</v>
      </c>
      <c r="P117" s="56">
        <f>SUMIFS(广告数据包!M:M,广告数据包!A:A,A117,广告数据包!G:G,Base!$F$2)+SUMIFS(广告数据包!M:M,广告数据包!A:A,A117,广告数据包!G:G,Base!$F$3)+SUMIFS(广告数据包!M:M,广告数据包!A:A,A117,广告数据包!G:G,Base!$F$4)</f>
        <v>0</v>
      </c>
      <c r="Q117" s="57">
        <f t="shared" si="16"/>
        <v>0</v>
      </c>
      <c r="R117" s="56">
        <f>SUMIFS(广告数据包!L:L,广告数据包!A:A,A117,广告数据包!G:G,Base!$F$2)+SUMIFS(广告数据包!L:L,广告数据包!A:A,A117,广告数据包!G:G,Base!$F$3)+SUMIFS(广告数据包!L:L,广告数据包!A:A,A117,广告数据包!G:G,Base!$F$4)</f>
        <v>0</v>
      </c>
      <c r="S117" s="86">
        <f t="shared" si="17"/>
        <v>0</v>
      </c>
    </row>
    <row r="118" ht="16.5" spans="1:19">
      <c r="A118" s="54">
        <v>44555</v>
      </c>
      <c r="B118" s="55">
        <f>SUMIFS(销售数据包!F:F,销售数据包!A:A,A118,销售数据包!C:C,Base!$F$2)+SUMIFS(销售数据包!F:F,销售数据包!A:A,A118,销售数据包!C:C,Base!$F$3)+SUMIFS(销售数据包!F:F,销售数据包!A:A,A118,销售数据包!C:C,Base!$F$4)</f>
        <v>0</v>
      </c>
      <c r="C118" s="56">
        <f>SUMIFS(销售数据包!K:K,销售数据包!A:A,A118,销售数据包!C:C,Base!$F$2)+SUMIFS(销售数据包!K:K,销售数据包!A:A,A118,销售数据包!C:C,Base!$F$3)+SUMIFS(销售数据包!K:K,销售数据包!A:A,A118,销售数据包!C:C,Base!$F$4)</f>
        <v>0</v>
      </c>
      <c r="D118" s="56">
        <f>SUMIFS(销售数据包!Q:Q,销售数据包!A:A,A118,销售数据包!C:C,Base!$F$2)+SUMIFS(销售数据包!Q:Q,销售数据包!A:A,A118,销售数据包!C:C,Base!$F$3)+SUMIFS(销售数据包!Q:Q,销售数据包!A:A,A118,销售数据包!C:C,Base!$F$4)</f>
        <v>0</v>
      </c>
      <c r="E118" s="57">
        <f t="shared" si="9"/>
        <v>0</v>
      </c>
      <c r="F118" s="57">
        <f t="shared" si="10"/>
        <v>0</v>
      </c>
      <c r="G118" s="56">
        <f>SUMIFS(销售数据包!O:O,销售数据包!A:A,A118)</f>
        <v>0</v>
      </c>
      <c r="H118" s="57">
        <f t="shared" si="11"/>
        <v>0</v>
      </c>
      <c r="I118" s="71">
        <f t="shared" si="12"/>
        <v>0</v>
      </c>
      <c r="J118" s="72" t="str">
        <f t="shared" si="13"/>
        <v>周6</v>
      </c>
      <c r="K118" s="73">
        <f>SUMIFS(广告数据包!H:H,广告数据包!A:A,A118,广告数据包!G:G,Base!$F$2)+SUMIFS(广告数据包!H:H,广告数据包!A:A,A118,广告数据包!G:G,Base!$F$3)+SUMIFS(广告数据包!H:H,广告数据包!A:A,A118,广告数据包!G:G,Base!$F$4)</f>
        <v>0</v>
      </c>
      <c r="L118" s="56">
        <f>SUMIFS(广告数据包!I:I,广告数据包!A:A,A118,广告数据包!G:G,Base!$F$2)+SUMIFS(广告数据包!I:I,广告数据包!A:A,A118,广告数据包!G:G,Base!$F$3)+SUMIFS(广告数据包!I:I,广告数据包!A:A,A118,广告数据包!G:G,Base!$F$4)</f>
        <v>0</v>
      </c>
      <c r="M118" s="57">
        <f t="shared" si="14"/>
        <v>0</v>
      </c>
      <c r="N118" s="74">
        <f t="shared" si="15"/>
        <v>0</v>
      </c>
      <c r="O118" s="75">
        <f>SUMIFS(广告数据包!P:P,广告数据包!A:A,A118,广告数据包!G:G,Base!$F$2)+SUMIFS(广告数据包!P:P,广告数据包!A:A,A118,广告数据包!G:G,Base!$F$3)+SUMIFS(广告数据包!P:P,广告数据包!A:A,A118,广告数据包!G:G,Base!$F$4)</f>
        <v>0</v>
      </c>
      <c r="P118" s="56">
        <f>SUMIFS(广告数据包!M:M,广告数据包!A:A,A118,广告数据包!G:G,Base!$F$2)+SUMIFS(广告数据包!M:M,广告数据包!A:A,A118,广告数据包!G:G,Base!$F$3)+SUMIFS(广告数据包!M:M,广告数据包!A:A,A118,广告数据包!G:G,Base!$F$4)</f>
        <v>0</v>
      </c>
      <c r="Q118" s="57">
        <f t="shared" si="16"/>
        <v>0</v>
      </c>
      <c r="R118" s="56">
        <f>SUMIFS(广告数据包!L:L,广告数据包!A:A,A118,广告数据包!G:G,Base!$F$2)+SUMIFS(广告数据包!L:L,广告数据包!A:A,A118,广告数据包!G:G,Base!$F$3)+SUMIFS(广告数据包!L:L,广告数据包!A:A,A118,广告数据包!G:G,Base!$F$4)</f>
        <v>0</v>
      </c>
      <c r="S118" s="86">
        <f t="shared" si="17"/>
        <v>0</v>
      </c>
    </row>
    <row r="119" ht="16.5" spans="1:19">
      <c r="A119" s="54">
        <v>44556</v>
      </c>
      <c r="B119" s="55">
        <f>SUMIFS(销售数据包!F:F,销售数据包!A:A,A119,销售数据包!C:C,Base!$F$2)+SUMIFS(销售数据包!F:F,销售数据包!A:A,A119,销售数据包!C:C,Base!$F$3)+SUMIFS(销售数据包!F:F,销售数据包!A:A,A119,销售数据包!C:C,Base!$F$4)</f>
        <v>0</v>
      </c>
      <c r="C119" s="56">
        <f>SUMIFS(销售数据包!K:K,销售数据包!A:A,A119,销售数据包!C:C,Base!$F$2)+SUMIFS(销售数据包!K:K,销售数据包!A:A,A119,销售数据包!C:C,Base!$F$3)+SUMIFS(销售数据包!K:K,销售数据包!A:A,A119,销售数据包!C:C,Base!$F$4)</f>
        <v>0</v>
      </c>
      <c r="D119" s="56">
        <f>SUMIFS(销售数据包!Q:Q,销售数据包!A:A,A119,销售数据包!C:C,Base!$F$2)+SUMIFS(销售数据包!Q:Q,销售数据包!A:A,A119,销售数据包!C:C,Base!$F$3)+SUMIFS(销售数据包!Q:Q,销售数据包!A:A,A119,销售数据包!C:C,Base!$F$4)</f>
        <v>0</v>
      </c>
      <c r="E119" s="57">
        <f t="shared" si="9"/>
        <v>0</v>
      </c>
      <c r="F119" s="57">
        <f t="shared" si="10"/>
        <v>0</v>
      </c>
      <c r="G119" s="56">
        <f>SUMIFS(销售数据包!O:O,销售数据包!A:A,A119)</f>
        <v>0</v>
      </c>
      <c r="H119" s="57">
        <f t="shared" si="11"/>
        <v>0</v>
      </c>
      <c r="I119" s="71">
        <f t="shared" si="12"/>
        <v>0</v>
      </c>
      <c r="J119" s="72" t="str">
        <f t="shared" si="13"/>
        <v>周7</v>
      </c>
      <c r="K119" s="73">
        <f>SUMIFS(广告数据包!H:H,广告数据包!A:A,A119,广告数据包!G:G,Base!$F$2)+SUMIFS(广告数据包!H:H,广告数据包!A:A,A119,广告数据包!G:G,Base!$F$3)+SUMIFS(广告数据包!H:H,广告数据包!A:A,A119,广告数据包!G:G,Base!$F$4)</f>
        <v>0</v>
      </c>
      <c r="L119" s="56">
        <f>SUMIFS(广告数据包!I:I,广告数据包!A:A,A119,广告数据包!G:G,Base!$F$2)+SUMIFS(广告数据包!I:I,广告数据包!A:A,A119,广告数据包!G:G,Base!$F$3)+SUMIFS(广告数据包!I:I,广告数据包!A:A,A119,广告数据包!G:G,Base!$F$4)</f>
        <v>0</v>
      </c>
      <c r="M119" s="57">
        <f t="shared" si="14"/>
        <v>0</v>
      </c>
      <c r="N119" s="74">
        <f t="shared" si="15"/>
        <v>0</v>
      </c>
      <c r="O119" s="75">
        <f>SUMIFS(广告数据包!P:P,广告数据包!A:A,A119,广告数据包!G:G,Base!$F$2)+SUMIFS(广告数据包!P:P,广告数据包!A:A,A119,广告数据包!G:G,Base!$F$3)+SUMIFS(广告数据包!P:P,广告数据包!A:A,A119,广告数据包!G:G,Base!$F$4)</f>
        <v>0</v>
      </c>
      <c r="P119" s="56">
        <f>SUMIFS(广告数据包!M:M,广告数据包!A:A,A119,广告数据包!G:G,Base!$F$2)+SUMIFS(广告数据包!M:M,广告数据包!A:A,A119,广告数据包!G:G,Base!$F$3)+SUMIFS(广告数据包!M:M,广告数据包!A:A,A119,广告数据包!G:G,Base!$F$4)</f>
        <v>0</v>
      </c>
      <c r="Q119" s="57">
        <f t="shared" si="16"/>
        <v>0</v>
      </c>
      <c r="R119" s="56">
        <f>SUMIFS(广告数据包!L:L,广告数据包!A:A,A119,广告数据包!G:G,Base!$F$2)+SUMIFS(广告数据包!L:L,广告数据包!A:A,A119,广告数据包!G:G,Base!$F$3)+SUMIFS(广告数据包!L:L,广告数据包!A:A,A119,广告数据包!G:G,Base!$F$4)</f>
        <v>0</v>
      </c>
      <c r="S119" s="86">
        <f t="shared" si="17"/>
        <v>0</v>
      </c>
    </row>
    <row r="120" ht="16.5" spans="1:19">
      <c r="A120" s="54">
        <v>44557</v>
      </c>
      <c r="B120" s="55">
        <f>SUMIFS(销售数据包!F:F,销售数据包!A:A,A120,销售数据包!C:C,Base!$F$2)+SUMIFS(销售数据包!F:F,销售数据包!A:A,A120,销售数据包!C:C,Base!$F$3)+SUMIFS(销售数据包!F:F,销售数据包!A:A,A120,销售数据包!C:C,Base!$F$4)</f>
        <v>0</v>
      </c>
      <c r="C120" s="56">
        <f>SUMIFS(销售数据包!K:K,销售数据包!A:A,A120,销售数据包!C:C,Base!$F$2)+SUMIFS(销售数据包!K:K,销售数据包!A:A,A120,销售数据包!C:C,Base!$F$3)+SUMIFS(销售数据包!K:K,销售数据包!A:A,A120,销售数据包!C:C,Base!$F$4)</f>
        <v>0</v>
      </c>
      <c r="D120" s="56">
        <f>SUMIFS(销售数据包!Q:Q,销售数据包!A:A,A120,销售数据包!C:C,Base!$F$2)+SUMIFS(销售数据包!Q:Q,销售数据包!A:A,A120,销售数据包!C:C,Base!$F$3)+SUMIFS(销售数据包!Q:Q,销售数据包!A:A,A120,销售数据包!C:C,Base!$F$4)</f>
        <v>0</v>
      </c>
      <c r="E120" s="57">
        <f t="shared" si="9"/>
        <v>0</v>
      </c>
      <c r="F120" s="57">
        <f t="shared" si="10"/>
        <v>0</v>
      </c>
      <c r="G120" s="56">
        <f>SUMIFS(销售数据包!O:O,销售数据包!A:A,A120)</f>
        <v>0</v>
      </c>
      <c r="H120" s="57">
        <f t="shared" si="11"/>
        <v>0</v>
      </c>
      <c r="I120" s="71">
        <f t="shared" si="12"/>
        <v>0</v>
      </c>
      <c r="J120" s="72" t="str">
        <f t="shared" si="13"/>
        <v>周1</v>
      </c>
      <c r="K120" s="73">
        <f>SUMIFS(广告数据包!H:H,广告数据包!A:A,A120,广告数据包!G:G,Base!$F$2)+SUMIFS(广告数据包!H:H,广告数据包!A:A,A120,广告数据包!G:G,Base!$F$3)+SUMIFS(广告数据包!H:H,广告数据包!A:A,A120,广告数据包!G:G,Base!$F$4)</f>
        <v>0</v>
      </c>
      <c r="L120" s="56">
        <f>SUMIFS(广告数据包!I:I,广告数据包!A:A,A120,广告数据包!G:G,Base!$F$2)+SUMIFS(广告数据包!I:I,广告数据包!A:A,A120,广告数据包!G:G,Base!$F$3)+SUMIFS(广告数据包!I:I,广告数据包!A:A,A120,广告数据包!G:G,Base!$F$4)</f>
        <v>0</v>
      </c>
      <c r="M120" s="57">
        <f t="shared" si="14"/>
        <v>0</v>
      </c>
      <c r="N120" s="74">
        <f t="shared" si="15"/>
        <v>0</v>
      </c>
      <c r="O120" s="75">
        <f>SUMIFS(广告数据包!P:P,广告数据包!A:A,A120,广告数据包!G:G,Base!$F$2)+SUMIFS(广告数据包!P:P,广告数据包!A:A,A120,广告数据包!G:G,Base!$F$3)+SUMIFS(广告数据包!P:P,广告数据包!A:A,A120,广告数据包!G:G,Base!$F$4)</f>
        <v>0</v>
      </c>
      <c r="P120" s="56">
        <f>SUMIFS(广告数据包!M:M,广告数据包!A:A,A120,广告数据包!G:G,Base!$F$2)+SUMIFS(广告数据包!M:M,广告数据包!A:A,A120,广告数据包!G:G,Base!$F$3)+SUMIFS(广告数据包!M:M,广告数据包!A:A,A120,广告数据包!G:G,Base!$F$4)</f>
        <v>0</v>
      </c>
      <c r="Q120" s="57">
        <f t="shared" si="16"/>
        <v>0</v>
      </c>
      <c r="R120" s="56">
        <f>SUMIFS(广告数据包!L:L,广告数据包!A:A,A120,广告数据包!G:G,Base!$F$2)+SUMIFS(广告数据包!L:L,广告数据包!A:A,A120,广告数据包!G:G,Base!$F$3)+SUMIFS(广告数据包!L:L,广告数据包!A:A,A120,广告数据包!G:G,Base!$F$4)</f>
        <v>0</v>
      </c>
      <c r="S120" s="86">
        <f t="shared" si="17"/>
        <v>0</v>
      </c>
    </row>
    <row r="121" ht="16.5" spans="1:19">
      <c r="A121" s="54">
        <v>44558</v>
      </c>
      <c r="B121" s="55">
        <f>SUMIFS(销售数据包!F:F,销售数据包!A:A,A121,销售数据包!C:C,Base!$F$2)+SUMIFS(销售数据包!F:F,销售数据包!A:A,A121,销售数据包!C:C,Base!$F$3)+SUMIFS(销售数据包!F:F,销售数据包!A:A,A121,销售数据包!C:C,Base!$F$4)</f>
        <v>0</v>
      </c>
      <c r="C121" s="56">
        <f>SUMIFS(销售数据包!K:K,销售数据包!A:A,A121,销售数据包!C:C,Base!$F$2)+SUMIFS(销售数据包!K:K,销售数据包!A:A,A121,销售数据包!C:C,Base!$F$3)+SUMIFS(销售数据包!K:K,销售数据包!A:A,A121,销售数据包!C:C,Base!$F$4)</f>
        <v>0</v>
      </c>
      <c r="D121" s="56">
        <f>SUMIFS(销售数据包!Q:Q,销售数据包!A:A,A121,销售数据包!C:C,Base!$F$2)+SUMIFS(销售数据包!Q:Q,销售数据包!A:A,A121,销售数据包!C:C,Base!$F$3)+SUMIFS(销售数据包!Q:Q,销售数据包!A:A,A121,销售数据包!C:C,Base!$F$4)</f>
        <v>0</v>
      </c>
      <c r="E121" s="57">
        <f t="shared" si="9"/>
        <v>0</v>
      </c>
      <c r="F121" s="57">
        <f t="shared" si="10"/>
        <v>0</v>
      </c>
      <c r="G121" s="56">
        <f>SUMIFS(销售数据包!O:O,销售数据包!A:A,A121)</f>
        <v>0</v>
      </c>
      <c r="H121" s="57">
        <f t="shared" si="11"/>
        <v>0</v>
      </c>
      <c r="I121" s="71">
        <f t="shared" si="12"/>
        <v>0</v>
      </c>
      <c r="J121" s="72" t="str">
        <f t="shared" si="13"/>
        <v>周2</v>
      </c>
      <c r="K121" s="73">
        <f>SUMIFS(广告数据包!H:H,广告数据包!A:A,A121,广告数据包!G:G,Base!$F$2)+SUMIFS(广告数据包!H:H,广告数据包!A:A,A121,广告数据包!G:G,Base!$F$3)+SUMIFS(广告数据包!H:H,广告数据包!A:A,A121,广告数据包!G:G,Base!$F$4)</f>
        <v>0</v>
      </c>
      <c r="L121" s="56">
        <f>SUMIFS(广告数据包!I:I,广告数据包!A:A,A121,广告数据包!G:G,Base!$F$2)+SUMIFS(广告数据包!I:I,广告数据包!A:A,A121,广告数据包!G:G,Base!$F$3)+SUMIFS(广告数据包!I:I,广告数据包!A:A,A121,广告数据包!G:G,Base!$F$4)</f>
        <v>0</v>
      </c>
      <c r="M121" s="57">
        <f t="shared" si="14"/>
        <v>0</v>
      </c>
      <c r="N121" s="74">
        <f t="shared" si="15"/>
        <v>0</v>
      </c>
      <c r="O121" s="75">
        <f>SUMIFS(广告数据包!P:P,广告数据包!A:A,A121,广告数据包!G:G,Base!$F$2)+SUMIFS(广告数据包!P:P,广告数据包!A:A,A121,广告数据包!G:G,Base!$F$3)+SUMIFS(广告数据包!P:P,广告数据包!A:A,A121,广告数据包!G:G,Base!$F$4)</f>
        <v>0</v>
      </c>
      <c r="P121" s="56">
        <f>SUMIFS(广告数据包!M:M,广告数据包!A:A,A121,广告数据包!G:G,Base!$F$2)+SUMIFS(广告数据包!M:M,广告数据包!A:A,A121,广告数据包!G:G,Base!$F$3)+SUMIFS(广告数据包!M:M,广告数据包!A:A,A121,广告数据包!G:G,Base!$F$4)</f>
        <v>0</v>
      </c>
      <c r="Q121" s="57">
        <f t="shared" si="16"/>
        <v>0</v>
      </c>
      <c r="R121" s="56">
        <f>SUMIFS(广告数据包!L:L,广告数据包!A:A,A121,广告数据包!G:G,Base!$F$2)+SUMIFS(广告数据包!L:L,广告数据包!A:A,A121,广告数据包!G:G,Base!$F$3)+SUMIFS(广告数据包!L:L,广告数据包!A:A,A121,广告数据包!G:G,Base!$F$4)</f>
        <v>0</v>
      </c>
      <c r="S121" s="86">
        <f t="shared" si="17"/>
        <v>0</v>
      </c>
    </row>
    <row r="122" ht="16.5" spans="1:19">
      <c r="A122" s="54">
        <v>44559</v>
      </c>
      <c r="B122" s="55">
        <f>SUMIFS(销售数据包!F:F,销售数据包!A:A,A122,销售数据包!C:C,Base!$F$2)+SUMIFS(销售数据包!F:F,销售数据包!A:A,A122,销售数据包!C:C,Base!$F$3)+SUMIFS(销售数据包!F:F,销售数据包!A:A,A122,销售数据包!C:C,Base!$F$4)</f>
        <v>0</v>
      </c>
      <c r="C122" s="56">
        <f>SUMIFS(销售数据包!K:K,销售数据包!A:A,A122,销售数据包!C:C,Base!$F$2)+SUMIFS(销售数据包!K:K,销售数据包!A:A,A122,销售数据包!C:C,Base!$F$3)+SUMIFS(销售数据包!K:K,销售数据包!A:A,A122,销售数据包!C:C,Base!$F$4)</f>
        <v>0</v>
      </c>
      <c r="D122" s="56">
        <f>SUMIFS(销售数据包!Q:Q,销售数据包!A:A,A122,销售数据包!C:C,Base!$F$2)+SUMIFS(销售数据包!Q:Q,销售数据包!A:A,A122,销售数据包!C:C,Base!$F$3)+SUMIFS(销售数据包!Q:Q,销售数据包!A:A,A122,销售数据包!C:C,Base!$F$4)</f>
        <v>0</v>
      </c>
      <c r="E122" s="57">
        <f t="shared" si="9"/>
        <v>0</v>
      </c>
      <c r="F122" s="57">
        <f t="shared" si="10"/>
        <v>0</v>
      </c>
      <c r="G122" s="56">
        <f>SUMIFS(销售数据包!O:O,销售数据包!A:A,A122)</f>
        <v>0</v>
      </c>
      <c r="H122" s="57">
        <f t="shared" si="11"/>
        <v>0</v>
      </c>
      <c r="I122" s="71">
        <f t="shared" si="12"/>
        <v>0</v>
      </c>
      <c r="J122" s="72" t="str">
        <f t="shared" si="13"/>
        <v>周3</v>
      </c>
      <c r="K122" s="73">
        <f>SUMIFS(广告数据包!H:H,广告数据包!A:A,A122,广告数据包!G:G,Base!$F$2)+SUMIFS(广告数据包!H:H,广告数据包!A:A,A122,广告数据包!G:G,Base!$F$3)+SUMIFS(广告数据包!H:H,广告数据包!A:A,A122,广告数据包!G:G,Base!$F$4)</f>
        <v>0</v>
      </c>
      <c r="L122" s="56">
        <f>SUMIFS(广告数据包!I:I,广告数据包!A:A,A122,广告数据包!G:G,Base!$F$2)+SUMIFS(广告数据包!I:I,广告数据包!A:A,A122,广告数据包!G:G,Base!$F$3)+SUMIFS(广告数据包!I:I,广告数据包!A:A,A122,广告数据包!G:G,Base!$F$4)</f>
        <v>0</v>
      </c>
      <c r="M122" s="57">
        <f t="shared" si="14"/>
        <v>0</v>
      </c>
      <c r="N122" s="74">
        <f t="shared" si="15"/>
        <v>0</v>
      </c>
      <c r="O122" s="75">
        <f>SUMIFS(广告数据包!P:P,广告数据包!A:A,A122,广告数据包!G:G,Base!$F$2)+SUMIFS(广告数据包!P:P,广告数据包!A:A,A122,广告数据包!G:G,Base!$F$3)+SUMIFS(广告数据包!P:P,广告数据包!A:A,A122,广告数据包!G:G,Base!$F$4)</f>
        <v>0</v>
      </c>
      <c r="P122" s="56">
        <f>SUMIFS(广告数据包!M:M,广告数据包!A:A,A122,广告数据包!G:G,Base!$F$2)+SUMIFS(广告数据包!M:M,广告数据包!A:A,A122,广告数据包!G:G,Base!$F$3)+SUMIFS(广告数据包!M:M,广告数据包!A:A,A122,广告数据包!G:G,Base!$F$4)</f>
        <v>0</v>
      </c>
      <c r="Q122" s="57">
        <f t="shared" si="16"/>
        <v>0</v>
      </c>
      <c r="R122" s="56">
        <f>SUMIFS(广告数据包!L:L,广告数据包!A:A,A122,广告数据包!G:G,Base!$F$2)+SUMIFS(广告数据包!L:L,广告数据包!A:A,A122,广告数据包!G:G,Base!$F$3)+SUMIFS(广告数据包!L:L,广告数据包!A:A,A122,广告数据包!G:G,Base!$F$4)</f>
        <v>0</v>
      </c>
      <c r="S122" s="86">
        <f t="shared" si="17"/>
        <v>0</v>
      </c>
    </row>
    <row r="123" ht="16.5" spans="1:19">
      <c r="A123" s="54">
        <v>44560</v>
      </c>
      <c r="B123" s="55">
        <f>SUMIFS(销售数据包!F:F,销售数据包!A:A,A123,销售数据包!C:C,Base!$F$2)+SUMIFS(销售数据包!F:F,销售数据包!A:A,A123,销售数据包!C:C,Base!$F$3)+SUMIFS(销售数据包!F:F,销售数据包!A:A,A123,销售数据包!C:C,Base!$F$4)</f>
        <v>0</v>
      </c>
      <c r="C123" s="56">
        <f>SUMIFS(销售数据包!K:K,销售数据包!A:A,A123,销售数据包!C:C,Base!$F$2)+SUMIFS(销售数据包!K:K,销售数据包!A:A,A123,销售数据包!C:C,Base!$F$3)+SUMIFS(销售数据包!K:K,销售数据包!A:A,A123,销售数据包!C:C,Base!$F$4)</f>
        <v>0</v>
      </c>
      <c r="D123" s="56">
        <f>SUMIFS(销售数据包!Q:Q,销售数据包!A:A,A123,销售数据包!C:C,Base!$F$2)+SUMIFS(销售数据包!Q:Q,销售数据包!A:A,A123,销售数据包!C:C,Base!$F$3)+SUMIFS(销售数据包!Q:Q,销售数据包!A:A,A123,销售数据包!C:C,Base!$F$4)</f>
        <v>0</v>
      </c>
      <c r="E123" s="57">
        <f t="shared" si="9"/>
        <v>0</v>
      </c>
      <c r="F123" s="57">
        <f t="shared" si="10"/>
        <v>0</v>
      </c>
      <c r="G123" s="56">
        <f>SUMIFS(销售数据包!O:O,销售数据包!A:A,A123)</f>
        <v>0</v>
      </c>
      <c r="H123" s="57">
        <f t="shared" si="11"/>
        <v>0</v>
      </c>
      <c r="I123" s="71">
        <f t="shared" si="12"/>
        <v>0</v>
      </c>
      <c r="J123" s="72" t="str">
        <f t="shared" si="13"/>
        <v>周4</v>
      </c>
      <c r="K123" s="73">
        <f>SUMIFS(广告数据包!H:H,广告数据包!A:A,A123,广告数据包!G:G,Base!$F$2)+SUMIFS(广告数据包!H:H,广告数据包!A:A,A123,广告数据包!G:G,Base!$F$3)+SUMIFS(广告数据包!H:H,广告数据包!A:A,A123,广告数据包!G:G,Base!$F$4)</f>
        <v>0</v>
      </c>
      <c r="L123" s="56">
        <f>SUMIFS(广告数据包!I:I,广告数据包!A:A,A123,广告数据包!G:G,Base!$F$2)+SUMIFS(广告数据包!I:I,广告数据包!A:A,A123,广告数据包!G:G,Base!$F$3)+SUMIFS(广告数据包!I:I,广告数据包!A:A,A123,广告数据包!G:G,Base!$F$4)</f>
        <v>0</v>
      </c>
      <c r="M123" s="57">
        <f t="shared" si="14"/>
        <v>0</v>
      </c>
      <c r="N123" s="74">
        <f t="shared" si="15"/>
        <v>0</v>
      </c>
      <c r="O123" s="75">
        <f>SUMIFS(广告数据包!P:P,广告数据包!A:A,A123,广告数据包!G:G,Base!$F$2)+SUMIFS(广告数据包!P:P,广告数据包!A:A,A123,广告数据包!G:G,Base!$F$3)+SUMIFS(广告数据包!P:P,广告数据包!A:A,A123,广告数据包!G:G,Base!$F$4)</f>
        <v>0</v>
      </c>
      <c r="P123" s="56">
        <f>SUMIFS(广告数据包!M:M,广告数据包!A:A,A123,广告数据包!G:G,Base!$F$2)+SUMIFS(广告数据包!M:M,广告数据包!A:A,A123,广告数据包!G:G,Base!$F$3)+SUMIFS(广告数据包!M:M,广告数据包!A:A,A123,广告数据包!G:G,Base!$F$4)</f>
        <v>0</v>
      </c>
      <c r="Q123" s="57">
        <f t="shared" si="16"/>
        <v>0</v>
      </c>
      <c r="R123" s="56">
        <f>SUMIFS(广告数据包!L:L,广告数据包!A:A,A123,广告数据包!G:G,Base!$F$2)+SUMIFS(广告数据包!L:L,广告数据包!A:A,A123,广告数据包!G:G,Base!$F$3)+SUMIFS(广告数据包!L:L,广告数据包!A:A,A123,广告数据包!G:G,Base!$F$4)</f>
        <v>0</v>
      </c>
      <c r="S123" s="86">
        <f t="shared" si="17"/>
        <v>0</v>
      </c>
    </row>
    <row r="124" ht="16.5" spans="1:19">
      <c r="A124" s="54">
        <v>44561</v>
      </c>
      <c r="B124" s="55">
        <f>SUMIFS(销售数据包!F:F,销售数据包!A:A,A124,销售数据包!C:C,Base!$F$2)+SUMIFS(销售数据包!F:F,销售数据包!A:A,A124,销售数据包!C:C,Base!$F$3)+SUMIFS(销售数据包!F:F,销售数据包!A:A,A124,销售数据包!C:C,Base!$F$4)</f>
        <v>0</v>
      </c>
      <c r="C124" s="56">
        <f>SUMIFS(销售数据包!K:K,销售数据包!A:A,A124,销售数据包!C:C,Base!$F$2)+SUMIFS(销售数据包!K:K,销售数据包!A:A,A124,销售数据包!C:C,Base!$F$3)+SUMIFS(销售数据包!K:K,销售数据包!A:A,A124,销售数据包!C:C,Base!$F$4)</f>
        <v>0</v>
      </c>
      <c r="D124" s="56">
        <f>SUMIFS(销售数据包!Q:Q,销售数据包!A:A,A124,销售数据包!C:C,Base!$F$2)+SUMIFS(销售数据包!Q:Q,销售数据包!A:A,A124,销售数据包!C:C,Base!$F$3)+SUMIFS(销售数据包!Q:Q,销售数据包!A:A,A124,销售数据包!C:C,Base!$F$4)</f>
        <v>0</v>
      </c>
      <c r="E124" s="57">
        <f t="shared" si="9"/>
        <v>0</v>
      </c>
      <c r="F124" s="57">
        <f t="shared" si="10"/>
        <v>0</v>
      </c>
      <c r="G124" s="56">
        <f>SUMIFS(销售数据包!O:O,销售数据包!A:A,A124)</f>
        <v>0</v>
      </c>
      <c r="H124" s="57">
        <f t="shared" si="11"/>
        <v>0</v>
      </c>
      <c r="I124" s="71">
        <f t="shared" si="12"/>
        <v>0</v>
      </c>
      <c r="J124" s="72" t="str">
        <f t="shared" si="13"/>
        <v>周5</v>
      </c>
      <c r="K124" s="73">
        <f>SUMIFS(广告数据包!H:H,广告数据包!A:A,A124,广告数据包!G:G,Base!$F$2)+SUMIFS(广告数据包!H:H,广告数据包!A:A,A124,广告数据包!G:G,Base!$F$3)+SUMIFS(广告数据包!H:H,广告数据包!A:A,A124,广告数据包!G:G,Base!$F$4)</f>
        <v>0</v>
      </c>
      <c r="L124" s="56">
        <f>SUMIFS(广告数据包!I:I,广告数据包!A:A,A124,广告数据包!G:G,Base!$F$2)+SUMIFS(广告数据包!I:I,广告数据包!A:A,A124,广告数据包!G:G,Base!$F$3)+SUMIFS(广告数据包!I:I,广告数据包!A:A,A124,广告数据包!G:G,Base!$F$4)</f>
        <v>0</v>
      </c>
      <c r="M124" s="57">
        <f t="shared" si="14"/>
        <v>0</v>
      </c>
      <c r="N124" s="74">
        <f t="shared" si="15"/>
        <v>0</v>
      </c>
      <c r="O124" s="75">
        <f>SUMIFS(广告数据包!P:P,广告数据包!A:A,A124,广告数据包!G:G,Base!$F$2)+SUMIFS(广告数据包!P:P,广告数据包!A:A,A124,广告数据包!G:G,Base!$F$3)+SUMIFS(广告数据包!P:P,广告数据包!A:A,A124,广告数据包!G:G,Base!$F$4)</f>
        <v>0</v>
      </c>
      <c r="P124" s="56">
        <f>SUMIFS(广告数据包!M:M,广告数据包!A:A,A124,广告数据包!G:G,Base!$F$2)+SUMIFS(广告数据包!M:M,广告数据包!A:A,A124,广告数据包!G:G,Base!$F$3)+SUMIFS(广告数据包!M:M,广告数据包!A:A,A124,广告数据包!G:G,Base!$F$4)</f>
        <v>0</v>
      </c>
      <c r="Q124" s="57">
        <f t="shared" si="16"/>
        <v>0</v>
      </c>
      <c r="R124" s="56">
        <f>SUMIFS(广告数据包!L:L,广告数据包!A:A,A124,广告数据包!G:G,Base!$F$2)+SUMIFS(广告数据包!L:L,广告数据包!A:A,A124,广告数据包!G:G,Base!$F$3)+SUMIFS(广告数据包!L:L,广告数据包!A:A,A124,广告数据包!G:G,Base!$F$4)</f>
        <v>0</v>
      </c>
      <c r="S124" s="86">
        <f t="shared" si="17"/>
        <v>0</v>
      </c>
    </row>
    <row r="125" ht="16.5" spans="1:19">
      <c r="A125" s="54">
        <v>44562</v>
      </c>
      <c r="B125" s="55">
        <f>SUMIFS(销售数据包!F:F,销售数据包!A:A,A125,销售数据包!C:C,Base!$F$2)+SUMIFS(销售数据包!F:F,销售数据包!A:A,A125,销售数据包!C:C,Base!$F$3)+SUMIFS(销售数据包!F:F,销售数据包!A:A,A125,销售数据包!C:C,Base!$F$4)</f>
        <v>0</v>
      </c>
      <c r="C125" s="56">
        <f>SUMIFS(销售数据包!K:K,销售数据包!A:A,A125,销售数据包!C:C,Base!$F$2)+SUMIFS(销售数据包!K:K,销售数据包!A:A,A125,销售数据包!C:C,Base!$F$3)+SUMIFS(销售数据包!K:K,销售数据包!A:A,A125,销售数据包!C:C,Base!$F$4)</f>
        <v>0</v>
      </c>
      <c r="D125" s="56">
        <f>SUMIFS(销售数据包!Q:Q,销售数据包!A:A,A125,销售数据包!C:C,Base!$F$2)+SUMIFS(销售数据包!Q:Q,销售数据包!A:A,A125,销售数据包!C:C,Base!$F$3)+SUMIFS(销售数据包!Q:Q,销售数据包!A:A,A125,销售数据包!C:C,Base!$F$4)</f>
        <v>0</v>
      </c>
      <c r="E125" s="57">
        <f t="shared" si="9"/>
        <v>0</v>
      </c>
      <c r="F125" s="57">
        <f t="shared" si="10"/>
        <v>0</v>
      </c>
      <c r="G125" s="56">
        <f>SUMIFS(销售数据包!O:O,销售数据包!A:A,A125)</f>
        <v>0</v>
      </c>
      <c r="H125" s="57">
        <f t="shared" si="11"/>
        <v>0</v>
      </c>
      <c r="I125" s="71">
        <f t="shared" si="12"/>
        <v>0</v>
      </c>
      <c r="J125" s="72" t="str">
        <f t="shared" si="13"/>
        <v>周6</v>
      </c>
      <c r="K125" s="73">
        <f>SUMIFS(广告数据包!H:H,广告数据包!A:A,A125,广告数据包!G:G,Base!$F$2)+SUMIFS(广告数据包!H:H,广告数据包!A:A,A125,广告数据包!G:G,Base!$F$3)+SUMIFS(广告数据包!H:H,广告数据包!A:A,A125,广告数据包!G:G,Base!$F$4)</f>
        <v>0</v>
      </c>
      <c r="L125" s="56">
        <f>SUMIFS(广告数据包!I:I,广告数据包!A:A,A125,广告数据包!G:G,Base!$F$2)+SUMIFS(广告数据包!I:I,广告数据包!A:A,A125,广告数据包!G:G,Base!$F$3)+SUMIFS(广告数据包!I:I,广告数据包!A:A,A125,广告数据包!G:G,Base!$F$4)</f>
        <v>0</v>
      </c>
      <c r="M125" s="57">
        <f t="shared" si="14"/>
        <v>0</v>
      </c>
      <c r="N125" s="74">
        <f t="shared" si="15"/>
        <v>0</v>
      </c>
      <c r="O125" s="75">
        <f>SUMIFS(广告数据包!P:P,广告数据包!A:A,A125,广告数据包!G:G,Base!$F$2)+SUMIFS(广告数据包!P:P,广告数据包!A:A,A125,广告数据包!G:G,Base!$F$3)+SUMIFS(广告数据包!P:P,广告数据包!A:A,A125,广告数据包!G:G,Base!$F$4)</f>
        <v>0</v>
      </c>
      <c r="P125" s="56">
        <f>SUMIFS(广告数据包!M:M,广告数据包!A:A,A125,广告数据包!G:G,Base!$F$2)+SUMIFS(广告数据包!M:M,广告数据包!A:A,A125,广告数据包!G:G,Base!$F$3)+SUMIFS(广告数据包!M:M,广告数据包!A:A,A125,广告数据包!G:G,Base!$F$4)</f>
        <v>0</v>
      </c>
      <c r="Q125" s="57">
        <f t="shared" si="16"/>
        <v>0</v>
      </c>
      <c r="R125" s="56">
        <f>SUMIFS(广告数据包!L:L,广告数据包!A:A,A125,广告数据包!G:G,Base!$F$2)+SUMIFS(广告数据包!L:L,广告数据包!A:A,A125,广告数据包!G:G,Base!$F$3)+SUMIFS(广告数据包!L:L,广告数据包!A:A,A125,广告数据包!G:G,Base!$F$4)</f>
        <v>0</v>
      </c>
      <c r="S125" s="86">
        <f t="shared" si="17"/>
        <v>0</v>
      </c>
    </row>
    <row r="126" ht="16.5" spans="1:19">
      <c r="A126" s="54">
        <v>44563</v>
      </c>
      <c r="B126" s="55">
        <f>SUMIFS(销售数据包!F:F,销售数据包!A:A,A126,销售数据包!C:C,Base!$F$2)+SUMIFS(销售数据包!F:F,销售数据包!A:A,A126,销售数据包!C:C,Base!$F$3)+SUMIFS(销售数据包!F:F,销售数据包!A:A,A126,销售数据包!C:C,Base!$F$4)</f>
        <v>0</v>
      </c>
      <c r="C126" s="56">
        <f>SUMIFS(销售数据包!K:K,销售数据包!A:A,A126,销售数据包!C:C,Base!$F$2)+SUMIFS(销售数据包!K:K,销售数据包!A:A,A126,销售数据包!C:C,Base!$F$3)+SUMIFS(销售数据包!K:K,销售数据包!A:A,A126,销售数据包!C:C,Base!$F$4)</f>
        <v>0</v>
      </c>
      <c r="D126" s="56">
        <f>SUMIFS(销售数据包!Q:Q,销售数据包!A:A,A126,销售数据包!C:C,Base!$F$2)+SUMIFS(销售数据包!Q:Q,销售数据包!A:A,A126,销售数据包!C:C,Base!$F$3)+SUMIFS(销售数据包!Q:Q,销售数据包!A:A,A126,销售数据包!C:C,Base!$F$4)</f>
        <v>0</v>
      </c>
      <c r="E126" s="57">
        <f t="shared" si="9"/>
        <v>0</v>
      </c>
      <c r="F126" s="57">
        <f t="shared" si="10"/>
        <v>0</v>
      </c>
      <c r="G126" s="56">
        <f>SUMIFS(销售数据包!O:O,销售数据包!A:A,A126)</f>
        <v>0</v>
      </c>
      <c r="H126" s="57">
        <f t="shared" si="11"/>
        <v>0</v>
      </c>
      <c r="I126" s="71">
        <f t="shared" si="12"/>
        <v>0</v>
      </c>
      <c r="J126" s="72" t="str">
        <f t="shared" si="13"/>
        <v>周7</v>
      </c>
      <c r="K126" s="73">
        <f>SUMIFS(广告数据包!H:H,广告数据包!A:A,A126,广告数据包!G:G,Base!$F$2)+SUMIFS(广告数据包!H:H,广告数据包!A:A,A126,广告数据包!G:G,Base!$F$3)+SUMIFS(广告数据包!H:H,广告数据包!A:A,A126,广告数据包!G:G,Base!$F$4)</f>
        <v>0</v>
      </c>
      <c r="L126" s="56">
        <f>SUMIFS(广告数据包!I:I,广告数据包!A:A,A126,广告数据包!G:G,Base!$F$2)+SUMIFS(广告数据包!I:I,广告数据包!A:A,A126,广告数据包!G:G,Base!$F$3)+SUMIFS(广告数据包!I:I,广告数据包!A:A,A126,广告数据包!G:G,Base!$F$4)</f>
        <v>0</v>
      </c>
      <c r="M126" s="57">
        <f t="shared" si="14"/>
        <v>0</v>
      </c>
      <c r="N126" s="74">
        <f t="shared" si="15"/>
        <v>0</v>
      </c>
      <c r="O126" s="75">
        <f>SUMIFS(广告数据包!P:P,广告数据包!A:A,A126,广告数据包!G:G,Base!$F$2)+SUMIFS(广告数据包!P:P,广告数据包!A:A,A126,广告数据包!G:G,Base!$F$3)+SUMIFS(广告数据包!P:P,广告数据包!A:A,A126,广告数据包!G:G,Base!$F$4)</f>
        <v>0</v>
      </c>
      <c r="P126" s="56">
        <f>SUMIFS(广告数据包!M:M,广告数据包!A:A,A126,广告数据包!G:G,Base!$F$2)+SUMIFS(广告数据包!M:M,广告数据包!A:A,A126,广告数据包!G:G,Base!$F$3)+SUMIFS(广告数据包!M:M,广告数据包!A:A,A126,广告数据包!G:G,Base!$F$4)</f>
        <v>0</v>
      </c>
      <c r="Q126" s="57">
        <f t="shared" si="16"/>
        <v>0</v>
      </c>
      <c r="R126" s="56">
        <f>SUMIFS(广告数据包!L:L,广告数据包!A:A,A126,广告数据包!G:G,Base!$F$2)+SUMIFS(广告数据包!L:L,广告数据包!A:A,A126,广告数据包!G:G,Base!$F$3)+SUMIFS(广告数据包!L:L,广告数据包!A:A,A126,广告数据包!G:G,Base!$F$4)</f>
        <v>0</v>
      </c>
      <c r="S126" s="86">
        <f t="shared" si="17"/>
        <v>0</v>
      </c>
    </row>
    <row r="127" ht="16.5" spans="1:19">
      <c r="A127" s="54">
        <v>44564</v>
      </c>
      <c r="B127" s="55">
        <f>SUMIFS(销售数据包!F:F,销售数据包!A:A,A127,销售数据包!C:C,Base!$F$2)+SUMIFS(销售数据包!F:F,销售数据包!A:A,A127,销售数据包!C:C,Base!$F$3)+SUMIFS(销售数据包!F:F,销售数据包!A:A,A127,销售数据包!C:C,Base!$F$4)</f>
        <v>0</v>
      </c>
      <c r="C127" s="56">
        <f>SUMIFS(销售数据包!K:K,销售数据包!A:A,A127,销售数据包!C:C,Base!$F$2)+SUMIFS(销售数据包!K:K,销售数据包!A:A,A127,销售数据包!C:C,Base!$F$3)+SUMIFS(销售数据包!K:K,销售数据包!A:A,A127,销售数据包!C:C,Base!$F$4)</f>
        <v>0</v>
      </c>
      <c r="D127" s="56">
        <f>SUMIFS(销售数据包!Q:Q,销售数据包!A:A,A127,销售数据包!C:C,Base!$F$2)+SUMIFS(销售数据包!Q:Q,销售数据包!A:A,A127,销售数据包!C:C,Base!$F$3)+SUMIFS(销售数据包!Q:Q,销售数据包!A:A,A127,销售数据包!C:C,Base!$F$4)</f>
        <v>0</v>
      </c>
      <c r="E127" s="57">
        <f t="shared" ref="E127:E145" si="18">IFERROR(D127/B127,0)</f>
        <v>0</v>
      </c>
      <c r="F127" s="57">
        <f t="shared" ref="F127:F145" si="19">IFERROR(C127/B127,0)</f>
        <v>0</v>
      </c>
      <c r="G127" s="56">
        <f>SUMIFS(销售数据包!O:O,销售数据包!A:A,A127)</f>
        <v>0</v>
      </c>
      <c r="H127" s="57">
        <f t="shared" ref="H127:H145" si="20">IFERROR(R127/G127,0)</f>
        <v>0</v>
      </c>
      <c r="I127" s="71">
        <f t="shared" ref="I127:I145" si="21">IFERROR(P127/G127,0)</f>
        <v>0</v>
      </c>
      <c r="J127" s="72" t="str">
        <f t="shared" ref="J127:J145" si="22">"周"&amp;WEEKDAY(A127,2)</f>
        <v>周1</v>
      </c>
      <c r="K127" s="73">
        <f>SUMIFS(广告数据包!H:H,广告数据包!A:A,A127,广告数据包!G:G,Base!$F$2)+SUMIFS(广告数据包!H:H,广告数据包!A:A,A127,广告数据包!G:G,Base!$F$3)+SUMIFS(广告数据包!H:H,广告数据包!A:A,A127,广告数据包!G:G,Base!$F$4)</f>
        <v>0</v>
      </c>
      <c r="L127" s="56">
        <f>SUMIFS(广告数据包!I:I,广告数据包!A:A,A127,广告数据包!G:G,Base!$F$2)+SUMIFS(广告数据包!I:I,广告数据包!A:A,A127,广告数据包!G:G,Base!$F$3)+SUMIFS(广告数据包!I:I,广告数据包!A:A,A127,广告数据包!G:G,Base!$F$4)</f>
        <v>0</v>
      </c>
      <c r="M127" s="57">
        <f t="shared" ref="M127:M145" si="23">IFERROR(L127/K127,0)</f>
        <v>0</v>
      </c>
      <c r="N127" s="74">
        <f t="shared" ref="N127:N145" si="24">IFERROR(R127/L127,0)</f>
        <v>0</v>
      </c>
      <c r="O127" s="75">
        <f>SUMIFS(广告数据包!P:P,广告数据包!A:A,A127,广告数据包!G:G,Base!$F$2)+SUMIFS(广告数据包!P:P,广告数据包!A:A,A127,广告数据包!G:G,Base!$F$3)+SUMIFS(广告数据包!P:P,广告数据包!A:A,A127,广告数据包!G:G,Base!$F$4)</f>
        <v>0</v>
      </c>
      <c r="P127" s="56">
        <f>SUMIFS(广告数据包!M:M,广告数据包!A:A,A127,广告数据包!G:G,Base!$F$2)+SUMIFS(广告数据包!M:M,广告数据包!A:A,A127,广告数据包!G:G,Base!$F$3)+SUMIFS(广告数据包!M:M,广告数据包!A:A,A127,广告数据包!G:G,Base!$F$4)</f>
        <v>0</v>
      </c>
      <c r="Q127" s="57">
        <f t="shared" ref="Q127:Q145" si="25">IFERROR(O127/L127,0)</f>
        <v>0</v>
      </c>
      <c r="R127" s="56">
        <f>SUMIFS(广告数据包!L:L,广告数据包!A:A,A127,广告数据包!G:G,Base!$F$2)+SUMIFS(广告数据包!L:L,广告数据包!A:A,A127,广告数据包!G:G,Base!$F$3)+SUMIFS(广告数据包!L:L,广告数据包!A:A,A127,广告数据包!G:G,Base!$F$4)</f>
        <v>0</v>
      </c>
      <c r="S127" s="86">
        <f t="shared" ref="S127:S145" si="26">IFERROR(R127/P127,0)</f>
        <v>0</v>
      </c>
    </row>
    <row r="128" ht="16.5" spans="1:19">
      <c r="A128" s="54">
        <v>44565</v>
      </c>
      <c r="B128" s="55">
        <f>SUMIFS(销售数据包!F:F,销售数据包!A:A,A128,销售数据包!C:C,Base!$F$2)+SUMIFS(销售数据包!F:F,销售数据包!A:A,A128,销售数据包!C:C,Base!$F$3)+SUMIFS(销售数据包!F:F,销售数据包!A:A,A128,销售数据包!C:C,Base!$F$4)</f>
        <v>0</v>
      </c>
      <c r="C128" s="56">
        <f>SUMIFS(销售数据包!K:K,销售数据包!A:A,A128,销售数据包!C:C,Base!$F$2)+SUMIFS(销售数据包!K:K,销售数据包!A:A,A128,销售数据包!C:C,Base!$F$3)+SUMIFS(销售数据包!K:K,销售数据包!A:A,A128,销售数据包!C:C,Base!$F$4)</f>
        <v>0</v>
      </c>
      <c r="D128" s="56">
        <f>SUMIFS(销售数据包!Q:Q,销售数据包!A:A,A128,销售数据包!C:C,Base!$F$2)+SUMIFS(销售数据包!Q:Q,销售数据包!A:A,A128,销售数据包!C:C,Base!$F$3)+SUMIFS(销售数据包!Q:Q,销售数据包!A:A,A128,销售数据包!C:C,Base!$F$4)</f>
        <v>0</v>
      </c>
      <c r="E128" s="57">
        <f t="shared" si="18"/>
        <v>0</v>
      </c>
      <c r="F128" s="57">
        <f t="shared" si="19"/>
        <v>0</v>
      </c>
      <c r="G128" s="56">
        <f>SUMIFS(销售数据包!O:O,销售数据包!A:A,A128)</f>
        <v>0</v>
      </c>
      <c r="H128" s="57">
        <f t="shared" si="20"/>
        <v>0</v>
      </c>
      <c r="I128" s="71">
        <f t="shared" si="21"/>
        <v>0</v>
      </c>
      <c r="J128" s="72" t="str">
        <f t="shared" si="22"/>
        <v>周2</v>
      </c>
      <c r="K128" s="73">
        <f>SUMIFS(广告数据包!H:H,广告数据包!A:A,A128,广告数据包!G:G,Base!$F$2)+SUMIFS(广告数据包!H:H,广告数据包!A:A,A128,广告数据包!G:G,Base!$F$3)+SUMIFS(广告数据包!H:H,广告数据包!A:A,A128,广告数据包!G:G,Base!$F$4)</f>
        <v>0</v>
      </c>
      <c r="L128" s="56">
        <f>SUMIFS(广告数据包!I:I,广告数据包!A:A,A128,广告数据包!G:G,Base!$F$2)+SUMIFS(广告数据包!I:I,广告数据包!A:A,A128,广告数据包!G:G,Base!$F$3)+SUMIFS(广告数据包!I:I,广告数据包!A:A,A128,广告数据包!G:G,Base!$F$4)</f>
        <v>0</v>
      </c>
      <c r="M128" s="57">
        <f t="shared" si="23"/>
        <v>0</v>
      </c>
      <c r="N128" s="74">
        <f t="shared" si="24"/>
        <v>0</v>
      </c>
      <c r="O128" s="75">
        <f>SUMIFS(广告数据包!P:P,广告数据包!A:A,A128,广告数据包!G:G,Base!$F$2)+SUMIFS(广告数据包!P:P,广告数据包!A:A,A128,广告数据包!G:G,Base!$F$3)+SUMIFS(广告数据包!P:P,广告数据包!A:A,A128,广告数据包!G:G,Base!$F$4)</f>
        <v>0</v>
      </c>
      <c r="P128" s="56">
        <f>SUMIFS(广告数据包!M:M,广告数据包!A:A,A128,广告数据包!G:G,Base!$F$2)+SUMIFS(广告数据包!M:M,广告数据包!A:A,A128,广告数据包!G:G,Base!$F$3)+SUMIFS(广告数据包!M:M,广告数据包!A:A,A128,广告数据包!G:G,Base!$F$4)</f>
        <v>0</v>
      </c>
      <c r="Q128" s="57">
        <f t="shared" si="25"/>
        <v>0</v>
      </c>
      <c r="R128" s="56">
        <f>SUMIFS(广告数据包!L:L,广告数据包!A:A,A128,广告数据包!G:G,Base!$F$2)+SUMIFS(广告数据包!L:L,广告数据包!A:A,A128,广告数据包!G:G,Base!$F$3)+SUMIFS(广告数据包!L:L,广告数据包!A:A,A128,广告数据包!G:G,Base!$F$4)</f>
        <v>0</v>
      </c>
      <c r="S128" s="86">
        <f t="shared" si="26"/>
        <v>0</v>
      </c>
    </row>
    <row r="129" ht="16.5" spans="1:19">
      <c r="A129" s="54">
        <v>44566</v>
      </c>
      <c r="B129" s="55">
        <f>SUMIFS(销售数据包!F:F,销售数据包!A:A,A129,销售数据包!C:C,Base!$F$2)+SUMIFS(销售数据包!F:F,销售数据包!A:A,A129,销售数据包!C:C,Base!$F$3)+SUMIFS(销售数据包!F:F,销售数据包!A:A,A129,销售数据包!C:C,Base!$F$4)</f>
        <v>0</v>
      </c>
      <c r="C129" s="56">
        <f>SUMIFS(销售数据包!K:K,销售数据包!A:A,A129,销售数据包!C:C,Base!$F$2)+SUMIFS(销售数据包!K:K,销售数据包!A:A,A129,销售数据包!C:C,Base!$F$3)+SUMIFS(销售数据包!K:K,销售数据包!A:A,A129,销售数据包!C:C,Base!$F$4)</f>
        <v>0</v>
      </c>
      <c r="D129" s="56">
        <f>SUMIFS(销售数据包!Q:Q,销售数据包!A:A,A129,销售数据包!C:C,Base!$F$2)+SUMIFS(销售数据包!Q:Q,销售数据包!A:A,A129,销售数据包!C:C,Base!$F$3)+SUMIFS(销售数据包!Q:Q,销售数据包!A:A,A129,销售数据包!C:C,Base!$F$4)</f>
        <v>0</v>
      </c>
      <c r="E129" s="57">
        <f t="shared" si="18"/>
        <v>0</v>
      </c>
      <c r="F129" s="57">
        <f t="shared" si="19"/>
        <v>0</v>
      </c>
      <c r="G129" s="56">
        <f>SUMIFS(销售数据包!O:O,销售数据包!A:A,A129)</f>
        <v>0</v>
      </c>
      <c r="H129" s="57">
        <f t="shared" si="20"/>
        <v>0</v>
      </c>
      <c r="I129" s="71">
        <f t="shared" si="21"/>
        <v>0</v>
      </c>
      <c r="J129" s="72" t="str">
        <f t="shared" si="22"/>
        <v>周3</v>
      </c>
      <c r="K129" s="73">
        <f>SUMIFS(广告数据包!H:H,广告数据包!A:A,A129,广告数据包!G:G,Base!$F$2)+SUMIFS(广告数据包!H:H,广告数据包!A:A,A129,广告数据包!G:G,Base!$F$3)+SUMIFS(广告数据包!H:H,广告数据包!A:A,A129,广告数据包!G:G,Base!$F$4)</f>
        <v>0</v>
      </c>
      <c r="L129" s="56">
        <f>SUMIFS(广告数据包!I:I,广告数据包!A:A,A129,广告数据包!G:G,Base!$F$2)+SUMIFS(广告数据包!I:I,广告数据包!A:A,A129,广告数据包!G:G,Base!$F$3)+SUMIFS(广告数据包!I:I,广告数据包!A:A,A129,广告数据包!G:G,Base!$F$4)</f>
        <v>0</v>
      </c>
      <c r="M129" s="57">
        <f t="shared" si="23"/>
        <v>0</v>
      </c>
      <c r="N129" s="74">
        <f t="shared" si="24"/>
        <v>0</v>
      </c>
      <c r="O129" s="75">
        <f>SUMIFS(广告数据包!P:P,广告数据包!A:A,A129,广告数据包!G:G,Base!$F$2)+SUMIFS(广告数据包!P:P,广告数据包!A:A,A129,广告数据包!G:G,Base!$F$3)+SUMIFS(广告数据包!P:P,广告数据包!A:A,A129,广告数据包!G:G,Base!$F$4)</f>
        <v>0</v>
      </c>
      <c r="P129" s="56">
        <f>SUMIFS(广告数据包!M:M,广告数据包!A:A,A129,广告数据包!G:G,Base!$F$2)+SUMIFS(广告数据包!M:M,广告数据包!A:A,A129,广告数据包!G:G,Base!$F$3)+SUMIFS(广告数据包!M:M,广告数据包!A:A,A129,广告数据包!G:G,Base!$F$4)</f>
        <v>0</v>
      </c>
      <c r="Q129" s="57">
        <f t="shared" si="25"/>
        <v>0</v>
      </c>
      <c r="R129" s="56">
        <f>SUMIFS(广告数据包!L:L,广告数据包!A:A,A129,广告数据包!G:G,Base!$F$2)+SUMIFS(广告数据包!L:L,广告数据包!A:A,A129,广告数据包!G:G,Base!$F$3)+SUMIFS(广告数据包!L:L,广告数据包!A:A,A129,广告数据包!G:G,Base!$F$4)</f>
        <v>0</v>
      </c>
      <c r="S129" s="86">
        <f t="shared" si="26"/>
        <v>0</v>
      </c>
    </row>
    <row r="130" ht="16.5" spans="1:19">
      <c r="A130" s="54">
        <v>44567</v>
      </c>
      <c r="B130" s="55">
        <f>SUMIFS(销售数据包!F:F,销售数据包!A:A,A130,销售数据包!C:C,Base!$F$2)+SUMIFS(销售数据包!F:F,销售数据包!A:A,A130,销售数据包!C:C,Base!$F$3)+SUMIFS(销售数据包!F:F,销售数据包!A:A,A130,销售数据包!C:C,Base!$F$4)</f>
        <v>0</v>
      </c>
      <c r="C130" s="56">
        <f>SUMIFS(销售数据包!K:K,销售数据包!A:A,A130,销售数据包!C:C,Base!$F$2)+SUMIFS(销售数据包!K:K,销售数据包!A:A,A130,销售数据包!C:C,Base!$F$3)+SUMIFS(销售数据包!K:K,销售数据包!A:A,A130,销售数据包!C:C,Base!$F$4)</f>
        <v>0</v>
      </c>
      <c r="D130" s="56">
        <f>SUMIFS(销售数据包!Q:Q,销售数据包!A:A,A130,销售数据包!C:C,Base!$F$2)+SUMIFS(销售数据包!Q:Q,销售数据包!A:A,A130,销售数据包!C:C,Base!$F$3)+SUMIFS(销售数据包!Q:Q,销售数据包!A:A,A130,销售数据包!C:C,Base!$F$4)</f>
        <v>0</v>
      </c>
      <c r="E130" s="57">
        <f t="shared" si="18"/>
        <v>0</v>
      </c>
      <c r="F130" s="57">
        <f t="shared" si="19"/>
        <v>0</v>
      </c>
      <c r="G130" s="56">
        <f>SUMIFS(销售数据包!O:O,销售数据包!A:A,A130)</f>
        <v>0</v>
      </c>
      <c r="H130" s="57">
        <f t="shared" si="20"/>
        <v>0</v>
      </c>
      <c r="I130" s="71">
        <f t="shared" si="21"/>
        <v>0</v>
      </c>
      <c r="J130" s="72" t="str">
        <f t="shared" si="22"/>
        <v>周4</v>
      </c>
      <c r="K130" s="73">
        <f>SUMIFS(广告数据包!H:H,广告数据包!A:A,A130,广告数据包!G:G,Base!$F$2)+SUMIFS(广告数据包!H:H,广告数据包!A:A,A130,广告数据包!G:G,Base!$F$3)+SUMIFS(广告数据包!H:H,广告数据包!A:A,A130,广告数据包!G:G,Base!$F$4)</f>
        <v>0</v>
      </c>
      <c r="L130" s="56">
        <f>SUMIFS(广告数据包!I:I,广告数据包!A:A,A130,广告数据包!G:G,Base!$F$2)+SUMIFS(广告数据包!I:I,广告数据包!A:A,A130,广告数据包!G:G,Base!$F$3)+SUMIFS(广告数据包!I:I,广告数据包!A:A,A130,广告数据包!G:G,Base!$F$4)</f>
        <v>0</v>
      </c>
      <c r="M130" s="57">
        <f t="shared" si="23"/>
        <v>0</v>
      </c>
      <c r="N130" s="74">
        <f t="shared" si="24"/>
        <v>0</v>
      </c>
      <c r="O130" s="75">
        <f>SUMIFS(广告数据包!P:P,广告数据包!A:A,A130,广告数据包!G:G,Base!$F$2)+SUMIFS(广告数据包!P:P,广告数据包!A:A,A130,广告数据包!G:G,Base!$F$3)+SUMIFS(广告数据包!P:P,广告数据包!A:A,A130,广告数据包!G:G,Base!$F$4)</f>
        <v>0</v>
      </c>
      <c r="P130" s="56">
        <f>SUMIFS(广告数据包!M:M,广告数据包!A:A,A130,广告数据包!G:G,Base!$F$2)+SUMIFS(广告数据包!M:M,广告数据包!A:A,A130,广告数据包!G:G,Base!$F$3)+SUMIFS(广告数据包!M:M,广告数据包!A:A,A130,广告数据包!G:G,Base!$F$4)</f>
        <v>0</v>
      </c>
      <c r="Q130" s="57">
        <f t="shared" si="25"/>
        <v>0</v>
      </c>
      <c r="R130" s="56">
        <f>SUMIFS(广告数据包!L:L,广告数据包!A:A,A130,广告数据包!G:G,Base!$F$2)+SUMIFS(广告数据包!L:L,广告数据包!A:A,A130,广告数据包!G:G,Base!$F$3)+SUMIFS(广告数据包!L:L,广告数据包!A:A,A130,广告数据包!G:G,Base!$F$4)</f>
        <v>0</v>
      </c>
      <c r="S130" s="86">
        <f t="shared" si="26"/>
        <v>0</v>
      </c>
    </row>
    <row r="131" ht="16.5" spans="1:19">
      <c r="A131" s="54">
        <v>44568</v>
      </c>
      <c r="B131" s="55">
        <f>SUMIFS(销售数据包!F:F,销售数据包!A:A,A131,销售数据包!C:C,Base!$F$2)+SUMIFS(销售数据包!F:F,销售数据包!A:A,A131,销售数据包!C:C,Base!$F$3)+SUMIFS(销售数据包!F:F,销售数据包!A:A,A131,销售数据包!C:C,Base!$F$4)</f>
        <v>0</v>
      </c>
      <c r="C131" s="56">
        <f>SUMIFS(销售数据包!K:K,销售数据包!A:A,A131,销售数据包!C:C,Base!$F$2)+SUMIFS(销售数据包!K:K,销售数据包!A:A,A131,销售数据包!C:C,Base!$F$3)+SUMIFS(销售数据包!K:K,销售数据包!A:A,A131,销售数据包!C:C,Base!$F$4)</f>
        <v>0</v>
      </c>
      <c r="D131" s="56">
        <f>SUMIFS(销售数据包!Q:Q,销售数据包!A:A,A131,销售数据包!C:C,Base!$F$2)+SUMIFS(销售数据包!Q:Q,销售数据包!A:A,A131,销售数据包!C:C,Base!$F$3)+SUMIFS(销售数据包!Q:Q,销售数据包!A:A,A131,销售数据包!C:C,Base!$F$4)</f>
        <v>0</v>
      </c>
      <c r="E131" s="57">
        <f t="shared" si="18"/>
        <v>0</v>
      </c>
      <c r="F131" s="57">
        <f t="shared" si="19"/>
        <v>0</v>
      </c>
      <c r="G131" s="56">
        <f>SUMIFS(销售数据包!O:O,销售数据包!A:A,A131)</f>
        <v>0</v>
      </c>
      <c r="H131" s="57">
        <f t="shared" si="20"/>
        <v>0</v>
      </c>
      <c r="I131" s="71">
        <f t="shared" si="21"/>
        <v>0</v>
      </c>
      <c r="J131" s="72" t="str">
        <f t="shared" si="22"/>
        <v>周5</v>
      </c>
      <c r="K131" s="73">
        <f>SUMIFS(广告数据包!H:H,广告数据包!A:A,A131,广告数据包!G:G,Base!$F$2)+SUMIFS(广告数据包!H:H,广告数据包!A:A,A131,广告数据包!G:G,Base!$F$3)+SUMIFS(广告数据包!H:H,广告数据包!A:A,A131,广告数据包!G:G,Base!$F$4)</f>
        <v>0</v>
      </c>
      <c r="L131" s="56">
        <f>SUMIFS(广告数据包!I:I,广告数据包!A:A,A131,广告数据包!G:G,Base!$F$2)+SUMIFS(广告数据包!I:I,广告数据包!A:A,A131,广告数据包!G:G,Base!$F$3)+SUMIFS(广告数据包!I:I,广告数据包!A:A,A131,广告数据包!G:G,Base!$F$4)</f>
        <v>0</v>
      </c>
      <c r="M131" s="57">
        <f t="shared" si="23"/>
        <v>0</v>
      </c>
      <c r="N131" s="74">
        <f t="shared" si="24"/>
        <v>0</v>
      </c>
      <c r="O131" s="75">
        <f>SUMIFS(广告数据包!P:P,广告数据包!A:A,A131,广告数据包!G:G,Base!$F$2)+SUMIFS(广告数据包!P:P,广告数据包!A:A,A131,广告数据包!G:G,Base!$F$3)+SUMIFS(广告数据包!P:P,广告数据包!A:A,A131,广告数据包!G:G,Base!$F$4)</f>
        <v>0</v>
      </c>
      <c r="P131" s="56">
        <f>SUMIFS(广告数据包!M:M,广告数据包!A:A,A131,广告数据包!G:G,Base!$F$2)+SUMIFS(广告数据包!M:M,广告数据包!A:A,A131,广告数据包!G:G,Base!$F$3)+SUMIFS(广告数据包!M:M,广告数据包!A:A,A131,广告数据包!G:G,Base!$F$4)</f>
        <v>0</v>
      </c>
      <c r="Q131" s="57">
        <f t="shared" si="25"/>
        <v>0</v>
      </c>
      <c r="R131" s="56">
        <f>SUMIFS(广告数据包!L:L,广告数据包!A:A,A131,广告数据包!G:G,Base!$F$2)+SUMIFS(广告数据包!L:L,广告数据包!A:A,A131,广告数据包!G:G,Base!$F$3)+SUMIFS(广告数据包!L:L,广告数据包!A:A,A131,广告数据包!G:G,Base!$F$4)</f>
        <v>0</v>
      </c>
      <c r="S131" s="86">
        <f t="shared" si="26"/>
        <v>0</v>
      </c>
    </row>
    <row r="132" ht="16.5" spans="1:19">
      <c r="A132" s="54">
        <v>44569</v>
      </c>
      <c r="B132" s="55">
        <f>SUMIFS(销售数据包!F:F,销售数据包!A:A,A132,销售数据包!C:C,Base!$F$2)+SUMIFS(销售数据包!F:F,销售数据包!A:A,A132,销售数据包!C:C,Base!$F$3)+SUMIFS(销售数据包!F:F,销售数据包!A:A,A132,销售数据包!C:C,Base!$F$4)</f>
        <v>0</v>
      </c>
      <c r="C132" s="56">
        <f>SUMIFS(销售数据包!K:K,销售数据包!A:A,A132,销售数据包!C:C,Base!$F$2)+SUMIFS(销售数据包!K:K,销售数据包!A:A,A132,销售数据包!C:C,Base!$F$3)+SUMIFS(销售数据包!K:K,销售数据包!A:A,A132,销售数据包!C:C,Base!$F$4)</f>
        <v>0</v>
      </c>
      <c r="D132" s="56">
        <f>SUMIFS(销售数据包!Q:Q,销售数据包!A:A,A132,销售数据包!C:C,Base!$F$2)+SUMIFS(销售数据包!Q:Q,销售数据包!A:A,A132,销售数据包!C:C,Base!$F$3)+SUMIFS(销售数据包!Q:Q,销售数据包!A:A,A132,销售数据包!C:C,Base!$F$4)</f>
        <v>0</v>
      </c>
      <c r="E132" s="57">
        <f t="shared" si="18"/>
        <v>0</v>
      </c>
      <c r="F132" s="57">
        <f t="shared" si="19"/>
        <v>0</v>
      </c>
      <c r="G132" s="56">
        <f>SUMIFS(销售数据包!O:O,销售数据包!A:A,A132)</f>
        <v>0</v>
      </c>
      <c r="H132" s="57">
        <f t="shared" si="20"/>
        <v>0</v>
      </c>
      <c r="I132" s="71">
        <f t="shared" si="21"/>
        <v>0</v>
      </c>
      <c r="J132" s="72" t="str">
        <f t="shared" si="22"/>
        <v>周6</v>
      </c>
      <c r="K132" s="73">
        <f>SUMIFS(广告数据包!H:H,广告数据包!A:A,A132,广告数据包!G:G,Base!$F$2)+SUMIFS(广告数据包!H:H,广告数据包!A:A,A132,广告数据包!G:G,Base!$F$3)+SUMIFS(广告数据包!H:H,广告数据包!A:A,A132,广告数据包!G:G,Base!$F$4)</f>
        <v>0</v>
      </c>
      <c r="L132" s="56">
        <f>SUMIFS(广告数据包!I:I,广告数据包!A:A,A132,广告数据包!G:G,Base!$F$2)+SUMIFS(广告数据包!I:I,广告数据包!A:A,A132,广告数据包!G:G,Base!$F$3)+SUMIFS(广告数据包!I:I,广告数据包!A:A,A132,广告数据包!G:G,Base!$F$4)</f>
        <v>0</v>
      </c>
      <c r="M132" s="57">
        <f t="shared" si="23"/>
        <v>0</v>
      </c>
      <c r="N132" s="74">
        <f t="shared" si="24"/>
        <v>0</v>
      </c>
      <c r="O132" s="75">
        <f>SUMIFS(广告数据包!P:P,广告数据包!A:A,A132,广告数据包!G:G,Base!$F$2)+SUMIFS(广告数据包!P:P,广告数据包!A:A,A132,广告数据包!G:G,Base!$F$3)+SUMIFS(广告数据包!P:P,广告数据包!A:A,A132,广告数据包!G:G,Base!$F$4)</f>
        <v>0</v>
      </c>
      <c r="P132" s="56">
        <f>SUMIFS(广告数据包!M:M,广告数据包!A:A,A132,广告数据包!G:G,Base!$F$2)+SUMIFS(广告数据包!M:M,广告数据包!A:A,A132,广告数据包!G:G,Base!$F$3)+SUMIFS(广告数据包!M:M,广告数据包!A:A,A132,广告数据包!G:G,Base!$F$4)</f>
        <v>0</v>
      </c>
      <c r="Q132" s="57">
        <f t="shared" si="25"/>
        <v>0</v>
      </c>
      <c r="R132" s="56">
        <f>SUMIFS(广告数据包!L:L,广告数据包!A:A,A132,广告数据包!G:G,Base!$F$2)+SUMIFS(广告数据包!L:L,广告数据包!A:A,A132,广告数据包!G:G,Base!$F$3)+SUMIFS(广告数据包!L:L,广告数据包!A:A,A132,广告数据包!G:G,Base!$F$4)</f>
        <v>0</v>
      </c>
      <c r="S132" s="86">
        <f t="shared" si="26"/>
        <v>0</v>
      </c>
    </row>
    <row r="133" ht="16.5" spans="1:19">
      <c r="A133" s="54">
        <v>44570</v>
      </c>
      <c r="B133" s="55">
        <f>SUMIFS(销售数据包!F:F,销售数据包!A:A,A133,销售数据包!C:C,Base!$F$2)+SUMIFS(销售数据包!F:F,销售数据包!A:A,A133,销售数据包!C:C,Base!$F$3)+SUMIFS(销售数据包!F:F,销售数据包!A:A,A133,销售数据包!C:C,Base!$F$4)</f>
        <v>0</v>
      </c>
      <c r="C133" s="56">
        <f>SUMIFS(销售数据包!K:K,销售数据包!A:A,A133,销售数据包!C:C,Base!$F$2)+SUMIFS(销售数据包!K:K,销售数据包!A:A,A133,销售数据包!C:C,Base!$F$3)+SUMIFS(销售数据包!K:K,销售数据包!A:A,A133,销售数据包!C:C,Base!$F$4)</f>
        <v>0</v>
      </c>
      <c r="D133" s="56">
        <f>SUMIFS(销售数据包!Q:Q,销售数据包!A:A,A133,销售数据包!C:C,Base!$F$2)+SUMIFS(销售数据包!Q:Q,销售数据包!A:A,A133,销售数据包!C:C,Base!$F$3)+SUMIFS(销售数据包!Q:Q,销售数据包!A:A,A133,销售数据包!C:C,Base!$F$4)</f>
        <v>0</v>
      </c>
      <c r="E133" s="57">
        <f t="shared" si="18"/>
        <v>0</v>
      </c>
      <c r="F133" s="57">
        <f t="shared" si="19"/>
        <v>0</v>
      </c>
      <c r="G133" s="56">
        <f>SUMIFS(销售数据包!O:O,销售数据包!A:A,A133)</f>
        <v>0</v>
      </c>
      <c r="H133" s="57">
        <f t="shared" si="20"/>
        <v>0</v>
      </c>
      <c r="I133" s="71">
        <f t="shared" si="21"/>
        <v>0</v>
      </c>
      <c r="J133" s="72" t="str">
        <f t="shared" si="22"/>
        <v>周7</v>
      </c>
      <c r="K133" s="73">
        <f>SUMIFS(广告数据包!H:H,广告数据包!A:A,A133,广告数据包!G:G,Base!$F$2)+SUMIFS(广告数据包!H:H,广告数据包!A:A,A133,广告数据包!G:G,Base!$F$3)+SUMIFS(广告数据包!H:H,广告数据包!A:A,A133,广告数据包!G:G,Base!$F$4)</f>
        <v>0</v>
      </c>
      <c r="L133" s="56">
        <f>SUMIFS(广告数据包!I:I,广告数据包!A:A,A133,广告数据包!G:G,Base!$F$2)+SUMIFS(广告数据包!I:I,广告数据包!A:A,A133,广告数据包!G:G,Base!$F$3)+SUMIFS(广告数据包!I:I,广告数据包!A:A,A133,广告数据包!G:G,Base!$F$4)</f>
        <v>0</v>
      </c>
      <c r="M133" s="57">
        <f t="shared" si="23"/>
        <v>0</v>
      </c>
      <c r="N133" s="74">
        <f t="shared" si="24"/>
        <v>0</v>
      </c>
      <c r="O133" s="75">
        <f>SUMIFS(广告数据包!P:P,广告数据包!A:A,A133,广告数据包!G:G,Base!$F$2)+SUMIFS(广告数据包!P:P,广告数据包!A:A,A133,广告数据包!G:G,Base!$F$3)+SUMIFS(广告数据包!P:P,广告数据包!A:A,A133,广告数据包!G:G,Base!$F$4)</f>
        <v>0</v>
      </c>
      <c r="P133" s="56">
        <f>SUMIFS(广告数据包!M:M,广告数据包!A:A,A133,广告数据包!G:G,Base!$F$2)+SUMIFS(广告数据包!M:M,广告数据包!A:A,A133,广告数据包!G:G,Base!$F$3)+SUMIFS(广告数据包!M:M,广告数据包!A:A,A133,广告数据包!G:G,Base!$F$4)</f>
        <v>0</v>
      </c>
      <c r="Q133" s="57">
        <f t="shared" si="25"/>
        <v>0</v>
      </c>
      <c r="R133" s="56">
        <f>SUMIFS(广告数据包!L:L,广告数据包!A:A,A133,广告数据包!G:G,Base!$F$2)+SUMIFS(广告数据包!L:L,广告数据包!A:A,A133,广告数据包!G:G,Base!$F$3)+SUMIFS(广告数据包!L:L,广告数据包!A:A,A133,广告数据包!G:G,Base!$F$4)</f>
        <v>0</v>
      </c>
      <c r="S133" s="86">
        <f t="shared" si="26"/>
        <v>0</v>
      </c>
    </row>
    <row r="134" ht="16.5" spans="1:19">
      <c r="A134" s="54">
        <v>44571</v>
      </c>
      <c r="B134" s="55">
        <f>SUMIFS(销售数据包!F:F,销售数据包!A:A,A134,销售数据包!C:C,Base!$F$2)+SUMIFS(销售数据包!F:F,销售数据包!A:A,A134,销售数据包!C:C,Base!$F$3)+SUMIFS(销售数据包!F:F,销售数据包!A:A,A134,销售数据包!C:C,Base!$F$4)</f>
        <v>0</v>
      </c>
      <c r="C134" s="56">
        <f>SUMIFS(销售数据包!K:K,销售数据包!A:A,A134,销售数据包!C:C,Base!$F$2)+SUMIFS(销售数据包!K:K,销售数据包!A:A,A134,销售数据包!C:C,Base!$F$3)+SUMIFS(销售数据包!K:K,销售数据包!A:A,A134,销售数据包!C:C,Base!$F$4)</f>
        <v>0</v>
      </c>
      <c r="D134" s="56">
        <f>SUMIFS(销售数据包!Q:Q,销售数据包!A:A,A134,销售数据包!C:C,Base!$F$2)+SUMIFS(销售数据包!Q:Q,销售数据包!A:A,A134,销售数据包!C:C,Base!$F$3)+SUMIFS(销售数据包!Q:Q,销售数据包!A:A,A134,销售数据包!C:C,Base!$F$4)</f>
        <v>0</v>
      </c>
      <c r="E134" s="57">
        <f t="shared" si="18"/>
        <v>0</v>
      </c>
      <c r="F134" s="57">
        <f t="shared" si="19"/>
        <v>0</v>
      </c>
      <c r="G134" s="56">
        <f>SUMIFS(销售数据包!O:O,销售数据包!A:A,A134)</f>
        <v>0</v>
      </c>
      <c r="H134" s="57">
        <f t="shared" si="20"/>
        <v>0</v>
      </c>
      <c r="I134" s="71">
        <f t="shared" si="21"/>
        <v>0</v>
      </c>
      <c r="J134" s="72" t="str">
        <f t="shared" si="22"/>
        <v>周1</v>
      </c>
      <c r="K134" s="73">
        <f>SUMIFS(广告数据包!H:H,广告数据包!A:A,A134,广告数据包!G:G,Base!$F$2)+SUMIFS(广告数据包!H:H,广告数据包!A:A,A134,广告数据包!G:G,Base!$F$3)+SUMIFS(广告数据包!H:H,广告数据包!A:A,A134,广告数据包!G:G,Base!$F$4)</f>
        <v>0</v>
      </c>
      <c r="L134" s="56">
        <f>SUMIFS(广告数据包!I:I,广告数据包!A:A,A134,广告数据包!G:G,Base!$F$2)+SUMIFS(广告数据包!I:I,广告数据包!A:A,A134,广告数据包!G:G,Base!$F$3)+SUMIFS(广告数据包!I:I,广告数据包!A:A,A134,广告数据包!G:G,Base!$F$4)</f>
        <v>0</v>
      </c>
      <c r="M134" s="57">
        <f t="shared" si="23"/>
        <v>0</v>
      </c>
      <c r="N134" s="74">
        <f t="shared" si="24"/>
        <v>0</v>
      </c>
      <c r="O134" s="75">
        <f>SUMIFS(广告数据包!P:P,广告数据包!A:A,A134,广告数据包!G:G,Base!$F$2)+SUMIFS(广告数据包!P:P,广告数据包!A:A,A134,广告数据包!G:G,Base!$F$3)+SUMIFS(广告数据包!P:P,广告数据包!A:A,A134,广告数据包!G:G,Base!$F$4)</f>
        <v>0</v>
      </c>
      <c r="P134" s="56">
        <f>SUMIFS(广告数据包!M:M,广告数据包!A:A,A134,广告数据包!G:G,Base!$F$2)+SUMIFS(广告数据包!M:M,广告数据包!A:A,A134,广告数据包!G:G,Base!$F$3)+SUMIFS(广告数据包!M:M,广告数据包!A:A,A134,广告数据包!G:G,Base!$F$4)</f>
        <v>0</v>
      </c>
      <c r="Q134" s="57">
        <f t="shared" si="25"/>
        <v>0</v>
      </c>
      <c r="R134" s="56">
        <f>SUMIFS(广告数据包!L:L,广告数据包!A:A,A134,广告数据包!G:G,Base!$F$2)+SUMIFS(广告数据包!L:L,广告数据包!A:A,A134,广告数据包!G:G,Base!$F$3)+SUMIFS(广告数据包!L:L,广告数据包!A:A,A134,广告数据包!G:G,Base!$F$4)</f>
        <v>0</v>
      </c>
      <c r="S134" s="86">
        <f t="shared" si="26"/>
        <v>0</v>
      </c>
    </row>
    <row r="135" ht="16.5" spans="1:19">
      <c r="A135" s="54">
        <v>44572</v>
      </c>
      <c r="B135" s="55">
        <f>SUMIFS(销售数据包!F:F,销售数据包!A:A,A135,销售数据包!C:C,Base!$F$2)+SUMIFS(销售数据包!F:F,销售数据包!A:A,A135,销售数据包!C:C,Base!$F$3)+SUMIFS(销售数据包!F:F,销售数据包!A:A,A135,销售数据包!C:C,Base!$F$4)</f>
        <v>0</v>
      </c>
      <c r="C135" s="56">
        <f>SUMIFS(销售数据包!K:K,销售数据包!A:A,A135,销售数据包!C:C,Base!$F$2)+SUMIFS(销售数据包!K:K,销售数据包!A:A,A135,销售数据包!C:C,Base!$F$3)+SUMIFS(销售数据包!K:K,销售数据包!A:A,A135,销售数据包!C:C,Base!$F$4)</f>
        <v>0</v>
      </c>
      <c r="D135" s="56">
        <f>SUMIFS(销售数据包!Q:Q,销售数据包!A:A,A135,销售数据包!C:C,Base!$F$2)+SUMIFS(销售数据包!Q:Q,销售数据包!A:A,A135,销售数据包!C:C,Base!$F$3)+SUMIFS(销售数据包!Q:Q,销售数据包!A:A,A135,销售数据包!C:C,Base!$F$4)</f>
        <v>0</v>
      </c>
      <c r="E135" s="57">
        <f t="shared" si="18"/>
        <v>0</v>
      </c>
      <c r="F135" s="57">
        <f t="shared" si="19"/>
        <v>0</v>
      </c>
      <c r="G135" s="56">
        <f>SUMIFS(销售数据包!O:O,销售数据包!A:A,A135)</f>
        <v>0</v>
      </c>
      <c r="H135" s="57">
        <f t="shared" si="20"/>
        <v>0</v>
      </c>
      <c r="I135" s="71">
        <f t="shared" si="21"/>
        <v>0</v>
      </c>
      <c r="J135" s="72" t="str">
        <f t="shared" si="22"/>
        <v>周2</v>
      </c>
      <c r="K135" s="73">
        <f>SUMIFS(广告数据包!H:H,广告数据包!A:A,A135,广告数据包!G:G,Base!$F$2)+SUMIFS(广告数据包!H:H,广告数据包!A:A,A135,广告数据包!G:G,Base!$F$3)+SUMIFS(广告数据包!H:H,广告数据包!A:A,A135,广告数据包!G:G,Base!$F$4)</f>
        <v>0</v>
      </c>
      <c r="L135" s="56">
        <f>SUMIFS(广告数据包!I:I,广告数据包!A:A,A135,广告数据包!G:G,Base!$F$2)+SUMIFS(广告数据包!I:I,广告数据包!A:A,A135,广告数据包!G:G,Base!$F$3)+SUMIFS(广告数据包!I:I,广告数据包!A:A,A135,广告数据包!G:G,Base!$F$4)</f>
        <v>0</v>
      </c>
      <c r="M135" s="57">
        <f t="shared" si="23"/>
        <v>0</v>
      </c>
      <c r="N135" s="74">
        <f t="shared" si="24"/>
        <v>0</v>
      </c>
      <c r="O135" s="75">
        <f>SUMIFS(广告数据包!P:P,广告数据包!A:A,A135,广告数据包!G:G,Base!$F$2)+SUMIFS(广告数据包!P:P,广告数据包!A:A,A135,广告数据包!G:G,Base!$F$3)+SUMIFS(广告数据包!P:P,广告数据包!A:A,A135,广告数据包!G:G,Base!$F$4)</f>
        <v>0</v>
      </c>
      <c r="P135" s="56">
        <f>SUMIFS(广告数据包!M:M,广告数据包!A:A,A135,广告数据包!G:G,Base!$F$2)+SUMIFS(广告数据包!M:M,广告数据包!A:A,A135,广告数据包!G:G,Base!$F$3)+SUMIFS(广告数据包!M:M,广告数据包!A:A,A135,广告数据包!G:G,Base!$F$4)</f>
        <v>0</v>
      </c>
      <c r="Q135" s="57">
        <f t="shared" si="25"/>
        <v>0</v>
      </c>
      <c r="R135" s="56">
        <f>SUMIFS(广告数据包!L:L,广告数据包!A:A,A135,广告数据包!G:G,Base!$F$2)+SUMIFS(广告数据包!L:L,广告数据包!A:A,A135,广告数据包!G:G,Base!$F$3)+SUMIFS(广告数据包!L:L,广告数据包!A:A,A135,广告数据包!G:G,Base!$F$4)</f>
        <v>0</v>
      </c>
      <c r="S135" s="86">
        <f t="shared" si="26"/>
        <v>0</v>
      </c>
    </row>
    <row r="136" ht="16.5" spans="1:19">
      <c r="A136" s="54">
        <v>44573</v>
      </c>
      <c r="B136" s="55">
        <f>SUMIFS(销售数据包!F:F,销售数据包!A:A,A136,销售数据包!C:C,Base!$F$2)+SUMIFS(销售数据包!F:F,销售数据包!A:A,A136,销售数据包!C:C,Base!$F$3)+SUMIFS(销售数据包!F:F,销售数据包!A:A,A136,销售数据包!C:C,Base!$F$4)</f>
        <v>0</v>
      </c>
      <c r="C136" s="56">
        <f>SUMIFS(销售数据包!K:K,销售数据包!A:A,A136,销售数据包!C:C,Base!$F$2)+SUMIFS(销售数据包!K:K,销售数据包!A:A,A136,销售数据包!C:C,Base!$F$3)+SUMIFS(销售数据包!K:K,销售数据包!A:A,A136,销售数据包!C:C,Base!$F$4)</f>
        <v>0</v>
      </c>
      <c r="D136" s="56">
        <f>SUMIFS(销售数据包!Q:Q,销售数据包!A:A,A136,销售数据包!C:C,Base!$F$2)+SUMIFS(销售数据包!Q:Q,销售数据包!A:A,A136,销售数据包!C:C,Base!$F$3)+SUMIFS(销售数据包!Q:Q,销售数据包!A:A,A136,销售数据包!C:C,Base!$F$4)</f>
        <v>0</v>
      </c>
      <c r="E136" s="57">
        <f t="shared" si="18"/>
        <v>0</v>
      </c>
      <c r="F136" s="57">
        <f t="shared" si="19"/>
        <v>0</v>
      </c>
      <c r="G136" s="56">
        <f>SUMIFS(销售数据包!O:O,销售数据包!A:A,A136)</f>
        <v>0</v>
      </c>
      <c r="H136" s="57">
        <f t="shared" si="20"/>
        <v>0</v>
      </c>
      <c r="I136" s="71">
        <f t="shared" si="21"/>
        <v>0</v>
      </c>
      <c r="J136" s="72" t="str">
        <f t="shared" si="22"/>
        <v>周3</v>
      </c>
      <c r="K136" s="73">
        <f>SUMIFS(广告数据包!H:H,广告数据包!A:A,A136,广告数据包!G:G,Base!$F$2)+SUMIFS(广告数据包!H:H,广告数据包!A:A,A136,广告数据包!G:G,Base!$F$3)+SUMIFS(广告数据包!H:H,广告数据包!A:A,A136,广告数据包!G:G,Base!$F$4)</f>
        <v>0</v>
      </c>
      <c r="L136" s="56">
        <f>SUMIFS(广告数据包!I:I,广告数据包!A:A,A136,广告数据包!G:G,Base!$F$2)+SUMIFS(广告数据包!I:I,广告数据包!A:A,A136,广告数据包!G:G,Base!$F$3)+SUMIFS(广告数据包!I:I,广告数据包!A:A,A136,广告数据包!G:G,Base!$F$4)</f>
        <v>0</v>
      </c>
      <c r="M136" s="57">
        <f t="shared" si="23"/>
        <v>0</v>
      </c>
      <c r="N136" s="74">
        <f t="shared" si="24"/>
        <v>0</v>
      </c>
      <c r="O136" s="75">
        <f>SUMIFS(广告数据包!P:P,广告数据包!A:A,A136,广告数据包!G:G,Base!$F$2)+SUMIFS(广告数据包!P:P,广告数据包!A:A,A136,广告数据包!G:G,Base!$F$3)+SUMIFS(广告数据包!P:P,广告数据包!A:A,A136,广告数据包!G:G,Base!$F$4)</f>
        <v>0</v>
      </c>
      <c r="P136" s="56">
        <f>SUMIFS(广告数据包!M:M,广告数据包!A:A,A136,广告数据包!G:G,Base!$F$2)+SUMIFS(广告数据包!M:M,广告数据包!A:A,A136,广告数据包!G:G,Base!$F$3)+SUMIFS(广告数据包!M:M,广告数据包!A:A,A136,广告数据包!G:G,Base!$F$4)</f>
        <v>0</v>
      </c>
      <c r="Q136" s="57">
        <f t="shared" si="25"/>
        <v>0</v>
      </c>
      <c r="R136" s="56">
        <f>SUMIFS(广告数据包!L:L,广告数据包!A:A,A136,广告数据包!G:G,Base!$F$2)+SUMIFS(广告数据包!L:L,广告数据包!A:A,A136,广告数据包!G:G,Base!$F$3)+SUMIFS(广告数据包!L:L,广告数据包!A:A,A136,广告数据包!G:G,Base!$F$4)</f>
        <v>0</v>
      </c>
      <c r="S136" s="86">
        <f t="shared" si="26"/>
        <v>0</v>
      </c>
    </row>
    <row r="137" ht="16.5" spans="1:19">
      <c r="A137" s="54">
        <v>44574</v>
      </c>
      <c r="B137" s="55">
        <f>SUMIFS(销售数据包!F:F,销售数据包!A:A,A137,销售数据包!C:C,Base!$F$2)+SUMIFS(销售数据包!F:F,销售数据包!A:A,A137,销售数据包!C:C,Base!$F$3)+SUMIFS(销售数据包!F:F,销售数据包!A:A,A137,销售数据包!C:C,Base!$F$4)</f>
        <v>0</v>
      </c>
      <c r="C137" s="56">
        <f>SUMIFS(销售数据包!K:K,销售数据包!A:A,A137,销售数据包!C:C,Base!$F$2)+SUMIFS(销售数据包!K:K,销售数据包!A:A,A137,销售数据包!C:C,Base!$F$3)+SUMIFS(销售数据包!K:K,销售数据包!A:A,A137,销售数据包!C:C,Base!$F$4)</f>
        <v>0</v>
      </c>
      <c r="D137" s="56">
        <f>SUMIFS(销售数据包!Q:Q,销售数据包!A:A,A137,销售数据包!C:C,Base!$F$2)+SUMIFS(销售数据包!Q:Q,销售数据包!A:A,A137,销售数据包!C:C,Base!$F$3)+SUMIFS(销售数据包!Q:Q,销售数据包!A:A,A137,销售数据包!C:C,Base!$F$4)</f>
        <v>0</v>
      </c>
      <c r="E137" s="57">
        <f t="shared" si="18"/>
        <v>0</v>
      </c>
      <c r="F137" s="57">
        <f t="shared" si="19"/>
        <v>0</v>
      </c>
      <c r="G137" s="56">
        <f>SUMIFS(销售数据包!O:O,销售数据包!A:A,A137)</f>
        <v>0</v>
      </c>
      <c r="H137" s="57">
        <f t="shared" si="20"/>
        <v>0</v>
      </c>
      <c r="I137" s="71">
        <f t="shared" si="21"/>
        <v>0</v>
      </c>
      <c r="J137" s="72" t="str">
        <f t="shared" si="22"/>
        <v>周4</v>
      </c>
      <c r="K137" s="73">
        <f>SUMIFS(广告数据包!H:H,广告数据包!A:A,A137,广告数据包!G:G,Base!$F$2)+SUMIFS(广告数据包!H:H,广告数据包!A:A,A137,广告数据包!G:G,Base!$F$3)+SUMIFS(广告数据包!H:H,广告数据包!A:A,A137,广告数据包!G:G,Base!$F$4)</f>
        <v>0</v>
      </c>
      <c r="L137" s="56">
        <f>SUMIFS(广告数据包!I:I,广告数据包!A:A,A137,广告数据包!G:G,Base!$F$2)+SUMIFS(广告数据包!I:I,广告数据包!A:A,A137,广告数据包!G:G,Base!$F$3)+SUMIFS(广告数据包!I:I,广告数据包!A:A,A137,广告数据包!G:G,Base!$F$4)</f>
        <v>0</v>
      </c>
      <c r="M137" s="57">
        <f t="shared" si="23"/>
        <v>0</v>
      </c>
      <c r="N137" s="74">
        <f t="shared" si="24"/>
        <v>0</v>
      </c>
      <c r="O137" s="75">
        <f>SUMIFS(广告数据包!P:P,广告数据包!A:A,A137,广告数据包!G:G,Base!$F$2)+SUMIFS(广告数据包!P:P,广告数据包!A:A,A137,广告数据包!G:G,Base!$F$3)+SUMIFS(广告数据包!P:P,广告数据包!A:A,A137,广告数据包!G:G,Base!$F$4)</f>
        <v>0</v>
      </c>
      <c r="P137" s="56">
        <f>SUMIFS(广告数据包!M:M,广告数据包!A:A,A137,广告数据包!G:G,Base!$F$2)+SUMIFS(广告数据包!M:M,广告数据包!A:A,A137,广告数据包!G:G,Base!$F$3)+SUMIFS(广告数据包!M:M,广告数据包!A:A,A137,广告数据包!G:G,Base!$F$4)</f>
        <v>0</v>
      </c>
      <c r="Q137" s="57">
        <f t="shared" si="25"/>
        <v>0</v>
      </c>
      <c r="R137" s="56">
        <f>SUMIFS(广告数据包!L:L,广告数据包!A:A,A137,广告数据包!G:G,Base!$F$2)+SUMIFS(广告数据包!L:L,广告数据包!A:A,A137,广告数据包!G:G,Base!$F$3)+SUMIFS(广告数据包!L:L,广告数据包!A:A,A137,广告数据包!G:G,Base!$F$4)</f>
        <v>0</v>
      </c>
      <c r="S137" s="86">
        <f t="shared" si="26"/>
        <v>0</v>
      </c>
    </row>
    <row r="138" ht="16.5" spans="1:19">
      <c r="A138" s="54">
        <v>44575</v>
      </c>
      <c r="B138" s="55">
        <f>SUMIFS(销售数据包!F:F,销售数据包!A:A,A138,销售数据包!C:C,Base!$F$2)+SUMIFS(销售数据包!F:F,销售数据包!A:A,A138,销售数据包!C:C,Base!$F$3)+SUMIFS(销售数据包!F:F,销售数据包!A:A,A138,销售数据包!C:C,Base!$F$4)</f>
        <v>0</v>
      </c>
      <c r="C138" s="56">
        <f>SUMIFS(销售数据包!K:K,销售数据包!A:A,A138,销售数据包!C:C,Base!$F$2)+SUMIFS(销售数据包!K:K,销售数据包!A:A,A138,销售数据包!C:C,Base!$F$3)+SUMIFS(销售数据包!K:K,销售数据包!A:A,A138,销售数据包!C:C,Base!$F$4)</f>
        <v>0</v>
      </c>
      <c r="D138" s="56">
        <f>SUMIFS(销售数据包!Q:Q,销售数据包!A:A,A138,销售数据包!C:C,Base!$F$2)+SUMIFS(销售数据包!Q:Q,销售数据包!A:A,A138,销售数据包!C:C,Base!$F$3)+SUMIFS(销售数据包!Q:Q,销售数据包!A:A,A138,销售数据包!C:C,Base!$F$4)</f>
        <v>0</v>
      </c>
      <c r="E138" s="57">
        <f t="shared" si="18"/>
        <v>0</v>
      </c>
      <c r="F138" s="57">
        <f t="shared" si="19"/>
        <v>0</v>
      </c>
      <c r="G138" s="56">
        <f>SUMIFS(销售数据包!O:O,销售数据包!A:A,A138)</f>
        <v>0</v>
      </c>
      <c r="H138" s="57">
        <f t="shared" si="20"/>
        <v>0</v>
      </c>
      <c r="I138" s="71">
        <f t="shared" si="21"/>
        <v>0</v>
      </c>
      <c r="J138" s="72" t="str">
        <f t="shared" si="22"/>
        <v>周5</v>
      </c>
      <c r="K138" s="73">
        <f>SUMIFS(广告数据包!H:H,广告数据包!A:A,A138,广告数据包!G:G,Base!$F$2)+SUMIFS(广告数据包!H:H,广告数据包!A:A,A138,广告数据包!G:G,Base!$F$3)+SUMIFS(广告数据包!H:H,广告数据包!A:A,A138,广告数据包!G:G,Base!$F$4)</f>
        <v>0</v>
      </c>
      <c r="L138" s="56">
        <f>SUMIFS(广告数据包!I:I,广告数据包!A:A,A138,广告数据包!G:G,Base!$F$2)+SUMIFS(广告数据包!I:I,广告数据包!A:A,A138,广告数据包!G:G,Base!$F$3)+SUMIFS(广告数据包!I:I,广告数据包!A:A,A138,广告数据包!G:G,Base!$F$4)</f>
        <v>0</v>
      </c>
      <c r="M138" s="57">
        <f t="shared" si="23"/>
        <v>0</v>
      </c>
      <c r="N138" s="74">
        <f t="shared" si="24"/>
        <v>0</v>
      </c>
      <c r="O138" s="75">
        <f>SUMIFS(广告数据包!P:P,广告数据包!A:A,A138,广告数据包!G:G,Base!$F$2)+SUMIFS(广告数据包!P:P,广告数据包!A:A,A138,广告数据包!G:G,Base!$F$3)+SUMIFS(广告数据包!P:P,广告数据包!A:A,A138,广告数据包!G:G,Base!$F$4)</f>
        <v>0</v>
      </c>
      <c r="P138" s="56">
        <f>SUMIFS(广告数据包!M:M,广告数据包!A:A,A138,广告数据包!G:G,Base!$F$2)+SUMIFS(广告数据包!M:M,广告数据包!A:A,A138,广告数据包!G:G,Base!$F$3)+SUMIFS(广告数据包!M:M,广告数据包!A:A,A138,广告数据包!G:G,Base!$F$4)</f>
        <v>0</v>
      </c>
      <c r="Q138" s="57">
        <f t="shared" si="25"/>
        <v>0</v>
      </c>
      <c r="R138" s="56">
        <f>SUMIFS(广告数据包!L:L,广告数据包!A:A,A138,广告数据包!G:G,Base!$F$2)+SUMIFS(广告数据包!L:L,广告数据包!A:A,A138,广告数据包!G:G,Base!$F$3)+SUMIFS(广告数据包!L:L,广告数据包!A:A,A138,广告数据包!G:G,Base!$F$4)</f>
        <v>0</v>
      </c>
      <c r="S138" s="86">
        <f t="shared" si="26"/>
        <v>0</v>
      </c>
    </row>
    <row r="139" ht="16.5" spans="1:19">
      <c r="A139" s="54">
        <v>44576</v>
      </c>
      <c r="B139" s="55">
        <f>SUMIFS(销售数据包!F:F,销售数据包!A:A,A139,销售数据包!C:C,Base!$F$2)+SUMIFS(销售数据包!F:F,销售数据包!A:A,A139,销售数据包!C:C,Base!$F$3)+SUMIFS(销售数据包!F:F,销售数据包!A:A,A139,销售数据包!C:C,Base!$F$4)</f>
        <v>0</v>
      </c>
      <c r="C139" s="56">
        <f>SUMIFS(销售数据包!K:K,销售数据包!A:A,A139,销售数据包!C:C,Base!$F$2)+SUMIFS(销售数据包!K:K,销售数据包!A:A,A139,销售数据包!C:C,Base!$F$3)+SUMIFS(销售数据包!K:K,销售数据包!A:A,A139,销售数据包!C:C,Base!$F$4)</f>
        <v>0</v>
      </c>
      <c r="D139" s="56">
        <f>SUMIFS(销售数据包!Q:Q,销售数据包!A:A,A139,销售数据包!C:C,Base!$F$2)+SUMIFS(销售数据包!Q:Q,销售数据包!A:A,A139,销售数据包!C:C,Base!$F$3)+SUMIFS(销售数据包!Q:Q,销售数据包!A:A,A139,销售数据包!C:C,Base!$F$4)</f>
        <v>0</v>
      </c>
      <c r="E139" s="57">
        <f t="shared" si="18"/>
        <v>0</v>
      </c>
      <c r="F139" s="57">
        <f t="shared" si="19"/>
        <v>0</v>
      </c>
      <c r="G139" s="56">
        <f>SUMIFS(销售数据包!O:O,销售数据包!A:A,A139)</f>
        <v>0</v>
      </c>
      <c r="H139" s="57">
        <f t="shared" si="20"/>
        <v>0</v>
      </c>
      <c r="I139" s="71">
        <f t="shared" si="21"/>
        <v>0</v>
      </c>
      <c r="J139" s="72" t="str">
        <f t="shared" si="22"/>
        <v>周6</v>
      </c>
      <c r="K139" s="73">
        <f>SUMIFS(广告数据包!H:H,广告数据包!A:A,A139,广告数据包!G:G,Base!$F$2)+SUMIFS(广告数据包!H:H,广告数据包!A:A,A139,广告数据包!G:G,Base!$F$3)+SUMIFS(广告数据包!H:H,广告数据包!A:A,A139,广告数据包!G:G,Base!$F$4)</f>
        <v>0</v>
      </c>
      <c r="L139" s="56">
        <f>SUMIFS(广告数据包!I:I,广告数据包!A:A,A139,广告数据包!G:G,Base!$F$2)+SUMIFS(广告数据包!I:I,广告数据包!A:A,A139,广告数据包!G:G,Base!$F$3)+SUMIFS(广告数据包!I:I,广告数据包!A:A,A139,广告数据包!G:G,Base!$F$4)</f>
        <v>0</v>
      </c>
      <c r="M139" s="57">
        <f t="shared" si="23"/>
        <v>0</v>
      </c>
      <c r="N139" s="74">
        <f t="shared" si="24"/>
        <v>0</v>
      </c>
      <c r="O139" s="75">
        <f>SUMIFS(广告数据包!P:P,广告数据包!A:A,A139,广告数据包!G:G,Base!$F$2)+SUMIFS(广告数据包!P:P,广告数据包!A:A,A139,广告数据包!G:G,Base!$F$3)+SUMIFS(广告数据包!P:P,广告数据包!A:A,A139,广告数据包!G:G,Base!$F$4)</f>
        <v>0</v>
      </c>
      <c r="P139" s="56">
        <f>SUMIFS(广告数据包!M:M,广告数据包!A:A,A139,广告数据包!G:G,Base!$F$2)+SUMIFS(广告数据包!M:M,广告数据包!A:A,A139,广告数据包!G:G,Base!$F$3)+SUMIFS(广告数据包!M:M,广告数据包!A:A,A139,广告数据包!G:G,Base!$F$4)</f>
        <v>0</v>
      </c>
      <c r="Q139" s="57">
        <f t="shared" si="25"/>
        <v>0</v>
      </c>
      <c r="R139" s="56">
        <f>SUMIFS(广告数据包!L:L,广告数据包!A:A,A139,广告数据包!G:G,Base!$F$2)+SUMIFS(广告数据包!L:L,广告数据包!A:A,A139,广告数据包!G:G,Base!$F$3)+SUMIFS(广告数据包!L:L,广告数据包!A:A,A139,广告数据包!G:G,Base!$F$4)</f>
        <v>0</v>
      </c>
      <c r="S139" s="86">
        <f t="shared" si="26"/>
        <v>0</v>
      </c>
    </row>
    <row r="140" ht="16.5" spans="1:19">
      <c r="A140" s="54">
        <v>44577</v>
      </c>
      <c r="B140" s="55">
        <f>SUMIFS(销售数据包!F:F,销售数据包!A:A,A140,销售数据包!C:C,Base!$F$2)+SUMIFS(销售数据包!F:F,销售数据包!A:A,A140,销售数据包!C:C,Base!$F$3)+SUMIFS(销售数据包!F:F,销售数据包!A:A,A140,销售数据包!C:C,Base!$F$4)</f>
        <v>0</v>
      </c>
      <c r="C140" s="56">
        <f>SUMIFS(销售数据包!K:K,销售数据包!A:A,A140,销售数据包!C:C,Base!$F$2)+SUMIFS(销售数据包!K:K,销售数据包!A:A,A140,销售数据包!C:C,Base!$F$3)+SUMIFS(销售数据包!K:K,销售数据包!A:A,A140,销售数据包!C:C,Base!$F$4)</f>
        <v>0</v>
      </c>
      <c r="D140" s="56">
        <f>SUMIFS(销售数据包!Q:Q,销售数据包!A:A,A140,销售数据包!C:C,Base!$F$2)+SUMIFS(销售数据包!Q:Q,销售数据包!A:A,A140,销售数据包!C:C,Base!$F$3)+SUMIFS(销售数据包!Q:Q,销售数据包!A:A,A140,销售数据包!C:C,Base!$F$4)</f>
        <v>0</v>
      </c>
      <c r="E140" s="57">
        <f t="shared" si="18"/>
        <v>0</v>
      </c>
      <c r="F140" s="57">
        <f t="shared" si="19"/>
        <v>0</v>
      </c>
      <c r="G140" s="56">
        <f>SUMIFS(销售数据包!O:O,销售数据包!A:A,A140)</f>
        <v>0</v>
      </c>
      <c r="H140" s="57">
        <f t="shared" si="20"/>
        <v>0</v>
      </c>
      <c r="I140" s="71">
        <f t="shared" si="21"/>
        <v>0</v>
      </c>
      <c r="J140" s="72" t="str">
        <f t="shared" si="22"/>
        <v>周7</v>
      </c>
      <c r="K140" s="73">
        <f>SUMIFS(广告数据包!H:H,广告数据包!A:A,A140,广告数据包!G:G,Base!$F$2)+SUMIFS(广告数据包!H:H,广告数据包!A:A,A140,广告数据包!G:G,Base!$F$3)+SUMIFS(广告数据包!H:H,广告数据包!A:A,A140,广告数据包!G:G,Base!$F$4)</f>
        <v>0</v>
      </c>
      <c r="L140" s="56">
        <f>SUMIFS(广告数据包!I:I,广告数据包!A:A,A140,广告数据包!G:G,Base!$F$2)+SUMIFS(广告数据包!I:I,广告数据包!A:A,A140,广告数据包!G:G,Base!$F$3)+SUMIFS(广告数据包!I:I,广告数据包!A:A,A140,广告数据包!G:G,Base!$F$4)</f>
        <v>0</v>
      </c>
      <c r="M140" s="57">
        <f t="shared" si="23"/>
        <v>0</v>
      </c>
      <c r="N140" s="74">
        <f t="shared" si="24"/>
        <v>0</v>
      </c>
      <c r="O140" s="75">
        <f>SUMIFS(广告数据包!P:P,广告数据包!A:A,A140,广告数据包!G:G,Base!$F$2)+SUMIFS(广告数据包!P:P,广告数据包!A:A,A140,广告数据包!G:G,Base!$F$3)+SUMIFS(广告数据包!P:P,广告数据包!A:A,A140,广告数据包!G:G,Base!$F$4)</f>
        <v>0</v>
      </c>
      <c r="P140" s="56">
        <f>SUMIFS(广告数据包!M:M,广告数据包!A:A,A140,广告数据包!G:G,Base!$F$2)+SUMIFS(广告数据包!M:M,广告数据包!A:A,A140,广告数据包!G:G,Base!$F$3)+SUMIFS(广告数据包!M:M,广告数据包!A:A,A140,广告数据包!G:G,Base!$F$4)</f>
        <v>0</v>
      </c>
      <c r="Q140" s="57">
        <f t="shared" si="25"/>
        <v>0</v>
      </c>
      <c r="R140" s="56">
        <f>SUMIFS(广告数据包!L:L,广告数据包!A:A,A140,广告数据包!G:G,Base!$F$2)+SUMIFS(广告数据包!L:L,广告数据包!A:A,A140,广告数据包!G:G,Base!$F$3)+SUMIFS(广告数据包!L:L,广告数据包!A:A,A140,广告数据包!G:G,Base!$F$4)</f>
        <v>0</v>
      </c>
      <c r="S140" s="86">
        <f t="shared" si="26"/>
        <v>0</v>
      </c>
    </row>
    <row r="141" ht="16.5" spans="1:19">
      <c r="A141" s="54">
        <v>44578</v>
      </c>
      <c r="B141" s="55">
        <f>SUMIFS(销售数据包!F:F,销售数据包!A:A,A141,销售数据包!C:C,Base!$F$2)+SUMIFS(销售数据包!F:F,销售数据包!A:A,A141,销售数据包!C:C,Base!$F$3)+SUMIFS(销售数据包!F:F,销售数据包!A:A,A141,销售数据包!C:C,Base!$F$4)</f>
        <v>0</v>
      </c>
      <c r="C141" s="56">
        <f>SUMIFS(销售数据包!K:K,销售数据包!A:A,A141,销售数据包!C:C,Base!$F$2)+SUMIFS(销售数据包!K:K,销售数据包!A:A,A141,销售数据包!C:C,Base!$F$3)+SUMIFS(销售数据包!K:K,销售数据包!A:A,A141,销售数据包!C:C,Base!$F$4)</f>
        <v>0</v>
      </c>
      <c r="D141" s="56">
        <f>SUMIFS(销售数据包!Q:Q,销售数据包!A:A,A141,销售数据包!C:C,Base!$F$2)+SUMIFS(销售数据包!Q:Q,销售数据包!A:A,A141,销售数据包!C:C,Base!$F$3)+SUMIFS(销售数据包!Q:Q,销售数据包!A:A,A141,销售数据包!C:C,Base!$F$4)</f>
        <v>0</v>
      </c>
      <c r="E141" s="57">
        <f t="shared" si="18"/>
        <v>0</v>
      </c>
      <c r="F141" s="57">
        <f t="shared" si="19"/>
        <v>0</v>
      </c>
      <c r="G141" s="56">
        <f>SUMIFS(销售数据包!O:O,销售数据包!A:A,A141)</f>
        <v>0</v>
      </c>
      <c r="H141" s="57">
        <f t="shared" si="20"/>
        <v>0</v>
      </c>
      <c r="I141" s="71">
        <f t="shared" si="21"/>
        <v>0</v>
      </c>
      <c r="J141" s="72" t="str">
        <f t="shared" si="22"/>
        <v>周1</v>
      </c>
      <c r="K141" s="73">
        <f>SUMIFS(广告数据包!H:H,广告数据包!A:A,A141,广告数据包!G:G,Base!$F$2)+SUMIFS(广告数据包!H:H,广告数据包!A:A,A141,广告数据包!G:G,Base!$F$3)+SUMIFS(广告数据包!H:H,广告数据包!A:A,A141,广告数据包!G:G,Base!$F$4)</f>
        <v>0</v>
      </c>
      <c r="L141" s="56">
        <f>SUMIFS(广告数据包!I:I,广告数据包!A:A,A141,广告数据包!G:G,Base!$F$2)+SUMIFS(广告数据包!I:I,广告数据包!A:A,A141,广告数据包!G:G,Base!$F$3)+SUMIFS(广告数据包!I:I,广告数据包!A:A,A141,广告数据包!G:G,Base!$F$4)</f>
        <v>0</v>
      </c>
      <c r="M141" s="57">
        <f t="shared" si="23"/>
        <v>0</v>
      </c>
      <c r="N141" s="74">
        <f t="shared" si="24"/>
        <v>0</v>
      </c>
      <c r="O141" s="75">
        <f>SUMIFS(广告数据包!P:P,广告数据包!A:A,A141,广告数据包!G:G,Base!$F$2)+SUMIFS(广告数据包!P:P,广告数据包!A:A,A141,广告数据包!G:G,Base!$F$3)+SUMIFS(广告数据包!P:P,广告数据包!A:A,A141,广告数据包!G:G,Base!$F$4)</f>
        <v>0</v>
      </c>
      <c r="P141" s="56">
        <f>SUMIFS(广告数据包!M:M,广告数据包!A:A,A141,广告数据包!G:G,Base!$F$2)+SUMIFS(广告数据包!M:M,广告数据包!A:A,A141,广告数据包!G:G,Base!$F$3)+SUMIFS(广告数据包!M:M,广告数据包!A:A,A141,广告数据包!G:G,Base!$F$4)</f>
        <v>0</v>
      </c>
      <c r="Q141" s="57">
        <f t="shared" si="25"/>
        <v>0</v>
      </c>
      <c r="R141" s="56">
        <f>SUMIFS(广告数据包!L:L,广告数据包!A:A,A141,广告数据包!G:G,Base!$F$2)+SUMIFS(广告数据包!L:L,广告数据包!A:A,A141,广告数据包!G:G,Base!$F$3)+SUMIFS(广告数据包!L:L,广告数据包!A:A,A141,广告数据包!G:G,Base!$F$4)</f>
        <v>0</v>
      </c>
      <c r="S141" s="86">
        <f t="shared" si="26"/>
        <v>0</v>
      </c>
    </row>
    <row r="142" ht="16.5" spans="1:19">
      <c r="A142" s="54">
        <v>44579</v>
      </c>
      <c r="B142" s="55">
        <f>SUMIFS(销售数据包!F:F,销售数据包!A:A,A142,销售数据包!C:C,Base!$F$2)+SUMIFS(销售数据包!F:F,销售数据包!A:A,A142,销售数据包!C:C,Base!$F$3)+SUMIFS(销售数据包!F:F,销售数据包!A:A,A142,销售数据包!C:C,Base!$F$4)</f>
        <v>0</v>
      </c>
      <c r="C142" s="56">
        <f>SUMIFS(销售数据包!K:K,销售数据包!A:A,A142,销售数据包!C:C,Base!$F$2)+SUMIFS(销售数据包!K:K,销售数据包!A:A,A142,销售数据包!C:C,Base!$F$3)+SUMIFS(销售数据包!K:K,销售数据包!A:A,A142,销售数据包!C:C,Base!$F$4)</f>
        <v>0</v>
      </c>
      <c r="D142" s="56">
        <f>SUMIFS(销售数据包!Q:Q,销售数据包!A:A,A142,销售数据包!C:C,Base!$F$2)+SUMIFS(销售数据包!Q:Q,销售数据包!A:A,A142,销售数据包!C:C,Base!$F$3)+SUMIFS(销售数据包!Q:Q,销售数据包!A:A,A142,销售数据包!C:C,Base!$F$4)</f>
        <v>0</v>
      </c>
      <c r="E142" s="57">
        <f t="shared" si="18"/>
        <v>0</v>
      </c>
      <c r="F142" s="57">
        <f t="shared" si="19"/>
        <v>0</v>
      </c>
      <c r="G142" s="56">
        <f>SUMIFS(销售数据包!O:O,销售数据包!A:A,A142)</f>
        <v>0</v>
      </c>
      <c r="H142" s="57">
        <f t="shared" si="20"/>
        <v>0</v>
      </c>
      <c r="I142" s="71">
        <f t="shared" si="21"/>
        <v>0</v>
      </c>
      <c r="J142" s="72" t="str">
        <f t="shared" si="22"/>
        <v>周2</v>
      </c>
      <c r="K142" s="73">
        <f>SUMIFS(广告数据包!H:H,广告数据包!A:A,A142,广告数据包!G:G,Base!$F$2)+SUMIFS(广告数据包!H:H,广告数据包!A:A,A142,广告数据包!G:G,Base!$F$3)+SUMIFS(广告数据包!H:H,广告数据包!A:A,A142,广告数据包!G:G,Base!$F$4)</f>
        <v>0</v>
      </c>
      <c r="L142" s="56">
        <f>SUMIFS(广告数据包!I:I,广告数据包!A:A,A142,广告数据包!G:G,Base!$F$2)+SUMIFS(广告数据包!I:I,广告数据包!A:A,A142,广告数据包!G:G,Base!$F$3)+SUMIFS(广告数据包!I:I,广告数据包!A:A,A142,广告数据包!G:G,Base!$F$4)</f>
        <v>0</v>
      </c>
      <c r="M142" s="57">
        <f t="shared" si="23"/>
        <v>0</v>
      </c>
      <c r="N142" s="74">
        <f t="shared" si="24"/>
        <v>0</v>
      </c>
      <c r="O142" s="75">
        <f>SUMIFS(广告数据包!P:P,广告数据包!A:A,A142,广告数据包!G:G,Base!$F$2)+SUMIFS(广告数据包!P:P,广告数据包!A:A,A142,广告数据包!G:G,Base!$F$3)+SUMIFS(广告数据包!P:P,广告数据包!A:A,A142,广告数据包!G:G,Base!$F$4)</f>
        <v>0</v>
      </c>
      <c r="P142" s="56">
        <f>SUMIFS(广告数据包!M:M,广告数据包!A:A,A142,广告数据包!G:G,Base!$F$2)+SUMIFS(广告数据包!M:M,广告数据包!A:A,A142,广告数据包!G:G,Base!$F$3)+SUMIFS(广告数据包!M:M,广告数据包!A:A,A142,广告数据包!G:G,Base!$F$4)</f>
        <v>0</v>
      </c>
      <c r="Q142" s="57">
        <f t="shared" si="25"/>
        <v>0</v>
      </c>
      <c r="R142" s="56">
        <f>SUMIFS(广告数据包!L:L,广告数据包!A:A,A142,广告数据包!G:G,Base!$F$2)+SUMIFS(广告数据包!L:L,广告数据包!A:A,A142,广告数据包!G:G,Base!$F$3)+SUMIFS(广告数据包!L:L,广告数据包!A:A,A142,广告数据包!G:G,Base!$F$4)</f>
        <v>0</v>
      </c>
      <c r="S142" s="86">
        <f t="shared" si="26"/>
        <v>0</v>
      </c>
    </row>
    <row r="143" ht="16.5" spans="1:19">
      <c r="A143" s="54">
        <v>44580</v>
      </c>
      <c r="B143" s="55">
        <f>SUMIFS(销售数据包!F:F,销售数据包!A:A,A143,销售数据包!C:C,Base!$F$2)+SUMIFS(销售数据包!F:F,销售数据包!A:A,A143,销售数据包!C:C,Base!$F$3)+SUMIFS(销售数据包!F:F,销售数据包!A:A,A143,销售数据包!C:C,Base!$F$4)</f>
        <v>0</v>
      </c>
      <c r="C143" s="56">
        <f>SUMIFS(销售数据包!K:K,销售数据包!A:A,A143,销售数据包!C:C,Base!$F$2)+SUMIFS(销售数据包!K:K,销售数据包!A:A,A143,销售数据包!C:C,Base!$F$3)+SUMIFS(销售数据包!K:K,销售数据包!A:A,A143,销售数据包!C:C,Base!$F$4)</f>
        <v>0</v>
      </c>
      <c r="D143" s="56">
        <f>SUMIFS(销售数据包!Q:Q,销售数据包!A:A,A143,销售数据包!C:C,Base!$F$2)+SUMIFS(销售数据包!Q:Q,销售数据包!A:A,A143,销售数据包!C:C,Base!$F$3)+SUMIFS(销售数据包!Q:Q,销售数据包!A:A,A143,销售数据包!C:C,Base!$F$4)</f>
        <v>0</v>
      </c>
      <c r="E143" s="57">
        <f t="shared" si="18"/>
        <v>0</v>
      </c>
      <c r="F143" s="57">
        <f t="shared" si="19"/>
        <v>0</v>
      </c>
      <c r="G143" s="56">
        <f>SUMIFS(销售数据包!O:O,销售数据包!A:A,A143)</f>
        <v>0</v>
      </c>
      <c r="H143" s="57">
        <f t="shared" si="20"/>
        <v>0</v>
      </c>
      <c r="I143" s="71">
        <f t="shared" si="21"/>
        <v>0</v>
      </c>
      <c r="J143" s="72" t="str">
        <f t="shared" si="22"/>
        <v>周3</v>
      </c>
      <c r="K143" s="73">
        <f>SUMIFS(广告数据包!H:H,广告数据包!A:A,A143,广告数据包!G:G,Base!$F$2)+SUMIFS(广告数据包!H:H,广告数据包!A:A,A143,广告数据包!G:G,Base!$F$3)+SUMIFS(广告数据包!H:H,广告数据包!A:A,A143,广告数据包!G:G,Base!$F$4)</f>
        <v>0</v>
      </c>
      <c r="L143" s="56">
        <f>SUMIFS(广告数据包!I:I,广告数据包!A:A,A143,广告数据包!G:G,Base!$F$2)+SUMIFS(广告数据包!I:I,广告数据包!A:A,A143,广告数据包!G:G,Base!$F$3)+SUMIFS(广告数据包!I:I,广告数据包!A:A,A143,广告数据包!G:G,Base!$F$4)</f>
        <v>0</v>
      </c>
      <c r="M143" s="57">
        <f t="shared" si="23"/>
        <v>0</v>
      </c>
      <c r="N143" s="74">
        <f t="shared" si="24"/>
        <v>0</v>
      </c>
      <c r="O143" s="75">
        <f>SUMIFS(广告数据包!P:P,广告数据包!A:A,A143,广告数据包!G:G,Base!$F$2)+SUMIFS(广告数据包!P:P,广告数据包!A:A,A143,广告数据包!G:G,Base!$F$3)+SUMIFS(广告数据包!P:P,广告数据包!A:A,A143,广告数据包!G:G,Base!$F$4)</f>
        <v>0</v>
      </c>
      <c r="P143" s="56">
        <f>SUMIFS(广告数据包!M:M,广告数据包!A:A,A143,广告数据包!G:G,Base!$F$2)+SUMIFS(广告数据包!M:M,广告数据包!A:A,A143,广告数据包!G:G,Base!$F$3)+SUMIFS(广告数据包!M:M,广告数据包!A:A,A143,广告数据包!G:G,Base!$F$4)</f>
        <v>0</v>
      </c>
      <c r="Q143" s="57">
        <f t="shared" si="25"/>
        <v>0</v>
      </c>
      <c r="R143" s="56">
        <f>SUMIFS(广告数据包!L:L,广告数据包!A:A,A143,广告数据包!G:G,Base!$F$2)+SUMIFS(广告数据包!L:L,广告数据包!A:A,A143,广告数据包!G:G,Base!$F$3)+SUMIFS(广告数据包!L:L,广告数据包!A:A,A143,广告数据包!G:G,Base!$F$4)</f>
        <v>0</v>
      </c>
      <c r="S143" s="86">
        <f t="shared" si="26"/>
        <v>0</v>
      </c>
    </row>
    <row r="144" ht="16.5" spans="1:19">
      <c r="A144" s="54">
        <v>44581</v>
      </c>
      <c r="B144" s="55">
        <f>SUMIFS(销售数据包!F:F,销售数据包!A:A,A144,销售数据包!C:C,Base!$F$2)+SUMIFS(销售数据包!F:F,销售数据包!A:A,A144,销售数据包!C:C,Base!$F$3)+SUMIFS(销售数据包!F:F,销售数据包!A:A,A144,销售数据包!C:C,Base!$F$4)</f>
        <v>0</v>
      </c>
      <c r="C144" s="56">
        <f>SUMIFS(销售数据包!K:K,销售数据包!A:A,A144,销售数据包!C:C,Base!$F$2)+SUMIFS(销售数据包!K:K,销售数据包!A:A,A144,销售数据包!C:C,Base!$F$3)+SUMIFS(销售数据包!K:K,销售数据包!A:A,A144,销售数据包!C:C,Base!$F$4)</f>
        <v>0</v>
      </c>
      <c r="D144" s="56">
        <f>SUMIFS(销售数据包!Q:Q,销售数据包!A:A,A144,销售数据包!C:C,Base!$F$2)+SUMIFS(销售数据包!Q:Q,销售数据包!A:A,A144,销售数据包!C:C,Base!$F$3)+SUMIFS(销售数据包!Q:Q,销售数据包!A:A,A144,销售数据包!C:C,Base!$F$4)</f>
        <v>0</v>
      </c>
      <c r="E144" s="57">
        <f t="shared" si="18"/>
        <v>0</v>
      </c>
      <c r="F144" s="57">
        <f t="shared" si="19"/>
        <v>0</v>
      </c>
      <c r="G144" s="56">
        <f>SUMIFS(销售数据包!O:O,销售数据包!A:A,A144)</f>
        <v>0</v>
      </c>
      <c r="H144" s="57">
        <f t="shared" si="20"/>
        <v>0</v>
      </c>
      <c r="I144" s="71">
        <f t="shared" si="21"/>
        <v>0</v>
      </c>
      <c r="J144" s="72" t="str">
        <f t="shared" si="22"/>
        <v>周4</v>
      </c>
      <c r="K144" s="73">
        <f>SUMIFS(广告数据包!H:H,广告数据包!A:A,A144,广告数据包!G:G,Base!$F$2)+SUMIFS(广告数据包!H:H,广告数据包!A:A,A144,广告数据包!G:G,Base!$F$3)+SUMIFS(广告数据包!H:H,广告数据包!A:A,A144,广告数据包!G:G,Base!$F$4)</f>
        <v>0</v>
      </c>
      <c r="L144" s="56">
        <f>SUMIFS(广告数据包!I:I,广告数据包!A:A,A144,广告数据包!G:G,Base!$F$2)+SUMIFS(广告数据包!I:I,广告数据包!A:A,A144,广告数据包!G:G,Base!$F$3)+SUMIFS(广告数据包!I:I,广告数据包!A:A,A144,广告数据包!G:G,Base!$F$4)</f>
        <v>0</v>
      </c>
      <c r="M144" s="57">
        <f t="shared" si="23"/>
        <v>0</v>
      </c>
      <c r="N144" s="74">
        <f t="shared" si="24"/>
        <v>0</v>
      </c>
      <c r="O144" s="75">
        <f>SUMIFS(广告数据包!P:P,广告数据包!A:A,A144,广告数据包!G:G,Base!$F$2)+SUMIFS(广告数据包!P:P,广告数据包!A:A,A144,广告数据包!G:G,Base!$F$3)+SUMIFS(广告数据包!P:P,广告数据包!A:A,A144,广告数据包!G:G,Base!$F$4)</f>
        <v>0</v>
      </c>
      <c r="P144" s="56">
        <f>SUMIFS(广告数据包!M:M,广告数据包!A:A,A144,广告数据包!G:G,Base!$F$2)+SUMIFS(广告数据包!M:M,广告数据包!A:A,A144,广告数据包!G:G,Base!$F$3)+SUMIFS(广告数据包!M:M,广告数据包!A:A,A144,广告数据包!G:G,Base!$F$4)</f>
        <v>0</v>
      </c>
      <c r="Q144" s="57">
        <f t="shared" si="25"/>
        <v>0</v>
      </c>
      <c r="R144" s="56">
        <f>SUMIFS(广告数据包!L:L,广告数据包!A:A,A144,广告数据包!G:G,Base!$F$2)+SUMIFS(广告数据包!L:L,广告数据包!A:A,A144,广告数据包!G:G,Base!$F$3)+SUMIFS(广告数据包!L:L,广告数据包!A:A,A144,广告数据包!G:G,Base!$F$4)</f>
        <v>0</v>
      </c>
      <c r="S144" s="86">
        <f t="shared" si="26"/>
        <v>0</v>
      </c>
    </row>
    <row r="145" ht="16.5" spans="1:19">
      <c r="A145" s="54">
        <v>44582</v>
      </c>
      <c r="B145" s="55">
        <f>SUMIFS(销售数据包!F:F,销售数据包!A:A,A145,销售数据包!C:C,Base!$F$2)+SUMIFS(销售数据包!F:F,销售数据包!A:A,A145,销售数据包!C:C,Base!$F$3)+SUMIFS(销售数据包!F:F,销售数据包!A:A,A145,销售数据包!C:C,Base!$F$4)</f>
        <v>0</v>
      </c>
      <c r="C145" s="56">
        <f>SUMIFS(销售数据包!K:K,销售数据包!A:A,A145,销售数据包!C:C,Base!$F$2)+SUMIFS(销售数据包!K:K,销售数据包!A:A,A145,销售数据包!C:C,Base!$F$3)+SUMIFS(销售数据包!K:K,销售数据包!A:A,A145,销售数据包!C:C,Base!$F$4)</f>
        <v>0</v>
      </c>
      <c r="D145" s="56">
        <f>SUMIFS(销售数据包!Q:Q,销售数据包!A:A,A145,销售数据包!C:C,Base!$F$2)+SUMIFS(销售数据包!Q:Q,销售数据包!A:A,A145,销售数据包!C:C,Base!$F$3)+SUMIFS(销售数据包!Q:Q,销售数据包!A:A,A145,销售数据包!C:C,Base!$F$4)</f>
        <v>0</v>
      </c>
      <c r="E145" s="57">
        <f t="shared" si="18"/>
        <v>0</v>
      </c>
      <c r="F145" s="57">
        <f t="shared" si="19"/>
        <v>0</v>
      </c>
      <c r="G145" s="56">
        <f>SUMIFS(销售数据包!O:O,销售数据包!A:A,A145)</f>
        <v>0</v>
      </c>
      <c r="H145" s="57">
        <f t="shared" si="20"/>
        <v>0</v>
      </c>
      <c r="I145" s="71">
        <f t="shared" si="21"/>
        <v>0</v>
      </c>
      <c r="J145" s="72" t="str">
        <f t="shared" si="22"/>
        <v>周5</v>
      </c>
      <c r="K145" s="73">
        <f>SUMIFS(广告数据包!H:H,广告数据包!A:A,A145,广告数据包!G:G,Base!$F$2)+SUMIFS(广告数据包!H:H,广告数据包!A:A,A145,广告数据包!G:G,Base!$F$3)+SUMIFS(广告数据包!H:H,广告数据包!A:A,A145,广告数据包!G:G,Base!$F$4)</f>
        <v>0</v>
      </c>
      <c r="L145" s="56">
        <f>SUMIFS(广告数据包!I:I,广告数据包!A:A,A145,广告数据包!G:G,Base!$F$2)+SUMIFS(广告数据包!I:I,广告数据包!A:A,A145,广告数据包!G:G,Base!$F$3)+SUMIFS(广告数据包!I:I,广告数据包!A:A,A145,广告数据包!G:G,Base!$F$4)</f>
        <v>0</v>
      </c>
      <c r="M145" s="57">
        <f t="shared" si="23"/>
        <v>0</v>
      </c>
      <c r="N145" s="74">
        <f t="shared" si="24"/>
        <v>0</v>
      </c>
      <c r="O145" s="75">
        <f>SUMIFS(广告数据包!P:P,广告数据包!A:A,A145,广告数据包!G:G,Base!$F$2)+SUMIFS(广告数据包!P:P,广告数据包!A:A,A145,广告数据包!G:G,Base!$F$3)+SUMIFS(广告数据包!P:P,广告数据包!A:A,A145,广告数据包!G:G,Base!$F$4)</f>
        <v>0</v>
      </c>
      <c r="P145" s="56">
        <f>SUMIFS(广告数据包!M:M,广告数据包!A:A,A145,广告数据包!G:G,Base!$F$2)+SUMIFS(广告数据包!M:M,广告数据包!A:A,A145,广告数据包!G:G,Base!$F$3)+SUMIFS(广告数据包!M:M,广告数据包!A:A,A145,广告数据包!G:G,Base!$F$4)</f>
        <v>0</v>
      </c>
      <c r="Q145" s="57">
        <f t="shared" si="25"/>
        <v>0</v>
      </c>
      <c r="R145" s="56">
        <f>SUMIFS(广告数据包!L:L,广告数据包!A:A,A145,广告数据包!G:G,Base!$F$2)+SUMIFS(广告数据包!L:L,广告数据包!A:A,A145,广告数据包!G:G,Base!$F$3)+SUMIFS(广告数据包!L:L,广告数据包!A:A,A145,广告数据包!G:G,Base!$F$4)</f>
        <v>0</v>
      </c>
      <c r="S145" s="86">
        <f t="shared" si="26"/>
        <v>0</v>
      </c>
    </row>
    <row r="146" ht="16.5" spans="1:19">
      <c r="A146" s="54">
        <v>44583</v>
      </c>
      <c r="B146" s="55">
        <f>SUMIFS(销售数据包!F:F,销售数据包!A:A,A146,销售数据包!C:C,Base!$F$2)+SUMIFS(销售数据包!F:F,销售数据包!A:A,A146,销售数据包!C:C,Base!$F$3)+SUMIFS(销售数据包!F:F,销售数据包!A:A,A146,销售数据包!C:C,Base!$F$4)</f>
        <v>0</v>
      </c>
      <c r="C146" s="56">
        <f>SUMIFS(销售数据包!K:K,销售数据包!A:A,A146,销售数据包!C:C,Base!$F$2)+SUMIFS(销售数据包!K:K,销售数据包!A:A,A146,销售数据包!C:C,Base!$F$3)+SUMIFS(销售数据包!K:K,销售数据包!A:A,A146,销售数据包!C:C,Base!$F$4)</f>
        <v>0</v>
      </c>
      <c r="D146" s="56">
        <f>SUMIFS(销售数据包!Q:Q,销售数据包!A:A,A146,销售数据包!C:C,Base!$F$2)+SUMIFS(销售数据包!Q:Q,销售数据包!A:A,A146,销售数据包!C:C,Base!$F$3)+SUMIFS(销售数据包!Q:Q,销售数据包!A:A,A146,销售数据包!C:C,Base!$F$4)</f>
        <v>0</v>
      </c>
      <c r="E146" s="57">
        <f t="shared" ref="E146:E154" si="27">IFERROR(D146/B146,0)</f>
        <v>0</v>
      </c>
      <c r="F146" s="57">
        <f t="shared" ref="F146:F154" si="28">IFERROR(C146/B146,0)</f>
        <v>0</v>
      </c>
      <c r="G146" s="56">
        <f>SUMIFS(销售数据包!O:O,销售数据包!A:A,A146)</f>
        <v>0</v>
      </c>
      <c r="H146" s="57">
        <f t="shared" ref="H146:H154" si="29">IFERROR(R146/G146,0)</f>
        <v>0</v>
      </c>
      <c r="I146" s="71">
        <f t="shared" ref="I146:I154" si="30">IFERROR(P146/G146,0)</f>
        <v>0</v>
      </c>
      <c r="J146" s="72" t="str">
        <f t="shared" ref="J146:J154" si="31">"周"&amp;WEEKDAY(A146,2)</f>
        <v>周6</v>
      </c>
      <c r="K146" s="73">
        <f>SUMIFS(广告数据包!H:H,广告数据包!A:A,A146,广告数据包!G:G,Base!$F$2)+SUMIFS(广告数据包!H:H,广告数据包!A:A,A146,广告数据包!G:G,Base!$F$3)+SUMIFS(广告数据包!H:H,广告数据包!A:A,A146,广告数据包!G:G,Base!$F$4)</f>
        <v>0</v>
      </c>
      <c r="L146" s="56">
        <f>SUMIFS(广告数据包!I:I,广告数据包!A:A,A146,广告数据包!G:G,Base!$F$2)+SUMIFS(广告数据包!I:I,广告数据包!A:A,A146,广告数据包!G:G,Base!$F$3)+SUMIFS(广告数据包!I:I,广告数据包!A:A,A146,广告数据包!G:G,Base!$F$4)</f>
        <v>0</v>
      </c>
      <c r="M146" s="57">
        <f t="shared" ref="M146:M154" si="32">IFERROR(L146/K146,0)</f>
        <v>0</v>
      </c>
      <c r="N146" s="74">
        <f t="shared" ref="N146:N154" si="33">IFERROR(R146/L146,0)</f>
        <v>0</v>
      </c>
      <c r="O146" s="75">
        <f>SUMIFS(广告数据包!P:P,广告数据包!A:A,A146,广告数据包!G:G,Base!$F$2)+SUMIFS(广告数据包!P:P,广告数据包!A:A,A146,广告数据包!G:G,Base!$F$3)+SUMIFS(广告数据包!P:P,广告数据包!A:A,A146,广告数据包!G:G,Base!$F$4)</f>
        <v>0</v>
      </c>
      <c r="P146" s="56">
        <f>SUMIFS(广告数据包!M:M,广告数据包!A:A,A146,广告数据包!G:G,Base!$F$2)+SUMIFS(广告数据包!M:M,广告数据包!A:A,A146,广告数据包!G:G,Base!$F$3)+SUMIFS(广告数据包!M:M,广告数据包!A:A,A146,广告数据包!G:G,Base!$F$4)</f>
        <v>0</v>
      </c>
      <c r="Q146" s="57">
        <f t="shared" ref="Q146:Q154" si="34">IFERROR(O146/L146,0)</f>
        <v>0</v>
      </c>
      <c r="R146" s="56">
        <f>SUMIFS(广告数据包!L:L,广告数据包!A:A,A146,广告数据包!G:G,Base!$F$2)+SUMIFS(广告数据包!L:L,广告数据包!A:A,A146,广告数据包!G:G,Base!$F$3)+SUMIFS(广告数据包!L:L,广告数据包!A:A,A146,广告数据包!G:G,Base!$F$4)</f>
        <v>0</v>
      </c>
      <c r="S146" s="86">
        <f t="shared" ref="S146:S154" si="35">IFERROR(R146/P146,0)</f>
        <v>0</v>
      </c>
    </row>
    <row r="147" ht="16.5" spans="1:19">
      <c r="A147" s="54">
        <v>44584</v>
      </c>
      <c r="B147" s="55">
        <f>SUMIFS(销售数据包!F:F,销售数据包!A:A,A147,销售数据包!C:C,Base!$F$2)+SUMIFS(销售数据包!F:F,销售数据包!A:A,A147,销售数据包!C:C,Base!$F$3)+SUMIFS(销售数据包!F:F,销售数据包!A:A,A147,销售数据包!C:C,Base!$F$4)</f>
        <v>0</v>
      </c>
      <c r="C147" s="56">
        <f>SUMIFS(销售数据包!K:K,销售数据包!A:A,A147,销售数据包!C:C,Base!$F$2)+SUMIFS(销售数据包!K:K,销售数据包!A:A,A147,销售数据包!C:C,Base!$F$3)+SUMIFS(销售数据包!K:K,销售数据包!A:A,A147,销售数据包!C:C,Base!$F$4)</f>
        <v>0</v>
      </c>
      <c r="D147" s="56">
        <f>SUMIFS(销售数据包!Q:Q,销售数据包!A:A,A147,销售数据包!C:C,Base!$F$2)+SUMIFS(销售数据包!Q:Q,销售数据包!A:A,A147,销售数据包!C:C,Base!$F$3)+SUMIFS(销售数据包!Q:Q,销售数据包!A:A,A147,销售数据包!C:C,Base!$F$4)</f>
        <v>0</v>
      </c>
      <c r="E147" s="57">
        <f t="shared" si="27"/>
        <v>0</v>
      </c>
      <c r="F147" s="57">
        <f t="shared" si="28"/>
        <v>0</v>
      </c>
      <c r="G147" s="56">
        <f>SUMIFS(销售数据包!O:O,销售数据包!A:A,A147)</f>
        <v>0</v>
      </c>
      <c r="H147" s="57">
        <f t="shared" si="29"/>
        <v>0</v>
      </c>
      <c r="I147" s="71">
        <f t="shared" si="30"/>
        <v>0</v>
      </c>
      <c r="J147" s="72" t="str">
        <f t="shared" si="31"/>
        <v>周7</v>
      </c>
      <c r="K147" s="73">
        <f>SUMIFS(广告数据包!H:H,广告数据包!A:A,A147,广告数据包!G:G,Base!$F$2)+SUMIFS(广告数据包!H:H,广告数据包!A:A,A147,广告数据包!G:G,Base!$F$3)+SUMIFS(广告数据包!H:H,广告数据包!A:A,A147,广告数据包!G:G,Base!$F$4)</f>
        <v>0</v>
      </c>
      <c r="L147" s="56">
        <f>SUMIFS(广告数据包!I:I,广告数据包!A:A,A147,广告数据包!G:G,Base!$F$2)+SUMIFS(广告数据包!I:I,广告数据包!A:A,A147,广告数据包!G:G,Base!$F$3)+SUMIFS(广告数据包!I:I,广告数据包!A:A,A147,广告数据包!G:G,Base!$F$4)</f>
        <v>0</v>
      </c>
      <c r="M147" s="57">
        <f t="shared" si="32"/>
        <v>0</v>
      </c>
      <c r="N147" s="74">
        <f t="shared" si="33"/>
        <v>0</v>
      </c>
      <c r="O147" s="75">
        <f>SUMIFS(广告数据包!P:P,广告数据包!A:A,A147,广告数据包!G:G,Base!$F$2)+SUMIFS(广告数据包!P:P,广告数据包!A:A,A147,广告数据包!G:G,Base!$F$3)+SUMIFS(广告数据包!P:P,广告数据包!A:A,A147,广告数据包!G:G,Base!$F$4)</f>
        <v>0</v>
      </c>
      <c r="P147" s="56">
        <f>SUMIFS(广告数据包!M:M,广告数据包!A:A,A147,广告数据包!G:G,Base!$F$2)+SUMIFS(广告数据包!M:M,广告数据包!A:A,A147,广告数据包!G:G,Base!$F$3)+SUMIFS(广告数据包!M:M,广告数据包!A:A,A147,广告数据包!G:G,Base!$F$4)</f>
        <v>0</v>
      </c>
      <c r="Q147" s="57">
        <f t="shared" si="34"/>
        <v>0</v>
      </c>
      <c r="R147" s="56">
        <f>SUMIFS(广告数据包!L:L,广告数据包!A:A,A147,广告数据包!G:G,Base!$F$2)+SUMIFS(广告数据包!L:L,广告数据包!A:A,A147,广告数据包!G:G,Base!$F$3)+SUMIFS(广告数据包!L:L,广告数据包!A:A,A147,广告数据包!G:G,Base!$F$4)</f>
        <v>0</v>
      </c>
      <c r="S147" s="86">
        <f t="shared" si="35"/>
        <v>0</v>
      </c>
    </row>
    <row r="148" ht="16.5" spans="1:19">
      <c r="A148" s="54">
        <v>44585</v>
      </c>
      <c r="B148" s="55">
        <f>SUMIFS(销售数据包!F:F,销售数据包!A:A,A148,销售数据包!C:C,Base!$F$2)+SUMIFS(销售数据包!F:F,销售数据包!A:A,A148,销售数据包!C:C,Base!$F$3)+SUMIFS(销售数据包!F:F,销售数据包!A:A,A148,销售数据包!C:C,Base!$F$4)</f>
        <v>0</v>
      </c>
      <c r="C148" s="56">
        <f>SUMIFS(销售数据包!K:K,销售数据包!A:A,A148,销售数据包!C:C,Base!$F$2)+SUMIFS(销售数据包!K:K,销售数据包!A:A,A148,销售数据包!C:C,Base!$F$3)+SUMIFS(销售数据包!K:K,销售数据包!A:A,A148,销售数据包!C:C,Base!$F$4)</f>
        <v>0</v>
      </c>
      <c r="D148" s="56">
        <f>SUMIFS(销售数据包!Q:Q,销售数据包!A:A,A148,销售数据包!C:C,Base!$F$2)+SUMIFS(销售数据包!Q:Q,销售数据包!A:A,A148,销售数据包!C:C,Base!$F$3)+SUMIFS(销售数据包!Q:Q,销售数据包!A:A,A148,销售数据包!C:C,Base!$F$4)</f>
        <v>0</v>
      </c>
      <c r="E148" s="57">
        <f t="shared" si="27"/>
        <v>0</v>
      </c>
      <c r="F148" s="57">
        <f t="shared" si="28"/>
        <v>0</v>
      </c>
      <c r="G148" s="56">
        <f>SUMIFS(销售数据包!O:O,销售数据包!A:A,A148)</f>
        <v>0</v>
      </c>
      <c r="H148" s="57">
        <f t="shared" si="29"/>
        <v>0</v>
      </c>
      <c r="I148" s="71">
        <f t="shared" si="30"/>
        <v>0</v>
      </c>
      <c r="J148" s="72" t="str">
        <f t="shared" si="31"/>
        <v>周1</v>
      </c>
      <c r="K148" s="73">
        <f>SUMIFS(广告数据包!H:H,广告数据包!A:A,A148,广告数据包!G:G,Base!$F$2)+SUMIFS(广告数据包!H:H,广告数据包!A:A,A148,广告数据包!G:G,Base!$F$3)+SUMIFS(广告数据包!H:H,广告数据包!A:A,A148,广告数据包!G:G,Base!$F$4)</f>
        <v>0</v>
      </c>
      <c r="L148" s="56">
        <f>SUMIFS(广告数据包!I:I,广告数据包!A:A,A148,广告数据包!G:G,Base!$F$2)+SUMIFS(广告数据包!I:I,广告数据包!A:A,A148,广告数据包!G:G,Base!$F$3)+SUMIFS(广告数据包!I:I,广告数据包!A:A,A148,广告数据包!G:G,Base!$F$4)</f>
        <v>0</v>
      </c>
      <c r="M148" s="57">
        <f t="shared" si="32"/>
        <v>0</v>
      </c>
      <c r="N148" s="74">
        <f t="shared" si="33"/>
        <v>0</v>
      </c>
      <c r="O148" s="75">
        <f>SUMIFS(广告数据包!P:P,广告数据包!A:A,A148,广告数据包!G:G,Base!$F$2)+SUMIFS(广告数据包!P:P,广告数据包!A:A,A148,广告数据包!G:G,Base!$F$3)+SUMIFS(广告数据包!P:P,广告数据包!A:A,A148,广告数据包!G:G,Base!$F$4)</f>
        <v>0</v>
      </c>
      <c r="P148" s="56">
        <f>SUMIFS(广告数据包!M:M,广告数据包!A:A,A148,广告数据包!G:G,Base!$F$2)+SUMIFS(广告数据包!M:M,广告数据包!A:A,A148,广告数据包!G:G,Base!$F$3)+SUMIFS(广告数据包!M:M,广告数据包!A:A,A148,广告数据包!G:G,Base!$F$4)</f>
        <v>0</v>
      </c>
      <c r="Q148" s="57">
        <f t="shared" si="34"/>
        <v>0</v>
      </c>
      <c r="R148" s="56">
        <f>SUMIFS(广告数据包!L:L,广告数据包!A:A,A148,广告数据包!G:G,Base!$F$2)+SUMIFS(广告数据包!L:L,广告数据包!A:A,A148,广告数据包!G:G,Base!$F$3)+SUMIFS(广告数据包!L:L,广告数据包!A:A,A148,广告数据包!G:G,Base!$F$4)</f>
        <v>0</v>
      </c>
      <c r="S148" s="86">
        <f t="shared" si="35"/>
        <v>0</v>
      </c>
    </row>
    <row r="149" ht="16.5" spans="1:19">
      <c r="A149" s="54">
        <v>44586</v>
      </c>
      <c r="B149" s="55">
        <f>SUMIFS(销售数据包!F:F,销售数据包!A:A,A149,销售数据包!C:C,Base!$F$2)+SUMIFS(销售数据包!F:F,销售数据包!A:A,A149,销售数据包!C:C,Base!$F$3)+SUMIFS(销售数据包!F:F,销售数据包!A:A,A149,销售数据包!C:C,Base!$F$4)</f>
        <v>0</v>
      </c>
      <c r="C149" s="56">
        <f>SUMIFS(销售数据包!K:K,销售数据包!A:A,A149,销售数据包!C:C,Base!$F$2)+SUMIFS(销售数据包!K:K,销售数据包!A:A,A149,销售数据包!C:C,Base!$F$3)+SUMIFS(销售数据包!K:K,销售数据包!A:A,A149,销售数据包!C:C,Base!$F$4)</f>
        <v>0</v>
      </c>
      <c r="D149" s="56">
        <f>SUMIFS(销售数据包!Q:Q,销售数据包!A:A,A149,销售数据包!C:C,Base!$F$2)+SUMIFS(销售数据包!Q:Q,销售数据包!A:A,A149,销售数据包!C:C,Base!$F$3)+SUMIFS(销售数据包!Q:Q,销售数据包!A:A,A149,销售数据包!C:C,Base!$F$4)</f>
        <v>0</v>
      </c>
      <c r="E149" s="57">
        <f t="shared" si="27"/>
        <v>0</v>
      </c>
      <c r="F149" s="57">
        <f t="shared" si="28"/>
        <v>0</v>
      </c>
      <c r="G149" s="56">
        <f>SUMIFS(销售数据包!O:O,销售数据包!A:A,A149)</f>
        <v>0</v>
      </c>
      <c r="H149" s="57">
        <f t="shared" si="29"/>
        <v>0</v>
      </c>
      <c r="I149" s="71">
        <f t="shared" si="30"/>
        <v>0</v>
      </c>
      <c r="J149" s="72" t="str">
        <f t="shared" si="31"/>
        <v>周2</v>
      </c>
      <c r="K149" s="73">
        <f>SUMIFS(广告数据包!H:H,广告数据包!A:A,A149,广告数据包!G:G,Base!$F$2)+SUMIFS(广告数据包!H:H,广告数据包!A:A,A149,广告数据包!G:G,Base!$F$3)+SUMIFS(广告数据包!H:H,广告数据包!A:A,A149,广告数据包!G:G,Base!$F$4)</f>
        <v>0</v>
      </c>
      <c r="L149" s="56">
        <f>SUMIFS(广告数据包!I:I,广告数据包!A:A,A149,广告数据包!G:G,Base!$F$2)+SUMIFS(广告数据包!I:I,广告数据包!A:A,A149,广告数据包!G:G,Base!$F$3)+SUMIFS(广告数据包!I:I,广告数据包!A:A,A149,广告数据包!G:G,Base!$F$4)</f>
        <v>0</v>
      </c>
      <c r="M149" s="57">
        <f t="shared" si="32"/>
        <v>0</v>
      </c>
      <c r="N149" s="74">
        <f t="shared" si="33"/>
        <v>0</v>
      </c>
      <c r="O149" s="75">
        <f>SUMIFS(广告数据包!P:P,广告数据包!A:A,A149,广告数据包!G:G,Base!$F$2)+SUMIFS(广告数据包!P:P,广告数据包!A:A,A149,广告数据包!G:G,Base!$F$3)+SUMIFS(广告数据包!P:P,广告数据包!A:A,A149,广告数据包!G:G,Base!$F$4)</f>
        <v>0</v>
      </c>
      <c r="P149" s="56">
        <f>SUMIFS(广告数据包!M:M,广告数据包!A:A,A149,广告数据包!G:G,Base!$F$2)+SUMIFS(广告数据包!M:M,广告数据包!A:A,A149,广告数据包!G:G,Base!$F$3)+SUMIFS(广告数据包!M:M,广告数据包!A:A,A149,广告数据包!G:G,Base!$F$4)</f>
        <v>0</v>
      </c>
      <c r="Q149" s="57">
        <f t="shared" si="34"/>
        <v>0</v>
      </c>
      <c r="R149" s="56">
        <f>SUMIFS(广告数据包!L:L,广告数据包!A:A,A149,广告数据包!G:G,Base!$F$2)+SUMIFS(广告数据包!L:L,广告数据包!A:A,A149,广告数据包!G:G,Base!$F$3)+SUMIFS(广告数据包!L:L,广告数据包!A:A,A149,广告数据包!G:G,Base!$F$4)</f>
        <v>0</v>
      </c>
      <c r="S149" s="86">
        <f t="shared" si="35"/>
        <v>0</v>
      </c>
    </row>
    <row r="150" ht="16.5" spans="1:19">
      <c r="A150" s="54">
        <v>44587</v>
      </c>
      <c r="B150" s="55">
        <f>SUMIFS(销售数据包!F:F,销售数据包!A:A,A150,销售数据包!C:C,Base!$F$2)+SUMIFS(销售数据包!F:F,销售数据包!A:A,A150,销售数据包!C:C,Base!$F$3)+SUMIFS(销售数据包!F:F,销售数据包!A:A,A150,销售数据包!C:C,Base!$F$4)</f>
        <v>0</v>
      </c>
      <c r="C150" s="56">
        <f>SUMIFS(销售数据包!K:K,销售数据包!A:A,A150,销售数据包!C:C,Base!$F$2)+SUMIFS(销售数据包!K:K,销售数据包!A:A,A150,销售数据包!C:C,Base!$F$3)+SUMIFS(销售数据包!K:K,销售数据包!A:A,A150,销售数据包!C:C,Base!$F$4)</f>
        <v>0</v>
      </c>
      <c r="D150" s="56">
        <f>SUMIFS(销售数据包!Q:Q,销售数据包!A:A,A150,销售数据包!C:C,Base!$F$2)+SUMIFS(销售数据包!Q:Q,销售数据包!A:A,A150,销售数据包!C:C,Base!$F$3)+SUMIFS(销售数据包!Q:Q,销售数据包!A:A,A150,销售数据包!C:C,Base!$F$4)</f>
        <v>0</v>
      </c>
      <c r="E150" s="57">
        <f t="shared" si="27"/>
        <v>0</v>
      </c>
      <c r="F150" s="57">
        <f t="shared" si="28"/>
        <v>0</v>
      </c>
      <c r="G150" s="56">
        <f>SUMIFS(销售数据包!O:O,销售数据包!A:A,A150)</f>
        <v>0</v>
      </c>
      <c r="H150" s="57">
        <f t="shared" si="29"/>
        <v>0</v>
      </c>
      <c r="I150" s="71">
        <f t="shared" si="30"/>
        <v>0</v>
      </c>
      <c r="J150" s="72" t="str">
        <f t="shared" si="31"/>
        <v>周3</v>
      </c>
      <c r="K150" s="73">
        <f>SUMIFS(广告数据包!H:H,广告数据包!A:A,A150,广告数据包!G:G,Base!$F$2)+SUMIFS(广告数据包!H:H,广告数据包!A:A,A150,广告数据包!G:G,Base!$F$3)+SUMIFS(广告数据包!H:H,广告数据包!A:A,A150,广告数据包!G:G,Base!$F$4)</f>
        <v>0</v>
      </c>
      <c r="L150" s="56">
        <f>SUMIFS(广告数据包!I:I,广告数据包!A:A,A150,广告数据包!G:G,Base!$F$2)+SUMIFS(广告数据包!I:I,广告数据包!A:A,A150,广告数据包!G:G,Base!$F$3)+SUMIFS(广告数据包!I:I,广告数据包!A:A,A150,广告数据包!G:G,Base!$F$4)</f>
        <v>0</v>
      </c>
      <c r="M150" s="57">
        <f t="shared" si="32"/>
        <v>0</v>
      </c>
      <c r="N150" s="74">
        <f t="shared" si="33"/>
        <v>0</v>
      </c>
      <c r="O150" s="75">
        <f>SUMIFS(广告数据包!P:P,广告数据包!A:A,A150,广告数据包!G:G,Base!$F$2)+SUMIFS(广告数据包!P:P,广告数据包!A:A,A150,广告数据包!G:G,Base!$F$3)+SUMIFS(广告数据包!P:P,广告数据包!A:A,A150,广告数据包!G:G,Base!$F$4)</f>
        <v>0</v>
      </c>
      <c r="P150" s="56">
        <f>SUMIFS(广告数据包!M:M,广告数据包!A:A,A150,广告数据包!G:G,Base!$F$2)+SUMIFS(广告数据包!M:M,广告数据包!A:A,A150,广告数据包!G:G,Base!$F$3)+SUMIFS(广告数据包!M:M,广告数据包!A:A,A150,广告数据包!G:G,Base!$F$4)</f>
        <v>0</v>
      </c>
      <c r="Q150" s="57">
        <f t="shared" si="34"/>
        <v>0</v>
      </c>
      <c r="R150" s="56">
        <f>SUMIFS(广告数据包!L:L,广告数据包!A:A,A150,广告数据包!G:G,Base!$F$2)+SUMIFS(广告数据包!L:L,广告数据包!A:A,A150,广告数据包!G:G,Base!$F$3)+SUMIFS(广告数据包!L:L,广告数据包!A:A,A150,广告数据包!G:G,Base!$F$4)</f>
        <v>0</v>
      </c>
      <c r="S150" s="86">
        <f t="shared" si="35"/>
        <v>0</v>
      </c>
    </row>
    <row r="151" ht="16.5" spans="1:19">
      <c r="A151" s="54">
        <v>44588</v>
      </c>
      <c r="B151" s="55">
        <f>SUMIFS(销售数据包!F:F,销售数据包!A:A,A151,销售数据包!C:C,Base!$F$2)+SUMIFS(销售数据包!F:F,销售数据包!A:A,A151,销售数据包!C:C,Base!$F$3)+SUMIFS(销售数据包!F:F,销售数据包!A:A,A151,销售数据包!C:C,Base!$F$4)</f>
        <v>0</v>
      </c>
      <c r="C151" s="56">
        <f>SUMIFS(销售数据包!K:K,销售数据包!A:A,A151,销售数据包!C:C,Base!$F$2)+SUMIFS(销售数据包!K:K,销售数据包!A:A,A151,销售数据包!C:C,Base!$F$3)+SUMIFS(销售数据包!K:K,销售数据包!A:A,A151,销售数据包!C:C,Base!$F$4)</f>
        <v>0</v>
      </c>
      <c r="D151" s="56">
        <f>SUMIFS(销售数据包!Q:Q,销售数据包!A:A,A151,销售数据包!C:C,Base!$F$2)+SUMIFS(销售数据包!Q:Q,销售数据包!A:A,A151,销售数据包!C:C,Base!$F$3)+SUMIFS(销售数据包!Q:Q,销售数据包!A:A,A151,销售数据包!C:C,Base!$F$4)</f>
        <v>0</v>
      </c>
      <c r="E151" s="57">
        <f t="shared" si="27"/>
        <v>0</v>
      </c>
      <c r="F151" s="57">
        <f t="shared" si="28"/>
        <v>0</v>
      </c>
      <c r="G151" s="56">
        <f>SUMIFS(销售数据包!O:O,销售数据包!A:A,A151)</f>
        <v>0</v>
      </c>
      <c r="H151" s="57">
        <f t="shared" si="29"/>
        <v>0</v>
      </c>
      <c r="I151" s="71">
        <f t="shared" si="30"/>
        <v>0</v>
      </c>
      <c r="J151" s="72" t="str">
        <f t="shared" si="31"/>
        <v>周4</v>
      </c>
      <c r="K151" s="73">
        <f>SUMIFS(广告数据包!H:H,广告数据包!A:A,A151,广告数据包!G:G,Base!$F$2)+SUMIFS(广告数据包!H:H,广告数据包!A:A,A151,广告数据包!G:G,Base!$F$3)+SUMIFS(广告数据包!H:H,广告数据包!A:A,A151,广告数据包!G:G,Base!$F$4)</f>
        <v>0</v>
      </c>
      <c r="L151" s="56">
        <f>SUMIFS(广告数据包!I:I,广告数据包!A:A,A151,广告数据包!G:G,Base!$F$2)+SUMIFS(广告数据包!I:I,广告数据包!A:A,A151,广告数据包!G:G,Base!$F$3)+SUMIFS(广告数据包!I:I,广告数据包!A:A,A151,广告数据包!G:G,Base!$F$4)</f>
        <v>0</v>
      </c>
      <c r="M151" s="57">
        <f t="shared" si="32"/>
        <v>0</v>
      </c>
      <c r="N151" s="74">
        <f t="shared" si="33"/>
        <v>0</v>
      </c>
      <c r="O151" s="75">
        <f>SUMIFS(广告数据包!P:P,广告数据包!A:A,A151,广告数据包!G:G,Base!$F$2)+SUMIFS(广告数据包!P:P,广告数据包!A:A,A151,广告数据包!G:G,Base!$F$3)+SUMIFS(广告数据包!P:P,广告数据包!A:A,A151,广告数据包!G:G,Base!$F$4)</f>
        <v>0</v>
      </c>
      <c r="P151" s="56">
        <f>SUMIFS(广告数据包!M:M,广告数据包!A:A,A151,广告数据包!G:G,Base!$F$2)+SUMIFS(广告数据包!M:M,广告数据包!A:A,A151,广告数据包!G:G,Base!$F$3)+SUMIFS(广告数据包!M:M,广告数据包!A:A,A151,广告数据包!G:G,Base!$F$4)</f>
        <v>0</v>
      </c>
      <c r="Q151" s="57">
        <f t="shared" si="34"/>
        <v>0</v>
      </c>
      <c r="R151" s="56">
        <f>SUMIFS(广告数据包!L:L,广告数据包!A:A,A151,广告数据包!G:G,Base!$F$2)+SUMIFS(广告数据包!L:L,广告数据包!A:A,A151,广告数据包!G:G,Base!$F$3)+SUMIFS(广告数据包!L:L,广告数据包!A:A,A151,广告数据包!G:G,Base!$F$4)</f>
        <v>0</v>
      </c>
      <c r="S151" s="86">
        <f t="shared" si="35"/>
        <v>0</v>
      </c>
    </row>
    <row r="152" ht="16.5" spans="1:19">
      <c r="A152" s="54">
        <v>44589</v>
      </c>
      <c r="B152" s="55">
        <f>SUMIFS(销售数据包!F:F,销售数据包!A:A,A152,销售数据包!C:C,Base!$F$2)+SUMIFS(销售数据包!F:F,销售数据包!A:A,A152,销售数据包!C:C,Base!$F$3)+SUMIFS(销售数据包!F:F,销售数据包!A:A,A152,销售数据包!C:C,Base!$F$4)</f>
        <v>0</v>
      </c>
      <c r="C152" s="56">
        <f>SUMIFS(销售数据包!K:K,销售数据包!A:A,A152,销售数据包!C:C,Base!$F$2)+SUMIFS(销售数据包!K:K,销售数据包!A:A,A152,销售数据包!C:C,Base!$F$3)+SUMIFS(销售数据包!K:K,销售数据包!A:A,A152,销售数据包!C:C,Base!$F$4)</f>
        <v>0</v>
      </c>
      <c r="D152" s="56">
        <f>SUMIFS(销售数据包!Q:Q,销售数据包!A:A,A152,销售数据包!C:C,Base!$F$2)+SUMIFS(销售数据包!Q:Q,销售数据包!A:A,A152,销售数据包!C:C,Base!$F$3)+SUMIFS(销售数据包!Q:Q,销售数据包!A:A,A152,销售数据包!C:C,Base!$F$4)</f>
        <v>0</v>
      </c>
      <c r="E152" s="57">
        <f t="shared" si="27"/>
        <v>0</v>
      </c>
      <c r="F152" s="57">
        <f t="shared" si="28"/>
        <v>0</v>
      </c>
      <c r="G152" s="56">
        <f>SUMIFS(销售数据包!O:O,销售数据包!A:A,A152)</f>
        <v>0</v>
      </c>
      <c r="H152" s="57">
        <f t="shared" si="29"/>
        <v>0</v>
      </c>
      <c r="I152" s="71">
        <f t="shared" si="30"/>
        <v>0</v>
      </c>
      <c r="J152" s="72" t="str">
        <f t="shared" si="31"/>
        <v>周5</v>
      </c>
      <c r="K152" s="73">
        <f>SUMIFS(广告数据包!H:H,广告数据包!A:A,A152,广告数据包!G:G,Base!$F$2)+SUMIFS(广告数据包!H:H,广告数据包!A:A,A152,广告数据包!G:G,Base!$F$3)+SUMIFS(广告数据包!H:H,广告数据包!A:A,A152,广告数据包!G:G,Base!$F$4)</f>
        <v>0</v>
      </c>
      <c r="L152" s="56">
        <f>SUMIFS(广告数据包!I:I,广告数据包!A:A,A152,广告数据包!G:G,Base!$F$2)+SUMIFS(广告数据包!I:I,广告数据包!A:A,A152,广告数据包!G:G,Base!$F$3)+SUMIFS(广告数据包!I:I,广告数据包!A:A,A152,广告数据包!G:G,Base!$F$4)</f>
        <v>0</v>
      </c>
      <c r="M152" s="57">
        <f t="shared" si="32"/>
        <v>0</v>
      </c>
      <c r="N152" s="74">
        <f t="shared" si="33"/>
        <v>0</v>
      </c>
      <c r="O152" s="75">
        <f>SUMIFS(广告数据包!P:P,广告数据包!A:A,A152,广告数据包!G:G,Base!$F$2)+SUMIFS(广告数据包!P:P,广告数据包!A:A,A152,广告数据包!G:G,Base!$F$3)+SUMIFS(广告数据包!P:P,广告数据包!A:A,A152,广告数据包!G:G,Base!$F$4)</f>
        <v>0</v>
      </c>
      <c r="P152" s="56">
        <f>SUMIFS(广告数据包!M:M,广告数据包!A:A,A152,广告数据包!G:G,Base!$F$2)+SUMIFS(广告数据包!M:M,广告数据包!A:A,A152,广告数据包!G:G,Base!$F$3)+SUMIFS(广告数据包!M:M,广告数据包!A:A,A152,广告数据包!G:G,Base!$F$4)</f>
        <v>0</v>
      </c>
      <c r="Q152" s="57">
        <f t="shared" si="34"/>
        <v>0</v>
      </c>
      <c r="R152" s="56">
        <f>SUMIFS(广告数据包!L:L,广告数据包!A:A,A152,广告数据包!G:G,Base!$F$2)+SUMIFS(广告数据包!L:L,广告数据包!A:A,A152,广告数据包!G:G,Base!$F$3)+SUMIFS(广告数据包!L:L,广告数据包!A:A,A152,广告数据包!G:G,Base!$F$4)</f>
        <v>0</v>
      </c>
      <c r="S152" s="86">
        <f t="shared" si="35"/>
        <v>0</v>
      </c>
    </row>
    <row r="153" ht="16.5" spans="1:19">
      <c r="A153" s="54">
        <v>44590</v>
      </c>
      <c r="B153" s="55">
        <f>SUMIFS(销售数据包!F:F,销售数据包!A:A,A153,销售数据包!C:C,Base!$F$2)+SUMIFS(销售数据包!F:F,销售数据包!A:A,A153,销售数据包!C:C,Base!$F$3)+SUMIFS(销售数据包!F:F,销售数据包!A:A,A153,销售数据包!C:C,Base!$F$4)</f>
        <v>0</v>
      </c>
      <c r="C153" s="56">
        <f>SUMIFS(销售数据包!K:K,销售数据包!A:A,A153,销售数据包!C:C,Base!$F$2)+SUMIFS(销售数据包!K:K,销售数据包!A:A,A153,销售数据包!C:C,Base!$F$3)+SUMIFS(销售数据包!K:K,销售数据包!A:A,A153,销售数据包!C:C,Base!$F$4)</f>
        <v>0</v>
      </c>
      <c r="D153" s="56">
        <f>SUMIFS(销售数据包!Q:Q,销售数据包!A:A,A153,销售数据包!C:C,Base!$F$2)+SUMIFS(销售数据包!Q:Q,销售数据包!A:A,A153,销售数据包!C:C,Base!$F$3)+SUMIFS(销售数据包!Q:Q,销售数据包!A:A,A153,销售数据包!C:C,Base!$F$4)</f>
        <v>0</v>
      </c>
      <c r="E153" s="57">
        <f t="shared" si="27"/>
        <v>0</v>
      </c>
      <c r="F153" s="57">
        <f t="shared" si="28"/>
        <v>0</v>
      </c>
      <c r="G153" s="56">
        <f>SUMIFS(销售数据包!O:O,销售数据包!A:A,A153)</f>
        <v>0</v>
      </c>
      <c r="H153" s="57">
        <f t="shared" si="29"/>
        <v>0</v>
      </c>
      <c r="I153" s="71">
        <f t="shared" si="30"/>
        <v>0</v>
      </c>
      <c r="J153" s="72" t="str">
        <f t="shared" si="31"/>
        <v>周6</v>
      </c>
      <c r="K153" s="73">
        <f>SUMIFS(广告数据包!H:H,广告数据包!A:A,A153,广告数据包!G:G,Base!$F$2)+SUMIFS(广告数据包!H:H,广告数据包!A:A,A153,广告数据包!G:G,Base!$F$3)+SUMIFS(广告数据包!H:H,广告数据包!A:A,A153,广告数据包!G:G,Base!$F$4)</f>
        <v>0</v>
      </c>
      <c r="L153" s="56">
        <f>SUMIFS(广告数据包!I:I,广告数据包!A:A,A153,广告数据包!G:G,Base!$F$2)+SUMIFS(广告数据包!I:I,广告数据包!A:A,A153,广告数据包!G:G,Base!$F$3)+SUMIFS(广告数据包!I:I,广告数据包!A:A,A153,广告数据包!G:G,Base!$F$4)</f>
        <v>0</v>
      </c>
      <c r="M153" s="57">
        <f t="shared" si="32"/>
        <v>0</v>
      </c>
      <c r="N153" s="74">
        <f t="shared" si="33"/>
        <v>0</v>
      </c>
      <c r="O153" s="75">
        <f>SUMIFS(广告数据包!P:P,广告数据包!A:A,A153,广告数据包!G:G,Base!$F$2)+SUMIFS(广告数据包!P:P,广告数据包!A:A,A153,广告数据包!G:G,Base!$F$3)+SUMIFS(广告数据包!P:P,广告数据包!A:A,A153,广告数据包!G:G,Base!$F$4)</f>
        <v>0</v>
      </c>
      <c r="P153" s="56">
        <f>SUMIFS(广告数据包!M:M,广告数据包!A:A,A153,广告数据包!G:G,Base!$F$2)+SUMIFS(广告数据包!M:M,广告数据包!A:A,A153,广告数据包!G:G,Base!$F$3)+SUMIFS(广告数据包!M:M,广告数据包!A:A,A153,广告数据包!G:G,Base!$F$4)</f>
        <v>0</v>
      </c>
      <c r="Q153" s="57">
        <f t="shared" si="34"/>
        <v>0</v>
      </c>
      <c r="R153" s="56">
        <f>SUMIFS(广告数据包!L:L,广告数据包!A:A,A153,广告数据包!G:G,Base!$F$2)+SUMIFS(广告数据包!L:L,广告数据包!A:A,A153,广告数据包!G:G,Base!$F$3)+SUMIFS(广告数据包!L:L,广告数据包!A:A,A153,广告数据包!G:G,Base!$F$4)</f>
        <v>0</v>
      </c>
      <c r="S153" s="86">
        <f t="shared" si="35"/>
        <v>0</v>
      </c>
    </row>
    <row r="154" ht="16.5" spans="1:19">
      <c r="A154" s="54">
        <v>44591</v>
      </c>
      <c r="B154" s="55">
        <f>SUMIFS(销售数据包!F:F,销售数据包!A:A,A154,销售数据包!C:C,Base!$F$2)+SUMIFS(销售数据包!F:F,销售数据包!A:A,A154,销售数据包!C:C,Base!$F$3)+SUMIFS(销售数据包!F:F,销售数据包!A:A,A154,销售数据包!C:C,Base!$F$4)</f>
        <v>0</v>
      </c>
      <c r="C154" s="56">
        <f>SUMIFS(销售数据包!K:K,销售数据包!A:A,A154,销售数据包!C:C,Base!$F$2)+SUMIFS(销售数据包!K:K,销售数据包!A:A,A154,销售数据包!C:C,Base!$F$3)+SUMIFS(销售数据包!K:K,销售数据包!A:A,A154,销售数据包!C:C,Base!$F$4)</f>
        <v>0</v>
      </c>
      <c r="D154" s="56">
        <f>SUMIFS(销售数据包!Q:Q,销售数据包!A:A,A154,销售数据包!C:C,Base!$F$2)+SUMIFS(销售数据包!Q:Q,销售数据包!A:A,A154,销售数据包!C:C,Base!$F$3)+SUMIFS(销售数据包!Q:Q,销售数据包!A:A,A154,销售数据包!C:C,Base!$F$4)</f>
        <v>0</v>
      </c>
      <c r="E154" s="57">
        <f t="shared" si="27"/>
        <v>0</v>
      </c>
      <c r="F154" s="57">
        <f t="shared" si="28"/>
        <v>0</v>
      </c>
      <c r="G154" s="56">
        <f>SUMIFS(销售数据包!O:O,销售数据包!A:A,A154)</f>
        <v>0</v>
      </c>
      <c r="H154" s="57">
        <f t="shared" si="29"/>
        <v>0</v>
      </c>
      <c r="I154" s="71">
        <f t="shared" si="30"/>
        <v>0</v>
      </c>
      <c r="J154" s="72" t="str">
        <f t="shared" si="31"/>
        <v>周7</v>
      </c>
      <c r="K154" s="73">
        <f>SUMIFS(广告数据包!H:H,广告数据包!A:A,A154,广告数据包!G:G,Base!$F$2)+SUMIFS(广告数据包!H:H,广告数据包!A:A,A154,广告数据包!G:G,Base!$F$3)+SUMIFS(广告数据包!H:H,广告数据包!A:A,A154,广告数据包!G:G,Base!$F$4)</f>
        <v>0</v>
      </c>
      <c r="L154" s="56">
        <f>SUMIFS(广告数据包!I:I,广告数据包!A:A,A154,广告数据包!G:G,Base!$F$2)+SUMIFS(广告数据包!I:I,广告数据包!A:A,A154,广告数据包!G:G,Base!$F$3)+SUMIFS(广告数据包!I:I,广告数据包!A:A,A154,广告数据包!G:G,Base!$F$4)</f>
        <v>0</v>
      </c>
      <c r="M154" s="57">
        <f t="shared" si="32"/>
        <v>0</v>
      </c>
      <c r="N154" s="74">
        <f t="shared" si="33"/>
        <v>0</v>
      </c>
      <c r="O154" s="75">
        <f>SUMIFS(广告数据包!P:P,广告数据包!A:A,A154,广告数据包!G:G,Base!$F$2)+SUMIFS(广告数据包!P:P,广告数据包!A:A,A154,广告数据包!G:G,Base!$F$3)+SUMIFS(广告数据包!P:P,广告数据包!A:A,A154,广告数据包!G:G,Base!$F$4)</f>
        <v>0</v>
      </c>
      <c r="P154" s="56">
        <f>SUMIFS(广告数据包!M:M,广告数据包!A:A,A154,广告数据包!G:G,Base!$F$2)+SUMIFS(广告数据包!M:M,广告数据包!A:A,A154,广告数据包!G:G,Base!$F$3)+SUMIFS(广告数据包!M:M,广告数据包!A:A,A154,广告数据包!G:G,Base!$F$4)</f>
        <v>0</v>
      </c>
      <c r="Q154" s="57">
        <f t="shared" si="34"/>
        <v>0</v>
      </c>
      <c r="R154" s="56">
        <f>SUMIFS(广告数据包!L:L,广告数据包!A:A,A154,广告数据包!G:G,Base!$F$2)+SUMIFS(广告数据包!L:L,广告数据包!A:A,A154,广告数据包!G:G,Base!$F$3)+SUMIFS(广告数据包!L:L,广告数据包!A:A,A154,广告数据包!G:G,Base!$F$4)</f>
        <v>0</v>
      </c>
      <c r="S154" s="86">
        <f t="shared" si="35"/>
        <v>0</v>
      </c>
    </row>
    <row r="155" ht="16.5" spans="1:19">
      <c r="A155" s="54">
        <v>44592</v>
      </c>
      <c r="B155" s="55">
        <f>SUMIFS(销售数据包!F:F,销售数据包!A:A,A155,销售数据包!C:C,Base!$F$2)+SUMIFS(销售数据包!F:F,销售数据包!A:A,A155,销售数据包!C:C,Base!$F$3)+SUMIFS(销售数据包!F:F,销售数据包!A:A,A155,销售数据包!C:C,Base!$F$4)</f>
        <v>0</v>
      </c>
      <c r="C155" s="56">
        <f>SUMIFS(销售数据包!K:K,销售数据包!A:A,A155,销售数据包!C:C,Base!$F$2)+SUMIFS(销售数据包!K:K,销售数据包!A:A,A155,销售数据包!C:C,Base!$F$3)+SUMIFS(销售数据包!K:K,销售数据包!A:A,A155,销售数据包!C:C,Base!$F$4)</f>
        <v>0</v>
      </c>
      <c r="D155" s="56">
        <f>SUMIFS(销售数据包!Q:Q,销售数据包!A:A,A155,销售数据包!C:C,Base!$F$2)+SUMIFS(销售数据包!Q:Q,销售数据包!A:A,A155,销售数据包!C:C,Base!$F$3)+SUMIFS(销售数据包!Q:Q,销售数据包!A:A,A155,销售数据包!C:C,Base!$F$4)</f>
        <v>0</v>
      </c>
      <c r="E155" s="57">
        <f t="shared" ref="E155:E186" si="36">IFERROR(D155/B155,0)</f>
        <v>0</v>
      </c>
      <c r="F155" s="57">
        <f t="shared" ref="F155:F186" si="37">IFERROR(C155/B155,0)</f>
        <v>0</v>
      </c>
      <c r="G155" s="56">
        <f>SUMIFS(销售数据包!O:O,销售数据包!A:A,A155)</f>
        <v>0</v>
      </c>
      <c r="H155" s="57">
        <f t="shared" ref="H155:H186" si="38">IFERROR(R155/G155,0)</f>
        <v>0</v>
      </c>
      <c r="I155" s="71">
        <f t="shared" ref="I155:I186" si="39">IFERROR(P155/G155,0)</f>
        <v>0</v>
      </c>
      <c r="J155" s="72" t="str">
        <f t="shared" ref="J155:J186" si="40">"周"&amp;WEEKDAY(A155,2)</f>
        <v>周1</v>
      </c>
      <c r="K155" s="73">
        <f>SUMIFS(广告数据包!H:H,广告数据包!A:A,A155,广告数据包!G:G,Base!$F$2)+SUMIFS(广告数据包!H:H,广告数据包!A:A,A155,广告数据包!G:G,Base!$F$3)+SUMIFS(广告数据包!H:H,广告数据包!A:A,A155,广告数据包!G:G,Base!$F$4)</f>
        <v>0</v>
      </c>
      <c r="L155" s="56">
        <f>SUMIFS(广告数据包!I:I,广告数据包!A:A,A155,广告数据包!G:G,Base!$F$2)+SUMIFS(广告数据包!I:I,广告数据包!A:A,A155,广告数据包!G:G,Base!$F$3)+SUMIFS(广告数据包!I:I,广告数据包!A:A,A155,广告数据包!G:G,Base!$F$4)</f>
        <v>0</v>
      </c>
      <c r="M155" s="57">
        <f t="shared" ref="M155:M186" si="41">IFERROR(L155/K155,0)</f>
        <v>0</v>
      </c>
      <c r="N155" s="74">
        <f t="shared" ref="N155:N186" si="42">IFERROR(R155/L155,0)</f>
        <v>0</v>
      </c>
      <c r="O155" s="75">
        <f>SUMIFS(广告数据包!P:P,广告数据包!A:A,A155,广告数据包!G:G,Base!$F$2)+SUMIFS(广告数据包!P:P,广告数据包!A:A,A155,广告数据包!G:G,Base!$F$3)+SUMIFS(广告数据包!P:P,广告数据包!A:A,A155,广告数据包!G:G,Base!$F$4)</f>
        <v>0</v>
      </c>
      <c r="P155" s="56">
        <f>SUMIFS(广告数据包!M:M,广告数据包!A:A,A155,广告数据包!G:G,Base!$F$2)+SUMIFS(广告数据包!M:M,广告数据包!A:A,A155,广告数据包!G:G,Base!$F$3)+SUMIFS(广告数据包!M:M,广告数据包!A:A,A155,广告数据包!G:G,Base!$F$4)</f>
        <v>0</v>
      </c>
      <c r="Q155" s="57">
        <f t="shared" ref="Q155:Q186" si="43">IFERROR(O155/L155,0)</f>
        <v>0</v>
      </c>
      <c r="R155" s="56">
        <f>SUMIFS(广告数据包!L:L,广告数据包!A:A,A155,广告数据包!G:G,Base!$F$2)+SUMIFS(广告数据包!L:L,广告数据包!A:A,A155,广告数据包!G:G,Base!$F$3)+SUMIFS(广告数据包!L:L,广告数据包!A:A,A155,广告数据包!G:G,Base!$F$4)</f>
        <v>0</v>
      </c>
      <c r="S155" s="86">
        <f t="shared" ref="S155:S186" si="44">IFERROR(R155/P155,0)</f>
        <v>0</v>
      </c>
    </row>
    <row r="156" ht="16.5" spans="1:19">
      <c r="A156" s="54">
        <v>44593</v>
      </c>
      <c r="B156" s="55">
        <f>SUMIFS(销售数据包!F:F,销售数据包!A:A,A156,销售数据包!C:C,Base!$F$2)+SUMIFS(销售数据包!F:F,销售数据包!A:A,A156,销售数据包!C:C,Base!$F$3)+SUMIFS(销售数据包!F:F,销售数据包!A:A,A156,销售数据包!C:C,Base!$F$4)</f>
        <v>0</v>
      </c>
      <c r="C156" s="56">
        <f>SUMIFS(销售数据包!K:K,销售数据包!A:A,A156,销售数据包!C:C,Base!$F$2)+SUMIFS(销售数据包!K:K,销售数据包!A:A,A156,销售数据包!C:C,Base!$F$3)+SUMIFS(销售数据包!K:K,销售数据包!A:A,A156,销售数据包!C:C,Base!$F$4)</f>
        <v>0</v>
      </c>
      <c r="D156" s="56">
        <f>SUMIFS(销售数据包!Q:Q,销售数据包!A:A,A156,销售数据包!C:C,Base!$F$2)+SUMIFS(销售数据包!Q:Q,销售数据包!A:A,A156,销售数据包!C:C,Base!$F$3)+SUMIFS(销售数据包!Q:Q,销售数据包!A:A,A156,销售数据包!C:C,Base!$F$4)</f>
        <v>0</v>
      </c>
      <c r="E156" s="57">
        <f t="shared" si="36"/>
        <v>0</v>
      </c>
      <c r="F156" s="57">
        <f t="shared" si="37"/>
        <v>0</v>
      </c>
      <c r="G156" s="56">
        <f>SUMIFS(销售数据包!O:O,销售数据包!A:A,A156)</f>
        <v>0</v>
      </c>
      <c r="H156" s="57">
        <f t="shared" si="38"/>
        <v>0</v>
      </c>
      <c r="I156" s="71">
        <f t="shared" si="39"/>
        <v>0</v>
      </c>
      <c r="J156" s="72" t="str">
        <f t="shared" si="40"/>
        <v>周2</v>
      </c>
      <c r="K156" s="73">
        <f>SUMIFS(广告数据包!H:H,广告数据包!A:A,A156,广告数据包!G:G,Base!$F$2)+SUMIFS(广告数据包!H:H,广告数据包!A:A,A156,广告数据包!G:G,Base!$F$3)+SUMIFS(广告数据包!H:H,广告数据包!A:A,A156,广告数据包!G:G,Base!$F$4)</f>
        <v>0</v>
      </c>
      <c r="L156" s="56">
        <f>SUMIFS(广告数据包!I:I,广告数据包!A:A,A156,广告数据包!G:G,Base!$F$2)+SUMIFS(广告数据包!I:I,广告数据包!A:A,A156,广告数据包!G:G,Base!$F$3)+SUMIFS(广告数据包!I:I,广告数据包!A:A,A156,广告数据包!G:G,Base!$F$4)</f>
        <v>0</v>
      </c>
      <c r="M156" s="57">
        <f t="shared" si="41"/>
        <v>0</v>
      </c>
      <c r="N156" s="74">
        <f t="shared" si="42"/>
        <v>0</v>
      </c>
      <c r="O156" s="75">
        <f>SUMIFS(广告数据包!P:P,广告数据包!A:A,A156,广告数据包!G:G,Base!$F$2)+SUMIFS(广告数据包!P:P,广告数据包!A:A,A156,广告数据包!G:G,Base!$F$3)+SUMIFS(广告数据包!P:P,广告数据包!A:A,A156,广告数据包!G:G,Base!$F$4)</f>
        <v>0</v>
      </c>
      <c r="P156" s="56">
        <f>SUMIFS(广告数据包!M:M,广告数据包!A:A,A156,广告数据包!G:G,Base!$F$2)+SUMIFS(广告数据包!M:M,广告数据包!A:A,A156,广告数据包!G:G,Base!$F$3)+SUMIFS(广告数据包!M:M,广告数据包!A:A,A156,广告数据包!G:G,Base!$F$4)</f>
        <v>0</v>
      </c>
      <c r="Q156" s="57">
        <f t="shared" si="43"/>
        <v>0</v>
      </c>
      <c r="R156" s="56">
        <f>SUMIFS(广告数据包!L:L,广告数据包!A:A,A156,广告数据包!G:G,Base!$F$2)+SUMIFS(广告数据包!L:L,广告数据包!A:A,A156,广告数据包!G:G,Base!$F$3)+SUMIFS(广告数据包!L:L,广告数据包!A:A,A156,广告数据包!G:G,Base!$F$4)</f>
        <v>0</v>
      </c>
      <c r="S156" s="86">
        <f t="shared" si="44"/>
        <v>0</v>
      </c>
    </row>
    <row r="157" ht="16.5" spans="1:19">
      <c r="A157" s="54">
        <v>44594</v>
      </c>
      <c r="B157" s="55">
        <f>SUMIFS(销售数据包!F:F,销售数据包!A:A,A157,销售数据包!C:C,Base!$F$2)+SUMIFS(销售数据包!F:F,销售数据包!A:A,A157,销售数据包!C:C,Base!$F$3)+SUMIFS(销售数据包!F:F,销售数据包!A:A,A157,销售数据包!C:C,Base!$F$4)</f>
        <v>0</v>
      </c>
      <c r="C157" s="56">
        <f>SUMIFS(销售数据包!K:K,销售数据包!A:A,A157,销售数据包!C:C,Base!$F$2)+SUMIFS(销售数据包!K:K,销售数据包!A:A,A157,销售数据包!C:C,Base!$F$3)+SUMIFS(销售数据包!K:K,销售数据包!A:A,A157,销售数据包!C:C,Base!$F$4)</f>
        <v>0</v>
      </c>
      <c r="D157" s="56">
        <f>SUMIFS(销售数据包!Q:Q,销售数据包!A:A,A157,销售数据包!C:C,Base!$F$2)+SUMIFS(销售数据包!Q:Q,销售数据包!A:A,A157,销售数据包!C:C,Base!$F$3)+SUMIFS(销售数据包!Q:Q,销售数据包!A:A,A157,销售数据包!C:C,Base!$F$4)</f>
        <v>0</v>
      </c>
      <c r="E157" s="57">
        <f t="shared" si="36"/>
        <v>0</v>
      </c>
      <c r="F157" s="57">
        <f t="shared" si="37"/>
        <v>0</v>
      </c>
      <c r="G157" s="56">
        <f>SUMIFS(销售数据包!O:O,销售数据包!A:A,A157)</f>
        <v>0</v>
      </c>
      <c r="H157" s="57">
        <f t="shared" si="38"/>
        <v>0</v>
      </c>
      <c r="I157" s="71">
        <f t="shared" si="39"/>
        <v>0</v>
      </c>
      <c r="J157" s="72" t="str">
        <f t="shared" si="40"/>
        <v>周3</v>
      </c>
      <c r="K157" s="73">
        <f>SUMIFS(广告数据包!H:H,广告数据包!A:A,A157,广告数据包!G:G,Base!$F$2)+SUMIFS(广告数据包!H:H,广告数据包!A:A,A157,广告数据包!G:G,Base!$F$3)+SUMIFS(广告数据包!H:H,广告数据包!A:A,A157,广告数据包!G:G,Base!$F$4)</f>
        <v>0</v>
      </c>
      <c r="L157" s="56">
        <f>SUMIFS(广告数据包!I:I,广告数据包!A:A,A157,广告数据包!G:G,Base!$F$2)+SUMIFS(广告数据包!I:I,广告数据包!A:A,A157,广告数据包!G:G,Base!$F$3)+SUMIFS(广告数据包!I:I,广告数据包!A:A,A157,广告数据包!G:G,Base!$F$4)</f>
        <v>0</v>
      </c>
      <c r="M157" s="57">
        <f t="shared" si="41"/>
        <v>0</v>
      </c>
      <c r="N157" s="74">
        <f t="shared" si="42"/>
        <v>0</v>
      </c>
      <c r="O157" s="75">
        <f>SUMIFS(广告数据包!P:P,广告数据包!A:A,A157,广告数据包!G:G,Base!$F$2)+SUMIFS(广告数据包!P:P,广告数据包!A:A,A157,广告数据包!G:G,Base!$F$3)+SUMIFS(广告数据包!P:P,广告数据包!A:A,A157,广告数据包!G:G,Base!$F$4)</f>
        <v>0</v>
      </c>
      <c r="P157" s="56">
        <f>SUMIFS(广告数据包!M:M,广告数据包!A:A,A157,广告数据包!G:G,Base!$F$2)+SUMIFS(广告数据包!M:M,广告数据包!A:A,A157,广告数据包!G:G,Base!$F$3)+SUMIFS(广告数据包!M:M,广告数据包!A:A,A157,广告数据包!G:G,Base!$F$4)</f>
        <v>0</v>
      </c>
      <c r="Q157" s="57">
        <f t="shared" si="43"/>
        <v>0</v>
      </c>
      <c r="R157" s="56">
        <f>SUMIFS(广告数据包!L:L,广告数据包!A:A,A157,广告数据包!G:G,Base!$F$2)+SUMIFS(广告数据包!L:L,广告数据包!A:A,A157,广告数据包!G:G,Base!$F$3)+SUMIFS(广告数据包!L:L,广告数据包!A:A,A157,广告数据包!G:G,Base!$F$4)</f>
        <v>0</v>
      </c>
      <c r="S157" s="86">
        <f t="shared" si="44"/>
        <v>0</v>
      </c>
    </row>
    <row r="158" ht="16.5" spans="1:19">
      <c r="A158" s="54">
        <v>44595</v>
      </c>
      <c r="B158" s="55">
        <f>SUMIFS(销售数据包!F:F,销售数据包!A:A,A158,销售数据包!C:C,Base!$F$2)+SUMIFS(销售数据包!F:F,销售数据包!A:A,A158,销售数据包!C:C,Base!$F$3)+SUMIFS(销售数据包!F:F,销售数据包!A:A,A158,销售数据包!C:C,Base!$F$4)</f>
        <v>0</v>
      </c>
      <c r="C158" s="56">
        <f>SUMIFS(销售数据包!K:K,销售数据包!A:A,A158,销售数据包!C:C,Base!$F$2)+SUMIFS(销售数据包!K:K,销售数据包!A:A,A158,销售数据包!C:C,Base!$F$3)+SUMIFS(销售数据包!K:K,销售数据包!A:A,A158,销售数据包!C:C,Base!$F$4)</f>
        <v>0</v>
      </c>
      <c r="D158" s="56">
        <f>SUMIFS(销售数据包!Q:Q,销售数据包!A:A,A158,销售数据包!C:C,Base!$F$2)+SUMIFS(销售数据包!Q:Q,销售数据包!A:A,A158,销售数据包!C:C,Base!$F$3)+SUMIFS(销售数据包!Q:Q,销售数据包!A:A,A158,销售数据包!C:C,Base!$F$4)</f>
        <v>0</v>
      </c>
      <c r="E158" s="57">
        <f t="shared" si="36"/>
        <v>0</v>
      </c>
      <c r="F158" s="57">
        <f t="shared" si="37"/>
        <v>0</v>
      </c>
      <c r="G158" s="56">
        <f>SUMIFS(销售数据包!O:O,销售数据包!A:A,A158)</f>
        <v>0</v>
      </c>
      <c r="H158" s="57">
        <f t="shared" si="38"/>
        <v>0</v>
      </c>
      <c r="I158" s="71">
        <f t="shared" si="39"/>
        <v>0</v>
      </c>
      <c r="J158" s="72" t="str">
        <f t="shared" si="40"/>
        <v>周4</v>
      </c>
      <c r="K158" s="73">
        <f>SUMIFS(广告数据包!H:H,广告数据包!A:A,A158,广告数据包!G:G,Base!$F$2)+SUMIFS(广告数据包!H:H,广告数据包!A:A,A158,广告数据包!G:G,Base!$F$3)+SUMIFS(广告数据包!H:H,广告数据包!A:A,A158,广告数据包!G:G,Base!$F$4)</f>
        <v>0</v>
      </c>
      <c r="L158" s="56">
        <f>SUMIFS(广告数据包!I:I,广告数据包!A:A,A158,广告数据包!G:G,Base!$F$2)+SUMIFS(广告数据包!I:I,广告数据包!A:A,A158,广告数据包!G:G,Base!$F$3)+SUMIFS(广告数据包!I:I,广告数据包!A:A,A158,广告数据包!G:G,Base!$F$4)</f>
        <v>0</v>
      </c>
      <c r="M158" s="57">
        <f t="shared" si="41"/>
        <v>0</v>
      </c>
      <c r="N158" s="74">
        <f t="shared" si="42"/>
        <v>0</v>
      </c>
      <c r="O158" s="75">
        <f>SUMIFS(广告数据包!P:P,广告数据包!A:A,A158,广告数据包!G:G,Base!$F$2)+SUMIFS(广告数据包!P:P,广告数据包!A:A,A158,广告数据包!G:G,Base!$F$3)+SUMIFS(广告数据包!P:P,广告数据包!A:A,A158,广告数据包!G:G,Base!$F$4)</f>
        <v>0</v>
      </c>
      <c r="P158" s="56">
        <f>SUMIFS(广告数据包!M:M,广告数据包!A:A,A158,广告数据包!G:G,Base!$F$2)+SUMIFS(广告数据包!M:M,广告数据包!A:A,A158,广告数据包!G:G,Base!$F$3)+SUMIFS(广告数据包!M:M,广告数据包!A:A,A158,广告数据包!G:G,Base!$F$4)</f>
        <v>0</v>
      </c>
      <c r="Q158" s="57">
        <f t="shared" si="43"/>
        <v>0</v>
      </c>
      <c r="R158" s="56">
        <f>SUMIFS(广告数据包!L:L,广告数据包!A:A,A158,广告数据包!G:G,Base!$F$2)+SUMIFS(广告数据包!L:L,广告数据包!A:A,A158,广告数据包!G:G,Base!$F$3)+SUMIFS(广告数据包!L:L,广告数据包!A:A,A158,广告数据包!G:G,Base!$F$4)</f>
        <v>0</v>
      </c>
      <c r="S158" s="86">
        <f t="shared" si="44"/>
        <v>0</v>
      </c>
    </row>
    <row r="159" ht="16.5" spans="1:19">
      <c r="A159" s="54">
        <v>44596</v>
      </c>
      <c r="B159" s="55">
        <f>SUMIFS(销售数据包!F:F,销售数据包!A:A,A159,销售数据包!C:C,Base!$F$2)+SUMIFS(销售数据包!F:F,销售数据包!A:A,A159,销售数据包!C:C,Base!$F$3)+SUMIFS(销售数据包!F:F,销售数据包!A:A,A159,销售数据包!C:C,Base!$F$4)</f>
        <v>0</v>
      </c>
      <c r="C159" s="56">
        <f>SUMIFS(销售数据包!K:K,销售数据包!A:A,A159,销售数据包!C:C,Base!$F$2)+SUMIFS(销售数据包!K:K,销售数据包!A:A,A159,销售数据包!C:C,Base!$F$3)+SUMIFS(销售数据包!K:K,销售数据包!A:A,A159,销售数据包!C:C,Base!$F$4)</f>
        <v>0</v>
      </c>
      <c r="D159" s="56">
        <f>SUMIFS(销售数据包!Q:Q,销售数据包!A:A,A159,销售数据包!C:C,Base!$F$2)+SUMIFS(销售数据包!Q:Q,销售数据包!A:A,A159,销售数据包!C:C,Base!$F$3)+SUMIFS(销售数据包!Q:Q,销售数据包!A:A,A159,销售数据包!C:C,Base!$F$4)</f>
        <v>0</v>
      </c>
      <c r="E159" s="57">
        <f t="shared" si="36"/>
        <v>0</v>
      </c>
      <c r="F159" s="57">
        <f t="shared" si="37"/>
        <v>0</v>
      </c>
      <c r="G159" s="56">
        <f>SUMIFS(销售数据包!O:O,销售数据包!A:A,A159)</f>
        <v>0</v>
      </c>
      <c r="H159" s="57">
        <f t="shared" si="38"/>
        <v>0</v>
      </c>
      <c r="I159" s="71">
        <f t="shared" si="39"/>
        <v>0</v>
      </c>
      <c r="J159" s="72" t="str">
        <f t="shared" si="40"/>
        <v>周5</v>
      </c>
      <c r="K159" s="73">
        <f>SUMIFS(广告数据包!H:H,广告数据包!A:A,A159,广告数据包!G:G,Base!$F$2)+SUMIFS(广告数据包!H:H,广告数据包!A:A,A159,广告数据包!G:G,Base!$F$3)+SUMIFS(广告数据包!H:H,广告数据包!A:A,A159,广告数据包!G:G,Base!$F$4)</f>
        <v>0</v>
      </c>
      <c r="L159" s="56">
        <f>SUMIFS(广告数据包!I:I,广告数据包!A:A,A159,广告数据包!G:G,Base!$F$2)+SUMIFS(广告数据包!I:I,广告数据包!A:A,A159,广告数据包!G:G,Base!$F$3)+SUMIFS(广告数据包!I:I,广告数据包!A:A,A159,广告数据包!G:G,Base!$F$4)</f>
        <v>0</v>
      </c>
      <c r="M159" s="57">
        <f t="shared" si="41"/>
        <v>0</v>
      </c>
      <c r="N159" s="74">
        <f t="shared" si="42"/>
        <v>0</v>
      </c>
      <c r="O159" s="75">
        <f>SUMIFS(广告数据包!P:P,广告数据包!A:A,A159,广告数据包!G:G,Base!$F$2)+SUMIFS(广告数据包!P:P,广告数据包!A:A,A159,广告数据包!G:G,Base!$F$3)+SUMIFS(广告数据包!P:P,广告数据包!A:A,A159,广告数据包!G:G,Base!$F$4)</f>
        <v>0</v>
      </c>
      <c r="P159" s="56">
        <f>SUMIFS(广告数据包!M:M,广告数据包!A:A,A159,广告数据包!G:G,Base!$F$2)+SUMIFS(广告数据包!M:M,广告数据包!A:A,A159,广告数据包!G:G,Base!$F$3)+SUMIFS(广告数据包!M:M,广告数据包!A:A,A159,广告数据包!G:G,Base!$F$4)</f>
        <v>0</v>
      </c>
      <c r="Q159" s="57">
        <f t="shared" si="43"/>
        <v>0</v>
      </c>
      <c r="R159" s="56">
        <f>SUMIFS(广告数据包!L:L,广告数据包!A:A,A159,广告数据包!G:G,Base!$F$2)+SUMIFS(广告数据包!L:L,广告数据包!A:A,A159,广告数据包!G:G,Base!$F$3)+SUMIFS(广告数据包!L:L,广告数据包!A:A,A159,广告数据包!G:G,Base!$F$4)</f>
        <v>0</v>
      </c>
      <c r="S159" s="86">
        <f t="shared" si="44"/>
        <v>0</v>
      </c>
    </row>
    <row r="160" ht="16.5" spans="1:19">
      <c r="A160" s="54">
        <v>44597</v>
      </c>
      <c r="B160" s="55">
        <f>SUMIFS(销售数据包!F:F,销售数据包!A:A,A160,销售数据包!C:C,Base!$F$2)+SUMIFS(销售数据包!F:F,销售数据包!A:A,A160,销售数据包!C:C,Base!$F$3)+SUMIFS(销售数据包!F:F,销售数据包!A:A,A160,销售数据包!C:C,Base!$F$4)</f>
        <v>0</v>
      </c>
      <c r="C160" s="56">
        <f>SUMIFS(销售数据包!K:K,销售数据包!A:A,A160,销售数据包!C:C,Base!$F$2)+SUMIFS(销售数据包!K:K,销售数据包!A:A,A160,销售数据包!C:C,Base!$F$3)+SUMIFS(销售数据包!K:K,销售数据包!A:A,A160,销售数据包!C:C,Base!$F$4)</f>
        <v>0</v>
      </c>
      <c r="D160" s="56">
        <f>SUMIFS(销售数据包!Q:Q,销售数据包!A:A,A160,销售数据包!C:C,Base!$F$2)+SUMIFS(销售数据包!Q:Q,销售数据包!A:A,A160,销售数据包!C:C,Base!$F$3)+SUMIFS(销售数据包!Q:Q,销售数据包!A:A,A160,销售数据包!C:C,Base!$F$4)</f>
        <v>0</v>
      </c>
      <c r="E160" s="57">
        <f t="shared" si="36"/>
        <v>0</v>
      </c>
      <c r="F160" s="57">
        <f t="shared" si="37"/>
        <v>0</v>
      </c>
      <c r="G160" s="56">
        <f>SUMIFS(销售数据包!O:O,销售数据包!A:A,A160)</f>
        <v>0</v>
      </c>
      <c r="H160" s="57">
        <f t="shared" si="38"/>
        <v>0</v>
      </c>
      <c r="I160" s="71">
        <f t="shared" si="39"/>
        <v>0</v>
      </c>
      <c r="J160" s="72" t="str">
        <f t="shared" si="40"/>
        <v>周6</v>
      </c>
      <c r="K160" s="73">
        <f>SUMIFS(广告数据包!H:H,广告数据包!A:A,A160,广告数据包!G:G,Base!$F$2)+SUMIFS(广告数据包!H:H,广告数据包!A:A,A160,广告数据包!G:G,Base!$F$3)+SUMIFS(广告数据包!H:H,广告数据包!A:A,A160,广告数据包!G:G,Base!$F$4)</f>
        <v>0</v>
      </c>
      <c r="L160" s="56">
        <f>SUMIFS(广告数据包!I:I,广告数据包!A:A,A160,广告数据包!G:G,Base!$F$2)+SUMIFS(广告数据包!I:I,广告数据包!A:A,A160,广告数据包!G:G,Base!$F$3)+SUMIFS(广告数据包!I:I,广告数据包!A:A,A160,广告数据包!G:G,Base!$F$4)</f>
        <v>0</v>
      </c>
      <c r="M160" s="57">
        <f t="shared" si="41"/>
        <v>0</v>
      </c>
      <c r="N160" s="74">
        <f t="shared" si="42"/>
        <v>0</v>
      </c>
      <c r="O160" s="75">
        <f>SUMIFS(广告数据包!P:P,广告数据包!A:A,A160,广告数据包!G:G,Base!$F$2)+SUMIFS(广告数据包!P:P,广告数据包!A:A,A160,广告数据包!G:G,Base!$F$3)+SUMIFS(广告数据包!P:P,广告数据包!A:A,A160,广告数据包!G:G,Base!$F$4)</f>
        <v>0</v>
      </c>
      <c r="P160" s="56">
        <f>SUMIFS(广告数据包!M:M,广告数据包!A:A,A160,广告数据包!G:G,Base!$F$2)+SUMIFS(广告数据包!M:M,广告数据包!A:A,A160,广告数据包!G:G,Base!$F$3)+SUMIFS(广告数据包!M:M,广告数据包!A:A,A160,广告数据包!G:G,Base!$F$4)</f>
        <v>0</v>
      </c>
      <c r="Q160" s="57">
        <f t="shared" si="43"/>
        <v>0</v>
      </c>
      <c r="R160" s="56">
        <f>SUMIFS(广告数据包!L:L,广告数据包!A:A,A160,广告数据包!G:G,Base!$F$2)+SUMIFS(广告数据包!L:L,广告数据包!A:A,A160,广告数据包!G:G,Base!$F$3)+SUMIFS(广告数据包!L:L,广告数据包!A:A,A160,广告数据包!G:G,Base!$F$4)</f>
        <v>0</v>
      </c>
      <c r="S160" s="86">
        <f t="shared" si="44"/>
        <v>0</v>
      </c>
    </row>
    <row r="161" ht="16.5" spans="1:19">
      <c r="A161" s="54">
        <v>44598</v>
      </c>
      <c r="B161" s="55">
        <f>SUMIFS(销售数据包!F:F,销售数据包!A:A,A161,销售数据包!C:C,Base!$F$2)+SUMIFS(销售数据包!F:F,销售数据包!A:A,A161,销售数据包!C:C,Base!$F$3)+SUMIFS(销售数据包!F:F,销售数据包!A:A,A161,销售数据包!C:C,Base!$F$4)</f>
        <v>0</v>
      </c>
      <c r="C161" s="56">
        <f>SUMIFS(销售数据包!K:K,销售数据包!A:A,A161,销售数据包!C:C,Base!$F$2)+SUMIFS(销售数据包!K:K,销售数据包!A:A,A161,销售数据包!C:C,Base!$F$3)+SUMIFS(销售数据包!K:K,销售数据包!A:A,A161,销售数据包!C:C,Base!$F$4)</f>
        <v>0</v>
      </c>
      <c r="D161" s="56">
        <f>SUMIFS(销售数据包!Q:Q,销售数据包!A:A,A161,销售数据包!C:C,Base!$F$2)+SUMIFS(销售数据包!Q:Q,销售数据包!A:A,A161,销售数据包!C:C,Base!$F$3)+SUMIFS(销售数据包!Q:Q,销售数据包!A:A,A161,销售数据包!C:C,Base!$F$4)</f>
        <v>0</v>
      </c>
      <c r="E161" s="57">
        <f t="shared" si="36"/>
        <v>0</v>
      </c>
      <c r="F161" s="57">
        <f t="shared" si="37"/>
        <v>0</v>
      </c>
      <c r="G161" s="56">
        <f>SUMIFS(销售数据包!O:O,销售数据包!A:A,A161)</f>
        <v>0</v>
      </c>
      <c r="H161" s="57">
        <f t="shared" si="38"/>
        <v>0</v>
      </c>
      <c r="I161" s="71">
        <f t="shared" si="39"/>
        <v>0</v>
      </c>
      <c r="J161" s="72" t="str">
        <f t="shared" si="40"/>
        <v>周7</v>
      </c>
      <c r="K161" s="73">
        <f>SUMIFS(广告数据包!H:H,广告数据包!A:A,A161,广告数据包!G:G,Base!$F$2)+SUMIFS(广告数据包!H:H,广告数据包!A:A,A161,广告数据包!G:G,Base!$F$3)+SUMIFS(广告数据包!H:H,广告数据包!A:A,A161,广告数据包!G:G,Base!$F$4)</f>
        <v>0</v>
      </c>
      <c r="L161" s="56">
        <f>SUMIFS(广告数据包!I:I,广告数据包!A:A,A161,广告数据包!G:G,Base!$F$2)+SUMIFS(广告数据包!I:I,广告数据包!A:A,A161,广告数据包!G:G,Base!$F$3)+SUMIFS(广告数据包!I:I,广告数据包!A:A,A161,广告数据包!G:G,Base!$F$4)</f>
        <v>0</v>
      </c>
      <c r="M161" s="57">
        <f t="shared" si="41"/>
        <v>0</v>
      </c>
      <c r="N161" s="74">
        <f t="shared" si="42"/>
        <v>0</v>
      </c>
      <c r="O161" s="75">
        <f>SUMIFS(广告数据包!P:P,广告数据包!A:A,A161,广告数据包!G:G,Base!$F$2)+SUMIFS(广告数据包!P:P,广告数据包!A:A,A161,广告数据包!G:G,Base!$F$3)+SUMIFS(广告数据包!P:P,广告数据包!A:A,A161,广告数据包!G:G,Base!$F$4)</f>
        <v>0</v>
      </c>
      <c r="P161" s="56">
        <f>SUMIFS(广告数据包!M:M,广告数据包!A:A,A161,广告数据包!G:G,Base!$F$2)+SUMIFS(广告数据包!M:M,广告数据包!A:A,A161,广告数据包!G:G,Base!$F$3)+SUMIFS(广告数据包!M:M,广告数据包!A:A,A161,广告数据包!G:G,Base!$F$4)</f>
        <v>0</v>
      </c>
      <c r="Q161" s="57">
        <f t="shared" si="43"/>
        <v>0</v>
      </c>
      <c r="R161" s="56">
        <f>SUMIFS(广告数据包!L:L,广告数据包!A:A,A161,广告数据包!G:G,Base!$F$2)+SUMIFS(广告数据包!L:L,广告数据包!A:A,A161,广告数据包!G:G,Base!$F$3)+SUMIFS(广告数据包!L:L,广告数据包!A:A,A161,广告数据包!G:G,Base!$F$4)</f>
        <v>0</v>
      </c>
      <c r="S161" s="86">
        <f t="shared" si="44"/>
        <v>0</v>
      </c>
    </row>
    <row r="162" ht="16.5" spans="1:19">
      <c r="A162" s="54">
        <v>44599</v>
      </c>
      <c r="B162" s="55">
        <f>SUMIFS(销售数据包!F:F,销售数据包!A:A,A162,销售数据包!C:C,Base!$F$2)+SUMIFS(销售数据包!F:F,销售数据包!A:A,A162,销售数据包!C:C,Base!$F$3)+SUMIFS(销售数据包!F:F,销售数据包!A:A,A162,销售数据包!C:C,Base!$F$4)</f>
        <v>0</v>
      </c>
      <c r="C162" s="56">
        <f>SUMIFS(销售数据包!K:K,销售数据包!A:A,A162,销售数据包!C:C,Base!$F$2)+SUMIFS(销售数据包!K:K,销售数据包!A:A,A162,销售数据包!C:C,Base!$F$3)+SUMIFS(销售数据包!K:K,销售数据包!A:A,A162,销售数据包!C:C,Base!$F$4)</f>
        <v>0</v>
      </c>
      <c r="D162" s="56">
        <f>SUMIFS(销售数据包!Q:Q,销售数据包!A:A,A162,销售数据包!C:C,Base!$F$2)+SUMIFS(销售数据包!Q:Q,销售数据包!A:A,A162,销售数据包!C:C,Base!$F$3)+SUMIFS(销售数据包!Q:Q,销售数据包!A:A,A162,销售数据包!C:C,Base!$F$4)</f>
        <v>0</v>
      </c>
      <c r="E162" s="57">
        <f t="shared" si="36"/>
        <v>0</v>
      </c>
      <c r="F162" s="57">
        <f t="shared" si="37"/>
        <v>0</v>
      </c>
      <c r="G162" s="56">
        <f>SUMIFS(销售数据包!O:O,销售数据包!A:A,A162)</f>
        <v>0</v>
      </c>
      <c r="H162" s="57">
        <f t="shared" si="38"/>
        <v>0</v>
      </c>
      <c r="I162" s="71">
        <f t="shared" si="39"/>
        <v>0</v>
      </c>
      <c r="J162" s="72" t="str">
        <f t="shared" si="40"/>
        <v>周1</v>
      </c>
      <c r="K162" s="73">
        <f>SUMIFS(广告数据包!H:H,广告数据包!A:A,A162,广告数据包!G:G,Base!$F$2)+SUMIFS(广告数据包!H:H,广告数据包!A:A,A162,广告数据包!G:G,Base!$F$3)+SUMIFS(广告数据包!H:H,广告数据包!A:A,A162,广告数据包!G:G,Base!$F$4)</f>
        <v>0</v>
      </c>
      <c r="L162" s="56">
        <f>SUMIFS(广告数据包!I:I,广告数据包!A:A,A162,广告数据包!G:G,Base!$F$2)+SUMIFS(广告数据包!I:I,广告数据包!A:A,A162,广告数据包!G:G,Base!$F$3)+SUMIFS(广告数据包!I:I,广告数据包!A:A,A162,广告数据包!G:G,Base!$F$4)</f>
        <v>0</v>
      </c>
      <c r="M162" s="57">
        <f t="shared" si="41"/>
        <v>0</v>
      </c>
      <c r="N162" s="74">
        <f t="shared" si="42"/>
        <v>0</v>
      </c>
      <c r="O162" s="75">
        <f>SUMIFS(广告数据包!P:P,广告数据包!A:A,A162,广告数据包!G:G,Base!$F$2)+SUMIFS(广告数据包!P:P,广告数据包!A:A,A162,广告数据包!G:G,Base!$F$3)+SUMIFS(广告数据包!P:P,广告数据包!A:A,A162,广告数据包!G:G,Base!$F$4)</f>
        <v>0</v>
      </c>
      <c r="P162" s="56">
        <f>SUMIFS(广告数据包!M:M,广告数据包!A:A,A162,广告数据包!G:G,Base!$F$2)+SUMIFS(广告数据包!M:M,广告数据包!A:A,A162,广告数据包!G:G,Base!$F$3)+SUMIFS(广告数据包!M:M,广告数据包!A:A,A162,广告数据包!G:G,Base!$F$4)</f>
        <v>0</v>
      </c>
      <c r="Q162" s="57">
        <f t="shared" si="43"/>
        <v>0</v>
      </c>
      <c r="R162" s="56">
        <f>SUMIFS(广告数据包!L:L,广告数据包!A:A,A162,广告数据包!G:G,Base!$F$2)+SUMIFS(广告数据包!L:L,广告数据包!A:A,A162,广告数据包!G:G,Base!$F$3)+SUMIFS(广告数据包!L:L,广告数据包!A:A,A162,广告数据包!G:G,Base!$F$4)</f>
        <v>0</v>
      </c>
      <c r="S162" s="86">
        <f t="shared" si="44"/>
        <v>0</v>
      </c>
    </row>
    <row r="163" ht="16.5" spans="1:19">
      <c r="A163" s="54">
        <v>44600</v>
      </c>
      <c r="B163" s="55">
        <f>SUMIFS(销售数据包!F:F,销售数据包!A:A,A163,销售数据包!C:C,Base!$F$2)+SUMIFS(销售数据包!F:F,销售数据包!A:A,A163,销售数据包!C:C,Base!$F$3)+SUMIFS(销售数据包!F:F,销售数据包!A:A,A163,销售数据包!C:C,Base!$F$4)</f>
        <v>0</v>
      </c>
      <c r="C163" s="56">
        <f>SUMIFS(销售数据包!K:K,销售数据包!A:A,A163,销售数据包!C:C,Base!$F$2)+SUMIFS(销售数据包!K:K,销售数据包!A:A,A163,销售数据包!C:C,Base!$F$3)+SUMIFS(销售数据包!K:K,销售数据包!A:A,A163,销售数据包!C:C,Base!$F$4)</f>
        <v>0</v>
      </c>
      <c r="D163" s="56">
        <f>SUMIFS(销售数据包!Q:Q,销售数据包!A:A,A163,销售数据包!C:C,Base!$F$2)+SUMIFS(销售数据包!Q:Q,销售数据包!A:A,A163,销售数据包!C:C,Base!$F$3)+SUMIFS(销售数据包!Q:Q,销售数据包!A:A,A163,销售数据包!C:C,Base!$F$4)</f>
        <v>0</v>
      </c>
      <c r="E163" s="57">
        <f t="shared" si="36"/>
        <v>0</v>
      </c>
      <c r="F163" s="57">
        <f t="shared" si="37"/>
        <v>0</v>
      </c>
      <c r="G163" s="56">
        <f>SUMIFS(销售数据包!O:O,销售数据包!A:A,A163)</f>
        <v>0</v>
      </c>
      <c r="H163" s="57">
        <f t="shared" si="38"/>
        <v>0</v>
      </c>
      <c r="I163" s="71">
        <f t="shared" si="39"/>
        <v>0</v>
      </c>
      <c r="J163" s="72" t="str">
        <f t="shared" si="40"/>
        <v>周2</v>
      </c>
      <c r="K163" s="73">
        <f>SUMIFS(广告数据包!H:H,广告数据包!A:A,A163,广告数据包!G:G,Base!$F$2)+SUMIFS(广告数据包!H:H,广告数据包!A:A,A163,广告数据包!G:G,Base!$F$3)+SUMIFS(广告数据包!H:H,广告数据包!A:A,A163,广告数据包!G:G,Base!$F$4)</f>
        <v>0</v>
      </c>
      <c r="L163" s="56">
        <f>SUMIFS(广告数据包!I:I,广告数据包!A:A,A163,广告数据包!G:G,Base!$F$2)+SUMIFS(广告数据包!I:I,广告数据包!A:A,A163,广告数据包!G:G,Base!$F$3)+SUMIFS(广告数据包!I:I,广告数据包!A:A,A163,广告数据包!G:G,Base!$F$4)</f>
        <v>0</v>
      </c>
      <c r="M163" s="57">
        <f t="shared" si="41"/>
        <v>0</v>
      </c>
      <c r="N163" s="74">
        <f t="shared" si="42"/>
        <v>0</v>
      </c>
      <c r="O163" s="75">
        <f>SUMIFS(广告数据包!P:P,广告数据包!A:A,A163,广告数据包!G:G,Base!$F$2)+SUMIFS(广告数据包!P:P,广告数据包!A:A,A163,广告数据包!G:G,Base!$F$3)+SUMIFS(广告数据包!P:P,广告数据包!A:A,A163,广告数据包!G:G,Base!$F$4)</f>
        <v>0</v>
      </c>
      <c r="P163" s="56">
        <f>SUMIFS(广告数据包!M:M,广告数据包!A:A,A163,广告数据包!G:G,Base!$F$2)+SUMIFS(广告数据包!M:M,广告数据包!A:A,A163,广告数据包!G:G,Base!$F$3)+SUMIFS(广告数据包!M:M,广告数据包!A:A,A163,广告数据包!G:G,Base!$F$4)</f>
        <v>0</v>
      </c>
      <c r="Q163" s="57">
        <f t="shared" si="43"/>
        <v>0</v>
      </c>
      <c r="R163" s="56">
        <f>SUMIFS(广告数据包!L:L,广告数据包!A:A,A163,广告数据包!G:G,Base!$F$2)+SUMIFS(广告数据包!L:L,广告数据包!A:A,A163,广告数据包!G:G,Base!$F$3)+SUMIFS(广告数据包!L:L,广告数据包!A:A,A163,广告数据包!G:G,Base!$F$4)</f>
        <v>0</v>
      </c>
      <c r="S163" s="86">
        <f t="shared" si="44"/>
        <v>0</v>
      </c>
    </row>
    <row r="164" ht="16.5" spans="1:19">
      <c r="A164" s="54">
        <v>44601</v>
      </c>
      <c r="B164" s="55">
        <f>SUMIFS(销售数据包!F:F,销售数据包!A:A,A164,销售数据包!C:C,Base!$F$2)+SUMIFS(销售数据包!F:F,销售数据包!A:A,A164,销售数据包!C:C,Base!$F$3)+SUMIFS(销售数据包!F:F,销售数据包!A:A,A164,销售数据包!C:C,Base!$F$4)</f>
        <v>0</v>
      </c>
      <c r="C164" s="56">
        <f>SUMIFS(销售数据包!K:K,销售数据包!A:A,A164,销售数据包!C:C,Base!$F$2)+SUMIFS(销售数据包!K:K,销售数据包!A:A,A164,销售数据包!C:C,Base!$F$3)+SUMIFS(销售数据包!K:K,销售数据包!A:A,A164,销售数据包!C:C,Base!$F$4)</f>
        <v>0</v>
      </c>
      <c r="D164" s="56">
        <f>SUMIFS(销售数据包!Q:Q,销售数据包!A:A,A164,销售数据包!C:C,Base!$F$2)+SUMIFS(销售数据包!Q:Q,销售数据包!A:A,A164,销售数据包!C:C,Base!$F$3)+SUMIFS(销售数据包!Q:Q,销售数据包!A:A,A164,销售数据包!C:C,Base!$F$4)</f>
        <v>0</v>
      </c>
      <c r="E164" s="57">
        <f t="shared" si="36"/>
        <v>0</v>
      </c>
      <c r="F164" s="57">
        <f t="shared" si="37"/>
        <v>0</v>
      </c>
      <c r="G164" s="56">
        <f>SUMIFS(销售数据包!O:O,销售数据包!A:A,A164)</f>
        <v>0</v>
      </c>
      <c r="H164" s="57">
        <f t="shared" si="38"/>
        <v>0</v>
      </c>
      <c r="I164" s="71">
        <f t="shared" si="39"/>
        <v>0</v>
      </c>
      <c r="J164" s="72" t="str">
        <f t="shared" si="40"/>
        <v>周3</v>
      </c>
      <c r="K164" s="73">
        <f>SUMIFS(广告数据包!H:H,广告数据包!A:A,A164,广告数据包!G:G,Base!$F$2)+SUMIFS(广告数据包!H:H,广告数据包!A:A,A164,广告数据包!G:G,Base!$F$3)+SUMIFS(广告数据包!H:H,广告数据包!A:A,A164,广告数据包!G:G,Base!$F$4)</f>
        <v>0</v>
      </c>
      <c r="L164" s="56">
        <f>SUMIFS(广告数据包!I:I,广告数据包!A:A,A164,广告数据包!G:G,Base!$F$2)+SUMIFS(广告数据包!I:I,广告数据包!A:A,A164,广告数据包!G:G,Base!$F$3)+SUMIFS(广告数据包!I:I,广告数据包!A:A,A164,广告数据包!G:G,Base!$F$4)</f>
        <v>0</v>
      </c>
      <c r="M164" s="57">
        <f t="shared" si="41"/>
        <v>0</v>
      </c>
      <c r="N164" s="74">
        <f t="shared" si="42"/>
        <v>0</v>
      </c>
      <c r="O164" s="75">
        <f>SUMIFS(广告数据包!P:P,广告数据包!A:A,A164,广告数据包!G:G,Base!$F$2)+SUMIFS(广告数据包!P:P,广告数据包!A:A,A164,广告数据包!G:G,Base!$F$3)+SUMIFS(广告数据包!P:P,广告数据包!A:A,A164,广告数据包!G:G,Base!$F$4)</f>
        <v>0</v>
      </c>
      <c r="P164" s="56">
        <f>SUMIFS(广告数据包!M:M,广告数据包!A:A,A164,广告数据包!G:G,Base!$F$2)+SUMIFS(广告数据包!M:M,广告数据包!A:A,A164,广告数据包!G:G,Base!$F$3)+SUMIFS(广告数据包!M:M,广告数据包!A:A,A164,广告数据包!G:G,Base!$F$4)</f>
        <v>0</v>
      </c>
      <c r="Q164" s="57">
        <f t="shared" si="43"/>
        <v>0</v>
      </c>
      <c r="R164" s="56">
        <f>SUMIFS(广告数据包!L:L,广告数据包!A:A,A164,广告数据包!G:G,Base!$F$2)+SUMIFS(广告数据包!L:L,广告数据包!A:A,A164,广告数据包!G:G,Base!$F$3)+SUMIFS(广告数据包!L:L,广告数据包!A:A,A164,广告数据包!G:G,Base!$F$4)</f>
        <v>0</v>
      </c>
      <c r="S164" s="86">
        <f t="shared" si="44"/>
        <v>0</v>
      </c>
    </row>
    <row r="165" ht="16.5" spans="1:19">
      <c r="A165" s="54">
        <v>44602</v>
      </c>
      <c r="B165" s="55">
        <f>SUMIFS(销售数据包!F:F,销售数据包!A:A,A165,销售数据包!C:C,Base!$F$2)+SUMIFS(销售数据包!F:F,销售数据包!A:A,A165,销售数据包!C:C,Base!$F$3)+SUMIFS(销售数据包!F:F,销售数据包!A:A,A165,销售数据包!C:C,Base!$F$4)</f>
        <v>0</v>
      </c>
      <c r="C165" s="56">
        <f>SUMIFS(销售数据包!K:K,销售数据包!A:A,A165,销售数据包!C:C,Base!$F$2)+SUMIFS(销售数据包!K:K,销售数据包!A:A,A165,销售数据包!C:C,Base!$F$3)+SUMIFS(销售数据包!K:K,销售数据包!A:A,A165,销售数据包!C:C,Base!$F$4)</f>
        <v>0</v>
      </c>
      <c r="D165" s="56">
        <f>SUMIFS(销售数据包!Q:Q,销售数据包!A:A,A165,销售数据包!C:C,Base!$F$2)+SUMIFS(销售数据包!Q:Q,销售数据包!A:A,A165,销售数据包!C:C,Base!$F$3)+SUMIFS(销售数据包!Q:Q,销售数据包!A:A,A165,销售数据包!C:C,Base!$F$4)</f>
        <v>0</v>
      </c>
      <c r="E165" s="57">
        <f t="shared" si="36"/>
        <v>0</v>
      </c>
      <c r="F165" s="57">
        <f t="shared" si="37"/>
        <v>0</v>
      </c>
      <c r="G165" s="56">
        <f>SUMIFS(销售数据包!O:O,销售数据包!A:A,A165)</f>
        <v>0</v>
      </c>
      <c r="H165" s="57">
        <f t="shared" si="38"/>
        <v>0</v>
      </c>
      <c r="I165" s="71">
        <f t="shared" si="39"/>
        <v>0</v>
      </c>
      <c r="J165" s="72" t="str">
        <f t="shared" si="40"/>
        <v>周4</v>
      </c>
      <c r="K165" s="73">
        <f>SUMIFS(广告数据包!H:H,广告数据包!A:A,A165,广告数据包!G:G,Base!$F$2)+SUMIFS(广告数据包!H:H,广告数据包!A:A,A165,广告数据包!G:G,Base!$F$3)+SUMIFS(广告数据包!H:H,广告数据包!A:A,A165,广告数据包!G:G,Base!$F$4)</f>
        <v>0</v>
      </c>
      <c r="L165" s="56">
        <f>SUMIFS(广告数据包!I:I,广告数据包!A:A,A165,广告数据包!G:G,Base!$F$2)+SUMIFS(广告数据包!I:I,广告数据包!A:A,A165,广告数据包!G:G,Base!$F$3)+SUMIFS(广告数据包!I:I,广告数据包!A:A,A165,广告数据包!G:G,Base!$F$4)</f>
        <v>0</v>
      </c>
      <c r="M165" s="57">
        <f t="shared" si="41"/>
        <v>0</v>
      </c>
      <c r="N165" s="74">
        <f t="shared" si="42"/>
        <v>0</v>
      </c>
      <c r="O165" s="75">
        <f>SUMIFS(广告数据包!P:P,广告数据包!A:A,A165,广告数据包!G:G,Base!$F$2)+SUMIFS(广告数据包!P:P,广告数据包!A:A,A165,广告数据包!G:G,Base!$F$3)+SUMIFS(广告数据包!P:P,广告数据包!A:A,A165,广告数据包!G:G,Base!$F$4)</f>
        <v>0</v>
      </c>
      <c r="P165" s="56">
        <f>SUMIFS(广告数据包!M:M,广告数据包!A:A,A165,广告数据包!G:G,Base!$F$2)+SUMIFS(广告数据包!M:M,广告数据包!A:A,A165,广告数据包!G:G,Base!$F$3)+SUMIFS(广告数据包!M:M,广告数据包!A:A,A165,广告数据包!G:G,Base!$F$4)</f>
        <v>0</v>
      </c>
      <c r="Q165" s="57">
        <f t="shared" si="43"/>
        <v>0</v>
      </c>
      <c r="R165" s="56">
        <f>SUMIFS(广告数据包!L:L,广告数据包!A:A,A165,广告数据包!G:G,Base!$F$2)+SUMIFS(广告数据包!L:L,广告数据包!A:A,A165,广告数据包!G:G,Base!$F$3)+SUMIFS(广告数据包!L:L,广告数据包!A:A,A165,广告数据包!G:G,Base!$F$4)</f>
        <v>0</v>
      </c>
      <c r="S165" s="86">
        <f t="shared" si="44"/>
        <v>0</v>
      </c>
    </row>
    <row r="166" ht="16.5" spans="1:19">
      <c r="A166" s="54">
        <v>44603</v>
      </c>
      <c r="B166" s="55">
        <f>SUMIFS(销售数据包!F:F,销售数据包!A:A,A166,销售数据包!C:C,Base!$F$2)+SUMIFS(销售数据包!F:F,销售数据包!A:A,A166,销售数据包!C:C,Base!$F$3)+SUMIFS(销售数据包!F:F,销售数据包!A:A,A166,销售数据包!C:C,Base!$F$4)</f>
        <v>0</v>
      </c>
      <c r="C166" s="56">
        <f>SUMIFS(销售数据包!K:K,销售数据包!A:A,A166,销售数据包!C:C,Base!$F$2)+SUMIFS(销售数据包!K:K,销售数据包!A:A,A166,销售数据包!C:C,Base!$F$3)+SUMIFS(销售数据包!K:K,销售数据包!A:A,A166,销售数据包!C:C,Base!$F$4)</f>
        <v>0</v>
      </c>
      <c r="D166" s="56">
        <f>SUMIFS(销售数据包!Q:Q,销售数据包!A:A,A166,销售数据包!C:C,Base!$F$2)+SUMIFS(销售数据包!Q:Q,销售数据包!A:A,A166,销售数据包!C:C,Base!$F$3)+SUMIFS(销售数据包!Q:Q,销售数据包!A:A,A166,销售数据包!C:C,Base!$F$4)</f>
        <v>0</v>
      </c>
      <c r="E166" s="57">
        <f t="shared" si="36"/>
        <v>0</v>
      </c>
      <c r="F166" s="57">
        <f t="shared" si="37"/>
        <v>0</v>
      </c>
      <c r="G166" s="56">
        <f>SUMIFS(销售数据包!O:O,销售数据包!A:A,A166)</f>
        <v>0</v>
      </c>
      <c r="H166" s="57">
        <f t="shared" si="38"/>
        <v>0</v>
      </c>
      <c r="I166" s="71">
        <f t="shared" si="39"/>
        <v>0</v>
      </c>
      <c r="J166" s="72" t="str">
        <f t="shared" si="40"/>
        <v>周5</v>
      </c>
      <c r="K166" s="73">
        <f>SUMIFS(广告数据包!H:H,广告数据包!A:A,A166,广告数据包!G:G,Base!$F$2)+SUMIFS(广告数据包!H:H,广告数据包!A:A,A166,广告数据包!G:G,Base!$F$3)+SUMIFS(广告数据包!H:H,广告数据包!A:A,A166,广告数据包!G:G,Base!$F$4)</f>
        <v>0</v>
      </c>
      <c r="L166" s="56">
        <f>SUMIFS(广告数据包!I:I,广告数据包!A:A,A166,广告数据包!G:G,Base!$F$2)+SUMIFS(广告数据包!I:I,广告数据包!A:A,A166,广告数据包!G:G,Base!$F$3)+SUMIFS(广告数据包!I:I,广告数据包!A:A,A166,广告数据包!G:G,Base!$F$4)</f>
        <v>0</v>
      </c>
      <c r="M166" s="57">
        <f t="shared" si="41"/>
        <v>0</v>
      </c>
      <c r="N166" s="74">
        <f t="shared" si="42"/>
        <v>0</v>
      </c>
      <c r="O166" s="75">
        <f>SUMIFS(广告数据包!P:P,广告数据包!A:A,A166,广告数据包!G:G,Base!$F$2)+SUMIFS(广告数据包!P:P,广告数据包!A:A,A166,广告数据包!G:G,Base!$F$3)+SUMIFS(广告数据包!P:P,广告数据包!A:A,A166,广告数据包!G:G,Base!$F$4)</f>
        <v>0</v>
      </c>
      <c r="P166" s="56">
        <f>SUMIFS(广告数据包!M:M,广告数据包!A:A,A166,广告数据包!G:G,Base!$F$2)+SUMIFS(广告数据包!M:M,广告数据包!A:A,A166,广告数据包!G:G,Base!$F$3)+SUMIFS(广告数据包!M:M,广告数据包!A:A,A166,广告数据包!G:G,Base!$F$4)</f>
        <v>0</v>
      </c>
      <c r="Q166" s="57">
        <f t="shared" si="43"/>
        <v>0</v>
      </c>
      <c r="R166" s="56">
        <f>SUMIFS(广告数据包!L:L,广告数据包!A:A,A166,广告数据包!G:G,Base!$F$2)+SUMIFS(广告数据包!L:L,广告数据包!A:A,A166,广告数据包!G:G,Base!$F$3)+SUMIFS(广告数据包!L:L,广告数据包!A:A,A166,广告数据包!G:G,Base!$F$4)</f>
        <v>0</v>
      </c>
      <c r="S166" s="86">
        <f t="shared" si="44"/>
        <v>0</v>
      </c>
    </row>
    <row r="167" ht="16.5" spans="1:19">
      <c r="A167" s="54">
        <v>44604</v>
      </c>
      <c r="B167" s="55">
        <f>SUMIFS(销售数据包!F:F,销售数据包!A:A,A167,销售数据包!C:C,Base!$F$2)+SUMIFS(销售数据包!F:F,销售数据包!A:A,A167,销售数据包!C:C,Base!$F$3)+SUMIFS(销售数据包!F:F,销售数据包!A:A,A167,销售数据包!C:C,Base!$F$4)</f>
        <v>0</v>
      </c>
      <c r="C167" s="56">
        <f>SUMIFS(销售数据包!K:K,销售数据包!A:A,A167,销售数据包!C:C,Base!$F$2)+SUMIFS(销售数据包!K:K,销售数据包!A:A,A167,销售数据包!C:C,Base!$F$3)+SUMIFS(销售数据包!K:K,销售数据包!A:A,A167,销售数据包!C:C,Base!$F$4)</f>
        <v>0</v>
      </c>
      <c r="D167" s="56">
        <f>SUMIFS(销售数据包!Q:Q,销售数据包!A:A,A167,销售数据包!C:C,Base!$F$2)+SUMIFS(销售数据包!Q:Q,销售数据包!A:A,A167,销售数据包!C:C,Base!$F$3)+SUMIFS(销售数据包!Q:Q,销售数据包!A:A,A167,销售数据包!C:C,Base!$F$4)</f>
        <v>0</v>
      </c>
      <c r="E167" s="57">
        <f t="shared" si="36"/>
        <v>0</v>
      </c>
      <c r="F167" s="57">
        <f t="shared" si="37"/>
        <v>0</v>
      </c>
      <c r="G167" s="56">
        <f>SUMIFS(销售数据包!O:O,销售数据包!A:A,A167)</f>
        <v>0</v>
      </c>
      <c r="H167" s="57">
        <f t="shared" si="38"/>
        <v>0</v>
      </c>
      <c r="I167" s="71">
        <f t="shared" si="39"/>
        <v>0</v>
      </c>
      <c r="J167" s="72" t="str">
        <f t="shared" si="40"/>
        <v>周6</v>
      </c>
      <c r="K167" s="73">
        <f>SUMIFS(广告数据包!H:H,广告数据包!A:A,A167,广告数据包!G:G,Base!$F$2)+SUMIFS(广告数据包!H:H,广告数据包!A:A,A167,广告数据包!G:G,Base!$F$3)+SUMIFS(广告数据包!H:H,广告数据包!A:A,A167,广告数据包!G:G,Base!$F$4)</f>
        <v>0</v>
      </c>
      <c r="L167" s="56">
        <f>SUMIFS(广告数据包!I:I,广告数据包!A:A,A167,广告数据包!G:G,Base!$F$2)+SUMIFS(广告数据包!I:I,广告数据包!A:A,A167,广告数据包!G:G,Base!$F$3)+SUMIFS(广告数据包!I:I,广告数据包!A:A,A167,广告数据包!G:G,Base!$F$4)</f>
        <v>0</v>
      </c>
      <c r="M167" s="57">
        <f t="shared" si="41"/>
        <v>0</v>
      </c>
      <c r="N167" s="74">
        <f t="shared" si="42"/>
        <v>0</v>
      </c>
      <c r="O167" s="75">
        <f>SUMIFS(广告数据包!P:P,广告数据包!A:A,A167,广告数据包!G:G,Base!$F$2)+SUMIFS(广告数据包!P:P,广告数据包!A:A,A167,广告数据包!G:G,Base!$F$3)+SUMIFS(广告数据包!P:P,广告数据包!A:A,A167,广告数据包!G:G,Base!$F$4)</f>
        <v>0</v>
      </c>
      <c r="P167" s="56">
        <f>SUMIFS(广告数据包!M:M,广告数据包!A:A,A167,广告数据包!G:G,Base!$F$2)+SUMIFS(广告数据包!M:M,广告数据包!A:A,A167,广告数据包!G:G,Base!$F$3)+SUMIFS(广告数据包!M:M,广告数据包!A:A,A167,广告数据包!G:G,Base!$F$4)</f>
        <v>0</v>
      </c>
      <c r="Q167" s="57">
        <f t="shared" si="43"/>
        <v>0</v>
      </c>
      <c r="R167" s="56">
        <f>SUMIFS(广告数据包!L:L,广告数据包!A:A,A167,广告数据包!G:G,Base!$F$2)+SUMIFS(广告数据包!L:L,广告数据包!A:A,A167,广告数据包!G:G,Base!$F$3)+SUMIFS(广告数据包!L:L,广告数据包!A:A,A167,广告数据包!G:G,Base!$F$4)</f>
        <v>0</v>
      </c>
      <c r="S167" s="86">
        <f t="shared" si="44"/>
        <v>0</v>
      </c>
    </row>
    <row r="168" ht="16.5" spans="1:19">
      <c r="A168" s="54">
        <v>44605</v>
      </c>
      <c r="B168" s="55">
        <f>SUMIFS(销售数据包!F:F,销售数据包!A:A,A168,销售数据包!C:C,Base!$F$2)+SUMIFS(销售数据包!F:F,销售数据包!A:A,A168,销售数据包!C:C,Base!$F$3)+SUMIFS(销售数据包!F:F,销售数据包!A:A,A168,销售数据包!C:C,Base!$F$4)</f>
        <v>0</v>
      </c>
      <c r="C168" s="56">
        <f>SUMIFS(销售数据包!K:K,销售数据包!A:A,A168,销售数据包!C:C,Base!$F$2)+SUMIFS(销售数据包!K:K,销售数据包!A:A,A168,销售数据包!C:C,Base!$F$3)+SUMIFS(销售数据包!K:K,销售数据包!A:A,A168,销售数据包!C:C,Base!$F$4)</f>
        <v>0</v>
      </c>
      <c r="D168" s="56">
        <f>SUMIFS(销售数据包!Q:Q,销售数据包!A:A,A168,销售数据包!C:C,Base!$F$2)+SUMIFS(销售数据包!Q:Q,销售数据包!A:A,A168,销售数据包!C:C,Base!$F$3)+SUMIFS(销售数据包!Q:Q,销售数据包!A:A,A168,销售数据包!C:C,Base!$F$4)</f>
        <v>0</v>
      </c>
      <c r="E168" s="57">
        <f t="shared" si="36"/>
        <v>0</v>
      </c>
      <c r="F168" s="57">
        <f t="shared" si="37"/>
        <v>0</v>
      </c>
      <c r="G168" s="56">
        <f>SUMIFS(销售数据包!O:O,销售数据包!A:A,A168)</f>
        <v>0</v>
      </c>
      <c r="H168" s="57">
        <f t="shared" si="38"/>
        <v>0</v>
      </c>
      <c r="I168" s="71">
        <f t="shared" si="39"/>
        <v>0</v>
      </c>
      <c r="J168" s="72" t="str">
        <f t="shared" si="40"/>
        <v>周7</v>
      </c>
      <c r="K168" s="73">
        <f>SUMIFS(广告数据包!H:H,广告数据包!A:A,A168,广告数据包!G:G,Base!$F$2)+SUMIFS(广告数据包!H:H,广告数据包!A:A,A168,广告数据包!G:G,Base!$F$3)+SUMIFS(广告数据包!H:H,广告数据包!A:A,A168,广告数据包!G:G,Base!$F$4)</f>
        <v>0</v>
      </c>
      <c r="L168" s="56">
        <f>SUMIFS(广告数据包!I:I,广告数据包!A:A,A168,广告数据包!G:G,Base!$F$2)+SUMIFS(广告数据包!I:I,广告数据包!A:A,A168,广告数据包!G:G,Base!$F$3)+SUMIFS(广告数据包!I:I,广告数据包!A:A,A168,广告数据包!G:G,Base!$F$4)</f>
        <v>0</v>
      </c>
      <c r="M168" s="57">
        <f t="shared" si="41"/>
        <v>0</v>
      </c>
      <c r="N168" s="74">
        <f t="shared" si="42"/>
        <v>0</v>
      </c>
      <c r="O168" s="75">
        <f>SUMIFS(广告数据包!P:P,广告数据包!A:A,A168,广告数据包!G:G,Base!$F$2)+SUMIFS(广告数据包!P:P,广告数据包!A:A,A168,广告数据包!G:G,Base!$F$3)+SUMIFS(广告数据包!P:P,广告数据包!A:A,A168,广告数据包!G:G,Base!$F$4)</f>
        <v>0</v>
      </c>
      <c r="P168" s="56">
        <f>SUMIFS(广告数据包!M:M,广告数据包!A:A,A168,广告数据包!G:G,Base!$F$2)+SUMIFS(广告数据包!M:M,广告数据包!A:A,A168,广告数据包!G:G,Base!$F$3)+SUMIFS(广告数据包!M:M,广告数据包!A:A,A168,广告数据包!G:G,Base!$F$4)</f>
        <v>0</v>
      </c>
      <c r="Q168" s="57">
        <f t="shared" si="43"/>
        <v>0</v>
      </c>
      <c r="R168" s="56">
        <f>SUMIFS(广告数据包!L:L,广告数据包!A:A,A168,广告数据包!G:G,Base!$F$2)+SUMIFS(广告数据包!L:L,广告数据包!A:A,A168,广告数据包!G:G,Base!$F$3)+SUMIFS(广告数据包!L:L,广告数据包!A:A,A168,广告数据包!G:G,Base!$F$4)</f>
        <v>0</v>
      </c>
      <c r="S168" s="86">
        <f t="shared" si="44"/>
        <v>0</v>
      </c>
    </row>
    <row r="169" ht="16.5" spans="1:19">
      <c r="A169" s="54">
        <v>44606</v>
      </c>
      <c r="B169" s="55">
        <f>SUMIFS(销售数据包!F:F,销售数据包!A:A,A169,销售数据包!C:C,Base!$F$2)+SUMIFS(销售数据包!F:F,销售数据包!A:A,A169,销售数据包!C:C,Base!$F$3)+SUMIFS(销售数据包!F:F,销售数据包!A:A,A169,销售数据包!C:C,Base!$F$4)</f>
        <v>0</v>
      </c>
      <c r="C169" s="56">
        <f>SUMIFS(销售数据包!K:K,销售数据包!A:A,A169,销售数据包!C:C,Base!$F$2)+SUMIFS(销售数据包!K:K,销售数据包!A:A,A169,销售数据包!C:C,Base!$F$3)+SUMIFS(销售数据包!K:K,销售数据包!A:A,A169,销售数据包!C:C,Base!$F$4)</f>
        <v>0</v>
      </c>
      <c r="D169" s="56">
        <f>SUMIFS(销售数据包!Q:Q,销售数据包!A:A,A169,销售数据包!C:C,Base!$F$2)+SUMIFS(销售数据包!Q:Q,销售数据包!A:A,A169,销售数据包!C:C,Base!$F$3)+SUMIFS(销售数据包!Q:Q,销售数据包!A:A,A169,销售数据包!C:C,Base!$F$4)</f>
        <v>0</v>
      </c>
      <c r="E169" s="57">
        <f t="shared" si="36"/>
        <v>0</v>
      </c>
      <c r="F169" s="57">
        <f t="shared" si="37"/>
        <v>0</v>
      </c>
      <c r="G169" s="56">
        <f>SUMIFS(销售数据包!O:O,销售数据包!A:A,A169)</f>
        <v>0</v>
      </c>
      <c r="H169" s="57">
        <f t="shared" si="38"/>
        <v>0</v>
      </c>
      <c r="I169" s="71">
        <f t="shared" si="39"/>
        <v>0</v>
      </c>
      <c r="J169" s="72" t="str">
        <f t="shared" si="40"/>
        <v>周1</v>
      </c>
      <c r="K169" s="73">
        <f>SUMIFS(广告数据包!H:H,广告数据包!A:A,A169,广告数据包!G:G,Base!$F$2)+SUMIFS(广告数据包!H:H,广告数据包!A:A,A169,广告数据包!G:G,Base!$F$3)+SUMIFS(广告数据包!H:H,广告数据包!A:A,A169,广告数据包!G:G,Base!$F$4)</f>
        <v>0</v>
      </c>
      <c r="L169" s="56">
        <f>SUMIFS(广告数据包!I:I,广告数据包!A:A,A169,广告数据包!G:G,Base!$F$2)+SUMIFS(广告数据包!I:I,广告数据包!A:A,A169,广告数据包!G:G,Base!$F$3)+SUMIFS(广告数据包!I:I,广告数据包!A:A,A169,广告数据包!G:G,Base!$F$4)</f>
        <v>0</v>
      </c>
      <c r="M169" s="57">
        <f t="shared" si="41"/>
        <v>0</v>
      </c>
      <c r="N169" s="74">
        <f t="shared" si="42"/>
        <v>0</v>
      </c>
      <c r="O169" s="75">
        <f>SUMIFS(广告数据包!P:P,广告数据包!A:A,A169,广告数据包!G:G,Base!$F$2)+SUMIFS(广告数据包!P:P,广告数据包!A:A,A169,广告数据包!G:G,Base!$F$3)+SUMIFS(广告数据包!P:P,广告数据包!A:A,A169,广告数据包!G:G,Base!$F$4)</f>
        <v>0</v>
      </c>
      <c r="P169" s="56">
        <f>SUMIFS(广告数据包!M:M,广告数据包!A:A,A169,广告数据包!G:G,Base!$F$2)+SUMIFS(广告数据包!M:M,广告数据包!A:A,A169,广告数据包!G:G,Base!$F$3)+SUMIFS(广告数据包!M:M,广告数据包!A:A,A169,广告数据包!G:G,Base!$F$4)</f>
        <v>0</v>
      </c>
      <c r="Q169" s="57">
        <f t="shared" si="43"/>
        <v>0</v>
      </c>
      <c r="R169" s="56">
        <f>SUMIFS(广告数据包!L:L,广告数据包!A:A,A169,广告数据包!G:G,Base!$F$2)+SUMIFS(广告数据包!L:L,广告数据包!A:A,A169,广告数据包!G:G,Base!$F$3)+SUMIFS(广告数据包!L:L,广告数据包!A:A,A169,广告数据包!G:G,Base!$F$4)</f>
        <v>0</v>
      </c>
      <c r="S169" s="86">
        <f t="shared" si="44"/>
        <v>0</v>
      </c>
    </row>
    <row r="170" ht="16.5" spans="1:19">
      <c r="A170" s="54">
        <v>44607</v>
      </c>
      <c r="B170" s="55">
        <f>SUMIFS(销售数据包!F:F,销售数据包!A:A,A170,销售数据包!C:C,Base!$F$2)+SUMIFS(销售数据包!F:F,销售数据包!A:A,A170,销售数据包!C:C,Base!$F$3)+SUMIFS(销售数据包!F:F,销售数据包!A:A,A170,销售数据包!C:C,Base!$F$4)</f>
        <v>0</v>
      </c>
      <c r="C170" s="56">
        <f>SUMIFS(销售数据包!K:K,销售数据包!A:A,A170,销售数据包!C:C,Base!$F$2)+SUMIFS(销售数据包!K:K,销售数据包!A:A,A170,销售数据包!C:C,Base!$F$3)+SUMIFS(销售数据包!K:K,销售数据包!A:A,A170,销售数据包!C:C,Base!$F$4)</f>
        <v>0</v>
      </c>
      <c r="D170" s="56">
        <f>SUMIFS(销售数据包!Q:Q,销售数据包!A:A,A170,销售数据包!C:C,Base!$F$2)+SUMIFS(销售数据包!Q:Q,销售数据包!A:A,A170,销售数据包!C:C,Base!$F$3)+SUMIFS(销售数据包!Q:Q,销售数据包!A:A,A170,销售数据包!C:C,Base!$F$4)</f>
        <v>0</v>
      </c>
      <c r="E170" s="57">
        <f t="shared" si="36"/>
        <v>0</v>
      </c>
      <c r="F170" s="57">
        <f t="shared" si="37"/>
        <v>0</v>
      </c>
      <c r="G170" s="56">
        <f>SUMIFS(销售数据包!O:O,销售数据包!A:A,A170)</f>
        <v>0</v>
      </c>
      <c r="H170" s="57">
        <f t="shared" si="38"/>
        <v>0</v>
      </c>
      <c r="I170" s="71">
        <f t="shared" si="39"/>
        <v>0</v>
      </c>
      <c r="J170" s="72" t="str">
        <f t="shared" si="40"/>
        <v>周2</v>
      </c>
      <c r="K170" s="73">
        <f>SUMIFS(广告数据包!H:H,广告数据包!A:A,A170,广告数据包!G:G,Base!$F$2)+SUMIFS(广告数据包!H:H,广告数据包!A:A,A170,广告数据包!G:G,Base!$F$3)+SUMIFS(广告数据包!H:H,广告数据包!A:A,A170,广告数据包!G:G,Base!$F$4)</f>
        <v>0</v>
      </c>
      <c r="L170" s="56">
        <f>SUMIFS(广告数据包!I:I,广告数据包!A:A,A170,广告数据包!G:G,Base!$F$2)+SUMIFS(广告数据包!I:I,广告数据包!A:A,A170,广告数据包!G:G,Base!$F$3)+SUMIFS(广告数据包!I:I,广告数据包!A:A,A170,广告数据包!G:G,Base!$F$4)</f>
        <v>0</v>
      </c>
      <c r="M170" s="57">
        <f t="shared" si="41"/>
        <v>0</v>
      </c>
      <c r="N170" s="74">
        <f t="shared" si="42"/>
        <v>0</v>
      </c>
      <c r="O170" s="75">
        <f>SUMIFS(广告数据包!P:P,广告数据包!A:A,A170,广告数据包!G:G,Base!$F$2)+SUMIFS(广告数据包!P:P,广告数据包!A:A,A170,广告数据包!G:G,Base!$F$3)+SUMIFS(广告数据包!P:P,广告数据包!A:A,A170,广告数据包!G:G,Base!$F$4)</f>
        <v>0</v>
      </c>
      <c r="P170" s="56">
        <f>SUMIFS(广告数据包!M:M,广告数据包!A:A,A170,广告数据包!G:G,Base!$F$2)+SUMIFS(广告数据包!M:M,广告数据包!A:A,A170,广告数据包!G:G,Base!$F$3)+SUMIFS(广告数据包!M:M,广告数据包!A:A,A170,广告数据包!G:G,Base!$F$4)</f>
        <v>0</v>
      </c>
      <c r="Q170" s="57">
        <f t="shared" si="43"/>
        <v>0</v>
      </c>
      <c r="R170" s="56">
        <f>SUMIFS(广告数据包!L:L,广告数据包!A:A,A170,广告数据包!G:G,Base!$F$2)+SUMIFS(广告数据包!L:L,广告数据包!A:A,A170,广告数据包!G:G,Base!$F$3)+SUMIFS(广告数据包!L:L,广告数据包!A:A,A170,广告数据包!G:G,Base!$F$4)</f>
        <v>0</v>
      </c>
      <c r="S170" s="86">
        <f t="shared" si="44"/>
        <v>0</v>
      </c>
    </row>
    <row r="171" ht="16.5" spans="1:19">
      <c r="A171" s="54">
        <v>44608</v>
      </c>
      <c r="B171" s="55">
        <f>SUMIFS(销售数据包!F:F,销售数据包!A:A,A171,销售数据包!C:C,Base!$F$2)+SUMIFS(销售数据包!F:F,销售数据包!A:A,A171,销售数据包!C:C,Base!$F$3)+SUMIFS(销售数据包!F:F,销售数据包!A:A,A171,销售数据包!C:C,Base!$F$4)</f>
        <v>0</v>
      </c>
      <c r="C171" s="56">
        <f>SUMIFS(销售数据包!K:K,销售数据包!A:A,A171,销售数据包!C:C,Base!$F$2)+SUMIFS(销售数据包!K:K,销售数据包!A:A,A171,销售数据包!C:C,Base!$F$3)+SUMIFS(销售数据包!K:K,销售数据包!A:A,A171,销售数据包!C:C,Base!$F$4)</f>
        <v>0</v>
      </c>
      <c r="D171" s="56">
        <f>SUMIFS(销售数据包!Q:Q,销售数据包!A:A,A171,销售数据包!C:C,Base!$F$2)+SUMIFS(销售数据包!Q:Q,销售数据包!A:A,A171,销售数据包!C:C,Base!$F$3)+SUMIFS(销售数据包!Q:Q,销售数据包!A:A,A171,销售数据包!C:C,Base!$F$4)</f>
        <v>0</v>
      </c>
      <c r="E171" s="57">
        <f t="shared" si="36"/>
        <v>0</v>
      </c>
      <c r="F171" s="57">
        <f t="shared" si="37"/>
        <v>0</v>
      </c>
      <c r="G171" s="56">
        <f>SUMIFS(销售数据包!O:O,销售数据包!A:A,A171)</f>
        <v>0</v>
      </c>
      <c r="H171" s="57">
        <f t="shared" si="38"/>
        <v>0</v>
      </c>
      <c r="I171" s="71">
        <f t="shared" si="39"/>
        <v>0</v>
      </c>
      <c r="J171" s="72" t="str">
        <f t="shared" si="40"/>
        <v>周3</v>
      </c>
      <c r="K171" s="73">
        <f>SUMIFS(广告数据包!H:H,广告数据包!A:A,A171,广告数据包!G:G,Base!$F$2)+SUMIFS(广告数据包!H:H,广告数据包!A:A,A171,广告数据包!G:G,Base!$F$3)+SUMIFS(广告数据包!H:H,广告数据包!A:A,A171,广告数据包!G:G,Base!$F$4)</f>
        <v>0</v>
      </c>
      <c r="L171" s="56">
        <f>SUMIFS(广告数据包!I:I,广告数据包!A:A,A171,广告数据包!G:G,Base!$F$2)+SUMIFS(广告数据包!I:I,广告数据包!A:A,A171,广告数据包!G:G,Base!$F$3)+SUMIFS(广告数据包!I:I,广告数据包!A:A,A171,广告数据包!G:G,Base!$F$4)</f>
        <v>0</v>
      </c>
      <c r="M171" s="57">
        <f t="shared" si="41"/>
        <v>0</v>
      </c>
      <c r="N171" s="74">
        <f t="shared" si="42"/>
        <v>0</v>
      </c>
      <c r="O171" s="75">
        <f>SUMIFS(广告数据包!P:P,广告数据包!A:A,A171,广告数据包!G:G,Base!$F$2)+SUMIFS(广告数据包!P:P,广告数据包!A:A,A171,广告数据包!G:G,Base!$F$3)+SUMIFS(广告数据包!P:P,广告数据包!A:A,A171,广告数据包!G:G,Base!$F$4)</f>
        <v>0</v>
      </c>
      <c r="P171" s="56">
        <f>SUMIFS(广告数据包!M:M,广告数据包!A:A,A171,广告数据包!G:G,Base!$F$2)+SUMIFS(广告数据包!M:M,广告数据包!A:A,A171,广告数据包!G:G,Base!$F$3)+SUMIFS(广告数据包!M:M,广告数据包!A:A,A171,广告数据包!G:G,Base!$F$4)</f>
        <v>0</v>
      </c>
      <c r="Q171" s="57">
        <f t="shared" si="43"/>
        <v>0</v>
      </c>
      <c r="R171" s="56">
        <f>SUMIFS(广告数据包!L:L,广告数据包!A:A,A171,广告数据包!G:G,Base!$F$2)+SUMIFS(广告数据包!L:L,广告数据包!A:A,A171,广告数据包!G:G,Base!$F$3)+SUMIFS(广告数据包!L:L,广告数据包!A:A,A171,广告数据包!G:G,Base!$F$4)</f>
        <v>0</v>
      </c>
      <c r="S171" s="86">
        <f t="shared" si="44"/>
        <v>0</v>
      </c>
    </row>
    <row r="172" ht="16.5" spans="1:19">
      <c r="A172" s="54">
        <v>44609</v>
      </c>
      <c r="B172" s="55">
        <f>SUMIFS(销售数据包!F:F,销售数据包!A:A,A172,销售数据包!C:C,Base!$F$2)+SUMIFS(销售数据包!F:F,销售数据包!A:A,A172,销售数据包!C:C,Base!$F$3)+SUMIFS(销售数据包!F:F,销售数据包!A:A,A172,销售数据包!C:C,Base!$F$4)</f>
        <v>0</v>
      </c>
      <c r="C172" s="56">
        <f>SUMIFS(销售数据包!K:K,销售数据包!A:A,A172,销售数据包!C:C,Base!$F$2)+SUMIFS(销售数据包!K:K,销售数据包!A:A,A172,销售数据包!C:C,Base!$F$3)+SUMIFS(销售数据包!K:K,销售数据包!A:A,A172,销售数据包!C:C,Base!$F$4)</f>
        <v>0</v>
      </c>
      <c r="D172" s="56">
        <f>SUMIFS(销售数据包!Q:Q,销售数据包!A:A,A172,销售数据包!C:C,Base!$F$2)+SUMIFS(销售数据包!Q:Q,销售数据包!A:A,A172,销售数据包!C:C,Base!$F$3)+SUMIFS(销售数据包!Q:Q,销售数据包!A:A,A172,销售数据包!C:C,Base!$F$4)</f>
        <v>0</v>
      </c>
      <c r="E172" s="57">
        <f t="shared" si="36"/>
        <v>0</v>
      </c>
      <c r="F172" s="57">
        <f t="shared" si="37"/>
        <v>0</v>
      </c>
      <c r="G172" s="56">
        <f>SUMIFS(销售数据包!O:O,销售数据包!A:A,A172)</f>
        <v>0</v>
      </c>
      <c r="H172" s="57">
        <f t="shared" si="38"/>
        <v>0</v>
      </c>
      <c r="I172" s="71">
        <f t="shared" si="39"/>
        <v>0</v>
      </c>
      <c r="J172" s="72" t="str">
        <f t="shared" si="40"/>
        <v>周4</v>
      </c>
      <c r="K172" s="73">
        <f>SUMIFS(广告数据包!H:H,广告数据包!A:A,A172,广告数据包!G:G,Base!$F$2)+SUMIFS(广告数据包!H:H,广告数据包!A:A,A172,广告数据包!G:G,Base!$F$3)+SUMIFS(广告数据包!H:H,广告数据包!A:A,A172,广告数据包!G:G,Base!$F$4)</f>
        <v>0</v>
      </c>
      <c r="L172" s="56">
        <f>SUMIFS(广告数据包!I:I,广告数据包!A:A,A172,广告数据包!G:G,Base!$F$2)+SUMIFS(广告数据包!I:I,广告数据包!A:A,A172,广告数据包!G:G,Base!$F$3)+SUMIFS(广告数据包!I:I,广告数据包!A:A,A172,广告数据包!G:G,Base!$F$4)</f>
        <v>0</v>
      </c>
      <c r="M172" s="57">
        <f t="shared" si="41"/>
        <v>0</v>
      </c>
      <c r="N172" s="74">
        <f t="shared" si="42"/>
        <v>0</v>
      </c>
      <c r="O172" s="75">
        <f>SUMIFS(广告数据包!P:P,广告数据包!A:A,A172,广告数据包!G:G,Base!$F$2)+SUMIFS(广告数据包!P:P,广告数据包!A:A,A172,广告数据包!G:G,Base!$F$3)+SUMIFS(广告数据包!P:P,广告数据包!A:A,A172,广告数据包!G:G,Base!$F$4)</f>
        <v>0</v>
      </c>
      <c r="P172" s="56">
        <f>SUMIFS(广告数据包!M:M,广告数据包!A:A,A172,广告数据包!G:G,Base!$F$2)+SUMIFS(广告数据包!M:M,广告数据包!A:A,A172,广告数据包!G:G,Base!$F$3)+SUMIFS(广告数据包!M:M,广告数据包!A:A,A172,广告数据包!G:G,Base!$F$4)</f>
        <v>0</v>
      </c>
      <c r="Q172" s="57">
        <f t="shared" si="43"/>
        <v>0</v>
      </c>
      <c r="R172" s="56">
        <f>SUMIFS(广告数据包!L:L,广告数据包!A:A,A172,广告数据包!G:G,Base!$F$2)+SUMIFS(广告数据包!L:L,广告数据包!A:A,A172,广告数据包!G:G,Base!$F$3)+SUMIFS(广告数据包!L:L,广告数据包!A:A,A172,广告数据包!G:G,Base!$F$4)</f>
        <v>0</v>
      </c>
      <c r="S172" s="86">
        <f t="shared" si="44"/>
        <v>0</v>
      </c>
    </row>
    <row r="173" ht="16.5" spans="1:19">
      <c r="A173" s="54">
        <v>44610</v>
      </c>
      <c r="B173" s="55">
        <f>SUMIFS(销售数据包!F:F,销售数据包!A:A,A173,销售数据包!C:C,Base!$F$2)+SUMIFS(销售数据包!F:F,销售数据包!A:A,A173,销售数据包!C:C,Base!$F$3)+SUMIFS(销售数据包!F:F,销售数据包!A:A,A173,销售数据包!C:C,Base!$F$4)</f>
        <v>0</v>
      </c>
      <c r="C173" s="56">
        <f>SUMIFS(销售数据包!K:K,销售数据包!A:A,A173,销售数据包!C:C,Base!$F$2)+SUMIFS(销售数据包!K:K,销售数据包!A:A,A173,销售数据包!C:C,Base!$F$3)+SUMIFS(销售数据包!K:K,销售数据包!A:A,A173,销售数据包!C:C,Base!$F$4)</f>
        <v>0</v>
      </c>
      <c r="D173" s="56">
        <f>SUMIFS(销售数据包!Q:Q,销售数据包!A:A,A173,销售数据包!C:C,Base!$F$2)+SUMIFS(销售数据包!Q:Q,销售数据包!A:A,A173,销售数据包!C:C,Base!$F$3)+SUMIFS(销售数据包!Q:Q,销售数据包!A:A,A173,销售数据包!C:C,Base!$F$4)</f>
        <v>0</v>
      </c>
      <c r="E173" s="57">
        <f t="shared" si="36"/>
        <v>0</v>
      </c>
      <c r="F173" s="57">
        <f t="shared" si="37"/>
        <v>0</v>
      </c>
      <c r="G173" s="56">
        <f>SUMIFS(销售数据包!O:O,销售数据包!A:A,A173)</f>
        <v>0</v>
      </c>
      <c r="H173" s="57">
        <f t="shared" si="38"/>
        <v>0</v>
      </c>
      <c r="I173" s="71">
        <f t="shared" si="39"/>
        <v>0</v>
      </c>
      <c r="J173" s="72" t="str">
        <f t="shared" si="40"/>
        <v>周5</v>
      </c>
      <c r="K173" s="73">
        <f>SUMIFS(广告数据包!H:H,广告数据包!A:A,A173,广告数据包!G:G,Base!$F$2)+SUMIFS(广告数据包!H:H,广告数据包!A:A,A173,广告数据包!G:G,Base!$F$3)+SUMIFS(广告数据包!H:H,广告数据包!A:A,A173,广告数据包!G:G,Base!$F$4)</f>
        <v>0</v>
      </c>
      <c r="L173" s="56">
        <f>SUMIFS(广告数据包!I:I,广告数据包!A:A,A173,广告数据包!G:G,Base!$F$2)+SUMIFS(广告数据包!I:I,广告数据包!A:A,A173,广告数据包!G:G,Base!$F$3)+SUMIFS(广告数据包!I:I,广告数据包!A:A,A173,广告数据包!G:G,Base!$F$4)</f>
        <v>0</v>
      </c>
      <c r="M173" s="57">
        <f t="shared" si="41"/>
        <v>0</v>
      </c>
      <c r="N173" s="74">
        <f t="shared" si="42"/>
        <v>0</v>
      </c>
      <c r="O173" s="75">
        <f>SUMIFS(广告数据包!P:P,广告数据包!A:A,A173,广告数据包!G:G,Base!$F$2)+SUMIFS(广告数据包!P:P,广告数据包!A:A,A173,广告数据包!G:G,Base!$F$3)+SUMIFS(广告数据包!P:P,广告数据包!A:A,A173,广告数据包!G:G,Base!$F$4)</f>
        <v>0</v>
      </c>
      <c r="P173" s="56">
        <f>SUMIFS(广告数据包!M:M,广告数据包!A:A,A173,广告数据包!G:G,Base!$F$2)+SUMIFS(广告数据包!M:M,广告数据包!A:A,A173,广告数据包!G:G,Base!$F$3)+SUMIFS(广告数据包!M:M,广告数据包!A:A,A173,广告数据包!G:G,Base!$F$4)</f>
        <v>0</v>
      </c>
      <c r="Q173" s="57">
        <f t="shared" si="43"/>
        <v>0</v>
      </c>
      <c r="R173" s="56">
        <f>SUMIFS(广告数据包!L:L,广告数据包!A:A,A173,广告数据包!G:G,Base!$F$2)+SUMIFS(广告数据包!L:L,广告数据包!A:A,A173,广告数据包!G:G,Base!$F$3)+SUMIFS(广告数据包!L:L,广告数据包!A:A,A173,广告数据包!G:G,Base!$F$4)</f>
        <v>0</v>
      </c>
      <c r="S173" s="86">
        <f t="shared" si="44"/>
        <v>0</v>
      </c>
    </row>
    <row r="174" ht="16.5" spans="1:19">
      <c r="A174" s="54">
        <v>44611</v>
      </c>
      <c r="B174" s="55">
        <f>SUMIFS(销售数据包!F:F,销售数据包!A:A,A174,销售数据包!C:C,Base!$F$2)+SUMIFS(销售数据包!F:F,销售数据包!A:A,A174,销售数据包!C:C,Base!$F$3)+SUMIFS(销售数据包!F:F,销售数据包!A:A,A174,销售数据包!C:C,Base!$F$4)</f>
        <v>0</v>
      </c>
      <c r="C174" s="56">
        <f>SUMIFS(销售数据包!K:K,销售数据包!A:A,A174,销售数据包!C:C,Base!$F$2)+SUMIFS(销售数据包!K:K,销售数据包!A:A,A174,销售数据包!C:C,Base!$F$3)+SUMIFS(销售数据包!K:K,销售数据包!A:A,A174,销售数据包!C:C,Base!$F$4)</f>
        <v>0</v>
      </c>
      <c r="D174" s="56">
        <f>SUMIFS(销售数据包!Q:Q,销售数据包!A:A,A174,销售数据包!C:C,Base!$F$2)+SUMIFS(销售数据包!Q:Q,销售数据包!A:A,A174,销售数据包!C:C,Base!$F$3)+SUMIFS(销售数据包!Q:Q,销售数据包!A:A,A174,销售数据包!C:C,Base!$F$4)</f>
        <v>0</v>
      </c>
      <c r="E174" s="57">
        <f t="shared" si="36"/>
        <v>0</v>
      </c>
      <c r="F174" s="57">
        <f t="shared" si="37"/>
        <v>0</v>
      </c>
      <c r="G174" s="56">
        <f>SUMIFS(销售数据包!O:O,销售数据包!A:A,A174)</f>
        <v>0</v>
      </c>
      <c r="H174" s="57">
        <f t="shared" si="38"/>
        <v>0</v>
      </c>
      <c r="I174" s="71">
        <f t="shared" si="39"/>
        <v>0</v>
      </c>
      <c r="J174" s="72" t="str">
        <f t="shared" si="40"/>
        <v>周6</v>
      </c>
      <c r="K174" s="73">
        <f>SUMIFS(广告数据包!H:H,广告数据包!A:A,A174,广告数据包!G:G,Base!$F$2)+SUMIFS(广告数据包!H:H,广告数据包!A:A,A174,广告数据包!G:G,Base!$F$3)+SUMIFS(广告数据包!H:H,广告数据包!A:A,A174,广告数据包!G:G,Base!$F$4)</f>
        <v>0</v>
      </c>
      <c r="L174" s="56">
        <f>SUMIFS(广告数据包!I:I,广告数据包!A:A,A174,广告数据包!G:G,Base!$F$2)+SUMIFS(广告数据包!I:I,广告数据包!A:A,A174,广告数据包!G:G,Base!$F$3)+SUMIFS(广告数据包!I:I,广告数据包!A:A,A174,广告数据包!G:G,Base!$F$4)</f>
        <v>0</v>
      </c>
      <c r="M174" s="57">
        <f t="shared" si="41"/>
        <v>0</v>
      </c>
      <c r="N174" s="74">
        <f t="shared" si="42"/>
        <v>0</v>
      </c>
      <c r="O174" s="75">
        <f>SUMIFS(广告数据包!P:P,广告数据包!A:A,A174,广告数据包!G:G,Base!$F$2)+SUMIFS(广告数据包!P:P,广告数据包!A:A,A174,广告数据包!G:G,Base!$F$3)+SUMIFS(广告数据包!P:P,广告数据包!A:A,A174,广告数据包!G:G,Base!$F$4)</f>
        <v>0</v>
      </c>
      <c r="P174" s="56">
        <f>SUMIFS(广告数据包!M:M,广告数据包!A:A,A174,广告数据包!G:G,Base!$F$2)+SUMIFS(广告数据包!M:M,广告数据包!A:A,A174,广告数据包!G:G,Base!$F$3)+SUMIFS(广告数据包!M:M,广告数据包!A:A,A174,广告数据包!G:G,Base!$F$4)</f>
        <v>0</v>
      </c>
      <c r="Q174" s="57">
        <f t="shared" si="43"/>
        <v>0</v>
      </c>
      <c r="R174" s="56">
        <f>SUMIFS(广告数据包!L:L,广告数据包!A:A,A174,广告数据包!G:G,Base!$F$2)+SUMIFS(广告数据包!L:L,广告数据包!A:A,A174,广告数据包!G:G,Base!$F$3)+SUMIFS(广告数据包!L:L,广告数据包!A:A,A174,广告数据包!G:G,Base!$F$4)</f>
        <v>0</v>
      </c>
      <c r="S174" s="86">
        <f t="shared" si="44"/>
        <v>0</v>
      </c>
    </row>
    <row r="175" ht="16.5" spans="1:19">
      <c r="A175" s="54">
        <v>44612</v>
      </c>
      <c r="B175" s="55">
        <f>SUMIFS(销售数据包!F:F,销售数据包!A:A,A175,销售数据包!C:C,Base!$F$2)+SUMIFS(销售数据包!F:F,销售数据包!A:A,A175,销售数据包!C:C,Base!$F$3)+SUMIFS(销售数据包!F:F,销售数据包!A:A,A175,销售数据包!C:C,Base!$F$4)</f>
        <v>0</v>
      </c>
      <c r="C175" s="56">
        <f>SUMIFS(销售数据包!K:K,销售数据包!A:A,A175,销售数据包!C:C,Base!$F$2)+SUMIFS(销售数据包!K:K,销售数据包!A:A,A175,销售数据包!C:C,Base!$F$3)+SUMIFS(销售数据包!K:K,销售数据包!A:A,A175,销售数据包!C:C,Base!$F$4)</f>
        <v>0</v>
      </c>
      <c r="D175" s="56">
        <f>SUMIFS(销售数据包!Q:Q,销售数据包!A:A,A175,销售数据包!C:C,Base!$F$2)+SUMIFS(销售数据包!Q:Q,销售数据包!A:A,A175,销售数据包!C:C,Base!$F$3)+SUMIFS(销售数据包!Q:Q,销售数据包!A:A,A175,销售数据包!C:C,Base!$F$4)</f>
        <v>0</v>
      </c>
      <c r="E175" s="57">
        <f t="shared" si="36"/>
        <v>0</v>
      </c>
      <c r="F175" s="57">
        <f t="shared" si="37"/>
        <v>0</v>
      </c>
      <c r="G175" s="56">
        <f>SUMIFS(销售数据包!O:O,销售数据包!A:A,A175)</f>
        <v>0</v>
      </c>
      <c r="H175" s="57">
        <f t="shared" si="38"/>
        <v>0</v>
      </c>
      <c r="I175" s="71">
        <f t="shared" si="39"/>
        <v>0</v>
      </c>
      <c r="J175" s="72" t="str">
        <f t="shared" si="40"/>
        <v>周7</v>
      </c>
      <c r="K175" s="73">
        <f>SUMIFS(广告数据包!H:H,广告数据包!A:A,A175,广告数据包!G:G,Base!$F$2)+SUMIFS(广告数据包!H:H,广告数据包!A:A,A175,广告数据包!G:G,Base!$F$3)+SUMIFS(广告数据包!H:H,广告数据包!A:A,A175,广告数据包!G:G,Base!$F$4)</f>
        <v>0</v>
      </c>
      <c r="L175" s="56">
        <f>SUMIFS(广告数据包!I:I,广告数据包!A:A,A175,广告数据包!G:G,Base!$F$2)+SUMIFS(广告数据包!I:I,广告数据包!A:A,A175,广告数据包!G:G,Base!$F$3)+SUMIFS(广告数据包!I:I,广告数据包!A:A,A175,广告数据包!G:G,Base!$F$4)</f>
        <v>0</v>
      </c>
      <c r="M175" s="57">
        <f t="shared" si="41"/>
        <v>0</v>
      </c>
      <c r="N175" s="74">
        <f t="shared" si="42"/>
        <v>0</v>
      </c>
      <c r="O175" s="75">
        <f>SUMIFS(广告数据包!P:P,广告数据包!A:A,A175,广告数据包!G:G,Base!$F$2)+SUMIFS(广告数据包!P:P,广告数据包!A:A,A175,广告数据包!G:G,Base!$F$3)+SUMIFS(广告数据包!P:P,广告数据包!A:A,A175,广告数据包!G:G,Base!$F$4)</f>
        <v>0</v>
      </c>
      <c r="P175" s="56">
        <f>SUMIFS(广告数据包!M:M,广告数据包!A:A,A175,广告数据包!G:G,Base!$F$2)+SUMIFS(广告数据包!M:M,广告数据包!A:A,A175,广告数据包!G:G,Base!$F$3)+SUMIFS(广告数据包!M:M,广告数据包!A:A,A175,广告数据包!G:G,Base!$F$4)</f>
        <v>0</v>
      </c>
      <c r="Q175" s="57">
        <f t="shared" si="43"/>
        <v>0</v>
      </c>
      <c r="R175" s="56">
        <f>SUMIFS(广告数据包!L:L,广告数据包!A:A,A175,广告数据包!G:G,Base!$F$2)+SUMIFS(广告数据包!L:L,广告数据包!A:A,A175,广告数据包!G:G,Base!$F$3)+SUMIFS(广告数据包!L:L,广告数据包!A:A,A175,广告数据包!G:G,Base!$F$4)</f>
        <v>0</v>
      </c>
      <c r="S175" s="86">
        <f t="shared" si="44"/>
        <v>0</v>
      </c>
    </row>
    <row r="176" ht="16.5" spans="1:19">
      <c r="A176" s="54">
        <v>44613</v>
      </c>
      <c r="B176" s="55">
        <f>SUMIFS(销售数据包!F:F,销售数据包!A:A,A176,销售数据包!C:C,Base!$F$2)+SUMIFS(销售数据包!F:F,销售数据包!A:A,A176,销售数据包!C:C,Base!$F$3)+SUMIFS(销售数据包!F:F,销售数据包!A:A,A176,销售数据包!C:C,Base!$F$4)</f>
        <v>0</v>
      </c>
      <c r="C176" s="56">
        <f>SUMIFS(销售数据包!K:K,销售数据包!A:A,A176,销售数据包!C:C,Base!$F$2)+SUMIFS(销售数据包!K:K,销售数据包!A:A,A176,销售数据包!C:C,Base!$F$3)+SUMIFS(销售数据包!K:K,销售数据包!A:A,A176,销售数据包!C:C,Base!$F$4)</f>
        <v>0</v>
      </c>
      <c r="D176" s="56">
        <f>SUMIFS(销售数据包!Q:Q,销售数据包!A:A,A176,销售数据包!C:C,Base!$F$2)+SUMIFS(销售数据包!Q:Q,销售数据包!A:A,A176,销售数据包!C:C,Base!$F$3)+SUMIFS(销售数据包!Q:Q,销售数据包!A:A,A176,销售数据包!C:C,Base!$F$4)</f>
        <v>0</v>
      </c>
      <c r="E176" s="57">
        <f t="shared" si="36"/>
        <v>0</v>
      </c>
      <c r="F176" s="57">
        <f t="shared" si="37"/>
        <v>0</v>
      </c>
      <c r="G176" s="56">
        <f>SUMIFS(销售数据包!O:O,销售数据包!A:A,A176)</f>
        <v>0</v>
      </c>
      <c r="H176" s="57">
        <f t="shared" si="38"/>
        <v>0</v>
      </c>
      <c r="I176" s="71">
        <f t="shared" si="39"/>
        <v>0</v>
      </c>
      <c r="J176" s="72" t="str">
        <f t="shared" si="40"/>
        <v>周1</v>
      </c>
      <c r="K176" s="73">
        <f>SUMIFS(广告数据包!H:H,广告数据包!A:A,A176,广告数据包!G:G,Base!$F$2)+SUMIFS(广告数据包!H:H,广告数据包!A:A,A176,广告数据包!G:G,Base!$F$3)+SUMIFS(广告数据包!H:H,广告数据包!A:A,A176,广告数据包!G:G,Base!$F$4)</f>
        <v>0</v>
      </c>
      <c r="L176" s="56">
        <f>SUMIFS(广告数据包!I:I,广告数据包!A:A,A176,广告数据包!G:G,Base!$F$2)+SUMIFS(广告数据包!I:I,广告数据包!A:A,A176,广告数据包!G:G,Base!$F$3)+SUMIFS(广告数据包!I:I,广告数据包!A:A,A176,广告数据包!G:G,Base!$F$4)</f>
        <v>0</v>
      </c>
      <c r="M176" s="57">
        <f t="shared" si="41"/>
        <v>0</v>
      </c>
      <c r="N176" s="74">
        <f t="shared" si="42"/>
        <v>0</v>
      </c>
      <c r="O176" s="75">
        <f>SUMIFS(广告数据包!P:P,广告数据包!A:A,A176,广告数据包!G:G,Base!$F$2)+SUMIFS(广告数据包!P:P,广告数据包!A:A,A176,广告数据包!G:G,Base!$F$3)+SUMIFS(广告数据包!P:P,广告数据包!A:A,A176,广告数据包!G:G,Base!$F$4)</f>
        <v>0</v>
      </c>
      <c r="P176" s="56">
        <f>SUMIFS(广告数据包!M:M,广告数据包!A:A,A176,广告数据包!G:G,Base!$F$2)+SUMIFS(广告数据包!M:M,广告数据包!A:A,A176,广告数据包!G:G,Base!$F$3)+SUMIFS(广告数据包!M:M,广告数据包!A:A,A176,广告数据包!G:G,Base!$F$4)</f>
        <v>0</v>
      </c>
      <c r="Q176" s="57">
        <f t="shared" si="43"/>
        <v>0</v>
      </c>
      <c r="R176" s="56">
        <f>SUMIFS(广告数据包!L:L,广告数据包!A:A,A176,广告数据包!G:G,Base!$F$2)+SUMIFS(广告数据包!L:L,广告数据包!A:A,A176,广告数据包!G:G,Base!$F$3)+SUMIFS(广告数据包!L:L,广告数据包!A:A,A176,广告数据包!G:G,Base!$F$4)</f>
        <v>0</v>
      </c>
      <c r="S176" s="86">
        <f t="shared" si="44"/>
        <v>0</v>
      </c>
    </row>
    <row r="177" ht="16.5" spans="1:19">
      <c r="A177" s="54">
        <v>44614</v>
      </c>
      <c r="B177" s="55">
        <f>SUMIFS(销售数据包!F:F,销售数据包!A:A,A177,销售数据包!C:C,Base!$F$2)+SUMIFS(销售数据包!F:F,销售数据包!A:A,A177,销售数据包!C:C,Base!$F$3)+SUMIFS(销售数据包!F:F,销售数据包!A:A,A177,销售数据包!C:C,Base!$F$4)</f>
        <v>0</v>
      </c>
      <c r="C177" s="56">
        <f>SUMIFS(销售数据包!K:K,销售数据包!A:A,A177,销售数据包!C:C,Base!$F$2)+SUMIFS(销售数据包!K:K,销售数据包!A:A,A177,销售数据包!C:C,Base!$F$3)+SUMIFS(销售数据包!K:K,销售数据包!A:A,A177,销售数据包!C:C,Base!$F$4)</f>
        <v>0</v>
      </c>
      <c r="D177" s="56">
        <f>SUMIFS(销售数据包!Q:Q,销售数据包!A:A,A177,销售数据包!C:C,Base!$F$2)+SUMIFS(销售数据包!Q:Q,销售数据包!A:A,A177,销售数据包!C:C,Base!$F$3)+SUMIFS(销售数据包!Q:Q,销售数据包!A:A,A177,销售数据包!C:C,Base!$F$4)</f>
        <v>0</v>
      </c>
      <c r="E177" s="57">
        <f t="shared" si="36"/>
        <v>0</v>
      </c>
      <c r="F177" s="57">
        <f t="shared" si="37"/>
        <v>0</v>
      </c>
      <c r="G177" s="56">
        <f>SUMIFS(销售数据包!O:O,销售数据包!A:A,A177)</f>
        <v>0</v>
      </c>
      <c r="H177" s="57">
        <f t="shared" si="38"/>
        <v>0</v>
      </c>
      <c r="I177" s="71">
        <f t="shared" si="39"/>
        <v>0</v>
      </c>
      <c r="J177" s="72" t="str">
        <f t="shared" si="40"/>
        <v>周2</v>
      </c>
      <c r="K177" s="73">
        <f>SUMIFS(广告数据包!H:H,广告数据包!A:A,A177,广告数据包!G:G,Base!$F$2)+SUMIFS(广告数据包!H:H,广告数据包!A:A,A177,广告数据包!G:G,Base!$F$3)+SUMIFS(广告数据包!H:H,广告数据包!A:A,A177,广告数据包!G:G,Base!$F$4)</f>
        <v>0</v>
      </c>
      <c r="L177" s="56">
        <f>SUMIFS(广告数据包!I:I,广告数据包!A:A,A177,广告数据包!G:G,Base!$F$2)+SUMIFS(广告数据包!I:I,广告数据包!A:A,A177,广告数据包!G:G,Base!$F$3)+SUMIFS(广告数据包!I:I,广告数据包!A:A,A177,广告数据包!G:G,Base!$F$4)</f>
        <v>0</v>
      </c>
      <c r="M177" s="57">
        <f t="shared" si="41"/>
        <v>0</v>
      </c>
      <c r="N177" s="74">
        <f t="shared" si="42"/>
        <v>0</v>
      </c>
      <c r="O177" s="75">
        <f>SUMIFS(广告数据包!P:P,广告数据包!A:A,A177,广告数据包!G:G,Base!$F$2)+SUMIFS(广告数据包!P:P,广告数据包!A:A,A177,广告数据包!G:G,Base!$F$3)+SUMIFS(广告数据包!P:P,广告数据包!A:A,A177,广告数据包!G:G,Base!$F$4)</f>
        <v>0</v>
      </c>
      <c r="P177" s="56">
        <f>SUMIFS(广告数据包!M:M,广告数据包!A:A,A177,广告数据包!G:G,Base!$F$2)+SUMIFS(广告数据包!M:M,广告数据包!A:A,A177,广告数据包!G:G,Base!$F$3)+SUMIFS(广告数据包!M:M,广告数据包!A:A,A177,广告数据包!G:G,Base!$F$4)</f>
        <v>0</v>
      </c>
      <c r="Q177" s="57">
        <f t="shared" si="43"/>
        <v>0</v>
      </c>
      <c r="R177" s="56">
        <f>SUMIFS(广告数据包!L:L,广告数据包!A:A,A177,广告数据包!G:G,Base!$F$2)+SUMIFS(广告数据包!L:L,广告数据包!A:A,A177,广告数据包!G:G,Base!$F$3)+SUMIFS(广告数据包!L:L,广告数据包!A:A,A177,广告数据包!G:G,Base!$F$4)</f>
        <v>0</v>
      </c>
      <c r="S177" s="86">
        <f t="shared" si="44"/>
        <v>0</v>
      </c>
    </row>
    <row r="178" ht="16.5" spans="1:19">
      <c r="A178" s="54">
        <v>44615</v>
      </c>
      <c r="B178" s="55">
        <f>SUMIFS(销售数据包!F:F,销售数据包!A:A,A178,销售数据包!C:C,Base!$F$2)+SUMIFS(销售数据包!F:F,销售数据包!A:A,A178,销售数据包!C:C,Base!$F$3)+SUMIFS(销售数据包!F:F,销售数据包!A:A,A178,销售数据包!C:C,Base!$F$4)</f>
        <v>0</v>
      </c>
      <c r="C178" s="56">
        <f>SUMIFS(销售数据包!K:K,销售数据包!A:A,A178,销售数据包!C:C,Base!$F$2)+SUMIFS(销售数据包!K:K,销售数据包!A:A,A178,销售数据包!C:C,Base!$F$3)+SUMIFS(销售数据包!K:K,销售数据包!A:A,A178,销售数据包!C:C,Base!$F$4)</f>
        <v>0</v>
      </c>
      <c r="D178" s="56">
        <f>SUMIFS(销售数据包!Q:Q,销售数据包!A:A,A178,销售数据包!C:C,Base!$F$2)+SUMIFS(销售数据包!Q:Q,销售数据包!A:A,A178,销售数据包!C:C,Base!$F$3)+SUMIFS(销售数据包!Q:Q,销售数据包!A:A,A178,销售数据包!C:C,Base!$F$4)</f>
        <v>0</v>
      </c>
      <c r="E178" s="57">
        <f t="shared" si="36"/>
        <v>0</v>
      </c>
      <c r="F178" s="57">
        <f t="shared" si="37"/>
        <v>0</v>
      </c>
      <c r="G178" s="56">
        <f>SUMIFS(销售数据包!O:O,销售数据包!A:A,A178)</f>
        <v>0</v>
      </c>
      <c r="H178" s="57">
        <f t="shared" si="38"/>
        <v>0</v>
      </c>
      <c r="I178" s="71">
        <f t="shared" si="39"/>
        <v>0</v>
      </c>
      <c r="J178" s="72" t="str">
        <f t="shared" si="40"/>
        <v>周3</v>
      </c>
      <c r="K178" s="73">
        <f>SUMIFS(广告数据包!H:H,广告数据包!A:A,A178,广告数据包!G:G,Base!$F$2)+SUMIFS(广告数据包!H:H,广告数据包!A:A,A178,广告数据包!G:G,Base!$F$3)+SUMIFS(广告数据包!H:H,广告数据包!A:A,A178,广告数据包!G:G,Base!$F$4)</f>
        <v>0</v>
      </c>
      <c r="L178" s="56">
        <f>SUMIFS(广告数据包!I:I,广告数据包!A:A,A178,广告数据包!G:G,Base!$F$2)+SUMIFS(广告数据包!I:I,广告数据包!A:A,A178,广告数据包!G:G,Base!$F$3)+SUMIFS(广告数据包!I:I,广告数据包!A:A,A178,广告数据包!G:G,Base!$F$4)</f>
        <v>0</v>
      </c>
      <c r="M178" s="57">
        <f t="shared" si="41"/>
        <v>0</v>
      </c>
      <c r="N178" s="74">
        <f t="shared" si="42"/>
        <v>0</v>
      </c>
      <c r="O178" s="75">
        <f>SUMIFS(广告数据包!P:P,广告数据包!A:A,A178,广告数据包!G:G,Base!$F$2)+SUMIFS(广告数据包!P:P,广告数据包!A:A,A178,广告数据包!G:G,Base!$F$3)+SUMIFS(广告数据包!P:P,广告数据包!A:A,A178,广告数据包!G:G,Base!$F$4)</f>
        <v>0</v>
      </c>
      <c r="P178" s="56">
        <f>SUMIFS(广告数据包!M:M,广告数据包!A:A,A178,广告数据包!G:G,Base!$F$2)+SUMIFS(广告数据包!M:M,广告数据包!A:A,A178,广告数据包!G:G,Base!$F$3)+SUMIFS(广告数据包!M:M,广告数据包!A:A,A178,广告数据包!G:G,Base!$F$4)</f>
        <v>0</v>
      </c>
      <c r="Q178" s="57">
        <f t="shared" si="43"/>
        <v>0</v>
      </c>
      <c r="R178" s="56">
        <f>SUMIFS(广告数据包!L:L,广告数据包!A:A,A178,广告数据包!G:G,Base!$F$2)+SUMIFS(广告数据包!L:L,广告数据包!A:A,A178,广告数据包!G:G,Base!$F$3)+SUMIFS(广告数据包!L:L,广告数据包!A:A,A178,广告数据包!G:G,Base!$F$4)</f>
        <v>0</v>
      </c>
      <c r="S178" s="86">
        <f t="shared" si="44"/>
        <v>0</v>
      </c>
    </row>
    <row r="179" ht="16.5" spans="1:19">
      <c r="A179" s="54">
        <v>44616</v>
      </c>
      <c r="B179" s="55">
        <f>SUMIFS(销售数据包!F:F,销售数据包!A:A,A179,销售数据包!C:C,Base!$F$2)+SUMIFS(销售数据包!F:F,销售数据包!A:A,A179,销售数据包!C:C,Base!$F$3)+SUMIFS(销售数据包!F:F,销售数据包!A:A,A179,销售数据包!C:C,Base!$F$4)</f>
        <v>0</v>
      </c>
      <c r="C179" s="56">
        <f>SUMIFS(销售数据包!K:K,销售数据包!A:A,A179,销售数据包!C:C,Base!$F$2)+SUMIFS(销售数据包!K:K,销售数据包!A:A,A179,销售数据包!C:C,Base!$F$3)+SUMIFS(销售数据包!K:K,销售数据包!A:A,A179,销售数据包!C:C,Base!$F$4)</f>
        <v>0</v>
      </c>
      <c r="D179" s="56">
        <f>SUMIFS(销售数据包!Q:Q,销售数据包!A:A,A179,销售数据包!C:C,Base!$F$2)+SUMIFS(销售数据包!Q:Q,销售数据包!A:A,A179,销售数据包!C:C,Base!$F$3)+SUMIFS(销售数据包!Q:Q,销售数据包!A:A,A179,销售数据包!C:C,Base!$F$4)</f>
        <v>0</v>
      </c>
      <c r="E179" s="57">
        <f t="shared" si="36"/>
        <v>0</v>
      </c>
      <c r="F179" s="57">
        <f t="shared" si="37"/>
        <v>0</v>
      </c>
      <c r="G179" s="56">
        <f>SUMIFS(销售数据包!O:O,销售数据包!A:A,A179)</f>
        <v>0</v>
      </c>
      <c r="H179" s="57">
        <f t="shared" si="38"/>
        <v>0</v>
      </c>
      <c r="I179" s="71">
        <f t="shared" si="39"/>
        <v>0</v>
      </c>
      <c r="J179" s="72" t="str">
        <f t="shared" si="40"/>
        <v>周4</v>
      </c>
      <c r="K179" s="73">
        <f>SUMIFS(广告数据包!H:H,广告数据包!A:A,A179,广告数据包!G:G,Base!$F$2)+SUMIFS(广告数据包!H:H,广告数据包!A:A,A179,广告数据包!G:G,Base!$F$3)+SUMIFS(广告数据包!H:H,广告数据包!A:A,A179,广告数据包!G:G,Base!$F$4)</f>
        <v>0</v>
      </c>
      <c r="L179" s="56">
        <f>SUMIFS(广告数据包!I:I,广告数据包!A:A,A179,广告数据包!G:G,Base!$F$2)+SUMIFS(广告数据包!I:I,广告数据包!A:A,A179,广告数据包!G:G,Base!$F$3)+SUMIFS(广告数据包!I:I,广告数据包!A:A,A179,广告数据包!G:G,Base!$F$4)</f>
        <v>0</v>
      </c>
      <c r="M179" s="57">
        <f t="shared" si="41"/>
        <v>0</v>
      </c>
      <c r="N179" s="74">
        <f t="shared" si="42"/>
        <v>0</v>
      </c>
      <c r="O179" s="75">
        <f>SUMIFS(广告数据包!P:P,广告数据包!A:A,A179,广告数据包!G:G,Base!$F$2)+SUMIFS(广告数据包!P:P,广告数据包!A:A,A179,广告数据包!G:G,Base!$F$3)+SUMIFS(广告数据包!P:P,广告数据包!A:A,A179,广告数据包!G:G,Base!$F$4)</f>
        <v>0</v>
      </c>
      <c r="P179" s="56">
        <f>SUMIFS(广告数据包!M:M,广告数据包!A:A,A179,广告数据包!G:G,Base!$F$2)+SUMIFS(广告数据包!M:M,广告数据包!A:A,A179,广告数据包!G:G,Base!$F$3)+SUMIFS(广告数据包!M:M,广告数据包!A:A,A179,广告数据包!G:G,Base!$F$4)</f>
        <v>0</v>
      </c>
      <c r="Q179" s="57">
        <f t="shared" si="43"/>
        <v>0</v>
      </c>
      <c r="R179" s="56">
        <f>SUMIFS(广告数据包!L:L,广告数据包!A:A,A179,广告数据包!G:G,Base!$F$2)+SUMIFS(广告数据包!L:L,广告数据包!A:A,A179,广告数据包!G:G,Base!$F$3)+SUMIFS(广告数据包!L:L,广告数据包!A:A,A179,广告数据包!G:G,Base!$F$4)</f>
        <v>0</v>
      </c>
      <c r="S179" s="86">
        <f t="shared" si="44"/>
        <v>0</v>
      </c>
    </row>
    <row r="180" ht="16.5" spans="1:19">
      <c r="A180" s="54">
        <v>44617</v>
      </c>
      <c r="B180" s="55">
        <f>SUMIFS(销售数据包!F:F,销售数据包!A:A,A180,销售数据包!C:C,Base!$F$2)+SUMIFS(销售数据包!F:F,销售数据包!A:A,A180,销售数据包!C:C,Base!$F$3)+SUMIFS(销售数据包!F:F,销售数据包!A:A,A180,销售数据包!C:C,Base!$F$4)</f>
        <v>0</v>
      </c>
      <c r="C180" s="56">
        <f>SUMIFS(销售数据包!K:K,销售数据包!A:A,A180,销售数据包!C:C,Base!$F$2)+SUMIFS(销售数据包!K:K,销售数据包!A:A,A180,销售数据包!C:C,Base!$F$3)+SUMIFS(销售数据包!K:K,销售数据包!A:A,A180,销售数据包!C:C,Base!$F$4)</f>
        <v>0</v>
      </c>
      <c r="D180" s="56">
        <f>SUMIFS(销售数据包!Q:Q,销售数据包!A:A,A180,销售数据包!C:C,Base!$F$2)+SUMIFS(销售数据包!Q:Q,销售数据包!A:A,A180,销售数据包!C:C,Base!$F$3)+SUMIFS(销售数据包!Q:Q,销售数据包!A:A,A180,销售数据包!C:C,Base!$F$4)</f>
        <v>0</v>
      </c>
      <c r="E180" s="57">
        <f t="shared" si="36"/>
        <v>0</v>
      </c>
      <c r="F180" s="57">
        <f t="shared" si="37"/>
        <v>0</v>
      </c>
      <c r="G180" s="56">
        <f>SUMIFS(销售数据包!O:O,销售数据包!A:A,A180)</f>
        <v>0</v>
      </c>
      <c r="H180" s="57">
        <f t="shared" si="38"/>
        <v>0</v>
      </c>
      <c r="I180" s="71">
        <f t="shared" si="39"/>
        <v>0</v>
      </c>
      <c r="J180" s="72" t="str">
        <f t="shared" si="40"/>
        <v>周5</v>
      </c>
      <c r="K180" s="73">
        <f>SUMIFS(广告数据包!H:H,广告数据包!A:A,A180,广告数据包!G:G,Base!$F$2)+SUMIFS(广告数据包!H:H,广告数据包!A:A,A180,广告数据包!G:G,Base!$F$3)+SUMIFS(广告数据包!H:H,广告数据包!A:A,A180,广告数据包!G:G,Base!$F$4)</f>
        <v>0</v>
      </c>
      <c r="L180" s="56">
        <f>SUMIFS(广告数据包!I:I,广告数据包!A:A,A180,广告数据包!G:G,Base!$F$2)+SUMIFS(广告数据包!I:I,广告数据包!A:A,A180,广告数据包!G:G,Base!$F$3)+SUMIFS(广告数据包!I:I,广告数据包!A:A,A180,广告数据包!G:G,Base!$F$4)</f>
        <v>0</v>
      </c>
      <c r="M180" s="57">
        <f t="shared" si="41"/>
        <v>0</v>
      </c>
      <c r="N180" s="74">
        <f t="shared" si="42"/>
        <v>0</v>
      </c>
      <c r="O180" s="75">
        <f>SUMIFS(广告数据包!P:P,广告数据包!A:A,A180,广告数据包!G:G,Base!$F$2)+SUMIFS(广告数据包!P:P,广告数据包!A:A,A180,广告数据包!G:G,Base!$F$3)+SUMIFS(广告数据包!P:P,广告数据包!A:A,A180,广告数据包!G:G,Base!$F$4)</f>
        <v>0</v>
      </c>
      <c r="P180" s="56">
        <f>SUMIFS(广告数据包!M:M,广告数据包!A:A,A180,广告数据包!G:G,Base!$F$2)+SUMIFS(广告数据包!M:M,广告数据包!A:A,A180,广告数据包!G:G,Base!$F$3)+SUMIFS(广告数据包!M:M,广告数据包!A:A,A180,广告数据包!G:G,Base!$F$4)</f>
        <v>0</v>
      </c>
      <c r="Q180" s="57">
        <f t="shared" si="43"/>
        <v>0</v>
      </c>
      <c r="R180" s="56">
        <f>SUMIFS(广告数据包!L:L,广告数据包!A:A,A180,广告数据包!G:G,Base!$F$2)+SUMIFS(广告数据包!L:L,广告数据包!A:A,A180,广告数据包!G:G,Base!$F$3)+SUMIFS(广告数据包!L:L,广告数据包!A:A,A180,广告数据包!G:G,Base!$F$4)</f>
        <v>0</v>
      </c>
      <c r="S180" s="86">
        <f t="shared" si="44"/>
        <v>0</v>
      </c>
    </row>
    <row r="181" ht="16.5" spans="1:19">
      <c r="A181" s="54">
        <v>44618</v>
      </c>
      <c r="B181" s="55">
        <f>SUMIFS(销售数据包!F:F,销售数据包!A:A,A181,销售数据包!C:C,Base!$F$2)+SUMIFS(销售数据包!F:F,销售数据包!A:A,A181,销售数据包!C:C,Base!$F$3)+SUMIFS(销售数据包!F:F,销售数据包!A:A,A181,销售数据包!C:C,Base!$F$4)</f>
        <v>0</v>
      </c>
      <c r="C181" s="56">
        <f>SUMIFS(销售数据包!K:K,销售数据包!A:A,A181,销售数据包!C:C,Base!$F$2)+SUMIFS(销售数据包!K:K,销售数据包!A:A,A181,销售数据包!C:C,Base!$F$3)+SUMIFS(销售数据包!K:K,销售数据包!A:A,A181,销售数据包!C:C,Base!$F$4)</f>
        <v>0</v>
      </c>
      <c r="D181" s="56">
        <f>SUMIFS(销售数据包!Q:Q,销售数据包!A:A,A181,销售数据包!C:C,Base!$F$2)+SUMIFS(销售数据包!Q:Q,销售数据包!A:A,A181,销售数据包!C:C,Base!$F$3)+SUMIFS(销售数据包!Q:Q,销售数据包!A:A,A181,销售数据包!C:C,Base!$F$4)</f>
        <v>0</v>
      </c>
      <c r="E181" s="57">
        <f t="shared" si="36"/>
        <v>0</v>
      </c>
      <c r="F181" s="57">
        <f t="shared" si="37"/>
        <v>0</v>
      </c>
      <c r="G181" s="56">
        <f>SUMIFS(销售数据包!O:O,销售数据包!A:A,A181)</f>
        <v>0</v>
      </c>
      <c r="H181" s="57">
        <f t="shared" si="38"/>
        <v>0</v>
      </c>
      <c r="I181" s="71">
        <f t="shared" si="39"/>
        <v>0</v>
      </c>
      <c r="J181" s="72" t="str">
        <f t="shared" si="40"/>
        <v>周6</v>
      </c>
      <c r="K181" s="73">
        <f>SUMIFS(广告数据包!H:H,广告数据包!A:A,A181,广告数据包!G:G,Base!$F$2)+SUMIFS(广告数据包!H:H,广告数据包!A:A,A181,广告数据包!G:G,Base!$F$3)+SUMIFS(广告数据包!H:H,广告数据包!A:A,A181,广告数据包!G:G,Base!$F$4)</f>
        <v>0</v>
      </c>
      <c r="L181" s="56">
        <f>SUMIFS(广告数据包!I:I,广告数据包!A:A,A181,广告数据包!G:G,Base!$F$2)+SUMIFS(广告数据包!I:I,广告数据包!A:A,A181,广告数据包!G:G,Base!$F$3)+SUMIFS(广告数据包!I:I,广告数据包!A:A,A181,广告数据包!G:G,Base!$F$4)</f>
        <v>0</v>
      </c>
      <c r="M181" s="57">
        <f t="shared" si="41"/>
        <v>0</v>
      </c>
      <c r="N181" s="74">
        <f t="shared" si="42"/>
        <v>0</v>
      </c>
      <c r="O181" s="75">
        <f>SUMIFS(广告数据包!P:P,广告数据包!A:A,A181,广告数据包!G:G,Base!$F$2)+SUMIFS(广告数据包!P:P,广告数据包!A:A,A181,广告数据包!G:G,Base!$F$3)+SUMIFS(广告数据包!P:P,广告数据包!A:A,A181,广告数据包!G:G,Base!$F$4)</f>
        <v>0</v>
      </c>
      <c r="P181" s="56">
        <f>SUMIFS(广告数据包!M:M,广告数据包!A:A,A181,广告数据包!G:G,Base!$F$2)+SUMIFS(广告数据包!M:M,广告数据包!A:A,A181,广告数据包!G:G,Base!$F$3)+SUMIFS(广告数据包!M:M,广告数据包!A:A,A181,广告数据包!G:G,Base!$F$4)</f>
        <v>0</v>
      </c>
      <c r="Q181" s="57">
        <f t="shared" si="43"/>
        <v>0</v>
      </c>
      <c r="R181" s="56">
        <f>SUMIFS(广告数据包!L:L,广告数据包!A:A,A181,广告数据包!G:G,Base!$F$2)+SUMIFS(广告数据包!L:L,广告数据包!A:A,A181,广告数据包!G:G,Base!$F$3)+SUMIFS(广告数据包!L:L,广告数据包!A:A,A181,广告数据包!G:G,Base!$F$4)</f>
        <v>0</v>
      </c>
      <c r="S181" s="86">
        <f t="shared" si="44"/>
        <v>0</v>
      </c>
    </row>
    <row r="182" ht="16.5" spans="1:19">
      <c r="A182" s="54">
        <v>44619</v>
      </c>
      <c r="B182" s="55">
        <f>SUMIFS(销售数据包!F:F,销售数据包!A:A,A182,销售数据包!C:C,Base!$F$2)+SUMIFS(销售数据包!F:F,销售数据包!A:A,A182,销售数据包!C:C,Base!$F$3)+SUMIFS(销售数据包!F:F,销售数据包!A:A,A182,销售数据包!C:C,Base!$F$4)</f>
        <v>0</v>
      </c>
      <c r="C182" s="56">
        <f>SUMIFS(销售数据包!K:K,销售数据包!A:A,A182,销售数据包!C:C,Base!$F$2)+SUMIFS(销售数据包!K:K,销售数据包!A:A,A182,销售数据包!C:C,Base!$F$3)+SUMIFS(销售数据包!K:K,销售数据包!A:A,A182,销售数据包!C:C,Base!$F$4)</f>
        <v>0</v>
      </c>
      <c r="D182" s="56">
        <f>SUMIFS(销售数据包!Q:Q,销售数据包!A:A,A182,销售数据包!C:C,Base!$F$2)+SUMIFS(销售数据包!Q:Q,销售数据包!A:A,A182,销售数据包!C:C,Base!$F$3)+SUMIFS(销售数据包!Q:Q,销售数据包!A:A,A182,销售数据包!C:C,Base!$F$4)</f>
        <v>0</v>
      </c>
      <c r="E182" s="57">
        <f t="shared" si="36"/>
        <v>0</v>
      </c>
      <c r="F182" s="57">
        <f t="shared" si="37"/>
        <v>0</v>
      </c>
      <c r="G182" s="56">
        <f>SUMIFS(销售数据包!O:O,销售数据包!A:A,A182)</f>
        <v>0</v>
      </c>
      <c r="H182" s="57">
        <f t="shared" si="38"/>
        <v>0</v>
      </c>
      <c r="I182" s="71">
        <f t="shared" si="39"/>
        <v>0</v>
      </c>
      <c r="J182" s="72" t="str">
        <f t="shared" si="40"/>
        <v>周7</v>
      </c>
      <c r="K182" s="73">
        <f>SUMIFS(广告数据包!H:H,广告数据包!A:A,A182,广告数据包!G:G,Base!$F$2)+SUMIFS(广告数据包!H:H,广告数据包!A:A,A182,广告数据包!G:G,Base!$F$3)+SUMIFS(广告数据包!H:H,广告数据包!A:A,A182,广告数据包!G:G,Base!$F$4)</f>
        <v>0</v>
      </c>
      <c r="L182" s="56">
        <f>SUMIFS(广告数据包!I:I,广告数据包!A:A,A182,广告数据包!G:G,Base!$F$2)+SUMIFS(广告数据包!I:I,广告数据包!A:A,A182,广告数据包!G:G,Base!$F$3)+SUMIFS(广告数据包!I:I,广告数据包!A:A,A182,广告数据包!G:G,Base!$F$4)</f>
        <v>0</v>
      </c>
      <c r="M182" s="57">
        <f t="shared" si="41"/>
        <v>0</v>
      </c>
      <c r="N182" s="74">
        <f t="shared" si="42"/>
        <v>0</v>
      </c>
      <c r="O182" s="75">
        <f>SUMIFS(广告数据包!P:P,广告数据包!A:A,A182,广告数据包!G:G,Base!$F$2)+SUMIFS(广告数据包!P:P,广告数据包!A:A,A182,广告数据包!G:G,Base!$F$3)+SUMIFS(广告数据包!P:P,广告数据包!A:A,A182,广告数据包!G:G,Base!$F$4)</f>
        <v>0</v>
      </c>
      <c r="P182" s="56">
        <f>SUMIFS(广告数据包!M:M,广告数据包!A:A,A182,广告数据包!G:G,Base!$F$2)+SUMIFS(广告数据包!M:M,广告数据包!A:A,A182,广告数据包!G:G,Base!$F$3)+SUMIFS(广告数据包!M:M,广告数据包!A:A,A182,广告数据包!G:G,Base!$F$4)</f>
        <v>0</v>
      </c>
      <c r="Q182" s="57">
        <f t="shared" si="43"/>
        <v>0</v>
      </c>
      <c r="R182" s="56">
        <f>SUMIFS(广告数据包!L:L,广告数据包!A:A,A182,广告数据包!G:G,Base!$F$2)+SUMIFS(广告数据包!L:L,广告数据包!A:A,A182,广告数据包!G:G,Base!$F$3)+SUMIFS(广告数据包!L:L,广告数据包!A:A,A182,广告数据包!G:G,Base!$F$4)</f>
        <v>0</v>
      </c>
      <c r="S182" s="86">
        <f t="shared" si="44"/>
        <v>0</v>
      </c>
    </row>
    <row r="183" ht="16.5" spans="1:19">
      <c r="A183" s="54">
        <v>44620</v>
      </c>
      <c r="B183" s="55">
        <f>SUMIFS(销售数据包!F:F,销售数据包!A:A,A183,销售数据包!C:C,Base!$F$2)+SUMIFS(销售数据包!F:F,销售数据包!A:A,A183,销售数据包!C:C,Base!$F$3)+SUMIFS(销售数据包!F:F,销售数据包!A:A,A183,销售数据包!C:C,Base!$F$4)</f>
        <v>0</v>
      </c>
      <c r="C183" s="56">
        <f>SUMIFS(销售数据包!K:K,销售数据包!A:A,A183,销售数据包!C:C,Base!$F$2)+SUMIFS(销售数据包!K:K,销售数据包!A:A,A183,销售数据包!C:C,Base!$F$3)+SUMIFS(销售数据包!K:K,销售数据包!A:A,A183,销售数据包!C:C,Base!$F$4)</f>
        <v>0</v>
      </c>
      <c r="D183" s="56">
        <f>SUMIFS(销售数据包!Q:Q,销售数据包!A:A,A183,销售数据包!C:C,Base!$F$2)+SUMIFS(销售数据包!Q:Q,销售数据包!A:A,A183,销售数据包!C:C,Base!$F$3)+SUMIFS(销售数据包!Q:Q,销售数据包!A:A,A183,销售数据包!C:C,Base!$F$4)</f>
        <v>0</v>
      </c>
      <c r="E183" s="57">
        <f t="shared" si="36"/>
        <v>0</v>
      </c>
      <c r="F183" s="57">
        <f t="shared" si="37"/>
        <v>0</v>
      </c>
      <c r="G183" s="56">
        <f>SUMIFS(销售数据包!O:O,销售数据包!A:A,A183)</f>
        <v>0</v>
      </c>
      <c r="H183" s="57">
        <f t="shared" si="38"/>
        <v>0</v>
      </c>
      <c r="I183" s="71">
        <f t="shared" si="39"/>
        <v>0</v>
      </c>
      <c r="J183" s="72" t="str">
        <f t="shared" si="40"/>
        <v>周1</v>
      </c>
      <c r="K183" s="73">
        <f>SUMIFS(广告数据包!H:H,广告数据包!A:A,A183,广告数据包!G:G,Base!$F$2)+SUMIFS(广告数据包!H:H,广告数据包!A:A,A183,广告数据包!G:G,Base!$F$3)+SUMIFS(广告数据包!H:H,广告数据包!A:A,A183,广告数据包!G:G,Base!$F$4)</f>
        <v>0</v>
      </c>
      <c r="L183" s="56">
        <f>SUMIFS(广告数据包!I:I,广告数据包!A:A,A183,广告数据包!G:G,Base!$F$2)+SUMIFS(广告数据包!I:I,广告数据包!A:A,A183,广告数据包!G:G,Base!$F$3)+SUMIFS(广告数据包!I:I,广告数据包!A:A,A183,广告数据包!G:G,Base!$F$4)</f>
        <v>0</v>
      </c>
      <c r="M183" s="57">
        <f t="shared" si="41"/>
        <v>0</v>
      </c>
      <c r="N183" s="74">
        <f t="shared" si="42"/>
        <v>0</v>
      </c>
      <c r="O183" s="75">
        <f>SUMIFS(广告数据包!P:P,广告数据包!A:A,A183,广告数据包!G:G,Base!$F$2)+SUMIFS(广告数据包!P:P,广告数据包!A:A,A183,广告数据包!G:G,Base!$F$3)+SUMIFS(广告数据包!P:P,广告数据包!A:A,A183,广告数据包!G:G,Base!$F$4)</f>
        <v>0</v>
      </c>
      <c r="P183" s="56">
        <f>SUMIFS(广告数据包!M:M,广告数据包!A:A,A183,广告数据包!G:G,Base!$F$2)+SUMIFS(广告数据包!M:M,广告数据包!A:A,A183,广告数据包!G:G,Base!$F$3)+SUMIFS(广告数据包!M:M,广告数据包!A:A,A183,广告数据包!G:G,Base!$F$4)</f>
        <v>0</v>
      </c>
      <c r="Q183" s="57">
        <f t="shared" si="43"/>
        <v>0</v>
      </c>
      <c r="R183" s="56">
        <f>SUMIFS(广告数据包!L:L,广告数据包!A:A,A183,广告数据包!G:G,Base!$F$2)+SUMIFS(广告数据包!L:L,广告数据包!A:A,A183,广告数据包!G:G,Base!$F$3)+SUMIFS(广告数据包!L:L,广告数据包!A:A,A183,广告数据包!G:G,Base!$F$4)</f>
        <v>0</v>
      </c>
      <c r="S183" s="86">
        <f t="shared" si="44"/>
        <v>0</v>
      </c>
    </row>
    <row r="184" ht="16.5" spans="1:19">
      <c r="A184" s="54">
        <v>44621</v>
      </c>
      <c r="B184" s="55">
        <f>SUMIFS(销售数据包!F:F,销售数据包!A:A,A184,销售数据包!C:C,Base!$F$2)+SUMIFS(销售数据包!F:F,销售数据包!A:A,A184,销售数据包!C:C,Base!$F$3)+SUMIFS(销售数据包!F:F,销售数据包!A:A,A184,销售数据包!C:C,Base!$F$4)</f>
        <v>0</v>
      </c>
      <c r="C184" s="56">
        <f>SUMIFS(销售数据包!K:K,销售数据包!A:A,A184,销售数据包!C:C,Base!$F$2)+SUMIFS(销售数据包!K:K,销售数据包!A:A,A184,销售数据包!C:C,Base!$F$3)+SUMIFS(销售数据包!K:K,销售数据包!A:A,A184,销售数据包!C:C,Base!$F$4)</f>
        <v>0</v>
      </c>
      <c r="D184" s="56">
        <f>SUMIFS(销售数据包!Q:Q,销售数据包!A:A,A184,销售数据包!C:C,Base!$F$2)+SUMIFS(销售数据包!Q:Q,销售数据包!A:A,A184,销售数据包!C:C,Base!$F$3)+SUMIFS(销售数据包!Q:Q,销售数据包!A:A,A184,销售数据包!C:C,Base!$F$4)</f>
        <v>0</v>
      </c>
      <c r="E184" s="57">
        <f t="shared" ref="E184:E215" si="45">IFERROR(D184/B184,0)</f>
        <v>0</v>
      </c>
      <c r="F184" s="57">
        <f t="shared" ref="F184:F215" si="46">IFERROR(C184/B184,0)</f>
        <v>0</v>
      </c>
      <c r="G184" s="56">
        <f>SUMIFS(销售数据包!O:O,销售数据包!A:A,A184)</f>
        <v>0</v>
      </c>
      <c r="H184" s="57">
        <f t="shared" ref="H184:H215" si="47">IFERROR(R184/G184,0)</f>
        <v>0</v>
      </c>
      <c r="I184" s="71">
        <f t="shared" ref="I184:I215" si="48">IFERROR(P184/G184,0)</f>
        <v>0</v>
      </c>
      <c r="J184" s="72" t="str">
        <f t="shared" ref="J184:J215" si="49">"周"&amp;WEEKDAY(A184,2)</f>
        <v>周2</v>
      </c>
      <c r="K184" s="73">
        <f>SUMIFS(广告数据包!H:H,广告数据包!A:A,A184,广告数据包!G:G,Base!$F$2)+SUMIFS(广告数据包!H:H,广告数据包!A:A,A184,广告数据包!G:G,Base!$F$3)+SUMIFS(广告数据包!H:H,广告数据包!A:A,A184,广告数据包!G:G,Base!$F$4)</f>
        <v>0</v>
      </c>
      <c r="L184" s="56">
        <f>SUMIFS(广告数据包!I:I,广告数据包!A:A,A184,广告数据包!G:G,Base!$F$2)+SUMIFS(广告数据包!I:I,广告数据包!A:A,A184,广告数据包!G:G,Base!$F$3)+SUMIFS(广告数据包!I:I,广告数据包!A:A,A184,广告数据包!G:G,Base!$F$4)</f>
        <v>0</v>
      </c>
      <c r="M184" s="57">
        <f t="shared" ref="M184:M215" si="50">IFERROR(L184/K184,0)</f>
        <v>0</v>
      </c>
      <c r="N184" s="74">
        <f t="shared" ref="N184:N215" si="51">IFERROR(R184/L184,0)</f>
        <v>0</v>
      </c>
      <c r="O184" s="75">
        <f>SUMIFS(广告数据包!P:P,广告数据包!A:A,A184,广告数据包!G:G,Base!$F$2)+SUMIFS(广告数据包!P:P,广告数据包!A:A,A184,广告数据包!G:G,Base!$F$3)+SUMIFS(广告数据包!P:P,广告数据包!A:A,A184,广告数据包!G:G,Base!$F$4)</f>
        <v>0</v>
      </c>
      <c r="P184" s="56">
        <f>SUMIFS(广告数据包!M:M,广告数据包!A:A,A184,广告数据包!G:G,Base!$F$2)+SUMIFS(广告数据包!M:M,广告数据包!A:A,A184,广告数据包!G:G,Base!$F$3)+SUMIFS(广告数据包!M:M,广告数据包!A:A,A184,广告数据包!G:G,Base!$F$4)</f>
        <v>0</v>
      </c>
      <c r="Q184" s="57">
        <f t="shared" ref="Q184:Q215" si="52">IFERROR(O184/L184,0)</f>
        <v>0</v>
      </c>
      <c r="R184" s="56">
        <f>SUMIFS(广告数据包!L:L,广告数据包!A:A,A184,广告数据包!G:G,Base!$F$2)+SUMIFS(广告数据包!L:L,广告数据包!A:A,A184,广告数据包!G:G,Base!$F$3)+SUMIFS(广告数据包!L:L,广告数据包!A:A,A184,广告数据包!G:G,Base!$F$4)</f>
        <v>0</v>
      </c>
      <c r="S184" s="86">
        <f t="shared" ref="S184:S215" si="53">IFERROR(R184/P184,0)</f>
        <v>0</v>
      </c>
    </row>
    <row r="185" ht="16.5" spans="1:19">
      <c r="A185" s="54">
        <v>44622</v>
      </c>
      <c r="B185" s="55">
        <f>SUMIFS(销售数据包!F:F,销售数据包!A:A,A185,销售数据包!C:C,Base!$F$2)+SUMIFS(销售数据包!F:F,销售数据包!A:A,A185,销售数据包!C:C,Base!$F$3)+SUMIFS(销售数据包!F:F,销售数据包!A:A,A185,销售数据包!C:C,Base!$F$4)</f>
        <v>0</v>
      </c>
      <c r="C185" s="56">
        <f>SUMIFS(销售数据包!K:K,销售数据包!A:A,A185,销售数据包!C:C,Base!$F$2)+SUMIFS(销售数据包!K:K,销售数据包!A:A,A185,销售数据包!C:C,Base!$F$3)+SUMIFS(销售数据包!K:K,销售数据包!A:A,A185,销售数据包!C:C,Base!$F$4)</f>
        <v>0</v>
      </c>
      <c r="D185" s="56">
        <f>SUMIFS(销售数据包!Q:Q,销售数据包!A:A,A185,销售数据包!C:C,Base!$F$2)+SUMIFS(销售数据包!Q:Q,销售数据包!A:A,A185,销售数据包!C:C,Base!$F$3)+SUMIFS(销售数据包!Q:Q,销售数据包!A:A,A185,销售数据包!C:C,Base!$F$4)</f>
        <v>0</v>
      </c>
      <c r="E185" s="57">
        <f t="shared" si="45"/>
        <v>0</v>
      </c>
      <c r="F185" s="57">
        <f t="shared" si="46"/>
        <v>0</v>
      </c>
      <c r="G185" s="56">
        <f>SUMIFS(销售数据包!O:O,销售数据包!A:A,A185)</f>
        <v>0</v>
      </c>
      <c r="H185" s="57">
        <f t="shared" si="47"/>
        <v>0</v>
      </c>
      <c r="I185" s="71">
        <f t="shared" si="48"/>
        <v>0</v>
      </c>
      <c r="J185" s="72" t="str">
        <f t="shared" si="49"/>
        <v>周3</v>
      </c>
      <c r="K185" s="73">
        <f>SUMIFS(广告数据包!H:H,广告数据包!A:A,A185,广告数据包!G:G,Base!$F$2)+SUMIFS(广告数据包!H:H,广告数据包!A:A,A185,广告数据包!G:G,Base!$F$3)+SUMIFS(广告数据包!H:H,广告数据包!A:A,A185,广告数据包!G:G,Base!$F$4)</f>
        <v>0</v>
      </c>
      <c r="L185" s="56">
        <f>SUMIFS(广告数据包!I:I,广告数据包!A:A,A185,广告数据包!G:G,Base!$F$2)+SUMIFS(广告数据包!I:I,广告数据包!A:A,A185,广告数据包!G:G,Base!$F$3)+SUMIFS(广告数据包!I:I,广告数据包!A:A,A185,广告数据包!G:G,Base!$F$4)</f>
        <v>0</v>
      </c>
      <c r="M185" s="57">
        <f t="shared" si="50"/>
        <v>0</v>
      </c>
      <c r="N185" s="74">
        <f t="shared" si="51"/>
        <v>0</v>
      </c>
      <c r="O185" s="75">
        <f>SUMIFS(广告数据包!P:P,广告数据包!A:A,A185,广告数据包!G:G,Base!$F$2)+SUMIFS(广告数据包!P:P,广告数据包!A:A,A185,广告数据包!G:G,Base!$F$3)+SUMIFS(广告数据包!P:P,广告数据包!A:A,A185,广告数据包!G:G,Base!$F$4)</f>
        <v>0</v>
      </c>
      <c r="P185" s="56">
        <f>SUMIFS(广告数据包!M:M,广告数据包!A:A,A185,广告数据包!G:G,Base!$F$2)+SUMIFS(广告数据包!M:M,广告数据包!A:A,A185,广告数据包!G:G,Base!$F$3)+SUMIFS(广告数据包!M:M,广告数据包!A:A,A185,广告数据包!G:G,Base!$F$4)</f>
        <v>0</v>
      </c>
      <c r="Q185" s="57">
        <f t="shared" si="52"/>
        <v>0</v>
      </c>
      <c r="R185" s="56">
        <f>SUMIFS(广告数据包!L:L,广告数据包!A:A,A185,广告数据包!G:G,Base!$F$2)+SUMIFS(广告数据包!L:L,广告数据包!A:A,A185,广告数据包!G:G,Base!$F$3)+SUMIFS(广告数据包!L:L,广告数据包!A:A,A185,广告数据包!G:G,Base!$F$4)</f>
        <v>0</v>
      </c>
      <c r="S185" s="86">
        <f t="shared" si="53"/>
        <v>0</v>
      </c>
    </row>
    <row r="186" ht="16.5" spans="1:19">
      <c r="A186" s="54">
        <v>44623</v>
      </c>
      <c r="B186" s="55">
        <f>SUMIFS(销售数据包!F:F,销售数据包!A:A,A186,销售数据包!C:C,Base!$F$2)+SUMIFS(销售数据包!F:F,销售数据包!A:A,A186,销售数据包!C:C,Base!$F$3)+SUMIFS(销售数据包!F:F,销售数据包!A:A,A186,销售数据包!C:C,Base!$F$4)</f>
        <v>0</v>
      </c>
      <c r="C186" s="56">
        <f>SUMIFS(销售数据包!K:K,销售数据包!A:A,A186,销售数据包!C:C,Base!$F$2)+SUMIFS(销售数据包!K:K,销售数据包!A:A,A186,销售数据包!C:C,Base!$F$3)+SUMIFS(销售数据包!K:K,销售数据包!A:A,A186,销售数据包!C:C,Base!$F$4)</f>
        <v>0</v>
      </c>
      <c r="D186" s="56">
        <f>SUMIFS(销售数据包!Q:Q,销售数据包!A:A,A186,销售数据包!C:C,Base!$F$2)+SUMIFS(销售数据包!Q:Q,销售数据包!A:A,A186,销售数据包!C:C,Base!$F$3)+SUMIFS(销售数据包!Q:Q,销售数据包!A:A,A186,销售数据包!C:C,Base!$F$4)</f>
        <v>0</v>
      </c>
      <c r="E186" s="57">
        <f t="shared" si="45"/>
        <v>0</v>
      </c>
      <c r="F186" s="57">
        <f t="shared" si="46"/>
        <v>0</v>
      </c>
      <c r="G186" s="56">
        <f>SUMIFS(销售数据包!O:O,销售数据包!A:A,A186)</f>
        <v>0</v>
      </c>
      <c r="H186" s="57">
        <f t="shared" si="47"/>
        <v>0</v>
      </c>
      <c r="I186" s="71">
        <f t="shared" si="48"/>
        <v>0</v>
      </c>
      <c r="J186" s="72" t="str">
        <f t="shared" si="49"/>
        <v>周4</v>
      </c>
      <c r="K186" s="73">
        <f>SUMIFS(广告数据包!H:H,广告数据包!A:A,A186,广告数据包!G:G,Base!$F$2)+SUMIFS(广告数据包!H:H,广告数据包!A:A,A186,广告数据包!G:G,Base!$F$3)+SUMIFS(广告数据包!H:H,广告数据包!A:A,A186,广告数据包!G:G,Base!$F$4)</f>
        <v>0</v>
      </c>
      <c r="L186" s="56">
        <f>SUMIFS(广告数据包!I:I,广告数据包!A:A,A186,广告数据包!G:G,Base!$F$2)+SUMIFS(广告数据包!I:I,广告数据包!A:A,A186,广告数据包!G:G,Base!$F$3)+SUMIFS(广告数据包!I:I,广告数据包!A:A,A186,广告数据包!G:G,Base!$F$4)</f>
        <v>0</v>
      </c>
      <c r="M186" s="57">
        <f t="shared" si="50"/>
        <v>0</v>
      </c>
      <c r="N186" s="74">
        <f t="shared" si="51"/>
        <v>0</v>
      </c>
      <c r="O186" s="75">
        <f>SUMIFS(广告数据包!P:P,广告数据包!A:A,A186,广告数据包!G:G,Base!$F$2)+SUMIFS(广告数据包!P:P,广告数据包!A:A,A186,广告数据包!G:G,Base!$F$3)+SUMIFS(广告数据包!P:P,广告数据包!A:A,A186,广告数据包!G:G,Base!$F$4)</f>
        <v>0</v>
      </c>
      <c r="P186" s="56">
        <f>SUMIFS(广告数据包!M:M,广告数据包!A:A,A186,广告数据包!G:G,Base!$F$2)+SUMIFS(广告数据包!M:M,广告数据包!A:A,A186,广告数据包!G:G,Base!$F$3)+SUMIFS(广告数据包!M:M,广告数据包!A:A,A186,广告数据包!G:G,Base!$F$4)</f>
        <v>0</v>
      </c>
      <c r="Q186" s="57">
        <f t="shared" si="52"/>
        <v>0</v>
      </c>
      <c r="R186" s="56">
        <f>SUMIFS(广告数据包!L:L,广告数据包!A:A,A186,广告数据包!G:G,Base!$F$2)+SUMIFS(广告数据包!L:L,广告数据包!A:A,A186,广告数据包!G:G,Base!$F$3)+SUMIFS(广告数据包!L:L,广告数据包!A:A,A186,广告数据包!G:G,Base!$F$4)</f>
        <v>0</v>
      </c>
      <c r="S186" s="86">
        <f t="shared" si="53"/>
        <v>0</v>
      </c>
    </row>
    <row r="187" ht="16.5" spans="1:19">
      <c r="A187" s="54">
        <v>44624</v>
      </c>
      <c r="B187" s="55">
        <f>SUMIFS(销售数据包!F:F,销售数据包!A:A,A187,销售数据包!C:C,Base!$F$2)+SUMIFS(销售数据包!F:F,销售数据包!A:A,A187,销售数据包!C:C,Base!$F$3)+SUMIFS(销售数据包!F:F,销售数据包!A:A,A187,销售数据包!C:C,Base!$F$4)</f>
        <v>0</v>
      </c>
      <c r="C187" s="56">
        <f>SUMIFS(销售数据包!K:K,销售数据包!A:A,A187,销售数据包!C:C,Base!$F$2)+SUMIFS(销售数据包!K:K,销售数据包!A:A,A187,销售数据包!C:C,Base!$F$3)+SUMIFS(销售数据包!K:K,销售数据包!A:A,A187,销售数据包!C:C,Base!$F$4)</f>
        <v>0</v>
      </c>
      <c r="D187" s="56">
        <f>SUMIFS(销售数据包!Q:Q,销售数据包!A:A,A187,销售数据包!C:C,Base!$F$2)+SUMIFS(销售数据包!Q:Q,销售数据包!A:A,A187,销售数据包!C:C,Base!$F$3)+SUMIFS(销售数据包!Q:Q,销售数据包!A:A,A187,销售数据包!C:C,Base!$F$4)</f>
        <v>0</v>
      </c>
      <c r="E187" s="57">
        <f t="shared" si="45"/>
        <v>0</v>
      </c>
      <c r="F187" s="57">
        <f t="shared" si="46"/>
        <v>0</v>
      </c>
      <c r="G187" s="56">
        <f>SUMIFS(销售数据包!O:O,销售数据包!A:A,A187)</f>
        <v>0</v>
      </c>
      <c r="H187" s="57">
        <f t="shared" si="47"/>
        <v>0</v>
      </c>
      <c r="I187" s="71">
        <f t="shared" si="48"/>
        <v>0</v>
      </c>
      <c r="J187" s="72" t="str">
        <f t="shared" si="49"/>
        <v>周5</v>
      </c>
      <c r="K187" s="73">
        <f>SUMIFS(广告数据包!H:H,广告数据包!A:A,A187,广告数据包!G:G,Base!$F$2)+SUMIFS(广告数据包!H:H,广告数据包!A:A,A187,广告数据包!G:G,Base!$F$3)+SUMIFS(广告数据包!H:H,广告数据包!A:A,A187,广告数据包!G:G,Base!$F$4)</f>
        <v>0</v>
      </c>
      <c r="L187" s="56">
        <f>SUMIFS(广告数据包!I:I,广告数据包!A:A,A187,广告数据包!G:G,Base!$F$2)+SUMIFS(广告数据包!I:I,广告数据包!A:A,A187,广告数据包!G:G,Base!$F$3)+SUMIFS(广告数据包!I:I,广告数据包!A:A,A187,广告数据包!G:G,Base!$F$4)</f>
        <v>0</v>
      </c>
      <c r="M187" s="57">
        <f t="shared" si="50"/>
        <v>0</v>
      </c>
      <c r="N187" s="74">
        <f t="shared" si="51"/>
        <v>0</v>
      </c>
      <c r="O187" s="75">
        <f>SUMIFS(广告数据包!P:P,广告数据包!A:A,A187,广告数据包!G:G,Base!$F$2)+SUMIFS(广告数据包!P:P,广告数据包!A:A,A187,广告数据包!G:G,Base!$F$3)+SUMIFS(广告数据包!P:P,广告数据包!A:A,A187,广告数据包!G:G,Base!$F$4)</f>
        <v>0</v>
      </c>
      <c r="P187" s="56">
        <f>SUMIFS(广告数据包!M:M,广告数据包!A:A,A187,广告数据包!G:G,Base!$F$2)+SUMIFS(广告数据包!M:M,广告数据包!A:A,A187,广告数据包!G:G,Base!$F$3)+SUMIFS(广告数据包!M:M,广告数据包!A:A,A187,广告数据包!G:G,Base!$F$4)</f>
        <v>0</v>
      </c>
      <c r="Q187" s="57">
        <f t="shared" si="52"/>
        <v>0</v>
      </c>
      <c r="R187" s="56">
        <f>SUMIFS(广告数据包!L:L,广告数据包!A:A,A187,广告数据包!G:G,Base!$F$2)+SUMIFS(广告数据包!L:L,广告数据包!A:A,A187,广告数据包!G:G,Base!$F$3)+SUMIFS(广告数据包!L:L,广告数据包!A:A,A187,广告数据包!G:G,Base!$F$4)</f>
        <v>0</v>
      </c>
      <c r="S187" s="86">
        <f t="shared" si="53"/>
        <v>0</v>
      </c>
    </row>
    <row r="188" ht="16.5" spans="1:19">
      <c r="A188" s="54">
        <v>44625</v>
      </c>
      <c r="B188" s="55">
        <f>SUMIFS(销售数据包!F:F,销售数据包!A:A,A188,销售数据包!C:C,Base!$F$2)+SUMIFS(销售数据包!F:F,销售数据包!A:A,A188,销售数据包!C:C,Base!$F$3)+SUMIFS(销售数据包!F:F,销售数据包!A:A,A188,销售数据包!C:C,Base!$F$4)</f>
        <v>0</v>
      </c>
      <c r="C188" s="56">
        <f>SUMIFS(销售数据包!K:K,销售数据包!A:A,A188,销售数据包!C:C,Base!$F$2)+SUMIFS(销售数据包!K:K,销售数据包!A:A,A188,销售数据包!C:C,Base!$F$3)+SUMIFS(销售数据包!K:K,销售数据包!A:A,A188,销售数据包!C:C,Base!$F$4)</f>
        <v>0</v>
      </c>
      <c r="D188" s="56">
        <f>SUMIFS(销售数据包!Q:Q,销售数据包!A:A,A188,销售数据包!C:C,Base!$F$2)+SUMIFS(销售数据包!Q:Q,销售数据包!A:A,A188,销售数据包!C:C,Base!$F$3)+SUMIFS(销售数据包!Q:Q,销售数据包!A:A,A188,销售数据包!C:C,Base!$F$4)</f>
        <v>0</v>
      </c>
      <c r="E188" s="57">
        <f t="shared" si="45"/>
        <v>0</v>
      </c>
      <c r="F188" s="57">
        <f t="shared" si="46"/>
        <v>0</v>
      </c>
      <c r="G188" s="56">
        <f>SUMIFS(销售数据包!O:O,销售数据包!A:A,A188)</f>
        <v>0</v>
      </c>
      <c r="H188" s="57">
        <f t="shared" si="47"/>
        <v>0</v>
      </c>
      <c r="I188" s="71">
        <f t="shared" si="48"/>
        <v>0</v>
      </c>
      <c r="J188" s="72" t="str">
        <f t="shared" si="49"/>
        <v>周6</v>
      </c>
      <c r="K188" s="73">
        <f>SUMIFS(广告数据包!H:H,广告数据包!A:A,A188,广告数据包!G:G,Base!$F$2)+SUMIFS(广告数据包!H:H,广告数据包!A:A,A188,广告数据包!G:G,Base!$F$3)+SUMIFS(广告数据包!H:H,广告数据包!A:A,A188,广告数据包!G:G,Base!$F$4)</f>
        <v>0</v>
      </c>
      <c r="L188" s="56">
        <f>SUMIFS(广告数据包!I:I,广告数据包!A:A,A188,广告数据包!G:G,Base!$F$2)+SUMIFS(广告数据包!I:I,广告数据包!A:A,A188,广告数据包!G:G,Base!$F$3)+SUMIFS(广告数据包!I:I,广告数据包!A:A,A188,广告数据包!G:G,Base!$F$4)</f>
        <v>0</v>
      </c>
      <c r="M188" s="57">
        <f t="shared" si="50"/>
        <v>0</v>
      </c>
      <c r="N188" s="74">
        <f t="shared" si="51"/>
        <v>0</v>
      </c>
      <c r="O188" s="75">
        <f>SUMIFS(广告数据包!P:P,广告数据包!A:A,A188,广告数据包!G:G,Base!$F$2)+SUMIFS(广告数据包!P:P,广告数据包!A:A,A188,广告数据包!G:G,Base!$F$3)+SUMIFS(广告数据包!P:P,广告数据包!A:A,A188,广告数据包!G:G,Base!$F$4)</f>
        <v>0</v>
      </c>
      <c r="P188" s="56">
        <f>SUMIFS(广告数据包!M:M,广告数据包!A:A,A188,广告数据包!G:G,Base!$F$2)+SUMIFS(广告数据包!M:M,广告数据包!A:A,A188,广告数据包!G:G,Base!$F$3)+SUMIFS(广告数据包!M:M,广告数据包!A:A,A188,广告数据包!G:G,Base!$F$4)</f>
        <v>0</v>
      </c>
      <c r="Q188" s="57">
        <f t="shared" si="52"/>
        <v>0</v>
      </c>
      <c r="R188" s="56">
        <f>SUMIFS(广告数据包!L:L,广告数据包!A:A,A188,广告数据包!G:G,Base!$F$2)+SUMIFS(广告数据包!L:L,广告数据包!A:A,A188,广告数据包!G:G,Base!$F$3)+SUMIFS(广告数据包!L:L,广告数据包!A:A,A188,广告数据包!G:G,Base!$F$4)</f>
        <v>0</v>
      </c>
      <c r="S188" s="86">
        <f t="shared" si="53"/>
        <v>0</v>
      </c>
    </row>
    <row r="189" ht="16.5" spans="1:19">
      <c r="A189" s="54">
        <v>44626</v>
      </c>
      <c r="B189" s="55">
        <f>SUMIFS(销售数据包!F:F,销售数据包!A:A,A189,销售数据包!C:C,Base!$F$2)+SUMIFS(销售数据包!F:F,销售数据包!A:A,A189,销售数据包!C:C,Base!$F$3)+SUMIFS(销售数据包!F:F,销售数据包!A:A,A189,销售数据包!C:C,Base!$F$4)</f>
        <v>0</v>
      </c>
      <c r="C189" s="56">
        <f>SUMIFS(销售数据包!K:K,销售数据包!A:A,A189,销售数据包!C:C,Base!$F$2)+SUMIFS(销售数据包!K:K,销售数据包!A:A,A189,销售数据包!C:C,Base!$F$3)+SUMIFS(销售数据包!K:K,销售数据包!A:A,A189,销售数据包!C:C,Base!$F$4)</f>
        <v>0</v>
      </c>
      <c r="D189" s="56">
        <f>SUMIFS(销售数据包!Q:Q,销售数据包!A:A,A189,销售数据包!C:C,Base!$F$2)+SUMIFS(销售数据包!Q:Q,销售数据包!A:A,A189,销售数据包!C:C,Base!$F$3)+SUMIFS(销售数据包!Q:Q,销售数据包!A:A,A189,销售数据包!C:C,Base!$F$4)</f>
        <v>0</v>
      </c>
      <c r="E189" s="57">
        <f t="shared" si="45"/>
        <v>0</v>
      </c>
      <c r="F189" s="57">
        <f t="shared" si="46"/>
        <v>0</v>
      </c>
      <c r="G189" s="56">
        <f>SUMIFS(销售数据包!O:O,销售数据包!A:A,A189)</f>
        <v>0</v>
      </c>
      <c r="H189" s="57">
        <f t="shared" si="47"/>
        <v>0</v>
      </c>
      <c r="I189" s="71">
        <f t="shared" si="48"/>
        <v>0</v>
      </c>
      <c r="J189" s="72" t="str">
        <f t="shared" si="49"/>
        <v>周7</v>
      </c>
      <c r="K189" s="73">
        <f>SUMIFS(广告数据包!H:H,广告数据包!A:A,A189,广告数据包!G:G,Base!$F$2)+SUMIFS(广告数据包!H:H,广告数据包!A:A,A189,广告数据包!G:G,Base!$F$3)+SUMIFS(广告数据包!H:H,广告数据包!A:A,A189,广告数据包!G:G,Base!$F$4)</f>
        <v>0</v>
      </c>
      <c r="L189" s="56">
        <f>SUMIFS(广告数据包!I:I,广告数据包!A:A,A189,广告数据包!G:G,Base!$F$2)+SUMIFS(广告数据包!I:I,广告数据包!A:A,A189,广告数据包!G:G,Base!$F$3)+SUMIFS(广告数据包!I:I,广告数据包!A:A,A189,广告数据包!G:G,Base!$F$4)</f>
        <v>0</v>
      </c>
      <c r="M189" s="57">
        <f t="shared" si="50"/>
        <v>0</v>
      </c>
      <c r="N189" s="74">
        <f t="shared" si="51"/>
        <v>0</v>
      </c>
      <c r="O189" s="75">
        <f>SUMIFS(广告数据包!P:P,广告数据包!A:A,A189,广告数据包!G:G,Base!$F$2)+SUMIFS(广告数据包!P:P,广告数据包!A:A,A189,广告数据包!G:G,Base!$F$3)+SUMIFS(广告数据包!P:P,广告数据包!A:A,A189,广告数据包!G:G,Base!$F$4)</f>
        <v>0</v>
      </c>
      <c r="P189" s="56">
        <f>SUMIFS(广告数据包!M:M,广告数据包!A:A,A189,广告数据包!G:G,Base!$F$2)+SUMIFS(广告数据包!M:M,广告数据包!A:A,A189,广告数据包!G:G,Base!$F$3)+SUMIFS(广告数据包!M:M,广告数据包!A:A,A189,广告数据包!G:G,Base!$F$4)</f>
        <v>0</v>
      </c>
      <c r="Q189" s="57">
        <f t="shared" si="52"/>
        <v>0</v>
      </c>
      <c r="R189" s="56">
        <f>SUMIFS(广告数据包!L:L,广告数据包!A:A,A189,广告数据包!G:G,Base!$F$2)+SUMIFS(广告数据包!L:L,广告数据包!A:A,A189,广告数据包!G:G,Base!$F$3)+SUMIFS(广告数据包!L:L,广告数据包!A:A,A189,广告数据包!G:G,Base!$F$4)</f>
        <v>0</v>
      </c>
      <c r="S189" s="86">
        <f t="shared" si="53"/>
        <v>0</v>
      </c>
    </row>
    <row r="190" ht="16.5" spans="1:19">
      <c r="A190" s="54">
        <v>44627</v>
      </c>
      <c r="B190" s="55">
        <f>SUMIFS(销售数据包!F:F,销售数据包!A:A,A190,销售数据包!C:C,Base!$F$2)+SUMIFS(销售数据包!F:F,销售数据包!A:A,A190,销售数据包!C:C,Base!$F$3)+SUMIFS(销售数据包!F:F,销售数据包!A:A,A190,销售数据包!C:C,Base!$F$4)</f>
        <v>0</v>
      </c>
      <c r="C190" s="56">
        <f>SUMIFS(销售数据包!K:K,销售数据包!A:A,A190,销售数据包!C:C,Base!$F$2)+SUMIFS(销售数据包!K:K,销售数据包!A:A,A190,销售数据包!C:C,Base!$F$3)+SUMIFS(销售数据包!K:K,销售数据包!A:A,A190,销售数据包!C:C,Base!$F$4)</f>
        <v>0</v>
      </c>
      <c r="D190" s="56">
        <f>SUMIFS(销售数据包!Q:Q,销售数据包!A:A,A190,销售数据包!C:C,Base!$F$2)+SUMIFS(销售数据包!Q:Q,销售数据包!A:A,A190,销售数据包!C:C,Base!$F$3)+SUMIFS(销售数据包!Q:Q,销售数据包!A:A,A190,销售数据包!C:C,Base!$F$4)</f>
        <v>0</v>
      </c>
      <c r="E190" s="57">
        <f t="shared" si="45"/>
        <v>0</v>
      </c>
      <c r="F190" s="57">
        <f t="shared" si="46"/>
        <v>0</v>
      </c>
      <c r="G190" s="56">
        <f>SUMIFS(销售数据包!O:O,销售数据包!A:A,A190)</f>
        <v>0</v>
      </c>
      <c r="H190" s="57">
        <f t="shared" si="47"/>
        <v>0</v>
      </c>
      <c r="I190" s="71">
        <f t="shared" si="48"/>
        <v>0</v>
      </c>
      <c r="J190" s="72" t="str">
        <f t="shared" si="49"/>
        <v>周1</v>
      </c>
      <c r="K190" s="73">
        <f>SUMIFS(广告数据包!H:H,广告数据包!A:A,A190,广告数据包!G:G,Base!$F$2)+SUMIFS(广告数据包!H:H,广告数据包!A:A,A190,广告数据包!G:G,Base!$F$3)+SUMIFS(广告数据包!H:H,广告数据包!A:A,A190,广告数据包!G:G,Base!$F$4)</f>
        <v>0</v>
      </c>
      <c r="L190" s="56">
        <f>SUMIFS(广告数据包!I:I,广告数据包!A:A,A190,广告数据包!G:G,Base!$F$2)+SUMIFS(广告数据包!I:I,广告数据包!A:A,A190,广告数据包!G:G,Base!$F$3)+SUMIFS(广告数据包!I:I,广告数据包!A:A,A190,广告数据包!G:G,Base!$F$4)</f>
        <v>0</v>
      </c>
      <c r="M190" s="57">
        <f t="shared" si="50"/>
        <v>0</v>
      </c>
      <c r="N190" s="74">
        <f t="shared" si="51"/>
        <v>0</v>
      </c>
      <c r="O190" s="75">
        <f>SUMIFS(广告数据包!P:P,广告数据包!A:A,A190,广告数据包!G:G,Base!$F$2)+SUMIFS(广告数据包!P:P,广告数据包!A:A,A190,广告数据包!G:G,Base!$F$3)+SUMIFS(广告数据包!P:P,广告数据包!A:A,A190,广告数据包!G:G,Base!$F$4)</f>
        <v>0</v>
      </c>
      <c r="P190" s="56">
        <f>SUMIFS(广告数据包!M:M,广告数据包!A:A,A190,广告数据包!G:G,Base!$F$2)+SUMIFS(广告数据包!M:M,广告数据包!A:A,A190,广告数据包!G:G,Base!$F$3)+SUMIFS(广告数据包!M:M,广告数据包!A:A,A190,广告数据包!G:G,Base!$F$4)</f>
        <v>0</v>
      </c>
      <c r="Q190" s="57">
        <f t="shared" si="52"/>
        <v>0</v>
      </c>
      <c r="R190" s="56">
        <f>SUMIFS(广告数据包!L:L,广告数据包!A:A,A190,广告数据包!G:G,Base!$F$2)+SUMIFS(广告数据包!L:L,广告数据包!A:A,A190,广告数据包!G:G,Base!$F$3)+SUMIFS(广告数据包!L:L,广告数据包!A:A,A190,广告数据包!G:G,Base!$F$4)</f>
        <v>0</v>
      </c>
      <c r="S190" s="86">
        <f t="shared" si="53"/>
        <v>0</v>
      </c>
    </row>
    <row r="191" ht="16.5" spans="1:19">
      <c r="A191" s="54">
        <v>44628</v>
      </c>
      <c r="B191" s="55">
        <f>SUMIFS(销售数据包!F:F,销售数据包!A:A,A191,销售数据包!C:C,Base!$F$2)+SUMIFS(销售数据包!F:F,销售数据包!A:A,A191,销售数据包!C:C,Base!$F$3)+SUMIFS(销售数据包!F:F,销售数据包!A:A,A191,销售数据包!C:C,Base!$F$4)</f>
        <v>0</v>
      </c>
      <c r="C191" s="56">
        <f>SUMIFS(销售数据包!K:K,销售数据包!A:A,A191,销售数据包!C:C,Base!$F$2)+SUMIFS(销售数据包!K:K,销售数据包!A:A,A191,销售数据包!C:C,Base!$F$3)+SUMIFS(销售数据包!K:K,销售数据包!A:A,A191,销售数据包!C:C,Base!$F$4)</f>
        <v>0</v>
      </c>
      <c r="D191" s="56">
        <f>SUMIFS(销售数据包!Q:Q,销售数据包!A:A,A191,销售数据包!C:C,Base!$F$2)+SUMIFS(销售数据包!Q:Q,销售数据包!A:A,A191,销售数据包!C:C,Base!$F$3)+SUMIFS(销售数据包!Q:Q,销售数据包!A:A,A191,销售数据包!C:C,Base!$F$4)</f>
        <v>0</v>
      </c>
      <c r="E191" s="57">
        <f t="shared" si="45"/>
        <v>0</v>
      </c>
      <c r="F191" s="57">
        <f t="shared" si="46"/>
        <v>0</v>
      </c>
      <c r="G191" s="56">
        <f>SUMIFS(销售数据包!O:O,销售数据包!A:A,A191)</f>
        <v>0</v>
      </c>
      <c r="H191" s="57">
        <f t="shared" si="47"/>
        <v>0</v>
      </c>
      <c r="I191" s="71">
        <f t="shared" si="48"/>
        <v>0</v>
      </c>
      <c r="J191" s="72" t="str">
        <f t="shared" si="49"/>
        <v>周2</v>
      </c>
      <c r="K191" s="73">
        <f>SUMIFS(广告数据包!H:H,广告数据包!A:A,A191,广告数据包!G:G,Base!$F$2)+SUMIFS(广告数据包!H:H,广告数据包!A:A,A191,广告数据包!G:G,Base!$F$3)+SUMIFS(广告数据包!H:H,广告数据包!A:A,A191,广告数据包!G:G,Base!$F$4)</f>
        <v>0</v>
      </c>
      <c r="L191" s="56">
        <f>SUMIFS(广告数据包!I:I,广告数据包!A:A,A191,广告数据包!G:G,Base!$F$2)+SUMIFS(广告数据包!I:I,广告数据包!A:A,A191,广告数据包!G:G,Base!$F$3)+SUMIFS(广告数据包!I:I,广告数据包!A:A,A191,广告数据包!G:G,Base!$F$4)</f>
        <v>0</v>
      </c>
      <c r="M191" s="57">
        <f t="shared" si="50"/>
        <v>0</v>
      </c>
      <c r="N191" s="74">
        <f t="shared" si="51"/>
        <v>0</v>
      </c>
      <c r="O191" s="75">
        <f>SUMIFS(广告数据包!P:P,广告数据包!A:A,A191,广告数据包!G:G,Base!$F$2)+SUMIFS(广告数据包!P:P,广告数据包!A:A,A191,广告数据包!G:G,Base!$F$3)+SUMIFS(广告数据包!P:P,广告数据包!A:A,A191,广告数据包!G:G,Base!$F$4)</f>
        <v>0</v>
      </c>
      <c r="P191" s="56">
        <f>SUMIFS(广告数据包!M:M,广告数据包!A:A,A191,广告数据包!G:G,Base!$F$2)+SUMIFS(广告数据包!M:M,广告数据包!A:A,A191,广告数据包!G:G,Base!$F$3)+SUMIFS(广告数据包!M:M,广告数据包!A:A,A191,广告数据包!G:G,Base!$F$4)</f>
        <v>0</v>
      </c>
      <c r="Q191" s="57">
        <f t="shared" si="52"/>
        <v>0</v>
      </c>
      <c r="R191" s="56">
        <f>SUMIFS(广告数据包!L:L,广告数据包!A:A,A191,广告数据包!G:G,Base!$F$2)+SUMIFS(广告数据包!L:L,广告数据包!A:A,A191,广告数据包!G:G,Base!$F$3)+SUMIFS(广告数据包!L:L,广告数据包!A:A,A191,广告数据包!G:G,Base!$F$4)</f>
        <v>0</v>
      </c>
      <c r="S191" s="86">
        <f t="shared" si="53"/>
        <v>0</v>
      </c>
    </row>
    <row r="192" ht="16.5" spans="1:19">
      <c r="A192" s="54">
        <v>44629</v>
      </c>
      <c r="B192" s="55">
        <f>SUMIFS(销售数据包!F:F,销售数据包!A:A,A192,销售数据包!C:C,Base!$F$2)+SUMIFS(销售数据包!F:F,销售数据包!A:A,A192,销售数据包!C:C,Base!$F$3)+SUMIFS(销售数据包!F:F,销售数据包!A:A,A192,销售数据包!C:C,Base!$F$4)</f>
        <v>0</v>
      </c>
      <c r="C192" s="56">
        <f>SUMIFS(销售数据包!K:K,销售数据包!A:A,A192,销售数据包!C:C,Base!$F$2)+SUMIFS(销售数据包!K:K,销售数据包!A:A,A192,销售数据包!C:C,Base!$F$3)+SUMIFS(销售数据包!K:K,销售数据包!A:A,A192,销售数据包!C:C,Base!$F$4)</f>
        <v>0</v>
      </c>
      <c r="D192" s="56">
        <f>SUMIFS(销售数据包!Q:Q,销售数据包!A:A,A192,销售数据包!C:C,Base!$F$2)+SUMIFS(销售数据包!Q:Q,销售数据包!A:A,A192,销售数据包!C:C,Base!$F$3)+SUMIFS(销售数据包!Q:Q,销售数据包!A:A,A192,销售数据包!C:C,Base!$F$4)</f>
        <v>0</v>
      </c>
      <c r="E192" s="57">
        <f t="shared" si="45"/>
        <v>0</v>
      </c>
      <c r="F192" s="57">
        <f t="shared" si="46"/>
        <v>0</v>
      </c>
      <c r="G192" s="56">
        <f>SUMIFS(销售数据包!O:O,销售数据包!A:A,A192)</f>
        <v>0</v>
      </c>
      <c r="H192" s="57">
        <f t="shared" si="47"/>
        <v>0</v>
      </c>
      <c r="I192" s="71">
        <f t="shared" si="48"/>
        <v>0</v>
      </c>
      <c r="J192" s="72" t="str">
        <f t="shared" si="49"/>
        <v>周3</v>
      </c>
      <c r="K192" s="73">
        <f>SUMIFS(广告数据包!H:H,广告数据包!A:A,A192,广告数据包!G:G,Base!$F$2)+SUMIFS(广告数据包!H:H,广告数据包!A:A,A192,广告数据包!G:G,Base!$F$3)+SUMIFS(广告数据包!H:H,广告数据包!A:A,A192,广告数据包!G:G,Base!$F$4)</f>
        <v>0</v>
      </c>
      <c r="L192" s="56">
        <f>SUMIFS(广告数据包!I:I,广告数据包!A:A,A192,广告数据包!G:G,Base!$F$2)+SUMIFS(广告数据包!I:I,广告数据包!A:A,A192,广告数据包!G:G,Base!$F$3)+SUMIFS(广告数据包!I:I,广告数据包!A:A,A192,广告数据包!G:G,Base!$F$4)</f>
        <v>0</v>
      </c>
      <c r="M192" s="57">
        <f t="shared" si="50"/>
        <v>0</v>
      </c>
      <c r="N192" s="74">
        <f t="shared" si="51"/>
        <v>0</v>
      </c>
      <c r="O192" s="75">
        <f>SUMIFS(广告数据包!P:P,广告数据包!A:A,A192,广告数据包!G:G,Base!$F$2)+SUMIFS(广告数据包!P:P,广告数据包!A:A,A192,广告数据包!G:G,Base!$F$3)+SUMIFS(广告数据包!P:P,广告数据包!A:A,A192,广告数据包!G:G,Base!$F$4)</f>
        <v>0</v>
      </c>
      <c r="P192" s="56">
        <f>SUMIFS(广告数据包!M:M,广告数据包!A:A,A192,广告数据包!G:G,Base!$F$2)+SUMIFS(广告数据包!M:M,广告数据包!A:A,A192,广告数据包!G:G,Base!$F$3)+SUMIFS(广告数据包!M:M,广告数据包!A:A,A192,广告数据包!G:G,Base!$F$4)</f>
        <v>0</v>
      </c>
      <c r="Q192" s="57">
        <f t="shared" si="52"/>
        <v>0</v>
      </c>
      <c r="R192" s="56">
        <f>SUMIFS(广告数据包!L:L,广告数据包!A:A,A192,广告数据包!G:G,Base!$F$2)+SUMIFS(广告数据包!L:L,广告数据包!A:A,A192,广告数据包!G:G,Base!$F$3)+SUMIFS(广告数据包!L:L,广告数据包!A:A,A192,广告数据包!G:G,Base!$F$4)</f>
        <v>0</v>
      </c>
      <c r="S192" s="86">
        <f t="shared" si="53"/>
        <v>0</v>
      </c>
    </row>
    <row r="193" ht="16.5" spans="1:19">
      <c r="A193" s="54">
        <v>44630</v>
      </c>
      <c r="B193" s="55">
        <f>SUMIFS(销售数据包!F:F,销售数据包!A:A,A193,销售数据包!C:C,Base!$F$2)+SUMIFS(销售数据包!F:F,销售数据包!A:A,A193,销售数据包!C:C,Base!$F$3)+SUMIFS(销售数据包!F:F,销售数据包!A:A,A193,销售数据包!C:C,Base!$F$4)</f>
        <v>0</v>
      </c>
      <c r="C193" s="56">
        <f>SUMIFS(销售数据包!K:K,销售数据包!A:A,A193,销售数据包!C:C,Base!$F$2)+SUMIFS(销售数据包!K:K,销售数据包!A:A,A193,销售数据包!C:C,Base!$F$3)+SUMIFS(销售数据包!K:K,销售数据包!A:A,A193,销售数据包!C:C,Base!$F$4)</f>
        <v>0</v>
      </c>
      <c r="D193" s="56">
        <f>SUMIFS(销售数据包!Q:Q,销售数据包!A:A,A193,销售数据包!C:C,Base!$F$2)+SUMIFS(销售数据包!Q:Q,销售数据包!A:A,A193,销售数据包!C:C,Base!$F$3)+SUMIFS(销售数据包!Q:Q,销售数据包!A:A,A193,销售数据包!C:C,Base!$F$4)</f>
        <v>0</v>
      </c>
      <c r="E193" s="57">
        <f t="shared" si="45"/>
        <v>0</v>
      </c>
      <c r="F193" s="57">
        <f t="shared" si="46"/>
        <v>0</v>
      </c>
      <c r="G193" s="56">
        <f>SUMIFS(销售数据包!O:O,销售数据包!A:A,A193)</f>
        <v>0</v>
      </c>
      <c r="H193" s="57">
        <f t="shared" si="47"/>
        <v>0</v>
      </c>
      <c r="I193" s="71">
        <f t="shared" si="48"/>
        <v>0</v>
      </c>
      <c r="J193" s="72" t="str">
        <f t="shared" si="49"/>
        <v>周4</v>
      </c>
      <c r="K193" s="73">
        <f>SUMIFS(广告数据包!H:H,广告数据包!A:A,A193,广告数据包!G:G,Base!$F$2)+SUMIFS(广告数据包!H:H,广告数据包!A:A,A193,广告数据包!G:G,Base!$F$3)+SUMIFS(广告数据包!H:H,广告数据包!A:A,A193,广告数据包!G:G,Base!$F$4)</f>
        <v>0</v>
      </c>
      <c r="L193" s="56">
        <f>SUMIFS(广告数据包!I:I,广告数据包!A:A,A193,广告数据包!G:G,Base!$F$2)+SUMIFS(广告数据包!I:I,广告数据包!A:A,A193,广告数据包!G:G,Base!$F$3)+SUMIFS(广告数据包!I:I,广告数据包!A:A,A193,广告数据包!G:G,Base!$F$4)</f>
        <v>0</v>
      </c>
      <c r="M193" s="57">
        <f t="shared" si="50"/>
        <v>0</v>
      </c>
      <c r="N193" s="74">
        <f t="shared" si="51"/>
        <v>0</v>
      </c>
      <c r="O193" s="75">
        <f>SUMIFS(广告数据包!P:P,广告数据包!A:A,A193,广告数据包!G:G,Base!$F$2)+SUMIFS(广告数据包!P:P,广告数据包!A:A,A193,广告数据包!G:G,Base!$F$3)+SUMIFS(广告数据包!P:P,广告数据包!A:A,A193,广告数据包!G:G,Base!$F$4)</f>
        <v>0</v>
      </c>
      <c r="P193" s="56">
        <f>SUMIFS(广告数据包!M:M,广告数据包!A:A,A193,广告数据包!G:G,Base!$F$2)+SUMIFS(广告数据包!M:M,广告数据包!A:A,A193,广告数据包!G:G,Base!$F$3)+SUMIFS(广告数据包!M:M,广告数据包!A:A,A193,广告数据包!G:G,Base!$F$4)</f>
        <v>0</v>
      </c>
      <c r="Q193" s="57">
        <f t="shared" si="52"/>
        <v>0</v>
      </c>
      <c r="R193" s="56">
        <f>SUMIFS(广告数据包!L:L,广告数据包!A:A,A193,广告数据包!G:G,Base!$F$2)+SUMIFS(广告数据包!L:L,广告数据包!A:A,A193,广告数据包!G:G,Base!$F$3)+SUMIFS(广告数据包!L:L,广告数据包!A:A,A193,广告数据包!G:G,Base!$F$4)</f>
        <v>0</v>
      </c>
      <c r="S193" s="86">
        <f t="shared" si="53"/>
        <v>0</v>
      </c>
    </row>
    <row r="194" ht="16.5" spans="1:19">
      <c r="A194" s="54">
        <v>44631</v>
      </c>
      <c r="B194" s="55">
        <f>SUMIFS(销售数据包!F:F,销售数据包!A:A,A194,销售数据包!C:C,Base!$F$2)+SUMIFS(销售数据包!F:F,销售数据包!A:A,A194,销售数据包!C:C,Base!$F$3)+SUMIFS(销售数据包!F:F,销售数据包!A:A,A194,销售数据包!C:C,Base!$F$4)</f>
        <v>0</v>
      </c>
      <c r="C194" s="56">
        <f>SUMIFS(销售数据包!K:K,销售数据包!A:A,A194,销售数据包!C:C,Base!$F$2)+SUMIFS(销售数据包!K:K,销售数据包!A:A,A194,销售数据包!C:C,Base!$F$3)+SUMIFS(销售数据包!K:K,销售数据包!A:A,A194,销售数据包!C:C,Base!$F$4)</f>
        <v>0</v>
      </c>
      <c r="D194" s="56">
        <f>SUMIFS(销售数据包!Q:Q,销售数据包!A:A,A194,销售数据包!C:C,Base!$F$2)+SUMIFS(销售数据包!Q:Q,销售数据包!A:A,A194,销售数据包!C:C,Base!$F$3)+SUMIFS(销售数据包!Q:Q,销售数据包!A:A,A194,销售数据包!C:C,Base!$F$4)</f>
        <v>0</v>
      </c>
      <c r="E194" s="57">
        <f t="shared" si="45"/>
        <v>0</v>
      </c>
      <c r="F194" s="57">
        <f t="shared" si="46"/>
        <v>0</v>
      </c>
      <c r="G194" s="56">
        <f>SUMIFS(销售数据包!O:O,销售数据包!A:A,A194)</f>
        <v>0</v>
      </c>
      <c r="H194" s="57">
        <f t="shared" si="47"/>
        <v>0</v>
      </c>
      <c r="I194" s="71">
        <f t="shared" si="48"/>
        <v>0</v>
      </c>
      <c r="J194" s="72" t="str">
        <f t="shared" si="49"/>
        <v>周5</v>
      </c>
      <c r="K194" s="73">
        <f>SUMIFS(广告数据包!H:H,广告数据包!A:A,A194,广告数据包!G:G,Base!$F$2)+SUMIFS(广告数据包!H:H,广告数据包!A:A,A194,广告数据包!G:G,Base!$F$3)+SUMIFS(广告数据包!H:H,广告数据包!A:A,A194,广告数据包!G:G,Base!$F$4)</f>
        <v>0</v>
      </c>
      <c r="L194" s="56">
        <f>SUMIFS(广告数据包!I:I,广告数据包!A:A,A194,广告数据包!G:G,Base!$F$2)+SUMIFS(广告数据包!I:I,广告数据包!A:A,A194,广告数据包!G:G,Base!$F$3)+SUMIFS(广告数据包!I:I,广告数据包!A:A,A194,广告数据包!G:G,Base!$F$4)</f>
        <v>0</v>
      </c>
      <c r="M194" s="57">
        <f t="shared" si="50"/>
        <v>0</v>
      </c>
      <c r="N194" s="74">
        <f t="shared" si="51"/>
        <v>0</v>
      </c>
      <c r="O194" s="75">
        <f>SUMIFS(广告数据包!P:P,广告数据包!A:A,A194,广告数据包!G:G,Base!$F$2)+SUMIFS(广告数据包!P:P,广告数据包!A:A,A194,广告数据包!G:G,Base!$F$3)+SUMIFS(广告数据包!P:P,广告数据包!A:A,A194,广告数据包!G:G,Base!$F$4)</f>
        <v>0</v>
      </c>
      <c r="P194" s="56">
        <f>SUMIFS(广告数据包!M:M,广告数据包!A:A,A194,广告数据包!G:G,Base!$F$2)+SUMIFS(广告数据包!M:M,广告数据包!A:A,A194,广告数据包!G:G,Base!$F$3)+SUMIFS(广告数据包!M:M,广告数据包!A:A,A194,广告数据包!G:G,Base!$F$4)</f>
        <v>0</v>
      </c>
      <c r="Q194" s="57">
        <f t="shared" si="52"/>
        <v>0</v>
      </c>
      <c r="R194" s="56">
        <f>SUMIFS(广告数据包!L:L,广告数据包!A:A,A194,广告数据包!G:G,Base!$F$2)+SUMIFS(广告数据包!L:L,广告数据包!A:A,A194,广告数据包!G:G,Base!$F$3)+SUMIFS(广告数据包!L:L,广告数据包!A:A,A194,广告数据包!G:G,Base!$F$4)</f>
        <v>0</v>
      </c>
      <c r="S194" s="86">
        <f t="shared" si="53"/>
        <v>0</v>
      </c>
    </row>
    <row r="195" ht="16.5" spans="1:19">
      <c r="A195" s="54">
        <v>44632</v>
      </c>
      <c r="B195" s="55">
        <f>SUMIFS(销售数据包!F:F,销售数据包!A:A,A195,销售数据包!C:C,Base!$F$2)+SUMIFS(销售数据包!F:F,销售数据包!A:A,A195,销售数据包!C:C,Base!$F$3)+SUMIFS(销售数据包!F:F,销售数据包!A:A,A195,销售数据包!C:C,Base!$F$4)</f>
        <v>0</v>
      </c>
      <c r="C195" s="56">
        <f>SUMIFS(销售数据包!K:K,销售数据包!A:A,A195,销售数据包!C:C,Base!$F$2)+SUMIFS(销售数据包!K:K,销售数据包!A:A,A195,销售数据包!C:C,Base!$F$3)+SUMIFS(销售数据包!K:K,销售数据包!A:A,A195,销售数据包!C:C,Base!$F$4)</f>
        <v>0</v>
      </c>
      <c r="D195" s="56">
        <f>SUMIFS(销售数据包!Q:Q,销售数据包!A:A,A195,销售数据包!C:C,Base!$F$2)+SUMIFS(销售数据包!Q:Q,销售数据包!A:A,A195,销售数据包!C:C,Base!$F$3)+SUMIFS(销售数据包!Q:Q,销售数据包!A:A,A195,销售数据包!C:C,Base!$F$4)</f>
        <v>0</v>
      </c>
      <c r="E195" s="57">
        <f t="shared" si="45"/>
        <v>0</v>
      </c>
      <c r="F195" s="57">
        <f t="shared" si="46"/>
        <v>0</v>
      </c>
      <c r="G195" s="56">
        <f>SUMIFS(销售数据包!O:O,销售数据包!A:A,A195)</f>
        <v>0</v>
      </c>
      <c r="H195" s="57">
        <f t="shared" si="47"/>
        <v>0</v>
      </c>
      <c r="I195" s="71">
        <f t="shared" si="48"/>
        <v>0</v>
      </c>
      <c r="J195" s="72" t="str">
        <f t="shared" si="49"/>
        <v>周6</v>
      </c>
      <c r="K195" s="73">
        <f>SUMIFS(广告数据包!H:H,广告数据包!A:A,A195,广告数据包!G:G,Base!$F$2)+SUMIFS(广告数据包!H:H,广告数据包!A:A,A195,广告数据包!G:G,Base!$F$3)+SUMIFS(广告数据包!H:H,广告数据包!A:A,A195,广告数据包!G:G,Base!$F$4)</f>
        <v>0</v>
      </c>
      <c r="L195" s="56">
        <f>SUMIFS(广告数据包!I:I,广告数据包!A:A,A195,广告数据包!G:G,Base!$F$2)+SUMIFS(广告数据包!I:I,广告数据包!A:A,A195,广告数据包!G:G,Base!$F$3)+SUMIFS(广告数据包!I:I,广告数据包!A:A,A195,广告数据包!G:G,Base!$F$4)</f>
        <v>0</v>
      </c>
      <c r="M195" s="57">
        <f t="shared" si="50"/>
        <v>0</v>
      </c>
      <c r="N195" s="74">
        <f t="shared" si="51"/>
        <v>0</v>
      </c>
      <c r="O195" s="75">
        <f>SUMIFS(广告数据包!P:P,广告数据包!A:A,A195,广告数据包!G:G,Base!$F$2)+SUMIFS(广告数据包!P:P,广告数据包!A:A,A195,广告数据包!G:G,Base!$F$3)+SUMIFS(广告数据包!P:P,广告数据包!A:A,A195,广告数据包!G:G,Base!$F$4)</f>
        <v>0</v>
      </c>
      <c r="P195" s="56">
        <f>SUMIFS(广告数据包!M:M,广告数据包!A:A,A195,广告数据包!G:G,Base!$F$2)+SUMIFS(广告数据包!M:M,广告数据包!A:A,A195,广告数据包!G:G,Base!$F$3)+SUMIFS(广告数据包!M:M,广告数据包!A:A,A195,广告数据包!G:G,Base!$F$4)</f>
        <v>0</v>
      </c>
      <c r="Q195" s="57">
        <f t="shared" si="52"/>
        <v>0</v>
      </c>
      <c r="R195" s="56">
        <f>SUMIFS(广告数据包!L:L,广告数据包!A:A,A195,广告数据包!G:G,Base!$F$2)+SUMIFS(广告数据包!L:L,广告数据包!A:A,A195,广告数据包!G:G,Base!$F$3)+SUMIFS(广告数据包!L:L,广告数据包!A:A,A195,广告数据包!G:G,Base!$F$4)</f>
        <v>0</v>
      </c>
      <c r="S195" s="86">
        <f t="shared" si="53"/>
        <v>0</v>
      </c>
    </row>
    <row r="196" ht="16.5" spans="1:19">
      <c r="A196" s="54">
        <v>44633</v>
      </c>
      <c r="B196" s="55">
        <f>SUMIFS(销售数据包!F:F,销售数据包!A:A,A196,销售数据包!C:C,Base!$F$2)+SUMIFS(销售数据包!F:F,销售数据包!A:A,A196,销售数据包!C:C,Base!$F$3)+SUMIFS(销售数据包!F:F,销售数据包!A:A,A196,销售数据包!C:C,Base!$F$4)</f>
        <v>0</v>
      </c>
      <c r="C196" s="56">
        <f>SUMIFS(销售数据包!K:K,销售数据包!A:A,A196,销售数据包!C:C,Base!$F$2)+SUMIFS(销售数据包!K:K,销售数据包!A:A,A196,销售数据包!C:C,Base!$F$3)+SUMIFS(销售数据包!K:K,销售数据包!A:A,A196,销售数据包!C:C,Base!$F$4)</f>
        <v>0</v>
      </c>
      <c r="D196" s="56">
        <f>SUMIFS(销售数据包!Q:Q,销售数据包!A:A,A196,销售数据包!C:C,Base!$F$2)+SUMIFS(销售数据包!Q:Q,销售数据包!A:A,A196,销售数据包!C:C,Base!$F$3)+SUMIFS(销售数据包!Q:Q,销售数据包!A:A,A196,销售数据包!C:C,Base!$F$4)</f>
        <v>0</v>
      </c>
      <c r="E196" s="57">
        <f t="shared" si="45"/>
        <v>0</v>
      </c>
      <c r="F196" s="57">
        <f t="shared" si="46"/>
        <v>0</v>
      </c>
      <c r="G196" s="56">
        <f>SUMIFS(销售数据包!O:O,销售数据包!A:A,A196)</f>
        <v>0</v>
      </c>
      <c r="H196" s="57">
        <f t="shared" si="47"/>
        <v>0</v>
      </c>
      <c r="I196" s="71">
        <f t="shared" si="48"/>
        <v>0</v>
      </c>
      <c r="J196" s="72" t="str">
        <f t="shared" si="49"/>
        <v>周7</v>
      </c>
      <c r="K196" s="73">
        <f>SUMIFS(广告数据包!H:H,广告数据包!A:A,A196,广告数据包!G:G,Base!$F$2)+SUMIFS(广告数据包!H:H,广告数据包!A:A,A196,广告数据包!G:G,Base!$F$3)+SUMIFS(广告数据包!H:H,广告数据包!A:A,A196,广告数据包!G:G,Base!$F$4)</f>
        <v>0</v>
      </c>
      <c r="L196" s="56">
        <f>SUMIFS(广告数据包!I:I,广告数据包!A:A,A196,广告数据包!G:G,Base!$F$2)+SUMIFS(广告数据包!I:I,广告数据包!A:A,A196,广告数据包!G:G,Base!$F$3)+SUMIFS(广告数据包!I:I,广告数据包!A:A,A196,广告数据包!G:G,Base!$F$4)</f>
        <v>0</v>
      </c>
      <c r="M196" s="57">
        <f t="shared" si="50"/>
        <v>0</v>
      </c>
      <c r="N196" s="74">
        <f t="shared" si="51"/>
        <v>0</v>
      </c>
      <c r="O196" s="75">
        <f>SUMIFS(广告数据包!P:P,广告数据包!A:A,A196,广告数据包!G:G,Base!$F$2)+SUMIFS(广告数据包!P:P,广告数据包!A:A,A196,广告数据包!G:G,Base!$F$3)+SUMIFS(广告数据包!P:P,广告数据包!A:A,A196,广告数据包!G:G,Base!$F$4)</f>
        <v>0</v>
      </c>
      <c r="P196" s="56">
        <f>SUMIFS(广告数据包!M:M,广告数据包!A:A,A196,广告数据包!G:G,Base!$F$2)+SUMIFS(广告数据包!M:M,广告数据包!A:A,A196,广告数据包!G:G,Base!$F$3)+SUMIFS(广告数据包!M:M,广告数据包!A:A,A196,广告数据包!G:G,Base!$F$4)</f>
        <v>0</v>
      </c>
      <c r="Q196" s="57">
        <f t="shared" si="52"/>
        <v>0</v>
      </c>
      <c r="R196" s="56">
        <f>SUMIFS(广告数据包!L:L,广告数据包!A:A,A196,广告数据包!G:G,Base!$F$2)+SUMIFS(广告数据包!L:L,广告数据包!A:A,A196,广告数据包!G:G,Base!$F$3)+SUMIFS(广告数据包!L:L,广告数据包!A:A,A196,广告数据包!G:G,Base!$F$4)</f>
        <v>0</v>
      </c>
      <c r="S196" s="86">
        <f t="shared" si="53"/>
        <v>0</v>
      </c>
    </row>
    <row r="197" ht="16.5" spans="1:19">
      <c r="A197" s="54">
        <v>44634</v>
      </c>
      <c r="B197" s="55">
        <f>SUMIFS(销售数据包!F:F,销售数据包!A:A,A197,销售数据包!C:C,Base!$F$2)+SUMIFS(销售数据包!F:F,销售数据包!A:A,A197,销售数据包!C:C,Base!$F$3)+SUMIFS(销售数据包!F:F,销售数据包!A:A,A197,销售数据包!C:C,Base!$F$4)</f>
        <v>0</v>
      </c>
      <c r="C197" s="56">
        <f>SUMIFS(销售数据包!K:K,销售数据包!A:A,A197,销售数据包!C:C,Base!$F$2)+SUMIFS(销售数据包!K:K,销售数据包!A:A,A197,销售数据包!C:C,Base!$F$3)+SUMIFS(销售数据包!K:K,销售数据包!A:A,A197,销售数据包!C:C,Base!$F$4)</f>
        <v>0</v>
      </c>
      <c r="D197" s="56">
        <f>SUMIFS(销售数据包!Q:Q,销售数据包!A:A,A197,销售数据包!C:C,Base!$F$2)+SUMIFS(销售数据包!Q:Q,销售数据包!A:A,A197,销售数据包!C:C,Base!$F$3)+SUMIFS(销售数据包!Q:Q,销售数据包!A:A,A197,销售数据包!C:C,Base!$F$4)</f>
        <v>0</v>
      </c>
      <c r="E197" s="57">
        <f t="shared" si="45"/>
        <v>0</v>
      </c>
      <c r="F197" s="57">
        <f t="shared" si="46"/>
        <v>0</v>
      </c>
      <c r="G197" s="56">
        <f>SUMIFS(销售数据包!O:O,销售数据包!A:A,A197)</f>
        <v>0</v>
      </c>
      <c r="H197" s="57">
        <f t="shared" si="47"/>
        <v>0</v>
      </c>
      <c r="I197" s="71">
        <f t="shared" si="48"/>
        <v>0</v>
      </c>
      <c r="J197" s="72" t="str">
        <f t="shared" si="49"/>
        <v>周1</v>
      </c>
      <c r="K197" s="73">
        <f>SUMIFS(广告数据包!H:H,广告数据包!A:A,A197,广告数据包!G:G,Base!$F$2)+SUMIFS(广告数据包!H:H,广告数据包!A:A,A197,广告数据包!G:G,Base!$F$3)+SUMIFS(广告数据包!H:H,广告数据包!A:A,A197,广告数据包!G:G,Base!$F$4)</f>
        <v>0</v>
      </c>
      <c r="L197" s="56">
        <f>SUMIFS(广告数据包!I:I,广告数据包!A:A,A197,广告数据包!G:G,Base!$F$2)+SUMIFS(广告数据包!I:I,广告数据包!A:A,A197,广告数据包!G:G,Base!$F$3)+SUMIFS(广告数据包!I:I,广告数据包!A:A,A197,广告数据包!G:G,Base!$F$4)</f>
        <v>0</v>
      </c>
      <c r="M197" s="57">
        <f t="shared" si="50"/>
        <v>0</v>
      </c>
      <c r="N197" s="74">
        <f t="shared" si="51"/>
        <v>0</v>
      </c>
      <c r="O197" s="75">
        <f>SUMIFS(广告数据包!P:P,广告数据包!A:A,A197,广告数据包!G:G,Base!$F$2)+SUMIFS(广告数据包!P:P,广告数据包!A:A,A197,广告数据包!G:G,Base!$F$3)+SUMIFS(广告数据包!P:P,广告数据包!A:A,A197,广告数据包!G:G,Base!$F$4)</f>
        <v>0</v>
      </c>
      <c r="P197" s="56">
        <f>SUMIFS(广告数据包!M:M,广告数据包!A:A,A197,广告数据包!G:G,Base!$F$2)+SUMIFS(广告数据包!M:M,广告数据包!A:A,A197,广告数据包!G:G,Base!$F$3)+SUMIFS(广告数据包!M:M,广告数据包!A:A,A197,广告数据包!G:G,Base!$F$4)</f>
        <v>0</v>
      </c>
      <c r="Q197" s="57">
        <f t="shared" si="52"/>
        <v>0</v>
      </c>
      <c r="R197" s="56">
        <f>SUMIFS(广告数据包!L:L,广告数据包!A:A,A197,广告数据包!G:G,Base!$F$2)+SUMIFS(广告数据包!L:L,广告数据包!A:A,A197,广告数据包!G:G,Base!$F$3)+SUMIFS(广告数据包!L:L,广告数据包!A:A,A197,广告数据包!G:G,Base!$F$4)</f>
        <v>0</v>
      </c>
      <c r="S197" s="86">
        <f t="shared" si="53"/>
        <v>0</v>
      </c>
    </row>
    <row r="198" ht="16.5" spans="1:19">
      <c r="A198" s="54">
        <v>44635</v>
      </c>
      <c r="B198" s="55">
        <f>SUMIFS(销售数据包!F:F,销售数据包!A:A,A198,销售数据包!C:C,Base!$F$2)+SUMIFS(销售数据包!F:F,销售数据包!A:A,A198,销售数据包!C:C,Base!$F$3)+SUMIFS(销售数据包!F:F,销售数据包!A:A,A198,销售数据包!C:C,Base!$F$4)</f>
        <v>0</v>
      </c>
      <c r="C198" s="56">
        <f>SUMIFS(销售数据包!K:K,销售数据包!A:A,A198,销售数据包!C:C,Base!$F$2)+SUMIFS(销售数据包!K:K,销售数据包!A:A,A198,销售数据包!C:C,Base!$F$3)+SUMIFS(销售数据包!K:K,销售数据包!A:A,A198,销售数据包!C:C,Base!$F$4)</f>
        <v>0</v>
      </c>
      <c r="D198" s="56">
        <f>SUMIFS(销售数据包!Q:Q,销售数据包!A:A,A198,销售数据包!C:C,Base!$F$2)+SUMIFS(销售数据包!Q:Q,销售数据包!A:A,A198,销售数据包!C:C,Base!$F$3)+SUMIFS(销售数据包!Q:Q,销售数据包!A:A,A198,销售数据包!C:C,Base!$F$4)</f>
        <v>0</v>
      </c>
      <c r="E198" s="57">
        <f t="shared" si="45"/>
        <v>0</v>
      </c>
      <c r="F198" s="57">
        <f t="shared" si="46"/>
        <v>0</v>
      </c>
      <c r="G198" s="56">
        <f>SUMIFS(销售数据包!O:O,销售数据包!A:A,A198)</f>
        <v>0</v>
      </c>
      <c r="H198" s="57">
        <f t="shared" si="47"/>
        <v>0</v>
      </c>
      <c r="I198" s="71">
        <f t="shared" si="48"/>
        <v>0</v>
      </c>
      <c r="J198" s="72" t="str">
        <f t="shared" si="49"/>
        <v>周2</v>
      </c>
      <c r="K198" s="73">
        <f>SUMIFS(广告数据包!H:H,广告数据包!A:A,A198,广告数据包!G:G,Base!$F$2)+SUMIFS(广告数据包!H:H,广告数据包!A:A,A198,广告数据包!G:G,Base!$F$3)+SUMIFS(广告数据包!H:H,广告数据包!A:A,A198,广告数据包!G:G,Base!$F$4)</f>
        <v>0</v>
      </c>
      <c r="L198" s="56">
        <f>SUMIFS(广告数据包!I:I,广告数据包!A:A,A198,广告数据包!G:G,Base!$F$2)+SUMIFS(广告数据包!I:I,广告数据包!A:A,A198,广告数据包!G:G,Base!$F$3)+SUMIFS(广告数据包!I:I,广告数据包!A:A,A198,广告数据包!G:G,Base!$F$4)</f>
        <v>0</v>
      </c>
      <c r="M198" s="57">
        <f t="shared" si="50"/>
        <v>0</v>
      </c>
      <c r="N198" s="74">
        <f t="shared" si="51"/>
        <v>0</v>
      </c>
      <c r="O198" s="75">
        <f>SUMIFS(广告数据包!P:P,广告数据包!A:A,A198,广告数据包!G:G,Base!$F$2)+SUMIFS(广告数据包!P:P,广告数据包!A:A,A198,广告数据包!G:G,Base!$F$3)+SUMIFS(广告数据包!P:P,广告数据包!A:A,A198,广告数据包!G:G,Base!$F$4)</f>
        <v>0</v>
      </c>
      <c r="P198" s="56">
        <f>SUMIFS(广告数据包!M:M,广告数据包!A:A,A198,广告数据包!G:G,Base!$F$2)+SUMIFS(广告数据包!M:M,广告数据包!A:A,A198,广告数据包!G:G,Base!$F$3)+SUMIFS(广告数据包!M:M,广告数据包!A:A,A198,广告数据包!G:G,Base!$F$4)</f>
        <v>0</v>
      </c>
      <c r="Q198" s="57">
        <f t="shared" si="52"/>
        <v>0</v>
      </c>
      <c r="R198" s="56">
        <f>SUMIFS(广告数据包!L:L,广告数据包!A:A,A198,广告数据包!G:G,Base!$F$2)+SUMIFS(广告数据包!L:L,广告数据包!A:A,A198,广告数据包!G:G,Base!$F$3)+SUMIFS(广告数据包!L:L,广告数据包!A:A,A198,广告数据包!G:G,Base!$F$4)</f>
        <v>0</v>
      </c>
      <c r="S198" s="86">
        <f t="shared" si="53"/>
        <v>0</v>
      </c>
    </row>
    <row r="199" ht="16.5" spans="1:19">
      <c r="A199" s="54">
        <v>44636</v>
      </c>
      <c r="B199" s="55">
        <f>SUMIFS(销售数据包!F:F,销售数据包!A:A,A199,销售数据包!C:C,Base!$F$2)+SUMIFS(销售数据包!F:F,销售数据包!A:A,A199,销售数据包!C:C,Base!$F$3)+SUMIFS(销售数据包!F:F,销售数据包!A:A,A199,销售数据包!C:C,Base!$F$4)</f>
        <v>0</v>
      </c>
      <c r="C199" s="56">
        <f>SUMIFS(销售数据包!K:K,销售数据包!A:A,A199,销售数据包!C:C,Base!$F$2)+SUMIFS(销售数据包!K:K,销售数据包!A:A,A199,销售数据包!C:C,Base!$F$3)+SUMIFS(销售数据包!K:K,销售数据包!A:A,A199,销售数据包!C:C,Base!$F$4)</f>
        <v>0</v>
      </c>
      <c r="D199" s="56">
        <f>SUMIFS(销售数据包!Q:Q,销售数据包!A:A,A199,销售数据包!C:C,Base!$F$2)+SUMIFS(销售数据包!Q:Q,销售数据包!A:A,A199,销售数据包!C:C,Base!$F$3)+SUMIFS(销售数据包!Q:Q,销售数据包!A:A,A199,销售数据包!C:C,Base!$F$4)</f>
        <v>0</v>
      </c>
      <c r="E199" s="57">
        <f t="shared" si="45"/>
        <v>0</v>
      </c>
      <c r="F199" s="57">
        <f t="shared" si="46"/>
        <v>0</v>
      </c>
      <c r="G199" s="56">
        <f>SUMIFS(销售数据包!O:O,销售数据包!A:A,A199)</f>
        <v>0</v>
      </c>
      <c r="H199" s="57">
        <f t="shared" si="47"/>
        <v>0</v>
      </c>
      <c r="I199" s="71">
        <f t="shared" si="48"/>
        <v>0</v>
      </c>
      <c r="J199" s="72" t="str">
        <f t="shared" si="49"/>
        <v>周3</v>
      </c>
      <c r="K199" s="73">
        <f>SUMIFS(广告数据包!H:H,广告数据包!A:A,A199,广告数据包!G:G,Base!$F$2)+SUMIFS(广告数据包!H:H,广告数据包!A:A,A199,广告数据包!G:G,Base!$F$3)+SUMIFS(广告数据包!H:H,广告数据包!A:A,A199,广告数据包!G:G,Base!$F$4)</f>
        <v>0</v>
      </c>
      <c r="L199" s="56">
        <f>SUMIFS(广告数据包!I:I,广告数据包!A:A,A199,广告数据包!G:G,Base!$F$2)+SUMIFS(广告数据包!I:I,广告数据包!A:A,A199,广告数据包!G:G,Base!$F$3)+SUMIFS(广告数据包!I:I,广告数据包!A:A,A199,广告数据包!G:G,Base!$F$4)</f>
        <v>0</v>
      </c>
      <c r="M199" s="57">
        <f t="shared" si="50"/>
        <v>0</v>
      </c>
      <c r="N199" s="74">
        <f t="shared" si="51"/>
        <v>0</v>
      </c>
      <c r="O199" s="75">
        <f>SUMIFS(广告数据包!P:P,广告数据包!A:A,A199,广告数据包!G:G,Base!$F$2)+SUMIFS(广告数据包!P:P,广告数据包!A:A,A199,广告数据包!G:G,Base!$F$3)+SUMIFS(广告数据包!P:P,广告数据包!A:A,A199,广告数据包!G:G,Base!$F$4)</f>
        <v>0</v>
      </c>
      <c r="P199" s="56">
        <f>SUMIFS(广告数据包!M:M,广告数据包!A:A,A199,广告数据包!G:G,Base!$F$2)+SUMIFS(广告数据包!M:M,广告数据包!A:A,A199,广告数据包!G:G,Base!$F$3)+SUMIFS(广告数据包!M:M,广告数据包!A:A,A199,广告数据包!G:G,Base!$F$4)</f>
        <v>0</v>
      </c>
      <c r="Q199" s="57">
        <f t="shared" si="52"/>
        <v>0</v>
      </c>
      <c r="R199" s="56">
        <f>SUMIFS(广告数据包!L:L,广告数据包!A:A,A199,广告数据包!G:G,Base!$F$2)+SUMIFS(广告数据包!L:L,广告数据包!A:A,A199,广告数据包!G:G,Base!$F$3)+SUMIFS(广告数据包!L:L,广告数据包!A:A,A199,广告数据包!G:G,Base!$F$4)</f>
        <v>0</v>
      </c>
      <c r="S199" s="86">
        <f t="shared" si="53"/>
        <v>0</v>
      </c>
    </row>
    <row r="200" ht="16.5" spans="1:19">
      <c r="A200" s="54">
        <v>44637</v>
      </c>
      <c r="B200" s="55">
        <f>SUMIFS(销售数据包!F:F,销售数据包!A:A,A200,销售数据包!C:C,Base!$F$2)+SUMIFS(销售数据包!F:F,销售数据包!A:A,A200,销售数据包!C:C,Base!$F$3)+SUMIFS(销售数据包!F:F,销售数据包!A:A,A200,销售数据包!C:C,Base!$F$4)</f>
        <v>0</v>
      </c>
      <c r="C200" s="56">
        <f>SUMIFS(销售数据包!K:K,销售数据包!A:A,A200,销售数据包!C:C,Base!$F$2)+SUMIFS(销售数据包!K:K,销售数据包!A:A,A200,销售数据包!C:C,Base!$F$3)+SUMIFS(销售数据包!K:K,销售数据包!A:A,A200,销售数据包!C:C,Base!$F$4)</f>
        <v>0</v>
      </c>
      <c r="D200" s="56">
        <f>SUMIFS(销售数据包!Q:Q,销售数据包!A:A,A200,销售数据包!C:C,Base!$F$2)+SUMIFS(销售数据包!Q:Q,销售数据包!A:A,A200,销售数据包!C:C,Base!$F$3)+SUMIFS(销售数据包!Q:Q,销售数据包!A:A,A200,销售数据包!C:C,Base!$F$4)</f>
        <v>0</v>
      </c>
      <c r="E200" s="57">
        <f t="shared" si="45"/>
        <v>0</v>
      </c>
      <c r="F200" s="57">
        <f t="shared" si="46"/>
        <v>0</v>
      </c>
      <c r="G200" s="56">
        <f>SUMIFS(销售数据包!O:O,销售数据包!A:A,A200)</f>
        <v>0</v>
      </c>
      <c r="H200" s="57">
        <f t="shared" si="47"/>
        <v>0</v>
      </c>
      <c r="I200" s="71">
        <f t="shared" si="48"/>
        <v>0</v>
      </c>
      <c r="J200" s="72" t="str">
        <f t="shared" si="49"/>
        <v>周4</v>
      </c>
      <c r="K200" s="73">
        <f>SUMIFS(广告数据包!H:H,广告数据包!A:A,A200,广告数据包!G:G,Base!$F$2)+SUMIFS(广告数据包!H:H,广告数据包!A:A,A200,广告数据包!G:G,Base!$F$3)+SUMIFS(广告数据包!H:H,广告数据包!A:A,A200,广告数据包!G:G,Base!$F$4)</f>
        <v>0</v>
      </c>
      <c r="L200" s="56">
        <f>SUMIFS(广告数据包!I:I,广告数据包!A:A,A200,广告数据包!G:G,Base!$F$2)+SUMIFS(广告数据包!I:I,广告数据包!A:A,A200,广告数据包!G:G,Base!$F$3)+SUMIFS(广告数据包!I:I,广告数据包!A:A,A200,广告数据包!G:G,Base!$F$4)</f>
        <v>0</v>
      </c>
      <c r="M200" s="57">
        <f t="shared" si="50"/>
        <v>0</v>
      </c>
      <c r="N200" s="74">
        <f t="shared" si="51"/>
        <v>0</v>
      </c>
      <c r="O200" s="75">
        <f>SUMIFS(广告数据包!P:P,广告数据包!A:A,A200,广告数据包!G:G,Base!$F$2)+SUMIFS(广告数据包!P:P,广告数据包!A:A,A200,广告数据包!G:G,Base!$F$3)+SUMIFS(广告数据包!P:P,广告数据包!A:A,A200,广告数据包!G:G,Base!$F$4)</f>
        <v>0</v>
      </c>
      <c r="P200" s="56">
        <f>SUMIFS(广告数据包!M:M,广告数据包!A:A,A200,广告数据包!G:G,Base!$F$2)+SUMIFS(广告数据包!M:M,广告数据包!A:A,A200,广告数据包!G:G,Base!$F$3)+SUMIFS(广告数据包!M:M,广告数据包!A:A,A200,广告数据包!G:G,Base!$F$4)</f>
        <v>0</v>
      </c>
      <c r="Q200" s="57">
        <f t="shared" si="52"/>
        <v>0</v>
      </c>
      <c r="R200" s="56">
        <f>SUMIFS(广告数据包!L:L,广告数据包!A:A,A200,广告数据包!G:G,Base!$F$2)+SUMIFS(广告数据包!L:L,广告数据包!A:A,A200,广告数据包!G:G,Base!$F$3)+SUMIFS(广告数据包!L:L,广告数据包!A:A,A200,广告数据包!G:G,Base!$F$4)</f>
        <v>0</v>
      </c>
      <c r="S200" s="86">
        <f t="shared" si="53"/>
        <v>0</v>
      </c>
    </row>
    <row r="201" ht="16.5" spans="1:19">
      <c r="A201" s="54">
        <v>44638</v>
      </c>
      <c r="B201" s="55">
        <f>SUMIFS(销售数据包!F:F,销售数据包!A:A,A201,销售数据包!C:C,Base!$F$2)+SUMIFS(销售数据包!F:F,销售数据包!A:A,A201,销售数据包!C:C,Base!$F$3)+SUMIFS(销售数据包!F:F,销售数据包!A:A,A201,销售数据包!C:C,Base!$F$4)</f>
        <v>0</v>
      </c>
      <c r="C201" s="56">
        <f>SUMIFS(销售数据包!K:K,销售数据包!A:A,A201,销售数据包!C:C,Base!$F$2)+SUMIFS(销售数据包!K:K,销售数据包!A:A,A201,销售数据包!C:C,Base!$F$3)+SUMIFS(销售数据包!K:K,销售数据包!A:A,A201,销售数据包!C:C,Base!$F$4)</f>
        <v>0</v>
      </c>
      <c r="D201" s="56">
        <f>SUMIFS(销售数据包!Q:Q,销售数据包!A:A,A201,销售数据包!C:C,Base!$F$2)+SUMIFS(销售数据包!Q:Q,销售数据包!A:A,A201,销售数据包!C:C,Base!$F$3)+SUMIFS(销售数据包!Q:Q,销售数据包!A:A,A201,销售数据包!C:C,Base!$F$4)</f>
        <v>0</v>
      </c>
      <c r="E201" s="57">
        <f t="shared" si="45"/>
        <v>0</v>
      </c>
      <c r="F201" s="57">
        <f t="shared" si="46"/>
        <v>0</v>
      </c>
      <c r="G201" s="56">
        <f>SUMIFS(销售数据包!O:O,销售数据包!A:A,A201)</f>
        <v>0</v>
      </c>
      <c r="H201" s="57">
        <f t="shared" si="47"/>
        <v>0</v>
      </c>
      <c r="I201" s="71">
        <f t="shared" si="48"/>
        <v>0</v>
      </c>
      <c r="J201" s="72" t="str">
        <f t="shared" si="49"/>
        <v>周5</v>
      </c>
      <c r="K201" s="73">
        <f>SUMIFS(广告数据包!H:H,广告数据包!A:A,A201,广告数据包!G:G,Base!$F$2)+SUMIFS(广告数据包!H:H,广告数据包!A:A,A201,广告数据包!G:G,Base!$F$3)+SUMIFS(广告数据包!H:H,广告数据包!A:A,A201,广告数据包!G:G,Base!$F$4)</f>
        <v>0</v>
      </c>
      <c r="L201" s="56">
        <f>SUMIFS(广告数据包!I:I,广告数据包!A:A,A201,广告数据包!G:G,Base!$F$2)+SUMIFS(广告数据包!I:I,广告数据包!A:A,A201,广告数据包!G:G,Base!$F$3)+SUMIFS(广告数据包!I:I,广告数据包!A:A,A201,广告数据包!G:G,Base!$F$4)</f>
        <v>0</v>
      </c>
      <c r="M201" s="57">
        <f t="shared" si="50"/>
        <v>0</v>
      </c>
      <c r="N201" s="74">
        <f t="shared" si="51"/>
        <v>0</v>
      </c>
      <c r="O201" s="75">
        <f>SUMIFS(广告数据包!P:P,广告数据包!A:A,A201,广告数据包!G:G,Base!$F$2)+SUMIFS(广告数据包!P:P,广告数据包!A:A,A201,广告数据包!G:G,Base!$F$3)+SUMIFS(广告数据包!P:P,广告数据包!A:A,A201,广告数据包!G:G,Base!$F$4)</f>
        <v>0</v>
      </c>
      <c r="P201" s="56">
        <f>SUMIFS(广告数据包!M:M,广告数据包!A:A,A201,广告数据包!G:G,Base!$F$2)+SUMIFS(广告数据包!M:M,广告数据包!A:A,A201,广告数据包!G:G,Base!$F$3)+SUMIFS(广告数据包!M:M,广告数据包!A:A,A201,广告数据包!G:G,Base!$F$4)</f>
        <v>0</v>
      </c>
      <c r="Q201" s="57">
        <f t="shared" si="52"/>
        <v>0</v>
      </c>
      <c r="R201" s="56">
        <f>SUMIFS(广告数据包!L:L,广告数据包!A:A,A201,广告数据包!G:G,Base!$F$2)+SUMIFS(广告数据包!L:L,广告数据包!A:A,A201,广告数据包!G:G,Base!$F$3)+SUMIFS(广告数据包!L:L,广告数据包!A:A,A201,广告数据包!G:G,Base!$F$4)</f>
        <v>0</v>
      </c>
      <c r="S201" s="86">
        <f t="shared" si="53"/>
        <v>0</v>
      </c>
    </row>
    <row r="202" ht="16.5" spans="1:19">
      <c r="A202" s="54">
        <v>44639</v>
      </c>
      <c r="B202" s="55">
        <f>SUMIFS(销售数据包!F:F,销售数据包!A:A,A202,销售数据包!C:C,Base!$F$2)+SUMIFS(销售数据包!F:F,销售数据包!A:A,A202,销售数据包!C:C,Base!$F$3)+SUMIFS(销售数据包!F:F,销售数据包!A:A,A202,销售数据包!C:C,Base!$F$4)</f>
        <v>0</v>
      </c>
      <c r="C202" s="56">
        <f>SUMIFS(销售数据包!K:K,销售数据包!A:A,A202,销售数据包!C:C,Base!$F$2)+SUMIFS(销售数据包!K:K,销售数据包!A:A,A202,销售数据包!C:C,Base!$F$3)+SUMIFS(销售数据包!K:K,销售数据包!A:A,A202,销售数据包!C:C,Base!$F$4)</f>
        <v>0</v>
      </c>
      <c r="D202" s="56">
        <f>SUMIFS(销售数据包!Q:Q,销售数据包!A:A,A202,销售数据包!C:C,Base!$F$2)+SUMIFS(销售数据包!Q:Q,销售数据包!A:A,A202,销售数据包!C:C,Base!$F$3)+SUMIFS(销售数据包!Q:Q,销售数据包!A:A,A202,销售数据包!C:C,Base!$F$4)</f>
        <v>0</v>
      </c>
      <c r="E202" s="57">
        <f t="shared" si="45"/>
        <v>0</v>
      </c>
      <c r="F202" s="57">
        <f t="shared" si="46"/>
        <v>0</v>
      </c>
      <c r="G202" s="56">
        <f>SUMIFS(销售数据包!O:O,销售数据包!A:A,A202)</f>
        <v>0</v>
      </c>
      <c r="H202" s="57">
        <f t="shared" si="47"/>
        <v>0</v>
      </c>
      <c r="I202" s="71">
        <f t="shared" si="48"/>
        <v>0</v>
      </c>
      <c r="J202" s="72" t="str">
        <f t="shared" si="49"/>
        <v>周6</v>
      </c>
      <c r="K202" s="73">
        <f>SUMIFS(广告数据包!H:H,广告数据包!A:A,A202,广告数据包!G:G,Base!$F$2)+SUMIFS(广告数据包!H:H,广告数据包!A:A,A202,广告数据包!G:G,Base!$F$3)+SUMIFS(广告数据包!H:H,广告数据包!A:A,A202,广告数据包!G:G,Base!$F$4)</f>
        <v>0</v>
      </c>
      <c r="L202" s="56">
        <f>SUMIFS(广告数据包!I:I,广告数据包!A:A,A202,广告数据包!G:G,Base!$F$2)+SUMIFS(广告数据包!I:I,广告数据包!A:A,A202,广告数据包!G:G,Base!$F$3)+SUMIFS(广告数据包!I:I,广告数据包!A:A,A202,广告数据包!G:G,Base!$F$4)</f>
        <v>0</v>
      </c>
      <c r="M202" s="57">
        <f t="shared" si="50"/>
        <v>0</v>
      </c>
      <c r="N202" s="74">
        <f t="shared" si="51"/>
        <v>0</v>
      </c>
      <c r="O202" s="75">
        <f>SUMIFS(广告数据包!P:P,广告数据包!A:A,A202,广告数据包!G:G,Base!$F$2)+SUMIFS(广告数据包!P:P,广告数据包!A:A,A202,广告数据包!G:G,Base!$F$3)+SUMIFS(广告数据包!P:P,广告数据包!A:A,A202,广告数据包!G:G,Base!$F$4)</f>
        <v>0</v>
      </c>
      <c r="P202" s="56">
        <f>SUMIFS(广告数据包!M:M,广告数据包!A:A,A202,广告数据包!G:G,Base!$F$2)+SUMIFS(广告数据包!M:M,广告数据包!A:A,A202,广告数据包!G:G,Base!$F$3)+SUMIFS(广告数据包!M:M,广告数据包!A:A,A202,广告数据包!G:G,Base!$F$4)</f>
        <v>0</v>
      </c>
      <c r="Q202" s="57">
        <f t="shared" si="52"/>
        <v>0</v>
      </c>
      <c r="R202" s="56">
        <f>SUMIFS(广告数据包!L:L,广告数据包!A:A,A202,广告数据包!G:G,Base!$F$2)+SUMIFS(广告数据包!L:L,广告数据包!A:A,A202,广告数据包!G:G,Base!$F$3)+SUMIFS(广告数据包!L:L,广告数据包!A:A,A202,广告数据包!G:G,Base!$F$4)</f>
        <v>0</v>
      </c>
      <c r="S202" s="86">
        <f t="shared" si="53"/>
        <v>0</v>
      </c>
    </row>
    <row r="203" ht="16.5" spans="1:19">
      <c r="A203" s="54">
        <v>44640</v>
      </c>
      <c r="B203" s="55">
        <f>SUMIFS(销售数据包!F:F,销售数据包!A:A,A203,销售数据包!C:C,Base!$F$2)+SUMIFS(销售数据包!F:F,销售数据包!A:A,A203,销售数据包!C:C,Base!$F$3)+SUMIFS(销售数据包!F:F,销售数据包!A:A,A203,销售数据包!C:C,Base!$F$4)</f>
        <v>0</v>
      </c>
      <c r="C203" s="56">
        <f>SUMIFS(销售数据包!K:K,销售数据包!A:A,A203,销售数据包!C:C,Base!$F$2)+SUMIFS(销售数据包!K:K,销售数据包!A:A,A203,销售数据包!C:C,Base!$F$3)+SUMIFS(销售数据包!K:K,销售数据包!A:A,A203,销售数据包!C:C,Base!$F$4)</f>
        <v>0</v>
      </c>
      <c r="D203" s="56">
        <f>SUMIFS(销售数据包!Q:Q,销售数据包!A:A,A203,销售数据包!C:C,Base!$F$2)+SUMIFS(销售数据包!Q:Q,销售数据包!A:A,A203,销售数据包!C:C,Base!$F$3)+SUMIFS(销售数据包!Q:Q,销售数据包!A:A,A203,销售数据包!C:C,Base!$F$4)</f>
        <v>0</v>
      </c>
      <c r="E203" s="57">
        <f t="shared" si="45"/>
        <v>0</v>
      </c>
      <c r="F203" s="57">
        <f t="shared" si="46"/>
        <v>0</v>
      </c>
      <c r="G203" s="56">
        <f>SUMIFS(销售数据包!O:O,销售数据包!A:A,A203)</f>
        <v>0</v>
      </c>
      <c r="H203" s="57">
        <f t="shared" si="47"/>
        <v>0</v>
      </c>
      <c r="I203" s="71">
        <f t="shared" si="48"/>
        <v>0</v>
      </c>
      <c r="J203" s="72" t="str">
        <f t="shared" si="49"/>
        <v>周7</v>
      </c>
      <c r="K203" s="73">
        <f>SUMIFS(广告数据包!H:H,广告数据包!A:A,A203,广告数据包!G:G,Base!$F$2)+SUMIFS(广告数据包!H:H,广告数据包!A:A,A203,广告数据包!G:G,Base!$F$3)+SUMIFS(广告数据包!H:H,广告数据包!A:A,A203,广告数据包!G:G,Base!$F$4)</f>
        <v>0</v>
      </c>
      <c r="L203" s="56">
        <f>SUMIFS(广告数据包!I:I,广告数据包!A:A,A203,广告数据包!G:G,Base!$F$2)+SUMIFS(广告数据包!I:I,广告数据包!A:A,A203,广告数据包!G:G,Base!$F$3)+SUMIFS(广告数据包!I:I,广告数据包!A:A,A203,广告数据包!G:G,Base!$F$4)</f>
        <v>0</v>
      </c>
      <c r="M203" s="57">
        <f t="shared" si="50"/>
        <v>0</v>
      </c>
      <c r="N203" s="74">
        <f t="shared" si="51"/>
        <v>0</v>
      </c>
      <c r="O203" s="75">
        <f>SUMIFS(广告数据包!P:P,广告数据包!A:A,A203,广告数据包!G:G,Base!$F$2)+SUMIFS(广告数据包!P:P,广告数据包!A:A,A203,广告数据包!G:G,Base!$F$3)+SUMIFS(广告数据包!P:P,广告数据包!A:A,A203,广告数据包!G:G,Base!$F$4)</f>
        <v>0</v>
      </c>
      <c r="P203" s="56">
        <f>SUMIFS(广告数据包!M:M,广告数据包!A:A,A203,广告数据包!G:G,Base!$F$2)+SUMIFS(广告数据包!M:M,广告数据包!A:A,A203,广告数据包!G:G,Base!$F$3)+SUMIFS(广告数据包!M:M,广告数据包!A:A,A203,广告数据包!G:G,Base!$F$4)</f>
        <v>0</v>
      </c>
      <c r="Q203" s="57">
        <f t="shared" si="52"/>
        <v>0</v>
      </c>
      <c r="R203" s="56">
        <f>SUMIFS(广告数据包!L:L,广告数据包!A:A,A203,广告数据包!G:G,Base!$F$2)+SUMIFS(广告数据包!L:L,广告数据包!A:A,A203,广告数据包!G:G,Base!$F$3)+SUMIFS(广告数据包!L:L,广告数据包!A:A,A203,广告数据包!G:G,Base!$F$4)</f>
        <v>0</v>
      </c>
      <c r="S203" s="86">
        <f t="shared" si="53"/>
        <v>0</v>
      </c>
    </row>
    <row r="204" ht="16.5" spans="1:19">
      <c r="A204" s="54">
        <v>44641</v>
      </c>
      <c r="B204" s="55">
        <f>SUMIFS(销售数据包!F:F,销售数据包!A:A,A204,销售数据包!C:C,Base!$F$2)+SUMIFS(销售数据包!F:F,销售数据包!A:A,A204,销售数据包!C:C,Base!$F$3)+SUMIFS(销售数据包!F:F,销售数据包!A:A,A204,销售数据包!C:C,Base!$F$4)</f>
        <v>0</v>
      </c>
      <c r="C204" s="56">
        <f>SUMIFS(销售数据包!K:K,销售数据包!A:A,A204,销售数据包!C:C,Base!$F$2)+SUMIFS(销售数据包!K:K,销售数据包!A:A,A204,销售数据包!C:C,Base!$F$3)+SUMIFS(销售数据包!K:K,销售数据包!A:A,A204,销售数据包!C:C,Base!$F$4)</f>
        <v>0</v>
      </c>
      <c r="D204" s="56">
        <f>SUMIFS(销售数据包!Q:Q,销售数据包!A:A,A204,销售数据包!C:C,Base!$F$2)+SUMIFS(销售数据包!Q:Q,销售数据包!A:A,A204,销售数据包!C:C,Base!$F$3)+SUMIFS(销售数据包!Q:Q,销售数据包!A:A,A204,销售数据包!C:C,Base!$F$4)</f>
        <v>0</v>
      </c>
      <c r="E204" s="57">
        <f t="shared" si="45"/>
        <v>0</v>
      </c>
      <c r="F204" s="57">
        <f t="shared" si="46"/>
        <v>0</v>
      </c>
      <c r="G204" s="56">
        <f>SUMIFS(销售数据包!O:O,销售数据包!A:A,A204)</f>
        <v>0</v>
      </c>
      <c r="H204" s="57">
        <f t="shared" si="47"/>
        <v>0</v>
      </c>
      <c r="I204" s="71">
        <f t="shared" si="48"/>
        <v>0</v>
      </c>
      <c r="J204" s="72" t="str">
        <f t="shared" si="49"/>
        <v>周1</v>
      </c>
      <c r="K204" s="73">
        <f>SUMIFS(广告数据包!H:H,广告数据包!A:A,A204,广告数据包!G:G,Base!$F$2)+SUMIFS(广告数据包!H:H,广告数据包!A:A,A204,广告数据包!G:G,Base!$F$3)+SUMIFS(广告数据包!H:H,广告数据包!A:A,A204,广告数据包!G:G,Base!$F$4)</f>
        <v>0</v>
      </c>
      <c r="L204" s="56">
        <f>SUMIFS(广告数据包!I:I,广告数据包!A:A,A204,广告数据包!G:G,Base!$F$2)+SUMIFS(广告数据包!I:I,广告数据包!A:A,A204,广告数据包!G:G,Base!$F$3)+SUMIFS(广告数据包!I:I,广告数据包!A:A,A204,广告数据包!G:G,Base!$F$4)</f>
        <v>0</v>
      </c>
      <c r="M204" s="57">
        <f t="shared" si="50"/>
        <v>0</v>
      </c>
      <c r="N204" s="74">
        <f t="shared" si="51"/>
        <v>0</v>
      </c>
      <c r="O204" s="75">
        <f>SUMIFS(广告数据包!P:P,广告数据包!A:A,A204,广告数据包!G:G,Base!$F$2)+SUMIFS(广告数据包!P:P,广告数据包!A:A,A204,广告数据包!G:G,Base!$F$3)+SUMIFS(广告数据包!P:P,广告数据包!A:A,A204,广告数据包!G:G,Base!$F$4)</f>
        <v>0</v>
      </c>
      <c r="P204" s="56">
        <f>SUMIFS(广告数据包!M:M,广告数据包!A:A,A204,广告数据包!G:G,Base!$F$2)+SUMIFS(广告数据包!M:M,广告数据包!A:A,A204,广告数据包!G:G,Base!$F$3)+SUMIFS(广告数据包!M:M,广告数据包!A:A,A204,广告数据包!G:G,Base!$F$4)</f>
        <v>0</v>
      </c>
      <c r="Q204" s="57">
        <f t="shared" si="52"/>
        <v>0</v>
      </c>
      <c r="R204" s="56">
        <f>SUMIFS(广告数据包!L:L,广告数据包!A:A,A204,广告数据包!G:G,Base!$F$2)+SUMIFS(广告数据包!L:L,广告数据包!A:A,A204,广告数据包!G:G,Base!$F$3)+SUMIFS(广告数据包!L:L,广告数据包!A:A,A204,广告数据包!G:G,Base!$F$4)</f>
        <v>0</v>
      </c>
      <c r="S204" s="86">
        <f t="shared" si="53"/>
        <v>0</v>
      </c>
    </row>
    <row r="205" ht="16.5" spans="1:19">
      <c r="A205" s="54">
        <v>44642</v>
      </c>
      <c r="B205" s="55">
        <f>SUMIFS(销售数据包!F:F,销售数据包!A:A,A205,销售数据包!C:C,Base!$F$2)+SUMIFS(销售数据包!F:F,销售数据包!A:A,A205,销售数据包!C:C,Base!$F$3)+SUMIFS(销售数据包!F:F,销售数据包!A:A,A205,销售数据包!C:C,Base!$F$4)</f>
        <v>0</v>
      </c>
      <c r="C205" s="56">
        <f>SUMIFS(销售数据包!K:K,销售数据包!A:A,A205,销售数据包!C:C,Base!$F$2)+SUMIFS(销售数据包!K:K,销售数据包!A:A,A205,销售数据包!C:C,Base!$F$3)+SUMIFS(销售数据包!K:K,销售数据包!A:A,A205,销售数据包!C:C,Base!$F$4)</f>
        <v>0</v>
      </c>
      <c r="D205" s="56">
        <f>SUMIFS(销售数据包!Q:Q,销售数据包!A:A,A205,销售数据包!C:C,Base!$F$2)+SUMIFS(销售数据包!Q:Q,销售数据包!A:A,A205,销售数据包!C:C,Base!$F$3)+SUMIFS(销售数据包!Q:Q,销售数据包!A:A,A205,销售数据包!C:C,Base!$F$4)</f>
        <v>0</v>
      </c>
      <c r="E205" s="57">
        <f t="shared" si="45"/>
        <v>0</v>
      </c>
      <c r="F205" s="57">
        <f t="shared" si="46"/>
        <v>0</v>
      </c>
      <c r="G205" s="56">
        <f>SUMIFS(销售数据包!O:O,销售数据包!A:A,A205)</f>
        <v>0</v>
      </c>
      <c r="H205" s="57">
        <f t="shared" si="47"/>
        <v>0</v>
      </c>
      <c r="I205" s="71">
        <f t="shared" si="48"/>
        <v>0</v>
      </c>
      <c r="J205" s="72" t="str">
        <f t="shared" si="49"/>
        <v>周2</v>
      </c>
      <c r="K205" s="73">
        <f>SUMIFS(广告数据包!H:H,广告数据包!A:A,A205,广告数据包!G:G,Base!$F$2)+SUMIFS(广告数据包!H:H,广告数据包!A:A,A205,广告数据包!G:G,Base!$F$3)+SUMIFS(广告数据包!H:H,广告数据包!A:A,A205,广告数据包!G:G,Base!$F$4)</f>
        <v>0</v>
      </c>
      <c r="L205" s="56">
        <f>SUMIFS(广告数据包!I:I,广告数据包!A:A,A205,广告数据包!G:G,Base!$F$2)+SUMIFS(广告数据包!I:I,广告数据包!A:A,A205,广告数据包!G:G,Base!$F$3)+SUMIFS(广告数据包!I:I,广告数据包!A:A,A205,广告数据包!G:G,Base!$F$4)</f>
        <v>0</v>
      </c>
      <c r="M205" s="57">
        <f t="shared" si="50"/>
        <v>0</v>
      </c>
      <c r="N205" s="74">
        <f t="shared" si="51"/>
        <v>0</v>
      </c>
      <c r="O205" s="75">
        <f>SUMIFS(广告数据包!P:P,广告数据包!A:A,A205,广告数据包!G:G,Base!$F$2)+SUMIFS(广告数据包!P:P,广告数据包!A:A,A205,广告数据包!G:G,Base!$F$3)+SUMIFS(广告数据包!P:P,广告数据包!A:A,A205,广告数据包!G:G,Base!$F$4)</f>
        <v>0</v>
      </c>
      <c r="P205" s="56">
        <f>SUMIFS(广告数据包!M:M,广告数据包!A:A,A205,广告数据包!G:G,Base!$F$2)+SUMIFS(广告数据包!M:M,广告数据包!A:A,A205,广告数据包!G:G,Base!$F$3)+SUMIFS(广告数据包!M:M,广告数据包!A:A,A205,广告数据包!G:G,Base!$F$4)</f>
        <v>0</v>
      </c>
      <c r="Q205" s="57">
        <f t="shared" si="52"/>
        <v>0</v>
      </c>
      <c r="R205" s="56">
        <f>SUMIFS(广告数据包!L:L,广告数据包!A:A,A205,广告数据包!G:G,Base!$F$2)+SUMIFS(广告数据包!L:L,广告数据包!A:A,A205,广告数据包!G:G,Base!$F$3)+SUMIFS(广告数据包!L:L,广告数据包!A:A,A205,广告数据包!G:G,Base!$F$4)</f>
        <v>0</v>
      </c>
      <c r="S205" s="86">
        <f t="shared" si="53"/>
        <v>0</v>
      </c>
    </row>
    <row r="206" ht="16.5" spans="1:19">
      <c r="A206" s="54">
        <v>44643</v>
      </c>
      <c r="B206" s="55">
        <f>SUMIFS(销售数据包!F:F,销售数据包!A:A,A206,销售数据包!C:C,Base!$F$2)+SUMIFS(销售数据包!F:F,销售数据包!A:A,A206,销售数据包!C:C,Base!$F$3)+SUMIFS(销售数据包!F:F,销售数据包!A:A,A206,销售数据包!C:C,Base!$F$4)</f>
        <v>0</v>
      </c>
      <c r="C206" s="56">
        <f>SUMIFS(销售数据包!K:K,销售数据包!A:A,A206,销售数据包!C:C,Base!$F$2)+SUMIFS(销售数据包!K:K,销售数据包!A:A,A206,销售数据包!C:C,Base!$F$3)+SUMIFS(销售数据包!K:K,销售数据包!A:A,A206,销售数据包!C:C,Base!$F$4)</f>
        <v>0</v>
      </c>
      <c r="D206" s="56">
        <f>SUMIFS(销售数据包!Q:Q,销售数据包!A:A,A206,销售数据包!C:C,Base!$F$2)+SUMIFS(销售数据包!Q:Q,销售数据包!A:A,A206,销售数据包!C:C,Base!$F$3)+SUMIFS(销售数据包!Q:Q,销售数据包!A:A,A206,销售数据包!C:C,Base!$F$4)</f>
        <v>0</v>
      </c>
      <c r="E206" s="57">
        <f t="shared" si="45"/>
        <v>0</v>
      </c>
      <c r="F206" s="57">
        <f t="shared" si="46"/>
        <v>0</v>
      </c>
      <c r="G206" s="56">
        <f>SUMIFS(销售数据包!O:O,销售数据包!A:A,A206)</f>
        <v>0</v>
      </c>
      <c r="H206" s="57">
        <f t="shared" si="47"/>
        <v>0</v>
      </c>
      <c r="I206" s="71">
        <f t="shared" si="48"/>
        <v>0</v>
      </c>
      <c r="J206" s="72" t="str">
        <f t="shared" si="49"/>
        <v>周3</v>
      </c>
      <c r="K206" s="73">
        <f>SUMIFS(广告数据包!H:H,广告数据包!A:A,A206,广告数据包!G:G,Base!$F$2)+SUMIFS(广告数据包!H:H,广告数据包!A:A,A206,广告数据包!G:G,Base!$F$3)+SUMIFS(广告数据包!H:H,广告数据包!A:A,A206,广告数据包!G:G,Base!$F$4)</f>
        <v>0</v>
      </c>
      <c r="L206" s="56">
        <f>SUMIFS(广告数据包!I:I,广告数据包!A:A,A206,广告数据包!G:G,Base!$F$2)+SUMIFS(广告数据包!I:I,广告数据包!A:A,A206,广告数据包!G:G,Base!$F$3)+SUMIFS(广告数据包!I:I,广告数据包!A:A,A206,广告数据包!G:G,Base!$F$4)</f>
        <v>0</v>
      </c>
      <c r="M206" s="57">
        <f t="shared" si="50"/>
        <v>0</v>
      </c>
      <c r="N206" s="74">
        <f t="shared" si="51"/>
        <v>0</v>
      </c>
      <c r="O206" s="75">
        <f>SUMIFS(广告数据包!P:P,广告数据包!A:A,A206,广告数据包!G:G,Base!$F$2)+SUMIFS(广告数据包!P:P,广告数据包!A:A,A206,广告数据包!G:G,Base!$F$3)+SUMIFS(广告数据包!P:P,广告数据包!A:A,A206,广告数据包!G:G,Base!$F$4)</f>
        <v>0</v>
      </c>
      <c r="P206" s="56">
        <f>SUMIFS(广告数据包!M:M,广告数据包!A:A,A206,广告数据包!G:G,Base!$F$2)+SUMIFS(广告数据包!M:M,广告数据包!A:A,A206,广告数据包!G:G,Base!$F$3)+SUMIFS(广告数据包!M:M,广告数据包!A:A,A206,广告数据包!G:G,Base!$F$4)</f>
        <v>0</v>
      </c>
      <c r="Q206" s="57">
        <f t="shared" si="52"/>
        <v>0</v>
      </c>
      <c r="R206" s="56">
        <f>SUMIFS(广告数据包!L:L,广告数据包!A:A,A206,广告数据包!G:G,Base!$F$2)+SUMIFS(广告数据包!L:L,广告数据包!A:A,A206,广告数据包!G:G,Base!$F$3)+SUMIFS(广告数据包!L:L,广告数据包!A:A,A206,广告数据包!G:G,Base!$F$4)</f>
        <v>0</v>
      </c>
      <c r="S206" s="86">
        <f t="shared" si="53"/>
        <v>0</v>
      </c>
    </row>
    <row r="207" ht="16.5" spans="1:19">
      <c r="A207" s="54">
        <v>44644</v>
      </c>
      <c r="B207" s="55">
        <f>SUMIFS(销售数据包!F:F,销售数据包!A:A,A207,销售数据包!C:C,Base!$F$2)+SUMIFS(销售数据包!F:F,销售数据包!A:A,A207,销售数据包!C:C,Base!$F$3)+SUMIFS(销售数据包!F:F,销售数据包!A:A,A207,销售数据包!C:C,Base!$F$4)</f>
        <v>0</v>
      </c>
      <c r="C207" s="56">
        <f>SUMIFS(销售数据包!K:K,销售数据包!A:A,A207,销售数据包!C:C,Base!$F$2)+SUMIFS(销售数据包!K:K,销售数据包!A:A,A207,销售数据包!C:C,Base!$F$3)+SUMIFS(销售数据包!K:K,销售数据包!A:A,A207,销售数据包!C:C,Base!$F$4)</f>
        <v>0</v>
      </c>
      <c r="D207" s="56">
        <f>SUMIFS(销售数据包!Q:Q,销售数据包!A:A,A207,销售数据包!C:C,Base!$F$2)+SUMIFS(销售数据包!Q:Q,销售数据包!A:A,A207,销售数据包!C:C,Base!$F$3)+SUMIFS(销售数据包!Q:Q,销售数据包!A:A,A207,销售数据包!C:C,Base!$F$4)</f>
        <v>0</v>
      </c>
      <c r="E207" s="57">
        <f t="shared" si="45"/>
        <v>0</v>
      </c>
      <c r="F207" s="57">
        <f t="shared" si="46"/>
        <v>0</v>
      </c>
      <c r="G207" s="56">
        <f>SUMIFS(销售数据包!O:O,销售数据包!A:A,A207)</f>
        <v>0</v>
      </c>
      <c r="H207" s="57">
        <f t="shared" si="47"/>
        <v>0</v>
      </c>
      <c r="I207" s="71">
        <f t="shared" si="48"/>
        <v>0</v>
      </c>
      <c r="J207" s="72" t="str">
        <f t="shared" si="49"/>
        <v>周4</v>
      </c>
      <c r="K207" s="73">
        <f>SUMIFS(广告数据包!H:H,广告数据包!A:A,A207,广告数据包!G:G,Base!$F$2)+SUMIFS(广告数据包!H:H,广告数据包!A:A,A207,广告数据包!G:G,Base!$F$3)+SUMIFS(广告数据包!H:H,广告数据包!A:A,A207,广告数据包!G:G,Base!$F$4)</f>
        <v>0</v>
      </c>
      <c r="L207" s="56">
        <f>SUMIFS(广告数据包!I:I,广告数据包!A:A,A207,广告数据包!G:G,Base!$F$2)+SUMIFS(广告数据包!I:I,广告数据包!A:A,A207,广告数据包!G:G,Base!$F$3)+SUMIFS(广告数据包!I:I,广告数据包!A:A,A207,广告数据包!G:G,Base!$F$4)</f>
        <v>0</v>
      </c>
      <c r="M207" s="57">
        <f t="shared" si="50"/>
        <v>0</v>
      </c>
      <c r="N207" s="74">
        <f t="shared" si="51"/>
        <v>0</v>
      </c>
      <c r="O207" s="75">
        <f>SUMIFS(广告数据包!P:P,广告数据包!A:A,A207,广告数据包!G:G,Base!$F$2)+SUMIFS(广告数据包!P:P,广告数据包!A:A,A207,广告数据包!G:G,Base!$F$3)+SUMIFS(广告数据包!P:P,广告数据包!A:A,A207,广告数据包!G:G,Base!$F$4)</f>
        <v>0</v>
      </c>
      <c r="P207" s="56">
        <f>SUMIFS(广告数据包!M:M,广告数据包!A:A,A207,广告数据包!G:G,Base!$F$2)+SUMIFS(广告数据包!M:M,广告数据包!A:A,A207,广告数据包!G:G,Base!$F$3)+SUMIFS(广告数据包!M:M,广告数据包!A:A,A207,广告数据包!G:G,Base!$F$4)</f>
        <v>0</v>
      </c>
      <c r="Q207" s="57">
        <f t="shared" si="52"/>
        <v>0</v>
      </c>
      <c r="R207" s="56">
        <f>SUMIFS(广告数据包!L:L,广告数据包!A:A,A207,广告数据包!G:G,Base!$F$2)+SUMIFS(广告数据包!L:L,广告数据包!A:A,A207,广告数据包!G:G,Base!$F$3)+SUMIFS(广告数据包!L:L,广告数据包!A:A,A207,广告数据包!G:G,Base!$F$4)</f>
        <v>0</v>
      </c>
      <c r="S207" s="86">
        <f t="shared" si="53"/>
        <v>0</v>
      </c>
    </row>
    <row r="208" ht="16.5" spans="1:19">
      <c r="A208" s="54">
        <v>44645</v>
      </c>
      <c r="B208" s="55">
        <f>SUMIFS(销售数据包!F:F,销售数据包!A:A,A208,销售数据包!C:C,Base!$F$2)+SUMIFS(销售数据包!F:F,销售数据包!A:A,A208,销售数据包!C:C,Base!$F$3)+SUMIFS(销售数据包!F:F,销售数据包!A:A,A208,销售数据包!C:C,Base!$F$4)</f>
        <v>0</v>
      </c>
      <c r="C208" s="56">
        <f>SUMIFS(销售数据包!K:K,销售数据包!A:A,A208,销售数据包!C:C,Base!$F$2)+SUMIFS(销售数据包!K:K,销售数据包!A:A,A208,销售数据包!C:C,Base!$F$3)+SUMIFS(销售数据包!K:K,销售数据包!A:A,A208,销售数据包!C:C,Base!$F$4)</f>
        <v>0</v>
      </c>
      <c r="D208" s="56">
        <f>SUMIFS(销售数据包!Q:Q,销售数据包!A:A,A208,销售数据包!C:C,Base!$F$2)+SUMIFS(销售数据包!Q:Q,销售数据包!A:A,A208,销售数据包!C:C,Base!$F$3)+SUMIFS(销售数据包!Q:Q,销售数据包!A:A,A208,销售数据包!C:C,Base!$F$4)</f>
        <v>0</v>
      </c>
      <c r="E208" s="57">
        <f t="shared" si="45"/>
        <v>0</v>
      </c>
      <c r="F208" s="57">
        <f t="shared" si="46"/>
        <v>0</v>
      </c>
      <c r="G208" s="56">
        <f>SUMIFS(销售数据包!O:O,销售数据包!A:A,A208)</f>
        <v>0</v>
      </c>
      <c r="H208" s="57">
        <f t="shared" si="47"/>
        <v>0</v>
      </c>
      <c r="I208" s="71">
        <f t="shared" si="48"/>
        <v>0</v>
      </c>
      <c r="J208" s="72" t="str">
        <f t="shared" si="49"/>
        <v>周5</v>
      </c>
      <c r="K208" s="73">
        <f>SUMIFS(广告数据包!H:H,广告数据包!A:A,A208,广告数据包!G:G,Base!$F$2)+SUMIFS(广告数据包!H:H,广告数据包!A:A,A208,广告数据包!G:G,Base!$F$3)+SUMIFS(广告数据包!H:H,广告数据包!A:A,A208,广告数据包!G:G,Base!$F$4)</f>
        <v>0</v>
      </c>
      <c r="L208" s="56">
        <f>SUMIFS(广告数据包!I:I,广告数据包!A:A,A208,广告数据包!G:G,Base!$F$2)+SUMIFS(广告数据包!I:I,广告数据包!A:A,A208,广告数据包!G:G,Base!$F$3)+SUMIFS(广告数据包!I:I,广告数据包!A:A,A208,广告数据包!G:G,Base!$F$4)</f>
        <v>0</v>
      </c>
      <c r="M208" s="57">
        <f t="shared" si="50"/>
        <v>0</v>
      </c>
      <c r="N208" s="74">
        <f t="shared" si="51"/>
        <v>0</v>
      </c>
      <c r="O208" s="75">
        <f>SUMIFS(广告数据包!P:P,广告数据包!A:A,A208,广告数据包!G:G,Base!$F$2)+SUMIFS(广告数据包!P:P,广告数据包!A:A,A208,广告数据包!G:G,Base!$F$3)+SUMIFS(广告数据包!P:P,广告数据包!A:A,A208,广告数据包!G:G,Base!$F$4)</f>
        <v>0</v>
      </c>
      <c r="P208" s="56">
        <f>SUMIFS(广告数据包!M:M,广告数据包!A:A,A208,广告数据包!G:G,Base!$F$2)+SUMIFS(广告数据包!M:M,广告数据包!A:A,A208,广告数据包!G:G,Base!$F$3)+SUMIFS(广告数据包!M:M,广告数据包!A:A,A208,广告数据包!G:G,Base!$F$4)</f>
        <v>0</v>
      </c>
      <c r="Q208" s="57">
        <f t="shared" si="52"/>
        <v>0</v>
      </c>
      <c r="R208" s="56">
        <f>SUMIFS(广告数据包!L:L,广告数据包!A:A,A208,广告数据包!G:G,Base!$F$2)+SUMIFS(广告数据包!L:L,广告数据包!A:A,A208,广告数据包!G:G,Base!$F$3)+SUMIFS(广告数据包!L:L,广告数据包!A:A,A208,广告数据包!G:G,Base!$F$4)</f>
        <v>0</v>
      </c>
      <c r="S208" s="86">
        <f t="shared" si="53"/>
        <v>0</v>
      </c>
    </row>
    <row r="209" ht="16.5" spans="1:19">
      <c r="A209" s="54">
        <v>44646</v>
      </c>
      <c r="B209" s="55">
        <f>SUMIFS(销售数据包!F:F,销售数据包!A:A,A209,销售数据包!C:C,Base!$F$2)+SUMIFS(销售数据包!F:F,销售数据包!A:A,A209,销售数据包!C:C,Base!$F$3)+SUMIFS(销售数据包!F:F,销售数据包!A:A,A209,销售数据包!C:C,Base!$F$4)</f>
        <v>0</v>
      </c>
      <c r="C209" s="56">
        <f>SUMIFS(销售数据包!K:K,销售数据包!A:A,A209,销售数据包!C:C,Base!$F$2)+SUMIFS(销售数据包!K:K,销售数据包!A:A,A209,销售数据包!C:C,Base!$F$3)+SUMIFS(销售数据包!K:K,销售数据包!A:A,A209,销售数据包!C:C,Base!$F$4)</f>
        <v>0</v>
      </c>
      <c r="D209" s="56">
        <f>SUMIFS(销售数据包!Q:Q,销售数据包!A:A,A209,销售数据包!C:C,Base!$F$2)+SUMIFS(销售数据包!Q:Q,销售数据包!A:A,A209,销售数据包!C:C,Base!$F$3)+SUMIFS(销售数据包!Q:Q,销售数据包!A:A,A209,销售数据包!C:C,Base!$F$4)</f>
        <v>0</v>
      </c>
      <c r="E209" s="57">
        <f t="shared" si="45"/>
        <v>0</v>
      </c>
      <c r="F209" s="57">
        <f t="shared" si="46"/>
        <v>0</v>
      </c>
      <c r="G209" s="56">
        <f>SUMIFS(销售数据包!O:O,销售数据包!A:A,A209)</f>
        <v>0</v>
      </c>
      <c r="H209" s="57">
        <f t="shared" si="47"/>
        <v>0</v>
      </c>
      <c r="I209" s="71">
        <f t="shared" si="48"/>
        <v>0</v>
      </c>
      <c r="J209" s="72" t="str">
        <f t="shared" si="49"/>
        <v>周6</v>
      </c>
      <c r="K209" s="73">
        <f>SUMIFS(广告数据包!H:H,广告数据包!A:A,A209,广告数据包!G:G,Base!$F$2)+SUMIFS(广告数据包!H:H,广告数据包!A:A,A209,广告数据包!G:G,Base!$F$3)+SUMIFS(广告数据包!H:H,广告数据包!A:A,A209,广告数据包!G:G,Base!$F$4)</f>
        <v>0</v>
      </c>
      <c r="L209" s="56">
        <f>SUMIFS(广告数据包!I:I,广告数据包!A:A,A209,广告数据包!G:G,Base!$F$2)+SUMIFS(广告数据包!I:I,广告数据包!A:A,A209,广告数据包!G:G,Base!$F$3)+SUMIFS(广告数据包!I:I,广告数据包!A:A,A209,广告数据包!G:G,Base!$F$4)</f>
        <v>0</v>
      </c>
      <c r="M209" s="57">
        <f t="shared" si="50"/>
        <v>0</v>
      </c>
      <c r="N209" s="74">
        <f t="shared" si="51"/>
        <v>0</v>
      </c>
      <c r="O209" s="75">
        <f>SUMIFS(广告数据包!P:P,广告数据包!A:A,A209,广告数据包!G:G,Base!$F$2)+SUMIFS(广告数据包!P:P,广告数据包!A:A,A209,广告数据包!G:G,Base!$F$3)+SUMIFS(广告数据包!P:P,广告数据包!A:A,A209,广告数据包!G:G,Base!$F$4)</f>
        <v>0</v>
      </c>
      <c r="P209" s="56">
        <f>SUMIFS(广告数据包!M:M,广告数据包!A:A,A209,广告数据包!G:G,Base!$F$2)+SUMIFS(广告数据包!M:M,广告数据包!A:A,A209,广告数据包!G:G,Base!$F$3)+SUMIFS(广告数据包!M:M,广告数据包!A:A,A209,广告数据包!G:G,Base!$F$4)</f>
        <v>0</v>
      </c>
      <c r="Q209" s="57">
        <f t="shared" si="52"/>
        <v>0</v>
      </c>
      <c r="R209" s="56">
        <f>SUMIFS(广告数据包!L:L,广告数据包!A:A,A209,广告数据包!G:G,Base!$F$2)+SUMIFS(广告数据包!L:L,广告数据包!A:A,A209,广告数据包!G:G,Base!$F$3)+SUMIFS(广告数据包!L:L,广告数据包!A:A,A209,广告数据包!G:G,Base!$F$4)</f>
        <v>0</v>
      </c>
      <c r="S209" s="86">
        <f t="shared" si="53"/>
        <v>0</v>
      </c>
    </row>
    <row r="210" ht="16.5" spans="1:19">
      <c r="A210" s="54">
        <v>44647</v>
      </c>
      <c r="B210" s="55">
        <f>SUMIFS(销售数据包!F:F,销售数据包!A:A,A210,销售数据包!C:C,Base!$F$2)+SUMIFS(销售数据包!F:F,销售数据包!A:A,A210,销售数据包!C:C,Base!$F$3)+SUMIFS(销售数据包!F:F,销售数据包!A:A,A210,销售数据包!C:C,Base!$F$4)</f>
        <v>0</v>
      </c>
      <c r="C210" s="56">
        <f>SUMIFS(销售数据包!K:K,销售数据包!A:A,A210,销售数据包!C:C,Base!$F$2)+SUMIFS(销售数据包!K:K,销售数据包!A:A,A210,销售数据包!C:C,Base!$F$3)+SUMIFS(销售数据包!K:K,销售数据包!A:A,A210,销售数据包!C:C,Base!$F$4)</f>
        <v>0</v>
      </c>
      <c r="D210" s="56">
        <f>SUMIFS(销售数据包!Q:Q,销售数据包!A:A,A210,销售数据包!C:C,Base!$F$2)+SUMIFS(销售数据包!Q:Q,销售数据包!A:A,A210,销售数据包!C:C,Base!$F$3)+SUMIFS(销售数据包!Q:Q,销售数据包!A:A,A210,销售数据包!C:C,Base!$F$4)</f>
        <v>0</v>
      </c>
      <c r="E210" s="57">
        <f t="shared" si="45"/>
        <v>0</v>
      </c>
      <c r="F210" s="57">
        <f t="shared" si="46"/>
        <v>0</v>
      </c>
      <c r="G210" s="56">
        <f>SUMIFS(销售数据包!O:O,销售数据包!A:A,A210)</f>
        <v>0</v>
      </c>
      <c r="H210" s="57">
        <f t="shared" si="47"/>
        <v>0</v>
      </c>
      <c r="I210" s="71">
        <f t="shared" si="48"/>
        <v>0</v>
      </c>
      <c r="J210" s="72" t="str">
        <f t="shared" si="49"/>
        <v>周7</v>
      </c>
      <c r="K210" s="73">
        <f>SUMIFS(广告数据包!H:H,广告数据包!A:A,A210,广告数据包!G:G,Base!$F$2)+SUMIFS(广告数据包!H:H,广告数据包!A:A,A210,广告数据包!G:G,Base!$F$3)+SUMIFS(广告数据包!H:H,广告数据包!A:A,A210,广告数据包!G:G,Base!$F$4)</f>
        <v>0</v>
      </c>
      <c r="L210" s="56">
        <f>SUMIFS(广告数据包!I:I,广告数据包!A:A,A210,广告数据包!G:G,Base!$F$2)+SUMIFS(广告数据包!I:I,广告数据包!A:A,A210,广告数据包!G:G,Base!$F$3)+SUMIFS(广告数据包!I:I,广告数据包!A:A,A210,广告数据包!G:G,Base!$F$4)</f>
        <v>0</v>
      </c>
      <c r="M210" s="57">
        <f t="shared" si="50"/>
        <v>0</v>
      </c>
      <c r="N210" s="74">
        <f t="shared" si="51"/>
        <v>0</v>
      </c>
      <c r="O210" s="75">
        <f>SUMIFS(广告数据包!P:P,广告数据包!A:A,A210,广告数据包!G:G,Base!$F$2)+SUMIFS(广告数据包!P:P,广告数据包!A:A,A210,广告数据包!G:G,Base!$F$3)+SUMIFS(广告数据包!P:P,广告数据包!A:A,A210,广告数据包!G:G,Base!$F$4)</f>
        <v>0</v>
      </c>
      <c r="P210" s="56">
        <f>SUMIFS(广告数据包!M:M,广告数据包!A:A,A210,广告数据包!G:G,Base!$F$2)+SUMIFS(广告数据包!M:M,广告数据包!A:A,A210,广告数据包!G:G,Base!$F$3)+SUMIFS(广告数据包!M:M,广告数据包!A:A,A210,广告数据包!G:G,Base!$F$4)</f>
        <v>0</v>
      </c>
      <c r="Q210" s="57">
        <f t="shared" si="52"/>
        <v>0</v>
      </c>
      <c r="R210" s="56">
        <f>SUMIFS(广告数据包!L:L,广告数据包!A:A,A210,广告数据包!G:G,Base!$F$2)+SUMIFS(广告数据包!L:L,广告数据包!A:A,A210,广告数据包!G:G,Base!$F$3)+SUMIFS(广告数据包!L:L,广告数据包!A:A,A210,广告数据包!G:G,Base!$F$4)</f>
        <v>0</v>
      </c>
      <c r="S210" s="86">
        <f t="shared" si="53"/>
        <v>0</v>
      </c>
    </row>
    <row r="211" ht="16.5" spans="1:19">
      <c r="A211" s="54">
        <v>44648</v>
      </c>
      <c r="B211" s="55">
        <f>SUMIFS(销售数据包!F:F,销售数据包!A:A,A211,销售数据包!C:C,Base!$F$2)+SUMIFS(销售数据包!F:F,销售数据包!A:A,A211,销售数据包!C:C,Base!$F$3)+SUMIFS(销售数据包!F:F,销售数据包!A:A,A211,销售数据包!C:C,Base!$F$4)</f>
        <v>0</v>
      </c>
      <c r="C211" s="56">
        <f>SUMIFS(销售数据包!K:K,销售数据包!A:A,A211,销售数据包!C:C,Base!$F$2)+SUMIFS(销售数据包!K:K,销售数据包!A:A,A211,销售数据包!C:C,Base!$F$3)+SUMIFS(销售数据包!K:K,销售数据包!A:A,A211,销售数据包!C:C,Base!$F$4)</f>
        <v>0</v>
      </c>
      <c r="D211" s="56">
        <f>SUMIFS(销售数据包!Q:Q,销售数据包!A:A,A211,销售数据包!C:C,Base!$F$2)+SUMIFS(销售数据包!Q:Q,销售数据包!A:A,A211,销售数据包!C:C,Base!$F$3)+SUMIFS(销售数据包!Q:Q,销售数据包!A:A,A211,销售数据包!C:C,Base!$F$4)</f>
        <v>0</v>
      </c>
      <c r="E211" s="57">
        <f t="shared" si="45"/>
        <v>0</v>
      </c>
      <c r="F211" s="57">
        <f t="shared" si="46"/>
        <v>0</v>
      </c>
      <c r="G211" s="56">
        <f>SUMIFS(销售数据包!O:O,销售数据包!A:A,A211)</f>
        <v>0</v>
      </c>
      <c r="H211" s="57">
        <f t="shared" si="47"/>
        <v>0</v>
      </c>
      <c r="I211" s="71">
        <f t="shared" si="48"/>
        <v>0</v>
      </c>
      <c r="J211" s="72" t="str">
        <f t="shared" si="49"/>
        <v>周1</v>
      </c>
      <c r="K211" s="73">
        <f>SUMIFS(广告数据包!H:H,广告数据包!A:A,A211,广告数据包!G:G,Base!$F$2)+SUMIFS(广告数据包!H:H,广告数据包!A:A,A211,广告数据包!G:G,Base!$F$3)+SUMIFS(广告数据包!H:H,广告数据包!A:A,A211,广告数据包!G:G,Base!$F$4)</f>
        <v>0</v>
      </c>
      <c r="L211" s="56">
        <f>SUMIFS(广告数据包!I:I,广告数据包!A:A,A211,广告数据包!G:G,Base!$F$2)+SUMIFS(广告数据包!I:I,广告数据包!A:A,A211,广告数据包!G:G,Base!$F$3)+SUMIFS(广告数据包!I:I,广告数据包!A:A,A211,广告数据包!G:G,Base!$F$4)</f>
        <v>0</v>
      </c>
      <c r="M211" s="57">
        <f t="shared" si="50"/>
        <v>0</v>
      </c>
      <c r="N211" s="74">
        <f t="shared" si="51"/>
        <v>0</v>
      </c>
      <c r="O211" s="75">
        <f>SUMIFS(广告数据包!P:P,广告数据包!A:A,A211,广告数据包!G:G,Base!$F$2)+SUMIFS(广告数据包!P:P,广告数据包!A:A,A211,广告数据包!G:G,Base!$F$3)+SUMIFS(广告数据包!P:P,广告数据包!A:A,A211,广告数据包!G:G,Base!$F$4)</f>
        <v>0</v>
      </c>
      <c r="P211" s="56">
        <f>SUMIFS(广告数据包!M:M,广告数据包!A:A,A211,广告数据包!G:G,Base!$F$2)+SUMIFS(广告数据包!M:M,广告数据包!A:A,A211,广告数据包!G:G,Base!$F$3)+SUMIFS(广告数据包!M:M,广告数据包!A:A,A211,广告数据包!G:G,Base!$F$4)</f>
        <v>0</v>
      </c>
      <c r="Q211" s="57">
        <f t="shared" si="52"/>
        <v>0</v>
      </c>
      <c r="R211" s="56">
        <f>SUMIFS(广告数据包!L:L,广告数据包!A:A,A211,广告数据包!G:G,Base!$F$2)+SUMIFS(广告数据包!L:L,广告数据包!A:A,A211,广告数据包!G:G,Base!$F$3)+SUMIFS(广告数据包!L:L,广告数据包!A:A,A211,广告数据包!G:G,Base!$F$4)</f>
        <v>0</v>
      </c>
      <c r="S211" s="86">
        <f t="shared" si="53"/>
        <v>0</v>
      </c>
    </row>
    <row r="212" ht="16.5" spans="1:19">
      <c r="A212" s="54">
        <v>44649</v>
      </c>
      <c r="B212" s="55">
        <f>SUMIFS(销售数据包!F:F,销售数据包!A:A,A212,销售数据包!C:C,Base!$F$2)+SUMIFS(销售数据包!F:F,销售数据包!A:A,A212,销售数据包!C:C,Base!$F$3)+SUMIFS(销售数据包!F:F,销售数据包!A:A,A212,销售数据包!C:C,Base!$F$4)</f>
        <v>0</v>
      </c>
      <c r="C212" s="56">
        <f>SUMIFS(销售数据包!K:K,销售数据包!A:A,A212,销售数据包!C:C,Base!$F$2)+SUMIFS(销售数据包!K:K,销售数据包!A:A,A212,销售数据包!C:C,Base!$F$3)+SUMIFS(销售数据包!K:K,销售数据包!A:A,A212,销售数据包!C:C,Base!$F$4)</f>
        <v>0</v>
      </c>
      <c r="D212" s="56">
        <f>SUMIFS(销售数据包!Q:Q,销售数据包!A:A,A212,销售数据包!C:C,Base!$F$2)+SUMIFS(销售数据包!Q:Q,销售数据包!A:A,A212,销售数据包!C:C,Base!$F$3)+SUMIFS(销售数据包!Q:Q,销售数据包!A:A,A212,销售数据包!C:C,Base!$F$4)</f>
        <v>0</v>
      </c>
      <c r="E212" s="57">
        <f t="shared" si="45"/>
        <v>0</v>
      </c>
      <c r="F212" s="57">
        <f t="shared" si="46"/>
        <v>0</v>
      </c>
      <c r="G212" s="56">
        <f>SUMIFS(销售数据包!O:O,销售数据包!A:A,A212)</f>
        <v>0</v>
      </c>
      <c r="H212" s="57">
        <f t="shared" si="47"/>
        <v>0</v>
      </c>
      <c r="I212" s="71">
        <f t="shared" si="48"/>
        <v>0</v>
      </c>
      <c r="J212" s="72" t="str">
        <f t="shared" si="49"/>
        <v>周2</v>
      </c>
      <c r="K212" s="73">
        <f>SUMIFS(广告数据包!H:H,广告数据包!A:A,A212,广告数据包!G:G,Base!$F$2)+SUMIFS(广告数据包!H:H,广告数据包!A:A,A212,广告数据包!G:G,Base!$F$3)+SUMIFS(广告数据包!H:H,广告数据包!A:A,A212,广告数据包!G:G,Base!$F$4)</f>
        <v>0</v>
      </c>
      <c r="L212" s="56">
        <f>SUMIFS(广告数据包!I:I,广告数据包!A:A,A212,广告数据包!G:G,Base!$F$2)+SUMIFS(广告数据包!I:I,广告数据包!A:A,A212,广告数据包!G:G,Base!$F$3)+SUMIFS(广告数据包!I:I,广告数据包!A:A,A212,广告数据包!G:G,Base!$F$4)</f>
        <v>0</v>
      </c>
      <c r="M212" s="57">
        <f t="shared" si="50"/>
        <v>0</v>
      </c>
      <c r="N212" s="74">
        <f t="shared" si="51"/>
        <v>0</v>
      </c>
      <c r="O212" s="75">
        <f>SUMIFS(广告数据包!P:P,广告数据包!A:A,A212,广告数据包!G:G,Base!$F$2)+SUMIFS(广告数据包!P:P,广告数据包!A:A,A212,广告数据包!G:G,Base!$F$3)+SUMIFS(广告数据包!P:P,广告数据包!A:A,A212,广告数据包!G:G,Base!$F$4)</f>
        <v>0</v>
      </c>
      <c r="P212" s="56">
        <f>SUMIFS(广告数据包!M:M,广告数据包!A:A,A212,广告数据包!G:G,Base!$F$2)+SUMIFS(广告数据包!M:M,广告数据包!A:A,A212,广告数据包!G:G,Base!$F$3)+SUMIFS(广告数据包!M:M,广告数据包!A:A,A212,广告数据包!G:G,Base!$F$4)</f>
        <v>0</v>
      </c>
      <c r="Q212" s="57">
        <f t="shared" si="52"/>
        <v>0</v>
      </c>
      <c r="R212" s="56">
        <f>SUMIFS(广告数据包!L:L,广告数据包!A:A,A212,广告数据包!G:G,Base!$F$2)+SUMIFS(广告数据包!L:L,广告数据包!A:A,A212,广告数据包!G:G,Base!$F$3)+SUMIFS(广告数据包!L:L,广告数据包!A:A,A212,广告数据包!G:G,Base!$F$4)</f>
        <v>0</v>
      </c>
      <c r="S212" s="86">
        <f t="shared" si="53"/>
        <v>0</v>
      </c>
    </row>
    <row r="213" ht="16.5" spans="1:19">
      <c r="A213" s="54">
        <v>44650</v>
      </c>
      <c r="B213" s="55">
        <f>SUMIFS(销售数据包!F:F,销售数据包!A:A,A213,销售数据包!C:C,Base!$F$2)+SUMIFS(销售数据包!F:F,销售数据包!A:A,A213,销售数据包!C:C,Base!$F$3)+SUMIFS(销售数据包!F:F,销售数据包!A:A,A213,销售数据包!C:C,Base!$F$4)</f>
        <v>0</v>
      </c>
      <c r="C213" s="56">
        <f>SUMIFS(销售数据包!K:K,销售数据包!A:A,A213,销售数据包!C:C,Base!$F$2)+SUMIFS(销售数据包!K:K,销售数据包!A:A,A213,销售数据包!C:C,Base!$F$3)+SUMIFS(销售数据包!K:K,销售数据包!A:A,A213,销售数据包!C:C,Base!$F$4)</f>
        <v>0</v>
      </c>
      <c r="D213" s="56">
        <f>SUMIFS(销售数据包!Q:Q,销售数据包!A:A,A213,销售数据包!C:C,Base!$F$2)+SUMIFS(销售数据包!Q:Q,销售数据包!A:A,A213,销售数据包!C:C,Base!$F$3)+SUMIFS(销售数据包!Q:Q,销售数据包!A:A,A213,销售数据包!C:C,Base!$F$4)</f>
        <v>0</v>
      </c>
      <c r="E213" s="57">
        <f t="shared" si="45"/>
        <v>0</v>
      </c>
      <c r="F213" s="57">
        <f t="shared" si="46"/>
        <v>0</v>
      </c>
      <c r="G213" s="56">
        <f>SUMIFS(销售数据包!O:O,销售数据包!A:A,A213)</f>
        <v>0</v>
      </c>
      <c r="H213" s="57">
        <f t="shared" si="47"/>
        <v>0</v>
      </c>
      <c r="I213" s="71">
        <f t="shared" si="48"/>
        <v>0</v>
      </c>
      <c r="J213" s="72" t="str">
        <f t="shared" si="49"/>
        <v>周3</v>
      </c>
      <c r="K213" s="73">
        <f>SUMIFS(广告数据包!H:H,广告数据包!A:A,A213,广告数据包!G:G,Base!$F$2)+SUMIFS(广告数据包!H:H,广告数据包!A:A,A213,广告数据包!G:G,Base!$F$3)+SUMIFS(广告数据包!H:H,广告数据包!A:A,A213,广告数据包!G:G,Base!$F$4)</f>
        <v>0</v>
      </c>
      <c r="L213" s="56">
        <f>SUMIFS(广告数据包!I:I,广告数据包!A:A,A213,广告数据包!G:G,Base!$F$2)+SUMIFS(广告数据包!I:I,广告数据包!A:A,A213,广告数据包!G:G,Base!$F$3)+SUMIFS(广告数据包!I:I,广告数据包!A:A,A213,广告数据包!G:G,Base!$F$4)</f>
        <v>0</v>
      </c>
      <c r="M213" s="57">
        <f t="shared" si="50"/>
        <v>0</v>
      </c>
      <c r="N213" s="74">
        <f t="shared" si="51"/>
        <v>0</v>
      </c>
      <c r="O213" s="75">
        <f>SUMIFS(广告数据包!P:P,广告数据包!A:A,A213,广告数据包!G:G,Base!$F$2)+SUMIFS(广告数据包!P:P,广告数据包!A:A,A213,广告数据包!G:G,Base!$F$3)+SUMIFS(广告数据包!P:P,广告数据包!A:A,A213,广告数据包!G:G,Base!$F$4)</f>
        <v>0</v>
      </c>
      <c r="P213" s="56">
        <f>SUMIFS(广告数据包!M:M,广告数据包!A:A,A213,广告数据包!G:G,Base!$F$2)+SUMIFS(广告数据包!M:M,广告数据包!A:A,A213,广告数据包!G:G,Base!$F$3)+SUMIFS(广告数据包!M:M,广告数据包!A:A,A213,广告数据包!G:G,Base!$F$4)</f>
        <v>0</v>
      </c>
      <c r="Q213" s="57">
        <f t="shared" si="52"/>
        <v>0</v>
      </c>
      <c r="R213" s="56">
        <f>SUMIFS(广告数据包!L:L,广告数据包!A:A,A213,广告数据包!G:G,Base!$F$2)+SUMIFS(广告数据包!L:L,广告数据包!A:A,A213,广告数据包!G:G,Base!$F$3)+SUMIFS(广告数据包!L:L,广告数据包!A:A,A213,广告数据包!G:G,Base!$F$4)</f>
        <v>0</v>
      </c>
      <c r="S213" s="86">
        <f t="shared" si="53"/>
        <v>0</v>
      </c>
    </row>
    <row r="214" ht="16.5" spans="1:19">
      <c r="A214" s="54">
        <v>44651</v>
      </c>
      <c r="B214" s="55">
        <f>SUMIFS(销售数据包!F:F,销售数据包!A:A,A214,销售数据包!C:C,Base!$F$2)+SUMIFS(销售数据包!F:F,销售数据包!A:A,A214,销售数据包!C:C,Base!$F$3)+SUMIFS(销售数据包!F:F,销售数据包!A:A,A214,销售数据包!C:C,Base!$F$4)</f>
        <v>0</v>
      </c>
      <c r="C214" s="56">
        <f>SUMIFS(销售数据包!K:K,销售数据包!A:A,A214,销售数据包!C:C,Base!$F$2)+SUMIFS(销售数据包!K:K,销售数据包!A:A,A214,销售数据包!C:C,Base!$F$3)+SUMIFS(销售数据包!K:K,销售数据包!A:A,A214,销售数据包!C:C,Base!$F$4)</f>
        <v>0</v>
      </c>
      <c r="D214" s="56">
        <f>SUMIFS(销售数据包!Q:Q,销售数据包!A:A,A214,销售数据包!C:C,Base!$F$2)+SUMIFS(销售数据包!Q:Q,销售数据包!A:A,A214,销售数据包!C:C,Base!$F$3)+SUMIFS(销售数据包!Q:Q,销售数据包!A:A,A214,销售数据包!C:C,Base!$F$4)</f>
        <v>0</v>
      </c>
      <c r="E214" s="57">
        <f t="shared" si="45"/>
        <v>0</v>
      </c>
      <c r="F214" s="57">
        <f t="shared" si="46"/>
        <v>0</v>
      </c>
      <c r="G214" s="56">
        <f>SUMIFS(销售数据包!O:O,销售数据包!A:A,A214)</f>
        <v>0</v>
      </c>
      <c r="H214" s="57">
        <f t="shared" si="47"/>
        <v>0</v>
      </c>
      <c r="I214" s="71">
        <f t="shared" si="48"/>
        <v>0</v>
      </c>
      <c r="J214" s="72" t="str">
        <f t="shared" si="49"/>
        <v>周4</v>
      </c>
      <c r="K214" s="73">
        <f>SUMIFS(广告数据包!H:H,广告数据包!A:A,A214,广告数据包!G:G,Base!$F$2)+SUMIFS(广告数据包!H:H,广告数据包!A:A,A214,广告数据包!G:G,Base!$F$3)+SUMIFS(广告数据包!H:H,广告数据包!A:A,A214,广告数据包!G:G,Base!$F$4)</f>
        <v>0</v>
      </c>
      <c r="L214" s="56">
        <f>SUMIFS(广告数据包!I:I,广告数据包!A:A,A214,广告数据包!G:G,Base!$F$2)+SUMIFS(广告数据包!I:I,广告数据包!A:A,A214,广告数据包!G:G,Base!$F$3)+SUMIFS(广告数据包!I:I,广告数据包!A:A,A214,广告数据包!G:G,Base!$F$4)</f>
        <v>0</v>
      </c>
      <c r="M214" s="57">
        <f t="shared" si="50"/>
        <v>0</v>
      </c>
      <c r="N214" s="74">
        <f t="shared" si="51"/>
        <v>0</v>
      </c>
      <c r="O214" s="75">
        <f>SUMIFS(广告数据包!P:P,广告数据包!A:A,A214,广告数据包!G:G,Base!$F$2)+SUMIFS(广告数据包!P:P,广告数据包!A:A,A214,广告数据包!G:G,Base!$F$3)+SUMIFS(广告数据包!P:P,广告数据包!A:A,A214,广告数据包!G:G,Base!$F$4)</f>
        <v>0</v>
      </c>
      <c r="P214" s="56">
        <f>SUMIFS(广告数据包!M:M,广告数据包!A:A,A214,广告数据包!G:G,Base!$F$2)+SUMIFS(广告数据包!M:M,广告数据包!A:A,A214,广告数据包!G:G,Base!$F$3)+SUMIFS(广告数据包!M:M,广告数据包!A:A,A214,广告数据包!G:G,Base!$F$4)</f>
        <v>0</v>
      </c>
      <c r="Q214" s="57">
        <f t="shared" si="52"/>
        <v>0</v>
      </c>
      <c r="R214" s="56">
        <f>SUMIFS(广告数据包!L:L,广告数据包!A:A,A214,广告数据包!G:G,Base!$F$2)+SUMIFS(广告数据包!L:L,广告数据包!A:A,A214,广告数据包!G:G,Base!$F$3)+SUMIFS(广告数据包!L:L,广告数据包!A:A,A214,广告数据包!G:G,Base!$F$4)</f>
        <v>0</v>
      </c>
      <c r="S214" s="86">
        <f t="shared" si="53"/>
        <v>0</v>
      </c>
    </row>
    <row r="215" ht="16.5" spans="1:19">
      <c r="A215" s="54">
        <v>44652</v>
      </c>
      <c r="B215" s="55">
        <f>SUMIFS(销售数据包!F:F,销售数据包!A:A,A215,销售数据包!C:C,Base!$F$2)+SUMIFS(销售数据包!F:F,销售数据包!A:A,A215,销售数据包!C:C,Base!$F$3)+SUMIFS(销售数据包!F:F,销售数据包!A:A,A215,销售数据包!C:C,Base!$F$4)</f>
        <v>0</v>
      </c>
      <c r="C215" s="56">
        <f>SUMIFS(销售数据包!K:K,销售数据包!A:A,A215,销售数据包!C:C,Base!$F$2)+SUMIFS(销售数据包!K:K,销售数据包!A:A,A215,销售数据包!C:C,Base!$F$3)+SUMIFS(销售数据包!K:K,销售数据包!A:A,A215,销售数据包!C:C,Base!$F$4)</f>
        <v>0</v>
      </c>
      <c r="D215" s="56">
        <f>SUMIFS(销售数据包!Q:Q,销售数据包!A:A,A215,销售数据包!C:C,Base!$F$2)+SUMIFS(销售数据包!Q:Q,销售数据包!A:A,A215,销售数据包!C:C,Base!$F$3)+SUMIFS(销售数据包!Q:Q,销售数据包!A:A,A215,销售数据包!C:C,Base!$F$4)</f>
        <v>0</v>
      </c>
      <c r="E215" s="57">
        <f t="shared" si="45"/>
        <v>0</v>
      </c>
      <c r="F215" s="57">
        <f t="shared" si="46"/>
        <v>0</v>
      </c>
      <c r="G215" s="56">
        <f>SUMIFS(销售数据包!O:O,销售数据包!A:A,A215)</f>
        <v>0</v>
      </c>
      <c r="H215" s="57">
        <f t="shared" si="47"/>
        <v>0</v>
      </c>
      <c r="I215" s="71">
        <f t="shared" si="48"/>
        <v>0</v>
      </c>
      <c r="J215" s="72" t="str">
        <f t="shared" si="49"/>
        <v>周5</v>
      </c>
      <c r="K215" s="73">
        <f>SUMIFS(广告数据包!H:H,广告数据包!A:A,A215,广告数据包!G:G,Base!$F$2)+SUMIFS(广告数据包!H:H,广告数据包!A:A,A215,广告数据包!G:G,Base!$F$3)+SUMIFS(广告数据包!H:H,广告数据包!A:A,A215,广告数据包!G:G,Base!$F$4)</f>
        <v>0</v>
      </c>
      <c r="L215" s="56">
        <f>SUMIFS(广告数据包!I:I,广告数据包!A:A,A215,广告数据包!G:G,Base!$F$2)+SUMIFS(广告数据包!I:I,广告数据包!A:A,A215,广告数据包!G:G,Base!$F$3)+SUMIFS(广告数据包!I:I,广告数据包!A:A,A215,广告数据包!G:G,Base!$F$4)</f>
        <v>0</v>
      </c>
      <c r="M215" s="57">
        <f t="shared" si="50"/>
        <v>0</v>
      </c>
      <c r="N215" s="74">
        <f t="shared" si="51"/>
        <v>0</v>
      </c>
      <c r="O215" s="75">
        <f>SUMIFS(广告数据包!P:P,广告数据包!A:A,A215,广告数据包!G:G,Base!$F$2)+SUMIFS(广告数据包!P:P,广告数据包!A:A,A215,广告数据包!G:G,Base!$F$3)+SUMIFS(广告数据包!P:P,广告数据包!A:A,A215,广告数据包!G:G,Base!$F$4)</f>
        <v>0</v>
      </c>
      <c r="P215" s="56">
        <f>SUMIFS(广告数据包!M:M,广告数据包!A:A,A215,广告数据包!G:G,Base!$F$2)+SUMIFS(广告数据包!M:M,广告数据包!A:A,A215,广告数据包!G:G,Base!$F$3)+SUMIFS(广告数据包!M:M,广告数据包!A:A,A215,广告数据包!G:G,Base!$F$4)</f>
        <v>0</v>
      </c>
      <c r="Q215" s="57">
        <f t="shared" si="52"/>
        <v>0</v>
      </c>
      <c r="R215" s="56">
        <f>SUMIFS(广告数据包!L:L,广告数据包!A:A,A215,广告数据包!G:G,Base!$F$2)+SUMIFS(广告数据包!L:L,广告数据包!A:A,A215,广告数据包!G:G,Base!$F$3)+SUMIFS(广告数据包!L:L,广告数据包!A:A,A215,广告数据包!G:G,Base!$F$4)</f>
        <v>0</v>
      </c>
      <c r="S215" s="86">
        <f t="shared" si="53"/>
        <v>0</v>
      </c>
    </row>
    <row r="216" ht="16.5" spans="1:19">
      <c r="A216" s="54">
        <v>44653</v>
      </c>
      <c r="B216" s="55">
        <f>SUMIFS(销售数据包!F:F,销售数据包!A:A,A216,销售数据包!C:C,Base!$F$2)+SUMIFS(销售数据包!F:F,销售数据包!A:A,A216,销售数据包!C:C,Base!$F$3)+SUMIFS(销售数据包!F:F,销售数据包!A:A,A216,销售数据包!C:C,Base!$F$4)</f>
        <v>0</v>
      </c>
      <c r="C216" s="56">
        <f>SUMIFS(销售数据包!K:K,销售数据包!A:A,A216,销售数据包!C:C,Base!$F$2)+SUMIFS(销售数据包!K:K,销售数据包!A:A,A216,销售数据包!C:C,Base!$F$3)+SUMIFS(销售数据包!K:K,销售数据包!A:A,A216,销售数据包!C:C,Base!$F$4)</f>
        <v>0</v>
      </c>
      <c r="D216" s="56">
        <f>SUMIFS(销售数据包!Q:Q,销售数据包!A:A,A216,销售数据包!C:C,Base!$F$2)+SUMIFS(销售数据包!Q:Q,销售数据包!A:A,A216,销售数据包!C:C,Base!$F$3)+SUMIFS(销售数据包!Q:Q,销售数据包!A:A,A216,销售数据包!C:C,Base!$F$4)</f>
        <v>0</v>
      </c>
      <c r="E216" s="57">
        <f t="shared" ref="E216:E247" si="54">IFERROR(D216/B216,0)</f>
        <v>0</v>
      </c>
      <c r="F216" s="57">
        <f t="shared" ref="F216:F247" si="55">IFERROR(C216/B216,0)</f>
        <v>0</v>
      </c>
      <c r="G216" s="56">
        <f>SUMIFS(销售数据包!O:O,销售数据包!A:A,A216)</f>
        <v>0</v>
      </c>
      <c r="H216" s="57">
        <f t="shared" ref="H216:H247" si="56">IFERROR(R216/G216,0)</f>
        <v>0</v>
      </c>
      <c r="I216" s="71">
        <f t="shared" ref="I216:I247" si="57">IFERROR(P216/G216,0)</f>
        <v>0</v>
      </c>
      <c r="J216" s="72" t="str">
        <f t="shared" ref="J216:J247" si="58">"周"&amp;WEEKDAY(A216,2)</f>
        <v>周6</v>
      </c>
      <c r="K216" s="73">
        <f>SUMIFS(广告数据包!H:H,广告数据包!A:A,A216,广告数据包!G:G,Base!$F$2)+SUMIFS(广告数据包!H:H,广告数据包!A:A,A216,广告数据包!G:G,Base!$F$3)+SUMIFS(广告数据包!H:H,广告数据包!A:A,A216,广告数据包!G:G,Base!$F$4)</f>
        <v>0</v>
      </c>
      <c r="L216" s="56">
        <f>SUMIFS(广告数据包!I:I,广告数据包!A:A,A216,广告数据包!G:G,Base!$F$2)+SUMIFS(广告数据包!I:I,广告数据包!A:A,A216,广告数据包!G:G,Base!$F$3)+SUMIFS(广告数据包!I:I,广告数据包!A:A,A216,广告数据包!G:G,Base!$F$4)</f>
        <v>0</v>
      </c>
      <c r="M216" s="57">
        <f t="shared" ref="M216:M247" si="59">IFERROR(L216/K216,0)</f>
        <v>0</v>
      </c>
      <c r="N216" s="74">
        <f t="shared" ref="N216:N247" si="60">IFERROR(R216/L216,0)</f>
        <v>0</v>
      </c>
      <c r="O216" s="75">
        <f>SUMIFS(广告数据包!P:P,广告数据包!A:A,A216,广告数据包!G:G,Base!$F$2)+SUMIFS(广告数据包!P:P,广告数据包!A:A,A216,广告数据包!G:G,Base!$F$3)+SUMIFS(广告数据包!P:P,广告数据包!A:A,A216,广告数据包!G:G,Base!$F$4)</f>
        <v>0</v>
      </c>
      <c r="P216" s="56">
        <f>SUMIFS(广告数据包!M:M,广告数据包!A:A,A216,广告数据包!G:G,Base!$F$2)+SUMIFS(广告数据包!M:M,广告数据包!A:A,A216,广告数据包!G:G,Base!$F$3)+SUMIFS(广告数据包!M:M,广告数据包!A:A,A216,广告数据包!G:G,Base!$F$4)</f>
        <v>0</v>
      </c>
      <c r="Q216" s="57">
        <f t="shared" ref="Q216:Q247" si="61">IFERROR(O216/L216,0)</f>
        <v>0</v>
      </c>
      <c r="R216" s="56">
        <f>SUMIFS(广告数据包!L:L,广告数据包!A:A,A216,广告数据包!G:G,Base!$F$2)+SUMIFS(广告数据包!L:L,广告数据包!A:A,A216,广告数据包!G:G,Base!$F$3)+SUMIFS(广告数据包!L:L,广告数据包!A:A,A216,广告数据包!G:G,Base!$F$4)</f>
        <v>0</v>
      </c>
      <c r="S216" s="86">
        <f t="shared" ref="S216:S247" si="62">IFERROR(R216/P216,0)</f>
        <v>0</v>
      </c>
    </row>
    <row r="217" ht="16.5" spans="1:19">
      <c r="A217" s="54">
        <v>44654</v>
      </c>
      <c r="B217" s="55">
        <f>SUMIFS(销售数据包!F:F,销售数据包!A:A,A217,销售数据包!C:C,Base!$F$2)+SUMIFS(销售数据包!F:F,销售数据包!A:A,A217,销售数据包!C:C,Base!$F$3)+SUMIFS(销售数据包!F:F,销售数据包!A:A,A217,销售数据包!C:C,Base!$F$4)</f>
        <v>0</v>
      </c>
      <c r="C217" s="56">
        <f>SUMIFS(销售数据包!K:K,销售数据包!A:A,A217,销售数据包!C:C,Base!$F$2)+SUMIFS(销售数据包!K:K,销售数据包!A:A,A217,销售数据包!C:C,Base!$F$3)+SUMIFS(销售数据包!K:K,销售数据包!A:A,A217,销售数据包!C:C,Base!$F$4)</f>
        <v>0</v>
      </c>
      <c r="D217" s="56">
        <f>SUMIFS(销售数据包!Q:Q,销售数据包!A:A,A217,销售数据包!C:C,Base!$F$2)+SUMIFS(销售数据包!Q:Q,销售数据包!A:A,A217,销售数据包!C:C,Base!$F$3)+SUMIFS(销售数据包!Q:Q,销售数据包!A:A,A217,销售数据包!C:C,Base!$F$4)</f>
        <v>0</v>
      </c>
      <c r="E217" s="57">
        <f t="shared" si="54"/>
        <v>0</v>
      </c>
      <c r="F217" s="57">
        <f t="shared" si="55"/>
        <v>0</v>
      </c>
      <c r="G217" s="56">
        <f>SUMIFS(销售数据包!O:O,销售数据包!A:A,A217)</f>
        <v>0</v>
      </c>
      <c r="H217" s="57">
        <f t="shared" si="56"/>
        <v>0</v>
      </c>
      <c r="I217" s="71">
        <f t="shared" si="57"/>
        <v>0</v>
      </c>
      <c r="J217" s="72" t="str">
        <f t="shared" si="58"/>
        <v>周7</v>
      </c>
      <c r="K217" s="73">
        <f>SUMIFS(广告数据包!H:H,广告数据包!A:A,A217,广告数据包!G:G,Base!$F$2)+SUMIFS(广告数据包!H:H,广告数据包!A:A,A217,广告数据包!G:G,Base!$F$3)+SUMIFS(广告数据包!H:H,广告数据包!A:A,A217,广告数据包!G:G,Base!$F$4)</f>
        <v>0</v>
      </c>
      <c r="L217" s="56">
        <f>SUMIFS(广告数据包!I:I,广告数据包!A:A,A217,广告数据包!G:G,Base!$F$2)+SUMIFS(广告数据包!I:I,广告数据包!A:A,A217,广告数据包!G:G,Base!$F$3)+SUMIFS(广告数据包!I:I,广告数据包!A:A,A217,广告数据包!G:G,Base!$F$4)</f>
        <v>0</v>
      </c>
      <c r="M217" s="57">
        <f t="shared" si="59"/>
        <v>0</v>
      </c>
      <c r="N217" s="74">
        <f t="shared" si="60"/>
        <v>0</v>
      </c>
      <c r="O217" s="75">
        <f>SUMIFS(广告数据包!P:P,广告数据包!A:A,A217,广告数据包!G:G,Base!$F$2)+SUMIFS(广告数据包!P:P,广告数据包!A:A,A217,广告数据包!G:G,Base!$F$3)+SUMIFS(广告数据包!P:P,广告数据包!A:A,A217,广告数据包!G:G,Base!$F$4)</f>
        <v>0</v>
      </c>
      <c r="P217" s="56">
        <f>SUMIFS(广告数据包!M:M,广告数据包!A:A,A217,广告数据包!G:G,Base!$F$2)+SUMIFS(广告数据包!M:M,广告数据包!A:A,A217,广告数据包!G:G,Base!$F$3)+SUMIFS(广告数据包!M:M,广告数据包!A:A,A217,广告数据包!G:G,Base!$F$4)</f>
        <v>0</v>
      </c>
      <c r="Q217" s="57">
        <f t="shared" si="61"/>
        <v>0</v>
      </c>
      <c r="R217" s="56">
        <f>SUMIFS(广告数据包!L:L,广告数据包!A:A,A217,广告数据包!G:G,Base!$F$2)+SUMIFS(广告数据包!L:L,广告数据包!A:A,A217,广告数据包!G:G,Base!$F$3)+SUMIFS(广告数据包!L:L,广告数据包!A:A,A217,广告数据包!G:G,Base!$F$4)</f>
        <v>0</v>
      </c>
      <c r="S217" s="86">
        <f t="shared" si="62"/>
        <v>0</v>
      </c>
    </row>
    <row r="218" ht="16.5" spans="1:19">
      <c r="A218" s="54">
        <v>44655</v>
      </c>
      <c r="B218" s="55">
        <f>SUMIFS(销售数据包!F:F,销售数据包!A:A,A218,销售数据包!C:C,Base!$F$2)+SUMIFS(销售数据包!F:F,销售数据包!A:A,A218,销售数据包!C:C,Base!$F$3)+SUMIFS(销售数据包!F:F,销售数据包!A:A,A218,销售数据包!C:C,Base!$F$4)</f>
        <v>0</v>
      </c>
      <c r="C218" s="56">
        <f>SUMIFS(销售数据包!K:K,销售数据包!A:A,A218,销售数据包!C:C,Base!$F$2)+SUMIFS(销售数据包!K:K,销售数据包!A:A,A218,销售数据包!C:C,Base!$F$3)+SUMIFS(销售数据包!K:K,销售数据包!A:A,A218,销售数据包!C:C,Base!$F$4)</f>
        <v>0</v>
      </c>
      <c r="D218" s="56">
        <f>SUMIFS(销售数据包!Q:Q,销售数据包!A:A,A218,销售数据包!C:C,Base!$F$2)+SUMIFS(销售数据包!Q:Q,销售数据包!A:A,A218,销售数据包!C:C,Base!$F$3)+SUMIFS(销售数据包!Q:Q,销售数据包!A:A,A218,销售数据包!C:C,Base!$F$4)</f>
        <v>0</v>
      </c>
      <c r="E218" s="57">
        <f t="shared" si="54"/>
        <v>0</v>
      </c>
      <c r="F218" s="57">
        <f t="shared" si="55"/>
        <v>0</v>
      </c>
      <c r="G218" s="56">
        <f>SUMIFS(销售数据包!O:O,销售数据包!A:A,A218)</f>
        <v>0</v>
      </c>
      <c r="H218" s="57">
        <f t="shared" si="56"/>
        <v>0</v>
      </c>
      <c r="I218" s="71">
        <f t="shared" si="57"/>
        <v>0</v>
      </c>
      <c r="J218" s="72" t="str">
        <f t="shared" si="58"/>
        <v>周1</v>
      </c>
      <c r="K218" s="73">
        <f>SUMIFS(广告数据包!H:H,广告数据包!A:A,A218,广告数据包!G:G,Base!$F$2)+SUMIFS(广告数据包!H:H,广告数据包!A:A,A218,广告数据包!G:G,Base!$F$3)+SUMIFS(广告数据包!H:H,广告数据包!A:A,A218,广告数据包!G:G,Base!$F$4)</f>
        <v>0</v>
      </c>
      <c r="L218" s="56">
        <f>SUMIFS(广告数据包!I:I,广告数据包!A:A,A218,广告数据包!G:G,Base!$F$2)+SUMIFS(广告数据包!I:I,广告数据包!A:A,A218,广告数据包!G:G,Base!$F$3)+SUMIFS(广告数据包!I:I,广告数据包!A:A,A218,广告数据包!G:G,Base!$F$4)</f>
        <v>0</v>
      </c>
      <c r="M218" s="57">
        <f t="shared" si="59"/>
        <v>0</v>
      </c>
      <c r="N218" s="74">
        <f t="shared" si="60"/>
        <v>0</v>
      </c>
      <c r="O218" s="75">
        <f>SUMIFS(广告数据包!P:P,广告数据包!A:A,A218,广告数据包!G:G,Base!$F$2)+SUMIFS(广告数据包!P:P,广告数据包!A:A,A218,广告数据包!G:G,Base!$F$3)+SUMIFS(广告数据包!P:P,广告数据包!A:A,A218,广告数据包!G:G,Base!$F$4)</f>
        <v>0</v>
      </c>
      <c r="P218" s="56">
        <f>SUMIFS(广告数据包!M:M,广告数据包!A:A,A218,广告数据包!G:G,Base!$F$2)+SUMIFS(广告数据包!M:M,广告数据包!A:A,A218,广告数据包!G:G,Base!$F$3)+SUMIFS(广告数据包!M:M,广告数据包!A:A,A218,广告数据包!G:G,Base!$F$4)</f>
        <v>0</v>
      </c>
      <c r="Q218" s="57">
        <f t="shared" si="61"/>
        <v>0</v>
      </c>
      <c r="R218" s="56">
        <f>SUMIFS(广告数据包!L:L,广告数据包!A:A,A218,广告数据包!G:G,Base!$F$2)+SUMIFS(广告数据包!L:L,广告数据包!A:A,A218,广告数据包!G:G,Base!$F$3)+SUMIFS(广告数据包!L:L,广告数据包!A:A,A218,广告数据包!G:G,Base!$F$4)</f>
        <v>0</v>
      </c>
      <c r="S218" s="86">
        <f t="shared" si="62"/>
        <v>0</v>
      </c>
    </row>
    <row r="219" ht="16.5" spans="1:19">
      <c r="A219" s="54">
        <v>44656</v>
      </c>
      <c r="B219" s="55">
        <f>SUMIFS(销售数据包!F:F,销售数据包!A:A,A219,销售数据包!C:C,Base!$F$2)+SUMIFS(销售数据包!F:F,销售数据包!A:A,A219,销售数据包!C:C,Base!$F$3)+SUMIFS(销售数据包!F:F,销售数据包!A:A,A219,销售数据包!C:C,Base!$F$4)</f>
        <v>0</v>
      </c>
      <c r="C219" s="56">
        <f>SUMIFS(销售数据包!K:K,销售数据包!A:A,A219,销售数据包!C:C,Base!$F$2)+SUMIFS(销售数据包!K:K,销售数据包!A:A,A219,销售数据包!C:C,Base!$F$3)+SUMIFS(销售数据包!K:K,销售数据包!A:A,A219,销售数据包!C:C,Base!$F$4)</f>
        <v>0</v>
      </c>
      <c r="D219" s="56">
        <f>SUMIFS(销售数据包!Q:Q,销售数据包!A:A,A219,销售数据包!C:C,Base!$F$2)+SUMIFS(销售数据包!Q:Q,销售数据包!A:A,A219,销售数据包!C:C,Base!$F$3)+SUMIFS(销售数据包!Q:Q,销售数据包!A:A,A219,销售数据包!C:C,Base!$F$4)</f>
        <v>0</v>
      </c>
      <c r="E219" s="57">
        <f t="shared" si="54"/>
        <v>0</v>
      </c>
      <c r="F219" s="57">
        <f t="shared" si="55"/>
        <v>0</v>
      </c>
      <c r="G219" s="56">
        <f>SUMIFS(销售数据包!O:O,销售数据包!A:A,A219)</f>
        <v>0</v>
      </c>
      <c r="H219" s="57">
        <f t="shared" si="56"/>
        <v>0</v>
      </c>
      <c r="I219" s="71">
        <f t="shared" si="57"/>
        <v>0</v>
      </c>
      <c r="J219" s="72" t="str">
        <f t="shared" si="58"/>
        <v>周2</v>
      </c>
      <c r="K219" s="73">
        <f>SUMIFS(广告数据包!H:H,广告数据包!A:A,A219,广告数据包!G:G,Base!$F$2)+SUMIFS(广告数据包!H:H,广告数据包!A:A,A219,广告数据包!G:G,Base!$F$3)+SUMIFS(广告数据包!H:H,广告数据包!A:A,A219,广告数据包!G:G,Base!$F$4)</f>
        <v>0</v>
      </c>
      <c r="L219" s="56">
        <f>SUMIFS(广告数据包!I:I,广告数据包!A:A,A219,广告数据包!G:G,Base!$F$2)+SUMIFS(广告数据包!I:I,广告数据包!A:A,A219,广告数据包!G:G,Base!$F$3)+SUMIFS(广告数据包!I:I,广告数据包!A:A,A219,广告数据包!G:G,Base!$F$4)</f>
        <v>0</v>
      </c>
      <c r="M219" s="57">
        <f t="shared" si="59"/>
        <v>0</v>
      </c>
      <c r="N219" s="74">
        <f t="shared" si="60"/>
        <v>0</v>
      </c>
      <c r="O219" s="75">
        <f>SUMIFS(广告数据包!P:P,广告数据包!A:A,A219,广告数据包!G:G,Base!$F$2)+SUMIFS(广告数据包!P:P,广告数据包!A:A,A219,广告数据包!G:G,Base!$F$3)+SUMIFS(广告数据包!P:P,广告数据包!A:A,A219,广告数据包!G:G,Base!$F$4)</f>
        <v>0</v>
      </c>
      <c r="P219" s="56">
        <f>SUMIFS(广告数据包!M:M,广告数据包!A:A,A219,广告数据包!G:G,Base!$F$2)+SUMIFS(广告数据包!M:M,广告数据包!A:A,A219,广告数据包!G:G,Base!$F$3)+SUMIFS(广告数据包!M:M,广告数据包!A:A,A219,广告数据包!G:G,Base!$F$4)</f>
        <v>0</v>
      </c>
      <c r="Q219" s="57">
        <f t="shared" si="61"/>
        <v>0</v>
      </c>
      <c r="R219" s="56">
        <f>SUMIFS(广告数据包!L:L,广告数据包!A:A,A219,广告数据包!G:G,Base!$F$2)+SUMIFS(广告数据包!L:L,广告数据包!A:A,A219,广告数据包!G:G,Base!$F$3)+SUMIFS(广告数据包!L:L,广告数据包!A:A,A219,广告数据包!G:G,Base!$F$4)</f>
        <v>0</v>
      </c>
      <c r="S219" s="86">
        <f t="shared" si="62"/>
        <v>0</v>
      </c>
    </row>
    <row r="220" ht="16.5" spans="1:19">
      <c r="A220" s="54">
        <v>44657</v>
      </c>
      <c r="B220" s="55">
        <f>SUMIFS(销售数据包!F:F,销售数据包!A:A,A220,销售数据包!C:C,Base!$F$2)+SUMIFS(销售数据包!F:F,销售数据包!A:A,A220,销售数据包!C:C,Base!$F$3)+SUMIFS(销售数据包!F:F,销售数据包!A:A,A220,销售数据包!C:C,Base!$F$4)</f>
        <v>0</v>
      </c>
      <c r="C220" s="56">
        <f>SUMIFS(销售数据包!K:K,销售数据包!A:A,A220,销售数据包!C:C,Base!$F$2)+SUMIFS(销售数据包!K:K,销售数据包!A:A,A220,销售数据包!C:C,Base!$F$3)+SUMIFS(销售数据包!K:K,销售数据包!A:A,A220,销售数据包!C:C,Base!$F$4)</f>
        <v>0</v>
      </c>
      <c r="D220" s="56">
        <f>SUMIFS(销售数据包!Q:Q,销售数据包!A:A,A220,销售数据包!C:C,Base!$F$2)+SUMIFS(销售数据包!Q:Q,销售数据包!A:A,A220,销售数据包!C:C,Base!$F$3)+SUMIFS(销售数据包!Q:Q,销售数据包!A:A,A220,销售数据包!C:C,Base!$F$4)</f>
        <v>0</v>
      </c>
      <c r="E220" s="57">
        <f t="shared" si="54"/>
        <v>0</v>
      </c>
      <c r="F220" s="57">
        <f t="shared" si="55"/>
        <v>0</v>
      </c>
      <c r="G220" s="56">
        <f>SUMIFS(销售数据包!O:O,销售数据包!A:A,A220)</f>
        <v>0</v>
      </c>
      <c r="H220" s="57">
        <f t="shared" si="56"/>
        <v>0</v>
      </c>
      <c r="I220" s="71">
        <f t="shared" si="57"/>
        <v>0</v>
      </c>
      <c r="J220" s="72" t="str">
        <f t="shared" si="58"/>
        <v>周3</v>
      </c>
      <c r="K220" s="73">
        <f>SUMIFS(广告数据包!H:H,广告数据包!A:A,A220,广告数据包!G:G,Base!$F$2)+SUMIFS(广告数据包!H:H,广告数据包!A:A,A220,广告数据包!G:G,Base!$F$3)+SUMIFS(广告数据包!H:H,广告数据包!A:A,A220,广告数据包!G:G,Base!$F$4)</f>
        <v>0</v>
      </c>
      <c r="L220" s="56">
        <f>SUMIFS(广告数据包!I:I,广告数据包!A:A,A220,广告数据包!G:G,Base!$F$2)+SUMIFS(广告数据包!I:I,广告数据包!A:A,A220,广告数据包!G:G,Base!$F$3)+SUMIFS(广告数据包!I:I,广告数据包!A:A,A220,广告数据包!G:G,Base!$F$4)</f>
        <v>0</v>
      </c>
      <c r="M220" s="57">
        <f t="shared" si="59"/>
        <v>0</v>
      </c>
      <c r="N220" s="74">
        <f t="shared" si="60"/>
        <v>0</v>
      </c>
      <c r="O220" s="75">
        <f>SUMIFS(广告数据包!P:P,广告数据包!A:A,A220,广告数据包!G:G,Base!$F$2)+SUMIFS(广告数据包!P:P,广告数据包!A:A,A220,广告数据包!G:G,Base!$F$3)+SUMIFS(广告数据包!P:P,广告数据包!A:A,A220,广告数据包!G:G,Base!$F$4)</f>
        <v>0</v>
      </c>
      <c r="P220" s="56">
        <f>SUMIFS(广告数据包!M:M,广告数据包!A:A,A220,广告数据包!G:G,Base!$F$2)+SUMIFS(广告数据包!M:M,广告数据包!A:A,A220,广告数据包!G:G,Base!$F$3)+SUMIFS(广告数据包!M:M,广告数据包!A:A,A220,广告数据包!G:G,Base!$F$4)</f>
        <v>0</v>
      </c>
      <c r="Q220" s="57">
        <f t="shared" si="61"/>
        <v>0</v>
      </c>
      <c r="R220" s="56">
        <f>SUMIFS(广告数据包!L:L,广告数据包!A:A,A220,广告数据包!G:G,Base!$F$2)+SUMIFS(广告数据包!L:L,广告数据包!A:A,A220,广告数据包!G:G,Base!$F$3)+SUMIFS(广告数据包!L:L,广告数据包!A:A,A220,广告数据包!G:G,Base!$F$4)</f>
        <v>0</v>
      </c>
      <c r="S220" s="86">
        <f t="shared" si="62"/>
        <v>0</v>
      </c>
    </row>
    <row r="221" ht="16.5" spans="1:19">
      <c r="A221" s="54">
        <v>44658</v>
      </c>
      <c r="B221" s="55">
        <f>SUMIFS(销售数据包!F:F,销售数据包!A:A,A221,销售数据包!C:C,Base!$F$2)+SUMIFS(销售数据包!F:F,销售数据包!A:A,A221,销售数据包!C:C,Base!$F$3)+SUMIFS(销售数据包!F:F,销售数据包!A:A,A221,销售数据包!C:C,Base!$F$4)</f>
        <v>0</v>
      </c>
      <c r="C221" s="56">
        <f>SUMIFS(销售数据包!K:K,销售数据包!A:A,A221,销售数据包!C:C,Base!$F$2)+SUMIFS(销售数据包!K:K,销售数据包!A:A,A221,销售数据包!C:C,Base!$F$3)+SUMIFS(销售数据包!K:K,销售数据包!A:A,A221,销售数据包!C:C,Base!$F$4)</f>
        <v>0</v>
      </c>
      <c r="D221" s="56">
        <f>SUMIFS(销售数据包!Q:Q,销售数据包!A:A,A221,销售数据包!C:C,Base!$F$2)+SUMIFS(销售数据包!Q:Q,销售数据包!A:A,A221,销售数据包!C:C,Base!$F$3)+SUMIFS(销售数据包!Q:Q,销售数据包!A:A,A221,销售数据包!C:C,Base!$F$4)</f>
        <v>0</v>
      </c>
      <c r="E221" s="57">
        <f t="shared" si="54"/>
        <v>0</v>
      </c>
      <c r="F221" s="57">
        <f t="shared" si="55"/>
        <v>0</v>
      </c>
      <c r="G221" s="56">
        <f>SUMIFS(销售数据包!O:O,销售数据包!A:A,A221)</f>
        <v>0</v>
      </c>
      <c r="H221" s="57">
        <f t="shared" si="56"/>
        <v>0</v>
      </c>
      <c r="I221" s="71">
        <f t="shared" si="57"/>
        <v>0</v>
      </c>
      <c r="J221" s="72" t="str">
        <f t="shared" si="58"/>
        <v>周4</v>
      </c>
      <c r="K221" s="73">
        <f>SUMIFS(广告数据包!H:H,广告数据包!A:A,A221,广告数据包!G:G,Base!$F$2)+SUMIFS(广告数据包!H:H,广告数据包!A:A,A221,广告数据包!G:G,Base!$F$3)+SUMIFS(广告数据包!H:H,广告数据包!A:A,A221,广告数据包!G:G,Base!$F$4)</f>
        <v>0</v>
      </c>
      <c r="L221" s="56">
        <f>SUMIFS(广告数据包!I:I,广告数据包!A:A,A221,广告数据包!G:G,Base!$F$2)+SUMIFS(广告数据包!I:I,广告数据包!A:A,A221,广告数据包!G:G,Base!$F$3)+SUMIFS(广告数据包!I:I,广告数据包!A:A,A221,广告数据包!G:G,Base!$F$4)</f>
        <v>0</v>
      </c>
      <c r="M221" s="57">
        <f t="shared" si="59"/>
        <v>0</v>
      </c>
      <c r="N221" s="74">
        <f t="shared" si="60"/>
        <v>0</v>
      </c>
      <c r="O221" s="75">
        <f>SUMIFS(广告数据包!P:P,广告数据包!A:A,A221,广告数据包!G:G,Base!$F$2)+SUMIFS(广告数据包!P:P,广告数据包!A:A,A221,广告数据包!G:G,Base!$F$3)+SUMIFS(广告数据包!P:P,广告数据包!A:A,A221,广告数据包!G:G,Base!$F$4)</f>
        <v>0</v>
      </c>
      <c r="P221" s="56">
        <f>SUMIFS(广告数据包!M:M,广告数据包!A:A,A221,广告数据包!G:G,Base!$F$2)+SUMIFS(广告数据包!M:M,广告数据包!A:A,A221,广告数据包!G:G,Base!$F$3)+SUMIFS(广告数据包!M:M,广告数据包!A:A,A221,广告数据包!G:G,Base!$F$4)</f>
        <v>0</v>
      </c>
      <c r="Q221" s="57">
        <f t="shared" si="61"/>
        <v>0</v>
      </c>
      <c r="R221" s="56">
        <f>SUMIFS(广告数据包!L:L,广告数据包!A:A,A221,广告数据包!G:G,Base!$F$2)+SUMIFS(广告数据包!L:L,广告数据包!A:A,A221,广告数据包!G:G,Base!$F$3)+SUMIFS(广告数据包!L:L,广告数据包!A:A,A221,广告数据包!G:G,Base!$F$4)</f>
        <v>0</v>
      </c>
      <c r="S221" s="86">
        <f t="shared" si="62"/>
        <v>0</v>
      </c>
    </row>
    <row r="222" ht="16.5" spans="1:19">
      <c r="A222" s="54">
        <v>44659</v>
      </c>
      <c r="B222" s="55">
        <f>SUMIFS(销售数据包!F:F,销售数据包!A:A,A222,销售数据包!C:C,Base!$F$2)+SUMIFS(销售数据包!F:F,销售数据包!A:A,A222,销售数据包!C:C,Base!$F$3)+SUMIFS(销售数据包!F:F,销售数据包!A:A,A222,销售数据包!C:C,Base!$F$4)</f>
        <v>0</v>
      </c>
      <c r="C222" s="56">
        <f>SUMIFS(销售数据包!K:K,销售数据包!A:A,A222,销售数据包!C:C,Base!$F$2)+SUMIFS(销售数据包!K:K,销售数据包!A:A,A222,销售数据包!C:C,Base!$F$3)+SUMIFS(销售数据包!K:K,销售数据包!A:A,A222,销售数据包!C:C,Base!$F$4)</f>
        <v>0</v>
      </c>
      <c r="D222" s="56">
        <f>SUMIFS(销售数据包!Q:Q,销售数据包!A:A,A222,销售数据包!C:C,Base!$F$2)+SUMIFS(销售数据包!Q:Q,销售数据包!A:A,A222,销售数据包!C:C,Base!$F$3)+SUMIFS(销售数据包!Q:Q,销售数据包!A:A,A222,销售数据包!C:C,Base!$F$4)</f>
        <v>0</v>
      </c>
      <c r="E222" s="57">
        <f t="shared" si="54"/>
        <v>0</v>
      </c>
      <c r="F222" s="57">
        <f t="shared" si="55"/>
        <v>0</v>
      </c>
      <c r="G222" s="56">
        <f>SUMIFS(销售数据包!O:O,销售数据包!A:A,A222)</f>
        <v>0</v>
      </c>
      <c r="H222" s="57">
        <f t="shared" si="56"/>
        <v>0</v>
      </c>
      <c r="I222" s="71">
        <f t="shared" si="57"/>
        <v>0</v>
      </c>
      <c r="J222" s="72" t="str">
        <f t="shared" si="58"/>
        <v>周5</v>
      </c>
      <c r="K222" s="73">
        <f>SUMIFS(广告数据包!H:H,广告数据包!A:A,A222,广告数据包!G:G,Base!$F$2)+SUMIFS(广告数据包!H:H,广告数据包!A:A,A222,广告数据包!G:G,Base!$F$3)+SUMIFS(广告数据包!H:H,广告数据包!A:A,A222,广告数据包!G:G,Base!$F$4)</f>
        <v>0</v>
      </c>
      <c r="L222" s="56">
        <f>SUMIFS(广告数据包!I:I,广告数据包!A:A,A222,广告数据包!G:G,Base!$F$2)+SUMIFS(广告数据包!I:I,广告数据包!A:A,A222,广告数据包!G:G,Base!$F$3)+SUMIFS(广告数据包!I:I,广告数据包!A:A,A222,广告数据包!G:G,Base!$F$4)</f>
        <v>0</v>
      </c>
      <c r="M222" s="57">
        <f t="shared" si="59"/>
        <v>0</v>
      </c>
      <c r="N222" s="74">
        <f t="shared" si="60"/>
        <v>0</v>
      </c>
      <c r="O222" s="75">
        <f>SUMIFS(广告数据包!P:P,广告数据包!A:A,A222,广告数据包!G:G,Base!$F$2)+SUMIFS(广告数据包!P:P,广告数据包!A:A,A222,广告数据包!G:G,Base!$F$3)+SUMIFS(广告数据包!P:P,广告数据包!A:A,A222,广告数据包!G:G,Base!$F$4)</f>
        <v>0</v>
      </c>
      <c r="P222" s="56">
        <f>SUMIFS(广告数据包!M:M,广告数据包!A:A,A222,广告数据包!G:G,Base!$F$2)+SUMIFS(广告数据包!M:M,广告数据包!A:A,A222,广告数据包!G:G,Base!$F$3)+SUMIFS(广告数据包!M:M,广告数据包!A:A,A222,广告数据包!G:G,Base!$F$4)</f>
        <v>0</v>
      </c>
      <c r="Q222" s="57">
        <f t="shared" si="61"/>
        <v>0</v>
      </c>
      <c r="R222" s="56">
        <f>SUMIFS(广告数据包!L:L,广告数据包!A:A,A222,广告数据包!G:G,Base!$F$2)+SUMIFS(广告数据包!L:L,广告数据包!A:A,A222,广告数据包!G:G,Base!$F$3)+SUMIFS(广告数据包!L:L,广告数据包!A:A,A222,广告数据包!G:G,Base!$F$4)</f>
        <v>0</v>
      </c>
      <c r="S222" s="86">
        <f t="shared" si="62"/>
        <v>0</v>
      </c>
    </row>
    <row r="223" ht="16.5" spans="1:19">
      <c r="A223" s="54">
        <v>44660</v>
      </c>
      <c r="B223" s="55">
        <f>SUMIFS(销售数据包!F:F,销售数据包!A:A,A223,销售数据包!C:C,Base!$F$2)+SUMIFS(销售数据包!F:F,销售数据包!A:A,A223,销售数据包!C:C,Base!$F$3)+SUMIFS(销售数据包!F:F,销售数据包!A:A,A223,销售数据包!C:C,Base!$F$4)</f>
        <v>0</v>
      </c>
      <c r="C223" s="56">
        <f>SUMIFS(销售数据包!K:K,销售数据包!A:A,A223,销售数据包!C:C,Base!$F$2)+SUMIFS(销售数据包!K:K,销售数据包!A:A,A223,销售数据包!C:C,Base!$F$3)+SUMIFS(销售数据包!K:K,销售数据包!A:A,A223,销售数据包!C:C,Base!$F$4)</f>
        <v>0</v>
      </c>
      <c r="D223" s="56">
        <f>SUMIFS(销售数据包!Q:Q,销售数据包!A:A,A223,销售数据包!C:C,Base!$F$2)+SUMIFS(销售数据包!Q:Q,销售数据包!A:A,A223,销售数据包!C:C,Base!$F$3)+SUMIFS(销售数据包!Q:Q,销售数据包!A:A,A223,销售数据包!C:C,Base!$F$4)</f>
        <v>0</v>
      </c>
      <c r="E223" s="57">
        <f t="shared" si="54"/>
        <v>0</v>
      </c>
      <c r="F223" s="57">
        <f t="shared" si="55"/>
        <v>0</v>
      </c>
      <c r="G223" s="56">
        <f>SUMIFS(销售数据包!O:O,销售数据包!A:A,A223)</f>
        <v>0</v>
      </c>
      <c r="H223" s="57">
        <f t="shared" si="56"/>
        <v>0</v>
      </c>
      <c r="I223" s="71">
        <f t="shared" si="57"/>
        <v>0</v>
      </c>
      <c r="J223" s="72" t="str">
        <f t="shared" si="58"/>
        <v>周6</v>
      </c>
      <c r="K223" s="73">
        <f>SUMIFS(广告数据包!H:H,广告数据包!A:A,A223,广告数据包!G:G,Base!$F$2)+SUMIFS(广告数据包!H:H,广告数据包!A:A,A223,广告数据包!G:G,Base!$F$3)+SUMIFS(广告数据包!H:H,广告数据包!A:A,A223,广告数据包!G:G,Base!$F$4)</f>
        <v>0</v>
      </c>
      <c r="L223" s="56">
        <f>SUMIFS(广告数据包!I:I,广告数据包!A:A,A223,广告数据包!G:G,Base!$F$2)+SUMIFS(广告数据包!I:I,广告数据包!A:A,A223,广告数据包!G:G,Base!$F$3)+SUMIFS(广告数据包!I:I,广告数据包!A:A,A223,广告数据包!G:G,Base!$F$4)</f>
        <v>0</v>
      </c>
      <c r="M223" s="57">
        <f t="shared" si="59"/>
        <v>0</v>
      </c>
      <c r="N223" s="74">
        <f t="shared" si="60"/>
        <v>0</v>
      </c>
      <c r="O223" s="75">
        <f>SUMIFS(广告数据包!P:P,广告数据包!A:A,A223,广告数据包!G:G,Base!$F$2)+SUMIFS(广告数据包!P:P,广告数据包!A:A,A223,广告数据包!G:G,Base!$F$3)+SUMIFS(广告数据包!P:P,广告数据包!A:A,A223,广告数据包!G:G,Base!$F$4)</f>
        <v>0</v>
      </c>
      <c r="P223" s="56">
        <f>SUMIFS(广告数据包!M:M,广告数据包!A:A,A223,广告数据包!G:G,Base!$F$2)+SUMIFS(广告数据包!M:M,广告数据包!A:A,A223,广告数据包!G:G,Base!$F$3)+SUMIFS(广告数据包!M:M,广告数据包!A:A,A223,广告数据包!G:G,Base!$F$4)</f>
        <v>0</v>
      </c>
      <c r="Q223" s="57">
        <f t="shared" si="61"/>
        <v>0</v>
      </c>
      <c r="R223" s="56">
        <f>SUMIFS(广告数据包!L:L,广告数据包!A:A,A223,广告数据包!G:G,Base!$F$2)+SUMIFS(广告数据包!L:L,广告数据包!A:A,A223,广告数据包!G:G,Base!$F$3)+SUMIFS(广告数据包!L:L,广告数据包!A:A,A223,广告数据包!G:G,Base!$F$4)</f>
        <v>0</v>
      </c>
      <c r="S223" s="86">
        <f t="shared" si="62"/>
        <v>0</v>
      </c>
    </row>
    <row r="224" ht="16.5" spans="1:19">
      <c r="A224" s="54">
        <v>44661</v>
      </c>
      <c r="B224" s="55">
        <f>SUMIFS(销售数据包!F:F,销售数据包!A:A,A224,销售数据包!C:C,Base!$F$2)+SUMIFS(销售数据包!F:F,销售数据包!A:A,A224,销售数据包!C:C,Base!$F$3)+SUMIFS(销售数据包!F:F,销售数据包!A:A,A224,销售数据包!C:C,Base!$F$4)</f>
        <v>0</v>
      </c>
      <c r="C224" s="56">
        <f>SUMIFS(销售数据包!K:K,销售数据包!A:A,A224,销售数据包!C:C,Base!$F$2)+SUMIFS(销售数据包!K:K,销售数据包!A:A,A224,销售数据包!C:C,Base!$F$3)+SUMIFS(销售数据包!K:K,销售数据包!A:A,A224,销售数据包!C:C,Base!$F$4)</f>
        <v>0</v>
      </c>
      <c r="D224" s="56">
        <f>SUMIFS(销售数据包!Q:Q,销售数据包!A:A,A224,销售数据包!C:C,Base!$F$2)+SUMIFS(销售数据包!Q:Q,销售数据包!A:A,A224,销售数据包!C:C,Base!$F$3)+SUMIFS(销售数据包!Q:Q,销售数据包!A:A,A224,销售数据包!C:C,Base!$F$4)</f>
        <v>0</v>
      </c>
      <c r="E224" s="57">
        <f t="shared" si="54"/>
        <v>0</v>
      </c>
      <c r="F224" s="57">
        <f t="shared" si="55"/>
        <v>0</v>
      </c>
      <c r="G224" s="56">
        <f>SUMIFS(销售数据包!O:O,销售数据包!A:A,A224)</f>
        <v>0</v>
      </c>
      <c r="H224" s="57">
        <f t="shared" si="56"/>
        <v>0</v>
      </c>
      <c r="I224" s="71">
        <f t="shared" si="57"/>
        <v>0</v>
      </c>
      <c r="J224" s="72" t="str">
        <f t="shared" si="58"/>
        <v>周7</v>
      </c>
      <c r="K224" s="73">
        <f>SUMIFS(广告数据包!H:H,广告数据包!A:A,A224,广告数据包!G:G,Base!$F$2)+SUMIFS(广告数据包!H:H,广告数据包!A:A,A224,广告数据包!G:G,Base!$F$3)+SUMIFS(广告数据包!H:H,广告数据包!A:A,A224,广告数据包!G:G,Base!$F$4)</f>
        <v>0</v>
      </c>
      <c r="L224" s="56">
        <f>SUMIFS(广告数据包!I:I,广告数据包!A:A,A224,广告数据包!G:G,Base!$F$2)+SUMIFS(广告数据包!I:I,广告数据包!A:A,A224,广告数据包!G:G,Base!$F$3)+SUMIFS(广告数据包!I:I,广告数据包!A:A,A224,广告数据包!G:G,Base!$F$4)</f>
        <v>0</v>
      </c>
      <c r="M224" s="57">
        <f t="shared" si="59"/>
        <v>0</v>
      </c>
      <c r="N224" s="74">
        <f t="shared" si="60"/>
        <v>0</v>
      </c>
      <c r="O224" s="75">
        <f>SUMIFS(广告数据包!P:P,广告数据包!A:A,A224,广告数据包!G:G,Base!$F$2)+SUMIFS(广告数据包!P:P,广告数据包!A:A,A224,广告数据包!G:G,Base!$F$3)+SUMIFS(广告数据包!P:P,广告数据包!A:A,A224,广告数据包!G:G,Base!$F$4)</f>
        <v>0</v>
      </c>
      <c r="P224" s="56">
        <f>SUMIFS(广告数据包!M:M,广告数据包!A:A,A224,广告数据包!G:G,Base!$F$2)+SUMIFS(广告数据包!M:M,广告数据包!A:A,A224,广告数据包!G:G,Base!$F$3)+SUMIFS(广告数据包!M:M,广告数据包!A:A,A224,广告数据包!G:G,Base!$F$4)</f>
        <v>0</v>
      </c>
      <c r="Q224" s="57">
        <f t="shared" si="61"/>
        <v>0</v>
      </c>
      <c r="R224" s="56">
        <f>SUMIFS(广告数据包!L:L,广告数据包!A:A,A224,广告数据包!G:G,Base!$F$2)+SUMIFS(广告数据包!L:L,广告数据包!A:A,A224,广告数据包!G:G,Base!$F$3)+SUMIFS(广告数据包!L:L,广告数据包!A:A,A224,广告数据包!G:G,Base!$F$4)</f>
        <v>0</v>
      </c>
      <c r="S224" s="86">
        <f t="shared" si="62"/>
        <v>0</v>
      </c>
    </row>
    <row r="225" ht="16.5" spans="1:19">
      <c r="A225" s="54">
        <v>44662</v>
      </c>
      <c r="B225" s="55">
        <f>SUMIFS(销售数据包!F:F,销售数据包!A:A,A225,销售数据包!C:C,Base!$F$2)+SUMIFS(销售数据包!F:F,销售数据包!A:A,A225,销售数据包!C:C,Base!$F$3)+SUMIFS(销售数据包!F:F,销售数据包!A:A,A225,销售数据包!C:C,Base!$F$4)</f>
        <v>0</v>
      </c>
      <c r="C225" s="56">
        <f>SUMIFS(销售数据包!K:K,销售数据包!A:A,A225,销售数据包!C:C,Base!$F$2)+SUMIFS(销售数据包!K:K,销售数据包!A:A,A225,销售数据包!C:C,Base!$F$3)+SUMIFS(销售数据包!K:K,销售数据包!A:A,A225,销售数据包!C:C,Base!$F$4)</f>
        <v>0</v>
      </c>
      <c r="D225" s="56">
        <f>SUMIFS(销售数据包!Q:Q,销售数据包!A:A,A225,销售数据包!C:C,Base!$F$2)+SUMIFS(销售数据包!Q:Q,销售数据包!A:A,A225,销售数据包!C:C,Base!$F$3)+SUMIFS(销售数据包!Q:Q,销售数据包!A:A,A225,销售数据包!C:C,Base!$F$4)</f>
        <v>0</v>
      </c>
      <c r="E225" s="57">
        <f t="shared" si="54"/>
        <v>0</v>
      </c>
      <c r="F225" s="57">
        <f t="shared" si="55"/>
        <v>0</v>
      </c>
      <c r="G225" s="56">
        <f>SUMIFS(销售数据包!O:O,销售数据包!A:A,A225)</f>
        <v>0</v>
      </c>
      <c r="H225" s="57">
        <f t="shared" si="56"/>
        <v>0</v>
      </c>
      <c r="I225" s="71">
        <f t="shared" si="57"/>
        <v>0</v>
      </c>
      <c r="J225" s="72" t="str">
        <f t="shared" si="58"/>
        <v>周1</v>
      </c>
      <c r="K225" s="73">
        <f>SUMIFS(广告数据包!H:H,广告数据包!A:A,A225,广告数据包!G:G,Base!$F$2)+SUMIFS(广告数据包!H:H,广告数据包!A:A,A225,广告数据包!G:G,Base!$F$3)+SUMIFS(广告数据包!H:H,广告数据包!A:A,A225,广告数据包!G:G,Base!$F$4)</f>
        <v>0</v>
      </c>
      <c r="L225" s="56">
        <f>SUMIFS(广告数据包!I:I,广告数据包!A:A,A225,广告数据包!G:G,Base!$F$2)+SUMIFS(广告数据包!I:I,广告数据包!A:A,A225,广告数据包!G:G,Base!$F$3)+SUMIFS(广告数据包!I:I,广告数据包!A:A,A225,广告数据包!G:G,Base!$F$4)</f>
        <v>0</v>
      </c>
      <c r="M225" s="57">
        <f t="shared" si="59"/>
        <v>0</v>
      </c>
      <c r="N225" s="74">
        <f t="shared" si="60"/>
        <v>0</v>
      </c>
      <c r="O225" s="75">
        <f>SUMIFS(广告数据包!P:P,广告数据包!A:A,A225,广告数据包!G:G,Base!$F$2)+SUMIFS(广告数据包!P:P,广告数据包!A:A,A225,广告数据包!G:G,Base!$F$3)+SUMIFS(广告数据包!P:P,广告数据包!A:A,A225,广告数据包!G:G,Base!$F$4)</f>
        <v>0</v>
      </c>
      <c r="P225" s="56">
        <f>SUMIFS(广告数据包!M:M,广告数据包!A:A,A225,广告数据包!G:G,Base!$F$2)+SUMIFS(广告数据包!M:M,广告数据包!A:A,A225,广告数据包!G:G,Base!$F$3)+SUMIFS(广告数据包!M:M,广告数据包!A:A,A225,广告数据包!G:G,Base!$F$4)</f>
        <v>0</v>
      </c>
      <c r="Q225" s="57">
        <f t="shared" si="61"/>
        <v>0</v>
      </c>
      <c r="R225" s="56">
        <f>SUMIFS(广告数据包!L:L,广告数据包!A:A,A225,广告数据包!G:G,Base!$F$2)+SUMIFS(广告数据包!L:L,广告数据包!A:A,A225,广告数据包!G:G,Base!$F$3)+SUMIFS(广告数据包!L:L,广告数据包!A:A,A225,广告数据包!G:G,Base!$F$4)</f>
        <v>0</v>
      </c>
      <c r="S225" s="86">
        <f t="shared" si="62"/>
        <v>0</v>
      </c>
    </row>
    <row r="226" ht="16.5" spans="1:19">
      <c r="A226" s="54">
        <v>44663</v>
      </c>
      <c r="B226" s="55">
        <f>SUMIFS(销售数据包!F:F,销售数据包!A:A,A226,销售数据包!C:C,Base!$F$2)+SUMIFS(销售数据包!F:F,销售数据包!A:A,A226,销售数据包!C:C,Base!$F$3)+SUMIFS(销售数据包!F:F,销售数据包!A:A,A226,销售数据包!C:C,Base!$F$4)</f>
        <v>0</v>
      </c>
      <c r="C226" s="56">
        <f>SUMIFS(销售数据包!K:K,销售数据包!A:A,A226,销售数据包!C:C,Base!$F$2)+SUMIFS(销售数据包!K:K,销售数据包!A:A,A226,销售数据包!C:C,Base!$F$3)+SUMIFS(销售数据包!K:K,销售数据包!A:A,A226,销售数据包!C:C,Base!$F$4)</f>
        <v>0</v>
      </c>
      <c r="D226" s="56">
        <f>SUMIFS(销售数据包!Q:Q,销售数据包!A:A,A226,销售数据包!C:C,Base!$F$2)+SUMIFS(销售数据包!Q:Q,销售数据包!A:A,A226,销售数据包!C:C,Base!$F$3)+SUMIFS(销售数据包!Q:Q,销售数据包!A:A,A226,销售数据包!C:C,Base!$F$4)</f>
        <v>0</v>
      </c>
      <c r="E226" s="57">
        <f t="shared" si="54"/>
        <v>0</v>
      </c>
      <c r="F226" s="57">
        <f t="shared" si="55"/>
        <v>0</v>
      </c>
      <c r="G226" s="56">
        <f>SUMIFS(销售数据包!O:O,销售数据包!A:A,A226)</f>
        <v>0</v>
      </c>
      <c r="H226" s="57">
        <f t="shared" si="56"/>
        <v>0</v>
      </c>
      <c r="I226" s="71">
        <f t="shared" si="57"/>
        <v>0</v>
      </c>
      <c r="J226" s="72" t="str">
        <f t="shared" si="58"/>
        <v>周2</v>
      </c>
      <c r="K226" s="73">
        <f>SUMIFS(广告数据包!H:H,广告数据包!A:A,A226,广告数据包!G:G,Base!$F$2)+SUMIFS(广告数据包!H:H,广告数据包!A:A,A226,广告数据包!G:G,Base!$F$3)+SUMIFS(广告数据包!H:H,广告数据包!A:A,A226,广告数据包!G:G,Base!$F$4)</f>
        <v>0</v>
      </c>
      <c r="L226" s="56">
        <f>SUMIFS(广告数据包!I:I,广告数据包!A:A,A226,广告数据包!G:G,Base!$F$2)+SUMIFS(广告数据包!I:I,广告数据包!A:A,A226,广告数据包!G:G,Base!$F$3)+SUMIFS(广告数据包!I:I,广告数据包!A:A,A226,广告数据包!G:G,Base!$F$4)</f>
        <v>0</v>
      </c>
      <c r="M226" s="57">
        <f t="shared" si="59"/>
        <v>0</v>
      </c>
      <c r="N226" s="74">
        <f t="shared" si="60"/>
        <v>0</v>
      </c>
      <c r="O226" s="75">
        <f>SUMIFS(广告数据包!P:P,广告数据包!A:A,A226,广告数据包!G:G,Base!$F$2)+SUMIFS(广告数据包!P:P,广告数据包!A:A,A226,广告数据包!G:G,Base!$F$3)+SUMIFS(广告数据包!P:P,广告数据包!A:A,A226,广告数据包!G:G,Base!$F$4)</f>
        <v>0</v>
      </c>
      <c r="P226" s="56">
        <f>SUMIFS(广告数据包!M:M,广告数据包!A:A,A226,广告数据包!G:G,Base!$F$2)+SUMIFS(广告数据包!M:M,广告数据包!A:A,A226,广告数据包!G:G,Base!$F$3)+SUMIFS(广告数据包!M:M,广告数据包!A:A,A226,广告数据包!G:G,Base!$F$4)</f>
        <v>0</v>
      </c>
      <c r="Q226" s="57">
        <f t="shared" si="61"/>
        <v>0</v>
      </c>
      <c r="R226" s="56">
        <f>SUMIFS(广告数据包!L:L,广告数据包!A:A,A226,广告数据包!G:G,Base!$F$2)+SUMIFS(广告数据包!L:L,广告数据包!A:A,A226,广告数据包!G:G,Base!$F$3)+SUMIFS(广告数据包!L:L,广告数据包!A:A,A226,广告数据包!G:G,Base!$F$4)</f>
        <v>0</v>
      </c>
      <c r="S226" s="86">
        <f t="shared" si="62"/>
        <v>0</v>
      </c>
    </row>
    <row r="227" ht="16.5" spans="1:19">
      <c r="A227" s="54">
        <v>44664</v>
      </c>
      <c r="B227" s="55">
        <f>SUMIFS(销售数据包!F:F,销售数据包!A:A,A227,销售数据包!C:C,Base!$F$2)+SUMIFS(销售数据包!F:F,销售数据包!A:A,A227,销售数据包!C:C,Base!$F$3)+SUMIFS(销售数据包!F:F,销售数据包!A:A,A227,销售数据包!C:C,Base!$F$4)</f>
        <v>0</v>
      </c>
      <c r="C227" s="56">
        <f>SUMIFS(销售数据包!K:K,销售数据包!A:A,A227,销售数据包!C:C,Base!$F$2)+SUMIFS(销售数据包!K:K,销售数据包!A:A,A227,销售数据包!C:C,Base!$F$3)+SUMIFS(销售数据包!K:K,销售数据包!A:A,A227,销售数据包!C:C,Base!$F$4)</f>
        <v>0</v>
      </c>
      <c r="D227" s="56">
        <f>SUMIFS(销售数据包!Q:Q,销售数据包!A:A,A227,销售数据包!C:C,Base!$F$2)+SUMIFS(销售数据包!Q:Q,销售数据包!A:A,A227,销售数据包!C:C,Base!$F$3)+SUMIFS(销售数据包!Q:Q,销售数据包!A:A,A227,销售数据包!C:C,Base!$F$4)</f>
        <v>0</v>
      </c>
      <c r="E227" s="57">
        <f t="shared" si="54"/>
        <v>0</v>
      </c>
      <c r="F227" s="57">
        <f t="shared" si="55"/>
        <v>0</v>
      </c>
      <c r="G227" s="56">
        <f>SUMIFS(销售数据包!O:O,销售数据包!A:A,A227)</f>
        <v>0</v>
      </c>
      <c r="H227" s="57">
        <f t="shared" si="56"/>
        <v>0</v>
      </c>
      <c r="I227" s="71">
        <f t="shared" si="57"/>
        <v>0</v>
      </c>
      <c r="J227" s="72" t="str">
        <f t="shared" si="58"/>
        <v>周3</v>
      </c>
      <c r="K227" s="73">
        <f>SUMIFS(广告数据包!H:H,广告数据包!A:A,A227,广告数据包!G:G,Base!$F$2)+SUMIFS(广告数据包!H:H,广告数据包!A:A,A227,广告数据包!G:G,Base!$F$3)+SUMIFS(广告数据包!H:H,广告数据包!A:A,A227,广告数据包!G:G,Base!$F$4)</f>
        <v>0</v>
      </c>
      <c r="L227" s="56">
        <f>SUMIFS(广告数据包!I:I,广告数据包!A:A,A227,广告数据包!G:G,Base!$F$2)+SUMIFS(广告数据包!I:I,广告数据包!A:A,A227,广告数据包!G:G,Base!$F$3)+SUMIFS(广告数据包!I:I,广告数据包!A:A,A227,广告数据包!G:G,Base!$F$4)</f>
        <v>0</v>
      </c>
      <c r="M227" s="57">
        <f t="shared" si="59"/>
        <v>0</v>
      </c>
      <c r="N227" s="74">
        <f t="shared" si="60"/>
        <v>0</v>
      </c>
      <c r="O227" s="75">
        <f>SUMIFS(广告数据包!P:P,广告数据包!A:A,A227,广告数据包!G:G,Base!$F$2)+SUMIFS(广告数据包!P:P,广告数据包!A:A,A227,广告数据包!G:G,Base!$F$3)+SUMIFS(广告数据包!P:P,广告数据包!A:A,A227,广告数据包!G:G,Base!$F$4)</f>
        <v>0</v>
      </c>
      <c r="P227" s="56">
        <f>SUMIFS(广告数据包!M:M,广告数据包!A:A,A227,广告数据包!G:G,Base!$F$2)+SUMIFS(广告数据包!M:M,广告数据包!A:A,A227,广告数据包!G:G,Base!$F$3)+SUMIFS(广告数据包!M:M,广告数据包!A:A,A227,广告数据包!G:G,Base!$F$4)</f>
        <v>0</v>
      </c>
      <c r="Q227" s="57">
        <f t="shared" si="61"/>
        <v>0</v>
      </c>
      <c r="R227" s="56">
        <f>SUMIFS(广告数据包!L:L,广告数据包!A:A,A227,广告数据包!G:G,Base!$F$2)+SUMIFS(广告数据包!L:L,广告数据包!A:A,A227,广告数据包!G:G,Base!$F$3)+SUMIFS(广告数据包!L:L,广告数据包!A:A,A227,广告数据包!G:G,Base!$F$4)</f>
        <v>0</v>
      </c>
      <c r="S227" s="86">
        <f t="shared" si="62"/>
        <v>0</v>
      </c>
    </row>
    <row r="228" ht="16.5" spans="1:19">
      <c r="A228" s="54">
        <v>44665</v>
      </c>
      <c r="B228" s="55">
        <f>SUMIFS(销售数据包!F:F,销售数据包!A:A,A228,销售数据包!C:C,Base!$F$2)+SUMIFS(销售数据包!F:F,销售数据包!A:A,A228,销售数据包!C:C,Base!$F$3)+SUMIFS(销售数据包!F:F,销售数据包!A:A,A228,销售数据包!C:C,Base!$F$4)</f>
        <v>0</v>
      </c>
      <c r="C228" s="56">
        <f>SUMIFS(销售数据包!K:K,销售数据包!A:A,A228,销售数据包!C:C,Base!$F$2)+SUMIFS(销售数据包!K:K,销售数据包!A:A,A228,销售数据包!C:C,Base!$F$3)+SUMIFS(销售数据包!K:K,销售数据包!A:A,A228,销售数据包!C:C,Base!$F$4)</f>
        <v>0</v>
      </c>
      <c r="D228" s="56">
        <f>SUMIFS(销售数据包!Q:Q,销售数据包!A:A,A228,销售数据包!C:C,Base!$F$2)+SUMIFS(销售数据包!Q:Q,销售数据包!A:A,A228,销售数据包!C:C,Base!$F$3)+SUMIFS(销售数据包!Q:Q,销售数据包!A:A,A228,销售数据包!C:C,Base!$F$4)</f>
        <v>0</v>
      </c>
      <c r="E228" s="57">
        <f t="shared" si="54"/>
        <v>0</v>
      </c>
      <c r="F228" s="57">
        <f t="shared" si="55"/>
        <v>0</v>
      </c>
      <c r="G228" s="56">
        <f>SUMIFS(销售数据包!O:O,销售数据包!A:A,A228)</f>
        <v>0</v>
      </c>
      <c r="H228" s="57">
        <f t="shared" si="56"/>
        <v>0</v>
      </c>
      <c r="I228" s="71">
        <f t="shared" si="57"/>
        <v>0</v>
      </c>
      <c r="J228" s="72" t="str">
        <f t="shared" si="58"/>
        <v>周4</v>
      </c>
      <c r="K228" s="73">
        <f>SUMIFS(广告数据包!H:H,广告数据包!A:A,A228,广告数据包!G:G,Base!$F$2)+SUMIFS(广告数据包!H:H,广告数据包!A:A,A228,广告数据包!G:G,Base!$F$3)+SUMIFS(广告数据包!H:H,广告数据包!A:A,A228,广告数据包!G:G,Base!$F$4)</f>
        <v>0</v>
      </c>
      <c r="L228" s="56">
        <f>SUMIFS(广告数据包!I:I,广告数据包!A:A,A228,广告数据包!G:G,Base!$F$2)+SUMIFS(广告数据包!I:I,广告数据包!A:A,A228,广告数据包!G:G,Base!$F$3)+SUMIFS(广告数据包!I:I,广告数据包!A:A,A228,广告数据包!G:G,Base!$F$4)</f>
        <v>0</v>
      </c>
      <c r="M228" s="57">
        <f t="shared" si="59"/>
        <v>0</v>
      </c>
      <c r="N228" s="74">
        <f t="shared" si="60"/>
        <v>0</v>
      </c>
      <c r="O228" s="75">
        <f>SUMIFS(广告数据包!P:P,广告数据包!A:A,A228,广告数据包!G:G,Base!$F$2)+SUMIFS(广告数据包!P:P,广告数据包!A:A,A228,广告数据包!G:G,Base!$F$3)+SUMIFS(广告数据包!P:P,广告数据包!A:A,A228,广告数据包!G:G,Base!$F$4)</f>
        <v>0</v>
      </c>
      <c r="P228" s="56">
        <f>SUMIFS(广告数据包!M:M,广告数据包!A:A,A228,广告数据包!G:G,Base!$F$2)+SUMIFS(广告数据包!M:M,广告数据包!A:A,A228,广告数据包!G:G,Base!$F$3)+SUMIFS(广告数据包!M:M,广告数据包!A:A,A228,广告数据包!G:G,Base!$F$4)</f>
        <v>0</v>
      </c>
      <c r="Q228" s="57">
        <f t="shared" si="61"/>
        <v>0</v>
      </c>
      <c r="R228" s="56">
        <f>SUMIFS(广告数据包!L:L,广告数据包!A:A,A228,广告数据包!G:G,Base!$F$2)+SUMIFS(广告数据包!L:L,广告数据包!A:A,A228,广告数据包!G:G,Base!$F$3)+SUMIFS(广告数据包!L:L,广告数据包!A:A,A228,广告数据包!G:G,Base!$F$4)</f>
        <v>0</v>
      </c>
      <c r="S228" s="86">
        <f t="shared" si="62"/>
        <v>0</v>
      </c>
    </row>
    <row r="229" ht="16.5" spans="1:19">
      <c r="A229" s="54">
        <v>44666</v>
      </c>
      <c r="B229" s="55">
        <f>SUMIFS(销售数据包!F:F,销售数据包!A:A,A229,销售数据包!C:C,Base!$F$2)+SUMIFS(销售数据包!F:F,销售数据包!A:A,A229,销售数据包!C:C,Base!$F$3)+SUMIFS(销售数据包!F:F,销售数据包!A:A,A229,销售数据包!C:C,Base!$F$4)</f>
        <v>0</v>
      </c>
      <c r="C229" s="56">
        <f>SUMIFS(销售数据包!K:K,销售数据包!A:A,A229,销售数据包!C:C,Base!$F$2)+SUMIFS(销售数据包!K:K,销售数据包!A:A,A229,销售数据包!C:C,Base!$F$3)+SUMIFS(销售数据包!K:K,销售数据包!A:A,A229,销售数据包!C:C,Base!$F$4)</f>
        <v>0</v>
      </c>
      <c r="D229" s="56">
        <f>SUMIFS(销售数据包!Q:Q,销售数据包!A:A,A229,销售数据包!C:C,Base!$F$2)+SUMIFS(销售数据包!Q:Q,销售数据包!A:A,A229,销售数据包!C:C,Base!$F$3)+SUMIFS(销售数据包!Q:Q,销售数据包!A:A,A229,销售数据包!C:C,Base!$F$4)</f>
        <v>0</v>
      </c>
      <c r="E229" s="57">
        <f t="shared" si="54"/>
        <v>0</v>
      </c>
      <c r="F229" s="57">
        <f t="shared" si="55"/>
        <v>0</v>
      </c>
      <c r="G229" s="56">
        <f>SUMIFS(销售数据包!O:O,销售数据包!A:A,A229)</f>
        <v>0</v>
      </c>
      <c r="H229" s="57">
        <f t="shared" si="56"/>
        <v>0</v>
      </c>
      <c r="I229" s="71">
        <f t="shared" si="57"/>
        <v>0</v>
      </c>
      <c r="J229" s="72" t="str">
        <f t="shared" si="58"/>
        <v>周5</v>
      </c>
      <c r="K229" s="73">
        <f>SUMIFS(广告数据包!H:H,广告数据包!A:A,A229,广告数据包!G:G,Base!$F$2)+SUMIFS(广告数据包!H:H,广告数据包!A:A,A229,广告数据包!G:G,Base!$F$3)+SUMIFS(广告数据包!H:H,广告数据包!A:A,A229,广告数据包!G:G,Base!$F$4)</f>
        <v>0</v>
      </c>
      <c r="L229" s="56">
        <f>SUMIFS(广告数据包!I:I,广告数据包!A:A,A229,广告数据包!G:G,Base!$F$2)+SUMIFS(广告数据包!I:I,广告数据包!A:A,A229,广告数据包!G:G,Base!$F$3)+SUMIFS(广告数据包!I:I,广告数据包!A:A,A229,广告数据包!G:G,Base!$F$4)</f>
        <v>0</v>
      </c>
      <c r="M229" s="57">
        <f t="shared" si="59"/>
        <v>0</v>
      </c>
      <c r="N229" s="74">
        <f t="shared" si="60"/>
        <v>0</v>
      </c>
      <c r="O229" s="75">
        <f>SUMIFS(广告数据包!P:P,广告数据包!A:A,A229,广告数据包!G:G,Base!$F$2)+SUMIFS(广告数据包!P:P,广告数据包!A:A,A229,广告数据包!G:G,Base!$F$3)+SUMIFS(广告数据包!P:P,广告数据包!A:A,A229,广告数据包!G:G,Base!$F$4)</f>
        <v>0</v>
      </c>
      <c r="P229" s="56">
        <f>SUMIFS(广告数据包!M:M,广告数据包!A:A,A229,广告数据包!G:G,Base!$F$2)+SUMIFS(广告数据包!M:M,广告数据包!A:A,A229,广告数据包!G:G,Base!$F$3)+SUMIFS(广告数据包!M:M,广告数据包!A:A,A229,广告数据包!G:G,Base!$F$4)</f>
        <v>0</v>
      </c>
      <c r="Q229" s="57">
        <f t="shared" si="61"/>
        <v>0</v>
      </c>
      <c r="R229" s="56">
        <f>SUMIFS(广告数据包!L:L,广告数据包!A:A,A229,广告数据包!G:G,Base!$F$2)+SUMIFS(广告数据包!L:L,广告数据包!A:A,A229,广告数据包!G:G,Base!$F$3)+SUMIFS(广告数据包!L:L,广告数据包!A:A,A229,广告数据包!G:G,Base!$F$4)</f>
        <v>0</v>
      </c>
      <c r="S229" s="86">
        <f t="shared" si="62"/>
        <v>0</v>
      </c>
    </row>
    <row r="230" ht="16.5" spans="1:19">
      <c r="A230" s="54">
        <v>44667</v>
      </c>
      <c r="B230" s="55">
        <f>SUMIFS(销售数据包!F:F,销售数据包!A:A,A230,销售数据包!C:C,Base!$F$2)+SUMIFS(销售数据包!F:F,销售数据包!A:A,A230,销售数据包!C:C,Base!$F$3)+SUMIFS(销售数据包!F:F,销售数据包!A:A,A230,销售数据包!C:C,Base!$F$4)</f>
        <v>0</v>
      </c>
      <c r="C230" s="56">
        <f>SUMIFS(销售数据包!K:K,销售数据包!A:A,A230,销售数据包!C:C,Base!$F$2)+SUMIFS(销售数据包!K:K,销售数据包!A:A,A230,销售数据包!C:C,Base!$F$3)+SUMIFS(销售数据包!K:K,销售数据包!A:A,A230,销售数据包!C:C,Base!$F$4)</f>
        <v>0</v>
      </c>
      <c r="D230" s="56">
        <f>SUMIFS(销售数据包!Q:Q,销售数据包!A:A,A230,销售数据包!C:C,Base!$F$2)+SUMIFS(销售数据包!Q:Q,销售数据包!A:A,A230,销售数据包!C:C,Base!$F$3)+SUMIFS(销售数据包!Q:Q,销售数据包!A:A,A230,销售数据包!C:C,Base!$F$4)</f>
        <v>0</v>
      </c>
      <c r="E230" s="57">
        <f t="shared" si="54"/>
        <v>0</v>
      </c>
      <c r="F230" s="57">
        <f t="shared" si="55"/>
        <v>0</v>
      </c>
      <c r="G230" s="56">
        <f>SUMIFS(销售数据包!O:O,销售数据包!A:A,A230)</f>
        <v>0</v>
      </c>
      <c r="H230" s="57">
        <f t="shared" si="56"/>
        <v>0</v>
      </c>
      <c r="I230" s="71">
        <f t="shared" si="57"/>
        <v>0</v>
      </c>
      <c r="J230" s="72" t="str">
        <f t="shared" si="58"/>
        <v>周6</v>
      </c>
      <c r="K230" s="73">
        <f>SUMIFS(广告数据包!H:H,广告数据包!A:A,A230,广告数据包!G:G,Base!$F$2)+SUMIFS(广告数据包!H:H,广告数据包!A:A,A230,广告数据包!G:G,Base!$F$3)+SUMIFS(广告数据包!H:H,广告数据包!A:A,A230,广告数据包!G:G,Base!$F$4)</f>
        <v>0</v>
      </c>
      <c r="L230" s="56">
        <f>SUMIFS(广告数据包!I:I,广告数据包!A:A,A230,广告数据包!G:G,Base!$F$2)+SUMIFS(广告数据包!I:I,广告数据包!A:A,A230,广告数据包!G:G,Base!$F$3)+SUMIFS(广告数据包!I:I,广告数据包!A:A,A230,广告数据包!G:G,Base!$F$4)</f>
        <v>0</v>
      </c>
      <c r="M230" s="57">
        <f t="shared" si="59"/>
        <v>0</v>
      </c>
      <c r="N230" s="74">
        <f t="shared" si="60"/>
        <v>0</v>
      </c>
      <c r="O230" s="75">
        <f>SUMIFS(广告数据包!P:P,广告数据包!A:A,A230,广告数据包!G:G,Base!$F$2)+SUMIFS(广告数据包!P:P,广告数据包!A:A,A230,广告数据包!G:G,Base!$F$3)+SUMIFS(广告数据包!P:P,广告数据包!A:A,A230,广告数据包!G:G,Base!$F$4)</f>
        <v>0</v>
      </c>
      <c r="P230" s="56">
        <f>SUMIFS(广告数据包!M:M,广告数据包!A:A,A230,广告数据包!G:G,Base!$F$2)+SUMIFS(广告数据包!M:M,广告数据包!A:A,A230,广告数据包!G:G,Base!$F$3)+SUMIFS(广告数据包!M:M,广告数据包!A:A,A230,广告数据包!G:G,Base!$F$4)</f>
        <v>0</v>
      </c>
      <c r="Q230" s="57">
        <f t="shared" si="61"/>
        <v>0</v>
      </c>
      <c r="R230" s="56">
        <f>SUMIFS(广告数据包!L:L,广告数据包!A:A,A230,广告数据包!G:G,Base!$F$2)+SUMIFS(广告数据包!L:L,广告数据包!A:A,A230,广告数据包!G:G,Base!$F$3)+SUMIFS(广告数据包!L:L,广告数据包!A:A,A230,广告数据包!G:G,Base!$F$4)</f>
        <v>0</v>
      </c>
      <c r="S230" s="86">
        <f t="shared" si="62"/>
        <v>0</v>
      </c>
    </row>
    <row r="231" ht="16.5" spans="1:19">
      <c r="A231" s="54">
        <v>44668</v>
      </c>
      <c r="B231" s="55">
        <f>SUMIFS(销售数据包!F:F,销售数据包!A:A,A231,销售数据包!C:C,Base!$F$2)+SUMIFS(销售数据包!F:F,销售数据包!A:A,A231,销售数据包!C:C,Base!$F$3)+SUMIFS(销售数据包!F:F,销售数据包!A:A,A231,销售数据包!C:C,Base!$F$4)</f>
        <v>0</v>
      </c>
      <c r="C231" s="56">
        <f>SUMIFS(销售数据包!K:K,销售数据包!A:A,A231,销售数据包!C:C,Base!$F$2)+SUMIFS(销售数据包!K:K,销售数据包!A:A,A231,销售数据包!C:C,Base!$F$3)+SUMIFS(销售数据包!K:K,销售数据包!A:A,A231,销售数据包!C:C,Base!$F$4)</f>
        <v>0</v>
      </c>
      <c r="D231" s="56">
        <f>SUMIFS(销售数据包!Q:Q,销售数据包!A:A,A231,销售数据包!C:C,Base!$F$2)+SUMIFS(销售数据包!Q:Q,销售数据包!A:A,A231,销售数据包!C:C,Base!$F$3)+SUMIFS(销售数据包!Q:Q,销售数据包!A:A,A231,销售数据包!C:C,Base!$F$4)</f>
        <v>0</v>
      </c>
      <c r="E231" s="57">
        <f t="shared" si="54"/>
        <v>0</v>
      </c>
      <c r="F231" s="57">
        <f t="shared" si="55"/>
        <v>0</v>
      </c>
      <c r="G231" s="56">
        <f>SUMIFS(销售数据包!O:O,销售数据包!A:A,A231)</f>
        <v>0</v>
      </c>
      <c r="H231" s="57">
        <f t="shared" si="56"/>
        <v>0</v>
      </c>
      <c r="I231" s="71">
        <f t="shared" si="57"/>
        <v>0</v>
      </c>
      <c r="J231" s="72" t="str">
        <f t="shared" si="58"/>
        <v>周7</v>
      </c>
      <c r="K231" s="73">
        <f>SUMIFS(广告数据包!H:H,广告数据包!A:A,A231,广告数据包!G:G,Base!$F$2)+SUMIFS(广告数据包!H:H,广告数据包!A:A,A231,广告数据包!G:G,Base!$F$3)+SUMIFS(广告数据包!H:H,广告数据包!A:A,A231,广告数据包!G:G,Base!$F$4)</f>
        <v>0</v>
      </c>
      <c r="L231" s="56">
        <f>SUMIFS(广告数据包!I:I,广告数据包!A:A,A231,广告数据包!G:G,Base!$F$2)+SUMIFS(广告数据包!I:I,广告数据包!A:A,A231,广告数据包!G:G,Base!$F$3)+SUMIFS(广告数据包!I:I,广告数据包!A:A,A231,广告数据包!G:G,Base!$F$4)</f>
        <v>0</v>
      </c>
      <c r="M231" s="57">
        <f t="shared" si="59"/>
        <v>0</v>
      </c>
      <c r="N231" s="74">
        <f t="shared" si="60"/>
        <v>0</v>
      </c>
      <c r="O231" s="75">
        <f>SUMIFS(广告数据包!P:P,广告数据包!A:A,A231,广告数据包!G:G,Base!$F$2)+SUMIFS(广告数据包!P:P,广告数据包!A:A,A231,广告数据包!G:G,Base!$F$3)+SUMIFS(广告数据包!P:P,广告数据包!A:A,A231,广告数据包!G:G,Base!$F$4)</f>
        <v>0</v>
      </c>
      <c r="P231" s="56">
        <f>SUMIFS(广告数据包!M:M,广告数据包!A:A,A231,广告数据包!G:G,Base!$F$2)+SUMIFS(广告数据包!M:M,广告数据包!A:A,A231,广告数据包!G:G,Base!$F$3)+SUMIFS(广告数据包!M:M,广告数据包!A:A,A231,广告数据包!G:G,Base!$F$4)</f>
        <v>0</v>
      </c>
      <c r="Q231" s="57">
        <f t="shared" si="61"/>
        <v>0</v>
      </c>
      <c r="R231" s="56">
        <f>SUMIFS(广告数据包!L:L,广告数据包!A:A,A231,广告数据包!G:G,Base!$F$2)+SUMIFS(广告数据包!L:L,广告数据包!A:A,A231,广告数据包!G:G,Base!$F$3)+SUMIFS(广告数据包!L:L,广告数据包!A:A,A231,广告数据包!G:G,Base!$F$4)</f>
        <v>0</v>
      </c>
      <c r="S231" s="86">
        <f t="shared" si="62"/>
        <v>0</v>
      </c>
    </row>
    <row r="232" ht="16.5" spans="1:19">
      <c r="A232" s="54">
        <v>44669</v>
      </c>
      <c r="B232" s="55">
        <f>SUMIFS(销售数据包!F:F,销售数据包!A:A,A232,销售数据包!C:C,Base!$F$2)+SUMIFS(销售数据包!F:F,销售数据包!A:A,A232,销售数据包!C:C,Base!$F$3)+SUMIFS(销售数据包!F:F,销售数据包!A:A,A232,销售数据包!C:C,Base!$F$4)</f>
        <v>0</v>
      </c>
      <c r="C232" s="56">
        <f>SUMIFS(销售数据包!K:K,销售数据包!A:A,A232,销售数据包!C:C,Base!$F$2)+SUMIFS(销售数据包!K:K,销售数据包!A:A,A232,销售数据包!C:C,Base!$F$3)+SUMIFS(销售数据包!K:K,销售数据包!A:A,A232,销售数据包!C:C,Base!$F$4)</f>
        <v>0</v>
      </c>
      <c r="D232" s="56">
        <f>SUMIFS(销售数据包!Q:Q,销售数据包!A:A,A232,销售数据包!C:C,Base!$F$2)+SUMIFS(销售数据包!Q:Q,销售数据包!A:A,A232,销售数据包!C:C,Base!$F$3)+SUMIFS(销售数据包!Q:Q,销售数据包!A:A,A232,销售数据包!C:C,Base!$F$4)</f>
        <v>0</v>
      </c>
      <c r="E232" s="57">
        <f t="shared" si="54"/>
        <v>0</v>
      </c>
      <c r="F232" s="57">
        <f t="shared" si="55"/>
        <v>0</v>
      </c>
      <c r="G232" s="56">
        <f>SUMIFS(销售数据包!O:O,销售数据包!A:A,A232)</f>
        <v>0</v>
      </c>
      <c r="H232" s="57">
        <f t="shared" si="56"/>
        <v>0</v>
      </c>
      <c r="I232" s="71">
        <f t="shared" si="57"/>
        <v>0</v>
      </c>
      <c r="J232" s="72" t="str">
        <f t="shared" si="58"/>
        <v>周1</v>
      </c>
      <c r="K232" s="73">
        <f>SUMIFS(广告数据包!H:H,广告数据包!A:A,A232,广告数据包!G:G,Base!$F$2)+SUMIFS(广告数据包!H:H,广告数据包!A:A,A232,广告数据包!G:G,Base!$F$3)+SUMIFS(广告数据包!H:H,广告数据包!A:A,A232,广告数据包!G:G,Base!$F$4)</f>
        <v>0</v>
      </c>
      <c r="L232" s="56">
        <f>SUMIFS(广告数据包!I:I,广告数据包!A:A,A232,广告数据包!G:G,Base!$F$2)+SUMIFS(广告数据包!I:I,广告数据包!A:A,A232,广告数据包!G:G,Base!$F$3)+SUMIFS(广告数据包!I:I,广告数据包!A:A,A232,广告数据包!G:G,Base!$F$4)</f>
        <v>0</v>
      </c>
      <c r="M232" s="57">
        <f t="shared" si="59"/>
        <v>0</v>
      </c>
      <c r="N232" s="74">
        <f t="shared" si="60"/>
        <v>0</v>
      </c>
      <c r="O232" s="75">
        <f>SUMIFS(广告数据包!P:P,广告数据包!A:A,A232,广告数据包!G:G,Base!$F$2)+SUMIFS(广告数据包!P:P,广告数据包!A:A,A232,广告数据包!G:G,Base!$F$3)+SUMIFS(广告数据包!P:P,广告数据包!A:A,A232,广告数据包!G:G,Base!$F$4)</f>
        <v>0</v>
      </c>
      <c r="P232" s="56">
        <f>SUMIFS(广告数据包!M:M,广告数据包!A:A,A232,广告数据包!G:G,Base!$F$2)+SUMIFS(广告数据包!M:M,广告数据包!A:A,A232,广告数据包!G:G,Base!$F$3)+SUMIFS(广告数据包!M:M,广告数据包!A:A,A232,广告数据包!G:G,Base!$F$4)</f>
        <v>0</v>
      </c>
      <c r="Q232" s="57">
        <f t="shared" si="61"/>
        <v>0</v>
      </c>
      <c r="R232" s="56">
        <f>SUMIFS(广告数据包!L:L,广告数据包!A:A,A232,广告数据包!G:G,Base!$F$2)+SUMIFS(广告数据包!L:L,广告数据包!A:A,A232,广告数据包!G:G,Base!$F$3)+SUMIFS(广告数据包!L:L,广告数据包!A:A,A232,广告数据包!G:G,Base!$F$4)</f>
        <v>0</v>
      </c>
      <c r="S232" s="86">
        <f t="shared" si="62"/>
        <v>0</v>
      </c>
    </row>
    <row r="233" ht="16.5" spans="1:19">
      <c r="A233" s="54">
        <v>44670</v>
      </c>
      <c r="B233" s="55">
        <f>SUMIFS(销售数据包!F:F,销售数据包!A:A,A233,销售数据包!C:C,Base!$F$2)+SUMIFS(销售数据包!F:F,销售数据包!A:A,A233,销售数据包!C:C,Base!$F$3)+SUMIFS(销售数据包!F:F,销售数据包!A:A,A233,销售数据包!C:C,Base!$F$4)</f>
        <v>0</v>
      </c>
      <c r="C233" s="56">
        <f>SUMIFS(销售数据包!K:K,销售数据包!A:A,A233,销售数据包!C:C,Base!$F$2)+SUMIFS(销售数据包!K:K,销售数据包!A:A,A233,销售数据包!C:C,Base!$F$3)+SUMIFS(销售数据包!K:K,销售数据包!A:A,A233,销售数据包!C:C,Base!$F$4)</f>
        <v>0</v>
      </c>
      <c r="D233" s="56">
        <f>SUMIFS(销售数据包!Q:Q,销售数据包!A:A,A233,销售数据包!C:C,Base!$F$2)+SUMIFS(销售数据包!Q:Q,销售数据包!A:A,A233,销售数据包!C:C,Base!$F$3)+SUMIFS(销售数据包!Q:Q,销售数据包!A:A,A233,销售数据包!C:C,Base!$F$4)</f>
        <v>0</v>
      </c>
      <c r="E233" s="57">
        <f t="shared" si="54"/>
        <v>0</v>
      </c>
      <c r="F233" s="57">
        <f t="shared" si="55"/>
        <v>0</v>
      </c>
      <c r="G233" s="56">
        <f>SUMIFS(销售数据包!O:O,销售数据包!A:A,A233)</f>
        <v>0</v>
      </c>
      <c r="H233" s="57">
        <f t="shared" si="56"/>
        <v>0</v>
      </c>
      <c r="I233" s="71">
        <f t="shared" si="57"/>
        <v>0</v>
      </c>
      <c r="J233" s="72" t="str">
        <f t="shared" si="58"/>
        <v>周2</v>
      </c>
      <c r="K233" s="73">
        <f>SUMIFS(广告数据包!H:H,广告数据包!A:A,A233,广告数据包!G:G,Base!$F$2)+SUMIFS(广告数据包!H:H,广告数据包!A:A,A233,广告数据包!G:G,Base!$F$3)+SUMIFS(广告数据包!H:H,广告数据包!A:A,A233,广告数据包!G:G,Base!$F$4)</f>
        <v>0</v>
      </c>
      <c r="L233" s="56">
        <f>SUMIFS(广告数据包!I:I,广告数据包!A:A,A233,广告数据包!G:G,Base!$F$2)+SUMIFS(广告数据包!I:I,广告数据包!A:A,A233,广告数据包!G:G,Base!$F$3)+SUMIFS(广告数据包!I:I,广告数据包!A:A,A233,广告数据包!G:G,Base!$F$4)</f>
        <v>0</v>
      </c>
      <c r="M233" s="57">
        <f t="shared" si="59"/>
        <v>0</v>
      </c>
      <c r="N233" s="74">
        <f t="shared" si="60"/>
        <v>0</v>
      </c>
      <c r="O233" s="75">
        <f>SUMIFS(广告数据包!P:P,广告数据包!A:A,A233,广告数据包!G:G,Base!$F$2)+SUMIFS(广告数据包!P:P,广告数据包!A:A,A233,广告数据包!G:G,Base!$F$3)+SUMIFS(广告数据包!P:P,广告数据包!A:A,A233,广告数据包!G:G,Base!$F$4)</f>
        <v>0</v>
      </c>
      <c r="P233" s="56">
        <f>SUMIFS(广告数据包!M:M,广告数据包!A:A,A233,广告数据包!G:G,Base!$F$2)+SUMIFS(广告数据包!M:M,广告数据包!A:A,A233,广告数据包!G:G,Base!$F$3)+SUMIFS(广告数据包!M:M,广告数据包!A:A,A233,广告数据包!G:G,Base!$F$4)</f>
        <v>0</v>
      </c>
      <c r="Q233" s="57">
        <f t="shared" si="61"/>
        <v>0</v>
      </c>
      <c r="R233" s="56">
        <f>SUMIFS(广告数据包!L:L,广告数据包!A:A,A233,广告数据包!G:G,Base!$F$2)+SUMIFS(广告数据包!L:L,广告数据包!A:A,A233,广告数据包!G:G,Base!$F$3)+SUMIFS(广告数据包!L:L,广告数据包!A:A,A233,广告数据包!G:G,Base!$F$4)</f>
        <v>0</v>
      </c>
      <c r="S233" s="86">
        <f t="shared" si="62"/>
        <v>0</v>
      </c>
    </row>
    <row r="234" ht="16.5" spans="1:19">
      <c r="A234" s="54">
        <v>44671</v>
      </c>
      <c r="B234" s="55">
        <f>SUMIFS(销售数据包!F:F,销售数据包!A:A,A234,销售数据包!C:C,Base!$F$2)+SUMIFS(销售数据包!F:F,销售数据包!A:A,A234,销售数据包!C:C,Base!$F$3)+SUMIFS(销售数据包!F:F,销售数据包!A:A,A234,销售数据包!C:C,Base!$F$4)</f>
        <v>0</v>
      </c>
      <c r="C234" s="56">
        <f>SUMIFS(销售数据包!K:K,销售数据包!A:A,A234,销售数据包!C:C,Base!$F$2)+SUMIFS(销售数据包!K:K,销售数据包!A:A,A234,销售数据包!C:C,Base!$F$3)+SUMIFS(销售数据包!K:K,销售数据包!A:A,A234,销售数据包!C:C,Base!$F$4)</f>
        <v>0</v>
      </c>
      <c r="D234" s="56">
        <f>SUMIFS(销售数据包!Q:Q,销售数据包!A:A,A234,销售数据包!C:C,Base!$F$2)+SUMIFS(销售数据包!Q:Q,销售数据包!A:A,A234,销售数据包!C:C,Base!$F$3)+SUMIFS(销售数据包!Q:Q,销售数据包!A:A,A234,销售数据包!C:C,Base!$F$4)</f>
        <v>0</v>
      </c>
      <c r="E234" s="57">
        <f t="shared" si="54"/>
        <v>0</v>
      </c>
      <c r="F234" s="57">
        <f t="shared" si="55"/>
        <v>0</v>
      </c>
      <c r="G234" s="56">
        <f>SUMIFS(销售数据包!O:O,销售数据包!A:A,A234)</f>
        <v>0</v>
      </c>
      <c r="H234" s="57">
        <f t="shared" si="56"/>
        <v>0</v>
      </c>
      <c r="I234" s="71">
        <f t="shared" si="57"/>
        <v>0</v>
      </c>
      <c r="J234" s="72" t="str">
        <f t="shared" si="58"/>
        <v>周3</v>
      </c>
      <c r="K234" s="73">
        <f>SUMIFS(广告数据包!H:H,广告数据包!A:A,A234,广告数据包!G:G,Base!$F$2)+SUMIFS(广告数据包!H:H,广告数据包!A:A,A234,广告数据包!G:G,Base!$F$3)+SUMIFS(广告数据包!H:H,广告数据包!A:A,A234,广告数据包!G:G,Base!$F$4)</f>
        <v>0</v>
      </c>
      <c r="L234" s="56">
        <f>SUMIFS(广告数据包!I:I,广告数据包!A:A,A234,广告数据包!G:G,Base!$F$2)+SUMIFS(广告数据包!I:I,广告数据包!A:A,A234,广告数据包!G:G,Base!$F$3)+SUMIFS(广告数据包!I:I,广告数据包!A:A,A234,广告数据包!G:G,Base!$F$4)</f>
        <v>0</v>
      </c>
      <c r="M234" s="57">
        <f t="shared" si="59"/>
        <v>0</v>
      </c>
      <c r="N234" s="74">
        <f t="shared" si="60"/>
        <v>0</v>
      </c>
      <c r="O234" s="75">
        <f>SUMIFS(广告数据包!P:P,广告数据包!A:A,A234,广告数据包!G:G,Base!$F$2)+SUMIFS(广告数据包!P:P,广告数据包!A:A,A234,广告数据包!G:G,Base!$F$3)+SUMIFS(广告数据包!P:P,广告数据包!A:A,A234,广告数据包!G:G,Base!$F$4)</f>
        <v>0</v>
      </c>
      <c r="P234" s="56">
        <f>SUMIFS(广告数据包!M:M,广告数据包!A:A,A234,广告数据包!G:G,Base!$F$2)+SUMIFS(广告数据包!M:M,广告数据包!A:A,A234,广告数据包!G:G,Base!$F$3)+SUMIFS(广告数据包!M:M,广告数据包!A:A,A234,广告数据包!G:G,Base!$F$4)</f>
        <v>0</v>
      </c>
      <c r="Q234" s="57">
        <f t="shared" si="61"/>
        <v>0</v>
      </c>
      <c r="R234" s="56">
        <f>SUMIFS(广告数据包!L:L,广告数据包!A:A,A234,广告数据包!G:G,Base!$F$2)+SUMIFS(广告数据包!L:L,广告数据包!A:A,A234,广告数据包!G:G,Base!$F$3)+SUMIFS(广告数据包!L:L,广告数据包!A:A,A234,广告数据包!G:G,Base!$F$4)</f>
        <v>0</v>
      </c>
      <c r="S234" s="86">
        <f t="shared" si="62"/>
        <v>0</v>
      </c>
    </row>
    <row r="235" ht="16.5" spans="1:19">
      <c r="A235" s="54">
        <v>44672</v>
      </c>
      <c r="B235" s="55">
        <f>SUMIFS(销售数据包!F:F,销售数据包!A:A,A235,销售数据包!C:C,Base!$F$2)+SUMIFS(销售数据包!F:F,销售数据包!A:A,A235,销售数据包!C:C,Base!$F$3)+SUMIFS(销售数据包!F:F,销售数据包!A:A,A235,销售数据包!C:C,Base!$F$4)</f>
        <v>0</v>
      </c>
      <c r="C235" s="56">
        <f>SUMIFS(销售数据包!K:K,销售数据包!A:A,A235,销售数据包!C:C,Base!$F$2)+SUMIFS(销售数据包!K:K,销售数据包!A:A,A235,销售数据包!C:C,Base!$F$3)+SUMIFS(销售数据包!K:K,销售数据包!A:A,A235,销售数据包!C:C,Base!$F$4)</f>
        <v>0</v>
      </c>
      <c r="D235" s="56">
        <f>SUMIFS(销售数据包!Q:Q,销售数据包!A:A,A235,销售数据包!C:C,Base!$F$2)+SUMIFS(销售数据包!Q:Q,销售数据包!A:A,A235,销售数据包!C:C,Base!$F$3)+SUMIFS(销售数据包!Q:Q,销售数据包!A:A,A235,销售数据包!C:C,Base!$F$4)</f>
        <v>0</v>
      </c>
      <c r="E235" s="57">
        <f t="shared" si="54"/>
        <v>0</v>
      </c>
      <c r="F235" s="57">
        <f t="shared" si="55"/>
        <v>0</v>
      </c>
      <c r="G235" s="56">
        <f>SUMIFS(销售数据包!O:O,销售数据包!A:A,A235)</f>
        <v>0</v>
      </c>
      <c r="H235" s="57">
        <f t="shared" si="56"/>
        <v>0</v>
      </c>
      <c r="I235" s="71">
        <f t="shared" si="57"/>
        <v>0</v>
      </c>
      <c r="J235" s="72" t="str">
        <f t="shared" si="58"/>
        <v>周4</v>
      </c>
      <c r="K235" s="73">
        <f>SUMIFS(广告数据包!H:H,广告数据包!A:A,A235,广告数据包!G:G,Base!$F$2)+SUMIFS(广告数据包!H:H,广告数据包!A:A,A235,广告数据包!G:G,Base!$F$3)+SUMIFS(广告数据包!H:H,广告数据包!A:A,A235,广告数据包!G:G,Base!$F$4)</f>
        <v>0</v>
      </c>
      <c r="L235" s="56">
        <f>SUMIFS(广告数据包!I:I,广告数据包!A:A,A235,广告数据包!G:G,Base!$F$2)+SUMIFS(广告数据包!I:I,广告数据包!A:A,A235,广告数据包!G:G,Base!$F$3)+SUMIFS(广告数据包!I:I,广告数据包!A:A,A235,广告数据包!G:G,Base!$F$4)</f>
        <v>0</v>
      </c>
      <c r="M235" s="57">
        <f t="shared" si="59"/>
        <v>0</v>
      </c>
      <c r="N235" s="74">
        <f t="shared" si="60"/>
        <v>0</v>
      </c>
      <c r="O235" s="75">
        <f>SUMIFS(广告数据包!P:P,广告数据包!A:A,A235,广告数据包!G:G,Base!$F$2)+SUMIFS(广告数据包!P:P,广告数据包!A:A,A235,广告数据包!G:G,Base!$F$3)+SUMIFS(广告数据包!P:P,广告数据包!A:A,A235,广告数据包!G:G,Base!$F$4)</f>
        <v>0</v>
      </c>
      <c r="P235" s="56">
        <f>SUMIFS(广告数据包!M:M,广告数据包!A:A,A235,广告数据包!G:G,Base!$F$2)+SUMIFS(广告数据包!M:M,广告数据包!A:A,A235,广告数据包!G:G,Base!$F$3)+SUMIFS(广告数据包!M:M,广告数据包!A:A,A235,广告数据包!G:G,Base!$F$4)</f>
        <v>0</v>
      </c>
      <c r="Q235" s="57">
        <f t="shared" si="61"/>
        <v>0</v>
      </c>
      <c r="R235" s="56">
        <f>SUMIFS(广告数据包!L:L,广告数据包!A:A,A235,广告数据包!G:G,Base!$F$2)+SUMIFS(广告数据包!L:L,广告数据包!A:A,A235,广告数据包!G:G,Base!$F$3)+SUMIFS(广告数据包!L:L,广告数据包!A:A,A235,广告数据包!G:G,Base!$F$4)</f>
        <v>0</v>
      </c>
      <c r="S235" s="86">
        <f t="shared" si="62"/>
        <v>0</v>
      </c>
    </row>
    <row r="236" ht="16.5" spans="1:19">
      <c r="A236" s="54">
        <v>44673</v>
      </c>
      <c r="B236" s="55">
        <f>SUMIFS(销售数据包!F:F,销售数据包!A:A,A236,销售数据包!C:C,Base!$F$2)+SUMIFS(销售数据包!F:F,销售数据包!A:A,A236,销售数据包!C:C,Base!$F$3)+SUMIFS(销售数据包!F:F,销售数据包!A:A,A236,销售数据包!C:C,Base!$F$4)</f>
        <v>0</v>
      </c>
      <c r="C236" s="56">
        <f>SUMIFS(销售数据包!K:K,销售数据包!A:A,A236,销售数据包!C:C,Base!$F$2)+SUMIFS(销售数据包!K:K,销售数据包!A:A,A236,销售数据包!C:C,Base!$F$3)+SUMIFS(销售数据包!K:K,销售数据包!A:A,A236,销售数据包!C:C,Base!$F$4)</f>
        <v>0</v>
      </c>
      <c r="D236" s="56">
        <f>SUMIFS(销售数据包!Q:Q,销售数据包!A:A,A236,销售数据包!C:C,Base!$F$2)+SUMIFS(销售数据包!Q:Q,销售数据包!A:A,A236,销售数据包!C:C,Base!$F$3)+SUMIFS(销售数据包!Q:Q,销售数据包!A:A,A236,销售数据包!C:C,Base!$F$4)</f>
        <v>0</v>
      </c>
      <c r="E236" s="57">
        <f t="shared" si="54"/>
        <v>0</v>
      </c>
      <c r="F236" s="57">
        <f t="shared" si="55"/>
        <v>0</v>
      </c>
      <c r="G236" s="56">
        <f>SUMIFS(销售数据包!O:O,销售数据包!A:A,A236)</f>
        <v>0</v>
      </c>
      <c r="H236" s="57">
        <f t="shared" si="56"/>
        <v>0</v>
      </c>
      <c r="I236" s="71">
        <f t="shared" si="57"/>
        <v>0</v>
      </c>
      <c r="J236" s="72" t="str">
        <f t="shared" si="58"/>
        <v>周5</v>
      </c>
      <c r="K236" s="73">
        <f>SUMIFS(广告数据包!H:H,广告数据包!A:A,A236,广告数据包!G:G,Base!$F$2)+SUMIFS(广告数据包!H:H,广告数据包!A:A,A236,广告数据包!G:G,Base!$F$3)+SUMIFS(广告数据包!H:H,广告数据包!A:A,A236,广告数据包!G:G,Base!$F$4)</f>
        <v>0</v>
      </c>
      <c r="L236" s="56">
        <f>SUMIFS(广告数据包!I:I,广告数据包!A:A,A236,广告数据包!G:G,Base!$F$2)+SUMIFS(广告数据包!I:I,广告数据包!A:A,A236,广告数据包!G:G,Base!$F$3)+SUMIFS(广告数据包!I:I,广告数据包!A:A,A236,广告数据包!G:G,Base!$F$4)</f>
        <v>0</v>
      </c>
      <c r="M236" s="57">
        <f t="shared" si="59"/>
        <v>0</v>
      </c>
      <c r="N236" s="74">
        <f t="shared" si="60"/>
        <v>0</v>
      </c>
      <c r="O236" s="75">
        <f>SUMIFS(广告数据包!P:P,广告数据包!A:A,A236,广告数据包!G:G,Base!$F$2)+SUMIFS(广告数据包!P:P,广告数据包!A:A,A236,广告数据包!G:G,Base!$F$3)+SUMIFS(广告数据包!P:P,广告数据包!A:A,A236,广告数据包!G:G,Base!$F$4)</f>
        <v>0</v>
      </c>
      <c r="P236" s="56">
        <f>SUMIFS(广告数据包!M:M,广告数据包!A:A,A236,广告数据包!G:G,Base!$F$2)+SUMIFS(广告数据包!M:M,广告数据包!A:A,A236,广告数据包!G:G,Base!$F$3)+SUMIFS(广告数据包!M:M,广告数据包!A:A,A236,广告数据包!G:G,Base!$F$4)</f>
        <v>0</v>
      </c>
      <c r="Q236" s="57">
        <f t="shared" si="61"/>
        <v>0</v>
      </c>
      <c r="R236" s="56">
        <f>SUMIFS(广告数据包!L:L,广告数据包!A:A,A236,广告数据包!G:G,Base!$F$2)+SUMIFS(广告数据包!L:L,广告数据包!A:A,A236,广告数据包!G:G,Base!$F$3)+SUMIFS(广告数据包!L:L,广告数据包!A:A,A236,广告数据包!G:G,Base!$F$4)</f>
        <v>0</v>
      </c>
      <c r="S236" s="86">
        <f t="shared" si="62"/>
        <v>0</v>
      </c>
    </row>
    <row r="237" ht="16.5" spans="1:19">
      <c r="A237" s="54">
        <v>44674</v>
      </c>
      <c r="B237" s="55">
        <f>SUMIFS(销售数据包!F:F,销售数据包!A:A,A237,销售数据包!C:C,Base!$F$2)+SUMIFS(销售数据包!F:F,销售数据包!A:A,A237,销售数据包!C:C,Base!$F$3)+SUMIFS(销售数据包!F:F,销售数据包!A:A,A237,销售数据包!C:C,Base!$F$4)</f>
        <v>0</v>
      </c>
      <c r="C237" s="56">
        <f>SUMIFS(销售数据包!K:K,销售数据包!A:A,A237,销售数据包!C:C,Base!$F$2)+SUMIFS(销售数据包!K:K,销售数据包!A:A,A237,销售数据包!C:C,Base!$F$3)+SUMIFS(销售数据包!K:K,销售数据包!A:A,A237,销售数据包!C:C,Base!$F$4)</f>
        <v>0</v>
      </c>
      <c r="D237" s="56">
        <f>SUMIFS(销售数据包!Q:Q,销售数据包!A:A,A237,销售数据包!C:C,Base!$F$2)+SUMIFS(销售数据包!Q:Q,销售数据包!A:A,A237,销售数据包!C:C,Base!$F$3)+SUMIFS(销售数据包!Q:Q,销售数据包!A:A,A237,销售数据包!C:C,Base!$F$4)</f>
        <v>0</v>
      </c>
      <c r="E237" s="57">
        <f t="shared" si="54"/>
        <v>0</v>
      </c>
      <c r="F237" s="57">
        <f t="shared" si="55"/>
        <v>0</v>
      </c>
      <c r="G237" s="56">
        <f>SUMIFS(销售数据包!O:O,销售数据包!A:A,A237)</f>
        <v>0</v>
      </c>
      <c r="H237" s="57">
        <f t="shared" si="56"/>
        <v>0</v>
      </c>
      <c r="I237" s="71">
        <f t="shared" si="57"/>
        <v>0</v>
      </c>
      <c r="J237" s="72" t="str">
        <f t="shared" si="58"/>
        <v>周6</v>
      </c>
      <c r="K237" s="73">
        <f>SUMIFS(广告数据包!H:H,广告数据包!A:A,A237,广告数据包!G:G,Base!$F$2)+SUMIFS(广告数据包!H:H,广告数据包!A:A,A237,广告数据包!G:G,Base!$F$3)+SUMIFS(广告数据包!H:H,广告数据包!A:A,A237,广告数据包!G:G,Base!$F$4)</f>
        <v>0</v>
      </c>
      <c r="L237" s="56">
        <f>SUMIFS(广告数据包!I:I,广告数据包!A:A,A237,广告数据包!G:G,Base!$F$2)+SUMIFS(广告数据包!I:I,广告数据包!A:A,A237,广告数据包!G:G,Base!$F$3)+SUMIFS(广告数据包!I:I,广告数据包!A:A,A237,广告数据包!G:G,Base!$F$4)</f>
        <v>0</v>
      </c>
      <c r="M237" s="57">
        <f t="shared" si="59"/>
        <v>0</v>
      </c>
      <c r="N237" s="74">
        <f t="shared" si="60"/>
        <v>0</v>
      </c>
      <c r="O237" s="75">
        <f>SUMIFS(广告数据包!P:P,广告数据包!A:A,A237,广告数据包!G:G,Base!$F$2)+SUMIFS(广告数据包!P:P,广告数据包!A:A,A237,广告数据包!G:G,Base!$F$3)+SUMIFS(广告数据包!P:P,广告数据包!A:A,A237,广告数据包!G:G,Base!$F$4)</f>
        <v>0</v>
      </c>
      <c r="P237" s="56">
        <f>SUMIFS(广告数据包!M:M,广告数据包!A:A,A237,广告数据包!G:G,Base!$F$2)+SUMIFS(广告数据包!M:M,广告数据包!A:A,A237,广告数据包!G:G,Base!$F$3)+SUMIFS(广告数据包!M:M,广告数据包!A:A,A237,广告数据包!G:G,Base!$F$4)</f>
        <v>0</v>
      </c>
      <c r="Q237" s="57">
        <f t="shared" si="61"/>
        <v>0</v>
      </c>
      <c r="R237" s="56">
        <f>SUMIFS(广告数据包!L:L,广告数据包!A:A,A237,广告数据包!G:G,Base!$F$2)+SUMIFS(广告数据包!L:L,广告数据包!A:A,A237,广告数据包!G:G,Base!$F$3)+SUMIFS(广告数据包!L:L,广告数据包!A:A,A237,广告数据包!G:G,Base!$F$4)</f>
        <v>0</v>
      </c>
      <c r="S237" s="86">
        <f t="shared" si="62"/>
        <v>0</v>
      </c>
    </row>
    <row r="238" ht="16.5" spans="1:19">
      <c r="A238" s="54">
        <v>44675</v>
      </c>
      <c r="B238" s="55">
        <f>SUMIFS(销售数据包!F:F,销售数据包!A:A,A238,销售数据包!C:C,Base!$F$2)+SUMIFS(销售数据包!F:F,销售数据包!A:A,A238,销售数据包!C:C,Base!$F$3)+SUMIFS(销售数据包!F:F,销售数据包!A:A,A238,销售数据包!C:C,Base!$F$4)</f>
        <v>0</v>
      </c>
      <c r="C238" s="56">
        <f>SUMIFS(销售数据包!K:K,销售数据包!A:A,A238,销售数据包!C:C,Base!$F$2)+SUMIFS(销售数据包!K:K,销售数据包!A:A,A238,销售数据包!C:C,Base!$F$3)+SUMIFS(销售数据包!K:K,销售数据包!A:A,A238,销售数据包!C:C,Base!$F$4)</f>
        <v>0</v>
      </c>
      <c r="D238" s="56">
        <f>SUMIFS(销售数据包!Q:Q,销售数据包!A:A,A238,销售数据包!C:C,Base!$F$2)+SUMIFS(销售数据包!Q:Q,销售数据包!A:A,A238,销售数据包!C:C,Base!$F$3)+SUMIFS(销售数据包!Q:Q,销售数据包!A:A,A238,销售数据包!C:C,Base!$F$4)</f>
        <v>0</v>
      </c>
      <c r="E238" s="57">
        <f t="shared" si="54"/>
        <v>0</v>
      </c>
      <c r="F238" s="57">
        <f t="shared" si="55"/>
        <v>0</v>
      </c>
      <c r="G238" s="56">
        <f>SUMIFS(销售数据包!O:O,销售数据包!A:A,A238)</f>
        <v>0</v>
      </c>
      <c r="H238" s="57">
        <f t="shared" si="56"/>
        <v>0</v>
      </c>
      <c r="I238" s="71">
        <f t="shared" si="57"/>
        <v>0</v>
      </c>
      <c r="J238" s="72" t="str">
        <f t="shared" si="58"/>
        <v>周7</v>
      </c>
      <c r="K238" s="73">
        <f>SUMIFS(广告数据包!H:H,广告数据包!A:A,A238,广告数据包!G:G,Base!$F$2)+SUMIFS(广告数据包!H:H,广告数据包!A:A,A238,广告数据包!G:G,Base!$F$3)+SUMIFS(广告数据包!H:H,广告数据包!A:A,A238,广告数据包!G:G,Base!$F$4)</f>
        <v>0</v>
      </c>
      <c r="L238" s="56">
        <f>SUMIFS(广告数据包!I:I,广告数据包!A:A,A238,广告数据包!G:G,Base!$F$2)+SUMIFS(广告数据包!I:I,广告数据包!A:A,A238,广告数据包!G:G,Base!$F$3)+SUMIFS(广告数据包!I:I,广告数据包!A:A,A238,广告数据包!G:G,Base!$F$4)</f>
        <v>0</v>
      </c>
      <c r="M238" s="57">
        <f t="shared" si="59"/>
        <v>0</v>
      </c>
      <c r="N238" s="74">
        <f t="shared" si="60"/>
        <v>0</v>
      </c>
      <c r="O238" s="75">
        <f>SUMIFS(广告数据包!P:P,广告数据包!A:A,A238,广告数据包!G:G,Base!$F$2)+SUMIFS(广告数据包!P:P,广告数据包!A:A,A238,广告数据包!G:G,Base!$F$3)+SUMIFS(广告数据包!P:P,广告数据包!A:A,A238,广告数据包!G:G,Base!$F$4)</f>
        <v>0</v>
      </c>
      <c r="P238" s="56">
        <f>SUMIFS(广告数据包!M:M,广告数据包!A:A,A238,广告数据包!G:G,Base!$F$2)+SUMIFS(广告数据包!M:M,广告数据包!A:A,A238,广告数据包!G:G,Base!$F$3)+SUMIFS(广告数据包!M:M,广告数据包!A:A,A238,广告数据包!G:G,Base!$F$4)</f>
        <v>0</v>
      </c>
      <c r="Q238" s="57">
        <f t="shared" si="61"/>
        <v>0</v>
      </c>
      <c r="R238" s="56">
        <f>SUMIFS(广告数据包!L:L,广告数据包!A:A,A238,广告数据包!G:G,Base!$F$2)+SUMIFS(广告数据包!L:L,广告数据包!A:A,A238,广告数据包!G:G,Base!$F$3)+SUMIFS(广告数据包!L:L,广告数据包!A:A,A238,广告数据包!G:G,Base!$F$4)</f>
        <v>0</v>
      </c>
      <c r="S238" s="86">
        <f t="shared" si="62"/>
        <v>0</v>
      </c>
    </row>
    <row r="239" ht="16.5" spans="1:19">
      <c r="A239" s="54">
        <v>44676</v>
      </c>
      <c r="B239" s="55">
        <f>SUMIFS(销售数据包!F:F,销售数据包!A:A,A239,销售数据包!C:C,Base!$F$2)+SUMIFS(销售数据包!F:F,销售数据包!A:A,A239,销售数据包!C:C,Base!$F$3)+SUMIFS(销售数据包!F:F,销售数据包!A:A,A239,销售数据包!C:C,Base!$F$4)</f>
        <v>0</v>
      </c>
      <c r="C239" s="56">
        <f>SUMIFS(销售数据包!K:K,销售数据包!A:A,A239,销售数据包!C:C,Base!$F$2)+SUMIFS(销售数据包!K:K,销售数据包!A:A,A239,销售数据包!C:C,Base!$F$3)+SUMIFS(销售数据包!K:K,销售数据包!A:A,A239,销售数据包!C:C,Base!$F$4)</f>
        <v>0</v>
      </c>
      <c r="D239" s="56">
        <f>SUMIFS(销售数据包!Q:Q,销售数据包!A:A,A239,销售数据包!C:C,Base!$F$2)+SUMIFS(销售数据包!Q:Q,销售数据包!A:A,A239,销售数据包!C:C,Base!$F$3)+SUMIFS(销售数据包!Q:Q,销售数据包!A:A,A239,销售数据包!C:C,Base!$F$4)</f>
        <v>0</v>
      </c>
      <c r="E239" s="57">
        <f t="shared" si="54"/>
        <v>0</v>
      </c>
      <c r="F239" s="57">
        <f t="shared" si="55"/>
        <v>0</v>
      </c>
      <c r="G239" s="56">
        <f>SUMIFS(销售数据包!O:O,销售数据包!A:A,A239)</f>
        <v>0</v>
      </c>
      <c r="H239" s="57">
        <f t="shared" si="56"/>
        <v>0</v>
      </c>
      <c r="I239" s="71">
        <f t="shared" si="57"/>
        <v>0</v>
      </c>
      <c r="J239" s="72" t="str">
        <f t="shared" si="58"/>
        <v>周1</v>
      </c>
      <c r="K239" s="73">
        <f>SUMIFS(广告数据包!H:H,广告数据包!A:A,A239,广告数据包!G:G,Base!$F$2)+SUMIFS(广告数据包!H:H,广告数据包!A:A,A239,广告数据包!G:G,Base!$F$3)+SUMIFS(广告数据包!H:H,广告数据包!A:A,A239,广告数据包!G:G,Base!$F$4)</f>
        <v>0</v>
      </c>
      <c r="L239" s="56">
        <f>SUMIFS(广告数据包!I:I,广告数据包!A:A,A239,广告数据包!G:G,Base!$F$2)+SUMIFS(广告数据包!I:I,广告数据包!A:A,A239,广告数据包!G:G,Base!$F$3)+SUMIFS(广告数据包!I:I,广告数据包!A:A,A239,广告数据包!G:G,Base!$F$4)</f>
        <v>0</v>
      </c>
      <c r="M239" s="57">
        <f t="shared" si="59"/>
        <v>0</v>
      </c>
      <c r="N239" s="74">
        <f t="shared" si="60"/>
        <v>0</v>
      </c>
      <c r="O239" s="75">
        <f>SUMIFS(广告数据包!P:P,广告数据包!A:A,A239,广告数据包!G:G,Base!$F$2)+SUMIFS(广告数据包!P:P,广告数据包!A:A,A239,广告数据包!G:G,Base!$F$3)+SUMIFS(广告数据包!P:P,广告数据包!A:A,A239,广告数据包!G:G,Base!$F$4)</f>
        <v>0</v>
      </c>
      <c r="P239" s="56">
        <f>SUMIFS(广告数据包!M:M,广告数据包!A:A,A239,广告数据包!G:G,Base!$F$2)+SUMIFS(广告数据包!M:M,广告数据包!A:A,A239,广告数据包!G:G,Base!$F$3)+SUMIFS(广告数据包!M:M,广告数据包!A:A,A239,广告数据包!G:G,Base!$F$4)</f>
        <v>0</v>
      </c>
      <c r="Q239" s="57">
        <f t="shared" si="61"/>
        <v>0</v>
      </c>
      <c r="R239" s="56">
        <f>SUMIFS(广告数据包!L:L,广告数据包!A:A,A239,广告数据包!G:G,Base!$F$2)+SUMIFS(广告数据包!L:L,广告数据包!A:A,A239,广告数据包!G:G,Base!$F$3)+SUMIFS(广告数据包!L:L,广告数据包!A:A,A239,广告数据包!G:G,Base!$F$4)</f>
        <v>0</v>
      </c>
      <c r="S239" s="86">
        <f t="shared" si="62"/>
        <v>0</v>
      </c>
    </row>
    <row r="240" ht="16.5" spans="1:19">
      <c r="A240" s="54">
        <v>44677</v>
      </c>
      <c r="B240" s="55">
        <f>SUMIFS(销售数据包!F:F,销售数据包!A:A,A240,销售数据包!C:C,Base!$F$2)+SUMIFS(销售数据包!F:F,销售数据包!A:A,A240,销售数据包!C:C,Base!$F$3)+SUMIFS(销售数据包!F:F,销售数据包!A:A,A240,销售数据包!C:C,Base!$F$4)</f>
        <v>0</v>
      </c>
      <c r="C240" s="56">
        <f>SUMIFS(销售数据包!K:K,销售数据包!A:A,A240,销售数据包!C:C,Base!$F$2)+SUMIFS(销售数据包!K:K,销售数据包!A:A,A240,销售数据包!C:C,Base!$F$3)+SUMIFS(销售数据包!K:K,销售数据包!A:A,A240,销售数据包!C:C,Base!$F$4)</f>
        <v>0</v>
      </c>
      <c r="D240" s="56">
        <f>SUMIFS(销售数据包!Q:Q,销售数据包!A:A,A240,销售数据包!C:C,Base!$F$2)+SUMIFS(销售数据包!Q:Q,销售数据包!A:A,A240,销售数据包!C:C,Base!$F$3)+SUMIFS(销售数据包!Q:Q,销售数据包!A:A,A240,销售数据包!C:C,Base!$F$4)</f>
        <v>0</v>
      </c>
      <c r="E240" s="57">
        <f t="shared" si="54"/>
        <v>0</v>
      </c>
      <c r="F240" s="57">
        <f t="shared" si="55"/>
        <v>0</v>
      </c>
      <c r="G240" s="56">
        <f>SUMIFS(销售数据包!O:O,销售数据包!A:A,A240)</f>
        <v>0</v>
      </c>
      <c r="H240" s="57">
        <f t="shared" si="56"/>
        <v>0</v>
      </c>
      <c r="I240" s="71">
        <f t="shared" si="57"/>
        <v>0</v>
      </c>
      <c r="J240" s="72" t="str">
        <f t="shared" si="58"/>
        <v>周2</v>
      </c>
      <c r="K240" s="73">
        <f>SUMIFS(广告数据包!H:H,广告数据包!A:A,A240,广告数据包!G:G,Base!$F$2)+SUMIFS(广告数据包!H:H,广告数据包!A:A,A240,广告数据包!G:G,Base!$F$3)+SUMIFS(广告数据包!H:H,广告数据包!A:A,A240,广告数据包!G:G,Base!$F$4)</f>
        <v>0</v>
      </c>
      <c r="L240" s="56">
        <f>SUMIFS(广告数据包!I:I,广告数据包!A:A,A240,广告数据包!G:G,Base!$F$2)+SUMIFS(广告数据包!I:I,广告数据包!A:A,A240,广告数据包!G:G,Base!$F$3)+SUMIFS(广告数据包!I:I,广告数据包!A:A,A240,广告数据包!G:G,Base!$F$4)</f>
        <v>0</v>
      </c>
      <c r="M240" s="57">
        <f t="shared" si="59"/>
        <v>0</v>
      </c>
      <c r="N240" s="74">
        <f t="shared" si="60"/>
        <v>0</v>
      </c>
      <c r="O240" s="75">
        <f>SUMIFS(广告数据包!P:P,广告数据包!A:A,A240,广告数据包!G:G,Base!$F$2)+SUMIFS(广告数据包!P:P,广告数据包!A:A,A240,广告数据包!G:G,Base!$F$3)+SUMIFS(广告数据包!P:P,广告数据包!A:A,A240,广告数据包!G:G,Base!$F$4)</f>
        <v>0</v>
      </c>
      <c r="P240" s="56">
        <f>SUMIFS(广告数据包!M:M,广告数据包!A:A,A240,广告数据包!G:G,Base!$F$2)+SUMIFS(广告数据包!M:M,广告数据包!A:A,A240,广告数据包!G:G,Base!$F$3)+SUMIFS(广告数据包!M:M,广告数据包!A:A,A240,广告数据包!G:G,Base!$F$4)</f>
        <v>0</v>
      </c>
      <c r="Q240" s="57">
        <f t="shared" si="61"/>
        <v>0</v>
      </c>
      <c r="R240" s="56">
        <f>SUMIFS(广告数据包!L:L,广告数据包!A:A,A240,广告数据包!G:G,Base!$F$2)+SUMIFS(广告数据包!L:L,广告数据包!A:A,A240,广告数据包!G:G,Base!$F$3)+SUMIFS(广告数据包!L:L,广告数据包!A:A,A240,广告数据包!G:G,Base!$F$4)</f>
        <v>0</v>
      </c>
      <c r="S240" s="86">
        <f t="shared" si="62"/>
        <v>0</v>
      </c>
    </row>
    <row r="241" ht="16.5" spans="1:19">
      <c r="A241" s="54">
        <v>44678</v>
      </c>
      <c r="B241" s="55">
        <f>SUMIFS(销售数据包!F:F,销售数据包!A:A,A241,销售数据包!C:C,Base!$F$2)+SUMIFS(销售数据包!F:F,销售数据包!A:A,A241,销售数据包!C:C,Base!$F$3)+SUMIFS(销售数据包!F:F,销售数据包!A:A,A241,销售数据包!C:C,Base!$F$4)</f>
        <v>0</v>
      </c>
      <c r="C241" s="56">
        <f>SUMIFS(销售数据包!K:K,销售数据包!A:A,A241,销售数据包!C:C,Base!$F$2)+SUMIFS(销售数据包!K:K,销售数据包!A:A,A241,销售数据包!C:C,Base!$F$3)+SUMIFS(销售数据包!K:K,销售数据包!A:A,A241,销售数据包!C:C,Base!$F$4)</f>
        <v>0</v>
      </c>
      <c r="D241" s="56">
        <f>SUMIFS(销售数据包!Q:Q,销售数据包!A:A,A241,销售数据包!C:C,Base!$F$2)+SUMIFS(销售数据包!Q:Q,销售数据包!A:A,A241,销售数据包!C:C,Base!$F$3)+SUMIFS(销售数据包!Q:Q,销售数据包!A:A,A241,销售数据包!C:C,Base!$F$4)</f>
        <v>0</v>
      </c>
      <c r="E241" s="57">
        <f t="shared" si="54"/>
        <v>0</v>
      </c>
      <c r="F241" s="57">
        <f t="shared" si="55"/>
        <v>0</v>
      </c>
      <c r="G241" s="56">
        <f>SUMIFS(销售数据包!O:O,销售数据包!A:A,A241)</f>
        <v>0</v>
      </c>
      <c r="H241" s="57">
        <f t="shared" si="56"/>
        <v>0</v>
      </c>
      <c r="I241" s="71">
        <f t="shared" si="57"/>
        <v>0</v>
      </c>
      <c r="J241" s="72" t="str">
        <f t="shared" si="58"/>
        <v>周3</v>
      </c>
      <c r="K241" s="73">
        <f>SUMIFS(广告数据包!H:H,广告数据包!A:A,A241,广告数据包!G:G,Base!$F$2)+SUMIFS(广告数据包!H:H,广告数据包!A:A,A241,广告数据包!G:G,Base!$F$3)+SUMIFS(广告数据包!H:H,广告数据包!A:A,A241,广告数据包!G:G,Base!$F$4)</f>
        <v>0</v>
      </c>
      <c r="L241" s="56">
        <f>SUMIFS(广告数据包!I:I,广告数据包!A:A,A241,广告数据包!G:G,Base!$F$2)+SUMIFS(广告数据包!I:I,广告数据包!A:A,A241,广告数据包!G:G,Base!$F$3)+SUMIFS(广告数据包!I:I,广告数据包!A:A,A241,广告数据包!G:G,Base!$F$4)</f>
        <v>0</v>
      </c>
      <c r="M241" s="57">
        <f t="shared" si="59"/>
        <v>0</v>
      </c>
      <c r="N241" s="74">
        <f t="shared" si="60"/>
        <v>0</v>
      </c>
      <c r="O241" s="75">
        <f>SUMIFS(广告数据包!P:P,广告数据包!A:A,A241,广告数据包!G:G,Base!$F$2)+SUMIFS(广告数据包!P:P,广告数据包!A:A,A241,广告数据包!G:G,Base!$F$3)+SUMIFS(广告数据包!P:P,广告数据包!A:A,A241,广告数据包!G:G,Base!$F$4)</f>
        <v>0</v>
      </c>
      <c r="P241" s="56">
        <f>SUMIFS(广告数据包!M:M,广告数据包!A:A,A241,广告数据包!G:G,Base!$F$2)+SUMIFS(广告数据包!M:M,广告数据包!A:A,A241,广告数据包!G:G,Base!$F$3)+SUMIFS(广告数据包!M:M,广告数据包!A:A,A241,广告数据包!G:G,Base!$F$4)</f>
        <v>0</v>
      </c>
      <c r="Q241" s="57">
        <f t="shared" si="61"/>
        <v>0</v>
      </c>
      <c r="R241" s="56">
        <f>SUMIFS(广告数据包!L:L,广告数据包!A:A,A241,广告数据包!G:G,Base!$F$2)+SUMIFS(广告数据包!L:L,广告数据包!A:A,A241,广告数据包!G:G,Base!$F$3)+SUMIFS(广告数据包!L:L,广告数据包!A:A,A241,广告数据包!G:G,Base!$F$4)</f>
        <v>0</v>
      </c>
      <c r="S241" s="86">
        <f t="shared" si="62"/>
        <v>0</v>
      </c>
    </row>
    <row r="242" ht="16.5" spans="1:19">
      <c r="A242" s="54">
        <v>44679</v>
      </c>
      <c r="B242" s="55">
        <f>SUMIFS(销售数据包!F:F,销售数据包!A:A,A242,销售数据包!C:C,Base!$F$2)+SUMIFS(销售数据包!F:F,销售数据包!A:A,A242,销售数据包!C:C,Base!$F$3)+SUMIFS(销售数据包!F:F,销售数据包!A:A,A242,销售数据包!C:C,Base!$F$4)</f>
        <v>0</v>
      </c>
      <c r="C242" s="56">
        <f>SUMIFS(销售数据包!K:K,销售数据包!A:A,A242,销售数据包!C:C,Base!$F$2)+SUMIFS(销售数据包!K:K,销售数据包!A:A,A242,销售数据包!C:C,Base!$F$3)+SUMIFS(销售数据包!K:K,销售数据包!A:A,A242,销售数据包!C:C,Base!$F$4)</f>
        <v>0</v>
      </c>
      <c r="D242" s="56">
        <f>SUMIFS(销售数据包!Q:Q,销售数据包!A:A,A242,销售数据包!C:C,Base!$F$2)+SUMIFS(销售数据包!Q:Q,销售数据包!A:A,A242,销售数据包!C:C,Base!$F$3)+SUMIFS(销售数据包!Q:Q,销售数据包!A:A,A242,销售数据包!C:C,Base!$F$4)</f>
        <v>0</v>
      </c>
      <c r="E242" s="57">
        <f t="shared" si="54"/>
        <v>0</v>
      </c>
      <c r="F242" s="57">
        <f t="shared" si="55"/>
        <v>0</v>
      </c>
      <c r="G242" s="56">
        <f>SUMIFS(销售数据包!O:O,销售数据包!A:A,A242)</f>
        <v>0</v>
      </c>
      <c r="H242" s="57">
        <f t="shared" si="56"/>
        <v>0</v>
      </c>
      <c r="I242" s="71">
        <f t="shared" si="57"/>
        <v>0</v>
      </c>
      <c r="J242" s="72" t="str">
        <f t="shared" si="58"/>
        <v>周4</v>
      </c>
      <c r="K242" s="73">
        <f>SUMIFS(广告数据包!H:H,广告数据包!A:A,A242,广告数据包!G:G,Base!$F$2)+SUMIFS(广告数据包!H:H,广告数据包!A:A,A242,广告数据包!G:G,Base!$F$3)+SUMIFS(广告数据包!H:H,广告数据包!A:A,A242,广告数据包!G:G,Base!$F$4)</f>
        <v>0</v>
      </c>
      <c r="L242" s="56">
        <f>SUMIFS(广告数据包!I:I,广告数据包!A:A,A242,广告数据包!G:G,Base!$F$2)+SUMIFS(广告数据包!I:I,广告数据包!A:A,A242,广告数据包!G:G,Base!$F$3)+SUMIFS(广告数据包!I:I,广告数据包!A:A,A242,广告数据包!G:G,Base!$F$4)</f>
        <v>0</v>
      </c>
      <c r="M242" s="57">
        <f t="shared" si="59"/>
        <v>0</v>
      </c>
      <c r="N242" s="74">
        <f t="shared" si="60"/>
        <v>0</v>
      </c>
      <c r="O242" s="75">
        <f>SUMIFS(广告数据包!P:P,广告数据包!A:A,A242,广告数据包!G:G,Base!$F$2)+SUMIFS(广告数据包!P:P,广告数据包!A:A,A242,广告数据包!G:G,Base!$F$3)+SUMIFS(广告数据包!P:P,广告数据包!A:A,A242,广告数据包!G:G,Base!$F$4)</f>
        <v>0</v>
      </c>
      <c r="P242" s="56">
        <f>SUMIFS(广告数据包!M:M,广告数据包!A:A,A242,广告数据包!G:G,Base!$F$2)+SUMIFS(广告数据包!M:M,广告数据包!A:A,A242,广告数据包!G:G,Base!$F$3)+SUMIFS(广告数据包!M:M,广告数据包!A:A,A242,广告数据包!G:G,Base!$F$4)</f>
        <v>0</v>
      </c>
      <c r="Q242" s="57">
        <f t="shared" si="61"/>
        <v>0</v>
      </c>
      <c r="R242" s="56">
        <f>SUMIFS(广告数据包!L:L,广告数据包!A:A,A242,广告数据包!G:G,Base!$F$2)+SUMIFS(广告数据包!L:L,广告数据包!A:A,A242,广告数据包!G:G,Base!$F$3)+SUMIFS(广告数据包!L:L,广告数据包!A:A,A242,广告数据包!G:G,Base!$F$4)</f>
        <v>0</v>
      </c>
      <c r="S242" s="86">
        <f t="shared" si="62"/>
        <v>0</v>
      </c>
    </row>
    <row r="243" ht="16.5" spans="1:19">
      <c r="A243" s="54">
        <v>44680</v>
      </c>
      <c r="B243" s="55">
        <f>SUMIFS(销售数据包!F:F,销售数据包!A:A,A243,销售数据包!C:C,Base!$F$2)+SUMIFS(销售数据包!F:F,销售数据包!A:A,A243,销售数据包!C:C,Base!$F$3)+SUMIFS(销售数据包!F:F,销售数据包!A:A,A243,销售数据包!C:C,Base!$F$4)</f>
        <v>0</v>
      </c>
      <c r="C243" s="56">
        <f>SUMIFS(销售数据包!K:K,销售数据包!A:A,A243,销售数据包!C:C,Base!$F$2)+SUMIFS(销售数据包!K:K,销售数据包!A:A,A243,销售数据包!C:C,Base!$F$3)+SUMIFS(销售数据包!K:K,销售数据包!A:A,A243,销售数据包!C:C,Base!$F$4)</f>
        <v>0</v>
      </c>
      <c r="D243" s="56">
        <f>SUMIFS(销售数据包!Q:Q,销售数据包!A:A,A243,销售数据包!C:C,Base!$F$2)+SUMIFS(销售数据包!Q:Q,销售数据包!A:A,A243,销售数据包!C:C,Base!$F$3)+SUMIFS(销售数据包!Q:Q,销售数据包!A:A,A243,销售数据包!C:C,Base!$F$4)</f>
        <v>0</v>
      </c>
      <c r="E243" s="57">
        <f t="shared" si="54"/>
        <v>0</v>
      </c>
      <c r="F243" s="57">
        <f t="shared" si="55"/>
        <v>0</v>
      </c>
      <c r="G243" s="56">
        <f>SUMIFS(销售数据包!O:O,销售数据包!A:A,A243)</f>
        <v>0</v>
      </c>
      <c r="H243" s="57">
        <f t="shared" si="56"/>
        <v>0</v>
      </c>
      <c r="I243" s="71">
        <f t="shared" si="57"/>
        <v>0</v>
      </c>
      <c r="J243" s="72" t="str">
        <f t="shared" si="58"/>
        <v>周5</v>
      </c>
      <c r="K243" s="73">
        <f>SUMIFS(广告数据包!H:H,广告数据包!A:A,A243,广告数据包!G:G,Base!$F$2)+SUMIFS(广告数据包!H:H,广告数据包!A:A,A243,广告数据包!G:G,Base!$F$3)+SUMIFS(广告数据包!H:H,广告数据包!A:A,A243,广告数据包!G:G,Base!$F$4)</f>
        <v>0</v>
      </c>
      <c r="L243" s="56">
        <f>SUMIFS(广告数据包!I:I,广告数据包!A:A,A243,广告数据包!G:G,Base!$F$2)+SUMIFS(广告数据包!I:I,广告数据包!A:A,A243,广告数据包!G:G,Base!$F$3)+SUMIFS(广告数据包!I:I,广告数据包!A:A,A243,广告数据包!G:G,Base!$F$4)</f>
        <v>0</v>
      </c>
      <c r="M243" s="57">
        <f t="shared" si="59"/>
        <v>0</v>
      </c>
      <c r="N243" s="74">
        <f t="shared" si="60"/>
        <v>0</v>
      </c>
      <c r="O243" s="75">
        <f>SUMIFS(广告数据包!P:P,广告数据包!A:A,A243,广告数据包!G:G,Base!$F$2)+SUMIFS(广告数据包!P:P,广告数据包!A:A,A243,广告数据包!G:G,Base!$F$3)+SUMIFS(广告数据包!P:P,广告数据包!A:A,A243,广告数据包!G:G,Base!$F$4)</f>
        <v>0</v>
      </c>
      <c r="P243" s="56">
        <f>SUMIFS(广告数据包!M:M,广告数据包!A:A,A243,广告数据包!G:G,Base!$F$2)+SUMIFS(广告数据包!M:M,广告数据包!A:A,A243,广告数据包!G:G,Base!$F$3)+SUMIFS(广告数据包!M:M,广告数据包!A:A,A243,广告数据包!G:G,Base!$F$4)</f>
        <v>0</v>
      </c>
      <c r="Q243" s="57">
        <f t="shared" si="61"/>
        <v>0</v>
      </c>
      <c r="R243" s="56">
        <f>SUMIFS(广告数据包!L:L,广告数据包!A:A,A243,广告数据包!G:G,Base!$F$2)+SUMIFS(广告数据包!L:L,广告数据包!A:A,A243,广告数据包!G:G,Base!$F$3)+SUMIFS(广告数据包!L:L,广告数据包!A:A,A243,广告数据包!G:G,Base!$F$4)</f>
        <v>0</v>
      </c>
      <c r="S243" s="86">
        <f t="shared" si="62"/>
        <v>0</v>
      </c>
    </row>
    <row r="244" ht="16.5" spans="1:19">
      <c r="A244" s="54">
        <v>44681</v>
      </c>
      <c r="B244" s="55">
        <f>SUMIFS(销售数据包!F:F,销售数据包!A:A,A244,销售数据包!C:C,Base!$F$2)+SUMIFS(销售数据包!F:F,销售数据包!A:A,A244,销售数据包!C:C,Base!$F$3)+SUMIFS(销售数据包!F:F,销售数据包!A:A,A244,销售数据包!C:C,Base!$F$4)</f>
        <v>0</v>
      </c>
      <c r="C244" s="56">
        <f>SUMIFS(销售数据包!K:K,销售数据包!A:A,A244,销售数据包!C:C,Base!$F$2)+SUMIFS(销售数据包!K:K,销售数据包!A:A,A244,销售数据包!C:C,Base!$F$3)+SUMIFS(销售数据包!K:K,销售数据包!A:A,A244,销售数据包!C:C,Base!$F$4)</f>
        <v>0</v>
      </c>
      <c r="D244" s="56">
        <f>SUMIFS(销售数据包!Q:Q,销售数据包!A:A,A244,销售数据包!C:C,Base!$F$2)+SUMIFS(销售数据包!Q:Q,销售数据包!A:A,A244,销售数据包!C:C,Base!$F$3)+SUMIFS(销售数据包!Q:Q,销售数据包!A:A,A244,销售数据包!C:C,Base!$F$4)</f>
        <v>0</v>
      </c>
      <c r="E244" s="57">
        <f t="shared" si="54"/>
        <v>0</v>
      </c>
      <c r="F244" s="57">
        <f t="shared" si="55"/>
        <v>0</v>
      </c>
      <c r="G244" s="56">
        <f>SUMIFS(销售数据包!O:O,销售数据包!A:A,A244)</f>
        <v>0</v>
      </c>
      <c r="H244" s="57">
        <f t="shared" si="56"/>
        <v>0</v>
      </c>
      <c r="I244" s="71">
        <f t="shared" si="57"/>
        <v>0</v>
      </c>
      <c r="J244" s="72" t="str">
        <f t="shared" si="58"/>
        <v>周6</v>
      </c>
      <c r="K244" s="73">
        <f>SUMIFS(广告数据包!H:H,广告数据包!A:A,A244,广告数据包!G:G,Base!$F$2)+SUMIFS(广告数据包!H:H,广告数据包!A:A,A244,广告数据包!G:G,Base!$F$3)+SUMIFS(广告数据包!H:H,广告数据包!A:A,A244,广告数据包!G:G,Base!$F$4)</f>
        <v>0</v>
      </c>
      <c r="L244" s="56">
        <f>SUMIFS(广告数据包!I:I,广告数据包!A:A,A244,广告数据包!G:G,Base!$F$2)+SUMIFS(广告数据包!I:I,广告数据包!A:A,A244,广告数据包!G:G,Base!$F$3)+SUMIFS(广告数据包!I:I,广告数据包!A:A,A244,广告数据包!G:G,Base!$F$4)</f>
        <v>0</v>
      </c>
      <c r="M244" s="57">
        <f t="shared" si="59"/>
        <v>0</v>
      </c>
      <c r="N244" s="74">
        <f t="shared" si="60"/>
        <v>0</v>
      </c>
      <c r="O244" s="75">
        <f>SUMIFS(广告数据包!P:P,广告数据包!A:A,A244,广告数据包!G:G,Base!$F$2)+SUMIFS(广告数据包!P:P,广告数据包!A:A,A244,广告数据包!G:G,Base!$F$3)+SUMIFS(广告数据包!P:P,广告数据包!A:A,A244,广告数据包!G:G,Base!$F$4)</f>
        <v>0</v>
      </c>
      <c r="P244" s="56">
        <f>SUMIFS(广告数据包!M:M,广告数据包!A:A,A244,广告数据包!G:G,Base!$F$2)+SUMIFS(广告数据包!M:M,广告数据包!A:A,A244,广告数据包!G:G,Base!$F$3)+SUMIFS(广告数据包!M:M,广告数据包!A:A,A244,广告数据包!G:G,Base!$F$4)</f>
        <v>0</v>
      </c>
      <c r="Q244" s="57">
        <f t="shared" si="61"/>
        <v>0</v>
      </c>
      <c r="R244" s="56">
        <f>SUMIFS(广告数据包!L:L,广告数据包!A:A,A244,广告数据包!G:G,Base!$F$2)+SUMIFS(广告数据包!L:L,广告数据包!A:A,A244,广告数据包!G:G,Base!$F$3)+SUMIFS(广告数据包!L:L,广告数据包!A:A,A244,广告数据包!G:G,Base!$F$4)</f>
        <v>0</v>
      </c>
      <c r="S244" s="86">
        <f t="shared" si="62"/>
        <v>0</v>
      </c>
    </row>
    <row r="245" ht="16.5" spans="1:19">
      <c r="A245" s="54">
        <v>44682</v>
      </c>
      <c r="B245" s="55">
        <f>SUMIFS(销售数据包!F:F,销售数据包!A:A,A245,销售数据包!C:C,Base!$F$2)+SUMIFS(销售数据包!F:F,销售数据包!A:A,A245,销售数据包!C:C,Base!$F$3)+SUMIFS(销售数据包!F:F,销售数据包!A:A,A245,销售数据包!C:C,Base!$F$4)</f>
        <v>0</v>
      </c>
      <c r="C245" s="56">
        <f>SUMIFS(销售数据包!K:K,销售数据包!A:A,A245,销售数据包!C:C,Base!$F$2)+SUMIFS(销售数据包!K:K,销售数据包!A:A,A245,销售数据包!C:C,Base!$F$3)+SUMIFS(销售数据包!K:K,销售数据包!A:A,A245,销售数据包!C:C,Base!$F$4)</f>
        <v>0</v>
      </c>
      <c r="D245" s="56">
        <f>SUMIFS(销售数据包!Q:Q,销售数据包!A:A,A245,销售数据包!C:C,Base!$F$2)+SUMIFS(销售数据包!Q:Q,销售数据包!A:A,A245,销售数据包!C:C,Base!$F$3)+SUMIFS(销售数据包!Q:Q,销售数据包!A:A,A245,销售数据包!C:C,Base!$F$4)</f>
        <v>0</v>
      </c>
      <c r="E245" s="57">
        <f t="shared" si="54"/>
        <v>0</v>
      </c>
      <c r="F245" s="57">
        <f t="shared" si="55"/>
        <v>0</v>
      </c>
      <c r="G245" s="56">
        <f>SUMIFS(销售数据包!O:O,销售数据包!A:A,A245)</f>
        <v>0</v>
      </c>
      <c r="H245" s="57">
        <f t="shared" si="56"/>
        <v>0</v>
      </c>
      <c r="I245" s="71">
        <f t="shared" si="57"/>
        <v>0</v>
      </c>
      <c r="J245" s="72" t="str">
        <f t="shared" si="58"/>
        <v>周7</v>
      </c>
      <c r="K245" s="73">
        <f>SUMIFS(广告数据包!H:H,广告数据包!A:A,A245,广告数据包!G:G,Base!$F$2)+SUMIFS(广告数据包!H:H,广告数据包!A:A,A245,广告数据包!G:G,Base!$F$3)+SUMIFS(广告数据包!H:H,广告数据包!A:A,A245,广告数据包!G:G,Base!$F$4)</f>
        <v>0</v>
      </c>
      <c r="L245" s="56">
        <f>SUMIFS(广告数据包!I:I,广告数据包!A:A,A245,广告数据包!G:G,Base!$F$2)+SUMIFS(广告数据包!I:I,广告数据包!A:A,A245,广告数据包!G:G,Base!$F$3)+SUMIFS(广告数据包!I:I,广告数据包!A:A,A245,广告数据包!G:G,Base!$F$4)</f>
        <v>0</v>
      </c>
      <c r="M245" s="57">
        <f t="shared" si="59"/>
        <v>0</v>
      </c>
      <c r="N245" s="74">
        <f t="shared" si="60"/>
        <v>0</v>
      </c>
      <c r="O245" s="75">
        <f>SUMIFS(广告数据包!P:P,广告数据包!A:A,A245,广告数据包!G:G,Base!$F$2)+SUMIFS(广告数据包!P:P,广告数据包!A:A,A245,广告数据包!G:G,Base!$F$3)+SUMIFS(广告数据包!P:P,广告数据包!A:A,A245,广告数据包!G:G,Base!$F$4)</f>
        <v>0</v>
      </c>
      <c r="P245" s="56">
        <f>SUMIFS(广告数据包!M:M,广告数据包!A:A,A245,广告数据包!G:G,Base!$F$2)+SUMIFS(广告数据包!M:M,广告数据包!A:A,A245,广告数据包!G:G,Base!$F$3)+SUMIFS(广告数据包!M:M,广告数据包!A:A,A245,广告数据包!G:G,Base!$F$4)</f>
        <v>0</v>
      </c>
      <c r="Q245" s="57">
        <f t="shared" si="61"/>
        <v>0</v>
      </c>
      <c r="R245" s="56">
        <f>SUMIFS(广告数据包!L:L,广告数据包!A:A,A245,广告数据包!G:G,Base!$F$2)+SUMIFS(广告数据包!L:L,广告数据包!A:A,A245,广告数据包!G:G,Base!$F$3)+SUMIFS(广告数据包!L:L,广告数据包!A:A,A245,广告数据包!G:G,Base!$F$4)</f>
        <v>0</v>
      </c>
      <c r="S245" s="86">
        <f t="shared" si="62"/>
        <v>0</v>
      </c>
    </row>
    <row r="246" ht="16.5" spans="1:19">
      <c r="A246" s="54">
        <v>44683</v>
      </c>
      <c r="B246" s="55">
        <f>SUMIFS(销售数据包!F:F,销售数据包!A:A,A246,销售数据包!C:C,Base!$F$2)+SUMIFS(销售数据包!F:F,销售数据包!A:A,A246,销售数据包!C:C,Base!$F$3)+SUMIFS(销售数据包!F:F,销售数据包!A:A,A246,销售数据包!C:C,Base!$F$4)</f>
        <v>0</v>
      </c>
      <c r="C246" s="56">
        <f>SUMIFS(销售数据包!K:K,销售数据包!A:A,A246,销售数据包!C:C,Base!$F$2)+SUMIFS(销售数据包!K:K,销售数据包!A:A,A246,销售数据包!C:C,Base!$F$3)+SUMIFS(销售数据包!K:K,销售数据包!A:A,A246,销售数据包!C:C,Base!$F$4)</f>
        <v>0</v>
      </c>
      <c r="D246" s="56">
        <f>SUMIFS(销售数据包!Q:Q,销售数据包!A:A,A246,销售数据包!C:C,Base!$F$2)+SUMIFS(销售数据包!Q:Q,销售数据包!A:A,A246,销售数据包!C:C,Base!$F$3)+SUMIFS(销售数据包!Q:Q,销售数据包!A:A,A246,销售数据包!C:C,Base!$F$4)</f>
        <v>0</v>
      </c>
      <c r="E246" s="57">
        <f t="shared" si="54"/>
        <v>0</v>
      </c>
      <c r="F246" s="57">
        <f t="shared" si="55"/>
        <v>0</v>
      </c>
      <c r="G246" s="56">
        <f>SUMIFS(销售数据包!O:O,销售数据包!A:A,A246)</f>
        <v>0</v>
      </c>
      <c r="H246" s="57">
        <f t="shared" si="56"/>
        <v>0</v>
      </c>
      <c r="I246" s="71">
        <f t="shared" si="57"/>
        <v>0</v>
      </c>
      <c r="J246" s="72" t="str">
        <f t="shared" si="58"/>
        <v>周1</v>
      </c>
      <c r="K246" s="73">
        <f>SUMIFS(广告数据包!H:H,广告数据包!A:A,A246,广告数据包!G:G,Base!$F$2)+SUMIFS(广告数据包!H:H,广告数据包!A:A,A246,广告数据包!G:G,Base!$F$3)+SUMIFS(广告数据包!H:H,广告数据包!A:A,A246,广告数据包!G:G,Base!$F$4)</f>
        <v>0</v>
      </c>
      <c r="L246" s="56">
        <f>SUMIFS(广告数据包!I:I,广告数据包!A:A,A246,广告数据包!G:G,Base!$F$2)+SUMIFS(广告数据包!I:I,广告数据包!A:A,A246,广告数据包!G:G,Base!$F$3)+SUMIFS(广告数据包!I:I,广告数据包!A:A,A246,广告数据包!G:G,Base!$F$4)</f>
        <v>0</v>
      </c>
      <c r="M246" s="57">
        <f t="shared" si="59"/>
        <v>0</v>
      </c>
      <c r="N246" s="74">
        <f t="shared" si="60"/>
        <v>0</v>
      </c>
      <c r="O246" s="75">
        <f>SUMIFS(广告数据包!P:P,广告数据包!A:A,A246,广告数据包!G:G,Base!$F$2)+SUMIFS(广告数据包!P:P,广告数据包!A:A,A246,广告数据包!G:G,Base!$F$3)+SUMIFS(广告数据包!P:P,广告数据包!A:A,A246,广告数据包!G:G,Base!$F$4)</f>
        <v>0</v>
      </c>
      <c r="P246" s="56">
        <f>SUMIFS(广告数据包!M:M,广告数据包!A:A,A246,广告数据包!G:G,Base!$F$2)+SUMIFS(广告数据包!M:M,广告数据包!A:A,A246,广告数据包!G:G,Base!$F$3)+SUMIFS(广告数据包!M:M,广告数据包!A:A,A246,广告数据包!G:G,Base!$F$4)</f>
        <v>0</v>
      </c>
      <c r="Q246" s="57">
        <f t="shared" si="61"/>
        <v>0</v>
      </c>
      <c r="R246" s="56">
        <f>SUMIFS(广告数据包!L:L,广告数据包!A:A,A246,广告数据包!G:G,Base!$F$2)+SUMIFS(广告数据包!L:L,广告数据包!A:A,A246,广告数据包!G:G,Base!$F$3)+SUMIFS(广告数据包!L:L,广告数据包!A:A,A246,广告数据包!G:G,Base!$F$4)</f>
        <v>0</v>
      </c>
      <c r="S246" s="86">
        <f t="shared" si="62"/>
        <v>0</v>
      </c>
    </row>
    <row r="247" ht="16.5" spans="1:19">
      <c r="A247" s="54">
        <v>44684</v>
      </c>
      <c r="B247" s="55">
        <f>SUMIFS(销售数据包!F:F,销售数据包!A:A,A247,销售数据包!C:C,Base!$F$2)+SUMIFS(销售数据包!F:F,销售数据包!A:A,A247,销售数据包!C:C,Base!$F$3)+SUMIFS(销售数据包!F:F,销售数据包!A:A,A247,销售数据包!C:C,Base!$F$4)</f>
        <v>0</v>
      </c>
      <c r="C247" s="56">
        <f>SUMIFS(销售数据包!K:K,销售数据包!A:A,A247,销售数据包!C:C,Base!$F$2)+SUMIFS(销售数据包!K:K,销售数据包!A:A,A247,销售数据包!C:C,Base!$F$3)+SUMIFS(销售数据包!K:K,销售数据包!A:A,A247,销售数据包!C:C,Base!$F$4)</f>
        <v>0</v>
      </c>
      <c r="D247" s="56">
        <f>SUMIFS(销售数据包!Q:Q,销售数据包!A:A,A247,销售数据包!C:C,Base!$F$2)+SUMIFS(销售数据包!Q:Q,销售数据包!A:A,A247,销售数据包!C:C,Base!$F$3)+SUMIFS(销售数据包!Q:Q,销售数据包!A:A,A247,销售数据包!C:C,Base!$F$4)</f>
        <v>0</v>
      </c>
      <c r="E247" s="57">
        <f t="shared" si="54"/>
        <v>0</v>
      </c>
      <c r="F247" s="57">
        <f t="shared" si="55"/>
        <v>0</v>
      </c>
      <c r="G247" s="56">
        <f>SUMIFS(销售数据包!O:O,销售数据包!A:A,A247)</f>
        <v>0</v>
      </c>
      <c r="H247" s="57">
        <f t="shared" si="56"/>
        <v>0</v>
      </c>
      <c r="I247" s="71">
        <f t="shared" si="57"/>
        <v>0</v>
      </c>
      <c r="J247" s="72" t="str">
        <f t="shared" si="58"/>
        <v>周2</v>
      </c>
      <c r="K247" s="73">
        <f>SUMIFS(广告数据包!H:H,广告数据包!A:A,A247,广告数据包!G:G,Base!$F$2)+SUMIFS(广告数据包!H:H,广告数据包!A:A,A247,广告数据包!G:G,Base!$F$3)+SUMIFS(广告数据包!H:H,广告数据包!A:A,A247,广告数据包!G:G,Base!$F$4)</f>
        <v>0</v>
      </c>
      <c r="L247" s="56">
        <f>SUMIFS(广告数据包!I:I,广告数据包!A:A,A247,广告数据包!G:G,Base!$F$2)+SUMIFS(广告数据包!I:I,广告数据包!A:A,A247,广告数据包!G:G,Base!$F$3)+SUMIFS(广告数据包!I:I,广告数据包!A:A,A247,广告数据包!G:G,Base!$F$4)</f>
        <v>0</v>
      </c>
      <c r="M247" s="57">
        <f t="shared" si="59"/>
        <v>0</v>
      </c>
      <c r="N247" s="74">
        <f t="shared" si="60"/>
        <v>0</v>
      </c>
      <c r="O247" s="75">
        <f>SUMIFS(广告数据包!P:P,广告数据包!A:A,A247,广告数据包!G:G,Base!$F$2)+SUMIFS(广告数据包!P:P,广告数据包!A:A,A247,广告数据包!G:G,Base!$F$3)+SUMIFS(广告数据包!P:P,广告数据包!A:A,A247,广告数据包!G:G,Base!$F$4)</f>
        <v>0</v>
      </c>
      <c r="P247" s="56">
        <f>SUMIFS(广告数据包!M:M,广告数据包!A:A,A247,广告数据包!G:G,Base!$F$2)+SUMIFS(广告数据包!M:M,广告数据包!A:A,A247,广告数据包!G:G,Base!$F$3)+SUMIFS(广告数据包!M:M,广告数据包!A:A,A247,广告数据包!G:G,Base!$F$4)</f>
        <v>0</v>
      </c>
      <c r="Q247" s="57">
        <f t="shared" si="61"/>
        <v>0</v>
      </c>
      <c r="R247" s="56">
        <f>SUMIFS(广告数据包!L:L,广告数据包!A:A,A247,广告数据包!G:G,Base!$F$2)+SUMIFS(广告数据包!L:L,广告数据包!A:A,A247,广告数据包!G:G,Base!$F$3)+SUMIFS(广告数据包!L:L,广告数据包!A:A,A247,广告数据包!G:G,Base!$F$4)</f>
        <v>0</v>
      </c>
      <c r="S247" s="86">
        <f t="shared" si="62"/>
        <v>0</v>
      </c>
    </row>
    <row r="248" ht="16.5" spans="1:19">
      <c r="A248" s="54">
        <v>44685</v>
      </c>
      <c r="B248" s="55">
        <f>SUMIFS(销售数据包!F:F,销售数据包!A:A,A248,销售数据包!C:C,Base!$F$2)+SUMIFS(销售数据包!F:F,销售数据包!A:A,A248,销售数据包!C:C,Base!$F$3)+SUMIFS(销售数据包!F:F,销售数据包!A:A,A248,销售数据包!C:C,Base!$F$4)</f>
        <v>0</v>
      </c>
      <c r="C248" s="56">
        <f>SUMIFS(销售数据包!K:K,销售数据包!A:A,A248,销售数据包!C:C,Base!$F$2)+SUMIFS(销售数据包!K:K,销售数据包!A:A,A248,销售数据包!C:C,Base!$F$3)+SUMIFS(销售数据包!K:K,销售数据包!A:A,A248,销售数据包!C:C,Base!$F$4)</f>
        <v>0</v>
      </c>
      <c r="D248" s="56">
        <f>SUMIFS(销售数据包!Q:Q,销售数据包!A:A,A248,销售数据包!C:C,Base!$F$2)+SUMIFS(销售数据包!Q:Q,销售数据包!A:A,A248,销售数据包!C:C,Base!$F$3)+SUMIFS(销售数据包!Q:Q,销售数据包!A:A,A248,销售数据包!C:C,Base!$F$4)</f>
        <v>0</v>
      </c>
      <c r="E248" s="57">
        <f t="shared" ref="E248:E279" si="63">IFERROR(D248/B248,0)</f>
        <v>0</v>
      </c>
      <c r="F248" s="57">
        <f t="shared" ref="F248:F279" si="64">IFERROR(C248/B248,0)</f>
        <v>0</v>
      </c>
      <c r="G248" s="56">
        <f>SUMIFS(销售数据包!O:O,销售数据包!A:A,A248)</f>
        <v>0</v>
      </c>
      <c r="H248" s="57">
        <f t="shared" ref="H248:H279" si="65">IFERROR(R248/G248,0)</f>
        <v>0</v>
      </c>
      <c r="I248" s="71">
        <f t="shared" ref="I248:I279" si="66">IFERROR(P248/G248,0)</f>
        <v>0</v>
      </c>
      <c r="J248" s="72" t="str">
        <f t="shared" ref="J248:J279" si="67">"周"&amp;WEEKDAY(A248,2)</f>
        <v>周3</v>
      </c>
      <c r="K248" s="73">
        <f>SUMIFS(广告数据包!H:H,广告数据包!A:A,A248,广告数据包!G:G,Base!$F$2)+SUMIFS(广告数据包!H:H,广告数据包!A:A,A248,广告数据包!G:G,Base!$F$3)+SUMIFS(广告数据包!H:H,广告数据包!A:A,A248,广告数据包!G:G,Base!$F$4)</f>
        <v>0</v>
      </c>
      <c r="L248" s="56">
        <f>SUMIFS(广告数据包!I:I,广告数据包!A:A,A248,广告数据包!G:G,Base!$F$2)+SUMIFS(广告数据包!I:I,广告数据包!A:A,A248,广告数据包!G:G,Base!$F$3)+SUMIFS(广告数据包!I:I,广告数据包!A:A,A248,广告数据包!G:G,Base!$F$4)</f>
        <v>0</v>
      </c>
      <c r="M248" s="57">
        <f t="shared" ref="M248:M279" si="68">IFERROR(L248/K248,0)</f>
        <v>0</v>
      </c>
      <c r="N248" s="74">
        <f t="shared" ref="N248:N279" si="69">IFERROR(R248/L248,0)</f>
        <v>0</v>
      </c>
      <c r="O248" s="75">
        <f>SUMIFS(广告数据包!P:P,广告数据包!A:A,A248,广告数据包!G:G,Base!$F$2)+SUMIFS(广告数据包!P:P,广告数据包!A:A,A248,广告数据包!G:G,Base!$F$3)+SUMIFS(广告数据包!P:P,广告数据包!A:A,A248,广告数据包!G:G,Base!$F$4)</f>
        <v>0</v>
      </c>
      <c r="P248" s="56">
        <f>SUMIFS(广告数据包!M:M,广告数据包!A:A,A248,广告数据包!G:G,Base!$F$2)+SUMIFS(广告数据包!M:M,广告数据包!A:A,A248,广告数据包!G:G,Base!$F$3)+SUMIFS(广告数据包!M:M,广告数据包!A:A,A248,广告数据包!G:G,Base!$F$4)</f>
        <v>0</v>
      </c>
      <c r="Q248" s="57">
        <f t="shared" ref="Q248:Q279" si="70">IFERROR(O248/L248,0)</f>
        <v>0</v>
      </c>
      <c r="R248" s="56">
        <f>SUMIFS(广告数据包!L:L,广告数据包!A:A,A248,广告数据包!G:G,Base!$F$2)+SUMIFS(广告数据包!L:L,广告数据包!A:A,A248,广告数据包!G:G,Base!$F$3)+SUMIFS(广告数据包!L:L,广告数据包!A:A,A248,广告数据包!G:G,Base!$F$4)</f>
        <v>0</v>
      </c>
      <c r="S248" s="86">
        <f t="shared" ref="S248:S279" si="71">IFERROR(R248/P248,0)</f>
        <v>0</v>
      </c>
    </row>
    <row r="249" ht="16.5" spans="1:19">
      <c r="A249" s="54">
        <v>44686</v>
      </c>
      <c r="B249" s="55">
        <f>SUMIFS(销售数据包!F:F,销售数据包!A:A,A249,销售数据包!C:C,Base!$F$2)+SUMIFS(销售数据包!F:F,销售数据包!A:A,A249,销售数据包!C:C,Base!$F$3)+SUMIFS(销售数据包!F:F,销售数据包!A:A,A249,销售数据包!C:C,Base!$F$4)</f>
        <v>0</v>
      </c>
      <c r="C249" s="56">
        <f>SUMIFS(销售数据包!K:K,销售数据包!A:A,A249,销售数据包!C:C,Base!$F$2)+SUMIFS(销售数据包!K:K,销售数据包!A:A,A249,销售数据包!C:C,Base!$F$3)+SUMIFS(销售数据包!K:K,销售数据包!A:A,A249,销售数据包!C:C,Base!$F$4)</f>
        <v>0</v>
      </c>
      <c r="D249" s="56">
        <f>SUMIFS(销售数据包!Q:Q,销售数据包!A:A,A249,销售数据包!C:C,Base!$F$2)+SUMIFS(销售数据包!Q:Q,销售数据包!A:A,A249,销售数据包!C:C,Base!$F$3)+SUMIFS(销售数据包!Q:Q,销售数据包!A:A,A249,销售数据包!C:C,Base!$F$4)</f>
        <v>0</v>
      </c>
      <c r="E249" s="57">
        <f t="shared" si="63"/>
        <v>0</v>
      </c>
      <c r="F249" s="57">
        <f t="shared" si="64"/>
        <v>0</v>
      </c>
      <c r="G249" s="56">
        <f>SUMIFS(销售数据包!O:O,销售数据包!A:A,A249)</f>
        <v>0</v>
      </c>
      <c r="H249" s="57">
        <f t="shared" si="65"/>
        <v>0</v>
      </c>
      <c r="I249" s="71">
        <f t="shared" si="66"/>
        <v>0</v>
      </c>
      <c r="J249" s="72" t="str">
        <f t="shared" si="67"/>
        <v>周4</v>
      </c>
      <c r="K249" s="73">
        <f>SUMIFS(广告数据包!H:H,广告数据包!A:A,A249,广告数据包!G:G,Base!$F$2)+SUMIFS(广告数据包!H:H,广告数据包!A:A,A249,广告数据包!G:G,Base!$F$3)+SUMIFS(广告数据包!H:H,广告数据包!A:A,A249,广告数据包!G:G,Base!$F$4)</f>
        <v>0</v>
      </c>
      <c r="L249" s="56">
        <f>SUMIFS(广告数据包!I:I,广告数据包!A:A,A249,广告数据包!G:G,Base!$F$2)+SUMIFS(广告数据包!I:I,广告数据包!A:A,A249,广告数据包!G:G,Base!$F$3)+SUMIFS(广告数据包!I:I,广告数据包!A:A,A249,广告数据包!G:G,Base!$F$4)</f>
        <v>0</v>
      </c>
      <c r="M249" s="57">
        <f t="shared" si="68"/>
        <v>0</v>
      </c>
      <c r="N249" s="74">
        <f t="shared" si="69"/>
        <v>0</v>
      </c>
      <c r="O249" s="75">
        <f>SUMIFS(广告数据包!P:P,广告数据包!A:A,A249,广告数据包!G:G,Base!$F$2)+SUMIFS(广告数据包!P:P,广告数据包!A:A,A249,广告数据包!G:G,Base!$F$3)+SUMIFS(广告数据包!P:P,广告数据包!A:A,A249,广告数据包!G:G,Base!$F$4)</f>
        <v>0</v>
      </c>
      <c r="P249" s="56">
        <f>SUMIFS(广告数据包!M:M,广告数据包!A:A,A249,广告数据包!G:G,Base!$F$2)+SUMIFS(广告数据包!M:M,广告数据包!A:A,A249,广告数据包!G:G,Base!$F$3)+SUMIFS(广告数据包!M:M,广告数据包!A:A,A249,广告数据包!G:G,Base!$F$4)</f>
        <v>0</v>
      </c>
      <c r="Q249" s="57">
        <f t="shared" si="70"/>
        <v>0</v>
      </c>
      <c r="R249" s="56">
        <f>SUMIFS(广告数据包!L:L,广告数据包!A:A,A249,广告数据包!G:G,Base!$F$2)+SUMIFS(广告数据包!L:L,广告数据包!A:A,A249,广告数据包!G:G,Base!$F$3)+SUMIFS(广告数据包!L:L,广告数据包!A:A,A249,广告数据包!G:G,Base!$F$4)</f>
        <v>0</v>
      </c>
      <c r="S249" s="86">
        <f t="shared" si="71"/>
        <v>0</v>
      </c>
    </row>
    <row r="250" ht="16.5" spans="1:19">
      <c r="A250" s="54">
        <v>44687</v>
      </c>
      <c r="B250" s="55">
        <f>SUMIFS(销售数据包!F:F,销售数据包!A:A,A250,销售数据包!C:C,Base!$F$2)+SUMIFS(销售数据包!F:F,销售数据包!A:A,A250,销售数据包!C:C,Base!$F$3)+SUMIFS(销售数据包!F:F,销售数据包!A:A,A250,销售数据包!C:C,Base!$F$4)</f>
        <v>0</v>
      </c>
      <c r="C250" s="56">
        <f>SUMIFS(销售数据包!K:K,销售数据包!A:A,A250,销售数据包!C:C,Base!$F$2)+SUMIFS(销售数据包!K:K,销售数据包!A:A,A250,销售数据包!C:C,Base!$F$3)+SUMIFS(销售数据包!K:K,销售数据包!A:A,A250,销售数据包!C:C,Base!$F$4)</f>
        <v>0</v>
      </c>
      <c r="D250" s="56">
        <f>SUMIFS(销售数据包!Q:Q,销售数据包!A:A,A250,销售数据包!C:C,Base!$F$2)+SUMIFS(销售数据包!Q:Q,销售数据包!A:A,A250,销售数据包!C:C,Base!$F$3)+SUMIFS(销售数据包!Q:Q,销售数据包!A:A,A250,销售数据包!C:C,Base!$F$4)</f>
        <v>0</v>
      </c>
      <c r="E250" s="57">
        <f t="shared" si="63"/>
        <v>0</v>
      </c>
      <c r="F250" s="57">
        <f t="shared" si="64"/>
        <v>0</v>
      </c>
      <c r="G250" s="56">
        <f>SUMIFS(销售数据包!O:O,销售数据包!A:A,A250)</f>
        <v>0</v>
      </c>
      <c r="H250" s="57">
        <f t="shared" si="65"/>
        <v>0</v>
      </c>
      <c r="I250" s="71">
        <f t="shared" si="66"/>
        <v>0</v>
      </c>
      <c r="J250" s="72" t="str">
        <f t="shared" si="67"/>
        <v>周5</v>
      </c>
      <c r="K250" s="73">
        <f>SUMIFS(广告数据包!H:H,广告数据包!A:A,A250,广告数据包!G:G,Base!$F$2)+SUMIFS(广告数据包!H:H,广告数据包!A:A,A250,广告数据包!G:G,Base!$F$3)+SUMIFS(广告数据包!H:H,广告数据包!A:A,A250,广告数据包!G:G,Base!$F$4)</f>
        <v>0</v>
      </c>
      <c r="L250" s="56">
        <f>SUMIFS(广告数据包!I:I,广告数据包!A:A,A250,广告数据包!G:G,Base!$F$2)+SUMIFS(广告数据包!I:I,广告数据包!A:A,A250,广告数据包!G:G,Base!$F$3)+SUMIFS(广告数据包!I:I,广告数据包!A:A,A250,广告数据包!G:G,Base!$F$4)</f>
        <v>0</v>
      </c>
      <c r="M250" s="57">
        <f t="shared" si="68"/>
        <v>0</v>
      </c>
      <c r="N250" s="74">
        <f t="shared" si="69"/>
        <v>0</v>
      </c>
      <c r="O250" s="75">
        <f>SUMIFS(广告数据包!P:P,广告数据包!A:A,A250,广告数据包!G:G,Base!$F$2)+SUMIFS(广告数据包!P:P,广告数据包!A:A,A250,广告数据包!G:G,Base!$F$3)+SUMIFS(广告数据包!P:P,广告数据包!A:A,A250,广告数据包!G:G,Base!$F$4)</f>
        <v>0</v>
      </c>
      <c r="P250" s="56">
        <f>SUMIFS(广告数据包!M:M,广告数据包!A:A,A250,广告数据包!G:G,Base!$F$2)+SUMIFS(广告数据包!M:M,广告数据包!A:A,A250,广告数据包!G:G,Base!$F$3)+SUMIFS(广告数据包!M:M,广告数据包!A:A,A250,广告数据包!G:G,Base!$F$4)</f>
        <v>0</v>
      </c>
      <c r="Q250" s="57">
        <f t="shared" si="70"/>
        <v>0</v>
      </c>
      <c r="R250" s="56">
        <f>SUMIFS(广告数据包!L:L,广告数据包!A:A,A250,广告数据包!G:G,Base!$F$2)+SUMIFS(广告数据包!L:L,广告数据包!A:A,A250,广告数据包!G:G,Base!$F$3)+SUMIFS(广告数据包!L:L,广告数据包!A:A,A250,广告数据包!G:G,Base!$F$4)</f>
        <v>0</v>
      </c>
      <c r="S250" s="86">
        <f t="shared" si="71"/>
        <v>0</v>
      </c>
    </row>
    <row r="251" ht="16.5" spans="1:19">
      <c r="A251" s="54">
        <v>44688</v>
      </c>
      <c r="B251" s="55">
        <f>SUMIFS(销售数据包!F:F,销售数据包!A:A,A251,销售数据包!C:C,Base!$F$2)+SUMIFS(销售数据包!F:F,销售数据包!A:A,A251,销售数据包!C:C,Base!$F$3)+SUMIFS(销售数据包!F:F,销售数据包!A:A,A251,销售数据包!C:C,Base!$F$4)</f>
        <v>0</v>
      </c>
      <c r="C251" s="56">
        <f>SUMIFS(销售数据包!K:K,销售数据包!A:A,A251,销售数据包!C:C,Base!$F$2)+SUMIFS(销售数据包!K:K,销售数据包!A:A,A251,销售数据包!C:C,Base!$F$3)+SUMIFS(销售数据包!K:K,销售数据包!A:A,A251,销售数据包!C:C,Base!$F$4)</f>
        <v>0</v>
      </c>
      <c r="D251" s="56">
        <f>SUMIFS(销售数据包!Q:Q,销售数据包!A:A,A251,销售数据包!C:C,Base!$F$2)+SUMIFS(销售数据包!Q:Q,销售数据包!A:A,A251,销售数据包!C:C,Base!$F$3)+SUMIFS(销售数据包!Q:Q,销售数据包!A:A,A251,销售数据包!C:C,Base!$F$4)</f>
        <v>0</v>
      </c>
      <c r="E251" s="57">
        <f t="shared" si="63"/>
        <v>0</v>
      </c>
      <c r="F251" s="57">
        <f t="shared" si="64"/>
        <v>0</v>
      </c>
      <c r="G251" s="56">
        <f>SUMIFS(销售数据包!O:O,销售数据包!A:A,A251)</f>
        <v>0</v>
      </c>
      <c r="H251" s="57">
        <f t="shared" si="65"/>
        <v>0</v>
      </c>
      <c r="I251" s="71">
        <f t="shared" si="66"/>
        <v>0</v>
      </c>
      <c r="J251" s="72" t="str">
        <f t="shared" si="67"/>
        <v>周6</v>
      </c>
      <c r="K251" s="73">
        <f>SUMIFS(广告数据包!H:H,广告数据包!A:A,A251,广告数据包!G:G,Base!$F$2)+SUMIFS(广告数据包!H:H,广告数据包!A:A,A251,广告数据包!G:G,Base!$F$3)+SUMIFS(广告数据包!H:H,广告数据包!A:A,A251,广告数据包!G:G,Base!$F$4)</f>
        <v>0</v>
      </c>
      <c r="L251" s="56">
        <f>SUMIFS(广告数据包!I:I,广告数据包!A:A,A251,广告数据包!G:G,Base!$F$2)+SUMIFS(广告数据包!I:I,广告数据包!A:A,A251,广告数据包!G:G,Base!$F$3)+SUMIFS(广告数据包!I:I,广告数据包!A:A,A251,广告数据包!G:G,Base!$F$4)</f>
        <v>0</v>
      </c>
      <c r="M251" s="57">
        <f t="shared" si="68"/>
        <v>0</v>
      </c>
      <c r="N251" s="74">
        <f t="shared" si="69"/>
        <v>0</v>
      </c>
      <c r="O251" s="75">
        <f>SUMIFS(广告数据包!P:P,广告数据包!A:A,A251,广告数据包!G:G,Base!$F$2)+SUMIFS(广告数据包!P:P,广告数据包!A:A,A251,广告数据包!G:G,Base!$F$3)+SUMIFS(广告数据包!P:P,广告数据包!A:A,A251,广告数据包!G:G,Base!$F$4)</f>
        <v>0</v>
      </c>
      <c r="P251" s="56">
        <f>SUMIFS(广告数据包!M:M,广告数据包!A:A,A251,广告数据包!G:G,Base!$F$2)+SUMIFS(广告数据包!M:M,广告数据包!A:A,A251,广告数据包!G:G,Base!$F$3)+SUMIFS(广告数据包!M:M,广告数据包!A:A,A251,广告数据包!G:G,Base!$F$4)</f>
        <v>0</v>
      </c>
      <c r="Q251" s="57">
        <f t="shared" si="70"/>
        <v>0</v>
      </c>
      <c r="R251" s="56">
        <f>SUMIFS(广告数据包!L:L,广告数据包!A:A,A251,广告数据包!G:G,Base!$F$2)+SUMIFS(广告数据包!L:L,广告数据包!A:A,A251,广告数据包!G:G,Base!$F$3)+SUMIFS(广告数据包!L:L,广告数据包!A:A,A251,广告数据包!G:G,Base!$F$4)</f>
        <v>0</v>
      </c>
      <c r="S251" s="86">
        <f t="shared" si="71"/>
        <v>0</v>
      </c>
    </row>
    <row r="252" ht="16.5" spans="1:19">
      <c r="A252" s="54">
        <v>44689</v>
      </c>
      <c r="B252" s="55">
        <f>SUMIFS(销售数据包!F:F,销售数据包!A:A,A252,销售数据包!C:C,Base!$F$2)+SUMIFS(销售数据包!F:F,销售数据包!A:A,A252,销售数据包!C:C,Base!$F$3)+SUMIFS(销售数据包!F:F,销售数据包!A:A,A252,销售数据包!C:C,Base!$F$4)</f>
        <v>0</v>
      </c>
      <c r="C252" s="56">
        <f>SUMIFS(销售数据包!K:K,销售数据包!A:A,A252,销售数据包!C:C,Base!$F$2)+SUMIFS(销售数据包!K:K,销售数据包!A:A,A252,销售数据包!C:C,Base!$F$3)+SUMIFS(销售数据包!K:K,销售数据包!A:A,A252,销售数据包!C:C,Base!$F$4)</f>
        <v>0</v>
      </c>
      <c r="D252" s="56">
        <f>SUMIFS(销售数据包!Q:Q,销售数据包!A:A,A252,销售数据包!C:C,Base!$F$2)+SUMIFS(销售数据包!Q:Q,销售数据包!A:A,A252,销售数据包!C:C,Base!$F$3)+SUMIFS(销售数据包!Q:Q,销售数据包!A:A,A252,销售数据包!C:C,Base!$F$4)</f>
        <v>0</v>
      </c>
      <c r="E252" s="57">
        <f t="shared" si="63"/>
        <v>0</v>
      </c>
      <c r="F252" s="57">
        <f t="shared" si="64"/>
        <v>0</v>
      </c>
      <c r="G252" s="56">
        <f>SUMIFS(销售数据包!O:O,销售数据包!A:A,A252)</f>
        <v>0</v>
      </c>
      <c r="H252" s="57">
        <f t="shared" si="65"/>
        <v>0</v>
      </c>
      <c r="I252" s="71">
        <f t="shared" si="66"/>
        <v>0</v>
      </c>
      <c r="J252" s="72" t="str">
        <f t="shared" si="67"/>
        <v>周7</v>
      </c>
      <c r="K252" s="73">
        <f>SUMIFS(广告数据包!H:H,广告数据包!A:A,A252,广告数据包!G:G,Base!$F$2)+SUMIFS(广告数据包!H:H,广告数据包!A:A,A252,广告数据包!G:G,Base!$F$3)+SUMIFS(广告数据包!H:H,广告数据包!A:A,A252,广告数据包!G:G,Base!$F$4)</f>
        <v>0</v>
      </c>
      <c r="L252" s="56">
        <f>SUMIFS(广告数据包!I:I,广告数据包!A:A,A252,广告数据包!G:G,Base!$F$2)+SUMIFS(广告数据包!I:I,广告数据包!A:A,A252,广告数据包!G:G,Base!$F$3)+SUMIFS(广告数据包!I:I,广告数据包!A:A,A252,广告数据包!G:G,Base!$F$4)</f>
        <v>0</v>
      </c>
      <c r="M252" s="57">
        <f t="shared" si="68"/>
        <v>0</v>
      </c>
      <c r="N252" s="74">
        <f t="shared" si="69"/>
        <v>0</v>
      </c>
      <c r="O252" s="75">
        <f>SUMIFS(广告数据包!P:P,广告数据包!A:A,A252,广告数据包!G:G,Base!$F$2)+SUMIFS(广告数据包!P:P,广告数据包!A:A,A252,广告数据包!G:G,Base!$F$3)+SUMIFS(广告数据包!P:P,广告数据包!A:A,A252,广告数据包!G:G,Base!$F$4)</f>
        <v>0</v>
      </c>
      <c r="P252" s="56">
        <f>SUMIFS(广告数据包!M:M,广告数据包!A:A,A252,广告数据包!G:G,Base!$F$2)+SUMIFS(广告数据包!M:M,广告数据包!A:A,A252,广告数据包!G:G,Base!$F$3)+SUMIFS(广告数据包!M:M,广告数据包!A:A,A252,广告数据包!G:G,Base!$F$4)</f>
        <v>0</v>
      </c>
      <c r="Q252" s="57">
        <f t="shared" si="70"/>
        <v>0</v>
      </c>
      <c r="R252" s="56">
        <f>SUMIFS(广告数据包!L:L,广告数据包!A:A,A252,广告数据包!G:G,Base!$F$2)+SUMIFS(广告数据包!L:L,广告数据包!A:A,A252,广告数据包!G:G,Base!$F$3)+SUMIFS(广告数据包!L:L,广告数据包!A:A,A252,广告数据包!G:G,Base!$F$4)</f>
        <v>0</v>
      </c>
      <c r="S252" s="86">
        <f t="shared" si="71"/>
        <v>0</v>
      </c>
    </row>
    <row r="253" ht="16.5" spans="1:19">
      <c r="A253" s="54">
        <v>44690</v>
      </c>
      <c r="B253" s="55">
        <f>SUMIFS(销售数据包!F:F,销售数据包!A:A,A253,销售数据包!C:C,Base!$F$2)+SUMIFS(销售数据包!F:F,销售数据包!A:A,A253,销售数据包!C:C,Base!$F$3)+SUMIFS(销售数据包!F:F,销售数据包!A:A,A253,销售数据包!C:C,Base!$F$4)</f>
        <v>0</v>
      </c>
      <c r="C253" s="56">
        <f>SUMIFS(销售数据包!K:K,销售数据包!A:A,A253,销售数据包!C:C,Base!$F$2)+SUMIFS(销售数据包!K:K,销售数据包!A:A,A253,销售数据包!C:C,Base!$F$3)+SUMIFS(销售数据包!K:K,销售数据包!A:A,A253,销售数据包!C:C,Base!$F$4)</f>
        <v>0</v>
      </c>
      <c r="D253" s="56">
        <f>SUMIFS(销售数据包!Q:Q,销售数据包!A:A,A253,销售数据包!C:C,Base!$F$2)+SUMIFS(销售数据包!Q:Q,销售数据包!A:A,A253,销售数据包!C:C,Base!$F$3)+SUMIFS(销售数据包!Q:Q,销售数据包!A:A,A253,销售数据包!C:C,Base!$F$4)</f>
        <v>0</v>
      </c>
      <c r="E253" s="57">
        <f t="shared" si="63"/>
        <v>0</v>
      </c>
      <c r="F253" s="57">
        <f t="shared" si="64"/>
        <v>0</v>
      </c>
      <c r="G253" s="56">
        <f>SUMIFS(销售数据包!O:O,销售数据包!A:A,A253)</f>
        <v>0</v>
      </c>
      <c r="H253" s="57">
        <f t="shared" si="65"/>
        <v>0</v>
      </c>
      <c r="I253" s="71">
        <f t="shared" si="66"/>
        <v>0</v>
      </c>
      <c r="J253" s="72" t="str">
        <f t="shared" si="67"/>
        <v>周1</v>
      </c>
      <c r="K253" s="73">
        <f>SUMIFS(广告数据包!H:H,广告数据包!A:A,A253,广告数据包!G:G,Base!$F$2)+SUMIFS(广告数据包!H:H,广告数据包!A:A,A253,广告数据包!G:G,Base!$F$3)+SUMIFS(广告数据包!H:H,广告数据包!A:A,A253,广告数据包!G:G,Base!$F$4)</f>
        <v>0</v>
      </c>
      <c r="L253" s="56">
        <f>SUMIFS(广告数据包!I:I,广告数据包!A:A,A253,广告数据包!G:G,Base!$F$2)+SUMIFS(广告数据包!I:I,广告数据包!A:A,A253,广告数据包!G:G,Base!$F$3)+SUMIFS(广告数据包!I:I,广告数据包!A:A,A253,广告数据包!G:G,Base!$F$4)</f>
        <v>0</v>
      </c>
      <c r="M253" s="57">
        <f t="shared" si="68"/>
        <v>0</v>
      </c>
      <c r="N253" s="74">
        <f t="shared" si="69"/>
        <v>0</v>
      </c>
      <c r="O253" s="75">
        <f>SUMIFS(广告数据包!P:P,广告数据包!A:A,A253,广告数据包!G:G,Base!$F$2)+SUMIFS(广告数据包!P:P,广告数据包!A:A,A253,广告数据包!G:G,Base!$F$3)+SUMIFS(广告数据包!P:P,广告数据包!A:A,A253,广告数据包!G:G,Base!$F$4)</f>
        <v>0</v>
      </c>
      <c r="P253" s="56">
        <f>SUMIFS(广告数据包!M:M,广告数据包!A:A,A253,广告数据包!G:G,Base!$F$2)+SUMIFS(广告数据包!M:M,广告数据包!A:A,A253,广告数据包!G:G,Base!$F$3)+SUMIFS(广告数据包!M:M,广告数据包!A:A,A253,广告数据包!G:G,Base!$F$4)</f>
        <v>0</v>
      </c>
      <c r="Q253" s="57">
        <f t="shared" si="70"/>
        <v>0</v>
      </c>
      <c r="R253" s="56">
        <f>SUMIFS(广告数据包!L:L,广告数据包!A:A,A253,广告数据包!G:G,Base!$F$2)+SUMIFS(广告数据包!L:L,广告数据包!A:A,A253,广告数据包!G:G,Base!$F$3)+SUMIFS(广告数据包!L:L,广告数据包!A:A,A253,广告数据包!G:G,Base!$F$4)</f>
        <v>0</v>
      </c>
      <c r="S253" s="86">
        <f t="shared" si="71"/>
        <v>0</v>
      </c>
    </row>
    <row r="254" ht="16.5" spans="1:19">
      <c r="A254" s="54">
        <v>44691</v>
      </c>
      <c r="B254" s="55">
        <f>SUMIFS(销售数据包!F:F,销售数据包!A:A,A254,销售数据包!C:C,Base!$F$2)+SUMIFS(销售数据包!F:F,销售数据包!A:A,A254,销售数据包!C:C,Base!$F$3)+SUMIFS(销售数据包!F:F,销售数据包!A:A,A254,销售数据包!C:C,Base!$F$4)</f>
        <v>0</v>
      </c>
      <c r="C254" s="56">
        <f>SUMIFS(销售数据包!K:K,销售数据包!A:A,A254,销售数据包!C:C,Base!$F$2)+SUMIFS(销售数据包!K:K,销售数据包!A:A,A254,销售数据包!C:C,Base!$F$3)+SUMIFS(销售数据包!K:K,销售数据包!A:A,A254,销售数据包!C:C,Base!$F$4)</f>
        <v>0</v>
      </c>
      <c r="D254" s="56">
        <f>SUMIFS(销售数据包!Q:Q,销售数据包!A:A,A254,销售数据包!C:C,Base!$F$2)+SUMIFS(销售数据包!Q:Q,销售数据包!A:A,A254,销售数据包!C:C,Base!$F$3)+SUMIFS(销售数据包!Q:Q,销售数据包!A:A,A254,销售数据包!C:C,Base!$F$4)</f>
        <v>0</v>
      </c>
      <c r="E254" s="57">
        <f t="shared" si="63"/>
        <v>0</v>
      </c>
      <c r="F254" s="57">
        <f t="shared" si="64"/>
        <v>0</v>
      </c>
      <c r="G254" s="56">
        <f>SUMIFS(销售数据包!O:O,销售数据包!A:A,A254)</f>
        <v>0</v>
      </c>
      <c r="H254" s="57">
        <f t="shared" si="65"/>
        <v>0</v>
      </c>
      <c r="I254" s="71">
        <f t="shared" si="66"/>
        <v>0</v>
      </c>
      <c r="J254" s="72" t="str">
        <f t="shared" si="67"/>
        <v>周2</v>
      </c>
      <c r="K254" s="73">
        <f>SUMIFS(广告数据包!H:H,广告数据包!A:A,A254,广告数据包!G:G,Base!$F$2)+SUMIFS(广告数据包!H:H,广告数据包!A:A,A254,广告数据包!G:G,Base!$F$3)+SUMIFS(广告数据包!H:H,广告数据包!A:A,A254,广告数据包!G:G,Base!$F$4)</f>
        <v>0</v>
      </c>
      <c r="L254" s="56">
        <f>SUMIFS(广告数据包!I:I,广告数据包!A:A,A254,广告数据包!G:G,Base!$F$2)+SUMIFS(广告数据包!I:I,广告数据包!A:A,A254,广告数据包!G:G,Base!$F$3)+SUMIFS(广告数据包!I:I,广告数据包!A:A,A254,广告数据包!G:G,Base!$F$4)</f>
        <v>0</v>
      </c>
      <c r="M254" s="57">
        <f t="shared" si="68"/>
        <v>0</v>
      </c>
      <c r="N254" s="74">
        <f t="shared" si="69"/>
        <v>0</v>
      </c>
      <c r="O254" s="75">
        <f>SUMIFS(广告数据包!P:P,广告数据包!A:A,A254,广告数据包!G:G,Base!$F$2)+SUMIFS(广告数据包!P:P,广告数据包!A:A,A254,广告数据包!G:G,Base!$F$3)+SUMIFS(广告数据包!P:P,广告数据包!A:A,A254,广告数据包!G:G,Base!$F$4)</f>
        <v>0</v>
      </c>
      <c r="P254" s="56">
        <f>SUMIFS(广告数据包!M:M,广告数据包!A:A,A254,广告数据包!G:G,Base!$F$2)+SUMIFS(广告数据包!M:M,广告数据包!A:A,A254,广告数据包!G:G,Base!$F$3)+SUMIFS(广告数据包!M:M,广告数据包!A:A,A254,广告数据包!G:G,Base!$F$4)</f>
        <v>0</v>
      </c>
      <c r="Q254" s="57">
        <f t="shared" si="70"/>
        <v>0</v>
      </c>
      <c r="R254" s="56">
        <f>SUMIFS(广告数据包!L:L,广告数据包!A:A,A254,广告数据包!G:G,Base!$F$2)+SUMIFS(广告数据包!L:L,广告数据包!A:A,A254,广告数据包!G:G,Base!$F$3)+SUMIFS(广告数据包!L:L,广告数据包!A:A,A254,广告数据包!G:G,Base!$F$4)</f>
        <v>0</v>
      </c>
      <c r="S254" s="86">
        <f t="shared" si="71"/>
        <v>0</v>
      </c>
    </row>
    <row r="255" ht="16.5" spans="1:19">
      <c r="A255" s="54">
        <v>44692</v>
      </c>
      <c r="B255" s="55">
        <f>SUMIFS(销售数据包!F:F,销售数据包!A:A,A255,销售数据包!C:C,Base!$F$2)+SUMIFS(销售数据包!F:F,销售数据包!A:A,A255,销售数据包!C:C,Base!$F$3)+SUMIFS(销售数据包!F:F,销售数据包!A:A,A255,销售数据包!C:C,Base!$F$4)</f>
        <v>0</v>
      </c>
      <c r="C255" s="56">
        <f>SUMIFS(销售数据包!K:K,销售数据包!A:A,A255,销售数据包!C:C,Base!$F$2)+SUMIFS(销售数据包!K:K,销售数据包!A:A,A255,销售数据包!C:C,Base!$F$3)+SUMIFS(销售数据包!K:K,销售数据包!A:A,A255,销售数据包!C:C,Base!$F$4)</f>
        <v>0</v>
      </c>
      <c r="D255" s="56">
        <f>SUMIFS(销售数据包!Q:Q,销售数据包!A:A,A255,销售数据包!C:C,Base!$F$2)+SUMIFS(销售数据包!Q:Q,销售数据包!A:A,A255,销售数据包!C:C,Base!$F$3)+SUMIFS(销售数据包!Q:Q,销售数据包!A:A,A255,销售数据包!C:C,Base!$F$4)</f>
        <v>0</v>
      </c>
      <c r="E255" s="57">
        <f t="shared" si="63"/>
        <v>0</v>
      </c>
      <c r="F255" s="57">
        <f t="shared" si="64"/>
        <v>0</v>
      </c>
      <c r="G255" s="56">
        <f>SUMIFS(销售数据包!O:O,销售数据包!A:A,A255)</f>
        <v>0</v>
      </c>
      <c r="H255" s="57">
        <f t="shared" si="65"/>
        <v>0</v>
      </c>
      <c r="I255" s="71">
        <f t="shared" si="66"/>
        <v>0</v>
      </c>
      <c r="J255" s="72" t="str">
        <f t="shared" si="67"/>
        <v>周3</v>
      </c>
      <c r="K255" s="73">
        <f>SUMIFS(广告数据包!H:H,广告数据包!A:A,A255,广告数据包!G:G,Base!$F$2)+SUMIFS(广告数据包!H:H,广告数据包!A:A,A255,广告数据包!G:G,Base!$F$3)+SUMIFS(广告数据包!H:H,广告数据包!A:A,A255,广告数据包!G:G,Base!$F$4)</f>
        <v>0</v>
      </c>
      <c r="L255" s="56">
        <f>SUMIFS(广告数据包!I:I,广告数据包!A:A,A255,广告数据包!G:G,Base!$F$2)+SUMIFS(广告数据包!I:I,广告数据包!A:A,A255,广告数据包!G:G,Base!$F$3)+SUMIFS(广告数据包!I:I,广告数据包!A:A,A255,广告数据包!G:G,Base!$F$4)</f>
        <v>0</v>
      </c>
      <c r="M255" s="57">
        <f t="shared" si="68"/>
        <v>0</v>
      </c>
      <c r="N255" s="74">
        <f t="shared" si="69"/>
        <v>0</v>
      </c>
      <c r="O255" s="75">
        <f>SUMIFS(广告数据包!P:P,广告数据包!A:A,A255,广告数据包!G:G,Base!$F$2)+SUMIFS(广告数据包!P:P,广告数据包!A:A,A255,广告数据包!G:G,Base!$F$3)+SUMIFS(广告数据包!P:P,广告数据包!A:A,A255,广告数据包!G:G,Base!$F$4)</f>
        <v>0</v>
      </c>
      <c r="P255" s="56">
        <f>SUMIFS(广告数据包!M:M,广告数据包!A:A,A255,广告数据包!G:G,Base!$F$2)+SUMIFS(广告数据包!M:M,广告数据包!A:A,A255,广告数据包!G:G,Base!$F$3)+SUMIFS(广告数据包!M:M,广告数据包!A:A,A255,广告数据包!G:G,Base!$F$4)</f>
        <v>0</v>
      </c>
      <c r="Q255" s="57">
        <f t="shared" si="70"/>
        <v>0</v>
      </c>
      <c r="R255" s="56">
        <f>SUMIFS(广告数据包!L:L,广告数据包!A:A,A255,广告数据包!G:G,Base!$F$2)+SUMIFS(广告数据包!L:L,广告数据包!A:A,A255,广告数据包!G:G,Base!$F$3)+SUMIFS(广告数据包!L:L,广告数据包!A:A,A255,广告数据包!G:G,Base!$F$4)</f>
        <v>0</v>
      </c>
      <c r="S255" s="86">
        <f t="shared" si="71"/>
        <v>0</v>
      </c>
    </row>
    <row r="256" ht="16.5" spans="1:19">
      <c r="A256" s="54">
        <v>44693</v>
      </c>
      <c r="B256" s="55">
        <f>SUMIFS(销售数据包!F:F,销售数据包!A:A,A256,销售数据包!C:C,Base!$F$2)+SUMIFS(销售数据包!F:F,销售数据包!A:A,A256,销售数据包!C:C,Base!$F$3)+SUMIFS(销售数据包!F:F,销售数据包!A:A,A256,销售数据包!C:C,Base!$F$4)</f>
        <v>0</v>
      </c>
      <c r="C256" s="56">
        <f>SUMIFS(销售数据包!K:K,销售数据包!A:A,A256,销售数据包!C:C,Base!$F$2)+SUMIFS(销售数据包!K:K,销售数据包!A:A,A256,销售数据包!C:C,Base!$F$3)+SUMIFS(销售数据包!K:K,销售数据包!A:A,A256,销售数据包!C:C,Base!$F$4)</f>
        <v>0</v>
      </c>
      <c r="D256" s="56">
        <f>SUMIFS(销售数据包!Q:Q,销售数据包!A:A,A256,销售数据包!C:C,Base!$F$2)+SUMIFS(销售数据包!Q:Q,销售数据包!A:A,A256,销售数据包!C:C,Base!$F$3)+SUMIFS(销售数据包!Q:Q,销售数据包!A:A,A256,销售数据包!C:C,Base!$F$4)</f>
        <v>0</v>
      </c>
      <c r="E256" s="57">
        <f t="shared" si="63"/>
        <v>0</v>
      </c>
      <c r="F256" s="57">
        <f t="shared" si="64"/>
        <v>0</v>
      </c>
      <c r="G256" s="56">
        <f>SUMIFS(销售数据包!O:O,销售数据包!A:A,A256)</f>
        <v>0</v>
      </c>
      <c r="H256" s="57">
        <f t="shared" si="65"/>
        <v>0</v>
      </c>
      <c r="I256" s="71">
        <f t="shared" si="66"/>
        <v>0</v>
      </c>
      <c r="J256" s="72" t="str">
        <f t="shared" si="67"/>
        <v>周4</v>
      </c>
      <c r="K256" s="73">
        <f>SUMIFS(广告数据包!H:H,广告数据包!A:A,A256,广告数据包!G:G,Base!$F$2)+SUMIFS(广告数据包!H:H,广告数据包!A:A,A256,广告数据包!G:G,Base!$F$3)+SUMIFS(广告数据包!H:H,广告数据包!A:A,A256,广告数据包!G:G,Base!$F$4)</f>
        <v>0</v>
      </c>
      <c r="L256" s="56">
        <f>SUMIFS(广告数据包!I:I,广告数据包!A:A,A256,广告数据包!G:G,Base!$F$2)+SUMIFS(广告数据包!I:I,广告数据包!A:A,A256,广告数据包!G:G,Base!$F$3)+SUMIFS(广告数据包!I:I,广告数据包!A:A,A256,广告数据包!G:G,Base!$F$4)</f>
        <v>0</v>
      </c>
      <c r="M256" s="57">
        <f t="shared" si="68"/>
        <v>0</v>
      </c>
      <c r="N256" s="74">
        <f t="shared" si="69"/>
        <v>0</v>
      </c>
      <c r="O256" s="75">
        <f>SUMIFS(广告数据包!P:P,广告数据包!A:A,A256,广告数据包!G:G,Base!$F$2)+SUMIFS(广告数据包!P:P,广告数据包!A:A,A256,广告数据包!G:G,Base!$F$3)+SUMIFS(广告数据包!P:P,广告数据包!A:A,A256,广告数据包!G:G,Base!$F$4)</f>
        <v>0</v>
      </c>
      <c r="P256" s="56">
        <f>SUMIFS(广告数据包!M:M,广告数据包!A:A,A256,广告数据包!G:G,Base!$F$2)+SUMIFS(广告数据包!M:M,广告数据包!A:A,A256,广告数据包!G:G,Base!$F$3)+SUMIFS(广告数据包!M:M,广告数据包!A:A,A256,广告数据包!G:G,Base!$F$4)</f>
        <v>0</v>
      </c>
      <c r="Q256" s="57">
        <f t="shared" si="70"/>
        <v>0</v>
      </c>
      <c r="R256" s="56">
        <f>SUMIFS(广告数据包!L:L,广告数据包!A:A,A256,广告数据包!G:G,Base!$F$2)+SUMIFS(广告数据包!L:L,广告数据包!A:A,A256,广告数据包!G:G,Base!$F$3)+SUMIFS(广告数据包!L:L,广告数据包!A:A,A256,广告数据包!G:G,Base!$F$4)</f>
        <v>0</v>
      </c>
      <c r="S256" s="86">
        <f t="shared" si="71"/>
        <v>0</v>
      </c>
    </row>
    <row r="257" ht="16.5" spans="1:19">
      <c r="A257" s="54">
        <v>44694</v>
      </c>
      <c r="B257" s="55">
        <f>SUMIFS(销售数据包!F:F,销售数据包!A:A,A257,销售数据包!C:C,Base!$F$2)+SUMIFS(销售数据包!F:F,销售数据包!A:A,A257,销售数据包!C:C,Base!$F$3)+SUMIFS(销售数据包!F:F,销售数据包!A:A,A257,销售数据包!C:C,Base!$F$4)</f>
        <v>0</v>
      </c>
      <c r="C257" s="56">
        <f>SUMIFS(销售数据包!K:K,销售数据包!A:A,A257,销售数据包!C:C,Base!$F$2)+SUMIFS(销售数据包!K:K,销售数据包!A:A,A257,销售数据包!C:C,Base!$F$3)+SUMIFS(销售数据包!K:K,销售数据包!A:A,A257,销售数据包!C:C,Base!$F$4)</f>
        <v>0</v>
      </c>
      <c r="D257" s="56">
        <f>SUMIFS(销售数据包!Q:Q,销售数据包!A:A,A257,销售数据包!C:C,Base!$F$2)+SUMIFS(销售数据包!Q:Q,销售数据包!A:A,A257,销售数据包!C:C,Base!$F$3)+SUMIFS(销售数据包!Q:Q,销售数据包!A:A,A257,销售数据包!C:C,Base!$F$4)</f>
        <v>0</v>
      </c>
      <c r="E257" s="57">
        <f t="shared" si="63"/>
        <v>0</v>
      </c>
      <c r="F257" s="57">
        <f t="shared" si="64"/>
        <v>0</v>
      </c>
      <c r="G257" s="56">
        <f>SUMIFS(销售数据包!O:O,销售数据包!A:A,A257)</f>
        <v>0</v>
      </c>
      <c r="H257" s="57">
        <f t="shared" si="65"/>
        <v>0</v>
      </c>
      <c r="I257" s="71">
        <f t="shared" si="66"/>
        <v>0</v>
      </c>
      <c r="J257" s="72" t="str">
        <f t="shared" si="67"/>
        <v>周5</v>
      </c>
      <c r="K257" s="73">
        <f>SUMIFS(广告数据包!H:H,广告数据包!A:A,A257,广告数据包!G:G,Base!$F$2)+SUMIFS(广告数据包!H:H,广告数据包!A:A,A257,广告数据包!G:G,Base!$F$3)+SUMIFS(广告数据包!H:H,广告数据包!A:A,A257,广告数据包!G:G,Base!$F$4)</f>
        <v>0</v>
      </c>
      <c r="L257" s="56">
        <f>SUMIFS(广告数据包!I:I,广告数据包!A:A,A257,广告数据包!G:G,Base!$F$2)+SUMIFS(广告数据包!I:I,广告数据包!A:A,A257,广告数据包!G:G,Base!$F$3)+SUMIFS(广告数据包!I:I,广告数据包!A:A,A257,广告数据包!G:G,Base!$F$4)</f>
        <v>0</v>
      </c>
      <c r="M257" s="57">
        <f t="shared" si="68"/>
        <v>0</v>
      </c>
      <c r="N257" s="74">
        <f t="shared" si="69"/>
        <v>0</v>
      </c>
      <c r="O257" s="75">
        <f>SUMIFS(广告数据包!P:P,广告数据包!A:A,A257,广告数据包!G:G,Base!$F$2)+SUMIFS(广告数据包!P:P,广告数据包!A:A,A257,广告数据包!G:G,Base!$F$3)+SUMIFS(广告数据包!P:P,广告数据包!A:A,A257,广告数据包!G:G,Base!$F$4)</f>
        <v>0</v>
      </c>
      <c r="P257" s="56">
        <f>SUMIFS(广告数据包!M:M,广告数据包!A:A,A257,广告数据包!G:G,Base!$F$2)+SUMIFS(广告数据包!M:M,广告数据包!A:A,A257,广告数据包!G:G,Base!$F$3)+SUMIFS(广告数据包!M:M,广告数据包!A:A,A257,广告数据包!G:G,Base!$F$4)</f>
        <v>0</v>
      </c>
      <c r="Q257" s="57">
        <f t="shared" si="70"/>
        <v>0</v>
      </c>
      <c r="R257" s="56">
        <f>SUMIFS(广告数据包!L:L,广告数据包!A:A,A257,广告数据包!G:G,Base!$F$2)+SUMIFS(广告数据包!L:L,广告数据包!A:A,A257,广告数据包!G:G,Base!$F$3)+SUMIFS(广告数据包!L:L,广告数据包!A:A,A257,广告数据包!G:G,Base!$F$4)</f>
        <v>0</v>
      </c>
      <c r="S257" s="86">
        <f t="shared" si="71"/>
        <v>0</v>
      </c>
    </row>
    <row r="258" ht="16.5" spans="1:19">
      <c r="A258" s="54">
        <v>44695</v>
      </c>
      <c r="B258" s="55">
        <f>SUMIFS(销售数据包!F:F,销售数据包!A:A,A258,销售数据包!C:C,Base!$F$2)+SUMIFS(销售数据包!F:F,销售数据包!A:A,A258,销售数据包!C:C,Base!$F$3)+SUMIFS(销售数据包!F:F,销售数据包!A:A,A258,销售数据包!C:C,Base!$F$4)</f>
        <v>0</v>
      </c>
      <c r="C258" s="56">
        <f>SUMIFS(销售数据包!K:K,销售数据包!A:A,A258,销售数据包!C:C,Base!$F$2)+SUMIFS(销售数据包!K:K,销售数据包!A:A,A258,销售数据包!C:C,Base!$F$3)+SUMIFS(销售数据包!K:K,销售数据包!A:A,A258,销售数据包!C:C,Base!$F$4)</f>
        <v>0</v>
      </c>
      <c r="D258" s="56">
        <f>SUMIFS(销售数据包!Q:Q,销售数据包!A:A,A258,销售数据包!C:C,Base!$F$2)+SUMIFS(销售数据包!Q:Q,销售数据包!A:A,A258,销售数据包!C:C,Base!$F$3)+SUMIFS(销售数据包!Q:Q,销售数据包!A:A,A258,销售数据包!C:C,Base!$F$4)</f>
        <v>0</v>
      </c>
      <c r="E258" s="57">
        <f t="shared" si="63"/>
        <v>0</v>
      </c>
      <c r="F258" s="57">
        <f t="shared" si="64"/>
        <v>0</v>
      </c>
      <c r="G258" s="56">
        <f>SUMIFS(销售数据包!O:O,销售数据包!A:A,A258)</f>
        <v>0</v>
      </c>
      <c r="H258" s="57">
        <f t="shared" si="65"/>
        <v>0</v>
      </c>
      <c r="I258" s="71">
        <f t="shared" si="66"/>
        <v>0</v>
      </c>
      <c r="J258" s="72" t="str">
        <f t="shared" si="67"/>
        <v>周6</v>
      </c>
      <c r="K258" s="73">
        <f>SUMIFS(广告数据包!H:H,广告数据包!A:A,A258,广告数据包!G:G,Base!$F$2)+SUMIFS(广告数据包!H:H,广告数据包!A:A,A258,广告数据包!G:G,Base!$F$3)+SUMIFS(广告数据包!H:H,广告数据包!A:A,A258,广告数据包!G:G,Base!$F$4)</f>
        <v>0</v>
      </c>
      <c r="L258" s="56">
        <f>SUMIFS(广告数据包!I:I,广告数据包!A:A,A258,广告数据包!G:G,Base!$F$2)+SUMIFS(广告数据包!I:I,广告数据包!A:A,A258,广告数据包!G:G,Base!$F$3)+SUMIFS(广告数据包!I:I,广告数据包!A:A,A258,广告数据包!G:G,Base!$F$4)</f>
        <v>0</v>
      </c>
      <c r="M258" s="57">
        <f t="shared" si="68"/>
        <v>0</v>
      </c>
      <c r="N258" s="74">
        <f t="shared" si="69"/>
        <v>0</v>
      </c>
      <c r="O258" s="75">
        <f>SUMIFS(广告数据包!P:P,广告数据包!A:A,A258,广告数据包!G:G,Base!$F$2)+SUMIFS(广告数据包!P:P,广告数据包!A:A,A258,广告数据包!G:G,Base!$F$3)+SUMIFS(广告数据包!P:P,广告数据包!A:A,A258,广告数据包!G:G,Base!$F$4)</f>
        <v>0</v>
      </c>
      <c r="P258" s="56">
        <f>SUMIFS(广告数据包!M:M,广告数据包!A:A,A258,广告数据包!G:G,Base!$F$2)+SUMIFS(广告数据包!M:M,广告数据包!A:A,A258,广告数据包!G:G,Base!$F$3)+SUMIFS(广告数据包!M:M,广告数据包!A:A,A258,广告数据包!G:G,Base!$F$4)</f>
        <v>0</v>
      </c>
      <c r="Q258" s="57">
        <f t="shared" si="70"/>
        <v>0</v>
      </c>
      <c r="R258" s="56">
        <f>SUMIFS(广告数据包!L:L,广告数据包!A:A,A258,广告数据包!G:G,Base!$F$2)+SUMIFS(广告数据包!L:L,广告数据包!A:A,A258,广告数据包!G:G,Base!$F$3)+SUMIFS(广告数据包!L:L,广告数据包!A:A,A258,广告数据包!G:G,Base!$F$4)</f>
        <v>0</v>
      </c>
      <c r="S258" s="86">
        <f t="shared" si="71"/>
        <v>0</v>
      </c>
    </row>
    <row r="259" ht="16.5" spans="1:19">
      <c r="A259" s="54">
        <v>44696</v>
      </c>
      <c r="B259" s="55">
        <f>SUMIFS(销售数据包!F:F,销售数据包!A:A,A259,销售数据包!C:C,Base!$F$2)+SUMIFS(销售数据包!F:F,销售数据包!A:A,A259,销售数据包!C:C,Base!$F$3)+SUMIFS(销售数据包!F:F,销售数据包!A:A,A259,销售数据包!C:C,Base!$F$4)</f>
        <v>0</v>
      </c>
      <c r="C259" s="56">
        <f>SUMIFS(销售数据包!K:K,销售数据包!A:A,A259,销售数据包!C:C,Base!$F$2)+SUMIFS(销售数据包!K:K,销售数据包!A:A,A259,销售数据包!C:C,Base!$F$3)+SUMIFS(销售数据包!K:K,销售数据包!A:A,A259,销售数据包!C:C,Base!$F$4)</f>
        <v>0</v>
      </c>
      <c r="D259" s="56">
        <f>SUMIFS(销售数据包!Q:Q,销售数据包!A:A,A259,销售数据包!C:C,Base!$F$2)+SUMIFS(销售数据包!Q:Q,销售数据包!A:A,A259,销售数据包!C:C,Base!$F$3)+SUMIFS(销售数据包!Q:Q,销售数据包!A:A,A259,销售数据包!C:C,Base!$F$4)</f>
        <v>0</v>
      </c>
      <c r="E259" s="57">
        <f t="shared" si="63"/>
        <v>0</v>
      </c>
      <c r="F259" s="57">
        <f t="shared" si="64"/>
        <v>0</v>
      </c>
      <c r="G259" s="56">
        <f>SUMIFS(销售数据包!O:O,销售数据包!A:A,A259)</f>
        <v>0</v>
      </c>
      <c r="H259" s="57">
        <f t="shared" si="65"/>
        <v>0</v>
      </c>
      <c r="I259" s="71">
        <f t="shared" si="66"/>
        <v>0</v>
      </c>
      <c r="J259" s="72" t="str">
        <f t="shared" si="67"/>
        <v>周7</v>
      </c>
      <c r="K259" s="73">
        <f>SUMIFS(广告数据包!H:H,广告数据包!A:A,A259,广告数据包!G:G,Base!$F$2)+SUMIFS(广告数据包!H:H,广告数据包!A:A,A259,广告数据包!G:G,Base!$F$3)+SUMIFS(广告数据包!H:H,广告数据包!A:A,A259,广告数据包!G:G,Base!$F$4)</f>
        <v>0</v>
      </c>
      <c r="L259" s="56">
        <f>SUMIFS(广告数据包!I:I,广告数据包!A:A,A259,广告数据包!G:G,Base!$F$2)+SUMIFS(广告数据包!I:I,广告数据包!A:A,A259,广告数据包!G:G,Base!$F$3)+SUMIFS(广告数据包!I:I,广告数据包!A:A,A259,广告数据包!G:G,Base!$F$4)</f>
        <v>0</v>
      </c>
      <c r="M259" s="57">
        <f t="shared" si="68"/>
        <v>0</v>
      </c>
      <c r="N259" s="74">
        <f t="shared" si="69"/>
        <v>0</v>
      </c>
      <c r="O259" s="75">
        <f>SUMIFS(广告数据包!P:P,广告数据包!A:A,A259,广告数据包!G:G,Base!$F$2)+SUMIFS(广告数据包!P:P,广告数据包!A:A,A259,广告数据包!G:G,Base!$F$3)+SUMIFS(广告数据包!P:P,广告数据包!A:A,A259,广告数据包!G:G,Base!$F$4)</f>
        <v>0</v>
      </c>
      <c r="P259" s="56">
        <f>SUMIFS(广告数据包!M:M,广告数据包!A:A,A259,广告数据包!G:G,Base!$F$2)+SUMIFS(广告数据包!M:M,广告数据包!A:A,A259,广告数据包!G:G,Base!$F$3)+SUMIFS(广告数据包!M:M,广告数据包!A:A,A259,广告数据包!G:G,Base!$F$4)</f>
        <v>0</v>
      </c>
      <c r="Q259" s="57">
        <f t="shared" si="70"/>
        <v>0</v>
      </c>
      <c r="R259" s="56">
        <f>SUMIFS(广告数据包!L:L,广告数据包!A:A,A259,广告数据包!G:G,Base!$F$2)+SUMIFS(广告数据包!L:L,广告数据包!A:A,A259,广告数据包!G:G,Base!$F$3)+SUMIFS(广告数据包!L:L,广告数据包!A:A,A259,广告数据包!G:G,Base!$F$4)</f>
        <v>0</v>
      </c>
      <c r="S259" s="86">
        <f t="shared" si="71"/>
        <v>0</v>
      </c>
    </row>
    <row r="260" ht="16.5" spans="1:19">
      <c r="A260" s="54">
        <v>44697</v>
      </c>
      <c r="B260" s="55">
        <f>SUMIFS(销售数据包!F:F,销售数据包!A:A,A260,销售数据包!C:C,Base!$F$2)+SUMIFS(销售数据包!F:F,销售数据包!A:A,A260,销售数据包!C:C,Base!$F$3)+SUMIFS(销售数据包!F:F,销售数据包!A:A,A260,销售数据包!C:C,Base!$F$4)</f>
        <v>0</v>
      </c>
      <c r="C260" s="56">
        <f>SUMIFS(销售数据包!K:K,销售数据包!A:A,A260,销售数据包!C:C,Base!$F$2)+SUMIFS(销售数据包!K:K,销售数据包!A:A,A260,销售数据包!C:C,Base!$F$3)+SUMIFS(销售数据包!K:K,销售数据包!A:A,A260,销售数据包!C:C,Base!$F$4)</f>
        <v>0</v>
      </c>
      <c r="D260" s="56">
        <f>SUMIFS(销售数据包!Q:Q,销售数据包!A:A,A260,销售数据包!C:C,Base!$F$2)+SUMIFS(销售数据包!Q:Q,销售数据包!A:A,A260,销售数据包!C:C,Base!$F$3)+SUMIFS(销售数据包!Q:Q,销售数据包!A:A,A260,销售数据包!C:C,Base!$F$4)</f>
        <v>0</v>
      </c>
      <c r="E260" s="57">
        <f t="shared" si="63"/>
        <v>0</v>
      </c>
      <c r="F260" s="57">
        <f t="shared" si="64"/>
        <v>0</v>
      </c>
      <c r="G260" s="56">
        <f>SUMIFS(销售数据包!O:O,销售数据包!A:A,A260)</f>
        <v>0</v>
      </c>
      <c r="H260" s="57">
        <f t="shared" si="65"/>
        <v>0</v>
      </c>
      <c r="I260" s="71">
        <f t="shared" si="66"/>
        <v>0</v>
      </c>
      <c r="J260" s="72" t="str">
        <f t="shared" si="67"/>
        <v>周1</v>
      </c>
      <c r="K260" s="73">
        <f>SUMIFS(广告数据包!H:H,广告数据包!A:A,A260,广告数据包!G:G,Base!$F$2)+SUMIFS(广告数据包!H:H,广告数据包!A:A,A260,广告数据包!G:G,Base!$F$3)+SUMIFS(广告数据包!H:H,广告数据包!A:A,A260,广告数据包!G:G,Base!$F$4)</f>
        <v>0</v>
      </c>
      <c r="L260" s="56">
        <f>SUMIFS(广告数据包!I:I,广告数据包!A:A,A260,广告数据包!G:G,Base!$F$2)+SUMIFS(广告数据包!I:I,广告数据包!A:A,A260,广告数据包!G:G,Base!$F$3)+SUMIFS(广告数据包!I:I,广告数据包!A:A,A260,广告数据包!G:G,Base!$F$4)</f>
        <v>0</v>
      </c>
      <c r="M260" s="57">
        <f t="shared" si="68"/>
        <v>0</v>
      </c>
      <c r="N260" s="74">
        <f t="shared" si="69"/>
        <v>0</v>
      </c>
      <c r="O260" s="75">
        <f>SUMIFS(广告数据包!P:P,广告数据包!A:A,A260,广告数据包!G:G,Base!$F$2)+SUMIFS(广告数据包!P:P,广告数据包!A:A,A260,广告数据包!G:G,Base!$F$3)+SUMIFS(广告数据包!P:P,广告数据包!A:A,A260,广告数据包!G:G,Base!$F$4)</f>
        <v>0</v>
      </c>
      <c r="P260" s="56">
        <f>SUMIFS(广告数据包!M:M,广告数据包!A:A,A260,广告数据包!G:G,Base!$F$2)+SUMIFS(广告数据包!M:M,广告数据包!A:A,A260,广告数据包!G:G,Base!$F$3)+SUMIFS(广告数据包!M:M,广告数据包!A:A,A260,广告数据包!G:G,Base!$F$4)</f>
        <v>0</v>
      </c>
      <c r="Q260" s="57">
        <f t="shared" si="70"/>
        <v>0</v>
      </c>
      <c r="R260" s="56">
        <f>SUMIFS(广告数据包!L:L,广告数据包!A:A,A260,广告数据包!G:G,Base!$F$2)+SUMIFS(广告数据包!L:L,广告数据包!A:A,A260,广告数据包!G:G,Base!$F$3)+SUMIFS(广告数据包!L:L,广告数据包!A:A,A260,广告数据包!G:G,Base!$F$4)</f>
        <v>0</v>
      </c>
      <c r="S260" s="86">
        <f t="shared" si="71"/>
        <v>0</v>
      </c>
    </row>
    <row r="261" ht="16.5" spans="1:19">
      <c r="A261" s="54">
        <v>44698</v>
      </c>
      <c r="B261" s="55">
        <f>SUMIFS(销售数据包!F:F,销售数据包!A:A,A261,销售数据包!C:C,Base!$F$2)+SUMIFS(销售数据包!F:F,销售数据包!A:A,A261,销售数据包!C:C,Base!$F$3)+SUMIFS(销售数据包!F:F,销售数据包!A:A,A261,销售数据包!C:C,Base!$F$4)</f>
        <v>0</v>
      </c>
      <c r="C261" s="56">
        <f>SUMIFS(销售数据包!K:K,销售数据包!A:A,A261,销售数据包!C:C,Base!$F$2)+SUMIFS(销售数据包!K:K,销售数据包!A:A,A261,销售数据包!C:C,Base!$F$3)+SUMIFS(销售数据包!K:K,销售数据包!A:A,A261,销售数据包!C:C,Base!$F$4)</f>
        <v>0</v>
      </c>
      <c r="D261" s="56">
        <f>SUMIFS(销售数据包!Q:Q,销售数据包!A:A,A261,销售数据包!C:C,Base!$F$2)+SUMIFS(销售数据包!Q:Q,销售数据包!A:A,A261,销售数据包!C:C,Base!$F$3)+SUMIFS(销售数据包!Q:Q,销售数据包!A:A,A261,销售数据包!C:C,Base!$F$4)</f>
        <v>0</v>
      </c>
      <c r="E261" s="57">
        <f t="shared" si="63"/>
        <v>0</v>
      </c>
      <c r="F261" s="57">
        <f t="shared" si="64"/>
        <v>0</v>
      </c>
      <c r="G261" s="56">
        <f>SUMIFS(销售数据包!O:O,销售数据包!A:A,A261)</f>
        <v>0</v>
      </c>
      <c r="H261" s="57">
        <f t="shared" si="65"/>
        <v>0</v>
      </c>
      <c r="I261" s="71">
        <f t="shared" si="66"/>
        <v>0</v>
      </c>
      <c r="J261" s="72" t="str">
        <f t="shared" si="67"/>
        <v>周2</v>
      </c>
      <c r="K261" s="73">
        <f>SUMIFS(广告数据包!H:H,广告数据包!A:A,A261,广告数据包!G:G,Base!$F$2)+SUMIFS(广告数据包!H:H,广告数据包!A:A,A261,广告数据包!G:G,Base!$F$3)+SUMIFS(广告数据包!H:H,广告数据包!A:A,A261,广告数据包!G:G,Base!$F$4)</f>
        <v>0</v>
      </c>
      <c r="L261" s="56">
        <f>SUMIFS(广告数据包!I:I,广告数据包!A:A,A261,广告数据包!G:G,Base!$F$2)+SUMIFS(广告数据包!I:I,广告数据包!A:A,A261,广告数据包!G:G,Base!$F$3)+SUMIFS(广告数据包!I:I,广告数据包!A:A,A261,广告数据包!G:G,Base!$F$4)</f>
        <v>0</v>
      </c>
      <c r="M261" s="57">
        <f t="shared" si="68"/>
        <v>0</v>
      </c>
      <c r="N261" s="74">
        <f t="shared" si="69"/>
        <v>0</v>
      </c>
      <c r="O261" s="75">
        <f>SUMIFS(广告数据包!P:P,广告数据包!A:A,A261,广告数据包!G:G,Base!$F$2)+SUMIFS(广告数据包!P:P,广告数据包!A:A,A261,广告数据包!G:G,Base!$F$3)+SUMIFS(广告数据包!P:P,广告数据包!A:A,A261,广告数据包!G:G,Base!$F$4)</f>
        <v>0</v>
      </c>
      <c r="P261" s="56">
        <f>SUMIFS(广告数据包!M:M,广告数据包!A:A,A261,广告数据包!G:G,Base!$F$2)+SUMIFS(广告数据包!M:M,广告数据包!A:A,A261,广告数据包!G:G,Base!$F$3)+SUMIFS(广告数据包!M:M,广告数据包!A:A,A261,广告数据包!G:G,Base!$F$4)</f>
        <v>0</v>
      </c>
      <c r="Q261" s="57">
        <f t="shared" si="70"/>
        <v>0</v>
      </c>
      <c r="R261" s="56">
        <f>SUMIFS(广告数据包!L:L,广告数据包!A:A,A261,广告数据包!G:G,Base!$F$2)+SUMIFS(广告数据包!L:L,广告数据包!A:A,A261,广告数据包!G:G,Base!$F$3)+SUMIFS(广告数据包!L:L,广告数据包!A:A,A261,广告数据包!G:G,Base!$F$4)</f>
        <v>0</v>
      </c>
      <c r="S261" s="86">
        <f t="shared" si="71"/>
        <v>0</v>
      </c>
    </row>
    <row r="262" ht="16.5" spans="1:19">
      <c r="A262" s="54">
        <v>44699</v>
      </c>
      <c r="B262" s="55">
        <f>SUMIFS(销售数据包!F:F,销售数据包!A:A,A262,销售数据包!C:C,Base!$F$2)+SUMIFS(销售数据包!F:F,销售数据包!A:A,A262,销售数据包!C:C,Base!$F$3)+SUMIFS(销售数据包!F:F,销售数据包!A:A,A262,销售数据包!C:C,Base!$F$4)</f>
        <v>0</v>
      </c>
      <c r="C262" s="56">
        <f>SUMIFS(销售数据包!K:K,销售数据包!A:A,A262,销售数据包!C:C,Base!$F$2)+SUMIFS(销售数据包!K:K,销售数据包!A:A,A262,销售数据包!C:C,Base!$F$3)+SUMIFS(销售数据包!K:K,销售数据包!A:A,A262,销售数据包!C:C,Base!$F$4)</f>
        <v>0</v>
      </c>
      <c r="D262" s="56">
        <f>SUMIFS(销售数据包!Q:Q,销售数据包!A:A,A262,销售数据包!C:C,Base!$F$2)+SUMIFS(销售数据包!Q:Q,销售数据包!A:A,A262,销售数据包!C:C,Base!$F$3)+SUMIFS(销售数据包!Q:Q,销售数据包!A:A,A262,销售数据包!C:C,Base!$F$4)</f>
        <v>0</v>
      </c>
      <c r="E262" s="57">
        <f t="shared" si="63"/>
        <v>0</v>
      </c>
      <c r="F262" s="57">
        <f t="shared" si="64"/>
        <v>0</v>
      </c>
      <c r="G262" s="56">
        <f>SUMIFS(销售数据包!O:O,销售数据包!A:A,A262)</f>
        <v>0</v>
      </c>
      <c r="H262" s="57">
        <f t="shared" si="65"/>
        <v>0</v>
      </c>
      <c r="I262" s="71">
        <f t="shared" si="66"/>
        <v>0</v>
      </c>
      <c r="J262" s="72" t="str">
        <f t="shared" si="67"/>
        <v>周3</v>
      </c>
      <c r="K262" s="73">
        <f>SUMIFS(广告数据包!H:H,广告数据包!A:A,A262,广告数据包!G:G,Base!$F$2)+SUMIFS(广告数据包!H:H,广告数据包!A:A,A262,广告数据包!G:G,Base!$F$3)+SUMIFS(广告数据包!H:H,广告数据包!A:A,A262,广告数据包!G:G,Base!$F$4)</f>
        <v>0</v>
      </c>
      <c r="L262" s="56">
        <f>SUMIFS(广告数据包!I:I,广告数据包!A:A,A262,广告数据包!G:G,Base!$F$2)+SUMIFS(广告数据包!I:I,广告数据包!A:A,A262,广告数据包!G:G,Base!$F$3)+SUMIFS(广告数据包!I:I,广告数据包!A:A,A262,广告数据包!G:G,Base!$F$4)</f>
        <v>0</v>
      </c>
      <c r="M262" s="57">
        <f t="shared" si="68"/>
        <v>0</v>
      </c>
      <c r="N262" s="74">
        <f t="shared" si="69"/>
        <v>0</v>
      </c>
      <c r="O262" s="75">
        <f>SUMIFS(广告数据包!P:P,广告数据包!A:A,A262,广告数据包!G:G,Base!$F$2)+SUMIFS(广告数据包!P:P,广告数据包!A:A,A262,广告数据包!G:G,Base!$F$3)+SUMIFS(广告数据包!P:P,广告数据包!A:A,A262,广告数据包!G:G,Base!$F$4)</f>
        <v>0</v>
      </c>
      <c r="P262" s="56">
        <f>SUMIFS(广告数据包!M:M,广告数据包!A:A,A262,广告数据包!G:G,Base!$F$2)+SUMIFS(广告数据包!M:M,广告数据包!A:A,A262,广告数据包!G:G,Base!$F$3)+SUMIFS(广告数据包!M:M,广告数据包!A:A,A262,广告数据包!G:G,Base!$F$4)</f>
        <v>0</v>
      </c>
      <c r="Q262" s="57">
        <f t="shared" si="70"/>
        <v>0</v>
      </c>
      <c r="R262" s="56">
        <f>SUMIFS(广告数据包!L:L,广告数据包!A:A,A262,广告数据包!G:G,Base!$F$2)+SUMIFS(广告数据包!L:L,广告数据包!A:A,A262,广告数据包!G:G,Base!$F$3)+SUMIFS(广告数据包!L:L,广告数据包!A:A,A262,广告数据包!G:G,Base!$F$4)</f>
        <v>0</v>
      </c>
      <c r="S262" s="86">
        <f t="shared" si="71"/>
        <v>0</v>
      </c>
    </row>
    <row r="263" ht="16.5" spans="1:19">
      <c r="A263" s="54">
        <v>44700</v>
      </c>
      <c r="B263" s="55">
        <f>SUMIFS(销售数据包!F:F,销售数据包!A:A,A263,销售数据包!C:C,Base!$F$2)+SUMIFS(销售数据包!F:F,销售数据包!A:A,A263,销售数据包!C:C,Base!$F$3)+SUMIFS(销售数据包!F:F,销售数据包!A:A,A263,销售数据包!C:C,Base!$F$4)</f>
        <v>0</v>
      </c>
      <c r="C263" s="56">
        <f>SUMIFS(销售数据包!K:K,销售数据包!A:A,A263,销售数据包!C:C,Base!$F$2)+SUMIFS(销售数据包!K:K,销售数据包!A:A,A263,销售数据包!C:C,Base!$F$3)+SUMIFS(销售数据包!K:K,销售数据包!A:A,A263,销售数据包!C:C,Base!$F$4)</f>
        <v>0</v>
      </c>
      <c r="D263" s="56">
        <f>SUMIFS(销售数据包!Q:Q,销售数据包!A:A,A263,销售数据包!C:C,Base!$F$2)+SUMIFS(销售数据包!Q:Q,销售数据包!A:A,A263,销售数据包!C:C,Base!$F$3)+SUMIFS(销售数据包!Q:Q,销售数据包!A:A,A263,销售数据包!C:C,Base!$F$4)</f>
        <v>0</v>
      </c>
      <c r="E263" s="57">
        <f t="shared" si="63"/>
        <v>0</v>
      </c>
      <c r="F263" s="57">
        <f t="shared" si="64"/>
        <v>0</v>
      </c>
      <c r="G263" s="56">
        <f>SUMIFS(销售数据包!O:O,销售数据包!A:A,A263)</f>
        <v>0</v>
      </c>
      <c r="H263" s="57">
        <f t="shared" si="65"/>
        <v>0</v>
      </c>
      <c r="I263" s="71">
        <f t="shared" si="66"/>
        <v>0</v>
      </c>
      <c r="J263" s="72" t="str">
        <f t="shared" si="67"/>
        <v>周4</v>
      </c>
      <c r="K263" s="73">
        <f>SUMIFS(广告数据包!H:H,广告数据包!A:A,A263,广告数据包!G:G,Base!$F$2)+SUMIFS(广告数据包!H:H,广告数据包!A:A,A263,广告数据包!G:G,Base!$F$3)+SUMIFS(广告数据包!H:H,广告数据包!A:A,A263,广告数据包!G:G,Base!$F$4)</f>
        <v>0</v>
      </c>
      <c r="L263" s="56">
        <f>SUMIFS(广告数据包!I:I,广告数据包!A:A,A263,广告数据包!G:G,Base!$F$2)+SUMIFS(广告数据包!I:I,广告数据包!A:A,A263,广告数据包!G:G,Base!$F$3)+SUMIFS(广告数据包!I:I,广告数据包!A:A,A263,广告数据包!G:G,Base!$F$4)</f>
        <v>0</v>
      </c>
      <c r="M263" s="57">
        <f t="shared" si="68"/>
        <v>0</v>
      </c>
      <c r="N263" s="74">
        <f t="shared" si="69"/>
        <v>0</v>
      </c>
      <c r="O263" s="75">
        <f>SUMIFS(广告数据包!P:P,广告数据包!A:A,A263,广告数据包!G:G,Base!$F$2)+SUMIFS(广告数据包!P:P,广告数据包!A:A,A263,广告数据包!G:G,Base!$F$3)+SUMIFS(广告数据包!P:P,广告数据包!A:A,A263,广告数据包!G:G,Base!$F$4)</f>
        <v>0</v>
      </c>
      <c r="P263" s="56">
        <f>SUMIFS(广告数据包!M:M,广告数据包!A:A,A263,广告数据包!G:G,Base!$F$2)+SUMIFS(广告数据包!M:M,广告数据包!A:A,A263,广告数据包!G:G,Base!$F$3)+SUMIFS(广告数据包!M:M,广告数据包!A:A,A263,广告数据包!G:G,Base!$F$4)</f>
        <v>0</v>
      </c>
      <c r="Q263" s="57">
        <f t="shared" si="70"/>
        <v>0</v>
      </c>
      <c r="R263" s="56">
        <f>SUMIFS(广告数据包!L:L,广告数据包!A:A,A263,广告数据包!G:G,Base!$F$2)+SUMIFS(广告数据包!L:L,广告数据包!A:A,A263,广告数据包!G:G,Base!$F$3)+SUMIFS(广告数据包!L:L,广告数据包!A:A,A263,广告数据包!G:G,Base!$F$4)</f>
        <v>0</v>
      </c>
      <c r="S263" s="86">
        <f t="shared" si="71"/>
        <v>0</v>
      </c>
    </row>
    <row r="264" ht="16.5" spans="1:19">
      <c r="A264" s="54">
        <v>44701</v>
      </c>
      <c r="B264" s="55">
        <f>SUMIFS(销售数据包!F:F,销售数据包!A:A,A264,销售数据包!C:C,Base!$F$2)+SUMIFS(销售数据包!F:F,销售数据包!A:A,A264,销售数据包!C:C,Base!$F$3)+SUMIFS(销售数据包!F:F,销售数据包!A:A,A264,销售数据包!C:C,Base!$F$4)</f>
        <v>0</v>
      </c>
      <c r="C264" s="56">
        <f>SUMIFS(销售数据包!K:K,销售数据包!A:A,A264,销售数据包!C:C,Base!$F$2)+SUMIFS(销售数据包!K:K,销售数据包!A:A,A264,销售数据包!C:C,Base!$F$3)+SUMIFS(销售数据包!K:K,销售数据包!A:A,A264,销售数据包!C:C,Base!$F$4)</f>
        <v>0</v>
      </c>
      <c r="D264" s="56">
        <f>SUMIFS(销售数据包!Q:Q,销售数据包!A:A,A264,销售数据包!C:C,Base!$F$2)+SUMIFS(销售数据包!Q:Q,销售数据包!A:A,A264,销售数据包!C:C,Base!$F$3)+SUMIFS(销售数据包!Q:Q,销售数据包!A:A,A264,销售数据包!C:C,Base!$F$4)</f>
        <v>0</v>
      </c>
      <c r="E264" s="57">
        <f t="shared" si="63"/>
        <v>0</v>
      </c>
      <c r="F264" s="57">
        <f t="shared" si="64"/>
        <v>0</v>
      </c>
      <c r="G264" s="56">
        <f>SUMIFS(销售数据包!O:O,销售数据包!A:A,A264)</f>
        <v>0</v>
      </c>
      <c r="H264" s="57">
        <f t="shared" si="65"/>
        <v>0</v>
      </c>
      <c r="I264" s="71">
        <f t="shared" si="66"/>
        <v>0</v>
      </c>
      <c r="J264" s="72" t="str">
        <f t="shared" si="67"/>
        <v>周5</v>
      </c>
      <c r="K264" s="73">
        <f>SUMIFS(广告数据包!H:H,广告数据包!A:A,A264,广告数据包!G:G,Base!$F$2)+SUMIFS(广告数据包!H:H,广告数据包!A:A,A264,广告数据包!G:G,Base!$F$3)+SUMIFS(广告数据包!H:H,广告数据包!A:A,A264,广告数据包!G:G,Base!$F$4)</f>
        <v>0</v>
      </c>
      <c r="L264" s="56">
        <f>SUMIFS(广告数据包!I:I,广告数据包!A:A,A264,广告数据包!G:G,Base!$F$2)+SUMIFS(广告数据包!I:I,广告数据包!A:A,A264,广告数据包!G:G,Base!$F$3)+SUMIFS(广告数据包!I:I,广告数据包!A:A,A264,广告数据包!G:G,Base!$F$4)</f>
        <v>0</v>
      </c>
      <c r="M264" s="57">
        <f t="shared" si="68"/>
        <v>0</v>
      </c>
      <c r="N264" s="74">
        <f t="shared" si="69"/>
        <v>0</v>
      </c>
      <c r="O264" s="75">
        <f>SUMIFS(广告数据包!P:P,广告数据包!A:A,A264,广告数据包!G:G,Base!$F$2)+SUMIFS(广告数据包!P:P,广告数据包!A:A,A264,广告数据包!G:G,Base!$F$3)+SUMIFS(广告数据包!P:P,广告数据包!A:A,A264,广告数据包!G:G,Base!$F$4)</f>
        <v>0</v>
      </c>
      <c r="P264" s="56">
        <f>SUMIFS(广告数据包!M:M,广告数据包!A:A,A264,广告数据包!G:G,Base!$F$2)+SUMIFS(广告数据包!M:M,广告数据包!A:A,A264,广告数据包!G:G,Base!$F$3)+SUMIFS(广告数据包!M:M,广告数据包!A:A,A264,广告数据包!G:G,Base!$F$4)</f>
        <v>0</v>
      </c>
      <c r="Q264" s="57">
        <f t="shared" si="70"/>
        <v>0</v>
      </c>
      <c r="R264" s="56">
        <f>SUMIFS(广告数据包!L:L,广告数据包!A:A,A264,广告数据包!G:G,Base!$F$2)+SUMIFS(广告数据包!L:L,广告数据包!A:A,A264,广告数据包!G:G,Base!$F$3)+SUMIFS(广告数据包!L:L,广告数据包!A:A,A264,广告数据包!G:G,Base!$F$4)</f>
        <v>0</v>
      </c>
      <c r="S264" s="86">
        <f t="shared" si="71"/>
        <v>0</v>
      </c>
    </row>
    <row r="265" ht="16.5" spans="1:19">
      <c r="A265" s="54">
        <v>44702</v>
      </c>
      <c r="B265" s="55">
        <f>SUMIFS(销售数据包!F:F,销售数据包!A:A,A265,销售数据包!C:C,Base!$F$2)+SUMIFS(销售数据包!F:F,销售数据包!A:A,A265,销售数据包!C:C,Base!$F$3)+SUMIFS(销售数据包!F:F,销售数据包!A:A,A265,销售数据包!C:C,Base!$F$4)</f>
        <v>0</v>
      </c>
      <c r="C265" s="56">
        <f>SUMIFS(销售数据包!K:K,销售数据包!A:A,A265,销售数据包!C:C,Base!$F$2)+SUMIFS(销售数据包!K:K,销售数据包!A:A,A265,销售数据包!C:C,Base!$F$3)+SUMIFS(销售数据包!K:K,销售数据包!A:A,A265,销售数据包!C:C,Base!$F$4)</f>
        <v>0</v>
      </c>
      <c r="D265" s="56">
        <f>SUMIFS(销售数据包!Q:Q,销售数据包!A:A,A265,销售数据包!C:C,Base!$F$2)+SUMIFS(销售数据包!Q:Q,销售数据包!A:A,A265,销售数据包!C:C,Base!$F$3)+SUMIFS(销售数据包!Q:Q,销售数据包!A:A,A265,销售数据包!C:C,Base!$F$4)</f>
        <v>0</v>
      </c>
      <c r="E265" s="57">
        <f t="shared" si="63"/>
        <v>0</v>
      </c>
      <c r="F265" s="57">
        <f t="shared" si="64"/>
        <v>0</v>
      </c>
      <c r="G265" s="56">
        <f>SUMIFS(销售数据包!O:O,销售数据包!A:A,A265)</f>
        <v>0</v>
      </c>
      <c r="H265" s="57">
        <f t="shared" si="65"/>
        <v>0</v>
      </c>
      <c r="I265" s="71">
        <f t="shared" si="66"/>
        <v>0</v>
      </c>
      <c r="J265" s="72" t="str">
        <f t="shared" si="67"/>
        <v>周6</v>
      </c>
      <c r="K265" s="73">
        <f>SUMIFS(广告数据包!H:H,广告数据包!A:A,A265,广告数据包!G:G,Base!$F$2)+SUMIFS(广告数据包!H:H,广告数据包!A:A,A265,广告数据包!G:G,Base!$F$3)+SUMIFS(广告数据包!H:H,广告数据包!A:A,A265,广告数据包!G:G,Base!$F$4)</f>
        <v>0</v>
      </c>
      <c r="L265" s="56">
        <f>SUMIFS(广告数据包!I:I,广告数据包!A:A,A265,广告数据包!G:G,Base!$F$2)+SUMIFS(广告数据包!I:I,广告数据包!A:A,A265,广告数据包!G:G,Base!$F$3)+SUMIFS(广告数据包!I:I,广告数据包!A:A,A265,广告数据包!G:G,Base!$F$4)</f>
        <v>0</v>
      </c>
      <c r="M265" s="57">
        <f t="shared" si="68"/>
        <v>0</v>
      </c>
      <c r="N265" s="74">
        <f t="shared" si="69"/>
        <v>0</v>
      </c>
      <c r="O265" s="75">
        <f>SUMIFS(广告数据包!P:P,广告数据包!A:A,A265,广告数据包!G:G,Base!$F$2)+SUMIFS(广告数据包!P:P,广告数据包!A:A,A265,广告数据包!G:G,Base!$F$3)+SUMIFS(广告数据包!P:P,广告数据包!A:A,A265,广告数据包!G:G,Base!$F$4)</f>
        <v>0</v>
      </c>
      <c r="P265" s="56">
        <f>SUMIFS(广告数据包!M:M,广告数据包!A:A,A265,广告数据包!G:G,Base!$F$2)+SUMIFS(广告数据包!M:M,广告数据包!A:A,A265,广告数据包!G:G,Base!$F$3)+SUMIFS(广告数据包!M:M,广告数据包!A:A,A265,广告数据包!G:G,Base!$F$4)</f>
        <v>0</v>
      </c>
      <c r="Q265" s="57">
        <f t="shared" si="70"/>
        <v>0</v>
      </c>
      <c r="R265" s="56">
        <f>SUMIFS(广告数据包!L:L,广告数据包!A:A,A265,广告数据包!G:G,Base!$F$2)+SUMIFS(广告数据包!L:L,广告数据包!A:A,A265,广告数据包!G:G,Base!$F$3)+SUMIFS(广告数据包!L:L,广告数据包!A:A,A265,广告数据包!G:G,Base!$F$4)</f>
        <v>0</v>
      </c>
      <c r="S265" s="86">
        <f t="shared" si="71"/>
        <v>0</v>
      </c>
    </row>
    <row r="266" ht="16.5" spans="1:19">
      <c r="A266" s="54">
        <v>44703</v>
      </c>
      <c r="B266" s="55">
        <f>SUMIFS(销售数据包!F:F,销售数据包!A:A,A266,销售数据包!C:C,Base!$F$2)+SUMIFS(销售数据包!F:F,销售数据包!A:A,A266,销售数据包!C:C,Base!$F$3)+SUMIFS(销售数据包!F:F,销售数据包!A:A,A266,销售数据包!C:C,Base!$F$4)</f>
        <v>0</v>
      </c>
      <c r="C266" s="56">
        <f>SUMIFS(销售数据包!K:K,销售数据包!A:A,A266,销售数据包!C:C,Base!$F$2)+SUMIFS(销售数据包!K:K,销售数据包!A:A,A266,销售数据包!C:C,Base!$F$3)+SUMIFS(销售数据包!K:K,销售数据包!A:A,A266,销售数据包!C:C,Base!$F$4)</f>
        <v>0</v>
      </c>
      <c r="D266" s="56">
        <f>SUMIFS(销售数据包!Q:Q,销售数据包!A:A,A266,销售数据包!C:C,Base!$F$2)+SUMIFS(销售数据包!Q:Q,销售数据包!A:A,A266,销售数据包!C:C,Base!$F$3)+SUMIFS(销售数据包!Q:Q,销售数据包!A:A,A266,销售数据包!C:C,Base!$F$4)</f>
        <v>0</v>
      </c>
      <c r="E266" s="57">
        <f t="shared" si="63"/>
        <v>0</v>
      </c>
      <c r="F266" s="57">
        <f t="shared" si="64"/>
        <v>0</v>
      </c>
      <c r="G266" s="56">
        <f>SUMIFS(销售数据包!O:O,销售数据包!A:A,A266)</f>
        <v>0</v>
      </c>
      <c r="H266" s="57">
        <f t="shared" si="65"/>
        <v>0</v>
      </c>
      <c r="I266" s="71">
        <f t="shared" si="66"/>
        <v>0</v>
      </c>
      <c r="J266" s="72" t="str">
        <f t="shared" si="67"/>
        <v>周7</v>
      </c>
      <c r="K266" s="73">
        <f>SUMIFS(广告数据包!H:H,广告数据包!A:A,A266,广告数据包!G:G,Base!$F$2)+SUMIFS(广告数据包!H:H,广告数据包!A:A,A266,广告数据包!G:G,Base!$F$3)+SUMIFS(广告数据包!H:H,广告数据包!A:A,A266,广告数据包!G:G,Base!$F$4)</f>
        <v>0</v>
      </c>
      <c r="L266" s="56">
        <f>SUMIFS(广告数据包!I:I,广告数据包!A:A,A266,广告数据包!G:G,Base!$F$2)+SUMIFS(广告数据包!I:I,广告数据包!A:A,A266,广告数据包!G:G,Base!$F$3)+SUMIFS(广告数据包!I:I,广告数据包!A:A,A266,广告数据包!G:G,Base!$F$4)</f>
        <v>0</v>
      </c>
      <c r="M266" s="57">
        <f t="shared" si="68"/>
        <v>0</v>
      </c>
      <c r="N266" s="74">
        <f t="shared" si="69"/>
        <v>0</v>
      </c>
      <c r="O266" s="75">
        <f>SUMIFS(广告数据包!P:P,广告数据包!A:A,A266,广告数据包!G:G,Base!$F$2)+SUMIFS(广告数据包!P:P,广告数据包!A:A,A266,广告数据包!G:G,Base!$F$3)+SUMIFS(广告数据包!P:P,广告数据包!A:A,A266,广告数据包!G:G,Base!$F$4)</f>
        <v>0</v>
      </c>
      <c r="P266" s="56">
        <f>SUMIFS(广告数据包!M:M,广告数据包!A:A,A266,广告数据包!G:G,Base!$F$2)+SUMIFS(广告数据包!M:M,广告数据包!A:A,A266,广告数据包!G:G,Base!$F$3)+SUMIFS(广告数据包!M:M,广告数据包!A:A,A266,广告数据包!G:G,Base!$F$4)</f>
        <v>0</v>
      </c>
      <c r="Q266" s="57">
        <f t="shared" si="70"/>
        <v>0</v>
      </c>
      <c r="R266" s="56">
        <f>SUMIFS(广告数据包!L:L,广告数据包!A:A,A266,广告数据包!G:G,Base!$F$2)+SUMIFS(广告数据包!L:L,广告数据包!A:A,A266,广告数据包!G:G,Base!$F$3)+SUMIFS(广告数据包!L:L,广告数据包!A:A,A266,广告数据包!G:G,Base!$F$4)</f>
        <v>0</v>
      </c>
      <c r="S266" s="86">
        <f t="shared" si="71"/>
        <v>0</v>
      </c>
    </row>
    <row r="267" ht="16.5" spans="1:19">
      <c r="A267" s="54">
        <v>44704</v>
      </c>
      <c r="B267" s="55">
        <f>SUMIFS(销售数据包!F:F,销售数据包!A:A,A267,销售数据包!C:C,Base!$F$2)+SUMIFS(销售数据包!F:F,销售数据包!A:A,A267,销售数据包!C:C,Base!$F$3)+SUMIFS(销售数据包!F:F,销售数据包!A:A,A267,销售数据包!C:C,Base!$F$4)</f>
        <v>0</v>
      </c>
      <c r="C267" s="56">
        <f>SUMIFS(销售数据包!K:K,销售数据包!A:A,A267,销售数据包!C:C,Base!$F$2)+SUMIFS(销售数据包!K:K,销售数据包!A:A,A267,销售数据包!C:C,Base!$F$3)+SUMIFS(销售数据包!K:K,销售数据包!A:A,A267,销售数据包!C:C,Base!$F$4)</f>
        <v>0</v>
      </c>
      <c r="D267" s="56">
        <f>SUMIFS(销售数据包!Q:Q,销售数据包!A:A,A267,销售数据包!C:C,Base!$F$2)+SUMIFS(销售数据包!Q:Q,销售数据包!A:A,A267,销售数据包!C:C,Base!$F$3)+SUMIFS(销售数据包!Q:Q,销售数据包!A:A,A267,销售数据包!C:C,Base!$F$4)</f>
        <v>0</v>
      </c>
      <c r="E267" s="57">
        <f t="shared" si="63"/>
        <v>0</v>
      </c>
      <c r="F267" s="57">
        <f t="shared" si="64"/>
        <v>0</v>
      </c>
      <c r="G267" s="56">
        <f>SUMIFS(销售数据包!O:O,销售数据包!A:A,A267)</f>
        <v>0</v>
      </c>
      <c r="H267" s="57">
        <f t="shared" si="65"/>
        <v>0</v>
      </c>
      <c r="I267" s="71">
        <f t="shared" si="66"/>
        <v>0</v>
      </c>
      <c r="J267" s="72" t="str">
        <f t="shared" si="67"/>
        <v>周1</v>
      </c>
      <c r="K267" s="73">
        <f>SUMIFS(广告数据包!H:H,广告数据包!A:A,A267,广告数据包!G:G,Base!$F$2)+SUMIFS(广告数据包!H:H,广告数据包!A:A,A267,广告数据包!G:G,Base!$F$3)+SUMIFS(广告数据包!H:H,广告数据包!A:A,A267,广告数据包!G:G,Base!$F$4)</f>
        <v>0</v>
      </c>
      <c r="L267" s="56">
        <f>SUMIFS(广告数据包!I:I,广告数据包!A:A,A267,广告数据包!G:G,Base!$F$2)+SUMIFS(广告数据包!I:I,广告数据包!A:A,A267,广告数据包!G:G,Base!$F$3)+SUMIFS(广告数据包!I:I,广告数据包!A:A,A267,广告数据包!G:G,Base!$F$4)</f>
        <v>0</v>
      </c>
      <c r="M267" s="57">
        <f t="shared" si="68"/>
        <v>0</v>
      </c>
      <c r="N267" s="74">
        <f t="shared" si="69"/>
        <v>0</v>
      </c>
      <c r="O267" s="75">
        <f>SUMIFS(广告数据包!P:P,广告数据包!A:A,A267,广告数据包!G:G,Base!$F$2)+SUMIFS(广告数据包!P:P,广告数据包!A:A,A267,广告数据包!G:G,Base!$F$3)+SUMIFS(广告数据包!P:P,广告数据包!A:A,A267,广告数据包!G:G,Base!$F$4)</f>
        <v>0</v>
      </c>
      <c r="P267" s="56">
        <f>SUMIFS(广告数据包!M:M,广告数据包!A:A,A267,广告数据包!G:G,Base!$F$2)+SUMIFS(广告数据包!M:M,广告数据包!A:A,A267,广告数据包!G:G,Base!$F$3)+SUMIFS(广告数据包!M:M,广告数据包!A:A,A267,广告数据包!G:G,Base!$F$4)</f>
        <v>0</v>
      </c>
      <c r="Q267" s="57">
        <f t="shared" si="70"/>
        <v>0</v>
      </c>
      <c r="R267" s="56">
        <f>SUMIFS(广告数据包!L:L,广告数据包!A:A,A267,广告数据包!G:G,Base!$F$2)+SUMIFS(广告数据包!L:L,广告数据包!A:A,A267,广告数据包!G:G,Base!$F$3)+SUMIFS(广告数据包!L:L,广告数据包!A:A,A267,广告数据包!G:G,Base!$F$4)</f>
        <v>0</v>
      </c>
      <c r="S267" s="86">
        <f t="shared" si="71"/>
        <v>0</v>
      </c>
    </row>
    <row r="268" ht="16.5" spans="1:19">
      <c r="A268" s="54">
        <v>44705</v>
      </c>
      <c r="B268" s="55">
        <f>SUMIFS(销售数据包!F:F,销售数据包!A:A,A268,销售数据包!C:C,Base!$F$2)+SUMIFS(销售数据包!F:F,销售数据包!A:A,A268,销售数据包!C:C,Base!$F$3)+SUMIFS(销售数据包!F:F,销售数据包!A:A,A268,销售数据包!C:C,Base!$F$4)</f>
        <v>0</v>
      </c>
      <c r="C268" s="56">
        <f>SUMIFS(销售数据包!K:K,销售数据包!A:A,A268,销售数据包!C:C,Base!$F$2)+SUMIFS(销售数据包!K:K,销售数据包!A:A,A268,销售数据包!C:C,Base!$F$3)+SUMIFS(销售数据包!K:K,销售数据包!A:A,A268,销售数据包!C:C,Base!$F$4)</f>
        <v>0</v>
      </c>
      <c r="D268" s="56">
        <f>SUMIFS(销售数据包!Q:Q,销售数据包!A:A,A268,销售数据包!C:C,Base!$F$2)+SUMIFS(销售数据包!Q:Q,销售数据包!A:A,A268,销售数据包!C:C,Base!$F$3)+SUMIFS(销售数据包!Q:Q,销售数据包!A:A,A268,销售数据包!C:C,Base!$F$4)</f>
        <v>0</v>
      </c>
      <c r="E268" s="57">
        <f t="shared" si="63"/>
        <v>0</v>
      </c>
      <c r="F268" s="57">
        <f t="shared" si="64"/>
        <v>0</v>
      </c>
      <c r="G268" s="56">
        <f>SUMIFS(销售数据包!O:O,销售数据包!A:A,A268)</f>
        <v>0</v>
      </c>
      <c r="H268" s="57">
        <f t="shared" si="65"/>
        <v>0</v>
      </c>
      <c r="I268" s="71">
        <f t="shared" si="66"/>
        <v>0</v>
      </c>
      <c r="J268" s="72" t="str">
        <f t="shared" si="67"/>
        <v>周2</v>
      </c>
      <c r="K268" s="73">
        <f>SUMIFS(广告数据包!H:H,广告数据包!A:A,A268,广告数据包!G:G,Base!$F$2)+SUMIFS(广告数据包!H:H,广告数据包!A:A,A268,广告数据包!G:G,Base!$F$3)+SUMIFS(广告数据包!H:H,广告数据包!A:A,A268,广告数据包!G:G,Base!$F$4)</f>
        <v>0</v>
      </c>
      <c r="L268" s="56">
        <f>SUMIFS(广告数据包!I:I,广告数据包!A:A,A268,广告数据包!G:G,Base!$F$2)+SUMIFS(广告数据包!I:I,广告数据包!A:A,A268,广告数据包!G:G,Base!$F$3)+SUMIFS(广告数据包!I:I,广告数据包!A:A,A268,广告数据包!G:G,Base!$F$4)</f>
        <v>0</v>
      </c>
      <c r="M268" s="57">
        <f t="shared" si="68"/>
        <v>0</v>
      </c>
      <c r="N268" s="74">
        <f t="shared" si="69"/>
        <v>0</v>
      </c>
      <c r="O268" s="75">
        <f>SUMIFS(广告数据包!P:P,广告数据包!A:A,A268,广告数据包!G:G,Base!$F$2)+SUMIFS(广告数据包!P:P,广告数据包!A:A,A268,广告数据包!G:G,Base!$F$3)+SUMIFS(广告数据包!P:P,广告数据包!A:A,A268,广告数据包!G:G,Base!$F$4)</f>
        <v>0</v>
      </c>
      <c r="P268" s="56">
        <f>SUMIFS(广告数据包!M:M,广告数据包!A:A,A268,广告数据包!G:G,Base!$F$2)+SUMIFS(广告数据包!M:M,广告数据包!A:A,A268,广告数据包!G:G,Base!$F$3)+SUMIFS(广告数据包!M:M,广告数据包!A:A,A268,广告数据包!G:G,Base!$F$4)</f>
        <v>0</v>
      </c>
      <c r="Q268" s="57">
        <f t="shared" si="70"/>
        <v>0</v>
      </c>
      <c r="R268" s="56">
        <f>SUMIFS(广告数据包!L:L,广告数据包!A:A,A268,广告数据包!G:G,Base!$F$2)+SUMIFS(广告数据包!L:L,广告数据包!A:A,A268,广告数据包!G:G,Base!$F$3)+SUMIFS(广告数据包!L:L,广告数据包!A:A,A268,广告数据包!G:G,Base!$F$4)</f>
        <v>0</v>
      </c>
      <c r="S268" s="86">
        <f t="shared" si="71"/>
        <v>0</v>
      </c>
    </row>
    <row r="269" ht="16.5" spans="1:19">
      <c r="A269" s="54">
        <v>44706</v>
      </c>
      <c r="B269" s="55">
        <f>SUMIFS(销售数据包!F:F,销售数据包!A:A,A269,销售数据包!C:C,Base!$F$2)+SUMIFS(销售数据包!F:F,销售数据包!A:A,A269,销售数据包!C:C,Base!$F$3)+SUMIFS(销售数据包!F:F,销售数据包!A:A,A269,销售数据包!C:C,Base!$F$4)</f>
        <v>0</v>
      </c>
      <c r="C269" s="56">
        <f>SUMIFS(销售数据包!K:K,销售数据包!A:A,A269,销售数据包!C:C,Base!$F$2)+SUMIFS(销售数据包!K:K,销售数据包!A:A,A269,销售数据包!C:C,Base!$F$3)+SUMIFS(销售数据包!K:K,销售数据包!A:A,A269,销售数据包!C:C,Base!$F$4)</f>
        <v>0</v>
      </c>
      <c r="D269" s="56">
        <f>SUMIFS(销售数据包!Q:Q,销售数据包!A:A,A269,销售数据包!C:C,Base!$F$2)+SUMIFS(销售数据包!Q:Q,销售数据包!A:A,A269,销售数据包!C:C,Base!$F$3)+SUMIFS(销售数据包!Q:Q,销售数据包!A:A,A269,销售数据包!C:C,Base!$F$4)</f>
        <v>0</v>
      </c>
      <c r="E269" s="57">
        <f t="shared" si="63"/>
        <v>0</v>
      </c>
      <c r="F269" s="57">
        <f t="shared" si="64"/>
        <v>0</v>
      </c>
      <c r="G269" s="56">
        <f>SUMIFS(销售数据包!O:O,销售数据包!A:A,A269)</f>
        <v>0</v>
      </c>
      <c r="H269" s="57">
        <f t="shared" si="65"/>
        <v>0</v>
      </c>
      <c r="I269" s="71">
        <f t="shared" si="66"/>
        <v>0</v>
      </c>
      <c r="J269" s="72" t="str">
        <f t="shared" si="67"/>
        <v>周3</v>
      </c>
      <c r="K269" s="73">
        <f>SUMIFS(广告数据包!H:H,广告数据包!A:A,A269,广告数据包!G:G,Base!$F$2)+SUMIFS(广告数据包!H:H,广告数据包!A:A,A269,广告数据包!G:G,Base!$F$3)+SUMIFS(广告数据包!H:H,广告数据包!A:A,A269,广告数据包!G:G,Base!$F$4)</f>
        <v>0</v>
      </c>
      <c r="L269" s="56">
        <f>SUMIFS(广告数据包!I:I,广告数据包!A:A,A269,广告数据包!G:G,Base!$F$2)+SUMIFS(广告数据包!I:I,广告数据包!A:A,A269,广告数据包!G:G,Base!$F$3)+SUMIFS(广告数据包!I:I,广告数据包!A:A,A269,广告数据包!G:G,Base!$F$4)</f>
        <v>0</v>
      </c>
      <c r="M269" s="57">
        <f t="shared" si="68"/>
        <v>0</v>
      </c>
      <c r="N269" s="74">
        <f t="shared" si="69"/>
        <v>0</v>
      </c>
      <c r="O269" s="75">
        <f>SUMIFS(广告数据包!P:P,广告数据包!A:A,A269,广告数据包!G:G,Base!$F$2)+SUMIFS(广告数据包!P:P,广告数据包!A:A,A269,广告数据包!G:G,Base!$F$3)+SUMIFS(广告数据包!P:P,广告数据包!A:A,A269,广告数据包!G:G,Base!$F$4)</f>
        <v>0</v>
      </c>
      <c r="P269" s="56">
        <f>SUMIFS(广告数据包!M:M,广告数据包!A:A,A269,广告数据包!G:G,Base!$F$2)+SUMIFS(广告数据包!M:M,广告数据包!A:A,A269,广告数据包!G:G,Base!$F$3)+SUMIFS(广告数据包!M:M,广告数据包!A:A,A269,广告数据包!G:G,Base!$F$4)</f>
        <v>0</v>
      </c>
      <c r="Q269" s="57">
        <f t="shared" si="70"/>
        <v>0</v>
      </c>
      <c r="R269" s="56">
        <f>SUMIFS(广告数据包!L:L,广告数据包!A:A,A269,广告数据包!G:G,Base!$F$2)+SUMIFS(广告数据包!L:L,广告数据包!A:A,A269,广告数据包!G:G,Base!$F$3)+SUMIFS(广告数据包!L:L,广告数据包!A:A,A269,广告数据包!G:G,Base!$F$4)</f>
        <v>0</v>
      </c>
      <c r="S269" s="86">
        <f t="shared" si="71"/>
        <v>0</v>
      </c>
    </row>
    <row r="270" ht="16.5" spans="1:19">
      <c r="A270" s="54">
        <v>44707</v>
      </c>
      <c r="B270" s="55">
        <f>SUMIFS(销售数据包!F:F,销售数据包!A:A,A270,销售数据包!C:C,Base!$F$2)+SUMIFS(销售数据包!F:F,销售数据包!A:A,A270,销售数据包!C:C,Base!$F$3)+SUMIFS(销售数据包!F:F,销售数据包!A:A,A270,销售数据包!C:C,Base!$F$4)</f>
        <v>0</v>
      </c>
      <c r="C270" s="56">
        <f>SUMIFS(销售数据包!K:K,销售数据包!A:A,A270,销售数据包!C:C,Base!$F$2)+SUMIFS(销售数据包!K:K,销售数据包!A:A,A270,销售数据包!C:C,Base!$F$3)+SUMIFS(销售数据包!K:K,销售数据包!A:A,A270,销售数据包!C:C,Base!$F$4)</f>
        <v>0</v>
      </c>
      <c r="D270" s="56">
        <f>SUMIFS(销售数据包!Q:Q,销售数据包!A:A,A270,销售数据包!C:C,Base!$F$2)+SUMIFS(销售数据包!Q:Q,销售数据包!A:A,A270,销售数据包!C:C,Base!$F$3)+SUMIFS(销售数据包!Q:Q,销售数据包!A:A,A270,销售数据包!C:C,Base!$F$4)</f>
        <v>0</v>
      </c>
      <c r="E270" s="57">
        <f t="shared" si="63"/>
        <v>0</v>
      </c>
      <c r="F270" s="57">
        <f t="shared" si="64"/>
        <v>0</v>
      </c>
      <c r="G270" s="56">
        <f>SUMIFS(销售数据包!O:O,销售数据包!A:A,A270)</f>
        <v>0</v>
      </c>
      <c r="H270" s="57">
        <f t="shared" si="65"/>
        <v>0</v>
      </c>
      <c r="I270" s="71">
        <f t="shared" si="66"/>
        <v>0</v>
      </c>
      <c r="J270" s="72" t="str">
        <f t="shared" si="67"/>
        <v>周4</v>
      </c>
      <c r="K270" s="73">
        <f>SUMIFS(广告数据包!H:H,广告数据包!A:A,A270,广告数据包!G:G,Base!$F$2)+SUMIFS(广告数据包!H:H,广告数据包!A:A,A270,广告数据包!G:G,Base!$F$3)+SUMIFS(广告数据包!H:H,广告数据包!A:A,A270,广告数据包!G:G,Base!$F$4)</f>
        <v>0</v>
      </c>
      <c r="L270" s="56">
        <f>SUMIFS(广告数据包!I:I,广告数据包!A:A,A270,广告数据包!G:G,Base!$F$2)+SUMIFS(广告数据包!I:I,广告数据包!A:A,A270,广告数据包!G:G,Base!$F$3)+SUMIFS(广告数据包!I:I,广告数据包!A:A,A270,广告数据包!G:G,Base!$F$4)</f>
        <v>0</v>
      </c>
      <c r="M270" s="57">
        <f t="shared" si="68"/>
        <v>0</v>
      </c>
      <c r="N270" s="74">
        <f t="shared" si="69"/>
        <v>0</v>
      </c>
      <c r="O270" s="75">
        <f>SUMIFS(广告数据包!P:P,广告数据包!A:A,A270,广告数据包!G:G,Base!$F$2)+SUMIFS(广告数据包!P:P,广告数据包!A:A,A270,广告数据包!G:G,Base!$F$3)+SUMIFS(广告数据包!P:P,广告数据包!A:A,A270,广告数据包!G:G,Base!$F$4)</f>
        <v>0</v>
      </c>
      <c r="P270" s="56">
        <f>SUMIFS(广告数据包!M:M,广告数据包!A:A,A270,广告数据包!G:G,Base!$F$2)+SUMIFS(广告数据包!M:M,广告数据包!A:A,A270,广告数据包!G:G,Base!$F$3)+SUMIFS(广告数据包!M:M,广告数据包!A:A,A270,广告数据包!G:G,Base!$F$4)</f>
        <v>0</v>
      </c>
      <c r="Q270" s="57">
        <f t="shared" si="70"/>
        <v>0</v>
      </c>
      <c r="R270" s="56">
        <f>SUMIFS(广告数据包!L:L,广告数据包!A:A,A270,广告数据包!G:G,Base!$F$2)+SUMIFS(广告数据包!L:L,广告数据包!A:A,A270,广告数据包!G:G,Base!$F$3)+SUMIFS(广告数据包!L:L,广告数据包!A:A,A270,广告数据包!G:G,Base!$F$4)</f>
        <v>0</v>
      </c>
      <c r="S270" s="86">
        <f t="shared" si="71"/>
        <v>0</v>
      </c>
    </row>
    <row r="271" ht="16.5" spans="1:19">
      <c r="A271" s="54">
        <v>44708</v>
      </c>
      <c r="B271" s="55">
        <f>SUMIFS(销售数据包!F:F,销售数据包!A:A,A271,销售数据包!C:C,Base!$F$2)+SUMIFS(销售数据包!F:F,销售数据包!A:A,A271,销售数据包!C:C,Base!$F$3)+SUMIFS(销售数据包!F:F,销售数据包!A:A,A271,销售数据包!C:C,Base!$F$4)</f>
        <v>0</v>
      </c>
      <c r="C271" s="56">
        <f>SUMIFS(销售数据包!K:K,销售数据包!A:A,A271,销售数据包!C:C,Base!$F$2)+SUMIFS(销售数据包!K:K,销售数据包!A:A,A271,销售数据包!C:C,Base!$F$3)+SUMIFS(销售数据包!K:K,销售数据包!A:A,A271,销售数据包!C:C,Base!$F$4)</f>
        <v>0</v>
      </c>
      <c r="D271" s="56">
        <f>SUMIFS(销售数据包!Q:Q,销售数据包!A:A,A271,销售数据包!C:C,Base!$F$2)+SUMIFS(销售数据包!Q:Q,销售数据包!A:A,A271,销售数据包!C:C,Base!$F$3)+SUMIFS(销售数据包!Q:Q,销售数据包!A:A,A271,销售数据包!C:C,Base!$F$4)</f>
        <v>0</v>
      </c>
      <c r="E271" s="57">
        <f t="shared" si="63"/>
        <v>0</v>
      </c>
      <c r="F271" s="57">
        <f t="shared" si="64"/>
        <v>0</v>
      </c>
      <c r="G271" s="56">
        <f>SUMIFS(销售数据包!O:O,销售数据包!A:A,A271)</f>
        <v>0</v>
      </c>
      <c r="H271" s="57">
        <f t="shared" si="65"/>
        <v>0</v>
      </c>
      <c r="I271" s="71">
        <f t="shared" si="66"/>
        <v>0</v>
      </c>
      <c r="J271" s="72" t="str">
        <f t="shared" si="67"/>
        <v>周5</v>
      </c>
      <c r="K271" s="73">
        <f>SUMIFS(广告数据包!H:H,广告数据包!A:A,A271,广告数据包!G:G,Base!$F$2)+SUMIFS(广告数据包!H:H,广告数据包!A:A,A271,广告数据包!G:G,Base!$F$3)+SUMIFS(广告数据包!H:H,广告数据包!A:A,A271,广告数据包!G:G,Base!$F$4)</f>
        <v>0</v>
      </c>
      <c r="L271" s="56">
        <f>SUMIFS(广告数据包!I:I,广告数据包!A:A,A271,广告数据包!G:G,Base!$F$2)+SUMIFS(广告数据包!I:I,广告数据包!A:A,A271,广告数据包!G:G,Base!$F$3)+SUMIFS(广告数据包!I:I,广告数据包!A:A,A271,广告数据包!G:G,Base!$F$4)</f>
        <v>0</v>
      </c>
      <c r="M271" s="57">
        <f t="shared" si="68"/>
        <v>0</v>
      </c>
      <c r="N271" s="74">
        <f t="shared" si="69"/>
        <v>0</v>
      </c>
      <c r="O271" s="75">
        <f>SUMIFS(广告数据包!P:P,广告数据包!A:A,A271,广告数据包!G:G,Base!$F$2)+SUMIFS(广告数据包!P:P,广告数据包!A:A,A271,广告数据包!G:G,Base!$F$3)+SUMIFS(广告数据包!P:P,广告数据包!A:A,A271,广告数据包!G:G,Base!$F$4)</f>
        <v>0</v>
      </c>
      <c r="P271" s="56">
        <f>SUMIFS(广告数据包!M:M,广告数据包!A:A,A271,广告数据包!G:G,Base!$F$2)+SUMIFS(广告数据包!M:M,广告数据包!A:A,A271,广告数据包!G:G,Base!$F$3)+SUMIFS(广告数据包!M:M,广告数据包!A:A,A271,广告数据包!G:G,Base!$F$4)</f>
        <v>0</v>
      </c>
      <c r="Q271" s="57">
        <f t="shared" si="70"/>
        <v>0</v>
      </c>
      <c r="R271" s="56">
        <f>SUMIFS(广告数据包!L:L,广告数据包!A:A,A271,广告数据包!G:G,Base!$F$2)+SUMIFS(广告数据包!L:L,广告数据包!A:A,A271,广告数据包!G:G,Base!$F$3)+SUMIFS(广告数据包!L:L,广告数据包!A:A,A271,广告数据包!G:G,Base!$F$4)</f>
        <v>0</v>
      </c>
      <c r="S271" s="86">
        <f t="shared" si="71"/>
        <v>0</v>
      </c>
    </row>
    <row r="272" ht="16.5" spans="1:19">
      <c r="A272" s="54">
        <v>44709</v>
      </c>
      <c r="B272" s="55">
        <f>SUMIFS(销售数据包!F:F,销售数据包!A:A,A272,销售数据包!C:C,Base!$F$2)+SUMIFS(销售数据包!F:F,销售数据包!A:A,A272,销售数据包!C:C,Base!$F$3)+SUMIFS(销售数据包!F:F,销售数据包!A:A,A272,销售数据包!C:C,Base!$F$4)</f>
        <v>0</v>
      </c>
      <c r="C272" s="56">
        <f>SUMIFS(销售数据包!K:K,销售数据包!A:A,A272,销售数据包!C:C,Base!$F$2)+SUMIFS(销售数据包!K:K,销售数据包!A:A,A272,销售数据包!C:C,Base!$F$3)+SUMIFS(销售数据包!K:K,销售数据包!A:A,A272,销售数据包!C:C,Base!$F$4)</f>
        <v>0</v>
      </c>
      <c r="D272" s="56">
        <f>SUMIFS(销售数据包!Q:Q,销售数据包!A:A,A272,销售数据包!C:C,Base!$F$2)+SUMIFS(销售数据包!Q:Q,销售数据包!A:A,A272,销售数据包!C:C,Base!$F$3)+SUMIFS(销售数据包!Q:Q,销售数据包!A:A,A272,销售数据包!C:C,Base!$F$4)</f>
        <v>0</v>
      </c>
      <c r="E272" s="57">
        <f t="shared" si="63"/>
        <v>0</v>
      </c>
      <c r="F272" s="57">
        <f t="shared" si="64"/>
        <v>0</v>
      </c>
      <c r="G272" s="56">
        <f>SUMIFS(销售数据包!O:O,销售数据包!A:A,A272)</f>
        <v>0</v>
      </c>
      <c r="H272" s="57">
        <f t="shared" si="65"/>
        <v>0</v>
      </c>
      <c r="I272" s="71">
        <f t="shared" si="66"/>
        <v>0</v>
      </c>
      <c r="J272" s="72" t="str">
        <f t="shared" si="67"/>
        <v>周6</v>
      </c>
      <c r="K272" s="73">
        <f>SUMIFS(广告数据包!H:H,广告数据包!A:A,A272,广告数据包!G:G,Base!$F$2)+SUMIFS(广告数据包!H:H,广告数据包!A:A,A272,广告数据包!G:G,Base!$F$3)+SUMIFS(广告数据包!H:H,广告数据包!A:A,A272,广告数据包!G:G,Base!$F$4)</f>
        <v>0</v>
      </c>
      <c r="L272" s="56">
        <f>SUMIFS(广告数据包!I:I,广告数据包!A:A,A272,广告数据包!G:G,Base!$F$2)+SUMIFS(广告数据包!I:I,广告数据包!A:A,A272,广告数据包!G:G,Base!$F$3)+SUMIFS(广告数据包!I:I,广告数据包!A:A,A272,广告数据包!G:G,Base!$F$4)</f>
        <v>0</v>
      </c>
      <c r="M272" s="57">
        <f t="shared" si="68"/>
        <v>0</v>
      </c>
      <c r="N272" s="74">
        <f t="shared" si="69"/>
        <v>0</v>
      </c>
      <c r="O272" s="75">
        <f>SUMIFS(广告数据包!P:P,广告数据包!A:A,A272,广告数据包!G:G,Base!$F$2)+SUMIFS(广告数据包!P:P,广告数据包!A:A,A272,广告数据包!G:G,Base!$F$3)+SUMIFS(广告数据包!P:P,广告数据包!A:A,A272,广告数据包!G:G,Base!$F$4)</f>
        <v>0</v>
      </c>
      <c r="P272" s="56">
        <f>SUMIFS(广告数据包!M:M,广告数据包!A:A,A272,广告数据包!G:G,Base!$F$2)+SUMIFS(广告数据包!M:M,广告数据包!A:A,A272,广告数据包!G:G,Base!$F$3)+SUMIFS(广告数据包!M:M,广告数据包!A:A,A272,广告数据包!G:G,Base!$F$4)</f>
        <v>0</v>
      </c>
      <c r="Q272" s="57">
        <f t="shared" si="70"/>
        <v>0</v>
      </c>
      <c r="R272" s="56">
        <f>SUMIFS(广告数据包!L:L,广告数据包!A:A,A272,广告数据包!G:G,Base!$F$2)+SUMIFS(广告数据包!L:L,广告数据包!A:A,A272,广告数据包!G:G,Base!$F$3)+SUMIFS(广告数据包!L:L,广告数据包!A:A,A272,广告数据包!G:G,Base!$F$4)</f>
        <v>0</v>
      </c>
      <c r="S272" s="86">
        <f t="shared" si="71"/>
        <v>0</v>
      </c>
    </row>
    <row r="273" ht="16.5" spans="1:19">
      <c r="A273" s="54">
        <v>44710</v>
      </c>
      <c r="B273" s="55">
        <f>SUMIFS(销售数据包!F:F,销售数据包!A:A,A273,销售数据包!C:C,Base!$F$2)+SUMIFS(销售数据包!F:F,销售数据包!A:A,A273,销售数据包!C:C,Base!$F$3)+SUMIFS(销售数据包!F:F,销售数据包!A:A,A273,销售数据包!C:C,Base!$F$4)</f>
        <v>0</v>
      </c>
      <c r="C273" s="56">
        <f>SUMIFS(销售数据包!K:K,销售数据包!A:A,A273,销售数据包!C:C,Base!$F$2)+SUMIFS(销售数据包!K:K,销售数据包!A:A,A273,销售数据包!C:C,Base!$F$3)+SUMIFS(销售数据包!K:K,销售数据包!A:A,A273,销售数据包!C:C,Base!$F$4)</f>
        <v>0</v>
      </c>
      <c r="D273" s="56">
        <f>SUMIFS(销售数据包!Q:Q,销售数据包!A:A,A273,销售数据包!C:C,Base!$F$2)+SUMIFS(销售数据包!Q:Q,销售数据包!A:A,A273,销售数据包!C:C,Base!$F$3)+SUMIFS(销售数据包!Q:Q,销售数据包!A:A,A273,销售数据包!C:C,Base!$F$4)</f>
        <v>0</v>
      </c>
      <c r="E273" s="57">
        <f t="shared" si="63"/>
        <v>0</v>
      </c>
      <c r="F273" s="57">
        <f t="shared" si="64"/>
        <v>0</v>
      </c>
      <c r="G273" s="56">
        <f>SUMIFS(销售数据包!O:O,销售数据包!A:A,A273)</f>
        <v>0</v>
      </c>
      <c r="H273" s="57">
        <f t="shared" si="65"/>
        <v>0</v>
      </c>
      <c r="I273" s="71">
        <f t="shared" si="66"/>
        <v>0</v>
      </c>
      <c r="J273" s="72" t="str">
        <f t="shared" si="67"/>
        <v>周7</v>
      </c>
      <c r="K273" s="73">
        <f>SUMIFS(广告数据包!H:H,广告数据包!A:A,A273,广告数据包!G:G,Base!$F$2)+SUMIFS(广告数据包!H:H,广告数据包!A:A,A273,广告数据包!G:G,Base!$F$3)+SUMIFS(广告数据包!H:H,广告数据包!A:A,A273,广告数据包!G:G,Base!$F$4)</f>
        <v>0</v>
      </c>
      <c r="L273" s="56">
        <f>SUMIFS(广告数据包!I:I,广告数据包!A:A,A273,广告数据包!G:G,Base!$F$2)+SUMIFS(广告数据包!I:I,广告数据包!A:A,A273,广告数据包!G:G,Base!$F$3)+SUMIFS(广告数据包!I:I,广告数据包!A:A,A273,广告数据包!G:G,Base!$F$4)</f>
        <v>0</v>
      </c>
      <c r="M273" s="57">
        <f t="shared" si="68"/>
        <v>0</v>
      </c>
      <c r="N273" s="74">
        <f t="shared" si="69"/>
        <v>0</v>
      </c>
      <c r="O273" s="75">
        <f>SUMIFS(广告数据包!P:P,广告数据包!A:A,A273,广告数据包!G:G,Base!$F$2)+SUMIFS(广告数据包!P:P,广告数据包!A:A,A273,广告数据包!G:G,Base!$F$3)+SUMIFS(广告数据包!P:P,广告数据包!A:A,A273,广告数据包!G:G,Base!$F$4)</f>
        <v>0</v>
      </c>
      <c r="P273" s="56">
        <f>SUMIFS(广告数据包!M:M,广告数据包!A:A,A273,广告数据包!G:G,Base!$F$2)+SUMIFS(广告数据包!M:M,广告数据包!A:A,A273,广告数据包!G:G,Base!$F$3)+SUMIFS(广告数据包!M:M,广告数据包!A:A,A273,广告数据包!G:G,Base!$F$4)</f>
        <v>0</v>
      </c>
      <c r="Q273" s="57">
        <f t="shared" si="70"/>
        <v>0</v>
      </c>
      <c r="R273" s="56">
        <f>SUMIFS(广告数据包!L:L,广告数据包!A:A,A273,广告数据包!G:G,Base!$F$2)+SUMIFS(广告数据包!L:L,广告数据包!A:A,A273,广告数据包!G:G,Base!$F$3)+SUMIFS(广告数据包!L:L,广告数据包!A:A,A273,广告数据包!G:G,Base!$F$4)</f>
        <v>0</v>
      </c>
      <c r="S273" s="86">
        <f t="shared" si="71"/>
        <v>0</v>
      </c>
    </row>
    <row r="274" ht="16.5" spans="1:19">
      <c r="A274" s="54">
        <v>44711</v>
      </c>
      <c r="B274" s="55">
        <f>SUMIFS(销售数据包!F:F,销售数据包!A:A,A274,销售数据包!C:C,Base!$F$2)+SUMIFS(销售数据包!F:F,销售数据包!A:A,A274,销售数据包!C:C,Base!$F$3)+SUMIFS(销售数据包!F:F,销售数据包!A:A,A274,销售数据包!C:C,Base!$F$4)</f>
        <v>0</v>
      </c>
      <c r="C274" s="56">
        <f>SUMIFS(销售数据包!K:K,销售数据包!A:A,A274,销售数据包!C:C,Base!$F$2)+SUMIFS(销售数据包!K:K,销售数据包!A:A,A274,销售数据包!C:C,Base!$F$3)+SUMIFS(销售数据包!K:K,销售数据包!A:A,A274,销售数据包!C:C,Base!$F$4)</f>
        <v>0</v>
      </c>
      <c r="D274" s="56">
        <f>SUMIFS(销售数据包!Q:Q,销售数据包!A:A,A274,销售数据包!C:C,Base!$F$2)+SUMIFS(销售数据包!Q:Q,销售数据包!A:A,A274,销售数据包!C:C,Base!$F$3)+SUMIFS(销售数据包!Q:Q,销售数据包!A:A,A274,销售数据包!C:C,Base!$F$4)</f>
        <v>0</v>
      </c>
      <c r="E274" s="57">
        <f t="shared" si="63"/>
        <v>0</v>
      </c>
      <c r="F274" s="57">
        <f t="shared" si="64"/>
        <v>0</v>
      </c>
      <c r="G274" s="56">
        <f>SUMIFS(销售数据包!O:O,销售数据包!A:A,A274)</f>
        <v>0</v>
      </c>
      <c r="H274" s="57">
        <f t="shared" si="65"/>
        <v>0</v>
      </c>
      <c r="I274" s="71">
        <f t="shared" si="66"/>
        <v>0</v>
      </c>
      <c r="J274" s="72" t="str">
        <f t="shared" si="67"/>
        <v>周1</v>
      </c>
      <c r="K274" s="73">
        <f>SUMIFS(广告数据包!H:H,广告数据包!A:A,A274,广告数据包!G:G,Base!$F$2)+SUMIFS(广告数据包!H:H,广告数据包!A:A,A274,广告数据包!G:G,Base!$F$3)+SUMIFS(广告数据包!H:H,广告数据包!A:A,A274,广告数据包!G:G,Base!$F$4)</f>
        <v>0</v>
      </c>
      <c r="L274" s="56">
        <f>SUMIFS(广告数据包!I:I,广告数据包!A:A,A274,广告数据包!G:G,Base!$F$2)+SUMIFS(广告数据包!I:I,广告数据包!A:A,A274,广告数据包!G:G,Base!$F$3)+SUMIFS(广告数据包!I:I,广告数据包!A:A,A274,广告数据包!G:G,Base!$F$4)</f>
        <v>0</v>
      </c>
      <c r="M274" s="57">
        <f t="shared" si="68"/>
        <v>0</v>
      </c>
      <c r="N274" s="74">
        <f t="shared" si="69"/>
        <v>0</v>
      </c>
      <c r="O274" s="75">
        <f>SUMIFS(广告数据包!P:P,广告数据包!A:A,A274,广告数据包!G:G,Base!$F$2)+SUMIFS(广告数据包!P:P,广告数据包!A:A,A274,广告数据包!G:G,Base!$F$3)+SUMIFS(广告数据包!P:P,广告数据包!A:A,A274,广告数据包!G:G,Base!$F$4)</f>
        <v>0</v>
      </c>
      <c r="P274" s="56">
        <f>SUMIFS(广告数据包!M:M,广告数据包!A:A,A274,广告数据包!G:G,Base!$F$2)+SUMIFS(广告数据包!M:M,广告数据包!A:A,A274,广告数据包!G:G,Base!$F$3)+SUMIFS(广告数据包!M:M,广告数据包!A:A,A274,广告数据包!G:G,Base!$F$4)</f>
        <v>0</v>
      </c>
      <c r="Q274" s="57">
        <f t="shared" si="70"/>
        <v>0</v>
      </c>
      <c r="R274" s="56">
        <f>SUMIFS(广告数据包!L:L,广告数据包!A:A,A274,广告数据包!G:G,Base!$F$2)+SUMIFS(广告数据包!L:L,广告数据包!A:A,A274,广告数据包!G:G,Base!$F$3)+SUMIFS(广告数据包!L:L,广告数据包!A:A,A274,广告数据包!G:G,Base!$F$4)</f>
        <v>0</v>
      </c>
      <c r="S274" s="86">
        <f t="shared" si="71"/>
        <v>0</v>
      </c>
    </row>
    <row r="275" ht="16.5" spans="1:19">
      <c r="A275" s="54">
        <v>44712</v>
      </c>
      <c r="B275" s="55">
        <f>SUMIFS(销售数据包!F:F,销售数据包!A:A,A275,销售数据包!C:C,Base!$F$2)+SUMIFS(销售数据包!F:F,销售数据包!A:A,A275,销售数据包!C:C,Base!$F$3)+SUMIFS(销售数据包!F:F,销售数据包!A:A,A275,销售数据包!C:C,Base!$F$4)</f>
        <v>0</v>
      </c>
      <c r="C275" s="56">
        <f>SUMIFS(销售数据包!K:K,销售数据包!A:A,A275,销售数据包!C:C,Base!$F$2)+SUMIFS(销售数据包!K:K,销售数据包!A:A,A275,销售数据包!C:C,Base!$F$3)+SUMIFS(销售数据包!K:K,销售数据包!A:A,A275,销售数据包!C:C,Base!$F$4)</f>
        <v>0</v>
      </c>
      <c r="D275" s="56">
        <f>SUMIFS(销售数据包!Q:Q,销售数据包!A:A,A275,销售数据包!C:C,Base!$F$2)+SUMIFS(销售数据包!Q:Q,销售数据包!A:A,A275,销售数据包!C:C,Base!$F$3)+SUMIFS(销售数据包!Q:Q,销售数据包!A:A,A275,销售数据包!C:C,Base!$F$4)</f>
        <v>0</v>
      </c>
      <c r="E275" s="57">
        <f t="shared" si="63"/>
        <v>0</v>
      </c>
      <c r="F275" s="57">
        <f t="shared" si="64"/>
        <v>0</v>
      </c>
      <c r="G275" s="56">
        <f>SUMIFS(销售数据包!O:O,销售数据包!A:A,A275)</f>
        <v>0</v>
      </c>
      <c r="H275" s="57">
        <f t="shared" si="65"/>
        <v>0</v>
      </c>
      <c r="I275" s="71">
        <f t="shared" si="66"/>
        <v>0</v>
      </c>
      <c r="J275" s="72" t="str">
        <f t="shared" si="67"/>
        <v>周2</v>
      </c>
      <c r="K275" s="73">
        <f>SUMIFS(广告数据包!H:H,广告数据包!A:A,A275,广告数据包!G:G,Base!$F$2)+SUMIFS(广告数据包!H:H,广告数据包!A:A,A275,广告数据包!G:G,Base!$F$3)+SUMIFS(广告数据包!H:H,广告数据包!A:A,A275,广告数据包!G:G,Base!$F$4)</f>
        <v>0</v>
      </c>
      <c r="L275" s="56">
        <f>SUMIFS(广告数据包!I:I,广告数据包!A:A,A275,广告数据包!G:G,Base!$F$2)+SUMIFS(广告数据包!I:I,广告数据包!A:A,A275,广告数据包!G:G,Base!$F$3)+SUMIFS(广告数据包!I:I,广告数据包!A:A,A275,广告数据包!G:G,Base!$F$4)</f>
        <v>0</v>
      </c>
      <c r="M275" s="57">
        <f t="shared" si="68"/>
        <v>0</v>
      </c>
      <c r="N275" s="74">
        <f t="shared" si="69"/>
        <v>0</v>
      </c>
      <c r="O275" s="75">
        <f>SUMIFS(广告数据包!P:P,广告数据包!A:A,A275,广告数据包!G:G,Base!$F$2)+SUMIFS(广告数据包!P:P,广告数据包!A:A,A275,广告数据包!G:G,Base!$F$3)+SUMIFS(广告数据包!P:P,广告数据包!A:A,A275,广告数据包!G:G,Base!$F$4)</f>
        <v>0</v>
      </c>
      <c r="P275" s="56">
        <f>SUMIFS(广告数据包!M:M,广告数据包!A:A,A275,广告数据包!G:G,Base!$F$2)+SUMIFS(广告数据包!M:M,广告数据包!A:A,A275,广告数据包!G:G,Base!$F$3)+SUMIFS(广告数据包!M:M,广告数据包!A:A,A275,广告数据包!G:G,Base!$F$4)</f>
        <v>0</v>
      </c>
      <c r="Q275" s="57">
        <f t="shared" si="70"/>
        <v>0</v>
      </c>
      <c r="R275" s="56">
        <f>SUMIFS(广告数据包!L:L,广告数据包!A:A,A275,广告数据包!G:G,Base!$F$2)+SUMIFS(广告数据包!L:L,广告数据包!A:A,A275,广告数据包!G:G,Base!$F$3)+SUMIFS(广告数据包!L:L,广告数据包!A:A,A275,广告数据包!G:G,Base!$F$4)</f>
        <v>0</v>
      </c>
      <c r="S275" s="86">
        <f t="shared" si="71"/>
        <v>0</v>
      </c>
    </row>
    <row r="276" ht="16.5" spans="1:19">
      <c r="A276" s="54">
        <v>44713</v>
      </c>
      <c r="B276" s="55">
        <f>SUMIFS(销售数据包!F:F,销售数据包!A:A,A276,销售数据包!C:C,Base!$F$2)+SUMIFS(销售数据包!F:F,销售数据包!A:A,A276,销售数据包!C:C,Base!$F$3)+SUMIFS(销售数据包!F:F,销售数据包!A:A,A276,销售数据包!C:C,Base!$F$4)</f>
        <v>0</v>
      </c>
      <c r="C276" s="56">
        <f>SUMIFS(销售数据包!K:K,销售数据包!A:A,A276,销售数据包!C:C,Base!$F$2)+SUMIFS(销售数据包!K:K,销售数据包!A:A,A276,销售数据包!C:C,Base!$F$3)+SUMIFS(销售数据包!K:K,销售数据包!A:A,A276,销售数据包!C:C,Base!$F$4)</f>
        <v>0</v>
      </c>
      <c r="D276" s="56">
        <f>SUMIFS(销售数据包!Q:Q,销售数据包!A:A,A276,销售数据包!C:C,Base!$F$2)+SUMIFS(销售数据包!Q:Q,销售数据包!A:A,A276,销售数据包!C:C,Base!$F$3)+SUMIFS(销售数据包!Q:Q,销售数据包!A:A,A276,销售数据包!C:C,Base!$F$4)</f>
        <v>0</v>
      </c>
      <c r="E276" s="57">
        <f t="shared" si="63"/>
        <v>0</v>
      </c>
      <c r="F276" s="57">
        <f t="shared" si="64"/>
        <v>0</v>
      </c>
      <c r="G276" s="56">
        <f>SUMIFS(销售数据包!O:O,销售数据包!A:A,A276)</f>
        <v>0</v>
      </c>
      <c r="H276" s="57">
        <f t="shared" si="65"/>
        <v>0</v>
      </c>
      <c r="I276" s="71">
        <f t="shared" si="66"/>
        <v>0</v>
      </c>
      <c r="J276" s="72" t="str">
        <f t="shared" si="67"/>
        <v>周3</v>
      </c>
      <c r="K276" s="73">
        <f>SUMIFS(广告数据包!H:H,广告数据包!A:A,A276,广告数据包!G:G,Base!$F$2)+SUMIFS(广告数据包!H:H,广告数据包!A:A,A276,广告数据包!G:G,Base!$F$3)+SUMIFS(广告数据包!H:H,广告数据包!A:A,A276,广告数据包!G:G,Base!$F$4)</f>
        <v>0</v>
      </c>
      <c r="L276" s="56">
        <f>SUMIFS(广告数据包!I:I,广告数据包!A:A,A276,广告数据包!G:G,Base!$F$2)+SUMIFS(广告数据包!I:I,广告数据包!A:A,A276,广告数据包!G:G,Base!$F$3)+SUMIFS(广告数据包!I:I,广告数据包!A:A,A276,广告数据包!G:G,Base!$F$4)</f>
        <v>0</v>
      </c>
      <c r="M276" s="57">
        <f t="shared" si="68"/>
        <v>0</v>
      </c>
      <c r="N276" s="74">
        <f t="shared" si="69"/>
        <v>0</v>
      </c>
      <c r="O276" s="75">
        <f>SUMIFS(广告数据包!P:P,广告数据包!A:A,A276,广告数据包!G:G,Base!$F$2)+SUMIFS(广告数据包!P:P,广告数据包!A:A,A276,广告数据包!G:G,Base!$F$3)+SUMIFS(广告数据包!P:P,广告数据包!A:A,A276,广告数据包!G:G,Base!$F$4)</f>
        <v>0</v>
      </c>
      <c r="P276" s="56">
        <f>SUMIFS(广告数据包!M:M,广告数据包!A:A,A276,广告数据包!G:G,Base!$F$2)+SUMIFS(广告数据包!M:M,广告数据包!A:A,A276,广告数据包!G:G,Base!$F$3)+SUMIFS(广告数据包!M:M,广告数据包!A:A,A276,广告数据包!G:G,Base!$F$4)</f>
        <v>0</v>
      </c>
      <c r="Q276" s="57">
        <f t="shared" si="70"/>
        <v>0</v>
      </c>
      <c r="R276" s="56">
        <f>SUMIFS(广告数据包!L:L,广告数据包!A:A,A276,广告数据包!G:G,Base!$F$2)+SUMIFS(广告数据包!L:L,广告数据包!A:A,A276,广告数据包!G:G,Base!$F$3)+SUMIFS(广告数据包!L:L,广告数据包!A:A,A276,广告数据包!G:G,Base!$F$4)</f>
        <v>0</v>
      </c>
      <c r="S276" s="86">
        <f t="shared" si="71"/>
        <v>0</v>
      </c>
    </row>
    <row r="277" ht="16.5" spans="1:19">
      <c r="A277" s="54">
        <v>44714</v>
      </c>
      <c r="B277" s="55">
        <f>SUMIFS(销售数据包!F:F,销售数据包!A:A,A277,销售数据包!C:C,Base!$F$2)+SUMIFS(销售数据包!F:F,销售数据包!A:A,A277,销售数据包!C:C,Base!$F$3)+SUMIFS(销售数据包!F:F,销售数据包!A:A,A277,销售数据包!C:C,Base!$F$4)</f>
        <v>0</v>
      </c>
      <c r="C277" s="56">
        <f>SUMIFS(销售数据包!K:K,销售数据包!A:A,A277,销售数据包!C:C,Base!$F$2)+SUMIFS(销售数据包!K:K,销售数据包!A:A,A277,销售数据包!C:C,Base!$F$3)+SUMIFS(销售数据包!K:K,销售数据包!A:A,A277,销售数据包!C:C,Base!$F$4)</f>
        <v>0</v>
      </c>
      <c r="D277" s="56">
        <f>SUMIFS(销售数据包!Q:Q,销售数据包!A:A,A277,销售数据包!C:C,Base!$F$2)+SUMIFS(销售数据包!Q:Q,销售数据包!A:A,A277,销售数据包!C:C,Base!$F$3)+SUMIFS(销售数据包!Q:Q,销售数据包!A:A,A277,销售数据包!C:C,Base!$F$4)</f>
        <v>0</v>
      </c>
      <c r="E277" s="57">
        <f t="shared" si="63"/>
        <v>0</v>
      </c>
      <c r="F277" s="57">
        <f t="shared" si="64"/>
        <v>0</v>
      </c>
      <c r="G277" s="56">
        <f>SUMIFS(销售数据包!O:O,销售数据包!A:A,A277)</f>
        <v>0</v>
      </c>
      <c r="H277" s="57">
        <f t="shared" si="65"/>
        <v>0</v>
      </c>
      <c r="I277" s="71">
        <f t="shared" si="66"/>
        <v>0</v>
      </c>
      <c r="J277" s="72" t="str">
        <f t="shared" si="67"/>
        <v>周4</v>
      </c>
      <c r="K277" s="73">
        <f>SUMIFS(广告数据包!H:H,广告数据包!A:A,A277,广告数据包!G:G,Base!$F$2)+SUMIFS(广告数据包!H:H,广告数据包!A:A,A277,广告数据包!G:G,Base!$F$3)+SUMIFS(广告数据包!H:H,广告数据包!A:A,A277,广告数据包!G:G,Base!$F$4)</f>
        <v>0</v>
      </c>
      <c r="L277" s="56">
        <f>SUMIFS(广告数据包!I:I,广告数据包!A:A,A277,广告数据包!G:G,Base!$F$2)+SUMIFS(广告数据包!I:I,广告数据包!A:A,A277,广告数据包!G:G,Base!$F$3)+SUMIFS(广告数据包!I:I,广告数据包!A:A,A277,广告数据包!G:G,Base!$F$4)</f>
        <v>0</v>
      </c>
      <c r="M277" s="57">
        <f t="shared" si="68"/>
        <v>0</v>
      </c>
      <c r="N277" s="74">
        <f t="shared" si="69"/>
        <v>0</v>
      </c>
      <c r="O277" s="75">
        <f>SUMIFS(广告数据包!P:P,广告数据包!A:A,A277,广告数据包!G:G,Base!$F$2)+SUMIFS(广告数据包!P:P,广告数据包!A:A,A277,广告数据包!G:G,Base!$F$3)+SUMIFS(广告数据包!P:P,广告数据包!A:A,A277,广告数据包!G:G,Base!$F$4)</f>
        <v>0</v>
      </c>
      <c r="P277" s="56">
        <f>SUMIFS(广告数据包!M:M,广告数据包!A:A,A277,广告数据包!G:G,Base!$F$2)+SUMIFS(广告数据包!M:M,广告数据包!A:A,A277,广告数据包!G:G,Base!$F$3)+SUMIFS(广告数据包!M:M,广告数据包!A:A,A277,广告数据包!G:G,Base!$F$4)</f>
        <v>0</v>
      </c>
      <c r="Q277" s="57">
        <f t="shared" si="70"/>
        <v>0</v>
      </c>
      <c r="R277" s="56">
        <f>SUMIFS(广告数据包!L:L,广告数据包!A:A,A277,广告数据包!G:G,Base!$F$2)+SUMIFS(广告数据包!L:L,广告数据包!A:A,A277,广告数据包!G:G,Base!$F$3)+SUMIFS(广告数据包!L:L,广告数据包!A:A,A277,广告数据包!G:G,Base!$F$4)</f>
        <v>0</v>
      </c>
      <c r="S277" s="86">
        <f t="shared" si="71"/>
        <v>0</v>
      </c>
    </row>
    <row r="278" ht="16.5" spans="1:19">
      <c r="A278" s="54">
        <v>44715</v>
      </c>
      <c r="B278" s="55">
        <f>SUMIFS(销售数据包!F:F,销售数据包!A:A,A278,销售数据包!C:C,Base!$F$2)+SUMIFS(销售数据包!F:F,销售数据包!A:A,A278,销售数据包!C:C,Base!$F$3)+SUMIFS(销售数据包!F:F,销售数据包!A:A,A278,销售数据包!C:C,Base!$F$4)</f>
        <v>0</v>
      </c>
      <c r="C278" s="56">
        <f>SUMIFS(销售数据包!K:K,销售数据包!A:A,A278,销售数据包!C:C,Base!$F$2)+SUMIFS(销售数据包!K:K,销售数据包!A:A,A278,销售数据包!C:C,Base!$F$3)+SUMIFS(销售数据包!K:K,销售数据包!A:A,A278,销售数据包!C:C,Base!$F$4)</f>
        <v>0</v>
      </c>
      <c r="D278" s="56">
        <f>SUMIFS(销售数据包!Q:Q,销售数据包!A:A,A278,销售数据包!C:C,Base!$F$2)+SUMIFS(销售数据包!Q:Q,销售数据包!A:A,A278,销售数据包!C:C,Base!$F$3)+SUMIFS(销售数据包!Q:Q,销售数据包!A:A,A278,销售数据包!C:C,Base!$F$4)</f>
        <v>0</v>
      </c>
      <c r="E278" s="57">
        <f t="shared" si="63"/>
        <v>0</v>
      </c>
      <c r="F278" s="57">
        <f t="shared" si="64"/>
        <v>0</v>
      </c>
      <c r="G278" s="56">
        <f>SUMIFS(销售数据包!O:O,销售数据包!A:A,A278)</f>
        <v>0</v>
      </c>
      <c r="H278" s="57">
        <f t="shared" si="65"/>
        <v>0</v>
      </c>
      <c r="I278" s="71">
        <f t="shared" si="66"/>
        <v>0</v>
      </c>
      <c r="J278" s="72" t="str">
        <f t="shared" si="67"/>
        <v>周5</v>
      </c>
      <c r="K278" s="73">
        <f>SUMIFS(广告数据包!H:H,广告数据包!A:A,A278,广告数据包!G:G,Base!$F$2)+SUMIFS(广告数据包!H:H,广告数据包!A:A,A278,广告数据包!G:G,Base!$F$3)+SUMIFS(广告数据包!H:H,广告数据包!A:A,A278,广告数据包!G:G,Base!$F$4)</f>
        <v>0</v>
      </c>
      <c r="L278" s="56">
        <f>SUMIFS(广告数据包!I:I,广告数据包!A:A,A278,广告数据包!G:G,Base!$F$2)+SUMIFS(广告数据包!I:I,广告数据包!A:A,A278,广告数据包!G:G,Base!$F$3)+SUMIFS(广告数据包!I:I,广告数据包!A:A,A278,广告数据包!G:G,Base!$F$4)</f>
        <v>0</v>
      </c>
      <c r="M278" s="57">
        <f t="shared" si="68"/>
        <v>0</v>
      </c>
      <c r="N278" s="74">
        <f t="shared" si="69"/>
        <v>0</v>
      </c>
      <c r="O278" s="75">
        <f>SUMIFS(广告数据包!P:P,广告数据包!A:A,A278,广告数据包!G:G,Base!$F$2)+SUMIFS(广告数据包!P:P,广告数据包!A:A,A278,广告数据包!G:G,Base!$F$3)+SUMIFS(广告数据包!P:P,广告数据包!A:A,A278,广告数据包!G:G,Base!$F$4)</f>
        <v>0</v>
      </c>
      <c r="P278" s="56">
        <f>SUMIFS(广告数据包!M:M,广告数据包!A:A,A278,广告数据包!G:G,Base!$F$2)+SUMIFS(广告数据包!M:M,广告数据包!A:A,A278,广告数据包!G:G,Base!$F$3)+SUMIFS(广告数据包!M:M,广告数据包!A:A,A278,广告数据包!G:G,Base!$F$4)</f>
        <v>0</v>
      </c>
      <c r="Q278" s="57">
        <f t="shared" si="70"/>
        <v>0</v>
      </c>
      <c r="R278" s="56">
        <f>SUMIFS(广告数据包!L:L,广告数据包!A:A,A278,广告数据包!G:G,Base!$F$2)+SUMIFS(广告数据包!L:L,广告数据包!A:A,A278,广告数据包!G:G,Base!$F$3)+SUMIFS(广告数据包!L:L,广告数据包!A:A,A278,广告数据包!G:G,Base!$F$4)</f>
        <v>0</v>
      </c>
      <c r="S278" s="86">
        <f t="shared" si="71"/>
        <v>0</v>
      </c>
    </row>
    <row r="279" ht="16.5" spans="1:19">
      <c r="A279" s="54">
        <v>44716</v>
      </c>
      <c r="B279" s="55">
        <f>SUMIFS(销售数据包!F:F,销售数据包!A:A,A279,销售数据包!C:C,Base!$F$2)+SUMIFS(销售数据包!F:F,销售数据包!A:A,A279,销售数据包!C:C,Base!$F$3)+SUMIFS(销售数据包!F:F,销售数据包!A:A,A279,销售数据包!C:C,Base!$F$4)</f>
        <v>0</v>
      </c>
      <c r="C279" s="56">
        <f>SUMIFS(销售数据包!K:K,销售数据包!A:A,A279,销售数据包!C:C,Base!$F$2)+SUMIFS(销售数据包!K:K,销售数据包!A:A,A279,销售数据包!C:C,Base!$F$3)+SUMIFS(销售数据包!K:K,销售数据包!A:A,A279,销售数据包!C:C,Base!$F$4)</f>
        <v>0</v>
      </c>
      <c r="D279" s="56">
        <f>SUMIFS(销售数据包!Q:Q,销售数据包!A:A,A279,销售数据包!C:C,Base!$F$2)+SUMIFS(销售数据包!Q:Q,销售数据包!A:A,A279,销售数据包!C:C,Base!$F$3)+SUMIFS(销售数据包!Q:Q,销售数据包!A:A,A279,销售数据包!C:C,Base!$F$4)</f>
        <v>0</v>
      </c>
      <c r="E279" s="57">
        <f t="shared" si="63"/>
        <v>0</v>
      </c>
      <c r="F279" s="57">
        <f t="shared" si="64"/>
        <v>0</v>
      </c>
      <c r="G279" s="56">
        <f>SUMIFS(销售数据包!O:O,销售数据包!A:A,A279)</f>
        <v>0</v>
      </c>
      <c r="H279" s="57">
        <f t="shared" si="65"/>
        <v>0</v>
      </c>
      <c r="I279" s="71">
        <f t="shared" si="66"/>
        <v>0</v>
      </c>
      <c r="J279" s="72" t="str">
        <f t="shared" si="67"/>
        <v>周6</v>
      </c>
      <c r="K279" s="73">
        <f>SUMIFS(广告数据包!H:H,广告数据包!A:A,A279,广告数据包!G:G,Base!$F$2)+SUMIFS(广告数据包!H:H,广告数据包!A:A,A279,广告数据包!G:G,Base!$F$3)+SUMIFS(广告数据包!H:H,广告数据包!A:A,A279,广告数据包!G:G,Base!$F$4)</f>
        <v>0</v>
      </c>
      <c r="L279" s="56">
        <f>SUMIFS(广告数据包!I:I,广告数据包!A:A,A279,广告数据包!G:G,Base!$F$2)+SUMIFS(广告数据包!I:I,广告数据包!A:A,A279,广告数据包!G:G,Base!$F$3)+SUMIFS(广告数据包!I:I,广告数据包!A:A,A279,广告数据包!G:G,Base!$F$4)</f>
        <v>0</v>
      </c>
      <c r="M279" s="57">
        <f t="shared" si="68"/>
        <v>0</v>
      </c>
      <c r="N279" s="74">
        <f t="shared" si="69"/>
        <v>0</v>
      </c>
      <c r="O279" s="75">
        <f>SUMIFS(广告数据包!P:P,广告数据包!A:A,A279,广告数据包!G:G,Base!$F$2)+SUMIFS(广告数据包!P:P,广告数据包!A:A,A279,广告数据包!G:G,Base!$F$3)+SUMIFS(广告数据包!P:P,广告数据包!A:A,A279,广告数据包!G:G,Base!$F$4)</f>
        <v>0</v>
      </c>
      <c r="P279" s="56">
        <f>SUMIFS(广告数据包!M:M,广告数据包!A:A,A279,广告数据包!G:G,Base!$F$2)+SUMIFS(广告数据包!M:M,广告数据包!A:A,A279,广告数据包!G:G,Base!$F$3)+SUMIFS(广告数据包!M:M,广告数据包!A:A,A279,广告数据包!G:G,Base!$F$4)</f>
        <v>0</v>
      </c>
      <c r="Q279" s="57">
        <f t="shared" si="70"/>
        <v>0</v>
      </c>
      <c r="R279" s="56">
        <f>SUMIFS(广告数据包!L:L,广告数据包!A:A,A279,广告数据包!G:G,Base!$F$2)+SUMIFS(广告数据包!L:L,广告数据包!A:A,A279,广告数据包!G:G,Base!$F$3)+SUMIFS(广告数据包!L:L,广告数据包!A:A,A279,广告数据包!G:G,Base!$F$4)</f>
        <v>0</v>
      </c>
      <c r="S279" s="86">
        <f t="shared" si="71"/>
        <v>0</v>
      </c>
    </row>
    <row r="280" ht="16.5" spans="1:19">
      <c r="A280" s="54">
        <v>44717</v>
      </c>
      <c r="B280" s="55">
        <f>SUMIFS(销售数据包!F:F,销售数据包!A:A,A280,销售数据包!C:C,Base!$F$2)+SUMIFS(销售数据包!F:F,销售数据包!A:A,A280,销售数据包!C:C,Base!$F$3)+SUMIFS(销售数据包!F:F,销售数据包!A:A,A280,销售数据包!C:C,Base!$F$4)</f>
        <v>0</v>
      </c>
      <c r="C280" s="56">
        <f>SUMIFS(销售数据包!K:K,销售数据包!A:A,A280,销售数据包!C:C,Base!$F$2)+SUMIFS(销售数据包!K:K,销售数据包!A:A,A280,销售数据包!C:C,Base!$F$3)+SUMIFS(销售数据包!K:K,销售数据包!A:A,A280,销售数据包!C:C,Base!$F$4)</f>
        <v>0</v>
      </c>
      <c r="D280" s="56">
        <f>SUMIFS(销售数据包!Q:Q,销售数据包!A:A,A280,销售数据包!C:C,Base!$F$2)+SUMIFS(销售数据包!Q:Q,销售数据包!A:A,A280,销售数据包!C:C,Base!$F$3)+SUMIFS(销售数据包!Q:Q,销售数据包!A:A,A280,销售数据包!C:C,Base!$F$4)</f>
        <v>0</v>
      </c>
      <c r="E280" s="57">
        <f t="shared" ref="E280:E305" si="72">IFERROR(D280/B280,0)</f>
        <v>0</v>
      </c>
      <c r="F280" s="57">
        <f t="shared" ref="F280:F305" si="73">IFERROR(C280/B280,0)</f>
        <v>0</v>
      </c>
      <c r="G280" s="56">
        <f>SUMIFS(销售数据包!O:O,销售数据包!A:A,A280)</f>
        <v>0</v>
      </c>
      <c r="H280" s="57">
        <f t="shared" ref="H280:H305" si="74">IFERROR(R280/G280,0)</f>
        <v>0</v>
      </c>
      <c r="I280" s="71">
        <f t="shared" ref="I280:I305" si="75">IFERROR(P280/G280,0)</f>
        <v>0</v>
      </c>
      <c r="J280" s="72" t="str">
        <f t="shared" ref="J280:J305" si="76">"周"&amp;WEEKDAY(A280,2)</f>
        <v>周7</v>
      </c>
      <c r="K280" s="73">
        <f>SUMIFS(广告数据包!H:H,广告数据包!A:A,A280,广告数据包!G:G,Base!$F$2)+SUMIFS(广告数据包!H:H,广告数据包!A:A,A280,广告数据包!G:G,Base!$F$3)+SUMIFS(广告数据包!H:H,广告数据包!A:A,A280,广告数据包!G:G,Base!$F$4)</f>
        <v>0</v>
      </c>
      <c r="L280" s="56">
        <f>SUMIFS(广告数据包!I:I,广告数据包!A:A,A280,广告数据包!G:G,Base!$F$2)+SUMIFS(广告数据包!I:I,广告数据包!A:A,A280,广告数据包!G:G,Base!$F$3)+SUMIFS(广告数据包!I:I,广告数据包!A:A,A280,广告数据包!G:G,Base!$F$4)</f>
        <v>0</v>
      </c>
      <c r="M280" s="57">
        <f t="shared" ref="M280:M305" si="77">IFERROR(L280/K280,0)</f>
        <v>0</v>
      </c>
      <c r="N280" s="74">
        <f t="shared" ref="N280:N305" si="78">IFERROR(R280/L280,0)</f>
        <v>0</v>
      </c>
      <c r="O280" s="75">
        <f>SUMIFS(广告数据包!P:P,广告数据包!A:A,A280,广告数据包!G:G,Base!$F$2)+SUMIFS(广告数据包!P:P,广告数据包!A:A,A280,广告数据包!G:G,Base!$F$3)+SUMIFS(广告数据包!P:P,广告数据包!A:A,A280,广告数据包!G:G,Base!$F$4)</f>
        <v>0</v>
      </c>
      <c r="P280" s="56">
        <f>SUMIFS(广告数据包!M:M,广告数据包!A:A,A280,广告数据包!G:G,Base!$F$2)+SUMIFS(广告数据包!M:M,广告数据包!A:A,A280,广告数据包!G:G,Base!$F$3)+SUMIFS(广告数据包!M:M,广告数据包!A:A,A280,广告数据包!G:G,Base!$F$4)</f>
        <v>0</v>
      </c>
      <c r="Q280" s="57">
        <f t="shared" ref="Q280:Q305" si="79">IFERROR(O280/L280,0)</f>
        <v>0</v>
      </c>
      <c r="R280" s="56">
        <f>SUMIFS(广告数据包!L:L,广告数据包!A:A,A280,广告数据包!G:G,Base!$F$2)+SUMIFS(广告数据包!L:L,广告数据包!A:A,A280,广告数据包!G:G,Base!$F$3)+SUMIFS(广告数据包!L:L,广告数据包!A:A,A280,广告数据包!G:G,Base!$F$4)</f>
        <v>0</v>
      </c>
      <c r="S280" s="86">
        <f t="shared" ref="S280:S305" si="80">IFERROR(R280/P280,0)</f>
        <v>0</v>
      </c>
    </row>
    <row r="281" ht="16.5" spans="1:19">
      <c r="A281" s="54">
        <v>44718</v>
      </c>
      <c r="B281" s="55">
        <f>SUMIFS(销售数据包!F:F,销售数据包!A:A,A281,销售数据包!C:C,Base!$F$2)+SUMIFS(销售数据包!F:F,销售数据包!A:A,A281,销售数据包!C:C,Base!$F$3)+SUMIFS(销售数据包!F:F,销售数据包!A:A,A281,销售数据包!C:C,Base!$F$4)</f>
        <v>0</v>
      </c>
      <c r="C281" s="56">
        <f>SUMIFS(销售数据包!K:K,销售数据包!A:A,A281,销售数据包!C:C,Base!$F$2)+SUMIFS(销售数据包!K:K,销售数据包!A:A,A281,销售数据包!C:C,Base!$F$3)+SUMIFS(销售数据包!K:K,销售数据包!A:A,A281,销售数据包!C:C,Base!$F$4)</f>
        <v>0</v>
      </c>
      <c r="D281" s="56">
        <f>SUMIFS(销售数据包!Q:Q,销售数据包!A:A,A281,销售数据包!C:C,Base!$F$2)+SUMIFS(销售数据包!Q:Q,销售数据包!A:A,A281,销售数据包!C:C,Base!$F$3)+SUMIFS(销售数据包!Q:Q,销售数据包!A:A,A281,销售数据包!C:C,Base!$F$4)</f>
        <v>0</v>
      </c>
      <c r="E281" s="57">
        <f t="shared" si="72"/>
        <v>0</v>
      </c>
      <c r="F281" s="57">
        <f t="shared" si="73"/>
        <v>0</v>
      </c>
      <c r="G281" s="56">
        <f>SUMIFS(销售数据包!O:O,销售数据包!A:A,A281)</f>
        <v>0</v>
      </c>
      <c r="H281" s="57">
        <f t="shared" si="74"/>
        <v>0</v>
      </c>
      <c r="I281" s="71">
        <f t="shared" si="75"/>
        <v>0</v>
      </c>
      <c r="J281" s="72" t="str">
        <f t="shared" si="76"/>
        <v>周1</v>
      </c>
      <c r="K281" s="73">
        <f>SUMIFS(广告数据包!H:H,广告数据包!A:A,A281,广告数据包!G:G,Base!$F$2)+SUMIFS(广告数据包!H:H,广告数据包!A:A,A281,广告数据包!G:G,Base!$F$3)+SUMIFS(广告数据包!H:H,广告数据包!A:A,A281,广告数据包!G:G,Base!$F$4)</f>
        <v>0</v>
      </c>
      <c r="L281" s="56">
        <f>SUMIFS(广告数据包!I:I,广告数据包!A:A,A281,广告数据包!G:G,Base!$F$2)+SUMIFS(广告数据包!I:I,广告数据包!A:A,A281,广告数据包!G:G,Base!$F$3)+SUMIFS(广告数据包!I:I,广告数据包!A:A,A281,广告数据包!G:G,Base!$F$4)</f>
        <v>0</v>
      </c>
      <c r="M281" s="57">
        <f t="shared" si="77"/>
        <v>0</v>
      </c>
      <c r="N281" s="74">
        <f t="shared" si="78"/>
        <v>0</v>
      </c>
      <c r="O281" s="75">
        <f>SUMIFS(广告数据包!P:P,广告数据包!A:A,A281,广告数据包!G:G,Base!$F$2)+SUMIFS(广告数据包!P:P,广告数据包!A:A,A281,广告数据包!G:G,Base!$F$3)+SUMIFS(广告数据包!P:P,广告数据包!A:A,A281,广告数据包!G:G,Base!$F$4)</f>
        <v>0</v>
      </c>
      <c r="P281" s="56">
        <f>SUMIFS(广告数据包!M:M,广告数据包!A:A,A281,广告数据包!G:G,Base!$F$2)+SUMIFS(广告数据包!M:M,广告数据包!A:A,A281,广告数据包!G:G,Base!$F$3)+SUMIFS(广告数据包!M:M,广告数据包!A:A,A281,广告数据包!G:G,Base!$F$4)</f>
        <v>0</v>
      </c>
      <c r="Q281" s="57">
        <f t="shared" si="79"/>
        <v>0</v>
      </c>
      <c r="R281" s="56">
        <f>SUMIFS(广告数据包!L:L,广告数据包!A:A,A281,广告数据包!G:G,Base!$F$2)+SUMIFS(广告数据包!L:L,广告数据包!A:A,A281,广告数据包!G:G,Base!$F$3)+SUMIFS(广告数据包!L:L,广告数据包!A:A,A281,广告数据包!G:G,Base!$F$4)</f>
        <v>0</v>
      </c>
      <c r="S281" s="86">
        <f t="shared" si="80"/>
        <v>0</v>
      </c>
    </row>
    <row r="282" ht="16.5" spans="1:19">
      <c r="A282" s="54">
        <v>44719</v>
      </c>
      <c r="B282" s="55">
        <f>SUMIFS(销售数据包!F:F,销售数据包!A:A,A282,销售数据包!C:C,Base!$F$2)+SUMIFS(销售数据包!F:F,销售数据包!A:A,A282,销售数据包!C:C,Base!$F$3)+SUMIFS(销售数据包!F:F,销售数据包!A:A,A282,销售数据包!C:C,Base!$F$4)</f>
        <v>0</v>
      </c>
      <c r="C282" s="56">
        <f>SUMIFS(销售数据包!K:K,销售数据包!A:A,A282,销售数据包!C:C,Base!$F$2)+SUMIFS(销售数据包!K:K,销售数据包!A:A,A282,销售数据包!C:C,Base!$F$3)+SUMIFS(销售数据包!K:K,销售数据包!A:A,A282,销售数据包!C:C,Base!$F$4)</f>
        <v>0</v>
      </c>
      <c r="D282" s="56">
        <f>SUMIFS(销售数据包!Q:Q,销售数据包!A:A,A282,销售数据包!C:C,Base!$F$2)+SUMIFS(销售数据包!Q:Q,销售数据包!A:A,A282,销售数据包!C:C,Base!$F$3)+SUMIFS(销售数据包!Q:Q,销售数据包!A:A,A282,销售数据包!C:C,Base!$F$4)</f>
        <v>0</v>
      </c>
      <c r="E282" s="57">
        <f t="shared" si="72"/>
        <v>0</v>
      </c>
      <c r="F282" s="57">
        <f t="shared" si="73"/>
        <v>0</v>
      </c>
      <c r="G282" s="56">
        <f>SUMIFS(销售数据包!O:O,销售数据包!A:A,A282)</f>
        <v>0</v>
      </c>
      <c r="H282" s="57">
        <f t="shared" si="74"/>
        <v>0</v>
      </c>
      <c r="I282" s="71">
        <f t="shared" si="75"/>
        <v>0</v>
      </c>
      <c r="J282" s="72" t="str">
        <f t="shared" si="76"/>
        <v>周2</v>
      </c>
      <c r="K282" s="73">
        <f>SUMIFS(广告数据包!H:H,广告数据包!A:A,A282,广告数据包!G:G,Base!$F$2)+SUMIFS(广告数据包!H:H,广告数据包!A:A,A282,广告数据包!G:G,Base!$F$3)+SUMIFS(广告数据包!H:H,广告数据包!A:A,A282,广告数据包!G:G,Base!$F$4)</f>
        <v>0</v>
      </c>
      <c r="L282" s="56">
        <f>SUMIFS(广告数据包!I:I,广告数据包!A:A,A282,广告数据包!G:G,Base!$F$2)+SUMIFS(广告数据包!I:I,广告数据包!A:A,A282,广告数据包!G:G,Base!$F$3)+SUMIFS(广告数据包!I:I,广告数据包!A:A,A282,广告数据包!G:G,Base!$F$4)</f>
        <v>0</v>
      </c>
      <c r="M282" s="57">
        <f t="shared" si="77"/>
        <v>0</v>
      </c>
      <c r="N282" s="74">
        <f t="shared" si="78"/>
        <v>0</v>
      </c>
      <c r="O282" s="75">
        <f>SUMIFS(广告数据包!P:P,广告数据包!A:A,A282,广告数据包!G:G,Base!$F$2)+SUMIFS(广告数据包!P:P,广告数据包!A:A,A282,广告数据包!G:G,Base!$F$3)+SUMIFS(广告数据包!P:P,广告数据包!A:A,A282,广告数据包!G:G,Base!$F$4)</f>
        <v>0</v>
      </c>
      <c r="P282" s="56">
        <f>SUMIFS(广告数据包!M:M,广告数据包!A:A,A282,广告数据包!G:G,Base!$F$2)+SUMIFS(广告数据包!M:M,广告数据包!A:A,A282,广告数据包!G:G,Base!$F$3)+SUMIFS(广告数据包!M:M,广告数据包!A:A,A282,广告数据包!G:G,Base!$F$4)</f>
        <v>0</v>
      </c>
      <c r="Q282" s="57">
        <f t="shared" si="79"/>
        <v>0</v>
      </c>
      <c r="R282" s="56">
        <f>SUMIFS(广告数据包!L:L,广告数据包!A:A,A282,广告数据包!G:G,Base!$F$2)+SUMIFS(广告数据包!L:L,广告数据包!A:A,A282,广告数据包!G:G,Base!$F$3)+SUMIFS(广告数据包!L:L,广告数据包!A:A,A282,广告数据包!G:G,Base!$F$4)</f>
        <v>0</v>
      </c>
      <c r="S282" s="86">
        <f t="shared" si="80"/>
        <v>0</v>
      </c>
    </row>
    <row r="283" ht="16.5" spans="1:19">
      <c r="A283" s="54">
        <v>44720</v>
      </c>
      <c r="B283" s="55">
        <f>SUMIFS(销售数据包!F:F,销售数据包!A:A,A283,销售数据包!C:C,Base!$F$2)+SUMIFS(销售数据包!F:F,销售数据包!A:A,A283,销售数据包!C:C,Base!$F$3)+SUMIFS(销售数据包!F:F,销售数据包!A:A,A283,销售数据包!C:C,Base!$F$4)</f>
        <v>0</v>
      </c>
      <c r="C283" s="56">
        <f>SUMIFS(销售数据包!K:K,销售数据包!A:A,A283,销售数据包!C:C,Base!$F$2)+SUMIFS(销售数据包!K:K,销售数据包!A:A,A283,销售数据包!C:C,Base!$F$3)+SUMIFS(销售数据包!K:K,销售数据包!A:A,A283,销售数据包!C:C,Base!$F$4)</f>
        <v>0</v>
      </c>
      <c r="D283" s="56">
        <f>SUMIFS(销售数据包!Q:Q,销售数据包!A:A,A283,销售数据包!C:C,Base!$F$2)+SUMIFS(销售数据包!Q:Q,销售数据包!A:A,A283,销售数据包!C:C,Base!$F$3)+SUMIFS(销售数据包!Q:Q,销售数据包!A:A,A283,销售数据包!C:C,Base!$F$4)</f>
        <v>0</v>
      </c>
      <c r="E283" s="57">
        <f t="shared" si="72"/>
        <v>0</v>
      </c>
      <c r="F283" s="57">
        <f t="shared" si="73"/>
        <v>0</v>
      </c>
      <c r="G283" s="56">
        <f>SUMIFS(销售数据包!O:O,销售数据包!A:A,A283)</f>
        <v>0</v>
      </c>
      <c r="H283" s="57">
        <f t="shared" si="74"/>
        <v>0</v>
      </c>
      <c r="I283" s="71">
        <f t="shared" si="75"/>
        <v>0</v>
      </c>
      <c r="J283" s="72" t="str">
        <f t="shared" si="76"/>
        <v>周3</v>
      </c>
      <c r="K283" s="73">
        <f>SUMIFS(广告数据包!H:H,广告数据包!A:A,A283,广告数据包!G:G,Base!$F$2)+SUMIFS(广告数据包!H:H,广告数据包!A:A,A283,广告数据包!G:G,Base!$F$3)+SUMIFS(广告数据包!H:H,广告数据包!A:A,A283,广告数据包!G:G,Base!$F$4)</f>
        <v>0</v>
      </c>
      <c r="L283" s="56">
        <f>SUMIFS(广告数据包!I:I,广告数据包!A:A,A283,广告数据包!G:G,Base!$F$2)+SUMIFS(广告数据包!I:I,广告数据包!A:A,A283,广告数据包!G:G,Base!$F$3)+SUMIFS(广告数据包!I:I,广告数据包!A:A,A283,广告数据包!G:G,Base!$F$4)</f>
        <v>0</v>
      </c>
      <c r="M283" s="57">
        <f t="shared" si="77"/>
        <v>0</v>
      </c>
      <c r="N283" s="74">
        <f t="shared" si="78"/>
        <v>0</v>
      </c>
      <c r="O283" s="75">
        <f>SUMIFS(广告数据包!P:P,广告数据包!A:A,A283,广告数据包!G:G,Base!$F$2)+SUMIFS(广告数据包!P:P,广告数据包!A:A,A283,广告数据包!G:G,Base!$F$3)+SUMIFS(广告数据包!P:P,广告数据包!A:A,A283,广告数据包!G:G,Base!$F$4)</f>
        <v>0</v>
      </c>
      <c r="P283" s="56">
        <f>SUMIFS(广告数据包!M:M,广告数据包!A:A,A283,广告数据包!G:G,Base!$F$2)+SUMIFS(广告数据包!M:M,广告数据包!A:A,A283,广告数据包!G:G,Base!$F$3)+SUMIFS(广告数据包!M:M,广告数据包!A:A,A283,广告数据包!G:G,Base!$F$4)</f>
        <v>0</v>
      </c>
      <c r="Q283" s="57">
        <f t="shared" si="79"/>
        <v>0</v>
      </c>
      <c r="R283" s="56">
        <f>SUMIFS(广告数据包!L:L,广告数据包!A:A,A283,广告数据包!G:G,Base!$F$2)+SUMIFS(广告数据包!L:L,广告数据包!A:A,A283,广告数据包!G:G,Base!$F$3)+SUMIFS(广告数据包!L:L,广告数据包!A:A,A283,广告数据包!G:G,Base!$F$4)</f>
        <v>0</v>
      </c>
      <c r="S283" s="86">
        <f t="shared" si="80"/>
        <v>0</v>
      </c>
    </row>
    <row r="284" ht="16.5" spans="1:19">
      <c r="A284" s="54">
        <v>44721</v>
      </c>
      <c r="B284" s="55">
        <f>SUMIFS(销售数据包!F:F,销售数据包!A:A,A284,销售数据包!C:C,Base!$F$2)+SUMIFS(销售数据包!F:F,销售数据包!A:A,A284,销售数据包!C:C,Base!$F$3)+SUMIFS(销售数据包!F:F,销售数据包!A:A,A284,销售数据包!C:C,Base!$F$4)</f>
        <v>0</v>
      </c>
      <c r="C284" s="56">
        <f>SUMIFS(销售数据包!K:K,销售数据包!A:A,A284,销售数据包!C:C,Base!$F$2)+SUMIFS(销售数据包!K:K,销售数据包!A:A,A284,销售数据包!C:C,Base!$F$3)+SUMIFS(销售数据包!K:K,销售数据包!A:A,A284,销售数据包!C:C,Base!$F$4)</f>
        <v>0</v>
      </c>
      <c r="D284" s="56">
        <f>SUMIFS(销售数据包!Q:Q,销售数据包!A:A,A284,销售数据包!C:C,Base!$F$2)+SUMIFS(销售数据包!Q:Q,销售数据包!A:A,A284,销售数据包!C:C,Base!$F$3)+SUMIFS(销售数据包!Q:Q,销售数据包!A:A,A284,销售数据包!C:C,Base!$F$4)</f>
        <v>0</v>
      </c>
      <c r="E284" s="57">
        <f t="shared" si="72"/>
        <v>0</v>
      </c>
      <c r="F284" s="57">
        <f t="shared" si="73"/>
        <v>0</v>
      </c>
      <c r="G284" s="56">
        <f>SUMIFS(销售数据包!O:O,销售数据包!A:A,A284)</f>
        <v>0</v>
      </c>
      <c r="H284" s="57">
        <f t="shared" si="74"/>
        <v>0</v>
      </c>
      <c r="I284" s="71">
        <f t="shared" si="75"/>
        <v>0</v>
      </c>
      <c r="J284" s="72" t="str">
        <f t="shared" si="76"/>
        <v>周4</v>
      </c>
      <c r="K284" s="73">
        <f>SUMIFS(广告数据包!H:H,广告数据包!A:A,A284,广告数据包!G:G,Base!$F$2)+SUMIFS(广告数据包!H:H,广告数据包!A:A,A284,广告数据包!G:G,Base!$F$3)+SUMIFS(广告数据包!H:H,广告数据包!A:A,A284,广告数据包!G:G,Base!$F$4)</f>
        <v>0</v>
      </c>
      <c r="L284" s="56">
        <f>SUMIFS(广告数据包!I:I,广告数据包!A:A,A284,广告数据包!G:G,Base!$F$2)+SUMIFS(广告数据包!I:I,广告数据包!A:A,A284,广告数据包!G:G,Base!$F$3)+SUMIFS(广告数据包!I:I,广告数据包!A:A,A284,广告数据包!G:G,Base!$F$4)</f>
        <v>0</v>
      </c>
      <c r="M284" s="57">
        <f t="shared" si="77"/>
        <v>0</v>
      </c>
      <c r="N284" s="74">
        <f t="shared" si="78"/>
        <v>0</v>
      </c>
      <c r="O284" s="75">
        <f>SUMIFS(广告数据包!P:P,广告数据包!A:A,A284,广告数据包!G:G,Base!$F$2)+SUMIFS(广告数据包!P:P,广告数据包!A:A,A284,广告数据包!G:G,Base!$F$3)+SUMIFS(广告数据包!P:P,广告数据包!A:A,A284,广告数据包!G:G,Base!$F$4)</f>
        <v>0</v>
      </c>
      <c r="P284" s="56">
        <f>SUMIFS(广告数据包!M:M,广告数据包!A:A,A284,广告数据包!G:G,Base!$F$2)+SUMIFS(广告数据包!M:M,广告数据包!A:A,A284,广告数据包!G:G,Base!$F$3)+SUMIFS(广告数据包!M:M,广告数据包!A:A,A284,广告数据包!G:G,Base!$F$4)</f>
        <v>0</v>
      </c>
      <c r="Q284" s="57">
        <f t="shared" si="79"/>
        <v>0</v>
      </c>
      <c r="R284" s="56">
        <f>SUMIFS(广告数据包!L:L,广告数据包!A:A,A284,广告数据包!G:G,Base!$F$2)+SUMIFS(广告数据包!L:L,广告数据包!A:A,A284,广告数据包!G:G,Base!$F$3)+SUMIFS(广告数据包!L:L,广告数据包!A:A,A284,广告数据包!G:G,Base!$F$4)</f>
        <v>0</v>
      </c>
      <c r="S284" s="86">
        <f t="shared" si="80"/>
        <v>0</v>
      </c>
    </row>
    <row r="285" ht="16.5" spans="1:19">
      <c r="A285" s="54">
        <v>44722</v>
      </c>
      <c r="B285" s="55">
        <f>SUMIFS(销售数据包!F:F,销售数据包!A:A,A285,销售数据包!C:C,Base!$F$2)+SUMIFS(销售数据包!F:F,销售数据包!A:A,A285,销售数据包!C:C,Base!$F$3)+SUMIFS(销售数据包!F:F,销售数据包!A:A,A285,销售数据包!C:C,Base!$F$4)</f>
        <v>0</v>
      </c>
      <c r="C285" s="56">
        <f>SUMIFS(销售数据包!K:K,销售数据包!A:A,A285,销售数据包!C:C,Base!$F$2)+SUMIFS(销售数据包!K:K,销售数据包!A:A,A285,销售数据包!C:C,Base!$F$3)+SUMIFS(销售数据包!K:K,销售数据包!A:A,A285,销售数据包!C:C,Base!$F$4)</f>
        <v>0</v>
      </c>
      <c r="D285" s="56">
        <f>SUMIFS(销售数据包!Q:Q,销售数据包!A:A,A285,销售数据包!C:C,Base!$F$2)+SUMIFS(销售数据包!Q:Q,销售数据包!A:A,A285,销售数据包!C:C,Base!$F$3)+SUMIFS(销售数据包!Q:Q,销售数据包!A:A,A285,销售数据包!C:C,Base!$F$4)</f>
        <v>0</v>
      </c>
      <c r="E285" s="57">
        <f t="shared" si="72"/>
        <v>0</v>
      </c>
      <c r="F285" s="57">
        <f t="shared" si="73"/>
        <v>0</v>
      </c>
      <c r="G285" s="56">
        <f>SUMIFS(销售数据包!O:O,销售数据包!A:A,A285)</f>
        <v>0</v>
      </c>
      <c r="H285" s="57">
        <f t="shared" si="74"/>
        <v>0</v>
      </c>
      <c r="I285" s="71">
        <f t="shared" si="75"/>
        <v>0</v>
      </c>
      <c r="J285" s="72" t="str">
        <f t="shared" si="76"/>
        <v>周5</v>
      </c>
      <c r="K285" s="73">
        <f>SUMIFS(广告数据包!H:H,广告数据包!A:A,A285,广告数据包!G:G,Base!$F$2)+SUMIFS(广告数据包!H:H,广告数据包!A:A,A285,广告数据包!G:G,Base!$F$3)+SUMIFS(广告数据包!H:H,广告数据包!A:A,A285,广告数据包!G:G,Base!$F$4)</f>
        <v>0</v>
      </c>
      <c r="L285" s="56">
        <f>SUMIFS(广告数据包!I:I,广告数据包!A:A,A285,广告数据包!G:G,Base!$F$2)+SUMIFS(广告数据包!I:I,广告数据包!A:A,A285,广告数据包!G:G,Base!$F$3)+SUMIFS(广告数据包!I:I,广告数据包!A:A,A285,广告数据包!G:G,Base!$F$4)</f>
        <v>0</v>
      </c>
      <c r="M285" s="57">
        <f t="shared" si="77"/>
        <v>0</v>
      </c>
      <c r="N285" s="74">
        <f t="shared" si="78"/>
        <v>0</v>
      </c>
      <c r="O285" s="75">
        <f>SUMIFS(广告数据包!P:P,广告数据包!A:A,A285,广告数据包!G:G,Base!$F$2)+SUMIFS(广告数据包!P:P,广告数据包!A:A,A285,广告数据包!G:G,Base!$F$3)+SUMIFS(广告数据包!P:P,广告数据包!A:A,A285,广告数据包!G:G,Base!$F$4)</f>
        <v>0</v>
      </c>
      <c r="P285" s="56">
        <f>SUMIFS(广告数据包!M:M,广告数据包!A:A,A285,广告数据包!G:G,Base!$F$2)+SUMIFS(广告数据包!M:M,广告数据包!A:A,A285,广告数据包!G:G,Base!$F$3)+SUMIFS(广告数据包!M:M,广告数据包!A:A,A285,广告数据包!G:G,Base!$F$4)</f>
        <v>0</v>
      </c>
      <c r="Q285" s="57">
        <f t="shared" si="79"/>
        <v>0</v>
      </c>
      <c r="R285" s="56">
        <f>SUMIFS(广告数据包!L:L,广告数据包!A:A,A285,广告数据包!G:G,Base!$F$2)+SUMIFS(广告数据包!L:L,广告数据包!A:A,A285,广告数据包!G:G,Base!$F$3)+SUMIFS(广告数据包!L:L,广告数据包!A:A,A285,广告数据包!G:G,Base!$F$4)</f>
        <v>0</v>
      </c>
      <c r="S285" s="86">
        <f t="shared" si="80"/>
        <v>0</v>
      </c>
    </row>
    <row r="286" ht="16.5" spans="1:19">
      <c r="A286" s="54">
        <v>44723</v>
      </c>
      <c r="B286" s="55">
        <f>SUMIFS(销售数据包!F:F,销售数据包!A:A,A286,销售数据包!C:C,Base!$F$2)+SUMIFS(销售数据包!F:F,销售数据包!A:A,A286,销售数据包!C:C,Base!$F$3)+SUMIFS(销售数据包!F:F,销售数据包!A:A,A286,销售数据包!C:C,Base!$F$4)</f>
        <v>0</v>
      </c>
      <c r="C286" s="56">
        <f>SUMIFS(销售数据包!K:K,销售数据包!A:A,A286,销售数据包!C:C,Base!$F$2)+SUMIFS(销售数据包!K:K,销售数据包!A:A,A286,销售数据包!C:C,Base!$F$3)+SUMIFS(销售数据包!K:K,销售数据包!A:A,A286,销售数据包!C:C,Base!$F$4)</f>
        <v>0</v>
      </c>
      <c r="D286" s="56">
        <f>SUMIFS(销售数据包!Q:Q,销售数据包!A:A,A286,销售数据包!C:C,Base!$F$2)+SUMIFS(销售数据包!Q:Q,销售数据包!A:A,A286,销售数据包!C:C,Base!$F$3)+SUMIFS(销售数据包!Q:Q,销售数据包!A:A,A286,销售数据包!C:C,Base!$F$4)</f>
        <v>0</v>
      </c>
      <c r="E286" s="57">
        <f t="shared" si="72"/>
        <v>0</v>
      </c>
      <c r="F286" s="57">
        <f t="shared" si="73"/>
        <v>0</v>
      </c>
      <c r="G286" s="56">
        <f>SUMIFS(销售数据包!O:O,销售数据包!A:A,A286)</f>
        <v>0</v>
      </c>
      <c r="H286" s="57">
        <f t="shared" si="74"/>
        <v>0</v>
      </c>
      <c r="I286" s="71">
        <f t="shared" si="75"/>
        <v>0</v>
      </c>
      <c r="J286" s="72" t="str">
        <f t="shared" si="76"/>
        <v>周6</v>
      </c>
      <c r="K286" s="73">
        <f>SUMIFS(广告数据包!H:H,广告数据包!A:A,A286,广告数据包!G:G,Base!$F$2)+SUMIFS(广告数据包!H:H,广告数据包!A:A,A286,广告数据包!G:G,Base!$F$3)+SUMIFS(广告数据包!H:H,广告数据包!A:A,A286,广告数据包!G:G,Base!$F$4)</f>
        <v>0</v>
      </c>
      <c r="L286" s="56">
        <f>SUMIFS(广告数据包!I:I,广告数据包!A:A,A286,广告数据包!G:G,Base!$F$2)+SUMIFS(广告数据包!I:I,广告数据包!A:A,A286,广告数据包!G:G,Base!$F$3)+SUMIFS(广告数据包!I:I,广告数据包!A:A,A286,广告数据包!G:G,Base!$F$4)</f>
        <v>0</v>
      </c>
      <c r="M286" s="57">
        <f t="shared" si="77"/>
        <v>0</v>
      </c>
      <c r="N286" s="74">
        <f t="shared" si="78"/>
        <v>0</v>
      </c>
      <c r="O286" s="75">
        <f>SUMIFS(广告数据包!P:P,广告数据包!A:A,A286,广告数据包!G:G,Base!$F$2)+SUMIFS(广告数据包!P:P,广告数据包!A:A,A286,广告数据包!G:G,Base!$F$3)+SUMIFS(广告数据包!P:P,广告数据包!A:A,A286,广告数据包!G:G,Base!$F$4)</f>
        <v>0</v>
      </c>
      <c r="P286" s="56">
        <f>SUMIFS(广告数据包!M:M,广告数据包!A:A,A286,广告数据包!G:G,Base!$F$2)+SUMIFS(广告数据包!M:M,广告数据包!A:A,A286,广告数据包!G:G,Base!$F$3)+SUMIFS(广告数据包!M:M,广告数据包!A:A,A286,广告数据包!G:G,Base!$F$4)</f>
        <v>0</v>
      </c>
      <c r="Q286" s="57">
        <f t="shared" si="79"/>
        <v>0</v>
      </c>
      <c r="R286" s="56">
        <f>SUMIFS(广告数据包!L:L,广告数据包!A:A,A286,广告数据包!G:G,Base!$F$2)+SUMIFS(广告数据包!L:L,广告数据包!A:A,A286,广告数据包!G:G,Base!$F$3)+SUMIFS(广告数据包!L:L,广告数据包!A:A,A286,广告数据包!G:G,Base!$F$4)</f>
        <v>0</v>
      </c>
      <c r="S286" s="86">
        <f t="shared" si="80"/>
        <v>0</v>
      </c>
    </row>
    <row r="287" ht="16.5" spans="1:19">
      <c r="A287" s="54">
        <v>44724</v>
      </c>
      <c r="B287" s="55">
        <f>SUMIFS(销售数据包!F:F,销售数据包!A:A,A287,销售数据包!C:C,Base!$F$2)+SUMIFS(销售数据包!F:F,销售数据包!A:A,A287,销售数据包!C:C,Base!$F$3)+SUMIFS(销售数据包!F:F,销售数据包!A:A,A287,销售数据包!C:C,Base!$F$4)</f>
        <v>0</v>
      </c>
      <c r="C287" s="56">
        <f>SUMIFS(销售数据包!K:K,销售数据包!A:A,A287,销售数据包!C:C,Base!$F$2)+SUMIFS(销售数据包!K:K,销售数据包!A:A,A287,销售数据包!C:C,Base!$F$3)+SUMIFS(销售数据包!K:K,销售数据包!A:A,A287,销售数据包!C:C,Base!$F$4)</f>
        <v>0</v>
      </c>
      <c r="D287" s="56">
        <f>SUMIFS(销售数据包!Q:Q,销售数据包!A:A,A287,销售数据包!C:C,Base!$F$2)+SUMIFS(销售数据包!Q:Q,销售数据包!A:A,A287,销售数据包!C:C,Base!$F$3)+SUMIFS(销售数据包!Q:Q,销售数据包!A:A,A287,销售数据包!C:C,Base!$F$4)</f>
        <v>0</v>
      </c>
      <c r="E287" s="57">
        <f t="shared" si="72"/>
        <v>0</v>
      </c>
      <c r="F287" s="57">
        <f t="shared" si="73"/>
        <v>0</v>
      </c>
      <c r="G287" s="56">
        <f>SUMIFS(销售数据包!O:O,销售数据包!A:A,A287)</f>
        <v>0</v>
      </c>
      <c r="H287" s="57">
        <f t="shared" si="74"/>
        <v>0</v>
      </c>
      <c r="I287" s="71">
        <f t="shared" si="75"/>
        <v>0</v>
      </c>
      <c r="J287" s="72" t="str">
        <f t="shared" si="76"/>
        <v>周7</v>
      </c>
      <c r="K287" s="73">
        <f>SUMIFS(广告数据包!H:H,广告数据包!A:A,A287,广告数据包!G:G,Base!$F$2)+SUMIFS(广告数据包!H:H,广告数据包!A:A,A287,广告数据包!G:G,Base!$F$3)+SUMIFS(广告数据包!H:H,广告数据包!A:A,A287,广告数据包!G:G,Base!$F$4)</f>
        <v>0</v>
      </c>
      <c r="L287" s="56">
        <f>SUMIFS(广告数据包!I:I,广告数据包!A:A,A287,广告数据包!G:G,Base!$F$2)+SUMIFS(广告数据包!I:I,广告数据包!A:A,A287,广告数据包!G:G,Base!$F$3)+SUMIFS(广告数据包!I:I,广告数据包!A:A,A287,广告数据包!G:G,Base!$F$4)</f>
        <v>0</v>
      </c>
      <c r="M287" s="57">
        <f t="shared" si="77"/>
        <v>0</v>
      </c>
      <c r="N287" s="74">
        <f t="shared" si="78"/>
        <v>0</v>
      </c>
      <c r="O287" s="75">
        <f>SUMIFS(广告数据包!P:P,广告数据包!A:A,A287,广告数据包!G:G,Base!$F$2)+SUMIFS(广告数据包!P:P,广告数据包!A:A,A287,广告数据包!G:G,Base!$F$3)+SUMIFS(广告数据包!P:P,广告数据包!A:A,A287,广告数据包!G:G,Base!$F$4)</f>
        <v>0</v>
      </c>
      <c r="P287" s="56">
        <f>SUMIFS(广告数据包!M:M,广告数据包!A:A,A287,广告数据包!G:G,Base!$F$2)+SUMIFS(广告数据包!M:M,广告数据包!A:A,A287,广告数据包!G:G,Base!$F$3)+SUMIFS(广告数据包!M:M,广告数据包!A:A,A287,广告数据包!G:G,Base!$F$4)</f>
        <v>0</v>
      </c>
      <c r="Q287" s="57">
        <f t="shared" si="79"/>
        <v>0</v>
      </c>
      <c r="R287" s="56">
        <f>SUMIFS(广告数据包!L:L,广告数据包!A:A,A287,广告数据包!G:G,Base!$F$2)+SUMIFS(广告数据包!L:L,广告数据包!A:A,A287,广告数据包!G:G,Base!$F$3)+SUMIFS(广告数据包!L:L,广告数据包!A:A,A287,广告数据包!G:G,Base!$F$4)</f>
        <v>0</v>
      </c>
      <c r="S287" s="86">
        <f t="shared" si="80"/>
        <v>0</v>
      </c>
    </row>
    <row r="288" ht="16.5" spans="1:19">
      <c r="A288" s="54">
        <v>44725</v>
      </c>
      <c r="B288" s="55">
        <f>SUMIFS(销售数据包!F:F,销售数据包!A:A,A288,销售数据包!C:C,Base!$F$2)+SUMIFS(销售数据包!F:F,销售数据包!A:A,A288,销售数据包!C:C,Base!$F$3)+SUMIFS(销售数据包!F:F,销售数据包!A:A,A288,销售数据包!C:C,Base!$F$4)</f>
        <v>0</v>
      </c>
      <c r="C288" s="56">
        <f>SUMIFS(销售数据包!K:K,销售数据包!A:A,A288,销售数据包!C:C,Base!$F$2)+SUMIFS(销售数据包!K:K,销售数据包!A:A,A288,销售数据包!C:C,Base!$F$3)+SUMIFS(销售数据包!K:K,销售数据包!A:A,A288,销售数据包!C:C,Base!$F$4)</f>
        <v>0</v>
      </c>
      <c r="D288" s="56">
        <f>SUMIFS(销售数据包!Q:Q,销售数据包!A:A,A288,销售数据包!C:C,Base!$F$2)+SUMIFS(销售数据包!Q:Q,销售数据包!A:A,A288,销售数据包!C:C,Base!$F$3)+SUMIFS(销售数据包!Q:Q,销售数据包!A:A,A288,销售数据包!C:C,Base!$F$4)</f>
        <v>0</v>
      </c>
      <c r="E288" s="57">
        <f t="shared" si="72"/>
        <v>0</v>
      </c>
      <c r="F288" s="57">
        <f t="shared" si="73"/>
        <v>0</v>
      </c>
      <c r="G288" s="56">
        <f>SUMIFS(销售数据包!O:O,销售数据包!A:A,A288)</f>
        <v>0</v>
      </c>
      <c r="H288" s="57">
        <f t="shared" si="74"/>
        <v>0</v>
      </c>
      <c r="I288" s="71">
        <f t="shared" si="75"/>
        <v>0</v>
      </c>
      <c r="J288" s="72" t="str">
        <f t="shared" si="76"/>
        <v>周1</v>
      </c>
      <c r="K288" s="73">
        <f>SUMIFS(广告数据包!H:H,广告数据包!A:A,A288,广告数据包!G:G,Base!$F$2)+SUMIFS(广告数据包!H:H,广告数据包!A:A,A288,广告数据包!G:G,Base!$F$3)+SUMIFS(广告数据包!H:H,广告数据包!A:A,A288,广告数据包!G:G,Base!$F$4)</f>
        <v>0</v>
      </c>
      <c r="L288" s="56">
        <f>SUMIFS(广告数据包!I:I,广告数据包!A:A,A288,广告数据包!G:G,Base!$F$2)+SUMIFS(广告数据包!I:I,广告数据包!A:A,A288,广告数据包!G:G,Base!$F$3)+SUMIFS(广告数据包!I:I,广告数据包!A:A,A288,广告数据包!G:G,Base!$F$4)</f>
        <v>0</v>
      </c>
      <c r="M288" s="57">
        <f t="shared" si="77"/>
        <v>0</v>
      </c>
      <c r="N288" s="74">
        <f t="shared" si="78"/>
        <v>0</v>
      </c>
      <c r="O288" s="75">
        <f>SUMIFS(广告数据包!P:P,广告数据包!A:A,A288,广告数据包!G:G,Base!$F$2)+SUMIFS(广告数据包!P:P,广告数据包!A:A,A288,广告数据包!G:G,Base!$F$3)+SUMIFS(广告数据包!P:P,广告数据包!A:A,A288,广告数据包!G:G,Base!$F$4)</f>
        <v>0</v>
      </c>
      <c r="P288" s="56">
        <f>SUMIFS(广告数据包!M:M,广告数据包!A:A,A288,广告数据包!G:G,Base!$F$2)+SUMIFS(广告数据包!M:M,广告数据包!A:A,A288,广告数据包!G:G,Base!$F$3)+SUMIFS(广告数据包!M:M,广告数据包!A:A,A288,广告数据包!G:G,Base!$F$4)</f>
        <v>0</v>
      </c>
      <c r="Q288" s="57">
        <f t="shared" si="79"/>
        <v>0</v>
      </c>
      <c r="R288" s="56">
        <f>SUMIFS(广告数据包!L:L,广告数据包!A:A,A288,广告数据包!G:G,Base!$F$2)+SUMIFS(广告数据包!L:L,广告数据包!A:A,A288,广告数据包!G:G,Base!$F$3)+SUMIFS(广告数据包!L:L,广告数据包!A:A,A288,广告数据包!G:G,Base!$F$4)</f>
        <v>0</v>
      </c>
      <c r="S288" s="86">
        <f t="shared" si="80"/>
        <v>0</v>
      </c>
    </row>
    <row r="289" ht="16.5" spans="1:19">
      <c r="A289" s="54">
        <v>44726</v>
      </c>
      <c r="B289" s="55">
        <f>SUMIFS(销售数据包!F:F,销售数据包!A:A,A289,销售数据包!C:C,Base!$F$2)+SUMIFS(销售数据包!F:F,销售数据包!A:A,A289,销售数据包!C:C,Base!$F$3)+SUMIFS(销售数据包!F:F,销售数据包!A:A,A289,销售数据包!C:C,Base!$F$4)</f>
        <v>0</v>
      </c>
      <c r="C289" s="56">
        <f>SUMIFS(销售数据包!K:K,销售数据包!A:A,A289,销售数据包!C:C,Base!$F$2)+SUMIFS(销售数据包!K:K,销售数据包!A:A,A289,销售数据包!C:C,Base!$F$3)+SUMIFS(销售数据包!K:K,销售数据包!A:A,A289,销售数据包!C:C,Base!$F$4)</f>
        <v>0</v>
      </c>
      <c r="D289" s="56">
        <f>SUMIFS(销售数据包!Q:Q,销售数据包!A:A,A289,销售数据包!C:C,Base!$F$2)+SUMIFS(销售数据包!Q:Q,销售数据包!A:A,A289,销售数据包!C:C,Base!$F$3)+SUMIFS(销售数据包!Q:Q,销售数据包!A:A,A289,销售数据包!C:C,Base!$F$4)</f>
        <v>0</v>
      </c>
      <c r="E289" s="57">
        <f t="shared" si="72"/>
        <v>0</v>
      </c>
      <c r="F289" s="57">
        <f t="shared" si="73"/>
        <v>0</v>
      </c>
      <c r="G289" s="56">
        <f>SUMIFS(销售数据包!O:O,销售数据包!A:A,A289)</f>
        <v>0</v>
      </c>
      <c r="H289" s="57">
        <f t="shared" si="74"/>
        <v>0</v>
      </c>
      <c r="I289" s="71">
        <f t="shared" si="75"/>
        <v>0</v>
      </c>
      <c r="J289" s="72" t="str">
        <f t="shared" si="76"/>
        <v>周2</v>
      </c>
      <c r="K289" s="73">
        <f>SUMIFS(广告数据包!H:H,广告数据包!A:A,A289,广告数据包!G:G,Base!$F$2)+SUMIFS(广告数据包!H:H,广告数据包!A:A,A289,广告数据包!G:G,Base!$F$3)+SUMIFS(广告数据包!H:H,广告数据包!A:A,A289,广告数据包!G:G,Base!$F$4)</f>
        <v>0</v>
      </c>
      <c r="L289" s="56">
        <f>SUMIFS(广告数据包!I:I,广告数据包!A:A,A289,广告数据包!G:G,Base!$F$2)+SUMIFS(广告数据包!I:I,广告数据包!A:A,A289,广告数据包!G:G,Base!$F$3)+SUMIFS(广告数据包!I:I,广告数据包!A:A,A289,广告数据包!G:G,Base!$F$4)</f>
        <v>0</v>
      </c>
      <c r="M289" s="57">
        <f t="shared" si="77"/>
        <v>0</v>
      </c>
      <c r="N289" s="74">
        <f t="shared" si="78"/>
        <v>0</v>
      </c>
      <c r="O289" s="75">
        <f>SUMIFS(广告数据包!P:P,广告数据包!A:A,A289,广告数据包!G:G,Base!$F$2)+SUMIFS(广告数据包!P:P,广告数据包!A:A,A289,广告数据包!G:G,Base!$F$3)+SUMIFS(广告数据包!P:P,广告数据包!A:A,A289,广告数据包!G:G,Base!$F$4)</f>
        <v>0</v>
      </c>
      <c r="P289" s="56">
        <f>SUMIFS(广告数据包!M:M,广告数据包!A:A,A289,广告数据包!G:G,Base!$F$2)+SUMIFS(广告数据包!M:M,广告数据包!A:A,A289,广告数据包!G:G,Base!$F$3)+SUMIFS(广告数据包!M:M,广告数据包!A:A,A289,广告数据包!G:G,Base!$F$4)</f>
        <v>0</v>
      </c>
      <c r="Q289" s="57">
        <f t="shared" si="79"/>
        <v>0</v>
      </c>
      <c r="R289" s="56">
        <f>SUMIFS(广告数据包!L:L,广告数据包!A:A,A289,广告数据包!G:G,Base!$F$2)+SUMIFS(广告数据包!L:L,广告数据包!A:A,A289,广告数据包!G:G,Base!$F$3)+SUMIFS(广告数据包!L:L,广告数据包!A:A,A289,广告数据包!G:G,Base!$F$4)</f>
        <v>0</v>
      </c>
      <c r="S289" s="86">
        <f t="shared" si="80"/>
        <v>0</v>
      </c>
    </row>
    <row r="290" ht="16.5" spans="1:19">
      <c r="A290" s="54">
        <v>44727</v>
      </c>
      <c r="B290" s="55">
        <f>SUMIFS(销售数据包!F:F,销售数据包!A:A,A290,销售数据包!C:C,Base!$F$2)+SUMIFS(销售数据包!F:F,销售数据包!A:A,A290,销售数据包!C:C,Base!$F$3)+SUMIFS(销售数据包!F:F,销售数据包!A:A,A290,销售数据包!C:C,Base!$F$4)</f>
        <v>0</v>
      </c>
      <c r="C290" s="56">
        <f>SUMIFS(销售数据包!K:K,销售数据包!A:A,A290,销售数据包!C:C,Base!$F$2)+SUMIFS(销售数据包!K:K,销售数据包!A:A,A290,销售数据包!C:C,Base!$F$3)+SUMIFS(销售数据包!K:K,销售数据包!A:A,A290,销售数据包!C:C,Base!$F$4)</f>
        <v>0</v>
      </c>
      <c r="D290" s="56">
        <f>SUMIFS(销售数据包!Q:Q,销售数据包!A:A,A290,销售数据包!C:C,Base!$F$2)+SUMIFS(销售数据包!Q:Q,销售数据包!A:A,A290,销售数据包!C:C,Base!$F$3)+SUMIFS(销售数据包!Q:Q,销售数据包!A:A,A290,销售数据包!C:C,Base!$F$4)</f>
        <v>0</v>
      </c>
      <c r="E290" s="57">
        <f t="shared" si="72"/>
        <v>0</v>
      </c>
      <c r="F290" s="57">
        <f t="shared" si="73"/>
        <v>0</v>
      </c>
      <c r="G290" s="56">
        <f>SUMIFS(销售数据包!O:O,销售数据包!A:A,A290)</f>
        <v>0</v>
      </c>
      <c r="H290" s="57">
        <f t="shared" si="74"/>
        <v>0</v>
      </c>
      <c r="I290" s="71">
        <f t="shared" si="75"/>
        <v>0</v>
      </c>
      <c r="J290" s="72" t="str">
        <f t="shared" si="76"/>
        <v>周3</v>
      </c>
      <c r="K290" s="73">
        <f>SUMIFS(广告数据包!H:H,广告数据包!A:A,A290,广告数据包!G:G,Base!$F$2)+SUMIFS(广告数据包!H:H,广告数据包!A:A,A290,广告数据包!G:G,Base!$F$3)+SUMIFS(广告数据包!H:H,广告数据包!A:A,A290,广告数据包!G:G,Base!$F$4)</f>
        <v>0</v>
      </c>
      <c r="L290" s="56">
        <f>SUMIFS(广告数据包!I:I,广告数据包!A:A,A290,广告数据包!G:G,Base!$F$2)+SUMIFS(广告数据包!I:I,广告数据包!A:A,A290,广告数据包!G:G,Base!$F$3)+SUMIFS(广告数据包!I:I,广告数据包!A:A,A290,广告数据包!G:G,Base!$F$4)</f>
        <v>0</v>
      </c>
      <c r="M290" s="57">
        <f t="shared" si="77"/>
        <v>0</v>
      </c>
      <c r="N290" s="74">
        <f t="shared" si="78"/>
        <v>0</v>
      </c>
      <c r="O290" s="75">
        <f>SUMIFS(广告数据包!P:P,广告数据包!A:A,A290,广告数据包!G:G,Base!$F$2)+SUMIFS(广告数据包!P:P,广告数据包!A:A,A290,广告数据包!G:G,Base!$F$3)+SUMIFS(广告数据包!P:P,广告数据包!A:A,A290,广告数据包!G:G,Base!$F$4)</f>
        <v>0</v>
      </c>
      <c r="P290" s="56">
        <f>SUMIFS(广告数据包!M:M,广告数据包!A:A,A290,广告数据包!G:G,Base!$F$2)+SUMIFS(广告数据包!M:M,广告数据包!A:A,A290,广告数据包!G:G,Base!$F$3)+SUMIFS(广告数据包!M:M,广告数据包!A:A,A290,广告数据包!G:G,Base!$F$4)</f>
        <v>0</v>
      </c>
      <c r="Q290" s="57">
        <f t="shared" si="79"/>
        <v>0</v>
      </c>
      <c r="R290" s="56">
        <f>SUMIFS(广告数据包!L:L,广告数据包!A:A,A290,广告数据包!G:G,Base!$F$2)+SUMIFS(广告数据包!L:L,广告数据包!A:A,A290,广告数据包!G:G,Base!$F$3)+SUMIFS(广告数据包!L:L,广告数据包!A:A,A290,广告数据包!G:G,Base!$F$4)</f>
        <v>0</v>
      </c>
      <c r="S290" s="86">
        <f t="shared" si="80"/>
        <v>0</v>
      </c>
    </row>
    <row r="291" ht="16.5" spans="1:19">
      <c r="A291" s="54">
        <v>44728</v>
      </c>
      <c r="B291" s="55">
        <f>SUMIFS(销售数据包!F:F,销售数据包!A:A,A291,销售数据包!C:C,Base!$F$2)+SUMIFS(销售数据包!F:F,销售数据包!A:A,A291,销售数据包!C:C,Base!$F$3)+SUMIFS(销售数据包!F:F,销售数据包!A:A,A291,销售数据包!C:C,Base!$F$4)</f>
        <v>0</v>
      </c>
      <c r="C291" s="56">
        <f>SUMIFS(销售数据包!K:K,销售数据包!A:A,A291,销售数据包!C:C,Base!$F$2)+SUMIFS(销售数据包!K:K,销售数据包!A:A,A291,销售数据包!C:C,Base!$F$3)+SUMIFS(销售数据包!K:K,销售数据包!A:A,A291,销售数据包!C:C,Base!$F$4)</f>
        <v>0</v>
      </c>
      <c r="D291" s="56">
        <f>SUMIFS(销售数据包!Q:Q,销售数据包!A:A,A291,销售数据包!C:C,Base!$F$2)+SUMIFS(销售数据包!Q:Q,销售数据包!A:A,A291,销售数据包!C:C,Base!$F$3)+SUMIFS(销售数据包!Q:Q,销售数据包!A:A,A291,销售数据包!C:C,Base!$F$4)</f>
        <v>0</v>
      </c>
      <c r="E291" s="57">
        <f t="shared" si="72"/>
        <v>0</v>
      </c>
      <c r="F291" s="57">
        <f t="shared" si="73"/>
        <v>0</v>
      </c>
      <c r="G291" s="56">
        <f>SUMIFS(销售数据包!O:O,销售数据包!A:A,A291)</f>
        <v>0</v>
      </c>
      <c r="H291" s="57">
        <f t="shared" si="74"/>
        <v>0</v>
      </c>
      <c r="I291" s="71">
        <f t="shared" si="75"/>
        <v>0</v>
      </c>
      <c r="J291" s="72" t="str">
        <f t="shared" si="76"/>
        <v>周4</v>
      </c>
      <c r="K291" s="73">
        <f>SUMIFS(广告数据包!H:H,广告数据包!A:A,A291,广告数据包!G:G,Base!$F$2)+SUMIFS(广告数据包!H:H,广告数据包!A:A,A291,广告数据包!G:G,Base!$F$3)+SUMIFS(广告数据包!H:H,广告数据包!A:A,A291,广告数据包!G:G,Base!$F$4)</f>
        <v>0</v>
      </c>
      <c r="L291" s="56">
        <f>SUMIFS(广告数据包!I:I,广告数据包!A:A,A291,广告数据包!G:G,Base!$F$2)+SUMIFS(广告数据包!I:I,广告数据包!A:A,A291,广告数据包!G:G,Base!$F$3)+SUMIFS(广告数据包!I:I,广告数据包!A:A,A291,广告数据包!G:G,Base!$F$4)</f>
        <v>0</v>
      </c>
      <c r="M291" s="57">
        <f t="shared" si="77"/>
        <v>0</v>
      </c>
      <c r="N291" s="74">
        <f t="shared" si="78"/>
        <v>0</v>
      </c>
      <c r="O291" s="75">
        <f>SUMIFS(广告数据包!P:P,广告数据包!A:A,A291,广告数据包!G:G,Base!$F$2)+SUMIFS(广告数据包!P:P,广告数据包!A:A,A291,广告数据包!G:G,Base!$F$3)+SUMIFS(广告数据包!P:P,广告数据包!A:A,A291,广告数据包!G:G,Base!$F$4)</f>
        <v>0</v>
      </c>
      <c r="P291" s="56">
        <f>SUMIFS(广告数据包!M:M,广告数据包!A:A,A291,广告数据包!G:G,Base!$F$2)+SUMIFS(广告数据包!M:M,广告数据包!A:A,A291,广告数据包!G:G,Base!$F$3)+SUMIFS(广告数据包!M:M,广告数据包!A:A,A291,广告数据包!G:G,Base!$F$4)</f>
        <v>0</v>
      </c>
      <c r="Q291" s="57">
        <f t="shared" si="79"/>
        <v>0</v>
      </c>
      <c r="R291" s="56">
        <f>SUMIFS(广告数据包!L:L,广告数据包!A:A,A291,广告数据包!G:G,Base!$F$2)+SUMIFS(广告数据包!L:L,广告数据包!A:A,A291,广告数据包!G:G,Base!$F$3)+SUMIFS(广告数据包!L:L,广告数据包!A:A,A291,广告数据包!G:G,Base!$F$4)</f>
        <v>0</v>
      </c>
      <c r="S291" s="86">
        <f t="shared" si="80"/>
        <v>0</v>
      </c>
    </row>
    <row r="292" ht="16.5" spans="1:19">
      <c r="A292" s="54">
        <v>44729</v>
      </c>
      <c r="B292" s="55">
        <f>SUMIFS(销售数据包!F:F,销售数据包!A:A,A292,销售数据包!C:C,Base!$F$2)+SUMIFS(销售数据包!F:F,销售数据包!A:A,A292,销售数据包!C:C,Base!$F$3)+SUMIFS(销售数据包!F:F,销售数据包!A:A,A292,销售数据包!C:C,Base!$F$4)</f>
        <v>0</v>
      </c>
      <c r="C292" s="56">
        <f>SUMIFS(销售数据包!K:K,销售数据包!A:A,A292,销售数据包!C:C,Base!$F$2)+SUMIFS(销售数据包!K:K,销售数据包!A:A,A292,销售数据包!C:C,Base!$F$3)+SUMIFS(销售数据包!K:K,销售数据包!A:A,A292,销售数据包!C:C,Base!$F$4)</f>
        <v>0</v>
      </c>
      <c r="D292" s="56">
        <f>SUMIFS(销售数据包!Q:Q,销售数据包!A:A,A292,销售数据包!C:C,Base!$F$2)+SUMIFS(销售数据包!Q:Q,销售数据包!A:A,A292,销售数据包!C:C,Base!$F$3)+SUMIFS(销售数据包!Q:Q,销售数据包!A:A,A292,销售数据包!C:C,Base!$F$4)</f>
        <v>0</v>
      </c>
      <c r="E292" s="57">
        <f t="shared" si="72"/>
        <v>0</v>
      </c>
      <c r="F292" s="57">
        <f t="shared" si="73"/>
        <v>0</v>
      </c>
      <c r="G292" s="56">
        <f>SUMIFS(销售数据包!O:O,销售数据包!A:A,A292)</f>
        <v>0</v>
      </c>
      <c r="H292" s="57">
        <f t="shared" si="74"/>
        <v>0</v>
      </c>
      <c r="I292" s="71">
        <f t="shared" si="75"/>
        <v>0</v>
      </c>
      <c r="J292" s="72" t="str">
        <f t="shared" si="76"/>
        <v>周5</v>
      </c>
      <c r="K292" s="73">
        <f>SUMIFS(广告数据包!H:H,广告数据包!A:A,A292,广告数据包!G:G,Base!$F$2)+SUMIFS(广告数据包!H:H,广告数据包!A:A,A292,广告数据包!G:G,Base!$F$3)+SUMIFS(广告数据包!H:H,广告数据包!A:A,A292,广告数据包!G:G,Base!$F$4)</f>
        <v>0</v>
      </c>
      <c r="L292" s="56">
        <f>SUMIFS(广告数据包!I:I,广告数据包!A:A,A292,广告数据包!G:G,Base!$F$2)+SUMIFS(广告数据包!I:I,广告数据包!A:A,A292,广告数据包!G:G,Base!$F$3)+SUMIFS(广告数据包!I:I,广告数据包!A:A,A292,广告数据包!G:G,Base!$F$4)</f>
        <v>0</v>
      </c>
      <c r="M292" s="57">
        <f t="shared" si="77"/>
        <v>0</v>
      </c>
      <c r="N292" s="74">
        <f t="shared" si="78"/>
        <v>0</v>
      </c>
      <c r="O292" s="75">
        <f>SUMIFS(广告数据包!P:P,广告数据包!A:A,A292,广告数据包!G:G,Base!$F$2)+SUMIFS(广告数据包!P:P,广告数据包!A:A,A292,广告数据包!G:G,Base!$F$3)+SUMIFS(广告数据包!P:P,广告数据包!A:A,A292,广告数据包!G:G,Base!$F$4)</f>
        <v>0</v>
      </c>
      <c r="P292" s="56">
        <f>SUMIFS(广告数据包!M:M,广告数据包!A:A,A292,广告数据包!G:G,Base!$F$2)+SUMIFS(广告数据包!M:M,广告数据包!A:A,A292,广告数据包!G:G,Base!$F$3)+SUMIFS(广告数据包!M:M,广告数据包!A:A,A292,广告数据包!G:G,Base!$F$4)</f>
        <v>0</v>
      </c>
      <c r="Q292" s="57">
        <f t="shared" si="79"/>
        <v>0</v>
      </c>
      <c r="R292" s="56">
        <f>SUMIFS(广告数据包!L:L,广告数据包!A:A,A292,广告数据包!G:G,Base!$F$2)+SUMIFS(广告数据包!L:L,广告数据包!A:A,A292,广告数据包!G:G,Base!$F$3)+SUMIFS(广告数据包!L:L,广告数据包!A:A,A292,广告数据包!G:G,Base!$F$4)</f>
        <v>0</v>
      </c>
      <c r="S292" s="86">
        <f t="shared" si="80"/>
        <v>0</v>
      </c>
    </row>
    <row r="293" ht="16.5" spans="1:19">
      <c r="A293" s="54">
        <v>44730</v>
      </c>
      <c r="B293" s="55">
        <f>SUMIFS(销售数据包!F:F,销售数据包!A:A,A293,销售数据包!C:C,Base!$F$2)+SUMIFS(销售数据包!F:F,销售数据包!A:A,A293,销售数据包!C:C,Base!$F$3)+SUMIFS(销售数据包!F:F,销售数据包!A:A,A293,销售数据包!C:C,Base!$F$4)</f>
        <v>0</v>
      </c>
      <c r="C293" s="56">
        <f>SUMIFS(销售数据包!K:K,销售数据包!A:A,A293,销售数据包!C:C,Base!$F$2)+SUMIFS(销售数据包!K:K,销售数据包!A:A,A293,销售数据包!C:C,Base!$F$3)+SUMIFS(销售数据包!K:K,销售数据包!A:A,A293,销售数据包!C:C,Base!$F$4)</f>
        <v>0</v>
      </c>
      <c r="D293" s="56">
        <f>SUMIFS(销售数据包!Q:Q,销售数据包!A:A,A293,销售数据包!C:C,Base!$F$2)+SUMIFS(销售数据包!Q:Q,销售数据包!A:A,A293,销售数据包!C:C,Base!$F$3)+SUMIFS(销售数据包!Q:Q,销售数据包!A:A,A293,销售数据包!C:C,Base!$F$4)</f>
        <v>0</v>
      </c>
      <c r="E293" s="57">
        <f t="shared" si="72"/>
        <v>0</v>
      </c>
      <c r="F293" s="57">
        <f t="shared" si="73"/>
        <v>0</v>
      </c>
      <c r="G293" s="56">
        <f>SUMIFS(销售数据包!O:O,销售数据包!A:A,A293)</f>
        <v>0</v>
      </c>
      <c r="H293" s="57">
        <f t="shared" si="74"/>
        <v>0</v>
      </c>
      <c r="I293" s="71">
        <f t="shared" si="75"/>
        <v>0</v>
      </c>
      <c r="J293" s="72" t="str">
        <f t="shared" si="76"/>
        <v>周6</v>
      </c>
      <c r="K293" s="73">
        <f>SUMIFS(广告数据包!H:H,广告数据包!A:A,A293,广告数据包!G:G,Base!$F$2)+SUMIFS(广告数据包!H:H,广告数据包!A:A,A293,广告数据包!G:G,Base!$F$3)+SUMIFS(广告数据包!H:H,广告数据包!A:A,A293,广告数据包!G:G,Base!$F$4)</f>
        <v>0</v>
      </c>
      <c r="L293" s="56">
        <f>SUMIFS(广告数据包!I:I,广告数据包!A:A,A293,广告数据包!G:G,Base!$F$2)+SUMIFS(广告数据包!I:I,广告数据包!A:A,A293,广告数据包!G:G,Base!$F$3)+SUMIFS(广告数据包!I:I,广告数据包!A:A,A293,广告数据包!G:G,Base!$F$4)</f>
        <v>0</v>
      </c>
      <c r="M293" s="57">
        <f t="shared" si="77"/>
        <v>0</v>
      </c>
      <c r="N293" s="74">
        <f t="shared" si="78"/>
        <v>0</v>
      </c>
      <c r="O293" s="75">
        <f>SUMIFS(广告数据包!P:P,广告数据包!A:A,A293,广告数据包!G:G,Base!$F$2)+SUMIFS(广告数据包!P:P,广告数据包!A:A,A293,广告数据包!G:G,Base!$F$3)+SUMIFS(广告数据包!P:P,广告数据包!A:A,A293,广告数据包!G:G,Base!$F$4)</f>
        <v>0</v>
      </c>
      <c r="P293" s="56">
        <f>SUMIFS(广告数据包!M:M,广告数据包!A:A,A293,广告数据包!G:G,Base!$F$2)+SUMIFS(广告数据包!M:M,广告数据包!A:A,A293,广告数据包!G:G,Base!$F$3)+SUMIFS(广告数据包!M:M,广告数据包!A:A,A293,广告数据包!G:G,Base!$F$4)</f>
        <v>0</v>
      </c>
      <c r="Q293" s="57">
        <f t="shared" si="79"/>
        <v>0</v>
      </c>
      <c r="R293" s="56">
        <f>SUMIFS(广告数据包!L:L,广告数据包!A:A,A293,广告数据包!G:G,Base!$F$2)+SUMIFS(广告数据包!L:L,广告数据包!A:A,A293,广告数据包!G:G,Base!$F$3)+SUMIFS(广告数据包!L:L,广告数据包!A:A,A293,广告数据包!G:G,Base!$F$4)</f>
        <v>0</v>
      </c>
      <c r="S293" s="86">
        <f t="shared" si="80"/>
        <v>0</v>
      </c>
    </row>
    <row r="294" ht="16.5" spans="1:19">
      <c r="A294" s="54">
        <v>44731</v>
      </c>
      <c r="B294" s="55">
        <f>SUMIFS(销售数据包!F:F,销售数据包!A:A,A294,销售数据包!C:C,Base!$F$2)+SUMIFS(销售数据包!F:F,销售数据包!A:A,A294,销售数据包!C:C,Base!$F$3)+SUMIFS(销售数据包!F:F,销售数据包!A:A,A294,销售数据包!C:C,Base!$F$4)</f>
        <v>0</v>
      </c>
      <c r="C294" s="56">
        <f>SUMIFS(销售数据包!K:K,销售数据包!A:A,A294,销售数据包!C:C,Base!$F$2)+SUMIFS(销售数据包!K:K,销售数据包!A:A,A294,销售数据包!C:C,Base!$F$3)+SUMIFS(销售数据包!K:K,销售数据包!A:A,A294,销售数据包!C:C,Base!$F$4)</f>
        <v>0</v>
      </c>
      <c r="D294" s="56">
        <f>SUMIFS(销售数据包!Q:Q,销售数据包!A:A,A294,销售数据包!C:C,Base!$F$2)+SUMIFS(销售数据包!Q:Q,销售数据包!A:A,A294,销售数据包!C:C,Base!$F$3)+SUMIFS(销售数据包!Q:Q,销售数据包!A:A,A294,销售数据包!C:C,Base!$F$4)</f>
        <v>0</v>
      </c>
      <c r="E294" s="57">
        <f t="shared" si="72"/>
        <v>0</v>
      </c>
      <c r="F294" s="57">
        <f t="shared" si="73"/>
        <v>0</v>
      </c>
      <c r="G294" s="56">
        <f>SUMIFS(销售数据包!O:O,销售数据包!A:A,A294)</f>
        <v>0</v>
      </c>
      <c r="H294" s="57">
        <f t="shared" si="74"/>
        <v>0</v>
      </c>
      <c r="I294" s="71">
        <f t="shared" si="75"/>
        <v>0</v>
      </c>
      <c r="J294" s="72" t="str">
        <f t="shared" si="76"/>
        <v>周7</v>
      </c>
      <c r="K294" s="73">
        <f>SUMIFS(广告数据包!H:H,广告数据包!A:A,A294,广告数据包!G:G,Base!$F$2)+SUMIFS(广告数据包!H:H,广告数据包!A:A,A294,广告数据包!G:G,Base!$F$3)+SUMIFS(广告数据包!H:H,广告数据包!A:A,A294,广告数据包!G:G,Base!$F$4)</f>
        <v>0</v>
      </c>
      <c r="L294" s="56">
        <f>SUMIFS(广告数据包!I:I,广告数据包!A:A,A294,广告数据包!G:G,Base!$F$2)+SUMIFS(广告数据包!I:I,广告数据包!A:A,A294,广告数据包!G:G,Base!$F$3)+SUMIFS(广告数据包!I:I,广告数据包!A:A,A294,广告数据包!G:G,Base!$F$4)</f>
        <v>0</v>
      </c>
      <c r="M294" s="57">
        <f t="shared" si="77"/>
        <v>0</v>
      </c>
      <c r="N294" s="74">
        <f t="shared" si="78"/>
        <v>0</v>
      </c>
      <c r="O294" s="75">
        <f>SUMIFS(广告数据包!P:P,广告数据包!A:A,A294,广告数据包!G:G,Base!$F$2)+SUMIFS(广告数据包!P:P,广告数据包!A:A,A294,广告数据包!G:G,Base!$F$3)+SUMIFS(广告数据包!P:P,广告数据包!A:A,A294,广告数据包!G:G,Base!$F$4)</f>
        <v>0</v>
      </c>
      <c r="P294" s="56">
        <f>SUMIFS(广告数据包!M:M,广告数据包!A:A,A294,广告数据包!G:G,Base!$F$2)+SUMIFS(广告数据包!M:M,广告数据包!A:A,A294,广告数据包!G:G,Base!$F$3)+SUMIFS(广告数据包!M:M,广告数据包!A:A,A294,广告数据包!G:G,Base!$F$4)</f>
        <v>0</v>
      </c>
      <c r="Q294" s="57">
        <f t="shared" si="79"/>
        <v>0</v>
      </c>
      <c r="R294" s="56">
        <f>SUMIFS(广告数据包!L:L,广告数据包!A:A,A294,广告数据包!G:G,Base!$F$2)+SUMIFS(广告数据包!L:L,广告数据包!A:A,A294,广告数据包!G:G,Base!$F$3)+SUMIFS(广告数据包!L:L,广告数据包!A:A,A294,广告数据包!G:G,Base!$F$4)</f>
        <v>0</v>
      </c>
      <c r="S294" s="86">
        <f t="shared" si="80"/>
        <v>0</v>
      </c>
    </row>
    <row r="295" ht="16.5" spans="1:19">
      <c r="A295" s="54">
        <v>44732</v>
      </c>
      <c r="B295" s="55">
        <f>SUMIFS(销售数据包!F:F,销售数据包!A:A,A295,销售数据包!C:C,Base!$F$2)+SUMIFS(销售数据包!F:F,销售数据包!A:A,A295,销售数据包!C:C,Base!$F$3)+SUMIFS(销售数据包!F:F,销售数据包!A:A,A295,销售数据包!C:C,Base!$F$4)</f>
        <v>0</v>
      </c>
      <c r="C295" s="56">
        <f>SUMIFS(销售数据包!K:K,销售数据包!A:A,A295,销售数据包!C:C,Base!$F$2)+SUMIFS(销售数据包!K:K,销售数据包!A:A,A295,销售数据包!C:C,Base!$F$3)+SUMIFS(销售数据包!K:K,销售数据包!A:A,A295,销售数据包!C:C,Base!$F$4)</f>
        <v>0</v>
      </c>
      <c r="D295" s="56">
        <f>SUMIFS(销售数据包!Q:Q,销售数据包!A:A,A295,销售数据包!C:C,Base!$F$2)+SUMIFS(销售数据包!Q:Q,销售数据包!A:A,A295,销售数据包!C:C,Base!$F$3)+SUMIFS(销售数据包!Q:Q,销售数据包!A:A,A295,销售数据包!C:C,Base!$F$4)</f>
        <v>0</v>
      </c>
      <c r="E295" s="57">
        <f t="shared" si="72"/>
        <v>0</v>
      </c>
      <c r="F295" s="57">
        <f t="shared" si="73"/>
        <v>0</v>
      </c>
      <c r="G295" s="56">
        <f>SUMIFS(销售数据包!O:O,销售数据包!A:A,A295)</f>
        <v>0</v>
      </c>
      <c r="H295" s="57">
        <f t="shared" si="74"/>
        <v>0</v>
      </c>
      <c r="I295" s="71">
        <f t="shared" si="75"/>
        <v>0</v>
      </c>
      <c r="J295" s="72" t="str">
        <f t="shared" si="76"/>
        <v>周1</v>
      </c>
      <c r="K295" s="73">
        <f>SUMIFS(广告数据包!H:H,广告数据包!A:A,A295,广告数据包!G:G,Base!$F$2)+SUMIFS(广告数据包!H:H,广告数据包!A:A,A295,广告数据包!G:G,Base!$F$3)+SUMIFS(广告数据包!H:H,广告数据包!A:A,A295,广告数据包!G:G,Base!$F$4)</f>
        <v>0</v>
      </c>
      <c r="L295" s="56">
        <f>SUMIFS(广告数据包!I:I,广告数据包!A:A,A295,广告数据包!G:G,Base!$F$2)+SUMIFS(广告数据包!I:I,广告数据包!A:A,A295,广告数据包!G:G,Base!$F$3)+SUMIFS(广告数据包!I:I,广告数据包!A:A,A295,广告数据包!G:G,Base!$F$4)</f>
        <v>0</v>
      </c>
      <c r="M295" s="57">
        <f t="shared" si="77"/>
        <v>0</v>
      </c>
      <c r="N295" s="74">
        <f t="shared" si="78"/>
        <v>0</v>
      </c>
      <c r="O295" s="75">
        <f>SUMIFS(广告数据包!P:P,广告数据包!A:A,A295,广告数据包!G:G,Base!$F$2)+SUMIFS(广告数据包!P:P,广告数据包!A:A,A295,广告数据包!G:G,Base!$F$3)+SUMIFS(广告数据包!P:P,广告数据包!A:A,A295,广告数据包!G:G,Base!$F$4)</f>
        <v>0</v>
      </c>
      <c r="P295" s="56">
        <f>SUMIFS(广告数据包!M:M,广告数据包!A:A,A295,广告数据包!G:G,Base!$F$2)+SUMIFS(广告数据包!M:M,广告数据包!A:A,A295,广告数据包!G:G,Base!$F$3)+SUMIFS(广告数据包!M:M,广告数据包!A:A,A295,广告数据包!G:G,Base!$F$4)</f>
        <v>0</v>
      </c>
      <c r="Q295" s="57">
        <f t="shared" si="79"/>
        <v>0</v>
      </c>
      <c r="R295" s="56">
        <f>SUMIFS(广告数据包!L:L,广告数据包!A:A,A295,广告数据包!G:G,Base!$F$2)+SUMIFS(广告数据包!L:L,广告数据包!A:A,A295,广告数据包!G:G,Base!$F$3)+SUMIFS(广告数据包!L:L,广告数据包!A:A,A295,广告数据包!G:G,Base!$F$4)</f>
        <v>0</v>
      </c>
      <c r="S295" s="86">
        <f t="shared" si="80"/>
        <v>0</v>
      </c>
    </row>
    <row r="296" ht="16.5" spans="1:19">
      <c r="A296" s="54">
        <v>44733</v>
      </c>
      <c r="B296" s="55">
        <f>SUMIFS(销售数据包!F:F,销售数据包!A:A,A296,销售数据包!C:C,Base!$F$2)+SUMIFS(销售数据包!F:F,销售数据包!A:A,A296,销售数据包!C:C,Base!$F$3)+SUMIFS(销售数据包!F:F,销售数据包!A:A,A296,销售数据包!C:C,Base!$F$4)</f>
        <v>0</v>
      </c>
      <c r="C296" s="56">
        <f>SUMIFS(销售数据包!K:K,销售数据包!A:A,A296,销售数据包!C:C,Base!$F$2)+SUMIFS(销售数据包!K:K,销售数据包!A:A,A296,销售数据包!C:C,Base!$F$3)+SUMIFS(销售数据包!K:K,销售数据包!A:A,A296,销售数据包!C:C,Base!$F$4)</f>
        <v>0</v>
      </c>
      <c r="D296" s="56">
        <f>SUMIFS(销售数据包!Q:Q,销售数据包!A:A,A296,销售数据包!C:C,Base!$F$2)+SUMIFS(销售数据包!Q:Q,销售数据包!A:A,A296,销售数据包!C:C,Base!$F$3)+SUMIFS(销售数据包!Q:Q,销售数据包!A:A,A296,销售数据包!C:C,Base!$F$4)</f>
        <v>0</v>
      </c>
      <c r="E296" s="57">
        <f t="shared" si="72"/>
        <v>0</v>
      </c>
      <c r="F296" s="57">
        <f t="shared" si="73"/>
        <v>0</v>
      </c>
      <c r="G296" s="56">
        <f>SUMIFS(销售数据包!O:O,销售数据包!A:A,A296)</f>
        <v>0</v>
      </c>
      <c r="H296" s="57">
        <f t="shared" si="74"/>
        <v>0</v>
      </c>
      <c r="I296" s="71">
        <f t="shared" si="75"/>
        <v>0</v>
      </c>
      <c r="J296" s="72" t="str">
        <f t="shared" si="76"/>
        <v>周2</v>
      </c>
      <c r="K296" s="73">
        <f>SUMIFS(广告数据包!H:H,广告数据包!A:A,A296,广告数据包!G:G,Base!$F$2)+SUMIFS(广告数据包!H:H,广告数据包!A:A,A296,广告数据包!G:G,Base!$F$3)+SUMIFS(广告数据包!H:H,广告数据包!A:A,A296,广告数据包!G:G,Base!$F$4)</f>
        <v>0</v>
      </c>
      <c r="L296" s="56">
        <f>SUMIFS(广告数据包!I:I,广告数据包!A:A,A296,广告数据包!G:G,Base!$F$2)+SUMIFS(广告数据包!I:I,广告数据包!A:A,A296,广告数据包!G:G,Base!$F$3)+SUMIFS(广告数据包!I:I,广告数据包!A:A,A296,广告数据包!G:G,Base!$F$4)</f>
        <v>0</v>
      </c>
      <c r="M296" s="57">
        <f t="shared" si="77"/>
        <v>0</v>
      </c>
      <c r="N296" s="74">
        <f t="shared" si="78"/>
        <v>0</v>
      </c>
      <c r="O296" s="75">
        <f>SUMIFS(广告数据包!P:P,广告数据包!A:A,A296,广告数据包!G:G,Base!$F$2)+SUMIFS(广告数据包!P:P,广告数据包!A:A,A296,广告数据包!G:G,Base!$F$3)+SUMIFS(广告数据包!P:P,广告数据包!A:A,A296,广告数据包!G:G,Base!$F$4)</f>
        <v>0</v>
      </c>
      <c r="P296" s="56">
        <f>SUMIFS(广告数据包!M:M,广告数据包!A:A,A296,广告数据包!G:G,Base!$F$2)+SUMIFS(广告数据包!M:M,广告数据包!A:A,A296,广告数据包!G:G,Base!$F$3)+SUMIFS(广告数据包!M:M,广告数据包!A:A,A296,广告数据包!G:G,Base!$F$4)</f>
        <v>0</v>
      </c>
      <c r="Q296" s="57">
        <f t="shared" si="79"/>
        <v>0</v>
      </c>
      <c r="R296" s="56">
        <f>SUMIFS(广告数据包!L:L,广告数据包!A:A,A296,广告数据包!G:G,Base!$F$2)+SUMIFS(广告数据包!L:L,广告数据包!A:A,A296,广告数据包!G:G,Base!$F$3)+SUMIFS(广告数据包!L:L,广告数据包!A:A,A296,广告数据包!G:G,Base!$F$4)</f>
        <v>0</v>
      </c>
      <c r="S296" s="86">
        <f t="shared" si="80"/>
        <v>0</v>
      </c>
    </row>
    <row r="297" ht="16.5" spans="1:19">
      <c r="A297" s="54">
        <v>44734</v>
      </c>
      <c r="B297" s="55">
        <f>SUMIFS(销售数据包!F:F,销售数据包!A:A,A297,销售数据包!C:C,Base!$F$2)+SUMIFS(销售数据包!F:F,销售数据包!A:A,A297,销售数据包!C:C,Base!$F$3)+SUMIFS(销售数据包!F:F,销售数据包!A:A,A297,销售数据包!C:C,Base!$F$4)</f>
        <v>0</v>
      </c>
      <c r="C297" s="56">
        <f>SUMIFS(销售数据包!K:K,销售数据包!A:A,A297,销售数据包!C:C,Base!$F$2)+SUMIFS(销售数据包!K:K,销售数据包!A:A,A297,销售数据包!C:C,Base!$F$3)+SUMIFS(销售数据包!K:K,销售数据包!A:A,A297,销售数据包!C:C,Base!$F$4)</f>
        <v>0</v>
      </c>
      <c r="D297" s="56">
        <f>SUMIFS(销售数据包!Q:Q,销售数据包!A:A,A297,销售数据包!C:C,Base!$F$2)+SUMIFS(销售数据包!Q:Q,销售数据包!A:A,A297,销售数据包!C:C,Base!$F$3)+SUMIFS(销售数据包!Q:Q,销售数据包!A:A,A297,销售数据包!C:C,Base!$F$4)</f>
        <v>0</v>
      </c>
      <c r="E297" s="57">
        <f t="shared" si="72"/>
        <v>0</v>
      </c>
      <c r="F297" s="57">
        <f t="shared" si="73"/>
        <v>0</v>
      </c>
      <c r="G297" s="56">
        <f>SUMIFS(销售数据包!O:O,销售数据包!A:A,A297)</f>
        <v>0</v>
      </c>
      <c r="H297" s="57">
        <f t="shared" si="74"/>
        <v>0</v>
      </c>
      <c r="I297" s="71">
        <f t="shared" si="75"/>
        <v>0</v>
      </c>
      <c r="J297" s="72" t="str">
        <f t="shared" si="76"/>
        <v>周3</v>
      </c>
      <c r="K297" s="73">
        <f>SUMIFS(广告数据包!H:H,广告数据包!A:A,A297,广告数据包!G:G,Base!$F$2)+SUMIFS(广告数据包!H:H,广告数据包!A:A,A297,广告数据包!G:G,Base!$F$3)+SUMIFS(广告数据包!H:H,广告数据包!A:A,A297,广告数据包!G:G,Base!$F$4)</f>
        <v>0</v>
      </c>
      <c r="L297" s="56">
        <f>SUMIFS(广告数据包!I:I,广告数据包!A:A,A297,广告数据包!G:G,Base!$F$2)+SUMIFS(广告数据包!I:I,广告数据包!A:A,A297,广告数据包!G:G,Base!$F$3)+SUMIFS(广告数据包!I:I,广告数据包!A:A,A297,广告数据包!G:G,Base!$F$4)</f>
        <v>0</v>
      </c>
      <c r="M297" s="57">
        <f t="shared" si="77"/>
        <v>0</v>
      </c>
      <c r="N297" s="74">
        <f t="shared" si="78"/>
        <v>0</v>
      </c>
      <c r="O297" s="75">
        <f>SUMIFS(广告数据包!P:P,广告数据包!A:A,A297,广告数据包!G:G,Base!$F$2)+SUMIFS(广告数据包!P:P,广告数据包!A:A,A297,广告数据包!G:G,Base!$F$3)+SUMIFS(广告数据包!P:P,广告数据包!A:A,A297,广告数据包!G:G,Base!$F$4)</f>
        <v>0</v>
      </c>
      <c r="P297" s="56">
        <f>SUMIFS(广告数据包!M:M,广告数据包!A:A,A297,广告数据包!G:G,Base!$F$2)+SUMIFS(广告数据包!M:M,广告数据包!A:A,A297,广告数据包!G:G,Base!$F$3)+SUMIFS(广告数据包!M:M,广告数据包!A:A,A297,广告数据包!G:G,Base!$F$4)</f>
        <v>0</v>
      </c>
      <c r="Q297" s="57">
        <f t="shared" si="79"/>
        <v>0</v>
      </c>
      <c r="R297" s="56">
        <f>SUMIFS(广告数据包!L:L,广告数据包!A:A,A297,广告数据包!G:G,Base!$F$2)+SUMIFS(广告数据包!L:L,广告数据包!A:A,A297,广告数据包!G:G,Base!$F$3)+SUMIFS(广告数据包!L:L,广告数据包!A:A,A297,广告数据包!G:G,Base!$F$4)</f>
        <v>0</v>
      </c>
      <c r="S297" s="86">
        <f t="shared" si="80"/>
        <v>0</v>
      </c>
    </row>
    <row r="298" ht="16.5" spans="1:19">
      <c r="A298" s="54">
        <v>44735</v>
      </c>
      <c r="B298" s="55">
        <f>SUMIFS(销售数据包!F:F,销售数据包!A:A,A298,销售数据包!C:C,Base!$F$2)+SUMIFS(销售数据包!F:F,销售数据包!A:A,A298,销售数据包!C:C,Base!$F$3)+SUMIFS(销售数据包!F:F,销售数据包!A:A,A298,销售数据包!C:C,Base!$F$4)</f>
        <v>0</v>
      </c>
      <c r="C298" s="56">
        <f>SUMIFS(销售数据包!K:K,销售数据包!A:A,A298,销售数据包!C:C,Base!$F$2)+SUMIFS(销售数据包!K:K,销售数据包!A:A,A298,销售数据包!C:C,Base!$F$3)+SUMIFS(销售数据包!K:K,销售数据包!A:A,A298,销售数据包!C:C,Base!$F$4)</f>
        <v>0</v>
      </c>
      <c r="D298" s="56">
        <f>SUMIFS(销售数据包!Q:Q,销售数据包!A:A,A298,销售数据包!C:C,Base!$F$2)+SUMIFS(销售数据包!Q:Q,销售数据包!A:A,A298,销售数据包!C:C,Base!$F$3)+SUMIFS(销售数据包!Q:Q,销售数据包!A:A,A298,销售数据包!C:C,Base!$F$4)</f>
        <v>0</v>
      </c>
      <c r="E298" s="57">
        <f t="shared" si="72"/>
        <v>0</v>
      </c>
      <c r="F298" s="57">
        <f t="shared" si="73"/>
        <v>0</v>
      </c>
      <c r="G298" s="56">
        <f>SUMIFS(销售数据包!O:O,销售数据包!A:A,A298)</f>
        <v>0</v>
      </c>
      <c r="H298" s="57">
        <f t="shared" si="74"/>
        <v>0</v>
      </c>
      <c r="I298" s="71">
        <f t="shared" si="75"/>
        <v>0</v>
      </c>
      <c r="J298" s="72" t="str">
        <f t="shared" si="76"/>
        <v>周4</v>
      </c>
      <c r="K298" s="73">
        <f>SUMIFS(广告数据包!H:H,广告数据包!A:A,A298,广告数据包!G:G,Base!$F$2)+SUMIFS(广告数据包!H:H,广告数据包!A:A,A298,广告数据包!G:G,Base!$F$3)+SUMIFS(广告数据包!H:H,广告数据包!A:A,A298,广告数据包!G:G,Base!$F$4)</f>
        <v>0</v>
      </c>
      <c r="L298" s="56">
        <f>SUMIFS(广告数据包!I:I,广告数据包!A:A,A298,广告数据包!G:G,Base!$F$2)+SUMIFS(广告数据包!I:I,广告数据包!A:A,A298,广告数据包!G:G,Base!$F$3)+SUMIFS(广告数据包!I:I,广告数据包!A:A,A298,广告数据包!G:G,Base!$F$4)</f>
        <v>0</v>
      </c>
      <c r="M298" s="57">
        <f t="shared" si="77"/>
        <v>0</v>
      </c>
      <c r="N298" s="74">
        <f t="shared" si="78"/>
        <v>0</v>
      </c>
      <c r="O298" s="75">
        <f>SUMIFS(广告数据包!P:P,广告数据包!A:A,A298,广告数据包!G:G,Base!$F$2)+SUMIFS(广告数据包!P:P,广告数据包!A:A,A298,广告数据包!G:G,Base!$F$3)+SUMIFS(广告数据包!P:P,广告数据包!A:A,A298,广告数据包!G:G,Base!$F$4)</f>
        <v>0</v>
      </c>
      <c r="P298" s="56">
        <f>SUMIFS(广告数据包!M:M,广告数据包!A:A,A298,广告数据包!G:G,Base!$F$2)+SUMIFS(广告数据包!M:M,广告数据包!A:A,A298,广告数据包!G:G,Base!$F$3)+SUMIFS(广告数据包!M:M,广告数据包!A:A,A298,广告数据包!G:G,Base!$F$4)</f>
        <v>0</v>
      </c>
      <c r="Q298" s="57">
        <f t="shared" si="79"/>
        <v>0</v>
      </c>
      <c r="R298" s="56">
        <f>SUMIFS(广告数据包!L:L,广告数据包!A:A,A298,广告数据包!G:G,Base!$F$2)+SUMIFS(广告数据包!L:L,广告数据包!A:A,A298,广告数据包!G:G,Base!$F$3)+SUMIFS(广告数据包!L:L,广告数据包!A:A,A298,广告数据包!G:G,Base!$F$4)</f>
        <v>0</v>
      </c>
      <c r="S298" s="86">
        <f t="shared" si="80"/>
        <v>0</v>
      </c>
    </row>
    <row r="299" ht="16.5" spans="1:19">
      <c r="A299" s="54">
        <v>44736</v>
      </c>
      <c r="B299" s="55">
        <f>SUMIFS(销售数据包!F:F,销售数据包!A:A,A299,销售数据包!C:C,Base!$F$2)+SUMIFS(销售数据包!F:F,销售数据包!A:A,A299,销售数据包!C:C,Base!$F$3)+SUMIFS(销售数据包!F:F,销售数据包!A:A,A299,销售数据包!C:C,Base!$F$4)</f>
        <v>0</v>
      </c>
      <c r="C299" s="56">
        <f>SUMIFS(销售数据包!K:K,销售数据包!A:A,A299,销售数据包!C:C,Base!$F$2)+SUMIFS(销售数据包!K:K,销售数据包!A:A,A299,销售数据包!C:C,Base!$F$3)+SUMIFS(销售数据包!K:K,销售数据包!A:A,A299,销售数据包!C:C,Base!$F$4)</f>
        <v>0</v>
      </c>
      <c r="D299" s="56">
        <f>SUMIFS(销售数据包!Q:Q,销售数据包!A:A,A299,销售数据包!C:C,Base!$F$2)+SUMIFS(销售数据包!Q:Q,销售数据包!A:A,A299,销售数据包!C:C,Base!$F$3)+SUMIFS(销售数据包!Q:Q,销售数据包!A:A,A299,销售数据包!C:C,Base!$F$4)</f>
        <v>0</v>
      </c>
      <c r="E299" s="57">
        <f t="shared" si="72"/>
        <v>0</v>
      </c>
      <c r="F299" s="57">
        <f t="shared" si="73"/>
        <v>0</v>
      </c>
      <c r="G299" s="56">
        <f>SUMIFS(销售数据包!O:O,销售数据包!A:A,A299)</f>
        <v>0</v>
      </c>
      <c r="H299" s="57">
        <f t="shared" si="74"/>
        <v>0</v>
      </c>
      <c r="I299" s="71">
        <f t="shared" si="75"/>
        <v>0</v>
      </c>
      <c r="J299" s="72" t="str">
        <f t="shared" si="76"/>
        <v>周5</v>
      </c>
      <c r="K299" s="73">
        <f>SUMIFS(广告数据包!H:H,广告数据包!A:A,A299,广告数据包!G:G,Base!$F$2)+SUMIFS(广告数据包!H:H,广告数据包!A:A,A299,广告数据包!G:G,Base!$F$3)+SUMIFS(广告数据包!H:H,广告数据包!A:A,A299,广告数据包!G:G,Base!$F$4)</f>
        <v>0</v>
      </c>
      <c r="L299" s="56">
        <f>SUMIFS(广告数据包!I:I,广告数据包!A:A,A299,广告数据包!G:G,Base!$F$2)+SUMIFS(广告数据包!I:I,广告数据包!A:A,A299,广告数据包!G:G,Base!$F$3)+SUMIFS(广告数据包!I:I,广告数据包!A:A,A299,广告数据包!G:G,Base!$F$4)</f>
        <v>0</v>
      </c>
      <c r="M299" s="57">
        <f t="shared" si="77"/>
        <v>0</v>
      </c>
      <c r="N299" s="74">
        <f t="shared" si="78"/>
        <v>0</v>
      </c>
      <c r="O299" s="75">
        <f>SUMIFS(广告数据包!P:P,广告数据包!A:A,A299,广告数据包!G:G,Base!$F$2)+SUMIFS(广告数据包!P:P,广告数据包!A:A,A299,广告数据包!G:G,Base!$F$3)+SUMIFS(广告数据包!P:P,广告数据包!A:A,A299,广告数据包!G:G,Base!$F$4)</f>
        <v>0</v>
      </c>
      <c r="P299" s="56">
        <f>SUMIFS(广告数据包!M:M,广告数据包!A:A,A299,广告数据包!G:G,Base!$F$2)+SUMIFS(广告数据包!M:M,广告数据包!A:A,A299,广告数据包!G:G,Base!$F$3)+SUMIFS(广告数据包!M:M,广告数据包!A:A,A299,广告数据包!G:G,Base!$F$4)</f>
        <v>0</v>
      </c>
      <c r="Q299" s="57">
        <f t="shared" si="79"/>
        <v>0</v>
      </c>
      <c r="R299" s="56">
        <f>SUMIFS(广告数据包!L:L,广告数据包!A:A,A299,广告数据包!G:G,Base!$F$2)+SUMIFS(广告数据包!L:L,广告数据包!A:A,A299,广告数据包!G:G,Base!$F$3)+SUMIFS(广告数据包!L:L,广告数据包!A:A,A299,广告数据包!G:G,Base!$F$4)</f>
        <v>0</v>
      </c>
      <c r="S299" s="86">
        <f t="shared" si="80"/>
        <v>0</v>
      </c>
    </row>
    <row r="300" ht="16.5" spans="1:19">
      <c r="A300" s="54">
        <v>44737</v>
      </c>
      <c r="B300" s="55">
        <f>SUMIFS(销售数据包!F:F,销售数据包!A:A,A300,销售数据包!C:C,Base!$F$2)+SUMIFS(销售数据包!F:F,销售数据包!A:A,A300,销售数据包!C:C,Base!$F$3)+SUMIFS(销售数据包!F:F,销售数据包!A:A,A300,销售数据包!C:C,Base!$F$4)</f>
        <v>0</v>
      </c>
      <c r="C300" s="56">
        <f>SUMIFS(销售数据包!K:K,销售数据包!A:A,A300,销售数据包!C:C,Base!$F$2)+SUMIFS(销售数据包!K:K,销售数据包!A:A,A300,销售数据包!C:C,Base!$F$3)+SUMIFS(销售数据包!K:K,销售数据包!A:A,A300,销售数据包!C:C,Base!$F$4)</f>
        <v>0</v>
      </c>
      <c r="D300" s="56">
        <f>SUMIFS(销售数据包!Q:Q,销售数据包!A:A,A300,销售数据包!C:C,Base!$F$2)+SUMIFS(销售数据包!Q:Q,销售数据包!A:A,A300,销售数据包!C:C,Base!$F$3)+SUMIFS(销售数据包!Q:Q,销售数据包!A:A,A300,销售数据包!C:C,Base!$F$4)</f>
        <v>0</v>
      </c>
      <c r="E300" s="57">
        <f t="shared" si="72"/>
        <v>0</v>
      </c>
      <c r="F300" s="57">
        <f t="shared" si="73"/>
        <v>0</v>
      </c>
      <c r="G300" s="56">
        <f>SUMIFS(销售数据包!O:O,销售数据包!A:A,A300)</f>
        <v>0</v>
      </c>
      <c r="H300" s="57">
        <f t="shared" si="74"/>
        <v>0</v>
      </c>
      <c r="I300" s="71">
        <f t="shared" si="75"/>
        <v>0</v>
      </c>
      <c r="J300" s="72" t="str">
        <f t="shared" si="76"/>
        <v>周6</v>
      </c>
      <c r="K300" s="73">
        <f>SUMIFS(广告数据包!H:H,广告数据包!A:A,A300,广告数据包!G:G,Base!$F$2)+SUMIFS(广告数据包!H:H,广告数据包!A:A,A300,广告数据包!G:G,Base!$F$3)+SUMIFS(广告数据包!H:H,广告数据包!A:A,A300,广告数据包!G:G,Base!$F$4)</f>
        <v>0</v>
      </c>
      <c r="L300" s="56">
        <f>SUMIFS(广告数据包!I:I,广告数据包!A:A,A300,广告数据包!G:G,Base!$F$2)+SUMIFS(广告数据包!I:I,广告数据包!A:A,A300,广告数据包!G:G,Base!$F$3)+SUMIFS(广告数据包!I:I,广告数据包!A:A,A300,广告数据包!G:G,Base!$F$4)</f>
        <v>0</v>
      </c>
      <c r="M300" s="57">
        <f t="shared" si="77"/>
        <v>0</v>
      </c>
      <c r="N300" s="74">
        <f t="shared" si="78"/>
        <v>0</v>
      </c>
      <c r="O300" s="75">
        <f>SUMIFS(广告数据包!P:P,广告数据包!A:A,A300,广告数据包!G:G,Base!$F$2)+SUMIFS(广告数据包!P:P,广告数据包!A:A,A300,广告数据包!G:G,Base!$F$3)+SUMIFS(广告数据包!P:P,广告数据包!A:A,A300,广告数据包!G:G,Base!$F$4)</f>
        <v>0</v>
      </c>
      <c r="P300" s="56">
        <f>SUMIFS(广告数据包!M:M,广告数据包!A:A,A300,广告数据包!G:G,Base!$F$2)+SUMIFS(广告数据包!M:M,广告数据包!A:A,A300,广告数据包!G:G,Base!$F$3)+SUMIFS(广告数据包!M:M,广告数据包!A:A,A300,广告数据包!G:G,Base!$F$4)</f>
        <v>0</v>
      </c>
      <c r="Q300" s="57">
        <f t="shared" si="79"/>
        <v>0</v>
      </c>
      <c r="R300" s="56">
        <f>SUMIFS(广告数据包!L:L,广告数据包!A:A,A300,广告数据包!G:G,Base!$F$2)+SUMIFS(广告数据包!L:L,广告数据包!A:A,A300,广告数据包!G:G,Base!$F$3)+SUMIFS(广告数据包!L:L,广告数据包!A:A,A300,广告数据包!G:G,Base!$F$4)</f>
        <v>0</v>
      </c>
      <c r="S300" s="86">
        <f t="shared" si="80"/>
        <v>0</v>
      </c>
    </row>
    <row r="301" ht="16.5" spans="1:19">
      <c r="A301" s="54">
        <v>44738</v>
      </c>
      <c r="B301" s="55">
        <f>SUMIFS(销售数据包!F:F,销售数据包!A:A,A301,销售数据包!C:C,Base!$F$2)+SUMIFS(销售数据包!F:F,销售数据包!A:A,A301,销售数据包!C:C,Base!$F$3)+SUMIFS(销售数据包!F:F,销售数据包!A:A,A301,销售数据包!C:C,Base!$F$4)</f>
        <v>0</v>
      </c>
      <c r="C301" s="56">
        <f>SUMIFS(销售数据包!K:K,销售数据包!A:A,A301,销售数据包!C:C,Base!$F$2)+SUMIFS(销售数据包!K:K,销售数据包!A:A,A301,销售数据包!C:C,Base!$F$3)+SUMIFS(销售数据包!K:K,销售数据包!A:A,A301,销售数据包!C:C,Base!$F$4)</f>
        <v>0</v>
      </c>
      <c r="D301" s="56">
        <f>SUMIFS(销售数据包!Q:Q,销售数据包!A:A,A301,销售数据包!C:C,Base!$F$2)+SUMIFS(销售数据包!Q:Q,销售数据包!A:A,A301,销售数据包!C:C,Base!$F$3)+SUMIFS(销售数据包!Q:Q,销售数据包!A:A,A301,销售数据包!C:C,Base!$F$4)</f>
        <v>0</v>
      </c>
      <c r="E301" s="57">
        <f t="shared" si="72"/>
        <v>0</v>
      </c>
      <c r="F301" s="57">
        <f t="shared" si="73"/>
        <v>0</v>
      </c>
      <c r="G301" s="56">
        <f>SUMIFS(销售数据包!O:O,销售数据包!A:A,A301)</f>
        <v>0</v>
      </c>
      <c r="H301" s="57">
        <f t="shared" si="74"/>
        <v>0</v>
      </c>
      <c r="I301" s="71">
        <f t="shared" si="75"/>
        <v>0</v>
      </c>
      <c r="J301" s="72" t="str">
        <f t="shared" si="76"/>
        <v>周7</v>
      </c>
      <c r="K301" s="73">
        <f>SUMIFS(广告数据包!H:H,广告数据包!A:A,A301,广告数据包!G:G,Base!$F$2)+SUMIFS(广告数据包!H:H,广告数据包!A:A,A301,广告数据包!G:G,Base!$F$3)+SUMIFS(广告数据包!H:H,广告数据包!A:A,A301,广告数据包!G:G,Base!$F$4)</f>
        <v>0</v>
      </c>
      <c r="L301" s="56">
        <f>SUMIFS(广告数据包!I:I,广告数据包!A:A,A301,广告数据包!G:G,Base!$F$2)+SUMIFS(广告数据包!I:I,广告数据包!A:A,A301,广告数据包!G:G,Base!$F$3)+SUMIFS(广告数据包!I:I,广告数据包!A:A,A301,广告数据包!G:G,Base!$F$4)</f>
        <v>0</v>
      </c>
      <c r="M301" s="57">
        <f t="shared" si="77"/>
        <v>0</v>
      </c>
      <c r="N301" s="74">
        <f t="shared" si="78"/>
        <v>0</v>
      </c>
      <c r="O301" s="75">
        <f>SUMIFS(广告数据包!P:P,广告数据包!A:A,A301,广告数据包!G:G,Base!$F$2)+SUMIFS(广告数据包!P:P,广告数据包!A:A,A301,广告数据包!G:G,Base!$F$3)+SUMIFS(广告数据包!P:P,广告数据包!A:A,A301,广告数据包!G:G,Base!$F$4)</f>
        <v>0</v>
      </c>
      <c r="P301" s="56">
        <f>SUMIFS(广告数据包!M:M,广告数据包!A:A,A301,广告数据包!G:G,Base!$F$2)+SUMIFS(广告数据包!M:M,广告数据包!A:A,A301,广告数据包!G:G,Base!$F$3)+SUMIFS(广告数据包!M:M,广告数据包!A:A,A301,广告数据包!G:G,Base!$F$4)</f>
        <v>0</v>
      </c>
      <c r="Q301" s="57">
        <f t="shared" si="79"/>
        <v>0</v>
      </c>
      <c r="R301" s="56">
        <f>SUMIFS(广告数据包!L:L,广告数据包!A:A,A301,广告数据包!G:G,Base!$F$2)+SUMIFS(广告数据包!L:L,广告数据包!A:A,A301,广告数据包!G:G,Base!$F$3)+SUMIFS(广告数据包!L:L,广告数据包!A:A,A301,广告数据包!G:G,Base!$F$4)</f>
        <v>0</v>
      </c>
      <c r="S301" s="86">
        <f t="shared" si="80"/>
        <v>0</v>
      </c>
    </row>
    <row r="302" ht="16.5" spans="1:19">
      <c r="A302" s="54">
        <v>44739</v>
      </c>
      <c r="B302" s="55">
        <f>SUMIFS(销售数据包!F:F,销售数据包!A:A,A302,销售数据包!C:C,Base!$F$2)+SUMIFS(销售数据包!F:F,销售数据包!A:A,A302,销售数据包!C:C,Base!$F$3)+SUMIFS(销售数据包!F:F,销售数据包!A:A,A302,销售数据包!C:C,Base!$F$4)</f>
        <v>0</v>
      </c>
      <c r="C302" s="56">
        <f>SUMIFS(销售数据包!K:K,销售数据包!A:A,A302,销售数据包!C:C,Base!$F$2)+SUMIFS(销售数据包!K:K,销售数据包!A:A,A302,销售数据包!C:C,Base!$F$3)+SUMIFS(销售数据包!K:K,销售数据包!A:A,A302,销售数据包!C:C,Base!$F$4)</f>
        <v>0</v>
      </c>
      <c r="D302" s="56">
        <f>SUMIFS(销售数据包!Q:Q,销售数据包!A:A,A302,销售数据包!C:C,Base!$F$2)+SUMIFS(销售数据包!Q:Q,销售数据包!A:A,A302,销售数据包!C:C,Base!$F$3)+SUMIFS(销售数据包!Q:Q,销售数据包!A:A,A302,销售数据包!C:C,Base!$F$4)</f>
        <v>0</v>
      </c>
      <c r="E302" s="57">
        <f t="shared" si="72"/>
        <v>0</v>
      </c>
      <c r="F302" s="57">
        <f t="shared" si="73"/>
        <v>0</v>
      </c>
      <c r="G302" s="56">
        <f>SUMIFS(销售数据包!O:O,销售数据包!A:A,A302)</f>
        <v>0</v>
      </c>
      <c r="H302" s="57">
        <f t="shared" si="74"/>
        <v>0</v>
      </c>
      <c r="I302" s="71">
        <f t="shared" si="75"/>
        <v>0</v>
      </c>
      <c r="J302" s="72" t="str">
        <f t="shared" si="76"/>
        <v>周1</v>
      </c>
      <c r="K302" s="73">
        <f>SUMIFS(广告数据包!H:H,广告数据包!A:A,A302,广告数据包!G:G,Base!$F$2)+SUMIFS(广告数据包!H:H,广告数据包!A:A,A302,广告数据包!G:G,Base!$F$3)+SUMIFS(广告数据包!H:H,广告数据包!A:A,A302,广告数据包!G:G,Base!$F$4)</f>
        <v>0</v>
      </c>
      <c r="L302" s="56">
        <f>SUMIFS(广告数据包!I:I,广告数据包!A:A,A302,广告数据包!G:G,Base!$F$2)+SUMIFS(广告数据包!I:I,广告数据包!A:A,A302,广告数据包!G:G,Base!$F$3)+SUMIFS(广告数据包!I:I,广告数据包!A:A,A302,广告数据包!G:G,Base!$F$4)</f>
        <v>0</v>
      </c>
      <c r="M302" s="57">
        <f t="shared" si="77"/>
        <v>0</v>
      </c>
      <c r="N302" s="74">
        <f t="shared" si="78"/>
        <v>0</v>
      </c>
      <c r="O302" s="75">
        <f>SUMIFS(广告数据包!P:P,广告数据包!A:A,A302,广告数据包!G:G,Base!$F$2)+SUMIFS(广告数据包!P:P,广告数据包!A:A,A302,广告数据包!G:G,Base!$F$3)+SUMIFS(广告数据包!P:P,广告数据包!A:A,A302,广告数据包!G:G,Base!$F$4)</f>
        <v>0</v>
      </c>
      <c r="P302" s="56">
        <f>SUMIFS(广告数据包!M:M,广告数据包!A:A,A302,广告数据包!G:G,Base!$F$2)+SUMIFS(广告数据包!M:M,广告数据包!A:A,A302,广告数据包!G:G,Base!$F$3)+SUMIFS(广告数据包!M:M,广告数据包!A:A,A302,广告数据包!G:G,Base!$F$4)</f>
        <v>0</v>
      </c>
      <c r="Q302" s="57">
        <f t="shared" si="79"/>
        <v>0</v>
      </c>
      <c r="R302" s="56">
        <f>SUMIFS(广告数据包!L:L,广告数据包!A:A,A302,广告数据包!G:G,Base!$F$2)+SUMIFS(广告数据包!L:L,广告数据包!A:A,A302,广告数据包!G:G,Base!$F$3)+SUMIFS(广告数据包!L:L,广告数据包!A:A,A302,广告数据包!G:G,Base!$F$4)</f>
        <v>0</v>
      </c>
      <c r="S302" s="86">
        <f t="shared" si="80"/>
        <v>0</v>
      </c>
    </row>
    <row r="303" ht="16.5" spans="1:19">
      <c r="A303" s="54">
        <v>44740</v>
      </c>
      <c r="B303" s="55">
        <f>SUMIFS(销售数据包!F:F,销售数据包!A:A,A303,销售数据包!C:C,Base!$F$2)+SUMIFS(销售数据包!F:F,销售数据包!A:A,A303,销售数据包!C:C,Base!$F$3)+SUMIFS(销售数据包!F:F,销售数据包!A:A,A303,销售数据包!C:C,Base!$F$4)</f>
        <v>0</v>
      </c>
      <c r="C303" s="56">
        <f>SUMIFS(销售数据包!K:K,销售数据包!A:A,A303,销售数据包!C:C,Base!$F$2)+SUMIFS(销售数据包!K:K,销售数据包!A:A,A303,销售数据包!C:C,Base!$F$3)+SUMIFS(销售数据包!K:K,销售数据包!A:A,A303,销售数据包!C:C,Base!$F$4)</f>
        <v>0</v>
      </c>
      <c r="D303" s="56">
        <f>SUMIFS(销售数据包!Q:Q,销售数据包!A:A,A303,销售数据包!C:C,Base!$F$2)+SUMIFS(销售数据包!Q:Q,销售数据包!A:A,A303,销售数据包!C:C,Base!$F$3)+SUMIFS(销售数据包!Q:Q,销售数据包!A:A,A303,销售数据包!C:C,Base!$F$4)</f>
        <v>0</v>
      </c>
      <c r="E303" s="57">
        <f t="shared" si="72"/>
        <v>0</v>
      </c>
      <c r="F303" s="57">
        <f t="shared" si="73"/>
        <v>0</v>
      </c>
      <c r="G303" s="56">
        <f>SUMIFS(销售数据包!O:O,销售数据包!A:A,A303)</f>
        <v>0</v>
      </c>
      <c r="H303" s="57">
        <f t="shared" si="74"/>
        <v>0</v>
      </c>
      <c r="I303" s="71">
        <f t="shared" si="75"/>
        <v>0</v>
      </c>
      <c r="J303" s="72" t="str">
        <f t="shared" si="76"/>
        <v>周2</v>
      </c>
      <c r="K303" s="73">
        <f>SUMIFS(广告数据包!H:H,广告数据包!A:A,A303,广告数据包!G:G,Base!$F$2)+SUMIFS(广告数据包!H:H,广告数据包!A:A,A303,广告数据包!G:G,Base!$F$3)+SUMIFS(广告数据包!H:H,广告数据包!A:A,A303,广告数据包!G:G,Base!$F$4)</f>
        <v>0</v>
      </c>
      <c r="L303" s="56">
        <f>SUMIFS(广告数据包!I:I,广告数据包!A:A,A303,广告数据包!G:G,Base!$F$2)+SUMIFS(广告数据包!I:I,广告数据包!A:A,A303,广告数据包!G:G,Base!$F$3)+SUMIFS(广告数据包!I:I,广告数据包!A:A,A303,广告数据包!G:G,Base!$F$4)</f>
        <v>0</v>
      </c>
      <c r="M303" s="57">
        <f t="shared" si="77"/>
        <v>0</v>
      </c>
      <c r="N303" s="74">
        <f t="shared" si="78"/>
        <v>0</v>
      </c>
      <c r="O303" s="75">
        <f>SUMIFS(广告数据包!P:P,广告数据包!A:A,A303,广告数据包!G:G,Base!$F$2)+SUMIFS(广告数据包!P:P,广告数据包!A:A,A303,广告数据包!G:G,Base!$F$3)+SUMIFS(广告数据包!P:P,广告数据包!A:A,A303,广告数据包!G:G,Base!$F$4)</f>
        <v>0</v>
      </c>
      <c r="P303" s="56">
        <f>SUMIFS(广告数据包!M:M,广告数据包!A:A,A303,广告数据包!G:G,Base!$F$2)+SUMIFS(广告数据包!M:M,广告数据包!A:A,A303,广告数据包!G:G,Base!$F$3)+SUMIFS(广告数据包!M:M,广告数据包!A:A,A303,广告数据包!G:G,Base!$F$4)</f>
        <v>0</v>
      </c>
      <c r="Q303" s="57">
        <f t="shared" si="79"/>
        <v>0</v>
      </c>
      <c r="R303" s="56">
        <f>SUMIFS(广告数据包!L:L,广告数据包!A:A,A303,广告数据包!G:G,Base!$F$2)+SUMIFS(广告数据包!L:L,广告数据包!A:A,A303,广告数据包!G:G,Base!$F$3)+SUMIFS(广告数据包!L:L,广告数据包!A:A,A303,广告数据包!G:G,Base!$F$4)</f>
        <v>0</v>
      </c>
      <c r="S303" s="86">
        <f t="shared" si="80"/>
        <v>0</v>
      </c>
    </row>
    <row r="304" ht="16.5" spans="1:19">
      <c r="A304" s="54">
        <v>44741</v>
      </c>
      <c r="B304" s="55">
        <f>SUMIFS(销售数据包!F:F,销售数据包!A:A,A304,销售数据包!C:C,Base!$F$2)+SUMIFS(销售数据包!F:F,销售数据包!A:A,A304,销售数据包!C:C,Base!$F$3)+SUMIFS(销售数据包!F:F,销售数据包!A:A,A304,销售数据包!C:C,Base!$F$4)</f>
        <v>0</v>
      </c>
      <c r="C304" s="56">
        <f>SUMIFS(销售数据包!K:K,销售数据包!A:A,A304,销售数据包!C:C,Base!$F$2)+SUMIFS(销售数据包!K:K,销售数据包!A:A,A304,销售数据包!C:C,Base!$F$3)+SUMIFS(销售数据包!K:K,销售数据包!A:A,A304,销售数据包!C:C,Base!$F$4)</f>
        <v>0</v>
      </c>
      <c r="D304" s="56">
        <f>SUMIFS(销售数据包!Q:Q,销售数据包!A:A,A304,销售数据包!C:C,Base!$F$2)+SUMIFS(销售数据包!Q:Q,销售数据包!A:A,A304,销售数据包!C:C,Base!$F$3)+SUMIFS(销售数据包!Q:Q,销售数据包!A:A,A304,销售数据包!C:C,Base!$F$4)</f>
        <v>0</v>
      </c>
      <c r="E304" s="57">
        <f t="shared" si="72"/>
        <v>0</v>
      </c>
      <c r="F304" s="57">
        <f t="shared" si="73"/>
        <v>0</v>
      </c>
      <c r="G304" s="56">
        <f>SUMIFS(销售数据包!O:O,销售数据包!A:A,A304)</f>
        <v>0</v>
      </c>
      <c r="H304" s="57">
        <f t="shared" si="74"/>
        <v>0</v>
      </c>
      <c r="I304" s="71">
        <f t="shared" si="75"/>
        <v>0</v>
      </c>
      <c r="J304" s="72" t="str">
        <f t="shared" si="76"/>
        <v>周3</v>
      </c>
      <c r="K304" s="73">
        <f>SUMIFS(广告数据包!H:H,广告数据包!A:A,A304,广告数据包!G:G,Base!$F$2)+SUMIFS(广告数据包!H:H,广告数据包!A:A,A304,广告数据包!G:G,Base!$F$3)+SUMIFS(广告数据包!H:H,广告数据包!A:A,A304,广告数据包!G:G,Base!$F$4)</f>
        <v>0</v>
      </c>
      <c r="L304" s="56">
        <f>SUMIFS(广告数据包!I:I,广告数据包!A:A,A304,广告数据包!G:G,Base!$F$2)+SUMIFS(广告数据包!I:I,广告数据包!A:A,A304,广告数据包!G:G,Base!$F$3)+SUMIFS(广告数据包!I:I,广告数据包!A:A,A304,广告数据包!G:G,Base!$F$4)</f>
        <v>0</v>
      </c>
      <c r="M304" s="57">
        <f t="shared" si="77"/>
        <v>0</v>
      </c>
      <c r="N304" s="74">
        <f t="shared" si="78"/>
        <v>0</v>
      </c>
      <c r="O304" s="75">
        <f>SUMIFS(广告数据包!P:P,广告数据包!A:A,A304,广告数据包!G:G,Base!$F$2)+SUMIFS(广告数据包!P:P,广告数据包!A:A,A304,广告数据包!G:G,Base!$F$3)+SUMIFS(广告数据包!P:P,广告数据包!A:A,A304,广告数据包!G:G,Base!$F$4)</f>
        <v>0</v>
      </c>
      <c r="P304" s="56">
        <f>SUMIFS(广告数据包!M:M,广告数据包!A:A,A304,广告数据包!G:G,Base!$F$2)+SUMIFS(广告数据包!M:M,广告数据包!A:A,A304,广告数据包!G:G,Base!$F$3)+SUMIFS(广告数据包!M:M,广告数据包!A:A,A304,广告数据包!G:G,Base!$F$4)</f>
        <v>0</v>
      </c>
      <c r="Q304" s="57">
        <f t="shared" si="79"/>
        <v>0</v>
      </c>
      <c r="R304" s="56">
        <f>SUMIFS(广告数据包!L:L,广告数据包!A:A,A304,广告数据包!G:G,Base!$F$2)+SUMIFS(广告数据包!L:L,广告数据包!A:A,A304,广告数据包!G:G,Base!$F$3)+SUMIFS(广告数据包!L:L,广告数据包!A:A,A304,广告数据包!G:G,Base!$F$4)</f>
        <v>0</v>
      </c>
      <c r="S304" s="86">
        <f t="shared" si="80"/>
        <v>0</v>
      </c>
    </row>
    <row r="305" ht="16.5" spans="1:19">
      <c r="A305" s="54">
        <v>44742</v>
      </c>
      <c r="B305" s="55">
        <f>SUMIFS(销售数据包!F:F,销售数据包!A:A,A305,销售数据包!C:C,Base!$F$2)+SUMIFS(销售数据包!F:F,销售数据包!A:A,A305,销售数据包!C:C,Base!$F$3)+SUMIFS(销售数据包!F:F,销售数据包!A:A,A305,销售数据包!C:C,Base!$F$4)</f>
        <v>0</v>
      </c>
      <c r="C305" s="56">
        <f>SUMIFS(销售数据包!K:K,销售数据包!A:A,A305,销售数据包!C:C,Base!$F$2)+SUMIFS(销售数据包!K:K,销售数据包!A:A,A305,销售数据包!C:C,Base!$F$3)+SUMIFS(销售数据包!K:K,销售数据包!A:A,A305,销售数据包!C:C,Base!$F$4)</f>
        <v>0</v>
      </c>
      <c r="D305" s="56">
        <f>SUMIFS(销售数据包!Q:Q,销售数据包!A:A,A305,销售数据包!C:C,Base!$F$2)+SUMIFS(销售数据包!Q:Q,销售数据包!A:A,A305,销售数据包!C:C,Base!$F$3)+SUMIFS(销售数据包!Q:Q,销售数据包!A:A,A305,销售数据包!C:C,Base!$F$4)</f>
        <v>0</v>
      </c>
      <c r="E305" s="57">
        <f t="shared" si="72"/>
        <v>0</v>
      </c>
      <c r="F305" s="57">
        <f t="shared" si="73"/>
        <v>0</v>
      </c>
      <c r="G305" s="56">
        <f>SUMIFS(销售数据包!O:O,销售数据包!A:A,A305)</f>
        <v>0</v>
      </c>
      <c r="H305" s="57">
        <f t="shared" si="74"/>
        <v>0</v>
      </c>
      <c r="I305" s="71">
        <f t="shared" si="75"/>
        <v>0</v>
      </c>
      <c r="J305" s="72" t="str">
        <f t="shared" si="76"/>
        <v>周4</v>
      </c>
      <c r="K305" s="73">
        <f>SUMIFS(广告数据包!H:H,广告数据包!A:A,A305,广告数据包!G:G,Base!$F$2)+SUMIFS(广告数据包!H:H,广告数据包!A:A,A305,广告数据包!G:G,Base!$F$3)+SUMIFS(广告数据包!H:H,广告数据包!A:A,A305,广告数据包!G:G,Base!$F$4)</f>
        <v>0</v>
      </c>
      <c r="L305" s="56">
        <f>SUMIFS(广告数据包!I:I,广告数据包!A:A,A305,广告数据包!G:G,Base!$F$2)+SUMIFS(广告数据包!I:I,广告数据包!A:A,A305,广告数据包!G:G,Base!$F$3)+SUMIFS(广告数据包!I:I,广告数据包!A:A,A305,广告数据包!G:G,Base!$F$4)</f>
        <v>0</v>
      </c>
      <c r="M305" s="57">
        <f t="shared" si="77"/>
        <v>0</v>
      </c>
      <c r="N305" s="74">
        <f t="shared" si="78"/>
        <v>0</v>
      </c>
      <c r="O305" s="75">
        <f>SUMIFS(广告数据包!P:P,广告数据包!A:A,A305,广告数据包!G:G,Base!$F$2)+SUMIFS(广告数据包!P:P,广告数据包!A:A,A305,广告数据包!G:G,Base!$F$3)+SUMIFS(广告数据包!P:P,广告数据包!A:A,A305,广告数据包!G:G,Base!$F$4)</f>
        <v>0</v>
      </c>
      <c r="P305" s="56">
        <f>SUMIFS(广告数据包!M:M,广告数据包!A:A,A305,广告数据包!G:G,Base!$F$2)+SUMIFS(广告数据包!M:M,广告数据包!A:A,A305,广告数据包!G:G,Base!$F$3)+SUMIFS(广告数据包!M:M,广告数据包!A:A,A305,广告数据包!G:G,Base!$F$4)</f>
        <v>0</v>
      </c>
      <c r="Q305" s="57">
        <f t="shared" si="79"/>
        <v>0</v>
      </c>
      <c r="R305" s="56">
        <f>SUMIFS(广告数据包!L:L,广告数据包!A:A,A305,广告数据包!G:G,Base!$F$2)+SUMIFS(广告数据包!L:L,广告数据包!A:A,A305,广告数据包!G:G,Base!$F$3)+SUMIFS(广告数据包!L:L,广告数据包!A:A,A305,广告数据包!G:G,Base!$F$4)</f>
        <v>0</v>
      </c>
      <c r="S305" s="86">
        <f t="shared" si="80"/>
        <v>0</v>
      </c>
    </row>
    <row r="306" ht="16.5" spans="1:1">
      <c r="A306" s="54"/>
    </row>
  </sheetData>
  <sheetProtection password="CCF6" sheet="1" pivotTables="0" objects="1"/>
  <mergeCells count="3">
    <mergeCell ref="B1:J1"/>
    <mergeCell ref="K1:S1"/>
    <mergeCell ref="T1:T2"/>
  </mergeCells>
  <conditionalFormatting sqref="B3:B30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{d5520ca9-061e-4115-96fa-ac131175644f}</x14:id>
        </ext>
      </extLst>
    </cfRule>
    <cfRule type="dataBar" priority="24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{edd412dd-f388-47a2-af62-cd63400ca137}</x14:id>
        </ext>
      </extLst>
    </cfRule>
    <cfRule type="dataBar" priority="25">
      <dataBar>
        <cfvo type="min"/>
        <cfvo type="max"/>
        <color theme="6" tint="0.4"/>
      </dataBar>
      <extLst>
        <ext xmlns:x14="http://schemas.microsoft.com/office/spreadsheetml/2009/9/main" uri="{B025F937-C7B1-47D3-B67F-A62EFF666E3E}">
          <x14:id>{c2a531ae-0384-42f0-95de-8e393c51b1fa}</x14:id>
        </ext>
      </extLst>
    </cfRule>
    <cfRule type="dataBar" priority="26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{53c4ab6e-58d2-4095-92e0-7b1f736ebb90}</x14:id>
        </ext>
      </extLst>
    </cfRule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{9693b102-8325-451d-b46c-14ea31392c12}</x14:id>
        </ext>
      </extLst>
    </cfRule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{97ed6a3d-cc55-47f2-bfbc-c4f807bf549e}</x14:id>
        </ext>
      </extLst>
    </cfRule>
  </conditionalFormatting>
  <conditionalFormatting sqref="B3:B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{b1f6f84e-c4d3-4e02-9eb7-1279127b88fe}</x14:id>
        </ext>
      </extLst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{cd10bba5-1ba8-4579-85c4-73959ff509a6}</x14:id>
        </ext>
      </extLs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{e3addfab-92a2-40da-9952-ca6ddf5a2cfe}</x14:id>
        </ext>
      </extLst>
    </cfRule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{f5551e34-464c-4d0b-8339-ebc421f44427}</x14:id>
        </ext>
      </extLst>
    </cfRule>
  </conditionalFormatting>
  <conditionalFormatting sqref="C3:C305">
    <cfRule type="dataBar" priority="4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{e67f9dbf-26c9-4582-a4ff-99b5e8cae498}</x14:id>
        </ext>
      </extLst>
    </cfRule>
  </conditionalFormatting>
  <conditionalFormatting sqref="C3:C1048576">
    <cfRule type="dataBar" priority="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{c991abca-a78e-47ef-9e26-772eba7bfb26}</x14:id>
        </ext>
      </extLst>
    </cfRule>
  </conditionalFormatting>
  <conditionalFormatting sqref="D3:D305">
    <cfRule type="dataBar" priority="45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{aaacc781-5947-4a8e-8b68-f06c1c23bc09}</x14:id>
        </ext>
      </extLst>
    </cfRule>
  </conditionalFormatting>
  <conditionalFormatting sqref="D3:D1048576">
    <cfRule type="dataBar" priority="5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{8697e603-9e3b-4341-8d04-ae0f2120387e}</x14:id>
        </ext>
      </extLst>
    </cfRule>
  </conditionalFormatting>
  <conditionalFormatting sqref="E3:E305">
    <cfRule type="dataBar" priority="37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{5a81bf3f-0d72-419b-9d99-1e155d194106}</x14:id>
        </ext>
      </extLst>
    </cfRule>
  </conditionalFormatting>
  <conditionalFormatting sqref="F3:F305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{904c3aea-2c8f-475d-b67c-66c1a7e32665}</x14:id>
        </ext>
      </extLst>
    </cfRule>
  </conditionalFormatting>
  <conditionalFormatting sqref="F3:F1048576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{d46dc71b-629c-4dc6-bc9f-07e1601e4287}</x14:id>
        </ext>
      </extLst>
    </cfRule>
  </conditionalFormatting>
  <conditionalFormatting sqref="G3:G30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{f8da4e6c-0f08-4c1e-8139-6b6ad29bc9e6}</x14:id>
        </ext>
      </extLst>
    </cfRule>
  </conditionalFormatting>
  <conditionalFormatting sqref="H3:H305">
    <cfRule type="dataBar" priority="2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{df65c650-220a-4ea4-83a2-9878fad0e7c2}</x14:id>
        </ext>
      </extLst>
    </cfRule>
  </conditionalFormatting>
  <conditionalFormatting sqref="H3:H1048576">
    <cfRule type="dataBar" priority="7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{4c4f3588-5fc0-416f-981b-2f104a0e3436}</x14:id>
        </ext>
      </extLst>
    </cfRule>
  </conditionalFormatting>
  <conditionalFormatting sqref="I3:I305">
    <cfRule type="dataBar" priority="21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{227df6e3-354b-4cf9-98ff-c81733306d2c}</x14:id>
        </ext>
      </extLst>
    </cfRule>
  </conditionalFormatting>
  <conditionalFormatting sqref="K3:K305">
    <cfRule type="dataBar" priority="20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{47d99eb8-ec7d-4fa3-9073-60cda831897d}</x14:id>
        </ext>
      </extLst>
    </cfRule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{0b35e96c-d660-4164-af1f-246513e01db9}</x14:id>
        </ext>
      </extLst>
    </cfRule>
    <cfRule type="dataBar" priority="43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{7a210521-7502-4b0d-a3b3-26b074fa84be}</x14:id>
        </ext>
      </extLst>
    </cfRule>
  </conditionalFormatting>
  <conditionalFormatting sqref="L3:L305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{3de91945-e362-49d8-b3a4-468a48202d2a}</x14:id>
        </ext>
      </extLst>
    </cfRule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{d4293c4c-872f-4bb6-95ad-bd9693035768}</x14:id>
        </ext>
      </extLst>
    </cfRule>
    <cfRule type="dataBar" priority="42">
      <dataBar>
        <cfvo type="min"/>
        <cfvo type="max"/>
        <color theme="3"/>
      </dataBar>
      <extLst>
        <ext xmlns:x14="http://schemas.microsoft.com/office/spreadsheetml/2009/9/main" uri="{B025F937-C7B1-47D3-B67F-A62EFF666E3E}">
          <x14:id>{0bc9eff2-68ed-480f-be54-a1ba290bf98e}</x14:id>
        </ext>
      </extLst>
    </cfRule>
  </conditionalFormatting>
  <conditionalFormatting sqref="M3:M305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{b2601e61-9db1-4834-87fb-01758aa05afc}</x14:id>
        </ext>
      </extLst>
    </cfRule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{8b7894e8-5bb0-49cc-bb93-b5045e031071}</x14:id>
        </ext>
      </extLst>
    </cfRule>
  </conditionalFormatting>
  <conditionalFormatting sqref="N3:N305">
    <cfRule type="dataBar" priority="16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{d8359b34-788a-4dfe-8b3c-94d961e99800}</x14:id>
        </ext>
      </extLst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{b9f14e3f-d7e6-415e-ac0e-cf6ef1de93b5}</x14:id>
        </ext>
      </extLst>
    </cfRule>
  </conditionalFormatting>
  <conditionalFormatting sqref="O3:O305">
    <cfRule type="dataBar" priority="15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{b77e74b1-7d9c-4074-a1cc-75e8e61ccf64}</x14:id>
        </ext>
      </extLst>
    </cfRule>
    <cfRule type="dataBar" priority="30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{fab1516e-307b-462e-a9f5-69b52e051efc}</x14:id>
        </ext>
      </extLst>
    </cfRule>
    <cfRule type="dataBar" priority="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{ae683477-85da-4648-92e6-fa1589416e1f}</x14:id>
        </ext>
      </extLst>
    </cfRule>
  </conditionalFormatting>
  <conditionalFormatting sqref="P3:P305">
    <cfRule type="dataBar" priority="14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{7aa0f911-3af6-4ff6-89ac-4812f622e4bd}</x14:id>
        </ext>
      </extLst>
    </cfRule>
    <cfRule type="dataBar" priority="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{47bdfaf7-d0fd-4bd5-a1a9-953ef88980fe}</x14:id>
        </ext>
      </extLst>
    </cfRule>
  </conditionalFormatting>
  <conditionalFormatting sqref="Q3:Q305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{337010e1-88f2-473c-a9a8-bcac6bbd4835}</x14:id>
        </ext>
      </extLst>
    </cfRule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{c644ff89-d411-4313-83fd-5017ad75bce7}</x14:id>
        </ext>
      </extLst>
    </cfRule>
  </conditionalFormatting>
  <conditionalFormatting sqref="R3:R30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{5e61697f-bff1-4044-b2dc-1537ea53e466}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{37350ba1-a6fb-472e-a57b-69eaa1361887}</x14:id>
        </ext>
      </extLst>
    </cfRule>
  </conditionalFormatting>
  <conditionalFormatting sqref="S3:S305">
    <cfRule type="dataBar" priority="11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{7400af5e-c646-47ff-b813-7b4a7e8c0bec}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{015a9566-9c60-4fd1-93a6-bb4c70fd82e1}</x14:id>
        </ext>
      </extLst>
    </cfRule>
  </conditionalFormatting>
  <conditionalFormatting sqref="S3:S1048576">
    <cfRule type="dataBar" priority="1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{10104622-af9b-4035-9afd-f98bda04b6df}</x14:id>
        </ext>
      </extLst>
    </cfRule>
  </conditionalFormatting>
  <conditionalFormatting sqref="E3:F305">
    <cfRule type="dataBar" priority="44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{7e67439a-4e9b-41d2-900a-2e47b8046205}</x14:id>
        </ext>
      </extLst>
    </cfRule>
  </conditionalFormatting>
  <conditionalFormatting sqref="H3:I305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{ccd79173-c789-4320-b8ab-a4b1c5a829f7}</x14:id>
        </ext>
      </extLst>
    </cfRule>
  </conditionalFormatting>
  <conditionalFormatting sqref="M3:M305 O3:O305 Q3:Q305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{139cf726-1746-46bc-9a7c-81c398eea7b0}</x14:id>
        </ext>
      </extLst>
    </cfRule>
  </conditionalFormatting>
  <dataValidations count="1">
    <dataValidation allowBlank="1" showInputMessage="1" showErrorMessage="1" sqref="A1 C1:G1 J1"/>
  </dataValidations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520ca9-061e-4115-96fa-ac13117564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d412dd-f388-47a2-af62-cd63400ca1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a531ae-0384-42f0-95de-8e393c51b1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c4ab6e-58d2-4095-92e0-7b1f736ebb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93b102-8325-451d-b46c-14ea31392c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ed6a3d-cc55-47f2-bfbc-c4f807bf54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B3:B305</xm:sqref>
        </x14:conditionalFormatting>
        <x14:conditionalFormatting xmlns:xm="http://schemas.microsoft.com/office/excel/2006/main">
          <x14:cfRule type="dataBar" id="{b1f6f84e-c4d3-4e02-9eb7-1279127b88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10bba5-1ba8-4579-85c4-73959ff509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addfab-92a2-40da-9952-ca6ddf5a2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551e34-464c-4d0b-8339-ebc421f444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B3:B1048576</xm:sqref>
        </x14:conditionalFormatting>
        <x14:conditionalFormatting xmlns:xm="http://schemas.microsoft.com/office/excel/2006/main">
          <x14:cfRule type="dataBar" id="{e67f9dbf-26c9-4582-a4ff-99b5e8cae4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C3:C305</xm:sqref>
        </x14:conditionalFormatting>
        <x14:conditionalFormatting xmlns:xm="http://schemas.microsoft.com/office/excel/2006/main">
          <x14:cfRule type="dataBar" id="{c991abca-a78e-47ef-9e26-772eba7bfb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C3:C1048576</xm:sqref>
        </x14:conditionalFormatting>
        <x14:conditionalFormatting xmlns:xm="http://schemas.microsoft.com/office/excel/2006/main">
          <x14:cfRule type="dataBar" id="{aaacc781-5947-4a8e-8b68-f06c1c23bc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D3:D305</xm:sqref>
        </x14:conditionalFormatting>
        <x14:conditionalFormatting xmlns:xm="http://schemas.microsoft.com/office/excel/2006/main">
          <x14:cfRule type="dataBar" id="{8697e603-9e3b-4341-8d04-ae0f212038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D3:D1048576</xm:sqref>
        </x14:conditionalFormatting>
        <x14:conditionalFormatting xmlns:xm="http://schemas.microsoft.com/office/excel/2006/main">
          <x14:cfRule type="dataBar" id="{5a81bf3f-0d72-419b-9d99-1e155d1941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E3:E305</xm:sqref>
        </x14:conditionalFormatting>
        <x14:conditionalFormatting xmlns:xm="http://schemas.microsoft.com/office/excel/2006/main">
          <x14:cfRule type="dataBar" id="{904c3aea-2c8f-475d-b67c-66c1a7e326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F3:F305</xm:sqref>
        </x14:conditionalFormatting>
        <x14:conditionalFormatting xmlns:xm="http://schemas.microsoft.com/office/excel/2006/main">
          <x14:cfRule type="dataBar" id="{d46dc71b-629c-4dc6-bc9f-07e1601e4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F3:F1048576</xm:sqref>
        </x14:conditionalFormatting>
        <x14:conditionalFormatting xmlns:xm="http://schemas.microsoft.com/office/excel/2006/main">
          <x14:cfRule type="dataBar" id="{f8da4e6c-0f08-4c1e-8139-6b6ad29bc9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G3:G305</xm:sqref>
        </x14:conditionalFormatting>
        <x14:conditionalFormatting xmlns:xm="http://schemas.microsoft.com/office/excel/2006/main">
          <x14:cfRule type="dataBar" id="{df65c650-220a-4ea4-83a2-9878fad0e7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H3:H305</xm:sqref>
        </x14:conditionalFormatting>
        <x14:conditionalFormatting xmlns:xm="http://schemas.microsoft.com/office/excel/2006/main">
          <x14:cfRule type="dataBar" id="{4c4f3588-5fc0-416f-981b-2f104a0e34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H3:H1048576</xm:sqref>
        </x14:conditionalFormatting>
        <x14:conditionalFormatting xmlns:xm="http://schemas.microsoft.com/office/excel/2006/main">
          <x14:cfRule type="dataBar" id="{227df6e3-354b-4cf9-98ff-c81733306d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I3:I305</xm:sqref>
        </x14:conditionalFormatting>
        <x14:conditionalFormatting xmlns:xm="http://schemas.microsoft.com/office/excel/2006/main">
          <x14:cfRule type="dataBar" id="{47d99eb8-ec7d-4fa3-9073-60cda83189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35e96c-d660-4164-af1f-246513e01db9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a210521-7502-4b0d-a3b3-26b074fa84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K3:K305</xm:sqref>
        </x14:conditionalFormatting>
        <x14:conditionalFormatting xmlns:xm="http://schemas.microsoft.com/office/excel/2006/main">
          <x14:cfRule type="dataBar" id="{3de91945-e362-49d8-b3a4-468a48202d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293c4c-872f-4bb6-95ad-bd96930357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c9eff2-68ed-480f-be54-a1ba290bf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L3:L305</xm:sqref>
        </x14:conditionalFormatting>
        <x14:conditionalFormatting xmlns:xm="http://schemas.microsoft.com/office/excel/2006/main">
          <x14:cfRule type="dataBar" id="{b2601e61-9db1-4834-87fb-01758aa05a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7894e8-5bb0-49cc-bb93-b5045e0310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M3:M305</xm:sqref>
        </x14:conditionalFormatting>
        <x14:conditionalFormatting xmlns:xm="http://schemas.microsoft.com/office/excel/2006/main">
          <x14:cfRule type="dataBar" id="{d8359b34-788a-4dfe-8b3c-94d961e998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f14e3f-d7e6-415e-ac0e-cf6ef1de93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N3:N305</xm:sqref>
        </x14:conditionalFormatting>
        <x14:conditionalFormatting xmlns:xm="http://schemas.microsoft.com/office/excel/2006/main">
          <x14:cfRule type="dataBar" id="{b77e74b1-7d9c-4074-a1cc-75e8e61ccf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b1516e-307b-462e-a9f5-69b52e051e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683477-85da-4648-92e6-fa1589416e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O3:O305</xm:sqref>
        </x14:conditionalFormatting>
        <x14:conditionalFormatting xmlns:xm="http://schemas.microsoft.com/office/excel/2006/main">
          <x14:cfRule type="dataBar" id="{7aa0f911-3af6-4ff6-89ac-4812f622e4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bdfaf7-d0fd-4bd5-a1a9-953ef88980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P3:P305</xm:sqref>
        </x14:conditionalFormatting>
        <x14:conditionalFormatting xmlns:xm="http://schemas.microsoft.com/office/excel/2006/main">
          <x14:cfRule type="dataBar" id="{337010e1-88f2-473c-a9a8-bcac6bbd48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44ff89-d411-4313-83fd-5017ad75bc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Q3:Q305</xm:sqref>
        </x14:conditionalFormatting>
        <x14:conditionalFormatting xmlns:xm="http://schemas.microsoft.com/office/excel/2006/main">
          <x14:cfRule type="dataBar" id="{5e61697f-bff1-4044-b2dc-1537ea53e4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350ba1-a6fb-472e-a57b-69eaa13618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R3:R305</xm:sqref>
        </x14:conditionalFormatting>
        <x14:conditionalFormatting xmlns:xm="http://schemas.microsoft.com/office/excel/2006/main">
          <x14:cfRule type="dataBar" id="{7400af5e-c646-47ff-b813-7b4a7e8c0b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5a9566-9c60-4fd1-93a6-bb4c70fd82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S3:S305</xm:sqref>
        </x14:conditionalFormatting>
        <x14:conditionalFormatting xmlns:xm="http://schemas.microsoft.com/office/excel/2006/main">
          <x14:cfRule type="dataBar" id="{10104622-af9b-4035-9afd-f98bda04b6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S3:S1048576</xm:sqref>
        </x14:conditionalFormatting>
        <x14:conditionalFormatting xmlns:xm="http://schemas.microsoft.com/office/excel/2006/main">
          <x14:cfRule type="dataBar" id="{7e67439a-4e9b-41d2-900a-2e47b80462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E3:F305</xm:sqref>
        </x14:conditionalFormatting>
        <x14:conditionalFormatting xmlns:xm="http://schemas.microsoft.com/office/excel/2006/main">
          <x14:cfRule type="dataBar" id="{ccd79173-c789-4320-b8ab-a4b1c5a829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H3:I305</xm:sqref>
        </x14:conditionalFormatting>
        <x14:conditionalFormatting xmlns:xm="http://schemas.microsoft.com/office/excel/2006/main">
          <x14:cfRule type="dataBar" id="{139cf726-1746-46bc-9a7c-81c398eea7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M3:M305 O3:O305 Q3:Q305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"/>
  <sheetViews>
    <sheetView workbookViewId="0">
      <selection activeCell="D11" sqref="D11"/>
    </sheetView>
  </sheetViews>
  <sheetFormatPr defaultColWidth="9" defaultRowHeight="15"/>
  <cols>
    <col min="1" max="1" width="12" style="92" customWidth="1"/>
    <col min="2" max="9" width="12.625" style="93" customWidth="1"/>
    <col min="10" max="10" width="7" style="93" customWidth="1"/>
    <col min="11" max="19" width="12.625" style="93" customWidth="1"/>
    <col min="20" max="20" width="9" style="93"/>
    <col min="21" max="16384" width="9" style="89"/>
  </cols>
  <sheetData>
    <row r="1" ht="23" customHeight="1" spans="1:20">
      <c r="A1" s="39" t="s">
        <v>23</v>
      </c>
      <c r="B1" s="40">
        <v>2022</v>
      </c>
      <c r="C1" s="94" t="s">
        <v>24</v>
      </c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101"/>
      <c r="T1" s="102"/>
    </row>
    <row r="2" s="89" customFormat="1" ht="23" customHeight="1" spans="1:20">
      <c r="A2" s="44" t="s">
        <v>25</v>
      </c>
      <c r="B2" s="45">
        <v>1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103"/>
      <c r="T2" s="102"/>
    </row>
    <row r="3" s="89" customFormat="1" ht="23" customHeight="1" spans="1:20">
      <c r="A3" s="49" t="s">
        <v>1</v>
      </c>
      <c r="B3" s="50"/>
      <c r="C3" s="50"/>
      <c r="D3" s="50"/>
      <c r="E3" s="50"/>
      <c r="F3" s="50"/>
      <c r="G3" s="50"/>
      <c r="H3" s="50"/>
      <c r="I3" s="50"/>
      <c r="J3" s="67"/>
      <c r="K3" s="68" t="s">
        <v>2</v>
      </c>
      <c r="L3" s="50"/>
      <c r="M3" s="50"/>
      <c r="N3" s="50"/>
      <c r="O3" s="50"/>
      <c r="P3" s="50"/>
      <c r="Q3" s="50"/>
      <c r="R3" s="50"/>
      <c r="S3" s="83"/>
      <c r="T3" s="102"/>
    </row>
    <row r="4" s="90" customFormat="1" ht="23" customHeight="1" spans="1:20">
      <c r="A4" s="51" t="s">
        <v>4</v>
      </c>
      <c r="B4" s="52" t="s">
        <v>5</v>
      </c>
      <c r="C4" s="53" t="s">
        <v>6</v>
      </c>
      <c r="D4" s="53" t="s">
        <v>7</v>
      </c>
      <c r="E4" s="53" t="s">
        <v>8</v>
      </c>
      <c r="F4" s="53" t="s">
        <v>9</v>
      </c>
      <c r="G4" s="53" t="s">
        <v>10</v>
      </c>
      <c r="H4" s="53" t="s">
        <v>11</v>
      </c>
      <c r="I4" s="53" t="s">
        <v>12</v>
      </c>
      <c r="J4" s="69" t="s">
        <v>13</v>
      </c>
      <c r="K4" s="70" t="s">
        <v>14</v>
      </c>
      <c r="L4" s="53" t="s">
        <v>15</v>
      </c>
      <c r="M4" s="53" t="s">
        <v>16</v>
      </c>
      <c r="N4" s="53" t="s">
        <v>17</v>
      </c>
      <c r="O4" s="53" t="s">
        <v>18</v>
      </c>
      <c r="P4" s="53" t="s">
        <v>19</v>
      </c>
      <c r="Q4" s="53" t="s">
        <v>20</v>
      </c>
      <c r="R4" s="53" t="s">
        <v>21</v>
      </c>
      <c r="S4" s="84" t="s">
        <v>22</v>
      </c>
      <c r="T4" s="104"/>
    </row>
    <row r="5" s="91" customFormat="1" ht="16" customHeight="1" spans="1:20">
      <c r="A5" s="54">
        <f>DATE($B$1,$B$2,1)</f>
        <v>44562</v>
      </c>
      <c r="B5" s="55">
        <f>SUMIFS(销售数据包!F:F,销售数据包!A:A,A5,销售数据包!C:C,Base!$F$2)+SUMIFS(销售数据包!F:F,销售数据包!A:A,A5,销售数据包!C:C,Base!$F$3)+SUMIFS(销售数据包!F:F,销售数据包!A:A,A5,销售数据包!C:C,Base!$F$4)</f>
        <v>0</v>
      </c>
      <c r="C5" s="56">
        <f>SUMIFS(销售数据包!K:K,销售数据包!A:A,A5,销售数据包!C:C,Base!$F$2)+SUMIFS(销售数据包!K:K,销售数据包!A:A,A5,销售数据包!C:C,Base!$F$3)+SUMIFS(销售数据包!K:K,销售数据包!A:A,A5,销售数据包!C:C,Base!$F$4)</f>
        <v>0</v>
      </c>
      <c r="D5" s="56">
        <f>SUMIFS(销售数据包!Q:Q,销售数据包!A:A,A5,销售数据包!C:C,Base!$F$2)+SUMIFS(销售数据包!Q:Q,销售数据包!A:A,A5,销售数据包!C:C,Base!$F$3)+SUMIFS(销售数据包!Q:Q,销售数据包!A:A,A5,销售数据包!C:C,Base!$F$4)</f>
        <v>0</v>
      </c>
      <c r="E5" s="57">
        <f>IFERROR(D5/B5,0)</f>
        <v>0</v>
      </c>
      <c r="F5" s="57">
        <f>IFERROR(C5/B5,0)</f>
        <v>0</v>
      </c>
      <c r="G5" s="56">
        <f>SUMIFS(销售数据包!O:O,销售数据包!A:A,A5)</f>
        <v>0</v>
      </c>
      <c r="H5" s="57">
        <f>IFERROR(R5/G5,0)</f>
        <v>0</v>
      </c>
      <c r="I5" s="71">
        <f>IFERROR(P5/G5,0)</f>
        <v>0</v>
      </c>
      <c r="J5" s="72" t="str">
        <f t="shared" ref="J5:J34" si="0">"周"&amp;WEEKDAY(A5,2)</f>
        <v>周6</v>
      </c>
      <c r="K5" s="73">
        <f>SUMIFS(广告数据包!H:H,广告数据包!A:A,A5,广告数据包!G:G,Base!$F$2)+SUMIFS(广告数据包!H:H,广告数据包!A:A,A5,广告数据包!G:G,Base!$F$3)+SUMIFS(广告数据包!H:H,广告数据包!A:A,A5,广告数据包!G:G,Base!$F$4)</f>
        <v>0</v>
      </c>
      <c r="L5" s="56">
        <f>SUMIFS(广告数据包!I:I,广告数据包!A:A,A5,广告数据包!G:G,Base!$F$2)+SUMIFS(广告数据包!I:I,广告数据包!A:A,A5,广告数据包!G:G,Base!$F$3)+SUMIFS(广告数据包!I:I,广告数据包!A:A,A5,广告数据包!G:G,Base!$F$4)</f>
        <v>0</v>
      </c>
      <c r="M5" s="57">
        <f>IFERROR(L5/K5,0)</f>
        <v>0</v>
      </c>
      <c r="N5" s="74">
        <f>IFERROR(R5/L5,0)</f>
        <v>0</v>
      </c>
      <c r="O5" s="75">
        <f>SUMIFS(广告数据包!P:P,广告数据包!A:A,A5,广告数据包!G:G,Base!$F$2)+SUMIFS(广告数据包!P:P,广告数据包!A:A,A5,广告数据包!G:G,Base!$F$3)+SUMIFS(广告数据包!P:P,广告数据包!A:A,A5,广告数据包!G:G,Base!$F$4)</f>
        <v>0</v>
      </c>
      <c r="P5" s="56">
        <f>SUMIFS(广告数据包!M:M,广告数据包!A:A,A5,广告数据包!G:G,Base!$F$2)+SUMIFS(广告数据包!M:M,广告数据包!A:A,A5,广告数据包!G:G,Base!$F$3)+SUMIFS(广告数据包!M:M,广告数据包!A:A,A5,广告数据包!G:G,Base!$F$4)</f>
        <v>0</v>
      </c>
      <c r="Q5" s="57">
        <f>IFERROR(O5/L5,0)</f>
        <v>0</v>
      </c>
      <c r="R5" s="56">
        <f>SUMIFS(广告数据包!L:L,广告数据包!A:A,A5,广告数据包!G:G,Base!$F$2)+SUMIFS(广告数据包!L:L,广告数据包!A:A,A5,广告数据包!G:G,Base!$F$3)+SUMIFS(广告数据包!L:L,广告数据包!A:A,A5,广告数据包!G:G,Base!$F$4)</f>
        <v>0</v>
      </c>
      <c r="S5" s="86">
        <f>IFERROR(R5/P5,0)</f>
        <v>0</v>
      </c>
      <c r="T5" s="105"/>
    </row>
    <row r="6" s="91" customFormat="1" ht="16" customHeight="1" spans="1:20">
      <c r="A6" s="58">
        <f>DATE($B$1,$B$2,DAY(A5)+1)</f>
        <v>44563</v>
      </c>
      <c r="B6" s="55">
        <f>SUMIFS(销售数据包!F:F,销售数据包!A:A,A6,销售数据包!C:C,Base!$F$2)+SUMIFS(销售数据包!F:F,销售数据包!A:A,A6,销售数据包!C:C,Base!$F$3)+SUMIFS(销售数据包!F:F,销售数据包!A:A,A6,销售数据包!C:C,Base!$F$4)</f>
        <v>0</v>
      </c>
      <c r="C6" s="56">
        <f>SUMIFS(销售数据包!K:K,销售数据包!A:A,A6,销售数据包!C:C,Base!$F$2)+SUMIFS(销售数据包!K:K,销售数据包!A:A,A6,销售数据包!C:C,Base!$F$3)+SUMIFS(销售数据包!K:K,销售数据包!A:A,A6,销售数据包!C:C,Base!$F$4)</f>
        <v>0</v>
      </c>
      <c r="D6" s="56">
        <f>SUMIFS(销售数据包!Q:Q,销售数据包!A:A,A6,销售数据包!C:C,Base!$F$2)+SUMIFS(销售数据包!Q:Q,销售数据包!A:A,A6,销售数据包!C:C,Base!$F$3)+SUMIFS(销售数据包!Q:Q,销售数据包!A:A,A6,销售数据包!C:C,Base!$F$4)</f>
        <v>0</v>
      </c>
      <c r="E6" s="57">
        <f t="shared" ref="E6:E36" si="1">IFERROR(D6/B6,0)</f>
        <v>0</v>
      </c>
      <c r="F6" s="57">
        <f t="shared" ref="F6:F36" si="2">IFERROR(C6/B6,0)</f>
        <v>0</v>
      </c>
      <c r="G6" s="56">
        <f>SUMIFS(销售数据包!O:O,销售数据包!A:A,A6)</f>
        <v>0</v>
      </c>
      <c r="H6" s="57">
        <f t="shared" ref="H6:H36" si="3">IFERROR(R6/G6,0)</f>
        <v>0</v>
      </c>
      <c r="I6" s="71">
        <f t="shared" ref="I6:I36" si="4">IFERROR(P6/G6,0)</f>
        <v>0</v>
      </c>
      <c r="J6" s="99" t="str">
        <f t="shared" si="0"/>
        <v>周7</v>
      </c>
      <c r="K6" s="73">
        <f>SUMIFS(广告数据包!H:H,广告数据包!A:A,A6,广告数据包!G:G,Base!$F$2)+SUMIFS(广告数据包!H:H,广告数据包!A:A,A6,广告数据包!G:G,Base!$F$3)+SUMIFS(广告数据包!H:H,广告数据包!A:A,A6,广告数据包!G:G,Base!$F$4)</f>
        <v>0</v>
      </c>
      <c r="L6" s="56">
        <f>SUMIFS(广告数据包!I:I,广告数据包!A:A,A6,广告数据包!G:G,Base!$F$2)+SUMIFS(广告数据包!I:I,广告数据包!A:A,A6,广告数据包!G:G,Base!$F$3)+SUMIFS(广告数据包!I:I,广告数据包!A:A,A6,广告数据包!G:G,Base!$F$4)</f>
        <v>0</v>
      </c>
      <c r="M6" s="57">
        <f t="shared" ref="M6:M36" si="5">IFERROR(L6/K6,0)</f>
        <v>0</v>
      </c>
      <c r="N6" s="74">
        <f t="shared" ref="N6:N36" si="6">IFERROR(R6/L6,0)</f>
        <v>0</v>
      </c>
      <c r="O6" s="75">
        <f>SUMIFS(广告数据包!P:P,广告数据包!A:A,A6,广告数据包!G:G,Base!$F$2)+SUMIFS(广告数据包!P:P,广告数据包!A:A,A6,广告数据包!G:G,Base!$F$3)+SUMIFS(广告数据包!P:P,广告数据包!A:A,A6,广告数据包!G:G,Base!$F$4)</f>
        <v>0</v>
      </c>
      <c r="P6" s="56">
        <f>SUMIFS(广告数据包!M:M,广告数据包!A:A,A6,广告数据包!G:G,Base!$F$2)+SUMIFS(广告数据包!M:M,广告数据包!A:A,A6,广告数据包!G:G,Base!$F$3)+SUMIFS(广告数据包!M:M,广告数据包!A:A,A6,广告数据包!G:G,Base!$F$4)</f>
        <v>0</v>
      </c>
      <c r="Q6" s="57">
        <f t="shared" ref="Q6:Q36" si="7">IFERROR(O6/L6,0)</f>
        <v>0</v>
      </c>
      <c r="R6" s="56">
        <f>SUMIFS(广告数据包!L:L,广告数据包!A:A,A6,广告数据包!G:G,Base!$F$2)+SUMIFS(广告数据包!L:L,广告数据包!A:A,A6,广告数据包!G:G,Base!$F$3)+SUMIFS(广告数据包!L:L,广告数据包!A:A,A6,广告数据包!G:G,Base!$F$4)</f>
        <v>0</v>
      </c>
      <c r="S6" s="86">
        <f t="shared" ref="S6:S36" si="8">IFERROR(R6/P6,0)</f>
        <v>0</v>
      </c>
      <c r="T6" s="105"/>
    </row>
    <row r="7" s="91" customFormat="1" ht="16" customHeight="1" spans="1:20">
      <c r="A7" s="58">
        <f>DATE($B$1,$B$2,DAY(A6)+1)</f>
        <v>44564</v>
      </c>
      <c r="B7" s="55">
        <f>SUMIFS(销售数据包!F:F,销售数据包!A:A,A7,销售数据包!C:C,Base!$F$2)+SUMIFS(销售数据包!F:F,销售数据包!A:A,A7,销售数据包!C:C,Base!$F$3)+SUMIFS(销售数据包!F:F,销售数据包!A:A,A7,销售数据包!C:C,Base!$F$4)</f>
        <v>0</v>
      </c>
      <c r="C7" s="56">
        <f>SUMIFS(销售数据包!K:K,销售数据包!A:A,A7,销售数据包!C:C,Base!$F$2)+SUMIFS(销售数据包!K:K,销售数据包!A:A,A7,销售数据包!C:C,Base!$F$3)+SUMIFS(销售数据包!K:K,销售数据包!A:A,A7,销售数据包!C:C,Base!$F$4)</f>
        <v>0</v>
      </c>
      <c r="D7" s="56">
        <f>SUMIFS(销售数据包!Q:Q,销售数据包!A:A,A7,销售数据包!C:C,Base!$F$2)+SUMIFS(销售数据包!Q:Q,销售数据包!A:A,A7,销售数据包!C:C,Base!$F$3)+SUMIFS(销售数据包!Q:Q,销售数据包!A:A,A7,销售数据包!C:C,Base!$F$4)</f>
        <v>0</v>
      </c>
      <c r="E7" s="57">
        <f t="shared" si="1"/>
        <v>0</v>
      </c>
      <c r="F7" s="57">
        <f t="shared" si="2"/>
        <v>0</v>
      </c>
      <c r="G7" s="56">
        <f>SUMIFS(销售数据包!O:O,销售数据包!A:A,A7)</f>
        <v>0</v>
      </c>
      <c r="H7" s="57">
        <f t="shared" si="3"/>
        <v>0</v>
      </c>
      <c r="I7" s="71">
        <f t="shared" si="4"/>
        <v>0</v>
      </c>
      <c r="J7" s="99" t="str">
        <f t="shared" si="0"/>
        <v>周1</v>
      </c>
      <c r="K7" s="73">
        <f>SUMIFS(广告数据包!H:H,广告数据包!A:A,A7,广告数据包!G:G,Base!$F$2)+SUMIFS(广告数据包!H:H,广告数据包!A:A,A7,广告数据包!G:G,Base!$F$3)+SUMIFS(广告数据包!H:H,广告数据包!A:A,A7,广告数据包!G:G,Base!$F$4)</f>
        <v>0</v>
      </c>
      <c r="L7" s="56">
        <f>SUMIFS(广告数据包!I:I,广告数据包!A:A,A7,广告数据包!G:G,Base!$F$2)+SUMIFS(广告数据包!I:I,广告数据包!A:A,A7,广告数据包!G:G,Base!$F$3)+SUMIFS(广告数据包!I:I,广告数据包!A:A,A7,广告数据包!G:G,Base!$F$4)</f>
        <v>0</v>
      </c>
      <c r="M7" s="57">
        <f t="shared" si="5"/>
        <v>0</v>
      </c>
      <c r="N7" s="74">
        <f t="shared" si="6"/>
        <v>0</v>
      </c>
      <c r="O7" s="75">
        <f>SUMIFS(广告数据包!P:P,广告数据包!A:A,A7,广告数据包!G:G,Base!$F$2)+SUMIFS(广告数据包!P:P,广告数据包!A:A,A7,广告数据包!G:G,Base!$F$3)+SUMIFS(广告数据包!P:P,广告数据包!A:A,A7,广告数据包!G:G,Base!$F$4)</f>
        <v>0</v>
      </c>
      <c r="P7" s="56">
        <f>SUMIFS(广告数据包!M:M,广告数据包!A:A,A7,广告数据包!G:G,Base!$F$2)+SUMIFS(广告数据包!M:M,广告数据包!A:A,A7,广告数据包!G:G,Base!$F$3)+SUMIFS(广告数据包!M:M,广告数据包!A:A,A7,广告数据包!G:G,Base!$F$4)</f>
        <v>0</v>
      </c>
      <c r="Q7" s="57">
        <f t="shared" si="7"/>
        <v>0</v>
      </c>
      <c r="R7" s="56">
        <f>SUMIFS(广告数据包!L:L,广告数据包!A:A,A7,广告数据包!G:G,Base!$F$2)+SUMIFS(广告数据包!L:L,广告数据包!A:A,A7,广告数据包!G:G,Base!$F$3)+SUMIFS(广告数据包!L:L,广告数据包!A:A,A7,广告数据包!G:G,Base!$F$4)</f>
        <v>0</v>
      </c>
      <c r="S7" s="86">
        <f t="shared" si="8"/>
        <v>0</v>
      </c>
      <c r="T7" s="105"/>
    </row>
    <row r="8" s="91" customFormat="1" ht="16" customHeight="1" spans="1:20">
      <c r="A8" s="58">
        <f>DATE($B$1,$B$2,DAY(A7)+1)</f>
        <v>44565</v>
      </c>
      <c r="B8" s="55">
        <f>SUMIFS(销售数据包!F:F,销售数据包!A:A,A8,销售数据包!C:C,Base!$F$2)+SUMIFS(销售数据包!F:F,销售数据包!A:A,A8,销售数据包!C:C,Base!$F$3)+SUMIFS(销售数据包!F:F,销售数据包!A:A,A8,销售数据包!C:C,Base!$F$4)</f>
        <v>0</v>
      </c>
      <c r="C8" s="56">
        <f>SUMIFS(销售数据包!K:K,销售数据包!A:A,A8,销售数据包!C:C,Base!$F$2)+SUMIFS(销售数据包!K:K,销售数据包!A:A,A8,销售数据包!C:C,Base!$F$3)+SUMIFS(销售数据包!K:K,销售数据包!A:A,A8,销售数据包!C:C,Base!$F$4)</f>
        <v>0</v>
      </c>
      <c r="D8" s="56">
        <f>SUMIFS(销售数据包!Q:Q,销售数据包!A:A,A8,销售数据包!C:C,Base!$F$2)+SUMIFS(销售数据包!Q:Q,销售数据包!A:A,A8,销售数据包!C:C,Base!$F$3)+SUMIFS(销售数据包!Q:Q,销售数据包!A:A,A8,销售数据包!C:C,Base!$F$4)</f>
        <v>0</v>
      </c>
      <c r="E8" s="57">
        <f t="shared" si="1"/>
        <v>0</v>
      </c>
      <c r="F8" s="57">
        <f t="shared" si="2"/>
        <v>0</v>
      </c>
      <c r="G8" s="56">
        <f>SUMIFS(销售数据包!O:O,销售数据包!A:A,A8)</f>
        <v>0</v>
      </c>
      <c r="H8" s="57">
        <f t="shared" si="3"/>
        <v>0</v>
      </c>
      <c r="I8" s="71">
        <f t="shared" si="4"/>
        <v>0</v>
      </c>
      <c r="J8" s="99" t="str">
        <f t="shared" si="0"/>
        <v>周2</v>
      </c>
      <c r="K8" s="73">
        <f>SUMIFS(广告数据包!H:H,广告数据包!A:A,A8,广告数据包!G:G,Base!$F$2)+SUMIFS(广告数据包!H:H,广告数据包!A:A,A8,广告数据包!G:G,Base!$F$3)+SUMIFS(广告数据包!H:H,广告数据包!A:A,A8,广告数据包!G:G,Base!$F$4)</f>
        <v>0</v>
      </c>
      <c r="L8" s="56">
        <f>SUMIFS(广告数据包!I:I,广告数据包!A:A,A8,广告数据包!G:G,Base!$F$2)+SUMIFS(广告数据包!I:I,广告数据包!A:A,A8,广告数据包!G:G,Base!$F$3)+SUMIFS(广告数据包!I:I,广告数据包!A:A,A8,广告数据包!G:G,Base!$F$4)</f>
        <v>0</v>
      </c>
      <c r="M8" s="57">
        <f t="shared" si="5"/>
        <v>0</v>
      </c>
      <c r="N8" s="74">
        <f t="shared" si="6"/>
        <v>0</v>
      </c>
      <c r="O8" s="75">
        <f>SUMIFS(广告数据包!P:P,广告数据包!A:A,A8,广告数据包!G:G,Base!$F$2)+SUMIFS(广告数据包!P:P,广告数据包!A:A,A8,广告数据包!G:G,Base!$F$3)+SUMIFS(广告数据包!P:P,广告数据包!A:A,A8,广告数据包!G:G,Base!$F$4)</f>
        <v>0</v>
      </c>
      <c r="P8" s="56">
        <f>SUMIFS(广告数据包!M:M,广告数据包!A:A,A8,广告数据包!G:G,Base!$F$2)+SUMIFS(广告数据包!M:M,广告数据包!A:A,A8,广告数据包!G:G,Base!$F$3)+SUMIFS(广告数据包!M:M,广告数据包!A:A,A8,广告数据包!G:G,Base!$F$4)</f>
        <v>0</v>
      </c>
      <c r="Q8" s="57">
        <f t="shared" si="7"/>
        <v>0</v>
      </c>
      <c r="R8" s="56">
        <f>SUMIFS(广告数据包!L:L,广告数据包!A:A,A8,广告数据包!G:G,Base!$F$2)+SUMIFS(广告数据包!L:L,广告数据包!A:A,A8,广告数据包!G:G,Base!$F$3)+SUMIFS(广告数据包!L:L,广告数据包!A:A,A8,广告数据包!G:G,Base!$F$4)</f>
        <v>0</v>
      </c>
      <c r="S8" s="86">
        <f t="shared" si="8"/>
        <v>0</v>
      </c>
      <c r="T8" s="105"/>
    </row>
    <row r="9" s="91" customFormat="1" ht="16" customHeight="1" spans="1:20">
      <c r="A9" s="58">
        <f>DATE($B$1,$B$2,DAY(A8)+1)</f>
        <v>44566</v>
      </c>
      <c r="B9" s="55">
        <f>SUMIFS(销售数据包!F:F,销售数据包!A:A,A9,销售数据包!C:C,Base!$F$2)+SUMIFS(销售数据包!F:F,销售数据包!A:A,A9,销售数据包!C:C,Base!$F$3)+SUMIFS(销售数据包!F:F,销售数据包!A:A,A9,销售数据包!C:C,Base!$F$4)</f>
        <v>0</v>
      </c>
      <c r="C9" s="56">
        <f>SUMIFS(销售数据包!K:K,销售数据包!A:A,A9,销售数据包!C:C,Base!$F$2)+SUMIFS(销售数据包!K:K,销售数据包!A:A,A9,销售数据包!C:C,Base!$F$3)+SUMIFS(销售数据包!K:K,销售数据包!A:A,A9,销售数据包!C:C,Base!$F$4)</f>
        <v>0</v>
      </c>
      <c r="D9" s="56">
        <f>SUMIFS(销售数据包!Q:Q,销售数据包!A:A,A9,销售数据包!C:C,Base!$F$2)+SUMIFS(销售数据包!Q:Q,销售数据包!A:A,A9,销售数据包!C:C,Base!$F$3)+SUMIFS(销售数据包!Q:Q,销售数据包!A:A,A9,销售数据包!C:C,Base!$F$4)</f>
        <v>0</v>
      </c>
      <c r="E9" s="57">
        <f t="shared" si="1"/>
        <v>0</v>
      </c>
      <c r="F9" s="57">
        <f t="shared" si="2"/>
        <v>0</v>
      </c>
      <c r="G9" s="56">
        <f>SUMIFS(销售数据包!O:O,销售数据包!A:A,A9)</f>
        <v>0</v>
      </c>
      <c r="H9" s="57">
        <f t="shared" si="3"/>
        <v>0</v>
      </c>
      <c r="I9" s="71">
        <f t="shared" si="4"/>
        <v>0</v>
      </c>
      <c r="J9" s="99" t="str">
        <f t="shared" si="0"/>
        <v>周3</v>
      </c>
      <c r="K9" s="73">
        <f>SUMIFS(广告数据包!H:H,广告数据包!A:A,A9,广告数据包!G:G,Base!$F$2)+SUMIFS(广告数据包!H:H,广告数据包!A:A,A9,广告数据包!G:G,Base!$F$3)+SUMIFS(广告数据包!H:H,广告数据包!A:A,A9,广告数据包!G:G,Base!$F$4)</f>
        <v>0</v>
      </c>
      <c r="L9" s="56">
        <f>SUMIFS(广告数据包!I:I,广告数据包!A:A,A9,广告数据包!G:G,Base!$F$2)+SUMIFS(广告数据包!I:I,广告数据包!A:A,A9,广告数据包!G:G,Base!$F$3)+SUMIFS(广告数据包!I:I,广告数据包!A:A,A9,广告数据包!G:G,Base!$F$4)</f>
        <v>0</v>
      </c>
      <c r="M9" s="57">
        <f t="shared" si="5"/>
        <v>0</v>
      </c>
      <c r="N9" s="74">
        <f t="shared" si="6"/>
        <v>0</v>
      </c>
      <c r="O9" s="75">
        <f>SUMIFS(广告数据包!P:P,广告数据包!A:A,A9,广告数据包!G:G,Base!$F$2)+SUMIFS(广告数据包!P:P,广告数据包!A:A,A9,广告数据包!G:G,Base!$F$3)+SUMIFS(广告数据包!P:P,广告数据包!A:A,A9,广告数据包!G:G,Base!$F$4)</f>
        <v>0</v>
      </c>
      <c r="P9" s="56">
        <f>SUMIFS(广告数据包!M:M,广告数据包!A:A,A9,广告数据包!G:G,Base!$F$2)+SUMIFS(广告数据包!M:M,广告数据包!A:A,A9,广告数据包!G:G,Base!$F$3)+SUMIFS(广告数据包!M:M,广告数据包!A:A,A9,广告数据包!G:G,Base!$F$4)</f>
        <v>0</v>
      </c>
      <c r="Q9" s="57">
        <f t="shared" si="7"/>
        <v>0</v>
      </c>
      <c r="R9" s="56">
        <f>SUMIFS(广告数据包!L:L,广告数据包!A:A,A9,广告数据包!G:G,Base!$F$2)+SUMIFS(广告数据包!L:L,广告数据包!A:A,A9,广告数据包!G:G,Base!$F$3)+SUMIFS(广告数据包!L:L,广告数据包!A:A,A9,广告数据包!G:G,Base!$F$4)</f>
        <v>0</v>
      </c>
      <c r="S9" s="86">
        <f t="shared" si="8"/>
        <v>0</v>
      </c>
      <c r="T9" s="105"/>
    </row>
    <row r="10" s="91" customFormat="1" ht="16" customHeight="1" spans="1:20">
      <c r="A10" s="58">
        <f>DATE($B$1,$B$2,DAY(A9)+1)</f>
        <v>44567</v>
      </c>
      <c r="B10" s="55">
        <f>SUMIFS(销售数据包!F:F,销售数据包!A:A,A10,销售数据包!C:C,Base!$F$2)+SUMIFS(销售数据包!F:F,销售数据包!A:A,A10,销售数据包!C:C,Base!$F$3)+SUMIFS(销售数据包!F:F,销售数据包!A:A,A10,销售数据包!C:C,Base!$F$4)</f>
        <v>0</v>
      </c>
      <c r="C10" s="56">
        <f>SUMIFS(销售数据包!K:K,销售数据包!A:A,A10,销售数据包!C:C,Base!$F$2)+SUMIFS(销售数据包!K:K,销售数据包!A:A,A10,销售数据包!C:C,Base!$F$3)+SUMIFS(销售数据包!K:K,销售数据包!A:A,A10,销售数据包!C:C,Base!$F$4)</f>
        <v>0</v>
      </c>
      <c r="D10" s="56">
        <f>SUMIFS(销售数据包!Q:Q,销售数据包!A:A,A10,销售数据包!C:C,Base!$F$2)+SUMIFS(销售数据包!Q:Q,销售数据包!A:A,A10,销售数据包!C:C,Base!$F$3)+SUMIFS(销售数据包!Q:Q,销售数据包!A:A,A10,销售数据包!C:C,Base!$F$4)</f>
        <v>0</v>
      </c>
      <c r="E10" s="57">
        <f t="shared" si="1"/>
        <v>0</v>
      </c>
      <c r="F10" s="57">
        <f t="shared" si="2"/>
        <v>0</v>
      </c>
      <c r="G10" s="56">
        <f>SUMIFS(销售数据包!O:O,销售数据包!A:A,A10)</f>
        <v>0</v>
      </c>
      <c r="H10" s="57">
        <f t="shared" si="3"/>
        <v>0</v>
      </c>
      <c r="I10" s="71">
        <f t="shared" si="4"/>
        <v>0</v>
      </c>
      <c r="J10" s="99" t="str">
        <f t="shared" si="0"/>
        <v>周4</v>
      </c>
      <c r="K10" s="73">
        <f>SUMIFS(广告数据包!H:H,广告数据包!A:A,A10,广告数据包!G:G,Base!$F$2)+SUMIFS(广告数据包!H:H,广告数据包!A:A,A10,广告数据包!G:G,Base!$F$3)+SUMIFS(广告数据包!H:H,广告数据包!A:A,A10,广告数据包!G:G,Base!$F$4)</f>
        <v>0</v>
      </c>
      <c r="L10" s="56">
        <f>SUMIFS(广告数据包!I:I,广告数据包!A:A,A10,广告数据包!G:G,Base!$F$2)+SUMIFS(广告数据包!I:I,广告数据包!A:A,A10,广告数据包!G:G,Base!$F$3)+SUMIFS(广告数据包!I:I,广告数据包!A:A,A10,广告数据包!G:G,Base!$F$4)</f>
        <v>0</v>
      </c>
      <c r="M10" s="57">
        <f t="shared" si="5"/>
        <v>0</v>
      </c>
      <c r="N10" s="74">
        <f t="shared" si="6"/>
        <v>0</v>
      </c>
      <c r="O10" s="75">
        <f>SUMIFS(广告数据包!P:P,广告数据包!A:A,A10,广告数据包!G:G,Base!$F$2)+SUMIFS(广告数据包!P:P,广告数据包!A:A,A10,广告数据包!G:G,Base!$F$3)+SUMIFS(广告数据包!P:P,广告数据包!A:A,A10,广告数据包!G:G,Base!$F$4)</f>
        <v>0</v>
      </c>
      <c r="P10" s="56">
        <f>SUMIFS(广告数据包!M:M,广告数据包!A:A,A10,广告数据包!G:G,Base!$F$2)+SUMIFS(广告数据包!M:M,广告数据包!A:A,A10,广告数据包!G:G,Base!$F$3)+SUMIFS(广告数据包!M:M,广告数据包!A:A,A10,广告数据包!G:G,Base!$F$4)</f>
        <v>0</v>
      </c>
      <c r="Q10" s="57">
        <f t="shared" si="7"/>
        <v>0</v>
      </c>
      <c r="R10" s="56">
        <f>SUMIFS(广告数据包!L:L,广告数据包!A:A,A10,广告数据包!G:G,Base!$F$2)+SUMIFS(广告数据包!L:L,广告数据包!A:A,A10,广告数据包!G:G,Base!$F$3)+SUMIFS(广告数据包!L:L,广告数据包!A:A,A10,广告数据包!G:G,Base!$F$4)</f>
        <v>0</v>
      </c>
      <c r="S10" s="86">
        <f t="shared" si="8"/>
        <v>0</v>
      </c>
      <c r="T10" s="105"/>
    </row>
    <row r="11" s="91" customFormat="1" ht="16" customHeight="1" spans="1:20">
      <c r="A11" s="58">
        <f>DATE($B$1,$B$2,DAY(A10)+1)</f>
        <v>44568</v>
      </c>
      <c r="B11" s="55">
        <f>SUMIFS(销售数据包!F:F,销售数据包!A:A,A11,销售数据包!C:C,Base!$F$2)+SUMIFS(销售数据包!F:F,销售数据包!A:A,A11,销售数据包!C:C,Base!$F$3)+SUMIFS(销售数据包!F:F,销售数据包!A:A,A11,销售数据包!C:C,Base!$F$4)</f>
        <v>0</v>
      </c>
      <c r="C11" s="56">
        <f>SUMIFS(销售数据包!K:K,销售数据包!A:A,A11,销售数据包!C:C,Base!$F$2)+SUMIFS(销售数据包!K:K,销售数据包!A:A,A11,销售数据包!C:C,Base!$F$3)+SUMIFS(销售数据包!K:K,销售数据包!A:A,A11,销售数据包!C:C,Base!$F$4)</f>
        <v>0</v>
      </c>
      <c r="D11" s="56">
        <f>SUMIFS(销售数据包!Q:Q,销售数据包!A:A,A11,销售数据包!C:C,Base!$F$2)+SUMIFS(销售数据包!Q:Q,销售数据包!A:A,A11,销售数据包!C:C,Base!$F$3)+SUMIFS(销售数据包!Q:Q,销售数据包!A:A,A11,销售数据包!C:C,Base!$F$4)</f>
        <v>0</v>
      </c>
      <c r="E11" s="57">
        <f t="shared" si="1"/>
        <v>0</v>
      </c>
      <c r="F11" s="57">
        <f t="shared" si="2"/>
        <v>0</v>
      </c>
      <c r="G11" s="56">
        <f>SUMIFS(销售数据包!O:O,销售数据包!A:A,A11)</f>
        <v>0</v>
      </c>
      <c r="H11" s="57">
        <f t="shared" si="3"/>
        <v>0</v>
      </c>
      <c r="I11" s="71">
        <f t="shared" si="4"/>
        <v>0</v>
      </c>
      <c r="J11" s="99" t="str">
        <f t="shared" si="0"/>
        <v>周5</v>
      </c>
      <c r="K11" s="73">
        <f>SUMIFS(广告数据包!H:H,广告数据包!A:A,A11,广告数据包!G:G,Base!$F$2)+SUMIFS(广告数据包!H:H,广告数据包!A:A,A11,广告数据包!G:G,Base!$F$3)+SUMIFS(广告数据包!H:H,广告数据包!A:A,A11,广告数据包!G:G,Base!$F$4)</f>
        <v>0</v>
      </c>
      <c r="L11" s="56">
        <f>SUMIFS(广告数据包!I:I,广告数据包!A:A,A11,广告数据包!G:G,Base!$F$2)+SUMIFS(广告数据包!I:I,广告数据包!A:A,A11,广告数据包!G:G,Base!$F$3)+SUMIFS(广告数据包!I:I,广告数据包!A:A,A11,广告数据包!G:G,Base!$F$4)</f>
        <v>0</v>
      </c>
      <c r="M11" s="57">
        <f t="shared" si="5"/>
        <v>0</v>
      </c>
      <c r="N11" s="74">
        <f t="shared" si="6"/>
        <v>0</v>
      </c>
      <c r="O11" s="75">
        <f>SUMIFS(广告数据包!P:P,广告数据包!A:A,A11,广告数据包!G:G,Base!$F$2)+SUMIFS(广告数据包!P:P,广告数据包!A:A,A11,广告数据包!G:G,Base!$F$3)+SUMIFS(广告数据包!P:P,广告数据包!A:A,A11,广告数据包!G:G,Base!$F$4)</f>
        <v>0</v>
      </c>
      <c r="P11" s="56">
        <f>SUMIFS(广告数据包!M:M,广告数据包!A:A,A11,广告数据包!G:G,Base!$F$2)+SUMIFS(广告数据包!M:M,广告数据包!A:A,A11,广告数据包!G:G,Base!$F$3)+SUMIFS(广告数据包!M:M,广告数据包!A:A,A11,广告数据包!G:G,Base!$F$4)</f>
        <v>0</v>
      </c>
      <c r="Q11" s="57">
        <f t="shared" si="7"/>
        <v>0</v>
      </c>
      <c r="R11" s="56">
        <f>SUMIFS(广告数据包!L:L,广告数据包!A:A,A11,广告数据包!G:G,Base!$F$2)+SUMIFS(广告数据包!L:L,广告数据包!A:A,A11,广告数据包!G:G,Base!$F$3)+SUMIFS(广告数据包!L:L,广告数据包!A:A,A11,广告数据包!G:G,Base!$F$4)</f>
        <v>0</v>
      </c>
      <c r="S11" s="86">
        <f t="shared" si="8"/>
        <v>0</v>
      </c>
      <c r="T11" s="105"/>
    </row>
    <row r="12" s="91" customFormat="1" ht="16" customHeight="1" spans="1:20">
      <c r="A12" s="58">
        <f>DATE($B$1,$B$2,DAY(A11)+1)</f>
        <v>44569</v>
      </c>
      <c r="B12" s="55">
        <f>SUMIFS(销售数据包!F:F,销售数据包!A:A,A12,销售数据包!C:C,Base!$F$2)+SUMIFS(销售数据包!F:F,销售数据包!A:A,A12,销售数据包!C:C,Base!$F$3)+SUMIFS(销售数据包!F:F,销售数据包!A:A,A12,销售数据包!C:C,Base!$F$4)</f>
        <v>0</v>
      </c>
      <c r="C12" s="56">
        <f>SUMIFS(销售数据包!K:K,销售数据包!A:A,A12,销售数据包!C:C,Base!$F$2)+SUMIFS(销售数据包!K:K,销售数据包!A:A,A12,销售数据包!C:C,Base!$F$3)+SUMIFS(销售数据包!K:K,销售数据包!A:A,A12,销售数据包!C:C,Base!$F$4)</f>
        <v>0</v>
      </c>
      <c r="D12" s="56">
        <f>SUMIFS(销售数据包!Q:Q,销售数据包!A:A,A12,销售数据包!C:C,Base!$F$2)+SUMIFS(销售数据包!Q:Q,销售数据包!A:A,A12,销售数据包!C:C,Base!$F$3)+SUMIFS(销售数据包!Q:Q,销售数据包!A:A,A12,销售数据包!C:C,Base!$F$4)</f>
        <v>0</v>
      </c>
      <c r="E12" s="57">
        <f t="shared" si="1"/>
        <v>0</v>
      </c>
      <c r="F12" s="57">
        <f t="shared" si="2"/>
        <v>0</v>
      </c>
      <c r="G12" s="56">
        <f>SUMIFS(销售数据包!O:O,销售数据包!A:A,A12)</f>
        <v>0</v>
      </c>
      <c r="H12" s="57">
        <f t="shared" si="3"/>
        <v>0</v>
      </c>
      <c r="I12" s="71">
        <f t="shared" si="4"/>
        <v>0</v>
      </c>
      <c r="J12" s="99" t="str">
        <f t="shared" si="0"/>
        <v>周6</v>
      </c>
      <c r="K12" s="73">
        <f>SUMIFS(广告数据包!H:H,广告数据包!A:A,A12,广告数据包!G:G,Base!$F$2)+SUMIFS(广告数据包!H:H,广告数据包!A:A,A12,广告数据包!G:G,Base!$F$3)+SUMIFS(广告数据包!H:H,广告数据包!A:A,A12,广告数据包!G:G,Base!$F$4)</f>
        <v>0</v>
      </c>
      <c r="L12" s="56">
        <f>SUMIFS(广告数据包!I:I,广告数据包!A:A,A12,广告数据包!G:G,Base!$F$2)+SUMIFS(广告数据包!I:I,广告数据包!A:A,A12,广告数据包!G:G,Base!$F$3)+SUMIFS(广告数据包!I:I,广告数据包!A:A,A12,广告数据包!G:G,Base!$F$4)</f>
        <v>0</v>
      </c>
      <c r="M12" s="57">
        <f t="shared" si="5"/>
        <v>0</v>
      </c>
      <c r="N12" s="74">
        <f t="shared" si="6"/>
        <v>0</v>
      </c>
      <c r="O12" s="75">
        <f>SUMIFS(广告数据包!P:P,广告数据包!A:A,A12,广告数据包!G:G,Base!$F$2)+SUMIFS(广告数据包!P:P,广告数据包!A:A,A12,广告数据包!G:G,Base!$F$3)+SUMIFS(广告数据包!P:P,广告数据包!A:A,A12,广告数据包!G:G,Base!$F$4)</f>
        <v>0</v>
      </c>
      <c r="P12" s="56">
        <f>SUMIFS(广告数据包!M:M,广告数据包!A:A,A12,广告数据包!G:G,Base!$F$2)+SUMIFS(广告数据包!M:M,广告数据包!A:A,A12,广告数据包!G:G,Base!$F$3)+SUMIFS(广告数据包!M:M,广告数据包!A:A,A12,广告数据包!G:G,Base!$F$4)</f>
        <v>0</v>
      </c>
      <c r="Q12" s="57">
        <f t="shared" si="7"/>
        <v>0</v>
      </c>
      <c r="R12" s="56">
        <f>SUMIFS(广告数据包!L:L,广告数据包!A:A,A12,广告数据包!G:G,Base!$F$2)+SUMIFS(广告数据包!L:L,广告数据包!A:A,A12,广告数据包!G:G,Base!$F$3)+SUMIFS(广告数据包!L:L,广告数据包!A:A,A12,广告数据包!G:G,Base!$F$4)</f>
        <v>0</v>
      </c>
      <c r="S12" s="86">
        <f t="shared" si="8"/>
        <v>0</v>
      </c>
      <c r="T12" s="105"/>
    </row>
    <row r="13" s="91" customFormat="1" ht="16" customHeight="1" spans="1:20">
      <c r="A13" s="58">
        <f>DATE($B$1,$B$2,DAY(A12)+1)</f>
        <v>44570</v>
      </c>
      <c r="B13" s="55">
        <f>SUMIFS(销售数据包!F:F,销售数据包!A:A,A13,销售数据包!C:C,Base!$F$2)+SUMIFS(销售数据包!F:F,销售数据包!A:A,A13,销售数据包!C:C,Base!$F$3)+SUMIFS(销售数据包!F:F,销售数据包!A:A,A13,销售数据包!C:C,Base!$F$4)</f>
        <v>0</v>
      </c>
      <c r="C13" s="56">
        <f>SUMIFS(销售数据包!K:K,销售数据包!A:A,A13,销售数据包!C:C,Base!$F$2)+SUMIFS(销售数据包!K:K,销售数据包!A:A,A13,销售数据包!C:C,Base!$F$3)+SUMIFS(销售数据包!K:K,销售数据包!A:A,A13,销售数据包!C:C,Base!$F$4)</f>
        <v>0</v>
      </c>
      <c r="D13" s="56">
        <f>SUMIFS(销售数据包!Q:Q,销售数据包!A:A,A13,销售数据包!C:C,Base!$F$2)+SUMIFS(销售数据包!Q:Q,销售数据包!A:A,A13,销售数据包!C:C,Base!$F$3)+SUMIFS(销售数据包!Q:Q,销售数据包!A:A,A13,销售数据包!C:C,Base!$F$4)</f>
        <v>0</v>
      </c>
      <c r="E13" s="57">
        <f t="shared" si="1"/>
        <v>0</v>
      </c>
      <c r="F13" s="57">
        <f t="shared" si="2"/>
        <v>0</v>
      </c>
      <c r="G13" s="56">
        <f>SUMIFS(销售数据包!O:O,销售数据包!A:A,A13)</f>
        <v>0</v>
      </c>
      <c r="H13" s="57">
        <f t="shared" si="3"/>
        <v>0</v>
      </c>
      <c r="I13" s="71">
        <f t="shared" si="4"/>
        <v>0</v>
      </c>
      <c r="J13" s="99" t="str">
        <f t="shared" si="0"/>
        <v>周7</v>
      </c>
      <c r="K13" s="73">
        <f>SUMIFS(广告数据包!H:H,广告数据包!A:A,A13,广告数据包!G:G,Base!$F$2)+SUMIFS(广告数据包!H:H,广告数据包!A:A,A13,广告数据包!G:G,Base!$F$3)+SUMIFS(广告数据包!H:H,广告数据包!A:A,A13,广告数据包!G:G,Base!$F$4)</f>
        <v>0</v>
      </c>
      <c r="L13" s="56">
        <f>SUMIFS(广告数据包!I:I,广告数据包!A:A,A13,广告数据包!G:G,Base!$F$2)+SUMIFS(广告数据包!I:I,广告数据包!A:A,A13,广告数据包!G:G,Base!$F$3)+SUMIFS(广告数据包!I:I,广告数据包!A:A,A13,广告数据包!G:G,Base!$F$4)</f>
        <v>0</v>
      </c>
      <c r="M13" s="57">
        <f t="shared" si="5"/>
        <v>0</v>
      </c>
      <c r="N13" s="74">
        <f t="shared" si="6"/>
        <v>0</v>
      </c>
      <c r="O13" s="75">
        <f>SUMIFS(广告数据包!P:P,广告数据包!A:A,A13,广告数据包!G:G,Base!$F$2)+SUMIFS(广告数据包!P:P,广告数据包!A:A,A13,广告数据包!G:G,Base!$F$3)+SUMIFS(广告数据包!P:P,广告数据包!A:A,A13,广告数据包!G:G,Base!$F$4)</f>
        <v>0</v>
      </c>
      <c r="P13" s="56">
        <f>SUMIFS(广告数据包!M:M,广告数据包!A:A,A13,广告数据包!G:G,Base!$F$2)+SUMIFS(广告数据包!M:M,广告数据包!A:A,A13,广告数据包!G:G,Base!$F$3)+SUMIFS(广告数据包!M:M,广告数据包!A:A,A13,广告数据包!G:G,Base!$F$4)</f>
        <v>0</v>
      </c>
      <c r="Q13" s="57">
        <f t="shared" si="7"/>
        <v>0</v>
      </c>
      <c r="R13" s="56">
        <f>SUMIFS(广告数据包!L:L,广告数据包!A:A,A13,广告数据包!G:G,Base!$F$2)+SUMIFS(广告数据包!L:L,广告数据包!A:A,A13,广告数据包!G:G,Base!$F$3)+SUMIFS(广告数据包!L:L,广告数据包!A:A,A13,广告数据包!G:G,Base!$F$4)</f>
        <v>0</v>
      </c>
      <c r="S13" s="86">
        <f t="shared" si="8"/>
        <v>0</v>
      </c>
      <c r="T13" s="105"/>
    </row>
    <row r="14" s="91" customFormat="1" ht="16" customHeight="1" spans="1:20">
      <c r="A14" s="58">
        <f>DATE($B$1,$B$2,DAY(A13)+1)</f>
        <v>44571</v>
      </c>
      <c r="B14" s="55">
        <f>SUMIFS(销售数据包!F:F,销售数据包!A:A,A14,销售数据包!C:C,Base!$F$2)+SUMIFS(销售数据包!F:F,销售数据包!A:A,A14,销售数据包!C:C,Base!$F$3)+SUMIFS(销售数据包!F:F,销售数据包!A:A,A14,销售数据包!C:C,Base!$F$4)</f>
        <v>0</v>
      </c>
      <c r="C14" s="56">
        <f>SUMIFS(销售数据包!K:K,销售数据包!A:A,A14,销售数据包!C:C,Base!$F$2)+SUMIFS(销售数据包!K:K,销售数据包!A:A,A14,销售数据包!C:C,Base!$F$3)+SUMIFS(销售数据包!K:K,销售数据包!A:A,A14,销售数据包!C:C,Base!$F$4)</f>
        <v>0</v>
      </c>
      <c r="D14" s="56">
        <f>SUMIFS(销售数据包!Q:Q,销售数据包!A:A,A14,销售数据包!C:C,Base!$F$2)+SUMIFS(销售数据包!Q:Q,销售数据包!A:A,A14,销售数据包!C:C,Base!$F$3)+SUMIFS(销售数据包!Q:Q,销售数据包!A:A,A14,销售数据包!C:C,Base!$F$4)</f>
        <v>0</v>
      </c>
      <c r="E14" s="57">
        <f t="shared" si="1"/>
        <v>0</v>
      </c>
      <c r="F14" s="57">
        <f t="shared" si="2"/>
        <v>0</v>
      </c>
      <c r="G14" s="56">
        <f>SUMIFS(销售数据包!O:O,销售数据包!A:A,A14)</f>
        <v>0</v>
      </c>
      <c r="H14" s="57">
        <f t="shared" si="3"/>
        <v>0</v>
      </c>
      <c r="I14" s="71">
        <f t="shared" si="4"/>
        <v>0</v>
      </c>
      <c r="J14" s="99" t="str">
        <f t="shared" si="0"/>
        <v>周1</v>
      </c>
      <c r="K14" s="73">
        <f>SUMIFS(广告数据包!H:H,广告数据包!A:A,A14,广告数据包!G:G,Base!$F$2)+SUMIFS(广告数据包!H:H,广告数据包!A:A,A14,广告数据包!G:G,Base!$F$3)+SUMIFS(广告数据包!H:H,广告数据包!A:A,A14,广告数据包!G:G,Base!$F$4)</f>
        <v>0</v>
      </c>
      <c r="L14" s="56">
        <f>SUMIFS(广告数据包!I:I,广告数据包!A:A,A14,广告数据包!G:G,Base!$F$2)+SUMIFS(广告数据包!I:I,广告数据包!A:A,A14,广告数据包!G:G,Base!$F$3)+SUMIFS(广告数据包!I:I,广告数据包!A:A,A14,广告数据包!G:G,Base!$F$4)</f>
        <v>0</v>
      </c>
      <c r="M14" s="57">
        <f t="shared" si="5"/>
        <v>0</v>
      </c>
      <c r="N14" s="74">
        <f t="shared" si="6"/>
        <v>0</v>
      </c>
      <c r="O14" s="75">
        <f>SUMIFS(广告数据包!P:P,广告数据包!A:A,A14,广告数据包!G:G,Base!$F$2)+SUMIFS(广告数据包!P:P,广告数据包!A:A,A14,广告数据包!G:G,Base!$F$3)+SUMIFS(广告数据包!P:P,广告数据包!A:A,A14,广告数据包!G:G,Base!$F$4)</f>
        <v>0</v>
      </c>
      <c r="P14" s="56">
        <f>SUMIFS(广告数据包!M:M,广告数据包!A:A,A14,广告数据包!G:G,Base!$F$2)+SUMIFS(广告数据包!M:M,广告数据包!A:A,A14,广告数据包!G:G,Base!$F$3)+SUMIFS(广告数据包!M:M,广告数据包!A:A,A14,广告数据包!G:G,Base!$F$4)</f>
        <v>0</v>
      </c>
      <c r="Q14" s="57">
        <f t="shared" si="7"/>
        <v>0</v>
      </c>
      <c r="R14" s="56">
        <f>SUMIFS(广告数据包!L:L,广告数据包!A:A,A14,广告数据包!G:G,Base!$F$2)+SUMIFS(广告数据包!L:L,广告数据包!A:A,A14,广告数据包!G:G,Base!$F$3)+SUMIFS(广告数据包!L:L,广告数据包!A:A,A14,广告数据包!G:G,Base!$F$4)</f>
        <v>0</v>
      </c>
      <c r="S14" s="86">
        <f t="shared" si="8"/>
        <v>0</v>
      </c>
      <c r="T14" s="105"/>
    </row>
    <row r="15" s="91" customFormat="1" ht="16" customHeight="1" spans="1:20">
      <c r="A15" s="58">
        <f>DATE($B$1,$B$2,DAY(A14)+1)</f>
        <v>44572</v>
      </c>
      <c r="B15" s="55">
        <f>SUMIFS(销售数据包!F:F,销售数据包!A:A,A15,销售数据包!C:C,Base!$F$2)+SUMIFS(销售数据包!F:F,销售数据包!A:A,A15,销售数据包!C:C,Base!$F$3)+SUMIFS(销售数据包!F:F,销售数据包!A:A,A15,销售数据包!C:C,Base!$F$4)</f>
        <v>0</v>
      </c>
      <c r="C15" s="56">
        <f>SUMIFS(销售数据包!K:K,销售数据包!A:A,A15,销售数据包!C:C,Base!$F$2)+SUMIFS(销售数据包!K:K,销售数据包!A:A,A15,销售数据包!C:C,Base!$F$3)+SUMIFS(销售数据包!K:K,销售数据包!A:A,A15,销售数据包!C:C,Base!$F$4)</f>
        <v>0</v>
      </c>
      <c r="D15" s="56">
        <f>SUMIFS(销售数据包!Q:Q,销售数据包!A:A,A15,销售数据包!C:C,Base!$F$2)+SUMIFS(销售数据包!Q:Q,销售数据包!A:A,A15,销售数据包!C:C,Base!$F$3)+SUMIFS(销售数据包!Q:Q,销售数据包!A:A,A15,销售数据包!C:C,Base!$F$4)</f>
        <v>0</v>
      </c>
      <c r="E15" s="57">
        <f t="shared" si="1"/>
        <v>0</v>
      </c>
      <c r="F15" s="57">
        <f t="shared" si="2"/>
        <v>0</v>
      </c>
      <c r="G15" s="56">
        <f>SUMIFS(销售数据包!O:O,销售数据包!A:A,A15)</f>
        <v>0</v>
      </c>
      <c r="H15" s="57">
        <f t="shared" si="3"/>
        <v>0</v>
      </c>
      <c r="I15" s="71">
        <f t="shared" si="4"/>
        <v>0</v>
      </c>
      <c r="J15" s="99" t="str">
        <f t="shared" si="0"/>
        <v>周2</v>
      </c>
      <c r="K15" s="73">
        <f>SUMIFS(广告数据包!H:H,广告数据包!A:A,A15,广告数据包!G:G,Base!$F$2)+SUMIFS(广告数据包!H:H,广告数据包!A:A,A15,广告数据包!G:G,Base!$F$3)+SUMIFS(广告数据包!H:H,广告数据包!A:A,A15,广告数据包!G:G,Base!$F$4)</f>
        <v>0</v>
      </c>
      <c r="L15" s="56">
        <f>SUMIFS(广告数据包!I:I,广告数据包!A:A,A15,广告数据包!G:G,Base!$F$2)+SUMIFS(广告数据包!I:I,广告数据包!A:A,A15,广告数据包!G:G,Base!$F$3)+SUMIFS(广告数据包!I:I,广告数据包!A:A,A15,广告数据包!G:G,Base!$F$4)</f>
        <v>0</v>
      </c>
      <c r="M15" s="57">
        <f t="shared" si="5"/>
        <v>0</v>
      </c>
      <c r="N15" s="74">
        <f t="shared" si="6"/>
        <v>0</v>
      </c>
      <c r="O15" s="75">
        <f>SUMIFS(广告数据包!P:P,广告数据包!A:A,A15,广告数据包!G:G,Base!$F$2)+SUMIFS(广告数据包!P:P,广告数据包!A:A,A15,广告数据包!G:G,Base!$F$3)+SUMIFS(广告数据包!P:P,广告数据包!A:A,A15,广告数据包!G:G,Base!$F$4)</f>
        <v>0</v>
      </c>
      <c r="P15" s="56">
        <f>SUMIFS(广告数据包!M:M,广告数据包!A:A,A15,广告数据包!G:G,Base!$F$2)+SUMIFS(广告数据包!M:M,广告数据包!A:A,A15,广告数据包!G:G,Base!$F$3)+SUMIFS(广告数据包!M:M,广告数据包!A:A,A15,广告数据包!G:G,Base!$F$4)</f>
        <v>0</v>
      </c>
      <c r="Q15" s="57">
        <f t="shared" si="7"/>
        <v>0</v>
      </c>
      <c r="R15" s="56">
        <f>SUMIFS(广告数据包!L:L,广告数据包!A:A,A15,广告数据包!G:G,Base!$F$2)+SUMIFS(广告数据包!L:L,广告数据包!A:A,A15,广告数据包!G:G,Base!$F$3)+SUMIFS(广告数据包!L:L,广告数据包!A:A,A15,广告数据包!G:G,Base!$F$4)</f>
        <v>0</v>
      </c>
      <c r="S15" s="86">
        <f t="shared" si="8"/>
        <v>0</v>
      </c>
      <c r="T15" s="105"/>
    </row>
    <row r="16" s="91" customFormat="1" ht="16" customHeight="1" spans="1:20">
      <c r="A16" s="58">
        <f>DATE($B$1,$B$2,DAY(A15)+1)</f>
        <v>44573</v>
      </c>
      <c r="B16" s="55">
        <f>SUMIFS(销售数据包!F:F,销售数据包!A:A,A16,销售数据包!C:C,Base!$F$2)+SUMIFS(销售数据包!F:F,销售数据包!A:A,A16,销售数据包!C:C,Base!$F$3)+SUMIFS(销售数据包!F:F,销售数据包!A:A,A16,销售数据包!C:C,Base!$F$4)</f>
        <v>0</v>
      </c>
      <c r="C16" s="56">
        <f>SUMIFS(销售数据包!K:K,销售数据包!A:A,A16,销售数据包!C:C,Base!$F$2)+SUMIFS(销售数据包!K:K,销售数据包!A:A,A16,销售数据包!C:C,Base!$F$3)+SUMIFS(销售数据包!K:K,销售数据包!A:A,A16,销售数据包!C:C,Base!$F$4)</f>
        <v>0</v>
      </c>
      <c r="D16" s="56">
        <f>SUMIFS(销售数据包!Q:Q,销售数据包!A:A,A16,销售数据包!C:C,Base!$F$2)+SUMIFS(销售数据包!Q:Q,销售数据包!A:A,A16,销售数据包!C:C,Base!$F$3)+SUMIFS(销售数据包!Q:Q,销售数据包!A:A,A16,销售数据包!C:C,Base!$F$4)</f>
        <v>0</v>
      </c>
      <c r="E16" s="57">
        <f t="shared" si="1"/>
        <v>0</v>
      </c>
      <c r="F16" s="57">
        <f t="shared" si="2"/>
        <v>0</v>
      </c>
      <c r="G16" s="56">
        <f>SUMIFS(销售数据包!O:O,销售数据包!A:A,A16)</f>
        <v>0</v>
      </c>
      <c r="H16" s="57">
        <f t="shared" si="3"/>
        <v>0</v>
      </c>
      <c r="I16" s="71">
        <f t="shared" si="4"/>
        <v>0</v>
      </c>
      <c r="J16" s="99" t="str">
        <f t="shared" si="0"/>
        <v>周3</v>
      </c>
      <c r="K16" s="73">
        <f>SUMIFS(广告数据包!H:H,广告数据包!A:A,A16,广告数据包!G:G,Base!$F$2)+SUMIFS(广告数据包!H:H,广告数据包!A:A,A16,广告数据包!G:G,Base!$F$3)+SUMIFS(广告数据包!H:H,广告数据包!A:A,A16,广告数据包!G:G,Base!$F$4)</f>
        <v>0</v>
      </c>
      <c r="L16" s="56">
        <f>SUMIFS(广告数据包!I:I,广告数据包!A:A,A16,广告数据包!G:G,Base!$F$2)+SUMIFS(广告数据包!I:I,广告数据包!A:A,A16,广告数据包!G:G,Base!$F$3)+SUMIFS(广告数据包!I:I,广告数据包!A:A,A16,广告数据包!G:G,Base!$F$4)</f>
        <v>0</v>
      </c>
      <c r="M16" s="57">
        <f t="shared" si="5"/>
        <v>0</v>
      </c>
      <c r="N16" s="74">
        <f t="shared" si="6"/>
        <v>0</v>
      </c>
      <c r="O16" s="75">
        <f>SUMIFS(广告数据包!P:P,广告数据包!A:A,A16,广告数据包!G:G,Base!$F$2)+SUMIFS(广告数据包!P:P,广告数据包!A:A,A16,广告数据包!G:G,Base!$F$3)+SUMIFS(广告数据包!P:P,广告数据包!A:A,A16,广告数据包!G:G,Base!$F$4)</f>
        <v>0</v>
      </c>
      <c r="P16" s="56">
        <f>SUMIFS(广告数据包!M:M,广告数据包!A:A,A16,广告数据包!G:G,Base!$F$2)+SUMIFS(广告数据包!M:M,广告数据包!A:A,A16,广告数据包!G:G,Base!$F$3)+SUMIFS(广告数据包!M:M,广告数据包!A:A,A16,广告数据包!G:G,Base!$F$4)</f>
        <v>0</v>
      </c>
      <c r="Q16" s="57">
        <f t="shared" si="7"/>
        <v>0</v>
      </c>
      <c r="R16" s="56">
        <f>SUMIFS(广告数据包!L:L,广告数据包!A:A,A16,广告数据包!G:G,Base!$F$2)+SUMIFS(广告数据包!L:L,广告数据包!A:A,A16,广告数据包!G:G,Base!$F$3)+SUMIFS(广告数据包!L:L,广告数据包!A:A,A16,广告数据包!G:G,Base!$F$4)</f>
        <v>0</v>
      </c>
      <c r="S16" s="86">
        <f t="shared" si="8"/>
        <v>0</v>
      </c>
      <c r="T16" s="105"/>
    </row>
    <row r="17" s="91" customFormat="1" ht="16" customHeight="1" spans="1:20">
      <c r="A17" s="58">
        <f>DATE($B$1,$B$2,DAY(A16)+1)</f>
        <v>44574</v>
      </c>
      <c r="B17" s="55">
        <f>SUMIFS(销售数据包!F:F,销售数据包!A:A,A17,销售数据包!C:C,Base!$F$2)+SUMIFS(销售数据包!F:F,销售数据包!A:A,A17,销售数据包!C:C,Base!$F$3)+SUMIFS(销售数据包!F:F,销售数据包!A:A,A17,销售数据包!C:C,Base!$F$4)</f>
        <v>0</v>
      </c>
      <c r="C17" s="56">
        <f>SUMIFS(销售数据包!K:K,销售数据包!A:A,A17,销售数据包!C:C,Base!$F$2)+SUMIFS(销售数据包!K:K,销售数据包!A:A,A17,销售数据包!C:C,Base!$F$3)+SUMIFS(销售数据包!K:K,销售数据包!A:A,A17,销售数据包!C:C,Base!$F$4)</f>
        <v>0</v>
      </c>
      <c r="D17" s="56">
        <f>SUMIFS(销售数据包!Q:Q,销售数据包!A:A,A17,销售数据包!C:C,Base!$F$2)+SUMIFS(销售数据包!Q:Q,销售数据包!A:A,A17,销售数据包!C:C,Base!$F$3)+SUMIFS(销售数据包!Q:Q,销售数据包!A:A,A17,销售数据包!C:C,Base!$F$4)</f>
        <v>0</v>
      </c>
      <c r="E17" s="57">
        <f t="shared" si="1"/>
        <v>0</v>
      </c>
      <c r="F17" s="57">
        <f t="shared" si="2"/>
        <v>0</v>
      </c>
      <c r="G17" s="56">
        <f>SUMIFS(销售数据包!O:O,销售数据包!A:A,A17)</f>
        <v>0</v>
      </c>
      <c r="H17" s="57">
        <f t="shared" si="3"/>
        <v>0</v>
      </c>
      <c r="I17" s="71">
        <f t="shared" si="4"/>
        <v>0</v>
      </c>
      <c r="J17" s="99" t="str">
        <f t="shared" si="0"/>
        <v>周4</v>
      </c>
      <c r="K17" s="73">
        <f>SUMIFS(广告数据包!H:H,广告数据包!A:A,A17,广告数据包!G:G,Base!$F$2)+SUMIFS(广告数据包!H:H,广告数据包!A:A,A17,广告数据包!G:G,Base!$F$3)+SUMIFS(广告数据包!H:H,广告数据包!A:A,A17,广告数据包!G:G,Base!$F$4)</f>
        <v>0</v>
      </c>
      <c r="L17" s="56">
        <f>SUMIFS(广告数据包!I:I,广告数据包!A:A,A17,广告数据包!G:G,Base!$F$2)+SUMIFS(广告数据包!I:I,广告数据包!A:A,A17,广告数据包!G:G,Base!$F$3)+SUMIFS(广告数据包!I:I,广告数据包!A:A,A17,广告数据包!G:G,Base!$F$4)</f>
        <v>0</v>
      </c>
      <c r="M17" s="57">
        <f t="shared" si="5"/>
        <v>0</v>
      </c>
      <c r="N17" s="74">
        <f t="shared" si="6"/>
        <v>0</v>
      </c>
      <c r="O17" s="75">
        <f>SUMIFS(广告数据包!P:P,广告数据包!A:A,A17,广告数据包!G:G,Base!$F$2)+SUMIFS(广告数据包!P:P,广告数据包!A:A,A17,广告数据包!G:G,Base!$F$3)+SUMIFS(广告数据包!P:P,广告数据包!A:A,A17,广告数据包!G:G,Base!$F$4)</f>
        <v>0</v>
      </c>
      <c r="P17" s="56">
        <f>SUMIFS(广告数据包!M:M,广告数据包!A:A,A17,广告数据包!G:G,Base!$F$2)+SUMIFS(广告数据包!M:M,广告数据包!A:A,A17,广告数据包!G:G,Base!$F$3)+SUMIFS(广告数据包!M:M,广告数据包!A:A,A17,广告数据包!G:G,Base!$F$4)</f>
        <v>0</v>
      </c>
      <c r="Q17" s="57">
        <f t="shared" si="7"/>
        <v>0</v>
      </c>
      <c r="R17" s="56">
        <f>SUMIFS(广告数据包!L:L,广告数据包!A:A,A17,广告数据包!G:G,Base!$F$2)+SUMIFS(广告数据包!L:L,广告数据包!A:A,A17,广告数据包!G:G,Base!$F$3)+SUMIFS(广告数据包!L:L,广告数据包!A:A,A17,广告数据包!G:G,Base!$F$4)</f>
        <v>0</v>
      </c>
      <c r="S17" s="86">
        <f t="shared" si="8"/>
        <v>0</v>
      </c>
      <c r="T17" s="105"/>
    </row>
    <row r="18" s="91" customFormat="1" ht="16" customHeight="1" spans="1:20">
      <c r="A18" s="58">
        <f>DATE($B$1,$B$2,DAY(A17)+1)</f>
        <v>44575</v>
      </c>
      <c r="B18" s="55">
        <f>SUMIFS(销售数据包!F:F,销售数据包!A:A,A18,销售数据包!C:C,Base!$F$2)+SUMIFS(销售数据包!F:F,销售数据包!A:A,A18,销售数据包!C:C,Base!$F$3)+SUMIFS(销售数据包!F:F,销售数据包!A:A,A18,销售数据包!C:C,Base!$F$4)</f>
        <v>0</v>
      </c>
      <c r="C18" s="56">
        <f>SUMIFS(销售数据包!K:K,销售数据包!A:A,A18,销售数据包!C:C,Base!$F$2)+SUMIFS(销售数据包!K:K,销售数据包!A:A,A18,销售数据包!C:C,Base!$F$3)+SUMIFS(销售数据包!K:K,销售数据包!A:A,A18,销售数据包!C:C,Base!$F$4)</f>
        <v>0</v>
      </c>
      <c r="D18" s="56">
        <f>SUMIFS(销售数据包!Q:Q,销售数据包!A:A,A18,销售数据包!C:C,Base!$F$2)+SUMIFS(销售数据包!Q:Q,销售数据包!A:A,A18,销售数据包!C:C,Base!$F$3)+SUMIFS(销售数据包!Q:Q,销售数据包!A:A,A18,销售数据包!C:C,Base!$F$4)</f>
        <v>0</v>
      </c>
      <c r="E18" s="57">
        <f t="shared" si="1"/>
        <v>0</v>
      </c>
      <c r="F18" s="57">
        <f t="shared" si="2"/>
        <v>0</v>
      </c>
      <c r="G18" s="56">
        <f>SUMIFS(销售数据包!O:O,销售数据包!A:A,A18)</f>
        <v>0</v>
      </c>
      <c r="H18" s="57">
        <f t="shared" si="3"/>
        <v>0</v>
      </c>
      <c r="I18" s="71">
        <f t="shared" si="4"/>
        <v>0</v>
      </c>
      <c r="J18" s="99" t="str">
        <f t="shared" si="0"/>
        <v>周5</v>
      </c>
      <c r="K18" s="73">
        <f>SUMIFS(广告数据包!H:H,广告数据包!A:A,A18,广告数据包!G:G,Base!$F$2)+SUMIFS(广告数据包!H:H,广告数据包!A:A,A18,广告数据包!G:G,Base!$F$3)+SUMIFS(广告数据包!H:H,广告数据包!A:A,A18,广告数据包!G:G,Base!$F$4)</f>
        <v>0</v>
      </c>
      <c r="L18" s="56">
        <f>SUMIFS(广告数据包!I:I,广告数据包!A:A,A18,广告数据包!G:G,Base!$F$2)+SUMIFS(广告数据包!I:I,广告数据包!A:A,A18,广告数据包!G:G,Base!$F$3)+SUMIFS(广告数据包!I:I,广告数据包!A:A,A18,广告数据包!G:G,Base!$F$4)</f>
        <v>0</v>
      </c>
      <c r="M18" s="57">
        <f t="shared" si="5"/>
        <v>0</v>
      </c>
      <c r="N18" s="74">
        <f t="shared" si="6"/>
        <v>0</v>
      </c>
      <c r="O18" s="75">
        <f>SUMIFS(广告数据包!P:P,广告数据包!A:A,A18,广告数据包!G:G,Base!$F$2)+SUMIFS(广告数据包!P:P,广告数据包!A:A,A18,广告数据包!G:G,Base!$F$3)+SUMIFS(广告数据包!P:P,广告数据包!A:A,A18,广告数据包!G:G,Base!$F$4)</f>
        <v>0</v>
      </c>
      <c r="P18" s="56">
        <f>SUMIFS(广告数据包!M:M,广告数据包!A:A,A18,广告数据包!G:G,Base!$F$2)+SUMIFS(广告数据包!M:M,广告数据包!A:A,A18,广告数据包!G:G,Base!$F$3)+SUMIFS(广告数据包!M:M,广告数据包!A:A,A18,广告数据包!G:G,Base!$F$4)</f>
        <v>0</v>
      </c>
      <c r="Q18" s="57">
        <f t="shared" si="7"/>
        <v>0</v>
      </c>
      <c r="R18" s="56">
        <f>SUMIFS(广告数据包!L:L,广告数据包!A:A,A18,广告数据包!G:G,Base!$F$2)+SUMIFS(广告数据包!L:L,广告数据包!A:A,A18,广告数据包!G:G,Base!$F$3)+SUMIFS(广告数据包!L:L,广告数据包!A:A,A18,广告数据包!G:G,Base!$F$4)</f>
        <v>0</v>
      </c>
      <c r="S18" s="86">
        <f t="shared" si="8"/>
        <v>0</v>
      </c>
      <c r="T18" s="105"/>
    </row>
    <row r="19" s="91" customFormat="1" ht="16" customHeight="1" spans="1:20">
      <c r="A19" s="58">
        <f>DATE($B$1,$B$2,DAY(A18)+1)</f>
        <v>44576</v>
      </c>
      <c r="B19" s="55">
        <f>SUMIFS(销售数据包!F:F,销售数据包!A:A,A19,销售数据包!C:C,Base!$F$2)+SUMIFS(销售数据包!F:F,销售数据包!A:A,A19,销售数据包!C:C,Base!$F$3)+SUMIFS(销售数据包!F:F,销售数据包!A:A,A19,销售数据包!C:C,Base!$F$4)</f>
        <v>0</v>
      </c>
      <c r="C19" s="56">
        <f>SUMIFS(销售数据包!K:K,销售数据包!A:A,A19,销售数据包!C:C,Base!$F$2)+SUMIFS(销售数据包!K:K,销售数据包!A:A,A19,销售数据包!C:C,Base!$F$3)+SUMIFS(销售数据包!K:K,销售数据包!A:A,A19,销售数据包!C:C,Base!$F$4)</f>
        <v>0</v>
      </c>
      <c r="D19" s="56">
        <f>SUMIFS(销售数据包!Q:Q,销售数据包!A:A,A19,销售数据包!C:C,Base!$F$2)+SUMIFS(销售数据包!Q:Q,销售数据包!A:A,A19,销售数据包!C:C,Base!$F$3)+SUMIFS(销售数据包!Q:Q,销售数据包!A:A,A19,销售数据包!C:C,Base!$F$4)</f>
        <v>0</v>
      </c>
      <c r="E19" s="57">
        <f t="shared" si="1"/>
        <v>0</v>
      </c>
      <c r="F19" s="57">
        <f t="shared" si="2"/>
        <v>0</v>
      </c>
      <c r="G19" s="56">
        <f>SUMIFS(销售数据包!O:O,销售数据包!A:A,A19)</f>
        <v>0</v>
      </c>
      <c r="H19" s="57">
        <f t="shared" si="3"/>
        <v>0</v>
      </c>
      <c r="I19" s="71">
        <f t="shared" si="4"/>
        <v>0</v>
      </c>
      <c r="J19" s="99" t="str">
        <f t="shared" si="0"/>
        <v>周6</v>
      </c>
      <c r="K19" s="73">
        <f>SUMIFS(广告数据包!H:H,广告数据包!A:A,A19,广告数据包!G:G,Base!$F$2)+SUMIFS(广告数据包!H:H,广告数据包!A:A,A19,广告数据包!G:G,Base!$F$3)+SUMIFS(广告数据包!H:H,广告数据包!A:A,A19,广告数据包!G:G,Base!$F$4)</f>
        <v>0</v>
      </c>
      <c r="L19" s="56">
        <f>SUMIFS(广告数据包!I:I,广告数据包!A:A,A19,广告数据包!G:G,Base!$F$2)+SUMIFS(广告数据包!I:I,广告数据包!A:A,A19,广告数据包!G:G,Base!$F$3)+SUMIFS(广告数据包!I:I,广告数据包!A:A,A19,广告数据包!G:G,Base!$F$4)</f>
        <v>0</v>
      </c>
      <c r="M19" s="57">
        <f t="shared" si="5"/>
        <v>0</v>
      </c>
      <c r="N19" s="74">
        <f t="shared" si="6"/>
        <v>0</v>
      </c>
      <c r="O19" s="75">
        <f>SUMIFS(广告数据包!P:P,广告数据包!A:A,A19,广告数据包!G:G,Base!$F$2)+SUMIFS(广告数据包!P:P,广告数据包!A:A,A19,广告数据包!G:G,Base!$F$3)+SUMIFS(广告数据包!P:P,广告数据包!A:A,A19,广告数据包!G:G,Base!$F$4)</f>
        <v>0</v>
      </c>
      <c r="P19" s="56">
        <f>SUMIFS(广告数据包!M:M,广告数据包!A:A,A19,广告数据包!G:G,Base!$F$2)+SUMIFS(广告数据包!M:M,广告数据包!A:A,A19,广告数据包!G:G,Base!$F$3)+SUMIFS(广告数据包!M:M,广告数据包!A:A,A19,广告数据包!G:G,Base!$F$4)</f>
        <v>0</v>
      </c>
      <c r="Q19" s="57">
        <f t="shared" si="7"/>
        <v>0</v>
      </c>
      <c r="R19" s="56">
        <f>SUMIFS(广告数据包!L:L,广告数据包!A:A,A19,广告数据包!G:G,Base!$F$2)+SUMIFS(广告数据包!L:L,广告数据包!A:A,A19,广告数据包!G:G,Base!$F$3)+SUMIFS(广告数据包!L:L,广告数据包!A:A,A19,广告数据包!G:G,Base!$F$4)</f>
        <v>0</v>
      </c>
      <c r="S19" s="86">
        <f t="shared" si="8"/>
        <v>0</v>
      </c>
      <c r="T19" s="105"/>
    </row>
    <row r="20" s="91" customFormat="1" ht="16" customHeight="1" spans="1:20">
      <c r="A20" s="58">
        <f>DATE($B$1,$B$2,DAY(A19)+1)</f>
        <v>44577</v>
      </c>
      <c r="B20" s="55">
        <f>SUMIFS(销售数据包!F:F,销售数据包!A:A,A20,销售数据包!C:C,Base!$F$2)+SUMIFS(销售数据包!F:F,销售数据包!A:A,A20,销售数据包!C:C,Base!$F$3)+SUMIFS(销售数据包!F:F,销售数据包!A:A,A20,销售数据包!C:C,Base!$F$4)</f>
        <v>0</v>
      </c>
      <c r="C20" s="56">
        <f>SUMIFS(销售数据包!K:K,销售数据包!A:A,A20,销售数据包!C:C,Base!$F$2)+SUMIFS(销售数据包!K:K,销售数据包!A:A,A20,销售数据包!C:C,Base!$F$3)+SUMIFS(销售数据包!K:K,销售数据包!A:A,A20,销售数据包!C:C,Base!$F$4)</f>
        <v>0</v>
      </c>
      <c r="D20" s="56">
        <f>SUMIFS(销售数据包!Q:Q,销售数据包!A:A,A20,销售数据包!C:C,Base!$F$2)+SUMIFS(销售数据包!Q:Q,销售数据包!A:A,A20,销售数据包!C:C,Base!$F$3)+SUMIFS(销售数据包!Q:Q,销售数据包!A:A,A20,销售数据包!C:C,Base!$F$4)</f>
        <v>0</v>
      </c>
      <c r="E20" s="57">
        <f t="shared" si="1"/>
        <v>0</v>
      </c>
      <c r="F20" s="57">
        <f t="shared" si="2"/>
        <v>0</v>
      </c>
      <c r="G20" s="56">
        <f>SUMIFS(销售数据包!O:O,销售数据包!A:A,A20)</f>
        <v>0</v>
      </c>
      <c r="H20" s="57">
        <f t="shared" si="3"/>
        <v>0</v>
      </c>
      <c r="I20" s="71">
        <f t="shared" si="4"/>
        <v>0</v>
      </c>
      <c r="J20" s="99" t="str">
        <f t="shared" si="0"/>
        <v>周7</v>
      </c>
      <c r="K20" s="73">
        <f>SUMIFS(广告数据包!H:H,广告数据包!A:A,A20,广告数据包!G:G,Base!$F$2)+SUMIFS(广告数据包!H:H,广告数据包!A:A,A20,广告数据包!G:G,Base!$F$3)+SUMIFS(广告数据包!H:H,广告数据包!A:A,A20,广告数据包!G:G,Base!$F$4)</f>
        <v>0</v>
      </c>
      <c r="L20" s="56">
        <f>SUMIFS(广告数据包!I:I,广告数据包!A:A,A20,广告数据包!G:G,Base!$F$2)+SUMIFS(广告数据包!I:I,广告数据包!A:A,A20,广告数据包!G:G,Base!$F$3)+SUMIFS(广告数据包!I:I,广告数据包!A:A,A20,广告数据包!G:G,Base!$F$4)</f>
        <v>0</v>
      </c>
      <c r="M20" s="57">
        <f t="shared" si="5"/>
        <v>0</v>
      </c>
      <c r="N20" s="74">
        <f t="shared" si="6"/>
        <v>0</v>
      </c>
      <c r="O20" s="75">
        <f>SUMIFS(广告数据包!P:P,广告数据包!A:A,A20,广告数据包!G:G,Base!$F$2)+SUMIFS(广告数据包!P:P,广告数据包!A:A,A20,广告数据包!G:G,Base!$F$3)+SUMIFS(广告数据包!P:P,广告数据包!A:A,A20,广告数据包!G:G,Base!$F$4)</f>
        <v>0</v>
      </c>
      <c r="P20" s="56">
        <f>SUMIFS(广告数据包!M:M,广告数据包!A:A,A20,广告数据包!G:G,Base!$F$2)+SUMIFS(广告数据包!M:M,广告数据包!A:A,A20,广告数据包!G:G,Base!$F$3)+SUMIFS(广告数据包!M:M,广告数据包!A:A,A20,广告数据包!G:G,Base!$F$4)</f>
        <v>0</v>
      </c>
      <c r="Q20" s="57">
        <f t="shared" si="7"/>
        <v>0</v>
      </c>
      <c r="R20" s="56">
        <f>SUMIFS(广告数据包!L:L,广告数据包!A:A,A20,广告数据包!G:G,Base!$F$2)+SUMIFS(广告数据包!L:L,广告数据包!A:A,A20,广告数据包!G:G,Base!$F$3)+SUMIFS(广告数据包!L:L,广告数据包!A:A,A20,广告数据包!G:G,Base!$F$4)</f>
        <v>0</v>
      </c>
      <c r="S20" s="86">
        <f t="shared" si="8"/>
        <v>0</v>
      </c>
      <c r="T20" s="105"/>
    </row>
    <row r="21" s="91" customFormat="1" ht="16" customHeight="1" spans="1:20">
      <c r="A21" s="58">
        <f>DATE($B$1,$B$2,DAY(A20)+1)</f>
        <v>44578</v>
      </c>
      <c r="B21" s="55">
        <f>SUMIFS(销售数据包!F:F,销售数据包!A:A,A21,销售数据包!C:C,Base!$F$2)+SUMIFS(销售数据包!F:F,销售数据包!A:A,A21,销售数据包!C:C,Base!$F$3)+SUMIFS(销售数据包!F:F,销售数据包!A:A,A21,销售数据包!C:C,Base!$F$4)</f>
        <v>0</v>
      </c>
      <c r="C21" s="56">
        <f>SUMIFS(销售数据包!K:K,销售数据包!A:A,A21,销售数据包!C:C,Base!$F$2)+SUMIFS(销售数据包!K:K,销售数据包!A:A,A21,销售数据包!C:C,Base!$F$3)+SUMIFS(销售数据包!K:K,销售数据包!A:A,A21,销售数据包!C:C,Base!$F$4)</f>
        <v>0</v>
      </c>
      <c r="D21" s="56">
        <f>SUMIFS(销售数据包!Q:Q,销售数据包!A:A,A21,销售数据包!C:C,Base!$F$2)+SUMIFS(销售数据包!Q:Q,销售数据包!A:A,A21,销售数据包!C:C,Base!$F$3)+SUMIFS(销售数据包!Q:Q,销售数据包!A:A,A21,销售数据包!C:C,Base!$F$4)</f>
        <v>0</v>
      </c>
      <c r="E21" s="57">
        <f t="shared" si="1"/>
        <v>0</v>
      </c>
      <c r="F21" s="57">
        <f t="shared" si="2"/>
        <v>0</v>
      </c>
      <c r="G21" s="56">
        <f>SUMIFS(销售数据包!O:O,销售数据包!A:A,A21)</f>
        <v>0</v>
      </c>
      <c r="H21" s="57">
        <f t="shared" si="3"/>
        <v>0</v>
      </c>
      <c r="I21" s="71">
        <f t="shared" si="4"/>
        <v>0</v>
      </c>
      <c r="J21" s="99" t="str">
        <f t="shared" si="0"/>
        <v>周1</v>
      </c>
      <c r="K21" s="73">
        <f>SUMIFS(广告数据包!H:H,广告数据包!A:A,A21,广告数据包!G:G,Base!$F$2)+SUMIFS(广告数据包!H:H,广告数据包!A:A,A21,广告数据包!G:G,Base!$F$3)+SUMIFS(广告数据包!H:H,广告数据包!A:A,A21,广告数据包!G:G,Base!$F$4)</f>
        <v>0</v>
      </c>
      <c r="L21" s="56">
        <f>SUMIFS(广告数据包!I:I,广告数据包!A:A,A21,广告数据包!G:G,Base!$F$2)+SUMIFS(广告数据包!I:I,广告数据包!A:A,A21,广告数据包!G:G,Base!$F$3)+SUMIFS(广告数据包!I:I,广告数据包!A:A,A21,广告数据包!G:G,Base!$F$4)</f>
        <v>0</v>
      </c>
      <c r="M21" s="57">
        <f t="shared" si="5"/>
        <v>0</v>
      </c>
      <c r="N21" s="74">
        <f t="shared" si="6"/>
        <v>0</v>
      </c>
      <c r="O21" s="75">
        <f>SUMIFS(广告数据包!P:P,广告数据包!A:A,A21,广告数据包!G:G,Base!$F$2)+SUMIFS(广告数据包!P:P,广告数据包!A:A,A21,广告数据包!G:G,Base!$F$3)+SUMIFS(广告数据包!P:P,广告数据包!A:A,A21,广告数据包!G:G,Base!$F$4)</f>
        <v>0</v>
      </c>
      <c r="P21" s="56">
        <f>SUMIFS(广告数据包!M:M,广告数据包!A:A,A21,广告数据包!G:G,Base!$F$2)+SUMIFS(广告数据包!M:M,广告数据包!A:A,A21,广告数据包!G:G,Base!$F$3)+SUMIFS(广告数据包!M:M,广告数据包!A:A,A21,广告数据包!G:G,Base!$F$4)</f>
        <v>0</v>
      </c>
      <c r="Q21" s="57">
        <f t="shared" si="7"/>
        <v>0</v>
      </c>
      <c r="R21" s="56">
        <f>SUMIFS(广告数据包!L:L,广告数据包!A:A,A21,广告数据包!G:G,Base!$F$2)+SUMIFS(广告数据包!L:L,广告数据包!A:A,A21,广告数据包!G:G,Base!$F$3)+SUMIFS(广告数据包!L:L,广告数据包!A:A,A21,广告数据包!G:G,Base!$F$4)</f>
        <v>0</v>
      </c>
      <c r="S21" s="86">
        <f t="shared" si="8"/>
        <v>0</v>
      </c>
      <c r="T21" s="105"/>
    </row>
    <row r="22" s="91" customFormat="1" ht="16" customHeight="1" spans="1:20">
      <c r="A22" s="58">
        <f>DATE($B$1,$B$2,DAY(A21)+1)</f>
        <v>44579</v>
      </c>
      <c r="B22" s="55">
        <f>SUMIFS(销售数据包!F:F,销售数据包!A:A,A22,销售数据包!C:C,Base!$F$2)+SUMIFS(销售数据包!F:F,销售数据包!A:A,A22,销售数据包!C:C,Base!$F$3)+SUMIFS(销售数据包!F:F,销售数据包!A:A,A22,销售数据包!C:C,Base!$F$4)</f>
        <v>0</v>
      </c>
      <c r="C22" s="56">
        <f>SUMIFS(销售数据包!K:K,销售数据包!A:A,A22,销售数据包!C:C,Base!$F$2)+SUMIFS(销售数据包!K:K,销售数据包!A:A,A22,销售数据包!C:C,Base!$F$3)+SUMIFS(销售数据包!K:K,销售数据包!A:A,A22,销售数据包!C:C,Base!$F$4)</f>
        <v>0</v>
      </c>
      <c r="D22" s="56">
        <f>SUMIFS(销售数据包!Q:Q,销售数据包!A:A,A22,销售数据包!C:C,Base!$F$2)+SUMIFS(销售数据包!Q:Q,销售数据包!A:A,A22,销售数据包!C:C,Base!$F$3)+SUMIFS(销售数据包!Q:Q,销售数据包!A:A,A22,销售数据包!C:C,Base!$F$4)</f>
        <v>0</v>
      </c>
      <c r="E22" s="57">
        <f t="shared" si="1"/>
        <v>0</v>
      </c>
      <c r="F22" s="57">
        <f t="shared" si="2"/>
        <v>0</v>
      </c>
      <c r="G22" s="56">
        <f>SUMIFS(销售数据包!O:O,销售数据包!A:A,A22)</f>
        <v>0</v>
      </c>
      <c r="H22" s="57">
        <f t="shared" si="3"/>
        <v>0</v>
      </c>
      <c r="I22" s="71">
        <f t="shared" si="4"/>
        <v>0</v>
      </c>
      <c r="J22" s="99" t="str">
        <f t="shared" si="0"/>
        <v>周2</v>
      </c>
      <c r="K22" s="73">
        <f>SUMIFS(广告数据包!H:H,广告数据包!A:A,A22,广告数据包!G:G,Base!$F$2)+SUMIFS(广告数据包!H:H,广告数据包!A:A,A22,广告数据包!G:G,Base!$F$3)+SUMIFS(广告数据包!H:H,广告数据包!A:A,A22,广告数据包!G:G,Base!$F$4)</f>
        <v>0</v>
      </c>
      <c r="L22" s="56">
        <f>SUMIFS(广告数据包!I:I,广告数据包!A:A,A22,广告数据包!G:G,Base!$F$2)+SUMIFS(广告数据包!I:I,广告数据包!A:A,A22,广告数据包!G:G,Base!$F$3)+SUMIFS(广告数据包!I:I,广告数据包!A:A,A22,广告数据包!G:G,Base!$F$4)</f>
        <v>0</v>
      </c>
      <c r="M22" s="57">
        <f t="shared" si="5"/>
        <v>0</v>
      </c>
      <c r="N22" s="74">
        <f t="shared" si="6"/>
        <v>0</v>
      </c>
      <c r="O22" s="75">
        <f>SUMIFS(广告数据包!P:P,广告数据包!A:A,A22,广告数据包!G:G,Base!$F$2)+SUMIFS(广告数据包!P:P,广告数据包!A:A,A22,广告数据包!G:G,Base!$F$3)+SUMIFS(广告数据包!P:P,广告数据包!A:A,A22,广告数据包!G:G,Base!$F$4)</f>
        <v>0</v>
      </c>
      <c r="P22" s="56">
        <f>SUMIFS(广告数据包!M:M,广告数据包!A:A,A22,广告数据包!G:G,Base!$F$2)+SUMIFS(广告数据包!M:M,广告数据包!A:A,A22,广告数据包!G:G,Base!$F$3)+SUMIFS(广告数据包!M:M,广告数据包!A:A,A22,广告数据包!G:G,Base!$F$4)</f>
        <v>0</v>
      </c>
      <c r="Q22" s="57">
        <f t="shared" si="7"/>
        <v>0</v>
      </c>
      <c r="R22" s="56">
        <f>SUMIFS(广告数据包!L:L,广告数据包!A:A,A22,广告数据包!G:G,Base!$F$2)+SUMIFS(广告数据包!L:L,广告数据包!A:A,A22,广告数据包!G:G,Base!$F$3)+SUMIFS(广告数据包!L:L,广告数据包!A:A,A22,广告数据包!G:G,Base!$F$4)</f>
        <v>0</v>
      </c>
      <c r="S22" s="86">
        <f t="shared" si="8"/>
        <v>0</v>
      </c>
      <c r="T22" s="105"/>
    </row>
    <row r="23" s="91" customFormat="1" ht="16" customHeight="1" spans="1:20">
      <c r="A23" s="58">
        <f>DATE($B$1,$B$2,DAY(A22)+1)</f>
        <v>44580</v>
      </c>
      <c r="B23" s="55">
        <f>SUMIFS(销售数据包!F:F,销售数据包!A:A,A23,销售数据包!C:C,Base!$F$2)+SUMIFS(销售数据包!F:F,销售数据包!A:A,A23,销售数据包!C:C,Base!$F$3)+SUMIFS(销售数据包!F:F,销售数据包!A:A,A23,销售数据包!C:C,Base!$F$4)</f>
        <v>0</v>
      </c>
      <c r="C23" s="56">
        <f>SUMIFS(销售数据包!K:K,销售数据包!A:A,A23,销售数据包!C:C,Base!$F$2)+SUMIFS(销售数据包!K:K,销售数据包!A:A,A23,销售数据包!C:C,Base!$F$3)+SUMIFS(销售数据包!K:K,销售数据包!A:A,A23,销售数据包!C:C,Base!$F$4)</f>
        <v>0</v>
      </c>
      <c r="D23" s="56">
        <f>SUMIFS(销售数据包!Q:Q,销售数据包!A:A,A23,销售数据包!C:C,Base!$F$2)+SUMIFS(销售数据包!Q:Q,销售数据包!A:A,A23,销售数据包!C:C,Base!$F$3)+SUMIFS(销售数据包!Q:Q,销售数据包!A:A,A23,销售数据包!C:C,Base!$F$4)</f>
        <v>0</v>
      </c>
      <c r="E23" s="57">
        <f t="shared" si="1"/>
        <v>0</v>
      </c>
      <c r="F23" s="57">
        <f t="shared" si="2"/>
        <v>0</v>
      </c>
      <c r="G23" s="56">
        <f>SUMIFS(销售数据包!O:O,销售数据包!A:A,A23)</f>
        <v>0</v>
      </c>
      <c r="H23" s="57">
        <f t="shared" si="3"/>
        <v>0</v>
      </c>
      <c r="I23" s="71">
        <f t="shared" si="4"/>
        <v>0</v>
      </c>
      <c r="J23" s="99" t="str">
        <f t="shared" si="0"/>
        <v>周3</v>
      </c>
      <c r="K23" s="73">
        <f>SUMIFS(广告数据包!H:H,广告数据包!A:A,A23,广告数据包!G:G,Base!$F$2)+SUMIFS(广告数据包!H:H,广告数据包!A:A,A23,广告数据包!G:G,Base!$F$3)+SUMIFS(广告数据包!H:H,广告数据包!A:A,A23,广告数据包!G:G,Base!$F$4)</f>
        <v>0</v>
      </c>
      <c r="L23" s="56">
        <f>SUMIFS(广告数据包!I:I,广告数据包!A:A,A23,广告数据包!G:G,Base!$F$2)+SUMIFS(广告数据包!I:I,广告数据包!A:A,A23,广告数据包!G:G,Base!$F$3)+SUMIFS(广告数据包!I:I,广告数据包!A:A,A23,广告数据包!G:G,Base!$F$4)</f>
        <v>0</v>
      </c>
      <c r="M23" s="57">
        <f t="shared" si="5"/>
        <v>0</v>
      </c>
      <c r="N23" s="74">
        <f t="shared" si="6"/>
        <v>0</v>
      </c>
      <c r="O23" s="75">
        <f>SUMIFS(广告数据包!P:P,广告数据包!A:A,A23,广告数据包!G:G,Base!$F$2)+SUMIFS(广告数据包!P:P,广告数据包!A:A,A23,广告数据包!G:G,Base!$F$3)+SUMIFS(广告数据包!P:P,广告数据包!A:A,A23,广告数据包!G:G,Base!$F$4)</f>
        <v>0</v>
      </c>
      <c r="P23" s="56">
        <f>SUMIFS(广告数据包!M:M,广告数据包!A:A,A23,广告数据包!G:G,Base!$F$2)+SUMIFS(广告数据包!M:M,广告数据包!A:A,A23,广告数据包!G:G,Base!$F$3)+SUMIFS(广告数据包!M:M,广告数据包!A:A,A23,广告数据包!G:G,Base!$F$4)</f>
        <v>0</v>
      </c>
      <c r="Q23" s="57">
        <f t="shared" si="7"/>
        <v>0</v>
      </c>
      <c r="R23" s="56">
        <f>SUMIFS(广告数据包!L:L,广告数据包!A:A,A23,广告数据包!G:G,Base!$F$2)+SUMIFS(广告数据包!L:L,广告数据包!A:A,A23,广告数据包!G:G,Base!$F$3)+SUMIFS(广告数据包!L:L,广告数据包!A:A,A23,广告数据包!G:G,Base!$F$4)</f>
        <v>0</v>
      </c>
      <c r="S23" s="86">
        <f t="shared" si="8"/>
        <v>0</v>
      </c>
      <c r="T23" s="105"/>
    </row>
    <row r="24" s="91" customFormat="1" ht="16" customHeight="1" spans="1:20">
      <c r="A24" s="58">
        <f>DATE($B$1,$B$2,DAY(A23)+1)</f>
        <v>44581</v>
      </c>
      <c r="B24" s="55">
        <f>SUMIFS(销售数据包!F:F,销售数据包!A:A,A24,销售数据包!C:C,Base!$F$2)+SUMIFS(销售数据包!F:F,销售数据包!A:A,A24,销售数据包!C:C,Base!$F$3)+SUMIFS(销售数据包!F:F,销售数据包!A:A,A24,销售数据包!C:C,Base!$F$4)</f>
        <v>0</v>
      </c>
      <c r="C24" s="56">
        <f>SUMIFS(销售数据包!K:K,销售数据包!A:A,A24,销售数据包!C:C,Base!$F$2)+SUMIFS(销售数据包!K:K,销售数据包!A:A,A24,销售数据包!C:C,Base!$F$3)+SUMIFS(销售数据包!K:K,销售数据包!A:A,A24,销售数据包!C:C,Base!$F$4)</f>
        <v>0</v>
      </c>
      <c r="D24" s="56">
        <f>SUMIFS(销售数据包!Q:Q,销售数据包!A:A,A24,销售数据包!C:C,Base!$F$2)+SUMIFS(销售数据包!Q:Q,销售数据包!A:A,A24,销售数据包!C:C,Base!$F$3)+SUMIFS(销售数据包!Q:Q,销售数据包!A:A,A24,销售数据包!C:C,Base!$F$4)</f>
        <v>0</v>
      </c>
      <c r="E24" s="57">
        <f t="shared" si="1"/>
        <v>0</v>
      </c>
      <c r="F24" s="57">
        <f t="shared" si="2"/>
        <v>0</v>
      </c>
      <c r="G24" s="56">
        <f>SUMIFS(销售数据包!O:O,销售数据包!A:A,A24)</f>
        <v>0</v>
      </c>
      <c r="H24" s="57">
        <f t="shared" si="3"/>
        <v>0</v>
      </c>
      <c r="I24" s="71">
        <f t="shared" si="4"/>
        <v>0</v>
      </c>
      <c r="J24" s="99" t="str">
        <f t="shared" si="0"/>
        <v>周4</v>
      </c>
      <c r="K24" s="73">
        <f>SUMIFS(广告数据包!H:H,广告数据包!A:A,A24,广告数据包!G:G,Base!$F$2)+SUMIFS(广告数据包!H:H,广告数据包!A:A,A24,广告数据包!G:G,Base!$F$3)+SUMIFS(广告数据包!H:H,广告数据包!A:A,A24,广告数据包!G:G,Base!$F$4)</f>
        <v>0</v>
      </c>
      <c r="L24" s="56">
        <f>SUMIFS(广告数据包!I:I,广告数据包!A:A,A24,广告数据包!G:G,Base!$F$2)+SUMIFS(广告数据包!I:I,广告数据包!A:A,A24,广告数据包!G:G,Base!$F$3)+SUMIFS(广告数据包!I:I,广告数据包!A:A,A24,广告数据包!G:G,Base!$F$4)</f>
        <v>0</v>
      </c>
      <c r="M24" s="57">
        <f t="shared" si="5"/>
        <v>0</v>
      </c>
      <c r="N24" s="74">
        <f t="shared" si="6"/>
        <v>0</v>
      </c>
      <c r="O24" s="75">
        <f>SUMIFS(广告数据包!P:P,广告数据包!A:A,A24,广告数据包!G:G,Base!$F$2)+SUMIFS(广告数据包!P:P,广告数据包!A:A,A24,广告数据包!G:G,Base!$F$3)+SUMIFS(广告数据包!P:P,广告数据包!A:A,A24,广告数据包!G:G,Base!$F$4)</f>
        <v>0</v>
      </c>
      <c r="P24" s="56">
        <f>SUMIFS(广告数据包!M:M,广告数据包!A:A,A24,广告数据包!G:G,Base!$F$2)+SUMIFS(广告数据包!M:M,广告数据包!A:A,A24,广告数据包!G:G,Base!$F$3)+SUMIFS(广告数据包!M:M,广告数据包!A:A,A24,广告数据包!G:G,Base!$F$4)</f>
        <v>0</v>
      </c>
      <c r="Q24" s="57">
        <f t="shared" si="7"/>
        <v>0</v>
      </c>
      <c r="R24" s="56">
        <f>SUMIFS(广告数据包!L:L,广告数据包!A:A,A24,广告数据包!G:G,Base!$F$2)+SUMIFS(广告数据包!L:L,广告数据包!A:A,A24,广告数据包!G:G,Base!$F$3)+SUMIFS(广告数据包!L:L,广告数据包!A:A,A24,广告数据包!G:G,Base!$F$4)</f>
        <v>0</v>
      </c>
      <c r="S24" s="86">
        <f t="shared" si="8"/>
        <v>0</v>
      </c>
      <c r="T24" s="105"/>
    </row>
    <row r="25" s="91" customFormat="1" ht="16" customHeight="1" spans="1:20">
      <c r="A25" s="58">
        <f>DATE($B$1,$B$2,DAY(A24)+1)</f>
        <v>44582</v>
      </c>
      <c r="B25" s="55">
        <f>SUMIFS(销售数据包!F:F,销售数据包!A:A,A25,销售数据包!C:C,Base!$F$2)+SUMIFS(销售数据包!F:F,销售数据包!A:A,A25,销售数据包!C:C,Base!$F$3)+SUMIFS(销售数据包!F:F,销售数据包!A:A,A25,销售数据包!C:C,Base!$F$4)</f>
        <v>0</v>
      </c>
      <c r="C25" s="56">
        <f>SUMIFS(销售数据包!K:K,销售数据包!A:A,A25,销售数据包!C:C,Base!$F$2)+SUMIFS(销售数据包!K:K,销售数据包!A:A,A25,销售数据包!C:C,Base!$F$3)+SUMIFS(销售数据包!K:K,销售数据包!A:A,A25,销售数据包!C:C,Base!$F$4)</f>
        <v>0</v>
      </c>
      <c r="D25" s="56">
        <f>SUMIFS(销售数据包!Q:Q,销售数据包!A:A,A25,销售数据包!C:C,Base!$F$2)+SUMIFS(销售数据包!Q:Q,销售数据包!A:A,A25,销售数据包!C:C,Base!$F$3)+SUMIFS(销售数据包!Q:Q,销售数据包!A:A,A25,销售数据包!C:C,Base!$F$4)</f>
        <v>0</v>
      </c>
      <c r="E25" s="57">
        <f t="shared" si="1"/>
        <v>0</v>
      </c>
      <c r="F25" s="57">
        <f t="shared" si="2"/>
        <v>0</v>
      </c>
      <c r="G25" s="56">
        <f>SUMIFS(销售数据包!O:O,销售数据包!A:A,A25)</f>
        <v>0</v>
      </c>
      <c r="H25" s="57">
        <f t="shared" si="3"/>
        <v>0</v>
      </c>
      <c r="I25" s="71">
        <f t="shared" si="4"/>
        <v>0</v>
      </c>
      <c r="J25" s="99" t="str">
        <f t="shared" si="0"/>
        <v>周5</v>
      </c>
      <c r="K25" s="73">
        <f>SUMIFS(广告数据包!H:H,广告数据包!A:A,A25,广告数据包!G:G,Base!$F$2)+SUMIFS(广告数据包!H:H,广告数据包!A:A,A25,广告数据包!G:G,Base!$F$3)+SUMIFS(广告数据包!H:H,广告数据包!A:A,A25,广告数据包!G:G,Base!$F$4)</f>
        <v>0</v>
      </c>
      <c r="L25" s="56">
        <f>SUMIFS(广告数据包!I:I,广告数据包!A:A,A25,广告数据包!G:G,Base!$F$2)+SUMIFS(广告数据包!I:I,广告数据包!A:A,A25,广告数据包!G:G,Base!$F$3)+SUMIFS(广告数据包!I:I,广告数据包!A:A,A25,广告数据包!G:G,Base!$F$4)</f>
        <v>0</v>
      </c>
      <c r="M25" s="57">
        <f t="shared" si="5"/>
        <v>0</v>
      </c>
      <c r="N25" s="74">
        <f t="shared" si="6"/>
        <v>0</v>
      </c>
      <c r="O25" s="75">
        <f>SUMIFS(广告数据包!P:P,广告数据包!A:A,A25,广告数据包!G:G,Base!$F$2)+SUMIFS(广告数据包!P:P,广告数据包!A:A,A25,广告数据包!G:G,Base!$F$3)+SUMIFS(广告数据包!P:P,广告数据包!A:A,A25,广告数据包!G:G,Base!$F$4)</f>
        <v>0</v>
      </c>
      <c r="P25" s="56">
        <f>SUMIFS(广告数据包!M:M,广告数据包!A:A,A25,广告数据包!G:G,Base!$F$2)+SUMIFS(广告数据包!M:M,广告数据包!A:A,A25,广告数据包!G:G,Base!$F$3)+SUMIFS(广告数据包!M:M,广告数据包!A:A,A25,广告数据包!G:G,Base!$F$4)</f>
        <v>0</v>
      </c>
      <c r="Q25" s="57">
        <f t="shared" si="7"/>
        <v>0</v>
      </c>
      <c r="R25" s="56">
        <f>SUMIFS(广告数据包!L:L,广告数据包!A:A,A25,广告数据包!G:G,Base!$F$2)+SUMIFS(广告数据包!L:L,广告数据包!A:A,A25,广告数据包!G:G,Base!$F$3)+SUMIFS(广告数据包!L:L,广告数据包!A:A,A25,广告数据包!G:G,Base!$F$4)</f>
        <v>0</v>
      </c>
      <c r="S25" s="86">
        <f t="shared" si="8"/>
        <v>0</v>
      </c>
      <c r="T25" s="105"/>
    </row>
    <row r="26" s="91" customFormat="1" ht="16" customHeight="1" spans="1:20">
      <c r="A26" s="58">
        <f>DATE($B$1,$B$2,DAY(A25)+1)</f>
        <v>44583</v>
      </c>
      <c r="B26" s="55">
        <f>SUMIFS(销售数据包!F:F,销售数据包!A:A,A26,销售数据包!C:C,Base!$F$2)+SUMIFS(销售数据包!F:F,销售数据包!A:A,A26,销售数据包!C:C,Base!$F$3)+SUMIFS(销售数据包!F:F,销售数据包!A:A,A26,销售数据包!C:C,Base!$F$4)</f>
        <v>0</v>
      </c>
      <c r="C26" s="56">
        <f>SUMIFS(销售数据包!K:K,销售数据包!A:A,A26,销售数据包!C:C,Base!$F$2)+SUMIFS(销售数据包!K:K,销售数据包!A:A,A26,销售数据包!C:C,Base!$F$3)+SUMIFS(销售数据包!K:K,销售数据包!A:A,A26,销售数据包!C:C,Base!$F$4)</f>
        <v>0</v>
      </c>
      <c r="D26" s="56">
        <f>SUMIFS(销售数据包!Q:Q,销售数据包!A:A,A26,销售数据包!C:C,Base!$F$2)+SUMIFS(销售数据包!Q:Q,销售数据包!A:A,A26,销售数据包!C:C,Base!$F$3)+SUMIFS(销售数据包!Q:Q,销售数据包!A:A,A26,销售数据包!C:C,Base!$F$4)</f>
        <v>0</v>
      </c>
      <c r="E26" s="57">
        <f t="shared" si="1"/>
        <v>0</v>
      </c>
      <c r="F26" s="57">
        <f t="shared" si="2"/>
        <v>0</v>
      </c>
      <c r="G26" s="56">
        <f>SUMIFS(销售数据包!O:O,销售数据包!A:A,A26)</f>
        <v>0</v>
      </c>
      <c r="H26" s="57">
        <f t="shared" si="3"/>
        <v>0</v>
      </c>
      <c r="I26" s="71">
        <f t="shared" si="4"/>
        <v>0</v>
      </c>
      <c r="J26" s="99" t="str">
        <f t="shared" si="0"/>
        <v>周6</v>
      </c>
      <c r="K26" s="73">
        <f>SUMIFS(广告数据包!H:H,广告数据包!A:A,A26,广告数据包!G:G,Base!$F$2)+SUMIFS(广告数据包!H:H,广告数据包!A:A,A26,广告数据包!G:G,Base!$F$3)+SUMIFS(广告数据包!H:H,广告数据包!A:A,A26,广告数据包!G:G,Base!$F$4)</f>
        <v>0</v>
      </c>
      <c r="L26" s="56">
        <f>SUMIFS(广告数据包!I:I,广告数据包!A:A,A26,广告数据包!G:G,Base!$F$2)+SUMIFS(广告数据包!I:I,广告数据包!A:A,A26,广告数据包!G:G,Base!$F$3)+SUMIFS(广告数据包!I:I,广告数据包!A:A,A26,广告数据包!G:G,Base!$F$4)</f>
        <v>0</v>
      </c>
      <c r="M26" s="57">
        <f t="shared" si="5"/>
        <v>0</v>
      </c>
      <c r="N26" s="74">
        <f t="shared" si="6"/>
        <v>0</v>
      </c>
      <c r="O26" s="75">
        <f>SUMIFS(广告数据包!P:P,广告数据包!A:A,A26,广告数据包!G:G,Base!$F$2)+SUMIFS(广告数据包!P:P,广告数据包!A:A,A26,广告数据包!G:G,Base!$F$3)+SUMIFS(广告数据包!P:P,广告数据包!A:A,A26,广告数据包!G:G,Base!$F$4)</f>
        <v>0</v>
      </c>
      <c r="P26" s="56">
        <f>SUMIFS(广告数据包!M:M,广告数据包!A:A,A26,广告数据包!G:G,Base!$F$2)+SUMIFS(广告数据包!M:M,广告数据包!A:A,A26,广告数据包!G:G,Base!$F$3)+SUMIFS(广告数据包!M:M,广告数据包!A:A,A26,广告数据包!G:G,Base!$F$4)</f>
        <v>0</v>
      </c>
      <c r="Q26" s="57">
        <f t="shared" si="7"/>
        <v>0</v>
      </c>
      <c r="R26" s="56">
        <f>SUMIFS(广告数据包!L:L,广告数据包!A:A,A26,广告数据包!G:G,Base!$F$2)+SUMIFS(广告数据包!L:L,广告数据包!A:A,A26,广告数据包!G:G,Base!$F$3)+SUMIFS(广告数据包!L:L,广告数据包!A:A,A26,广告数据包!G:G,Base!$F$4)</f>
        <v>0</v>
      </c>
      <c r="S26" s="86">
        <f t="shared" si="8"/>
        <v>0</v>
      </c>
      <c r="T26" s="105"/>
    </row>
    <row r="27" s="91" customFormat="1" ht="16" customHeight="1" spans="1:20">
      <c r="A27" s="58">
        <f>DATE($B$1,$B$2,DAY(A26)+1)</f>
        <v>44584</v>
      </c>
      <c r="B27" s="55">
        <f>SUMIFS(销售数据包!F:F,销售数据包!A:A,A27,销售数据包!C:C,Base!$F$2)+SUMIFS(销售数据包!F:F,销售数据包!A:A,A27,销售数据包!C:C,Base!$F$3)+SUMIFS(销售数据包!F:F,销售数据包!A:A,A27,销售数据包!C:C,Base!$F$4)</f>
        <v>0</v>
      </c>
      <c r="C27" s="56">
        <f>SUMIFS(销售数据包!K:K,销售数据包!A:A,A27,销售数据包!C:C,Base!$F$2)+SUMIFS(销售数据包!K:K,销售数据包!A:A,A27,销售数据包!C:C,Base!$F$3)+SUMIFS(销售数据包!K:K,销售数据包!A:A,A27,销售数据包!C:C,Base!$F$4)</f>
        <v>0</v>
      </c>
      <c r="D27" s="56">
        <f>SUMIFS(销售数据包!Q:Q,销售数据包!A:A,A27,销售数据包!C:C,Base!$F$2)+SUMIFS(销售数据包!Q:Q,销售数据包!A:A,A27,销售数据包!C:C,Base!$F$3)+SUMIFS(销售数据包!Q:Q,销售数据包!A:A,A27,销售数据包!C:C,Base!$F$4)</f>
        <v>0</v>
      </c>
      <c r="E27" s="57">
        <f t="shared" si="1"/>
        <v>0</v>
      </c>
      <c r="F27" s="57">
        <f t="shared" si="2"/>
        <v>0</v>
      </c>
      <c r="G27" s="56">
        <f>SUMIFS(销售数据包!O:O,销售数据包!A:A,A27)</f>
        <v>0</v>
      </c>
      <c r="H27" s="57">
        <f t="shared" si="3"/>
        <v>0</v>
      </c>
      <c r="I27" s="71">
        <f t="shared" si="4"/>
        <v>0</v>
      </c>
      <c r="J27" s="99" t="str">
        <f t="shared" si="0"/>
        <v>周7</v>
      </c>
      <c r="K27" s="73">
        <f>SUMIFS(广告数据包!H:H,广告数据包!A:A,A27,广告数据包!G:G,Base!$F$2)+SUMIFS(广告数据包!H:H,广告数据包!A:A,A27,广告数据包!G:G,Base!$F$3)+SUMIFS(广告数据包!H:H,广告数据包!A:A,A27,广告数据包!G:G,Base!$F$4)</f>
        <v>0</v>
      </c>
      <c r="L27" s="56">
        <f>SUMIFS(广告数据包!I:I,广告数据包!A:A,A27,广告数据包!G:G,Base!$F$2)+SUMIFS(广告数据包!I:I,广告数据包!A:A,A27,广告数据包!G:G,Base!$F$3)+SUMIFS(广告数据包!I:I,广告数据包!A:A,A27,广告数据包!G:G,Base!$F$4)</f>
        <v>0</v>
      </c>
      <c r="M27" s="57">
        <f t="shared" si="5"/>
        <v>0</v>
      </c>
      <c r="N27" s="74">
        <f t="shared" si="6"/>
        <v>0</v>
      </c>
      <c r="O27" s="75">
        <f>SUMIFS(广告数据包!P:P,广告数据包!A:A,A27,广告数据包!G:G,Base!$F$2)+SUMIFS(广告数据包!P:P,广告数据包!A:A,A27,广告数据包!G:G,Base!$F$3)+SUMIFS(广告数据包!P:P,广告数据包!A:A,A27,广告数据包!G:G,Base!$F$4)</f>
        <v>0</v>
      </c>
      <c r="P27" s="56">
        <f>SUMIFS(广告数据包!M:M,广告数据包!A:A,A27,广告数据包!G:G,Base!$F$2)+SUMIFS(广告数据包!M:M,广告数据包!A:A,A27,广告数据包!G:G,Base!$F$3)+SUMIFS(广告数据包!M:M,广告数据包!A:A,A27,广告数据包!G:G,Base!$F$4)</f>
        <v>0</v>
      </c>
      <c r="Q27" s="57">
        <f t="shared" si="7"/>
        <v>0</v>
      </c>
      <c r="R27" s="56">
        <f>SUMIFS(广告数据包!L:L,广告数据包!A:A,A27,广告数据包!G:G,Base!$F$2)+SUMIFS(广告数据包!L:L,广告数据包!A:A,A27,广告数据包!G:G,Base!$F$3)+SUMIFS(广告数据包!L:L,广告数据包!A:A,A27,广告数据包!G:G,Base!$F$4)</f>
        <v>0</v>
      </c>
      <c r="S27" s="86">
        <f t="shared" si="8"/>
        <v>0</v>
      </c>
      <c r="T27" s="105"/>
    </row>
    <row r="28" s="91" customFormat="1" ht="16" customHeight="1" spans="1:20">
      <c r="A28" s="58">
        <f>DATE($B$1,$B$2,DAY(A27)+1)</f>
        <v>44585</v>
      </c>
      <c r="B28" s="55">
        <f>SUMIFS(销售数据包!F:F,销售数据包!A:A,A28,销售数据包!C:C,Base!$F$2)+SUMIFS(销售数据包!F:F,销售数据包!A:A,A28,销售数据包!C:C,Base!$F$3)+SUMIFS(销售数据包!F:F,销售数据包!A:A,A28,销售数据包!C:C,Base!$F$4)</f>
        <v>0</v>
      </c>
      <c r="C28" s="56">
        <f>SUMIFS(销售数据包!K:K,销售数据包!A:A,A28,销售数据包!C:C,Base!$F$2)+SUMIFS(销售数据包!K:K,销售数据包!A:A,A28,销售数据包!C:C,Base!$F$3)+SUMIFS(销售数据包!K:K,销售数据包!A:A,A28,销售数据包!C:C,Base!$F$4)</f>
        <v>0</v>
      </c>
      <c r="D28" s="56">
        <f>SUMIFS(销售数据包!Q:Q,销售数据包!A:A,A28,销售数据包!C:C,Base!$F$2)+SUMIFS(销售数据包!Q:Q,销售数据包!A:A,A28,销售数据包!C:C,Base!$F$3)+SUMIFS(销售数据包!Q:Q,销售数据包!A:A,A28,销售数据包!C:C,Base!$F$4)</f>
        <v>0</v>
      </c>
      <c r="E28" s="57">
        <f t="shared" si="1"/>
        <v>0</v>
      </c>
      <c r="F28" s="57">
        <f t="shared" si="2"/>
        <v>0</v>
      </c>
      <c r="G28" s="56">
        <f>SUMIFS(销售数据包!O:O,销售数据包!A:A,A28)</f>
        <v>0</v>
      </c>
      <c r="H28" s="57">
        <f t="shared" si="3"/>
        <v>0</v>
      </c>
      <c r="I28" s="71">
        <f t="shared" si="4"/>
        <v>0</v>
      </c>
      <c r="J28" s="99" t="str">
        <f t="shared" si="0"/>
        <v>周1</v>
      </c>
      <c r="K28" s="73">
        <f>SUMIFS(广告数据包!H:H,广告数据包!A:A,A28,广告数据包!G:G,Base!$F$2)+SUMIFS(广告数据包!H:H,广告数据包!A:A,A28,广告数据包!G:G,Base!$F$3)+SUMIFS(广告数据包!H:H,广告数据包!A:A,A28,广告数据包!G:G,Base!$F$4)</f>
        <v>0</v>
      </c>
      <c r="L28" s="56">
        <f>SUMIFS(广告数据包!I:I,广告数据包!A:A,A28,广告数据包!G:G,Base!$F$2)+SUMIFS(广告数据包!I:I,广告数据包!A:A,A28,广告数据包!G:G,Base!$F$3)+SUMIFS(广告数据包!I:I,广告数据包!A:A,A28,广告数据包!G:G,Base!$F$4)</f>
        <v>0</v>
      </c>
      <c r="M28" s="57">
        <f t="shared" si="5"/>
        <v>0</v>
      </c>
      <c r="N28" s="74">
        <f t="shared" si="6"/>
        <v>0</v>
      </c>
      <c r="O28" s="75">
        <f>SUMIFS(广告数据包!P:P,广告数据包!A:A,A28,广告数据包!G:G,Base!$F$2)+SUMIFS(广告数据包!P:P,广告数据包!A:A,A28,广告数据包!G:G,Base!$F$3)+SUMIFS(广告数据包!P:P,广告数据包!A:A,A28,广告数据包!G:G,Base!$F$4)</f>
        <v>0</v>
      </c>
      <c r="P28" s="56">
        <f>SUMIFS(广告数据包!M:M,广告数据包!A:A,A28,广告数据包!G:G,Base!$F$2)+SUMIFS(广告数据包!M:M,广告数据包!A:A,A28,广告数据包!G:G,Base!$F$3)+SUMIFS(广告数据包!M:M,广告数据包!A:A,A28,广告数据包!G:G,Base!$F$4)</f>
        <v>0</v>
      </c>
      <c r="Q28" s="57">
        <f t="shared" si="7"/>
        <v>0</v>
      </c>
      <c r="R28" s="56">
        <f>SUMIFS(广告数据包!L:L,广告数据包!A:A,A28,广告数据包!G:G,Base!$F$2)+SUMIFS(广告数据包!L:L,广告数据包!A:A,A28,广告数据包!G:G,Base!$F$3)+SUMIFS(广告数据包!L:L,广告数据包!A:A,A28,广告数据包!G:G,Base!$F$4)</f>
        <v>0</v>
      </c>
      <c r="S28" s="86">
        <f t="shared" si="8"/>
        <v>0</v>
      </c>
      <c r="T28" s="105"/>
    </row>
    <row r="29" s="91" customFormat="1" ht="16" customHeight="1" spans="1:20">
      <c r="A29" s="58">
        <f>DATE($B$1,$B$2,DAY(A28)+1)</f>
        <v>44586</v>
      </c>
      <c r="B29" s="55">
        <f>SUMIFS(销售数据包!F:F,销售数据包!A:A,A29,销售数据包!C:C,Base!$F$2)+SUMIFS(销售数据包!F:F,销售数据包!A:A,A29,销售数据包!C:C,Base!$F$3)+SUMIFS(销售数据包!F:F,销售数据包!A:A,A29,销售数据包!C:C,Base!$F$4)</f>
        <v>0</v>
      </c>
      <c r="C29" s="56">
        <f>SUMIFS(销售数据包!K:K,销售数据包!A:A,A29,销售数据包!C:C,Base!$F$2)+SUMIFS(销售数据包!K:K,销售数据包!A:A,A29,销售数据包!C:C,Base!$F$3)+SUMIFS(销售数据包!K:K,销售数据包!A:A,A29,销售数据包!C:C,Base!$F$4)</f>
        <v>0</v>
      </c>
      <c r="D29" s="56">
        <f>SUMIFS(销售数据包!Q:Q,销售数据包!A:A,A29,销售数据包!C:C,Base!$F$2)+SUMIFS(销售数据包!Q:Q,销售数据包!A:A,A29,销售数据包!C:C,Base!$F$3)+SUMIFS(销售数据包!Q:Q,销售数据包!A:A,A29,销售数据包!C:C,Base!$F$4)</f>
        <v>0</v>
      </c>
      <c r="E29" s="57">
        <f t="shared" si="1"/>
        <v>0</v>
      </c>
      <c r="F29" s="57">
        <f t="shared" si="2"/>
        <v>0</v>
      </c>
      <c r="G29" s="56">
        <f>SUMIFS(销售数据包!O:O,销售数据包!A:A,A29)</f>
        <v>0</v>
      </c>
      <c r="H29" s="57">
        <f t="shared" si="3"/>
        <v>0</v>
      </c>
      <c r="I29" s="71">
        <f t="shared" si="4"/>
        <v>0</v>
      </c>
      <c r="J29" s="99" t="str">
        <f t="shared" si="0"/>
        <v>周2</v>
      </c>
      <c r="K29" s="73">
        <f>SUMIFS(广告数据包!H:H,广告数据包!A:A,A29,广告数据包!G:G,Base!$F$2)+SUMIFS(广告数据包!H:H,广告数据包!A:A,A29,广告数据包!G:G,Base!$F$3)+SUMIFS(广告数据包!H:H,广告数据包!A:A,A29,广告数据包!G:G,Base!$F$4)</f>
        <v>0</v>
      </c>
      <c r="L29" s="56">
        <f>SUMIFS(广告数据包!I:I,广告数据包!A:A,A29,广告数据包!G:G,Base!$F$2)+SUMIFS(广告数据包!I:I,广告数据包!A:A,A29,广告数据包!G:G,Base!$F$3)+SUMIFS(广告数据包!I:I,广告数据包!A:A,A29,广告数据包!G:G,Base!$F$4)</f>
        <v>0</v>
      </c>
      <c r="M29" s="57">
        <f t="shared" si="5"/>
        <v>0</v>
      </c>
      <c r="N29" s="74">
        <f t="shared" si="6"/>
        <v>0</v>
      </c>
      <c r="O29" s="75">
        <f>SUMIFS(广告数据包!P:P,广告数据包!A:A,A29,广告数据包!G:G,Base!$F$2)+SUMIFS(广告数据包!P:P,广告数据包!A:A,A29,广告数据包!G:G,Base!$F$3)+SUMIFS(广告数据包!P:P,广告数据包!A:A,A29,广告数据包!G:G,Base!$F$4)</f>
        <v>0</v>
      </c>
      <c r="P29" s="56">
        <f>SUMIFS(广告数据包!M:M,广告数据包!A:A,A29,广告数据包!G:G,Base!$F$2)+SUMIFS(广告数据包!M:M,广告数据包!A:A,A29,广告数据包!G:G,Base!$F$3)+SUMIFS(广告数据包!M:M,广告数据包!A:A,A29,广告数据包!G:G,Base!$F$4)</f>
        <v>0</v>
      </c>
      <c r="Q29" s="57">
        <f t="shared" si="7"/>
        <v>0</v>
      </c>
      <c r="R29" s="56">
        <f>SUMIFS(广告数据包!L:L,广告数据包!A:A,A29,广告数据包!G:G,Base!$F$2)+SUMIFS(广告数据包!L:L,广告数据包!A:A,A29,广告数据包!G:G,Base!$F$3)+SUMIFS(广告数据包!L:L,广告数据包!A:A,A29,广告数据包!G:G,Base!$F$4)</f>
        <v>0</v>
      </c>
      <c r="S29" s="86">
        <f t="shared" si="8"/>
        <v>0</v>
      </c>
      <c r="T29" s="105"/>
    </row>
    <row r="30" s="91" customFormat="1" ht="16" customHeight="1" spans="1:20">
      <c r="A30" s="58">
        <f>DATE($B$1,$B$2,DAY(A29)+1)</f>
        <v>44587</v>
      </c>
      <c r="B30" s="55">
        <f>SUMIFS(销售数据包!F:F,销售数据包!A:A,A30,销售数据包!C:C,Base!$F$2)+SUMIFS(销售数据包!F:F,销售数据包!A:A,A30,销售数据包!C:C,Base!$F$3)+SUMIFS(销售数据包!F:F,销售数据包!A:A,A30,销售数据包!C:C,Base!$F$4)</f>
        <v>0</v>
      </c>
      <c r="C30" s="56">
        <f>SUMIFS(销售数据包!K:K,销售数据包!A:A,A30,销售数据包!C:C,Base!$F$2)+SUMIFS(销售数据包!K:K,销售数据包!A:A,A30,销售数据包!C:C,Base!$F$3)+SUMIFS(销售数据包!K:K,销售数据包!A:A,A30,销售数据包!C:C,Base!$F$4)</f>
        <v>0</v>
      </c>
      <c r="D30" s="56">
        <f>SUMIFS(销售数据包!Q:Q,销售数据包!A:A,A30,销售数据包!C:C,Base!$F$2)+SUMIFS(销售数据包!Q:Q,销售数据包!A:A,A30,销售数据包!C:C,Base!$F$3)+SUMIFS(销售数据包!Q:Q,销售数据包!A:A,A30,销售数据包!C:C,Base!$F$4)</f>
        <v>0</v>
      </c>
      <c r="E30" s="57">
        <f t="shared" si="1"/>
        <v>0</v>
      </c>
      <c r="F30" s="57">
        <f t="shared" si="2"/>
        <v>0</v>
      </c>
      <c r="G30" s="56">
        <f>SUMIFS(销售数据包!O:O,销售数据包!A:A,A30)</f>
        <v>0</v>
      </c>
      <c r="H30" s="57">
        <f t="shared" si="3"/>
        <v>0</v>
      </c>
      <c r="I30" s="71">
        <f t="shared" si="4"/>
        <v>0</v>
      </c>
      <c r="J30" s="99" t="str">
        <f t="shared" si="0"/>
        <v>周3</v>
      </c>
      <c r="K30" s="73">
        <f>SUMIFS(广告数据包!H:H,广告数据包!A:A,A30,广告数据包!G:G,Base!$F$2)+SUMIFS(广告数据包!H:H,广告数据包!A:A,A30,广告数据包!G:G,Base!$F$3)+SUMIFS(广告数据包!H:H,广告数据包!A:A,A30,广告数据包!G:G,Base!$F$4)</f>
        <v>0</v>
      </c>
      <c r="L30" s="56">
        <f>SUMIFS(广告数据包!I:I,广告数据包!A:A,A30,广告数据包!G:G,Base!$F$2)+SUMIFS(广告数据包!I:I,广告数据包!A:A,A30,广告数据包!G:G,Base!$F$3)+SUMIFS(广告数据包!I:I,广告数据包!A:A,A30,广告数据包!G:G,Base!$F$4)</f>
        <v>0</v>
      </c>
      <c r="M30" s="57">
        <f t="shared" si="5"/>
        <v>0</v>
      </c>
      <c r="N30" s="74">
        <f t="shared" si="6"/>
        <v>0</v>
      </c>
      <c r="O30" s="75">
        <f>SUMIFS(广告数据包!P:P,广告数据包!A:A,A30,广告数据包!G:G,Base!$F$2)+SUMIFS(广告数据包!P:P,广告数据包!A:A,A30,广告数据包!G:G,Base!$F$3)+SUMIFS(广告数据包!P:P,广告数据包!A:A,A30,广告数据包!G:G,Base!$F$4)</f>
        <v>0</v>
      </c>
      <c r="P30" s="56">
        <f>SUMIFS(广告数据包!M:M,广告数据包!A:A,A30,广告数据包!G:G,Base!$F$2)+SUMIFS(广告数据包!M:M,广告数据包!A:A,A30,广告数据包!G:G,Base!$F$3)+SUMIFS(广告数据包!M:M,广告数据包!A:A,A30,广告数据包!G:G,Base!$F$4)</f>
        <v>0</v>
      </c>
      <c r="Q30" s="57">
        <f t="shared" si="7"/>
        <v>0</v>
      </c>
      <c r="R30" s="56">
        <f>SUMIFS(广告数据包!L:L,广告数据包!A:A,A30,广告数据包!G:G,Base!$F$2)+SUMIFS(广告数据包!L:L,广告数据包!A:A,A30,广告数据包!G:G,Base!$F$3)+SUMIFS(广告数据包!L:L,广告数据包!A:A,A30,广告数据包!G:G,Base!$F$4)</f>
        <v>0</v>
      </c>
      <c r="S30" s="86">
        <f t="shared" si="8"/>
        <v>0</v>
      </c>
      <c r="T30" s="105"/>
    </row>
    <row r="31" s="91" customFormat="1" ht="16" customHeight="1" spans="1:20">
      <c r="A31" s="58">
        <f>DATE($B$1,$B$2,DAY(A30)+1)</f>
        <v>44588</v>
      </c>
      <c r="B31" s="55">
        <f>SUMIFS(销售数据包!F:F,销售数据包!A:A,A31,销售数据包!C:C,Base!$F$2)+SUMIFS(销售数据包!F:F,销售数据包!A:A,A31,销售数据包!C:C,Base!$F$3)+SUMIFS(销售数据包!F:F,销售数据包!A:A,A31,销售数据包!C:C,Base!$F$4)</f>
        <v>0</v>
      </c>
      <c r="C31" s="56">
        <f>SUMIFS(销售数据包!K:K,销售数据包!A:A,A31,销售数据包!C:C,Base!$F$2)+SUMIFS(销售数据包!K:K,销售数据包!A:A,A31,销售数据包!C:C,Base!$F$3)+SUMIFS(销售数据包!K:K,销售数据包!A:A,A31,销售数据包!C:C,Base!$F$4)</f>
        <v>0</v>
      </c>
      <c r="D31" s="56">
        <f>SUMIFS(销售数据包!Q:Q,销售数据包!A:A,A31,销售数据包!C:C,Base!$F$2)+SUMIFS(销售数据包!Q:Q,销售数据包!A:A,A31,销售数据包!C:C,Base!$F$3)+SUMIFS(销售数据包!Q:Q,销售数据包!A:A,A31,销售数据包!C:C,Base!$F$4)</f>
        <v>0</v>
      </c>
      <c r="E31" s="57">
        <f t="shared" si="1"/>
        <v>0</v>
      </c>
      <c r="F31" s="57">
        <f t="shared" si="2"/>
        <v>0</v>
      </c>
      <c r="G31" s="56">
        <f>SUMIFS(销售数据包!O:O,销售数据包!A:A,A31)</f>
        <v>0</v>
      </c>
      <c r="H31" s="57">
        <f t="shared" si="3"/>
        <v>0</v>
      </c>
      <c r="I31" s="71">
        <f t="shared" si="4"/>
        <v>0</v>
      </c>
      <c r="J31" s="99" t="str">
        <f t="shared" si="0"/>
        <v>周4</v>
      </c>
      <c r="K31" s="73">
        <f>SUMIFS(广告数据包!H:H,广告数据包!A:A,A31,广告数据包!G:G,Base!$F$2)+SUMIFS(广告数据包!H:H,广告数据包!A:A,A31,广告数据包!G:G,Base!$F$3)+SUMIFS(广告数据包!H:H,广告数据包!A:A,A31,广告数据包!G:G,Base!$F$4)</f>
        <v>0</v>
      </c>
      <c r="L31" s="56">
        <f>SUMIFS(广告数据包!I:I,广告数据包!A:A,A31,广告数据包!G:G,Base!$F$2)+SUMIFS(广告数据包!I:I,广告数据包!A:A,A31,广告数据包!G:G,Base!$F$3)+SUMIFS(广告数据包!I:I,广告数据包!A:A,A31,广告数据包!G:G,Base!$F$4)</f>
        <v>0</v>
      </c>
      <c r="M31" s="57">
        <f t="shared" si="5"/>
        <v>0</v>
      </c>
      <c r="N31" s="74">
        <f t="shared" si="6"/>
        <v>0</v>
      </c>
      <c r="O31" s="75">
        <f>SUMIFS(广告数据包!P:P,广告数据包!A:A,A31,广告数据包!G:G,Base!$F$2)+SUMIFS(广告数据包!P:P,广告数据包!A:A,A31,广告数据包!G:G,Base!$F$3)+SUMIFS(广告数据包!P:P,广告数据包!A:A,A31,广告数据包!G:G,Base!$F$4)</f>
        <v>0</v>
      </c>
      <c r="P31" s="56">
        <f>SUMIFS(广告数据包!M:M,广告数据包!A:A,A31,广告数据包!G:G,Base!$F$2)+SUMIFS(广告数据包!M:M,广告数据包!A:A,A31,广告数据包!G:G,Base!$F$3)+SUMIFS(广告数据包!M:M,广告数据包!A:A,A31,广告数据包!G:G,Base!$F$4)</f>
        <v>0</v>
      </c>
      <c r="Q31" s="57">
        <f t="shared" si="7"/>
        <v>0</v>
      </c>
      <c r="R31" s="56">
        <f>SUMIFS(广告数据包!L:L,广告数据包!A:A,A31,广告数据包!G:G,Base!$F$2)+SUMIFS(广告数据包!L:L,广告数据包!A:A,A31,广告数据包!G:G,Base!$F$3)+SUMIFS(广告数据包!L:L,广告数据包!A:A,A31,广告数据包!G:G,Base!$F$4)</f>
        <v>0</v>
      </c>
      <c r="S31" s="86">
        <f t="shared" si="8"/>
        <v>0</v>
      </c>
      <c r="T31" s="105"/>
    </row>
    <row r="32" s="91" customFormat="1" ht="16" customHeight="1" spans="1:20">
      <c r="A32" s="58">
        <f>DATE($B$1,$B$2,DAY(A31)+1)</f>
        <v>44589</v>
      </c>
      <c r="B32" s="55">
        <f>SUMIFS(销售数据包!F:F,销售数据包!A:A,A32,销售数据包!C:C,Base!$F$2)+SUMIFS(销售数据包!F:F,销售数据包!A:A,A32,销售数据包!C:C,Base!$F$3)+SUMIFS(销售数据包!F:F,销售数据包!A:A,A32,销售数据包!C:C,Base!$F$4)</f>
        <v>0</v>
      </c>
      <c r="C32" s="56">
        <f>SUMIFS(销售数据包!K:K,销售数据包!A:A,A32,销售数据包!C:C,Base!$F$2)+SUMIFS(销售数据包!K:K,销售数据包!A:A,A32,销售数据包!C:C,Base!$F$3)+SUMIFS(销售数据包!K:K,销售数据包!A:A,A32,销售数据包!C:C,Base!$F$4)</f>
        <v>0</v>
      </c>
      <c r="D32" s="56">
        <f>SUMIFS(销售数据包!Q:Q,销售数据包!A:A,A32,销售数据包!C:C,Base!$F$2)+SUMIFS(销售数据包!Q:Q,销售数据包!A:A,A32,销售数据包!C:C,Base!$F$3)+SUMIFS(销售数据包!Q:Q,销售数据包!A:A,A32,销售数据包!C:C,Base!$F$4)</f>
        <v>0</v>
      </c>
      <c r="E32" s="57">
        <f t="shared" si="1"/>
        <v>0</v>
      </c>
      <c r="F32" s="57">
        <f t="shared" si="2"/>
        <v>0</v>
      </c>
      <c r="G32" s="56">
        <f>SUMIFS(销售数据包!O:O,销售数据包!A:A,A32)</f>
        <v>0</v>
      </c>
      <c r="H32" s="57">
        <f t="shared" si="3"/>
        <v>0</v>
      </c>
      <c r="I32" s="71">
        <f t="shared" si="4"/>
        <v>0</v>
      </c>
      <c r="J32" s="99" t="str">
        <f t="shared" si="0"/>
        <v>周5</v>
      </c>
      <c r="K32" s="73">
        <f>SUMIFS(广告数据包!H:H,广告数据包!A:A,A32,广告数据包!G:G,Base!$F$2)+SUMIFS(广告数据包!H:H,广告数据包!A:A,A32,广告数据包!G:G,Base!$F$3)+SUMIFS(广告数据包!H:H,广告数据包!A:A,A32,广告数据包!G:G,Base!$F$4)</f>
        <v>0</v>
      </c>
      <c r="L32" s="56">
        <f>SUMIFS(广告数据包!I:I,广告数据包!A:A,A32,广告数据包!G:G,Base!$F$2)+SUMIFS(广告数据包!I:I,广告数据包!A:A,A32,广告数据包!G:G,Base!$F$3)+SUMIFS(广告数据包!I:I,广告数据包!A:A,A32,广告数据包!G:G,Base!$F$4)</f>
        <v>0</v>
      </c>
      <c r="M32" s="57">
        <f t="shared" si="5"/>
        <v>0</v>
      </c>
      <c r="N32" s="74">
        <f t="shared" si="6"/>
        <v>0</v>
      </c>
      <c r="O32" s="75">
        <f>SUMIFS(广告数据包!P:P,广告数据包!A:A,A32,广告数据包!G:G,Base!$F$2)+SUMIFS(广告数据包!P:P,广告数据包!A:A,A32,广告数据包!G:G,Base!$F$3)+SUMIFS(广告数据包!P:P,广告数据包!A:A,A32,广告数据包!G:G,Base!$F$4)</f>
        <v>0</v>
      </c>
      <c r="P32" s="56">
        <f>SUMIFS(广告数据包!M:M,广告数据包!A:A,A32,广告数据包!G:G,Base!$F$2)+SUMIFS(广告数据包!M:M,广告数据包!A:A,A32,广告数据包!G:G,Base!$F$3)+SUMIFS(广告数据包!M:M,广告数据包!A:A,A32,广告数据包!G:G,Base!$F$4)</f>
        <v>0</v>
      </c>
      <c r="Q32" s="57">
        <f t="shared" si="7"/>
        <v>0</v>
      </c>
      <c r="R32" s="56">
        <f>SUMIFS(广告数据包!L:L,广告数据包!A:A,A32,广告数据包!G:G,Base!$F$2)+SUMIFS(广告数据包!L:L,广告数据包!A:A,A32,广告数据包!G:G,Base!$F$3)+SUMIFS(广告数据包!L:L,广告数据包!A:A,A32,广告数据包!G:G,Base!$F$4)</f>
        <v>0</v>
      </c>
      <c r="S32" s="86">
        <f t="shared" si="8"/>
        <v>0</v>
      </c>
      <c r="T32" s="105"/>
    </row>
    <row r="33" s="91" customFormat="1" ht="16" customHeight="1" spans="1:20">
      <c r="A33" s="58">
        <f>IFERROR(IF(MONTH(DATE($B$1,$B$2,DAY(A32)+1))=$B$2,DATE($B$1,$B$2,DAY(A32)+1),"-"),IFERROR(IF(FIND("-",A32,1)&gt;0,"-",0),"其他"))</f>
        <v>44590</v>
      </c>
      <c r="B33" s="55">
        <f>SUMIFS(销售数据包!F:F,销售数据包!A:A,A33,销售数据包!C:C,Base!$F$2)+SUMIFS(销售数据包!F:F,销售数据包!A:A,A33,销售数据包!C:C,Base!$F$3)+SUMIFS(销售数据包!F:F,销售数据包!A:A,A33,销售数据包!C:C,Base!$F$4)</f>
        <v>0</v>
      </c>
      <c r="C33" s="56">
        <f>SUMIFS(销售数据包!K:K,销售数据包!A:A,A33,销售数据包!C:C,Base!$F$2)+SUMIFS(销售数据包!K:K,销售数据包!A:A,A33,销售数据包!C:C,Base!$F$3)+SUMIFS(销售数据包!K:K,销售数据包!A:A,A33,销售数据包!C:C,Base!$F$4)</f>
        <v>0</v>
      </c>
      <c r="D33" s="56">
        <f>SUMIFS(销售数据包!Q:Q,销售数据包!A:A,A33,销售数据包!C:C,Base!$F$2)+SUMIFS(销售数据包!Q:Q,销售数据包!A:A,A33,销售数据包!C:C,Base!$F$3)+SUMIFS(销售数据包!Q:Q,销售数据包!A:A,A33,销售数据包!C:C,Base!$F$4)</f>
        <v>0</v>
      </c>
      <c r="E33" s="57">
        <f t="shared" si="1"/>
        <v>0</v>
      </c>
      <c r="F33" s="57">
        <f t="shared" si="2"/>
        <v>0</v>
      </c>
      <c r="G33" s="56">
        <f>SUMIFS(销售数据包!O:O,销售数据包!A:A,A33)</f>
        <v>0</v>
      </c>
      <c r="H33" s="57">
        <f t="shared" si="3"/>
        <v>0</v>
      </c>
      <c r="I33" s="71">
        <f t="shared" si="4"/>
        <v>0</v>
      </c>
      <c r="J33" s="99" t="str">
        <f>IFERROR("周"&amp;WEEKDAY(A34,2),"-")</f>
        <v>周7</v>
      </c>
      <c r="K33" s="73">
        <f>SUMIFS(广告数据包!H:H,广告数据包!A:A,A33,广告数据包!G:G,Base!$F$2)+SUMIFS(广告数据包!H:H,广告数据包!A:A,A33,广告数据包!G:G,Base!$F$3)+SUMIFS(广告数据包!H:H,广告数据包!A:A,A33,广告数据包!G:G,Base!$F$4)</f>
        <v>0</v>
      </c>
      <c r="L33" s="56">
        <f>SUMIFS(广告数据包!I:I,广告数据包!A:A,A33,广告数据包!G:G,Base!$F$2)+SUMIFS(广告数据包!I:I,广告数据包!A:A,A33,广告数据包!G:G,Base!$F$3)+SUMIFS(广告数据包!I:I,广告数据包!A:A,A33,广告数据包!G:G,Base!$F$4)</f>
        <v>0</v>
      </c>
      <c r="M33" s="57">
        <f t="shared" si="5"/>
        <v>0</v>
      </c>
      <c r="N33" s="74">
        <f t="shared" si="6"/>
        <v>0</v>
      </c>
      <c r="O33" s="75">
        <f>SUMIFS(广告数据包!P:P,广告数据包!A:A,A33,广告数据包!G:G,Base!$F$2)+SUMIFS(广告数据包!P:P,广告数据包!A:A,A33,广告数据包!G:G,Base!$F$3)+SUMIFS(广告数据包!P:P,广告数据包!A:A,A33,广告数据包!G:G,Base!$F$4)</f>
        <v>0</v>
      </c>
      <c r="P33" s="56">
        <f>SUMIFS(广告数据包!M:M,广告数据包!A:A,A33,广告数据包!G:G,Base!$F$2)+SUMIFS(广告数据包!M:M,广告数据包!A:A,A33,广告数据包!G:G,Base!$F$3)+SUMIFS(广告数据包!M:M,广告数据包!A:A,A33,广告数据包!G:G,Base!$F$4)</f>
        <v>0</v>
      </c>
      <c r="Q33" s="57">
        <f t="shared" si="7"/>
        <v>0</v>
      </c>
      <c r="R33" s="56">
        <f>SUMIFS(广告数据包!L:L,广告数据包!A:A,A33,广告数据包!G:G,Base!$F$2)+SUMIFS(广告数据包!L:L,广告数据包!A:A,A33,广告数据包!G:G,Base!$F$3)+SUMIFS(广告数据包!L:L,广告数据包!A:A,A33,广告数据包!G:G,Base!$F$4)</f>
        <v>0</v>
      </c>
      <c r="S33" s="86">
        <f t="shared" si="8"/>
        <v>0</v>
      </c>
      <c r="T33" s="105"/>
    </row>
    <row r="34" s="91" customFormat="1" ht="16" customHeight="1" spans="1:20">
      <c r="A34" s="58">
        <f>IFERROR(IF(MONTH(DATE($B$1,$B$2,DAY(A33)+1))=$B$2,DATE($B$1,$B$2,DAY(A33)+1),"-"),IFERROR(IF(FIND("-",A33,1)&gt;0,"-",0),"其他"))</f>
        <v>44591</v>
      </c>
      <c r="B34" s="55">
        <f>SUMIFS(销售数据包!F:F,销售数据包!A:A,A34,销售数据包!C:C,Base!$F$2)+SUMIFS(销售数据包!F:F,销售数据包!A:A,A34,销售数据包!C:C,Base!$F$3)+SUMIFS(销售数据包!F:F,销售数据包!A:A,A34,销售数据包!C:C,Base!$F$4)</f>
        <v>0</v>
      </c>
      <c r="C34" s="56">
        <f>SUMIFS(销售数据包!K:K,销售数据包!A:A,A34,销售数据包!C:C,Base!$F$2)+SUMIFS(销售数据包!K:K,销售数据包!A:A,A34,销售数据包!C:C,Base!$F$3)+SUMIFS(销售数据包!K:K,销售数据包!A:A,A34,销售数据包!C:C,Base!$F$4)</f>
        <v>0</v>
      </c>
      <c r="D34" s="56">
        <f>SUMIFS(销售数据包!Q:Q,销售数据包!A:A,A34,销售数据包!C:C,Base!$F$2)+SUMIFS(销售数据包!Q:Q,销售数据包!A:A,A34,销售数据包!C:C,Base!$F$3)+SUMIFS(销售数据包!Q:Q,销售数据包!A:A,A34,销售数据包!C:C,Base!$F$4)</f>
        <v>0</v>
      </c>
      <c r="E34" s="57">
        <f t="shared" si="1"/>
        <v>0</v>
      </c>
      <c r="F34" s="57">
        <f t="shared" si="2"/>
        <v>0</v>
      </c>
      <c r="G34" s="56">
        <f>SUMIFS(销售数据包!O:O,销售数据包!A:A,A34)</f>
        <v>0</v>
      </c>
      <c r="H34" s="57">
        <f t="shared" si="3"/>
        <v>0</v>
      </c>
      <c r="I34" s="71">
        <f t="shared" si="4"/>
        <v>0</v>
      </c>
      <c r="J34" s="99" t="str">
        <f>IFERROR("周"&amp;WEEKDAY(A34,2),"-")</f>
        <v>周7</v>
      </c>
      <c r="K34" s="73">
        <f>SUMIFS(广告数据包!H:H,广告数据包!A:A,A34,广告数据包!G:G,Base!$F$2)+SUMIFS(广告数据包!H:H,广告数据包!A:A,A34,广告数据包!G:G,Base!$F$3)+SUMIFS(广告数据包!H:H,广告数据包!A:A,A34,广告数据包!G:G,Base!$F$4)</f>
        <v>0</v>
      </c>
      <c r="L34" s="56">
        <f>SUMIFS(广告数据包!I:I,广告数据包!A:A,A34,广告数据包!G:G,Base!$F$2)+SUMIFS(广告数据包!I:I,广告数据包!A:A,A34,广告数据包!G:G,Base!$F$3)+SUMIFS(广告数据包!I:I,广告数据包!A:A,A34,广告数据包!G:G,Base!$F$4)</f>
        <v>0</v>
      </c>
      <c r="M34" s="57">
        <f t="shared" si="5"/>
        <v>0</v>
      </c>
      <c r="N34" s="74">
        <f t="shared" si="6"/>
        <v>0</v>
      </c>
      <c r="O34" s="75">
        <f>SUMIFS(广告数据包!P:P,广告数据包!A:A,A34,广告数据包!G:G,Base!$F$2)+SUMIFS(广告数据包!P:P,广告数据包!A:A,A34,广告数据包!G:G,Base!$F$3)+SUMIFS(广告数据包!P:P,广告数据包!A:A,A34,广告数据包!G:G,Base!$F$4)</f>
        <v>0</v>
      </c>
      <c r="P34" s="56">
        <f>SUMIFS(广告数据包!M:M,广告数据包!A:A,A34,广告数据包!G:G,Base!$F$2)+SUMIFS(广告数据包!M:M,广告数据包!A:A,A34,广告数据包!G:G,Base!$F$3)+SUMIFS(广告数据包!M:M,广告数据包!A:A,A34,广告数据包!G:G,Base!$F$4)</f>
        <v>0</v>
      </c>
      <c r="Q34" s="57">
        <f t="shared" si="7"/>
        <v>0</v>
      </c>
      <c r="R34" s="56">
        <f>SUMIFS(广告数据包!L:L,广告数据包!A:A,A34,广告数据包!G:G,Base!$F$2)+SUMIFS(广告数据包!L:L,广告数据包!A:A,A34,广告数据包!G:G,Base!$F$3)+SUMIFS(广告数据包!L:L,广告数据包!A:A,A34,广告数据包!G:G,Base!$F$4)</f>
        <v>0</v>
      </c>
      <c r="S34" s="86">
        <f t="shared" si="8"/>
        <v>0</v>
      </c>
      <c r="T34" s="105"/>
    </row>
    <row r="35" s="91" customFormat="1" ht="16" customHeight="1" spans="1:20">
      <c r="A35" s="59">
        <f>IFERROR(IF(MONTH(DATE($B$1,$B$2,DAY(A34)+1))=$B$2,DATE($B$1,$B$2,DAY(A34)+1),"-"),IFERROR(IF(FIND("-",A34,1)&gt;0,"-",0),"其他"))</f>
        <v>44592</v>
      </c>
      <c r="B35" s="55">
        <f>SUMIFS(销售数据包!F:F,销售数据包!A:A,A35,销售数据包!C:C,Base!$F$2)+SUMIFS(销售数据包!F:F,销售数据包!A:A,A35,销售数据包!C:C,Base!$F$3)+SUMIFS(销售数据包!F:F,销售数据包!A:A,A35,销售数据包!C:C,Base!$F$4)</f>
        <v>0</v>
      </c>
      <c r="C35" s="56">
        <f>SUMIFS(销售数据包!K:K,销售数据包!A:A,A35,销售数据包!C:C,Base!$F$2)+SUMIFS(销售数据包!K:K,销售数据包!A:A,A35,销售数据包!C:C,Base!$F$3)+SUMIFS(销售数据包!K:K,销售数据包!A:A,A35,销售数据包!C:C,Base!$F$4)</f>
        <v>0</v>
      </c>
      <c r="D35" s="56">
        <f>SUMIFS(销售数据包!Q:Q,销售数据包!A:A,A35,销售数据包!C:C,Base!$F$2)+SUMIFS(销售数据包!Q:Q,销售数据包!A:A,A35,销售数据包!C:C,Base!$F$3)+SUMIFS(销售数据包!Q:Q,销售数据包!A:A,A35,销售数据包!C:C,Base!$F$4)</f>
        <v>0</v>
      </c>
      <c r="E35" s="57">
        <f t="shared" si="1"/>
        <v>0</v>
      </c>
      <c r="F35" s="57">
        <f t="shared" si="2"/>
        <v>0</v>
      </c>
      <c r="G35" s="56">
        <f>SUMIFS(销售数据包!O:O,销售数据包!A:A,A35)</f>
        <v>0</v>
      </c>
      <c r="H35" s="57">
        <f t="shared" si="3"/>
        <v>0</v>
      </c>
      <c r="I35" s="71">
        <f t="shared" si="4"/>
        <v>0</v>
      </c>
      <c r="J35" s="100" t="str">
        <f>IFERROR("周"&amp;WEEKDAY(A35,2),"-")</f>
        <v>周1</v>
      </c>
      <c r="K35" s="73">
        <f>SUMIFS(广告数据包!H:H,广告数据包!A:A,A35,广告数据包!G:G,Base!$F$2)+SUMIFS(广告数据包!H:H,广告数据包!A:A,A35,广告数据包!G:G,Base!$F$3)+SUMIFS(广告数据包!H:H,广告数据包!A:A,A35,广告数据包!G:G,Base!$F$4)</f>
        <v>0</v>
      </c>
      <c r="L35" s="56">
        <f>SUMIFS(广告数据包!I:I,广告数据包!A:A,A35,广告数据包!G:G,Base!$F$2)+SUMIFS(广告数据包!I:I,广告数据包!A:A,A35,广告数据包!G:G,Base!$F$3)+SUMIFS(广告数据包!I:I,广告数据包!A:A,A35,广告数据包!G:G,Base!$F$4)</f>
        <v>0</v>
      </c>
      <c r="M35" s="57">
        <f t="shared" si="5"/>
        <v>0</v>
      </c>
      <c r="N35" s="74">
        <f t="shared" si="6"/>
        <v>0</v>
      </c>
      <c r="O35" s="75">
        <f>SUMIFS(广告数据包!P:P,广告数据包!A:A,A35,广告数据包!G:G,Base!$F$2)+SUMIFS(广告数据包!P:P,广告数据包!A:A,A35,广告数据包!G:G,Base!$F$3)+SUMIFS(广告数据包!P:P,广告数据包!A:A,A35,广告数据包!G:G,Base!$F$4)</f>
        <v>0</v>
      </c>
      <c r="P35" s="56">
        <f>SUMIFS(广告数据包!M:M,广告数据包!A:A,A35,广告数据包!G:G,Base!$F$2)+SUMIFS(广告数据包!M:M,广告数据包!A:A,A35,广告数据包!G:G,Base!$F$3)+SUMIFS(广告数据包!M:M,广告数据包!A:A,A35,广告数据包!G:G,Base!$F$4)</f>
        <v>0</v>
      </c>
      <c r="Q35" s="57">
        <f t="shared" si="7"/>
        <v>0</v>
      </c>
      <c r="R35" s="56">
        <f>SUMIFS(广告数据包!L:L,广告数据包!A:A,A35,广告数据包!G:G,Base!$F$2)+SUMIFS(广告数据包!L:L,广告数据包!A:A,A35,广告数据包!G:G,Base!$F$3)+SUMIFS(广告数据包!L:L,广告数据包!A:A,A35,广告数据包!G:G,Base!$F$4)</f>
        <v>0</v>
      </c>
      <c r="S35" s="86">
        <f t="shared" si="8"/>
        <v>0</v>
      </c>
      <c r="T35" s="105"/>
    </row>
    <row r="36" s="91" customFormat="1" ht="16" customHeight="1" spans="1:20">
      <c r="A36" s="60" t="str">
        <f>B2&amp;"月份 汇总"</f>
        <v>1月份 汇总</v>
      </c>
      <c r="B36" s="61">
        <f>SUM(B5:B35)</f>
        <v>0</v>
      </c>
      <c r="C36" s="62">
        <f>SUM(C5:C35)</f>
        <v>0</v>
      </c>
      <c r="D36" s="62">
        <f>SUM(D5:D35)</f>
        <v>0</v>
      </c>
      <c r="E36" s="63">
        <f t="shared" si="1"/>
        <v>0</v>
      </c>
      <c r="F36" s="63">
        <f t="shared" si="2"/>
        <v>0</v>
      </c>
      <c r="G36" s="62">
        <f>SUM(G5:G35)</f>
        <v>0</v>
      </c>
      <c r="H36" s="63">
        <f t="shared" si="3"/>
        <v>0</v>
      </c>
      <c r="I36" s="63">
        <f t="shared" si="4"/>
        <v>0</v>
      </c>
      <c r="J36" s="76" t="str">
        <f>IFERROR("周"&amp;WEEKDAY(A36,2),"-")</f>
        <v>-</v>
      </c>
      <c r="K36" s="77">
        <f t="shared" ref="K36:P36" si="9">SUM(K5:K35)</f>
        <v>0</v>
      </c>
      <c r="L36" s="62">
        <f t="shared" si="9"/>
        <v>0</v>
      </c>
      <c r="M36" s="63">
        <f t="shared" si="5"/>
        <v>0</v>
      </c>
      <c r="N36" s="78">
        <f t="shared" si="6"/>
        <v>0</v>
      </c>
      <c r="O36" s="79">
        <f t="shared" si="9"/>
        <v>0</v>
      </c>
      <c r="P36" s="62">
        <f t="shared" si="9"/>
        <v>0</v>
      </c>
      <c r="Q36" s="63">
        <f t="shared" si="7"/>
        <v>0</v>
      </c>
      <c r="R36" s="62">
        <f>SUM(R5:R35)</f>
        <v>0</v>
      </c>
      <c r="S36" s="88">
        <f t="shared" si="8"/>
        <v>0</v>
      </c>
      <c r="T36" s="105"/>
    </row>
    <row r="37" spans="1:19">
      <c r="A37" s="96"/>
      <c r="B37" s="97"/>
      <c r="C37" s="97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</row>
  </sheetData>
  <sheetProtection password="CCF6" sheet="1" pivotTables="0" objects="1"/>
  <protectedRanges>
    <protectedRange sqref="N1 O1 Q1:S1 P1 J1:M1 H1 G1 D1:F1" name="主标题"/>
    <protectedRange sqref="C1" name="主标题_1"/>
  </protectedRanges>
  <mergeCells count="3">
    <mergeCell ref="A3:J3"/>
    <mergeCell ref="K3:S3"/>
    <mergeCell ref="C1:S2"/>
  </mergeCells>
  <conditionalFormatting sqref="B5:B3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{b52baf60-ec50-4cbc-9a3a-e8eac4eb8d80}</x14:id>
        </ext>
      </extLst>
    </cfRule>
    <cfRule type="dataBar" priority="15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{0693fb43-66cb-4034-8e75-7a1f5c80de17}</x14:id>
        </ext>
      </extLst>
    </cfRule>
    <cfRule type="dataBar" priority="16">
      <dataBar>
        <cfvo type="min"/>
        <cfvo type="max"/>
        <color theme="6" tint="0.4"/>
      </dataBar>
      <extLst>
        <ext xmlns:x14="http://schemas.microsoft.com/office/spreadsheetml/2009/9/main" uri="{B025F937-C7B1-47D3-B67F-A62EFF666E3E}">
          <x14:id>{bb422e6e-8277-4d9a-b3f3-baf09c8c5a82}</x14:id>
        </ext>
      </extLst>
    </cfRule>
    <cfRule type="dataBar" priority="17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{0bd90c3b-034f-4008-a449-7293eff1c47c}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{36ec471f-a02f-4618-9674-5685ec947bc9}</x14:id>
        </ext>
      </extLst>
    </cfRule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{5dff1f76-ff67-4f16-bcd5-c975a726ddb9}</x14:id>
        </ext>
      </extLst>
    </cfRule>
  </conditionalFormatting>
  <conditionalFormatting sqref="C5:C35">
    <cfRule type="dataBar" priority="5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{4561f2ce-3379-4bb7-a2e6-2fc4a178ff03}</x14:id>
        </ext>
      </extLst>
    </cfRule>
  </conditionalFormatting>
  <conditionalFormatting sqref="D5:D35">
    <cfRule type="dataBar" priority="54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{74e74af8-90a3-4ccd-a343-535e0f23e033}</x14:id>
        </ext>
      </extLst>
    </cfRule>
  </conditionalFormatting>
  <conditionalFormatting sqref="E5:E35">
    <cfRule type="dataBar" priority="34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{8b4ffe36-3042-4ed2-ae64-61d73e475934}</x14:id>
        </ext>
      </extLst>
    </cfRule>
  </conditionalFormatting>
  <conditionalFormatting sqref="F5:F35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{ab8aa2bb-4f10-4256-b12b-d52853abed70}</x14:id>
        </ext>
      </extLst>
    </cfRule>
  </conditionalFormatting>
  <conditionalFormatting sqref="G5:G3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{e11240a8-4871-4a97-9bc6-2e71f630f9c7}</x14:id>
        </ext>
      </extLst>
    </cfRule>
  </conditionalFormatting>
  <conditionalFormatting sqref="H5:H35">
    <cfRule type="dataBar" priority="1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{53233b9b-a88d-4418-8875-cb76edeb8630}</x14:id>
        </ext>
      </extLst>
    </cfRule>
  </conditionalFormatting>
  <conditionalFormatting sqref="I5:I35">
    <cfRule type="dataBar" priority="11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{dc62c78b-d5d6-4513-bfab-bf7534b4cc67}</x14:id>
        </ext>
      </extLst>
    </cfRule>
  </conditionalFormatting>
  <conditionalFormatting sqref="K5:K3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{f1136c71-17d4-4b46-815a-afc9fd9ff7ee}</x14:id>
        </ext>
      </extLst>
    </cfRule>
    <cfRule type="dataBar" priority="51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{d820315b-7421-411b-ac1e-e4cfb5922fd4}</x14:id>
        </ext>
      </extLst>
    </cfRule>
    <cfRule type="dataBar" priority="10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{5394d919-82a5-4170-b997-d33a48d2ad60}</x14:id>
        </ext>
      </extLst>
    </cfRule>
  </conditionalFormatting>
  <conditionalFormatting sqref="L5:L35"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{28681f72-aa78-42d1-954f-0b4bde876d27}</x14:id>
        </ext>
      </extLs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{c6e1ef68-842f-4780-83c5-88f5b709dbe7}</x14:id>
        </ext>
      </extLst>
    </cfRule>
    <cfRule type="dataBar" priority="50">
      <dataBar>
        <cfvo type="min"/>
        <cfvo type="max"/>
        <color theme="3"/>
      </dataBar>
      <extLst>
        <ext xmlns:x14="http://schemas.microsoft.com/office/spreadsheetml/2009/9/main" uri="{B025F937-C7B1-47D3-B67F-A62EFF666E3E}">
          <x14:id>{adf6dbc3-59ee-4a2f-88b3-92e7026c5378}</x14:id>
        </ext>
      </extLst>
    </cfRule>
  </conditionalFormatting>
  <conditionalFormatting sqref="M5:M3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{fd88458b-5add-4692-9353-df9bdc1ad2dc}</x14:id>
        </ext>
      </extLst>
    </cfRule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{7162f9ed-38d3-4f7c-9cce-b2d1afc657c3}</x14:id>
        </ext>
      </extLst>
    </cfRule>
  </conditionalFormatting>
  <conditionalFormatting sqref="N5:N3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{f6fc30ad-1dd3-49d0-b044-970786956e9b}</x14:id>
        </ext>
      </extLst>
    </cfRule>
    <cfRule type="dataBar" priority="6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{6da63ba9-1df2-412a-af00-f486cab08165}</x14:id>
        </ext>
      </extLst>
    </cfRule>
  </conditionalFormatting>
  <conditionalFormatting sqref="O5:O35">
    <cfRule type="dataBar" priority="24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{7831b4b5-83d7-44af-adbd-f047a7a33685}</x14:id>
        </ext>
      </extLst>
    </cfRule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{c0d39321-77a7-46a5-8b75-0559fe58cb36}</x14:id>
        </ext>
      </extLst>
    </cfRule>
    <cfRule type="dataBar" priority="5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{b127c511-5392-49db-b600-36e4e8fe8edb}</x14:id>
        </ext>
      </extLst>
    </cfRule>
  </conditionalFormatting>
  <conditionalFormatting sqref="P5:P35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{d4a243f2-4aa2-4b24-8799-fd86389b1899}</x14:id>
        </ext>
      </extLst>
    </cfRule>
    <cfRule type="dataBar" priority="4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{01023a42-3ae0-43c2-afbf-f77cb4e711c8}</x14:id>
        </ext>
      </extLst>
    </cfRule>
  </conditionalFormatting>
  <conditionalFormatting sqref="Q5:Q35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{ae83cc17-62d1-47f8-83e7-f3ab0fe625e1}</x14:id>
        </ext>
      </extLst>
    </cfRule>
    <cfRule type="dataBar" priority="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{e9edcdb9-cde3-4632-b4f9-96249833337e}</x14:id>
        </ext>
      </extLst>
    </cfRule>
  </conditionalFormatting>
  <conditionalFormatting sqref="R5:R3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{64473bde-0ed4-48e3-8e9b-383f02643d0f}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{b6de5591-5a29-498e-adc4-2c4e49c42594}</x14:id>
        </ext>
      </extLst>
    </cfRule>
  </conditionalFormatting>
  <conditionalFormatting sqref="S5:S3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{657a23d9-2e5a-4aee-a00b-c4f28c6f97d5}</x14:id>
        </ext>
      </extLst>
    </cfRule>
    <cfRule type="dataBar" priority="1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{e661aaef-9a38-4ee8-bb00-75c01cbfd044}</x14:id>
        </ext>
      </extLst>
    </cfRule>
  </conditionalFormatting>
  <conditionalFormatting sqref="E5:F35">
    <cfRule type="dataBar" priority="53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{c4f546be-cf4a-4b77-98cc-4988318cf711}</x14:id>
        </ext>
      </extLst>
    </cfRule>
  </conditionalFormatting>
  <conditionalFormatting sqref="H5:I35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{fc68ed2e-f7c6-4481-9a0a-473a5b3cc6ed}</x14:id>
        </ext>
      </extLst>
    </cfRule>
  </conditionalFormatting>
  <conditionalFormatting sqref="M5:M35 Q5:Q35 O5:O35">
    <cfRule type="dataBar" priority="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{726af1ed-e490-4aad-b46b-0e842f173475}</x14:id>
        </ext>
      </extLst>
    </cfRule>
  </conditionalFormatting>
  <dataValidations count="3">
    <dataValidation type="list" allowBlank="1" showInputMessage="1" showErrorMessage="1" sqref="B1">
      <formula1>"2021,2022"</formula1>
    </dataValidation>
    <dataValidation type="list" allowBlank="1" showInputMessage="1" showErrorMessage="1" sqref="D1 B2 D2">
      <formula1>"1,2,3,4,5,6,7,8,9,10,11,12"</formula1>
    </dataValidation>
    <dataValidation allowBlank="1" showInputMessage="1" showErrorMessage="1" sqref="A3 C3:G3 J3"/>
  </dataValidations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2baf60-ec50-4cbc-9a3a-e8eac4eb8d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93fb43-66cb-4034-8e75-7a1f5c80de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422e6e-8277-4d9a-b3f3-baf09c8c5a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d90c3b-034f-4008-a449-7293eff1c4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ec471f-a02f-4618-9674-5685ec947b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ff1f76-ff67-4f16-bcd5-c975a726dd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B5:B35</xm:sqref>
        </x14:conditionalFormatting>
        <x14:conditionalFormatting xmlns:xm="http://schemas.microsoft.com/office/excel/2006/main">
          <x14:cfRule type="dataBar" id="{4561f2ce-3379-4bb7-a2e6-2fc4a178ff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C5:C35</xm:sqref>
        </x14:conditionalFormatting>
        <x14:conditionalFormatting xmlns:xm="http://schemas.microsoft.com/office/excel/2006/main">
          <x14:cfRule type="dataBar" id="{74e74af8-90a3-4ccd-a343-535e0f23e0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D5:D35</xm:sqref>
        </x14:conditionalFormatting>
        <x14:conditionalFormatting xmlns:xm="http://schemas.microsoft.com/office/excel/2006/main">
          <x14:cfRule type="dataBar" id="{8b4ffe36-3042-4ed2-ae64-61d73e4759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E5:E35</xm:sqref>
        </x14:conditionalFormatting>
        <x14:conditionalFormatting xmlns:xm="http://schemas.microsoft.com/office/excel/2006/main">
          <x14:cfRule type="dataBar" id="{ab8aa2bb-4f10-4256-b12b-d52853abed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F5:F35</xm:sqref>
        </x14:conditionalFormatting>
        <x14:conditionalFormatting xmlns:xm="http://schemas.microsoft.com/office/excel/2006/main">
          <x14:cfRule type="dataBar" id="{e11240a8-4871-4a97-9bc6-2e71f630f9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G5:G35</xm:sqref>
        </x14:conditionalFormatting>
        <x14:conditionalFormatting xmlns:xm="http://schemas.microsoft.com/office/excel/2006/main">
          <x14:cfRule type="dataBar" id="{53233b9b-a88d-4418-8875-cb76edeb8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H5:H35</xm:sqref>
        </x14:conditionalFormatting>
        <x14:conditionalFormatting xmlns:xm="http://schemas.microsoft.com/office/excel/2006/main">
          <x14:cfRule type="dataBar" id="{dc62c78b-d5d6-4513-bfab-bf7534b4cc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I5:I35</xm:sqref>
        </x14:conditionalFormatting>
        <x14:conditionalFormatting xmlns:xm="http://schemas.microsoft.com/office/excel/2006/main">
          <x14:cfRule type="dataBar" id="{f1136c71-17d4-4b46-815a-afc9fd9ff7ee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820315b-7421-411b-ac1e-e4cfb5922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94d919-82a5-4170-b997-d33a48d2a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K5:K35</xm:sqref>
        </x14:conditionalFormatting>
        <x14:conditionalFormatting xmlns:xm="http://schemas.microsoft.com/office/excel/2006/main">
          <x14:cfRule type="dataBar" id="{28681f72-aa78-42d1-954f-0b4bde876d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e1ef68-842f-4780-83c5-88f5b709db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f6dbc3-59ee-4a2f-88b3-92e7026c53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L5:L35</xm:sqref>
        </x14:conditionalFormatting>
        <x14:conditionalFormatting xmlns:xm="http://schemas.microsoft.com/office/excel/2006/main">
          <x14:cfRule type="dataBar" id="{fd88458b-5add-4692-9353-df9bdc1ad2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62f9ed-38d3-4f7c-9cce-b2d1afc657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M5:M35</xm:sqref>
        </x14:conditionalFormatting>
        <x14:conditionalFormatting xmlns:xm="http://schemas.microsoft.com/office/excel/2006/main">
          <x14:cfRule type="dataBar" id="{f6fc30ad-1dd3-49d0-b044-970786956e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a63ba9-1df2-412a-af00-f486cab081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N5:N35</xm:sqref>
        </x14:conditionalFormatting>
        <x14:conditionalFormatting xmlns:xm="http://schemas.microsoft.com/office/excel/2006/main">
          <x14:cfRule type="dataBar" id="{7831b4b5-83d7-44af-adbd-f047a7a336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d39321-77a7-46a5-8b75-0559fe58cb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27c511-5392-49db-b600-36e4e8fe8e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O5:O35</xm:sqref>
        </x14:conditionalFormatting>
        <x14:conditionalFormatting xmlns:xm="http://schemas.microsoft.com/office/excel/2006/main">
          <x14:cfRule type="dataBar" id="{d4a243f2-4aa2-4b24-8799-fd86389b18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023a42-3ae0-43c2-afbf-f77cb4e71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P5:P35</xm:sqref>
        </x14:conditionalFormatting>
        <x14:conditionalFormatting xmlns:xm="http://schemas.microsoft.com/office/excel/2006/main">
          <x14:cfRule type="dataBar" id="{ae83cc17-62d1-47f8-83e7-f3ab0fe625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edcdb9-cde3-4632-b4f9-9624983333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Q5:Q35</xm:sqref>
        </x14:conditionalFormatting>
        <x14:conditionalFormatting xmlns:xm="http://schemas.microsoft.com/office/excel/2006/main">
          <x14:cfRule type="dataBar" id="{64473bde-0ed4-48e3-8e9b-383f02643d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de5591-5a29-498e-adc4-2c4e49c425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R5:R35</xm:sqref>
        </x14:conditionalFormatting>
        <x14:conditionalFormatting xmlns:xm="http://schemas.microsoft.com/office/excel/2006/main">
          <x14:cfRule type="dataBar" id="{657a23d9-2e5a-4aee-a00b-c4f28c6f97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61aaef-9a38-4ee8-bb00-75c01cbfd0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S5:S35</xm:sqref>
        </x14:conditionalFormatting>
        <x14:conditionalFormatting xmlns:xm="http://schemas.microsoft.com/office/excel/2006/main">
          <x14:cfRule type="dataBar" id="{c4f546be-cf4a-4b77-98cc-4988318cf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E5:F35</xm:sqref>
        </x14:conditionalFormatting>
        <x14:conditionalFormatting xmlns:xm="http://schemas.microsoft.com/office/excel/2006/main">
          <x14:cfRule type="dataBar" id="{fc68ed2e-f7c6-4481-9a0a-473a5b3cc6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H5:I35</xm:sqref>
        </x14:conditionalFormatting>
        <x14:conditionalFormatting xmlns:xm="http://schemas.microsoft.com/office/excel/2006/main">
          <x14:cfRule type="dataBar" id="{726af1ed-e490-4aad-b46b-0e842f1734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M5:M35 Q5:Q35 O5:O35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7"/>
  <sheetViews>
    <sheetView workbookViewId="0">
      <selection activeCell="D36" sqref="D36"/>
    </sheetView>
  </sheetViews>
  <sheetFormatPr defaultColWidth="9" defaultRowHeight="15"/>
  <cols>
    <col min="1" max="1" width="12" style="37" customWidth="1"/>
    <col min="2" max="9" width="12.625" style="38" customWidth="1"/>
    <col min="10" max="10" width="7" style="38" customWidth="1"/>
    <col min="11" max="19" width="12.625" style="38" customWidth="1"/>
    <col min="20" max="20" width="9" style="38"/>
    <col min="21" max="16384" width="9" style="34"/>
  </cols>
  <sheetData>
    <row r="1" ht="23" customHeight="1" spans="1:20">
      <c r="A1" s="39" t="s">
        <v>23</v>
      </c>
      <c r="B1" s="40">
        <v>2022</v>
      </c>
      <c r="C1" s="41" t="s">
        <v>26</v>
      </c>
      <c r="D1" s="42" t="s">
        <v>27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80"/>
      <c r="T1" s="81"/>
    </row>
    <row r="2" s="34" customFormat="1" ht="23" customHeight="1" spans="1:20">
      <c r="A2" s="44" t="s">
        <v>25</v>
      </c>
      <c r="B2" s="45">
        <v>1</v>
      </c>
      <c r="C2" s="46" t="s">
        <v>28</v>
      </c>
      <c r="D2" s="47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82"/>
      <c r="T2" s="81"/>
    </row>
    <row r="3" s="34" customFormat="1" ht="23" customHeight="1" spans="1:20">
      <c r="A3" s="49" t="s">
        <v>1</v>
      </c>
      <c r="B3" s="50"/>
      <c r="C3" s="50"/>
      <c r="D3" s="50"/>
      <c r="E3" s="50"/>
      <c r="F3" s="50"/>
      <c r="G3" s="50"/>
      <c r="H3" s="50"/>
      <c r="I3" s="50"/>
      <c r="J3" s="67"/>
      <c r="K3" s="68" t="s">
        <v>2</v>
      </c>
      <c r="L3" s="50"/>
      <c r="M3" s="50"/>
      <c r="N3" s="50"/>
      <c r="O3" s="50"/>
      <c r="P3" s="50"/>
      <c r="Q3" s="50"/>
      <c r="R3" s="50"/>
      <c r="S3" s="83"/>
      <c r="T3" s="81"/>
    </row>
    <row r="4" s="35" customFormat="1" ht="23" customHeight="1" spans="1:20">
      <c r="A4" s="51" t="s">
        <v>4</v>
      </c>
      <c r="B4" s="52" t="s">
        <v>5</v>
      </c>
      <c r="C4" s="53" t="s">
        <v>6</v>
      </c>
      <c r="D4" s="53" t="s">
        <v>7</v>
      </c>
      <c r="E4" s="53" t="s">
        <v>8</v>
      </c>
      <c r="F4" s="53" t="s">
        <v>9</v>
      </c>
      <c r="G4" s="53" t="s">
        <v>10</v>
      </c>
      <c r="H4" s="53" t="s">
        <v>11</v>
      </c>
      <c r="I4" s="53" t="s">
        <v>12</v>
      </c>
      <c r="J4" s="69" t="s">
        <v>13</v>
      </c>
      <c r="K4" s="70" t="s">
        <v>14</v>
      </c>
      <c r="L4" s="53" t="s">
        <v>15</v>
      </c>
      <c r="M4" s="53" t="s">
        <v>16</v>
      </c>
      <c r="N4" s="53" t="s">
        <v>17</v>
      </c>
      <c r="O4" s="53" t="s">
        <v>18</v>
      </c>
      <c r="P4" s="53" t="s">
        <v>19</v>
      </c>
      <c r="Q4" s="53" t="s">
        <v>20</v>
      </c>
      <c r="R4" s="53" t="s">
        <v>21</v>
      </c>
      <c r="S4" s="84" t="s">
        <v>22</v>
      </c>
      <c r="T4" s="85"/>
    </row>
    <row r="5" s="36" customFormat="1" ht="16" customHeight="1" spans="1:20">
      <c r="A5" s="54">
        <f>DATE($B$1,$B$2,1)</f>
        <v>44562</v>
      </c>
      <c r="B5" s="55">
        <f>SUMIFS(销售数据包!F:F,销售数据包!A:A,A5,销售数据包!C:C,$C$2)</f>
        <v>0</v>
      </c>
      <c r="C5" s="56">
        <f>SUMIFS(销售数据包!K:K,销售数据包!A:A,A5,销售数据包!C:C,$C$2)</f>
        <v>0</v>
      </c>
      <c r="D5" s="56">
        <f>SUMIFS(销售数据包!Q:Q,销售数据包!A:A,A5,销售数据包!C:C,$C$2)</f>
        <v>0</v>
      </c>
      <c r="E5" s="57">
        <f>IFERROR(D5/B5,0)</f>
        <v>0</v>
      </c>
      <c r="F5" s="57">
        <f>IFERROR(C5/B5,0)</f>
        <v>0</v>
      </c>
      <c r="G5" s="56">
        <f>SUMIFS(销售数据包!O:O,销售数据包!A:A,A5,销售数据包!C:C,$C$2)</f>
        <v>0</v>
      </c>
      <c r="H5" s="57">
        <f>IFERROR(R5/G5,0)</f>
        <v>0</v>
      </c>
      <c r="I5" s="71">
        <f>IFERROR(P5/G5,0)</f>
        <v>0</v>
      </c>
      <c r="J5" s="72" t="str">
        <f>"周"&amp;WEEKDAY(A5,2)</f>
        <v>周6</v>
      </c>
      <c r="K5" s="73">
        <f>SUMIFS(广告数据包!H:H,广告数据包!A:A,A5,广告数据包!G:G,$C$2)</f>
        <v>0</v>
      </c>
      <c r="L5" s="56">
        <f>SUMIFS(广告数据包!I:I,广告数据包!A:A,A5,广告数据包!G:G,$C$2)</f>
        <v>0</v>
      </c>
      <c r="M5" s="57">
        <f>IFERROR(L5/K5,0)</f>
        <v>0</v>
      </c>
      <c r="N5" s="74">
        <f>IFERROR(R5/L5,0)</f>
        <v>0</v>
      </c>
      <c r="O5" s="75">
        <f>SUMIFS(广告数据包!P:P,广告数据包!A:A,A5,广告数据包!G:G,$C$2)</f>
        <v>0</v>
      </c>
      <c r="P5" s="56">
        <f>SUMIFS(广告数据包!U:U,广告数据包!A:A,A5,广告数据包!G:G,$C$2)</f>
        <v>0</v>
      </c>
      <c r="Q5" s="57">
        <f>IFERROR(O5/L5,0)</f>
        <v>0</v>
      </c>
      <c r="R5" s="56">
        <f>SUMIFS(广告数据包!L:L,广告数据包!A:A,A5,广告数据包!G:G,$C$2)</f>
        <v>0</v>
      </c>
      <c r="S5" s="86">
        <f>IFERROR(R5/P5,0)</f>
        <v>0</v>
      </c>
      <c r="T5" s="87"/>
    </row>
    <row r="6" s="36" customFormat="1" ht="16" customHeight="1" spans="1:20">
      <c r="A6" s="58">
        <f>DATE($B$1,$B$2,DAY(A5)+1)</f>
        <v>44563</v>
      </c>
      <c r="B6" s="55">
        <f>SUMIFS(销售数据包!F:F,销售数据包!A:A,A6,销售数据包!C:C,$C$2)</f>
        <v>0</v>
      </c>
      <c r="C6" s="56">
        <f>SUMIFS(销售数据包!K:K,销售数据包!A:A,A6,销售数据包!C:C,$C$2)</f>
        <v>0</v>
      </c>
      <c r="D6" s="56">
        <f>SUMIFS(销售数据包!Q:Q,销售数据包!A:A,A6,销售数据包!C:C,$C$2)</f>
        <v>0</v>
      </c>
      <c r="E6" s="57">
        <f t="shared" ref="E6:E36" si="0">IFERROR(D6/B6,0)</f>
        <v>0</v>
      </c>
      <c r="F6" s="57">
        <f t="shared" ref="F6:F36" si="1">IFERROR(C6/B6,0)</f>
        <v>0</v>
      </c>
      <c r="G6" s="56">
        <f>SUMIFS(销售数据包!O:O,销售数据包!A:A,A6,销售数据包!C:C,$C$2)</f>
        <v>0</v>
      </c>
      <c r="H6" s="57">
        <f t="shared" ref="H6:H36" si="2">IFERROR(R6/G6,0)</f>
        <v>0</v>
      </c>
      <c r="I6" s="71">
        <f t="shared" ref="I6:I36" si="3">IFERROR(P6/G6,0)</f>
        <v>0</v>
      </c>
      <c r="J6" s="72" t="str">
        <f t="shared" ref="J6:J35" si="4">"周"&amp;WEEKDAY(A6,2)</f>
        <v>周7</v>
      </c>
      <c r="K6" s="73">
        <f>SUMIFS(广告数据包!H:H,广告数据包!A:A,A6,广告数据包!G:G,$C$2)</f>
        <v>0</v>
      </c>
      <c r="L6" s="56">
        <f>SUMIFS(广告数据包!I:I,广告数据包!A:A,A6,广告数据包!G:G,$C$2)</f>
        <v>0</v>
      </c>
      <c r="M6" s="57">
        <f t="shared" ref="M6:M36" si="5">IFERROR(L6/K6,0)</f>
        <v>0</v>
      </c>
      <c r="N6" s="74">
        <f t="shared" ref="N6:N36" si="6">IFERROR(R6/L6,0)</f>
        <v>0</v>
      </c>
      <c r="O6" s="75">
        <f>SUMIFS(广告数据包!P:P,广告数据包!A:A,A6,广告数据包!G:G,$C$2)</f>
        <v>0</v>
      </c>
      <c r="P6" s="56">
        <f>SUMIFS(广告数据包!U:U,广告数据包!A:A,A6,广告数据包!G:G,$C$2)</f>
        <v>0</v>
      </c>
      <c r="Q6" s="57">
        <f t="shared" ref="Q6:Q36" si="7">IFERROR(O6/L6,0)</f>
        <v>0</v>
      </c>
      <c r="R6" s="56">
        <f>SUMIFS(广告数据包!L:L,广告数据包!A:A,A6,广告数据包!G:G,$C$2)</f>
        <v>0</v>
      </c>
      <c r="S6" s="86">
        <f t="shared" ref="S6:S36" si="8">IFERROR(R6/P6,0)</f>
        <v>0</v>
      </c>
      <c r="T6" s="87"/>
    </row>
    <row r="7" s="36" customFormat="1" ht="16" customHeight="1" spans="1:20">
      <c r="A7" s="58">
        <f>DATE($B$1,$B$2,DAY(A6)+1)</f>
        <v>44564</v>
      </c>
      <c r="B7" s="55">
        <f>SUMIFS(销售数据包!F:F,销售数据包!A:A,A7,销售数据包!C:C,$C$2)</f>
        <v>0</v>
      </c>
      <c r="C7" s="56">
        <f>SUMIFS(销售数据包!K:K,销售数据包!A:A,A7,销售数据包!C:C,$C$2)</f>
        <v>0</v>
      </c>
      <c r="D7" s="56">
        <f>SUMIFS(销售数据包!Q:Q,销售数据包!A:A,A7,销售数据包!C:C,$C$2)</f>
        <v>0</v>
      </c>
      <c r="E7" s="57">
        <f t="shared" si="0"/>
        <v>0</v>
      </c>
      <c r="F7" s="57">
        <f t="shared" si="1"/>
        <v>0</v>
      </c>
      <c r="G7" s="56">
        <f>SUMIFS(销售数据包!O:O,销售数据包!A:A,A7,销售数据包!C:C,$C$2)</f>
        <v>0</v>
      </c>
      <c r="H7" s="57">
        <f t="shared" si="2"/>
        <v>0</v>
      </c>
      <c r="I7" s="71">
        <f t="shared" si="3"/>
        <v>0</v>
      </c>
      <c r="J7" s="72" t="str">
        <f t="shared" si="4"/>
        <v>周1</v>
      </c>
      <c r="K7" s="73">
        <f>SUMIFS(广告数据包!H:H,广告数据包!A:A,A7,广告数据包!G:G,$C$2)</f>
        <v>0</v>
      </c>
      <c r="L7" s="56">
        <f>SUMIFS(广告数据包!I:I,广告数据包!A:A,A7,广告数据包!G:G,$C$2)</f>
        <v>0</v>
      </c>
      <c r="M7" s="57">
        <f t="shared" si="5"/>
        <v>0</v>
      </c>
      <c r="N7" s="74">
        <f t="shared" si="6"/>
        <v>0</v>
      </c>
      <c r="O7" s="75">
        <f>SUMIFS(广告数据包!P:P,广告数据包!A:A,A7,广告数据包!G:G,$C$2)</f>
        <v>0</v>
      </c>
      <c r="P7" s="56">
        <f>SUMIFS(广告数据包!U:U,广告数据包!A:A,A7,广告数据包!G:G,$C$2)</f>
        <v>0</v>
      </c>
      <c r="Q7" s="57">
        <f t="shared" si="7"/>
        <v>0</v>
      </c>
      <c r="R7" s="56">
        <f>SUMIFS(广告数据包!L:L,广告数据包!A:A,A7,广告数据包!G:G,$C$2)</f>
        <v>0</v>
      </c>
      <c r="S7" s="86">
        <f t="shared" si="8"/>
        <v>0</v>
      </c>
      <c r="T7" s="87"/>
    </row>
    <row r="8" s="36" customFormat="1" ht="16" customHeight="1" spans="1:20">
      <c r="A8" s="58">
        <f>DATE($B$1,$B$2,DAY(A7)+1)</f>
        <v>44565</v>
      </c>
      <c r="B8" s="55">
        <f>SUMIFS(销售数据包!F:F,销售数据包!A:A,A8,销售数据包!C:C,$C$2)</f>
        <v>0</v>
      </c>
      <c r="C8" s="56">
        <f>SUMIFS(销售数据包!K:K,销售数据包!A:A,A8,销售数据包!C:C,$C$2)</f>
        <v>0</v>
      </c>
      <c r="D8" s="56">
        <f>SUMIFS(销售数据包!Q:Q,销售数据包!A:A,A8,销售数据包!C:C,$C$2)</f>
        <v>0</v>
      </c>
      <c r="E8" s="57">
        <f t="shared" si="0"/>
        <v>0</v>
      </c>
      <c r="F8" s="57">
        <f t="shared" si="1"/>
        <v>0</v>
      </c>
      <c r="G8" s="56">
        <f>SUMIFS(销售数据包!O:O,销售数据包!A:A,A8,销售数据包!C:C,$C$2)</f>
        <v>0</v>
      </c>
      <c r="H8" s="57">
        <f t="shared" si="2"/>
        <v>0</v>
      </c>
      <c r="I8" s="71">
        <f t="shared" si="3"/>
        <v>0</v>
      </c>
      <c r="J8" s="72" t="str">
        <f t="shared" si="4"/>
        <v>周2</v>
      </c>
      <c r="K8" s="73">
        <f>SUMIFS(广告数据包!H:H,广告数据包!A:A,A8,广告数据包!G:G,$C$2)</f>
        <v>0</v>
      </c>
      <c r="L8" s="56">
        <f>SUMIFS(广告数据包!I:I,广告数据包!A:A,A8,广告数据包!G:G,$C$2)</f>
        <v>0</v>
      </c>
      <c r="M8" s="57">
        <f t="shared" si="5"/>
        <v>0</v>
      </c>
      <c r="N8" s="74">
        <f t="shared" si="6"/>
        <v>0</v>
      </c>
      <c r="O8" s="75">
        <f>SUMIFS(广告数据包!P:P,广告数据包!A:A,A8,广告数据包!G:G,$C$2)</f>
        <v>0</v>
      </c>
      <c r="P8" s="56">
        <f>SUMIFS(广告数据包!U:U,广告数据包!A:A,A8,广告数据包!G:G,$C$2)</f>
        <v>0</v>
      </c>
      <c r="Q8" s="57">
        <f t="shared" si="7"/>
        <v>0</v>
      </c>
      <c r="R8" s="56">
        <f>SUMIFS(广告数据包!L:L,广告数据包!A:A,A8,广告数据包!G:G,$C$2)</f>
        <v>0</v>
      </c>
      <c r="S8" s="86">
        <f t="shared" si="8"/>
        <v>0</v>
      </c>
      <c r="T8" s="87"/>
    </row>
    <row r="9" s="36" customFormat="1" ht="16" customHeight="1" spans="1:20">
      <c r="A9" s="58">
        <f>DATE($B$1,$B$2,DAY(A8)+1)</f>
        <v>44566</v>
      </c>
      <c r="B9" s="55">
        <f>SUMIFS(销售数据包!F:F,销售数据包!A:A,A9,销售数据包!C:C,$C$2)</f>
        <v>0</v>
      </c>
      <c r="C9" s="56">
        <f>SUMIFS(销售数据包!K:K,销售数据包!A:A,A9,销售数据包!C:C,$C$2)</f>
        <v>0</v>
      </c>
      <c r="D9" s="56">
        <f>SUMIFS(销售数据包!Q:Q,销售数据包!A:A,A9,销售数据包!C:C,$C$2)</f>
        <v>0</v>
      </c>
      <c r="E9" s="57">
        <f t="shared" si="0"/>
        <v>0</v>
      </c>
      <c r="F9" s="57">
        <f t="shared" si="1"/>
        <v>0</v>
      </c>
      <c r="G9" s="56">
        <f>SUMIFS(销售数据包!O:O,销售数据包!A:A,A9,销售数据包!C:C,$C$2)</f>
        <v>0</v>
      </c>
      <c r="H9" s="57">
        <f t="shared" si="2"/>
        <v>0</v>
      </c>
      <c r="I9" s="71">
        <f t="shared" si="3"/>
        <v>0</v>
      </c>
      <c r="J9" s="72" t="str">
        <f t="shared" si="4"/>
        <v>周3</v>
      </c>
      <c r="K9" s="73">
        <f>SUMIFS(广告数据包!H:H,广告数据包!A:A,A9,广告数据包!G:G,$C$2)</f>
        <v>0</v>
      </c>
      <c r="L9" s="56">
        <f>SUMIFS(广告数据包!I:I,广告数据包!A:A,A9,广告数据包!G:G,$C$2)</f>
        <v>0</v>
      </c>
      <c r="M9" s="57">
        <f t="shared" si="5"/>
        <v>0</v>
      </c>
      <c r="N9" s="74">
        <f t="shared" si="6"/>
        <v>0</v>
      </c>
      <c r="O9" s="75">
        <f>SUMIFS(广告数据包!P:P,广告数据包!A:A,A9,广告数据包!G:G,$C$2)</f>
        <v>0</v>
      </c>
      <c r="P9" s="56">
        <f>SUMIFS(广告数据包!U:U,广告数据包!A:A,A9,广告数据包!G:G,$C$2)</f>
        <v>0</v>
      </c>
      <c r="Q9" s="57">
        <f t="shared" si="7"/>
        <v>0</v>
      </c>
      <c r="R9" s="56">
        <f>SUMIFS(广告数据包!L:L,广告数据包!A:A,A9,广告数据包!G:G,$C$2)</f>
        <v>0</v>
      </c>
      <c r="S9" s="86">
        <f t="shared" si="8"/>
        <v>0</v>
      </c>
      <c r="T9" s="87"/>
    </row>
    <row r="10" s="36" customFormat="1" ht="16" customHeight="1" spans="1:20">
      <c r="A10" s="58">
        <f>DATE($B$1,$B$2,DAY(A9)+1)</f>
        <v>44567</v>
      </c>
      <c r="B10" s="55">
        <f>SUMIFS(销售数据包!F:F,销售数据包!A:A,A10,销售数据包!C:C,$C$2)</f>
        <v>0</v>
      </c>
      <c r="C10" s="56">
        <f>SUMIFS(销售数据包!K:K,销售数据包!A:A,A10,销售数据包!C:C,$C$2)</f>
        <v>0</v>
      </c>
      <c r="D10" s="56">
        <f>SUMIFS(销售数据包!Q:Q,销售数据包!A:A,A10,销售数据包!C:C,$C$2)</f>
        <v>0</v>
      </c>
      <c r="E10" s="57">
        <f t="shared" si="0"/>
        <v>0</v>
      </c>
      <c r="F10" s="57">
        <f t="shared" si="1"/>
        <v>0</v>
      </c>
      <c r="G10" s="56">
        <f>SUMIFS(销售数据包!O:O,销售数据包!A:A,A10,销售数据包!C:C,$C$2)</f>
        <v>0</v>
      </c>
      <c r="H10" s="57">
        <f t="shared" si="2"/>
        <v>0</v>
      </c>
      <c r="I10" s="71">
        <f t="shared" si="3"/>
        <v>0</v>
      </c>
      <c r="J10" s="72" t="str">
        <f t="shared" si="4"/>
        <v>周4</v>
      </c>
      <c r="K10" s="73">
        <f>SUMIFS(广告数据包!H:H,广告数据包!A:A,A10,广告数据包!G:G,$C$2)</f>
        <v>0</v>
      </c>
      <c r="L10" s="56">
        <f>SUMIFS(广告数据包!I:I,广告数据包!A:A,A10,广告数据包!G:G,$C$2)</f>
        <v>0</v>
      </c>
      <c r="M10" s="57">
        <f t="shared" si="5"/>
        <v>0</v>
      </c>
      <c r="N10" s="74">
        <f t="shared" si="6"/>
        <v>0</v>
      </c>
      <c r="O10" s="75">
        <f>SUMIFS(广告数据包!P:P,广告数据包!A:A,A10,广告数据包!G:G,$C$2)</f>
        <v>0</v>
      </c>
      <c r="P10" s="56">
        <f>SUMIFS(广告数据包!U:U,广告数据包!A:A,A10,广告数据包!G:G,$C$2)</f>
        <v>0</v>
      </c>
      <c r="Q10" s="57">
        <f t="shared" si="7"/>
        <v>0</v>
      </c>
      <c r="R10" s="56">
        <f>SUMIFS(广告数据包!L:L,广告数据包!A:A,A10,广告数据包!G:G,$C$2)</f>
        <v>0</v>
      </c>
      <c r="S10" s="86">
        <f t="shared" si="8"/>
        <v>0</v>
      </c>
      <c r="T10" s="87"/>
    </row>
    <row r="11" s="36" customFormat="1" ht="16" customHeight="1" spans="1:20">
      <c r="A11" s="58">
        <f>DATE($B$1,$B$2,DAY(A10)+1)</f>
        <v>44568</v>
      </c>
      <c r="B11" s="55">
        <f>SUMIFS(销售数据包!F:F,销售数据包!A:A,A11,销售数据包!C:C,$C$2)</f>
        <v>0</v>
      </c>
      <c r="C11" s="56">
        <f>SUMIFS(销售数据包!K:K,销售数据包!A:A,A11,销售数据包!C:C,$C$2)</f>
        <v>0</v>
      </c>
      <c r="D11" s="56">
        <f>SUMIFS(销售数据包!Q:Q,销售数据包!A:A,A11,销售数据包!C:C,$C$2)</f>
        <v>0</v>
      </c>
      <c r="E11" s="57">
        <f t="shared" si="0"/>
        <v>0</v>
      </c>
      <c r="F11" s="57">
        <f t="shared" si="1"/>
        <v>0</v>
      </c>
      <c r="G11" s="56">
        <f>SUMIFS(销售数据包!O:O,销售数据包!A:A,A11,销售数据包!C:C,$C$2)</f>
        <v>0</v>
      </c>
      <c r="H11" s="57">
        <f t="shared" si="2"/>
        <v>0</v>
      </c>
      <c r="I11" s="71">
        <f t="shared" si="3"/>
        <v>0</v>
      </c>
      <c r="J11" s="72" t="str">
        <f t="shared" si="4"/>
        <v>周5</v>
      </c>
      <c r="K11" s="73">
        <f>SUMIFS(广告数据包!H:H,广告数据包!A:A,A11,广告数据包!G:G,$C$2)</f>
        <v>0</v>
      </c>
      <c r="L11" s="56">
        <f>SUMIFS(广告数据包!I:I,广告数据包!A:A,A11,广告数据包!G:G,$C$2)</f>
        <v>0</v>
      </c>
      <c r="M11" s="57">
        <f t="shared" si="5"/>
        <v>0</v>
      </c>
      <c r="N11" s="74">
        <f t="shared" si="6"/>
        <v>0</v>
      </c>
      <c r="O11" s="75">
        <f>SUMIFS(广告数据包!P:P,广告数据包!A:A,A11,广告数据包!G:G,$C$2)</f>
        <v>0</v>
      </c>
      <c r="P11" s="56">
        <f>SUMIFS(广告数据包!U:U,广告数据包!A:A,A11,广告数据包!G:G,$C$2)</f>
        <v>0</v>
      </c>
      <c r="Q11" s="57">
        <f t="shared" si="7"/>
        <v>0</v>
      </c>
      <c r="R11" s="56">
        <f>SUMIFS(广告数据包!L:L,广告数据包!A:A,A11,广告数据包!G:G,$C$2)</f>
        <v>0</v>
      </c>
      <c r="S11" s="86">
        <f t="shared" si="8"/>
        <v>0</v>
      </c>
      <c r="T11" s="87"/>
    </row>
    <row r="12" s="36" customFormat="1" ht="16" customHeight="1" spans="1:20">
      <c r="A12" s="58">
        <f>DATE($B$1,$B$2,DAY(A11)+1)</f>
        <v>44569</v>
      </c>
      <c r="B12" s="55">
        <f>SUMIFS(销售数据包!F:F,销售数据包!A:A,A12,销售数据包!C:C,$C$2)</f>
        <v>0</v>
      </c>
      <c r="C12" s="56">
        <f>SUMIFS(销售数据包!K:K,销售数据包!A:A,A12,销售数据包!C:C,$C$2)</f>
        <v>0</v>
      </c>
      <c r="D12" s="56">
        <f>SUMIFS(销售数据包!Q:Q,销售数据包!A:A,A12,销售数据包!C:C,$C$2)</f>
        <v>0</v>
      </c>
      <c r="E12" s="57">
        <f t="shared" si="0"/>
        <v>0</v>
      </c>
      <c r="F12" s="57">
        <f t="shared" si="1"/>
        <v>0</v>
      </c>
      <c r="G12" s="56">
        <f>SUMIFS(销售数据包!O:O,销售数据包!A:A,A12,销售数据包!C:C,$C$2)</f>
        <v>0</v>
      </c>
      <c r="H12" s="57">
        <f t="shared" si="2"/>
        <v>0</v>
      </c>
      <c r="I12" s="71">
        <f t="shared" si="3"/>
        <v>0</v>
      </c>
      <c r="J12" s="72" t="str">
        <f t="shared" si="4"/>
        <v>周6</v>
      </c>
      <c r="K12" s="73">
        <f>SUMIFS(广告数据包!H:H,广告数据包!A:A,A12,广告数据包!G:G,$C$2)</f>
        <v>0</v>
      </c>
      <c r="L12" s="56">
        <f>SUMIFS(广告数据包!I:I,广告数据包!A:A,A12,广告数据包!G:G,$C$2)</f>
        <v>0</v>
      </c>
      <c r="M12" s="57">
        <f t="shared" si="5"/>
        <v>0</v>
      </c>
      <c r="N12" s="74">
        <f t="shared" si="6"/>
        <v>0</v>
      </c>
      <c r="O12" s="75">
        <f>SUMIFS(广告数据包!P:P,广告数据包!A:A,A12,广告数据包!G:G,$C$2)</f>
        <v>0</v>
      </c>
      <c r="P12" s="56">
        <f>SUMIFS(广告数据包!U:U,广告数据包!A:A,A12,广告数据包!G:G,$C$2)</f>
        <v>0</v>
      </c>
      <c r="Q12" s="57">
        <f t="shared" si="7"/>
        <v>0</v>
      </c>
      <c r="R12" s="56">
        <f>SUMIFS(广告数据包!L:L,广告数据包!A:A,A12,广告数据包!G:G,$C$2)</f>
        <v>0</v>
      </c>
      <c r="S12" s="86">
        <f t="shared" si="8"/>
        <v>0</v>
      </c>
      <c r="T12" s="87"/>
    </row>
    <row r="13" s="36" customFormat="1" ht="16" customHeight="1" spans="1:20">
      <c r="A13" s="58">
        <f>DATE($B$1,$B$2,DAY(A12)+1)</f>
        <v>44570</v>
      </c>
      <c r="B13" s="55">
        <f>SUMIFS(销售数据包!F:F,销售数据包!A:A,A13,销售数据包!C:C,$C$2)</f>
        <v>0</v>
      </c>
      <c r="C13" s="56">
        <f>SUMIFS(销售数据包!K:K,销售数据包!A:A,A13,销售数据包!C:C,$C$2)</f>
        <v>0</v>
      </c>
      <c r="D13" s="56">
        <f>SUMIFS(销售数据包!Q:Q,销售数据包!A:A,A13,销售数据包!C:C,$C$2)</f>
        <v>0</v>
      </c>
      <c r="E13" s="57">
        <f t="shared" si="0"/>
        <v>0</v>
      </c>
      <c r="F13" s="57">
        <f t="shared" si="1"/>
        <v>0</v>
      </c>
      <c r="G13" s="56">
        <f>SUMIFS(销售数据包!O:O,销售数据包!A:A,A13,销售数据包!C:C,$C$2)</f>
        <v>0</v>
      </c>
      <c r="H13" s="57">
        <f t="shared" si="2"/>
        <v>0</v>
      </c>
      <c r="I13" s="71">
        <f t="shared" si="3"/>
        <v>0</v>
      </c>
      <c r="J13" s="72" t="str">
        <f t="shared" si="4"/>
        <v>周7</v>
      </c>
      <c r="K13" s="73">
        <f>SUMIFS(广告数据包!H:H,广告数据包!A:A,A13,广告数据包!G:G,$C$2)</f>
        <v>0</v>
      </c>
      <c r="L13" s="56">
        <f>SUMIFS(广告数据包!I:I,广告数据包!A:A,A13,广告数据包!G:G,$C$2)</f>
        <v>0</v>
      </c>
      <c r="M13" s="57">
        <f t="shared" si="5"/>
        <v>0</v>
      </c>
      <c r="N13" s="74">
        <f t="shared" si="6"/>
        <v>0</v>
      </c>
      <c r="O13" s="75">
        <f>SUMIFS(广告数据包!P:P,广告数据包!A:A,A13,广告数据包!G:G,$C$2)</f>
        <v>0</v>
      </c>
      <c r="P13" s="56">
        <f>SUMIFS(广告数据包!U:U,广告数据包!A:A,A13,广告数据包!G:G,$C$2)</f>
        <v>0</v>
      </c>
      <c r="Q13" s="57">
        <f t="shared" si="7"/>
        <v>0</v>
      </c>
      <c r="R13" s="56">
        <f>SUMIFS(广告数据包!L:L,广告数据包!A:A,A13,广告数据包!G:G,$C$2)</f>
        <v>0</v>
      </c>
      <c r="S13" s="86">
        <f t="shared" si="8"/>
        <v>0</v>
      </c>
      <c r="T13" s="87"/>
    </row>
    <row r="14" s="36" customFormat="1" ht="16" customHeight="1" spans="1:20">
      <c r="A14" s="58">
        <f>DATE($B$1,$B$2,DAY(A13)+1)</f>
        <v>44571</v>
      </c>
      <c r="B14" s="55">
        <f>SUMIFS(销售数据包!F:F,销售数据包!A:A,A14,销售数据包!C:C,$C$2)</f>
        <v>0</v>
      </c>
      <c r="C14" s="56">
        <f>SUMIFS(销售数据包!K:K,销售数据包!A:A,A14,销售数据包!C:C,$C$2)</f>
        <v>0</v>
      </c>
      <c r="D14" s="56">
        <f>SUMIFS(销售数据包!Q:Q,销售数据包!A:A,A14,销售数据包!C:C,$C$2)</f>
        <v>0</v>
      </c>
      <c r="E14" s="57">
        <f t="shared" si="0"/>
        <v>0</v>
      </c>
      <c r="F14" s="57">
        <f t="shared" si="1"/>
        <v>0</v>
      </c>
      <c r="G14" s="56">
        <f>SUMIFS(销售数据包!O:O,销售数据包!A:A,A14,销售数据包!C:C,$C$2)</f>
        <v>0</v>
      </c>
      <c r="H14" s="57">
        <f t="shared" si="2"/>
        <v>0</v>
      </c>
      <c r="I14" s="71">
        <f t="shared" si="3"/>
        <v>0</v>
      </c>
      <c r="J14" s="72" t="str">
        <f t="shared" si="4"/>
        <v>周1</v>
      </c>
      <c r="K14" s="73">
        <f>SUMIFS(广告数据包!H:H,广告数据包!A:A,A14,广告数据包!G:G,$C$2)</f>
        <v>0</v>
      </c>
      <c r="L14" s="56">
        <f>SUMIFS(广告数据包!I:I,广告数据包!A:A,A14,广告数据包!G:G,$C$2)</f>
        <v>0</v>
      </c>
      <c r="M14" s="57">
        <f t="shared" si="5"/>
        <v>0</v>
      </c>
      <c r="N14" s="74">
        <f t="shared" si="6"/>
        <v>0</v>
      </c>
      <c r="O14" s="75">
        <f>SUMIFS(广告数据包!P:P,广告数据包!A:A,A14,广告数据包!G:G,$C$2)</f>
        <v>0</v>
      </c>
      <c r="P14" s="56">
        <f>SUMIFS(广告数据包!U:U,广告数据包!A:A,A14,广告数据包!G:G,$C$2)</f>
        <v>0</v>
      </c>
      <c r="Q14" s="57">
        <f t="shared" si="7"/>
        <v>0</v>
      </c>
      <c r="R14" s="56">
        <f>SUMIFS(广告数据包!L:L,广告数据包!A:A,A14,广告数据包!G:G,$C$2)</f>
        <v>0</v>
      </c>
      <c r="S14" s="86">
        <f t="shared" si="8"/>
        <v>0</v>
      </c>
      <c r="T14" s="87"/>
    </row>
    <row r="15" s="36" customFormat="1" ht="16" customHeight="1" spans="1:20">
      <c r="A15" s="58">
        <f>DATE($B$1,$B$2,DAY(A14)+1)</f>
        <v>44572</v>
      </c>
      <c r="B15" s="55">
        <f>SUMIFS(销售数据包!F:F,销售数据包!A:A,A15,销售数据包!C:C,$C$2)</f>
        <v>0</v>
      </c>
      <c r="C15" s="56">
        <f>SUMIFS(销售数据包!K:K,销售数据包!A:A,A15,销售数据包!C:C,$C$2)</f>
        <v>0</v>
      </c>
      <c r="D15" s="56">
        <f>SUMIFS(销售数据包!Q:Q,销售数据包!A:A,A15,销售数据包!C:C,$C$2)</f>
        <v>0</v>
      </c>
      <c r="E15" s="57">
        <f t="shared" si="0"/>
        <v>0</v>
      </c>
      <c r="F15" s="57">
        <f t="shared" si="1"/>
        <v>0</v>
      </c>
      <c r="G15" s="56">
        <f>SUMIFS(销售数据包!O:O,销售数据包!A:A,A15,销售数据包!C:C,$C$2)</f>
        <v>0</v>
      </c>
      <c r="H15" s="57">
        <f t="shared" si="2"/>
        <v>0</v>
      </c>
      <c r="I15" s="71">
        <f t="shared" si="3"/>
        <v>0</v>
      </c>
      <c r="J15" s="72" t="str">
        <f t="shared" si="4"/>
        <v>周2</v>
      </c>
      <c r="K15" s="73">
        <f>SUMIFS(广告数据包!H:H,广告数据包!A:A,A15,广告数据包!G:G,$C$2)</f>
        <v>0</v>
      </c>
      <c r="L15" s="56">
        <f>SUMIFS(广告数据包!I:I,广告数据包!A:A,A15,广告数据包!G:G,$C$2)</f>
        <v>0</v>
      </c>
      <c r="M15" s="57">
        <f t="shared" si="5"/>
        <v>0</v>
      </c>
      <c r="N15" s="74">
        <f t="shared" si="6"/>
        <v>0</v>
      </c>
      <c r="O15" s="75">
        <f>SUMIFS(广告数据包!P:P,广告数据包!A:A,A15,广告数据包!G:G,$C$2)</f>
        <v>0</v>
      </c>
      <c r="P15" s="56">
        <f>SUMIFS(广告数据包!U:U,广告数据包!A:A,A15,广告数据包!G:G,$C$2)</f>
        <v>0</v>
      </c>
      <c r="Q15" s="57">
        <f t="shared" si="7"/>
        <v>0</v>
      </c>
      <c r="R15" s="56">
        <f>SUMIFS(广告数据包!L:L,广告数据包!A:A,A15,广告数据包!G:G,$C$2)</f>
        <v>0</v>
      </c>
      <c r="S15" s="86">
        <f t="shared" si="8"/>
        <v>0</v>
      </c>
      <c r="T15" s="87"/>
    </row>
    <row r="16" s="36" customFormat="1" ht="16" customHeight="1" spans="1:20">
      <c r="A16" s="58">
        <f>DATE($B$1,$B$2,DAY(A15)+1)</f>
        <v>44573</v>
      </c>
      <c r="B16" s="55">
        <f>SUMIFS(销售数据包!F:F,销售数据包!A:A,A16,销售数据包!C:C,$C$2)</f>
        <v>0</v>
      </c>
      <c r="C16" s="56">
        <f>SUMIFS(销售数据包!K:K,销售数据包!A:A,A16,销售数据包!C:C,$C$2)</f>
        <v>0</v>
      </c>
      <c r="D16" s="56">
        <f>SUMIFS(销售数据包!Q:Q,销售数据包!A:A,A16,销售数据包!C:C,$C$2)</f>
        <v>0</v>
      </c>
      <c r="E16" s="57">
        <f t="shared" si="0"/>
        <v>0</v>
      </c>
      <c r="F16" s="57">
        <f t="shared" si="1"/>
        <v>0</v>
      </c>
      <c r="G16" s="56">
        <f>SUMIFS(销售数据包!O:O,销售数据包!A:A,A16,销售数据包!C:C,$C$2)</f>
        <v>0</v>
      </c>
      <c r="H16" s="57">
        <f t="shared" si="2"/>
        <v>0</v>
      </c>
      <c r="I16" s="71">
        <f t="shared" si="3"/>
        <v>0</v>
      </c>
      <c r="J16" s="72" t="str">
        <f t="shared" si="4"/>
        <v>周3</v>
      </c>
      <c r="K16" s="73">
        <f>SUMIFS(广告数据包!H:H,广告数据包!A:A,A16,广告数据包!G:G,$C$2)</f>
        <v>0</v>
      </c>
      <c r="L16" s="56">
        <f>SUMIFS(广告数据包!I:I,广告数据包!A:A,A16,广告数据包!G:G,$C$2)</f>
        <v>0</v>
      </c>
      <c r="M16" s="57">
        <f t="shared" si="5"/>
        <v>0</v>
      </c>
      <c r="N16" s="74">
        <f t="shared" si="6"/>
        <v>0</v>
      </c>
      <c r="O16" s="75">
        <f>SUMIFS(广告数据包!P:P,广告数据包!A:A,A16,广告数据包!G:G,$C$2)</f>
        <v>0</v>
      </c>
      <c r="P16" s="56">
        <f>SUMIFS(广告数据包!U:U,广告数据包!A:A,A16,广告数据包!G:G,$C$2)</f>
        <v>0</v>
      </c>
      <c r="Q16" s="57">
        <f t="shared" si="7"/>
        <v>0</v>
      </c>
      <c r="R16" s="56">
        <f>SUMIFS(广告数据包!L:L,广告数据包!A:A,A16,广告数据包!G:G,$C$2)</f>
        <v>0</v>
      </c>
      <c r="S16" s="86">
        <f t="shared" si="8"/>
        <v>0</v>
      </c>
      <c r="T16" s="87"/>
    </row>
    <row r="17" s="36" customFormat="1" ht="16" customHeight="1" spans="1:20">
      <c r="A17" s="58">
        <f>DATE($B$1,$B$2,DAY(A16)+1)</f>
        <v>44574</v>
      </c>
      <c r="B17" s="55">
        <f>SUMIFS(销售数据包!F:F,销售数据包!A:A,A17,销售数据包!C:C,$C$2)</f>
        <v>0</v>
      </c>
      <c r="C17" s="56">
        <f>SUMIFS(销售数据包!K:K,销售数据包!A:A,A17,销售数据包!C:C,$C$2)</f>
        <v>0</v>
      </c>
      <c r="D17" s="56">
        <f>SUMIFS(销售数据包!Q:Q,销售数据包!A:A,A17,销售数据包!C:C,$C$2)</f>
        <v>0</v>
      </c>
      <c r="E17" s="57">
        <f t="shared" si="0"/>
        <v>0</v>
      </c>
      <c r="F17" s="57">
        <f t="shared" si="1"/>
        <v>0</v>
      </c>
      <c r="G17" s="56">
        <f>SUMIFS(销售数据包!O:O,销售数据包!A:A,A17,销售数据包!C:C,$C$2)</f>
        <v>0</v>
      </c>
      <c r="H17" s="57">
        <f t="shared" si="2"/>
        <v>0</v>
      </c>
      <c r="I17" s="71">
        <f t="shared" si="3"/>
        <v>0</v>
      </c>
      <c r="J17" s="72" t="str">
        <f t="shared" si="4"/>
        <v>周4</v>
      </c>
      <c r="K17" s="73">
        <f>SUMIFS(广告数据包!H:H,广告数据包!A:A,A17,广告数据包!G:G,$C$2)</f>
        <v>0</v>
      </c>
      <c r="L17" s="56">
        <f>SUMIFS(广告数据包!I:I,广告数据包!A:A,A17,广告数据包!G:G,$C$2)</f>
        <v>0</v>
      </c>
      <c r="M17" s="57">
        <f t="shared" si="5"/>
        <v>0</v>
      </c>
      <c r="N17" s="74">
        <f t="shared" si="6"/>
        <v>0</v>
      </c>
      <c r="O17" s="75">
        <f>SUMIFS(广告数据包!P:P,广告数据包!A:A,A17,广告数据包!G:G,$C$2)</f>
        <v>0</v>
      </c>
      <c r="P17" s="56">
        <f>SUMIFS(广告数据包!U:U,广告数据包!A:A,A17,广告数据包!G:G,$C$2)</f>
        <v>0</v>
      </c>
      <c r="Q17" s="57">
        <f t="shared" si="7"/>
        <v>0</v>
      </c>
      <c r="R17" s="56">
        <f>SUMIFS(广告数据包!L:L,广告数据包!A:A,A17,广告数据包!G:G,$C$2)</f>
        <v>0</v>
      </c>
      <c r="S17" s="86">
        <f t="shared" si="8"/>
        <v>0</v>
      </c>
      <c r="T17" s="87"/>
    </row>
    <row r="18" s="36" customFormat="1" ht="16" customHeight="1" spans="1:20">
      <c r="A18" s="58">
        <f>DATE($B$1,$B$2,DAY(A17)+1)</f>
        <v>44575</v>
      </c>
      <c r="B18" s="55">
        <f>SUMIFS(销售数据包!F:F,销售数据包!A:A,A18,销售数据包!C:C,$C$2)</f>
        <v>0</v>
      </c>
      <c r="C18" s="56">
        <f>SUMIFS(销售数据包!K:K,销售数据包!A:A,A18,销售数据包!C:C,$C$2)</f>
        <v>0</v>
      </c>
      <c r="D18" s="56">
        <f>SUMIFS(销售数据包!Q:Q,销售数据包!A:A,A18,销售数据包!C:C,$C$2)</f>
        <v>0</v>
      </c>
      <c r="E18" s="57">
        <f t="shared" si="0"/>
        <v>0</v>
      </c>
      <c r="F18" s="57">
        <f t="shared" si="1"/>
        <v>0</v>
      </c>
      <c r="G18" s="56">
        <f>SUMIFS(销售数据包!O:O,销售数据包!A:A,A18,销售数据包!C:C,$C$2)</f>
        <v>0</v>
      </c>
      <c r="H18" s="57">
        <f t="shared" si="2"/>
        <v>0</v>
      </c>
      <c r="I18" s="71">
        <f t="shared" si="3"/>
        <v>0</v>
      </c>
      <c r="J18" s="72" t="str">
        <f t="shared" si="4"/>
        <v>周5</v>
      </c>
      <c r="K18" s="73">
        <f>SUMIFS(广告数据包!H:H,广告数据包!A:A,A18,广告数据包!G:G,$C$2)</f>
        <v>0</v>
      </c>
      <c r="L18" s="56">
        <f>SUMIFS(广告数据包!I:I,广告数据包!A:A,A18,广告数据包!G:G,$C$2)</f>
        <v>0</v>
      </c>
      <c r="M18" s="57">
        <f t="shared" si="5"/>
        <v>0</v>
      </c>
      <c r="N18" s="74">
        <f t="shared" si="6"/>
        <v>0</v>
      </c>
      <c r="O18" s="75">
        <f>SUMIFS(广告数据包!P:P,广告数据包!A:A,A18,广告数据包!G:G,$C$2)</f>
        <v>0</v>
      </c>
      <c r="P18" s="56">
        <f>SUMIFS(广告数据包!U:U,广告数据包!A:A,A18,广告数据包!G:G,$C$2)</f>
        <v>0</v>
      </c>
      <c r="Q18" s="57">
        <f t="shared" si="7"/>
        <v>0</v>
      </c>
      <c r="R18" s="56">
        <f>SUMIFS(广告数据包!L:L,广告数据包!A:A,A18,广告数据包!G:G,$C$2)</f>
        <v>0</v>
      </c>
      <c r="S18" s="86">
        <f t="shared" si="8"/>
        <v>0</v>
      </c>
      <c r="T18" s="87"/>
    </row>
    <row r="19" s="36" customFormat="1" ht="16" customHeight="1" spans="1:20">
      <c r="A19" s="58">
        <f>DATE($B$1,$B$2,DAY(A18)+1)</f>
        <v>44576</v>
      </c>
      <c r="B19" s="55">
        <f>SUMIFS(销售数据包!F:F,销售数据包!A:A,A19,销售数据包!C:C,$C$2)</f>
        <v>0</v>
      </c>
      <c r="C19" s="56">
        <f>SUMIFS(销售数据包!K:K,销售数据包!A:A,A19,销售数据包!C:C,$C$2)</f>
        <v>0</v>
      </c>
      <c r="D19" s="56">
        <f>SUMIFS(销售数据包!Q:Q,销售数据包!A:A,A19,销售数据包!C:C,$C$2)</f>
        <v>0</v>
      </c>
      <c r="E19" s="57">
        <f t="shared" si="0"/>
        <v>0</v>
      </c>
      <c r="F19" s="57">
        <f t="shared" si="1"/>
        <v>0</v>
      </c>
      <c r="G19" s="56">
        <f>SUMIFS(销售数据包!O:O,销售数据包!A:A,A19,销售数据包!C:C,$C$2)</f>
        <v>0</v>
      </c>
      <c r="H19" s="57">
        <f t="shared" si="2"/>
        <v>0</v>
      </c>
      <c r="I19" s="71">
        <f t="shared" si="3"/>
        <v>0</v>
      </c>
      <c r="J19" s="72" t="str">
        <f t="shared" si="4"/>
        <v>周6</v>
      </c>
      <c r="K19" s="73">
        <f>SUMIFS(广告数据包!H:H,广告数据包!A:A,A19,广告数据包!G:G,$C$2)</f>
        <v>0</v>
      </c>
      <c r="L19" s="56">
        <f>SUMIFS(广告数据包!I:I,广告数据包!A:A,A19,广告数据包!G:G,$C$2)</f>
        <v>0</v>
      </c>
      <c r="M19" s="57">
        <f t="shared" si="5"/>
        <v>0</v>
      </c>
      <c r="N19" s="74">
        <f t="shared" si="6"/>
        <v>0</v>
      </c>
      <c r="O19" s="75">
        <f>SUMIFS(广告数据包!P:P,广告数据包!A:A,A19,广告数据包!G:G,$C$2)</f>
        <v>0</v>
      </c>
      <c r="P19" s="56">
        <f>SUMIFS(广告数据包!U:U,广告数据包!A:A,A19,广告数据包!G:G,$C$2)</f>
        <v>0</v>
      </c>
      <c r="Q19" s="57">
        <f t="shared" si="7"/>
        <v>0</v>
      </c>
      <c r="R19" s="56">
        <f>SUMIFS(广告数据包!L:L,广告数据包!A:A,A19,广告数据包!G:G,$C$2)</f>
        <v>0</v>
      </c>
      <c r="S19" s="86">
        <f t="shared" si="8"/>
        <v>0</v>
      </c>
      <c r="T19" s="87"/>
    </row>
    <row r="20" s="36" customFormat="1" ht="16" customHeight="1" spans="1:20">
      <c r="A20" s="58">
        <f>DATE($B$1,$B$2,DAY(A19)+1)</f>
        <v>44577</v>
      </c>
      <c r="B20" s="55">
        <f>SUMIFS(销售数据包!F:F,销售数据包!A:A,A20,销售数据包!C:C,$C$2)</f>
        <v>0</v>
      </c>
      <c r="C20" s="56">
        <f>SUMIFS(销售数据包!K:K,销售数据包!A:A,A20,销售数据包!C:C,$C$2)</f>
        <v>0</v>
      </c>
      <c r="D20" s="56">
        <f>SUMIFS(销售数据包!Q:Q,销售数据包!A:A,A20,销售数据包!C:C,$C$2)</f>
        <v>0</v>
      </c>
      <c r="E20" s="57">
        <f t="shared" si="0"/>
        <v>0</v>
      </c>
      <c r="F20" s="57">
        <f t="shared" si="1"/>
        <v>0</v>
      </c>
      <c r="G20" s="56">
        <f>SUMIFS(销售数据包!O:O,销售数据包!A:A,A20,销售数据包!C:C,$C$2)</f>
        <v>0</v>
      </c>
      <c r="H20" s="57">
        <f t="shared" si="2"/>
        <v>0</v>
      </c>
      <c r="I20" s="71">
        <f t="shared" si="3"/>
        <v>0</v>
      </c>
      <c r="J20" s="72" t="str">
        <f t="shared" si="4"/>
        <v>周7</v>
      </c>
      <c r="K20" s="73">
        <f>SUMIFS(广告数据包!H:H,广告数据包!A:A,A20,广告数据包!G:G,$C$2)</f>
        <v>0</v>
      </c>
      <c r="L20" s="56">
        <f>SUMIFS(广告数据包!I:I,广告数据包!A:A,A20,广告数据包!G:G,$C$2)</f>
        <v>0</v>
      </c>
      <c r="M20" s="57">
        <f t="shared" si="5"/>
        <v>0</v>
      </c>
      <c r="N20" s="74">
        <f t="shared" si="6"/>
        <v>0</v>
      </c>
      <c r="O20" s="75">
        <f>SUMIFS(广告数据包!P:P,广告数据包!A:A,A20,广告数据包!G:G,$C$2)</f>
        <v>0</v>
      </c>
      <c r="P20" s="56">
        <f>SUMIFS(广告数据包!U:U,广告数据包!A:A,A20,广告数据包!G:G,$C$2)</f>
        <v>0</v>
      </c>
      <c r="Q20" s="57">
        <f t="shared" si="7"/>
        <v>0</v>
      </c>
      <c r="R20" s="56">
        <f>SUMIFS(广告数据包!L:L,广告数据包!A:A,A20,广告数据包!G:G,$C$2)</f>
        <v>0</v>
      </c>
      <c r="S20" s="86">
        <f t="shared" si="8"/>
        <v>0</v>
      </c>
      <c r="T20" s="87"/>
    </row>
    <row r="21" s="36" customFormat="1" ht="16" customHeight="1" spans="1:20">
      <c r="A21" s="58">
        <f>DATE($B$1,$B$2,DAY(A20)+1)</f>
        <v>44578</v>
      </c>
      <c r="B21" s="55">
        <f>SUMIFS(销售数据包!F:F,销售数据包!A:A,A21,销售数据包!C:C,$C$2)</f>
        <v>0</v>
      </c>
      <c r="C21" s="56">
        <f>SUMIFS(销售数据包!K:K,销售数据包!A:A,A21,销售数据包!C:C,$C$2)</f>
        <v>0</v>
      </c>
      <c r="D21" s="56">
        <f>SUMIFS(销售数据包!Q:Q,销售数据包!A:A,A21,销售数据包!C:C,$C$2)</f>
        <v>0</v>
      </c>
      <c r="E21" s="57">
        <f t="shared" si="0"/>
        <v>0</v>
      </c>
      <c r="F21" s="57">
        <f t="shared" si="1"/>
        <v>0</v>
      </c>
      <c r="G21" s="56">
        <f>SUMIFS(销售数据包!O:O,销售数据包!A:A,A21,销售数据包!C:C,$C$2)</f>
        <v>0</v>
      </c>
      <c r="H21" s="57">
        <f t="shared" si="2"/>
        <v>0</v>
      </c>
      <c r="I21" s="71">
        <f t="shared" si="3"/>
        <v>0</v>
      </c>
      <c r="J21" s="72" t="str">
        <f t="shared" si="4"/>
        <v>周1</v>
      </c>
      <c r="K21" s="73">
        <f>SUMIFS(广告数据包!H:H,广告数据包!A:A,A21,广告数据包!G:G,$C$2)</f>
        <v>0</v>
      </c>
      <c r="L21" s="56">
        <f>SUMIFS(广告数据包!I:I,广告数据包!A:A,A21,广告数据包!G:G,$C$2)</f>
        <v>0</v>
      </c>
      <c r="M21" s="57">
        <f t="shared" si="5"/>
        <v>0</v>
      </c>
      <c r="N21" s="74">
        <f t="shared" si="6"/>
        <v>0</v>
      </c>
      <c r="O21" s="75">
        <f>SUMIFS(广告数据包!P:P,广告数据包!A:A,A21,广告数据包!G:G,$C$2)</f>
        <v>0</v>
      </c>
      <c r="P21" s="56">
        <f>SUMIFS(广告数据包!U:U,广告数据包!A:A,A21,广告数据包!G:G,$C$2)</f>
        <v>0</v>
      </c>
      <c r="Q21" s="57">
        <f t="shared" si="7"/>
        <v>0</v>
      </c>
      <c r="R21" s="56">
        <f>SUMIFS(广告数据包!L:L,广告数据包!A:A,A21,广告数据包!G:G,$C$2)</f>
        <v>0</v>
      </c>
      <c r="S21" s="86">
        <f t="shared" si="8"/>
        <v>0</v>
      </c>
      <c r="T21" s="87"/>
    </row>
    <row r="22" s="36" customFormat="1" ht="16" customHeight="1" spans="1:20">
      <c r="A22" s="58">
        <f>DATE($B$1,$B$2,DAY(A21)+1)</f>
        <v>44579</v>
      </c>
      <c r="B22" s="55">
        <f>SUMIFS(销售数据包!F:F,销售数据包!A:A,A22,销售数据包!C:C,$C$2)</f>
        <v>0</v>
      </c>
      <c r="C22" s="56">
        <f>SUMIFS(销售数据包!K:K,销售数据包!A:A,A22,销售数据包!C:C,$C$2)</f>
        <v>0</v>
      </c>
      <c r="D22" s="56">
        <f>SUMIFS(销售数据包!Q:Q,销售数据包!A:A,A22,销售数据包!C:C,$C$2)</f>
        <v>0</v>
      </c>
      <c r="E22" s="57">
        <f t="shared" si="0"/>
        <v>0</v>
      </c>
      <c r="F22" s="57">
        <f t="shared" si="1"/>
        <v>0</v>
      </c>
      <c r="G22" s="56">
        <f>SUMIFS(销售数据包!O:O,销售数据包!A:A,A22,销售数据包!C:C,$C$2)</f>
        <v>0</v>
      </c>
      <c r="H22" s="57">
        <f t="shared" si="2"/>
        <v>0</v>
      </c>
      <c r="I22" s="71">
        <f t="shared" si="3"/>
        <v>0</v>
      </c>
      <c r="J22" s="72" t="str">
        <f t="shared" si="4"/>
        <v>周2</v>
      </c>
      <c r="K22" s="73">
        <f>SUMIFS(广告数据包!H:H,广告数据包!A:A,A22,广告数据包!G:G,$C$2)</f>
        <v>0</v>
      </c>
      <c r="L22" s="56">
        <f>SUMIFS(广告数据包!I:I,广告数据包!A:A,A22,广告数据包!G:G,$C$2)</f>
        <v>0</v>
      </c>
      <c r="M22" s="57">
        <f t="shared" si="5"/>
        <v>0</v>
      </c>
      <c r="N22" s="74">
        <f t="shared" si="6"/>
        <v>0</v>
      </c>
      <c r="O22" s="75">
        <f>SUMIFS(广告数据包!P:P,广告数据包!A:A,A22,广告数据包!G:G,$C$2)</f>
        <v>0</v>
      </c>
      <c r="P22" s="56">
        <f>SUMIFS(广告数据包!U:U,广告数据包!A:A,A22,广告数据包!G:G,$C$2)</f>
        <v>0</v>
      </c>
      <c r="Q22" s="57">
        <f t="shared" si="7"/>
        <v>0</v>
      </c>
      <c r="R22" s="56">
        <f>SUMIFS(广告数据包!L:L,广告数据包!A:A,A22,广告数据包!G:G,$C$2)</f>
        <v>0</v>
      </c>
      <c r="S22" s="86">
        <f t="shared" si="8"/>
        <v>0</v>
      </c>
      <c r="T22" s="87"/>
    </row>
    <row r="23" s="36" customFormat="1" ht="16" customHeight="1" spans="1:20">
      <c r="A23" s="58">
        <f>DATE($B$1,$B$2,DAY(A22)+1)</f>
        <v>44580</v>
      </c>
      <c r="B23" s="55">
        <f>SUMIFS(销售数据包!F:F,销售数据包!A:A,A23,销售数据包!C:C,$C$2)</f>
        <v>0</v>
      </c>
      <c r="C23" s="56">
        <f>SUMIFS(销售数据包!K:K,销售数据包!A:A,A23,销售数据包!C:C,$C$2)</f>
        <v>0</v>
      </c>
      <c r="D23" s="56">
        <f>SUMIFS(销售数据包!Q:Q,销售数据包!A:A,A23,销售数据包!C:C,$C$2)</f>
        <v>0</v>
      </c>
      <c r="E23" s="57">
        <f t="shared" si="0"/>
        <v>0</v>
      </c>
      <c r="F23" s="57">
        <f t="shared" si="1"/>
        <v>0</v>
      </c>
      <c r="G23" s="56">
        <f>SUMIFS(销售数据包!O:O,销售数据包!A:A,A23,销售数据包!C:C,$C$2)</f>
        <v>0</v>
      </c>
      <c r="H23" s="57">
        <f t="shared" si="2"/>
        <v>0</v>
      </c>
      <c r="I23" s="71">
        <f t="shared" si="3"/>
        <v>0</v>
      </c>
      <c r="J23" s="72" t="str">
        <f t="shared" si="4"/>
        <v>周3</v>
      </c>
      <c r="K23" s="73">
        <f>SUMIFS(广告数据包!H:H,广告数据包!A:A,A23,广告数据包!G:G,$C$2)</f>
        <v>0</v>
      </c>
      <c r="L23" s="56">
        <f>SUMIFS(广告数据包!I:I,广告数据包!A:A,A23,广告数据包!G:G,$C$2)</f>
        <v>0</v>
      </c>
      <c r="M23" s="57">
        <f t="shared" si="5"/>
        <v>0</v>
      </c>
      <c r="N23" s="74">
        <f t="shared" si="6"/>
        <v>0</v>
      </c>
      <c r="O23" s="75">
        <f>SUMIFS(广告数据包!P:P,广告数据包!A:A,A23,广告数据包!G:G,$C$2)</f>
        <v>0</v>
      </c>
      <c r="P23" s="56">
        <f>SUMIFS(广告数据包!U:U,广告数据包!A:A,A23,广告数据包!G:G,$C$2)</f>
        <v>0</v>
      </c>
      <c r="Q23" s="57">
        <f t="shared" si="7"/>
        <v>0</v>
      </c>
      <c r="R23" s="56">
        <f>SUMIFS(广告数据包!L:L,广告数据包!A:A,A23,广告数据包!G:G,$C$2)</f>
        <v>0</v>
      </c>
      <c r="S23" s="86">
        <f t="shared" si="8"/>
        <v>0</v>
      </c>
      <c r="T23" s="87"/>
    </row>
    <row r="24" s="36" customFormat="1" ht="16" customHeight="1" spans="1:20">
      <c r="A24" s="58">
        <f>DATE($B$1,$B$2,DAY(A23)+1)</f>
        <v>44581</v>
      </c>
      <c r="B24" s="55">
        <f>SUMIFS(销售数据包!F:F,销售数据包!A:A,A24,销售数据包!C:C,$C$2)</f>
        <v>0</v>
      </c>
      <c r="C24" s="56">
        <f>SUMIFS(销售数据包!K:K,销售数据包!A:A,A24,销售数据包!C:C,$C$2)</f>
        <v>0</v>
      </c>
      <c r="D24" s="56">
        <f>SUMIFS(销售数据包!Q:Q,销售数据包!A:A,A24,销售数据包!C:C,$C$2)</f>
        <v>0</v>
      </c>
      <c r="E24" s="57">
        <f t="shared" si="0"/>
        <v>0</v>
      </c>
      <c r="F24" s="57">
        <f t="shared" si="1"/>
        <v>0</v>
      </c>
      <c r="G24" s="56">
        <f>SUMIFS(销售数据包!O:O,销售数据包!A:A,A24,销售数据包!C:C,$C$2)</f>
        <v>0</v>
      </c>
      <c r="H24" s="57">
        <f t="shared" si="2"/>
        <v>0</v>
      </c>
      <c r="I24" s="71">
        <f t="shared" si="3"/>
        <v>0</v>
      </c>
      <c r="J24" s="72" t="str">
        <f t="shared" si="4"/>
        <v>周4</v>
      </c>
      <c r="K24" s="73">
        <f>SUMIFS(广告数据包!H:H,广告数据包!A:A,A24,广告数据包!G:G,$C$2)</f>
        <v>0</v>
      </c>
      <c r="L24" s="56">
        <f>SUMIFS(广告数据包!I:I,广告数据包!A:A,A24,广告数据包!G:G,$C$2)</f>
        <v>0</v>
      </c>
      <c r="M24" s="57">
        <f t="shared" si="5"/>
        <v>0</v>
      </c>
      <c r="N24" s="74">
        <f t="shared" si="6"/>
        <v>0</v>
      </c>
      <c r="O24" s="75">
        <f>SUMIFS(广告数据包!P:P,广告数据包!A:A,A24,广告数据包!G:G,$C$2)</f>
        <v>0</v>
      </c>
      <c r="P24" s="56">
        <f>SUMIFS(广告数据包!U:U,广告数据包!A:A,A24,广告数据包!G:G,$C$2)</f>
        <v>0</v>
      </c>
      <c r="Q24" s="57">
        <f t="shared" si="7"/>
        <v>0</v>
      </c>
      <c r="R24" s="56">
        <f>SUMIFS(广告数据包!L:L,广告数据包!A:A,A24,广告数据包!G:G,$C$2)</f>
        <v>0</v>
      </c>
      <c r="S24" s="86">
        <f t="shared" si="8"/>
        <v>0</v>
      </c>
      <c r="T24" s="87"/>
    </row>
    <row r="25" s="36" customFormat="1" ht="16" customHeight="1" spans="1:20">
      <c r="A25" s="58">
        <f>DATE($B$1,$B$2,DAY(A24)+1)</f>
        <v>44582</v>
      </c>
      <c r="B25" s="55">
        <f>SUMIFS(销售数据包!F:F,销售数据包!A:A,A25,销售数据包!C:C,$C$2)</f>
        <v>0</v>
      </c>
      <c r="C25" s="56">
        <f>SUMIFS(销售数据包!K:K,销售数据包!A:A,A25,销售数据包!C:C,$C$2)</f>
        <v>0</v>
      </c>
      <c r="D25" s="56">
        <f>SUMIFS(销售数据包!Q:Q,销售数据包!A:A,A25,销售数据包!C:C,$C$2)</f>
        <v>0</v>
      </c>
      <c r="E25" s="57">
        <f t="shared" si="0"/>
        <v>0</v>
      </c>
      <c r="F25" s="57">
        <f t="shared" si="1"/>
        <v>0</v>
      </c>
      <c r="G25" s="56">
        <f>SUMIFS(销售数据包!O:O,销售数据包!A:A,A25,销售数据包!C:C,$C$2)</f>
        <v>0</v>
      </c>
      <c r="H25" s="57">
        <f t="shared" si="2"/>
        <v>0</v>
      </c>
      <c r="I25" s="71">
        <f t="shared" si="3"/>
        <v>0</v>
      </c>
      <c r="J25" s="72" t="str">
        <f t="shared" si="4"/>
        <v>周5</v>
      </c>
      <c r="K25" s="73">
        <f>SUMIFS(广告数据包!H:H,广告数据包!A:A,A25,广告数据包!G:G,$C$2)</f>
        <v>0</v>
      </c>
      <c r="L25" s="56">
        <f>SUMIFS(广告数据包!I:I,广告数据包!A:A,A25,广告数据包!G:G,$C$2)</f>
        <v>0</v>
      </c>
      <c r="M25" s="57">
        <f t="shared" si="5"/>
        <v>0</v>
      </c>
      <c r="N25" s="74">
        <f t="shared" si="6"/>
        <v>0</v>
      </c>
      <c r="O25" s="75">
        <f>SUMIFS(广告数据包!P:P,广告数据包!A:A,A25,广告数据包!G:G,$C$2)</f>
        <v>0</v>
      </c>
      <c r="P25" s="56">
        <f>SUMIFS(广告数据包!U:U,广告数据包!A:A,A25,广告数据包!G:G,$C$2)</f>
        <v>0</v>
      </c>
      <c r="Q25" s="57">
        <f t="shared" si="7"/>
        <v>0</v>
      </c>
      <c r="R25" s="56">
        <f>SUMIFS(广告数据包!L:L,广告数据包!A:A,A25,广告数据包!G:G,$C$2)</f>
        <v>0</v>
      </c>
      <c r="S25" s="86">
        <f t="shared" si="8"/>
        <v>0</v>
      </c>
      <c r="T25" s="87"/>
    </row>
    <row r="26" s="36" customFormat="1" ht="16" customHeight="1" spans="1:20">
      <c r="A26" s="58">
        <f>DATE($B$1,$B$2,DAY(A25)+1)</f>
        <v>44583</v>
      </c>
      <c r="B26" s="55">
        <f>SUMIFS(销售数据包!F:F,销售数据包!A:A,A26,销售数据包!C:C,$C$2)</f>
        <v>0</v>
      </c>
      <c r="C26" s="56">
        <f>SUMIFS(销售数据包!K:K,销售数据包!A:A,A26,销售数据包!C:C,$C$2)</f>
        <v>0</v>
      </c>
      <c r="D26" s="56">
        <f>SUMIFS(销售数据包!Q:Q,销售数据包!A:A,A26,销售数据包!C:C,$C$2)</f>
        <v>0</v>
      </c>
      <c r="E26" s="57">
        <f t="shared" si="0"/>
        <v>0</v>
      </c>
      <c r="F26" s="57">
        <f t="shared" si="1"/>
        <v>0</v>
      </c>
      <c r="G26" s="56">
        <f>SUMIFS(销售数据包!O:O,销售数据包!A:A,A26,销售数据包!C:C,$C$2)</f>
        <v>0</v>
      </c>
      <c r="H26" s="57">
        <f t="shared" si="2"/>
        <v>0</v>
      </c>
      <c r="I26" s="71">
        <f t="shared" si="3"/>
        <v>0</v>
      </c>
      <c r="J26" s="72" t="str">
        <f t="shared" si="4"/>
        <v>周6</v>
      </c>
      <c r="K26" s="73">
        <f>SUMIFS(广告数据包!H:H,广告数据包!A:A,A26,广告数据包!G:G,$C$2)</f>
        <v>0</v>
      </c>
      <c r="L26" s="56">
        <f>SUMIFS(广告数据包!I:I,广告数据包!A:A,A26,广告数据包!G:G,$C$2)</f>
        <v>0</v>
      </c>
      <c r="M26" s="57">
        <f t="shared" si="5"/>
        <v>0</v>
      </c>
      <c r="N26" s="74">
        <f t="shared" si="6"/>
        <v>0</v>
      </c>
      <c r="O26" s="75">
        <f>SUMIFS(广告数据包!P:P,广告数据包!A:A,A26,广告数据包!G:G,$C$2)</f>
        <v>0</v>
      </c>
      <c r="P26" s="56">
        <f>SUMIFS(广告数据包!U:U,广告数据包!A:A,A26,广告数据包!G:G,$C$2)</f>
        <v>0</v>
      </c>
      <c r="Q26" s="57">
        <f t="shared" si="7"/>
        <v>0</v>
      </c>
      <c r="R26" s="56">
        <f>SUMIFS(广告数据包!L:L,广告数据包!A:A,A26,广告数据包!G:G,$C$2)</f>
        <v>0</v>
      </c>
      <c r="S26" s="86">
        <f t="shared" si="8"/>
        <v>0</v>
      </c>
      <c r="T26" s="87"/>
    </row>
    <row r="27" s="36" customFormat="1" ht="16" customHeight="1" spans="1:20">
      <c r="A27" s="58">
        <f>DATE($B$1,$B$2,DAY(A26)+1)</f>
        <v>44584</v>
      </c>
      <c r="B27" s="55">
        <f>SUMIFS(销售数据包!F:F,销售数据包!A:A,A27,销售数据包!C:C,$C$2)</f>
        <v>0</v>
      </c>
      <c r="C27" s="56">
        <f>SUMIFS(销售数据包!K:K,销售数据包!A:A,A27,销售数据包!C:C,$C$2)</f>
        <v>0</v>
      </c>
      <c r="D27" s="56">
        <f>SUMIFS(销售数据包!Q:Q,销售数据包!A:A,A27,销售数据包!C:C,$C$2)</f>
        <v>0</v>
      </c>
      <c r="E27" s="57">
        <f t="shared" si="0"/>
        <v>0</v>
      </c>
      <c r="F27" s="57">
        <f t="shared" si="1"/>
        <v>0</v>
      </c>
      <c r="G27" s="56">
        <f>SUMIFS(销售数据包!O:O,销售数据包!A:A,A27,销售数据包!C:C,$C$2)</f>
        <v>0</v>
      </c>
      <c r="H27" s="57">
        <f t="shared" si="2"/>
        <v>0</v>
      </c>
      <c r="I27" s="71">
        <f t="shared" si="3"/>
        <v>0</v>
      </c>
      <c r="J27" s="72" t="str">
        <f t="shared" si="4"/>
        <v>周7</v>
      </c>
      <c r="K27" s="73">
        <f>SUMIFS(广告数据包!H:H,广告数据包!A:A,A27,广告数据包!G:G,$C$2)</f>
        <v>0</v>
      </c>
      <c r="L27" s="56">
        <f>SUMIFS(广告数据包!I:I,广告数据包!A:A,A27,广告数据包!G:G,$C$2)</f>
        <v>0</v>
      </c>
      <c r="M27" s="57">
        <f t="shared" si="5"/>
        <v>0</v>
      </c>
      <c r="N27" s="74">
        <f t="shared" si="6"/>
        <v>0</v>
      </c>
      <c r="O27" s="75">
        <f>SUMIFS(广告数据包!P:P,广告数据包!A:A,A27,广告数据包!G:G,$C$2)</f>
        <v>0</v>
      </c>
      <c r="P27" s="56">
        <f>SUMIFS(广告数据包!U:U,广告数据包!A:A,A27,广告数据包!G:G,$C$2)</f>
        <v>0</v>
      </c>
      <c r="Q27" s="57">
        <f t="shared" si="7"/>
        <v>0</v>
      </c>
      <c r="R27" s="56">
        <f>SUMIFS(广告数据包!L:L,广告数据包!A:A,A27,广告数据包!G:G,$C$2)</f>
        <v>0</v>
      </c>
      <c r="S27" s="86">
        <f t="shared" si="8"/>
        <v>0</v>
      </c>
      <c r="T27" s="87"/>
    </row>
    <row r="28" s="36" customFormat="1" ht="16" customHeight="1" spans="1:20">
      <c r="A28" s="58">
        <f>DATE($B$1,$B$2,DAY(A27)+1)</f>
        <v>44585</v>
      </c>
      <c r="B28" s="55">
        <f>SUMIFS(销售数据包!F:F,销售数据包!A:A,A28,销售数据包!C:C,$C$2)</f>
        <v>0</v>
      </c>
      <c r="C28" s="56">
        <f>SUMIFS(销售数据包!K:K,销售数据包!A:A,A28,销售数据包!C:C,$C$2)</f>
        <v>0</v>
      </c>
      <c r="D28" s="56">
        <f>SUMIFS(销售数据包!Q:Q,销售数据包!A:A,A28,销售数据包!C:C,$C$2)</f>
        <v>0</v>
      </c>
      <c r="E28" s="57">
        <f t="shared" si="0"/>
        <v>0</v>
      </c>
      <c r="F28" s="57">
        <f t="shared" si="1"/>
        <v>0</v>
      </c>
      <c r="G28" s="56">
        <f>SUMIFS(销售数据包!O:O,销售数据包!A:A,A28,销售数据包!C:C,$C$2)</f>
        <v>0</v>
      </c>
      <c r="H28" s="57">
        <f t="shared" si="2"/>
        <v>0</v>
      </c>
      <c r="I28" s="71">
        <f t="shared" si="3"/>
        <v>0</v>
      </c>
      <c r="J28" s="72" t="str">
        <f t="shared" si="4"/>
        <v>周1</v>
      </c>
      <c r="K28" s="73">
        <f>SUMIFS(广告数据包!H:H,广告数据包!A:A,A28,广告数据包!G:G,$C$2)</f>
        <v>0</v>
      </c>
      <c r="L28" s="56">
        <f>SUMIFS(广告数据包!I:I,广告数据包!A:A,A28,广告数据包!G:G,$C$2)</f>
        <v>0</v>
      </c>
      <c r="M28" s="57">
        <f t="shared" si="5"/>
        <v>0</v>
      </c>
      <c r="N28" s="74">
        <f t="shared" si="6"/>
        <v>0</v>
      </c>
      <c r="O28" s="75">
        <f>SUMIFS(广告数据包!P:P,广告数据包!A:A,A28,广告数据包!G:G,$C$2)</f>
        <v>0</v>
      </c>
      <c r="P28" s="56">
        <f>SUMIFS(广告数据包!U:U,广告数据包!A:A,A28,广告数据包!G:G,$C$2)</f>
        <v>0</v>
      </c>
      <c r="Q28" s="57">
        <f t="shared" si="7"/>
        <v>0</v>
      </c>
      <c r="R28" s="56">
        <f>SUMIFS(广告数据包!L:L,广告数据包!A:A,A28,广告数据包!G:G,$C$2)</f>
        <v>0</v>
      </c>
      <c r="S28" s="86">
        <f t="shared" si="8"/>
        <v>0</v>
      </c>
      <c r="T28" s="87"/>
    </row>
    <row r="29" s="36" customFormat="1" ht="16" customHeight="1" spans="1:20">
      <c r="A29" s="58">
        <f>DATE($B$1,$B$2,DAY(A28)+1)</f>
        <v>44586</v>
      </c>
      <c r="B29" s="55">
        <f>SUMIFS(销售数据包!F:F,销售数据包!A:A,A29,销售数据包!C:C,$C$2)</f>
        <v>0</v>
      </c>
      <c r="C29" s="56">
        <f>SUMIFS(销售数据包!K:K,销售数据包!A:A,A29,销售数据包!C:C,$C$2)</f>
        <v>0</v>
      </c>
      <c r="D29" s="56">
        <f>SUMIFS(销售数据包!Q:Q,销售数据包!A:A,A29,销售数据包!C:C,$C$2)</f>
        <v>0</v>
      </c>
      <c r="E29" s="57">
        <f t="shared" si="0"/>
        <v>0</v>
      </c>
      <c r="F29" s="57">
        <f t="shared" si="1"/>
        <v>0</v>
      </c>
      <c r="G29" s="56">
        <f>SUMIFS(销售数据包!O:O,销售数据包!A:A,A29,销售数据包!C:C,$C$2)</f>
        <v>0</v>
      </c>
      <c r="H29" s="57">
        <f t="shared" si="2"/>
        <v>0</v>
      </c>
      <c r="I29" s="71">
        <f t="shared" si="3"/>
        <v>0</v>
      </c>
      <c r="J29" s="72" t="str">
        <f t="shared" si="4"/>
        <v>周2</v>
      </c>
      <c r="K29" s="73">
        <f>SUMIFS(广告数据包!H:H,广告数据包!A:A,A29,广告数据包!G:G,$C$2)</f>
        <v>0</v>
      </c>
      <c r="L29" s="56">
        <f>SUMIFS(广告数据包!I:I,广告数据包!A:A,A29,广告数据包!G:G,$C$2)</f>
        <v>0</v>
      </c>
      <c r="M29" s="57">
        <f t="shared" si="5"/>
        <v>0</v>
      </c>
      <c r="N29" s="74">
        <f t="shared" si="6"/>
        <v>0</v>
      </c>
      <c r="O29" s="75">
        <f>SUMIFS(广告数据包!P:P,广告数据包!A:A,A29,广告数据包!G:G,$C$2)</f>
        <v>0</v>
      </c>
      <c r="P29" s="56">
        <f>SUMIFS(广告数据包!U:U,广告数据包!A:A,A29,广告数据包!G:G,$C$2)</f>
        <v>0</v>
      </c>
      <c r="Q29" s="57">
        <f t="shared" si="7"/>
        <v>0</v>
      </c>
      <c r="R29" s="56">
        <f>SUMIFS(广告数据包!L:L,广告数据包!A:A,A29,广告数据包!G:G,$C$2)</f>
        <v>0</v>
      </c>
      <c r="S29" s="86">
        <f t="shared" si="8"/>
        <v>0</v>
      </c>
      <c r="T29" s="87"/>
    </row>
    <row r="30" s="36" customFormat="1" ht="16" customHeight="1" spans="1:20">
      <c r="A30" s="58">
        <f>DATE($B$1,$B$2,DAY(A29)+1)</f>
        <v>44587</v>
      </c>
      <c r="B30" s="55">
        <f>SUMIFS(销售数据包!F:F,销售数据包!A:A,A30,销售数据包!C:C,$C$2)</f>
        <v>0</v>
      </c>
      <c r="C30" s="56">
        <f>SUMIFS(销售数据包!K:K,销售数据包!A:A,A30,销售数据包!C:C,$C$2)</f>
        <v>0</v>
      </c>
      <c r="D30" s="56">
        <f>SUMIFS(销售数据包!Q:Q,销售数据包!A:A,A30,销售数据包!C:C,$C$2)</f>
        <v>0</v>
      </c>
      <c r="E30" s="57">
        <f t="shared" si="0"/>
        <v>0</v>
      </c>
      <c r="F30" s="57">
        <f t="shared" si="1"/>
        <v>0</v>
      </c>
      <c r="G30" s="56">
        <f>SUMIFS(销售数据包!O:O,销售数据包!A:A,A30,销售数据包!C:C,$C$2)</f>
        <v>0</v>
      </c>
      <c r="H30" s="57">
        <f t="shared" si="2"/>
        <v>0</v>
      </c>
      <c r="I30" s="71">
        <f t="shared" si="3"/>
        <v>0</v>
      </c>
      <c r="J30" s="72" t="str">
        <f t="shared" si="4"/>
        <v>周3</v>
      </c>
      <c r="K30" s="73">
        <f>SUMIFS(广告数据包!H:H,广告数据包!A:A,A30,广告数据包!G:G,$C$2)</f>
        <v>0</v>
      </c>
      <c r="L30" s="56">
        <f>SUMIFS(广告数据包!I:I,广告数据包!A:A,A30,广告数据包!G:G,$C$2)</f>
        <v>0</v>
      </c>
      <c r="M30" s="57">
        <f t="shared" si="5"/>
        <v>0</v>
      </c>
      <c r="N30" s="74">
        <f t="shared" si="6"/>
        <v>0</v>
      </c>
      <c r="O30" s="75">
        <f>SUMIFS(广告数据包!P:P,广告数据包!A:A,A30,广告数据包!G:G,$C$2)</f>
        <v>0</v>
      </c>
      <c r="P30" s="56">
        <f>SUMIFS(广告数据包!U:U,广告数据包!A:A,A30,广告数据包!G:G,$C$2)</f>
        <v>0</v>
      </c>
      <c r="Q30" s="57">
        <f t="shared" si="7"/>
        <v>0</v>
      </c>
      <c r="R30" s="56">
        <f>SUMIFS(广告数据包!L:L,广告数据包!A:A,A30,广告数据包!G:G,$C$2)</f>
        <v>0</v>
      </c>
      <c r="S30" s="86">
        <f t="shared" si="8"/>
        <v>0</v>
      </c>
      <c r="T30" s="87"/>
    </row>
    <row r="31" s="36" customFormat="1" ht="16" customHeight="1" spans="1:20">
      <c r="A31" s="58">
        <f>DATE($B$1,$B$2,DAY(A30)+1)</f>
        <v>44588</v>
      </c>
      <c r="B31" s="55">
        <f>SUMIFS(销售数据包!F:F,销售数据包!A:A,A31,销售数据包!C:C,$C$2)</f>
        <v>0</v>
      </c>
      <c r="C31" s="56">
        <f>SUMIFS(销售数据包!K:K,销售数据包!A:A,A31,销售数据包!C:C,$C$2)</f>
        <v>0</v>
      </c>
      <c r="D31" s="56">
        <f>SUMIFS(销售数据包!Q:Q,销售数据包!A:A,A31,销售数据包!C:C,$C$2)</f>
        <v>0</v>
      </c>
      <c r="E31" s="57">
        <f t="shared" si="0"/>
        <v>0</v>
      </c>
      <c r="F31" s="57">
        <f t="shared" si="1"/>
        <v>0</v>
      </c>
      <c r="G31" s="56">
        <f>SUMIFS(销售数据包!O:O,销售数据包!A:A,A31,销售数据包!C:C,$C$2)</f>
        <v>0</v>
      </c>
      <c r="H31" s="57">
        <f t="shared" si="2"/>
        <v>0</v>
      </c>
      <c r="I31" s="71">
        <f t="shared" si="3"/>
        <v>0</v>
      </c>
      <c r="J31" s="72" t="str">
        <f t="shared" si="4"/>
        <v>周4</v>
      </c>
      <c r="K31" s="73">
        <f>SUMIFS(广告数据包!H:H,广告数据包!A:A,A31,广告数据包!G:G,$C$2)</f>
        <v>0</v>
      </c>
      <c r="L31" s="56">
        <f>SUMIFS(广告数据包!I:I,广告数据包!A:A,A31,广告数据包!G:G,$C$2)</f>
        <v>0</v>
      </c>
      <c r="M31" s="57">
        <f t="shared" si="5"/>
        <v>0</v>
      </c>
      <c r="N31" s="74">
        <f t="shared" si="6"/>
        <v>0</v>
      </c>
      <c r="O31" s="75">
        <f>SUMIFS(广告数据包!P:P,广告数据包!A:A,A31,广告数据包!G:G,$C$2)</f>
        <v>0</v>
      </c>
      <c r="P31" s="56">
        <f>SUMIFS(广告数据包!U:U,广告数据包!A:A,A31,广告数据包!G:G,$C$2)</f>
        <v>0</v>
      </c>
      <c r="Q31" s="57">
        <f t="shared" si="7"/>
        <v>0</v>
      </c>
      <c r="R31" s="56">
        <f>SUMIFS(广告数据包!L:L,广告数据包!A:A,A31,广告数据包!G:G,$C$2)</f>
        <v>0</v>
      </c>
      <c r="S31" s="86">
        <f t="shared" si="8"/>
        <v>0</v>
      </c>
      <c r="T31" s="87"/>
    </row>
    <row r="32" s="36" customFormat="1" ht="16" customHeight="1" spans="1:20">
      <c r="A32" s="58">
        <f>DATE($B$1,$B$2,DAY(A31)+1)</f>
        <v>44589</v>
      </c>
      <c r="B32" s="55">
        <f>SUMIFS(销售数据包!F:F,销售数据包!A:A,A32,销售数据包!C:C,$C$2)</f>
        <v>0</v>
      </c>
      <c r="C32" s="56">
        <f>SUMIFS(销售数据包!K:K,销售数据包!A:A,A32,销售数据包!C:C,$C$2)</f>
        <v>0</v>
      </c>
      <c r="D32" s="56">
        <f>SUMIFS(销售数据包!Q:Q,销售数据包!A:A,A32,销售数据包!C:C,$C$2)</f>
        <v>0</v>
      </c>
      <c r="E32" s="57">
        <f t="shared" si="0"/>
        <v>0</v>
      </c>
      <c r="F32" s="57">
        <f t="shared" si="1"/>
        <v>0</v>
      </c>
      <c r="G32" s="56">
        <f>SUMIFS(销售数据包!O:O,销售数据包!A:A,A32,销售数据包!C:C,$C$2)</f>
        <v>0</v>
      </c>
      <c r="H32" s="57">
        <f t="shared" si="2"/>
        <v>0</v>
      </c>
      <c r="I32" s="71">
        <f t="shared" si="3"/>
        <v>0</v>
      </c>
      <c r="J32" s="72" t="str">
        <f t="shared" si="4"/>
        <v>周5</v>
      </c>
      <c r="K32" s="73">
        <f>SUMIFS(广告数据包!H:H,广告数据包!A:A,A32,广告数据包!G:G,$C$2)</f>
        <v>0</v>
      </c>
      <c r="L32" s="56">
        <f>SUMIFS(广告数据包!I:I,广告数据包!A:A,A32,广告数据包!G:G,$C$2)</f>
        <v>0</v>
      </c>
      <c r="M32" s="57">
        <f t="shared" si="5"/>
        <v>0</v>
      </c>
      <c r="N32" s="74">
        <f t="shared" si="6"/>
        <v>0</v>
      </c>
      <c r="O32" s="75">
        <f>SUMIFS(广告数据包!P:P,广告数据包!A:A,A32,广告数据包!G:G,$C$2)</f>
        <v>0</v>
      </c>
      <c r="P32" s="56">
        <f>SUMIFS(广告数据包!U:U,广告数据包!A:A,A32,广告数据包!G:G,$C$2)</f>
        <v>0</v>
      </c>
      <c r="Q32" s="57">
        <f t="shared" si="7"/>
        <v>0</v>
      </c>
      <c r="R32" s="56">
        <f>SUMIFS(广告数据包!L:L,广告数据包!A:A,A32,广告数据包!G:G,$C$2)</f>
        <v>0</v>
      </c>
      <c r="S32" s="86">
        <f t="shared" si="8"/>
        <v>0</v>
      </c>
      <c r="T32" s="87"/>
    </row>
    <row r="33" s="36" customFormat="1" ht="16" customHeight="1" spans="1:20">
      <c r="A33" s="58">
        <f>IFERROR(IF(MONTH(DATE($B$1,$B$2,DAY(A32)+1))=$B$2,DATE($B$1,$B$2,DAY(A32)+1),"-"),IFERROR(IF(FIND("-",A32,1)&gt;0,"-",0),"其他"))</f>
        <v>44590</v>
      </c>
      <c r="B33" s="55">
        <f>SUMIFS(销售数据包!F:F,销售数据包!A:A,A33,销售数据包!C:C,$C$2)</f>
        <v>0</v>
      </c>
      <c r="C33" s="56">
        <f>SUMIFS(销售数据包!K:K,销售数据包!A:A,A33,销售数据包!C:C,$C$2)</f>
        <v>0</v>
      </c>
      <c r="D33" s="56">
        <f>SUMIFS(销售数据包!Q:Q,销售数据包!A:A,A33,销售数据包!C:C,$C$2)</f>
        <v>0</v>
      </c>
      <c r="E33" s="57">
        <f t="shared" si="0"/>
        <v>0</v>
      </c>
      <c r="F33" s="57">
        <f t="shared" si="1"/>
        <v>0</v>
      </c>
      <c r="G33" s="56">
        <f>SUMIFS(销售数据包!O:O,销售数据包!A:A,A33,销售数据包!C:C,$C$2)</f>
        <v>0</v>
      </c>
      <c r="H33" s="57">
        <f t="shared" si="2"/>
        <v>0</v>
      </c>
      <c r="I33" s="71">
        <f t="shared" si="3"/>
        <v>0</v>
      </c>
      <c r="J33" s="72" t="str">
        <f>IFERROR("周"&amp;WEEKDAY(A33,2),"-")</f>
        <v>周6</v>
      </c>
      <c r="K33" s="73">
        <f>SUMIFS(广告数据包!H:H,广告数据包!A:A,A33,广告数据包!G:G,$C$2)</f>
        <v>0</v>
      </c>
      <c r="L33" s="56">
        <f>SUMIFS(广告数据包!I:I,广告数据包!A:A,A33,广告数据包!G:G,$C$2)</f>
        <v>0</v>
      </c>
      <c r="M33" s="57">
        <f t="shared" si="5"/>
        <v>0</v>
      </c>
      <c r="N33" s="74">
        <f t="shared" si="6"/>
        <v>0</v>
      </c>
      <c r="O33" s="75">
        <f>SUMIFS(广告数据包!P:P,广告数据包!A:A,A33,广告数据包!G:G,$C$2)</f>
        <v>0</v>
      </c>
      <c r="P33" s="56">
        <f>SUMIFS(广告数据包!U:U,广告数据包!A:A,A33,广告数据包!G:G,$C$2)</f>
        <v>0</v>
      </c>
      <c r="Q33" s="57">
        <f t="shared" si="7"/>
        <v>0</v>
      </c>
      <c r="R33" s="56">
        <f>SUMIFS(广告数据包!L:L,广告数据包!A:A,A33,广告数据包!G:G,$C$2)</f>
        <v>0</v>
      </c>
      <c r="S33" s="86">
        <f t="shared" si="8"/>
        <v>0</v>
      </c>
      <c r="T33" s="87"/>
    </row>
    <row r="34" s="36" customFormat="1" ht="16" customHeight="1" spans="1:20">
      <c r="A34" s="58">
        <f>IFERROR(IF(MONTH(DATE($B$1,$B$2,DAY(A33)+1))=$B$2,DATE($B$1,$B$2,DAY(A33)+1),"-"),IFERROR(IF(FIND("-",A33,1)&gt;0,"-",0),"其他"))</f>
        <v>44591</v>
      </c>
      <c r="B34" s="55">
        <f>SUMIFS(销售数据包!F:F,销售数据包!A:A,A34,销售数据包!C:C,$C$2)</f>
        <v>0</v>
      </c>
      <c r="C34" s="56">
        <f>SUMIFS(销售数据包!K:K,销售数据包!A:A,A34,销售数据包!C:C,$C$2)</f>
        <v>0</v>
      </c>
      <c r="D34" s="56">
        <f>SUMIFS(销售数据包!Q:Q,销售数据包!A:A,A34,销售数据包!C:C,$C$2)</f>
        <v>0</v>
      </c>
      <c r="E34" s="57">
        <f t="shared" si="0"/>
        <v>0</v>
      </c>
      <c r="F34" s="57">
        <f t="shared" si="1"/>
        <v>0</v>
      </c>
      <c r="G34" s="56">
        <f>SUMIFS(销售数据包!O:O,销售数据包!A:A,A34,销售数据包!C:C,$C$2)</f>
        <v>0</v>
      </c>
      <c r="H34" s="57">
        <f t="shared" si="2"/>
        <v>0</v>
      </c>
      <c r="I34" s="71">
        <f t="shared" si="3"/>
        <v>0</v>
      </c>
      <c r="J34" s="72" t="str">
        <f>IFERROR("周"&amp;WEEKDAY(A34,2),"-")</f>
        <v>周7</v>
      </c>
      <c r="K34" s="73">
        <f>SUMIFS(广告数据包!H:H,广告数据包!A:A,A34,广告数据包!G:G,$C$2)</f>
        <v>0</v>
      </c>
      <c r="L34" s="56">
        <f>SUMIFS(广告数据包!I:I,广告数据包!A:A,A34,广告数据包!G:G,$C$2)</f>
        <v>0</v>
      </c>
      <c r="M34" s="57">
        <f t="shared" si="5"/>
        <v>0</v>
      </c>
      <c r="N34" s="74">
        <f t="shared" si="6"/>
        <v>0</v>
      </c>
      <c r="O34" s="75">
        <f>SUMIFS(广告数据包!P:P,广告数据包!A:A,A34,广告数据包!G:G,$C$2)</f>
        <v>0</v>
      </c>
      <c r="P34" s="56">
        <f>SUMIFS(广告数据包!U:U,广告数据包!A:A,A34,广告数据包!G:G,$C$2)</f>
        <v>0</v>
      </c>
      <c r="Q34" s="57">
        <f t="shared" si="7"/>
        <v>0</v>
      </c>
      <c r="R34" s="56">
        <f>SUMIFS(广告数据包!L:L,广告数据包!A:A,A34,广告数据包!G:G,$C$2)</f>
        <v>0</v>
      </c>
      <c r="S34" s="86">
        <f t="shared" si="8"/>
        <v>0</v>
      </c>
      <c r="T34" s="87"/>
    </row>
    <row r="35" s="36" customFormat="1" ht="16" customHeight="1" spans="1:20">
      <c r="A35" s="59">
        <f>IFERROR(IF(MONTH(DATE($B$1,$B$2,DAY(A34)+1))=$B$2,DATE($B$1,$B$2,DAY(A34)+1),"-"),IFERROR(IF(FIND("-",A34,1)&gt;0,"-",0),"其他"))</f>
        <v>44592</v>
      </c>
      <c r="B35" s="55">
        <f>SUMIFS(销售数据包!F:F,销售数据包!A:A,A35,销售数据包!C:C,$C$2)</f>
        <v>0</v>
      </c>
      <c r="C35" s="56">
        <f>SUMIFS(销售数据包!K:K,销售数据包!A:A,A35,销售数据包!C:C,$C$2)</f>
        <v>0</v>
      </c>
      <c r="D35" s="56">
        <f>SUMIFS(销售数据包!Q:Q,销售数据包!A:A,A35,销售数据包!C:C,$C$2)</f>
        <v>0</v>
      </c>
      <c r="E35" s="57">
        <f t="shared" si="0"/>
        <v>0</v>
      </c>
      <c r="F35" s="57">
        <f t="shared" si="1"/>
        <v>0</v>
      </c>
      <c r="G35" s="56">
        <f>SUMIFS(销售数据包!O:O,销售数据包!A:A,A35,销售数据包!C:C,$C$2)</f>
        <v>0</v>
      </c>
      <c r="H35" s="57">
        <f t="shared" si="2"/>
        <v>0</v>
      </c>
      <c r="I35" s="71">
        <f t="shared" si="3"/>
        <v>0</v>
      </c>
      <c r="J35" s="72" t="str">
        <f>IFERROR("周"&amp;WEEKDAY(A35,2),"-")</f>
        <v>周1</v>
      </c>
      <c r="K35" s="73">
        <f>SUMIFS(广告数据包!H:H,广告数据包!A:A,A35,广告数据包!G:G,$C$2)</f>
        <v>0</v>
      </c>
      <c r="L35" s="56">
        <f>SUMIFS(广告数据包!I:I,广告数据包!A:A,A35,广告数据包!G:G,$C$2)</f>
        <v>0</v>
      </c>
      <c r="M35" s="57">
        <f t="shared" si="5"/>
        <v>0</v>
      </c>
      <c r="N35" s="74">
        <f t="shared" si="6"/>
        <v>0</v>
      </c>
      <c r="O35" s="75">
        <f>SUMIFS(广告数据包!P:P,广告数据包!A:A,A35,广告数据包!G:G,$C$2)</f>
        <v>0</v>
      </c>
      <c r="P35" s="56">
        <f>SUMIFS(广告数据包!U:U,广告数据包!A:A,A35,广告数据包!G:G,$C$2)</f>
        <v>0</v>
      </c>
      <c r="Q35" s="57">
        <f t="shared" si="7"/>
        <v>0</v>
      </c>
      <c r="R35" s="56">
        <f>SUMIFS(广告数据包!L:L,广告数据包!A:A,A35,广告数据包!G:G,$C$2)</f>
        <v>0</v>
      </c>
      <c r="S35" s="86">
        <f t="shared" si="8"/>
        <v>0</v>
      </c>
      <c r="T35" s="87"/>
    </row>
    <row r="36" s="36" customFormat="1" ht="16" customHeight="1" spans="1:20">
      <c r="A36" s="60" t="str">
        <f>B2&amp;"月份 汇总"</f>
        <v>1月份 汇总</v>
      </c>
      <c r="B36" s="61">
        <f t="shared" ref="B36:G36" si="9">SUM(B5:B35)</f>
        <v>0</v>
      </c>
      <c r="C36" s="62">
        <f t="shared" si="9"/>
        <v>0</v>
      </c>
      <c r="D36" s="62">
        <f t="shared" si="9"/>
        <v>0</v>
      </c>
      <c r="E36" s="63">
        <f t="shared" si="0"/>
        <v>0</v>
      </c>
      <c r="F36" s="63">
        <f t="shared" si="1"/>
        <v>0</v>
      </c>
      <c r="G36" s="62">
        <f t="shared" si="9"/>
        <v>0</v>
      </c>
      <c r="H36" s="63">
        <f t="shared" si="2"/>
        <v>0</v>
      </c>
      <c r="I36" s="63">
        <f t="shared" si="3"/>
        <v>0</v>
      </c>
      <c r="J36" s="76" t="str">
        <f t="shared" ref="J34:J36" si="10">IFERROR("周"&amp;WEEKDAY(A36,2),"-")</f>
        <v>-</v>
      </c>
      <c r="K36" s="77">
        <f t="shared" ref="K36:P36" si="11">SUM(K5:K35)</f>
        <v>0</v>
      </c>
      <c r="L36" s="62">
        <f t="shared" si="11"/>
        <v>0</v>
      </c>
      <c r="M36" s="63">
        <f t="shared" si="5"/>
        <v>0</v>
      </c>
      <c r="N36" s="78">
        <f t="shared" si="6"/>
        <v>0</v>
      </c>
      <c r="O36" s="79">
        <f t="shared" si="11"/>
        <v>0</v>
      </c>
      <c r="P36" s="62">
        <f t="shared" si="11"/>
        <v>0</v>
      </c>
      <c r="Q36" s="63">
        <f t="shared" si="7"/>
        <v>0</v>
      </c>
      <c r="R36" s="62">
        <f>SUM(R5:R35)</f>
        <v>0</v>
      </c>
      <c r="S36" s="88">
        <f t="shared" si="8"/>
        <v>0</v>
      </c>
      <c r="T36" s="87"/>
    </row>
    <row r="37" spans="1:19">
      <c r="A37" s="64"/>
      <c r="B37" s="65"/>
      <c r="C37" s="65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</row>
  </sheetData>
  <sheetProtection password="CCF6" sheet="1" pivotTables="0" objects="1"/>
  <protectedRanges>
    <protectedRange sqref="J1:S1 F1:H1" name="主标题"/>
    <protectedRange sqref="C1 D1" name="主标题_1"/>
  </protectedRanges>
  <mergeCells count="3">
    <mergeCell ref="A3:J3"/>
    <mergeCell ref="K3:S3"/>
    <mergeCell ref="D1:S2"/>
  </mergeCells>
  <conditionalFormatting sqref="B5:B3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{0cf00f82-608a-4d43-876f-5a07d62fba67}</x14:id>
        </ext>
      </extLst>
    </cfRule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{50d67688-eebd-4067-90d1-2a5904f4b2a4}</x14:id>
        </ext>
      </extLst>
    </cfRule>
    <cfRule type="dataBar" priority="16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{0fcb4f20-aeea-4c80-b97b-7f58fd17e118}</x14:id>
        </ext>
      </extLst>
    </cfRule>
    <cfRule type="dataBar" priority="15">
      <dataBar>
        <cfvo type="min"/>
        <cfvo type="max"/>
        <color theme="6" tint="0.4"/>
      </dataBar>
      <extLst>
        <ext xmlns:x14="http://schemas.microsoft.com/office/spreadsheetml/2009/9/main" uri="{B025F937-C7B1-47D3-B67F-A62EFF666E3E}">
          <x14:id>{e2ce1f72-b526-4f93-8fb2-b58cc369538f}</x14:id>
        </ext>
      </extLst>
    </cfRule>
    <cfRule type="dataBar" priority="14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{cdebc942-925c-42ba-82f2-4cfcf9b6e1a0}</x14:id>
        </ext>
      </extLs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{98f997e3-71bc-4b16-b267-614dc8a6e6de}</x14:id>
        </ext>
      </extLst>
    </cfRule>
  </conditionalFormatting>
  <conditionalFormatting sqref="C5:C35">
    <cfRule type="dataBar" priority="36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{48c958fb-6142-454e-9223-59db208ba02f}</x14:id>
        </ext>
      </extLst>
    </cfRule>
  </conditionalFormatting>
  <conditionalFormatting sqref="D5:D35">
    <cfRule type="dataBar" priority="35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{0d73dbea-2b92-4d41-90bb-517325475990}</x14:id>
        </ext>
      </extLst>
    </cfRule>
  </conditionalFormatting>
  <conditionalFormatting sqref="E5:E35">
    <cfRule type="dataBar" priority="27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{6ed83ae5-ac48-40ec-ac71-bac8daec4551}</x14:id>
        </ext>
      </extLst>
    </cfRule>
  </conditionalFormatting>
  <conditionalFormatting sqref="F5:F35">
    <cfRule type="dataBar" priority="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{599ebea8-cba7-4ae3-ba25-258b847c4287}</x14:id>
        </ext>
      </extLst>
    </cfRule>
  </conditionalFormatting>
  <conditionalFormatting sqref="G5:G3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{9c25d8f1-2190-4606-a3b8-31ce18911cf4}</x14:id>
        </ext>
      </extLst>
    </cfRule>
  </conditionalFormatting>
  <conditionalFormatting sqref="H5:H35">
    <cfRule type="dataBar" priority="12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{68393e25-18d7-4d77-8c98-6d86b6ceda41}</x14:id>
        </ext>
      </extLst>
    </cfRule>
  </conditionalFormatting>
  <conditionalFormatting sqref="I5:I35">
    <cfRule type="dataBar" priority="11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{6ad0275e-1bd4-4c8b-b479-c7278e376647}</x14:id>
        </ext>
      </extLst>
    </cfRule>
  </conditionalFormatting>
  <conditionalFormatting sqref="K5:K35">
    <cfRule type="dataBar" priority="33">
      <dataBar>
        <cfvo type="min"/>
        <cfvo type="max"/>
        <color theme="9"/>
      </dataBar>
      <extLst>
        <ext xmlns:x14="http://schemas.microsoft.com/office/spreadsheetml/2009/9/main" uri="{B025F937-C7B1-47D3-B67F-A62EFF666E3E}">
          <x14:id>{194045ae-cff8-4433-98b7-00571ebfe92c}</x14:id>
        </ext>
      </extLst>
    </cfRule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{cc6efe09-d54a-46ed-9e05-a559414d18c6}</x14:id>
        </ext>
      </extLst>
    </cfRule>
    <cfRule type="dataBar" priority="10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{126445d9-fa69-4564-86e4-5865cc94473d}</x14:id>
        </ext>
      </extLst>
    </cfRule>
  </conditionalFormatting>
  <conditionalFormatting sqref="L5:L35">
    <cfRule type="dataBar" priority="32">
      <dataBar>
        <cfvo type="min"/>
        <cfvo type="max"/>
        <color theme="3"/>
      </dataBar>
      <extLst>
        <ext xmlns:x14="http://schemas.microsoft.com/office/spreadsheetml/2009/9/main" uri="{B025F937-C7B1-47D3-B67F-A62EFF666E3E}">
          <x14:id>{d43c3f29-d7ed-4660-a901-17c072f0c1a3}</x14:id>
        </ext>
      </extLs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{b8cfbd50-cb64-4ac5-9247-10a2276c0b04}</x14:id>
        </ext>
      </extLst>
    </cfRule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{1c3674aa-259f-40f2-a3ae-0bac8265162d}</x14:id>
        </ext>
      </extLst>
    </cfRule>
  </conditionalFormatting>
  <conditionalFormatting sqref="M5:M35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{8feb3cf8-8b3f-4cc2-a773-6b2251add35e}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{721a70b5-e740-47b6-b05b-3d8d946826ec}</x14:id>
        </ext>
      </extLst>
    </cfRule>
  </conditionalFormatting>
  <conditionalFormatting sqref="N5:N3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{419adf46-b493-450d-91b6-ff709d06c3b5}</x14:id>
        </ext>
      </extLst>
    </cfRule>
    <cfRule type="dataBar" priority="6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{2dad0eab-ea42-4ebd-8b69-0365cc10ddc5}</x14:id>
        </ext>
      </extLst>
    </cfRule>
  </conditionalFormatting>
  <conditionalFormatting sqref="O5:O35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{551e4ecf-8e07-41f4-95f0-276aa71c4a89}</x14:id>
        </ext>
      </extLst>
    </cfRule>
    <cfRule type="dataBar" priority="20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{14af5ffc-2ce3-4e1c-89d7-1866738b3243}</x14:id>
        </ext>
      </extLst>
    </cfRule>
    <cfRule type="dataBar" priority="5">
      <dataBar>
        <cfvo type="min"/>
        <cfvo type="max"/>
        <color theme="6"/>
      </dataBar>
      <extLst>
        <ext xmlns:x14="http://schemas.microsoft.com/office/spreadsheetml/2009/9/main" uri="{B025F937-C7B1-47D3-B67F-A62EFF666E3E}">
          <x14:id>{3ecb0852-c8ae-47ef-8706-c3faf0f0a681}</x14:id>
        </ext>
      </extLst>
    </cfRule>
  </conditionalFormatting>
  <conditionalFormatting sqref="P5:P35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{11070fa8-ba29-46c6-947b-aa24293560c2}</x14:id>
        </ext>
      </extLst>
    </cfRule>
    <cfRule type="dataBar" priority="4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{61185f47-f643-4e8f-9224-3beeb3c2ed93}</x14:id>
        </ext>
      </extLst>
    </cfRule>
  </conditionalFormatting>
  <conditionalFormatting sqref="Q5:Q35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{6f1f39d1-14e2-4bb8-a8b9-40c44f3300ad}</x14:id>
        </ext>
      </extLst>
    </cfRule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{15edfc15-c942-475e-90b5-5ccf7d86eeca}</x14:id>
        </ext>
      </extLst>
    </cfRule>
  </conditionalFormatting>
  <conditionalFormatting sqref="R5:R3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{a6fc9c97-e6a6-40de-a86a-450fa5f34e0b}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{aeca9d72-1092-455d-8a22-b323fe30aaba}</x14:id>
        </ext>
      </extLst>
    </cfRule>
  </conditionalFormatting>
  <conditionalFormatting sqref="S5:S3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{0295e56d-9730-4e5c-94a5-e18cc259477c}</x14:id>
        </ext>
      </extLst>
    </cfRule>
    <cfRule type="dataBar" priority="1">
      <dataBar>
        <cfvo type="min"/>
        <cfvo type="max"/>
        <color rgb="FFCF3A34"/>
      </dataBar>
      <extLst>
        <ext xmlns:x14="http://schemas.microsoft.com/office/spreadsheetml/2009/9/main" uri="{B025F937-C7B1-47D3-B67F-A62EFF666E3E}">
          <x14:id>{5d072ee5-4c3a-4218-bc0d-b399098c4ac2}</x14:id>
        </ext>
      </extLst>
    </cfRule>
  </conditionalFormatting>
  <conditionalFormatting sqref="E5:F35">
    <cfRule type="dataBar" priority="34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{e27f74db-bfb6-473c-b212-57b1085fe03a}</x14:id>
        </ext>
      </extLst>
    </cfRule>
  </conditionalFormatting>
  <conditionalFormatting sqref="H5:I35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{378fd36c-4ed5-42e3-975b-055ac641a2d9}</x14:id>
        </ext>
      </extLst>
    </cfRule>
  </conditionalFormatting>
  <conditionalFormatting sqref="M5:M35 Q5:Q35 O5:O35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{1b206fac-6f0c-4239-b6b0-87c36dafb845}</x14:id>
        </ext>
      </extLst>
    </cfRule>
  </conditionalFormatting>
  <dataValidations count="4">
    <dataValidation type="list" allowBlank="1" showInputMessage="1" showErrorMessage="1" sqref="B1">
      <formula1>"2021,2022"</formula1>
    </dataValidation>
    <dataValidation type="list" allowBlank="1" showInputMessage="1" showErrorMessage="1" sqref="B2 D2">
      <formula1>"1,2,3,4,5,6,7,8,9,10,11,12"</formula1>
    </dataValidation>
    <dataValidation type="list" allowBlank="1" showInputMessage="1" showErrorMessage="1" sqref="C2">
      <formula1>Base!$F$2:$F$4</formula1>
    </dataValidation>
    <dataValidation allowBlank="1" showInputMessage="1" showErrorMessage="1" sqref="A3 C3:G3 J3"/>
  </dataValidations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cf00f82-608a-4d43-876f-5a07d62fba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d67688-eebd-4067-90d1-2a5904f4b2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cb4f20-aeea-4c80-b97b-7f58fd17e1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ce1f72-b526-4f93-8fb2-b58cc36953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ebc942-925c-42ba-82f2-4cfcf9b6e1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f997e3-71bc-4b16-b267-614dc8a6e6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B5:B35</xm:sqref>
        </x14:conditionalFormatting>
        <x14:conditionalFormatting xmlns:xm="http://schemas.microsoft.com/office/excel/2006/main">
          <x14:cfRule type="dataBar" id="{48c958fb-6142-454e-9223-59db208ba0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C5:C35</xm:sqref>
        </x14:conditionalFormatting>
        <x14:conditionalFormatting xmlns:xm="http://schemas.microsoft.com/office/excel/2006/main">
          <x14:cfRule type="dataBar" id="{0d73dbea-2b92-4d41-90bb-5173254759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D5:D35</xm:sqref>
        </x14:conditionalFormatting>
        <x14:conditionalFormatting xmlns:xm="http://schemas.microsoft.com/office/excel/2006/main">
          <x14:cfRule type="dataBar" id="{6ed83ae5-ac48-40ec-ac71-bac8daec45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E5:E35</xm:sqref>
        </x14:conditionalFormatting>
        <x14:conditionalFormatting xmlns:xm="http://schemas.microsoft.com/office/excel/2006/main">
          <x14:cfRule type="dataBar" id="{599ebea8-cba7-4ae3-ba25-258b847c4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F5:F35</xm:sqref>
        </x14:conditionalFormatting>
        <x14:conditionalFormatting xmlns:xm="http://schemas.microsoft.com/office/excel/2006/main">
          <x14:cfRule type="dataBar" id="{9c25d8f1-2190-4606-a3b8-31ce18911c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G5:G35</xm:sqref>
        </x14:conditionalFormatting>
        <x14:conditionalFormatting xmlns:xm="http://schemas.microsoft.com/office/excel/2006/main">
          <x14:cfRule type="dataBar" id="{68393e25-18d7-4d77-8c98-6d86b6ceda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H5:H35</xm:sqref>
        </x14:conditionalFormatting>
        <x14:conditionalFormatting xmlns:xm="http://schemas.microsoft.com/office/excel/2006/main">
          <x14:cfRule type="dataBar" id="{6ad0275e-1bd4-4c8b-b479-c7278e3766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I5:I35</xm:sqref>
        </x14:conditionalFormatting>
        <x14:conditionalFormatting xmlns:xm="http://schemas.microsoft.com/office/excel/2006/main">
          <x14:cfRule type="dataBar" id="{194045ae-cff8-4433-98b7-00571ebfe9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6efe09-d54a-46ed-9e05-a559414d18c6}">
            <x14:dataBar minLength="0" maxLength="100" border="1" gradient="0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6445d9-fa69-4564-86e4-5865cc9447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K5:K35</xm:sqref>
        </x14:conditionalFormatting>
        <x14:conditionalFormatting xmlns:xm="http://schemas.microsoft.com/office/excel/2006/main">
          <x14:cfRule type="dataBar" id="{d43c3f29-d7ed-4660-a901-17c072f0c1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cfbd50-cb64-4ac5-9247-10a2276c0b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3674aa-259f-40f2-a3ae-0bac826516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L5:L35</xm:sqref>
        </x14:conditionalFormatting>
        <x14:conditionalFormatting xmlns:xm="http://schemas.microsoft.com/office/excel/2006/main">
          <x14:cfRule type="dataBar" id="{8feb3cf8-8b3f-4cc2-a773-6b2251add3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1a70b5-e740-47b6-b05b-3d8d946826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M5:M35</xm:sqref>
        </x14:conditionalFormatting>
        <x14:conditionalFormatting xmlns:xm="http://schemas.microsoft.com/office/excel/2006/main">
          <x14:cfRule type="dataBar" id="{419adf46-b493-450d-91b6-ff709d06c3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ad0eab-ea42-4ebd-8b69-0365cc10dd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N5:N35</xm:sqref>
        </x14:conditionalFormatting>
        <x14:conditionalFormatting xmlns:xm="http://schemas.microsoft.com/office/excel/2006/main">
          <x14:cfRule type="dataBar" id="{551e4ecf-8e07-41f4-95f0-276aa71c4a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af5ffc-2ce3-4e1c-89d7-1866738b32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cb0852-c8ae-47ef-8706-c3faf0f0a6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O5:O35</xm:sqref>
        </x14:conditionalFormatting>
        <x14:conditionalFormatting xmlns:xm="http://schemas.microsoft.com/office/excel/2006/main">
          <x14:cfRule type="dataBar" id="{11070fa8-ba29-46c6-947b-aa24293560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185f47-f643-4e8f-9224-3beeb3c2ed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P5:P35</xm:sqref>
        </x14:conditionalFormatting>
        <x14:conditionalFormatting xmlns:xm="http://schemas.microsoft.com/office/excel/2006/main">
          <x14:cfRule type="dataBar" id="{6f1f39d1-14e2-4bb8-a8b9-40c44f3300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edfc15-c942-475e-90b5-5ccf7d86ee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Q5:Q35</xm:sqref>
        </x14:conditionalFormatting>
        <x14:conditionalFormatting xmlns:xm="http://schemas.microsoft.com/office/excel/2006/main">
          <x14:cfRule type="dataBar" id="{a6fc9c97-e6a6-40de-a86a-450fa5f34e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ca9d72-1092-455d-8a22-b323fe30aa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R5:R35</xm:sqref>
        </x14:conditionalFormatting>
        <x14:conditionalFormatting xmlns:xm="http://schemas.microsoft.com/office/excel/2006/main">
          <x14:cfRule type="dataBar" id="{0295e56d-9730-4e5c-94a5-e18cc25947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072ee5-4c3a-4218-bc0d-b399098c4a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S5:S35</xm:sqref>
        </x14:conditionalFormatting>
        <x14:conditionalFormatting xmlns:xm="http://schemas.microsoft.com/office/excel/2006/main">
          <x14:cfRule type="dataBar" id="{e27f74db-bfb6-473c-b212-57b1085fe0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E5:F35</xm:sqref>
        </x14:conditionalFormatting>
        <x14:conditionalFormatting xmlns:xm="http://schemas.microsoft.com/office/excel/2006/main">
          <x14:cfRule type="dataBar" id="{378fd36c-4ed5-42e3-975b-055ac641a2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H5:I35</xm:sqref>
        </x14:conditionalFormatting>
        <x14:conditionalFormatting xmlns:xm="http://schemas.microsoft.com/office/excel/2006/main">
          <x14:cfRule type="dataBar" id="{1b206fac-6f0c-4239-b6b0-87c36dafb8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M5:M35 Q5:Q35 O5:O35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D14" sqref="D14"/>
    </sheetView>
  </sheetViews>
  <sheetFormatPr defaultColWidth="9" defaultRowHeight="16.5"/>
  <cols>
    <col min="1" max="1" width="12.125" style="30" customWidth="1"/>
    <col min="2" max="2" width="13.75" style="31" customWidth="1"/>
    <col min="3" max="3" width="13.875" style="31" customWidth="1"/>
    <col min="4" max="4" width="79.9166666666667" style="31" customWidth="1"/>
    <col min="5" max="5" width="22.25" style="31" customWidth="1"/>
    <col min="6" max="6" width="12.875" style="31" customWidth="1"/>
    <col min="7" max="7" width="19.125" style="32" customWidth="1"/>
    <col min="8" max="8" width="12.875" style="31" customWidth="1"/>
    <col min="9" max="9" width="19.125" style="32" customWidth="1"/>
    <col min="10" max="10" width="15" style="32" customWidth="1"/>
    <col min="11" max="12" width="15" style="33" customWidth="1"/>
    <col min="13" max="13" width="19.125" style="32" customWidth="1"/>
    <col min="14" max="14" width="17.125" style="32" customWidth="1"/>
    <col min="15" max="15" width="17.125" style="33" customWidth="1"/>
    <col min="16" max="16" width="25.375" style="33" customWidth="1"/>
    <col min="17" max="17" width="15" style="31" customWidth="1"/>
    <col min="18" max="18" width="19.125" style="32" customWidth="1"/>
    <col min="19" max="19" width="4.625" style="31" customWidth="1"/>
    <col min="20" max="20" width="23.625" style="31" customWidth="1"/>
    <col min="21" max="22" width="20.625" style="33" customWidth="1"/>
    <col min="23" max="16384" width="9" style="31"/>
  </cols>
  <sheetData>
    <row r="1" s="24" customFormat="1" ht="13.5" customHeight="1" spans="1:18">
      <c r="A1" s="29" t="s">
        <v>4</v>
      </c>
      <c r="B1" s="29" t="s">
        <v>29</v>
      </c>
      <c r="C1" s="29" t="s">
        <v>30</v>
      </c>
      <c r="D1" s="29" t="s">
        <v>31</v>
      </c>
      <c r="E1" s="29" t="s">
        <v>32</v>
      </c>
      <c r="F1" s="29" t="s">
        <v>33</v>
      </c>
      <c r="G1" s="29" t="s">
        <v>34</v>
      </c>
      <c r="H1" s="29" t="s">
        <v>35</v>
      </c>
      <c r="I1" s="29" t="s">
        <v>36</v>
      </c>
      <c r="J1" s="29" t="s">
        <v>37</v>
      </c>
      <c r="K1" s="29" t="s">
        <v>38</v>
      </c>
      <c r="L1" s="29" t="s">
        <v>39</v>
      </c>
      <c r="M1" s="29" t="s">
        <v>40</v>
      </c>
      <c r="N1" s="29" t="s">
        <v>41</v>
      </c>
      <c r="O1" s="29" t="s">
        <v>42</v>
      </c>
      <c r="P1" s="29" t="s">
        <v>43</v>
      </c>
      <c r="Q1" s="29" t="s">
        <v>44</v>
      </c>
      <c r="R1" s="29" t="s">
        <v>45</v>
      </c>
    </row>
  </sheetData>
  <sheetProtection sort="0" pivotTables="0"/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workbookViewId="0">
      <pane ySplit="1" topLeftCell="A2" activePane="bottomLeft" state="frozen"/>
      <selection/>
      <selection pane="bottomLeft" activeCell="B15" sqref="B15"/>
    </sheetView>
  </sheetViews>
  <sheetFormatPr defaultColWidth="9" defaultRowHeight="13.5"/>
  <cols>
    <col min="1" max="2" width="13.75" style="25" customWidth="1"/>
    <col min="3" max="3" width="5.375" style="25" customWidth="1"/>
    <col min="4" max="4" width="15.625" style="25" customWidth="1"/>
    <col min="5" max="5" width="13.875" style="25" customWidth="1"/>
    <col min="6" max="6" width="20.375" style="25" customWidth="1"/>
    <col min="7" max="7" width="11.5" style="25" customWidth="1"/>
    <col min="8" max="9" width="7.375" style="25" customWidth="1"/>
    <col min="10" max="10" width="13.375" style="26" customWidth="1"/>
    <col min="11" max="11" width="20" style="27" customWidth="1"/>
    <col min="12" max="12" width="8.375" style="27" customWidth="1"/>
    <col min="13" max="13" width="12.75" style="27" customWidth="1"/>
    <col min="14" max="14" width="23.5" style="26" customWidth="1"/>
    <col min="15" max="15" width="19" style="28" customWidth="1"/>
    <col min="16" max="17" width="16.5" style="25" customWidth="1"/>
    <col min="18" max="18" width="12.75" style="26" customWidth="1"/>
    <col min="19" max="20" width="24.75" style="25" customWidth="1"/>
    <col min="21" max="22" width="21" style="27" customWidth="1"/>
    <col min="23" max="16384" width="9" style="25"/>
  </cols>
  <sheetData>
    <row r="1" s="24" customFormat="1" spans="1:22">
      <c r="A1" s="29" t="s">
        <v>4</v>
      </c>
      <c r="B1" s="29" t="s">
        <v>46</v>
      </c>
      <c r="C1" s="29" t="s">
        <v>47</v>
      </c>
      <c r="D1" s="29" t="s">
        <v>48</v>
      </c>
      <c r="E1" s="29" t="s">
        <v>49</v>
      </c>
      <c r="F1" s="29" t="s">
        <v>50</v>
      </c>
      <c r="G1" s="29" t="s">
        <v>51</v>
      </c>
      <c r="H1" s="29" t="s">
        <v>52</v>
      </c>
      <c r="I1" s="29" t="s">
        <v>53</v>
      </c>
      <c r="J1" s="29" t="s">
        <v>54</v>
      </c>
      <c r="K1" s="29" t="s">
        <v>55</v>
      </c>
      <c r="L1" s="29" t="s">
        <v>56</v>
      </c>
      <c r="M1" s="29" t="s">
        <v>57</v>
      </c>
      <c r="N1" s="29" t="s">
        <v>58</v>
      </c>
      <c r="O1" s="29" t="s">
        <v>59</v>
      </c>
      <c r="P1" s="29" t="s">
        <v>60</v>
      </c>
      <c r="Q1" s="29" t="s">
        <v>61</v>
      </c>
      <c r="R1" s="29" t="s">
        <v>62</v>
      </c>
      <c r="S1" s="29" t="s">
        <v>63</v>
      </c>
      <c r="T1" s="29" t="s">
        <v>64</v>
      </c>
      <c r="U1" s="29" t="s">
        <v>65</v>
      </c>
      <c r="V1" s="29" t="s">
        <v>66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F14" sqref="F14"/>
    </sheetView>
  </sheetViews>
  <sheetFormatPr defaultColWidth="9" defaultRowHeight="15" customHeight="1" outlineLevelCol="7"/>
  <cols>
    <col min="1" max="1" width="11.375" style="19" customWidth="1"/>
    <col min="2" max="2" width="37.375" style="19" customWidth="1"/>
    <col min="3" max="3" width="12.375" style="19" customWidth="1"/>
    <col min="4" max="7" width="9" style="20"/>
    <col min="8" max="8" width="12.375" style="20"/>
    <col min="9" max="16384" width="9" style="20"/>
  </cols>
  <sheetData>
    <row r="1" ht="31" customHeight="1" spans="1:3">
      <c r="A1" s="19" t="s">
        <v>67</v>
      </c>
      <c r="B1" s="19" t="s">
        <v>68</v>
      </c>
      <c r="C1" s="19" t="s">
        <v>69</v>
      </c>
    </row>
    <row r="2" ht="35" customHeight="1" spans="1:8">
      <c r="A2" s="21"/>
      <c r="H2" s="22"/>
    </row>
    <row r="3" ht="35" customHeight="1" spans="1:1">
      <c r="A3" s="21"/>
    </row>
    <row r="4" ht="35" customHeight="1" spans="1:1">
      <c r="A4" s="21"/>
    </row>
    <row r="5" ht="35" customHeight="1" spans="1:2">
      <c r="A5" s="21"/>
      <c r="B5" s="23"/>
    </row>
    <row r="6" ht="35" customHeight="1" spans="1:2">
      <c r="A6" s="21"/>
      <c r="B6" s="23"/>
    </row>
    <row r="7" ht="42" customHeight="1" spans="1:8">
      <c r="A7" s="21"/>
      <c r="B7" s="23"/>
      <c r="H7" s="22"/>
    </row>
    <row r="8" ht="35" customHeight="1"/>
    <row r="9" ht="35" customHeight="1"/>
    <row r="10" ht="35" customHeight="1"/>
    <row r="11" ht="35" customHeight="1"/>
    <row r="12" ht="35" customHeight="1"/>
    <row r="13" ht="35" customHeight="1"/>
    <row r="14" ht="35" customHeight="1"/>
    <row r="15" ht="35" customHeight="1"/>
    <row r="16" ht="35" customHeight="1"/>
    <row r="17" ht="35" customHeight="1"/>
    <row r="18" ht="35" customHeight="1"/>
    <row r="19" ht="35" customHeight="1"/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I13" sqref="I13"/>
    </sheetView>
  </sheetViews>
  <sheetFormatPr defaultColWidth="9" defaultRowHeight="16.5"/>
  <cols>
    <col min="1" max="1" width="10.875" style="9" customWidth="1"/>
    <col min="2" max="2" width="9.75" style="9" customWidth="1"/>
    <col min="3" max="3" width="9" style="9"/>
    <col min="4" max="4" width="9" style="10"/>
    <col min="5" max="5" width="23.5" style="10" customWidth="1"/>
    <col min="6" max="6" width="14.5" style="10" customWidth="1"/>
    <col min="7" max="7" width="9" style="10"/>
    <col min="8" max="8" width="10.875" style="10" customWidth="1"/>
    <col min="9" max="11" width="16.875" style="10" customWidth="1"/>
    <col min="12" max="16384" width="9" style="10"/>
  </cols>
  <sheetData>
    <row r="1" spans="1:6">
      <c r="A1" s="9" t="s">
        <v>70</v>
      </c>
      <c r="B1" s="9" t="s">
        <v>71</v>
      </c>
      <c r="E1" s="9" t="s">
        <v>32</v>
      </c>
      <c r="F1" s="9" t="s">
        <v>26</v>
      </c>
    </row>
    <row r="2" spans="1:10">
      <c r="A2" s="9" t="s">
        <v>72</v>
      </c>
      <c r="B2" s="9" t="s">
        <v>73</v>
      </c>
      <c r="E2" s="11" t="s">
        <v>74</v>
      </c>
      <c r="F2" s="12" t="s">
        <v>28</v>
      </c>
      <c r="H2" s="9" t="s">
        <v>75</v>
      </c>
      <c r="I2" s="9"/>
      <c r="J2" s="9"/>
    </row>
    <row r="3" spans="5:11">
      <c r="E3" s="13" t="s">
        <v>76</v>
      </c>
      <c r="F3" s="12" t="s">
        <v>77</v>
      </c>
      <c r="H3" s="14" t="s">
        <v>78</v>
      </c>
      <c r="I3" s="17" t="s">
        <v>79</v>
      </c>
      <c r="J3" s="17" t="s">
        <v>80</v>
      </c>
      <c r="K3" s="18"/>
    </row>
    <row r="4" spans="5:11">
      <c r="E4" s="13" t="s">
        <v>81</v>
      </c>
      <c r="F4" s="12" t="s">
        <v>82</v>
      </c>
      <c r="H4" s="14" t="s">
        <v>2</v>
      </c>
      <c r="I4" s="14" t="s">
        <v>83</v>
      </c>
      <c r="J4" s="14" t="s">
        <v>84</v>
      </c>
      <c r="K4" s="14" t="s">
        <v>85</v>
      </c>
    </row>
    <row r="5" spans="5:11">
      <c r="E5" s="9"/>
      <c r="F5" s="15"/>
      <c r="H5" s="14"/>
      <c r="I5" s="14" t="s">
        <v>86</v>
      </c>
      <c r="J5" s="14" t="s">
        <v>87</v>
      </c>
      <c r="K5" s="14" t="s">
        <v>88</v>
      </c>
    </row>
    <row r="6" spans="5:6">
      <c r="E6" s="9"/>
      <c r="F6" s="15"/>
    </row>
    <row r="7" spans="5:6">
      <c r="E7" s="9"/>
      <c r="F7" s="15"/>
    </row>
    <row r="8" spans="6:6">
      <c r="F8" s="16"/>
    </row>
    <row r="9" spans="6:6">
      <c r="F9" s="16"/>
    </row>
    <row r="10" spans="6:6">
      <c r="F10" s="16"/>
    </row>
  </sheetData>
  <sheetProtection password="CCF6" sheet="1" objects="1"/>
  <mergeCells count="2">
    <mergeCell ref="J3:K3"/>
    <mergeCell ref="H4:H5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workbookViewId="0">
      <selection activeCell="D27" sqref="D27"/>
    </sheetView>
  </sheetViews>
  <sheetFormatPr defaultColWidth="9" defaultRowHeight="16.5" customHeight="1"/>
  <cols>
    <col min="1" max="1" width="8.375" style="1" customWidth="1"/>
    <col min="2" max="18" width="11.625" style="1" customWidth="1"/>
    <col min="19" max="16384" width="9" style="2"/>
  </cols>
  <sheetData>
    <row r="1" customHeight="1" spans="1:18">
      <c r="A1" s="1" t="s">
        <v>25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89</v>
      </c>
      <c r="I1" s="3" t="s">
        <v>90</v>
      </c>
      <c r="J1" s="3" t="s">
        <v>91</v>
      </c>
      <c r="K1" s="3" t="s">
        <v>92</v>
      </c>
      <c r="L1" s="3" t="s">
        <v>93</v>
      </c>
      <c r="M1" s="3" t="s">
        <v>94</v>
      </c>
      <c r="N1" s="3" t="s">
        <v>95</v>
      </c>
      <c r="O1" s="3" t="s">
        <v>96</v>
      </c>
      <c r="P1" s="3" t="s">
        <v>11</v>
      </c>
      <c r="Q1" s="3" t="s">
        <v>97</v>
      </c>
      <c r="R1" s="3" t="s">
        <v>98</v>
      </c>
    </row>
    <row r="2" customHeight="1" spans="1:18">
      <c r="A2" s="4" t="s">
        <v>99</v>
      </c>
      <c r="B2" s="5">
        <f>'父表 '!B$36</f>
        <v>0</v>
      </c>
      <c r="C2" s="5">
        <f>'父表 '!C$36</f>
        <v>0</v>
      </c>
      <c r="D2" s="5">
        <f>'父表 '!D$36</f>
        <v>0</v>
      </c>
      <c r="E2" s="6">
        <f>IFERROR('父表 '!E$36,0)</f>
        <v>0</v>
      </c>
      <c r="F2" s="6">
        <f>IFERROR('父表 '!F$36,0)</f>
        <v>0</v>
      </c>
      <c r="G2" s="5">
        <f>'父表 '!G$36</f>
        <v>0</v>
      </c>
      <c r="H2" s="5">
        <f>'父表 '!K$36</f>
        <v>0</v>
      </c>
      <c r="I2" s="5">
        <f>'父表 '!L$36</f>
        <v>0</v>
      </c>
      <c r="J2" s="6">
        <f>IFERROR('父表 '!M$36,0)</f>
        <v>0</v>
      </c>
      <c r="K2" s="7">
        <f>'父表 '!O$36</f>
        <v>0</v>
      </c>
      <c r="L2" s="6">
        <f>IFERROR('父表 '!Q$36,0)</f>
        <v>0</v>
      </c>
      <c r="M2" s="8">
        <f>IFERROR(N2/I2,0)</f>
        <v>0</v>
      </c>
      <c r="N2" s="5">
        <f>'父表 '!R$36</f>
        <v>0</v>
      </c>
      <c r="O2" s="6">
        <f>'父表 '!S$36</f>
        <v>0</v>
      </c>
      <c r="P2" s="6">
        <f>IFERROR(N2/G2,0)</f>
        <v>0</v>
      </c>
      <c r="Q2" s="6">
        <f>IFERROR(R2/G2,0)</f>
        <v>0</v>
      </c>
      <c r="R2" s="5">
        <f>'父表 '!$P$36</f>
        <v>0</v>
      </c>
    </row>
    <row r="3" customHeight="1" spans="1:1">
      <c r="A3" s="4"/>
    </row>
    <row r="4" customHeight="1" spans="1:1">
      <c r="A4" s="4"/>
    </row>
    <row r="5" customHeight="1" spans="1:1">
      <c r="A5" s="4"/>
    </row>
    <row r="6" customHeight="1" spans="1:1">
      <c r="A6" s="4"/>
    </row>
    <row r="7" customHeight="1" spans="1:1">
      <c r="A7" s="4"/>
    </row>
    <row r="8" customHeight="1" spans="1:1">
      <c r="A8" s="4"/>
    </row>
    <row r="9" customHeight="1" spans="1:1">
      <c r="A9" s="4"/>
    </row>
    <row r="10" customHeight="1" spans="1:1">
      <c r="A10" s="4"/>
    </row>
    <row r="11" customHeight="1" spans="1:1">
      <c r="A11" s="4"/>
    </row>
    <row r="12" customHeight="1" spans="1:1">
      <c r="A12" s="4"/>
    </row>
    <row r="13" customHeight="1" spans="1:1">
      <c r="A13" s="4"/>
    </row>
    <row r="14" customHeight="1" spans="1:1">
      <c r="A14" s="4"/>
    </row>
  </sheetData>
  <conditionalFormatting sqref="B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{d15c6c97-f903-459f-ac4c-1566601cfe81}</x14:id>
        </ext>
      </extLst>
    </cfRule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{e6650f8d-b523-457d-be70-d2c9f093f0c1}</x14:id>
        </ext>
      </extLst>
    </cfRule>
  </conditionalFormatting>
  <conditionalFormatting sqref="C2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{38128b31-71cb-4cc3-8db8-4c1738517b0d}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{198e70ca-3aa7-4793-9863-0ba543ec2aa7}</x14:id>
        </ext>
      </extLst>
    </cfRule>
  </conditionalFormatting>
  <conditionalFormatting sqref="D2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{17811960-3a51-4a46-9825-704fc373e050}</x14:id>
        </ext>
      </extLst>
    </cfRule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{3189c3cb-d728-4d62-b908-ef16b15027ed}</x14:id>
        </ext>
      </extLst>
    </cfRule>
  </conditionalFormatting>
  <conditionalFormatting sqref="E2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{6e2a149e-4538-4b58-958e-075637576d0d}</x14:id>
        </ext>
      </extLst>
    </cfRule>
    <cfRule type="dataBar" priority="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{24434112-78fc-4f58-a2af-9ee8268338b7}</x14:id>
        </ext>
      </extLst>
    </cfRule>
  </conditionalFormatting>
  <conditionalFormatting sqref="F2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{7986f745-4527-4645-a247-ad91a56000c5}</x14:id>
        </ext>
      </extLst>
    </cfRule>
    <cfRule type="dataBar" priority="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{b1e585ab-9ec1-4563-8f08-c270e442a2b3}</x14:id>
        </ext>
      </extLst>
    </cfRule>
  </conditionalFormatting>
  <conditionalFormatting sqref="G2">
    <cfRule type="dataBar" priority="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{3e7bb139-693e-4cf1-882d-df8cce93eab0}</x14:id>
        </ext>
      </extLst>
    </cfRule>
    <cfRule type="dataBar" priority="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{cab05a03-79f5-4481-8537-b84493a898a9}</x14:id>
        </ext>
      </extLst>
    </cfRule>
  </conditionalFormatting>
  <conditionalFormatting sqref="H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{4c65fd71-63ff-4d0e-a9b0-9fa38fbca2f0}</x14:id>
        </ext>
      </extLst>
    </cfRule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{b6de1e53-2536-473d-82a6-60d46d4a4b97}</x14:id>
        </ext>
      </extLst>
    </cfRule>
  </conditionalFormatting>
  <conditionalFormatting sqref="I2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{99fcb080-81a2-46fd-a6bd-2eac2060a1da}</x14:id>
        </ext>
      </extLs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{6d8051ac-27dd-41a5-b332-abef0d9fd03c}</x14:id>
        </ext>
      </extLst>
    </cfRule>
  </conditionalFormatting>
  <conditionalFormatting sqref="J2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{74bc0ea6-b125-4e2b-a84d-2a03f6ad7b25}</x14:id>
        </ext>
      </extLst>
    </cfRule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{bad54e37-054b-4de4-b7ab-68c4b803fcc6}</x14:id>
        </ext>
      </extLst>
    </cfRule>
  </conditionalFormatting>
  <conditionalFormatting sqref="K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{564d5ece-723f-409a-a0ff-a909083cef51}</x14:id>
        </ext>
      </extLst>
    </cfRule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{5de61009-05ee-4e43-89fd-70932e589e97}</x14:id>
        </ext>
      </extLst>
    </cfRule>
  </conditionalFormatting>
  <conditionalFormatting sqref="L2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{d423fbdc-47bd-491a-bd01-5a3264261c2c}</x14:id>
        </ext>
      </extLst>
    </cfRule>
    <cfRule type="dataBar" priority="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{6b214cae-61fb-4e32-8b36-553efa3f4cc6}</x14:id>
        </ext>
      </extLst>
    </cfRule>
  </conditionalFormatting>
  <conditionalFormatting sqref="M2"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{ecf3a51b-ba5e-45e2-8902-f5a17aae308f}</x14:id>
        </ext>
      </extLst>
    </cfRule>
    <cfRule type="dataBar" priority="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{1609d0ca-86ee-41e9-8763-2d517b274808}</x14:id>
        </ext>
      </extLst>
    </cfRule>
  </conditionalFormatting>
  <conditionalFormatting sqref="N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{ccedafe1-73dd-46e7-a1b7-1eb6f1258bda}</x14:id>
        </ext>
      </extLst>
    </cfRule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{9b0d80de-6a8b-4ccf-8525-e818adcc5640}</x14:id>
        </ext>
      </extLst>
    </cfRule>
  </conditionalFormatting>
  <conditionalFormatting sqref="O2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{e62ee60b-3160-4489-8233-c274632d3571}</x14:id>
        </ext>
      </extLs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{51df1277-a369-4c3f-82e9-40282f580d6d}</x14:id>
        </ext>
      </extLst>
    </cfRule>
  </conditionalFormatting>
  <conditionalFormatting sqref="P2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{d88d3587-e43e-4b36-9b67-745a320fe7f6}</x14:id>
        </ext>
      </extLst>
    </cfRule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{4a877040-d0cf-4543-9b16-48f11fd5f20e}</x14:id>
        </ext>
      </extLst>
    </cfRule>
  </conditionalFormatting>
  <conditionalFormatting sqref="Q2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{e2e2aec3-939d-41d5-82eb-fabdfa8d2939}</x14:id>
        </ext>
      </extLst>
    </cfRule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{fb175633-608b-4e9f-9a64-88a80dd7d9f6}</x14:id>
        </ext>
      </extLst>
    </cfRule>
  </conditionalFormatting>
  <conditionalFormatting sqref="R2">
    <cfRule type="dataBar" priority="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{f954ca13-f075-477d-be52-53c9ecb2f6da}</x14:id>
        </ext>
      </extLst>
    </cfRule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{1d452d2a-fd80-452d-94b2-38090843dfc1}</x14:id>
        </ext>
      </extLst>
    </cfRule>
  </conditionalFormatting>
  <conditionalFormatting sqref="B2:B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{5c153ac1-4e0e-4025-b4c2-fcb458fe8d31}</x14:id>
        </ext>
      </extLst>
    </cfRule>
  </conditionalFormatting>
  <conditionalFormatting sqref="C2:C104857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{a304bba1-d78a-4681-a48d-3b96dbd4e588}</x14:id>
        </ext>
      </extLst>
    </cfRule>
  </conditionalFormatting>
  <conditionalFormatting sqref="D2:D104857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{5da18149-b141-4046-9f49-a642153b68ee}</x14:id>
        </ext>
      </extLst>
    </cfRule>
  </conditionalFormatting>
  <conditionalFormatting sqref="E2:E1048576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{f96b9bd6-8c56-4270-aaeb-d4ece2f0d540}</x14:id>
        </ext>
      </extLst>
    </cfRule>
  </conditionalFormatting>
  <conditionalFormatting sqref="F2:F104857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{3d27fac8-679f-486f-b193-2eed19f75c73}</x14:id>
        </ext>
      </extLst>
    </cfRule>
  </conditionalFormatting>
  <conditionalFormatting sqref="G2:G1048576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{5d12b932-e50a-4302-bbbe-ed3d5cfc2f4f}</x14:id>
        </ext>
      </extLst>
    </cfRule>
  </conditionalFormatting>
  <conditionalFormatting sqref="H2:H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{0d4c2c92-909b-4e39-a51b-8a1d6ffd3196}</x14:id>
        </ext>
      </extLst>
    </cfRule>
  </conditionalFormatting>
  <conditionalFormatting sqref="I2:I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{5565fe0b-c212-4fdc-883d-201775b2ab37}</x14:id>
        </ext>
      </extLst>
    </cfRule>
  </conditionalFormatting>
  <conditionalFormatting sqref="J2:J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{fd07361b-8d2b-4134-a0da-2a59d38fa184}</x14:id>
        </ext>
      </extLst>
    </cfRule>
  </conditionalFormatting>
  <pageMargins left="0.75" right="0.75" top="1" bottom="1" header="0.5" footer="0.5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5c6c97-f903-459f-ac4c-1566601cfe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650f8d-b523-457d-be70-d2c9f093f0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</xm:sqref>
        </x14:conditionalFormatting>
        <x14:conditionalFormatting xmlns:xm="http://schemas.microsoft.com/office/excel/2006/main">
          <x14:cfRule type="dataBar" id="{38128b31-71cb-4cc3-8db8-4c1738517b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98e70ca-3aa7-4793-9863-0ba543ec2a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</xm:sqref>
        </x14:conditionalFormatting>
        <x14:conditionalFormatting xmlns:xm="http://schemas.microsoft.com/office/excel/2006/main">
          <x14:cfRule type="dataBar" id="{17811960-3a51-4a46-9825-704fc373e0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189c3cb-d728-4d62-b908-ef16b15027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6e2a149e-4538-4b58-958e-075637576d0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24434112-78fc-4f58-a2af-9ee8268338b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7986f745-4527-4645-a247-ad91a56000c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e585ab-9ec1-4563-8f08-c270e442a2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</xm:sqref>
        </x14:conditionalFormatting>
        <x14:conditionalFormatting xmlns:xm="http://schemas.microsoft.com/office/excel/2006/main">
          <x14:cfRule type="dataBar" id="{3e7bb139-693e-4cf1-882d-df8cce93eab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14:cfRule type="dataBar" id="{cab05a03-79f5-4481-8537-b84493a898a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G2</xm:sqref>
        </x14:conditionalFormatting>
        <x14:conditionalFormatting xmlns:xm="http://schemas.microsoft.com/office/excel/2006/main">
          <x14:cfRule type="dataBar" id="{4c65fd71-63ff-4d0e-a9b0-9fa38fbca2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de1e53-2536-473d-82a6-60d46d4a4b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</xm:sqref>
        </x14:conditionalFormatting>
        <x14:conditionalFormatting xmlns:xm="http://schemas.microsoft.com/office/excel/2006/main">
          <x14:cfRule type="dataBar" id="{99fcb080-81a2-46fd-a6bd-2eac2060a1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8051ac-27dd-41a5-b332-abef0d9fd0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</xm:sqref>
        </x14:conditionalFormatting>
        <x14:conditionalFormatting xmlns:xm="http://schemas.microsoft.com/office/excel/2006/main">
          <x14:cfRule type="dataBar" id="{74bc0ea6-b125-4e2b-a84d-2a03f6ad7b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d54e37-054b-4de4-b7ab-68c4b803fc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564d5ece-723f-409a-a0ff-a909083cef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e61009-05ee-4e43-89fd-70932e589e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</xm:sqref>
        </x14:conditionalFormatting>
        <x14:conditionalFormatting xmlns:xm="http://schemas.microsoft.com/office/excel/2006/main">
          <x14:cfRule type="dataBar" id="{d423fbdc-47bd-491a-bd01-5a3264261c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214cae-61fb-4e32-8b36-553efa3f4c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</xm:sqref>
        </x14:conditionalFormatting>
        <x14:conditionalFormatting xmlns:xm="http://schemas.microsoft.com/office/excel/2006/main">
          <x14:cfRule type="dataBar" id="{ecf3a51b-ba5e-45e2-8902-f5a17aae30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09d0ca-86ee-41e9-8763-2d517b2748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</xm:sqref>
        </x14:conditionalFormatting>
        <x14:conditionalFormatting xmlns:xm="http://schemas.microsoft.com/office/excel/2006/main">
          <x14:cfRule type="dataBar" id="{ccedafe1-73dd-46e7-a1b7-1eb6f1258b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0d80de-6a8b-4ccf-8525-e818adcc56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</xm:sqref>
        </x14:conditionalFormatting>
        <x14:conditionalFormatting xmlns:xm="http://schemas.microsoft.com/office/excel/2006/main">
          <x14:cfRule type="dataBar" id="{e62ee60b-3160-4489-8233-c274632d35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df1277-a369-4c3f-82e9-40282f580d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</xm:sqref>
        </x14:conditionalFormatting>
        <x14:conditionalFormatting xmlns:xm="http://schemas.microsoft.com/office/excel/2006/main">
          <x14:cfRule type="dataBar" id="{d88d3587-e43e-4b36-9b67-745a320fe7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877040-d0cf-4543-9b16-48f11fd5f2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P2</xm:sqref>
        </x14:conditionalFormatting>
        <x14:conditionalFormatting xmlns:xm="http://schemas.microsoft.com/office/excel/2006/main">
          <x14:cfRule type="dataBar" id="{e2e2aec3-939d-41d5-82eb-fabdfa8d29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175633-608b-4e9f-9a64-88a80dd7d9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</xm:sqref>
        </x14:conditionalFormatting>
        <x14:conditionalFormatting xmlns:xm="http://schemas.microsoft.com/office/excel/2006/main">
          <x14:cfRule type="dataBar" id="{f954ca13-f075-477d-be52-53c9ecb2f6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452d2a-fd80-452d-94b2-38090843df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</xm:sqref>
        </x14:conditionalFormatting>
        <x14:conditionalFormatting xmlns:xm="http://schemas.microsoft.com/office/excel/2006/main">
          <x14:cfRule type="dataBar" id="{5c153ac1-4e0e-4025-b4c2-fcb458fe8d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B2:B1048576</xm:sqref>
        </x14:conditionalFormatting>
        <x14:conditionalFormatting xmlns:xm="http://schemas.microsoft.com/office/excel/2006/main">
          <x14:cfRule type="dataBar" id="{a304bba1-d78a-4681-a48d-3b96dbd4e5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C2:C1048576</xm:sqref>
        </x14:conditionalFormatting>
        <x14:conditionalFormatting xmlns:xm="http://schemas.microsoft.com/office/excel/2006/main">
          <x14:cfRule type="dataBar" id="{5da18149-b141-4046-9f49-a642153b68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D2:D1048576</xm:sqref>
        </x14:conditionalFormatting>
        <x14:conditionalFormatting xmlns:xm="http://schemas.microsoft.com/office/excel/2006/main">
          <x14:cfRule type="dataBar" id="{f96b9bd6-8c56-4270-aaeb-d4ece2f0d5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E2:E1048576</xm:sqref>
        </x14:conditionalFormatting>
        <x14:conditionalFormatting xmlns:xm="http://schemas.microsoft.com/office/excel/2006/main">
          <x14:cfRule type="dataBar" id="{3d27fac8-679f-486f-b193-2eed19f75c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F2:F1048576</xm:sqref>
        </x14:conditionalFormatting>
        <x14:conditionalFormatting xmlns:xm="http://schemas.microsoft.com/office/excel/2006/main">
          <x14:cfRule type="dataBar" id="{5d12b932-e50a-4302-bbbe-ed3d5cfc2f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G2:G1048576</xm:sqref>
        </x14:conditionalFormatting>
        <x14:conditionalFormatting xmlns:xm="http://schemas.microsoft.com/office/excel/2006/main">
          <x14:cfRule type="dataBar" id="{0d4c2c92-909b-4e39-a51b-8a1d6ffd31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H2:H1048576</xm:sqref>
        </x14:conditionalFormatting>
        <x14:conditionalFormatting xmlns:xm="http://schemas.microsoft.com/office/excel/2006/main">
          <x14:cfRule type="dataBar" id="{5565fe0b-c212-4fdc-883d-201775b2ab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I2:I1048576</xm:sqref>
        </x14:conditionalFormatting>
        <x14:conditionalFormatting xmlns:xm="http://schemas.microsoft.com/office/excel/2006/main">
          <x14:cfRule type="dataBar" id="{fd07361b-8d2b-4134-a0da-2a59d38fa1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0" master=""/>
  <rangeList sheetStid="8" master="">
    <arrUserId title="主标题" rangeCreator="" othersAccessPermission="edit"/>
    <arrUserId title="主标题_1" rangeCreator="" othersAccessPermission="edit"/>
  </rangeList>
  <rangeList sheetStid="11" master="">
    <arrUserId title="主标题" rangeCreator="" othersAccessPermission="edit"/>
    <arrUserId title="主标题_1" rangeCreator="" othersAccessPermission="edit"/>
  </rangeList>
  <rangeList sheetStid="4" master=""/>
  <rangeList sheetStid="5" master=""/>
  <rangeList sheetStid="7" master=""/>
  <rangeList sheetStid="2" master=""/>
  <rangeList sheetStid="9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总表</vt:lpstr>
      <vt:lpstr>父表 </vt:lpstr>
      <vt:lpstr>子表</vt:lpstr>
      <vt:lpstr>销售数据包</vt:lpstr>
      <vt:lpstr>广告数据包</vt:lpstr>
      <vt:lpstr>Listing记录</vt:lpstr>
      <vt:lpstr>Base</vt:lpstr>
      <vt:lpstr>月分析表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陈奔阳(亚马逊运营)-浙江艾</cp:lastModifiedBy>
  <dcterms:created xsi:type="dcterms:W3CDTF">2019-06-21T00:45:00Z</dcterms:created>
  <dcterms:modified xsi:type="dcterms:W3CDTF">2022-01-20T10:19:57Z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57782C6230624357A128BB26C17D75B6</vt:lpwstr>
  </property>
</Properties>
</file>