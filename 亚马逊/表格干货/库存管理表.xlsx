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8800" windowHeight="11925"/>
  </bookViews>
  <sheets>
    <sheet name="库存管理表" sheetId="3" r:id="rId1"/>
    <sheet name="过去3天" sheetId="5" r:id="rId2"/>
    <sheet name="过去7天" sheetId="7" r:id="rId3"/>
    <sheet name="过去14天" sheetId="13" r:id="rId4"/>
    <sheet name="过去30天" sheetId="18" r:id="rId5"/>
    <sheet name="Manage FBA Inventory(EU)" sheetId="26" r:id="rId6"/>
    <sheet name="Manage FBA Inventory(UK)" sheetId="30" r:id="rId7"/>
    <sheet name="备货记录" sheetId="28" r:id="rId8"/>
    <sheet name="本地仓库存" sheetId="29" r:id="rId9"/>
  </sheets>
  <definedNames>
    <definedName name="_xlnm._FilterDatabase" localSheetId="7" hidden="1">备货记录!$A$1:$W$36</definedName>
    <definedName name="_xlnm._FilterDatabase" localSheetId="5" hidden="1">'Manage FBA Inventory(EU)'!#REF!</definedName>
    <definedName name="_xlnm._FilterDatabase" localSheetId="0" hidden="1">库存管理表!$A$1:$AK$62</definedName>
    <definedName name="_xlnm._FilterDatabase" localSheetId="1" hidden="1">过去3天!$B$1:$AW$6496</definedName>
    <definedName name="_xlnm._FilterDatabase" localSheetId="3" hidden="1">过去14天!$A$1:$AV$13273</definedName>
    <definedName name="_xlnm._FilterDatabase" localSheetId="8" hidden="1">本地仓库存!$A$1:$Y$504</definedName>
  </definedNames>
  <calcPr calcId="144525"/>
</workbook>
</file>

<file path=xl/sharedStrings.xml><?xml version="1.0" encoding="utf-8"?>
<sst xmlns="http://schemas.openxmlformats.org/spreadsheetml/2006/main" count="37" uniqueCount="37">
  <si>
    <t>日期</t>
  </si>
  <si>
    <r>
      <rPr>
        <sz val="11"/>
        <color theme="0"/>
        <rFont val="宋体"/>
        <charset val="134"/>
      </rPr>
      <t>自定义</t>
    </r>
    <r>
      <rPr>
        <sz val="11"/>
        <color theme="0"/>
        <rFont val="Arial"/>
        <charset val="134"/>
      </rPr>
      <t>SKU</t>
    </r>
  </si>
  <si>
    <t>ASIN</t>
  </si>
  <si>
    <t>SKU</t>
  </si>
  <si>
    <t>FNSKU</t>
  </si>
  <si>
    <t>产品中文名</t>
  </si>
  <si>
    <t>可售库存</t>
  </si>
  <si>
    <t>在途库存</t>
  </si>
  <si>
    <t>正在接收库存</t>
  </si>
  <si>
    <t>处理中
库存</t>
  </si>
  <si>
    <t>海外仓在库数量</t>
  </si>
  <si>
    <t>本地仓现有库存</t>
  </si>
  <si>
    <t>在途红单数量</t>
  </si>
  <si>
    <t>在途空派数量</t>
  </si>
  <si>
    <t>在途海派数量</t>
  </si>
  <si>
    <t>在途铁运数量</t>
  </si>
  <si>
    <t>在途卡航数量</t>
  </si>
  <si>
    <t>3天日均销量</t>
  </si>
  <si>
    <r>
      <rPr>
        <b/>
        <sz val="11"/>
        <color theme="0"/>
        <rFont val="Arial"/>
        <charset val="134"/>
      </rPr>
      <t>7</t>
    </r>
    <r>
      <rPr>
        <b/>
        <sz val="11"/>
        <color theme="0"/>
        <rFont val="宋体"/>
        <charset val="134"/>
      </rPr>
      <t>天日均销量</t>
    </r>
  </si>
  <si>
    <r>
      <rPr>
        <b/>
        <sz val="11"/>
        <color theme="0"/>
        <rFont val="Arial"/>
        <charset val="134"/>
      </rPr>
      <t>14</t>
    </r>
    <r>
      <rPr>
        <b/>
        <sz val="11"/>
        <color theme="0"/>
        <rFont val="宋体"/>
        <charset val="134"/>
      </rPr>
      <t>天日均销量</t>
    </r>
  </si>
  <si>
    <r>
      <rPr>
        <b/>
        <sz val="11"/>
        <color theme="0"/>
        <rFont val="Arial"/>
        <charset val="134"/>
      </rPr>
      <t>30</t>
    </r>
    <r>
      <rPr>
        <b/>
        <sz val="11"/>
        <color theme="0"/>
        <rFont val="宋体"/>
        <charset val="134"/>
      </rPr>
      <t>天日均销量</t>
    </r>
  </si>
  <si>
    <t>日均销量</t>
  </si>
  <si>
    <t>周期增长预估</t>
  </si>
  <si>
    <t>预计备货周期内销量</t>
  </si>
  <si>
    <t>备货频率</t>
  </si>
  <si>
    <t>回货周期</t>
  </si>
  <si>
    <t>物流周期</t>
  </si>
  <si>
    <t>在售库存可售天数</t>
  </si>
  <si>
    <t>在途库存可售天数</t>
  </si>
  <si>
    <t>备货需求</t>
  </si>
  <si>
    <t>红单发货数量</t>
  </si>
  <si>
    <t>空派发货数量</t>
  </si>
  <si>
    <t>海派发货数量</t>
  </si>
  <si>
    <t>卡航发货数量</t>
  </si>
  <si>
    <t>铁运发货数量</t>
  </si>
  <si>
    <t>库存水平</t>
  </si>
  <si>
    <t>建议运输方式</t>
  </si>
</sst>
</file>

<file path=xl/styles.xml><?xml version="1.0" encoding="utf-8"?>
<styleSheet xmlns="http://schemas.openxmlformats.org/spreadsheetml/2006/main">
  <numFmts count="40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179" formatCode="mmmm\-yy"/>
    <numFmt numFmtId="5" formatCode="&quot;￥&quot;#,##0;&quot;￥&quot;\-#,##0"/>
    <numFmt numFmtId="24" formatCode="\$#,##0_);[Red]\(\$#,##0\)"/>
    <numFmt numFmtId="180" formatCode="#\ ?/?"/>
    <numFmt numFmtId="25" formatCode="\$#,##0.00_);\(\$#,##0.00\)"/>
    <numFmt numFmtId="26" formatCode="\$#,##0.00_);[Red]\(\$#,##0.00\)"/>
    <numFmt numFmtId="181" formatCode="[DBNum1][$-804]yyyy&quot;年&quot;m&quot;月&quot;d&quot;日&quot;"/>
    <numFmt numFmtId="182" formatCode="yyyy/mm/dd;@"/>
    <numFmt numFmtId="8" formatCode="&quot;￥&quot;#,##0.00;[Red]&quot;￥&quot;\-#,##0.00"/>
    <numFmt numFmtId="183" formatCode="h:mm:ss\ AM/PM"/>
    <numFmt numFmtId="184" formatCode="[DBNum1]上午/下午h&quot;时&quot;mm&quot;分&quot;"/>
    <numFmt numFmtId="185" formatCode="dd\-mmm\-yy"/>
    <numFmt numFmtId="186" formatCode="h:mm\ AM/PM"/>
    <numFmt numFmtId="187" formatCode="[$-804]aaaa"/>
    <numFmt numFmtId="188" formatCode="yy/m/d"/>
    <numFmt numFmtId="23" formatCode="\$#,##0_);\(\$#,##0\)"/>
    <numFmt numFmtId="7" formatCode="&quot;￥&quot;#,##0.00;&quot;￥&quot;\-#,##0.00"/>
    <numFmt numFmtId="43" formatCode="_ * #,##0.00_ ;_ * \-#,##0.00_ ;_ * &quot;-&quot;??_ ;_ @_ "/>
    <numFmt numFmtId="189" formatCode="\¥#,##0;[Red]\¥\-#,##0"/>
    <numFmt numFmtId="190" formatCode="[DBNum1]h&quot;时&quot;mm&quot;分&quot;"/>
    <numFmt numFmtId="191" formatCode="#\ ??"/>
    <numFmt numFmtId="192" formatCode="[DBNum1][$-804]m&quot;月&quot;d&quot;日&quot;"/>
    <numFmt numFmtId="193" formatCode="yyyy/m/d;@"/>
    <numFmt numFmtId="194" formatCode="[$-804]aaa"/>
    <numFmt numFmtId="195" formatCode="0_ "/>
    <numFmt numFmtId="196" formatCode="yyyy/m/d\ h:mm\ AM/PM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97" formatCode="m/d"/>
    <numFmt numFmtId="198" formatCode="\¥#,##0;\¥\-#,##0"/>
    <numFmt numFmtId="199" formatCode="mm/dd/yy"/>
    <numFmt numFmtId="41" formatCode="_ * #,##0_ ;_ * \-#,##0_ ;_ * &quot;-&quot;_ ;_ @_ "/>
    <numFmt numFmtId="200" formatCode="mmmmm\-yy"/>
    <numFmt numFmtId="201" formatCode="mmmmm"/>
    <numFmt numFmtId="202" formatCode="0.00_ "/>
    <numFmt numFmtId="203" formatCode="\¥#,##0.00;\¥\-#,##0.00"/>
  </numFmts>
  <fonts count="46">
    <font>
      <sz val="11"/>
      <color theme="1"/>
      <name val="宋体"/>
      <charset val="134"/>
      <scheme val="minor"/>
    </font>
    <font>
      <sz val="11"/>
      <color indexed="8"/>
      <name val="Arial"/>
      <charset val="134"/>
    </font>
    <font>
      <sz val="11"/>
      <color theme="0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1"/>
      <color theme="0"/>
      <name val="等线"/>
      <charset val="134"/>
    </font>
    <font>
      <sz val="10"/>
      <name val="Arial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Arial"/>
      <charset val="134"/>
    </font>
    <font>
      <sz val="12"/>
      <name val="宋体"/>
      <charset val="134"/>
      <scheme val="minor"/>
    </font>
    <font>
      <sz val="12"/>
      <name val="Arial"/>
      <charset val="134"/>
    </font>
    <font>
      <b/>
      <sz val="11"/>
      <color theme="0"/>
      <name val="Arial"/>
      <charset val="134"/>
    </font>
    <font>
      <sz val="10"/>
      <name val="宋体"/>
      <charset val="134"/>
    </font>
    <font>
      <sz val="10"/>
      <name val="汉仪书宋二KW"/>
      <charset val="134"/>
    </font>
    <font>
      <b/>
      <sz val="10"/>
      <name val="Arial"/>
      <charset val="134"/>
    </font>
    <font>
      <b/>
      <sz val="11"/>
      <color theme="0"/>
      <name val="宋体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0000"/>
      <name val="Arial"/>
      <charset val="134"/>
    </font>
    <font>
      <b/>
      <sz val="11"/>
      <color theme="5"/>
      <name val="Arial"/>
      <charset val="0"/>
    </font>
    <font>
      <sz val="11"/>
      <color theme="1"/>
      <name val="Arial"/>
      <charset val="0"/>
    </font>
    <font>
      <sz val="11"/>
      <name val="Arial"/>
      <charset val="0"/>
    </font>
    <font>
      <sz val="11"/>
      <color theme="0"/>
      <name val="宋体"/>
      <charset val="134"/>
    </font>
    <font>
      <sz val="11"/>
      <color theme="0"/>
      <name val="Arial"/>
      <charset val="134"/>
    </font>
    <font>
      <sz val="11"/>
      <color theme="0"/>
      <name val="Arial"/>
      <charset val="0"/>
    </font>
    <font>
      <sz val="12"/>
      <color theme="0"/>
      <name val="Arial"/>
      <charset val="134"/>
    </font>
    <font>
      <sz val="11"/>
      <name val="Arial"/>
      <charset val="134"/>
    </font>
    <font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2" fillId="28" borderId="7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5" fillId="12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7" fillId="13" borderId="9" applyNumberFormat="0" applyAlignment="0" applyProtection="0">
      <alignment vertical="center"/>
    </xf>
    <xf numFmtId="0" fontId="36" fillId="12" borderId="8" applyNumberFormat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</cellStyleXfs>
  <cellXfs count="91">
    <xf numFmtId="0" fontId="0" fillId="0" borderId="0" xfId="0">
      <alignment vertical="center"/>
    </xf>
    <xf numFmtId="195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4" fontId="5" fillId="2" borderId="0" xfId="0" applyNumberFormat="1" applyFont="1" applyFill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193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14" fontId="16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195" fontId="22" fillId="0" borderId="1" xfId="0" applyNumberFormat="1" applyFont="1" applyFill="1" applyBorder="1" applyAlignment="1">
      <alignment horizontal="center" vertical="center"/>
    </xf>
    <xf numFmtId="202" fontId="22" fillId="0" borderId="1" xfId="0" applyNumberFormat="1" applyFont="1" applyFill="1" applyBorder="1" applyAlignment="1">
      <alignment horizontal="center" vertical="center"/>
    </xf>
    <xf numFmtId="195" fontId="23" fillId="0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25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14" fontId="25" fillId="4" borderId="1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17" fillId="5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25" fillId="3" borderId="1" xfId="0" applyNumberFormat="1" applyFont="1" applyFill="1" applyBorder="1" applyAlignment="1">
      <alignment horizontal="center" vertical="center"/>
    </xf>
    <xf numFmtId="0" fontId="25" fillId="4" borderId="1" xfId="0" applyNumberFormat="1" applyFont="1" applyFill="1" applyBorder="1" applyAlignment="1">
      <alignment horizontal="center" vertical="center"/>
    </xf>
    <xf numFmtId="195" fontId="13" fillId="2" borderId="1" xfId="0" applyNumberFormat="1" applyFont="1" applyFill="1" applyBorder="1" applyAlignment="1">
      <alignment horizontal="center" vertical="center" wrapText="1"/>
    </xf>
    <xf numFmtId="195" fontId="4" fillId="0" borderId="1" xfId="0" applyNumberFormat="1" applyFont="1" applyFill="1" applyBorder="1" applyAlignment="1">
      <alignment horizontal="center" vertical="center"/>
    </xf>
    <xf numFmtId="195" fontId="25" fillId="3" borderId="1" xfId="0" applyNumberFormat="1" applyFont="1" applyFill="1" applyBorder="1" applyAlignment="1">
      <alignment horizontal="center" vertical="center"/>
    </xf>
    <xf numFmtId="195" fontId="25" fillId="4" borderId="1" xfId="0" applyNumberFormat="1" applyFont="1" applyFill="1" applyBorder="1" applyAlignment="1">
      <alignment horizontal="center" vertical="center"/>
    </xf>
    <xf numFmtId="202" fontId="13" fillId="2" borderId="1" xfId="0" applyNumberFormat="1" applyFont="1" applyFill="1" applyBorder="1" applyAlignment="1">
      <alignment horizontal="center" vertical="center" wrapText="1"/>
    </xf>
    <xf numFmtId="202" fontId="17" fillId="2" borderId="1" xfId="0" applyNumberFormat="1" applyFont="1" applyFill="1" applyBorder="1" applyAlignment="1">
      <alignment horizontal="center" vertical="center" wrapText="1"/>
    </xf>
    <xf numFmtId="195" fontId="17" fillId="2" borderId="1" xfId="0" applyNumberFormat="1" applyFont="1" applyFill="1" applyBorder="1" applyAlignment="1">
      <alignment horizontal="center" vertical="center" wrapText="1"/>
    </xf>
    <xf numFmtId="202" fontId="4" fillId="0" borderId="1" xfId="0" applyNumberFormat="1" applyFont="1" applyFill="1" applyBorder="1" applyAlignment="1">
      <alignment horizontal="center" vertical="center"/>
    </xf>
    <xf numFmtId="202" fontId="25" fillId="3" borderId="1" xfId="0" applyNumberFormat="1" applyFont="1" applyFill="1" applyBorder="1" applyAlignment="1">
      <alignment horizontal="center" vertical="center"/>
    </xf>
    <xf numFmtId="202" fontId="25" fillId="4" borderId="1" xfId="0" applyNumberFormat="1" applyFont="1" applyFill="1" applyBorder="1" applyAlignment="1">
      <alignment horizontal="center" vertical="center"/>
    </xf>
    <xf numFmtId="202" fontId="17" fillId="5" borderId="1" xfId="0" applyNumberFormat="1" applyFont="1" applyFill="1" applyBorder="1" applyAlignment="1">
      <alignment horizontal="center" vertical="center" wrapText="1"/>
    </xf>
    <xf numFmtId="195" fontId="17" fillId="5" borderId="1" xfId="0" applyNumberFormat="1" applyFont="1" applyFill="1" applyBorder="1" applyAlignment="1">
      <alignment horizontal="center" vertical="center" wrapText="1"/>
    </xf>
    <xf numFmtId="195" fontId="28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5">
    <dxf>
      <fill>
        <patternFill patternType="solid">
          <bgColor rgb="FFFF2121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D4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599993896298105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rgb="FFEF481A"/>
        </patternFill>
      </fill>
    </dxf>
    <dxf>
      <fill>
        <patternFill patternType="solid">
          <bgColor rgb="FFF9680D"/>
        </patternFill>
      </fill>
    </dxf>
  </dxfs>
  <tableStyles count="0" defaultTableStyle="TableStyleMedium2" defaultPivotStyle="PivotStyleLight16"/>
  <colors>
    <mruColors>
      <color rgb="00FF2121"/>
      <color rgb="00D40000"/>
      <color rgb="00FF0000"/>
      <color rgb="00000000"/>
      <color rgb="004454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customXml" Target="../customXml/item4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2"/>
  <sheetViews>
    <sheetView tabSelected="1" zoomScale="90" zoomScaleNormal="90" workbookViewId="0">
      <pane xSplit="6" ySplit="1" topLeftCell="G2" activePane="bottomRight" state="frozen"/>
      <selection/>
      <selection pane="topRight"/>
      <selection pane="bottomLeft"/>
      <selection pane="bottomRight" activeCell="B2" sqref="B2:F62"/>
    </sheetView>
  </sheetViews>
  <sheetFormatPr defaultColWidth="9" defaultRowHeight="14.25"/>
  <cols>
    <col min="1" max="1" width="11.625" style="55" customWidth="1"/>
    <col min="2" max="3" width="14.625" style="55" customWidth="1"/>
    <col min="4" max="4" width="18.625" style="55" customWidth="1"/>
    <col min="5" max="5" width="13.125" style="55" customWidth="1"/>
    <col min="6" max="6" width="49.875" style="55" customWidth="1"/>
    <col min="7" max="7" width="6.125" style="55" customWidth="1"/>
    <col min="8" max="8" width="6.25" style="55" customWidth="1"/>
    <col min="9" max="9" width="6.125" style="55" customWidth="1"/>
    <col min="10" max="10" width="7" style="55" customWidth="1"/>
    <col min="11" max="11" width="8.75" style="55" customWidth="1"/>
    <col min="12" max="12" width="9.11666666666667" style="56" customWidth="1"/>
    <col min="13" max="17" width="6.25" style="55" customWidth="1"/>
    <col min="18" max="18" width="4.85" style="55" customWidth="1"/>
    <col min="19" max="19" width="4.71666666666667" style="57" customWidth="1"/>
    <col min="20" max="20" width="6.125" style="55" customWidth="1"/>
    <col min="21" max="21" width="6.375" style="58" customWidth="1"/>
    <col min="22" max="22" width="7.35" style="58" customWidth="1"/>
    <col min="23" max="23" width="6.5" style="58" customWidth="1"/>
    <col min="24" max="24" width="7.125" style="57" customWidth="1"/>
    <col min="25" max="25" width="5.25" style="56" customWidth="1"/>
    <col min="26" max="26" width="6.31666666666667" style="58" customWidth="1"/>
    <col min="27" max="27" width="5.73333333333333" style="58" customWidth="1"/>
    <col min="28" max="29" width="9.125" style="57" customWidth="1"/>
    <col min="30" max="30" width="6.1" style="59" customWidth="1"/>
    <col min="31" max="31" width="6.25" style="59" customWidth="1"/>
    <col min="32" max="32" width="5.41666666666667" style="59" customWidth="1"/>
    <col min="33" max="35" width="5.69166666666667" style="59" customWidth="1"/>
    <col min="36" max="36" width="13.875" style="55" customWidth="1"/>
    <col min="37" max="37" width="17.75" style="55" customWidth="1"/>
    <col min="38" max="16384" width="9" style="55"/>
  </cols>
  <sheetData>
    <row r="1" s="54" customFormat="1" ht="50" customHeight="1" spans="1:37">
      <c r="A1" s="60" t="s">
        <v>0</v>
      </c>
      <c r="B1" s="60" t="s">
        <v>1</v>
      </c>
      <c r="C1" s="61" t="s">
        <v>2</v>
      </c>
      <c r="D1" s="61" t="s">
        <v>3</v>
      </c>
      <c r="E1" s="61" t="s">
        <v>4</v>
      </c>
      <c r="F1" s="70" t="s">
        <v>5</v>
      </c>
      <c r="G1" s="71" t="s">
        <v>6</v>
      </c>
      <c r="H1" s="71" t="s">
        <v>7</v>
      </c>
      <c r="I1" s="71" t="s">
        <v>8</v>
      </c>
      <c r="J1" s="71" t="s">
        <v>9</v>
      </c>
      <c r="K1" s="71" t="s">
        <v>10</v>
      </c>
      <c r="L1" s="74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1" t="s">
        <v>16</v>
      </c>
      <c r="R1" s="70" t="s">
        <v>17</v>
      </c>
      <c r="S1" s="78" t="s">
        <v>18</v>
      </c>
      <c r="T1" s="61" t="s">
        <v>19</v>
      </c>
      <c r="U1" s="82" t="s">
        <v>20</v>
      </c>
      <c r="V1" s="83" t="s">
        <v>21</v>
      </c>
      <c r="W1" s="83" t="s">
        <v>22</v>
      </c>
      <c r="X1" s="84" t="s">
        <v>23</v>
      </c>
      <c r="Y1" s="74" t="s">
        <v>24</v>
      </c>
      <c r="Z1" s="88" t="s">
        <v>25</v>
      </c>
      <c r="AA1" s="88" t="s">
        <v>26</v>
      </c>
      <c r="AB1" s="84" t="s">
        <v>27</v>
      </c>
      <c r="AC1" s="84" t="s">
        <v>28</v>
      </c>
      <c r="AD1" s="89" t="s">
        <v>29</v>
      </c>
      <c r="AE1" s="89" t="s">
        <v>30</v>
      </c>
      <c r="AF1" s="89" t="s">
        <v>31</v>
      </c>
      <c r="AG1" s="89" t="s">
        <v>32</v>
      </c>
      <c r="AH1" s="89" t="s">
        <v>33</v>
      </c>
      <c r="AI1" s="89" t="s">
        <v>34</v>
      </c>
      <c r="AJ1" s="60" t="s">
        <v>35</v>
      </c>
      <c r="AK1" s="60" t="s">
        <v>36</v>
      </c>
    </row>
    <row r="2" ht="34" customHeight="1" spans="1:37">
      <c r="A2" s="62">
        <f ca="1">TODAY()</f>
        <v>45989</v>
      </c>
      <c r="B2" s="62"/>
      <c r="C2" s="63"/>
      <c r="D2" s="63"/>
      <c r="E2" s="63"/>
      <c r="F2" s="63"/>
      <c r="G2" s="63">
        <f>SUMIF('Manage FBA Inventory(EU)'!A:A,D:D,'Manage FBA Inventory(EU)'!K:K)</f>
        <v>0</v>
      </c>
      <c r="H2" s="63">
        <f>SUMIF('Manage FBA Inventory(EU)'!A:A,D:D,'Manage FBA Inventory(EU)'!Q:Q)</f>
        <v>0</v>
      </c>
      <c r="I2" s="63">
        <f>SUMIF('Manage FBA Inventory(EU)'!A:A,D:D,'Manage FBA Inventory(EU)'!R:R)</f>
        <v>0</v>
      </c>
      <c r="J2" s="63">
        <f>SUMIF('Manage FBA Inventory(EU)'!A:A,D:D,'Manage FBA Inventory(EU)'!P:P)</f>
        <v>0</v>
      </c>
      <c r="K2" s="63"/>
      <c r="L2" s="75">
        <f>SUMIF(本地仓库存!D:D,B:B,本地仓库存!H:H)</f>
        <v>0</v>
      </c>
      <c r="M2" s="63">
        <v>0</v>
      </c>
      <c r="N2" s="63">
        <v>0</v>
      </c>
      <c r="O2" s="63">
        <v>2520</v>
      </c>
      <c r="P2" s="63">
        <v>0</v>
      </c>
      <c r="Q2" s="63">
        <v>1080</v>
      </c>
      <c r="R2" s="63">
        <f>SUMIF(过去3天!N:N,D:D,过去3天!P:P)/3</f>
        <v>0</v>
      </c>
      <c r="S2" s="79">
        <f>SUMIF(过去7天!N:N,D:D,过去7天!P:P)/7</f>
        <v>0</v>
      </c>
      <c r="T2" s="79">
        <f>SUMIF(过去14天!N:N,D:D,过去14天!P:P)/14</f>
        <v>0</v>
      </c>
      <c r="U2" s="85">
        <f>SUMIF(过去30天!N:N,D:D,过去30天!P:P)/30</f>
        <v>0</v>
      </c>
      <c r="V2" s="85">
        <f>(R2*1.5+S2*1.2+T2*0.8+U2*0.4)/4</f>
        <v>0</v>
      </c>
      <c r="W2" s="85">
        <v>1</v>
      </c>
      <c r="X2" s="79">
        <f>V2*(Y2+Z2+AA2)*W2</f>
        <v>0</v>
      </c>
      <c r="Y2" s="75">
        <v>7</v>
      </c>
      <c r="Z2" s="85">
        <v>15</v>
      </c>
      <c r="AA2" s="85">
        <v>55</v>
      </c>
      <c r="AB2" s="79">
        <f>IFERROR(ROUNDUP(G2/V2,365),0)</f>
        <v>0</v>
      </c>
      <c r="AC2" s="79">
        <f>IFERROR((M2+N2+O2+P2+Q2)/V2,0)</f>
        <v>0</v>
      </c>
      <c r="AD2" s="90">
        <f>IF((V2*(Y2+Z2+AA2)*W2)&gt;G2+H2+I2,MAX(V2*Y2*Z2,X2-I2-H2-G2),)</f>
        <v>0</v>
      </c>
      <c r="AE2" s="90">
        <f>IF(AB2&lt;7,V2*7,)</f>
        <v>0</v>
      </c>
      <c r="AF2" s="90">
        <f>IF(AB2&lt;15,V2*15,)</f>
        <v>0</v>
      </c>
      <c r="AG2" s="90">
        <f>IF(AB2&lt;55,V2*55,)</f>
        <v>0</v>
      </c>
      <c r="AH2" s="90">
        <f>IF(AB2&lt;35,V2*35,)</f>
        <v>0</v>
      </c>
      <c r="AI2" s="90">
        <f>IF(AB2&lt;45,V2*45,)</f>
        <v>0</v>
      </c>
      <c r="AJ2" s="79" t="str">
        <f>_xlfn.IFS(AB2&gt;=80,"安全",AB2&lt;5,"地狱",AB2&lt;=10,"极度危险",AB2&lt;=30,"十分危险",AB2&gt;=60,"相对安全")</f>
        <v>地狱</v>
      </c>
      <c r="AK2" s="79" t="str">
        <f>_xlfn.IFS(AB2&lt;5,"红单",AB2&gt;65,"不需要补货",AB2&lt;=15,"空派",AB2&gt;=55,"海派",AB2&gt;=15,"空派")</f>
        <v>红单</v>
      </c>
    </row>
    <row r="3" ht="34" customHeight="1" spans="1:37">
      <c r="A3" s="62">
        <f ca="1" t="shared" ref="A2:A44" si="0">TODAY()</f>
        <v>45989</v>
      </c>
      <c r="B3" s="62"/>
      <c r="C3" s="63"/>
      <c r="D3" s="63"/>
      <c r="E3" s="63"/>
      <c r="F3" s="63"/>
      <c r="G3" s="63">
        <f>SUMIF('Manage FBA Inventory(EU)'!A:A,D:D,'Manage FBA Inventory(EU)'!K:K)</f>
        <v>0</v>
      </c>
      <c r="H3" s="63">
        <f>SUMIF('Manage FBA Inventory(EU)'!A:A,D:D,'Manage FBA Inventory(EU)'!Q:Q)</f>
        <v>0</v>
      </c>
      <c r="I3" s="63">
        <f>SUMIF('Manage FBA Inventory(EU)'!A:A,D:D,'Manage FBA Inventory(EU)'!R:R)</f>
        <v>0</v>
      </c>
      <c r="J3" s="63">
        <f>SUMIF('Manage FBA Inventory(EU)'!A:A,D:D,'Manage FBA Inventory(EU)'!P:P)</f>
        <v>0</v>
      </c>
      <c r="K3" s="63"/>
      <c r="L3" s="75">
        <f>SUMIF(本地仓库存!D:D,B:B,本地仓库存!H:H)</f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f>SUMIF(过去3天!N:N,D:D,过去3天!P:P)/3</f>
        <v>0</v>
      </c>
      <c r="S3" s="79">
        <f>SUMIF(过去7天!N:N,D:D,过去7天!P:P)/7</f>
        <v>0</v>
      </c>
      <c r="T3" s="79">
        <f>SUMIF(过去14天!N:N,D:D,过去14天!P:P)/14</f>
        <v>0</v>
      </c>
      <c r="U3" s="85">
        <f>SUMIF(过去30天!N:N,D:D,过去30天!P:P)/30</f>
        <v>0</v>
      </c>
      <c r="V3" s="85">
        <f t="shared" ref="V3:V34" si="1">(R3*1.5+S3*1.2+T3*0.8+U3*0.4)/4</f>
        <v>0</v>
      </c>
      <c r="W3" s="85">
        <v>1</v>
      </c>
      <c r="X3" s="79">
        <f>V3*(Y3+Z3+AA3)*W3</f>
        <v>0</v>
      </c>
      <c r="Y3" s="75">
        <v>7</v>
      </c>
      <c r="Z3" s="85">
        <v>15</v>
      </c>
      <c r="AA3" s="85">
        <v>30</v>
      </c>
      <c r="AB3" s="79">
        <f>IFERROR(ROUNDUP(G3/V3,365),0)</f>
        <v>0</v>
      </c>
      <c r="AC3" s="79">
        <f t="shared" ref="AC3:AC34" si="2">IFERROR((M3+N3+O3+P3+Q3)/V3,0)</f>
        <v>0</v>
      </c>
      <c r="AD3" s="90">
        <f>IF((V3*(Y3+Z3+AA3)*W3)&gt;G3+H3+I3,MAX(V3*Y3*Z3,X3-I3-H3-G3),)</f>
        <v>0</v>
      </c>
      <c r="AE3" s="90">
        <f t="shared" ref="AE3:AE34" si="3">IF(AB3&lt;7,V3*7,)</f>
        <v>0</v>
      </c>
      <c r="AF3" s="90">
        <f t="shared" ref="AF3:AF34" si="4">IF(AB3&lt;15,V3*15,)</f>
        <v>0</v>
      </c>
      <c r="AG3" s="90">
        <f t="shared" ref="AG3:AG34" si="5">IF(AB3&lt;55,V3*55,)</f>
        <v>0</v>
      </c>
      <c r="AH3" s="90">
        <f t="shared" ref="AH3:AH34" si="6">IF(AB3&lt;35,V3*35,)</f>
        <v>0</v>
      </c>
      <c r="AI3" s="90">
        <f t="shared" ref="AI3:AI34" si="7">IF(AB3&lt;45,V3*45,)</f>
        <v>0</v>
      </c>
      <c r="AJ3" s="79" t="str">
        <f>_xlfn.IFS(AB3&gt;=80,"安全",AB3&lt;5,"地狱",AB3&lt;=10,"极度危险",AB3&lt;=30,"十分危险",AB3&gt;=60,"相对安全")</f>
        <v>地狱</v>
      </c>
      <c r="AK3" s="79" t="str">
        <f t="shared" ref="AK2:AK44" si="8">_xlfn.IFS(AB3&lt;5,"红单",AB3&gt;65,"不需要补货",AB3&lt;=15,"空派",AB3&gt;=55,"海派",AB3&gt;=15,"空派")</f>
        <v>红单</v>
      </c>
    </row>
    <row r="4" ht="34" customHeight="1" spans="1:37">
      <c r="A4" s="64">
        <f ca="1" t="shared" si="0"/>
        <v>45989</v>
      </c>
      <c r="B4" s="64"/>
      <c r="C4" s="65"/>
      <c r="D4" s="65"/>
      <c r="E4" s="65"/>
      <c r="F4" s="65"/>
      <c r="G4" s="65">
        <f>SUMIF('Manage FBA Inventory(EU)'!A:A,D:D,'Manage FBA Inventory(EU)'!K:K)</f>
        <v>0</v>
      </c>
      <c r="H4" s="65">
        <f>SUMIF('Manage FBA Inventory(EU)'!A:A,D:D,'Manage FBA Inventory(EU)'!Q:Q)</f>
        <v>0</v>
      </c>
      <c r="I4" s="65">
        <f>SUMIF('Manage FBA Inventory(EU)'!A:A,D:D,'Manage FBA Inventory(EU)'!R:R)</f>
        <v>0</v>
      </c>
      <c r="J4" s="65">
        <f>SUMIF('Manage FBA Inventory(EU)'!A:A,D:D,'Manage FBA Inventory(EU)'!P:P)</f>
        <v>0</v>
      </c>
      <c r="K4" s="65"/>
      <c r="L4" s="76">
        <f>SUMIF(本地仓库存!D:D,B:B,本地仓库存!H:H)</f>
        <v>0</v>
      </c>
      <c r="M4" s="76">
        <v>0</v>
      </c>
      <c r="N4" s="76">
        <v>0</v>
      </c>
      <c r="O4" s="76">
        <v>0</v>
      </c>
      <c r="P4" s="76">
        <v>0</v>
      </c>
      <c r="Q4" s="76">
        <v>0</v>
      </c>
      <c r="R4" s="65">
        <f>SUMIF(过去3天!N:N,D:D,过去3天!P:P)/3</f>
        <v>0</v>
      </c>
      <c r="S4" s="80">
        <f>SUMIF(过去7天!N:N,D:D,过去7天!P:P)/7</f>
        <v>0</v>
      </c>
      <c r="T4" s="80">
        <f>SUMIF(过去14天!N:N,D:D,过去14天!P:P)/14</f>
        <v>0</v>
      </c>
      <c r="U4" s="86">
        <f>SUMIF(过去30天!N:N,D:D,过去30天!P:P)/30</f>
        <v>0</v>
      </c>
      <c r="V4" s="86">
        <f t="shared" si="1"/>
        <v>0</v>
      </c>
      <c r="W4" s="86">
        <v>1</v>
      </c>
      <c r="X4" s="80">
        <f t="shared" ref="X3:X34" si="9">V4*(Y4+Z4+AA4)*W4</f>
        <v>0</v>
      </c>
      <c r="Y4" s="76">
        <v>7</v>
      </c>
      <c r="Z4" s="86">
        <v>15</v>
      </c>
      <c r="AA4" s="86">
        <v>55</v>
      </c>
      <c r="AB4" s="80">
        <f t="shared" ref="AB4:AB35" si="10">IFERROR(ROUNDUP(G4/V4,365),0)</f>
        <v>0</v>
      </c>
      <c r="AC4" s="80">
        <f t="shared" si="2"/>
        <v>0</v>
      </c>
      <c r="AD4" s="80">
        <f t="shared" ref="AD3:AD34" si="11">IF((V4*(Y4+Z4+AA4)*W4)&gt;G4+H4+I4,MAX(V4*Y4*Z4,X4-I4-H4-G4),)</f>
        <v>0</v>
      </c>
      <c r="AE4" s="80">
        <f t="shared" si="3"/>
        <v>0</v>
      </c>
      <c r="AF4" s="80">
        <f t="shared" si="4"/>
        <v>0</v>
      </c>
      <c r="AG4" s="80">
        <f t="shared" si="5"/>
        <v>0</v>
      </c>
      <c r="AH4" s="80">
        <f t="shared" si="6"/>
        <v>0</v>
      </c>
      <c r="AI4" s="80">
        <f t="shared" si="7"/>
        <v>0</v>
      </c>
      <c r="AJ4" s="79" t="str">
        <f t="shared" ref="AJ2:AJ15" si="12">_xlfn.IFS(AB4&gt;=80,"安全",AB4&lt;5,"地狱",AB4&lt;=10,"极度危险",AB4&lt;=30,"十分危险",AB4&gt;=60,"相对安全")</f>
        <v>地狱</v>
      </c>
      <c r="AK4" s="79" t="str">
        <f t="shared" si="8"/>
        <v>红单</v>
      </c>
    </row>
    <row r="5" ht="34" customHeight="1" spans="1:37">
      <c r="A5" s="62">
        <f ca="1" t="shared" si="0"/>
        <v>45989</v>
      </c>
      <c r="B5" s="62"/>
      <c r="C5" s="63"/>
      <c r="D5" s="63"/>
      <c r="E5" s="63"/>
      <c r="F5" s="63"/>
      <c r="G5" s="63">
        <f>SUMIF('Manage FBA Inventory(EU)'!A:A,D:D,'Manage FBA Inventory(EU)'!K:K)</f>
        <v>0</v>
      </c>
      <c r="H5" s="63">
        <f>SUMIF('Manage FBA Inventory(EU)'!A:A,D:D,'Manage FBA Inventory(EU)'!Q:Q)</f>
        <v>0</v>
      </c>
      <c r="I5" s="63">
        <f>SUMIF('Manage FBA Inventory(EU)'!A:A,D:D,'Manage FBA Inventory(EU)'!R:R)</f>
        <v>0</v>
      </c>
      <c r="J5" s="63">
        <f>SUMIF('Manage FBA Inventory(EU)'!A:A,D:D,'Manage FBA Inventory(EU)'!P:P)</f>
        <v>0</v>
      </c>
      <c r="K5" s="63"/>
      <c r="L5" s="75">
        <f>SUMIF(本地仓库存!D:D,B:B,本地仓库存!H:H)</f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f>SUMIF(过去3天!N:N,D:D,过去3天!P:P)/3</f>
        <v>0</v>
      </c>
      <c r="S5" s="79">
        <f>SUMIF(过去7天!N:N,D:D,过去7天!P:P)/7</f>
        <v>0</v>
      </c>
      <c r="T5" s="79">
        <f>SUMIF(过去14天!N:N,D:D,过去14天!P:P)/14</f>
        <v>0</v>
      </c>
      <c r="U5" s="85">
        <f>SUMIF(过去30天!N:N,D:D,过去30天!P:P)/30</f>
        <v>0</v>
      </c>
      <c r="V5" s="85">
        <f t="shared" si="1"/>
        <v>0</v>
      </c>
      <c r="W5" s="85">
        <v>1</v>
      </c>
      <c r="X5" s="79">
        <f t="shared" si="9"/>
        <v>0</v>
      </c>
      <c r="Y5" s="75">
        <v>7</v>
      </c>
      <c r="Z5" s="85">
        <v>15</v>
      </c>
      <c r="AA5" s="85">
        <v>55</v>
      </c>
      <c r="AB5" s="79">
        <f t="shared" si="10"/>
        <v>0</v>
      </c>
      <c r="AC5" s="79">
        <f t="shared" si="2"/>
        <v>0</v>
      </c>
      <c r="AD5" s="90">
        <f t="shared" si="11"/>
        <v>0</v>
      </c>
      <c r="AE5" s="90">
        <f t="shared" si="3"/>
        <v>0</v>
      </c>
      <c r="AF5" s="90">
        <f t="shared" si="4"/>
        <v>0</v>
      </c>
      <c r="AG5" s="90">
        <f t="shared" si="5"/>
        <v>0</v>
      </c>
      <c r="AH5" s="90">
        <f t="shared" si="6"/>
        <v>0</v>
      </c>
      <c r="AI5" s="90">
        <f t="shared" si="7"/>
        <v>0</v>
      </c>
      <c r="AJ5" s="79" t="str">
        <f t="shared" si="12"/>
        <v>地狱</v>
      </c>
      <c r="AK5" s="79" t="str">
        <f t="shared" si="8"/>
        <v>红单</v>
      </c>
    </row>
    <row r="6" ht="34" customHeight="1" spans="1:37">
      <c r="A6" s="62">
        <f ca="1" t="shared" si="0"/>
        <v>45989</v>
      </c>
      <c r="B6" s="62"/>
      <c r="C6" s="63"/>
      <c r="D6" s="63"/>
      <c r="E6" s="63"/>
      <c r="F6" s="63"/>
      <c r="G6" s="63">
        <f>SUMIF('Manage FBA Inventory(EU)'!A:A,D:D,'Manage FBA Inventory(EU)'!K:K)</f>
        <v>0</v>
      </c>
      <c r="H6" s="63">
        <f>SUMIF('Manage FBA Inventory(EU)'!A:A,D:D,'Manage FBA Inventory(EU)'!Q:Q)</f>
        <v>0</v>
      </c>
      <c r="I6" s="63">
        <f>SUMIF('Manage FBA Inventory(EU)'!A:A,D:D,'Manage FBA Inventory(EU)'!R:R)</f>
        <v>0</v>
      </c>
      <c r="J6" s="63">
        <f>SUMIF('Manage FBA Inventory(EU)'!A:A,D:D,'Manage FBA Inventory(EU)'!P:P)</f>
        <v>0</v>
      </c>
      <c r="K6" s="63"/>
      <c r="L6" s="75">
        <f>SUMIF(本地仓库存!D:D,B:B,本地仓库存!H:H)</f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f>SUMIF(过去3天!N:N,D:D,过去3天!P:P)/3</f>
        <v>0</v>
      </c>
      <c r="S6" s="79">
        <f>SUMIF(过去7天!N:N,D:D,过去7天!P:P)/7</f>
        <v>0</v>
      </c>
      <c r="T6" s="79">
        <f>SUMIF(过去14天!N:N,D:D,过去14天!P:P)/14</f>
        <v>0</v>
      </c>
      <c r="U6" s="85">
        <f>SUMIF(过去30天!N:N,D:D,过去30天!P:P)/30</f>
        <v>0</v>
      </c>
      <c r="V6" s="85">
        <f t="shared" si="1"/>
        <v>0</v>
      </c>
      <c r="W6" s="85">
        <v>1</v>
      </c>
      <c r="X6" s="79">
        <f t="shared" si="9"/>
        <v>0</v>
      </c>
      <c r="Y6" s="75">
        <v>7</v>
      </c>
      <c r="Z6" s="85">
        <v>15</v>
      </c>
      <c r="AA6" s="85">
        <v>55</v>
      </c>
      <c r="AB6" s="79">
        <f t="shared" si="10"/>
        <v>0</v>
      </c>
      <c r="AC6" s="79">
        <f t="shared" si="2"/>
        <v>0</v>
      </c>
      <c r="AD6" s="90">
        <f t="shared" si="11"/>
        <v>0</v>
      </c>
      <c r="AE6" s="90">
        <f t="shared" si="3"/>
        <v>0</v>
      </c>
      <c r="AF6" s="90">
        <f t="shared" si="4"/>
        <v>0</v>
      </c>
      <c r="AG6" s="90">
        <f t="shared" si="5"/>
        <v>0</v>
      </c>
      <c r="AH6" s="90">
        <f t="shared" si="6"/>
        <v>0</v>
      </c>
      <c r="AI6" s="90">
        <f t="shared" si="7"/>
        <v>0</v>
      </c>
      <c r="AJ6" s="79" t="str">
        <f t="shared" si="12"/>
        <v>地狱</v>
      </c>
      <c r="AK6" s="79" t="str">
        <f t="shared" si="8"/>
        <v>红单</v>
      </c>
    </row>
    <row r="7" ht="34" customHeight="1" spans="1:37">
      <c r="A7" s="62">
        <f ca="1" t="shared" si="0"/>
        <v>45989</v>
      </c>
      <c r="B7" s="62"/>
      <c r="C7" s="63"/>
      <c r="D7" s="63"/>
      <c r="E7" s="63"/>
      <c r="F7" s="63"/>
      <c r="G7" s="63">
        <f>SUMIF('Manage FBA Inventory(EU)'!A:A,D:D,'Manage FBA Inventory(EU)'!K:K)</f>
        <v>0</v>
      </c>
      <c r="H7" s="63">
        <f>SUMIF('Manage FBA Inventory(EU)'!A:A,D:D,'Manage FBA Inventory(EU)'!Q:Q)</f>
        <v>0</v>
      </c>
      <c r="I7" s="63">
        <f>SUMIF('Manage FBA Inventory(EU)'!A:A,D:D,'Manage FBA Inventory(EU)'!R:R)</f>
        <v>0</v>
      </c>
      <c r="J7" s="63">
        <f>SUMIF('Manage FBA Inventory(EU)'!A:A,D:D,'Manage FBA Inventory(EU)'!P:P)</f>
        <v>0</v>
      </c>
      <c r="K7" s="63"/>
      <c r="L7" s="75">
        <f>SUMIF(本地仓库存!D:D,B:B,本地仓库存!H:H)</f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f>SUMIF(过去3天!N:N,D:D,过去3天!P:P)/3</f>
        <v>0</v>
      </c>
      <c r="S7" s="79">
        <f>SUMIF(过去7天!N:N,D:D,过去7天!P:P)/7</f>
        <v>0</v>
      </c>
      <c r="T7" s="79">
        <f>SUMIF(过去14天!N:N,D:D,过去14天!P:P)/14</f>
        <v>0</v>
      </c>
      <c r="U7" s="85">
        <f>SUMIF(过去30天!N:N,D:D,过去30天!P:P)/30</f>
        <v>0</v>
      </c>
      <c r="V7" s="85">
        <f t="shared" si="1"/>
        <v>0</v>
      </c>
      <c r="W7" s="85">
        <v>1</v>
      </c>
      <c r="X7" s="79">
        <f t="shared" si="9"/>
        <v>0</v>
      </c>
      <c r="Y7" s="75">
        <v>7</v>
      </c>
      <c r="Z7" s="85">
        <v>15</v>
      </c>
      <c r="AA7" s="85">
        <v>55</v>
      </c>
      <c r="AB7" s="79">
        <f t="shared" si="10"/>
        <v>0</v>
      </c>
      <c r="AC7" s="79">
        <f t="shared" si="2"/>
        <v>0</v>
      </c>
      <c r="AD7" s="90">
        <f t="shared" si="11"/>
        <v>0</v>
      </c>
      <c r="AE7" s="90">
        <f t="shared" si="3"/>
        <v>0</v>
      </c>
      <c r="AF7" s="90">
        <f t="shared" si="4"/>
        <v>0</v>
      </c>
      <c r="AG7" s="90">
        <f t="shared" si="5"/>
        <v>0</v>
      </c>
      <c r="AH7" s="90">
        <f t="shared" si="6"/>
        <v>0</v>
      </c>
      <c r="AI7" s="90">
        <f t="shared" si="7"/>
        <v>0</v>
      </c>
      <c r="AJ7" s="79" t="str">
        <f t="shared" si="12"/>
        <v>地狱</v>
      </c>
      <c r="AK7" s="79" t="str">
        <f t="shared" si="8"/>
        <v>红单</v>
      </c>
    </row>
    <row r="8" ht="34" customHeight="1" spans="1:37">
      <c r="A8" s="62">
        <f ca="1" t="shared" si="0"/>
        <v>45989</v>
      </c>
      <c r="B8" s="62"/>
      <c r="C8" s="63"/>
      <c r="D8" s="63"/>
      <c r="E8" s="63"/>
      <c r="F8" s="63"/>
      <c r="G8" s="63">
        <f>SUMIF('Manage FBA Inventory(EU)'!A:A,D:D,'Manage FBA Inventory(EU)'!K:K)</f>
        <v>0</v>
      </c>
      <c r="H8" s="63">
        <f>SUMIF('Manage FBA Inventory(EU)'!A:A,D:D,'Manage FBA Inventory(EU)'!Q:Q)</f>
        <v>0</v>
      </c>
      <c r="I8" s="63">
        <f>SUMIF('Manage FBA Inventory(EU)'!A:A,D:D,'Manage FBA Inventory(EU)'!R:R)</f>
        <v>0</v>
      </c>
      <c r="J8" s="63">
        <f>SUMIF('Manage FBA Inventory(EU)'!A:A,D:D,'Manage FBA Inventory(EU)'!P:P)</f>
        <v>0</v>
      </c>
      <c r="K8" s="63"/>
      <c r="L8" s="75">
        <f>SUMIF(本地仓库存!D:D,B:B,本地仓库存!H:H)</f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f>SUMIF(过去3天!N:N,D:D,过去3天!P:P)/3</f>
        <v>0</v>
      </c>
      <c r="S8" s="79">
        <f>SUMIF(过去7天!N:N,D:D,过去7天!P:P)/7</f>
        <v>0</v>
      </c>
      <c r="T8" s="79">
        <f>SUMIF(过去14天!N:N,D:D,过去14天!P:P)/14</f>
        <v>0</v>
      </c>
      <c r="U8" s="85">
        <f>SUMIF(过去30天!N:N,D:D,过去30天!P:P)/30</f>
        <v>0</v>
      </c>
      <c r="V8" s="85">
        <f t="shared" si="1"/>
        <v>0</v>
      </c>
      <c r="W8" s="85">
        <v>1</v>
      </c>
      <c r="X8" s="79">
        <f t="shared" si="9"/>
        <v>0</v>
      </c>
      <c r="Y8" s="75">
        <v>7</v>
      </c>
      <c r="Z8" s="85">
        <v>15</v>
      </c>
      <c r="AA8" s="85">
        <v>55</v>
      </c>
      <c r="AB8" s="79">
        <f t="shared" si="10"/>
        <v>0</v>
      </c>
      <c r="AC8" s="79">
        <f t="shared" si="2"/>
        <v>0</v>
      </c>
      <c r="AD8" s="90">
        <f t="shared" si="11"/>
        <v>0</v>
      </c>
      <c r="AE8" s="90">
        <f t="shared" si="3"/>
        <v>0</v>
      </c>
      <c r="AF8" s="90">
        <f t="shared" si="4"/>
        <v>0</v>
      </c>
      <c r="AG8" s="90">
        <f t="shared" si="5"/>
        <v>0</v>
      </c>
      <c r="AH8" s="90">
        <f t="shared" si="6"/>
        <v>0</v>
      </c>
      <c r="AI8" s="90">
        <f t="shared" si="7"/>
        <v>0</v>
      </c>
      <c r="AJ8" s="79" t="str">
        <f t="shared" si="12"/>
        <v>地狱</v>
      </c>
      <c r="AK8" s="79" t="str">
        <f t="shared" si="8"/>
        <v>红单</v>
      </c>
    </row>
    <row r="9" ht="34" customHeight="1" spans="1:37">
      <c r="A9" s="62">
        <f ca="1" t="shared" si="0"/>
        <v>45989</v>
      </c>
      <c r="B9" s="62"/>
      <c r="C9" s="63"/>
      <c r="D9" s="63"/>
      <c r="E9" s="63"/>
      <c r="F9" s="63"/>
      <c r="G9" s="63">
        <f>SUMIF('Manage FBA Inventory(EU)'!A:A,D:D,'Manage FBA Inventory(EU)'!K:K)</f>
        <v>0</v>
      </c>
      <c r="H9" s="63">
        <f>SUMIF('Manage FBA Inventory(EU)'!A:A,D:D,'Manage FBA Inventory(EU)'!Q:Q)</f>
        <v>0</v>
      </c>
      <c r="I9" s="63">
        <f>SUMIF('Manage FBA Inventory(EU)'!A:A,D:D,'Manage FBA Inventory(EU)'!R:R)</f>
        <v>0</v>
      </c>
      <c r="J9" s="63">
        <f>SUMIF('Manage FBA Inventory(EU)'!A:A,D:D,'Manage FBA Inventory(EU)'!P:P)</f>
        <v>0</v>
      </c>
      <c r="K9" s="63"/>
      <c r="L9" s="75">
        <f>SUMIF(本地仓库存!D:D,B:B,本地仓库存!H:H)</f>
        <v>0</v>
      </c>
      <c r="M9" s="63">
        <v>0</v>
      </c>
      <c r="N9" s="63">
        <v>480</v>
      </c>
      <c r="O9" s="63">
        <v>2160</v>
      </c>
      <c r="P9" s="63">
        <v>960</v>
      </c>
      <c r="Q9" s="63">
        <v>480</v>
      </c>
      <c r="R9" s="63">
        <f>SUMIF(过去3天!N:N,D:D,过去3天!P:P)/3</f>
        <v>0</v>
      </c>
      <c r="S9" s="79">
        <f>SUMIF(过去7天!N:N,D:D,过去7天!P:P)/7</f>
        <v>0</v>
      </c>
      <c r="T9" s="79">
        <f>SUMIF(过去14天!N:N,D:D,过去14天!P:P)/14</f>
        <v>0</v>
      </c>
      <c r="U9" s="85">
        <f>SUMIF(过去30天!N:N,D:D,过去30天!P:P)/30</f>
        <v>0</v>
      </c>
      <c r="V9" s="85">
        <f t="shared" si="1"/>
        <v>0</v>
      </c>
      <c r="W9" s="85">
        <v>1</v>
      </c>
      <c r="X9" s="79">
        <f t="shared" si="9"/>
        <v>0</v>
      </c>
      <c r="Y9" s="75">
        <v>7</v>
      </c>
      <c r="Z9" s="85">
        <v>15</v>
      </c>
      <c r="AA9" s="85">
        <v>20</v>
      </c>
      <c r="AB9" s="79">
        <f t="shared" si="10"/>
        <v>0</v>
      </c>
      <c r="AC9" s="79">
        <f t="shared" si="2"/>
        <v>0</v>
      </c>
      <c r="AD9" s="90">
        <f t="shared" si="11"/>
        <v>0</v>
      </c>
      <c r="AE9" s="90">
        <f t="shared" si="3"/>
        <v>0</v>
      </c>
      <c r="AF9" s="90">
        <f t="shared" si="4"/>
        <v>0</v>
      </c>
      <c r="AG9" s="90">
        <f t="shared" si="5"/>
        <v>0</v>
      </c>
      <c r="AH9" s="90">
        <f t="shared" si="6"/>
        <v>0</v>
      </c>
      <c r="AI9" s="90">
        <f t="shared" si="7"/>
        <v>0</v>
      </c>
      <c r="AJ9" s="79" t="str">
        <f t="shared" si="12"/>
        <v>地狱</v>
      </c>
      <c r="AK9" s="79" t="str">
        <f t="shared" si="8"/>
        <v>红单</v>
      </c>
    </row>
    <row r="10" ht="34" customHeight="1" spans="1:37">
      <c r="A10" s="62">
        <f ca="1" t="shared" si="0"/>
        <v>45989</v>
      </c>
      <c r="B10" s="62"/>
      <c r="C10" s="63"/>
      <c r="D10" s="63"/>
      <c r="E10" s="63"/>
      <c r="F10" s="2"/>
      <c r="G10" s="63">
        <f>SUMIF('Manage FBA Inventory(EU)'!A:A,D:D,'Manage FBA Inventory(EU)'!K:K)</f>
        <v>0</v>
      </c>
      <c r="H10" s="63">
        <f>SUMIF('Manage FBA Inventory(EU)'!A:A,D:D,'Manage FBA Inventory(EU)'!Q:Q)</f>
        <v>0</v>
      </c>
      <c r="I10" s="63">
        <f>SUMIF('Manage FBA Inventory(EU)'!A:A,D:D,'Manage FBA Inventory(EU)'!R:R)</f>
        <v>0</v>
      </c>
      <c r="J10" s="63">
        <f>SUMIF('Manage FBA Inventory(EU)'!A:A,D:D,'Manage FBA Inventory(EU)'!P:P)</f>
        <v>0</v>
      </c>
      <c r="K10" s="63"/>
      <c r="L10" s="75">
        <f>SUMIF(本地仓库存!D:D,B:B,本地仓库存!H:H)</f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f>SUMIF(过去3天!N:N,D:D,过去3天!P:P)/3</f>
        <v>0</v>
      </c>
      <c r="S10" s="79">
        <f>SUMIF(过去7天!N:N,D:D,过去7天!P:P)/7</f>
        <v>0</v>
      </c>
      <c r="T10" s="79">
        <f>SUMIF(过去14天!N:N,D:D,过去14天!P:P)/14</f>
        <v>0</v>
      </c>
      <c r="U10" s="85">
        <f>SUMIF(过去30天!N:N,D:D,过去30天!P:P)/30</f>
        <v>0</v>
      </c>
      <c r="V10" s="85">
        <f t="shared" si="1"/>
        <v>0</v>
      </c>
      <c r="W10" s="85">
        <v>1</v>
      </c>
      <c r="X10" s="79">
        <f t="shared" si="9"/>
        <v>0</v>
      </c>
      <c r="Y10" s="75">
        <v>7</v>
      </c>
      <c r="Z10" s="85">
        <v>15</v>
      </c>
      <c r="AA10" s="85">
        <v>55</v>
      </c>
      <c r="AB10" s="79">
        <f t="shared" si="10"/>
        <v>0</v>
      </c>
      <c r="AC10" s="79">
        <f t="shared" si="2"/>
        <v>0</v>
      </c>
      <c r="AD10" s="90">
        <f t="shared" si="11"/>
        <v>0</v>
      </c>
      <c r="AE10" s="90">
        <f t="shared" si="3"/>
        <v>0</v>
      </c>
      <c r="AF10" s="90">
        <f t="shared" si="4"/>
        <v>0</v>
      </c>
      <c r="AG10" s="90">
        <f t="shared" si="5"/>
        <v>0</v>
      </c>
      <c r="AH10" s="90">
        <f t="shared" si="6"/>
        <v>0</v>
      </c>
      <c r="AI10" s="90">
        <f t="shared" si="7"/>
        <v>0</v>
      </c>
      <c r="AJ10" s="79" t="str">
        <f t="shared" si="12"/>
        <v>地狱</v>
      </c>
      <c r="AK10" s="79" t="str">
        <f t="shared" si="8"/>
        <v>红单</v>
      </c>
    </row>
    <row r="11" ht="34" customHeight="1" spans="1:37">
      <c r="A11" s="62">
        <f ca="1" t="shared" si="0"/>
        <v>45989</v>
      </c>
      <c r="B11" s="62"/>
      <c r="C11" s="63"/>
      <c r="D11" s="63"/>
      <c r="E11" s="63"/>
      <c r="F11" s="63"/>
      <c r="G11" s="63">
        <f>SUMIF('Manage FBA Inventory(EU)'!A:A,D:D,'Manage FBA Inventory(EU)'!K:K)</f>
        <v>0</v>
      </c>
      <c r="H11" s="63">
        <f>SUMIF('Manage FBA Inventory(EU)'!A:A,D:D,'Manage FBA Inventory(EU)'!Q:Q)</f>
        <v>0</v>
      </c>
      <c r="I11" s="63">
        <f>SUMIF('Manage FBA Inventory(EU)'!A:A,D:D,'Manage FBA Inventory(EU)'!R:R)</f>
        <v>0</v>
      </c>
      <c r="J11" s="63">
        <f>SUMIF('Manage FBA Inventory(EU)'!A:A,D:D,'Manage FBA Inventory(EU)'!P:P)</f>
        <v>0</v>
      </c>
      <c r="K11" s="63"/>
      <c r="L11" s="75">
        <f>SUMIF(本地仓库存!D:D,B:B,本地仓库存!H:H)</f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f>SUMIF(过去3天!N:N,D:D,过去3天!P:P)/3</f>
        <v>0</v>
      </c>
      <c r="S11" s="79">
        <f>SUMIF(过去7天!N:N,D:D,过去7天!P:P)/7</f>
        <v>0</v>
      </c>
      <c r="T11" s="79">
        <f>SUMIF(过去14天!N:N,D:D,过去14天!P:P)/14</f>
        <v>0</v>
      </c>
      <c r="U11" s="85">
        <f>SUMIF(过去30天!N:N,D:D,过去30天!P:P)/30</f>
        <v>0</v>
      </c>
      <c r="V11" s="85">
        <f t="shared" si="1"/>
        <v>0</v>
      </c>
      <c r="W11" s="85">
        <v>1</v>
      </c>
      <c r="X11" s="79">
        <f t="shared" si="9"/>
        <v>0</v>
      </c>
      <c r="Y11" s="75">
        <v>7</v>
      </c>
      <c r="Z11" s="85">
        <v>15</v>
      </c>
      <c r="AA11" s="85">
        <v>55</v>
      </c>
      <c r="AB11" s="79">
        <f t="shared" si="10"/>
        <v>0</v>
      </c>
      <c r="AC11" s="79">
        <f t="shared" si="2"/>
        <v>0</v>
      </c>
      <c r="AD11" s="90">
        <f t="shared" si="11"/>
        <v>0</v>
      </c>
      <c r="AE11" s="90">
        <f t="shared" si="3"/>
        <v>0</v>
      </c>
      <c r="AF11" s="90">
        <f t="shared" si="4"/>
        <v>0</v>
      </c>
      <c r="AG11" s="90">
        <f t="shared" si="5"/>
        <v>0</v>
      </c>
      <c r="AH11" s="90">
        <f t="shared" si="6"/>
        <v>0</v>
      </c>
      <c r="AI11" s="90">
        <f t="shared" si="7"/>
        <v>0</v>
      </c>
      <c r="AJ11" s="79" t="str">
        <f t="shared" si="12"/>
        <v>地狱</v>
      </c>
      <c r="AK11" s="79" t="str">
        <f t="shared" si="8"/>
        <v>红单</v>
      </c>
    </row>
    <row r="12" ht="34" customHeight="1" spans="1:37">
      <c r="A12" s="62">
        <f ca="1" t="shared" si="0"/>
        <v>45989</v>
      </c>
      <c r="B12" s="62"/>
      <c r="C12" s="63"/>
      <c r="D12" s="63"/>
      <c r="E12" s="63"/>
      <c r="F12" s="63"/>
      <c r="G12" s="63">
        <f>SUMIF('Manage FBA Inventory(EU)'!A:A,D:D,'Manage FBA Inventory(EU)'!K:K)</f>
        <v>0</v>
      </c>
      <c r="H12" s="63">
        <f>SUMIF('Manage FBA Inventory(EU)'!A:A,D:D,'Manage FBA Inventory(EU)'!Q:Q)</f>
        <v>0</v>
      </c>
      <c r="I12" s="63">
        <f>SUMIF('Manage FBA Inventory(EU)'!A:A,D:D,'Manage FBA Inventory(EU)'!R:R)</f>
        <v>0</v>
      </c>
      <c r="J12" s="63">
        <f>SUMIF('Manage FBA Inventory(EU)'!A:A,D:D,'Manage FBA Inventory(EU)'!P:P)</f>
        <v>0</v>
      </c>
      <c r="K12" s="63"/>
      <c r="L12" s="75">
        <f>SUMIF(本地仓库存!D:D,B:B,本地仓库存!H:H)</f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f>SUMIF(过去3天!N:N,D:D,过去3天!P:P)/3</f>
        <v>0</v>
      </c>
      <c r="S12" s="79">
        <f>SUMIF(过去7天!N:N,D:D,过去7天!P:P)/7</f>
        <v>0</v>
      </c>
      <c r="T12" s="79">
        <f>SUMIF(过去14天!N:N,D:D,过去14天!P:P)/14</f>
        <v>0</v>
      </c>
      <c r="U12" s="85">
        <f>SUMIF(过去30天!N:N,D:D,过去30天!P:P)/30</f>
        <v>0</v>
      </c>
      <c r="V12" s="85">
        <f t="shared" si="1"/>
        <v>0</v>
      </c>
      <c r="W12" s="85">
        <v>1</v>
      </c>
      <c r="X12" s="79">
        <f t="shared" si="9"/>
        <v>0</v>
      </c>
      <c r="Y12" s="75">
        <v>7</v>
      </c>
      <c r="Z12" s="85">
        <v>15</v>
      </c>
      <c r="AA12" s="85">
        <v>55</v>
      </c>
      <c r="AB12" s="79">
        <f t="shared" si="10"/>
        <v>0</v>
      </c>
      <c r="AC12" s="79">
        <f t="shared" si="2"/>
        <v>0</v>
      </c>
      <c r="AD12" s="90">
        <f t="shared" si="11"/>
        <v>0</v>
      </c>
      <c r="AE12" s="90">
        <f t="shared" si="3"/>
        <v>0</v>
      </c>
      <c r="AF12" s="90">
        <f t="shared" si="4"/>
        <v>0</v>
      </c>
      <c r="AG12" s="90">
        <f t="shared" si="5"/>
        <v>0</v>
      </c>
      <c r="AH12" s="90">
        <f t="shared" si="6"/>
        <v>0</v>
      </c>
      <c r="AI12" s="90">
        <f t="shared" si="7"/>
        <v>0</v>
      </c>
      <c r="AJ12" s="79" t="str">
        <f t="shared" si="12"/>
        <v>地狱</v>
      </c>
      <c r="AK12" s="79" t="str">
        <f t="shared" si="8"/>
        <v>红单</v>
      </c>
    </row>
    <row r="13" ht="34" customHeight="1" spans="1:37">
      <c r="A13" s="62">
        <f ca="1" t="shared" si="0"/>
        <v>45989</v>
      </c>
      <c r="B13" s="62"/>
      <c r="C13" s="63"/>
      <c r="D13" s="63"/>
      <c r="E13" s="63"/>
      <c r="F13" s="63"/>
      <c r="G13" s="63">
        <f>SUMIF('Manage FBA Inventory(EU)'!A:A,D:D,'Manage FBA Inventory(EU)'!K:K)</f>
        <v>0</v>
      </c>
      <c r="H13" s="63">
        <f>SUMIF('Manage FBA Inventory(EU)'!A:A,D:D,'Manage FBA Inventory(EU)'!Q:Q)</f>
        <v>0</v>
      </c>
      <c r="I13" s="63">
        <f>SUMIF('Manage FBA Inventory(EU)'!A:A,D:D,'Manage FBA Inventory(EU)'!R:R)</f>
        <v>0</v>
      </c>
      <c r="J13" s="63">
        <f>SUMIF('Manage FBA Inventory(EU)'!A:A,D:D,'Manage FBA Inventory(EU)'!P:P)</f>
        <v>0</v>
      </c>
      <c r="K13" s="63"/>
      <c r="L13" s="75">
        <f>SUMIF(本地仓库存!D:D,B:B,本地仓库存!H:H)</f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f>SUMIF(过去3天!N:N,D:D,过去3天!P:P)/3</f>
        <v>0</v>
      </c>
      <c r="S13" s="79">
        <f>SUMIF(过去7天!N:N,D:D,过去7天!P:P)/7</f>
        <v>0</v>
      </c>
      <c r="T13" s="79">
        <f>SUMIF(过去14天!N:N,D:D,过去14天!P:P)/14</f>
        <v>0</v>
      </c>
      <c r="U13" s="85">
        <f>SUMIF(过去30天!N:N,D:D,过去30天!P:P)/30</f>
        <v>0</v>
      </c>
      <c r="V13" s="85">
        <f t="shared" si="1"/>
        <v>0</v>
      </c>
      <c r="W13" s="85">
        <v>1</v>
      </c>
      <c r="X13" s="79">
        <f t="shared" si="9"/>
        <v>0</v>
      </c>
      <c r="Y13" s="75">
        <v>7</v>
      </c>
      <c r="Z13" s="85">
        <v>15</v>
      </c>
      <c r="AA13" s="85">
        <v>55</v>
      </c>
      <c r="AB13" s="79">
        <f t="shared" si="10"/>
        <v>0</v>
      </c>
      <c r="AC13" s="79">
        <f t="shared" si="2"/>
        <v>0</v>
      </c>
      <c r="AD13" s="90">
        <f t="shared" si="11"/>
        <v>0</v>
      </c>
      <c r="AE13" s="90">
        <f t="shared" si="3"/>
        <v>0</v>
      </c>
      <c r="AF13" s="90">
        <f t="shared" si="4"/>
        <v>0</v>
      </c>
      <c r="AG13" s="90">
        <f t="shared" si="5"/>
        <v>0</v>
      </c>
      <c r="AH13" s="90">
        <f t="shared" si="6"/>
        <v>0</v>
      </c>
      <c r="AI13" s="90">
        <f t="shared" si="7"/>
        <v>0</v>
      </c>
      <c r="AJ13" s="79" t="str">
        <f t="shared" si="12"/>
        <v>地狱</v>
      </c>
      <c r="AK13" s="79" t="str">
        <f t="shared" si="8"/>
        <v>红单</v>
      </c>
    </row>
    <row r="14" ht="34" customHeight="1" spans="1:37">
      <c r="A14" s="66">
        <f ca="1" t="shared" si="0"/>
        <v>45989</v>
      </c>
      <c r="B14" s="66"/>
      <c r="C14" s="67"/>
      <c r="D14" s="67"/>
      <c r="E14" s="67"/>
      <c r="F14" s="72"/>
      <c r="G14" s="67">
        <f>SUMIF('Manage FBA Inventory(EU)'!A:A,D:D,'Manage FBA Inventory(EU)'!K:K)</f>
        <v>0</v>
      </c>
      <c r="H14" s="67">
        <f>SUMIF('Manage FBA Inventory(EU)'!A:A,D:D,'Manage FBA Inventory(EU)'!Q:Q)</f>
        <v>0</v>
      </c>
      <c r="I14" s="67">
        <f>SUMIF('Manage FBA Inventory(EU)'!A:A,D:D,'Manage FBA Inventory(EU)'!R:R)</f>
        <v>0</v>
      </c>
      <c r="J14" s="67">
        <f>SUMIF('Manage FBA Inventory(EU)'!A:A,D:D,'Manage FBA Inventory(EU)'!P:P)</f>
        <v>0</v>
      </c>
      <c r="K14" s="67"/>
      <c r="L14" s="76">
        <f>SUMIF(本地仓库存!D:D,B:B,本地仓库存!H:H)</f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67">
        <f>SUMIF(过去3天!N:N,D:D,过去3天!P:P)/3</f>
        <v>0</v>
      </c>
      <c r="S14" s="81">
        <f>SUMIF(过去7天!N:N,D:D,过去7天!P:P)/7</f>
        <v>0</v>
      </c>
      <c r="T14" s="81">
        <f>SUMIF(过去14天!N:N,D:D,过去14天!P:P)/14</f>
        <v>0</v>
      </c>
      <c r="U14" s="87">
        <f>SUMIF(过去30天!N:N,D:D,过去30天!P:P)/30</f>
        <v>0</v>
      </c>
      <c r="V14" s="87">
        <f t="shared" si="1"/>
        <v>0</v>
      </c>
      <c r="W14" s="87">
        <v>1</v>
      </c>
      <c r="X14" s="80">
        <f t="shared" si="9"/>
        <v>0</v>
      </c>
      <c r="Y14" s="77">
        <v>7</v>
      </c>
      <c r="Z14" s="87">
        <v>15</v>
      </c>
      <c r="AA14" s="87">
        <v>55</v>
      </c>
      <c r="AB14" s="80">
        <f t="shared" si="10"/>
        <v>0</v>
      </c>
      <c r="AC14" s="80">
        <f t="shared" si="2"/>
        <v>0</v>
      </c>
      <c r="AD14" s="80">
        <f t="shared" si="11"/>
        <v>0</v>
      </c>
      <c r="AE14" s="80">
        <f t="shared" si="3"/>
        <v>0</v>
      </c>
      <c r="AF14" s="80">
        <f t="shared" si="4"/>
        <v>0</v>
      </c>
      <c r="AG14" s="80">
        <f t="shared" si="5"/>
        <v>0</v>
      </c>
      <c r="AH14" s="80">
        <f t="shared" si="6"/>
        <v>0</v>
      </c>
      <c r="AI14" s="80">
        <f t="shared" si="7"/>
        <v>0</v>
      </c>
      <c r="AJ14" s="79" t="str">
        <f t="shared" si="12"/>
        <v>地狱</v>
      </c>
      <c r="AK14" s="79" t="str">
        <f t="shared" si="8"/>
        <v>红单</v>
      </c>
    </row>
    <row r="15" ht="34" customHeight="1" spans="1:37">
      <c r="A15" s="62">
        <f ca="1" t="shared" si="0"/>
        <v>45989</v>
      </c>
      <c r="B15" s="62"/>
      <c r="C15" s="63"/>
      <c r="D15" s="63"/>
      <c r="E15" s="63"/>
      <c r="F15" s="63"/>
      <c r="G15" s="63">
        <f>SUMIF('Manage FBA Inventory(EU)'!A:A,D:D,'Manage FBA Inventory(EU)'!K:K)</f>
        <v>0</v>
      </c>
      <c r="H15" s="63">
        <f>SUMIF('Manage FBA Inventory(EU)'!A:A,D:D,'Manage FBA Inventory(EU)'!Q:Q)</f>
        <v>0</v>
      </c>
      <c r="I15" s="63">
        <f>SUMIF('Manage FBA Inventory(EU)'!A:A,D:D,'Manage FBA Inventory(EU)'!R:R)</f>
        <v>0</v>
      </c>
      <c r="J15" s="63">
        <f>SUMIF('Manage FBA Inventory(EU)'!A:A,D:D,'Manage FBA Inventory(EU)'!P:P)</f>
        <v>0</v>
      </c>
      <c r="K15" s="63"/>
      <c r="L15" s="75">
        <f>SUMIF(本地仓库存!D:D,B:B,本地仓库存!H:H)</f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f>SUMIF(过去3天!N:N,D:D,过去3天!P:P)/3</f>
        <v>0</v>
      </c>
      <c r="S15" s="79">
        <f>SUMIF(过去7天!N:N,D:D,过去7天!P:P)/7</f>
        <v>0</v>
      </c>
      <c r="T15" s="79">
        <f>SUMIF(过去14天!N:N,D:D,过去14天!P:P)/14</f>
        <v>0</v>
      </c>
      <c r="U15" s="85">
        <f>SUMIF(过去30天!N:N,D:D,过去30天!P:P)/30</f>
        <v>0</v>
      </c>
      <c r="V15" s="85">
        <f t="shared" si="1"/>
        <v>0</v>
      </c>
      <c r="W15" s="85">
        <v>1</v>
      </c>
      <c r="X15" s="79">
        <f t="shared" si="9"/>
        <v>0</v>
      </c>
      <c r="Y15" s="75">
        <v>7</v>
      </c>
      <c r="Z15" s="85">
        <v>15</v>
      </c>
      <c r="AA15" s="85">
        <v>55</v>
      </c>
      <c r="AB15" s="79">
        <f t="shared" si="10"/>
        <v>0</v>
      </c>
      <c r="AC15" s="79">
        <f t="shared" si="2"/>
        <v>0</v>
      </c>
      <c r="AD15" s="90">
        <f t="shared" si="11"/>
        <v>0</v>
      </c>
      <c r="AE15" s="90">
        <f t="shared" si="3"/>
        <v>0</v>
      </c>
      <c r="AF15" s="90">
        <f t="shared" si="4"/>
        <v>0</v>
      </c>
      <c r="AG15" s="90">
        <f t="shared" si="5"/>
        <v>0</v>
      </c>
      <c r="AH15" s="90">
        <f t="shared" si="6"/>
        <v>0</v>
      </c>
      <c r="AI15" s="90">
        <f t="shared" si="7"/>
        <v>0</v>
      </c>
      <c r="AJ15" s="79" t="str">
        <f t="shared" si="12"/>
        <v>地狱</v>
      </c>
      <c r="AK15" s="79" t="str">
        <f t="shared" si="8"/>
        <v>红单</v>
      </c>
    </row>
    <row r="16" ht="34" customHeight="1" spans="1:37">
      <c r="A16" s="66">
        <f ca="1" t="shared" si="0"/>
        <v>45989</v>
      </c>
      <c r="B16" s="66"/>
      <c r="C16" s="67"/>
      <c r="D16" s="67"/>
      <c r="E16" s="67"/>
      <c r="F16" s="73"/>
      <c r="G16" s="67">
        <f>SUMIF('Manage FBA Inventory(EU)'!A:A,D:D,'Manage FBA Inventory(EU)'!K:K)</f>
        <v>0</v>
      </c>
      <c r="H16" s="67">
        <f>SUMIF('Manage FBA Inventory(EU)'!A:A,D:D,'Manage FBA Inventory(EU)'!Q:Q)</f>
        <v>0</v>
      </c>
      <c r="I16" s="67">
        <f>SUMIF('Manage FBA Inventory(EU)'!A:A,D:D,'Manage FBA Inventory(EU)'!R:R)</f>
        <v>0</v>
      </c>
      <c r="J16" s="67">
        <f>SUMIF('Manage FBA Inventory(EU)'!A:A,D:D,'Manage FBA Inventory(EU)'!P:P)</f>
        <v>0</v>
      </c>
      <c r="K16" s="67"/>
      <c r="L16" s="76">
        <f>SUMIF(本地仓库存!D:D,B:B,本地仓库存!H:H)</f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67">
        <f>SUMIF(过去3天!N:N,D:D,过去3天!P:P)/3</f>
        <v>0</v>
      </c>
      <c r="S16" s="81">
        <f>SUMIF(过去7天!N:N,D:D,过去7天!P:P)/7</f>
        <v>0</v>
      </c>
      <c r="T16" s="81">
        <f>SUMIF(过去14天!N:N,D:D,过去14天!P:P)/14</f>
        <v>0</v>
      </c>
      <c r="U16" s="87">
        <f>SUMIF(过去30天!N:N,D:D,过去30天!P:P)/30</f>
        <v>0</v>
      </c>
      <c r="V16" s="87">
        <f t="shared" si="1"/>
        <v>0</v>
      </c>
      <c r="W16" s="87">
        <v>1</v>
      </c>
      <c r="X16" s="80">
        <f t="shared" si="9"/>
        <v>0</v>
      </c>
      <c r="Y16" s="77">
        <v>7</v>
      </c>
      <c r="Z16" s="87">
        <v>15</v>
      </c>
      <c r="AA16" s="87">
        <v>55</v>
      </c>
      <c r="AB16" s="80">
        <f t="shared" si="10"/>
        <v>0</v>
      </c>
      <c r="AC16" s="80">
        <f t="shared" si="2"/>
        <v>0</v>
      </c>
      <c r="AD16" s="80">
        <f t="shared" si="11"/>
        <v>0</v>
      </c>
      <c r="AE16" s="80">
        <f t="shared" si="3"/>
        <v>0</v>
      </c>
      <c r="AF16" s="80">
        <f t="shared" si="4"/>
        <v>0</v>
      </c>
      <c r="AG16" s="80">
        <f t="shared" si="5"/>
        <v>0</v>
      </c>
      <c r="AH16" s="80">
        <f t="shared" si="6"/>
        <v>0</v>
      </c>
      <c r="AI16" s="80">
        <f t="shared" si="7"/>
        <v>0</v>
      </c>
      <c r="AJ16" s="79" t="str">
        <f>_xlfn.IFS(AB16&gt;=80,"安全",AB16&lt;5,"地狱",AB16&lt;=10,"极度危险",AB16&lt;=35,"十分危险",AB16&gt;=60,"相对安全")</f>
        <v>地狱</v>
      </c>
      <c r="AK16" s="79" t="str">
        <f t="shared" si="8"/>
        <v>红单</v>
      </c>
    </row>
    <row r="17" ht="34" customHeight="1" spans="1:37">
      <c r="A17" s="62">
        <f ca="1" t="shared" si="0"/>
        <v>45989</v>
      </c>
      <c r="B17" s="62"/>
      <c r="C17" s="63"/>
      <c r="D17" s="63"/>
      <c r="E17" s="63"/>
      <c r="F17" s="63"/>
      <c r="G17" s="63">
        <f>SUMIF('Manage FBA Inventory(EU)'!A:A,D:D,'Manage FBA Inventory(EU)'!K:K)</f>
        <v>0</v>
      </c>
      <c r="H17" s="63">
        <f>SUMIF('Manage FBA Inventory(EU)'!A:A,D:D,'Manage FBA Inventory(EU)'!Q:Q)</f>
        <v>0</v>
      </c>
      <c r="I17" s="63">
        <f>SUMIF('Manage FBA Inventory(EU)'!A:A,D:D,'Manage FBA Inventory(EU)'!R:R)</f>
        <v>0</v>
      </c>
      <c r="J17" s="63">
        <f>SUMIF('Manage FBA Inventory(EU)'!A:A,D:D,'Manage FBA Inventory(EU)'!P:P)</f>
        <v>0</v>
      </c>
      <c r="K17" s="63"/>
      <c r="L17" s="75">
        <f>SUMIF(本地仓库存!D:D,B:B,本地仓库存!H:H)</f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f>SUMIF(过去3天!N:N,D:D,过去3天!P:P)/3</f>
        <v>0</v>
      </c>
      <c r="S17" s="79">
        <f>SUMIF(过去7天!N:N,D:D,过去7天!P:P)/7</f>
        <v>0</v>
      </c>
      <c r="T17" s="79">
        <f>SUMIF(过去14天!N:N,D:D,过去14天!P:P)/14</f>
        <v>0</v>
      </c>
      <c r="U17" s="85">
        <f>SUMIF(过去30天!N:N,D:D,过去30天!P:P)/30</f>
        <v>0</v>
      </c>
      <c r="V17" s="85">
        <f t="shared" si="1"/>
        <v>0</v>
      </c>
      <c r="W17" s="85">
        <v>1</v>
      </c>
      <c r="X17" s="79">
        <f t="shared" si="9"/>
        <v>0</v>
      </c>
      <c r="Y17" s="75">
        <v>7</v>
      </c>
      <c r="Z17" s="85">
        <v>15</v>
      </c>
      <c r="AA17" s="85">
        <v>55</v>
      </c>
      <c r="AB17" s="79">
        <f t="shared" si="10"/>
        <v>0</v>
      </c>
      <c r="AC17" s="79">
        <f t="shared" si="2"/>
        <v>0</v>
      </c>
      <c r="AD17" s="90">
        <f t="shared" si="11"/>
        <v>0</v>
      </c>
      <c r="AE17" s="90">
        <f t="shared" si="3"/>
        <v>0</v>
      </c>
      <c r="AF17" s="90">
        <f t="shared" si="4"/>
        <v>0</v>
      </c>
      <c r="AG17" s="90">
        <f t="shared" si="5"/>
        <v>0</v>
      </c>
      <c r="AH17" s="90">
        <f t="shared" si="6"/>
        <v>0</v>
      </c>
      <c r="AI17" s="90">
        <f t="shared" si="7"/>
        <v>0</v>
      </c>
      <c r="AJ17" s="79" t="str">
        <f t="shared" ref="AJ17:AJ44" si="13">_xlfn.IFS(AB17&gt;=80,"安全",AB17&lt;5,"地狱",AB17&lt;=10,"极度危险",AB17&lt;=30,"十分危险",AB17&gt;=60,"相对安全")</f>
        <v>地狱</v>
      </c>
      <c r="AK17" s="79" t="str">
        <f t="shared" si="8"/>
        <v>红单</v>
      </c>
    </row>
    <row r="18" ht="34" customHeight="1" spans="1:37">
      <c r="A18" s="66">
        <f ca="1" t="shared" si="0"/>
        <v>45989</v>
      </c>
      <c r="B18" s="66"/>
      <c r="C18" s="67"/>
      <c r="D18" s="67"/>
      <c r="E18" s="67"/>
      <c r="F18" s="67"/>
      <c r="G18" s="67">
        <f>SUMIF('Manage FBA Inventory(EU)'!A:A,D:D,'Manage FBA Inventory(EU)'!K:K)</f>
        <v>0</v>
      </c>
      <c r="H18" s="67">
        <f>SUMIF('Manage FBA Inventory(EU)'!A:A,D:D,'Manage FBA Inventory(EU)'!Q:Q)</f>
        <v>0</v>
      </c>
      <c r="I18" s="67">
        <f>SUMIF('Manage FBA Inventory(EU)'!A:A,D:D,'Manage FBA Inventory(EU)'!R:R)</f>
        <v>0</v>
      </c>
      <c r="J18" s="67">
        <f>SUMIF('Manage FBA Inventory(EU)'!A:A,D:D,'Manage FBA Inventory(EU)'!P:P)</f>
        <v>0</v>
      </c>
      <c r="K18" s="67"/>
      <c r="L18" s="76">
        <f>SUMIF(本地仓库存!D:D,B:B,本地仓库存!H:H)</f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67">
        <f>SUMIF(过去3天!N:N,D:D,过去3天!P:P)/3</f>
        <v>0</v>
      </c>
      <c r="S18" s="81">
        <f>SUMIF(过去7天!N:N,D:D,过去7天!P:P)/7</f>
        <v>0</v>
      </c>
      <c r="T18" s="81">
        <f>SUMIF(过去14天!N:N,D:D,过去14天!P:P)/14</f>
        <v>0</v>
      </c>
      <c r="U18" s="87">
        <f>SUMIF(过去30天!N:N,D:D,过去30天!P:P)/30</f>
        <v>0</v>
      </c>
      <c r="V18" s="87">
        <f t="shared" si="1"/>
        <v>0</v>
      </c>
      <c r="W18" s="87">
        <v>1</v>
      </c>
      <c r="X18" s="80">
        <f t="shared" si="9"/>
        <v>0</v>
      </c>
      <c r="Y18" s="77">
        <v>7</v>
      </c>
      <c r="Z18" s="87">
        <v>15</v>
      </c>
      <c r="AA18" s="87">
        <v>55</v>
      </c>
      <c r="AB18" s="80">
        <f t="shared" si="10"/>
        <v>0</v>
      </c>
      <c r="AC18" s="80">
        <f t="shared" si="2"/>
        <v>0</v>
      </c>
      <c r="AD18" s="80">
        <f t="shared" si="11"/>
        <v>0</v>
      </c>
      <c r="AE18" s="80">
        <f t="shared" si="3"/>
        <v>0</v>
      </c>
      <c r="AF18" s="80">
        <f t="shared" si="4"/>
        <v>0</v>
      </c>
      <c r="AG18" s="80">
        <f t="shared" si="5"/>
        <v>0</v>
      </c>
      <c r="AH18" s="80">
        <f t="shared" si="6"/>
        <v>0</v>
      </c>
      <c r="AI18" s="80">
        <f t="shared" si="7"/>
        <v>0</v>
      </c>
      <c r="AJ18" s="79" t="str">
        <f t="shared" si="13"/>
        <v>地狱</v>
      </c>
      <c r="AK18" s="79" t="str">
        <f t="shared" si="8"/>
        <v>红单</v>
      </c>
    </row>
    <row r="19" ht="34" customHeight="1" spans="1:37">
      <c r="A19" s="66">
        <f ca="1" t="shared" si="0"/>
        <v>45989</v>
      </c>
      <c r="B19" s="66"/>
      <c r="C19" s="67"/>
      <c r="D19" s="67"/>
      <c r="E19" s="67"/>
      <c r="F19" s="72"/>
      <c r="G19" s="67">
        <f>SUMIF('Manage FBA Inventory(EU)'!A:A,D:D,'Manage FBA Inventory(EU)'!K:K)</f>
        <v>0</v>
      </c>
      <c r="H19" s="67">
        <f>SUMIF('Manage FBA Inventory(EU)'!A:A,D:D,'Manage FBA Inventory(EU)'!Q:Q)</f>
        <v>0</v>
      </c>
      <c r="I19" s="67">
        <f>SUMIF('Manage FBA Inventory(EU)'!A:A,D:D,'Manage FBA Inventory(EU)'!R:R)</f>
        <v>0</v>
      </c>
      <c r="J19" s="67">
        <f>SUMIF('Manage FBA Inventory(EU)'!A:A,D:D,'Manage FBA Inventory(EU)'!P:P)</f>
        <v>0</v>
      </c>
      <c r="K19" s="67"/>
      <c r="L19" s="76">
        <f>SUMIF(本地仓库存!D:D,B:B,本地仓库存!H:H)</f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67">
        <f>SUMIF(过去3天!N:N,D:D,过去3天!P:P)/3</f>
        <v>0</v>
      </c>
      <c r="S19" s="81">
        <f>SUMIF(过去7天!N:N,D:D,过去7天!P:P)/7</f>
        <v>0</v>
      </c>
      <c r="T19" s="81">
        <f>SUMIF(过去14天!N:N,D:D,过去14天!P:P)/14</f>
        <v>0</v>
      </c>
      <c r="U19" s="87">
        <f>SUMIF(过去30天!N:N,D:D,过去30天!P:P)/30</f>
        <v>0</v>
      </c>
      <c r="V19" s="87">
        <f t="shared" si="1"/>
        <v>0</v>
      </c>
      <c r="W19" s="87">
        <v>1</v>
      </c>
      <c r="X19" s="80">
        <f t="shared" si="9"/>
        <v>0</v>
      </c>
      <c r="Y19" s="77">
        <v>7</v>
      </c>
      <c r="Z19" s="87">
        <v>15</v>
      </c>
      <c r="AA19" s="87">
        <v>55</v>
      </c>
      <c r="AB19" s="80">
        <f t="shared" si="10"/>
        <v>0</v>
      </c>
      <c r="AC19" s="80">
        <f t="shared" si="2"/>
        <v>0</v>
      </c>
      <c r="AD19" s="80">
        <f t="shared" si="11"/>
        <v>0</v>
      </c>
      <c r="AE19" s="80">
        <f t="shared" si="3"/>
        <v>0</v>
      </c>
      <c r="AF19" s="80">
        <f t="shared" si="4"/>
        <v>0</v>
      </c>
      <c r="AG19" s="80">
        <f t="shared" si="5"/>
        <v>0</v>
      </c>
      <c r="AH19" s="80">
        <f t="shared" si="6"/>
        <v>0</v>
      </c>
      <c r="AI19" s="80">
        <f t="shared" si="7"/>
        <v>0</v>
      </c>
      <c r="AJ19" s="79" t="str">
        <f t="shared" si="13"/>
        <v>地狱</v>
      </c>
      <c r="AK19" s="79" t="str">
        <f t="shared" si="8"/>
        <v>红单</v>
      </c>
    </row>
    <row r="20" ht="34" customHeight="1" spans="1:37">
      <c r="A20" s="62">
        <f ca="1" t="shared" si="0"/>
        <v>45989</v>
      </c>
      <c r="B20" s="62"/>
      <c r="C20" s="63"/>
      <c r="D20" s="63"/>
      <c r="E20" s="63"/>
      <c r="F20" s="2"/>
      <c r="G20" s="63">
        <f>SUMIF('Manage FBA Inventory(EU)'!A:A,D:D,'Manage FBA Inventory(EU)'!K:K)</f>
        <v>0</v>
      </c>
      <c r="H20" s="63">
        <f>SUMIF('Manage FBA Inventory(EU)'!A:A,D:D,'Manage FBA Inventory(EU)'!Q:Q)</f>
        <v>0</v>
      </c>
      <c r="I20" s="63">
        <f>SUMIF('Manage FBA Inventory(EU)'!A:A,D:D,'Manage FBA Inventory(EU)'!R:R)</f>
        <v>0</v>
      </c>
      <c r="J20" s="63">
        <f>SUMIF('Manage FBA Inventory(EU)'!A:A,D:D,'Manage FBA Inventory(EU)'!P:P)</f>
        <v>0</v>
      </c>
      <c r="K20" s="63"/>
      <c r="L20" s="75">
        <f>SUMIF(本地仓库存!D:D,B:B,本地仓库存!H:H)</f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f>SUMIF(过去3天!N:N,D:D,过去3天!P:P)/3</f>
        <v>0</v>
      </c>
      <c r="S20" s="79">
        <f>SUMIF(过去7天!N:N,D:D,过去7天!P:P)/7</f>
        <v>0</v>
      </c>
      <c r="T20" s="79">
        <f>SUMIF(过去14天!N:N,D:D,过去14天!P:P)/14</f>
        <v>0</v>
      </c>
      <c r="U20" s="85">
        <f>SUMIF(过去30天!N:N,D:D,过去30天!P:P)/30</f>
        <v>0</v>
      </c>
      <c r="V20" s="85">
        <f t="shared" si="1"/>
        <v>0</v>
      </c>
      <c r="W20" s="85">
        <v>1</v>
      </c>
      <c r="X20" s="79">
        <f t="shared" si="9"/>
        <v>0</v>
      </c>
      <c r="Y20" s="75">
        <v>7</v>
      </c>
      <c r="Z20" s="85">
        <v>15</v>
      </c>
      <c r="AA20" s="85">
        <v>20</v>
      </c>
      <c r="AB20" s="79">
        <f t="shared" si="10"/>
        <v>0</v>
      </c>
      <c r="AC20" s="79">
        <f t="shared" si="2"/>
        <v>0</v>
      </c>
      <c r="AD20" s="90">
        <f t="shared" si="11"/>
        <v>0</v>
      </c>
      <c r="AE20" s="90">
        <f t="shared" si="3"/>
        <v>0</v>
      </c>
      <c r="AF20" s="90">
        <f t="shared" si="4"/>
        <v>0</v>
      </c>
      <c r="AG20" s="90">
        <f t="shared" si="5"/>
        <v>0</v>
      </c>
      <c r="AH20" s="90">
        <f t="shared" si="6"/>
        <v>0</v>
      </c>
      <c r="AI20" s="90">
        <f t="shared" si="7"/>
        <v>0</v>
      </c>
      <c r="AJ20" s="79" t="str">
        <f t="shared" si="13"/>
        <v>地狱</v>
      </c>
      <c r="AK20" s="79" t="str">
        <f t="shared" si="8"/>
        <v>红单</v>
      </c>
    </row>
    <row r="21" ht="34" customHeight="1" spans="1:37">
      <c r="A21" s="62">
        <f ca="1" t="shared" si="0"/>
        <v>45989</v>
      </c>
      <c r="B21" s="62"/>
      <c r="C21" s="63"/>
      <c r="D21" s="63"/>
      <c r="E21" s="63"/>
      <c r="F21" s="63"/>
      <c r="G21" s="63">
        <f>SUMIF('Manage FBA Inventory(EU)'!A:A,D:D,'Manage FBA Inventory(EU)'!K:K)</f>
        <v>0</v>
      </c>
      <c r="H21" s="63">
        <f>SUMIF('Manage FBA Inventory(EU)'!A:A,D:D,'Manage FBA Inventory(EU)'!Q:Q)</f>
        <v>0</v>
      </c>
      <c r="I21" s="63">
        <f>SUMIF('Manage FBA Inventory(EU)'!A:A,D:D,'Manage FBA Inventory(EU)'!R:R)</f>
        <v>0</v>
      </c>
      <c r="J21" s="63">
        <f>SUMIF('Manage FBA Inventory(EU)'!A:A,D:D,'Manage FBA Inventory(EU)'!P:P)</f>
        <v>0</v>
      </c>
      <c r="K21" s="63"/>
      <c r="L21" s="75">
        <f>SUMIF(本地仓库存!D:D,B:B,本地仓库存!H:H)</f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f>SUMIF(过去3天!N:N,D:D,过去3天!P:P)/3</f>
        <v>0</v>
      </c>
      <c r="S21" s="79">
        <f>SUMIF(过去7天!N:N,D:D,过去7天!P:P)/7</f>
        <v>0</v>
      </c>
      <c r="T21" s="79">
        <f>SUMIF(过去14天!N:N,D:D,过去14天!P:P)/14</f>
        <v>0</v>
      </c>
      <c r="U21" s="85">
        <f>SUMIF(过去30天!N:N,D:D,过去30天!P:P)/30</f>
        <v>0</v>
      </c>
      <c r="V21" s="85">
        <f t="shared" si="1"/>
        <v>0</v>
      </c>
      <c r="W21" s="85">
        <v>1</v>
      </c>
      <c r="X21" s="79">
        <f t="shared" si="9"/>
        <v>0</v>
      </c>
      <c r="Y21" s="75">
        <v>7</v>
      </c>
      <c r="Z21" s="85">
        <v>15</v>
      </c>
      <c r="AA21" s="85">
        <v>55</v>
      </c>
      <c r="AB21" s="79">
        <f t="shared" si="10"/>
        <v>0</v>
      </c>
      <c r="AC21" s="79">
        <f t="shared" si="2"/>
        <v>0</v>
      </c>
      <c r="AD21" s="90">
        <f t="shared" si="11"/>
        <v>0</v>
      </c>
      <c r="AE21" s="90">
        <f t="shared" si="3"/>
        <v>0</v>
      </c>
      <c r="AF21" s="90">
        <f t="shared" si="4"/>
        <v>0</v>
      </c>
      <c r="AG21" s="90">
        <f t="shared" si="5"/>
        <v>0</v>
      </c>
      <c r="AH21" s="90">
        <f t="shared" si="6"/>
        <v>0</v>
      </c>
      <c r="AI21" s="90">
        <f t="shared" si="7"/>
        <v>0</v>
      </c>
      <c r="AJ21" s="79" t="str">
        <f t="shared" si="13"/>
        <v>地狱</v>
      </c>
      <c r="AK21" s="79" t="str">
        <f t="shared" si="8"/>
        <v>红单</v>
      </c>
    </row>
    <row r="22" ht="34" customHeight="1" spans="1:37">
      <c r="A22" s="62">
        <f ca="1" t="shared" si="0"/>
        <v>45989</v>
      </c>
      <c r="B22" s="62"/>
      <c r="C22" s="63"/>
      <c r="D22" s="63"/>
      <c r="E22" s="63"/>
      <c r="F22" s="63"/>
      <c r="G22" s="63">
        <f>SUMIF('Manage FBA Inventory(EU)'!A:A,D:D,'Manage FBA Inventory(EU)'!K:K)</f>
        <v>0</v>
      </c>
      <c r="H22" s="63">
        <f>SUMIF('Manage FBA Inventory(EU)'!A:A,D:D,'Manage FBA Inventory(EU)'!Q:Q)</f>
        <v>0</v>
      </c>
      <c r="I22" s="63">
        <f>SUMIF('Manage FBA Inventory(EU)'!A:A,D:D,'Manage FBA Inventory(EU)'!R:R)</f>
        <v>0</v>
      </c>
      <c r="J22" s="63">
        <f>SUMIF('Manage FBA Inventory(EU)'!A:A,D:D,'Manage FBA Inventory(EU)'!P:P)</f>
        <v>0</v>
      </c>
      <c r="K22" s="63"/>
      <c r="L22" s="75">
        <f>SUMIF(本地仓库存!D:D,B:B,本地仓库存!H:H)</f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f>SUMIF(过去3天!N:N,D:D,过去3天!P:P)/3</f>
        <v>0</v>
      </c>
      <c r="S22" s="79">
        <f>SUMIF(过去7天!N:N,D:D,过去7天!P:P)/7</f>
        <v>0</v>
      </c>
      <c r="T22" s="79">
        <f>SUMIF(过去14天!N:N,D:D,过去14天!P:P)/14</f>
        <v>0</v>
      </c>
      <c r="U22" s="85">
        <f>SUMIF(过去30天!N:N,D:D,过去30天!P:P)/30</f>
        <v>0</v>
      </c>
      <c r="V22" s="85">
        <f t="shared" si="1"/>
        <v>0</v>
      </c>
      <c r="W22" s="85">
        <v>1</v>
      </c>
      <c r="X22" s="79">
        <f t="shared" si="9"/>
        <v>0</v>
      </c>
      <c r="Y22" s="75">
        <v>7</v>
      </c>
      <c r="Z22" s="85">
        <v>15</v>
      </c>
      <c r="AA22" s="85">
        <v>55</v>
      </c>
      <c r="AB22" s="79">
        <f t="shared" si="10"/>
        <v>0</v>
      </c>
      <c r="AC22" s="79">
        <f t="shared" si="2"/>
        <v>0</v>
      </c>
      <c r="AD22" s="90">
        <f t="shared" si="11"/>
        <v>0</v>
      </c>
      <c r="AE22" s="90">
        <f t="shared" si="3"/>
        <v>0</v>
      </c>
      <c r="AF22" s="90">
        <f t="shared" si="4"/>
        <v>0</v>
      </c>
      <c r="AG22" s="90">
        <f t="shared" si="5"/>
        <v>0</v>
      </c>
      <c r="AH22" s="90">
        <f t="shared" si="6"/>
        <v>0</v>
      </c>
      <c r="AI22" s="90">
        <f t="shared" si="7"/>
        <v>0</v>
      </c>
      <c r="AJ22" s="79" t="str">
        <f t="shared" si="13"/>
        <v>地狱</v>
      </c>
      <c r="AK22" s="79" t="str">
        <f t="shared" si="8"/>
        <v>红单</v>
      </c>
    </row>
    <row r="23" ht="34" customHeight="1" spans="1:37">
      <c r="A23" s="62">
        <f ca="1" t="shared" si="0"/>
        <v>45989</v>
      </c>
      <c r="B23" s="62"/>
      <c r="C23" s="63"/>
      <c r="D23" s="63"/>
      <c r="E23" s="63"/>
      <c r="F23" s="20"/>
      <c r="G23" s="63">
        <f>SUMIF('Manage FBA Inventory(EU)'!A:A,D:D,'Manage FBA Inventory(EU)'!K:K)</f>
        <v>0</v>
      </c>
      <c r="H23" s="63">
        <f>SUMIF('Manage FBA Inventory(EU)'!A:A,D:D,'Manage FBA Inventory(EU)'!Q:Q)</f>
        <v>0</v>
      </c>
      <c r="I23" s="63">
        <f>SUMIF('Manage FBA Inventory(EU)'!A:A,D:D,'Manage FBA Inventory(EU)'!R:R)</f>
        <v>0</v>
      </c>
      <c r="J23" s="63">
        <f>SUMIF('Manage FBA Inventory(EU)'!A:A,D:D,'Manage FBA Inventory(EU)'!P:P)</f>
        <v>0</v>
      </c>
      <c r="K23" s="63"/>
      <c r="L23" s="75">
        <f>SUMIF(本地仓库存!D:D,B:B,本地仓库存!H:H)</f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f>SUMIF(过去3天!N:N,D:D,过去3天!P:P)/3</f>
        <v>0</v>
      </c>
      <c r="S23" s="79">
        <f>SUMIF(过去7天!N:N,D:D,过去7天!P:P)/7</f>
        <v>0</v>
      </c>
      <c r="T23" s="79">
        <f>SUMIF(过去14天!N:N,D:D,过去14天!P:P)/14</f>
        <v>0</v>
      </c>
      <c r="U23" s="85">
        <f>SUMIF(过去30天!N:N,D:D,过去30天!P:P)/30</f>
        <v>0</v>
      </c>
      <c r="V23" s="85">
        <f t="shared" si="1"/>
        <v>0</v>
      </c>
      <c r="W23" s="85">
        <v>1</v>
      </c>
      <c r="X23" s="79">
        <f t="shared" si="9"/>
        <v>0</v>
      </c>
      <c r="Y23" s="75">
        <v>7</v>
      </c>
      <c r="Z23" s="85">
        <v>15</v>
      </c>
      <c r="AA23" s="85">
        <v>55</v>
      </c>
      <c r="AB23" s="79">
        <f t="shared" si="10"/>
        <v>0</v>
      </c>
      <c r="AC23" s="79">
        <f t="shared" si="2"/>
        <v>0</v>
      </c>
      <c r="AD23" s="90">
        <f t="shared" si="11"/>
        <v>0</v>
      </c>
      <c r="AE23" s="90">
        <f t="shared" si="3"/>
        <v>0</v>
      </c>
      <c r="AF23" s="90">
        <f t="shared" si="4"/>
        <v>0</v>
      </c>
      <c r="AG23" s="90">
        <f t="shared" si="5"/>
        <v>0</v>
      </c>
      <c r="AH23" s="90">
        <f t="shared" si="6"/>
        <v>0</v>
      </c>
      <c r="AI23" s="90">
        <f t="shared" si="7"/>
        <v>0</v>
      </c>
      <c r="AJ23" s="79" t="str">
        <f t="shared" si="13"/>
        <v>地狱</v>
      </c>
      <c r="AK23" s="79" t="str">
        <f t="shared" si="8"/>
        <v>红单</v>
      </c>
    </row>
    <row r="24" ht="34" customHeight="1" spans="1:37">
      <c r="A24" s="66">
        <f ca="1" t="shared" si="0"/>
        <v>45989</v>
      </c>
      <c r="B24" s="66"/>
      <c r="C24" s="67"/>
      <c r="D24" s="67"/>
      <c r="E24" s="67"/>
      <c r="F24" s="67"/>
      <c r="G24" s="67">
        <f>SUMIF('Manage FBA Inventory(EU)'!A:A,D:D,'Manage FBA Inventory(EU)'!K:K)</f>
        <v>0</v>
      </c>
      <c r="H24" s="67">
        <f>SUMIF('Manage FBA Inventory(EU)'!A:A,D:D,'Manage FBA Inventory(EU)'!Q:Q)</f>
        <v>0</v>
      </c>
      <c r="I24" s="67">
        <f>SUMIF('Manage FBA Inventory(EU)'!A:A,D:D,'Manage FBA Inventory(EU)'!R:R)</f>
        <v>0</v>
      </c>
      <c r="J24" s="67">
        <f>SUMIF('Manage FBA Inventory(EU)'!A:A,D:D,'Manage FBA Inventory(EU)'!P:P)</f>
        <v>0</v>
      </c>
      <c r="K24" s="67"/>
      <c r="L24" s="76">
        <f>SUMIF(本地仓库存!D:D,B:B,本地仓库存!H:H)</f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67">
        <f>SUMIF(过去3天!N:N,D:D,过去3天!P:P)/3</f>
        <v>0</v>
      </c>
      <c r="S24" s="81">
        <f>SUMIF(过去7天!N:N,D:D,过去7天!P:P)/7</f>
        <v>0</v>
      </c>
      <c r="T24" s="81">
        <f>SUMIF(过去14天!N:N,D:D,过去14天!P:P)/14</f>
        <v>0</v>
      </c>
      <c r="U24" s="87">
        <f>SUMIF(过去30天!N:N,D:D,过去30天!P:P)/30</f>
        <v>0</v>
      </c>
      <c r="V24" s="87">
        <f t="shared" si="1"/>
        <v>0</v>
      </c>
      <c r="W24" s="87">
        <v>1</v>
      </c>
      <c r="X24" s="80">
        <f t="shared" si="9"/>
        <v>0</v>
      </c>
      <c r="Y24" s="77">
        <v>7</v>
      </c>
      <c r="Z24" s="87">
        <v>15</v>
      </c>
      <c r="AA24" s="87">
        <v>55</v>
      </c>
      <c r="AB24" s="80">
        <f t="shared" si="10"/>
        <v>0</v>
      </c>
      <c r="AC24" s="80">
        <f t="shared" si="2"/>
        <v>0</v>
      </c>
      <c r="AD24" s="80">
        <f t="shared" si="11"/>
        <v>0</v>
      </c>
      <c r="AE24" s="80">
        <f t="shared" si="3"/>
        <v>0</v>
      </c>
      <c r="AF24" s="80">
        <f t="shared" si="4"/>
        <v>0</v>
      </c>
      <c r="AG24" s="80">
        <f t="shared" si="5"/>
        <v>0</v>
      </c>
      <c r="AH24" s="80">
        <f t="shared" si="6"/>
        <v>0</v>
      </c>
      <c r="AI24" s="80">
        <f t="shared" si="7"/>
        <v>0</v>
      </c>
      <c r="AJ24" s="79" t="str">
        <f t="shared" si="13"/>
        <v>地狱</v>
      </c>
      <c r="AK24" s="79" t="str">
        <f t="shared" si="8"/>
        <v>红单</v>
      </c>
    </row>
    <row r="25" ht="33" customHeight="1" spans="1:37">
      <c r="A25" s="66">
        <f ca="1" t="shared" si="0"/>
        <v>45989</v>
      </c>
      <c r="B25" s="66"/>
      <c r="C25" s="67"/>
      <c r="D25" s="67"/>
      <c r="E25" s="67"/>
      <c r="F25" s="73"/>
      <c r="G25" s="67">
        <f>SUMIF('Manage FBA Inventory(EU)'!A:A,D:D,'Manage FBA Inventory(EU)'!K:K)</f>
        <v>0</v>
      </c>
      <c r="H25" s="67">
        <f>SUMIF('Manage FBA Inventory(EU)'!A:A,D:D,'Manage FBA Inventory(EU)'!Q:Q)</f>
        <v>0</v>
      </c>
      <c r="I25" s="67">
        <f>SUMIF('Manage FBA Inventory(EU)'!A:A,D:D,'Manage FBA Inventory(EU)'!R:R)</f>
        <v>0</v>
      </c>
      <c r="J25" s="67">
        <f>SUMIF('Manage FBA Inventory(EU)'!A:A,D:D,'Manage FBA Inventory(EU)'!P:P)</f>
        <v>0</v>
      </c>
      <c r="K25" s="67"/>
      <c r="L25" s="76">
        <f>SUMIF(本地仓库存!D:D,B:B,本地仓库存!H:H)</f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67">
        <f>SUMIF(过去3天!N:N,D:D,过去3天!P:P)/3</f>
        <v>0</v>
      </c>
      <c r="S25" s="81">
        <f>SUMIF(过去7天!N:N,D:D,过去7天!P:P)/7</f>
        <v>0</v>
      </c>
      <c r="T25" s="81">
        <f>SUMIF(过去14天!N:N,D:D,过去14天!P:P)/14</f>
        <v>0</v>
      </c>
      <c r="U25" s="87">
        <f>SUMIF(过去30天!N:N,D:D,过去30天!P:P)/30</f>
        <v>0</v>
      </c>
      <c r="V25" s="87">
        <f t="shared" si="1"/>
        <v>0</v>
      </c>
      <c r="W25" s="87">
        <v>1</v>
      </c>
      <c r="X25" s="80">
        <f t="shared" si="9"/>
        <v>0</v>
      </c>
      <c r="Y25" s="77">
        <v>7</v>
      </c>
      <c r="Z25" s="87">
        <v>15</v>
      </c>
      <c r="AA25" s="87">
        <v>55</v>
      </c>
      <c r="AB25" s="80">
        <f t="shared" si="10"/>
        <v>0</v>
      </c>
      <c r="AC25" s="80">
        <f t="shared" si="2"/>
        <v>0</v>
      </c>
      <c r="AD25" s="80">
        <f t="shared" si="11"/>
        <v>0</v>
      </c>
      <c r="AE25" s="80">
        <f t="shared" si="3"/>
        <v>0</v>
      </c>
      <c r="AF25" s="80">
        <f t="shared" si="4"/>
        <v>0</v>
      </c>
      <c r="AG25" s="80">
        <f t="shared" si="5"/>
        <v>0</v>
      </c>
      <c r="AH25" s="80">
        <f t="shared" si="6"/>
        <v>0</v>
      </c>
      <c r="AI25" s="80">
        <f t="shared" si="7"/>
        <v>0</v>
      </c>
      <c r="AJ25" s="79" t="str">
        <f t="shared" si="13"/>
        <v>地狱</v>
      </c>
      <c r="AK25" s="79" t="str">
        <f t="shared" si="8"/>
        <v>红单</v>
      </c>
    </row>
    <row r="26" ht="33" customHeight="1" spans="1:37">
      <c r="A26" s="62">
        <f ca="1" t="shared" si="0"/>
        <v>45989</v>
      </c>
      <c r="B26" s="62"/>
      <c r="C26" s="63"/>
      <c r="D26" s="63"/>
      <c r="E26" s="63"/>
      <c r="F26" s="20"/>
      <c r="G26" s="63">
        <f>SUMIF('Manage FBA Inventory(EU)'!A:A,D:D,'Manage FBA Inventory(EU)'!K:K)</f>
        <v>0</v>
      </c>
      <c r="H26" s="63">
        <f>SUMIF('Manage FBA Inventory(EU)'!A:A,D:D,'Manage FBA Inventory(EU)'!Q:Q)</f>
        <v>0</v>
      </c>
      <c r="I26" s="63">
        <f>SUMIF('Manage FBA Inventory(EU)'!A:A,D:D,'Manage FBA Inventory(EU)'!R:R)</f>
        <v>0</v>
      </c>
      <c r="J26" s="63">
        <f>SUMIF('Manage FBA Inventory(EU)'!A:A,D:D,'Manage FBA Inventory(EU)'!P:P)</f>
        <v>0</v>
      </c>
      <c r="K26" s="63"/>
      <c r="L26" s="75">
        <f>SUMIF(本地仓库存!D:D,B:B,本地仓库存!H:H)</f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f>SUMIF(过去3天!N:N,D:D,过去3天!P:P)/3</f>
        <v>0</v>
      </c>
      <c r="S26" s="79">
        <f>SUMIF(过去7天!N:N,D:D,过去7天!P:P)/7</f>
        <v>0</v>
      </c>
      <c r="T26" s="79">
        <f>SUMIF(过去14天!N:N,D:D,过去14天!P:P)/14</f>
        <v>0</v>
      </c>
      <c r="U26" s="85">
        <f>SUMIF(过去30天!N:N,D:D,过去30天!P:P)/30</f>
        <v>0</v>
      </c>
      <c r="V26" s="85">
        <f t="shared" si="1"/>
        <v>0</v>
      </c>
      <c r="W26" s="85">
        <v>1</v>
      </c>
      <c r="X26" s="79">
        <f t="shared" si="9"/>
        <v>0</v>
      </c>
      <c r="Y26" s="75">
        <v>7</v>
      </c>
      <c r="Z26" s="85">
        <v>15</v>
      </c>
      <c r="AA26" s="85">
        <v>55</v>
      </c>
      <c r="AB26" s="79">
        <f t="shared" si="10"/>
        <v>0</v>
      </c>
      <c r="AC26" s="79">
        <f t="shared" si="2"/>
        <v>0</v>
      </c>
      <c r="AD26" s="90">
        <f t="shared" si="11"/>
        <v>0</v>
      </c>
      <c r="AE26" s="90">
        <f t="shared" si="3"/>
        <v>0</v>
      </c>
      <c r="AF26" s="90">
        <f t="shared" si="4"/>
        <v>0</v>
      </c>
      <c r="AG26" s="90">
        <f t="shared" si="5"/>
        <v>0</v>
      </c>
      <c r="AH26" s="90">
        <f t="shared" si="6"/>
        <v>0</v>
      </c>
      <c r="AI26" s="90">
        <f t="shared" si="7"/>
        <v>0</v>
      </c>
      <c r="AJ26" s="79" t="str">
        <f t="shared" si="13"/>
        <v>地狱</v>
      </c>
      <c r="AK26" s="79" t="str">
        <f t="shared" si="8"/>
        <v>红单</v>
      </c>
    </row>
    <row r="27" ht="33" customHeight="1" spans="1:37">
      <c r="A27" s="66">
        <f ca="1" t="shared" si="0"/>
        <v>45989</v>
      </c>
      <c r="B27" s="66"/>
      <c r="C27" s="67"/>
      <c r="D27" s="67"/>
      <c r="E27" s="67"/>
      <c r="F27" s="67"/>
      <c r="G27" s="67">
        <f>SUMIF('Manage FBA Inventory(EU)'!A:A,D:D,'Manage FBA Inventory(EU)'!K:K)</f>
        <v>0</v>
      </c>
      <c r="H27" s="67">
        <f>SUMIF('Manage FBA Inventory(EU)'!A:A,D:D,'Manage FBA Inventory(EU)'!Q:Q)</f>
        <v>0</v>
      </c>
      <c r="I27" s="67">
        <f>SUMIF('Manage FBA Inventory(EU)'!A:A,D:D,'Manage FBA Inventory(EU)'!R:R)</f>
        <v>0</v>
      </c>
      <c r="J27" s="67">
        <f>SUMIF('Manage FBA Inventory(EU)'!A:A,D:D,'Manage FBA Inventory(EU)'!P:P)</f>
        <v>0</v>
      </c>
      <c r="K27" s="67"/>
      <c r="L27" s="76">
        <f>SUMIF(本地仓库存!D:D,B:B,本地仓库存!H:H)</f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67">
        <f>SUMIF(过去3天!N:N,D:D,过去3天!P:P)/3</f>
        <v>0</v>
      </c>
      <c r="S27" s="81">
        <f>SUMIF(过去7天!N:N,D:D,过去7天!P:P)/7</f>
        <v>0</v>
      </c>
      <c r="T27" s="81">
        <f>SUMIF(过去14天!N:N,D:D,过去14天!P:P)/14</f>
        <v>0</v>
      </c>
      <c r="U27" s="87">
        <f>SUMIF(过去30天!N:N,D:D,过去30天!P:P)/30</f>
        <v>0</v>
      </c>
      <c r="V27" s="87">
        <f t="shared" si="1"/>
        <v>0</v>
      </c>
      <c r="W27" s="87">
        <v>1</v>
      </c>
      <c r="X27" s="80">
        <f t="shared" si="9"/>
        <v>0</v>
      </c>
      <c r="Y27" s="77">
        <v>7</v>
      </c>
      <c r="Z27" s="87">
        <v>15</v>
      </c>
      <c r="AA27" s="87">
        <v>55</v>
      </c>
      <c r="AB27" s="80">
        <f t="shared" si="10"/>
        <v>0</v>
      </c>
      <c r="AC27" s="80">
        <f t="shared" si="2"/>
        <v>0</v>
      </c>
      <c r="AD27" s="80">
        <f t="shared" si="11"/>
        <v>0</v>
      </c>
      <c r="AE27" s="80">
        <f t="shared" si="3"/>
        <v>0</v>
      </c>
      <c r="AF27" s="80">
        <f t="shared" si="4"/>
        <v>0</v>
      </c>
      <c r="AG27" s="80">
        <f t="shared" si="5"/>
        <v>0</v>
      </c>
      <c r="AH27" s="80">
        <f t="shared" si="6"/>
        <v>0</v>
      </c>
      <c r="AI27" s="80">
        <f t="shared" si="7"/>
        <v>0</v>
      </c>
      <c r="AJ27" s="79" t="str">
        <f t="shared" si="13"/>
        <v>地狱</v>
      </c>
      <c r="AK27" s="79" t="str">
        <f t="shared" si="8"/>
        <v>红单</v>
      </c>
    </row>
    <row r="28" ht="33" customHeight="1" spans="1:37">
      <c r="A28" s="66">
        <f ca="1" t="shared" si="0"/>
        <v>45989</v>
      </c>
      <c r="B28" s="66"/>
      <c r="C28" s="67"/>
      <c r="D28" s="67"/>
      <c r="E28" s="67"/>
      <c r="F28" s="67"/>
      <c r="G28" s="67">
        <f>SUMIF('Manage FBA Inventory(EU)'!A:A,D:D,'Manage FBA Inventory(EU)'!K:K)</f>
        <v>0</v>
      </c>
      <c r="H28" s="67">
        <f>SUMIF('Manage FBA Inventory(EU)'!A:A,D:D,'Manage FBA Inventory(EU)'!Q:Q)</f>
        <v>0</v>
      </c>
      <c r="I28" s="67">
        <f>SUMIF('Manage FBA Inventory(EU)'!A:A,D:D,'Manage FBA Inventory(EU)'!R:R)</f>
        <v>0</v>
      </c>
      <c r="J28" s="67">
        <f>SUMIF('Manage FBA Inventory(EU)'!A:A,D:D,'Manage FBA Inventory(EU)'!P:P)</f>
        <v>0</v>
      </c>
      <c r="K28" s="67"/>
      <c r="L28" s="76">
        <f>SUMIF(本地仓库存!D:D,B:B,本地仓库存!H:H)</f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67">
        <f>SUMIF(过去3天!N:N,D:D,过去3天!P:P)/3</f>
        <v>0</v>
      </c>
      <c r="S28" s="81">
        <f>SUMIF(过去7天!N:N,D:D,过去7天!P:P)/7</f>
        <v>0</v>
      </c>
      <c r="T28" s="81">
        <f>SUMIF(过去14天!N:N,D:D,过去14天!P:P)/14</f>
        <v>0</v>
      </c>
      <c r="U28" s="87">
        <f>SUMIF(过去30天!N:N,D:D,过去30天!P:P)/30</f>
        <v>0</v>
      </c>
      <c r="V28" s="87">
        <f t="shared" si="1"/>
        <v>0</v>
      </c>
      <c r="W28" s="87">
        <v>1</v>
      </c>
      <c r="X28" s="80">
        <f t="shared" si="9"/>
        <v>0</v>
      </c>
      <c r="Y28" s="77">
        <v>7</v>
      </c>
      <c r="Z28" s="87">
        <v>15</v>
      </c>
      <c r="AA28" s="87">
        <v>55</v>
      </c>
      <c r="AB28" s="80">
        <f t="shared" si="10"/>
        <v>0</v>
      </c>
      <c r="AC28" s="80">
        <f t="shared" si="2"/>
        <v>0</v>
      </c>
      <c r="AD28" s="80">
        <f t="shared" si="11"/>
        <v>0</v>
      </c>
      <c r="AE28" s="80">
        <f t="shared" si="3"/>
        <v>0</v>
      </c>
      <c r="AF28" s="80">
        <f t="shared" si="4"/>
        <v>0</v>
      </c>
      <c r="AG28" s="80">
        <f t="shared" si="5"/>
        <v>0</v>
      </c>
      <c r="AH28" s="80">
        <f t="shared" si="6"/>
        <v>0</v>
      </c>
      <c r="AI28" s="80">
        <f t="shared" si="7"/>
        <v>0</v>
      </c>
      <c r="AJ28" s="79" t="str">
        <f t="shared" si="13"/>
        <v>地狱</v>
      </c>
      <c r="AK28" s="79" t="str">
        <f t="shared" si="8"/>
        <v>红单</v>
      </c>
    </row>
    <row r="29" ht="33" customHeight="1" spans="1:37">
      <c r="A29" s="66">
        <f ca="1" t="shared" si="0"/>
        <v>45989</v>
      </c>
      <c r="B29" s="66"/>
      <c r="C29" s="67"/>
      <c r="D29" s="67"/>
      <c r="E29" s="67"/>
      <c r="F29" s="67"/>
      <c r="G29" s="67">
        <f>SUMIF('Manage FBA Inventory(EU)'!A:A,D:D,'Manage FBA Inventory(EU)'!K:K)</f>
        <v>0</v>
      </c>
      <c r="H29" s="67">
        <f>SUMIF('Manage FBA Inventory(EU)'!A:A,D:D,'Manage FBA Inventory(EU)'!Q:Q)</f>
        <v>0</v>
      </c>
      <c r="I29" s="67">
        <f>SUMIF('Manage FBA Inventory(EU)'!A:A,D:D,'Manage FBA Inventory(EU)'!R:R)</f>
        <v>0</v>
      </c>
      <c r="J29" s="67">
        <f>SUMIF('Manage FBA Inventory(EU)'!A:A,D:D,'Manage FBA Inventory(EU)'!P:P)</f>
        <v>0</v>
      </c>
      <c r="K29" s="67"/>
      <c r="L29" s="76">
        <f>SUMIF(本地仓库存!D:D,B:B,本地仓库存!H:H)</f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67">
        <f>SUMIF(过去3天!N:N,D:D,过去3天!P:P)/3</f>
        <v>0</v>
      </c>
      <c r="S29" s="81">
        <f>SUMIF(过去7天!N:N,D:D,过去7天!P:P)/7</f>
        <v>0</v>
      </c>
      <c r="T29" s="81">
        <f>SUMIF(过去14天!N:N,D:D,过去14天!P:P)/14</f>
        <v>0</v>
      </c>
      <c r="U29" s="87">
        <f>SUMIF(过去30天!N:N,D:D,过去30天!P:P)/30</f>
        <v>0</v>
      </c>
      <c r="V29" s="87">
        <f t="shared" si="1"/>
        <v>0</v>
      </c>
      <c r="W29" s="87">
        <v>1</v>
      </c>
      <c r="X29" s="80">
        <f t="shared" si="9"/>
        <v>0</v>
      </c>
      <c r="Y29" s="77">
        <v>7</v>
      </c>
      <c r="Z29" s="87">
        <v>15</v>
      </c>
      <c r="AA29" s="87">
        <v>55</v>
      </c>
      <c r="AB29" s="80">
        <f t="shared" si="10"/>
        <v>0</v>
      </c>
      <c r="AC29" s="80">
        <f t="shared" si="2"/>
        <v>0</v>
      </c>
      <c r="AD29" s="80">
        <f t="shared" si="11"/>
        <v>0</v>
      </c>
      <c r="AE29" s="80">
        <f t="shared" si="3"/>
        <v>0</v>
      </c>
      <c r="AF29" s="80">
        <f t="shared" si="4"/>
        <v>0</v>
      </c>
      <c r="AG29" s="80">
        <f t="shared" si="5"/>
        <v>0</v>
      </c>
      <c r="AH29" s="80">
        <f t="shared" si="6"/>
        <v>0</v>
      </c>
      <c r="AI29" s="80">
        <f t="shared" si="7"/>
        <v>0</v>
      </c>
      <c r="AJ29" s="79" t="str">
        <f t="shared" si="13"/>
        <v>地狱</v>
      </c>
      <c r="AK29" s="79" t="str">
        <f t="shared" si="8"/>
        <v>红单</v>
      </c>
    </row>
    <row r="30" ht="33" customHeight="1" spans="1:37">
      <c r="A30" s="62">
        <f ca="1" t="shared" si="0"/>
        <v>45989</v>
      </c>
      <c r="B30" s="62"/>
      <c r="C30" s="63"/>
      <c r="D30" s="63"/>
      <c r="E30" s="63"/>
      <c r="F30" s="63"/>
      <c r="G30" s="63">
        <f>SUMIF('Manage FBA Inventory(EU)'!A:A,D:D,'Manage FBA Inventory(EU)'!K:K)</f>
        <v>0</v>
      </c>
      <c r="H30" s="63">
        <f>SUMIF('Manage FBA Inventory(EU)'!A:A,D:D,'Manage FBA Inventory(EU)'!Q:Q)</f>
        <v>0</v>
      </c>
      <c r="I30" s="63">
        <f>SUMIF('Manage FBA Inventory(EU)'!A:A,D:D,'Manage FBA Inventory(EU)'!R:R)</f>
        <v>0</v>
      </c>
      <c r="J30" s="63">
        <f>SUMIF('Manage FBA Inventory(EU)'!A:A,D:D,'Manage FBA Inventory(EU)'!P:P)</f>
        <v>0</v>
      </c>
      <c r="K30" s="63"/>
      <c r="L30" s="75">
        <f>SUMIF(本地仓库存!D:D,B:B,本地仓库存!H:H)</f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f>SUMIF(过去3天!N:N,D:D,过去3天!P:P)/3</f>
        <v>0</v>
      </c>
      <c r="S30" s="79">
        <f>SUMIF(过去7天!N:N,D:D,过去7天!P:P)/7</f>
        <v>0</v>
      </c>
      <c r="T30" s="79">
        <f>SUMIF(过去14天!N:N,D:D,过去14天!P:P)/14</f>
        <v>0</v>
      </c>
      <c r="U30" s="85">
        <f>SUMIF(过去30天!N:N,D:D,过去30天!P:P)/30</f>
        <v>0</v>
      </c>
      <c r="V30" s="85">
        <f t="shared" si="1"/>
        <v>0</v>
      </c>
      <c r="W30" s="85">
        <v>1</v>
      </c>
      <c r="X30" s="79">
        <f t="shared" si="9"/>
        <v>0</v>
      </c>
      <c r="Y30" s="75">
        <v>7</v>
      </c>
      <c r="Z30" s="85">
        <v>15</v>
      </c>
      <c r="AA30" s="85">
        <v>55</v>
      </c>
      <c r="AB30" s="79">
        <f t="shared" si="10"/>
        <v>0</v>
      </c>
      <c r="AC30" s="79">
        <f t="shared" si="2"/>
        <v>0</v>
      </c>
      <c r="AD30" s="90">
        <f t="shared" si="11"/>
        <v>0</v>
      </c>
      <c r="AE30" s="90">
        <f t="shared" si="3"/>
        <v>0</v>
      </c>
      <c r="AF30" s="90">
        <f t="shared" si="4"/>
        <v>0</v>
      </c>
      <c r="AG30" s="90">
        <f t="shared" si="5"/>
        <v>0</v>
      </c>
      <c r="AH30" s="90">
        <f t="shared" si="6"/>
        <v>0</v>
      </c>
      <c r="AI30" s="90">
        <f t="shared" si="7"/>
        <v>0</v>
      </c>
      <c r="AJ30" s="79" t="str">
        <f t="shared" si="13"/>
        <v>地狱</v>
      </c>
      <c r="AK30" s="79" t="str">
        <f t="shared" si="8"/>
        <v>红单</v>
      </c>
    </row>
    <row r="31" ht="33" customHeight="1" spans="1:37">
      <c r="A31" s="66">
        <f ca="1" t="shared" si="0"/>
        <v>45989</v>
      </c>
      <c r="B31" s="66"/>
      <c r="C31" s="67"/>
      <c r="D31" s="67"/>
      <c r="E31" s="67"/>
      <c r="F31" s="67"/>
      <c r="G31" s="67">
        <f>SUMIF('Manage FBA Inventory(EU)'!A:A,D:D,'Manage FBA Inventory(EU)'!K:K)</f>
        <v>0</v>
      </c>
      <c r="H31" s="67">
        <f>SUMIF('Manage FBA Inventory(EU)'!A:A,D:D,'Manage FBA Inventory(EU)'!Q:Q)</f>
        <v>0</v>
      </c>
      <c r="I31" s="67">
        <f>SUMIF('Manage FBA Inventory(EU)'!A:A,D:D,'Manage FBA Inventory(EU)'!R:R)</f>
        <v>0</v>
      </c>
      <c r="J31" s="67">
        <f>SUMIF('Manage FBA Inventory(EU)'!A:A,D:D,'Manage FBA Inventory(EU)'!P:P)</f>
        <v>0</v>
      </c>
      <c r="K31" s="67"/>
      <c r="L31" s="76">
        <f>SUMIF(本地仓库存!D:D,B:B,本地仓库存!H:H)</f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  <c r="R31" s="67">
        <f>SUMIF(过去3天!N:N,D:D,过去3天!P:P)/3</f>
        <v>0</v>
      </c>
      <c r="S31" s="81">
        <f>SUMIF(过去7天!N:N,D:D,过去7天!P:P)/7</f>
        <v>0</v>
      </c>
      <c r="T31" s="81">
        <f>SUMIF(过去14天!N:N,D:D,过去14天!P:P)/14</f>
        <v>0</v>
      </c>
      <c r="U31" s="87">
        <f>SUMIF(过去30天!N:N,D:D,过去30天!P:P)/30</f>
        <v>0</v>
      </c>
      <c r="V31" s="87">
        <f t="shared" si="1"/>
        <v>0</v>
      </c>
      <c r="W31" s="87">
        <v>1</v>
      </c>
      <c r="X31" s="80">
        <f t="shared" si="9"/>
        <v>0</v>
      </c>
      <c r="Y31" s="77">
        <v>7</v>
      </c>
      <c r="Z31" s="87">
        <v>15</v>
      </c>
      <c r="AA31" s="87">
        <v>55</v>
      </c>
      <c r="AB31" s="80">
        <f t="shared" si="10"/>
        <v>0</v>
      </c>
      <c r="AC31" s="80">
        <f t="shared" si="2"/>
        <v>0</v>
      </c>
      <c r="AD31" s="80">
        <f t="shared" si="11"/>
        <v>0</v>
      </c>
      <c r="AE31" s="80">
        <f t="shared" si="3"/>
        <v>0</v>
      </c>
      <c r="AF31" s="80">
        <f t="shared" si="4"/>
        <v>0</v>
      </c>
      <c r="AG31" s="80">
        <f t="shared" si="5"/>
        <v>0</v>
      </c>
      <c r="AH31" s="80">
        <f t="shared" si="6"/>
        <v>0</v>
      </c>
      <c r="AI31" s="80">
        <f t="shared" si="7"/>
        <v>0</v>
      </c>
      <c r="AJ31" s="79" t="str">
        <f t="shared" si="13"/>
        <v>地狱</v>
      </c>
      <c r="AK31" s="79" t="str">
        <f t="shared" si="8"/>
        <v>红单</v>
      </c>
    </row>
    <row r="32" ht="33" customHeight="1" spans="1:37">
      <c r="A32" s="66">
        <f ca="1" t="shared" si="0"/>
        <v>45989</v>
      </c>
      <c r="B32" s="66"/>
      <c r="C32" s="67"/>
      <c r="D32" s="67"/>
      <c r="E32" s="67"/>
      <c r="F32" s="67"/>
      <c r="G32" s="67">
        <f>SUMIF('Manage FBA Inventory(EU)'!A:A,D:D,'Manage FBA Inventory(EU)'!K:K)</f>
        <v>0</v>
      </c>
      <c r="H32" s="67">
        <f>SUMIF('Manage FBA Inventory(EU)'!A:A,D:D,'Manage FBA Inventory(EU)'!Q:Q)</f>
        <v>0</v>
      </c>
      <c r="I32" s="67">
        <f>SUMIF('Manage FBA Inventory(EU)'!A:A,D:D,'Manage FBA Inventory(EU)'!R:R)</f>
        <v>0</v>
      </c>
      <c r="J32" s="67">
        <f>SUMIF('Manage FBA Inventory(EU)'!A:A,D:D,'Manage FBA Inventory(EU)'!P:P)</f>
        <v>0</v>
      </c>
      <c r="K32" s="67"/>
      <c r="L32" s="76">
        <f>SUMIF(本地仓库存!D:D,B:B,本地仓库存!H:H)</f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67">
        <f>SUMIF(过去3天!N:N,D:D,过去3天!P:P)/3</f>
        <v>0</v>
      </c>
      <c r="S32" s="81">
        <f>SUMIF(过去7天!N:N,D:D,过去7天!P:P)/7</f>
        <v>0</v>
      </c>
      <c r="T32" s="81">
        <f>SUMIF(过去14天!N:N,D:D,过去14天!P:P)/14</f>
        <v>0</v>
      </c>
      <c r="U32" s="87">
        <f>SUMIF(过去30天!N:N,D:D,过去30天!P:P)/30</f>
        <v>0</v>
      </c>
      <c r="V32" s="87">
        <f t="shared" si="1"/>
        <v>0</v>
      </c>
      <c r="W32" s="87">
        <v>1</v>
      </c>
      <c r="X32" s="80">
        <f t="shared" si="9"/>
        <v>0</v>
      </c>
      <c r="Y32" s="77">
        <v>7</v>
      </c>
      <c r="Z32" s="87">
        <v>15</v>
      </c>
      <c r="AA32" s="87">
        <v>55</v>
      </c>
      <c r="AB32" s="80">
        <f t="shared" si="10"/>
        <v>0</v>
      </c>
      <c r="AC32" s="80">
        <f t="shared" si="2"/>
        <v>0</v>
      </c>
      <c r="AD32" s="80">
        <f t="shared" si="11"/>
        <v>0</v>
      </c>
      <c r="AE32" s="80">
        <f t="shared" si="3"/>
        <v>0</v>
      </c>
      <c r="AF32" s="80">
        <f t="shared" si="4"/>
        <v>0</v>
      </c>
      <c r="AG32" s="80">
        <f t="shared" si="5"/>
        <v>0</v>
      </c>
      <c r="AH32" s="80">
        <f t="shared" si="6"/>
        <v>0</v>
      </c>
      <c r="AI32" s="80">
        <f t="shared" si="7"/>
        <v>0</v>
      </c>
      <c r="AJ32" s="79" t="str">
        <f t="shared" si="13"/>
        <v>地狱</v>
      </c>
      <c r="AK32" s="79" t="str">
        <f t="shared" si="8"/>
        <v>红单</v>
      </c>
    </row>
    <row r="33" ht="33" customHeight="1" spans="1:37">
      <c r="A33" s="62">
        <f ca="1" t="shared" si="0"/>
        <v>45989</v>
      </c>
      <c r="B33" s="62"/>
      <c r="C33" s="63"/>
      <c r="D33" s="63"/>
      <c r="E33" s="63"/>
      <c r="F33" s="63"/>
      <c r="G33" s="63">
        <f>SUMIF('Manage FBA Inventory(EU)'!A:A,D:D,'Manage FBA Inventory(EU)'!K:K)</f>
        <v>0</v>
      </c>
      <c r="H33" s="63">
        <f>SUMIF('Manage FBA Inventory(EU)'!A:A,D:D,'Manage FBA Inventory(EU)'!Q:Q)</f>
        <v>0</v>
      </c>
      <c r="I33" s="63">
        <f>SUMIF('Manage FBA Inventory(EU)'!A:A,D:D,'Manage FBA Inventory(EU)'!R:R)</f>
        <v>0</v>
      </c>
      <c r="J33" s="63">
        <f>SUMIF('Manage FBA Inventory(EU)'!A:A,D:D,'Manage FBA Inventory(EU)'!P:P)</f>
        <v>0</v>
      </c>
      <c r="K33" s="63"/>
      <c r="L33" s="75">
        <f>SUMIF(本地仓库存!D:D,B:B,本地仓库存!H:H)</f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f>SUMIF(过去3天!N:N,D:D,过去3天!P:P)/3</f>
        <v>0</v>
      </c>
      <c r="S33" s="79">
        <f>SUMIF(过去7天!N:N,D:D,过去7天!P:P)/7</f>
        <v>0</v>
      </c>
      <c r="T33" s="79">
        <f>SUMIF(过去14天!N:N,D:D,过去14天!P:P)/14</f>
        <v>0</v>
      </c>
      <c r="U33" s="85">
        <f>SUMIF(过去30天!N:N,D:D,过去30天!P:P)/30</f>
        <v>0</v>
      </c>
      <c r="V33" s="85">
        <f t="shared" si="1"/>
        <v>0</v>
      </c>
      <c r="W33" s="85">
        <v>1</v>
      </c>
      <c r="X33" s="79">
        <f t="shared" si="9"/>
        <v>0</v>
      </c>
      <c r="Y33" s="75">
        <v>7</v>
      </c>
      <c r="Z33" s="85">
        <v>15</v>
      </c>
      <c r="AA33" s="85">
        <v>55</v>
      </c>
      <c r="AB33" s="79">
        <f t="shared" si="10"/>
        <v>0</v>
      </c>
      <c r="AC33" s="79">
        <f t="shared" si="2"/>
        <v>0</v>
      </c>
      <c r="AD33" s="90">
        <f t="shared" si="11"/>
        <v>0</v>
      </c>
      <c r="AE33" s="90">
        <f t="shared" si="3"/>
        <v>0</v>
      </c>
      <c r="AF33" s="90">
        <f t="shared" si="4"/>
        <v>0</v>
      </c>
      <c r="AG33" s="90">
        <f t="shared" si="5"/>
        <v>0</v>
      </c>
      <c r="AH33" s="90">
        <f t="shared" si="6"/>
        <v>0</v>
      </c>
      <c r="AI33" s="90">
        <f t="shared" si="7"/>
        <v>0</v>
      </c>
      <c r="AJ33" s="79" t="str">
        <f t="shared" si="13"/>
        <v>地狱</v>
      </c>
      <c r="AK33" s="79" t="str">
        <f t="shared" si="8"/>
        <v>红单</v>
      </c>
    </row>
    <row r="34" ht="33" customHeight="1" spans="1:37">
      <c r="A34" s="62">
        <f ca="1" t="shared" si="0"/>
        <v>45989</v>
      </c>
      <c r="B34" s="62"/>
      <c r="C34" s="63"/>
      <c r="D34" s="63"/>
      <c r="E34" s="63"/>
      <c r="F34" s="63"/>
      <c r="G34" s="63">
        <f>SUMIF('Manage FBA Inventory(EU)'!A:A,D:D,'Manage FBA Inventory(EU)'!K:K)</f>
        <v>0</v>
      </c>
      <c r="H34" s="63">
        <f>SUMIF('Manage FBA Inventory(EU)'!A:A,D:D,'Manage FBA Inventory(EU)'!Q:Q)</f>
        <v>0</v>
      </c>
      <c r="I34" s="63">
        <f>SUMIF('Manage FBA Inventory(EU)'!A:A,D:D,'Manage FBA Inventory(EU)'!R:R)</f>
        <v>0</v>
      </c>
      <c r="J34" s="63">
        <f>SUMIF('Manage FBA Inventory(EU)'!A:A,D:D,'Manage FBA Inventory(EU)'!P:P)</f>
        <v>0</v>
      </c>
      <c r="K34" s="63"/>
      <c r="L34" s="75">
        <f>SUMIF(本地仓库存!D:D,B:B,本地仓库存!H:H)</f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f>SUMIF(过去3天!N:N,D:D,过去3天!P:P)/3</f>
        <v>0</v>
      </c>
      <c r="S34" s="79">
        <f>SUMIF(过去7天!N:N,D:D,过去7天!P:P)/7</f>
        <v>0</v>
      </c>
      <c r="T34" s="79">
        <f>SUMIF(过去14天!N:N,D:D,过去14天!P:P)/14</f>
        <v>0</v>
      </c>
      <c r="U34" s="85">
        <f>SUMIF(过去30天!N:N,D:D,过去30天!P:P)/30</f>
        <v>0</v>
      </c>
      <c r="V34" s="85">
        <f t="shared" si="1"/>
        <v>0</v>
      </c>
      <c r="W34" s="85">
        <v>1</v>
      </c>
      <c r="X34" s="79">
        <f t="shared" si="9"/>
        <v>0</v>
      </c>
      <c r="Y34" s="75">
        <v>7</v>
      </c>
      <c r="Z34" s="85">
        <v>15</v>
      </c>
      <c r="AA34" s="85">
        <v>55</v>
      </c>
      <c r="AB34" s="79">
        <f t="shared" si="10"/>
        <v>0</v>
      </c>
      <c r="AC34" s="79">
        <f t="shared" si="2"/>
        <v>0</v>
      </c>
      <c r="AD34" s="90">
        <f t="shared" si="11"/>
        <v>0</v>
      </c>
      <c r="AE34" s="90">
        <f t="shared" si="3"/>
        <v>0</v>
      </c>
      <c r="AF34" s="90">
        <f t="shared" si="4"/>
        <v>0</v>
      </c>
      <c r="AG34" s="90">
        <f t="shared" si="5"/>
        <v>0</v>
      </c>
      <c r="AH34" s="90">
        <f t="shared" si="6"/>
        <v>0</v>
      </c>
      <c r="AI34" s="90">
        <f t="shared" si="7"/>
        <v>0</v>
      </c>
      <c r="AJ34" s="79" t="str">
        <f t="shared" si="13"/>
        <v>地狱</v>
      </c>
      <c r="AK34" s="79" t="str">
        <f t="shared" si="8"/>
        <v>红单</v>
      </c>
    </row>
    <row r="35" ht="33" customHeight="1" spans="1:37">
      <c r="A35" s="62">
        <f ca="1" t="shared" si="0"/>
        <v>45989</v>
      </c>
      <c r="B35" s="62"/>
      <c r="C35" s="63"/>
      <c r="D35" s="63"/>
      <c r="E35" s="63"/>
      <c r="F35" s="63"/>
      <c r="G35" s="63">
        <f>SUMIF('Manage FBA Inventory(EU)'!A:A,D:D,'Manage FBA Inventory(EU)'!K:K)</f>
        <v>0</v>
      </c>
      <c r="H35" s="63">
        <f>SUMIF('Manage FBA Inventory(EU)'!A:A,D:D,'Manage FBA Inventory(EU)'!Q:Q)</f>
        <v>0</v>
      </c>
      <c r="I35" s="63">
        <f>SUMIF('Manage FBA Inventory(EU)'!A:A,D:D,'Manage FBA Inventory(EU)'!R:R)</f>
        <v>0</v>
      </c>
      <c r="J35" s="63">
        <f>SUMIF('Manage FBA Inventory(EU)'!A:A,D:D,'Manage FBA Inventory(EU)'!P:P)</f>
        <v>0</v>
      </c>
      <c r="K35" s="63"/>
      <c r="L35" s="75">
        <f>SUMIF(本地仓库存!D:D,B:B,本地仓库存!H:H)</f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f>SUMIF(过去3天!N:N,D:D,过去3天!P:P)/3</f>
        <v>0</v>
      </c>
      <c r="S35" s="79">
        <f>SUMIF(过去7天!N:N,D:D,过去7天!P:P)/7</f>
        <v>0</v>
      </c>
      <c r="T35" s="79">
        <f>SUMIF(过去14天!N:N,D:D,过去14天!P:P)/14</f>
        <v>0</v>
      </c>
      <c r="U35" s="85">
        <f>SUMIF(过去30天!N:N,D:D,过去30天!P:P)/30</f>
        <v>0</v>
      </c>
      <c r="V35" s="85">
        <f t="shared" ref="V35:V62" si="14">(R35*1.5+S35*1.2+T35*0.8+U35*0.4)/4</f>
        <v>0</v>
      </c>
      <c r="W35" s="85">
        <v>1</v>
      </c>
      <c r="X35" s="79">
        <f t="shared" ref="X35:X63" si="15">V35*(Y35+Z35+AA35)*W35</f>
        <v>0</v>
      </c>
      <c r="Y35" s="75">
        <v>7</v>
      </c>
      <c r="Z35" s="85">
        <v>15</v>
      </c>
      <c r="AA35" s="85">
        <v>55</v>
      </c>
      <c r="AB35" s="79">
        <f t="shared" si="10"/>
        <v>0</v>
      </c>
      <c r="AC35" s="79">
        <f t="shared" ref="AC35:AC62" si="16">IFERROR((M35+N35+O35+P35+Q35)/V35,0)</f>
        <v>0</v>
      </c>
      <c r="AD35" s="90">
        <f t="shared" ref="AD35:AD63" si="17">IF((V35*(Y35+Z35+AA35)*W35)&gt;G35+H35+I35,MAX(V35*Y35*Z35,X35-I35-H35-G35),)</f>
        <v>0</v>
      </c>
      <c r="AE35" s="90">
        <f t="shared" ref="AE35:AE62" si="18">IF(AB35&lt;7,V35*7,)</f>
        <v>0</v>
      </c>
      <c r="AF35" s="90">
        <f t="shared" ref="AF35:AF62" si="19">IF(AB35&lt;15,V35*15,)</f>
        <v>0</v>
      </c>
      <c r="AG35" s="90">
        <f t="shared" ref="AG35:AG62" si="20">IF(AB35&lt;55,V35*55,)</f>
        <v>0</v>
      </c>
      <c r="AH35" s="90">
        <f t="shared" ref="AH35:AH62" si="21">IF(AB35&lt;35,V35*35,)</f>
        <v>0</v>
      </c>
      <c r="AI35" s="90">
        <f t="shared" ref="AI35:AI62" si="22">IF(AB35&lt;45,V35*45,)</f>
        <v>0</v>
      </c>
      <c r="AJ35" s="79" t="str">
        <f t="shared" si="13"/>
        <v>地狱</v>
      </c>
      <c r="AK35" s="79" t="str">
        <f t="shared" si="8"/>
        <v>红单</v>
      </c>
    </row>
    <row r="36" ht="33" customHeight="1" spans="1:37">
      <c r="A36" s="62">
        <f ca="1" t="shared" si="0"/>
        <v>45989</v>
      </c>
      <c r="B36" s="62"/>
      <c r="C36" s="63"/>
      <c r="D36" s="63"/>
      <c r="E36" s="63"/>
      <c r="F36" s="63"/>
      <c r="G36" s="63">
        <f>SUMIF('Manage FBA Inventory(EU)'!A:A,D:D,'Manage FBA Inventory(EU)'!K:K)</f>
        <v>0</v>
      </c>
      <c r="H36" s="63">
        <f>SUMIF('Manage FBA Inventory(EU)'!A:A,D:D,'Manage FBA Inventory(EU)'!Q:Q)</f>
        <v>0</v>
      </c>
      <c r="I36" s="63">
        <f>SUMIF('Manage FBA Inventory(EU)'!A:A,D:D,'Manage FBA Inventory(EU)'!R:R)</f>
        <v>0</v>
      </c>
      <c r="J36" s="63">
        <f>SUMIF('Manage FBA Inventory(EU)'!A:A,D:D,'Manage FBA Inventory(EU)'!P:P)</f>
        <v>0</v>
      </c>
      <c r="K36" s="63"/>
      <c r="L36" s="75">
        <f>SUMIF(本地仓库存!D:D,B:B,本地仓库存!H:H)</f>
        <v>0</v>
      </c>
      <c r="M36" s="63">
        <v>0</v>
      </c>
      <c r="N36" s="63">
        <v>0</v>
      </c>
      <c r="O36" s="63">
        <v>2400</v>
      </c>
      <c r="P36" s="63">
        <v>1440</v>
      </c>
      <c r="Q36" s="63">
        <v>0</v>
      </c>
      <c r="R36" s="63">
        <f>SUMIF(过去3天!N:N,D:D,过去3天!P:P)/3</f>
        <v>0</v>
      </c>
      <c r="S36" s="79">
        <f>SUMIF(过去7天!N:N,D:D,过去7天!P:P)/7</f>
        <v>0</v>
      </c>
      <c r="T36" s="79">
        <f>SUMIF(过去14天!N:N,D:D,过去14天!P:P)/14</f>
        <v>0</v>
      </c>
      <c r="U36" s="85">
        <f>SUMIF(过去30天!N:N,D:D,过去30天!P:P)/30</f>
        <v>0</v>
      </c>
      <c r="V36" s="85">
        <f t="shared" si="14"/>
        <v>0</v>
      </c>
      <c r="W36" s="85">
        <v>1</v>
      </c>
      <c r="X36" s="79">
        <f t="shared" si="15"/>
        <v>0</v>
      </c>
      <c r="Y36" s="75">
        <v>7</v>
      </c>
      <c r="Z36" s="85">
        <v>15</v>
      </c>
      <c r="AA36" s="85">
        <v>20</v>
      </c>
      <c r="AB36" s="79">
        <f t="shared" ref="AB36:AB62" si="23">IFERROR(ROUNDUP(G36/V36,365),0)</f>
        <v>0</v>
      </c>
      <c r="AC36" s="79">
        <f t="shared" si="16"/>
        <v>0</v>
      </c>
      <c r="AD36" s="90">
        <f t="shared" si="17"/>
        <v>0</v>
      </c>
      <c r="AE36" s="90">
        <f t="shared" si="18"/>
        <v>0</v>
      </c>
      <c r="AF36" s="90">
        <f t="shared" si="19"/>
        <v>0</v>
      </c>
      <c r="AG36" s="90">
        <f t="shared" si="20"/>
        <v>0</v>
      </c>
      <c r="AH36" s="90">
        <f t="shared" si="21"/>
        <v>0</v>
      </c>
      <c r="AI36" s="90">
        <f t="shared" si="22"/>
        <v>0</v>
      </c>
      <c r="AJ36" s="79" t="str">
        <f t="shared" si="13"/>
        <v>地狱</v>
      </c>
      <c r="AK36" s="79" t="str">
        <f t="shared" si="8"/>
        <v>红单</v>
      </c>
    </row>
    <row r="37" ht="33" customHeight="1" spans="1:37">
      <c r="A37" s="62">
        <f ca="1" t="shared" si="0"/>
        <v>45989</v>
      </c>
      <c r="B37" s="62"/>
      <c r="C37" s="63"/>
      <c r="D37" s="63"/>
      <c r="E37" s="63"/>
      <c r="F37" s="63"/>
      <c r="G37" s="63">
        <f>SUMIF('Manage FBA Inventory(EU)'!A:A,D:D,'Manage FBA Inventory(EU)'!K:K)</f>
        <v>0</v>
      </c>
      <c r="H37" s="63">
        <f>SUMIF('Manage FBA Inventory(EU)'!A:A,D:D,'Manage FBA Inventory(EU)'!Q:Q)</f>
        <v>0</v>
      </c>
      <c r="I37" s="63">
        <f>SUMIF('Manage FBA Inventory(EU)'!A:A,D:D,'Manage FBA Inventory(EU)'!R:R)</f>
        <v>0</v>
      </c>
      <c r="J37" s="63">
        <f>SUMIF('Manage FBA Inventory(EU)'!A:A,D:D,'Manage FBA Inventory(EU)'!P:P)</f>
        <v>0</v>
      </c>
      <c r="K37" s="63"/>
      <c r="L37" s="75">
        <f>SUMIF(本地仓库存!D:D,B:B,本地仓库存!H:H)</f>
        <v>0</v>
      </c>
      <c r="M37" s="63">
        <v>0</v>
      </c>
      <c r="N37" s="63">
        <v>0</v>
      </c>
      <c r="O37" s="63">
        <v>540</v>
      </c>
      <c r="P37" s="63">
        <v>0</v>
      </c>
      <c r="Q37" s="63">
        <v>0</v>
      </c>
      <c r="R37" s="63">
        <f>SUMIF(过去3天!N:N,D:D,过去3天!P:P)/3</f>
        <v>0</v>
      </c>
      <c r="S37" s="79">
        <f>SUMIF(过去7天!N:N,D:D,过去7天!P:P)/7</f>
        <v>0</v>
      </c>
      <c r="T37" s="79">
        <f>SUMIF(过去14天!N:N,D:D,过去14天!P:P)/14</f>
        <v>0</v>
      </c>
      <c r="U37" s="85">
        <f>SUMIF(过去30天!N:N,D:D,过去30天!P:P)/30</f>
        <v>0</v>
      </c>
      <c r="V37" s="85">
        <f t="shared" si="14"/>
        <v>0</v>
      </c>
      <c r="W37" s="85">
        <v>1</v>
      </c>
      <c r="X37" s="79">
        <f t="shared" si="15"/>
        <v>0</v>
      </c>
      <c r="Y37" s="75">
        <v>7</v>
      </c>
      <c r="Z37" s="85">
        <v>15</v>
      </c>
      <c r="AA37" s="85">
        <v>20</v>
      </c>
      <c r="AB37" s="79">
        <f t="shared" si="23"/>
        <v>0</v>
      </c>
      <c r="AC37" s="79">
        <f t="shared" si="16"/>
        <v>0</v>
      </c>
      <c r="AD37" s="90">
        <f t="shared" si="17"/>
        <v>0</v>
      </c>
      <c r="AE37" s="90">
        <f t="shared" si="18"/>
        <v>0</v>
      </c>
      <c r="AF37" s="90">
        <f t="shared" si="19"/>
        <v>0</v>
      </c>
      <c r="AG37" s="90">
        <f t="shared" si="20"/>
        <v>0</v>
      </c>
      <c r="AH37" s="90">
        <f t="shared" si="21"/>
        <v>0</v>
      </c>
      <c r="AI37" s="90">
        <f t="shared" si="22"/>
        <v>0</v>
      </c>
      <c r="AJ37" s="79" t="str">
        <f t="shared" si="13"/>
        <v>地狱</v>
      </c>
      <c r="AK37" s="79" t="str">
        <f t="shared" si="8"/>
        <v>红单</v>
      </c>
    </row>
    <row r="38" ht="33" customHeight="1" spans="1:37">
      <c r="A38" s="62">
        <f ca="1" t="shared" si="0"/>
        <v>45989</v>
      </c>
      <c r="B38" s="62"/>
      <c r="C38" s="63"/>
      <c r="D38" s="63"/>
      <c r="E38" s="63"/>
      <c r="F38" s="63"/>
      <c r="G38" s="63">
        <f>SUMIF('Manage FBA Inventory(EU)'!A:A,D:D,'Manage FBA Inventory(EU)'!K:K)</f>
        <v>0</v>
      </c>
      <c r="H38" s="63">
        <f>SUMIF('Manage FBA Inventory(EU)'!A:A,D:D,'Manage FBA Inventory(EU)'!Q:Q)</f>
        <v>0</v>
      </c>
      <c r="I38" s="63">
        <f>SUMIF('Manage FBA Inventory(EU)'!A:A,D:D,'Manage FBA Inventory(EU)'!R:R)</f>
        <v>0</v>
      </c>
      <c r="J38" s="63">
        <f>SUMIF('Manage FBA Inventory(EU)'!A:A,D:D,'Manage FBA Inventory(EU)'!P:P)</f>
        <v>0</v>
      </c>
      <c r="K38" s="63"/>
      <c r="L38" s="75">
        <f>SUMIF(本地仓库存!D:D,B:B,本地仓库存!H:H)</f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f>SUMIF(过去3天!N:N,D:D,过去3天!P:P)/3</f>
        <v>0</v>
      </c>
      <c r="S38" s="79">
        <f>SUMIF(过去7天!N:N,D:D,过去7天!P:P)/7</f>
        <v>0</v>
      </c>
      <c r="T38" s="79">
        <f>SUMIF(过去14天!N:N,D:D,过去14天!P:P)/14</f>
        <v>0</v>
      </c>
      <c r="U38" s="85">
        <f>SUMIF(过去30天!N:N,D:D,过去30天!P:P)/30</f>
        <v>0</v>
      </c>
      <c r="V38" s="85">
        <f t="shared" si="14"/>
        <v>0</v>
      </c>
      <c r="W38" s="85">
        <v>1</v>
      </c>
      <c r="X38" s="79">
        <f t="shared" si="15"/>
        <v>0</v>
      </c>
      <c r="Y38" s="75">
        <v>7</v>
      </c>
      <c r="Z38" s="85">
        <v>15</v>
      </c>
      <c r="AA38" s="85">
        <v>55</v>
      </c>
      <c r="AB38" s="79">
        <f t="shared" si="23"/>
        <v>0</v>
      </c>
      <c r="AC38" s="79">
        <f t="shared" si="16"/>
        <v>0</v>
      </c>
      <c r="AD38" s="90">
        <f t="shared" si="17"/>
        <v>0</v>
      </c>
      <c r="AE38" s="90">
        <f t="shared" si="18"/>
        <v>0</v>
      </c>
      <c r="AF38" s="90">
        <f t="shared" si="19"/>
        <v>0</v>
      </c>
      <c r="AG38" s="90">
        <f t="shared" si="20"/>
        <v>0</v>
      </c>
      <c r="AH38" s="90">
        <f t="shared" si="21"/>
        <v>0</v>
      </c>
      <c r="AI38" s="90">
        <f t="shared" si="22"/>
        <v>0</v>
      </c>
      <c r="AJ38" s="79" t="str">
        <f t="shared" si="13"/>
        <v>地狱</v>
      </c>
      <c r="AK38" s="79" t="str">
        <f t="shared" si="8"/>
        <v>红单</v>
      </c>
    </row>
    <row r="39" ht="33" customHeight="1" spans="1:37">
      <c r="A39" s="62">
        <f ca="1" t="shared" si="0"/>
        <v>45989</v>
      </c>
      <c r="B39" s="62"/>
      <c r="C39" s="63"/>
      <c r="D39" s="63"/>
      <c r="E39" s="63"/>
      <c r="F39" s="63"/>
      <c r="G39" s="63">
        <f>SUMIF('Manage FBA Inventory(EU)'!A:A,D:D,'Manage FBA Inventory(EU)'!K:K)</f>
        <v>0</v>
      </c>
      <c r="H39" s="63">
        <f>SUMIF('Manage FBA Inventory(EU)'!A:A,D:D,'Manage FBA Inventory(EU)'!Q:Q)</f>
        <v>0</v>
      </c>
      <c r="I39" s="63">
        <f>SUMIF('Manage FBA Inventory(EU)'!A:A,D:D,'Manage FBA Inventory(EU)'!R:R)</f>
        <v>0</v>
      </c>
      <c r="J39" s="63">
        <f>SUMIF('Manage FBA Inventory(EU)'!A:A,D:D,'Manage FBA Inventory(EU)'!P:P)</f>
        <v>0</v>
      </c>
      <c r="K39" s="63"/>
      <c r="L39" s="75">
        <f>SUMIF(本地仓库存!D:D,B:B,本地仓库存!H:H)</f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f>SUMIF(过去3天!N:N,D:D,过去3天!P:P)/3</f>
        <v>0</v>
      </c>
      <c r="S39" s="79">
        <f>SUMIF(过去7天!N:N,D:D,过去7天!P:P)/7</f>
        <v>0</v>
      </c>
      <c r="T39" s="79">
        <f>SUMIF(过去14天!N:N,D:D,过去14天!P:P)/14</f>
        <v>0</v>
      </c>
      <c r="U39" s="85">
        <f>SUMIF(过去30天!N:N,D:D,过去30天!P:P)/30</f>
        <v>0</v>
      </c>
      <c r="V39" s="85">
        <f t="shared" si="14"/>
        <v>0</v>
      </c>
      <c r="W39" s="85">
        <v>1</v>
      </c>
      <c r="X39" s="79">
        <f t="shared" si="15"/>
        <v>0</v>
      </c>
      <c r="Y39" s="75">
        <v>7</v>
      </c>
      <c r="Z39" s="85">
        <v>15</v>
      </c>
      <c r="AA39" s="85">
        <v>55</v>
      </c>
      <c r="AB39" s="79">
        <f t="shared" si="23"/>
        <v>0</v>
      </c>
      <c r="AC39" s="79">
        <f t="shared" si="16"/>
        <v>0</v>
      </c>
      <c r="AD39" s="90">
        <f t="shared" si="17"/>
        <v>0</v>
      </c>
      <c r="AE39" s="90">
        <f t="shared" si="18"/>
        <v>0</v>
      </c>
      <c r="AF39" s="90">
        <f t="shared" si="19"/>
        <v>0</v>
      </c>
      <c r="AG39" s="90">
        <f t="shared" si="20"/>
        <v>0</v>
      </c>
      <c r="AH39" s="90">
        <f t="shared" si="21"/>
        <v>0</v>
      </c>
      <c r="AI39" s="90">
        <f t="shared" si="22"/>
        <v>0</v>
      </c>
      <c r="AJ39" s="79" t="str">
        <f t="shared" si="13"/>
        <v>地狱</v>
      </c>
      <c r="AK39" s="79" t="str">
        <f t="shared" si="8"/>
        <v>红单</v>
      </c>
    </row>
    <row r="40" ht="33" customHeight="1" spans="1:37">
      <c r="A40" s="66">
        <f ca="1" t="shared" si="0"/>
        <v>45989</v>
      </c>
      <c r="B40" s="66"/>
      <c r="C40" s="67"/>
      <c r="D40" s="67"/>
      <c r="E40" s="67"/>
      <c r="F40" s="67"/>
      <c r="G40" s="67">
        <f>SUMIF('Manage FBA Inventory(EU)'!A:A,D:D,'Manage FBA Inventory(EU)'!K:K)</f>
        <v>0</v>
      </c>
      <c r="H40" s="67">
        <f>SUMIF('Manage FBA Inventory(EU)'!A:A,D:D,'Manage FBA Inventory(EU)'!Q:Q)</f>
        <v>0</v>
      </c>
      <c r="I40" s="67">
        <f>SUMIF('Manage FBA Inventory(EU)'!A:A,D:D,'Manage FBA Inventory(EU)'!R:R)</f>
        <v>0</v>
      </c>
      <c r="J40" s="67">
        <f>SUMIF('Manage FBA Inventory(EU)'!A:A,D:D,'Manage FBA Inventory(EU)'!P:P)</f>
        <v>0</v>
      </c>
      <c r="K40" s="67"/>
      <c r="L40" s="76">
        <f>SUMIF(本地仓库存!D:D,B:B,本地仓库存!H:H)</f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67">
        <f>SUMIF(过去3天!N:N,D:D,过去3天!P:P)/3</f>
        <v>0</v>
      </c>
      <c r="S40" s="81">
        <f>SUMIF(过去7天!N:N,D:D,过去7天!P:P)/7</f>
        <v>0</v>
      </c>
      <c r="T40" s="81">
        <f>SUMIF(过去14天!N:N,D:D,过去14天!P:P)/14</f>
        <v>0</v>
      </c>
      <c r="U40" s="87">
        <f>SUMIF(过去30天!N:N,D:D,过去30天!P:P)/30</f>
        <v>0</v>
      </c>
      <c r="V40" s="87">
        <f t="shared" si="14"/>
        <v>0</v>
      </c>
      <c r="W40" s="87">
        <v>1</v>
      </c>
      <c r="X40" s="80">
        <f t="shared" si="15"/>
        <v>0</v>
      </c>
      <c r="Y40" s="77">
        <v>7</v>
      </c>
      <c r="Z40" s="87">
        <v>15</v>
      </c>
      <c r="AA40" s="87">
        <v>55</v>
      </c>
      <c r="AB40" s="80">
        <f t="shared" si="23"/>
        <v>0</v>
      </c>
      <c r="AC40" s="80">
        <f t="shared" si="16"/>
        <v>0</v>
      </c>
      <c r="AD40" s="80">
        <f t="shared" si="17"/>
        <v>0</v>
      </c>
      <c r="AE40" s="80">
        <f t="shared" si="18"/>
        <v>0</v>
      </c>
      <c r="AF40" s="80">
        <f t="shared" si="19"/>
        <v>0</v>
      </c>
      <c r="AG40" s="80">
        <f t="shared" si="20"/>
        <v>0</v>
      </c>
      <c r="AH40" s="80">
        <f t="shared" si="21"/>
        <v>0</v>
      </c>
      <c r="AI40" s="80">
        <f t="shared" si="22"/>
        <v>0</v>
      </c>
      <c r="AJ40" s="79" t="str">
        <f t="shared" si="13"/>
        <v>地狱</v>
      </c>
      <c r="AK40" s="79" t="str">
        <f t="shared" si="8"/>
        <v>红单</v>
      </c>
    </row>
    <row r="41" ht="27" customHeight="1" spans="1:37">
      <c r="A41" s="62">
        <f ca="1" t="shared" si="0"/>
        <v>45989</v>
      </c>
      <c r="B41" s="62"/>
      <c r="C41" s="63"/>
      <c r="D41" s="63"/>
      <c r="E41" s="63"/>
      <c r="F41" s="63"/>
      <c r="G41" s="63">
        <f>SUMIF('Manage FBA Inventory(EU)'!A:A,D:D,'Manage FBA Inventory(EU)'!K:K)</f>
        <v>0</v>
      </c>
      <c r="H41" s="63">
        <f>SUMIF('Manage FBA Inventory(EU)'!A:A,D:D,'Manage FBA Inventory(EU)'!Q:Q)</f>
        <v>0</v>
      </c>
      <c r="I41" s="63">
        <f>SUMIF('Manage FBA Inventory(EU)'!A:A,D:D,'Manage FBA Inventory(EU)'!R:R)</f>
        <v>0</v>
      </c>
      <c r="J41" s="63">
        <f>SUMIF('Manage FBA Inventory(EU)'!A:A,D:D,'Manage FBA Inventory(EU)'!P:P)</f>
        <v>0</v>
      </c>
      <c r="K41" s="63"/>
      <c r="L41" s="75">
        <f>SUMIF(本地仓库存!D:D,B:B,本地仓库存!H:H)</f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f>SUMIF(过去3天!N:N,D:D,过去3天!P:P)/3</f>
        <v>0</v>
      </c>
      <c r="S41" s="79">
        <f>SUMIF(过去7天!N:N,D:D,过去7天!P:P)/7</f>
        <v>0</v>
      </c>
      <c r="T41" s="79">
        <f>SUMIF(过去14天!N:N,D:D,过去14天!P:P)/14</f>
        <v>0</v>
      </c>
      <c r="U41" s="85">
        <f>SUMIF(过去30天!N:N,D:D,过去30天!P:P)/30</f>
        <v>0</v>
      </c>
      <c r="V41" s="85">
        <f t="shared" si="14"/>
        <v>0</v>
      </c>
      <c r="W41" s="85">
        <v>1</v>
      </c>
      <c r="X41" s="79">
        <f t="shared" si="15"/>
        <v>0</v>
      </c>
      <c r="Y41" s="75">
        <v>7</v>
      </c>
      <c r="Z41" s="85">
        <v>15</v>
      </c>
      <c r="AA41" s="85">
        <v>55</v>
      </c>
      <c r="AB41" s="79">
        <f t="shared" si="23"/>
        <v>0</v>
      </c>
      <c r="AC41" s="79">
        <f t="shared" si="16"/>
        <v>0</v>
      </c>
      <c r="AD41" s="90">
        <f t="shared" si="17"/>
        <v>0</v>
      </c>
      <c r="AE41" s="90">
        <f t="shared" si="18"/>
        <v>0</v>
      </c>
      <c r="AF41" s="90">
        <f t="shared" si="19"/>
        <v>0</v>
      </c>
      <c r="AG41" s="90">
        <f t="shared" si="20"/>
        <v>0</v>
      </c>
      <c r="AH41" s="90">
        <f t="shared" si="21"/>
        <v>0</v>
      </c>
      <c r="AI41" s="90">
        <f t="shared" si="22"/>
        <v>0</v>
      </c>
      <c r="AJ41" s="79" t="str">
        <f t="shared" si="13"/>
        <v>地狱</v>
      </c>
      <c r="AK41" s="79" t="str">
        <f t="shared" si="8"/>
        <v>红单</v>
      </c>
    </row>
    <row r="42" ht="27" customHeight="1" spans="1:37">
      <c r="A42" s="62">
        <f ca="1" t="shared" si="0"/>
        <v>45989</v>
      </c>
      <c r="B42" s="62"/>
      <c r="C42" s="63"/>
      <c r="D42" s="68"/>
      <c r="E42" s="63"/>
      <c r="F42" s="63"/>
      <c r="G42" s="63">
        <f>SUMIF('Manage FBA Inventory(EU)'!A:A,D:D,'Manage FBA Inventory(EU)'!K:K)</f>
        <v>0</v>
      </c>
      <c r="H42" s="63">
        <f>SUMIF('Manage FBA Inventory(EU)'!A:A,D:D,'Manage FBA Inventory(EU)'!Q:Q)</f>
        <v>0</v>
      </c>
      <c r="I42" s="63">
        <f>SUMIF('Manage FBA Inventory(EU)'!A:A,D:D,'Manage FBA Inventory(EU)'!R:R)</f>
        <v>0</v>
      </c>
      <c r="J42" s="63">
        <f>SUMIF('Manage FBA Inventory(EU)'!A:A,D:D,'Manage FBA Inventory(EU)'!P:P)</f>
        <v>0</v>
      </c>
      <c r="K42" s="63"/>
      <c r="L42" s="75">
        <f>SUMIF(本地仓库存!D:D,B:B,本地仓库存!H:H)</f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f>SUMIF(过去3天!N:N,D:D,过去3天!P:P)/3</f>
        <v>0</v>
      </c>
      <c r="S42" s="79">
        <f>SUMIF(过去7天!N:N,D:D,过去7天!P:P)/7</f>
        <v>0</v>
      </c>
      <c r="T42" s="79">
        <f>SUMIF(过去14天!N:N,D:D,过去14天!P:P)/14</f>
        <v>0</v>
      </c>
      <c r="U42" s="85">
        <f>SUMIF(过去30天!N:N,D:D,过去30天!P:P)/30</f>
        <v>0</v>
      </c>
      <c r="V42" s="85">
        <f t="shared" si="14"/>
        <v>0</v>
      </c>
      <c r="W42" s="85">
        <v>1</v>
      </c>
      <c r="X42" s="79">
        <f t="shared" si="15"/>
        <v>0</v>
      </c>
      <c r="Y42" s="75">
        <v>7</v>
      </c>
      <c r="Z42" s="85">
        <v>15</v>
      </c>
      <c r="AA42" s="85">
        <v>55</v>
      </c>
      <c r="AB42" s="79">
        <f t="shared" si="23"/>
        <v>0</v>
      </c>
      <c r="AC42" s="79">
        <f t="shared" si="16"/>
        <v>0</v>
      </c>
      <c r="AD42" s="90">
        <f t="shared" si="17"/>
        <v>0</v>
      </c>
      <c r="AE42" s="90">
        <f t="shared" si="18"/>
        <v>0</v>
      </c>
      <c r="AF42" s="90">
        <f t="shared" si="19"/>
        <v>0</v>
      </c>
      <c r="AG42" s="90">
        <f t="shared" si="20"/>
        <v>0</v>
      </c>
      <c r="AH42" s="90">
        <f t="shared" si="21"/>
        <v>0</v>
      </c>
      <c r="AI42" s="90">
        <f t="shared" si="22"/>
        <v>0</v>
      </c>
      <c r="AJ42" s="79" t="str">
        <f t="shared" si="13"/>
        <v>地狱</v>
      </c>
      <c r="AK42" s="79" t="str">
        <f t="shared" si="8"/>
        <v>红单</v>
      </c>
    </row>
    <row r="43" ht="27" customHeight="1" spans="1:37">
      <c r="A43" s="62">
        <f ca="1" t="shared" si="0"/>
        <v>45989</v>
      </c>
      <c r="B43" s="62"/>
      <c r="C43" s="63"/>
      <c r="D43" s="63"/>
      <c r="E43" s="63"/>
      <c r="G43" s="63">
        <f>SUMIF('Manage FBA Inventory(EU)'!A:A,D:D,'Manage FBA Inventory(EU)'!K:K)</f>
        <v>0</v>
      </c>
      <c r="H43" s="63">
        <f>SUMIF('Manage FBA Inventory(EU)'!A:A,D:D,'Manage FBA Inventory(EU)'!Q:Q)</f>
        <v>0</v>
      </c>
      <c r="I43" s="63">
        <f>SUMIF('Manage FBA Inventory(EU)'!A:A,D:D,'Manage FBA Inventory(EU)'!R:R)</f>
        <v>0</v>
      </c>
      <c r="J43" s="63">
        <f>SUMIF('Manage FBA Inventory(EU)'!A:A,D:D,'Manage FBA Inventory(EU)'!P:P)</f>
        <v>0</v>
      </c>
      <c r="K43" s="63"/>
      <c r="L43" s="75">
        <f>SUMIF(本地仓库存!D:D,B:B,本地仓库存!H:H)</f>
        <v>0</v>
      </c>
      <c r="M43" s="63">
        <v>0</v>
      </c>
      <c r="N43" s="63">
        <v>540</v>
      </c>
      <c r="O43" s="63">
        <v>1620</v>
      </c>
      <c r="P43" s="63">
        <v>0</v>
      </c>
      <c r="Q43" s="63">
        <v>0</v>
      </c>
      <c r="R43" s="63">
        <f>SUMIF(过去3天!N:N,D:D,过去3天!P:P)/3</f>
        <v>0</v>
      </c>
      <c r="S43" s="79">
        <f>SUMIF(过去7天!N:N,D:D,过去7天!P:P)/7</f>
        <v>0</v>
      </c>
      <c r="T43" s="79">
        <f>SUMIF(过去14天!N:N,D:D,过去14天!P:P)/14</f>
        <v>0</v>
      </c>
      <c r="U43" s="85">
        <f>SUMIF(过去30天!N:N,D:D,过去30天!P:P)/30</f>
        <v>0</v>
      </c>
      <c r="V43" s="85">
        <f t="shared" si="14"/>
        <v>0</v>
      </c>
      <c r="W43" s="85">
        <v>1</v>
      </c>
      <c r="X43" s="79">
        <f t="shared" si="15"/>
        <v>0</v>
      </c>
      <c r="Y43" s="75">
        <v>7</v>
      </c>
      <c r="Z43" s="85">
        <v>15</v>
      </c>
      <c r="AA43" s="85">
        <v>55</v>
      </c>
      <c r="AB43" s="79">
        <f t="shared" si="23"/>
        <v>0</v>
      </c>
      <c r="AC43" s="79">
        <f t="shared" si="16"/>
        <v>0</v>
      </c>
      <c r="AD43" s="90">
        <f t="shared" si="17"/>
        <v>0</v>
      </c>
      <c r="AE43" s="90">
        <f t="shared" si="18"/>
        <v>0</v>
      </c>
      <c r="AF43" s="90">
        <f t="shared" si="19"/>
        <v>0</v>
      </c>
      <c r="AG43" s="90">
        <f t="shared" si="20"/>
        <v>0</v>
      </c>
      <c r="AH43" s="90">
        <f t="shared" si="21"/>
        <v>0</v>
      </c>
      <c r="AI43" s="90">
        <f t="shared" si="22"/>
        <v>0</v>
      </c>
      <c r="AJ43" s="79" t="str">
        <f t="shared" si="13"/>
        <v>地狱</v>
      </c>
      <c r="AK43" s="79" t="str">
        <f t="shared" si="8"/>
        <v>红单</v>
      </c>
    </row>
    <row r="44" ht="34" customHeight="1" spans="1:37">
      <c r="A44" s="62">
        <f ca="1" t="shared" ref="A44:A53" si="24">TODAY()</f>
        <v>45989</v>
      </c>
      <c r="C44" s="63"/>
      <c r="D44" s="63"/>
      <c r="E44" s="63"/>
      <c r="F44" s="63"/>
      <c r="G44" s="63">
        <f>SUMIF('Manage FBA Inventory(EU)'!A:A,D:D,'Manage FBA Inventory(EU)'!K:K)</f>
        <v>0</v>
      </c>
      <c r="H44" s="63">
        <f>SUMIF('Manage FBA Inventory(EU)'!A:A,D:D,'Manage FBA Inventory(EU)'!Q:Q)</f>
        <v>0</v>
      </c>
      <c r="I44" s="63">
        <f>SUMIF('Manage FBA Inventory(EU)'!A:A,D:D,'Manage FBA Inventory(EU)'!R:R)</f>
        <v>0</v>
      </c>
      <c r="J44" s="63">
        <f>SUMIF('Manage FBA Inventory(EU)'!A:A,D:D,'Manage FBA Inventory(EU)'!P:P)</f>
        <v>0</v>
      </c>
      <c r="K44" s="63"/>
      <c r="L44" s="75">
        <f>SUMIF(本地仓库存!D:D,B:B,本地仓库存!H:H)</f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f>SUMIF(过去3天!N:N,D:D,过去3天!P:P)/3</f>
        <v>0</v>
      </c>
      <c r="S44" s="79">
        <f>SUMIF(过去7天!N:N,D:D,过去7天!P:P)/7</f>
        <v>0</v>
      </c>
      <c r="T44" s="79">
        <f>SUMIF(过去14天!N:N,D:D,过去14天!P:P)/14</f>
        <v>0</v>
      </c>
      <c r="U44" s="85">
        <f>SUMIF(过去30天!N:N,D:D,过去30天!P:P)/30</f>
        <v>0</v>
      </c>
      <c r="V44" s="85">
        <f t="shared" si="14"/>
        <v>0</v>
      </c>
      <c r="W44" s="85">
        <v>1</v>
      </c>
      <c r="X44" s="79">
        <f t="shared" si="15"/>
        <v>0</v>
      </c>
      <c r="Y44" s="75">
        <v>7</v>
      </c>
      <c r="Z44" s="85">
        <v>15</v>
      </c>
      <c r="AA44" s="85">
        <v>55</v>
      </c>
      <c r="AB44" s="79">
        <f t="shared" si="23"/>
        <v>0</v>
      </c>
      <c r="AC44" s="79">
        <f t="shared" si="16"/>
        <v>0</v>
      </c>
      <c r="AD44" s="90">
        <f t="shared" si="17"/>
        <v>0</v>
      </c>
      <c r="AE44" s="90">
        <f t="shared" si="18"/>
        <v>0</v>
      </c>
      <c r="AF44" s="90">
        <f t="shared" si="19"/>
        <v>0</v>
      </c>
      <c r="AG44" s="90">
        <f t="shared" si="20"/>
        <v>0</v>
      </c>
      <c r="AH44" s="90">
        <f t="shared" si="21"/>
        <v>0</v>
      </c>
      <c r="AI44" s="90">
        <f t="shared" si="22"/>
        <v>0</v>
      </c>
      <c r="AJ44" s="79" t="str">
        <f t="shared" ref="AJ44:AJ62" si="25">_xlfn.IFS(AB44&gt;=80,"安全",AB44&lt;5,"地狱",AB44&lt;=10,"极度危险",AB44&lt;=30,"十分危险",AB44&gt;=60,"相对安全")</f>
        <v>地狱</v>
      </c>
      <c r="AK44" s="79" t="str">
        <f t="shared" si="8"/>
        <v>红单</v>
      </c>
    </row>
    <row r="45" ht="34" customHeight="1" spans="1:37">
      <c r="A45" s="62">
        <f ca="1" t="shared" si="24"/>
        <v>45989</v>
      </c>
      <c r="C45" s="63"/>
      <c r="G45" s="63">
        <f>SUMIF('Manage FBA Inventory(EU)'!A:A,D:D,'Manage FBA Inventory(EU)'!K:K)</f>
        <v>0</v>
      </c>
      <c r="H45" s="63">
        <f>SUMIF('Manage FBA Inventory(EU)'!A:A,D:D,'Manage FBA Inventory(EU)'!Q:Q)</f>
        <v>0</v>
      </c>
      <c r="I45" s="63">
        <f>SUMIF('Manage FBA Inventory(EU)'!A:A,D:D,'Manage FBA Inventory(EU)'!R:R)</f>
        <v>0</v>
      </c>
      <c r="J45" s="63">
        <f>SUMIF('Manage FBA Inventory(EU)'!A:A,D:D,'Manage FBA Inventory(EU)'!P:P)</f>
        <v>0</v>
      </c>
      <c r="K45" s="63"/>
      <c r="L45" s="75">
        <f>SUMIF(本地仓库存!D:D,B:B,本地仓库存!H:H)</f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f>SUMIF(过去3天!N:N,D:D,过去3天!P:P)/3</f>
        <v>0</v>
      </c>
      <c r="S45" s="79">
        <f>SUMIF(过去7天!N:N,D:D,过去7天!P:P)/7</f>
        <v>0</v>
      </c>
      <c r="T45" s="79">
        <f>SUMIF(过去14天!N:N,D:D,过去14天!P:P)/14</f>
        <v>0</v>
      </c>
      <c r="U45" s="85">
        <f>SUMIF(过去30天!N:N,D:D,过去30天!P:P)/30</f>
        <v>0</v>
      </c>
      <c r="V45" s="85">
        <f t="shared" si="14"/>
        <v>0</v>
      </c>
      <c r="W45" s="85">
        <v>1</v>
      </c>
      <c r="X45" s="79">
        <f t="shared" si="15"/>
        <v>0</v>
      </c>
      <c r="Y45" s="75">
        <v>7</v>
      </c>
      <c r="Z45" s="85">
        <v>15</v>
      </c>
      <c r="AA45" s="85">
        <v>55</v>
      </c>
      <c r="AB45" s="79">
        <f t="shared" si="23"/>
        <v>0</v>
      </c>
      <c r="AC45" s="79">
        <f t="shared" si="16"/>
        <v>0</v>
      </c>
      <c r="AD45" s="90">
        <f t="shared" si="17"/>
        <v>0</v>
      </c>
      <c r="AE45" s="90">
        <f t="shared" si="18"/>
        <v>0</v>
      </c>
      <c r="AF45" s="90">
        <f t="shared" si="19"/>
        <v>0</v>
      </c>
      <c r="AG45" s="90">
        <f t="shared" si="20"/>
        <v>0</v>
      </c>
      <c r="AH45" s="90">
        <f t="shared" si="21"/>
        <v>0</v>
      </c>
      <c r="AI45" s="90">
        <f t="shared" si="22"/>
        <v>0</v>
      </c>
      <c r="AJ45" s="79" t="str">
        <f t="shared" si="25"/>
        <v>地狱</v>
      </c>
      <c r="AK45" s="79" t="str">
        <f t="shared" ref="AK44:AK62" si="26">_xlfn.IFS(AB45&lt;5,"红单",AB45&gt;65,"不需要补货",AB45&lt;=15,"空派",AB45&gt;=55,"海派",AB45&gt;=15,"空派")</f>
        <v>红单</v>
      </c>
    </row>
    <row r="46" ht="34" customHeight="1" spans="1:37">
      <c r="A46" s="62">
        <f ca="1" t="shared" si="24"/>
        <v>45989</v>
      </c>
      <c r="G46" s="63">
        <f>SUMIF('Manage FBA Inventory(EU)'!A:A,D:D,'Manage FBA Inventory(EU)'!K:K)</f>
        <v>0</v>
      </c>
      <c r="H46" s="63">
        <f>SUMIF('Manage FBA Inventory(EU)'!A:A,D:D,'Manage FBA Inventory(EU)'!Q:Q)</f>
        <v>0</v>
      </c>
      <c r="I46" s="63">
        <f>SUMIF('Manage FBA Inventory(EU)'!A:A,D:D,'Manage FBA Inventory(EU)'!R:R)</f>
        <v>0</v>
      </c>
      <c r="J46" s="63">
        <f>SUMIF('Manage FBA Inventory(EU)'!A:A,D:D,'Manage FBA Inventory(EU)'!P:P)</f>
        <v>0</v>
      </c>
      <c r="K46" s="63"/>
      <c r="L46" s="75">
        <f>SUMIF(本地仓库存!D:D,B:B,本地仓库存!H:H)</f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f>SUMIF(过去3天!N:N,D:D,过去3天!P:P)/3</f>
        <v>0</v>
      </c>
      <c r="S46" s="79">
        <f>SUMIF(过去7天!N:N,D:D,过去7天!P:P)/7</f>
        <v>0</v>
      </c>
      <c r="T46" s="79">
        <f>SUMIF(过去14天!N:N,D:D,过去14天!P:P)/14</f>
        <v>0</v>
      </c>
      <c r="U46" s="85">
        <f>SUMIF(过去30天!N:N,D:D,过去30天!P:P)/30</f>
        <v>0</v>
      </c>
      <c r="V46" s="85">
        <f t="shared" si="14"/>
        <v>0</v>
      </c>
      <c r="W46" s="85">
        <v>1</v>
      </c>
      <c r="X46" s="79">
        <f t="shared" si="15"/>
        <v>0</v>
      </c>
      <c r="Y46" s="75">
        <v>7</v>
      </c>
      <c r="Z46" s="85">
        <v>15</v>
      </c>
      <c r="AA46" s="85">
        <v>55</v>
      </c>
      <c r="AB46" s="79">
        <f t="shared" si="23"/>
        <v>0</v>
      </c>
      <c r="AC46" s="79">
        <f t="shared" si="16"/>
        <v>0</v>
      </c>
      <c r="AD46" s="90">
        <f t="shared" si="17"/>
        <v>0</v>
      </c>
      <c r="AE46" s="90">
        <f t="shared" si="18"/>
        <v>0</v>
      </c>
      <c r="AF46" s="90">
        <f t="shared" si="19"/>
        <v>0</v>
      </c>
      <c r="AG46" s="90">
        <f t="shared" si="20"/>
        <v>0</v>
      </c>
      <c r="AH46" s="90">
        <f t="shared" si="21"/>
        <v>0</v>
      </c>
      <c r="AI46" s="90">
        <f t="shared" si="22"/>
        <v>0</v>
      </c>
      <c r="AJ46" s="79" t="str">
        <f t="shared" si="25"/>
        <v>地狱</v>
      </c>
      <c r="AK46" s="79" t="str">
        <f t="shared" si="26"/>
        <v>红单</v>
      </c>
    </row>
    <row r="47" ht="34" customHeight="1" spans="1:37">
      <c r="A47" s="62">
        <f ca="1" t="shared" si="24"/>
        <v>45989</v>
      </c>
      <c r="G47" s="63">
        <f>SUMIF('Manage FBA Inventory(EU)'!A:A,D:D,'Manage FBA Inventory(EU)'!K:K)</f>
        <v>0</v>
      </c>
      <c r="H47" s="63">
        <f>SUMIF('Manage FBA Inventory(EU)'!A:A,D:D,'Manage FBA Inventory(EU)'!Q:Q)</f>
        <v>0</v>
      </c>
      <c r="I47" s="63">
        <f>SUMIF('Manage FBA Inventory(EU)'!A:A,D:D,'Manage FBA Inventory(EU)'!R:R)</f>
        <v>0</v>
      </c>
      <c r="J47" s="63">
        <f>SUMIF('Manage FBA Inventory(EU)'!A:A,D:D,'Manage FBA Inventory(EU)'!P:P)</f>
        <v>0</v>
      </c>
      <c r="K47" s="63"/>
      <c r="L47" s="75">
        <f>SUMIF(本地仓库存!D:D,B:B,本地仓库存!H:H)</f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f>SUMIF(过去3天!N:N,D:D,过去3天!P:P)/3</f>
        <v>0</v>
      </c>
      <c r="S47" s="79">
        <f>SUMIF(过去7天!N:N,D:D,过去7天!P:P)/7</f>
        <v>0</v>
      </c>
      <c r="T47" s="79">
        <f>SUMIF(过去14天!N:N,D:D,过去14天!P:P)/14</f>
        <v>0</v>
      </c>
      <c r="U47" s="85">
        <f>SUMIF(过去30天!N:N,D:D,过去30天!P:P)/30</f>
        <v>0</v>
      </c>
      <c r="V47" s="85">
        <f t="shared" si="14"/>
        <v>0</v>
      </c>
      <c r="W47" s="85">
        <v>1</v>
      </c>
      <c r="X47" s="79">
        <f t="shared" si="15"/>
        <v>0</v>
      </c>
      <c r="Y47" s="75">
        <v>7</v>
      </c>
      <c r="Z47" s="85">
        <v>15</v>
      </c>
      <c r="AA47" s="85">
        <v>55</v>
      </c>
      <c r="AB47" s="79">
        <f t="shared" si="23"/>
        <v>0</v>
      </c>
      <c r="AC47" s="79">
        <f t="shared" si="16"/>
        <v>0</v>
      </c>
      <c r="AD47" s="90">
        <f t="shared" si="17"/>
        <v>0</v>
      </c>
      <c r="AE47" s="90">
        <f t="shared" si="18"/>
        <v>0</v>
      </c>
      <c r="AF47" s="90">
        <f t="shared" si="19"/>
        <v>0</v>
      </c>
      <c r="AG47" s="90">
        <f t="shared" si="20"/>
        <v>0</v>
      </c>
      <c r="AH47" s="90">
        <f t="shared" si="21"/>
        <v>0</v>
      </c>
      <c r="AI47" s="90">
        <f t="shared" si="22"/>
        <v>0</v>
      </c>
      <c r="AJ47" s="79" t="str">
        <f t="shared" si="25"/>
        <v>地狱</v>
      </c>
      <c r="AK47" s="79" t="str">
        <f t="shared" si="26"/>
        <v>红单</v>
      </c>
    </row>
    <row r="48" ht="34" customHeight="1" spans="1:37">
      <c r="A48" s="62">
        <f ca="1" t="shared" si="24"/>
        <v>45989</v>
      </c>
      <c r="G48" s="63">
        <f>SUMIF('Manage FBA Inventory(EU)'!A:A,D:D,'Manage FBA Inventory(EU)'!K:K)</f>
        <v>0</v>
      </c>
      <c r="H48" s="63">
        <f>SUMIF('Manage FBA Inventory(EU)'!A:A,D:D,'Manage FBA Inventory(EU)'!Q:Q)</f>
        <v>0</v>
      </c>
      <c r="I48" s="63">
        <f>SUMIF('Manage FBA Inventory(EU)'!A:A,D:D,'Manage FBA Inventory(EU)'!R:R)</f>
        <v>0</v>
      </c>
      <c r="J48" s="63">
        <f>SUMIF('Manage FBA Inventory(EU)'!A:A,D:D,'Manage FBA Inventory(EU)'!P:P)</f>
        <v>0</v>
      </c>
      <c r="K48" s="63"/>
      <c r="L48" s="75">
        <f>SUMIF(本地仓库存!D:D,B:B,本地仓库存!H:H)</f>
        <v>0</v>
      </c>
      <c r="M48" s="63">
        <v>0</v>
      </c>
      <c r="N48" s="63">
        <v>0</v>
      </c>
      <c r="O48" s="63">
        <v>0</v>
      </c>
      <c r="P48" s="63">
        <v>360</v>
      </c>
      <c r="Q48" s="63">
        <v>0</v>
      </c>
      <c r="R48" s="63">
        <f>SUMIF(过去3天!N:N,D:D,过去3天!P:P)/3</f>
        <v>0</v>
      </c>
      <c r="S48" s="79">
        <f>SUMIF(过去7天!N:N,D:D,过去7天!P:P)/7</f>
        <v>0</v>
      </c>
      <c r="T48" s="79">
        <f>SUMIF(过去14天!N:N,D:D,过去14天!P:P)/14</f>
        <v>0</v>
      </c>
      <c r="U48" s="85">
        <f>SUMIF(过去30天!N:N,D:D,过去30天!P:P)/30</f>
        <v>0</v>
      </c>
      <c r="V48" s="85">
        <f t="shared" si="14"/>
        <v>0</v>
      </c>
      <c r="W48" s="85">
        <v>1</v>
      </c>
      <c r="X48" s="79">
        <f t="shared" si="15"/>
        <v>0</v>
      </c>
      <c r="Y48" s="75">
        <v>7</v>
      </c>
      <c r="Z48" s="85">
        <v>15</v>
      </c>
      <c r="AA48" s="85">
        <v>20</v>
      </c>
      <c r="AB48" s="79">
        <f t="shared" si="23"/>
        <v>0</v>
      </c>
      <c r="AC48" s="79">
        <f t="shared" si="16"/>
        <v>0</v>
      </c>
      <c r="AD48" s="90">
        <f t="shared" si="17"/>
        <v>0</v>
      </c>
      <c r="AE48" s="90">
        <f t="shared" si="18"/>
        <v>0</v>
      </c>
      <c r="AF48" s="90">
        <f t="shared" si="19"/>
        <v>0</v>
      </c>
      <c r="AG48" s="90">
        <f t="shared" si="20"/>
        <v>0</v>
      </c>
      <c r="AH48" s="90">
        <f t="shared" si="21"/>
        <v>0</v>
      </c>
      <c r="AI48" s="90">
        <f t="shared" si="22"/>
        <v>0</v>
      </c>
      <c r="AJ48" s="79" t="str">
        <f t="shared" si="25"/>
        <v>地狱</v>
      </c>
      <c r="AK48" s="79" t="str">
        <f t="shared" si="26"/>
        <v>红单</v>
      </c>
    </row>
    <row r="49" ht="34" customHeight="1" spans="1:37">
      <c r="A49" s="66">
        <f ca="1" t="shared" si="24"/>
        <v>45989</v>
      </c>
      <c r="B49" s="69"/>
      <c r="C49" s="69"/>
      <c r="D49" s="69"/>
      <c r="E49" s="69"/>
      <c r="F49" s="69"/>
      <c r="G49" s="67">
        <f>SUMIF('Manage FBA Inventory(EU)'!A:A,D:D,'Manage FBA Inventory(EU)'!K:K)</f>
        <v>0</v>
      </c>
      <c r="H49" s="67">
        <f>SUMIF('Manage FBA Inventory(EU)'!A:A,D:D,'Manage FBA Inventory(EU)'!Q:Q)</f>
        <v>0</v>
      </c>
      <c r="I49" s="67">
        <f>SUMIF('Manage FBA Inventory(EU)'!A:A,D:D,'Manage FBA Inventory(EU)'!R:R)</f>
        <v>0</v>
      </c>
      <c r="J49" s="67">
        <f>SUMIF('Manage FBA Inventory(EU)'!A:A,D:D,'Manage FBA Inventory(EU)'!P:P)</f>
        <v>0</v>
      </c>
      <c r="K49" s="67"/>
      <c r="L49" s="76">
        <f>SUMIF(本地仓库存!D:D,B:B,本地仓库存!H:H)</f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67">
        <f>SUMIF(过去3天!N:N,D:D,过去3天!P:P)/3</f>
        <v>0</v>
      </c>
      <c r="S49" s="81">
        <f>SUMIF(过去7天!N:N,D:D,过去7天!P:P)/7</f>
        <v>0</v>
      </c>
      <c r="T49" s="81">
        <f>SUMIF(过去14天!N:N,D:D,过去14天!P:P)/14</f>
        <v>0</v>
      </c>
      <c r="U49" s="87">
        <f>SUMIF(过去30天!N:N,D:D,过去30天!P:P)/30</f>
        <v>0</v>
      </c>
      <c r="V49" s="87">
        <f t="shared" si="14"/>
        <v>0</v>
      </c>
      <c r="W49" s="87">
        <v>1</v>
      </c>
      <c r="X49" s="80">
        <f t="shared" si="15"/>
        <v>0</v>
      </c>
      <c r="Y49" s="77">
        <v>7</v>
      </c>
      <c r="Z49" s="87">
        <v>15</v>
      </c>
      <c r="AA49" s="87">
        <v>55</v>
      </c>
      <c r="AB49" s="80">
        <f t="shared" si="23"/>
        <v>0</v>
      </c>
      <c r="AC49" s="80">
        <f t="shared" si="16"/>
        <v>0</v>
      </c>
      <c r="AD49" s="80">
        <f t="shared" si="17"/>
        <v>0</v>
      </c>
      <c r="AE49" s="80">
        <f t="shared" si="18"/>
        <v>0</v>
      </c>
      <c r="AF49" s="80">
        <f t="shared" si="19"/>
        <v>0</v>
      </c>
      <c r="AG49" s="80">
        <f t="shared" si="20"/>
        <v>0</v>
      </c>
      <c r="AH49" s="80">
        <f t="shared" si="21"/>
        <v>0</v>
      </c>
      <c r="AI49" s="80">
        <f t="shared" si="22"/>
        <v>0</v>
      </c>
      <c r="AJ49" s="79" t="str">
        <f t="shared" si="25"/>
        <v>地狱</v>
      </c>
      <c r="AK49" s="79" t="str">
        <f t="shared" si="26"/>
        <v>红单</v>
      </c>
    </row>
    <row r="50" ht="34" customHeight="1" spans="1:37">
      <c r="A50" s="62">
        <f ca="1" t="shared" si="24"/>
        <v>45989</v>
      </c>
      <c r="G50" s="63">
        <f>SUMIF('Manage FBA Inventory(EU)'!A:A,D:D,'Manage FBA Inventory(EU)'!K:K)</f>
        <v>0</v>
      </c>
      <c r="H50" s="63">
        <f>SUMIF('Manage FBA Inventory(EU)'!A:A,D:D,'Manage FBA Inventory(EU)'!Q:Q)</f>
        <v>0</v>
      </c>
      <c r="I50" s="63">
        <f>SUMIF('Manage FBA Inventory(EU)'!A:A,D:D,'Manage FBA Inventory(EU)'!R:R)</f>
        <v>0</v>
      </c>
      <c r="J50" s="63">
        <f>SUMIF('Manage FBA Inventory(EU)'!A:A,D:D,'Manage FBA Inventory(EU)'!P:P)</f>
        <v>0</v>
      </c>
      <c r="K50" s="63"/>
      <c r="L50" s="75">
        <f>SUMIF(本地仓库存!D:D,B:B,本地仓库存!H:H)</f>
        <v>0</v>
      </c>
      <c r="M50" s="63">
        <v>0</v>
      </c>
      <c r="N50" s="63">
        <v>0</v>
      </c>
      <c r="O50" s="63">
        <v>320</v>
      </c>
      <c r="P50" s="63">
        <v>0</v>
      </c>
      <c r="Q50" s="63">
        <v>64</v>
      </c>
      <c r="R50" s="63">
        <f>SUMIF(过去3天!N:N,D:D,过去3天!P:P)/3</f>
        <v>0</v>
      </c>
      <c r="S50" s="79">
        <f>SUMIF(过去7天!N:N,D:D,过去7天!P:P)/7</f>
        <v>0</v>
      </c>
      <c r="T50" s="79">
        <f>SUMIF(过去14天!N:N,D:D,过去14天!P:P)/14</f>
        <v>0</v>
      </c>
      <c r="U50" s="85">
        <f>SUMIF(过去30天!N:N,D:D,过去30天!P:P)/30</f>
        <v>0</v>
      </c>
      <c r="V50" s="85">
        <f t="shared" si="14"/>
        <v>0</v>
      </c>
      <c r="W50" s="85">
        <v>1</v>
      </c>
      <c r="X50" s="79">
        <f t="shared" si="15"/>
        <v>0</v>
      </c>
      <c r="Y50" s="75">
        <v>7</v>
      </c>
      <c r="Z50" s="85">
        <v>15</v>
      </c>
      <c r="AA50" s="85">
        <v>20</v>
      </c>
      <c r="AB50" s="79">
        <f t="shared" si="23"/>
        <v>0</v>
      </c>
      <c r="AC50" s="79">
        <f t="shared" si="16"/>
        <v>0</v>
      </c>
      <c r="AD50" s="90">
        <f t="shared" si="17"/>
        <v>0</v>
      </c>
      <c r="AE50" s="90">
        <f t="shared" si="18"/>
        <v>0</v>
      </c>
      <c r="AF50" s="90">
        <f t="shared" si="19"/>
        <v>0</v>
      </c>
      <c r="AG50" s="90">
        <f t="shared" si="20"/>
        <v>0</v>
      </c>
      <c r="AH50" s="90">
        <f t="shared" si="21"/>
        <v>0</v>
      </c>
      <c r="AI50" s="90">
        <f t="shared" si="22"/>
        <v>0</v>
      </c>
      <c r="AJ50" s="79" t="str">
        <f t="shared" si="25"/>
        <v>地狱</v>
      </c>
      <c r="AK50" s="79" t="str">
        <f t="shared" si="26"/>
        <v>红单</v>
      </c>
    </row>
    <row r="51" ht="34" customHeight="1" spans="1:37">
      <c r="A51" s="62">
        <f ca="1" t="shared" si="24"/>
        <v>45989</v>
      </c>
      <c r="G51" s="63">
        <f>SUMIF('Manage FBA Inventory(EU)'!A:A,D:D,'Manage FBA Inventory(EU)'!K:K)</f>
        <v>0</v>
      </c>
      <c r="H51" s="63">
        <f>SUMIF('Manage FBA Inventory(EU)'!A:A,D:D,'Manage FBA Inventory(EU)'!Q:Q)</f>
        <v>0</v>
      </c>
      <c r="I51" s="63">
        <f>SUMIF('Manage FBA Inventory(EU)'!A:A,D:D,'Manage FBA Inventory(EU)'!R:R)</f>
        <v>0</v>
      </c>
      <c r="J51" s="63">
        <f>SUMIF('Manage FBA Inventory(EU)'!A:A,D:D,'Manage FBA Inventory(EU)'!P:P)</f>
        <v>0</v>
      </c>
      <c r="K51" s="63"/>
      <c r="L51" s="75">
        <f>SUMIF(本地仓库存!D:D,B:B,本地仓库存!H:H)</f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f>SUMIF(过去3天!N:N,D:D,过去3天!P:P)/3</f>
        <v>0</v>
      </c>
      <c r="S51" s="79">
        <f>SUMIF(过去7天!N:N,D:D,过去7天!P:P)/7</f>
        <v>0</v>
      </c>
      <c r="T51" s="79">
        <f>SUMIF(过去14天!N:N,D:D,过去14天!P:P)/14</f>
        <v>0</v>
      </c>
      <c r="U51" s="85">
        <f>SUMIF(过去30天!N:N,D:D,过去30天!P:P)/30</f>
        <v>0</v>
      </c>
      <c r="V51" s="85">
        <f t="shared" si="14"/>
        <v>0</v>
      </c>
      <c r="W51" s="85">
        <v>1</v>
      </c>
      <c r="X51" s="79">
        <f t="shared" si="15"/>
        <v>0</v>
      </c>
      <c r="Y51" s="75">
        <v>7</v>
      </c>
      <c r="Z51" s="85">
        <v>15</v>
      </c>
      <c r="AA51" s="85">
        <v>20</v>
      </c>
      <c r="AB51" s="79">
        <f t="shared" si="23"/>
        <v>0</v>
      </c>
      <c r="AC51" s="79">
        <f t="shared" si="16"/>
        <v>0</v>
      </c>
      <c r="AD51" s="90">
        <f t="shared" si="17"/>
        <v>0</v>
      </c>
      <c r="AE51" s="90">
        <f t="shared" si="18"/>
        <v>0</v>
      </c>
      <c r="AF51" s="90">
        <f t="shared" si="19"/>
        <v>0</v>
      </c>
      <c r="AG51" s="90">
        <f t="shared" si="20"/>
        <v>0</v>
      </c>
      <c r="AH51" s="90">
        <f t="shared" si="21"/>
        <v>0</v>
      </c>
      <c r="AI51" s="90">
        <f t="shared" si="22"/>
        <v>0</v>
      </c>
      <c r="AJ51" s="79" t="str">
        <f t="shared" si="25"/>
        <v>地狱</v>
      </c>
      <c r="AK51" s="79" t="str">
        <f t="shared" si="26"/>
        <v>红单</v>
      </c>
    </row>
    <row r="52" ht="34" customHeight="1" spans="1:37">
      <c r="A52" s="62">
        <f ca="1" t="shared" si="24"/>
        <v>45989</v>
      </c>
      <c r="G52" s="63">
        <f>SUMIF('Manage FBA Inventory(EU)'!A:A,D:D,'Manage FBA Inventory(EU)'!K:K)</f>
        <v>0</v>
      </c>
      <c r="H52" s="63">
        <f>SUMIF('Manage FBA Inventory(EU)'!A:A,D:D,'Manage FBA Inventory(EU)'!Q:Q)</f>
        <v>0</v>
      </c>
      <c r="I52" s="63">
        <f>SUMIF('Manage FBA Inventory(EU)'!A:A,D:D,'Manage FBA Inventory(EU)'!R:R)</f>
        <v>0</v>
      </c>
      <c r="J52" s="63">
        <f>SUMIF('Manage FBA Inventory(EU)'!A:A,D:D,'Manage FBA Inventory(EU)'!P:P)</f>
        <v>0</v>
      </c>
      <c r="K52" s="63"/>
      <c r="L52" s="75">
        <f>SUMIF(本地仓库存!D:D,B:B,本地仓库存!H:H)</f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f>SUMIF(过去3天!N:N,D:D,过去3天!P:P)/3</f>
        <v>0</v>
      </c>
      <c r="S52" s="79">
        <f>SUMIF(过去7天!N:N,D:D,过去7天!P:P)/7</f>
        <v>0</v>
      </c>
      <c r="T52" s="79">
        <f>SUMIF(过去14天!N:N,D:D,过去14天!P:P)/14</f>
        <v>0</v>
      </c>
      <c r="U52" s="85">
        <f>SUMIF(过去30天!N:N,D:D,过去30天!P:P)/30</f>
        <v>0</v>
      </c>
      <c r="V52" s="85">
        <f t="shared" si="14"/>
        <v>0</v>
      </c>
      <c r="W52" s="85">
        <v>1</v>
      </c>
      <c r="X52" s="79">
        <f t="shared" si="15"/>
        <v>0</v>
      </c>
      <c r="Y52" s="75">
        <v>7</v>
      </c>
      <c r="Z52" s="85">
        <v>15</v>
      </c>
      <c r="AA52" s="85">
        <v>55</v>
      </c>
      <c r="AB52" s="79">
        <f t="shared" si="23"/>
        <v>0</v>
      </c>
      <c r="AC52" s="79">
        <f t="shared" si="16"/>
        <v>0</v>
      </c>
      <c r="AD52" s="90">
        <f t="shared" si="17"/>
        <v>0</v>
      </c>
      <c r="AE52" s="90">
        <f t="shared" si="18"/>
        <v>0</v>
      </c>
      <c r="AF52" s="90">
        <f t="shared" si="19"/>
        <v>0</v>
      </c>
      <c r="AG52" s="90">
        <f t="shared" si="20"/>
        <v>0</v>
      </c>
      <c r="AH52" s="90">
        <f t="shared" si="21"/>
        <v>0</v>
      </c>
      <c r="AI52" s="90">
        <f t="shared" si="22"/>
        <v>0</v>
      </c>
      <c r="AJ52" s="79" t="str">
        <f t="shared" si="25"/>
        <v>地狱</v>
      </c>
      <c r="AK52" s="79" t="str">
        <f t="shared" si="26"/>
        <v>红单</v>
      </c>
    </row>
    <row r="53" ht="34" customHeight="1" spans="1:37">
      <c r="A53" s="62">
        <f ca="1" t="shared" si="24"/>
        <v>45989</v>
      </c>
      <c r="G53" s="63">
        <f>SUMIF('Manage FBA Inventory(EU)'!A:A,D:D,'Manage FBA Inventory(EU)'!K:K)</f>
        <v>0</v>
      </c>
      <c r="H53" s="63">
        <f>SUMIF('Manage FBA Inventory(EU)'!A:A,D:D,'Manage FBA Inventory(EU)'!Q:Q)</f>
        <v>0</v>
      </c>
      <c r="I53" s="63">
        <f>SUMIF('Manage FBA Inventory(EU)'!A:A,D:D,'Manage FBA Inventory(EU)'!R:R)</f>
        <v>0</v>
      </c>
      <c r="J53" s="63">
        <f>SUMIF('Manage FBA Inventory(EU)'!A:A,D:D,'Manage FBA Inventory(EU)'!P:P)</f>
        <v>0</v>
      </c>
      <c r="K53" s="63"/>
      <c r="L53" s="75">
        <f>SUMIF(本地仓库存!D:D,B:B,本地仓库存!H:H)</f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f>SUMIF(过去3天!N:N,D:D,过去3天!P:P)/3</f>
        <v>0</v>
      </c>
      <c r="S53" s="79">
        <f>SUMIF(过去7天!N:N,D:D,过去7天!P:P)/7</f>
        <v>0</v>
      </c>
      <c r="T53" s="79">
        <f>SUMIF(过去14天!N:N,D:D,过去14天!P:P)/14</f>
        <v>0</v>
      </c>
      <c r="U53" s="85">
        <f>SUMIF(过去30天!N:N,D:D,过去30天!P:P)/30</f>
        <v>0</v>
      </c>
      <c r="V53" s="85">
        <f t="shared" si="14"/>
        <v>0</v>
      </c>
      <c r="W53" s="85">
        <v>1</v>
      </c>
      <c r="X53" s="79">
        <f t="shared" si="15"/>
        <v>0</v>
      </c>
      <c r="Y53" s="75">
        <v>7</v>
      </c>
      <c r="Z53" s="85">
        <v>15</v>
      </c>
      <c r="AA53" s="85">
        <v>55</v>
      </c>
      <c r="AB53" s="79">
        <f t="shared" si="23"/>
        <v>0</v>
      </c>
      <c r="AC53" s="79">
        <f t="shared" si="16"/>
        <v>0</v>
      </c>
      <c r="AD53" s="90">
        <f t="shared" si="17"/>
        <v>0</v>
      </c>
      <c r="AE53" s="90">
        <f t="shared" si="18"/>
        <v>0</v>
      </c>
      <c r="AF53" s="90">
        <f t="shared" si="19"/>
        <v>0</v>
      </c>
      <c r="AG53" s="90">
        <f t="shared" si="20"/>
        <v>0</v>
      </c>
      <c r="AH53" s="90">
        <f t="shared" si="21"/>
        <v>0</v>
      </c>
      <c r="AI53" s="90">
        <f t="shared" si="22"/>
        <v>0</v>
      </c>
      <c r="AJ53" s="79" t="str">
        <f t="shared" si="25"/>
        <v>地狱</v>
      </c>
      <c r="AK53" s="79" t="str">
        <f t="shared" si="26"/>
        <v>红单</v>
      </c>
    </row>
    <row r="54" ht="34" customHeight="1" spans="1:37">
      <c r="A54" s="62">
        <f ca="1" t="shared" ref="A54:A62" si="27">TODAY()</f>
        <v>45989</v>
      </c>
      <c r="G54" s="63">
        <f>SUMIF('Manage FBA Inventory(EU)'!A:A,D:D,'Manage FBA Inventory(EU)'!K:K)</f>
        <v>0</v>
      </c>
      <c r="H54" s="63">
        <f>SUMIF('Manage FBA Inventory(EU)'!A:A,D:D,'Manage FBA Inventory(EU)'!Q:Q)</f>
        <v>0</v>
      </c>
      <c r="I54" s="63">
        <f>SUMIF('Manage FBA Inventory(EU)'!A:A,D:D,'Manage FBA Inventory(EU)'!R:R)</f>
        <v>0</v>
      </c>
      <c r="J54" s="63">
        <f>SUMIF('Manage FBA Inventory(EU)'!A:A,D:D,'Manage FBA Inventory(EU)'!P:P)</f>
        <v>0</v>
      </c>
      <c r="K54" s="63"/>
      <c r="L54" s="75">
        <f>SUMIF(本地仓库存!D:D,B:B,本地仓库存!H:H)</f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f>SUMIF(过去3天!N:N,D:D,过去3天!P:P)/3</f>
        <v>0</v>
      </c>
      <c r="S54" s="79">
        <f>SUMIF(过去7天!N:N,D:D,过去7天!P:P)/7</f>
        <v>0</v>
      </c>
      <c r="T54" s="79">
        <f>SUMIF(过去14天!N:N,D:D,过去14天!P:P)/14</f>
        <v>0</v>
      </c>
      <c r="U54" s="85">
        <f>SUMIF(过去30天!N:N,D:D,过去30天!P:P)/30</f>
        <v>0</v>
      </c>
      <c r="V54" s="85">
        <f t="shared" si="14"/>
        <v>0</v>
      </c>
      <c r="W54" s="85">
        <v>1</v>
      </c>
      <c r="X54" s="79">
        <f t="shared" si="15"/>
        <v>0</v>
      </c>
      <c r="Y54" s="75">
        <v>7</v>
      </c>
      <c r="Z54" s="85">
        <v>15</v>
      </c>
      <c r="AA54" s="85">
        <v>55</v>
      </c>
      <c r="AB54" s="79">
        <f t="shared" si="23"/>
        <v>0</v>
      </c>
      <c r="AC54" s="79">
        <f t="shared" si="16"/>
        <v>0</v>
      </c>
      <c r="AD54" s="90">
        <f t="shared" si="17"/>
        <v>0</v>
      </c>
      <c r="AE54" s="90">
        <f t="shared" si="18"/>
        <v>0</v>
      </c>
      <c r="AF54" s="90">
        <f t="shared" si="19"/>
        <v>0</v>
      </c>
      <c r="AG54" s="90">
        <f t="shared" si="20"/>
        <v>0</v>
      </c>
      <c r="AH54" s="90">
        <f t="shared" si="21"/>
        <v>0</v>
      </c>
      <c r="AI54" s="90">
        <f t="shared" si="22"/>
        <v>0</v>
      </c>
      <c r="AJ54" s="79" t="str">
        <f t="shared" si="25"/>
        <v>地狱</v>
      </c>
      <c r="AK54" s="79" t="str">
        <f t="shared" si="26"/>
        <v>红单</v>
      </c>
    </row>
    <row r="55" ht="34" customHeight="1" spans="1:37">
      <c r="A55" s="62">
        <f ca="1" t="shared" si="27"/>
        <v>45989</v>
      </c>
      <c r="G55" s="63">
        <f>SUMIF('Manage FBA Inventory(EU)'!A:A,D:D,'Manage FBA Inventory(EU)'!K:K)</f>
        <v>0</v>
      </c>
      <c r="H55" s="63">
        <f>SUMIF('Manage FBA Inventory(EU)'!A:A,D:D,'Manage FBA Inventory(EU)'!Q:Q)</f>
        <v>0</v>
      </c>
      <c r="I55" s="63">
        <f>SUMIF('Manage FBA Inventory(EU)'!A:A,D:D,'Manage FBA Inventory(EU)'!R:R)</f>
        <v>0</v>
      </c>
      <c r="J55" s="63">
        <f>SUMIF('Manage FBA Inventory(EU)'!A:A,D:D,'Manage FBA Inventory(EU)'!P:P)</f>
        <v>0</v>
      </c>
      <c r="K55" s="63"/>
      <c r="L55" s="75">
        <f>SUMIF(本地仓库存!D:D,B:B,本地仓库存!H:H)</f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f>SUMIF(过去3天!N:N,D:D,过去3天!P:P)/3</f>
        <v>0</v>
      </c>
      <c r="S55" s="79">
        <f>SUMIF(过去7天!N:N,D:D,过去7天!P:P)/7</f>
        <v>0</v>
      </c>
      <c r="T55" s="79">
        <f>SUMIF(过去14天!N:N,D:D,过去14天!P:P)/14</f>
        <v>0</v>
      </c>
      <c r="U55" s="85">
        <f>SUMIF(过去30天!N:N,D:D,过去30天!P:P)/30</f>
        <v>0</v>
      </c>
      <c r="V55" s="85">
        <f t="shared" si="14"/>
        <v>0</v>
      </c>
      <c r="W55" s="85">
        <v>1</v>
      </c>
      <c r="X55" s="79">
        <f t="shared" si="15"/>
        <v>0</v>
      </c>
      <c r="Y55" s="75">
        <v>7</v>
      </c>
      <c r="Z55" s="85">
        <v>15</v>
      </c>
      <c r="AA55" s="85">
        <v>55</v>
      </c>
      <c r="AB55" s="79">
        <f t="shared" si="23"/>
        <v>0</v>
      </c>
      <c r="AC55" s="79">
        <f t="shared" si="16"/>
        <v>0</v>
      </c>
      <c r="AD55" s="90">
        <f t="shared" si="17"/>
        <v>0</v>
      </c>
      <c r="AE55" s="90">
        <f t="shared" si="18"/>
        <v>0</v>
      </c>
      <c r="AF55" s="90">
        <f t="shared" si="19"/>
        <v>0</v>
      </c>
      <c r="AG55" s="90">
        <f t="shared" si="20"/>
        <v>0</v>
      </c>
      <c r="AH55" s="90">
        <f t="shared" si="21"/>
        <v>0</v>
      </c>
      <c r="AI55" s="90">
        <f t="shared" si="22"/>
        <v>0</v>
      </c>
      <c r="AJ55" s="79" t="str">
        <f t="shared" si="25"/>
        <v>地狱</v>
      </c>
      <c r="AK55" s="79" t="str">
        <f t="shared" si="26"/>
        <v>红单</v>
      </c>
    </row>
    <row r="56" ht="34" customHeight="1" spans="1:37">
      <c r="A56" s="62">
        <f ca="1" t="shared" si="27"/>
        <v>45989</v>
      </c>
      <c r="G56" s="63">
        <f>SUMIF('Manage FBA Inventory(EU)'!A:A,D:D,'Manage FBA Inventory(EU)'!K:K)</f>
        <v>0</v>
      </c>
      <c r="H56" s="63">
        <f>SUMIF('Manage FBA Inventory(EU)'!A:A,D:D,'Manage FBA Inventory(EU)'!Q:Q)</f>
        <v>0</v>
      </c>
      <c r="I56" s="63">
        <f>SUMIF('Manage FBA Inventory(EU)'!A:A,D:D,'Manage FBA Inventory(EU)'!R:R)</f>
        <v>0</v>
      </c>
      <c r="J56" s="63">
        <f>SUMIF('Manage FBA Inventory(EU)'!A:A,D:D,'Manage FBA Inventory(EU)'!P:P)</f>
        <v>0</v>
      </c>
      <c r="K56" s="63"/>
      <c r="L56" s="75">
        <f>SUMIF(本地仓库存!D:D,B:B,本地仓库存!H:H)</f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f>SUMIF(过去3天!N:N,D:D,过去3天!P:P)/3</f>
        <v>0</v>
      </c>
      <c r="S56" s="79">
        <f>SUMIF(过去7天!N:N,D:D,过去7天!P:P)/7</f>
        <v>0</v>
      </c>
      <c r="T56" s="79">
        <f>SUMIF(过去14天!N:N,D:D,过去14天!P:P)/14</f>
        <v>0</v>
      </c>
      <c r="U56" s="85">
        <f>SUMIF(过去30天!N:N,D:D,过去30天!P:P)/30</f>
        <v>0</v>
      </c>
      <c r="V56" s="85">
        <f t="shared" si="14"/>
        <v>0</v>
      </c>
      <c r="W56" s="85">
        <v>1</v>
      </c>
      <c r="X56" s="79">
        <f t="shared" si="15"/>
        <v>0</v>
      </c>
      <c r="Y56" s="75">
        <v>7</v>
      </c>
      <c r="Z56" s="85">
        <v>15</v>
      </c>
      <c r="AA56" s="85">
        <v>55</v>
      </c>
      <c r="AB56" s="79">
        <f t="shared" si="23"/>
        <v>0</v>
      </c>
      <c r="AC56" s="79">
        <f t="shared" si="16"/>
        <v>0</v>
      </c>
      <c r="AD56" s="90">
        <f t="shared" si="17"/>
        <v>0</v>
      </c>
      <c r="AE56" s="90">
        <f t="shared" si="18"/>
        <v>0</v>
      </c>
      <c r="AF56" s="90">
        <f t="shared" si="19"/>
        <v>0</v>
      </c>
      <c r="AG56" s="90">
        <f t="shared" si="20"/>
        <v>0</v>
      </c>
      <c r="AH56" s="90">
        <f t="shared" si="21"/>
        <v>0</v>
      </c>
      <c r="AI56" s="90">
        <f t="shared" si="22"/>
        <v>0</v>
      </c>
      <c r="AJ56" s="79" t="str">
        <f t="shared" si="25"/>
        <v>地狱</v>
      </c>
      <c r="AK56" s="79" t="str">
        <f t="shared" si="26"/>
        <v>红单</v>
      </c>
    </row>
    <row r="57" ht="34" customHeight="1" spans="1:37">
      <c r="A57" s="62">
        <f ca="1" t="shared" si="27"/>
        <v>45989</v>
      </c>
      <c r="G57" s="63">
        <f>SUMIF('Manage FBA Inventory(EU)'!A:A,D:D,'Manage FBA Inventory(EU)'!K:K)</f>
        <v>0</v>
      </c>
      <c r="H57" s="63">
        <f>SUMIF('Manage FBA Inventory(EU)'!A:A,D:D,'Manage FBA Inventory(EU)'!Q:Q)</f>
        <v>0</v>
      </c>
      <c r="I57" s="63">
        <f>SUMIF('Manage FBA Inventory(EU)'!A:A,D:D,'Manage FBA Inventory(EU)'!R:R)</f>
        <v>0</v>
      </c>
      <c r="J57" s="63">
        <f>SUMIF('Manage FBA Inventory(EU)'!A:A,D:D,'Manage FBA Inventory(EU)'!P:P)</f>
        <v>0</v>
      </c>
      <c r="K57" s="63"/>
      <c r="L57" s="75">
        <f>SUMIF(本地仓库存!D:D,B:B,本地仓库存!H:H)</f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f>SUMIF(过去3天!N:N,D:D,过去3天!P:P)/3</f>
        <v>0</v>
      </c>
      <c r="S57" s="79">
        <f>SUMIF(过去7天!N:N,D:D,过去7天!P:P)/7</f>
        <v>0</v>
      </c>
      <c r="T57" s="79">
        <f>SUMIF(过去14天!N:N,D:D,过去14天!P:P)/14</f>
        <v>0</v>
      </c>
      <c r="U57" s="85">
        <f>SUMIF(过去30天!N:N,D:D,过去30天!P:P)/30</f>
        <v>0</v>
      </c>
      <c r="V57" s="85">
        <f t="shared" si="14"/>
        <v>0</v>
      </c>
      <c r="W57" s="85">
        <v>1</v>
      </c>
      <c r="X57" s="79">
        <f t="shared" si="15"/>
        <v>0</v>
      </c>
      <c r="Y57" s="75">
        <v>7</v>
      </c>
      <c r="Z57" s="85">
        <v>15</v>
      </c>
      <c r="AA57" s="85">
        <v>55</v>
      </c>
      <c r="AB57" s="79">
        <f t="shared" si="23"/>
        <v>0</v>
      </c>
      <c r="AC57" s="79">
        <f t="shared" si="16"/>
        <v>0</v>
      </c>
      <c r="AD57" s="90">
        <f t="shared" si="17"/>
        <v>0</v>
      </c>
      <c r="AE57" s="90">
        <f t="shared" si="18"/>
        <v>0</v>
      </c>
      <c r="AF57" s="90">
        <f t="shared" si="19"/>
        <v>0</v>
      </c>
      <c r="AG57" s="90">
        <f t="shared" si="20"/>
        <v>0</v>
      </c>
      <c r="AH57" s="90">
        <f t="shared" si="21"/>
        <v>0</v>
      </c>
      <c r="AI57" s="90">
        <f t="shared" si="22"/>
        <v>0</v>
      </c>
      <c r="AJ57" s="79" t="str">
        <f t="shared" si="25"/>
        <v>地狱</v>
      </c>
      <c r="AK57" s="79" t="str">
        <f t="shared" si="26"/>
        <v>红单</v>
      </c>
    </row>
    <row r="58" ht="34" customHeight="1" spans="1:37">
      <c r="A58" s="62">
        <f ca="1" t="shared" si="27"/>
        <v>45989</v>
      </c>
      <c r="G58" s="63">
        <f>SUMIF('Manage FBA Inventory(EU)'!A:A,D:D,'Manage FBA Inventory(EU)'!K:K)</f>
        <v>0</v>
      </c>
      <c r="H58" s="63">
        <f>SUMIF('Manage FBA Inventory(EU)'!A:A,D:D,'Manage FBA Inventory(EU)'!Q:Q)</f>
        <v>0</v>
      </c>
      <c r="I58" s="63">
        <f>SUMIF('Manage FBA Inventory(EU)'!A:A,D:D,'Manage FBA Inventory(EU)'!R:R)</f>
        <v>0</v>
      </c>
      <c r="J58" s="63">
        <f>SUMIF('Manage FBA Inventory(EU)'!A:A,D:D,'Manage FBA Inventory(EU)'!P:P)</f>
        <v>0</v>
      </c>
      <c r="K58" s="63"/>
      <c r="L58" s="75">
        <f>SUMIF(本地仓库存!D:D,B:B,本地仓库存!H:H)</f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f>SUMIF(过去3天!N:N,D:D,过去3天!P:P)/3</f>
        <v>0</v>
      </c>
      <c r="S58" s="79">
        <f>SUMIF(过去7天!N:N,D:D,过去7天!P:P)/7</f>
        <v>0</v>
      </c>
      <c r="T58" s="79">
        <f>SUMIF(过去14天!N:N,D:D,过去14天!P:P)/14</f>
        <v>0</v>
      </c>
      <c r="U58" s="85">
        <f>SUMIF(过去30天!N:N,D:D,过去30天!P:P)/30</f>
        <v>0</v>
      </c>
      <c r="V58" s="85">
        <f t="shared" si="14"/>
        <v>0</v>
      </c>
      <c r="W58" s="85">
        <v>1</v>
      </c>
      <c r="X58" s="79">
        <f t="shared" si="15"/>
        <v>0</v>
      </c>
      <c r="Y58" s="75">
        <v>7</v>
      </c>
      <c r="Z58" s="85">
        <v>15</v>
      </c>
      <c r="AA58" s="85">
        <v>55</v>
      </c>
      <c r="AB58" s="79">
        <f t="shared" si="23"/>
        <v>0</v>
      </c>
      <c r="AC58" s="79">
        <f t="shared" si="16"/>
        <v>0</v>
      </c>
      <c r="AD58" s="90">
        <f t="shared" si="17"/>
        <v>0</v>
      </c>
      <c r="AE58" s="90">
        <f t="shared" si="18"/>
        <v>0</v>
      </c>
      <c r="AF58" s="90">
        <f t="shared" si="19"/>
        <v>0</v>
      </c>
      <c r="AG58" s="90">
        <f t="shared" si="20"/>
        <v>0</v>
      </c>
      <c r="AH58" s="90">
        <f t="shared" si="21"/>
        <v>0</v>
      </c>
      <c r="AI58" s="90">
        <f t="shared" si="22"/>
        <v>0</v>
      </c>
      <c r="AJ58" s="79" t="str">
        <f t="shared" si="25"/>
        <v>地狱</v>
      </c>
      <c r="AK58" s="79" t="str">
        <f t="shared" si="26"/>
        <v>红单</v>
      </c>
    </row>
    <row r="59" ht="34" customHeight="1" spans="1:37">
      <c r="A59" s="62">
        <f ca="1" t="shared" si="27"/>
        <v>45989</v>
      </c>
      <c r="G59" s="63">
        <f>SUMIF('Manage FBA Inventory(EU)'!A:A,D:D,'Manage FBA Inventory(EU)'!K:K)</f>
        <v>0</v>
      </c>
      <c r="H59" s="63">
        <f>SUMIF('Manage FBA Inventory(EU)'!A:A,D:D,'Manage FBA Inventory(EU)'!Q:Q)</f>
        <v>0</v>
      </c>
      <c r="I59" s="63">
        <f>SUMIF('Manage FBA Inventory(EU)'!A:A,D:D,'Manage FBA Inventory(EU)'!R:R)</f>
        <v>0</v>
      </c>
      <c r="J59" s="63">
        <f>SUMIF('Manage FBA Inventory(EU)'!A:A,D:D,'Manage FBA Inventory(EU)'!P:P)</f>
        <v>0</v>
      </c>
      <c r="K59" s="63"/>
      <c r="L59" s="75">
        <f>SUMIF(本地仓库存!D:D,B:B,本地仓库存!H:H)</f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f>SUMIF(过去3天!N:N,D:D,过去3天!P:P)/3</f>
        <v>0</v>
      </c>
      <c r="S59" s="79">
        <f>SUMIF(过去7天!N:N,D:D,过去7天!P:P)/7</f>
        <v>0</v>
      </c>
      <c r="T59" s="79">
        <f>SUMIF(过去14天!N:N,D:D,过去14天!P:P)/14</f>
        <v>0</v>
      </c>
      <c r="U59" s="85">
        <f>SUMIF(过去30天!N:N,D:D,过去30天!P:P)/30</f>
        <v>0</v>
      </c>
      <c r="V59" s="85">
        <f t="shared" si="14"/>
        <v>0</v>
      </c>
      <c r="W59" s="85">
        <v>1</v>
      </c>
      <c r="X59" s="79">
        <f t="shared" si="15"/>
        <v>0</v>
      </c>
      <c r="Y59" s="75">
        <v>7</v>
      </c>
      <c r="Z59" s="85">
        <v>15</v>
      </c>
      <c r="AA59" s="85">
        <v>55</v>
      </c>
      <c r="AB59" s="79">
        <f t="shared" si="23"/>
        <v>0</v>
      </c>
      <c r="AC59" s="79">
        <f t="shared" si="16"/>
        <v>0</v>
      </c>
      <c r="AD59" s="90">
        <f t="shared" si="17"/>
        <v>0</v>
      </c>
      <c r="AE59" s="90">
        <f t="shared" si="18"/>
        <v>0</v>
      </c>
      <c r="AF59" s="90">
        <f t="shared" si="19"/>
        <v>0</v>
      </c>
      <c r="AG59" s="90">
        <f t="shared" si="20"/>
        <v>0</v>
      </c>
      <c r="AH59" s="90">
        <f t="shared" si="21"/>
        <v>0</v>
      </c>
      <c r="AI59" s="90">
        <f t="shared" si="22"/>
        <v>0</v>
      </c>
      <c r="AJ59" s="79" t="str">
        <f t="shared" si="25"/>
        <v>地狱</v>
      </c>
      <c r="AK59" s="79" t="str">
        <f t="shared" si="26"/>
        <v>红单</v>
      </c>
    </row>
    <row r="60" ht="34" customHeight="1" spans="1:37">
      <c r="A60" s="62">
        <f ca="1" t="shared" si="27"/>
        <v>45989</v>
      </c>
      <c r="G60" s="63">
        <f>SUMIF('Manage FBA Inventory(EU)'!A:A,D:D,'Manage FBA Inventory(EU)'!K:K)</f>
        <v>0</v>
      </c>
      <c r="H60" s="63">
        <f>SUMIF('Manage FBA Inventory(EU)'!A:A,D:D,'Manage FBA Inventory(EU)'!Q:Q)</f>
        <v>0</v>
      </c>
      <c r="I60" s="63">
        <f>SUMIF('Manage FBA Inventory(EU)'!A:A,D:D,'Manage FBA Inventory(EU)'!R:R)</f>
        <v>0</v>
      </c>
      <c r="J60" s="63">
        <f>SUMIF('Manage FBA Inventory(EU)'!A:A,D:D,'Manage FBA Inventory(EU)'!P:P)</f>
        <v>0</v>
      </c>
      <c r="K60" s="63"/>
      <c r="L60" s="75">
        <f>SUMIF(本地仓库存!D:D,B:B,本地仓库存!H:H)</f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f>SUMIF(过去3天!N:N,D:D,过去3天!P:P)/3</f>
        <v>0</v>
      </c>
      <c r="S60" s="79">
        <f>SUMIF(过去7天!N:N,D:D,过去7天!P:P)/7</f>
        <v>0</v>
      </c>
      <c r="T60" s="79">
        <f>SUMIF(过去14天!N:N,D:D,过去14天!P:P)/14</f>
        <v>0</v>
      </c>
      <c r="U60" s="85">
        <f>SUMIF(过去30天!N:N,D:D,过去30天!P:P)/30</f>
        <v>0</v>
      </c>
      <c r="V60" s="85">
        <f t="shared" si="14"/>
        <v>0</v>
      </c>
      <c r="W60" s="85">
        <v>1</v>
      </c>
      <c r="X60" s="79">
        <f t="shared" si="15"/>
        <v>0</v>
      </c>
      <c r="Y60" s="75">
        <v>7</v>
      </c>
      <c r="Z60" s="85">
        <v>15</v>
      </c>
      <c r="AA60" s="85">
        <v>55</v>
      </c>
      <c r="AB60" s="79">
        <f t="shared" si="23"/>
        <v>0</v>
      </c>
      <c r="AC60" s="79">
        <f t="shared" si="16"/>
        <v>0</v>
      </c>
      <c r="AD60" s="90">
        <f t="shared" si="17"/>
        <v>0</v>
      </c>
      <c r="AE60" s="90">
        <f t="shared" si="18"/>
        <v>0</v>
      </c>
      <c r="AF60" s="90">
        <f t="shared" si="19"/>
        <v>0</v>
      </c>
      <c r="AG60" s="90">
        <f t="shared" si="20"/>
        <v>0</v>
      </c>
      <c r="AH60" s="90">
        <f t="shared" si="21"/>
        <v>0</v>
      </c>
      <c r="AI60" s="90">
        <f t="shared" si="22"/>
        <v>0</v>
      </c>
      <c r="AJ60" s="79" t="str">
        <f t="shared" si="25"/>
        <v>地狱</v>
      </c>
      <c r="AK60" s="79" t="str">
        <f t="shared" si="26"/>
        <v>红单</v>
      </c>
    </row>
    <row r="61" ht="34" customHeight="1" spans="1:37">
      <c r="A61" s="62">
        <f ca="1" t="shared" si="27"/>
        <v>45989</v>
      </c>
      <c r="G61" s="63">
        <f>SUMIF('Manage FBA Inventory(EU)'!A:A,D:D,'Manage FBA Inventory(EU)'!K:K)</f>
        <v>0</v>
      </c>
      <c r="H61" s="63">
        <f>SUMIF('Manage FBA Inventory(EU)'!A:A,D:D,'Manage FBA Inventory(EU)'!Q:Q)</f>
        <v>0</v>
      </c>
      <c r="I61" s="63">
        <f>SUMIF('Manage FBA Inventory(EU)'!A:A,D:D,'Manage FBA Inventory(EU)'!R:R)</f>
        <v>0</v>
      </c>
      <c r="J61" s="63">
        <f>SUMIF('Manage FBA Inventory(EU)'!A:A,D:D,'Manage FBA Inventory(EU)'!P:P)</f>
        <v>0</v>
      </c>
      <c r="K61" s="63"/>
      <c r="L61" s="75">
        <f>SUMIF(本地仓库存!D:D,B:B,本地仓库存!H:H)</f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f>SUMIF(过去3天!N:N,D:D,过去3天!P:P)/3</f>
        <v>0</v>
      </c>
      <c r="S61" s="79">
        <f>SUMIF(过去7天!N:N,D:D,过去7天!P:P)/7</f>
        <v>0</v>
      </c>
      <c r="T61" s="79">
        <f>SUMIF(过去14天!N:N,D:D,过去14天!P:P)/14</f>
        <v>0</v>
      </c>
      <c r="U61" s="85">
        <f>SUMIF(过去30天!N:N,D:D,过去30天!P:P)/30</f>
        <v>0</v>
      </c>
      <c r="V61" s="85">
        <f t="shared" si="14"/>
        <v>0</v>
      </c>
      <c r="W61" s="85">
        <v>1</v>
      </c>
      <c r="X61" s="79">
        <f t="shared" si="15"/>
        <v>0</v>
      </c>
      <c r="Y61" s="75">
        <v>7</v>
      </c>
      <c r="Z61" s="85">
        <v>15</v>
      </c>
      <c r="AA61" s="85">
        <v>55</v>
      </c>
      <c r="AB61" s="79">
        <f t="shared" si="23"/>
        <v>0</v>
      </c>
      <c r="AC61" s="79">
        <f t="shared" si="16"/>
        <v>0</v>
      </c>
      <c r="AD61" s="90">
        <f t="shared" si="17"/>
        <v>0</v>
      </c>
      <c r="AE61" s="90">
        <f t="shared" si="18"/>
        <v>0</v>
      </c>
      <c r="AF61" s="90">
        <f t="shared" si="19"/>
        <v>0</v>
      </c>
      <c r="AG61" s="90">
        <f t="shared" si="20"/>
        <v>0</v>
      </c>
      <c r="AH61" s="90">
        <f t="shared" si="21"/>
        <v>0</v>
      </c>
      <c r="AI61" s="90">
        <f t="shared" si="22"/>
        <v>0</v>
      </c>
      <c r="AJ61" s="79" t="str">
        <f t="shared" si="25"/>
        <v>地狱</v>
      </c>
      <c r="AK61" s="79" t="str">
        <f t="shared" si="26"/>
        <v>红单</v>
      </c>
    </row>
    <row r="62" ht="34" customHeight="1" spans="1:37">
      <c r="A62" s="62">
        <f ca="1" t="shared" si="27"/>
        <v>45989</v>
      </c>
      <c r="G62" s="63">
        <f>SUMIF('Manage FBA Inventory(EU)'!A:A,D:D,'Manage FBA Inventory(EU)'!K:K)</f>
        <v>0</v>
      </c>
      <c r="H62" s="63">
        <f>SUMIF('Manage FBA Inventory(EU)'!A:A,D:D,'Manage FBA Inventory(EU)'!Q:Q)</f>
        <v>0</v>
      </c>
      <c r="I62" s="63">
        <f>SUMIF('Manage FBA Inventory(EU)'!A:A,D:D,'Manage FBA Inventory(EU)'!R:R)</f>
        <v>0</v>
      </c>
      <c r="J62" s="63">
        <f>SUMIF('Manage FBA Inventory(EU)'!A:A,D:D,'Manage FBA Inventory(EU)'!P:P)</f>
        <v>0</v>
      </c>
      <c r="K62" s="63"/>
      <c r="L62" s="75">
        <f>SUMIF(本地仓库存!D:D,B:B,本地仓库存!H:H)</f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f>SUMIF(过去3天!N:N,D:D,过去3天!P:P)/3</f>
        <v>0</v>
      </c>
      <c r="S62" s="79">
        <f>SUMIF(过去7天!N:N,D:D,过去7天!P:P)/7</f>
        <v>0</v>
      </c>
      <c r="T62" s="79">
        <f>SUMIF(过去14天!N:N,D:D,过去14天!P:P)/14</f>
        <v>0</v>
      </c>
      <c r="U62" s="85">
        <f>SUMIF(过去30天!N:N,D:D,过去30天!P:P)/30</f>
        <v>0</v>
      </c>
      <c r="V62" s="85">
        <f t="shared" si="14"/>
        <v>0</v>
      </c>
      <c r="W62" s="85">
        <v>1</v>
      </c>
      <c r="X62" s="79">
        <f t="shared" si="15"/>
        <v>0</v>
      </c>
      <c r="Y62" s="75">
        <v>7</v>
      </c>
      <c r="Z62" s="85">
        <v>15</v>
      </c>
      <c r="AA62" s="85">
        <v>55</v>
      </c>
      <c r="AB62" s="79">
        <f t="shared" si="23"/>
        <v>0</v>
      </c>
      <c r="AC62" s="79">
        <f t="shared" si="16"/>
        <v>0</v>
      </c>
      <c r="AD62" s="90">
        <f t="shared" si="17"/>
        <v>0</v>
      </c>
      <c r="AE62" s="90">
        <f t="shared" si="18"/>
        <v>0</v>
      </c>
      <c r="AF62" s="90">
        <f t="shared" si="19"/>
        <v>0</v>
      </c>
      <c r="AG62" s="90">
        <f t="shared" si="20"/>
        <v>0</v>
      </c>
      <c r="AH62" s="90">
        <f t="shared" si="21"/>
        <v>0</v>
      </c>
      <c r="AI62" s="90">
        <f t="shared" si="22"/>
        <v>0</v>
      </c>
      <c r="AJ62" s="79" t="str">
        <f t="shared" si="25"/>
        <v>地狱</v>
      </c>
      <c r="AK62" s="79" t="str">
        <f t="shared" si="26"/>
        <v>红单</v>
      </c>
    </row>
  </sheetData>
  <sheetProtection formatCells="0" insertHyperlinks="0" autoFilter="0"/>
  <sortState ref="A2:AP44">
    <sortCondition ref="AB2" descending="1"/>
  </sortState>
  <conditionalFormatting sqref="AJ1:AJ65494">
    <cfRule type="containsText" dxfId="0" priority="6" stopIfTrue="1" operator="between" text="十分危险">
      <formula>NOT(ISERROR(SEARCH("十分危险",AJ1)))</formula>
    </cfRule>
    <cfRule type="containsText" dxfId="1" priority="7" stopIfTrue="1" operator="between" text="相对安全">
      <formula>NOT(ISERROR(SEARCH("相对安全",AJ1)))</formula>
    </cfRule>
    <cfRule type="containsText" dxfId="2" priority="8" stopIfTrue="1" operator="between" text="地狱">
      <formula>NOT(ISERROR(SEARCH("地狱",AJ1)))</formula>
    </cfRule>
    <cfRule type="containsText" dxfId="3" priority="9" stopIfTrue="1" operator="between" text="极度危险">
      <formula>NOT(ISERROR(SEARCH("极度危险",AJ1)))</formula>
    </cfRule>
  </conditionalFormatting>
  <conditionalFormatting sqref="AJ1:AJ62">
    <cfRule type="containsText" dxfId="4" priority="10" stopIfTrue="1" operator="between" text="安全">
      <formula>NOT(ISERROR(SEARCH("安全",AJ1)))</formula>
    </cfRule>
  </conditionalFormatting>
  <conditionalFormatting sqref="AJ$1:AJ$1048576">
    <cfRule type="containsText" dxfId="5" priority="1" stopIfTrue="1" operator="between" text="相对危险">
      <formula>NOT(ISERROR(SEARCH("相对危险",AJ1)))</formula>
    </cfRule>
  </conditionalFormatting>
  <conditionalFormatting sqref="AK1:AK65494">
    <cfRule type="containsText" dxfId="6" priority="2" stopIfTrue="1" operator="between" text="红单">
      <formula>NOT(ISERROR(SEARCH("红单",AK1)))</formula>
    </cfRule>
    <cfRule type="containsText" dxfId="7" priority="3" stopIfTrue="1" operator="between" text="海派">
      <formula>NOT(ISERROR(SEARCH("海派",AK1)))</formula>
    </cfRule>
    <cfRule type="containsText" dxfId="8" priority="4" stopIfTrue="1" operator="between" text="不需要补货">
      <formula>NOT(ISERROR(SEARCH("不需要补货",AK1)))</formula>
    </cfRule>
    <cfRule type="containsText" dxfId="9" priority="5" stopIfTrue="1" operator="between" text="空派">
      <formula>NOT(ISERROR(SEARCH("空派",AK1)))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99"/>
  <sheetViews>
    <sheetView workbookViewId="0">
      <selection activeCell="F6" sqref="F6"/>
    </sheetView>
  </sheetViews>
  <sheetFormatPr defaultColWidth="9" defaultRowHeight="13.5"/>
  <cols>
    <col min="5" max="6" width="12.625"/>
    <col min="7" max="8" width="28.25" customWidth="1"/>
    <col min="23" max="23" width="16" customWidth="1"/>
    <col min="24" max="24" width="222.625" customWidth="1"/>
    <col min="27" max="27" width="11.5"/>
    <col min="28" max="28" width="10.375"/>
    <col min="35" max="35" width="11.5"/>
    <col min="36" max="36" width="10.375"/>
    <col min="45" max="45" width="12.625"/>
    <col min="49" max="49" width="9" style="53"/>
  </cols>
  <sheetData>
    <row r="1" ht="14.25" spans="1:1">
      <c r="A1" s="51"/>
    </row>
    <row r="2" ht="14.25"/>
    <row r="3" ht="14.25"/>
    <row r="4" ht="14.25"/>
    <row r="5" ht="14.25"/>
    <row r="6" ht="14.25"/>
    <row r="7" ht="14.25"/>
    <row r="8" ht="14.25"/>
    <row r="9" ht="14.25"/>
    <row r="10" ht="14.25"/>
    <row r="11" ht="14.25"/>
    <row r="12" ht="14.25"/>
    <row r="13" ht="14.25"/>
    <row r="14" ht="14.25"/>
    <row r="15" ht="11" customHeight="1"/>
    <row r="16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</sheetData>
  <sheetProtection formatCells="0" insertHyperlinks="0" autoFilter="0"/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48185:A1048576"/>
  <sheetViews>
    <sheetView workbookViewId="0">
      <selection activeCell="N24" sqref="A1:AV3648"/>
    </sheetView>
  </sheetViews>
  <sheetFormatPr defaultColWidth="9" defaultRowHeight="13.5"/>
  <cols>
    <col min="1" max="4" width="9" style="51"/>
    <col min="5" max="5" width="12.625" style="51"/>
    <col min="6" max="6" width="9" style="51"/>
    <col min="7" max="8" width="28.25" style="51" customWidth="1"/>
    <col min="9" max="25" width="9" style="51"/>
    <col min="26" max="26" width="10.375" style="51"/>
    <col min="27" max="27" width="9.375" style="51"/>
    <col min="28" max="33" width="9" style="51"/>
    <col min="34" max="34" width="10.375" style="51"/>
    <col min="35" max="35" width="9.375" style="51"/>
    <col min="36" max="43" width="9" style="51"/>
    <col min="44" max="44" width="12.625" style="51"/>
    <col min="45" max="16384" width="9" style="51"/>
  </cols>
  <sheetData>
    <row r="1048185" s="52" customFormat="1"/>
    <row r="1048186" s="52" customFormat="1"/>
    <row r="1048187" s="52" customFormat="1"/>
    <row r="1048188" s="52" customFormat="1"/>
    <row r="1048189" s="52" customFormat="1"/>
    <row r="1048190" s="52" customFormat="1"/>
    <row r="1048191" s="52" customFormat="1"/>
    <row r="1048192" s="52" customFormat="1"/>
    <row r="1048193" s="52" customFormat="1"/>
    <row r="1048194" s="52" customFormat="1"/>
    <row r="1048195" s="52" customFormat="1"/>
    <row r="1048196" s="52" customFormat="1"/>
    <row r="1048197" s="52" customFormat="1"/>
    <row r="1048198" s="52" customFormat="1"/>
    <row r="1048199" s="52" customFormat="1"/>
    <row r="1048200" s="52" customFormat="1"/>
    <row r="1048201" s="52" customFormat="1"/>
    <row r="1048202" s="52" customFormat="1"/>
    <row r="1048203" s="52" customFormat="1"/>
    <row r="1048204" s="52" customFormat="1"/>
    <row r="1048205" s="52" customFormat="1"/>
    <row r="1048206" s="52" customFormat="1"/>
    <row r="1048207" s="52" customFormat="1"/>
    <row r="1048208" s="52" customFormat="1"/>
    <row r="1048209" s="52" customFormat="1"/>
    <row r="1048210" s="52" customFormat="1"/>
    <row r="1048211" s="52" customFormat="1"/>
    <row r="1048212" s="52" customFormat="1"/>
    <row r="1048213" s="52" customFormat="1"/>
    <row r="1048214" s="52" customFormat="1"/>
    <row r="1048215" s="52" customFormat="1"/>
    <row r="1048216" s="52" customFormat="1"/>
    <row r="1048217" s="52" customFormat="1"/>
    <row r="1048218" s="52" customFormat="1"/>
    <row r="1048219" s="52" customFormat="1"/>
    <row r="1048220" s="52" customFormat="1"/>
    <row r="1048221" s="52" customFormat="1"/>
    <row r="1048222" s="52" customFormat="1"/>
    <row r="1048223" s="52" customFormat="1"/>
    <row r="1048224" s="52" customFormat="1"/>
    <row r="1048225" s="52" customFormat="1"/>
    <row r="1048226" s="52" customFormat="1"/>
    <row r="1048227" s="52" customFormat="1"/>
    <row r="1048228" s="52" customFormat="1"/>
    <row r="1048229" s="52" customFormat="1"/>
    <row r="1048230" s="52" customFormat="1"/>
    <row r="1048231" s="52" customFormat="1"/>
    <row r="1048232" s="52" customFormat="1"/>
    <row r="1048233" s="52" customFormat="1"/>
    <row r="1048234" s="52" customFormat="1"/>
    <row r="1048235" s="52" customFormat="1"/>
    <row r="1048236" s="52" customFormat="1"/>
    <row r="1048237" s="52" customFormat="1"/>
    <row r="1048238" s="52" customFormat="1"/>
    <row r="1048239" s="52" customFormat="1"/>
    <row r="1048240" s="52" customFormat="1"/>
    <row r="1048241" s="52" customFormat="1"/>
    <row r="1048242" s="52" customFormat="1"/>
    <row r="1048243" s="52" customFormat="1"/>
    <row r="1048244" s="52" customFormat="1"/>
    <row r="1048245" s="52" customFormat="1"/>
    <row r="1048246" s="52" customFormat="1"/>
    <row r="1048247" s="52" customFormat="1"/>
    <row r="1048248" s="52" customFormat="1"/>
    <row r="1048249" s="52" customFormat="1"/>
    <row r="1048250" s="52" customFormat="1"/>
    <row r="1048251" s="52" customFormat="1"/>
    <row r="1048252" s="52" customFormat="1"/>
    <row r="1048253" s="52" customFormat="1"/>
    <row r="1048254" s="52" customFormat="1"/>
    <row r="1048255" s="52" customFormat="1"/>
    <row r="1048256" s="52" customFormat="1"/>
    <row r="1048257" s="52" customFormat="1"/>
    <row r="1048258" s="52" customFormat="1"/>
    <row r="1048259" s="52" customFormat="1"/>
    <row r="1048260" s="52" customFormat="1"/>
    <row r="1048261" s="52" customFormat="1"/>
    <row r="1048262" s="52" customFormat="1"/>
    <row r="1048263" s="52" customFormat="1"/>
    <row r="1048264" s="52" customFormat="1"/>
    <row r="1048265" s="52" customFormat="1"/>
    <row r="1048266" s="52" customFormat="1"/>
    <row r="1048267" s="52" customFormat="1"/>
    <row r="1048268" s="52" customFormat="1"/>
    <row r="1048269" s="52" customFormat="1"/>
    <row r="1048270" s="52" customFormat="1"/>
    <row r="1048271" s="52" customFormat="1"/>
    <row r="1048272" s="52" customFormat="1"/>
    <row r="1048273" s="52" customFormat="1"/>
    <row r="1048274" s="52" customFormat="1"/>
    <row r="1048275" s="52" customFormat="1"/>
    <row r="1048276" s="52" customFormat="1"/>
    <row r="1048277" s="52" customFormat="1"/>
    <row r="1048278" s="52" customFormat="1"/>
    <row r="1048279" s="52" customFormat="1"/>
    <row r="1048280" s="52" customFormat="1"/>
    <row r="1048281" s="52" customFormat="1"/>
    <row r="1048282" s="52" customFormat="1"/>
    <row r="1048283" s="52" customFormat="1"/>
    <row r="1048284" s="52" customFormat="1"/>
    <row r="1048285" s="52" customFormat="1"/>
    <row r="1048286" s="52" customFormat="1"/>
    <row r="1048287" s="52" customFormat="1"/>
    <row r="1048288" s="52" customFormat="1"/>
    <row r="1048289" s="52" customFormat="1"/>
    <row r="1048290" s="52" customFormat="1"/>
    <row r="1048291" s="52" customFormat="1"/>
    <row r="1048292" s="52" customFormat="1"/>
    <row r="1048293" s="52" customFormat="1"/>
    <row r="1048294" s="52" customFormat="1"/>
    <row r="1048295" s="52" customFormat="1"/>
    <row r="1048296" s="52" customFormat="1"/>
    <row r="1048297" s="52" customFormat="1"/>
    <row r="1048298" s="52" customFormat="1"/>
    <row r="1048299" s="52" customFormat="1"/>
    <row r="1048300" s="52" customFormat="1"/>
    <row r="1048301" s="52" customFormat="1"/>
    <row r="1048302" s="52" customFormat="1"/>
    <row r="1048303" s="52" customFormat="1"/>
    <row r="1048304" s="52" customFormat="1"/>
    <row r="1048305" s="52" customFormat="1"/>
    <row r="1048306" s="52" customFormat="1"/>
    <row r="1048307" s="52" customFormat="1"/>
    <row r="1048308" s="52" customFormat="1"/>
    <row r="1048309" s="52" customFormat="1"/>
    <row r="1048310" s="52" customFormat="1"/>
    <row r="1048311" s="52" customFormat="1"/>
    <row r="1048312" s="52" customFormat="1"/>
    <row r="1048313" s="52" customFormat="1"/>
    <row r="1048314" s="52" customFormat="1"/>
    <row r="1048315" s="52" customFormat="1"/>
    <row r="1048316" s="52" customFormat="1"/>
    <row r="1048317" s="52" customFormat="1"/>
    <row r="1048318" s="52" customFormat="1"/>
    <row r="1048319" s="52" customFormat="1"/>
    <row r="1048320" s="52" customFormat="1"/>
    <row r="1048321" s="52" customFormat="1"/>
    <row r="1048322" s="52" customFormat="1"/>
    <row r="1048323" s="52" customFormat="1"/>
    <row r="1048324" s="52" customFormat="1"/>
    <row r="1048325" s="52" customFormat="1"/>
    <row r="1048326" s="52" customFormat="1"/>
    <row r="1048327" s="52" customFormat="1"/>
    <row r="1048328" s="52" customFormat="1"/>
    <row r="1048329" s="52" customFormat="1"/>
    <row r="1048330" s="52" customFormat="1"/>
    <row r="1048331" s="52" customFormat="1"/>
    <row r="1048332" s="52" customFormat="1"/>
    <row r="1048333" s="52" customFormat="1"/>
    <row r="1048334" s="52" customFormat="1"/>
    <row r="1048335" s="52" customFormat="1"/>
    <row r="1048336" s="52" customFormat="1"/>
    <row r="1048337" s="52" customFormat="1"/>
    <row r="1048338" s="52" customFormat="1"/>
    <row r="1048339" s="52" customFormat="1"/>
    <row r="1048340" s="52" customFormat="1"/>
    <row r="1048341" s="52" customFormat="1"/>
    <row r="1048342" s="52" customFormat="1"/>
    <row r="1048343" s="52" customFormat="1"/>
    <row r="1048344" s="52" customFormat="1"/>
    <row r="1048345" s="52" customFormat="1"/>
    <row r="1048346" s="52" customFormat="1"/>
    <row r="1048347" s="52" customFormat="1"/>
    <row r="1048348" s="52" customFormat="1"/>
    <row r="1048349" s="52" customFormat="1"/>
    <row r="1048350" s="52" customFormat="1"/>
    <row r="1048351" s="52" customFormat="1"/>
    <row r="1048352" s="52" customFormat="1"/>
    <row r="1048353" s="52" customFormat="1"/>
    <row r="1048354" s="52" customFormat="1"/>
    <row r="1048355" s="52" customFormat="1"/>
    <row r="1048356" s="52" customFormat="1"/>
    <row r="1048357" s="52" customFormat="1"/>
    <row r="1048358" s="52" customFormat="1"/>
    <row r="1048359" s="52" customFormat="1"/>
    <row r="1048360" s="52" customFormat="1"/>
    <row r="1048361" s="52" customFormat="1"/>
    <row r="1048362" s="52" customFormat="1"/>
    <row r="1048363" s="52" customFormat="1"/>
    <row r="1048364" s="52" customFormat="1"/>
    <row r="1048365" s="52" customFormat="1"/>
    <row r="1048366" s="52" customFormat="1"/>
    <row r="1048367" s="52" customFormat="1"/>
    <row r="1048368" s="52" customFormat="1"/>
    <row r="1048369" s="52" customFormat="1"/>
    <row r="1048370" s="52" customFormat="1"/>
    <row r="1048371" s="52" customFormat="1"/>
    <row r="1048372" s="52" customFormat="1"/>
    <row r="1048373" s="52" customFormat="1"/>
    <row r="1048374" s="52" customFormat="1"/>
    <row r="1048375" s="52" customFormat="1"/>
    <row r="1048376" s="52" customFormat="1"/>
    <row r="1048377" s="52" customFormat="1"/>
    <row r="1048378" s="52" customFormat="1"/>
    <row r="1048379" s="52" customFormat="1"/>
    <row r="1048380" s="52" customFormat="1"/>
    <row r="1048381" s="52" customFormat="1"/>
    <row r="1048382" s="52" customFormat="1"/>
    <row r="1048383" s="52" customFormat="1"/>
    <row r="1048384" s="52" customFormat="1"/>
    <row r="1048385" s="52" customFormat="1"/>
    <row r="1048386" s="52" customFormat="1"/>
    <row r="1048387" s="52" customFormat="1"/>
    <row r="1048388" s="52" customFormat="1"/>
    <row r="1048389" s="52" customFormat="1"/>
    <row r="1048390" s="52" customFormat="1"/>
    <row r="1048391" s="52" customFormat="1"/>
    <row r="1048392" s="52" customFormat="1"/>
    <row r="1048393" s="52" customFormat="1"/>
    <row r="1048394" s="52" customFormat="1"/>
    <row r="1048395" s="52" customFormat="1"/>
    <row r="1048396" s="52" customFormat="1"/>
    <row r="1048397" s="52" customFormat="1"/>
    <row r="1048398" s="52" customFormat="1"/>
    <row r="1048399" s="52" customFormat="1"/>
    <row r="1048400" s="52" customFormat="1"/>
    <row r="1048401" s="52" customFormat="1"/>
    <row r="1048402" s="52" customFormat="1"/>
    <row r="1048403" s="52" customFormat="1"/>
    <row r="1048404" s="52" customFormat="1"/>
    <row r="1048405" s="52" customFormat="1"/>
    <row r="1048406" s="52" customFormat="1"/>
    <row r="1048407" s="52" customFormat="1"/>
    <row r="1048408" s="52" customFormat="1"/>
    <row r="1048409" s="52" customFormat="1"/>
    <row r="1048410" s="52" customFormat="1"/>
    <row r="1048411" s="52" customFormat="1"/>
    <row r="1048412" s="52" customFormat="1"/>
    <row r="1048413" s="52" customFormat="1"/>
    <row r="1048414" s="52" customFormat="1"/>
    <row r="1048415" s="52" customFormat="1"/>
    <row r="1048416" s="52" customFormat="1"/>
    <row r="1048417" s="52" customFormat="1"/>
    <row r="1048418" s="52" customFormat="1"/>
    <row r="1048419" s="52" customFormat="1"/>
    <row r="1048420" s="52" customFormat="1"/>
    <row r="1048421" s="52" customFormat="1"/>
    <row r="1048422" s="52" customFormat="1"/>
    <row r="1048423" s="52" customFormat="1"/>
    <row r="1048424" s="52" customFormat="1"/>
    <row r="1048425" s="52" customFormat="1"/>
    <row r="1048426" s="52" customFormat="1"/>
    <row r="1048427" s="52" customFormat="1"/>
    <row r="1048428" s="52" customFormat="1"/>
    <row r="1048429" s="52" customFormat="1"/>
    <row r="1048430" s="52" customFormat="1"/>
    <row r="1048431" s="52" customFormat="1"/>
    <row r="1048432" s="52" customFormat="1"/>
    <row r="1048433" s="52" customFormat="1"/>
    <row r="1048434" s="52" customFormat="1"/>
    <row r="1048435" s="52" customFormat="1"/>
    <row r="1048436" s="52" customFormat="1"/>
    <row r="1048437" s="52" customFormat="1"/>
    <row r="1048438" s="52" customFormat="1"/>
    <row r="1048439" s="52" customFormat="1"/>
    <row r="1048440" s="52" customFormat="1"/>
    <row r="1048441" s="52" customFormat="1"/>
    <row r="1048442" s="52" customFormat="1"/>
    <row r="1048443" s="52" customFormat="1"/>
    <row r="1048444" s="52" customFormat="1"/>
    <row r="1048445" s="52" customFormat="1"/>
    <row r="1048446" s="52" customFormat="1"/>
    <row r="1048447" s="52" customFormat="1"/>
    <row r="1048448" s="52" customFormat="1"/>
    <row r="1048449" s="52" customFormat="1"/>
    <row r="1048450" s="52" customFormat="1"/>
    <row r="1048451" s="52" customFormat="1"/>
    <row r="1048452" s="52" customFormat="1"/>
    <row r="1048453" s="52" customFormat="1"/>
    <row r="1048454" s="52" customFormat="1"/>
    <row r="1048455" s="52" customFormat="1"/>
    <row r="1048456" s="52" customFormat="1"/>
    <row r="1048457" s="52" customFormat="1"/>
    <row r="1048458" s="52" customFormat="1"/>
    <row r="1048459" s="52" customFormat="1"/>
    <row r="1048460" s="52" customFormat="1"/>
    <row r="1048461" s="52" customFormat="1"/>
    <row r="1048462" s="52" customFormat="1"/>
    <row r="1048463" s="52" customFormat="1"/>
    <row r="1048464" s="52" customFormat="1"/>
    <row r="1048465" s="52" customFormat="1"/>
    <row r="1048466" s="52" customFormat="1"/>
    <row r="1048467" s="52" customFormat="1"/>
    <row r="1048468" s="52" customFormat="1"/>
    <row r="1048469" s="52" customFormat="1"/>
    <row r="1048470" s="52" customFormat="1"/>
    <row r="1048471" s="52" customFormat="1"/>
    <row r="1048472" s="52" customFormat="1"/>
    <row r="1048473" s="52" customFormat="1"/>
    <row r="1048474" s="52" customFormat="1"/>
    <row r="1048475" s="52" customFormat="1"/>
    <row r="1048476" s="52" customFormat="1"/>
    <row r="1048477" s="52" customFormat="1"/>
    <row r="1048478" s="52" customFormat="1"/>
    <row r="1048479" s="52" customFormat="1"/>
    <row r="1048480" s="52" customFormat="1"/>
    <row r="1048481" s="52" customFormat="1"/>
    <row r="1048482" s="52" customFormat="1"/>
    <row r="1048483" s="52" customFormat="1"/>
    <row r="1048484" s="52" customFormat="1"/>
    <row r="1048485" s="52" customFormat="1"/>
    <row r="1048486" s="52" customFormat="1"/>
    <row r="1048487" s="52" customFormat="1"/>
    <row r="1048488" s="52" customFormat="1"/>
    <row r="1048489" s="52" customFormat="1"/>
    <row r="1048490" s="52" customFormat="1"/>
    <row r="1048491" s="52" customFormat="1"/>
    <row r="1048492" s="52" customFormat="1"/>
    <row r="1048493" s="52" customFormat="1"/>
    <row r="1048494" s="52" customFormat="1"/>
    <row r="1048495" s="52" customFormat="1"/>
    <row r="1048496" s="52" customFormat="1"/>
    <row r="1048497" s="52" customFormat="1"/>
    <row r="1048498" s="52" customFormat="1"/>
    <row r="1048499" s="52" customFormat="1"/>
    <row r="1048500" s="52" customFormat="1"/>
    <row r="1048501" s="52" customFormat="1"/>
    <row r="1048502" s="52" customFormat="1"/>
    <row r="1048503" s="52" customFormat="1"/>
    <row r="1048504" s="52" customFormat="1"/>
    <row r="1048505" s="52" customFormat="1"/>
    <row r="1048506" s="52" customFormat="1"/>
    <row r="1048507" s="52" customFormat="1"/>
    <row r="1048508" s="52" customFormat="1"/>
    <row r="1048509" s="52" customFormat="1"/>
    <row r="1048510" s="52" customFormat="1"/>
    <row r="1048511" s="52" customFormat="1"/>
    <row r="1048512" s="52" customFormat="1"/>
    <row r="1048513" s="52" customFormat="1"/>
    <row r="1048514" s="52" customFormat="1"/>
    <row r="1048515" s="52" customFormat="1"/>
    <row r="1048516" s="52" customFormat="1"/>
    <row r="1048517" s="52" customFormat="1"/>
    <row r="1048518" s="52" customFormat="1"/>
    <row r="1048519" s="52" customFormat="1"/>
    <row r="1048520" s="52" customFormat="1"/>
    <row r="1048521" s="52" customFormat="1"/>
    <row r="1048522" s="52" customFormat="1"/>
    <row r="1048523" s="52" customFormat="1"/>
    <row r="1048524" s="52" customFormat="1"/>
    <row r="1048525" s="52" customFormat="1"/>
    <row r="1048526" s="52" customFormat="1"/>
    <row r="1048527" s="52" customFormat="1"/>
    <row r="1048528" s="52" customFormat="1"/>
    <row r="1048529" s="52" customFormat="1"/>
    <row r="1048530" s="52" customFormat="1"/>
    <row r="1048531" s="52" customFormat="1"/>
    <row r="1048532" s="52" customFormat="1"/>
    <row r="1048533" s="52" customFormat="1"/>
    <row r="1048534" s="52" customFormat="1"/>
    <row r="1048535" s="52" customFormat="1"/>
    <row r="1048536" s="52" customFormat="1"/>
    <row r="1048537" s="52" customFormat="1"/>
    <row r="1048538" s="52" customFormat="1"/>
    <row r="1048539" s="52" customFormat="1"/>
    <row r="1048540" s="52" customFormat="1"/>
    <row r="1048541" s="52" customFormat="1"/>
    <row r="1048542" s="52" customFormat="1"/>
    <row r="1048543" s="52" customFormat="1"/>
    <row r="1048544" s="52" customFormat="1"/>
    <row r="1048545" s="52" customFormat="1"/>
    <row r="1048546" s="52" customFormat="1"/>
    <row r="1048547" s="52" customFormat="1"/>
    <row r="1048548" s="52" customFormat="1"/>
    <row r="1048549" s="52" customFormat="1"/>
    <row r="1048550" s="52" customFormat="1"/>
    <row r="1048551" s="52" customFormat="1"/>
    <row r="1048552" s="52" customFormat="1"/>
    <row r="1048553" s="52" customFormat="1"/>
    <row r="1048554" s="52" customFormat="1"/>
    <row r="1048555" s="52" customFormat="1"/>
    <row r="1048556" s="52" customFormat="1"/>
    <row r="1048557" s="52" customFormat="1"/>
    <row r="1048558" s="52" customFormat="1"/>
    <row r="1048559" s="52" customFormat="1"/>
    <row r="1048560" s="52" customFormat="1"/>
    <row r="1048561" s="52" customFormat="1"/>
    <row r="1048562" s="52" customFormat="1"/>
    <row r="1048563" s="52" customFormat="1"/>
    <row r="1048564" s="52" customFormat="1"/>
    <row r="1048565" s="52" customFormat="1"/>
    <row r="1048566" s="52" customFormat="1"/>
    <row r="1048567" s="52" customFormat="1"/>
    <row r="1048568" s="52" customFormat="1"/>
    <row r="1048569" s="52" customFormat="1"/>
    <row r="1048570" s="52" customFormat="1"/>
    <row r="1048571" s="52" customFormat="1"/>
    <row r="1048572" s="52" customFormat="1"/>
    <row r="1048573" s="52" customFormat="1"/>
    <row r="1048574" s="52" customFormat="1"/>
    <row r="1048575" s="52" customFormat="1"/>
    <row r="1048576" s="52" customFormat="1"/>
  </sheetData>
  <sheetProtection formatCells="0" insertHyperlinks="0" autoFilter="0"/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3.5"/>
  <cols>
    <col min="7" max="7" width="28.25" customWidth="1"/>
  </cols>
  <sheetData>
    <row r="1" spans="1:1">
      <c r="A1" s="51"/>
    </row>
  </sheetData>
  <sheetProtection formatCells="0" insertHyperlinks="0" autoFilter="0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" sqref="A1:AV15474"/>
    </sheetView>
  </sheetViews>
  <sheetFormatPr defaultColWidth="9" defaultRowHeight="13.5"/>
  <cols>
    <col min="1" max="1" width="15.625" customWidth="1"/>
  </cols>
  <sheetData>
    <row r="1" spans="1:1">
      <c r="A1" s="51"/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8"/>
  <sheetViews>
    <sheetView workbookViewId="0">
      <selection activeCell="L18" sqref="A1:U145"/>
    </sheetView>
  </sheetViews>
  <sheetFormatPr defaultColWidth="9" defaultRowHeight="13.5"/>
  <cols>
    <col min="7" max="7" width="20.375" customWidth="1"/>
    <col min="8" max="8" width="27.125" customWidth="1"/>
    <col min="9" max="9" width="20.375" customWidth="1"/>
    <col min="10" max="10" width="24.875" customWidth="1"/>
    <col min="11" max="11" width="27.125" customWidth="1"/>
    <col min="12" max="12" width="26" customWidth="1"/>
    <col min="13" max="13" width="23.75" customWidth="1"/>
    <col min="14" max="14" width="20.375" customWidth="1"/>
    <col min="15" max="15" width="17.125" customWidth="1"/>
    <col min="16" max="17" width="31.5" customWidth="1"/>
    <col min="18" max="18" width="33.75" customWidth="1"/>
    <col min="19" max="19" width="27.125" customWidth="1"/>
    <col min="20" max="20" width="29.375" customWidth="1"/>
    <col min="21" max="21" width="28.25" customWidth="1"/>
  </cols>
  <sheetData>
    <row r="1" spans="1:2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2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6" spans="1:2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1:2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</row>
    <row r="8" spans="1:2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</row>
    <row r="9" spans="1:2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 spans="1:2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</row>
    <row r="13" spans="1:2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 spans="1:2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</row>
    <row r="15" spans="1:2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 spans="1:2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 spans="1:2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 spans="1:2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</row>
    <row r="19" spans="1:2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 spans="1:2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 spans="1: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 spans="1:2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1:2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 spans="1:2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1:2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 spans="1:2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 spans="1:2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 spans="1:2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 spans="1:2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 spans="1:2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</row>
    <row r="33" spans="1:2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</row>
    <row r="34" spans="1:2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</row>
    <row r="35" spans="1:2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</row>
    <row r="37" spans="1:2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 spans="1:2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</row>
    <row r="40" spans="1:2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 spans="1:2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</row>
    <row r="42" spans="1:2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 spans="1:2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</row>
    <row r="44" spans="1:2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spans="1:2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spans="1:2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spans="1:2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 spans="1:2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 spans="1:2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spans="1:2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spans="1:2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 spans="1:2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 spans="1:2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 spans="1:2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 spans="1:2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 spans="1:2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</row>
    <row r="60" spans="1:2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</row>
    <row r="61" spans="1:2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</row>
    <row r="62" spans="1:2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</row>
    <row r="63" spans="1:2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</row>
    <row r="64" spans="1:2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</row>
    <row r="65" spans="1:2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</row>
    <row r="66" spans="1:2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</row>
    <row r="67" spans="1:2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</row>
    <row r="68" spans="1:2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</row>
    <row r="69" spans="1:2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</row>
    <row r="70" spans="1:2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</row>
    <row r="71" spans="1:2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</row>
    <row r="72" spans="1:2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</row>
    <row r="73" spans="1:2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</row>
    <row r="74" spans="1:2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</row>
    <row r="75" spans="1:2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</row>
    <row r="76" spans="1:2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</row>
    <row r="77" spans="1:2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</row>
    <row r="78" spans="1:2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</row>
    <row r="79" spans="1:2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</row>
    <row r="80" spans="1:2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</row>
    <row r="81" spans="1:2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</row>
    <row r="82" spans="1:2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</row>
    <row r="83" spans="1:2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</row>
    <row r="84" spans="1:2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</row>
    <row r="85" spans="1:2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</row>
    <row r="86" spans="1:2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</row>
    <row r="87" spans="1:2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</row>
    <row r="88" spans="1:2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</row>
    <row r="89" spans="1:2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</row>
    <row r="90" spans="1:2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</row>
    <row r="91" spans="1:2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</row>
    <row r="92" spans="1:2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</row>
    <row r="93" spans="1:2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</row>
    <row r="94" spans="1:2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</row>
    <row r="95" spans="1:2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</row>
    <row r="96" spans="1:2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</row>
    <row r="97" spans="1:2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</row>
    <row r="98" spans="1:2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</row>
    <row r="99" spans="1:2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</row>
    <row r="100" spans="1:2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</row>
    <row r="101" spans="1:2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</row>
    <row r="102" spans="1:2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</row>
    <row r="103" spans="1:2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</row>
    <row r="104" spans="1:2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</row>
    <row r="105" spans="1:2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</row>
    <row r="106" spans="1:2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</row>
    <row r="107" spans="1:2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</row>
    <row r="109" spans="1:2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</row>
    <row r="110" spans="1:2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</row>
    <row r="111" spans="1:2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</row>
    <row r="112" spans="1:2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</row>
    <row r="113" spans="1:2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</row>
    <row r="114" spans="1:2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</row>
    <row r="115" spans="1:2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</row>
    <row r="116" spans="1:2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</row>
    <row r="117" spans="1:2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</row>
    <row r="118" spans="1:2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</row>
    <row r="119" spans="1:2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</row>
    <row r="120" spans="1:2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</row>
    <row r="121" spans="1: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</row>
    <row r="122" spans="1:2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</row>
    <row r="123" spans="1:2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</row>
    <row r="124" spans="1:2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</row>
    <row r="125" spans="1:2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</row>
    <row r="126" spans="1:2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</row>
    <row r="127" spans="1:2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</row>
    <row r="128" spans="1:2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</row>
    <row r="129" spans="1:2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</row>
    <row r="130" spans="1:2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</row>
    <row r="131" spans="1:2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</row>
    <row r="132" spans="1:2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</row>
    <row r="133" spans="1:2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</row>
    <row r="134" spans="1:2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</row>
    <row r="135" spans="1:2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</row>
    <row r="136" spans="1:2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</row>
    <row r="137" spans="1:2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</row>
    <row r="138" spans="1:2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</row>
    <row r="139" spans="1:2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</row>
    <row r="140" spans="1:2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</row>
    <row r="141" spans="1:2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</row>
    <row r="142" spans="1:2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</row>
    <row r="143" spans="1:2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</row>
    <row r="144" spans="1:2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</row>
    <row r="145" spans="1:2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</row>
    <row r="146" spans="1:2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</row>
    <row r="147" spans="1:2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</row>
    <row r="148" spans="1:2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</row>
    <row r="149" spans="1:2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</row>
    <row r="150" spans="1:2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</row>
    <row r="151" spans="1:2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</row>
    <row r="152" spans="1:2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</row>
    <row r="153" spans="1:2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</row>
    <row r="154" spans="1:2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</row>
    <row r="155" spans="1:2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</row>
    <row r="156" spans="1:2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</row>
    <row r="157" spans="1:2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</row>
    <row r="158" spans="1:2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</row>
    <row r="159" spans="1:2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</row>
    <row r="160" spans="1:2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</row>
    <row r="161" spans="1:2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</row>
    <row r="162" spans="1:2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</row>
    <row r="163" spans="1:2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</row>
    <row r="164" spans="1:2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</row>
    <row r="165" spans="1:2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</row>
    <row r="166" spans="1:2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</row>
    <row r="167" spans="1:2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</row>
    <row r="168" spans="1:2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2"/>
  <sheetViews>
    <sheetView workbookViewId="0">
      <selection activeCell="V18" sqref="A1:V112"/>
    </sheetView>
  </sheetViews>
  <sheetFormatPr defaultColWidth="9" defaultRowHeight="13.5"/>
  <sheetData>
    <row r="1" spans="1:2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2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6" spans="1:2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1:2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</row>
    <row r="8" spans="1:2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</row>
    <row r="9" spans="1:2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 spans="1:2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</row>
    <row r="13" spans="1:2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 spans="1:2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</row>
    <row r="15" spans="1:2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 spans="1:2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 spans="1:2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 spans="1:2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</row>
    <row r="19" spans="1:2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 spans="1:2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 spans="1: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 spans="1:2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1:2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 spans="1:2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1:2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 spans="1:2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 spans="1:2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 spans="1:2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 spans="1:2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 spans="1:2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</row>
    <row r="33" spans="1:2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</row>
    <row r="34" spans="1:2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</row>
    <row r="35" spans="1:2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</row>
    <row r="37" spans="1:2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 spans="1:2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</row>
    <row r="40" spans="1:2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 spans="1:2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</row>
    <row r="42" spans="1:2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 spans="1:2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</row>
    <row r="44" spans="1:2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spans="1:2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spans="1:2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spans="1:2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 spans="1:2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 spans="1:2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spans="1:2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spans="1:2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 spans="1:2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 spans="1:2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 spans="1:2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 spans="1:2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 spans="1:2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</row>
    <row r="60" spans="1:2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</row>
    <row r="61" spans="1:2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</row>
    <row r="62" spans="1:2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</row>
    <row r="63" spans="1:2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</row>
    <row r="64" spans="1:2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</row>
    <row r="65" spans="1:2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</row>
    <row r="66" spans="1:2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</row>
    <row r="67" spans="1:2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</row>
    <row r="68" spans="1:2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</row>
    <row r="69" spans="1:2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</row>
    <row r="70" spans="1:2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</row>
    <row r="71" spans="1:2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</row>
    <row r="72" spans="1:2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</row>
    <row r="73" spans="1:2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</row>
    <row r="74" spans="1:2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</row>
    <row r="75" spans="1:2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</row>
    <row r="76" spans="1:2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</row>
    <row r="77" spans="1:2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</row>
    <row r="78" spans="1:2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</row>
    <row r="79" spans="1:2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</row>
    <row r="80" spans="1:2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</row>
    <row r="81" spans="1:2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</row>
    <row r="82" spans="1:2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</row>
    <row r="83" spans="1:2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</row>
    <row r="84" spans="1:2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</row>
    <row r="85" spans="1:2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</row>
    <row r="86" spans="1:2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</row>
    <row r="87" spans="1:2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</row>
    <row r="88" spans="1:2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</row>
    <row r="89" spans="1:2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</row>
    <row r="90" spans="1:2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</row>
    <row r="91" spans="1:2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</row>
    <row r="92" spans="1:2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</row>
    <row r="93" spans="1:2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</row>
    <row r="94" spans="1:2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</row>
    <row r="95" spans="1:2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</row>
    <row r="96" spans="1:2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</row>
    <row r="97" spans="1:2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</row>
    <row r="98" spans="1:2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</row>
    <row r="99" spans="1:2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</row>
    <row r="100" spans="1:2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</row>
    <row r="101" spans="1:2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</row>
    <row r="102" spans="1:2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</row>
    <row r="103" spans="1:2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</row>
    <row r="104" spans="1:2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</row>
    <row r="105" spans="1:2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</row>
    <row r="106" spans="1:2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</row>
    <row r="107" spans="1:2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</row>
    <row r="109" spans="1:2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</row>
    <row r="110" spans="1:2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</row>
    <row r="111" spans="1:2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</row>
    <row r="112" spans="1:2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8"/>
  <sheetViews>
    <sheetView topLeftCell="D1" workbookViewId="0">
      <pane ySplit="1" topLeftCell="A2" activePane="bottomLeft" state="frozen"/>
      <selection/>
      <selection pane="bottomLeft" activeCell="R8" sqref="$A1:$XFD1048576"/>
    </sheetView>
  </sheetViews>
  <sheetFormatPr defaultColWidth="9" defaultRowHeight="14.25"/>
  <cols>
    <col min="1" max="1" width="7" customWidth="1"/>
    <col min="2" max="2" width="14.125" style="5" customWidth="1"/>
    <col min="3" max="3" width="15.625" style="5" customWidth="1"/>
    <col min="4" max="4" width="17.125" style="5" customWidth="1"/>
    <col min="5" max="5" width="13.125" style="5" customWidth="1"/>
    <col min="6" max="6" width="9.375" style="5" customWidth="1"/>
    <col min="7" max="8" width="9.125" style="5" customWidth="1"/>
    <col min="9" max="9" width="21.5" style="5" customWidth="1"/>
    <col min="10" max="10" width="20.125" style="5" customWidth="1"/>
    <col min="11" max="11" width="11.25" style="5" customWidth="1"/>
    <col min="12" max="12" width="15.125" style="5" customWidth="1"/>
    <col min="13" max="13" width="9.625" style="5" customWidth="1"/>
    <col min="14" max="14" width="14.875" style="5" customWidth="1"/>
    <col min="15" max="15" width="9.125" style="5" customWidth="1"/>
    <col min="16" max="16" width="7.125" style="5" customWidth="1"/>
    <col min="17" max="18" width="10.125" style="5" customWidth="1"/>
    <col min="19" max="19" width="9.375" style="5" customWidth="1"/>
    <col min="20" max="21" width="13.5" style="5" customWidth="1"/>
    <col min="22" max="22" width="8.625" style="5" customWidth="1"/>
    <col min="23" max="23" width="5.125" style="5" customWidth="1"/>
  </cols>
  <sheetData>
    <row r="1" ht="44" customHeight="1" spans="1:23">
      <c r="A1" s="6"/>
      <c r="B1" s="6"/>
      <c r="C1" s="6"/>
      <c r="D1" s="6"/>
      <c r="E1" s="21"/>
      <c r="F1" s="6"/>
      <c r="G1" s="6"/>
      <c r="H1" s="6"/>
      <c r="I1" s="6"/>
      <c r="J1" s="6"/>
      <c r="K1" s="6"/>
      <c r="L1" s="21"/>
      <c r="M1" s="34"/>
      <c r="N1" s="6"/>
      <c r="O1" s="6"/>
      <c r="P1" s="6"/>
      <c r="Q1" s="38"/>
      <c r="R1" s="6"/>
      <c r="S1" s="6"/>
      <c r="T1" s="6"/>
      <c r="U1" s="6"/>
      <c r="V1" s="48"/>
      <c r="W1" s="6"/>
    </row>
    <row r="2" s="3" customFormat="1" ht="50" customHeight="1" spans="1:23">
      <c r="A2" s="7"/>
      <c r="B2" s="8"/>
      <c r="C2" s="8"/>
      <c r="D2" s="9"/>
      <c r="E2" s="8"/>
      <c r="F2" s="8"/>
      <c r="G2" s="9"/>
      <c r="H2" s="22"/>
      <c r="I2" s="9"/>
      <c r="J2" s="9"/>
      <c r="K2" s="8"/>
      <c r="L2" s="8"/>
      <c r="M2" s="8"/>
      <c r="N2" s="22"/>
      <c r="O2" s="9"/>
      <c r="P2" s="24"/>
      <c r="Q2" s="39"/>
      <c r="R2" s="39"/>
      <c r="S2" s="39"/>
      <c r="T2" s="39"/>
      <c r="U2" s="39"/>
      <c r="V2" s="8"/>
      <c r="W2" s="8"/>
    </row>
    <row r="3" s="3" customFormat="1" ht="50" customHeight="1" spans="1:23">
      <c r="A3" s="7"/>
      <c r="B3" s="8"/>
      <c r="C3" s="8"/>
      <c r="D3" s="9"/>
      <c r="E3" s="8"/>
      <c r="F3" s="8"/>
      <c r="G3" s="9"/>
      <c r="H3" s="23"/>
      <c r="I3" s="9"/>
      <c r="J3" s="9"/>
      <c r="K3" s="8"/>
      <c r="L3" s="8"/>
      <c r="M3" s="8"/>
      <c r="N3" s="22"/>
      <c r="O3" s="9"/>
      <c r="P3" s="24"/>
      <c r="Q3" s="39"/>
      <c r="R3" s="39"/>
      <c r="S3" s="39"/>
      <c r="T3" s="39"/>
      <c r="U3" s="39"/>
      <c r="V3" s="8"/>
      <c r="W3" s="8"/>
    </row>
    <row r="4" s="3" customFormat="1" ht="50" customHeight="1" spans="1:23">
      <c r="A4" s="7"/>
      <c r="B4" s="8"/>
      <c r="C4" s="8"/>
      <c r="D4" s="9"/>
      <c r="E4" s="8"/>
      <c r="F4" s="8"/>
      <c r="G4" s="9"/>
      <c r="H4" s="23"/>
      <c r="I4" s="9"/>
      <c r="J4" s="28"/>
      <c r="K4" s="8"/>
      <c r="L4" s="8"/>
      <c r="M4" s="8"/>
      <c r="N4" s="22"/>
      <c r="O4" s="9"/>
      <c r="P4" s="24"/>
      <c r="Q4" s="39"/>
      <c r="R4" s="39"/>
      <c r="S4" s="39"/>
      <c r="T4" s="39"/>
      <c r="U4" s="39"/>
      <c r="V4" s="8"/>
      <c r="W4" s="8"/>
    </row>
    <row r="5" s="3" customFormat="1" ht="50" customHeight="1" spans="1:23">
      <c r="A5" s="7"/>
      <c r="B5" s="8"/>
      <c r="C5" s="8"/>
      <c r="D5" s="9"/>
      <c r="E5" s="8"/>
      <c r="F5" s="8"/>
      <c r="G5" s="9"/>
      <c r="H5" s="23"/>
      <c r="I5" s="9"/>
      <c r="J5" s="9"/>
      <c r="K5" s="8"/>
      <c r="L5" s="8"/>
      <c r="M5" s="8"/>
      <c r="N5" s="22"/>
      <c r="O5" s="9"/>
      <c r="P5" s="24"/>
      <c r="Q5" s="39"/>
      <c r="R5" s="39"/>
      <c r="S5" s="39"/>
      <c r="T5" s="39"/>
      <c r="U5" s="39"/>
      <c r="V5" s="8"/>
      <c r="W5" s="8"/>
    </row>
    <row r="6" s="3" customFormat="1" ht="50" customHeight="1" spans="1:23">
      <c r="A6" s="7"/>
      <c r="B6" s="8"/>
      <c r="C6" s="8"/>
      <c r="D6" s="9"/>
      <c r="E6" s="8"/>
      <c r="F6" s="8"/>
      <c r="G6" s="9"/>
      <c r="H6" s="23"/>
      <c r="I6" s="28"/>
      <c r="J6" s="28"/>
      <c r="K6" s="8"/>
      <c r="L6" s="8"/>
      <c r="M6" s="8"/>
      <c r="N6" s="22"/>
      <c r="O6" s="9"/>
      <c r="P6" s="24"/>
      <c r="Q6" s="40"/>
      <c r="R6" s="40"/>
      <c r="S6" s="39"/>
      <c r="T6" s="39"/>
      <c r="U6" s="39"/>
      <c r="V6" s="8"/>
      <c r="W6" s="8"/>
    </row>
    <row r="7" s="3" customFormat="1" ht="50" customHeight="1" spans="1:23">
      <c r="A7" s="7"/>
      <c r="B7" s="8"/>
      <c r="C7" s="9"/>
      <c r="D7" s="9"/>
      <c r="E7" s="8"/>
      <c r="F7" s="8"/>
      <c r="G7" s="9"/>
      <c r="H7" s="23"/>
      <c r="I7" s="28"/>
      <c r="J7" s="28"/>
      <c r="K7" s="8"/>
      <c r="L7" s="8"/>
      <c r="M7" s="8"/>
      <c r="N7" s="22"/>
      <c r="O7" s="9"/>
      <c r="P7" s="24"/>
      <c r="Q7" s="40"/>
      <c r="R7" s="40"/>
      <c r="S7" s="39"/>
      <c r="T7" s="39"/>
      <c r="U7" s="39"/>
      <c r="V7" s="8"/>
      <c r="W7" s="8"/>
    </row>
    <row r="8" s="3" customFormat="1" ht="51" customHeight="1" spans="1:23">
      <c r="A8" s="7"/>
      <c r="B8" s="8"/>
      <c r="C8" s="8"/>
      <c r="D8" s="9"/>
      <c r="E8" s="8"/>
      <c r="F8" s="8"/>
      <c r="G8" s="9"/>
      <c r="H8" s="23"/>
      <c r="I8" s="28"/>
      <c r="J8" s="28"/>
      <c r="K8" s="8"/>
      <c r="L8" s="8"/>
      <c r="M8" s="8"/>
      <c r="N8" s="22"/>
      <c r="O8" s="9"/>
      <c r="P8" s="24"/>
      <c r="Q8" s="40"/>
      <c r="R8" s="40"/>
      <c r="S8" s="39"/>
      <c r="T8" s="39"/>
      <c r="U8" s="39"/>
      <c r="V8" s="8"/>
      <c r="W8" s="8"/>
    </row>
    <row r="9" ht="51" customHeight="1" spans="1:23">
      <c r="A9" s="10"/>
      <c r="B9" s="8"/>
      <c r="C9" s="8"/>
      <c r="D9" s="8"/>
      <c r="E9" s="8"/>
      <c r="F9" s="8"/>
      <c r="G9" s="8"/>
      <c r="H9" s="10"/>
      <c r="I9" s="8"/>
      <c r="J9" s="29"/>
      <c r="K9" s="8"/>
      <c r="L9" s="8"/>
      <c r="M9" s="8"/>
      <c r="N9" s="10"/>
      <c r="O9" s="8"/>
      <c r="P9" s="8"/>
      <c r="Q9" s="8"/>
      <c r="R9" s="8"/>
      <c r="S9" s="8"/>
      <c r="T9" s="41"/>
      <c r="U9" s="49"/>
      <c r="V9" s="8"/>
      <c r="W9" s="8"/>
    </row>
    <row r="10" ht="51" customHeight="1" spans="1:23">
      <c r="A10" s="10"/>
      <c r="B10" s="8"/>
      <c r="C10" s="8"/>
      <c r="D10" s="8"/>
      <c r="E10" s="8"/>
      <c r="F10" s="8"/>
      <c r="G10" s="8"/>
      <c r="H10" s="10"/>
      <c r="I10" s="8"/>
      <c r="J10" s="8"/>
      <c r="K10" s="8"/>
      <c r="L10" s="8"/>
      <c r="M10" s="8"/>
      <c r="N10" s="10"/>
      <c r="O10" s="8"/>
      <c r="P10" s="8"/>
      <c r="Q10" s="8"/>
      <c r="R10" s="8"/>
      <c r="S10" s="8"/>
      <c r="T10" s="8"/>
      <c r="U10" s="49"/>
      <c r="V10" s="8"/>
      <c r="W10" s="8"/>
    </row>
    <row r="11" ht="51" customHeight="1" spans="1:23">
      <c r="A11" s="10"/>
      <c r="B11" s="8"/>
      <c r="C11" s="8"/>
      <c r="D11" s="8"/>
      <c r="E11" s="8"/>
      <c r="F11" s="8"/>
      <c r="G11" s="8"/>
      <c r="H11" s="22"/>
      <c r="I11" s="8"/>
      <c r="J11" s="8"/>
      <c r="K11" s="8"/>
      <c r="L11" s="2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51" customHeight="1" spans="1:23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51" customHeight="1" spans="1:23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51" customHeight="1" spans="1:23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51" customHeight="1" spans="1:23">
      <c r="A15" s="11"/>
      <c r="B15" s="8"/>
      <c r="C15" s="8"/>
      <c r="D15" s="8"/>
      <c r="E15" s="9"/>
      <c r="F15" s="8"/>
      <c r="G15" s="24"/>
      <c r="H15" s="8"/>
      <c r="I15" s="8"/>
      <c r="J15" s="8"/>
      <c r="K15" s="8"/>
      <c r="L15" s="9"/>
      <c r="M15" s="8"/>
      <c r="N15" s="10"/>
      <c r="O15" s="24"/>
      <c r="P15" s="24"/>
      <c r="Q15" s="42"/>
      <c r="R15" s="42"/>
      <c r="S15" s="42"/>
      <c r="T15" s="42"/>
      <c r="U15" s="42"/>
      <c r="V15" s="8"/>
      <c r="W15" s="8"/>
    </row>
    <row r="16" ht="53" customHeight="1" spans="1:23">
      <c r="A16" s="10"/>
      <c r="B16" s="8"/>
      <c r="C16" s="8"/>
      <c r="D16" s="8"/>
      <c r="E16" s="25"/>
      <c r="F16" s="8"/>
      <c r="G16" s="8"/>
      <c r="H16" s="8"/>
      <c r="I16" s="9"/>
      <c r="J16" s="8"/>
      <c r="K16" s="8"/>
      <c r="L16" s="8"/>
      <c r="M16" s="8"/>
      <c r="N16" s="10"/>
      <c r="O16" s="24"/>
      <c r="P16" s="24"/>
      <c r="Q16" s="42"/>
      <c r="R16" s="42"/>
      <c r="S16" s="42"/>
      <c r="T16" s="42"/>
      <c r="U16" s="42"/>
      <c r="V16" s="8"/>
      <c r="W16" s="8"/>
    </row>
    <row r="17" ht="53" customHeight="1" spans="1:23">
      <c r="A17" s="12"/>
      <c r="B17" s="12"/>
      <c r="C17" s="12"/>
      <c r="D17" s="12"/>
      <c r="E17" s="12"/>
      <c r="F17" s="12"/>
      <c r="G17" s="12"/>
      <c r="H17" s="12"/>
      <c r="I17" s="30"/>
      <c r="J17" s="12"/>
      <c r="K17" s="12"/>
      <c r="L17" s="12"/>
      <c r="M17" s="12"/>
      <c r="N17" s="12"/>
      <c r="O17" s="35"/>
      <c r="P17" s="35"/>
      <c r="Q17" s="43"/>
      <c r="R17" s="43"/>
      <c r="S17" s="43"/>
      <c r="T17" s="43"/>
      <c r="U17" s="12"/>
      <c r="V17" s="12"/>
      <c r="W17" s="8"/>
    </row>
    <row r="18" ht="53" customHeight="1" spans="1:2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5"/>
      <c r="P18" s="35"/>
      <c r="Q18" s="43"/>
      <c r="R18" s="43"/>
      <c r="S18" s="43"/>
      <c r="T18" s="43"/>
      <c r="U18" s="12"/>
      <c r="V18" s="12"/>
      <c r="W18" s="8"/>
    </row>
    <row r="19" ht="53" customHeight="1" spans="1:2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35"/>
      <c r="P19" s="35"/>
      <c r="Q19" s="43"/>
      <c r="R19" s="43"/>
      <c r="S19" s="43"/>
      <c r="T19" s="43"/>
      <c r="U19" s="12"/>
      <c r="V19" s="12"/>
      <c r="W19" s="8"/>
    </row>
    <row r="20" ht="53" customHeight="1" spans="1:2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5"/>
      <c r="P20" s="35"/>
      <c r="Q20" s="43"/>
      <c r="R20" s="43"/>
      <c r="S20" s="43"/>
      <c r="T20" s="43"/>
      <c r="U20" s="12"/>
      <c r="V20" s="12"/>
      <c r="W20" s="8"/>
    </row>
    <row r="21" ht="53" customHeight="1" spans="1:2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5"/>
      <c r="P21" s="35"/>
      <c r="Q21" s="43"/>
      <c r="R21" s="43"/>
      <c r="S21" s="43"/>
      <c r="T21" s="43"/>
      <c r="U21" s="12"/>
      <c r="V21" s="12"/>
      <c r="W21" s="8"/>
    </row>
    <row r="22" ht="53" customHeight="1" spans="1:23">
      <c r="A22" s="13"/>
      <c r="B22" s="14"/>
      <c r="C22" s="14"/>
      <c r="D22" s="12"/>
      <c r="E22" s="12"/>
      <c r="F22" s="12"/>
      <c r="G22" s="14"/>
      <c r="H22" s="14"/>
      <c r="I22" s="14"/>
      <c r="J22" s="14"/>
      <c r="K22" s="14"/>
      <c r="L22" s="14"/>
      <c r="M22" s="14"/>
      <c r="N22" s="14"/>
      <c r="O22" s="36"/>
      <c r="P22" s="36"/>
      <c r="Q22" s="44"/>
      <c r="R22" s="14"/>
      <c r="S22" s="14"/>
      <c r="T22" s="14"/>
      <c r="U22" s="14"/>
      <c r="V22" s="14"/>
      <c r="W22" s="8"/>
    </row>
    <row r="23" ht="53" customHeight="1" spans="1:23">
      <c r="A23" s="13"/>
      <c r="B23" s="14"/>
      <c r="C23" s="14"/>
      <c r="D23" s="12"/>
      <c r="E23" s="12"/>
      <c r="F23" s="12"/>
      <c r="G23" s="14"/>
      <c r="H23" s="14"/>
      <c r="I23" s="14"/>
      <c r="J23" s="14"/>
      <c r="K23" s="14"/>
      <c r="L23" s="14"/>
      <c r="M23" s="14"/>
      <c r="N23" s="14"/>
      <c r="O23" s="36"/>
      <c r="P23" s="36"/>
      <c r="Q23" s="44"/>
      <c r="R23" s="14"/>
      <c r="S23" s="14"/>
      <c r="T23" s="14"/>
      <c r="U23" s="14"/>
      <c r="V23" s="14"/>
      <c r="W23" s="8"/>
    </row>
    <row r="24" ht="53" customHeight="1" spans="1:23">
      <c r="A24" s="13"/>
      <c r="B24" s="14"/>
      <c r="C24" s="14"/>
      <c r="D24" s="12"/>
      <c r="E24" s="12"/>
      <c r="F24" s="12"/>
      <c r="G24" s="14"/>
      <c r="H24" s="14"/>
      <c r="I24" s="14"/>
      <c r="J24" s="14"/>
      <c r="K24" s="14"/>
      <c r="L24" s="14"/>
      <c r="M24" s="14"/>
      <c r="N24" s="14"/>
      <c r="O24" s="36"/>
      <c r="P24" s="36"/>
      <c r="Q24" s="44"/>
      <c r="R24" s="14"/>
      <c r="S24" s="14"/>
      <c r="T24" s="14"/>
      <c r="U24" s="14"/>
      <c r="V24" s="14"/>
      <c r="W24" s="8"/>
    </row>
    <row r="25" ht="53" customHeight="1" spans="1:23">
      <c r="A25" s="14"/>
      <c r="B25" s="14"/>
      <c r="C25" s="14"/>
      <c r="D25" s="12"/>
      <c r="E25" s="12"/>
      <c r="F25" s="14"/>
      <c r="G25" s="14"/>
      <c r="H25" s="14"/>
      <c r="I25" s="14"/>
      <c r="J25" s="14"/>
      <c r="K25" s="14"/>
      <c r="L25" s="14"/>
      <c r="M25" s="14"/>
      <c r="N25" s="14"/>
      <c r="O25" s="36"/>
      <c r="P25" s="36"/>
      <c r="Q25" s="44"/>
      <c r="R25" s="44"/>
      <c r="S25" s="14"/>
      <c r="T25" s="14"/>
      <c r="U25" s="14"/>
      <c r="V25" s="14"/>
      <c r="W25" s="8"/>
    </row>
    <row r="26" ht="53" customHeight="1" spans="1:23">
      <c r="A26" s="14"/>
      <c r="B26" s="14"/>
      <c r="C26" s="14"/>
      <c r="D26" s="12"/>
      <c r="E26" s="12"/>
      <c r="F26" s="14"/>
      <c r="G26" s="14"/>
      <c r="H26" s="14"/>
      <c r="I26" s="14"/>
      <c r="J26" s="14"/>
      <c r="K26" s="14"/>
      <c r="L26" s="14"/>
      <c r="M26" s="14"/>
      <c r="N26" s="14"/>
      <c r="O26" s="36"/>
      <c r="P26" s="36"/>
      <c r="Q26" s="44"/>
      <c r="R26" s="44"/>
      <c r="S26" s="14"/>
      <c r="T26" s="14"/>
      <c r="U26" s="14"/>
      <c r="V26" s="14"/>
      <c r="W26" s="8"/>
    </row>
    <row r="27" ht="53" customHeight="1" spans="1:23">
      <c r="A27" s="14"/>
      <c r="B27" s="14"/>
      <c r="C27" s="14"/>
      <c r="D27" s="12"/>
      <c r="E27" s="12"/>
      <c r="F27" s="14"/>
      <c r="G27" s="14"/>
      <c r="H27" s="14"/>
      <c r="I27" s="14"/>
      <c r="J27" s="14"/>
      <c r="K27" s="14"/>
      <c r="L27" s="14"/>
      <c r="M27" s="14"/>
      <c r="N27" s="14"/>
      <c r="O27" s="36"/>
      <c r="P27" s="36"/>
      <c r="Q27" s="44"/>
      <c r="R27" s="14"/>
      <c r="S27" s="14"/>
      <c r="T27" s="14"/>
      <c r="U27" s="14"/>
      <c r="V27" s="14"/>
      <c r="W27" s="8"/>
    </row>
    <row r="28" s="4" customFormat="1" ht="54" customHeight="1" spans="1:23">
      <c r="A28" s="15"/>
      <c r="B28" s="15"/>
      <c r="C28" s="15"/>
      <c r="D28" s="16"/>
      <c r="E28" s="16"/>
      <c r="F28" s="15"/>
      <c r="G28" s="15"/>
      <c r="H28" s="14"/>
      <c r="I28" s="15"/>
      <c r="J28" s="15"/>
      <c r="K28" s="15"/>
      <c r="L28" s="15"/>
      <c r="M28" s="15"/>
      <c r="N28" s="14"/>
      <c r="O28" s="37"/>
      <c r="P28" s="37"/>
      <c r="Q28" s="45"/>
      <c r="R28" s="15"/>
      <c r="S28" s="15"/>
      <c r="T28" s="15"/>
      <c r="U28" s="15"/>
      <c r="V28" s="15"/>
      <c r="W28" s="8"/>
    </row>
    <row r="29" s="4" customFormat="1" ht="54" customHeight="1" spans="1:23">
      <c r="A29" s="8"/>
      <c r="B29" s="8"/>
      <c r="C29" s="8"/>
      <c r="D29" s="8"/>
      <c r="E29" s="8"/>
      <c r="F29" s="8"/>
      <c r="G29" s="8"/>
      <c r="H29" s="22"/>
      <c r="I29" s="8"/>
      <c r="J29" s="8"/>
      <c r="K29" s="8"/>
      <c r="L29" s="8"/>
      <c r="M29" s="8"/>
      <c r="N29" s="22"/>
      <c r="O29" s="8"/>
      <c r="P29" s="8"/>
      <c r="Q29" s="42"/>
      <c r="R29" s="42"/>
      <c r="S29" s="42"/>
      <c r="T29" s="42"/>
      <c r="U29" s="8"/>
      <c r="V29" s="8"/>
      <c r="W29" s="50"/>
    </row>
    <row r="30" s="4" customFormat="1" ht="54" customHeight="1" spans="1:23">
      <c r="A30" s="8"/>
      <c r="B30" s="8"/>
      <c r="C30" s="8"/>
      <c r="D30" s="8"/>
      <c r="E30" s="8"/>
      <c r="F30" s="8"/>
      <c r="G30" s="8"/>
      <c r="H30" s="22"/>
      <c r="I30" s="8"/>
      <c r="J30" s="8"/>
      <c r="K30" s="8"/>
      <c r="L30" s="8"/>
      <c r="M30" s="8"/>
      <c r="N30" s="22"/>
      <c r="O30" s="8"/>
      <c r="P30" s="8"/>
      <c r="Q30" s="42"/>
      <c r="R30" s="42"/>
      <c r="S30" s="42"/>
      <c r="T30" s="42"/>
      <c r="U30" s="8"/>
      <c r="V30" s="8"/>
      <c r="W30" s="50"/>
    </row>
    <row r="31" s="4" customFormat="1" ht="54" customHeight="1" spans="1:23">
      <c r="A31" s="8"/>
      <c r="B31" s="8"/>
      <c r="C31" s="8"/>
      <c r="D31" s="8"/>
      <c r="E31" s="8"/>
      <c r="F31" s="8"/>
      <c r="G31" s="8"/>
      <c r="H31" s="22"/>
      <c r="I31" s="8"/>
      <c r="J31" s="8"/>
      <c r="K31" s="8"/>
      <c r="L31" s="8"/>
      <c r="M31" s="8"/>
      <c r="N31" s="22"/>
      <c r="O31" s="8"/>
      <c r="P31" s="8"/>
      <c r="Q31" s="42"/>
      <c r="R31" s="42"/>
      <c r="S31" s="42"/>
      <c r="T31" s="42"/>
      <c r="U31" s="8"/>
      <c r="V31" s="8"/>
      <c r="W31" s="50"/>
    </row>
    <row r="32" s="4" customFormat="1" ht="54" customHeight="1" spans="1:23">
      <c r="A32" s="8"/>
      <c r="B32" s="8"/>
      <c r="C32" s="8"/>
      <c r="D32" s="8"/>
      <c r="E32" s="8"/>
      <c r="F32" s="8"/>
      <c r="G32" s="8"/>
      <c r="H32" s="22"/>
      <c r="I32" s="8"/>
      <c r="J32" s="8"/>
      <c r="K32" s="8"/>
      <c r="L32" s="8"/>
      <c r="M32" s="8"/>
      <c r="N32" s="22"/>
      <c r="O32" s="8"/>
      <c r="P32" s="8"/>
      <c r="Q32" s="42"/>
      <c r="R32" s="42"/>
      <c r="S32" s="42"/>
      <c r="T32" s="42"/>
      <c r="U32" s="8"/>
      <c r="V32" s="8"/>
      <c r="W32" s="50"/>
    </row>
    <row r="33" s="4" customFormat="1" ht="54" customHeight="1" spans="1:23">
      <c r="A33" s="8"/>
      <c r="B33" s="8"/>
      <c r="C33" s="8"/>
      <c r="D33" s="8"/>
      <c r="E33" s="8"/>
      <c r="F33" s="8"/>
      <c r="G33" s="8"/>
      <c r="H33" s="22"/>
      <c r="I33" s="8"/>
      <c r="J33" s="8"/>
      <c r="K33" s="8"/>
      <c r="L33" s="8"/>
      <c r="M33" s="8"/>
      <c r="N33" s="22"/>
      <c r="O33" s="8"/>
      <c r="P33" s="8"/>
      <c r="Q33" s="42"/>
      <c r="R33" s="42"/>
      <c r="S33" s="42"/>
      <c r="T33" s="42"/>
      <c r="U33" s="8"/>
      <c r="V33" s="8"/>
      <c r="W33" s="50"/>
    </row>
    <row r="34" s="4" customFormat="1" ht="54" customHeight="1" spans="1:23">
      <c r="A34" s="8"/>
      <c r="B34" s="8"/>
      <c r="C34" s="8"/>
      <c r="D34" s="8"/>
      <c r="E34" s="8"/>
      <c r="F34" s="8"/>
      <c r="G34" s="8"/>
      <c r="H34" s="22"/>
      <c r="I34" s="31"/>
      <c r="J34" s="8"/>
      <c r="K34" s="8"/>
      <c r="L34" s="8"/>
      <c r="M34" s="8"/>
      <c r="N34" s="22"/>
      <c r="O34" s="8"/>
      <c r="P34" s="8"/>
      <c r="Q34" s="42"/>
      <c r="R34" s="42"/>
      <c r="S34" s="42"/>
      <c r="T34" s="42"/>
      <c r="U34" s="8"/>
      <c r="V34" s="8"/>
      <c r="W34" s="50"/>
    </row>
    <row r="35" s="4" customFormat="1" ht="54" customHeight="1" spans="1:23">
      <c r="A35" s="17"/>
      <c r="B35" s="8"/>
      <c r="C35" s="8"/>
      <c r="D35" s="8"/>
      <c r="E35" s="8"/>
      <c r="F35" s="8"/>
      <c r="G35" s="17"/>
      <c r="H35" s="26"/>
      <c r="I35" s="32"/>
      <c r="J35" s="17"/>
      <c r="K35" s="17"/>
      <c r="L35" s="17"/>
      <c r="M35" s="17"/>
      <c r="N35" s="26"/>
      <c r="O35" s="17"/>
      <c r="P35" s="17"/>
      <c r="Q35" s="46"/>
      <c r="R35" s="46"/>
      <c r="S35" s="46"/>
      <c r="T35" s="46"/>
      <c r="U35" s="8"/>
      <c r="V35" s="8"/>
      <c r="W35" s="50"/>
    </row>
    <row r="36" s="4" customFormat="1" ht="54" customHeight="1" spans="1:23">
      <c r="A36" s="18"/>
      <c r="B36" s="8"/>
      <c r="C36" s="8"/>
      <c r="D36" s="8"/>
      <c r="E36" s="8"/>
      <c r="F36" s="8"/>
      <c r="G36" s="18"/>
      <c r="H36" s="27"/>
      <c r="I36" s="33"/>
      <c r="J36" s="18"/>
      <c r="K36" s="18"/>
      <c r="L36" s="18"/>
      <c r="M36" s="18"/>
      <c r="N36" s="27"/>
      <c r="O36" s="18"/>
      <c r="P36" s="18"/>
      <c r="Q36" s="47"/>
      <c r="R36" s="47"/>
      <c r="S36" s="47"/>
      <c r="T36" s="47"/>
      <c r="U36" s="8"/>
      <c r="V36" s="8"/>
      <c r="W36" s="50"/>
    </row>
    <row r="37" ht="15" spans="1:23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" spans="1:23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" spans="1:23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" spans="1:23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" spans="1:23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" spans="1:23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" spans="1:2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" spans="1:23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" spans="1:23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" spans="1:23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" spans="1:23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" spans="1:23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</sheetData>
  <sheetProtection formatCells="0" insertHyperlinks="0" autoFilter="0"/>
  <mergeCells count="57">
    <mergeCell ref="A13:A14"/>
    <mergeCell ref="A17:A21"/>
    <mergeCell ref="A22:A24"/>
    <mergeCell ref="A35:A36"/>
    <mergeCell ref="G13:G14"/>
    <mergeCell ref="G17:G21"/>
    <mergeCell ref="G35:G36"/>
    <mergeCell ref="H13:H14"/>
    <mergeCell ref="H17:H21"/>
    <mergeCell ref="H22:H24"/>
    <mergeCell ref="H35:H36"/>
    <mergeCell ref="I13:I14"/>
    <mergeCell ref="I17:I21"/>
    <mergeCell ref="I22:I24"/>
    <mergeCell ref="I35:I36"/>
    <mergeCell ref="J13:J14"/>
    <mergeCell ref="J17:J21"/>
    <mergeCell ref="J22:J24"/>
    <mergeCell ref="J35:J36"/>
    <mergeCell ref="K13:K14"/>
    <mergeCell ref="K17:K21"/>
    <mergeCell ref="K22:K24"/>
    <mergeCell ref="K35:K36"/>
    <mergeCell ref="L17:L21"/>
    <mergeCell ref="L22:L24"/>
    <mergeCell ref="L35:L36"/>
    <mergeCell ref="M17:M21"/>
    <mergeCell ref="M22:M24"/>
    <mergeCell ref="M35:M36"/>
    <mergeCell ref="N17:N21"/>
    <mergeCell ref="N22:N24"/>
    <mergeCell ref="N35:N36"/>
    <mergeCell ref="O13:O14"/>
    <mergeCell ref="O17:O21"/>
    <mergeCell ref="O22:O24"/>
    <mergeCell ref="O35:O36"/>
    <mergeCell ref="P13:P14"/>
    <mergeCell ref="P17:P21"/>
    <mergeCell ref="P22:P24"/>
    <mergeCell ref="P35:P36"/>
    <mergeCell ref="Q13:Q14"/>
    <mergeCell ref="Q17:Q21"/>
    <mergeCell ref="Q22:Q24"/>
    <mergeCell ref="Q35:Q36"/>
    <mergeCell ref="R17:R21"/>
    <mergeCell ref="R22:R24"/>
    <mergeCell ref="R35:R36"/>
    <mergeCell ref="S17:S21"/>
    <mergeCell ref="S22:S24"/>
    <mergeCell ref="S35:S36"/>
    <mergeCell ref="T17:T21"/>
    <mergeCell ref="T22:T24"/>
    <mergeCell ref="T35:T36"/>
    <mergeCell ref="U17:U21"/>
    <mergeCell ref="U22:U24"/>
    <mergeCell ref="V17:V21"/>
    <mergeCell ref="V22:V24"/>
  </mergeCells>
  <conditionalFormatting sqref="A1:D1">
    <cfRule type="containsText" dxfId="10" priority="133" operator="between" text="IB-DE">
      <formula>NOT(ISERROR(SEARCH("IB-DE",A1)))</formula>
    </cfRule>
    <cfRule type="containsText" dxfId="11" priority="132" operator="between" text="GO-DE">
      <formula>NOT(ISERROR(SEARCH("GO-DE",A1)))</formula>
    </cfRule>
    <cfRule type="containsText" dxfId="12" priority="131" operator="between" text="B+ DE">
      <formula>NOT(ISERROR(SEARCH("B+ DE",A1)))</formula>
    </cfRule>
    <cfRule type="containsText" dxfId="13" priority="130" operator="between" text="IB-IT">
      <formula>NOT(ISERROR(SEARCH("IB-IT",A1)))</formula>
    </cfRule>
    <cfRule type="containsText" dxfId="14" priority="129" operator="between" text="GO-IT">
      <formula>NOT(ISERROR(SEARCH("GO-IT",A1)))</formula>
    </cfRule>
  </conditionalFormatting>
  <conditionalFormatting sqref="B3:C3">
    <cfRule type="containsText" dxfId="10" priority="79" operator="between" text="IB-DE">
      <formula>NOT(ISERROR(SEARCH("IB-DE",B3)))</formula>
    </cfRule>
    <cfRule type="containsText" dxfId="11" priority="78" operator="between" text="GO-DE">
      <formula>NOT(ISERROR(SEARCH("GO-DE",B3)))</formula>
    </cfRule>
  </conditionalFormatting>
  <conditionalFormatting sqref="B4">
    <cfRule type="containsText" dxfId="10" priority="72" operator="between" text="IB-DE">
      <formula>NOT(ISERROR(SEARCH("IB-DE",B4)))</formula>
    </cfRule>
    <cfRule type="containsText" dxfId="11" priority="71" operator="between" text="GO-DE">
      <formula>NOT(ISERROR(SEARCH("GO-DE",B4)))</formula>
    </cfRule>
    <cfRule type="containsText" dxfId="12" priority="70" operator="between" text="B+ DE">
      <formula>NOT(ISERROR(SEARCH("B+ DE",B4)))</formula>
    </cfRule>
    <cfRule type="containsText" dxfId="13" priority="69" operator="between" text="IB-IT">
      <formula>NOT(ISERROR(SEARCH("IB-IT",B4)))</formula>
    </cfRule>
    <cfRule type="containsText" dxfId="14" priority="68" operator="between" text="GO-IT">
      <formula>NOT(ISERROR(SEARCH("GO-IT",B4)))</formula>
    </cfRule>
  </conditionalFormatting>
  <conditionalFormatting sqref="A5">
    <cfRule type="containsText" dxfId="10" priority="65" operator="between" text="IB-DE">
      <formula>NOT(ISERROR(SEARCH("IB-DE",A5)))</formula>
    </cfRule>
    <cfRule type="containsText" dxfId="11" priority="64" operator="between" text="GO-DE">
      <formula>NOT(ISERROR(SEARCH("GO-DE",A5)))</formula>
    </cfRule>
  </conditionalFormatting>
  <conditionalFormatting sqref="B5:C5">
    <cfRule type="containsText" dxfId="10" priority="67" operator="between" text="IB-DE">
      <formula>NOT(ISERROR(SEARCH("IB-DE",B5)))</formula>
    </cfRule>
    <cfRule type="containsText" dxfId="11" priority="66" operator="between" text="GO-DE">
      <formula>NOT(ISERROR(SEARCH("GO-DE",B5)))</formula>
    </cfRule>
  </conditionalFormatting>
  <conditionalFormatting sqref="A6">
    <cfRule type="containsText" dxfId="10" priority="45" operator="between" text="IB-DE">
      <formula>NOT(ISERROR(SEARCH("IB-DE",A6)))</formula>
    </cfRule>
    <cfRule type="containsText" dxfId="11" priority="44" operator="between" text="GO-DE">
      <formula>NOT(ISERROR(SEARCH("GO-DE",A6)))</formula>
    </cfRule>
    <cfRule type="containsText" dxfId="12" priority="43" operator="between" text="B+ DE">
      <formula>NOT(ISERROR(SEARCH("B+ DE",A6)))</formula>
    </cfRule>
    <cfRule type="containsText" dxfId="13" priority="42" operator="between" text="IB-IT">
      <formula>NOT(ISERROR(SEARCH("IB-IT",A6)))</formula>
    </cfRule>
    <cfRule type="containsText" dxfId="14" priority="41" operator="between" text="GO-IT">
      <formula>NOT(ISERROR(SEARCH("GO-IT",A6)))</formula>
    </cfRule>
  </conditionalFormatting>
  <conditionalFormatting sqref="B6:C6">
    <cfRule type="containsText" dxfId="10" priority="60" operator="between" text="IB-DE">
      <formula>NOT(ISERROR(SEARCH("IB-DE",B6)))</formula>
    </cfRule>
    <cfRule type="containsText" dxfId="11" priority="57" operator="between" text="GO-DE">
      <formula>NOT(ISERROR(SEARCH("GO-DE",B6)))</formula>
    </cfRule>
    <cfRule type="containsText" dxfId="12" priority="54" operator="between" text="B+ DE">
      <formula>NOT(ISERROR(SEARCH("B+ DE",B6)))</formula>
    </cfRule>
    <cfRule type="containsText" dxfId="13" priority="51" operator="between" text="IB-IT">
      <formula>NOT(ISERROR(SEARCH("IB-IT",B6)))</formula>
    </cfRule>
    <cfRule type="containsText" dxfId="14" priority="48" operator="between" text="GO-IT">
      <formula>NOT(ISERROR(SEARCH("GO-IT",B6)))</formula>
    </cfRule>
  </conditionalFormatting>
  <conditionalFormatting sqref="A7">
    <cfRule type="containsText" dxfId="10" priority="40" operator="between" text="IB-DE">
      <formula>NOT(ISERROR(SEARCH("IB-DE",A7)))</formula>
    </cfRule>
    <cfRule type="containsText" dxfId="11" priority="39" operator="between" text="GO-DE">
      <formula>NOT(ISERROR(SEARCH("GO-DE",A7)))</formula>
    </cfRule>
    <cfRule type="containsText" dxfId="12" priority="38" operator="between" text="B+ DE">
      <formula>NOT(ISERROR(SEARCH("B+ DE",A7)))</formula>
    </cfRule>
    <cfRule type="containsText" dxfId="13" priority="37" operator="between" text="IB-IT">
      <formula>NOT(ISERROR(SEARCH("IB-IT",A7)))</formula>
    </cfRule>
    <cfRule type="containsText" dxfId="14" priority="36" operator="between" text="GO-IT">
      <formula>NOT(ISERROR(SEARCH("GO-IT",A7)))</formula>
    </cfRule>
  </conditionalFormatting>
  <conditionalFormatting sqref="B7">
    <cfRule type="containsText" dxfId="10" priority="59" operator="between" text="IB-DE">
      <formula>NOT(ISERROR(SEARCH("IB-DE",B7)))</formula>
    </cfRule>
    <cfRule type="containsText" dxfId="11" priority="56" operator="between" text="GO-DE">
      <formula>NOT(ISERROR(SEARCH("GO-DE",B7)))</formula>
    </cfRule>
    <cfRule type="containsText" dxfId="12" priority="53" operator="between" text="B+ DE">
      <formula>NOT(ISERROR(SEARCH("B+ DE",B7)))</formula>
    </cfRule>
    <cfRule type="containsText" dxfId="13" priority="50" operator="between" text="IB-IT">
      <formula>NOT(ISERROR(SEARCH("IB-IT",B7)))</formula>
    </cfRule>
    <cfRule type="containsText" dxfId="14" priority="47" operator="between" text="GO-IT">
      <formula>NOT(ISERROR(SEARCH("GO-IT",B7)))</formula>
    </cfRule>
  </conditionalFormatting>
  <conditionalFormatting sqref="A8">
    <cfRule type="containsText" dxfId="10" priority="35" operator="between" text="IB-DE">
      <formula>NOT(ISERROR(SEARCH("IB-DE",A8)))</formula>
    </cfRule>
    <cfRule type="containsText" dxfId="11" priority="34" operator="between" text="GO-DE">
      <formula>NOT(ISERROR(SEARCH("GO-DE",A8)))</formula>
    </cfRule>
    <cfRule type="containsText" dxfId="12" priority="33" operator="between" text="B+ DE">
      <formula>NOT(ISERROR(SEARCH("B+ DE",A8)))</formula>
    </cfRule>
    <cfRule type="containsText" dxfId="13" priority="32" operator="between" text="IB-IT">
      <formula>NOT(ISERROR(SEARCH("IB-IT",A8)))</formula>
    </cfRule>
    <cfRule type="containsText" dxfId="14" priority="31" operator="between" text="GO-IT">
      <formula>NOT(ISERROR(SEARCH("GO-IT",A8)))</formula>
    </cfRule>
  </conditionalFormatting>
  <conditionalFormatting sqref="B8:C8">
    <cfRule type="containsText" dxfId="10" priority="58" operator="between" text="IB-DE">
      <formula>NOT(ISERROR(SEARCH("IB-DE",B8)))</formula>
    </cfRule>
    <cfRule type="containsText" dxfId="11" priority="55" operator="between" text="GO-DE">
      <formula>NOT(ISERROR(SEARCH("GO-DE",B8)))</formula>
    </cfRule>
    <cfRule type="containsText" dxfId="12" priority="52" operator="between" text="B+ DE">
      <formula>NOT(ISERROR(SEARCH("B+ DE",B8)))</formula>
    </cfRule>
    <cfRule type="containsText" dxfId="13" priority="49" operator="between" text="IB-IT">
      <formula>NOT(ISERROR(SEARCH("IB-IT",B8)))</formula>
    </cfRule>
    <cfRule type="containsText" dxfId="14" priority="46" operator="between" text="GO-IT">
      <formula>NOT(ISERROR(SEARCH("GO-IT",B8)))</formula>
    </cfRule>
  </conditionalFormatting>
  <conditionalFormatting sqref="B15:D15">
    <cfRule type="containsText" dxfId="10" priority="30" operator="between" text="IB-DE">
      <formula>NOT(ISERROR(SEARCH("IB-DE",B15)))</formula>
    </cfRule>
    <cfRule type="containsText" dxfId="11" priority="29" operator="between" text="GO-DE">
      <formula>NOT(ISERROR(SEARCH("GO-DE",B15)))</formula>
    </cfRule>
    <cfRule type="containsText" dxfId="12" priority="28" operator="between" text="B+ DE">
      <formula>NOT(ISERROR(SEARCH("B+ DE",B15)))</formula>
    </cfRule>
    <cfRule type="containsText" dxfId="13" priority="27" operator="between" text="IB-IT">
      <formula>NOT(ISERROR(SEARCH("IB-IT",B15)))</formula>
    </cfRule>
    <cfRule type="containsText" dxfId="14" priority="26" operator="between" text="GO-IT">
      <formula>NOT(ISERROR(SEARCH("GO-IT",B15)))</formula>
    </cfRule>
  </conditionalFormatting>
  <conditionalFormatting sqref="I17">
    <cfRule type="containsText" dxfId="10" priority="20" operator="between" text="IB-DE">
      <formula>NOT(ISERROR(SEARCH("IB-DE",I17)))</formula>
    </cfRule>
    <cfRule type="containsText" dxfId="11" priority="19" operator="between" text="GO-DE">
      <formula>NOT(ISERROR(SEARCH("GO-DE",I17)))</formula>
    </cfRule>
    <cfRule type="containsText" dxfId="12" priority="18" operator="between" text="B+ DE">
      <formula>NOT(ISERROR(SEARCH("B+ DE",I17)))</formula>
    </cfRule>
    <cfRule type="containsText" dxfId="13" priority="17" operator="between" text="IB-IT">
      <formula>NOT(ISERROR(SEARCH("IB-IT",I17)))</formula>
    </cfRule>
    <cfRule type="containsText" dxfId="14" priority="16" operator="between" text="GO-IT">
      <formula>NOT(ISERROR(SEARCH("GO-IT",I17)))</formula>
    </cfRule>
  </conditionalFormatting>
  <conditionalFormatting sqref="B19">
    <cfRule type="containsText" dxfId="10" priority="10" operator="between" text="IB-DE">
      <formula>NOT(ISERROR(SEARCH("IB-DE",B19)))</formula>
    </cfRule>
    <cfRule type="containsText" dxfId="11" priority="9" operator="between" text="GO-DE">
      <formula>NOT(ISERROR(SEARCH("GO-DE",B19)))</formula>
    </cfRule>
    <cfRule type="containsText" dxfId="12" priority="8" operator="between" text="B+ DE">
      <formula>NOT(ISERROR(SEARCH("B+ DE",B19)))</formula>
    </cfRule>
    <cfRule type="containsText" dxfId="13" priority="7" operator="between" text="IB-IT">
      <formula>NOT(ISERROR(SEARCH("IB-IT",B19)))</formula>
    </cfRule>
    <cfRule type="containsText" dxfId="14" priority="6" operator="between" text="GO-IT">
      <formula>NOT(ISERROR(SEARCH("GO-IT",B19)))</formula>
    </cfRule>
  </conditionalFormatting>
  <conditionalFormatting sqref="B21">
    <cfRule type="containsText" dxfId="10" priority="15" operator="between" text="IB-DE">
      <formula>NOT(ISERROR(SEARCH("IB-DE",B21)))</formula>
    </cfRule>
    <cfRule type="containsText" dxfId="11" priority="14" operator="between" text="GO-DE">
      <formula>NOT(ISERROR(SEARCH("GO-DE",B21)))</formula>
    </cfRule>
    <cfRule type="containsText" dxfId="12" priority="13" operator="between" text="B+ DE">
      <formula>NOT(ISERROR(SEARCH("B+ DE",B21)))</formula>
    </cfRule>
    <cfRule type="containsText" dxfId="13" priority="12" operator="between" text="IB-IT">
      <formula>NOT(ISERROR(SEARCH("IB-IT",B21)))</formula>
    </cfRule>
    <cfRule type="containsText" dxfId="14" priority="11" operator="between" text="GO-IT">
      <formula>NOT(ISERROR(SEARCH("GO-IT",B21)))</formula>
    </cfRule>
  </conditionalFormatting>
  <conditionalFormatting sqref="A2:A4">
    <cfRule type="containsText" dxfId="10" priority="77" operator="between" text="IB-DE">
      <formula>NOT(ISERROR(SEARCH("IB-DE",A2)))</formula>
    </cfRule>
    <cfRule type="containsText" dxfId="11" priority="76" operator="between" text="GO-DE">
      <formula>NOT(ISERROR(SEARCH("GO-DE",A2)))</formula>
    </cfRule>
  </conditionalFormatting>
  <conditionalFormatting sqref="B3:C3 A2:A4">
    <cfRule type="containsText" dxfId="12" priority="75" operator="between" text="B+ DE">
      <formula>NOT(ISERROR(SEARCH("B+ DE",A2)))</formula>
    </cfRule>
    <cfRule type="containsText" dxfId="13" priority="74" operator="between" text="IB-IT">
      <formula>NOT(ISERROR(SEARCH("IB-IT",A2)))</formula>
    </cfRule>
    <cfRule type="containsText" dxfId="14" priority="73" operator="between" text="GO-IT">
      <formula>NOT(ISERROR(SEARCH("GO-IT",A2)))</formula>
    </cfRule>
  </conditionalFormatting>
  <conditionalFormatting sqref="B5:C5 A5">
    <cfRule type="containsText" dxfId="12" priority="63" operator="between" text="B+ DE">
      <formula>NOT(ISERROR(SEARCH("B+ DE",A5)))</formula>
    </cfRule>
    <cfRule type="containsText" dxfId="13" priority="62" operator="between" text="IB-IT">
      <formula>NOT(ISERROR(SEARCH("IB-IT",A5)))</formula>
    </cfRule>
    <cfRule type="containsText" dxfId="14" priority="61" operator="between" text="GO-IT">
      <formula>NOT(ISERROR(SEARCH("GO-IT",A5)))</formula>
    </cfRule>
  </conditionalFormatting>
  <conditionalFormatting sqref="B17:B18 D17:D18 B20">
    <cfRule type="containsText" dxfId="10" priority="25" operator="between" text="IB-DE">
      <formula>NOT(ISERROR(SEARCH("IB-DE",B17)))</formula>
    </cfRule>
    <cfRule type="containsText" dxfId="11" priority="24" operator="between" text="GO-DE">
      <formula>NOT(ISERROR(SEARCH("GO-DE",B17)))</formula>
    </cfRule>
    <cfRule type="containsText" dxfId="12" priority="23" operator="between" text="B+ DE">
      <formula>NOT(ISERROR(SEARCH("B+ DE",B17)))</formula>
    </cfRule>
    <cfRule type="containsText" dxfId="13" priority="22" operator="between" text="IB-IT">
      <formula>NOT(ISERROR(SEARCH("IB-IT",B17)))</formula>
    </cfRule>
    <cfRule type="containsText" dxfId="14" priority="21" operator="between" text="GO-IT">
      <formula>NOT(ISERROR(SEARCH("GO-IT",B17)))</formula>
    </cfRule>
  </conditionalFormatting>
  <conditionalFormatting sqref="B22:D24 A25:D28">
    <cfRule type="containsText" dxfId="10" priority="5" operator="between" text="IB-DE">
      <formula>NOT(ISERROR(SEARCH("IB-DE",A22)))</formula>
    </cfRule>
    <cfRule type="containsText" dxfId="11" priority="4" operator="between" text="GO-DE">
      <formula>NOT(ISERROR(SEARCH("GO-DE",A22)))</formula>
    </cfRule>
    <cfRule type="containsText" dxfId="12" priority="3" operator="between" text="B+ DE">
      <formula>NOT(ISERROR(SEARCH("B+ DE",A22)))</formula>
    </cfRule>
    <cfRule type="containsText" dxfId="13" priority="2" operator="between" text="IB-IT">
      <formula>NOT(ISERROR(SEARCH("IB-IT",A22)))</formula>
    </cfRule>
    <cfRule type="containsText" dxfId="14" priority="1" operator="between" text="GO-IT">
      <formula>NOT(ISERROR(SEARCH("GO-IT",A22)))</formula>
    </cfRule>
  </conditionalFormatting>
  <dataValidations count="4">
    <dataValidation type="list" allowBlank="1" showInputMessage="1" showErrorMessage="1" sqref="M1:M10 M12:M28">
      <formula1>"DTM2,WRO5,MXP5,FCO1,CDG7,MBB,谷仓"</formula1>
    </dataValidation>
    <dataValidation type="list" allowBlank="1" showInputMessage="1" showErrorMessage="1" sqref="N1:N18 N20:N28">
      <formula1>"官方UPS红单,官方UPS蓝单,十方红单,十方海派,十方计税海派,十方无电无磁空派,十方带电带磁空派,十方纺织品空派,十方中欧卡航,十方铁运,信易通红单,信易通空派,信易通卡航,信易通铁运,信易通海派,信易通自主包税空派,信易通自主包税海派,外代卡航,比速海运,JCEX佳成-香港UPS-红单"</formula1>
    </dataValidation>
    <dataValidation type="list" allowBlank="1" showInputMessage="1" showErrorMessage="1" sqref="K1:K28">
      <formula1>"GLS,UPS,DPD"</formula1>
    </dataValidation>
    <dataValidation type="list" allowBlank="1" showInputMessage="1" showErrorMessage="1" sqref="H1:H18 H20:H28">
      <formula1>"在途,待清关,已清关待提取,已签收"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4"/>
  <sheetViews>
    <sheetView workbookViewId="0">
      <selection activeCell="N23" sqref="A1:Y425"/>
    </sheetView>
  </sheetViews>
  <sheetFormatPr defaultColWidth="9" defaultRowHeight="13.5"/>
  <cols>
    <col min="4" max="4" width="15.75" customWidth="1"/>
    <col min="7" max="7" width="9.375"/>
    <col min="8" max="8" width="9" style="1"/>
    <col min="9" max="9" width="12.625"/>
    <col min="17" max="17" width="10.375"/>
    <col min="18" max="18" width="12.625"/>
    <col min="19" max="21" width="11.5"/>
    <col min="22" max="23" width="10.375"/>
  </cols>
  <sheetData>
    <row r="1" ht="14.25" spans="1:1">
      <c r="A1" s="2"/>
    </row>
    <row r="2" ht="14.25"/>
    <row r="3" ht="14.25"/>
    <row r="4" ht="14.25"/>
    <row r="5" ht="14.25"/>
    <row r="6" ht="14.25"/>
    <row r="7" ht="14.25"/>
    <row r="8" ht="14.25"/>
    <row r="9" ht="14.25"/>
    <row r="10" ht="14.25"/>
    <row r="11" ht="14.25"/>
    <row r="12" ht="14.25"/>
    <row r="13" ht="14.25"/>
    <row r="14" ht="14.25"/>
    <row r="15" ht="14.25"/>
    <row r="16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/>
    <woSheetProps sheetStid="5" interlineOnOff="0" interlineColor="0" isDbSheet="0" isDashBoardSheet="0"/>
    <woSheetProps sheetStid="7" interlineOnOff="0" interlineColor="0" isDbSheet="0" isDashBoardSheet="0"/>
    <woSheetProps sheetStid="13" interlineOnOff="0" interlineColor="0" isDbSheet="0" isDashBoardSheet="0"/>
    <woSheetProps sheetStid="18" interlineOnOff="0" interlineColor="0" isDbSheet="0" isDashBoardSheet="0"/>
    <woSheetProps sheetStid="26" interlineOnOff="0" interlineColor="0" isDbSheet="0" isDashBoardSheet="0"/>
    <woSheetProps sheetStid="30" interlineOnOff="0" interlineColor="0" isDbSheet="0" isDashBoardSheet="0"/>
    <woSheetProps sheetStid="28" interlineOnOff="0" interlineColor="0" isDbSheet="0" isDashBoardSheet="0"/>
    <woSheetProps sheetStid="29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3" master=""/>
  <rangeList sheetStid="5" master=""/>
  <rangeList sheetStid="7" master=""/>
  <rangeList sheetStid="13" master=""/>
  <rangeList sheetStid="18" master=""/>
  <rangeList sheetStid="26" master=""/>
  <rangeList sheetStid="30" master=""/>
  <rangeList sheetStid="28" master=""/>
  <rangeList sheetStid="29" master=""/>
</allowEditUser>
</file>

<file path=customXml/item4.xml><?xml version="1.0" encoding="utf-8"?>
<pixelators xmlns="https://web.wps.cn/et/2018/main" xmlns:s="http://schemas.openxmlformats.org/spreadsheetml/2006/main">
  <pixelatorList sheetStid="3"/>
  <pixelatorList sheetStid="5"/>
  <pixelatorList sheetStid="7"/>
  <pixelatorList sheetStid="13"/>
  <pixelatorList sheetStid="18"/>
  <pixelatorList sheetStid="26"/>
  <pixelatorList sheetStid="30"/>
  <pixelatorList sheetStid="28"/>
  <pixelatorList sheetStid="29"/>
  <pixelatorList sheetStid="31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库存管理表</vt:lpstr>
      <vt:lpstr>过去3天</vt:lpstr>
      <vt:lpstr>过去7天</vt:lpstr>
      <vt:lpstr>过去14天</vt:lpstr>
      <vt:lpstr>过去30天</vt:lpstr>
      <vt:lpstr>Manage FBA Inventory(EU)</vt:lpstr>
      <vt:lpstr>Manage FBA Inventory(UK)</vt:lpstr>
      <vt:lpstr>备货记录</vt:lpstr>
      <vt:lpstr>本地仓库存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小虎牙</cp:lastModifiedBy>
  <dcterms:created xsi:type="dcterms:W3CDTF">2020-01-27T18:06:00Z</dcterms:created>
  <dcterms:modified xsi:type="dcterms:W3CDTF">2024-12-27T18:50:00Z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490FDB3B817F4FF49FF31E22A195D550_13</vt:lpwstr>
  </property>
</Properties>
</file>