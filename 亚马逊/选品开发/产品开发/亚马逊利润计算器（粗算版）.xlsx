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8_{02839424-A6FB-4CCE-AD38-C8536E3DF3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单个产品利润计算器" sheetId="1" r:id="rId1"/>
    <sheet name="店铺利润计算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D13" i="2" s="1"/>
  <c r="C14" i="2"/>
  <c r="G13" i="2"/>
  <c r="H12" i="2" s="1"/>
  <c r="E13" i="2"/>
  <c r="F12" i="2" s="1"/>
  <c r="H9" i="2"/>
  <c r="B10" i="1"/>
  <c r="B11" i="1" s="1"/>
  <c r="D9" i="2" l="1"/>
  <c r="F9" i="2"/>
  <c r="D6" i="2"/>
  <c r="F6" i="2"/>
  <c r="H6" i="2"/>
  <c r="H13" i="2"/>
  <c r="F10" i="2"/>
  <c r="H10" i="2"/>
  <c r="D7" i="2"/>
  <c r="D11" i="2"/>
  <c r="C15" i="2"/>
  <c r="D10" i="2"/>
  <c r="F7" i="2"/>
  <c r="E14" i="2"/>
  <c r="E15" i="2" s="1"/>
  <c r="H7" i="2"/>
  <c r="H11" i="2"/>
  <c r="G14" i="2"/>
  <c r="G15" i="2" s="1"/>
  <c r="F11" i="2"/>
  <c r="D8" i="2"/>
  <c r="D12" i="2"/>
  <c r="F13" i="2"/>
  <c r="F8" i="2"/>
  <c r="H8" i="2"/>
</calcChain>
</file>

<file path=xl/sharedStrings.xml><?xml version="1.0" encoding="utf-8"?>
<sst xmlns="http://schemas.openxmlformats.org/spreadsheetml/2006/main" count="33" uniqueCount="29">
  <si>
    <r>
      <rPr>
        <b/>
        <sz val="12"/>
        <color theme="3" tint="-0.249977111117893"/>
        <rFont val="微软雅黑"/>
        <family val="2"/>
        <charset val="134"/>
      </rPr>
      <t>单个产品利润计算器(</t>
    </r>
    <r>
      <rPr>
        <b/>
        <sz val="8"/>
        <color theme="3" tint="-0.249977111117893"/>
        <rFont val="微软雅黑"/>
        <family val="2"/>
        <charset val="134"/>
      </rPr>
      <t>填写带框数据</t>
    </r>
    <r>
      <rPr>
        <b/>
        <sz val="12"/>
        <color theme="3" tint="-0.249977111117893"/>
        <rFont val="微软雅黑"/>
        <family val="2"/>
        <charset val="134"/>
      </rPr>
      <t>）</t>
    </r>
  </si>
  <si>
    <t>成本价</t>
  </si>
  <si>
    <t>头程费用</t>
  </si>
  <si>
    <t>汇率</t>
  </si>
  <si>
    <t>佣金比例</t>
  </si>
  <si>
    <t>FBA配送费</t>
  </si>
  <si>
    <t>最低售价</t>
  </si>
  <si>
    <t>当前售价</t>
  </si>
  <si>
    <t>利润</t>
  </si>
  <si>
    <t>利润率</t>
  </si>
  <si>
    <t>逻辑</t>
  </si>
  <si>
    <t>店铺盈亏额=收入（总销售额）-支出（货物成本+运输成本+佣金费用+FBA费用+仓储费用+广告成本+其他费用）。</t>
  </si>
  <si>
    <t>项目</t>
  </si>
  <si>
    <t>店铺-A</t>
  </si>
  <si>
    <t>SKU-01</t>
  </si>
  <si>
    <t>支出占比</t>
  </si>
  <si>
    <t>SKU-02</t>
  </si>
  <si>
    <t>SKU-03</t>
  </si>
  <si>
    <t>收入</t>
  </si>
  <si>
    <t>总销售额</t>
  </si>
  <si>
    <t>支出</t>
  </si>
  <si>
    <t>货物成本</t>
  </si>
  <si>
    <t>运输成本</t>
  </si>
  <si>
    <t>佣金</t>
  </si>
  <si>
    <t>FBA费用</t>
  </si>
  <si>
    <t>仓储费用</t>
  </si>
  <si>
    <t>广告成本</t>
  </si>
  <si>
    <t>其他费用</t>
  </si>
  <si>
    <t>总成本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</si>
</sst>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\$#,##0.00;\-\$#,##0.00"/>
    <numFmt numFmtId="179" formatCode="&quot;￥&quot;#,##0.00;&quot;￥&quot;\-#,##0.00"/>
  </numFmts>
  <fonts count="7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3" tint="-0.249977111117893"/>
      <name val="微软雅黑"/>
      <family val="2"/>
      <charset val="134"/>
    </font>
    <font>
      <b/>
      <sz val="8"/>
      <color theme="3" tint="-0.249977111117893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177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0" fontId="1" fillId="0" borderId="2" xfId="0" applyNumberFormat="1" applyFont="1" applyBorder="1">
      <alignment vertical="center"/>
    </xf>
    <xf numFmtId="10" fontId="1" fillId="0" borderId="3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3" fillId="0" borderId="0" xfId="0" applyFont="1">
      <alignment vertical="center"/>
    </xf>
    <xf numFmtId="17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2" xfId="0" applyFont="1" applyBorder="1">
      <alignment vertical="center"/>
    </xf>
    <xf numFmtId="179" fontId="3" fillId="0" borderId="6" xfId="0" applyNumberFormat="1" applyFont="1" applyBorder="1">
      <alignment vertical="center"/>
    </xf>
    <xf numFmtId="9" fontId="3" fillId="0" borderId="7" xfId="0" applyNumberFormat="1" applyFont="1" applyBorder="1">
      <alignment vertical="center"/>
    </xf>
    <xf numFmtId="177" fontId="3" fillId="0" borderId="8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177" fontId="3" fillId="0" borderId="9" xfId="0" applyNumberFormat="1" applyFont="1" applyBorder="1">
      <alignment vertical="center"/>
    </xf>
    <xf numFmtId="179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0" fontId="4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>
      <alignment vertical="center"/>
    </xf>
    <xf numFmtId="0" fontId="1" fillId="6" borderId="3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selection activeCell="B10" sqref="B10"/>
    </sheetView>
  </sheetViews>
  <sheetFormatPr defaultColWidth="9" defaultRowHeight="15.6" x14ac:dyDescent="0.25"/>
  <cols>
    <col min="1" max="1" width="19.44140625" style="11" customWidth="1"/>
    <col min="2" max="2" width="17.6640625" style="11" customWidth="1"/>
    <col min="3" max="16384" width="9" style="11"/>
  </cols>
  <sheetData>
    <row r="1" spans="1:3" x14ac:dyDescent="0.25">
      <c r="A1" s="22" t="s">
        <v>0</v>
      </c>
      <c r="B1" s="22"/>
    </row>
    <row r="2" spans="1:3" x14ac:dyDescent="0.25">
      <c r="A2" s="22"/>
      <c r="B2" s="22"/>
    </row>
    <row r="3" spans="1:3" x14ac:dyDescent="0.25">
      <c r="A3" s="11" t="s">
        <v>1</v>
      </c>
      <c r="B3" s="12">
        <v>50</v>
      </c>
      <c r="C3" s="13"/>
    </row>
    <row r="4" spans="1:3" x14ac:dyDescent="0.25">
      <c r="A4" s="14" t="s">
        <v>2</v>
      </c>
      <c r="B4" s="15">
        <v>14</v>
      </c>
    </row>
    <row r="5" spans="1:3" x14ac:dyDescent="0.25">
      <c r="A5" s="11" t="s">
        <v>3</v>
      </c>
      <c r="B5" s="13">
        <v>7</v>
      </c>
      <c r="C5" s="13"/>
    </row>
    <row r="6" spans="1:3" x14ac:dyDescent="0.25">
      <c r="A6" s="11" t="s">
        <v>4</v>
      </c>
      <c r="B6" s="16">
        <v>0.15</v>
      </c>
    </row>
    <row r="7" spans="1:3" x14ac:dyDescent="0.25">
      <c r="A7" s="11" t="s">
        <v>5</v>
      </c>
      <c r="B7" s="17">
        <v>3.19</v>
      </c>
      <c r="C7" s="13"/>
    </row>
    <row r="8" spans="1:3" x14ac:dyDescent="0.25">
      <c r="A8" s="11" t="s">
        <v>6</v>
      </c>
      <c r="B8" s="18">
        <v>13.1</v>
      </c>
    </row>
    <row r="9" spans="1:3" x14ac:dyDescent="0.25">
      <c r="A9" s="11" t="s">
        <v>7</v>
      </c>
      <c r="B9" s="19">
        <v>23.99</v>
      </c>
    </row>
    <row r="10" spans="1:3" x14ac:dyDescent="0.25">
      <c r="A10" s="11" t="s">
        <v>8</v>
      </c>
      <c r="B10" s="20">
        <f>(B9-B7-B9*B6)*B5-B4-B3</f>
        <v>56.410499999999971</v>
      </c>
    </row>
    <row r="11" spans="1:3" x14ac:dyDescent="0.25">
      <c r="A11" s="11" t="s">
        <v>9</v>
      </c>
      <c r="B11" s="21">
        <f>B10/(B9*B5)</f>
        <v>0.33591675102721358</v>
      </c>
    </row>
  </sheetData>
  <mergeCells count="1">
    <mergeCell ref="A1:B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workbookViewId="0">
      <selection activeCell="C14" sqref="C14"/>
    </sheetView>
  </sheetViews>
  <sheetFormatPr defaultColWidth="9" defaultRowHeight="17.399999999999999" x14ac:dyDescent="0.25"/>
  <cols>
    <col min="1" max="1" width="8.44140625" style="1" customWidth="1"/>
    <col min="2" max="2" width="9" style="1"/>
    <col min="3" max="3" width="14.77734375" style="1" bestFit="1" customWidth="1"/>
    <col min="4" max="4" width="15.33203125" style="1"/>
    <col min="5" max="5" width="12.77734375" style="1" customWidth="1"/>
    <col min="6" max="6" width="12.109375" style="1" customWidth="1"/>
    <col min="7" max="7" width="13" style="1" customWidth="1"/>
    <col min="8" max="8" width="42.77734375" style="1" customWidth="1"/>
    <col min="9" max="9" width="44.21875" style="1" customWidth="1"/>
    <col min="10" max="16384" width="9" style="1"/>
  </cols>
  <sheetData>
    <row r="1" spans="1:9" x14ac:dyDescent="0.25">
      <c r="A1" s="27" t="s">
        <v>10</v>
      </c>
      <c r="B1" s="27"/>
      <c r="C1" s="28" t="s">
        <v>11</v>
      </c>
      <c r="D1" s="28"/>
      <c r="E1" s="28"/>
      <c r="F1" s="28"/>
      <c r="G1" s="28"/>
      <c r="H1" s="28"/>
      <c r="I1" s="10"/>
    </row>
    <row r="2" spans="1:9" ht="13.95" customHeight="1" x14ac:dyDescent="0.25">
      <c r="A2" s="27"/>
      <c r="B2" s="27"/>
      <c r="C2" s="29"/>
      <c r="D2" s="29"/>
      <c r="E2" s="29"/>
      <c r="F2" s="29"/>
      <c r="G2" s="29"/>
      <c r="H2" s="29"/>
      <c r="I2" s="10"/>
    </row>
    <row r="3" spans="1:9" x14ac:dyDescent="0.25">
      <c r="A3" s="26" t="s">
        <v>12</v>
      </c>
      <c r="B3" s="26"/>
      <c r="C3" s="23" t="s">
        <v>13</v>
      </c>
      <c r="D3" s="23"/>
      <c r="E3" s="23"/>
      <c r="F3" s="23"/>
      <c r="G3" s="23"/>
      <c r="H3" s="23"/>
      <c r="I3" s="10"/>
    </row>
    <row r="4" spans="1:9" x14ac:dyDescent="0.25">
      <c r="A4" s="26"/>
      <c r="B4" s="26"/>
      <c r="C4" s="2" t="s">
        <v>14</v>
      </c>
      <c r="D4" s="2" t="s">
        <v>15</v>
      </c>
      <c r="E4" s="2" t="s">
        <v>16</v>
      </c>
      <c r="F4" s="2" t="s">
        <v>15</v>
      </c>
      <c r="G4" s="2" t="s">
        <v>17</v>
      </c>
      <c r="H4" s="2" t="s">
        <v>15</v>
      </c>
      <c r="I4" s="10"/>
    </row>
    <row r="5" spans="1:9" x14ac:dyDescent="0.25">
      <c r="A5" s="3" t="s">
        <v>18</v>
      </c>
      <c r="B5" s="4" t="s">
        <v>19</v>
      </c>
      <c r="C5" s="5">
        <v>58020.29</v>
      </c>
      <c r="E5" s="5">
        <v>70000</v>
      </c>
      <c r="G5" s="5">
        <v>60000</v>
      </c>
      <c r="I5" s="10"/>
    </row>
    <row r="6" spans="1:9" x14ac:dyDescent="0.25">
      <c r="A6" s="3" t="s">
        <v>20</v>
      </c>
      <c r="B6" s="4" t="s">
        <v>21</v>
      </c>
      <c r="C6" s="5">
        <v>-32675.06</v>
      </c>
      <c r="D6" s="6">
        <f t="shared" ref="D6:H6" si="0">C6/C13</f>
        <v>0.58764362622301136</v>
      </c>
      <c r="E6" s="5">
        <v>-32675.06</v>
      </c>
      <c r="F6" s="6">
        <f t="shared" si="0"/>
        <v>0.58764362622301136</v>
      </c>
      <c r="G6" s="5">
        <v>-32675.06</v>
      </c>
      <c r="H6" s="6">
        <f t="shared" si="0"/>
        <v>0.58764362622301136</v>
      </c>
      <c r="I6" s="10"/>
    </row>
    <row r="7" spans="1:9" x14ac:dyDescent="0.25">
      <c r="A7" s="3"/>
      <c r="B7" s="4" t="s">
        <v>22</v>
      </c>
      <c r="C7" s="5">
        <v>-2412.27</v>
      </c>
      <c r="D7" s="6">
        <f t="shared" ref="D7:H7" si="1">C7/C13</f>
        <v>4.3383396701612287E-2</v>
      </c>
      <c r="E7" s="5">
        <v>-2412.27</v>
      </c>
      <c r="F7" s="6">
        <f t="shared" si="1"/>
        <v>4.3383396701612287E-2</v>
      </c>
      <c r="G7" s="5">
        <v>-2412.27</v>
      </c>
      <c r="H7" s="6">
        <f t="shared" si="1"/>
        <v>4.3383396701612287E-2</v>
      </c>
      <c r="I7" s="10"/>
    </row>
    <row r="8" spans="1:9" x14ac:dyDescent="0.25">
      <c r="A8" s="3"/>
      <c r="B8" s="4" t="s">
        <v>23</v>
      </c>
      <c r="C8" s="5">
        <v>-6994.74</v>
      </c>
      <c r="D8" s="6">
        <f t="shared" ref="D8:H8" si="2">C8/C13</f>
        <v>0.12579668952672607</v>
      </c>
      <c r="E8" s="5">
        <v>-6994.74</v>
      </c>
      <c r="F8" s="6">
        <f t="shared" si="2"/>
        <v>0.12579668952672607</v>
      </c>
      <c r="G8" s="5">
        <v>-6994.74</v>
      </c>
      <c r="H8" s="6">
        <f t="shared" si="2"/>
        <v>0.12579668952672607</v>
      </c>
      <c r="I8" s="10"/>
    </row>
    <row r="9" spans="1:9" x14ac:dyDescent="0.25">
      <c r="A9" s="3"/>
      <c r="B9" s="4" t="s">
        <v>24</v>
      </c>
      <c r="C9" s="5">
        <v>-5327.23</v>
      </c>
      <c r="D9" s="6">
        <f t="shared" ref="D9:H9" si="3">C9/C13</f>
        <v>9.5807406472214959E-2</v>
      </c>
      <c r="E9" s="5">
        <v>-5327.23</v>
      </c>
      <c r="F9" s="6">
        <f t="shared" si="3"/>
        <v>9.5807406472214959E-2</v>
      </c>
      <c r="G9" s="5">
        <v>-5327.23</v>
      </c>
      <c r="H9" s="7">
        <f t="shared" si="3"/>
        <v>9.5807406472214959E-2</v>
      </c>
    </row>
    <row r="10" spans="1:9" x14ac:dyDescent="0.25">
      <c r="A10" s="3"/>
      <c r="B10" s="4" t="s">
        <v>25</v>
      </c>
      <c r="C10" s="5">
        <v>-457.23</v>
      </c>
      <c r="D10" s="6">
        <f t="shared" ref="D10:H10" si="4">C10/C13</f>
        <v>8.2230390768355897E-3</v>
      </c>
      <c r="E10" s="5">
        <v>-457.23</v>
      </c>
      <c r="F10" s="6">
        <f t="shared" si="4"/>
        <v>8.2230390768355897E-3</v>
      </c>
      <c r="G10" s="5">
        <v>-457.23</v>
      </c>
      <c r="H10" s="6">
        <f t="shared" si="4"/>
        <v>8.2230390768355897E-3</v>
      </c>
      <c r="I10" s="10"/>
    </row>
    <row r="11" spans="1:9" x14ac:dyDescent="0.25">
      <c r="A11" s="3"/>
      <c r="B11" s="4" t="s">
        <v>26</v>
      </c>
      <c r="C11" s="5">
        <v>-7634.32</v>
      </c>
      <c r="D11" s="6">
        <f t="shared" ref="D11:H11" si="5">C11/C13</f>
        <v>0.13729919665172335</v>
      </c>
      <c r="E11" s="5">
        <v>-7634.32</v>
      </c>
      <c r="F11" s="6">
        <f t="shared" si="5"/>
        <v>0.13729919665172335</v>
      </c>
      <c r="G11" s="5">
        <v>-7634.32</v>
      </c>
      <c r="H11" s="7">
        <f t="shared" si="5"/>
        <v>0.13729919665172335</v>
      </c>
    </row>
    <row r="12" spans="1:9" x14ac:dyDescent="0.25">
      <c r="A12" s="3"/>
      <c r="B12" s="4" t="s">
        <v>27</v>
      </c>
      <c r="C12" s="5">
        <v>-102.68</v>
      </c>
      <c r="D12" s="6">
        <f t="shared" ref="D12:H12" si="6">C12/C13</f>
        <v>1.8466453478762949E-3</v>
      </c>
      <c r="E12" s="5">
        <v>-102.68</v>
      </c>
      <c r="F12" s="6">
        <f t="shared" si="6"/>
        <v>1.8466453478762949E-3</v>
      </c>
      <c r="G12" s="5">
        <v>-102.68</v>
      </c>
      <c r="H12" s="7">
        <f t="shared" si="6"/>
        <v>1.8466453478762949E-3</v>
      </c>
    </row>
    <row r="13" spans="1:9" x14ac:dyDescent="0.25">
      <c r="A13" s="3"/>
      <c r="B13" s="4" t="s">
        <v>28</v>
      </c>
      <c r="C13" s="5">
        <f>SUM(C6:C12)</f>
        <v>-55603.530000000006</v>
      </c>
      <c r="D13" s="6">
        <f t="shared" ref="D13:H13" si="7">C13/C13</f>
        <v>1</v>
      </c>
      <c r="E13" s="5">
        <f t="shared" ref="C13:G13" si="8">SUM(E6:E12)</f>
        <v>-55603.530000000006</v>
      </c>
      <c r="F13" s="6">
        <f t="shared" si="7"/>
        <v>1</v>
      </c>
      <c r="G13" s="5">
        <f t="shared" si="8"/>
        <v>-55603.530000000006</v>
      </c>
      <c r="H13" s="7">
        <f t="shared" si="7"/>
        <v>1</v>
      </c>
    </row>
    <row r="14" spans="1:9" x14ac:dyDescent="0.25">
      <c r="A14" s="24" t="s">
        <v>8</v>
      </c>
      <c r="B14" s="24"/>
      <c r="C14" s="5">
        <f>C5+C13</f>
        <v>2416.7599999999948</v>
      </c>
      <c r="E14" s="5">
        <f t="shared" ref="C14:G14" si="9">E5+E13</f>
        <v>14396.469999999994</v>
      </c>
      <c r="G14" s="5">
        <f t="shared" si="9"/>
        <v>4396.4699999999939</v>
      </c>
      <c r="I14" s="10"/>
    </row>
    <row r="15" spans="1:9" x14ac:dyDescent="0.25">
      <c r="A15" s="25" t="s">
        <v>9</v>
      </c>
      <c r="B15" s="25"/>
      <c r="C15" s="8">
        <f t="shared" ref="C15:G15" si="10">C14/C5</f>
        <v>4.165370424725548E-2</v>
      </c>
      <c r="D15" s="9"/>
      <c r="E15" s="8">
        <f t="shared" si="10"/>
        <v>0.20566385714285706</v>
      </c>
      <c r="F15" s="9"/>
      <c r="G15" s="8">
        <f t="shared" si="10"/>
        <v>7.3274499999999895E-2</v>
      </c>
      <c r="H15" s="9"/>
      <c r="I15" s="10"/>
    </row>
  </sheetData>
  <mergeCells count="6">
    <mergeCell ref="C3:H3"/>
    <mergeCell ref="A14:B14"/>
    <mergeCell ref="A15:B15"/>
    <mergeCell ref="A3:B4"/>
    <mergeCell ref="A1:B2"/>
    <mergeCell ref="C1:H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单个产品利润计算器</vt:lpstr>
      <vt:lpstr>店铺利润计算器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2019-12-20T03:54:00Z</dcterms:created>
  <dcterms:modified xsi:type="dcterms:W3CDTF">2025-04-02T16:22:02Z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