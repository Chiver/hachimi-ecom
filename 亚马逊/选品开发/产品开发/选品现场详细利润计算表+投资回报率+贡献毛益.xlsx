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 activeTab="1"/>
  </bookViews>
  <sheets>
    <sheet name="利润详细计算横表" sheetId="2" r:id="rId1"/>
    <sheet name="亚马逊产品利润计算表" sheetId="1" r:id="rId2"/>
  </sheets>
  <definedNames>
    <definedName name="_xlnm._FilterDatabase" localSheetId="1" hidden="1">亚马逊产品利润计算表!#REF!</definedName>
  </definedNames>
  <calcPr calcId="144525"/>
</workbook>
</file>

<file path=xl/sharedStrings.xml><?xml version="1.0" encoding="utf-8"?>
<sst xmlns="http://schemas.openxmlformats.org/spreadsheetml/2006/main" count="50" uniqueCount="36">
  <si>
    <t>产品名</t>
  </si>
  <si>
    <t>备注：绿色部分公式自动</t>
  </si>
  <si>
    <t>发布日期</t>
  </si>
  <si>
    <t>重量/磅</t>
  </si>
  <si>
    <t>尺寸/英寸</t>
  </si>
  <si>
    <t>产品成本$</t>
  </si>
  <si>
    <t>运输费</t>
  </si>
  <si>
    <t>CPC成本</t>
  </si>
  <si>
    <t>税%+汇损率%</t>
  </si>
  <si>
    <t>产品价格</t>
  </si>
  <si>
    <t>月仓储</t>
  </si>
  <si>
    <t>FBA物流分拣费</t>
  </si>
  <si>
    <t>亚马逊佣金</t>
  </si>
  <si>
    <t>月估算销售量</t>
  </si>
  <si>
    <t>总FBA费用</t>
  </si>
  <si>
    <t>利润</t>
  </si>
  <si>
    <t>ROI(投资回报率利润/（产品成本+运费）</t>
  </si>
  <si>
    <t>估计月收入</t>
  </si>
  <si>
    <t>产品毛利</t>
  </si>
  <si>
    <t>产品毛利润率</t>
  </si>
  <si>
    <t>产品净利润率</t>
  </si>
  <si>
    <t>单位贡献收益D=P-V（变动成本）</t>
  </si>
  <si>
    <t>贡献收益率</t>
  </si>
  <si>
    <t>单个盈亏零界点</t>
  </si>
  <si>
    <t>狗咬绳</t>
  </si>
  <si>
    <t>利润计算</t>
  </si>
  <si>
    <t>3.10x6.00x6.0</t>
  </si>
  <si>
    <t>狗咬八字绳利润计算</t>
  </si>
  <si>
    <t>项目</t>
  </si>
  <si>
    <t>备注</t>
  </si>
  <si>
    <t>产品成本</t>
  </si>
  <si>
    <t>产品重量/磅</t>
  </si>
  <si>
    <t>产品尺寸/英寸</t>
  </si>
  <si>
    <t>Coupons</t>
  </si>
  <si>
    <t>FBA配送费</t>
  </si>
  <si>
    <t xml:space="preserve">总D=S销量×(P价格-V单位变动成本) 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</si>
</sst>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  <numFmt numFmtId="177" formatCode="0.00_);[Red]\(0.00\)"/>
    <numFmt numFmtId="178" formatCode="0_ "/>
    <numFmt numFmtId="179" formatCode="0.00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111111"/>
      <name val="微软雅黑"/>
      <charset val="134"/>
    </font>
    <font>
      <u/>
      <sz val="12"/>
      <color rgb="FF0000FF"/>
      <name val="宋体"/>
      <charset val="0"/>
      <scheme val="minor"/>
    </font>
    <font>
      <sz val="12"/>
      <color rgb="FF111111"/>
      <name val="Arial"/>
      <charset val="134"/>
    </font>
    <font>
      <b/>
      <sz val="12"/>
      <name val="微软雅黑"/>
      <charset val="134"/>
    </font>
    <font>
      <b/>
      <sz val="12"/>
      <color rgb="FF00B050"/>
      <name val="宋体"/>
      <charset val="134"/>
      <scheme val="minor"/>
    </font>
    <font>
      <b/>
      <sz val="12"/>
      <color rgb="FF14B014"/>
      <name val="Arial"/>
      <charset val="134"/>
    </font>
    <font>
      <sz val="12"/>
      <color rgb="FF333333"/>
      <name val="Arial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rgb="FF111111"/>
      <name val="微软雅黑"/>
      <charset val="134"/>
    </font>
    <font>
      <sz val="9"/>
      <color rgb="FF111111"/>
      <name val="微软雅黑"/>
      <charset val="134"/>
    </font>
    <font>
      <b/>
      <sz val="9"/>
      <name val="微软雅黑"/>
      <charset val="134"/>
    </font>
    <font>
      <b/>
      <sz val="9"/>
      <color rgb="FFFF0000"/>
      <name val="微软雅黑"/>
      <charset val="134"/>
    </font>
    <font>
      <b/>
      <sz val="9"/>
      <color rgb="FF00B05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</fills>
  <borders count="34">
    <border>
      <left/>
      <right/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7030A0"/>
      </left>
      <right style="hair">
        <color rgb="FF7030A0"/>
      </right>
      <top/>
      <bottom/>
      <diagonal/>
    </border>
    <border>
      <left style="hair">
        <color rgb="FF7030A0"/>
      </left>
      <right style="hair">
        <color rgb="FF7030A0"/>
      </right>
      <top/>
      <bottom/>
      <diagonal/>
    </border>
    <border>
      <left style="hair">
        <color rgb="FF7030A0"/>
      </left>
      <right style="thick">
        <color rgb="FF7030A0"/>
      </right>
      <top/>
      <bottom/>
      <diagonal/>
    </border>
    <border>
      <left style="thick">
        <color rgb="FF7030A0"/>
      </left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/>
      <bottom style="thick">
        <color rgb="FF7030A0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3" fillId="31" borderId="3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3" borderId="31" applyNumberFormat="0" applyFon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2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6" fillId="18" borderId="28" applyNumberFormat="0" applyAlignment="0" applyProtection="0">
      <alignment vertical="center"/>
    </xf>
    <xf numFmtId="0" fontId="29" fillId="18" borderId="30" applyNumberFormat="0" applyAlignment="0" applyProtection="0">
      <alignment vertical="center"/>
    </xf>
    <xf numFmtId="0" fontId="35" fillId="37" borderId="33" applyNumberForma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34" fillId="0" borderId="32" applyNumberFormat="0" applyFill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10" applyFont="1">
      <alignment vertical="center"/>
    </xf>
    <xf numFmtId="0" fontId="6" fillId="2" borderId="1" xfId="0" applyFont="1" applyFill="1" applyBorder="1" applyAlignment="1">
      <alignment horizontal="right" vertical="center" wrapText="1"/>
    </xf>
    <xf numFmtId="15" fontId="6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 wrapText="1"/>
    </xf>
    <xf numFmtId="9" fontId="8" fillId="2" borderId="1" xfId="11" applyFont="1" applyFill="1" applyBorder="1" applyAlignment="1">
      <alignment horizontal="center" vertical="center"/>
    </xf>
    <xf numFmtId="9" fontId="9" fillId="2" borderId="1" xfId="11" applyFont="1" applyFill="1" applyBorder="1" applyAlignment="1">
      <alignment horizontal="right" vertical="center" wrapText="1"/>
    </xf>
    <xf numFmtId="177" fontId="1" fillId="2" borderId="1" xfId="11" applyNumberFormat="1" applyFont="1" applyFill="1" applyBorder="1" applyAlignment="1">
      <alignment horizontal="center" vertical="center"/>
    </xf>
    <xf numFmtId="9" fontId="1" fillId="2" borderId="1" xfId="1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9" fontId="1" fillId="0" borderId="3" xfId="11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178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5" fontId="14" fillId="0" borderId="11" xfId="0" applyNumberFormat="1" applyFont="1" applyBorder="1" applyAlignment="1">
      <alignment horizontal="right" vertical="center" wrapText="1"/>
    </xf>
    <xf numFmtId="0" fontId="14" fillId="0" borderId="11" xfId="0" applyFont="1" applyBorder="1" applyAlignment="1">
      <alignment horizontal="right" vertical="center" wrapText="1"/>
    </xf>
    <xf numFmtId="0" fontId="14" fillId="5" borderId="11" xfId="0" applyFont="1" applyFill="1" applyBorder="1" applyAlignment="1">
      <alignment horizontal="right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15" fillId="6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179" fontId="16" fillId="0" borderId="11" xfId="0" applyNumberFormat="1" applyFont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9" fontId="17" fillId="0" borderId="11" xfId="11" applyFont="1" applyBorder="1" applyAlignment="1">
      <alignment horizontal="center" vertical="center" wrapText="1"/>
    </xf>
    <xf numFmtId="177" fontId="11" fillId="0" borderId="11" xfId="11" applyNumberFormat="1" applyFont="1" applyBorder="1" applyAlignment="1">
      <alignment horizontal="center" vertical="center" wrapText="1"/>
    </xf>
    <xf numFmtId="9" fontId="11" fillId="0" borderId="11" xfId="1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178" fontId="11" fillId="0" borderId="21" xfId="0" applyNumberFormat="1" applyFont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0</xdr:colOff>
      <xdr:row>4</xdr:row>
      <xdr:rowOff>171450</xdr:rowOff>
    </xdr:to>
    <xdr:sp>
      <xdr:nvSpPr>
        <xdr:cNvPr id="1025" name="Host Control  1"/>
        <xdr:cNvSpPr/>
      </xdr:nvSpPr>
      <xdr:spPr>
        <a:xfrm>
          <a:off x="220345" y="103505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0</xdr:colOff>
      <xdr:row>5</xdr:row>
      <xdr:rowOff>171450</xdr:rowOff>
    </xdr:to>
    <xdr:sp>
      <xdr:nvSpPr>
        <xdr:cNvPr id="1026" name="Host Control  2"/>
        <xdr:cNvSpPr/>
      </xdr:nvSpPr>
      <xdr:spPr>
        <a:xfrm>
          <a:off x="220345" y="12827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0</xdr:colOff>
      <xdr:row>6</xdr:row>
      <xdr:rowOff>171450</xdr:rowOff>
    </xdr:to>
    <xdr:sp>
      <xdr:nvSpPr>
        <xdr:cNvPr id="1027" name="Host Control  3"/>
        <xdr:cNvSpPr/>
      </xdr:nvSpPr>
      <xdr:spPr>
        <a:xfrm>
          <a:off x="220345" y="153035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0</xdr:colOff>
      <xdr:row>7</xdr:row>
      <xdr:rowOff>171450</xdr:rowOff>
    </xdr:to>
    <xdr:sp>
      <xdr:nvSpPr>
        <xdr:cNvPr id="1028" name="Host Control  4"/>
        <xdr:cNvSpPr/>
      </xdr:nvSpPr>
      <xdr:spPr>
        <a:xfrm>
          <a:off x="220345" y="1778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0</xdr:colOff>
      <xdr:row>8</xdr:row>
      <xdr:rowOff>171450</xdr:rowOff>
    </xdr:to>
    <xdr:sp>
      <xdr:nvSpPr>
        <xdr:cNvPr id="1029" name="Host Control  5"/>
        <xdr:cNvSpPr/>
      </xdr:nvSpPr>
      <xdr:spPr>
        <a:xfrm>
          <a:off x="220345" y="202565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0</xdr:colOff>
      <xdr:row>15</xdr:row>
      <xdr:rowOff>182880</xdr:rowOff>
    </xdr:to>
    <xdr:sp>
      <xdr:nvSpPr>
        <xdr:cNvPr id="1030" name="Host Control  6"/>
        <xdr:cNvSpPr/>
      </xdr:nvSpPr>
      <xdr:spPr>
        <a:xfrm>
          <a:off x="220345" y="3759200"/>
          <a:ext cx="0" cy="18288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134620</xdr:colOff>
      <xdr:row>21</xdr:row>
      <xdr:rowOff>43815</xdr:rowOff>
    </xdr:from>
    <xdr:to>
      <xdr:col>6</xdr:col>
      <xdr:colOff>1258570</xdr:colOff>
      <xdr:row>26</xdr:row>
      <xdr:rowOff>17145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4620" y="5260340"/>
          <a:ext cx="12760325" cy="1116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30"/>
  <sheetViews>
    <sheetView workbookViewId="0">
      <selection activeCell="P21" sqref="P21"/>
    </sheetView>
  </sheetViews>
  <sheetFormatPr defaultColWidth="8.89166666666667" defaultRowHeight="13.5"/>
  <cols>
    <col min="1" max="1" width="3" customWidth="1"/>
    <col min="2" max="2" width="9.10833333333333" style="34" customWidth="1"/>
    <col min="3" max="3" width="8.10833333333333" customWidth="1"/>
    <col min="4" max="4" width="7.89166666666667" customWidth="1"/>
    <col min="5" max="5" width="5.33333333333333" customWidth="1"/>
    <col min="6" max="6" width="7.33333333333333" customWidth="1"/>
    <col min="7" max="7" width="6.775" customWidth="1"/>
    <col min="8" max="8" width="5.44166666666667" customWidth="1"/>
    <col min="9" max="9" width="6" customWidth="1"/>
    <col min="10" max="10" width="5.89166666666667" customWidth="1"/>
    <col min="11" max="11" width="7.44166666666667" customWidth="1"/>
    <col min="12" max="12" width="6.66666666666667" customWidth="1"/>
    <col min="13" max="13" width="6.55833333333333" customWidth="1"/>
    <col min="14" max="14" width="5.225" customWidth="1"/>
    <col min="15" max="15" width="6.10833333333333" customWidth="1"/>
    <col min="16" max="16" width="5.775" customWidth="1"/>
    <col min="17" max="17" width="5.89166666666667" customWidth="1"/>
    <col min="19" max="19" width="4.66666666666667" customWidth="1"/>
    <col min="20" max="20" width="5.66666666666667" customWidth="1"/>
    <col min="21" max="21" width="5.225" customWidth="1"/>
    <col min="22" max="22" width="6.10833333333333" customWidth="1"/>
    <col min="23" max="23" width="7.225" customWidth="1"/>
    <col min="24" max="24" width="5.89166666666667" customWidth="1"/>
    <col min="25" max="25" width="6.89166666666667" customWidth="1"/>
  </cols>
  <sheetData>
    <row r="1" ht="14.25"/>
    <row r="2" s="32" customFormat="1" ht="71.25" spans="2:25">
      <c r="B2" s="35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7" t="s">
        <v>5</v>
      </c>
      <c r="H2" s="37" t="s">
        <v>6</v>
      </c>
      <c r="I2" s="37" t="s">
        <v>7</v>
      </c>
      <c r="J2" s="37" t="s">
        <v>8</v>
      </c>
      <c r="K2" s="37" t="s">
        <v>9</v>
      </c>
      <c r="L2" s="37" t="s">
        <v>10</v>
      </c>
      <c r="M2" s="37" t="s">
        <v>11</v>
      </c>
      <c r="N2" s="54" t="s">
        <v>12</v>
      </c>
      <c r="O2" s="37" t="s">
        <v>13</v>
      </c>
      <c r="P2" s="55" t="s">
        <v>14</v>
      </c>
      <c r="Q2" s="58" t="s">
        <v>15</v>
      </c>
      <c r="R2" s="58" t="s">
        <v>16</v>
      </c>
      <c r="S2" s="58" t="s">
        <v>17</v>
      </c>
      <c r="T2" s="59" t="s">
        <v>18</v>
      </c>
      <c r="U2" s="59" t="s">
        <v>19</v>
      </c>
      <c r="V2" s="59" t="s">
        <v>20</v>
      </c>
      <c r="W2" s="59" t="s">
        <v>21</v>
      </c>
      <c r="X2" s="59" t="s">
        <v>22</v>
      </c>
      <c r="Y2" s="65" t="s">
        <v>23</v>
      </c>
    </row>
    <row r="3" s="33" customFormat="1" ht="28.5" spans="2:25">
      <c r="B3" s="38" t="s">
        <v>24</v>
      </c>
      <c r="C3" s="39" t="s">
        <v>25</v>
      </c>
      <c r="D3" s="40">
        <v>42706</v>
      </c>
      <c r="E3" s="41">
        <v>0.55</v>
      </c>
      <c r="F3" s="42" t="s">
        <v>26</v>
      </c>
      <c r="G3" s="43">
        <v>6</v>
      </c>
      <c r="H3" s="43">
        <v>3</v>
      </c>
      <c r="I3" s="43"/>
      <c r="J3" s="43"/>
      <c r="K3" s="43">
        <v>18.99</v>
      </c>
      <c r="L3" s="56">
        <v>0.04</v>
      </c>
      <c r="M3" s="56">
        <v>3.19</v>
      </c>
      <c r="N3" s="56">
        <f>K3*0.15</f>
        <v>2.8485</v>
      </c>
      <c r="O3" s="43">
        <v>100</v>
      </c>
      <c r="P3" s="57">
        <f>N3+M3+L3</f>
        <v>6.0785</v>
      </c>
      <c r="Q3" s="60">
        <f>K3-G3-H3-M3-L3-N3</f>
        <v>3.9115</v>
      </c>
      <c r="R3" s="61">
        <f>Q3/(9)</f>
        <v>0.434611111111111</v>
      </c>
      <c r="S3" s="60">
        <f>O3*Q3</f>
        <v>391.15</v>
      </c>
      <c r="T3" s="62">
        <f>K3-G3-H3-J3-I3</f>
        <v>9.99</v>
      </c>
      <c r="U3" s="63">
        <f>Q3/K3</f>
        <v>0.205976829910479</v>
      </c>
      <c r="V3" s="63">
        <f>Q3/K3</f>
        <v>0.205976829910479</v>
      </c>
      <c r="W3" s="64">
        <f>K3-P3</f>
        <v>12.9115</v>
      </c>
      <c r="X3" s="63">
        <f>W3/K3</f>
        <v>0.679910479199579</v>
      </c>
      <c r="Y3" s="66">
        <f>K3-Q3</f>
        <v>15.0785</v>
      </c>
    </row>
    <row r="4" spans="2:25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67"/>
    </row>
    <row r="5" spans="2:25"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67"/>
    </row>
    <row r="6" spans="2:25"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67"/>
    </row>
    <row r="7" spans="2:25">
      <c r="B7" s="44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67"/>
    </row>
    <row r="8" spans="2:25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67"/>
    </row>
    <row r="9" spans="2:25"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67"/>
    </row>
    <row r="10" spans="2:25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67"/>
    </row>
    <row r="11" spans="2:25"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67"/>
    </row>
    <row r="12" spans="2:25"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67"/>
    </row>
    <row r="13" spans="2:25"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67"/>
    </row>
    <row r="14" spans="2:25"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67"/>
    </row>
    <row r="15" ht="14.25" spans="2:25"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68"/>
    </row>
    <row r="16" spans="6:25">
      <c r="F16" s="48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69"/>
    </row>
    <row r="17" spans="6:25"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70"/>
    </row>
    <row r="18" spans="6:25">
      <c r="F18" s="50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70"/>
    </row>
    <row r="19" spans="6:25">
      <c r="F19" s="50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70"/>
    </row>
    <row r="20" spans="6:25">
      <c r="F20" s="50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70"/>
    </row>
    <row r="21" spans="6:25">
      <c r="F21" s="50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70"/>
    </row>
    <row r="22" spans="6:25">
      <c r="F22" s="50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70"/>
    </row>
    <row r="23" spans="6:25">
      <c r="F23" s="50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70"/>
    </row>
    <row r="24" spans="6:25">
      <c r="F24" s="50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70"/>
    </row>
    <row r="25" spans="6:25">
      <c r="F25" s="50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70"/>
    </row>
    <row r="26" spans="6:25">
      <c r="F26" s="50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70"/>
    </row>
    <row r="27" spans="6:25"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70"/>
    </row>
    <row r="28" spans="6:25">
      <c r="F28" s="50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70"/>
    </row>
    <row r="29" spans="6:25">
      <c r="F29" s="50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70"/>
    </row>
    <row r="30" spans="6:25"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71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9"/>
  <sheetViews>
    <sheetView tabSelected="1" topLeftCell="A21" workbookViewId="0">
      <selection activeCell="E10" sqref="E10"/>
    </sheetView>
  </sheetViews>
  <sheetFormatPr defaultColWidth="35" defaultRowHeight="17.25" outlineLevelCol="5"/>
  <cols>
    <col min="1" max="1" width="2.89166666666667" style="1" customWidth="1"/>
    <col min="2" max="2" width="39.375" style="2" customWidth="1"/>
    <col min="3" max="3" width="30" style="2" customWidth="1"/>
    <col min="4" max="4" width="10.4416666666667" style="3" customWidth="1"/>
    <col min="5" max="16383" width="35" style="1" customWidth="1"/>
    <col min="16384" max="16384" width="35" style="1"/>
  </cols>
  <sheetData>
    <row r="2" ht="26" customHeight="1" spans="2:6">
      <c r="B2" s="4" t="s">
        <v>27</v>
      </c>
      <c r="C2" s="4"/>
      <c r="D2" s="5"/>
      <c r="F2" s="6"/>
    </row>
    <row r="3" ht="18.75" spans="2:4">
      <c r="B3" s="7" t="s">
        <v>28</v>
      </c>
      <c r="C3" s="8" t="s">
        <v>25</v>
      </c>
      <c r="D3" s="9" t="s">
        <v>29</v>
      </c>
    </row>
    <row r="4" ht="19.5" spans="2:6">
      <c r="B4" s="10" t="s">
        <v>30</v>
      </c>
      <c r="C4" s="8"/>
      <c r="D4" s="9"/>
      <c r="F4" s="11"/>
    </row>
    <row r="5" ht="19.5" spans="2:4">
      <c r="B5" s="10" t="s">
        <v>6</v>
      </c>
      <c r="C5" s="8"/>
      <c r="D5" s="9"/>
    </row>
    <row r="6" ht="19.5" spans="2:4">
      <c r="B6" s="10" t="s">
        <v>7</v>
      </c>
      <c r="C6" s="8"/>
      <c r="D6" s="9"/>
    </row>
    <row r="7" ht="19.5" spans="2:4">
      <c r="B7" s="10" t="s">
        <v>8</v>
      </c>
      <c r="C7" s="8"/>
      <c r="D7" s="9"/>
    </row>
    <row r="8" ht="19.5" spans="2:4">
      <c r="B8" s="10" t="s">
        <v>9</v>
      </c>
      <c r="C8" s="8"/>
      <c r="D8" s="9"/>
    </row>
    <row r="9" ht="19.5" spans="2:4">
      <c r="B9" s="10" t="s">
        <v>31</v>
      </c>
      <c r="C9" s="8"/>
      <c r="D9" s="12"/>
    </row>
    <row r="10" ht="19.5" spans="2:4">
      <c r="B10" s="10" t="s">
        <v>32</v>
      </c>
      <c r="C10" s="8"/>
      <c r="D10" s="12"/>
    </row>
    <row r="11" ht="19.5" spans="2:4">
      <c r="B11" s="10" t="s">
        <v>33</v>
      </c>
      <c r="C11" s="8"/>
      <c r="D11" s="13"/>
    </row>
    <row r="12" ht="19.5" spans="2:4">
      <c r="B12" s="10" t="s">
        <v>10</v>
      </c>
      <c r="C12" s="14"/>
      <c r="D12" s="12"/>
    </row>
    <row r="13" ht="19.5" spans="2:4">
      <c r="B13" s="10" t="s">
        <v>34</v>
      </c>
      <c r="C13" s="14"/>
      <c r="D13" s="12"/>
    </row>
    <row r="14" ht="19.5" spans="2:4">
      <c r="B14" s="15" t="s">
        <v>12</v>
      </c>
      <c r="C14" s="14"/>
      <c r="D14" s="12"/>
    </row>
    <row r="15" ht="19.5" spans="2:4">
      <c r="B15" s="10" t="s">
        <v>13</v>
      </c>
      <c r="C15" s="8"/>
      <c r="D15" s="9"/>
    </row>
    <row r="16" ht="19.5" spans="2:4">
      <c r="B16" s="10" t="s">
        <v>15</v>
      </c>
      <c r="C16" s="16"/>
      <c r="D16" s="17"/>
    </row>
    <row r="17" ht="19.5" spans="2:4">
      <c r="B17" s="10" t="s">
        <v>16</v>
      </c>
      <c r="C17" s="18"/>
      <c r="D17" s="19"/>
    </row>
    <row r="18" ht="19.5" spans="2:4">
      <c r="B18" s="10" t="s">
        <v>17</v>
      </c>
      <c r="C18" s="16"/>
      <c r="D18" s="17"/>
    </row>
    <row r="19" ht="18.75" spans="2:4">
      <c r="B19" s="7" t="s">
        <v>18</v>
      </c>
      <c r="C19" s="20"/>
      <c r="D19" s="9"/>
    </row>
    <row r="20" ht="18.75" spans="2:4">
      <c r="B20" s="7" t="s">
        <v>19</v>
      </c>
      <c r="C20" s="21"/>
      <c r="D20" s="9"/>
    </row>
    <row r="21" ht="18.75" spans="2:4">
      <c r="B21" s="7" t="s">
        <v>20</v>
      </c>
      <c r="C21" s="21"/>
      <c r="D21" s="9"/>
    </row>
    <row r="22" ht="18.75" spans="2:4">
      <c r="B22" s="22"/>
      <c r="C22" s="23"/>
      <c r="D22" s="9"/>
    </row>
    <row r="23" ht="18" spans="2:4">
      <c r="B23" s="24"/>
      <c r="C23" s="25"/>
      <c r="D23" s="26"/>
    </row>
    <row r="24" ht="18" spans="2:4">
      <c r="B24" s="27"/>
      <c r="C24" s="28"/>
      <c r="D24" s="29"/>
    </row>
    <row r="25" ht="18" spans="2:3">
      <c r="B25" s="30" t="s">
        <v>35</v>
      </c>
      <c r="C25" s="30"/>
    </row>
    <row r="29" spans="4:4">
      <c r="D29" s="31"/>
    </row>
  </sheetData>
  <mergeCells count="1">
    <mergeCell ref="B2:D2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利润详细计算横表</vt:lpstr>
      <vt:lpstr>亚马逊产品利润计算表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阿焕</cp:lastModifiedBy>
  <dcterms:created xsi:type="dcterms:W3CDTF">2018-02-27T11:14:00Z</dcterms:created>
  <dcterms:modified xsi:type="dcterms:W3CDTF">2021-09-11T02:40:27Z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