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3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<sst xmlns="http://schemas.openxmlformats.org/spreadsheetml/2006/main" count="29" uniqueCount="27">
  <si>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库存分析-超出库存变色预警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</si>
  <si>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</si>
  <si>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</si>
  <si>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</si>
  <si>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</si>
  <si>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</si>
  <si>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</si>
  <si>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</si>
  <si>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</si>
  <si>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</si>
  <si>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</si>
  <si>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</si>
  <si>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</si>
  <si>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</si>
  <si>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安全库存量</t>
  </si>
  <si>
    <t>实际库存量</t>
  </si>
  <si>
    <t>差量</t>
  </si>
  <si>
    <t>去年同期量</t>
  </si>
  <si>
    <t>同期差量</t>
  </si>
  <si>
    <t>库存金额</t>
  </si>
  <si>
    <t>去年同期额</t>
  </si>
  <si>
    <t>库存量占比</t>
  </si>
  <si>
    <t>去年库存量占比</t>
  </si>
  <si>
    <t>库存金额占比</t>
  </si>
  <si>
    <t>去年库存金额占比</t>
  </si>
  <si>
    <t>低于目标</t>
  </si>
  <si>
    <t>高于目标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</si>
</sst>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;;;"/>
  </numFmts>
  <fonts count="28">
    <font>
      <sz val="11"/>
      <color theme="1"/>
      <name val="宋体"/>
      <charset val="134"/>
      <scheme val="minor"/>
    </font>
    <font>
      <b/>
      <sz val="28"/>
      <color rgb="FF000000"/>
      <name val="微软雅黑"/>
      <charset val="134"/>
    </font>
    <font>
      <b/>
      <sz val="14"/>
      <color theme="0"/>
      <name val="宋体"/>
      <charset val="134"/>
      <scheme val="minor"/>
    </font>
    <font>
      <b/>
      <sz val="16"/>
      <color theme="0"/>
      <name val="宋体"/>
      <charset val="134"/>
      <scheme val="minor"/>
    </font>
    <font>
      <sz val="11"/>
      <color theme="1" tint="0.25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rgb="FF47C2AD"/>
      <name val="米开软笔行楷"/>
      <charset val="134"/>
    </font>
    <font>
      <sz val="11"/>
      <color theme="1" tint="0.25"/>
      <name val="米开软笔行楷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E939C"/>
        <bgColor indexed="64"/>
      </patternFill>
    </fill>
    <fill>
      <patternFill patternType="solid">
        <fgColor rgb="FF12B3C7"/>
        <bgColor indexed="64"/>
      </patternFill>
    </fill>
    <fill>
      <patternFill patternType="solid">
        <fgColor rgb="FFE6F7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E939C"/>
      </left>
      <right style="thin">
        <color rgb="FFFE939C"/>
      </right>
      <top style="thin">
        <color rgb="FFFE939C"/>
      </top>
      <bottom style="thin">
        <color rgb="FFFE939C"/>
      </bottom>
      <diagonal/>
    </border>
    <border>
      <left style="thick">
        <color rgb="FFFAFEFF"/>
      </left>
      <right style="thick">
        <color rgb="FFFAFEFF"/>
      </right>
      <top/>
      <bottom style="thick">
        <color rgb="FFFAFEFF"/>
      </bottom>
      <diagonal/>
    </border>
    <border>
      <left style="thick">
        <color rgb="FFFAFEFF"/>
      </left>
      <right style="thick">
        <color rgb="FFFAFEFF"/>
      </right>
      <top style="thick">
        <color rgb="FFFAFEFF"/>
      </top>
      <bottom style="thick">
        <color rgb="FFFAFE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 vertical="center"/>
    </xf>
    <xf numFmtId="0" fontId="7" fillId="5" borderId="3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0" fontId="7" fillId="5" borderId="3" xfId="0" applyNumberFormat="1" applyFont="1" applyFill="1" applyBorder="1">
      <alignment vertical="center"/>
    </xf>
    <xf numFmtId="0" fontId="8" fillId="5" borderId="3" xfId="0" applyNumberFormat="1" applyFont="1" applyFill="1" applyBorder="1" applyAlignment="1">
      <alignment horizontal="center" vertical="center"/>
    </xf>
    <xf numFmtId="178" fontId="0" fillId="2" borderId="4" xfId="0" applyNumberForma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0"/>
        <i val="0"/>
        <u val="none"/>
        <sz val="11"/>
        <color rgb="FFFAFEFF"/>
      </font>
      <fill>
        <patternFill patternType="solid">
          <bgColor rgb="FF47C2AD"/>
        </patternFill>
      </fill>
      <border>
        <left style="thick">
          <color rgb="FFFAFEFF"/>
        </left>
        <right style="thick">
          <color rgb="FFFAFEFF"/>
        </right>
        <top style="thick">
          <color rgb="FFFAFEFF"/>
        </top>
        <bottom style="thick">
          <color rgb="FFFAFEFF"/>
        </bottom>
        <vertical style="thick">
          <color rgb="FFFAFEFF"/>
        </vertical>
        <horizontal style="thick">
          <color rgb="FFFAFEFF"/>
        </horizontal>
      </border>
    </dxf>
    <dxf>
      <font>
        <b val="0"/>
        <i val="0"/>
        <u val="none"/>
        <sz val="11"/>
        <color rgb="FFFAFEFF"/>
      </font>
      <fill>
        <patternFill patternType="solid">
          <bgColor rgb="FF47C2AD"/>
        </patternFill>
      </fill>
      <border>
        <left style="thick">
          <color rgb="FFFAFEFF"/>
        </left>
        <right style="thick">
          <color rgb="FFFAFEFF"/>
        </right>
        <top style="thick">
          <color rgb="FFFAFEFF"/>
        </top>
        <bottom style="thick">
          <color rgb="FFFAFEFF"/>
        </bottom>
        <vertical style="thick">
          <color rgb="FFFAFEFF"/>
        </vertical>
        <horizontal style="thick">
          <color rgb="FFFAFEFF"/>
        </horizontal>
      </border>
    </dxf>
    <dxf>
      <font>
        <b val="0"/>
        <i val="0"/>
        <u val="none"/>
        <sz val="11"/>
        <color rgb="FF47C2AD"/>
      </font>
      <fill>
        <patternFill patternType="solid">
          <bgColor rgb="FFE6F7F4"/>
        </patternFill>
      </fill>
      <border>
        <left style="thick">
          <color rgb="FFFAFEFF"/>
        </left>
        <right style="thick">
          <color rgb="FFFAFEFF"/>
        </right>
        <top style="thick">
          <color rgb="FFFAFEFF"/>
        </top>
        <bottom style="thick">
          <color rgb="FFFAFEFF"/>
        </bottom>
        <vertical style="thick">
          <color rgb="FFFAFEFF"/>
        </vertical>
        <horizontal style="thick">
          <color rgb="FFFAFEFF"/>
        </horizontal>
      </border>
    </dxf>
  </dxfs>
  <tableStyles count="1" defaultTableStyle="TableStyleMedium2" defaultPivotStyle="PivotStyleLight16">
    <tableStyle name="首行首列填充表格样式52" count="3" xr9:uid="{DCA63879-0A67-5793-825A-6469A459D201}">
      <tableStyleElement type="wholeTable" dxfId="2"/>
      <tableStyleElement type="headerRow" dxfId="1"/>
      <tableStyleElement type="firstColumn" dxfId="0"/>
    </tableStyle>
  </tableStyles>
  <colors>
    <mruColors>
      <color rgb="00F9680D"/>
      <color rgb="008AC08E"/>
      <color rgb="0048A088"/>
      <color rgb="0068978F"/>
      <color rgb="00BFD8C2"/>
      <color rgb="006B2E4F"/>
      <color rgb="005A7E91"/>
      <color rgb="00FACB9F"/>
      <color rgb="0012B3C7"/>
      <color rgb="00FE93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7">
    <open main="78" threadCnt="1"/>
    <sheetInfos>
      <sheetInfo cellCmpFml="27" sheetStid="1">
        <open main="26"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5" Type="http://schemas.microsoft.com/office/2011/relationships/chartColorStyle" Target="colors1.xml"/><Relationship Id="rId4" Type="http://schemas.microsoft.com/office/2011/relationships/chartStyle" Target="style1.xm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5" Type="http://schemas.microsoft.com/office/2011/relationships/chartColorStyle" Target="colors3.xml"/><Relationship Id="rId4" Type="http://schemas.microsoft.com/office/2011/relationships/chartStyle" Target="style3.xml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FACB9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FACB9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实际库存量与安全库存量差额分析</a:t>
            </a:r>
            <a:endParaRPr b="1">
              <a:solidFill>
                <a:srgbClr val="FACB9F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>
        <c:manualLayout>
          <c:xMode val="edge"/>
          <c:yMode val="edge"/>
          <c:x val="0.121725178988027"/>
          <c:y val="0.008574913491436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00051619563815"/>
          <c:y val="0.0871247777429139"/>
          <c:w val="0.923732094463802"/>
          <c:h val="0.9044033050936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安全库存量</c:v>
                </c:pt>
              </c:strCache>
            </c:strRef>
          </c:tx>
          <c:spPr>
            <a:blipFill rotWithShape="1"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Sheet1!$C$5:$N$5</c:f>
              <c:numCache>
                <c:formatCode>0_);[Red]\(0\)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</c:ser>
        <c:ser>
          <c:idx val="2"/>
          <c:order val="1"/>
          <c:tx>
            <c:strRef>
              <c:f>Sheet1!$B$7</c:f>
              <c:strCache>
                <c:ptCount val="1"/>
                <c:pt idx="0">
                  <c:v>差量</c:v>
                </c:pt>
              </c:strCache>
            </c:strRef>
          </c:tx>
          <c:spPr>
            <a:blipFill rotWithShape="1"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Sheet1!$C$7:$N$7</c:f>
              <c:numCache>
                <c:formatCode>0_ </c:formatCode>
                <c:ptCount val="12"/>
                <c:pt idx="0">
                  <c:v>49.7403385484345</c:v>
                </c:pt>
                <c:pt idx="1">
                  <c:v>11.7044170083882</c:v>
                </c:pt>
                <c:pt idx="2">
                  <c:v>-445.130959158549</c:v>
                </c:pt>
                <c:pt idx="3">
                  <c:v>-261.109118443223</c:v>
                </c:pt>
                <c:pt idx="4">
                  <c:v>-580.371377634433</c:v>
                </c:pt>
                <c:pt idx="5">
                  <c:v>-374.074753415726</c:v>
                </c:pt>
                <c:pt idx="6">
                  <c:v>960.677631928314</c:v>
                </c:pt>
                <c:pt idx="7">
                  <c:v>-502.415725942217</c:v>
                </c:pt>
                <c:pt idx="8">
                  <c:v>338.334625114511</c:v>
                </c:pt>
                <c:pt idx="9">
                  <c:v>430.372050646731</c:v>
                </c:pt>
                <c:pt idx="10">
                  <c:v>-29.4189623769241</c:v>
                </c:pt>
                <c:pt idx="11">
                  <c:v>-142.819231554472</c:v>
                </c:pt>
              </c:numCache>
            </c:numRef>
          </c:val>
        </c:ser>
        <c:ser>
          <c:idx val="1"/>
          <c:order val="2"/>
          <c:tx>
            <c:strRef>
              <c:f>Sheet1!$B$6</c:f>
              <c:strCache>
                <c:ptCount val="1"/>
                <c:pt idx="0">
                  <c:v>实际库存量</c:v>
                </c:pt>
              </c:strCache>
            </c:strRef>
          </c:tx>
          <c:spPr>
            <a:blipFill rotWithShape="1"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0_);[Red]\(0\)</c:formatCode>
                <c:ptCount val="12"/>
                <c:pt idx="0">
                  <c:v>950.259661451566</c:v>
                </c:pt>
                <c:pt idx="1">
                  <c:v>988.295582991612</c:v>
                </c:pt>
                <c:pt idx="2">
                  <c:v>1445.13095915855</c:v>
                </c:pt>
                <c:pt idx="3">
                  <c:v>1261.10911844322</c:v>
                </c:pt>
                <c:pt idx="4">
                  <c:v>1580.37137763443</c:v>
                </c:pt>
                <c:pt idx="5">
                  <c:v>1374.07475341573</c:v>
                </c:pt>
                <c:pt idx="6">
                  <c:v>39.3223680716859</c:v>
                </c:pt>
                <c:pt idx="7">
                  <c:v>1502.41572594222</c:v>
                </c:pt>
                <c:pt idx="8">
                  <c:v>661.665374885489</c:v>
                </c:pt>
                <c:pt idx="9">
                  <c:v>569.627949353269</c:v>
                </c:pt>
                <c:pt idx="10">
                  <c:v>1029.41896237692</c:v>
                </c:pt>
                <c:pt idx="11">
                  <c:v>1142.81923155447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6"/>
        <c:overlap val="0"/>
        <c:axId val="556911362"/>
        <c:axId val="68769442"/>
      </c:barChart>
      <c:catAx>
        <c:axId val="556911362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769442"/>
        <c:crosses val="autoZero"/>
        <c:auto val="1"/>
        <c:lblAlgn val="ctr"/>
        <c:lblOffset val="100"/>
        <c:noMultiLvlLbl val="0"/>
      </c:catAx>
      <c:valAx>
        <c:axId val="68769442"/>
        <c:scaling>
          <c:orientation val="minMax"/>
        </c:scaling>
        <c:delete val="1"/>
        <c:axPos val="t"/>
        <c:numFmt formatCode="0_ 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9113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9473787262287"/>
          <c:y val="0.057842328649383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c71443-68f1-462b-acb1-b84c1432f597}"/>
      </c:ext>
    </c:extLst>
  </c:chart>
  <c:spPr>
    <a:solidFill>
      <a:schemeClr val="bg1"/>
    </a:solidFill>
    <a:ln w="9525" cap="flat" cmpd="sng" algn="ctr">
      <a:solidFill>
        <a:srgbClr val="FACB9F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12B3C7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12B3C7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同期库存量占比分析</a:t>
            </a:r>
            <a:endParaRPr b="1">
              <a:solidFill>
                <a:srgbClr val="12B3C7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61548537330811"/>
          <c:y val="0.149540696432386"/>
          <c:w val="0.967835831756658"/>
          <c:h val="0.757615894039735"/>
        </c:manualLayout>
      </c:layout>
      <c:lineChart>
        <c:grouping val="standar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库存量占比</c:v>
                </c:pt>
              </c:strCache>
            </c:strRef>
          </c:tx>
          <c:spPr>
            <a:ln w="28575" cap="rnd">
              <a:solidFill>
                <a:srgbClr val="12B3C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12B3C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Sheet1!$C$12:$N$12</c:f>
              <c:numCache>
                <c:formatCode>0.00%</c:formatCode>
                <c:ptCount val="12"/>
                <c:pt idx="0">
                  <c:v>0.0757510321850411</c:v>
                </c:pt>
                <c:pt idx="1">
                  <c:v>0.0787831090306124</c:v>
                </c:pt>
                <c:pt idx="2">
                  <c:v>0.11520026182275</c:v>
                </c:pt>
                <c:pt idx="3">
                  <c:v>0.100530751009797</c:v>
                </c:pt>
                <c:pt idx="4">
                  <c:v>0.125981105952276</c:v>
                </c:pt>
                <c:pt idx="5">
                  <c:v>0.10953593537965</c:v>
                </c:pt>
                <c:pt idx="6">
                  <c:v>0.0031346273973581</c:v>
                </c:pt>
                <c:pt idx="7">
                  <c:v>0.119766782310123</c:v>
                </c:pt>
                <c:pt idx="8">
                  <c:v>0.0527454096411022</c:v>
                </c:pt>
                <c:pt idx="9">
                  <c:v>0.0454085413444205</c:v>
                </c:pt>
                <c:pt idx="10">
                  <c:v>0.0820613060979444</c:v>
                </c:pt>
                <c:pt idx="11">
                  <c:v>0.091101137828925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Sheet1!$B$13</c:f>
              <c:strCache>
                <c:ptCount val="1"/>
                <c:pt idx="0">
                  <c:v>去年库存量占比</c:v>
                </c:pt>
              </c:strCache>
            </c:strRef>
          </c:tx>
          <c:spPr>
            <a:ln w="28575" cap="rnd">
              <a:solidFill>
                <a:srgbClr val="FE939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FE939C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Sheet1!$C$13:$N$13</c:f>
              <c:numCache>
                <c:formatCode>0.00%</c:formatCode>
                <c:ptCount val="12"/>
                <c:pt idx="0">
                  <c:v>0.110779843118303</c:v>
                </c:pt>
                <c:pt idx="1">
                  <c:v>0.126034385880112</c:v>
                </c:pt>
                <c:pt idx="2">
                  <c:v>0.0734410514987957</c:v>
                </c:pt>
                <c:pt idx="3">
                  <c:v>0.128000071974265</c:v>
                </c:pt>
                <c:pt idx="4">
                  <c:v>0.140840896870433</c:v>
                </c:pt>
                <c:pt idx="5">
                  <c:v>0.0650240726244495</c:v>
                </c:pt>
                <c:pt idx="6">
                  <c:v>0.0851370123826171</c:v>
                </c:pt>
                <c:pt idx="7">
                  <c:v>0.000372734605999068</c:v>
                </c:pt>
                <c:pt idx="8">
                  <c:v>0.109596901841547</c:v>
                </c:pt>
                <c:pt idx="9">
                  <c:v>0.0758943763476956</c:v>
                </c:pt>
                <c:pt idx="10">
                  <c:v>0.0404750868643776</c:v>
                </c:pt>
                <c:pt idx="11">
                  <c:v>0.0444035659914061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01107127"/>
        <c:axId val="817593339"/>
      </c:lineChart>
      <c:catAx>
        <c:axId val="501107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rgbClr val="12B3C7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593339"/>
        <c:crosses val="autoZero"/>
        <c:auto val="1"/>
        <c:lblAlgn val="ctr"/>
        <c:lblOffset val="100"/>
        <c:noMultiLvlLbl val="0"/>
      </c:catAx>
      <c:valAx>
        <c:axId val="817593339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10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4385096783583"/>
          <c:y val="0.051271095919675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28860b-f07a-4748-9bdc-8a9ebad062ec}"/>
      </c:ext>
    </c:extLst>
  </c:chart>
  <c:spPr>
    <a:solidFill>
      <a:schemeClr val="bg1"/>
    </a:solidFill>
    <a:ln w="9525" cap="flat" cmpd="sng" algn="ctr">
      <a:solidFill>
        <a:srgbClr val="12B3C7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12B3C7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12B3C7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实际库存量与同期库存量差额分析</a:t>
            </a:r>
            <a:endParaRPr b="1">
              <a:solidFill>
                <a:srgbClr val="12B3C7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583643393886335"/>
          <c:y val="0.160184990540256"/>
          <c:w val="0.986211424819435"/>
          <c:h val="0.811645995375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实际库存量</c:v>
                </c:pt>
              </c:strCache>
            </c:strRef>
          </c:tx>
          <c:spPr>
            <a:blipFill rotWithShape="1"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0_);[Red]\(0\)</c:formatCode>
                <c:ptCount val="12"/>
                <c:pt idx="0">
                  <c:v>950.259661451566</c:v>
                </c:pt>
                <c:pt idx="1">
                  <c:v>988.295582991612</c:v>
                </c:pt>
                <c:pt idx="2">
                  <c:v>1445.13095915855</c:v>
                </c:pt>
                <c:pt idx="3">
                  <c:v>1261.10911844322</c:v>
                </c:pt>
                <c:pt idx="4">
                  <c:v>1580.37137763443</c:v>
                </c:pt>
                <c:pt idx="5">
                  <c:v>1374.07475341573</c:v>
                </c:pt>
                <c:pt idx="6">
                  <c:v>39.3223680716859</c:v>
                </c:pt>
                <c:pt idx="7">
                  <c:v>1502.41572594222</c:v>
                </c:pt>
                <c:pt idx="8">
                  <c:v>661.665374885489</c:v>
                </c:pt>
                <c:pt idx="9">
                  <c:v>569.627949353269</c:v>
                </c:pt>
                <c:pt idx="10">
                  <c:v>1029.41896237692</c:v>
                </c:pt>
                <c:pt idx="11">
                  <c:v>1142.81923155447</c:v>
                </c:pt>
              </c:numCache>
            </c:numRef>
          </c:val>
        </c:ser>
        <c:ser>
          <c:idx val="2"/>
          <c:order val="1"/>
          <c:tx>
            <c:strRef>
              <c:f>Sheet1!$B$9</c:f>
              <c:strCache>
                <c:ptCount val="1"/>
                <c:pt idx="0">
                  <c:v>同期差量</c:v>
                </c:pt>
              </c:strCache>
            </c:strRef>
          </c:tx>
          <c:spPr>
            <a:blipFill rotWithShape="1"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Sheet1!$C$9:$N$9</c:f>
              <c:numCache>
                <c:formatCode>0_ </c:formatCode>
                <c:ptCount val="12"/>
                <c:pt idx="0">
                  <c:v>-610.115572152532</c:v>
                </c:pt>
                <c:pt idx="1">
                  <c:v>-786.945550901433</c:v>
                </c:pt>
                <c:pt idx="2">
                  <c:v>410.686473024133</c:v>
                </c:pt>
                <c:pt idx="3">
                  <c:v>-541.81943413555</c:v>
                </c:pt>
                <c:pt idx="4">
                  <c:v>-403.424962648554</c:v>
                </c:pt>
                <c:pt idx="5">
                  <c:v>458.186540765765</c:v>
                </c:pt>
                <c:pt idx="6">
                  <c:v>-1159.86407095418</c:v>
                </c:pt>
                <c:pt idx="7">
                  <c:v>1497.16562058427</c:v>
                </c:pt>
                <c:pt idx="8">
                  <c:v>-882.047691494856</c:v>
                </c:pt>
                <c:pt idx="9">
                  <c:v>-499.372528434979</c:v>
                </c:pt>
                <c:pt idx="10">
                  <c:v>459.312331573122</c:v>
                </c:pt>
                <c:pt idx="11">
                  <c:v>517.37851322177</c:v>
                </c:pt>
              </c:numCache>
            </c:numRef>
          </c:val>
        </c:ser>
        <c:ser>
          <c:idx val="1"/>
          <c:order val="2"/>
          <c:tx>
            <c:strRef>
              <c:f>Sheet1!$B$8</c:f>
              <c:strCache>
                <c:ptCount val="1"/>
                <c:pt idx="0">
                  <c:v>去年同期量</c:v>
                </c:pt>
              </c:strCache>
            </c:strRef>
          </c:tx>
          <c:spPr>
            <a:blipFill rotWithShape="1"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Sheet1!$C$8:$N$8</c:f>
              <c:numCache>
                <c:formatCode>0_);[Red]\(0\)</c:formatCode>
                <c:ptCount val="12"/>
                <c:pt idx="0">
                  <c:v>1560.3752336041</c:v>
                </c:pt>
                <c:pt idx="1">
                  <c:v>1775.24113389304</c:v>
                </c:pt>
                <c:pt idx="2">
                  <c:v>1034.44448613442</c:v>
                </c:pt>
                <c:pt idx="3">
                  <c:v>1802.92855257877</c:v>
                </c:pt>
                <c:pt idx="4">
                  <c:v>1983.79634028299</c:v>
                </c:pt>
                <c:pt idx="5">
                  <c:v>915.888212649961</c:v>
                </c:pt>
                <c:pt idx="6">
                  <c:v>1199.18643902586</c:v>
                </c:pt>
                <c:pt idx="7">
                  <c:v>5.25010535794879</c:v>
                </c:pt>
                <c:pt idx="8">
                  <c:v>1543.71306638034</c:v>
                </c:pt>
                <c:pt idx="9">
                  <c:v>1069.00047778825</c:v>
                </c:pt>
                <c:pt idx="10">
                  <c:v>570.106630803802</c:v>
                </c:pt>
                <c:pt idx="11">
                  <c:v>625.440718332702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763616143"/>
        <c:axId val="622858019"/>
      </c:barChart>
      <c:catAx>
        <c:axId val="763616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858019"/>
        <c:crosses val="autoZero"/>
        <c:auto val="1"/>
        <c:lblAlgn val="ctr"/>
        <c:lblOffset val="100"/>
        <c:noMultiLvlLbl val="0"/>
      </c:catAx>
      <c:valAx>
        <c:axId val="622858019"/>
        <c:scaling>
          <c:orientation val="minMax"/>
        </c:scaling>
        <c:delete val="1"/>
        <c:axPos val="l"/>
        <c:numFmt formatCode="0_ 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61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5538697206215"/>
          <c:y val="0.058860626445238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225caf-d776-4bfb-9ae7-fc1c5222b7bd}"/>
      </c:ext>
    </c:extLst>
  </c:chart>
  <c:spPr>
    <a:solidFill>
      <a:schemeClr val="bg1"/>
    </a:solidFill>
    <a:ln w="9525" cap="flat" cmpd="sng" algn="ctr">
      <a:solidFill>
        <a:srgbClr val="12B3C7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altLang="en-US"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安全库存</a:t>
            </a:r>
            <a:r>
              <a:rPr lang="en-US" altLang="zh-CN"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-</a:t>
            </a:r>
            <a:r>
              <a:rPr altLang="en-US"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超目标变色预警</a:t>
            </a:r>
            <a:endParaRPr altLang="en-US" b="1">
              <a:solidFill>
                <a:srgbClr val="FE939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>
        <c:manualLayout>
          <c:xMode val="edge"/>
          <c:yMode val="edge"/>
          <c:x val="0.349861111111111"/>
          <c:y val="0.01041666666666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01408039687751"/>
          <c:y val="0.128"/>
          <c:w val="0.947545049974466"/>
          <c:h val="0.781768421052632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Sheet1!$B$16</c:f>
              <c:strCache>
                <c:ptCount val="1"/>
                <c:pt idx="0">
                  <c:v>低于目标</c:v>
                </c:pt>
              </c:strCache>
            </c:strRef>
          </c:tx>
          <c:spPr>
            <a:solidFill>
              <a:srgbClr val="12B3C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Sheet1!$C$16:$N$16</c:f>
              <c:numCache>
                <c:formatCode>0_);[Red]\(0\)</c:formatCode>
                <c:ptCount val="12"/>
                <c:pt idx="0">
                  <c:v>950.259661451566</c:v>
                </c:pt>
                <c:pt idx="1">
                  <c:v>988.295582991612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39.3223680716859</c:v>
                </c:pt>
                <c:pt idx="7">
                  <c:v>1000</c:v>
                </c:pt>
                <c:pt idx="8">
                  <c:v>661.665374885489</c:v>
                </c:pt>
                <c:pt idx="9">
                  <c:v>569.627949353269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</c:ser>
        <c:ser>
          <c:idx val="3"/>
          <c:order val="2"/>
          <c:tx>
            <c:strRef>
              <c:f>Sheet1!$B$17</c:f>
              <c:strCache>
                <c:ptCount val="1"/>
                <c:pt idx="0">
                  <c:v>高于目标</c:v>
                </c:pt>
              </c:strCache>
            </c:strRef>
          </c:tx>
          <c:spPr>
            <a:solidFill>
              <a:srgbClr val="FE939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Sheet1!$C$17:$N$17</c:f>
              <c:numCache>
                <c:formatCode>0_);[Red]\(0\)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445.130959158549</c:v>
                </c:pt>
                <c:pt idx="3">
                  <c:v>261.109118443223</c:v>
                </c:pt>
                <c:pt idx="4">
                  <c:v>580.371377634433</c:v>
                </c:pt>
                <c:pt idx="5">
                  <c:v>374.074753415726</c:v>
                </c:pt>
                <c:pt idx="6">
                  <c:v>#N/A</c:v>
                </c:pt>
                <c:pt idx="7">
                  <c:v>502.415725942217</c:v>
                </c:pt>
                <c:pt idx="8">
                  <c:v>#N/A</c:v>
                </c:pt>
                <c:pt idx="9">
                  <c:v>#N/A</c:v>
                </c:pt>
                <c:pt idx="10">
                  <c:v>29.4189623769241</c:v>
                </c:pt>
                <c:pt idx="11">
                  <c:v>142.819231554472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100"/>
        <c:axId val="913157422"/>
        <c:axId val="472371527"/>
      </c:barChart>
      <c:lineChart>
        <c:grouping val="standar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安全库存量</c:v>
                </c:pt>
              </c:strCache>
            </c:strRef>
          </c:tx>
          <c:spPr>
            <a:ln w="34925" cap="rnd">
              <a:solidFill>
                <a:srgbClr val="FACB9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FACB9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Sheet1!$C$5:$N$5</c:f>
              <c:numCache>
                <c:formatCode>0_);[Red]\(0\)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Sheet1!$B$6</c:f>
              <c:strCache>
                <c:ptCount val="1"/>
                <c:pt idx="0">
                  <c:v>实际库存量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8"/>
              <c:delete val="1"/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0_);[Red]\(0\)</c:formatCode>
                <c:ptCount val="12"/>
                <c:pt idx="0">
                  <c:v>950.259661451566</c:v>
                </c:pt>
                <c:pt idx="1">
                  <c:v>988.295582991612</c:v>
                </c:pt>
                <c:pt idx="2">
                  <c:v>1445.13095915855</c:v>
                </c:pt>
                <c:pt idx="3">
                  <c:v>1261.10911844322</c:v>
                </c:pt>
                <c:pt idx="4">
                  <c:v>1580.37137763443</c:v>
                </c:pt>
                <c:pt idx="5">
                  <c:v>1374.07475341573</c:v>
                </c:pt>
                <c:pt idx="6">
                  <c:v>39.3223680716859</c:v>
                </c:pt>
                <c:pt idx="7">
                  <c:v>1502.41572594222</c:v>
                </c:pt>
                <c:pt idx="8">
                  <c:v>661.665374885489</c:v>
                </c:pt>
                <c:pt idx="9">
                  <c:v>569.627949353269</c:v>
                </c:pt>
                <c:pt idx="10">
                  <c:v>1029.41896237692</c:v>
                </c:pt>
                <c:pt idx="11">
                  <c:v>1142.81923155447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16476939"/>
        <c:axId val="782447434"/>
      </c:lineChart>
      <c:catAx>
        <c:axId val="913157422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rgbClr val="12B3C7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米开软笔行楷" panose="03000600000000000000" charset="-122"/>
                <a:ea typeface="米开软笔行楷" panose="03000600000000000000" charset="-122"/>
                <a:cs typeface="米开软笔行楷" panose="03000600000000000000" charset="-122"/>
                <a:sym typeface="米开软笔行楷" panose="03000600000000000000" charset="-122"/>
              </a:defRPr>
            </a:pPr>
          </a:p>
        </c:txPr>
        <c:crossAx val="472371527"/>
        <c:crosses val="autoZero"/>
        <c:auto val="1"/>
        <c:lblAlgn val="ctr"/>
        <c:lblOffset val="100"/>
        <c:noMultiLvlLbl val="0"/>
      </c:catAx>
      <c:valAx>
        <c:axId val="472371527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米开软笔行楷" panose="03000600000000000000" charset="-122"/>
                <a:ea typeface="米开软笔行楷" panose="03000600000000000000" charset="-122"/>
                <a:cs typeface="米开软笔行楷" panose="03000600000000000000" charset="-122"/>
                <a:sym typeface="米开软笔行楷" panose="03000600000000000000" charset="-122"/>
              </a:defRPr>
            </a:pPr>
          </a:p>
        </c:txPr>
        <c:crossAx val="913157422"/>
        <c:crosses val="autoZero"/>
        <c:crossBetween val="between"/>
      </c:valAx>
      <c:catAx>
        <c:axId val="81647693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447434"/>
        <c:crosses val="autoZero"/>
        <c:auto val="1"/>
        <c:lblAlgn val="ctr"/>
        <c:lblOffset val="100"/>
        <c:noMultiLvlLbl val="0"/>
      </c:catAx>
      <c:valAx>
        <c:axId val="782447434"/>
        <c:scaling>
          <c:orientation val="minMax"/>
          <c:max val="200"/>
        </c:scaling>
        <c:delete val="1"/>
        <c:axPos val="r"/>
        <c:numFmt formatCode="0_);[Red]\(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476939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米开软笔行楷" panose="03000600000000000000" charset="-122"/>
                <a:ea typeface="米开软笔行楷" panose="03000600000000000000" charset="-122"/>
                <a:cs typeface="米开软笔行楷" panose="03000600000000000000" charset="-122"/>
                <a:sym typeface="米开软笔行楷" panose="03000600000000000000" charset="-122"/>
              </a:defRPr>
            </a:pPr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0.596463906192745"/>
          <c:y val="0.0537056928034372"/>
          <c:w val="0.400787834371565"/>
          <c:h val="0.08700322234156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米开软笔行楷" panose="03000600000000000000" charset="-122"/>
              <a:ea typeface="米开软笔行楷" panose="03000600000000000000" charset="-122"/>
              <a:cs typeface="米开软笔行楷" panose="03000600000000000000" charset="-122"/>
              <a:sym typeface="米开软笔行楷" panose="030006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431e06e-dcb3-4319-80e6-94c16694c7eb}"/>
      </c:ext>
    </c:extLst>
  </c:chart>
  <c:spPr>
    <a:solidFill>
      <a:schemeClr val="bg1"/>
    </a:solidFill>
    <a:ln w="9525" cap="flat" cmpd="sng" algn="ctr">
      <a:solidFill>
        <a:srgbClr val="FE939C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库存量同期对比</a:t>
            </a:r>
            <a:endParaRPr b="1">
              <a:solidFill>
                <a:srgbClr val="FE939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24461639535733"/>
          <c:y val="0.131518455158255"/>
          <c:w val="0.973830206584422"/>
          <c:h val="0.781996015214635"/>
        </c:manualLayout>
      </c:layout>
      <c:area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实际库存量</c:v>
                </c:pt>
              </c:strCache>
            </c:strRef>
          </c:tx>
          <c:spPr>
            <a:solidFill>
              <a:srgbClr val="12B3C7">
                <a:alpha val="80000"/>
              </a:srgb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Sheet1!$C$6:$N$6</c:f>
              <c:numCache>
                <c:formatCode>0_);[Red]\(0\)</c:formatCode>
                <c:ptCount val="12"/>
                <c:pt idx="0">
                  <c:v>950.259661451566</c:v>
                </c:pt>
                <c:pt idx="1">
                  <c:v>988.295582991612</c:v>
                </c:pt>
                <c:pt idx="2">
                  <c:v>1445.13095915855</c:v>
                </c:pt>
                <c:pt idx="3">
                  <c:v>1261.10911844322</c:v>
                </c:pt>
                <c:pt idx="4">
                  <c:v>1580.37137763443</c:v>
                </c:pt>
                <c:pt idx="5">
                  <c:v>1374.07475341573</c:v>
                </c:pt>
                <c:pt idx="6">
                  <c:v>39.3223680716859</c:v>
                </c:pt>
                <c:pt idx="7">
                  <c:v>1502.41572594222</c:v>
                </c:pt>
                <c:pt idx="8">
                  <c:v>661.665374885489</c:v>
                </c:pt>
                <c:pt idx="9">
                  <c:v>569.627949353269</c:v>
                </c:pt>
                <c:pt idx="10">
                  <c:v>1029.41896237692</c:v>
                </c:pt>
                <c:pt idx="11">
                  <c:v>1142.81923155447</c:v>
                </c:pt>
              </c:numCache>
            </c:numRef>
          </c:val>
        </c:ser>
        <c:ser>
          <c:idx val="1"/>
          <c:order val="1"/>
          <c:tx>
            <c:strRef>
              <c:f>Sheet1!$B$8</c:f>
              <c:strCache>
                <c:ptCount val="1"/>
                <c:pt idx="0">
                  <c:v>去年同期量</c:v>
                </c:pt>
              </c:strCache>
            </c:strRef>
          </c:tx>
          <c:spPr>
            <a:solidFill>
              <a:srgbClr val="FE939C">
                <a:alpha val="80000"/>
              </a:srgb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Sheet1!$C$8:$N$8</c:f>
              <c:numCache>
                <c:formatCode>0_);[Red]\(0\)</c:formatCode>
                <c:ptCount val="12"/>
                <c:pt idx="0">
                  <c:v>1560.3752336041</c:v>
                </c:pt>
                <c:pt idx="1">
                  <c:v>1775.24113389304</c:v>
                </c:pt>
                <c:pt idx="2">
                  <c:v>1034.44448613442</c:v>
                </c:pt>
                <c:pt idx="3">
                  <c:v>1802.92855257877</c:v>
                </c:pt>
                <c:pt idx="4">
                  <c:v>1983.79634028299</c:v>
                </c:pt>
                <c:pt idx="5">
                  <c:v>915.888212649961</c:v>
                </c:pt>
                <c:pt idx="6">
                  <c:v>1199.18643902586</c:v>
                </c:pt>
                <c:pt idx="7">
                  <c:v>5.25010535794879</c:v>
                </c:pt>
                <c:pt idx="8">
                  <c:v>1543.71306638034</c:v>
                </c:pt>
                <c:pt idx="9">
                  <c:v>1069.00047778825</c:v>
                </c:pt>
                <c:pt idx="10">
                  <c:v>570.106630803802</c:v>
                </c:pt>
                <c:pt idx="11">
                  <c:v>625.440718332702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28285167"/>
        <c:axId val="615300746"/>
      </c:areaChart>
      <c:catAx>
        <c:axId val="728285167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rgbClr val="12B3C7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300746"/>
        <c:crosses val="autoZero"/>
        <c:auto val="1"/>
        <c:lblAlgn val="ctr"/>
        <c:lblOffset val="100"/>
        <c:noMultiLvlLbl val="0"/>
      </c:catAx>
      <c:valAx>
        <c:axId val="615300746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8285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2829403606103"/>
          <c:y val="0.042021372939684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231dfe-a757-40f4-a5ce-839805e28bb0}"/>
      </c:ext>
    </c:extLst>
  </c:chart>
  <c:spPr>
    <a:solidFill>
      <a:schemeClr val="bg1"/>
    </a:solidFill>
    <a:ln w="9525" cap="flat" cmpd="sng" algn="ctr">
      <a:solidFill>
        <a:srgbClr val="FE939C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b="1">
                <a:solidFill>
                  <a:srgbClr val="FE939C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库存额同期对比</a:t>
            </a:r>
            <a:endParaRPr b="1">
              <a:solidFill>
                <a:srgbClr val="FE939C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1897810218978"/>
          <c:y val="0.13841961852861"/>
          <c:w val="0.962299270072993"/>
          <c:h val="0.796984559491371"/>
        </c:manualLayout>
      </c:layout>
      <c:areaChart>
        <c:grouping val="standar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库存金额</c:v>
                </c:pt>
              </c:strCache>
            </c:strRef>
          </c:tx>
          <c:spPr>
            <a:solidFill>
              <a:srgbClr val="12B3C7">
                <a:alpha val="80000"/>
              </a:srgb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Sheet1!$C$10:$N$10</c:f>
              <c:numCache>
                <c:formatCode>0_);[Red]\(0\)</c:formatCode>
                <c:ptCount val="12"/>
                <c:pt idx="0">
                  <c:v>66.3190861552835</c:v>
                </c:pt>
                <c:pt idx="1">
                  <c:v>181.722170428187</c:v>
                </c:pt>
                <c:pt idx="2">
                  <c:v>168.921765014049</c:v>
                </c:pt>
                <c:pt idx="3">
                  <c:v>156.192489957097</c:v>
                </c:pt>
                <c:pt idx="4">
                  <c:v>31.760745538937</c:v>
                </c:pt>
                <c:pt idx="5">
                  <c:v>199.11001267261</c:v>
                </c:pt>
                <c:pt idx="6">
                  <c:v>20.5267529952273</c:v>
                </c:pt>
                <c:pt idx="7">
                  <c:v>20.000751243844</c:v>
                </c:pt>
                <c:pt idx="8">
                  <c:v>161.945353948598</c:v>
                </c:pt>
                <c:pt idx="9">
                  <c:v>84.5358555314081</c:v>
                </c:pt>
                <c:pt idx="10">
                  <c:v>145.758161596193</c:v>
                </c:pt>
                <c:pt idx="11">
                  <c:v>151.687770626881</c:v>
                </c:pt>
              </c:numCache>
            </c:numRef>
          </c:val>
        </c:ser>
        <c:ser>
          <c:idx val="1"/>
          <c:order val="1"/>
          <c:tx>
            <c:strRef>
              <c:f>Sheet1!$B$11</c:f>
              <c:strCache>
                <c:ptCount val="1"/>
                <c:pt idx="0">
                  <c:v>去年同期额</c:v>
                </c:pt>
              </c:strCache>
            </c:strRef>
          </c:tx>
          <c:spPr>
            <a:solidFill>
              <a:srgbClr val="FE939C">
                <a:alpha val="80000"/>
              </a:srgb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Sheet1!$C$11:$N$11</c:f>
              <c:numCache>
                <c:formatCode>0_);[Red]\(0\)</c:formatCode>
                <c:ptCount val="12"/>
                <c:pt idx="0">
                  <c:v>129.739320304325</c:v>
                </c:pt>
                <c:pt idx="1">
                  <c:v>116.965972665226</c:v>
                </c:pt>
                <c:pt idx="2">
                  <c:v>94.5547571057846</c:v>
                </c:pt>
                <c:pt idx="3">
                  <c:v>75.4463628661152</c:v>
                </c:pt>
                <c:pt idx="4">
                  <c:v>24.1488499866777</c:v>
                </c:pt>
                <c:pt idx="5">
                  <c:v>115.708875581381</c:v>
                </c:pt>
                <c:pt idx="6">
                  <c:v>128.616310817943</c:v>
                </c:pt>
                <c:pt idx="7">
                  <c:v>90.3784007709577</c:v>
                </c:pt>
                <c:pt idx="8">
                  <c:v>117.47843818707</c:v>
                </c:pt>
                <c:pt idx="9">
                  <c:v>131.521675062264</c:v>
                </c:pt>
                <c:pt idx="10">
                  <c:v>68.9430091204704</c:v>
                </c:pt>
                <c:pt idx="11">
                  <c:v>175.3785064161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79959136"/>
        <c:axId val="599712438"/>
      </c:areaChart>
      <c:catAx>
        <c:axId val="779959136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noFill/>
          <a:ln w="9525" cap="flat" cmpd="sng" algn="ctr">
            <a:solidFill>
              <a:srgbClr val="12B3C7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712438"/>
        <c:crosses val="autoZero"/>
        <c:auto val="1"/>
        <c:lblAlgn val="ctr"/>
        <c:lblOffset val="100"/>
        <c:noMultiLvlLbl val="0"/>
      </c:catAx>
      <c:valAx>
        <c:axId val="599712438"/>
        <c:scaling>
          <c:orientation val="minMax"/>
        </c:scaling>
        <c:delete val="1"/>
        <c:axPos val="l"/>
        <c:numFmt formatCode="0_);[Red]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95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3467153284672"/>
          <c:y val="0.03287920072661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46d2c2b-f23e-4514-9746-e77f192d3265}"/>
      </c:ext>
    </c:extLst>
  </c:chart>
  <c:spPr>
    <a:solidFill>
      <a:schemeClr val="bg1"/>
    </a:solidFill>
    <a:ln w="9525" cap="flat" cmpd="sng" algn="ctr">
      <a:solidFill>
        <a:srgbClr val="FE939C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45085</xdr:colOff>
      <xdr:row>2</xdr:row>
      <xdr:rowOff>115570</xdr:rowOff>
    </xdr:from>
    <xdr:to>
      <xdr:col>19</xdr:col>
      <xdr:colOff>591820</xdr:colOff>
      <xdr:row>49</xdr:row>
      <xdr:rowOff>5080</xdr:rowOff>
    </xdr:to>
    <xdr:graphicFrame>
      <xdr:nvGraphicFramePr>
        <xdr:cNvPr id="6" name="图表 5"/>
        <xdr:cNvGraphicFramePr/>
      </xdr:nvGraphicFramePr>
      <xdr:xfrm>
        <a:off x="8930005" y="750570"/>
        <a:ext cx="2804795" cy="10735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10160</xdr:colOff>
      <xdr:row>17</xdr:row>
      <xdr:rowOff>40005</xdr:rowOff>
    </xdr:from>
    <xdr:to>
      <xdr:col>14</xdr:col>
      <xdr:colOff>576580</xdr:colOff>
      <xdr:row>49</xdr:row>
      <xdr:rowOff>13970</xdr:rowOff>
    </xdr:to>
    <xdr:grpSp>
      <xdr:nvGrpSpPr>
        <xdr:cNvPr id="20" name="组合 19"/>
        <xdr:cNvGrpSpPr/>
      </xdr:nvGrpSpPr>
      <xdr:grpSpPr>
        <a:xfrm>
          <a:off x="134620" y="5374005"/>
          <a:ext cx="8745220" cy="6120765"/>
          <a:chOff x="196" y="8431"/>
          <a:chExt cx="13792" cy="9488"/>
        </a:xfrm>
      </xdr:grpSpPr>
      <xdr:graphicFrame>
        <xdr:nvGraphicFramePr>
          <xdr:cNvPr id="9" name="图表 8"/>
          <xdr:cNvGraphicFramePr/>
        </xdr:nvGraphicFramePr>
        <xdr:xfrm>
          <a:off x="198" y="13203"/>
          <a:ext cx="13791" cy="47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>
        <xdr:nvGraphicFramePr>
          <xdr:cNvPr id="11" name="图表 10"/>
          <xdr:cNvGraphicFramePr/>
        </xdr:nvGraphicFramePr>
        <xdr:xfrm>
          <a:off x="196" y="8431"/>
          <a:ext cx="13793" cy="4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20</xdr:col>
      <xdr:colOff>24765</xdr:colOff>
      <xdr:row>2</xdr:row>
      <xdr:rowOff>41910</xdr:rowOff>
    </xdr:from>
    <xdr:to>
      <xdr:col>32</xdr:col>
      <xdr:colOff>449580</xdr:colOff>
      <xdr:row>49</xdr:row>
      <xdr:rowOff>10160</xdr:rowOff>
    </xdr:to>
    <xdr:grpSp>
      <xdr:nvGrpSpPr>
        <xdr:cNvPr id="21" name="组合 20"/>
        <xdr:cNvGrpSpPr/>
      </xdr:nvGrpSpPr>
      <xdr:grpSpPr>
        <a:xfrm>
          <a:off x="11853545" y="676910"/>
          <a:ext cx="8654415" cy="10814050"/>
          <a:chOff x="18550" y="1147"/>
          <a:chExt cx="13698" cy="16768"/>
        </a:xfrm>
      </xdr:grpSpPr>
      <xdr:graphicFrame>
        <xdr:nvGraphicFramePr>
          <xdr:cNvPr id="17" name="图表 16"/>
          <xdr:cNvGraphicFramePr/>
        </xdr:nvGraphicFramePr>
        <xdr:xfrm>
          <a:off x="18550" y="1147"/>
          <a:ext cx="13699" cy="55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>
        <xdr:nvGraphicFramePr>
          <xdr:cNvPr id="18" name="图表 17"/>
          <xdr:cNvGraphicFramePr/>
        </xdr:nvGraphicFramePr>
        <xdr:xfrm>
          <a:off x="18550" y="6752"/>
          <a:ext cx="13698" cy="55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>
        <xdr:nvGraphicFramePr>
          <xdr:cNvPr id="19" name="图表 18"/>
          <xdr:cNvGraphicFramePr/>
        </xdr:nvGraphicFramePr>
        <xdr:xfrm>
          <a:off x="18550" y="12359"/>
          <a:ext cx="13698" cy="55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25"/>
  <sheetViews>
    <sheetView tabSelected="1" workbookViewId="0">
      <selection activeCell="J7" sqref="J7"/>
    </sheetView>
  </sheetViews>
  <sheetFormatPr defaultColWidth="9" defaultRowHeight="13.5"/>
  <cols>
    <col min="1" max="1" width="1.63333333333333" style="1" customWidth="1"/>
    <col min="2" max="2" width="15.7333333333333" style="1" customWidth="1"/>
    <col min="3" max="15" width="7.63333333333333" style="1" customWidth="1"/>
    <col min="16" max="16" width="2.63333333333333" style="2" customWidth="1"/>
    <col min="17" max="32" width="9" style="1"/>
    <col min="33" max="33" width="6.31666666666667" style="1" customWidth="1"/>
    <col min="34" max="16384" width="9" style="1"/>
  </cols>
  <sheetData>
    <row r="1" ht="10" customHeight="1"/>
    <row r="2" ht="40" customHeight="1" spans="2:33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0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10" customHeight="1"/>
    <row r="4" ht="30" customHeight="1" spans="2:15">
      <c r="B4" s="4"/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</row>
    <row r="5" ht="30" customHeight="1" spans="2:15">
      <c r="B5" s="4" t="s">
        <v>14</v>
      </c>
      <c r="C5" s="6">
        <v>1000</v>
      </c>
      <c r="D5" s="6">
        <v>1000</v>
      </c>
      <c r="E5" s="6">
        <v>1000</v>
      </c>
      <c r="F5" s="6">
        <v>1000</v>
      </c>
      <c r="G5" s="6">
        <v>1000</v>
      </c>
      <c r="H5" s="6">
        <v>1000</v>
      </c>
      <c r="I5" s="6">
        <v>1000</v>
      </c>
      <c r="J5" s="6">
        <v>1000</v>
      </c>
      <c r="K5" s="6">
        <v>1000</v>
      </c>
      <c r="L5" s="6">
        <v>1000</v>
      </c>
      <c r="M5" s="6">
        <v>1000</v>
      </c>
      <c r="N5" s="6">
        <v>1000</v>
      </c>
      <c r="O5" s="21">
        <f>SUM(C5:N5)</f>
        <v>12000</v>
      </c>
    </row>
    <row r="6" ht="30" customHeight="1" spans="2:15">
      <c r="B6" s="4" t="s">
        <v>15</v>
      </c>
      <c r="C6" s="6">
        <f ca="1">RAND()*2000</f>
        <v>950.259661451566</v>
      </c>
      <c r="D6" s="6">
        <f ca="1" t="shared" ref="D6:N6" si="0">RAND()*2000</f>
        <v>988.295582991612</v>
      </c>
      <c r="E6" s="6">
        <f ca="1" t="shared" si="0"/>
        <v>1445.13095915855</v>
      </c>
      <c r="F6" s="6">
        <f ca="1" t="shared" si="0"/>
        <v>1261.10911844322</v>
      </c>
      <c r="G6" s="6">
        <f ca="1" t="shared" si="0"/>
        <v>1580.37137763443</v>
      </c>
      <c r="H6" s="6">
        <f ca="1" t="shared" si="0"/>
        <v>1374.07475341573</v>
      </c>
      <c r="I6" s="6">
        <f ca="1" t="shared" si="0"/>
        <v>39.3223680716859</v>
      </c>
      <c r="J6" s="6">
        <f ca="1" t="shared" si="0"/>
        <v>1502.41572594222</v>
      </c>
      <c r="K6" s="6">
        <f ca="1" t="shared" si="0"/>
        <v>661.665374885489</v>
      </c>
      <c r="L6" s="6">
        <f ca="1" t="shared" si="0"/>
        <v>569.627949353269</v>
      </c>
      <c r="M6" s="6">
        <f ca="1" t="shared" si="0"/>
        <v>1029.41896237692</v>
      </c>
      <c r="N6" s="6">
        <f ca="1" t="shared" si="0"/>
        <v>1142.81923155447</v>
      </c>
      <c r="O6" s="21">
        <f ca="1">SUM(C6:N6)</f>
        <v>12544.5110652792</v>
      </c>
    </row>
    <row r="7" ht="30" customHeight="1" spans="2:15">
      <c r="B7" s="4" t="s">
        <v>16</v>
      </c>
      <c r="C7" s="7">
        <f ca="1">C5-C6</f>
        <v>49.7403385484345</v>
      </c>
      <c r="D7" s="7">
        <f ca="1" t="shared" ref="D7:O7" si="1">D5-D6</f>
        <v>11.7044170083882</v>
      </c>
      <c r="E7" s="7">
        <f ca="1" t="shared" si="1"/>
        <v>-445.130959158549</v>
      </c>
      <c r="F7" s="7">
        <f ca="1" t="shared" si="1"/>
        <v>-261.109118443223</v>
      </c>
      <c r="G7" s="7">
        <f ca="1" t="shared" si="1"/>
        <v>-580.371377634433</v>
      </c>
      <c r="H7" s="7">
        <f ca="1" t="shared" si="1"/>
        <v>-374.074753415726</v>
      </c>
      <c r="I7" s="7">
        <f ca="1" t="shared" si="1"/>
        <v>960.677631928314</v>
      </c>
      <c r="J7" s="7">
        <f ca="1" t="shared" si="1"/>
        <v>-502.415725942217</v>
      </c>
      <c r="K7" s="7">
        <f ca="1" t="shared" si="1"/>
        <v>338.334625114511</v>
      </c>
      <c r="L7" s="7">
        <f ca="1" t="shared" si="1"/>
        <v>430.372050646731</v>
      </c>
      <c r="M7" s="7">
        <f ca="1" t="shared" si="1"/>
        <v>-29.4189623769241</v>
      </c>
      <c r="N7" s="7">
        <f ca="1" t="shared" si="1"/>
        <v>-142.819231554472</v>
      </c>
      <c r="O7" s="7">
        <f ca="1" t="shared" si="1"/>
        <v>-544.511065279163</v>
      </c>
    </row>
    <row r="8" ht="30" customHeight="1" spans="2:15">
      <c r="B8" s="4" t="s">
        <v>17</v>
      </c>
      <c r="C8" s="6">
        <f ca="1" t="shared" ref="C8:N8" si="2">RAND()*2000</f>
        <v>1560.3752336041</v>
      </c>
      <c r="D8" s="6">
        <f ca="1" t="shared" si="2"/>
        <v>1775.24113389304</v>
      </c>
      <c r="E8" s="6">
        <f ca="1" t="shared" si="2"/>
        <v>1034.44448613442</v>
      </c>
      <c r="F8" s="6">
        <f ca="1" t="shared" si="2"/>
        <v>1802.92855257877</v>
      </c>
      <c r="G8" s="6">
        <f ca="1" t="shared" si="2"/>
        <v>1983.79634028299</v>
      </c>
      <c r="H8" s="6">
        <f ca="1" t="shared" si="2"/>
        <v>915.888212649961</v>
      </c>
      <c r="I8" s="6">
        <f ca="1" t="shared" si="2"/>
        <v>1199.18643902586</v>
      </c>
      <c r="J8" s="6">
        <f ca="1" t="shared" si="2"/>
        <v>5.25010535794879</v>
      </c>
      <c r="K8" s="6">
        <f ca="1" t="shared" si="2"/>
        <v>1543.71306638034</v>
      </c>
      <c r="L8" s="6">
        <f ca="1" t="shared" si="2"/>
        <v>1069.00047778825</v>
      </c>
      <c r="M8" s="6">
        <f ca="1" t="shared" si="2"/>
        <v>570.106630803802</v>
      </c>
      <c r="N8" s="6">
        <f ca="1" t="shared" si="2"/>
        <v>625.440718332702</v>
      </c>
      <c r="O8" s="21">
        <f ca="1" t="shared" ref="O8:O14" si="3">SUM(C8:N8)</f>
        <v>14085.3713968322</v>
      </c>
    </row>
    <row r="9" ht="30" customHeight="1" spans="2:15">
      <c r="B9" s="4" t="s">
        <v>18</v>
      </c>
      <c r="C9" s="8">
        <f ca="1">C6-C8</f>
        <v>-610.115572152532</v>
      </c>
      <c r="D9" s="8">
        <f ca="1" t="shared" ref="D9:N9" si="4">D6-D8</f>
        <v>-786.945550901433</v>
      </c>
      <c r="E9" s="8">
        <f ca="1" t="shared" si="4"/>
        <v>410.686473024133</v>
      </c>
      <c r="F9" s="8">
        <f ca="1" t="shared" si="4"/>
        <v>-541.81943413555</v>
      </c>
      <c r="G9" s="8">
        <f ca="1" t="shared" si="4"/>
        <v>-403.424962648554</v>
      </c>
      <c r="H9" s="8">
        <f ca="1" t="shared" si="4"/>
        <v>458.186540765765</v>
      </c>
      <c r="I9" s="8">
        <f ca="1" t="shared" si="4"/>
        <v>-1159.86407095418</v>
      </c>
      <c r="J9" s="8">
        <f ca="1" t="shared" si="4"/>
        <v>1497.16562058427</v>
      </c>
      <c r="K9" s="8">
        <f ca="1" t="shared" si="4"/>
        <v>-882.047691494856</v>
      </c>
      <c r="L9" s="8">
        <f ca="1" t="shared" si="4"/>
        <v>-499.372528434979</v>
      </c>
      <c r="M9" s="8">
        <f ca="1" t="shared" si="4"/>
        <v>459.312331573122</v>
      </c>
      <c r="N9" s="8">
        <f ca="1" t="shared" si="4"/>
        <v>517.37851322177</v>
      </c>
      <c r="O9" s="21">
        <f ca="1" t="shared" si="3"/>
        <v>-1540.86033155302</v>
      </c>
    </row>
    <row r="10" ht="30" customHeight="1" spans="2:15">
      <c r="B10" s="4" t="s">
        <v>19</v>
      </c>
      <c r="C10" s="6">
        <f ca="1" t="shared" ref="C10:N10" si="5">RAND()*200</f>
        <v>66.3190861552835</v>
      </c>
      <c r="D10" s="6">
        <f ca="1" t="shared" si="5"/>
        <v>181.722170428187</v>
      </c>
      <c r="E10" s="6">
        <f ca="1" t="shared" si="5"/>
        <v>168.921765014049</v>
      </c>
      <c r="F10" s="6">
        <f ca="1" t="shared" si="5"/>
        <v>156.192489957097</v>
      </c>
      <c r="G10" s="6">
        <f ca="1" t="shared" si="5"/>
        <v>31.760745538937</v>
      </c>
      <c r="H10" s="6">
        <f ca="1" t="shared" si="5"/>
        <v>199.11001267261</v>
      </c>
      <c r="I10" s="6">
        <f ca="1" t="shared" si="5"/>
        <v>20.5267529952273</v>
      </c>
      <c r="J10" s="6">
        <f ca="1" t="shared" si="5"/>
        <v>20.000751243844</v>
      </c>
      <c r="K10" s="6">
        <f ca="1" t="shared" si="5"/>
        <v>161.945353948598</v>
      </c>
      <c r="L10" s="6">
        <f ca="1" t="shared" si="5"/>
        <v>84.5358555314081</v>
      </c>
      <c r="M10" s="6">
        <f ca="1" t="shared" si="5"/>
        <v>145.758161596193</v>
      </c>
      <c r="N10" s="6">
        <f ca="1" t="shared" si="5"/>
        <v>151.687770626881</v>
      </c>
      <c r="O10" s="21">
        <f ca="1" t="shared" si="3"/>
        <v>1388.48091570832</v>
      </c>
    </row>
    <row r="11" ht="30" customHeight="1" spans="2:15">
      <c r="B11" s="4" t="s">
        <v>20</v>
      </c>
      <c r="C11" s="6">
        <f ca="1" t="shared" ref="C11:N11" si="6">RAND()*200</f>
        <v>129.739320304325</v>
      </c>
      <c r="D11" s="6">
        <f ca="1" t="shared" si="6"/>
        <v>116.965972665226</v>
      </c>
      <c r="E11" s="6">
        <f ca="1" t="shared" si="6"/>
        <v>94.5547571057846</v>
      </c>
      <c r="F11" s="6">
        <f ca="1" t="shared" si="6"/>
        <v>75.4463628661152</v>
      </c>
      <c r="G11" s="6">
        <f ca="1" t="shared" si="6"/>
        <v>24.1488499866777</v>
      </c>
      <c r="H11" s="6">
        <f ca="1" t="shared" si="6"/>
        <v>115.708875581381</v>
      </c>
      <c r="I11" s="6">
        <f ca="1" t="shared" si="6"/>
        <v>128.616310817943</v>
      </c>
      <c r="J11" s="6">
        <f ca="1" t="shared" si="6"/>
        <v>90.3784007709577</v>
      </c>
      <c r="K11" s="6">
        <f ca="1" t="shared" si="6"/>
        <v>117.47843818707</v>
      </c>
      <c r="L11" s="6">
        <f ca="1" t="shared" si="6"/>
        <v>131.521675062264</v>
      </c>
      <c r="M11" s="6">
        <f ca="1" t="shared" si="6"/>
        <v>68.9430091204704</v>
      </c>
      <c r="N11" s="6">
        <f ca="1" t="shared" si="6"/>
        <v>175.3785064161</v>
      </c>
      <c r="O11" s="21">
        <f ca="1" t="shared" si="3"/>
        <v>1268.88047888431</v>
      </c>
    </row>
    <row r="12" ht="30" customHeight="1" spans="2:15">
      <c r="B12" s="9" t="s">
        <v>21</v>
      </c>
      <c r="C12" s="10">
        <f ca="1">C6/$O$6</f>
        <v>0.0757510321850411</v>
      </c>
      <c r="D12" s="10">
        <f ca="1" t="shared" ref="D12:N12" si="7">D6/$O$6</f>
        <v>0.0787831090306124</v>
      </c>
      <c r="E12" s="10">
        <f ca="1" t="shared" si="7"/>
        <v>0.11520026182275</v>
      </c>
      <c r="F12" s="10">
        <f ca="1" t="shared" si="7"/>
        <v>0.100530751009797</v>
      </c>
      <c r="G12" s="10">
        <f ca="1" t="shared" si="7"/>
        <v>0.125981105952276</v>
      </c>
      <c r="H12" s="10">
        <f ca="1" t="shared" si="7"/>
        <v>0.10953593537965</v>
      </c>
      <c r="I12" s="10">
        <f ca="1" t="shared" si="7"/>
        <v>0.0031346273973581</v>
      </c>
      <c r="J12" s="10">
        <f ca="1" t="shared" si="7"/>
        <v>0.119766782310123</v>
      </c>
      <c r="K12" s="10">
        <f ca="1" t="shared" si="7"/>
        <v>0.0527454096411022</v>
      </c>
      <c r="L12" s="10">
        <f ca="1" t="shared" si="7"/>
        <v>0.0454085413444205</v>
      </c>
      <c r="M12" s="10">
        <f ca="1" t="shared" si="7"/>
        <v>0.0820613060979444</v>
      </c>
      <c r="N12" s="10">
        <f ca="1" t="shared" si="7"/>
        <v>0.091101137828925</v>
      </c>
      <c r="O12" s="22">
        <f ca="1" t="shared" si="3"/>
        <v>1</v>
      </c>
    </row>
    <row r="13" ht="30" customHeight="1" spans="2:15">
      <c r="B13" s="11" t="s">
        <v>22</v>
      </c>
      <c r="C13" s="10">
        <f ca="1">C8/$O$8</f>
        <v>0.110779843118303</v>
      </c>
      <c r="D13" s="10">
        <f ca="1" t="shared" ref="D13:N13" si="8">D8/$O$8</f>
        <v>0.126034385880112</v>
      </c>
      <c r="E13" s="10">
        <f ca="1" t="shared" si="8"/>
        <v>0.0734410514987957</v>
      </c>
      <c r="F13" s="10">
        <f ca="1" t="shared" si="8"/>
        <v>0.128000071974265</v>
      </c>
      <c r="G13" s="10">
        <f ca="1" t="shared" si="8"/>
        <v>0.140840896870433</v>
      </c>
      <c r="H13" s="10">
        <f ca="1" t="shared" si="8"/>
        <v>0.0650240726244495</v>
      </c>
      <c r="I13" s="10">
        <f ca="1" t="shared" si="8"/>
        <v>0.0851370123826171</v>
      </c>
      <c r="J13" s="10">
        <f ca="1" t="shared" si="8"/>
        <v>0.000372734605999068</v>
      </c>
      <c r="K13" s="10">
        <f ca="1" t="shared" si="8"/>
        <v>0.109596901841547</v>
      </c>
      <c r="L13" s="10">
        <f ca="1" t="shared" si="8"/>
        <v>0.0758943763476956</v>
      </c>
      <c r="M13" s="10">
        <f ca="1" t="shared" si="8"/>
        <v>0.0404750868643776</v>
      </c>
      <c r="N13" s="10">
        <f ca="1" t="shared" si="8"/>
        <v>0.0444035659914061</v>
      </c>
      <c r="O13" s="22">
        <f ca="1" t="shared" si="3"/>
        <v>1</v>
      </c>
    </row>
    <row r="14" ht="30" customHeight="1" spans="2:15">
      <c r="B14" s="12" t="s">
        <v>23</v>
      </c>
      <c r="C14" s="10">
        <f ca="1">C10/$O$10</f>
        <v>0.0477637721952064</v>
      </c>
      <c r="D14" s="10">
        <f ca="1" t="shared" ref="D14:N14" si="9">D10/$O$10</f>
        <v>0.130878407021881</v>
      </c>
      <c r="E14" s="10">
        <f ca="1" t="shared" si="9"/>
        <v>0.121659407128312</v>
      </c>
      <c r="F14" s="10">
        <f ca="1" t="shared" si="9"/>
        <v>0.112491636139931</v>
      </c>
      <c r="G14" s="10">
        <f ca="1" t="shared" si="9"/>
        <v>0.022874455946508</v>
      </c>
      <c r="H14" s="10">
        <f ca="1" t="shared" si="9"/>
        <v>0.14340133193047</v>
      </c>
      <c r="I14" s="10">
        <f ca="1" t="shared" si="9"/>
        <v>0.01478360470281</v>
      </c>
      <c r="J14" s="10">
        <f ca="1" t="shared" si="9"/>
        <v>0.0144047721632824</v>
      </c>
      <c r="K14" s="10">
        <f ca="1" t="shared" si="9"/>
        <v>0.11663491526348</v>
      </c>
      <c r="L14" s="10">
        <f ca="1" t="shared" si="9"/>
        <v>0.0608837000026632</v>
      </c>
      <c r="M14" s="10">
        <f ca="1" t="shared" si="9"/>
        <v>0.104976712281159</v>
      </c>
      <c r="N14" s="10">
        <f ca="1" t="shared" si="9"/>
        <v>0.109247285224298</v>
      </c>
      <c r="O14" s="22">
        <f ca="1" t="shared" si="3"/>
        <v>1</v>
      </c>
    </row>
    <row r="15" ht="30" customHeight="1" spans="2:15">
      <c r="B15" s="11" t="s">
        <v>24</v>
      </c>
      <c r="C15" s="10">
        <f ca="1">C11/$O$11</f>
        <v>0.102247077217549</v>
      </c>
      <c r="D15" s="10">
        <f ca="1" t="shared" ref="D15:O15" si="10">D11/$O$11</f>
        <v>0.0921804493107738</v>
      </c>
      <c r="E15" s="10">
        <f ca="1" t="shared" si="10"/>
        <v>0.0745182534362289</v>
      </c>
      <c r="F15" s="10">
        <f ca="1" t="shared" si="10"/>
        <v>0.0594589987958936</v>
      </c>
      <c r="G15" s="10">
        <f ca="1" t="shared" si="10"/>
        <v>0.019031619122954</v>
      </c>
      <c r="H15" s="10">
        <f ca="1" t="shared" si="10"/>
        <v>0.0911897357607077</v>
      </c>
      <c r="I15" s="10">
        <f ca="1" t="shared" si="10"/>
        <v>0.101362037605804</v>
      </c>
      <c r="J15" s="10">
        <f ca="1" t="shared" si="10"/>
        <v>0.0712268824959973</v>
      </c>
      <c r="K15" s="10">
        <f ca="1" t="shared" si="10"/>
        <v>0.0925843214881552</v>
      </c>
      <c r="L15" s="10">
        <f ca="1" t="shared" si="10"/>
        <v>0.103651744392747</v>
      </c>
      <c r="M15" s="10">
        <f ca="1" t="shared" si="10"/>
        <v>0.0543337298254362</v>
      </c>
      <c r="N15" s="10">
        <f ca="1" t="shared" si="10"/>
        <v>0.138215150547753</v>
      </c>
      <c r="O15" s="10">
        <f ca="1" t="shared" si="10"/>
        <v>1</v>
      </c>
    </row>
    <row r="16" ht="30" hidden="1" customHeight="1" spans="2:15">
      <c r="B16" s="13" t="s">
        <v>25</v>
      </c>
      <c r="C16" s="14">
        <f ca="1">IF(C6&lt;=C5,C6,C5)</f>
        <v>950.259661451566</v>
      </c>
      <c r="D16" s="14">
        <f ca="1" t="shared" ref="D16:N16" si="11">IF(D6&lt;=D5,D6,D5)</f>
        <v>988.295582991612</v>
      </c>
      <c r="E16" s="14">
        <f ca="1" t="shared" si="11"/>
        <v>1000</v>
      </c>
      <c r="F16" s="14">
        <f ca="1" t="shared" si="11"/>
        <v>1000</v>
      </c>
      <c r="G16" s="14">
        <f ca="1" t="shared" si="11"/>
        <v>1000</v>
      </c>
      <c r="H16" s="14">
        <f ca="1" t="shared" si="11"/>
        <v>1000</v>
      </c>
      <c r="I16" s="14">
        <f ca="1" t="shared" si="11"/>
        <v>39.3223680716859</v>
      </c>
      <c r="J16" s="14">
        <f ca="1" t="shared" si="11"/>
        <v>1000</v>
      </c>
      <c r="K16" s="14">
        <f ca="1" t="shared" si="11"/>
        <v>661.665374885489</v>
      </c>
      <c r="L16" s="14">
        <f ca="1" t="shared" si="11"/>
        <v>569.627949353269</v>
      </c>
      <c r="M16" s="14">
        <f ca="1" t="shared" si="11"/>
        <v>1000</v>
      </c>
      <c r="N16" s="14">
        <f ca="1" t="shared" si="11"/>
        <v>1000</v>
      </c>
      <c r="O16" s="23"/>
    </row>
    <row r="17" ht="30" hidden="1" customHeight="1" spans="2:15">
      <c r="B17" s="15" t="s">
        <v>26</v>
      </c>
      <c r="C17" s="16" t="e">
        <f ca="1">IF(C6&gt;C5,C6-C5,NA())</f>
        <v>#N/A</v>
      </c>
      <c r="D17" s="16" t="e">
        <f ca="1">IF(D6&gt;D5,D6-D5,NA())</f>
        <v>#N/A</v>
      </c>
      <c r="E17" s="16">
        <f ca="1" t="shared" ref="E17:N17" si="12">IF(E6&gt;E5,E6-E5,NA())</f>
        <v>445.130959158549</v>
      </c>
      <c r="F17" s="16">
        <f ca="1" t="shared" si="12"/>
        <v>261.109118443223</v>
      </c>
      <c r="G17" s="16">
        <f ca="1" t="shared" si="12"/>
        <v>580.371377634433</v>
      </c>
      <c r="H17" s="16">
        <f ca="1" t="shared" si="12"/>
        <v>374.074753415726</v>
      </c>
      <c r="I17" s="16" t="e">
        <f ca="1" t="shared" si="12"/>
        <v>#N/A</v>
      </c>
      <c r="J17" s="16">
        <f ca="1" t="shared" si="12"/>
        <v>502.415725942217</v>
      </c>
      <c r="K17" s="16" t="e">
        <f ca="1" t="shared" si="12"/>
        <v>#N/A</v>
      </c>
      <c r="L17" s="16" t="e">
        <f ca="1" t="shared" si="12"/>
        <v>#N/A</v>
      </c>
      <c r="M17" s="16">
        <f ca="1" t="shared" si="12"/>
        <v>29.4189623769241</v>
      </c>
      <c r="N17" s="16">
        <f ca="1" t="shared" si="12"/>
        <v>142.819231554472</v>
      </c>
      <c r="O17" s="23"/>
    </row>
    <row r="18" ht="30" customHeight="1"/>
    <row r="19" ht="30" customHeight="1"/>
    <row r="20" ht="30" customHeight="1" spans="2:14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ht="30" customHeight="1" spans="2:14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ht="20" customHeight="1"/>
    <row r="23" ht="20" customHeight="1"/>
    <row r="24" hidden="1" spans="2:14">
      <c r="B24" s="19" t="s">
        <v>25</v>
      </c>
      <c r="C24" s="19">
        <f t="shared" ref="C24:N24" si="13">IF(C21&lt;=C20,C21,C20)</f>
        <v>0</v>
      </c>
      <c r="D24" s="19">
        <f t="shared" si="13"/>
        <v>0</v>
      </c>
      <c r="E24" s="19">
        <f t="shared" si="13"/>
        <v>0</v>
      </c>
      <c r="F24" s="19">
        <f t="shared" si="13"/>
        <v>0</v>
      </c>
      <c r="G24" s="19">
        <f t="shared" si="13"/>
        <v>0</v>
      </c>
      <c r="H24" s="19">
        <f t="shared" si="13"/>
        <v>0</v>
      </c>
      <c r="I24" s="19">
        <f t="shared" si="13"/>
        <v>0</v>
      </c>
      <c r="J24" s="19">
        <f t="shared" si="13"/>
        <v>0</v>
      </c>
      <c r="K24" s="19">
        <f t="shared" si="13"/>
        <v>0</v>
      </c>
      <c r="L24" s="19">
        <f t="shared" si="13"/>
        <v>0</v>
      </c>
      <c r="M24" s="19">
        <f t="shared" si="13"/>
        <v>0</v>
      </c>
      <c r="N24" s="19">
        <f t="shared" si="13"/>
        <v>0</v>
      </c>
    </row>
    <row r="25" hidden="1" spans="2:14">
      <c r="B25" s="19" t="s">
        <v>26</v>
      </c>
      <c r="C25" s="19" t="e">
        <f t="shared" ref="C25:N25" si="14">IF(C21&gt;C20,C21-C20,NA())</f>
        <v>#N/A</v>
      </c>
      <c r="D25" s="19" t="e">
        <f t="shared" si="14"/>
        <v>#N/A</v>
      </c>
      <c r="E25" s="19" t="e">
        <f t="shared" si="14"/>
        <v>#N/A</v>
      </c>
      <c r="F25" s="19" t="e">
        <f t="shared" si="14"/>
        <v>#N/A</v>
      </c>
      <c r="G25" s="19" t="e">
        <f t="shared" si="14"/>
        <v>#N/A</v>
      </c>
      <c r="H25" s="19" t="e">
        <f t="shared" si="14"/>
        <v>#N/A</v>
      </c>
      <c r="I25" s="19" t="e">
        <f t="shared" si="14"/>
        <v>#N/A</v>
      </c>
      <c r="J25" s="19" t="e">
        <f t="shared" si="14"/>
        <v>#N/A</v>
      </c>
      <c r="K25" s="19" t="e">
        <f t="shared" si="14"/>
        <v>#N/A</v>
      </c>
      <c r="L25" s="19" t="e">
        <f t="shared" si="14"/>
        <v>#N/A</v>
      </c>
      <c r="M25" s="19" t="e">
        <f t="shared" si="14"/>
        <v>#N/A</v>
      </c>
      <c r="N25" s="19" t="e">
        <f t="shared" si="14"/>
        <v>#N/A</v>
      </c>
    </row>
  </sheetData>
  <sheetProtection formatCells="0" insertHyperlinks="0" autoFilter="0"/>
  <mergeCells count="1">
    <mergeCell ref="B2:AG2"/>
  </mergeCells>
  <pageMargins left="0.699305555555556" right="0.699305555555556" top="0.75" bottom="0.75" header="0.3" footer="0.3"/>
  <pageSetup paperSize="9" orientation="portrait"/>
  <headerFooter/>
  <ignoredErrors>
    <ignoredError sqref="C7:O7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EZPSZPYEUMZAWQEW:4151291917724375246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风中花染</cp:lastModifiedBy>
  <dcterms:created xsi:type="dcterms:W3CDTF">2019-08-06T09:05:00Z</dcterms:created>
  <dcterms:modified xsi:type="dcterms:W3CDTF">2025-02-19T21:53:00Z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B31E6E54B9F64421B1E557AD59A372F8</vt:lpwstr>
  </property>
</Properties>
</file>