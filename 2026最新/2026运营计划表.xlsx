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400" activeTab="1"/>
  </bookViews>
  <sheets>
    <sheet name="产品基本信息" sheetId="1" r:id="rId1"/>
    <sheet name="产品SWOT分析" sheetId="6" r:id="rId2"/>
    <sheet name="主要竞品list" sheetId="2" r:id="rId3"/>
    <sheet name="关键词list" sheetId="3" r:id="rId4"/>
    <sheet name="广告投放策略" sheetId="4" r:id="rId5"/>
    <sheet name="产品上线准备及状态检查" sheetId="7" r:id="rId6"/>
    <sheet name="运营动作流水节拍横道图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<sst xmlns="http://schemas.openxmlformats.org/spreadsheetml/2006/main" count="367" uniqueCount="270">
  <si>
    <t>2026亚马逊运营计划表模版</t>
  </si>
  <si>
    <t>产品基本信息</t>
  </si>
  <si>
    <t>产品规划</t>
  </si>
  <si>
    <t>行业准入壁垒分析</t>
  </si>
  <si>
    <t>产品名称</t>
  </si>
  <si>
    <t>预计国内发货时间</t>
  </si>
  <si>
    <t>壁垒</t>
  </si>
  <si>
    <t>是否存在</t>
  </si>
  <si>
    <t>类型</t>
  </si>
  <si>
    <t>主要竞品痛点分析</t>
  </si>
  <si>
    <t>产品图片</t>
  </si>
  <si>
    <t>预计FBA到货时间</t>
  </si>
  <si>
    <t>IP</t>
  </si>
  <si>
    <t>否</t>
  </si>
  <si>
    <t>主要竞品</t>
  </si>
  <si>
    <t>5星</t>
  </si>
  <si>
    <t>4星</t>
  </si>
  <si>
    <t>3星</t>
  </si>
  <si>
    <t>2星</t>
  </si>
  <si>
    <t>1星</t>
  </si>
  <si>
    <t>差评率</t>
  </si>
  <si>
    <t>代码</t>
  </si>
  <si>
    <t>计划开售日期</t>
  </si>
  <si>
    <t>2026.1.1</t>
  </si>
  <si>
    <t>认证</t>
  </si>
  <si>
    <t>A</t>
  </si>
  <si>
    <t>过高的资本需要</t>
  </si>
  <si>
    <t>B</t>
  </si>
  <si>
    <t>产品建议售价</t>
  </si>
  <si>
    <t>产供销关系与商业秘密</t>
  </si>
  <si>
    <t>C</t>
  </si>
  <si>
    <t>预估利润率</t>
  </si>
  <si>
    <t>D</t>
  </si>
  <si>
    <t>替代品的替代能力</t>
  </si>
  <si>
    <t>E</t>
  </si>
  <si>
    <t>是否为季节性产品</t>
  </si>
  <si>
    <t>是否存在替代品</t>
  </si>
  <si>
    <t>季节流量高峰区间</t>
  </si>
  <si>
    <t>差评原因</t>
  </si>
  <si>
    <t>占比</t>
  </si>
  <si>
    <t>数量</t>
  </si>
  <si>
    <t>涉及代码</t>
  </si>
  <si>
    <t>痛点有无改进或优化可能</t>
  </si>
  <si>
    <t>是否存在替代方案</t>
  </si>
  <si>
    <t>替代品威胁等级</t>
  </si>
  <si>
    <t>弱</t>
  </si>
  <si>
    <t>同类产品市场体量预估</t>
  </si>
  <si>
    <t>产品核心功能</t>
  </si>
  <si>
    <t>产品级别</t>
  </si>
  <si>
    <t>分级总销量</t>
  </si>
  <si>
    <t>分级占比</t>
  </si>
  <si>
    <t>市场总体量</t>
  </si>
  <si>
    <t>产品适用场景</t>
  </si>
  <si>
    <t>大S</t>
  </si>
  <si>
    <t>中S</t>
  </si>
  <si>
    <t>小S</t>
  </si>
  <si>
    <t>目标客户定位</t>
  </si>
  <si>
    <t>年龄层次</t>
  </si>
  <si>
    <t>性别</t>
  </si>
  <si>
    <t>职业背景</t>
  </si>
  <si>
    <t>A级平均销量</t>
  </si>
  <si>
    <t>是否垄断</t>
  </si>
  <si>
    <t>家庭背景</t>
  </si>
  <si>
    <t>B级平均销量</t>
  </si>
  <si>
    <t>是否神仙打架</t>
  </si>
  <si>
    <t>生活习惯</t>
  </si>
  <si>
    <t>标志性的消费行为</t>
  </si>
  <si>
    <t>市场竞争舒适度</t>
  </si>
  <si>
    <t>预期选择的产品运营战略</t>
  </si>
  <si>
    <t>集中化战略</t>
  </si>
  <si>
    <t>特殊的社会属性</t>
  </si>
  <si>
    <t>目标市场定位</t>
  </si>
  <si>
    <t>中高层次需求小体量市场</t>
  </si>
  <si>
    <t>预开发/上架产品的竞争力</t>
  </si>
  <si>
    <t>产品是否解决了痛点</t>
  </si>
  <si>
    <t>解决的痛点</t>
  </si>
  <si>
    <t>产品是否是更优的产品方案</t>
  </si>
  <si>
    <t>产品方案</t>
  </si>
  <si>
    <t>是否采用FBA</t>
  </si>
  <si>
    <t>是否采用高性价比高实用性套装</t>
  </si>
  <si>
    <t>套装搭配方案</t>
  </si>
  <si>
    <t>能否跨过存在的进入障碍</t>
  </si>
  <si>
    <t>利润是否足够或存在产生利润空间的其它方式</t>
  </si>
  <si>
    <t>如何产生更大的利润空间</t>
  </si>
  <si>
    <t>以下Pass产品的条件一旦符合，建议放弃该产品</t>
  </si>
  <si>
    <t>无差异化的平庸产品</t>
  </si>
  <si>
    <t>存在质量问题的产品</t>
  </si>
  <si>
    <t>无利润产品</t>
  </si>
  <si>
    <t>产品SWOT分析矩阵</t>
  </si>
  <si>
    <t>内部因素</t>
  </si>
  <si>
    <t>优势S</t>
  </si>
  <si>
    <t>劣势W</t>
  </si>
  <si>
    <t>外部环境</t>
  </si>
  <si>
    <t>机会O</t>
  </si>
  <si>
    <t>SO战略（最佳突破点，发挥优势，利用机会）</t>
  </si>
  <si>
    <t>WO战略（利用机会，克服劣势）</t>
  </si>
  <si>
    <t>增长型战略</t>
  </si>
  <si>
    <t>扭转型战略</t>
  </si>
  <si>
    <t>威胁T</t>
  </si>
  <si>
    <t>ST战略（利用优势，回避威胁）</t>
  </si>
  <si>
    <t>WT战略（最大危机，减小劣势，回避威胁）</t>
  </si>
  <si>
    <t>多种经营战略</t>
  </si>
  <si>
    <t>防御型战略</t>
  </si>
  <si>
    <t>总结</t>
  </si>
  <si>
    <t>具有相对优势的A级及以上竞品</t>
  </si>
  <si>
    <t>存在相对劣势的A级及以上竞品</t>
  </si>
  <si>
    <t>不分伯仲的B级及以上高度相关同类竞品</t>
  </si>
  <si>
    <t>具有互补性或可替代性的B级及以上关联商品</t>
  </si>
  <si>
    <r>
      <rPr>
        <b/>
        <sz val="11"/>
        <color theme="0"/>
        <rFont val="微软雅黑"/>
        <charset val="134"/>
      </rPr>
      <t xml:space="preserve">考虑采取的针对性运营动作
</t>
    </r>
    <r>
      <rPr>
        <b/>
        <sz val="9"/>
        <color theme="0"/>
        <rFont val="微软雅黑"/>
        <charset val="134"/>
      </rPr>
      <t>（广告动作需列出计划使用
的广告产品代码）</t>
    </r>
  </si>
  <si>
    <t>ASIN</t>
  </si>
  <si>
    <t>分级</t>
  </si>
  <si>
    <t>属性</t>
  </si>
  <si>
    <t>大类排名</t>
  </si>
  <si>
    <t>价格</t>
  </si>
  <si>
    <t>星级</t>
  </si>
  <si>
    <t>备注（优势点）</t>
  </si>
  <si>
    <t>备注（劣势点）</t>
  </si>
  <si>
    <t>备注</t>
  </si>
  <si>
    <t>高度相关同类竞品</t>
  </si>
  <si>
    <t>相对优势弱相关潜在竞品</t>
  </si>
  <si>
    <t>中等关联相似竞品</t>
  </si>
  <si>
    <t>不分伯仲弱相关潜在竞品</t>
  </si>
  <si>
    <t>相对劣势弱相关潜在竞品</t>
  </si>
  <si>
    <t>相对优势弱相关互补竞品</t>
  </si>
  <si>
    <t>不分伯仲弱相关互补竞品</t>
  </si>
  <si>
    <t>相对劣势弱相关互补竞品</t>
  </si>
  <si>
    <t>核心热词</t>
  </si>
  <si>
    <t>中等大词</t>
  </si>
  <si>
    <t>长尾小词</t>
  </si>
  <si>
    <r>
      <rPr>
        <b/>
        <sz val="11"/>
        <color theme="0"/>
        <rFont val="微软雅黑"/>
        <charset val="134"/>
      </rPr>
      <t xml:space="preserve">关键词推广方案
</t>
    </r>
    <r>
      <rPr>
        <b/>
        <sz val="9"/>
        <color theme="0"/>
        <rFont val="微软雅黑"/>
        <charset val="134"/>
      </rPr>
      <t>（广告动作需列出计划使用
的广告产品代码）</t>
    </r>
  </si>
  <si>
    <t>关键词</t>
  </si>
  <si>
    <t>相关度</t>
  </si>
  <si>
    <t>搜索频率排名</t>
  </si>
  <si>
    <t>高度相关</t>
  </si>
  <si>
    <t>中等关联</t>
  </si>
  <si>
    <t>弱关联</t>
  </si>
  <si>
    <t>广告分析</t>
  </si>
  <si>
    <t>广告计划</t>
  </si>
  <si>
    <t>市场特点</t>
  </si>
  <si>
    <t>计划使用的广告组合</t>
  </si>
  <si>
    <t>广告产品代码</t>
  </si>
  <si>
    <t>广告类型</t>
  </si>
  <si>
    <t>预算分配比例</t>
  </si>
  <si>
    <t>每日可支配预算（$）</t>
  </si>
  <si>
    <t>每日建议曝光量</t>
  </si>
  <si>
    <t>每日建议点击量</t>
  </si>
  <si>
    <t>市场总体量（月）</t>
  </si>
  <si>
    <t>SP自动</t>
  </si>
  <si>
    <t>SPA</t>
  </si>
  <si>
    <t>SP</t>
  </si>
  <si>
    <t>广告目的</t>
  </si>
  <si>
    <t>SP手动商品定向</t>
  </si>
  <si>
    <t>SPPD</t>
  </si>
  <si>
    <t>广告投放策略选择</t>
  </si>
  <si>
    <t>保守型</t>
  </si>
  <si>
    <t>SP手动广泛</t>
  </si>
  <si>
    <t>SPB</t>
  </si>
  <si>
    <t>防御/占领型</t>
  </si>
  <si>
    <t>SP手动词组</t>
  </si>
  <si>
    <t>SPP</t>
  </si>
  <si>
    <t>重点关注指标</t>
  </si>
  <si>
    <t>SP手动精准</t>
  </si>
  <si>
    <t>SPE</t>
  </si>
  <si>
    <t>SB商品集商品定位</t>
  </si>
  <si>
    <t>SBPD</t>
  </si>
  <si>
    <t>SB</t>
  </si>
  <si>
    <t>SB商品集关键词广泛</t>
  </si>
  <si>
    <t>SBB</t>
  </si>
  <si>
    <t>广告指标</t>
  </si>
  <si>
    <t>SB商品集关键词词组</t>
  </si>
  <si>
    <t>SBP</t>
  </si>
  <si>
    <t>广告销售目标（$）</t>
  </si>
  <si>
    <t>SB商品集关键词精准</t>
  </si>
  <si>
    <t>SBE</t>
  </si>
  <si>
    <t>预计广告总花费（$）</t>
  </si>
  <si>
    <t>期望ROAS</t>
  </si>
  <si>
    <t>广告投放周期（天）</t>
  </si>
  <si>
    <t>SB焦点+Stores商品定位</t>
  </si>
  <si>
    <t>SBSPD</t>
  </si>
  <si>
    <t>SB焦点+Stores关键词广泛</t>
  </si>
  <si>
    <t>SBSB</t>
  </si>
  <si>
    <t>每日预算分配（$）</t>
  </si>
  <si>
    <t>每日点击指标</t>
  </si>
  <si>
    <t>平均建议竞价（$）</t>
  </si>
  <si>
    <t>SB焦点+Stores关键词词组</t>
  </si>
  <si>
    <t>SBSP</t>
  </si>
  <si>
    <t>SB焦点+Stores关键词精准</t>
  </si>
  <si>
    <t>SBSE</t>
  </si>
  <si>
    <t>每日曝光量指标</t>
  </si>
  <si>
    <t>期望点击率</t>
  </si>
  <si>
    <t>SBV商品定位</t>
  </si>
  <si>
    <t>SBVPD</t>
  </si>
  <si>
    <t>SBV关键词广泛</t>
  </si>
  <si>
    <t>SBVB</t>
  </si>
  <si>
    <t>SBV关键词词组</t>
  </si>
  <si>
    <t>SBVP</t>
  </si>
  <si>
    <t>SBV关键词精准</t>
  </si>
  <si>
    <t>SBVE</t>
  </si>
  <si>
    <t>SD商品投放</t>
  </si>
  <si>
    <t>SDP</t>
  </si>
  <si>
    <t>SD</t>
  </si>
  <si>
    <t>SD受众</t>
  </si>
  <si>
    <t>SDA</t>
  </si>
  <si>
    <t>Posts</t>
  </si>
  <si>
    <t>PO</t>
  </si>
  <si>
    <t>自行填写</t>
  </si>
  <si>
    <t>计算区域，无需填写</t>
  </si>
  <si>
    <t>产品上线前的检查工作</t>
  </si>
  <si>
    <t>价格检查利润核算</t>
  </si>
  <si>
    <t>Nope</t>
  </si>
  <si>
    <t>B2B价格设置</t>
  </si>
  <si>
    <t>文本显示</t>
  </si>
  <si>
    <t>未显示</t>
  </si>
  <si>
    <t>市场建议价设置</t>
  </si>
  <si>
    <t>B2B折扣设置</t>
  </si>
  <si>
    <t>Done</t>
  </si>
  <si>
    <t>图片显示</t>
  </si>
  <si>
    <t>最大订单数量设置</t>
  </si>
  <si>
    <t>亚马逊配送费核算</t>
  </si>
  <si>
    <t>A+显示</t>
  </si>
  <si>
    <t>礼品设置</t>
  </si>
  <si>
    <t>Search Terms 填写</t>
  </si>
  <si>
    <t>视频显示</t>
  </si>
  <si>
    <t>上架天数</t>
  </si>
  <si>
    <t>每日产品状态检查</t>
  </si>
  <si>
    <t>后台销售状态</t>
  </si>
  <si>
    <t>在售</t>
  </si>
  <si>
    <t>不可售</t>
  </si>
  <si>
    <t>禁止显示</t>
  </si>
  <si>
    <t>前台ASIN搜索测试</t>
  </si>
  <si>
    <t>正常显示</t>
  </si>
  <si>
    <t>七日均量库存预警</t>
  </si>
  <si>
    <t>充足</t>
  </si>
  <si>
    <t>预警</t>
  </si>
  <si>
    <t>告急</t>
  </si>
  <si>
    <t>缺货</t>
  </si>
  <si>
    <t>Review星级</t>
  </si>
  <si>
    <t>≥4.5</t>
  </si>
  <si>
    <t>≥4</t>
  </si>
  <si>
    <t>≥3.8</t>
  </si>
  <si>
    <t>≥3.3</t>
  </si>
  <si>
    <t>＜3.3</t>
  </si>
  <si>
    <t>是否被跟卖</t>
  </si>
  <si>
    <t>是</t>
  </si>
  <si>
    <t>购物车状态是否正常</t>
  </si>
  <si>
    <t>实际关键指标表现</t>
  </si>
  <si>
    <t>每日点击量</t>
  </si>
  <si>
    <t>转化率</t>
  </si>
  <si>
    <t>每日销量</t>
  </si>
  <si>
    <t>广告销售订单</t>
  </si>
  <si>
    <t>计划关键指标表现</t>
  </si>
  <si>
    <t>运营动作流水节拍横道图</t>
  </si>
  <si>
    <t>运营动作
（设置活动需标明活动折扣+预期活动出单量；若实际动作或表现不如预期，需在相应日期格中标注原因）</t>
  </si>
  <si>
    <t>Coupon</t>
  </si>
  <si>
    <t>Vine+</t>
  </si>
  <si>
    <t>LD</t>
  </si>
  <si>
    <t>DOTD</t>
  </si>
  <si>
    <t>7DD/BD</t>
  </si>
  <si>
    <t>Prime ED</t>
  </si>
  <si>
    <t>MPC</t>
  </si>
  <si>
    <t>PC</t>
  </si>
  <si>
    <t>RTest</t>
  </si>
  <si>
    <t>NTest</t>
  </si>
  <si>
    <t>QA+FTest</t>
  </si>
  <si>
    <t>Request Review</t>
  </si>
  <si>
    <t>New Version</t>
  </si>
  <si>
    <t>Bundling</t>
  </si>
  <si>
    <t>Merge V Listing</t>
  </si>
  <si>
    <t>Merge P&amp;C</t>
  </si>
  <si>
    <t>Delete N Review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</si>
</sst>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&quot;年&quot;m&quot;月&quot;d&quot;日&quot;;@"/>
    <numFmt numFmtId="178" formatCode="0.00_ "/>
  </numFmts>
  <fonts count="35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9"/>
      <color theme="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rgb="FFFFFFFF"/>
      <name val="微软雅黑"/>
      <charset val="134"/>
    </font>
    <font>
      <sz val="11"/>
      <color rgb="FF000000"/>
      <name val="微软雅黑"/>
      <charset val="134"/>
    </font>
    <font>
      <b/>
      <sz val="24"/>
      <color theme="1"/>
      <name val="微软雅黑"/>
      <charset val="134"/>
    </font>
    <font>
      <b/>
      <sz val="16"/>
      <color theme="0"/>
      <name val="微软雅黑"/>
      <charset val="134"/>
    </font>
    <font>
      <b/>
      <sz val="14"/>
      <color theme="0"/>
      <name val="微软雅黑"/>
      <charset val="134"/>
    </font>
    <font>
      <b/>
      <sz val="26"/>
      <color theme="1"/>
      <name val="微软雅黑"/>
      <charset val="134"/>
    </font>
    <font>
      <b/>
      <sz val="36"/>
      <color theme="0"/>
      <name val="微软雅黑"/>
      <charset val="134"/>
    </font>
    <font>
      <b/>
      <sz val="11"/>
      <color rgb="FF000000"/>
      <name val="微软雅黑"/>
      <charset val="134"/>
    </font>
    <font>
      <b/>
      <sz val="36"/>
      <color theme="1"/>
      <name val="微软雅黑"/>
      <charset val="134"/>
    </font>
    <font>
      <b/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theme="7" tint="0.799951170384838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"/>
        <bgColor theme="0" tint="-0.1499679555650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02623"/>
        <bgColor indexed="64"/>
      </patternFill>
    </fill>
    <fill>
      <patternFill patternType="solid">
        <fgColor rgb="FFC76664"/>
        <bgColor indexed="64"/>
      </patternFill>
    </fill>
    <fill>
      <patternFill patternType="solid">
        <fgColor rgb="FF1FAA84"/>
        <bgColor indexed="64"/>
      </patternFill>
    </fill>
    <fill>
      <patternFill patternType="solid">
        <fgColor rgb="FF61C3A8"/>
        <bgColor indexed="64"/>
      </patternFill>
    </fill>
    <fill>
      <patternFill patternType="solid">
        <fgColor rgb="FF1C91A0"/>
        <bgColor indexed="64"/>
      </patternFill>
    </fill>
    <fill>
      <patternFill patternType="solid">
        <fgColor rgb="FFFBB448"/>
        <bgColor indexed="64"/>
      </patternFill>
    </fill>
    <fill>
      <patternFill patternType="solid">
        <fgColor rgb="FF5FB1BC"/>
        <bgColor indexed="64"/>
      </patternFill>
    </fill>
    <fill>
      <patternFill patternType="solid">
        <fgColor rgb="FFFCCA7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6C0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theme="7" tint="0.399945066682943"/>
      </left>
      <right style="thin">
        <color theme="7" tint="0.399945066682943"/>
      </right>
      <top style="thin">
        <color auto="1"/>
      </top>
      <bottom style="thin">
        <color theme="7" tint="0.399945066682943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theme="7" tint="0.399945066682943"/>
      </left>
      <right style="thin">
        <color theme="7" tint="0.399945066682943"/>
      </right>
      <top style="thin">
        <color theme="7" tint="0.399945066682943"/>
      </top>
      <bottom style="thin">
        <color theme="7" tint="0.399945066682943"/>
      </bottom>
      <diagonal/>
    </border>
    <border>
      <left style="thin">
        <color auto="1"/>
      </left>
      <right/>
      <top style="thin">
        <color theme="0"/>
      </top>
      <bottom style="thin">
        <color auto="1"/>
      </bottom>
      <diagonal/>
    </border>
    <border>
      <left style="thin">
        <color theme="7" tint="0.399945066682943"/>
      </left>
      <right style="thin">
        <color theme="7" tint="0.399945066682943"/>
      </right>
      <top style="thin">
        <color theme="7" tint="0.399945066682943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7" tint="0.399945066682943"/>
      </left>
      <right style="thin">
        <color auto="1"/>
      </right>
      <top style="thin">
        <color auto="1"/>
      </top>
      <bottom style="thin">
        <color theme="7" tint="0.399945066682943"/>
      </bottom>
      <diagonal/>
    </border>
    <border>
      <left style="thin">
        <color theme="7" tint="0.399945066682943"/>
      </left>
      <right style="thin">
        <color auto="1"/>
      </right>
      <top style="thin">
        <color theme="7" tint="0.399945066682943"/>
      </top>
      <bottom style="thin">
        <color theme="7" tint="0.399945066682943"/>
      </bottom>
      <diagonal/>
    </border>
    <border>
      <left style="thin">
        <color theme="7" tint="0.399945066682943"/>
      </left>
      <right style="thin">
        <color auto="1"/>
      </right>
      <top style="thin">
        <color theme="7" tint="0.399945066682943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rgb="FFFFC000"/>
      </left>
      <right style="thin">
        <color auto="1"/>
      </right>
      <top/>
      <bottom style="thin">
        <color rgb="FFFFC000"/>
      </bottom>
      <diagonal/>
    </border>
    <border>
      <left style="thin">
        <color rgb="FFFFC000"/>
      </left>
      <right style="thin">
        <color auto="1"/>
      </right>
      <top style="thin">
        <color rgb="FFFFC000"/>
      </top>
      <bottom style="thin">
        <color rgb="FFFFC00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rgb="FFFFC000"/>
      </right>
      <top style="thin">
        <color rgb="FFFFC000"/>
      </top>
      <bottom style="thin">
        <color auto="1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auto="1"/>
      </bottom>
      <diagonal/>
    </border>
    <border>
      <left style="thin">
        <color rgb="FFFFC000"/>
      </left>
      <right style="thin">
        <color auto="1"/>
      </right>
      <top style="thin">
        <color rgb="FFFFC000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 style="thin">
        <color auto="1"/>
      </top>
      <bottom/>
      <diagonal/>
    </border>
    <border>
      <left style="thin">
        <color rgb="FFA6A6A6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auto="1"/>
      </top>
      <bottom style="thin">
        <color theme="0" tint="-0.249977111117893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 tint="-0.249977111117893"/>
      </left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auto="1"/>
      </right>
      <top style="thin">
        <color theme="0" tint="-0.249977111117893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auto="1"/>
      </left>
      <right style="thin">
        <color theme="0" tint="-0.349986266670736"/>
      </right>
      <top style="thin">
        <color auto="1"/>
      </top>
      <bottom/>
      <diagonal/>
    </border>
    <border>
      <left style="thin">
        <color auto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6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auto="1"/>
      </top>
      <bottom/>
      <diagonal/>
    </border>
    <border>
      <left/>
      <right style="thin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theme="0" tint="-0.249977111117893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149998474074526"/>
      </left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/>
      <top style="thin">
        <color theme="0" tint="-0.149998474074526"/>
      </top>
      <bottom style="thin">
        <color theme="0" tint="-0.149998474074526"/>
      </bottom>
      <diagonal/>
    </border>
    <border>
      <left/>
      <right/>
      <top style="thin">
        <color theme="0" tint="-0.149998474074526"/>
      </top>
      <bottom style="thin">
        <color theme="0" tint="-0.149998474074526"/>
      </bottom>
      <diagonal/>
    </border>
    <border>
      <left/>
      <right style="thin">
        <color theme="0" tint="-0.149998474074526"/>
      </right>
      <top style="thin">
        <color theme="0" tint="-0.149998474074526"/>
      </top>
      <bottom style="thin">
        <color theme="0" tint="-0.149998474074526"/>
      </bottom>
      <diagonal/>
    </border>
    <border>
      <left style="thin">
        <color theme="0" tint="-0.149998474074526"/>
      </left>
      <right style="thin">
        <color theme="0" tint="-0.149998474074526"/>
      </right>
      <top/>
      <bottom style="thin">
        <color theme="0" tint="-0.149998474074526"/>
      </bottom>
      <diagonal/>
    </border>
    <border diagonalDown="1">
      <left style="medium">
        <color auto="1"/>
      </left>
      <right/>
      <top style="medium">
        <color auto="1"/>
      </top>
      <bottom/>
      <diagonal style="thin">
        <color theme="0"/>
      </diagonal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 diagonalDown="1">
      <left/>
      <right/>
      <top/>
      <bottom/>
      <diagonal style="thin">
        <color theme="0"/>
      </diagonal>
    </border>
    <border>
      <left style="medium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149998474074526"/>
      </left>
      <right/>
      <top style="thin">
        <color theme="0" tint="-0.149998474074526"/>
      </top>
      <bottom/>
      <diagonal/>
    </border>
    <border>
      <left/>
      <right/>
      <top style="thin">
        <color theme="0" tint="-0.149998474074526"/>
      </top>
      <bottom/>
      <diagonal/>
    </border>
    <border>
      <left/>
      <right style="thin">
        <color theme="0" tint="-0.149998474074526"/>
      </right>
      <top style="thin">
        <color theme="0" tint="-0.149998474074526"/>
      </top>
      <bottom/>
      <diagonal/>
    </border>
    <border>
      <left style="thin">
        <color theme="0" tint="-0.149998474074526"/>
      </left>
      <right/>
      <top/>
      <bottom style="thin">
        <color theme="0" tint="-0.149998474074526"/>
      </bottom>
      <diagonal/>
    </border>
    <border>
      <left/>
      <right/>
      <top/>
      <bottom style="thin">
        <color theme="0" tint="-0.149998474074526"/>
      </bottom>
      <diagonal/>
    </border>
    <border>
      <left/>
      <right style="thin">
        <color theme="0" tint="-0.149998474074526"/>
      </right>
      <top/>
      <bottom style="thin">
        <color theme="0" tint="-0.149998474074526"/>
      </bottom>
      <diagonal/>
    </border>
    <border>
      <left style="thin">
        <color theme="0" tint="-0.149998474074526"/>
      </left>
      <right/>
      <top/>
      <bottom style="medium">
        <color auto="1"/>
      </bottom>
      <diagonal/>
    </border>
    <border>
      <left/>
      <right style="thin">
        <color theme="0" tint="-0.149998474074526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 style="medium">
        <color auto="1"/>
      </right>
      <top/>
      <bottom/>
      <diagonal/>
    </border>
    <border>
      <left style="thin">
        <color theme="0" tint="-0.149998474074526"/>
      </left>
      <right style="medium">
        <color auto="1"/>
      </right>
      <top style="thin">
        <color theme="0" tint="-0.149998474074526"/>
      </top>
      <bottom style="thin">
        <color theme="0" tint="-0.149998474074526"/>
      </bottom>
      <diagonal/>
    </border>
    <border>
      <left/>
      <right style="medium">
        <color auto="1"/>
      </right>
      <top style="thin">
        <color theme="0" tint="-0.149998474074526"/>
      </top>
      <bottom/>
      <diagonal/>
    </border>
    <border>
      <left/>
      <right style="medium">
        <color auto="1"/>
      </right>
      <top/>
      <bottom style="thin">
        <color theme="0" tint="-0.149998474074526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auto="1"/>
      </top>
      <bottom style="thin">
        <color rgb="FFA6A6A6"/>
      </bottom>
      <diagonal/>
    </border>
    <border>
      <left style="thin">
        <color auto="1"/>
      </left>
      <right/>
      <top style="thin">
        <color rgb="FFA6A6A6"/>
      </top>
      <bottom/>
      <diagonal/>
    </border>
    <border>
      <left style="thin">
        <color rgb="FFA6A6A6"/>
      </left>
      <right style="thin">
        <color auto="1"/>
      </right>
      <top style="thin">
        <color rgb="FFA6A6A6"/>
      </top>
      <bottom/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/>
      <bottom/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auto="1"/>
      </bottom>
      <diagonal/>
    </border>
    <border>
      <left style="thin">
        <color rgb="FFA6A6A6"/>
      </left>
      <right style="thin">
        <color auto="1"/>
      </right>
      <top/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auto="1"/>
      </bottom>
      <diagonal/>
    </border>
    <border>
      <left style="thin">
        <color auto="1"/>
      </left>
      <right style="thin">
        <color rgb="FFA6A6A6"/>
      </right>
      <top/>
      <bottom style="thin">
        <color rgb="FFA6A6A6"/>
      </bottom>
      <diagonal/>
    </border>
    <border>
      <left style="thin">
        <color rgb="FF000000"/>
      </left>
      <right style="thin">
        <color rgb="FFA6A6A6"/>
      </right>
      <top style="thin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auto="1"/>
      </top>
      <bottom style="thin">
        <color rgb="FFA6A6A6"/>
      </bottom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 style="thin">
        <color rgb="FF000000"/>
      </top>
      <bottom style="thin">
        <color rgb="FFA6A6A6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auto="1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A6A6A6"/>
      </right>
      <top style="thin">
        <color rgb="FFA6A6A6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/>
      <right style="thin">
        <color rgb="FF00000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1" borderId="12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6" applyNumberFormat="0" applyFill="0" applyAlignment="0" applyProtection="0">
      <alignment vertical="center"/>
    </xf>
    <xf numFmtId="0" fontId="22" fillId="0" borderId="126" applyNumberFormat="0" applyFill="0" applyAlignment="0" applyProtection="0">
      <alignment vertical="center"/>
    </xf>
    <xf numFmtId="0" fontId="23" fillId="0" borderId="12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128" applyNumberFormat="0" applyAlignment="0" applyProtection="0">
      <alignment vertical="center"/>
    </xf>
    <xf numFmtId="0" fontId="25" fillId="33" borderId="129" applyNumberFormat="0" applyAlignment="0" applyProtection="0">
      <alignment vertical="center"/>
    </xf>
    <xf numFmtId="0" fontId="26" fillId="33" borderId="128" applyNumberFormat="0" applyAlignment="0" applyProtection="0">
      <alignment vertical="center"/>
    </xf>
    <xf numFmtId="0" fontId="27" fillId="34" borderId="130" applyNumberFormat="0" applyAlignment="0" applyProtection="0">
      <alignment vertical="center"/>
    </xf>
    <xf numFmtId="0" fontId="28" fillId="0" borderId="131" applyNumberFormat="0" applyFill="0" applyAlignment="0" applyProtection="0">
      <alignment vertical="center"/>
    </xf>
    <xf numFmtId="0" fontId="29" fillId="0" borderId="132" applyNumberFormat="0" applyFill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  <xf numFmtId="0" fontId="33" fillId="54" borderId="0" applyNumberFormat="0" applyBorder="0" applyAlignment="0" applyProtection="0">
      <alignment vertical="center"/>
    </xf>
    <xf numFmtId="0" fontId="34" fillId="55" borderId="0" applyNumberFormat="0" applyBorder="0" applyAlignment="0" applyProtection="0">
      <alignment vertical="center"/>
    </xf>
    <xf numFmtId="0" fontId="34" fillId="56" borderId="0" applyNumberFormat="0" applyBorder="0" applyAlignment="0" applyProtection="0">
      <alignment vertical="center"/>
    </xf>
    <xf numFmtId="0" fontId="33" fillId="57" borderId="0" applyNumberFormat="0" applyBorder="0" applyAlignment="0" applyProtection="0">
      <alignment vertical="center"/>
    </xf>
    <xf numFmtId="0" fontId="33" fillId="58" borderId="0" applyNumberFormat="0" applyBorder="0" applyAlignment="0" applyProtection="0">
      <alignment vertical="center"/>
    </xf>
    <xf numFmtId="0" fontId="34" fillId="59" borderId="0" applyNumberFormat="0" applyBorder="0" applyAlignment="0" applyProtection="0">
      <alignment vertical="center"/>
    </xf>
    <xf numFmtId="0" fontId="34" fillId="60" borderId="0" applyNumberFormat="0" applyBorder="0" applyAlignment="0" applyProtection="0">
      <alignment vertical="center"/>
    </xf>
    <xf numFmtId="0" fontId="33" fillId="61" borderId="0" applyNumberFormat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0" fontId="3" fillId="2" borderId="3" xfId="0" applyNumberFormat="1" applyFont="1" applyFill="1" applyBorder="1" applyAlignment="1">
      <alignment horizontal="center" vertical="center"/>
    </xf>
    <xf numFmtId="10" fontId="1" fillId="3" borderId="4" xfId="0" applyNumberFormat="1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176" fontId="1" fillId="3" borderId="4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1" fillId="3" borderId="6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9" fontId="2" fillId="4" borderId="11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9" fontId="2" fillId="4" borderId="14" xfId="0" applyNumberFormat="1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0" fontId="1" fillId="3" borderId="16" xfId="0" applyNumberFormat="1" applyFont="1" applyFill="1" applyBorder="1" applyAlignment="1">
      <alignment horizontal="center" vertical="center"/>
    </xf>
    <xf numFmtId="176" fontId="1" fillId="0" borderId="16" xfId="0" applyNumberFormat="1" applyFont="1" applyBorder="1" applyAlignment="1">
      <alignment horizontal="center" vertical="center"/>
    </xf>
    <xf numFmtId="176" fontId="1" fillId="3" borderId="16" xfId="0" applyNumberFormat="1" applyFont="1" applyFill="1" applyBorder="1" applyAlignment="1">
      <alignment horizontal="center" vertical="center"/>
    </xf>
    <xf numFmtId="176" fontId="1" fillId="3" borderId="17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77" fontId="7" fillId="0" borderId="26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7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2" fillId="10" borderId="38" xfId="0" applyFont="1" applyFill="1" applyBorder="1" applyAlignment="1">
      <alignment horizontal="center" vertical="center"/>
    </xf>
    <xf numFmtId="0" fontId="2" fillId="10" borderId="39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6" fillId="7" borderId="40" xfId="0" applyFont="1" applyFill="1" applyBorder="1" applyAlignment="1">
      <alignment horizontal="center" vertical="center"/>
    </xf>
    <xf numFmtId="0" fontId="2" fillId="10" borderId="41" xfId="0" applyFont="1" applyFill="1" applyBorder="1" applyAlignment="1">
      <alignment horizontal="center" vertical="center"/>
    </xf>
    <xf numFmtId="0" fontId="2" fillId="10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5" fillId="8" borderId="46" xfId="0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horizontal="center" vertical="center"/>
    </xf>
    <xf numFmtId="0" fontId="2" fillId="10" borderId="48" xfId="0" applyFont="1" applyFill="1" applyBorder="1" applyAlignment="1">
      <alignment horizontal="center" vertical="center"/>
    </xf>
    <xf numFmtId="0" fontId="2" fillId="9" borderId="48" xfId="0" applyFont="1" applyFill="1" applyBorder="1" applyAlignment="1">
      <alignment horizontal="center" vertical="center"/>
    </xf>
    <xf numFmtId="0" fontId="2" fillId="10" borderId="49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6" fillId="7" borderId="50" xfId="0" applyFont="1" applyFill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6" fillId="7" borderId="51" xfId="0" applyFont="1" applyFill="1" applyBorder="1" applyAlignment="1">
      <alignment horizontal="center" vertical="center"/>
    </xf>
    <xf numFmtId="0" fontId="6" fillId="7" borderId="52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2" fillId="11" borderId="31" xfId="0" applyFont="1" applyFill="1" applyBorder="1" applyAlignment="1">
      <alignment horizontal="center" vertical="center"/>
    </xf>
    <xf numFmtId="178" fontId="2" fillId="0" borderId="31" xfId="0" applyNumberFormat="1" applyFont="1" applyBorder="1" applyAlignment="1">
      <alignment horizontal="center" vertical="center"/>
    </xf>
    <xf numFmtId="10" fontId="2" fillId="0" borderId="31" xfId="0" applyNumberFormat="1" applyFont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12" borderId="54" xfId="0" applyFont="1" applyFill="1" applyBorder="1" applyAlignment="1">
      <alignment horizontal="center" vertical="center"/>
    </xf>
    <xf numFmtId="0" fontId="2" fillId="12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6" fillId="7" borderId="55" xfId="0" applyFont="1" applyFill="1" applyBorder="1" applyAlignment="1">
      <alignment horizontal="center" vertical="center"/>
    </xf>
    <xf numFmtId="0" fontId="6" fillId="7" borderId="29" xfId="0" applyFont="1" applyFill="1" applyBorder="1" applyAlignment="1">
      <alignment horizontal="center" vertical="center"/>
    </xf>
    <xf numFmtId="0" fontId="6" fillId="7" borderId="56" xfId="0" applyFont="1" applyFill="1" applyBorder="1" applyAlignment="1">
      <alignment horizontal="center" vertical="center"/>
    </xf>
    <xf numFmtId="0" fontId="2" fillId="13" borderId="57" xfId="0" applyFont="1" applyFill="1" applyBorder="1" applyAlignment="1">
      <alignment horizontal="center" vertical="center"/>
    </xf>
    <xf numFmtId="9" fontId="2" fillId="0" borderId="58" xfId="0" applyNumberFormat="1" applyFont="1" applyBorder="1" applyAlignment="1">
      <alignment horizontal="center" vertical="center"/>
    </xf>
    <xf numFmtId="176" fontId="2" fillId="0" borderId="54" xfId="0" applyNumberFormat="1" applyFont="1" applyBorder="1" applyAlignment="1">
      <alignment horizontal="center" vertical="center"/>
    </xf>
    <xf numFmtId="176" fontId="2" fillId="0" borderId="31" xfId="0" applyNumberFormat="1" applyFont="1" applyBorder="1" applyAlignment="1">
      <alignment horizontal="center" vertical="center"/>
    </xf>
    <xf numFmtId="9" fontId="2" fillId="12" borderId="57" xfId="0" applyNumberFormat="1" applyFont="1" applyFill="1" applyBorder="1" applyAlignment="1">
      <alignment horizontal="center" vertical="center"/>
    </xf>
    <xf numFmtId="176" fontId="2" fillId="12" borderId="54" xfId="0" applyNumberFormat="1" applyFont="1" applyFill="1" applyBorder="1" applyAlignment="1">
      <alignment horizontal="center" vertical="center"/>
    </xf>
    <xf numFmtId="176" fontId="2" fillId="12" borderId="31" xfId="0" applyNumberFormat="1" applyFont="1" applyFill="1" applyBorder="1" applyAlignment="1">
      <alignment horizontal="center" vertical="center"/>
    </xf>
    <xf numFmtId="9" fontId="2" fillId="0" borderId="57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176" fontId="2" fillId="0" borderId="44" xfId="0" applyNumberFormat="1" applyFont="1" applyBorder="1" applyAlignment="1">
      <alignment horizontal="center" vertical="center"/>
    </xf>
    <xf numFmtId="176" fontId="2" fillId="12" borderId="44" xfId="0" applyNumberFormat="1" applyFont="1" applyFill="1" applyBorder="1" applyAlignment="1">
      <alignment horizontal="center" vertical="center"/>
    </xf>
    <xf numFmtId="176" fontId="2" fillId="0" borderId="59" xfId="0" applyNumberFormat="1" applyFont="1" applyBorder="1" applyAlignment="1">
      <alignment horizontal="center" vertical="center"/>
    </xf>
    <xf numFmtId="0" fontId="5" fillId="8" borderId="60" xfId="0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horizontal="center" vertical="center" wrapText="1"/>
    </xf>
    <xf numFmtId="0" fontId="4" fillId="13" borderId="62" xfId="0" applyFont="1" applyFill="1" applyBorder="1" applyAlignment="1">
      <alignment horizontal="center" vertical="center"/>
    </xf>
    <xf numFmtId="0" fontId="4" fillId="13" borderId="63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5" fillId="8" borderId="63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14" borderId="65" xfId="0" applyFont="1" applyFill="1" applyBorder="1" applyAlignment="1">
      <alignment horizontal="center" vertical="center"/>
    </xf>
    <xf numFmtId="0" fontId="9" fillId="14" borderId="66" xfId="0" applyFont="1" applyFill="1" applyBorder="1" applyAlignment="1">
      <alignment horizontal="center" vertical="center"/>
    </xf>
    <xf numFmtId="0" fontId="2" fillId="14" borderId="67" xfId="0" applyFont="1" applyFill="1" applyBorder="1">
      <alignment vertical="center"/>
    </xf>
    <xf numFmtId="0" fontId="2" fillId="14" borderId="68" xfId="0" applyFont="1" applyFill="1" applyBorder="1">
      <alignment vertical="center"/>
    </xf>
    <xf numFmtId="0" fontId="2" fillId="14" borderId="0" xfId="0" applyFont="1" applyFill="1">
      <alignment vertical="center"/>
    </xf>
    <xf numFmtId="0" fontId="9" fillId="14" borderId="67" xfId="0" applyFont="1" applyFill="1" applyBorder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9" fillId="15" borderId="67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10" fillId="16" borderId="69" xfId="0" applyFont="1" applyFill="1" applyBorder="1" applyAlignment="1">
      <alignment horizontal="center" vertical="center"/>
    </xf>
    <xf numFmtId="0" fontId="10" fillId="16" borderId="70" xfId="0" applyFont="1" applyFill="1" applyBorder="1" applyAlignment="1">
      <alignment horizontal="center" vertical="center"/>
    </xf>
    <xf numFmtId="0" fontId="10" fillId="16" borderId="71" xfId="0" applyFont="1" applyFill="1" applyBorder="1" applyAlignment="1">
      <alignment horizontal="center" vertical="center"/>
    </xf>
    <xf numFmtId="0" fontId="10" fillId="16" borderId="67" xfId="0" applyFont="1" applyFill="1" applyBorder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6" borderId="72" xfId="0" applyFont="1" applyFill="1" applyBorder="1" applyAlignment="1">
      <alignment horizontal="center" vertical="center"/>
    </xf>
    <xf numFmtId="0" fontId="9" fillId="17" borderId="67" xfId="0" applyFont="1" applyFill="1" applyBorder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10" fillId="18" borderId="67" xfId="0" applyFont="1" applyFill="1" applyBorder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0" fillId="18" borderId="73" xfId="0" applyFont="1" applyFill="1" applyBorder="1" applyAlignment="1">
      <alignment horizontal="center" vertical="center"/>
    </xf>
    <xf numFmtId="0" fontId="10" fillId="18" borderId="74" xfId="0" applyFont="1" applyFill="1" applyBorder="1" applyAlignment="1">
      <alignment horizontal="center" vertical="center"/>
    </xf>
    <xf numFmtId="0" fontId="9" fillId="19" borderId="66" xfId="0" applyFont="1" applyFill="1" applyBorder="1" applyAlignment="1">
      <alignment horizontal="center" vertical="center"/>
    </xf>
    <xf numFmtId="0" fontId="9" fillId="20" borderId="66" xfId="0" applyFont="1" applyFill="1" applyBorder="1" applyAlignment="1">
      <alignment horizontal="center" vertical="center"/>
    </xf>
    <xf numFmtId="0" fontId="10" fillId="21" borderId="70" xfId="0" applyFont="1" applyFill="1" applyBorder="1" applyAlignment="1">
      <alignment horizontal="center" vertical="center"/>
    </xf>
    <xf numFmtId="0" fontId="10" fillId="21" borderId="71" xfId="0" applyFont="1" applyFill="1" applyBorder="1" applyAlignment="1">
      <alignment horizontal="center" vertical="center"/>
    </xf>
    <xf numFmtId="0" fontId="10" fillId="22" borderId="70" xfId="0" applyFont="1" applyFill="1" applyBorder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0" fillId="21" borderId="72" xfId="0" applyFont="1" applyFill="1" applyBorder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5" fillId="23" borderId="60" xfId="0" applyFont="1" applyFill="1" applyBorder="1" applyAlignment="1">
      <alignment horizontal="center" vertical="center"/>
    </xf>
    <xf numFmtId="0" fontId="5" fillId="24" borderId="60" xfId="0" applyFont="1" applyFill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7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5" fillId="25" borderId="60" xfId="0" applyFont="1" applyFill="1" applyBorder="1" applyAlignment="1">
      <alignment horizontal="center" vertical="center"/>
    </xf>
    <xf numFmtId="0" fontId="5" fillId="26" borderId="60" xfId="0" applyFont="1" applyFill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7" borderId="83" xfId="0" applyFont="1" applyFill="1" applyBorder="1" applyAlignment="1">
      <alignment horizontal="center" vertical="center"/>
    </xf>
    <xf numFmtId="0" fontId="9" fillId="20" borderId="84" xfId="0" applyFont="1" applyFill="1" applyBorder="1" applyAlignment="1">
      <alignment horizontal="center" vertical="center"/>
    </xf>
    <xf numFmtId="0" fontId="10" fillId="22" borderId="85" xfId="0" applyFont="1" applyFill="1" applyBorder="1" applyAlignment="1">
      <alignment horizontal="center" vertical="center"/>
    </xf>
    <xf numFmtId="0" fontId="10" fillId="22" borderId="86" xfId="0" applyFont="1" applyFill="1" applyBorder="1" applyAlignment="1">
      <alignment horizontal="center" vertical="center"/>
    </xf>
    <xf numFmtId="0" fontId="5" fillId="24" borderId="87" xfId="0" applyFont="1" applyFill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5" fillId="26" borderId="87" xfId="0" applyFont="1" applyFill="1" applyBorder="1" applyAlignment="1">
      <alignment horizontal="center" vertical="center"/>
    </xf>
    <xf numFmtId="0" fontId="2" fillId="0" borderId="90" xfId="0" applyFont="1" applyBorder="1" applyAlignment="1">
      <alignment horizontal="center" vertical="center"/>
    </xf>
    <xf numFmtId="0" fontId="12" fillId="6" borderId="83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7" borderId="91" xfId="0" applyFont="1" applyFill="1" applyBorder="1" applyAlignment="1">
      <alignment horizontal="center" vertical="center"/>
    </xf>
    <xf numFmtId="0" fontId="7" fillId="0" borderId="92" xfId="0" applyFont="1" applyBorder="1" applyAlignment="1">
      <alignment horizontal="center" vertical="center"/>
    </xf>
    <xf numFmtId="0" fontId="6" fillId="7" borderId="93" xfId="0" applyFont="1" applyFill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6" fillId="7" borderId="95" xfId="0" applyFont="1" applyFill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7" fillId="0" borderId="96" xfId="0" applyFont="1" applyBorder="1" applyAlignment="1">
      <alignment horizontal="center" vertical="center"/>
    </xf>
    <xf numFmtId="0" fontId="6" fillId="6" borderId="95" xfId="0" applyFont="1" applyFill="1" applyBorder="1" applyAlignment="1">
      <alignment horizontal="center" vertical="center"/>
    </xf>
    <xf numFmtId="0" fontId="2" fillId="0" borderId="30" xfId="0" applyFont="1" applyBorder="1">
      <alignment vertical="center"/>
    </xf>
    <xf numFmtId="0" fontId="6" fillId="7" borderId="97" xfId="0" applyFont="1" applyFill="1" applyBorder="1" applyAlignment="1">
      <alignment horizontal="center" vertical="center"/>
    </xf>
    <xf numFmtId="0" fontId="7" fillId="0" borderId="9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28" borderId="101" xfId="0" applyFont="1" applyFill="1" applyBorder="1" applyAlignment="1">
      <alignment horizontal="center" vertical="center"/>
    </xf>
    <xf numFmtId="0" fontId="7" fillId="28" borderId="95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6" fillId="7" borderId="102" xfId="0" applyFont="1" applyFill="1" applyBorder="1" applyAlignment="1">
      <alignment horizontal="center" vertical="center"/>
    </xf>
    <xf numFmtId="177" fontId="7" fillId="0" borderId="92" xfId="0" applyNumberFormat="1" applyFont="1" applyBorder="1" applyAlignment="1">
      <alignment horizontal="center" vertical="center"/>
    </xf>
    <xf numFmtId="0" fontId="6" fillId="7" borderId="103" xfId="0" applyFont="1" applyFill="1" applyBorder="1" applyAlignment="1">
      <alignment horizontal="center" vertical="center"/>
    </xf>
    <xf numFmtId="177" fontId="7" fillId="0" borderId="99" xfId="0" applyNumberFormat="1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2" fillId="0" borderId="106" xfId="0" applyFont="1" applyBorder="1">
      <alignment vertical="center"/>
    </xf>
    <xf numFmtId="0" fontId="7" fillId="0" borderId="107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10" fontId="7" fillId="0" borderId="99" xfId="0" applyNumberFormat="1" applyFont="1" applyBorder="1" applyAlignment="1">
      <alignment horizontal="center" vertical="center"/>
    </xf>
    <xf numFmtId="0" fontId="7" fillId="28" borderId="109" xfId="0" applyFont="1" applyFill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6" fillId="7" borderId="92" xfId="0" applyFont="1" applyFill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0" fontId="7" fillId="28" borderId="111" xfId="0" applyNumberFormat="1" applyFont="1" applyFill="1" applyBorder="1" applyAlignment="1">
      <alignment horizontal="center" vertical="center"/>
    </xf>
    <xf numFmtId="0" fontId="7" fillId="28" borderId="98" xfId="0" applyFont="1" applyFill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10" fontId="7" fillId="28" borderId="112" xfId="0" applyNumberFormat="1" applyFont="1" applyFill="1" applyBorder="1" applyAlignment="1">
      <alignment horizontal="center" vertical="center"/>
    </xf>
    <xf numFmtId="0" fontId="7" fillId="28" borderId="1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12" xfId="0" applyFont="1" applyFill="1" applyBorder="1" applyAlignment="1">
      <alignment horizontal="center" vertical="center"/>
    </xf>
    <xf numFmtId="0" fontId="7" fillId="28" borderId="99" xfId="0" applyFont="1" applyFill="1" applyBorder="1" applyAlignment="1">
      <alignment horizontal="center" vertical="center"/>
    </xf>
    <xf numFmtId="0" fontId="7" fillId="28" borderId="105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6" fillId="7" borderId="115" xfId="0" applyFont="1" applyFill="1" applyBorder="1" applyAlignment="1">
      <alignment horizontal="center" vertical="center"/>
    </xf>
    <xf numFmtId="0" fontId="7" fillId="0" borderId="116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117" xfId="0" applyFont="1" applyBorder="1" applyAlignment="1">
      <alignment horizontal="center" vertical="center"/>
    </xf>
    <xf numFmtId="10" fontId="7" fillId="0" borderId="105" xfId="0" applyNumberFormat="1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0" fontId="6" fillId="29" borderId="35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0" fontId="6" fillId="7" borderId="119" xfId="0" applyFont="1" applyFill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6" fillId="30" borderId="105" xfId="0" applyFont="1" applyFill="1" applyBorder="1" applyAlignment="1">
      <alignment horizontal="center" vertical="center"/>
    </xf>
    <xf numFmtId="0" fontId="7" fillId="28" borderId="122" xfId="0" applyFont="1" applyFill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2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theme="0"/>
      </font>
      <fill>
        <patternFill patternType="solid">
          <bgColor rgb="FFC00000"/>
        </patternFill>
      </fill>
    </dxf>
    <dxf>
      <font>
        <b val="1"/>
        <i val="0"/>
        <color theme="0"/>
      </font>
      <fill>
        <patternFill patternType="solid">
          <bgColor rgb="FFFFC000"/>
        </patternFill>
      </fill>
    </dxf>
  </dxfs>
  <tableStyles count="0" defaultTableStyle="TableStyleMedium2" defaultPivotStyle="PivotStyleLight16"/>
  <colors>
    <mruColors>
      <color rgb="00FF6C0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20">
    <open main="73" threadCnt="1"/>
    <sheetInfos>
      <sheetInfo cellCmpFml="6" sheetStid="1">
        <open main="1" threadCnt="1"/>
      </sheetInfo>
      <sheetInfo cellCmpFml="0" sheetStid="6">
        <open main="12" threadCnt="1"/>
      </sheetInfo>
      <sheetInfo cellCmpFml="0" sheetStid="2">
        <open main="1" threadCnt="1"/>
      </sheetInfo>
      <sheetInfo cellCmpFml="0" sheetStid="3">
        <open threadCnt="1"/>
      </sheetInfo>
      <sheetInfo cellCmpFml="13" sheetStid="4">
        <open threadCnt="1"/>
      </sheetInfo>
      <sheetInfo cellCmpFml="1" sheetStid="7">
        <open threadCnt="1"/>
      </sheetInfo>
      <sheetInfo cellCmpFml="0" sheetStid="5">
        <open main="1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www.wps.cn/officeDocument/2023/relationships/woinfos" Target="woinfos.xml"/><Relationship Id="rId14" Type="http://www.wps.cn/officeDocument/2023/relationships/customStorage" Target="customStorage/customStorage.xml"/><Relationship Id="rId13" Type="http://schemas.openxmlformats.org/officeDocument/2006/relationships/styles" Target="styles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33</xdr:row>
      <xdr:rowOff>0</xdr:rowOff>
    </xdr:from>
    <xdr:to>
      <xdr:col>5</xdr:col>
      <xdr:colOff>320040</xdr:colOff>
      <xdr:row>34</xdr:row>
      <xdr:rowOff>106679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9884410" y="7480300"/>
          <a:ext cx="320040" cy="3155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1194435</xdr:colOff>
      <xdr:row>16</xdr:row>
      <xdr:rowOff>72390</xdr:rowOff>
    </xdr:from>
    <xdr:to>
      <xdr:col>4</xdr:col>
      <xdr:colOff>1097280</xdr:colOff>
      <xdr:row>29</xdr:row>
      <xdr:rowOff>123825</xdr:rowOff>
    </xdr:to>
    <xdr:grpSp>
      <xdr:nvGrpSpPr>
        <xdr:cNvPr id="2" name="组合 15"/>
        <xdr:cNvGrpSpPr/>
      </xdr:nvGrpSpPr>
      <xdr:grpSpPr>
        <a:xfrm>
          <a:off x="1194435" y="7959090"/>
          <a:ext cx="4728845" cy="2775585"/>
          <a:chOff x="0" y="0"/>
          <a:chExt cx="6748" cy="4392"/>
        </a:xfrm>
      </xdr:grpSpPr>
      <xdr:cxnSp>
        <xdr:nvCxnSpPr>
          <xdr:cNvPr id="3" name="直接箭头连接符 4"/>
          <xdr:cNvCxnSpPr/>
        </xdr:nvCxnSpPr>
        <xdr:spPr>
          <a:xfrm>
            <a:off x="3477" y="515"/>
            <a:ext cx="1" cy="3330"/>
          </a:xfrm>
          <a:prstGeom prst="straightConnector1">
            <a:avLst/>
          </a:prstGeom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headEnd type="triangle" w="med" len="med"/>
            <a:tailEnd type="triangle" w="med" len="med"/>
          </a:ln>
        </xdr:spPr>
      </xdr:cxnSp>
      <xdr:sp>
        <xdr:nvSpPr>
          <xdr:cNvPr id="4" name="直接连接符 5"/>
          <xdr:cNvSpPr/>
        </xdr:nvSpPr>
        <xdr:spPr>
          <a:xfrm>
            <a:off x="1242" y="2237"/>
            <a:ext cx="4305" cy="1"/>
          </a:xfrm>
          <a:prstGeom prst="line">
            <a:avLst/>
          </a:prstGeom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headEnd type="triangle" w="med" len="med"/>
            <a:tailEnd type="triangle" w="med" len="med"/>
          </a:ln>
        </xdr:spPr>
      </xdr:sp>
      <xdr:sp>
        <xdr:nvSpPr>
          <xdr:cNvPr id="5" name="文本框 6"/>
          <xdr:cNvSpPr txBox="1"/>
        </xdr:nvSpPr>
        <xdr:spPr>
          <a:xfrm>
            <a:off x="3838" y="959"/>
            <a:ext cx="1484" cy="5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扭转</a:t>
            </a:r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型战略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6" name="文本框 7"/>
          <xdr:cNvSpPr txBox="1"/>
        </xdr:nvSpPr>
        <xdr:spPr>
          <a:xfrm>
            <a:off x="1618" y="953"/>
            <a:ext cx="1484" cy="5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增长</a:t>
            </a:r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型战略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7" name="文本框 8"/>
          <xdr:cNvSpPr txBox="1"/>
        </xdr:nvSpPr>
        <xdr:spPr>
          <a:xfrm>
            <a:off x="3838" y="2867"/>
            <a:ext cx="1604" cy="5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防御型</a:t>
            </a:r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战略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8" name="文本框 9"/>
          <xdr:cNvSpPr txBox="1"/>
        </xdr:nvSpPr>
        <xdr:spPr>
          <a:xfrm>
            <a:off x="1519" y="2876"/>
            <a:ext cx="1615" cy="5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多种经营</a:t>
            </a:r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战略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9" name="文本框 11"/>
          <xdr:cNvSpPr txBox="1"/>
        </xdr:nvSpPr>
        <xdr:spPr>
          <a:xfrm>
            <a:off x="3102" y="0"/>
            <a:ext cx="780" cy="49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机会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0" name="文本框 12"/>
          <xdr:cNvSpPr txBox="1"/>
        </xdr:nvSpPr>
        <xdr:spPr>
          <a:xfrm>
            <a:off x="3102" y="3897"/>
            <a:ext cx="780" cy="49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威胁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1" name="文本框 13"/>
          <xdr:cNvSpPr txBox="1"/>
        </xdr:nvSpPr>
        <xdr:spPr>
          <a:xfrm>
            <a:off x="0" y="2026"/>
            <a:ext cx="1183" cy="43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内部</a:t>
            </a:r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优势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12" name="文本框 14"/>
          <xdr:cNvSpPr txBox="1"/>
        </xdr:nvSpPr>
        <xdr:spPr>
          <a:xfrm>
            <a:off x="5565" y="2026"/>
            <a:ext cx="1183" cy="435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chemeClr val="tx1">
                <a:lumMod val="50000"/>
                <a:lumOff val="50000"/>
              </a:schemeClr>
            </a:solidFill>
            <a:prstDash val="solid"/>
            <a:miter/>
            <a:headEnd type="none" w="med" len="med"/>
            <a:tailEnd type="none" w="med" len="med"/>
          </a:ln>
        </xdr:spPr>
        <xdr:txBody>
          <a:bodyPr anchor="ctr" anchorCtr="0" upright="1"/>
          <a:lstStyle/>
          <a:p>
            <a:pPr algn="ctr"/>
            <a:r>
              <a:rPr lang="en-US" altLang="zh-CN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内部</a:t>
            </a:r>
            <a:r>
              <a:rPr lang="zh-CN" altLang="en-US" sz="1050" kern="10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Times New Roman" panose="02020603050405020304" pitchFamily="12"/>
                <a:sym typeface="Times New Roman" panose="02020603050405020304" pitchFamily="12"/>
              </a:rPr>
              <a:t>劣势</a:t>
            </a:r>
            <a:endParaRPr lang="en-US" altLang="zh-CN" sz="1050" kern="10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4"/>
  <sheetViews>
    <sheetView showGridLines="0" workbookViewId="0">
      <selection activeCell="A1" sqref="A1:D1"/>
    </sheetView>
  </sheetViews>
  <sheetFormatPr defaultColWidth="8.83333333333333" defaultRowHeight="16.5"/>
  <cols>
    <col min="1" max="1" width="18.6666666666667" style="114" customWidth="1"/>
    <col min="2" max="2" width="34.8333333333333" style="114" customWidth="1"/>
    <col min="3" max="3" width="2.21666666666667" style="114" customWidth="1"/>
    <col min="4" max="4" width="48.5" style="114" customWidth="1"/>
    <col min="5" max="5" width="25.5" style="114" customWidth="1"/>
    <col min="6" max="6" width="11.8333333333333" style="114" customWidth="1"/>
    <col min="7" max="7" width="25.5" style="114" customWidth="1"/>
    <col min="8" max="8" width="11.8333333333333" style="114" customWidth="1"/>
    <col min="9" max="9" width="11.5" style="114" customWidth="1"/>
    <col min="10" max="10" width="8.83333333333333" style="114"/>
    <col min="11" max="11" width="21.5" style="114" customWidth="1"/>
    <col min="12" max="14" width="18.8333333333333" style="114" customWidth="1"/>
    <col min="15" max="15" width="25.5" style="114" customWidth="1"/>
    <col min="16" max="16" width="18.8333333333333" style="114" customWidth="1"/>
    <col min="17" max="17" width="7.66666666666667" style="114" customWidth="1"/>
    <col min="18" max="18" width="5.66666666666667" style="114" customWidth="1"/>
    <col min="19" max="16384" width="8.83333333333333" style="114"/>
  </cols>
  <sheetData>
    <row r="1" ht="63" customHeight="1" spans="1:10">
      <c r="A1" s="170" t="s">
        <v>0</v>
      </c>
      <c r="B1" s="170"/>
      <c r="C1" s="170"/>
      <c r="D1" s="170"/>
      <c r="E1" s="170"/>
      <c r="F1" s="170"/>
      <c r="G1" s="170"/>
      <c r="H1" s="170"/>
      <c r="I1" s="170"/>
      <c r="J1" s="220"/>
    </row>
    <row r="2" ht="15.5" customHeight="1"/>
    <row r="4" ht="15.5" customHeight="1" spans="1:9">
      <c r="A4" s="13" t="s">
        <v>1</v>
      </c>
      <c r="B4" s="13"/>
      <c r="C4" s="171"/>
      <c r="D4" s="13" t="s">
        <v>2</v>
      </c>
      <c r="E4" s="13"/>
      <c r="G4" s="183" t="s">
        <v>3</v>
      </c>
      <c r="H4" s="183"/>
      <c r="I4" s="183"/>
    </row>
    <row r="5" spans="1:18">
      <c r="A5" s="172" t="s">
        <v>4</v>
      </c>
      <c r="B5" s="173"/>
      <c r="D5" s="172" t="s">
        <v>5</v>
      </c>
      <c r="E5" s="191"/>
      <c r="G5" s="172" t="s">
        <v>6</v>
      </c>
      <c r="H5" s="192" t="s">
        <v>7</v>
      </c>
      <c r="I5" s="203" t="s">
        <v>8</v>
      </c>
      <c r="K5" s="183" t="s">
        <v>9</v>
      </c>
      <c r="L5" s="183"/>
      <c r="M5" s="183"/>
      <c r="N5" s="183"/>
      <c r="O5" s="183"/>
      <c r="P5" s="183"/>
      <c r="Q5" s="183"/>
      <c r="R5" s="183"/>
    </row>
    <row r="6" spans="1:18">
      <c r="A6" s="174" t="s">
        <v>10</v>
      </c>
      <c r="B6" s="175"/>
      <c r="D6" s="176" t="s">
        <v>11</v>
      </c>
      <c r="E6" s="193"/>
      <c r="G6" s="194" t="s">
        <v>12</v>
      </c>
      <c r="H6" s="195" t="s">
        <v>13</v>
      </c>
      <c r="I6" s="221"/>
      <c r="K6" s="172" t="s">
        <v>14</v>
      </c>
      <c r="L6" s="192" t="s">
        <v>15</v>
      </c>
      <c r="M6" s="192" t="s">
        <v>16</v>
      </c>
      <c r="N6" s="192" t="s">
        <v>17</v>
      </c>
      <c r="O6" s="192" t="s">
        <v>18</v>
      </c>
      <c r="P6" s="192" t="s">
        <v>19</v>
      </c>
      <c r="Q6" s="192" t="s">
        <v>20</v>
      </c>
      <c r="R6" s="203" t="s">
        <v>21</v>
      </c>
    </row>
    <row r="7" spans="1:18">
      <c r="A7" s="177"/>
      <c r="B7" s="178"/>
      <c r="D7" s="179" t="s">
        <v>22</v>
      </c>
      <c r="E7" s="193" t="s">
        <v>23</v>
      </c>
      <c r="G7" s="194" t="s">
        <v>24</v>
      </c>
      <c r="H7" s="195" t="s">
        <v>13</v>
      </c>
      <c r="I7" s="221"/>
      <c r="K7" s="194"/>
      <c r="L7" s="195"/>
      <c r="M7" s="195"/>
      <c r="N7" s="195"/>
      <c r="O7" s="195"/>
      <c r="P7" s="195"/>
      <c r="Q7" s="222">
        <v>0</v>
      </c>
      <c r="R7" s="221" t="s">
        <v>25</v>
      </c>
    </row>
    <row r="8" spans="1:18">
      <c r="A8" s="177"/>
      <c r="B8" s="178"/>
      <c r="D8" s="180"/>
      <c r="E8" s="196"/>
      <c r="G8" s="194" t="s">
        <v>26</v>
      </c>
      <c r="H8" s="195" t="s">
        <v>13</v>
      </c>
      <c r="I8" s="221"/>
      <c r="K8" s="194"/>
      <c r="L8" s="195"/>
      <c r="M8" s="195"/>
      <c r="N8" s="195"/>
      <c r="O8" s="195"/>
      <c r="P8" s="195"/>
      <c r="Q8" s="222">
        <v>0</v>
      </c>
      <c r="R8" s="221" t="s">
        <v>27</v>
      </c>
    </row>
    <row r="9" spans="1:18">
      <c r="A9" s="177"/>
      <c r="B9" s="178"/>
      <c r="D9" s="179" t="s">
        <v>28</v>
      </c>
      <c r="E9" s="184"/>
      <c r="G9" s="197" t="s">
        <v>29</v>
      </c>
      <c r="H9" s="198" t="s">
        <v>13</v>
      </c>
      <c r="I9" s="202"/>
      <c r="K9" s="194"/>
      <c r="L9" s="195"/>
      <c r="M9" s="195"/>
      <c r="N9" s="195"/>
      <c r="O9" s="195"/>
      <c r="P9" s="195"/>
      <c r="Q9" s="222">
        <v>0</v>
      </c>
      <c r="R9" s="221" t="s">
        <v>30</v>
      </c>
    </row>
    <row r="10" spans="1:18">
      <c r="A10" s="177"/>
      <c r="B10" s="178"/>
      <c r="D10" s="176" t="s">
        <v>31</v>
      </c>
      <c r="E10" s="199"/>
      <c r="K10" s="194"/>
      <c r="L10" s="195"/>
      <c r="M10" s="195"/>
      <c r="N10" s="195"/>
      <c r="O10" s="195"/>
      <c r="P10" s="195"/>
      <c r="Q10" s="222">
        <v>0</v>
      </c>
      <c r="R10" s="221" t="s">
        <v>32</v>
      </c>
    </row>
    <row r="11" spans="1:18">
      <c r="A11" s="177"/>
      <c r="B11" s="178"/>
      <c r="D11" s="180"/>
      <c r="E11" s="196"/>
      <c r="G11" s="13" t="s">
        <v>33</v>
      </c>
      <c r="H11" s="3"/>
      <c r="K11" s="194"/>
      <c r="L11" s="195"/>
      <c r="M11" s="195"/>
      <c r="N11" s="195"/>
      <c r="O11" s="195"/>
      <c r="P11" s="195"/>
      <c r="Q11" s="222">
        <v>0</v>
      </c>
      <c r="R11" s="221" t="s">
        <v>34</v>
      </c>
    </row>
    <row r="12" spans="1:18">
      <c r="A12" s="177"/>
      <c r="B12" s="178"/>
      <c r="D12" s="176" t="s">
        <v>35</v>
      </c>
      <c r="E12" s="184"/>
      <c r="G12" s="172" t="s">
        <v>36</v>
      </c>
      <c r="H12" s="200" t="s">
        <v>13</v>
      </c>
      <c r="K12" s="188"/>
      <c r="L12" s="210"/>
      <c r="M12" s="210"/>
      <c r="N12" s="210"/>
      <c r="O12" s="210"/>
      <c r="P12" s="210"/>
      <c r="Q12" s="210"/>
      <c r="R12" s="201"/>
    </row>
    <row r="13" spans="1:18">
      <c r="A13" s="177"/>
      <c r="B13" s="178"/>
      <c r="D13" s="181" t="s">
        <v>37</v>
      </c>
      <c r="E13" s="185"/>
      <c r="G13" s="188"/>
      <c r="H13" s="201"/>
      <c r="K13" s="176" t="s">
        <v>38</v>
      </c>
      <c r="L13" s="211" t="s">
        <v>39</v>
      </c>
      <c r="M13" s="211" t="s">
        <v>40</v>
      </c>
      <c r="N13" s="211" t="s">
        <v>41</v>
      </c>
      <c r="O13" s="211" t="s">
        <v>42</v>
      </c>
      <c r="P13" s="211" t="s">
        <v>43</v>
      </c>
      <c r="Q13" s="210"/>
      <c r="R13" s="201"/>
    </row>
    <row r="14" spans="1:18">
      <c r="A14" s="177"/>
      <c r="B14" s="178"/>
      <c r="G14" s="181" t="s">
        <v>44</v>
      </c>
      <c r="H14" s="202" t="s">
        <v>45</v>
      </c>
      <c r="K14" s="194"/>
      <c r="L14" s="195" t="e">
        <v>#DIV/0!</v>
      </c>
      <c r="M14" s="195"/>
      <c r="N14" s="195"/>
      <c r="O14" s="195"/>
      <c r="P14" s="195"/>
      <c r="Q14" s="210"/>
      <c r="R14" s="201"/>
    </row>
    <row r="15" spans="1:18">
      <c r="A15" s="177"/>
      <c r="B15" s="178"/>
      <c r="K15" s="194"/>
      <c r="L15" s="195" t="e">
        <v>#DIV/0!</v>
      </c>
      <c r="M15" s="195"/>
      <c r="N15" s="195"/>
      <c r="O15" s="195"/>
      <c r="P15" s="195"/>
      <c r="Q15" s="210"/>
      <c r="R15" s="201"/>
    </row>
    <row r="16" spans="1:18">
      <c r="A16" s="177"/>
      <c r="B16" s="182"/>
      <c r="D16" s="183" t="s">
        <v>46</v>
      </c>
      <c r="E16" s="183"/>
      <c r="F16" s="183"/>
      <c r="G16" s="183"/>
      <c r="H16" s="183"/>
      <c r="I16" s="183"/>
      <c r="K16" s="194"/>
      <c r="L16" s="195" t="e">
        <v>#DIV/0!</v>
      </c>
      <c r="M16" s="195"/>
      <c r="N16" s="195"/>
      <c r="O16" s="195"/>
      <c r="P16" s="195"/>
      <c r="Q16" s="210"/>
      <c r="R16" s="201"/>
    </row>
    <row r="17" spans="1:18">
      <c r="A17" s="176" t="s">
        <v>47</v>
      </c>
      <c r="B17" s="184"/>
      <c r="D17" s="172" t="s">
        <v>48</v>
      </c>
      <c r="E17" s="192" t="s">
        <v>40</v>
      </c>
      <c r="F17" s="192" t="s">
        <v>49</v>
      </c>
      <c r="G17" s="192" t="s">
        <v>50</v>
      </c>
      <c r="H17" s="203" t="s">
        <v>51</v>
      </c>
      <c r="I17" s="210"/>
      <c r="K17" s="194"/>
      <c r="L17" s="195" t="e">
        <v>#DIV/0!</v>
      </c>
      <c r="M17" s="195"/>
      <c r="N17" s="195"/>
      <c r="O17" s="195"/>
      <c r="P17" s="195"/>
      <c r="Q17" s="210"/>
      <c r="R17" s="201"/>
    </row>
    <row r="18" spans="1:18">
      <c r="A18" s="181" t="s">
        <v>52</v>
      </c>
      <c r="B18" s="185"/>
      <c r="D18" s="186" t="s">
        <v>53</v>
      </c>
      <c r="E18" s="204">
        <v>0</v>
      </c>
      <c r="F18" s="204">
        <v>0</v>
      </c>
      <c r="G18" s="205">
        <v>0</v>
      </c>
      <c r="H18" s="206">
        <v>31700</v>
      </c>
      <c r="I18" s="210"/>
      <c r="K18" s="194"/>
      <c r="L18" s="195" t="e">
        <v>#DIV/0!</v>
      </c>
      <c r="M18" s="195"/>
      <c r="N18" s="195"/>
      <c r="O18" s="195"/>
      <c r="P18" s="195"/>
      <c r="Q18" s="210"/>
      <c r="R18" s="201"/>
    </row>
    <row r="19" spans="4:18">
      <c r="D19" s="187" t="s">
        <v>54</v>
      </c>
      <c r="E19" s="207">
        <v>2</v>
      </c>
      <c r="F19" s="207">
        <v>12000</v>
      </c>
      <c r="G19" s="208">
        <v>0.3785</v>
      </c>
      <c r="H19" s="206"/>
      <c r="I19" s="210"/>
      <c r="K19" s="194"/>
      <c r="L19" s="195" t="e">
        <v>#DIV/0!</v>
      </c>
      <c r="M19" s="195"/>
      <c r="N19" s="195"/>
      <c r="O19" s="195"/>
      <c r="P19" s="195"/>
      <c r="Q19" s="210"/>
      <c r="R19" s="201"/>
    </row>
    <row r="20" spans="4:18">
      <c r="D20" s="187" t="s">
        <v>55</v>
      </c>
      <c r="E20" s="207">
        <v>10</v>
      </c>
      <c r="F20" s="207">
        <v>5000</v>
      </c>
      <c r="G20" s="208">
        <v>0.1577</v>
      </c>
      <c r="H20" s="206"/>
      <c r="I20" s="210"/>
      <c r="K20" s="194"/>
      <c r="L20" s="195" t="e">
        <v>#DIV/0!</v>
      </c>
      <c r="M20" s="195"/>
      <c r="N20" s="195"/>
      <c r="O20" s="195"/>
      <c r="P20" s="195"/>
      <c r="Q20" s="210"/>
      <c r="R20" s="201"/>
    </row>
    <row r="21" spans="1:18">
      <c r="A21" s="13" t="s">
        <v>56</v>
      </c>
      <c r="B21" s="13"/>
      <c r="D21" s="187" t="s">
        <v>25</v>
      </c>
      <c r="E21" s="207">
        <v>30</v>
      </c>
      <c r="F21" s="209">
        <v>7200</v>
      </c>
      <c r="G21" s="208">
        <v>0.2271</v>
      </c>
      <c r="H21" s="206"/>
      <c r="I21" s="210"/>
      <c r="K21" s="194"/>
      <c r="L21" s="195" t="e">
        <v>#DIV/0!</v>
      </c>
      <c r="M21" s="195"/>
      <c r="N21" s="195"/>
      <c r="O21" s="195"/>
      <c r="P21" s="195"/>
      <c r="Q21" s="210"/>
      <c r="R21" s="201"/>
    </row>
    <row r="22" spans="1:18">
      <c r="A22" s="172" t="s">
        <v>57</v>
      </c>
      <c r="B22" s="173"/>
      <c r="D22" s="187" t="s">
        <v>27</v>
      </c>
      <c r="E22" s="207">
        <v>50</v>
      </c>
      <c r="F22" s="209">
        <v>7500</v>
      </c>
      <c r="G22" s="208">
        <v>0.2366</v>
      </c>
      <c r="H22" s="206"/>
      <c r="I22" s="210"/>
      <c r="K22" s="194"/>
      <c r="L22" s="195" t="e">
        <v>#DIV/0!</v>
      </c>
      <c r="M22" s="195"/>
      <c r="N22" s="195"/>
      <c r="O22" s="195"/>
      <c r="P22" s="195"/>
      <c r="Q22" s="210"/>
      <c r="R22" s="201"/>
    </row>
    <row r="23" spans="1:18">
      <c r="A23" s="176" t="s">
        <v>58</v>
      </c>
      <c r="B23" s="184"/>
      <c r="D23" s="188"/>
      <c r="E23" s="210"/>
      <c r="F23" s="210"/>
      <c r="G23" s="210"/>
      <c r="H23" s="201"/>
      <c r="I23" s="210"/>
      <c r="K23" s="194"/>
      <c r="L23" s="195" t="e">
        <v>#DIV/0!</v>
      </c>
      <c r="M23" s="195"/>
      <c r="N23" s="195"/>
      <c r="O23" s="195"/>
      <c r="P23" s="195"/>
      <c r="Q23" s="210"/>
      <c r="R23" s="201"/>
    </row>
    <row r="24" spans="1:18">
      <c r="A24" s="176" t="s">
        <v>59</v>
      </c>
      <c r="B24" s="184"/>
      <c r="D24" s="176" t="s">
        <v>60</v>
      </c>
      <c r="E24" s="207">
        <v>240</v>
      </c>
      <c r="F24" s="210"/>
      <c r="G24" s="211" t="s">
        <v>61</v>
      </c>
      <c r="H24" s="212" t="str">
        <f>IF((G18+G19)&gt;0.7,"是","否")</f>
        <v>否</v>
      </c>
      <c r="I24" s="210"/>
      <c r="K24" s="194"/>
      <c r="L24" s="195" t="e">
        <v>#DIV/0!</v>
      </c>
      <c r="M24" s="195"/>
      <c r="N24" s="195"/>
      <c r="O24" s="195"/>
      <c r="P24" s="195"/>
      <c r="Q24" s="210"/>
      <c r="R24" s="201"/>
    </row>
    <row r="25" spans="1:18">
      <c r="A25" s="176" t="s">
        <v>62</v>
      </c>
      <c r="B25" s="184"/>
      <c r="D25" s="176" t="s">
        <v>63</v>
      </c>
      <c r="E25" s="207">
        <v>150</v>
      </c>
      <c r="F25" s="210"/>
      <c r="G25" s="211" t="s">
        <v>64</v>
      </c>
      <c r="H25" s="212" t="str">
        <f>IF(SUM(E18:E20)&gt;30,"是","否")</f>
        <v>否</v>
      </c>
      <c r="I25" s="210"/>
      <c r="K25" s="194"/>
      <c r="L25" s="195" t="e">
        <v>#DIV/0!</v>
      </c>
      <c r="M25" s="195"/>
      <c r="N25" s="195"/>
      <c r="O25" s="195"/>
      <c r="P25" s="195"/>
      <c r="Q25" s="210"/>
      <c r="R25" s="201"/>
    </row>
    <row r="26" spans="1:18">
      <c r="A26" s="176" t="s">
        <v>65</v>
      </c>
      <c r="B26" s="184"/>
      <c r="D26" s="180"/>
      <c r="F26" s="210"/>
      <c r="H26" s="196"/>
      <c r="I26" s="210"/>
      <c r="K26" s="194"/>
      <c r="L26" s="195" t="e">
        <v>#DIV/0!</v>
      </c>
      <c r="M26" s="195"/>
      <c r="N26" s="195"/>
      <c r="O26" s="195"/>
      <c r="P26" s="195"/>
      <c r="Q26" s="210"/>
      <c r="R26" s="201"/>
    </row>
    <row r="27" spans="1:18">
      <c r="A27" s="176" t="s">
        <v>66</v>
      </c>
      <c r="B27" s="184"/>
      <c r="D27" s="179" t="s">
        <v>67</v>
      </c>
      <c r="E27" s="213" t="str">
        <f>IF(OR(H24="是",H25="是"),"激烈","舒适")</f>
        <v>舒适</v>
      </c>
      <c r="F27" s="210"/>
      <c r="G27" s="55" t="s">
        <v>68</v>
      </c>
      <c r="H27" s="184" t="s">
        <v>69</v>
      </c>
      <c r="I27" s="210"/>
      <c r="K27" s="194"/>
      <c r="L27" s="195" t="e">
        <v>#DIV/0!</v>
      </c>
      <c r="M27" s="195"/>
      <c r="N27" s="195"/>
      <c r="O27" s="195"/>
      <c r="P27" s="195"/>
      <c r="Q27" s="210"/>
      <c r="R27" s="201"/>
    </row>
    <row r="28" spans="1:18">
      <c r="A28" s="181" t="s">
        <v>70</v>
      </c>
      <c r="B28" s="185"/>
      <c r="D28" s="176" t="s">
        <v>71</v>
      </c>
      <c r="E28" s="207" t="s">
        <v>72</v>
      </c>
      <c r="F28" s="210"/>
      <c r="H28" s="196"/>
      <c r="I28" s="210"/>
      <c r="K28" s="194"/>
      <c r="L28" s="195" t="e">
        <v>#DIV/0!</v>
      </c>
      <c r="M28" s="195"/>
      <c r="N28" s="195"/>
      <c r="O28" s="195"/>
      <c r="P28" s="195"/>
      <c r="Q28" s="210"/>
      <c r="R28" s="201"/>
    </row>
    <row r="29" spans="4:18">
      <c r="D29" s="189"/>
      <c r="E29" s="214"/>
      <c r="F29" s="214"/>
      <c r="G29" s="214"/>
      <c r="H29" s="215"/>
      <c r="I29" s="210"/>
      <c r="K29" s="194"/>
      <c r="L29" s="195" t="e">
        <v>#DIV/0!</v>
      </c>
      <c r="M29" s="195"/>
      <c r="N29" s="195"/>
      <c r="O29" s="195"/>
      <c r="P29" s="195"/>
      <c r="Q29" s="210"/>
      <c r="R29" s="201"/>
    </row>
    <row r="30" spans="11:18">
      <c r="K30" s="197"/>
      <c r="L30" s="198" t="e">
        <v>#DIV/0!</v>
      </c>
      <c r="M30" s="198"/>
      <c r="N30" s="198"/>
      <c r="O30" s="198"/>
      <c r="P30" s="198"/>
      <c r="Q30" s="214"/>
      <c r="R30" s="215"/>
    </row>
    <row r="31" spans="4:8">
      <c r="D31" s="183" t="s">
        <v>73</v>
      </c>
      <c r="E31" s="183"/>
      <c r="F31" s="183"/>
      <c r="G31" s="183"/>
      <c r="H31" s="183"/>
    </row>
    <row r="32" spans="4:8">
      <c r="D32" s="190" t="s">
        <v>74</v>
      </c>
      <c r="E32" s="216" t="s">
        <v>13</v>
      </c>
      <c r="F32" s="217"/>
      <c r="G32" s="218" t="s">
        <v>75</v>
      </c>
      <c r="H32" s="219"/>
    </row>
    <row r="33" spans="4:8">
      <c r="D33" s="55" t="s">
        <v>76</v>
      </c>
      <c r="E33" s="195" t="s">
        <v>13</v>
      </c>
      <c r="F33" s="210"/>
      <c r="G33" s="211" t="s">
        <v>77</v>
      </c>
      <c r="H33" s="227"/>
    </row>
    <row r="34" spans="4:8">
      <c r="D34" s="55" t="s">
        <v>78</v>
      </c>
      <c r="E34" s="195" t="s">
        <v>13</v>
      </c>
      <c r="F34"/>
      <c r="G34" s="211"/>
      <c r="H34" s="227"/>
    </row>
    <row r="35" spans="4:8">
      <c r="D35" s="55" t="s">
        <v>79</v>
      </c>
      <c r="E35" s="195" t="s">
        <v>13</v>
      </c>
      <c r="F35" s="210"/>
      <c r="G35" s="211" t="s">
        <v>80</v>
      </c>
      <c r="H35" s="227"/>
    </row>
    <row r="36" spans="4:8">
      <c r="D36" s="55" t="s">
        <v>81</v>
      </c>
      <c r="E36" s="195" t="s">
        <v>13</v>
      </c>
      <c r="F36" s="210"/>
      <c r="G36" s="211"/>
      <c r="H36" s="227"/>
    </row>
    <row r="37" spans="4:8">
      <c r="D37" s="55" t="s">
        <v>82</v>
      </c>
      <c r="E37" s="195" t="s">
        <v>13</v>
      </c>
      <c r="F37" s="210"/>
      <c r="G37" s="211" t="s">
        <v>83</v>
      </c>
      <c r="H37" s="227"/>
    </row>
    <row r="38" spans="4:8">
      <c r="D38" s="223"/>
      <c r="E38" s="210"/>
      <c r="F38" s="210"/>
      <c r="G38" s="210"/>
      <c r="H38" s="228"/>
    </row>
    <row r="39" spans="4:8">
      <c r="D39" s="224" t="s">
        <v>73</v>
      </c>
      <c r="E39" s="229" t="str">
        <f>IF(COUNTIF(E32:E37,"是")&gt;2,"强",IF(AND(COUNTIF(E32:E37,"是")&lt;2,COUNTIF(E32:E37,"是")&gt;0),"一般","无"))</f>
        <v>无</v>
      </c>
      <c r="F39" s="210"/>
      <c r="G39" s="210"/>
      <c r="H39" s="228"/>
    </row>
    <row r="40" spans="4:8">
      <c r="D40" s="223"/>
      <c r="E40" s="210"/>
      <c r="F40" s="210"/>
      <c r="G40" s="210"/>
      <c r="H40" s="228"/>
    </row>
    <row r="41" spans="4:8">
      <c r="D41" s="225" t="s">
        <v>84</v>
      </c>
      <c r="E41" s="210"/>
      <c r="F41" s="210"/>
      <c r="G41" s="210"/>
      <c r="H41" s="228"/>
    </row>
    <row r="42" spans="4:8">
      <c r="D42" s="55" t="s">
        <v>85</v>
      </c>
      <c r="E42" s="213" t="str">
        <f>IF(AND(E32="否",E33="否",E35="否"),"是","否")</f>
        <v>是</v>
      </c>
      <c r="F42" s="210"/>
      <c r="G42" s="210"/>
      <c r="H42" s="228"/>
    </row>
    <row r="43" spans="4:8">
      <c r="D43" s="55" t="s">
        <v>86</v>
      </c>
      <c r="E43" s="195" t="s">
        <v>13</v>
      </c>
      <c r="F43" s="210"/>
      <c r="G43" s="210"/>
      <c r="H43" s="228"/>
    </row>
    <row r="44" spans="4:8">
      <c r="D44" s="226" t="s">
        <v>87</v>
      </c>
      <c r="E44" s="230" t="str">
        <f>IF(E37="否","是","否")</f>
        <v>是</v>
      </c>
      <c r="F44" s="231"/>
      <c r="G44" s="231"/>
      <c r="H44" s="232"/>
    </row>
  </sheetData>
  <sheetProtection formatCells="0" insertHyperlinks="0" autoFilter="0"/>
  <mergeCells count="12">
    <mergeCell ref="A1:I1"/>
    <mergeCell ref="A4:B4"/>
    <mergeCell ref="D4:E4"/>
    <mergeCell ref="G4:I4"/>
    <mergeCell ref="K5:R5"/>
    <mergeCell ref="G11:H11"/>
    <mergeCell ref="D16:I16"/>
    <mergeCell ref="A21:B21"/>
    <mergeCell ref="D31:H31"/>
    <mergeCell ref="A6:A16"/>
    <mergeCell ref="B6:B16"/>
    <mergeCell ref="H18:H22"/>
  </mergeCells>
  <dataValidations count="4">
    <dataValidation type="list" allowBlank="1" showInputMessage="1" showErrorMessage="1" sqref="H27">
      <formula1>"成本领先战略,产品差异化战略,集中化战略"</formula1>
    </dataValidation>
    <dataValidation type="list" allowBlank="1" showInputMessage="1" showErrorMessage="1" sqref="E28">
      <formula1>"高层次需求大体量市场,中高层次需求小体量市场,低层次需求大体量市场,中低层次需求小体量市场,中层次需求大体量市场"</formula1>
    </dataValidation>
    <dataValidation type="list" allowBlank="1" showInputMessage="1" showErrorMessage="1" sqref="E32:E37 H6:H9 P14:P30">
      <formula1>"是,否"</formula1>
    </dataValidation>
    <dataValidation type="list" allowBlank="1" showInputMessage="1" showErrorMessage="1" sqref="O14:O30">
      <formula1>"有,无"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30"/>
  <sheetViews>
    <sheetView showGridLines="0" tabSelected="1" zoomScale="110" zoomScaleNormal="110" topLeftCell="G14" workbookViewId="0">
      <selection activeCell="G14" sqref="$A14:$XFD15"/>
    </sheetView>
  </sheetViews>
  <sheetFormatPr defaultColWidth="8.83333333333333" defaultRowHeight="16.5"/>
  <cols>
    <col min="1" max="10" width="15.8333333333333" style="114" customWidth="1"/>
    <col min="11" max="16384" width="8.83333333333333" style="114"/>
  </cols>
  <sheetData>
    <row r="2" ht="33.75" spans="2:10">
      <c r="B2" s="115" t="s">
        <v>88</v>
      </c>
      <c r="C2" s="115"/>
      <c r="D2" s="115"/>
      <c r="E2" s="115"/>
      <c r="F2" s="115"/>
      <c r="G2" s="115"/>
      <c r="H2" s="115"/>
      <c r="I2" s="115"/>
      <c r="J2" s="115"/>
    </row>
    <row r="3" ht="17.25"/>
    <row r="4" ht="22.5" spans="2:10">
      <c r="B4" s="116"/>
      <c r="C4" s="117" t="s">
        <v>89</v>
      </c>
      <c r="D4" s="117"/>
      <c r="E4" s="137" t="s">
        <v>90</v>
      </c>
      <c r="F4" s="137"/>
      <c r="G4" s="137"/>
      <c r="H4" s="138" t="s">
        <v>91</v>
      </c>
      <c r="I4" s="138"/>
      <c r="J4" s="162"/>
    </row>
    <row r="5" ht="70" customHeight="1" spans="2:10">
      <c r="B5" s="118"/>
      <c r="C5" s="119"/>
      <c r="D5" s="120"/>
      <c r="E5" s="139"/>
      <c r="F5" s="139"/>
      <c r="G5" s="140"/>
      <c r="H5" s="141"/>
      <c r="I5" s="141"/>
      <c r="J5" s="163"/>
    </row>
    <row r="6" ht="70" customHeight="1" spans="2:10">
      <c r="B6" s="121" t="s">
        <v>92</v>
      </c>
      <c r="C6" s="122"/>
      <c r="D6" s="119"/>
      <c r="E6" s="142"/>
      <c r="F6" s="142"/>
      <c r="G6" s="143"/>
      <c r="H6" s="144"/>
      <c r="I6" s="144"/>
      <c r="J6" s="164"/>
    </row>
    <row r="7" ht="22.5" spans="2:10">
      <c r="B7" s="123" t="s">
        <v>93</v>
      </c>
      <c r="C7" s="124"/>
      <c r="D7" s="124"/>
      <c r="E7" s="145" t="s">
        <v>94</v>
      </c>
      <c r="F7" s="145"/>
      <c r="G7" s="145"/>
      <c r="H7" s="146" t="s">
        <v>95</v>
      </c>
      <c r="I7" s="146"/>
      <c r="J7" s="165"/>
    </row>
    <row r="8" ht="70" customHeight="1" spans="2:10">
      <c r="B8" s="125"/>
      <c r="C8" s="126"/>
      <c r="D8" s="127"/>
      <c r="E8" s="147" t="s">
        <v>96</v>
      </c>
      <c r="F8" s="148"/>
      <c r="G8" s="149"/>
      <c r="H8" s="147" t="s">
        <v>97</v>
      </c>
      <c r="I8" s="148"/>
      <c r="J8" s="166"/>
    </row>
    <row r="9" ht="70" customHeight="1" spans="2:10">
      <c r="B9" s="128"/>
      <c r="C9" s="129"/>
      <c r="D9" s="130"/>
      <c r="E9" s="150"/>
      <c r="F9" s="151"/>
      <c r="G9" s="152"/>
      <c r="H9" s="150"/>
      <c r="I9" s="151"/>
      <c r="J9" s="167"/>
    </row>
    <row r="10" ht="22.5" spans="2:10">
      <c r="B10" s="131" t="s">
        <v>98</v>
      </c>
      <c r="C10" s="132"/>
      <c r="D10" s="132"/>
      <c r="E10" s="153" t="s">
        <v>99</v>
      </c>
      <c r="F10" s="153"/>
      <c r="G10" s="153"/>
      <c r="H10" s="154" t="s">
        <v>100</v>
      </c>
      <c r="I10" s="154"/>
      <c r="J10" s="168"/>
    </row>
    <row r="11" ht="70" customHeight="1" spans="2:10">
      <c r="B11" s="133"/>
      <c r="C11" s="134"/>
      <c r="D11" s="134"/>
      <c r="E11" s="147" t="s">
        <v>101</v>
      </c>
      <c r="F11" s="148"/>
      <c r="G11" s="149"/>
      <c r="H11" s="147" t="s">
        <v>102</v>
      </c>
      <c r="I11" s="148"/>
      <c r="J11" s="166"/>
    </row>
    <row r="12" ht="70" customHeight="1" spans="2:10">
      <c r="B12" s="135"/>
      <c r="C12" s="136"/>
      <c r="D12" s="136"/>
      <c r="E12" s="155"/>
      <c r="F12" s="156"/>
      <c r="G12" s="157"/>
      <c r="H12" s="155"/>
      <c r="I12" s="156"/>
      <c r="J12" s="169"/>
    </row>
    <row r="14" spans="7:10">
      <c r="G14" s="158" t="s">
        <v>103</v>
      </c>
      <c r="H14" s="158"/>
      <c r="I14" s="158"/>
      <c r="J14" s="158"/>
    </row>
    <row r="15" spans="7:10">
      <c r="G15" s="158"/>
      <c r="H15" s="158"/>
      <c r="I15" s="158"/>
      <c r="J15" s="158"/>
    </row>
    <row r="16" spans="6:10">
      <c r="F16" s="159"/>
      <c r="G16" s="159"/>
      <c r="H16" s="159"/>
      <c r="I16" s="159"/>
      <c r="J16" s="159"/>
    </row>
    <row r="17" spans="6:10">
      <c r="F17" s="160"/>
      <c r="G17" s="161"/>
      <c r="H17" s="161"/>
      <c r="I17" s="161"/>
      <c r="J17" s="161"/>
    </row>
    <row r="18" spans="6:10">
      <c r="F18" s="160"/>
      <c r="G18" s="161"/>
      <c r="H18" s="161"/>
      <c r="I18" s="161"/>
      <c r="J18" s="161"/>
    </row>
    <row r="19" spans="6:10">
      <c r="F19" s="160"/>
      <c r="G19" s="161"/>
      <c r="H19" s="161"/>
      <c r="I19" s="161"/>
      <c r="J19" s="161"/>
    </row>
    <row r="20" spans="6:10">
      <c r="F20" s="160"/>
      <c r="G20" s="161"/>
      <c r="H20" s="161"/>
      <c r="I20" s="161"/>
      <c r="J20" s="161"/>
    </row>
    <row r="21" spans="6:10">
      <c r="F21" s="160"/>
      <c r="G21" s="161"/>
      <c r="H21" s="161"/>
      <c r="I21" s="161"/>
      <c r="J21" s="161"/>
    </row>
    <row r="22" spans="6:10">
      <c r="F22" s="160"/>
      <c r="G22" s="161"/>
      <c r="H22" s="161"/>
      <c r="I22" s="161"/>
      <c r="J22" s="161"/>
    </row>
    <row r="23" spans="6:10">
      <c r="F23" s="160"/>
      <c r="G23" s="161"/>
      <c r="H23" s="161"/>
      <c r="I23" s="161"/>
      <c r="J23" s="161"/>
    </row>
    <row r="24" spans="6:10">
      <c r="F24" s="160"/>
      <c r="G24" s="161"/>
      <c r="H24" s="161"/>
      <c r="I24" s="161"/>
      <c r="J24" s="161"/>
    </row>
    <row r="25" spans="6:10">
      <c r="F25" s="160"/>
      <c r="G25" s="161"/>
      <c r="H25" s="161"/>
      <c r="I25" s="161"/>
      <c r="J25" s="161"/>
    </row>
    <row r="26" spans="6:10">
      <c r="F26" s="160"/>
      <c r="G26" s="161"/>
      <c r="H26" s="161"/>
      <c r="I26" s="161"/>
      <c r="J26" s="161"/>
    </row>
    <row r="27" spans="7:10">
      <c r="G27" s="161"/>
      <c r="H27" s="161"/>
      <c r="I27" s="161"/>
      <c r="J27" s="161"/>
    </row>
    <row r="28" spans="7:10">
      <c r="G28" s="161"/>
      <c r="H28" s="161"/>
      <c r="I28" s="161"/>
      <c r="J28" s="161"/>
    </row>
    <row r="29" spans="7:10">
      <c r="G29" s="161"/>
      <c r="H29" s="161"/>
      <c r="I29" s="161"/>
      <c r="J29" s="161"/>
    </row>
    <row r="30" spans="7:10">
      <c r="G30" s="161"/>
      <c r="H30" s="161"/>
      <c r="I30" s="161"/>
      <c r="J30" s="161"/>
    </row>
  </sheetData>
  <sheetProtection formatCells="0" insertHyperlinks="0" autoFilter="0"/>
  <mergeCells count="21">
    <mergeCell ref="B2:J2"/>
    <mergeCell ref="C4:D4"/>
    <mergeCell ref="E4:G4"/>
    <mergeCell ref="H4:J4"/>
    <mergeCell ref="B6:C6"/>
    <mergeCell ref="B7:D7"/>
    <mergeCell ref="E7:G7"/>
    <mergeCell ref="H7:J7"/>
    <mergeCell ref="B10:D10"/>
    <mergeCell ref="E10:G10"/>
    <mergeCell ref="H10:J10"/>
    <mergeCell ref="B11:D12"/>
    <mergeCell ref="E11:G12"/>
    <mergeCell ref="H11:J12"/>
    <mergeCell ref="E5:G6"/>
    <mergeCell ref="H5:J6"/>
    <mergeCell ref="B8:D9"/>
    <mergeCell ref="E8:G9"/>
    <mergeCell ref="H8:J9"/>
    <mergeCell ref="G17:J30"/>
    <mergeCell ref="G14:J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1"/>
  <sheetViews>
    <sheetView showGridLines="0" workbookViewId="0">
      <pane ySplit="3" topLeftCell="A4" activePane="bottomLeft" state="frozen"/>
      <selection/>
      <selection pane="bottomLeft" activeCell="AG20" sqref="AG20"/>
    </sheetView>
  </sheetViews>
  <sheetFormatPr defaultColWidth="8.83333333333333" defaultRowHeight="16.5"/>
  <cols>
    <col min="1" max="1" width="18.8333333333333" style="3" customWidth="1"/>
    <col min="2" max="2" width="8.83333333333333" style="3"/>
    <col min="3" max="3" width="18.6666666666667" style="3" customWidth="1"/>
    <col min="4" max="6" width="8.83333333333333" style="3"/>
    <col min="7" max="7" width="16.5" style="3" customWidth="1"/>
    <col min="8" max="8" width="8.83333333333333" style="3"/>
    <col min="9" max="9" width="18.8333333333333" style="3" customWidth="1"/>
    <col min="10" max="10" width="8.83333333333333" style="3"/>
    <col min="11" max="11" width="18.6666666666667" style="3" customWidth="1"/>
    <col min="12" max="14" width="8.83333333333333" style="3"/>
    <col min="15" max="15" width="16.5" style="3" customWidth="1"/>
    <col min="16" max="16" width="8.83333333333333" style="3"/>
    <col min="17" max="17" width="18.8333333333333" style="3" customWidth="1"/>
    <col min="18" max="21" width="8.83333333333333" style="3"/>
    <col min="22" max="22" width="16.5" style="3" customWidth="1"/>
    <col min="23" max="23" width="8.83333333333333" style="3"/>
    <col min="24" max="24" width="18.8333333333333" style="3" customWidth="1"/>
    <col min="25" max="25" width="8.83333333333333" style="3"/>
    <col min="26" max="26" width="25.5" style="3" customWidth="1"/>
    <col min="27" max="29" width="8.83333333333333" style="3"/>
    <col min="30" max="30" width="16.5" style="3" customWidth="1"/>
    <col min="31" max="16384" width="8.83333333333333" style="3"/>
  </cols>
  <sheetData>
    <row r="1" spans="1:30">
      <c r="A1" s="107" t="s">
        <v>104</v>
      </c>
      <c r="B1" s="107"/>
      <c r="C1" s="107"/>
      <c r="D1" s="107"/>
      <c r="E1" s="107"/>
      <c r="F1" s="107"/>
      <c r="G1" s="107"/>
      <c r="I1" s="107" t="s">
        <v>105</v>
      </c>
      <c r="J1" s="107"/>
      <c r="K1" s="107"/>
      <c r="L1" s="107"/>
      <c r="M1" s="107"/>
      <c r="N1" s="107"/>
      <c r="O1" s="107"/>
      <c r="Q1" s="107" t="s">
        <v>106</v>
      </c>
      <c r="R1" s="107"/>
      <c r="S1" s="107"/>
      <c r="T1" s="107"/>
      <c r="U1" s="107"/>
      <c r="V1" s="107"/>
      <c r="X1" s="107" t="s">
        <v>107</v>
      </c>
      <c r="Y1" s="107"/>
      <c r="Z1" s="107"/>
      <c r="AA1" s="107"/>
      <c r="AB1" s="107"/>
      <c r="AC1" s="107"/>
      <c r="AD1" s="107"/>
    </row>
    <row r="2" ht="80" customHeight="1" spans="1:30">
      <c r="A2" s="108" t="s">
        <v>108</v>
      </c>
      <c r="B2" s="113"/>
      <c r="C2" s="109"/>
      <c r="D2" s="109"/>
      <c r="E2" s="109"/>
      <c r="F2" s="109"/>
      <c r="G2" s="110"/>
      <c r="I2" s="108" t="s">
        <v>108</v>
      </c>
      <c r="J2" s="113"/>
      <c r="K2" s="109"/>
      <c r="L2" s="109"/>
      <c r="M2" s="109"/>
      <c r="N2" s="109"/>
      <c r="O2" s="110"/>
      <c r="Q2" s="108" t="s">
        <v>108</v>
      </c>
      <c r="R2" s="113"/>
      <c r="S2" s="109"/>
      <c r="T2" s="109"/>
      <c r="U2" s="109"/>
      <c r="V2" s="110"/>
      <c r="X2" s="108" t="s">
        <v>108</v>
      </c>
      <c r="Y2" s="113"/>
      <c r="Z2" s="109"/>
      <c r="AA2" s="109"/>
      <c r="AB2" s="109"/>
      <c r="AC2" s="109"/>
      <c r="AD2" s="110"/>
    </row>
    <row r="3" spans="1:30">
      <c r="A3" s="107" t="s">
        <v>109</v>
      </c>
      <c r="B3" s="107" t="s">
        <v>110</v>
      </c>
      <c r="C3" s="107" t="s">
        <v>111</v>
      </c>
      <c r="D3" s="107" t="s">
        <v>112</v>
      </c>
      <c r="E3" s="107" t="s">
        <v>113</v>
      </c>
      <c r="F3" s="107" t="s">
        <v>114</v>
      </c>
      <c r="G3" s="107" t="s">
        <v>115</v>
      </c>
      <c r="I3" s="107" t="s">
        <v>109</v>
      </c>
      <c r="J3" s="107" t="s">
        <v>110</v>
      </c>
      <c r="K3" s="107" t="s">
        <v>111</v>
      </c>
      <c r="L3" s="107" t="s">
        <v>112</v>
      </c>
      <c r="M3" s="107" t="s">
        <v>113</v>
      </c>
      <c r="N3" s="107" t="s">
        <v>114</v>
      </c>
      <c r="O3" s="107" t="s">
        <v>116</v>
      </c>
      <c r="Q3" s="107" t="s">
        <v>109</v>
      </c>
      <c r="R3" s="107" t="s">
        <v>110</v>
      </c>
      <c r="S3" s="107" t="s">
        <v>112</v>
      </c>
      <c r="T3" s="107" t="s">
        <v>113</v>
      </c>
      <c r="U3" s="107" t="s">
        <v>114</v>
      </c>
      <c r="V3" s="107" t="s">
        <v>117</v>
      </c>
      <c r="X3" s="107" t="s">
        <v>109</v>
      </c>
      <c r="Y3" s="107" t="s">
        <v>110</v>
      </c>
      <c r="Z3" s="107" t="s">
        <v>111</v>
      </c>
      <c r="AA3" s="107" t="s">
        <v>112</v>
      </c>
      <c r="AB3" s="107" t="s">
        <v>113</v>
      </c>
      <c r="AC3" s="107" t="s">
        <v>114</v>
      </c>
      <c r="AD3" s="107" t="s">
        <v>117</v>
      </c>
    </row>
    <row r="4" spans="1:30">
      <c r="A4" s="111"/>
      <c r="B4" s="111"/>
      <c r="C4" s="111" t="s">
        <v>118</v>
      </c>
      <c r="D4" s="111"/>
      <c r="E4" s="111"/>
      <c r="F4" s="111"/>
      <c r="G4" s="111"/>
      <c r="I4" s="111"/>
      <c r="J4" s="111"/>
      <c r="K4" s="111" t="s">
        <v>118</v>
      </c>
      <c r="L4" s="111"/>
      <c r="M4" s="111"/>
      <c r="N4" s="111"/>
      <c r="O4" s="111"/>
      <c r="Q4" s="111"/>
      <c r="R4" s="111"/>
      <c r="S4" s="111"/>
      <c r="T4" s="111"/>
      <c r="U4" s="111"/>
      <c r="V4" s="111"/>
      <c r="X4" s="111"/>
      <c r="Y4" s="111"/>
      <c r="Z4" s="111" t="s">
        <v>119</v>
      </c>
      <c r="AA4" s="111"/>
      <c r="AB4" s="111"/>
      <c r="AC4" s="111"/>
      <c r="AD4" s="111"/>
    </row>
    <row r="5" spans="1:30">
      <c r="A5" s="112"/>
      <c r="B5" s="112"/>
      <c r="C5" s="112" t="s">
        <v>120</v>
      </c>
      <c r="D5" s="112"/>
      <c r="E5" s="112"/>
      <c r="F5" s="112"/>
      <c r="G5" s="112"/>
      <c r="I5" s="112"/>
      <c r="J5" s="112"/>
      <c r="K5" s="112"/>
      <c r="L5" s="112"/>
      <c r="M5" s="112"/>
      <c r="N5" s="112"/>
      <c r="O5" s="112"/>
      <c r="Q5" s="112"/>
      <c r="R5" s="112"/>
      <c r="S5" s="112"/>
      <c r="T5" s="112"/>
      <c r="U5" s="112"/>
      <c r="V5" s="112"/>
      <c r="X5" s="112"/>
      <c r="Y5" s="112"/>
      <c r="Z5" s="112" t="s">
        <v>121</v>
      </c>
      <c r="AA5" s="112"/>
      <c r="AB5" s="112"/>
      <c r="AC5" s="112"/>
      <c r="AD5" s="112"/>
    </row>
    <row r="6" spans="1:30">
      <c r="A6" s="112"/>
      <c r="B6" s="112"/>
      <c r="C6" s="112"/>
      <c r="D6" s="112"/>
      <c r="E6" s="112"/>
      <c r="F6" s="112"/>
      <c r="G6" s="112"/>
      <c r="I6" s="112"/>
      <c r="J6" s="112"/>
      <c r="K6" s="112"/>
      <c r="L6" s="112"/>
      <c r="M6" s="112"/>
      <c r="N6" s="112"/>
      <c r="O6" s="112"/>
      <c r="Q6" s="112"/>
      <c r="R6" s="112"/>
      <c r="S6" s="112"/>
      <c r="T6" s="112"/>
      <c r="U6" s="112"/>
      <c r="V6" s="112"/>
      <c r="X6" s="112"/>
      <c r="Y6" s="112"/>
      <c r="Z6" s="112" t="s">
        <v>122</v>
      </c>
      <c r="AA6" s="112"/>
      <c r="AB6" s="112"/>
      <c r="AC6" s="112"/>
      <c r="AD6" s="112"/>
    </row>
    <row r="7" spans="1:30">
      <c r="A7" s="112"/>
      <c r="B7" s="112"/>
      <c r="C7" s="112"/>
      <c r="D7" s="112"/>
      <c r="E7" s="112"/>
      <c r="F7" s="112"/>
      <c r="G7" s="112"/>
      <c r="I7" s="112"/>
      <c r="J7" s="112"/>
      <c r="K7" s="112"/>
      <c r="L7" s="112"/>
      <c r="M7" s="112"/>
      <c r="N7" s="112"/>
      <c r="O7" s="112"/>
      <c r="Q7" s="112"/>
      <c r="R7" s="112"/>
      <c r="S7" s="112"/>
      <c r="T7" s="112"/>
      <c r="U7" s="112"/>
      <c r="V7" s="112"/>
      <c r="X7" s="112"/>
      <c r="Y7" s="112"/>
      <c r="Z7" s="112" t="s">
        <v>123</v>
      </c>
      <c r="AA7" s="112"/>
      <c r="AB7" s="112"/>
      <c r="AC7" s="112"/>
      <c r="AD7" s="112"/>
    </row>
    <row r="8" spans="1:30">
      <c r="A8" s="112"/>
      <c r="B8" s="112"/>
      <c r="C8" s="112"/>
      <c r="D8" s="112"/>
      <c r="E8" s="112"/>
      <c r="F8" s="112"/>
      <c r="G8" s="112"/>
      <c r="I8" s="112"/>
      <c r="J8" s="112"/>
      <c r="K8" s="112"/>
      <c r="L8" s="112"/>
      <c r="M8" s="112"/>
      <c r="N8" s="112"/>
      <c r="O8" s="112"/>
      <c r="Q8" s="112"/>
      <c r="R8" s="112"/>
      <c r="S8" s="112"/>
      <c r="T8" s="112"/>
      <c r="U8" s="112"/>
      <c r="V8" s="112"/>
      <c r="X8" s="112"/>
      <c r="Y8" s="112"/>
      <c r="Z8" s="112" t="s">
        <v>124</v>
      </c>
      <c r="AA8" s="112"/>
      <c r="AB8" s="112"/>
      <c r="AC8" s="112"/>
      <c r="AD8" s="112"/>
    </row>
    <row r="9" spans="1:30">
      <c r="A9" s="112"/>
      <c r="B9" s="112"/>
      <c r="C9" s="112"/>
      <c r="D9" s="112"/>
      <c r="E9" s="112"/>
      <c r="F9" s="112"/>
      <c r="G9" s="112"/>
      <c r="I9" s="112"/>
      <c r="J9" s="112"/>
      <c r="K9" s="112"/>
      <c r="L9" s="112"/>
      <c r="M9" s="112"/>
      <c r="N9" s="112"/>
      <c r="O9" s="112"/>
      <c r="Q9" s="112"/>
      <c r="R9" s="112"/>
      <c r="S9" s="112"/>
      <c r="T9" s="112"/>
      <c r="U9" s="112"/>
      <c r="V9" s="112"/>
      <c r="X9" s="112"/>
      <c r="Y9" s="112"/>
      <c r="Z9" s="112" t="s">
        <v>125</v>
      </c>
      <c r="AA9" s="112"/>
      <c r="AB9" s="112"/>
      <c r="AC9" s="112"/>
      <c r="AD9" s="112"/>
    </row>
    <row r="10" spans="1:30">
      <c r="A10" s="112"/>
      <c r="B10" s="112"/>
      <c r="C10" s="112"/>
      <c r="D10" s="112"/>
      <c r="E10" s="112"/>
      <c r="F10" s="112"/>
      <c r="G10" s="112"/>
      <c r="I10" s="112"/>
      <c r="J10" s="112"/>
      <c r="K10" s="112"/>
      <c r="L10" s="112"/>
      <c r="M10" s="112"/>
      <c r="N10" s="112"/>
      <c r="O10" s="112"/>
      <c r="Q10" s="112"/>
      <c r="R10" s="112"/>
      <c r="S10" s="112"/>
      <c r="T10" s="112"/>
      <c r="U10" s="112"/>
      <c r="V10" s="112"/>
      <c r="X10" s="112"/>
      <c r="Y10" s="112"/>
      <c r="Z10" s="112"/>
      <c r="AA10" s="112"/>
      <c r="AB10" s="112"/>
      <c r="AC10" s="112"/>
      <c r="AD10" s="112"/>
    </row>
    <row r="11" spans="1:30">
      <c r="A11" s="112"/>
      <c r="B11" s="112"/>
      <c r="C11" s="112"/>
      <c r="D11" s="112"/>
      <c r="E11" s="112"/>
      <c r="F11" s="112"/>
      <c r="G11" s="112"/>
      <c r="I11" s="112"/>
      <c r="J11" s="112"/>
      <c r="K11" s="112"/>
      <c r="L11" s="112"/>
      <c r="M11" s="112"/>
      <c r="N11" s="112"/>
      <c r="O11" s="112"/>
      <c r="Q11" s="112"/>
      <c r="R11" s="112"/>
      <c r="S11" s="112"/>
      <c r="T11" s="112"/>
      <c r="U11" s="112"/>
      <c r="V11" s="112"/>
      <c r="X11" s="112"/>
      <c r="Y11" s="112"/>
      <c r="Z11" s="112"/>
      <c r="AA11" s="112"/>
      <c r="AB11" s="112"/>
      <c r="AC11" s="112"/>
      <c r="AD11" s="112"/>
    </row>
    <row r="12" spans="1:30">
      <c r="A12" s="112"/>
      <c r="B12" s="112"/>
      <c r="C12" s="112"/>
      <c r="D12" s="112"/>
      <c r="E12" s="112"/>
      <c r="F12" s="112"/>
      <c r="G12" s="112"/>
      <c r="I12" s="112"/>
      <c r="J12" s="112"/>
      <c r="K12" s="112"/>
      <c r="L12" s="112"/>
      <c r="M12" s="112"/>
      <c r="N12" s="112"/>
      <c r="O12" s="112"/>
      <c r="Q12" s="112"/>
      <c r="R12" s="112"/>
      <c r="S12" s="112"/>
      <c r="T12" s="112"/>
      <c r="U12" s="112"/>
      <c r="V12" s="112"/>
      <c r="X12" s="112"/>
      <c r="Y12" s="112"/>
      <c r="Z12" s="112"/>
      <c r="AA12" s="112"/>
      <c r="AB12" s="112"/>
      <c r="AC12" s="112"/>
      <c r="AD12" s="112"/>
    </row>
    <row r="13" spans="1:30">
      <c r="A13" s="112"/>
      <c r="B13" s="112"/>
      <c r="C13" s="112"/>
      <c r="D13" s="112"/>
      <c r="E13" s="112"/>
      <c r="F13" s="112"/>
      <c r="G13" s="112"/>
      <c r="I13" s="112"/>
      <c r="J13" s="112"/>
      <c r="K13" s="112"/>
      <c r="L13" s="112"/>
      <c r="M13" s="112"/>
      <c r="N13" s="112"/>
      <c r="O13" s="112"/>
      <c r="Q13" s="112"/>
      <c r="R13" s="112"/>
      <c r="S13" s="112"/>
      <c r="T13" s="112"/>
      <c r="U13" s="112"/>
      <c r="V13" s="112"/>
      <c r="X13" s="112"/>
      <c r="Y13" s="112"/>
      <c r="Z13" s="112"/>
      <c r="AA13" s="112"/>
      <c r="AB13" s="112"/>
      <c r="AC13" s="112"/>
      <c r="AD13" s="112"/>
    </row>
    <row r="14" spans="1:30">
      <c r="A14" s="112"/>
      <c r="B14" s="112"/>
      <c r="C14" s="112"/>
      <c r="D14" s="112"/>
      <c r="E14" s="112"/>
      <c r="F14" s="112"/>
      <c r="G14" s="112"/>
      <c r="I14" s="112"/>
      <c r="J14" s="112"/>
      <c r="K14" s="112"/>
      <c r="L14" s="112"/>
      <c r="M14" s="112"/>
      <c r="N14" s="112"/>
      <c r="O14" s="112"/>
      <c r="Q14" s="112"/>
      <c r="R14" s="112"/>
      <c r="S14" s="112"/>
      <c r="T14" s="112"/>
      <c r="U14" s="112"/>
      <c r="V14" s="112"/>
      <c r="X14" s="112"/>
      <c r="Y14" s="112"/>
      <c r="Z14" s="112"/>
      <c r="AA14" s="112"/>
      <c r="AB14" s="112"/>
      <c r="AC14" s="112"/>
      <c r="AD14" s="112"/>
    </row>
    <row r="15" spans="1:30">
      <c r="A15" s="112"/>
      <c r="B15" s="112"/>
      <c r="C15" s="112"/>
      <c r="D15" s="112"/>
      <c r="E15" s="112"/>
      <c r="F15" s="112"/>
      <c r="G15" s="112"/>
      <c r="I15" s="112"/>
      <c r="J15" s="112"/>
      <c r="K15" s="112"/>
      <c r="L15" s="112"/>
      <c r="M15" s="112"/>
      <c r="N15" s="112"/>
      <c r="O15" s="112"/>
      <c r="Q15" s="112"/>
      <c r="R15" s="112"/>
      <c r="S15" s="112"/>
      <c r="T15" s="112"/>
      <c r="U15" s="112"/>
      <c r="V15" s="112"/>
      <c r="X15" s="112"/>
      <c r="Y15" s="112"/>
      <c r="Z15" s="112"/>
      <c r="AA15" s="112"/>
      <c r="AB15" s="112"/>
      <c r="AC15" s="112"/>
      <c r="AD15" s="112"/>
    </row>
    <row r="16" spans="1:30">
      <c r="A16" s="112"/>
      <c r="B16" s="112"/>
      <c r="C16" s="112"/>
      <c r="D16" s="112"/>
      <c r="E16" s="112"/>
      <c r="F16" s="112"/>
      <c r="G16" s="112"/>
      <c r="I16" s="112"/>
      <c r="J16" s="112"/>
      <c r="K16" s="112"/>
      <c r="L16" s="112"/>
      <c r="M16" s="112"/>
      <c r="N16" s="112"/>
      <c r="O16" s="112"/>
      <c r="Q16" s="112"/>
      <c r="R16" s="112"/>
      <c r="S16" s="112"/>
      <c r="T16" s="112"/>
      <c r="U16" s="112"/>
      <c r="V16" s="112"/>
      <c r="X16" s="112"/>
      <c r="Y16" s="112"/>
      <c r="Z16" s="112"/>
      <c r="AA16" s="112"/>
      <c r="AB16" s="112"/>
      <c r="AC16" s="112"/>
      <c r="AD16" s="112"/>
    </row>
    <row r="17" spans="1:30">
      <c r="A17" s="112"/>
      <c r="B17" s="112"/>
      <c r="C17" s="112"/>
      <c r="D17" s="112"/>
      <c r="E17" s="112"/>
      <c r="F17" s="112"/>
      <c r="G17" s="112"/>
      <c r="I17" s="112"/>
      <c r="J17" s="112"/>
      <c r="K17" s="112"/>
      <c r="L17" s="112"/>
      <c r="M17" s="112"/>
      <c r="N17" s="112"/>
      <c r="O17" s="112"/>
      <c r="Q17" s="112"/>
      <c r="R17" s="112"/>
      <c r="S17" s="112"/>
      <c r="T17" s="112"/>
      <c r="U17" s="112"/>
      <c r="V17" s="112"/>
      <c r="X17" s="112"/>
      <c r="Y17" s="112"/>
      <c r="Z17" s="112"/>
      <c r="AA17" s="112"/>
      <c r="AB17" s="112"/>
      <c r="AC17" s="112"/>
      <c r="AD17" s="112"/>
    </row>
    <row r="18" spans="1:30">
      <c r="A18" s="112"/>
      <c r="B18" s="112"/>
      <c r="C18" s="112"/>
      <c r="D18" s="112"/>
      <c r="E18" s="112"/>
      <c r="F18" s="112"/>
      <c r="G18" s="112"/>
      <c r="I18" s="112"/>
      <c r="J18" s="112"/>
      <c r="K18" s="112"/>
      <c r="L18" s="112"/>
      <c r="M18" s="112"/>
      <c r="N18" s="112"/>
      <c r="O18" s="112"/>
      <c r="Q18" s="112"/>
      <c r="R18" s="112"/>
      <c r="S18" s="112"/>
      <c r="T18" s="112"/>
      <c r="U18" s="112"/>
      <c r="V18" s="112"/>
      <c r="X18" s="112"/>
      <c r="Y18" s="112"/>
      <c r="Z18" s="112"/>
      <c r="AA18" s="112"/>
      <c r="AB18" s="112"/>
      <c r="AC18" s="112"/>
      <c r="AD18" s="112"/>
    </row>
    <row r="19" spans="1:30">
      <c r="A19" s="112"/>
      <c r="B19" s="112"/>
      <c r="C19" s="112"/>
      <c r="D19" s="112"/>
      <c r="E19" s="112"/>
      <c r="F19" s="112"/>
      <c r="G19" s="112"/>
      <c r="I19" s="112"/>
      <c r="J19" s="112"/>
      <c r="K19" s="112"/>
      <c r="L19" s="112"/>
      <c r="M19" s="112"/>
      <c r="N19" s="112"/>
      <c r="O19" s="112"/>
      <c r="Q19" s="112"/>
      <c r="R19" s="112"/>
      <c r="S19" s="112"/>
      <c r="T19" s="112"/>
      <c r="U19" s="112"/>
      <c r="V19" s="112"/>
      <c r="X19" s="112"/>
      <c r="Y19" s="112"/>
      <c r="Z19" s="112"/>
      <c r="AA19" s="112"/>
      <c r="AB19" s="112"/>
      <c r="AC19" s="112"/>
      <c r="AD19" s="112"/>
    </row>
    <row r="20" spans="1:30">
      <c r="A20" s="112"/>
      <c r="B20" s="112"/>
      <c r="C20" s="112"/>
      <c r="D20" s="112"/>
      <c r="E20" s="112"/>
      <c r="F20" s="112"/>
      <c r="G20" s="112"/>
      <c r="I20" s="112"/>
      <c r="J20" s="112"/>
      <c r="K20" s="112"/>
      <c r="L20" s="112"/>
      <c r="M20" s="112"/>
      <c r="N20" s="112"/>
      <c r="O20" s="112"/>
      <c r="Q20" s="112"/>
      <c r="R20" s="112"/>
      <c r="S20" s="112"/>
      <c r="T20" s="112"/>
      <c r="U20" s="112"/>
      <c r="V20" s="112"/>
      <c r="X20" s="112"/>
      <c r="Y20" s="112"/>
      <c r="Z20" s="112"/>
      <c r="AA20" s="112"/>
      <c r="AB20" s="112"/>
      <c r="AC20" s="112"/>
      <c r="AD20" s="112"/>
    </row>
    <row r="21" spans="1:30">
      <c r="A21" s="112"/>
      <c r="B21" s="112"/>
      <c r="C21" s="112"/>
      <c r="D21" s="112"/>
      <c r="E21" s="112"/>
      <c r="F21" s="112"/>
      <c r="G21" s="112"/>
      <c r="I21" s="112"/>
      <c r="J21" s="112"/>
      <c r="K21" s="112"/>
      <c r="L21" s="112"/>
      <c r="M21" s="112"/>
      <c r="N21" s="112"/>
      <c r="O21" s="112"/>
      <c r="Q21" s="112"/>
      <c r="R21" s="112"/>
      <c r="S21" s="112"/>
      <c r="T21" s="112"/>
      <c r="U21" s="112"/>
      <c r="V21" s="112"/>
      <c r="X21" s="112"/>
      <c r="Y21" s="112"/>
      <c r="Z21" s="112"/>
      <c r="AA21" s="112"/>
      <c r="AB21" s="112"/>
      <c r="AC21" s="112"/>
      <c r="AD21" s="112"/>
    </row>
    <row r="22" spans="1:30">
      <c r="A22" s="112"/>
      <c r="B22" s="112"/>
      <c r="C22" s="112"/>
      <c r="D22" s="112"/>
      <c r="E22" s="112"/>
      <c r="F22" s="112"/>
      <c r="G22" s="112"/>
      <c r="I22" s="112"/>
      <c r="J22" s="112"/>
      <c r="K22" s="112"/>
      <c r="L22" s="112"/>
      <c r="M22" s="112"/>
      <c r="N22" s="112"/>
      <c r="O22" s="112"/>
      <c r="Q22" s="112"/>
      <c r="R22" s="112"/>
      <c r="S22" s="112"/>
      <c r="T22" s="112"/>
      <c r="U22" s="112"/>
      <c r="V22" s="112"/>
      <c r="X22" s="112"/>
      <c r="Y22" s="112"/>
      <c r="Z22" s="112"/>
      <c r="AA22" s="112"/>
      <c r="AB22" s="112"/>
      <c r="AC22" s="112"/>
      <c r="AD22" s="112"/>
    </row>
    <row r="23" spans="1:30">
      <c r="A23" s="112"/>
      <c r="B23" s="112"/>
      <c r="C23" s="112"/>
      <c r="D23" s="112"/>
      <c r="E23" s="112"/>
      <c r="F23" s="112"/>
      <c r="G23" s="112"/>
      <c r="I23" s="112"/>
      <c r="J23" s="112"/>
      <c r="K23" s="112"/>
      <c r="L23" s="112"/>
      <c r="M23" s="112"/>
      <c r="N23" s="112"/>
      <c r="O23" s="112"/>
      <c r="Q23" s="112"/>
      <c r="R23" s="112"/>
      <c r="S23" s="112"/>
      <c r="T23" s="112"/>
      <c r="U23" s="112"/>
      <c r="V23" s="112"/>
      <c r="X23" s="112"/>
      <c r="Y23" s="112"/>
      <c r="Z23" s="112"/>
      <c r="AA23" s="112"/>
      <c r="AB23" s="112"/>
      <c r="AC23" s="112"/>
      <c r="AD23" s="112"/>
    </row>
    <row r="24" spans="1:30">
      <c r="A24" s="112"/>
      <c r="B24" s="112"/>
      <c r="C24" s="112"/>
      <c r="D24" s="112"/>
      <c r="E24" s="112"/>
      <c r="F24" s="112"/>
      <c r="G24" s="112"/>
      <c r="I24" s="112"/>
      <c r="J24" s="112"/>
      <c r="K24" s="112"/>
      <c r="L24" s="112"/>
      <c r="M24" s="112"/>
      <c r="N24" s="112"/>
      <c r="O24" s="112"/>
      <c r="Q24" s="112"/>
      <c r="R24" s="112"/>
      <c r="S24" s="112"/>
      <c r="T24" s="112"/>
      <c r="U24" s="112"/>
      <c r="V24" s="112"/>
      <c r="X24" s="112"/>
      <c r="Y24" s="112"/>
      <c r="Z24" s="112"/>
      <c r="AA24" s="112"/>
      <c r="AB24" s="112"/>
      <c r="AC24" s="112"/>
      <c r="AD24" s="112"/>
    </row>
    <row r="25" spans="1:30">
      <c r="A25" s="112"/>
      <c r="B25" s="112"/>
      <c r="C25" s="112"/>
      <c r="D25" s="112"/>
      <c r="E25" s="112"/>
      <c r="F25" s="112"/>
      <c r="G25" s="112"/>
      <c r="I25" s="112"/>
      <c r="J25" s="112"/>
      <c r="K25" s="112"/>
      <c r="L25" s="112"/>
      <c r="M25" s="112"/>
      <c r="N25" s="112"/>
      <c r="O25" s="112"/>
      <c r="Q25" s="112"/>
      <c r="R25" s="112"/>
      <c r="S25" s="112"/>
      <c r="T25" s="112"/>
      <c r="U25" s="112"/>
      <c r="V25" s="112"/>
      <c r="X25" s="112"/>
      <c r="Y25" s="112"/>
      <c r="Z25" s="112"/>
      <c r="AA25" s="112"/>
      <c r="AB25" s="112"/>
      <c r="AC25" s="112"/>
      <c r="AD25" s="112"/>
    </row>
    <row r="26" spans="1:30">
      <c r="A26" s="112"/>
      <c r="B26" s="112"/>
      <c r="C26" s="112"/>
      <c r="D26" s="112"/>
      <c r="E26" s="112"/>
      <c r="F26" s="112"/>
      <c r="G26" s="112"/>
      <c r="I26" s="112"/>
      <c r="J26" s="112"/>
      <c r="K26" s="112"/>
      <c r="L26" s="112"/>
      <c r="M26" s="112"/>
      <c r="N26" s="112"/>
      <c r="O26" s="112"/>
      <c r="Q26" s="112"/>
      <c r="R26" s="112"/>
      <c r="S26" s="112"/>
      <c r="T26" s="112"/>
      <c r="U26" s="112"/>
      <c r="V26" s="112"/>
      <c r="X26" s="112"/>
      <c r="Y26" s="112"/>
      <c r="Z26" s="112"/>
      <c r="AA26" s="112"/>
      <c r="AB26" s="112"/>
      <c r="AC26" s="112"/>
      <c r="AD26" s="112"/>
    </row>
    <row r="27" spans="1:30">
      <c r="A27" s="112"/>
      <c r="B27" s="112"/>
      <c r="C27" s="112"/>
      <c r="D27" s="112"/>
      <c r="E27" s="112"/>
      <c r="F27" s="112"/>
      <c r="G27" s="112"/>
      <c r="I27" s="112"/>
      <c r="J27" s="112"/>
      <c r="K27" s="112"/>
      <c r="L27" s="112"/>
      <c r="M27" s="112"/>
      <c r="N27" s="112"/>
      <c r="O27" s="112"/>
      <c r="Q27" s="112"/>
      <c r="R27" s="112"/>
      <c r="S27" s="112"/>
      <c r="T27" s="112"/>
      <c r="U27" s="112"/>
      <c r="V27" s="112"/>
      <c r="X27" s="112"/>
      <c r="Y27" s="112"/>
      <c r="Z27" s="112"/>
      <c r="AA27" s="112"/>
      <c r="AB27" s="112"/>
      <c r="AC27" s="112"/>
      <c r="AD27" s="112"/>
    </row>
    <row r="28" spans="1:30">
      <c r="A28" s="112"/>
      <c r="B28" s="112"/>
      <c r="C28" s="112"/>
      <c r="D28" s="112"/>
      <c r="E28" s="112"/>
      <c r="F28" s="112"/>
      <c r="G28" s="112"/>
      <c r="I28" s="112"/>
      <c r="J28" s="112"/>
      <c r="K28" s="112"/>
      <c r="L28" s="112"/>
      <c r="M28" s="112"/>
      <c r="N28" s="112"/>
      <c r="O28" s="112"/>
      <c r="Q28" s="112"/>
      <c r="R28" s="112"/>
      <c r="S28" s="112"/>
      <c r="T28" s="112"/>
      <c r="U28" s="112"/>
      <c r="V28" s="112"/>
      <c r="X28" s="112"/>
      <c r="Y28" s="112"/>
      <c r="Z28" s="112"/>
      <c r="AA28" s="112"/>
      <c r="AB28" s="112"/>
      <c r="AC28" s="112"/>
      <c r="AD28" s="112"/>
    </row>
    <row r="29" spans="1:30">
      <c r="A29" s="112"/>
      <c r="B29" s="112"/>
      <c r="C29" s="112"/>
      <c r="D29" s="112"/>
      <c r="E29" s="112"/>
      <c r="F29" s="112"/>
      <c r="G29" s="112"/>
      <c r="I29" s="112"/>
      <c r="J29" s="112"/>
      <c r="K29" s="112"/>
      <c r="L29" s="112"/>
      <c r="M29" s="112"/>
      <c r="N29" s="112"/>
      <c r="O29" s="112"/>
      <c r="Q29" s="112"/>
      <c r="R29" s="112"/>
      <c r="S29" s="112"/>
      <c r="T29" s="112"/>
      <c r="U29" s="112"/>
      <c r="V29" s="112"/>
      <c r="X29" s="112"/>
      <c r="Y29" s="112"/>
      <c r="Z29" s="112"/>
      <c r="AA29" s="112"/>
      <c r="AB29" s="112"/>
      <c r="AC29" s="112"/>
      <c r="AD29" s="112"/>
    </row>
    <row r="30" spans="1:30">
      <c r="A30" s="112"/>
      <c r="B30" s="112"/>
      <c r="C30" s="112"/>
      <c r="D30" s="112"/>
      <c r="E30" s="112"/>
      <c r="F30" s="112"/>
      <c r="G30" s="112"/>
      <c r="I30" s="112"/>
      <c r="J30" s="112"/>
      <c r="K30" s="112"/>
      <c r="L30" s="112"/>
      <c r="M30" s="112"/>
      <c r="N30" s="112"/>
      <c r="O30" s="112"/>
      <c r="Q30" s="112"/>
      <c r="R30" s="112"/>
      <c r="S30" s="112"/>
      <c r="T30" s="112"/>
      <c r="U30" s="112"/>
      <c r="V30" s="112"/>
      <c r="X30" s="112"/>
      <c r="Y30" s="112"/>
      <c r="Z30" s="112"/>
      <c r="AA30" s="112"/>
      <c r="AB30" s="112"/>
      <c r="AC30" s="112"/>
      <c r="AD30" s="112"/>
    </row>
    <row r="31" spans="1:30">
      <c r="A31" s="112"/>
      <c r="B31" s="112"/>
      <c r="C31" s="112"/>
      <c r="D31" s="112"/>
      <c r="E31" s="112"/>
      <c r="F31" s="112"/>
      <c r="G31" s="112"/>
      <c r="I31" s="112"/>
      <c r="J31" s="112"/>
      <c r="K31" s="112"/>
      <c r="L31" s="112"/>
      <c r="M31" s="112"/>
      <c r="N31" s="112"/>
      <c r="O31" s="112"/>
      <c r="Q31" s="112"/>
      <c r="R31" s="112"/>
      <c r="S31" s="112"/>
      <c r="T31" s="112"/>
      <c r="U31" s="112"/>
      <c r="V31" s="112"/>
      <c r="X31" s="112"/>
      <c r="Y31" s="112"/>
      <c r="Z31" s="112"/>
      <c r="AA31" s="112"/>
      <c r="AB31" s="112"/>
      <c r="AC31" s="112"/>
      <c r="AD31" s="112"/>
    </row>
    <row r="32" spans="1:30">
      <c r="A32" s="112"/>
      <c r="B32" s="112"/>
      <c r="C32" s="112"/>
      <c r="D32" s="112"/>
      <c r="E32" s="112"/>
      <c r="F32" s="112"/>
      <c r="G32" s="112"/>
      <c r="I32" s="112"/>
      <c r="J32" s="112"/>
      <c r="K32" s="112"/>
      <c r="L32" s="112"/>
      <c r="M32" s="112"/>
      <c r="N32" s="112"/>
      <c r="O32" s="112"/>
      <c r="Q32" s="112"/>
      <c r="R32" s="112"/>
      <c r="S32" s="112"/>
      <c r="T32" s="112"/>
      <c r="U32" s="112"/>
      <c r="V32" s="112"/>
      <c r="X32" s="112"/>
      <c r="Y32" s="112"/>
      <c r="Z32" s="112"/>
      <c r="AA32" s="112"/>
      <c r="AB32" s="112"/>
      <c r="AC32" s="112"/>
      <c r="AD32" s="112"/>
    </row>
    <row r="33" spans="1:30">
      <c r="A33" s="112"/>
      <c r="B33" s="112"/>
      <c r="C33" s="112"/>
      <c r="D33" s="112"/>
      <c r="E33" s="112"/>
      <c r="F33" s="112"/>
      <c r="G33" s="112"/>
      <c r="I33" s="112"/>
      <c r="J33" s="112"/>
      <c r="K33" s="112"/>
      <c r="L33" s="112"/>
      <c r="M33" s="112"/>
      <c r="N33" s="112"/>
      <c r="O33" s="112"/>
      <c r="Q33" s="112"/>
      <c r="R33" s="112"/>
      <c r="S33" s="112"/>
      <c r="T33" s="112"/>
      <c r="U33" s="112"/>
      <c r="V33" s="112"/>
      <c r="X33" s="112"/>
      <c r="Y33" s="112"/>
      <c r="Z33" s="112"/>
      <c r="AA33" s="112"/>
      <c r="AB33" s="112"/>
      <c r="AC33" s="112"/>
      <c r="AD33" s="112"/>
    </row>
    <row r="34" spans="1:30">
      <c r="A34" s="112"/>
      <c r="B34" s="112"/>
      <c r="C34" s="112"/>
      <c r="D34" s="112"/>
      <c r="E34" s="112"/>
      <c r="F34" s="112"/>
      <c r="G34" s="112"/>
      <c r="I34" s="112"/>
      <c r="J34" s="112"/>
      <c r="K34" s="112"/>
      <c r="L34" s="112"/>
      <c r="M34" s="112"/>
      <c r="N34" s="112"/>
      <c r="O34" s="112"/>
      <c r="Q34" s="112"/>
      <c r="R34" s="112"/>
      <c r="S34" s="112"/>
      <c r="T34" s="112"/>
      <c r="U34" s="112"/>
      <c r="V34" s="112"/>
      <c r="X34" s="112"/>
      <c r="Y34" s="112"/>
      <c r="Z34" s="112"/>
      <c r="AA34" s="112"/>
      <c r="AB34" s="112"/>
      <c r="AC34" s="112"/>
      <c r="AD34" s="112"/>
    </row>
    <row r="35" spans="1:30">
      <c r="A35" s="112"/>
      <c r="B35" s="112"/>
      <c r="C35" s="112"/>
      <c r="D35" s="112"/>
      <c r="E35" s="112"/>
      <c r="F35" s="112"/>
      <c r="G35" s="112"/>
      <c r="I35" s="112"/>
      <c r="J35" s="112"/>
      <c r="K35" s="112"/>
      <c r="L35" s="112"/>
      <c r="M35" s="112"/>
      <c r="N35" s="112"/>
      <c r="O35" s="112"/>
      <c r="Q35" s="112"/>
      <c r="R35" s="112"/>
      <c r="S35" s="112"/>
      <c r="T35" s="112"/>
      <c r="U35" s="112"/>
      <c r="V35" s="112"/>
      <c r="X35" s="112"/>
      <c r="Y35" s="112"/>
      <c r="Z35" s="112"/>
      <c r="AA35" s="112"/>
      <c r="AB35" s="112"/>
      <c r="AC35" s="112"/>
      <c r="AD35" s="112"/>
    </row>
    <row r="36" spans="1:30">
      <c r="A36" s="112"/>
      <c r="B36" s="112"/>
      <c r="C36" s="112"/>
      <c r="D36" s="112"/>
      <c r="E36" s="112"/>
      <c r="F36" s="112"/>
      <c r="G36" s="112"/>
      <c r="I36" s="112"/>
      <c r="J36" s="112"/>
      <c r="K36" s="112"/>
      <c r="L36" s="112"/>
      <c r="M36" s="112"/>
      <c r="N36" s="112"/>
      <c r="O36" s="112"/>
      <c r="Q36" s="112"/>
      <c r="R36" s="112"/>
      <c r="S36" s="112"/>
      <c r="T36" s="112"/>
      <c r="U36" s="112"/>
      <c r="V36" s="112"/>
      <c r="X36" s="112"/>
      <c r="Y36" s="112"/>
      <c r="Z36" s="112"/>
      <c r="AA36" s="112"/>
      <c r="AB36" s="112"/>
      <c r="AC36" s="112"/>
      <c r="AD36" s="112"/>
    </row>
    <row r="37" spans="1:30">
      <c r="A37" s="112"/>
      <c r="B37" s="112"/>
      <c r="C37" s="112"/>
      <c r="D37" s="112"/>
      <c r="E37" s="112"/>
      <c r="F37" s="112"/>
      <c r="G37" s="112"/>
      <c r="I37" s="112"/>
      <c r="J37" s="112"/>
      <c r="K37" s="112"/>
      <c r="L37" s="112"/>
      <c r="M37" s="112"/>
      <c r="N37" s="112"/>
      <c r="O37" s="112"/>
      <c r="Q37" s="112"/>
      <c r="R37" s="112"/>
      <c r="S37" s="112"/>
      <c r="T37" s="112"/>
      <c r="U37" s="112"/>
      <c r="V37" s="112"/>
      <c r="X37" s="112"/>
      <c r="Y37" s="112"/>
      <c r="Z37" s="112"/>
      <c r="AA37" s="112"/>
      <c r="AB37" s="112"/>
      <c r="AC37" s="112"/>
      <c r="AD37" s="112"/>
    </row>
    <row r="38" spans="1:30">
      <c r="A38" s="112"/>
      <c r="B38" s="112"/>
      <c r="C38" s="112"/>
      <c r="D38" s="112"/>
      <c r="E38" s="112"/>
      <c r="F38" s="112"/>
      <c r="G38" s="112"/>
      <c r="I38" s="112"/>
      <c r="J38" s="112"/>
      <c r="K38" s="112"/>
      <c r="L38" s="112"/>
      <c r="M38" s="112"/>
      <c r="N38" s="112"/>
      <c r="O38" s="112"/>
      <c r="Q38" s="112"/>
      <c r="R38" s="112"/>
      <c r="S38" s="112"/>
      <c r="T38" s="112"/>
      <c r="U38" s="112"/>
      <c r="V38" s="112"/>
      <c r="X38" s="112"/>
      <c r="Y38" s="112"/>
      <c r="Z38" s="112"/>
      <c r="AA38" s="112"/>
      <c r="AB38" s="112"/>
      <c r="AC38" s="112"/>
      <c r="AD38" s="112"/>
    </row>
    <row r="39" spans="1:30">
      <c r="A39" s="112"/>
      <c r="B39" s="112"/>
      <c r="C39" s="112"/>
      <c r="D39" s="112"/>
      <c r="E39" s="112"/>
      <c r="F39" s="112"/>
      <c r="G39" s="112"/>
      <c r="I39" s="112"/>
      <c r="J39" s="112"/>
      <c r="K39" s="112"/>
      <c r="L39" s="112"/>
      <c r="M39" s="112"/>
      <c r="N39" s="112"/>
      <c r="O39" s="112"/>
      <c r="Q39" s="112"/>
      <c r="R39" s="112"/>
      <c r="S39" s="112"/>
      <c r="T39" s="112"/>
      <c r="U39" s="112"/>
      <c r="V39" s="112"/>
      <c r="X39" s="112"/>
      <c r="Y39" s="112"/>
      <c r="Z39" s="112"/>
      <c r="AA39" s="112"/>
      <c r="AB39" s="112"/>
      <c r="AC39" s="112"/>
      <c r="AD39" s="112"/>
    </row>
    <row r="40" spans="1:30">
      <c r="A40" s="112"/>
      <c r="B40" s="112"/>
      <c r="C40" s="112"/>
      <c r="D40" s="112"/>
      <c r="E40" s="112"/>
      <c r="F40" s="112"/>
      <c r="G40" s="112"/>
      <c r="I40" s="112"/>
      <c r="J40" s="112"/>
      <c r="K40" s="112"/>
      <c r="L40" s="112"/>
      <c r="M40" s="112"/>
      <c r="N40" s="112"/>
      <c r="O40" s="112"/>
      <c r="Q40" s="112"/>
      <c r="R40" s="112"/>
      <c r="S40" s="112"/>
      <c r="T40" s="112"/>
      <c r="U40" s="112"/>
      <c r="V40" s="112"/>
      <c r="X40" s="112"/>
      <c r="Y40" s="112"/>
      <c r="Z40" s="112"/>
      <c r="AA40" s="112"/>
      <c r="AB40" s="112"/>
      <c r="AC40" s="112"/>
      <c r="AD40" s="112"/>
    </row>
    <row r="41" spans="1:30">
      <c r="A41" s="112"/>
      <c r="B41" s="112"/>
      <c r="C41" s="112"/>
      <c r="D41" s="112"/>
      <c r="E41" s="112"/>
      <c r="F41" s="112"/>
      <c r="G41" s="112"/>
      <c r="I41" s="112"/>
      <c r="J41" s="112"/>
      <c r="K41" s="112"/>
      <c r="L41" s="112"/>
      <c r="M41" s="112"/>
      <c r="N41" s="112"/>
      <c r="O41" s="112"/>
      <c r="Q41" s="112"/>
      <c r="R41" s="112"/>
      <c r="S41" s="112"/>
      <c r="T41" s="112"/>
      <c r="U41" s="112"/>
      <c r="V41" s="112"/>
      <c r="X41" s="112"/>
      <c r="Y41" s="112"/>
      <c r="Z41" s="112"/>
      <c r="AA41" s="112"/>
      <c r="AB41" s="112"/>
      <c r="AC41" s="112"/>
      <c r="AD41" s="112"/>
    </row>
    <row r="42" spans="1:30">
      <c r="A42" s="112"/>
      <c r="B42" s="112"/>
      <c r="C42" s="112"/>
      <c r="D42" s="112"/>
      <c r="E42" s="112"/>
      <c r="F42" s="112"/>
      <c r="G42" s="112"/>
      <c r="I42" s="112"/>
      <c r="J42" s="112"/>
      <c r="K42" s="112"/>
      <c r="L42" s="112"/>
      <c r="M42" s="112"/>
      <c r="N42" s="112"/>
      <c r="O42" s="112"/>
      <c r="Q42" s="112"/>
      <c r="R42" s="112"/>
      <c r="S42" s="112"/>
      <c r="T42" s="112"/>
      <c r="U42" s="112"/>
      <c r="V42" s="112"/>
      <c r="X42" s="112"/>
      <c r="Y42" s="112"/>
      <c r="Z42" s="112"/>
      <c r="AA42" s="112"/>
      <c r="AB42" s="112"/>
      <c r="AC42" s="112"/>
      <c r="AD42" s="112"/>
    </row>
    <row r="43" spans="1:30">
      <c r="A43" s="112"/>
      <c r="B43" s="112"/>
      <c r="C43" s="112"/>
      <c r="D43" s="112"/>
      <c r="E43" s="112"/>
      <c r="F43" s="112"/>
      <c r="G43" s="112"/>
      <c r="I43" s="112"/>
      <c r="J43" s="112"/>
      <c r="K43" s="112"/>
      <c r="L43" s="112"/>
      <c r="M43" s="112"/>
      <c r="N43" s="112"/>
      <c r="O43" s="112"/>
      <c r="Q43" s="112"/>
      <c r="R43" s="112"/>
      <c r="S43" s="112"/>
      <c r="T43" s="112"/>
      <c r="U43" s="112"/>
      <c r="V43" s="112"/>
      <c r="X43" s="112"/>
      <c r="Y43" s="112"/>
      <c r="Z43" s="112"/>
      <c r="AA43" s="112"/>
      <c r="AB43" s="112"/>
      <c r="AC43" s="112"/>
      <c r="AD43" s="112"/>
    </row>
    <row r="44" spans="1:30">
      <c r="A44" s="112"/>
      <c r="B44" s="112"/>
      <c r="C44" s="112"/>
      <c r="D44" s="112"/>
      <c r="E44" s="112"/>
      <c r="F44" s="112"/>
      <c r="G44" s="112"/>
      <c r="I44" s="112"/>
      <c r="J44" s="112"/>
      <c r="K44" s="112"/>
      <c r="L44" s="112"/>
      <c r="M44" s="112"/>
      <c r="N44" s="112"/>
      <c r="O44" s="112"/>
      <c r="Q44" s="112"/>
      <c r="R44" s="112"/>
      <c r="S44" s="112"/>
      <c r="T44" s="112"/>
      <c r="U44" s="112"/>
      <c r="V44" s="112"/>
      <c r="X44" s="112"/>
      <c r="Y44" s="112"/>
      <c r="Z44" s="112"/>
      <c r="AA44" s="112"/>
      <c r="AB44" s="112"/>
      <c r="AC44" s="112"/>
      <c r="AD44" s="112"/>
    </row>
    <row r="45" spans="1:30">
      <c r="A45" s="112"/>
      <c r="B45" s="112"/>
      <c r="C45" s="112"/>
      <c r="D45" s="112"/>
      <c r="E45" s="112"/>
      <c r="F45" s="112"/>
      <c r="G45" s="112"/>
      <c r="I45" s="112"/>
      <c r="J45" s="112"/>
      <c r="K45" s="112"/>
      <c r="L45" s="112"/>
      <c r="M45" s="112"/>
      <c r="N45" s="112"/>
      <c r="O45" s="112"/>
      <c r="Q45" s="112"/>
      <c r="R45" s="112"/>
      <c r="S45" s="112"/>
      <c r="T45" s="112"/>
      <c r="U45" s="112"/>
      <c r="V45" s="112"/>
      <c r="X45" s="112"/>
      <c r="Y45" s="112"/>
      <c r="Z45" s="112"/>
      <c r="AA45" s="112"/>
      <c r="AB45" s="112"/>
      <c r="AC45" s="112"/>
      <c r="AD45" s="112"/>
    </row>
    <row r="46" spans="1:30">
      <c r="A46" s="112"/>
      <c r="B46" s="112"/>
      <c r="C46" s="112"/>
      <c r="D46" s="112"/>
      <c r="E46" s="112"/>
      <c r="F46" s="112"/>
      <c r="G46" s="112"/>
      <c r="I46" s="112"/>
      <c r="J46" s="112"/>
      <c r="K46" s="112"/>
      <c r="L46" s="112"/>
      <c r="M46" s="112"/>
      <c r="N46" s="112"/>
      <c r="O46" s="112"/>
      <c r="Q46" s="112"/>
      <c r="R46" s="112"/>
      <c r="S46" s="112"/>
      <c r="T46" s="112"/>
      <c r="U46" s="112"/>
      <c r="V46" s="112"/>
      <c r="X46" s="112"/>
      <c r="Y46" s="112"/>
      <c r="Z46" s="112"/>
      <c r="AA46" s="112"/>
      <c r="AB46" s="112"/>
      <c r="AC46" s="112"/>
      <c r="AD46" s="112"/>
    </row>
    <row r="47" spans="1:30">
      <c r="A47" s="112"/>
      <c r="B47" s="112"/>
      <c r="C47" s="112"/>
      <c r="D47" s="112"/>
      <c r="E47" s="112"/>
      <c r="F47" s="112"/>
      <c r="G47" s="112"/>
      <c r="I47" s="112"/>
      <c r="J47" s="112"/>
      <c r="K47" s="112"/>
      <c r="L47" s="112"/>
      <c r="M47" s="112"/>
      <c r="N47" s="112"/>
      <c r="O47" s="112"/>
      <c r="Q47" s="112"/>
      <c r="R47" s="112"/>
      <c r="S47" s="112"/>
      <c r="T47" s="112"/>
      <c r="U47" s="112"/>
      <c r="V47" s="112"/>
      <c r="X47" s="112"/>
      <c r="Y47" s="112"/>
      <c r="Z47" s="112"/>
      <c r="AA47" s="112"/>
      <c r="AB47" s="112"/>
      <c r="AC47" s="112"/>
      <c r="AD47" s="112"/>
    </row>
    <row r="48" spans="1:30">
      <c r="A48" s="112"/>
      <c r="B48" s="112"/>
      <c r="C48" s="112"/>
      <c r="D48" s="112"/>
      <c r="E48" s="112"/>
      <c r="F48" s="112"/>
      <c r="G48" s="112"/>
      <c r="I48" s="112"/>
      <c r="J48" s="112"/>
      <c r="K48" s="112"/>
      <c r="L48" s="112"/>
      <c r="M48" s="112"/>
      <c r="N48" s="112"/>
      <c r="O48" s="112"/>
      <c r="Q48" s="112"/>
      <c r="R48" s="112"/>
      <c r="S48" s="112"/>
      <c r="T48" s="112"/>
      <c r="U48" s="112"/>
      <c r="V48" s="112"/>
      <c r="X48" s="112"/>
      <c r="Y48" s="112"/>
      <c r="Z48" s="112"/>
      <c r="AA48" s="112"/>
      <c r="AB48" s="112"/>
      <c r="AC48" s="112"/>
      <c r="AD48" s="112"/>
    </row>
    <row r="49" spans="1:30">
      <c r="A49" s="112"/>
      <c r="B49" s="112"/>
      <c r="C49" s="112"/>
      <c r="D49" s="112"/>
      <c r="E49" s="112"/>
      <c r="F49" s="112"/>
      <c r="G49" s="112"/>
      <c r="I49" s="112"/>
      <c r="J49" s="112"/>
      <c r="K49" s="112"/>
      <c r="L49" s="112"/>
      <c r="M49" s="112"/>
      <c r="N49" s="112"/>
      <c r="O49" s="112"/>
      <c r="Q49" s="112"/>
      <c r="R49" s="112"/>
      <c r="S49" s="112"/>
      <c r="T49" s="112"/>
      <c r="U49" s="112"/>
      <c r="V49" s="112"/>
      <c r="X49" s="112"/>
      <c r="Y49" s="112"/>
      <c r="Z49" s="112"/>
      <c r="AA49" s="112"/>
      <c r="AB49" s="112"/>
      <c r="AC49" s="112"/>
      <c r="AD49" s="112"/>
    </row>
    <row r="50" spans="1:30">
      <c r="A50" s="112"/>
      <c r="B50" s="112"/>
      <c r="C50" s="112"/>
      <c r="D50" s="112"/>
      <c r="E50" s="112"/>
      <c r="F50" s="112"/>
      <c r="G50" s="112"/>
      <c r="I50" s="112"/>
      <c r="J50" s="112"/>
      <c r="K50" s="112"/>
      <c r="L50" s="112"/>
      <c r="M50" s="112"/>
      <c r="N50" s="112"/>
      <c r="O50" s="112"/>
      <c r="Q50" s="112"/>
      <c r="R50" s="112"/>
      <c r="S50" s="112"/>
      <c r="T50" s="112"/>
      <c r="U50" s="112"/>
      <c r="V50" s="112"/>
      <c r="X50" s="112"/>
      <c r="Y50" s="112"/>
      <c r="Z50" s="112"/>
      <c r="AA50" s="112"/>
      <c r="AB50" s="112"/>
      <c r="AC50" s="112"/>
      <c r="AD50" s="112"/>
    </row>
    <row r="51" spans="1:30">
      <c r="A51" s="112"/>
      <c r="B51" s="112"/>
      <c r="C51" s="112"/>
      <c r="D51" s="112"/>
      <c r="E51" s="112"/>
      <c r="F51" s="112"/>
      <c r="G51" s="112"/>
      <c r="I51" s="112"/>
      <c r="J51" s="112"/>
      <c r="K51" s="112"/>
      <c r="L51" s="112"/>
      <c r="M51" s="112"/>
      <c r="N51" s="112"/>
      <c r="O51" s="112"/>
      <c r="Q51" s="112"/>
      <c r="R51" s="112"/>
      <c r="S51" s="112"/>
      <c r="T51" s="112"/>
      <c r="U51" s="112"/>
      <c r="V51" s="112"/>
      <c r="X51" s="112"/>
      <c r="Y51" s="112"/>
      <c r="Z51" s="112"/>
      <c r="AA51" s="112"/>
      <c r="AB51" s="112"/>
      <c r="AC51" s="112"/>
      <c r="AD51" s="112"/>
    </row>
  </sheetData>
  <sheetProtection formatCells="0" insertHyperlinks="0" autoFilter="0"/>
  <mergeCells count="12">
    <mergeCell ref="A1:G1"/>
    <mergeCell ref="I1:O1"/>
    <mergeCell ref="Q1:V1"/>
    <mergeCell ref="X1:AD1"/>
    <mergeCell ref="A2:B2"/>
    <mergeCell ref="C2:G2"/>
    <mergeCell ref="I2:J2"/>
    <mergeCell ref="K2:O2"/>
    <mergeCell ref="Q2:R2"/>
    <mergeCell ref="S2:V2"/>
    <mergeCell ref="X2:Y2"/>
    <mergeCell ref="Z2:AD2"/>
  </mergeCells>
  <dataValidations count="5">
    <dataValidation type="list" allowBlank="1" showInputMessage="1" showErrorMessage="1" sqref="C1 K1 C4:C1048576 K4:K1048576">
      <formula1>"高度相关同类竞品,中等关联相似竞品"</formula1>
    </dataValidation>
    <dataValidation type="list" allowBlank="1" showInputMessage="1" showErrorMessage="1" sqref="Z1 Z4:Z1048576">
      <formula1>"相对优势弱相关潜在竞品,不分伯仲弱相关潜在竞品,相对劣势弱相关潜在竞品,相对优势弱相关互补竞品,不分伯仲弱相关互补竞品,相对劣势弱相关互补竞品"</formula1>
    </dataValidation>
    <dataValidation allowBlank="1" showInputMessage="1" showErrorMessage="1" sqref="C2:G2 K2:O2 Z2:AD2 B3:C3 J3:K3 R3 Y3:Z3"/>
    <dataValidation type="list" allowBlank="1" showInputMessage="1" showErrorMessage="1" sqref="B1:B2 B4:B1048576 J1:J2 J4:J1048576">
      <formula1>"大S,中S,小S,A"</formula1>
    </dataValidation>
    <dataValidation type="list" allowBlank="1" showInputMessage="1" showErrorMessage="1" sqref="R1:R2 R4:R1048576 Y1:Y2 Y4:Y1048576">
      <formula1>"大S,中S,小S,A,B"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showGridLines="0" workbookViewId="0">
      <pane ySplit="3" topLeftCell="A4" activePane="bottomLeft" state="frozen"/>
      <selection/>
      <selection pane="bottomLeft" activeCell="M17" sqref="M17"/>
    </sheetView>
  </sheetViews>
  <sheetFormatPr defaultColWidth="8.83333333333333" defaultRowHeight="16.5"/>
  <cols>
    <col min="1" max="1" width="22.8333333333333" style="3" customWidth="1"/>
    <col min="2" max="2" width="18.6666666666667" style="3" customWidth="1"/>
    <col min="3" max="3" width="14.1666666666667" style="3" customWidth="1"/>
    <col min="4" max="4" width="16.5" style="3" customWidth="1"/>
    <col min="5" max="5" width="8.83333333333333" style="3"/>
    <col min="6" max="6" width="22.8333333333333" style="3" customWidth="1"/>
    <col min="7" max="7" width="18.6666666666667" style="3" customWidth="1"/>
    <col min="8" max="8" width="14.1666666666667" style="3" customWidth="1"/>
    <col min="9" max="9" width="16.5" style="3" customWidth="1"/>
    <col min="11" max="11" width="22.8333333333333" style="3" customWidth="1"/>
    <col min="12" max="12" width="18.6666666666667" style="3" customWidth="1"/>
    <col min="13" max="13" width="14.1666666666667" style="3" customWidth="1"/>
    <col min="14" max="14" width="16.5" style="3" customWidth="1"/>
  </cols>
  <sheetData>
    <row r="1" spans="1:14">
      <c r="A1" s="107" t="s">
        <v>126</v>
      </c>
      <c r="B1" s="107"/>
      <c r="C1" s="107"/>
      <c r="D1" s="107"/>
      <c r="F1" s="107" t="s">
        <v>127</v>
      </c>
      <c r="G1" s="107"/>
      <c r="H1" s="107"/>
      <c r="I1" s="107"/>
      <c r="K1" s="107" t="s">
        <v>128</v>
      </c>
      <c r="L1" s="107"/>
      <c r="M1" s="107"/>
      <c r="N1" s="107"/>
    </row>
    <row r="2" ht="80" customHeight="1" spans="1:14">
      <c r="A2" s="108" t="s">
        <v>129</v>
      </c>
      <c r="B2" s="109"/>
      <c r="C2" s="109"/>
      <c r="D2" s="110"/>
      <c r="F2" s="108" t="s">
        <v>129</v>
      </c>
      <c r="G2" s="109"/>
      <c r="H2" s="109"/>
      <c r="I2" s="110"/>
      <c r="K2" s="108" t="s">
        <v>129</v>
      </c>
      <c r="L2" s="109"/>
      <c r="M2" s="109"/>
      <c r="N2" s="110"/>
    </row>
    <row r="3" spans="1:14">
      <c r="A3" s="107" t="s">
        <v>130</v>
      </c>
      <c r="B3" s="107" t="s">
        <v>131</v>
      </c>
      <c r="C3" s="107" t="s">
        <v>132</v>
      </c>
      <c r="D3" s="107" t="s">
        <v>117</v>
      </c>
      <c r="F3" s="107" t="s">
        <v>130</v>
      </c>
      <c r="G3" s="107" t="s">
        <v>131</v>
      </c>
      <c r="H3" s="107" t="s">
        <v>132</v>
      </c>
      <c r="I3" s="107" t="s">
        <v>117</v>
      </c>
      <c r="K3" s="107" t="s">
        <v>130</v>
      </c>
      <c r="L3" s="107" t="s">
        <v>131</v>
      </c>
      <c r="M3" s="107" t="s">
        <v>132</v>
      </c>
      <c r="N3" s="107" t="s">
        <v>117</v>
      </c>
    </row>
    <row r="4" spans="1:14">
      <c r="A4" s="111"/>
      <c r="B4" s="111" t="s">
        <v>133</v>
      </c>
      <c r="C4" s="111"/>
      <c r="D4" s="111"/>
      <c r="F4" s="111"/>
      <c r="G4" s="111" t="s">
        <v>133</v>
      </c>
      <c r="H4" s="111"/>
      <c r="I4" s="111"/>
      <c r="K4" s="111"/>
      <c r="L4" s="111" t="s">
        <v>133</v>
      </c>
      <c r="M4" s="111"/>
      <c r="N4" s="111"/>
    </row>
    <row r="5" spans="1:14">
      <c r="A5" s="112"/>
      <c r="B5" s="112"/>
      <c r="C5" s="112"/>
      <c r="D5" s="112"/>
      <c r="F5" s="112"/>
      <c r="G5" s="112"/>
      <c r="H5" s="112"/>
      <c r="I5" s="112"/>
      <c r="K5" s="112"/>
      <c r="L5" s="112"/>
      <c r="M5" s="112"/>
      <c r="N5" s="112"/>
    </row>
    <row r="6" spans="1:14">
      <c r="A6" s="112"/>
      <c r="B6" s="112"/>
      <c r="C6" s="112"/>
      <c r="D6" s="112"/>
      <c r="F6" s="112"/>
      <c r="G6" s="112"/>
      <c r="H6" s="112"/>
      <c r="I6" s="112"/>
      <c r="K6" s="112"/>
      <c r="L6" s="112"/>
      <c r="M6" s="112"/>
      <c r="N6" s="112"/>
    </row>
    <row r="7" spans="1:14">
      <c r="A7" s="112"/>
      <c r="B7" s="112"/>
      <c r="C7" s="112"/>
      <c r="D7" s="112"/>
      <c r="F7" s="112"/>
      <c r="G7" s="112"/>
      <c r="H7" s="112"/>
      <c r="I7" s="112"/>
      <c r="K7" s="112"/>
      <c r="L7" s="112"/>
      <c r="M7" s="112"/>
      <c r="N7" s="112"/>
    </row>
    <row r="8" spans="1:14">
      <c r="A8" s="112"/>
      <c r="B8" s="112"/>
      <c r="C8" s="112"/>
      <c r="D8" s="112"/>
      <c r="F8" s="112"/>
      <c r="G8" s="112"/>
      <c r="H8" s="112"/>
      <c r="I8" s="112"/>
      <c r="K8" s="112"/>
      <c r="L8" s="112"/>
      <c r="M8" s="112"/>
      <c r="N8" s="112"/>
    </row>
    <row r="9" spans="1:14">
      <c r="A9" s="112"/>
      <c r="B9" s="112" t="s">
        <v>133</v>
      </c>
      <c r="C9" s="112"/>
      <c r="D9" s="112"/>
      <c r="F9" s="112"/>
      <c r="G9" s="112"/>
      <c r="H9" s="112"/>
      <c r="I9" s="112"/>
      <c r="K9" s="112"/>
      <c r="L9" s="112"/>
      <c r="M9" s="112"/>
      <c r="N9" s="112"/>
    </row>
    <row r="10" spans="1:14">
      <c r="A10" s="112"/>
      <c r="B10" s="112" t="s">
        <v>134</v>
      </c>
      <c r="C10" s="112"/>
      <c r="D10" s="112"/>
      <c r="F10" s="112"/>
      <c r="G10" s="112"/>
      <c r="H10" s="112"/>
      <c r="I10" s="112"/>
      <c r="K10" s="112"/>
      <c r="L10" s="112"/>
      <c r="M10" s="112"/>
      <c r="N10" s="112"/>
    </row>
    <row r="11" spans="1:14">
      <c r="A11" s="112"/>
      <c r="B11" s="112" t="s">
        <v>135</v>
      </c>
      <c r="C11" s="112"/>
      <c r="D11" s="112"/>
      <c r="F11" s="112"/>
      <c r="G11" s="112"/>
      <c r="H11" s="112"/>
      <c r="I11" s="112"/>
      <c r="K11" s="112"/>
      <c r="L11" s="112"/>
      <c r="M11" s="112"/>
      <c r="N11" s="112"/>
    </row>
    <row r="12" spans="1:14">
      <c r="A12" s="112"/>
      <c r="B12" s="112"/>
      <c r="C12" s="112"/>
      <c r="D12" s="112"/>
      <c r="F12" s="112"/>
      <c r="G12" s="112"/>
      <c r="H12" s="112"/>
      <c r="I12" s="112"/>
      <c r="K12" s="112"/>
      <c r="L12" s="112"/>
      <c r="M12" s="112"/>
      <c r="N12" s="112"/>
    </row>
    <row r="13" spans="1:14">
      <c r="A13" s="112"/>
      <c r="B13" s="112"/>
      <c r="C13" s="112"/>
      <c r="D13" s="112"/>
      <c r="F13" s="112"/>
      <c r="G13" s="112"/>
      <c r="H13" s="112"/>
      <c r="I13" s="112"/>
      <c r="K13" s="112"/>
      <c r="L13" s="112"/>
      <c r="M13" s="112"/>
      <c r="N13" s="112"/>
    </row>
    <row r="14" spans="1:14">
      <c r="A14" s="112"/>
      <c r="B14" s="112"/>
      <c r="C14" s="112"/>
      <c r="D14" s="112"/>
      <c r="F14" s="112"/>
      <c r="G14" s="112"/>
      <c r="H14" s="112"/>
      <c r="I14" s="112"/>
      <c r="K14" s="112"/>
      <c r="L14" s="112"/>
      <c r="M14" s="112"/>
      <c r="N14" s="112"/>
    </row>
    <row r="15" spans="1:14">
      <c r="A15" s="112"/>
      <c r="B15" s="112"/>
      <c r="C15" s="112"/>
      <c r="D15" s="112"/>
      <c r="F15" s="112"/>
      <c r="G15" s="112"/>
      <c r="H15" s="112"/>
      <c r="I15" s="112"/>
      <c r="K15" s="112"/>
      <c r="L15" s="112"/>
      <c r="M15" s="112"/>
      <c r="N15" s="112"/>
    </row>
    <row r="16" spans="1:14">
      <c r="A16" s="112"/>
      <c r="B16" s="112"/>
      <c r="C16" s="112"/>
      <c r="D16" s="112"/>
      <c r="F16" s="112"/>
      <c r="G16" s="112"/>
      <c r="H16" s="112"/>
      <c r="I16" s="112"/>
      <c r="K16" s="112"/>
      <c r="L16" s="112"/>
      <c r="M16" s="112"/>
      <c r="N16" s="112"/>
    </row>
    <row r="17" spans="1:14">
      <c r="A17" s="112"/>
      <c r="B17" s="112"/>
      <c r="C17" s="112"/>
      <c r="D17" s="112"/>
      <c r="F17" s="112"/>
      <c r="G17" s="112"/>
      <c r="H17" s="112"/>
      <c r="I17" s="112"/>
      <c r="K17" s="112"/>
      <c r="L17" s="112"/>
      <c r="M17" s="112"/>
      <c r="N17" s="112"/>
    </row>
    <row r="18" spans="1:14">
      <c r="A18" s="112"/>
      <c r="B18" s="112"/>
      <c r="C18" s="112"/>
      <c r="D18" s="112"/>
      <c r="F18" s="112"/>
      <c r="G18" s="112"/>
      <c r="H18" s="112"/>
      <c r="I18" s="112"/>
      <c r="K18" s="112"/>
      <c r="L18" s="112"/>
      <c r="M18" s="112"/>
      <c r="N18" s="112"/>
    </row>
    <row r="19" spans="1:14">
      <c r="A19" s="112"/>
      <c r="B19" s="112" t="s">
        <v>133</v>
      </c>
      <c r="C19" s="112"/>
      <c r="D19" s="112"/>
      <c r="F19" s="112"/>
      <c r="G19" s="112"/>
      <c r="H19" s="112"/>
      <c r="I19" s="112"/>
      <c r="K19" s="112"/>
      <c r="L19" s="112"/>
      <c r="M19" s="112"/>
      <c r="N19" s="112"/>
    </row>
    <row r="20" spans="1:14">
      <c r="A20" s="112"/>
      <c r="B20" s="112" t="s">
        <v>134</v>
      </c>
      <c r="C20" s="112"/>
      <c r="D20" s="112"/>
      <c r="F20" s="112"/>
      <c r="G20" s="112"/>
      <c r="H20" s="112"/>
      <c r="I20" s="112"/>
      <c r="K20" s="112"/>
      <c r="L20" s="112"/>
      <c r="M20" s="112"/>
      <c r="N20" s="112"/>
    </row>
    <row r="21" spans="1:14">
      <c r="A21" s="112"/>
      <c r="B21" s="112" t="s">
        <v>135</v>
      </c>
      <c r="C21" s="112"/>
      <c r="D21" s="112"/>
      <c r="F21" s="112"/>
      <c r="G21" s="112"/>
      <c r="H21" s="112"/>
      <c r="I21" s="112"/>
      <c r="K21" s="112"/>
      <c r="L21" s="112"/>
      <c r="M21" s="112"/>
      <c r="N21" s="112"/>
    </row>
    <row r="22" spans="1:14">
      <c r="A22" s="112"/>
      <c r="B22" s="112"/>
      <c r="C22" s="112"/>
      <c r="D22" s="112"/>
      <c r="F22" s="112"/>
      <c r="G22" s="112"/>
      <c r="H22" s="112"/>
      <c r="I22" s="112"/>
      <c r="K22" s="112"/>
      <c r="L22" s="112"/>
      <c r="M22" s="112"/>
      <c r="N22" s="112"/>
    </row>
    <row r="23" spans="1:14">
      <c r="A23" s="112"/>
      <c r="B23" s="112"/>
      <c r="C23" s="112"/>
      <c r="D23" s="112"/>
      <c r="F23" s="112"/>
      <c r="G23" s="112"/>
      <c r="H23" s="112"/>
      <c r="I23" s="112"/>
      <c r="K23" s="112"/>
      <c r="L23" s="112"/>
      <c r="M23" s="112"/>
      <c r="N23" s="112"/>
    </row>
    <row r="24" spans="1:14">
      <c r="A24" s="112"/>
      <c r="B24" s="112"/>
      <c r="C24" s="112"/>
      <c r="D24" s="112"/>
      <c r="F24" s="112"/>
      <c r="G24" s="112"/>
      <c r="H24" s="112"/>
      <c r="I24" s="112"/>
      <c r="K24" s="112"/>
      <c r="L24" s="112"/>
      <c r="M24" s="112"/>
      <c r="N24" s="112"/>
    </row>
    <row r="25" spans="1:14">
      <c r="A25" s="112"/>
      <c r="B25" s="112"/>
      <c r="C25" s="112"/>
      <c r="D25" s="112"/>
      <c r="F25" s="112"/>
      <c r="G25" s="112"/>
      <c r="H25" s="112"/>
      <c r="I25" s="112"/>
      <c r="K25" s="112"/>
      <c r="L25" s="112"/>
      <c r="M25" s="112"/>
      <c r="N25" s="112"/>
    </row>
    <row r="26" spans="1:14">
      <c r="A26" s="112"/>
      <c r="B26" s="112"/>
      <c r="C26" s="112"/>
      <c r="D26" s="112"/>
      <c r="F26" s="112"/>
      <c r="G26" s="112"/>
      <c r="H26" s="112"/>
      <c r="I26" s="112"/>
      <c r="K26" s="112"/>
      <c r="L26" s="112"/>
      <c r="M26" s="112"/>
      <c r="N26" s="112"/>
    </row>
    <row r="27" spans="1:14">
      <c r="A27" s="112"/>
      <c r="B27" s="112"/>
      <c r="C27" s="112"/>
      <c r="D27" s="112"/>
      <c r="F27" s="112"/>
      <c r="G27" s="112"/>
      <c r="H27" s="112"/>
      <c r="I27" s="112"/>
      <c r="K27" s="112"/>
      <c r="L27" s="112"/>
      <c r="M27" s="112"/>
      <c r="N27" s="112"/>
    </row>
    <row r="28" spans="1:14">
      <c r="A28" s="112"/>
      <c r="B28" s="112"/>
      <c r="C28" s="112"/>
      <c r="D28" s="112"/>
      <c r="F28" s="112"/>
      <c r="G28" s="112"/>
      <c r="H28" s="112"/>
      <c r="I28" s="112"/>
      <c r="K28" s="112"/>
      <c r="L28" s="112"/>
      <c r="M28" s="112"/>
      <c r="N28" s="112"/>
    </row>
    <row r="29" spans="1:14">
      <c r="A29" s="112"/>
      <c r="B29" s="112"/>
      <c r="C29" s="112"/>
      <c r="D29" s="112"/>
      <c r="F29" s="112"/>
      <c r="G29" s="112"/>
      <c r="H29" s="112"/>
      <c r="I29" s="112"/>
      <c r="K29" s="112"/>
      <c r="L29" s="112"/>
      <c r="M29" s="112"/>
      <c r="N29" s="112"/>
    </row>
    <row r="30" spans="1:14">
      <c r="A30" s="112"/>
      <c r="B30" s="112"/>
      <c r="C30" s="112"/>
      <c r="D30" s="112"/>
      <c r="F30" s="112"/>
      <c r="G30" s="112"/>
      <c r="H30" s="112"/>
      <c r="I30" s="112"/>
      <c r="K30" s="112"/>
      <c r="L30" s="112"/>
      <c r="M30" s="112"/>
      <c r="N30" s="112"/>
    </row>
    <row r="31" spans="1:14">
      <c r="A31" s="112"/>
      <c r="B31" s="112"/>
      <c r="C31" s="112"/>
      <c r="D31" s="112"/>
      <c r="F31" s="112"/>
      <c r="G31" s="112"/>
      <c r="H31" s="112"/>
      <c r="I31" s="112"/>
      <c r="K31" s="112"/>
      <c r="L31" s="112"/>
      <c r="M31" s="112"/>
      <c r="N31" s="112"/>
    </row>
    <row r="32" spans="1:14">
      <c r="A32" s="112"/>
      <c r="B32" s="112"/>
      <c r="C32" s="112"/>
      <c r="D32" s="112"/>
      <c r="F32" s="112"/>
      <c r="G32" s="112"/>
      <c r="H32" s="112"/>
      <c r="I32" s="112"/>
      <c r="K32" s="112"/>
      <c r="L32" s="112"/>
      <c r="M32" s="112"/>
      <c r="N32" s="112"/>
    </row>
    <row r="33" spans="1:14">
      <c r="A33" s="112"/>
      <c r="B33" s="112"/>
      <c r="C33" s="112"/>
      <c r="D33" s="112"/>
      <c r="F33" s="112"/>
      <c r="G33" s="112"/>
      <c r="H33" s="112"/>
      <c r="I33" s="112"/>
      <c r="K33" s="112"/>
      <c r="L33" s="112"/>
      <c r="M33" s="112"/>
      <c r="N33" s="112"/>
    </row>
    <row r="34" spans="1:14">
      <c r="A34" s="112"/>
      <c r="B34" s="112"/>
      <c r="C34" s="112"/>
      <c r="D34" s="112"/>
      <c r="F34" s="112"/>
      <c r="G34" s="112"/>
      <c r="H34" s="112"/>
      <c r="I34" s="112"/>
      <c r="K34" s="112"/>
      <c r="L34" s="112"/>
      <c r="M34" s="112"/>
      <c r="N34" s="112"/>
    </row>
    <row r="35" spans="1:14">
      <c r="A35" s="112"/>
      <c r="B35" s="112"/>
      <c r="C35" s="112"/>
      <c r="D35" s="112"/>
      <c r="F35" s="112"/>
      <c r="G35" s="112"/>
      <c r="H35" s="112"/>
      <c r="I35" s="112"/>
      <c r="K35" s="112"/>
      <c r="L35" s="112"/>
      <c r="M35" s="112"/>
      <c r="N35" s="112"/>
    </row>
    <row r="36" spans="1:14">
      <c r="A36" s="112"/>
      <c r="B36" s="112"/>
      <c r="C36" s="112"/>
      <c r="D36" s="112"/>
      <c r="F36" s="112"/>
      <c r="G36" s="112"/>
      <c r="H36" s="112"/>
      <c r="I36" s="112"/>
      <c r="K36" s="112"/>
      <c r="L36" s="112"/>
      <c r="M36" s="112"/>
      <c r="N36" s="112"/>
    </row>
    <row r="37" spans="1:14">
      <c r="A37" s="112"/>
      <c r="B37" s="112"/>
      <c r="C37" s="112"/>
      <c r="D37" s="112"/>
      <c r="F37" s="112"/>
      <c r="G37" s="112"/>
      <c r="H37" s="112"/>
      <c r="I37" s="112"/>
      <c r="K37" s="112"/>
      <c r="L37" s="112"/>
      <c r="M37" s="112"/>
      <c r="N37" s="112"/>
    </row>
    <row r="38" spans="1:14">
      <c r="A38" s="112"/>
      <c r="B38" s="112"/>
      <c r="C38" s="112"/>
      <c r="D38" s="112"/>
      <c r="F38" s="112"/>
      <c r="G38" s="112"/>
      <c r="H38" s="112"/>
      <c r="I38" s="112"/>
      <c r="K38" s="112"/>
      <c r="L38" s="112"/>
      <c r="M38" s="112"/>
      <c r="N38" s="112"/>
    </row>
    <row r="39" spans="1:14">
      <c r="A39" s="112"/>
      <c r="B39" s="112"/>
      <c r="C39" s="112"/>
      <c r="D39" s="112"/>
      <c r="F39" s="112"/>
      <c r="G39" s="112"/>
      <c r="H39" s="112"/>
      <c r="I39" s="112"/>
      <c r="K39" s="112"/>
      <c r="L39" s="112"/>
      <c r="M39" s="112"/>
      <c r="N39" s="112"/>
    </row>
    <row r="40" spans="1:14">
      <c r="A40" s="112"/>
      <c r="B40" s="112"/>
      <c r="C40" s="112"/>
      <c r="D40" s="112"/>
      <c r="F40" s="112"/>
      <c r="G40" s="112"/>
      <c r="H40" s="112"/>
      <c r="I40" s="112"/>
      <c r="K40" s="112"/>
      <c r="L40" s="112"/>
      <c r="M40" s="112"/>
      <c r="N40" s="112"/>
    </row>
    <row r="41" spans="1:14">
      <c r="A41" s="112"/>
      <c r="B41" s="112"/>
      <c r="C41" s="112"/>
      <c r="D41" s="112"/>
      <c r="F41" s="112"/>
      <c r="G41" s="112"/>
      <c r="H41" s="112"/>
      <c r="I41" s="112"/>
      <c r="K41" s="112"/>
      <c r="L41" s="112"/>
      <c r="M41" s="112"/>
      <c r="N41" s="112"/>
    </row>
    <row r="42" spans="1:14">
      <c r="A42" s="112"/>
      <c r="B42" s="112"/>
      <c r="C42" s="112"/>
      <c r="D42" s="112"/>
      <c r="F42" s="112"/>
      <c r="G42" s="112"/>
      <c r="H42" s="112"/>
      <c r="I42" s="112"/>
      <c r="K42" s="112"/>
      <c r="L42" s="112"/>
      <c r="M42" s="112"/>
      <c r="N42" s="112"/>
    </row>
    <row r="43" spans="1:14">
      <c r="A43" s="112"/>
      <c r="B43" s="112"/>
      <c r="C43" s="112"/>
      <c r="D43" s="112"/>
      <c r="F43" s="112"/>
      <c r="G43" s="112"/>
      <c r="H43" s="112"/>
      <c r="I43" s="112"/>
      <c r="K43" s="112"/>
      <c r="L43" s="112"/>
      <c r="M43" s="112"/>
      <c r="N43" s="112"/>
    </row>
    <row r="44" spans="1:14">
      <c r="A44" s="112"/>
      <c r="B44" s="112"/>
      <c r="C44" s="112"/>
      <c r="D44" s="112"/>
      <c r="F44" s="112"/>
      <c r="G44" s="112"/>
      <c r="H44" s="112"/>
      <c r="I44" s="112"/>
      <c r="K44" s="112"/>
      <c r="L44" s="112"/>
      <c r="M44" s="112"/>
      <c r="N44" s="112"/>
    </row>
    <row r="45" spans="1:14">
      <c r="A45" s="112"/>
      <c r="B45" s="112"/>
      <c r="C45" s="112"/>
      <c r="D45" s="112"/>
      <c r="F45" s="112"/>
      <c r="G45" s="112"/>
      <c r="H45" s="112"/>
      <c r="I45" s="112"/>
      <c r="K45" s="112"/>
      <c r="L45" s="112"/>
      <c r="M45" s="112"/>
      <c r="N45" s="112"/>
    </row>
    <row r="46" spans="1:14">
      <c r="A46" s="112"/>
      <c r="B46" s="112"/>
      <c r="C46" s="112"/>
      <c r="D46" s="112"/>
      <c r="F46" s="112"/>
      <c r="G46" s="112"/>
      <c r="H46" s="112"/>
      <c r="I46" s="112"/>
      <c r="K46" s="112"/>
      <c r="L46" s="112"/>
      <c r="M46" s="112"/>
      <c r="N46" s="112"/>
    </row>
    <row r="47" spans="1:14">
      <c r="A47" s="112"/>
      <c r="B47" s="112"/>
      <c r="C47" s="112"/>
      <c r="D47" s="112"/>
      <c r="F47" s="112"/>
      <c r="G47" s="112"/>
      <c r="H47" s="112"/>
      <c r="I47" s="112"/>
      <c r="K47" s="112"/>
      <c r="L47" s="112"/>
      <c r="M47" s="112"/>
      <c r="N47" s="112"/>
    </row>
    <row r="48" spans="1:14">
      <c r="A48" s="112"/>
      <c r="B48" s="112"/>
      <c r="C48" s="112"/>
      <c r="D48" s="112"/>
      <c r="F48" s="112"/>
      <c r="G48" s="112"/>
      <c r="H48" s="112"/>
      <c r="I48" s="112"/>
      <c r="K48" s="112"/>
      <c r="L48" s="112"/>
      <c r="M48" s="112"/>
      <c r="N48" s="112"/>
    </row>
    <row r="49" spans="1:14">
      <c r="A49" s="112"/>
      <c r="B49" s="112"/>
      <c r="C49" s="112"/>
      <c r="D49" s="112"/>
      <c r="F49" s="112"/>
      <c r="G49" s="112"/>
      <c r="H49" s="112"/>
      <c r="I49" s="112"/>
      <c r="K49" s="112"/>
      <c r="L49" s="112"/>
      <c r="M49" s="112"/>
      <c r="N49" s="112"/>
    </row>
    <row r="50" spans="1:14">
      <c r="A50" s="112"/>
      <c r="B50" s="112"/>
      <c r="C50" s="112"/>
      <c r="D50" s="112"/>
      <c r="F50" s="112"/>
      <c r="G50" s="112"/>
      <c r="H50" s="112"/>
      <c r="I50" s="112"/>
      <c r="K50" s="112"/>
      <c r="L50" s="112"/>
      <c r="M50" s="112"/>
      <c r="N50" s="112"/>
    </row>
    <row r="51" spans="1:14">
      <c r="A51" s="112"/>
      <c r="B51" s="112"/>
      <c r="C51" s="112"/>
      <c r="D51" s="112"/>
      <c r="F51" s="112"/>
      <c r="G51" s="112"/>
      <c r="H51" s="112"/>
      <c r="I51" s="112"/>
      <c r="K51" s="112"/>
      <c r="L51" s="112"/>
      <c r="M51" s="112"/>
      <c r="N51" s="112"/>
    </row>
  </sheetData>
  <sheetProtection formatCells="0" insertHyperlinks="0" autoFilter="0"/>
  <mergeCells count="6">
    <mergeCell ref="A1:D1"/>
    <mergeCell ref="F1:I1"/>
    <mergeCell ref="K1:N1"/>
    <mergeCell ref="B2:D2"/>
    <mergeCell ref="G2:I2"/>
    <mergeCell ref="L2:N2"/>
  </mergeCells>
  <dataValidations count="2">
    <dataValidation type="list" allowBlank="1" showInputMessage="1" showErrorMessage="1" sqref="B1 G1 L1 B4:B1048576 G4:G1048576 L4:L1048576">
      <formula1>"高度相关,中等关联,弱关联"</formula1>
    </dataValidation>
    <dataValidation allowBlank="1" showInputMessage="1" showErrorMessage="1" sqref="B2:D2 G2:I2 L2:N2 B3 G3 L3"/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24"/>
  <sheetViews>
    <sheetView showGridLines="0" zoomScale="140" zoomScaleNormal="140" workbookViewId="0">
      <selection activeCell="D20" sqref="D20"/>
    </sheetView>
  </sheetViews>
  <sheetFormatPr defaultColWidth="8.83333333333333" defaultRowHeight="16.5"/>
  <cols>
    <col min="1" max="1" width="8.83333333333333" style="3"/>
    <col min="2" max="2" width="22.1666666666667" style="3" customWidth="1"/>
    <col min="3" max="3" width="25.5" style="3" customWidth="1"/>
    <col min="4" max="4" width="20" style="3" customWidth="1"/>
    <col min="5" max="5" width="15" style="3" customWidth="1"/>
    <col min="6" max="6" width="8.83333333333333" style="3"/>
    <col min="7" max="7" width="26.5" style="3" customWidth="1"/>
    <col min="8" max="8" width="17.3333333333333" style="3" customWidth="1"/>
    <col min="9" max="9" width="26.5" style="3" customWidth="1"/>
    <col min="10" max="10" width="17.5" style="3" customWidth="1"/>
    <col min="11" max="11" width="22.1666666666667" style="73" customWidth="1"/>
    <col min="12" max="13" width="16.5" style="3" customWidth="1"/>
    <col min="14" max="14" width="11.8333333333333" style="3" customWidth="1"/>
    <col min="15" max="15" width="18.6666666666667" style="3" customWidth="1"/>
    <col min="16" max="16" width="9.66666666666667" style="3" customWidth="1"/>
    <col min="17" max="16384" width="8.83333333333333" style="3"/>
  </cols>
  <sheetData>
    <row r="2" spans="2:13">
      <c r="B2" s="13" t="s">
        <v>136</v>
      </c>
      <c r="C2" s="13"/>
      <c r="D2" s="13"/>
      <c r="E2" s="13"/>
      <c r="G2" s="13" t="s">
        <v>137</v>
      </c>
      <c r="H2" s="13"/>
      <c r="I2" s="13"/>
      <c r="J2" s="13"/>
      <c r="K2" s="13"/>
      <c r="L2" s="13"/>
      <c r="M2" s="13"/>
    </row>
    <row r="3" spans="2:13">
      <c r="B3" s="74" t="s">
        <v>71</v>
      </c>
      <c r="C3" s="75" t="str">
        <f>产品基本信息!E28</f>
        <v>中高层次需求小体量市场</v>
      </c>
      <c r="D3" s="74" t="s">
        <v>138</v>
      </c>
      <c r="E3" s="75"/>
      <c r="G3" s="85" t="s">
        <v>139</v>
      </c>
      <c r="H3" s="85" t="s">
        <v>140</v>
      </c>
      <c r="I3" s="90" t="s">
        <v>141</v>
      </c>
      <c r="J3" s="91" t="s">
        <v>142</v>
      </c>
      <c r="K3" s="85" t="s">
        <v>143</v>
      </c>
      <c r="L3" s="92" t="s">
        <v>144</v>
      </c>
      <c r="M3" s="90" t="s">
        <v>145</v>
      </c>
    </row>
    <row r="4" spans="2:13">
      <c r="B4" s="74" t="s">
        <v>67</v>
      </c>
      <c r="C4" s="75" t="str">
        <f>产品基本信息!E27</f>
        <v>舒适</v>
      </c>
      <c r="D4" s="74" t="s">
        <v>146</v>
      </c>
      <c r="E4" s="75">
        <f>产品基本信息!H18</f>
        <v>31700</v>
      </c>
      <c r="G4" s="86" t="s">
        <v>147</v>
      </c>
      <c r="H4" s="48" t="s">
        <v>148</v>
      </c>
      <c r="I4" s="93" t="s">
        <v>149</v>
      </c>
      <c r="J4" s="94">
        <v>0.12</v>
      </c>
      <c r="K4" s="95">
        <f>$B$16*J4</f>
        <v>12.1212121212121</v>
      </c>
      <c r="L4" s="96">
        <f>$B$18*J4</f>
        <v>2520</v>
      </c>
      <c r="M4" s="104">
        <f>$C$16*J4</f>
        <v>15.12</v>
      </c>
    </row>
    <row r="5" spans="2:13">
      <c r="B5" s="74" t="s">
        <v>150</v>
      </c>
      <c r="C5" s="76"/>
      <c r="D5" s="76"/>
      <c r="E5" s="76"/>
      <c r="G5" s="87" t="s">
        <v>151</v>
      </c>
      <c r="H5" s="88" t="s">
        <v>152</v>
      </c>
      <c r="I5" s="93"/>
      <c r="J5" s="97">
        <v>0.13</v>
      </c>
      <c r="K5" s="98">
        <f t="shared" ref="K5:K23" si="0">$B$16*J5</f>
        <v>13.1313131313131</v>
      </c>
      <c r="L5" s="99">
        <f t="shared" ref="L5:L23" si="1">$B$18*J5</f>
        <v>2730</v>
      </c>
      <c r="M5" s="105">
        <f t="shared" ref="M5:M23" si="2">$C$16*J5</f>
        <v>16.38</v>
      </c>
    </row>
    <row r="6" spans="2:13">
      <c r="B6" s="77" t="s">
        <v>153</v>
      </c>
      <c r="C6" s="75" t="s">
        <v>154</v>
      </c>
      <c r="D6" s="75"/>
      <c r="E6" s="75"/>
      <c r="G6" s="86" t="s">
        <v>155</v>
      </c>
      <c r="H6" s="48" t="s">
        <v>156</v>
      </c>
      <c r="I6" s="93"/>
      <c r="J6" s="100">
        <v>0.18</v>
      </c>
      <c r="K6" s="95">
        <f t="shared" si="0"/>
        <v>18.1818181818182</v>
      </c>
      <c r="L6" s="96">
        <f t="shared" si="1"/>
        <v>3780</v>
      </c>
      <c r="M6" s="104">
        <f t="shared" si="2"/>
        <v>22.68</v>
      </c>
    </row>
    <row r="7" spans="2:13">
      <c r="B7" s="78"/>
      <c r="C7" s="75" t="s">
        <v>157</v>
      </c>
      <c r="D7" s="75"/>
      <c r="E7" s="75"/>
      <c r="G7" s="87" t="s">
        <v>158</v>
      </c>
      <c r="H7" s="88" t="s">
        <v>159</v>
      </c>
      <c r="I7" s="93"/>
      <c r="J7" s="97">
        <v>0.1</v>
      </c>
      <c r="K7" s="98">
        <f t="shared" si="0"/>
        <v>10.1010101010101</v>
      </c>
      <c r="L7" s="99">
        <f t="shared" si="1"/>
        <v>2100</v>
      </c>
      <c r="M7" s="105">
        <f t="shared" si="2"/>
        <v>12.6</v>
      </c>
    </row>
    <row r="8" spans="2:13">
      <c r="B8" s="74" t="s">
        <v>160</v>
      </c>
      <c r="C8" s="75"/>
      <c r="D8" s="75"/>
      <c r="E8" s="75"/>
      <c r="G8" s="86" t="s">
        <v>161</v>
      </c>
      <c r="H8" s="48" t="s">
        <v>162</v>
      </c>
      <c r="I8" s="93"/>
      <c r="J8" s="100">
        <v>0.07</v>
      </c>
      <c r="K8" s="95">
        <f t="shared" si="0"/>
        <v>7.07070707070707</v>
      </c>
      <c r="L8" s="96">
        <f t="shared" si="1"/>
        <v>1470</v>
      </c>
      <c r="M8" s="104">
        <f t="shared" si="2"/>
        <v>8.82</v>
      </c>
    </row>
    <row r="9" spans="7:13">
      <c r="G9" s="87" t="s">
        <v>163</v>
      </c>
      <c r="H9" s="88" t="s">
        <v>164</v>
      </c>
      <c r="I9" s="93" t="s">
        <v>165</v>
      </c>
      <c r="J9" s="97">
        <v>0</v>
      </c>
      <c r="K9" s="98">
        <f t="shared" si="0"/>
        <v>0</v>
      </c>
      <c r="L9" s="99">
        <f t="shared" si="1"/>
        <v>0</v>
      </c>
      <c r="M9" s="105">
        <f t="shared" si="2"/>
        <v>0</v>
      </c>
    </row>
    <row r="10" spans="7:13">
      <c r="G10" s="86" t="s">
        <v>166</v>
      </c>
      <c r="H10" s="48" t="s">
        <v>167</v>
      </c>
      <c r="I10" s="93"/>
      <c r="J10" s="100">
        <v>0</v>
      </c>
      <c r="K10" s="95">
        <f t="shared" si="0"/>
        <v>0</v>
      </c>
      <c r="L10" s="96">
        <f t="shared" si="1"/>
        <v>0</v>
      </c>
      <c r="M10" s="104">
        <f t="shared" si="2"/>
        <v>0</v>
      </c>
    </row>
    <row r="11" spans="2:13">
      <c r="B11" s="13" t="s">
        <v>168</v>
      </c>
      <c r="C11" s="13"/>
      <c r="D11" s="13"/>
      <c r="E11" s="13"/>
      <c r="G11" s="87" t="s">
        <v>169</v>
      </c>
      <c r="H11" s="88" t="s">
        <v>170</v>
      </c>
      <c r="I11" s="93"/>
      <c r="J11" s="97">
        <v>0</v>
      </c>
      <c r="K11" s="98">
        <f t="shared" si="0"/>
        <v>0</v>
      </c>
      <c r="L11" s="99">
        <f t="shared" si="1"/>
        <v>0</v>
      </c>
      <c r="M11" s="105">
        <f t="shared" si="2"/>
        <v>0</v>
      </c>
    </row>
    <row r="12" spans="2:13">
      <c r="B12" s="79" t="s">
        <v>171</v>
      </c>
      <c r="C12" s="80"/>
      <c r="D12" s="48">
        <v>10000</v>
      </c>
      <c r="E12" s="48"/>
      <c r="G12" s="86" t="s">
        <v>172</v>
      </c>
      <c r="H12" s="48" t="s">
        <v>173</v>
      </c>
      <c r="I12" s="93"/>
      <c r="J12" s="100">
        <v>0</v>
      </c>
      <c r="K12" s="95">
        <f t="shared" si="0"/>
        <v>0</v>
      </c>
      <c r="L12" s="96">
        <f t="shared" si="1"/>
        <v>0</v>
      </c>
      <c r="M12" s="104">
        <f t="shared" si="2"/>
        <v>0</v>
      </c>
    </row>
    <row r="13" spans="2:13">
      <c r="B13" s="81" t="s">
        <v>174</v>
      </c>
      <c r="C13" s="81" t="s">
        <v>175</v>
      </c>
      <c r="D13" s="81" t="s">
        <v>176</v>
      </c>
      <c r="E13" s="81"/>
      <c r="G13" s="87" t="s">
        <v>177</v>
      </c>
      <c r="H13" s="88" t="s">
        <v>178</v>
      </c>
      <c r="I13" s="93"/>
      <c r="J13" s="97">
        <v>0.02</v>
      </c>
      <c r="K13" s="98">
        <f t="shared" si="0"/>
        <v>2.02020202020202</v>
      </c>
      <c r="L13" s="99">
        <f t="shared" si="1"/>
        <v>420</v>
      </c>
      <c r="M13" s="105">
        <f t="shared" si="2"/>
        <v>2.52</v>
      </c>
    </row>
    <row r="14" spans="2:13">
      <c r="B14" s="82">
        <f>D12/C14</f>
        <v>3030.30303030303</v>
      </c>
      <c r="C14" s="48">
        <v>3.3</v>
      </c>
      <c r="D14" s="48">
        <v>30</v>
      </c>
      <c r="E14" s="48"/>
      <c r="G14" s="86" t="s">
        <v>179</v>
      </c>
      <c r="H14" s="48" t="s">
        <v>180</v>
      </c>
      <c r="I14" s="93"/>
      <c r="J14" s="100">
        <v>0.05</v>
      </c>
      <c r="K14" s="95">
        <f t="shared" si="0"/>
        <v>5.05050505050505</v>
      </c>
      <c r="L14" s="96">
        <f t="shared" si="1"/>
        <v>1050</v>
      </c>
      <c r="M14" s="104">
        <f t="shared" si="2"/>
        <v>6.3</v>
      </c>
    </row>
    <row r="15" spans="2:13">
      <c r="B15" s="81" t="s">
        <v>181</v>
      </c>
      <c r="C15" s="81" t="s">
        <v>182</v>
      </c>
      <c r="D15" s="81" t="s">
        <v>183</v>
      </c>
      <c r="G15" s="87" t="s">
        <v>184</v>
      </c>
      <c r="H15" s="88" t="s">
        <v>185</v>
      </c>
      <c r="I15" s="93"/>
      <c r="J15" s="97">
        <v>0.03</v>
      </c>
      <c r="K15" s="98">
        <f t="shared" si="0"/>
        <v>3.03030303030303</v>
      </c>
      <c r="L15" s="99">
        <f t="shared" si="1"/>
        <v>630</v>
      </c>
      <c r="M15" s="105">
        <f t="shared" si="2"/>
        <v>3.78</v>
      </c>
    </row>
    <row r="16" spans="2:13">
      <c r="B16" s="82">
        <f>B14/D14</f>
        <v>101.010101010101</v>
      </c>
      <c r="C16" s="82">
        <f>ROUNDDOWN(B16/D16,0)</f>
        <v>126</v>
      </c>
      <c r="D16" s="83">
        <v>0.8</v>
      </c>
      <c r="G16" s="86" t="s">
        <v>186</v>
      </c>
      <c r="H16" s="48" t="s">
        <v>187</v>
      </c>
      <c r="I16" s="93"/>
      <c r="J16" s="100">
        <v>0.08</v>
      </c>
      <c r="K16" s="95">
        <f t="shared" si="0"/>
        <v>8.08080808080808</v>
      </c>
      <c r="L16" s="96">
        <f t="shared" si="1"/>
        <v>1680</v>
      </c>
      <c r="M16" s="104">
        <f t="shared" si="2"/>
        <v>10.08</v>
      </c>
    </row>
    <row r="17" spans="2:13">
      <c r="B17" s="81" t="s">
        <v>188</v>
      </c>
      <c r="C17" s="81" t="s">
        <v>189</v>
      </c>
      <c r="G17" s="87" t="s">
        <v>190</v>
      </c>
      <c r="H17" s="88" t="s">
        <v>191</v>
      </c>
      <c r="I17" s="93"/>
      <c r="J17" s="97">
        <v>0.02</v>
      </c>
      <c r="K17" s="98">
        <f t="shared" si="0"/>
        <v>2.02020202020202</v>
      </c>
      <c r="L17" s="99">
        <f t="shared" si="1"/>
        <v>420</v>
      </c>
      <c r="M17" s="105">
        <f t="shared" si="2"/>
        <v>2.52</v>
      </c>
    </row>
    <row r="18" spans="2:13">
      <c r="B18" s="82">
        <f>ROUNDDOWN(C16/C18,0)</f>
        <v>21000</v>
      </c>
      <c r="C18" s="84">
        <v>0.006</v>
      </c>
      <c r="G18" s="86" t="s">
        <v>192</v>
      </c>
      <c r="H18" s="48" t="s">
        <v>193</v>
      </c>
      <c r="I18" s="93"/>
      <c r="J18" s="100">
        <v>0.02</v>
      </c>
      <c r="K18" s="95">
        <f t="shared" si="0"/>
        <v>2.02020202020202</v>
      </c>
      <c r="L18" s="96">
        <f t="shared" si="1"/>
        <v>420</v>
      </c>
      <c r="M18" s="104">
        <f t="shared" si="2"/>
        <v>2.52</v>
      </c>
    </row>
    <row r="19" spans="7:13">
      <c r="G19" s="87" t="s">
        <v>194</v>
      </c>
      <c r="H19" s="88" t="s">
        <v>195</v>
      </c>
      <c r="I19" s="93"/>
      <c r="J19" s="97">
        <v>0</v>
      </c>
      <c r="K19" s="98">
        <f t="shared" si="0"/>
        <v>0</v>
      </c>
      <c r="L19" s="99">
        <f t="shared" si="1"/>
        <v>0</v>
      </c>
      <c r="M19" s="105">
        <f t="shared" si="2"/>
        <v>0</v>
      </c>
    </row>
    <row r="20" spans="7:13">
      <c r="G20" s="86" t="s">
        <v>196</v>
      </c>
      <c r="H20" s="48" t="s">
        <v>197</v>
      </c>
      <c r="I20" s="93"/>
      <c r="J20" s="100">
        <v>0.03</v>
      </c>
      <c r="K20" s="95">
        <f t="shared" si="0"/>
        <v>3.03030303030303</v>
      </c>
      <c r="L20" s="96">
        <f t="shared" si="1"/>
        <v>630</v>
      </c>
      <c r="M20" s="104">
        <f t="shared" si="2"/>
        <v>3.78</v>
      </c>
    </row>
    <row r="21" spans="7:13">
      <c r="G21" s="87" t="s">
        <v>198</v>
      </c>
      <c r="H21" s="88" t="s">
        <v>199</v>
      </c>
      <c r="I21" s="93" t="s">
        <v>200</v>
      </c>
      <c r="J21" s="97">
        <v>0.1</v>
      </c>
      <c r="K21" s="98">
        <f t="shared" si="0"/>
        <v>10.1010101010101</v>
      </c>
      <c r="L21" s="99">
        <f t="shared" si="1"/>
        <v>2100</v>
      </c>
      <c r="M21" s="105">
        <f t="shared" si="2"/>
        <v>12.6</v>
      </c>
    </row>
    <row r="22" spans="7:13">
      <c r="G22" s="86" t="s">
        <v>201</v>
      </c>
      <c r="H22" s="48" t="s">
        <v>202</v>
      </c>
      <c r="I22" s="93"/>
      <c r="J22" s="100">
        <v>0.05</v>
      </c>
      <c r="K22" s="95">
        <f t="shared" si="0"/>
        <v>5.05050505050505</v>
      </c>
      <c r="L22" s="96">
        <f t="shared" si="1"/>
        <v>1050</v>
      </c>
      <c r="M22" s="104">
        <f t="shared" si="2"/>
        <v>6.3</v>
      </c>
    </row>
    <row r="23" spans="7:13">
      <c r="G23" s="87" t="s">
        <v>203</v>
      </c>
      <c r="H23" s="88" t="s">
        <v>204</v>
      </c>
      <c r="I23" s="93" t="s">
        <v>203</v>
      </c>
      <c r="J23" s="97">
        <v>0</v>
      </c>
      <c r="K23" s="98">
        <f t="shared" si="0"/>
        <v>0</v>
      </c>
      <c r="L23" s="99">
        <f t="shared" si="1"/>
        <v>0</v>
      </c>
      <c r="M23" s="105">
        <f t="shared" si="2"/>
        <v>0</v>
      </c>
    </row>
    <row r="24" spans="7:13">
      <c r="G24" s="89" t="s">
        <v>117</v>
      </c>
      <c r="H24" s="52"/>
      <c r="I24" s="101"/>
      <c r="J24" s="101" t="s">
        <v>205</v>
      </c>
      <c r="K24" s="102" t="s">
        <v>206</v>
      </c>
      <c r="L24" s="103"/>
      <c r="M24" s="106"/>
    </row>
  </sheetData>
  <sheetProtection formatCells="0" insertHyperlinks="0" autoFilter="0"/>
  <mergeCells count="17">
    <mergeCell ref="B2:E2"/>
    <mergeCell ref="G2:M2"/>
    <mergeCell ref="C5:E5"/>
    <mergeCell ref="C6:E6"/>
    <mergeCell ref="C7:E7"/>
    <mergeCell ref="C8:E8"/>
    <mergeCell ref="B11:E11"/>
    <mergeCell ref="B12:C12"/>
    <mergeCell ref="D12:E12"/>
    <mergeCell ref="D13:E13"/>
    <mergeCell ref="D14:E14"/>
    <mergeCell ref="G24:I24"/>
    <mergeCell ref="K24:M24"/>
    <mergeCell ref="B6:B7"/>
    <mergeCell ref="I4:I8"/>
    <mergeCell ref="I9:I20"/>
    <mergeCell ref="I21:I22"/>
  </mergeCells>
  <dataValidations count="1">
    <dataValidation type="list" allowBlank="1" showInputMessage="1" showErrorMessage="1" sqref="C6:E7">
      <formula1>"全面进攻型,保守进攻型,保守型,防御/占领型"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showGridLines="0" workbookViewId="0">
      <selection activeCell="B2" sqref="B2"/>
    </sheetView>
  </sheetViews>
  <sheetFormatPr defaultColWidth="8.83333333333333" defaultRowHeight="13.5"/>
  <cols>
    <col min="1" max="1" width="23.1666666666667" customWidth="1"/>
    <col min="2" max="2" width="20.8333333333333" customWidth="1"/>
    <col min="3" max="4" width="9.66666666666667" customWidth="1"/>
    <col min="5" max="5" width="20" customWidth="1"/>
    <col min="8" max="8" width="9.66666666666667" customWidth="1"/>
    <col min="9" max="9" width="7.66666666666667" customWidth="1"/>
  </cols>
  <sheetData>
    <row r="1" ht="14.5" customHeight="1"/>
    <row r="2" s="3" customFormat="1" ht="14.5" customHeight="1" spans="1:2">
      <c r="A2" s="40" t="s">
        <v>22</v>
      </c>
      <c r="B2" s="41" t="str">
        <f>产品基本信息!E7</f>
        <v>2026.1.1</v>
      </c>
    </row>
    <row r="3" s="3" customFormat="1" ht="14.5" customHeight="1" spans="1:9">
      <c r="A3" s="42" t="s">
        <v>207</v>
      </c>
      <c r="B3" s="43" t="s">
        <v>208</v>
      </c>
      <c r="C3" s="44" t="s">
        <v>209</v>
      </c>
      <c r="D3" s="45"/>
      <c r="E3" s="43" t="s">
        <v>210</v>
      </c>
      <c r="F3" s="44" t="s">
        <v>209</v>
      </c>
      <c r="G3" s="45"/>
      <c r="H3" s="43" t="s">
        <v>211</v>
      </c>
      <c r="I3" s="65" t="s">
        <v>212</v>
      </c>
    </row>
    <row r="4" s="3" customFormat="1" ht="14.5" customHeight="1" spans="1:9">
      <c r="A4" s="46"/>
      <c r="B4" s="47" t="s">
        <v>213</v>
      </c>
      <c r="C4" s="48" t="s">
        <v>209</v>
      </c>
      <c r="E4" s="47" t="s">
        <v>214</v>
      </c>
      <c r="F4" s="48" t="s">
        <v>215</v>
      </c>
      <c r="H4" s="47" t="s">
        <v>216</v>
      </c>
      <c r="I4" s="66" t="s">
        <v>212</v>
      </c>
    </row>
    <row r="5" s="3" customFormat="1" ht="14.5" customHeight="1" spans="1:9">
      <c r="A5" s="46"/>
      <c r="B5" s="47" t="s">
        <v>217</v>
      </c>
      <c r="C5" s="48" t="s">
        <v>209</v>
      </c>
      <c r="E5" s="47" t="s">
        <v>218</v>
      </c>
      <c r="F5" s="48" t="s">
        <v>215</v>
      </c>
      <c r="H5" s="47" t="s">
        <v>219</v>
      </c>
      <c r="I5" s="66" t="s">
        <v>212</v>
      </c>
    </row>
    <row r="6" s="3" customFormat="1" ht="14.5" customHeight="1" spans="1:9">
      <c r="A6" s="49"/>
      <c r="B6" s="50" t="s">
        <v>220</v>
      </c>
      <c r="C6" s="51" t="s">
        <v>209</v>
      </c>
      <c r="D6" s="52"/>
      <c r="E6" s="50" t="s">
        <v>221</v>
      </c>
      <c r="F6" s="51" t="s">
        <v>215</v>
      </c>
      <c r="G6" s="52"/>
      <c r="H6" s="50" t="s">
        <v>222</v>
      </c>
      <c r="I6" s="67" t="s">
        <v>212</v>
      </c>
    </row>
    <row r="7" s="3" customFormat="1" ht="14.5" customHeight="1"/>
    <row r="8" s="3" customFormat="1" ht="16.5" spans="1:32">
      <c r="A8" s="53" t="s">
        <v>223</v>
      </c>
      <c r="B8" s="54"/>
      <c r="C8" s="54">
        <v>1</v>
      </c>
      <c r="D8" s="54">
        <v>2</v>
      </c>
      <c r="E8" s="54">
        <v>3</v>
      </c>
      <c r="F8" s="54">
        <v>4</v>
      </c>
      <c r="G8" s="54">
        <v>5</v>
      </c>
      <c r="H8" s="54">
        <v>6</v>
      </c>
      <c r="I8" s="54">
        <v>7</v>
      </c>
      <c r="J8" s="54">
        <v>8</v>
      </c>
      <c r="K8" s="54">
        <v>9</v>
      </c>
      <c r="L8" s="54">
        <v>10</v>
      </c>
      <c r="M8" s="54">
        <v>11</v>
      </c>
      <c r="N8" s="54">
        <v>12</v>
      </c>
      <c r="O8" s="54">
        <v>13</v>
      </c>
      <c r="P8" s="54">
        <v>14</v>
      </c>
      <c r="Q8" s="54">
        <v>15</v>
      </c>
      <c r="R8" s="54">
        <v>16</v>
      </c>
      <c r="S8" s="54">
        <v>17</v>
      </c>
      <c r="T8" s="54">
        <v>18</v>
      </c>
      <c r="U8" s="54">
        <v>19</v>
      </c>
      <c r="V8" s="54">
        <v>20</v>
      </c>
      <c r="W8" s="54">
        <v>21</v>
      </c>
      <c r="X8" s="54">
        <v>22</v>
      </c>
      <c r="Y8" s="54">
        <v>23</v>
      </c>
      <c r="Z8" s="54">
        <v>24</v>
      </c>
      <c r="AA8" s="54">
        <v>25</v>
      </c>
      <c r="AB8" s="54">
        <v>26</v>
      </c>
      <c r="AC8" s="54">
        <v>27</v>
      </c>
      <c r="AD8" s="54">
        <v>28</v>
      </c>
      <c r="AE8" s="54">
        <v>29</v>
      </c>
      <c r="AF8" s="68">
        <v>30</v>
      </c>
    </row>
    <row r="9" s="3" customFormat="1" ht="14.5" customHeight="1" spans="1:32">
      <c r="A9" s="46" t="s">
        <v>224</v>
      </c>
      <c r="B9" s="55" t="s">
        <v>225</v>
      </c>
      <c r="C9" s="56" t="s">
        <v>226</v>
      </c>
      <c r="D9" s="57" t="s">
        <v>227</v>
      </c>
      <c r="E9" s="57" t="s">
        <v>228</v>
      </c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69"/>
    </row>
    <row r="10" s="3" customFormat="1" ht="14.5" customHeight="1" spans="1:32">
      <c r="A10" s="46"/>
      <c r="B10" s="55" t="s">
        <v>229</v>
      </c>
      <c r="C10" s="58" t="s">
        <v>230</v>
      </c>
      <c r="D10" s="59" t="s">
        <v>228</v>
      </c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70"/>
    </row>
    <row r="11" s="3" customFormat="1" ht="14.5" customHeight="1" spans="1:32">
      <c r="A11" s="46"/>
      <c r="B11" s="55" t="s">
        <v>231</v>
      </c>
      <c r="C11" s="60" t="s">
        <v>232</v>
      </c>
      <c r="D11" s="61" t="s">
        <v>233</v>
      </c>
      <c r="E11" s="61" t="s">
        <v>234</v>
      </c>
      <c r="F11" s="61" t="s">
        <v>235</v>
      </c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71"/>
    </row>
    <row r="12" s="3" customFormat="1" ht="14.5" customHeight="1" spans="1:32">
      <c r="A12" s="46"/>
      <c r="B12" s="55" t="s">
        <v>236</v>
      </c>
      <c r="C12" s="58" t="s">
        <v>237</v>
      </c>
      <c r="D12" s="59" t="s">
        <v>238</v>
      </c>
      <c r="E12" s="59" t="s">
        <v>239</v>
      </c>
      <c r="F12" s="59" t="s">
        <v>240</v>
      </c>
      <c r="G12" s="59" t="s">
        <v>241</v>
      </c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70"/>
    </row>
    <row r="13" s="3" customFormat="1" ht="14.5" customHeight="1" spans="1:32">
      <c r="A13" s="46"/>
      <c r="B13" s="55" t="s">
        <v>242</v>
      </c>
      <c r="C13" s="60" t="s">
        <v>13</v>
      </c>
      <c r="D13" s="61" t="s">
        <v>243</v>
      </c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71"/>
    </row>
    <row r="14" s="3" customFormat="1" ht="14.5" customHeight="1" spans="1:32">
      <c r="A14" s="49"/>
      <c r="B14" s="62" t="s">
        <v>244</v>
      </c>
      <c r="C14" s="63" t="s">
        <v>243</v>
      </c>
      <c r="D14" s="64" t="s">
        <v>13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72"/>
    </row>
  </sheetData>
  <sheetProtection formatCells="0" insertHyperlinks="0" autoFilter="0"/>
  <mergeCells count="3">
    <mergeCell ref="A8:B8"/>
    <mergeCell ref="A3:A6"/>
    <mergeCell ref="A9:A14"/>
  </mergeCells>
  <conditionalFormatting sqref="A9">
    <cfRule type="containsText" dxfId="0" priority="16" operator="between" text="禁止显示">
      <formula>NOT(ISERROR(SEARCH("禁止显示",A9)))</formula>
    </cfRule>
  </conditionalFormatting>
  <conditionalFormatting sqref="D11:XFD11">
    <cfRule type="containsText" dxfId="0" priority="11" operator="between" text="缺货">
      <formula>NOT(ISERROR(SEARCH("缺货",D11)))</formula>
    </cfRule>
    <cfRule type="containsText" dxfId="0" priority="12" operator="between" text="告急">
      <formula>NOT(ISERROR(SEARCH("告急",D11)))</formula>
    </cfRule>
    <cfRule type="containsText" dxfId="1" priority="13" operator="between" text="预警">
      <formula>NOT(ISERROR(SEARCH("预警",D11)))</formula>
    </cfRule>
  </conditionalFormatting>
  <conditionalFormatting sqref="D12:XFD12">
    <cfRule type="containsText" dxfId="0" priority="8" operator="between" text="＜3.3">
      <formula>NOT(ISERROR(SEARCH("＜3.3",D12)))</formula>
    </cfRule>
    <cfRule type="containsText" dxfId="0" priority="9" operator="between" text="≥3.3">
      <formula>NOT(ISERROR(SEARCH("≥3.3",D12)))</formula>
    </cfRule>
    <cfRule type="containsText" dxfId="1" priority="10" operator="between" text="≥3.8">
      <formula>NOT(ISERROR(SEARCH("≥3.8",D12)))</formula>
    </cfRule>
  </conditionalFormatting>
  <conditionalFormatting sqref="C3:C6">
    <cfRule type="containsText" dxfId="0" priority="6" operator="between" text="Nope">
      <formula>NOT(ISERROR(SEARCH("Nope",C3)))</formula>
    </cfRule>
  </conditionalFormatting>
  <conditionalFormatting sqref="F3:F6">
    <cfRule type="containsText" dxfId="0" priority="1" operator="between" text="Nope">
      <formula>NOT(ISERROR(SEARCH("Nope",F3)))</formula>
    </cfRule>
  </conditionalFormatting>
  <conditionalFormatting sqref="I3:I6">
    <cfRule type="containsText" dxfId="0" priority="4" operator="between" text="未显示">
      <formula>NOT(ISERROR(SEARCH("未显示",I3)))</formula>
    </cfRule>
  </conditionalFormatting>
  <conditionalFormatting sqref="A9 D9:XFD9">
    <cfRule type="containsText" dxfId="0" priority="15" operator="between" text="不可售">
      <formula>NOT(ISERROR(SEARCH("不可售",A9)))</formula>
    </cfRule>
  </conditionalFormatting>
  <conditionalFormatting sqref="D9:XFD10">
    <cfRule type="containsText" dxfId="0" priority="14" operator="between" text="禁止显示">
      <formula>NOT(ISERROR(SEARCH("禁止显示",D9)))</formula>
    </cfRule>
  </conditionalFormatting>
  <conditionalFormatting sqref="D13:XFD14">
    <cfRule type="containsText" dxfId="0" priority="7" operator="between" text="是">
      <formula>NOT(ISERROR(SEARCH("是",D13)))</formula>
    </cfRule>
  </conditionalFormatting>
  <conditionalFormatting sqref="A14 C14:XFD14">
    <cfRule type="containsText" dxfId="0" priority="5" operator="between" text="否">
      <formula>NOT(ISERROR(SEARCH("否",A14)))</formula>
    </cfRule>
  </conditionalFormatting>
  <dataValidations count="8">
    <dataValidation type="list" allowBlank="1" showInputMessage="1" showErrorMessage="1" sqref="C9:XFD9">
      <formula1>"在售,不可售,禁止显示"</formula1>
    </dataValidation>
    <dataValidation type="list" allowBlank="1" showInputMessage="1" showErrorMessage="1" sqref="C10:XFD10">
      <formula1>"正常显示,禁止显示"</formula1>
    </dataValidation>
    <dataValidation type="list" allowBlank="1" showInputMessage="1" showErrorMessage="1" sqref="C11:XFD11">
      <formula1>"充足,预警,告急,缺货"</formula1>
    </dataValidation>
    <dataValidation type="list" allowBlank="1" showInputMessage="1" showErrorMessage="1" sqref="C12:XFD12">
      <formula1>"≥4.5,≥4,≥3.8,≥3.3,＜3.3"</formula1>
    </dataValidation>
    <dataValidation type="list" allowBlank="1" showInputMessage="1" showErrorMessage="1" sqref="C3:C6 F3:F6">
      <formula1>"Done,Nope"</formula1>
    </dataValidation>
    <dataValidation type="list" allowBlank="1" showInputMessage="1" showErrorMessage="1" sqref="I3:I6">
      <formula1>"正常显示,未显示"</formula1>
    </dataValidation>
    <dataValidation allowBlank="1" showInputMessage="1" showErrorMessage="1" sqref="A9:B14"/>
    <dataValidation type="list" allowBlank="1" showInputMessage="1" showErrorMessage="1" sqref="C13:XFD14">
      <formula1>"是,否"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4"/>
  <sheetViews>
    <sheetView showGridLines="0" zoomScale="80" zoomScaleNormal="80" workbookViewId="0">
      <pane xSplit="2" ySplit="10" topLeftCell="C11" activePane="bottomRight" state="frozen"/>
      <selection/>
      <selection pane="topRight"/>
      <selection pane="bottomLeft"/>
      <selection pane="bottomRight" activeCell="A1" sqref="A1:A4"/>
    </sheetView>
  </sheetViews>
  <sheetFormatPr defaultColWidth="8.83333333333333" defaultRowHeight="16.5"/>
  <cols>
    <col min="1" max="1" width="23.1666666666667" style="3" customWidth="1"/>
    <col min="2" max="2" width="20.8333333333333" style="3" customWidth="1"/>
    <col min="3" max="32" width="8.83333333333333" style="3" customWidth="1"/>
    <col min="33" max="16384" width="8.83333333333333" style="3"/>
  </cols>
  <sheetData>
    <row r="1" s="1" customFormat="1" ht="12" customHeight="1" spans="1:32">
      <c r="A1" s="4" t="s">
        <v>245</v>
      </c>
      <c r="B1" s="5" t="s">
        <v>246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27"/>
    </row>
    <row r="2" s="2" customFormat="1" ht="12" customHeight="1" spans="1:32">
      <c r="A2" s="6"/>
      <c r="B2" s="7" t="s">
        <v>247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28"/>
    </row>
    <row r="3" s="1" customFormat="1" ht="12" customHeight="1" spans="1:32">
      <c r="A3" s="8"/>
      <c r="B3" s="9" t="s">
        <v>248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29"/>
    </row>
    <row r="4" s="1" customFormat="1" ht="12" customHeight="1" spans="1:32">
      <c r="A4" s="8"/>
      <c r="B4" s="10" t="s">
        <v>249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30"/>
    </row>
    <row r="5" s="1" customFormat="1" ht="12" customHeight="1" spans="1:32">
      <c r="A5" s="8" t="s">
        <v>250</v>
      </c>
      <c r="B5" s="9" t="s">
        <v>246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29"/>
    </row>
    <row r="6" s="2" customFormat="1" ht="12" customHeight="1" spans="1:32">
      <c r="A6" s="6"/>
      <c r="B6" s="7" t="s">
        <v>247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28"/>
    </row>
    <row r="7" s="1" customFormat="1" ht="12" customHeight="1" spans="1:32">
      <c r="A7" s="8"/>
      <c r="B7" s="9" t="s">
        <v>248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29"/>
    </row>
    <row r="8" s="1" customFormat="1" ht="12" customHeight="1" spans="1:32">
      <c r="A8" s="11"/>
      <c r="B8" s="12" t="s">
        <v>249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31"/>
    </row>
    <row r="9" spans="1:32">
      <c r="A9" s="13" t="s">
        <v>251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>
      <c r="A10" s="14" t="s">
        <v>223</v>
      </c>
      <c r="B10" s="15"/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15">
        <v>7</v>
      </c>
      <c r="J10" s="15">
        <v>8</v>
      </c>
      <c r="K10" s="15">
        <v>9</v>
      </c>
      <c r="L10" s="15">
        <v>10</v>
      </c>
      <c r="M10" s="15">
        <v>11</v>
      </c>
      <c r="N10" s="15">
        <v>12</v>
      </c>
      <c r="O10" s="15">
        <v>13</v>
      </c>
      <c r="P10" s="15">
        <v>14</v>
      </c>
      <c r="Q10" s="15">
        <v>15</v>
      </c>
      <c r="R10" s="15">
        <v>16</v>
      </c>
      <c r="S10" s="15">
        <v>17</v>
      </c>
      <c r="T10" s="15">
        <v>18</v>
      </c>
      <c r="U10" s="15">
        <v>19</v>
      </c>
      <c r="V10" s="15">
        <v>20</v>
      </c>
      <c r="W10" s="15">
        <v>21</v>
      </c>
      <c r="X10" s="15">
        <v>22</v>
      </c>
      <c r="Y10" s="15">
        <v>23</v>
      </c>
      <c r="Z10" s="15">
        <v>24</v>
      </c>
      <c r="AA10" s="15">
        <v>25</v>
      </c>
      <c r="AB10" s="15">
        <v>26</v>
      </c>
      <c r="AC10" s="15">
        <v>27</v>
      </c>
      <c r="AD10" s="15">
        <v>28</v>
      </c>
      <c r="AE10" s="15">
        <v>29</v>
      </c>
      <c r="AF10" s="32">
        <v>30</v>
      </c>
    </row>
    <row r="11" spans="1:32">
      <c r="A11" s="16" t="s">
        <v>252</v>
      </c>
      <c r="B11" s="17" t="s">
        <v>253</v>
      </c>
      <c r="C11" s="18">
        <v>0.3</v>
      </c>
      <c r="D11" s="19"/>
      <c r="E11" s="19"/>
      <c r="F11" s="19"/>
      <c r="G11" s="19"/>
      <c r="H11" s="19"/>
      <c r="I11" s="19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33"/>
    </row>
    <row r="12" spans="1:32">
      <c r="A12" s="20"/>
      <c r="B12" s="21"/>
      <c r="C12" s="22"/>
      <c r="D12" s="22"/>
      <c r="E12" s="22"/>
      <c r="F12" s="22"/>
      <c r="G12" s="22"/>
      <c r="H12" s="22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34"/>
    </row>
    <row r="13" spans="1:32">
      <c r="A13" s="20"/>
      <c r="B13" s="21" t="s">
        <v>254</v>
      </c>
      <c r="C13" s="23"/>
      <c r="D13" s="23"/>
      <c r="E13" s="25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34"/>
    </row>
    <row r="14" spans="1:32">
      <c r="A14" s="20"/>
      <c r="B14" s="21"/>
      <c r="C14" s="23"/>
      <c r="D14" s="23"/>
      <c r="E14" s="22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34"/>
    </row>
    <row r="15" spans="1:32">
      <c r="A15" s="20"/>
      <c r="B15" s="21" t="s">
        <v>255</v>
      </c>
      <c r="C15" s="23"/>
      <c r="D15" s="23"/>
      <c r="E15" s="23"/>
      <c r="F15" s="23"/>
      <c r="G15" s="23"/>
      <c r="H15" s="23"/>
      <c r="I15" s="23"/>
      <c r="J15" s="25"/>
      <c r="K15" s="25"/>
      <c r="L15" s="25"/>
      <c r="M15" s="25"/>
      <c r="N15" s="25"/>
      <c r="O15" s="25"/>
      <c r="P15" s="25"/>
      <c r="Q15" s="25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34"/>
    </row>
    <row r="16" spans="1:32">
      <c r="A16" s="20"/>
      <c r="B16" s="21"/>
      <c r="C16" s="23"/>
      <c r="D16" s="23"/>
      <c r="E16" s="23"/>
      <c r="F16" s="23"/>
      <c r="G16" s="23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34"/>
    </row>
    <row r="17" spans="1:32">
      <c r="A17" s="20"/>
      <c r="B17" s="21" t="s">
        <v>256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34"/>
    </row>
    <row r="18" spans="1:32">
      <c r="A18" s="20"/>
      <c r="B18" s="21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34"/>
    </row>
    <row r="19" spans="1:32">
      <c r="A19" s="20"/>
      <c r="B19" s="21" t="s">
        <v>257</v>
      </c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34"/>
    </row>
    <row r="20" spans="1:32">
      <c r="A20" s="20"/>
      <c r="B20" s="21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34"/>
    </row>
    <row r="21" spans="1:32">
      <c r="A21" s="20"/>
      <c r="B21" s="21" t="s">
        <v>258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34"/>
    </row>
    <row r="22" spans="1:32">
      <c r="A22" s="20"/>
      <c r="B22" s="21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34"/>
    </row>
    <row r="23" spans="1:32">
      <c r="A23" s="20"/>
      <c r="B23" s="21" t="s">
        <v>259</v>
      </c>
      <c r="C23" s="24">
        <v>0.6</v>
      </c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34"/>
    </row>
    <row r="24" spans="1:32">
      <c r="A24" s="20"/>
      <c r="B24" s="21"/>
      <c r="C24" s="22">
        <v>20</v>
      </c>
      <c r="D24" s="22">
        <v>10</v>
      </c>
      <c r="E24" s="22">
        <v>5</v>
      </c>
      <c r="F24" s="22">
        <v>7</v>
      </c>
      <c r="G24" s="22">
        <v>12</v>
      </c>
      <c r="H24" s="22">
        <v>13</v>
      </c>
      <c r="I24" s="22">
        <v>12</v>
      </c>
      <c r="J24" s="22">
        <v>6</v>
      </c>
      <c r="K24" s="22">
        <v>9</v>
      </c>
      <c r="L24" s="22">
        <v>11</v>
      </c>
      <c r="M24" s="22">
        <v>17</v>
      </c>
      <c r="N24" s="22">
        <v>5</v>
      </c>
      <c r="O24" s="22">
        <v>3</v>
      </c>
      <c r="P24" s="22">
        <v>1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34"/>
    </row>
    <row r="25" spans="1:32">
      <c r="A25" s="20"/>
      <c r="B25" s="21" t="s">
        <v>260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34"/>
    </row>
    <row r="26" spans="1:32">
      <c r="A26" s="20"/>
      <c r="B26" s="21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34"/>
    </row>
    <row r="27" spans="1:32">
      <c r="A27" s="20"/>
      <c r="B27" s="21" t="s">
        <v>261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34"/>
    </row>
    <row r="28" spans="1:32">
      <c r="A28" s="20"/>
      <c r="B28" s="21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34"/>
    </row>
    <row r="29" spans="1:32">
      <c r="A29" s="20"/>
      <c r="B29" s="21" t="s">
        <v>262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34"/>
    </row>
    <row r="30" spans="1:32">
      <c r="A30" s="20"/>
      <c r="B30" s="21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34"/>
    </row>
    <row r="31" spans="1:32">
      <c r="A31" s="20"/>
      <c r="B31" s="21" t="s">
        <v>263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34"/>
    </row>
    <row r="32" spans="1:32">
      <c r="A32" s="20"/>
      <c r="B32" s="21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34"/>
    </row>
    <row r="33" spans="1:32">
      <c r="A33" s="20"/>
      <c r="B33" s="21" t="s">
        <v>264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34"/>
    </row>
    <row r="34" spans="1:32">
      <c r="A34" s="20"/>
      <c r="B34" s="21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34"/>
    </row>
    <row r="35" spans="1:32">
      <c r="A35" s="20"/>
      <c r="B35" s="21" t="s">
        <v>265</v>
      </c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34"/>
    </row>
    <row r="36" spans="1:32">
      <c r="A36" s="20"/>
      <c r="B36" s="21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34"/>
    </row>
    <row r="37" spans="1:32">
      <c r="A37" s="20"/>
      <c r="B37" s="21" t="s">
        <v>266</v>
      </c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34"/>
    </row>
    <row r="38" spans="1:32">
      <c r="A38" s="20"/>
      <c r="B38" s="21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34"/>
    </row>
    <row r="39" spans="1:32">
      <c r="A39" s="20"/>
      <c r="B39" s="21" t="s">
        <v>267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34"/>
    </row>
    <row r="40" spans="1:32">
      <c r="A40" s="20"/>
      <c r="B40" s="21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34"/>
    </row>
    <row r="41" spans="1:32">
      <c r="A41" s="20"/>
      <c r="B41" s="21" t="s">
        <v>268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34"/>
    </row>
    <row r="42" spans="1:32">
      <c r="A42" s="20"/>
      <c r="B42" s="21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34"/>
    </row>
    <row r="43" spans="1:32">
      <c r="A43" s="20"/>
      <c r="B43" s="21" t="s">
        <v>269</v>
      </c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34"/>
    </row>
    <row r="44" spans="1:32">
      <c r="A44" s="20"/>
      <c r="B44" s="21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34"/>
    </row>
    <row r="45" spans="1:32">
      <c r="A45" s="20"/>
      <c r="B45" s="21" t="s">
        <v>148</v>
      </c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35"/>
    </row>
    <row r="46" spans="1:32">
      <c r="A46" s="20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34"/>
    </row>
    <row r="47" spans="1:32">
      <c r="A47" s="20"/>
      <c r="B47" s="21" t="s">
        <v>152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34"/>
    </row>
    <row r="48" spans="1:32">
      <c r="A48" s="20"/>
      <c r="B48" s="21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34"/>
    </row>
    <row r="49" spans="1:32">
      <c r="A49" s="20"/>
      <c r="B49" s="21" t="s">
        <v>156</v>
      </c>
      <c r="C49" s="23"/>
      <c r="D49" s="23"/>
      <c r="E49" s="23"/>
      <c r="F49" s="23"/>
      <c r="G49" s="23"/>
      <c r="H49" s="23"/>
      <c r="I49" s="23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34"/>
    </row>
    <row r="50" spans="1:32">
      <c r="A50" s="20"/>
      <c r="B50" s="21"/>
      <c r="C50" s="23"/>
      <c r="D50" s="23"/>
      <c r="E50" s="23"/>
      <c r="F50" s="23"/>
      <c r="G50" s="23"/>
      <c r="H50" s="23"/>
      <c r="I50" s="23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34"/>
    </row>
    <row r="51" spans="1:32">
      <c r="A51" s="20"/>
      <c r="B51" s="21" t="s">
        <v>159</v>
      </c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34"/>
    </row>
    <row r="52" spans="1:32">
      <c r="A52" s="20"/>
      <c r="B52" s="21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34"/>
    </row>
    <row r="53" spans="1:32">
      <c r="A53" s="20"/>
      <c r="B53" s="21" t="s">
        <v>162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34"/>
    </row>
    <row r="54" spans="1:32">
      <c r="A54" s="20"/>
      <c r="B54" s="21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34"/>
    </row>
    <row r="55" spans="1:32">
      <c r="A55" s="20"/>
      <c r="B55" s="21" t="s">
        <v>164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34"/>
    </row>
    <row r="56" spans="1:32">
      <c r="A56" s="20"/>
      <c r="B56" s="21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34"/>
    </row>
    <row r="57" spans="1:32">
      <c r="A57" s="20"/>
      <c r="B57" s="21" t="s">
        <v>167</v>
      </c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34"/>
    </row>
    <row r="58" spans="1:32">
      <c r="A58" s="20"/>
      <c r="B58" s="21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34"/>
    </row>
    <row r="59" spans="1:32">
      <c r="A59" s="20"/>
      <c r="B59" s="21" t="s">
        <v>170</v>
      </c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34"/>
    </row>
    <row r="60" spans="1:32">
      <c r="A60" s="20"/>
      <c r="B60" s="21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34"/>
    </row>
    <row r="61" spans="1:32">
      <c r="A61" s="20"/>
      <c r="B61" s="21" t="s">
        <v>173</v>
      </c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34"/>
    </row>
    <row r="62" spans="1:32">
      <c r="A62" s="20"/>
      <c r="B62" s="21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34"/>
    </row>
    <row r="63" spans="1:32">
      <c r="A63" s="20"/>
      <c r="B63" s="21" t="s">
        <v>178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34"/>
    </row>
    <row r="64" spans="1:32">
      <c r="A64" s="20"/>
      <c r="B64" s="21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34"/>
    </row>
    <row r="65" spans="1:32">
      <c r="A65" s="20"/>
      <c r="B65" s="21" t="s">
        <v>180</v>
      </c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34"/>
    </row>
    <row r="66" spans="1:32">
      <c r="A66" s="20"/>
      <c r="B66" s="21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34"/>
    </row>
    <row r="67" spans="1:32">
      <c r="A67" s="20"/>
      <c r="B67" s="21" t="s">
        <v>185</v>
      </c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34"/>
    </row>
    <row r="68" spans="1:32">
      <c r="A68" s="20"/>
      <c r="B68" s="21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34"/>
    </row>
    <row r="69" spans="1:32">
      <c r="A69" s="20"/>
      <c r="B69" s="21" t="s">
        <v>187</v>
      </c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34"/>
    </row>
    <row r="70" spans="1:32">
      <c r="A70" s="20"/>
      <c r="B70" s="21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34"/>
    </row>
    <row r="71" spans="1:32">
      <c r="A71" s="20"/>
      <c r="B71" s="21" t="s">
        <v>191</v>
      </c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34"/>
    </row>
    <row r="72" spans="1:32">
      <c r="A72" s="20"/>
      <c r="B72" s="21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34"/>
    </row>
    <row r="73" spans="1:32">
      <c r="A73" s="20"/>
      <c r="B73" s="21" t="s">
        <v>193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34"/>
    </row>
    <row r="74" spans="1:32">
      <c r="A74" s="20"/>
      <c r="B74" s="21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34"/>
    </row>
    <row r="75" spans="1:32">
      <c r="A75" s="20"/>
      <c r="B75" s="21" t="s">
        <v>195</v>
      </c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34"/>
    </row>
    <row r="76" spans="1:32">
      <c r="A76" s="20"/>
      <c r="B76" s="21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34"/>
    </row>
    <row r="77" spans="1:32">
      <c r="A77" s="20"/>
      <c r="B77" s="21" t="s">
        <v>197</v>
      </c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34"/>
    </row>
    <row r="78" spans="1:32">
      <c r="A78" s="20"/>
      <c r="B78" s="21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34"/>
    </row>
    <row r="79" spans="1:32">
      <c r="A79" s="20"/>
      <c r="B79" s="21" t="s">
        <v>199</v>
      </c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34"/>
    </row>
    <row r="80" spans="1:32">
      <c r="A80" s="20"/>
      <c r="B80" s="21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34"/>
    </row>
    <row r="81" spans="1:32">
      <c r="A81" s="20"/>
      <c r="B81" s="21" t="s">
        <v>202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34"/>
    </row>
    <row r="82" spans="1:32">
      <c r="A82" s="20"/>
      <c r="B82" s="21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34"/>
    </row>
    <row r="83" spans="1:32">
      <c r="A83" s="20"/>
      <c r="B83" s="21" t="s">
        <v>204</v>
      </c>
      <c r="C83" s="23"/>
      <c r="D83" s="23"/>
      <c r="E83" s="25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34"/>
    </row>
    <row r="84" spans="1:32">
      <c r="A84" s="36"/>
      <c r="B84" s="37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9"/>
    </row>
  </sheetData>
  <sheetProtection formatCells="0" insertHyperlinks="0" autoFilter="0"/>
  <mergeCells count="42">
    <mergeCell ref="A9:AF9"/>
    <mergeCell ref="A10:B10"/>
    <mergeCell ref="A1:A4"/>
    <mergeCell ref="A5:A8"/>
    <mergeCell ref="A11:A84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</mergeCells>
  <conditionalFormatting sqref="D1:XFD8 AG9:XFD9">
    <cfRule type="containsText" dxfId="0" priority="7" operator="between" text="是">
      <formula>NOT(ISERROR(SEARCH("是",D1)))</formula>
    </cfRule>
  </conditionalFormatting>
  <dataValidations count="1">
    <dataValidation allowBlank="1" showInputMessage="1" showErrorMessage="1" sqref="$A1:$XFD9"/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EZPSZPYEUMZAWQEW:415129191749364179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6"/>
  <pixelatorList sheetStid="2"/>
  <pixelatorList sheetStid="3"/>
  <pixelatorList sheetStid="4"/>
  <pixelatorList sheetStid="7"/>
  <pixelatorList sheetStid="5"/>
  <pixelatorList sheetStid="8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产品基本信息</vt:lpstr>
      <vt:lpstr>产品SWOT分析</vt:lpstr>
      <vt:lpstr>主要竞品list</vt:lpstr>
      <vt:lpstr>关键词list</vt:lpstr>
      <vt:lpstr>广告投放策略</vt:lpstr>
      <vt:lpstr>产品上线准备及状态检查</vt:lpstr>
      <vt:lpstr>运营动作流水节拍横道图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50399</dc:creator>
  <cp:lastModifiedBy>博 来</cp:lastModifiedBy>
  <dcterms:created xsi:type="dcterms:W3CDTF">2021-10-26T12:12:00Z</dcterms:created>
  <dcterms:modified xsi:type="dcterms:W3CDTF">2026-01-09T11:58:00Z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EDB5ACCBA0694DD5B888720B8C1176D5</vt:lpwstr>
  </property>
  <property fmtid="{D5CDD505-2E9C-101B-9397-08002B2CF9AE}" pid="3" name="KSOProductBuildVer">
    <vt:lpwstr>2052-0.0.0.0</vt:lpwstr>
  </property>
  <property fmtid="{D5CDD505-2E9C-101B-9397-08002B2CF9AE}" pid="4" name="KSOReadingLayout">
    <vt:bool>false</vt:bool>
  </property>
</Properties>
</file>