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laibo/Desktop/"/>
    </mc:Choice>
  </mc:AlternateContent>
  <xr:revisionPtr revIDLastSave="0" documentId="13_ncr:1_{5D86E3B8-D830-9342-AC33-9B7A71FCC02E}" xr6:coauthVersionLast="47" xr6:coauthVersionMax="47" xr10:uidLastSave="{00000000-0000-0000-0000-000000000000}"/>
  <bookViews>
    <workbookView xWindow="4480" yWindow="600" windowWidth="31360" windowHeight="20460" xr2:uid="{00000000-000D-0000-FFFF-FFFF00000000}"/>
  </bookViews>
  <sheets>
    <sheet name="产品放量预估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7" l="1"/>
  <c r="J10" i="7"/>
  <c r="L10" i="7" s="1"/>
  <c r="G10" i="7"/>
  <c r="J9" i="7"/>
  <c r="L9" i="7" s="1"/>
  <c r="G9" i="7"/>
  <c r="M9" i="7" s="1"/>
  <c r="J8" i="7"/>
  <c r="L8" i="7" s="1"/>
  <c r="G8" i="7"/>
  <c r="M8" i="7" s="1"/>
  <c r="M7" i="7"/>
  <c r="J7" i="7"/>
  <c r="L7" i="7" s="1"/>
  <c r="G7" i="7"/>
  <c r="L6" i="7"/>
  <c r="G6" i="7"/>
  <c r="M6" i="7" s="1"/>
  <c r="J5" i="7"/>
  <c r="L5" i="7" s="1"/>
  <c r="G5" i="7"/>
  <c r="M5" i="7" s="1"/>
  <c r="M4" i="7"/>
  <c r="L4" i="7"/>
  <c r="G4" i="7"/>
  <c r="L3" i="7"/>
  <c r="G3" i="7"/>
  <c r="M3" i="7" s="1"/>
</calcChain>
</file>

<file path=xl/sharedStrings.xml><?xml version="1.0" encoding="utf-8"?>
<sst xmlns="http://schemas.openxmlformats.org/spreadsheetml/2006/main" count="38" uniqueCount="35">
  <si>
    <t>Date</t>
  </si>
  <si>
    <t>Model</t>
  </si>
  <si>
    <t>定价</t>
  </si>
  <si>
    <t>预估Review</t>
  </si>
  <si>
    <t>日销</t>
  </si>
  <si>
    <t>促销销量</t>
  </si>
  <si>
    <t>库存计划</t>
  </si>
  <si>
    <t>促销计划</t>
  </si>
  <si>
    <t>广告计划</t>
  </si>
  <si>
    <t>广告日预算</t>
  </si>
  <si>
    <t>广告流量</t>
  </si>
  <si>
    <t>CVR</t>
  </si>
  <si>
    <t>广告订单</t>
  </si>
  <si>
    <t>AC</t>
  </si>
  <si>
    <t>WEEK1</t>
  </si>
  <si>
    <t>‘4.3/46</t>
  </si>
  <si>
    <t>1. 低价+CP
2. 广告精准大词
3. DA 多方面测试/周Review
4. 点好/差评</t>
  </si>
  <si>
    <t>WEEK2</t>
  </si>
  <si>
    <t>‘4.3/50</t>
  </si>
  <si>
    <t>1. 低价+CP
2. 广告大词放量+铺开长尾
3. 粉色发货+vine
4. BD活动提交</t>
  </si>
  <si>
    <t>WEEK3</t>
  </si>
  <si>
    <t>4.8/60</t>
  </si>
  <si>
    <t>1. 手动打关键词，DA 多方面测试/周Review
2. 索评
3. 点好/差评
4. BD活动提交</t>
  </si>
  <si>
    <t>WEEK4</t>
  </si>
  <si>
    <t>‘4.3/65</t>
  </si>
  <si>
    <t>1. Post测试，APA放量
2. 索评
3. 点好/差评
4. BD活动提交</t>
  </si>
  <si>
    <t>WEEK5</t>
  </si>
  <si>
    <t>‘4.4/80</t>
  </si>
  <si>
    <t>1. APA放量
2. 索评
3. 点好/差评
4. BD/LD活动提交</t>
  </si>
  <si>
    <t>WEEK6</t>
  </si>
  <si>
    <t>‘4.4/130</t>
  </si>
  <si>
    <t>WEEK7</t>
  </si>
  <si>
    <t>‘4.4/180</t>
  </si>
  <si>
    <t>WEEK5
(10.25)</t>
  </si>
  <si>
    <t>‘4.5/250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</si>
</sst>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8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180" fontId="0" fillId="0" borderId="0" xfId="0" applyNumberFormat="1"/>
    <xf numFmtId="0" fontId="2" fillId="2" borderId="1" xfId="2" applyFont="1" applyFill="1" applyBorder="1" applyAlignment="1">
      <alignment horizontal="center" vertical="center" wrapText="1"/>
    </xf>
    <xf numFmtId="180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180" fontId="2" fillId="2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</cellXfs>
  <cellStyles count="3">
    <cellStyle name="百分比" xfId="1" builtinId="5"/>
    <cellStyle name="常规" xfId="0" builtinId="0"/>
    <cellStyle name="常规 3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20" zoomScaleNormal="120" workbookViewId="0">
      <selection sqref="A1:A2"/>
    </sheetView>
  </sheetViews>
  <sheetFormatPr baseColWidth="10" defaultColWidth="9" defaultRowHeight="15"/>
  <cols>
    <col min="2" max="2" width="12.6640625" customWidth="1"/>
    <col min="5" max="5" width="9" style="3"/>
    <col min="7" max="7" width="10.6640625" customWidth="1"/>
    <col min="8" max="8" width="42" customWidth="1"/>
    <col min="10" max="10" width="10.6640625" customWidth="1"/>
    <col min="12" max="12" width="9" style="3"/>
    <col min="13" max="13" width="12.1640625" customWidth="1"/>
  </cols>
  <sheetData>
    <row r="1" spans="1:13" s="1" customFormat="1" ht="14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/>
      <c r="L1" s="5"/>
      <c r="M1" s="4"/>
    </row>
    <row r="2" spans="1:13" s="2" customFormat="1">
      <c r="A2" s="4"/>
      <c r="B2" s="4"/>
      <c r="C2" s="4"/>
      <c r="D2" s="4"/>
      <c r="E2" s="5"/>
      <c r="F2" s="4"/>
      <c r="G2" s="4"/>
      <c r="H2" s="4"/>
      <c r="I2" s="6" t="s">
        <v>9</v>
      </c>
      <c r="J2" s="6" t="s">
        <v>10</v>
      </c>
      <c r="K2" s="6" t="s">
        <v>11</v>
      </c>
      <c r="L2" s="7" t="s">
        <v>12</v>
      </c>
      <c r="M2" s="6" t="s">
        <v>13</v>
      </c>
    </row>
    <row r="3" spans="1:13" s="1" customFormat="1" ht="78.75" customHeight="1">
      <c r="A3" s="8" t="s">
        <v>14</v>
      </c>
      <c r="B3" s="8"/>
      <c r="C3" s="8">
        <v>14.99</v>
      </c>
      <c r="D3" s="9" t="s">
        <v>15</v>
      </c>
      <c r="E3" s="10">
        <v>8</v>
      </c>
      <c r="F3" s="11">
        <v>0</v>
      </c>
      <c r="G3" s="8">
        <f t="shared" ref="G3:G9" si="0">E3*7+F3</f>
        <v>56</v>
      </c>
      <c r="H3" s="12" t="s">
        <v>16</v>
      </c>
      <c r="I3" s="8">
        <v>150</v>
      </c>
      <c r="J3" s="8">
        <v>85</v>
      </c>
      <c r="K3" s="13">
        <v>0.1</v>
      </c>
      <c r="L3" s="10">
        <f>J3*K3</f>
        <v>8.5</v>
      </c>
      <c r="M3" s="14">
        <f>(I3*7)/(G3*C3)</f>
        <v>1.2508338892595063</v>
      </c>
    </row>
    <row r="4" spans="1:13" s="1" customFormat="1" ht="78" customHeight="1">
      <c r="A4" s="8" t="s">
        <v>17</v>
      </c>
      <c r="B4" s="8"/>
      <c r="C4" s="8">
        <v>14.99</v>
      </c>
      <c r="D4" s="9" t="s">
        <v>18</v>
      </c>
      <c r="E4" s="10">
        <v>20</v>
      </c>
      <c r="F4" s="11">
        <v>0</v>
      </c>
      <c r="G4" s="8">
        <f t="shared" si="0"/>
        <v>140</v>
      </c>
      <c r="H4" s="12" t="s">
        <v>19</v>
      </c>
      <c r="I4" s="8">
        <v>300</v>
      </c>
      <c r="J4" s="8">
        <v>180</v>
      </c>
      <c r="K4" s="13">
        <v>0.1</v>
      </c>
      <c r="L4" s="10">
        <f>J4*K4</f>
        <v>18</v>
      </c>
      <c r="M4" s="14">
        <f>(I4*7)/(G4*C4)</f>
        <v>1.0006671114076051</v>
      </c>
    </row>
    <row r="5" spans="1:13" s="1" customFormat="1" ht="74.25" customHeight="1">
      <c r="A5" s="8" t="s">
        <v>20</v>
      </c>
      <c r="B5" s="8"/>
      <c r="C5" s="8">
        <v>14.99</v>
      </c>
      <c r="D5" s="9" t="s">
        <v>21</v>
      </c>
      <c r="E5" s="10">
        <v>30</v>
      </c>
      <c r="F5" s="11">
        <v>140</v>
      </c>
      <c r="G5" s="8">
        <f t="shared" si="0"/>
        <v>350</v>
      </c>
      <c r="H5" s="12" t="s">
        <v>22</v>
      </c>
      <c r="I5" s="8">
        <v>400</v>
      </c>
      <c r="J5" s="8">
        <f>I5/1.6</f>
        <v>250</v>
      </c>
      <c r="K5" s="13">
        <v>0.1</v>
      </c>
      <c r="L5" s="10">
        <f>J5*K5</f>
        <v>25</v>
      </c>
      <c r="M5" s="14">
        <f>(I5*7)/(G5*C5)</f>
        <v>0.53368912608405605</v>
      </c>
    </row>
    <row r="6" spans="1:13" s="1" customFormat="1" ht="80.25" customHeight="1">
      <c r="A6" s="8" t="s">
        <v>23</v>
      </c>
      <c r="B6" s="8"/>
      <c r="C6" s="8">
        <v>14.99</v>
      </c>
      <c r="D6" s="9" t="s">
        <v>24</v>
      </c>
      <c r="E6" s="15">
        <v>50</v>
      </c>
      <c r="F6" s="11">
        <v>210</v>
      </c>
      <c r="G6" s="8">
        <f t="shared" si="0"/>
        <v>560</v>
      </c>
      <c r="H6" s="12" t="s">
        <v>25</v>
      </c>
      <c r="I6" s="8">
        <v>500</v>
      </c>
      <c r="J6" s="8">
        <v>300</v>
      </c>
      <c r="K6" s="13">
        <v>0.12</v>
      </c>
      <c r="L6" s="10">
        <f t="shared" ref="L6:L8" si="1">J6*K6</f>
        <v>36</v>
      </c>
      <c r="M6" s="14">
        <f t="shared" ref="M6:M10" si="2">(I6*7)/(G6*C6)</f>
        <v>0.41694462975316882</v>
      </c>
    </row>
    <row r="7" spans="1:13" s="1" customFormat="1" ht="79.5" customHeight="1">
      <c r="A7" s="8" t="s">
        <v>26</v>
      </c>
      <c r="B7" s="8"/>
      <c r="C7" s="8">
        <v>14.99</v>
      </c>
      <c r="D7" s="9" t="s">
        <v>27</v>
      </c>
      <c r="E7" s="15">
        <v>100</v>
      </c>
      <c r="F7" s="11">
        <v>350</v>
      </c>
      <c r="G7" s="8">
        <f t="shared" si="0"/>
        <v>1050</v>
      </c>
      <c r="H7" s="12" t="s">
        <v>28</v>
      </c>
      <c r="I7" s="8">
        <v>700</v>
      </c>
      <c r="J7" s="8">
        <f>I7/1.6</f>
        <v>437.5</v>
      </c>
      <c r="K7" s="13">
        <v>0.13</v>
      </c>
      <c r="L7" s="10">
        <f t="shared" si="1"/>
        <v>56.875</v>
      </c>
      <c r="M7" s="14">
        <f t="shared" si="2"/>
        <v>0.31131865688236604</v>
      </c>
    </row>
    <row r="8" spans="1:13" s="1" customFormat="1" ht="79.5" customHeight="1">
      <c r="A8" s="8" t="s">
        <v>29</v>
      </c>
      <c r="B8" s="8"/>
      <c r="C8" s="8">
        <v>19.989999999999998</v>
      </c>
      <c r="D8" s="9" t="s">
        <v>30</v>
      </c>
      <c r="E8" s="15">
        <v>130</v>
      </c>
      <c r="F8" s="11">
        <v>300</v>
      </c>
      <c r="G8" s="8">
        <f t="shared" si="0"/>
        <v>1210</v>
      </c>
      <c r="H8" s="12" t="s">
        <v>28</v>
      </c>
      <c r="I8" s="8">
        <v>800</v>
      </c>
      <c r="J8" s="8">
        <f t="shared" ref="J8:J10" si="3">I8/1.6</f>
        <v>500</v>
      </c>
      <c r="K8" s="13">
        <v>0.13</v>
      </c>
      <c r="L8" s="10">
        <f t="shared" si="1"/>
        <v>65</v>
      </c>
      <c r="M8" s="14">
        <f t="shared" si="2"/>
        <v>0.23152071903720459</v>
      </c>
    </row>
    <row r="9" spans="1:13" s="1" customFormat="1" ht="79.5" customHeight="1">
      <c r="A9" s="8" t="s">
        <v>31</v>
      </c>
      <c r="B9" s="8"/>
      <c r="C9" s="8">
        <v>19.989999999999998</v>
      </c>
      <c r="D9" s="9" t="s">
        <v>32</v>
      </c>
      <c r="E9" s="15">
        <v>150</v>
      </c>
      <c r="F9" s="11">
        <v>500</v>
      </c>
      <c r="G9" s="8">
        <f t="shared" si="0"/>
        <v>1550</v>
      </c>
      <c r="H9" s="12" t="s">
        <v>28</v>
      </c>
      <c r="I9" s="8">
        <v>900</v>
      </c>
      <c r="J9" s="8">
        <f t="shared" si="3"/>
        <v>562.5</v>
      </c>
      <c r="K9" s="13">
        <v>0.15</v>
      </c>
      <c r="L9" s="10">
        <f t="shared" ref="L9:L10" si="4">J9*K9</f>
        <v>84.375</v>
      </c>
      <c r="M9" s="14">
        <f t="shared" si="2"/>
        <v>0.20332747018670627</v>
      </c>
    </row>
    <row r="10" spans="1:13" s="1" customFormat="1" ht="79.5" customHeight="1">
      <c r="A10" s="8" t="s">
        <v>33</v>
      </c>
      <c r="B10" s="8"/>
      <c r="C10" s="8">
        <v>19.989999999999998</v>
      </c>
      <c r="D10" s="9" t="s">
        <v>34</v>
      </c>
      <c r="E10" s="15">
        <v>180</v>
      </c>
      <c r="F10" s="11">
        <v>300</v>
      </c>
      <c r="G10" s="8">
        <f t="shared" ref="G10" si="5">E10*7+F10</f>
        <v>1560</v>
      </c>
      <c r="H10" s="12" t="s">
        <v>28</v>
      </c>
      <c r="I10" s="8">
        <v>1000</v>
      </c>
      <c r="J10" s="8">
        <f t="shared" si="3"/>
        <v>625</v>
      </c>
      <c r="K10" s="13">
        <v>0.15</v>
      </c>
      <c r="L10" s="10">
        <f t="shared" si="4"/>
        <v>93.75</v>
      </c>
      <c r="M10" s="14">
        <f t="shared" si="2"/>
        <v>0.22447120996395636</v>
      </c>
    </row>
  </sheetData>
  <mergeCells count="9">
    <mergeCell ref="I1:M1"/>
    <mergeCell ref="A1:A2"/>
    <mergeCell ref="B1:B2"/>
    <mergeCell ref="C1:C2"/>
    <mergeCell ref="D1:D2"/>
    <mergeCell ref="E1:E2"/>
    <mergeCell ref="F1:F2"/>
    <mergeCell ref="G1:G2"/>
    <mergeCell ref="H1:H2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产品放量预估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来</cp:lastModifiedBy>
  <dcterms:created xsi:type="dcterms:W3CDTF">2015-06-05T18:19:00Z</dcterms:created>
  <dcterms:modified xsi:type="dcterms:W3CDTF">2026-01-09T03:54:04Z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8C84CFEAB7FE4D3787A57710D6F0AD67</vt:lpwstr>
  </property>
  <property fmtid="{D5CDD505-2E9C-101B-9397-08002B2CF9AE}" pid="3" name="KSOProductBuildVer">
    <vt:lpwstr>2052-11.1.0.13703</vt:lpwstr>
  </property>
</Properties>
</file>