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laibo/Desktop/"/>
    </mc:Choice>
  </mc:AlternateContent>
  <xr:revisionPtr revIDLastSave="0" documentId="13_ncr:1_{372E8FC5-82AC-DD4B-AFBD-EB103641C95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滚动防断货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" i="2" l="1"/>
  <c r="R67" i="2"/>
  <c r="Q67" i="2"/>
  <c r="S66" i="2"/>
  <c r="R66" i="2"/>
  <c r="Q66" i="2"/>
  <c r="S65" i="2"/>
  <c r="R65" i="2"/>
  <c r="Q65" i="2"/>
  <c r="S64" i="2"/>
  <c r="R64" i="2"/>
  <c r="Q64" i="2"/>
  <c r="S63" i="2"/>
  <c r="R63" i="2"/>
  <c r="Q63" i="2"/>
  <c r="S62" i="2"/>
  <c r="R62" i="2"/>
  <c r="Q62" i="2"/>
  <c r="S61" i="2"/>
  <c r="R61" i="2"/>
  <c r="Q61" i="2"/>
  <c r="S60" i="2"/>
  <c r="R60" i="2"/>
  <c r="Q60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E11" i="2"/>
  <c r="E12" i="2" s="1"/>
  <c r="E13" i="2" s="1"/>
  <c r="E14" i="2" s="1"/>
  <c r="E15" i="2" s="1"/>
  <c r="D11" i="2"/>
  <c r="D12" i="2" s="1"/>
  <c r="D13" i="2" s="1"/>
  <c r="D14" i="2" s="1"/>
  <c r="D15" i="2" s="1"/>
  <c r="C11" i="2"/>
  <c r="C12" i="2" s="1"/>
  <c r="C13" i="2" s="1"/>
  <c r="C14" i="2" s="1"/>
  <c r="C15" i="2" s="1"/>
  <c r="AC8" i="2"/>
  <c r="AB8" i="2"/>
  <c r="AA8" i="2"/>
  <c r="AA7" i="2" s="1"/>
  <c r="Z8" i="2"/>
  <c r="Y8" i="2"/>
  <c r="X8" i="2"/>
  <c r="X7" i="2" s="1"/>
  <c r="T15" i="2" l="1"/>
  <c r="C16" i="2"/>
  <c r="U15" i="2"/>
  <c r="D16" i="2"/>
  <c r="V15" i="2"/>
  <c r="E16" i="2"/>
  <c r="D17" i="2" l="1"/>
  <c r="U16" i="2"/>
  <c r="E17" i="2"/>
  <c r="V16" i="2"/>
  <c r="C17" i="2"/>
  <c r="T16" i="2"/>
  <c r="T17" i="2" l="1"/>
  <c r="C18" i="2"/>
  <c r="E18" i="2"/>
  <c r="V17" i="2"/>
  <c r="D18" i="2"/>
  <c r="U17" i="2"/>
  <c r="U18" i="2" l="1"/>
  <c r="D19" i="2"/>
  <c r="V18" i="2"/>
  <c r="E19" i="2"/>
  <c r="C19" i="2"/>
  <c r="T18" i="2"/>
  <c r="T19" i="2" l="1"/>
  <c r="C20" i="2"/>
  <c r="V19" i="2"/>
  <c r="E20" i="2"/>
  <c r="U19" i="2"/>
  <c r="D20" i="2"/>
  <c r="D21" i="2" l="1"/>
  <c r="U20" i="2"/>
  <c r="E21" i="2"/>
  <c r="V20" i="2"/>
  <c r="C21" i="2"/>
  <c r="T20" i="2"/>
  <c r="C22" i="2" l="1"/>
  <c r="T21" i="2"/>
  <c r="V21" i="2"/>
  <c r="E22" i="2"/>
  <c r="D22" i="2"/>
  <c r="U21" i="2"/>
  <c r="D23" i="2" l="1"/>
  <c r="U22" i="2"/>
  <c r="V22" i="2"/>
  <c r="E23" i="2"/>
  <c r="C23" i="2"/>
  <c r="T22" i="2"/>
  <c r="T23" i="2" l="1"/>
  <c r="C24" i="2"/>
  <c r="V23" i="2"/>
  <c r="E24" i="2"/>
  <c r="U23" i="2"/>
  <c r="D24" i="2"/>
  <c r="D25" i="2" l="1"/>
  <c r="U24" i="2"/>
  <c r="E25" i="2"/>
  <c r="V24" i="2"/>
  <c r="C25" i="2"/>
  <c r="T24" i="2"/>
  <c r="V25" i="2" l="1"/>
  <c r="E26" i="2"/>
  <c r="C26" i="2"/>
  <c r="T25" i="2"/>
  <c r="U25" i="2"/>
  <c r="D26" i="2"/>
  <c r="E27" i="2" l="1"/>
  <c r="V26" i="2"/>
  <c r="D27" i="2"/>
  <c r="U26" i="2"/>
  <c r="C27" i="2"/>
  <c r="T26" i="2"/>
  <c r="T27" i="2" l="1"/>
  <c r="C28" i="2"/>
  <c r="U27" i="2"/>
  <c r="D28" i="2"/>
  <c r="V27" i="2"/>
  <c r="E28" i="2"/>
  <c r="E29" i="2" l="1"/>
  <c r="V28" i="2"/>
  <c r="D29" i="2"/>
  <c r="U28" i="2"/>
  <c r="C29" i="2"/>
  <c r="T28" i="2"/>
  <c r="C30" i="2" l="1"/>
  <c r="T29" i="2"/>
  <c r="D30" i="2"/>
  <c r="U29" i="2"/>
  <c r="E30" i="2"/>
  <c r="V29" i="2"/>
  <c r="V30" i="2" l="1"/>
  <c r="E31" i="2"/>
  <c r="U30" i="2"/>
  <c r="D31" i="2"/>
  <c r="C31" i="2"/>
  <c r="T30" i="2"/>
  <c r="V31" i="2" l="1"/>
  <c r="E32" i="2"/>
  <c r="T31" i="2"/>
  <c r="C32" i="2"/>
  <c r="U31" i="2"/>
  <c r="D32" i="2"/>
  <c r="E33" i="2" l="1"/>
  <c r="V32" i="2"/>
  <c r="D33" i="2"/>
  <c r="U32" i="2"/>
  <c r="T32" i="2"/>
  <c r="C33" i="2"/>
  <c r="C34" i="2" l="1"/>
  <c r="T33" i="2"/>
  <c r="D34" i="2"/>
  <c r="U33" i="2"/>
  <c r="E34" i="2"/>
  <c r="V33" i="2"/>
  <c r="V34" i="2" l="1"/>
  <c r="E35" i="2"/>
  <c r="U34" i="2"/>
  <c r="D35" i="2"/>
  <c r="C35" i="2"/>
  <c r="T34" i="2"/>
  <c r="V35" i="2" l="1"/>
  <c r="E36" i="2"/>
  <c r="T35" i="2"/>
  <c r="C36" i="2"/>
  <c r="U35" i="2"/>
  <c r="D36" i="2"/>
  <c r="D37" i="2" l="1"/>
  <c r="U36" i="2"/>
  <c r="C37" i="2"/>
  <c r="T36" i="2"/>
  <c r="E37" i="2"/>
  <c r="V36" i="2"/>
  <c r="C38" i="2" l="1"/>
  <c r="T37" i="2"/>
  <c r="E38" i="2"/>
  <c r="V37" i="2"/>
  <c r="D38" i="2"/>
  <c r="U37" i="2"/>
  <c r="V38" i="2" l="1"/>
  <c r="E39" i="2"/>
  <c r="D39" i="2"/>
  <c r="U38" i="2"/>
  <c r="C39" i="2"/>
  <c r="T38" i="2"/>
  <c r="U39" i="2" l="1"/>
  <c r="D40" i="2"/>
  <c r="T39" i="2"/>
  <c r="C40" i="2"/>
  <c r="V39" i="2"/>
  <c r="E40" i="2"/>
  <c r="E41" i="2" l="1"/>
  <c r="V40" i="2"/>
  <c r="C41" i="2"/>
  <c r="T40" i="2"/>
  <c r="D41" i="2"/>
  <c r="U40" i="2"/>
  <c r="D42" i="2" l="1"/>
  <c r="U41" i="2"/>
  <c r="C42" i="2"/>
  <c r="T41" i="2"/>
  <c r="E42" i="2"/>
  <c r="V41" i="2"/>
  <c r="V42" i="2" l="1"/>
  <c r="E43" i="2"/>
  <c r="C43" i="2"/>
  <c r="T42" i="2"/>
  <c r="D43" i="2"/>
  <c r="U42" i="2"/>
  <c r="V43" i="2" l="1"/>
  <c r="E44" i="2"/>
  <c r="U43" i="2"/>
  <c r="D44" i="2"/>
  <c r="T43" i="2"/>
  <c r="C44" i="2"/>
  <c r="D45" i="2" l="1"/>
  <c r="U44" i="2"/>
  <c r="C45" i="2"/>
  <c r="T44" i="2"/>
  <c r="E45" i="2"/>
  <c r="V44" i="2"/>
  <c r="E46" i="2" l="1"/>
  <c r="V45" i="2"/>
  <c r="T45" i="2"/>
  <c r="C46" i="2"/>
  <c r="U45" i="2"/>
  <c r="D46" i="2"/>
  <c r="C47" i="2" l="1"/>
  <c r="T46" i="2"/>
  <c r="D47" i="2"/>
  <c r="U46" i="2"/>
  <c r="V46" i="2"/>
  <c r="E47" i="2"/>
  <c r="U47" i="2" l="1"/>
  <c r="D48" i="2"/>
  <c r="V47" i="2"/>
  <c r="E48" i="2"/>
  <c r="T47" i="2"/>
  <c r="C48" i="2"/>
  <c r="E49" i="2" l="1"/>
  <c r="V48" i="2"/>
  <c r="T48" i="2"/>
  <c r="C49" i="2"/>
  <c r="D49" i="2"/>
  <c r="U48" i="2"/>
  <c r="C50" i="2" l="1"/>
  <c r="T49" i="2"/>
  <c r="D50" i="2"/>
  <c r="U49" i="2"/>
  <c r="E50" i="2"/>
  <c r="V49" i="2"/>
  <c r="V50" i="2" l="1"/>
  <c r="E51" i="2"/>
  <c r="U50" i="2"/>
  <c r="D51" i="2"/>
  <c r="C51" i="2"/>
  <c r="T50" i="2"/>
  <c r="V51" i="2" l="1"/>
  <c r="E52" i="2"/>
  <c r="T51" i="2"/>
  <c r="C52" i="2"/>
  <c r="U51" i="2"/>
  <c r="D52" i="2"/>
  <c r="C53" i="2" l="1"/>
  <c r="T52" i="2"/>
  <c r="D53" i="2"/>
  <c r="U52" i="2"/>
  <c r="E53" i="2"/>
  <c r="V52" i="2"/>
  <c r="U53" i="2" l="1"/>
  <c r="D54" i="2"/>
  <c r="E54" i="2"/>
  <c r="V53" i="2"/>
  <c r="T53" i="2"/>
  <c r="C54" i="2"/>
  <c r="E55" i="2" l="1"/>
  <c r="V54" i="2"/>
  <c r="C55" i="2"/>
  <c r="T54" i="2"/>
  <c r="D55" i="2"/>
  <c r="U54" i="2"/>
  <c r="U55" i="2" l="1"/>
  <c r="D56" i="2"/>
  <c r="T55" i="2"/>
  <c r="C56" i="2"/>
  <c r="V55" i="2"/>
  <c r="E56" i="2"/>
  <c r="D57" i="2" l="1"/>
  <c r="U56" i="2"/>
  <c r="E57" i="2"/>
  <c r="V56" i="2"/>
  <c r="C57" i="2"/>
  <c r="T56" i="2"/>
  <c r="C58" i="2" l="1"/>
  <c r="T57" i="2"/>
  <c r="E58" i="2"/>
  <c r="V57" i="2"/>
  <c r="U57" i="2"/>
  <c r="D58" i="2"/>
  <c r="V58" i="2" l="1"/>
  <c r="E59" i="2"/>
  <c r="U58" i="2"/>
  <c r="D59" i="2"/>
  <c r="C59" i="2"/>
  <c r="T58" i="2"/>
  <c r="U59" i="2" l="1"/>
  <c r="D60" i="2"/>
  <c r="T59" i="2"/>
  <c r="C60" i="2"/>
  <c r="V59" i="2"/>
  <c r="E60" i="2"/>
  <c r="E61" i="2" l="1"/>
  <c r="V60" i="2"/>
  <c r="C61" i="2"/>
  <c r="T60" i="2"/>
  <c r="D61" i="2"/>
  <c r="U60" i="2"/>
  <c r="D62" i="2" l="1"/>
  <c r="U61" i="2"/>
  <c r="C62" i="2"/>
  <c r="T61" i="2"/>
  <c r="E62" i="2"/>
  <c r="V61" i="2"/>
  <c r="E63" i="2" l="1"/>
  <c r="V62" i="2"/>
  <c r="C63" i="2"/>
  <c r="T62" i="2"/>
  <c r="D63" i="2"/>
  <c r="U62" i="2"/>
  <c r="U63" i="2" l="1"/>
  <c r="D64" i="2"/>
  <c r="T63" i="2"/>
  <c r="C64" i="2"/>
  <c r="V63" i="2"/>
  <c r="E64" i="2"/>
  <c r="E65" i="2" l="1"/>
  <c r="V64" i="2"/>
  <c r="C65" i="2"/>
  <c r="T64" i="2"/>
  <c r="D65" i="2"/>
  <c r="U64" i="2"/>
  <c r="D66" i="2" l="1"/>
  <c r="U65" i="2"/>
  <c r="T65" i="2"/>
  <c r="C66" i="2"/>
  <c r="E66" i="2"/>
  <c r="V65" i="2"/>
  <c r="C67" i="2" l="1"/>
  <c r="T67" i="2" s="1"/>
  <c r="T66" i="2"/>
  <c r="V66" i="2"/>
  <c r="E67" i="2"/>
  <c r="V67" i="2" s="1"/>
  <c r="U66" i="2"/>
  <c r="D67" i="2"/>
  <c r="U67" i="2" s="1"/>
</calcChain>
</file>

<file path=xl/sharedStrings.xml><?xml version="1.0" encoding="utf-8"?>
<sst xmlns="http://schemas.openxmlformats.org/spreadsheetml/2006/main" count="49" uniqueCount="27">
  <si>
    <t>备库计划动态核算表</t>
  </si>
  <si>
    <t>计划日均销量</t>
  </si>
  <si>
    <t>日期</t>
  </si>
  <si>
    <t>在库库存</t>
  </si>
  <si>
    <t>入库数量</t>
  </si>
  <si>
    <t>海外仓数量</t>
  </si>
  <si>
    <t>深圳发货数量（发货数写负数）</t>
  </si>
  <si>
    <t>预计到货时间</t>
  </si>
  <si>
    <t>备注</t>
  </si>
  <si>
    <t>发货产品预计可支撑时间</t>
  </si>
  <si>
    <t>此时预计可支撑时间</t>
  </si>
  <si>
    <t>项目</t>
  </si>
  <si>
    <t>四月销量预计</t>
  </si>
  <si>
    <t>五月销量预计</t>
  </si>
  <si>
    <t>变体1</t>
  </si>
  <si>
    <t>变体2</t>
  </si>
  <si>
    <t>变体3</t>
  </si>
  <si>
    <t>月合计</t>
  </si>
  <si>
    <t>未启动正式打法</t>
  </si>
  <si>
    <t>变体月总销量</t>
  </si>
  <si>
    <t>全力运营日均</t>
  </si>
  <si>
    <t>未启动正式运营日均</t>
  </si>
  <si>
    <t>5月20日~5月25日</t>
  </si>
  <si>
    <t>4月30日~5月6日</t>
  </si>
  <si>
    <t>全力推广</t>
  </si>
  <si>
    <t>5月18日~5月23日</t>
  </si>
  <si>
    <t>亚马逊滚动备货计划模型（防断货）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</si>
</sst>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48"/>
      <color theme="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7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58" fontId="0" fillId="4" borderId="0" xfId="0" applyNumberFormat="1" applyFill="1">
      <alignment vertical="center"/>
    </xf>
    <xf numFmtId="58" fontId="0" fillId="5" borderId="0" xfId="0" applyNumberFormat="1" applyFill="1">
      <alignment vertical="center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180" fontId="0" fillId="5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"/>
  <sheetViews>
    <sheetView tabSelected="1" topLeftCell="B3" zoomScale="110" zoomScaleNormal="110" workbookViewId="0">
      <pane ySplit="2" topLeftCell="A5" activePane="bottomLeft" state="frozen"/>
      <selection pane="bottomLeft" activeCell="Z18" sqref="Z18"/>
    </sheetView>
  </sheetViews>
  <sheetFormatPr baseColWidth="10" defaultColWidth="6.1640625" defaultRowHeight="14"/>
  <cols>
    <col min="1" max="1" width="6.1640625" style="1" customWidth="1"/>
    <col min="2" max="2" width="7.5" customWidth="1"/>
    <col min="3" max="19" width="6.1640625" customWidth="1"/>
    <col min="20" max="20" width="5.1640625" customWidth="1"/>
    <col min="21" max="21" width="6.1640625" customWidth="1"/>
    <col min="22" max="22" width="5.33203125" customWidth="1"/>
    <col min="23" max="23" width="11.83203125" customWidth="1"/>
    <col min="24" max="16383" width="6.1640625" customWidth="1"/>
  </cols>
  <sheetData>
    <row r="1" spans="1:29" hidden="1"/>
    <row r="2" spans="1:29" hidden="1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X2" s="9" t="s">
        <v>1</v>
      </c>
      <c r="Y2" s="9"/>
      <c r="Z2" s="9"/>
      <c r="AA2" s="9"/>
      <c r="AB2" s="9"/>
      <c r="AC2" s="9"/>
    </row>
    <row r="3" spans="1:29" ht="100" customHeight="1">
      <c r="B3" s="16" t="s">
        <v>26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45">
      <c r="B4" s="9" t="s">
        <v>2</v>
      </c>
      <c r="C4" s="10" t="s">
        <v>3</v>
      </c>
      <c r="D4" s="10"/>
      <c r="E4" s="10"/>
      <c r="F4" s="10" t="s">
        <v>4</v>
      </c>
      <c r="G4" s="10"/>
      <c r="H4" s="10"/>
      <c r="I4" s="10" t="s">
        <v>5</v>
      </c>
      <c r="J4" s="10"/>
      <c r="K4" s="10"/>
      <c r="L4" s="11" t="s">
        <v>6</v>
      </c>
      <c r="M4" s="11"/>
      <c r="N4" s="11"/>
      <c r="O4" s="5" t="s">
        <v>7</v>
      </c>
      <c r="P4" s="5" t="s">
        <v>8</v>
      </c>
      <c r="Q4" s="12" t="s">
        <v>9</v>
      </c>
      <c r="R4" s="12"/>
      <c r="S4" s="12"/>
      <c r="T4" s="12" t="s">
        <v>10</v>
      </c>
      <c r="U4" s="12"/>
      <c r="V4" s="12"/>
      <c r="W4" s="15" t="s">
        <v>11</v>
      </c>
      <c r="X4" s="8" t="s">
        <v>12</v>
      </c>
      <c r="Y4" s="8"/>
      <c r="Z4" s="8"/>
      <c r="AA4" s="8" t="s">
        <v>13</v>
      </c>
      <c r="AB4" s="8"/>
      <c r="AC4" s="8"/>
    </row>
    <row r="5" spans="1:29">
      <c r="B5" s="9"/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16</v>
      </c>
      <c r="I5" t="s">
        <v>14</v>
      </c>
      <c r="J5" t="s">
        <v>15</v>
      </c>
      <c r="K5" t="s">
        <v>16</v>
      </c>
      <c r="L5" t="s">
        <v>14</v>
      </c>
      <c r="M5" t="s">
        <v>15</v>
      </c>
      <c r="N5" t="s">
        <v>16</v>
      </c>
      <c r="Q5" t="s">
        <v>14</v>
      </c>
      <c r="R5" t="s">
        <v>15</v>
      </c>
      <c r="S5" t="s">
        <v>16</v>
      </c>
      <c r="T5" t="s">
        <v>14</v>
      </c>
      <c r="U5" t="s">
        <v>15</v>
      </c>
      <c r="V5" t="s">
        <v>16</v>
      </c>
      <c r="W5" s="15"/>
      <c r="X5" s="9" t="s">
        <v>17</v>
      </c>
      <c r="Y5" s="9"/>
      <c r="Z5" s="9"/>
      <c r="AA5" s="9" t="s">
        <v>17</v>
      </c>
      <c r="AB5" s="9"/>
      <c r="AC5" s="9"/>
    </row>
    <row r="6" spans="1:29">
      <c r="L6">
        <v>0</v>
      </c>
      <c r="M6">
        <v>-150</v>
      </c>
      <c r="N6">
        <v>-180</v>
      </c>
      <c r="W6" s="15"/>
      <c r="X6" t="s">
        <v>14</v>
      </c>
      <c r="Y6" t="s">
        <v>15</v>
      </c>
      <c r="Z6" t="s">
        <v>16</v>
      </c>
      <c r="AA6" t="s">
        <v>14</v>
      </c>
      <c r="AB6" t="s">
        <v>15</v>
      </c>
      <c r="AC6" t="s">
        <v>16</v>
      </c>
    </row>
    <row r="7" spans="1:29">
      <c r="A7" s="13" t="s">
        <v>18</v>
      </c>
      <c r="B7" s="3">
        <v>43556</v>
      </c>
      <c r="L7">
        <v>-220</v>
      </c>
      <c r="M7">
        <v>-100</v>
      </c>
      <c r="W7" s="15"/>
      <c r="X7" s="9">
        <f>SUM(X8:Z8)</f>
        <v>1350</v>
      </c>
      <c r="Y7" s="9"/>
      <c r="Z7" s="9"/>
      <c r="AA7" s="9">
        <f>SUM(AA8:AC8)</f>
        <v>1800</v>
      </c>
      <c r="AB7" s="9"/>
      <c r="AC7" s="9"/>
    </row>
    <row r="8" spans="1:29" ht="15">
      <c r="A8" s="13"/>
      <c r="B8" s="3">
        <v>43557</v>
      </c>
      <c r="W8" s="6" t="s">
        <v>19</v>
      </c>
      <c r="X8" s="2">
        <f t="shared" ref="X8:AC8" si="0">X9*30</f>
        <v>600</v>
      </c>
      <c r="Y8" s="2">
        <f t="shared" si="0"/>
        <v>450</v>
      </c>
      <c r="Z8" s="2">
        <f t="shared" si="0"/>
        <v>300</v>
      </c>
      <c r="AA8" s="2">
        <f t="shared" si="0"/>
        <v>750</v>
      </c>
      <c r="AB8" s="2">
        <f t="shared" si="0"/>
        <v>600</v>
      </c>
      <c r="AC8" s="2">
        <f t="shared" si="0"/>
        <v>450</v>
      </c>
    </row>
    <row r="9" spans="1:29" ht="20" customHeight="1">
      <c r="A9" s="13"/>
      <c r="B9" s="3">
        <v>43558</v>
      </c>
      <c r="I9">
        <v>0</v>
      </c>
      <c r="J9">
        <v>100</v>
      </c>
      <c r="K9">
        <v>80</v>
      </c>
      <c r="W9" s="6" t="s">
        <v>20</v>
      </c>
      <c r="X9">
        <v>20</v>
      </c>
      <c r="Y9">
        <v>15</v>
      </c>
      <c r="Z9">
        <v>10</v>
      </c>
      <c r="AA9">
        <v>25</v>
      </c>
      <c r="AB9">
        <v>20</v>
      </c>
      <c r="AC9">
        <v>15</v>
      </c>
    </row>
    <row r="10" spans="1:29" ht="25" customHeight="1">
      <c r="A10" s="13"/>
      <c r="B10" s="3">
        <v>43559</v>
      </c>
      <c r="C10">
        <v>380</v>
      </c>
      <c r="D10">
        <v>130</v>
      </c>
      <c r="E10">
        <v>160</v>
      </c>
      <c r="J10">
        <v>50</v>
      </c>
      <c r="K10">
        <v>100</v>
      </c>
      <c r="W10" s="6" t="s">
        <v>21</v>
      </c>
      <c r="X10">
        <v>10</v>
      </c>
      <c r="Y10">
        <v>8</v>
      </c>
      <c r="Z10">
        <v>9</v>
      </c>
      <c r="AA10">
        <v>10</v>
      </c>
      <c r="AB10">
        <v>8</v>
      </c>
      <c r="AC10">
        <v>9</v>
      </c>
    </row>
    <row r="11" spans="1:29">
      <c r="A11" s="13"/>
      <c r="B11" s="3">
        <v>43560</v>
      </c>
      <c r="C11">
        <f>C10-$X$9+F11</f>
        <v>360</v>
      </c>
      <c r="D11">
        <f>D10-$Y$9+G11</f>
        <v>115</v>
      </c>
      <c r="E11">
        <f>E10-$Z$9+H11</f>
        <v>150</v>
      </c>
    </row>
    <row r="12" spans="1:29">
      <c r="A12" s="13"/>
      <c r="B12" s="3">
        <v>43561</v>
      </c>
      <c r="C12">
        <f t="shared" ref="C12:C43" si="1">C11-$X$9+F12</f>
        <v>340</v>
      </c>
      <c r="D12">
        <f t="shared" ref="D12:D43" si="2">D11-$Y$9+G12</f>
        <v>100</v>
      </c>
      <c r="E12">
        <f t="shared" ref="E12:E43" si="3">E11-$Z$9+H12</f>
        <v>140</v>
      </c>
    </row>
    <row r="13" spans="1:29">
      <c r="A13" s="13"/>
      <c r="B13" s="3">
        <v>43562</v>
      </c>
      <c r="C13">
        <f t="shared" si="1"/>
        <v>320</v>
      </c>
      <c r="D13">
        <f t="shared" si="2"/>
        <v>85</v>
      </c>
      <c r="E13">
        <f t="shared" si="3"/>
        <v>130</v>
      </c>
    </row>
    <row r="14" spans="1:29">
      <c r="A14" s="13"/>
      <c r="B14" s="3">
        <v>43563</v>
      </c>
      <c r="C14">
        <f t="shared" si="1"/>
        <v>300</v>
      </c>
      <c r="D14">
        <f t="shared" si="2"/>
        <v>70</v>
      </c>
      <c r="E14">
        <f t="shared" si="3"/>
        <v>120</v>
      </c>
    </row>
    <row r="15" spans="1:29">
      <c r="A15" s="13"/>
      <c r="B15" s="3">
        <v>43564</v>
      </c>
      <c r="C15">
        <f t="shared" si="1"/>
        <v>280</v>
      </c>
      <c r="D15">
        <f t="shared" si="2"/>
        <v>55</v>
      </c>
      <c r="E15">
        <f t="shared" si="3"/>
        <v>110</v>
      </c>
      <c r="L15">
        <v>-500</v>
      </c>
      <c r="M15">
        <v>-500</v>
      </c>
      <c r="N15">
        <v>-400</v>
      </c>
      <c r="O15" s="4" t="s">
        <v>22</v>
      </c>
      <c r="P15" s="4"/>
      <c r="Q15" s="7">
        <f>-L15/$X$9</f>
        <v>25</v>
      </c>
      <c r="R15" s="7">
        <f>-M15/$Y$9</f>
        <v>33.333333333333336</v>
      </c>
      <c r="S15" s="7">
        <f>-N15/$Z$9</f>
        <v>40</v>
      </c>
      <c r="T15" s="7">
        <f>C15/$X$9</f>
        <v>14</v>
      </c>
      <c r="U15" s="7">
        <f>D15/$Y$9</f>
        <v>3.6666666666666665</v>
      </c>
      <c r="V15" s="7">
        <f>E15/$Z$9</f>
        <v>11</v>
      </c>
    </row>
    <row r="16" spans="1:29">
      <c r="A16" s="13"/>
      <c r="B16" s="3">
        <v>43565</v>
      </c>
      <c r="C16">
        <f t="shared" si="1"/>
        <v>260</v>
      </c>
      <c r="D16">
        <f t="shared" si="2"/>
        <v>40</v>
      </c>
      <c r="E16">
        <f t="shared" si="3"/>
        <v>100</v>
      </c>
      <c r="L16">
        <v>-350</v>
      </c>
      <c r="M16">
        <v>-350</v>
      </c>
      <c r="N16">
        <v>-100</v>
      </c>
      <c r="O16" s="4" t="s">
        <v>23</v>
      </c>
      <c r="P16" s="4"/>
      <c r="Q16" s="7">
        <f t="shared" ref="Q16:Q47" si="4">-L16/$X$9</f>
        <v>17.5</v>
      </c>
      <c r="R16" s="7">
        <f t="shared" ref="R16:R47" si="5">-M16/$Y$9</f>
        <v>23.333333333333332</v>
      </c>
      <c r="S16" s="7">
        <f t="shared" ref="S16:S47" si="6">-N16/$Z$9</f>
        <v>10</v>
      </c>
      <c r="T16" s="7">
        <f t="shared" ref="T16:T47" si="7">C16/$X$9</f>
        <v>13</v>
      </c>
      <c r="U16" s="7">
        <f t="shared" ref="U16:U47" si="8">D16/$Y$9</f>
        <v>2.6666666666666665</v>
      </c>
      <c r="V16" s="7">
        <f t="shared" ref="V16:V47" si="9">E16/$Z$9</f>
        <v>10</v>
      </c>
    </row>
    <row r="17" spans="1:22">
      <c r="A17" s="13"/>
      <c r="B17" s="3">
        <v>43566</v>
      </c>
      <c r="C17">
        <f t="shared" si="1"/>
        <v>240</v>
      </c>
      <c r="D17">
        <f t="shared" si="2"/>
        <v>25</v>
      </c>
      <c r="E17">
        <f t="shared" si="3"/>
        <v>90</v>
      </c>
      <c r="Q17" s="7">
        <f t="shared" si="4"/>
        <v>0</v>
      </c>
      <c r="R17" s="7">
        <f t="shared" si="5"/>
        <v>0</v>
      </c>
      <c r="S17" s="7">
        <f t="shared" si="6"/>
        <v>0</v>
      </c>
      <c r="T17" s="7">
        <f t="shared" si="7"/>
        <v>12</v>
      </c>
      <c r="U17" s="7">
        <f t="shared" si="8"/>
        <v>1.6666666666666667</v>
      </c>
      <c r="V17" s="7">
        <f t="shared" si="9"/>
        <v>9</v>
      </c>
    </row>
    <row r="18" spans="1:22">
      <c r="A18" s="14" t="s">
        <v>24</v>
      </c>
      <c r="B18" s="4">
        <v>43567</v>
      </c>
      <c r="C18">
        <f t="shared" si="1"/>
        <v>220</v>
      </c>
      <c r="D18">
        <f t="shared" si="2"/>
        <v>110</v>
      </c>
      <c r="E18">
        <f t="shared" si="3"/>
        <v>160</v>
      </c>
      <c r="F18">
        <v>0</v>
      </c>
      <c r="G18">
        <v>100</v>
      </c>
      <c r="H18">
        <v>80</v>
      </c>
      <c r="Q18" s="7">
        <f t="shared" si="4"/>
        <v>0</v>
      </c>
      <c r="R18" s="7">
        <f t="shared" si="5"/>
        <v>0</v>
      </c>
      <c r="S18" s="7">
        <f t="shared" si="6"/>
        <v>0</v>
      </c>
      <c r="T18" s="7">
        <f t="shared" si="7"/>
        <v>11</v>
      </c>
      <c r="U18" s="7">
        <f t="shared" si="8"/>
        <v>7.333333333333333</v>
      </c>
      <c r="V18" s="7">
        <f t="shared" si="9"/>
        <v>16</v>
      </c>
    </row>
    <row r="19" spans="1:22">
      <c r="A19" s="14"/>
      <c r="B19" s="4">
        <v>43568</v>
      </c>
      <c r="C19">
        <f t="shared" si="1"/>
        <v>200</v>
      </c>
      <c r="D19">
        <f t="shared" si="2"/>
        <v>95</v>
      </c>
      <c r="E19">
        <f t="shared" si="3"/>
        <v>150</v>
      </c>
      <c r="Q19" s="7">
        <f t="shared" si="4"/>
        <v>0</v>
      </c>
      <c r="R19" s="7">
        <f t="shared" si="5"/>
        <v>0</v>
      </c>
      <c r="S19" s="7">
        <f t="shared" si="6"/>
        <v>0</v>
      </c>
      <c r="T19" s="7">
        <f t="shared" si="7"/>
        <v>10</v>
      </c>
      <c r="U19" s="7">
        <f t="shared" si="8"/>
        <v>6.333333333333333</v>
      </c>
      <c r="V19" s="7">
        <f t="shared" si="9"/>
        <v>15</v>
      </c>
    </row>
    <row r="20" spans="1:22">
      <c r="A20" s="14"/>
      <c r="B20" s="4">
        <v>43569</v>
      </c>
      <c r="C20">
        <f t="shared" si="1"/>
        <v>180</v>
      </c>
      <c r="D20">
        <f t="shared" si="2"/>
        <v>80</v>
      </c>
      <c r="E20">
        <f t="shared" si="3"/>
        <v>140</v>
      </c>
      <c r="Q20" s="7">
        <f t="shared" si="4"/>
        <v>0</v>
      </c>
      <c r="R20" s="7">
        <f t="shared" si="5"/>
        <v>0</v>
      </c>
      <c r="S20" s="7">
        <f t="shared" si="6"/>
        <v>0</v>
      </c>
      <c r="T20" s="7">
        <f t="shared" si="7"/>
        <v>9</v>
      </c>
      <c r="U20" s="7">
        <f t="shared" si="8"/>
        <v>5.333333333333333</v>
      </c>
      <c r="V20" s="7">
        <f t="shared" si="9"/>
        <v>14</v>
      </c>
    </row>
    <row r="21" spans="1:22">
      <c r="A21" s="14"/>
      <c r="B21" s="4">
        <v>43570</v>
      </c>
      <c r="C21">
        <f t="shared" si="1"/>
        <v>160</v>
      </c>
      <c r="D21">
        <f t="shared" si="2"/>
        <v>65</v>
      </c>
      <c r="E21">
        <f t="shared" si="3"/>
        <v>130</v>
      </c>
      <c r="I21">
        <v>220</v>
      </c>
      <c r="J21">
        <v>100</v>
      </c>
      <c r="Q21" s="7">
        <f t="shared" si="4"/>
        <v>0</v>
      </c>
      <c r="R21" s="7">
        <f t="shared" si="5"/>
        <v>0</v>
      </c>
      <c r="S21" s="7">
        <f t="shared" si="6"/>
        <v>0</v>
      </c>
      <c r="T21" s="7">
        <f t="shared" si="7"/>
        <v>8</v>
      </c>
      <c r="U21" s="7">
        <f t="shared" si="8"/>
        <v>4.333333333333333</v>
      </c>
      <c r="V21" s="7">
        <f t="shared" si="9"/>
        <v>13</v>
      </c>
    </row>
    <row r="22" spans="1:22">
      <c r="A22" s="14"/>
      <c r="B22" s="4">
        <v>43571</v>
      </c>
      <c r="C22">
        <f t="shared" si="1"/>
        <v>140</v>
      </c>
      <c r="D22">
        <f t="shared" si="2"/>
        <v>50</v>
      </c>
      <c r="E22">
        <f t="shared" si="3"/>
        <v>120</v>
      </c>
      <c r="Q22" s="7">
        <f t="shared" si="4"/>
        <v>0</v>
      </c>
      <c r="R22" s="7">
        <f t="shared" si="5"/>
        <v>0</v>
      </c>
      <c r="S22" s="7">
        <f t="shared" si="6"/>
        <v>0</v>
      </c>
      <c r="T22" s="7">
        <f t="shared" si="7"/>
        <v>7</v>
      </c>
      <c r="U22" s="7">
        <f t="shared" si="8"/>
        <v>3.3333333333333335</v>
      </c>
      <c r="V22" s="7">
        <f t="shared" si="9"/>
        <v>12</v>
      </c>
    </row>
    <row r="23" spans="1:22">
      <c r="A23" s="14"/>
      <c r="B23" s="4">
        <v>43572</v>
      </c>
      <c r="C23">
        <f t="shared" si="1"/>
        <v>120</v>
      </c>
      <c r="D23">
        <f t="shared" si="2"/>
        <v>35</v>
      </c>
      <c r="E23">
        <f t="shared" si="3"/>
        <v>110</v>
      </c>
      <c r="Q23" s="7">
        <f t="shared" si="4"/>
        <v>0</v>
      </c>
      <c r="R23" s="7">
        <f t="shared" si="5"/>
        <v>0</v>
      </c>
      <c r="S23" s="7">
        <f t="shared" si="6"/>
        <v>0</v>
      </c>
      <c r="T23" s="7">
        <f t="shared" si="7"/>
        <v>6</v>
      </c>
      <c r="U23" s="7">
        <f t="shared" si="8"/>
        <v>2.3333333333333335</v>
      </c>
      <c r="V23" s="7">
        <f t="shared" si="9"/>
        <v>11</v>
      </c>
    </row>
    <row r="24" spans="1:22">
      <c r="A24" s="14"/>
      <c r="B24" s="4">
        <v>43573</v>
      </c>
      <c r="C24">
        <f t="shared" si="1"/>
        <v>100</v>
      </c>
      <c r="D24">
        <f t="shared" si="2"/>
        <v>70</v>
      </c>
      <c r="E24">
        <f t="shared" si="3"/>
        <v>200</v>
      </c>
      <c r="G24">
        <v>50</v>
      </c>
      <c r="H24">
        <v>100</v>
      </c>
      <c r="Q24" s="7">
        <f t="shared" si="4"/>
        <v>0</v>
      </c>
      <c r="R24" s="7">
        <f t="shared" si="5"/>
        <v>0</v>
      </c>
      <c r="S24" s="7">
        <f t="shared" si="6"/>
        <v>0</v>
      </c>
      <c r="T24" s="7">
        <f t="shared" si="7"/>
        <v>5</v>
      </c>
      <c r="U24" s="7">
        <f t="shared" si="8"/>
        <v>4.666666666666667</v>
      </c>
      <c r="V24" s="7">
        <f t="shared" si="9"/>
        <v>20</v>
      </c>
    </row>
    <row r="25" spans="1:22">
      <c r="A25" s="14"/>
      <c r="B25" s="4">
        <v>43574</v>
      </c>
      <c r="C25">
        <f t="shared" si="1"/>
        <v>80</v>
      </c>
      <c r="D25">
        <f t="shared" si="2"/>
        <v>55</v>
      </c>
      <c r="E25">
        <f t="shared" si="3"/>
        <v>190</v>
      </c>
      <c r="L25">
        <v>-132</v>
      </c>
      <c r="M25">
        <v>-66</v>
      </c>
      <c r="N25">
        <v>-96</v>
      </c>
      <c r="O25" s="4" t="s">
        <v>25</v>
      </c>
      <c r="P25" s="4"/>
      <c r="Q25" s="7">
        <f t="shared" si="4"/>
        <v>6.6</v>
      </c>
      <c r="R25" s="7">
        <f t="shared" si="5"/>
        <v>4.4000000000000004</v>
      </c>
      <c r="S25" s="7">
        <f t="shared" si="6"/>
        <v>9.6</v>
      </c>
      <c r="T25" s="7">
        <f t="shared" si="7"/>
        <v>4</v>
      </c>
      <c r="U25" s="7">
        <f t="shared" si="8"/>
        <v>3.6666666666666665</v>
      </c>
      <c r="V25" s="7">
        <f t="shared" si="9"/>
        <v>19</v>
      </c>
    </row>
    <row r="26" spans="1:22">
      <c r="A26" s="14"/>
      <c r="B26" s="4">
        <v>43575</v>
      </c>
      <c r="C26">
        <f t="shared" si="1"/>
        <v>60</v>
      </c>
      <c r="D26">
        <f t="shared" si="2"/>
        <v>40</v>
      </c>
      <c r="E26">
        <f t="shared" si="3"/>
        <v>180</v>
      </c>
      <c r="Q26" s="7">
        <f t="shared" si="4"/>
        <v>0</v>
      </c>
      <c r="R26" s="7">
        <f t="shared" si="5"/>
        <v>0</v>
      </c>
      <c r="S26" s="7">
        <f t="shared" si="6"/>
        <v>0</v>
      </c>
      <c r="T26" s="7">
        <f t="shared" si="7"/>
        <v>3</v>
      </c>
      <c r="U26" s="7">
        <f t="shared" si="8"/>
        <v>2.6666666666666665</v>
      </c>
      <c r="V26" s="7">
        <f t="shared" si="9"/>
        <v>18</v>
      </c>
    </row>
    <row r="27" spans="1:22">
      <c r="A27" s="14"/>
      <c r="B27" s="4">
        <v>43576</v>
      </c>
      <c r="C27">
        <f t="shared" si="1"/>
        <v>40</v>
      </c>
      <c r="D27">
        <f t="shared" si="2"/>
        <v>25</v>
      </c>
      <c r="E27">
        <f t="shared" si="3"/>
        <v>170</v>
      </c>
      <c r="Q27" s="7">
        <f t="shared" si="4"/>
        <v>0</v>
      </c>
      <c r="R27" s="7">
        <f t="shared" si="5"/>
        <v>0</v>
      </c>
      <c r="S27" s="7">
        <f t="shared" si="6"/>
        <v>0</v>
      </c>
      <c r="T27" s="7">
        <f t="shared" si="7"/>
        <v>2</v>
      </c>
      <c r="U27" s="7">
        <f t="shared" si="8"/>
        <v>1.6666666666666667</v>
      </c>
      <c r="V27" s="7">
        <f t="shared" si="9"/>
        <v>17</v>
      </c>
    </row>
    <row r="28" spans="1:22">
      <c r="A28" s="14"/>
      <c r="B28" s="4">
        <v>43577</v>
      </c>
      <c r="C28">
        <f t="shared" si="1"/>
        <v>20</v>
      </c>
      <c r="D28">
        <f t="shared" si="2"/>
        <v>10</v>
      </c>
      <c r="E28">
        <f t="shared" si="3"/>
        <v>160</v>
      </c>
      <c r="Q28" s="7">
        <f t="shared" si="4"/>
        <v>0</v>
      </c>
      <c r="R28" s="7">
        <f t="shared" si="5"/>
        <v>0</v>
      </c>
      <c r="S28" s="7">
        <f t="shared" si="6"/>
        <v>0</v>
      </c>
      <c r="T28" s="7">
        <f t="shared" si="7"/>
        <v>1</v>
      </c>
      <c r="U28" s="7">
        <f t="shared" si="8"/>
        <v>0.66666666666666663</v>
      </c>
      <c r="V28" s="7">
        <f t="shared" si="9"/>
        <v>16</v>
      </c>
    </row>
    <row r="29" spans="1:22">
      <c r="A29" s="14"/>
      <c r="B29" s="4">
        <v>43578</v>
      </c>
      <c r="C29">
        <f t="shared" si="1"/>
        <v>220</v>
      </c>
      <c r="D29">
        <f t="shared" si="2"/>
        <v>95</v>
      </c>
      <c r="E29">
        <f t="shared" si="3"/>
        <v>150</v>
      </c>
      <c r="F29">
        <v>220</v>
      </c>
      <c r="G29">
        <v>100</v>
      </c>
      <c r="Q29" s="7">
        <f t="shared" si="4"/>
        <v>0</v>
      </c>
      <c r="R29" s="7">
        <f t="shared" si="5"/>
        <v>0</v>
      </c>
      <c r="S29" s="7">
        <f t="shared" si="6"/>
        <v>0</v>
      </c>
      <c r="T29" s="7">
        <f t="shared" si="7"/>
        <v>11</v>
      </c>
      <c r="U29" s="7">
        <f t="shared" si="8"/>
        <v>6.333333333333333</v>
      </c>
      <c r="V29" s="7">
        <f t="shared" si="9"/>
        <v>15</v>
      </c>
    </row>
    <row r="30" spans="1:22">
      <c r="A30" s="14"/>
      <c r="B30" s="4">
        <v>43579</v>
      </c>
      <c r="C30">
        <f t="shared" si="1"/>
        <v>200</v>
      </c>
      <c r="D30">
        <f t="shared" si="2"/>
        <v>80</v>
      </c>
      <c r="E30">
        <f t="shared" si="3"/>
        <v>140</v>
      </c>
      <c r="Q30" s="7">
        <f t="shared" si="4"/>
        <v>0</v>
      </c>
      <c r="R30" s="7">
        <f t="shared" si="5"/>
        <v>0</v>
      </c>
      <c r="S30" s="7">
        <f t="shared" si="6"/>
        <v>0</v>
      </c>
      <c r="T30" s="7">
        <f t="shared" si="7"/>
        <v>10</v>
      </c>
      <c r="U30" s="7">
        <f t="shared" si="8"/>
        <v>5.333333333333333</v>
      </c>
      <c r="V30" s="7">
        <f t="shared" si="9"/>
        <v>14</v>
      </c>
    </row>
    <row r="31" spans="1:22">
      <c r="A31" s="14"/>
      <c r="B31" s="4">
        <v>43580</v>
      </c>
      <c r="C31">
        <f t="shared" si="1"/>
        <v>180</v>
      </c>
      <c r="D31">
        <f t="shared" si="2"/>
        <v>65</v>
      </c>
      <c r="E31">
        <f t="shared" si="3"/>
        <v>130</v>
      </c>
      <c r="Q31" s="7">
        <f t="shared" si="4"/>
        <v>0</v>
      </c>
      <c r="R31" s="7">
        <f t="shared" si="5"/>
        <v>0</v>
      </c>
      <c r="S31" s="7">
        <f t="shared" si="6"/>
        <v>0</v>
      </c>
      <c r="T31" s="7">
        <f t="shared" si="7"/>
        <v>9</v>
      </c>
      <c r="U31" s="7">
        <f t="shared" si="8"/>
        <v>4.333333333333333</v>
      </c>
      <c r="V31" s="7">
        <f t="shared" si="9"/>
        <v>13</v>
      </c>
    </row>
    <row r="32" spans="1:22">
      <c r="A32" s="14"/>
      <c r="B32" s="4">
        <v>43581</v>
      </c>
      <c r="C32">
        <f t="shared" si="1"/>
        <v>160</v>
      </c>
      <c r="D32">
        <f t="shared" si="2"/>
        <v>50</v>
      </c>
      <c r="E32">
        <f t="shared" si="3"/>
        <v>120</v>
      </c>
      <c r="Q32" s="7">
        <f t="shared" si="4"/>
        <v>0</v>
      </c>
      <c r="R32" s="7">
        <f t="shared" si="5"/>
        <v>0</v>
      </c>
      <c r="S32" s="7">
        <f t="shared" si="6"/>
        <v>0</v>
      </c>
      <c r="T32" s="7">
        <f t="shared" si="7"/>
        <v>8</v>
      </c>
      <c r="U32" s="7">
        <f t="shared" si="8"/>
        <v>3.3333333333333335</v>
      </c>
      <c r="V32" s="7">
        <f t="shared" si="9"/>
        <v>12</v>
      </c>
    </row>
    <row r="33" spans="1:22">
      <c r="A33" s="14"/>
      <c r="B33" s="4">
        <v>43582</v>
      </c>
      <c r="C33">
        <f t="shared" si="1"/>
        <v>140</v>
      </c>
      <c r="D33">
        <f t="shared" si="2"/>
        <v>35</v>
      </c>
      <c r="E33">
        <f t="shared" si="3"/>
        <v>110</v>
      </c>
      <c r="Q33" s="7">
        <f t="shared" si="4"/>
        <v>0</v>
      </c>
      <c r="R33" s="7">
        <f t="shared" si="5"/>
        <v>0</v>
      </c>
      <c r="S33" s="7">
        <f t="shared" si="6"/>
        <v>0</v>
      </c>
      <c r="T33" s="7">
        <f t="shared" si="7"/>
        <v>7</v>
      </c>
      <c r="U33" s="7">
        <f t="shared" si="8"/>
        <v>2.3333333333333335</v>
      </c>
      <c r="V33" s="7">
        <f t="shared" si="9"/>
        <v>11</v>
      </c>
    </row>
    <row r="34" spans="1:22">
      <c r="A34" s="14"/>
      <c r="B34" s="4">
        <v>43583</v>
      </c>
      <c r="C34">
        <f t="shared" si="1"/>
        <v>120</v>
      </c>
      <c r="D34">
        <f t="shared" si="2"/>
        <v>20</v>
      </c>
      <c r="E34">
        <f t="shared" si="3"/>
        <v>100</v>
      </c>
      <c r="Q34" s="7">
        <f t="shared" si="4"/>
        <v>0</v>
      </c>
      <c r="R34" s="7">
        <f t="shared" si="5"/>
        <v>0</v>
      </c>
      <c r="S34" s="7">
        <f t="shared" si="6"/>
        <v>0</v>
      </c>
      <c r="T34" s="7">
        <f t="shared" si="7"/>
        <v>6</v>
      </c>
      <c r="U34" s="7">
        <f t="shared" si="8"/>
        <v>1.3333333333333333</v>
      </c>
      <c r="V34" s="7">
        <f t="shared" si="9"/>
        <v>10</v>
      </c>
    </row>
    <row r="35" spans="1:22">
      <c r="A35" s="14"/>
      <c r="B35" s="4">
        <v>43584</v>
      </c>
      <c r="C35">
        <f t="shared" si="1"/>
        <v>100</v>
      </c>
      <c r="D35">
        <f t="shared" si="2"/>
        <v>5</v>
      </c>
      <c r="E35">
        <f t="shared" si="3"/>
        <v>90</v>
      </c>
      <c r="Q35" s="7">
        <f t="shared" si="4"/>
        <v>0</v>
      </c>
      <c r="R35" s="7">
        <f t="shared" si="5"/>
        <v>0</v>
      </c>
      <c r="S35" s="7">
        <f t="shared" si="6"/>
        <v>0</v>
      </c>
      <c r="T35" s="7">
        <f t="shared" si="7"/>
        <v>5</v>
      </c>
      <c r="U35" s="7">
        <f t="shared" si="8"/>
        <v>0.33333333333333331</v>
      </c>
      <c r="V35" s="7">
        <f t="shared" si="9"/>
        <v>9</v>
      </c>
    </row>
    <row r="36" spans="1:22">
      <c r="A36" s="14"/>
      <c r="B36" s="4">
        <v>43585</v>
      </c>
      <c r="C36">
        <f t="shared" si="1"/>
        <v>430</v>
      </c>
      <c r="D36">
        <f t="shared" si="2"/>
        <v>340</v>
      </c>
      <c r="E36">
        <f t="shared" si="3"/>
        <v>180</v>
      </c>
      <c r="F36">
        <v>350</v>
      </c>
      <c r="G36">
        <v>350</v>
      </c>
      <c r="H36">
        <v>100</v>
      </c>
      <c r="Q36" s="7">
        <f t="shared" si="4"/>
        <v>0</v>
      </c>
      <c r="R36" s="7">
        <f t="shared" si="5"/>
        <v>0</v>
      </c>
      <c r="S36" s="7">
        <f t="shared" si="6"/>
        <v>0</v>
      </c>
      <c r="T36" s="7">
        <f t="shared" si="7"/>
        <v>21.5</v>
      </c>
      <c r="U36" s="7">
        <f t="shared" si="8"/>
        <v>22.666666666666668</v>
      </c>
      <c r="V36" s="7">
        <f t="shared" si="9"/>
        <v>18</v>
      </c>
    </row>
    <row r="37" spans="1:22">
      <c r="A37" s="14"/>
      <c r="B37" s="4">
        <v>43586</v>
      </c>
      <c r="C37">
        <f t="shared" si="1"/>
        <v>410</v>
      </c>
      <c r="D37">
        <f t="shared" si="2"/>
        <v>325</v>
      </c>
      <c r="E37">
        <f t="shared" si="3"/>
        <v>170</v>
      </c>
      <c r="Q37" s="7">
        <f t="shared" si="4"/>
        <v>0</v>
      </c>
      <c r="R37" s="7">
        <f t="shared" si="5"/>
        <v>0</v>
      </c>
      <c r="S37" s="7">
        <f t="shared" si="6"/>
        <v>0</v>
      </c>
      <c r="T37" s="7">
        <f t="shared" si="7"/>
        <v>20.5</v>
      </c>
      <c r="U37" s="7">
        <f t="shared" si="8"/>
        <v>21.666666666666668</v>
      </c>
      <c r="V37" s="7">
        <f t="shared" si="9"/>
        <v>17</v>
      </c>
    </row>
    <row r="38" spans="1:22">
      <c r="A38" s="14"/>
      <c r="B38" s="4">
        <v>43587</v>
      </c>
      <c r="C38">
        <f t="shared" si="1"/>
        <v>390</v>
      </c>
      <c r="D38">
        <f t="shared" si="2"/>
        <v>310</v>
      </c>
      <c r="E38">
        <f t="shared" si="3"/>
        <v>160</v>
      </c>
      <c r="L38">
        <v>-199</v>
      </c>
      <c r="M38">
        <v>-166</v>
      </c>
      <c r="N38">
        <v>-96</v>
      </c>
      <c r="Q38" s="7">
        <f t="shared" si="4"/>
        <v>9.9499999999999993</v>
      </c>
      <c r="R38" s="7">
        <f t="shared" si="5"/>
        <v>11.066666666666666</v>
      </c>
      <c r="S38" s="7">
        <f t="shared" si="6"/>
        <v>9.6</v>
      </c>
      <c r="T38" s="7">
        <f t="shared" si="7"/>
        <v>19.5</v>
      </c>
      <c r="U38" s="7">
        <f t="shared" si="8"/>
        <v>20.666666666666668</v>
      </c>
      <c r="V38" s="7">
        <f t="shared" si="9"/>
        <v>16</v>
      </c>
    </row>
    <row r="39" spans="1:22">
      <c r="A39" s="14"/>
      <c r="B39" s="4">
        <v>43588</v>
      </c>
      <c r="C39">
        <f t="shared" si="1"/>
        <v>370</v>
      </c>
      <c r="D39">
        <f t="shared" si="2"/>
        <v>295</v>
      </c>
      <c r="E39">
        <f t="shared" si="3"/>
        <v>150</v>
      </c>
      <c r="Q39" s="7">
        <f t="shared" si="4"/>
        <v>0</v>
      </c>
      <c r="R39" s="7">
        <f t="shared" si="5"/>
        <v>0</v>
      </c>
      <c r="S39" s="7">
        <f t="shared" si="6"/>
        <v>0</v>
      </c>
      <c r="T39" s="7">
        <f t="shared" si="7"/>
        <v>18.5</v>
      </c>
      <c r="U39" s="7">
        <f t="shared" si="8"/>
        <v>19.666666666666668</v>
      </c>
      <c r="V39" s="7">
        <f t="shared" si="9"/>
        <v>15</v>
      </c>
    </row>
    <row r="40" spans="1:22">
      <c r="A40" s="14"/>
      <c r="B40" s="4">
        <v>43589</v>
      </c>
      <c r="C40">
        <f t="shared" si="1"/>
        <v>350</v>
      </c>
      <c r="D40">
        <f t="shared" si="2"/>
        <v>280</v>
      </c>
      <c r="E40">
        <f t="shared" si="3"/>
        <v>140</v>
      </c>
      <c r="Q40" s="7">
        <f t="shared" si="4"/>
        <v>0</v>
      </c>
      <c r="R40" s="7">
        <f t="shared" si="5"/>
        <v>0</v>
      </c>
      <c r="S40" s="7">
        <f t="shared" si="6"/>
        <v>0</v>
      </c>
      <c r="T40" s="7">
        <f t="shared" si="7"/>
        <v>17.5</v>
      </c>
      <c r="U40" s="7">
        <f t="shared" si="8"/>
        <v>18.666666666666668</v>
      </c>
      <c r="V40" s="7">
        <f t="shared" si="9"/>
        <v>14</v>
      </c>
    </row>
    <row r="41" spans="1:22">
      <c r="A41" s="14"/>
      <c r="B41" s="4">
        <v>43590</v>
      </c>
      <c r="C41">
        <f t="shared" si="1"/>
        <v>330</v>
      </c>
      <c r="D41">
        <f t="shared" si="2"/>
        <v>265</v>
      </c>
      <c r="E41">
        <f t="shared" si="3"/>
        <v>130</v>
      </c>
      <c r="Q41" s="7">
        <f t="shared" si="4"/>
        <v>0</v>
      </c>
      <c r="R41" s="7">
        <f t="shared" si="5"/>
        <v>0</v>
      </c>
      <c r="S41" s="7">
        <f t="shared" si="6"/>
        <v>0</v>
      </c>
      <c r="T41" s="7">
        <f t="shared" si="7"/>
        <v>16.5</v>
      </c>
      <c r="U41" s="7">
        <f t="shared" si="8"/>
        <v>17.666666666666668</v>
      </c>
      <c r="V41" s="7">
        <f t="shared" si="9"/>
        <v>13</v>
      </c>
    </row>
    <row r="42" spans="1:22">
      <c r="A42" s="14"/>
      <c r="B42" s="4">
        <v>43591</v>
      </c>
      <c r="C42">
        <f t="shared" si="1"/>
        <v>310</v>
      </c>
      <c r="D42">
        <f t="shared" si="2"/>
        <v>250</v>
      </c>
      <c r="E42">
        <f t="shared" si="3"/>
        <v>120</v>
      </c>
      <c r="Q42" s="7">
        <f t="shared" si="4"/>
        <v>0</v>
      </c>
      <c r="R42" s="7">
        <f t="shared" si="5"/>
        <v>0</v>
      </c>
      <c r="S42" s="7">
        <f t="shared" si="6"/>
        <v>0</v>
      </c>
      <c r="T42" s="7">
        <f t="shared" si="7"/>
        <v>15.5</v>
      </c>
      <c r="U42" s="7">
        <f t="shared" si="8"/>
        <v>16.666666666666668</v>
      </c>
      <c r="V42" s="7">
        <f t="shared" si="9"/>
        <v>12</v>
      </c>
    </row>
    <row r="43" spans="1:22">
      <c r="A43" s="14"/>
      <c r="B43" s="4">
        <v>43592</v>
      </c>
      <c r="C43">
        <f t="shared" si="1"/>
        <v>290</v>
      </c>
      <c r="D43">
        <f t="shared" si="2"/>
        <v>235</v>
      </c>
      <c r="E43">
        <f t="shared" si="3"/>
        <v>110</v>
      </c>
      <c r="Q43" s="7">
        <f t="shared" si="4"/>
        <v>0</v>
      </c>
      <c r="R43" s="7">
        <f t="shared" si="5"/>
        <v>0</v>
      </c>
      <c r="S43" s="7">
        <f t="shared" si="6"/>
        <v>0</v>
      </c>
      <c r="T43" s="7">
        <f t="shared" si="7"/>
        <v>14.5</v>
      </c>
      <c r="U43" s="7">
        <f t="shared" si="8"/>
        <v>15.666666666666666</v>
      </c>
      <c r="V43" s="7">
        <f t="shared" si="9"/>
        <v>11</v>
      </c>
    </row>
    <row r="44" spans="1:22">
      <c r="A44" s="14"/>
      <c r="B44" s="4">
        <v>43593</v>
      </c>
      <c r="C44">
        <f t="shared" ref="C44:C67" si="10">C43-$X$9+F44</f>
        <v>270</v>
      </c>
      <c r="D44">
        <f t="shared" ref="D44:D67" si="11">D43-$Y$9+G44</f>
        <v>220</v>
      </c>
      <c r="E44">
        <f t="shared" ref="E44:E67" si="12">E43-$Z$9+H44</f>
        <v>100</v>
      </c>
      <c r="Q44" s="7">
        <f t="shared" si="4"/>
        <v>0</v>
      </c>
      <c r="R44" s="7">
        <f t="shared" si="5"/>
        <v>0</v>
      </c>
      <c r="S44" s="7">
        <f t="shared" si="6"/>
        <v>0</v>
      </c>
      <c r="T44" s="7">
        <f t="shared" si="7"/>
        <v>13.5</v>
      </c>
      <c r="U44" s="7">
        <f t="shared" si="8"/>
        <v>14.666666666666666</v>
      </c>
      <c r="V44" s="7">
        <f t="shared" si="9"/>
        <v>10</v>
      </c>
    </row>
    <row r="45" spans="1:22">
      <c r="A45" s="14"/>
      <c r="B45" s="4">
        <v>43594</v>
      </c>
      <c r="C45">
        <f t="shared" si="10"/>
        <v>250</v>
      </c>
      <c r="D45">
        <f t="shared" si="11"/>
        <v>205</v>
      </c>
      <c r="E45">
        <f t="shared" si="12"/>
        <v>90</v>
      </c>
      <c r="Q45" s="7">
        <f t="shared" si="4"/>
        <v>0</v>
      </c>
      <c r="R45" s="7">
        <f t="shared" si="5"/>
        <v>0</v>
      </c>
      <c r="S45" s="7">
        <f t="shared" si="6"/>
        <v>0</v>
      </c>
      <c r="T45" s="7">
        <f t="shared" si="7"/>
        <v>12.5</v>
      </c>
      <c r="U45" s="7">
        <f t="shared" si="8"/>
        <v>13.666666666666666</v>
      </c>
      <c r="V45" s="7">
        <f t="shared" si="9"/>
        <v>9</v>
      </c>
    </row>
    <row r="46" spans="1:22">
      <c r="A46" s="14"/>
      <c r="B46" s="4">
        <v>43595</v>
      </c>
      <c r="C46">
        <f t="shared" si="10"/>
        <v>230</v>
      </c>
      <c r="D46">
        <f t="shared" si="11"/>
        <v>190</v>
      </c>
      <c r="E46">
        <f t="shared" si="12"/>
        <v>80</v>
      </c>
      <c r="Q46" s="7">
        <f t="shared" si="4"/>
        <v>0</v>
      </c>
      <c r="R46" s="7">
        <f t="shared" si="5"/>
        <v>0</v>
      </c>
      <c r="S46" s="7">
        <f t="shared" si="6"/>
        <v>0</v>
      </c>
      <c r="T46" s="7">
        <f t="shared" si="7"/>
        <v>11.5</v>
      </c>
      <c r="U46" s="7">
        <f t="shared" si="8"/>
        <v>12.666666666666666</v>
      </c>
      <c r="V46" s="7">
        <f t="shared" si="9"/>
        <v>8</v>
      </c>
    </row>
    <row r="47" spans="1:22">
      <c r="A47" s="14"/>
      <c r="B47" s="4">
        <v>43596</v>
      </c>
      <c r="C47">
        <f t="shared" si="10"/>
        <v>210</v>
      </c>
      <c r="D47">
        <f t="shared" si="11"/>
        <v>175</v>
      </c>
      <c r="E47">
        <f t="shared" si="12"/>
        <v>70</v>
      </c>
      <c r="Q47" s="7">
        <f t="shared" si="4"/>
        <v>0</v>
      </c>
      <c r="R47" s="7">
        <f t="shared" si="5"/>
        <v>0</v>
      </c>
      <c r="S47" s="7">
        <f t="shared" si="6"/>
        <v>0</v>
      </c>
      <c r="T47" s="7">
        <f t="shared" si="7"/>
        <v>10.5</v>
      </c>
      <c r="U47" s="7">
        <f t="shared" si="8"/>
        <v>11.666666666666666</v>
      </c>
      <c r="V47" s="7">
        <f t="shared" si="9"/>
        <v>7</v>
      </c>
    </row>
    <row r="48" spans="1:22">
      <c r="A48" s="14"/>
      <c r="B48" s="4">
        <v>43597</v>
      </c>
      <c r="C48">
        <f t="shared" si="10"/>
        <v>190</v>
      </c>
      <c r="D48">
        <f t="shared" si="11"/>
        <v>160</v>
      </c>
      <c r="E48">
        <f t="shared" si="12"/>
        <v>60</v>
      </c>
      <c r="Q48" s="7">
        <f t="shared" ref="Q48:Q67" si="13">-L48/$X$9</f>
        <v>0</v>
      </c>
      <c r="R48" s="7">
        <f t="shared" ref="R48:R67" si="14">-M48/$Y$9</f>
        <v>0</v>
      </c>
      <c r="S48" s="7">
        <f t="shared" ref="S48:S67" si="15">-N48/$Z$9</f>
        <v>0</v>
      </c>
      <c r="T48" s="7">
        <f t="shared" ref="T48:T67" si="16">C48/$X$9</f>
        <v>9.5</v>
      </c>
      <c r="U48" s="7">
        <f t="shared" ref="U48:U67" si="17">D48/$Y$9</f>
        <v>10.666666666666666</v>
      </c>
      <c r="V48" s="7">
        <f t="shared" ref="V48:V67" si="18">E48/$Z$9</f>
        <v>6</v>
      </c>
    </row>
    <row r="49" spans="1:22">
      <c r="A49" s="14"/>
      <c r="B49" s="4">
        <v>43598</v>
      </c>
      <c r="C49">
        <f t="shared" si="10"/>
        <v>170</v>
      </c>
      <c r="D49">
        <f t="shared" si="11"/>
        <v>145</v>
      </c>
      <c r="E49">
        <f t="shared" si="12"/>
        <v>50</v>
      </c>
      <c r="Q49" s="7">
        <f t="shared" si="13"/>
        <v>0</v>
      </c>
      <c r="R49" s="7">
        <f t="shared" si="14"/>
        <v>0</v>
      </c>
      <c r="S49" s="7">
        <f t="shared" si="15"/>
        <v>0</v>
      </c>
      <c r="T49" s="7">
        <f t="shared" si="16"/>
        <v>8.5</v>
      </c>
      <c r="U49" s="7">
        <f t="shared" si="17"/>
        <v>9.6666666666666661</v>
      </c>
      <c r="V49" s="7">
        <f t="shared" si="18"/>
        <v>5</v>
      </c>
    </row>
    <row r="50" spans="1:22">
      <c r="A50" s="14"/>
      <c r="B50" s="4">
        <v>43599</v>
      </c>
      <c r="C50">
        <f t="shared" si="10"/>
        <v>150</v>
      </c>
      <c r="D50">
        <f t="shared" si="11"/>
        <v>130</v>
      </c>
      <c r="E50">
        <f t="shared" si="12"/>
        <v>40</v>
      </c>
      <c r="Q50" s="7">
        <f t="shared" si="13"/>
        <v>0</v>
      </c>
      <c r="R50" s="7">
        <f t="shared" si="14"/>
        <v>0</v>
      </c>
      <c r="S50" s="7">
        <f t="shared" si="15"/>
        <v>0</v>
      </c>
      <c r="T50" s="7">
        <f t="shared" si="16"/>
        <v>7.5</v>
      </c>
      <c r="U50" s="7">
        <f t="shared" si="17"/>
        <v>8.6666666666666661</v>
      </c>
      <c r="V50" s="7">
        <f t="shared" si="18"/>
        <v>4</v>
      </c>
    </row>
    <row r="51" spans="1:22">
      <c r="A51" s="14"/>
      <c r="B51" s="4">
        <v>43600</v>
      </c>
      <c r="C51">
        <f t="shared" si="10"/>
        <v>130</v>
      </c>
      <c r="D51">
        <f t="shared" si="11"/>
        <v>115</v>
      </c>
      <c r="E51">
        <f t="shared" si="12"/>
        <v>30</v>
      </c>
      <c r="Q51" s="7">
        <f t="shared" si="13"/>
        <v>0</v>
      </c>
      <c r="R51" s="7">
        <f t="shared" si="14"/>
        <v>0</v>
      </c>
      <c r="S51" s="7">
        <f t="shared" si="15"/>
        <v>0</v>
      </c>
      <c r="T51" s="7">
        <f t="shared" si="16"/>
        <v>6.5</v>
      </c>
      <c r="U51" s="7">
        <f t="shared" si="17"/>
        <v>7.666666666666667</v>
      </c>
      <c r="V51" s="7">
        <f t="shared" si="18"/>
        <v>3</v>
      </c>
    </row>
    <row r="52" spans="1:22">
      <c r="A52" s="14"/>
      <c r="B52" s="4">
        <v>43601</v>
      </c>
      <c r="C52">
        <f t="shared" si="10"/>
        <v>110</v>
      </c>
      <c r="D52">
        <f t="shared" si="11"/>
        <v>100</v>
      </c>
      <c r="E52">
        <f t="shared" si="12"/>
        <v>20</v>
      </c>
      <c r="Q52" s="7">
        <f t="shared" si="13"/>
        <v>0</v>
      </c>
      <c r="R52" s="7">
        <f t="shared" si="14"/>
        <v>0</v>
      </c>
      <c r="S52" s="7">
        <f t="shared" si="15"/>
        <v>0</v>
      </c>
      <c r="T52" s="7">
        <f t="shared" si="16"/>
        <v>5.5</v>
      </c>
      <c r="U52" s="7">
        <f t="shared" si="17"/>
        <v>6.666666666666667</v>
      </c>
      <c r="V52" s="7">
        <f t="shared" si="18"/>
        <v>2</v>
      </c>
    </row>
    <row r="53" spans="1:22">
      <c r="A53" s="14"/>
      <c r="B53" s="4">
        <v>43602</v>
      </c>
      <c r="C53">
        <f t="shared" si="10"/>
        <v>90</v>
      </c>
      <c r="D53">
        <f t="shared" si="11"/>
        <v>85</v>
      </c>
      <c r="E53">
        <f t="shared" si="12"/>
        <v>10</v>
      </c>
      <c r="Q53" s="7">
        <f t="shared" si="13"/>
        <v>0</v>
      </c>
      <c r="R53" s="7">
        <f t="shared" si="14"/>
        <v>0</v>
      </c>
      <c r="S53" s="7">
        <f t="shared" si="15"/>
        <v>0</v>
      </c>
      <c r="T53" s="7">
        <f t="shared" si="16"/>
        <v>4.5</v>
      </c>
      <c r="U53" s="7">
        <f t="shared" si="17"/>
        <v>5.666666666666667</v>
      </c>
      <c r="V53" s="7">
        <f t="shared" si="18"/>
        <v>1</v>
      </c>
    </row>
    <row r="54" spans="1:22">
      <c r="A54" s="14"/>
      <c r="B54" s="4">
        <v>43603</v>
      </c>
      <c r="C54">
        <f t="shared" si="10"/>
        <v>70</v>
      </c>
      <c r="D54">
        <f t="shared" si="11"/>
        <v>70</v>
      </c>
      <c r="E54">
        <f t="shared" si="12"/>
        <v>0</v>
      </c>
      <c r="Q54" s="7">
        <f t="shared" si="13"/>
        <v>0</v>
      </c>
      <c r="R54" s="7">
        <f t="shared" si="14"/>
        <v>0</v>
      </c>
      <c r="S54" s="7">
        <f t="shared" si="15"/>
        <v>0</v>
      </c>
      <c r="T54" s="7">
        <f t="shared" si="16"/>
        <v>3.5</v>
      </c>
      <c r="U54" s="7">
        <f t="shared" si="17"/>
        <v>4.666666666666667</v>
      </c>
      <c r="V54" s="7">
        <f t="shared" si="18"/>
        <v>0</v>
      </c>
    </row>
    <row r="55" spans="1:22">
      <c r="A55" s="14"/>
      <c r="B55" s="4">
        <v>43604</v>
      </c>
      <c r="C55">
        <f t="shared" si="10"/>
        <v>50</v>
      </c>
      <c r="D55">
        <f t="shared" si="11"/>
        <v>55</v>
      </c>
      <c r="E55">
        <f t="shared" si="12"/>
        <v>-10</v>
      </c>
      <c r="Q55" s="7">
        <f t="shared" si="13"/>
        <v>0</v>
      </c>
      <c r="R55" s="7">
        <f t="shared" si="14"/>
        <v>0</v>
      </c>
      <c r="S55" s="7">
        <f t="shared" si="15"/>
        <v>0</v>
      </c>
      <c r="T55" s="7">
        <f t="shared" si="16"/>
        <v>2.5</v>
      </c>
      <c r="U55" s="7">
        <f t="shared" si="17"/>
        <v>3.6666666666666665</v>
      </c>
      <c r="V55" s="7">
        <f t="shared" si="18"/>
        <v>-1</v>
      </c>
    </row>
    <row r="56" spans="1:22">
      <c r="A56" s="14"/>
      <c r="B56" s="4">
        <v>43605</v>
      </c>
      <c r="C56">
        <f t="shared" si="10"/>
        <v>360</v>
      </c>
      <c r="D56">
        <f t="shared" si="11"/>
        <v>340</v>
      </c>
      <c r="E56">
        <f t="shared" si="12"/>
        <v>100</v>
      </c>
      <c r="F56">
        <v>330</v>
      </c>
      <c r="G56">
        <v>300</v>
      </c>
      <c r="H56">
        <v>120</v>
      </c>
      <c r="Q56" s="7">
        <f t="shared" si="13"/>
        <v>0</v>
      </c>
      <c r="R56" s="7">
        <f t="shared" si="14"/>
        <v>0</v>
      </c>
      <c r="S56" s="7">
        <f t="shared" si="15"/>
        <v>0</v>
      </c>
      <c r="T56" s="7">
        <f t="shared" si="16"/>
        <v>18</v>
      </c>
      <c r="U56" s="7">
        <f t="shared" si="17"/>
        <v>22.666666666666668</v>
      </c>
      <c r="V56" s="7">
        <f t="shared" si="18"/>
        <v>10</v>
      </c>
    </row>
    <row r="57" spans="1:22">
      <c r="A57" s="14"/>
      <c r="B57" s="4">
        <v>43606</v>
      </c>
      <c r="C57">
        <f t="shared" si="10"/>
        <v>340</v>
      </c>
      <c r="D57">
        <f t="shared" si="11"/>
        <v>325</v>
      </c>
      <c r="E57">
        <f t="shared" si="12"/>
        <v>90</v>
      </c>
      <c r="Q57" s="7">
        <f t="shared" si="13"/>
        <v>0</v>
      </c>
      <c r="R57" s="7">
        <f t="shared" si="14"/>
        <v>0</v>
      </c>
      <c r="S57" s="7">
        <f t="shared" si="15"/>
        <v>0</v>
      </c>
      <c r="T57" s="7">
        <f t="shared" si="16"/>
        <v>17</v>
      </c>
      <c r="U57" s="7">
        <f t="shared" si="17"/>
        <v>21.666666666666668</v>
      </c>
      <c r="V57" s="7">
        <f t="shared" si="18"/>
        <v>9</v>
      </c>
    </row>
    <row r="58" spans="1:22">
      <c r="A58" s="14"/>
      <c r="B58" s="4">
        <v>43607</v>
      </c>
      <c r="C58">
        <f t="shared" si="10"/>
        <v>320</v>
      </c>
      <c r="D58">
        <f t="shared" si="11"/>
        <v>310</v>
      </c>
      <c r="E58">
        <f t="shared" si="12"/>
        <v>80</v>
      </c>
      <c r="Q58" s="7">
        <f t="shared" si="13"/>
        <v>0</v>
      </c>
      <c r="R58" s="7">
        <f t="shared" si="14"/>
        <v>0</v>
      </c>
      <c r="S58" s="7">
        <f t="shared" si="15"/>
        <v>0</v>
      </c>
      <c r="T58" s="7">
        <f t="shared" si="16"/>
        <v>16</v>
      </c>
      <c r="U58" s="7">
        <f t="shared" si="17"/>
        <v>20.666666666666668</v>
      </c>
      <c r="V58" s="7">
        <f t="shared" si="18"/>
        <v>8</v>
      </c>
    </row>
    <row r="59" spans="1:22">
      <c r="A59" s="14"/>
      <c r="B59" s="4">
        <v>43608</v>
      </c>
      <c r="C59">
        <f t="shared" si="10"/>
        <v>432</v>
      </c>
      <c r="D59">
        <f t="shared" si="11"/>
        <v>361</v>
      </c>
      <c r="E59">
        <f t="shared" si="12"/>
        <v>166</v>
      </c>
      <c r="F59">
        <v>132</v>
      </c>
      <c r="G59">
        <v>66</v>
      </c>
      <c r="H59">
        <v>96</v>
      </c>
      <c r="Q59" s="7">
        <f t="shared" si="13"/>
        <v>0</v>
      </c>
      <c r="R59" s="7">
        <f t="shared" si="14"/>
        <v>0</v>
      </c>
      <c r="S59" s="7">
        <f t="shared" si="15"/>
        <v>0</v>
      </c>
      <c r="T59" s="7">
        <f t="shared" si="16"/>
        <v>21.6</v>
      </c>
      <c r="U59" s="7">
        <f t="shared" si="17"/>
        <v>24.066666666666666</v>
      </c>
      <c r="V59" s="7">
        <f t="shared" si="18"/>
        <v>16.600000000000001</v>
      </c>
    </row>
    <row r="60" spans="1:22">
      <c r="A60" s="14"/>
      <c r="B60" s="4">
        <v>43609</v>
      </c>
      <c r="C60">
        <f t="shared" si="10"/>
        <v>412</v>
      </c>
      <c r="D60">
        <f t="shared" si="11"/>
        <v>346</v>
      </c>
      <c r="E60">
        <f t="shared" si="12"/>
        <v>156</v>
      </c>
      <c r="Q60" s="7">
        <f t="shared" si="13"/>
        <v>0</v>
      </c>
      <c r="R60" s="7">
        <f t="shared" si="14"/>
        <v>0</v>
      </c>
      <c r="S60" s="7">
        <f t="shared" si="15"/>
        <v>0</v>
      </c>
      <c r="T60" s="7">
        <f t="shared" si="16"/>
        <v>20.6</v>
      </c>
      <c r="U60" s="7">
        <f t="shared" si="17"/>
        <v>23.066666666666666</v>
      </c>
      <c r="V60" s="7">
        <f t="shared" si="18"/>
        <v>15.6</v>
      </c>
    </row>
    <row r="61" spans="1:22">
      <c r="A61" s="14"/>
      <c r="B61" s="4">
        <v>43610</v>
      </c>
      <c r="C61">
        <f t="shared" si="10"/>
        <v>392</v>
      </c>
      <c r="D61">
        <f t="shared" si="11"/>
        <v>331</v>
      </c>
      <c r="E61">
        <f t="shared" si="12"/>
        <v>146</v>
      </c>
      <c r="Q61" s="7">
        <f t="shared" si="13"/>
        <v>0</v>
      </c>
      <c r="R61" s="7">
        <f t="shared" si="14"/>
        <v>0</v>
      </c>
      <c r="S61" s="7">
        <f t="shared" si="15"/>
        <v>0</v>
      </c>
      <c r="T61" s="7">
        <f t="shared" si="16"/>
        <v>19.600000000000001</v>
      </c>
      <c r="U61" s="7">
        <f t="shared" si="17"/>
        <v>22.066666666666666</v>
      </c>
      <c r="V61" s="7">
        <f t="shared" si="18"/>
        <v>14.6</v>
      </c>
    </row>
    <row r="62" spans="1:22">
      <c r="A62" s="14"/>
      <c r="B62" s="4">
        <v>43611</v>
      </c>
      <c r="C62">
        <f t="shared" si="10"/>
        <v>372</v>
      </c>
      <c r="D62">
        <f t="shared" si="11"/>
        <v>316</v>
      </c>
      <c r="E62">
        <f t="shared" si="12"/>
        <v>136</v>
      </c>
      <c r="Q62" s="7">
        <f t="shared" si="13"/>
        <v>0</v>
      </c>
      <c r="R62" s="7">
        <f t="shared" si="14"/>
        <v>0</v>
      </c>
      <c r="S62" s="7">
        <f t="shared" si="15"/>
        <v>0</v>
      </c>
      <c r="T62" s="7">
        <f t="shared" si="16"/>
        <v>18.600000000000001</v>
      </c>
      <c r="U62" s="7">
        <f t="shared" si="17"/>
        <v>21.066666666666666</v>
      </c>
      <c r="V62" s="7">
        <f t="shared" si="18"/>
        <v>13.6</v>
      </c>
    </row>
    <row r="63" spans="1:22">
      <c r="A63" s="14"/>
      <c r="B63" s="4">
        <v>43612</v>
      </c>
      <c r="C63">
        <f t="shared" si="10"/>
        <v>352</v>
      </c>
      <c r="D63">
        <f t="shared" si="11"/>
        <v>301</v>
      </c>
      <c r="E63">
        <f t="shared" si="12"/>
        <v>126</v>
      </c>
      <c r="Q63" s="7">
        <f t="shared" si="13"/>
        <v>0</v>
      </c>
      <c r="R63" s="7">
        <f t="shared" si="14"/>
        <v>0</v>
      </c>
      <c r="S63" s="7">
        <f t="shared" si="15"/>
        <v>0</v>
      </c>
      <c r="T63" s="7">
        <f t="shared" si="16"/>
        <v>17.600000000000001</v>
      </c>
      <c r="U63" s="7">
        <f t="shared" si="17"/>
        <v>20.066666666666666</v>
      </c>
      <c r="V63" s="7">
        <f t="shared" si="18"/>
        <v>12.6</v>
      </c>
    </row>
    <row r="64" spans="1:22">
      <c r="A64" s="14"/>
      <c r="B64" s="4">
        <v>43613</v>
      </c>
      <c r="C64">
        <f t="shared" si="10"/>
        <v>332</v>
      </c>
      <c r="D64">
        <f t="shared" si="11"/>
        <v>286</v>
      </c>
      <c r="E64">
        <f t="shared" si="12"/>
        <v>116</v>
      </c>
      <c r="Q64" s="7">
        <f t="shared" si="13"/>
        <v>0</v>
      </c>
      <c r="R64" s="7">
        <f t="shared" si="14"/>
        <v>0</v>
      </c>
      <c r="S64" s="7">
        <f t="shared" si="15"/>
        <v>0</v>
      </c>
      <c r="T64" s="7">
        <f t="shared" si="16"/>
        <v>16.600000000000001</v>
      </c>
      <c r="U64" s="7">
        <f t="shared" si="17"/>
        <v>19.066666666666666</v>
      </c>
      <c r="V64" s="7">
        <f t="shared" si="18"/>
        <v>11.6</v>
      </c>
    </row>
    <row r="65" spans="1:22">
      <c r="A65" s="14"/>
      <c r="B65" s="4">
        <v>43614</v>
      </c>
      <c r="C65">
        <f t="shared" si="10"/>
        <v>312</v>
      </c>
      <c r="D65">
        <f t="shared" si="11"/>
        <v>271</v>
      </c>
      <c r="E65">
        <f t="shared" si="12"/>
        <v>106</v>
      </c>
      <c r="Q65" s="7">
        <f t="shared" si="13"/>
        <v>0</v>
      </c>
      <c r="R65" s="7">
        <f t="shared" si="14"/>
        <v>0</v>
      </c>
      <c r="S65" s="7">
        <f t="shared" si="15"/>
        <v>0</v>
      </c>
      <c r="T65" s="7">
        <f t="shared" si="16"/>
        <v>15.6</v>
      </c>
      <c r="U65" s="7">
        <f t="shared" si="17"/>
        <v>18.066666666666666</v>
      </c>
      <c r="V65" s="7">
        <f t="shared" si="18"/>
        <v>10.6</v>
      </c>
    </row>
    <row r="66" spans="1:22">
      <c r="A66" s="14"/>
      <c r="B66" s="4">
        <v>43615</v>
      </c>
      <c r="C66">
        <f t="shared" si="10"/>
        <v>292</v>
      </c>
      <c r="D66">
        <f t="shared" si="11"/>
        <v>256</v>
      </c>
      <c r="E66">
        <f t="shared" si="12"/>
        <v>96</v>
      </c>
      <c r="Q66" s="7">
        <f t="shared" si="13"/>
        <v>0</v>
      </c>
      <c r="R66" s="7">
        <f t="shared" si="14"/>
        <v>0</v>
      </c>
      <c r="S66" s="7">
        <f t="shared" si="15"/>
        <v>0</v>
      </c>
      <c r="T66" s="7">
        <f t="shared" si="16"/>
        <v>14.6</v>
      </c>
      <c r="U66" s="7">
        <f t="shared" si="17"/>
        <v>17.066666666666666</v>
      </c>
      <c r="V66" s="7">
        <f t="shared" si="18"/>
        <v>9.6</v>
      </c>
    </row>
    <row r="67" spans="1:22">
      <c r="A67" s="14"/>
      <c r="B67" s="4">
        <v>43616</v>
      </c>
      <c r="C67">
        <f t="shared" si="10"/>
        <v>471</v>
      </c>
      <c r="D67">
        <f t="shared" si="11"/>
        <v>407</v>
      </c>
      <c r="E67">
        <f t="shared" si="12"/>
        <v>182</v>
      </c>
      <c r="F67">
        <v>199</v>
      </c>
      <c r="G67">
        <v>166</v>
      </c>
      <c r="H67">
        <v>96</v>
      </c>
      <c r="Q67" s="7">
        <f t="shared" si="13"/>
        <v>0</v>
      </c>
      <c r="R67" s="7">
        <f t="shared" si="14"/>
        <v>0</v>
      </c>
      <c r="S67" s="7">
        <f t="shared" si="15"/>
        <v>0</v>
      </c>
      <c r="T67" s="7">
        <f t="shared" si="16"/>
        <v>23.55</v>
      </c>
      <c r="U67" s="7">
        <f t="shared" si="17"/>
        <v>27.133333333333333</v>
      </c>
      <c r="V67" s="7">
        <f t="shared" si="18"/>
        <v>18.2</v>
      </c>
    </row>
  </sheetData>
  <mergeCells count="19">
    <mergeCell ref="A18:A67"/>
    <mergeCell ref="B4:B5"/>
    <mergeCell ref="W4:W7"/>
    <mergeCell ref="B3:AC3"/>
    <mergeCell ref="X5:Z5"/>
    <mergeCell ref="AA5:AC5"/>
    <mergeCell ref="X7:Z7"/>
    <mergeCell ref="AA7:AC7"/>
    <mergeCell ref="A7:A17"/>
    <mergeCell ref="B2:V2"/>
    <mergeCell ref="X2:AC2"/>
    <mergeCell ref="C4:E4"/>
    <mergeCell ref="F4:H4"/>
    <mergeCell ref="I4:K4"/>
    <mergeCell ref="L4:N4"/>
    <mergeCell ref="Q4:S4"/>
    <mergeCell ref="T4:V4"/>
    <mergeCell ref="X4:Z4"/>
    <mergeCell ref="AA4:AC4"/>
  </mergeCells>
  <phoneticPr fontId="1" type="noConversion"/>
  <conditionalFormatting sqref="C11:E67">
    <cfRule type="cellIs" dxfId="1" priority="1" operator="equal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滚动防断货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博 来</cp:lastModifiedBy>
  <dcterms:created xsi:type="dcterms:W3CDTF">2019-04-04T07:08:00Z</dcterms:created>
  <dcterms:modified xsi:type="dcterms:W3CDTF">2026-01-09T03:51:13Z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7C91139EA6EA49208B6B0D5284603DE0</vt:lpwstr>
  </property>
</Properties>
</file>