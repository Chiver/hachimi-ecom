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s>
  <calcPr calcId="144525"/>
</workbook>
</file>

<file path=xl/sharedStrings.xml><?xml version="1.0" encoding="utf-8"?>
<sst xmlns="http://schemas.openxmlformats.org/spreadsheetml/2006/main" count="127" uniqueCount="123">
  <si>
    <t>美国deal网站汇总</t>
  </si>
  <si>
    <t>网站</t>
  </si>
  <si>
    <t>网址</t>
  </si>
  <si>
    <t>月流量</t>
  </si>
  <si>
    <t>类目</t>
  </si>
  <si>
    <t>发帖要求</t>
  </si>
  <si>
    <t>Dealnews</t>
  </si>
  <si>
    <t>www.dealnews.com</t>
  </si>
  <si>
    <t>12.1m</t>
  </si>
  <si>
    <t>全品类</t>
  </si>
  <si>
    <t>1、94.94%的流量来自美国，也有速卖通和ebay折扣版块
2、Feedback 没有要求，Review 大于3.5分 ，最好折扣25% OFF以上</t>
  </si>
  <si>
    <t>Slickdeals</t>
  </si>
  <si>
    <t>www.slickdeals.net</t>
  </si>
  <si>
    <t>64.64m</t>
  </si>
  <si>
    <t>全品类，其中最火的是服饰，汽配，电子电脑，儿童类</t>
  </si>
  <si>
    <t>1、美国最大、最具影响力的折扣信息分享交流平台，要求高，会查Fakespot,不许商家自己顶帖、回帖、踩贴，建议自己长期养SD小号
2、Feedback 一定要大于1000， Review 最好大于,4分，折后价要求全网最低，不能高于Slickdeals同类产品的价格，折扣码显示在前台（分值太低比较难成为popular）</t>
  </si>
  <si>
    <t>Dealmoon</t>
  </si>
  <si>
    <t>www.dealmoon.com</t>
  </si>
  <si>
    <t>6.81m</t>
  </si>
  <si>
    <t>多家居，美妆类，车载类，服装，户外或者新奇的东西</t>
  </si>
  <si>
    <t>1、中英双语折扣信息网站，有专门加拿大澳洲网站，可以自己发帖自己注册小号顶贴
2、编辑贴和自己爆料贴，没有什么要求</t>
  </si>
  <si>
    <t>Techbargain</t>
  </si>
  <si>
    <t>www.techbargains.com</t>
  </si>
  <si>
    <t>4.3m</t>
  </si>
  <si>
    <t>偏电子，家居，车载，工具类</t>
  </si>
  <si>
    <t>1、效果延续性很强，爆单能持续2-3周。
2、联系编辑提交，折扣力度大一点易选上（普遍是40-50%off）</t>
  </si>
  <si>
    <t>Bensbargains</t>
  </si>
  <si>
    <t>www.bensbargains.co,</t>
  </si>
  <si>
    <t>3.7m</t>
  </si>
  <si>
    <t>电子产品类，家居，健康类，旅行类产品</t>
  </si>
  <si>
    <t>1、有73%都导向Amazon，也有ebay版块， 流量最大的是Homepage Sliders（主页滑块）
2、feedback 和 Review没有要求 ，Fakespot评级检测C级以上</t>
  </si>
  <si>
    <t>1sale</t>
  </si>
  <si>
    <t>www.1sale.com</t>
  </si>
  <si>
    <t>1.1m</t>
  </si>
  <si>
    <t>偏电子，家居，车载，工具，服饰类</t>
  </si>
  <si>
    <t>1、自己提交：https://www.1sale.com/submit/
2、feedback 和 Review没有要求</t>
  </si>
  <si>
    <t>Cnet</t>
  </si>
  <si>
    <t>www.cnet.com</t>
  </si>
  <si>
    <t>138m</t>
  </si>
  <si>
    <t>智能家居，电子产品，汽配类为主</t>
  </si>
  <si>
    <t>1、42%美国市场，5%英国。20%导向亚马逊。可以直接寄产品给编辑review，但是不一定会出，60内会退回产品
2、联系编辑或者自己发帖</t>
  </si>
  <si>
    <t>Freestufffinder</t>
  </si>
  <si>
    <t>www.freestufffinder.com</t>
  </si>
  <si>
    <t>705k</t>
  </si>
  <si>
    <t>服装，家居，美容，母婴类目比较适合</t>
  </si>
  <si>
    <t>1、可以自己提交coupon：https://www.freestufffinder.com/submit-a-coupon/
2、联系编辑或者自己发帖</t>
  </si>
  <si>
    <t>kinja</t>
  </si>
  <si>
    <t>www.kinja.com</t>
  </si>
  <si>
    <t>8.7m</t>
  </si>
  <si>
    <t>全品类，偏向游戏类，电子，服装，家居，厨房类</t>
  </si>
  <si>
    <t>1、优质的网络导购网站，90%美国市场，是Lifehacker的下设版块（如果被推荐上Lifehacker，流量惊人！）最好做一个系列的deal，自己提交方式：deals@gizmodomedia.com，或者发给管理员，注意要看他们的发帖历史记录，琢磨偏好，比如不要给Shep 推荐女性化妆品。参考链接 https://www.junjianyu.com/kinja-deals/
2、Review 最好大于50个，评分4.3</t>
  </si>
  <si>
    <t>Dansdeals</t>
  </si>
  <si>
    <t>www.dansdeals.com</t>
  </si>
  <si>
    <t>1.8m</t>
  </si>
  <si>
    <t>服装，家居，旅游，母婴，食品类目比较多</t>
  </si>
  <si>
    <t>1、促销导购网站
2、Feedback 没有要求， Review 最好大于15个 评分4.3</t>
  </si>
  <si>
    <t>Bradsdeals</t>
  </si>
  <si>
    <t>www.bradsdeals.com</t>
  </si>
  <si>
    <t>8.12m</t>
  </si>
  <si>
    <t>服装，家居类目比较适合</t>
  </si>
  <si>
    <t>Feedback 没有要求 Review 没有要求，服装，家具类目比较适合</t>
  </si>
  <si>
    <t>9to5toys</t>
  </si>
  <si>
    <t>www.9to5toys.com</t>
  </si>
  <si>
    <t>Feedback 没有要求， Review 最好大于15个 评分4.3</t>
  </si>
  <si>
    <t>retailmenot</t>
  </si>
  <si>
    <t>www.retailmenot.com</t>
  </si>
  <si>
    <t>29m</t>
  </si>
  <si>
    <t>1、全球最大的在线优惠券网站，https://www.retailmenot.com/submit，也有专门的加拿大网站
2、自己提交</t>
  </si>
  <si>
    <t>woot</t>
  </si>
  <si>
    <t>www.wooot.com</t>
  </si>
  <si>
    <t>16.7m</t>
  </si>
  <si>
    <t>全品类，偏重电子，厨房家居，户外，服饰等</t>
  </si>
  <si>
    <t>1、美国有名的团购网，自己提交折扣展示6h，合作链接https://vendorportal.woot.com/signup/
2、Feedback 500个可以自己发帖，至少20％折扣</t>
  </si>
  <si>
    <t>bensbargains</t>
  </si>
  <si>
    <t>数码、电子产品</t>
  </si>
  <si>
    <t>couponbird</t>
  </si>
  <si>
    <t>www.couponbird.com</t>
  </si>
  <si>
    <t>3.6m</t>
  </si>
  <si>
    <t>全品类，偏重电子数码，厨房家居，户外，服饰等</t>
  </si>
  <si>
    <t>1、多为转载的deal合集，47%美国市场，10%英国，https://www.couponbirds.com/submit-coupon
2、自己提交，无要求</t>
  </si>
  <si>
    <t>thekrazycouponlady</t>
  </si>
  <si>
    <t>www.thekrazycouponlady.com</t>
  </si>
  <si>
    <t>1.6m</t>
  </si>
  <si>
    <t>Hip2save</t>
  </si>
  <si>
    <t>www.hip2save.com</t>
  </si>
  <si>
    <t>3.4m</t>
  </si>
  <si>
    <t>多家居，食物厨房类，车载类，服装，户外或者新奇的东西，都可以提交尝试</t>
  </si>
  <si>
    <t>1、自己发帖：https://hip2save.com/hip2share/#
2、在线提交表格，编辑审核，注册之后可以自己免费share,编辑审核</t>
  </si>
  <si>
    <t>amztracker</t>
  </si>
  <si>
    <t>AMZ Tracker 的买家社区Vipon 社区清库存</t>
  </si>
  <si>
    <t>只要是AMZ Tracker会员，就可免费在Vipon上发布产品折扣信息，对于店铺资质和产品评分没有任何要求，同时抓客会选一些折扣发facebook，也是一个较大的流量来源</t>
  </si>
  <si>
    <t>snagshout</t>
  </si>
  <si>
    <t>dealplus</t>
  </si>
  <si>
    <t>www.dealsplus.com</t>
  </si>
  <si>
    <t>2.6m</t>
  </si>
  <si>
    <t>1、美国前十的折扣信息的交流论坛，不允许推广自己的产品，不允许发布推广链接【第一次警告，第二次封号】，提交折扣标题越短越好，最好是只包含 折扣大小+主关键字。如果要删除，在帖子下面评论: “Please delete this coupon + reason” 管理员看到会做处理
2、https://www.dealsplus.com点加号直接提交，会在一小时内出现，新会员每天最多可以发布两个deal。认证用户（2级及以上）可以每天发无限个</t>
  </si>
  <si>
    <t>Melody 文稿</t>
  </si>
  <si>
    <t>Steve 修改之后文稿</t>
  </si>
  <si>
    <t>3871 Conaway Street
Bloomington, IN 47408</t>
  </si>
  <si>
    <t>Hello,
Thank you for interesting in our product. 
I am Melody from Rebatest, a product trial website where you can get up to 100% rebates when shopping online.
We sincerely invite you to try our website which you will find extremely awesome experience on it, do you have this interest for cooperation?
If you’re in US and have an Amazon account, please register on our American site at: Here. You’ll receive $5 bonus after you sign up for a Rebatest account. Search and apply the product you want, purchase the item on Amazon, submit your Amazon order No. &amp; trial report, Then you can get the money full refund.
Also if you share the site to your friends and fans to sign up with Rebatest.com and get free trial products, help them save and be rewarded with $5 cash for you both.
Do not hesitate and act fast to start…
Do you think the above is okay for you? If you find anything unacceptable for you, please let me know. All the rules are open to discuss and we believe we can settle out the final details!
Thanks,
Melody</t>
  </si>
  <si>
    <t>Hello,
Thank you for your interest in our product. I am Melody from Rebatest.com, a product trial website where you can get up to 100% rebates when shopping on our website.
We have a referral program that provides KOLs to share our website for their fans. Once Each fan who sign up on our website will get a $5 referral fee through your link. Do you mind applying for an account and you’ll be able to apply for as many products as you want.
Please check out our website: 
https://www.rebatest.com/?melody=1&amp;rebatestid=2342
Please let me know if you have any questions. Looking forward to hearing from you. 
Thanks,
Melody</t>
  </si>
  <si>
    <t>2923 Villa Drive
Elkhart, IN 46516</t>
  </si>
  <si>
    <t>Hello,
I am Melody from Rebatest, a product trial website where you can get up to 100% rebates when shopping online.
Nice to know you.and wish you have a nice day~
We are looking for good reviews. The products are completely free. Are you interested in trying?
If you are located in the United States and if you have an Amazon account, register here  https://www.rebatest.com/?melody=1&amp;rebatestid=1573 and you will get one of our products for free.
Looking forward to hearing from you.
Kind regards,
Melody</t>
  </si>
  <si>
    <t>Trial Invitation From Rebatest.com - A 100% Rebates Website
Hello,
Nice to e-meet you! I’m Melody from Rebatest, a product trial website to get you 100% rebates after shopping through our site: https://www.rebatest.com/?melody=1&amp;rebatestid=1573.
If you’re in US and have an Amazon account, please register on our American site at: Here. You’ll receive $5 bonus after you sign up for a Rebatest account, and after you purchase a product on Amazon and we’ll fully refund your money back to your Rebatest account within 3 business days, which means you get FREE products.
You may be curious how we make money. We make money through sellers who are looking for Amazon product reviews to help improve their product. Please let me know if you are interested?
Looking forward to hearing from you. Thank you.
Kind regards,
Melody</t>
  </si>
  <si>
    <t>Cooperation Invitation From Rebatest
Hello,
Nice to e-meet you! I’m Melody from Rebatest, a product trial website to get you 100% rebates after shopping through our site: https://www.rebatest.com/?melody=1&amp;rebatestid=1573.
If you’re in US and have an Amazon account, please register on our American site at: Here. You’ll receive $5 bonus after you purchase a product and we’ll fully refund your money back to your Rebatest account within 3 business days after you complete the order on Amazon, which means you get FREE products.
You may be curious how we make money. We make money through sellers who are looking for Amazon product reviews to help improve their product. Please let me know if you are interested?
Looking forward to hearing from you. Thank you.
Kind regards,
Melody</t>
  </si>
  <si>
    <t>You can't reapply because the purchase rate is lower than 70%, so the application function is disabled. After we talked to our team,we think 70% purchase rate is a bit too high. We’ll work with our engineer team to lower the purchase rate, so your account can be reactivated. We’ll update this information ASAP.
About Amazon's review rate, Amz review rate = product reviewed / the amount of products purchased. So if you didn't leave a comment on the previous three products purchased, then your application function will be suspended. It is recommended to leave one review in the first three orders.</t>
  </si>
  <si>
    <t>OOPS, finally translated. 🤣 lol, some logic in it, I cannot explain it well. We will add the rules explanation on "my application" part. Then everyone can see it. haha</t>
  </si>
  <si>
    <t>But there are a lot of customers are asking our questions, so we hope everyone can get the product they want</t>
  </si>
  <si>
    <t>Feel free to check out other items on our website. If it's gone, you can try coming back the next day cuz a lot of people are fighting over it.</t>
  </si>
  <si>
    <t>Items are limited. First come first served~</t>
  </si>
  <si>
    <t>We're trying to get more sellers to upload their products so it can better benefit our customers</t>
  </si>
  <si>
    <t>Do you know you can also make $5 referral fee if you can have your friends or family to sign up and complete one order. It can be accumulated.  Check it out</t>
  </si>
  <si>
    <t xml:space="preserve">You need to sign up your account and send them your link
</t>
  </si>
  <si>
    <t>Hello,
Nice to e-meet you! I’m Maddy from Rebatest, a product trial website to get you 100% rebates after shopping through our site: https://www.rebatest.com/?me=1&amp;rebatestid=2901.
If you’re in US and have an Amazon account, please register on our American site. You’ll receive $5 bonus after you sign up for a Rebatest account, and after you purchase a product on Amazon and we’ll fully refund your money back to your Rebatest account within 3 business days, which means you get FREE products.</t>
  </si>
  <si>
    <t xml:space="preserve">
The product is free for you .
I need you to experience the product and submit the using report to me .
If you are interested , please contact me .</t>
  </si>
  <si>
    <t xml:space="preserve">You can directly apply it for free from this website:  </t>
  </si>
  <si>
    <t>Everyone tried this "Refer a friend" activity yet? share your refer link to your friends sign up, both of you could get $5 bonus pending on your balance, only your friends give one amz review for his/her applications, the pending bonus would be payable. The more you recommend, the more $5 bonus you will get. Any questions or problems, PM me.</t>
  </si>
  <si>
    <t>I have a free Full HD Webcam free for you  
I need someone to test it and give us the feedback  
Please contact me if you interested.Thanks</t>
  </si>
  <si>
    <t>Welcome to Rebatest WhatsApp Group my friends~ We have many free amz products to review. Check what we have here:
https://www.rebatest.com/?me=1&amp;rebatestid=3088 
First sign in by fb or sign up by email you will get $5 bonus,Hurry up to get free now!!</t>
  </si>
  <si>
    <t>Hurry over to https://www.rebatest.com/?me=1&amp;rebatestid=3088  where you can get free product. Simply sign up and apply it free.
You’ll also receive $5 bonus after you sign up for a Rebatest account.</t>
  </si>
  <si>
    <t>US only
free product
refund by pp,fees cover
pm me if you have interest</t>
  </si>
  <si>
    <t xml:space="preserve">模板1：
标题：3-1 hamburger patty maker free to you
I have a 3-1 hamburger patty maker. 
It’s free to giveaway, but I would need your feedback to help improve my product. 
If you are interested, please email me. 
Thank you. 
模板2：
标题：FREE electric juicer (无需添加US Only 或UK Only) 因为你发帖的地区已经表明了你的位置
Hi,
I have a electric juicer
It’s free for you
I just need your help to complete a product trial report.
Contact me if interested.
</t>
  </si>
  <si>
    <t>How To Get Your First FREE Order on Rebatest?
Dear friend,
Hope this email finds you well. I’m Melody-your account manager from Rebatest. I noticed you registered for Rebatest, but haven’t started shopping yet.
Would you like to share with me your questions using our platform: https://www.rebatest.com/?me=1&amp;rebatestid=3088
I will be helping you to get 100% cashback shopping on our platform along the way.
Please let me know. I will be very happy to assist you.
Best regards,
Melody</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</si>
</sst>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1"/>
      <color theme="1"/>
      <name val="宋体"/>
      <charset val="134"/>
      <scheme val="minor"/>
    </font>
    <font>
      <sz val="10"/>
      <name val="宋体"/>
      <charset val="0"/>
      <scheme val="minor"/>
    </font>
    <font>
      <sz val="20"/>
      <color rgb="FF000000"/>
      <name val="宋体"/>
      <charset val="0"/>
      <scheme val="minor"/>
    </font>
    <font>
      <sz val="14"/>
      <color rgb="FF000000"/>
      <name val="微软雅黑"/>
      <charset val="0"/>
    </font>
    <font>
      <sz val="12"/>
      <name val="宋体"/>
      <charset val="0"/>
      <scheme val="minor"/>
    </font>
    <font>
      <b/>
      <sz val="15"/>
      <color theme="3"/>
      <name val="宋体"/>
      <charset val="134"/>
      <scheme val="minor"/>
    </font>
    <font>
      <sz val="11"/>
      <color rgb="FFFF0000"/>
      <name val="宋体"/>
      <charset val="0"/>
      <scheme val="minor"/>
    </font>
    <font>
      <u/>
      <sz val="11"/>
      <color rgb="FF800080"/>
      <name val="宋体"/>
      <charset val="0"/>
      <scheme val="minor"/>
    </font>
    <font>
      <b/>
      <sz val="11"/>
      <color theme="3"/>
      <name val="宋体"/>
      <charset val="134"/>
      <scheme val="minor"/>
    </font>
    <font>
      <sz val="11"/>
      <color theme="0"/>
      <name val="宋体"/>
      <charset val="0"/>
      <scheme val="minor"/>
    </font>
    <font>
      <b/>
      <sz val="13"/>
      <color theme="3"/>
      <name val="宋体"/>
      <charset val="134"/>
      <scheme val="minor"/>
    </font>
    <font>
      <sz val="11"/>
      <color rgb="FF9C0006"/>
      <name val="宋体"/>
      <charset val="0"/>
      <scheme val="minor"/>
    </font>
    <font>
      <sz val="11"/>
      <color theme="1"/>
      <name val="宋体"/>
      <charset val="0"/>
      <scheme val="minor"/>
    </font>
    <font>
      <u/>
      <sz val="11"/>
      <color rgb="FF0000FF"/>
      <name val="宋体"/>
      <charset val="0"/>
      <scheme val="minor"/>
    </font>
    <font>
      <b/>
      <sz val="11"/>
      <color rgb="FFFA7D00"/>
      <name val="宋体"/>
      <charset val="0"/>
      <scheme val="minor"/>
    </font>
    <font>
      <i/>
      <sz val="11"/>
      <color rgb="FF7F7F7F"/>
      <name val="宋体"/>
      <charset val="0"/>
      <scheme val="minor"/>
    </font>
    <font>
      <sz val="11"/>
      <color rgb="FF3F3F76"/>
      <name val="宋体"/>
      <charset val="0"/>
      <scheme val="minor"/>
    </font>
    <font>
      <sz val="11"/>
      <color rgb="FF9C6500"/>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b/>
      <sz val="11"/>
      <color theme="1"/>
      <name val="宋体"/>
      <charset val="0"/>
      <scheme val="minor"/>
    </font>
    <font>
      <b/>
      <sz val="11"/>
      <color rgb="FFFFFFFF"/>
      <name val="宋体"/>
      <charset val="0"/>
      <scheme val="minor"/>
    </font>
    <font>
      <sz val="11"/>
      <color rgb="FFFA7D00"/>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9" tint="0.8"/>
        <bgColor indexed="64"/>
      </patternFill>
    </fill>
    <fill>
      <patternFill patternType="solid">
        <fgColor theme="4" tint="0.399975585192419"/>
        <bgColor indexed="64"/>
      </patternFill>
    </fill>
    <fill>
      <patternFill patternType="solid">
        <fgColor rgb="FFFFC7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4"/>
        <bgColor indexed="64"/>
      </patternFill>
    </fill>
    <fill>
      <patternFill patternType="solid">
        <fgColor rgb="FFFFEB9C"/>
        <bgColor indexed="64"/>
      </patternFill>
    </fill>
    <fill>
      <patternFill patternType="solid">
        <fgColor rgb="FFFFFFCC"/>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7"/>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7" tint="0.399975585192419"/>
        <bgColor indexed="64"/>
      </patternFill>
    </fill>
    <fill>
      <patternFill patternType="solid">
        <fgColor theme="6"/>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bgColor indexed="64"/>
      </patternFill>
    </fill>
  </fills>
  <borders count="25">
    <border>
      <left/>
      <right/>
      <top/>
      <bottom/>
      <diagonal/>
    </border>
    <border>
      <left style="thin">
        <color auto="1"/>
      </left>
      <right style="thin">
        <color auto="1"/>
      </right>
      <top style="thin">
        <color auto="1"/>
      </top>
      <bottom/>
      <diagonal/>
    </border>
    <border>
      <left style="medium">
        <color rgb="FFC34D07"/>
      </left>
      <right/>
      <top style="medium">
        <color rgb="FFC34D07"/>
      </top>
      <bottom/>
      <diagonal/>
    </border>
    <border>
      <left style="medium">
        <color rgb="FFC34D07"/>
      </left>
      <right style="thin">
        <color rgb="FFC34D07"/>
      </right>
      <top style="medium">
        <color rgb="FFC34D07"/>
      </top>
      <bottom style="medium">
        <color rgb="FFC34D07"/>
      </bottom>
      <diagonal/>
    </border>
    <border>
      <left/>
      <right/>
      <top style="medium">
        <color rgb="FFC34D07"/>
      </top>
      <bottom style="medium">
        <color rgb="FFC34D07"/>
      </bottom>
      <diagonal/>
    </border>
    <border>
      <left style="medium">
        <color rgb="FFC34D07"/>
      </left>
      <right style="medium">
        <color rgb="FFC34D07"/>
      </right>
      <top style="medium">
        <color rgb="FFC34D07"/>
      </top>
      <bottom style="medium">
        <color rgb="FFC34D07"/>
      </bottom>
      <diagonal/>
    </border>
    <border>
      <left/>
      <right style="medium">
        <color rgb="FFC34D07"/>
      </right>
      <top style="medium">
        <color rgb="FFC34D07"/>
      </top>
      <bottom style="medium">
        <color rgb="FFC34D07"/>
      </bottom>
      <diagonal/>
    </border>
    <border>
      <left style="medium">
        <color rgb="FFC34D07"/>
      </left>
      <right/>
      <top style="medium">
        <color rgb="FFC34D07"/>
      </top>
      <bottom style="thin">
        <color auto="1"/>
      </bottom>
      <diagonal/>
    </border>
    <border>
      <left style="medium">
        <color rgb="FFC34D07"/>
      </left>
      <right style="medium">
        <color rgb="FFC34D07"/>
      </right>
      <top style="medium">
        <color rgb="FFC34D07"/>
      </top>
      <bottom style="thin">
        <color auto="1"/>
      </bottom>
      <diagonal/>
    </border>
    <border>
      <left/>
      <right/>
      <top style="medium">
        <color rgb="FFC34D07"/>
      </top>
      <bottom style="thin">
        <color auto="1"/>
      </bottom>
      <diagonal/>
    </border>
    <border>
      <left style="medium">
        <color rgb="FFC34D07"/>
      </left>
      <right/>
      <top style="thin">
        <color auto="1"/>
      </top>
      <bottom/>
      <diagonal/>
    </border>
    <border>
      <left style="medium">
        <color rgb="FFC34D07"/>
      </left>
      <right style="medium">
        <color rgb="FFC34D07"/>
      </right>
      <top style="thin">
        <color auto="1"/>
      </top>
      <bottom/>
      <diagonal/>
    </border>
    <border>
      <left/>
      <right/>
      <top style="thin">
        <color auto="1"/>
      </top>
      <bottom style="medium">
        <color rgb="FFC34D07"/>
      </bottom>
      <diagonal/>
    </border>
    <border>
      <left style="medium">
        <color rgb="FFC34D07"/>
      </left>
      <right/>
      <top style="medium">
        <color rgb="FFC34D07"/>
      </top>
      <bottom style="medium">
        <color rgb="FFC34D07"/>
      </bottom>
      <diagonal/>
    </border>
    <border>
      <left/>
      <right/>
      <top/>
      <bottom style="medium">
        <color rgb="FFC34D07"/>
      </bottom>
      <diagonal/>
    </border>
    <border>
      <left style="medium">
        <color rgb="FFC34D07"/>
      </left>
      <right/>
      <top/>
      <bottom style="medium">
        <color rgb="FFC34D07"/>
      </bottom>
      <diagonal/>
    </border>
    <border>
      <left style="medium">
        <color rgb="FFC34D07"/>
      </left>
      <right style="medium">
        <color rgb="FFC34D07"/>
      </right>
      <top/>
      <bottom style="medium">
        <color rgb="FFC34D07"/>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17" borderId="0" applyNumberFormat="0" applyBorder="0" applyAlignment="0" applyProtection="0">
      <alignment vertical="center"/>
    </xf>
    <xf numFmtId="0" fontId="16" fillId="9" borderId="1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9" fillId="20"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2" borderId="21" applyNumberFormat="0" applyFont="0" applyAlignment="0" applyProtection="0">
      <alignment vertical="center"/>
    </xf>
    <xf numFmtId="0" fontId="9" fillId="19" borderId="0" applyNumberFormat="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5" fillId="0" borderId="17" applyNumberFormat="0" applyFill="0" applyAlignment="0" applyProtection="0">
      <alignment vertical="center"/>
    </xf>
    <xf numFmtId="0" fontId="10" fillId="0" borderId="17" applyNumberFormat="0" applyFill="0" applyAlignment="0" applyProtection="0">
      <alignment vertical="center"/>
    </xf>
    <xf numFmtId="0" fontId="9" fillId="4" borderId="0" applyNumberFormat="0" applyBorder="0" applyAlignment="0" applyProtection="0">
      <alignment vertical="center"/>
    </xf>
    <xf numFmtId="0" fontId="8" fillId="0" borderId="18" applyNumberFormat="0" applyFill="0" applyAlignment="0" applyProtection="0">
      <alignment vertical="center"/>
    </xf>
    <xf numFmtId="0" fontId="9" fillId="23" borderId="0" applyNumberFormat="0" applyBorder="0" applyAlignment="0" applyProtection="0">
      <alignment vertical="center"/>
    </xf>
    <xf numFmtId="0" fontId="18" fillId="8" borderId="20" applyNumberFormat="0" applyAlignment="0" applyProtection="0">
      <alignment vertical="center"/>
    </xf>
    <xf numFmtId="0" fontId="14" fillId="8" borderId="19" applyNumberFormat="0" applyAlignment="0" applyProtection="0">
      <alignment vertical="center"/>
    </xf>
    <xf numFmtId="0" fontId="22" fillId="22" borderId="23" applyNumberFormat="0" applyAlignment="0" applyProtection="0">
      <alignment vertical="center"/>
    </xf>
    <xf numFmtId="0" fontId="12" fillId="25" borderId="0" applyNumberFormat="0" applyBorder="0" applyAlignment="0" applyProtection="0">
      <alignment vertical="center"/>
    </xf>
    <xf numFmtId="0" fontId="9" fillId="28" borderId="0" applyNumberFormat="0" applyBorder="0" applyAlignment="0" applyProtection="0">
      <alignment vertical="center"/>
    </xf>
    <xf numFmtId="0" fontId="23" fillId="0" borderId="24" applyNumberFormat="0" applyFill="0" applyAlignment="0" applyProtection="0">
      <alignment vertical="center"/>
    </xf>
    <xf numFmtId="0" fontId="21" fillId="0" borderId="22" applyNumberFormat="0" applyFill="0" applyAlignment="0" applyProtection="0">
      <alignment vertical="center"/>
    </xf>
    <xf numFmtId="0" fontId="20" fillId="21" borderId="0" applyNumberFormat="0" applyBorder="0" applyAlignment="0" applyProtection="0">
      <alignment vertical="center"/>
    </xf>
    <xf numFmtId="0" fontId="17" fillId="11" borderId="0" applyNumberFormat="0" applyBorder="0" applyAlignment="0" applyProtection="0">
      <alignment vertical="center"/>
    </xf>
    <xf numFmtId="0" fontId="12" fillId="31" borderId="0" applyNumberFormat="0" applyBorder="0" applyAlignment="0" applyProtection="0">
      <alignment vertical="center"/>
    </xf>
    <xf numFmtId="0" fontId="9" fillId="10" borderId="0" applyNumberFormat="0" applyBorder="0" applyAlignment="0" applyProtection="0">
      <alignment vertical="center"/>
    </xf>
    <xf numFmtId="0" fontId="12" fillId="7" borderId="0" applyNumberFormat="0" applyBorder="0" applyAlignment="0" applyProtection="0">
      <alignment vertical="center"/>
    </xf>
    <xf numFmtId="0" fontId="12" fillId="27" borderId="0" applyNumberFormat="0" applyBorder="0" applyAlignment="0" applyProtection="0">
      <alignment vertical="center"/>
    </xf>
    <xf numFmtId="0" fontId="12" fillId="6" borderId="0" applyNumberFormat="0" applyBorder="0" applyAlignment="0" applyProtection="0">
      <alignment vertical="center"/>
    </xf>
    <xf numFmtId="0" fontId="12" fillId="26" borderId="0" applyNumberFormat="0" applyBorder="0" applyAlignment="0" applyProtection="0">
      <alignment vertical="center"/>
    </xf>
    <xf numFmtId="0" fontId="9" fillId="24" borderId="0" applyNumberFormat="0" applyBorder="0" applyAlignment="0" applyProtection="0">
      <alignment vertical="center"/>
    </xf>
    <xf numFmtId="0" fontId="9" fillId="16" borderId="0" applyNumberFormat="0" applyBorder="0" applyAlignment="0" applyProtection="0">
      <alignment vertical="center"/>
    </xf>
    <xf numFmtId="0" fontId="12" fillId="13" borderId="0" applyNumberFormat="0" applyBorder="0" applyAlignment="0" applyProtection="0">
      <alignment vertical="center"/>
    </xf>
    <xf numFmtId="0" fontId="12" fillId="18" borderId="0" applyNumberFormat="0" applyBorder="0" applyAlignment="0" applyProtection="0">
      <alignment vertical="center"/>
    </xf>
    <xf numFmtId="0" fontId="9" fillId="15" borderId="0" applyNumberFormat="0" applyBorder="0" applyAlignment="0" applyProtection="0">
      <alignment vertical="center"/>
    </xf>
    <xf numFmtId="0" fontId="12"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12" fillId="29" borderId="0" applyNumberFormat="0" applyBorder="0" applyAlignment="0" applyProtection="0">
      <alignment vertical="center"/>
    </xf>
    <xf numFmtId="0" fontId="9" fillId="32" borderId="0" applyNumberFormat="0" applyBorder="0" applyAlignment="0" applyProtection="0">
      <alignment vertical="center"/>
    </xf>
  </cellStyleXfs>
  <cellXfs count="25">
    <xf numFmtId="0" fontId="0" fillId="0" borderId="0" xfId="0">
      <alignment vertical="center"/>
    </xf>
    <xf numFmtId="0" fontId="0" fillId="0" borderId="0" xfId="0" applyAlignment="1">
      <alignment vertical="center" wrapText="1"/>
    </xf>
    <xf numFmtId="0" fontId="1" fillId="0" borderId="0" xfId="0" applyFont="1" applyFill="1" applyBorder="1" applyAlignment="1"/>
    <xf numFmtId="0" fontId="2" fillId="2" borderId="1" xfId="0" applyFont="1" applyFill="1" applyBorder="1" applyAlignment="1">
      <alignment horizont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6" xfId="0" applyFont="1" applyFill="1" applyBorder="1" applyAlignment="1">
      <alignment horizontal="left" vertical="top"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left" vertical="center" wrapText="1"/>
    </xf>
    <xf numFmtId="0" fontId="3" fillId="3" borderId="5" xfId="0" applyFont="1" applyFill="1" applyBorder="1" applyAlignment="1">
      <alignment horizontal="left" vertical="top"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left" vertical="center" wrapText="1"/>
    </xf>
    <xf numFmtId="0" fontId="3" fillId="3" borderId="16" xfId="0" applyFont="1" applyFill="1" applyBorder="1" applyAlignment="1">
      <alignment horizontal="left" vertical="top" wrapText="1"/>
    </xf>
    <xf numFmtId="0" fontId="3" fillId="3" borderId="15" xfId="0" applyFont="1" applyFill="1" applyBorder="1" applyAlignment="1">
      <alignment horizontal="center" vertical="center" wrapText="1"/>
    </xf>
    <xf numFmtId="0" fontId="4" fillId="0" borderId="0" xfId="0" applyFont="1" applyFill="1"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34D0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kinja.com" TargetMode="External"/><Relationship Id="rId8" Type="http://schemas.openxmlformats.org/officeDocument/2006/relationships/hyperlink" Target="http://www.freestufffinder.com" TargetMode="External"/><Relationship Id="rId7" Type="http://schemas.openxmlformats.org/officeDocument/2006/relationships/hyperlink" Target="http://www.cnet.com" TargetMode="External"/><Relationship Id="rId6" Type="http://schemas.openxmlformats.org/officeDocument/2006/relationships/hyperlink" Target="http://www.1sale.com" TargetMode="External"/><Relationship Id="rId5" Type="http://schemas.openxmlformats.org/officeDocument/2006/relationships/hyperlink" Target="http://www.bensbargains.co," TargetMode="External"/><Relationship Id="rId4" Type="http://schemas.openxmlformats.org/officeDocument/2006/relationships/hyperlink" Target="http://www.techbargains.com" TargetMode="External"/><Relationship Id="rId3" Type="http://schemas.openxmlformats.org/officeDocument/2006/relationships/hyperlink" Target="http://www.dealmoon.com" TargetMode="External"/><Relationship Id="rId2" Type="http://schemas.openxmlformats.org/officeDocument/2006/relationships/hyperlink" Target="http://www.slickdeals.net" TargetMode="External"/><Relationship Id="rId18" Type="http://schemas.openxmlformats.org/officeDocument/2006/relationships/hyperlink" Target="http://www.dealsplus.com" TargetMode="External"/><Relationship Id="rId17" Type="http://schemas.openxmlformats.org/officeDocument/2006/relationships/hyperlink" Target="http://www.hip2save.com" TargetMode="External"/><Relationship Id="rId16" Type="http://schemas.openxmlformats.org/officeDocument/2006/relationships/hyperlink" Target="http://www.thekrazycouponlady.com" TargetMode="External"/><Relationship Id="rId15" Type="http://schemas.openxmlformats.org/officeDocument/2006/relationships/hyperlink" Target="http://www.couponbird.com" TargetMode="External"/><Relationship Id="rId14" Type="http://schemas.openxmlformats.org/officeDocument/2006/relationships/hyperlink" Target="http://www.wooot.com" TargetMode="External"/><Relationship Id="rId13" Type="http://schemas.openxmlformats.org/officeDocument/2006/relationships/hyperlink" Target="http://www.retailmenot.com" TargetMode="External"/><Relationship Id="rId12" Type="http://schemas.openxmlformats.org/officeDocument/2006/relationships/hyperlink" Target="http://www.9to5toys.com" TargetMode="External"/><Relationship Id="rId11" Type="http://schemas.openxmlformats.org/officeDocument/2006/relationships/hyperlink" Target="http://www.bradsdeals.com" TargetMode="External"/><Relationship Id="rId10" Type="http://schemas.openxmlformats.org/officeDocument/2006/relationships/hyperlink" Target="http://www.dansdeals.com" TargetMode="External"/><Relationship Id="rId1" Type="http://schemas.openxmlformats.org/officeDocument/2006/relationships/hyperlink" Target="http://www.dealnew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tabSelected="1" zoomScale="70" zoomScaleNormal="70" workbookViewId="0">
      <selection activeCell="P6" sqref="P6"/>
    </sheetView>
  </sheetViews>
  <sheetFormatPr defaultColWidth="8" defaultRowHeight="12" outlineLevelCol="4"/>
  <cols>
    <col min="1" max="1" width="15.375" style="2" customWidth="1"/>
    <col min="2" max="2" width="28" style="2" customWidth="1"/>
    <col min="3" max="3" width="8" style="2"/>
    <col min="4" max="4" width="22.375" style="2" customWidth="1"/>
    <col min="5" max="5" width="40.625" style="2" customWidth="1"/>
    <col min="6" max="16384" width="8" style="2"/>
  </cols>
  <sheetData>
    <row r="1" s="2" customFormat="1" ht="32" customHeight="1" spans="1:5">
      <c r="A1" s="3" t="s">
        <v>0</v>
      </c>
      <c r="B1" s="3"/>
      <c r="C1" s="3"/>
      <c r="D1" s="3"/>
      <c r="E1" s="3"/>
    </row>
    <row r="2" s="2" customFormat="1" ht="29" customHeight="1" spans="1:5">
      <c r="A2" s="4" t="s">
        <v>1</v>
      </c>
      <c r="B2" s="5" t="s">
        <v>2</v>
      </c>
      <c r="C2" s="6" t="s">
        <v>3</v>
      </c>
      <c r="D2" s="7" t="s">
        <v>4</v>
      </c>
      <c r="E2" s="8" t="s">
        <v>5</v>
      </c>
    </row>
    <row r="3" s="2" customFormat="1" ht="84" customHeight="1" spans="1:5">
      <c r="A3" s="9" t="s">
        <v>6</v>
      </c>
      <c r="B3" s="10" t="s">
        <v>7</v>
      </c>
      <c r="C3" s="11" t="s">
        <v>8</v>
      </c>
      <c r="D3" s="7" t="s">
        <v>9</v>
      </c>
      <c r="E3" s="12" t="s">
        <v>10</v>
      </c>
    </row>
    <row r="4" s="2" customFormat="1" ht="185" customHeight="1" spans="1:5">
      <c r="A4" s="13" t="s">
        <v>11</v>
      </c>
      <c r="B4" s="14" t="s">
        <v>12</v>
      </c>
      <c r="C4" s="15" t="s">
        <v>13</v>
      </c>
      <c r="D4" s="16" t="s">
        <v>14</v>
      </c>
      <c r="E4" s="17" t="s">
        <v>15</v>
      </c>
    </row>
    <row r="5" s="2" customFormat="1" ht="133" customHeight="1" spans="1:5">
      <c r="A5" s="18" t="s">
        <v>16</v>
      </c>
      <c r="B5" s="19" t="s">
        <v>17</v>
      </c>
      <c r="C5" s="20" t="s">
        <v>18</v>
      </c>
      <c r="D5" s="21" t="s">
        <v>19</v>
      </c>
      <c r="E5" s="22" t="s">
        <v>20</v>
      </c>
    </row>
    <row r="6" s="2" customFormat="1" ht="221" customHeight="1" spans="1:5">
      <c r="A6" s="23" t="s">
        <v>21</v>
      </c>
      <c r="B6" s="23" t="s">
        <v>22</v>
      </c>
      <c r="C6" s="18" t="s">
        <v>23</v>
      </c>
      <c r="D6" s="6" t="s">
        <v>24</v>
      </c>
      <c r="E6" s="17" t="s">
        <v>25</v>
      </c>
    </row>
    <row r="7" s="2" customFormat="1" ht="111" customHeight="1" spans="1:5">
      <c r="A7" s="23" t="s">
        <v>26</v>
      </c>
      <c r="B7" s="23" t="s">
        <v>27</v>
      </c>
      <c r="C7" s="18" t="s">
        <v>28</v>
      </c>
      <c r="D7" s="6" t="s">
        <v>29</v>
      </c>
      <c r="E7" s="17" t="s">
        <v>30</v>
      </c>
    </row>
    <row r="8" s="2" customFormat="1" ht="61.5" spans="1:5">
      <c r="A8" s="23" t="s">
        <v>31</v>
      </c>
      <c r="B8" s="23" t="s">
        <v>32</v>
      </c>
      <c r="C8" s="18" t="s">
        <v>33</v>
      </c>
      <c r="D8" s="6" t="s">
        <v>34</v>
      </c>
      <c r="E8" s="17" t="s">
        <v>35</v>
      </c>
    </row>
    <row r="9" s="2" customFormat="1" ht="105" customHeight="1" spans="1:5">
      <c r="A9" s="23" t="s">
        <v>36</v>
      </c>
      <c r="B9" s="23" t="s">
        <v>37</v>
      </c>
      <c r="C9" s="18" t="s">
        <v>38</v>
      </c>
      <c r="D9" s="6" t="s">
        <v>39</v>
      </c>
      <c r="E9" s="17" t="s">
        <v>40</v>
      </c>
    </row>
    <row r="10" s="2" customFormat="1" ht="94" customHeight="1" spans="1:5">
      <c r="A10" s="23" t="s">
        <v>41</v>
      </c>
      <c r="B10" s="23" t="s">
        <v>42</v>
      </c>
      <c r="C10" s="18" t="s">
        <v>43</v>
      </c>
      <c r="D10" s="6" t="s">
        <v>44</v>
      </c>
      <c r="E10" s="17" t="s">
        <v>45</v>
      </c>
    </row>
    <row r="11" s="2" customFormat="1" ht="231" customHeight="1" spans="1:5">
      <c r="A11" s="23" t="s">
        <v>46</v>
      </c>
      <c r="B11" s="23" t="s">
        <v>47</v>
      </c>
      <c r="C11" s="18" t="s">
        <v>48</v>
      </c>
      <c r="D11" s="6" t="s">
        <v>49</v>
      </c>
      <c r="E11" s="17" t="s">
        <v>50</v>
      </c>
    </row>
    <row r="12" s="2" customFormat="1" ht="83" customHeight="1" spans="1:5">
      <c r="A12" s="23" t="s">
        <v>51</v>
      </c>
      <c r="B12" s="23" t="s">
        <v>52</v>
      </c>
      <c r="C12" s="18" t="s">
        <v>53</v>
      </c>
      <c r="D12" s="6" t="s">
        <v>54</v>
      </c>
      <c r="E12" s="17" t="s">
        <v>55</v>
      </c>
    </row>
    <row r="13" s="2" customFormat="1" ht="73" customHeight="1" spans="1:5">
      <c r="A13" s="23" t="s">
        <v>56</v>
      </c>
      <c r="B13" s="23" t="s">
        <v>57</v>
      </c>
      <c r="C13" s="18" t="s">
        <v>58</v>
      </c>
      <c r="D13" s="6" t="s">
        <v>59</v>
      </c>
      <c r="E13" s="17" t="s">
        <v>60</v>
      </c>
    </row>
    <row r="14" s="2" customFormat="1" ht="73" customHeight="1" spans="1:5">
      <c r="A14" s="23" t="s">
        <v>61</v>
      </c>
      <c r="B14" s="23" t="s">
        <v>62</v>
      </c>
      <c r="C14" s="18" t="s">
        <v>9</v>
      </c>
      <c r="D14" s="6" t="s">
        <v>63</v>
      </c>
      <c r="E14" s="17"/>
    </row>
    <row r="15" s="2" customFormat="1" ht="87" customHeight="1" spans="1:5">
      <c r="A15" s="23" t="s">
        <v>64</v>
      </c>
      <c r="B15" s="23" t="s">
        <v>65</v>
      </c>
      <c r="C15" s="18" t="s">
        <v>66</v>
      </c>
      <c r="D15" s="6" t="s">
        <v>9</v>
      </c>
      <c r="E15" s="17" t="s">
        <v>67</v>
      </c>
    </row>
    <row r="16" s="2" customFormat="1" ht="130" customHeight="1" spans="1:5">
      <c r="A16" s="23" t="s">
        <v>68</v>
      </c>
      <c r="B16" s="23" t="s">
        <v>69</v>
      </c>
      <c r="C16" s="18" t="s">
        <v>70</v>
      </c>
      <c r="D16" s="6" t="s">
        <v>71</v>
      </c>
      <c r="E16" s="17" t="s">
        <v>72</v>
      </c>
    </row>
    <row r="17" s="2" customFormat="1" ht="41.25" spans="1:5">
      <c r="A17" s="23" t="s">
        <v>73</v>
      </c>
      <c r="B17" s="23"/>
      <c r="C17" s="18" t="s">
        <v>48</v>
      </c>
      <c r="D17" s="6" t="s">
        <v>74</v>
      </c>
      <c r="E17" s="17"/>
    </row>
    <row r="18" s="2" customFormat="1" ht="101" customHeight="1" spans="1:5">
      <c r="A18" s="23" t="s">
        <v>75</v>
      </c>
      <c r="B18" s="23" t="s">
        <v>76</v>
      </c>
      <c r="C18" s="18" t="s">
        <v>77</v>
      </c>
      <c r="D18" s="6" t="s">
        <v>78</v>
      </c>
      <c r="E18" s="17" t="s">
        <v>79</v>
      </c>
    </row>
    <row r="19" s="2" customFormat="1" ht="41.25" spans="1:5">
      <c r="A19" s="23" t="s">
        <v>80</v>
      </c>
      <c r="B19" s="23" t="s">
        <v>81</v>
      </c>
      <c r="C19" s="18" t="s">
        <v>82</v>
      </c>
      <c r="D19" s="6"/>
      <c r="E19" s="17"/>
    </row>
    <row r="20" s="2" customFormat="1" ht="91" customHeight="1" spans="1:5">
      <c r="A20" s="23" t="s">
        <v>83</v>
      </c>
      <c r="B20" s="23" t="s">
        <v>84</v>
      </c>
      <c r="C20" s="18" t="s">
        <v>85</v>
      </c>
      <c r="D20" s="6" t="s">
        <v>86</v>
      </c>
      <c r="E20" s="17" t="s">
        <v>87</v>
      </c>
    </row>
    <row r="21" s="2" customFormat="1" ht="63" customHeight="1" spans="1:5">
      <c r="A21" s="23" t="s">
        <v>88</v>
      </c>
      <c r="B21" s="23"/>
      <c r="C21" s="18" t="s">
        <v>89</v>
      </c>
      <c r="D21" s="6" t="s">
        <v>90</v>
      </c>
      <c r="E21" s="17"/>
    </row>
    <row r="22" s="2" customFormat="1" ht="21" customHeight="1" spans="1:5">
      <c r="A22" s="23" t="s">
        <v>91</v>
      </c>
      <c r="B22" s="23"/>
      <c r="C22" s="18"/>
      <c r="D22" s="6"/>
      <c r="E22" s="17"/>
    </row>
    <row r="23" s="2" customFormat="1" ht="244" customHeight="1" spans="1:5">
      <c r="A23" s="23" t="s">
        <v>92</v>
      </c>
      <c r="B23" s="23" t="s">
        <v>93</v>
      </c>
      <c r="C23" s="18" t="s">
        <v>94</v>
      </c>
      <c r="D23" s="6" t="s">
        <v>9</v>
      </c>
      <c r="E23" s="17" t="s">
        <v>95</v>
      </c>
    </row>
    <row r="24" s="2" customFormat="1" ht="14.25" spans="1:2">
      <c r="A24" s="24"/>
      <c r="B24" s="24"/>
    </row>
  </sheetData>
  <mergeCells count="1">
    <mergeCell ref="A1:E1"/>
  </mergeCells>
  <hyperlinks>
    <hyperlink ref="B3" r:id="rId1" display="www.dealnews.com"/>
    <hyperlink ref="B4" r:id="rId2" display="www.slickdeals.net"/>
    <hyperlink ref="B5" r:id="rId3" display="www.dealmoon.com"/>
    <hyperlink ref="B6" r:id="rId4" display="www.techbargains.com"/>
    <hyperlink ref="B7" r:id="rId5" display="www.bensbargains.co,"/>
    <hyperlink ref="B8" r:id="rId6" display="www.1sale.com"/>
    <hyperlink ref="B9" r:id="rId7" display="www.cnet.com"/>
    <hyperlink ref="B10" r:id="rId8" display="www.freestufffinder.com"/>
    <hyperlink ref="B11" r:id="rId9" display="www.kinja.com"/>
    <hyperlink ref="B12" r:id="rId10" display="www.dansdeals.com"/>
    <hyperlink ref="B13" r:id="rId11" display="www.bradsdeals.com"/>
    <hyperlink ref="B14" r:id="rId12" display="www.9to5toys.com"/>
    <hyperlink ref="B15" r:id="rId13" display="www.retailmenot.com"/>
    <hyperlink ref="B16" r:id="rId14" display="www.wooot.com" tooltip="http://www.wooot.com"/>
    <hyperlink ref="B18" r:id="rId15" display="www.couponbird.com"/>
    <hyperlink ref="B19" r:id="rId16" display="www.thekrazycouponlady.com"/>
    <hyperlink ref="B20" r:id="rId17" display="www.hip2save.com"/>
    <hyperlink ref="B23" r:id="rId18" display="www.dealsplus.com" tooltip="http://www.dealsplus.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workbookViewId="0">
      <selection activeCell="E10" sqref="E10"/>
    </sheetView>
  </sheetViews>
  <sheetFormatPr defaultColWidth="9" defaultRowHeight="25" customHeight="1"/>
  <cols>
    <col min="1" max="1" width="15.875" customWidth="1"/>
    <col min="2" max="2" width="16.625" customWidth="1"/>
    <col min="12" max="12" width="9.375"/>
  </cols>
  <sheetData>
    <row r="1" customHeight="1" spans="1:13">
      <c r="A1" s="1" t="s">
        <v>96</v>
      </c>
      <c r="B1" t="s">
        <v>97</v>
      </c>
      <c r="M1" s="1" t="s">
        <v>98</v>
      </c>
    </row>
    <row r="2" customHeight="1" spans="1:13">
      <c r="A2" s="1" t="s">
        <v>99</v>
      </c>
      <c r="B2" s="1" t="s">
        <v>100</v>
      </c>
      <c r="M2" s="1" t="s">
        <v>101</v>
      </c>
    </row>
    <row r="3" customHeight="1" spans="1:3">
      <c r="A3" s="1" t="s">
        <v>102</v>
      </c>
      <c r="B3" s="1" t="s">
        <v>103</v>
      </c>
      <c r="C3" s="1" t="s">
        <v>104</v>
      </c>
    </row>
    <row r="4" customHeight="1" spans="2:3">
      <c r="B4" s="1" t="s">
        <v>105</v>
      </c>
      <c r="C4" s="1" t="s">
        <v>106</v>
      </c>
    </row>
    <row r="5" customHeight="1" spans="2:7">
      <c r="B5" t="s">
        <v>107</v>
      </c>
      <c r="C5" s="1" t="s">
        <v>108</v>
      </c>
      <c r="D5" s="1" t="s">
        <v>109</v>
      </c>
      <c r="E5" s="1" t="s">
        <v>110</v>
      </c>
      <c r="F5" s="1" t="s">
        <v>111</v>
      </c>
      <c r="G5" s="1" t="s">
        <v>112</v>
      </c>
    </row>
    <row r="6" customFormat="1" customHeight="1"/>
    <row r="7" customHeight="1" spans="1:3">
      <c r="A7" s="1" t="s">
        <v>113</v>
      </c>
      <c r="B7" s="1" t="s">
        <v>114</v>
      </c>
      <c r="C7" t="s">
        <v>115</v>
      </c>
    </row>
    <row r="8" customHeight="1" spans="1:2">
      <c r="A8" s="1" t="s">
        <v>116</v>
      </c>
      <c r="B8" s="1" t="s">
        <v>117</v>
      </c>
    </row>
    <row r="9" customFormat="1" customHeight="1"/>
    <row r="10" customHeight="1" spans="2:3">
      <c r="B10" s="1" t="s">
        <v>118</v>
      </c>
      <c r="C10" s="1" t="s">
        <v>119</v>
      </c>
    </row>
    <row r="11" customHeight="1" spans="1:16">
      <c r="A11" s="1" t="s">
        <v>120</v>
      </c>
      <c r="P11">
        <f>15*5+480</f>
        <v>555</v>
      </c>
    </row>
    <row r="12" customFormat="1" customHeight="1"/>
    <row r="13" customHeight="1" spans="1:2">
      <c r="A13" s="1" t="s">
        <v>121</v>
      </c>
      <c r="B13" s="1" t="s">
        <v>122</v>
      </c>
    </row>
    <row r="14" customHeight="1" spans="16:16">
      <c r="P14">
        <f>440+50+480+75</f>
        <v>1045</v>
      </c>
    </row>
    <row r="15" customFormat="1" customHeight="1"/>
    <row r="16" customFormat="1" customHeight="1"/>
    <row r="17" customHeight="1" spans="12:12">
      <c r="L17">
        <f>727.2+818.1*10+748.44*11</f>
        <v>17141.04</v>
      </c>
    </row>
    <row r="18" customHeight="1" spans="17:17">
      <c r="Q18">
        <f>15*6</f>
        <v>90</v>
      </c>
    </row>
    <row r="19" customFormat="1" customHeight="1"/>
    <row r="20" customHeight="1" spans="18:18">
      <c r="R20">
        <f>80+650+1000+90</f>
        <v>1820</v>
      </c>
    </row>
    <row r="21" customFormat="1" customHeight="1"/>
    <row r="22" customFormat="1" customHeight="1"/>
    <row r="23" customFormat="1" customHeight="1"/>
    <row r="24" customFormat="1" customHeight="1"/>
    <row r="25" customFormat="1" customHeight="1"/>
    <row r="26" customHeight="1" spans="15:15">
      <c r="O26">
        <f>242.4*22</f>
        <v>5332.8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John</cp:lastModifiedBy>
  <dcterms:created xsi:type="dcterms:W3CDTF">2019-07-22T09:38:00Z</dcterms:created>
  <dcterms:modified xsi:type="dcterms:W3CDTF">2022-12-12T09:13:10Z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