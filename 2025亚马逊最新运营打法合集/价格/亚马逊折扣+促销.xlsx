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3"/>
  </bookViews>
  <sheets>
    <sheet name="叠加规则" sheetId="1" r:id="rId1"/>
    <sheet name="价格计算" sheetId="2" r:id="rId2"/>
    <sheet name="会员日价格" sheetId="3" r:id="rId3"/>
    <sheet name="促销类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<sst xmlns="http://schemas.openxmlformats.org/spreadsheetml/2006/main" count="611" uniqueCount="219">
  <si>
    <t>亚马逊折扣使用规则</t>
  </si>
  <si>
    <t>规则</t>
  </si>
  <si>
    <t>费用</t>
  </si>
  <si>
    <t>Coupon（优惠券）</t>
  </si>
  <si>
    <t>买一赠一</t>
  </si>
  <si>
    <t>购买折扣
Percent off
折扣码：无（none）</t>
  </si>
  <si>
    <t>购买折扣
Percent off
折扣码：无限制（group）</t>
  </si>
  <si>
    <t>购买折扣
Fixed price
折扣码：无（none）</t>
  </si>
  <si>
    <t>购买折扣
Fixed price
折扣码：无限制（group）</t>
  </si>
  <si>
    <t>社交媒体促销代码</t>
  </si>
  <si>
    <t>Lightning Deal
（秒杀）</t>
  </si>
  <si>
    <t>Best Deal（秒杀）</t>
  </si>
  <si>
    <t>Outlet(奥特莱斯）</t>
  </si>
  <si>
    <t>Prime Discount（会员折扣)</t>
  </si>
  <si>
    <t>1.最低5%，最高80%
2.全新产品
3.专业卖家且卖家反馈评级至少为 3.5或者无
4.至少三星或者无星级
5.Coupon取消后半小时仍有效</t>
  </si>
  <si>
    <t>0.6美金/0.45英镑/0.5欧元（德法两站收取）
/60日元</t>
  </si>
  <si>
    <t>同一个Asin只能开一个</t>
  </si>
  <si>
    <t>叠加</t>
  </si>
  <si>
    <t>买一赠一（不限制使用）</t>
  </si>
  <si>
    <t>结算只享受主体折扣，赠品的折扣不影响最终价格。</t>
  </si>
  <si>
    <r>
      <rPr>
        <sz val="10"/>
        <rFont val="宋体"/>
        <charset val="134"/>
      </rPr>
      <t>免费。
创建促销时，需要指定是否要求买家输入优惠码。
如果要求买家输入优惠码，则折扣码选“择无限制-group”</t>
    </r>
    <r>
      <rPr>
        <b/>
        <sz val="10"/>
        <rFont val="宋体"/>
        <charset val="134"/>
      </rPr>
      <t xml:space="preserve">
</t>
    </r>
    <r>
      <rPr>
        <sz val="10"/>
        <rFont val="宋体"/>
        <charset val="134"/>
      </rPr>
      <t>如果促销不要求输入优惠码，则折扣码选“无-none”）
none可以无限重叠，比如两个none，三个none，一个none和一个group，都会叠加；group彼此之间只会取最大值，比如一个20%的group和30%的group，只取30%，但是一个none和一个group会叠加</t>
    </r>
  </si>
  <si>
    <t>百分比折扣；可用于AB两个产品捆绑优惠，也可用于A产品单独优惠，有无（none）”和“无限制（group）的区分</t>
  </si>
  <si>
    <t>不可叠加，取最优</t>
  </si>
  <si>
    <t>固定成交价；可用于AB两个产品捆绑优惠，也可用于A产品单独优惠，有无（none）”和“无限制（group）的区分</t>
  </si>
  <si>
    <r>
      <rPr>
        <sz val="10"/>
        <rFont val="宋体"/>
        <charset val="134"/>
      </rPr>
      <t>社交媒体促销代码为</t>
    </r>
    <r>
      <rPr>
        <sz val="10"/>
        <color rgb="FFFF0000"/>
        <rFont val="宋体"/>
        <charset val="134"/>
      </rPr>
      <t>无限制型（none）</t>
    </r>
    <r>
      <rPr>
        <sz val="10"/>
        <rFont val="宋体"/>
        <charset val="134"/>
      </rPr>
      <t>优惠码，可以分享给亚马逊影响者和联盟</t>
    </r>
  </si>
  <si>
    <t>Lightning Deal（秒杀）</t>
  </si>
  <si>
    <t>1.系统推荐
2.过去 30 天内最低成交价的 85 折
3.同一ASIN在 7 天内只能参与一次LD秒杀</t>
  </si>
  <si>
    <t>150美金（平日）</t>
  </si>
  <si>
    <t>-</t>
  </si>
  <si>
    <t>无法同时参加</t>
  </si>
  <si>
    <t>秒杀+会员折扣（会员折扣会自动关掉）</t>
  </si>
  <si>
    <t>Best Deal（7天）</t>
  </si>
  <si>
    <t>1.系统推荐
2.过去 30 天内最低成交价的 85 折
3.同一ASIN在 28 天内只能参与一次 7 天秒</t>
  </si>
  <si>
    <t>300美金（平日）</t>
  </si>
  <si>
    <t>系统推荐</t>
  </si>
  <si>
    <t>免费</t>
  </si>
  <si>
    <t>促销+会员折扣（会员折扣会自动关掉）</t>
  </si>
  <si>
    <t>1.FBA全新产品
2.至少三星或者无星级
3.现价的至少9折（必须低于参考价）</t>
  </si>
  <si>
    <t>秒杀+会员折扣
（会员折扣会自动关掉）</t>
  </si>
  <si>
    <t>促销+会员折扣
（会员折扣会自动关掉）</t>
  </si>
  <si>
    <t>计算规则</t>
  </si>
  <si>
    <t>1.最终售价=商品基准价-商品基准价*（1-总OFF）-总金额折扣
2.所有OFF为加算
3.LD、BD、Outlet都为同类秒杀活动，无法同时参加
4.Preferential Code无法叠加，如果有多个优先型优惠码，则将应用优惠度最大的促销，优惠度为折扣后的金额，不是单纯看折扣比。</t>
  </si>
  <si>
    <t>Coupon（优惠
券）</t>
  </si>
  <si>
    <t>购买折扣（None)</t>
  </si>
  <si>
    <t>购买折扣
（Group）</t>
  </si>
  <si>
    <t>社交媒体促销代
码</t>
  </si>
  <si>
    <t>Best Deal（秒
杀）</t>
  </si>
  <si>
    <t>Outlet(奥特莱
斯）</t>
  </si>
  <si>
    <t>最终售价=商品基准价*（1- CounponOFF%） 获得赠品</t>
  </si>
  <si>
    <t>最终售价=商品基准价*（1- CounponOFF%-无限制型OFF%）</t>
  </si>
  <si>
    <t>最终售价=商品基准价*（1- CounponOFF%-优先型OFF%）</t>
  </si>
  <si>
    <t>最终售价=商品基准价*（1- CounponOFF%- DealOFF%）</t>
  </si>
  <si>
    <t>最终售价=商品基准价*（1-CounponOFF%-PrimeOFF%）</t>
  </si>
  <si>
    <t>买A赠B和买A赠C两个活动，最终买A获得A.B.C三个产品。</t>
  </si>
  <si>
    <t>最终售价=商品基准价*（1-无限制型OFF%）
获得赠品</t>
  </si>
  <si>
    <t>最终售价=商品基准价*（1-优先型 OFF%）
获得赠品</t>
  </si>
  <si>
    <t>最终售价=商品基准价*（1- DealOFF%） 获得赠品</t>
  </si>
  <si>
    <t>最终售价=商品基准价*（1-PrimeOFF%）获得赠品</t>
  </si>
  <si>
    <t>最终售价=商品基准价*（1-无限制型OFF%-无限制型 OFF%）</t>
  </si>
  <si>
    <t>最终售价=商品基准价*（1-优先型型OFF%-无限制型 OFF%）</t>
  </si>
  <si>
    <t>最终售价=商品基准价*（1-无限制型%OFF-
DealOFF%）</t>
  </si>
  <si>
    <t>最终售价=商品基准价*（1-无限制型OFF%-PrimeOFF%）</t>
  </si>
  <si>
    <t>购买折扣（Group）</t>
  </si>
  <si>
    <t>最终售价=商品基准价*（1- CounponOFF%-优先型FF%）</t>
  </si>
  <si>
    <t>最终售价=商品基准价*（1-优先型
%OFF-DealOFF%）</t>
  </si>
  <si>
    <t>最终售价=商品基准价*（1-优先型OFF%-PrimeOFF%）</t>
  </si>
  <si>
    <t>不叠加</t>
  </si>
  <si>
    <t>叠加会触发禁止显示（商品将在Deal开始前2小时被禁止显示）</t>
  </si>
  <si>
    <t>最终售价=商品基准价*（1- CounponOFF%- PrimeOFF%）</t>
  </si>
  <si>
    <t>最终售价=商品基准价*（1-
PrimeOFF%）获得赠品</t>
  </si>
  <si>
    <t>最终售价=商品基准价*（1-优先型 OFF%-
PrimeOFF%）</t>
  </si>
  <si>
    <t>最终售价=商品基准价*（1-无限制型OFF%-
PrimeOFF%）</t>
  </si>
  <si>
    <t>叠加会触发禁止显示（商品将在 Deal开始前2小时被禁止显示）</t>
  </si>
  <si>
    <t>计算实例</t>
  </si>
  <si>
    <t>1.假设A产品售价为$100，B产品售价为$50.A产品参加30%的Best Deal,拥有5%Coupon,10%社媒码，11%购买折扣（Group）与13%购买折扣（None)；B产品参加10%会员折扣，5%Coupon， 10%社媒码，12%购买折扣（Group）与买B送C活动；C产品售价为$30，拥有50%Coupon.
（1）同时购买A和B，结算价格。 A：100-100*（30%+5%+10%+11%+13%）=31 B：50-50*（10%+5%+10%）=37.5
共计68.5，获得A，B，C三个产品
（同时购买，A和B的购买折扣（Group)不能叠加，取最高折扣）
（2）分开购买A和B
A：100-100*（30%+5%+10%+11%+13%）=31 B：50-50*（10%+5%+10%+12%）=31.5
共计62.5，获得A，B，C三个产品</t>
  </si>
  <si>
    <t>Coupon
（20%）</t>
  </si>
  <si>
    <t>购买折扣（None)
（20%）</t>
  </si>
  <si>
    <t>购买折扣
（Group）
（20%）</t>
  </si>
  <si>
    <t>社交媒体促销代码
（20%）</t>
  </si>
  <si>
    <t>Lightning Deal
（20%）</t>
  </si>
  <si>
    <t>Best Deal
（20%）</t>
  </si>
  <si>
    <t>Outlet（20%）</t>
  </si>
  <si>
    <t>Prime Discount（20%）</t>
  </si>
  <si>
    <t>Coupon（优惠券） 1.10%优惠券
2.$10优惠券</t>
  </si>
  <si>
    <t>1.100-
100*10%=90赠品
2.100-10=90
赠品</t>
  </si>
  <si>
    <t>1.100-100*
（10%+20%）=70 2.100-100*20%-
10=70</t>
  </si>
  <si>
    <t>1.100-100*（10%+20%）=70
2.100-100*20%-10=70</t>
  </si>
  <si>
    <t>100-100*20%=80
赠品</t>
  </si>
  <si>
    <t>100
两个赠品</t>
  </si>
  <si>
    <t>购买折扣（None) 10%</t>
  </si>
  <si>
    <t>100-100*
（10%+20%）=70</t>
  </si>
  <si>
    <t>100-100*10%=90
赠品</t>
  </si>
  <si>
    <t>100-100*（10%+20%）=70</t>
  </si>
  <si>
    <t>购买折扣（Group） 10%</t>
  </si>
  <si>
    <t>不可叠加，取最优20%
100-100*20%=80</t>
  </si>
  <si>
    <t>社交媒体促销代码 10%</t>
  </si>
  <si>
    <t>Lightning Deal（秒杀）
10%</t>
  </si>
  <si>
    <t>叠加会触发禁止显示（商品将在Deal开始前2小时被禁止
显示）</t>
  </si>
  <si>
    <t>Best Deal（秒杀）
10%</t>
  </si>
  <si>
    <t>Outlet(奥特莱斯）
10%</t>
  </si>
  <si>
    <t>Prime Discount（会员折扣)
1.10%折扣
2.$10折扣</t>
  </si>
  <si>
    <t>叠加会触发禁止显示（商品将在 Deal开始前2小时
被禁止显示）</t>
  </si>
  <si>
    <t>大促折扣促销使用技巧（会员日，黑五，网一）</t>
  </si>
  <si>
    <t>是否影响最低价</t>
  </si>
  <si>
    <t>类型</t>
  </si>
  <si>
    <t>要求</t>
  </si>
  <si>
    <t>会员折扣</t>
  </si>
  <si>
    <t>Coupon</t>
  </si>
  <si>
    <t>秒杀</t>
  </si>
  <si>
    <t>7天促销</t>
  </si>
  <si>
    <t>促销
（Promotion）</t>
  </si>
  <si>
    <t>大促技巧</t>
  </si>
  <si>
    <t>会员折扣（会员日/黑五网一）</t>
  </si>
  <si>
    <t>1. Prime 专享折扣必须符合所有常规资格条件。
2. 要提供 Prime 会员日 Prime 专享折扣，卖家的“卖家反馈评级”必须至少为 4 星。未收到任何买家反馈评级的卖家也可以提供 Prime 会员日 Prime 专享折扣。
3. 商品的星级评定必须至少为 3 星半或无评级。
4. 折扣必须至少比面向非会员的非促销价格（即“您的商品价格”或“销售价格”，以较低者为准）优惠 20%。
5. Prime 专享折扣价格必须比该 ASIN 在过去 30 天内的最低价格低 5%。过去 30 天内的最低价格是指，在此期间所有卖家针对该 ASIN 提供的全部特惠价格、促销价格和销售价格中的最低订单价格。
6. Prime 专享折扣价格必须低于参考价（即“市场价”或“原价格”）。
7. 一般报名截止时间为大促开始前两周</t>
  </si>
  <si>
    <t>Yes</t>
  </si>
  <si>
    <r>
      <rPr>
        <u/>
        <sz val="10"/>
        <rFont val="宋体"/>
        <charset val="134"/>
      </rPr>
      <t xml:space="preserve">大促期间未参加秒杀的产品报名会员折扣小技巧：
</t>
    </r>
    <r>
      <rPr>
        <b/>
        <u/>
        <sz val="10"/>
        <color rgb="FFC00000"/>
        <rFont val="宋体"/>
        <charset val="134"/>
      </rPr>
      <t>提价打折</t>
    </r>
    <r>
      <rPr>
        <sz val="10"/>
        <rFont val="宋体"/>
        <charset val="134"/>
      </rPr>
      <t>(大部分产品提价后打折对会员日销售并不会有太大影响)
1. 设置1个Pre-Prime Day的折扣，开始时间时间为大促开始前1-2天并在大促开始前两小时结束。假设此折扣设置为20%OFF,则大促期间折扣应为25%。同时在Pre-Prime开始前进行商品提价（提价幅度不应太高，即会员日</t>
    </r>
    <r>
      <rPr>
        <b/>
        <u/>
        <sz val="10"/>
        <rFont val="宋体"/>
        <charset val="134"/>
      </rPr>
      <t>实际售价（折后价）</t>
    </r>
    <r>
      <rPr>
        <sz val="10"/>
        <rFont val="宋体"/>
        <charset val="134"/>
      </rPr>
      <t>为平日售价的9折到95折）
2. 折扣显示最优化：由于Prime专享折扣价格必须低于参考价，则需要提前更改原本设置的划线价，即商品后台编辑页面中，设置“不含税价目表”（旧版为市场价）以及“您的价格”，高于大促提价后价格的20%-30%。设置“销售价格"(旧版为“优惠价”）为大促提价后价格。例子：商品A平日售价为19.99美金，大促前提价至 24.99美金，设置“不含税价目表”及“您的价格”为29.99；会员日折扣25%OFF，则前台显示如下：
Price：</t>
    </r>
    <r>
      <rPr>
        <strike/>
        <sz val="10"/>
        <rFont val="宋体"/>
        <charset val="134"/>
      </rPr>
      <t xml:space="preserve">$24.99
</t>
    </r>
    <r>
      <rPr>
        <sz val="10"/>
        <rFont val="宋体"/>
        <charset val="134"/>
      </rPr>
      <t>Prime Price:$18.74&amp;Free Return You Save: $ 6.25(25%)
Prime Day Deal（蓝标）Includes$ 6.25 Prime savings
3. 大促折扣在大促期间也可以即时更改或者添加删减，如果秒杀排期早可以再秒杀后
4. 会员专享折扣大促期间在前台有显眼的筛选按钮</t>
    </r>
  </si>
  <si>
    <t>Coupon（会员日/黑五网一）</t>
  </si>
  <si>
    <t>1.卖家反馈评级至少为3.5，没有收到任何反馈评级的卖家也有资格获得。
2.评论数量为0的产品符合条件；评论数量在1-4条的产品，卖家反馈评分至少为2.5星；评论数量在5条以上的产品，卖家反馈评分至少为3星；
3.配送方式可以是卖家自配送、亚马逊配送或卖家自配送Prime
4.商品状况必须为“新品”（卖家注意，以下产品没有资格拥有优惠券：成人产品、性健康产品、狩猎和钓鱼产品、枪支和枪支配件。）
5.报名截止时间由系统通知为准</t>
  </si>
  <si>
    <t>Coupon折扣为现价打折</t>
  </si>
  <si>
    <t>1. 优惠券显示位置在Prime会员日，优惠券会显示在Amazon Deals页面、特定的Amazon Vouchers登陆页面、产品详细信息页面和搜索结果页面中，并且会采用绿色的字体注明折扣百分比和优惠金额。</t>
  </si>
  <si>
    <t>秒杀（会员日/黑五网一/秋季促销）</t>
  </si>
  <si>
    <t>1. Prime秋季促销为新活动，仅有参与报名秒杀的产品有机会被选中
2. 秒杀及七天皆由系统推荐，在开报名后会不断更新。
3. 报名截止时间由系统通知为准</t>
  </si>
  <si>
    <t>7天促销（黑五网一活动周）</t>
  </si>
  <si>
    <t>正常报名7天秒杀期间会有间隔超 30天，所以互不影响</t>
  </si>
  <si>
    <t>站外投放Promotion Code小技巧</t>
  </si>
  <si>
    <t>1. 投放站外的Promotion Code之前可以参与品牌引流奖励计划，在广告页面的亚马逊引流洞察建立相关的Tag，亚马逊对此部分卖家主动站外引流有额外的奖励返现，通常是成交订单销售额的一定百分比，该笔奖励将用于扣除后面所产生交易的销售佣金，如果扣除后留有余额，将继续用于扣除之后的销售佣金，直至用完
。具体百分比请参考链接：https://sellercentral.amazon.com/help/hub/reference/GL9HPJ34VBFP76HX?ref=brb_help</t>
  </si>
  <si>
    <t>优惠券</t>
  </si>
  <si>
    <t>购买折扣</t>
  </si>
  <si>
    <t>社媒</t>
  </si>
  <si>
    <t>7天</t>
  </si>
  <si>
    <t>奥特莱斯</t>
  </si>
  <si>
    <t>会员专享折扣</t>
  </si>
  <si>
    <t>无-none-百分比</t>
  </si>
  <si>
    <t>无限制-group-百分比</t>
  </si>
  <si>
    <t>无-none-固定价</t>
  </si>
  <si>
    <t>无限制-group-固定价</t>
  </si>
  <si>
    <t>空白处是公式，不要动</t>
  </si>
  <si>
    <t>冲突</t>
  </si>
  <si>
    <t>售价</t>
  </si>
  <si>
    <t>需设折扣</t>
  </si>
  <si>
    <t>计划价格</t>
  </si>
  <si>
    <t>三种促销叠加计算</t>
  </si>
  <si>
    <r>
      <rPr>
        <sz val="12"/>
        <color rgb="FFFF0000"/>
        <rFont val="宋体"/>
        <charset val="134"/>
        <scheme val="minor"/>
      </rPr>
      <t>7天促销，是在秒杀价基础上打折
LD促销。是在原价基础上打折</t>
    </r>
    <r>
      <rPr>
        <sz val="12"/>
        <color theme="1"/>
        <rFont val="宋体"/>
        <charset val="134"/>
        <scheme val="minor"/>
      </rPr>
      <t xml:space="preserve">
会员折扣价，是在折后价基础上叠加</t>
    </r>
  </si>
  <si>
    <t>原价</t>
  </si>
  <si>
    <t>社媒/购买折扣</t>
  </si>
  <si>
    <t>折后价</t>
  </si>
  <si>
    <t>站外逆算</t>
  </si>
  <si>
    <t>前台售价</t>
  </si>
  <si>
    <t>coupon</t>
  </si>
  <si>
    <t>社媒/折扣/固定价</t>
  </si>
  <si>
    <t>站外价</t>
  </si>
  <si>
    <t>黄色区域是公式，不要动</t>
  </si>
  <si>
    <t>优惠码分两种，一种是“无（none）”和“无限制（group）”，一次性的不讨论。
none可以无限重叠，比如两个none，三个none，一个none和一个group，都会叠加；group彼此之间只会取最大值，比如一个20%的group和30%的group，只取30%，但是一个none和一个group会叠加</t>
  </si>
  <si>
    <t>产品A，x%折扣；产品B，y%折扣；买A的话B得到z%的promotion折扣</t>
  </si>
  <si>
    <t>产品</t>
  </si>
  <si>
    <t>折扣</t>
  </si>
  <si>
    <t>减免</t>
  </si>
  <si>
    <t>平分z%</t>
  </si>
  <si>
    <t>最终成交价</t>
  </si>
  <si>
    <t>A</t>
  </si>
  <si>
    <t>B</t>
  </si>
  <si>
    <t>加</t>
  </si>
  <si>
    <t>减</t>
  </si>
  <si>
    <t>乘</t>
  </si>
  <si>
    <t>除</t>
  </si>
  <si>
    <t>listing price</t>
  </si>
  <si>
    <t>sale price</t>
  </si>
  <si>
    <t>30天asin最低价</t>
  </si>
  <si>
    <t>提价10%</t>
  </si>
  <si>
    <t>满足条件的折扣价</t>
  </si>
  <si>
    <t>标价或原价</t>
  </si>
  <si>
    <t>小于标价或原价的15%</t>
  </si>
  <si>
    <t>固定20%会员折扣价</t>
  </si>
  <si>
    <t>是否小于标价的15%</t>
  </si>
  <si>
    <t>是否小于最低价</t>
  </si>
  <si>
    <t>应设折扣</t>
  </si>
  <si>
    <t>你的最低价</t>
  </si>
  <si>
    <t>固定20%</t>
  </si>
  <si>
    <t>需改价格</t>
  </si>
  <si>
    <r>
      <rPr>
        <sz val="12"/>
        <color rgb="FF000000"/>
        <rFont val="宋体"/>
        <charset val="204"/>
      </rPr>
      <t>本表是逆运算，</t>
    </r>
    <r>
      <rPr>
        <u/>
        <sz val="12"/>
        <color rgb="FF000000"/>
        <rFont val="宋体"/>
        <charset val="204"/>
      </rPr>
      <t>抬头没带颜色的是需要自己手动输入数值</t>
    </r>
    <r>
      <rPr>
        <sz val="12"/>
        <color rgb="FF000000"/>
        <rFont val="宋体"/>
        <charset val="204"/>
      </rPr>
      <t>，只针对会员日+黑五网一的会员专享折扣，日常的会员专享折扣不涉及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000000"/>
        <rFont val="宋体"/>
        <charset val="204"/>
      </rPr>
      <t>注意：1)会员日</t>
    </r>
    <r>
      <rPr>
        <sz val="12"/>
        <color rgb="FF000000"/>
        <rFont val="Times New Roman"/>
        <charset val="204"/>
      </rPr>
      <t>+</t>
    </r>
    <r>
      <rPr>
        <sz val="12"/>
        <color rgb="FF000000"/>
        <rFont val="宋体"/>
        <charset val="204"/>
      </rPr>
      <t>黑五网一的会员折扣必须是</t>
    </r>
    <r>
      <rPr>
        <sz val="12"/>
        <color rgb="FFFF0000"/>
        <rFont val="Times New Roman"/>
        <charset val="204"/>
      </rPr>
      <t>20%</t>
    </r>
    <r>
      <rPr>
        <sz val="12"/>
        <color rgb="FF000000"/>
        <rFont val="宋体"/>
        <charset val="204"/>
      </rPr>
      <t>，如果链接目前的价格</t>
    </r>
    <r>
      <rPr>
        <sz val="12"/>
        <color rgb="FF000000"/>
        <rFont val="Times New Roman"/>
        <charset val="204"/>
      </rPr>
      <t>*20%</t>
    </r>
    <r>
      <rPr>
        <sz val="12"/>
        <color rgb="FF000000"/>
        <rFont val="宋体"/>
        <charset val="204"/>
      </rPr>
      <t>无法接受，参考</t>
    </r>
    <r>
      <rPr>
        <sz val="12"/>
        <color rgb="FF000000"/>
        <rFont val="Times New Roman"/>
        <charset val="204"/>
      </rPr>
      <t>“</t>
    </r>
    <r>
      <rPr>
        <sz val="12"/>
        <color rgb="FF000000"/>
        <rFont val="宋体"/>
        <charset val="204"/>
      </rPr>
      <t>需改价格</t>
    </r>
    <r>
      <rPr>
        <sz val="12"/>
        <color rgb="FF000000"/>
        <rFont val="Times New Roman"/>
        <charset val="204"/>
      </rPr>
      <t>”</t>
    </r>
    <r>
      <rPr>
        <sz val="12"/>
        <color rgb="FF000000"/>
        <rFont val="宋体"/>
        <charset val="204"/>
      </rPr>
      <t>的数值，把链接售价提升到这个数值或之上；2)</t>
    </r>
    <r>
      <rPr>
        <u/>
        <sz val="12"/>
        <color rgb="FF000000"/>
        <rFont val="宋体"/>
        <charset val="204"/>
      </rPr>
      <t>折扣价必须低于参考价格（即标价或原价）低 15%；</t>
    </r>
    <r>
      <rPr>
        <sz val="12"/>
        <color rgb="FF000000"/>
        <rFont val="宋体"/>
        <charset val="204"/>
      </rPr>
      <t>3）折扣价必须低于最低价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链接售价</t>
    </r>
    <r>
      <rPr>
        <sz val="12"/>
        <color rgb="FF000000"/>
        <rFont val="宋体"/>
        <charset val="204"/>
      </rPr>
      <t>：即当前链接的标价，注意，当链接处于秒杀或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天是，会员折扣自动暂停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Times New Roman"/>
        <charset val="204"/>
      </rPr>
      <t xml:space="preserve">
30</t>
    </r>
    <r>
      <rPr>
        <sz val="12"/>
        <color rgb="FFFF0000"/>
        <rFont val="宋体"/>
        <charset val="204"/>
      </rPr>
      <t>天</t>
    </r>
    <r>
      <rPr>
        <sz val="12"/>
        <color rgb="FFFF0000"/>
        <rFont val="Times New Roman"/>
        <charset val="204"/>
      </rPr>
      <t>asin</t>
    </r>
    <r>
      <rPr>
        <sz val="12"/>
        <color rgb="FFFF0000"/>
        <rFont val="宋体"/>
        <charset val="204"/>
      </rPr>
      <t>最低价</t>
    </r>
    <r>
      <rPr>
        <sz val="12"/>
        <color rgb="FF000000"/>
        <rFont val="宋体"/>
        <charset val="204"/>
      </rPr>
      <t>：这个价格需要自己平常注意记录，最近</t>
    </r>
    <r>
      <rPr>
        <sz val="12"/>
        <color rgb="FF000000"/>
        <rFont val="Times New Roman"/>
        <charset val="204"/>
      </rPr>
      <t>30</t>
    </r>
    <r>
      <rPr>
        <sz val="12"/>
        <color rgb="FF000000"/>
        <rFont val="宋体"/>
        <charset val="204"/>
      </rPr>
      <t>天内的秒杀价，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天价和普通会员折扣价都会影响，取其中的最小值。比如，秒杀价，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天价和普通会员折扣价分别是</t>
    </r>
    <r>
      <rPr>
        <sz val="12"/>
        <color rgb="FF000000"/>
        <rFont val="Times New Roman"/>
        <charset val="204"/>
      </rPr>
      <t>12.99</t>
    </r>
    <r>
      <rPr>
        <sz val="12"/>
        <color rgb="FF000000"/>
        <rFont val="宋体"/>
        <charset val="204"/>
      </rPr>
      <t>，</t>
    </r>
    <r>
      <rPr>
        <sz val="12"/>
        <color rgb="FF000000"/>
        <rFont val="Times New Roman"/>
        <charset val="204"/>
      </rPr>
      <t>11.04</t>
    </r>
    <r>
      <rPr>
        <sz val="12"/>
        <color rgb="FF000000"/>
        <rFont val="宋体"/>
        <charset val="204"/>
      </rPr>
      <t>，</t>
    </r>
    <r>
      <rPr>
        <sz val="12"/>
        <color rgb="FF000000"/>
        <rFont val="Times New Roman"/>
        <charset val="204"/>
      </rPr>
      <t>11.99</t>
    </r>
    <r>
      <rPr>
        <sz val="12"/>
        <color rgb="FF000000"/>
        <rFont val="宋体"/>
        <charset val="204"/>
      </rPr>
      <t>，则，最低价是</t>
    </r>
    <r>
      <rPr>
        <sz val="12"/>
        <color rgb="FF000000"/>
        <rFont val="Times New Roman"/>
        <charset val="204"/>
      </rPr>
      <t>11.04</t>
    </r>
    <r>
      <rPr>
        <sz val="12"/>
        <color rgb="FF000000"/>
        <rFont val="宋体"/>
        <charset val="204"/>
      </rPr>
      <t>。这个最低价，不受平常使用优惠券或者折扣码的影响！！！，使用了优惠券或者折扣码之后的成交价不计算在内。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小于最低价的10%</t>
    </r>
    <r>
      <rPr>
        <sz val="12"/>
        <color rgb="FF000000"/>
        <rFont val="宋体"/>
        <charset val="204"/>
      </rPr>
      <t>：Prime 独家折扣价格必须比参考价格（即标价或原价）低 10%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应设折扣</t>
    </r>
    <r>
      <rPr>
        <sz val="12"/>
        <color rgb="FF000000"/>
        <rFont val="宋体"/>
        <charset val="204"/>
      </rPr>
      <t>：按照目前的售价，要想参加活动，你需要设置的最低折扣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您的最低价格</t>
    </r>
    <r>
      <rPr>
        <sz val="12"/>
        <color rgb="FF000000"/>
        <rFont val="宋体"/>
        <charset val="204"/>
      </rPr>
      <t>：这个价格，是你给自己设置的一个阈值！当折扣价低于这个数值时，折扣就会自动停止，目的在于防止卖家更改价格时不小心造成负利润出单</t>
    </r>
  </si>
  <si>
    <t>项目</t>
  </si>
  <si>
    <t>重点</t>
  </si>
  <si>
    <t>举例</t>
  </si>
  <si>
    <t>说明</t>
  </si>
  <si>
    <t>备注</t>
  </si>
  <si>
    <t>买家所购商品</t>
  </si>
  <si>
    <t>最低金额</t>
  </si>
  <si>
    <t>这种促销是典型的满金额减折扣，假设买家购买的商品在你划分的分类范围之内，且订单金额达到20美金，那么就会这对这份订单里的消费金额享受5%的折扣</t>
  </si>
  <si>
    <t>满金额打折</t>
  </si>
  <si>
    <r>
      <rPr>
        <sz val="11"/>
        <color rgb="FFFF0000"/>
        <rFont val="宋体"/>
        <charset val="134"/>
        <scheme val="minor"/>
      </rPr>
      <t>买家所购商品</t>
    </r>
    <r>
      <rPr>
        <sz val="11"/>
        <color theme="1"/>
        <rFont val="宋体"/>
        <charset val="134"/>
        <scheme val="minor"/>
      </rPr>
      <t>：这个值系统划分了三个门槛，分别是“最低金额"，"此商品的最低购买数量"和"每购买商品（数量）"。
1.最低金额很好理解，当买家的消费金额满足了你设置的最低消费水平才可以享受优惠。
2.此商品的最低购买数量，这个概念是一个起订数量，和最低金额类似，当买家购买的商品数量达到你设置的门槛，才可以享受优惠，并且，</t>
    </r>
    <r>
      <rPr>
        <u/>
        <sz val="11"/>
        <color theme="1"/>
        <rFont val="宋体"/>
        <charset val="134"/>
        <scheme val="minor"/>
      </rPr>
      <t>这个门槛带来的优惠，没有限制</t>
    </r>
    <r>
      <rPr>
        <sz val="11"/>
        <color theme="1"/>
        <rFont val="宋体"/>
        <charset val="134"/>
        <scheme val="minor"/>
      </rPr>
      <t>。比如说，当买家购买了3个商品，那么，这3个商品都可以享受优惠。
3.每购买商品（数量）也是类似的门槛，但是，这个最大的不同在于，</t>
    </r>
    <r>
      <rPr>
        <u/>
        <sz val="11"/>
        <color theme="1"/>
        <rFont val="宋体"/>
        <charset val="134"/>
        <scheme val="minor"/>
      </rPr>
      <t>它带来的优惠数量有限制</t>
    </r>
    <r>
      <rPr>
        <sz val="11"/>
        <color theme="1"/>
        <rFont val="宋体"/>
        <charset val="134"/>
        <scheme val="minor"/>
      </rPr>
      <t xml:space="preserve">，比如说，当买家购买了3个商品，如果你限定了数字1，那么，只有1件商品可以打折，其他两件商品原价购买。
</t>
    </r>
    <r>
      <rPr>
        <sz val="11"/>
        <color rgb="FFFF0000"/>
        <rFont val="宋体"/>
        <charset val="134"/>
        <scheme val="minor"/>
      </rPr>
      <t>须购买商品</t>
    </r>
    <r>
      <rPr>
        <sz val="11"/>
        <color theme="1"/>
        <rFont val="宋体"/>
        <charset val="134"/>
        <scheme val="minor"/>
      </rPr>
      <t xml:space="preserve">：这是一个范围划分，比如店铺里有服装，玩具，家电三种品类的东西，你只想对玩具产品做促销，那就把所有玩具的asin归纳到一个集合里，然后勾选这个集合（即创建新的商品列表，选择asin列表）
</t>
    </r>
    <r>
      <rPr>
        <sz val="11"/>
        <color rgb="FFFF0000"/>
        <rFont val="宋体"/>
        <charset val="134"/>
        <scheme val="minor"/>
      </rPr>
      <t>适用范围</t>
    </r>
    <r>
      <rPr>
        <sz val="11"/>
        <color theme="1"/>
        <rFont val="宋体"/>
        <charset val="134"/>
        <scheme val="minor"/>
      </rPr>
      <t>：这个范围是指，你想让哪些产品可以获得优惠，和前面的须购买商品是两个不同的概念，前者是指定购买的商品合集，后者是指定享受优惠的商品合集。</t>
    </r>
    <r>
      <rPr>
        <u/>
        <sz val="11"/>
        <color theme="1"/>
        <rFont val="宋体"/>
        <charset val="134"/>
        <scheme val="minor"/>
      </rPr>
      <t>两者搭配使用可以创建捆绑促销</t>
    </r>
    <r>
      <rPr>
        <sz val="11"/>
        <color theme="1"/>
        <rFont val="宋体"/>
        <charset val="134"/>
        <scheme val="minor"/>
      </rPr>
      <t xml:space="preserve">
例1：须购买商品你选择了玩具合集，适用范围你选择玩具合集，那么就是针对这堆玩具的促销
例2：须购买商品你选择了手机壳合集，适用范围你选择额外购买的商品，并且输入了某个耳机的ASIN，那么，买家需要同时购买手机壳+耳机，耳机才能打折，手机壳不参与打折。</t>
    </r>
  </si>
  <si>
    <t>须购买商品</t>
  </si>
  <si>
    <t>分类自己选</t>
  </si>
  <si>
    <t>买家获得</t>
  </si>
  <si>
    <t>减免折扣</t>
  </si>
  <si>
    <t>适用范围</t>
  </si>
  <si>
    <t>促销层级</t>
  </si>
  <si>
    <t>购买金额满2可享受5%折扣（可添加层级促销）</t>
  </si>
  <si>
    <t>这种促销是满金额对指定商品减折扣，假设买家消费金额满20美金，且这20美金的消费是归属于你划分的分类，这时候，买家只需要再购买一个你指定的产品，针对这个产品的价格，可以享受指定折扣。比如指定商品价格为5$,则享受的折扣为5*5%，最终成交价：20+5*95%=24.75</t>
  </si>
  <si>
    <t>满金额对指定商品打折</t>
  </si>
  <si>
    <t>额外购买的商品</t>
  </si>
  <si>
    <t>输入ASIN</t>
  </si>
  <si>
    <t>此商品的最低购买数量</t>
  </si>
  <si>
    <t>这种促销是典型的满件数打折，假设买家买了一件衣服10美金，一双鞋15美金，这两件商品都归属于你划分的分类，那么减免折扣就是10*5%+15*5%=1.25。层级促销可以随便设置，比如，设定买2件享受5%，2件10%，3件15%，买的越多越优惠。</t>
  </si>
  <si>
    <t>满件数打折</t>
  </si>
  <si>
    <t>购买件数满2可享受5%折扣（可添加层级促销）</t>
  </si>
  <si>
    <r>
      <rPr>
        <sz val="11"/>
        <color theme="1"/>
        <rFont val="宋体"/>
        <charset val="134"/>
        <scheme val="minor"/>
      </rPr>
      <t>这种促销是</t>
    </r>
    <r>
      <rPr>
        <sz val="11"/>
        <color rgb="FFFFFF00"/>
        <rFont val="宋体"/>
        <charset val="134"/>
        <scheme val="minor"/>
      </rPr>
      <t>捆绑销售</t>
    </r>
    <r>
      <rPr>
        <sz val="11"/>
        <color theme="1"/>
        <rFont val="宋体"/>
        <charset val="134"/>
        <scheme val="minor"/>
      </rPr>
      <t>，假设买家购买了你设置必须购买的手机壳，同时，他又额外购买了耳机，那么买家在结算耳机的时候就可以享受你设置的折扣（手机壳不打折）.比如，买家下单了手机壳1个10美金，耳机2个，每个20美金，那么，结算为10+20*0.9*2=46元</t>
    </r>
  </si>
  <si>
    <t>满件数对指定商品打折</t>
  </si>
  <si>
    <t>每购买商品（数量）</t>
  </si>
  <si>
    <t>这种促销和第三种促销的区别在于可以设置减免件数。假设顾客购买了2件衣服，2双鞋，第三种的打折直接是10*0.9*2+15*0.9*2=45 而这种促销如果在“买家优惠的适用商品数量”中填写了1，此时，系统只会针对价高的打折，即只对鞋子打折，并且只有一双鞋可以参与优惠。即：10*2+15+15*0.9=48.5。需要注意的是，在结算时，减免的折扣会平摊，所以你会发现在结算页面显示的是衣服减了0.375，鞋子也减了0.375。此外，减免折扣平摊只是理论值，你不会看到精确的0.375，但是两个加起来的减免金额约等于0.75。</t>
  </si>
  <si>
    <t>满件数，只有其中的几个打折</t>
  </si>
  <si>
    <t>买家优惠的适用商品数量</t>
  </si>
  <si>
    <t>数字自己填</t>
  </si>
  <si>
    <t>这种促销和第四种促销的区别在于可以设置减免件数。假设顾客购买了1个手机壳，3副耳机，第四种的打折直接是20X0.9X3=54 而这种促销如果在“买家优惠的适用商品数量”中填写了1，那么打折数量只有1副耳机，20*2+20*0.9=58</t>
  </si>
  <si>
    <t>满件数对指定商品的固定数量打折</t>
  </si>
  <si>
    <t>最低金额（$）</t>
  </si>
  <si>
    <t>当顾客在店里消费了大于等于20美金，就可以免费获得1件你指定的商品</t>
  </si>
  <si>
    <t>赠品</t>
  </si>
  <si>
    <t>当顾客在店里买了2件或2件以上的商品时，可以免费获得其中的一件商品（免费的还不清楚是价高还是价低的）</t>
  </si>
  <si>
    <t>当顾客在店里买了2件或2件以上的商品时，可以免费获得N个你指定的商品（建议指定耳环等低价的商品）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</si>
</sst>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;[Red]0"/>
    <numFmt numFmtId="178" formatCode="0.00;[Red]0.00"/>
  </numFmts>
  <fonts count="46">
    <font>
      <sz val="10"/>
      <color rgb="FF000000"/>
      <name val="Times New Roman"/>
      <charset val="20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宋体"/>
      <charset val="204"/>
    </font>
    <font>
      <sz val="1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  <font>
      <sz val="11"/>
      <color rgb="FFFFFF00"/>
      <name val="宋体"/>
      <charset val="134"/>
      <scheme val="minor"/>
    </font>
    <font>
      <u/>
      <sz val="12"/>
      <color rgb="FF000000"/>
      <name val="宋体"/>
      <charset val="204"/>
    </font>
    <font>
      <sz val="12"/>
      <color rgb="FF000000"/>
      <name val="Times New Roman"/>
      <charset val="204"/>
    </font>
    <font>
      <sz val="12"/>
      <color rgb="FFFF0000"/>
      <name val="Times New Roman"/>
      <charset val="204"/>
    </font>
    <font>
      <sz val="12"/>
      <color rgb="FFFF0000"/>
      <name val="宋体"/>
      <charset val="204"/>
    </font>
    <font>
      <sz val="10"/>
      <color rgb="FFFF0000"/>
      <name val="宋体"/>
      <charset val="134"/>
    </font>
    <font>
      <b/>
      <u/>
      <sz val="10"/>
      <color rgb="FFC00000"/>
      <name val="宋体"/>
      <charset val="134"/>
    </font>
    <font>
      <b/>
      <u/>
      <sz val="10"/>
      <name val="宋体"/>
      <charset val="134"/>
    </font>
    <font>
      <strike/>
      <sz val="1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395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9" borderId="2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26" applyNumberFormat="0" applyAlignment="0" applyProtection="0">
      <alignment vertical="center"/>
    </xf>
    <xf numFmtId="0" fontId="26" fillId="21" borderId="27" applyNumberFormat="0" applyAlignment="0" applyProtection="0">
      <alignment vertical="center"/>
    </xf>
    <xf numFmtId="0" fontId="27" fillId="21" borderId="26" applyNumberFormat="0" applyAlignment="0" applyProtection="0">
      <alignment vertical="center"/>
    </xf>
    <xf numFmtId="0" fontId="28" fillId="22" borderId="28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</cellStyleXfs>
  <cellXfs count="174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176" fontId="2" fillId="6" borderId="0" xfId="0" applyNumberFormat="1" applyFont="1" applyFill="1" applyAlignment="1">
      <alignment horizontal="center" vertical="center"/>
    </xf>
    <xf numFmtId="10" fontId="2" fillId="5" borderId="0" xfId="3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26" fontId="7" fillId="6" borderId="1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26" fontId="8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vertical="center"/>
    </xf>
    <xf numFmtId="176" fontId="8" fillId="0" borderId="1" xfId="0" applyNumberFormat="1" applyFont="1" applyFill="1" applyBorder="1" applyAlignment="1" applyProtection="1">
      <alignment vertical="center"/>
    </xf>
    <xf numFmtId="9" fontId="8" fillId="9" borderId="1" xfId="3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9" fontId="5" fillId="0" borderId="1" xfId="3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9" fontId="7" fillId="6" borderId="1" xfId="3" applyNumberFormat="1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 wrapText="1"/>
    </xf>
    <xf numFmtId="9" fontId="7" fillId="0" borderId="1" xfId="3" applyNumberFormat="1" applyFont="1" applyFill="1" applyBorder="1" applyAlignment="1">
      <alignment horizontal="center" vertical="center"/>
    </xf>
    <xf numFmtId="9" fontId="7" fillId="0" borderId="1" xfId="3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horizontal="left" vertical="center" wrapText="1"/>
    </xf>
    <xf numFmtId="176" fontId="9" fillId="0" borderId="0" xfId="0" applyNumberFormat="1" applyFont="1" applyFill="1" applyAlignment="1">
      <alignment horizontal="center" vertical="center"/>
    </xf>
    <xf numFmtId="176" fontId="5" fillId="14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vertical="center"/>
    </xf>
    <xf numFmtId="9" fontId="5" fillId="14" borderId="1" xfId="3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13" fillId="15" borderId="8" xfId="0" applyFont="1" applyFill="1" applyBorder="1" applyAlignment="1">
      <alignment horizontal="center" vertical="center" wrapText="1"/>
    </xf>
    <xf numFmtId="0" fontId="14" fillId="15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top" wrapText="1"/>
    </xf>
    <xf numFmtId="0" fontId="15" fillId="17" borderId="9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top" wrapText="1"/>
    </xf>
    <xf numFmtId="0" fontId="13" fillId="15" borderId="13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center" vertical="top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 indent="1"/>
    </xf>
    <xf numFmtId="0" fontId="0" fillId="0" borderId="10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top" wrapText="1"/>
    </xf>
    <xf numFmtId="0" fontId="14" fillId="0" borderId="18" xfId="0" applyFont="1" applyFill="1" applyBorder="1" applyAlignment="1">
      <alignment horizontal="center" vertical="top" wrapText="1"/>
    </xf>
    <xf numFmtId="0" fontId="14" fillId="0" borderId="19" xfId="0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wrapText="1"/>
    </xf>
    <xf numFmtId="0" fontId="15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top" wrapText="1"/>
    </xf>
    <xf numFmtId="0" fontId="0" fillId="0" borderId="21" xfId="0" applyFont="1" applyFill="1" applyBorder="1" applyAlignment="1">
      <alignment horizontal="left" vertical="top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3" fillId="15" borderId="20" xfId="0" applyFont="1" applyFill="1" applyBorder="1" applyAlignment="1">
      <alignment horizontal="center" vertical="top" wrapText="1"/>
    </xf>
    <xf numFmtId="0" fontId="14" fillId="15" borderId="13" xfId="0" applyFont="1" applyFill="1" applyBorder="1" applyAlignment="1">
      <alignment horizontal="center" vertical="top" wrapText="1"/>
    </xf>
    <xf numFmtId="0" fontId="0" fillId="0" borderId="13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 indent="2"/>
    </xf>
    <xf numFmtId="0" fontId="15" fillId="17" borderId="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top" wrapText="1" indent="3"/>
    </xf>
    <xf numFmtId="0" fontId="15" fillId="17" borderId="9" xfId="0" applyFont="1" applyFill="1" applyBorder="1" applyAlignment="1">
      <alignment horizontal="left" vertical="top" wrapText="1"/>
    </xf>
    <xf numFmtId="0" fontId="14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center" vertical="top" wrapText="1"/>
    </xf>
    <xf numFmtId="0" fontId="16" fillId="0" borderId="20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left" vertical="center" wrapText="1"/>
    </xf>
    <xf numFmtId="0" fontId="15" fillId="0" borderId="21" xfId="0" applyFont="1" applyFill="1" applyBorder="1" applyAlignment="1">
      <alignment horizontal="left" vertical="center" wrapText="1"/>
    </xf>
    <xf numFmtId="0" fontId="0" fillId="18" borderId="14" xfId="0" applyFont="1" applyFill="1" applyBorder="1" applyAlignment="1">
      <alignment horizontal="left" vertical="top" wrapText="1"/>
    </xf>
    <xf numFmtId="0" fontId="0" fillId="18" borderId="22" xfId="0" applyFont="1" applyFill="1" applyBorder="1" applyAlignment="1">
      <alignment horizontal="left" vertical="top" wrapText="1"/>
    </xf>
    <xf numFmtId="0" fontId="0" fillId="18" borderId="15" xfId="0" applyFont="1" applyFill="1" applyBorder="1" applyAlignment="1">
      <alignment horizontal="left" vertical="top" wrapText="1"/>
    </xf>
    <xf numFmtId="0" fontId="0" fillId="18" borderId="18" xfId="0" applyFont="1" applyFill="1" applyBorder="1" applyAlignment="1">
      <alignment horizontal="left" vertical="top" wrapText="1"/>
    </xf>
    <xf numFmtId="0" fontId="0" fillId="18" borderId="8" xfId="0" applyFont="1" applyFill="1" applyBorder="1" applyAlignment="1">
      <alignment horizontal="left" vertical="top" wrapText="1"/>
    </xf>
    <xf numFmtId="0" fontId="0" fillId="18" borderId="19" xfId="0" applyFont="1" applyFill="1" applyBorder="1" applyAlignment="1">
      <alignment horizontal="left" vertical="top" wrapText="1"/>
    </xf>
    <xf numFmtId="0" fontId="14" fillId="15" borderId="21" xfId="0" applyFont="1" applyFill="1" applyBorder="1" applyAlignment="1">
      <alignment horizontal="center" vertical="top" wrapText="1"/>
    </xf>
    <xf numFmtId="0" fontId="0" fillId="0" borderId="2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8890</xdr:colOff>
      <xdr:row>15</xdr:row>
      <xdr:rowOff>99695</xdr:rowOff>
    </xdr:from>
    <xdr:to>
      <xdr:col>18</xdr:col>
      <xdr:colOff>20955</xdr:colOff>
      <xdr:row>20</xdr:row>
      <xdr:rowOff>281940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72240" y="3896995"/>
          <a:ext cx="5384165" cy="1693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opLeftCell="A22" workbookViewId="0">
      <selection activeCell="N27" sqref="N27"/>
    </sheetView>
  </sheetViews>
  <sheetFormatPr defaultColWidth="9" defaultRowHeight="36" customHeight="1"/>
  <cols>
    <col min="1" max="1" width="27.7222222222222" style="110" customWidth="1"/>
    <col min="2" max="2" width="45.1444444444444" style="110" customWidth="1"/>
    <col min="3" max="3" width="30.3333333333333" style="110" customWidth="1"/>
    <col min="4" max="14" width="17.3333333333333" style="110" customWidth="1"/>
    <col min="15" max="16384" width="9" style="110"/>
  </cols>
  <sheetData>
    <row r="1" customHeight="1" spans="1:14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ht="53" customHeight="1" spans="1:14">
      <c r="A2" s="113"/>
      <c r="B2" s="114" t="s">
        <v>1</v>
      </c>
      <c r="C2" s="114" t="s">
        <v>2</v>
      </c>
      <c r="D2" s="115" t="s">
        <v>3</v>
      </c>
      <c r="E2" s="116" t="s">
        <v>4</v>
      </c>
      <c r="F2" s="116" t="s">
        <v>5</v>
      </c>
      <c r="G2" s="116" t="s">
        <v>6</v>
      </c>
      <c r="H2" s="116" t="s">
        <v>7</v>
      </c>
      <c r="I2" s="116" t="s">
        <v>8</v>
      </c>
      <c r="J2" s="115" t="s">
        <v>9</v>
      </c>
      <c r="K2" s="116" t="s">
        <v>10</v>
      </c>
      <c r="L2" s="115" t="s">
        <v>11</v>
      </c>
      <c r="M2" s="115" t="s">
        <v>12</v>
      </c>
      <c r="N2" s="116" t="s">
        <v>13</v>
      </c>
    </row>
    <row r="3" ht="41" customHeight="1" spans="1:14">
      <c r="A3" s="116" t="s">
        <v>3</v>
      </c>
      <c r="B3" s="117" t="s">
        <v>14</v>
      </c>
      <c r="C3" s="116" t="s">
        <v>15</v>
      </c>
      <c r="D3" s="116" t="s">
        <v>16</v>
      </c>
      <c r="E3" s="116" t="s">
        <v>17</v>
      </c>
      <c r="F3" s="116" t="s">
        <v>17</v>
      </c>
      <c r="G3" s="116" t="s">
        <v>17</v>
      </c>
      <c r="H3" s="116" t="s">
        <v>17</v>
      </c>
      <c r="I3" s="116" t="s">
        <v>17</v>
      </c>
      <c r="J3" s="116" t="s">
        <v>17</v>
      </c>
      <c r="K3" s="116" t="s">
        <v>17</v>
      </c>
      <c r="L3" s="116" t="s">
        <v>17</v>
      </c>
      <c r="M3" s="116" t="s">
        <v>17</v>
      </c>
      <c r="N3" s="116" t="s">
        <v>17</v>
      </c>
    </row>
    <row r="4" ht="41" customHeight="1" spans="1:14">
      <c r="A4" s="116" t="s">
        <v>18</v>
      </c>
      <c r="B4" s="117" t="s">
        <v>19</v>
      </c>
      <c r="C4" s="118" t="s">
        <v>20</v>
      </c>
      <c r="D4" s="116" t="s">
        <v>17</v>
      </c>
      <c r="E4" s="116" t="s">
        <v>17</v>
      </c>
      <c r="F4" s="116" t="s">
        <v>17</v>
      </c>
      <c r="G4" s="116" t="s">
        <v>17</v>
      </c>
      <c r="H4" s="116" t="s">
        <v>17</v>
      </c>
      <c r="I4" s="116" t="s">
        <v>17</v>
      </c>
      <c r="J4" s="116" t="s">
        <v>17</v>
      </c>
      <c r="K4" s="116" t="s">
        <v>17</v>
      </c>
      <c r="L4" s="116" t="s">
        <v>17</v>
      </c>
      <c r="M4" s="116" t="s">
        <v>17</v>
      </c>
      <c r="N4" s="116" t="s">
        <v>17</v>
      </c>
    </row>
    <row r="5" ht="41" customHeight="1" spans="1:14">
      <c r="A5" s="116" t="s">
        <v>5</v>
      </c>
      <c r="B5" s="119" t="s">
        <v>21</v>
      </c>
      <c r="C5" s="120"/>
      <c r="D5" s="116" t="s">
        <v>17</v>
      </c>
      <c r="E5" s="116" t="s">
        <v>17</v>
      </c>
      <c r="F5" s="116" t="s">
        <v>17</v>
      </c>
      <c r="G5" s="116" t="s">
        <v>17</v>
      </c>
      <c r="H5" s="116" t="s">
        <v>17</v>
      </c>
      <c r="I5" s="116" t="s">
        <v>17</v>
      </c>
      <c r="J5" s="116" t="s">
        <v>17</v>
      </c>
      <c r="K5" s="116" t="s">
        <v>17</v>
      </c>
      <c r="L5" s="116" t="s">
        <v>17</v>
      </c>
      <c r="M5" s="116" t="s">
        <v>17</v>
      </c>
      <c r="N5" s="116" t="s">
        <v>17</v>
      </c>
    </row>
    <row r="6" ht="41" customHeight="1" spans="1:14">
      <c r="A6" s="116" t="s">
        <v>6</v>
      </c>
      <c r="B6" s="121"/>
      <c r="C6" s="122"/>
      <c r="D6" s="116" t="s">
        <v>17</v>
      </c>
      <c r="E6" s="116" t="s">
        <v>17</v>
      </c>
      <c r="F6" s="116" t="s">
        <v>17</v>
      </c>
      <c r="G6" s="123" t="s">
        <v>22</v>
      </c>
      <c r="H6" s="116" t="s">
        <v>17</v>
      </c>
      <c r="I6" s="123" t="s">
        <v>22</v>
      </c>
      <c r="J6" s="116" t="s">
        <v>17</v>
      </c>
      <c r="K6" s="116" t="s">
        <v>17</v>
      </c>
      <c r="L6" s="116" t="s">
        <v>17</v>
      </c>
      <c r="M6" s="116" t="s">
        <v>17</v>
      </c>
      <c r="N6" s="116" t="s">
        <v>17</v>
      </c>
    </row>
    <row r="7" ht="41" customHeight="1" spans="1:14">
      <c r="A7" s="116" t="s">
        <v>7</v>
      </c>
      <c r="B7" s="119" t="s">
        <v>23</v>
      </c>
      <c r="C7" s="122"/>
      <c r="D7" s="116" t="s">
        <v>17</v>
      </c>
      <c r="E7" s="116" t="s">
        <v>17</v>
      </c>
      <c r="F7" s="116" t="s">
        <v>17</v>
      </c>
      <c r="G7" s="116" t="s">
        <v>17</v>
      </c>
      <c r="H7" s="116" t="s">
        <v>17</v>
      </c>
      <c r="I7" s="116" t="s">
        <v>17</v>
      </c>
      <c r="J7" s="116" t="s">
        <v>17</v>
      </c>
      <c r="K7" s="116" t="s">
        <v>17</v>
      </c>
      <c r="L7" s="116" t="s">
        <v>17</v>
      </c>
      <c r="M7" s="116" t="s">
        <v>17</v>
      </c>
      <c r="N7" s="116" t="s">
        <v>17</v>
      </c>
    </row>
    <row r="8" ht="41" customHeight="1" spans="1:14">
      <c r="A8" s="116" t="s">
        <v>8</v>
      </c>
      <c r="B8" s="121"/>
      <c r="C8" s="122"/>
      <c r="D8" s="116" t="s">
        <v>17</v>
      </c>
      <c r="E8" s="116" t="s">
        <v>17</v>
      </c>
      <c r="F8" s="116" t="s">
        <v>17</v>
      </c>
      <c r="G8" s="123" t="s">
        <v>22</v>
      </c>
      <c r="H8" s="116" t="s">
        <v>17</v>
      </c>
      <c r="I8" s="123" t="s">
        <v>22</v>
      </c>
      <c r="J8" s="116" t="s">
        <v>17</v>
      </c>
      <c r="K8" s="116" t="s">
        <v>17</v>
      </c>
      <c r="L8" s="116" t="s">
        <v>17</v>
      </c>
      <c r="M8" s="116" t="s">
        <v>17</v>
      </c>
      <c r="N8" s="116" t="s">
        <v>17</v>
      </c>
    </row>
    <row r="9" ht="41" customHeight="1" spans="1:14">
      <c r="A9" s="116" t="s">
        <v>9</v>
      </c>
      <c r="B9" s="115" t="s">
        <v>24</v>
      </c>
      <c r="C9" s="124"/>
      <c r="D9" s="116" t="s">
        <v>17</v>
      </c>
      <c r="E9" s="116" t="s">
        <v>17</v>
      </c>
      <c r="F9" s="116" t="s">
        <v>17</v>
      </c>
      <c r="G9" s="116" t="s">
        <v>17</v>
      </c>
      <c r="H9" s="116" t="s">
        <v>17</v>
      </c>
      <c r="I9" s="116" t="s">
        <v>17</v>
      </c>
      <c r="J9" s="123" t="s">
        <v>22</v>
      </c>
      <c r="K9" s="116" t="s">
        <v>17</v>
      </c>
      <c r="L9" s="116" t="s">
        <v>17</v>
      </c>
      <c r="M9" s="116" t="s">
        <v>17</v>
      </c>
      <c r="N9" s="116" t="s">
        <v>17</v>
      </c>
    </row>
    <row r="10" ht="41" customHeight="1" spans="1:14">
      <c r="A10" s="116" t="s">
        <v>25</v>
      </c>
      <c r="B10" s="117" t="s">
        <v>26</v>
      </c>
      <c r="C10" s="116" t="s">
        <v>27</v>
      </c>
      <c r="D10" s="116" t="s">
        <v>17</v>
      </c>
      <c r="E10" s="116" t="s">
        <v>17</v>
      </c>
      <c r="F10" s="116" t="s">
        <v>17</v>
      </c>
      <c r="G10" s="116" t="s">
        <v>17</v>
      </c>
      <c r="H10" s="116" t="s">
        <v>17</v>
      </c>
      <c r="I10" s="116" t="s">
        <v>17</v>
      </c>
      <c r="J10" s="116" t="s">
        <v>17</v>
      </c>
      <c r="K10" s="116" t="s">
        <v>28</v>
      </c>
      <c r="L10" s="116" t="s">
        <v>29</v>
      </c>
      <c r="M10" s="116" t="s">
        <v>29</v>
      </c>
      <c r="N10" s="116" t="s">
        <v>30</v>
      </c>
    </row>
    <row r="11" ht="41" customHeight="1" spans="1:14">
      <c r="A11" s="116" t="s">
        <v>31</v>
      </c>
      <c r="B11" s="117" t="s">
        <v>32</v>
      </c>
      <c r="C11" s="116" t="s">
        <v>33</v>
      </c>
      <c r="D11" s="116" t="s">
        <v>17</v>
      </c>
      <c r="E11" s="116" t="s">
        <v>17</v>
      </c>
      <c r="F11" s="116" t="s">
        <v>17</v>
      </c>
      <c r="G11" s="116" t="s">
        <v>17</v>
      </c>
      <c r="H11" s="116" t="s">
        <v>17</v>
      </c>
      <c r="I11" s="116" t="s">
        <v>17</v>
      </c>
      <c r="J11" s="116" t="s">
        <v>17</v>
      </c>
      <c r="K11" s="116" t="s">
        <v>29</v>
      </c>
      <c r="L11" s="116" t="s">
        <v>28</v>
      </c>
      <c r="M11" s="116" t="s">
        <v>29</v>
      </c>
      <c r="N11" s="116" t="s">
        <v>30</v>
      </c>
    </row>
    <row r="12" ht="41" customHeight="1" spans="1:14">
      <c r="A12" s="116" t="s">
        <v>12</v>
      </c>
      <c r="B12" s="115" t="s">
        <v>34</v>
      </c>
      <c r="C12" s="116" t="s">
        <v>35</v>
      </c>
      <c r="D12" s="116" t="s">
        <v>17</v>
      </c>
      <c r="E12" s="116" t="s">
        <v>17</v>
      </c>
      <c r="F12" s="116" t="s">
        <v>17</v>
      </c>
      <c r="G12" s="116" t="s">
        <v>17</v>
      </c>
      <c r="H12" s="116" t="s">
        <v>17</v>
      </c>
      <c r="I12" s="116" t="s">
        <v>17</v>
      </c>
      <c r="J12" s="116" t="s">
        <v>17</v>
      </c>
      <c r="K12" s="116" t="s">
        <v>29</v>
      </c>
      <c r="L12" s="116" t="s">
        <v>29</v>
      </c>
      <c r="M12" s="116" t="s">
        <v>28</v>
      </c>
      <c r="N12" s="116" t="s">
        <v>36</v>
      </c>
    </row>
    <row r="13" ht="41" customHeight="1" spans="1:14">
      <c r="A13" s="117" t="s">
        <v>13</v>
      </c>
      <c r="B13" s="117" t="s">
        <v>37</v>
      </c>
      <c r="C13" s="116" t="s">
        <v>35</v>
      </c>
      <c r="D13" s="116" t="s">
        <v>17</v>
      </c>
      <c r="E13" s="116" t="s">
        <v>17</v>
      </c>
      <c r="F13" s="116" t="s">
        <v>17</v>
      </c>
      <c r="G13" s="116" t="s">
        <v>17</v>
      </c>
      <c r="H13" s="116" t="s">
        <v>17</v>
      </c>
      <c r="I13" s="116" t="s">
        <v>17</v>
      </c>
      <c r="J13" s="116" t="s">
        <v>17</v>
      </c>
      <c r="K13" s="116" t="s">
        <v>38</v>
      </c>
      <c r="L13" s="116" t="s">
        <v>38</v>
      </c>
      <c r="M13" s="116" t="s">
        <v>39</v>
      </c>
      <c r="N13" s="116" t="s">
        <v>28</v>
      </c>
    </row>
    <row r="14" customHeight="1" spans="1:14">
      <c r="A14" s="125" t="s">
        <v>40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</row>
    <row r="15" customHeight="1" spans="1:14">
      <c r="A15" s="113"/>
      <c r="B15" s="127" t="s">
        <v>41</v>
      </c>
      <c r="C15" s="128"/>
      <c r="D15" s="116" t="s">
        <v>42</v>
      </c>
      <c r="E15" s="116" t="s">
        <v>4</v>
      </c>
      <c r="F15" s="116"/>
      <c r="G15" s="116" t="s">
        <v>43</v>
      </c>
      <c r="H15" s="116"/>
      <c r="I15" s="134" t="s">
        <v>44</v>
      </c>
      <c r="J15" s="116" t="s">
        <v>45</v>
      </c>
      <c r="K15" s="116" t="s">
        <v>10</v>
      </c>
      <c r="L15" s="116" t="s">
        <v>46</v>
      </c>
      <c r="M15" s="116" t="s">
        <v>47</v>
      </c>
      <c r="N15" s="116" t="s">
        <v>13</v>
      </c>
    </row>
    <row r="16" customHeight="1" spans="1:14">
      <c r="A16" s="116" t="s">
        <v>3</v>
      </c>
      <c r="B16" s="129"/>
      <c r="C16" s="130"/>
      <c r="D16" s="116" t="s">
        <v>28</v>
      </c>
      <c r="E16" s="131" t="s">
        <v>48</v>
      </c>
      <c r="F16" s="131"/>
      <c r="G16" s="131" t="s">
        <v>49</v>
      </c>
      <c r="H16" s="131"/>
      <c r="I16" s="131" t="s">
        <v>50</v>
      </c>
      <c r="J16" s="131" t="s">
        <v>49</v>
      </c>
      <c r="K16" s="131" t="s">
        <v>51</v>
      </c>
      <c r="L16" s="131" t="s">
        <v>51</v>
      </c>
      <c r="M16" s="131" t="s">
        <v>51</v>
      </c>
      <c r="N16" s="116" t="s">
        <v>52</v>
      </c>
    </row>
    <row r="17" customHeight="1" spans="1:14">
      <c r="A17" s="116" t="s">
        <v>4</v>
      </c>
      <c r="B17" s="129"/>
      <c r="C17" s="130"/>
      <c r="D17" s="131" t="s">
        <v>48</v>
      </c>
      <c r="E17" s="131" t="s">
        <v>53</v>
      </c>
      <c r="F17" s="131"/>
      <c r="G17" s="131" t="s">
        <v>54</v>
      </c>
      <c r="H17" s="131"/>
      <c r="I17" s="131" t="s">
        <v>55</v>
      </c>
      <c r="J17" s="131" t="s">
        <v>54</v>
      </c>
      <c r="K17" s="117" t="s">
        <v>56</v>
      </c>
      <c r="L17" s="117" t="s">
        <v>56</v>
      </c>
      <c r="M17" s="117" t="s">
        <v>56</v>
      </c>
      <c r="N17" s="153" t="s">
        <v>57</v>
      </c>
    </row>
    <row r="18" customHeight="1" spans="1:14">
      <c r="A18" s="116" t="s">
        <v>43</v>
      </c>
      <c r="B18" s="129"/>
      <c r="C18" s="130"/>
      <c r="D18" s="131" t="s">
        <v>49</v>
      </c>
      <c r="E18" s="131" t="s">
        <v>54</v>
      </c>
      <c r="F18" s="131"/>
      <c r="G18" s="131" t="s">
        <v>58</v>
      </c>
      <c r="H18" s="131"/>
      <c r="I18" s="131" t="s">
        <v>59</v>
      </c>
      <c r="J18" s="131" t="s">
        <v>58</v>
      </c>
      <c r="K18" s="131" t="s">
        <v>60</v>
      </c>
      <c r="L18" s="131" t="s">
        <v>60</v>
      </c>
      <c r="M18" s="131" t="s">
        <v>60</v>
      </c>
      <c r="N18" s="116" t="s">
        <v>61</v>
      </c>
    </row>
    <row r="19" customHeight="1" spans="1:14">
      <c r="A19" s="116" t="s">
        <v>62</v>
      </c>
      <c r="B19" s="129"/>
      <c r="C19" s="130"/>
      <c r="D19" s="131" t="s">
        <v>63</v>
      </c>
      <c r="E19" s="131" t="s">
        <v>55</v>
      </c>
      <c r="F19" s="131"/>
      <c r="G19" s="131" t="s">
        <v>59</v>
      </c>
      <c r="H19" s="131"/>
      <c r="I19" s="154" t="s">
        <v>22</v>
      </c>
      <c r="J19" s="131" t="s">
        <v>59</v>
      </c>
      <c r="K19" s="115" t="s">
        <v>64</v>
      </c>
      <c r="L19" s="115" t="s">
        <v>64</v>
      </c>
      <c r="M19" s="115" t="s">
        <v>64</v>
      </c>
      <c r="N19" s="116" t="s">
        <v>65</v>
      </c>
    </row>
    <row r="20" customHeight="1" spans="1:14">
      <c r="A20" s="116" t="s">
        <v>9</v>
      </c>
      <c r="B20" s="129"/>
      <c r="C20" s="130"/>
      <c r="D20" s="131" t="s">
        <v>49</v>
      </c>
      <c r="E20" s="131" t="s">
        <v>54</v>
      </c>
      <c r="F20" s="131"/>
      <c r="G20" s="131" t="s">
        <v>58</v>
      </c>
      <c r="H20" s="131"/>
      <c r="I20" s="131" t="s">
        <v>59</v>
      </c>
      <c r="J20" s="123" t="s">
        <v>66</v>
      </c>
      <c r="K20" s="131" t="s">
        <v>60</v>
      </c>
      <c r="L20" s="131" t="s">
        <v>60</v>
      </c>
      <c r="M20" s="131" t="s">
        <v>60</v>
      </c>
      <c r="N20" s="116" t="s">
        <v>61</v>
      </c>
    </row>
    <row r="21" customHeight="1" spans="1:14">
      <c r="A21" s="116" t="s">
        <v>25</v>
      </c>
      <c r="B21" s="129"/>
      <c r="C21" s="130"/>
      <c r="D21" s="131" t="s">
        <v>51</v>
      </c>
      <c r="E21" s="117" t="s">
        <v>56</v>
      </c>
      <c r="F21" s="117"/>
      <c r="G21" s="131" t="s">
        <v>60</v>
      </c>
      <c r="H21" s="131"/>
      <c r="I21" s="115" t="s">
        <v>64</v>
      </c>
      <c r="J21" s="131" t="s">
        <v>60</v>
      </c>
      <c r="K21" s="116" t="s">
        <v>28</v>
      </c>
      <c r="L21" s="116" t="s">
        <v>29</v>
      </c>
      <c r="M21" s="116" t="s">
        <v>29</v>
      </c>
      <c r="N21" s="115" t="s">
        <v>67</v>
      </c>
    </row>
    <row r="22" customHeight="1" spans="1:14">
      <c r="A22" s="116" t="s">
        <v>11</v>
      </c>
      <c r="B22" s="129"/>
      <c r="C22" s="130"/>
      <c r="D22" s="131" t="s">
        <v>51</v>
      </c>
      <c r="E22" s="117" t="s">
        <v>56</v>
      </c>
      <c r="F22" s="117"/>
      <c r="G22" s="131" t="s">
        <v>60</v>
      </c>
      <c r="H22" s="131"/>
      <c r="I22" s="115" t="s">
        <v>64</v>
      </c>
      <c r="J22" s="131" t="s">
        <v>60</v>
      </c>
      <c r="K22" s="116" t="s">
        <v>29</v>
      </c>
      <c r="L22" s="116" t="s">
        <v>28</v>
      </c>
      <c r="M22" s="116" t="s">
        <v>29</v>
      </c>
      <c r="N22" s="115" t="s">
        <v>67</v>
      </c>
    </row>
    <row r="23" customHeight="1" spans="1:14">
      <c r="A23" s="116" t="s">
        <v>12</v>
      </c>
      <c r="B23" s="129"/>
      <c r="C23" s="130"/>
      <c r="D23" s="131" t="s">
        <v>51</v>
      </c>
      <c r="E23" s="117" t="s">
        <v>56</v>
      </c>
      <c r="F23" s="117"/>
      <c r="G23" s="131" t="s">
        <v>60</v>
      </c>
      <c r="H23" s="131"/>
      <c r="I23" s="115" t="s">
        <v>64</v>
      </c>
      <c r="J23" s="131" t="s">
        <v>60</v>
      </c>
      <c r="K23" s="116" t="s">
        <v>29</v>
      </c>
      <c r="L23" s="116" t="s">
        <v>29</v>
      </c>
      <c r="M23" s="116" t="s">
        <v>28</v>
      </c>
      <c r="N23" s="115" t="s">
        <v>67</v>
      </c>
    </row>
    <row r="24" customHeight="1" spans="1:14">
      <c r="A24" s="115" t="s">
        <v>13</v>
      </c>
      <c r="B24" s="132"/>
      <c r="C24" s="133"/>
      <c r="D24" s="131" t="s">
        <v>68</v>
      </c>
      <c r="E24" s="117" t="s">
        <v>69</v>
      </c>
      <c r="F24" s="117"/>
      <c r="G24" s="131" t="s">
        <v>70</v>
      </c>
      <c r="H24" s="131"/>
      <c r="I24" s="131" t="s">
        <v>70</v>
      </c>
      <c r="J24" s="131" t="s">
        <v>71</v>
      </c>
      <c r="K24" s="131" t="s">
        <v>72</v>
      </c>
      <c r="L24" s="131" t="s">
        <v>72</v>
      </c>
      <c r="M24" s="131" t="s">
        <v>72</v>
      </c>
      <c r="N24" s="116" t="s">
        <v>28</v>
      </c>
    </row>
    <row r="25" customHeight="1" spans="1:14">
      <c r="A25" s="125" t="s">
        <v>73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</row>
    <row r="26" customHeight="1" spans="1:14">
      <c r="A26" s="113"/>
      <c r="B26" s="127" t="s">
        <v>74</v>
      </c>
      <c r="C26" s="128"/>
      <c r="D26" s="116" t="s">
        <v>75</v>
      </c>
      <c r="E26" s="116" t="s">
        <v>4</v>
      </c>
      <c r="F26" s="116"/>
      <c r="G26" s="116" t="s">
        <v>76</v>
      </c>
      <c r="H26" s="116"/>
      <c r="I26" s="116" t="s">
        <v>77</v>
      </c>
      <c r="J26" s="116" t="s">
        <v>78</v>
      </c>
      <c r="K26" s="116" t="s">
        <v>79</v>
      </c>
      <c r="L26" s="116" t="s">
        <v>80</v>
      </c>
      <c r="M26" s="116" t="s">
        <v>81</v>
      </c>
      <c r="N26" s="116" t="s">
        <v>82</v>
      </c>
    </row>
    <row r="27" customHeight="1" spans="1:14">
      <c r="A27" s="116" t="s">
        <v>83</v>
      </c>
      <c r="B27" s="129"/>
      <c r="C27" s="130"/>
      <c r="D27" s="116" t="s">
        <v>28</v>
      </c>
      <c r="E27" s="131" t="s">
        <v>84</v>
      </c>
      <c r="F27" s="131"/>
      <c r="G27" s="131" t="s">
        <v>85</v>
      </c>
      <c r="H27" s="131"/>
      <c r="I27" s="131" t="s">
        <v>85</v>
      </c>
      <c r="J27" s="131" t="s">
        <v>85</v>
      </c>
      <c r="K27" s="131" t="s">
        <v>85</v>
      </c>
      <c r="L27" s="131" t="s">
        <v>86</v>
      </c>
      <c r="M27" s="131" t="s">
        <v>85</v>
      </c>
      <c r="N27" s="155" t="s">
        <v>86</v>
      </c>
    </row>
    <row r="28" customHeight="1" spans="1:14">
      <c r="A28" s="116" t="s">
        <v>4</v>
      </c>
      <c r="B28" s="129"/>
      <c r="C28" s="130"/>
      <c r="D28" s="116" t="s">
        <v>87</v>
      </c>
      <c r="E28" s="116" t="s">
        <v>88</v>
      </c>
      <c r="F28" s="116"/>
      <c r="G28" s="116" t="s">
        <v>87</v>
      </c>
      <c r="H28" s="116"/>
      <c r="I28" s="116" t="s">
        <v>87</v>
      </c>
      <c r="J28" s="116" t="s">
        <v>87</v>
      </c>
      <c r="K28" s="116" t="s">
        <v>87</v>
      </c>
      <c r="L28" s="116" t="s">
        <v>87</v>
      </c>
      <c r="M28" s="116" t="s">
        <v>87</v>
      </c>
      <c r="N28" s="116" t="s">
        <v>87</v>
      </c>
    </row>
    <row r="29" customHeight="1" spans="1:14">
      <c r="A29" s="134" t="s">
        <v>89</v>
      </c>
      <c r="B29" s="129"/>
      <c r="C29" s="130"/>
      <c r="D29" s="131" t="s">
        <v>90</v>
      </c>
      <c r="E29" s="131" t="s">
        <v>91</v>
      </c>
      <c r="F29" s="131"/>
      <c r="G29" s="131" t="s">
        <v>90</v>
      </c>
      <c r="H29" s="131"/>
      <c r="I29" s="131" t="s">
        <v>90</v>
      </c>
      <c r="J29" s="131" t="s">
        <v>90</v>
      </c>
      <c r="K29" s="131" t="s">
        <v>90</v>
      </c>
      <c r="L29" s="131" t="s">
        <v>90</v>
      </c>
      <c r="M29" s="131" t="s">
        <v>90</v>
      </c>
      <c r="N29" s="116" t="s">
        <v>92</v>
      </c>
    </row>
    <row r="30" customHeight="1" spans="1:14">
      <c r="A30" s="134" t="s">
        <v>93</v>
      </c>
      <c r="B30" s="129"/>
      <c r="C30" s="130"/>
      <c r="D30" s="131" t="s">
        <v>90</v>
      </c>
      <c r="E30" s="131" t="s">
        <v>91</v>
      </c>
      <c r="F30" s="131"/>
      <c r="G30" s="131" t="s">
        <v>90</v>
      </c>
      <c r="H30" s="131"/>
      <c r="I30" s="156" t="s">
        <v>94</v>
      </c>
      <c r="J30" s="131" t="s">
        <v>90</v>
      </c>
      <c r="K30" s="131" t="s">
        <v>90</v>
      </c>
      <c r="L30" s="131" t="s">
        <v>90</v>
      </c>
      <c r="M30" s="131" t="s">
        <v>90</v>
      </c>
      <c r="N30" s="116" t="s">
        <v>92</v>
      </c>
    </row>
    <row r="31" customHeight="1" spans="1:14">
      <c r="A31" s="134" t="s">
        <v>95</v>
      </c>
      <c r="B31" s="129"/>
      <c r="C31" s="130"/>
      <c r="D31" s="131" t="s">
        <v>90</v>
      </c>
      <c r="E31" s="131" t="s">
        <v>91</v>
      </c>
      <c r="F31" s="131"/>
      <c r="G31" s="131" t="s">
        <v>90</v>
      </c>
      <c r="H31" s="131"/>
      <c r="I31" s="131" t="s">
        <v>90</v>
      </c>
      <c r="J31" s="123" t="s">
        <v>66</v>
      </c>
      <c r="K31" s="131" t="s">
        <v>90</v>
      </c>
      <c r="L31" s="131" t="s">
        <v>90</v>
      </c>
      <c r="M31" s="131" t="s">
        <v>90</v>
      </c>
      <c r="N31" s="116" t="s">
        <v>92</v>
      </c>
    </row>
    <row r="32" customHeight="1" spans="1:14">
      <c r="A32" s="116" t="s">
        <v>96</v>
      </c>
      <c r="B32" s="129"/>
      <c r="C32" s="130"/>
      <c r="D32" s="131" t="s">
        <v>90</v>
      </c>
      <c r="E32" s="131" t="s">
        <v>91</v>
      </c>
      <c r="F32" s="131"/>
      <c r="G32" s="131" t="s">
        <v>90</v>
      </c>
      <c r="H32" s="131"/>
      <c r="I32" s="131" t="s">
        <v>90</v>
      </c>
      <c r="J32" s="131" t="s">
        <v>90</v>
      </c>
      <c r="K32" s="116" t="s">
        <v>28</v>
      </c>
      <c r="L32" s="116" t="s">
        <v>29</v>
      </c>
      <c r="M32" s="116" t="s">
        <v>29</v>
      </c>
      <c r="N32" s="131" t="s">
        <v>97</v>
      </c>
    </row>
    <row r="33" customHeight="1" spans="1:14">
      <c r="A33" s="116" t="s">
        <v>98</v>
      </c>
      <c r="B33" s="129"/>
      <c r="C33" s="130"/>
      <c r="D33" s="131" t="s">
        <v>90</v>
      </c>
      <c r="E33" s="131" t="s">
        <v>91</v>
      </c>
      <c r="F33" s="131"/>
      <c r="G33" s="131" t="s">
        <v>90</v>
      </c>
      <c r="H33" s="131"/>
      <c r="I33" s="131" t="s">
        <v>90</v>
      </c>
      <c r="J33" s="131" t="s">
        <v>90</v>
      </c>
      <c r="K33" s="116" t="s">
        <v>29</v>
      </c>
      <c r="L33" s="116" t="s">
        <v>28</v>
      </c>
      <c r="M33" s="116" t="s">
        <v>29</v>
      </c>
      <c r="N33" s="131" t="s">
        <v>97</v>
      </c>
    </row>
    <row r="34" customHeight="1" spans="1:14">
      <c r="A34" s="116" t="s">
        <v>99</v>
      </c>
      <c r="B34" s="129"/>
      <c r="C34" s="130"/>
      <c r="D34" s="131" t="s">
        <v>90</v>
      </c>
      <c r="E34" s="131" t="s">
        <v>91</v>
      </c>
      <c r="F34" s="131"/>
      <c r="G34" s="131" t="s">
        <v>90</v>
      </c>
      <c r="H34" s="131"/>
      <c r="I34" s="131" t="s">
        <v>90</v>
      </c>
      <c r="J34" s="131" t="s">
        <v>90</v>
      </c>
      <c r="K34" s="116" t="s">
        <v>29</v>
      </c>
      <c r="L34" s="116" t="s">
        <v>29</v>
      </c>
      <c r="M34" s="116" t="s">
        <v>28</v>
      </c>
      <c r="N34" s="131" t="s">
        <v>97</v>
      </c>
    </row>
    <row r="35" customHeight="1" spans="1:14">
      <c r="A35" s="116" t="s">
        <v>100</v>
      </c>
      <c r="B35" s="132"/>
      <c r="C35" s="133"/>
      <c r="D35" s="131" t="s">
        <v>85</v>
      </c>
      <c r="E35" s="131" t="s">
        <v>84</v>
      </c>
      <c r="F35" s="131"/>
      <c r="G35" s="131" t="s">
        <v>90</v>
      </c>
      <c r="H35" s="131"/>
      <c r="I35" s="131" t="s">
        <v>85</v>
      </c>
      <c r="J35" s="131" t="s">
        <v>85</v>
      </c>
      <c r="K35" s="117" t="s">
        <v>101</v>
      </c>
      <c r="L35" s="117" t="s">
        <v>101</v>
      </c>
      <c r="M35" s="117" t="s">
        <v>101</v>
      </c>
      <c r="N35" s="131" t="s">
        <v>28</v>
      </c>
    </row>
    <row r="36" customHeight="1" spans="1:14">
      <c r="A36" s="125" t="s">
        <v>102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</row>
    <row r="37" customHeight="1" spans="1:14">
      <c r="A37" s="135"/>
      <c r="B37" s="136"/>
      <c r="C37" s="128"/>
      <c r="D37" s="137" t="s">
        <v>103</v>
      </c>
      <c r="E37" s="138"/>
      <c r="F37" s="138"/>
      <c r="G37" s="138"/>
      <c r="H37" s="138"/>
      <c r="I37" s="138"/>
      <c r="J37" s="157"/>
      <c r="K37" s="136"/>
      <c r="L37" s="158"/>
      <c r="M37" s="158"/>
      <c r="N37" s="128"/>
    </row>
    <row r="38" customHeight="1" spans="1:14">
      <c r="A38" s="139" t="s">
        <v>104</v>
      </c>
      <c r="B38" s="140" t="s">
        <v>105</v>
      </c>
      <c r="C38" s="141"/>
      <c r="D38" s="142" t="s">
        <v>106</v>
      </c>
      <c r="E38" s="142" t="s">
        <v>107</v>
      </c>
      <c r="F38" s="142"/>
      <c r="G38" s="142" t="s">
        <v>108</v>
      </c>
      <c r="H38" s="142"/>
      <c r="I38" s="142" t="s">
        <v>109</v>
      </c>
      <c r="J38" s="159" t="s">
        <v>110</v>
      </c>
      <c r="K38" s="140" t="s">
        <v>111</v>
      </c>
      <c r="L38" s="160"/>
      <c r="M38" s="160"/>
      <c r="N38" s="141"/>
    </row>
    <row r="39" customHeight="1" spans="1:14">
      <c r="A39" s="143" t="s">
        <v>112</v>
      </c>
      <c r="B39" s="144" t="s">
        <v>113</v>
      </c>
      <c r="C39" s="145"/>
      <c r="D39" s="116" t="s">
        <v>114</v>
      </c>
      <c r="E39" s="116" t="s">
        <v>114</v>
      </c>
      <c r="F39" s="116"/>
      <c r="G39" s="116" t="s">
        <v>114</v>
      </c>
      <c r="H39" s="116"/>
      <c r="I39" s="116" t="s">
        <v>114</v>
      </c>
      <c r="J39" s="116" t="s">
        <v>114</v>
      </c>
      <c r="K39" s="161" t="s">
        <v>115</v>
      </c>
      <c r="L39" s="162"/>
      <c r="M39" s="162"/>
      <c r="N39" s="147"/>
    </row>
    <row r="40" customHeight="1" spans="1:14">
      <c r="A40" s="115" t="s">
        <v>116</v>
      </c>
      <c r="B40" s="146" t="s">
        <v>117</v>
      </c>
      <c r="C40" s="147"/>
      <c r="D40" s="148" t="s">
        <v>118</v>
      </c>
      <c r="E40" s="149"/>
      <c r="F40" s="149"/>
      <c r="G40" s="149"/>
      <c r="H40" s="149"/>
      <c r="I40" s="149"/>
      <c r="J40" s="163"/>
      <c r="K40" s="144" t="s">
        <v>119</v>
      </c>
      <c r="L40" s="164"/>
      <c r="M40" s="164"/>
      <c r="N40" s="165"/>
    </row>
    <row r="41" customHeight="1" spans="1:14">
      <c r="A41" s="115" t="s">
        <v>120</v>
      </c>
      <c r="B41" s="127" t="s">
        <v>121</v>
      </c>
      <c r="C41" s="128"/>
      <c r="D41" s="116" t="s">
        <v>114</v>
      </c>
      <c r="E41" s="116" t="s">
        <v>114</v>
      </c>
      <c r="F41" s="116"/>
      <c r="G41" s="116" t="s">
        <v>114</v>
      </c>
      <c r="H41" s="116"/>
      <c r="I41" s="116" t="s">
        <v>114</v>
      </c>
      <c r="J41" s="116" t="s">
        <v>114</v>
      </c>
      <c r="K41" s="166"/>
      <c r="L41" s="167"/>
      <c r="M41" s="167"/>
      <c r="N41" s="168"/>
    </row>
    <row r="42" customHeight="1" spans="1:14">
      <c r="A42" s="115" t="s">
        <v>122</v>
      </c>
      <c r="B42" s="132"/>
      <c r="C42" s="133"/>
      <c r="D42" s="116" t="s">
        <v>114</v>
      </c>
      <c r="E42" s="116" t="s">
        <v>114</v>
      </c>
      <c r="F42" s="116"/>
      <c r="G42" s="116" t="s">
        <v>114</v>
      </c>
      <c r="H42" s="116"/>
      <c r="I42" s="116" t="s">
        <v>123</v>
      </c>
      <c r="J42" s="116" t="s">
        <v>114</v>
      </c>
      <c r="K42" s="169"/>
      <c r="L42" s="170"/>
      <c r="M42" s="170"/>
      <c r="N42" s="171"/>
    </row>
    <row r="43" customHeight="1" spans="1:14">
      <c r="A43" s="150" t="s">
        <v>124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72"/>
    </row>
    <row r="44" customHeight="1" spans="1:14">
      <c r="A44" s="148" t="s">
        <v>125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73"/>
    </row>
  </sheetData>
  <mergeCells count="23">
    <mergeCell ref="A1:N1"/>
    <mergeCell ref="A14:N14"/>
    <mergeCell ref="A25:N25"/>
    <mergeCell ref="A36:N36"/>
    <mergeCell ref="B37:C37"/>
    <mergeCell ref="D37:J37"/>
    <mergeCell ref="K37:N37"/>
    <mergeCell ref="B38:C38"/>
    <mergeCell ref="K38:N38"/>
    <mergeCell ref="B39:C39"/>
    <mergeCell ref="K39:N39"/>
    <mergeCell ref="B40:C40"/>
    <mergeCell ref="D40:J40"/>
    <mergeCell ref="K40:N40"/>
    <mergeCell ref="A43:N43"/>
    <mergeCell ref="A44:N44"/>
    <mergeCell ref="B5:B6"/>
    <mergeCell ref="B7:B8"/>
    <mergeCell ref="C4:C9"/>
    <mergeCell ref="B15:C24"/>
    <mergeCell ref="B26:C35"/>
    <mergeCell ref="B41:C42"/>
    <mergeCell ref="K41:N4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workbookViewId="0">
      <pane xSplit="4" ySplit="16" topLeftCell="E17" activePane="bottomRight" state="frozen"/>
      <selection/>
      <selection pane="topRight"/>
      <selection pane="bottomLeft"/>
      <selection pane="bottomRight" activeCell="Q12" sqref="Q12"/>
    </sheetView>
  </sheetViews>
  <sheetFormatPr defaultColWidth="12" defaultRowHeight="23" customHeight="1"/>
  <cols>
    <col min="1" max="1" width="9.66666666666667" style="43" customWidth="1"/>
    <col min="2" max="2" width="25.5" style="43" customWidth="1"/>
    <col min="3" max="4" width="9.5" style="43" customWidth="1"/>
    <col min="5" max="5" width="12.5" style="43" customWidth="1"/>
    <col min="6" max="6" width="13.5" style="43" customWidth="1"/>
    <col min="7" max="7" width="18.6666666666667" style="43" customWidth="1"/>
    <col min="8" max="8" width="22.8333333333333" style="43" customWidth="1"/>
    <col min="9" max="9" width="18.6666666666667" style="43" customWidth="1"/>
    <col min="10" max="10" width="24.6666666666667" style="43" customWidth="1"/>
    <col min="11" max="14" width="18.6666666666667" style="43" customWidth="1"/>
    <col min="15" max="15" width="20.3333333333333" style="43" customWidth="1"/>
    <col min="16" max="16" width="12.3333333333333" style="43"/>
    <col min="17" max="19" width="12" style="43"/>
    <col min="20" max="20" width="12.3333333333333" style="43"/>
    <col min="21" max="16384" width="12" style="43"/>
  </cols>
  <sheetData>
    <row r="1" s="43" customFormat="1" ht="17" customHeight="1" spans="1:15">
      <c r="A1" s="44">
        <v>25.99</v>
      </c>
      <c r="B1" s="44"/>
      <c r="C1" s="44"/>
      <c r="D1" s="44"/>
      <c r="E1" s="45" t="s">
        <v>126</v>
      </c>
      <c r="F1" s="46"/>
      <c r="G1" s="47" t="s">
        <v>127</v>
      </c>
      <c r="H1" s="47"/>
      <c r="I1" s="47"/>
      <c r="J1" s="47"/>
      <c r="K1" s="94" t="s">
        <v>128</v>
      </c>
      <c r="L1" s="94" t="s">
        <v>108</v>
      </c>
      <c r="M1" s="94" t="s">
        <v>129</v>
      </c>
      <c r="N1" s="94" t="s">
        <v>130</v>
      </c>
      <c r="O1" s="94" t="s">
        <v>131</v>
      </c>
    </row>
    <row r="2" s="43" customFormat="1" ht="17" customHeight="1" spans="1:15">
      <c r="A2" s="44"/>
      <c r="B2" s="44"/>
      <c r="C2" s="44"/>
      <c r="D2" s="44"/>
      <c r="E2" s="48"/>
      <c r="F2" s="49"/>
      <c r="G2" s="50" t="s">
        <v>132</v>
      </c>
      <c r="H2" s="51" t="s">
        <v>133</v>
      </c>
      <c r="I2" s="50" t="s">
        <v>134</v>
      </c>
      <c r="J2" s="51" t="s">
        <v>135</v>
      </c>
      <c r="K2" s="94"/>
      <c r="L2" s="94"/>
      <c r="M2" s="94"/>
      <c r="N2" s="94"/>
      <c r="O2" s="94"/>
    </row>
    <row r="3" s="43" customFormat="1" ht="17" customHeight="1" spans="1:16">
      <c r="A3" s="44"/>
      <c r="B3" s="44"/>
      <c r="C3" s="44"/>
      <c r="D3" s="44"/>
      <c r="E3" s="52">
        <v>0.1</v>
      </c>
      <c r="F3" s="53">
        <v>10</v>
      </c>
      <c r="G3" s="52">
        <v>0.1</v>
      </c>
      <c r="H3" s="52">
        <v>0.1</v>
      </c>
      <c r="I3" s="94">
        <v>9.99</v>
      </c>
      <c r="J3" s="94">
        <v>10.99</v>
      </c>
      <c r="K3" s="52">
        <v>0.1</v>
      </c>
      <c r="L3" s="95">
        <v>12.99</v>
      </c>
      <c r="M3" s="95">
        <v>11.04</v>
      </c>
      <c r="N3" s="95">
        <v>8.98</v>
      </c>
      <c r="O3" s="96">
        <v>0</v>
      </c>
      <c r="P3" s="97" t="s">
        <v>136</v>
      </c>
    </row>
    <row r="4" s="43" customFormat="1" ht="17" customHeight="1" spans="1:23">
      <c r="A4" s="44"/>
      <c r="B4" s="44"/>
      <c r="C4" s="44"/>
      <c r="D4" s="44"/>
      <c r="E4" s="52"/>
      <c r="F4" s="53"/>
      <c r="G4" s="52"/>
      <c r="H4" s="52"/>
      <c r="I4" s="98">
        <f>(A1-I3)/A1</f>
        <v>0.615621392843401</v>
      </c>
      <c r="J4" s="98">
        <f>(A1-J3)/A1</f>
        <v>0.577145055790689</v>
      </c>
      <c r="K4" s="52"/>
      <c r="L4" s="99">
        <f>(A1-L3)/A1</f>
        <v>0.500192381685263</v>
      </c>
      <c r="M4" s="99">
        <f>(A1-M3)/A1</f>
        <v>0.575221238938053</v>
      </c>
      <c r="N4" s="99">
        <f>(A1-N3)/A1</f>
        <v>0.654482493266641</v>
      </c>
      <c r="O4" s="82">
        <f>A1*(1-O3)</f>
        <v>25.99</v>
      </c>
      <c r="P4" s="100"/>
      <c r="Q4" s="72"/>
      <c r="R4" s="72"/>
      <c r="S4" s="72"/>
      <c r="T4" s="72"/>
      <c r="U4" s="72"/>
      <c r="V4" s="72"/>
      <c r="W4" s="72"/>
    </row>
    <row r="5" s="43" customFormat="1" ht="21" customHeight="1" spans="1:23">
      <c r="A5" s="54" t="s">
        <v>126</v>
      </c>
      <c r="B5" s="55"/>
      <c r="C5" s="56">
        <v>0.15</v>
      </c>
      <c r="D5" s="56"/>
      <c r="E5" s="57" t="s">
        <v>137</v>
      </c>
      <c r="F5" s="57" t="s">
        <v>137</v>
      </c>
      <c r="G5" s="58">
        <f>A1-A1*(G3+C5)</f>
        <v>19.4925</v>
      </c>
      <c r="H5" s="58">
        <f>A1-A1*(H3+C5)</f>
        <v>19.4925</v>
      </c>
      <c r="I5" s="58">
        <f>I3-A1*C5</f>
        <v>6.0915</v>
      </c>
      <c r="J5" s="58">
        <f>J3-A1*C5</f>
        <v>7.0915</v>
      </c>
      <c r="K5" s="58">
        <f>A1-A1*(K3+C5)</f>
        <v>19.4925</v>
      </c>
      <c r="L5" s="58">
        <f>A1-A1*(C5+L4)</f>
        <v>9.0915</v>
      </c>
      <c r="M5" s="58">
        <f>M3*(1-C5)</f>
        <v>9.384</v>
      </c>
      <c r="N5" s="58">
        <f>A1-A1*(N4+C5)</f>
        <v>5.0815</v>
      </c>
      <c r="O5" s="58">
        <f>(A1*(1-O3))*(1-C5)</f>
        <v>22.0915</v>
      </c>
      <c r="P5" s="72"/>
      <c r="Q5" s="72"/>
      <c r="R5" s="72"/>
      <c r="S5" s="72"/>
      <c r="T5" s="72"/>
      <c r="U5" s="72"/>
      <c r="V5" s="72"/>
      <c r="W5" s="72"/>
    </row>
    <row r="6" s="43" customFormat="1" ht="21" customHeight="1" spans="1:23">
      <c r="A6" s="59"/>
      <c r="B6" s="60"/>
      <c r="C6" s="61">
        <v>5</v>
      </c>
      <c r="D6" s="61"/>
      <c r="E6" s="57" t="s">
        <v>137</v>
      </c>
      <c r="F6" s="57" t="s">
        <v>137</v>
      </c>
      <c r="G6" s="58">
        <f>A1-A1*G3-C6</f>
        <v>18.391</v>
      </c>
      <c r="H6" s="58">
        <f>A1-A1*H3-C6</f>
        <v>18.391</v>
      </c>
      <c r="I6" s="58">
        <f>I3-C6</f>
        <v>4.99</v>
      </c>
      <c r="J6" s="58">
        <f>J3-C6</f>
        <v>5.99</v>
      </c>
      <c r="K6" s="58">
        <f>A1-A1*K3-C6</f>
        <v>18.391</v>
      </c>
      <c r="L6" s="58">
        <f>A1-A1*L4-C6</f>
        <v>7.99</v>
      </c>
      <c r="M6" s="58">
        <f>M3-C6</f>
        <v>6.04</v>
      </c>
      <c r="N6" s="58">
        <f>A1-A1*N4-C6</f>
        <v>3.98</v>
      </c>
      <c r="O6" s="58">
        <f>A1-A1*O3-C6</f>
        <v>20.99</v>
      </c>
      <c r="P6" s="72"/>
      <c r="Q6" s="72"/>
      <c r="R6" s="72"/>
      <c r="S6" s="72"/>
      <c r="T6" s="72"/>
      <c r="U6" s="72"/>
      <c r="V6" s="72"/>
      <c r="W6" s="72"/>
    </row>
    <row r="7" s="43" customFormat="1" ht="21" customHeight="1" spans="1:23">
      <c r="A7" s="62" t="s">
        <v>127</v>
      </c>
      <c r="B7" s="50" t="s">
        <v>132</v>
      </c>
      <c r="C7" s="56">
        <v>0.1</v>
      </c>
      <c r="D7" s="56"/>
      <c r="E7" s="58">
        <f>A1-A1*(C7+E3)</f>
        <v>20.792</v>
      </c>
      <c r="F7" s="58">
        <f>A1-A1*C7-F3</f>
        <v>13.391</v>
      </c>
      <c r="G7" s="58">
        <f>A1-A1*(C7+G3)</f>
        <v>20.792</v>
      </c>
      <c r="H7" s="58">
        <f>A1-A1*(H3+C7)</f>
        <v>20.792</v>
      </c>
      <c r="I7" s="58">
        <f>A1*(1-I4-C7)</f>
        <v>7.391</v>
      </c>
      <c r="J7" s="58">
        <f>A1*(1-C7-J4)</f>
        <v>8.391</v>
      </c>
      <c r="K7" s="58">
        <f>A1-A1*(K3+C7)</f>
        <v>20.792</v>
      </c>
      <c r="L7" s="58">
        <f>L3-A1*C7</f>
        <v>10.391</v>
      </c>
      <c r="M7" s="58">
        <f>M3-M3*C7</f>
        <v>9.936</v>
      </c>
      <c r="N7" s="58">
        <f>N3-A1*C7</f>
        <v>6.381</v>
      </c>
      <c r="O7" s="58">
        <f>A1-A1*(O3+C7)</f>
        <v>23.391</v>
      </c>
      <c r="P7" s="72"/>
      <c r="Q7" s="72"/>
      <c r="R7" s="72"/>
      <c r="S7" s="72"/>
      <c r="T7" s="72"/>
      <c r="U7" s="72"/>
      <c r="V7" s="72"/>
      <c r="W7" s="72"/>
    </row>
    <row r="8" s="43" customFormat="1" ht="21" customHeight="1" spans="1:23">
      <c r="A8" s="62"/>
      <c r="B8" s="63" t="s">
        <v>133</v>
      </c>
      <c r="C8" s="56">
        <v>0.85</v>
      </c>
      <c r="D8" s="56"/>
      <c r="E8" s="58">
        <f>A1-A1*(C8+E3)</f>
        <v>1.2995</v>
      </c>
      <c r="F8" s="58">
        <f>A1-A1*C8-F3</f>
        <v>-6.1015</v>
      </c>
      <c r="G8" s="58">
        <f>A1-A1*(G3+C8)</f>
        <v>1.2995</v>
      </c>
      <c r="H8" s="64">
        <f>IF(H3&gt;C8,A1-A1*H3,A1-A1*C8)</f>
        <v>3.8985</v>
      </c>
      <c r="I8" s="58">
        <f>A1*(1-I4-C8)</f>
        <v>-12.1015</v>
      </c>
      <c r="J8" s="64">
        <f>IF(J4&gt;C8,A1*(1-J4),A1*(1-C8))</f>
        <v>3.8985</v>
      </c>
      <c r="K8" s="58">
        <f>A1-A1*(C8+K3)</f>
        <v>1.2995</v>
      </c>
      <c r="L8" s="58">
        <f>L3-A1*C8</f>
        <v>-9.1015</v>
      </c>
      <c r="M8" s="58">
        <f>M3*(1-C8)</f>
        <v>1.656</v>
      </c>
      <c r="N8" s="58">
        <f>N3-A1*C8</f>
        <v>-13.1115</v>
      </c>
      <c r="O8" s="58">
        <f>A1-A1*(O3+C8)</f>
        <v>3.8985</v>
      </c>
      <c r="P8" s="72"/>
      <c r="Q8" s="73" t="s">
        <v>138</v>
      </c>
      <c r="R8" s="73" t="s">
        <v>139</v>
      </c>
      <c r="S8" s="73" t="s">
        <v>140</v>
      </c>
      <c r="T8" s="72"/>
      <c r="U8" s="72"/>
      <c r="V8" s="72"/>
      <c r="W8" s="72"/>
    </row>
    <row r="9" s="43" customFormat="1" ht="21" customHeight="1" spans="1:23">
      <c r="A9" s="62"/>
      <c r="B9" s="50" t="s">
        <v>134</v>
      </c>
      <c r="C9" s="65">
        <v>20.39</v>
      </c>
      <c r="D9" s="66">
        <f>(A1-C9)/A1</f>
        <v>0.21546748749519</v>
      </c>
      <c r="E9" s="58">
        <f>C9-A1*E3</f>
        <v>17.791</v>
      </c>
      <c r="F9" s="58">
        <f>C9-F3</f>
        <v>10.39</v>
      </c>
      <c r="G9" s="58">
        <f>A1*(1-D9-G3)</f>
        <v>17.791</v>
      </c>
      <c r="H9" s="58">
        <f>A1*(1-D9-H3)</f>
        <v>17.791</v>
      </c>
      <c r="I9" s="58">
        <f>A1*(1-D9-I4)</f>
        <v>4.39</v>
      </c>
      <c r="J9" s="58">
        <f>A1*(1-D9-J4)</f>
        <v>5.39</v>
      </c>
      <c r="K9" s="58">
        <f>C9-A1*K3</f>
        <v>17.791</v>
      </c>
      <c r="L9" s="58">
        <f>A1*(1-L4-D9)</f>
        <v>7.39</v>
      </c>
      <c r="M9" s="58">
        <f>M3-(M3-C9)</f>
        <v>20.39</v>
      </c>
      <c r="N9" s="58">
        <f>A1*(1-N4-D9)</f>
        <v>3.38</v>
      </c>
      <c r="O9" s="58">
        <f>A1*(1-O3-D9)</f>
        <v>20.39</v>
      </c>
      <c r="P9" s="72"/>
      <c r="Q9" s="86">
        <v>24.99</v>
      </c>
      <c r="R9" s="109">
        <f>1-(S9/Q9)</f>
        <v>0.480192076830732</v>
      </c>
      <c r="S9" s="86">
        <v>12.99</v>
      </c>
      <c r="T9" s="72"/>
      <c r="U9" s="72"/>
      <c r="V9" s="72"/>
      <c r="W9" s="72"/>
    </row>
    <row r="10" s="43" customFormat="1" ht="21" customHeight="1" spans="1:23">
      <c r="A10" s="62"/>
      <c r="B10" s="63" t="s">
        <v>135</v>
      </c>
      <c r="C10" s="65">
        <v>20.39</v>
      </c>
      <c r="D10" s="66">
        <f>(A1-C10)/A1</f>
        <v>0.21546748749519</v>
      </c>
      <c r="E10" s="58">
        <f>C10-A1*E3</f>
        <v>17.791</v>
      </c>
      <c r="F10" s="58">
        <f>C10-F3</f>
        <v>10.39</v>
      </c>
      <c r="G10" s="58">
        <f>A1*(1-D10-G3)</f>
        <v>17.791</v>
      </c>
      <c r="H10" s="64">
        <f>IF(H3&gt;D10,A1*(1-H3),A1*(1-D10))</f>
        <v>20.39</v>
      </c>
      <c r="I10" s="58">
        <f>A1*(1-D10-I4)</f>
        <v>4.39</v>
      </c>
      <c r="J10" s="64">
        <f>IF(J4&gt;D10,A1*(1-J4),A1*(1-D10))</f>
        <v>10.99</v>
      </c>
      <c r="K10" s="58">
        <f>C10-A1*K3</f>
        <v>17.791</v>
      </c>
      <c r="L10" s="58">
        <f>A1*(1-D10-L4)</f>
        <v>7.39</v>
      </c>
      <c r="M10" s="58">
        <f>M3-(M3-C10)</f>
        <v>20.39</v>
      </c>
      <c r="N10" s="58">
        <f>A1*(1-N4-D9)</f>
        <v>3.38</v>
      </c>
      <c r="O10" s="58">
        <f>A1*(1-O3-D9)</f>
        <v>20.39</v>
      </c>
      <c r="P10" s="72"/>
      <c r="Q10" s="72"/>
      <c r="R10" s="72"/>
      <c r="S10" s="72"/>
      <c r="T10" s="72"/>
      <c r="U10" s="72"/>
      <c r="V10" s="72"/>
      <c r="W10" s="72"/>
    </row>
    <row r="11" s="43" customFormat="1" ht="21" customHeight="1" spans="1:23">
      <c r="A11" s="67" t="s">
        <v>128</v>
      </c>
      <c r="B11" s="67"/>
      <c r="C11" s="56">
        <v>0</v>
      </c>
      <c r="D11" s="56"/>
      <c r="E11" s="58">
        <f>A1-A1*(E3+C11)</f>
        <v>23.391</v>
      </c>
      <c r="F11" s="58">
        <f>A1-A1*C11-F3</f>
        <v>15.99</v>
      </c>
      <c r="G11" s="58">
        <f>A1-A1*(C11+G3)</f>
        <v>23.391</v>
      </c>
      <c r="H11" s="58">
        <f>A1-A1*(C11+H3)</f>
        <v>23.391</v>
      </c>
      <c r="I11" s="58">
        <f>I3-A1*C11</f>
        <v>9.99</v>
      </c>
      <c r="J11" s="58">
        <f>J3-A1*C11</f>
        <v>10.99</v>
      </c>
      <c r="K11" s="101">
        <f>IF(K3&gt;C11,A1*(1-K3),A1*(1-C11))</f>
        <v>23.391</v>
      </c>
      <c r="L11" s="58">
        <f>L3-A1*C11</f>
        <v>12.99</v>
      </c>
      <c r="M11" s="58">
        <f>M3*(1-C11)</f>
        <v>11.04</v>
      </c>
      <c r="N11" s="58">
        <f>N3-A1*C11</f>
        <v>8.98</v>
      </c>
      <c r="O11" s="58">
        <f>A1-A1*(O3+C11)</f>
        <v>25.99</v>
      </c>
      <c r="P11" s="72"/>
      <c r="Q11" s="72"/>
      <c r="R11" s="72"/>
      <c r="S11" s="72"/>
      <c r="T11" s="72"/>
      <c r="U11" s="72"/>
      <c r="V11" s="72"/>
      <c r="W11" s="72"/>
    </row>
    <row r="12" s="43" customFormat="1" ht="21" customHeight="1" spans="1:23">
      <c r="A12" s="67" t="s">
        <v>108</v>
      </c>
      <c r="B12" s="67"/>
      <c r="C12" s="68">
        <v>18.59</v>
      </c>
      <c r="D12" s="66">
        <f>(A1-C12)/A1</f>
        <v>0.284724894190073</v>
      </c>
      <c r="E12" s="58">
        <f>C12-A1*E3</f>
        <v>15.991</v>
      </c>
      <c r="F12" s="58">
        <f>C12-F3</f>
        <v>8.59</v>
      </c>
      <c r="G12" s="58">
        <f>C12-A1*G3</f>
        <v>15.991</v>
      </c>
      <c r="H12" s="58">
        <f>C12-A1*H3</f>
        <v>15.991</v>
      </c>
      <c r="I12" s="58">
        <f>A1*(1-D12-I4)</f>
        <v>2.59</v>
      </c>
      <c r="J12" s="58">
        <f>A1*(1-D12-J4)</f>
        <v>3.59</v>
      </c>
      <c r="K12" s="58">
        <f>C12-A1*K3</f>
        <v>15.991</v>
      </c>
      <c r="L12" s="57" t="s">
        <v>137</v>
      </c>
      <c r="M12" s="57" t="s">
        <v>137</v>
      </c>
      <c r="N12" s="57" t="s">
        <v>137</v>
      </c>
      <c r="O12" s="57" t="s">
        <v>137</v>
      </c>
      <c r="P12" s="72"/>
      <c r="Q12" s="72"/>
      <c r="R12" s="72"/>
      <c r="S12" s="72"/>
      <c r="T12" s="72"/>
      <c r="U12" s="72"/>
      <c r="V12" s="72"/>
      <c r="W12" s="72"/>
    </row>
    <row r="13" s="43" customFormat="1" ht="21" customHeight="1" spans="1:23">
      <c r="A13" s="67" t="s">
        <v>129</v>
      </c>
      <c r="B13" s="67"/>
      <c r="C13" s="68">
        <v>12.59</v>
      </c>
      <c r="D13" s="66">
        <f>(A1-C13)/A1</f>
        <v>0.515582916506349</v>
      </c>
      <c r="E13" s="58">
        <f>C13*(1-E3)</f>
        <v>11.331</v>
      </c>
      <c r="F13" s="58">
        <f>C13-F3</f>
        <v>2.59</v>
      </c>
      <c r="G13" s="58">
        <f>C13*(1-G3)</f>
        <v>11.331</v>
      </c>
      <c r="H13" s="58">
        <f>C13*(1-H3)</f>
        <v>11.331</v>
      </c>
      <c r="I13" s="58">
        <f>C13-(C13-I3)</f>
        <v>9.99</v>
      </c>
      <c r="J13" s="58">
        <f>C13-(C13-J3)</f>
        <v>10.99</v>
      </c>
      <c r="K13" s="58">
        <f>C13*(1-K3)</f>
        <v>11.331</v>
      </c>
      <c r="L13" s="57" t="s">
        <v>137</v>
      </c>
      <c r="M13" s="57" t="s">
        <v>137</v>
      </c>
      <c r="N13" s="57" t="s">
        <v>137</v>
      </c>
      <c r="O13" s="57" t="s">
        <v>137</v>
      </c>
      <c r="S13" s="72"/>
      <c r="T13" s="72"/>
      <c r="U13" s="72"/>
      <c r="V13" s="72"/>
      <c r="W13" s="72"/>
    </row>
    <row r="14" s="43" customFormat="1" ht="21" customHeight="1" spans="1:23">
      <c r="A14" s="67" t="s">
        <v>130</v>
      </c>
      <c r="B14" s="67"/>
      <c r="C14" s="68">
        <v>8.98</v>
      </c>
      <c r="D14" s="66">
        <f>(A1-C14)/A1</f>
        <v>0.654482493266641</v>
      </c>
      <c r="E14" s="58">
        <f>C14-A1*E3</f>
        <v>6.381</v>
      </c>
      <c r="F14" s="58">
        <f>C14-F3</f>
        <v>-1.02</v>
      </c>
      <c r="G14" s="58">
        <f>C14-A1*G3</f>
        <v>6.381</v>
      </c>
      <c r="H14" s="58">
        <f>C14-A1*H3</f>
        <v>6.381</v>
      </c>
      <c r="I14" s="58">
        <f>A1*(1-D14-I4)</f>
        <v>-7.02</v>
      </c>
      <c r="J14" s="58">
        <f>MIN(J3,C14)</f>
        <v>8.98</v>
      </c>
      <c r="K14" s="58">
        <f>C14-A1*K3</f>
        <v>6.381</v>
      </c>
      <c r="L14" s="57" t="s">
        <v>137</v>
      </c>
      <c r="M14" s="57" t="s">
        <v>137</v>
      </c>
      <c r="N14" s="57" t="s">
        <v>137</v>
      </c>
      <c r="O14" s="57" t="s">
        <v>137</v>
      </c>
      <c r="S14" s="72"/>
      <c r="T14" s="72"/>
      <c r="U14" s="72"/>
      <c r="V14" s="72"/>
      <c r="W14" s="72"/>
    </row>
    <row r="15" s="43" customFormat="1" ht="21" customHeight="1" spans="1:23">
      <c r="A15" s="67" t="s">
        <v>131</v>
      </c>
      <c r="B15" s="67"/>
      <c r="C15" s="69">
        <f>A1*(1-D15)</f>
        <v>22.0915</v>
      </c>
      <c r="D15" s="70">
        <v>0.15</v>
      </c>
      <c r="E15" s="58">
        <f>C15-C15*E3</f>
        <v>19.88235</v>
      </c>
      <c r="F15" s="58">
        <f>C15-F3</f>
        <v>12.0915</v>
      </c>
      <c r="G15" s="58">
        <f>C15-A1*G3</f>
        <v>19.4925</v>
      </c>
      <c r="H15" s="58">
        <f>C15-A1*H3</f>
        <v>19.4925</v>
      </c>
      <c r="I15" s="58">
        <f>A1*(1-D15-I4)</f>
        <v>6.0915</v>
      </c>
      <c r="J15" s="58">
        <f>A1*(1-D15-J4)</f>
        <v>7.0915</v>
      </c>
      <c r="K15" s="58">
        <f>C15-A1*K3</f>
        <v>19.4925</v>
      </c>
      <c r="L15" s="57" t="s">
        <v>137</v>
      </c>
      <c r="M15" s="57" t="s">
        <v>137</v>
      </c>
      <c r="N15" s="57" t="s">
        <v>137</v>
      </c>
      <c r="O15" s="57" t="s">
        <v>137</v>
      </c>
      <c r="P15" s="72"/>
      <c r="Q15" s="72"/>
      <c r="R15" s="72"/>
      <c r="S15" s="72"/>
      <c r="T15" s="72"/>
      <c r="U15" s="72"/>
      <c r="V15" s="72"/>
      <c r="W15" s="72"/>
    </row>
    <row r="16" s="43" customFormat="1" ht="27" customHeight="1" spans="3:23">
      <c r="C16" s="71" t="s">
        <v>136</v>
      </c>
      <c r="D16" s="71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="43" customFormat="1" customHeight="1" spans="5:23"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 s="43" customFormat="1" customHeight="1" spans="5:23">
      <c r="E18" s="72"/>
      <c r="F18" s="73" t="s">
        <v>141</v>
      </c>
      <c r="G18" s="73"/>
      <c r="H18" s="73"/>
      <c r="I18" s="73"/>
      <c r="J18" s="73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</row>
    <row r="19" s="43" customFormat="1" customHeight="1" spans="2:23">
      <c r="B19" s="74" t="s">
        <v>142</v>
      </c>
      <c r="C19" s="75"/>
      <c r="D19" s="75"/>
      <c r="F19" s="73" t="s">
        <v>143</v>
      </c>
      <c r="G19" s="73" t="s">
        <v>106</v>
      </c>
      <c r="H19" s="73" t="s">
        <v>144</v>
      </c>
      <c r="I19" s="73" t="s">
        <v>126</v>
      </c>
      <c r="J19" s="73" t="s">
        <v>145</v>
      </c>
      <c r="W19" s="72"/>
    </row>
    <row r="20" s="43" customFormat="1" customHeight="1" spans="2:23">
      <c r="B20" s="75"/>
      <c r="C20" s="75"/>
      <c r="D20" s="75"/>
      <c r="F20" s="73">
        <v>25.99</v>
      </c>
      <c r="G20" s="76">
        <v>0.1</v>
      </c>
      <c r="H20" s="76">
        <v>0.26</v>
      </c>
      <c r="I20" s="76">
        <v>0.3</v>
      </c>
      <c r="J20" s="102">
        <f>((F20*(1-G20))*(1-H20-I20))</f>
        <v>10.29204</v>
      </c>
      <c r="W20" s="72"/>
    </row>
    <row r="21" s="43" customFormat="1" customHeight="1" spans="2:23">
      <c r="B21" s="75"/>
      <c r="C21" s="75"/>
      <c r="D21" s="75"/>
      <c r="W21" s="72"/>
    </row>
    <row r="22" s="43" customFormat="1" customHeight="1" spans="2:23">
      <c r="B22" s="75"/>
      <c r="C22" s="75"/>
      <c r="D22" s="75"/>
      <c r="F22" s="77" t="s">
        <v>146</v>
      </c>
      <c r="G22" s="78" t="s">
        <v>147</v>
      </c>
      <c r="H22" s="78" t="s">
        <v>148</v>
      </c>
      <c r="I22" s="86" t="s">
        <v>149</v>
      </c>
      <c r="J22" s="78" t="s">
        <v>150</v>
      </c>
      <c r="K22" s="103" t="s">
        <v>151</v>
      </c>
      <c r="W22" s="72"/>
    </row>
    <row r="23" s="43" customFormat="1" customHeight="1" spans="2:23">
      <c r="B23" s="75"/>
      <c r="C23" s="75"/>
      <c r="D23" s="75"/>
      <c r="F23" s="77"/>
      <c r="G23" s="78">
        <v>9.99</v>
      </c>
      <c r="H23" s="79">
        <v>0.3</v>
      </c>
      <c r="I23" s="104">
        <f>J23+(G23*H23)</f>
        <v>9.987</v>
      </c>
      <c r="J23" s="78">
        <v>6.99</v>
      </c>
      <c r="K23" s="103"/>
      <c r="M23" s="105" t="s">
        <v>152</v>
      </c>
      <c r="N23" s="106"/>
      <c r="O23" s="106"/>
      <c r="P23" s="106"/>
      <c r="Q23" s="106"/>
      <c r="R23" s="106"/>
      <c r="W23" s="72"/>
    </row>
    <row r="24" s="43" customFormat="1" customHeight="1" spans="2:23">
      <c r="B24" s="75"/>
      <c r="C24" s="75"/>
      <c r="D24" s="75"/>
      <c r="F24" s="77"/>
      <c r="G24" s="78">
        <v>15.99</v>
      </c>
      <c r="H24" s="78">
        <v>3</v>
      </c>
      <c r="I24" s="107">
        <f>J24+H24</f>
        <v>9.99</v>
      </c>
      <c r="J24" s="78">
        <v>6.99</v>
      </c>
      <c r="K24" s="103"/>
      <c r="M24" s="106"/>
      <c r="N24" s="106"/>
      <c r="O24" s="106"/>
      <c r="P24" s="106"/>
      <c r="Q24" s="106"/>
      <c r="R24" s="106"/>
      <c r="W24" s="72"/>
    </row>
    <row r="25" s="43" customFormat="1" customHeight="1" spans="2:23">
      <c r="B25" s="75"/>
      <c r="C25" s="75"/>
      <c r="D25" s="75"/>
      <c r="F25" s="77"/>
      <c r="G25" s="78">
        <v>9.99</v>
      </c>
      <c r="H25" s="79">
        <v>0.3</v>
      </c>
      <c r="I25" s="79">
        <v>0.3</v>
      </c>
      <c r="J25" s="104">
        <f>G25-(G25*H25)-(G25*I25)</f>
        <v>3.996</v>
      </c>
      <c r="K25" s="103"/>
      <c r="M25" s="106"/>
      <c r="N25" s="106"/>
      <c r="O25" s="106"/>
      <c r="P25" s="106"/>
      <c r="Q25" s="106"/>
      <c r="R25" s="106"/>
      <c r="W25" s="72"/>
    </row>
    <row r="26" s="43" customFormat="1" customHeight="1" spans="2:23">
      <c r="B26" s="75"/>
      <c r="C26" s="75"/>
      <c r="D26" s="75"/>
      <c r="E26" s="72"/>
      <c r="F26" s="77"/>
      <c r="G26" s="78">
        <v>15.99</v>
      </c>
      <c r="H26" s="78">
        <v>5</v>
      </c>
      <c r="I26" s="79">
        <v>0.35</v>
      </c>
      <c r="J26" s="104">
        <f>G26-H26-(G26*I26)</f>
        <v>5.3935</v>
      </c>
      <c r="K26" s="103"/>
      <c r="L26" s="72"/>
      <c r="M26" s="106"/>
      <c r="N26" s="106"/>
      <c r="O26" s="106"/>
      <c r="P26" s="106"/>
      <c r="Q26" s="106"/>
      <c r="R26" s="106"/>
      <c r="S26" s="72"/>
      <c r="T26" s="72"/>
      <c r="U26" s="72"/>
      <c r="V26" s="72"/>
      <c r="W26" s="72"/>
    </row>
    <row r="27" s="43" customFormat="1" customHeight="1" spans="2:23">
      <c r="B27" s="75"/>
      <c r="C27" s="75"/>
      <c r="D27" s="75"/>
      <c r="E27" s="72"/>
      <c r="F27" s="77"/>
      <c r="G27" s="78">
        <v>9.99</v>
      </c>
      <c r="H27" s="79">
        <v>0.1</v>
      </c>
      <c r="I27" s="78">
        <v>10.42</v>
      </c>
      <c r="J27" s="104">
        <f>I27-(G27*H27)</f>
        <v>9.421</v>
      </c>
      <c r="K27" s="103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</row>
    <row r="28" s="43" customFormat="1" customHeight="1" spans="6:23">
      <c r="F28" s="77"/>
      <c r="G28" s="78">
        <v>25.99</v>
      </c>
      <c r="H28" s="78">
        <v>9</v>
      </c>
      <c r="I28" s="78">
        <v>25.99</v>
      </c>
      <c r="J28" s="107">
        <f>I28-H28</f>
        <v>16.99</v>
      </c>
      <c r="K28" s="103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</row>
    <row r="29" s="43" customFormat="1" customHeight="1" spans="10:23"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="43" customFormat="1" ht="36" customHeight="1" spans="5:23">
      <c r="E30" s="72"/>
      <c r="F30" s="80" t="s">
        <v>153</v>
      </c>
      <c r="G30" s="80"/>
      <c r="H30" s="80"/>
      <c r="I30" s="80"/>
      <c r="J30" s="80"/>
      <c r="K30" s="80"/>
      <c r="L30" s="80"/>
      <c r="M30" s="108"/>
      <c r="N30" s="108"/>
      <c r="O30" s="108"/>
      <c r="P30" s="108"/>
      <c r="Q30" s="72"/>
      <c r="R30" s="72"/>
      <c r="S30" s="72"/>
      <c r="T30" s="72"/>
      <c r="U30" s="72"/>
      <c r="V30" s="72"/>
      <c r="W30" s="72"/>
    </row>
    <row r="31" s="43" customFormat="1" customHeight="1" spans="5:23">
      <c r="E31" s="72"/>
      <c r="F31" s="81" t="s">
        <v>154</v>
      </c>
      <c r="G31" s="82" t="s">
        <v>138</v>
      </c>
      <c r="H31" s="82" t="s">
        <v>155</v>
      </c>
      <c r="I31" s="82" t="s">
        <v>145</v>
      </c>
      <c r="J31" s="82" t="s">
        <v>156</v>
      </c>
      <c r="K31" s="82" t="s">
        <v>157</v>
      </c>
      <c r="L31" s="82" t="s">
        <v>158</v>
      </c>
      <c r="M31" s="72"/>
      <c r="Q31" s="72"/>
      <c r="R31" s="72"/>
      <c r="S31" s="72"/>
      <c r="T31" s="72"/>
      <c r="U31" s="72"/>
      <c r="V31" s="72"/>
      <c r="W31" s="72"/>
    </row>
    <row r="32" customHeight="1" spans="6:12">
      <c r="F32" s="83" t="s">
        <v>159</v>
      </c>
      <c r="G32" s="78">
        <v>22.99</v>
      </c>
      <c r="H32" s="79">
        <v>0.2</v>
      </c>
      <c r="I32" s="104">
        <f t="shared" ref="I32:I34" si="0">G32*(1-H32)</f>
        <v>18.392</v>
      </c>
      <c r="J32" s="104">
        <f t="shared" ref="J32:J34" si="1">G32*H32</f>
        <v>4.598</v>
      </c>
      <c r="K32" s="104">
        <f>J32+K34</f>
        <v>5.12275</v>
      </c>
      <c r="L32" s="80">
        <f>G32-K32</f>
        <v>17.86725</v>
      </c>
    </row>
    <row r="33" customHeight="1" spans="6:12">
      <c r="F33" s="84" t="s">
        <v>160</v>
      </c>
      <c r="G33" s="78">
        <v>20.99</v>
      </c>
      <c r="H33" s="79">
        <v>0.2</v>
      </c>
      <c r="I33" s="104">
        <f t="shared" si="0"/>
        <v>16.792</v>
      </c>
      <c r="J33" s="104">
        <f t="shared" si="1"/>
        <v>4.198</v>
      </c>
      <c r="K33" s="104">
        <f>J33+K34</f>
        <v>4.72275</v>
      </c>
      <c r="L33" s="80">
        <f>G33-K33</f>
        <v>16.26725</v>
      </c>
    </row>
    <row r="34" customHeight="1" spans="6:12">
      <c r="F34" s="84" t="s">
        <v>160</v>
      </c>
      <c r="G34" s="78">
        <v>20.99</v>
      </c>
      <c r="H34" s="79">
        <v>0.05</v>
      </c>
      <c r="I34" s="104">
        <f t="shared" si="0"/>
        <v>19.9405</v>
      </c>
      <c r="J34" s="104">
        <f t="shared" si="1"/>
        <v>1.0495</v>
      </c>
      <c r="K34" s="104">
        <f>J34/2</f>
        <v>0.52475</v>
      </c>
      <c r="L34" s="78"/>
    </row>
    <row r="39" customHeight="1" spans="6:9">
      <c r="F39" s="85" t="s">
        <v>161</v>
      </c>
      <c r="G39" s="86">
        <v>2</v>
      </c>
      <c r="H39" s="86">
        <v>3</v>
      </c>
      <c r="I39" s="86">
        <f>G39+H39</f>
        <v>5</v>
      </c>
    </row>
    <row r="40" customHeight="1" spans="6:9">
      <c r="F40" s="87"/>
      <c r="G40" s="86">
        <v>2</v>
      </c>
      <c r="H40" s="86">
        <v>3</v>
      </c>
      <c r="I40" s="86">
        <f>G40+H40</f>
        <v>5</v>
      </c>
    </row>
    <row r="41" customHeight="1" spans="6:9">
      <c r="F41" s="88" t="s">
        <v>162</v>
      </c>
      <c r="G41" s="86">
        <v>2</v>
      </c>
      <c r="H41" s="86">
        <v>3</v>
      </c>
      <c r="I41" s="86">
        <f>G41-H41</f>
        <v>-1</v>
      </c>
    </row>
    <row r="42" customHeight="1" spans="6:9">
      <c r="F42" s="89"/>
      <c r="G42" s="86">
        <v>2</v>
      </c>
      <c r="H42" s="86">
        <v>3</v>
      </c>
      <c r="I42" s="86">
        <f>G42-H42</f>
        <v>-1</v>
      </c>
    </row>
    <row r="43" customHeight="1" spans="6:9">
      <c r="F43" s="90" t="s">
        <v>163</v>
      </c>
      <c r="G43" s="86">
        <v>27.99</v>
      </c>
      <c r="H43" s="86">
        <v>0.85</v>
      </c>
      <c r="I43" s="86">
        <f>G43*H43</f>
        <v>23.7915</v>
      </c>
    </row>
    <row r="44" customHeight="1" spans="6:9">
      <c r="F44" s="91"/>
      <c r="G44" s="86">
        <v>15.99</v>
      </c>
      <c r="H44" s="86">
        <v>0.8</v>
      </c>
      <c r="I44" s="86">
        <f>G44*H44</f>
        <v>12.792</v>
      </c>
    </row>
    <row r="45" customHeight="1" spans="6:9">
      <c r="F45" s="92" t="s">
        <v>164</v>
      </c>
      <c r="G45" s="86">
        <v>2</v>
      </c>
      <c r="H45" s="86">
        <v>3</v>
      </c>
      <c r="I45" s="86">
        <f>G45/H45</f>
        <v>0.666666666666667</v>
      </c>
    </row>
    <row r="46" customHeight="1" spans="6:9">
      <c r="F46" s="93"/>
      <c r="G46" s="86">
        <v>2</v>
      </c>
      <c r="H46" s="86">
        <v>3</v>
      </c>
      <c r="I46" s="86">
        <f>G46/H46</f>
        <v>0.666666666666667</v>
      </c>
    </row>
  </sheetData>
  <mergeCells count="37">
    <mergeCell ref="G1:J1"/>
    <mergeCell ref="C5:D5"/>
    <mergeCell ref="C6:D6"/>
    <mergeCell ref="C7:D7"/>
    <mergeCell ref="C8:D8"/>
    <mergeCell ref="A11:B11"/>
    <mergeCell ref="C11:D11"/>
    <mergeCell ref="A12:B12"/>
    <mergeCell ref="A13:B13"/>
    <mergeCell ref="A14:B14"/>
    <mergeCell ref="A15:B15"/>
    <mergeCell ref="C16:D16"/>
    <mergeCell ref="F18:J18"/>
    <mergeCell ref="F30:L30"/>
    <mergeCell ref="A7:A10"/>
    <mergeCell ref="E3:E4"/>
    <mergeCell ref="F3:F4"/>
    <mergeCell ref="F22:F28"/>
    <mergeCell ref="F39:F40"/>
    <mergeCell ref="F41:F42"/>
    <mergeCell ref="F43:F44"/>
    <mergeCell ref="F45:F46"/>
    <mergeCell ref="G3:G4"/>
    <mergeCell ref="H3:H4"/>
    <mergeCell ref="K1:K2"/>
    <mergeCell ref="K3:K4"/>
    <mergeCell ref="K22:K28"/>
    <mergeCell ref="L1:L2"/>
    <mergeCell ref="M1:M2"/>
    <mergeCell ref="N1:N2"/>
    <mergeCell ref="O1:O2"/>
    <mergeCell ref="P3:P4"/>
    <mergeCell ref="E1:F2"/>
    <mergeCell ref="A5:B6"/>
    <mergeCell ref="A1:D4"/>
    <mergeCell ref="M23:R26"/>
    <mergeCell ref="B19:D2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workbookViewId="0">
      <selection activeCell="M2" sqref="M2"/>
    </sheetView>
  </sheetViews>
  <sheetFormatPr defaultColWidth="12" defaultRowHeight="20" customHeight="1"/>
  <cols>
    <col min="1" max="1" width="19" style="26" customWidth="1"/>
    <col min="2" max="7" width="13.8333333333333" style="26" customWidth="1"/>
    <col min="8" max="9" width="13.8333333333333" style="27" customWidth="1"/>
    <col min="10" max="15" width="13.8333333333333" style="28" customWidth="1"/>
    <col min="16" max="16384" width="12" style="26"/>
  </cols>
  <sheetData>
    <row r="1" s="25" customFormat="1" ht="41" customHeight="1" spans="1:15">
      <c r="A1" s="29" t="s">
        <v>154</v>
      </c>
      <c r="B1" s="29" t="s">
        <v>165</v>
      </c>
      <c r="C1" s="29" t="s">
        <v>166</v>
      </c>
      <c r="D1" s="29" t="s">
        <v>167</v>
      </c>
      <c r="E1" s="29" t="s">
        <v>168</v>
      </c>
      <c r="F1" s="30" t="s">
        <v>169</v>
      </c>
      <c r="G1" s="29" t="s">
        <v>170</v>
      </c>
      <c r="H1" s="31" t="s">
        <v>171</v>
      </c>
      <c r="I1" s="34" t="s">
        <v>172</v>
      </c>
      <c r="J1" s="35" t="s">
        <v>173</v>
      </c>
      <c r="K1" s="35" t="s">
        <v>174</v>
      </c>
      <c r="L1" s="36" t="s">
        <v>175</v>
      </c>
      <c r="M1" s="35" t="s">
        <v>176</v>
      </c>
      <c r="N1" s="35" t="s">
        <v>177</v>
      </c>
      <c r="O1" s="36" t="s">
        <v>178</v>
      </c>
    </row>
    <row r="2" customHeight="1" spans="1:24">
      <c r="A2" s="6"/>
      <c r="B2" s="26">
        <v>15.99</v>
      </c>
      <c r="C2" s="26">
        <v>15.99</v>
      </c>
      <c r="D2" s="26">
        <v>15.99</v>
      </c>
      <c r="E2" s="27">
        <f t="shared" ref="E2:E21" si="0">D2*1.1</f>
        <v>17.589</v>
      </c>
      <c r="F2" s="32">
        <f t="shared" ref="F2:F21" si="1">D2-0.01</f>
        <v>15.98</v>
      </c>
      <c r="G2" s="26">
        <v>15.99</v>
      </c>
      <c r="H2" s="32">
        <f t="shared" ref="H2:H21" si="2">G2*0.85</f>
        <v>13.5915</v>
      </c>
      <c r="I2" s="37">
        <f t="shared" ref="I2:I21" si="3">E2*0.8</f>
        <v>14.0712</v>
      </c>
      <c r="J2" s="28">
        <f t="shared" ref="J2:J21" si="4">IF(I2&lt;H2,1,0)</f>
        <v>0</v>
      </c>
      <c r="K2" s="28">
        <f t="shared" ref="K2:K21" si="5">IF(I2&lt;D2,1,0)</f>
        <v>1</v>
      </c>
      <c r="L2" s="38">
        <f t="shared" ref="L2:L21" si="6">1-(F2/C2)</f>
        <v>0.000625390869293252</v>
      </c>
      <c r="M2" s="39"/>
      <c r="N2" s="40">
        <v>0.2</v>
      </c>
      <c r="O2" s="41">
        <f t="shared" ref="O2:O21" si="7">F2/(1-N2)</f>
        <v>19.975</v>
      </c>
      <c r="Q2" s="42" t="s">
        <v>179</v>
      </c>
      <c r="R2" s="42"/>
      <c r="S2" s="42"/>
      <c r="T2" s="42"/>
      <c r="U2" s="42"/>
      <c r="V2" s="42"/>
      <c r="W2" s="42"/>
      <c r="X2" s="42"/>
    </row>
    <row r="3" customHeight="1" spans="1:24">
      <c r="A3" s="6"/>
      <c r="B3" s="26">
        <v>16.99</v>
      </c>
      <c r="C3" s="26">
        <v>16.99</v>
      </c>
      <c r="D3" s="26">
        <v>16.99</v>
      </c>
      <c r="E3" s="27">
        <f t="shared" si="0"/>
        <v>18.689</v>
      </c>
      <c r="F3" s="32">
        <f t="shared" si="1"/>
        <v>16.98</v>
      </c>
      <c r="G3" s="26">
        <v>16.99</v>
      </c>
      <c r="H3" s="32">
        <f t="shared" si="2"/>
        <v>14.4415</v>
      </c>
      <c r="I3" s="37">
        <f t="shared" si="3"/>
        <v>14.9512</v>
      </c>
      <c r="J3" s="28">
        <f t="shared" si="4"/>
        <v>0</v>
      </c>
      <c r="K3" s="28">
        <f t="shared" si="5"/>
        <v>1</v>
      </c>
      <c r="L3" s="38">
        <f t="shared" si="6"/>
        <v>0.000588581518540465</v>
      </c>
      <c r="M3" s="39"/>
      <c r="N3" s="40">
        <v>0.2</v>
      </c>
      <c r="O3" s="41">
        <f t="shared" si="7"/>
        <v>21.225</v>
      </c>
      <c r="Q3" s="42"/>
      <c r="R3" s="42"/>
      <c r="S3" s="42"/>
      <c r="T3" s="42"/>
      <c r="U3" s="42"/>
      <c r="V3" s="42"/>
      <c r="W3" s="42"/>
      <c r="X3" s="42"/>
    </row>
    <row r="4" customHeight="1" spans="1:24">
      <c r="A4" s="6"/>
      <c r="B4" s="26">
        <v>30.99</v>
      </c>
      <c r="C4" s="26">
        <v>6.99</v>
      </c>
      <c r="D4" s="26">
        <v>6.99</v>
      </c>
      <c r="E4" s="27">
        <f t="shared" si="0"/>
        <v>7.689</v>
      </c>
      <c r="F4" s="32">
        <f t="shared" si="1"/>
        <v>6.98</v>
      </c>
      <c r="G4" s="26">
        <v>6.99</v>
      </c>
      <c r="H4" s="32">
        <f t="shared" si="2"/>
        <v>5.9415</v>
      </c>
      <c r="I4" s="37">
        <f t="shared" si="3"/>
        <v>6.1512</v>
      </c>
      <c r="J4" s="28">
        <f t="shared" si="4"/>
        <v>0</v>
      </c>
      <c r="K4" s="28">
        <f t="shared" si="5"/>
        <v>1</v>
      </c>
      <c r="L4" s="38">
        <f t="shared" si="6"/>
        <v>0.0014306151645207</v>
      </c>
      <c r="M4" s="39"/>
      <c r="N4" s="40">
        <v>0.2</v>
      </c>
      <c r="O4" s="41">
        <f t="shared" si="7"/>
        <v>8.725</v>
      </c>
      <c r="Q4" s="42"/>
      <c r="R4" s="42"/>
      <c r="S4" s="42"/>
      <c r="T4" s="42"/>
      <c r="U4" s="42"/>
      <c r="V4" s="42"/>
      <c r="W4" s="42"/>
      <c r="X4" s="42"/>
    </row>
    <row r="5" customHeight="1" spans="1:24">
      <c r="A5" s="6"/>
      <c r="B5" s="26">
        <v>27.99</v>
      </c>
      <c r="C5" s="26">
        <v>25.99</v>
      </c>
      <c r="D5" s="26">
        <v>25.99</v>
      </c>
      <c r="E5" s="27">
        <f t="shared" si="0"/>
        <v>28.589</v>
      </c>
      <c r="F5" s="32">
        <f t="shared" si="1"/>
        <v>25.98</v>
      </c>
      <c r="G5" s="26">
        <v>25.99</v>
      </c>
      <c r="H5" s="32">
        <f t="shared" si="2"/>
        <v>22.0915</v>
      </c>
      <c r="I5" s="37">
        <f t="shared" si="3"/>
        <v>22.8712</v>
      </c>
      <c r="J5" s="28">
        <f t="shared" si="4"/>
        <v>0</v>
      </c>
      <c r="K5" s="28">
        <f t="shared" si="5"/>
        <v>1</v>
      </c>
      <c r="L5" s="38">
        <f t="shared" si="6"/>
        <v>0.000384763370527175</v>
      </c>
      <c r="M5" s="39"/>
      <c r="N5" s="40">
        <v>0.2</v>
      </c>
      <c r="O5" s="41">
        <f t="shared" si="7"/>
        <v>32.475</v>
      </c>
      <c r="Q5" s="42"/>
      <c r="R5" s="42"/>
      <c r="S5" s="42"/>
      <c r="T5" s="42"/>
      <c r="U5" s="42"/>
      <c r="V5" s="42"/>
      <c r="W5" s="42"/>
      <c r="X5" s="42"/>
    </row>
    <row r="6" customHeight="1" spans="1:24">
      <c r="A6" s="6"/>
      <c r="B6" s="26">
        <v>27.99</v>
      </c>
      <c r="C6" s="26">
        <v>22.99</v>
      </c>
      <c r="D6" s="26">
        <v>23.55</v>
      </c>
      <c r="E6" s="27">
        <f t="shared" si="0"/>
        <v>25.905</v>
      </c>
      <c r="F6" s="32">
        <f t="shared" si="1"/>
        <v>23.54</v>
      </c>
      <c r="G6" s="26">
        <v>22.99</v>
      </c>
      <c r="H6" s="32">
        <f t="shared" si="2"/>
        <v>19.5415</v>
      </c>
      <c r="I6" s="37">
        <f t="shared" si="3"/>
        <v>20.724</v>
      </c>
      <c r="J6" s="28">
        <f t="shared" si="4"/>
        <v>0</v>
      </c>
      <c r="K6" s="28">
        <f t="shared" si="5"/>
        <v>1</v>
      </c>
      <c r="L6" s="38">
        <f t="shared" si="6"/>
        <v>-0.0239234449760766</v>
      </c>
      <c r="M6" s="39"/>
      <c r="N6" s="40">
        <v>0.2</v>
      </c>
      <c r="O6" s="41">
        <f t="shared" si="7"/>
        <v>29.425</v>
      </c>
      <c r="Q6" s="42"/>
      <c r="R6" s="42"/>
      <c r="S6" s="42"/>
      <c r="T6" s="42"/>
      <c r="U6" s="42"/>
      <c r="V6" s="42"/>
      <c r="W6" s="42"/>
      <c r="X6" s="42"/>
    </row>
    <row r="7" customHeight="1" spans="1:24">
      <c r="A7" s="6"/>
      <c r="B7" s="26">
        <v>7.59</v>
      </c>
      <c r="C7" s="26">
        <v>30.99</v>
      </c>
      <c r="D7" s="26">
        <v>30.99</v>
      </c>
      <c r="E7" s="27">
        <f t="shared" si="0"/>
        <v>34.089</v>
      </c>
      <c r="F7" s="32">
        <f t="shared" si="1"/>
        <v>30.98</v>
      </c>
      <c r="G7" s="26">
        <v>30.99</v>
      </c>
      <c r="H7" s="32">
        <f t="shared" si="2"/>
        <v>26.3415</v>
      </c>
      <c r="I7" s="37">
        <f t="shared" si="3"/>
        <v>27.2712</v>
      </c>
      <c r="J7" s="28">
        <f t="shared" si="4"/>
        <v>0</v>
      </c>
      <c r="K7" s="28">
        <f t="shared" si="5"/>
        <v>1</v>
      </c>
      <c r="L7" s="38">
        <f t="shared" si="6"/>
        <v>0.000322684737012024</v>
      </c>
      <c r="M7" s="39"/>
      <c r="N7" s="40">
        <v>0.2</v>
      </c>
      <c r="O7" s="41">
        <f t="shared" si="7"/>
        <v>38.725</v>
      </c>
      <c r="Q7" s="42"/>
      <c r="R7" s="42"/>
      <c r="S7" s="42"/>
      <c r="T7" s="42"/>
      <c r="U7" s="42"/>
      <c r="V7" s="42"/>
      <c r="W7" s="42"/>
      <c r="X7" s="42"/>
    </row>
    <row r="8" customHeight="1" spans="1:24">
      <c r="A8" s="6"/>
      <c r="B8" s="26">
        <v>7.59</v>
      </c>
      <c r="C8" s="26">
        <v>30.99</v>
      </c>
      <c r="D8" s="26">
        <v>30.99</v>
      </c>
      <c r="E8" s="27">
        <f t="shared" si="0"/>
        <v>34.089</v>
      </c>
      <c r="F8" s="32">
        <f t="shared" si="1"/>
        <v>30.98</v>
      </c>
      <c r="G8" s="26">
        <v>30.99</v>
      </c>
      <c r="H8" s="32">
        <f t="shared" si="2"/>
        <v>26.3415</v>
      </c>
      <c r="I8" s="37">
        <f t="shared" si="3"/>
        <v>27.2712</v>
      </c>
      <c r="J8" s="28">
        <f t="shared" si="4"/>
        <v>0</v>
      </c>
      <c r="K8" s="28">
        <f t="shared" si="5"/>
        <v>1</v>
      </c>
      <c r="L8" s="38">
        <f t="shared" si="6"/>
        <v>0.000322684737012024</v>
      </c>
      <c r="M8" s="39"/>
      <c r="N8" s="40">
        <v>0.2</v>
      </c>
      <c r="O8" s="41">
        <f t="shared" si="7"/>
        <v>38.725</v>
      </c>
      <c r="Q8" s="42"/>
      <c r="R8" s="42"/>
      <c r="S8" s="42"/>
      <c r="T8" s="42"/>
      <c r="U8" s="42"/>
      <c r="V8" s="42"/>
      <c r="W8" s="42"/>
      <c r="X8" s="42"/>
    </row>
    <row r="9" customHeight="1" spans="1:24">
      <c r="A9" s="6"/>
      <c r="B9" s="26">
        <v>7.59</v>
      </c>
      <c r="C9" s="26">
        <v>30.99</v>
      </c>
      <c r="D9" s="26">
        <v>30.99</v>
      </c>
      <c r="E9" s="27">
        <f t="shared" si="0"/>
        <v>34.089</v>
      </c>
      <c r="F9" s="32">
        <f t="shared" si="1"/>
        <v>30.98</v>
      </c>
      <c r="G9" s="26">
        <v>30.99</v>
      </c>
      <c r="H9" s="32">
        <f t="shared" si="2"/>
        <v>26.3415</v>
      </c>
      <c r="I9" s="37">
        <f t="shared" si="3"/>
        <v>27.2712</v>
      </c>
      <c r="J9" s="28">
        <f t="shared" si="4"/>
        <v>0</v>
      </c>
      <c r="K9" s="28">
        <f t="shared" si="5"/>
        <v>1</v>
      </c>
      <c r="L9" s="38">
        <f t="shared" si="6"/>
        <v>0.000322684737012024</v>
      </c>
      <c r="M9" s="39"/>
      <c r="N9" s="40">
        <v>0.2</v>
      </c>
      <c r="O9" s="41">
        <f t="shared" si="7"/>
        <v>38.725</v>
      </c>
      <c r="Q9" s="42"/>
      <c r="R9" s="42"/>
      <c r="S9" s="42"/>
      <c r="T9" s="42"/>
      <c r="U9" s="42"/>
      <c r="V9" s="42"/>
      <c r="W9" s="42"/>
      <c r="X9" s="42"/>
    </row>
    <row r="10" customHeight="1" spans="1:24">
      <c r="A10" s="6"/>
      <c r="B10" s="26">
        <v>7.59</v>
      </c>
      <c r="C10" s="26">
        <v>30.99</v>
      </c>
      <c r="D10" s="26">
        <v>30.99</v>
      </c>
      <c r="E10" s="27">
        <f t="shared" si="0"/>
        <v>34.089</v>
      </c>
      <c r="F10" s="32">
        <f t="shared" si="1"/>
        <v>30.98</v>
      </c>
      <c r="G10" s="26">
        <v>30.99</v>
      </c>
      <c r="H10" s="32">
        <f t="shared" si="2"/>
        <v>26.3415</v>
      </c>
      <c r="I10" s="37">
        <f t="shared" si="3"/>
        <v>27.2712</v>
      </c>
      <c r="J10" s="28">
        <f t="shared" si="4"/>
        <v>0</v>
      </c>
      <c r="K10" s="28">
        <f t="shared" si="5"/>
        <v>1</v>
      </c>
      <c r="L10" s="38">
        <f t="shared" si="6"/>
        <v>0.000322684737012024</v>
      </c>
      <c r="M10" s="39"/>
      <c r="N10" s="40">
        <v>0.2</v>
      </c>
      <c r="O10" s="41">
        <f t="shared" si="7"/>
        <v>38.725</v>
      </c>
      <c r="Q10" s="42"/>
      <c r="R10" s="42"/>
      <c r="S10" s="42"/>
      <c r="T10" s="42"/>
      <c r="U10" s="42"/>
      <c r="V10" s="42"/>
      <c r="W10" s="42"/>
      <c r="X10" s="42"/>
    </row>
    <row r="11" customHeight="1" spans="1:24">
      <c r="A11" s="6"/>
      <c r="B11" s="26">
        <v>7.59</v>
      </c>
      <c r="C11" s="26">
        <v>30.99</v>
      </c>
      <c r="D11" s="26">
        <v>30.99</v>
      </c>
      <c r="E11" s="27">
        <f t="shared" si="0"/>
        <v>34.089</v>
      </c>
      <c r="F11" s="32">
        <f t="shared" si="1"/>
        <v>30.98</v>
      </c>
      <c r="G11" s="26">
        <v>30.99</v>
      </c>
      <c r="H11" s="32">
        <f t="shared" si="2"/>
        <v>26.3415</v>
      </c>
      <c r="I11" s="37">
        <f t="shared" si="3"/>
        <v>27.2712</v>
      </c>
      <c r="J11" s="28">
        <f t="shared" si="4"/>
        <v>0</v>
      </c>
      <c r="K11" s="28">
        <f t="shared" si="5"/>
        <v>1</v>
      </c>
      <c r="L11" s="38">
        <f t="shared" si="6"/>
        <v>0.000322684737012024</v>
      </c>
      <c r="M11" s="39"/>
      <c r="N11" s="40">
        <v>0.2</v>
      </c>
      <c r="O11" s="41">
        <f t="shared" si="7"/>
        <v>38.725</v>
      </c>
      <c r="Q11" s="42"/>
      <c r="R11" s="42"/>
      <c r="S11" s="42"/>
      <c r="T11" s="42"/>
      <c r="U11" s="42"/>
      <c r="V11" s="42"/>
      <c r="W11" s="42"/>
      <c r="X11" s="42"/>
    </row>
    <row r="12" customHeight="1" spans="1:24">
      <c r="A12" s="6"/>
      <c r="B12" s="26">
        <v>7.59</v>
      </c>
      <c r="C12" s="26">
        <v>30.99</v>
      </c>
      <c r="D12" s="26">
        <v>30.99</v>
      </c>
      <c r="E12" s="27">
        <f t="shared" si="0"/>
        <v>34.089</v>
      </c>
      <c r="F12" s="32">
        <f t="shared" si="1"/>
        <v>30.98</v>
      </c>
      <c r="G12" s="26">
        <v>30.99</v>
      </c>
      <c r="H12" s="32">
        <f t="shared" si="2"/>
        <v>26.3415</v>
      </c>
      <c r="I12" s="37">
        <f t="shared" si="3"/>
        <v>27.2712</v>
      </c>
      <c r="J12" s="28">
        <f t="shared" si="4"/>
        <v>0</v>
      </c>
      <c r="K12" s="28">
        <f t="shared" si="5"/>
        <v>1</v>
      </c>
      <c r="L12" s="38">
        <f t="shared" si="6"/>
        <v>0.000322684737012024</v>
      </c>
      <c r="M12" s="39"/>
      <c r="N12" s="40">
        <v>0.2</v>
      </c>
      <c r="O12" s="41">
        <f t="shared" si="7"/>
        <v>38.725</v>
      </c>
      <c r="Q12" s="42"/>
      <c r="R12" s="42"/>
      <c r="S12" s="42"/>
      <c r="T12" s="42"/>
      <c r="U12" s="42"/>
      <c r="V12" s="42"/>
      <c r="W12" s="42"/>
      <c r="X12" s="42"/>
    </row>
    <row r="13" customHeight="1" spans="1:24">
      <c r="A13" s="6"/>
      <c r="B13" s="26">
        <v>7.59</v>
      </c>
      <c r="C13" s="26">
        <v>30.99</v>
      </c>
      <c r="D13" s="26">
        <v>30.99</v>
      </c>
      <c r="E13" s="27">
        <f t="shared" si="0"/>
        <v>34.089</v>
      </c>
      <c r="F13" s="32">
        <f t="shared" si="1"/>
        <v>30.98</v>
      </c>
      <c r="G13" s="26">
        <v>30.99</v>
      </c>
      <c r="H13" s="32">
        <f t="shared" si="2"/>
        <v>26.3415</v>
      </c>
      <c r="I13" s="37">
        <f t="shared" si="3"/>
        <v>27.2712</v>
      </c>
      <c r="J13" s="28">
        <f t="shared" si="4"/>
        <v>0</v>
      </c>
      <c r="K13" s="28">
        <f t="shared" si="5"/>
        <v>1</v>
      </c>
      <c r="L13" s="38">
        <f t="shared" si="6"/>
        <v>0.000322684737012024</v>
      </c>
      <c r="M13" s="39"/>
      <c r="N13" s="40">
        <v>0.2</v>
      </c>
      <c r="O13" s="41">
        <f t="shared" si="7"/>
        <v>38.725</v>
      </c>
      <c r="Q13" s="42"/>
      <c r="R13" s="42"/>
      <c r="S13" s="42"/>
      <c r="T13" s="42"/>
      <c r="U13" s="42"/>
      <c r="V13" s="42"/>
      <c r="W13" s="42"/>
      <c r="X13" s="42"/>
    </row>
    <row r="14" customHeight="1" spans="1:24">
      <c r="A14" s="6"/>
      <c r="B14" s="26">
        <v>7.59</v>
      </c>
      <c r="C14" s="26">
        <v>30.99</v>
      </c>
      <c r="D14" s="26">
        <v>30.99</v>
      </c>
      <c r="E14" s="27">
        <f t="shared" si="0"/>
        <v>34.089</v>
      </c>
      <c r="F14" s="32">
        <f t="shared" si="1"/>
        <v>30.98</v>
      </c>
      <c r="G14" s="26">
        <v>30.99</v>
      </c>
      <c r="H14" s="32">
        <f t="shared" si="2"/>
        <v>26.3415</v>
      </c>
      <c r="I14" s="37">
        <f t="shared" si="3"/>
        <v>27.2712</v>
      </c>
      <c r="J14" s="28">
        <f t="shared" si="4"/>
        <v>0</v>
      </c>
      <c r="K14" s="28">
        <f t="shared" si="5"/>
        <v>1</v>
      </c>
      <c r="L14" s="38">
        <f t="shared" si="6"/>
        <v>0.000322684737012024</v>
      </c>
      <c r="M14" s="39"/>
      <c r="N14" s="40">
        <v>0.2</v>
      </c>
      <c r="O14" s="41">
        <f t="shared" si="7"/>
        <v>38.725</v>
      </c>
      <c r="Q14" s="42"/>
      <c r="R14" s="42"/>
      <c r="S14" s="42"/>
      <c r="T14" s="42"/>
      <c r="U14" s="42"/>
      <c r="V14" s="42"/>
      <c r="W14" s="42"/>
      <c r="X14" s="42"/>
    </row>
    <row r="15" customHeight="1" spans="1:24">
      <c r="A15" s="6"/>
      <c r="B15" s="26">
        <v>7.59</v>
      </c>
      <c r="C15" s="26">
        <v>30.99</v>
      </c>
      <c r="D15" s="26">
        <v>30.99</v>
      </c>
      <c r="E15" s="27">
        <f t="shared" si="0"/>
        <v>34.089</v>
      </c>
      <c r="F15" s="32">
        <f t="shared" si="1"/>
        <v>30.98</v>
      </c>
      <c r="G15" s="26">
        <v>30.99</v>
      </c>
      <c r="H15" s="32">
        <f t="shared" si="2"/>
        <v>26.3415</v>
      </c>
      <c r="I15" s="37">
        <f t="shared" si="3"/>
        <v>27.2712</v>
      </c>
      <c r="J15" s="28">
        <f t="shared" si="4"/>
        <v>0</v>
      </c>
      <c r="K15" s="28">
        <f t="shared" si="5"/>
        <v>1</v>
      </c>
      <c r="L15" s="38">
        <f t="shared" si="6"/>
        <v>0.000322684737012024</v>
      </c>
      <c r="M15" s="39"/>
      <c r="N15" s="40">
        <v>0.2</v>
      </c>
      <c r="O15" s="41">
        <f t="shared" si="7"/>
        <v>38.725</v>
      </c>
      <c r="Q15" s="42"/>
      <c r="R15" s="42"/>
      <c r="S15" s="42"/>
      <c r="T15" s="42"/>
      <c r="U15" s="42"/>
      <c r="V15" s="42"/>
      <c r="W15" s="42"/>
      <c r="X15" s="42"/>
    </row>
    <row r="16" customHeight="1" spans="1:24">
      <c r="A16" s="6"/>
      <c r="B16" s="26">
        <v>7.59</v>
      </c>
      <c r="C16" s="26">
        <v>30.99</v>
      </c>
      <c r="D16" s="26">
        <v>30.99</v>
      </c>
      <c r="E16" s="27">
        <f t="shared" si="0"/>
        <v>34.089</v>
      </c>
      <c r="F16" s="32">
        <f t="shared" si="1"/>
        <v>30.98</v>
      </c>
      <c r="G16" s="26">
        <v>30.99</v>
      </c>
      <c r="H16" s="32">
        <f t="shared" si="2"/>
        <v>26.3415</v>
      </c>
      <c r="I16" s="37">
        <f t="shared" si="3"/>
        <v>27.2712</v>
      </c>
      <c r="J16" s="28">
        <f t="shared" si="4"/>
        <v>0</v>
      </c>
      <c r="K16" s="28">
        <f t="shared" si="5"/>
        <v>1</v>
      </c>
      <c r="L16" s="38">
        <f t="shared" si="6"/>
        <v>0.000322684737012024</v>
      </c>
      <c r="M16" s="39"/>
      <c r="N16" s="40">
        <v>0.2</v>
      </c>
      <c r="O16" s="41">
        <f t="shared" si="7"/>
        <v>38.725</v>
      </c>
      <c r="Q16" s="42"/>
      <c r="R16" s="42"/>
      <c r="S16" s="42"/>
      <c r="T16" s="42"/>
      <c r="U16" s="42"/>
      <c r="V16" s="42"/>
      <c r="W16" s="42"/>
      <c r="X16" s="42"/>
    </row>
    <row r="17" customHeight="1" spans="1:24">
      <c r="A17" s="6"/>
      <c r="B17" s="26">
        <v>7.59</v>
      </c>
      <c r="C17" s="26">
        <v>30.99</v>
      </c>
      <c r="D17" s="26">
        <v>30.99</v>
      </c>
      <c r="E17" s="27">
        <f t="shared" si="0"/>
        <v>34.089</v>
      </c>
      <c r="F17" s="32">
        <f t="shared" si="1"/>
        <v>30.98</v>
      </c>
      <c r="G17" s="26">
        <v>30.99</v>
      </c>
      <c r="H17" s="32">
        <f t="shared" si="2"/>
        <v>26.3415</v>
      </c>
      <c r="I17" s="37">
        <f t="shared" si="3"/>
        <v>27.2712</v>
      </c>
      <c r="J17" s="28">
        <f t="shared" si="4"/>
        <v>0</v>
      </c>
      <c r="K17" s="28">
        <f t="shared" si="5"/>
        <v>1</v>
      </c>
      <c r="L17" s="38">
        <f t="shared" si="6"/>
        <v>0.000322684737012024</v>
      </c>
      <c r="M17" s="39"/>
      <c r="N17" s="40">
        <v>0.2</v>
      </c>
      <c r="O17" s="41">
        <f t="shared" si="7"/>
        <v>38.725</v>
      </c>
      <c r="Q17" s="42"/>
      <c r="R17" s="42"/>
      <c r="S17" s="42"/>
      <c r="T17" s="42"/>
      <c r="U17" s="42"/>
      <c r="V17" s="42"/>
      <c r="W17" s="42"/>
      <c r="X17" s="42"/>
    </row>
    <row r="18" customHeight="1" spans="1:24">
      <c r="A18" s="6"/>
      <c r="B18" s="26">
        <v>7.59</v>
      </c>
      <c r="C18" s="26">
        <v>30.99</v>
      </c>
      <c r="D18" s="26">
        <v>30.99</v>
      </c>
      <c r="E18" s="27">
        <f t="shared" si="0"/>
        <v>34.089</v>
      </c>
      <c r="F18" s="32">
        <f t="shared" si="1"/>
        <v>30.98</v>
      </c>
      <c r="G18" s="26">
        <v>30.99</v>
      </c>
      <c r="H18" s="32">
        <f t="shared" si="2"/>
        <v>26.3415</v>
      </c>
      <c r="I18" s="37">
        <f t="shared" si="3"/>
        <v>27.2712</v>
      </c>
      <c r="J18" s="28">
        <f t="shared" si="4"/>
        <v>0</v>
      </c>
      <c r="K18" s="28">
        <f t="shared" si="5"/>
        <v>1</v>
      </c>
      <c r="L18" s="38">
        <f t="shared" si="6"/>
        <v>0.000322684737012024</v>
      </c>
      <c r="M18" s="39"/>
      <c r="N18" s="40">
        <v>0.2</v>
      </c>
      <c r="O18" s="41">
        <f t="shared" si="7"/>
        <v>38.725</v>
      </c>
      <c r="Q18" s="42"/>
      <c r="R18" s="42"/>
      <c r="S18" s="42"/>
      <c r="T18" s="42"/>
      <c r="U18" s="42"/>
      <c r="V18" s="42"/>
      <c r="W18" s="42"/>
      <c r="X18" s="42"/>
    </row>
    <row r="19" customHeight="1" spans="1:24">
      <c r="A19" s="33"/>
      <c r="B19" s="26">
        <v>7.59</v>
      </c>
      <c r="C19" s="26">
        <v>30.99</v>
      </c>
      <c r="D19" s="26">
        <v>30.99</v>
      </c>
      <c r="E19" s="27">
        <f t="shared" si="0"/>
        <v>34.089</v>
      </c>
      <c r="F19" s="32">
        <f t="shared" si="1"/>
        <v>30.98</v>
      </c>
      <c r="G19" s="26">
        <v>30.99</v>
      </c>
      <c r="H19" s="32">
        <f t="shared" si="2"/>
        <v>26.3415</v>
      </c>
      <c r="I19" s="37">
        <f t="shared" si="3"/>
        <v>27.2712</v>
      </c>
      <c r="J19" s="28">
        <f t="shared" si="4"/>
        <v>0</v>
      </c>
      <c r="K19" s="28">
        <f t="shared" si="5"/>
        <v>1</v>
      </c>
      <c r="L19" s="38">
        <f t="shared" si="6"/>
        <v>0.000322684737012024</v>
      </c>
      <c r="M19" s="39"/>
      <c r="N19" s="40">
        <v>0.2</v>
      </c>
      <c r="O19" s="41">
        <f t="shared" si="7"/>
        <v>38.725</v>
      </c>
      <c r="Q19" s="42"/>
      <c r="R19" s="42"/>
      <c r="S19" s="42"/>
      <c r="T19" s="42"/>
      <c r="U19" s="42"/>
      <c r="V19" s="42"/>
      <c r="W19" s="42"/>
      <c r="X19" s="42"/>
    </row>
    <row r="20" customHeight="1" spans="1:24">
      <c r="A20" s="33"/>
      <c r="B20" s="26">
        <v>7.59</v>
      </c>
      <c r="C20" s="26">
        <v>30.99</v>
      </c>
      <c r="D20" s="26">
        <v>30.99</v>
      </c>
      <c r="E20" s="27">
        <f t="shared" si="0"/>
        <v>34.089</v>
      </c>
      <c r="F20" s="32">
        <f t="shared" si="1"/>
        <v>30.98</v>
      </c>
      <c r="G20" s="26">
        <v>30.99</v>
      </c>
      <c r="H20" s="32">
        <f t="shared" si="2"/>
        <v>26.3415</v>
      </c>
      <c r="I20" s="37">
        <f t="shared" si="3"/>
        <v>27.2712</v>
      </c>
      <c r="J20" s="28">
        <f t="shared" si="4"/>
        <v>0</v>
      </c>
      <c r="K20" s="28">
        <f t="shared" si="5"/>
        <v>1</v>
      </c>
      <c r="L20" s="38">
        <f t="shared" si="6"/>
        <v>0.000322684737012024</v>
      </c>
      <c r="M20" s="39"/>
      <c r="N20" s="40">
        <v>0.2</v>
      </c>
      <c r="O20" s="41">
        <f t="shared" si="7"/>
        <v>38.725</v>
      </c>
      <c r="Q20" s="42"/>
      <c r="R20" s="42"/>
      <c r="S20" s="42"/>
      <c r="T20" s="42"/>
      <c r="U20" s="42"/>
      <c r="V20" s="42"/>
      <c r="W20" s="42"/>
      <c r="X20" s="42"/>
    </row>
    <row r="21" customHeight="1" spans="5:24">
      <c r="E21" s="27"/>
      <c r="F21" s="32"/>
      <c r="H21" s="32"/>
      <c r="I21" s="37"/>
      <c r="L21" s="38"/>
      <c r="M21" s="39"/>
      <c r="N21" s="40"/>
      <c r="O21" s="41"/>
      <c r="Q21" s="42"/>
      <c r="R21" s="42"/>
      <c r="S21" s="42"/>
      <c r="T21" s="42"/>
      <c r="U21" s="42"/>
      <c r="V21" s="42"/>
      <c r="W21" s="42"/>
      <c r="X21" s="42"/>
    </row>
    <row r="22" customHeight="1" spans="17:24">
      <c r="Q22" s="42"/>
      <c r="R22" s="42"/>
      <c r="S22" s="42"/>
      <c r="T22" s="42"/>
      <c r="U22" s="42"/>
      <c r="V22" s="42"/>
      <c r="W22" s="42"/>
      <c r="X22" s="42"/>
    </row>
    <row r="23" customHeight="1" spans="17:24">
      <c r="Q23" s="42"/>
      <c r="R23" s="42"/>
      <c r="S23" s="42"/>
      <c r="T23" s="42"/>
      <c r="U23" s="42"/>
      <c r="V23" s="42"/>
      <c r="W23" s="42"/>
      <c r="X23" s="42"/>
    </row>
    <row r="24" customHeight="1" spans="17:24">
      <c r="Q24" s="42"/>
      <c r="R24" s="42"/>
      <c r="S24" s="42"/>
      <c r="T24" s="42"/>
      <c r="U24" s="42"/>
      <c r="V24" s="42"/>
      <c r="W24" s="42"/>
      <c r="X24" s="42"/>
    </row>
  </sheetData>
  <mergeCells count="1">
    <mergeCell ref="Q2:X24"/>
  </mergeCells>
  <pageMargins left="0.75" right="0.75" top="1" bottom="1" header="0.5" footer="0.5"/>
  <headerFooter/>
  <ignoredErrors>
    <ignoredError sqref="I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tabSelected="1" workbookViewId="0">
      <pane ySplit="1" topLeftCell="A2" activePane="bottomLeft" state="frozen"/>
      <selection/>
      <selection pane="bottomLeft" activeCell="I39" sqref="I39"/>
    </sheetView>
  </sheetViews>
  <sheetFormatPr defaultColWidth="12" defaultRowHeight="13.5"/>
  <cols>
    <col min="1" max="1" width="17.0888888888889" style="2" customWidth="1"/>
    <col min="2" max="2" width="12" style="2"/>
    <col min="3" max="3" width="31.1666666666667" style="2" customWidth="1"/>
    <col min="4" max="4" width="54.8333333333333" style="2" customWidth="1"/>
    <col min="5" max="5" width="12" style="3"/>
    <col min="6" max="6" width="94.8333333333333" style="2" customWidth="1"/>
    <col min="7" max="7" width="17.5" style="4" customWidth="1"/>
    <col min="8" max="16384" width="12" style="2"/>
  </cols>
  <sheetData>
    <row r="1" s="1" customFormat="1" ht="26" customHeight="1" spans="3:7">
      <c r="C1" s="1" t="s">
        <v>180</v>
      </c>
      <c r="D1" s="1" t="s">
        <v>181</v>
      </c>
      <c r="E1" s="1" t="s">
        <v>182</v>
      </c>
      <c r="F1" s="1" t="s">
        <v>183</v>
      </c>
      <c r="G1" s="5" t="s">
        <v>184</v>
      </c>
    </row>
    <row r="2" s="2" customFormat="1" spans="1:12">
      <c r="A2" s="6" t="s">
        <v>155</v>
      </c>
      <c r="B2" s="7">
        <v>1</v>
      </c>
      <c r="C2" s="8" t="s">
        <v>185</v>
      </c>
      <c r="D2" s="9" t="s">
        <v>186</v>
      </c>
      <c r="E2" s="7">
        <v>20</v>
      </c>
      <c r="F2" s="10" t="s">
        <v>187</v>
      </c>
      <c r="G2" s="11" t="s">
        <v>188</v>
      </c>
      <c r="H2" s="12" t="s">
        <v>189</v>
      </c>
      <c r="I2" s="13"/>
      <c r="J2" s="13"/>
      <c r="K2" s="13"/>
      <c r="L2" s="13"/>
    </row>
    <row r="3" s="2" customFormat="1" spans="1:12">
      <c r="A3" s="6"/>
      <c r="B3" s="7"/>
      <c r="C3" s="8" t="s">
        <v>190</v>
      </c>
      <c r="D3" s="8" t="s">
        <v>191</v>
      </c>
      <c r="E3" s="7"/>
      <c r="F3" s="10"/>
      <c r="G3" s="11"/>
      <c r="H3" s="13"/>
      <c r="I3" s="13"/>
      <c r="J3" s="13"/>
      <c r="K3" s="13"/>
      <c r="L3" s="13"/>
    </row>
    <row r="4" s="2" customFormat="1" spans="1:12">
      <c r="A4" s="6"/>
      <c r="B4" s="7"/>
      <c r="C4" s="8" t="s">
        <v>192</v>
      </c>
      <c r="D4" s="8" t="s">
        <v>193</v>
      </c>
      <c r="E4" s="14">
        <v>0.05</v>
      </c>
      <c r="F4" s="10"/>
      <c r="G4" s="11"/>
      <c r="H4" s="13"/>
      <c r="I4" s="13"/>
      <c r="J4" s="13"/>
      <c r="K4" s="13"/>
      <c r="L4" s="13"/>
    </row>
    <row r="5" s="2" customFormat="1" spans="1:12">
      <c r="A5" s="6"/>
      <c r="B5" s="7"/>
      <c r="C5" s="8" t="s">
        <v>194</v>
      </c>
      <c r="D5" s="9" t="s">
        <v>190</v>
      </c>
      <c r="E5" s="7"/>
      <c r="F5" s="10"/>
      <c r="G5" s="11"/>
      <c r="H5" s="13"/>
      <c r="I5" s="13"/>
      <c r="J5" s="13"/>
      <c r="K5" s="13"/>
      <c r="L5" s="13"/>
    </row>
    <row r="6" s="2" customFormat="1" spans="1:12">
      <c r="A6" s="6"/>
      <c r="B6" s="7"/>
      <c r="C6" s="8" t="s">
        <v>195</v>
      </c>
      <c r="D6" s="8" t="s">
        <v>196</v>
      </c>
      <c r="E6" s="7"/>
      <c r="F6" s="10"/>
      <c r="G6" s="11"/>
      <c r="H6" s="13"/>
      <c r="I6" s="13"/>
      <c r="J6" s="13"/>
      <c r="K6" s="13"/>
      <c r="L6" s="13"/>
    </row>
    <row r="7" s="2" customFormat="1" spans="1:12">
      <c r="A7" s="6"/>
      <c r="B7" s="15"/>
      <c r="C7" s="15"/>
      <c r="D7" s="15"/>
      <c r="E7" s="6"/>
      <c r="F7" s="15"/>
      <c r="G7" s="4"/>
      <c r="H7" s="13"/>
      <c r="I7" s="13"/>
      <c r="J7" s="13"/>
      <c r="K7" s="13"/>
      <c r="L7" s="13"/>
    </row>
    <row r="8" s="2" customFormat="1" spans="1:12">
      <c r="A8" s="6"/>
      <c r="B8" s="16">
        <v>2</v>
      </c>
      <c r="C8" s="17" t="s">
        <v>185</v>
      </c>
      <c r="D8" s="18" t="s">
        <v>186</v>
      </c>
      <c r="E8" s="16">
        <v>20</v>
      </c>
      <c r="F8" s="19" t="s">
        <v>197</v>
      </c>
      <c r="G8" s="11" t="s">
        <v>198</v>
      </c>
      <c r="H8" s="13"/>
      <c r="I8" s="13"/>
      <c r="J8" s="13"/>
      <c r="K8" s="13"/>
      <c r="L8" s="13"/>
    </row>
    <row r="9" s="2" customFormat="1" spans="1:12">
      <c r="A9" s="6"/>
      <c r="B9" s="16"/>
      <c r="C9" s="17" t="s">
        <v>190</v>
      </c>
      <c r="D9" s="17" t="s">
        <v>191</v>
      </c>
      <c r="E9" s="16"/>
      <c r="F9" s="20"/>
      <c r="G9" s="11"/>
      <c r="H9" s="13"/>
      <c r="I9" s="13"/>
      <c r="J9" s="13"/>
      <c r="K9" s="13"/>
      <c r="L9" s="13"/>
    </row>
    <row r="10" s="2" customFormat="1" spans="1:12">
      <c r="A10" s="6"/>
      <c r="B10" s="16"/>
      <c r="C10" s="17" t="s">
        <v>192</v>
      </c>
      <c r="D10" s="17" t="s">
        <v>193</v>
      </c>
      <c r="E10" s="21">
        <v>0.05</v>
      </c>
      <c r="F10" s="20"/>
      <c r="G10" s="11"/>
      <c r="H10" s="13"/>
      <c r="I10" s="13"/>
      <c r="J10" s="13"/>
      <c r="K10" s="13"/>
      <c r="L10" s="13"/>
    </row>
    <row r="11" s="2" customFormat="1" spans="1:12">
      <c r="A11" s="6"/>
      <c r="B11" s="16"/>
      <c r="C11" s="17" t="s">
        <v>194</v>
      </c>
      <c r="D11" s="18" t="s">
        <v>199</v>
      </c>
      <c r="E11" s="16"/>
      <c r="F11" s="20"/>
      <c r="G11" s="11"/>
      <c r="H11" s="13"/>
      <c r="I11" s="13"/>
      <c r="J11" s="13"/>
      <c r="K11" s="13"/>
      <c r="L11" s="13"/>
    </row>
    <row r="12" s="2" customFormat="1" spans="1:12">
      <c r="A12" s="6"/>
      <c r="B12" s="16"/>
      <c r="C12" s="17" t="s">
        <v>199</v>
      </c>
      <c r="D12" s="17" t="s">
        <v>200</v>
      </c>
      <c r="E12" s="16">
        <v>5</v>
      </c>
      <c r="F12" s="20"/>
      <c r="G12" s="11"/>
      <c r="H12" s="13"/>
      <c r="I12" s="13"/>
      <c r="J12" s="13"/>
      <c r="K12" s="13"/>
      <c r="L12" s="13"/>
    </row>
    <row r="13" s="2" customFormat="1" spans="1:12">
      <c r="A13" s="6"/>
      <c r="B13" s="15"/>
      <c r="C13" s="15"/>
      <c r="D13" s="15"/>
      <c r="E13" s="6"/>
      <c r="F13" s="15"/>
      <c r="G13" s="4"/>
      <c r="H13" s="13"/>
      <c r="I13" s="13"/>
      <c r="J13" s="13"/>
      <c r="K13" s="13"/>
      <c r="L13" s="13"/>
    </row>
    <row r="14" s="2" customFormat="1" spans="1:12">
      <c r="A14" s="6"/>
      <c r="B14" s="7">
        <v>3</v>
      </c>
      <c r="C14" s="8" t="s">
        <v>185</v>
      </c>
      <c r="D14" s="9" t="s">
        <v>201</v>
      </c>
      <c r="E14" s="7">
        <v>2</v>
      </c>
      <c r="F14" s="10" t="s">
        <v>202</v>
      </c>
      <c r="G14" s="11" t="s">
        <v>203</v>
      </c>
      <c r="H14" s="13"/>
      <c r="I14" s="13"/>
      <c r="J14" s="13"/>
      <c r="K14" s="13"/>
      <c r="L14" s="13"/>
    </row>
    <row r="15" s="2" customFormat="1" spans="1:12">
      <c r="A15" s="6"/>
      <c r="B15" s="7"/>
      <c r="C15" s="8" t="s">
        <v>190</v>
      </c>
      <c r="D15" s="8" t="s">
        <v>191</v>
      </c>
      <c r="E15" s="7"/>
      <c r="F15" s="10"/>
      <c r="G15" s="11"/>
      <c r="H15" s="13"/>
      <c r="I15" s="13"/>
      <c r="J15" s="13"/>
      <c r="K15" s="13"/>
      <c r="L15" s="13"/>
    </row>
    <row r="16" s="2" customFormat="1" spans="1:12">
      <c r="A16" s="6"/>
      <c r="B16" s="7"/>
      <c r="C16" s="8" t="s">
        <v>192</v>
      </c>
      <c r="D16" s="8" t="s">
        <v>193</v>
      </c>
      <c r="E16" s="7">
        <v>5</v>
      </c>
      <c r="F16" s="10"/>
      <c r="G16" s="11"/>
      <c r="H16" s="13"/>
      <c r="I16" s="13"/>
      <c r="J16" s="13"/>
      <c r="K16" s="13"/>
      <c r="L16" s="13"/>
    </row>
    <row r="17" s="2" customFormat="1" spans="1:12">
      <c r="A17" s="6"/>
      <c r="B17" s="7"/>
      <c r="C17" s="8" t="s">
        <v>194</v>
      </c>
      <c r="D17" s="9" t="s">
        <v>190</v>
      </c>
      <c r="E17" s="7"/>
      <c r="F17" s="10"/>
      <c r="G17" s="11"/>
      <c r="H17" s="13"/>
      <c r="I17" s="13"/>
      <c r="J17" s="13"/>
      <c r="K17" s="13"/>
      <c r="L17" s="13"/>
    </row>
    <row r="18" s="2" customFormat="1" spans="1:12">
      <c r="A18" s="6"/>
      <c r="B18" s="7"/>
      <c r="C18" s="8" t="s">
        <v>195</v>
      </c>
      <c r="D18" s="8" t="s">
        <v>204</v>
      </c>
      <c r="E18" s="7"/>
      <c r="F18" s="10"/>
      <c r="G18" s="11"/>
      <c r="H18" s="13"/>
      <c r="I18" s="13"/>
      <c r="J18" s="13"/>
      <c r="K18" s="13"/>
      <c r="L18" s="13"/>
    </row>
    <row r="19" s="2" customFormat="1" spans="1:12">
      <c r="A19" s="6"/>
      <c r="B19" s="15"/>
      <c r="C19" s="15"/>
      <c r="D19" s="15"/>
      <c r="E19" s="6"/>
      <c r="F19" s="15"/>
      <c r="G19" s="4"/>
      <c r="H19" s="13"/>
      <c r="I19" s="13"/>
      <c r="J19" s="13"/>
      <c r="K19" s="13"/>
      <c r="L19" s="13"/>
    </row>
    <row r="20" s="2" customFormat="1" spans="1:12">
      <c r="A20" s="6"/>
      <c r="B20" s="16">
        <v>4</v>
      </c>
      <c r="C20" s="17" t="s">
        <v>185</v>
      </c>
      <c r="D20" s="18" t="s">
        <v>201</v>
      </c>
      <c r="E20" s="16">
        <v>1</v>
      </c>
      <c r="F20" s="19" t="s">
        <v>205</v>
      </c>
      <c r="G20" s="11" t="s">
        <v>206</v>
      </c>
      <c r="H20" s="13"/>
      <c r="I20" s="13"/>
      <c r="J20" s="13"/>
      <c r="K20" s="13"/>
      <c r="L20" s="13"/>
    </row>
    <row r="21" s="2" customFormat="1" spans="1:12">
      <c r="A21" s="6"/>
      <c r="B21" s="16"/>
      <c r="C21" s="17" t="s">
        <v>190</v>
      </c>
      <c r="D21" s="17" t="s">
        <v>191</v>
      </c>
      <c r="E21" s="16"/>
      <c r="F21" s="20"/>
      <c r="G21" s="11"/>
      <c r="H21" s="13"/>
      <c r="I21" s="13"/>
      <c r="J21" s="13"/>
      <c r="K21" s="13"/>
      <c r="L21" s="13"/>
    </row>
    <row r="22" s="2" customFormat="1" spans="1:12">
      <c r="A22" s="6"/>
      <c r="B22" s="16"/>
      <c r="C22" s="17" t="s">
        <v>192</v>
      </c>
      <c r="D22" s="17" t="s">
        <v>193</v>
      </c>
      <c r="E22" s="16">
        <v>10</v>
      </c>
      <c r="F22" s="20"/>
      <c r="G22" s="11"/>
      <c r="H22" s="13"/>
      <c r="I22" s="13"/>
      <c r="J22" s="13"/>
      <c r="K22" s="13"/>
      <c r="L22" s="13"/>
    </row>
    <row r="23" s="2" customFormat="1" spans="1:12">
      <c r="A23" s="6"/>
      <c r="B23" s="16"/>
      <c r="C23" s="17" t="s">
        <v>194</v>
      </c>
      <c r="D23" s="18" t="s">
        <v>199</v>
      </c>
      <c r="E23" s="16"/>
      <c r="F23" s="20"/>
      <c r="G23" s="11"/>
      <c r="H23" s="13"/>
      <c r="I23" s="13"/>
      <c r="J23" s="13"/>
      <c r="K23" s="13"/>
      <c r="L23" s="13"/>
    </row>
    <row r="24" s="2" customFormat="1" spans="1:12">
      <c r="A24" s="6"/>
      <c r="B24" s="16"/>
      <c r="C24" s="17" t="s">
        <v>199</v>
      </c>
      <c r="D24" s="17" t="s">
        <v>200</v>
      </c>
      <c r="E24" s="16"/>
      <c r="F24" s="20"/>
      <c r="G24" s="11"/>
      <c r="H24" s="13"/>
      <c r="I24" s="13"/>
      <c r="J24" s="13"/>
      <c r="K24" s="13"/>
      <c r="L24" s="13"/>
    </row>
    <row r="25" s="2" customFormat="1" spans="1:12">
      <c r="A25" s="6"/>
      <c r="B25" s="15"/>
      <c r="C25" s="15"/>
      <c r="D25" s="15"/>
      <c r="E25" s="6"/>
      <c r="F25" s="15"/>
      <c r="G25" s="4"/>
      <c r="H25" s="13"/>
      <c r="I25" s="13"/>
      <c r="J25" s="13"/>
      <c r="K25" s="13"/>
      <c r="L25" s="13"/>
    </row>
    <row r="26" s="2" customFormat="1" ht="21" customHeight="1" spans="1:12">
      <c r="A26" s="6"/>
      <c r="B26" s="7">
        <v>5</v>
      </c>
      <c r="C26" s="8" t="s">
        <v>185</v>
      </c>
      <c r="D26" s="9" t="s">
        <v>207</v>
      </c>
      <c r="E26" s="7">
        <v>4</v>
      </c>
      <c r="F26" s="10" t="s">
        <v>208</v>
      </c>
      <c r="G26" s="11" t="s">
        <v>209</v>
      </c>
      <c r="H26" s="13"/>
      <c r="I26" s="13"/>
      <c r="J26" s="13"/>
      <c r="K26" s="13"/>
      <c r="L26" s="13"/>
    </row>
    <row r="27" s="2" customFormat="1" ht="21" customHeight="1" spans="1:12">
      <c r="A27" s="6"/>
      <c r="B27" s="7"/>
      <c r="C27" s="8" t="s">
        <v>190</v>
      </c>
      <c r="D27" s="8" t="s">
        <v>191</v>
      </c>
      <c r="E27" s="7"/>
      <c r="F27" s="10"/>
      <c r="G27" s="11"/>
      <c r="H27" s="13"/>
      <c r="I27" s="13"/>
      <c r="J27" s="13"/>
      <c r="K27" s="13"/>
      <c r="L27" s="13"/>
    </row>
    <row r="28" s="2" customFormat="1" ht="21" customHeight="1" spans="1:12">
      <c r="A28" s="6"/>
      <c r="B28" s="7"/>
      <c r="C28" s="8" t="s">
        <v>192</v>
      </c>
      <c r="D28" s="8" t="s">
        <v>193</v>
      </c>
      <c r="E28" s="14">
        <v>0.1</v>
      </c>
      <c r="F28" s="10"/>
      <c r="G28" s="11"/>
      <c r="H28" s="13"/>
      <c r="I28" s="13"/>
      <c r="J28" s="13"/>
      <c r="K28" s="13"/>
      <c r="L28" s="13"/>
    </row>
    <row r="29" s="2" customFormat="1" ht="21" customHeight="1" spans="1:12">
      <c r="A29" s="6"/>
      <c r="B29" s="7"/>
      <c r="C29" s="8" t="s">
        <v>194</v>
      </c>
      <c r="D29" s="9" t="s">
        <v>190</v>
      </c>
      <c r="E29" s="7"/>
      <c r="F29" s="10"/>
      <c r="G29" s="11"/>
      <c r="H29" s="13"/>
      <c r="I29" s="13"/>
      <c r="J29" s="13"/>
      <c r="K29" s="13"/>
      <c r="L29" s="13"/>
    </row>
    <row r="30" s="2" customFormat="1" ht="21" customHeight="1" spans="1:12">
      <c r="A30" s="6"/>
      <c r="B30" s="7"/>
      <c r="C30" s="8" t="s">
        <v>210</v>
      </c>
      <c r="D30" s="8" t="s">
        <v>211</v>
      </c>
      <c r="E30" s="7">
        <v>1</v>
      </c>
      <c r="F30" s="10"/>
      <c r="G30" s="11"/>
      <c r="H30" s="13"/>
      <c r="I30" s="13"/>
      <c r="J30" s="13"/>
      <c r="K30" s="13"/>
      <c r="L30" s="13"/>
    </row>
    <row r="31" s="2" customFormat="1" spans="1:12">
      <c r="A31" s="6"/>
      <c r="B31" s="15"/>
      <c r="C31" s="15"/>
      <c r="D31" s="15"/>
      <c r="E31" s="6"/>
      <c r="F31" s="15"/>
      <c r="G31" s="4"/>
      <c r="H31" s="13"/>
      <c r="I31" s="13"/>
      <c r="J31" s="13"/>
      <c r="K31" s="13"/>
      <c r="L31" s="13"/>
    </row>
    <row r="32" s="2" customFormat="1" spans="1:12">
      <c r="A32" s="6"/>
      <c r="B32" s="16">
        <v>6</v>
      </c>
      <c r="C32" s="17" t="s">
        <v>185</v>
      </c>
      <c r="D32" s="18" t="s">
        <v>207</v>
      </c>
      <c r="E32" s="16">
        <v>1</v>
      </c>
      <c r="F32" s="19" t="s">
        <v>212</v>
      </c>
      <c r="G32" s="11" t="s">
        <v>213</v>
      </c>
      <c r="H32" s="13"/>
      <c r="I32" s="13"/>
      <c r="J32" s="13"/>
      <c r="K32" s="13"/>
      <c r="L32" s="13"/>
    </row>
    <row r="33" s="2" customFormat="1" spans="1:12">
      <c r="A33" s="6"/>
      <c r="B33" s="16"/>
      <c r="C33" s="17" t="s">
        <v>190</v>
      </c>
      <c r="D33" s="17" t="s">
        <v>191</v>
      </c>
      <c r="E33" s="16"/>
      <c r="F33" s="19"/>
      <c r="G33" s="11"/>
      <c r="H33" s="13"/>
      <c r="I33" s="13"/>
      <c r="J33" s="13"/>
      <c r="K33" s="13"/>
      <c r="L33" s="13"/>
    </row>
    <row r="34" s="2" customFormat="1" spans="1:12">
      <c r="A34" s="6"/>
      <c r="B34" s="16"/>
      <c r="C34" s="17" t="s">
        <v>192</v>
      </c>
      <c r="D34" s="17" t="s">
        <v>193</v>
      </c>
      <c r="E34" s="16">
        <v>5</v>
      </c>
      <c r="F34" s="19"/>
      <c r="G34" s="11"/>
      <c r="H34" s="13"/>
      <c r="I34" s="13"/>
      <c r="J34" s="13"/>
      <c r="K34" s="13"/>
      <c r="L34" s="13"/>
    </row>
    <row r="35" s="2" customFormat="1" spans="1:12">
      <c r="A35" s="6"/>
      <c r="B35" s="16"/>
      <c r="C35" s="17" t="s">
        <v>194</v>
      </c>
      <c r="D35" s="18" t="s">
        <v>199</v>
      </c>
      <c r="E35" s="16"/>
      <c r="F35" s="19"/>
      <c r="G35" s="11"/>
      <c r="H35" s="13"/>
      <c r="I35" s="13"/>
      <c r="J35" s="13"/>
      <c r="K35" s="13"/>
      <c r="L35" s="13"/>
    </row>
    <row r="36" s="2" customFormat="1" spans="1:12">
      <c r="A36" s="6"/>
      <c r="B36" s="16"/>
      <c r="C36" s="17" t="s">
        <v>199</v>
      </c>
      <c r="D36" s="17" t="s">
        <v>200</v>
      </c>
      <c r="E36" s="16"/>
      <c r="F36" s="19"/>
      <c r="G36" s="11"/>
      <c r="H36" s="13"/>
      <c r="I36" s="13"/>
      <c r="J36" s="13"/>
      <c r="K36" s="13"/>
      <c r="L36" s="13"/>
    </row>
    <row r="37" s="2" customFormat="1" spans="1:12">
      <c r="A37" s="6"/>
      <c r="B37" s="16"/>
      <c r="C37" s="17" t="s">
        <v>210</v>
      </c>
      <c r="D37" s="17" t="s">
        <v>211</v>
      </c>
      <c r="E37" s="16">
        <v>1</v>
      </c>
      <c r="F37" s="19"/>
      <c r="G37" s="11"/>
      <c r="H37" s="13"/>
      <c r="I37" s="13"/>
      <c r="J37" s="13"/>
      <c r="K37" s="13"/>
      <c r="L37" s="13"/>
    </row>
    <row r="38" s="2" customFormat="1" spans="1:7">
      <c r="A38" s="6" t="s">
        <v>4</v>
      </c>
      <c r="B38" s="15"/>
      <c r="C38" s="15"/>
      <c r="D38" s="15"/>
      <c r="E38" s="6"/>
      <c r="F38" s="15"/>
      <c r="G38" s="4"/>
    </row>
    <row r="39" s="2" customFormat="1" spans="1:7">
      <c r="A39" s="6"/>
      <c r="B39" s="7">
        <v>7</v>
      </c>
      <c r="C39" s="8" t="s">
        <v>185</v>
      </c>
      <c r="D39" s="8" t="s">
        <v>214</v>
      </c>
      <c r="E39" s="7">
        <v>20</v>
      </c>
      <c r="F39" s="10" t="s">
        <v>215</v>
      </c>
      <c r="G39" s="4"/>
    </row>
    <row r="40" s="2" customFormat="1" spans="1:7">
      <c r="A40" s="6"/>
      <c r="B40" s="7"/>
      <c r="C40" s="8" t="s">
        <v>190</v>
      </c>
      <c r="D40" s="8" t="s">
        <v>191</v>
      </c>
      <c r="E40" s="7"/>
      <c r="F40" s="10"/>
      <c r="G40" s="4"/>
    </row>
    <row r="41" s="2" customFormat="1" spans="1:7">
      <c r="A41" s="6"/>
      <c r="B41" s="7"/>
      <c r="C41" s="8" t="s">
        <v>192</v>
      </c>
      <c r="D41" s="8" t="s">
        <v>216</v>
      </c>
      <c r="E41" s="7"/>
      <c r="F41" s="10"/>
      <c r="G41" s="4"/>
    </row>
    <row r="42" s="2" customFormat="1" spans="1:7">
      <c r="A42" s="6"/>
      <c r="B42" s="7"/>
      <c r="C42" s="8" t="s">
        <v>194</v>
      </c>
      <c r="D42" s="8" t="s">
        <v>199</v>
      </c>
      <c r="E42" s="7"/>
      <c r="F42" s="10"/>
      <c r="G42" s="4"/>
    </row>
    <row r="43" s="2" customFormat="1" spans="1:7">
      <c r="A43" s="6"/>
      <c r="B43" s="7"/>
      <c r="C43" s="8" t="s">
        <v>199</v>
      </c>
      <c r="D43" s="8" t="s">
        <v>200</v>
      </c>
      <c r="E43" s="7"/>
      <c r="F43" s="10"/>
      <c r="G43" s="4"/>
    </row>
    <row r="44" s="2" customFormat="1" spans="1:7">
      <c r="A44" s="6"/>
      <c r="B44" s="7"/>
      <c r="C44" s="8" t="s">
        <v>210</v>
      </c>
      <c r="D44" s="8" t="s">
        <v>211</v>
      </c>
      <c r="E44" s="7">
        <v>1</v>
      </c>
      <c r="F44" s="10"/>
      <c r="G44" s="4"/>
    </row>
    <row r="45" s="2" customFormat="1" spans="1:7">
      <c r="A45" s="6"/>
      <c r="B45" s="15"/>
      <c r="C45" s="15"/>
      <c r="D45" s="15"/>
      <c r="E45" s="6"/>
      <c r="F45" s="15"/>
      <c r="G45" s="4"/>
    </row>
    <row r="46" s="2" customFormat="1" spans="1:7">
      <c r="A46" s="6"/>
      <c r="B46" s="16">
        <v>8</v>
      </c>
      <c r="C46" s="17" t="s">
        <v>185</v>
      </c>
      <c r="D46" s="17" t="s">
        <v>201</v>
      </c>
      <c r="E46" s="16">
        <v>2</v>
      </c>
      <c r="F46" s="19" t="s">
        <v>217</v>
      </c>
      <c r="G46" s="4"/>
    </row>
    <row r="47" s="2" customFormat="1" spans="1:7">
      <c r="A47" s="6"/>
      <c r="B47" s="16"/>
      <c r="C47" s="17" t="s">
        <v>190</v>
      </c>
      <c r="D47" s="17" t="s">
        <v>191</v>
      </c>
      <c r="E47" s="16"/>
      <c r="F47" s="19"/>
      <c r="G47" s="4"/>
    </row>
    <row r="48" s="2" customFormat="1" spans="1:7">
      <c r="A48" s="6"/>
      <c r="B48" s="16"/>
      <c r="C48" s="17" t="s">
        <v>192</v>
      </c>
      <c r="D48" s="17" t="s">
        <v>216</v>
      </c>
      <c r="E48" s="16"/>
      <c r="F48" s="19"/>
      <c r="G48" s="4"/>
    </row>
    <row r="49" s="2" customFormat="1" spans="1:7">
      <c r="A49" s="6"/>
      <c r="B49" s="16"/>
      <c r="C49" s="17" t="s">
        <v>194</v>
      </c>
      <c r="D49" s="17" t="s">
        <v>190</v>
      </c>
      <c r="E49" s="16"/>
      <c r="F49" s="19"/>
      <c r="G49" s="4"/>
    </row>
    <row r="50" s="2" customFormat="1" spans="1:7">
      <c r="A50" s="6"/>
      <c r="B50" s="16"/>
      <c r="C50" s="17" t="s">
        <v>210</v>
      </c>
      <c r="D50" s="17" t="s">
        <v>211</v>
      </c>
      <c r="E50" s="16">
        <v>1</v>
      </c>
      <c r="F50" s="19"/>
      <c r="G50" s="4"/>
    </row>
    <row r="51" s="2" customFormat="1" spans="1:7">
      <c r="A51" s="6"/>
      <c r="B51" s="15"/>
      <c r="C51" s="15"/>
      <c r="D51" s="15"/>
      <c r="E51" s="6"/>
      <c r="F51" s="15"/>
      <c r="G51" s="4"/>
    </row>
    <row r="52" s="2" customFormat="1" spans="1:7">
      <c r="A52" s="6"/>
      <c r="B52" s="22">
        <v>9</v>
      </c>
      <c r="C52" s="23" t="s">
        <v>185</v>
      </c>
      <c r="D52" s="23" t="s">
        <v>201</v>
      </c>
      <c r="E52" s="22">
        <v>2</v>
      </c>
      <c r="F52" s="24" t="s">
        <v>218</v>
      </c>
      <c r="G52" s="4"/>
    </row>
    <row r="53" s="2" customFormat="1" spans="1:7">
      <c r="A53" s="6"/>
      <c r="B53" s="22"/>
      <c r="C53" s="23" t="s">
        <v>190</v>
      </c>
      <c r="D53" s="23" t="s">
        <v>191</v>
      </c>
      <c r="E53" s="22"/>
      <c r="F53" s="24"/>
      <c r="G53" s="4"/>
    </row>
    <row r="54" s="2" customFormat="1" spans="1:7">
      <c r="A54" s="6"/>
      <c r="B54" s="22"/>
      <c r="C54" s="23" t="s">
        <v>192</v>
      </c>
      <c r="D54" s="23" t="s">
        <v>216</v>
      </c>
      <c r="E54" s="22"/>
      <c r="F54" s="24"/>
      <c r="G54" s="4"/>
    </row>
    <row r="55" s="2" customFormat="1" spans="1:7">
      <c r="A55" s="6"/>
      <c r="B55" s="22"/>
      <c r="C55" s="23" t="s">
        <v>194</v>
      </c>
      <c r="D55" s="23" t="s">
        <v>199</v>
      </c>
      <c r="E55" s="22"/>
      <c r="F55" s="24"/>
      <c r="G55" s="4"/>
    </row>
    <row r="56" s="2" customFormat="1" spans="1:7">
      <c r="A56" s="6"/>
      <c r="B56" s="22"/>
      <c r="C56" s="23" t="s">
        <v>199</v>
      </c>
      <c r="D56" s="23" t="s">
        <v>200</v>
      </c>
      <c r="E56" s="22"/>
      <c r="F56" s="24"/>
      <c r="G56" s="4"/>
    </row>
    <row r="57" s="2" customFormat="1" spans="1:7">
      <c r="A57" s="6"/>
      <c r="B57" s="22"/>
      <c r="C57" s="23" t="s">
        <v>210</v>
      </c>
      <c r="D57" s="23" t="s">
        <v>211</v>
      </c>
      <c r="E57" s="22">
        <v>1</v>
      </c>
      <c r="F57" s="24"/>
      <c r="G57" s="4"/>
    </row>
    <row r="58" s="2" customFormat="1" spans="5:7">
      <c r="E58" s="3"/>
      <c r="G58" s="4"/>
    </row>
  </sheetData>
  <mergeCells count="27">
    <mergeCell ref="A2:A37"/>
    <mergeCell ref="A38:A57"/>
    <mergeCell ref="B2:B6"/>
    <mergeCell ref="B8:B12"/>
    <mergeCell ref="B14:B18"/>
    <mergeCell ref="B20:B24"/>
    <mergeCell ref="B26:B30"/>
    <mergeCell ref="B32:B37"/>
    <mergeCell ref="B39:B44"/>
    <mergeCell ref="B46:B50"/>
    <mergeCell ref="B52:B57"/>
    <mergeCell ref="F2:F6"/>
    <mergeCell ref="F8:F12"/>
    <mergeCell ref="F14:F18"/>
    <mergeCell ref="F20:F24"/>
    <mergeCell ref="F26:F30"/>
    <mergeCell ref="F32:F37"/>
    <mergeCell ref="F39:F44"/>
    <mergeCell ref="F46:F50"/>
    <mergeCell ref="F52:F57"/>
    <mergeCell ref="G2:G6"/>
    <mergeCell ref="G8:G12"/>
    <mergeCell ref="G14:G18"/>
    <mergeCell ref="G20:G24"/>
    <mergeCell ref="G26:G30"/>
    <mergeCell ref="G32:G37"/>
    <mergeCell ref="H2:L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叠加规则</vt:lpstr>
      <vt:lpstr>价格计算</vt:lpstr>
      <vt:lpstr>会员日价格</vt:lpstr>
      <vt:lpstr>促销类型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有个二货叫逗逼</cp:lastModifiedBy>
  <dcterms:created xsi:type="dcterms:W3CDTF">2022-11-17T19:48:00Z</dcterms:created>
  <dcterms:modified xsi:type="dcterms:W3CDTF">2024-04-19T06:15:34Z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D5E904B86B624F798E3CA1B767DA5D13_13</vt:lpwstr>
  </property>
  <property fmtid="{D5CDD505-2E9C-101B-9397-08002B2CF9AE}" pid="3" name="KSOProductBuildVer">
    <vt:lpwstr>2052-12.1.0.16417</vt:lpwstr>
  </property>
  <property fmtid="{D5CDD505-2E9C-101B-9397-08002B2CF9AE}" pid="4" name="KSOReadingLayout">
    <vt:bool>true</vt:bool>
  </property>
</Properties>
</file>