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1"/>
  </bookViews>
  <sheets>
    <sheet name="Sheet1" sheetId="2" r:id="rId1"/>
    <sheet name="工具箱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<sst xmlns="http://schemas.openxmlformats.org/spreadsheetml/2006/main" count="40" uniqueCount="36">
  <si>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评分计算器</t>
  </si>
  <si>
    <t>总评级数量</t>
  </si>
  <si>
    <t>5 星</t>
  </si>
  <si>
    <t>4 星</t>
  </si>
  <si>
    <t>3 星</t>
  </si>
  <si>
    <t>2 星</t>
  </si>
  <si>
    <t>1 星</t>
  </si>
  <si>
    <t>当前分数</t>
  </si>
  <si>
    <t>目标分数</t>
  </si>
  <si>
    <t>需补五星</t>
  </si>
  <si>
    <t>填写白色格子</t>
  </si>
  <si>
    <t>增加5星数量</t>
  </si>
  <si>
    <t>最后得到星级</t>
  </si>
  <si>
    <t>ACOS计算器</t>
  </si>
  <si>
    <t>产品利润计算器</t>
  </si>
  <si>
    <t>REVIEW评分计算器</t>
  </si>
  <si>
    <t>关键词</t>
  </si>
  <si>
    <t>拿货价</t>
  </si>
  <si>
    <t>5 stars</t>
  </si>
  <si>
    <t>预估竞价</t>
  </si>
  <si>
    <t>运费</t>
  </si>
  <si>
    <t>4 stars</t>
  </si>
  <si>
    <t>产品单价</t>
  </si>
  <si>
    <t>汇率</t>
  </si>
  <si>
    <t>3 stars</t>
  </si>
  <si>
    <t>产品转化率</t>
  </si>
  <si>
    <t>配送费</t>
  </si>
  <si>
    <t>2 stars</t>
  </si>
  <si>
    <t>利润率</t>
  </si>
  <si>
    <t>最低售价</t>
  </si>
  <si>
    <t>1 stars</t>
  </si>
  <si>
    <t>ACOS</t>
  </si>
  <si>
    <t>当前售价</t>
  </si>
  <si>
    <t>评论总数</t>
  </si>
  <si>
    <t>利润</t>
  </si>
  <si>
    <r>
      <rPr>
        <sz val="11"/>
        <color theme="0" tint="-0.149998474074526"/>
        <rFont val="等线"/>
        <charset val="134"/>
      </rPr>
      <t xml:space="preserve">Power by </t>
    </r>
    <r>
      <rPr>
        <sz val="11"/>
        <color theme="0" tint="-0.149998474074526"/>
        <rFont val="宋体"/>
        <charset val="134"/>
        <scheme val="major"/>
      </rPr>
      <t>一只大禽兽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</si>
</sst>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\$#,##0.00;\-\$#,##0.00"/>
    <numFmt numFmtId="178" formatCode="0.0%"/>
    <numFmt numFmtId="179" formatCode="0.0"/>
    <numFmt numFmtId="180" formatCode="0.00_ "/>
    <numFmt numFmtId="181" formatCode="0.0_ "/>
  </numFmts>
  <fonts count="3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20"/>
      <color theme="5"/>
      <name val="微软雅黑"/>
      <charset val="134"/>
    </font>
    <font>
      <sz val="20"/>
      <color theme="4" tint="-0.249977111117893"/>
      <name val="微软雅黑"/>
      <charset val="134"/>
    </font>
    <font>
      <b/>
      <sz val="14"/>
      <color theme="1"/>
      <name val="等线"/>
      <charset val="134"/>
    </font>
    <font>
      <sz val="18"/>
      <color theme="0"/>
      <name val="微软雅黑"/>
      <charset val="134"/>
    </font>
    <font>
      <sz val="11"/>
      <color theme="0" tint="-0.0499893185216834"/>
      <name val="等线"/>
      <charset val="134"/>
    </font>
    <font>
      <sz val="11"/>
      <color theme="0" tint="-0.149998474074526"/>
      <name val="等线"/>
      <charset val="134"/>
    </font>
    <font>
      <sz val="26"/>
      <color theme="1"/>
      <name val="隶书"/>
      <charset val="134"/>
    </font>
    <font>
      <sz val="11"/>
      <color theme="1"/>
      <name val="微软雅黑"/>
      <charset val="134"/>
    </font>
    <font>
      <sz val="11"/>
      <color theme="0" tint="-0.0499893185216834"/>
      <name val="微软雅黑"/>
      <charset val="134"/>
    </font>
    <font>
      <b/>
      <sz val="14"/>
      <color theme="1"/>
      <name val="微软雅黑"/>
      <charset val="134"/>
    </font>
    <font>
      <b/>
      <sz val="11"/>
      <color theme="7" tint="-0.49998474074526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 tint="-0.149998474074526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theme="0" tint="-0.14996795556505"/>
      </left>
      <right style="double">
        <color theme="0" tint="-0.14996795556505"/>
      </right>
      <top style="double">
        <color theme="0" tint="-0.14996795556505"/>
      </top>
      <bottom style="double">
        <color theme="0" tint="-0.14996795556505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theme="0" tint="-0.149937437055574"/>
      </left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double">
        <color theme="0" tint="-0.149937437055574"/>
      </right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double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10" borderId="20" applyNumberFormat="0" applyAlignment="0" applyProtection="0">
      <alignment vertical="center"/>
    </xf>
    <xf numFmtId="0" fontId="24" fillId="11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Protection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2" xfId="0" applyFont="1" applyFill="1" applyBorder="1" applyProtection="1">
      <alignment vertical="center"/>
    </xf>
    <xf numFmtId="0" fontId="1" fillId="2" borderId="3" xfId="0" applyFont="1" applyFill="1" applyBorder="1" applyProtection="1">
      <alignment vertical="center"/>
    </xf>
    <xf numFmtId="0" fontId="1" fillId="2" borderId="0" xfId="0" applyFont="1" applyFill="1" applyBorder="1" applyProtection="1">
      <alignment vertical="center"/>
    </xf>
    <xf numFmtId="0" fontId="2" fillId="3" borderId="4" xfId="0" applyFont="1" applyFill="1" applyBorder="1" applyAlignment="1" applyProtection="1">
      <alignment vertical="center"/>
    </xf>
    <xf numFmtId="0" fontId="1" fillId="2" borderId="5" xfId="0" applyFont="1" applyFill="1" applyBorder="1" applyProtection="1">
      <alignment vertical="center"/>
    </xf>
    <xf numFmtId="0" fontId="3" fillId="4" borderId="4" xfId="0" applyFont="1" applyFill="1" applyBorder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Protection="1">
      <alignment vertical="center"/>
    </xf>
    <xf numFmtId="176" fontId="1" fillId="5" borderId="6" xfId="0" applyNumberFormat="1" applyFont="1" applyFill="1" applyBorder="1" applyProtection="1">
      <alignment vertical="center"/>
      <protection locked="0"/>
    </xf>
    <xf numFmtId="177" fontId="1" fillId="5" borderId="6" xfId="0" applyNumberFormat="1" applyFont="1" applyFill="1" applyBorder="1" applyProtection="1">
      <alignment vertical="center"/>
      <protection locked="0"/>
    </xf>
    <xf numFmtId="10" fontId="1" fillId="5" borderId="6" xfId="3" applyNumberFormat="1" applyFont="1" applyFill="1" applyBorder="1" applyProtection="1">
      <alignment vertical="center"/>
      <protection locked="0"/>
    </xf>
    <xf numFmtId="177" fontId="1" fillId="2" borderId="0" xfId="0" applyNumberFormat="1" applyFont="1" applyFill="1" applyBorder="1" applyProtection="1">
      <alignment vertical="center"/>
    </xf>
    <xf numFmtId="10" fontId="1" fillId="2" borderId="0" xfId="3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176" fontId="1" fillId="2" borderId="0" xfId="0" applyNumberFormat="1" applyFont="1" applyFill="1" applyBorder="1" applyProtection="1">
      <alignment vertical="center"/>
    </xf>
    <xf numFmtId="0" fontId="4" fillId="2" borderId="4" xfId="0" applyFont="1" applyFill="1" applyBorder="1" applyAlignment="1" applyProtection="1">
      <alignment horizontal="center" vertical="center"/>
    </xf>
    <xf numFmtId="178" fontId="1" fillId="2" borderId="0" xfId="3" applyNumberFormat="1" applyFont="1" applyFill="1" applyBorder="1" applyProtection="1">
      <alignment vertical="center"/>
    </xf>
    <xf numFmtId="0" fontId="1" fillId="2" borderId="7" xfId="0" applyFont="1" applyFill="1" applyBorder="1" applyProtection="1">
      <alignment vertical="center"/>
    </xf>
    <xf numFmtId="0" fontId="1" fillId="2" borderId="4" xfId="0" applyFont="1" applyFill="1" applyBorder="1" applyProtection="1">
      <alignment vertical="center"/>
    </xf>
    <xf numFmtId="0" fontId="5" fillId="6" borderId="0" xfId="0" applyFont="1" applyFill="1" applyBorder="1" applyProtection="1">
      <alignment vertical="center"/>
    </xf>
    <xf numFmtId="0" fontId="1" fillId="6" borderId="0" xfId="0" applyFont="1" applyFill="1" applyBorder="1" applyProtection="1">
      <alignment vertical="center"/>
    </xf>
    <xf numFmtId="0" fontId="1" fillId="5" borderId="8" xfId="0" applyNumberFormat="1" applyFont="1" applyFill="1" applyBorder="1" applyAlignment="1" applyProtection="1">
      <alignment horizontal="right"/>
      <protection locked="0"/>
    </xf>
    <xf numFmtId="0" fontId="1" fillId="5" borderId="9" xfId="0" applyNumberFormat="1" applyFont="1" applyFill="1" applyBorder="1" applyAlignment="1" applyProtection="1">
      <alignment horizontal="right"/>
      <protection locked="0"/>
    </xf>
    <xf numFmtId="179" fontId="6" fillId="2" borderId="0" xfId="0" applyNumberFormat="1" applyFont="1" applyFill="1" applyBorder="1" applyAlignment="1" applyProtection="1">
      <alignment horizontal="right" vertical="center"/>
    </xf>
    <xf numFmtId="0" fontId="6" fillId="2" borderId="0" xfId="0" applyFont="1" applyFill="1" applyBorder="1" applyProtection="1">
      <alignment vertical="center"/>
    </xf>
    <xf numFmtId="1" fontId="1" fillId="2" borderId="0" xfId="0" applyNumberFormat="1" applyFont="1" applyFill="1" applyBorder="1" applyAlignment="1" applyProtection="1">
      <alignment horizontal="right" vertical="center"/>
    </xf>
    <xf numFmtId="0" fontId="1" fillId="2" borderId="10" xfId="0" applyFont="1" applyFill="1" applyBorder="1" applyProtection="1">
      <alignment vertical="center"/>
    </xf>
    <xf numFmtId="0" fontId="1" fillId="2" borderId="11" xfId="0" applyFont="1" applyFill="1" applyBorder="1" applyProtection="1">
      <alignment vertical="center"/>
    </xf>
    <xf numFmtId="0" fontId="1" fillId="5" borderId="12" xfId="0" applyNumberFormat="1" applyFont="1" applyFill="1" applyBorder="1" applyAlignment="1" applyProtection="1">
      <alignment horizontal="right"/>
      <protection locked="0"/>
    </xf>
    <xf numFmtId="179" fontId="1" fillId="2" borderId="0" xfId="0" applyNumberFormat="1" applyFont="1" applyFill="1" applyBorder="1" applyAlignment="1" applyProtection="1">
      <alignment horizontal="right" vertical="center"/>
    </xf>
    <xf numFmtId="0" fontId="1" fillId="5" borderId="6" xfId="0" applyFont="1" applyFill="1" applyBorder="1" applyProtection="1">
      <alignment vertical="center"/>
      <protection locked="0"/>
    </xf>
    <xf numFmtId="0" fontId="1" fillId="2" borderId="13" xfId="0" applyFont="1" applyFill="1" applyBorder="1" applyProtection="1">
      <alignment vertical="center"/>
    </xf>
    <xf numFmtId="0" fontId="7" fillId="0" borderId="0" xfId="0" applyFont="1" applyAlignment="1" applyProtection="1">
      <alignment horizontal="righ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8" fillId="7" borderId="0" xfId="0" applyFont="1" applyFill="1" applyAlignment="1">
      <alignment horizontal="center"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7" borderId="14" xfId="0" applyFont="1" applyFill="1" applyBorder="1" applyAlignment="1">
      <alignment horizontal="right"/>
    </xf>
    <xf numFmtId="10" fontId="0" fillId="0" borderId="0" xfId="0" applyNumberFormat="1">
      <alignment vertical="center"/>
    </xf>
    <xf numFmtId="179" fontId="10" fillId="2" borderId="0" xfId="0" applyNumberFormat="1" applyFont="1" applyFill="1" applyAlignment="1">
      <alignment horizontal="right" vertical="center"/>
    </xf>
    <xf numFmtId="0" fontId="10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0" fontId="10" fillId="2" borderId="0" xfId="0" applyFont="1" applyFill="1" applyAlignment="1">
      <alignment horizontal="right" vertical="center"/>
    </xf>
    <xf numFmtId="0" fontId="12" fillId="5" borderId="0" xfId="0" applyFont="1" applyFill="1" applyAlignment="1">
      <alignment horizontal="center" vertical="center"/>
    </xf>
    <xf numFmtId="0" fontId="9" fillId="7" borderId="15" xfId="0" applyFont="1" applyFill="1" applyBorder="1" applyAlignment="1">
      <alignment horizontal="right"/>
    </xf>
    <xf numFmtId="9" fontId="12" fillId="5" borderId="16" xfId="0" applyNumberFormat="1" applyFont="1" applyFill="1" applyBorder="1" applyAlignment="1">
      <alignment horizontal="center" vertical="center"/>
    </xf>
    <xf numFmtId="179" fontId="9" fillId="2" borderId="0" xfId="0" applyNumberFormat="1" applyFont="1" applyFill="1" applyAlignment="1">
      <alignment horizontal="center" vertical="center"/>
    </xf>
    <xf numFmtId="0" fontId="12" fillId="5" borderId="0" xfId="0" applyFont="1" applyFill="1" applyAlignment="1" applyProtection="1">
      <alignment horizontal="center" vertical="center"/>
      <protection locked="0"/>
    </xf>
    <xf numFmtId="1" fontId="9" fillId="2" borderId="0" xfId="0" applyNumberFormat="1" applyFont="1" applyFill="1" applyAlignment="1">
      <alignment horizontal="center" vertical="center"/>
    </xf>
    <xf numFmtId="181" fontId="9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tencent://AddContact/?fromId=45&amp;fromSubId=1&amp;subcmd=all&amp;uin=635943996&amp;website=www.oicqzone.com/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579782</xdr:colOff>
      <xdr:row>22</xdr:row>
      <xdr:rowOff>33130</xdr:rowOff>
    </xdr:from>
    <xdr:to>
      <xdr:col>17</xdr:col>
      <xdr:colOff>679175</xdr:colOff>
      <xdr:row>23</xdr:row>
      <xdr:rowOff>57977</xdr:rowOff>
    </xdr:to>
    <xdr:sp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8549005" y="4179570"/>
          <a:ext cx="642620" cy="20256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u="sng">
              <a:solidFill>
                <a:schemeClr val="bg1">
                  <a:lumMod val="85000"/>
                </a:schemeClr>
              </a:solidFill>
            </a:rPr>
            <a:t>点此联系</a:t>
          </a:r>
          <a:endParaRPr lang="zh-CN" altLang="en-US" sz="1100" u="sng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tabSelected="1" topLeftCell="E1" workbookViewId="0">
      <selection activeCell="X20" sqref="X20"/>
    </sheetView>
  </sheetViews>
  <sheetFormatPr defaultColWidth="9" defaultRowHeight="14"/>
  <cols>
    <col min="1" max="1" width="16.1272727272727" customWidth="1"/>
    <col min="2" max="2" width="12.6272727272727"/>
    <col min="3" max="3" width="11.6272727272727" customWidth="1"/>
    <col min="6" max="6" width="13.7545454545455" customWidth="1"/>
    <col min="7" max="11" width="3.62727272727273" customWidth="1"/>
    <col min="13" max="13" width="6.75454545454545" customWidth="1"/>
  </cols>
  <sheetData>
    <row r="1" spans="1:1">
      <c r="A1" s="36"/>
    </row>
    <row r="2" spans="1:1">
      <c r="A2" s="36"/>
    </row>
    <row r="3" spans="1:1">
      <c r="A3" s="36"/>
    </row>
    <row r="4" spans="1:1">
      <c r="A4" s="36"/>
    </row>
    <row r="5" spans="1:14">
      <c r="A5" s="36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spans="1:14">
      <c r="A6" s="36"/>
      <c r="E6" s="37"/>
      <c r="F6" s="38" t="s">
        <v>0</v>
      </c>
      <c r="G6" s="38"/>
      <c r="H6" s="38"/>
      <c r="I6" s="38"/>
      <c r="J6" s="38"/>
      <c r="K6" s="38"/>
      <c r="L6" s="38"/>
      <c r="M6" s="38"/>
      <c r="N6" s="37"/>
    </row>
    <row r="7" spans="1:14">
      <c r="A7" s="36"/>
      <c r="E7" s="37"/>
      <c r="F7" s="38"/>
      <c r="G7" s="38"/>
      <c r="H7" s="38"/>
      <c r="I7" s="38"/>
      <c r="J7" s="38"/>
      <c r="K7" s="38"/>
      <c r="L7" s="38"/>
      <c r="M7" s="38"/>
      <c r="N7" s="37"/>
    </row>
    <row r="8" ht="16.5" spans="1:14">
      <c r="A8" s="36"/>
      <c r="E8" s="37"/>
      <c r="F8" s="39"/>
      <c r="G8" s="39"/>
      <c r="H8" s="39"/>
      <c r="I8" s="39"/>
      <c r="J8" s="39"/>
      <c r="K8" s="39"/>
      <c r="L8" s="39"/>
      <c r="M8" s="39"/>
      <c r="N8" s="37"/>
    </row>
    <row r="9" ht="17.25" spans="1:14">
      <c r="A9" s="36"/>
      <c r="E9" s="37"/>
      <c r="F9" s="40" t="s">
        <v>1</v>
      </c>
      <c r="G9" s="40"/>
      <c r="H9" s="40"/>
      <c r="I9" s="48">
        <v>13</v>
      </c>
      <c r="J9" s="48"/>
      <c r="K9" s="48"/>
      <c r="L9" s="48"/>
      <c r="M9" s="48"/>
      <c r="N9" s="37"/>
    </row>
    <row r="10" ht="18" spans="1:14">
      <c r="A10" s="36"/>
      <c r="E10" s="37"/>
      <c r="F10" s="40" t="s">
        <v>2</v>
      </c>
      <c r="G10" s="41">
        <f t="shared" ref="G10:G14" si="0">$I$9*M10</f>
        <v>7.28</v>
      </c>
      <c r="H10" s="41"/>
      <c r="I10" s="41"/>
      <c r="J10" s="41"/>
      <c r="K10" s="41"/>
      <c r="L10" s="49"/>
      <c r="M10" s="50">
        <v>0.56</v>
      </c>
      <c r="N10" s="37"/>
    </row>
    <row r="11" ht="18" spans="1:14">
      <c r="A11" s="36"/>
      <c r="C11" s="42"/>
      <c r="E11" s="37"/>
      <c r="F11" s="40" t="s">
        <v>3</v>
      </c>
      <c r="G11" s="41">
        <f t="shared" si="0"/>
        <v>3.12</v>
      </c>
      <c r="H11" s="41"/>
      <c r="I11" s="41"/>
      <c r="J11" s="41"/>
      <c r="K11" s="41"/>
      <c r="L11" s="49"/>
      <c r="M11" s="50">
        <v>0.24</v>
      </c>
      <c r="N11" s="37"/>
    </row>
    <row r="12" ht="18" spans="1:14">
      <c r="A12" s="36"/>
      <c r="C12" s="42"/>
      <c r="E12" s="37"/>
      <c r="F12" s="40" t="s">
        <v>4</v>
      </c>
      <c r="G12" s="41">
        <f t="shared" si="0"/>
        <v>1.3</v>
      </c>
      <c r="H12" s="41"/>
      <c r="I12" s="41"/>
      <c r="J12" s="41"/>
      <c r="K12" s="41"/>
      <c r="L12" s="49"/>
      <c r="M12" s="50">
        <v>0.1</v>
      </c>
      <c r="N12" s="37"/>
    </row>
    <row r="13" ht="18" spans="1:14">
      <c r="A13" s="36"/>
      <c r="C13" s="42"/>
      <c r="E13" s="37"/>
      <c r="F13" s="40" t="s">
        <v>5</v>
      </c>
      <c r="G13" s="41">
        <f t="shared" si="0"/>
        <v>1.43</v>
      </c>
      <c r="H13" s="41"/>
      <c r="I13" s="41"/>
      <c r="J13" s="41"/>
      <c r="K13" s="41"/>
      <c r="L13" s="49"/>
      <c r="M13" s="50">
        <v>0.11</v>
      </c>
      <c r="N13" s="37"/>
    </row>
    <row r="14" ht="18" spans="1:14">
      <c r="A14" s="36"/>
      <c r="C14" s="42"/>
      <c r="E14" s="37"/>
      <c r="F14" s="40" t="s">
        <v>6</v>
      </c>
      <c r="G14" s="41">
        <f t="shared" si="0"/>
        <v>0</v>
      </c>
      <c r="H14" s="41"/>
      <c r="I14" s="41"/>
      <c r="J14" s="41"/>
      <c r="K14" s="41"/>
      <c r="L14" s="49"/>
      <c r="M14" s="50">
        <v>0</v>
      </c>
      <c r="N14" s="37"/>
    </row>
    <row r="15" ht="17.25" spans="1:14">
      <c r="A15" s="36"/>
      <c r="C15" s="42"/>
      <c r="E15" s="37"/>
      <c r="F15" s="39" t="s">
        <v>7</v>
      </c>
      <c r="G15" s="43">
        <f t="shared" ref="G15:G19" si="1">L15</f>
        <v>4.23762376237624</v>
      </c>
      <c r="H15" s="43">
        <f t="shared" ref="H15:H19" si="2">L15</f>
        <v>4.23762376237624</v>
      </c>
      <c r="I15" s="43">
        <f t="shared" ref="I15:I19" si="3">L15</f>
        <v>4.23762376237624</v>
      </c>
      <c r="J15" s="43">
        <f t="shared" ref="J15:J19" si="4">L15</f>
        <v>4.23762376237624</v>
      </c>
      <c r="K15" s="43">
        <f t="shared" ref="K15:K19" si="5">L15</f>
        <v>4.23762376237624</v>
      </c>
      <c r="L15" s="51">
        <f>IFERROR((G10*5+G11*4+G12*3+G13*2+G14*1)/SUM(G10:G14),"数据有误")</f>
        <v>4.23762376237624</v>
      </c>
      <c r="M15" s="51"/>
      <c r="N15" s="37"/>
    </row>
    <row r="16" ht="16.5" spans="1:14">
      <c r="A16" s="36"/>
      <c r="E16" s="37"/>
      <c r="F16" s="39" t="s">
        <v>8</v>
      </c>
      <c r="G16" s="44">
        <f t="shared" si="1"/>
        <v>4.4</v>
      </c>
      <c r="H16" s="43">
        <f t="shared" si="2"/>
        <v>4.4</v>
      </c>
      <c r="I16" s="44">
        <f t="shared" si="3"/>
        <v>4.4</v>
      </c>
      <c r="J16" s="44">
        <f t="shared" si="4"/>
        <v>4.4</v>
      </c>
      <c r="K16" s="44">
        <f t="shared" si="5"/>
        <v>4.4</v>
      </c>
      <c r="L16" s="52">
        <v>4.4</v>
      </c>
      <c r="M16" s="52"/>
      <c r="N16" s="37"/>
    </row>
    <row r="17" ht="15.75" customHeight="1" spans="1:14">
      <c r="A17" s="36"/>
      <c r="E17" s="37"/>
      <c r="F17" s="39" t="s">
        <v>9</v>
      </c>
      <c r="G17" s="45" t="s">
        <v>10</v>
      </c>
      <c r="H17" s="45"/>
      <c r="I17" s="45"/>
      <c r="J17" s="45"/>
      <c r="K17" s="45"/>
      <c r="L17" s="53">
        <f>IF(L16&gt;L15,IFERROR((L16*SUM(G11:G14)-G11*4-G12*3-G13*2-G14*1)/(5-L16)-G10,"数据有误"),"不需要")</f>
        <v>3.55333333333334</v>
      </c>
      <c r="M17" s="53"/>
      <c r="N17" s="37"/>
    </row>
    <row r="18" ht="15.75" customHeight="1" spans="1:14">
      <c r="A18" s="36"/>
      <c r="B18" s="46"/>
      <c r="E18" s="37"/>
      <c r="F18" s="39" t="s">
        <v>11</v>
      </c>
      <c r="G18" s="45"/>
      <c r="H18" s="45"/>
      <c r="I18" s="45"/>
      <c r="J18" s="45"/>
      <c r="K18" s="45"/>
      <c r="L18" s="48">
        <v>10</v>
      </c>
      <c r="M18" s="48"/>
      <c r="N18" s="37"/>
    </row>
    <row r="19" ht="16.5" spans="5:14">
      <c r="E19" s="37"/>
      <c r="F19" s="39" t="s">
        <v>12</v>
      </c>
      <c r="G19" s="44">
        <f t="shared" si="1"/>
        <v>4.59304347826087</v>
      </c>
      <c r="H19" s="47">
        <f t="shared" si="2"/>
        <v>4.59304347826087</v>
      </c>
      <c r="I19" s="44">
        <f t="shared" si="3"/>
        <v>4.59304347826087</v>
      </c>
      <c r="J19" s="44">
        <f t="shared" si="4"/>
        <v>4.59304347826087</v>
      </c>
      <c r="K19" s="44">
        <f t="shared" si="5"/>
        <v>4.59304347826087</v>
      </c>
      <c r="L19" s="54">
        <f>(L18*5+G10*5+G11*4+G12*3+G13*2+G14)/(L18+I9)</f>
        <v>4.59304347826087</v>
      </c>
      <c r="M19" s="54"/>
      <c r="N19" s="37"/>
    </row>
    <row r="20" spans="5:14"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5:14"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">
      <c r="A22" s="36"/>
    </row>
    <row r="23" spans="1:1">
      <c r="A23" s="36"/>
    </row>
    <row r="24" spans="1:3">
      <c r="A24" s="36"/>
      <c r="C24" s="42"/>
    </row>
    <row r="25" spans="1:3">
      <c r="A25" s="36"/>
      <c r="C25" s="42"/>
    </row>
    <row r="26" spans="1:3">
      <c r="A26" s="36"/>
      <c r="C26" s="42"/>
    </row>
    <row r="27" spans="1:3">
      <c r="A27" s="36"/>
      <c r="C27" s="42"/>
    </row>
    <row r="28" spans="1:3">
      <c r="A28" s="36"/>
      <c r="C28" s="42"/>
    </row>
    <row r="29" spans="1:1">
      <c r="A29" s="36"/>
    </row>
    <row r="30" spans="1:1">
      <c r="A30" s="36"/>
    </row>
    <row r="31" spans="1:2">
      <c r="A31" s="36"/>
      <c r="B31" s="46"/>
    </row>
  </sheetData>
  <mergeCells count="14">
    <mergeCell ref="F9:H9"/>
    <mergeCell ref="I9:M9"/>
    <mergeCell ref="G10:L10"/>
    <mergeCell ref="G11:L11"/>
    <mergeCell ref="G12:L12"/>
    <mergeCell ref="G13:L13"/>
    <mergeCell ref="G14:L14"/>
    <mergeCell ref="L15:M15"/>
    <mergeCell ref="L16:M16"/>
    <mergeCell ref="L17:M17"/>
    <mergeCell ref="L18:M18"/>
    <mergeCell ref="L19:M19"/>
    <mergeCell ref="F6:M7"/>
    <mergeCell ref="G17:K18"/>
  </mergeCells>
  <conditionalFormatting sqref="L17">
    <cfRule type="cellIs" dxfId="0" priority="8" operator="equal">
      <formula>"不需要"</formula>
    </cfRule>
  </conditionalFormatting>
  <conditionalFormatting sqref="G10:G14">
    <cfRule type="dataBar" priority="7">
      <dataBar>
        <cfvo type="num" val="0"/>
        <cfvo type="num" val="SUM($G$10:$L$14)"/>
        <color rgb="FFFFC000"/>
      </dataBar>
      <extLst>
        <ext xmlns:x14="http://schemas.microsoft.com/office/spreadsheetml/2009/9/main" uri="{B025F937-C7B1-47D3-B67F-A62EFF666E3E}">
          <x14:id>{8058f700-7b18-4cdd-a1f5-c008d99b60b1}</x14:id>
        </ext>
      </extLst>
    </cfRule>
  </conditionalFormatting>
  <conditionalFormatting sqref="L10:L17">
    <cfRule type="containsText" dxfId="1" priority="9" operator="between" text="有误">
      <formula>NOT(ISERROR(SEARCH("有误",L10)))</formula>
    </cfRule>
  </conditionalFormatting>
  <dataValidations count="1">
    <dataValidation type="custom" allowBlank="1" showInputMessage="1" showErrorMessage="1" sqref="G10:L14">
      <formula1>ISNUMBER(L10)</formula1>
    </dataValidation>
  </dataValidations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1c628cb6-3d5e-4cf0-bd71-ee0ca929e64c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17" id="{ca78061a-cdd6-4c08-81f8-a80795ccf9ec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m:sqref>G15</xm:sqref>
        </x14:conditionalFormatting>
        <x14:conditionalFormatting xmlns:xm="http://schemas.microsoft.com/office/excel/2006/main">
          <x14:cfRule type="iconSet" priority="13" id="{3303d843-0442-4627-a6b6-89347c07f9e0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12" id="{10915117-7458-4324-90fb-20c22fefd882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H15</xm:sqref>
        </x14:conditionalFormatting>
        <x14:conditionalFormatting xmlns:xm="http://schemas.microsoft.com/office/excel/2006/main">
          <x14:cfRule type="iconSet" priority="14" id="{fa887129-1553-4b20-88be-de5b4f26f62f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H16</xm:sqref>
        </x14:conditionalFormatting>
        <x14:conditionalFormatting xmlns:xm="http://schemas.microsoft.com/office/excel/2006/main">
          <x14:cfRule type="iconSet" priority="5" id="{28767648-8d1c-4df2-83c2-4902592241a8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G19</xm:sqref>
        </x14:conditionalFormatting>
        <x14:conditionalFormatting xmlns:xm="http://schemas.microsoft.com/office/excel/2006/main">
          <x14:cfRule type="iconSet" priority="4" id="{d2c754ed-3eb8-470e-8f0d-1c58cb3ec5f2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3" id="{39248aab-4d4f-4645-ac35-304ff59d7992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H19</xm:sqref>
        </x14:conditionalFormatting>
        <x14:conditionalFormatting xmlns:xm="http://schemas.microsoft.com/office/excel/2006/main">
          <x14:cfRule type="iconSet" priority="2" id="{813fe294-8d8b-4272-a4cf-2a76e1f3e926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I19</xm:sqref>
        </x14:conditionalFormatting>
        <x14:conditionalFormatting xmlns:xm="http://schemas.microsoft.com/office/excel/2006/main">
          <x14:cfRule type="iconSet" priority="1" id="{7066532e-ef0f-4ece-a25d-7d41a5799a2c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J19</xm:sqref>
        </x14:conditionalFormatting>
        <x14:conditionalFormatting xmlns:xm="http://schemas.microsoft.com/office/excel/2006/main">
          <x14:cfRule type="iconSet" priority="6" id="{dbb428c4-a9c7-4ac8-b2d6-4b49963cb3f7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K19</xm:sqref>
        </x14:conditionalFormatting>
        <x14:conditionalFormatting xmlns:xm="http://schemas.microsoft.com/office/excel/2006/main">
          <x14:cfRule type="dataBar" id="{8058f700-7b18-4cdd-a1f5-c008d99b60b1}">
            <x14:dataBar minLength="0" maxLength="100" gradient="0">
              <x14:cfvo type="num">
                <xm:f>0</xm:f>
              </x14:cfvo>
              <x14:cfvo type="num">
                <xm:f>SUM($G$10:$L$14)</xm:f>
              </x14:cfvo>
              <x14:negativeFillColor rgb="FFFF0000"/>
              <x14:axisColor rgb="FF000000"/>
            </x14:dataBar>
          </x14:cfRule>
          <xm:sqref>G10:G14</xm:sqref>
        </x14:conditionalFormatting>
        <x14:conditionalFormatting xmlns:xm="http://schemas.microsoft.com/office/excel/2006/main">
          <x14:cfRule type="iconSet" priority="16" id="{6657cc43-8926-425e-9050-9c80289d4be6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G15:G16</xm:sqref>
        </x14:conditionalFormatting>
        <x14:conditionalFormatting xmlns:xm="http://schemas.microsoft.com/office/excel/2006/main">
          <x14:cfRule type="iconSet" priority="15" id="{33c756df-0d99-44d9-b7dc-2dee7b9b2100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H15:H16</xm:sqref>
        </x14:conditionalFormatting>
        <x14:conditionalFormatting xmlns:xm="http://schemas.microsoft.com/office/excel/2006/main">
          <x14:cfRule type="iconSet" priority="11" id="{18a7c60a-ce17-43f3-9dab-341c1539f53a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I15:I16</xm:sqref>
        </x14:conditionalFormatting>
        <x14:conditionalFormatting xmlns:xm="http://schemas.microsoft.com/office/excel/2006/main">
          <x14:cfRule type="iconSet" priority="10" id="{f00a2e93-d275-4d27-a86d-5827ddac6d32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J15:J16</xm:sqref>
        </x14:conditionalFormatting>
        <x14:conditionalFormatting xmlns:xm="http://schemas.microsoft.com/office/excel/2006/main">
          <x14:cfRule type="iconSet" priority="19" id="{aa5e293a-6e96-4cde-9c33-716e4e6a31d3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K15:K16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R22"/>
  <sheetViews>
    <sheetView showGridLines="0" zoomScale="115" zoomScaleNormal="115" workbookViewId="0">
      <selection activeCell="G23" sqref="G23"/>
    </sheetView>
  </sheetViews>
  <sheetFormatPr defaultColWidth="9" defaultRowHeight="14"/>
  <cols>
    <col min="1" max="2" width="9" style="1"/>
    <col min="3" max="3" width="10.3909090909091" style="1" customWidth="1"/>
    <col min="4" max="4" width="19.8909090909091" style="1" customWidth="1"/>
    <col min="5" max="5" width="3.63636363636364" style="1" customWidth="1"/>
    <col min="6" max="6" width="3.75454545454545" style="1" customWidth="1"/>
    <col min="7" max="7" width="14.1363636363636" style="1" customWidth="1"/>
    <col min="8" max="8" width="14" style="1" customWidth="1"/>
    <col min="9" max="9" width="3.75454545454545" style="1" customWidth="1"/>
    <col min="10" max="10" width="4" style="1" customWidth="1"/>
    <col min="11" max="11" width="8.75454545454545" style="1" customWidth="1"/>
    <col min="12" max="16" width="2.75454545454545" style="1" customWidth="1"/>
    <col min="17" max="17" width="8.5" style="1" customWidth="1"/>
    <col min="18" max="16384" width="9" style="1"/>
  </cols>
  <sheetData>
    <row r="4" ht="14.75"/>
    <row r="5" spans="2:18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9"/>
    </row>
    <row r="6" spans="2:18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0"/>
    </row>
    <row r="7" ht="28.25" spans="2:18">
      <c r="B7" s="4"/>
      <c r="C7" s="6" t="s">
        <v>13</v>
      </c>
      <c r="D7" s="6"/>
      <c r="E7" s="5"/>
      <c r="F7" s="7"/>
      <c r="G7" s="8" t="s">
        <v>14</v>
      </c>
      <c r="H7" s="8"/>
      <c r="I7" s="5"/>
      <c r="J7" s="7"/>
      <c r="K7" s="22" t="s">
        <v>15</v>
      </c>
      <c r="L7" s="23"/>
      <c r="M7" s="23"/>
      <c r="N7" s="23"/>
      <c r="O7" s="23"/>
      <c r="P7" s="23"/>
      <c r="Q7" s="23"/>
      <c r="R7" s="30"/>
    </row>
    <row r="8" ht="6" customHeight="1" spans="2:18">
      <c r="B8" s="4"/>
      <c r="C8" s="9"/>
      <c r="D8" s="9"/>
      <c r="E8" s="5"/>
      <c r="F8" s="7"/>
      <c r="G8" s="10"/>
      <c r="H8" s="5"/>
      <c r="I8" s="5"/>
      <c r="J8" s="7"/>
      <c r="K8" s="10"/>
      <c r="L8" s="10"/>
      <c r="M8" s="10"/>
      <c r="N8" s="10"/>
      <c r="O8" s="10"/>
      <c r="P8" s="10"/>
      <c r="Q8" s="10"/>
      <c r="R8" s="30"/>
    </row>
    <row r="9" ht="15.5" spans="2:18">
      <c r="B9" s="4"/>
      <c r="C9" s="5" t="s">
        <v>16</v>
      </c>
      <c r="D9" s="11">
        <v>1</v>
      </c>
      <c r="E9" s="5"/>
      <c r="F9" s="7"/>
      <c r="G9" s="5" t="s">
        <v>17</v>
      </c>
      <c r="H9" s="11">
        <v>45</v>
      </c>
      <c r="I9" s="5"/>
      <c r="J9" s="7"/>
      <c r="K9" s="5" t="s">
        <v>18</v>
      </c>
      <c r="L9" s="24">
        <v>26</v>
      </c>
      <c r="M9" s="25"/>
      <c r="N9" s="25"/>
      <c r="O9" s="25"/>
      <c r="P9" s="25"/>
      <c r="Q9" s="31"/>
      <c r="R9" s="30"/>
    </row>
    <row r="10" ht="15.5" spans="2:18">
      <c r="B10" s="4"/>
      <c r="C10" s="5" t="s">
        <v>19</v>
      </c>
      <c r="D10" s="12">
        <v>1</v>
      </c>
      <c r="E10" s="5"/>
      <c r="F10" s="7"/>
      <c r="G10" s="5" t="s">
        <v>20</v>
      </c>
      <c r="H10" s="11">
        <v>10</v>
      </c>
      <c r="I10" s="5"/>
      <c r="J10" s="7"/>
      <c r="K10" s="5" t="s">
        <v>21</v>
      </c>
      <c r="L10" s="24">
        <v>11</v>
      </c>
      <c r="M10" s="25"/>
      <c r="N10" s="25"/>
      <c r="O10" s="25"/>
      <c r="P10" s="25"/>
      <c r="Q10" s="31"/>
      <c r="R10" s="30"/>
    </row>
    <row r="11" ht="15.5" spans="2:18">
      <c r="B11" s="4"/>
      <c r="C11" s="5" t="s">
        <v>22</v>
      </c>
      <c r="D11" s="12">
        <v>20</v>
      </c>
      <c r="E11" s="5"/>
      <c r="F11" s="7"/>
      <c r="G11" s="5" t="s">
        <v>23</v>
      </c>
      <c r="H11" s="11">
        <v>7</v>
      </c>
      <c r="I11" s="5"/>
      <c r="J11" s="7"/>
      <c r="K11" s="5" t="s">
        <v>24</v>
      </c>
      <c r="L11" s="24">
        <v>8</v>
      </c>
      <c r="M11" s="25"/>
      <c r="N11" s="25"/>
      <c r="O11" s="25"/>
      <c r="P11" s="25"/>
      <c r="Q11" s="31"/>
      <c r="R11" s="30"/>
    </row>
    <row r="12" ht="15.5" spans="2:18">
      <c r="B12" s="4"/>
      <c r="C12" s="5" t="s">
        <v>25</v>
      </c>
      <c r="D12" s="13">
        <v>0.03</v>
      </c>
      <c r="E12" s="5"/>
      <c r="F12" s="7"/>
      <c r="G12" s="5" t="s">
        <v>26</v>
      </c>
      <c r="H12" s="12">
        <v>6.6</v>
      </c>
      <c r="I12" s="5"/>
      <c r="J12" s="7"/>
      <c r="K12" s="5" t="s">
        <v>27</v>
      </c>
      <c r="L12" s="24">
        <v>7</v>
      </c>
      <c r="M12" s="25"/>
      <c r="N12" s="25"/>
      <c r="O12" s="25"/>
      <c r="P12" s="25"/>
      <c r="Q12" s="31"/>
      <c r="R12" s="30"/>
    </row>
    <row r="13" ht="15.5" spans="2:18">
      <c r="B13" s="4"/>
      <c r="C13" s="5" t="s">
        <v>28</v>
      </c>
      <c r="D13" s="13">
        <v>0.2</v>
      </c>
      <c r="E13" s="5"/>
      <c r="F13" s="7"/>
      <c r="G13" s="5" t="s">
        <v>29</v>
      </c>
      <c r="H13" s="14">
        <v>32.88</v>
      </c>
      <c r="I13" s="5"/>
      <c r="J13" s="7"/>
      <c r="K13" s="5" t="s">
        <v>30</v>
      </c>
      <c r="L13" s="24">
        <v>10</v>
      </c>
      <c r="M13" s="25"/>
      <c r="N13" s="25"/>
      <c r="O13" s="25"/>
      <c r="P13" s="25"/>
      <c r="Q13" s="31"/>
      <c r="R13" s="30"/>
    </row>
    <row r="14" ht="15.5" spans="2:18">
      <c r="B14" s="4"/>
      <c r="C14" s="5" t="s">
        <v>31</v>
      </c>
      <c r="D14" s="15">
        <f>D10/D11/D12</f>
        <v>1.66666666666667</v>
      </c>
      <c r="E14" s="5"/>
      <c r="F14" s="7"/>
      <c r="G14" s="5" t="s">
        <v>32</v>
      </c>
      <c r="H14" s="12">
        <v>30</v>
      </c>
      <c r="I14" s="5"/>
      <c r="J14" s="7"/>
      <c r="K14" s="5" t="s">
        <v>33</v>
      </c>
      <c r="L14" s="5"/>
      <c r="M14" s="5"/>
      <c r="N14" s="5"/>
      <c r="O14" s="5"/>
      <c r="P14" s="5"/>
      <c r="Q14" s="1">
        <f>SUM(L9:Q13)</f>
        <v>62</v>
      </c>
      <c r="R14" s="30"/>
    </row>
    <row r="15" ht="14.25" customHeight="1" spans="2:18">
      <c r="B15" s="4"/>
      <c r="C15" s="5"/>
      <c r="D15" s="16" t="str">
        <f>IF(D14&lt;=D13,"推荐","不推荐")</f>
        <v>不推荐</v>
      </c>
      <c r="E15" s="5"/>
      <c r="F15" s="7"/>
      <c r="G15" s="5" t="s">
        <v>34</v>
      </c>
      <c r="H15" s="17">
        <f>(H14*0.85-H12)*H11-H10-H9</f>
        <v>77.3</v>
      </c>
      <c r="I15" s="5"/>
      <c r="J15" s="7"/>
      <c r="K15" s="5" t="s">
        <v>7</v>
      </c>
      <c r="L15" s="26">
        <f>Q15</f>
        <v>3.58064516129032</v>
      </c>
      <c r="M15" s="26">
        <f>Q15</f>
        <v>3.58064516129032</v>
      </c>
      <c r="N15" s="26">
        <f>Q15</f>
        <v>3.58064516129032</v>
      </c>
      <c r="O15" s="26">
        <f>Q15</f>
        <v>3.58064516129032</v>
      </c>
      <c r="P15" s="26">
        <f>Q15</f>
        <v>3.58064516129032</v>
      </c>
      <c r="Q15" s="32">
        <f>IFERROR((L9*5+L10*4+L11*3+L12*2+L13*1)/SUM(L9:Q13),"数据有误")</f>
        <v>3.58064516129032</v>
      </c>
      <c r="R15" s="30"/>
    </row>
    <row r="16" ht="15.5" spans="2:18">
      <c r="B16" s="4"/>
      <c r="C16" s="5"/>
      <c r="D16" s="18"/>
      <c r="E16" s="5"/>
      <c r="F16" s="7"/>
      <c r="G16" s="5" t="s">
        <v>28</v>
      </c>
      <c r="H16" s="19">
        <f>H15/H11/H14</f>
        <v>0.368095238095238</v>
      </c>
      <c r="I16" s="5"/>
      <c r="J16" s="7"/>
      <c r="K16" s="5" t="s">
        <v>8</v>
      </c>
      <c r="L16" s="27">
        <f>Q16</f>
        <v>3.8</v>
      </c>
      <c r="M16" s="26">
        <f>Q16</f>
        <v>3.8</v>
      </c>
      <c r="N16" s="27">
        <f>Q16</f>
        <v>3.8</v>
      </c>
      <c r="O16" s="27">
        <f>Q16</f>
        <v>3.8</v>
      </c>
      <c r="P16" s="27">
        <f>Q16</f>
        <v>3.8</v>
      </c>
      <c r="Q16" s="33">
        <v>3.8</v>
      </c>
      <c r="R16" s="30"/>
    </row>
    <row r="17" spans="2:18">
      <c r="B17" s="4"/>
      <c r="C17" s="5"/>
      <c r="D17" s="5"/>
      <c r="E17" s="5"/>
      <c r="F17" s="5"/>
      <c r="G17" s="5"/>
      <c r="H17" s="5"/>
      <c r="I17" s="5"/>
      <c r="J17" s="5"/>
      <c r="K17" s="5" t="s">
        <v>9</v>
      </c>
      <c r="L17" s="28"/>
      <c r="M17" s="28"/>
      <c r="N17" s="28"/>
      <c r="O17" s="28"/>
      <c r="P17" s="28"/>
      <c r="Q17" s="28">
        <f>IF(Q16&gt;Q15,IFERROR((Q16*SUM(L10:L13)-L10*4-L11*3-L12*2-L13*1)/(5-Q16)-L9,"数据有误"),"不需要")</f>
        <v>11.3333333333333</v>
      </c>
      <c r="R17" s="30"/>
    </row>
    <row r="18" spans="2:18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0"/>
    </row>
    <row r="19" spans="2:18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0"/>
    </row>
    <row r="20" ht="14.75" spans="2:18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4"/>
    </row>
    <row r="22" spans="18:18">
      <c r="R22" s="35" t="s">
        <v>35</v>
      </c>
    </row>
  </sheetData>
  <sheetProtection selectLockedCells="1"/>
  <mergeCells count="6">
    <mergeCell ref="L9:Q9"/>
    <mergeCell ref="L10:Q10"/>
    <mergeCell ref="L11:Q11"/>
    <mergeCell ref="L12:Q12"/>
    <mergeCell ref="L13:Q13"/>
    <mergeCell ref="D15:D16"/>
  </mergeCells>
  <conditionalFormatting sqref="L9">
    <cfRule type="dataBar" priority="25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{e07baead-2a3c-4a1d-a7a2-9f06c54a16ef}</x14:id>
        </ext>
      </extLst>
    </cfRule>
    <cfRule type="dataBar" priority="24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{47345f46-8678-408a-8c63-4a758a7fb2b9}</x14:id>
        </ext>
      </extLst>
    </cfRule>
  </conditionalFormatting>
  <conditionalFormatting sqref="Q9">
    <cfRule type="containsText" dxfId="1" priority="23" operator="between" text="有误">
      <formula>NOT(ISERROR(SEARCH("有误",Q9)))</formula>
    </cfRule>
  </conditionalFormatting>
  <conditionalFormatting sqref="L10">
    <cfRule type="dataBar" priority="22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{c975668b-9acd-434e-b85d-c692079932b6}</x14:id>
        </ext>
      </extLst>
    </cfRule>
    <cfRule type="dataBar" priority="21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{b1057156-adf4-4607-89ed-ef29822dd561}</x14:id>
        </ext>
      </extLst>
    </cfRule>
  </conditionalFormatting>
  <conditionalFormatting sqref="Q10">
    <cfRule type="containsText" dxfId="1" priority="20" operator="between" text="有误">
      <formula>NOT(ISERROR(SEARCH("有误",Q10)))</formula>
    </cfRule>
  </conditionalFormatting>
  <conditionalFormatting sqref="L12">
    <cfRule type="dataBar" priority="28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{992644fb-7a5b-4b2f-a6e8-c04ff29e2942}</x14:id>
        </ext>
      </extLst>
    </cfRule>
    <cfRule type="dataBar" priority="27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{3079598f-5eb4-4962-9d25-7e3e32ddb1db}</x14:id>
        </ext>
      </extLst>
    </cfRule>
  </conditionalFormatting>
  <conditionalFormatting sqref="Q12">
    <cfRule type="containsText" dxfId="1" priority="26" operator="between" text="有误">
      <formula>NOT(ISERROR(SEARCH("有误",Q12)))</formula>
    </cfRule>
  </conditionalFormatting>
  <conditionalFormatting sqref="D15">
    <cfRule type="cellIs" dxfId="2" priority="47" operator="equal">
      <formula>"推荐"</formula>
    </cfRule>
    <cfRule type="cellIs" dxfId="3" priority="46" operator="equal">
      <formula>"不推荐"</formula>
    </cfRule>
  </conditionalFormatting>
  <conditionalFormatting sqref="Q17">
    <cfRule type="cellIs" dxfId="0" priority="32" operator="equal">
      <formula>"不需要"</formula>
    </cfRule>
  </conditionalFormatting>
  <conditionalFormatting sqref="Q1:Q7 Q15:Q1048576">
    <cfRule type="containsText" dxfId="1" priority="33" operator="between" text="有误">
      <formula>NOT(ISERROR(SEARCH("有误",Q1)))</formula>
    </cfRule>
  </conditionalFormatting>
  <conditionalFormatting sqref="L11 L13">
    <cfRule type="dataBar" priority="31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{1a65419d-90fb-4bec-95d0-0508b06a8c4c}</x14:id>
        </ext>
      </extLst>
    </cfRule>
    <cfRule type="dataBar" priority="30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{85d58ae5-3820-4279-89f0-7ff244fb91ef}</x14:id>
        </ext>
      </extLst>
    </cfRule>
  </conditionalFormatting>
  <conditionalFormatting sqref="Q11 Q13">
    <cfRule type="containsText" dxfId="1" priority="29" operator="between" text="有误">
      <formula>NOT(ISERROR(SEARCH("有误",Q11)))</formula>
    </cfRule>
  </conditionalFormatting>
  <conditionalFormatting sqref="L15:Q17">
    <cfRule type="containsText" dxfId="4" priority="45" operator="between" text="检查">
      <formula>NOT(ISERROR(SEARCH("检查",L15)))</formula>
    </cfRule>
  </conditionalFormatting>
  <pageMargins left="0.7" right="0.7" top="0.75" bottom="0.75" header="0.3" footer="0.3"/>
  <pageSetup paperSize="256" orientation="portrait" horizontalDpi="203" verticalDpi="20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7baead-2a3c-4a1d-a7a2-9f06c54a16ef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47345f46-8678-408a-8c63-4a758a7fb2b9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975668b-9acd-434e-b85d-c692079932b6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b1057156-adf4-4607-89ed-ef29822dd561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92644fb-7a5b-4b2f-a6e8-c04ff29e2942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3079598f-5eb4-4962-9d25-7e3e32ddb1db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iconSet" priority="42" id="{544c5942-c7fe-4c2b-ad6d-e6c085abad72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14:cfRule type="iconSet" priority="43" id="{79feef4a-4ecd-44b6-a414-53ecf6fee88c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44" id="{4f8661f6-04c5-4d65-9847-18a48fafcf76}">
            <x14:iconSet iconSet="3TrafficLights1" custom="1">
              <x14:cfvo type="percent">
                <xm:f>0</xm:f>
              </x14:cfvo>
              <x14:cfvo type="percent">
                <xm:f>33</xm:f>
              </x14:cfvo>
              <x14:cfvo type="num">
                <xm:f>$Q$15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m:sqref>L15</xm:sqref>
        </x14:conditionalFormatting>
        <x14:conditionalFormatting xmlns:xm="http://schemas.microsoft.com/office/excel/2006/main">
          <x14:cfRule type="iconSet" priority="37" id="{9a5dc10d-1e41-4c7d-a267-501f69e78a71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38" id="{bb09d4a5-48bc-463c-8957-27a1eaff4bd5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M15</xm:sqref>
        </x14:conditionalFormatting>
        <x14:conditionalFormatting xmlns:xm="http://schemas.microsoft.com/office/excel/2006/main">
          <x14:cfRule type="iconSet" priority="39" id="{1bdcd4b4-8b66-41ff-8a68-8a2819e01677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M16</xm:sqref>
        </x14:conditionalFormatting>
        <x14:conditionalFormatting xmlns:xm="http://schemas.microsoft.com/office/excel/2006/main">
          <x14:cfRule type="iconSet" priority="41" id="{d58826ef-ee4f-4801-8c96-8d2aae70b953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L15:L16</xm:sqref>
        </x14:conditionalFormatting>
        <x14:conditionalFormatting xmlns:xm="http://schemas.microsoft.com/office/excel/2006/main">
          <x14:cfRule type="iconSet" priority="40" id="{bc38cbfc-53ec-44e8-8e6e-57e6a7ea7c3d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M15:M16</xm:sqref>
        </x14:conditionalFormatting>
        <x14:conditionalFormatting xmlns:xm="http://schemas.microsoft.com/office/excel/2006/main">
          <x14:cfRule type="iconSet" priority="36" id="{4009d2d8-a8df-4b2a-961a-b2f70c584fe5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N15:N16</xm:sqref>
        </x14:conditionalFormatting>
        <x14:conditionalFormatting xmlns:xm="http://schemas.microsoft.com/office/excel/2006/main">
          <x14:cfRule type="iconSet" priority="35" id="{1485f722-5761-4d87-b059-7b378a515b7b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O15:O16</xm:sqref>
        </x14:conditionalFormatting>
        <x14:conditionalFormatting xmlns:xm="http://schemas.microsoft.com/office/excel/2006/main">
          <x14:cfRule type="iconSet" priority="34" id="{699c46c7-113f-4ceb-92b7-96381da743d4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P15:P16</xm:sqref>
        </x14:conditionalFormatting>
        <x14:conditionalFormatting xmlns:xm="http://schemas.microsoft.com/office/excel/2006/main">
          <x14:cfRule type="dataBar" id="{1a65419d-90fb-4bec-95d0-0508b06a8c4c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85d58ae5-3820-4279-89f0-7ff244fb91ef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L11 L13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工具箱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mymac</dc:creator>
  <cp:lastModifiedBy>企业用户_474352541</cp:lastModifiedBy>
  <dcterms:created xsi:type="dcterms:W3CDTF">2023-05-18T17:43:00Z</dcterms:created>
  <dcterms:modified xsi:type="dcterms:W3CDTF">2024-06-27T06:29:44Z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A9D9C23AC7BB4115959588088E1C99B9_13</vt:lpwstr>
  </property>
  <property fmtid="{D5CDD505-2E9C-101B-9397-08002B2CF9AE}" pid="3" name="KSOProductBuildVer">
    <vt:lpwstr>2052-12.1.0.17133</vt:lpwstr>
  </property>
</Properties>
</file>