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工具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L9" authorId="0">
      <text>
        <r>
          <rPr>
            <sz val="9"/>
            <rFont val="华文细黑"/>
            <charset val="134"/>
          </rPr>
          <t>由于亚马逊Review评分算法的变动，请仅填写VP评论的数量。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<sst xmlns="http://schemas.openxmlformats.org/spreadsheetml/2006/main" count="29" uniqueCount="28">
  <si>
    <t>ACOS计算器</t>
  </si>
  <si>
    <t>产品利润计算器</t>
  </si>
  <si>
    <t>REVIEW评分计算器</t>
  </si>
  <si>
    <t>关键词</t>
  </si>
  <si>
    <t>thermal printer</t>
  </si>
  <si>
    <t>拿货价</t>
  </si>
  <si>
    <t>5 stars</t>
  </si>
  <si>
    <t>预估竞价</t>
  </si>
  <si>
    <t>头程费用</t>
  </si>
  <si>
    <t>4 stars</t>
  </si>
  <si>
    <t>产品单价</t>
  </si>
  <si>
    <t>汇率</t>
  </si>
  <si>
    <t>3 stars</t>
  </si>
  <si>
    <t>产品转化率</t>
  </si>
  <si>
    <t>佣金比例</t>
  </si>
  <si>
    <t>2 stars</t>
  </si>
  <si>
    <t>利润率</t>
  </si>
  <si>
    <t>FBA配送费</t>
  </si>
  <si>
    <t>1 stars</t>
  </si>
  <si>
    <t>ACOS</t>
  </si>
  <si>
    <t>保本售价</t>
  </si>
  <si>
    <t>当前分数</t>
  </si>
  <si>
    <t>当前售价</t>
  </si>
  <si>
    <t>目标分数</t>
  </si>
  <si>
    <t>利润</t>
  </si>
  <si>
    <t>需补五星</t>
  </si>
  <si>
    <r>
      <rPr>
        <sz val="11"/>
        <color theme="0" tint="-0.149998474074526"/>
        <rFont val="等线"/>
        <charset val="134"/>
      </rPr>
      <t xml:space="preserve">Power by </t>
    </r>
    <r>
      <rPr>
        <sz val="11"/>
        <color theme="0" tint="-0.149998474074526"/>
        <rFont val="宋体"/>
        <charset val="134"/>
        <scheme val="major"/>
      </rPr>
      <t>一只大禽兽</t>
    </r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</si>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</sst>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\$#,##0.00;\-\$#,##0.00"/>
    <numFmt numFmtId="178" formatCode="0.0%"/>
    <numFmt numFmtId="179" formatCode="0.0"/>
  </numFmts>
  <fonts count="36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20"/>
      <color theme="7" tint="0.799981688894314"/>
      <name val="微软雅黑 Light"/>
      <charset val="134"/>
    </font>
    <font>
      <sz val="11"/>
      <color theme="1"/>
      <name val="微软雅黑 Light"/>
      <charset val="134"/>
    </font>
    <font>
      <sz val="20"/>
      <color theme="4" tint="-0.249977111117893"/>
      <name val="微软雅黑 Light"/>
      <charset val="134"/>
    </font>
    <font>
      <sz val="20"/>
      <color theme="5"/>
      <name val="微软雅黑"/>
      <charset val="134"/>
    </font>
    <font>
      <sz val="20"/>
      <color theme="4" tint="-0.249977111117893"/>
      <name val="微软雅黑"/>
      <charset val="134"/>
    </font>
    <font>
      <b/>
      <sz val="14"/>
      <color theme="1"/>
      <name val="等线"/>
      <charset val="134"/>
    </font>
    <font>
      <sz val="20"/>
      <color theme="0"/>
      <name val="微软雅黑 Light"/>
      <charset val="134"/>
    </font>
    <font>
      <sz val="20"/>
      <color theme="0"/>
      <name val="微软雅黑"/>
      <charset val="134"/>
    </font>
    <font>
      <sz val="11"/>
      <color theme="0" tint="-0.0499893185216834"/>
      <name val="等线"/>
      <charset val="134"/>
    </font>
    <font>
      <sz val="8"/>
      <color theme="0" tint="-0.349986266670736"/>
      <name val="等线"/>
      <charset val="134"/>
    </font>
    <font>
      <sz val="9"/>
      <color theme="0" tint="-0.349986266670736"/>
      <name val="等线"/>
      <charset val="134"/>
    </font>
    <font>
      <sz val="11"/>
      <color theme="0" tint="-0.149998474074526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 tint="-0.149998474074526"/>
      <name val="宋体"/>
      <charset val="134"/>
      <scheme val="major"/>
    </font>
    <font>
      <sz val="9"/>
      <name val="华文细黑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double">
        <color theme="0" tint="-0.14996795556505"/>
      </left>
      <right style="double">
        <color theme="0" tint="-0.14996795556505"/>
      </right>
      <top style="double">
        <color theme="0" tint="-0.14996795556505"/>
      </top>
      <bottom style="double">
        <color theme="0" tint="-0.14996795556505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theme="0" tint="-0.149937437055574"/>
      </left>
      <right/>
      <top style="double">
        <color theme="0" tint="-0.149937437055574"/>
      </top>
      <bottom style="double">
        <color theme="0" tint="-0.149937437055574"/>
      </bottom>
      <diagonal/>
    </border>
    <border>
      <left/>
      <right/>
      <top style="double">
        <color theme="0" tint="-0.149937437055574"/>
      </top>
      <bottom style="double">
        <color theme="0" tint="-0.14993743705557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double">
        <color theme="0" tint="-0.149937437055574"/>
      </right>
      <top style="double">
        <color theme="0" tint="-0.149937437055574"/>
      </top>
      <bottom style="double">
        <color theme="0" tint="-0.14993743705557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8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9" borderId="18" applyNumberFormat="0" applyAlignment="0" applyProtection="0">
      <alignment vertical="center"/>
    </xf>
    <xf numFmtId="0" fontId="25" fillId="10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Protection="1">
      <alignment vertical="center"/>
    </xf>
    <xf numFmtId="0" fontId="1" fillId="2" borderId="1" xfId="0" applyFont="1" applyFill="1" applyBorder="1" applyProtection="1">
      <alignment vertical="center"/>
    </xf>
    <xf numFmtId="0" fontId="1" fillId="2" borderId="2" xfId="0" applyFont="1" applyFill="1" applyBorder="1" applyProtection="1">
      <alignment vertical="center"/>
    </xf>
    <xf numFmtId="0" fontId="1" fillId="2" borderId="3" xfId="0" applyFont="1" applyFill="1" applyBorder="1" applyProtection="1">
      <alignment vertical="center"/>
    </xf>
    <xf numFmtId="0" fontId="1" fillId="2" borderId="0" xfId="0" applyFont="1" applyFill="1" applyBorder="1" applyProtection="1">
      <alignment vertical="center"/>
    </xf>
    <xf numFmtId="0" fontId="2" fillId="3" borderId="4" xfId="0" applyFont="1" applyFill="1" applyBorder="1" applyAlignment="1" applyProtection="1">
      <alignment vertical="center"/>
    </xf>
    <xf numFmtId="0" fontId="3" fillId="2" borderId="0" xfId="0" applyFont="1" applyFill="1" applyBorder="1" applyProtection="1">
      <alignment vertical="center"/>
    </xf>
    <xf numFmtId="0" fontId="3" fillId="2" borderId="5" xfId="0" applyFont="1" applyFill="1" applyBorder="1" applyProtection="1">
      <alignment vertical="center"/>
    </xf>
    <xf numFmtId="0" fontId="4" fillId="4" borderId="6" xfId="0" applyFont="1" applyFill="1" applyBorder="1" applyProtection="1">
      <alignment vertical="center"/>
    </xf>
    <xf numFmtId="0" fontId="5" fillId="2" borderId="0" xfId="0" applyFont="1" applyFill="1" applyBorder="1" applyAlignment="1" applyProtection="1">
      <alignment vertical="center"/>
    </xf>
    <xf numFmtId="0" fontId="1" fillId="2" borderId="5" xfId="0" applyFont="1" applyFill="1" applyBorder="1" applyProtection="1">
      <alignment vertical="center"/>
    </xf>
    <xf numFmtId="0" fontId="6" fillId="2" borderId="0" xfId="0" applyFont="1" applyFill="1" applyBorder="1" applyProtection="1">
      <alignment vertical="center"/>
    </xf>
    <xf numFmtId="176" fontId="1" fillId="5" borderId="7" xfId="0" applyNumberFormat="1" applyFont="1" applyFill="1" applyBorder="1" applyAlignment="1" applyProtection="1">
      <alignment horizontal="right" vertical="center"/>
      <protection locked="0"/>
    </xf>
    <xf numFmtId="176" fontId="1" fillId="5" borderId="7" xfId="0" applyNumberFormat="1" applyFont="1" applyFill="1" applyBorder="1" applyProtection="1">
      <alignment vertical="center"/>
      <protection locked="0"/>
    </xf>
    <xf numFmtId="177" fontId="1" fillId="5" borderId="7" xfId="0" applyNumberFormat="1" applyFont="1" applyFill="1" applyBorder="1" applyProtection="1">
      <alignment vertical="center"/>
      <protection locked="0"/>
    </xf>
    <xf numFmtId="0" fontId="1" fillId="5" borderId="7" xfId="0" applyNumberFormat="1" applyFont="1" applyFill="1" applyBorder="1" applyProtection="1">
      <alignment vertical="center"/>
      <protection locked="0"/>
    </xf>
    <xf numFmtId="10" fontId="1" fillId="5" borderId="7" xfId="3" applyNumberFormat="1" applyFont="1" applyFill="1" applyBorder="1" applyProtection="1">
      <alignment vertical="center"/>
      <protection locked="0"/>
    </xf>
    <xf numFmtId="9" fontId="1" fillId="5" borderId="7" xfId="3" applyFont="1" applyFill="1" applyBorder="1" applyProtection="1">
      <alignment vertical="center"/>
      <protection locked="0"/>
    </xf>
    <xf numFmtId="10" fontId="1" fillId="2" borderId="0" xfId="3" applyNumberFormat="1" applyFont="1" applyFill="1" applyBorder="1" applyAlignment="1" applyProtection="1">
      <alignment horizontal="right" vertical="center"/>
    </xf>
    <xf numFmtId="177" fontId="1" fillId="2" borderId="0" xfId="0" applyNumberFormat="1" applyFont="1" applyFill="1" applyBorder="1" applyProtection="1">
      <alignment vertical="center"/>
    </xf>
    <xf numFmtId="0" fontId="7" fillId="2" borderId="0" xfId="0" applyFont="1" applyFill="1" applyBorder="1" applyAlignment="1" applyProtection="1">
      <alignment horizontal="center" vertical="center"/>
    </xf>
    <xf numFmtId="176" fontId="1" fillId="2" borderId="0" xfId="0" applyNumberFormat="1" applyFont="1" applyFill="1" applyBorder="1" applyProtection="1">
      <alignment vertical="center"/>
    </xf>
    <xf numFmtId="0" fontId="7" fillId="2" borderId="6" xfId="0" applyFont="1" applyFill="1" applyBorder="1" applyAlignment="1" applyProtection="1">
      <alignment horizontal="center" vertical="center"/>
    </xf>
    <xf numFmtId="178" fontId="1" fillId="2" borderId="0" xfId="3" applyNumberFormat="1" applyFont="1" applyFill="1" applyBorder="1" applyProtection="1">
      <alignment vertical="center"/>
    </xf>
    <xf numFmtId="0" fontId="1" fillId="2" borderId="8" xfId="0" applyFont="1" applyFill="1" applyBorder="1" applyProtection="1">
      <alignment vertical="center"/>
    </xf>
    <xf numFmtId="0" fontId="1" fillId="2" borderId="6" xfId="0" applyFont="1" applyFill="1" applyBorder="1" applyProtection="1">
      <alignment vertical="center"/>
    </xf>
    <xf numFmtId="0" fontId="8" fillId="6" borderId="0" xfId="0" applyFont="1" applyFill="1" applyBorder="1" applyProtection="1">
      <alignment vertical="center"/>
    </xf>
    <xf numFmtId="0" fontId="3" fillId="6" borderId="0" xfId="0" applyFont="1" applyFill="1" applyBorder="1" applyProtection="1">
      <alignment vertical="center"/>
    </xf>
    <xf numFmtId="0" fontId="9" fillId="2" borderId="0" xfId="0" applyFont="1" applyFill="1" applyBorder="1" applyProtection="1">
      <alignment vertical="center"/>
    </xf>
    <xf numFmtId="0" fontId="1" fillId="5" borderId="9" xfId="0" applyNumberFormat="1" applyFont="1" applyFill="1" applyBorder="1" applyAlignment="1" applyProtection="1">
      <alignment horizontal="right"/>
      <protection locked="0"/>
    </xf>
    <xf numFmtId="0" fontId="1" fillId="5" borderId="10" xfId="0" applyNumberFormat="1" applyFont="1" applyFill="1" applyBorder="1" applyAlignment="1" applyProtection="1">
      <alignment horizontal="right"/>
      <protection locked="0"/>
    </xf>
    <xf numFmtId="179" fontId="10" fillId="2" borderId="0" xfId="0" applyNumberFormat="1" applyFont="1" applyFill="1" applyBorder="1" applyAlignment="1" applyProtection="1">
      <alignment horizontal="right" vertical="center"/>
    </xf>
    <xf numFmtId="0" fontId="10" fillId="2" borderId="0" xfId="0" applyFont="1" applyFill="1" applyBorder="1" applyProtection="1">
      <alignment vertical="center"/>
    </xf>
    <xf numFmtId="1" fontId="1" fillId="2" borderId="0" xfId="0" applyNumberFormat="1" applyFont="1" applyFill="1" applyBorder="1" applyAlignment="1" applyProtection="1">
      <alignment horizontal="right" vertical="center"/>
    </xf>
    <xf numFmtId="0" fontId="11" fillId="2" borderId="0" xfId="0" applyFont="1" applyFill="1" applyBorder="1" applyAlignment="1" applyProtection="1">
      <alignment horizontal="right" vertical="center"/>
    </xf>
    <xf numFmtId="0" fontId="1" fillId="2" borderId="11" xfId="0" applyFont="1" applyFill="1" applyBorder="1" applyProtection="1">
      <alignment vertical="center"/>
    </xf>
    <xf numFmtId="0" fontId="1" fillId="2" borderId="12" xfId="0" applyFont="1" applyFill="1" applyBorder="1" applyProtection="1">
      <alignment vertical="center"/>
    </xf>
    <xf numFmtId="0" fontId="1" fillId="5" borderId="13" xfId="0" applyNumberFormat="1" applyFont="1" applyFill="1" applyBorder="1" applyAlignment="1" applyProtection="1">
      <alignment horizontal="right"/>
      <protection locked="0"/>
    </xf>
    <xf numFmtId="9" fontId="12" fillId="2" borderId="12" xfId="3" applyFont="1" applyFill="1" applyBorder="1" applyAlignment="1" applyProtection="1">
      <alignment horizontal="left" vertical="center"/>
    </xf>
    <xf numFmtId="179" fontId="1" fillId="2" borderId="0" xfId="0" applyNumberFormat="1" applyFont="1" applyFill="1" applyBorder="1" applyAlignment="1" applyProtection="1">
      <alignment horizontal="right" vertical="center"/>
    </xf>
    <xf numFmtId="0" fontId="1" fillId="5" borderId="7" xfId="0" applyFont="1" applyFill="1" applyBorder="1" applyProtection="1">
      <alignment vertical="center"/>
      <protection locked="0"/>
    </xf>
    <xf numFmtId="0" fontId="1" fillId="2" borderId="14" xfId="0" applyFont="1" applyFill="1" applyBorder="1" applyProtection="1">
      <alignment vertical="center"/>
    </xf>
    <xf numFmtId="0" fontId="13" fillId="0" borderId="0" xfId="0" applyFont="1" applyAlignment="1" applyProtection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tencent://AddContact/?fromId=45&amp;fromSubId=1&amp;subcmd=all&amp;uin=635943996&amp;website=www.oicqzone.com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579782</xdr:colOff>
      <xdr:row>21</xdr:row>
      <xdr:rowOff>33130</xdr:rowOff>
    </xdr:from>
    <xdr:to>
      <xdr:col>17</xdr:col>
      <xdr:colOff>679175</xdr:colOff>
      <xdr:row>22</xdr:row>
      <xdr:rowOff>57977</xdr:rowOff>
    </xdr:to>
    <xdr:sp>
      <xdr:nvSpPr>
        <xdr:cNvPr id="4" name="矩形 3">
          <a:hlinkClick xmlns:r="http://schemas.openxmlformats.org/officeDocument/2006/relationships" r:id="rId1"/>
        </xdr:cNvPr>
        <xdr:cNvSpPr/>
      </xdr:nvSpPr>
      <xdr:spPr>
        <a:xfrm>
          <a:off x="9269095" y="4052570"/>
          <a:ext cx="823595" cy="20574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u="sng">
              <a:solidFill>
                <a:schemeClr val="bg1">
                  <a:lumMod val="85000"/>
                </a:schemeClr>
              </a:solidFill>
            </a:rPr>
            <a:t>点此联系</a:t>
          </a:r>
          <a:endParaRPr lang="zh-CN" altLang="en-US" sz="1100" u="sng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5:R22"/>
  <sheetViews>
    <sheetView showGridLines="0" tabSelected="1" zoomScale="115" zoomScaleNormal="115" workbookViewId="0">
      <selection activeCell="Q15" sqref="Q15"/>
    </sheetView>
  </sheetViews>
  <sheetFormatPr defaultColWidth="9" defaultRowHeight="14.25"/>
  <cols>
    <col min="1" max="2" width="9" style="1"/>
    <col min="3" max="3" width="10.3833333333333" style="1" customWidth="1"/>
    <col min="4" max="4" width="19.8833333333333" style="1" customWidth="1"/>
    <col min="5" max="5" width="3.63333333333333" style="1" customWidth="1"/>
    <col min="6" max="6" width="3.75" style="1" customWidth="1"/>
    <col min="7" max="7" width="14.1333333333333" style="1" customWidth="1"/>
    <col min="8" max="8" width="14" style="1" customWidth="1"/>
    <col min="9" max="9" width="3.75" style="1" customWidth="1"/>
    <col min="10" max="10" width="4" style="1" customWidth="1"/>
    <col min="11" max="11" width="8.75" style="1" customWidth="1"/>
    <col min="12" max="16" width="2.75" style="1" customWidth="1"/>
    <col min="17" max="17" width="9.50833333333333" style="1" customWidth="1"/>
    <col min="18" max="16384" width="9" style="1"/>
  </cols>
  <sheetData>
    <row r="5" spans="2:18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6"/>
    </row>
    <row r="6" spans="2:18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7"/>
    </row>
    <row r="7" ht="28.5" spans="2:18">
      <c r="B7" s="4"/>
      <c r="C7" s="6" t="s">
        <v>0</v>
      </c>
      <c r="D7" s="6"/>
      <c r="E7" s="7"/>
      <c r="F7" s="8"/>
      <c r="G7" s="9" t="s">
        <v>1</v>
      </c>
      <c r="H7" s="9"/>
      <c r="I7" s="7"/>
      <c r="J7" s="8"/>
      <c r="K7" s="27" t="s">
        <v>2</v>
      </c>
      <c r="L7" s="28"/>
      <c r="M7" s="28"/>
      <c r="N7" s="28"/>
      <c r="O7" s="28"/>
      <c r="P7" s="28"/>
      <c r="Q7" s="28"/>
      <c r="R7" s="37"/>
    </row>
    <row r="8" ht="5.25" customHeight="1" spans="2:18">
      <c r="B8" s="4"/>
      <c r="C8" s="10"/>
      <c r="D8" s="10"/>
      <c r="E8" s="5"/>
      <c r="F8" s="11"/>
      <c r="G8" s="12"/>
      <c r="H8" s="5"/>
      <c r="I8" s="5"/>
      <c r="J8" s="11"/>
      <c r="K8" s="29"/>
      <c r="L8" s="5"/>
      <c r="M8" s="5"/>
      <c r="N8" s="5"/>
      <c r="O8" s="5"/>
      <c r="P8" s="5"/>
      <c r="Q8" s="5"/>
      <c r="R8" s="37"/>
    </row>
    <row r="9" ht="15.75" spans="2:18">
      <c r="B9" s="4"/>
      <c r="C9" s="5" t="s">
        <v>3</v>
      </c>
      <c r="D9" s="13" t="s">
        <v>4</v>
      </c>
      <c r="E9" s="5"/>
      <c r="F9" s="11"/>
      <c r="G9" s="5" t="s">
        <v>5</v>
      </c>
      <c r="H9" s="14">
        <v>40</v>
      </c>
      <c r="I9" s="5"/>
      <c r="J9" s="11"/>
      <c r="K9" s="5" t="s">
        <v>6</v>
      </c>
      <c r="L9" s="30">
        <v>27</v>
      </c>
      <c r="M9" s="31"/>
      <c r="N9" s="31"/>
      <c r="O9" s="31"/>
      <c r="P9" s="31"/>
      <c r="Q9" s="38"/>
      <c r="R9" s="39">
        <f>L9/SUM(L9:Q13)</f>
        <v>0.58695652173913</v>
      </c>
    </row>
    <row r="10" ht="15.75" spans="2:18">
      <c r="B10" s="4"/>
      <c r="C10" s="5" t="s">
        <v>7</v>
      </c>
      <c r="D10" s="15">
        <v>1.5</v>
      </c>
      <c r="E10" s="5"/>
      <c r="F10" s="11"/>
      <c r="G10" s="5" t="s">
        <v>8</v>
      </c>
      <c r="H10" s="14">
        <v>14</v>
      </c>
      <c r="I10" s="5"/>
      <c r="J10" s="11"/>
      <c r="K10" s="5" t="s">
        <v>9</v>
      </c>
      <c r="L10" s="30">
        <v>7</v>
      </c>
      <c r="M10" s="31"/>
      <c r="N10" s="31"/>
      <c r="O10" s="31"/>
      <c r="P10" s="31"/>
      <c r="Q10" s="38"/>
      <c r="R10" s="39">
        <f t="shared" ref="R10:R13" si="0">L10/SUM(L10:Q14)</f>
        <v>0.161322645290581</v>
      </c>
    </row>
    <row r="11" ht="15.75" spans="2:18">
      <c r="B11" s="4"/>
      <c r="C11" s="5" t="s">
        <v>10</v>
      </c>
      <c r="D11" s="15">
        <v>14.99</v>
      </c>
      <c r="E11" s="5"/>
      <c r="F11" s="11"/>
      <c r="G11" s="5" t="s">
        <v>11</v>
      </c>
      <c r="H11" s="16">
        <v>6.8</v>
      </c>
      <c r="I11" s="5"/>
      <c r="J11" s="11"/>
      <c r="K11" s="5" t="s">
        <v>12</v>
      </c>
      <c r="L11" s="30">
        <v>5</v>
      </c>
      <c r="M11" s="31"/>
      <c r="N11" s="31"/>
      <c r="O11" s="31"/>
      <c r="P11" s="31"/>
      <c r="Q11" s="38"/>
      <c r="R11" s="39">
        <f t="shared" si="0"/>
        <v>0.078875171467764</v>
      </c>
    </row>
    <row r="12" ht="15.75" spans="2:18">
      <c r="B12" s="4"/>
      <c r="C12" s="5" t="s">
        <v>13</v>
      </c>
      <c r="D12" s="17">
        <v>0.2</v>
      </c>
      <c r="E12" s="5"/>
      <c r="F12" s="11"/>
      <c r="G12" s="5" t="s">
        <v>14</v>
      </c>
      <c r="H12" s="18">
        <v>0.15</v>
      </c>
      <c r="I12" s="5"/>
      <c r="J12" s="11"/>
      <c r="K12" s="5" t="s">
        <v>15</v>
      </c>
      <c r="L12" s="30">
        <v>2</v>
      </c>
      <c r="M12" s="31"/>
      <c r="N12" s="31"/>
      <c r="O12" s="31"/>
      <c r="P12" s="31"/>
      <c r="Q12" s="38"/>
      <c r="R12" s="39">
        <f t="shared" si="0"/>
        <v>0.0203269995581087</v>
      </c>
    </row>
    <row r="13" ht="15.75" spans="2:18">
      <c r="B13" s="4"/>
      <c r="C13" s="5" t="s">
        <v>16</v>
      </c>
      <c r="D13" s="17">
        <v>0.35</v>
      </c>
      <c r="E13" s="5"/>
      <c r="F13" s="11"/>
      <c r="G13" s="5" t="s">
        <v>17</v>
      </c>
      <c r="H13" s="15">
        <v>3.19</v>
      </c>
      <c r="I13" s="5"/>
      <c r="J13" s="11"/>
      <c r="K13" s="5" t="s">
        <v>18</v>
      </c>
      <c r="L13" s="30">
        <v>5</v>
      </c>
      <c r="M13" s="31"/>
      <c r="N13" s="31"/>
      <c r="O13" s="31"/>
      <c r="P13" s="31"/>
      <c r="Q13" s="38"/>
      <c r="R13" s="39">
        <f t="shared" si="0"/>
        <v>0.051871898962562</v>
      </c>
    </row>
    <row r="14" ht="15.75" spans="2:18">
      <c r="B14" s="4"/>
      <c r="C14" s="5" t="s">
        <v>19</v>
      </c>
      <c r="D14" s="19">
        <f>D10/D11/D12</f>
        <v>0.500333555703802</v>
      </c>
      <c r="E14" s="5"/>
      <c r="F14" s="11"/>
      <c r="G14" s="5" t="s">
        <v>20</v>
      </c>
      <c r="H14" s="20">
        <f>IF(((H9+H10)/H11+H13)/(1-H12)&gt;(1/H12),((H9+H10)/H11+H13)/(1-H12),(H9+H10)/H11+H13+1)</f>
        <v>13.0955017301038</v>
      </c>
      <c r="I14" s="5"/>
      <c r="J14" s="11"/>
      <c r="K14" s="5" t="s">
        <v>21</v>
      </c>
      <c r="L14" s="32">
        <f t="shared" ref="L14:L15" si="1">Q14</f>
        <v>4.06521739130435</v>
      </c>
      <c r="M14" s="32">
        <f>Q14</f>
        <v>4.06521739130435</v>
      </c>
      <c r="N14" s="32">
        <f>Q14</f>
        <v>4.06521739130435</v>
      </c>
      <c r="O14" s="32">
        <f>Q14</f>
        <v>4.06521739130435</v>
      </c>
      <c r="P14" s="32">
        <f>Q14</f>
        <v>4.06521739130435</v>
      </c>
      <c r="Q14" s="40">
        <f>IFERROR((L9*5+L10*4+L11*3+L12*2+L13*1)/SUM(L9:Q13),"数据有误")</f>
        <v>4.06521739130435</v>
      </c>
      <c r="R14" s="37"/>
    </row>
    <row r="15" customHeight="1" spans="2:18">
      <c r="B15" s="4"/>
      <c r="C15" s="5"/>
      <c r="D15" s="5"/>
      <c r="E15" s="5"/>
      <c r="F15" s="11"/>
      <c r="G15" s="5" t="s">
        <v>22</v>
      </c>
      <c r="H15" s="15">
        <v>23.99</v>
      </c>
      <c r="I15" s="5"/>
      <c r="J15" s="11"/>
      <c r="K15" s="5" t="s">
        <v>23</v>
      </c>
      <c r="L15" s="33">
        <f t="shared" si="1"/>
        <v>4.5</v>
      </c>
      <c r="M15" s="32">
        <f>Q15</f>
        <v>4.5</v>
      </c>
      <c r="N15" s="33">
        <f>Q15</f>
        <v>4.5</v>
      </c>
      <c r="O15" s="33">
        <f>Q15</f>
        <v>4.5</v>
      </c>
      <c r="P15" s="33">
        <f>Q15</f>
        <v>4.5</v>
      </c>
      <c r="Q15" s="41">
        <v>4.5</v>
      </c>
      <c r="R15" s="37"/>
    </row>
    <row r="16" ht="15.75" customHeight="1" spans="2:18">
      <c r="B16" s="4"/>
      <c r="C16" s="5"/>
      <c r="D16" s="21" t="str">
        <f>IF(D14&lt;=D13,"推荐","不推荐")</f>
        <v>不推荐</v>
      </c>
      <c r="E16" s="5"/>
      <c r="F16" s="11"/>
      <c r="G16" s="5" t="s">
        <v>24</v>
      </c>
      <c r="H16" s="22">
        <f>IF(H15*H12&gt;1,(H15*(1-H12)-H13)*H11-H10-H9,(H15-1-H13)*H11-H9-H10)</f>
        <v>62.9702</v>
      </c>
      <c r="I16" s="5"/>
      <c r="J16" s="11"/>
      <c r="K16" s="5" t="s">
        <v>25</v>
      </c>
      <c r="L16" s="34"/>
      <c r="M16" s="34"/>
      <c r="N16" s="34"/>
      <c r="O16" s="34"/>
      <c r="P16" s="34"/>
      <c r="Q16" s="34">
        <f>IF(Q15&gt;Q14,IFERROR((Q15*SUM(L10:L13)-L10*4-L11*3-L12*2-L13*1)/(5-Q15)-L9,"数据有误"),"不需要")</f>
        <v>40</v>
      </c>
      <c r="R16" s="37"/>
    </row>
    <row r="17" ht="15" customHeight="1" spans="2:18">
      <c r="B17" s="4"/>
      <c r="C17" s="5"/>
      <c r="D17" s="23"/>
      <c r="E17" s="5"/>
      <c r="F17" s="11"/>
      <c r="G17" s="5" t="s">
        <v>16</v>
      </c>
      <c r="H17" s="24">
        <f>H16/H11/H15</f>
        <v>0.386007650246426</v>
      </c>
      <c r="I17" s="5"/>
      <c r="J17" s="11"/>
      <c r="K17" s="35"/>
      <c r="L17" s="35"/>
      <c r="M17" s="35"/>
      <c r="N17" s="35"/>
      <c r="O17" s="35"/>
      <c r="P17" s="35"/>
      <c r="Q17" s="35"/>
      <c r="R17" s="37"/>
    </row>
    <row r="18" spans="2:18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7"/>
    </row>
    <row r="19" ht="15" spans="2:18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42"/>
    </row>
    <row r="21" spans="18:18">
      <c r="R21" s="43" t="s">
        <v>26</v>
      </c>
    </row>
    <row r="22" spans="17:17">
      <c r="Q22" s="1" t="s">
        <v>27</v>
      </c>
    </row>
  </sheetData>
  <sheetProtection algorithmName="SHA-512" hashValue="0tLrhg7bSglrCplH9Q3rFePTWO37IZNnGD5vq6ysjrTY3qkr02ixKn9+kZYsMYZhOETSu78ttzLYzKiFGyghyA==" saltValue="RL8SyVV8Nkd7csxGMDJdag==" spinCount="100000" sheet="1" selectLockedCells="1" objects="1" scenarios="1"/>
  <mergeCells count="7">
    <mergeCell ref="L9:Q9"/>
    <mergeCell ref="L10:Q10"/>
    <mergeCell ref="L11:Q11"/>
    <mergeCell ref="L12:Q12"/>
    <mergeCell ref="L13:Q13"/>
    <mergeCell ref="K17:Q17"/>
    <mergeCell ref="D16:D17"/>
  </mergeCells>
  <conditionalFormatting sqref="L9">
    <cfRule type="dataBar" priority="19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{5b7bf1cf-3a1c-4791-aaf8-d7e5a57af6f8}</x14:id>
        </ext>
      </extLst>
    </cfRule>
    <cfRule type="dataBar" priority="20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{3567bff1-dac7-4e06-907e-811b9d6c8249}</x14:id>
        </ext>
      </extLst>
    </cfRule>
  </conditionalFormatting>
  <conditionalFormatting sqref="D16">
    <cfRule type="cellIs" dxfId="0" priority="41" operator="equal">
      <formula>"不推荐"</formula>
    </cfRule>
    <cfRule type="cellIs" dxfId="1" priority="42" operator="equal">
      <formula>"推荐"</formula>
    </cfRule>
  </conditionalFormatting>
  <conditionalFormatting sqref="Q16">
    <cfRule type="cellIs" dxfId="2" priority="4" operator="equal">
      <formula>"不需要"</formula>
    </cfRule>
  </conditionalFormatting>
  <conditionalFormatting sqref="L10:L13">
    <cfRule type="dataBar" priority="2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{18ef7228-b944-42cb-890e-f4f7ece8ccfc}</x14:id>
        </ext>
      </extLst>
    </cfRule>
    <cfRule type="dataBar" priority="3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{9105a533-6941-4fa2-b1e7-7901bdae60f1}</x14:id>
        </ext>
      </extLst>
    </cfRule>
  </conditionalFormatting>
  <conditionalFormatting sqref="Q10:Q13">
    <cfRule type="containsText" dxfId="3" priority="1" operator="between" text="有误">
      <formula>NOT(ISERROR(SEARCH("有误",Q10)))</formula>
    </cfRule>
  </conditionalFormatting>
  <conditionalFormatting sqref="Q1:Q9 Q14:Q16 Q18:Q1048576">
    <cfRule type="containsText" dxfId="3" priority="5" operator="between" text="有误">
      <formula>NOT(ISERROR(SEARCH("有误",Q1)))</formula>
    </cfRule>
  </conditionalFormatting>
  <conditionalFormatting sqref="L14:Q16">
    <cfRule type="containsText" dxfId="4" priority="17" operator="between" text="检查">
      <formula>NOT(ISERROR(SEARCH("检查",L14)))</formula>
    </cfRule>
  </conditionalFormatting>
  <pageMargins left="0.7" right="0.7" top="0.75" bottom="0.75" header="0.3" footer="0.3"/>
  <pageSetup paperSize="256" orientation="portrait" horizontalDpi="203" verticalDpi="203"/>
  <headerFooter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7bf1cf-3a1c-4791-aaf8-d7e5a57af6f8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3567bff1-dac7-4e06-907e-811b9d6c8249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iconSet" priority="14" id="{26c3b07b-76ae-4667-8d2f-99d22559652f}">
            <x14:iconSet iconSet="3Stars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14:cfRule type="iconSet" priority="15" id="{192457fd-0be6-4e2f-b901-95573cee7f14}">
            <x14:iconSet iconSet="3Stars">
              <x14:cfvo type="percent">
                <xm:f>0</xm:f>
              </x14:cfvo>
              <x14:cfvo type="percent">
                <xm:f>0.5</xm:f>
              </x14:cfvo>
              <x14:cfvo type="percent">
                <xm:f>1</xm:f>
              </x14:cfvo>
            </x14:iconSet>
          </x14:cfRule>
          <x14:cfRule type="iconSet" priority="16" id="{effed3fa-c324-4b72-8903-b55fcb675b7a}">
            <x14:iconSet iconSet="3TrafficLights1" custom="1">
              <x14:cfvo type="percent">
                <xm:f>0</xm:f>
              </x14:cfvo>
              <x14:cfvo type="percent">
                <xm:f>33</xm:f>
              </x14:cfvo>
              <x14:cfvo type="num">
                <xm:f>$Q$14</xm:f>
              </x14:cfvo>
              <x14:cfIcon iconSet="3TrafficLights1" iconId="0"/>
              <x14:cfIcon iconSet="3TrafficLights1" iconId="1"/>
              <x14:cfIcon iconSet="3Stars" iconId="2"/>
            </x14:iconSet>
          </x14:cfRule>
          <xm:sqref>L14</xm:sqref>
        </x14:conditionalFormatting>
        <x14:conditionalFormatting xmlns:xm="http://schemas.microsoft.com/office/excel/2006/main">
          <x14:cfRule type="iconSet" priority="9" id="{6458ac8a-c187-4e76-9f5c-6f13a69264b4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10" id="{c22582de-8787-40a8-825a-1e476b57d32c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</xm:sqref>
        </x14:conditionalFormatting>
        <x14:conditionalFormatting xmlns:xm="http://schemas.microsoft.com/office/excel/2006/main">
          <x14:cfRule type="iconSet" priority="11" id="{050352f7-890a-41ee-b9f8-14bf1b00d14f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M15</xm:sqref>
        </x14:conditionalFormatting>
        <x14:conditionalFormatting xmlns:xm="http://schemas.microsoft.com/office/excel/2006/main">
          <x14:cfRule type="dataBar" id="{18ef7228-b944-42cb-890e-f4f7ece8ccfc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9105a533-6941-4fa2-b1e7-7901bdae60f1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L10:L13</xm:sqref>
        </x14:conditionalFormatting>
        <x14:conditionalFormatting xmlns:xm="http://schemas.microsoft.com/office/excel/2006/main">
          <x14:cfRule type="iconSet" priority="13" id="{828ecceb-05bb-4cd7-89ae-82d7e21f92fb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L14:L15</xm:sqref>
        </x14:conditionalFormatting>
        <x14:conditionalFormatting xmlns:xm="http://schemas.microsoft.com/office/excel/2006/main">
          <x14:cfRule type="iconSet" priority="12" id="{c762ef4c-df14-4d1d-b0b6-a6b0d8e0fc8f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M14:M15</xm:sqref>
        </x14:conditionalFormatting>
        <x14:conditionalFormatting xmlns:xm="http://schemas.microsoft.com/office/excel/2006/main">
          <x14:cfRule type="iconSet" priority="8" id="{71ae106c-6339-4787-8faf-331f8b34c850}">
            <x14:iconSet iconSet="3Stars">
              <x14:cfvo type="percent">
                <xm:f>0</xm:f>
              </x14:cfvo>
              <x14:cfvo type="num">
                <xm:f>2.29999999999999</xm:f>
              </x14:cfvo>
              <x14:cfvo type="num">
                <xm:f>2.7</xm:f>
              </x14:cfvo>
            </x14:iconSet>
          </x14:cfRule>
          <xm:sqref>N14:N15</xm:sqref>
        </x14:conditionalFormatting>
        <x14:conditionalFormatting xmlns:xm="http://schemas.microsoft.com/office/excel/2006/main">
          <x14:cfRule type="iconSet" priority="7" id="{0ede69c9-e07d-4b7b-93d1-b0047e27904f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O14:O15</xm:sqref>
        </x14:conditionalFormatting>
        <x14:conditionalFormatting xmlns:xm="http://schemas.microsoft.com/office/excel/2006/main">
          <x14:cfRule type="iconSet" priority="6" id="{03b50435-08df-4392-945f-e9711a629011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P14:P15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栗子</cp:lastModifiedBy>
  <dcterms:created xsi:type="dcterms:W3CDTF">2018-08-15T03:21:00Z</dcterms:created>
  <dcterms:modified xsi:type="dcterms:W3CDTF">2024-10-15T09:42:51Z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10D708CF21584E789CCAF6170082CA01_13</vt:lpwstr>
  </property>
</Properties>
</file>