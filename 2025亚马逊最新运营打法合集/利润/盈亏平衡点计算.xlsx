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925"/>
  </bookViews>
  <sheets>
    <sheet name="源数据" sheetId="1" r:id="rId1"/>
    <sheet name="计算结果" sheetId="4" r:id="rId2"/>
    <sheet name="项目盈利试算" sheetId="3" r:id="rId3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<sst xmlns="http://schemas.openxmlformats.org/spreadsheetml/2006/main" count="85" uniqueCount="77">
  <si>
    <t>科目</t>
  </si>
  <si>
    <t>销量</t>
  </si>
  <si>
    <t>价格（不含增值税税）</t>
  </si>
  <si>
    <t>总额</t>
  </si>
  <si>
    <t>单个</t>
  </si>
  <si>
    <t>%</t>
  </si>
  <si>
    <t>销售收入（年）</t>
  </si>
  <si>
    <t>产品成本（年）</t>
  </si>
  <si>
    <t>产品毛利（销售毛利）</t>
  </si>
  <si>
    <t>平台佣金</t>
  </si>
  <si>
    <t>平台费用</t>
  </si>
  <si>
    <t>头程费用</t>
  </si>
  <si>
    <t>广告费用</t>
  </si>
  <si>
    <t>其他推广费用</t>
  </si>
  <si>
    <t>代扣税</t>
  </si>
  <si>
    <t>其它</t>
  </si>
  <si>
    <t>运营成本小计（变动成本）</t>
  </si>
  <si>
    <t>净毛利率</t>
  </si>
  <si>
    <t>房租</t>
  </si>
  <si>
    <t>物业管理及水电费</t>
  </si>
  <si>
    <t>工资</t>
  </si>
  <si>
    <t>社保公积金</t>
  </si>
  <si>
    <t>办公费用</t>
  </si>
  <si>
    <t>交通差旅费</t>
  </si>
  <si>
    <t>网络费用</t>
  </si>
  <si>
    <t>折旧费用</t>
  </si>
  <si>
    <t>财务费用</t>
  </si>
  <si>
    <t>经营成本小计（固定成本）</t>
  </si>
  <si>
    <t>成本/费用合计</t>
  </si>
  <si>
    <t>息税前利润</t>
  </si>
  <si>
    <t>利息费用</t>
  </si>
  <si>
    <t>税前利润</t>
  </si>
  <si>
    <t>税金</t>
  </si>
  <si>
    <t>税后净利润</t>
  </si>
  <si>
    <t>产品名称：</t>
  </si>
  <si>
    <t>A项目</t>
  </si>
  <si>
    <t>计量单位：</t>
  </si>
  <si>
    <t>PCS</t>
  </si>
  <si>
    <t>项目名称</t>
  </si>
  <si>
    <t>成本项目（本）</t>
  </si>
  <si>
    <t>数量单价（量）</t>
  </si>
  <si>
    <t>生产数量</t>
  </si>
  <si>
    <t>边际贡献</t>
  </si>
  <si>
    <t>固定成本</t>
  </si>
  <si>
    <t>销售毛利</t>
  </si>
  <si>
    <t>固定成本总额：</t>
  </si>
  <si>
    <t>当前销量：</t>
  </si>
  <si>
    <t>变动成本总额：</t>
  </si>
  <si>
    <t>销售单价（不含税）：</t>
  </si>
  <si>
    <t>成   本  总  额：</t>
  </si>
  <si>
    <t>盈亏平衡销量：</t>
  </si>
  <si>
    <t>单位成本（本）</t>
  </si>
  <si>
    <t>收入毛利（利）</t>
  </si>
  <si>
    <t>盈亏点销量垂直参考线：</t>
  </si>
  <si>
    <t>单位固定成本:</t>
  </si>
  <si>
    <t>销售收入：</t>
  </si>
  <si>
    <t>单位变动成本：</t>
  </si>
  <si>
    <t>销售成本：</t>
  </si>
  <si>
    <t>单位成本总额：</t>
  </si>
  <si>
    <t>销售毛利：</t>
  </si>
  <si>
    <t>盈亏平衡分析</t>
  </si>
  <si>
    <t>当前销量垂直参考线：</t>
  </si>
  <si>
    <t>边际贡献总额：</t>
  </si>
  <si>
    <t>单位边际贡献：</t>
  </si>
  <si>
    <t>边际贡献率：</t>
  </si>
  <si>
    <t>收入成本利润表-盈亏平衡图</t>
  </si>
  <si>
    <t>可变成本</t>
  </si>
  <si>
    <t>总成本</t>
  </si>
  <si>
    <t>总收入</t>
  </si>
  <si>
    <t>利润</t>
  </si>
  <si>
    <t>单位：元</t>
  </si>
  <si>
    <t>单  价</t>
  </si>
  <si>
    <t>单位变动成本</t>
  </si>
  <si>
    <t>单位边际贡献</t>
  </si>
  <si>
    <t>项目盈利</t>
  </si>
  <si>
    <t>单价变动情况</t>
  </si>
  <si>
    <t>单位变动成本变动情况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</si>
</sst>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.00_ "/>
    <numFmt numFmtId="178" formatCode="#,##0&quot;PCS&quot;"/>
    <numFmt numFmtId="179" formatCode="#,##0&quot;件&quot;"/>
    <numFmt numFmtId="180" formatCode="#,##0&quot;台&quot;"/>
    <numFmt numFmtId="181" formatCode="#,##0.00&quot;元&quot;"/>
    <numFmt numFmtId="182" formatCode="#,##0.00&quot;万元&quot;"/>
    <numFmt numFmtId="183" formatCode="0.0%"/>
    <numFmt numFmtId="184" formatCode="0.000%"/>
    <numFmt numFmtId="185" formatCode="0_ "/>
    <numFmt numFmtId="186" formatCode="_ * #,##0.0_ ;_ * \-#,##0.0_ ;_ * &quot;-&quot;?_ ;_ @_ "/>
  </numFmts>
  <fonts count="44">
    <font>
      <sz val="11"/>
      <color theme="1"/>
      <name val="宋体"/>
      <charset val="134"/>
      <scheme val="minor"/>
    </font>
    <font>
      <sz val="11"/>
      <name val="思源黑体 Bold"/>
      <charset val="134"/>
    </font>
    <font>
      <sz val="22"/>
      <name val="思源黑体 Bold"/>
      <charset val="134"/>
    </font>
    <font>
      <b/>
      <sz val="11"/>
      <name val="思源黑体 Bold"/>
      <charset val="134"/>
    </font>
    <font>
      <b/>
      <sz val="11"/>
      <color theme="0"/>
      <name val="思源黑体 Bold"/>
      <charset val="134"/>
    </font>
    <font>
      <sz val="11"/>
      <name val="微软雅黑"/>
      <charset val="134"/>
    </font>
    <font>
      <sz val="11"/>
      <color theme="0"/>
      <name val="微软雅黑"/>
      <charset val="134"/>
    </font>
    <font>
      <b/>
      <sz val="9"/>
      <color theme="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3" tint="-0.249977111117893"/>
      <name val="微软雅黑"/>
      <charset val="134"/>
    </font>
    <font>
      <sz val="10"/>
      <name val="微软雅黑"/>
      <charset val="134"/>
    </font>
    <font>
      <b/>
      <sz val="10"/>
      <color theme="0" tint="-0.0499893185216834"/>
      <name val="微软雅黑"/>
      <charset val="134"/>
    </font>
    <font>
      <b/>
      <sz val="9"/>
      <color rgb="FFFF0000"/>
      <name val="微软雅黑"/>
      <charset val="134"/>
    </font>
    <font>
      <sz val="11"/>
      <color rgb="FFFF0000"/>
      <name val="微软雅黑"/>
      <charset val="134"/>
    </font>
    <font>
      <sz val="10"/>
      <color theme="0"/>
      <name val="微软雅黑"/>
      <charset val="134"/>
    </font>
    <font>
      <sz val="8"/>
      <name val="微软雅黑"/>
      <charset val="134"/>
    </font>
    <font>
      <b/>
      <sz val="10"/>
      <color theme="0"/>
      <name val="微软雅黑"/>
      <charset val="134"/>
    </font>
    <font>
      <sz val="12"/>
      <name val="微软雅黑"/>
      <charset val="134"/>
    </font>
    <font>
      <sz val="12"/>
      <name val="宋体"/>
      <charset val="134"/>
    </font>
    <font>
      <b/>
      <sz val="13"/>
      <name val="微软雅黑"/>
      <charset val="134"/>
    </font>
    <font>
      <sz val="13"/>
      <name val="微软雅黑"/>
      <charset val="134"/>
    </font>
    <font>
      <b/>
      <i/>
      <sz val="13"/>
      <name val="微软雅黑"/>
      <charset val="134"/>
    </font>
    <font>
      <i/>
      <sz val="13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9FCF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/>
      <top style="medium">
        <color theme="0" tint="-0.5"/>
      </top>
      <bottom style="medium">
        <color theme="0" tint="-0.5"/>
      </bottom>
      <diagonal/>
    </border>
    <border>
      <left/>
      <right style="dotted">
        <color theme="0" tint="-0.5"/>
      </right>
      <top style="dotted">
        <color theme="0" tint="-0.5"/>
      </top>
      <bottom style="dotted">
        <color theme="0" tint="-0.5"/>
      </bottom>
      <diagonal/>
    </border>
    <border>
      <left style="dotted">
        <color theme="0" tint="-0.5"/>
      </left>
      <right/>
      <top style="dotted">
        <color theme="0" tint="-0.5"/>
      </top>
      <bottom style="dotted">
        <color theme="0" tint="-0.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1" tint="0.0499893185216834"/>
      </left>
      <right/>
      <top style="thin">
        <color auto="1"/>
      </top>
      <bottom style="thin">
        <color auto="1"/>
      </bottom>
      <diagonal/>
    </border>
    <border>
      <left/>
      <right style="dotted">
        <color theme="0" tint="-0.5"/>
      </right>
      <top style="dotted">
        <color theme="0" tint="-0.5"/>
      </top>
      <bottom/>
      <diagonal/>
    </border>
    <border>
      <left/>
      <right style="dotted">
        <color theme="0" tint="-0.35"/>
      </right>
      <top style="dotted">
        <color theme="0" tint="-0.35"/>
      </top>
      <bottom style="dotted">
        <color theme="0" tint="-0.35"/>
      </bottom>
      <diagonal/>
    </border>
    <border>
      <left style="dotted">
        <color theme="0" tint="-0.35"/>
      </left>
      <right/>
      <top style="dotted">
        <color theme="0" tint="-0.35"/>
      </top>
      <bottom style="dotted">
        <color theme="0" tint="-0.35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3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33" applyNumberFormat="0" applyAlignment="0" applyProtection="0">
      <alignment vertical="center"/>
    </xf>
    <xf numFmtId="0" fontId="34" fillId="13" borderId="34" applyNumberFormat="0" applyAlignment="0" applyProtection="0">
      <alignment vertical="center"/>
    </xf>
    <xf numFmtId="0" fontId="35" fillId="13" borderId="33" applyNumberFormat="0" applyAlignment="0" applyProtection="0">
      <alignment vertical="center"/>
    </xf>
    <xf numFmtId="0" fontId="36" fillId="14" borderId="35" applyNumberFormat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8" fillId="0" borderId="37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/>
    </xf>
    <xf numFmtId="43" fontId="1" fillId="0" borderId="1" xfId="1" applyNumberFormat="1" applyFont="1" applyFill="1" applyBorder="1" applyAlignment="1">
      <alignment horizontal="center" vertical="center"/>
    </xf>
    <xf numFmtId="43" fontId="1" fillId="2" borderId="1" xfId="1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1" fillId="2" borderId="1" xfId="1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justify"/>
    </xf>
    <xf numFmtId="0" fontId="6" fillId="0" borderId="0" xfId="0" applyFont="1" applyFill="1" applyAlignment="1"/>
    <xf numFmtId="0" fontId="7" fillId="4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0" fontId="9" fillId="0" borderId="0" xfId="0" applyFont="1" applyFill="1" applyBorder="1" applyAlignment="1">
      <alignment horizontal="justify"/>
    </xf>
    <xf numFmtId="0" fontId="9" fillId="0" borderId="0" xfId="0" applyFont="1" applyFill="1" applyBorder="1" applyAlignment="1"/>
    <xf numFmtId="0" fontId="7" fillId="4" borderId="3" xfId="0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justify" vertical="center"/>
    </xf>
    <xf numFmtId="43" fontId="10" fillId="6" borderId="4" xfId="1" applyFont="1" applyFill="1" applyBorder="1" applyAlignment="1"/>
    <xf numFmtId="0" fontId="10" fillId="0" borderId="0" xfId="0" applyFont="1" applyFill="1" applyAlignment="1"/>
    <xf numFmtId="0" fontId="9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justify" vertical="center"/>
    </xf>
    <xf numFmtId="43" fontId="9" fillId="0" borderId="0" xfId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justify" vertical="center"/>
    </xf>
    <xf numFmtId="43" fontId="10" fillId="6" borderId="6" xfId="1" applyFont="1" applyFill="1" applyBorder="1" applyAlignment="1"/>
    <xf numFmtId="0" fontId="10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justify"/>
    </xf>
    <xf numFmtId="0" fontId="5" fillId="0" borderId="0" xfId="0" applyFont="1" applyFill="1" applyBorder="1" applyAlignment="1"/>
    <xf numFmtId="0" fontId="11" fillId="0" borderId="0" xfId="0" applyFont="1" applyFill="1" applyAlignment="1"/>
    <xf numFmtId="10" fontId="10" fillId="6" borderId="6" xfId="3" applyNumberFormat="1" applyFont="1" applyFill="1" applyBorder="1" applyAlignment="1"/>
    <xf numFmtId="0" fontId="9" fillId="0" borderId="0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right" vertical="center"/>
    </xf>
    <xf numFmtId="0" fontId="10" fillId="0" borderId="8" xfId="0" applyFont="1" applyFill="1" applyBorder="1" applyAlignment="1">
      <alignment horizontal="justify" vertical="center"/>
    </xf>
    <xf numFmtId="43" fontId="10" fillId="0" borderId="9" xfId="0" applyNumberFormat="1" applyFont="1" applyFill="1" applyBorder="1" applyAlignment="1"/>
    <xf numFmtId="0" fontId="13" fillId="7" borderId="8" xfId="0" applyFont="1" applyFill="1" applyBorder="1" applyAlignment="1">
      <alignment horizontal="justify" vertical="center"/>
    </xf>
    <xf numFmtId="43" fontId="13" fillId="7" borderId="9" xfId="1" applyFont="1" applyFill="1" applyBorder="1" applyAlignment="1"/>
    <xf numFmtId="0" fontId="6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12" fillId="4" borderId="1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justify" vertical="center"/>
    </xf>
    <xf numFmtId="0" fontId="16" fillId="6" borderId="0" xfId="0" applyFont="1" applyFill="1" applyBorder="1" applyAlignment="1">
      <alignment horizontal="left" vertical="center" wrapText="1"/>
    </xf>
    <xf numFmtId="0" fontId="16" fillId="6" borderId="11" xfId="0" applyFont="1" applyFill="1" applyBorder="1" applyAlignment="1">
      <alignment horizontal="left" vertical="center" wrapText="1"/>
    </xf>
    <xf numFmtId="43" fontId="5" fillId="0" borderId="0" xfId="0" applyNumberFormat="1" applyFont="1" applyFill="1" applyBorder="1" applyAlignment="1"/>
    <xf numFmtId="0" fontId="6" fillId="0" borderId="0" xfId="0" applyFont="1" applyFill="1" applyBorder="1" applyAlignment="1"/>
    <xf numFmtId="43" fontId="15" fillId="0" borderId="0" xfId="1" applyFont="1" applyFill="1" applyBorder="1" applyAlignment="1">
      <alignment horizontal="center"/>
    </xf>
    <xf numFmtId="43" fontId="15" fillId="0" borderId="0" xfId="1" applyFont="1" applyFill="1" applyBorder="1" applyAlignment="1"/>
    <xf numFmtId="0" fontId="6" fillId="0" borderId="0" xfId="0" applyFont="1" applyFill="1" applyBorder="1" applyAlignment="1">
      <alignment vertical="center"/>
    </xf>
    <xf numFmtId="43" fontId="6" fillId="0" borderId="0" xfId="0" applyNumberFormat="1" applyFont="1" applyFill="1" applyBorder="1" applyAlignment="1">
      <alignment vertical="center"/>
    </xf>
    <xf numFmtId="43" fontId="17" fillId="0" borderId="0" xfId="1" applyFont="1" applyFill="1" applyBorder="1" applyAlignment="1"/>
    <xf numFmtId="0" fontId="18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left" vertical="center"/>
    </xf>
    <xf numFmtId="179" fontId="21" fillId="0" borderId="0" xfId="0" applyNumberFormat="1" applyFont="1" applyFill="1" applyBorder="1" applyAlignment="1">
      <alignment horizontal="center" vertical="center"/>
    </xf>
    <xf numFmtId="180" fontId="21" fillId="0" borderId="0" xfId="0" applyNumberFormat="1" applyFont="1" applyFill="1" applyBorder="1" applyAlignment="1">
      <alignment horizontal="center" vertical="center"/>
    </xf>
    <xf numFmtId="181" fontId="21" fillId="8" borderId="0" xfId="0" applyNumberFormat="1" applyFont="1" applyFill="1" applyBorder="1" applyAlignment="1">
      <alignment horizontal="center" vertical="center"/>
    </xf>
    <xf numFmtId="182" fontId="21" fillId="0" borderId="0" xfId="0" applyNumberFormat="1" applyFont="1" applyFill="1" applyBorder="1" applyAlignment="1">
      <alignment horizontal="center" vertical="center"/>
    </xf>
    <xf numFmtId="0" fontId="20" fillId="0" borderId="18" xfId="0" applyFont="1" applyFill="1" applyBorder="1" applyAlignment="1"/>
    <xf numFmtId="0" fontId="20" fillId="0" borderId="19" xfId="0" applyFont="1" applyFill="1" applyBorder="1" applyAlignment="1">
      <alignment horizontal="center" vertical="center"/>
    </xf>
    <xf numFmtId="0" fontId="20" fillId="0" borderId="20" xfId="0" applyFont="1" applyFill="1" applyBorder="1" applyAlignment="1"/>
    <xf numFmtId="176" fontId="20" fillId="9" borderId="0" xfId="1" applyNumberFormat="1" applyFont="1" applyFill="1" applyBorder="1">
      <alignment vertical="center"/>
    </xf>
    <xf numFmtId="43" fontId="20" fillId="0" borderId="0" xfId="1" applyNumberFormat="1" applyFont="1" applyBorder="1" applyAlignment="1">
      <alignment horizontal="left" vertical="center" indent="1"/>
    </xf>
    <xf numFmtId="176" fontId="21" fillId="0" borderId="0" xfId="1" applyNumberFormat="1" applyFont="1" applyBorder="1">
      <alignment vertical="center"/>
    </xf>
    <xf numFmtId="43" fontId="21" fillId="0" borderId="0" xfId="1" applyNumberFormat="1" applyFont="1" applyBorder="1">
      <alignment vertical="center"/>
    </xf>
    <xf numFmtId="0" fontId="20" fillId="0" borderId="20" xfId="0" applyFont="1" applyFill="1" applyBorder="1" applyAlignment="1">
      <alignment vertical="center"/>
    </xf>
    <xf numFmtId="176" fontId="20" fillId="10" borderId="0" xfId="1" applyNumberFormat="1" applyFont="1" applyFill="1" applyBorder="1">
      <alignment vertical="center"/>
    </xf>
    <xf numFmtId="43" fontId="20" fillId="0" borderId="0" xfId="1" applyNumberFormat="1" applyFont="1" applyBorder="1">
      <alignment vertical="center"/>
    </xf>
    <xf numFmtId="0" fontId="21" fillId="0" borderId="20" xfId="0" applyFont="1" applyFill="1" applyBorder="1" applyAlignment="1">
      <alignment horizontal="left" vertical="center" indent="1"/>
    </xf>
    <xf numFmtId="176" fontId="21" fillId="0" borderId="0" xfId="1" applyNumberFormat="1" applyFont="1" applyFill="1" applyBorder="1">
      <alignment vertical="center"/>
    </xf>
    <xf numFmtId="43" fontId="21" fillId="0" borderId="0" xfId="1" applyNumberFormat="1" applyFont="1" applyFill="1" applyBorder="1">
      <alignment vertical="center"/>
    </xf>
    <xf numFmtId="43" fontId="20" fillId="0" borderId="0" xfId="1" applyNumberFormat="1" applyFont="1" applyFill="1" applyBorder="1">
      <alignment vertical="center"/>
    </xf>
    <xf numFmtId="176" fontId="20" fillId="0" borderId="0" xfId="1" applyNumberFormat="1" applyFont="1" applyFill="1" applyBorder="1">
      <alignment vertical="center"/>
    </xf>
    <xf numFmtId="176" fontId="20" fillId="0" borderId="0" xfId="1" applyNumberFormat="1" applyFont="1" applyBorder="1">
      <alignment vertical="center"/>
    </xf>
    <xf numFmtId="0" fontId="20" fillId="0" borderId="21" xfId="0" applyFont="1" applyFill="1" applyBorder="1" applyAlignment="1"/>
    <xf numFmtId="176" fontId="20" fillId="0" borderId="22" xfId="1" applyNumberFormat="1" applyFont="1" applyBorder="1">
      <alignment vertical="center"/>
    </xf>
    <xf numFmtId="43" fontId="20" fillId="0" borderId="22" xfId="1" applyNumberFormat="1" applyFont="1" applyBorder="1">
      <alignment vertical="center"/>
    </xf>
    <xf numFmtId="0" fontId="20" fillId="0" borderId="23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 wrapText="1"/>
    </xf>
    <xf numFmtId="180" fontId="21" fillId="5" borderId="25" xfId="0" applyNumberFormat="1" applyFont="1" applyFill="1" applyBorder="1" applyAlignment="1">
      <alignment horizontal="center" vertical="center"/>
    </xf>
    <xf numFmtId="3" fontId="21" fillId="5" borderId="25" xfId="0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9" fontId="22" fillId="0" borderId="25" xfId="3" applyNumberFormat="1" applyFont="1" applyBorder="1">
      <alignment vertical="center"/>
    </xf>
    <xf numFmtId="183" fontId="23" fillId="0" borderId="25" xfId="3" applyNumberFormat="1" applyFont="1" applyBorder="1">
      <alignment vertical="center"/>
    </xf>
    <xf numFmtId="183" fontId="20" fillId="0" borderId="25" xfId="3" applyNumberFormat="1" applyFont="1" applyBorder="1">
      <alignment vertical="center"/>
    </xf>
    <xf numFmtId="0" fontId="24" fillId="0" borderId="0" xfId="0" applyFont="1" applyBorder="1">
      <alignment vertical="center"/>
    </xf>
    <xf numFmtId="183" fontId="22" fillId="0" borderId="25" xfId="3" applyNumberFormat="1" applyFont="1" applyBorder="1">
      <alignment vertical="center"/>
    </xf>
    <xf numFmtId="10" fontId="23" fillId="0" borderId="25" xfId="3" applyNumberFormat="1" applyFont="1" applyBorder="1">
      <alignment vertical="center"/>
    </xf>
    <xf numFmtId="184" fontId="23" fillId="0" borderId="25" xfId="3" applyNumberFormat="1" applyFont="1" applyBorder="1">
      <alignment vertical="center"/>
    </xf>
    <xf numFmtId="183" fontId="22" fillId="0" borderId="27" xfId="3" applyNumberFormat="1" applyFont="1" applyBorder="1">
      <alignment vertical="center"/>
    </xf>
    <xf numFmtId="185" fontId="18" fillId="0" borderId="0" xfId="0" applyNumberFormat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20" fillId="0" borderId="28" xfId="0" applyFont="1" applyFill="1" applyBorder="1" applyAlignment="1"/>
    <xf numFmtId="176" fontId="20" fillId="0" borderId="11" xfId="1" applyNumberFormat="1" applyFont="1" applyBorder="1">
      <alignment vertical="center"/>
    </xf>
    <xf numFmtId="43" fontId="20" fillId="0" borderId="11" xfId="1" applyNumberFormat="1" applyFont="1" applyBorder="1">
      <alignment vertical="center"/>
    </xf>
    <xf numFmtId="0" fontId="20" fillId="0" borderId="15" xfId="0" applyFont="1" applyFill="1" applyBorder="1" applyAlignment="1"/>
    <xf numFmtId="176" fontId="20" fillId="0" borderId="17" xfId="1" applyNumberFormat="1" applyFont="1" applyBorder="1">
      <alignment vertical="center"/>
    </xf>
    <xf numFmtId="43" fontId="20" fillId="0" borderId="17" xfId="1" applyNumberFormat="1" applyFont="1" applyBorder="1">
      <alignment vertical="center"/>
    </xf>
    <xf numFmtId="0" fontId="20" fillId="0" borderId="14" xfId="0" applyFont="1" applyFill="1" applyBorder="1" applyAlignment="1"/>
    <xf numFmtId="186" fontId="20" fillId="0" borderId="14" xfId="0" applyNumberFormat="1" applyFont="1" applyFill="1" applyBorder="1" applyAlignment="1"/>
    <xf numFmtId="183" fontId="22" fillId="0" borderId="29" xfId="3" applyNumberFormat="1" applyFont="1" applyBorder="1">
      <alignment vertical="center"/>
    </xf>
    <xf numFmtId="183" fontId="22" fillId="0" borderId="24" xfId="3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03">
    <open main="81" threadCnt="1"/>
    <sheetInfos>
      <sheetInfo cellCmpFml="48" sheetStid="1">
        <open main="14" threadCnt="1"/>
      </sheetInfo>
      <sheetInfo cellCmpFml="34" sheetStid="4">
        <open main="7" threadCnt="1"/>
      </sheetInfo>
      <sheetInfo cellCmpFml="21" sheetStid="3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5.xml.rels><?xml version="1.0" encoding="UTF-8" standalone="yes"?>
<Relationships xmlns="http://schemas.openxmlformats.org/package/2006/relationships"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6350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12700" cap="rnd" cmpd="sng" algn="ctr">
              <a:solidFill>
                <a:srgbClr val="FF00F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  <a:ln w="6350" cap="flat" cmpd="sng" algn="ctr">
                <a:solidFill>
                  <a:srgbClr val="FF00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ln w="12700" cap="rnd" cmpd="sng" algn="ctr">
              <a:solidFill>
                <a:srgbClr val="FFFF00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  <a:ln w="6350" cap="flat" cmpd="sng" algn="ctr">
                <a:solidFill>
                  <a:srgbClr val="FFFF0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12700" cap="rnd" cmpd="sng" algn="ctr">
              <a:solidFill>
                <a:srgbClr val="00FFFF"/>
              </a:solidFill>
              <a:prstDash val="solid"/>
              <a:round/>
            </a:ln>
          </c:spPr>
          <c:marker>
            <c:symbol val="x"/>
            <c:size val="5"/>
            <c:spPr>
              <a:noFill/>
              <a:ln w="6350" cap="flat" cmpd="sng" algn="ctr">
                <a:solidFill>
                  <a:srgbClr val="00FF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309891"/>
        <c:axId val="630481669"/>
      </c:lineChart>
      <c:catAx>
        <c:axId val="689309891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30481669"/>
        <c:crosses val="autoZero"/>
        <c:auto val="1"/>
        <c:lblAlgn val="ctr"/>
        <c:lblOffset val="100"/>
        <c:tickLblSkip val="1"/>
        <c:noMultiLvlLbl val="0"/>
      </c:catAx>
      <c:valAx>
        <c:axId val="630481669"/>
        <c:scaling>
          <c:orientation val="minMax"/>
          <c:max val="18000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893098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17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1f35d6-89e6-467c-9b0f-8990ef5b4cdc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2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diamond"/>
            <c:size val="7"/>
            <c:spPr>
              <a:solidFill>
                <a:srgbClr val="000080"/>
              </a:solidFill>
              <a:ln w="6350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5400" cap="rnd" cmpd="sng" algn="ctr">
              <a:solidFill>
                <a:srgbClr val="FF00FF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rgbClr val="FF00FF"/>
              </a:solidFill>
              <a:ln w="6350" cap="flat" cmpd="sng" algn="ctr">
                <a:solidFill>
                  <a:srgbClr val="FF00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ln w="25400" cap="rnd" cmpd="sng" algn="ctr">
              <a:solidFill>
                <a:srgbClr val="FFFF00"/>
              </a:solidFill>
              <a:prstDash val="solid"/>
              <a:round/>
            </a:ln>
          </c:spPr>
          <c:marker>
            <c:symbol val="triangle"/>
            <c:size val="7"/>
            <c:spPr>
              <a:solidFill>
                <a:srgbClr val="FFFF00"/>
              </a:solidFill>
              <a:ln w="6350" cap="flat" cmpd="sng" algn="ctr">
                <a:solidFill>
                  <a:srgbClr val="FFFF0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x"/>
            <c:size val="7"/>
            <c:spPr>
              <a:noFill/>
              <a:ln w="6350" cap="flat" cmpd="sng" algn="ctr">
                <a:solidFill>
                  <a:srgbClr val="00FF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tar"/>
            <c:size val="7"/>
            <c:spPr>
              <a:noFill/>
              <a:ln w="6350" cap="flat" cmpd="sng" algn="ctr">
                <a:solidFill>
                  <a:srgbClr val="8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821006"/>
        <c:axId val="51446139"/>
      </c:lineChart>
      <c:catAx>
        <c:axId val="312821006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1446139"/>
        <c:crosses val="autoZero"/>
        <c:auto val="1"/>
        <c:lblAlgn val="ctr"/>
        <c:lblOffset val="100"/>
        <c:tickLblSkip val="1"/>
        <c:noMultiLvlLbl val="0"/>
      </c:catAx>
      <c:valAx>
        <c:axId val="51446139"/>
        <c:scaling>
          <c:orientation val="minMax"/>
          <c:max val="1.1"/>
          <c:min val="-0.5"/>
        </c:scaling>
        <c:delete val="0"/>
        <c:axPos val="l"/>
        <c:majorGridlines>
          <c:spPr>
            <a:ln w="12700" cap="flat" cmpd="sng" algn="ctr">
              <a:solidFill>
                <a:srgbClr val="000000"/>
              </a:solidFill>
              <a:prstDash val="sysDash"/>
              <a:round/>
            </a:ln>
          </c:spPr>
        </c:majorGridlines>
        <c:numFmt formatCode="0.00%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Times New Roman" panose="02020603050405020304" pitchFamily="1" charset="0"/>
                <a:ea typeface="Times New Roman" panose="02020603050405020304" pitchFamily="1" charset="0"/>
                <a:cs typeface="Times New Roman" panose="02020603050405020304" pitchFamily="1" charset="0"/>
              </a:defRPr>
            </a:pPr>
          </a:p>
        </c:txPr>
        <c:crossAx val="312821006"/>
        <c:crosses val="autoZero"/>
        <c:crossBetween val="between"/>
      </c:valAx>
      <c:spPr>
        <a:gradFill rotWithShape="0">
          <a:gsLst>
            <a:gs pos="0">
              <a:srgbClr val="C0C0C0"/>
            </a:gs>
            <a:gs pos="100000">
              <a:srgbClr val="C0C0C0">
                <a:gamma/>
                <a:tint val="9372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25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0d8e14-ce39-462d-aa77-1efd140c622f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2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6350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12700" cap="rnd" cmpd="sng" algn="ctr">
              <a:solidFill>
                <a:srgbClr val="FF00F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  <a:ln w="6350" cap="flat" cmpd="sng" algn="ctr">
                <a:solidFill>
                  <a:srgbClr val="FF00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ln w="12700" cap="rnd" cmpd="sng" algn="ctr">
              <a:solidFill>
                <a:srgbClr val="FFFF00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  <a:ln w="6350" cap="flat" cmpd="sng" algn="ctr">
                <a:solidFill>
                  <a:srgbClr val="FFFF0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12700" cap="rnd" cmpd="sng" algn="ctr">
              <a:solidFill>
                <a:srgbClr val="00FFFF"/>
              </a:solidFill>
              <a:prstDash val="solid"/>
              <a:round/>
            </a:ln>
          </c:spPr>
          <c:marker>
            <c:symbol val="x"/>
            <c:size val="5"/>
            <c:spPr>
              <a:noFill/>
              <a:ln w="6350" cap="flat" cmpd="sng" algn="ctr">
                <a:solidFill>
                  <a:srgbClr val="00FF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57628"/>
        <c:axId val="611396242"/>
      </c:lineChart>
      <c:catAx>
        <c:axId val="33257628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11396242"/>
        <c:crosses val="autoZero"/>
        <c:auto val="1"/>
        <c:lblAlgn val="ctr"/>
        <c:lblOffset val="100"/>
        <c:tickLblSkip val="1"/>
        <c:noMultiLvlLbl val="0"/>
      </c:catAx>
      <c:valAx>
        <c:axId val="611396242"/>
        <c:scaling>
          <c:orientation val="minMax"/>
          <c:max val="18000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32576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17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e9305c-49e3-406f-a083-9a18538e35aa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2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diamond"/>
            <c:size val="7"/>
            <c:spPr>
              <a:solidFill>
                <a:srgbClr val="000080"/>
              </a:solidFill>
              <a:ln w="6350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5400" cap="rnd" cmpd="sng" algn="ctr">
              <a:solidFill>
                <a:srgbClr val="FF00FF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rgbClr val="FF00FF"/>
              </a:solidFill>
              <a:ln w="6350" cap="flat" cmpd="sng" algn="ctr">
                <a:solidFill>
                  <a:srgbClr val="FF00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ln w="25400" cap="rnd" cmpd="sng" algn="ctr">
              <a:solidFill>
                <a:srgbClr val="FFFF00"/>
              </a:solidFill>
              <a:prstDash val="solid"/>
              <a:round/>
            </a:ln>
          </c:spPr>
          <c:marker>
            <c:symbol val="triangle"/>
            <c:size val="7"/>
            <c:spPr>
              <a:solidFill>
                <a:srgbClr val="FFFF00"/>
              </a:solidFill>
              <a:ln w="6350" cap="flat" cmpd="sng" algn="ctr">
                <a:solidFill>
                  <a:srgbClr val="FFFF0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x"/>
            <c:size val="7"/>
            <c:spPr>
              <a:noFill/>
              <a:ln w="6350" cap="flat" cmpd="sng" algn="ctr">
                <a:solidFill>
                  <a:srgbClr val="00FFFF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tar"/>
            <c:size val="7"/>
            <c:spPr>
              <a:noFill/>
              <a:ln w="6350" cap="flat" cmpd="sng" algn="ctr">
                <a:solidFill>
                  <a:srgbClr val="8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01562"/>
        <c:axId val="275532395"/>
      </c:lineChart>
      <c:catAx>
        <c:axId val="175901562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75532395"/>
        <c:crosses val="autoZero"/>
        <c:auto val="1"/>
        <c:lblAlgn val="ctr"/>
        <c:lblOffset val="100"/>
        <c:tickLblSkip val="1"/>
        <c:noMultiLvlLbl val="0"/>
      </c:catAx>
      <c:valAx>
        <c:axId val="275532395"/>
        <c:scaling>
          <c:orientation val="minMax"/>
          <c:max val="1.1"/>
          <c:min val="-0.5"/>
        </c:scaling>
        <c:delete val="0"/>
        <c:axPos val="l"/>
        <c:majorGridlines>
          <c:spPr>
            <a:ln w="12700" cap="flat" cmpd="sng" algn="ctr">
              <a:solidFill>
                <a:srgbClr val="000000"/>
              </a:solidFill>
              <a:prstDash val="sysDash"/>
              <a:round/>
            </a:ln>
          </c:spPr>
        </c:majorGridlines>
        <c:numFmt formatCode="0.00%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Times New Roman" panose="02020603050405020304" pitchFamily="1" charset="0"/>
                <a:ea typeface="Times New Roman" panose="02020603050405020304" pitchFamily="1" charset="0"/>
                <a:cs typeface="Times New Roman" panose="02020603050405020304" pitchFamily="1" charset="0"/>
              </a:defRPr>
            </a:pPr>
          </a:p>
        </c:txPr>
        <c:crossAx val="175901562"/>
        <c:crosses val="autoZero"/>
        <c:crossBetween val="between"/>
      </c:valAx>
      <c:spPr>
        <a:gradFill rotWithShape="0">
          <a:gsLst>
            <a:gs pos="0">
              <a:srgbClr val="C0C0C0"/>
            </a:gs>
            <a:gs pos="100000">
              <a:srgbClr val="C0C0C0">
                <a:gamma/>
                <a:tint val="9372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25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7a63af-d8e5-4e9d-9cbf-00b4d8d4c440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2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061056704147"/>
          <c:y val="0.134561067409933"/>
          <c:w val="0.826628405277548"/>
          <c:h val="0.804110362339774"/>
        </c:manualLayout>
      </c:layout>
      <c:scatterChart>
        <c:scatterStyle val="smooth"/>
        <c:varyColors val="0"/>
        <c:ser>
          <c:idx val="0"/>
          <c:order val="0"/>
          <c:tx>
            <c:strRef>
              <c:f>[1]盈亏平衡分析!$J$5</c:f>
              <c:strCache>
                <c:ptCount val="1"/>
                <c:pt idx="0">
                  <c:v>边际贡献</c:v>
                </c:pt>
              </c:strCache>
            </c:strRef>
          </c:tx>
          <c:spPr>
            <a:ln w="1905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23000">
                    <a:schemeClr val="accent1">
                      <a:lumMod val="45000"/>
                      <a:lumOff val="55000"/>
                    </a:schemeClr>
                  </a:gs>
                  <a:gs pos="62000">
                    <a:schemeClr val="accent1">
                      <a:lumMod val="75000"/>
                    </a:schemeClr>
                  </a:gs>
                  <a:gs pos="92000">
                    <a:schemeClr val="accent1">
                      <a:lumMod val="50000"/>
                    </a:schemeClr>
                  </a:gs>
                </a:gsLst>
                <a:lin ang="5400000" scaled="1"/>
              </a:gradFill>
              <a:prstDash val="solid"/>
              <a:round/>
              <a:tailEnd type="triangle"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flat" cmpd="sng" algn="ctr">
                <a:gradFill flip="none" rotWithShape="1"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23000">
                      <a:schemeClr val="accent1">
                        <a:lumMod val="45000"/>
                        <a:lumOff val="55000"/>
                      </a:schemeClr>
                    </a:gs>
                    <a:gs pos="62000">
                      <a:schemeClr val="accent1">
                        <a:lumMod val="75000"/>
                      </a:schemeClr>
                    </a:gs>
                    <a:gs pos="92000">
                      <a:schemeClr val="accent1">
                        <a:lumMod val="50000"/>
                      </a:schemeClr>
                    </a:gs>
                  </a:gsLst>
                  <a:lin ang="5400000" scaled="1"/>
                  <a:tileRect r="-100000" b="-100000"/>
                </a:gradFill>
                <a:prstDash val="solid"/>
                <a:miter lim="800000"/>
                <a:headEnd type="stealth"/>
                <a:tailEnd type="stealth" w="med" len="med"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>
                <c:manualLayout>
                  <c:x val="0.0169538807649042"/>
                  <c:y val="-0.00656802974387414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[1]盈亏平衡分析!$I$6:$I$7</c:f>
              <c:numCache>
                <c:formatCode>General</c:formatCode>
                <c:ptCount val="2"/>
                <c:pt idx="0">
                  <c:v>0</c:v>
                </c:pt>
                <c:pt idx="1">
                  <c:v>14000</c:v>
                </c:pt>
              </c:numCache>
            </c:numRef>
          </c:xVal>
          <c:yVal>
            <c:numRef>
              <c:f>[1]盈亏平衡分析!$J$6:$J$7</c:f>
              <c:numCache>
                <c:formatCode>General</c:formatCode>
                <c:ptCount val="2"/>
                <c:pt idx="0">
                  <c:v>0</c:v>
                </c:pt>
                <c:pt idx="1">
                  <c:v>22511728.03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[1]盈亏平衡分析!$K$5</c:f>
              <c:strCache>
                <c:ptCount val="1"/>
                <c:pt idx="0">
                  <c:v>固定成本</c:v>
                </c:pt>
              </c:strCache>
            </c:strRef>
          </c:tx>
          <c:spPr>
            <a:ln w="381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layout>
                <c:manualLayout>
                  <c:x val="0.0215424370738103"/>
                  <c:y val="-0.00102931733200497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[1]盈亏平衡分析!$I$6:$I$7</c:f>
              <c:numCache>
                <c:formatCode>General</c:formatCode>
                <c:ptCount val="2"/>
                <c:pt idx="0">
                  <c:v>0</c:v>
                </c:pt>
                <c:pt idx="1">
                  <c:v>14000</c:v>
                </c:pt>
              </c:numCache>
            </c:numRef>
          </c:xVal>
          <c:yVal>
            <c:numRef>
              <c:f>[1]盈亏平衡分析!$K$6:$K$7</c:f>
              <c:numCache>
                <c:formatCode>General</c:formatCode>
                <c:ptCount val="2"/>
                <c:pt idx="0">
                  <c:v>9568230</c:v>
                </c:pt>
                <c:pt idx="1">
                  <c:v>9568230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[1]盈亏平衡分析!$L$5</c:f>
              <c:strCache>
                <c:ptCount val="1"/>
                <c:pt idx="0">
                  <c:v>销售毛利</c:v>
                </c:pt>
              </c:strCache>
            </c:strRef>
          </c:tx>
          <c:spPr>
            <a:ln w="19050" cap="flat" cmpd="sng" algn="ctr">
              <a:gradFill>
                <a:gsLst>
                  <a:gs pos="24000">
                    <a:srgbClr val="00B050"/>
                  </a:gs>
                  <a:gs pos="37000">
                    <a:srgbClr val="65C475"/>
                  </a:gs>
                  <a:gs pos="77000">
                    <a:schemeClr val="accent6">
                      <a:lumMod val="60000"/>
                      <a:lumOff val="40000"/>
                    </a:schemeClr>
                  </a:gs>
                  <a:gs pos="0">
                    <a:srgbClr val="17B558"/>
                  </a:gs>
                  <a:gs pos="94000">
                    <a:schemeClr val="bg1"/>
                  </a:gs>
                  <a:gs pos="57000">
                    <a:schemeClr val="accent6">
                      <a:lumMod val="20000"/>
                      <a:lumOff val="80000"/>
                    </a:schemeClr>
                  </a:gs>
                </a:gsLst>
                <a:lin ang="3660000" scaled="1"/>
              </a:gra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flat" cmpd="sng" algn="ctr">
                <a:gradFill>
                  <a:gsLst>
                    <a:gs pos="24000">
                      <a:srgbClr val="00B050"/>
                    </a:gs>
                    <a:gs pos="37000">
                      <a:srgbClr val="65C475"/>
                    </a:gs>
                    <a:gs pos="77000">
                      <a:schemeClr val="accent6">
                        <a:lumMod val="60000"/>
                        <a:lumOff val="40000"/>
                      </a:schemeClr>
                    </a:gs>
                    <a:gs pos="0">
                      <a:srgbClr val="17B558"/>
                    </a:gs>
                    <a:gs pos="94000">
                      <a:schemeClr val="bg1"/>
                    </a:gs>
                    <a:gs pos="57000">
                      <a:schemeClr val="accent6">
                        <a:lumMod val="20000"/>
                        <a:lumOff val="80000"/>
                      </a:schemeClr>
                    </a:gs>
                  </a:gsLst>
                  <a:lin ang="3660000" scaled="1"/>
                </a:gradFill>
                <a:prstDash val="solid"/>
                <a:round/>
                <a:headEnd type="stealth"/>
                <a:tailEnd type="stealth"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>
                <c:manualLayout>
                  <c:x val="0.0215424370738104"/>
                  <c:y val="-0.00106817377196487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rgbClr val="00B050"/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[1]盈亏平衡分析!$I$6:$I$7</c:f>
              <c:numCache>
                <c:formatCode>General</c:formatCode>
                <c:ptCount val="2"/>
                <c:pt idx="0">
                  <c:v>0</c:v>
                </c:pt>
                <c:pt idx="1">
                  <c:v>14000</c:v>
                </c:pt>
              </c:numCache>
            </c:numRef>
          </c:xVal>
          <c:yVal>
            <c:numRef>
              <c:f>[1]盈亏平衡分析!$L$6:$L$7</c:f>
              <c:numCache>
                <c:formatCode>General</c:formatCode>
                <c:ptCount val="2"/>
                <c:pt idx="0">
                  <c:v>-9568230</c:v>
                </c:pt>
                <c:pt idx="1">
                  <c:v>12943498.03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"盈亏点销量参考线"</c:f>
              <c:strCache>
                <c:ptCount val="1"/>
                <c:pt idx="0">
                  <c:v>盈亏点销量参考线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 cmpd="sng" algn="ctr">
                <a:solidFill>
                  <a:schemeClr val="accent4">
                    <a:alpha val="0"/>
                  </a:schemeClr>
                </a:solidFill>
                <a:prstDash val="solid"/>
                <a:round/>
              </a:ln>
              <a:effectLst/>
            </c:spPr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6350" cap="flat" cmpd="sng" algn="ctr">
                  <a:noFill/>
                  <a:prstDash val="solid"/>
                  <a:round/>
                </a:ln>
              </c:spPr>
            </c:marker>
            <c:bubble3D val="0"/>
          </c:dPt>
          <c:dPt>
            <c:idx val="2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6350" cap="flat" cmpd="sng" algn="ctr">
                  <a:noFill/>
                  <a:prstDash val="solid"/>
                  <a:round/>
                </a:ln>
              </c:spPr>
            </c:marker>
            <c:bubble3D val="0"/>
          </c:dPt>
          <c:dLbls>
            <c:dLbl>
              <c:idx val="0"/>
              <c:delete val="1"/>
            </c:dLbl>
            <c:dLbl>
              <c:idx val="1"/>
              <c:layout>
                <c:manualLayout>
                  <c:x val="-0.171684102599253"/>
                  <c:y val="-0.032352220406761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600" b="1" i="0" u="none" strike="noStrike" kern="1200" baseline="0">
                      <a:solidFill>
                        <a:schemeClr val="tx1"/>
                      </a:solidFill>
                      <a:latin typeface="楷体" panose="02010609060101010101" pitchFamily="49" charset="-122"/>
                      <a:ea typeface="楷体" panose="02010609060101010101" pitchFamily="49" charset="-122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5726"/>
                        <a:gd name="adj2" fmla="val 40151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2704935278085"/>
                      <c:h val="0.080574606003451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0290169523151282"/>
                  <c:y val="-0.0064704440813523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7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46069"/>
                        <a:gd name="adj2" fmla="val 750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7028246877193"/>
                      <c:h val="0.0862438868314235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17168686340758"/>
                  <c:y val="0.044416362075922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900" b="1" i="0" u="none" strike="noStrike" kern="1200" baseline="0">
                        <a:solidFill>
                          <a:srgbClr val="FF0000"/>
                        </a:solidFill>
                        <a:latin typeface="楷体" panose="02010609060101010101" pitchFamily="49" charset="-122"/>
                        <a:ea typeface="楷体" panose="02010609060101010101" pitchFamily="49" charset="-122"/>
                        <a:cs typeface="+mn-cs"/>
                      </a:defRPr>
                    </a:pPr>
                    <a:r>
                      <a:rPr lang="zh-CN" altLang="en-US"/>
                      <a:t>盈亏平衡点销量参考线</a:t>
                    </a:r>
                    <a:endParaRPr lang="zh-CN" altLang="en-US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rgbClr val="FF0000"/>
                      </a:solidFill>
                      <a:latin typeface="楷体" panose="02010609060101010101" pitchFamily="49" charset="-122"/>
                      <a:ea typeface="楷体" panose="02010609060101010101" pitchFamily="49" charset="-122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028412525692"/>
                      <c:h val="0.084793857452845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1" i="0" u="none" strike="noStrike" kern="1200" baseline="0">
                    <a:solidFill>
                      <a:srgbClr val="FF0000"/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[1]盈亏平衡分析!$I$12:$I$15</c:f>
              <c:numCache>
                <c:formatCode>General</c:formatCode>
                <c:ptCount val="4"/>
                <c:pt idx="0">
                  <c:v>5950.46368046006</c:v>
                </c:pt>
                <c:pt idx="1">
                  <c:v>5950.46368046006</c:v>
                </c:pt>
                <c:pt idx="2">
                  <c:v>5950.46368046006</c:v>
                </c:pt>
                <c:pt idx="3">
                  <c:v>5950.46368046006</c:v>
                </c:pt>
              </c:numCache>
            </c:numRef>
          </c:xVal>
          <c:yVal>
            <c:numRef>
              <c:f>[1]盈亏平衡分析!$J$12:$J$15</c:f>
              <c:numCache>
                <c:formatCode>General</c:formatCode>
                <c:ptCount val="4"/>
                <c:pt idx="0">
                  <c:v>30000000</c:v>
                </c:pt>
                <c:pt idx="1">
                  <c:v>9568230</c:v>
                </c:pt>
                <c:pt idx="2">
                  <c:v>0</c:v>
                </c:pt>
                <c:pt idx="3">
                  <c:v>-30000000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"当前销量垂直参考线"</c:f>
              <c:strCache>
                <c:ptCount val="1"/>
                <c:pt idx="0">
                  <c:v>当前销量垂直参考线</c:v>
                </c:pt>
              </c:strCache>
            </c:strRef>
          </c:tx>
          <c:spPr>
            <a:ln w="19050" cap="flat" cmpd="sng" algn="ctr">
              <a:solidFill>
                <a:srgbClr val="0070C0"/>
              </a:solidFill>
              <a:prstDash val="solid"/>
              <a:round/>
              <a:headEnd type="none"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flat" cmpd="sng" algn="ctr">
                <a:solidFill>
                  <a:srgbClr val="0070C0"/>
                </a:solidFill>
                <a:prstDash val="solid"/>
                <a:miter lim="800000"/>
                <a:headEnd type="none"/>
              </a:ln>
            </c:spPr>
          </c:dPt>
          <c:dPt>
            <c:idx val="1"/>
            <c:marker>
              <c:symbol val="picture"/>
              <c:spPr>
                <a:blipFill>
                  <a:blip xmlns:r="http://schemas.openxmlformats.org/officeDocument/2006/relationships" r:embed="rId3"/>
                  <a:stretch>
                    <a:fillRect/>
                  </a:stretch>
                </a:blipFill>
                <a:ln w="6350" cap="flat" cmpd="sng" algn="ctr">
                  <a:noFill/>
                  <a:prstDash val="solid"/>
                  <a:round/>
                </a:ln>
              </c:spPr>
            </c:marker>
            <c:bubble3D val="0"/>
            <c:spPr>
              <a:ln w="19050" cap="flat" cmpd="sng" algn="ctr">
                <a:solidFill>
                  <a:srgbClr val="0070C0"/>
                </a:solidFill>
                <a:prstDash val="solid"/>
                <a:miter lim="800000"/>
                <a:headEnd type="none"/>
              </a:ln>
              <a:effectLst/>
            </c:spPr>
          </c:dPt>
          <c:dPt>
            <c:idx val="2"/>
            <c:marker>
              <c:symbol val="picture"/>
              <c:spPr>
                <a:blipFill>
                  <a:blip xmlns:r="http://schemas.openxmlformats.org/officeDocument/2006/relationships" r:embed="rId4"/>
                  <a:stretch>
                    <a:fillRect/>
                  </a:stretch>
                </a:blipFill>
                <a:ln w="6350" cap="flat" cmpd="sng" algn="ctr">
                  <a:noFill/>
                  <a:prstDash val="solid"/>
                  <a:round/>
                </a:ln>
              </c:spPr>
            </c:marker>
            <c:bubble3D val="0"/>
          </c:dPt>
          <c:dPt>
            <c:idx val="3"/>
            <c:marker>
              <c:symbol val="picture"/>
              <c:spPr>
                <a:blipFill>
                  <a:blip xmlns:r="http://schemas.openxmlformats.org/officeDocument/2006/relationships" r:embed="rId5"/>
                  <a:stretch>
                    <a:fillRect/>
                  </a:stretch>
                </a:blipFill>
                <a:ln w="6350" cap="flat" cmpd="sng" algn="ctr">
                  <a:noFill/>
                  <a:prstDash val="solid"/>
                  <a:round/>
                </a:ln>
              </c:spPr>
            </c:marker>
            <c:bubble3D val="0"/>
          </c:dPt>
          <c:dLbls>
            <c:dLbl>
              <c:idx val="0"/>
              <c:delete val="1"/>
            </c:dLbl>
            <c:dLbl>
              <c:idx val="1"/>
              <c:layout>
                <c:manualLayout>
                  <c:x val="-0.0314351348083667"/>
                  <c:y val="-0.064704440813523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600" b="1" i="0" u="none" strike="noStrike" kern="1200" baseline="0">
                      <a:solidFill>
                        <a:srgbClr val="FFC000"/>
                      </a:solidFill>
                      <a:latin typeface="楷体" panose="02010609060101010101" pitchFamily="49" charset="-122"/>
                      <a:ea typeface="楷体" panose="02010609060101010101" pitchFamily="49" charset="-122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15364374339"/>
                      <c:h val="0.0879980395063917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0120904364647565"/>
                  <c:y val="-0.035587442447437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600" b="1" i="0" u="none" strike="noStrike" kern="1200" baseline="0">
                      <a:solidFill>
                        <a:srgbClr val="00B0F0"/>
                      </a:solidFill>
                      <a:latin typeface="楷体" panose="02010609060101010101" pitchFamily="49" charset="-122"/>
                      <a:ea typeface="楷体" panose="02010609060101010101" pitchFamily="49" charset="-122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0063"/>
                        <a:gd name="adj2" fmla="val 3941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4670840247254"/>
                      <c:h val="0.0902802721254797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0338531269010308"/>
                  <c:y val="0.032352220406761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6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楷体" panose="02010609060101010101" pitchFamily="49" charset="-122"/>
                      <a:ea typeface="楷体" panose="02010609060101010101" pitchFamily="49" charset="-122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088113577751"/>
                      <c:h val="0.0737630625274166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-0.0712533755443686"/>
                  <c:y val="0.040847353053412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zh-CN" sz="900" b="1" i="0" u="none" strike="noStrike" kern="1200" baseline="0">
                        <a:solidFill>
                          <a:srgbClr val="0070C0"/>
                        </a:solidFill>
                        <a:latin typeface="楷体" panose="02010609060101010101" pitchFamily="49" charset="-122"/>
                        <a:ea typeface="楷体" panose="02010609060101010101" pitchFamily="49" charset="-122"/>
                        <a:cs typeface="+mn-cs"/>
                      </a:defRPr>
                    </a:pPr>
                    <a:r>
                      <a:rPr lang="zh-CN" altLang="en-US" sz="900" b="1">
                        <a:solidFill>
                          <a:srgbClr val="0070C0"/>
                        </a:solidFill>
                      </a:rPr>
                      <a:t>当前销量垂直参考线</a:t>
                    </a:r>
                    <a:endParaRPr lang="zh-CN" altLang="en-US" sz="900" b="1">
                      <a:solidFill>
                        <a:srgbClr val="0070C0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785494858917"/>
                      <c:h val="0.0951155279958793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0070C0"/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[1]盈亏平衡分析!$I$18:$I$22</c:f>
              <c:numCache>
                <c:formatCode>General</c:formatCode>
                <c:ptCount val="5"/>
                <c:pt idx="0">
                  <c:v>9420</c:v>
                </c:pt>
                <c:pt idx="1">
                  <c:v>9420</c:v>
                </c:pt>
                <c:pt idx="2">
                  <c:v>9420</c:v>
                </c:pt>
                <c:pt idx="3">
                  <c:v>9420</c:v>
                </c:pt>
                <c:pt idx="4">
                  <c:v>9420</c:v>
                </c:pt>
              </c:numCache>
            </c:numRef>
          </c:xVal>
          <c:yVal>
            <c:numRef>
              <c:f>[1]盈亏平衡分析!$J$18:$J$22</c:f>
              <c:numCache>
                <c:formatCode>General</c:formatCode>
                <c:ptCount val="5"/>
                <c:pt idx="0">
                  <c:v>30000000</c:v>
                </c:pt>
                <c:pt idx="1">
                  <c:v>15147177</c:v>
                </c:pt>
                <c:pt idx="2">
                  <c:v>9568230</c:v>
                </c:pt>
                <c:pt idx="3">
                  <c:v>5578947</c:v>
                </c:pt>
                <c:pt idx="4">
                  <c:v>-30000000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23760"/>
        <c:axId val="1232020848"/>
      </c:scatterChart>
      <c:valAx>
        <c:axId val="1232023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350" cap="flat" cmpd="sng" algn="ctr">
            <a:solidFill>
              <a:schemeClr val="bg1">
                <a:lumMod val="85000"/>
              </a:schemeClr>
            </a:solidFill>
            <a:prstDash val="solid"/>
            <a:round/>
            <a:tailEnd type="triangle" w="med" len="sm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32020848"/>
        <c:crosses val="autoZero"/>
        <c:crossBetween val="midCat"/>
      </c:valAx>
      <c:valAx>
        <c:axId val="1232020848"/>
        <c:scaling>
          <c:orientation val="minMax"/>
        </c:scaling>
        <c:delete val="0"/>
        <c:axPos val="l"/>
        <c:majorGridlines>
          <c:spPr>
            <a:ln w="9525" cap="flat" cmpd="dbl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  <a:round/>
            <a:headEnd type="none" w="med" len="sm"/>
            <a:tailEnd type="triangl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3202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3e8746-e842-449d-a0ef-28e2f613887e}"/>
      </c:ext>
    </c:extLst>
  </c:chart>
  <c:spPr>
    <a:solidFill>
      <a:schemeClr val="bg1"/>
    </a:solidFill>
    <a:ln w="12700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trlProps/ctrlProp1.xml><?xml version="1.0" encoding="utf-8"?>
<formControlPr xmlns="http://schemas.microsoft.com/office/spreadsheetml/2009/9/main" objectType="Spin" dx="26" fmlaLink="$F$6" inc="100" max="30000" page="10" val="30000"/>
</file>

<file path=xl/ctrlProps/ctrlProp2.xml><?xml version="1.0" encoding="utf-8"?>
<formControlPr xmlns="http://schemas.microsoft.com/office/spreadsheetml/2009/9/main" objectType="Spin" dx="26" fmlaLink="$F$7" inc="10" max="30000" page="10" val="150"/>
</file>

<file path=xl/ctrlProps/ctrlProp3.xml><?xml version="1.0" encoding="utf-8"?>
<formControlPr xmlns="http://schemas.microsoft.com/office/spreadsheetml/2009/9/main" objectType="Scroll" dx="16" fmlaLink="$C$5" horiz="1" inc="10" max="2000" min="100" page="100" val="150"/>
</file>

<file path=xl/ctrlProps/ctrlProp4.xml><?xml version="1.0" encoding="utf-8"?>
<formControlPr xmlns="http://schemas.microsoft.com/office/spreadsheetml/2009/9/main" objectType="Scroll" dx="16" fmlaLink="$C$6" horiz="1" inc="10" max="1000" min="50" page="50" val="51"/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58420</xdr:colOff>
      <xdr:row>35</xdr:row>
      <xdr:rowOff>0</xdr:rowOff>
    </xdr:from>
    <xdr:to>
      <xdr:col>5</xdr:col>
      <xdr:colOff>0</xdr:colOff>
      <xdr:row>35</xdr:row>
      <xdr:rowOff>0</xdr:rowOff>
    </xdr:to>
    <xdr:graphicFrame>
      <xdr:nvGraphicFramePr>
        <xdr:cNvPr id="2" name="Chart 1"/>
        <xdr:cNvGraphicFramePr/>
      </xdr:nvGraphicFramePr>
      <xdr:xfrm>
        <a:off x="372745" y="8696325"/>
        <a:ext cx="595249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75565</xdr:colOff>
      <xdr:row>35</xdr:row>
      <xdr:rowOff>0</xdr:rowOff>
    </xdr:from>
    <xdr:to>
      <xdr:col>5</xdr:col>
      <xdr:colOff>0</xdr:colOff>
      <xdr:row>35</xdr:row>
      <xdr:rowOff>0</xdr:rowOff>
    </xdr:to>
    <xdr:graphicFrame>
      <xdr:nvGraphicFramePr>
        <xdr:cNvPr id="3" name="Chart 2"/>
        <xdr:cNvGraphicFramePr/>
      </xdr:nvGraphicFramePr>
      <xdr:xfrm>
        <a:off x="389890" y="8696325"/>
        <a:ext cx="593534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35</xdr:row>
      <xdr:rowOff>0</xdr:rowOff>
    </xdr:from>
    <xdr:to>
      <xdr:col>5</xdr:col>
      <xdr:colOff>57150</xdr:colOff>
      <xdr:row>35</xdr:row>
      <xdr:rowOff>0</xdr:rowOff>
    </xdr:to>
    <xdr:graphicFrame>
      <xdr:nvGraphicFramePr>
        <xdr:cNvPr id="4" name="Chart 1"/>
        <xdr:cNvGraphicFramePr/>
      </xdr:nvGraphicFramePr>
      <xdr:xfrm>
        <a:off x="6382385" y="8696325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76200</xdr:colOff>
      <xdr:row>35</xdr:row>
      <xdr:rowOff>0</xdr:rowOff>
    </xdr:from>
    <xdr:to>
      <xdr:col>5</xdr:col>
      <xdr:colOff>76200</xdr:colOff>
      <xdr:row>35</xdr:row>
      <xdr:rowOff>0</xdr:rowOff>
    </xdr:to>
    <xdr:graphicFrame>
      <xdr:nvGraphicFramePr>
        <xdr:cNvPr id="5" name="Chart 2"/>
        <xdr:cNvGraphicFramePr/>
      </xdr:nvGraphicFramePr>
      <xdr:xfrm>
        <a:off x="6401435" y="8696325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28575</xdr:colOff>
      <xdr:row>1</xdr:row>
      <xdr:rowOff>69850</xdr:rowOff>
    </xdr:from>
    <xdr:to>
      <xdr:col>12</xdr:col>
      <xdr:colOff>142875</xdr:colOff>
      <xdr:row>7</xdr:row>
      <xdr:rowOff>60325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68795" y="441325"/>
          <a:ext cx="5982970" cy="148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</xdr:colOff>
      <xdr:row>20</xdr:row>
      <xdr:rowOff>95250</xdr:rowOff>
    </xdr:from>
    <xdr:to>
      <xdr:col>5</xdr:col>
      <xdr:colOff>1190625</xdr:colOff>
      <xdr:row>36</xdr:row>
      <xdr:rowOff>64770</xdr:rowOff>
    </xdr:to>
    <xdr:grpSp>
      <xdr:nvGrpSpPr>
        <xdr:cNvPr id="2" name="组合 1"/>
        <xdr:cNvGrpSpPr/>
      </xdr:nvGrpSpPr>
      <xdr:grpSpPr>
        <a:xfrm>
          <a:off x="188595" y="4236720"/>
          <a:ext cx="5607050" cy="3322320"/>
          <a:chOff x="8469" y="132"/>
          <a:chExt cx="9386" cy="6181"/>
        </a:xfrm>
      </xdr:grpSpPr>
      <xdr:graphicFrame>
        <xdr:nvGraphicFramePr>
          <xdr:cNvPr id="3" name="图表 2"/>
          <xdr:cNvGraphicFramePr/>
        </xdr:nvGraphicFramePr>
        <xdr:xfrm>
          <a:off x="8469" y="132"/>
          <a:ext cx="8271" cy="61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textlink="$J$3">
        <xdr:nvSpPr>
          <xdr:cNvPr id="4" name="矩形 3"/>
          <xdr:cNvSpPr/>
        </xdr:nvSpPr>
        <xdr:spPr>
          <a:xfrm>
            <a:off x="16619" y="3401"/>
            <a:ext cx="1236" cy="4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D468A249-E8D2-475D-8604-E23A2D7785E3}" type="TxLink">
              <a:rPr lang="zh-CN" altLang="en-US" sz="800" b="0" i="0" u="none" strike="noStrike">
                <a:solidFill>
                  <a:schemeClr val="bg1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数量（PCS）</a:t>
            </a:fld>
            <a:endParaRPr lang="zh-CN" altLang="en-US" sz="800" b="0" i="0" u="none" strike="noStrike">
              <a:solidFill>
                <a:schemeClr val="bg1">
                  <a:lumMod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5" name="矩形 4"/>
          <xdr:cNvSpPr/>
        </xdr:nvSpPr>
        <xdr:spPr>
          <a:xfrm>
            <a:off x="8698" y="380"/>
            <a:ext cx="1236" cy="4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800" b="0" i="0" u="none" strike="noStrike">
                <a:solidFill>
                  <a:schemeClr val="bg1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金额（元）</a:t>
            </a:r>
            <a:endParaRPr lang="zh-CN" altLang="en-US" sz="800" b="0" i="0" u="none" strike="noStrike">
              <a:solidFill>
                <a:schemeClr val="bg1">
                  <a:lumMod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1371600</xdr:colOff>
          <xdr:row>5</xdr:row>
          <xdr:rowOff>22860</xdr:rowOff>
        </xdr:from>
        <xdr:to>
          <xdr:col>4</xdr:col>
          <xdr:colOff>1485900</xdr:colOff>
          <xdr:row>5</xdr:row>
          <xdr:rowOff>236220</xdr:rowOff>
        </xdr:to>
        <xdr:sp>
          <xdr:nvSpPr>
            <xdr:cNvPr id="5121" name="Spinner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4317365" y="906780"/>
              <a:ext cx="11430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1371600</xdr:colOff>
          <xdr:row>6</xdr:row>
          <xdr:rowOff>7620</xdr:rowOff>
        </xdr:from>
        <xdr:to>
          <xdr:col>4</xdr:col>
          <xdr:colOff>1485900</xdr:colOff>
          <xdr:row>6</xdr:row>
          <xdr:rowOff>228600</xdr:rowOff>
        </xdr:to>
        <xdr:sp>
          <xdr:nvSpPr>
            <xdr:cNvPr id="5122" name="Spinner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4317365" y="1139190"/>
              <a:ext cx="11430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2</xdr:col>
          <xdr:colOff>609600</xdr:colOff>
          <xdr:row>15</xdr:row>
          <xdr:rowOff>109220</xdr:rowOff>
        </xdr:to>
        <xdr:sp>
          <xdr:nvSpPr>
            <xdr:cNvPr id="3073" name="Scroll Bar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23825" y="4038600"/>
              <a:ext cx="1743075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18</xdr:row>
          <xdr:rowOff>9525</xdr:rowOff>
        </xdr:from>
        <xdr:to>
          <xdr:col>2</xdr:col>
          <xdr:colOff>628650</xdr:colOff>
          <xdr:row>19</xdr:row>
          <xdr:rowOff>109220</xdr:rowOff>
        </xdr:to>
        <xdr:sp>
          <xdr:nvSpPr>
            <xdr:cNvPr id="3074" name="Scroll Bar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133350" y="5165725"/>
              <a:ext cx="1752600" cy="37909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001f23f4/06ca15f3/0d4c7a82/Users/jane/Documents/&#20225;&#19994;&#30408;&#20111;&#24179;&#34913;&#21160;&#24577;&#39044;&#27979;&#20998;&#26512;&#22270;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盈亏平衡分析"/>
      <sheetName val="成本估算表"/>
      <sheetName val="使用说明"/>
    </sheetNames>
    <sheetDataSet>
      <sheetData sheetId="0"/>
      <sheetData sheetId="1">
        <row r="5">
          <cell r="J5" t="str">
            <v>边际贡献</v>
          </cell>
          <cell r="K5" t="str">
            <v>固定成本</v>
          </cell>
          <cell r="L5" t="str">
            <v>销售毛利</v>
          </cell>
        </row>
        <row r="6">
          <cell r="I6">
            <v>0</v>
          </cell>
          <cell r="J6">
            <v>0</v>
          </cell>
          <cell r="K6">
            <v>9568230</v>
          </cell>
          <cell r="L6">
            <v>-9568230</v>
          </cell>
        </row>
        <row r="7">
          <cell r="I7">
            <v>14000</v>
          </cell>
          <cell r="J7">
            <v>22511728.03</v>
          </cell>
          <cell r="K7">
            <v>9568230</v>
          </cell>
          <cell r="L7">
            <v>12943498.03</v>
          </cell>
        </row>
        <row r="12">
          <cell r="I12">
            <v>5950.46368046006</v>
          </cell>
          <cell r="J12">
            <v>30000000</v>
          </cell>
        </row>
        <row r="13">
          <cell r="I13">
            <v>5950.46368046006</v>
          </cell>
          <cell r="J13">
            <v>9568230</v>
          </cell>
        </row>
        <row r="14">
          <cell r="I14">
            <v>5950.46368046006</v>
          </cell>
          <cell r="J14">
            <v>0</v>
          </cell>
        </row>
        <row r="15">
          <cell r="I15">
            <v>5950.46368046006</v>
          </cell>
          <cell r="J15">
            <v>-30000000</v>
          </cell>
        </row>
        <row r="18">
          <cell r="I18">
            <v>9420</v>
          </cell>
          <cell r="J18">
            <v>30000000</v>
          </cell>
        </row>
        <row r="19">
          <cell r="I19">
            <v>9420</v>
          </cell>
          <cell r="J19">
            <v>15147177</v>
          </cell>
        </row>
        <row r="20">
          <cell r="I20">
            <v>9420</v>
          </cell>
          <cell r="J20">
            <v>9568230</v>
          </cell>
        </row>
        <row r="21">
          <cell r="I21">
            <v>9420</v>
          </cell>
          <cell r="J21">
            <v>5578947</v>
          </cell>
        </row>
        <row r="22">
          <cell r="I22">
            <v>9420</v>
          </cell>
          <cell r="J22">
            <v>-30000000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4.xml"/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S36"/>
  <sheetViews>
    <sheetView showGridLines="0" tabSelected="1" workbookViewId="0">
      <selection activeCell="L25" sqref="$A1:$XFD1048576"/>
    </sheetView>
  </sheetViews>
  <sheetFormatPr defaultColWidth="8.75833333333333" defaultRowHeight="17.25"/>
  <cols>
    <col min="1" max="1" width="4.125" style="61" customWidth="1"/>
    <col min="2" max="2" width="32.625" style="60" customWidth="1"/>
    <col min="3" max="3" width="16.7583333333333" style="60" customWidth="1"/>
    <col min="4" max="4" width="16.125" style="60" customWidth="1"/>
    <col min="5" max="5" width="13.375" style="60" customWidth="1"/>
    <col min="6" max="6" width="6.75833333333333" style="60" customWidth="1"/>
    <col min="7" max="7" width="8.75833333333333" style="60"/>
    <col min="8" max="8" width="18.375" style="60" customWidth="1"/>
    <col min="9" max="9" width="12.625" style="60" customWidth="1"/>
    <col min="10" max="10" width="8.75833333333333" style="60"/>
    <col min="11" max="11" width="12.375" style="60" customWidth="1"/>
    <col min="12" max="12" width="16.125" style="60" customWidth="1"/>
    <col min="13" max="14" width="8.75833333333333" style="60"/>
    <col min="15" max="15" width="11.2583333333333" style="60" customWidth="1"/>
    <col min="16" max="16" width="9.625" style="60" customWidth="1"/>
    <col min="17" max="17" width="12.875" style="60" customWidth="1"/>
    <col min="18" max="18" width="15.875" style="60" customWidth="1"/>
    <col min="19" max="253" width="8.75833333333333" style="60"/>
    <col min="254" max="16383" width="8.75833333333333" style="61"/>
  </cols>
  <sheetData>
    <row r="1" s="60" customFormat="1" ht="29.25" customHeight="1"/>
    <row r="2" s="60" customFormat="1" ht="18.75" customHeight="1" spans="2:5">
      <c r="B2" s="62" t="s">
        <v>0</v>
      </c>
      <c r="C2" s="63"/>
      <c r="D2" s="64"/>
      <c r="E2" s="92"/>
    </row>
    <row r="3" s="60" customFormat="1" ht="18.75" customHeight="1" spans="2:19">
      <c r="B3" s="65"/>
      <c r="C3" s="66"/>
      <c r="D3" s="67"/>
      <c r="E3" s="93"/>
      <c r="S3" s="106"/>
    </row>
    <row r="4" s="60" customFormat="1" ht="20.25" spans="2:5">
      <c r="B4" s="68" t="s">
        <v>1</v>
      </c>
      <c r="C4" s="69">
        <f>C7/C5</f>
        <v>43333.3333333333</v>
      </c>
      <c r="D4" s="70"/>
      <c r="E4" s="94"/>
    </row>
    <row r="5" s="60" customFormat="1" ht="20.25" spans="2:5">
      <c r="B5" s="68" t="s">
        <v>2</v>
      </c>
      <c r="C5" s="71">
        <v>150</v>
      </c>
      <c r="D5" s="72"/>
      <c r="E5" s="95"/>
    </row>
    <row r="6" s="60" customFormat="1" ht="20.25" spans="2:5">
      <c r="B6" s="73"/>
      <c r="C6" s="74" t="s">
        <v>3</v>
      </c>
      <c r="D6" s="74" t="s">
        <v>4</v>
      </c>
      <c r="E6" s="96" t="s">
        <v>5</v>
      </c>
    </row>
    <row r="7" s="60" customFormat="1" ht="19.5" customHeight="1" spans="2:5">
      <c r="B7" s="75" t="s">
        <v>6</v>
      </c>
      <c r="C7" s="76">
        <v>6500000</v>
      </c>
      <c r="D7" s="77">
        <f>+C5</f>
        <v>150</v>
      </c>
      <c r="E7" s="97">
        <v>1</v>
      </c>
    </row>
    <row r="8" s="60" customFormat="1" ht="19.5" spans="2:5">
      <c r="B8" s="75" t="s">
        <v>7</v>
      </c>
      <c r="C8" s="78">
        <f>C7*E8</f>
        <v>2210000</v>
      </c>
      <c r="D8" s="79">
        <f>C5*E8</f>
        <v>51</v>
      </c>
      <c r="E8" s="98">
        <v>0.34</v>
      </c>
    </row>
    <row r="9" s="60" customFormat="1" ht="19.5" spans="2:5">
      <c r="B9" s="80" t="s">
        <v>8</v>
      </c>
      <c r="C9" s="81">
        <f>C7-C8</f>
        <v>4290000</v>
      </c>
      <c r="D9" s="82">
        <f>D7-D8</f>
        <v>99</v>
      </c>
      <c r="E9" s="99">
        <f>C9/C7</f>
        <v>0.66</v>
      </c>
    </row>
    <row r="10" s="60" customFormat="1" ht="18.75" outlineLevel="1" spans="2:5">
      <c r="B10" s="83" t="s">
        <v>9</v>
      </c>
      <c r="C10" s="84">
        <f t="shared" ref="C10:C16" si="0">$C$7*E10</f>
        <v>975000</v>
      </c>
      <c r="D10" s="85">
        <f>$C$5*E10</f>
        <v>22.5</v>
      </c>
      <c r="E10" s="98">
        <v>0.15</v>
      </c>
    </row>
    <row r="11" s="60" customFormat="1" ht="18.75" outlineLevel="1" spans="2:12">
      <c r="B11" s="83" t="s">
        <v>10</v>
      </c>
      <c r="C11" s="84">
        <f t="shared" si="0"/>
        <v>910000</v>
      </c>
      <c r="D11" s="85">
        <f>$C$5*E11</f>
        <v>21</v>
      </c>
      <c r="E11" s="98">
        <v>0.14</v>
      </c>
      <c r="G11" s="100"/>
      <c r="H11" s="100"/>
      <c r="I11" s="100"/>
      <c r="J11" s="100"/>
      <c r="K11" s="100"/>
      <c r="L11" s="100"/>
    </row>
    <row r="12" s="60" customFormat="1" ht="18.75" outlineLevel="1" spans="2:12">
      <c r="B12" s="83" t="s">
        <v>11</v>
      </c>
      <c r="C12" s="84">
        <f t="shared" si="0"/>
        <v>520000</v>
      </c>
      <c r="D12" s="85">
        <f>$C$5*E12</f>
        <v>12</v>
      </c>
      <c r="E12" s="98">
        <v>0.08</v>
      </c>
      <c r="G12" s="100"/>
      <c r="H12" s="100"/>
      <c r="I12" s="100"/>
      <c r="J12" s="100"/>
      <c r="K12" s="100"/>
      <c r="L12" s="100"/>
    </row>
    <row r="13" s="60" customFormat="1" ht="18.75" outlineLevel="1" spans="2:12">
      <c r="B13" s="83" t="s">
        <v>12</v>
      </c>
      <c r="C13" s="84">
        <f t="shared" si="0"/>
        <v>487500</v>
      </c>
      <c r="D13" s="85">
        <f>$C$5*E13</f>
        <v>11.25</v>
      </c>
      <c r="E13" s="98">
        <v>0.075</v>
      </c>
      <c r="G13" s="100"/>
      <c r="H13" s="100"/>
      <c r="I13" s="100"/>
      <c r="J13" s="100"/>
      <c r="K13" s="100"/>
      <c r="L13" s="100"/>
    </row>
    <row r="14" s="60" customFormat="1" ht="18.75" outlineLevel="1" spans="2:12">
      <c r="B14" s="83" t="s">
        <v>13</v>
      </c>
      <c r="C14" s="84">
        <f t="shared" si="0"/>
        <v>195000</v>
      </c>
      <c r="D14" s="85">
        <f>$C$5*E14</f>
        <v>4.5</v>
      </c>
      <c r="E14" s="98">
        <v>0.03</v>
      </c>
      <c r="G14" s="100"/>
      <c r="H14" s="100"/>
      <c r="I14" s="100"/>
      <c r="J14" s="100"/>
      <c r="K14" s="100"/>
      <c r="L14" s="100"/>
    </row>
    <row r="15" s="60" customFormat="1" ht="18.75" outlineLevel="1" spans="2:12">
      <c r="B15" s="83" t="s">
        <v>14</v>
      </c>
      <c r="C15" s="84">
        <f t="shared" si="0"/>
        <v>260000</v>
      </c>
      <c r="D15" s="85">
        <f>$C$5*E15</f>
        <v>6</v>
      </c>
      <c r="E15" s="98">
        <v>0.04</v>
      </c>
      <c r="G15" s="100"/>
      <c r="H15" s="100"/>
      <c r="I15" s="100"/>
      <c r="J15" s="100"/>
      <c r="K15" s="100"/>
      <c r="L15" s="100"/>
    </row>
    <row r="16" s="60" customFormat="1" ht="18.75" outlineLevel="1" spans="2:12">
      <c r="B16" s="83" t="s">
        <v>15</v>
      </c>
      <c r="C16" s="84">
        <f t="shared" si="0"/>
        <v>130000</v>
      </c>
      <c r="D16" s="85">
        <f>$C$5*E16</f>
        <v>3</v>
      </c>
      <c r="E16" s="98">
        <v>0.02</v>
      </c>
      <c r="G16" s="100"/>
      <c r="H16" s="100"/>
      <c r="I16" s="100"/>
      <c r="J16" s="100"/>
      <c r="K16" s="100"/>
      <c r="L16" s="100"/>
    </row>
    <row r="17" s="60" customFormat="1" ht="19.5" spans="2:12">
      <c r="B17" s="75" t="s">
        <v>16</v>
      </c>
      <c r="C17" s="81">
        <f>SUM(C10:C16)</f>
        <v>3477500</v>
      </c>
      <c r="D17" s="86">
        <f>C17/$C$4</f>
        <v>80.25</v>
      </c>
      <c r="E17" s="101">
        <f>C17/C7</f>
        <v>0.535</v>
      </c>
      <c r="G17" s="100"/>
      <c r="H17" s="100"/>
      <c r="I17" s="100"/>
      <c r="J17" s="100"/>
      <c r="K17" s="100"/>
      <c r="L17" s="100"/>
    </row>
    <row r="18" s="60" customFormat="1" ht="19.5" spans="2:12">
      <c r="B18" s="75" t="s">
        <v>17</v>
      </c>
      <c r="C18" s="87">
        <f>C9-C17</f>
        <v>812500</v>
      </c>
      <c r="D18" s="86">
        <f>D9-D17</f>
        <v>18.75</v>
      </c>
      <c r="E18" s="101">
        <f>C18/C7</f>
        <v>0.125</v>
      </c>
      <c r="G18" s="100"/>
      <c r="H18" s="100"/>
      <c r="I18" s="100"/>
      <c r="J18" s="100"/>
      <c r="K18" s="100"/>
      <c r="L18" s="100"/>
    </row>
    <row r="19" s="60" customFormat="1" ht="18.75" spans="2:12">
      <c r="B19" s="83" t="s">
        <v>18</v>
      </c>
      <c r="C19" s="84">
        <v>30000</v>
      </c>
      <c r="D19" s="85">
        <f>C19/$C$4</f>
        <v>0.692307692307692</v>
      </c>
      <c r="E19" s="98">
        <f t="shared" ref="E19:E28" si="1">C19/$C$7</f>
        <v>0.00461538461538462</v>
      </c>
      <c r="G19" s="100"/>
      <c r="H19" s="100"/>
      <c r="I19" s="100"/>
      <c r="J19" s="100"/>
      <c r="K19" s="100"/>
      <c r="L19" s="100"/>
    </row>
    <row r="20" s="60" customFormat="1" ht="18.75" spans="2:10">
      <c r="B20" s="83" t="s">
        <v>19</v>
      </c>
      <c r="C20" s="84">
        <v>6000</v>
      </c>
      <c r="D20" s="85">
        <f>C20/$C$4</f>
        <v>0.138461538461538</v>
      </c>
      <c r="E20" s="98">
        <f t="shared" si="1"/>
        <v>0.000923076923076923</v>
      </c>
      <c r="G20" s="100"/>
      <c r="H20" s="100"/>
      <c r="I20" s="100"/>
      <c r="J20" s="100"/>
    </row>
    <row r="21" s="60" customFormat="1" ht="18.75" spans="2:10">
      <c r="B21" s="83" t="s">
        <v>20</v>
      </c>
      <c r="C21" s="84">
        <v>240000</v>
      </c>
      <c r="D21" s="85">
        <f>C21/$C$4</f>
        <v>5.53846153846154</v>
      </c>
      <c r="E21" s="98">
        <f t="shared" si="1"/>
        <v>0.0369230769230769</v>
      </c>
      <c r="G21" s="100"/>
      <c r="H21" s="100"/>
      <c r="I21" s="100"/>
      <c r="J21" s="100"/>
    </row>
    <row r="22" s="60" customFormat="1" ht="18.75" outlineLevel="1" spans="2:10">
      <c r="B22" s="83" t="s">
        <v>21</v>
      </c>
      <c r="C22" s="78">
        <v>15000</v>
      </c>
      <c r="D22" s="85">
        <f>C22/$C$4</f>
        <v>0.346153846153846</v>
      </c>
      <c r="E22" s="98">
        <f t="shared" si="1"/>
        <v>0.00230769230769231</v>
      </c>
      <c r="G22" s="100"/>
      <c r="H22" s="100"/>
      <c r="I22" s="100"/>
      <c r="J22" s="100"/>
    </row>
    <row r="23" s="60" customFormat="1" ht="18.75" outlineLevel="1" spans="2:10">
      <c r="B23" s="83" t="s">
        <v>22</v>
      </c>
      <c r="C23" s="78">
        <v>7000</v>
      </c>
      <c r="D23" s="85">
        <f>C23/$C$4</f>
        <v>0.161538461538462</v>
      </c>
      <c r="E23" s="102">
        <f t="shared" si="1"/>
        <v>0.00107692307692308</v>
      </c>
      <c r="G23" s="100"/>
      <c r="H23" s="100"/>
      <c r="I23" s="100"/>
      <c r="J23" s="100"/>
    </row>
    <row r="24" s="60" customFormat="1" ht="18.75" outlineLevel="1" spans="2:10">
      <c r="B24" s="83" t="s">
        <v>23</v>
      </c>
      <c r="C24" s="78">
        <v>1000</v>
      </c>
      <c r="D24" s="85">
        <f>C24/$C$4</f>
        <v>0.0230769230769231</v>
      </c>
      <c r="E24" s="102">
        <f t="shared" si="1"/>
        <v>0.000153846153846154</v>
      </c>
      <c r="G24" s="100"/>
      <c r="H24" s="100"/>
      <c r="I24" s="100"/>
      <c r="J24" s="100"/>
    </row>
    <row r="25" s="60" customFormat="1" ht="18.75" outlineLevel="1" spans="2:10">
      <c r="B25" s="83" t="s">
        <v>24</v>
      </c>
      <c r="C25" s="78">
        <v>5000</v>
      </c>
      <c r="D25" s="85">
        <f>C25/$C$4</f>
        <v>0.115384615384615</v>
      </c>
      <c r="E25" s="102">
        <f t="shared" si="1"/>
        <v>0.000769230769230769</v>
      </c>
      <c r="G25" s="100"/>
      <c r="H25" s="100"/>
      <c r="I25" s="100"/>
      <c r="J25" s="100"/>
    </row>
    <row r="26" s="60" customFormat="1" ht="18.75" outlineLevel="1" spans="2:5">
      <c r="B26" s="83" t="s">
        <v>25</v>
      </c>
      <c r="C26" s="78">
        <v>8000</v>
      </c>
      <c r="D26" s="85">
        <f>C26/$C$4</f>
        <v>0.184615384615385</v>
      </c>
      <c r="E26" s="98">
        <f t="shared" si="1"/>
        <v>0.00123076923076923</v>
      </c>
    </row>
    <row r="27" s="60" customFormat="1" ht="18.75" outlineLevel="1" spans="2:5">
      <c r="B27" s="83" t="s">
        <v>26</v>
      </c>
      <c r="C27" s="78">
        <v>2000</v>
      </c>
      <c r="D27" s="85">
        <f>C27/$C$4</f>
        <v>0.0461538461538461</v>
      </c>
      <c r="E27" s="103">
        <f t="shared" si="1"/>
        <v>0.000307692307692308</v>
      </c>
    </row>
    <row r="28" s="60" customFormat="1" ht="19.5" spans="2:5">
      <c r="B28" s="75" t="s">
        <v>27</v>
      </c>
      <c r="C28" s="81">
        <f>SUM(C19:C27)</f>
        <v>314000</v>
      </c>
      <c r="D28" s="86">
        <f>C28/$C$4</f>
        <v>7.24615384615385</v>
      </c>
      <c r="E28" s="101">
        <f>C28/C7</f>
        <v>0.0483076923076923</v>
      </c>
    </row>
    <row r="29" s="60" customFormat="1" ht="20.25" spans="2:5">
      <c r="B29" s="75" t="s">
        <v>28</v>
      </c>
      <c r="C29" s="88">
        <f>C17+C28</f>
        <v>3791500</v>
      </c>
      <c r="D29" s="82">
        <f>C29/$C$4</f>
        <v>87.4961538461538</v>
      </c>
      <c r="E29" s="101">
        <f>C29/C7</f>
        <v>0.583307692307692</v>
      </c>
    </row>
    <row r="30" s="60" customFormat="1" ht="21" spans="2:10">
      <c r="B30" s="89" t="s">
        <v>29</v>
      </c>
      <c r="C30" s="90">
        <f>C9-C29</f>
        <v>498500</v>
      </c>
      <c r="D30" s="91">
        <f>C30/$C$4</f>
        <v>11.5038461538462</v>
      </c>
      <c r="E30" s="104">
        <f>C30/C7</f>
        <v>0.0766923076923077</v>
      </c>
      <c r="J30" s="105"/>
    </row>
    <row r="31" s="60" customFormat="1" ht="20.25" spans="2:5">
      <c r="B31" s="75" t="s">
        <v>30</v>
      </c>
      <c r="C31" s="88"/>
      <c r="D31" s="82"/>
      <c r="E31" s="101">
        <f>C31/C7</f>
        <v>0</v>
      </c>
    </row>
    <row r="32" s="60" customFormat="1" ht="19.5" spans="2:5">
      <c r="B32" s="75" t="s">
        <v>31</v>
      </c>
      <c r="C32" s="88">
        <f>C30-C31</f>
        <v>498500</v>
      </c>
      <c r="D32" s="82"/>
      <c r="E32" s="101">
        <f>C32/C7</f>
        <v>0.0766923076923077</v>
      </c>
    </row>
    <row r="33" s="60" customFormat="1" ht="19.5" spans="2:5">
      <c r="B33" s="107" t="s">
        <v>32</v>
      </c>
      <c r="C33" s="108">
        <f>C32*0.13</f>
        <v>64805</v>
      </c>
      <c r="D33" s="109"/>
      <c r="E33" s="115">
        <f>C33/C9</f>
        <v>0.0151060606060606</v>
      </c>
    </row>
    <row r="34" s="60" customFormat="1" ht="20.25" spans="2:5">
      <c r="B34" s="110" t="s">
        <v>33</v>
      </c>
      <c r="C34" s="111">
        <f>C32-C33</f>
        <v>433695</v>
      </c>
      <c r="D34" s="112">
        <f>C34/$C$4</f>
        <v>10.0083461538462</v>
      </c>
      <c r="E34" s="116">
        <f>C34/C7</f>
        <v>0.0667223076923077</v>
      </c>
    </row>
    <row r="35" s="60" customFormat="1" ht="19.5" spans="2:5">
      <c r="B35" s="113"/>
      <c r="C35" s="114"/>
      <c r="D35" s="113"/>
      <c r="E35" s="113"/>
    </row>
    <row r="36" s="60" customFormat="1"/>
  </sheetData>
  <sheetProtection formatCells="0" insertHyperlinks="0" autoFilter="0"/>
  <mergeCells count="2">
    <mergeCell ref="B2:B3"/>
    <mergeCell ref="C2:E3"/>
  </mergeCells>
  <pageMargins left="0.75" right="0.75" top="1" bottom="1" header="0.5" footer="0.5"/>
  <headerFooter/>
  <ignoredErrors>
    <ignoredError sqref="C33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N25"/>
  <sheetViews>
    <sheetView showGridLines="0" workbookViewId="0">
      <selection activeCell="E28" sqref="E28"/>
    </sheetView>
  </sheetViews>
  <sheetFormatPr defaultColWidth="9" defaultRowHeight="16.5"/>
  <cols>
    <col min="1" max="1" width="2.44166666666667" style="14" customWidth="1"/>
    <col min="2" max="2" width="17.1083333333333" style="16" customWidth="1"/>
    <col min="3" max="3" width="17" style="14" customWidth="1"/>
    <col min="4" max="4" width="2.10833333333333" style="14" customWidth="1"/>
    <col min="5" max="5" width="21.775" style="14" customWidth="1"/>
    <col min="6" max="6" width="15.6666666666667" style="14" customWidth="1"/>
    <col min="7" max="7" width="13" style="17" customWidth="1"/>
    <col min="8" max="8" width="10" style="17" customWidth="1"/>
    <col min="9" max="9" width="24.775" style="17" customWidth="1"/>
    <col min="10" max="10" width="16.4416666666667" style="17" customWidth="1"/>
    <col min="11" max="11" width="14.3333333333333" style="17" customWidth="1"/>
    <col min="12" max="12" width="15.4416666666667" style="17" customWidth="1"/>
    <col min="13" max="13" width="4.44166666666667" style="17" customWidth="1"/>
    <col min="14" max="14" width="8" style="17" customWidth="1"/>
    <col min="15" max="15" width="11.3333333333333" style="14" customWidth="1"/>
    <col min="16" max="16384" width="9" style="14"/>
  </cols>
  <sheetData>
    <row r="1" s="14" customFormat="1" ht="8.25" customHeight="1" spans="2:14">
      <c r="B1" s="16"/>
      <c r="G1" s="17"/>
      <c r="H1" s="17"/>
      <c r="I1" s="17"/>
      <c r="J1" s="17"/>
      <c r="K1" s="17"/>
      <c r="L1" s="17"/>
      <c r="M1" s="17"/>
      <c r="N1" s="17"/>
    </row>
    <row r="2" s="14" customFormat="1" ht="9.6" customHeight="1" spans="2:14">
      <c r="B2" s="16"/>
      <c r="G2" s="17"/>
      <c r="H2" s="17"/>
      <c r="I2" s="17"/>
      <c r="J2" s="17"/>
      <c r="K2" s="17"/>
      <c r="L2" s="17"/>
      <c r="M2" s="17"/>
      <c r="N2" s="17"/>
    </row>
    <row r="3" s="14" customFormat="1" ht="19.5" customHeight="1" spans="2:14">
      <c r="B3" s="18" t="s">
        <v>34</v>
      </c>
      <c r="C3" s="19" t="s">
        <v>35</v>
      </c>
      <c r="D3" s="20"/>
      <c r="E3" s="18" t="s">
        <v>36</v>
      </c>
      <c r="F3" s="19" t="s">
        <v>37</v>
      </c>
      <c r="G3" s="17"/>
      <c r="H3" s="17"/>
      <c r="I3" s="17" t="str">
        <f>C3&amp;"盈亏平衡分析图"</f>
        <v>A项目盈亏平衡分析图</v>
      </c>
      <c r="J3" s="17" t="str">
        <f>"数量（"&amp;F3&amp;"）"</f>
        <v>数量（PCS）</v>
      </c>
      <c r="K3" s="17"/>
      <c r="L3" s="17"/>
      <c r="M3" s="17"/>
      <c r="N3" s="17"/>
    </row>
    <row r="4" s="14" customFormat="1" ht="12.75" customHeight="1" spans="2:14">
      <c r="B4" s="21"/>
      <c r="C4" s="21"/>
      <c r="D4" s="22"/>
      <c r="E4" s="41"/>
      <c r="F4" s="22"/>
      <c r="G4" s="17"/>
      <c r="H4" s="17"/>
      <c r="I4" s="17"/>
      <c r="J4" s="17"/>
      <c r="K4" s="17"/>
      <c r="L4" s="17"/>
      <c r="M4" s="17"/>
      <c r="N4" s="17"/>
    </row>
    <row r="5" s="14" customFormat="1" ht="19.5" customHeight="1" spans="2:14">
      <c r="B5" s="23" t="s">
        <v>38</v>
      </c>
      <c r="C5" s="24" t="s">
        <v>39</v>
      </c>
      <c r="D5" s="15"/>
      <c r="E5" s="42" t="s">
        <v>38</v>
      </c>
      <c r="F5" s="42" t="s">
        <v>40</v>
      </c>
      <c r="G5" s="17"/>
      <c r="H5" s="17"/>
      <c r="I5" s="55" t="s">
        <v>41</v>
      </c>
      <c r="J5" s="55" t="s">
        <v>42</v>
      </c>
      <c r="K5" s="55" t="s">
        <v>43</v>
      </c>
      <c r="L5" s="55" t="s">
        <v>44</v>
      </c>
      <c r="M5" s="17"/>
      <c r="N5" s="17"/>
    </row>
    <row r="6" s="14" customFormat="1" ht="19.5" customHeight="1" spans="2:14">
      <c r="B6" s="25" t="s">
        <v>45</v>
      </c>
      <c r="C6" s="26">
        <f>源数据!C28</f>
        <v>314000</v>
      </c>
      <c r="D6" s="27"/>
      <c r="E6" s="43" t="s">
        <v>46</v>
      </c>
      <c r="F6" s="44">
        <f>源数据!C4</f>
        <v>43333.3333333333</v>
      </c>
      <c r="G6" s="17"/>
      <c r="H6" s="17"/>
      <c r="I6" s="56">
        <v>0</v>
      </c>
      <c r="J6" s="56">
        <v>0</v>
      </c>
      <c r="K6" s="56">
        <f>C6</f>
        <v>314000</v>
      </c>
      <c r="L6" s="56">
        <f>J6-K6</f>
        <v>-314000</v>
      </c>
      <c r="M6" s="17"/>
      <c r="N6" s="17"/>
    </row>
    <row r="7" s="14" customFormat="1" ht="19.5" customHeight="1" spans="2:14">
      <c r="B7" s="25" t="s">
        <v>47</v>
      </c>
      <c r="C7" s="26">
        <f>源数据!C8+源数据!C17</f>
        <v>5687500</v>
      </c>
      <c r="D7" s="27"/>
      <c r="E7" s="43" t="s">
        <v>48</v>
      </c>
      <c r="F7" s="44">
        <f>源数据!C5</f>
        <v>150</v>
      </c>
      <c r="G7" s="17"/>
      <c r="H7" s="17"/>
      <c r="I7" s="56">
        <f>(LEFT(F6)+5)*(F6-MID(F6,2,LEN(F6)))/LEFT(F6)</f>
        <v>90000.0000000001</v>
      </c>
      <c r="J7" s="56">
        <f>ROUND(I7*C19,2)</f>
        <v>1687500</v>
      </c>
      <c r="K7" s="56">
        <f>C6</f>
        <v>314000</v>
      </c>
      <c r="L7" s="56">
        <f>J7-K7</f>
        <v>1373500</v>
      </c>
      <c r="M7" s="17"/>
      <c r="N7" s="17"/>
    </row>
    <row r="8" s="15" customFormat="1" ht="19.5" customHeight="1" spans="2:14">
      <c r="B8" s="25" t="s">
        <v>49</v>
      </c>
      <c r="C8" s="26">
        <f>SUM(C6:C7)</f>
        <v>6001500</v>
      </c>
      <c r="D8" s="28"/>
      <c r="E8" s="45" t="s">
        <v>50</v>
      </c>
      <c r="F8" s="46">
        <f>C6/C19</f>
        <v>16746.6666666667</v>
      </c>
      <c r="G8" s="47"/>
      <c r="H8" s="47"/>
      <c r="I8" s="57"/>
      <c r="J8" s="57"/>
      <c r="K8" s="57"/>
      <c r="L8" s="57"/>
      <c r="M8" s="47"/>
      <c r="N8" s="47"/>
    </row>
    <row r="9" s="15" customFormat="1" ht="9.75" customHeight="1" spans="2:14">
      <c r="B9" s="29"/>
      <c r="C9" s="30"/>
      <c r="D9" s="31"/>
      <c r="E9" s="48"/>
      <c r="F9" s="48"/>
      <c r="G9" s="47"/>
      <c r="H9" s="47"/>
      <c r="I9" s="57"/>
      <c r="J9" s="58"/>
      <c r="K9" s="57"/>
      <c r="L9" s="58"/>
      <c r="M9" s="47"/>
      <c r="N9" s="47"/>
    </row>
    <row r="10" s="15" customFormat="1" ht="9.75" customHeight="1" spans="2:14">
      <c r="B10" s="29"/>
      <c r="C10" s="30"/>
      <c r="D10" s="31"/>
      <c r="E10" s="48"/>
      <c r="F10" s="48"/>
      <c r="G10" s="47"/>
      <c r="H10" s="47"/>
      <c r="I10" s="57"/>
      <c r="J10" s="58"/>
      <c r="K10" s="57"/>
      <c r="L10" s="58"/>
      <c r="M10" s="47"/>
      <c r="N10" s="47"/>
    </row>
    <row r="11" s="15" customFormat="1" ht="19.5" customHeight="1" spans="2:14">
      <c r="B11" s="32" t="s">
        <v>38</v>
      </c>
      <c r="C11" s="33" t="s">
        <v>51</v>
      </c>
      <c r="E11" s="32" t="s">
        <v>38</v>
      </c>
      <c r="F11" s="49" t="s">
        <v>52</v>
      </c>
      <c r="G11" s="47"/>
      <c r="H11" s="50"/>
      <c r="I11" s="59" t="s">
        <v>53</v>
      </c>
      <c r="J11" s="59"/>
      <c r="K11" s="57"/>
      <c r="L11" s="57"/>
      <c r="M11" s="47"/>
      <c r="N11" s="47"/>
    </row>
    <row r="12" s="15" customFormat="1" ht="19.5" customHeight="1" spans="2:14">
      <c r="B12" s="34" t="s">
        <v>54</v>
      </c>
      <c r="C12" s="35">
        <f>C6/源数据!C4</f>
        <v>7.24615384615385</v>
      </c>
      <c r="D12" s="36"/>
      <c r="E12" s="34" t="s">
        <v>55</v>
      </c>
      <c r="F12" s="35">
        <f>F6*F7</f>
        <v>6500000</v>
      </c>
      <c r="G12" s="47"/>
      <c r="H12" s="47"/>
      <c r="I12" s="56">
        <f t="shared" ref="I12:I15" si="0">$F$8</f>
        <v>16746.6666666667</v>
      </c>
      <c r="J12" s="56">
        <f>(LEFT(J7)+1)*(J7-MID(J7,2,LEN(J7)))/LEFT(J7)</f>
        <v>2000000</v>
      </c>
      <c r="K12" s="57"/>
      <c r="L12" s="57"/>
      <c r="M12" s="47"/>
      <c r="N12" s="47"/>
    </row>
    <row r="13" s="15" customFormat="1" ht="19.5" customHeight="1" spans="2:14">
      <c r="B13" s="34" t="s">
        <v>56</v>
      </c>
      <c r="C13" s="35">
        <f>C7/源数据!C4</f>
        <v>131.25</v>
      </c>
      <c r="D13" s="36"/>
      <c r="E13" s="34" t="s">
        <v>57</v>
      </c>
      <c r="F13" s="35">
        <f>F6*C14</f>
        <v>6001500</v>
      </c>
      <c r="G13" s="47"/>
      <c r="H13" s="47"/>
      <c r="I13" s="56">
        <f t="shared" si="0"/>
        <v>16746.6666666667</v>
      </c>
      <c r="J13" s="56">
        <f>C6</f>
        <v>314000</v>
      </c>
      <c r="K13" s="57"/>
      <c r="L13" s="57"/>
      <c r="M13" s="47"/>
      <c r="N13" s="47"/>
    </row>
    <row r="14" s="14" customFormat="1" ht="19.5" customHeight="1" spans="2:14">
      <c r="B14" s="34" t="s">
        <v>58</v>
      </c>
      <c r="C14" s="35">
        <f>SUM(C12:C13)</f>
        <v>138.496153846154</v>
      </c>
      <c r="D14" s="27"/>
      <c r="E14" s="34" t="s">
        <v>59</v>
      </c>
      <c r="F14" s="35">
        <f>F12-F13</f>
        <v>498500</v>
      </c>
      <c r="G14" s="17"/>
      <c r="H14" s="17"/>
      <c r="I14" s="56">
        <f t="shared" si="0"/>
        <v>16746.6666666667</v>
      </c>
      <c r="J14" s="56">
        <v>0</v>
      </c>
      <c r="K14" s="54"/>
      <c r="L14" s="54"/>
      <c r="M14" s="17"/>
      <c r="N14" s="17"/>
    </row>
    <row r="15" s="14" customFormat="1" ht="11.25" customHeight="1" spans="2:14">
      <c r="B15" s="37"/>
      <c r="C15" s="38"/>
      <c r="D15" s="38"/>
      <c r="E15" s="38"/>
      <c r="F15" s="38"/>
      <c r="G15" s="17"/>
      <c r="H15" s="17"/>
      <c r="I15" s="56">
        <f t="shared" si="0"/>
        <v>16746.6666666667</v>
      </c>
      <c r="J15" s="56">
        <f>(LEFT(J7)+1)*(J7-MID(J7,2,LEN(J7)))/LEFT(J7)*-1</f>
        <v>-2000000</v>
      </c>
      <c r="K15" s="54"/>
      <c r="L15" s="54"/>
      <c r="M15" s="17"/>
      <c r="N15" s="17"/>
    </row>
    <row r="16" s="14" customFormat="1" ht="11.25" customHeight="1" spans="2:14">
      <c r="B16" s="37"/>
      <c r="C16" s="38"/>
      <c r="D16" s="38"/>
      <c r="E16" s="38"/>
      <c r="F16" s="38"/>
      <c r="G16" s="17"/>
      <c r="H16" s="17"/>
      <c r="I16" s="54"/>
      <c r="J16" s="54"/>
      <c r="K16" s="54"/>
      <c r="L16" s="54"/>
      <c r="M16" s="17"/>
      <c r="N16" s="17"/>
    </row>
    <row r="17" s="14" customFormat="1" ht="19.5" customHeight="1" spans="2:14">
      <c r="B17" s="32" t="s">
        <v>38</v>
      </c>
      <c r="C17" s="33" t="s">
        <v>42</v>
      </c>
      <c r="D17" s="15"/>
      <c r="E17" s="32" t="s">
        <v>60</v>
      </c>
      <c r="F17" s="32"/>
      <c r="G17" s="17"/>
      <c r="H17" s="17"/>
      <c r="I17" s="59" t="s">
        <v>61</v>
      </c>
      <c r="J17" s="59"/>
      <c r="K17" s="54"/>
      <c r="L17" s="54"/>
      <c r="M17" s="17"/>
      <c r="N17" s="17"/>
    </row>
    <row r="18" s="14" customFormat="1" ht="19.5" customHeight="1" spans="2:14">
      <c r="B18" s="34" t="s">
        <v>62</v>
      </c>
      <c r="C18" s="35">
        <f>F6*C19</f>
        <v>812500</v>
      </c>
      <c r="D18" s="39"/>
      <c r="E18" s="51" t="str">
        <f>"当"&amp;C3&amp;"销量为"&amp;F6&amp;F3&amp;"，售价等于"&amp;F7&amp;"元/"&amp;F3&amp;"、单位变动成本为"&amp;ROUND(C13,2)&amp;"元/PCS"&amp;"时，销量为"&amp;ROUND(F8,2)&amp;F3&amp;"可达到盈亏平衡；将生产的"&amp;F6&amp;F3&amp;"产品全部销售可实现销售毛利"&amp;ROUND(F14,2)&amp;"元。"</f>
        <v>当A项目销量为43333.3333333333PCS，售价等于150元/PCS、单位变动成本为131.25元/PCS时，销量为16746.67PCS可达到盈亏平衡；将生产的43333.3333333333PCS产品全部销售可实现销售毛利498500元。</v>
      </c>
      <c r="F18" s="51"/>
      <c r="G18" s="17"/>
      <c r="H18" s="17"/>
      <c r="I18" s="56">
        <f t="shared" ref="I18:I22" si="1">$F$6</f>
        <v>43333.3333333333</v>
      </c>
      <c r="J18" s="56">
        <f>(LEFT(J7)+1)*(J7-MID(J7,2,LEN(J7)))/LEFT(J7)</f>
        <v>2000000</v>
      </c>
      <c r="K18" s="54"/>
      <c r="L18" s="54"/>
      <c r="M18" s="17"/>
      <c r="N18" s="17"/>
    </row>
    <row r="19" s="14" customFormat="1" ht="19.5" customHeight="1" spans="2:14">
      <c r="B19" s="34" t="s">
        <v>63</v>
      </c>
      <c r="C19" s="35">
        <f>F7-C13</f>
        <v>18.75</v>
      </c>
      <c r="D19" s="39"/>
      <c r="E19" s="51"/>
      <c r="F19" s="51"/>
      <c r="G19" s="17"/>
      <c r="H19" s="17"/>
      <c r="I19" s="56">
        <f t="shared" si="1"/>
        <v>43333.3333333333</v>
      </c>
      <c r="J19" s="56">
        <f>C18</f>
        <v>812500</v>
      </c>
      <c r="K19" s="54"/>
      <c r="L19" s="54"/>
      <c r="M19" s="17"/>
      <c r="N19" s="17"/>
    </row>
    <row r="20" s="14" customFormat="1" ht="19.5" customHeight="1" spans="2:14">
      <c r="B20" s="34" t="s">
        <v>64</v>
      </c>
      <c r="C20" s="40">
        <f>C19/F7</f>
        <v>0.125</v>
      </c>
      <c r="D20" s="39"/>
      <c r="E20" s="52"/>
      <c r="F20" s="52"/>
      <c r="G20" s="17"/>
      <c r="H20" s="17"/>
      <c r="I20" s="56">
        <f t="shared" si="1"/>
        <v>43333.3333333333</v>
      </c>
      <c r="J20" s="56">
        <f>C6</f>
        <v>314000</v>
      </c>
      <c r="K20" s="54"/>
      <c r="L20" s="54"/>
      <c r="M20" s="17"/>
      <c r="N20" s="17"/>
    </row>
    <row r="21" s="14" customFormat="1" spans="2:14">
      <c r="B21" s="37"/>
      <c r="C21" s="38"/>
      <c r="D21" s="38"/>
      <c r="E21" s="38"/>
      <c r="F21" s="53"/>
      <c r="G21" s="17"/>
      <c r="H21" s="17"/>
      <c r="I21" s="56">
        <f t="shared" si="1"/>
        <v>43333.3333333333</v>
      </c>
      <c r="J21" s="56">
        <f>F14</f>
        <v>498500</v>
      </c>
      <c r="K21" s="54"/>
      <c r="L21" s="54"/>
      <c r="M21" s="17"/>
      <c r="N21" s="17"/>
    </row>
    <row r="22" s="14" customFormat="1" spans="2:14">
      <c r="B22" s="37"/>
      <c r="C22" s="38"/>
      <c r="D22" s="38"/>
      <c r="E22" s="38"/>
      <c r="F22" s="38"/>
      <c r="G22" s="54"/>
      <c r="H22" s="17"/>
      <c r="I22" s="56">
        <f t="shared" si="1"/>
        <v>43333.3333333333</v>
      </c>
      <c r="J22" s="56">
        <f>(LEFT(J7)+1)*(J7-MID(J7,2,LEN(J7)))/LEFT(J7)*-1</f>
        <v>-2000000</v>
      </c>
      <c r="K22" s="54"/>
      <c r="L22" s="54"/>
      <c r="M22" s="17"/>
      <c r="N22" s="17"/>
    </row>
    <row r="23" s="14" customFormat="1" spans="2:14">
      <c r="B23" s="16"/>
      <c r="F23" s="38"/>
      <c r="G23" s="54"/>
      <c r="H23" s="17"/>
      <c r="I23" s="54"/>
      <c r="J23" s="54"/>
      <c r="K23" s="54"/>
      <c r="L23" s="54"/>
      <c r="M23" s="17"/>
      <c r="N23" s="17"/>
    </row>
    <row r="24" s="14" customFormat="1" spans="2:14">
      <c r="B24" s="16"/>
      <c r="F24" s="38"/>
      <c r="G24" s="54"/>
      <c r="H24" s="17"/>
      <c r="I24" s="54"/>
      <c r="J24" s="54"/>
      <c r="K24" s="54"/>
      <c r="L24" s="54"/>
      <c r="M24" s="17"/>
      <c r="N24" s="17"/>
    </row>
    <row r="25" s="14" customFormat="1" spans="2:14">
      <c r="B25" s="16"/>
      <c r="F25" s="38"/>
      <c r="G25" s="54"/>
      <c r="H25" s="17"/>
      <c r="I25" s="17"/>
      <c r="J25" s="17"/>
      <c r="K25" s="17"/>
      <c r="L25" s="17"/>
      <c r="M25" s="17"/>
      <c r="N25" s="17"/>
    </row>
  </sheetData>
  <sheetProtection formatCells="0" insertHyperlinks="0" autoFilter="0"/>
  <mergeCells count="2">
    <mergeCell ref="E17:F17"/>
    <mergeCell ref="E18:F20"/>
  </mergeCell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name="Spinner 1" r:id="rId3">
              <controlPr defaultSize="0">
                <anchor moveWithCells="1" sizeWithCells="1">
                  <from>
                    <xdr:col>4</xdr:col>
                    <xdr:colOff>1371600</xdr:colOff>
                    <xdr:row>5</xdr:row>
                    <xdr:rowOff>22860</xdr:rowOff>
                  </from>
                  <to>
                    <xdr:col>4</xdr:col>
                    <xdr:colOff>1485900</xdr:colOff>
                    <xdr:row>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name="Spinner 2" r:id="rId4">
              <controlPr defaultSize="0">
                <anchor moveWithCells="1" sizeWithCells="1">
                  <from>
                    <xdr:col>4</xdr:col>
                    <xdr:colOff>1371600</xdr:colOff>
                    <xdr:row>6</xdr:row>
                    <xdr:rowOff>7620</xdr:rowOff>
                  </from>
                  <to>
                    <xdr:col>4</xdr:col>
                    <xdr:colOff>1485900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J42"/>
  <sheetViews>
    <sheetView showGridLines="0" zoomScale="70" zoomScaleNormal="70" topLeftCell="A30" workbookViewId="0">
      <selection activeCell="H32" sqref="H32"/>
    </sheetView>
  </sheetViews>
  <sheetFormatPr defaultColWidth="9" defaultRowHeight="14.25"/>
  <cols>
    <col min="1" max="1" width="1.625" style="1" customWidth="1"/>
    <col min="2" max="2" width="14.875" style="1" customWidth="1"/>
    <col min="3" max="3" width="14.375" style="1" customWidth="1"/>
    <col min="4" max="4" width="2.25833333333333" style="1" customWidth="1"/>
    <col min="5" max="10" width="16.375" style="1" customWidth="1"/>
    <col min="11" max="11" width="1.625" style="1" customWidth="1"/>
    <col min="12" max="13" width="9" style="1"/>
    <col min="14" max="14" width="9.875" style="1" customWidth="1"/>
    <col min="15" max="16383" width="9" style="1"/>
    <col min="16384" max="16384" width="9" style="2"/>
  </cols>
  <sheetData>
    <row r="1" s="1" customFormat="1" ht="32" customHeight="1" spans="2:10">
      <c r="B1" s="3" t="s">
        <v>65</v>
      </c>
      <c r="C1" s="3"/>
      <c r="D1" s="3"/>
      <c r="E1" s="3"/>
      <c r="F1" s="3"/>
      <c r="G1" s="3"/>
      <c r="H1" s="3"/>
      <c r="I1" s="3"/>
      <c r="J1" s="3"/>
    </row>
    <row r="2" s="1" customFormat="1" ht="22" customHeight="1" spans="5:10">
      <c r="E2" s="11" t="s">
        <v>1</v>
      </c>
      <c r="F2" s="11" t="s">
        <v>43</v>
      </c>
      <c r="G2" s="11" t="s">
        <v>66</v>
      </c>
      <c r="H2" s="11" t="s">
        <v>67</v>
      </c>
      <c r="I2" s="11" t="s">
        <v>68</v>
      </c>
      <c r="J2" s="11" t="s">
        <v>69</v>
      </c>
    </row>
    <row r="3" s="1" customFormat="1" ht="22" customHeight="1" spans="3:10">
      <c r="C3" s="4" t="s">
        <v>70</v>
      </c>
      <c r="E3" s="6">
        <v>0</v>
      </c>
      <c r="F3" s="12">
        <f>$C$4</f>
        <v>314000</v>
      </c>
      <c r="G3" s="12">
        <v>0</v>
      </c>
      <c r="H3" s="12">
        <f>E3*$C$6+F3</f>
        <v>314000</v>
      </c>
      <c r="I3" s="12">
        <f>E3*$C$5</f>
        <v>0</v>
      </c>
      <c r="J3" s="13">
        <f t="shared" ref="J3:J9" si="0">I3-H3</f>
        <v>-314000</v>
      </c>
    </row>
    <row r="4" s="1" customFormat="1" ht="22" customHeight="1" spans="2:10">
      <c r="B4" s="5" t="s">
        <v>43</v>
      </c>
      <c r="C4" s="6">
        <f>源数据!C28</f>
        <v>314000</v>
      </c>
      <c r="E4" s="6">
        <v>8000</v>
      </c>
      <c r="F4" s="12">
        <f>$C$4</f>
        <v>314000</v>
      </c>
      <c r="G4" s="12">
        <f t="shared" ref="G4:G9" si="1">I4*0.535</f>
        <v>642000</v>
      </c>
      <c r="H4" s="12">
        <f t="shared" ref="H4:H9" si="2">E4*$C$6+F4+G4</f>
        <v>1364000</v>
      </c>
      <c r="I4" s="12">
        <f>E4*$C$5</f>
        <v>1200000</v>
      </c>
      <c r="J4" s="13">
        <f t="shared" si="0"/>
        <v>-164000</v>
      </c>
    </row>
    <row r="5" s="1" customFormat="1" ht="22" customHeight="1" spans="2:10">
      <c r="B5" s="5" t="s">
        <v>71</v>
      </c>
      <c r="C5" s="6">
        <v>150</v>
      </c>
      <c r="E5" s="6">
        <v>16000</v>
      </c>
      <c r="F5" s="12">
        <f>$C$4</f>
        <v>314000</v>
      </c>
      <c r="G5" s="12">
        <f t="shared" si="1"/>
        <v>1284000</v>
      </c>
      <c r="H5" s="12">
        <f t="shared" si="2"/>
        <v>2414000</v>
      </c>
      <c r="I5" s="12">
        <f>E5*$C$5</f>
        <v>2400000</v>
      </c>
      <c r="J5" s="13">
        <f t="shared" si="0"/>
        <v>-14000</v>
      </c>
    </row>
    <row r="6" s="1" customFormat="1" ht="22" customHeight="1" spans="2:10">
      <c r="B6" s="5" t="s">
        <v>72</v>
      </c>
      <c r="C6" s="7">
        <v>51</v>
      </c>
      <c r="E6" s="6">
        <v>24000</v>
      </c>
      <c r="F6" s="12">
        <f>$C$4</f>
        <v>314000</v>
      </c>
      <c r="G6" s="12">
        <f t="shared" si="1"/>
        <v>1926000</v>
      </c>
      <c r="H6" s="12">
        <f t="shared" si="2"/>
        <v>3464000</v>
      </c>
      <c r="I6" s="12">
        <f>E6*$C$5</f>
        <v>3600000</v>
      </c>
      <c r="J6" s="13">
        <f t="shared" si="0"/>
        <v>136000</v>
      </c>
    </row>
    <row r="7" s="1" customFormat="1" ht="22" customHeight="1" spans="2:10">
      <c r="B7" s="5" t="s">
        <v>73</v>
      </c>
      <c r="C7" s="8">
        <f>(C5-C6)</f>
        <v>99</v>
      </c>
      <c r="E7" s="6">
        <v>32000</v>
      </c>
      <c r="F7" s="12">
        <f>$C$4</f>
        <v>314000</v>
      </c>
      <c r="G7" s="12">
        <f t="shared" si="1"/>
        <v>2568000</v>
      </c>
      <c r="H7" s="12">
        <f t="shared" si="2"/>
        <v>4514000</v>
      </c>
      <c r="I7" s="12">
        <f>E7*$C$5</f>
        <v>4800000</v>
      </c>
      <c r="J7" s="13">
        <f t="shared" si="0"/>
        <v>286000</v>
      </c>
    </row>
    <row r="8" s="1" customFormat="1" ht="22" customHeight="1" spans="3:10">
      <c r="C8" s="9"/>
      <c r="E8" s="6">
        <v>40000</v>
      </c>
      <c r="F8" s="12">
        <f>$C$4</f>
        <v>314000</v>
      </c>
      <c r="G8" s="12">
        <f t="shared" si="1"/>
        <v>3210000</v>
      </c>
      <c r="H8" s="12">
        <f t="shared" si="2"/>
        <v>5564000</v>
      </c>
      <c r="I8" s="12">
        <f>E8*$C$5</f>
        <v>6000000</v>
      </c>
      <c r="J8" s="13">
        <f t="shared" si="0"/>
        <v>436000</v>
      </c>
    </row>
    <row r="9" s="1" customFormat="1" ht="22" customHeight="1" spans="2:10">
      <c r="B9" s="1" t="s">
        <v>74</v>
      </c>
      <c r="C9" s="10" t="str">
        <f>TEXT(源数据!C7-源数据!C8-源数据!C29,"盈利0；亏损0；平衡")</f>
        <v>盈利498500</v>
      </c>
      <c r="E9" s="6">
        <v>48000</v>
      </c>
      <c r="F9" s="12">
        <f>$C$4</f>
        <v>314000</v>
      </c>
      <c r="G9" s="12">
        <f t="shared" si="1"/>
        <v>3852000</v>
      </c>
      <c r="H9" s="12">
        <f t="shared" si="2"/>
        <v>6614000</v>
      </c>
      <c r="I9" s="12">
        <f>E9*$C$5</f>
        <v>7200000</v>
      </c>
      <c r="J9" s="13">
        <f t="shared" si="0"/>
        <v>586000</v>
      </c>
    </row>
    <row r="10" s="1" customFormat="1" ht="22" customHeight="1"/>
    <row r="11" s="1" customFormat="1" ht="22" customHeight="1"/>
    <row r="12" s="1" customFormat="1" ht="22" customHeight="1"/>
    <row r="13" s="1" customFormat="1" ht="22" customHeight="1"/>
    <row r="14" s="1" customFormat="1" ht="22" customHeight="1" spans="2:3">
      <c r="B14" s="4" t="s">
        <v>75</v>
      </c>
      <c r="C14" s="4"/>
    </row>
    <row r="15" s="1" customFormat="1" ht="22" customHeight="1"/>
    <row r="16" s="1" customFormat="1" ht="22" customHeight="1"/>
    <row r="17" s="1" customFormat="1" ht="22" customHeight="1"/>
    <row r="18" s="1" customFormat="1" ht="22" customHeight="1" spans="2:3">
      <c r="B18" s="4" t="s">
        <v>76</v>
      </c>
      <c r="C18" s="4"/>
    </row>
    <row r="19" s="1" customFormat="1" ht="22" customHeight="1"/>
    <row r="20" s="1" customFormat="1" ht="22" customHeight="1"/>
    <row r="21" s="1" customFormat="1" ht="20.1" customHeight="1"/>
    <row r="22" s="1" customFormat="1" ht="20.1" customHeight="1"/>
    <row r="23" s="1" customFormat="1" ht="20.1" customHeight="1"/>
    <row r="24" s="1" customFormat="1" ht="20.1" customHeight="1"/>
    <row r="25" s="1" customFormat="1" ht="20.1" customHeight="1"/>
    <row r="26" s="1" customFormat="1" ht="20.1" customHeight="1"/>
    <row r="27" s="1" customFormat="1" ht="20.1" customHeight="1"/>
    <row r="28" s="1" customFormat="1" ht="20.1" customHeight="1"/>
    <row r="29" s="1" customFormat="1" ht="20.1" customHeight="1"/>
    <row r="30" s="1" customFormat="1" ht="20.1" customHeight="1"/>
    <row r="31" s="1" customFormat="1" ht="20.1" customHeight="1"/>
    <row r="32" s="1" customFormat="1" ht="20.1" customHeight="1"/>
    <row r="33" s="1" customFormat="1" ht="20.1" customHeight="1"/>
    <row r="34" s="1" customFormat="1" ht="20.1" customHeight="1"/>
    <row r="35" s="1" customFormat="1" ht="20.1" customHeight="1"/>
    <row r="36" s="1" customFormat="1" ht="20.1" customHeight="1"/>
    <row r="37" s="1" customFormat="1" ht="20.1" customHeight="1"/>
    <row r="38" s="1" customFormat="1" ht="20.1" customHeight="1"/>
    <row r="39" s="1" customFormat="1" ht="20.1" customHeight="1"/>
    <row r="40" s="1" customFormat="1" ht="20.1" customHeight="1"/>
    <row r="41" s="1" customFormat="1" ht="20.1" customHeight="1"/>
    <row r="42" s="1" customFormat="1" ht="20.1" customHeight="1"/>
  </sheetData>
  <sheetProtection formatCells="0" insertHyperlinks="0" autoFilter="0"/>
  <mergeCells count="3">
    <mergeCell ref="B1:J1"/>
    <mergeCell ref="B14:C14"/>
    <mergeCell ref="B18:C18"/>
  </mergeCell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Scroll Bar 1" r:id="rId3">
              <controlPr defaultSize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2</xdr:col>
                    <xdr:colOff>609600</xdr:colOff>
                    <xdr:row>15</xdr:row>
                    <xdr:rowOff>109220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name="Scroll Bar 2" r:id="rId4">
              <controlPr defaultSize="0">
                <anchor moveWithCells="1">
                  <from>
                    <xdr:col>1</xdr:col>
                    <xdr:colOff>9525</xdr:colOff>
                    <xdr:row>18</xdr:row>
                    <xdr:rowOff>9525</xdr:rowOff>
                  </from>
                  <to>
                    <xdr:col>2</xdr:col>
                    <xdr:colOff>628650</xdr:colOff>
                    <xdr:row>19</xdr:row>
                    <xdr:rowOff>109220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EZPSZPYEUMZAWQEW:41512919171589036679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3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</vt:lpstr>
      <vt:lpstr>计算结果</vt:lpstr>
      <vt:lpstr>项目盈利试算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Administrator</cp:lastModifiedBy>
  <dcterms:created xsi:type="dcterms:W3CDTF">2022-06-19T20:02:00Z</dcterms:created>
  <dcterms:modified xsi:type="dcterms:W3CDTF">2025-01-29T10:12:00Z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E816FBA4DE79467193DA4118399A597C_13</vt:lpwstr>
  </property>
  <property fmtid="{D5CDD505-2E9C-101B-9397-08002B2CF9AE}" pid="3" name="KSOProductBuildVer">
    <vt:lpwstr>2052-0.0.0.0</vt:lpwstr>
  </property>
</Properties>
</file>