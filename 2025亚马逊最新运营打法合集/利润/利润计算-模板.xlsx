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3" lowestEdited="5" rupBuild="9302"/>
  <workbookPr defaultThemeVersion="153222"/>
  <bookViews>
    <workbookView xWindow="0" yWindow="0" windowWidth="22400" windowHeight="10080" activeTab="0"/>
  </bookViews>
  <sheets>
    <sheet name="利润试算" sheetId="1" r:id="rId1"/>
    <sheet name="美国FBA尾程" sheetId="2" r:id="rId2"/>
    <sheet name="欧洲FBA尾程" sheetId="3" r:id="rId3"/>
  </sheets>
  <calcPr calcId="191029"/>
</workbook>
</file>

<file path=xl/comments1.xml><?xml version="1.0" encoding="utf-8"?>
<comments xmlns="http://schemas.openxmlformats.org/spreadsheetml/2006/main">
  <authors>
    <author>lych</author>
  </authors>
  <commentList>
    <comment ref="R1" authorId="0">
      <text>
        <r>
          <rPr>
            <sz val="9"/>
            <rFont val="宋体"/>
            <charset val="134"/>
          </rPr>
          <t xml:space="preserve">VAT=售价/(1+20%)*20%
</t>
        </r>
      </text>
    </comment>
  </commentList>
</comments>
</file>

<file path=xl/sharedStrings.xml><?xml version="1.0" encoding="utf-8"?>
<sst xmlns="http://schemas.openxmlformats.org/spreadsheetml/2006/main" uniqueCount="401" count="401">
  <si>
    <t>区域</t>
  </si>
  <si>
    <t>SKU</t>
  </si>
  <si>
    <t>售价</t>
  </si>
  <si>
    <t>利润</t>
  </si>
  <si>
    <t>利润率</t>
  </si>
  <si>
    <t>币种</t>
  </si>
  <si>
    <t>汇率</t>
  </si>
  <si>
    <t>到岸成本*</t>
  </si>
  <si>
    <t>亚马逊成本*</t>
  </si>
  <si>
    <t>VAT*</t>
  </si>
  <si>
    <t>营销成本*</t>
  </si>
  <si>
    <t>后期成本*</t>
  </si>
  <si>
    <t>采购价￥</t>
  </si>
  <si>
    <t>重量kgs</t>
  </si>
  <si>
    <t>物流</t>
  </si>
  <si>
    <t>运费单价￥/kgs</t>
  </si>
  <si>
    <t>头程￥</t>
  </si>
  <si>
    <t>关税税率</t>
  </si>
  <si>
    <r>
      <rPr>
        <b/>
        <charset val="134"/>
        <sz val="11"/>
        <color rgb="FF000000"/>
        <rFont val="微软雅黑"/>
      </rPr>
      <t>总费用</t>
    </r>
    <r>
      <rPr>
        <b/>
        <charset val="134"/>
        <sz val="9"/>
        <color rgb="FF000000"/>
        <rFont val="微软雅黑"/>
      </rPr>
      <t>/￥</t>
    </r>
  </si>
  <si>
    <t>FBA</t>
  </si>
  <si>
    <t>佣金</t>
  </si>
  <si>
    <t>佣金率</t>
  </si>
  <si>
    <t>增值税</t>
  </si>
  <si>
    <t>增值税率</t>
  </si>
  <si>
    <r>
      <rPr>
        <b/>
        <charset val="134"/>
        <sz val="11"/>
        <color rgb="FF000000"/>
        <rFont val="微软雅黑"/>
      </rPr>
      <t>广告</t>
    </r>
    <r>
      <rPr>
        <b/>
        <charset val="134"/>
        <sz val="9"/>
        <color rgb="FF000000"/>
        <rFont val="微软雅黑"/>
      </rPr>
      <t>/¥</t>
    </r>
  </si>
  <si>
    <t>广告acos</t>
  </si>
  <si>
    <r>
      <rPr>
        <b/>
        <charset val="134"/>
        <sz val="11"/>
        <color rgb="FF000000"/>
        <rFont val="微软雅黑"/>
      </rPr>
      <t>退款</t>
    </r>
    <r>
      <rPr>
        <b/>
        <charset val="134"/>
        <sz val="9"/>
        <color rgb="FF000000"/>
        <rFont val="微软雅黑"/>
      </rPr>
      <t>/¥</t>
    </r>
  </si>
  <si>
    <t>退款率</t>
  </si>
  <si>
    <t>操作备注</t>
  </si>
  <si>
    <t xml:space="preserve">US </t>
  </si>
  <si>
    <t>美元</t>
  </si>
  <si>
    <t>海运</t>
  </si>
  <si>
    <t>空运</t>
  </si>
  <si>
    <t>UK</t>
  </si>
  <si>
    <t>英镑</t>
  </si>
  <si>
    <t>DE</t>
  </si>
  <si>
    <t>欧元</t>
  </si>
  <si>
    <t>以上红色字体根据产品不同进行修改</t>
  </si>
  <si>
    <t>包装重量计算</t>
  </si>
  <si>
    <t>长cm</t>
  </si>
  <si>
    <t>宽cm</t>
  </si>
  <si>
    <t>高cm</t>
  </si>
  <si>
    <t>体积cbm</t>
  </si>
  <si>
    <t>海运重量kgs</t>
  </si>
  <si>
    <t>空运重量kgs</t>
  </si>
  <si>
    <t>实际重量kgs</t>
  </si>
  <si>
    <t>欧洲关税查询：https://ec.europa.eu/taxation_customs/dds2/taric/taric_consultation.jsp?Lang=en</t>
  </si>
  <si>
    <t>英国关税查询：https://www.trade-tariff.service.gov.uk/sections?country=CN</t>
  </si>
  <si>
    <t>美国关税查询：https://hts.usitc.gov/</t>
  </si>
  <si>
    <t>https://sellercentral.amazon.com/gp/help/GLP8CCHBSQHVM92B</t>
  </si>
  <si>
    <r>
      <rPr>
        <charset val="134"/>
        <sz val="11"/>
        <color rgb="FF000000"/>
        <rFont val="宋体"/>
      </rPr>
      <t>Help</t>
    </r>
    <r>
      <rPr>
        <charset val="134"/>
        <sz val="11"/>
        <color rgb="FF000000"/>
        <rFont val="宋体"/>
      </rPr>
      <t xml:space="preserve"> / </t>
    </r>
    <r>
      <rPr>
        <charset val="134"/>
        <sz val="11"/>
        <color rgb="FF000000"/>
        <rFont val="宋体"/>
      </rPr>
      <t>亚马逊物流 (FBA) 入门</t>
    </r>
    <r>
      <rPr>
        <charset val="134"/>
        <sz val="11"/>
        <color rgb="FF000000"/>
        <rFont val="宋体"/>
      </rPr>
      <t xml:space="preserve"> / </t>
    </r>
    <r>
      <rPr>
        <charset val="134"/>
        <sz val="11"/>
        <color rgb="FF000000"/>
        <rFont val="宋体"/>
      </rPr>
      <t>亚马逊物流的功能、服务和费用</t>
    </r>
    <r>
      <rPr>
        <charset val="134"/>
        <sz val="11"/>
        <color rgb="FF000000"/>
        <rFont val="宋体"/>
      </rPr>
      <t xml:space="preserve"> / </t>
    </r>
    <r>
      <rPr>
        <charset val="134"/>
        <sz val="11"/>
        <color rgb="FF000000"/>
        <rFont val="宋体"/>
      </rPr>
      <t>2021 年美国亚马逊物流配送费用变更</t>
    </r>
    <r>
      <rPr>
        <charset val="134"/>
        <sz val="11"/>
        <color rgb="FF000000"/>
        <rFont val="宋体"/>
      </rPr>
      <t xml:space="preserve"> / </t>
    </r>
    <r>
      <rPr>
        <b/>
        <charset val="134"/>
        <sz val="11"/>
        <color rgb="FF000000"/>
        <rFont val="宋体"/>
      </rPr>
      <t>2021 年美国亚马逊物流配送费用变更对比</t>
    </r>
  </si>
  <si>
    <t>2021 年美国亚马逊物流配送费用变更对比</t>
  </si>
  <si>
    <t>注意： 要了解有关 2021 年美国所有销售费用变更的信息，请访问 amazon.com/selling-fee-changes。</t>
  </si>
  <si>
    <t>为了帮助展示包装重量的移除对费用的影响，本页面比较了 2021 年 6 月 1 日之前和之后的配送费用，不含包装重量和范围更广的配送重量。</t>
  </si>
  <si>
    <t>核心亚马逊物流配送费用变更（“服装”类商品除外）</t>
  </si>
  <si>
    <t>下列调整后的核心亚马逊物流配送费用将于 2021 年 6 月 1 日起生效。</t>
  </si>
  <si>
    <t>2021 年 6 月 1 日之前</t>
  </si>
  <si>
    <t>2021 年 6 月 1 日及之后</t>
  </si>
  <si>
    <t>商品尺寸分段</t>
  </si>
  <si>
    <t>商品重量*</t>
  </si>
  <si>
    <t>最长边</t>
  </si>
  <si>
    <t>次长边</t>
  </si>
  <si>
    <t>最短边</t>
  </si>
  <si>
    <t>长度 + 周长</t>
  </si>
  <si>
    <t>尺寸分段</t>
  </si>
  <si>
    <t>发货重量（今后不再计算包装重量）</t>
  </si>
  <si>
    <t>每件商品的配送费用</t>
  </si>
  <si>
    <t>小号标准尺寸</t>
  </si>
  <si>
    <t>16 盎司</t>
  </si>
  <si>
    <t>15 英寸</t>
  </si>
  <si>
    <t>12 英寸</t>
  </si>
  <si>
    <t>0.75 英寸</t>
  </si>
  <si>
    <t>不适用</t>
  </si>
  <si>
    <t>不超过 6 盎司</t>
  </si>
  <si>
    <t>大号标准尺寸</t>
  </si>
  <si>
    <t>20 磅</t>
  </si>
  <si>
    <t>18 英寸</t>
  </si>
  <si>
    <t>14 英寸</t>
  </si>
  <si>
    <t>8 英寸</t>
  </si>
  <si>
    <t>6 至 12 盎司（不含 6 盎司）</t>
  </si>
  <si>
    <t>小号大件</t>
  </si>
  <si>
    <t>70 磅</t>
  </si>
  <si>
    <t>60 英寸</t>
  </si>
  <si>
    <t>30 英寸</t>
  </si>
  <si>
    <t>130 英寸</t>
  </si>
  <si>
    <t>12 至 16 盎司（不含 12 盎司）</t>
  </si>
  <si>
    <t>中号大件</t>
  </si>
  <si>
    <t>150 磅</t>
  </si>
  <si>
    <t>108 英寸</t>
  </si>
  <si>
    <t>大号大件</t>
  </si>
  <si>
    <t>165 英寸</t>
  </si>
  <si>
    <t>特殊大件</t>
  </si>
  <si>
    <t>超过 150 磅</t>
  </si>
  <si>
    <t>超过 108 英寸</t>
  </si>
  <si>
    <t>超过 165 英寸</t>
  </si>
  <si>
    <t>重要： * 对于重量不超过 0.75 磅的标准尺寸商品以及特殊大件商品，亚马逊采用商品重量。对于所有其他商品，亚马逊将采用单件商品重量与体积重量中的较大者。请参阅体积重量，了解更多详情。</t>
  </si>
  <si>
    <t>1 至 1.75 磅（不含 1 磅）</t>
  </si>
  <si>
    <t>1.75 至 2 磅（不含 1.75 磅）</t>
  </si>
  <si>
    <t>2 至 2.75 磅（不含 2 磅）</t>
  </si>
  <si>
    <r>
      <rPr>
        <b/>
        <charset val="134"/>
        <sz val="11"/>
        <color rgb="FF333333"/>
        <rFont val="宋体"/>
      </rPr>
      <t>单位换算：</t>
    </r>
    <r>
      <rPr>
        <b/>
        <charset val="134"/>
        <sz val="11"/>
        <color rgb="FF333333"/>
        <rFont val="Arial"/>
      </rPr>
      <t>(</t>
    </r>
    <r>
      <rPr>
        <b/>
        <charset val="134"/>
        <sz val="11"/>
        <color rgb="FF333333"/>
        <rFont val="宋体"/>
      </rPr>
      <t>左侧输数字即可</t>
    </r>
    <r>
      <rPr>
        <b/>
        <charset val="134"/>
        <sz val="11"/>
        <color rgb="FF333333"/>
        <rFont val="Arial"/>
      </rPr>
      <t>)</t>
    </r>
  </si>
  <si>
    <t>2.75 至 3 磅（不含 2.75 磅）</t>
  </si>
  <si>
    <r>
      <rPr>
        <charset val="134"/>
        <sz val="11"/>
        <color rgb="FF000000"/>
        <rFont val="宋体"/>
      </rPr>
      <t>盎司</t>
    </r>
  </si>
  <si>
    <t>g</t>
  </si>
  <si>
    <t>3 至 3.75 磅（不含 3 磅）</t>
  </si>
  <si>
    <r>
      <rPr>
        <charset val="134"/>
        <sz val="11"/>
        <color rgb="FF000000"/>
        <rFont val="宋体"/>
      </rPr>
      <t>磅</t>
    </r>
  </si>
  <si>
    <t>3.75 至 4 磅（不含 3.75 磅）</t>
  </si>
  <si>
    <r>
      <rPr>
        <charset val="134"/>
        <sz val="11"/>
        <color rgb="FF000000"/>
        <rFont val="宋体"/>
      </rPr>
      <t>英寸</t>
    </r>
  </si>
  <si>
    <t>cm</t>
  </si>
  <si>
    <t>4 至 4.75 磅（不含 4 磅）</t>
  </si>
  <si>
    <t>4.75 至 5 磅（不含 4.75 磅）</t>
  </si>
  <si>
    <t>5 至 5.75 磅（不含 5 磅）</t>
  </si>
  <si>
    <t>5.75 至 6 磅（不含 5.75 磅）</t>
  </si>
  <si>
    <t>6 至 6.75 磅（不含 6 磅）</t>
  </si>
  <si>
    <t>6.75 至 7 磅（不含 6.75 磅）</t>
  </si>
  <si>
    <t>“服装”类商品的亚马逊物流配送费用变更</t>
  </si>
  <si>
    <t>自 2021 年 6 月 1 日起，我们将对“服装”类商品实施以下费用变更。</t>
  </si>
  <si>
    <t>危险品的配送费用变更</t>
  </si>
  <si>
    <r>
      <rPr>
        <charset val="134"/>
        <sz val="11"/>
        <color rgb="FF000000"/>
        <rFont val="宋体"/>
      </rPr>
      <t>亚马逊物流针对需要特殊处理和储存的危险品（又称“危险物质”或“危险物品”）收取不同的配送费用。有关更多信息，请参阅</t>
    </r>
    <r>
      <rPr>
        <charset val="134"/>
        <sz val="11"/>
        <color rgb="FF000000"/>
        <rFont val="宋体"/>
      </rPr>
      <t>亚马逊物流危险品计划</t>
    </r>
    <r>
      <rPr>
        <charset val="134"/>
        <sz val="11"/>
        <color rgb="FF000000"/>
        <rFont val="宋体"/>
      </rPr>
      <t>和</t>
    </r>
    <r>
      <rPr>
        <charset val="134"/>
        <sz val="11"/>
        <color rgb="FF000000"/>
        <rFont val="宋体"/>
      </rPr>
      <t>危险品识别指南</t>
    </r>
    <r>
      <rPr>
        <charset val="134"/>
        <sz val="11"/>
        <color rgb="FF000000"/>
        <rFont val="宋体"/>
      </rPr>
      <t>。</t>
    </r>
  </si>
  <si>
    <t>通过亚马逊物流危险品计划所销售商品的以下配送费用调整将于 2021 年 6 月 1 日起生效。请注意，我们将不再对服装和非服装类危险品设置单独的费率。</t>
  </si>
  <si>
    <t>https://sellercentral.amazon.co.uk/gp/help/help.html?itemID=R3KYZX2PYKAQLWB&amp;language=zh_CN&amp;ref=ag_R3KYZX2PYKAQLWB_cont_GABBX6GZPA8MSZGW</t>
  </si>
  <si>
    <r>
      <rPr>
        <charset val="134"/>
        <sz val="11"/>
        <color rgb="FF808080"/>
        <rFont val="Arial"/>
      </rPr>
      <t xml:space="preserve">Help / </t>
    </r>
    <r>
      <rPr>
        <charset val="134"/>
        <sz val="11"/>
        <color rgb="FF808080"/>
        <rFont val="宋体"/>
      </rPr>
      <t>亚马逊物流</t>
    </r>
    <r>
      <rPr>
        <charset val="134"/>
        <sz val="11"/>
        <color rgb="FF808080"/>
        <rFont val="Arial"/>
      </rPr>
      <t xml:space="preserve"> (FBA) / </t>
    </r>
    <r>
      <rPr>
        <charset val="134"/>
        <sz val="11"/>
        <color rgb="FF808080"/>
        <rFont val="宋体"/>
      </rPr>
      <t>亚马逊物流的功能、服务、费用和资源</t>
    </r>
    <r>
      <rPr>
        <charset val="134"/>
        <sz val="11"/>
        <color rgb="FF808080"/>
        <rFont val="Arial"/>
      </rPr>
      <t xml:space="preserve"> / 2021 </t>
    </r>
    <r>
      <rPr>
        <charset val="134"/>
        <sz val="11"/>
        <color rgb="FF808080"/>
        <rFont val="宋体"/>
      </rPr>
      <t>年亚马逊物流配送费用变更、减免和优惠</t>
    </r>
    <r>
      <rPr>
        <charset val="134"/>
        <sz val="11"/>
        <color rgb="FF808080"/>
        <rFont val="Arial"/>
      </rPr>
      <t xml:space="preserve"> / 2021 </t>
    </r>
    <r>
      <rPr>
        <charset val="134"/>
        <sz val="11"/>
        <color rgb="FF808080"/>
        <rFont val="宋体"/>
      </rPr>
      <t>年亚马逊物流配送费用变更对比（欧洲）</t>
    </r>
  </si>
  <si>
    <r>
      <rPr>
        <charset val="134"/>
        <sz val="27"/>
        <color rgb="FF0F1111"/>
        <rFont val="Arial"/>
      </rPr>
      <t xml:space="preserve">2021 </t>
    </r>
    <r>
      <rPr>
        <charset val="134"/>
        <sz val="27"/>
        <color rgb="FF0F1111"/>
        <rFont val="宋体"/>
      </rPr>
      <t>年亚马逊物流配送费用变更对比（欧洲）</t>
    </r>
  </si>
  <si>
    <r>
      <rPr>
        <charset val="134"/>
        <sz val="20"/>
        <color rgb="FF0F1111"/>
        <rFont val="宋体"/>
      </rPr>
      <t>当地亚马逊物流费用</t>
    </r>
  </si>
  <si>
    <r>
      <rPr>
        <charset val="134"/>
        <sz val="11"/>
        <color rgb="FF000000"/>
        <rFont val="宋体"/>
      </rPr>
      <t>按件收取的配送费用</t>
    </r>
  </si>
  <si>
    <r>
      <rPr>
        <charset val="134"/>
        <sz val="11"/>
        <color rgb="FF000000"/>
        <rFont val="Arial"/>
      </rPr>
      <t xml:space="preserve">2021 </t>
    </r>
    <r>
      <rPr>
        <charset val="134"/>
        <sz val="11"/>
        <color rgb="FF000000"/>
        <rFont val="宋体"/>
      </rPr>
      <t>年</t>
    </r>
    <r>
      <rPr>
        <charset val="134"/>
        <sz val="11"/>
        <color rgb="FF000000"/>
        <rFont val="Arial"/>
      </rPr>
      <t xml:space="preserve"> 6 </t>
    </r>
    <r>
      <rPr>
        <charset val="134"/>
        <sz val="11"/>
        <color rgb="FF000000"/>
        <rFont val="宋体"/>
      </rPr>
      <t>月</t>
    </r>
    <r>
      <rPr>
        <charset val="134"/>
        <sz val="11"/>
        <color rgb="FF000000"/>
        <rFont val="Arial"/>
      </rPr>
      <t xml:space="preserve"> 8 </t>
    </r>
    <r>
      <rPr>
        <charset val="134"/>
        <sz val="11"/>
        <color rgb="FF000000"/>
        <rFont val="宋体"/>
      </rPr>
      <t>日之前</t>
    </r>
  </si>
  <si>
    <r>
      <rPr>
        <charset val="134"/>
        <sz val="11"/>
        <color rgb="FF000000"/>
        <rFont val="Arial"/>
      </rPr>
      <t xml:space="preserve">2021 </t>
    </r>
    <r>
      <rPr>
        <charset val="134"/>
        <sz val="11"/>
        <color rgb="FF000000"/>
        <rFont val="宋体"/>
      </rPr>
      <t>年</t>
    </r>
    <r>
      <rPr>
        <charset val="134"/>
        <sz val="11"/>
        <color rgb="FF000000"/>
        <rFont val="Arial"/>
      </rPr>
      <t xml:space="preserve"> 6 </t>
    </r>
    <r>
      <rPr>
        <charset val="134"/>
        <sz val="11"/>
        <color rgb="FF000000"/>
        <rFont val="宋体"/>
      </rPr>
      <t>月</t>
    </r>
    <r>
      <rPr>
        <charset val="134"/>
        <sz val="11"/>
        <color rgb="FF000000"/>
        <rFont val="Arial"/>
      </rPr>
      <t xml:space="preserve"> 8 </t>
    </r>
    <r>
      <rPr>
        <charset val="134"/>
        <sz val="11"/>
        <color rgb="FF000000"/>
        <rFont val="宋体"/>
      </rPr>
      <t>日及之后</t>
    </r>
  </si>
  <si>
    <r>
      <rPr>
        <charset val="134"/>
        <sz val="11"/>
        <color rgb="FF000000"/>
        <rFont val="宋体"/>
      </rPr>
      <t>英国</t>
    </r>
    <r>
      <rPr>
        <charset val="134"/>
        <sz val="11"/>
        <color rgb="FF000000"/>
        <rFont val="Arial"/>
      </rPr>
      <t xml:space="preserve"> (£)</t>
    </r>
  </si>
  <si>
    <r>
      <rPr>
        <charset val="134"/>
        <sz val="11"/>
        <color rgb="FF000000"/>
        <rFont val="宋体"/>
      </rPr>
      <t>德国</t>
    </r>
    <r>
      <rPr>
        <charset val="134"/>
        <sz val="11"/>
        <color rgb="FF000000"/>
        <rFont val="Arial"/>
      </rPr>
      <t> </t>
    </r>
    <r>
      <rPr>
        <charset val="134"/>
        <sz val="8"/>
        <color rgb="FF000000"/>
        <rFont val="Arial"/>
      </rPr>
      <t>1</t>
    </r>
    <r>
      <rPr>
        <charset val="134"/>
        <sz val="11"/>
        <color rgb="FF000000"/>
        <rFont val="Arial"/>
      </rPr>
      <t> (€)</t>
    </r>
  </si>
  <si>
    <r>
      <rPr>
        <charset val="134"/>
        <sz val="11"/>
        <color rgb="FF000000"/>
        <rFont val="宋体"/>
      </rPr>
      <t>法国</t>
    </r>
    <r>
      <rPr>
        <charset val="134"/>
        <sz val="11"/>
        <color rgb="FF000000"/>
        <rFont val="Arial"/>
      </rPr>
      <t xml:space="preserve"> (€)</t>
    </r>
  </si>
  <si>
    <r>
      <rPr>
        <charset val="134"/>
        <sz val="11"/>
        <color rgb="FF000000"/>
        <rFont val="宋体"/>
      </rPr>
      <t>意大利</t>
    </r>
    <r>
      <rPr>
        <charset val="134"/>
        <sz val="11"/>
        <color rgb="FF000000"/>
        <rFont val="Arial"/>
      </rPr>
      <t xml:space="preserve"> (€)</t>
    </r>
  </si>
  <si>
    <r>
      <rPr>
        <charset val="134"/>
        <sz val="11"/>
        <color rgb="FF000000"/>
        <rFont val="宋体"/>
      </rPr>
      <t>西班牙</t>
    </r>
    <r>
      <rPr>
        <charset val="134"/>
        <sz val="11"/>
        <color rgb="FF000000"/>
        <rFont val="Arial"/>
      </rPr>
      <t xml:space="preserve"> (€)</t>
    </r>
  </si>
  <si>
    <r>
      <rPr>
        <charset val="134"/>
        <sz val="11"/>
        <color rgb="FF000000"/>
        <rFont val="宋体"/>
      </rPr>
      <t>荷兰</t>
    </r>
    <r>
      <rPr>
        <charset val="134"/>
        <sz val="11"/>
        <color rgb="FF000000"/>
        <rFont val="Arial"/>
      </rPr>
      <t xml:space="preserve"> (€)</t>
    </r>
  </si>
  <si>
    <t>cm/g</t>
  </si>
  <si>
    <t>最大长度</t>
  </si>
  <si>
    <t>最大宽度</t>
  </si>
  <si>
    <t>最大高度</t>
  </si>
  <si>
    <t>最大重量</t>
  </si>
  <si>
    <t>包装重量</t>
  </si>
  <si>
    <r>
      <rPr>
        <charset val="134"/>
        <sz val="11"/>
        <color rgb="FF000000"/>
        <rFont val="宋体"/>
      </rPr>
      <t>小号信封：</t>
    </r>
    <r>
      <rPr>
        <charset val="134"/>
        <sz val="11"/>
        <color rgb="FF000000"/>
        <rFont val="Arial"/>
      </rPr>
      <t xml:space="preserve"> 80 </t>
    </r>
    <r>
      <rPr>
        <charset val="134"/>
        <sz val="11"/>
        <color rgb="FF000000"/>
        <rFont val="宋体"/>
      </rPr>
      <t>克</t>
    </r>
  </si>
  <si>
    <t>£1.38</t>
  </si>
  <si>
    <t>£1.46</t>
  </si>
  <si>
    <t>标准尺寸</t>
  </si>
  <si>
    <r>
      <rPr>
        <charset val="134"/>
        <sz val="11"/>
        <color rgb="FF000000"/>
        <rFont val="宋体"/>
      </rPr>
      <t>标准信封：</t>
    </r>
    <r>
      <rPr>
        <charset val="134"/>
        <sz val="11"/>
        <color rgb="FF000000"/>
        <rFont val="Arial"/>
      </rPr>
      <t xml:space="preserve"> 60 </t>
    </r>
    <r>
      <rPr>
        <charset val="134"/>
        <sz val="11"/>
        <color rgb="FF000000"/>
        <rFont val="宋体"/>
      </rPr>
      <t>克</t>
    </r>
  </si>
  <si>
    <t>£1.51</t>
  </si>
  <si>
    <t>£1.56</t>
  </si>
  <si>
    <t>小号信封</t>
  </si>
  <si>
    <t>/</t>
  </si>
  <si>
    <r>
      <rPr>
        <charset val="134"/>
        <sz val="11"/>
        <color rgb="FF000000"/>
        <rFont val="宋体"/>
      </rPr>
      <t>标准信封：</t>
    </r>
    <r>
      <rPr>
        <charset val="134"/>
        <sz val="11"/>
        <color rgb="FF000000"/>
        <rFont val="Arial"/>
      </rPr>
      <t xml:space="preserve"> 210 </t>
    </r>
    <r>
      <rPr>
        <charset val="134"/>
        <sz val="11"/>
        <color rgb="FF000000"/>
        <rFont val="宋体"/>
      </rPr>
      <t>克</t>
    </r>
  </si>
  <si>
    <t>£1.66</t>
  </si>
  <si>
    <t>标准信封</t>
  </si>
  <si>
    <r>
      <rPr>
        <charset val="134"/>
        <sz val="11"/>
        <color rgb="FF000000"/>
        <rFont val="宋体"/>
      </rPr>
      <t>标准信封：</t>
    </r>
    <r>
      <rPr>
        <charset val="134"/>
        <sz val="11"/>
        <color rgb="FF000000"/>
        <rFont val="Arial"/>
      </rPr>
      <t xml:space="preserve"> 460 </t>
    </r>
    <r>
      <rPr>
        <charset val="134"/>
        <sz val="11"/>
        <color rgb="FF000000"/>
        <rFont val="宋体"/>
      </rPr>
      <t>克</t>
    </r>
  </si>
  <si>
    <t>£1.76</t>
  </si>
  <si>
    <t>£1.77</t>
  </si>
  <si>
    <t>大号信封</t>
  </si>
  <si>
    <r>
      <rPr>
        <charset val="134"/>
        <sz val="11"/>
        <color rgb="FF000000"/>
        <rFont val="宋体"/>
      </rPr>
      <t>大号信封：</t>
    </r>
    <r>
      <rPr>
        <charset val="134"/>
        <sz val="11"/>
        <color rgb="FF000000"/>
        <rFont val="Arial"/>
      </rPr>
      <t xml:space="preserve"> 960 </t>
    </r>
    <r>
      <rPr>
        <charset val="134"/>
        <sz val="11"/>
        <color rgb="FF000000"/>
        <rFont val="宋体"/>
      </rPr>
      <t>克</t>
    </r>
  </si>
  <si>
    <t>£2.21</t>
  </si>
  <si>
    <t>标准包裹</t>
  </si>
  <si>
    <r>
      <rPr>
        <charset val="134"/>
        <sz val="11"/>
        <color rgb="FF000000"/>
        <rFont val="宋体"/>
      </rPr>
      <t>标准包裹：</t>
    </r>
    <r>
      <rPr>
        <charset val="134"/>
        <sz val="11"/>
        <color rgb="FF000000"/>
        <rFont val="Arial"/>
      </rPr>
      <t xml:space="preserve"> 150 </t>
    </r>
    <r>
      <rPr>
        <charset val="134"/>
        <sz val="11"/>
        <color rgb="FF000000"/>
        <rFont val="宋体"/>
      </rPr>
      <t>克</t>
    </r>
  </si>
  <si>
    <t>£2.18</t>
  </si>
  <si>
    <t>£2.19</t>
  </si>
  <si>
    <t>大件</t>
  </si>
  <si>
    <r>
      <rPr>
        <charset val="134"/>
        <sz val="11"/>
        <color rgb="FF000000"/>
        <rFont val="宋体"/>
      </rPr>
      <t>标准包裹：</t>
    </r>
    <r>
      <rPr>
        <charset val="134"/>
        <sz val="11"/>
        <color rgb="FF000000"/>
        <rFont val="Arial"/>
      </rPr>
      <t xml:space="preserve"> 400 </t>
    </r>
    <r>
      <rPr>
        <charset val="134"/>
        <sz val="11"/>
        <color rgb="FF000000"/>
        <rFont val="宋体"/>
      </rPr>
      <t>克</t>
    </r>
  </si>
  <si>
    <t>£2.32</t>
  </si>
  <si>
    <t>£2.33</t>
  </si>
  <si>
    <r>
      <rPr>
        <charset val="134"/>
        <sz val="11"/>
        <color rgb="FF000000"/>
        <rFont val="宋体"/>
      </rPr>
      <t>标准包裹：</t>
    </r>
    <r>
      <rPr>
        <charset val="134"/>
        <sz val="11"/>
        <color rgb="FF000000"/>
        <rFont val="Arial"/>
      </rPr>
      <t xml:space="preserve"> 900 </t>
    </r>
    <r>
      <rPr>
        <charset val="134"/>
        <sz val="11"/>
        <color rgb="FF000000"/>
        <rFont val="宋体"/>
      </rPr>
      <t>克</t>
    </r>
  </si>
  <si>
    <t>£2.49</t>
  </si>
  <si>
    <t>£2.50</t>
  </si>
  <si>
    <t>标准大件</t>
  </si>
  <si>
    <r>
      <rPr>
        <charset val="134"/>
        <sz val="11"/>
        <color rgb="FF000000"/>
        <rFont val="宋体"/>
      </rPr>
      <t>标准包裹：</t>
    </r>
    <r>
      <rPr>
        <charset val="134"/>
        <sz val="11"/>
        <color rgb="FF000000"/>
        <rFont val="Arial"/>
      </rPr>
      <t xml:space="preserve"> 1,400 </t>
    </r>
    <r>
      <rPr>
        <charset val="134"/>
        <sz val="11"/>
        <color rgb="FF000000"/>
        <rFont val="宋体"/>
      </rPr>
      <t>克</t>
    </r>
  </si>
  <si>
    <t>£2.65</t>
  </si>
  <si>
    <t>£2.66</t>
  </si>
  <si>
    <t>大号大件*</t>
  </si>
  <si>
    <r>
      <rPr>
        <charset val="134"/>
        <sz val="11"/>
        <color rgb="FF000000"/>
        <rFont val="宋体"/>
      </rPr>
      <t>标准包裹：</t>
    </r>
    <r>
      <rPr>
        <charset val="134"/>
        <sz val="11"/>
        <color rgb="FF000000"/>
        <rFont val="Arial"/>
      </rPr>
      <t xml:space="preserve"> 1,900 </t>
    </r>
    <r>
      <rPr>
        <charset val="134"/>
        <sz val="11"/>
        <color rgb="FF000000"/>
        <rFont val="宋体"/>
      </rPr>
      <t>克</t>
    </r>
  </si>
  <si>
    <t>£2.90</t>
  </si>
  <si>
    <t>£2.91</t>
  </si>
  <si>
    <r>
      <rPr>
        <charset val="134"/>
        <sz val="11"/>
        <color rgb="FF000000"/>
        <rFont val="宋体"/>
      </rPr>
      <t>标准包裹：</t>
    </r>
    <r>
      <rPr>
        <charset val="134"/>
        <sz val="11"/>
        <color rgb="FF000000"/>
        <rFont val="Arial"/>
      </rPr>
      <t xml:space="preserve"> 2,900 </t>
    </r>
    <r>
      <rPr>
        <charset val="134"/>
        <sz val="11"/>
        <color rgb="FF000000"/>
        <rFont val="宋体"/>
      </rPr>
      <t>克</t>
    </r>
  </si>
  <si>
    <t>£4.14</t>
  </si>
  <si>
    <r>
      <rPr>
        <charset val="134"/>
        <sz val="11"/>
        <color rgb="FF000000"/>
        <rFont val="宋体"/>
      </rPr>
      <t>标准包裹：</t>
    </r>
    <r>
      <rPr>
        <charset val="134"/>
        <sz val="11"/>
        <color rgb="FF000000"/>
        <rFont val="Arial"/>
      </rPr>
      <t xml:space="preserve"> 3,900 </t>
    </r>
    <r>
      <rPr>
        <charset val="134"/>
        <sz val="11"/>
        <color rgb="FF000000"/>
        <rFont val="宋体"/>
      </rPr>
      <t>克</t>
    </r>
  </si>
  <si>
    <t>£4.53</t>
  </si>
  <si>
    <t>轻小商品计划配送费用（在亚马逊商城销售的商品，按件收取）</t>
  </si>
  <si>
    <r>
      <rPr>
        <charset val="134"/>
        <sz val="11"/>
        <color rgb="FF000000"/>
        <rFont val="宋体"/>
      </rPr>
      <t>标准包裹：</t>
    </r>
    <r>
      <rPr>
        <charset val="134"/>
        <sz val="11"/>
        <color rgb="FF000000"/>
        <rFont val="Arial"/>
      </rPr>
      <t xml:space="preserve"> 4,900 </t>
    </r>
    <r>
      <rPr>
        <charset val="134"/>
        <sz val="11"/>
        <color rgb="FF000000"/>
        <rFont val="宋体"/>
      </rPr>
      <t>克</t>
    </r>
  </si>
  <si>
    <t>£4.62</t>
  </si>
  <si>
    <r>
      <rPr>
        <charset val="134"/>
        <sz val="11"/>
        <color rgb="FF000000"/>
        <rFont val="Arial"/>
      </rPr>
      <t xml:space="preserve">2021 </t>
    </r>
    <r>
      <rPr>
        <charset val="134"/>
        <sz val="11"/>
        <color rgb="FF000000"/>
        <rFont val="宋体"/>
      </rPr>
      <t>年</t>
    </r>
    <r>
      <rPr>
        <charset val="134"/>
        <sz val="11"/>
        <color rgb="FF000000"/>
        <rFont val="Arial"/>
      </rPr>
      <t xml:space="preserve"> 6 </t>
    </r>
    <r>
      <rPr>
        <charset val="134"/>
        <sz val="11"/>
        <color rgb="FF000000"/>
        <rFont val="宋体"/>
      </rPr>
      <t>月</t>
    </r>
    <r>
      <rPr>
        <charset val="134"/>
        <sz val="11"/>
        <color rgb="FF000000"/>
        <rFont val="Arial"/>
      </rPr>
      <t xml:space="preserve"> 8 </t>
    </r>
    <r>
      <rPr>
        <charset val="134"/>
        <sz val="11"/>
        <color rgb="FF000000"/>
        <rFont val="宋体"/>
      </rPr>
      <t>日起生效</t>
    </r>
  </si>
  <si>
    <r>
      <rPr>
        <charset val="134"/>
        <sz val="11"/>
        <color rgb="FF000000"/>
        <rFont val="宋体"/>
      </rPr>
      <t>标准包裹：</t>
    </r>
    <r>
      <rPr>
        <charset val="134"/>
        <sz val="11"/>
        <color rgb="FF000000"/>
        <rFont val="Arial"/>
      </rPr>
      <t xml:space="preserve"> 5,900 </t>
    </r>
    <r>
      <rPr>
        <charset val="134"/>
        <sz val="11"/>
        <color rgb="FF000000"/>
        <rFont val="宋体"/>
      </rPr>
      <t>克</t>
    </r>
  </si>
  <si>
    <t>£5.28</t>
  </si>
  <si>
    <t>£5.12</t>
  </si>
  <si>
    <r>
      <rPr>
        <charset val="134"/>
        <sz val="11"/>
        <color rgb="FF000000"/>
        <rFont val="宋体"/>
      </rPr>
      <t>德国</t>
    </r>
    <r>
      <rPr>
        <charset val="134"/>
        <sz val="8"/>
        <color rgb="FF000000"/>
        <rFont val="Arial"/>
      </rPr>
      <t>3</t>
    </r>
    <r>
      <rPr>
        <charset val="134"/>
        <sz val="11"/>
        <color rgb="FF000000"/>
        <rFont val="Arial"/>
      </rPr>
      <t> (€)</t>
    </r>
  </si>
  <si>
    <r>
      <rPr>
        <charset val="134"/>
        <sz val="11"/>
        <color rgb="FF000000"/>
        <rFont val="宋体"/>
      </rPr>
      <t>标准包裹：</t>
    </r>
    <r>
      <rPr>
        <charset val="134"/>
        <sz val="11"/>
        <color rgb="FF000000"/>
        <rFont val="Arial"/>
      </rPr>
      <t xml:space="preserve"> 6,900 </t>
    </r>
    <r>
      <rPr>
        <charset val="134"/>
        <sz val="11"/>
        <color rgb="FF000000"/>
        <rFont val="宋体"/>
      </rPr>
      <t>克</t>
    </r>
  </si>
  <si>
    <r>
      <rPr>
        <charset val="134"/>
        <sz val="11"/>
        <color rgb="FF000000"/>
        <rFont val="宋体"/>
      </rPr>
      <t>小号信封：</t>
    </r>
    <r>
      <rPr>
        <charset val="134"/>
        <sz val="11"/>
        <color rgb="FF000000"/>
        <rFont val="Arial"/>
      </rPr>
      <t>80g</t>
    </r>
  </si>
  <si>
    <t>£0.60</t>
  </si>
  <si>
    <r>
      <rPr>
        <charset val="134"/>
        <sz val="11"/>
        <color rgb="FF000000"/>
        <rFont val="宋体"/>
      </rPr>
      <t>标准包裹：</t>
    </r>
    <r>
      <rPr>
        <charset val="134"/>
        <sz val="11"/>
        <color rgb="FF000000"/>
        <rFont val="Arial"/>
      </rPr>
      <t xml:space="preserve"> 7,900 </t>
    </r>
    <r>
      <rPr>
        <charset val="134"/>
        <sz val="11"/>
        <color rgb="FF000000"/>
        <rFont val="宋体"/>
      </rPr>
      <t>克</t>
    </r>
  </si>
  <si>
    <t>£5.42</t>
  </si>
  <si>
    <t>≤ 20 X 15 X 1cm</t>
  </si>
  <si>
    <r>
      <rPr>
        <charset val="134"/>
        <sz val="11"/>
        <color rgb="FF000000"/>
        <rFont val="宋体"/>
      </rPr>
      <t>标准包裹：</t>
    </r>
    <r>
      <rPr>
        <charset val="134"/>
        <sz val="11"/>
        <color rgb="FF000000"/>
        <rFont val="Arial"/>
      </rPr>
      <t xml:space="preserve"> 8,900 </t>
    </r>
    <r>
      <rPr>
        <charset val="134"/>
        <sz val="11"/>
        <color rgb="FF000000"/>
        <rFont val="宋体"/>
      </rPr>
      <t>克</t>
    </r>
  </si>
  <si>
    <t>£5.47</t>
  </si>
  <si>
    <r>
      <rPr>
        <charset val="134"/>
        <sz val="11"/>
        <color rgb="FF000000"/>
        <rFont val="宋体"/>
      </rPr>
      <t>标准信封：</t>
    </r>
    <r>
      <rPr>
        <charset val="134"/>
        <sz val="11"/>
        <color rgb="FF000000"/>
        <rFont val="Arial"/>
      </rPr>
      <t>60g</t>
    </r>
  </si>
  <si>
    <t>£0.80</t>
  </si>
  <si>
    <r>
      <rPr>
        <charset val="134"/>
        <sz val="11"/>
        <color rgb="FF000000"/>
        <rFont val="宋体"/>
      </rPr>
      <t>标准包裹：</t>
    </r>
    <r>
      <rPr>
        <charset val="134"/>
        <sz val="11"/>
        <color rgb="FF000000"/>
        <rFont val="Arial"/>
      </rPr>
      <t xml:space="preserve"> 9,900 </t>
    </r>
    <r>
      <rPr>
        <charset val="134"/>
        <sz val="11"/>
        <color rgb="FF000000"/>
        <rFont val="宋体"/>
      </rPr>
      <t>克</t>
    </r>
  </si>
  <si>
    <t>£6.23</t>
  </si>
  <si>
    <t>≤ 33 X 23 X 2.5cm</t>
  </si>
  <si>
    <r>
      <rPr>
        <charset val="134"/>
        <sz val="11"/>
        <color rgb="FF000000"/>
        <rFont val="宋体"/>
      </rPr>
      <t>标准包裹：</t>
    </r>
    <r>
      <rPr>
        <charset val="134"/>
        <sz val="11"/>
        <color rgb="FF000000"/>
        <rFont val="Arial"/>
      </rPr>
      <t xml:space="preserve"> 10,900 </t>
    </r>
    <r>
      <rPr>
        <charset val="134"/>
        <sz val="11"/>
        <color rgb="FF000000"/>
        <rFont val="宋体"/>
      </rPr>
      <t>克</t>
    </r>
  </si>
  <si>
    <t>£5.43</t>
  </si>
  <si>
    <t>£6.24</t>
  </si>
  <si>
    <r>
      <rPr>
        <charset val="134"/>
        <sz val="11"/>
        <color rgb="FF000000"/>
        <rFont val="宋体"/>
      </rPr>
      <t>标准信封:</t>
    </r>
    <r>
      <rPr>
        <charset val="134"/>
        <sz val="11"/>
        <color rgb="FF000000"/>
        <rFont val="Arial"/>
      </rPr>
      <t>210g</t>
    </r>
  </si>
  <si>
    <t>£0.85</t>
  </si>
  <si>
    <r>
      <rPr>
        <charset val="134"/>
        <sz val="11"/>
        <color rgb="FF000000"/>
        <rFont val="宋体"/>
      </rPr>
      <t>标准包裹：</t>
    </r>
    <r>
      <rPr>
        <charset val="134"/>
        <sz val="11"/>
        <color rgb="FF000000"/>
        <rFont val="Arial"/>
      </rPr>
      <t xml:space="preserve"> 11,900 </t>
    </r>
    <r>
      <rPr>
        <charset val="134"/>
        <sz val="11"/>
        <color rgb="FF000000"/>
        <rFont val="宋体"/>
      </rPr>
      <t>克</t>
    </r>
  </si>
  <si>
    <t>£5.63</t>
  </si>
  <si>
    <t>£6.30</t>
  </si>
  <si>
    <r>
      <rPr>
        <charset val="134"/>
        <sz val="11"/>
        <color rgb="FF000000"/>
        <rFont val="宋体"/>
      </rPr>
      <t>小号大件商品：</t>
    </r>
    <r>
      <rPr>
        <charset val="134"/>
        <sz val="11"/>
        <color rgb="FF000000"/>
        <rFont val="Arial"/>
      </rPr>
      <t xml:space="preserve"> 760 </t>
    </r>
    <r>
      <rPr>
        <charset val="134"/>
        <sz val="11"/>
        <color rgb="FF000000"/>
        <rFont val="宋体"/>
      </rPr>
      <t>克</t>
    </r>
  </si>
  <si>
    <t>£4.08</t>
  </si>
  <si>
    <t>£4.16</t>
  </si>
  <si>
    <r>
      <rPr>
        <charset val="134"/>
        <sz val="11"/>
        <color rgb="FF000000"/>
        <rFont val="宋体"/>
      </rPr>
      <t>大号信封:</t>
    </r>
    <r>
      <rPr>
        <charset val="134"/>
        <sz val="11"/>
        <color rgb="FF000000"/>
        <rFont val="Arial"/>
      </rPr>
      <t>225g</t>
    </r>
  </si>
  <si>
    <t>£1.42</t>
  </si>
  <si>
    <r>
      <rPr>
        <charset val="134"/>
        <sz val="11"/>
        <color rgb="FF000000"/>
        <rFont val="宋体"/>
      </rPr>
      <t>小号大件商品：</t>
    </r>
    <r>
      <rPr>
        <charset val="134"/>
        <sz val="11"/>
        <color rgb="FF000000"/>
        <rFont val="Arial"/>
      </rPr>
      <t xml:space="preserve"> 1,010 </t>
    </r>
    <r>
      <rPr>
        <charset val="134"/>
        <sz val="11"/>
        <color rgb="FF000000"/>
        <rFont val="宋体"/>
      </rPr>
      <t>克</t>
    </r>
  </si>
  <si>
    <t>£4.55</t>
  </si>
  <si>
    <t>£4.64</t>
  </si>
  <si>
    <t>≤ 33 X 23 X 5 cm</t>
  </si>
  <si>
    <r>
      <rPr>
        <charset val="134"/>
        <sz val="11"/>
        <color rgb="FF000000"/>
        <rFont val="宋体"/>
      </rPr>
      <t>小号大件商品：</t>
    </r>
    <r>
      <rPr>
        <charset val="134"/>
        <sz val="11"/>
        <color rgb="FF000000"/>
        <rFont val="Arial"/>
      </rPr>
      <t xml:space="preserve"> 1,260 </t>
    </r>
    <r>
      <rPr>
        <charset val="134"/>
        <sz val="11"/>
        <color rgb="FF000000"/>
        <rFont val="宋体"/>
      </rPr>
      <t>克</t>
    </r>
  </si>
  <si>
    <t>£4.91</t>
  </si>
  <si>
    <t>£5.01</t>
  </si>
  <si>
    <r>
      <rPr>
        <charset val="134"/>
        <sz val="11"/>
        <color rgb="FF000000"/>
        <rFont val="宋体"/>
      </rPr>
      <t>小号大件商品：</t>
    </r>
    <r>
      <rPr>
        <charset val="134"/>
        <sz val="11"/>
        <color rgb="FF000000"/>
        <rFont val="Arial"/>
      </rPr>
      <t xml:space="preserve"> 1,510 </t>
    </r>
    <r>
      <rPr>
        <charset val="134"/>
        <sz val="11"/>
        <color rgb="FF000000"/>
        <rFont val="宋体"/>
      </rPr>
      <t>克</t>
    </r>
  </si>
  <si>
    <t>£5.00</t>
  </si>
  <si>
    <t>£5.10</t>
  </si>
  <si>
    <r>
      <rPr>
        <charset val="134"/>
        <sz val="11"/>
        <color rgb="FF000000"/>
        <rFont val="宋体"/>
      </rPr>
      <t>小号大件商品：</t>
    </r>
    <r>
      <rPr>
        <charset val="134"/>
        <sz val="11"/>
        <color rgb="FF000000"/>
        <rFont val="Arial"/>
      </rPr>
      <t xml:space="preserve"> 1,760 </t>
    </r>
    <r>
      <rPr>
        <charset val="134"/>
        <sz val="11"/>
        <color rgb="FF000000"/>
        <rFont val="宋体"/>
      </rPr>
      <t>克</t>
    </r>
  </si>
  <si>
    <t>£5.06</t>
  </si>
  <si>
    <t>£5.16</t>
  </si>
  <si>
    <r>
      <rPr>
        <charset val="134"/>
        <sz val="11"/>
        <color rgb="FF000000"/>
        <rFont val="宋体"/>
      </rPr>
      <t>标准大件商品：</t>
    </r>
    <r>
      <rPr>
        <charset val="134"/>
        <sz val="11"/>
        <color rgb="FF000000"/>
        <rFont val="Arial"/>
      </rPr>
      <t xml:space="preserve"> 760 </t>
    </r>
    <r>
      <rPr>
        <charset val="134"/>
        <sz val="11"/>
        <color rgb="FF000000"/>
        <rFont val="宋体"/>
      </rPr>
      <t>克</t>
    </r>
  </si>
  <si>
    <t>£4.97</t>
  </si>
  <si>
    <t>£5.07</t>
  </si>
  <si>
    <r>
      <rPr>
        <charset val="134"/>
        <sz val="11"/>
        <color rgb="FF000000"/>
        <rFont val="宋体"/>
      </rPr>
      <t>标准大件商品：</t>
    </r>
    <r>
      <rPr>
        <charset val="134"/>
        <sz val="11"/>
        <color rgb="FF000000"/>
        <rFont val="Arial"/>
      </rPr>
      <t xml:space="preserve"> 1,760 </t>
    </r>
    <r>
      <rPr>
        <charset val="134"/>
        <sz val="11"/>
        <color rgb="FF000000"/>
        <rFont val="宋体"/>
      </rPr>
      <t>克</t>
    </r>
  </si>
  <si>
    <t>£5.29</t>
  </si>
  <si>
    <t>£5.40</t>
  </si>
  <si>
    <r>
      <rPr>
        <charset val="134"/>
        <sz val="11"/>
        <color rgb="FF000000"/>
        <rFont val="宋体"/>
      </rPr>
      <t>标准大件商品：</t>
    </r>
    <r>
      <rPr>
        <charset val="134"/>
        <sz val="11"/>
        <color rgb="FF000000"/>
        <rFont val="Arial"/>
      </rPr>
      <t xml:space="preserve"> 2,760 </t>
    </r>
    <r>
      <rPr>
        <charset val="134"/>
        <sz val="11"/>
        <color rgb="FF000000"/>
        <rFont val="宋体"/>
      </rPr>
      <t>克</t>
    </r>
  </si>
  <si>
    <t>£5.51</t>
  </si>
  <si>
    <r>
      <rPr>
        <charset val="134"/>
        <sz val="11"/>
        <color rgb="FF000000"/>
        <rFont val="宋体"/>
      </rPr>
      <t>标准大件商品：</t>
    </r>
    <r>
      <rPr>
        <charset val="134"/>
        <sz val="11"/>
        <color rgb="FF000000"/>
        <rFont val="Arial"/>
      </rPr>
      <t xml:space="preserve"> 3,760 </t>
    </r>
    <r>
      <rPr>
        <charset val="134"/>
        <sz val="11"/>
        <color rgb="FF000000"/>
        <rFont val="宋体"/>
      </rPr>
      <t>克</t>
    </r>
  </si>
  <si>
    <t>£5.54</t>
  </si>
  <si>
    <r>
      <rPr>
        <charset val="134"/>
        <sz val="11"/>
        <color rgb="FF000000"/>
        <rFont val="宋体"/>
      </rPr>
      <t>标准大件商品：</t>
    </r>
    <r>
      <rPr>
        <charset val="134"/>
        <sz val="11"/>
        <color rgb="FF000000"/>
        <rFont val="Arial"/>
      </rPr>
      <t xml:space="preserve"> 4,760 </t>
    </r>
    <r>
      <rPr>
        <charset val="134"/>
        <sz val="11"/>
        <color rgb="FF000000"/>
        <rFont val="宋体"/>
      </rPr>
      <t>克</t>
    </r>
  </si>
  <si>
    <t>£5.58</t>
  </si>
  <si>
    <r>
      <rPr>
        <charset val="134"/>
        <sz val="11"/>
        <color rgb="FF000000"/>
        <rFont val="宋体"/>
      </rPr>
      <t>标准大件商品：</t>
    </r>
    <r>
      <rPr>
        <charset val="134"/>
        <sz val="11"/>
        <color rgb="FF000000"/>
        <rFont val="Arial"/>
      </rPr>
      <t xml:space="preserve"> 5,760 </t>
    </r>
    <r>
      <rPr>
        <charset val="134"/>
        <sz val="11"/>
        <color rgb="FF000000"/>
        <rFont val="宋体"/>
      </rPr>
      <t>克</t>
    </r>
  </si>
  <si>
    <t>£6.46</t>
  </si>
  <si>
    <t>£6.59</t>
  </si>
  <si>
    <r>
      <rPr>
        <charset val="134"/>
        <sz val="11"/>
        <color rgb="FF000000"/>
        <rFont val="宋体"/>
      </rPr>
      <t>标准大件商品：</t>
    </r>
    <r>
      <rPr>
        <charset val="134"/>
        <sz val="11"/>
        <color rgb="FF000000"/>
        <rFont val="Arial"/>
      </rPr>
      <t xml:space="preserve"> 6,760 </t>
    </r>
    <r>
      <rPr>
        <charset val="134"/>
        <sz val="11"/>
        <color rgb="FF000000"/>
        <rFont val="宋体"/>
      </rPr>
      <t>克</t>
    </r>
  </si>
  <si>
    <t>£6.52</t>
  </si>
  <si>
    <t>£6.65</t>
  </si>
  <si>
    <r>
      <rPr>
        <charset val="134"/>
        <sz val="11"/>
        <color rgb="FF000000"/>
        <rFont val="宋体"/>
      </rPr>
      <t>标准大件商品：</t>
    </r>
    <r>
      <rPr>
        <charset val="134"/>
        <sz val="11"/>
        <color rgb="FF000000"/>
        <rFont val="Arial"/>
      </rPr>
      <t xml:space="preserve"> 7,760 </t>
    </r>
    <r>
      <rPr>
        <charset val="134"/>
        <sz val="11"/>
        <color rgb="FF000000"/>
        <rFont val="宋体"/>
      </rPr>
      <t>克</t>
    </r>
  </si>
  <si>
    <t>£6.55</t>
  </si>
  <si>
    <t>£6.68</t>
  </si>
  <si>
    <r>
      <rPr>
        <charset val="134"/>
        <sz val="11"/>
        <color rgb="FF000000"/>
        <rFont val="宋体"/>
      </rPr>
      <t>标准大件商品：</t>
    </r>
    <r>
      <rPr>
        <charset val="134"/>
        <sz val="11"/>
        <color rgb="FF000000"/>
        <rFont val="Arial"/>
      </rPr>
      <t xml:space="preserve"> 8,760 </t>
    </r>
    <r>
      <rPr>
        <charset val="134"/>
        <sz val="11"/>
        <color rgb="FF000000"/>
        <rFont val="宋体"/>
      </rPr>
      <t>克</t>
    </r>
  </si>
  <si>
    <r>
      <rPr>
        <charset val="134"/>
        <sz val="11"/>
        <color rgb="FF000000"/>
        <rFont val="宋体"/>
      </rPr>
      <t>标准大件商品：</t>
    </r>
    <r>
      <rPr>
        <charset val="134"/>
        <sz val="11"/>
        <color rgb="FF000000"/>
        <rFont val="Arial"/>
      </rPr>
      <t xml:space="preserve"> 9,760 </t>
    </r>
    <r>
      <rPr>
        <charset val="134"/>
        <sz val="11"/>
        <color rgb="FF000000"/>
        <rFont val="宋体"/>
      </rPr>
      <t>克</t>
    </r>
  </si>
  <si>
    <t>£6.58</t>
  </si>
  <si>
    <t>£6.71</t>
  </si>
  <si>
    <r>
      <rPr>
        <charset val="134"/>
        <sz val="11"/>
        <color rgb="FF000000"/>
        <rFont val="宋体"/>
      </rPr>
      <t>标准大件商品：</t>
    </r>
    <r>
      <rPr>
        <charset val="134"/>
        <sz val="11"/>
        <color rgb="FF000000"/>
        <rFont val="Arial"/>
      </rPr>
      <t xml:space="preserve"> 14,760 </t>
    </r>
    <r>
      <rPr>
        <charset val="134"/>
        <sz val="11"/>
        <color rgb="FF000000"/>
        <rFont val="宋体"/>
      </rPr>
      <t>克</t>
    </r>
  </si>
  <si>
    <t>£7.00</t>
  </si>
  <si>
    <t>£7.14</t>
  </si>
  <si>
    <r>
      <rPr>
        <charset val="134"/>
        <sz val="11"/>
        <color rgb="FF000000"/>
        <rFont val="宋体"/>
      </rPr>
      <t>标准大件商品：</t>
    </r>
    <r>
      <rPr>
        <charset val="134"/>
        <sz val="11"/>
        <color rgb="FF000000"/>
        <rFont val="Arial"/>
      </rPr>
      <t xml:space="preserve"> 19,760 </t>
    </r>
    <r>
      <rPr>
        <charset val="134"/>
        <sz val="11"/>
        <color rgb="FF000000"/>
        <rFont val="宋体"/>
      </rPr>
      <t>克</t>
    </r>
  </si>
  <si>
    <t>£7.35</t>
  </si>
  <si>
    <t>£7.50</t>
  </si>
  <si>
    <r>
      <rPr>
        <charset val="134"/>
        <sz val="11"/>
        <color rgb="FF000000"/>
        <rFont val="宋体"/>
      </rPr>
      <t>标准大件商品：</t>
    </r>
    <r>
      <rPr>
        <charset val="134"/>
        <sz val="11"/>
        <color rgb="FF000000"/>
        <rFont val="Arial"/>
      </rPr>
      <t xml:space="preserve"> 24,760 </t>
    </r>
    <r>
      <rPr>
        <charset val="134"/>
        <sz val="11"/>
        <color rgb="FF000000"/>
        <rFont val="宋体"/>
      </rPr>
      <t>克</t>
    </r>
  </si>
  <si>
    <t>£8.14</t>
  </si>
  <si>
    <t>£8.30</t>
  </si>
  <si>
    <r>
      <rPr>
        <charset val="134"/>
        <sz val="11"/>
        <color rgb="FF000000"/>
        <rFont val="宋体"/>
      </rPr>
      <t>标准大件商品：</t>
    </r>
    <r>
      <rPr>
        <charset val="134"/>
        <sz val="11"/>
        <color rgb="FF000000"/>
        <rFont val="Arial"/>
      </rPr>
      <t xml:space="preserve"> 29,760 </t>
    </r>
    <r>
      <rPr>
        <charset val="134"/>
        <sz val="11"/>
        <color rgb="FF000000"/>
        <rFont val="宋体"/>
      </rPr>
      <t>克</t>
    </r>
  </si>
  <si>
    <r>
      <rPr>
        <charset val="134"/>
        <sz val="11"/>
        <color rgb="FF000000"/>
        <rFont val="宋体"/>
      </rPr>
      <t>大号大件商品：</t>
    </r>
    <r>
      <rPr>
        <charset val="134"/>
        <sz val="11"/>
        <color rgb="FF000000"/>
        <rFont val="Arial"/>
      </rPr>
      <t xml:space="preserve"> 4,760 </t>
    </r>
    <r>
      <rPr>
        <charset val="134"/>
        <sz val="11"/>
        <color rgb="FF000000"/>
        <rFont val="宋体"/>
      </rPr>
      <t>克</t>
    </r>
  </si>
  <si>
    <t>£8.26</t>
  </si>
  <si>
    <t>£8.43</t>
  </si>
  <si>
    <r>
      <rPr>
        <charset val="134"/>
        <sz val="11"/>
        <color rgb="FF000000"/>
        <rFont val="宋体"/>
      </rPr>
      <t>大号大件商品：</t>
    </r>
    <r>
      <rPr>
        <charset val="134"/>
        <sz val="11"/>
        <color rgb="FF000000"/>
        <rFont val="Arial"/>
      </rPr>
      <t xml:space="preserve"> 9,760 </t>
    </r>
    <r>
      <rPr>
        <charset val="134"/>
        <sz val="11"/>
        <color rgb="FF000000"/>
        <rFont val="宋体"/>
      </rPr>
      <t>克</t>
    </r>
  </si>
  <si>
    <t>£9.96</t>
  </si>
  <si>
    <t>£10.16</t>
  </si>
  <si>
    <r>
      <rPr>
        <charset val="134"/>
        <sz val="11"/>
        <color rgb="FF000000"/>
        <rFont val="宋体"/>
      </rPr>
      <t>大号大件商品：</t>
    </r>
    <r>
      <rPr>
        <charset val="134"/>
        <sz val="11"/>
        <color rgb="FF000000"/>
        <rFont val="Arial"/>
      </rPr>
      <t xml:space="preserve"> 14,760 </t>
    </r>
    <r>
      <rPr>
        <charset val="134"/>
        <sz val="11"/>
        <color rgb="FF000000"/>
        <rFont val="宋体"/>
      </rPr>
      <t>克</t>
    </r>
  </si>
  <si>
    <t>£10.53</t>
  </si>
  <si>
    <t>£10.74</t>
  </si>
  <si>
    <r>
      <rPr>
        <charset val="134"/>
        <sz val="11"/>
        <color rgb="FF000000"/>
        <rFont val="宋体"/>
      </rPr>
      <t>大号大件商品：</t>
    </r>
    <r>
      <rPr>
        <charset val="134"/>
        <sz val="11"/>
        <color rgb="FF000000"/>
        <rFont val="Arial"/>
      </rPr>
      <t xml:space="preserve"> 19,760 </t>
    </r>
    <r>
      <rPr>
        <charset val="134"/>
        <sz val="11"/>
        <color rgb="FF000000"/>
        <rFont val="宋体"/>
      </rPr>
      <t>克</t>
    </r>
  </si>
  <si>
    <t>£11.03</t>
  </si>
  <si>
    <t>£11.25</t>
  </si>
  <si>
    <r>
      <rPr>
        <charset val="134"/>
        <sz val="11"/>
        <color rgb="FF000000"/>
        <rFont val="宋体"/>
      </rPr>
      <t>大号大件商品：</t>
    </r>
    <r>
      <rPr>
        <charset val="134"/>
        <sz val="11"/>
        <color rgb="FF000000"/>
        <rFont val="Arial"/>
      </rPr>
      <t xml:space="preserve"> 24,760 </t>
    </r>
    <r>
      <rPr>
        <charset val="134"/>
        <sz val="11"/>
        <color rgb="FF000000"/>
        <rFont val="宋体"/>
      </rPr>
      <t>克</t>
    </r>
  </si>
  <si>
    <t>£12.01</t>
  </si>
  <si>
    <t>£12.25</t>
  </si>
  <si>
    <r>
      <rPr>
        <charset val="134"/>
        <sz val="11"/>
        <color rgb="FF000000"/>
        <rFont val="宋体"/>
      </rPr>
      <t>大号大件商品：</t>
    </r>
    <r>
      <rPr>
        <charset val="134"/>
        <sz val="11"/>
        <color rgb="FF000000"/>
        <rFont val="Arial"/>
      </rPr>
      <t xml:space="preserve"> 31,500 </t>
    </r>
    <r>
      <rPr>
        <charset val="134"/>
        <sz val="11"/>
        <color rgb="FF000000"/>
        <rFont val="宋体"/>
      </rPr>
      <t>克</t>
    </r>
  </si>
  <si>
    <t>£12.04</t>
  </si>
  <si>
    <t>£12.28</t>
  </si>
  <si>
    <t>亚马逊物流欧洲整合服务的费用</t>
  </si>
  <si>
    <r>
      <rPr>
        <charset val="134"/>
        <sz val="11"/>
        <color rgb="FF000000"/>
        <rFont val="宋体"/>
      </rPr>
      <t>德国</t>
    </r>
    <r>
      <rPr>
        <charset val="134"/>
        <sz val="11"/>
        <color rgb="FF000000"/>
        <rFont val="Arial"/>
      </rPr>
      <t xml:space="preserve"> (€)</t>
    </r>
  </si>
  <si>
    <t>£4.99</t>
  </si>
  <si>
    <t>£5.05</t>
  </si>
  <si>
    <t>£5.46</t>
  </si>
  <si>
    <t>£5.53</t>
  </si>
  <si>
    <t>£5.81</t>
  </si>
  <si>
    <t>£5.90</t>
  </si>
  <si>
    <t>£5.91</t>
  </si>
  <si>
    <t>£5.99</t>
  </si>
  <si>
    <t>£5.97</t>
  </si>
  <si>
    <t>£6.05</t>
  </si>
  <si>
    <t>£5.88</t>
  </si>
  <si>
    <t>£5.96</t>
  </si>
  <si>
    <t>£6.20</t>
  </si>
  <si>
    <t>£6.29</t>
  </si>
  <si>
    <t>£6.40</t>
  </si>
  <si>
    <t>£6.33</t>
  </si>
  <si>
    <t>£6.43</t>
  </si>
  <si>
    <t>£6.38</t>
  </si>
  <si>
    <t>£6.47</t>
  </si>
  <si>
    <t>£7.36</t>
  </si>
  <si>
    <t>£7.48</t>
  </si>
  <si>
    <t>£7.43</t>
  </si>
  <si>
    <t>£7.54</t>
  </si>
  <si>
    <t>£7.46</t>
  </si>
  <si>
    <t>£7.57</t>
  </si>
  <si>
    <t>£7.49</t>
  </si>
  <si>
    <t>£7.60</t>
  </si>
  <si>
    <t>£7.91</t>
  </si>
  <si>
    <t>£8.03</t>
  </si>
  <si>
    <t>£8.39</t>
  </si>
  <si>
    <t>£9.05</t>
  </si>
  <si>
    <t>£9.19</t>
  </si>
  <si>
    <t>£9.17</t>
  </si>
  <si>
    <t>£9.32</t>
  </si>
  <si>
    <t>£10.86</t>
  </si>
  <si>
    <t>£11.05</t>
  </si>
  <si>
    <t>£11.43</t>
  </si>
  <si>
    <t>£11.63</t>
  </si>
  <si>
    <t>£11.93</t>
  </si>
  <si>
    <t>£12.14</t>
  </si>
  <si>
    <t>£12.91</t>
  </si>
  <si>
    <t>£13.14</t>
  </si>
  <si>
    <t>£12.94</t>
  </si>
  <si>
    <t>£13.17</t>
  </si>
  <si>
    <t>欧洲配送网络费用</t>
  </si>
  <si>
    <r>
      <rPr>
        <charset val="134"/>
        <sz val="11"/>
        <color rgb="FF000000"/>
        <rFont val="宋体"/>
      </rPr>
      <t>欧洲配送网络费用（在亚马逊上销售的商品按件收取）</t>
    </r>
    <r>
      <rPr>
        <charset val="134"/>
        <sz val="8"/>
        <color rgb="FF000000"/>
        <rFont val="Arial"/>
      </rPr>
      <t>2</t>
    </r>
  </si>
  <si>
    <t>德/法/意/西/荷 (€)</t>
  </si>
  <si>
    <t>瑞典（瑞典克朗）</t>
  </si>
  <si>
    <t>波兰(波兰兹罗提）</t>
  </si>
  <si>
    <r>
      <rPr>
        <charset val="134"/>
        <sz val="11"/>
        <color rgb="FF000000"/>
        <rFont val="宋体"/>
      </rPr>
      <t>小号信封：</t>
    </r>
    <r>
      <rPr>
        <charset val="134"/>
        <sz val="11"/>
        <color rgb="FF000000"/>
        <rFont val="Arial"/>
      </rPr>
      <t xml:space="preserve">80 </t>
    </r>
    <r>
      <rPr>
        <charset val="134"/>
        <sz val="11"/>
        <color rgb="FF000000"/>
        <rFont val="宋体"/>
      </rPr>
      <t>克</t>
    </r>
  </si>
  <si>
    <t>£3.78</t>
  </si>
  <si>
    <t>£3.99</t>
  </si>
  <si>
    <t>£3.94</t>
  </si>
  <si>
    <t>£4.22</t>
  </si>
  <si>
    <t>£4.45</t>
  </si>
  <si>
    <t>£4.28</t>
  </si>
  <si>
    <t>£4.52</t>
  </si>
  <si>
    <t>£4.59</t>
  </si>
  <si>
    <t>£4.84</t>
  </si>
  <si>
    <t>£4.61</t>
  </si>
  <si>
    <t>£4.86</t>
  </si>
  <si>
    <t>£5.94</t>
  </si>
  <si>
    <t>£6.63</t>
  </si>
  <si>
    <t>£7.28</t>
  </si>
  <si>
    <t>£7.68</t>
  </si>
  <si>
    <t>£8.34</t>
  </si>
  <si>
    <t>£8.80</t>
  </si>
  <si>
    <t>£9.28</t>
  </si>
  <si>
    <t>£9.79</t>
  </si>
  <si>
    <t>£10.12</t>
  </si>
  <si>
    <t>£11.52</t>
  </si>
  <si>
    <t>£10.63</t>
  </si>
  <si>
    <t>£12.10</t>
  </si>
  <si>
    <t>£11.24</t>
  </si>
  <si>
    <t>£12.79</t>
  </si>
  <si>
    <t>£11.53</t>
  </si>
  <si>
    <t>£13.12</t>
  </si>
  <si>
    <t>£13.79</t>
  </si>
  <si>
    <t>£15.70</t>
  </si>
  <si>
    <t>£10.17</t>
  </si>
  <si>
    <t>£11.57</t>
  </si>
  <si>
    <t>£10.49</t>
  </si>
  <si>
    <t>£11.94</t>
  </si>
  <si>
    <t>£11.98</t>
  </si>
  <si>
    <t>£10.58</t>
  </si>
  <si>
    <t>£10.61</t>
  </si>
  <si>
    <t>£12.07</t>
  </si>
  <si>
    <t>£11.92</t>
  </si>
  <si>
    <t>£13.56</t>
  </si>
  <si>
    <t>£12.27</t>
  </si>
  <si>
    <t>£13.96</t>
  </si>
  <si>
    <t>£13.10</t>
  </si>
  <si>
    <t>£14.91</t>
  </si>
  <si>
    <t>£14.99</t>
  </si>
  <si>
    <t>£13.27</t>
  </si>
  <si>
    <t>£15.10</t>
  </si>
  <si>
    <t>£14.56</t>
  </si>
  <si>
    <t>£16.57</t>
  </si>
  <si>
    <t>£14.68</t>
  </si>
  <si>
    <t>£16.71</t>
  </si>
  <si>
    <t>£15.01</t>
  </si>
  <si>
    <t>£17.08</t>
  </si>
  <si>
    <t>£15.92</t>
  </si>
  <si>
    <t>£18.12</t>
  </si>
  <si>
    <t>£17.32</t>
  </si>
  <si>
    <t>£19.71</t>
  </si>
  <si>
    <t>£18.57</t>
  </si>
  <si>
    <t>£21.13</t>
  </si>
  <si>
    <t>£18.84</t>
  </si>
  <si>
    <t>£21.44</t>
  </si>
  <si>
    <t>£18.43</t>
  </si>
  <si>
    <t>£20.97</t>
  </si>
  <si>
    <t>£22.07</t>
  </si>
  <si>
    <t>£25.12</t>
  </si>
  <si>
    <t>£23.46</t>
  </si>
  <si>
    <t>£26.70</t>
  </si>
  <si>
    <t>£25.87</t>
  </si>
  <si>
    <t>£29.44</t>
  </si>
  <si>
    <t>£28.07</t>
  </si>
  <si>
    <t>£31.94</t>
  </si>
</sst>
</file>

<file path=xl/styles.xml><?xml version="1.0" encoding="utf-8"?>
<styleSheet xmlns="http://schemas.openxmlformats.org/spreadsheetml/2006/main">
  <numFmts count="13">
    <numFmt numFmtId="0" formatCode="General"/>
    <numFmt numFmtId="10" formatCode="0.00%"/>
    <numFmt numFmtId="166" formatCode="0.00_ "/>
    <numFmt numFmtId="7" formatCode="&quot;￥&quot;#,##0.00;&quot;￥&quot;\-#,##0.00"/>
    <numFmt numFmtId="164" formatCode="\$#,##0.00_);[Red]\(\$#,##0.00\)"/>
    <numFmt numFmtId="167" formatCode="0.0_ "/>
    <numFmt numFmtId="168" formatCode="&quot;￥&quot;#,##0.00_);[Red]\(&quot;￥&quot;#,##0.00\)"/>
    <numFmt numFmtId="9" formatCode="0%"/>
    <numFmt numFmtId="171" formatCode="\$#,##0.00;\-\$#,##0.00"/>
    <numFmt numFmtId="172" formatCode="0.0%"/>
    <numFmt numFmtId="169" formatCode="[$£-809]#,##0.00_);[Red]\([$£-809]#,##0.00\)"/>
    <numFmt numFmtId="170" formatCode="#,##0.00\ [$€-407]_);[Red]\(#,##0.00\ [$€-407]\)"/>
    <numFmt numFmtId="165" formatCode="[$€-2]\ #,##0.00;[Red][$€-2]\ \-#,##0.00"/>
  </numFmts>
  <fonts count="27">
    <font>
      <name val="宋体"/>
      <sz val="11"/>
    </font>
    <font>
      <name val="宋体"/>
      <charset val="134"/>
      <sz val="11"/>
      <color rgb="FF000000"/>
    </font>
    <font>
      <name val="微软雅黑"/>
      <b/>
      <charset val="134"/>
      <sz val="11"/>
      <color rgb="FF000000"/>
    </font>
    <font>
      <name val="微软雅黑"/>
      <b/>
      <charset val="134"/>
      <sz val="11"/>
    </font>
    <font>
      <name val="微软雅黑"/>
      <b/>
      <charset val="134"/>
      <sz val="11"/>
      <color rgb="FFFF0000"/>
    </font>
    <font>
      <name val="宋体"/>
      <b/>
      <charset val="134"/>
      <sz val="11"/>
      <color rgb="FF000000"/>
    </font>
    <font>
      <name val="微软雅黑"/>
      <charset val="134"/>
      <sz val="11"/>
      <color rgb="FF000000"/>
    </font>
    <font>
      <name val="等线"/>
      <charset val="134"/>
      <sz val="11"/>
      <color rgb="FF000000"/>
    </font>
    <font>
      <name val="宋体"/>
      <charset val="134"/>
      <sz val="11"/>
      <color rgb="FFFF0000"/>
    </font>
    <font>
      <name val="宋体"/>
      <b/>
      <charset val="134"/>
      <sz val="12"/>
      <color rgb="FFFFFFFF"/>
    </font>
    <font>
      <name val="宋体"/>
      <charset val="134"/>
      <sz val="12"/>
    </font>
    <font>
      <name val="宋体"/>
      <charset val="134"/>
      <sz val="12"/>
      <color rgb="FF000000"/>
    </font>
    <font>
      <name val="宋体"/>
      <b/>
      <charset val="134"/>
      <sz val="24"/>
      <color rgb="FF000000"/>
    </font>
    <font>
      <name val="宋体"/>
      <b/>
      <charset val="134"/>
      <sz val="18"/>
      <color rgb="FF000000"/>
    </font>
    <font>
      <name val="Arial"/>
      <charset val="134"/>
      <sz val="11"/>
      <color rgb="FF000000"/>
    </font>
    <font>
      <name val="宋体"/>
      <b/>
      <charset val="134"/>
      <sz val="11"/>
      <color rgb="FF333333"/>
    </font>
    <font>
      <name val="Arial"/>
      <b/>
      <charset val="134"/>
      <sz val="11"/>
      <color rgb="FF333333"/>
    </font>
    <font>
      <name val="Arial"/>
      <b/>
      <charset val="134"/>
      <sz val="11"/>
      <color rgb="FF404040"/>
    </font>
    <font>
      <name val="Arial"/>
      <u/>
      <sz val="11"/>
      <color rgb="FF808080"/>
    </font>
    <font>
      <name val="Arial"/>
      <charset val="134"/>
      <sz val="11"/>
      <color rgb="FF808080"/>
    </font>
    <font>
      <name val="Arial"/>
      <charset val="134"/>
      <sz val="27"/>
      <color rgb="FF0F1111"/>
    </font>
    <font>
      <name val="Arial"/>
      <charset val="134"/>
      <sz val="20"/>
      <color rgb="FF0F1111"/>
    </font>
    <font>
      <name val="宋体"/>
      <charset val="134"/>
      <sz val="11"/>
      <color rgb="FF000000"/>
    </font>
    <font>
      <name val="Arial"/>
      <charset val="134"/>
      <sz val="11"/>
      <color rgb="FFA6A6A6"/>
    </font>
    <font>
      <name val="宋体"/>
      <b/>
      <charset val="134"/>
      <sz val="11"/>
      <color rgb="FF404040"/>
    </font>
    <font>
      <name val="Arial"/>
      <charset val="134"/>
      <sz val="11"/>
      <color rgb="FF000000"/>
    </font>
    <font>
      <name val="宋体"/>
      <u/>
      <sz val="11"/>
      <color rgb="FF0000FF"/>
    </font>
  </fonts>
  <fills count="15">
    <fill>
      <patternFill patternType="none"/>
    </fill>
    <fill>
      <patternFill patternType="gray125"/>
    </fill>
    <fill>
      <patternFill patternType="solid">
        <fgColor rgb="FF92E1AA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DEDED"/>
        <bgColor rgb="FFEDEDED"/>
      </patternFill>
    </fill>
    <fill>
      <patternFill patternType="solid">
        <fgColor rgb="FF70AD4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AF7D4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BF1F7"/>
        <bgColor indexed="64"/>
      </patternFill>
    </fill>
    <fill>
      <patternFill patternType="solid">
        <fgColor rgb="FFD9E1F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medium">
        <color rgb="FFCCCCCC"/>
      </diagonal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 diagonalDown="1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 style="medium">
        <color rgb="FFCCCCCC"/>
      </diagonal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3">
    <xf numFmtId="0" fontId="0" fillId="0" borderId="0">
      <alignment vertical="center"/>
    </xf>
    <xf numFmtId="9" fontId="1" fillId="0" borderId="0">
      <alignment vertical="top"/>
      <protection locked="0" hidden="0"/>
    </xf>
    <xf numFmtId="0" fontId="26" fillId="0" borderId="0">
      <alignment vertical="top"/>
      <protection locked="0" hidden="0"/>
    </xf>
  </cellStyleXfs>
  <cellXfs count="131">
    <xf numFmtId="0" fontId="0" fillId="0" borderId="0" xfId="0">
      <alignment vertical="center"/>
    </xf>
    <xf numFmtId="0" fontId="1" fillId="0" borderId="0" xfId="0" applyFill="1">
      <alignment vertical="center"/>
    </xf>
    <xf numFmtId="10" fontId="2" fillId="0" borderId="1" xfId="0" applyNumberFormat="1" applyFont="1" applyFill="1" applyBorder="1" applyAlignment="1">
      <alignment horizontal="center" vertical="center" wrapText="1"/>
    </xf>
    <xf numFmtId="166" fontId="3" fillId="2" borderId="1" xfId="0" applyNumberFormat="1" applyFont="1" applyFill="1" applyBorder="1" applyAlignment="1">
      <alignment horizontal="center" vertical="center" wrapText="1"/>
    </xf>
    <xf numFmtId="166" fontId="2" fillId="2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7" fontId="3" fillId="5" borderId="1" xfId="0" applyNumberFormat="1" applyFont="1" applyFill="1" applyBorder="1" applyAlignment="1">
      <alignment horizontal="center" vertical="center"/>
    </xf>
    <xf numFmtId="7" fontId="3" fillId="4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>
      <alignment vertical="center"/>
    </xf>
    <xf numFmtId="0" fontId="6" fillId="0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0" fontId="4" fillId="4" borderId="1" xfId="0" applyNumberFormat="1" applyFont="1" applyFill="1" applyBorder="1" applyAlignment="1">
      <alignment horizontal="center" vertical="center" wrapText="1"/>
    </xf>
    <xf numFmtId="10" fontId="2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0" fontId="2" fillId="5" borderId="1" xfId="0" applyNumberFormat="1" applyFont="1" applyFill="1" applyBorder="1" applyAlignment="1">
      <alignment horizontal="center" vertical="center" wrapText="1"/>
    </xf>
    <xf numFmtId="10" fontId="4" fillId="5" borderId="1" xfId="0" applyNumberFormat="1" applyFont="1" applyFill="1" applyBorder="1" applyAlignment="1">
      <alignment horizontal="center" vertical="center" wrapText="1"/>
    </xf>
    <xf numFmtId="10" fontId="4" fillId="0" borderId="1" xfId="0" applyNumberFormat="1" applyFont="1" applyFill="1" applyBorder="1" applyAlignment="1">
      <alignment horizontal="center" vertical="center" wrapText="1"/>
    </xf>
    <xf numFmtId="10" fontId="2" fillId="6" borderId="2" xfId="0" applyNumberFormat="1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left" vertical="center"/>
    </xf>
    <xf numFmtId="0" fontId="1" fillId="0" borderId="3" xfId="0" applyFont="1" applyFill="1" applyBorder="1" applyAlignment="1">
      <alignment horizontal="left" vertical="center"/>
    </xf>
    <xf numFmtId="164" fontId="5" fillId="0" borderId="3" xfId="0" applyNumberFormat="1" applyFont="1" applyFill="1" applyBorder="1" applyAlignment="1">
      <alignment horizontal="center" vertical="center"/>
    </xf>
    <xf numFmtId="10" fontId="5" fillId="0" borderId="3" xfId="0" applyNumberFormat="1" applyFont="1" applyFill="1" applyBorder="1" applyAlignment="1">
      <alignment horizontal="center" vertical="center"/>
    </xf>
    <xf numFmtId="167" fontId="1" fillId="0" borderId="3" xfId="0" applyNumberFormat="1" applyFont="1" applyFill="1" applyBorder="1" applyAlignment="1">
      <alignment horizontal="center" vertical="center"/>
    </xf>
    <xf numFmtId="0" fontId="8" fillId="0" borderId="3" xfId="0" applyNumberFormat="1" applyFont="1" applyFill="1" applyBorder="1" applyAlignment="1">
      <alignment horizontal="center" vertical="center"/>
    </xf>
    <xf numFmtId="168" fontId="8" fillId="0" borderId="3" xfId="0" applyNumberFormat="1" applyFont="1" applyFill="1" applyBorder="1" applyAlignment="1">
      <alignment horizontal="center" vertical="center"/>
    </xf>
    <xf numFmtId="166" fontId="1" fillId="0" borderId="3" xfId="0" applyNumberFormat="1" applyFont="1" applyFill="1" applyBorder="1" applyAlignment="1">
      <alignment horizontal="center" vertical="center"/>
    </xf>
    <xf numFmtId="168" fontId="1" fillId="0" borderId="3" xfId="0" applyNumberFormat="1" applyFont="1" applyFill="1" applyBorder="1" applyAlignment="1">
      <alignment horizontal="center" vertical="center"/>
    </xf>
    <xf numFmtId="10" fontId="8" fillId="0" borderId="3" xfId="1" applyNumberFormat="1" applyFont="1" applyFill="1" applyBorder="1" applyAlignment="1">
      <alignment horizontal="center" vertical="center"/>
    </xf>
    <xf numFmtId="164" fontId="8" fillId="0" borderId="3" xfId="0" applyNumberFormat="1" applyFont="1" applyFill="1" applyBorder="1" applyAlignment="1">
      <alignment horizontal="center" vertical="center"/>
    </xf>
    <xf numFmtId="164" fontId="1" fillId="0" borderId="3" xfId="0" applyNumberFormat="1" applyFont="1" applyFill="1" applyBorder="1" applyAlignment="1">
      <alignment horizontal="center" vertical="center"/>
    </xf>
    <xf numFmtId="9" fontId="8" fillId="0" borderId="3" xfId="0" applyNumberFormat="1" applyFont="1" applyFill="1" applyBorder="1" applyAlignment="1">
      <alignment horizontal="center" vertical="center"/>
    </xf>
    <xf numFmtId="171" fontId="1" fillId="0" borderId="3" xfId="0" applyNumberFormat="1" applyFont="1" applyFill="1" applyBorder="1" applyAlignment="1">
      <alignment horizontal="center" vertical="center"/>
    </xf>
    <xf numFmtId="172" fontId="8" fillId="0" borderId="3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left" vertical="center"/>
    </xf>
    <xf numFmtId="0" fontId="1" fillId="0" borderId="0" xfId="0" applyFont="1" applyFill="1">
      <alignment vertical="center"/>
    </xf>
    <xf numFmtId="0" fontId="1" fillId="7" borderId="3" xfId="0" applyFont="1" applyFill="1" applyBorder="1" applyAlignment="1">
      <alignment horizontal="left" vertical="center"/>
    </xf>
    <xf numFmtId="164" fontId="5" fillId="7" borderId="3" xfId="0" applyNumberFormat="1" applyFont="1" applyFill="1" applyBorder="1" applyAlignment="1">
      <alignment horizontal="center" vertical="center"/>
    </xf>
    <xf numFmtId="10" fontId="5" fillId="7" borderId="3" xfId="0" applyNumberFormat="1" applyFont="1" applyFill="1" applyBorder="1" applyAlignment="1">
      <alignment horizontal="center" vertical="center"/>
    </xf>
    <xf numFmtId="167" fontId="1" fillId="7" borderId="3" xfId="0" applyNumberFormat="1" applyFont="1" applyFill="1" applyBorder="1" applyAlignment="1">
      <alignment horizontal="center" vertical="center"/>
    </xf>
    <xf numFmtId="0" fontId="8" fillId="7" borderId="3" xfId="0" applyNumberFormat="1" applyFont="1" applyFill="1" applyBorder="1" applyAlignment="1">
      <alignment horizontal="center" vertical="center"/>
    </xf>
    <xf numFmtId="168" fontId="8" fillId="7" borderId="3" xfId="0" applyNumberFormat="1" applyFont="1" applyFill="1" applyBorder="1" applyAlignment="1">
      <alignment horizontal="center" vertical="center"/>
    </xf>
    <xf numFmtId="166" fontId="1" fillId="7" borderId="3" xfId="0" applyNumberFormat="1" applyFont="1" applyFill="1" applyBorder="1" applyAlignment="1">
      <alignment horizontal="center" vertical="center"/>
    </xf>
    <xf numFmtId="168" fontId="1" fillId="7" borderId="3" xfId="0" applyNumberFormat="1" applyFont="1" applyFill="1" applyBorder="1" applyAlignment="1">
      <alignment horizontal="center" vertical="center"/>
    </xf>
    <xf numFmtId="10" fontId="8" fillId="7" borderId="3" xfId="1" applyNumberFormat="1" applyFont="1" applyFill="1" applyBorder="1" applyAlignment="1">
      <alignment horizontal="center" vertical="center"/>
    </xf>
    <xf numFmtId="164" fontId="8" fillId="7" borderId="3" xfId="0" applyNumberFormat="1" applyFont="1" applyFill="1" applyBorder="1" applyAlignment="1">
      <alignment horizontal="center" vertical="center"/>
    </xf>
    <xf numFmtId="164" fontId="1" fillId="7" borderId="3" xfId="0" applyNumberFormat="1" applyFont="1" applyFill="1" applyBorder="1" applyAlignment="1">
      <alignment horizontal="center" vertical="center"/>
    </xf>
    <xf numFmtId="9" fontId="8" fillId="7" borderId="3" xfId="0" applyNumberFormat="1" applyFont="1" applyFill="1" applyBorder="1" applyAlignment="1">
      <alignment horizontal="center" vertical="center"/>
    </xf>
    <xf numFmtId="171" fontId="1" fillId="7" borderId="3" xfId="0" applyNumberFormat="1" applyFont="1" applyFill="1" applyBorder="1" applyAlignment="1">
      <alignment horizontal="center" vertical="center"/>
    </xf>
    <xf numFmtId="172" fontId="8" fillId="7" borderId="3" xfId="0" applyNumberFormat="1" applyFont="1" applyFill="1" applyBorder="1" applyAlignment="1">
      <alignment horizontal="center" vertical="center"/>
    </xf>
    <xf numFmtId="169" fontId="5" fillId="0" borderId="3" xfId="0" applyNumberFormat="1" applyFont="1" applyFill="1" applyBorder="1" applyAlignment="1">
      <alignment horizontal="center" vertical="center"/>
    </xf>
    <xf numFmtId="169" fontId="8" fillId="0" borderId="3" xfId="0" applyNumberFormat="1" applyFont="1" applyFill="1" applyBorder="1" applyAlignment="1">
      <alignment horizontal="center" vertical="center"/>
    </xf>
    <xf numFmtId="169" fontId="1" fillId="0" borderId="3" xfId="0" applyNumberFormat="1" applyFont="1" applyFill="1" applyBorder="1" applyAlignment="1">
      <alignment horizontal="center" vertical="center"/>
    </xf>
    <xf numFmtId="10" fontId="1" fillId="0" borderId="3" xfId="0" applyNumberFormat="1" applyFont="1" applyFill="1" applyBorder="1" applyAlignment="1">
      <alignment horizontal="left" vertical="center"/>
    </xf>
    <xf numFmtId="169" fontId="5" fillId="7" borderId="3" xfId="0" applyNumberFormat="1" applyFont="1" applyFill="1" applyBorder="1" applyAlignment="1">
      <alignment horizontal="center" vertical="center"/>
    </xf>
    <xf numFmtId="169" fontId="8" fillId="7" borderId="3" xfId="0" applyNumberFormat="1" applyFont="1" applyFill="1" applyBorder="1" applyAlignment="1">
      <alignment horizontal="center" vertical="center"/>
    </xf>
    <xf numFmtId="169" fontId="1" fillId="7" borderId="3" xfId="0" applyNumberFormat="1" applyFont="1" applyFill="1" applyBorder="1" applyAlignment="1">
      <alignment horizontal="center" vertical="center"/>
    </xf>
    <xf numFmtId="170" fontId="5" fillId="0" borderId="3" xfId="0" applyNumberFormat="1" applyFont="1" applyFill="1" applyBorder="1" applyAlignment="1">
      <alignment horizontal="center" vertical="center"/>
    </xf>
    <xf numFmtId="170" fontId="8" fillId="0" borderId="3" xfId="0" applyNumberFormat="1" applyFont="1" applyFill="1" applyBorder="1" applyAlignment="1">
      <alignment horizontal="center" vertical="center"/>
    </xf>
    <xf numFmtId="170" fontId="1" fillId="0" borderId="3" xfId="0" applyNumberFormat="1" applyFont="1" applyFill="1" applyBorder="1" applyAlignment="1">
      <alignment horizontal="center" vertical="center"/>
    </xf>
    <xf numFmtId="170" fontId="5" fillId="7" borderId="3" xfId="0" applyNumberFormat="1" applyFont="1" applyFill="1" applyBorder="1" applyAlignment="1">
      <alignment horizontal="center" vertical="center"/>
    </xf>
    <xf numFmtId="170" fontId="8" fillId="7" borderId="3" xfId="0" applyNumberFormat="1" applyFont="1" applyFill="1" applyBorder="1" applyAlignment="1">
      <alignment horizontal="center" vertical="center"/>
    </xf>
    <xf numFmtId="170" fontId="1" fillId="7" borderId="3" xfId="0" applyNumberFormat="1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9" fillId="8" borderId="0" xfId="0" applyFont="1" applyFill="1" applyAlignment="1">
      <alignment horizontal="center" vertical="center"/>
    </xf>
    <xf numFmtId="0" fontId="10" fillId="9" borderId="1" xfId="0" applyFont="1" applyFill="1" applyBorder="1">
      <alignment vertical="center"/>
    </xf>
    <xf numFmtId="0" fontId="11" fillId="0" borderId="1" xfId="0" applyFont="1" applyFill="1" applyBorder="1">
      <alignment vertical="center"/>
    </xf>
    <xf numFmtId="0" fontId="11" fillId="0" borderId="1" xfId="0" applyFont="1" applyFill="1" applyBorder="1" applyAlignment="1">
      <alignment vertical="center" wrapText="1"/>
    </xf>
    <xf numFmtId="0" fontId="10" fillId="9" borderId="1" xfId="0" applyFont="1" applyFill="1" applyBorder="1" applyAlignment="1">
      <alignment horizontal="left" vertical="center"/>
    </xf>
    <xf numFmtId="0" fontId="11" fillId="0" borderId="1" xfId="0" applyFont="1" applyFill="1" applyBorder="1" applyAlignment="1">
      <alignment horizontal="left" vertical="center"/>
    </xf>
    <xf numFmtId="0" fontId="5" fillId="0" borderId="0" xfId="0" applyFont="1">
      <alignment vertical="center"/>
    </xf>
    <xf numFmtId="0" fontId="12" fillId="0" borderId="0" xfId="0" applyFont="1" applyFill="1">
      <alignment vertical="center"/>
    </xf>
    <xf numFmtId="0" fontId="5" fillId="0" borderId="0" xfId="0" applyFont="1" applyFill="1">
      <alignment vertical="center"/>
    </xf>
    <xf numFmtId="0" fontId="13" fillId="0" borderId="0" xfId="0" applyFont="1" applyFill="1">
      <alignment vertical="center"/>
    </xf>
    <xf numFmtId="0" fontId="1" fillId="0" borderId="1" xfId="0" applyFill="1" applyBorder="1">
      <alignment vertical="center"/>
    </xf>
    <xf numFmtId="0" fontId="5" fillId="0" borderId="1" xfId="0" applyFont="1" applyFill="1" applyBorder="1" applyAlignment="1">
      <alignment horizontal="center" vertical="center" wrapText="1"/>
    </xf>
    <xf numFmtId="0" fontId="1" fillId="0" borderId="1" xfId="0" applyFill="1" applyBorder="1" applyAlignment="1">
      <alignment vertical="center" wrapText="1"/>
    </xf>
    <xf numFmtId="0" fontId="1" fillId="0" borderId="1" xfId="0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  <xf numFmtId="164" fontId="1" fillId="0" borderId="1" xfId="0" applyNumberFormat="1" applyFill="1" applyBorder="1" applyAlignment="1">
      <alignment horizontal="center" vertical="center" wrapText="1"/>
    </xf>
    <xf numFmtId="0" fontId="14" fillId="0" borderId="5" xfId="0" applyFont="1" applyFill="1" applyBorder="1" applyAlignment="1">
      <alignment horizontal="left" vertical="top" wrapText="1"/>
    </xf>
    <xf numFmtId="0" fontId="15" fillId="10" borderId="1" xfId="0" applyFont="1" applyFill="1" applyBorder="1" applyAlignment="1">
      <alignment horizontal="center" vertical="center" wrapText="1"/>
    </xf>
    <xf numFmtId="0" fontId="16" fillId="1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/>
    </xf>
    <xf numFmtId="166" fontId="14" fillId="11" borderId="1" xfId="0" applyNumberFormat="1" applyFont="1" applyFill="1" applyBorder="1" applyAlignment="1">
      <alignment horizontal="right" vertical="center"/>
    </xf>
    <xf numFmtId="0" fontId="17" fillId="0" borderId="1" xfId="0" applyFont="1" applyFill="1" applyBorder="1" applyAlignment="1">
      <alignment horizontal="left" vertical="center"/>
    </xf>
    <xf numFmtId="166" fontId="14" fillId="11" borderId="1" xfId="0" applyNumberFormat="1" applyFont="1" applyFill="1" applyBorder="1" applyAlignment="1">
      <alignment horizontal="right" vertical="center" wrapText="1"/>
    </xf>
    <xf numFmtId="0" fontId="1" fillId="0" borderId="6" xfId="0" applyFill="1" applyBorder="1" applyAlignment="1">
      <alignment horizontal="center" vertical="center" wrapText="1"/>
    </xf>
    <xf numFmtId="0" fontId="1" fillId="0" borderId="7" xfId="0" applyFill="1" applyBorder="1" applyAlignment="1">
      <alignment horizontal="center" vertical="center" wrapText="1"/>
    </xf>
    <xf numFmtId="0" fontId="1" fillId="0" borderId="8" xfId="0" applyFill="1" applyBorder="1" applyAlignment="1">
      <alignment horizontal="center" vertical="center" wrapText="1"/>
    </xf>
    <xf numFmtId="0" fontId="14" fillId="0" borderId="0" xfId="0" applyFont="1" applyFill="1">
      <alignment vertical="center"/>
    </xf>
    <xf numFmtId="0" fontId="18" fillId="0" borderId="0" xfId="2" applyFont="1">
      <alignment vertical="center"/>
    </xf>
    <xf numFmtId="0" fontId="19" fillId="0" borderId="0" xfId="0" applyFont="1" applyFill="1">
      <alignment vertical="center"/>
    </xf>
    <xf numFmtId="0" fontId="14" fillId="0" borderId="0" xfId="0" applyFont="1" applyFill="1" applyAlignment="1">
      <alignment vertical="center" wrapText="1"/>
    </xf>
    <xf numFmtId="0" fontId="20" fillId="0" borderId="0" xfId="0" applyFont="1" applyFill="1" applyAlignment="1">
      <alignment horizontal="left" vertical="center" wrapText="1"/>
    </xf>
    <xf numFmtId="0" fontId="21" fillId="0" borderId="0" xfId="0" applyFont="1" applyFill="1" applyAlignment="1">
      <alignment horizontal="left" vertical="center"/>
    </xf>
    <xf numFmtId="0" fontId="14" fillId="0" borderId="9" xfId="0" applyFont="1" applyFill="1" applyBorder="1" applyAlignment="1">
      <alignment horizontal="left" vertical="top" wrapText="1"/>
    </xf>
    <xf numFmtId="0" fontId="14" fillId="6" borderId="9" xfId="0" applyFont="1" applyFill="1" applyBorder="1" applyAlignment="1">
      <alignment horizontal="left" vertical="top" wrapText="1"/>
    </xf>
    <xf numFmtId="0" fontId="14" fillId="12" borderId="9" xfId="0" applyFont="1" applyFill="1" applyBorder="1" applyAlignment="1">
      <alignment horizontal="left" vertical="top" wrapText="1"/>
    </xf>
    <xf numFmtId="0" fontId="14" fillId="0" borderId="10" xfId="0" applyFont="1" applyFill="1" applyBorder="1" applyAlignment="1">
      <alignment horizontal="center" vertical="top" wrapText="1"/>
    </xf>
    <xf numFmtId="0" fontId="22" fillId="12" borderId="9" xfId="0" applyFont="1" applyFill="1" applyBorder="1" applyAlignment="1">
      <alignment horizontal="left" vertical="top" wrapText="1"/>
    </xf>
    <xf numFmtId="0" fontId="22" fillId="5" borderId="9" xfId="0" applyFont="1" applyFill="1" applyBorder="1" applyAlignment="1">
      <alignment horizontal="left" vertical="top" wrapText="1"/>
    </xf>
    <xf numFmtId="165" fontId="14" fillId="0" borderId="9" xfId="0" applyNumberFormat="1" applyFont="1" applyFill="1" applyBorder="1" applyAlignment="1">
      <alignment horizontal="left" vertical="top" wrapText="1"/>
    </xf>
    <xf numFmtId="0" fontId="14" fillId="13" borderId="9" xfId="0" applyFont="1" applyFill="1" applyBorder="1" applyAlignment="1">
      <alignment horizontal="left" vertical="top" wrapText="1"/>
    </xf>
    <xf numFmtId="165" fontId="14" fillId="0" borderId="11" xfId="0" applyNumberFormat="1" applyFont="1" applyFill="1" applyBorder="1" applyAlignment="1">
      <alignment vertical="center" wrapText="1"/>
    </xf>
    <xf numFmtId="165" fontId="14" fillId="0" borderId="12" xfId="0" applyNumberFormat="1" applyFont="1" applyFill="1" applyBorder="1" applyAlignment="1">
      <alignment horizontal="left" vertical="top" wrapText="1"/>
    </xf>
    <xf numFmtId="165" fontId="14" fillId="0" borderId="13" xfId="0" applyNumberFormat="1" applyFont="1" applyFill="1" applyBorder="1" applyAlignment="1">
      <alignment horizontal="left" vertical="top" wrapText="1"/>
    </xf>
    <xf numFmtId="0" fontId="14" fillId="0" borderId="9" xfId="0" applyFont="1" applyFill="1" applyBorder="1">
      <alignment vertical="center"/>
    </xf>
    <xf numFmtId="0" fontId="23" fillId="0" borderId="9" xfId="0" applyFont="1" applyFill="1" applyBorder="1" applyAlignment="1">
      <alignment horizontal="center" vertical="center"/>
    </xf>
    <xf numFmtId="0" fontId="14" fillId="10" borderId="9" xfId="0" applyFont="1" applyFill="1" applyBorder="1" applyAlignment="1">
      <alignment horizontal="left" vertical="top" wrapText="1"/>
    </xf>
    <xf numFmtId="0" fontId="22" fillId="0" borderId="9" xfId="0" applyFont="1" applyFill="1" applyBorder="1">
      <alignment vertical="center"/>
    </xf>
    <xf numFmtId="0" fontId="14" fillId="0" borderId="9" xfId="0" applyFont="1" applyFill="1" applyBorder="1" applyAlignment="1">
      <alignment horizontal="right" vertical="center"/>
    </xf>
    <xf numFmtId="0" fontId="24" fillId="14" borderId="9" xfId="0" applyFont="1" applyFill="1" applyBorder="1" applyAlignment="1">
      <alignment horizontal="left" vertical="top" wrapText="1"/>
    </xf>
    <xf numFmtId="0" fontId="17" fillId="14" borderId="9" xfId="0" applyFont="1" applyFill="1" applyBorder="1" applyAlignment="1">
      <alignment horizontal="left" vertical="top" wrapText="1"/>
    </xf>
    <xf numFmtId="0" fontId="22" fillId="0" borderId="14" xfId="0" applyFont="1" applyFill="1" applyBorder="1" applyAlignment="1">
      <alignment horizontal="left" vertical="top" wrapText="1"/>
    </xf>
    <xf numFmtId="0" fontId="25" fillId="0" borderId="15" xfId="0" applyFont="1" applyFill="1" applyBorder="1" applyAlignment="1">
      <alignment horizontal="left" vertical="top" wrapText="1"/>
    </xf>
    <xf numFmtId="0" fontId="14" fillId="0" borderId="10" xfId="0" applyFont="1" applyFill="1" applyBorder="1" applyAlignment="1">
      <alignment horizontal="left" vertical="top" wrapText="1"/>
    </xf>
    <xf numFmtId="0" fontId="15" fillId="10" borderId="9" xfId="0" applyFont="1" applyFill="1" applyBorder="1" applyAlignment="1">
      <alignment horizontal="center" vertical="center" wrapText="1"/>
    </xf>
    <xf numFmtId="0" fontId="16" fillId="10" borderId="9" xfId="0" applyFont="1" applyFill="1" applyBorder="1" applyAlignment="1">
      <alignment horizontal="center" vertical="center" wrapText="1"/>
    </xf>
    <xf numFmtId="0" fontId="14" fillId="0" borderId="9" xfId="0" applyFont="1" applyFill="1" applyBorder="1" applyAlignment="1">
      <alignment horizontal="center" vertical="center"/>
    </xf>
    <xf numFmtId="166" fontId="14" fillId="11" borderId="9" xfId="0" applyNumberFormat="1" applyFont="1" applyFill="1" applyBorder="1" applyAlignment="1">
      <alignment horizontal="right" vertical="center"/>
    </xf>
    <xf numFmtId="0" fontId="17" fillId="0" borderId="9" xfId="0" applyFont="1" applyFill="1" applyBorder="1" applyAlignment="1">
      <alignment horizontal="left" vertical="center"/>
    </xf>
    <xf numFmtId="166" fontId="14" fillId="11" borderId="9" xfId="0" applyNumberFormat="1" applyFont="1" applyFill="1" applyBorder="1" applyAlignment="1">
      <alignment horizontal="right" vertical="center" wrapText="1"/>
    </xf>
    <xf numFmtId="0" fontId="14" fillId="9" borderId="9" xfId="0" applyFont="1" applyFill="1" applyBorder="1" applyAlignment="1">
      <alignment horizontal="left" vertical="top" wrapText="1"/>
    </xf>
    <xf numFmtId="0" fontId="21" fillId="0" borderId="0" xfId="0" applyFont="1" applyFill="1" applyAlignment="1">
      <alignment horizontal="left" vertical="center" wrapText="1"/>
    </xf>
    <xf numFmtId="0" fontId="14" fillId="14" borderId="9" xfId="0" applyFont="1" applyFill="1" applyBorder="1" applyAlignment="1">
      <alignment horizontal="left" vertical="top" wrapText="1"/>
    </xf>
  </cellXfs>
  <cellStyles count="3">
    <cellStyle name="常规" xfId="0" builtinId="0"/>
    <cellStyle name="百分比" xfId="1" builtinId="5"/>
    <cellStyle name="超链接" xfId="2"/>
  </cellStyles>
  <dxfs count="3">
    <dxf>
      <fill>
        <patternFill patternType="solid">
          <bgColor rgb="FFFFEFEF"/>
        </patternFill>
      </fill>
    </dxf>
    <dxf>
      <fill>
        <patternFill patternType="solid">
          <bgColor rgb="FFFFEFEF"/>
        </patternFill>
      </fill>
    </dxf>
    <dxf>
      <fill>
        <patternFill patternType="solid">
          <bgColor rgb="FFFFEFEF"/>
        </patternFill>
      </fill>
    </dxf>
  </dxfs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52</xdr:row>
      <xdr:rowOff>0</xdr:rowOff>
    </xdr:from>
    <xdr:to>
      <xdr:col>2</xdr:col>
      <xdr:colOff>27170</xdr:colOff>
      <xdr:row>57</xdr:row>
      <xdr:rowOff>190202</xdr:rowOff>
    </xdr:to>
    <xdr:pic>
      <xdr:nvPicPr>
        <xdr:cNvPr id="2" name="图片 1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11391900"/>
          <a:ext cx="1285875" cy="134302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2</xdr:col>
      <xdr:colOff>27170</xdr:colOff>
      <xdr:row>68</xdr:row>
      <xdr:rowOff>139600</xdr:rowOff>
    </xdr:to>
    <xdr:pic>
      <xdr:nvPicPr>
        <xdr:cNvPr id="3" name="图片 2" descr=" 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0" y="13411200"/>
          <a:ext cx="1285875" cy="156527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2</xdr:col>
      <xdr:colOff>27170</xdr:colOff>
      <xdr:row>77</xdr:row>
      <xdr:rowOff>139600</xdr:rowOff>
    </xdr:to>
    <xdr:pic>
      <xdr:nvPicPr>
        <xdr:cNvPr id="4" name="图片 3" descr=" "/>
        <xdr:cNvPicPr/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0" y="15189200"/>
          <a:ext cx="1285875" cy="138747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2</xdr:col>
      <xdr:colOff>27170</xdr:colOff>
      <xdr:row>86</xdr:row>
      <xdr:rowOff>139600</xdr:rowOff>
    </xdr:to>
    <xdr:pic>
      <xdr:nvPicPr>
        <xdr:cNvPr id="5" name="图片 4" descr=" "/>
        <xdr:cNvPicPr/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0" y="16789400"/>
          <a:ext cx="1285875" cy="1387476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2</xdr:col>
      <xdr:colOff>27170</xdr:colOff>
      <xdr:row>95</xdr:row>
      <xdr:rowOff>139600</xdr:rowOff>
    </xdr:to>
    <xdr:pic>
      <xdr:nvPicPr>
        <xdr:cNvPr id="6" name="图片 5" descr=" "/>
        <xdr:cNvPicPr/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0" y="18389600"/>
          <a:ext cx="1285875" cy="1387476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hyperlink" Target="https://amazon.com/selling-fee-changes" TargetMode="External"/><Relationship Id="rId3" Type="http://schemas.openxmlformats.org/officeDocument/2006/relationships/hyperlink" Target="https://sellercentral.amazon.com/gp/help/G53Z9EKF8VVZVH29?language=zh_CN&amp;ref=ag_G53Z9EKF8VVZVH29_cont_GG5KW835AHDJCH8W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sellercentral.amazon.co.uk/gp/help/help.html?itemID=R3KYZX2PYKAQLWB&amp;language=zh_CN&amp;ref=ag_R3KYZX2PYKAQLWB_cont_GABBX6GZPA8MSZGW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18"/>
  <sheetViews>
    <sheetView tabSelected="1" workbookViewId="0" topLeftCell="T1" zoomScale="36">
      <selection activeCell="N11" sqref="N11:Q15"/>
    </sheetView>
  </sheetViews>
  <sheetFormatPr defaultRowHeight="14.0"/>
  <cols>
    <col min="1" max="1" customWidth="1" width="4.6601562" style="0"/>
    <col min="2" max="2" customWidth="1" width="5.6054688" style="0"/>
    <col min="3" max="3" customWidth="0" width="11.769531" style="0"/>
    <col min="4" max="4" customWidth="1" width="10.105469" style="0"/>
    <col min="5" max="5" customWidth="1" width="10.660156" style="0"/>
    <col min="6" max="6" customWidth="1" width="8.550781" style="0"/>
    <col min="7" max="7" customWidth="1" width="6.7695312" style="0"/>
    <col min="8" max="8" customWidth="1" width="9.269531" style="0"/>
    <col min="9" max="9" customWidth="1" width="10.84375" style="0"/>
    <col min="11" max="11" customWidth="1" width="9.925781" style="0"/>
    <col min="12" max="12" customWidth="1" width="11.0" style="0"/>
    <col min="13" max="13" customWidth="1" width="9.40625" style="0"/>
    <col min="14" max="14" customWidth="1" width="10.980469" style="0"/>
    <col min="15" max="19" customWidth="0" width="9.660156" style="0"/>
    <col min="20" max="20" customWidth="1" width="10.890625" style="0"/>
    <col min="21" max="21" customWidth="1" width="10.8515625" style="0"/>
    <col min="22" max="22" customWidth="1" width="10.980469" style="0"/>
    <col min="24" max="24" customWidth="0" width="12.625" style="0"/>
    <col min="25" max="25" customWidth="1" width="12.816406" style="0"/>
    <col min="30" max="30" customWidth="0" width="12.890625" style="0"/>
    <col min="31" max="31" customWidth="1" width="10.4453125" style="0"/>
    <col min="32" max="32" customWidth="1" width="12.2265625" style="0"/>
  </cols>
  <sheetData>
    <row r="1" spans="8:8" s="1" ht="16.0" customFormat="1" customHeight="1">
      <c r="A1" s="2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7"/>
      <c r="J1" s="7"/>
      <c r="K1" s="7"/>
      <c r="L1" s="7"/>
      <c r="M1" s="7"/>
      <c r="N1" s="7"/>
      <c r="O1" s="5" t="s">
        <v>8</v>
      </c>
      <c r="P1" s="5"/>
      <c r="Q1" s="5"/>
      <c r="R1" s="8" t="s">
        <v>9</v>
      </c>
      <c r="S1" s="8"/>
      <c r="T1" s="9" t="s">
        <v>10</v>
      </c>
      <c r="U1" s="9"/>
      <c r="V1" s="10" t="s">
        <v>11</v>
      </c>
      <c r="W1" s="10"/>
      <c r="X1" s="11"/>
    </row>
    <row r="2" spans="8:8" s="12" ht="33.0" customFormat="1">
      <c r="A2" s="2"/>
      <c r="B2" s="2"/>
      <c r="C2" s="3"/>
      <c r="D2" s="4"/>
      <c r="E2" s="4"/>
      <c r="F2" s="5"/>
      <c r="G2" s="6"/>
      <c r="H2" s="13" t="s">
        <v>12</v>
      </c>
      <c r="I2" s="14" t="s">
        <v>13</v>
      </c>
      <c r="J2" s="15" t="s">
        <v>14</v>
      </c>
      <c r="K2" s="14" t="s">
        <v>15</v>
      </c>
      <c r="L2" s="16" t="s">
        <v>16</v>
      </c>
      <c r="M2" s="13" t="s">
        <v>17</v>
      </c>
      <c r="N2" s="15" t="s">
        <v>18</v>
      </c>
      <c r="O2" s="6" t="s">
        <v>19</v>
      </c>
      <c r="P2" s="17" t="s">
        <v>20</v>
      </c>
      <c r="Q2" s="6" t="s">
        <v>21</v>
      </c>
      <c r="R2" s="18" t="s">
        <v>22</v>
      </c>
      <c r="S2" s="19" t="s">
        <v>23</v>
      </c>
      <c r="T2" s="20" t="s">
        <v>24</v>
      </c>
      <c r="U2" s="21" t="s">
        <v>25</v>
      </c>
      <c r="V2" s="2" t="s">
        <v>26</v>
      </c>
      <c r="W2" s="22" t="s">
        <v>27</v>
      </c>
      <c r="X2" s="23" t="s">
        <v>28</v>
      </c>
    </row>
    <row r="3" spans="8:8" s="24" ht="26.0" customFormat="1" customHeight="1">
      <c r="A3" s="25" t="s">
        <v>29</v>
      </c>
      <c r="B3" s="25"/>
      <c r="C3" s="26">
        <v>20.99</v>
      </c>
      <c r="D3" s="26">
        <f t="shared" si="0" ref="D3:D8">(C3-O3-P3-R3)-(N3+T3+V3)/G3</f>
        <v>9.580746999999999</v>
      </c>
      <c r="E3" s="27">
        <f t="shared" si="1" ref="E3:E8">D3/C3</f>
        <v>0.45644340161981894</v>
      </c>
      <c r="F3" s="28" t="s">
        <v>30</v>
      </c>
      <c r="G3" s="29">
        <v>6.4</v>
      </c>
      <c r="H3" s="30">
        <v>12.0</v>
      </c>
      <c r="I3" s="29">
        <v>0.05</v>
      </c>
      <c r="J3" s="31" t="s">
        <v>31</v>
      </c>
      <c r="K3" s="30">
        <v>30.0</v>
      </c>
      <c r="L3" s="32">
        <f t="shared" si="2" ref="L3:L8">K3*I3</f>
        <v>1.5</v>
      </c>
      <c r="M3" s="33">
        <v>0.08</v>
      </c>
      <c r="N3" s="32">
        <f>H3+L3+(H3+L3)*M3</f>
        <v>14.58</v>
      </c>
      <c r="O3" s="34">
        <v>3.47</v>
      </c>
      <c r="P3" s="35">
        <f t="shared" si="3" ref="P3:P8">C3*Q3</f>
        <v>3.1485</v>
      </c>
      <c r="Q3" s="36">
        <v>0.15</v>
      </c>
      <c r="R3" s="37">
        <f t="shared" si="4" ref="R3:R8">C3/(1+S3)*S3</f>
        <v>0.0</v>
      </c>
      <c r="S3" s="36">
        <v>0.0</v>
      </c>
      <c r="T3" s="32">
        <f t="shared" si="5" ref="T3:T8">C3*G3*U3</f>
        <v>13.433599999999998</v>
      </c>
      <c r="U3" s="38">
        <v>0.1</v>
      </c>
      <c r="V3" s="32">
        <f t="shared" si="6" ref="V3:V8">((P3*0.2+P3)*G3+H3+K3)*W3</f>
        <v>2.6472192000000003</v>
      </c>
      <c r="W3" s="38">
        <v>0.04</v>
      </c>
      <c r="X3" s="39"/>
    </row>
    <row r="4" spans="8:8" s="40" ht="27.0" customFormat="1" customHeight="1">
      <c r="A4" s="41" t="s">
        <v>29</v>
      </c>
      <c r="B4" s="41"/>
      <c r="C4" s="42">
        <v>20.99</v>
      </c>
      <c r="D4" s="42">
        <f t="shared" si="0"/>
        <v>8.846371999999999</v>
      </c>
      <c r="E4" s="43">
        <f t="shared" si="1"/>
        <v>0.4214565030967127</v>
      </c>
      <c r="F4" s="44" t="s">
        <v>30</v>
      </c>
      <c r="G4" s="45">
        <v>6.4</v>
      </c>
      <c r="H4" s="46">
        <v>12.0</v>
      </c>
      <c r="I4" s="45">
        <v>0.05</v>
      </c>
      <c r="J4" s="47" t="s">
        <v>32</v>
      </c>
      <c r="K4" s="46">
        <v>80.0</v>
      </c>
      <c r="L4" s="48">
        <f t="shared" si="2"/>
        <v>4.0</v>
      </c>
      <c r="M4" s="49">
        <v>0.08</v>
      </c>
      <c r="N4" s="48">
        <f>H4+L4+(H4+L4)*M4</f>
        <v>17.28</v>
      </c>
      <c r="O4" s="50">
        <v>3.47</v>
      </c>
      <c r="P4" s="51">
        <f t="shared" si="3"/>
        <v>3.1485</v>
      </c>
      <c r="Q4" s="52">
        <v>0.15</v>
      </c>
      <c r="R4" s="53">
        <f t="shared" si="4"/>
        <v>0.0</v>
      </c>
      <c r="S4" s="52">
        <v>0.0</v>
      </c>
      <c r="T4" s="48">
        <f t="shared" si="5"/>
        <v>13.433599999999998</v>
      </c>
      <c r="U4" s="54">
        <v>0.1</v>
      </c>
      <c r="V4" s="48">
        <f t="shared" si="6"/>
        <v>4.6472192</v>
      </c>
      <c r="W4" s="54">
        <v>0.04</v>
      </c>
      <c r="X4" s="41"/>
    </row>
    <row r="5" spans="8:8" ht="21.0" customHeight="1">
      <c r="A5" s="25" t="s">
        <v>33</v>
      </c>
      <c r="B5" s="25"/>
      <c r="C5" s="55">
        <v>10.99</v>
      </c>
      <c r="D5" s="55">
        <f t="shared" si="0"/>
        <v>4.0972989047903</v>
      </c>
      <c r="E5" s="27">
        <f t="shared" si="1"/>
        <v>0.3728206464777343</v>
      </c>
      <c r="F5" s="28" t="s">
        <v>34</v>
      </c>
      <c r="G5" s="29">
        <v>8.6</v>
      </c>
      <c r="H5" s="30">
        <v>6.5</v>
      </c>
      <c r="I5" s="29">
        <v>0.1</v>
      </c>
      <c r="J5" s="31" t="s">
        <v>31</v>
      </c>
      <c r="K5" s="30">
        <v>30.0</v>
      </c>
      <c r="L5" s="48">
        <f t="shared" si="2"/>
        <v>3.0</v>
      </c>
      <c r="M5" s="33">
        <v>0.02</v>
      </c>
      <c r="N5" s="32">
        <f t="shared" si="7" ref="N3:N8">H5+L5+(H5+L5)*M5</f>
        <v>9.69</v>
      </c>
      <c r="O5" s="56">
        <v>1.66</v>
      </c>
      <c r="P5" s="57">
        <f t="shared" si="3"/>
        <v>1.6485</v>
      </c>
      <c r="Q5" s="36">
        <v>0.15</v>
      </c>
      <c r="R5" s="57">
        <f t="shared" si="4"/>
        <v>1.5968376068376071</v>
      </c>
      <c r="S5" s="36">
        <v>0.17</v>
      </c>
      <c r="T5" s="32">
        <f t="shared" si="5"/>
        <v>4.7257</v>
      </c>
      <c r="U5" s="38">
        <v>0.05</v>
      </c>
      <c r="V5" s="32">
        <f t="shared" si="6"/>
        <v>2.6756260000000003</v>
      </c>
      <c r="W5" s="38">
        <v>0.05</v>
      </c>
      <c r="X5" s="58">
        <f>D5*G5/N5</f>
        <v>3.6364056327344256</v>
      </c>
    </row>
    <row r="6" spans="8:8" ht="23.0" customHeight="1">
      <c r="A6" s="41" t="s">
        <v>33</v>
      </c>
      <c r="B6" s="41"/>
      <c r="C6" s="59">
        <v>15.99</v>
      </c>
      <c r="D6" s="59">
        <f t="shared" si="0"/>
        <v>-0.9957675348837203</v>
      </c>
      <c r="E6" s="43">
        <f t="shared" si="1"/>
        <v>-0.062274392425498454</v>
      </c>
      <c r="F6" s="44" t="s">
        <v>34</v>
      </c>
      <c r="G6" s="45">
        <v>8.6</v>
      </c>
      <c r="H6" s="46">
        <v>47.8</v>
      </c>
      <c r="I6" s="45">
        <v>0.05</v>
      </c>
      <c r="J6" s="47" t="s">
        <v>32</v>
      </c>
      <c r="K6" s="46">
        <v>80.0</v>
      </c>
      <c r="L6" s="48">
        <f t="shared" si="2"/>
        <v>4.0</v>
      </c>
      <c r="M6" s="49">
        <v>0.02</v>
      </c>
      <c r="N6" s="48">
        <f t="shared" si="7"/>
        <v>52.836</v>
      </c>
      <c r="O6" s="60">
        <v>3.47</v>
      </c>
      <c r="P6" s="61">
        <f t="shared" si="3"/>
        <v>2.3985</v>
      </c>
      <c r="Q6" s="52">
        <v>0.15</v>
      </c>
      <c r="R6" s="61">
        <f t="shared" si="4"/>
        <v>2.6650000000000005</v>
      </c>
      <c r="S6" s="52">
        <v>0.2</v>
      </c>
      <c r="T6" s="48">
        <f t="shared" si="5"/>
        <v>13.751400000000002</v>
      </c>
      <c r="U6" s="54">
        <v>0.1</v>
      </c>
      <c r="V6" s="48">
        <f t="shared" si="6"/>
        <v>6.1021008</v>
      </c>
      <c r="W6" s="54">
        <v>0.04</v>
      </c>
      <c r="X6" s="58">
        <f>D6*G6/N6</f>
        <v>-0.16207890074948889</v>
      </c>
    </row>
    <row r="7" spans="8:8" ht="25.0" customHeight="1">
      <c r="A7" s="25" t="s">
        <v>35</v>
      </c>
      <c r="B7" s="25"/>
      <c r="C7" s="62">
        <v>22.99</v>
      </c>
      <c r="D7" s="62">
        <f t="shared" si="0"/>
        <v>8.280194273998159</v>
      </c>
      <c r="E7" s="27">
        <f t="shared" si="1"/>
        <v>0.3601650401913075</v>
      </c>
      <c r="F7" s="28" t="s">
        <v>36</v>
      </c>
      <c r="G7" s="29">
        <v>7.4</v>
      </c>
      <c r="H7" s="30">
        <v>18.0</v>
      </c>
      <c r="I7" s="29">
        <v>0.12</v>
      </c>
      <c r="J7" s="31" t="s">
        <v>31</v>
      </c>
      <c r="K7" s="30">
        <v>70.0</v>
      </c>
      <c r="L7" s="48">
        <f t="shared" si="2"/>
        <v>8.4</v>
      </c>
      <c r="M7" s="33">
        <v>0.037</v>
      </c>
      <c r="N7" s="32">
        <f t="shared" si="7"/>
        <v>27.3768</v>
      </c>
      <c r="O7" s="63">
        <v>2.6</v>
      </c>
      <c r="P7" s="64">
        <f t="shared" si="3"/>
        <v>3.4484999999999997</v>
      </c>
      <c r="Q7" s="36">
        <v>0.15</v>
      </c>
      <c r="R7" s="64">
        <f t="shared" si="4"/>
        <v>3.171034482758621</v>
      </c>
      <c r="S7" s="36">
        <v>0.16</v>
      </c>
      <c r="T7" s="32">
        <f t="shared" si="5"/>
        <v>8.506300000000001</v>
      </c>
      <c r="U7" s="38">
        <v>0.05</v>
      </c>
      <c r="V7" s="32">
        <f t="shared" si="6"/>
        <v>4.7449072</v>
      </c>
      <c r="W7" s="38">
        <v>0.04</v>
      </c>
      <c r="X7" s="58">
        <f>D7*G7/N7</f>
        <v>2.238151925264691</v>
      </c>
    </row>
    <row r="8" spans="8:8" ht="25.0" customHeight="1">
      <c r="A8" s="41" t="s">
        <v>35</v>
      </c>
      <c r="B8" s="41"/>
      <c r="C8" s="65">
        <v>20.99</v>
      </c>
      <c r="D8" s="65">
        <f t="shared" si="0"/>
        <v>6.030568002725439</v>
      </c>
      <c r="E8" s="43">
        <f t="shared" si="1"/>
        <v>0.2873067176143611</v>
      </c>
      <c r="F8" s="44" t="s">
        <v>36</v>
      </c>
      <c r="G8" s="45">
        <v>7.4</v>
      </c>
      <c r="H8" s="46">
        <v>12.0</v>
      </c>
      <c r="I8" s="45">
        <v>0.05</v>
      </c>
      <c r="J8" s="47" t="s">
        <v>32</v>
      </c>
      <c r="K8" s="46">
        <v>80.0</v>
      </c>
      <c r="L8" s="48">
        <f t="shared" si="2"/>
        <v>4.0</v>
      </c>
      <c r="M8" s="49">
        <v>0.037</v>
      </c>
      <c r="N8" s="48">
        <f t="shared" si="7"/>
        <v>16.592</v>
      </c>
      <c r="O8" s="66">
        <v>3.47</v>
      </c>
      <c r="P8" s="67">
        <f t="shared" si="3"/>
        <v>3.1485</v>
      </c>
      <c r="Q8" s="52">
        <v>0.15</v>
      </c>
      <c r="R8" s="67">
        <f t="shared" si="4"/>
        <v>3.351344537815126</v>
      </c>
      <c r="S8" s="52">
        <v>0.19</v>
      </c>
      <c r="T8" s="48">
        <f t="shared" si="5"/>
        <v>15.5326</v>
      </c>
      <c r="U8" s="54">
        <v>0.1</v>
      </c>
      <c r="V8" s="48">
        <f t="shared" si="6"/>
        <v>4.7983472</v>
      </c>
      <c r="W8" s="54">
        <v>0.04</v>
      </c>
      <c r="X8" s="58">
        <f>D8*G8/N8</f>
        <v>2.689621698419012</v>
      </c>
    </row>
    <row r="9" spans="8:8">
      <c r="A9" s="68" t="s">
        <v>37</v>
      </c>
      <c r="X9" s="58"/>
    </row>
    <row r="12" spans="8:8" ht="22.0" customHeight="1">
      <c r="B12" s="69" t="s">
        <v>38</v>
      </c>
      <c r="C12" s="69"/>
      <c r="D12" s="69"/>
      <c r="E12" s="69"/>
      <c r="F12" s="69"/>
      <c r="G12" s="69"/>
      <c r="H12" s="69"/>
    </row>
    <row r="13" spans="8:8" ht="45.0">
      <c r="B13" s="70" t="s">
        <v>39</v>
      </c>
      <c r="C13" s="70" t="s">
        <v>40</v>
      </c>
      <c r="D13" s="70" t="s">
        <v>41</v>
      </c>
      <c r="E13" s="71" t="s">
        <v>42</v>
      </c>
      <c r="F13" s="72" t="s">
        <v>43</v>
      </c>
      <c r="G13" s="72" t="s">
        <v>44</v>
      </c>
      <c r="H13" s="72" t="s">
        <v>45</v>
      </c>
    </row>
    <row r="14" spans="8:8" ht="15.0">
      <c r="B14" s="73">
        <v>10.0</v>
      </c>
      <c r="C14" s="73">
        <v>10.0</v>
      </c>
      <c r="D14" s="73">
        <v>10.0</v>
      </c>
      <c r="E14" s="74">
        <f>B14*C14*D14/1000000</f>
        <v>0.001</v>
      </c>
      <c r="F14" s="74">
        <f>B14*C14*D14/6000</f>
        <v>0.16666666666666666</v>
      </c>
      <c r="G14" s="74">
        <f>B14*C14*D14/5000</f>
        <v>0.2</v>
      </c>
      <c r="H14" s="74"/>
      <c r="W14" s="68"/>
    </row>
    <row r="16" spans="8:8">
      <c r="A16" s="75" t="s">
        <v>46</v>
      </c>
    </row>
    <row r="17" spans="8:8">
      <c r="A17" s="75" t="s">
        <v>47</v>
      </c>
    </row>
    <row r="18" spans="8:8">
      <c r="A18" s="75" t="s">
        <v>48</v>
      </c>
    </row>
  </sheetData>
  <mergeCells count="13">
    <mergeCell ref="V1:W1"/>
    <mergeCell ref="B1:B2"/>
    <mergeCell ref="B12:H12"/>
    <mergeCell ref="A1:A2"/>
    <mergeCell ref="R1:S1"/>
    <mergeCell ref="E1:E2"/>
    <mergeCell ref="O1:Q1"/>
    <mergeCell ref="G1:G2"/>
    <mergeCell ref="T1:U1"/>
    <mergeCell ref="C1:C2"/>
    <mergeCell ref="F1:F2"/>
    <mergeCell ref="H1:N1"/>
    <mergeCell ref="D1:D2"/>
  </mergeCells>
  <conditionalFormatting sqref="F5:F6">
    <cfRule type="cellIs" operator="lessThan" priority="3" dxfId="0">
      <formula>-0.01</formula>
    </cfRule>
  </conditionalFormatting>
  <conditionalFormatting sqref="E3:E8 F3:F4">
    <cfRule type="cellIs" operator="lessThan" priority="7" dxfId="1">
      <formula>-0.01</formula>
    </cfRule>
  </conditionalFormatting>
  <conditionalFormatting sqref="F7:F8">
    <cfRule type="cellIs" operator="lessThan" priority="1" dxfId="2">
      <formula>-0.01</formula>
    </cfRule>
  </conditionalFormatting>
  <dataValidations count="18">
    <dataValidation allowBlank="1" type="any" operator="between" errorStyle="stop" showInputMessage="1" showErrorMessage="1" sqref="X3"/>
    <dataValidation allowBlank="1" type="any" operator="between" errorStyle="stop" showInputMessage="1" showErrorMessage="1" sqref="G5:G6"/>
    <dataValidation allowBlank="1" type="any" operator="between" errorStyle="stop" showInputMessage="1" showErrorMessage="1" sqref="A4"/>
    <dataValidation allowBlank="1" type="any" operator="between" errorStyle="stop" showInputMessage="1" showErrorMessage="1" sqref="X4"/>
    <dataValidation allowBlank="1" type="any" operator="between" errorStyle="stop" showInputMessage="1" showErrorMessage="1" sqref="A5"/>
    <dataValidation allowBlank="1" type="any" operator="between" errorStyle="stop" showInputMessage="1" showErrorMessage="1" sqref="A6"/>
    <dataValidation allowBlank="1" type="any" operator="between" errorStyle="stop" showInputMessage="1" showErrorMessage="1" sqref="A7"/>
    <dataValidation allowBlank="1" type="any" operator="between" errorStyle="stop" showInputMessage="1" showErrorMessage="1" sqref="A8"/>
    <dataValidation allowBlank="1" type="any" operator="between" errorStyle="stop" showInputMessage="1" showErrorMessage="1" sqref="G7:G8"/>
    <dataValidation allowBlank="1" type="any" operator="between" errorStyle="stop" showInputMessage="1" showErrorMessage="1" sqref="X5:X9"/>
    <dataValidation allowBlank="1" type="list" errorStyle="stop" showInputMessage="1" showErrorMessage="1" sqref="J7">
      <formula1>"快递,空运,铁运,卡航,海运"</formula1>
    </dataValidation>
    <dataValidation allowBlank="1" type="any" operator="between" errorStyle="stop" showInputMessage="1" showErrorMessage="1" sqref="A3"/>
    <dataValidation allowBlank="1" type="list" errorStyle="stop" showInputMessage="1" showErrorMessage="1" sqref="J6">
      <formula1>"快递,空运,铁运,卡航,海运"</formula1>
    </dataValidation>
    <dataValidation allowBlank="1" type="list" errorStyle="stop" showInputMessage="1" showErrorMessage="1" sqref="J5">
      <formula1>"快递,空运,铁运,卡航,海运"</formula1>
    </dataValidation>
    <dataValidation allowBlank="1" type="list" errorStyle="stop" showInputMessage="1" showErrorMessage="1" sqref="J4">
      <formula1>"快递,空运,铁运,卡航,海运"</formula1>
    </dataValidation>
    <dataValidation allowBlank="1" type="list" errorStyle="stop" showInputMessage="1" showErrorMessage="1" sqref="J3">
      <formula1>"快递,空运,铁运,卡航,海运"</formula1>
    </dataValidation>
    <dataValidation allowBlank="1" type="any" operator="between" errorStyle="stop" showInputMessage="1" showErrorMessage="1" sqref="G3:G4"/>
    <dataValidation allowBlank="1" type="list" errorStyle="stop" showInputMessage="1" showErrorMessage="1" sqref="J8">
      <formula1>"快递,空运,铁运,卡航,海运"</formula1>
    </dataValidation>
  </dataValidations>
  <pageMargins left="0.75" right="0.75" top="1.0" bottom="1.0" header="0.5" footer="0.5"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B1:M86"/>
  <sheetViews>
    <sheetView workbookViewId="0" topLeftCell="H1" zoomScale="30">
      <selection activeCell="C34" sqref="C34"/>
    </sheetView>
  </sheetViews>
  <sheetFormatPr defaultRowHeight="14.0" defaultColWidth="9"/>
  <cols>
    <col min="1" max="2" customWidth="0" width="9.0" style="1"/>
    <col min="3" max="3" customWidth="1" width="31.753906" style="1"/>
    <col min="4" max="4" customWidth="1" width="25.378906" style="1"/>
    <col min="5" max="5" customWidth="1" width="27.132812" style="1"/>
    <col min="6" max="6" customWidth="0" width="9.0" style="1"/>
    <col min="7" max="7" customWidth="1" width="13.1328125" style="1"/>
    <col min="8" max="8" customWidth="1" width="14.6328125" style="1"/>
    <col min="9" max="9" customWidth="1" width="12.1328125" style="1"/>
    <col min="10" max="10" customWidth="1" width="14.1328125" style="1"/>
    <col min="11" max="11" customWidth="1" width="10.753906" style="1"/>
    <col min="12" max="12" customWidth="1" width="13.5" style="1"/>
    <col min="13" max="13" customWidth="1" width="13.753906" style="1"/>
    <col min="14" max="16384" customWidth="0" width="9.0" style="1"/>
  </cols>
  <sheetData>
    <row r="1" spans="8:8" s="1" ht="14.0" customFormat="1">
      <c r="B1" s="1" t="s">
        <v>49</v>
      </c>
    </row>
    <row r="2" spans="8:8" s="1" ht="14.0" customFormat="1">
      <c r="B2" s="1" t="s">
        <v>50</v>
      </c>
    </row>
    <row r="4" spans="8:8" s="1" ht="31.0" customFormat="1">
      <c r="B4" s="76" t="s">
        <v>51</v>
      </c>
    </row>
    <row r="6" spans="8:8" s="1" ht="14.0" customFormat="1">
      <c r="B6" s="77" t="s">
        <v>52</v>
      </c>
    </row>
    <row r="7" spans="8:8" s="1" ht="13.5" customFormat="1" customHeight="1"/>
    <row r="8" spans="8:8" s="1" ht="14.0" customFormat="1">
      <c r="B8" s="1" t="s">
        <v>53</v>
      </c>
    </row>
    <row r="9" spans="8:8" s="1" ht="13.5" customFormat="1" customHeight="1"/>
    <row r="10" spans="8:8" s="1" ht="22.5" customFormat="1" customHeight="1">
      <c r="B10" s="78" t="s">
        <v>54</v>
      </c>
    </row>
    <row r="12" spans="8:8" s="1" ht="13.5" customFormat="1" customHeight="1">
      <c r="B12" s="1" t="s">
        <v>55</v>
      </c>
    </row>
    <row r="13" spans="8:8" s="1" ht="18.0" customFormat="1" customHeight="1">
      <c r="B13" s="79"/>
      <c r="C13" s="79"/>
      <c r="D13" s="80" t="s">
        <v>56</v>
      </c>
      <c r="E13" s="80" t="s">
        <v>57</v>
      </c>
      <c r="G13" s="80" t="s">
        <v>58</v>
      </c>
      <c r="H13" s="80" t="s">
        <v>59</v>
      </c>
      <c r="I13" s="80" t="s">
        <v>60</v>
      </c>
      <c r="J13" s="80" t="s">
        <v>61</v>
      </c>
      <c r="K13" s="80" t="s">
        <v>62</v>
      </c>
      <c r="L13" s="80" t="s">
        <v>63</v>
      </c>
    </row>
    <row r="14" spans="8:8" s="1" ht="18.0" customFormat="1" customHeight="1">
      <c r="B14" s="81" t="s">
        <v>64</v>
      </c>
      <c r="C14" s="81" t="s">
        <v>65</v>
      </c>
      <c r="D14" s="82" t="s">
        <v>66</v>
      </c>
      <c r="E14" s="82" t="s">
        <v>66</v>
      </c>
      <c r="G14" s="83" t="s">
        <v>67</v>
      </c>
      <c r="H14" s="81" t="s">
        <v>68</v>
      </c>
      <c r="I14" s="81" t="s">
        <v>69</v>
      </c>
      <c r="J14" s="81" t="s">
        <v>70</v>
      </c>
      <c r="K14" s="81" t="s">
        <v>71</v>
      </c>
      <c r="L14" s="81" t="s">
        <v>72</v>
      </c>
    </row>
    <row r="15" spans="8:8" s="1" ht="18.0" customFormat="1" customHeight="1">
      <c r="B15" s="81" t="s">
        <v>67</v>
      </c>
      <c r="C15" s="81" t="s">
        <v>73</v>
      </c>
      <c r="D15" s="84">
        <v>2.5</v>
      </c>
      <c r="E15" s="84">
        <v>2.7</v>
      </c>
      <c r="G15" s="83" t="s">
        <v>74</v>
      </c>
      <c r="H15" s="81" t="s">
        <v>75</v>
      </c>
      <c r="I15" s="81" t="s">
        <v>76</v>
      </c>
      <c r="J15" s="81" t="s">
        <v>77</v>
      </c>
      <c r="K15" s="81" t="s">
        <v>78</v>
      </c>
      <c r="L15" s="81" t="s">
        <v>72</v>
      </c>
    </row>
    <row r="16" spans="8:8" s="1" ht="18.0" customFormat="1" customHeight="1">
      <c r="B16" s="81"/>
      <c r="C16" s="81" t="s">
        <v>79</v>
      </c>
      <c r="D16" s="84">
        <v>2.63</v>
      </c>
      <c r="E16" s="84">
        <v>2.84</v>
      </c>
      <c r="G16" s="83" t="s">
        <v>80</v>
      </c>
      <c r="H16" s="81" t="s">
        <v>81</v>
      </c>
      <c r="I16" s="81" t="s">
        <v>82</v>
      </c>
      <c r="J16" s="81" t="s">
        <v>83</v>
      </c>
      <c r="K16" s="81" t="s">
        <v>72</v>
      </c>
      <c r="L16" s="81" t="s">
        <v>84</v>
      </c>
    </row>
    <row r="17" spans="8:8" s="1" ht="18.0" customFormat="1" customHeight="1">
      <c r="B17" s="81"/>
      <c r="C17" s="81" t="s">
        <v>85</v>
      </c>
      <c r="D17" s="84">
        <v>4.9</v>
      </c>
      <c r="E17" s="84">
        <v>3.32</v>
      </c>
      <c r="G17" s="83" t="s">
        <v>86</v>
      </c>
      <c r="H17" s="81" t="s">
        <v>87</v>
      </c>
      <c r="I17" s="81" t="s">
        <v>88</v>
      </c>
      <c r="J17" s="81" t="s">
        <v>72</v>
      </c>
      <c r="K17" s="81" t="s">
        <v>72</v>
      </c>
      <c r="L17" s="81" t="s">
        <v>84</v>
      </c>
    </row>
    <row r="18" spans="8:8" s="1" ht="18.0" customFormat="1" customHeight="1">
      <c r="B18" s="81" t="s">
        <v>74</v>
      </c>
      <c r="C18" s="81" t="s">
        <v>73</v>
      </c>
      <c r="D18" s="84">
        <v>3.31</v>
      </c>
      <c r="E18" s="84">
        <v>3.47</v>
      </c>
      <c r="G18" s="83" t="s">
        <v>89</v>
      </c>
      <c r="H18" s="81" t="s">
        <v>87</v>
      </c>
      <c r="I18" s="81" t="s">
        <v>88</v>
      </c>
      <c r="J18" s="81" t="s">
        <v>72</v>
      </c>
      <c r="K18" s="81" t="s">
        <v>72</v>
      </c>
      <c r="L18" s="81" t="s">
        <v>90</v>
      </c>
    </row>
    <row r="19" spans="8:8" s="1" ht="18.0" customFormat="1" customHeight="1">
      <c r="B19" s="81"/>
      <c r="C19" s="81" t="s">
        <v>79</v>
      </c>
      <c r="D19" s="84">
        <v>3.48</v>
      </c>
      <c r="E19" s="84">
        <v>3.64</v>
      </c>
      <c r="G19" s="83" t="s">
        <v>91</v>
      </c>
      <c r="H19" s="81" t="s">
        <v>92</v>
      </c>
      <c r="I19" s="81" t="s">
        <v>93</v>
      </c>
      <c r="J19" s="81" t="s">
        <v>72</v>
      </c>
      <c r="K19" s="81" t="s">
        <v>72</v>
      </c>
      <c r="L19" s="81" t="s">
        <v>94</v>
      </c>
    </row>
    <row r="20" spans="8:8" s="1" ht="18.0" customFormat="1" customHeight="1">
      <c r="B20" s="81"/>
      <c r="C20" s="81" t="s">
        <v>85</v>
      </c>
      <c r="D20" s="84">
        <v>4.9</v>
      </c>
      <c r="E20" s="84">
        <v>4.25</v>
      </c>
      <c r="G20" s="77" t="s">
        <v>95</v>
      </c>
    </row>
    <row r="21" spans="8:8" s="1" ht="18.0" customFormat="1" customHeight="1">
      <c r="B21" s="81"/>
      <c r="C21" s="81" t="s">
        <v>96</v>
      </c>
      <c r="D21" s="84">
        <v>4.9</v>
      </c>
      <c r="E21" s="84">
        <v>4.95</v>
      </c>
    </row>
    <row r="22" spans="8:8" s="1" ht="18.0" customFormat="1" customHeight="1">
      <c r="B22" s="81"/>
      <c r="C22" s="81" t="s">
        <v>97</v>
      </c>
      <c r="D22" s="84">
        <v>5.42</v>
      </c>
      <c r="E22" s="84">
        <v>4.95</v>
      </c>
    </row>
    <row r="23" spans="8:8" s="1" ht="18.0" customFormat="1" customHeight="1">
      <c r="B23" s="81"/>
      <c r="C23" s="81" t="s">
        <v>98</v>
      </c>
      <c r="D23" s="84">
        <v>5.42</v>
      </c>
      <c r="E23" s="84">
        <v>5.68</v>
      </c>
      <c r="G23" s="85"/>
      <c r="H23" s="86" t="s">
        <v>99</v>
      </c>
      <c r="I23" s="87"/>
      <c r="J23" s="87"/>
    </row>
    <row r="24" spans="8:8" s="1" ht="18.0" customFormat="1" customHeight="1">
      <c r="B24" s="81"/>
      <c r="C24" s="81" t="s">
        <v>100</v>
      </c>
      <c r="D24" s="84">
        <v>5.8</v>
      </c>
      <c r="E24" s="84">
        <v>5.68</v>
      </c>
      <c r="G24" s="88" t="s">
        <v>101</v>
      </c>
      <c r="H24" s="88">
        <v>16.0</v>
      </c>
      <c r="I24" s="89">
        <f>H24*28.349523125</f>
        <v>453.59237</v>
      </c>
      <c r="J24" s="90" t="s">
        <v>102</v>
      </c>
    </row>
    <row r="25" spans="8:8" s="1" ht="18.0" customFormat="1" customHeight="1">
      <c r="B25" s="81"/>
      <c r="C25" s="81" t="s">
        <v>103</v>
      </c>
      <c r="D25" s="84">
        <v>5.8</v>
      </c>
      <c r="E25" s="84">
        <v>5.98</v>
      </c>
      <c r="G25" s="88" t="s">
        <v>104</v>
      </c>
      <c r="H25" s="88">
        <v>20.0</v>
      </c>
      <c r="I25" s="89">
        <f>H25*453.59237</f>
        <v>9071.8474</v>
      </c>
      <c r="J25" s="90" t="s">
        <v>102</v>
      </c>
    </row>
    <row r="26" spans="8:8" s="1" ht="18.0" customFormat="1" customHeight="1">
      <c r="B26" s="81"/>
      <c r="C26" s="81" t="s">
        <v>105</v>
      </c>
      <c r="D26" s="84">
        <v>6.18</v>
      </c>
      <c r="E26" s="84">
        <v>5.98</v>
      </c>
      <c r="G26" s="88" t="s">
        <v>106</v>
      </c>
      <c r="H26" s="88">
        <v>14.0</v>
      </c>
      <c r="I26" s="91">
        <f>H26*2.54</f>
        <v>35.56</v>
      </c>
      <c r="J26" s="90" t="s">
        <v>107</v>
      </c>
    </row>
    <row r="27" spans="8:8" s="1" ht="18.0" customFormat="1" customHeight="1">
      <c r="B27" s="81"/>
      <c r="C27" s="81" t="s">
        <v>108</v>
      </c>
      <c r="D27" s="84">
        <v>6.18</v>
      </c>
      <c r="E27" s="84">
        <v>6.28</v>
      </c>
    </row>
    <row r="28" spans="8:8" s="1" ht="18.0" customFormat="1" customHeight="1">
      <c r="B28" s="81"/>
      <c r="C28" s="81" t="s">
        <v>109</v>
      </c>
      <c r="D28" s="84">
        <v>6.56</v>
      </c>
      <c r="E28" s="84">
        <v>6.28</v>
      </c>
    </row>
    <row r="29" spans="8:8" s="1" ht="18.0" customFormat="1" customHeight="1">
      <c r="B29" s="81"/>
      <c r="C29" s="81" t="s">
        <v>110</v>
      </c>
      <c r="D29" s="84">
        <v>6.56</v>
      </c>
      <c r="E29" s="84">
        <v>6.58</v>
      </c>
    </row>
    <row r="30" spans="8:8" s="1" ht="18.0" customFormat="1" customHeight="1">
      <c r="B30" s="81"/>
      <c r="C30" s="81" t="s">
        <v>111</v>
      </c>
      <c r="D30" s="84">
        <v>6.94</v>
      </c>
      <c r="E30" s="84">
        <v>6.58</v>
      </c>
    </row>
    <row r="31" spans="8:8" s="1" ht="18.0" customFormat="1" customHeight="1">
      <c r="B31" s="81"/>
      <c r="C31" s="81" t="s">
        <v>112</v>
      </c>
      <c r="D31" s="84">
        <v>6.94</v>
      </c>
      <c r="E31" s="84">
        <v>6.88</v>
      </c>
    </row>
    <row r="32" spans="8:8" s="1" ht="18.0" customFormat="1" customHeight="1">
      <c r="B32" s="81"/>
      <c r="C32" s="81" t="s">
        <v>113</v>
      </c>
      <c r="D32" s="84">
        <v>7.32</v>
      </c>
      <c r="E32" s="84">
        <v>6.88</v>
      </c>
    </row>
    <row r="35" spans="8:8" s="1" ht="23.0" customFormat="1">
      <c r="B35" s="78" t="s">
        <v>114</v>
      </c>
    </row>
    <row r="37" spans="8:8" s="1" ht="14.0" customFormat="1">
      <c r="B37" s="1" t="s">
        <v>115</v>
      </c>
    </row>
    <row r="39" spans="8:8" s="1" ht="18.0" customFormat="1" customHeight="1">
      <c r="B39" s="81"/>
      <c r="C39" s="81"/>
      <c r="D39" s="84" t="s">
        <v>56</v>
      </c>
      <c r="E39" s="84" t="s">
        <v>57</v>
      </c>
    </row>
    <row r="40" spans="8:8" s="1" ht="18.0" customFormat="1" customHeight="1">
      <c r="B40" s="81" t="s">
        <v>64</v>
      </c>
      <c r="C40" s="81" t="s">
        <v>65</v>
      </c>
      <c r="D40" s="84" t="s">
        <v>66</v>
      </c>
      <c r="E40" s="84" t="s">
        <v>66</v>
      </c>
    </row>
    <row r="41" spans="8:8" s="1" ht="18.0" customFormat="1" customHeight="1">
      <c r="B41" s="92" t="s">
        <v>67</v>
      </c>
      <c r="C41" s="81" t="s">
        <v>73</v>
      </c>
      <c r="D41" s="84">
        <v>2.92</v>
      </c>
      <c r="E41" s="84">
        <v>3.0</v>
      </c>
    </row>
    <row r="42" spans="8:8" s="1" ht="18.0" customFormat="1" customHeight="1">
      <c r="B42" s="93"/>
      <c r="C42" s="81" t="s">
        <v>79</v>
      </c>
      <c r="D42" s="84">
        <v>3.11</v>
      </c>
      <c r="E42" s="84">
        <v>3.14</v>
      </c>
    </row>
    <row r="43" spans="8:8" s="1" ht="18.0" customFormat="1" customHeight="1">
      <c r="B43" s="94"/>
      <c r="C43" s="81" t="s">
        <v>85</v>
      </c>
      <c r="D43" s="84">
        <v>5.35</v>
      </c>
      <c r="E43" s="84">
        <v>3.62</v>
      </c>
    </row>
    <row r="44" spans="8:8" s="1" ht="18.0" customFormat="1" customHeight="1">
      <c r="B44" s="92" t="s">
        <v>74</v>
      </c>
      <c r="C44" s="81" t="s">
        <v>73</v>
      </c>
      <c r="D44" s="84">
        <v>3.7</v>
      </c>
      <c r="E44" s="84">
        <v>3.87</v>
      </c>
    </row>
    <row r="45" spans="8:8" s="1" ht="18.0" customFormat="1" customHeight="1">
      <c r="B45" s="93"/>
      <c r="C45" s="81" t="s">
        <v>79</v>
      </c>
      <c r="D45" s="84">
        <v>3.81</v>
      </c>
      <c r="E45" s="84">
        <v>4.04</v>
      </c>
    </row>
    <row r="46" spans="8:8" s="1" ht="18.0" customFormat="1" customHeight="1">
      <c r="B46" s="93"/>
      <c r="C46" s="81" t="s">
        <v>85</v>
      </c>
      <c r="D46" s="84">
        <v>5.35</v>
      </c>
      <c r="E46" s="84">
        <v>4.65</v>
      </c>
    </row>
    <row r="47" spans="8:8" s="1" ht="18.0" customFormat="1" customHeight="1">
      <c r="B47" s="93"/>
      <c r="C47" s="81" t="s">
        <v>96</v>
      </c>
      <c r="D47" s="84">
        <v>5.35</v>
      </c>
      <c r="E47" s="84">
        <v>5.35</v>
      </c>
    </row>
    <row r="48" spans="8:8" s="1" ht="18.0" customFormat="1" customHeight="1">
      <c r="B48" s="93"/>
      <c r="C48" s="81" t="s">
        <v>97</v>
      </c>
      <c r="D48" s="84">
        <v>5.95</v>
      </c>
      <c r="E48" s="84">
        <v>5.35</v>
      </c>
    </row>
    <row r="49" spans="8:8" s="1" ht="18.0" customFormat="1" customHeight="1">
      <c r="B49" s="93"/>
      <c r="C49" s="81" t="s">
        <v>98</v>
      </c>
      <c r="D49" s="84">
        <v>5.95</v>
      </c>
      <c r="E49" s="84">
        <v>6.08</v>
      </c>
    </row>
    <row r="50" spans="8:8" s="1" ht="18.0" customFormat="1" customHeight="1">
      <c r="B50" s="93"/>
      <c r="C50" s="81" t="s">
        <v>100</v>
      </c>
      <c r="D50" s="84">
        <v>6.33</v>
      </c>
      <c r="E50" s="84">
        <v>6.08</v>
      </c>
    </row>
    <row r="51" spans="8:8" s="1" ht="18.0" customFormat="1" customHeight="1">
      <c r="B51" s="93"/>
      <c r="C51" s="81" t="s">
        <v>103</v>
      </c>
      <c r="D51" s="84">
        <v>6.33</v>
      </c>
      <c r="E51" s="84">
        <v>6.38</v>
      </c>
    </row>
    <row r="52" spans="8:8" s="1" ht="18.0" customFormat="1" customHeight="1">
      <c r="B52" s="93"/>
      <c r="C52" s="81" t="s">
        <v>105</v>
      </c>
      <c r="D52" s="84">
        <v>6.71</v>
      </c>
      <c r="E52" s="84">
        <v>6.38</v>
      </c>
    </row>
    <row r="53" spans="8:8" s="1" ht="18.0" customFormat="1" customHeight="1">
      <c r="B53" s="93"/>
      <c r="C53" s="81" t="s">
        <v>108</v>
      </c>
      <c r="D53" s="84">
        <v>6.71</v>
      </c>
      <c r="E53" s="84">
        <v>6.68</v>
      </c>
    </row>
    <row r="54" spans="8:8" s="1" ht="18.0" customFormat="1" customHeight="1">
      <c r="B54" s="93"/>
      <c r="C54" s="81" t="s">
        <v>109</v>
      </c>
      <c r="D54" s="84">
        <v>7.09</v>
      </c>
      <c r="E54" s="84">
        <v>6.68</v>
      </c>
    </row>
    <row r="55" spans="8:8" s="1" ht="18.0" customFormat="1" customHeight="1">
      <c r="B55" s="93"/>
      <c r="C55" s="81" t="s">
        <v>110</v>
      </c>
      <c r="D55" s="84">
        <v>7.09</v>
      </c>
      <c r="E55" s="84">
        <v>6.98</v>
      </c>
    </row>
    <row r="56" spans="8:8" s="1" ht="18.0" customFormat="1" customHeight="1">
      <c r="B56" s="93"/>
      <c r="C56" s="81" t="s">
        <v>111</v>
      </c>
      <c r="D56" s="84">
        <v>7.47</v>
      </c>
      <c r="E56" s="84">
        <v>6.98</v>
      </c>
    </row>
    <row r="57" spans="8:8" s="1" ht="18.0" customFormat="1" customHeight="1">
      <c r="B57" s="93"/>
      <c r="C57" s="81" t="s">
        <v>112</v>
      </c>
      <c r="D57" s="84">
        <v>7.47</v>
      </c>
      <c r="E57" s="84">
        <v>7.28</v>
      </c>
    </row>
    <row r="58" spans="8:8" s="1" ht="18.0" customFormat="1" customHeight="1">
      <c r="B58" s="94"/>
      <c r="C58" s="81" t="s">
        <v>113</v>
      </c>
      <c r="D58" s="84">
        <v>7.85</v>
      </c>
      <c r="E58" s="84">
        <v>7.28</v>
      </c>
    </row>
    <row r="61" spans="8:8" s="1" ht="23.0" customFormat="1">
      <c r="B61" s="78" t="s">
        <v>116</v>
      </c>
    </row>
    <row r="63" spans="8:8" s="1" ht="14.0" customFormat="1">
      <c r="B63" s="1" t="s">
        <v>117</v>
      </c>
    </row>
    <row r="65" spans="8:8" s="1" ht="14.0" customFormat="1">
      <c r="B65" s="1" t="s">
        <v>118</v>
      </c>
    </row>
    <row r="67" spans="8:8" s="1" ht="14.0" customFormat="1">
      <c r="B67" s="79"/>
      <c r="C67" s="79"/>
      <c r="D67" s="80" t="s">
        <v>56</v>
      </c>
      <c r="E67" s="80" t="s">
        <v>57</v>
      </c>
    </row>
    <row r="68" spans="8:8" s="1" ht="28.0" customFormat="1">
      <c r="B68" s="81" t="s">
        <v>64</v>
      </c>
      <c r="C68" s="81" t="s">
        <v>65</v>
      </c>
      <c r="D68" s="82" t="s">
        <v>66</v>
      </c>
      <c r="E68" s="82" t="s">
        <v>66</v>
      </c>
    </row>
    <row r="69" spans="8:8" s="1" ht="14.0" customFormat="1">
      <c r="B69" s="81" t="s">
        <v>67</v>
      </c>
      <c r="C69" s="81" t="s">
        <v>73</v>
      </c>
      <c r="D69" s="82">
        <v>3.43</v>
      </c>
      <c r="E69" s="82">
        <v>3.63</v>
      </c>
    </row>
    <row r="70" spans="8:8" s="1" ht="14.0" customFormat="1">
      <c r="B70" s="81"/>
      <c r="C70" s="81" t="s">
        <v>79</v>
      </c>
      <c r="D70" s="82">
        <v>3.64</v>
      </c>
      <c r="E70" s="82">
        <v>3.85</v>
      </c>
    </row>
    <row r="71" spans="8:8" s="1" ht="14.0" customFormat="1">
      <c r="B71" s="81"/>
      <c r="C71" s="81" t="s">
        <v>85</v>
      </c>
      <c r="D71" s="82">
        <v>5.47</v>
      </c>
      <c r="E71" s="82">
        <v>3.89</v>
      </c>
    </row>
    <row r="72" spans="8:8" s="1" ht="14.0" customFormat="1">
      <c r="B72" s="81" t="s">
        <v>74</v>
      </c>
      <c r="C72" s="81" t="s">
        <v>73</v>
      </c>
      <c r="D72" s="82">
        <v>4.06</v>
      </c>
      <c r="E72" s="82">
        <v>4.22</v>
      </c>
    </row>
    <row r="73" spans="8:8" s="1" ht="14.0" customFormat="1">
      <c r="B73" s="81"/>
      <c r="C73" s="81" t="s">
        <v>79</v>
      </c>
      <c r="D73" s="82">
        <v>4.23</v>
      </c>
      <c r="E73" s="82">
        <v>4.39</v>
      </c>
    </row>
    <row r="74" spans="8:8" s="1" ht="14.0" customFormat="1">
      <c r="B74" s="81"/>
      <c r="C74" s="81" t="s">
        <v>85</v>
      </c>
      <c r="D74" s="82">
        <v>5.47</v>
      </c>
      <c r="E74" s="82">
        <v>4.82</v>
      </c>
    </row>
    <row r="75" spans="8:8" s="1" ht="14.0" customFormat="1">
      <c r="B75" s="81"/>
      <c r="C75" s="81" t="s">
        <v>96</v>
      </c>
      <c r="D75" s="82">
        <v>5.47</v>
      </c>
      <c r="E75" s="82">
        <v>5.52</v>
      </c>
    </row>
    <row r="76" spans="8:8" s="1" ht="14.0" customFormat="1">
      <c r="B76" s="81"/>
      <c r="C76" s="81" t="s">
        <v>97</v>
      </c>
      <c r="D76" s="82">
        <v>5.86</v>
      </c>
      <c r="E76" s="82">
        <v>5.52</v>
      </c>
    </row>
    <row r="77" spans="8:8" s="1" ht="14.0" customFormat="1">
      <c r="B77" s="81"/>
      <c r="C77" s="81" t="s">
        <v>98</v>
      </c>
      <c r="D77" s="82">
        <v>5.86</v>
      </c>
      <c r="E77" s="82">
        <v>6.12</v>
      </c>
    </row>
    <row r="78" spans="8:8" s="1" ht="14.0" customFormat="1">
      <c r="B78" s="81"/>
      <c r="C78" s="81" t="s">
        <v>100</v>
      </c>
      <c r="D78" s="82">
        <v>6.24</v>
      </c>
      <c r="E78" s="82">
        <v>6.12</v>
      </c>
    </row>
    <row r="79" spans="8:8" s="1" ht="14.0" customFormat="1">
      <c r="B79" s="81"/>
      <c r="C79" s="81" t="s">
        <v>103</v>
      </c>
      <c r="D79" s="82">
        <v>6.24</v>
      </c>
      <c r="E79" s="82">
        <v>6.42</v>
      </c>
    </row>
    <row r="80" spans="8:8" s="1" ht="14.0" customFormat="1">
      <c r="B80" s="81"/>
      <c r="C80" s="81" t="s">
        <v>105</v>
      </c>
      <c r="D80" s="82">
        <v>6.62</v>
      </c>
      <c r="E80" s="82">
        <v>6.42</v>
      </c>
    </row>
    <row r="81" spans="8:8" s="1" ht="14.0" customFormat="1">
      <c r="B81" s="81"/>
      <c r="C81" s="81" t="s">
        <v>108</v>
      </c>
      <c r="D81" s="82">
        <v>6.62</v>
      </c>
      <c r="E81" s="82">
        <v>6.72</v>
      </c>
    </row>
    <row r="82" spans="8:8" s="1" ht="14.0" customFormat="1">
      <c r="B82" s="81"/>
      <c r="C82" s="81" t="s">
        <v>109</v>
      </c>
      <c r="D82" s="82">
        <v>7.0</v>
      </c>
      <c r="E82" s="82">
        <v>6.72</v>
      </c>
    </row>
    <row r="83" spans="8:8" s="1" ht="14.0" customFormat="1">
      <c r="B83" s="81"/>
      <c r="C83" s="81" t="s">
        <v>110</v>
      </c>
      <c r="D83" s="82">
        <v>7.0</v>
      </c>
      <c r="E83" s="82">
        <v>7.02</v>
      </c>
    </row>
    <row r="84" spans="8:8" s="1" ht="14.0" customFormat="1">
      <c r="B84" s="81"/>
      <c r="C84" s="81" t="s">
        <v>111</v>
      </c>
      <c r="D84" s="82">
        <v>7.38</v>
      </c>
      <c r="E84" s="82">
        <v>7.02</v>
      </c>
    </row>
    <row r="85" spans="8:8" s="1" ht="14.0" customFormat="1">
      <c r="B85" s="81"/>
      <c r="C85" s="81" t="s">
        <v>112</v>
      </c>
      <c r="D85" s="82">
        <v>7.38</v>
      </c>
      <c r="E85" s="82">
        <v>7.32</v>
      </c>
    </row>
    <row r="86" spans="8:8" s="1" ht="14.0" customFormat="1">
      <c r="B86" s="81"/>
      <c r="C86" s="81" t="s">
        <v>113</v>
      </c>
      <c r="D86" s="82">
        <v>7.76</v>
      </c>
      <c r="E86" s="82">
        <v>7.32</v>
      </c>
    </row>
  </sheetData>
  <mergeCells count="7">
    <mergeCell ref="H23:J23"/>
    <mergeCell ref="B15:B17"/>
    <mergeCell ref="B18:B32"/>
    <mergeCell ref="B41:B43"/>
    <mergeCell ref="B44:B58"/>
    <mergeCell ref="B69:B71"/>
    <mergeCell ref="B72:B86"/>
  </mergeCells>
  <hyperlinks>
    <hyperlink ref="B6" r:id="rId2" tooltip="https://amazon.com/selling-fee-changes"/>
    <hyperlink ref="G20" r:id="rId3" tooltip="https://sellercentral.amazon.com/gp/help/G53Z9EKF8VVZVH29?language=zh_CN&amp;ref=ag_G53Z9EKF8VVZVH29_cont_GG5KW835AHDJCH8W"/>
  </hyperlinks>
  <pageMargins left="0.75" right="0.75" top="1.0" bottom="1.0" header="0.5" footer="0.5"/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dimension ref="B1:V150"/>
  <sheetViews>
    <sheetView workbookViewId="0" topLeftCell="M1" zoomScale="31">
      <selection activeCell="M27" sqref="M27"/>
    </sheetView>
  </sheetViews>
  <sheetFormatPr defaultRowHeight="14.0" defaultColWidth="9"/>
  <cols>
    <col min="1" max="1" customWidth="0" width="9.0" style="95"/>
    <col min="2" max="2" customWidth="1" width="21.878906" style="95"/>
    <col min="3" max="15" customWidth="0" width="9.0" style="95"/>
    <col min="16" max="16" customWidth="1" width="15.6328125" style="95"/>
    <col min="17" max="21" customWidth="0" width="9.0" style="95"/>
    <col min="22" max="22" customWidth="1" width="18.0" style="95"/>
    <col min="23" max="16384" customWidth="0" width="9.0" style="95"/>
  </cols>
  <sheetData>
    <row r="1" spans="8:8" s="95" ht="14.0" customFormat="1">
      <c r="B1" s="96" t="s">
        <v>119</v>
      </c>
    </row>
    <row r="2" spans="8:8" s="95" ht="14.0" customFormat="1">
      <c r="B2" s="97" t="s">
        <v>120</v>
      </c>
    </row>
    <row r="3" spans="8:8" s="98" ht="33.5" customFormat="1">
      <c r="B3" s="99" t="s">
        <v>121</v>
      </c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</row>
    <row r="4" spans="8:8" s="95" ht="26.75" customFormat="1">
      <c r="B4" s="100" t="s">
        <v>122</v>
      </c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</row>
    <row r="5" spans="8:8" s="95" ht="15.0" customFormat="1" customHeight="1">
      <c r="B5" s="101" t="s">
        <v>123</v>
      </c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</row>
    <row r="6" spans="8:8" s="95" ht="15.0" customFormat="1" customHeight="1">
      <c r="B6" s="101"/>
      <c r="C6" s="101" t="s">
        <v>124</v>
      </c>
      <c r="D6" s="101"/>
      <c r="E6" s="101"/>
      <c r="F6" s="101"/>
      <c r="G6" s="101"/>
      <c r="H6" s="101"/>
      <c r="I6" s="101" t="s">
        <v>125</v>
      </c>
      <c r="J6" s="101"/>
      <c r="K6" s="101"/>
      <c r="L6" s="101"/>
      <c r="M6" s="101"/>
      <c r="N6" s="101"/>
    </row>
    <row r="7" spans="8:8" s="95" ht="28.75" customFormat="1">
      <c r="B7" s="101"/>
      <c r="C7" s="102" t="s">
        <v>126</v>
      </c>
      <c r="D7" s="101" t="s">
        <v>127</v>
      </c>
      <c r="E7" s="101" t="s">
        <v>128</v>
      </c>
      <c r="F7" s="101" t="s">
        <v>129</v>
      </c>
      <c r="G7" s="101" t="s">
        <v>130</v>
      </c>
      <c r="H7" s="101" t="s">
        <v>131</v>
      </c>
      <c r="I7" s="103" t="s">
        <v>126</v>
      </c>
      <c r="J7" s="103" t="s">
        <v>127</v>
      </c>
      <c r="K7" s="103" t="s">
        <v>128</v>
      </c>
      <c r="L7" s="103" t="s">
        <v>129</v>
      </c>
      <c r="M7" s="103" t="s">
        <v>130</v>
      </c>
      <c r="N7" s="103" t="s">
        <v>131</v>
      </c>
      <c r="P7" s="104" t="s">
        <v>132</v>
      </c>
      <c r="Q7" s="105" t="s">
        <v>133</v>
      </c>
      <c r="R7" s="105" t="s">
        <v>134</v>
      </c>
      <c r="S7" s="105" t="s">
        <v>135</v>
      </c>
      <c r="T7" s="105" t="s">
        <v>136</v>
      </c>
      <c r="U7" s="106" t="s">
        <v>137</v>
      </c>
    </row>
    <row r="8" spans="8:8" s="95" ht="14.75" customFormat="1">
      <c r="B8" s="101" t="s">
        <v>138</v>
      </c>
      <c r="C8" s="102" t="s">
        <v>139</v>
      </c>
      <c r="D8" s="107">
        <v>1.63</v>
      </c>
      <c r="E8" s="107">
        <v>2.24</v>
      </c>
      <c r="F8" s="107">
        <v>2.59</v>
      </c>
      <c r="G8" s="107">
        <v>2.13</v>
      </c>
      <c r="H8" s="107">
        <v>1.54</v>
      </c>
      <c r="I8" s="108" t="s">
        <v>140</v>
      </c>
      <c r="J8" s="107">
        <v>1.73</v>
      </c>
      <c r="K8" s="107">
        <v>2.37</v>
      </c>
      <c r="L8" s="107">
        <v>2.74</v>
      </c>
      <c r="M8" s="107">
        <v>2.26</v>
      </c>
      <c r="N8" s="107">
        <v>1.62</v>
      </c>
      <c r="P8" s="107"/>
      <c r="Q8" s="109" t="s">
        <v>141</v>
      </c>
      <c r="R8" s="110"/>
      <c r="S8" s="111"/>
      <c r="T8" s="107"/>
      <c r="U8" s="107"/>
    </row>
    <row r="9" spans="8:8" s="95" ht="14.75" customFormat="1">
      <c r="B9" s="101" t="s">
        <v>142</v>
      </c>
      <c r="C9" s="102" t="s">
        <v>143</v>
      </c>
      <c r="D9" s="107">
        <v>1.79</v>
      </c>
      <c r="E9" s="107">
        <v>2.37</v>
      </c>
      <c r="F9" s="107">
        <v>2.72</v>
      </c>
      <c r="G9" s="107">
        <v>2.37</v>
      </c>
      <c r="H9" s="107">
        <v>1.69</v>
      </c>
      <c r="I9" s="108" t="s">
        <v>144</v>
      </c>
      <c r="J9" s="107">
        <v>1.88</v>
      </c>
      <c r="K9" s="107">
        <v>2.52</v>
      </c>
      <c r="L9" s="107">
        <v>2.88</v>
      </c>
      <c r="M9" s="107">
        <v>2.51</v>
      </c>
      <c r="N9" s="107">
        <v>1.76</v>
      </c>
      <c r="P9" s="112" t="s">
        <v>145</v>
      </c>
      <c r="Q9" s="112">
        <v>20.0</v>
      </c>
      <c r="R9" s="112">
        <v>15.0</v>
      </c>
      <c r="S9" s="112">
        <v>1.0</v>
      </c>
      <c r="T9" s="112">
        <v>80.0</v>
      </c>
      <c r="U9" s="113" t="s">
        <v>146</v>
      </c>
    </row>
    <row r="10" spans="8:8" s="95" ht="14.75" customFormat="1">
      <c r="B10" s="101" t="s">
        <v>147</v>
      </c>
      <c r="C10" s="102" t="s">
        <v>148</v>
      </c>
      <c r="D10" s="107">
        <v>1.92</v>
      </c>
      <c r="E10" s="107">
        <v>3.0</v>
      </c>
      <c r="F10" s="107">
        <v>3.01</v>
      </c>
      <c r="G10" s="107">
        <v>2.65</v>
      </c>
      <c r="H10" s="107">
        <v>1.82</v>
      </c>
      <c r="I10" s="114" t="s">
        <v>148</v>
      </c>
      <c r="J10" s="107">
        <v>2.01</v>
      </c>
      <c r="K10" s="107">
        <v>3.01</v>
      </c>
      <c r="L10" s="107">
        <v>3.03</v>
      </c>
      <c r="M10" s="107">
        <v>2.81</v>
      </c>
      <c r="N10" s="107">
        <v>1.93</v>
      </c>
      <c r="P10" s="115" t="s">
        <v>149</v>
      </c>
      <c r="Q10" s="112">
        <v>33.0</v>
      </c>
      <c r="R10" s="112">
        <v>23.0</v>
      </c>
      <c r="S10" s="112">
        <v>2.5</v>
      </c>
      <c r="T10" s="112">
        <v>460.0</v>
      </c>
      <c r="U10" s="113" t="s">
        <v>146</v>
      </c>
    </row>
    <row r="11" spans="8:8" s="95" ht="14.75" customFormat="1">
      <c r="B11" s="101" t="s">
        <v>150</v>
      </c>
      <c r="C11" s="102" t="s">
        <v>151</v>
      </c>
      <c r="D11" s="107">
        <v>2.04</v>
      </c>
      <c r="E11" s="107">
        <v>3.37</v>
      </c>
      <c r="F11" s="107">
        <v>3.19</v>
      </c>
      <c r="G11" s="107">
        <v>2.85</v>
      </c>
      <c r="H11" s="107">
        <v>1.95</v>
      </c>
      <c r="I11" s="114" t="s">
        <v>152</v>
      </c>
      <c r="J11" s="107">
        <v>2.16</v>
      </c>
      <c r="K11" s="107">
        <v>3.38</v>
      </c>
      <c r="L11" s="107">
        <v>3.27</v>
      </c>
      <c r="M11" s="107">
        <v>3.02</v>
      </c>
      <c r="N11" s="107">
        <v>2.05</v>
      </c>
      <c r="P11" s="112" t="s">
        <v>153</v>
      </c>
      <c r="Q11" s="112">
        <v>33.0</v>
      </c>
      <c r="R11" s="112">
        <v>23.0</v>
      </c>
      <c r="S11" s="112">
        <v>5.0</v>
      </c>
      <c r="T11" s="112">
        <v>960.0</v>
      </c>
      <c r="U11" s="113" t="s">
        <v>146</v>
      </c>
    </row>
    <row r="12" spans="8:8" s="95" ht="14.75" customFormat="1">
      <c r="B12" s="101" t="s">
        <v>154</v>
      </c>
      <c r="C12" s="102" t="s">
        <v>155</v>
      </c>
      <c r="D12" s="107">
        <v>2.4</v>
      </c>
      <c r="E12" s="107">
        <v>3.95</v>
      </c>
      <c r="F12" s="107">
        <v>3.44</v>
      </c>
      <c r="G12" s="107">
        <v>2.97</v>
      </c>
      <c r="H12" s="107">
        <v>2.34</v>
      </c>
      <c r="I12" s="114" t="s">
        <v>155</v>
      </c>
      <c r="J12" s="107">
        <v>2.52</v>
      </c>
      <c r="K12" s="107">
        <v>3.96</v>
      </c>
      <c r="L12" s="107">
        <v>3.53</v>
      </c>
      <c r="M12" s="107">
        <v>3.15</v>
      </c>
      <c r="N12" s="107">
        <v>2.48</v>
      </c>
      <c r="P12" s="112" t="s">
        <v>156</v>
      </c>
      <c r="Q12" s="112">
        <v>45.0</v>
      </c>
      <c r="R12" s="112">
        <v>34.0</v>
      </c>
      <c r="S12" s="112">
        <v>26.0</v>
      </c>
      <c r="T12" s="112">
        <v>11900.0</v>
      </c>
      <c r="U12" s="113" t="s">
        <v>146</v>
      </c>
    </row>
    <row r="13" spans="8:8" s="95" ht="14.75" customFormat="1">
      <c r="B13" s="101" t="s">
        <v>157</v>
      </c>
      <c r="C13" s="102" t="s">
        <v>158</v>
      </c>
      <c r="D13" s="107">
        <v>2.53</v>
      </c>
      <c r="E13" s="107">
        <v>3.94</v>
      </c>
      <c r="F13" s="107">
        <v>3.52</v>
      </c>
      <c r="G13" s="107">
        <v>2.82</v>
      </c>
      <c r="H13" s="107">
        <v>2.39</v>
      </c>
      <c r="I13" s="108" t="s">
        <v>159</v>
      </c>
      <c r="J13" s="107">
        <v>2.66</v>
      </c>
      <c r="K13" s="107">
        <v>3.95</v>
      </c>
      <c r="L13" s="107">
        <v>3.62</v>
      </c>
      <c r="M13" s="107">
        <v>2.99</v>
      </c>
      <c r="N13" s="107">
        <v>2.53</v>
      </c>
      <c r="P13" s="112"/>
      <c r="Q13" s="109" t="s">
        <v>160</v>
      </c>
      <c r="R13" s="110"/>
      <c r="S13" s="111"/>
      <c r="T13" s="112"/>
      <c r="U13" s="113"/>
    </row>
    <row r="14" spans="8:8" s="95" ht="14.75" customFormat="1">
      <c r="B14" s="101" t="s">
        <v>161</v>
      </c>
      <c r="C14" s="102" t="s">
        <v>162</v>
      </c>
      <c r="D14" s="107">
        <v>2.81</v>
      </c>
      <c r="E14" s="107">
        <v>4.59</v>
      </c>
      <c r="F14" s="107">
        <v>3.94</v>
      </c>
      <c r="G14" s="107">
        <v>3.3</v>
      </c>
      <c r="H14" s="107">
        <v>2.65</v>
      </c>
      <c r="I14" s="108" t="s">
        <v>163</v>
      </c>
      <c r="J14" s="107">
        <v>2.95</v>
      </c>
      <c r="K14" s="107">
        <v>4.72</v>
      </c>
      <c r="L14" s="107">
        <v>4.04</v>
      </c>
      <c r="M14" s="107">
        <v>3.5</v>
      </c>
      <c r="N14" s="107">
        <v>2.81</v>
      </c>
      <c r="P14" s="112" t="s">
        <v>80</v>
      </c>
      <c r="Q14" s="112">
        <v>61.0</v>
      </c>
      <c r="R14" s="112">
        <v>46.0</v>
      </c>
      <c r="S14" s="112">
        <v>46.0</v>
      </c>
      <c r="T14" s="112">
        <v>1760.0</v>
      </c>
      <c r="U14" s="113" t="s">
        <v>146</v>
      </c>
    </row>
    <row r="15" spans="8:8" s="95" ht="14.75" customFormat="1">
      <c r="B15" s="101" t="s">
        <v>164</v>
      </c>
      <c r="C15" s="102" t="s">
        <v>165</v>
      </c>
      <c r="D15" s="107">
        <v>3.22</v>
      </c>
      <c r="E15" s="107">
        <v>5.32</v>
      </c>
      <c r="F15" s="107">
        <v>4.59</v>
      </c>
      <c r="G15" s="107">
        <v>3.6</v>
      </c>
      <c r="H15" s="107">
        <v>3.08</v>
      </c>
      <c r="I15" s="108" t="s">
        <v>166</v>
      </c>
      <c r="J15" s="107">
        <v>3.38</v>
      </c>
      <c r="K15" s="107">
        <v>5.46</v>
      </c>
      <c r="L15" s="107">
        <v>4.66</v>
      </c>
      <c r="M15" s="107">
        <v>3.78</v>
      </c>
      <c r="N15" s="107">
        <v>3.26</v>
      </c>
      <c r="P15" s="112" t="s">
        <v>167</v>
      </c>
      <c r="Q15" s="112">
        <v>120.0</v>
      </c>
      <c r="R15" s="112">
        <v>60.0</v>
      </c>
      <c r="S15" s="112">
        <v>60.0</v>
      </c>
      <c r="T15" s="112">
        <v>30000.0</v>
      </c>
      <c r="U15" s="113" t="s">
        <v>146</v>
      </c>
    </row>
    <row r="16" spans="8:8" s="95" ht="14.75" customFormat="1">
      <c r="B16" s="101" t="s">
        <v>168</v>
      </c>
      <c r="C16" s="102" t="s">
        <v>169</v>
      </c>
      <c r="D16" s="107">
        <v>3.76</v>
      </c>
      <c r="E16" s="107">
        <v>5.51</v>
      </c>
      <c r="F16" s="107">
        <v>4.94</v>
      </c>
      <c r="G16" s="107">
        <v>4.05</v>
      </c>
      <c r="H16" s="107">
        <v>3.62</v>
      </c>
      <c r="I16" s="108" t="s">
        <v>170</v>
      </c>
      <c r="J16" s="107">
        <v>3.99</v>
      </c>
      <c r="K16" s="107">
        <v>5.68</v>
      </c>
      <c r="L16" s="107">
        <v>5.24</v>
      </c>
      <c r="M16" s="107">
        <v>4.25</v>
      </c>
      <c r="N16" s="107">
        <v>3.84</v>
      </c>
      <c r="P16" s="112" t="s">
        <v>171</v>
      </c>
      <c r="Q16" s="112">
        <v>150.0</v>
      </c>
      <c r="R16" s="116" t="s">
        <v>72</v>
      </c>
      <c r="S16" s="116" t="s">
        <v>72</v>
      </c>
      <c r="T16" s="112">
        <v>31500.0</v>
      </c>
      <c r="U16" s="113" t="s">
        <v>146</v>
      </c>
    </row>
    <row r="17" spans="8:8" s="95" ht="14.75" customFormat="1">
      <c r="B17" s="101" t="s">
        <v>172</v>
      </c>
      <c r="C17" s="102" t="s">
        <v>173</v>
      </c>
      <c r="D17" s="107">
        <v>4.09</v>
      </c>
      <c r="E17" s="107">
        <v>5.62</v>
      </c>
      <c r="F17" s="107">
        <v>5.16</v>
      </c>
      <c r="G17" s="107">
        <v>4.11</v>
      </c>
      <c r="H17" s="107">
        <v>3.88</v>
      </c>
      <c r="I17" s="108" t="s">
        <v>174</v>
      </c>
      <c r="J17" s="107">
        <v>4.3</v>
      </c>
      <c r="K17" s="107">
        <v>5.74</v>
      </c>
      <c r="L17" s="107">
        <v>5.47</v>
      </c>
      <c r="M17" s="107">
        <v>4.32</v>
      </c>
      <c r="N17" s="107">
        <v>4.11</v>
      </c>
    </row>
    <row r="18" spans="8:8" s="95" ht="14.75" customFormat="1">
      <c r="B18" s="101" t="s">
        <v>175</v>
      </c>
      <c r="C18" s="102" t="s">
        <v>176</v>
      </c>
      <c r="D18" s="107">
        <v>4.57</v>
      </c>
      <c r="E18" s="107">
        <v>6.9</v>
      </c>
      <c r="F18" s="107">
        <v>5.98</v>
      </c>
      <c r="G18" s="107">
        <v>4.67</v>
      </c>
      <c r="H18" s="107">
        <v>4.34</v>
      </c>
      <c r="I18" s="108" t="s">
        <v>176</v>
      </c>
      <c r="J18" s="107">
        <v>4.77</v>
      </c>
      <c r="K18" s="107">
        <v>7.45</v>
      </c>
      <c r="L18" s="107">
        <v>6.1</v>
      </c>
      <c r="M18" s="107">
        <v>4.91</v>
      </c>
      <c r="N18" s="107">
        <v>4.69</v>
      </c>
    </row>
    <row r="19" spans="8:8" s="95" ht="14.75" customFormat="1">
      <c r="B19" s="101" t="s">
        <v>177</v>
      </c>
      <c r="C19" s="102" t="s">
        <v>178</v>
      </c>
      <c r="D19" s="107">
        <v>4.95</v>
      </c>
      <c r="E19" s="107">
        <v>7.34</v>
      </c>
      <c r="F19" s="107">
        <v>6.7</v>
      </c>
      <c r="G19" s="107">
        <v>5.58</v>
      </c>
      <c r="H19" s="107">
        <v>4.36</v>
      </c>
      <c r="I19" s="108" t="s">
        <v>178</v>
      </c>
      <c r="J19" s="107">
        <v>5.35</v>
      </c>
      <c r="K19" s="107">
        <v>7.92</v>
      </c>
      <c r="L19" s="107">
        <v>6.82</v>
      </c>
      <c r="M19" s="107">
        <v>6.02</v>
      </c>
      <c r="N19" s="107">
        <v>4.71</v>
      </c>
      <c r="P19" s="117" t="s">
        <v>179</v>
      </c>
      <c r="Q19" s="118"/>
      <c r="R19" s="118"/>
      <c r="S19" s="118"/>
      <c r="T19" s="118"/>
      <c r="U19" s="118"/>
    </row>
    <row r="20" spans="8:8" s="95" ht="14.75" customFormat="1">
      <c r="B20" s="101" t="s">
        <v>180</v>
      </c>
      <c r="C20" s="102" t="s">
        <v>181</v>
      </c>
      <c r="D20" s="107">
        <v>5.02</v>
      </c>
      <c r="E20" s="107">
        <v>7.36</v>
      </c>
      <c r="F20" s="107">
        <v>7.11</v>
      </c>
      <c r="G20" s="107">
        <v>5.64</v>
      </c>
      <c r="H20" s="107">
        <v>4.37</v>
      </c>
      <c r="I20" s="108" t="s">
        <v>181</v>
      </c>
      <c r="J20" s="107">
        <v>5.52</v>
      </c>
      <c r="K20" s="107">
        <v>7.95</v>
      </c>
      <c r="L20" s="107">
        <v>7.24</v>
      </c>
      <c r="M20" s="107">
        <v>6.2</v>
      </c>
      <c r="N20" s="107">
        <v>4.72</v>
      </c>
      <c r="P20" s="101" t="s">
        <v>182</v>
      </c>
      <c r="Q20" s="101"/>
      <c r="R20" s="101"/>
      <c r="S20" s="101"/>
      <c r="T20" s="101"/>
      <c r="U20" s="101"/>
    </row>
    <row r="21" spans="8:8" s="95" ht="28.75" customFormat="1">
      <c r="B21" s="101" t="s">
        <v>183</v>
      </c>
      <c r="C21" s="102" t="s">
        <v>184</v>
      </c>
      <c r="D21" s="107">
        <v>5.41</v>
      </c>
      <c r="E21" s="107">
        <v>7.99</v>
      </c>
      <c r="F21" s="107">
        <v>7.96</v>
      </c>
      <c r="G21" s="107">
        <v>6.04</v>
      </c>
      <c r="H21" s="107">
        <v>4.54</v>
      </c>
      <c r="I21" s="108" t="s">
        <v>185</v>
      </c>
      <c r="J21" s="107">
        <v>5.95</v>
      </c>
      <c r="K21" s="107">
        <v>8.63</v>
      </c>
      <c r="L21" s="107">
        <v>8.07</v>
      </c>
      <c r="M21" s="107">
        <v>6.52</v>
      </c>
      <c r="N21" s="107">
        <v>4.99</v>
      </c>
      <c r="P21" s="112"/>
      <c r="Q21" s="101" t="s">
        <v>126</v>
      </c>
      <c r="R21" s="101" t="s">
        <v>186</v>
      </c>
      <c r="S21" s="101" t="s">
        <v>128</v>
      </c>
      <c r="T21" s="101" t="s">
        <v>129</v>
      </c>
      <c r="U21" s="101" t="s">
        <v>130</v>
      </c>
    </row>
    <row r="22" spans="8:8" s="95" ht="14.75" customFormat="1">
      <c r="B22" s="101" t="s">
        <v>187</v>
      </c>
      <c r="C22" s="102" t="s">
        <v>184</v>
      </c>
      <c r="D22" s="107">
        <v>5.41</v>
      </c>
      <c r="E22" s="107">
        <v>7.99</v>
      </c>
      <c r="F22" s="107">
        <v>7.96</v>
      </c>
      <c r="G22" s="107">
        <v>6.04</v>
      </c>
      <c r="H22" s="107">
        <v>4.59</v>
      </c>
      <c r="I22" s="108" t="s">
        <v>184</v>
      </c>
      <c r="J22" s="107">
        <v>5.95</v>
      </c>
      <c r="K22" s="107">
        <v>8.63</v>
      </c>
      <c r="L22" s="107">
        <v>8.08</v>
      </c>
      <c r="M22" s="107">
        <v>6.64</v>
      </c>
      <c r="N22" s="107">
        <v>5.05</v>
      </c>
      <c r="P22" s="119" t="s">
        <v>188</v>
      </c>
      <c r="Q22" s="101" t="s">
        <v>189</v>
      </c>
      <c r="R22" s="107">
        <v>1.0</v>
      </c>
      <c r="S22" s="107">
        <v>1.4</v>
      </c>
      <c r="T22" s="107">
        <v>1.45</v>
      </c>
      <c r="U22" s="107">
        <v>1.35</v>
      </c>
    </row>
    <row r="23" spans="8:8" s="95" ht="29.75" customFormat="1">
      <c r="B23" s="101" t="s">
        <v>190</v>
      </c>
      <c r="C23" s="102" t="s">
        <v>191</v>
      </c>
      <c r="D23" s="107">
        <v>5.55</v>
      </c>
      <c r="E23" s="107">
        <v>8.19</v>
      </c>
      <c r="F23" s="107">
        <v>8.22</v>
      </c>
      <c r="G23" s="107">
        <v>6.19</v>
      </c>
      <c r="H23" s="107">
        <v>4.64</v>
      </c>
      <c r="I23" s="108" t="s">
        <v>191</v>
      </c>
      <c r="J23" s="107">
        <v>6.11</v>
      </c>
      <c r="K23" s="107">
        <v>9.42</v>
      </c>
      <c r="L23" s="107">
        <v>8.34</v>
      </c>
      <c r="M23" s="107">
        <v>7.12</v>
      </c>
      <c r="N23" s="107">
        <v>5.1</v>
      </c>
      <c r="P23" s="120" t="s">
        <v>192</v>
      </c>
      <c r="Q23" s="101"/>
      <c r="R23" s="107"/>
      <c r="S23" s="107"/>
      <c r="T23" s="107"/>
      <c r="U23" s="107"/>
    </row>
    <row r="24" spans="8:8" s="95" ht="14.75" customFormat="1">
      <c r="B24" s="101" t="s">
        <v>193</v>
      </c>
      <c r="C24" s="102" t="s">
        <v>191</v>
      </c>
      <c r="D24" s="107">
        <v>5.55</v>
      </c>
      <c r="E24" s="107">
        <v>8.19</v>
      </c>
      <c r="F24" s="107">
        <v>8.25</v>
      </c>
      <c r="G24" s="107">
        <v>6.19</v>
      </c>
      <c r="H24" s="107">
        <v>4.69</v>
      </c>
      <c r="I24" s="108" t="s">
        <v>194</v>
      </c>
      <c r="J24" s="107">
        <v>6.11</v>
      </c>
      <c r="K24" s="107">
        <v>9.42</v>
      </c>
      <c r="L24" s="107">
        <v>8.37</v>
      </c>
      <c r="M24" s="107">
        <v>7.12</v>
      </c>
      <c r="N24" s="107">
        <v>5.16</v>
      </c>
      <c r="P24" s="119" t="s">
        <v>195</v>
      </c>
      <c r="Q24" s="101" t="s">
        <v>196</v>
      </c>
      <c r="R24" s="107">
        <v>1.15</v>
      </c>
      <c r="S24" s="107">
        <v>1.6</v>
      </c>
      <c r="T24" s="107">
        <v>1.6</v>
      </c>
      <c r="U24" s="107">
        <v>1.52</v>
      </c>
    </row>
    <row r="25" spans="8:8" s="95" ht="29.75" customFormat="1">
      <c r="B25" s="101" t="s">
        <v>197</v>
      </c>
      <c r="C25" s="102" t="s">
        <v>191</v>
      </c>
      <c r="D25" s="107">
        <v>5.55</v>
      </c>
      <c r="E25" s="107">
        <v>8.19</v>
      </c>
      <c r="F25" s="107">
        <v>8.42</v>
      </c>
      <c r="G25" s="107">
        <v>6.19</v>
      </c>
      <c r="H25" s="107">
        <v>4.83</v>
      </c>
      <c r="I25" s="108" t="s">
        <v>198</v>
      </c>
      <c r="J25" s="107">
        <v>6.39</v>
      </c>
      <c r="K25" s="107">
        <v>9.42</v>
      </c>
      <c r="L25" s="107">
        <v>8.82</v>
      </c>
      <c r="M25" s="107">
        <v>7.12</v>
      </c>
      <c r="N25" s="107">
        <v>5.31</v>
      </c>
      <c r="P25" s="120" t="s">
        <v>199</v>
      </c>
      <c r="Q25" s="101"/>
      <c r="R25" s="107"/>
      <c r="S25" s="107"/>
      <c r="T25" s="107"/>
      <c r="U25" s="107"/>
    </row>
    <row r="26" spans="8:8" s="95" ht="14.75" customFormat="1">
      <c r="B26" s="101" t="s">
        <v>200</v>
      </c>
      <c r="C26" s="102" t="s">
        <v>201</v>
      </c>
      <c r="D26" s="107">
        <v>5.74</v>
      </c>
      <c r="E26" s="107">
        <v>8.24</v>
      </c>
      <c r="F26" s="107">
        <v>8.42</v>
      </c>
      <c r="G26" s="107">
        <v>6.19</v>
      </c>
      <c r="H26" s="107">
        <v>4.99</v>
      </c>
      <c r="I26" s="108" t="s">
        <v>202</v>
      </c>
      <c r="J26" s="107">
        <v>6.4</v>
      </c>
      <c r="K26" s="107">
        <v>9.48</v>
      </c>
      <c r="L26" s="107">
        <v>8.85</v>
      </c>
      <c r="M26" s="107">
        <v>7.12</v>
      </c>
      <c r="N26" s="107">
        <v>5.49</v>
      </c>
      <c r="P26" s="119" t="s">
        <v>203</v>
      </c>
      <c r="Q26" s="101" t="s">
        <v>204</v>
      </c>
      <c r="R26" s="107">
        <v>1.32</v>
      </c>
      <c r="S26" s="107">
        <v>2.1</v>
      </c>
      <c r="T26" s="107">
        <v>1.85</v>
      </c>
      <c r="U26" s="107">
        <v>1.65</v>
      </c>
    </row>
    <row r="27" spans="8:8" s="95" ht="29.75" customFormat="1">
      <c r="B27" s="101" t="s">
        <v>205</v>
      </c>
      <c r="C27" s="102" t="s">
        <v>206</v>
      </c>
      <c r="D27" s="107">
        <v>5.75</v>
      </c>
      <c r="E27" s="107">
        <v>8.25</v>
      </c>
      <c r="F27" s="107">
        <v>8.44</v>
      </c>
      <c r="G27" s="107">
        <v>6.2</v>
      </c>
      <c r="H27" s="107">
        <v>5.0</v>
      </c>
      <c r="I27" s="108" t="s">
        <v>207</v>
      </c>
      <c r="J27" s="107">
        <v>6.61</v>
      </c>
      <c r="K27" s="107">
        <v>9.49</v>
      </c>
      <c r="L27" s="107">
        <v>8.89</v>
      </c>
      <c r="M27" s="107">
        <v>7.13</v>
      </c>
      <c r="N27" s="107">
        <v>5.5</v>
      </c>
      <c r="P27" s="120" t="s">
        <v>199</v>
      </c>
      <c r="Q27" s="101"/>
      <c r="R27" s="107"/>
      <c r="S27" s="107"/>
      <c r="T27" s="107"/>
      <c r="U27" s="107"/>
    </row>
    <row r="28" spans="8:8" s="95" ht="14.75" customFormat="1">
      <c r="B28" s="101" t="s">
        <v>208</v>
      </c>
      <c r="C28" s="101" t="s">
        <v>209</v>
      </c>
      <c r="D28" s="107">
        <v>5.33</v>
      </c>
      <c r="E28" s="107">
        <v>7.48</v>
      </c>
      <c r="F28" s="107">
        <v>7.8</v>
      </c>
      <c r="G28" s="107">
        <v>5.31</v>
      </c>
      <c r="H28" s="107">
        <v>5.03</v>
      </c>
      <c r="I28" s="101" t="s">
        <v>210</v>
      </c>
      <c r="J28" s="107">
        <v>5.65</v>
      </c>
      <c r="K28" s="107">
        <v>8.2</v>
      </c>
      <c r="L28" s="107">
        <v>8.0</v>
      </c>
      <c r="M28" s="107">
        <v>6.11</v>
      </c>
      <c r="N28" s="107">
        <v>5.53</v>
      </c>
      <c r="P28" s="119" t="s">
        <v>211</v>
      </c>
      <c r="Q28" s="101" t="s">
        <v>212</v>
      </c>
      <c r="R28" s="107">
        <v>1.95</v>
      </c>
      <c r="S28" s="107">
        <v>3.45</v>
      </c>
      <c r="T28" s="107">
        <v>2.6</v>
      </c>
      <c r="U28" s="107">
        <v>2.18</v>
      </c>
    </row>
    <row r="29" spans="8:8" s="95" ht="29.75" customFormat="1">
      <c r="B29" s="101" t="s">
        <v>213</v>
      </c>
      <c r="C29" s="101" t="s">
        <v>214</v>
      </c>
      <c r="D29" s="107">
        <v>5.45</v>
      </c>
      <c r="E29" s="107">
        <v>7.75</v>
      </c>
      <c r="F29" s="107">
        <v>7.98</v>
      </c>
      <c r="G29" s="107">
        <v>5.31</v>
      </c>
      <c r="H29" s="107">
        <v>5.14</v>
      </c>
      <c r="I29" s="101" t="s">
        <v>215</v>
      </c>
      <c r="J29" s="107">
        <v>5.78</v>
      </c>
      <c r="K29" s="107">
        <v>8.49</v>
      </c>
      <c r="L29" s="107">
        <v>8.19</v>
      </c>
      <c r="M29" s="107">
        <v>6.11</v>
      </c>
      <c r="N29" s="107">
        <v>5.65</v>
      </c>
      <c r="P29" s="120" t="s">
        <v>216</v>
      </c>
      <c r="Q29" s="101"/>
      <c r="R29" s="107"/>
      <c r="S29" s="107"/>
      <c r="T29" s="107"/>
      <c r="U29" s="107"/>
    </row>
    <row r="30" spans="8:8" s="95" ht="28.75" customFormat="1">
      <c r="B30" s="101" t="s">
        <v>217</v>
      </c>
      <c r="C30" s="101" t="s">
        <v>218</v>
      </c>
      <c r="D30" s="107">
        <v>5.49</v>
      </c>
      <c r="E30" s="107">
        <v>7.84</v>
      </c>
      <c r="F30" s="107">
        <v>8.26</v>
      </c>
      <c r="G30" s="107">
        <v>5.76</v>
      </c>
      <c r="H30" s="107">
        <v>5.18</v>
      </c>
      <c r="I30" s="101" t="s">
        <v>219</v>
      </c>
      <c r="J30" s="107">
        <v>5.82</v>
      </c>
      <c r="K30" s="107">
        <v>8.59</v>
      </c>
      <c r="L30" s="107">
        <v>8.47</v>
      </c>
      <c r="M30" s="107">
        <v>6.63</v>
      </c>
      <c r="N30" s="107">
        <v>5.7</v>
      </c>
    </row>
    <row r="31" spans="8:8" s="95" ht="28.75" customFormat="1">
      <c r="B31" s="101" t="s">
        <v>220</v>
      </c>
      <c r="C31" s="101" t="s">
        <v>221</v>
      </c>
      <c r="D31" s="107">
        <v>5.49</v>
      </c>
      <c r="E31" s="107">
        <v>7.84</v>
      </c>
      <c r="F31" s="107">
        <v>8.31</v>
      </c>
      <c r="G31" s="107">
        <v>5.76</v>
      </c>
      <c r="H31" s="107">
        <v>5.18</v>
      </c>
      <c r="I31" s="101" t="s">
        <v>222</v>
      </c>
      <c r="J31" s="107">
        <v>5.82</v>
      </c>
      <c r="K31" s="107">
        <v>8.59</v>
      </c>
      <c r="L31" s="107">
        <v>8.52</v>
      </c>
      <c r="M31" s="107">
        <v>6.63</v>
      </c>
      <c r="N31" s="107">
        <v>5.7</v>
      </c>
    </row>
    <row r="32" spans="8:8" s="95" ht="28.75" customFormat="1">
      <c r="B32" s="101" t="s">
        <v>223</v>
      </c>
      <c r="C32" s="101" t="s">
        <v>224</v>
      </c>
      <c r="D32" s="107">
        <v>5.57</v>
      </c>
      <c r="E32" s="107">
        <v>8.36</v>
      </c>
      <c r="F32" s="107">
        <v>8.36</v>
      </c>
      <c r="G32" s="107">
        <v>5.97</v>
      </c>
      <c r="H32" s="107">
        <v>5.25</v>
      </c>
      <c r="I32" s="101" t="s">
        <v>225</v>
      </c>
      <c r="J32" s="107">
        <v>5.9</v>
      </c>
      <c r="K32" s="107">
        <v>9.16</v>
      </c>
      <c r="L32" s="107">
        <v>8.58</v>
      </c>
      <c r="M32" s="107">
        <v>6.86</v>
      </c>
      <c r="N32" s="107">
        <v>5.78</v>
      </c>
      <c r="P32" s="121"/>
      <c r="Q32" s="122" t="s">
        <v>99</v>
      </c>
      <c r="R32" s="123"/>
      <c r="S32" s="123"/>
    </row>
    <row r="33" spans="8:8" s="95" ht="14.75" customFormat="1">
      <c r="B33" s="101" t="s">
        <v>226</v>
      </c>
      <c r="C33" s="101" t="s">
        <v>227</v>
      </c>
      <c r="D33" s="107">
        <v>5.33</v>
      </c>
      <c r="E33" s="107">
        <v>7.52</v>
      </c>
      <c r="F33" s="107">
        <v>8.26</v>
      </c>
      <c r="G33" s="107">
        <v>5.35</v>
      </c>
      <c r="H33" s="107">
        <v>5.03</v>
      </c>
      <c r="I33" s="101" t="s">
        <v>228</v>
      </c>
      <c r="J33" s="107">
        <v>5.71</v>
      </c>
      <c r="K33" s="107">
        <v>8.21</v>
      </c>
      <c r="L33" s="107">
        <v>8.48</v>
      </c>
      <c r="M33" s="107">
        <v>6.15</v>
      </c>
      <c r="N33" s="107">
        <v>5.53</v>
      </c>
      <c r="P33" s="124" t="s">
        <v>101</v>
      </c>
      <c r="Q33" s="124">
        <v>1.0</v>
      </c>
      <c r="R33" s="125">
        <f>Q33*28.349523125</f>
        <v>28.349523125</v>
      </c>
      <c r="S33" s="126" t="s">
        <v>102</v>
      </c>
    </row>
    <row r="34" spans="8:8" s="95" ht="28.75" customFormat="1">
      <c r="B34" s="101" t="s">
        <v>229</v>
      </c>
      <c r="C34" s="101" t="s">
        <v>230</v>
      </c>
      <c r="D34" s="107">
        <v>5.57</v>
      </c>
      <c r="E34" s="107">
        <v>8.59</v>
      </c>
      <c r="F34" s="107">
        <v>8.4</v>
      </c>
      <c r="G34" s="107">
        <v>5.97</v>
      </c>
      <c r="H34" s="107">
        <v>5.25</v>
      </c>
      <c r="I34" s="101" t="s">
        <v>231</v>
      </c>
      <c r="J34" s="107">
        <v>5.95</v>
      </c>
      <c r="K34" s="107">
        <v>9.28</v>
      </c>
      <c r="L34" s="107">
        <v>8.62</v>
      </c>
      <c r="M34" s="107">
        <v>6.86</v>
      </c>
      <c r="N34" s="107">
        <v>5.78</v>
      </c>
      <c r="P34" s="124" t="s">
        <v>104</v>
      </c>
      <c r="Q34" s="124">
        <v>1.0</v>
      </c>
      <c r="R34" s="125">
        <f>Q34*453.59237</f>
        <v>453.59237</v>
      </c>
      <c r="S34" s="126" t="s">
        <v>102</v>
      </c>
    </row>
    <row r="35" spans="8:8" s="95" ht="28.75" customFormat="1">
      <c r="B35" s="101" t="s">
        <v>232</v>
      </c>
      <c r="C35" s="101" t="s">
        <v>231</v>
      </c>
      <c r="D35" s="107">
        <v>6.5</v>
      </c>
      <c r="E35" s="107">
        <v>9.02</v>
      </c>
      <c r="F35" s="107">
        <v>8.41</v>
      </c>
      <c r="G35" s="107">
        <v>6.61</v>
      </c>
      <c r="H35" s="107">
        <v>6.13</v>
      </c>
      <c r="I35" s="101" t="s">
        <v>233</v>
      </c>
      <c r="J35" s="107">
        <v>6.95</v>
      </c>
      <c r="K35" s="107">
        <v>9.75</v>
      </c>
      <c r="L35" s="107">
        <v>8.63</v>
      </c>
      <c r="M35" s="107">
        <v>7.6</v>
      </c>
      <c r="N35" s="107">
        <v>6.74</v>
      </c>
      <c r="P35" s="124" t="s">
        <v>106</v>
      </c>
      <c r="Q35" s="124">
        <v>1.0</v>
      </c>
      <c r="R35" s="127">
        <f>Q35*2.54</f>
        <v>2.54</v>
      </c>
      <c r="S35" s="126" t="s">
        <v>107</v>
      </c>
    </row>
    <row r="36" spans="8:8" s="95" ht="28.75" customFormat="1">
      <c r="B36" s="101" t="s">
        <v>234</v>
      </c>
      <c r="C36" s="101" t="s">
        <v>201</v>
      </c>
      <c r="D36" s="107">
        <v>6.55</v>
      </c>
      <c r="E36" s="107">
        <v>9.4</v>
      </c>
      <c r="F36" s="107">
        <v>8.99</v>
      </c>
      <c r="G36" s="107">
        <v>6.67</v>
      </c>
      <c r="H36" s="107">
        <v>6.17</v>
      </c>
      <c r="I36" s="101" t="s">
        <v>235</v>
      </c>
      <c r="J36" s="107">
        <v>7.01</v>
      </c>
      <c r="K36" s="107">
        <v>10.16</v>
      </c>
      <c r="L36" s="107">
        <v>9.23</v>
      </c>
      <c r="M36" s="107">
        <v>7.67</v>
      </c>
      <c r="N36" s="107">
        <v>6.78</v>
      </c>
    </row>
    <row r="37" spans="8:8" s="95" ht="28.75" customFormat="1">
      <c r="B37" s="101" t="s">
        <v>236</v>
      </c>
      <c r="C37" s="101" t="s">
        <v>194</v>
      </c>
      <c r="D37" s="107">
        <v>6.55</v>
      </c>
      <c r="E37" s="107">
        <v>9.46</v>
      </c>
      <c r="F37" s="107">
        <v>9.03</v>
      </c>
      <c r="G37" s="107">
        <v>6.89</v>
      </c>
      <c r="H37" s="107">
        <v>6.17</v>
      </c>
      <c r="I37" s="101" t="s">
        <v>237</v>
      </c>
      <c r="J37" s="107">
        <v>7.01</v>
      </c>
      <c r="K37" s="107">
        <v>10.22</v>
      </c>
      <c r="L37" s="107">
        <v>9.27</v>
      </c>
      <c r="M37" s="107">
        <v>7.92</v>
      </c>
      <c r="N37" s="107">
        <v>6.78</v>
      </c>
    </row>
    <row r="38" spans="8:8" s="95" ht="28.75" customFormat="1">
      <c r="B38" s="101" t="s">
        <v>238</v>
      </c>
      <c r="C38" s="101" t="s">
        <v>239</v>
      </c>
      <c r="D38" s="107">
        <v>6.76</v>
      </c>
      <c r="E38" s="107">
        <v>10.02</v>
      </c>
      <c r="F38" s="107">
        <v>10.02</v>
      </c>
      <c r="G38" s="107">
        <v>8.76</v>
      </c>
      <c r="H38" s="107">
        <v>6.18</v>
      </c>
      <c r="I38" s="101" t="s">
        <v>240</v>
      </c>
      <c r="J38" s="107">
        <v>7.24</v>
      </c>
      <c r="K38" s="107">
        <v>10.83</v>
      </c>
      <c r="L38" s="107">
        <v>10.28</v>
      </c>
      <c r="M38" s="107">
        <v>10.08</v>
      </c>
      <c r="N38" s="107">
        <v>6.79</v>
      </c>
    </row>
    <row r="39" spans="8:8" s="95" ht="28.75" customFormat="1">
      <c r="B39" s="101" t="s">
        <v>241</v>
      </c>
      <c r="C39" s="101" t="s">
        <v>242</v>
      </c>
      <c r="D39" s="107">
        <v>6.86</v>
      </c>
      <c r="E39" s="107">
        <v>10.13</v>
      </c>
      <c r="F39" s="107">
        <v>10.02</v>
      </c>
      <c r="G39" s="107">
        <v>8.92</v>
      </c>
      <c r="H39" s="107">
        <v>6.2</v>
      </c>
      <c r="I39" s="101" t="s">
        <v>243</v>
      </c>
      <c r="J39" s="107">
        <v>7.34</v>
      </c>
      <c r="K39" s="107">
        <v>10.95</v>
      </c>
      <c r="L39" s="107">
        <v>10.28</v>
      </c>
      <c r="M39" s="107">
        <v>10.26</v>
      </c>
      <c r="N39" s="107">
        <v>6.82</v>
      </c>
    </row>
    <row r="40" spans="8:8" s="95" ht="28.75" customFormat="1">
      <c r="B40" s="101" t="s">
        <v>244</v>
      </c>
      <c r="C40" s="101" t="s">
        <v>245</v>
      </c>
      <c r="D40" s="107">
        <v>6.91</v>
      </c>
      <c r="E40" s="107">
        <v>10.19</v>
      </c>
      <c r="F40" s="107">
        <v>10.16</v>
      </c>
      <c r="G40" s="107">
        <v>9.19</v>
      </c>
      <c r="H40" s="107">
        <v>6.23</v>
      </c>
      <c r="I40" s="101" t="s">
        <v>246</v>
      </c>
      <c r="J40" s="107">
        <v>7.39</v>
      </c>
      <c r="K40" s="107">
        <v>11.01</v>
      </c>
      <c r="L40" s="107">
        <v>10.43</v>
      </c>
      <c r="M40" s="107">
        <v>10.57</v>
      </c>
      <c r="N40" s="107">
        <v>6.85</v>
      </c>
    </row>
    <row r="41" spans="8:8" s="95" ht="28.75" customFormat="1">
      <c r="B41" s="101" t="s">
        <v>247</v>
      </c>
      <c r="C41" s="101" t="s">
        <v>245</v>
      </c>
      <c r="D41" s="107">
        <v>6.91</v>
      </c>
      <c r="E41" s="107">
        <v>10.19</v>
      </c>
      <c r="F41" s="107">
        <v>10.22</v>
      </c>
      <c r="G41" s="107">
        <v>9.73</v>
      </c>
      <c r="H41" s="107">
        <v>6.26</v>
      </c>
      <c r="I41" s="101" t="s">
        <v>246</v>
      </c>
      <c r="J41" s="107">
        <v>7.39</v>
      </c>
      <c r="K41" s="107">
        <v>11.01</v>
      </c>
      <c r="L41" s="107">
        <v>10.49</v>
      </c>
      <c r="M41" s="107">
        <v>11.19</v>
      </c>
      <c r="N41" s="107">
        <v>6.88</v>
      </c>
    </row>
    <row r="42" spans="8:8" s="95" ht="28.75" customFormat="1">
      <c r="B42" s="101" t="s">
        <v>248</v>
      </c>
      <c r="C42" s="101" t="s">
        <v>249</v>
      </c>
      <c r="D42" s="107">
        <v>6.94</v>
      </c>
      <c r="E42" s="107">
        <v>10.24</v>
      </c>
      <c r="F42" s="107">
        <v>10.28</v>
      </c>
      <c r="G42" s="107">
        <v>10.13</v>
      </c>
      <c r="H42" s="107">
        <v>6.36</v>
      </c>
      <c r="I42" s="101" t="s">
        <v>250</v>
      </c>
      <c r="J42" s="107">
        <v>7.43</v>
      </c>
      <c r="K42" s="107">
        <v>11.06</v>
      </c>
      <c r="L42" s="107">
        <v>10.55</v>
      </c>
      <c r="M42" s="107">
        <v>11.65</v>
      </c>
      <c r="N42" s="107">
        <v>7.0</v>
      </c>
    </row>
    <row r="43" spans="8:8" s="95" ht="28.75" customFormat="1">
      <c r="B43" s="101" t="s">
        <v>251</v>
      </c>
      <c r="C43" s="101" t="s">
        <v>252</v>
      </c>
      <c r="D43" s="107">
        <v>7.53</v>
      </c>
      <c r="E43" s="107">
        <v>10.94</v>
      </c>
      <c r="F43" s="107">
        <v>11.39</v>
      </c>
      <c r="G43" s="107">
        <v>10.9</v>
      </c>
      <c r="H43" s="107">
        <v>6.41</v>
      </c>
      <c r="I43" s="101" t="s">
        <v>253</v>
      </c>
      <c r="J43" s="107">
        <v>8.05</v>
      </c>
      <c r="K43" s="107">
        <v>11.82</v>
      </c>
      <c r="L43" s="107">
        <v>11.69</v>
      </c>
      <c r="M43" s="107">
        <v>12.54</v>
      </c>
      <c r="N43" s="107">
        <v>7.06</v>
      </c>
    </row>
    <row r="44" spans="8:8" s="95" ht="28.75" customFormat="1">
      <c r="B44" s="101" t="s">
        <v>254</v>
      </c>
      <c r="C44" s="101" t="s">
        <v>255</v>
      </c>
      <c r="D44" s="107">
        <v>8.0</v>
      </c>
      <c r="E44" s="107">
        <v>11.5</v>
      </c>
      <c r="F44" s="107">
        <v>11.74</v>
      </c>
      <c r="G44" s="107">
        <v>11.83</v>
      </c>
      <c r="H44" s="107">
        <v>6.41</v>
      </c>
      <c r="I44" s="101" t="s">
        <v>256</v>
      </c>
      <c r="J44" s="107">
        <v>8.56</v>
      </c>
      <c r="K44" s="107">
        <v>12.43</v>
      </c>
      <c r="L44" s="107">
        <v>12.05</v>
      </c>
      <c r="M44" s="107">
        <v>13.61</v>
      </c>
      <c r="N44" s="107">
        <v>7.06</v>
      </c>
    </row>
    <row r="45" spans="8:8" s="95" ht="28.75" customFormat="1">
      <c r="B45" s="101" t="s">
        <v>257</v>
      </c>
      <c r="C45" s="101" t="s">
        <v>258</v>
      </c>
      <c r="D45" s="107">
        <v>9.06</v>
      </c>
      <c r="E45" s="107">
        <v>11.5</v>
      </c>
      <c r="F45" s="107">
        <v>12.49</v>
      </c>
      <c r="G45" s="107">
        <v>11.83</v>
      </c>
      <c r="H45" s="107">
        <v>6.41</v>
      </c>
      <c r="I45" s="101" t="s">
        <v>259</v>
      </c>
      <c r="J45" s="107">
        <v>9.7</v>
      </c>
      <c r="K45" s="107">
        <v>12.43</v>
      </c>
      <c r="L45" s="107">
        <v>12.82</v>
      </c>
      <c r="M45" s="107">
        <v>13.61</v>
      </c>
      <c r="N45" s="107">
        <v>7.06</v>
      </c>
    </row>
    <row r="46" spans="8:8" s="95" ht="28.75" customFormat="1">
      <c r="B46" s="101" t="s">
        <v>260</v>
      </c>
      <c r="C46" s="101" t="s">
        <v>258</v>
      </c>
      <c r="D46" s="107">
        <v>9.06</v>
      </c>
      <c r="E46" s="107">
        <v>12.81</v>
      </c>
      <c r="F46" s="107">
        <v>13.12</v>
      </c>
      <c r="G46" s="107">
        <v>13.14</v>
      </c>
      <c r="H46" s="107">
        <v>6.41</v>
      </c>
      <c r="I46" s="101" t="s">
        <v>259</v>
      </c>
      <c r="J46" s="107">
        <v>9.7</v>
      </c>
      <c r="K46" s="107">
        <v>13.84</v>
      </c>
      <c r="L46" s="107">
        <v>13.46</v>
      </c>
      <c r="M46" s="107">
        <v>15.12</v>
      </c>
      <c r="N46" s="107">
        <v>7.06</v>
      </c>
    </row>
    <row r="47" spans="8:8" s="95" ht="28.75" customFormat="1">
      <c r="B47" s="101" t="s">
        <v>261</v>
      </c>
      <c r="C47" s="101" t="s">
        <v>262</v>
      </c>
      <c r="D47" s="107">
        <v>7.11</v>
      </c>
      <c r="E47" s="107">
        <v>13.12</v>
      </c>
      <c r="F47" s="107">
        <v>11.05</v>
      </c>
      <c r="G47" s="107">
        <v>7.92</v>
      </c>
      <c r="H47" s="107">
        <v>6.71</v>
      </c>
      <c r="I47" s="101" t="s">
        <v>263</v>
      </c>
      <c r="J47" s="107">
        <v>8.18</v>
      </c>
      <c r="K47" s="107">
        <v>15.09</v>
      </c>
      <c r="L47" s="107">
        <v>9.39</v>
      </c>
      <c r="M47" s="107">
        <v>9.11</v>
      </c>
      <c r="N47" s="107">
        <v>7.38</v>
      </c>
    </row>
    <row r="48" spans="8:8" s="95" ht="28.75" customFormat="1">
      <c r="B48" s="101" t="s">
        <v>264</v>
      </c>
      <c r="C48" s="101" t="s">
        <v>265</v>
      </c>
      <c r="D48" s="107">
        <v>8.2</v>
      </c>
      <c r="E48" s="107">
        <v>15.91</v>
      </c>
      <c r="F48" s="107">
        <v>12.58</v>
      </c>
      <c r="G48" s="107">
        <v>11.65</v>
      </c>
      <c r="H48" s="107">
        <v>7.74</v>
      </c>
      <c r="I48" s="101" t="s">
        <v>266</v>
      </c>
      <c r="J48" s="107">
        <v>9.44</v>
      </c>
      <c r="K48" s="107">
        <v>18.3</v>
      </c>
      <c r="L48" s="107">
        <v>10.69</v>
      </c>
      <c r="M48" s="107">
        <v>13.4</v>
      </c>
      <c r="N48" s="107">
        <v>8.51</v>
      </c>
    </row>
    <row r="49" spans="8:8" s="95" ht="28.75" customFormat="1">
      <c r="B49" s="101" t="s">
        <v>267</v>
      </c>
      <c r="C49" s="101" t="s">
        <v>268</v>
      </c>
      <c r="D49" s="107">
        <v>8.78</v>
      </c>
      <c r="E49" s="107">
        <v>16.84</v>
      </c>
      <c r="F49" s="107">
        <v>13.86</v>
      </c>
      <c r="G49" s="107">
        <v>12.59</v>
      </c>
      <c r="H49" s="107">
        <v>8.28</v>
      </c>
      <c r="I49" s="101" t="s">
        <v>269</v>
      </c>
      <c r="J49" s="107">
        <v>10.09</v>
      </c>
      <c r="K49" s="107">
        <v>19.37</v>
      </c>
      <c r="L49" s="107">
        <v>11.78</v>
      </c>
      <c r="M49" s="107">
        <v>14.48</v>
      </c>
      <c r="N49" s="107">
        <v>9.11</v>
      </c>
    </row>
    <row r="50" spans="8:8" s="95" ht="28.75" customFormat="1">
      <c r="B50" s="101" t="s">
        <v>270</v>
      </c>
      <c r="C50" s="101" t="s">
        <v>271</v>
      </c>
      <c r="D50" s="107">
        <v>9.28</v>
      </c>
      <c r="E50" s="107">
        <v>17.67</v>
      </c>
      <c r="F50" s="107">
        <v>14.31</v>
      </c>
      <c r="G50" s="107">
        <v>13.6</v>
      </c>
      <c r="H50" s="107">
        <v>8.75</v>
      </c>
      <c r="I50" s="101" t="s">
        <v>272</v>
      </c>
      <c r="J50" s="107">
        <v>10.67</v>
      </c>
      <c r="K50" s="107">
        <v>20.32</v>
      </c>
      <c r="L50" s="107">
        <v>12.16</v>
      </c>
      <c r="M50" s="107">
        <v>15.65</v>
      </c>
      <c r="N50" s="107">
        <v>9.63</v>
      </c>
    </row>
    <row r="51" spans="8:8" s="95" ht="28.75" customFormat="1">
      <c r="B51" s="101" t="s">
        <v>273</v>
      </c>
      <c r="C51" s="101" t="s">
        <v>274</v>
      </c>
      <c r="D51" s="107">
        <v>10.27</v>
      </c>
      <c r="E51" s="107">
        <v>19.31</v>
      </c>
      <c r="F51" s="107">
        <v>16.05</v>
      </c>
      <c r="G51" s="107">
        <v>14.75</v>
      </c>
      <c r="H51" s="107">
        <v>9.69</v>
      </c>
      <c r="I51" s="101" t="s">
        <v>275</v>
      </c>
      <c r="J51" s="107">
        <v>11.81</v>
      </c>
      <c r="K51" s="107">
        <v>22.21</v>
      </c>
      <c r="L51" s="107">
        <v>13.64</v>
      </c>
      <c r="M51" s="107">
        <v>16.97</v>
      </c>
      <c r="N51" s="107">
        <v>10.66</v>
      </c>
    </row>
    <row r="52" spans="8:8" s="95" ht="28.75" customFormat="1">
      <c r="B52" s="101" t="s">
        <v>276</v>
      </c>
      <c r="C52" s="101" t="s">
        <v>277</v>
      </c>
      <c r="D52" s="107">
        <v>10.29</v>
      </c>
      <c r="E52" s="107">
        <v>19.77</v>
      </c>
      <c r="F52" s="107">
        <v>16.15</v>
      </c>
      <c r="G52" s="107">
        <v>16.92</v>
      </c>
      <c r="H52" s="107">
        <v>9.71</v>
      </c>
      <c r="I52" s="101" t="s">
        <v>278</v>
      </c>
      <c r="J52" s="107">
        <v>11.84</v>
      </c>
      <c r="K52" s="107">
        <v>22.74</v>
      </c>
      <c r="L52" s="107">
        <v>13.73</v>
      </c>
      <c r="M52" s="107">
        <v>19.45</v>
      </c>
      <c r="N52" s="107">
        <v>10.68</v>
      </c>
    </row>
    <row r="53" spans="8:8" s="95" ht="26.25" customFormat="1">
      <c r="B53" s="100" t="s">
        <v>279</v>
      </c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</row>
    <row r="54" spans="8:8" s="95" ht="15.0" customFormat="1" customHeight="1">
      <c r="B54" s="101" t="s">
        <v>123</v>
      </c>
      <c r="C54" s="101"/>
      <c r="D54" s="101"/>
      <c r="E54" s="101"/>
      <c r="F54" s="101"/>
      <c r="G54" s="101"/>
      <c r="H54" s="101"/>
      <c r="I54" s="101"/>
      <c r="J54" s="101"/>
      <c r="K54" s="101"/>
      <c r="L54" s="101"/>
      <c r="M54" s="101"/>
      <c r="N54" s="101"/>
    </row>
    <row r="55" spans="8:8" s="95" ht="15.0" customFormat="1" customHeight="1">
      <c r="B55" s="101"/>
      <c r="C55" s="101" t="s">
        <v>124</v>
      </c>
      <c r="D55" s="101"/>
      <c r="E55" s="101"/>
      <c r="F55" s="101"/>
      <c r="G55" s="101"/>
      <c r="H55" s="101"/>
      <c r="I55" s="101" t="s">
        <v>125</v>
      </c>
      <c r="J55" s="101"/>
      <c r="K55" s="101"/>
      <c r="L55" s="101"/>
      <c r="M55" s="101"/>
      <c r="N55" s="101"/>
    </row>
    <row r="56" spans="8:8" s="95" ht="28.75" customFormat="1">
      <c r="B56" s="101"/>
      <c r="C56" s="101" t="s">
        <v>126</v>
      </c>
      <c r="D56" s="101" t="s">
        <v>280</v>
      </c>
      <c r="E56" s="101" t="s">
        <v>128</v>
      </c>
      <c r="F56" s="101" t="s">
        <v>129</v>
      </c>
      <c r="G56" s="101" t="s">
        <v>130</v>
      </c>
      <c r="H56" s="101" t="s">
        <v>131</v>
      </c>
      <c r="I56" s="128" t="s">
        <v>126</v>
      </c>
      <c r="J56" s="128" t="s">
        <v>280</v>
      </c>
      <c r="K56" s="128" t="s">
        <v>128</v>
      </c>
      <c r="L56" s="128" t="s">
        <v>129</v>
      </c>
      <c r="M56" s="128" t="s">
        <v>130</v>
      </c>
      <c r="N56" s="128" t="s">
        <v>131</v>
      </c>
    </row>
    <row r="57" spans="8:8" s="95" ht="14.75" customFormat="1">
      <c r="B57" s="101" t="s">
        <v>138</v>
      </c>
      <c r="C57" s="101" t="s">
        <v>139</v>
      </c>
      <c r="D57" s="107">
        <v>1.63</v>
      </c>
      <c r="E57" s="107">
        <v>2.24</v>
      </c>
      <c r="F57" s="107">
        <v>2.59</v>
      </c>
      <c r="G57" s="107">
        <v>2.13</v>
      </c>
      <c r="H57" s="107">
        <v>1.54</v>
      </c>
      <c r="I57" s="101" t="s">
        <v>140</v>
      </c>
      <c r="J57" s="107">
        <v>1.73</v>
      </c>
      <c r="K57" s="107">
        <v>2.37</v>
      </c>
      <c r="L57" s="107">
        <v>2.74</v>
      </c>
      <c r="M57" s="107">
        <v>2.26</v>
      </c>
      <c r="N57" s="107">
        <v>1.62</v>
      </c>
    </row>
    <row r="58" spans="8:8" s="95" ht="14.75" customFormat="1">
      <c r="B58" s="101" t="s">
        <v>142</v>
      </c>
      <c r="C58" s="101" t="s">
        <v>143</v>
      </c>
      <c r="D58" s="107">
        <v>1.79</v>
      </c>
      <c r="E58" s="107">
        <v>2.37</v>
      </c>
      <c r="F58" s="107">
        <v>2.72</v>
      </c>
      <c r="G58" s="107">
        <v>2.37</v>
      </c>
      <c r="H58" s="107">
        <v>1.69</v>
      </c>
      <c r="I58" s="101" t="s">
        <v>144</v>
      </c>
      <c r="J58" s="107">
        <v>1.88</v>
      </c>
      <c r="K58" s="107">
        <v>2.52</v>
      </c>
      <c r="L58" s="107">
        <v>2.88</v>
      </c>
      <c r="M58" s="107">
        <v>2.51</v>
      </c>
      <c r="N58" s="107">
        <v>1.76</v>
      </c>
    </row>
    <row r="59" spans="8:8" s="95" ht="14.75" customFormat="1">
      <c r="B59" s="101" t="s">
        <v>147</v>
      </c>
      <c r="C59" s="101" t="s">
        <v>148</v>
      </c>
      <c r="D59" s="107">
        <v>1.92</v>
      </c>
      <c r="E59" s="107">
        <v>3.0</v>
      </c>
      <c r="F59" s="107">
        <v>3.01</v>
      </c>
      <c r="G59" s="107">
        <v>2.65</v>
      </c>
      <c r="H59" s="107">
        <v>1.82</v>
      </c>
      <c r="I59" s="101" t="s">
        <v>148</v>
      </c>
      <c r="J59" s="107">
        <v>2.01</v>
      </c>
      <c r="K59" s="107">
        <v>3.01</v>
      </c>
      <c r="L59" s="107">
        <v>3.03</v>
      </c>
      <c r="M59" s="107">
        <v>2.81</v>
      </c>
      <c r="N59" s="107">
        <v>1.93</v>
      </c>
    </row>
    <row r="60" spans="8:8" s="95" ht="14.75" customFormat="1">
      <c r="B60" s="101" t="s">
        <v>150</v>
      </c>
      <c r="C60" s="101" t="s">
        <v>151</v>
      </c>
      <c r="D60" s="107">
        <v>2.04</v>
      </c>
      <c r="E60" s="107">
        <v>3.37</v>
      </c>
      <c r="F60" s="107">
        <v>3.19</v>
      </c>
      <c r="G60" s="107">
        <v>2.85</v>
      </c>
      <c r="H60" s="107">
        <v>1.95</v>
      </c>
      <c r="I60" s="101" t="s">
        <v>152</v>
      </c>
      <c r="J60" s="107">
        <v>2.16</v>
      </c>
      <c r="K60" s="107">
        <v>3.38</v>
      </c>
      <c r="L60" s="107">
        <v>3.27</v>
      </c>
      <c r="M60" s="107">
        <v>3.02</v>
      </c>
      <c r="N60" s="107">
        <v>2.05</v>
      </c>
    </row>
    <row r="61" spans="8:8" s="95" ht="14.75" customFormat="1">
      <c r="B61" s="101" t="s">
        <v>154</v>
      </c>
      <c r="C61" s="101" t="s">
        <v>155</v>
      </c>
      <c r="D61" s="107">
        <v>2.4</v>
      </c>
      <c r="E61" s="107">
        <v>3.95</v>
      </c>
      <c r="F61" s="107">
        <v>3.44</v>
      </c>
      <c r="G61" s="107">
        <v>2.97</v>
      </c>
      <c r="H61" s="107">
        <v>2.34</v>
      </c>
      <c r="I61" s="101" t="s">
        <v>155</v>
      </c>
      <c r="J61" s="107">
        <v>2.52</v>
      </c>
      <c r="K61" s="107">
        <v>3.96</v>
      </c>
      <c r="L61" s="107">
        <v>3.53</v>
      </c>
      <c r="M61" s="107">
        <v>3.15</v>
      </c>
      <c r="N61" s="107">
        <v>2.48</v>
      </c>
    </row>
    <row r="62" spans="8:8" s="95" ht="14.75" customFormat="1">
      <c r="B62" s="101" t="s">
        <v>157</v>
      </c>
      <c r="C62" s="101" t="s">
        <v>158</v>
      </c>
      <c r="D62" s="107">
        <v>2.53</v>
      </c>
      <c r="E62" s="107">
        <v>3.94</v>
      </c>
      <c r="F62" s="107">
        <v>3.52</v>
      </c>
      <c r="G62" s="107">
        <v>2.82</v>
      </c>
      <c r="H62" s="107">
        <v>2.39</v>
      </c>
      <c r="I62" s="101" t="s">
        <v>159</v>
      </c>
      <c r="J62" s="107">
        <v>2.66</v>
      </c>
      <c r="K62" s="107">
        <v>3.95</v>
      </c>
      <c r="L62" s="107">
        <v>3.62</v>
      </c>
      <c r="M62" s="107">
        <v>2.99</v>
      </c>
      <c r="N62" s="107">
        <v>2.53</v>
      </c>
    </row>
    <row r="63" spans="8:8" s="95" ht="14.75" customFormat="1">
      <c r="B63" s="101" t="s">
        <v>161</v>
      </c>
      <c r="C63" s="101" t="s">
        <v>162</v>
      </c>
      <c r="D63" s="107">
        <v>2.81</v>
      </c>
      <c r="E63" s="107">
        <v>4.59</v>
      </c>
      <c r="F63" s="107">
        <v>3.94</v>
      </c>
      <c r="G63" s="107">
        <v>3.3</v>
      </c>
      <c r="H63" s="107">
        <v>2.65</v>
      </c>
      <c r="I63" s="101" t="s">
        <v>163</v>
      </c>
      <c r="J63" s="107">
        <v>2.95</v>
      </c>
      <c r="K63" s="107">
        <v>4.72</v>
      </c>
      <c r="L63" s="107">
        <v>4.04</v>
      </c>
      <c r="M63" s="107">
        <v>3.5</v>
      </c>
      <c r="N63" s="107">
        <v>2.81</v>
      </c>
    </row>
    <row r="64" spans="8:8" s="95" ht="14.75" customFormat="1">
      <c r="B64" s="101" t="s">
        <v>164</v>
      </c>
      <c r="C64" s="101" t="s">
        <v>165</v>
      </c>
      <c r="D64" s="107">
        <v>3.22</v>
      </c>
      <c r="E64" s="107">
        <v>5.32</v>
      </c>
      <c r="F64" s="107">
        <v>4.59</v>
      </c>
      <c r="G64" s="107">
        <v>3.6</v>
      </c>
      <c r="H64" s="107">
        <v>3.08</v>
      </c>
      <c r="I64" s="101" t="s">
        <v>166</v>
      </c>
      <c r="J64" s="107">
        <v>3.38</v>
      </c>
      <c r="K64" s="107">
        <v>5.46</v>
      </c>
      <c r="L64" s="107">
        <v>4.66</v>
      </c>
      <c r="M64" s="107">
        <v>3.78</v>
      </c>
      <c r="N64" s="107">
        <v>3.26</v>
      </c>
    </row>
    <row r="65" spans="8:8" s="95" ht="14.75" customFormat="1">
      <c r="B65" s="101" t="s">
        <v>168</v>
      </c>
      <c r="C65" s="101" t="s">
        <v>169</v>
      </c>
      <c r="D65" s="107">
        <v>3.76</v>
      </c>
      <c r="E65" s="107">
        <v>5.51</v>
      </c>
      <c r="F65" s="107">
        <v>4.94</v>
      </c>
      <c r="G65" s="107">
        <v>4.05</v>
      </c>
      <c r="H65" s="107">
        <v>3.62</v>
      </c>
      <c r="I65" s="101" t="s">
        <v>170</v>
      </c>
      <c r="J65" s="107">
        <v>3.99</v>
      </c>
      <c r="K65" s="107">
        <v>5.68</v>
      </c>
      <c r="L65" s="107">
        <v>5.24</v>
      </c>
      <c r="M65" s="107">
        <v>4.25</v>
      </c>
      <c r="N65" s="107">
        <v>3.84</v>
      </c>
    </row>
    <row r="66" spans="8:8" s="95" ht="14.75" customFormat="1">
      <c r="B66" s="101" t="s">
        <v>172</v>
      </c>
      <c r="C66" s="101" t="s">
        <v>173</v>
      </c>
      <c r="D66" s="107">
        <v>4.09</v>
      </c>
      <c r="E66" s="107">
        <v>5.62</v>
      </c>
      <c r="F66" s="107">
        <v>5.16</v>
      </c>
      <c r="G66" s="107">
        <v>4.11</v>
      </c>
      <c r="H66" s="107">
        <v>3.88</v>
      </c>
      <c r="I66" s="101" t="s">
        <v>174</v>
      </c>
      <c r="J66" s="107">
        <v>4.3</v>
      </c>
      <c r="K66" s="107">
        <v>5.74</v>
      </c>
      <c r="L66" s="107">
        <v>5.47</v>
      </c>
      <c r="M66" s="107">
        <v>4.32</v>
      </c>
      <c r="N66" s="107">
        <v>4.11</v>
      </c>
    </row>
    <row r="67" spans="8:8" s="95" ht="14.75" customFormat="1">
      <c r="B67" s="101" t="s">
        <v>175</v>
      </c>
      <c r="C67" s="101" t="s">
        <v>176</v>
      </c>
      <c r="D67" s="107">
        <v>4.57</v>
      </c>
      <c r="E67" s="107">
        <v>6.9</v>
      </c>
      <c r="F67" s="107">
        <v>5.98</v>
      </c>
      <c r="G67" s="107">
        <v>4.67</v>
      </c>
      <c r="H67" s="107">
        <v>4.34</v>
      </c>
      <c r="I67" s="101" t="s">
        <v>176</v>
      </c>
      <c r="J67" s="107">
        <v>4.77</v>
      </c>
      <c r="K67" s="107">
        <v>7.45</v>
      </c>
      <c r="L67" s="107">
        <v>6.1</v>
      </c>
      <c r="M67" s="107">
        <v>4.91</v>
      </c>
      <c r="N67" s="107">
        <v>4.69</v>
      </c>
    </row>
    <row r="68" spans="8:8" s="95" ht="14.75" customFormat="1">
      <c r="B68" s="101" t="s">
        <v>177</v>
      </c>
      <c r="C68" s="101" t="s">
        <v>178</v>
      </c>
      <c r="D68" s="107">
        <v>4.95</v>
      </c>
      <c r="E68" s="107">
        <v>7.34</v>
      </c>
      <c r="F68" s="107">
        <v>6.7</v>
      </c>
      <c r="G68" s="107">
        <v>5.58</v>
      </c>
      <c r="H68" s="107">
        <v>4.36</v>
      </c>
      <c r="I68" s="101" t="s">
        <v>178</v>
      </c>
      <c r="J68" s="107">
        <v>5.35</v>
      </c>
      <c r="K68" s="107">
        <v>7.92</v>
      </c>
      <c r="L68" s="107">
        <v>6.82</v>
      </c>
      <c r="M68" s="107">
        <v>6.02</v>
      </c>
      <c r="N68" s="107">
        <v>4.71</v>
      </c>
    </row>
    <row r="69" spans="8:8" s="95" ht="14.75" customFormat="1">
      <c r="B69" s="101" t="s">
        <v>180</v>
      </c>
      <c r="C69" s="101" t="s">
        <v>181</v>
      </c>
      <c r="D69" s="107">
        <v>5.02</v>
      </c>
      <c r="E69" s="107">
        <v>7.36</v>
      </c>
      <c r="F69" s="107">
        <v>7.11</v>
      </c>
      <c r="G69" s="107">
        <v>5.64</v>
      </c>
      <c r="H69" s="107">
        <v>4.37</v>
      </c>
      <c r="I69" s="101" t="s">
        <v>181</v>
      </c>
      <c r="J69" s="107">
        <v>5.52</v>
      </c>
      <c r="K69" s="107">
        <v>7.95</v>
      </c>
      <c r="L69" s="107">
        <v>7.24</v>
      </c>
      <c r="M69" s="107">
        <v>6.2</v>
      </c>
      <c r="N69" s="107">
        <v>4.72</v>
      </c>
    </row>
    <row r="70" spans="8:8" s="95" ht="14.75" customFormat="1">
      <c r="B70" s="101" t="s">
        <v>183</v>
      </c>
      <c r="C70" s="101" t="s">
        <v>184</v>
      </c>
      <c r="D70" s="107">
        <v>5.41</v>
      </c>
      <c r="E70" s="107">
        <v>7.99</v>
      </c>
      <c r="F70" s="107">
        <v>7.96</v>
      </c>
      <c r="G70" s="107">
        <v>6.04</v>
      </c>
      <c r="H70" s="107">
        <v>4.54</v>
      </c>
      <c r="I70" s="101" t="s">
        <v>185</v>
      </c>
      <c r="J70" s="107">
        <v>5.95</v>
      </c>
      <c r="K70" s="107">
        <v>8.63</v>
      </c>
      <c r="L70" s="107">
        <v>8.07</v>
      </c>
      <c r="M70" s="107">
        <v>6.52</v>
      </c>
      <c r="N70" s="107">
        <v>4.99</v>
      </c>
    </row>
    <row r="71" spans="8:8" s="95" ht="14.75" customFormat="1">
      <c r="B71" s="101" t="s">
        <v>187</v>
      </c>
      <c r="C71" s="101" t="s">
        <v>184</v>
      </c>
      <c r="D71" s="107">
        <v>5.41</v>
      </c>
      <c r="E71" s="107">
        <v>7.99</v>
      </c>
      <c r="F71" s="107">
        <v>7.96</v>
      </c>
      <c r="G71" s="107">
        <v>6.04</v>
      </c>
      <c r="H71" s="107">
        <v>4.59</v>
      </c>
      <c r="I71" s="101" t="s">
        <v>184</v>
      </c>
      <c r="J71" s="107">
        <v>5.95</v>
      </c>
      <c r="K71" s="107">
        <v>8.63</v>
      </c>
      <c r="L71" s="107">
        <v>8.08</v>
      </c>
      <c r="M71" s="107">
        <v>6.64</v>
      </c>
      <c r="N71" s="107">
        <v>5.05</v>
      </c>
    </row>
    <row r="72" spans="8:8" s="95" ht="14.75" customFormat="1">
      <c r="B72" s="101" t="s">
        <v>190</v>
      </c>
      <c r="C72" s="101" t="s">
        <v>191</v>
      </c>
      <c r="D72" s="107">
        <v>5.55</v>
      </c>
      <c r="E72" s="107">
        <v>8.19</v>
      </c>
      <c r="F72" s="107">
        <v>8.22</v>
      </c>
      <c r="G72" s="107">
        <v>6.19</v>
      </c>
      <c r="H72" s="107">
        <v>4.64</v>
      </c>
      <c r="I72" s="101" t="s">
        <v>191</v>
      </c>
      <c r="J72" s="107">
        <v>6.11</v>
      </c>
      <c r="K72" s="107">
        <v>9.42</v>
      </c>
      <c r="L72" s="107">
        <v>8.34</v>
      </c>
      <c r="M72" s="107">
        <v>7.12</v>
      </c>
      <c r="N72" s="107">
        <v>5.1</v>
      </c>
    </row>
    <row r="73" spans="8:8" s="95" ht="14.75" customFormat="1">
      <c r="B73" s="101" t="s">
        <v>193</v>
      </c>
      <c r="C73" s="101" t="s">
        <v>191</v>
      </c>
      <c r="D73" s="107">
        <v>5.55</v>
      </c>
      <c r="E73" s="107">
        <v>8.19</v>
      </c>
      <c r="F73" s="107">
        <v>8.25</v>
      </c>
      <c r="G73" s="107">
        <v>6.19</v>
      </c>
      <c r="H73" s="107">
        <v>4.69</v>
      </c>
      <c r="I73" s="101" t="s">
        <v>194</v>
      </c>
      <c r="J73" s="107">
        <v>6.11</v>
      </c>
      <c r="K73" s="107">
        <v>9.42</v>
      </c>
      <c r="L73" s="107">
        <v>8.37</v>
      </c>
      <c r="M73" s="107">
        <v>7.12</v>
      </c>
      <c r="N73" s="107">
        <v>5.16</v>
      </c>
    </row>
    <row r="74" spans="8:8" s="95" ht="14.75" customFormat="1">
      <c r="B74" s="101" t="s">
        <v>197</v>
      </c>
      <c r="C74" s="101" t="s">
        <v>191</v>
      </c>
      <c r="D74" s="107">
        <v>5.55</v>
      </c>
      <c r="E74" s="107">
        <v>8.19</v>
      </c>
      <c r="F74" s="107">
        <v>8.42</v>
      </c>
      <c r="G74" s="107">
        <v>6.19</v>
      </c>
      <c r="H74" s="107">
        <v>4.83</v>
      </c>
      <c r="I74" s="101" t="s">
        <v>198</v>
      </c>
      <c r="J74" s="107">
        <v>6.39</v>
      </c>
      <c r="K74" s="107">
        <v>9.42</v>
      </c>
      <c r="L74" s="107">
        <v>8.82</v>
      </c>
      <c r="M74" s="107">
        <v>7.12</v>
      </c>
      <c r="N74" s="107">
        <v>5.31</v>
      </c>
    </row>
    <row r="75" spans="8:8" s="95" ht="14.75" customFormat="1">
      <c r="B75" s="101" t="s">
        <v>200</v>
      </c>
      <c r="C75" s="101" t="s">
        <v>201</v>
      </c>
      <c r="D75" s="107">
        <v>5.74</v>
      </c>
      <c r="E75" s="107">
        <v>8.24</v>
      </c>
      <c r="F75" s="107">
        <v>8.42</v>
      </c>
      <c r="G75" s="107">
        <v>6.19</v>
      </c>
      <c r="H75" s="107">
        <v>4.99</v>
      </c>
      <c r="I75" s="101" t="s">
        <v>202</v>
      </c>
      <c r="J75" s="107">
        <v>6.4</v>
      </c>
      <c r="K75" s="107">
        <v>9.48</v>
      </c>
      <c r="L75" s="107">
        <v>8.85</v>
      </c>
      <c r="M75" s="107">
        <v>7.12</v>
      </c>
      <c r="N75" s="107">
        <v>5.49</v>
      </c>
    </row>
    <row r="76" spans="8:8" s="95" ht="14.75" customFormat="1">
      <c r="B76" s="101" t="s">
        <v>205</v>
      </c>
      <c r="C76" s="101" t="s">
        <v>206</v>
      </c>
      <c r="D76" s="107">
        <v>5.75</v>
      </c>
      <c r="E76" s="107">
        <v>8.25</v>
      </c>
      <c r="F76" s="107">
        <v>8.44</v>
      </c>
      <c r="G76" s="107">
        <v>6.2</v>
      </c>
      <c r="H76" s="107">
        <v>5.0</v>
      </c>
      <c r="I76" s="101" t="s">
        <v>207</v>
      </c>
      <c r="J76" s="107">
        <v>6.61</v>
      </c>
      <c r="K76" s="107">
        <v>9.49</v>
      </c>
      <c r="L76" s="107">
        <v>8.89</v>
      </c>
      <c r="M76" s="107">
        <v>7.13</v>
      </c>
      <c r="N76" s="107">
        <v>5.5</v>
      </c>
    </row>
    <row r="77" spans="8:8" s="95" ht="14.75" customFormat="1">
      <c r="B77" s="101" t="s">
        <v>208</v>
      </c>
      <c r="C77" s="101" t="s">
        <v>281</v>
      </c>
      <c r="D77" s="107">
        <v>5.33</v>
      </c>
      <c r="E77" s="107">
        <v>9.48</v>
      </c>
      <c r="F77" s="107">
        <v>9.8</v>
      </c>
      <c r="G77" s="107">
        <v>7.31</v>
      </c>
      <c r="H77" s="107">
        <v>5.03</v>
      </c>
      <c r="I77" s="101" t="s">
        <v>282</v>
      </c>
      <c r="J77" s="107">
        <v>5.65</v>
      </c>
      <c r="K77" s="107">
        <v>10.2</v>
      </c>
      <c r="L77" s="107">
        <v>10.0</v>
      </c>
      <c r="M77" s="107">
        <v>8.11</v>
      </c>
      <c r="N77" s="107">
        <v>5.53</v>
      </c>
    </row>
    <row r="78" spans="8:8" s="95" ht="28.75" customFormat="1">
      <c r="B78" s="101" t="s">
        <v>213</v>
      </c>
      <c r="C78" s="101" t="s">
        <v>283</v>
      </c>
      <c r="D78" s="107">
        <v>5.45</v>
      </c>
      <c r="E78" s="107">
        <v>9.75</v>
      </c>
      <c r="F78" s="107">
        <v>9.98</v>
      </c>
      <c r="G78" s="107">
        <v>7.31</v>
      </c>
      <c r="H78" s="107">
        <v>5.14</v>
      </c>
      <c r="I78" s="101" t="s">
        <v>284</v>
      </c>
      <c r="J78" s="107">
        <v>5.78</v>
      </c>
      <c r="K78" s="107">
        <v>10.49</v>
      </c>
      <c r="L78" s="107">
        <v>10.19</v>
      </c>
      <c r="M78" s="107">
        <v>8.11</v>
      </c>
      <c r="N78" s="107">
        <v>5.65</v>
      </c>
    </row>
    <row r="79" spans="8:8" s="95" ht="28.75" customFormat="1">
      <c r="B79" s="101" t="s">
        <v>217</v>
      </c>
      <c r="C79" s="101" t="s">
        <v>285</v>
      </c>
      <c r="D79" s="107">
        <v>5.49</v>
      </c>
      <c r="E79" s="107">
        <v>9.84</v>
      </c>
      <c r="F79" s="107">
        <v>10.26</v>
      </c>
      <c r="G79" s="107">
        <v>7.76</v>
      </c>
      <c r="H79" s="107">
        <v>5.18</v>
      </c>
      <c r="I79" s="101" t="s">
        <v>286</v>
      </c>
      <c r="J79" s="107">
        <v>5.82</v>
      </c>
      <c r="K79" s="107">
        <v>10.59</v>
      </c>
      <c r="L79" s="107">
        <v>10.47</v>
      </c>
      <c r="M79" s="107">
        <v>8.63</v>
      </c>
      <c r="N79" s="107">
        <v>5.7</v>
      </c>
    </row>
    <row r="80" spans="8:8" s="95" ht="28.75" customFormat="1">
      <c r="B80" s="101" t="s">
        <v>220</v>
      </c>
      <c r="C80" s="101" t="s">
        <v>287</v>
      </c>
      <c r="D80" s="107">
        <v>5.49</v>
      </c>
      <c r="E80" s="107">
        <v>9.84</v>
      </c>
      <c r="F80" s="107">
        <v>10.31</v>
      </c>
      <c r="G80" s="107">
        <v>7.76</v>
      </c>
      <c r="H80" s="107">
        <v>5.18</v>
      </c>
      <c r="I80" s="101" t="s">
        <v>288</v>
      </c>
      <c r="J80" s="107">
        <v>5.82</v>
      </c>
      <c r="K80" s="107">
        <v>10.59</v>
      </c>
      <c r="L80" s="107">
        <v>10.52</v>
      </c>
      <c r="M80" s="107">
        <v>8.63</v>
      </c>
      <c r="N80" s="107">
        <v>5.7</v>
      </c>
    </row>
    <row r="81" spans="8:8" s="95" ht="28.75" customFormat="1">
      <c r="B81" s="101" t="s">
        <v>223</v>
      </c>
      <c r="C81" s="101" t="s">
        <v>289</v>
      </c>
      <c r="D81" s="107">
        <v>5.57</v>
      </c>
      <c r="E81" s="107">
        <v>10.36</v>
      </c>
      <c r="F81" s="107">
        <v>10.36</v>
      </c>
      <c r="G81" s="107">
        <v>7.97</v>
      </c>
      <c r="H81" s="107">
        <v>5.25</v>
      </c>
      <c r="I81" s="101" t="s">
        <v>290</v>
      </c>
      <c r="J81" s="107">
        <v>5.9</v>
      </c>
      <c r="K81" s="107">
        <v>11.16</v>
      </c>
      <c r="L81" s="107">
        <v>10.58</v>
      </c>
      <c r="M81" s="107">
        <v>8.86</v>
      </c>
      <c r="N81" s="107">
        <v>5.78</v>
      </c>
    </row>
    <row r="82" spans="8:8" s="95" ht="14.75" customFormat="1">
      <c r="B82" s="101" t="s">
        <v>226</v>
      </c>
      <c r="C82" s="101" t="s">
        <v>291</v>
      </c>
      <c r="D82" s="107">
        <v>5.33</v>
      </c>
      <c r="E82" s="107">
        <v>9.52</v>
      </c>
      <c r="F82" s="107">
        <v>10.26</v>
      </c>
      <c r="G82" s="107">
        <v>7.35</v>
      </c>
      <c r="H82" s="107">
        <v>5.03</v>
      </c>
      <c r="I82" s="101" t="s">
        <v>292</v>
      </c>
      <c r="J82" s="107">
        <v>5.71</v>
      </c>
      <c r="K82" s="107">
        <v>10.21</v>
      </c>
      <c r="L82" s="107">
        <v>10.48</v>
      </c>
      <c r="M82" s="107">
        <v>8.15</v>
      </c>
      <c r="N82" s="107">
        <v>5.53</v>
      </c>
    </row>
    <row r="83" spans="8:8" s="95" ht="28.75" customFormat="1">
      <c r="B83" s="101" t="s">
        <v>229</v>
      </c>
      <c r="C83" s="101" t="s">
        <v>293</v>
      </c>
      <c r="D83" s="107">
        <v>5.57</v>
      </c>
      <c r="E83" s="107">
        <v>10.59</v>
      </c>
      <c r="F83" s="107">
        <v>10.4</v>
      </c>
      <c r="G83" s="107">
        <v>7.97</v>
      </c>
      <c r="H83" s="107">
        <v>5.25</v>
      </c>
      <c r="I83" s="101" t="s">
        <v>294</v>
      </c>
      <c r="J83" s="107">
        <v>5.95</v>
      </c>
      <c r="K83" s="107">
        <v>11.28</v>
      </c>
      <c r="L83" s="107">
        <v>10.62</v>
      </c>
      <c r="M83" s="107">
        <v>8.86</v>
      </c>
      <c r="N83" s="107">
        <v>5.78</v>
      </c>
    </row>
    <row r="84" spans="8:8" s="95" ht="28.75" customFormat="1">
      <c r="B84" s="101" t="s">
        <v>232</v>
      </c>
      <c r="C84" s="101" t="s">
        <v>207</v>
      </c>
      <c r="D84" s="107">
        <v>6.5</v>
      </c>
      <c r="E84" s="107">
        <v>11.02</v>
      </c>
      <c r="F84" s="107">
        <v>10.41</v>
      </c>
      <c r="G84" s="107">
        <v>8.61</v>
      </c>
      <c r="H84" s="107">
        <v>6.13</v>
      </c>
      <c r="I84" s="101" t="s">
        <v>295</v>
      </c>
      <c r="J84" s="107">
        <v>6.95</v>
      </c>
      <c r="K84" s="107">
        <v>11.75</v>
      </c>
      <c r="L84" s="107">
        <v>10.63</v>
      </c>
      <c r="M84" s="107">
        <v>9.6</v>
      </c>
      <c r="N84" s="107">
        <v>6.74</v>
      </c>
    </row>
    <row r="85" spans="8:8" s="95" ht="28.75" customFormat="1">
      <c r="B85" s="101" t="s">
        <v>234</v>
      </c>
      <c r="C85" s="101" t="s">
        <v>296</v>
      </c>
      <c r="D85" s="107">
        <v>6.55</v>
      </c>
      <c r="E85" s="107">
        <v>11.4</v>
      </c>
      <c r="F85" s="107">
        <v>10.99</v>
      </c>
      <c r="G85" s="107">
        <v>8.67</v>
      </c>
      <c r="H85" s="107">
        <v>6.18</v>
      </c>
      <c r="I85" s="101" t="s">
        <v>297</v>
      </c>
      <c r="J85" s="107">
        <v>7.01</v>
      </c>
      <c r="K85" s="107">
        <v>12.16</v>
      </c>
      <c r="L85" s="107">
        <v>11.23</v>
      </c>
      <c r="M85" s="107">
        <v>9.67</v>
      </c>
      <c r="N85" s="107">
        <v>6.78</v>
      </c>
    </row>
    <row r="86" spans="8:8" s="95" ht="28.75" customFormat="1">
      <c r="B86" s="101" t="s">
        <v>236</v>
      </c>
      <c r="C86" s="101" t="s">
        <v>298</v>
      </c>
      <c r="D86" s="107">
        <v>6.55</v>
      </c>
      <c r="E86" s="107">
        <v>11.46</v>
      </c>
      <c r="F86" s="107">
        <v>11.03</v>
      </c>
      <c r="G86" s="107">
        <v>8.89</v>
      </c>
      <c r="H86" s="107">
        <v>6.18</v>
      </c>
      <c r="I86" s="101" t="s">
        <v>299</v>
      </c>
      <c r="J86" s="107">
        <v>7.01</v>
      </c>
      <c r="K86" s="107">
        <v>12.22</v>
      </c>
      <c r="L86" s="107">
        <v>11.27</v>
      </c>
      <c r="M86" s="107">
        <v>9.92</v>
      </c>
      <c r="N86" s="107">
        <v>6.78</v>
      </c>
    </row>
    <row r="87" spans="8:8" s="95" ht="28.75" customFormat="1">
      <c r="B87" s="101" t="s">
        <v>238</v>
      </c>
      <c r="C87" s="101" t="s">
        <v>300</v>
      </c>
      <c r="D87" s="107">
        <v>6.76</v>
      </c>
      <c r="E87" s="107">
        <v>12.02</v>
      </c>
      <c r="F87" s="107">
        <v>12.02</v>
      </c>
      <c r="G87" s="107">
        <v>10.76</v>
      </c>
      <c r="H87" s="107">
        <v>6.38</v>
      </c>
      <c r="I87" s="101" t="s">
        <v>301</v>
      </c>
      <c r="J87" s="107">
        <v>7.24</v>
      </c>
      <c r="K87" s="107">
        <v>12.83</v>
      </c>
      <c r="L87" s="107">
        <v>12.28</v>
      </c>
      <c r="M87" s="107">
        <v>12.08</v>
      </c>
      <c r="N87" s="107">
        <v>6.79</v>
      </c>
    </row>
    <row r="88" spans="8:8" s="95" ht="28.75" customFormat="1">
      <c r="B88" s="101" t="s">
        <v>241</v>
      </c>
      <c r="C88" s="101" t="s">
        <v>302</v>
      </c>
      <c r="D88" s="107">
        <v>6.86</v>
      </c>
      <c r="E88" s="107">
        <v>12.13</v>
      </c>
      <c r="F88" s="107">
        <v>12.02</v>
      </c>
      <c r="G88" s="107">
        <v>10.92</v>
      </c>
      <c r="H88" s="107">
        <v>6.47</v>
      </c>
      <c r="I88" s="101" t="s">
        <v>303</v>
      </c>
      <c r="J88" s="107">
        <v>7.34</v>
      </c>
      <c r="K88" s="107">
        <v>12.95</v>
      </c>
      <c r="L88" s="107">
        <v>12.28</v>
      </c>
      <c r="M88" s="107">
        <v>12.26</v>
      </c>
      <c r="N88" s="107">
        <v>6.82</v>
      </c>
    </row>
    <row r="89" spans="8:8" s="95" ht="28.75" customFormat="1">
      <c r="B89" s="101" t="s">
        <v>244</v>
      </c>
      <c r="C89" s="101" t="s">
        <v>304</v>
      </c>
      <c r="D89" s="107">
        <v>6.91</v>
      </c>
      <c r="E89" s="107">
        <v>12.19</v>
      </c>
      <c r="F89" s="107">
        <v>12.16</v>
      </c>
      <c r="G89" s="107">
        <v>11.19</v>
      </c>
      <c r="H89" s="107">
        <v>6.52</v>
      </c>
      <c r="I89" s="101" t="s">
        <v>305</v>
      </c>
      <c r="J89" s="107">
        <v>7.39</v>
      </c>
      <c r="K89" s="107">
        <v>13.01</v>
      </c>
      <c r="L89" s="107">
        <v>12.43</v>
      </c>
      <c r="M89" s="107">
        <v>12.57</v>
      </c>
      <c r="N89" s="107">
        <v>6.85</v>
      </c>
    </row>
    <row r="90" spans="8:8" s="95" ht="28.75" customFormat="1">
      <c r="B90" s="101" t="s">
        <v>247</v>
      </c>
      <c r="C90" s="101" t="s">
        <v>304</v>
      </c>
      <c r="D90" s="107">
        <v>6.91</v>
      </c>
      <c r="E90" s="107">
        <v>12.19</v>
      </c>
      <c r="F90" s="107">
        <v>12.22</v>
      </c>
      <c r="G90" s="107">
        <v>11.73</v>
      </c>
      <c r="H90" s="107">
        <v>6.52</v>
      </c>
      <c r="I90" s="101" t="s">
        <v>305</v>
      </c>
      <c r="J90" s="107">
        <v>7.39</v>
      </c>
      <c r="K90" s="107">
        <v>13.01</v>
      </c>
      <c r="L90" s="107">
        <v>12.49</v>
      </c>
      <c r="M90" s="107">
        <v>13.19</v>
      </c>
      <c r="N90" s="107">
        <v>6.88</v>
      </c>
    </row>
    <row r="91" spans="8:8" s="95" ht="28.75" customFormat="1">
      <c r="B91" s="101" t="s">
        <v>248</v>
      </c>
      <c r="C91" s="101" t="s">
        <v>306</v>
      </c>
      <c r="D91" s="107">
        <v>6.94</v>
      </c>
      <c r="E91" s="107">
        <v>12.24</v>
      </c>
      <c r="F91" s="107">
        <v>12.28</v>
      </c>
      <c r="G91" s="107">
        <v>12.13</v>
      </c>
      <c r="H91" s="107">
        <v>6.55</v>
      </c>
      <c r="I91" s="101" t="s">
        <v>307</v>
      </c>
      <c r="J91" s="107">
        <v>7.43</v>
      </c>
      <c r="K91" s="107">
        <v>13.06</v>
      </c>
      <c r="L91" s="107">
        <v>12.55</v>
      </c>
      <c r="M91" s="107">
        <v>13.65</v>
      </c>
      <c r="N91" s="107">
        <v>7.0</v>
      </c>
    </row>
    <row r="92" spans="8:8" s="95" ht="28.75" customFormat="1">
      <c r="B92" s="101" t="s">
        <v>251</v>
      </c>
      <c r="C92" s="101" t="s">
        <v>308</v>
      </c>
      <c r="D92" s="107">
        <v>7.53</v>
      </c>
      <c r="E92" s="107">
        <v>12.94</v>
      </c>
      <c r="F92" s="107">
        <v>13.39</v>
      </c>
      <c r="G92" s="107">
        <v>12.9</v>
      </c>
      <c r="H92" s="107">
        <v>7.1</v>
      </c>
      <c r="I92" s="101" t="s">
        <v>309</v>
      </c>
      <c r="J92" s="107">
        <v>8.05</v>
      </c>
      <c r="K92" s="107">
        <v>13.82</v>
      </c>
      <c r="L92" s="107">
        <v>13.69</v>
      </c>
      <c r="M92" s="107">
        <v>14.54</v>
      </c>
      <c r="N92" s="107">
        <v>7.06</v>
      </c>
    </row>
    <row r="93" spans="8:8" s="95" ht="28.75" customFormat="1">
      <c r="B93" s="101" t="s">
        <v>254</v>
      </c>
      <c r="C93" s="101" t="s">
        <v>262</v>
      </c>
      <c r="D93" s="107">
        <v>8.0</v>
      </c>
      <c r="E93" s="107">
        <v>13.5</v>
      </c>
      <c r="F93" s="107">
        <v>13.74</v>
      </c>
      <c r="G93" s="107">
        <v>13.83</v>
      </c>
      <c r="H93" s="107">
        <v>7.55</v>
      </c>
      <c r="I93" s="101" t="s">
        <v>310</v>
      </c>
      <c r="J93" s="107">
        <v>8.56</v>
      </c>
      <c r="K93" s="107">
        <v>14.43</v>
      </c>
      <c r="L93" s="107">
        <v>14.05</v>
      </c>
      <c r="M93" s="107">
        <v>15.61</v>
      </c>
      <c r="N93" s="107">
        <v>7.06</v>
      </c>
    </row>
    <row r="94" spans="8:8" s="95" ht="28.75" customFormat="1">
      <c r="B94" s="101" t="s">
        <v>257</v>
      </c>
      <c r="C94" s="101" t="s">
        <v>311</v>
      </c>
      <c r="D94" s="107">
        <v>9.06</v>
      </c>
      <c r="E94" s="107">
        <v>13.5</v>
      </c>
      <c r="F94" s="107">
        <v>14.49</v>
      </c>
      <c r="G94" s="107">
        <v>13.83</v>
      </c>
      <c r="H94" s="107">
        <v>8.41</v>
      </c>
      <c r="I94" s="101" t="s">
        <v>312</v>
      </c>
      <c r="J94" s="107">
        <v>9.7</v>
      </c>
      <c r="K94" s="107">
        <v>14.43</v>
      </c>
      <c r="L94" s="107">
        <v>14.82</v>
      </c>
      <c r="M94" s="107">
        <v>15.61</v>
      </c>
      <c r="N94" s="107">
        <v>7.06</v>
      </c>
    </row>
    <row r="95" spans="8:8" s="95" ht="28.75" customFormat="1">
      <c r="B95" s="101" t="s">
        <v>260</v>
      </c>
      <c r="C95" s="101" t="s">
        <v>311</v>
      </c>
      <c r="D95" s="107">
        <v>9.06</v>
      </c>
      <c r="E95" s="107">
        <v>14.81</v>
      </c>
      <c r="F95" s="107">
        <v>15.12</v>
      </c>
      <c r="G95" s="107">
        <v>15.14</v>
      </c>
      <c r="H95" s="107">
        <v>8.41</v>
      </c>
      <c r="I95" s="101" t="s">
        <v>312</v>
      </c>
      <c r="J95" s="107">
        <v>9.7</v>
      </c>
      <c r="K95" s="107">
        <v>15.84</v>
      </c>
      <c r="L95" s="107">
        <v>15.46</v>
      </c>
      <c r="M95" s="107">
        <v>17.12</v>
      </c>
      <c r="N95" s="107">
        <v>7.06</v>
      </c>
    </row>
    <row r="96" spans="8:8" s="95" ht="28.75" customFormat="1">
      <c r="B96" s="101" t="s">
        <v>261</v>
      </c>
      <c r="C96" s="101" t="s">
        <v>313</v>
      </c>
      <c r="D96" s="107">
        <v>7.11</v>
      </c>
      <c r="E96" s="107">
        <v>15.12</v>
      </c>
      <c r="F96" s="107">
        <v>13.05</v>
      </c>
      <c r="G96" s="107">
        <v>9.92</v>
      </c>
      <c r="H96" s="107">
        <v>6.71</v>
      </c>
      <c r="I96" s="101" t="s">
        <v>314</v>
      </c>
      <c r="J96" s="107">
        <v>8.18</v>
      </c>
      <c r="K96" s="107">
        <v>17.09</v>
      </c>
      <c r="L96" s="107">
        <v>11.39</v>
      </c>
      <c r="M96" s="107">
        <v>11.11</v>
      </c>
      <c r="N96" s="107">
        <v>7.38</v>
      </c>
    </row>
    <row r="97" spans="8:8" s="95" ht="28.75" customFormat="1">
      <c r="B97" s="101" t="s">
        <v>264</v>
      </c>
      <c r="C97" s="101" t="s">
        <v>315</v>
      </c>
      <c r="D97" s="107">
        <v>8.2</v>
      </c>
      <c r="E97" s="107">
        <v>17.91</v>
      </c>
      <c r="F97" s="107">
        <v>14.58</v>
      </c>
      <c r="G97" s="107">
        <v>13.65</v>
      </c>
      <c r="H97" s="107">
        <v>7.74</v>
      </c>
      <c r="I97" s="101" t="s">
        <v>316</v>
      </c>
      <c r="J97" s="107">
        <v>9.44</v>
      </c>
      <c r="K97" s="107">
        <v>20.3</v>
      </c>
      <c r="L97" s="107">
        <v>12.69</v>
      </c>
      <c r="M97" s="107">
        <v>15.4</v>
      </c>
      <c r="N97" s="107">
        <v>8.51</v>
      </c>
    </row>
    <row r="98" spans="8:8" s="95" ht="28.75" customFormat="1">
      <c r="B98" s="101" t="s">
        <v>267</v>
      </c>
      <c r="C98" s="101" t="s">
        <v>317</v>
      </c>
      <c r="D98" s="107">
        <v>8.78</v>
      </c>
      <c r="E98" s="107">
        <v>18.84</v>
      </c>
      <c r="F98" s="107">
        <v>15.86</v>
      </c>
      <c r="G98" s="107">
        <v>14.59</v>
      </c>
      <c r="H98" s="107">
        <v>8.28</v>
      </c>
      <c r="I98" s="101" t="s">
        <v>318</v>
      </c>
      <c r="J98" s="107">
        <v>10.09</v>
      </c>
      <c r="K98" s="107">
        <v>21.37</v>
      </c>
      <c r="L98" s="107">
        <v>13.78</v>
      </c>
      <c r="M98" s="107">
        <v>16.48</v>
      </c>
      <c r="N98" s="107">
        <v>9.11</v>
      </c>
    </row>
    <row r="99" spans="8:8" s="95" ht="28.75" customFormat="1">
      <c r="B99" s="101" t="s">
        <v>270</v>
      </c>
      <c r="C99" s="101" t="s">
        <v>319</v>
      </c>
      <c r="D99" s="107">
        <v>9.28</v>
      </c>
      <c r="E99" s="107">
        <v>19.67</v>
      </c>
      <c r="F99" s="107">
        <v>16.31</v>
      </c>
      <c r="G99" s="107">
        <v>15.6</v>
      </c>
      <c r="H99" s="107">
        <v>8.75</v>
      </c>
      <c r="I99" s="101" t="s">
        <v>320</v>
      </c>
      <c r="J99" s="107">
        <v>10.67</v>
      </c>
      <c r="K99" s="107">
        <v>22.32</v>
      </c>
      <c r="L99" s="107">
        <v>14.16</v>
      </c>
      <c r="M99" s="107">
        <v>17.65</v>
      </c>
      <c r="N99" s="107">
        <v>9.63</v>
      </c>
    </row>
    <row r="100" spans="8:8" s="95" ht="28.75" customFormat="1">
      <c r="B100" s="101" t="s">
        <v>273</v>
      </c>
      <c r="C100" s="101" t="s">
        <v>321</v>
      </c>
      <c r="D100" s="107">
        <v>10.27</v>
      </c>
      <c r="E100" s="107">
        <v>21.31</v>
      </c>
      <c r="F100" s="107">
        <v>18.05</v>
      </c>
      <c r="G100" s="107">
        <v>16.75</v>
      </c>
      <c r="H100" s="107">
        <v>9.69</v>
      </c>
      <c r="I100" s="101" t="s">
        <v>322</v>
      </c>
      <c r="J100" s="107">
        <v>11.81</v>
      </c>
      <c r="K100" s="107">
        <v>24.21</v>
      </c>
      <c r="L100" s="107">
        <v>15.64</v>
      </c>
      <c r="M100" s="107">
        <v>18.97</v>
      </c>
      <c r="N100" s="107">
        <v>10.66</v>
      </c>
    </row>
    <row r="101" spans="8:8" s="95" ht="28.75" customFormat="1">
      <c r="B101" s="101" t="s">
        <v>276</v>
      </c>
      <c r="C101" s="101" t="s">
        <v>323</v>
      </c>
      <c r="D101" s="107">
        <v>10.29</v>
      </c>
      <c r="E101" s="107">
        <v>21.77</v>
      </c>
      <c r="F101" s="107">
        <v>18.15</v>
      </c>
      <c r="G101" s="107">
        <v>18.92</v>
      </c>
      <c r="H101" s="107">
        <v>9.71</v>
      </c>
      <c r="I101" s="101" t="s">
        <v>324</v>
      </c>
      <c r="J101" s="107">
        <v>11.84</v>
      </c>
      <c r="K101" s="107">
        <v>24.74</v>
      </c>
      <c r="L101" s="107">
        <v>15.73</v>
      </c>
      <c r="M101" s="107">
        <v>21.45</v>
      </c>
      <c r="N101" s="107">
        <v>10.68</v>
      </c>
    </row>
    <row r="102" spans="8:8" s="95" ht="26.25" customFormat="1">
      <c r="B102" s="129" t="s">
        <v>325</v>
      </c>
      <c r="C102" s="129"/>
      <c r="D102" s="129"/>
      <c r="E102" s="129"/>
      <c r="F102" s="129"/>
      <c r="G102" s="129"/>
      <c r="H102" s="129"/>
      <c r="I102" s="129"/>
      <c r="J102" s="129"/>
    </row>
    <row r="103" spans="8:8" s="95" ht="15.0" customFormat="1" customHeight="1">
      <c r="B103" s="101" t="s">
        <v>326</v>
      </c>
      <c r="C103" s="101"/>
      <c r="D103" s="101"/>
      <c r="E103" s="101"/>
      <c r="F103" s="101"/>
      <c r="G103" s="101"/>
      <c r="H103" s="101"/>
      <c r="I103" s="101"/>
      <c r="J103" s="101"/>
    </row>
    <row r="104" spans="8:8" s="95" ht="15.0" customFormat="1" customHeight="1">
      <c r="B104" s="101"/>
      <c r="C104" s="101" t="s">
        <v>124</v>
      </c>
      <c r="D104" s="101"/>
      <c r="E104" s="101"/>
      <c r="F104" s="101"/>
      <c r="G104" s="101" t="s">
        <v>125</v>
      </c>
      <c r="H104" s="101"/>
      <c r="I104" s="101"/>
      <c r="J104" s="101"/>
    </row>
    <row r="105" spans="8:8" s="95" ht="42.75" customFormat="1">
      <c r="B105" s="101"/>
      <c r="C105" s="101" t="s">
        <v>126</v>
      </c>
      <c r="D105" s="101" t="s">
        <v>327</v>
      </c>
      <c r="E105" s="101" t="s">
        <v>328</v>
      </c>
      <c r="F105" s="101" t="s">
        <v>329</v>
      </c>
      <c r="G105" s="130" t="s">
        <v>126</v>
      </c>
      <c r="H105" s="130" t="s">
        <v>327</v>
      </c>
      <c r="I105" s="130" t="s">
        <v>328</v>
      </c>
      <c r="J105" s="130" t="s">
        <v>329</v>
      </c>
    </row>
    <row r="106" spans="8:8" s="95" ht="14.75" customFormat="1">
      <c r="B106" s="101" t="s">
        <v>330</v>
      </c>
      <c r="C106" s="101" t="s">
        <v>331</v>
      </c>
      <c r="D106" s="107">
        <v>4.13</v>
      </c>
      <c r="E106" s="101">
        <v>43.33</v>
      </c>
      <c r="F106" s="101">
        <v>17.55</v>
      </c>
      <c r="G106" s="101" t="s">
        <v>332</v>
      </c>
      <c r="H106" s="107">
        <v>4.38</v>
      </c>
      <c r="I106" s="101">
        <v>45.94</v>
      </c>
      <c r="J106" s="101">
        <v>18.61</v>
      </c>
    </row>
    <row r="107" spans="8:8" s="95" ht="14.75" customFormat="1">
      <c r="B107" s="101" t="s">
        <v>142</v>
      </c>
      <c r="C107" s="101" t="s">
        <v>333</v>
      </c>
      <c r="D107" s="107">
        <v>4.3</v>
      </c>
      <c r="E107" s="101">
        <v>45.11</v>
      </c>
      <c r="F107" s="101">
        <v>18.28</v>
      </c>
      <c r="G107" s="101" t="s">
        <v>210</v>
      </c>
      <c r="H107" s="107">
        <v>4.55</v>
      </c>
      <c r="I107" s="101">
        <v>47.82</v>
      </c>
      <c r="J107" s="101">
        <v>19.38</v>
      </c>
    </row>
    <row r="108" spans="8:8" s="95" ht="14.75" customFormat="1">
      <c r="B108" s="101" t="s">
        <v>147</v>
      </c>
      <c r="C108" s="101" t="s">
        <v>334</v>
      </c>
      <c r="D108" s="107">
        <v>4.6</v>
      </c>
      <c r="E108" s="101">
        <v>48.31</v>
      </c>
      <c r="F108" s="101">
        <v>19.57</v>
      </c>
      <c r="G108" s="101" t="s">
        <v>335</v>
      </c>
      <c r="H108" s="107">
        <v>4.88</v>
      </c>
      <c r="I108" s="101">
        <v>51.21</v>
      </c>
      <c r="J108" s="101">
        <v>20.74</v>
      </c>
    </row>
    <row r="109" spans="8:8" s="95" ht="14.75" customFormat="1">
      <c r="B109" s="101" t="s">
        <v>150</v>
      </c>
      <c r="C109" s="101" t="s">
        <v>336</v>
      </c>
      <c r="D109" s="107">
        <v>4.67</v>
      </c>
      <c r="E109" s="101">
        <v>49.02</v>
      </c>
      <c r="F109" s="101">
        <v>19.86</v>
      </c>
      <c r="G109" s="101" t="s">
        <v>337</v>
      </c>
      <c r="H109" s="107">
        <v>4.95</v>
      </c>
      <c r="I109" s="101">
        <v>51.96</v>
      </c>
      <c r="J109" s="101">
        <v>21.05</v>
      </c>
    </row>
    <row r="110" spans="8:8" s="95" ht="14.75" customFormat="1">
      <c r="B110" s="101" t="s">
        <v>154</v>
      </c>
      <c r="C110" s="101" t="s">
        <v>338</v>
      </c>
      <c r="D110" s="107">
        <v>5.0</v>
      </c>
      <c r="E110" s="101">
        <v>52.5</v>
      </c>
      <c r="F110" s="101">
        <v>21.27</v>
      </c>
      <c r="G110" s="101" t="s">
        <v>339</v>
      </c>
      <c r="H110" s="107">
        <v>5.3</v>
      </c>
      <c r="I110" s="101">
        <v>55.65</v>
      </c>
      <c r="J110" s="101">
        <v>22.55</v>
      </c>
    </row>
    <row r="111" spans="8:8" s="95" ht="14.75" customFormat="1">
      <c r="B111" s="101" t="s">
        <v>157</v>
      </c>
      <c r="C111" s="101" t="s">
        <v>340</v>
      </c>
      <c r="D111" s="107">
        <v>5.02</v>
      </c>
      <c r="E111" s="101">
        <v>52.72</v>
      </c>
      <c r="F111" s="101">
        <v>21.36</v>
      </c>
      <c r="G111" s="101" t="s">
        <v>341</v>
      </c>
      <c r="H111" s="107">
        <v>5.32</v>
      </c>
      <c r="I111" s="101">
        <v>55.88</v>
      </c>
      <c r="J111" s="101">
        <v>22.64</v>
      </c>
    </row>
    <row r="112" spans="8:8" s="95" ht="14.75" customFormat="1">
      <c r="B112" s="101" t="s">
        <v>161</v>
      </c>
      <c r="C112" s="101" t="s">
        <v>206</v>
      </c>
      <c r="D112" s="107">
        <v>6.13</v>
      </c>
      <c r="E112" s="101">
        <v>64.39</v>
      </c>
      <c r="F112" s="101">
        <v>26.09</v>
      </c>
      <c r="G112" s="101" t="s">
        <v>342</v>
      </c>
      <c r="H112" s="107">
        <v>6.5</v>
      </c>
      <c r="I112" s="101">
        <v>68.25</v>
      </c>
      <c r="J112" s="101">
        <v>27.66</v>
      </c>
    </row>
    <row r="113" spans="8:8" s="95" ht="14.75" customFormat="1">
      <c r="B113" s="101" t="s">
        <v>164</v>
      </c>
      <c r="C113" s="101" t="s">
        <v>343</v>
      </c>
      <c r="D113" s="107">
        <v>7.23</v>
      </c>
      <c r="E113" s="101">
        <v>75.91</v>
      </c>
      <c r="F113" s="101">
        <v>30.75</v>
      </c>
      <c r="G113" s="101" t="s">
        <v>252</v>
      </c>
      <c r="H113" s="107">
        <v>7.66</v>
      </c>
      <c r="I113" s="101">
        <v>80.46</v>
      </c>
      <c r="J113" s="101">
        <v>32.6</v>
      </c>
    </row>
    <row r="114" spans="8:8" s="95" ht="14.75" customFormat="1">
      <c r="B114" s="101" t="s">
        <v>168</v>
      </c>
      <c r="C114" s="101" t="s">
        <v>344</v>
      </c>
      <c r="D114" s="107">
        <v>7.94</v>
      </c>
      <c r="E114" s="101">
        <v>83.37</v>
      </c>
      <c r="F114" s="101">
        <v>33.78</v>
      </c>
      <c r="G114" s="101" t="s">
        <v>345</v>
      </c>
      <c r="H114" s="107">
        <v>8.42</v>
      </c>
      <c r="I114" s="101">
        <v>88.37</v>
      </c>
      <c r="J114" s="101">
        <v>35.81</v>
      </c>
    </row>
    <row r="115" spans="8:8" s="95" ht="14.75" customFormat="1">
      <c r="B115" s="101" t="s">
        <v>172</v>
      </c>
      <c r="C115" s="101" t="s">
        <v>346</v>
      </c>
      <c r="D115" s="107">
        <v>9.09</v>
      </c>
      <c r="E115" s="101">
        <v>95.45</v>
      </c>
      <c r="F115" s="101">
        <v>38.67</v>
      </c>
      <c r="G115" s="101" t="s">
        <v>347</v>
      </c>
      <c r="H115" s="107">
        <v>9.64</v>
      </c>
      <c r="I115" s="101">
        <v>101.17</v>
      </c>
      <c r="J115" s="101">
        <v>40.99</v>
      </c>
    </row>
    <row r="116" spans="8:8" s="95" ht="14.75" customFormat="1">
      <c r="B116" s="101" t="s">
        <v>175</v>
      </c>
      <c r="C116" s="101" t="s">
        <v>348</v>
      </c>
      <c r="D116" s="107">
        <v>10.12</v>
      </c>
      <c r="E116" s="101">
        <v>106.26</v>
      </c>
      <c r="F116" s="101">
        <v>43.05</v>
      </c>
      <c r="G116" s="101" t="s">
        <v>349</v>
      </c>
      <c r="H116" s="107">
        <v>10.73</v>
      </c>
      <c r="I116" s="101">
        <v>112.64</v>
      </c>
      <c r="J116" s="101">
        <v>45.63</v>
      </c>
    </row>
    <row r="117" spans="8:8" s="95" ht="14.75" customFormat="1">
      <c r="B117" s="101" t="s">
        <v>177</v>
      </c>
      <c r="C117" s="101" t="s">
        <v>350</v>
      </c>
      <c r="D117" s="107">
        <v>11.03</v>
      </c>
      <c r="E117" s="101">
        <v>115.82</v>
      </c>
      <c r="F117" s="101">
        <v>46.92</v>
      </c>
      <c r="G117" s="101" t="s">
        <v>351</v>
      </c>
      <c r="H117" s="107">
        <v>12.68</v>
      </c>
      <c r="I117" s="101">
        <v>133.19</v>
      </c>
      <c r="J117" s="101">
        <v>53.96</v>
      </c>
    </row>
    <row r="118" spans="8:8" s="95" ht="14.75" customFormat="1">
      <c r="B118" s="101" t="s">
        <v>180</v>
      </c>
      <c r="C118" s="101" t="s">
        <v>352</v>
      </c>
      <c r="D118" s="107">
        <v>11.58</v>
      </c>
      <c r="E118" s="101">
        <v>121.59</v>
      </c>
      <c r="F118" s="101">
        <v>49.26</v>
      </c>
      <c r="G118" s="101" t="s">
        <v>353</v>
      </c>
      <c r="H118" s="107">
        <v>13.32</v>
      </c>
      <c r="I118" s="101">
        <v>139.83</v>
      </c>
      <c r="J118" s="101">
        <v>56.65</v>
      </c>
    </row>
    <row r="119" spans="8:8" s="95" ht="14.75" customFormat="1">
      <c r="B119" s="101" t="s">
        <v>183</v>
      </c>
      <c r="C119" s="101" t="s">
        <v>352</v>
      </c>
      <c r="D119" s="107">
        <v>11.58</v>
      </c>
      <c r="E119" s="101">
        <v>121.59</v>
      </c>
      <c r="F119" s="101">
        <v>49.26</v>
      </c>
      <c r="G119" s="101" t="s">
        <v>353</v>
      </c>
      <c r="H119" s="107">
        <v>13.32</v>
      </c>
      <c r="I119" s="101">
        <v>139.83</v>
      </c>
      <c r="J119" s="101">
        <v>56.65</v>
      </c>
    </row>
    <row r="120" spans="8:8" s="95" ht="14.75" customFormat="1">
      <c r="B120" s="101" t="s">
        <v>187</v>
      </c>
      <c r="C120" s="101" t="s">
        <v>352</v>
      </c>
      <c r="D120" s="107">
        <v>11.58</v>
      </c>
      <c r="E120" s="101">
        <v>121.59</v>
      </c>
      <c r="F120" s="101">
        <v>49.26</v>
      </c>
      <c r="G120" s="101" t="s">
        <v>353</v>
      </c>
      <c r="H120" s="107">
        <v>13.32</v>
      </c>
      <c r="I120" s="101">
        <v>139.83</v>
      </c>
      <c r="J120" s="101">
        <v>56.65</v>
      </c>
    </row>
    <row r="121" spans="8:8" s="95" ht="14.75" customFormat="1">
      <c r="B121" s="101" t="s">
        <v>190</v>
      </c>
      <c r="C121" s="101" t="s">
        <v>354</v>
      </c>
      <c r="D121" s="107">
        <v>12.25</v>
      </c>
      <c r="E121" s="101">
        <v>128.63</v>
      </c>
      <c r="F121" s="101">
        <v>52.11</v>
      </c>
      <c r="G121" s="101" t="s">
        <v>355</v>
      </c>
      <c r="H121" s="107">
        <v>14.09</v>
      </c>
      <c r="I121" s="101">
        <v>147.92</v>
      </c>
      <c r="J121" s="101">
        <v>59.93</v>
      </c>
    </row>
    <row r="122" spans="8:8" s="95" ht="14.75" customFormat="1">
      <c r="B122" s="101" t="s">
        <v>193</v>
      </c>
      <c r="C122" s="101" t="s">
        <v>356</v>
      </c>
      <c r="D122" s="107">
        <v>12.56</v>
      </c>
      <c r="E122" s="101">
        <v>131.88</v>
      </c>
      <c r="F122" s="101">
        <v>53.43</v>
      </c>
      <c r="G122" s="101" t="s">
        <v>357</v>
      </c>
      <c r="H122" s="107">
        <v>14.44</v>
      </c>
      <c r="I122" s="101">
        <v>151.66</v>
      </c>
      <c r="J122" s="101">
        <v>61.44</v>
      </c>
    </row>
    <row r="123" spans="8:8" s="95" ht="14.75" customFormat="1">
      <c r="B123" s="101" t="s">
        <v>197</v>
      </c>
      <c r="C123" s="101" t="s">
        <v>358</v>
      </c>
      <c r="D123" s="107">
        <v>15.03</v>
      </c>
      <c r="E123" s="101">
        <v>157.82</v>
      </c>
      <c r="F123" s="101">
        <v>63.94</v>
      </c>
      <c r="G123" s="101" t="s">
        <v>359</v>
      </c>
      <c r="H123" s="107">
        <v>17.29</v>
      </c>
      <c r="I123" s="101">
        <v>181.49</v>
      </c>
      <c r="J123" s="101">
        <v>73.53</v>
      </c>
    </row>
    <row r="124" spans="8:8" s="95" ht="14.75" customFormat="1">
      <c r="B124" s="101" t="s">
        <v>200</v>
      </c>
      <c r="C124" s="101" t="s">
        <v>358</v>
      </c>
      <c r="D124" s="107">
        <v>15.03</v>
      </c>
      <c r="E124" s="101">
        <v>157.82</v>
      </c>
      <c r="F124" s="101">
        <v>63.94</v>
      </c>
      <c r="G124" s="101" t="s">
        <v>359</v>
      </c>
      <c r="H124" s="107">
        <v>17.29</v>
      </c>
      <c r="I124" s="101">
        <v>181.49</v>
      </c>
      <c r="J124" s="101">
        <v>73.53</v>
      </c>
    </row>
    <row r="125" spans="8:8" s="95" ht="14.75" customFormat="1">
      <c r="B125" s="101" t="s">
        <v>205</v>
      </c>
      <c r="C125" s="101" t="s">
        <v>358</v>
      </c>
      <c r="D125" s="107">
        <v>15.03</v>
      </c>
      <c r="E125" s="101">
        <v>157.82</v>
      </c>
      <c r="F125" s="101">
        <v>63.94</v>
      </c>
      <c r="G125" s="101" t="s">
        <v>359</v>
      </c>
      <c r="H125" s="107">
        <v>17.29</v>
      </c>
      <c r="I125" s="101">
        <v>181.49</v>
      </c>
      <c r="J125" s="101">
        <v>73.53</v>
      </c>
    </row>
    <row r="126" spans="8:8" s="95" ht="14.75" customFormat="1">
      <c r="B126" s="101" t="s">
        <v>208</v>
      </c>
      <c r="C126" s="101" t="s">
        <v>360</v>
      </c>
      <c r="D126" s="107">
        <v>11.08</v>
      </c>
      <c r="E126" s="101">
        <v>116.34</v>
      </c>
      <c r="F126" s="101">
        <v>47.13</v>
      </c>
      <c r="G126" s="101" t="s">
        <v>361</v>
      </c>
      <c r="H126" s="107">
        <v>12.74</v>
      </c>
      <c r="I126" s="101">
        <v>133.77</v>
      </c>
      <c r="J126" s="101">
        <v>54.19</v>
      </c>
    </row>
    <row r="127" spans="8:8" s="95" ht="28.75" customFormat="1">
      <c r="B127" s="101" t="s">
        <v>213</v>
      </c>
      <c r="C127" s="101" t="s">
        <v>362</v>
      </c>
      <c r="D127" s="107">
        <v>11.43</v>
      </c>
      <c r="E127" s="101">
        <v>120.02</v>
      </c>
      <c r="F127" s="101">
        <v>48.62</v>
      </c>
      <c r="G127" s="101" t="s">
        <v>363</v>
      </c>
      <c r="H127" s="107">
        <v>13.14</v>
      </c>
      <c r="I127" s="101">
        <v>137.99</v>
      </c>
      <c r="J127" s="101">
        <v>55.9</v>
      </c>
    </row>
    <row r="128" spans="8:8" s="95" ht="28.75" customFormat="1">
      <c r="B128" s="101" t="s">
        <v>217</v>
      </c>
      <c r="C128" s="101" t="s">
        <v>268</v>
      </c>
      <c r="D128" s="107">
        <v>11.47</v>
      </c>
      <c r="E128" s="101">
        <v>120.44</v>
      </c>
      <c r="F128" s="101">
        <v>48.79</v>
      </c>
      <c r="G128" s="101" t="s">
        <v>364</v>
      </c>
      <c r="H128" s="107">
        <v>13.19</v>
      </c>
      <c r="I128" s="101">
        <v>138.47</v>
      </c>
      <c r="J128" s="101">
        <v>56.1</v>
      </c>
    </row>
    <row r="129" spans="8:8" s="95" ht="28.75" customFormat="1">
      <c r="B129" s="101" t="s">
        <v>220</v>
      </c>
      <c r="C129" s="101" t="s">
        <v>365</v>
      </c>
      <c r="D129" s="107">
        <v>11.53</v>
      </c>
      <c r="E129" s="101">
        <v>121.07</v>
      </c>
      <c r="F129" s="101">
        <v>49.05</v>
      </c>
      <c r="G129" s="101" t="s">
        <v>277</v>
      </c>
      <c r="H129" s="107">
        <v>13.26</v>
      </c>
      <c r="I129" s="101">
        <v>139.2</v>
      </c>
      <c r="J129" s="101">
        <v>56.4</v>
      </c>
    </row>
    <row r="130" spans="8:8" s="95" ht="28.75" customFormat="1">
      <c r="B130" s="101" t="s">
        <v>223</v>
      </c>
      <c r="C130" s="101" t="s">
        <v>366</v>
      </c>
      <c r="D130" s="107">
        <v>11.56</v>
      </c>
      <c r="E130" s="101">
        <v>121.38</v>
      </c>
      <c r="F130" s="101">
        <v>49.18</v>
      </c>
      <c r="G130" s="101" t="s">
        <v>367</v>
      </c>
      <c r="H130" s="107">
        <v>13.29</v>
      </c>
      <c r="I130" s="101">
        <v>139.56</v>
      </c>
      <c r="J130" s="101">
        <v>56.55</v>
      </c>
    </row>
    <row r="131" spans="8:8" s="95" ht="14.75" customFormat="1">
      <c r="B131" s="101" t="s">
        <v>226</v>
      </c>
      <c r="C131" s="101" t="s">
        <v>368</v>
      </c>
      <c r="D131" s="107">
        <v>13.0</v>
      </c>
      <c r="E131" s="101">
        <v>136.5</v>
      </c>
      <c r="F131" s="101">
        <v>55.3</v>
      </c>
      <c r="G131" s="101" t="s">
        <v>369</v>
      </c>
      <c r="H131" s="107">
        <v>14.95</v>
      </c>
      <c r="I131" s="101">
        <v>156.94</v>
      </c>
      <c r="J131" s="101">
        <v>63.58</v>
      </c>
    </row>
    <row r="132" spans="8:8" s="95" ht="28.75" customFormat="1">
      <c r="B132" s="101" t="s">
        <v>229</v>
      </c>
      <c r="C132" s="101" t="s">
        <v>370</v>
      </c>
      <c r="D132" s="107">
        <v>13.38</v>
      </c>
      <c r="E132" s="101">
        <v>140.49</v>
      </c>
      <c r="F132" s="101">
        <v>56.92</v>
      </c>
      <c r="G132" s="101" t="s">
        <v>371</v>
      </c>
      <c r="H132" s="107">
        <v>15.38</v>
      </c>
      <c r="I132" s="101">
        <v>161.53</v>
      </c>
      <c r="J132" s="101">
        <v>65.45</v>
      </c>
    </row>
    <row r="133" spans="8:8" s="95" ht="28.75" customFormat="1">
      <c r="B133" s="101" t="s">
        <v>232</v>
      </c>
      <c r="C133" s="101" t="s">
        <v>372</v>
      </c>
      <c r="D133" s="107">
        <v>14.27</v>
      </c>
      <c r="E133" s="101">
        <v>149.84</v>
      </c>
      <c r="F133" s="101">
        <v>60.71</v>
      </c>
      <c r="G133" s="101" t="s">
        <v>373</v>
      </c>
      <c r="H133" s="107">
        <v>16.41</v>
      </c>
      <c r="I133" s="101">
        <v>172.28</v>
      </c>
      <c r="J133" s="101">
        <v>69.8</v>
      </c>
    </row>
    <row r="134" spans="8:8" s="95" ht="28.75" customFormat="1">
      <c r="B134" s="101" t="s">
        <v>234</v>
      </c>
      <c r="C134" s="101" t="s">
        <v>324</v>
      </c>
      <c r="D134" s="107">
        <v>14.35</v>
      </c>
      <c r="E134" s="101">
        <v>150.68</v>
      </c>
      <c r="F134" s="101">
        <v>61.05</v>
      </c>
      <c r="G134" s="101" t="s">
        <v>374</v>
      </c>
      <c r="H134" s="107">
        <v>16.5</v>
      </c>
      <c r="I134" s="101">
        <v>173.24</v>
      </c>
      <c r="J134" s="101">
        <v>70.19</v>
      </c>
    </row>
    <row r="135" spans="8:8" s="95" ht="28.75" customFormat="1">
      <c r="B135" s="101" t="s">
        <v>236</v>
      </c>
      <c r="C135" s="101" t="s">
        <v>375</v>
      </c>
      <c r="D135" s="107">
        <v>14.46</v>
      </c>
      <c r="E135" s="101">
        <v>151.83</v>
      </c>
      <c r="F135" s="101">
        <v>61.51</v>
      </c>
      <c r="G135" s="101" t="s">
        <v>376</v>
      </c>
      <c r="H135" s="107">
        <v>16.63</v>
      </c>
      <c r="I135" s="101">
        <v>174.57</v>
      </c>
      <c r="J135" s="101">
        <v>70.72</v>
      </c>
    </row>
    <row r="136" spans="8:8" s="95" ht="28.75" customFormat="1">
      <c r="B136" s="101" t="s">
        <v>238</v>
      </c>
      <c r="C136" s="101" t="s">
        <v>377</v>
      </c>
      <c r="D136" s="107">
        <v>15.87</v>
      </c>
      <c r="E136" s="101">
        <v>166.64</v>
      </c>
      <c r="F136" s="101">
        <v>67.51</v>
      </c>
      <c r="G136" s="101" t="s">
        <v>378</v>
      </c>
      <c r="H136" s="107">
        <v>18.25</v>
      </c>
      <c r="I136" s="101">
        <v>191.59</v>
      </c>
      <c r="J136" s="101">
        <v>77.62</v>
      </c>
    </row>
    <row r="137" spans="8:8" s="95" ht="28.75" customFormat="1">
      <c r="B137" s="101" t="s">
        <v>241</v>
      </c>
      <c r="C137" s="101" t="s">
        <v>379</v>
      </c>
      <c r="D137" s="107">
        <v>16.0</v>
      </c>
      <c r="E137" s="101">
        <v>168.0</v>
      </c>
      <c r="F137" s="101">
        <v>68.06</v>
      </c>
      <c r="G137" s="101" t="s">
        <v>380</v>
      </c>
      <c r="H137" s="107">
        <v>18.4</v>
      </c>
      <c r="I137" s="101">
        <v>193.16</v>
      </c>
      <c r="J137" s="101">
        <v>78.25</v>
      </c>
    </row>
    <row r="138" spans="8:8" s="95" ht="28.75" customFormat="1">
      <c r="B138" s="101" t="s">
        <v>244</v>
      </c>
      <c r="C138" s="101" t="s">
        <v>379</v>
      </c>
      <c r="D138" s="107">
        <v>16.0</v>
      </c>
      <c r="E138" s="101">
        <v>168.0</v>
      </c>
      <c r="F138" s="101">
        <v>68.06</v>
      </c>
      <c r="G138" s="101" t="s">
        <v>380</v>
      </c>
      <c r="H138" s="107">
        <v>18.4</v>
      </c>
      <c r="I138" s="101">
        <v>193.16</v>
      </c>
      <c r="J138" s="101">
        <v>78.25</v>
      </c>
    </row>
    <row r="139" spans="8:8" s="95" ht="28.75" customFormat="1">
      <c r="B139" s="101" t="s">
        <v>247</v>
      </c>
      <c r="C139" s="101" t="s">
        <v>379</v>
      </c>
      <c r="D139" s="107">
        <v>16.0</v>
      </c>
      <c r="E139" s="101">
        <v>168.0</v>
      </c>
      <c r="F139" s="101">
        <v>68.06</v>
      </c>
      <c r="G139" s="101" t="s">
        <v>380</v>
      </c>
      <c r="H139" s="107">
        <v>18.4</v>
      </c>
      <c r="I139" s="101">
        <v>193.16</v>
      </c>
      <c r="J139" s="101">
        <v>78.25</v>
      </c>
    </row>
    <row r="140" spans="8:8" s="95" ht="28.75" customFormat="1">
      <c r="B140" s="101" t="s">
        <v>248</v>
      </c>
      <c r="C140" s="101" t="s">
        <v>381</v>
      </c>
      <c r="D140" s="107">
        <v>16.37</v>
      </c>
      <c r="E140" s="101">
        <v>171.89</v>
      </c>
      <c r="F140" s="101">
        <v>69.64</v>
      </c>
      <c r="G140" s="101" t="s">
        <v>382</v>
      </c>
      <c r="H140" s="107">
        <v>18.82</v>
      </c>
      <c r="I140" s="101">
        <v>197.63</v>
      </c>
      <c r="J140" s="101">
        <v>80.07</v>
      </c>
    </row>
    <row r="141" spans="8:8" s="95" ht="28.75" customFormat="1">
      <c r="B141" s="101" t="s">
        <v>251</v>
      </c>
      <c r="C141" s="101" t="s">
        <v>383</v>
      </c>
      <c r="D141" s="107">
        <v>17.35</v>
      </c>
      <c r="E141" s="101">
        <v>182.18</v>
      </c>
      <c r="F141" s="101">
        <v>73.81</v>
      </c>
      <c r="G141" s="101" t="s">
        <v>384</v>
      </c>
      <c r="H141" s="107">
        <v>19.95</v>
      </c>
      <c r="I141" s="101">
        <v>209.46</v>
      </c>
      <c r="J141" s="101">
        <v>84.87</v>
      </c>
    </row>
    <row r="142" spans="8:8" s="95" ht="28.75" customFormat="1">
      <c r="B142" s="101" t="s">
        <v>254</v>
      </c>
      <c r="C142" s="101" t="s">
        <v>385</v>
      </c>
      <c r="D142" s="107">
        <v>18.88</v>
      </c>
      <c r="E142" s="101">
        <v>198.24</v>
      </c>
      <c r="F142" s="101">
        <v>80.32</v>
      </c>
      <c r="G142" s="101" t="s">
        <v>386</v>
      </c>
      <c r="H142" s="107">
        <v>21.71</v>
      </c>
      <c r="I142" s="101">
        <v>227.93</v>
      </c>
      <c r="J142" s="101">
        <v>92.35</v>
      </c>
    </row>
    <row r="143" spans="8:8" s="95" ht="28.75" customFormat="1">
      <c r="B143" s="101" t="s">
        <v>257</v>
      </c>
      <c r="C143" s="101" t="s">
        <v>387</v>
      </c>
      <c r="D143" s="107">
        <v>20.24</v>
      </c>
      <c r="E143" s="101">
        <v>212.52</v>
      </c>
      <c r="F143" s="101">
        <v>86.1</v>
      </c>
      <c r="G143" s="101" t="s">
        <v>388</v>
      </c>
      <c r="H143" s="107">
        <v>23.27</v>
      </c>
      <c r="I143" s="101">
        <v>244.35</v>
      </c>
      <c r="J143" s="101">
        <v>99.0</v>
      </c>
    </row>
    <row r="144" spans="8:8" s="95" ht="28.75" customFormat="1">
      <c r="B144" s="101" t="s">
        <v>260</v>
      </c>
      <c r="C144" s="101" t="s">
        <v>389</v>
      </c>
      <c r="D144" s="107">
        <v>20.54</v>
      </c>
      <c r="E144" s="101">
        <v>215.67</v>
      </c>
      <c r="F144" s="101">
        <v>87.38</v>
      </c>
      <c r="G144" s="101" t="s">
        <v>390</v>
      </c>
      <c r="H144" s="107">
        <v>23.62</v>
      </c>
      <c r="I144" s="101">
        <v>247.97</v>
      </c>
      <c r="J144" s="101">
        <v>100.47</v>
      </c>
    </row>
    <row r="145" spans="8:8" s="95" ht="28.75" customFormat="1">
      <c r="B145" s="101" t="s">
        <v>261</v>
      </c>
      <c r="C145" s="101" t="s">
        <v>391</v>
      </c>
      <c r="D145" s="107">
        <v>20.09</v>
      </c>
      <c r="E145" s="101">
        <v>210.95</v>
      </c>
      <c r="F145" s="101">
        <v>85.46</v>
      </c>
      <c r="G145" s="101" t="s">
        <v>392</v>
      </c>
      <c r="H145" s="107">
        <v>23.1</v>
      </c>
      <c r="I145" s="101">
        <v>242.54</v>
      </c>
      <c r="J145" s="101">
        <v>98.26</v>
      </c>
    </row>
    <row r="146" spans="8:8" s="95" ht="28.75" customFormat="1">
      <c r="B146" s="101" t="s">
        <v>264</v>
      </c>
      <c r="C146" s="101" t="s">
        <v>393</v>
      </c>
      <c r="D146" s="107">
        <v>24.06</v>
      </c>
      <c r="E146" s="101">
        <v>252.63</v>
      </c>
      <c r="F146" s="101">
        <v>102.35</v>
      </c>
      <c r="G146" s="101" t="s">
        <v>394</v>
      </c>
      <c r="H146" s="107">
        <v>27.66</v>
      </c>
      <c r="I146" s="101">
        <v>290.47</v>
      </c>
      <c r="J146" s="101">
        <v>117.68</v>
      </c>
    </row>
    <row r="147" spans="8:8" s="95" ht="28.75" customFormat="1">
      <c r="B147" s="101" t="s">
        <v>267</v>
      </c>
      <c r="C147" s="101" t="s">
        <v>395</v>
      </c>
      <c r="D147" s="107">
        <v>25.57</v>
      </c>
      <c r="E147" s="101">
        <v>268.49</v>
      </c>
      <c r="F147" s="101">
        <v>108.78</v>
      </c>
      <c r="G147" s="101" t="s">
        <v>396</v>
      </c>
      <c r="H147" s="107">
        <v>29.4</v>
      </c>
      <c r="I147" s="101">
        <v>308.7</v>
      </c>
      <c r="J147" s="101">
        <v>125.07</v>
      </c>
    </row>
    <row r="148" spans="8:8" s="95" ht="28.75" customFormat="1">
      <c r="B148" s="101" t="s">
        <v>270</v>
      </c>
      <c r="C148" s="101" t="s">
        <v>397</v>
      </c>
      <c r="D148" s="107">
        <v>28.2</v>
      </c>
      <c r="E148" s="101">
        <v>296.1</v>
      </c>
      <c r="F148" s="101">
        <v>119.96</v>
      </c>
      <c r="G148" s="101" t="s">
        <v>398</v>
      </c>
      <c r="H148" s="107">
        <v>32.42</v>
      </c>
      <c r="I148" s="101">
        <v>340.45</v>
      </c>
      <c r="J148" s="101">
        <v>137.93</v>
      </c>
    </row>
    <row r="149" spans="8:8" s="95" ht="28.75" customFormat="1">
      <c r="B149" s="101" t="s">
        <v>273</v>
      </c>
      <c r="C149" s="101" t="s">
        <v>399</v>
      </c>
      <c r="D149" s="107">
        <v>30.6</v>
      </c>
      <c r="E149" s="101">
        <v>321.3</v>
      </c>
      <c r="F149" s="101">
        <v>130.17</v>
      </c>
      <c r="G149" s="101" t="s">
        <v>400</v>
      </c>
      <c r="H149" s="107">
        <v>35.18</v>
      </c>
      <c r="I149" s="101">
        <v>369.42</v>
      </c>
      <c r="J149" s="101">
        <v>149.67</v>
      </c>
    </row>
    <row r="150" spans="8:8" s="95" ht="28.75" customFormat="1">
      <c r="B150" s="101" t="s">
        <v>276</v>
      </c>
      <c r="C150" s="101" t="s">
        <v>399</v>
      </c>
      <c r="D150" s="107">
        <v>30.6</v>
      </c>
      <c r="E150" s="101">
        <v>321.3</v>
      </c>
      <c r="F150" s="101">
        <v>130.17</v>
      </c>
      <c r="G150" s="101" t="s">
        <v>400</v>
      </c>
      <c r="H150" s="107">
        <v>35.18</v>
      </c>
      <c r="I150" s="101">
        <v>369.42</v>
      </c>
      <c r="J150" s="101">
        <v>149.67</v>
      </c>
    </row>
  </sheetData>
  <mergeCells count="36">
    <mergeCell ref="B3:N3"/>
    <mergeCell ref="B102:J102"/>
    <mergeCell ref="C55:H55"/>
    <mergeCell ref="B53:N53"/>
    <mergeCell ref="C6:H6"/>
    <mergeCell ref="Q28:Q29"/>
    <mergeCell ref="P20:U20"/>
    <mergeCell ref="B103:J103"/>
    <mergeCell ref="B4:N4"/>
    <mergeCell ref="I55:N55"/>
    <mergeCell ref="B54:N54"/>
    <mergeCell ref="B5:N5"/>
    <mergeCell ref="C104:F104"/>
    <mergeCell ref="G104:J104"/>
    <mergeCell ref="Q32:S32"/>
    <mergeCell ref="S22:S23"/>
    <mergeCell ref="I6:N6"/>
    <mergeCell ref="R26:R27"/>
    <mergeCell ref="P19:U19"/>
    <mergeCell ref="Q22:Q23"/>
    <mergeCell ref="T26:T27"/>
    <mergeCell ref="T24:T25"/>
    <mergeCell ref="R28:R29"/>
    <mergeCell ref="S28:S29"/>
    <mergeCell ref="Q24:Q25"/>
    <mergeCell ref="R22:R23"/>
    <mergeCell ref="R24:R25"/>
    <mergeCell ref="Q26:Q27"/>
    <mergeCell ref="T28:T29"/>
    <mergeCell ref="S24:S25"/>
    <mergeCell ref="U22:U23"/>
    <mergeCell ref="T22:T23"/>
    <mergeCell ref="S26:S27"/>
    <mergeCell ref="U24:U25"/>
    <mergeCell ref="U26:U27"/>
    <mergeCell ref="U28:U29"/>
  </mergeCells>
  <hyperlinks>
    <hyperlink ref="B1" r:id="rId1"/>
  </hyperlinks>
  <pageMargins left="0.75" right="0.75" top="1.0" bottom="1.0" header="0.5" footer="0.5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果汁AMZ123</cp:lastModifiedBy>
  <dcterms:created xsi:type="dcterms:W3CDTF">2021-11-02T07:38:00Z</dcterms:created>
  <dcterms:modified xsi:type="dcterms:W3CDTF">2025-01-20T14:09:42Z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FF5D06CAF77844F79D24EC7F53DCAAC8_13</vt:lpwstr>
  </property>
  <property fmtid="{D5CDD505-2E9C-101B-9397-08002B2CF9AE}" pid="3" name="KSOProductBuildVer">
    <vt:lpwstr>2052-12.1.0.17133</vt:lpwstr>
  </property>
</Properties>
</file>