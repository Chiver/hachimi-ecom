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产品利润计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<sst xmlns="http://schemas.openxmlformats.org/spreadsheetml/2006/main" count="54" uniqueCount="34">
  <si>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FBM自发货产品利润计算器</t>
  </si>
  <si>
    <t>点此查看使用教程</t>
  </si>
  <si>
    <t>运费计算</t>
  </si>
  <si>
    <t>成本计算</t>
  </si>
  <si>
    <t>利润计算</t>
  </si>
  <si>
    <r>
      <rPr>
        <sz val="12"/>
        <color theme="1"/>
        <rFont val="微软雅黑"/>
        <charset val="134"/>
      </rPr>
      <t>运费单价</t>
    </r>
    <r>
      <rPr>
        <sz val="9"/>
        <color theme="1"/>
        <rFont val="微软雅黑"/>
        <charset val="134"/>
      </rPr>
      <t>（单位：元/千克）</t>
    </r>
  </si>
  <si>
    <r>
      <rPr>
        <sz val="12"/>
        <color theme="1"/>
        <rFont val="微软雅黑"/>
        <charset val="134"/>
      </rPr>
      <t>采购/生产成本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</si>
  <si>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汇率</t>
    </r>
    <r>
      <rPr>
        <sz val="9"/>
        <color theme="1"/>
        <rFont val="微软雅黑"/>
        <charset val="134"/>
      </rPr>
      <t>(单位:1:X)</t>
    </r>
  </si>
  <si>
    <t>荣誉出品</t>
  </si>
  <si>
    <r>
      <rPr>
        <sz val="12"/>
        <color theme="1"/>
        <rFont val="微软雅黑"/>
        <charset val="134"/>
      </rPr>
      <t>产品重量</t>
    </r>
    <r>
      <rPr>
        <sz val="9"/>
        <color theme="1"/>
        <rFont val="微软雅黑"/>
        <charset val="134"/>
      </rPr>
      <t>（单位：千克）</t>
    </r>
  </si>
  <si>
    <r>
      <rPr>
        <sz val="12"/>
        <color theme="1"/>
        <rFont val="微软雅黑"/>
        <charset val="134"/>
      </rPr>
      <t>类目佣金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</si>
  <si>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售价</t>
    </r>
    <r>
      <rPr>
        <sz val="9"/>
        <color theme="1"/>
        <rFont val="微软雅黑"/>
        <charset val="134"/>
      </rPr>
      <t>（单位：美金）</t>
    </r>
  </si>
  <si>
    <r>
      <rPr>
        <sz val="12"/>
        <color theme="1"/>
        <rFont val="微软雅黑"/>
        <charset val="134"/>
      </rPr>
      <t>挂号费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</si>
  <si>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退货率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</si>
  <si>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利润</t>
    </r>
    <r>
      <rPr>
        <sz val="9"/>
        <color theme="1"/>
        <rFont val="微软雅黑"/>
        <charset val="134"/>
      </rPr>
      <t>（单位：元）</t>
    </r>
  </si>
  <si>
    <t>使用表格遇到问题联系微信：zhiyisxy</t>
  </si>
  <si>
    <r>
      <rPr>
        <sz val="12"/>
        <color theme="1"/>
        <rFont val="微软雅黑"/>
        <charset val="134"/>
      </rPr>
      <t>国内运费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</si>
  <si>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平均退货费用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</si>
  <si>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国际运费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</si>
  <si>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VAT费用</t>
    </r>
    <r>
      <rPr>
        <sz val="9"/>
        <color theme="1"/>
        <rFont val="微软雅黑"/>
        <charset val="134"/>
      </rPr>
      <t>（单位：%）</t>
    </r>
  </si>
  <si>
    <t>本计算器由知易电商出品,使用表格遇到问题联系微信：zhiyisxy</t>
  </si>
  <si>
    <r>
      <rPr>
        <sz val="12"/>
        <color theme="1"/>
        <rFont val="微软雅黑"/>
        <charset val="134"/>
      </rPr>
      <t>总运费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</si>
  <si>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其他杂费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</si>
  <si>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总成本</t>
    </r>
    <r>
      <rPr>
        <sz val="9"/>
        <color theme="1"/>
        <rFont val="微软雅黑"/>
        <charset val="134"/>
      </rPr>
      <t>（单位：元）</t>
    </r>
  </si>
  <si>
    <r>
      <rPr>
        <b/>
        <sz val="12"/>
        <rFont val="阿里巴巴普惠体"/>
        <charset val="134"/>
      </rPr>
      <t>↑↑扫描</t>
    </r>
    <r>
      <rPr>
        <b/>
        <sz val="12"/>
        <color rgb="FFFF0000"/>
        <rFont val="阿里巴巴普惠体"/>
        <charset val="134"/>
      </rPr>
      <t>上方微信二维码</t>
    </r>
    <r>
      <rPr>
        <b/>
        <sz val="12"/>
        <rFont val="阿里巴巴普惠体"/>
        <charset val="134"/>
      </rPr>
      <t>获取使用教程↑↑</t>
    </r>
  </si>
  <si>
    <t>FBA亚马逊物流产品利润计算器</t>
  </si>
  <si>
    <t>头程运费计算</t>
  </si>
  <si>
    <t>FBA费用计算</t>
  </si>
  <si>
    <r>
      <rPr>
        <sz val="12"/>
        <color theme="1"/>
        <rFont val="微软雅黑"/>
        <charset val="134"/>
      </rPr>
      <t>尾程配送费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</si>
  <si>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合仓费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</si>
  <si>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广告费用占比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</si>
  <si>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头程运费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</si>
  <si>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尾程退货费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</si>
  <si>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FBA总费用</t>
    </r>
    <r>
      <rPr>
        <sz val="9"/>
        <color theme="1"/>
        <rFont val="微软雅黑"/>
        <charset val="134"/>
      </rPr>
      <t>（单位：元）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</si>
</sst>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  <numFmt numFmtId="178" formatCode="0.00_);\(0.00\)"/>
    <numFmt numFmtId="179" formatCode="0.00_ ;[Red]\-0.00\ "/>
    <numFmt numFmtId="180" formatCode="0.00_);[Red]\(0.00\)"/>
  </numFmts>
  <fonts count="3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rgb="FFFE7100"/>
      <name val="微软雅黑"/>
      <charset val="134"/>
    </font>
    <font>
      <b/>
      <sz val="16"/>
      <color theme="0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rgb="FF002060"/>
      <name val="微软雅黑"/>
      <charset val="134"/>
    </font>
    <font>
      <sz val="12"/>
      <color rgb="FFE7E6E6"/>
      <name val="微软雅黑"/>
      <charset val="134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2"/>
      <name val="阿里巴巴普惠体"/>
      <charset val="134"/>
    </font>
    <font>
      <b/>
      <sz val="12"/>
      <color rgb="FFFF0000"/>
      <name val="阿里巴巴普惠体"/>
      <charset val="134"/>
    </font>
    <font>
      <sz val="11"/>
      <color rgb="FFE7E6E6"/>
      <name val="宋体"/>
      <charset val="134"/>
      <scheme val="minor"/>
    </font>
    <font>
      <b/>
      <sz val="18"/>
      <color theme="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3B1F5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F0101"/>
        <bgColor indexed="64"/>
      </patternFill>
    </fill>
    <fill>
      <patternFill patternType="solid">
        <fgColor rgb="FFFE71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29" applyNumberFormat="0" applyAlignment="0" applyProtection="0">
      <alignment vertical="center"/>
    </xf>
    <xf numFmtId="0" fontId="25" fillId="13" borderId="30" applyNumberFormat="0" applyAlignment="0" applyProtection="0">
      <alignment vertical="center"/>
    </xf>
    <xf numFmtId="0" fontId="26" fillId="13" borderId="29" applyNumberFormat="0" applyAlignment="0" applyProtection="0">
      <alignment vertical="center"/>
    </xf>
    <xf numFmtId="0" fontId="27" fillId="14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2" borderId="0" xfId="0" applyFont="1" applyFill="1" applyBorder="1" applyProtection="1">
      <alignment vertical="center"/>
      <protection locked="0"/>
    </xf>
    <xf numFmtId="0" fontId="0" fillId="2" borderId="0" xfId="0" applyFill="1" applyBorder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0" fillId="3" borderId="4" xfId="0" applyFill="1" applyBorder="1" applyProtection="1">
      <alignment vertical="center"/>
      <protection locked="0"/>
    </xf>
    <xf numFmtId="0" fontId="0" fillId="3" borderId="5" xfId="0" applyFill="1" applyBorder="1" applyProtection="1">
      <alignment vertical="center"/>
      <protection locked="0"/>
    </xf>
    <xf numFmtId="0" fontId="1" fillId="3" borderId="6" xfId="0" applyFont="1" applyFill="1" applyBorder="1" applyProtection="1">
      <alignment vertical="center"/>
      <protection locked="0"/>
    </xf>
    <xf numFmtId="0" fontId="3" fillId="4" borderId="0" xfId="0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0" fillId="3" borderId="6" xfId="0" applyFill="1" applyBorder="1" applyProtection="1">
      <alignment vertical="center"/>
      <protection locked="0"/>
    </xf>
    <xf numFmtId="0" fontId="0" fillId="3" borderId="0" xfId="0" applyFill="1" applyBorder="1" applyAlignment="1" applyProtection="1">
      <alignment horizontal="center" vertical="center"/>
      <protection locked="0"/>
    </xf>
    <xf numFmtId="0" fontId="4" fillId="3" borderId="0" xfId="0" applyFont="1" applyFill="1" applyBorder="1" applyAlignment="1" applyProtection="1">
      <alignment horizontal="left" vertical="center"/>
    </xf>
    <xf numFmtId="0" fontId="4" fillId="0" borderId="7" xfId="0" applyFont="1" applyFill="1" applyBorder="1" applyProtection="1">
      <alignment vertical="center"/>
      <protection locked="0"/>
    </xf>
    <xf numFmtId="0" fontId="4" fillId="3" borderId="0" xfId="0" applyFont="1" applyFill="1" applyBorder="1" applyProtection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3" borderId="0" xfId="0" applyFont="1" applyFill="1" applyBorder="1" applyProtection="1">
      <alignment vertical="center"/>
      <protection locked="0"/>
    </xf>
    <xf numFmtId="0" fontId="5" fillId="3" borderId="0" xfId="0" applyFont="1" applyFill="1" applyBorder="1" applyProtection="1">
      <alignment vertical="center"/>
      <protection locked="0"/>
    </xf>
    <xf numFmtId="0" fontId="0" fillId="3" borderId="9" xfId="0" applyFill="1" applyBorder="1" applyProtection="1">
      <alignment vertical="center"/>
      <protection locked="0"/>
    </xf>
    <xf numFmtId="0" fontId="0" fillId="3" borderId="10" xfId="0" applyFill="1" applyBorder="1" applyProtection="1">
      <alignment vertical="center"/>
      <protection locked="0"/>
    </xf>
    <xf numFmtId="0" fontId="6" fillId="2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Protection="1">
      <alignment vertical="center"/>
      <protection locked="0"/>
    </xf>
    <xf numFmtId="0" fontId="4" fillId="3" borderId="0" xfId="0" applyFont="1" applyFill="1" applyProtection="1">
      <alignment vertical="center"/>
      <protection locked="0"/>
    </xf>
    <xf numFmtId="0" fontId="5" fillId="3" borderId="0" xfId="0" applyFont="1" applyFill="1" applyProtection="1">
      <alignment vertical="center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Border="1" applyAlignment="1" applyProtection="1">
      <alignment horizontal="center" vertical="center"/>
    </xf>
    <xf numFmtId="0" fontId="0" fillId="3" borderId="14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Protection="1">
      <alignment vertical="center"/>
      <protection locked="0"/>
    </xf>
    <xf numFmtId="0" fontId="5" fillId="3" borderId="3" xfId="0" applyFont="1" applyFill="1" applyBorder="1" applyProtection="1">
      <alignment vertical="center"/>
      <protection locked="0"/>
    </xf>
    <xf numFmtId="9" fontId="4" fillId="0" borderId="7" xfId="0" applyNumberFormat="1" applyFont="1" applyFill="1" applyBorder="1" applyProtection="1">
      <alignment vertical="center"/>
      <protection locked="0"/>
    </xf>
    <xf numFmtId="9" fontId="4" fillId="0" borderId="8" xfId="0" applyNumberFormat="1" applyFont="1" applyFill="1" applyBorder="1" applyProtection="1">
      <alignment vertical="center"/>
      <protection locked="0"/>
    </xf>
    <xf numFmtId="176" fontId="4" fillId="3" borderId="0" xfId="0" applyNumberFormat="1" applyFont="1" applyFill="1" applyBorder="1" applyProtection="1">
      <alignment vertical="center"/>
      <protection locked="0"/>
    </xf>
    <xf numFmtId="9" fontId="4" fillId="3" borderId="0" xfId="0" applyNumberFormat="1" applyFont="1" applyFill="1" applyBorder="1" applyAlignment="1" applyProtection="1">
      <alignment vertical="center"/>
      <protection locked="0"/>
    </xf>
    <xf numFmtId="0" fontId="4" fillId="6" borderId="0" xfId="0" applyFont="1" applyFill="1" applyProtection="1">
      <alignment vertical="center"/>
    </xf>
    <xf numFmtId="177" fontId="4" fillId="6" borderId="0" xfId="0" applyNumberFormat="1" applyFont="1" applyFill="1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3" fillId="7" borderId="0" xfId="0" applyFont="1" applyFill="1" applyBorder="1" applyAlignment="1" applyProtection="1">
      <alignment horizontal="center" vertical="center"/>
    </xf>
    <xf numFmtId="178" fontId="4" fillId="0" borderId="7" xfId="0" applyNumberFormat="1" applyFont="1" applyFill="1" applyBorder="1" applyProtection="1">
      <alignment vertical="center"/>
      <protection locked="0"/>
    </xf>
    <xf numFmtId="178" fontId="4" fillId="0" borderId="8" xfId="0" applyNumberFormat="1" applyFont="1" applyFill="1" applyBorder="1" applyAlignment="1" applyProtection="1">
      <alignment vertical="center"/>
      <protection locked="0"/>
    </xf>
    <xf numFmtId="178" fontId="5" fillId="3" borderId="0" xfId="0" applyNumberFormat="1" applyFont="1" applyFill="1" applyBorder="1" applyAlignment="1" applyProtection="1">
      <alignment vertical="center"/>
      <protection locked="0"/>
    </xf>
    <xf numFmtId="178" fontId="4" fillId="3" borderId="0" xfId="0" applyNumberFormat="1" applyFon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3" fillId="8" borderId="0" xfId="0" applyFont="1" applyFill="1" applyBorder="1" applyAlignment="1" applyProtection="1">
      <alignment horizontal="center" vertical="center"/>
    </xf>
    <xf numFmtId="0" fontId="4" fillId="0" borderId="8" xfId="0" applyFont="1" applyBorder="1" applyProtection="1">
      <alignment vertical="center"/>
      <protection locked="0"/>
    </xf>
    <xf numFmtId="179" fontId="4" fillId="3" borderId="0" xfId="0" applyNumberFormat="1" applyFont="1" applyFill="1" applyBorder="1" applyProtection="1">
      <alignment vertical="center"/>
      <protection locked="0"/>
    </xf>
    <xf numFmtId="0" fontId="0" fillId="6" borderId="0" xfId="0" applyFill="1" applyProtection="1">
      <alignment vertical="center"/>
      <protection locked="0"/>
    </xf>
    <xf numFmtId="180" fontId="5" fillId="3" borderId="0" xfId="0" applyNumberFormat="1" applyFont="1" applyFill="1" applyBorder="1" applyProtection="1">
      <alignment vertical="center"/>
      <protection locked="0"/>
    </xf>
    <xf numFmtId="0" fontId="3" fillId="9" borderId="0" xfId="0" applyFont="1" applyFill="1" applyBorder="1" applyAlignment="1" applyProtection="1">
      <alignment horizontal="center" vertical="center"/>
    </xf>
    <xf numFmtId="0" fontId="4" fillId="3" borderId="0" xfId="0" applyFont="1" applyFill="1" applyProtection="1">
      <alignment vertical="center"/>
    </xf>
    <xf numFmtId="0" fontId="4" fillId="2" borderId="7" xfId="0" applyFont="1" applyFill="1" applyBorder="1" applyProtection="1">
      <alignment vertical="center"/>
      <protection locked="0"/>
    </xf>
    <xf numFmtId="9" fontId="4" fillId="2" borderId="7" xfId="0" applyNumberFormat="1" applyFont="1" applyFill="1" applyBorder="1" applyAlignment="1" applyProtection="1">
      <alignment vertical="center"/>
      <protection locked="0"/>
    </xf>
    <xf numFmtId="9" fontId="5" fillId="0" borderId="7" xfId="0" applyNumberFormat="1" applyFont="1" applyFill="1" applyBorder="1" applyProtection="1">
      <alignment vertical="center"/>
      <protection locked="0"/>
    </xf>
    <xf numFmtId="9" fontId="5" fillId="3" borderId="0" xfId="0" applyNumberFormat="1" applyFont="1" applyFill="1" applyBorder="1" applyAlignment="1" applyProtection="1">
      <alignment vertical="center"/>
      <protection locked="0"/>
    </xf>
    <xf numFmtId="179" fontId="5" fillId="3" borderId="0" xfId="0" applyNumberFormat="1" applyFont="1" applyFill="1" applyProtection="1">
      <alignment vertical="center"/>
      <protection locked="0"/>
    </xf>
    <xf numFmtId="0" fontId="4" fillId="3" borderId="0" xfId="0" applyFont="1" applyFill="1" applyBorder="1" applyAlignment="1" applyProtection="1">
      <alignment vertical="center"/>
      <protection locked="0"/>
    </xf>
    <xf numFmtId="180" fontId="5" fillId="3" borderId="0" xfId="0" applyNumberFormat="1" applyFont="1" applyFill="1" applyBorder="1" applyAlignment="1" applyProtection="1">
      <alignment vertical="center"/>
      <protection locked="0"/>
    </xf>
    <xf numFmtId="0" fontId="0" fillId="6" borderId="5" xfId="0" applyFill="1" applyBorder="1" applyProtection="1">
      <alignment vertical="center"/>
      <protection locked="0"/>
    </xf>
    <xf numFmtId="0" fontId="0" fillId="2" borderId="6" xfId="0" applyFill="1" applyBorder="1" applyProtection="1">
      <alignment vertical="center"/>
      <protection locked="0"/>
    </xf>
    <xf numFmtId="0" fontId="0" fillId="2" borderId="15" xfId="0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</xf>
    <xf numFmtId="0" fontId="0" fillId="6" borderId="0" xfId="0" applyFill="1" applyBorder="1" applyAlignment="1" applyProtection="1">
      <alignment horizontal="center" vertical="center"/>
      <protection locked="0"/>
    </xf>
    <xf numFmtId="0" fontId="10" fillId="2" borderId="16" xfId="0" applyFont="1" applyFill="1" applyBorder="1" applyAlignment="1" applyProtection="1">
      <alignment horizontal="center" vertical="center"/>
    </xf>
    <xf numFmtId="0" fontId="11" fillId="2" borderId="16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8" fillId="2" borderId="16" xfId="0" applyFont="1" applyFill="1" applyBorder="1" applyAlignment="1" applyProtection="1">
      <alignment horizontal="center" vertical="center"/>
    </xf>
    <xf numFmtId="0" fontId="8" fillId="2" borderId="17" xfId="0" applyFont="1" applyFill="1" applyBorder="1" applyAlignment="1" applyProtection="1">
      <alignment horizontal="center" vertical="center"/>
    </xf>
    <xf numFmtId="0" fontId="12" fillId="2" borderId="16" xfId="0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 applyProtection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0" fontId="3" fillId="6" borderId="14" xfId="0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vertical="center"/>
      <protection locked="0"/>
    </xf>
    <xf numFmtId="0" fontId="3" fillId="8" borderId="0" xfId="0" applyFont="1" applyFill="1" applyAlignment="1" applyProtection="1">
      <alignment horizontal="center" vertical="center"/>
    </xf>
    <xf numFmtId="0" fontId="0" fillId="6" borderId="14" xfId="0" applyFill="1" applyBorder="1" applyAlignment="1" applyProtection="1">
      <alignment horizontal="center" vertical="center"/>
      <protection locked="0"/>
    </xf>
    <xf numFmtId="0" fontId="0" fillId="3" borderId="3" xfId="0" applyFill="1" applyBorder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0" fontId="14" fillId="3" borderId="0" xfId="0" applyFont="1" applyFill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/>
    </xf>
    <xf numFmtId="0" fontId="15" fillId="10" borderId="15" xfId="6" applyFont="1" applyFill="1" applyBorder="1" applyAlignment="1" applyProtection="1">
      <alignment horizontal="center" vertical="center" wrapText="1"/>
    </xf>
    <xf numFmtId="0" fontId="15" fillId="10" borderId="19" xfId="6" applyFont="1" applyFill="1" applyBorder="1" applyAlignment="1" applyProtection="1">
      <alignment horizontal="center" vertical="center" wrapText="1"/>
    </xf>
    <xf numFmtId="0" fontId="0" fillId="2" borderId="0" xfId="0" applyFill="1" applyAlignment="1" applyProtection="1">
      <alignment horizontal="center" vertical="center"/>
    </xf>
    <xf numFmtId="0" fontId="15" fillId="10" borderId="16" xfId="6" applyFont="1" applyFill="1" applyBorder="1" applyAlignment="1" applyProtection="1">
      <alignment horizontal="center" vertical="center" wrapText="1"/>
    </xf>
    <xf numFmtId="0" fontId="15" fillId="10" borderId="20" xfId="6" applyFont="1" applyFill="1" applyBorder="1" applyAlignment="1" applyProtection="1">
      <alignment horizontal="center" vertical="center" wrapText="1"/>
    </xf>
    <xf numFmtId="0" fontId="11" fillId="2" borderId="0" xfId="0" applyFont="1" applyFill="1" applyAlignment="1" applyProtection="1">
      <alignment horizontal="center" vertical="center"/>
    </xf>
    <xf numFmtId="0" fontId="8" fillId="2" borderId="18" xfId="0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</xf>
    <xf numFmtId="0" fontId="8" fillId="2" borderId="21" xfId="0" applyFont="1" applyFill="1" applyBorder="1" applyAlignment="1" applyProtection="1">
      <alignment horizontal="center" vertical="center"/>
    </xf>
    <xf numFmtId="0" fontId="15" fillId="10" borderId="17" xfId="6" applyFont="1" applyFill="1" applyBorder="1" applyAlignment="1" applyProtection="1">
      <alignment horizontal="center" vertical="center" wrapText="1"/>
    </xf>
    <xf numFmtId="0" fontId="15" fillId="10" borderId="22" xfId="6" applyFont="1" applyFill="1" applyBorder="1" applyAlignment="1" applyProtection="1">
      <alignment horizontal="center" vertical="center" wrapText="1"/>
    </xf>
    <xf numFmtId="0" fontId="13" fillId="2" borderId="0" xfId="0" applyFont="1" applyFill="1" applyAlignment="1" applyProtection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0" fillId="3" borderId="23" xfId="0" applyFill="1" applyBorder="1" applyProtection="1">
      <alignment vertical="center"/>
      <protection locked="0"/>
    </xf>
    <xf numFmtId="0" fontId="0" fillId="3" borderId="24" xfId="0" applyFill="1" applyBorder="1" applyProtection="1">
      <alignment vertical="center"/>
      <protection locked="0"/>
    </xf>
    <xf numFmtId="0" fontId="0" fillId="3" borderId="0" xfId="0" applyFill="1" applyBorder="1" applyProtection="1">
      <alignment vertical="center"/>
      <protection locked="0"/>
    </xf>
    <xf numFmtId="179" fontId="5" fillId="3" borderId="0" xfId="0" applyNumberFormat="1" applyFont="1" applyFill="1" applyBorder="1" applyProtection="1">
      <alignment vertical="center"/>
      <protection locked="0"/>
    </xf>
    <xf numFmtId="0" fontId="0" fillId="3" borderId="25" xfId="0" applyFill="1" applyBorder="1" applyProtection="1">
      <alignment vertical="center"/>
      <protection locked="0"/>
    </xf>
    <xf numFmtId="0" fontId="0" fillId="2" borderId="0" xfId="0" applyFill="1" applyBorder="1" applyAlignment="1" applyProtection="1">
      <alignment vertical="center"/>
      <protection locked="0"/>
    </xf>
    <xf numFmtId="0" fontId="8" fillId="2" borderId="0" xfId="0" applyFont="1" applyFill="1" applyBorder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70101"/>
      <color rgb="0025B113"/>
      <color rgb="00CB0101"/>
      <color rgb="003E1F30"/>
      <color rgb="00177D7E"/>
      <color rgb="0051962B"/>
      <color rgb="00C09F03"/>
      <color rgb="00EF0101"/>
      <color rgb="00FE7100"/>
      <color rgb="00E7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">
    <open main="52" threadCnt="1"/>
    <sheetInfos>
      <sheetInfo cellCmpFml="1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238125</xdr:colOff>
      <xdr:row>3</xdr:row>
      <xdr:rowOff>104775</xdr:rowOff>
    </xdr:from>
    <xdr:to>
      <xdr:col>17</xdr:col>
      <xdr:colOff>9525</xdr:colOff>
      <xdr:row>6</xdr:row>
      <xdr:rowOff>92710</xdr:rowOff>
    </xdr:to>
    <xdr:pic>
      <xdr:nvPicPr>
        <xdr:cNvPr id="5" name="图片 4" descr="知易电商logo横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0" y="682625"/>
          <a:ext cx="2000250" cy="711835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8</xdr:row>
      <xdr:rowOff>28575</xdr:rowOff>
    </xdr:from>
    <xdr:to>
      <xdr:col>16</xdr:col>
      <xdr:colOff>704850</xdr:colOff>
      <xdr:row>13</xdr:row>
      <xdr:rowOff>125095</xdr:rowOff>
    </xdr:to>
    <xdr:pic>
      <xdr:nvPicPr>
        <xdr:cNvPr id="6" name="图片 5" descr="亚马逊二维码"/>
        <xdr:cNvPicPr>
          <a:picLocks noChangeAspect="1"/>
        </xdr:cNvPicPr>
      </xdr:nvPicPr>
      <xdr:blipFill>
        <a:blip r:embed="rId2"/>
        <a:srcRect t="4804" b="3708"/>
        <a:stretch>
          <a:fillRect/>
        </a:stretch>
      </xdr:blipFill>
      <xdr:spPr>
        <a:xfrm>
          <a:off x="10982325" y="1914525"/>
          <a:ext cx="1666875" cy="1557020"/>
        </a:xfrm>
        <a:prstGeom prst="rect">
          <a:avLst/>
        </a:prstGeom>
      </xdr:spPr>
    </xdr:pic>
    <xdr:clientData/>
  </xdr:twoCellAnchor>
  <xdr:twoCellAnchor editAs="oneCell">
    <xdr:from>
      <xdr:col>15</xdr:col>
      <xdr:colOff>238125</xdr:colOff>
      <xdr:row>3</xdr:row>
      <xdr:rowOff>95250</xdr:rowOff>
    </xdr:from>
    <xdr:to>
      <xdr:col>17</xdr:col>
      <xdr:colOff>9525</xdr:colOff>
      <xdr:row>6</xdr:row>
      <xdr:rowOff>83185</xdr:rowOff>
    </xdr:to>
    <xdr:pic>
      <xdr:nvPicPr>
        <xdr:cNvPr id="7" name="图片 6" descr="知易电商logo横版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3250" y="673100"/>
          <a:ext cx="2000250" cy="711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zhiyixt.com/course/32/task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50"/>
  <sheetViews>
    <sheetView tabSelected="1" workbookViewId="0">
      <selection activeCell="B2" sqref="B2:F3"/>
    </sheetView>
  </sheetViews>
  <sheetFormatPr defaultColWidth="9" defaultRowHeight="13.5"/>
  <cols>
    <col min="1" max="1" width="9" style="2"/>
    <col min="2" max="2" width="3.625" style="2" customWidth="1"/>
    <col min="3" max="3" width="24.875" style="2" customWidth="1"/>
    <col min="4" max="4" width="10.75" style="2" customWidth="1"/>
    <col min="5" max="6" width="2.875" style="2" customWidth="1"/>
    <col min="7" max="7" width="24.25" style="2" customWidth="1"/>
    <col min="8" max="8" width="10.75" style="2" customWidth="1"/>
    <col min="9" max="10" width="2.875" style="2" customWidth="1"/>
    <col min="11" max="11" width="22.75" style="2" customWidth="1"/>
    <col min="12" max="12" width="10.625" style="2" customWidth="1"/>
    <col min="13" max="13" width="2.5" style="2" customWidth="1"/>
    <col min="14" max="15" width="3.75" style="2" customWidth="1"/>
    <col min="16" max="16" width="18.625" style="2" customWidth="1"/>
    <col min="17" max="17" width="10.625" style="2" customWidth="1"/>
    <col min="18" max="20" width="3.375" style="2" customWidth="1"/>
    <col min="21" max="21" width="2.75" style="2" customWidth="1"/>
    <col min="22" max="22" width="12.625" style="2"/>
    <col min="23" max="16384" width="9" style="2"/>
  </cols>
  <sheetData>
    <row r="2" ht="16" customHeight="1" spans="2:14">
      <c r="B2" s="3" t="s">
        <v>0</v>
      </c>
      <c r="C2" s="4"/>
      <c r="D2" s="4"/>
      <c r="E2" s="4"/>
      <c r="F2" s="27"/>
      <c r="G2" s="28"/>
      <c r="H2" s="28"/>
      <c r="I2" s="28"/>
      <c r="J2" s="28"/>
      <c r="K2" s="28"/>
      <c r="L2" s="51"/>
      <c r="M2" s="51"/>
      <c r="N2" s="51"/>
    </row>
    <row r="3" ht="16" customHeight="1" spans="2:17">
      <c r="B3" s="5"/>
      <c r="C3" s="6"/>
      <c r="D3" s="6"/>
      <c r="E3" s="6"/>
      <c r="F3" s="29"/>
      <c r="G3" s="28"/>
      <c r="H3" s="28"/>
      <c r="I3" s="28"/>
      <c r="J3" s="28"/>
      <c r="K3" s="28"/>
      <c r="L3" s="51"/>
      <c r="M3" s="51"/>
      <c r="N3" s="51"/>
      <c r="O3" s="43"/>
      <c r="P3" s="43"/>
      <c r="Q3" s="43"/>
    </row>
    <row r="4" ht="13" customHeight="1" spans="2:21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66"/>
      <c r="O4" s="67"/>
      <c r="P4" s="68"/>
      <c r="Q4" s="88"/>
      <c r="R4" s="88"/>
      <c r="S4" s="89" t="s">
        <v>1</v>
      </c>
      <c r="T4" s="90"/>
      <c r="U4" s="110"/>
    </row>
    <row r="5" s="1" customFormat="1" ht="34" customHeight="1" spans="2:25">
      <c r="B5" s="9"/>
      <c r="C5" s="10" t="s">
        <v>2</v>
      </c>
      <c r="D5" s="11"/>
      <c r="E5" s="30"/>
      <c r="F5" s="31"/>
      <c r="G5" s="32" t="s">
        <v>3</v>
      </c>
      <c r="H5" s="32"/>
      <c r="I5" s="30"/>
      <c r="J5" s="31"/>
      <c r="K5" s="52" t="s">
        <v>4</v>
      </c>
      <c r="L5" s="52"/>
      <c r="M5" s="52"/>
      <c r="N5" s="69"/>
      <c r="O5" s="70"/>
      <c r="P5" s="71"/>
      <c r="Q5" s="91"/>
      <c r="R5" s="91"/>
      <c r="S5" s="92"/>
      <c r="T5" s="93"/>
      <c r="U5" s="80"/>
      <c r="V5" s="43"/>
      <c r="W5" s="43"/>
      <c r="X5" s="43"/>
      <c r="Y5" s="43"/>
    </row>
    <row r="6" ht="10" customHeight="1" spans="2:25">
      <c r="B6" s="12"/>
      <c r="C6" s="13"/>
      <c r="D6" s="13"/>
      <c r="E6" s="33"/>
      <c r="F6" s="34"/>
      <c r="G6" s="13"/>
      <c r="H6" s="13"/>
      <c r="I6" s="33"/>
      <c r="J6" s="34"/>
      <c r="K6" s="13"/>
      <c r="L6" s="13"/>
      <c r="M6" s="13"/>
      <c r="N6" s="72"/>
      <c r="O6" s="67"/>
      <c r="P6" s="71"/>
      <c r="Q6" s="91"/>
      <c r="R6" s="91"/>
      <c r="S6" s="92"/>
      <c r="T6" s="93"/>
      <c r="U6" s="80"/>
      <c r="V6" s="43"/>
      <c r="W6" s="43"/>
      <c r="X6" s="43"/>
      <c r="Y6" s="43"/>
    </row>
    <row r="7" ht="23" customHeight="1" spans="2:25">
      <c r="B7" s="12"/>
      <c r="C7" s="14" t="s">
        <v>5</v>
      </c>
      <c r="D7" s="15">
        <v>100</v>
      </c>
      <c r="E7" s="35"/>
      <c r="F7" s="36"/>
      <c r="G7" s="16" t="s">
        <v>6</v>
      </c>
      <c r="H7" s="15">
        <v>80</v>
      </c>
      <c r="I7" s="35"/>
      <c r="J7" s="36"/>
      <c r="K7" s="16" t="s">
        <v>7</v>
      </c>
      <c r="L7" s="15">
        <v>6.447</v>
      </c>
      <c r="M7" s="19"/>
      <c r="N7" s="19"/>
      <c r="O7" s="67"/>
      <c r="P7" s="73" t="s">
        <v>8</v>
      </c>
      <c r="Q7" s="94"/>
      <c r="R7" s="94"/>
      <c r="S7" s="92"/>
      <c r="T7" s="93"/>
      <c r="U7" s="80"/>
      <c r="V7" s="43"/>
      <c r="W7" s="43"/>
      <c r="X7" s="43"/>
      <c r="Y7" s="43"/>
    </row>
    <row r="8" ht="23" customHeight="1" spans="2:25">
      <c r="B8" s="12"/>
      <c r="C8" s="16" t="s">
        <v>9</v>
      </c>
      <c r="D8" s="15">
        <v>0.8</v>
      </c>
      <c r="E8" s="35"/>
      <c r="F8" s="36"/>
      <c r="G8" s="16" t="s">
        <v>10</v>
      </c>
      <c r="H8" s="37">
        <v>0.15</v>
      </c>
      <c r="I8" s="35"/>
      <c r="J8" s="36"/>
      <c r="K8" s="16" t="s">
        <v>11</v>
      </c>
      <c r="L8" s="53">
        <v>79.99</v>
      </c>
      <c r="M8" s="19"/>
      <c r="N8" s="19"/>
      <c r="O8" s="67"/>
      <c r="P8" s="74"/>
      <c r="Q8" s="94"/>
      <c r="R8" s="94"/>
      <c r="S8" s="92"/>
      <c r="T8" s="93"/>
      <c r="U8" s="80"/>
      <c r="V8" s="43"/>
      <c r="W8" s="43"/>
      <c r="X8" s="43"/>
      <c r="Y8" s="43"/>
    </row>
    <row r="9" ht="23" customHeight="1" spans="2:25">
      <c r="B9" s="12"/>
      <c r="C9" s="16" t="s">
        <v>12</v>
      </c>
      <c r="D9" s="15">
        <v>22</v>
      </c>
      <c r="E9" s="35"/>
      <c r="F9" s="36"/>
      <c r="G9" s="16" t="s">
        <v>13</v>
      </c>
      <c r="H9" s="38">
        <v>0.05</v>
      </c>
      <c r="I9" s="35"/>
      <c r="J9" s="36"/>
      <c r="K9" s="16" t="s">
        <v>14</v>
      </c>
      <c r="L9" s="54">
        <f>L8*(1-H8-H11-H12)*L7-D12-H7-H10</f>
        <v>241.310701905</v>
      </c>
      <c r="M9" s="19"/>
      <c r="N9" s="19"/>
      <c r="O9" s="67"/>
      <c r="P9" s="75" t="s">
        <v>15</v>
      </c>
      <c r="Q9" s="95"/>
      <c r="R9" s="95"/>
      <c r="S9" s="92"/>
      <c r="T9" s="93"/>
      <c r="U9" s="80"/>
      <c r="V9" s="43"/>
      <c r="W9" s="43"/>
      <c r="X9" s="43"/>
      <c r="Y9" s="43"/>
    </row>
    <row r="10" ht="23" customHeight="1" spans="2:25">
      <c r="B10" s="12"/>
      <c r="C10" s="16" t="s">
        <v>16</v>
      </c>
      <c r="D10" s="17"/>
      <c r="E10" s="35"/>
      <c r="F10" s="36"/>
      <c r="G10" s="16" t="s">
        <v>17</v>
      </c>
      <c r="H10" s="39">
        <f>(H7+D12+L8*H8*0.2*L7)*H9</f>
        <v>9.873543295</v>
      </c>
      <c r="I10" s="35"/>
      <c r="J10" s="36"/>
      <c r="K10" s="55"/>
      <c r="L10" s="55"/>
      <c r="M10" s="19"/>
      <c r="N10" s="19"/>
      <c r="O10" s="67"/>
      <c r="P10" s="76"/>
      <c r="Q10" s="96"/>
      <c r="R10" s="97"/>
      <c r="S10" s="92"/>
      <c r="T10" s="93"/>
      <c r="U10" s="43"/>
      <c r="V10" s="43"/>
      <c r="W10" s="43"/>
      <c r="X10" s="43"/>
      <c r="Y10" s="43"/>
    </row>
    <row r="11" ht="23" customHeight="1" spans="2:25">
      <c r="B11" s="12"/>
      <c r="C11" s="16" t="s">
        <v>18</v>
      </c>
      <c r="D11" s="18">
        <f>(D7*D8)+D9</f>
        <v>102</v>
      </c>
      <c r="E11" s="35"/>
      <c r="F11" s="36"/>
      <c r="G11" s="16" t="s">
        <v>19</v>
      </c>
      <c r="H11" s="37"/>
      <c r="I11" s="35"/>
      <c r="J11" s="36"/>
      <c r="K11" s="26" t="s">
        <v>20</v>
      </c>
      <c r="L11" s="26"/>
      <c r="M11" s="26"/>
      <c r="N11" s="19"/>
      <c r="O11" s="67"/>
      <c r="P11" s="76"/>
      <c r="Q11" s="96"/>
      <c r="R11" s="97"/>
      <c r="S11" s="92"/>
      <c r="T11" s="93"/>
      <c r="U11" s="43"/>
      <c r="V11" s="43"/>
      <c r="W11" s="43"/>
      <c r="X11" s="43"/>
      <c r="Y11" s="43"/>
    </row>
    <row r="12" ht="23" customHeight="1" spans="2:25">
      <c r="B12" s="12"/>
      <c r="C12" s="16" t="s">
        <v>21</v>
      </c>
      <c r="D12" s="18">
        <f>D10+D11</f>
        <v>102</v>
      </c>
      <c r="E12" s="35"/>
      <c r="F12" s="36"/>
      <c r="G12" s="16" t="s">
        <v>22</v>
      </c>
      <c r="H12" s="40">
        <v>0.01</v>
      </c>
      <c r="I12" s="35"/>
      <c r="J12" s="36"/>
      <c r="K12" s="26"/>
      <c r="L12" s="26"/>
      <c r="M12" s="26"/>
      <c r="N12" s="19"/>
      <c r="O12" s="67"/>
      <c r="P12" s="76"/>
      <c r="Q12" s="96"/>
      <c r="R12" s="97"/>
      <c r="S12" s="92"/>
      <c r="T12" s="93"/>
      <c r="U12" s="43"/>
      <c r="V12" s="43"/>
      <c r="W12" s="43"/>
      <c r="X12" s="43"/>
      <c r="Y12" s="43"/>
    </row>
    <row r="13" ht="23" customHeight="1" spans="2:26">
      <c r="B13" s="12"/>
      <c r="C13" s="18"/>
      <c r="D13" s="19"/>
      <c r="E13" s="35"/>
      <c r="F13" s="36"/>
      <c r="G13" s="41" t="s">
        <v>23</v>
      </c>
      <c r="H13" s="42">
        <f>D12+H7+H10+L8*(H8+H11+H12)*L7</f>
        <v>274.384828095</v>
      </c>
      <c r="I13" s="35"/>
      <c r="J13" s="36"/>
      <c r="K13" s="18"/>
      <c r="L13" s="56"/>
      <c r="M13" s="19"/>
      <c r="N13" s="19"/>
      <c r="O13" s="67"/>
      <c r="P13" s="76"/>
      <c r="Q13" s="96"/>
      <c r="R13" s="97"/>
      <c r="S13" s="92"/>
      <c r="T13" s="93"/>
      <c r="U13" s="43"/>
      <c r="V13" s="43"/>
      <c r="W13" s="43"/>
      <c r="X13" s="43"/>
      <c r="Y13" s="43"/>
      <c r="Z13" s="110"/>
    </row>
    <row r="14" ht="13" customHeight="1" spans="2:20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67"/>
      <c r="P14" s="77"/>
      <c r="Q14" s="98"/>
      <c r="R14" s="98"/>
      <c r="S14" s="99"/>
      <c r="T14" s="100"/>
    </row>
    <row r="15" spans="16:20">
      <c r="P15" s="78" t="s">
        <v>24</v>
      </c>
      <c r="Q15" s="101"/>
      <c r="R15" s="101"/>
      <c r="S15" s="101"/>
      <c r="T15" s="102"/>
    </row>
    <row r="16" ht="14.25" spans="7:20">
      <c r="G16" s="43"/>
      <c r="H16" s="43"/>
      <c r="I16" s="43"/>
      <c r="J16" s="43"/>
      <c r="K16" s="43"/>
      <c r="L16" s="50"/>
      <c r="M16" s="43"/>
      <c r="N16" s="43"/>
      <c r="O16" s="43"/>
      <c r="P16" s="79"/>
      <c r="Q16" s="103"/>
      <c r="R16" s="103"/>
      <c r="S16" s="103"/>
      <c r="T16" s="104"/>
    </row>
    <row r="17" ht="16" customHeight="1" spans="2:20">
      <c r="B17" s="22" t="s">
        <v>25</v>
      </c>
      <c r="C17" s="22"/>
      <c r="D17" s="22"/>
      <c r="E17" s="22"/>
      <c r="F17" s="22"/>
      <c r="G17" s="44" t="s">
        <v>20</v>
      </c>
      <c r="H17" s="44"/>
      <c r="I17" s="44"/>
      <c r="J17" s="44"/>
      <c r="K17" s="44"/>
      <c r="L17" s="43"/>
      <c r="M17" s="43"/>
      <c r="N17" s="43"/>
      <c r="O17" s="43"/>
      <c r="P17" s="80"/>
      <c r="Q17" s="80"/>
      <c r="R17" s="80"/>
      <c r="S17" s="80"/>
      <c r="T17" s="80"/>
    </row>
    <row r="18" ht="16" customHeight="1" spans="2:17">
      <c r="B18" s="22"/>
      <c r="C18" s="22"/>
      <c r="D18" s="22"/>
      <c r="E18" s="22"/>
      <c r="F18" s="22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ht="19" customHeight="1" spans="2:20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66"/>
      <c r="O19" s="8"/>
      <c r="P19" s="8"/>
      <c r="Q19" s="8"/>
      <c r="R19" s="8"/>
      <c r="S19" s="8"/>
      <c r="T19" s="105"/>
    </row>
    <row r="20" ht="34" customHeight="1" spans="2:20">
      <c r="B20" s="9"/>
      <c r="C20" s="10" t="s">
        <v>26</v>
      </c>
      <c r="D20" s="11"/>
      <c r="E20" s="30"/>
      <c r="F20" s="31"/>
      <c r="G20" s="45" t="s">
        <v>27</v>
      </c>
      <c r="H20" s="45"/>
      <c r="I20" s="30"/>
      <c r="J20" s="31"/>
      <c r="K20" s="57" t="s">
        <v>3</v>
      </c>
      <c r="L20" s="57"/>
      <c r="M20" s="57"/>
      <c r="N20" s="81"/>
      <c r="O20" s="82"/>
      <c r="P20" s="83" t="s">
        <v>4</v>
      </c>
      <c r="Q20" s="83"/>
      <c r="R20" s="83"/>
      <c r="S20" s="83"/>
      <c r="T20" s="106"/>
    </row>
    <row r="21" ht="19" customHeight="1" spans="2:20">
      <c r="B21" s="12"/>
      <c r="C21" s="13"/>
      <c r="D21" s="13"/>
      <c r="E21" s="33"/>
      <c r="F21" s="34"/>
      <c r="G21" s="13"/>
      <c r="H21" s="13"/>
      <c r="I21" s="33"/>
      <c r="J21" s="34"/>
      <c r="K21" s="13"/>
      <c r="L21" s="13"/>
      <c r="M21" s="13"/>
      <c r="N21" s="84"/>
      <c r="O21" s="85"/>
      <c r="P21" s="86"/>
      <c r="Q21" s="86"/>
      <c r="R21" s="107"/>
      <c r="S21" s="107"/>
      <c r="T21" s="106"/>
    </row>
    <row r="22" ht="19" customHeight="1" spans="2:20">
      <c r="B22" s="12"/>
      <c r="C22" s="14" t="s">
        <v>5</v>
      </c>
      <c r="D22" s="15">
        <v>12</v>
      </c>
      <c r="E22" s="35"/>
      <c r="F22" s="36"/>
      <c r="G22" s="16" t="s">
        <v>28</v>
      </c>
      <c r="H22" s="46">
        <v>4.9</v>
      </c>
      <c r="I22" s="35"/>
      <c r="J22" s="36"/>
      <c r="K22" s="58" t="s">
        <v>6</v>
      </c>
      <c r="L22" s="59">
        <v>80</v>
      </c>
      <c r="M22" s="19"/>
      <c r="N22" s="35"/>
      <c r="O22" s="85"/>
      <c r="P22" s="16" t="s">
        <v>7</v>
      </c>
      <c r="Q22" s="15">
        <v>6.447</v>
      </c>
      <c r="R22" s="107"/>
      <c r="S22" s="107"/>
      <c r="T22" s="106"/>
    </row>
    <row r="23" ht="19" customHeight="1" spans="2:23">
      <c r="B23" s="12"/>
      <c r="C23" s="16" t="s">
        <v>9</v>
      </c>
      <c r="D23" s="15">
        <v>0.8</v>
      </c>
      <c r="E23" s="35"/>
      <c r="F23" s="36"/>
      <c r="G23" s="16" t="s">
        <v>29</v>
      </c>
      <c r="H23" s="46">
        <v>0.4</v>
      </c>
      <c r="I23" s="35"/>
      <c r="J23" s="36"/>
      <c r="K23" s="58" t="s">
        <v>30</v>
      </c>
      <c r="L23" s="60">
        <v>0.15</v>
      </c>
      <c r="M23" s="19"/>
      <c r="N23" s="35"/>
      <c r="O23" s="85"/>
      <c r="P23" s="16" t="s">
        <v>11</v>
      </c>
      <c r="Q23" s="53">
        <v>79.99</v>
      </c>
      <c r="R23" s="107"/>
      <c r="S23" s="107"/>
      <c r="T23" s="106"/>
      <c r="V23" s="43"/>
      <c r="W23" s="43"/>
    </row>
    <row r="24" ht="19" customHeight="1" spans="2:23">
      <c r="B24" s="12"/>
      <c r="C24" s="16" t="s">
        <v>31</v>
      </c>
      <c r="D24" s="23">
        <f>D22*D23</f>
        <v>9.6</v>
      </c>
      <c r="E24" s="35"/>
      <c r="F24" s="36"/>
      <c r="G24" s="16" t="s">
        <v>13</v>
      </c>
      <c r="H24" s="38">
        <v>0.1</v>
      </c>
      <c r="I24" s="35"/>
      <c r="J24" s="36"/>
      <c r="K24" s="16" t="s">
        <v>19</v>
      </c>
      <c r="L24" s="61"/>
      <c r="M24" s="19"/>
      <c r="N24" s="35"/>
      <c r="O24" s="85"/>
      <c r="P24" s="16" t="s">
        <v>14</v>
      </c>
      <c r="Q24" s="108">
        <f>(Q23*(1-H25-L24-L25-L23)-H22-H23)*Q22-L22-H27-D24</f>
        <v>225.48506911</v>
      </c>
      <c r="R24" s="107"/>
      <c r="S24" s="107"/>
      <c r="T24" s="106"/>
      <c r="V24" s="43"/>
      <c r="W24" s="43"/>
    </row>
    <row r="25" ht="19" customHeight="1" spans="2:23">
      <c r="B25" s="12"/>
      <c r="C25" s="24"/>
      <c r="D25" s="25"/>
      <c r="E25" s="35"/>
      <c r="F25" s="36"/>
      <c r="G25" s="16" t="s">
        <v>10</v>
      </c>
      <c r="H25" s="38">
        <v>0.15</v>
      </c>
      <c r="I25" s="35"/>
      <c r="J25" s="36"/>
      <c r="K25" s="16" t="s">
        <v>22</v>
      </c>
      <c r="L25" s="62">
        <v>0.01</v>
      </c>
      <c r="M25" s="19"/>
      <c r="N25" s="35"/>
      <c r="O25" s="85"/>
      <c r="P25" s="86"/>
      <c r="Q25" s="86"/>
      <c r="R25" s="107"/>
      <c r="S25" s="107"/>
      <c r="T25" s="106"/>
      <c r="V25" s="43"/>
      <c r="W25" s="43"/>
    </row>
    <row r="26" ht="19" customHeight="1" spans="2:23">
      <c r="B26" s="12"/>
      <c r="C26" s="26" t="s">
        <v>20</v>
      </c>
      <c r="D26" s="26"/>
      <c r="E26" s="35"/>
      <c r="F26" s="36"/>
      <c r="G26" s="16" t="s">
        <v>32</v>
      </c>
      <c r="H26" s="47">
        <v>2.9</v>
      </c>
      <c r="I26" s="35"/>
      <c r="J26" s="36"/>
      <c r="K26" s="58" t="s">
        <v>23</v>
      </c>
      <c r="L26" s="63">
        <f>(Q23*(H25+L24+L25+L23)+H22+H23)*Q22+L22+H27+D24</f>
        <v>290.21046089</v>
      </c>
      <c r="M26" s="19"/>
      <c r="N26" s="35"/>
      <c r="O26" s="85"/>
      <c r="P26" s="87" t="s">
        <v>20</v>
      </c>
      <c r="Q26" s="86"/>
      <c r="R26" s="107"/>
      <c r="S26" s="107"/>
      <c r="T26" s="106"/>
      <c r="V26" s="43"/>
      <c r="W26" s="43"/>
    </row>
    <row r="27" ht="19" customHeight="1" spans="2:23">
      <c r="B27" s="12"/>
      <c r="C27" s="26"/>
      <c r="D27" s="26"/>
      <c r="E27" s="35"/>
      <c r="F27" s="36"/>
      <c r="G27" s="16" t="s">
        <v>17</v>
      </c>
      <c r="H27" s="48">
        <f>(H22+H26+Q23*H25*20%)*Q22*H24</f>
        <v>6.57574659</v>
      </c>
      <c r="I27" s="35"/>
      <c r="J27" s="36"/>
      <c r="K27" s="64"/>
      <c r="L27" s="65"/>
      <c r="M27" s="19"/>
      <c r="N27" s="35"/>
      <c r="O27" s="85"/>
      <c r="P27" s="87"/>
      <c r="Q27" s="86"/>
      <c r="R27" s="107"/>
      <c r="S27" s="107"/>
      <c r="T27" s="106"/>
      <c r="V27" s="43"/>
      <c r="W27" s="43"/>
    </row>
    <row r="28" ht="19" customHeight="1" spans="2:23">
      <c r="B28" s="12"/>
      <c r="C28" s="26"/>
      <c r="D28" s="26"/>
      <c r="E28" s="35"/>
      <c r="F28" s="36"/>
      <c r="G28" s="41" t="s">
        <v>33</v>
      </c>
      <c r="H28" s="49">
        <f>((H22+H23+H26)*Q22)+H27</f>
        <v>59.44114659</v>
      </c>
      <c r="I28" s="35"/>
      <c r="J28" s="36"/>
      <c r="K28" s="18"/>
      <c r="L28" s="56"/>
      <c r="M28" s="19"/>
      <c r="N28" s="35"/>
      <c r="O28" s="85"/>
      <c r="P28" s="87"/>
      <c r="Q28" s="86"/>
      <c r="R28" s="107"/>
      <c r="S28" s="107"/>
      <c r="T28" s="106"/>
      <c r="V28" s="43"/>
      <c r="W28" s="43"/>
    </row>
    <row r="29" ht="19" customHeight="1" spans="2:23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109"/>
      <c r="V29" s="43"/>
      <c r="W29" s="43"/>
    </row>
    <row r="30" ht="19" customHeight="1" spans="7:23">
      <c r="G30" s="43"/>
      <c r="H30" s="50"/>
      <c r="I30" s="43"/>
      <c r="J30" s="43"/>
      <c r="K30" s="43"/>
      <c r="L30" s="43"/>
      <c r="M30" s="43"/>
      <c r="N30" s="43"/>
      <c r="O30" s="43"/>
      <c r="P30" s="43"/>
      <c r="Q30" s="43"/>
      <c r="V30" s="43"/>
      <c r="W30" s="43"/>
    </row>
    <row r="31" ht="19" customHeight="1" spans="7:23">
      <c r="G31" s="43"/>
      <c r="H31" s="43"/>
      <c r="I31" s="43"/>
      <c r="J31" s="43"/>
      <c r="K31" s="50"/>
      <c r="L31" s="43"/>
      <c r="M31" s="43"/>
      <c r="N31" s="43"/>
      <c r="O31" s="50"/>
      <c r="P31" s="43"/>
      <c r="Q31" s="43"/>
      <c r="V31" s="43"/>
      <c r="W31" s="43"/>
    </row>
    <row r="32" ht="19" customHeight="1" spans="16:23">
      <c r="P32" s="43"/>
      <c r="Q32" s="43"/>
      <c r="V32" s="43"/>
      <c r="W32" s="43"/>
    </row>
    <row r="33" ht="19" customHeight="1" spans="16:17">
      <c r="P33" s="43"/>
      <c r="Q33" s="43"/>
    </row>
    <row r="34" ht="19" customHeight="1" spans="16:17">
      <c r="P34" s="43"/>
      <c r="Q34" s="43"/>
    </row>
    <row r="35" ht="19" customHeight="1" spans="16:17">
      <c r="P35" s="43"/>
      <c r="Q35" s="43"/>
    </row>
    <row r="36" ht="19" customHeight="1"/>
    <row r="37" ht="19" customHeight="1"/>
    <row r="38" ht="19" customHeight="1"/>
    <row r="39" ht="19" customHeight="1"/>
    <row r="40" spans="24:24">
      <c r="X40" s="111" t="s">
        <v>20</v>
      </c>
    </row>
    <row r="43" spans="3:3">
      <c r="C43" s="111" t="s">
        <v>20</v>
      </c>
    </row>
    <row r="50" spans="23:23">
      <c r="W50" s="111" t="s">
        <v>20</v>
      </c>
    </row>
  </sheetData>
  <sheetProtection password="86AE" sheet="1" objects="1"/>
  <mergeCells count="19">
    <mergeCell ref="C5:D5"/>
    <mergeCell ref="G5:H5"/>
    <mergeCell ref="K5:M5"/>
    <mergeCell ref="G17:K17"/>
    <mergeCell ref="C20:D20"/>
    <mergeCell ref="G20:H20"/>
    <mergeCell ref="K20:M20"/>
    <mergeCell ref="P20:S20"/>
    <mergeCell ref="P26:P28"/>
    <mergeCell ref="B2:F3"/>
    <mergeCell ref="G2:K3"/>
    <mergeCell ref="B17:F18"/>
    <mergeCell ref="K11:M12"/>
    <mergeCell ref="C26:D28"/>
    <mergeCell ref="P9:R14"/>
    <mergeCell ref="S4:T14"/>
    <mergeCell ref="P4:R6"/>
    <mergeCell ref="P7:R8"/>
    <mergeCell ref="P15:T16"/>
  </mergeCells>
  <hyperlinks>
    <hyperlink ref="S4:T14" r:id="rId2" display="点此查看使用教程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41512919172673901753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产品利润计算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2021-04-13T10:27:00Z</dcterms:created>
  <dcterms:modified xsi:type="dcterms:W3CDTF">2023-03-06T09:02:00Z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B6F0FD2EB3EB4CBB978C571E65DA732E</vt:lpwstr>
  </property>
  <property fmtid="{D5CDD505-2E9C-101B-9397-08002B2CF9AE}" pid="3" name="KSOProductBuildVer">
    <vt:lpwstr>2052-0.0.0.0</vt:lpwstr>
  </property>
</Properties>
</file>