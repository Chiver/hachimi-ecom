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40"/>
  </bookViews>
  <sheets>
    <sheet name="产品日报" sheetId="13" r:id="rId1"/>
    <sheet name="发货批次" sheetId="17" r:id="rId2"/>
    <sheet name="批次利润模型" sheetId="4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<sst xmlns="http://schemas.openxmlformats.org/spreadsheetml/2006/main" count="381" uniqueCount="218">
  <si>
    <t>亚马逊产品利润计算表</t>
  </si>
  <si>
    <t>产品名</t>
  </si>
  <si>
    <t>父ASIN</t>
  </si>
  <si>
    <t>子ASIN</t>
  </si>
  <si>
    <t>站点</t>
  </si>
  <si>
    <t>上架时间</t>
  </si>
  <si>
    <t>大类目</t>
  </si>
  <si>
    <t>小类目</t>
  </si>
  <si>
    <t>加权日均出单量</t>
  </si>
  <si>
    <t>广告（改父ASIN所有广告组的每天数据之和）</t>
  </si>
  <si>
    <t>全局漏斗</t>
  </si>
  <si>
    <t>排名评价</t>
  </si>
  <si>
    <t>销售额</t>
  </si>
  <si>
    <t>销量</t>
  </si>
  <si>
    <t>售价</t>
  </si>
  <si>
    <t>利润</t>
  </si>
  <si>
    <t>日期</t>
  </si>
  <si>
    <t>1KG</t>
  </si>
  <si>
    <t>2KG</t>
  </si>
  <si>
    <t>3KG</t>
  </si>
  <si>
    <t>4KG</t>
  </si>
  <si>
    <t>W1K</t>
  </si>
  <si>
    <t>W2K</t>
  </si>
  <si>
    <t>策略</t>
  </si>
  <si>
    <t>曝光量</t>
  </si>
  <si>
    <t>点击量</t>
  </si>
  <si>
    <t>CTR</t>
  </si>
  <si>
    <t>花费</t>
  </si>
  <si>
    <t>CPC</t>
  </si>
  <si>
    <t>订单</t>
  </si>
  <si>
    <t>广告转化率</t>
  </si>
  <si>
    <t>ACOS</t>
  </si>
  <si>
    <t>ROAS</t>
  </si>
  <si>
    <t>UV</t>
  </si>
  <si>
    <t>PV</t>
  </si>
  <si>
    <t>全局转化率</t>
  </si>
  <si>
    <t>广告销售额占比</t>
  </si>
  <si>
    <t>全局ACOS</t>
  </si>
  <si>
    <t>单件广告费</t>
  </si>
  <si>
    <t>小排名类</t>
  </si>
  <si>
    <t>大类排名</t>
  </si>
  <si>
    <t>评价数</t>
  </si>
  <si>
    <t>星级</t>
  </si>
  <si>
    <t>子ASIN-1</t>
  </si>
  <si>
    <t>子ASIN-2</t>
  </si>
  <si>
    <t>子ASIN-3</t>
  </si>
  <si>
    <t>子ASIN-4</t>
  </si>
  <si>
    <t>子ASIN-5</t>
  </si>
  <si>
    <t>子ASIN-6</t>
  </si>
  <si>
    <t>合计</t>
  </si>
  <si>
    <t>客单价</t>
  </si>
  <si>
    <t>调价（伦敦当地时间）/促销</t>
  </si>
  <si>
    <t>促销费用</t>
  </si>
  <si>
    <t>扣除营销</t>
  </si>
  <si>
    <t>人民币</t>
  </si>
  <si>
    <t>利润率</t>
  </si>
  <si>
    <t>单件利润</t>
  </si>
  <si>
    <t>英镑汇率</t>
  </si>
  <si>
    <t>2026.1.1</t>
  </si>
  <si>
    <t>自动</t>
  </si>
  <si>
    <t>2026.1.2</t>
  </si>
  <si>
    <t>自动（宽泛0.32，紧密0.32，关联0.32，同类0.32）</t>
  </si>
  <si>
    <t>2.9晚19点13.9改14.9</t>
  </si>
  <si>
    <t>2026.1.3</t>
  </si>
  <si>
    <t>2.10下午15点19.9改21.9</t>
  </si>
  <si>
    <t>2026.1.4</t>
  </si>
  <si>
    <t>自动（搜索顶部150%-130%，宽泛0.10，紧密0.10，关联0.10，同类0.10）</t>
  </si>
  <si>
    <t>2.11中午12点14.9改15.9</t>
  </si>
  <si>
    <t>2026.1.5</t>
  </si>
  <si>
    <t>关</t>
  </si>
  <si>
    <t>2.12下午15点15.9改16.9</t>
  </si>
  <si>
    <t>2026.1.6</t>
  </si>
  <si>
    <t>2026.1.7</t>
  </si>
  <si>
    <t>2.14下午2点25.9改23.9，16.9改15.9</t>
  </si>
  <si>
    <t>2026.1.8</t>
  </si>
  <si>
    <t>自动（搜索顶部130%-50%，宽泛0.15，紧密0.15，关联0.15，同类0.15）</t>
  </si>
  <si>
    <t>2026.1.9</t>
  </si>
  <si>
    <t>2.16上午10点15.9改16.9，21.9改22.9</t>
  </si>
  <si>
    <t>2026.1.10</t>
  </si>
  <si>
    <t>2026.1.11</t>
  </si>
  <si>
    <t>2026.1.12</t>
  </si>
  <si>
    <t>2026.1.13</t>
  </si>
  <si>
    <t>2026.1.14</t>
  </si>
  <si>
    <t>2026.1.15</t>
  </si>
  <si>
    <t>2026.1.16</t>
  </si>
  <si>
    <t>2026.1.17</t>
  </si>
  <si>
    <t>2026.1.18</t>
  </si>
  <si>
    <t>2026.1.19</t>
  </si>
  <si>
    <t>2026.1.20</t>
  </si>
  <si>
    <t>2026.1.21</t>
  </si>
  <si>
    <t>2026.1.22</t>
  </si>
  <si>
    <t>2026.1.23</t>
  </si>
  <si>
    <t>2026.1.24</t>
  </si>
  <si>
    <t>2026.1.25</t>
  </si>
  <si>
    <t>2026.1.26</t>
  </si>
  <si>
    <t>2026.1.27</t>
  </si>
  <si>
    <t>2026.1.28</t>
  </si>
  <si>
    <t>2026.1.29</t>
  </si>
  <si>
    <t>2026.1.30</t>
  </si>
  <si>
    <t>2026.1.31</t>
  </si>
  <si>
    <t>货件SKU</t>
  </si>
  <si>
    <t>箱数</t>
  </si>
  <si>
    <t>毛重</t>
  </si>
  <si>
    <t>体积</t>
  </si>
  <si>
    <t>价格试算</t>
  </si>
  <si>
    <t>批次</t>
  </si>
  <si>
    <t>货件名</t>
  </si>
  <si>
    <t>品牌</t>
  </si>
  <si>
    <t>货件编号</t>
  </si>
  <si>
    <t>目的国</t>
  </si>
  <si>
    <t>目的仓</t>
  </si>
  <si>
    <t>发货日期</t>
  </si>
  <si>
    <t>运输方式</t>
  </si>
  <si>
    <t>ASIN-1</t>
  </si>
  <si>
    <t>ASIN-2</t>
  </si>
  <si>
    <t>ASIN-3</t>
  </si>
  <si>
    <t>ASIN-4</t>
  </si>
  <si>
    <t>ASIN-5</t>
  </si>
  <si>
    <t>ASIN-6</t>
  </si>
  <si>
    <t>ASIN-7</t>
  </si>
  <si>
    <t>ASIN-8</t>
  </si>
  <si>
    <t>总件数</t>
  </si>
  <si>
    <t>重量KG</t>
  </si>
  <si>
    <t>净重</t>
  </si>
  <si>
    <t>CBM</t>
  </si>
  <si>
    <t>关税</t>
  </si>
  <si>
    <t>单价</t>
  </si>
  <si>
    <t>报价</t>
  </si>
  <si>
    <t>创建日期</t>
  </si>
  <si>
    <t>工厂发货日</t>
  </si>
  <si>
    <t>上架日期</t>
  </si>
  <si>
    <t>IEN</t>
  </si>
  <si>
    <t>货代</t>
  </si>
  <si>
    <t>国内物流</t>
  </si>
  <si>
    <t>跨国物流</t>
  </si>
  <si>
    <t>起运港</t>
  </si>
  <si>
    <t>目的港</t>
  </si>
  <si>
    <t>船名</t>
  </si>
  <si>
    <t>FBA (31/10/2020, 05:42) - 1</t>
  </si>
  <si>
    <t>FBA15XXXXXXX</t>
  </si>
  <si>
    <t>英国</t>
  </si>
  <si>
    <t>BHX4</t>
  </si>
  <si>
    <t>海卡</t>
  </si>
  <si>
    <t>14.4kg</t>
  </si>
  <si>
    <t>16.4kg</t>
  </si>
  <si>
    <t>15.4kg</t>
  </si>
  <si>
    <t>18.5kg</t>
  </si>
  <si>
    <t>14.6kg</t>
  </si>
  <si>
    <t>16.6kg</t>
  </si>
  <si>
    <t>8.21kg</t>
  </si>
  <si>
    <t>236.41英镑</t>
  </si>
  <si>
    <t>1400/CBM</t>
  </si>
  <si>
    <t>XXX</t>
  </si>
  <si>
    <t>厦门XX</t>
  </si>
  <si>
    <t>中铁快运</t>
  </si>
  <si>
    <t>海运拼箱</t>
  </si>
  <si>
    <t>宁波</t>
  </si>
  <si>
    <t>FELIXSTOWE</t>
  </si>
  <si>
    <t>EVER GREET（长荣海运）</t>
  </si>
  <si>
    <t>FBA (17/02/2021, 11:13) - k-1-200</t>
  </si>
  <si>
    <t>空派</t>
  </si>
  <si>
    <t>43/KG</t>
  </si>
  <si>
    <t>英国利润模型</t>
  </si>
  <si>
    <t>数量</t>
  </si>
  <si>
    <t>汇率</t>
  </si>
  <si>
    <t>出厂价</t>
  </si>
  <si>
    <t>国内运费RMB</t>
  </si>
  <si>
    <t>国际运费RMB</t>
  </si>
  <si>
    <t>关税RMB</t>
  </si>
  <si>
    <t>净重占比</t>
  </si>
  <si>
    <t>单件物流RMB</t>
  </si>
  <si>
    <t>单价到仓RMB</t>
  </si>
  <si>
    <t>单件到仓外币</t>
  </si>
  <si>
    <t>佣金 15.3%</t>
  </si>
  <si>
    <t>配送费</t>
  </si>
  <si>
    <t>仓储费</t>
  </si>
  <si>
    <t>售价
（含税）</t>
  </si>
  <si>
    <t>实际单件VAT</t>
  </si>
  <si>
    <t>单件利润率</t>
  </si>
  <si>
    <t>85折售价</t>
  </si>
  <si>
    <t>85折VAT+佣金</t>
  </si>
  <si>
    <t>85折利润</t>
  </si>
  <si>
    <t>85折利润率</t>
  </si>
  <si>
    <t>4月英国xxx</t>
  </si>
  <si>
    <t>FBA1xxxxx</t>
  </si>
  <si>
    <t>FBA-xxxx</t>
  </si>
  <si>
    <t>产品变体</t>
  </si>
  <si>
    <t>FBA15xxxxxx</t>
  </si>
  <si>
    <t>FBA-2022xxxxx</t>
  </si>
  <si>
    <t>沙袋1KG</t>
  </si>
  <si>
    <t>泛欧利润模型</t>
  </si>
  <si>
    <t>DE</t>
  </si>
  <si>
    <t>FR</t>
  </si>
  <si>
    <t>IT</t>
  </si>
  <si>
    <t>ES</t>
  </si>
  <si>
    <t>NL</t>
  </si>
  <si>
    <t>SE</t>
  </si>
  <si>
    <t>PL</t>
  </si>
  <si>
    <t>佣金 15%</t>
  </si>
  <si>
    <t>VAT(19%)</t>
  </si>
  <si>
    <t>佣金 15.5%</t>
  </si>
  <si>
    <t>VAT(20%)</t>
  </si>
  <si>
    <t>VAT(22%)</t>
  </si>
  <si>
    <t>VAT(21%)</t>
  </si>
  <si>
    <t>EUR/SEK</t>
  </si>
  <si>
    <t>合计SEK</t>
  </si>
  <si>
    <t>单件成本SEK</t>
  </si>
  <si>
    <t>VAT(25%)</t>
  </si>
  <si>
    <t>EUR/PLN</t>
  </si>
  <si>
    <t>佣金 10%</t>
  </si>
  <si>
    <t>合计PLN</t>
  </si>
  <si>
    <t>单件成本PLN</t>
  </si>
  <si>
    <t>VAT(23%)</t>
  </si>
  <si>
    <t>3、4月德国</t>
  </si>
  <si>
    <t>FBA15xxxxx</t>
  </si>
  <si>
    <t>美国利润模型</t>
  </si>
  <si>
    <t>85折佣金</t>
  </si>
  <si>
    <t>4月美国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</si>
</sst>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"/>
    <numFmt numFmtId="178" formatCode="0.0000"/>
    <numFmt numFmtId="179" formatCode="[$-F800]dddd\,\ mmmm\ dd\,\ yyyy"/>
    <numFmt numFmtId="180" formatCode="0.0"/>
    <numFmt numFmtId="181" formatCode="yyyy/m/d;@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26"/>
      <color rgb="FFFFFFFF"/>
      <name val="等线"/>
      <charset val="134"/>
      <scheme val="minor"/>
    </font>
    <font>
      <b/>
      <sz val="26"/>
      <color rgb="FFFFFFFF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  <scheme val="minor"/>
    </font>
    <font>
      <sz val="11"/>
      <color indexed="8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FDBF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19" applyNumberFormat="0" applyAlignment="0" applyProtection="0">
      <alignment vertical="center"/>
    </xf>
    <xf numFmtId="0" fontId="14" fillId="15" borderId="20" applyNumberFormat="0" applyAlignment="0" applyProtection="0">
      <alignment vertical="center"/>
    </xf>
    <xf numFmtId="0" fontId="15" fillId="15" borderId="19" applyNumberFormat="0" applyAlignment="0" applyProtection="0">
      <alignment vertical="center"/>
    </xf>
    <xf numFmtId="0" fontId="16" fillId="16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5" fillId="0" borderId="0">
      <alignment vertical="center"/>
    </xf>
  </cellStyleXfs>
  <cellXfs count="1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/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2" fontId="0" fillId="2" borderId="1" xfId="0" applyNumberFormat="1" applyFill="1" applyBorder="1">
      <alignment vertical="center"/>
    </xf>
    <xf numFmtId="10" fontId="0" fillId="2" borderId="1" xfId="3" applyNumberFormat="1" applyFont="1" applyFill="1" applyBorder="1">
      <alignment vertical="center"/>
    </xf>
    <xf numFmtId="176" fontId="0" fillId="2" borderId="1" xfId="0" applyNumberFormat="1" applyFill="1" applyBorder="1">
      <alignment vertical="center"/>
    </xf>
    <xf numFmtId="0" fontId="1" fillId="2" borderId="1" xfId="0" applyFont="1" applyFill="1" applyBorder="1">
      <alignment vertical="center"/>
    </xf>
    <xf numFmtId="10" fontId="1" fillId="2" borderId="1" xfId="3" applyNumberFormat="1" applyFont="1" applyFill="1" applyBorder="1">
      <alignment vertical="center"/>
    </xf>
    <xf numFmtId="0" fontId="0" fillId="0" borderId="0" xfId="0" applyFill="1" applyBorder="1">
      <alignment vertical="center"/>
    </xf>
    <xf numFmtId="0" fontId="0" fillId="5" borderId="1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0" fillId="3" borderId="1" xfId="0" applyFill="1" applyBorder="1">
      <alignment vertical="center"/>
    </xf>
    <xf numFmtId="2" fontId="0" fillId="3" borderId="1" xfId="0" applyNumberFormat="1" applyFill="1" applyBorder="1">
      <alignment vertical="center"/>
    </xf>
    <xf numFmtId="10" fontId="0" fillId="3" borderId="1" xfId="3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10" fontId="1" fillId="3" borderId="1" xfId="3" applyNumberFormat="1" applyFont="1" applyFill="1" applyBorder="1">
      <alignment vertical="center"/>
    </xf>
    <xf numFmtId="177" fontId="0" fillId="3" borderId="1" xfId="0" applyNumberFormat="1" applyFill="1" applyBorder="1">
      <alignment vertical="center"/>
    </xf>
    <xf numFmtId="2" fontId="0" fillId="3" borderId="1" xfId="0" applyNumberFormat="1" applyFont="1" applyFill="1" applyBorder="1">
      <alignment vertical="center"/>
    </xf>
    <xf numFmtId="176" fontId="0" fillId="3" borderId="1" xfId="0" applyNumberFormat="1" applyFont="1" applyFill="1" applyBorder="1">
      <alignment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5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7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178" fontId="0" fillId="0" borderId="1" xfId="0" applyNumberFormat="1" applyFill="1" applyBorder="1">
      <alignment vertical="center"/>
    </xf>
    <xf numFmtId="178" fontId="0" fillId="0" borderId="1" xfId="0" applyNumberFormat="1" applyBorder="1">
      <alignment vertical="center"/>
    </xf>
    <xf numFmtId="179" fontId="0" fillId="0" borderId="1" xfId="0" applyNumberFormat="1" applyBorder="1">
      <alignment vertical="center"/>
    </xf>
    <xf numFmtId="31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58" fontId="0" fillId="0" borderId="1" xfId="0" applyNumberFormat="1" applyFill="1" applyBorder="1">
      <alignment vertical="center"/>
    </xf>
    <xf numFmtId="179" fontId="0" fillId="0" borderId="1" xfId="0" applyNumberFormat="1" applyFill="1" applyBorder="1">
      <alignment vertical="center"/>
    </xf>
    <xf numFmtId="180" fontId="0" fillId="0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0" fontId="2" fillId="9" borderId="2" xfId="0" applyFont="1" applyFill="1" applyBorder="1" applyAlignment="1">
      <alignment horizontal="left" vertical="center"/>
    </xf>
    <xf numFmtId="0" fontId="0" fillId="5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0" borderId="3" xfId="0" applyBorder="1">
      <alignment vertical="center"/>
    </xf>
    <xf numFmtId="0" fontId="3" fillId="9" borderId="2" xfId="0" applyFont="1" applyFill="1" applyBorder="1" applyAlignment="1">
      <alignment horizontal="left" vertical="center"/>
    </xf>
    <xf numFmtId="0" fontId="0" fillId="6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 applyBorder="1">
      <alignment vertical="center"/>
    </xf>
    <xf numFmtId="0" fontId="0" fillId="12" borderId="0" xfId="0" applyFill="1">
      <alignment vertical="center"/>
    </xf>
    <xf numFmtId="0" fontId="0" fillId="0" borderId="4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6" borderId="5" xfId="0" applyFill="1" applyBorder="1">
      <alignment vertical="center"/>
    </xf>
    <xf numFmtId="0" fontId="0" fillId="6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0" borderId="4" xfId="0" applyFill="1" applyBorder="1">
      <alignment vertical="center"/>
    </xf>
    <xf numFmtId="0" fontId="0" fillId="10" borderId="5" xfId="0" applyFill="1" applyBorder="1">
      <alignment vertical="center"/>
    </xf>
    <xf numFmtId="0" fontId="0" fillId="11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6" xfId="0" applyFill="1" applyBorder="1">
      <alignment vertical="center"/>
    </xf>
    <xf numFmtId="0" fontId="0" fillId="12" borderId="2" xfId="0" applyFill="1" applyBorder="1">
      <alignment vertical="center"/>
    </xf>
    <xf numFmtId="181" fontId="4" fillId="0" borderId="4" xfId="0" applyNumberFormat="1" applyFont="1" applyBorder="1">
      <alignment vertical="center"/>
    </xf>
    <xf numFmtId="0" fontId="0" fillId="0" borderId="1" xfId="0" applyNumberFormat="1" applyBorder="1">
      <alignment vertical="center"/>
    </xf>
    <xf numFmtId="0" fontId="0" fillId="0" borderId="3" xfId="0" applyNumberFormat="1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10" fontId="0" fillId="0" borderId="2" xfId="3" applyNumberFormat="1" applyFont="1" applyBorder="1">
      <alignment vertical="center"/>
    </xf>
    <xf numFmtId="0" fontId="0" fillId="0" borderId="2" xfId="3" applyNumberFormat="1" applyFont="1" applyBorder="1">
      <alignment vertical="center"/>
    </xf>
    <xf numFmtId="10" fontId="0" fillId="0" borderId="2" xfId="0" applyNumberFormat="1" applyFill="1" applyBorder="1">
      <alignment vertical="center"/>
    </xf>
    <xf numFmtId="10" fontId="0" fillId="0" borderId="2" xfId="0" applyNumberFormat="1" applyBorder="1">
      <alignment vertical="center"/>
    </xf>
    <xf numFmtId="2" fontId="0" fillId="0" borderId="2" xfId="0" applyNumberFormat="1" applyFill="1" applyBorder="1">
      <alignment vertical="center"/>
    </xf>
    <xf numFmtId="0" fontId="0" fillId="0" borderId="4" xfId="0" applyBorder="1">
      <alignment vertical="center"/>
    </xf>
    <xf numFmtId="10" fontId="0" fillId="0" borderId="5" xfId="0" applyNumberFormat="1" applyBorder="1">
      <alignment vertical="center"/>
    </xf>
    <xf numFmtId="2" fontId="0" fillId="0" borderId="2" xfId="0" applyNumberFormat="1" applyBorder="1">
      <alignment vertical="center"/>
    </xf>
    <xf numFmtId="0" fontId="0" fillId="5" borderId="1" xfId="0" applyNumberFormat="1" applyFill="1" applyBorder="1">
      <alignment vertical="center"/>
    </xf>
    <xf numFmtId="0" fontId="0" fillId="5" borderId="3" xfId="0" applyNumberFormat="1" applyFill="1" applyBorder="1">
      <alignment vertical="center"/>
    </xf>
    <xf numFmtId="0" fontId="0" fillId="5" borderId="5" xfId="0" applyFill="1" applyBorder="1">
      <alignment vertical="center"/>
    </xf>
    <xf numFmtId="10" fontId="0" fillId="5" borderId="2" xfId="3" applyNumberFormat="1" applyFont="1" applyFill="1" applyBorder="1">
      <alignment vertical="center"/>
    </xf>
    <xf numFmtId="10" fontId="0" fillId="5" borderId="2" xfId="0" applyNumberFormat="1" applyFill="1" applyBorder="1">
      <alignment vertical="center"/>
    </xf>
    <xf numFmtId="2" fontId="0" fillId="5" borderId="2" xfId="0" applyNumberFormat="1" applyFill="1" applyBorder="1">
      <alignment vertical="center"/>
    </xf>
    <xf numFmtId="0" fontId="0" fillId="5" borderId="4" xfId="0" applyFill="1" applyBorder="1">
      <alignment vertical="center"/>
    </xf>
    <xf numFmtId="10" fontId="0" fillId="5" borderId="5" xfId="0" applyNumberFormat="1" applyFill="1" applyBorder="1">
      <alignment vertical="center"/>
    </xf>
    <xf numFmtId="0" fontId="0" fillId="5" borderId="5" xfId="0" applyNumberFormat="1" applyFill="1" applyBorder="1">
      <alignment vertical="center"/>
    </xf>
    <xf numFmtId="0" fontId="0" fillId="0" borderId="6" xfId="0" applyBorder="1">
      <alignment vertical="center"/>
    </xf>
    <xf numFmtId="2" fontId="0" fillId="0" borderId="5" xfId="0" applyNumberFormat="1" applyBorder="1">
      <alignment vertical="center"/>
    </xf>
    <xf numFmtId="2" fontId="0" fillId="5" borderId="1" xfId="0" applyNumberFormat="1" applyFill="1" applyBorder="1">
      <alignment vertical="center"/>
    </xf>
    <xf numFmtId="2" fontId="0" fillId="5" borderId="5" xfId="0" applyNumberFormat="1" applyFill="1" applyBorder="1">
      <alignment vertical="center"/>
    </xf>
    <xf numFmtId="2" fontId="0" fillId="0" borderId="1" xfId="0" applyNumberFormat="1" applyBorder="1">
      <alignment vertical="center"/>
    </xf>
    <xf numFmtId="2" fontId="0" fillId="0" borderId="1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5" xfId="0" applyFill="1" applyBorder="1">
      <alignment vertical="center"/>
    </xf>
    <xf numFmtId="10" fontId="0" fillId="0" borderId="2" xfId="3" applyNumberFormat="1" applyFont="1" applyFill="1" applyBorder="1">
      <alignment vertical="center"/>
    </xf>
    <xf numFmtId="0" fontId="0" fillId="0" borderId="4" xfId="0" applyFill="1" applyBorder="1">
      <alignment vertical="center"/>
    </xf>
    <xf numFmtId="10" fontId="0" fillId="0" borderId="5" xfId="0" applyNumberFormat="1" applyFill="1" applyBorder="1">
      <alignment vertical="center"/>
    </xf>
    <xf numFmtId="2" fontId="0" fillId="0" borderId="5" xfId="0" applyNumberFormat="1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8" xfId="0" applyFill="1" applyBorder="1">
      <alignment vertical="center"/>
    </xf>
    <xf numFmtId="10" fontId="0" fillId="0" borderId="6" xfId="3" applyNumberFormat="1" applyFont="1" applyFill="1" applyBorder="1">
      <alignment vertical="center"/>
    </xf>
    <xf numFmtId="10" fontId="0" fillId="0" borderId="6" xfId="0" applyNumberFormat="1" applyFill="1" applyBorder="1">
      <alignment vertical="center"/>
    </xf>
    <xf numFmtId="2" fontId="0" fillId="0" borderId="6" xfId="0" applyNumberFormat="1" applyFill="1" applyBorder="1">
      <alignment vertical="center"/>
    </xf>
    <xf numFmtId="10" fontId="0" fillId="0" borderId="9" xfId="0" applyNumberFormat="1" applyFill="1" applyBorder="1">
      <alignment vertical="center"/>
    </xf>
    <xf numFmtId="0" fontId="0" fillId="0" borderId="9" xfId="0" applyFill="1" applyBorder="1">
      <alignment vertical="center"/>
    </xf>
    <xf numFmtId="2" fontId="0" fillId="0" borderId="9" xfId="0" applyNumberFormat="1" applyFill="1" applyBorder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1" xfId="0" applyFill="1" applyBorder="1" applyAlignment="1">
      <alignment vertical="center"/>
    </xf>
    <xf numFmtId="2" fontId="1" fillId="0" borderId="1" xfId="0" applyNumberFormat="1" applyFont="1" applyFill="1" applyBorder="1">
      <alignment vertical="center"/>
    </xf>
    <xf numFmtId="0" fontId="1" fillId="0" borderId="3" xfId="0" applyNumberFormat="1" applyFont="1" applyFill="1" applyBorder="1">
      <alignment vertical="center"/>
    </xf>
    <xf numFmtId="0" fontId="1" fillId="0" borderId="1" xfId="0" applyNumberFormat="1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1" xfId="0" applyFont="1" applyFill="1" applyBorder="1">
      <alignment vertical="center"/>
    </xf>
    <xf numFmtId="10" fontId="1" fillId="0" borderId="6" xfId="3" applyNumberFormat="1" applyFont="1" applyFill="1" applyBorder="1">
      <alignment vertical="center"/>
    </xf>
    <xf numFmtId="10" fontId="1" fillId="0" borderId="6" xfId="0" applyNumberFormat="1" applyFont="1" applyFill="1" applyBorder="1">
      <alignment vertical="center"/>
    </xf>
    <xf numFmtId="0" fontId="1" fillId="0" borderId="3" xfId="0" applyFont="1" applyFill="1" applyBorder="1">
      <alignment vertical="center"/>
    </xf>
    <xf numFmtId="10" fontId="1" fillId="0" borderId="9" xfId="0" applyNumberFormat="1" applyFont="1" applyFill="1" applyBorder="1">
      <alignment vertical="center"/>
    </xf>
    <xf numFmtId="2" fontId="1" fillId="0" borderId="6" xfId="0" applyNumberFormat="1" applyFont="1" applyFill="1" applyBorder="1">
      <alignment vertical="center"/>
    </xf>
    <xf numFmtId="2" fontId="1" fillId="0" borderId="9" xfId="0" applyNumberFormat="1" applyFont="1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9" xfId="0" applyFont="1" applyFill="1" applyBorder="1">
      <alignment vertical="center"/>
    </xf>
    <xf numFmtId="0" fontId="1" fillId="0" borderId="2" xfId="0" applyFont="1" applyFill="1" applyBorder="1">
      <alignment vertical="center"/>
    </xf>
    <xf numFmtId="2" fontId="1" fillId="0" borderId="2" xfId="0" applyNumberFormat="1" applyFont="1" applyFill="1" applyBorder="1">
      <alignment vertical="center"/>
    </xf>
    <xf numFmtId="0" fontId="0" fillId="0" borderId="12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14" xfId="0" applyFill="1" applyBorder="1">
      <alignment vertical="center"/>
    </xf>
    <xf numFmtId="10" fontId="0" fillId="0" borderId="13" xfId="3" applyNumberFormat="1" applyFont="1" applyFill="1" applyBorder="1">
      <alignment vertical="center"/>
    </xf>
    <xf numFmtId="2" fontId="0" fillId="0" borderId="13" xfId="0" applyNumberFormat="1" applyFill="1" applyBorder="1">
      <alignment vertical="center"/>
    </xf>
    <xf numFmtId="10" fontId="0" fillId="0" borderId="1" xfId="3" applyNumberFormat="1" applyFont="1" applyFill="1" applyBorder="1">
      <alignment vertical="center"/>
    </xf>
    <xf numFmtId="0" fontId="1" fillId="0" borderId="13" xfId="0" applyFont="1" applyFill="1" applyBorder="1">
      <alignment vertical="center"/>
    </xf>
    <xf numFmtId="0" fontId="1" fillId="0" borderId="14" xfId="0" applyFont="1" applyFill="1" applyBorder="1">
      <alignment vertical="center"/>
    </xf>
    <xf numFmtId="10" fontId="1" fillId="0" borderId="1" xfId="3" applyNumberFormat="1" applyFont="1" applyFill="1" applyBorder="1">
      <alignment vertical="center"/>
    </xf>
    <xf numFmtId="2" fontId="0" fillId="0" borderId="1" xfId="0" applyNumberFormat="1" applyFont="1" applyFill="1" applyBorder="1">
      <alignment vertical="center"/>
    </xf>
    <xf numFmtId="0" fontId="0" fillId="0" borderId="3" xfId="0" applyNumberFormat="1" applyFont="1" applyFill="1" applyBorder="1">
      <alignment vertical="center"/>
    </xf>
    <xf numFmtId="0" fontId="0" fillId="0" borderId="1" xfId="0" applyNumberFormat="1" applyFont="1" applyFill="1" applyBorder="1">
      <alignment vertical="center"/>
    </xf>
    <xf numFmtId="0" fontId="0" fillId="0" borderId="11" xfId="0" applyFont="1" applyFill="1" applyBorder="1">
      <alignment vertical="center"/>
    </xf>
    <xf numFmtId="0" fontId="0" fillId="0" borderId="1" xfId="0" applyFont="1" applyFill="1" applyBorder="1">
      <alignment vertical="center"/>
    </xf>
    <xf numFmtId="10" fontId="0" fillId="0" borderId="6" xfId="0" applyNumberFormat="1" applyFont="1" applyFill="1" applyBorder="1">
      <alignment vertical="center"/>
    </xf>
    <xf numFmtId="0" fontId="0" fillId="0" borderId="3" xfId="0" applyFont="1" applyFill="1" applyBorder="1">
      <alignment vertical="center"/>
    </xf>
    <xf numFmtId="10" fontId="0" fillId="0" borderId="9" xfId="0" applyNumberFormat="1" applyFont="1" applyFill="1" applyBorder="1">
      <alignment vertical="center"/>
    </xf>
    <xf numFmtId="2" fontId="0" fillId="0" borderId="6" xfId="0" applyNumberFormat="1" applyFont="1" applyFill="1" applyBorder="1">
      <alignment vertical="center"/>
    </xf>
    <xf numFmtId="2" fontId="0" fillId="0" borderId="9" xfId="0" applyNumberFormat="1" applyFont="1" applyFill="1" applyBorder="1">
      <alignment vertical="center"/>
    </xf>
    <xf numFmtId="0" fontId="0" fillId="0" borderId="10" xfId="0" applyFont="1" applyFill="1" applyBorder="1">
      <alignment vertical="center"/>
    </xf>
    <xf numFmtId="0" fontId="0" fillId="0" borderId="13" xfId="0" applyFont="1" applyFill="1" applyBorder="1">
      <alignment vertical="center"/>
    </xf>
    <xf numFmtId="2" fontId="0" fillId="0" borderId="2" xfId="0" applyNumberFormat="1" applyFont="1" applyFill="1" applyBorder="1">
      <alignment vertical="center"/>
    </xf>
    <xf numFmtId="2" fontId="0" fillId="0" borderId="3" xfId="0" applyNumberFormat="1" applyFill="1" applyBorder="1">
      <alignment vertical="center"/>
    </xf>
    <xf numFmtId="2" fontId="1" fillId="0" borderId="3" xfId="0" applyNumberFormat="1" applyFont="1" applyFill="1" applyBorder="1">
      <alignment vertical="center"/>
    </xf>
    <xf numFmtId="0" fontId="1" fillId="0" borderId="15" xfId="0" applyFont="1" applyFill="1" applyBorder="1">
      <alignment vertical="center"/>
    </xf>
    <xf numFmtId="2" fontId="0" fillId="0" borderId="3" xfId="0" applyNumberFormat="1" applyFont="1" applyFill="1" applyBorder="1">
      <alignment vertical="center"/>
    </xf>
    <xf numFmtId="0" fontId="0" fillId="0" borderId="15" xfId="0" applyFill="1" applyBorder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/>
    <cellStyle name="百分比 2" xfId="50"/>
    <cellStyle name="常规 2" xfId="51"/>
    <cellStyle name="常规 3" xfId="52"/>
    <cellStyle name="常规 4" xfId="53"/>
  </cellStyles>
  <tableStyles count="0" defaultTableStyle="TableStyleMedium2" defaultPivotStyle="PivotStyleLight16"/>
  <colors>
    <mruColors>
      <color rgb="00BFB7E3"/>
      <color rgb="00A79CD8"/>
      <color rgb="00DFDBF1"/>
      <color rgb="00C2BAE4"/>
      <color rgb="00F4CDFF"/>
      <color rgb="00CCCCFF"/>
      <color rgb="0081BB59"/>
      <color rgb="00C8F1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54" dbFileVersion="0">
    <open main="58" threadCnt="1"/>
    <sheetInfos>
      <sheetInfo cellCmpFml="28" sheetStid="13">
        <open main="16" threadCnt="1"/>
      </sheetInfo>
      <sheetInfo cellCmpFml="30" sheetStid="17">
        <open main="1" threadCnt="1"/>
      </sheetInfo>
      <sheetInfo cellCmpFml="196" sheetStid="41">
        <open main="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2"/>
  <sheetViews>
    <sheetView tabSelected="1" workbookViewId="0">
      <pane xSplit="1" ySplit="5" topLeftCell="B5" activePane="bottomRight" state="frozen"/>
      <selection/>
      <selection pane="topRight"/>
      <selection pane="bottomLeft"/>
      <selection pane="bottomRight" activeCell="P25" sqref="P25"/>
    </sheetView>
  </sheetViews>
  <sheetFormatPr defaultColWidth="9" defaultRowHeight="14.25"/>
  <cols>
    <col min="1" max="1" width="9.5" customWidth="1"/>
    <col min="2" max="4" width="5.25" style="37" customWidth="1"/>
    <col min="5" max="5" width="5.25" style="52" customWidth="1"/>
    <col min="6" max="7" width="5.25" style="37" customWidth="1"/>
    <col min="8" max="8" width="9" customWidth="1"/>
    <col min="9" max="9" width="6.75" customWidth="1"/>
    <col min="10" max="10" width="6.375" customWidth="1"/>
    <col min="11" max="11" width="6.25" customWidth="1"/>
    <col min="12" max="12" width="6.75" customWidth="1"/>
    <col min="13" max="14" width="4.75" customWidth="1"/>
    <col min="15" max="15" width="6.875" customWidth="1"/>
    <col min="16" max="16" width="9.875" customWidth="1"/>
    <col min="17" max="17" width="7.625" customWidth="1"/>
    <col min="18" max="18" width="5.25" customWidth="1"/>
    <col min="19" max="19" width="5" customWidth="1"/>
    <col min="20" max="20" width="4.5" customWidth="1"/>
    <col min="21" max="21" width="10" customWidth="1"/>
    <col min="22" max="22" width="14.375" customWidth="1"/>
    <col min="23" max="23" width="9.25" customWidth="1"/>
    <col min="24" max="24" width="9.625" customWidth="1"/>
    <col min="25" max="26" width="8" customWidth="1"/>
    <col min="27" max="27" width="6" customWidth="1"/>
    <col min="28" max="28" width="4.25" customWidth="1"/>
    <col min="29" max="34" width="8.625" customWidth="1"/>
    <col min="35" max="35" width="7.375" customWidth="1"/>
    <col min="36" max="36" width="5.875" customWidth="1"/>
    <col min="37" max="42" width="9" customWidth="1"/>
    <col min="43" max="43" width="5.25" customWidth="1"/>
    <col min="44" max="49" width="8.75" customWidth="1"/>
    <col min="50" max="50" width="25" customWidth="1"/>
    <col min="51" max="51" width="7.625" customWidth="1"/>
    <col min="52" max="57" width="8.75" customWidth="1"/>
    <col min="58" max="58" width="6.25" customWidth="1"/>
    <col min="59" max="59" width="8.25" customWidth="1"/>
    <col min="60" max="60" width="9.625" customWidth="1"/>
    <col min="61" max="61" width="7" customWidth="1"/>
    <col min="62" max="62" width="8.25" customWidth="1"/>
  </cols>
  <sheetData>
    <row r="1" s="48" customFormat="1" ht="43.5" customHeight="1" spans="1:63">
      <c r="A1" s="53" t="s">
        <v>0</v>
      </c>
    </row>
    <row r="2" spans="1:63">
      <c r="A2" t="s">
        <v>1</v>
      </c>
      <c r="B2" s="29"/>
      <c r="C2" s="29"/>
      <c r="D2" s="29" t="s">
        <v>2</v>
      </c>
      <c r="E2" s="29"/>
      <c r="F2" s="29"/>
      <c r="G2" s="29"/>
      <c r="H2" s="29" t="s">
        <v>3</v>
      </c>
      <c r="I2" s="29"/>
      <c r="J2" s="29"/>
      <c r="K2" s="29"/>
    </row>
    <row r="3" spans="1:63">
      <c r="A3" t="s">
        <v>4</v>
      </c>
      <c r="B3" s="29"/>
      <c r="C3" s="29"/>
      <c r="D3" s="29" t="s">
        <v>5</v>
      </c>
      <c r="E3" s="29"/>
      <c r="F3" s="29"/>
      <c r="G3" s="29"/>
      <c r="H3" s="29" t="s">
        <v>6</v>
      </c>
      <c r="I3" s="29"/>
      <c r="J3" s="29"/>
      <c r="K3" s="29" t="s">
        <v>7</v>
      </c>
    </row>
    <row r="4" spans="1:63">
      <c r="A4" s="29"/>
      <c r="B4" s="30" t="s">
        <v>8</v>
      </c>
      <c r="C4" s="30"/>
      <c r="D4" s="30"/>
      <c r="E4" s="30"/>
      <c r="F4" s="30"/>
      <c r="G4" s="30"/>
      <c r="H4" s="54" t="s">
        <v>9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5" t="s">
        <v>10</v>
      </c>
      <c r="T4" s="55"/>
      <c r="U4" s="55"/>
      <c r="V4" s="55"/>
      <c r="W4" s="55"/>
      <c r="X4" s="55"/>
      <c r="Y4" s="56" t="s">
        <v>11</v>
      </c>
      <c r="Z4" s="56"/>
      <c r="AA4" s="56"/>
      <c r="AB4" s="56"/>
      <c r="AC4" s="32" t="s">
        <v>12</v>
      </c>
      <c r="AD4" s="32"/>
      <c r="AE4" s="32"/>
      <c r="AF4" s="32"/>
      <c r="AG4" s="32"/>
      <c r="AH4" s="32"/>
      <c r="AI4" s="32"/>
      <c r="AJ4" s="32"/>
      <c r="AK4" s="31" t="s">
        <v>13</v>
      </c>
      <c r="AL4" s="31"/>
      <c r="AM4" s="31"/>
      <c r="AN4" s="31"/>
      <c r="AO4" s="31"/>
      <c r="AP4" s="31"/>
      <c r="AQ4" s="31"/>
      <c r="AR4" s="33" t="s">
        <v>14</v>
      </c>
      <c r="AS4" s="33"/>
      <c r="AT4" s="33"/>
      <c r="AU4" s="33"/>
      <c r="AV4" s="33"/>
      <c r="AW4" s="33"/>
      <c r="AX4" s="33"/>
      <c r="AY4" s="33"/>
      <c r="AZ4" s="57" t="s">
        <v>15</v>
      </c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</row>
    <row r="5" spans="1:63">
      <c r="A5" s="58" t="s">
        <v>16</v>
      </c>
      <c r="B5" s="59" t="s">
        <v>17</v>
      </c>
      <c r="C5" s="59" t="s">
        <v>18</v>
      </c>
      <c r="D5" s="59" t="s">
        <v>19</v>
      </c>
      <c r="E5" s="60" t="s">
        <v>20</v>
      </c>
      <c r="F5" s="59" t="s">
        <v>21</v>
      </c>
      <c r="G5" s="59" t="s">
        <v>22</v>
      </c>
      <c r="H5" s="61" t="s">
        <v>23</v>
      </c>
      <c r="I5" s="62" t="s">
        <v>24</v>
      </c>
      <c r="J5" s="62" t="s">
        <v>25</v>
      </c>
      <c r="K5" s="62" t="s">
        <v>26</v>
      </c>
      <c r="L5" s="62" t="s">
        <v>27</v>
      </c>
      <c r="M5" s="62" t="s">
        <v>28</v>
      </c>
      <c r="N5" s="62" t="s">
        <v>29</v>
      </c>
      <c r="O5" s="62" t="s">
        <v>12</v>
      </c>
      <c r="P5" s="62" t="s">
        <v>30</v>
      </c>
      <c r="Q5" s="62" t="s">
        <v>31</v>
      </c>
      <c r="R5" s="62" t="s">
        <v>32</v>
      </c>
      <c r="S5" s="63" t="s">
        <v>33</v>
      </c>
      <c r="T5" s="64" t="s">
        <v>34</v>
      </c>
      <c r="U5" s="65" t="s">
        <v>35</v>
      </c>
      <c r="V5" s="63" t="s">
        <v>36</v>
      </c>
      <c r="W5" s="63" t="s">
        <v>37</v>
      </c>
      <c r="X5" s="63" t="s">
        <v>38</v>
      </c>
      <c r="Y5" s="66" t="s">
        <v>39</v>
      </c>
      <c r="Z5" s="66" t="s">
        <v>40</v>
      </c>
      <c r="AA5" s="66" t="s">
        <v>41</v>
      </c>
      <c r="AB5" s="66" t="s">
        <v>42</v>
      </c>
      <c r="AC5" s="67" t="s">
        <v>43</v>
      </c>
      <c r="AD5" s="67" t="s">
        <v>44</v>
      </c>
      <c r="AE5" s="67" t="s">
        <v>45</v>
      </c>
      <c r="AF5" s="67" t="s">
        <v>46</v>
      </c>
      <c r="AG5" s="67" t="s">
        <v>47</v>
      </c>
      <c r="AH5" s="67" t="s">
        <v>48</v>
      </c>
      <c r="AI5" s="67" t="s">
        <v>49</v>
      </c>
      <c r="AJ5" s="67" t="s">
        <v>50</v>
      </c>
      <c r="AK5" s="68" t="s">
        <v>43</v>
      </c>
      <c r="AL5" s="69" t="s">
        <v>44</v>
      </c>
      <c r="AM5" s="69" t="s">
        <v>45</v>
      </c>
      <c r="AN5" s="69" t="s">
        <v>46</v>
      </c>
      <c r="AO5" s="69" t="s">
        <v>47</v>
      </c>
      <c r="AP5" s="69" t="s">
        <v>48</v>
      </c>
      <c r="AQ5" s="69" t="s">
        <v>49</v>
      </c>
      <c r="AR5" s="70" t="s">
        <v>43</v>
      </c>
      <c r="AS5" s="70" t="s">
        <v>44</v>
      </c>
      <c r="AT5" s="70" t="s">
        <v>45</v>
      </c>
      <c r="AU5" s="70" t="s">
        <v>46</v>
      </c>
      <c r="AV5" s="71" t="s">
        <v>47</v>
      </c>
      <c r="AW5" s="71" t="s">
        <v>48</v>
      </c>
      <c r="AX5" s="70" t="s">
        <v>51</v>
      </c>
      <c r="AY5" s="70" t="s">
        <v>52</v>
      </c>
      <c r="AZ5" s="70" t="s">
        <v>43</v>
      </c>
      <c r="BA5" s="70" t="s">
        <v>44</v>
      </c>
      <c r="BB5" s="70" t="s">
        <v>45</v>
      </c>
      <c r="BC5" s="70" t="s">
        <v>46</v>
      </c>
      <c r="BD5" s="71" t="s">
        <v>47</v>
      </c>
      <c r="BE5" s="71" t="s">
        <v>48</v>
      </c>
      <c r="BF5" s="72" t="s">
        <v>49</v>
      </c>
      <c r="BG5" s="72" t="s">
        <v>53</v>
      </c>
      <c r="BH5" s="72" t="s">
        <v>54</v>
      </c>
      <c r="BI5" s="72" t="s">
        <v>55</v>
      </c>
      <c r="BJ5" s="72" t="s">
        <v>56</v>
      </c>
      <c r="BK5" s="72" t="s">
        <v>57</v>
      </c>
    </row>
    <row r="6" spans="1:63">
      <c r="A6" s="73" t="s">
        <v>58</v>
      </c>
      <c r="B6" s="74"/>
      <c r="C6" s="74"/>
      <c r="D6" s="74"/>
      <c r="E6" s="75"/>
      <c r="F6" s="74"/>
      <c r="G6" s="74"/>
      <c r="H6" s="76" t="s">
        <v>59</v>
      </c>
      <c r="I6" s="77">
        <v>14659</v>
      </c>
      <c r="J6" s="78">
        <v>210</v>
      </c>
      <c r="K6" s="79">
        <f t="shared" ref="K6:K14" si="0">J6/I6</f>
        <v>0.0143256702367146</v>
      </c>
      <c r="L6" s="80">
        <v>64.49</v>
      </c>
      <c r="M6" s="78">
        <v>0.31</v>
      </c>
      <c r="N6" s="78">
        <v>24</v>
      </c>
      <c r="O6" s="78">
        <v>327.92</v>
      </c>
      <c r="P6" s="81">
        <f t="shared" ref="P6:P13" si="1">N6/J6</f>
        <v>0.114285714285714</v>
      </c>
      <c r="Q6" s="82">
        <f t="shared" ref="Q6:Q13" si="2">L6/O6</f>
        <v>0.196663820444011</v>
      </c>
      <c r="R6" s="83">
        <f t="shared" ref="R6:R13" si="3">O6/L6</f>
        <v>5.08481935183749</v>
      </c>
      <c r="S6" s="77">
        <v>158</v>
      </c>
      <c r="T6" s="84">
        <v>225</v>
      </c>
      <c r="U6" s="85">
        <f t="shared" ref="U6:U14" si="4">AQ6/S6</f>
        <v>0.183544303797468</v>
      </c>
      <c r="V6" s="81">
        <f t="shared" ref="V6:V14" si="5">O6/AI6</f>
        <v>0.684392870559753</v>
      </c>
      <c r="W6" s="81">
        <f t="shared" ref="W6:W14" si="6">L6/AI6</f>
        <v>0.134595316608924</v>
      </c>
      <c r="X6" s="83">
        <f t="shared" ref="X6:X14" si="7">L6/AQ6</f>
        <v>2.22379310344828</v>
      </c>
      <c r="Y6" s="77"/>
      <c r="Z6" s="77"/>
      <c r="AA6" s="77">
        <v>0</v>
      </c>
      <c r="AB6" s="77">
        <v>0</v>
      </c>
      <c r="AC6" s="77">
        <v>245.56</v>
      </c>
      <c r="AD6" s="77">
        <v>155.88</v>
      </c>
      <c r="AE6" s="77">
        <v>77.7</v>
      </c>
      <c r="AF6" s="77"/>
      <c r="AG6" s="77"/>
      <c r="AH6" s="77"/>
      <c r="AI6" s="86">
        <f>SUM(AC6:AE6)</f>
        <v>479.14</v>
      </c>
      <c r="AJ6" s="77">
        <f t="shared" ref="AJ6:AJ14" si="8">AI6/AQ6</f>
        <v>16.5220689655172</v>
      </c>
      <c r="AK6" s="76">
        <v>18</v>
      </c>
      <c r="AL6" s="77">
        <v>8</v>
      </c>
      <c r="AM6" s="77">
        <v>3</v>
      </c>
      <c r="AN6" s="77"/>
      <c r="AO6" s="77"/>
      <c r="AP6" s="77"/>
      <c r="AQ6" s="77">
        <f t="shared" ref="AQ6:AQ14" si="9">SUM(AK6:AM6)</f>
        <v>29</v>
      </c>
      <c r="AR6" s="77">
        <v>13.9</v>
      </c>
      <c r="AS6" s="77">
        <v>19.9</v>
      </c>
      <c r="AT6" s="84">
        <v>25.9</v>
      </c>
      <c r="AU6" s="37"/>
      <c r="AV6" s="37"/>
      <c r="AW6" s="37"/>
      <c r="AX6" s="76"/>
      <c r="AY6" s="77"/>
      <c r="AZ6" s="77">
        <v>2.74</v>
      </c>
      <c r="BA6" s="77">
        <v>5.33</v>
      </c>
      <c r="BB6" s="77">
        <v>9.05</v>
      </c>
      <c r="BC6" s="77"/>
      <c r="BD6" s="77"/>
      <c r="BE6" s="77"/>
      <c r="BF6" s="77">
        <f t="shared" ref="BF6:BF14" si="10">AK6*AZ6+AL6*BA6+AM6*BB6</f>
        <v>119.11</v>
      </c>
      <c r="BG6" s="77">
        <f t="shared" ref="BG6:BG14" si="11">BF6-L6-AY6</f>
        <v>54.62</v>
      </c>
      <c r="BH6" s="86">
        <f>BG6*BK6</f>
        <v>495.4034</v>
      </c>
      <c r="BI6" s="79">
        <f t="shared" ref="BI6:BI14" si="12">BG6/AI6</f>
        <v>0.113995909337563</v>
      </c>
      <c r="BJ6" s="86">
        <f t="shared" ref="BJ6:BJ14" si="13">BG6/AQ6</f>
        <v>1.88344827586207</v>
      </c>
      <c r="BK6" s="77">
        <v>9.07</v>
      </c>
    </row>
    <row r="7" s="49" customFormat="1" spans="1:63">
      <c r="A7" s="73" t="s">
        <v>60</v>
      </c>
      <c r="B7" s="87"/>
      <c r="C7" s="87"/>
      <c r="D7" s="87"/>
      <c r="E7" s="88"/>
      <c r="F7" s="87"/>
      <c r="G7" s="87"/>
      <c r="H7" s="89" t="s">
        <v>61</v>
      </c>
      <c r="I7" s="67">
        <v>15784</v>
      </c>
      <c r="J7" s="67">
        <v>205</v>
      </c>
      <c r="K7" s="90">
        <f t="shared" si="0"/>
        <v>0.0129878357830715</v>
      </c>
      <c r="L7" s="67">
        <v>48.91</v>
      </c>
      <c r="M7" s="67">
        <v>0.24</v>
      </c>
      <c r="N7" s="67">
        <v>27</v>
      </c>
      <c r="O7" s="67">
        <v>409.36</v>
      </c>
      <c r="P7" s="91">
        <f t="shared" si="1"/>
        <v>0.131707317073171</v>
      </c>
      <c r="Q7" s="91">
        <f t="shared" si="2"/>
        <v>0.119479187023647</v>
      </c>
      <c r="R7" s="92">
        <f t="shared" si="3"/>
        <v>8.36965855653241</v>
      </c>
      <c r="S7" s="67">
        <v>228</v>
      </c>
      <c r="T7" s="93">
        <v>310</v>
      </c>
      <c r="U7" s="94">
        <f t="shared" si="4"/>
        <v>0.184210526315789</v>
      </c>
      <c r="V7" s="91">
        <f t="shared" si="5"/>
        <v>0.562153254600384</v>
      </c>
      <c r="W7" s="91">
        <f t="shared" si="6"/>
        <v>0.067165613842351</v>
      </c>
      <c r="X7" s="92">
        <f t="shared" si="7"/>
        <v>1.16452380952381</v>
      </c>
      <c r="Y7" s="67">
        <v>4</v>
      </c>
      <c r="Z7" s="67"/>
      <c r="AA7" s="67">
        <v>0</v>
      </c>
      <c r="AB7" s="67">
        <v>0</v>
      </c>
      <c r="AC7" s="67">
        <v>306.84</v>
      </c>
      <c r="AD7" s="67">
        <v>291.86</v>
      </c>
      <c r="AE7" s="67">
        <v>129.5</v>
      </c>
      <c r="AF7" s="67"/>
      <c r="AG7" s="67"/>
      <c r="AH7" s="67"/>
      <c r="AI7" s="92">
        <f>SUM(AC7:AE7)</f>
        <v>728.2</v>
      </c>
      <c r="AJ7" s="67">
        <f t="shared" si="8"/>
        <v>17.3380952380952</v>
      </c>
      <c r="AK7" s="95">
        <v>22</v>
      </c>
      <c r="AL7" s="67">
        <v>15</v>
      </c>
      <c r="AM7" s="67">
        <v>5</v>
      </c>
      <c r="AN7" s="67"/>
      <c r="AO7" s="67"/>
      <c r="AP7" s="67"/>
      <c r="AQ7" s="67">
        <f t="shared" si="9"/>
        <v>42</v>
      </c>
      <c r="AR7" s="67">
        <v>13.9</v>
      </c>
      <c r="AS7" s="67">
        <v>19.9</v>
      </c>
      <c r="AT7" s="93">
        <v>25.9</v>
      </c>
      <c r="AU7" s="36"/>
      <c r="AV7" s="36"/>
      <c r="AW7" s="36"/>
      <c r="AX7" s="89" t="s">
        <v>62</v>
      </c>
      <c r="AY7" s="67"/>
      <c r="AZ7" s="67">
        <v>2.74</v>
      </c>
      <c r="BA7" s="67">
        <v>5.33</v>
      </c>
      <c r="BB7" s="67">
        <v>9.05</v>
      </c>
      <c r="BC7" s="67"/>
      <c r="BD7" s="67"/>
      <c r="BE7" s="67"/>
      <c r="BF7" s="67">
        <f t="shared" si="10"/>
        <v>185.48</v>
      </c>
      <c r="BG7" s="67">
        <f t="shared" si="11"/>
        <v>136.57</v>
      </c>
      <c r="BH7" s="92">
        <f t="shared" ref="BH7:BH14" si="14">BG7*BK7</f>
        <v>1238.6899</v>
      </c>
      <c r="BI7" s="90">
        <f t="shared" si="12"/>
        <v>0.18754463059599</v>
      </c>
      <c r="BJ7" s="92">
        <f t="shared" si="13"/>
        <v>3.25166666666667</v>
      </c>
      <c r="BK7" s="67">
        <v>9.07</v>
      </c>
    </row>
    <row r="8" spans="1:63">
      <c r="A8" s="73" t="s">
        <v>63</v>
      </c>
      <c r="B8" s="74"/>
      <c r="C8" s="74"/>
      <c r="D8" s="74"/>
      <c r="E8" s="75"/>
      <c r="F8" s="74"/>
      <c r="G8" s="74"/>
      <c r="H8" s="76" t="s">
        <v>59</v>
      </c>
      <c r="I8" s="77">
        <v>11801</v>
      </c>
      <c r="J8" s="77">
        <v>195</v>
      </c>
      <c r="K8" s="79">
        <f t="shared" si="0"/>
        <v>0.0165240233878485</v>
      </c>
      <c r="L8" s="77">
        <v>26.51</v>
      </c>
      <c r="M8" s="77">
        <v>0.14</v>
      </c>
      <c r="N8" s="77">
        <v>13</v>
      </c>
      <c r="O8" s="77">
        <v>192.27</v>
      </c>
      <c r="P8" s="81">
        <f t="shared" si="1"/>
        <v>0.0666666666666667</v>
      </c>
      <c r="Q8" s="82">
        <f t="shared" si="2"/>
        <v>0.137879024288761</v>
      </c>
      <c r="R8" s="83">
        <f t="shared" si="3"/>
        <v>7.25273481705017</v>
      </c>
      <c r="S8" s="77">
        <v>245</v>
      </c>
      <c r="T8" s="84">
        <v>325</v>
      </c>
      <c r="U8" s="85">
        <f t="shared" si="4"/>
        <v>0.122448979591837</v>
      </c>
      <c r="V8" s="81">
        <f t="shared" si="5"/>
        <v>0.348517256380511</v>
      </c>
      <c r="W8" s="81">
        <f t="shared" si="6"/>
        <v>0.0480532192575406</v>
      </c>
      <c r="X8" s="83">
        <f t="shared" si="7"/>
        <v>0.883666666666667</v>
      </c>
      <c r="Y8" s="77">
        <v>4</v>
      </c>
      <c r="Z8" s="77"/>
      <c r="AA8" s="77">
        <v>0</v>
      </c>
      <c r="AB8" s="77">
        <v>0</v>
      </c>
      <c r="AC8" s="77">
        <v>208.6</v>
      </c>
      <c r="AD8" s="77">
        <v>291.28</v>
      </c>
      <c r="AE8" s="77">
        <v>51.8</v>
      </c>
      <c r="AF8" s="77"/>
      <c r="AG8" s="77"/>
      <c r="AH8" s="77"/>
      <c r="AI8" s="86">
        <f t="shared" ref="AI8" si="15">SUM(AC8:AE8)</f>
        <v>551.68</v>
      </c>
      <c r="AJ8" s="77">
        <f t="shared" si="8"/>
        <v>18.3893333333333</v>
      </c>
      <c r="AK8" s="76">
        <v>14</v>
      </c>
      <c r="AL8" s="77">
        <v>14</v>
      </c>
      <c r="AM8" s="77">
        <v>2</v>
      </c>
      <c r="AN8" s="77"/>
      <c r="AO8" s="77"/>
      <c r="AP8" s="77"/>
      <c r="AQ8" s="77">
        <f t="shared" si="9"/>
        <v>30</v>
      </c>
      <c r="AR8" s="77">
        <v>14.9</v>
      </c>
      <c r="AS8" s="77">
        <v>19.9</v>
      </c>
      <c r="AT8" s="84">
        <v>25.9</v>
      </c>
      <c r="AU8" s="37"/>
      <c r="AV8" s="37"/>
      <c r="AW8" s="37"/>
      <c r="AX8" s="76" t="s">
        <v>64</v>
      </c>
      <c r="AY8" s="77"/>
      <c r="AZ8" s="77">
        <v>3.42</v>
      </c>
      <c r="BA8" s="77">
        <v>5.33</v>
      </c>
      <c r="BB8" s="77">
        <v>9.05</v>
      </c>
      <c r="BC8" s="77"/>
      <c r="BD8" s="77"/>
      <c r="BE8" s="77"/>
      <c r="BF8" s="77">
        <f t="shared" si="10"/>
        <v>140.6</v>
      </c>
      <c r="BG8" s="77">
        <f t="shared" si="11"/>
        <v>114.09</v>
      </c>
      <c r="BH8" s="86">
        <f t="shared" si="14"/>
        <v>1034.7963</v>
      </c>
      <c r="BI8" s="79">
        <f t="shared" si="12"/>
        <v>0.20680466937355</v>
      </c>
      <c r="BJ8" s="86">
        <f t="shared" si="13"/>
        <v>3.803</v>
      </c>
      <c r="BK8" s="77">
        <v>9.07</v>
      </c>
    </row>
    <row r="9" s="49" customFormat="1" spans="1:63">
      <c r="A9" s="73" t="s">
        <v>65</v>
      </c>
      <c r="B9" s="87"/>
      <c r="C9" s="87"/>
      <c r="D9" s="87"/>
      <c r="E9" s="88"/>
      <c r="F9" s="87"/>
      <c r="G9" s="87"/>
      <c r="H9" s="89" t="s">
        <v>66</v>
      </c>
      <c r="I9" s="67">
        <v>6704</v>
      </c>
      <c r="J9" s="67">
        <v>214</v>
      </c>
      <c r="K9" s="90">
        <f t="shared" si="0"/>
        <v>0.0319212410501193</v>
      </c>
      <c r="L9" s="67">
        <v>41.72</v>
      </c>
      <c r="M9" s="67">
        <v>0.19</v>
      </c>
      <c r="N9" s="67">
        <v>23</v>
      </c>
      <c r="O9" s="67">
        <v>374.74</v>
      </c>
      <c r="P9" s="91">
        <f t="shared" si="1"/>
        <v>0.107476635514019</v>
      </c>
      <c r="Q9" s="91">
        <f t="shared" si="2"/>
        <v>0.111330522495597</v>
      </c>
      <c r="R9" s="92">
        <f t="shared" si="3"/>
        <v>8.98226270373921</v>
      </c>
      <c r="S9" s="67">
        <v>262</v>
      </c>
      <c r="T9" s="93">
        <v>367</v>
      </c>
      <c r="U9" s="94">
        <f t="shared" si="4"/>
        <v>0.148854961832061</v>
      </c>
      <c r="V9" s="91">
        <f t="shared" si="5"/>
        <v>0.475890532732237</v>
      </c>
      <c r="W9" s="91">
        <f t="shared" si="6"/>
        <v>0.0529811416597879</v>
      </c>
      <c r="X9" s="92">
        <f t="shared" si="7"/>
        <v>1.06974358974359</v>
      </c>
      <c r="Y9" s="67">
        <v>3</v>
      </c>
      <c r="Z9" s="67"/>
      <c r="AA9" s="67">
        <v>0</v>
      </c>
      <c r="AB9" s="67">
        <v>0</v>
      </c>
      <c r="AC9" s="67">
        <v>233.5</v>
      </c>
      <c r="AD9" s="67">
        <v>346.75</v>
      </c>
      <c r="AE9" s="67">
        <v>207.2</v>
      </c>
      <c r="AF9" s="67"/>
      <c r="AG9" s="67"/>
      <c r="AH9" s="67"/>
      <c r="AI9" s="92">
        <f t="shared" ref="AI9" si="16">SUM(AC9:AE9)</f>
        <v>787.45</v>
      </c>
      <c r="AJ9" s="67">
        <f t="shared" si="8"/>
        <v>20.1910256410256</v>
      </c>
      <c r="AK9" s="89">
        <v>15</v>
      </c>
      <c r="AL9" s="67">
        <v>16</v>
      </c>
      <c r="AM9" s="67">
        <v>8</v>
      </c>
      <c r="AN9" s="67"/>
      <c r="AO9" s="67"/>
      <c r="AP9" s="67"/>
      <c r="AQ9" s="67">
        <f t="shared" si="9"/>
        <v>39</v>
      </c>
      <c r="AR9" s="67">
        <v>14.9</v>
      </c>
      <c r="AS9" s="67">
        <v>21.9</v>
      </c>
      <c r="AT9" s="93">
        <v>25.9</v>
      </c>
      <c r="AU9" s="36"/>
      <c r="AV9" s="36"/>
      <c r="AW9" s="36"/>
      <c r="AX9" s="89" t="s">
        <v>67</v>
      </c>
      <c r="AY9" s="67"/>
      <c r="AZ9" s="67">
        <v>3.42</v>
      </c>
      <c r="BA9" s="67">
        <v>6.72</v>
      </c>
      <c r="BB9" s="67">
        <v>9.05</v>
      </c>
      <c r="BC9" s="67"/>
      <c r="BD9" s="67"/>
      <c r="BE9" s="67"/>
      <c r="BF9" s="67">
        <f t="shared" si="10"/>
        <v>231.22</v>
      </c>
      <c r="BG9" s="67">
        <f t="shared" si="11"/>
        <v>189.5</v>
      </c>
      <c r="BH9" s="92">
        <f t="shared" si="14"/>
        <v>1718.765</v>
      </c>
      <c r="BI9" s="90">
        <f t="shared" si="12"/>
        <v>0.240650200012699</v>
      </c>
      <c r="BJ9" s="92">
        <f t="shared" si="13"/>
        <v>4.85897435897436</v>
      </c>
      <c r="BK9" s="67">
        <v>9.07</v>
      </c>
    </row>
    <row r="10" spans="1:63">
      <c r="A10" s="73" t="s">
        <v>68</v>
      </c>
      <c r="B10" s="74"/>
      <c r="C10" s="74"/>
      <c r="D10" s="74"/>
      <c r="E10" s="75"/>
      <c r="F10" s="74"/>
      <c r="G10" s="74"/>
      <c r="H10" s="76" t="s">
        <v>69</v>
      </c>
      <c r="I10" s="77">
        <v>338</v>
      </c>
      <c r="J10" s="77">
        <v>8</v>
      </c>
      <c r="K10" s="79">
        <f t="shared" si="0"/>
        <v>0.0236686390532544</v>
      </c>
      <c r="L10" s="77">
        <v>1.3</v>
      </c>
      <c r="M10" s="77">
        <v>0.16</v>
      </c>
      <c r="N10" s="77">
        <v>1</v>
      </c>
      <c r="O10" s="77">
        <v>21.58</v>
      </c>
      <c r="P10" s="81">
        <f t="shared" si="1"/>
        <v>0.125</v>
      </c>
      <c r="Q10" s="82">
        <f t="shared" si="2"/>
        <v>0.0602409638554217</v>
      </c>
      <c r="R10" s="83">
        <f t="shared" si="3"/>
        <v>16.6</v>
      </c>
      <c r="S10" s="77">
        <v>155</v>
      </c>
      <c r="T10" s="84">
        <v>199</v>
      </c>
      <c r="U10" s="85">
        <f t="shared" si="4"/>
        <v>0.232258064516129</v>
      </c>
      <c r="V10" s="81">
        <f t="shared" si="5"/>
        <v>0.0300808475048787</v>
      </c>
      <c r="W10" s="81">
        <f t="shared" si="6"/>
        <v>0.00181209924728185</v>
      </c>
      <c r="X10" s="83">
        <f t="shared" si="7"/>
        <v>0.0361111111111111</v>
      </c>
      <c r="Y10" s="77">
        <v>3</v>
      </c>
      <c r="Z10" s="77">
        <v>823</v>
      </c>
      <c r="AA10" s="77">
        <v>0</v>
      </c>
      <c r="AB10" s="77">
        <v>0</v>
      </c>
      <c r="AC10" s="77">
        <v>277.3</v>
      </c>
      <c r="AD10" s="77">
        <v>284.7</v>
      </c>
      <c r="AE10" s="77">
        <v>155.4</v>
      </c>
      <c r="AF10" s="77"/>
      <c r="AG10" s="77"/>
      <c r="AH10" s="77"/>
      <c r="AI10" s="86">
        <f t="shared" ref="AI10" si="17">SUM(AC10:AE10)</f>
        <v>717.4</v>
      </c>
      <c r="AJ10" s="77">
        <f t="shared" si="8"/>
        <v>19.9277777777778</v>
      </c>
      <c r="AK10" s="76">
        <v>17</v>
      </c>
      <c r="AL10" s="77">
        <v>13</v>
      </c>
      <c r="AM10" s="77">
        <v>6</v>
      </c>
      <c r="AN10" s="77"/>
      <c r="AO10" s="77"/>
      <c r="AP10" s="77"/>
      <c r="AQ10" s="77">
        <f t="shared" si="9"/>
        <v>36</v>
      </c>
      <c r="AR10" s="77">
        <v>15.9</v>
      </c>
      <c r="AS10" s="77">
        <v>21.9</v>
      </c>
      <c r="AT10" s="84">
        <v>25.9</v>
      </c>
      <c r="AU10" s="37"/>
      <c r="AV10" s="37"/>
      <c r="AW10" s="37"/>
      <c r="AX10" s="76" t="s">
        <v>70</v>
      </c>
      <c r="AY10" s="77"/>
      <c r="AZ10" s="77">
        <v>4.13</v>
      </c>
      <c r="BA10" s="77">
        <v>6.72</v>
      </c>
      <c r="BB10" s="77">
        <v>9.05</v>
      </c>
      <c r="BC10" s="77"/>
      <c r="BD10" s="77"/>
      <c r="BE10" s="77"/>
      <c r="BF10" s="77">
        <f t="shared" si="10"/>
        <v>211.87</v>
      </c>
      <c r="BG10" s="77">
        <f t="shared" si="11"/>
        <v>210.57</v>
      </c>
      <c r="BH10" s="86">
        <f t="shared" si="14"/>
        <v>1909.8699</v>
      </c>
      <c r="BI10" s="79">
        <f t="shared" si="12"/>
        <v>0.293518260384723</v>
      </c>
      <c r="BJ10" s="86">
        <f t="shared" si="13"/>
        <v>5.84916666666667</v>
      </c>
      <c r="BK10" s="77">
        <v>9.07</v>
      </c>
    </row>
    <row r="11" spans="1:63">
      <c r="A11" s="73" t="s">
        <v>71</v>
      </c>
      <c r="B11" s="74"/>
      <c r="C11" s="74"/>
      <c r="D11" s="74"/>
      <c r="E11" s="75"/>
      <c r="F11" s="74"/>
      <c r="G11" s="74"/>
      <c r="H11" s="76" t="s">
        <v>69</v>
      </c>
      <c r="I11" s="77">
        <v>221</v>
      </c>
      <c r="J11">
        <v>6</v>
      </c>
      <c r="K11" s="79">
        <f t="shared" si="0"/>
        <v>0.0271493212669683</v>
      </c>
      <c r="L11" s="77">
        <v>1.05</v>
      </c>
      <c r="M11" s="77">
        <v>0.17</v>
      </c>
      <c r="N11" s="77">
        <v>0</v>
      </c>
      <c r="O11" s="77">
        <v>0</v>
      </c>
      <c r="P11" s="81">
        <f t="shared" si="1"/>
        <v>0</v>
      </c>
      <c r="Q11" s="82" t="e">
        <f t="shared" si="2"/>
        <v>#DIV/0!</v>
      </c>
      <c r="R11" s="83">
        <f t="shared" si="3"/>
        <v>0</v>
      </c>
      <c r="S11" s="77">
        <v>125</v>
      </c>
      <c r="T11" s="84">
        <v>175</v>
      </c>
      <c r="U11" s="85">
        <f t="shared" si="4"/>
        <v>0.096</v>
      </c>
      <c r="V11" s="81">
        <f t="shared" si="5"/>
        <v>0</v>
      </c>
      <c r="W11" s="81">
        <f t="shared" si="6"/>
        <v>0.00412087912087912</v>
      </c>
      <c r="X11" s="83">
        <f t="shared" si="7"/>
        <v>0.0875</v>
      </c>
      <c r="Y11" s="77">
        <v>3</v>
      </c>
      <c r="Z11" s="77">
        <v>1118</v>
      </c>
      <c r="AA11" s="77">
        <v>0</v>
      </c>
      <c r="AB11" s="77">
        <v>0</v>
      </c>
      <c r="AC11" s="77">
        <v>67.6</v>
      </c>
      <c r="AD11" s="77">
        <v>109.5</v>
      </c>
      <c r="AE11" s="77">
        <v>77.7</v>
      </c>
      <c r="AF11" s="77"/>
      <c r="AG11" s="96"/>
      <c r="AH11" s="96"/>
      <c r="AI11" s="86">
        <f t="shared" ref="AI11" si="18">SUM(AC11:AE11)</f>
        <v>254.8</v>
      </c>
      <c r="AJ11" s="77">
        <f t="shared" si="8"/>
        <v>21.2333333333333</v>
      </c>
      <c r="AK11" s="76">
        <v>4</v>
      </c>
      <c r="AL11" s="77">
        <v>5</v>
      </c>
      <c r="AM11" s="77">
        <v>3</v>
      </c>
      <c r="AN11" s="77"/>
      <c r="AO11" s="77"/>
      <c r="AP11" s="77"/>
      <c r="AQ11" s="77">
        <f t="shared" si="9"/>
        <v>12</v>
      </c>
      <c r="AR11" s="77">
        <v>16.9</v>
      </c>
      <c r="AS11" s="77">
        <v>21.9</v>
      </c>
      <c r="AT11" s="84">
        <v>25.9</v>
      </c>
      <c r="AU11" s="37"/>
      <c r="AV11" s="37"/>
      <c r="AW11" s="37"/>
      <c r="AX11" s="76"/>
      <c r="AY11" s="77"/>
      <c r="AZ11" s="77">
        <v>4.81</v>
      </c>
      <c r="BA11" s="77">
        <v>6.72</v>
      </c>
      <c r="BB11" s="77">
        <v>9.05</v>
      </c>
      <c r="BC11" s="77"/>
      <c r="BD11" s="77"/>
      <c r="BE11" s="77"/>
      <c r="BF11" s="77">
        <f t="shared" si="10"/>
        <v>79.99</v>
      </c>
      <c r="BG11" s="77">
        <f t="shared" si="11"/>
        <v>78.94</v>
      </c>
      <c r="BH11" s="86">
        <f t="shared" si="14"/>
        <v>715.9858</v>
      </c>
      <c r="BI11" s="79">
        <f t="shared" si="12"/>
        <v>0.309811616954474</v>
      </c>
      <c r="BJ11" s="86">
        <f t="shared" si="13"/>
        <v>6.57833333333333</v>
      </c>
      <c r="BK11" s="77">
        <v>9.07</v>
      </c>
    </row>
    <row r="12" spans="1:63">
      <c r="A12" s="73" t="s">
        <v>72</v>
      </c>
      <c r="B12" s="74"/>
      <c r="C12" s="74"/>
      <c r="D12" s="74"/>
      <c r="E12" s="75"/>
      <c r="F12" s="74"/>
      <c r="G12" s="74"/>
      <c r="H12" s="76" t="s">
        <v>59</v>
      </c>
      <c r="I12" s="77">
        <v>9074</v>
      </c>
      <c r="J12" s="77">
        <v>160</v>
      </c>
      <c r="K12" s="79">
        <f t="shared" si="0"/>
        <v>0.0176327970024245</v>
      </c>
      <c r="L12" s="77">
        <v>26.01</v>
      </c>
      <c r="M12" s="77">
        <v>0.16</v>
      </c>
      <c r="N12" s="77">
        <v>11</v>
      </c>
      <c r="O12" s="77">
        <v>180.42</v>
      </c>
      <c r="P12" s="81">
        <f t="shared" si="1"/>
        <v>0.06875</v>
      </c>
      <c r="Q12" s="82">
        <f t="shared" si="2"/>
        <v>0.144163618224144</v>
      </c>
      <c r="R12" s="83">
        <f t="shared" si="3"/>
        <v>6.93656286043829</v>
      </c>
      <c r="S12" s="77">
        <v>180</v>
      </c>
      <c r="T12" s="84">
        <v>249</v>
      </c>
      <c r="U12" s="85">
        <f t="shared" si="4"/>
        <v>0.116666666666667</v>
      </c>
      <c r="V12" s="81">
        <f t="shared" si="5"/>
        <v>0.437392421634464</v>
      </c>
      <c r="W12" s="81">
        <f t="shared" si="6"/>
        <v>0.0630560740866445</v>
      </c>
      <c r="X12" s="83">
        <f t="shared" si="7"/>
        <v>1.23857142857143</v>
      </c>
      <c r="Y12" s="77">
        <v>4</v>
      </c>
      <c r="Z12" s="77">
        <v>1640</v>
      </c>
      <c r="AA12" s="77">
        <v>2</v>
      </c>
      <c r="AB12" s="77">
        <v>2.5</v>
      </c>
      <c r="AC12" s="77">
        <v>177.49</v>
      </c>
      <c r="AD12" s="77">
        <v>65.7</v>
      </c>
      <c r="AE12" s="77">
        <v>169.3</v>
      </c>
      <c r="AF12" s="84"/>
      <c r="AG12" s="37"/>
      <c r="AH12" s="37"/>
      <c r="AI12" s="97">
        <f t="shared" ref="AI12" si="19">SUM(AC12:AE12)</f>
        <v>412.49</v>
      </c>
      <c r="AJ12" s="77">
        <f t="shared" si="8"/>
        <v>19.642380952381</v>
      </c>
      <c r="AK12" s="76">
        <v>11</v>
      </c>
      <c r="AL12" s="77">
        <v>3</v>
      </c>
      <c r="AM12" s="77">
        <v>7</v>
      </c>
      <c r="AN12" s="77"/>
      <c r="AO12" s="77"/>
      <c r="AP12" s="77"/>
      <c r="AQ12" s="77">
        <f t="shared" si="9"/>
        <v>21</v>
      </c>
      <c r="AR12" s="77">
        <v>15.9</v>
      </c>
      <c r="AS12" s="77">
        <v>21.9</v>
      </c>
      <c r="AT12" s="84">
        <v>23.9</v>
      </c>
      <c r="AU12" s="37"/>
      <c r="AV12" s="37"/>
      <c r="AW12" s="37"/>
      <c r="AX12" s="76" t="s">
        <v>73</v>
      </c>
      <c r="AY12" s="77"/>
      <c r="AZ12" s="77">
        <v>4.13</v>
      </c>
      <c r="BA12" s="77">
        <v>6.72</v>
      </c>
      <c r="BB12" s="77">
        <v>7.69</v>
      </c>
      <c r="BC12" s="77"/>
      <c r="BD12" s="77"/>
      <c r="BE12" s="77"/>
      <c r="BF12" s="77">
        <f t="shared" si="10"/>
        <v>119.42</v>
      </c>
      <c r="BG12" s="77">
        <f t="shared" si="11"/>
        <v>93.41</v>
      </c>
      <c r="BH12" s="86">
        <f t="shared" si="14"/>
        <v>847.2287</v>
      </c>
      <c r="BI12" s="79">
        <f t="shared" si="12"/>
        <v>0.22645397464181</v>
      </c>
      <c r="BJ12" s="86">
        <f t="shared" si="13"/>
        <v>4.44809523809524</v>
      </c>
      <c r="BK12" s="77">
        <v>9.07</v>
      </c>
    </row>
    <row r="13" s="49" customFormat="1" spans="1:63">
      <c r="A13" s="73" t="s">
        <v>74</v>
      </c>
      <c r="B13" s="98">
        <f t="shared" ref="B13:D14" si="20">(AK12+(AK12+AK11+AK10)/3+(AK12+AK11+AK10+AK9+AK8+AK7+AK6)/7)/3</f>
        <v>12.031746031746</v>
      </c>
      <c r="C13" s="98">
        <f t="shared" si="20"/>
        <v>6.85714285714286</v>
      </c>
      <c r="D13" s="87">
        <f t="shared" si="20"/>
        <v>5.73015873015873</v>
      </c>
      <c r="E13" s="88"/>
      <c r="F13" s="87"/>
      <c r="G13" s="87"/>
      <c r="H13" s="89" t="s">
        <v>75</v>
      </c>
      <c r="I13" s="67">
        <v>19979</v>
      </c>
      <c r="J13" s="67">
        <v>250</v>
      </c>
      <c r="K13" s="90">
        <f t="shared" si="0"/>
        <v>0.0125131387957355</v>
      </c>
      <c r="L13" s="67">
        <v>41.68</v>
      </c>
      <c r="M13" s="67">
        <v>0.17</v>
      </c>
      <c r="N13" s="67">
        <v>21</v>
      </c>
      <c r="O13" s="67">
        <v>330.76</v>
      </c>
      <c r="P13" s="91">
        <f t="shared" si="1"/>
        <v>0.084</v>
      </c>
      <c r="Q13" s="91">
        <f t="shared" si="2"/>
        <v>0.12601281896239</v>
      </c>
      <c r="R13" s="92">
        <f t="shared" si="3"/>
        <v>7.93570057581574</v>
      </c>
      <c r="S13" s="67">
        <v>256</v>
      </c>
      <c r="T13" s="93">
        <v>329</v>
      </c>
      <c r="U13" s="94">
        <f t="shared" si="4"/>
        <v>0.16796875</v>
      </c>
      <c r="V13" s="91">
        <f t="shared" si="5"/>
        <v>0.401373669712524</v>
      </c>
      <c r="W13" s="91">
        <f t="shared" si="6"/>
        <v>0.0505782275777543</v>
      </c>
      <c r="X13" s="92">
        <f t="shared" si="7"/>
        <v>0.969302325581395</v>
      </c>
      <c r="Y13" s="67">
        <v>3</v>
      </c>
      <c r="Z13" s="67">
        <v>803</v>
      </c>
      <c r="AA13" s="67">
        <v>1</v>
      </c>
      <c r="AB13" s="67">
        <v>4</v>
      </c>
      <c r="AC13" s="67">
        <v>349.8</v>
      </c>
      <c r="AD13" s="67">
        <v>215.35</v>
      </c>
      <c r="AE13" s="67">
        <v>258.92</v>
      </c>
      <c r="AF13" s="93"/>
      <c r="AG13" s="36"/>
      <c r="AH13" s="36"/>
      <c r="AI13" s="99">
        <f t="shared" ref="AI13:AI14" si="21">SUM(AC13:AE13)</f>
        <v>824.07</v>
      </c>
      <c r="AJ13" s="67">
        <f t="shared" si="8"/>
        <v>19.1644186046512</v>
      </c>
      <c r="AK13" s="89">
        <v>22</v>
      </c>
      <c r="AL13" s="67">
        <v>10</v>
      </c>
      <c r="AM13" s="67">
        <v>11</v>
      </c>
      <c r="AN13" s="67"/>
      <c r="AO13" s="67"/>
      <c r="AP13" s="67"/>
      <c r="AQ13" s="67">
        <f t="shared" si="9"/>
        <v>43</v>
      </c>
      <c r="AR13" s="67">
        <v>15.9</v>
      </c>
      <c r="AS13" s="67">
        <v>21.9</v>
      </c>
      <c r="AT13" s="93">
        <v>23.9</v>
      </c>
      <c r="AU13" s="36"/>
      <c r="AV13" s="36"/>
      <c r="AW13" s="36"/>
      <c r="AX13" s="89"/>
      <c r="AY13" s="67"/>
      <c r="AZ13" s="67">
        <v>4.13</v>
      </c>
      <c r="BA13" s="67">
        <v>6.72</v>
      </c>
      <c r="BB13" s="67">
        <v>7.69</v>
      </c>
      <c r="BC13" s="67"/>
      <c r="BD13" s="67"/>
      <c r="BE13" s="67"/>
      <c r="BF13" s="67">
        <f t="shared" si="10"/>
        <v>242.65</v>
      </c>
      <c r="BG13" s="67">
        <f t="shared" si="11"/>
        <v>200.97</v>
      </c>
      <c r="BH13" s="92">
        <f t="shared" si="14"/>
        <v>1822.7979</v>
      </c>
      <c r="BI13" s="90">
        <f t="shared" si="12"/>
        <v>0.243874913538898</v>
      </c>
      <c r="BJ13" s="92">
        <f t="shared" si="13"/>
        <v>4.67372093023256</v>
      </c>
      <c r="BK13" s="67">
        <v>9.07</v>
      </c>
    </row>
    <row r="14" spans="1:63">
      <c r="A14" s="73" t="s">
        <v>76</v>
      </c>
      <c r="B14" s="100">
        <f t="shared" si="20"/>
        <v>16.4444444444444</v>
      </c>
      <c r="C14" s="100">
        <f t="shared" si="20"/>
        <v>8.95238095238095</v>
      </c>
      <c r="D14" s="100">
        <f t="shared" si="20"/>
        <v>8</v>
      </c>
      <c r="E14" s="75"/>
      <c r="F14" s="74"/>
      <c r="G14" s="74"/>
      <c r="H14" s="76" t="s">
        <v>59</v>
      </c>
      <c r="I14" s="77">
        <v>4439</v>
      </c>
      <c r="J14" s="77">
        <v>34</v>
      </c>
      <c r="K14" s="79">
        <f t="shared" si="0"/>
        <v>0.00765938274386123</v>
      </c>
      <c r="L14" s="77">
        <v>5.57</v>
      </c>
      <c r="M14" s="77">
        <v>0.16</v>
      </c>
      <c r="N14" s="77">
        <v>5</v>
      </c>
      <c r="O14" s="77">
        <v>80.42</v>
      </c>
      <c r="P14" s="81">
        <f t="shared" ref="P14" si="22">N14/J14</f>
        <v>0.147058823529412</v>
      </c>
      <c r="Q14" s="82">
        <f t="shared" ref="Q14" si="23">L14/O14</f>
        <v>0.0692613777667247</v>
      </c>
      <c r="R14" s="83">
        <f t="shared" ref="R14" si="24">O14/L14</f>
        <v>14.4380610412926</v>
      </c>
      <c r="S14" s="77">
        <v>248</v>
      </c>
      <c r="T14" s="84">
        <v>305</v>
      </c>
      <c r="U14" s="85">
        <f t="shared" si="4"/>
        <v>0.100806451612903</v>
      </c>
      <c r="V14" s="81">
        <f t="shared" si="5"/>
        <v>0.151301926550271</v>
      </c>
      <c r="W14" s="81">
        <f t="shared" si="6"/>
        <v>0.0104793798916315</v>
      </c>
      <c r="X14" s="83">
        <f t="shared" si="7"/>
        <v>0.2228</v>
      </c>
      <c r="Y14" s="77">
        <v>3</v>
      </c>
      <c r="Z14" s="77">
        <v>600</v>
      </c>
      <c r="AA14" s="77">
        <v>1</v>
      </c>
      <c r="AB14" s="77">
        <v>4</v>
      </c>
      <c r="AC14" s="77">
        <v>115.3</v>
      </c>
      <c r="AD14" s="77">
        <v>181.2</v>
      </c>
      <c r="AE14" s="77">
        <v>235.02</v>
      </c>
      <c r="AF14" s="84"/>
      <c r="AG14" s="37"/>
      <c r="AH14" s="37"/>
      <c r="AI14" s="97">
        <f t="shared" si="21"/>
        <v>531.52</v>
      </c>
      <c r="AJ14" s="77">
        <f t="shared" si="8"/>
        <v>21.2608</v>
      </c>
      <c r="AK14" s="76">
        <v>7</v>
      </c>
      <c r="AL14" s="77">
        <v>8</v>
      </c>
      <c r="AM14" s="77">
        <v>10</v>
      </c>
      <c r="AN14" s="77"/>
      <c r="AO14" s="77"/>
      <c r="AP14" s="77"/>
      <c r="AQ14" s="77">
        <f t="shared" si="9"/>
        <v>25</v>
      </c>
      <c r="AR14" s="77">
        <v>15.9</v>
      </c>
      <c r="AS14" s="77">
        <v>21.9</v>
      </c>
      <c r="AT14" s="84">
        <v>23.9</v>
      </c>
      <c r="AU14" s="37"/>
      <c r="AV14" s="37"/>
      <c r="AW14" s="37"/>
      <c r="AX14" s="76" t="s">
        <v>77</v>
      </c>
      <c r="AY14" s="77"/>
      <c r="AZ14" s="77">
        <v>4.13</v>
      </c>
      <c r="BA14" s="77">
        <v>6.72</v>
      </c>
      <c r="BB14" s="77">
        <v>7.69</v>
      </c>
      <c r="BC14" s="77"/>
      <c r="BD14" s="77"/>
      <c r="BE14" s="77"/>
      <c r="BF14" s="77">
        <f t="shared" si="10"/>
        <v>159.57</v>
      </c>
      <c r="BG14" s="77">
        <f t="shared" si="11"/>
        <v>154</v>
      </c>
      <c r="BH14" s="86">
        <f t="shared" si="14"/>
        <v>1396.78</v>
      </c>
      <c r="BI14" s="79">
        <f t="shared" si="12"/>
        <v>0.289735099337748</v>
      </c>
      <c r="BJ14" s="86">
        <f t="shared" si="13"/>
        <v>6.16</v>
      </c>
      <c r="BK14" s="77">
        <v>9.07</v>
      </c>
    </row>
    <row r="15" spans="1:63">
      <c r="A15" s="73" t="s">
        <v>78</v>
      </c>
      <c r="B15" s="100"/>
      <c r="C15" s="100"/>
      <c r="D15" s="100"/>
      <c r="E15" s="75"/>
      <c r="F15" s="74"/>
      <c r="G15" s="74"/>
      <c r="H15" s="76"/>
      <c r="I15" s="77"/>
      <c r="J15" s="77"/>
      <c r="K15" s="79"/>
      <c r="L15" s="77"/>
      <c r="M15" s="77"/>
      <c r="N15" s="77"/>
      <c r="O15" s="77"/>
      <c r="P15" s="81"/>
      <c r="Q15" s="82"/>
      <c r="R15" s="83"/>
      <c r="S15" s="77"/>
      <c r="T15" s="84"/>
      <c r="U15" s="85"/>
      <c r="V15" s="81"/>
      <c r="W15" s="81"/>
      <c r="X15" s="83"/>
      <c r="Y15" s="77"/>
      <c r="Z15" s="77"/>
      <c r="AA15" s="77"/>
      <c r="AB15" s="77"/>
      <c r="AC15" s="77"/>
      <c r="AD15" s="77"/>
      <c r="AE15" s="77"/>
      <c r="AF15" s="84"/>
      <c r="AG15" s="37"/>
      <c r="AH15" s="37"/>
      <c r="AI15" s="97"/>
      <c r="AJ15" s="77"/>
      <c r="AK15" s="76"/>
      <c r="AL15" s="77"/>
      <c r="AM15" s="77"/>
      <c r="AN15" s="77"/>
      <c r="AO15" s="77"/>
      <c r="AP15" s="77"/>
      <c r="AQ15" s="77"/>
      <c r="AR15" s="77"/>
      <c r="AS15" s="77"/>
      <c r="AT15" s="84"/>
      <c r="AU15" s="37"/>
      <c r="AV15" s="37"/>
      <c r="AW15" s="37"/>
      <c r="AX15" s="76"/>
      <c r="AY15" s="77"/>
      <c r="AZ15" s="77"/>
      <c r="BA15" s="77"/>
      <c r="BB15" s="77"/>
      <c r="BC15" s="77"/>
      <c r="BD15" s="77"/>
      <c r="BE15" s="77"/>
      <c r="BF15" s="77"/>
      <c r="BG15" s="77"/>
      <c r="BH15" s="86"/>
      <c r="BI15" s="79"/>
      <c r="BJ15" s="86"/>
      <c r="BK15" s="77"/>
    </row>
    <row r="16" spans="1:63">
      <c r="A16" s="73" t="s">
        <v>79</v>
      </c>
      <c r="B16" s="100"/>
      <c r="C16" s="100"/>
      <c r="D16" s="100"/>
      <c r="E16" s="75"/>
      <c r="F16" s="74"/>
      <c r="G16" s="74"/>
      <c r="H16" s="76"/>
      <c r="I16" s="77"/>
      <c r="J16" s="77"/>
      <c r="K16" s="79"/>
      <c r="L16" s="77"/>
      <c r="M16" s="77"/>
      <c r="N16" s="77"/>
      <c r="O16" s="77"/>
      <c r="P16" s="81"/>
      <c r="Q16" s="82"/>
      <c r="R16" s="83"/>
      <c r="S16" s="77"/>
      <c r="T16" s="84"/>
      <c r="U16" s="85"/>
      <c r="V16" s="81"/>
      <c r="W16" s="81"/>
      <c r="X16" s="83"/>
      <c r="Y16" s="77"/>
      <c r="Z16" s="77"/>
      <c r="AA16" s="77"/>
      <c r="AB16" s="77"/>
      <c r="AC16" s="77"/>
      <c r="AD16" s="77"/>
      <c r="AE16" s="77"/>
      <c r="AF16" s="84"/>
      <c r="AG16" s="37"/>
      <c r="AH16" s="37"/>
      <c r="AI16" s="97"/>
      <c r="AJ16" s="77"/>
      <c r="AK16" s="76"/>
      <c r="AL16" s="77"/>
      <c r="AM16" s="77"/>
      <c r="AN16" s="77"/>
      <c r="AO16" s="77"/>
      <c r="AP16" s="77"/>
      <c r="AQ16" s="77"/>
      <c r="AR16" s="77"/>
      <c r="AS16" s="77"/>
      <c r="AT16" s="84"/>
      <c r="AU16" s="37"/>
      <c r="AV16" s="37"/>
      <c r="AW16" s="37"/>
      <c r="AX16" s="76"/>
      <c r="AY16" s="77"/>
      <c r="AZ16" s="77"/>
      <c r="BA16" s="77"/>
      <c r="BB16" s="77"/>
      <c r="BC16" s="77"/>
      <c r="BD16" s="77"/>
      <c r="BE16" s="77"/>
      <c r="BF16" s="77"/>
      <c r="BG16" s="77"/>
      <c r="BH16" s="86"/>
      <c r="BI16" s="79"/>
      <c r="BJ16" s="86"/>
      <c r="BK16" s="77"/>
    </row>
    <row r="17" spans="1:63">
      <c r="A17" s="73" t="s">
        <v>80</v>
      </c>
      <c r="B17" s="100"/>
      <c r="C17" s="100"/>
      <c r="D17" s="100"/>
      <c r="E17" s="75"/>
      <c r="F17" s="74"/>
      <c r="G17" s="74"/>
      <c r="H17" s="76"/>
      <c r="I17" s="77"/>
      <c r="J17" s="77"/>
      <c r="K17" s="79"/>
      <c r="L17" s="77"/>
      <c r="M17" s="77"/>
      <c r="N17" s="77"/>
      <c r="O17" s="77"/>
      <c r="P17" s="81"/>
      <c r="Q17" s="82"/>
      <c r="R17" s="83"/>
      <c r="S17" s="77"/>
      <c r="T17" s="84"/>
      <c r="U17" s="85"/>
      <c r="V17" s="81"/>
      <c r="W17" s="81"/>
      <c r="X17" s="83"/>
      <c r="Y17" s="77"/>
      <c r="Z17" s="77"/>
      <c r="AA17" s="77"/>
      <c r="AB17" s="77"/>
      <c r="AC17" s="77"/>
      <c r="AD17" s="77"/>
      <c r="AE17" s="77"/>
      <c r="AF17" s="84"/>
      <c r="AG17" s="37"/>
      <c r="AH17" s="37"/>
      <c r="AI17" s="97"/>
      <c r="AJ17" s="77"/>
      <c r="AK17" s="76"/>
      <c r="AL17" s="77"/>
      <c r="AM17" s="77"/>
      <c r="AN17" s="77"/>
      <c r="AO17" s="77"/>
      <c r="AP17" s="77"/>
      <c r="AQ17" s="77"/>
      <c r="AR17" s="77"/>
      <c r="AS17" s="77"/>
      <c r="AT17" s="84"/>
      <c r="AU17" s="37"/>
      <c r="AV17" s="37"/>
      <c r="AW17" s="37"/>
      <c r="AX17" s="76"/>
      <c r="AY17" s="77"/>
      <c r="AZ17" s="77"/>
      <c r="BA17" s="77"/>
      <c r="BB17" s="77"/>
      <c r="BC17" s="77"/>
      <c r="BD17" s="77"/>
      <c r="BE17" s="77"/>
      <c r="BF17" s="77"/>
      <c r="BG17" s="77"/>
      <c r="BH17" s="86"/>
      <c r="BI17" s="79"/>
      <c r="BJ17" s="86"/>
      <c r="BK17" s="77"/>
    </row>
    <row r="18" spans="1:63">
      <c r="A18" s="73" t="s">
        <v>81</v>
      </c>
      <c r="B18" s="100"/>
      <c r="C18" s="100"/>
      <c r="D18" s="100"/>
      <c r="E18" s="75"/>
      <c r="F18" s="74"/>
      <c r="G18" s="74"/>
      <c r="H18" s="76"/>
      <c r="I18" s="77"/>
      <c r="J18" s="77"/>
      <c r="K18" s="79"/>
      <c r="L18" s="77"/>
      <c r="M18" s="77"/>
      <c r="N18" s="77"/>
      <c r="O18" s="77"/>
      <c r="P18" s="81"/>
      <c r="Q18" s="82"/>
      <c r="R18" s="83"/>
      <c r="S18" s="77"/>
      <c r="T18" s="84"/>
      <c r="U18" s="85"/>
      <c r="V18" s="81"/>
      <c r="W18" s="81"/>
      <c r="X18" s="83"/>
      <c r="Y18" s="77"/>
      <c r="Z18" s="77"/>
      <c r="AA18" s="77"/>
      <c r="AB18" s="77"/>
      <c r="AC18" s="77"/>
      <c r="AD18" s="77"/>
      <c r="AE18" s="77"/>
      <c r="AF18" s="84"/>
      <c r="AG18" s="37"/>
      <c r="AH18" s="37"/>
      <c r="AI18" s="97"/>
      <c r="AJ18" s="77"/>
      <c r="AK18" s="76"/>
      <c r="AL18" s="77"/>
      <c r="AM18" s="77"/>
      <c r="AN18" s="77"/>
      <c r="AO18" s="77"/>
      <c r="AP18" s="77"/>
      <c r="AQ18" s="77"/>
      <c r="AR18" s="77"/>
      <c r="AS18" s="77"/>
      <c r="AT18" s="84"/>
      <c r="AU18" s="37"/>
      <c r="AV18" s="37"/>
      <c r="AW18" s="37"/>
      <c r="AX18" s="76"/>
      <c r="AY18" s="77"/>
      <c r="AZ18" s="77"/>
      <c r="BA18" s="77"/>
      <c r="BB18" s="77"/>
      <c r="BC18" s="77"/>
      <c r="BD18" s="77"/>
      <c r="BE18" s="77"/>
      <c r="BF18" s="77"/>
      <c r="BG18" s="77"/>
      <c r="BH18" s="86"/>
      <c r="BI18" s="79"/>
      <c r="BJ18" s="86"/>
      <c r="BK18" s="77"/>
    </row>
    <row r="19" spans="1:63">
      <c r="A19" s="73" t="s">
        <v>82</v>
      </c>
      <c r="B19" s="100"/>
      <c r="C19" s="100"/>
      <c r="D19" s="100"/>
      <c r="E19" s="75"/>
      <c r="F19" s="74"/>
      <c r="G19" s="74"/>
      <c r="H19" s="76"/>
      <c r="I19" s="77"/>
      <c r="J19" s="77"/>
      <c r="K19" s="79"/>
      <c r="L19" s="77"/>
      <c r="M19" s="77"/>
      <c r="N19" s="77"/>
      <c r="O19" s="77"/>
      <c r="P19" s="81"/>
      <c r="Q19" s="82"/>
      <c r="R19" s="83"/>
      <c r="S19" s="77"/>
      <c r="T19" s="84"/>
      <c r="U19" s="85"/>
      <c r="V19" s="81"/>
      <c r="W19" s="81"/>
      <c r="X19" s="83"/>
      <c r="Y19" s="77"/>
      <c r="Z19" s="77"/>
      <c r="AA19" s="77"/>
      <c r="AB19" s="77"/>
      <c r="AC19" s="77"/>
      <c r="AD19" s="77"/>
      <c r="AE19" s="77"/>
      <c r="AF19" s="84"/>
      <c r="AG19" s="37"/>
      <c r="AH19" s="37"/>
      <c r="AI19" s="97"/>
      <c r="AJ19" s="77"/>
      <c r="AK19" s="76"/>
      <c r="AL19" s="77"/>
      <c r="AM19" s="77"/>
      <c r="AN19" s="77"/>
      <c r="AO19" s="77"/>
      <c r="AP19" s="77"/>
      <c r="AQ19" s="77"/>
      <c r="AR19" s="77"/>
      <c r="AS19" s="77"/>
      <c r="AT19" s="84"/>
      <c r="AU19" s="37"/>
      <c r="AV19" s="37"/>
      <c r="AW19" s="37"/>
      <c r="AX19" s="76"/>
      <c r="AY19" s="77"/>
      <c r="AZ19" s="77"/>
      <c r="BA19" s="77"/>
      <c r="BB19" s="77"/>
      <c r="BC19" s="77"/>
      <c r="BD19" s="77"/>
      <c r="BE19" s="77"/>
      <c r="BF19" s="77"/>
      <c r="BG19" s="77"/>
      <c r="BH19" s="86"/>
      <c r="BI19" s="79"/>
      <c r="BJ19" s="86"/>
      <c r="BK19" s="77"/>
    </row>
    <row r="20" spans="1:63">
      <c r="A20" s="73" t="s">
        <v>83</v>
      </c>
      <c r="B20" s="100"/>
      <c r="C20" s="100"/>
      <c r="D20" s="100"/>
      <c r="E20" s="75"/>
      <c r="F20" s="74"/>
      <c r="G20" s="74"/>
      <c r="H20" s="76"/>
      <c r="I20" s="77"/>
      <c r="J20" s="77"/>
      <c r="K20" s="79"/>
      <c r="L20" s="77"/>
      <c r="M20" s="77"/>
      <c r="N20" s="77"/>
      <c r="O20" s="77"/>
      <c r="P20" s="81"/>
      <c r="Q20" s="82"/>
      <c r="R20" s="83"/>
      <c r="S20" s="77"/>
      <c r="T20" s="84"/>
      <c r="U20" s="85"/>
      <c r="V20" s="81"/>
      <c r="W20" s="81"/>
      <c r="X20" s="83"/>
      <c r="Y20" s="77"/>
      <c r="Z20" s="77"/>
      <c r="AA20" s="77"/>
      <c r="AB20" s="77"/>
      <c r="AC20" s="77"/>
      <c r="AD20" s="77"/>
      <c r="AE20" s="77"/>
      <c r="AF20" s="84"/>
      <c r="AG20" s="37"/>
      <c r="AH20" s="37"/>
      <c r="AI20" s="97"/>
      <c r="AJ20" s="77"/>
      <c r="AK20" s="76"/>
      <c r="AL20" s="77"/>
      <c r="AM20" s="77"/>
      <c r="AN20" s="77"/>
      <c r="AO20" s="77"/>
      <c r="AP20" s="77"/>
      <c r="AQ20" s="77"/>
      <c r="AR20" s="77"/>
      <c r="AS20" s="77"/>
      <c r="AT20" s="84"/>
      <c r="AU20" s="37"/>
      <c r="AV20" s="37"/>
      <c r="AW20" s="37"/>
      <c r="AX20" s="76"/>
      <c r="AY20" s="77"/>
      <c r="AZ20" s="77"/>
      <c r="BA20" s="77"/>
      <c r="BB20" s="77"/>
      <c r="BC20" s="77"/>
      <c r="BD20" s="77"/>
      <c r="BE20" s="77"/>
      <c r="BF20" s="77"/>
      <c r="BG20" s="77"/>
      <c r="BH20" s="86"/>
      <c r="BI20" s="79"/>
      <c r="BJ20" s="86"/>
      <c r="BK20" s="77"/>
    </row>
    <row r="21" s="18" customFormat="1" spans="1:63">
      <c r="A21" s="73" t="s">
        <v>84</v>
      </c>
      <c r="B21" s="101"/>
      <c r="C21" s="101"/>
      <c r="D21" s="101"/>
      <c r="E21" s="102"/>
      <c r="F21" s="103"/>
      <c r="G21" s="103"/>
      <c r="H21" s="104"/>
      <c r="I21" s="78"/>
      <c r="J21" s="78"/>
      <c r="K21" s="105"/>
      <c r="L21" s="78"/>
      <c r="M21" s="78"/>
      <c r="N21" s="78"/>
      <c r="O21" s="78"/>
      <c r="P21" s="81"/>
      <c r="Q21" s="81"/>
      <c r="R21" s="83"/>
      <c r="S21" s="78"/>
      <c r="T21" s="106"/>
      <c r="U21" s="107"/>
      <c r="V21" s="81"/>
      <c r="W21" s="81"/>
      <c r="X21" s="83"/>
      <c r="Y21" s="78"/>
      <c r="Z21" s="78"/>
      <c r="AA21" s="78"/>
      <c r="AB21" s="78"/>
      <c r="AC21" s="78"/>
      <c r="AD21" s="78"/>
      <c r="AE21" s="78"/>
      <c r="AF21" s="106"/>
      <c r="AG21" s="43"/>
      <c r="AH21" s="43"/>
      <c r="AI21" s="108"/>
      <c r="AJ21" s="78"/>
      <c r="AK21" s="104"/>
      <c r="AL21" s="78"/>
      <c r="AM21" s="78"/>
      <c r="AN21" s="78"/>
      <c r="AO21" s="78"/>
      <c r="AP21" s="78"/>
      <c r="AQ21" s="78"/>
      <c r="AR21" s="78"/>
      <c r="AS21" s="78"/>
      <c r="AT21" s="106"/>
      <c r="AU21" s="43"/>
      <c r="AV21" s="43"/>
      <c r="AW21" s="43"/>
      <c r="AX21" s="104"/>
      <c r="AY21" s="78"/>
      <c r="AZ21" s="78"/>
      <c r="BA21" s="78"/>
      <c r="BB21" s="78"/>
      <c r="BC21" s="78"/>
      <c r="BD21" s="78"/>
      <c r="BE21" s="78"/>
      <c r="BF21" s="78"/>
      <c r="BG21" s="78"/>
      <c r="BH21" s="83"/>
      <c r="BI21" s="105"/>
      <c r="BJ21" s="83"/>
      <c r="BK21" s="78"/>
    </row>
    <row r="22" s="18" customFormat="1" spans="1:63">
      <c r="A22" s="73" t="s">
        <v>85</v>
      </c>
      <c r="B22" s="101"/>
      <c r="C22" s="101"/>
      <c r="D22" s="101"/>
      <c r="E22" s="102"/>
      <c r="F22" s="103"/>
      <c r="G22" s="103"/>
      <c r="H22" s="104"/>
      <c r="I22" s="78"/>
      <c r="J22" s="78"/>
      <c r="K22" s="105"/>
      <c r="L22" s="78"/>
      <c r="M22" s="78"/>
      <c r="N22" s="78"/>
      <c r="O22" s="78"/>
      <c r="P22" s="81"/>
      <c r="Q22" s="81"/>
      <c r="R22" s="83"/>
      <c r="S22" s="78"/>
      <c r="T22" s="106"/>
      <c r="U22" s="107"/>
      <c r="V22" s="81"/>
      <c r="W22" s="81"/>
      <c r="X22" s="83"/>
      <c r="Y22" s="78"/>
      <c r="Z22" s="78"/>
      <c r="AA22" s="78"/>
      <c r="AB22" s="78"/>
      <c r="AC22" s="78"/>
      <c r="AD22" s="78"/>
      <c r="AE22" s="78"/>
      <c r="AF22" s="106"/>
      <c r="AG22" s="43"/>
      <c r="AH22" s="43"/>
      <c r="AI22" s="108"/>
      <c r="AJ22" s="78"/>
      <c r="AK22" s="104"/>
      <c r="AL22" s="78"/>
      <c r="AM22" s="78"/>
      <c r="AN22" s="78"/>
      <c r="AO22" s="78"/>
      <c r="AP22" s="78"/>
      <c r="AQ22" s="78"/>
      <c r="AR22" s="78"/>
      <c r="AS22" s="78"/>
      <c r="AT22" s="106"/>
      <c r="AU22" s="43"/>
      <c r="AV22" s="43"/>
      <c r="AW22" s="43"/>
      <c r="AX22" s="104"/>
      <c r="AY22" s="78"/>
      <c r="AZ22" s="78"/>
      <c r="BA22" s="78"/>
      <c r="BB22" s="78"/>
      <c r="BC22" s="78"/>
      <c r="BD22" s="78"/>
      <c r="BE22" s="78"/>
      <c r="BF22" s="78"/>
      <c r="BG22" s="78"/>
      <c r="BH22" s="83"/>
      <c r="BI22" s="105"/>
      <c r="BJ22" s="83"/>
      <c r="BK22" s="78"/>
    </row>
    <row r="23" s="18" customFormat="1" spans="1:63">
      <c r="A23" s="73" t="s">
        <v>86</v>
      </c>
      <c r="B23" s="101"/>
      <c r="C23" s="101"/>
      <c r="D23" s="101"/>
      <c r="E23" s="102"/>
      <c r="F23" s="103"/>
      <c r="G23" s="103"/>
      <c r="H23" s="104"/>
      <c r="I23" s="78"/>
      <c r="J23" s="78"/>
      <c r="K23" s="105"/>
      <c r="L23" s="78"/>
      <c r="M23" s="78"/>
      <c r="N23" s="78"/>
      <c r="O23" s="78"/>
      <c r="P23" s="81"/>
      <c r="Q23" s="81"/>
      <c r="R23" s="83"/>
      <c r="S23" s="78"/>
      <c r="T23" s="106"/>
      <c r="U23" s="107"/>
      <c r="V23" s="81"/>
      <c r="W23" s="81"/>
      <c r="X23" s="83"/>
      <c r="Y23" s="78"/>
      <c r="Z23" s="78"/>
      <c r="AA23" s="78"/>
      <c r="AB23" s="78"/>
      <c r="AC23" s="78"/>
      <c r="AD23" s="78"/>
      <c r="AE23" s="78"/>
      <c r="AF23" s="106"/>
      <c r="AG23" s="43"/>
      <c r="AH23" s="43"/>
      <c r="AI23" s="108"/>
      <c r="AJ23" s="78"/>
      <c r="AK23" s="104"/>
      <c r="AL23" s="78"/>
      <c r="AM23" s="78"/>
      <c r="AN23" s="78"/>
      <c r="AO23" s="78"/>
      <c r="AP23" s="78"/>
      <c r="AQ23" s="78"/>
      <c r="AR23" s="78"/>
      <c r="AS23" s="78"/>
      <c r="AT23" s="106"/>
      <c r="AU23" s="43"/>
      <c r="AV23" s="43"/>
      <c r="AW23" s="43"/>
      <c r="AX23" s="104"/>
      <c r="AY23" s="78"/>
      <c r="AZ23" s="78"/>
      <c r="BA23" s="78"/>
      <c r="BB23" s="78"/>
      <c r="BC23" s="78"/>
      <c r="BD23" s="78"/>
      <c r="BE23" s="78"/>
      <c r="BF23" s="78"/>
      <c r="BG23" s="78"/>
      <c r="BH23" s="83"/>
      <c r="BI23" s="105"/>
      <c r="BJ23" s="83"/>
      <c r="BK23" s="78"/>
    </row>
    <row r="24" s="18" customFormat="1" spans="1:63">
      <c r="A24" s="73" t="s">
        <v>87</v>
      </c>
      <c r="B24" s="101"/>
      <c r="C24" s="101"/>
      <c r="D24" s="101"/>
      <c r="E24" s="102"/>
      <c r="F24" s="103"/>
      <c r="G24" s="103"/>
      <c r="H24" s="104"/>
      <c r="I24" s="78"/>
      <c r="J24" s="78"/>
      <c r="K24" s="105"/>
      <c r="L24" s="78"/>
      <c r="M24" s="78"/>
      <c r="N24" s="78"/>
      <c r="O24" s="78"/>
      <c r="P24" s="81"/>
      <c r="Q24" s="81"/>
      <c r="R24" s="83"/>
      <c r="S24" s="78"/>
      <c r="T24" s="106"/>
      <c r="U24" s="107"/>
      <c r="V24" s="81"/>
      <c r="W24" s="81"/>
      <c r="X24" s="83"/>
      <c r="Y24" s="78"/>
      <c r="Z24" s="78"/>
      <c r="AA24" s="78"/>
      <c r="AB24" s="78"/>
      <c r="AC24" s="78"/>
      <c r="AD24" s="78"/>
      <c r="AE24" s="78"/>
      <c r="AF24" s="106"/>
      <c r="AG24" s="43"/>
      <c r="AH24" s="43"/>
      <c r="AI24" s="108"/>
      <c r="AJ24" s="78"/>
      <c r="AK24" s="104"/>
      <c r="AL24" s="78"/>
      <c r="AM24" s="78"/>
      <c r="AN24" s="78"/>
      <c r="AO24" s="78"/>
      <c r="AP24" s="78"/>
      <c r="AQ24" s="78"/>
      <c r="AR24" s="78"/>
      <c r="AS24" s="78"/>
      <c r="AT24" s="106"/>
      <c r="AU24" s="43"/>
      <c r="AV24" s="43"/>
      <c r="AW24" s="43"/>
      <c r="AX24" s="104"/>
      <c r="AY24" s="78"/>
      <c r="AZ24" s="78"/>
      <c r="BA24" s="78"/>
      <c r="BB24" s="78"/>
      <c r="BC24" s="78"/>
      <c r="BD24" s="78"/>
      <c r="BE24" s="78"/>
      <c r="BF24" s="78"/>
      <c r="BG24" s="78"/>
      <c r="BH24" s="83"/>
      <c r="BI24" s="105"/>
      <c r="BJ24" s="83"/>
      <c r="BK24" s="78"/>
    </row>
    <row r="25" s="18" customFormat="1" spans="1:63">
      <c r="A25" s="73" t="s">
        <v>88</v>
      </c>
      <c r="B25" s="101"/>
      <c r="C25" s="101"/>
      <c r="D25" s="101"/>
      <c r="E25" s="102"/>
      <c r="F25" s="103"/>
      <c r="G25" s="103"/>
      <c r="H25" s="104"/>
      <c r="I25" s="78"/>
      <c r="J25" s="78"/>
      <c r="K25" s="105"/>
      <c r="L25" s="78"/>
      <c r="M25" s="78"/>
      <c r="N25" s="78"/>
      <c r="O25" s="78"/>
      <c r="P25" s="81"/>
      <c r="Q25" s="81"/>
      <c r="R25" s="83"/>
      <c r="S25" s="78"/>
      <c r="T25" s="106"/>
      <c r="U25" s="107"/>
      <c r="V25" s="81"/>
      <c r="W25" s="81"/>
      <c r="X25" s="83"/>
      <c r="Y25" s="78"/>
      <c r="Z25" s="78"/>
      <c r="AA25" s="78"/>
      <c r="AB25" s="78"/>
      <c r="AC25" s="78"/>
      <c r="AD25" s="78"/>
      <c r="AE25" s="78"/>
      <c r="AF25" s="106"/>
      <c r="AG25" s="43"/>
      <c r="AH25" s="43"/>
      <c r="AI25" s="108"/>
      <c r="AJ25" s="78"/>
      <c r="AK25" s="104"/>
      <c r="AL25" s="78"/>
      <c r="AM25" s="78"/>
      <c r="AN25" s="78"/>
      <c r="AO25" s="78"/>
      <c r="AP25" s="78"/>
      <c r="AQ25" s="78"/>
      <c r="AR25" s="78"/>
      <c r="AS25" s="78"/>
      <c r="AT25" s="106"/>
      <c r="AU25" s="43"/>
      <c r="AV25" s="43"/>
      <c r="AW25" s="43"/>
      <c r="AX25" s="104"/>
      <c r="AY25" s="78"/>
      <c r="AZ25" s="78"/>
      <c r="BA25" s="78"/>
      <c r="BB25" s="78"/>
      <c r="BC25" s="78"/>
      <c r="BD25" s="78"/>
      <c r="BE25" s="78"/>
      <c r="BF25" s="78"/>
      <c r="BG25" s="78"/>
      <c r="BH25" s="83"/>
      <c r="BI25" s="105"/>
      <c r="BJ25" s="83"/>
      <c r="BK25" s="78"/>
    </row>
    <row r="26" s="18" customFormat="1" spans="1:63">
      <c r="A26" s="73" t="s">
        <v>89</v>
      </c>
      <c r="B26" s="101"/>
      <c r="C26" s="101"/>
      <c r="D26" s="101"/>
      <c r="E26" s="102"/>
      <c r="F26" s="103"/>
      <c r="G26" s="103"/>
      <c r="H26" s="104"/>
      <c r="I26" s="78"/>
      <c r="J26" s="78"/>
      <c r="K26" s="105"/>
      <c r="L26" s="78"/>
      <c r="M26" s="78"/>
      <c r="N26" s="78"/>
      <c r="O26" s="78"/>
      <c r="P26" s="81"/>
      <c r="Q26" s="81"/>
      <c r="R26" s="83"/>
      <c r="S26" s="78"/>
      <c r="T26" s="106"/>
      <c r="U26" s="107"/>
      <c r="V26" s="81"/>
      <c r="W26" s="81"/>
      <c r="X26" s="83"/>
      <c r="Y26" s="78"/>
      <c r="Z26" s="78"/>
      <c r="AA26" s="78"/>
      <c r="AB26" s="78"/>
      <c r="AC26" s="78"/>
      <c r="AD26" s="78"/>
      <c r="AE26" s="78"/>
      <c r="AF26" s="106"/>
      <c r="AG26" s="43"/>
      <c r="AH26" s="43"/>
      <c r="AI26" s="108"/>
      <c r="AJ26" s="78"/>
      <c r="AK26" s="104"/>
      <c r="AL26" s="78"/>
      <c r="AM26" s="78"/>
      <c r="AN26" s="78"/>
      <c r="AO26" s="78"/>
      <c r="AP26" s="78"/>
      <c r="AQ26" s="78"/>
      <c r="AR26" s="78"/>
      <c r="AS26" s="78"/>
      <c r="AT26" s="106"/>
      <c r="AU26" s="43"/>
      <c r="AV26" s="43"/>
      <c r="AW26" s="43"/>
      <c r="AX26" s="104"/>
      <c r="AY26" s="78"/>
      <c r="AZ26" s="78"/>
      <c r="BA26" s="78"/>
      <c r="BB26" s="78"/>
      <c r="BC26" s="78"/>
      <c r="BD26" s="78"/>
      <c r="BE26" s="78"/>
      <c r="BF26" s="78"/>
      <c r="BG26" s="78"/>
      <c r="BH26" s="83"/>
      <c r="BI26" s="105"/>
      <c r="BJ26" s="83"/>
      <c r="BK26" s="78"/>
    </row>
    <row r="27" s="18" customFormat="1" spans="1:63">
      <c r="A27" s="73" t="s">
        <v>90</v>
      </c>
      <c r="B27" s="101"/>
      <c r="C27" s="101"/>
      <c r="D27" s="101"/>
      <c r="E27" s="102"/>
      <c r="F27" s="103"/>
      <c r="G27" s="103"/>
      <c r="H27" s="104"/>
      <c r="I27" s="78"/>
      <c r="J27" s="78"/>
      <c r="K27" s="105"/>
      <c r="L27" s="78"/>
      <c r="M27" s="78"/>
      <c r="N27" s="78"/>
      <c r="O27" s="78"/>
      <c r="P27" s="81"/>
      <c r="Q27" s="81"/>
      <c r="R27" s="83"/>
      <c r="S27" s="78"/>
      <c r="T27" s="106"/>
      <c r="U27" s="107"/>
      <c r="V27" s="81"/>
      <c r="W27" s="81"/>
      <c r="X27" s="83"/>
      <c r="Y27" s="78"/>
      <c r="Z27" s="78"/>
      <c r="AA27" s="78"/>
      <c r="AB27" s="78"/>
      <c r="AC27" s="78"/>
      <c r="AD27" s="78"/>
      <c r="AE27" s="78"/>
      <c r="AF27" s="106"/>
      <c r="AG27" s="43"/>
      <c r="AH27" s="43"/>
      <c r="AI27" s="108"/>
      <c r="AJ27" s="78"/>
      <c r="AK27" s="104"/>
      <c r="AL27" s="78"/>
      <c r="AM27" s="78"/>
      <c r="AN27" s="78"/>
      <c r="AO27" s="78"/>
      <c r="AP27" s="78"/>
      <c r="AQ27" s="78"/>
      <c r="AR27" s="78"/>
      <c r="AS27" s="78"/>
      <c r="AT27" s="106"/>
      <c r="AU27" s="43"/>
      <c r="AV27" s="43"/>
      <c r="AW27" s="43"/>
      <c r="AX27" s="104"/>
      <c r="AY27" s="78"/>
      <c r="AZ27" s="78"/>
      <c r="BA27" s="78"/>
      <c r="BB27" s="78"/>
      <c r="BC27" s="78"/>
      <c r="BD27" s="78"/>
      <c r="BE27" s="78"/>
      <c r="BF27" s="78"/>
      <c r="BG27" s="78"/>
      <c r="BH27" s="83"/>
      <c r="BI27" s="105"/>
      <c r="BJ27" s="83"/>
      <c r="BK27" s="78"/>
    </row>
    <row r="28" s="18" customFormat="1" spans="1:63">
      <c r="A28" s="73" t="s">
        <v>91</v>
      </c>
      <c r="B28" s="101"/>
      <c r="C28" s="101"/>
      <c r="D28" s="101"/>
      <c r="E28" s="102"/>
      <c r="F28" s="103"/>
      <c r="G28" s="103"/>
      <c r="H28" s="104"/>
      <c r="I28" s="78"/>
      <c r="J28" s="78"/>
      <c r="K28" s="105"/>
      <c r="L28" s="78"/>
      <c r="M28" s="78"/>
      <c r="N28" s="78"/>
      <c r="O28" s="78"/>
      <c r="P28" s="81"/>
      <c r="Q28" s="81"/>
      <c r="R28" s="83"/>
      <c r="S28" s="78"/>
      <c r="T28" s="106"/>
      <c r="U28" s="107"/>
      <c r="V28" s="81"/>
      <c r="W28" s="81"/>
      <c r="X28" s="78"/>
      <c r="Y28" s="78"/>
      <c r="Z28" s="78"/>
      <c r="AA28" s="78"/>
      <c r="AB28" s="78"/>
      <c r="AC28" s="78"/>
      <c r="AD28" s="78"/>
      <c r="AE28" s="78"/>
      <c r="AF28" s="106"/>
      <c r="AG28" s="43"/>
      <c r="AH28" s="43"/>
      <c r="AI28" s="108"/>
      <c r="AJ28" s="78"/>
      <c r="AK28" s="104"/>
      <c r="AL28" s="78"/>
      <c r="AM28" s="78"/>
      <c r="AN28" s="78"/>
      <c r="AO28" s="78"/>
      <c r="AP28" s="78"/>
      <c r="AQ28" s="78"/>
      <c r="AR28" s="78"/>
      <c r="AS28" s="78"/>
      <c r="AT28" s="106"/>
      <c r="AU28" s="43"/>
      <c r="AV28" s="43"/>
      <c r="AW28" s="43"/>
      <c r="AX28" s="104"/>
      <c r="AY28" s="78"/>
      <c r="AZ28" s="78"/>
      <c r="BA28" s="78"/>
      <c r="BB28" s="78"/>
      <c r="BC28" s="78"/>
      <c r="BD28" s="78"/>
      <c r="BE28" s="78"/>
      <c r="BF28" s="78"/>
      <c r="BG28" s="78"/>
      <c r="BH28" s="83"/>
      <c r="BI28" s="105"/>
      <c r="BJ28" s="83"/>
      <c r="BK28" s="78"/>
    </row>
    <row r="29" s="18" customFormat="1" spans="1:63">
      <c r="A29" s="73" t="s">
        <v>92</v>
      </c>
      <c r="B29" s="101"/>
      <c r="C29" s="101"/>
      <c r="D29" s="101"/>
      <c r="E29" s="102"/>
      <c r="F29" s="103"/>
      <c r="G29" s="103"/>
      <c r="H29" s="104"/>
      <c r="I29" s="78"/>
      <c r="J29" s="78"/>
      <c r="K29" s="105"/>
      <c r="L29" s="78"/>
      <c r="M29" s="78"/>
      <c r="N29" s="78"/>
      <c r="O29" s="78"/>
      <c r="P29" s="81"/>
      <c r="Q29" s="81"/>
      <c r="R29" s="83"/>
      <c r="S29" s="78"/>
      <c r="T29" s="106"/>
      <c r="U29" s="107"/>
      <c r="V29" s="81"/>
      <c r="W29" s="81"/>
      <c r="X29" s="78"/>
      <c r="Y29" s="78"/>
      <c r="Z29" s="78"/>
      <c r="AA29" s="78"/>
      <c r="AB29" s="78"/>
      <c r="AC29" s="78"/>
      <c r="AD29" s="78"/>
      <c r="AE29" s="78"/>
      <c r="AF29" s="106"/>
      <c r="AG29" s="43"/>
      <c r="AH29" s="43"/>
      <c r="AI29" s="108"/>
      <c r="AJ29" s="78"/>
      <c r="AK29" s="104"/>
      <c r="AL29" s="78"/>
      <c r="AM29" s="78"/>
      <c r="AN29" s="78"/>
      <c r="AO29" s="78"/>
      <c r="AP29" s="78"/>
      <c r="AQ29" s="78"/>
      <c r="AR29" s="78"/>
      <c r="AS29" s="78"/>
      <c r="AT29" s="106"/>
      <c r="AU29" s="43"/>
      <c r="AV29" s="43"/>
      <c r="AW29" s="43"/>
      <c r="AX29" s="104"/>
      <c r="AY29" s="78"/>
      <c r="AZ29" s="78"/>
      <c r="BA29" s="78"/>
      <c r="BB29" s="78"/>
      <c r="BC29" s="78"/>
      <c r="BD29" s="78"/>
      <c r="BE29" s="78"/>
      <c r="BF29" s="78"/>
      <c r="BG29" s="78"/>
      <c r="BH29" s="83"/>
      <c r="BI29" s="105"/>
      <c r="BJ29" s="83"/>
      <c r="BK29" s="78"/>
    </row>
    <row r="30" s="18" customFormat="1" spans="1:63">
      <c r="A30" s="73" t="s">
        <v>93</v>
      </c>
      <c r="B30" s="101"/>
      <c r="C30" s="101"/>
      <c r="D30" s="101"/>
      <c r="E30" s="102"/>
      <c r="F30" s="103"/>
      <c r="G30" s="103"/>
      <c r="H30" s="104"/>
      <c r="I30" s="78"/>
      <c r="J30" s="78"/>
      <c r="K30" s="105"/>
      <c r="L30" s="78"/>
      <c r="M30" s="78"/>
      <c r="N30" s="78"/>
      <c r="O30" s="78"/>
      <c r="P30" s="81"/>
      <c r="Q30" s="81"/>
      <c r="R30" s="83"/>
      <c r="S30" s="78"/>
      <c r="T30" s="106"/>
      <c r="U30" s="107"/>
      <c r="V30" s="81"/>
      <c r="W30" s="81"/>
      <c r="X30" s="78"/>
      <c r="Y30" s="78"/>
      <c r="Z30" s="78"/>
      <c r="AA30" s="78"/>
      <c r="AB30" s="78"/>
      <c r="AC30" s="78"/>
      <c r="AD30" s="78"/>
      <c r="AE30" s="78"/>
      <c r="AF30" s="106"/>
      <c r="AG30" s="43"/>
      <c r="AH30" s="43"/>
      <c r="AI30" s="108"/>
      <c r="AJ30" s="78"/>
      <c r="AK30" s="104"/>
      <c r="AL30" s="78"/>
      <c r="AM30" s="78"/>
      <c r="AN30" s="78"/>
      <c r="AO30" s="78"/>
      <c r="AP30" s="78"/>
      <c r="AQ30" s="78"/>
      <c r="AR30" s="78"/>
      <c r="AS30" s="78"/>
      <c r="AT30" s="106"/>
      <c r="AU30" s="43"/>
      <c r="AV30" s="43"/>
      <c r="AW30" s="43"/>
      <c r="AX30" s="104"/>
      <c r="AY30" s="78"/>
      <c r="AZ30" s="78"/>
      <c r="BA30" s="78"/>
      <c r="BB30" s="78"/>
      <c r="BC30" s="78"/>
      <c r="BD30" s="78"/>
      <c r="BE30" s="78"/>
      <c r="BF30" s="78"/>
      <c r="BG30" s="78"/>
      <c r="BH30" s="83"/>
      <c r="BI30" s="105"/>
      <c r="BJ30" s="83"/>
      <c r="BK30" s="78"/>
    </row>
    <row r="31" s="18" customFormat="1" spans="1:63">
      <c r="A31" s="73" t="s">
        <v>94</v>
      </c>
      <c r="B31" s="101"/>
      <c r="C31" s="101"/>
      <c r="D31" s="101"/>
      <c r="E31" s="102"/>
      <c r="F31" s="103"/>
      <c r="G31" s="103"/>
      <c r="H31" s="104"/>
      <c r="I31" s="78"/>
      <c r="J31" s="78"/>
      <c r="K31" s="105"/>
      <c r="L31" s="78"/>
      <c r="M31" s="78"/>
      <c r="N31" s="78"/>
      <c r="O31" s="78"/>
      <c r="P31" s="81"/>
      <c r="Q31" s="81"/>
      <c r="R31" s="83"/>
      <c r="S31" s="78"/>
      <c r="T31" s="106"/>
      <c r="U31" s="107"/>
      <c r="V31" s="81"/>
      <c r="W31" s="81"/>
      <c r="X31" s="78"/>
      <c r="Y31" s="78"/>
      <c r="Z31" s="78"/>
      <c r="AA31" s="78"/>
      <c r="AB31" s="78"/>
      <c r="AC31" s="78"/>
      <c r="AD31" s="78"/>
      <c r="AE31" s="78"/>
      <c r="AF31" s="106"/>
      <c r="AG31" s="43"/>
      <c r="AH31" s="43"/>
      <c r="AI31" s="108"/>
      <c r="AJ31" s="78"/>
      <c r="AK31" s="104"/>
      <c r="AL31" s="78"/>
      <c r="AM31" s="78"/>
      <c r="AN31" s="78"/>
      <c r="AO31" s="78"/>
      <c r="AP31" s="78"/>
      <c r="AQ31" s="78"/>
      <c r="AR31" s="78"/>
      <c r="AS31" s="78"/>
      <c r="AT31" s="106"/>
      <c r="AU31" s="43"/>
      <c r="AV31" s="43"/>
      <c r="AW31" s="43"/>
      <c r="AX31" s="104"/>
      <c r="AY31" s="78"/>
      <c r="AZ31" s="78"/>
      <c r="BA31" s="78"/>
      <c r="BB31" s="78"/>
      <c r="BC31" s="78"/>
      <c r="BD31" s="78"/>
      <c r="BE31" s="78"/>
      <c r="BF31" s="78"/>
      <c r="BG31" s="78"/>
      <c r="BH31" s="83"/>
      <c r="BI31" s="105"/>
      <c r="BJ31" s="83"/>
      <c r="BK31" s="78"/>
    </row>
    <row r="32" s="18" customFormat="1" spans="1:63">
      <c r="A32" s="73" t="s">
        <v>95</v>
      </c>
      <c r="B32" s="101"/>
      <c r="C32" s="101"/>
      <c r="D32" s="101"/>
      <c r="E32" s="102"/>
      <c r="F32" s="103"/>
      <c r="G32" s="103"/>
      <c r="H32" s="104"/>
      <c r="I32" s="78"/>
      <c r="J32" s="78"/>
      <c r="K32" s="105"/>
      <c r="L32" s="78"/>
      <c r="M32" s="78"/>
      <c r="N32" s="78"/>
      <c r="O32" s="78"/>
      <c r="P32" s="81"/>
      <c r="Q32" s="81"/>
      <c r="R32" s="83"/>
      <c r="S32" s="78"/>
      <c r="T32" s="106"/>
      <c r="U32" s="107"/>
      <c r="V32" s="81"/>
      <c r="W32" s="81"/>
      <c r="X32" s="83"/>
      <c r="Y32" s="78"/>
      <c r="Z32" s="78"/>
      <c r="AA32" s="78"/>
      <c r="AB32" s="78"/>
      <c r="AC32" s="78"/>
      <c r="AD32" s="78"/>
      <c r="AE32" s="78"/>
      <c r="AF32" s="106"/>
      <c r="AG32" s="43"/>
      <c r="AH32" s="43"/>
      <c r="AI32" s="108"/>
      <c r="AJ32" s="78"/>
      <c r="AK32" s="104"/>
      <c r="AL32" s="78"/>
      <c r="AM32" s="78"/>
      <c r="AN32" s="78"/>
      <c r="AO32" s="78"/>
      <c r="AP32" s="78"/>
      <c r="AQ32" s="78"/>
      <c r="AR32" s="78"/>
      <c r="AS32" s="78"/>
      <c r="AT32" s="106"/>
      <c r="AU32" s="43"/>
      <c r="AV32" s="43"/>
      <c r="AW32" s="43"/>
      <c r="AX32" s="104"/>
      <c r="AY32" s="78"/>
      <c r="AZ32" s="78"/>
      <c r="BA32" s="78"/>
      <c r="BB32" s="78"/>
      <c r="BC32" s="78"/>
      <c r="BD32" s="78"/>
      <c r="BE32" s="78"/>
      <c r="BF32" s="78"/>
      <c r="BG32" s="78"/>
      <c r="BH32" s="83"/>
      <c r="BI32" s="105"/>
      <c r="BJ32" s="83"/>
      <c r="BK32" s="78"/>
    </row>
    <row r="33" s="18" customFormat="1" spans="1:63">
      <c r="A33" s="73" t="s">
        <v>96</v>
      </c>
      <c r="B33" s="101"/>
      <c r="C33" s="101"/>
      <c r="D33" s="101"/>
      <c r="E33" s="102"/>
      <c r="F33" s="103"/>
      <c r="G33" s="103"/>
      <c r="H33" s="104"/>
      <c r="I33" s="78"/>
      <c r="J33" s="78"/>
      <c r="K33" s="105"/>
      <c r="L33" s="83"/>
      <c r="M33" s="78"/>
      <c r="N33" s="78"/>
      <c r="O33" s="78"/>
      <c r="P33" s="81"/>
      <c r="Q33" s="81"/>
      <c r="R33" s="83"/>
      <c r="S33" s="78"/>
      <c r="T33" s="106"/>
      <c r="U33" s="107"/>
      <c r="V33" s="81"/>
      <c r="W33" s="81"/>
      <c r="X33" s="83"/>
      <c r="Y33" s="78"/>
      <c r="Z33" s="78"/>
      <c r="AA33" s="78"/>
      <c r="AB33" s="78"/>
      <c r="AC33" s="78"/>
      <c r="AD33" s="78"/>
      <c r="AE33" s="78"/>
      <c r="AF33" s="106"/>
      <c r="AG33" s="43"/>
      <c r="AH33" s="43"/>
      <c r="AI33" s="108"/>
      <c r="AJ33" s="78"/>
      <c r="AK33" s="104"/>
      <c r="AL33" s="78"/>
      <c r="AM33" s="78"/>
      <c r="AN33" s="78"/>
      <c r="AO33" s="78"/>
      <c r="AP33" s="78"/>
      <c r="AQ33" s="78"/>
      <c r="AR33" s="78"/>
      <c r="AS33" s="78"/>
      <c r="AT33" s="106"/>
      <c r="AU33" s="43"/>
      <c r="AV33" s="43"/>
      <c r="AW33" s="43"/>
      <c r="AX33" s="104"/>
      <c r="AY33" s="78"/>
      <c r="AZ33" s="78"/>
      <c r="BA33" s="78"/>
      <c r="BB33" s="78"/>
      <c r="BC33" s="78"/>
      <c r="BD33" s="78"/>
      <c r="BE33" s="78"/>
      <c r="BF33" s="78"/>
      <c r="BG33" s="78"/>
      <c r="BH33" s="83"/>
      <c r="BI33" s="105"/>
      <c r="BJ33" s="83"/>
      <c r="BK33" s="78"/>
    </row>
    <row r="34" s="18" customFormat="1" spans="1:63">
      <c r="A34" s="73" t="s">
        <v>97</v>
      </c>
      <c r="B34" s="101"/>
      <c r="C34" s="101"/>
      <c r="D34" s="101"/>
      <c r="E34" s="102"/>
      <c r="F34" s="103"/>
      <c r="G34" s="103"/>
      <c r="H34" s="104"/>
      <c r="I34" s="78"/>
      <c r="J34" s="78"/>
      <c r="K34" s="105"/>
      <c r="L34" s="78"/>
      <c r="M34" s="78"/>
      <c r="N34" s="78"/>
      <c r="O34" s="78"/>
      <c r="P34" s="81"/>
      <c r="Q34" s="81"/>
      <c r="R34" s="83"/>
      <c r="S34" s="78"/>
      <c r="T34" s="106"/>
      <c r="U34" s="107"/>
      <c r="V34" s="81"/>
      <c r="W34" s="81"/>
      <c r="X34" s="83"/>
      <c r="Y34" s="78"/>
      <c r="Z34" s="78"/>
      <c r="AA34" s="78"/>
      <c r="AB34" s="78"/>
      <c r="AC34" s="78"/>
      <c r="AD34" s="78"/>
      <c r="AE34" s="78"/>
      <c r="AF34" s="106"/>
      <c r="AG34" s="43"/>
      <c r="AH34" s="43"/>
      <c r="AI34" s="108"/>
      <c r="AJ34" s="78"/>
      <c r="AK34" s="104"/>
      <c r="AL34" s="78"/>
      <c r="AM34" s="78"/>
      <c r="AN34" s="78"/>
      <c r="AO34" s="78"/>
      <c r="AP34" s="78"/>
      <c r="AQ34" s="78"/>
      <c r="AR34" s="78"/>
      <c r="AS34" s="78"/>
      <c r="AT34" s="106"/>
      <c r="AU34" s="43"/>
      <c r="AV34" s="43"/>
      <c r="AW34" s="43"/>
      <c r="AX34" s="104"/>
      <c r="AY34" s="78"/>
      <c r="AZ34" s="78"/>
      <c r="BA34" s="78"/>
      <c r="BB34" s="78"/>
      <c r="BC34" s="78"/>
      <c r="BD34" s="78"/>
      <c r="BE34" s="78"/>
      <c r="BF34" s="78"/>
      <c r="BG34" s="78"/>
      <c r="BH34" s="83"/>
      <c r="BI34" s="105"/>
      <c r="BJ34" s="83"/>
      <c r="BK34" s="78"/>
    </row>
    <row r="35" s="18" customFormat="1" spans="1:63">
      <c r="A35" s="73" t="s">
        <v>98</v>
      </c>
      <c r="B35" s="101"/>
      <c r="C35" s="101"/>
      <c r="D35" s="101"/>
      <c r="E35" s="102"/>
      <c r="F35" s="103"/>
      <c r="G35" s="103"/>
      <c r="H35" s="104"/>
      <c r="I35" s="78"/>
      <c r="J35" s="78"/>
      <c r="K35" s="105"/>
      <c r="L35" s="78"/>
      <c r="M35" s="78"/>
      <c r="N35" s="78"/>
      <c r="O35" s="78"/>
      <c r="P35" s="81"/>
      <c r="Q35" s="81"/>
      <c r="R35" s="83"/>
      <c r="S35" s="78"/>
      <c r="T35" s="106"/>
      <c r="U35" s="107"/>
      <c r="V35" s="81"/>
      <c r="W35" s="81"/>
      <c r="X35" s="83"/>
      <c r="Y35" s="78"/>
      <c r="Z35" s="78"/>
      <c r="AA35" s="78"/>
      <c r="AB35" s="78"/>
      <c r="AC35" s="78"/>
      <c r="AD35" s="78"/>
      <c r="AE35" s="78"/>
      <c r="AF35" s="106"/>
      <c r="AG35" s="43"/>
      <c r="AH35" s="43"/>
      <c r="AI35" s="108"/>
      <c r="AJ35" s="78"/>
      <c r="AK35" s="104"/>
      <c r="AL35" s="78"/>
      <c r="AM35" s="78"/>
      <c r="AN35" s="78"/>
      <c r="AO35" s="78"/>
      <c r="AP35" s="78"/>
      <c r="AQ35" s="78"/>
      <c r="AR35" s="78"/>
      <c r="AS35" s="78"/>
      <c r="AT35" s="106"/>
      <c r="AU35" s="43"/>
      <c r="AV35" s="43"/>
      <c r="AW35" s="43"/>
      <c r="AX35" s="104"/>
      <c r="AY35" s="78"/>
      <c r="AZ35" s="78"/>
      <c r="BA35" s="78"/>
      <c r="BB35" s="78"/>
      <c r="BC35" s="78"/>
      <c r="BD35" s="78"/>
      <c r="BE35" s="78"/>
      <c r="BF35" s="78"/>
      <c r="BG35" s="78"/>
      <c r="BH35" s="83"/>
      <c r="BI35" s="105"/>
      <c r="BJ35" s="83"/>
      <c r="BK35" s="78"/>
    </row>
    <row r="36" s="18" customFormat="1" spans="1:63">
      <c r="A36" s="73" t="s">
        <v>99</v>
      </c>
      <c r="B36" s="101"/>
      <c r="C36" s="101"/>
      <c r="D36" s="101"/>
      <c r="E36" s="102"/>
      <c r="F36" s="103"/>
      <c r="G36" s="103"/>
      <c r="H36" s="104"/>
      <c r="I36" s="78"/>
      <c r="J36" s="78"/>
      <c r="K36" s="105"/>
      <c r="L36" s="78"/>
      <c r="M36" s="78"/>
      <c r="N36" s="78"/>
      <c r="O36" s="78"/>
      <c r="P36" s="81"/>
      <c r="Q36" s="81"/>
      <c r="R36" s="83"/>
      <c r="S36" s="78"/>
      <c r="T36" s="106"/>
      <c r="U36" s="107"/>
      <c r="V36" s="81"/>
      <c r="W36" s="81"/>
      <c r="X36" s="83"/>
      <c r="Y36" s="78"/>
      <c r="Z36" s="78"/>
      <c r="AA36" s="78"/>
      <c r="AB36" s="78"/>
      <c r="AC36" s="78"/>
      <c r="AD36" s="78"/>
      <c r="AE36" s="78"/>
      <c r="AF36" s="106"/>
      <c r="AG36" s="43"/>
      <c r="AH36" s="43"/>
      <c r="AI36" s="108"/>
      <c r="AJ36" s="78"/>
      <c r="AK36" s="104"/>
      <c r="AL36" s="78"/>
      <c r="AM36" s="78"/>
      <c r="AN36" s="78"/>
      <c r="AO36" s="78"/>
      <c r="AP36" s="78"/>
      <c r="AQ36" s="78"/>
      <c r="AR36" s="78"/>
      <c r="AS36" s="78"/>
      <c r="AT36" s="106"/>
      <c r="AU36" s="43"/>
      <c r="AV36" s="43"/>
      <c r="AW36" s="43"/>
      <c r="AX36" s="104"/>
      <c r="AY36" s="78"/>
      <c r="AZ36" s="78"/>
      <c r="BA36" s="78"/>
      <c r="BB36" s="78"/>
      <c r="BC36" s="78"/>
      <c r="BD36" s="78"/>
      <c r="BE36" s="78"/>
      <c r="BF36" s="78"/>
      <c r="BG36" s="78"/>
      <c r="BH36" s="83"/>
      <c r="BI36" s="105"/>
      <c r="BJ36" s="83"/>
      <c r="BK36" s="78"/>
    </row>
    <row r="37" s="18" customFormat="1" spans="1:63">
      <c r="A37" s="73"/>
      <c r="B37" s="101"/>
      <c r="C37" s="101"/>
      <c r="D37" s="101"/>
      <c r="E37" s="102"/>
      <c r="F37" s="103"/>
      <c r="G37" s="103"/>
      <c r="H37" s="104"/>
      <c r="I37" s="78"/>
      <c r="J37" s="78"/>
      <c r="K37" s="105"/>
      <c r="L37" s="78"/>
      <c r="M37" s="78"/>
      <c r="N37" s="78"/>
      <c r="O37" s="78"/>
      <c r="P37" s="81"/>
      <c r="Q37" s="81"/>
      <c r="R37" s="83"/>
      <c r="S37" s="78"/>
      <c r="T37" s="106"/>
      <c r="U37" s="107"/>
      <c r="V37" s="81"/>
      <c r="W37" s="81"/>
      <c r="X37" s="83"/>
      <c r="Y37" s="78"/>
      <c r="Z37" s="78"/>
      <c r="AA37" s="78"/>
      <c r="AB37" s="78"/>
      <c r="AC37" s="78"/>
      <c r="AD37" s="78"/>
      <c r="AE37" s="78"/>
      <c r="AF37" s="106"/>
      <c r="AG37" s="43"/>
      <c r="AH37" s="43"/>
      <c r="AI37" s="108"/>
      <c r="AJ37" s="78"/>
      <c r="AK37" s="104"/>
      <c r="AL37" s="78"/>
      <c r="AM37" s="78"/>
      <c r="AN37" s="78"/>
      <c r="AO37" s="78"/>
      <c r="AP37" s="78"/>
      <c r="AQ37" s="78"/>
      <c r="AR37" s="78"/>
      <c r="AS37" s="78"/>
      <c r="AT37" s="106"/>
      <c r="AU37" s="43"/>
      <c r="AV37" s="43"/>
      <c r="AW37" s="43"/>
      <c r="AX37" s="104"/>
      <c r="AY37" s="78"/>
      <c r="AZ37" s="78"/>
      <c r="BA37" s="78"/>
      <c r="BB37" s="78"/>
      <c r="BC37" s="78"/>
      <c r="BD37" s="78"/>
      <c r="BE37" s="78"/>
      <c r="BF37" s="78"/>
      <c r="BG37" s="78"/>
      <c r="BH37" s="83"/>
      <c r="BI37" s="105"/>
      <c r="BJ37" s="83"/>
      <c r="BK37" s="78"/>
    </row>
    <row r="38" s="18" customFormat="1" spans="1:63">
      <c r="A38" s="73"/>
      <c r="B38" s="101"/>
      <c r="C38" s="101"/>
      <c r="D38" s="101"/>
      <c r="E38" s="102"/>
      <c r="F38" s="103"/>
      <c r="G38" s="103"/>
      <c r="H38" s="104"/>
      <c r="I38" s="78"/>
      <c r="J38" s="78"/>
      <c r="K38" s="105"/>
      <c r="L38" s="78"/>
      <c r="M38" s="78"/>
      <c r="N38" s="78"/>
      <c r="O38" s="78"/>
      <c r="P38" s="81"/>
      <c r="Q38" s="81"/>
      <c r="R38" s="83"/>
      <c r="S38" s="78"/>
      <c r="T38" s="106"/>
      <c r="U38" s="107"/>
      <c r="V38" s="81"/>
      <c r="W38" s="81"/>
      <c r="X38" s="83"/>
      <c r="Y38" s="78"/>
      <c r="Z38" s="78"/>
      <c r="AA38" s="78"/>
      <c r="AB38" s="78"/>
      <c r="AC38" s="78"/>
      <c r="AD38" s="78"/>
      <c r="AE38" s="78"/>
      <c r="AF38" s="106"/>
      <c r="AG38" s="43"/>
      <c r="AH38" s="43"/>
      <c r="AI38" s="108"/>
      <c r="AJ38" s="78"/>
      <c r="AK38" s="104"/>
      <c r="AL38" s="78"/>
      <c r="AM38" s="78"/>
      <c r="AN38" s="78"/>
      <c r="AO38" s="78"/>
      <c r="AP38" s="78"/>
      <c r="AQ38" s="78"/>
      <c r="AR38" s="78"/>
      <c r="AS38" s="78"/>
      <c r="AT38" s="106"/>
      <c r="AU38" s="43"/>
      <c r="AV38" s="43"/>
      <c r="AW38" s="43"/>
      <c r="AX38" s="104"/>
      <c r="AY38" s="78"/>
      <c r="AZ38" s="78"/>
      <c r="BA38" s="78"/>
      <c r="BB38" s="78"/>
      <c r="BC38" s="78"/>
      <c r="BD38" s="78"/>
      <c r="BE38" s="78"/>
      <c r="BF38" s="78"/>
      <c r="BG38" s="78"/>
      <c r="BH38" s="83"/>
      <c r="BI38" s="105"/>
      <c r="BJ38" s="83"/>
      <c r="BK38" s="78"/>
    </row>
    <row r="39" s="18" customFormat="1" spans="1:63">
      <c r="A39" s="73"/>
      <c r="B39" s="101"/>
      <c r="C39" s="101"/>
      <c r="D39" s="101"/>
      <c r="E39" s="102"/>
      <c r="F39" s="103"/>
      <c r="G39" s="103"/>
      <c r="H39" s="104"/>
      <c r="I39" s="78"/>
      <c r="J39" s="78"/>
      <c r="K39" s="105"/>
      <c r="L39" s="78"/>
      <c r="M39" s="78"/>
      <c r="N39" s="78"/>
      <c r="O39" s="78"/>
      <c r="P39" s="81"/>
      <c r="Q39" s="81"/>
      <c r="R39" s="83"/>
      <c r="S39" s="78"/>
      <c r="T39" s="106"/>
      <c r="U39" s="107"/>
      <c r="V39" s="81"/>
      <c r="W39" s="81"/>
      <c r="X39" s="83"/>
      <c r="Y39" s="78"/>
      <c r="Z39" s="78"/>
      <c r="AA39" s="78"/>
      <c r="AB39" s="78"/>
      <c r="AC39" s="78"/>
      <c r="AD39" s="78"/>
      <c r="AE39" s="78"/>
      <c r="AF39" s="106"/>
      <c r="AG39" s="43"/>
      <c r="AH39" s="43"/>
      <c r="AI39" s="108"/>
      <c r="AJ39" s="78"/>
      <c r="AK39" s="104"/>
      <c r="AL39" s="78"/>
      <c r="AM39" s="78"/>
      <c r="AN39" s="78"/>
      <c r="AO39" s="78"/>
      <c r="AP39" s="78"/>
      <c r="AQ39" s="78"/>
      <c r="AR39" s="78"/>
      <c r="AS39" s="78"/>
      <c r="AT39" s="106"/>
      <c r="AU39" s="43"/>
      <c r="AV39" s="43"/>
      <c r="AW39" s="43"/>
      <c r="AX39" s="104"/>
      <c r="AY39" s="78"/>
      <c r="AZ39" s="78"/>
      <c r="BA39" s="78"/>
      <c r="BB39" s="78"/>
      <c r="BC39" s="78"/>
      <c r="BD39" s="78"/>
      <c r="BE39" s="78"/>
      <c r="BF39" s="78"/>
      <c r="BG39" s="78"/>
      <c r="BH39" s="83"/>
      <c r="BI39" s="105"/>
      <c r="BJ39" s="83"/>
      <c r="BK39" s="78"/>
    </row>
    <row r="40" s="18" customFormat="1" spans="1:63">
      <c r="A40" s="73"/>
      <c r="B40" s="101"/>
      <c r="C40" s="101"/>
      <c r="D40" s="101"/>
      <c r="E40" s="102"/>
      <c r="F40" s="103"/>
      <c r="G40" s="103"/>
      <c r="H40" s="104"/>
      <c r="I40" s="78"/>
      <c r="J40" s="78"/>
      <c r="K40" s="105"/>
      <c r="L40" s="78"/>
      <c r="M40" s="78"/>
      <c r="N40" s="78"/>
      <c r="O40" s="78"/>
      <c r="P40" s="81"/>
      <c r="Q40" s="81"/>
      <c r="R40" s="83"/>
      <c r="S40" s="78"/>
      <c r="T40" s="106"/>
      <c r="U40" s="107"/>
      <c r="V40" s="81"/>
      <c r="W40" s="81"/>
      <c r="X40" s="83"/>
      <c r="Y40" s="78"/>
      <c r="Z40" s="78"/>
      <c r="AA40" s="78"/>
      <c r="AB40" s="78"/>
      <c r="AC40" s="78"/>
      <c r="AD40" s="78"/>
      <c r="AE40" s="78"/>
      <c r="AF40" s="106"/>
      <c r="AG40" s="43"/>
      <c r="AH40" s="43"/>
      <c r="AI40" s="108"/>
      <c r="AJ40" s="78"/>
      <c r="AK40" s="104"/>
      <c r="AL40" s="78"/>
      <c r="AM40" s="78"/>
      <c r="AN40" s="78"/>
      <c r="AO40" s="78"/>
      <c r="AP40" s="78"/>
      <c r="AQ40" s="78"/>
      <c r="AR40" s="78"/>
      <c r="AS40" s="78"/>
      <c r="AT40" s="106"/>
      <c r="AU40" s="43"/>
      <c r="AV40" s="43"/>
      <c r="AW40" s="43"/>
      <c r="AX40" s="104"/>
      <c r="AY40" s="78"/>
      <c r="AZ40" s="78"/>
      <c r="BA40" s="78"/>
      <c r="BB40" s="78"/>
      <c r="BC40" s="78"/>
      <c r="BD40" s="78"/>
      <c r="BE40" s="78"/>
      <c r="BF40" s="78"/>
      <c r="BG40" s="78"/>
      <c r="BH40" s="83"/>
      <c r="BI40" s="105"/>
      <c r="BJ40" s="83"/>
      <c r="BK40" s="78"/>
    </row>
    <row r="41" s="18" customFormat="1" spans="1:63">
      <c r="A41" s="73"/>
      <c r="B41" s="101"/>
      <c r="C41" s="101"/>
      <c r="D41" s="101"/>
      <c r="E41" s="102"/>
      <c r="F41" s="103"/>
      <c r="G41" s="103"/>
      <c r="H41" s="104"/>
      <c r="I41" s="78"/>
      <c r="J41" s="78"/>
      <c r="K41" s="105"/>
      <c r="L41" s="78"/>
      <c r="M41" s="78"/>
      <c r="N41" s="78"/>
      <c r="O41" s="78"/>
      <c r="P41" s="81"/>
      <c r="Q41" s="81"/>
      <c r="R41" s="83"/>
      <c r="S41" s="78"/>
      <c r="T41" s="106"/>
      <c r="U41" s="107"/>
      <c r="V41" s="81"/>
      <c r="W41" s="81"/>
      <c r="X41" s="83"/>
      <c r="Y41" s="78"/>
      <c r="Z41" s="78"/>
      <c r="AA41" s="78"/>
      <c r="AB41" s="78"/>
      <c r="AC41" s="78"/>
      <c r="AD41" s="78"/>
      <c r="AE41" s="78"/>
      <c r="AF41" s="106"/>
      <c r="AG41" s="43"/>
      <c r="AH41" s="43"/>
      <c r="AI41" s="108"/>
      <c r="AJ41" s="78"/>
      <c r="AK41" s="104"/>
      <c r="AL41" s="78"/>
      <c r="AM41" s="78"/>
      <c r="AN41" s="78"/>
      <c r="AO41" s="78"/>
      <c r="AP41" s="78"/>
      <c r="AQ41" s="78"/>
      <c r="AR41" s="78"/>
      <c r="AS41" s="78"/>
      <c r="AT41" s="106"/>
      <c r="AU41" s="43"/>
      <c r="AV41" s="43"/>
      <c r="AW41" s="43"/>
      <c r="AX41" s="104"/>
      <c r="AY41" s="78"/>
      <c r="AZ41" s="78"/>
      <c r="BA41" s="78"/>
      <c r="BB41" s="78"/>
      <c r="BC41" s="78"/>
      <c r="BD41" s="78"/>
      <c r="BE41" s="78"/>
      <c r="BF41" s="78"/>
      <c r="BG41" s="78"/>
      <c r="BH41" s="83"/>
      <c r="BI41" s="105"/>
      <c r="BJ41" s="83"/>
      <c r="BK41" s="78"/>
    </row>
    <row r="42" s="18" customFormat="1" spans="1:63">
      <c r="A42" s="73"/>
      <c r="B42" s="101"/>
      <c r="C42" s="101"/>
      <c r="D42" s="101"/>
      <c r="E42" s="102"/>
      <c r="F42" s="103"/>
      <c r="G42" s="103"/>
      <c r="H42" s="104"/>
      <c r="I42" s="78"/>
      <c r="J42" s="78"/>
      <c r="K42" s="105"/>
      <c r="L42" s="78"/>
      <c r="M42" s="78"/>
      <c r="N42" s="78"/>
      <c r="O42" s="78"/>
      <c r="P42" s="81"/>
      <c r="Q42" s="81"/>
      <c r="R42" s="83"/>
      <c r="S42" s="78"/>
      <c r="T42" s="106"/>
      <c r="U42" s="107"/>
      <c r="V42" s="81"/>
      <c r="W42" s="81"/>
      <c r="X42" s="83"/>
      <c r="Y42" s="78"/>
      <c r="Z42" s="78"/>
      <c r="AA42" s="78"/>
      <c r="AB42" s="78"/>
      <c r="AC42" s="78"/>
      <c r="AD42" s="78"/>
      <c r="AE42" s="78"/>
      <c r="AF42" s="106"/>
      <c r="AG42" s="43"/>
      <c r="AH42" s="43"/>
      <c r="AI42" s="108"/>
      <c r="AJ42" s="78"/>
      <c r="AK42" s="104"/>
      <c r="AL42" s="78"/>
      <c r="AM42" s="78"/>
      <c r="AN42" s="78"/>
      <c r="AO42" s="78"/>
      <c r="AP42" s="78"/>
      <c r="AQ42" s="78"/>
      <c r="AR42" s="78"/>
      <c r="AS42" s="78"/>
      <c r="AT42" s="106"/>
      <c r="AU42" s="43"/>
      <c r="AV42" s="43"/>
      <c r="AW42" s="43"/>
      <c r="AX42" s="104"/>
      <c r="AY42" s="78"/>
      <c r="AZ42" s="78"/>
      <c r="BA42" s="78"/>
      <c r="BB42" s="78"/>
      <c r="BC42" s="78"/>
      <c r="BD42" s="78"/>
      <c r="BE42" s="78"/>
      <c r="BF42" s="78"/>
      <c r="BG42" s="78"/>
      <c r="BH42" s="83"/>
      <c r="BI42" s="105"/>
      <c r="BJ42" s="83"/>
      <c r="BK42" s="78"/>
    </row>
    <row r="43" s="18" customFormat="1" spans="1:63">
      <c r="A43" s="73"/>
      <c r="B43" s="101"/>
      <c r="C43" s="101"/>
      <c r="D43" s="101"/>
      <c r="E43" s="102"/>
      <c r="F43" s="103"/>
      <c r="G43" s="103"/>
      <c r="H43" s="104"/>
      <c r="I43" s="78"/>
      <c r="J43" s="78"/>
      <c r="K43" s="105"/>
      <c r="L43" s="78"/>
      <c r="M43" s="78"/>
      <c r="N43" s="78"/>
      <c r="O43" s="78"/>
      <c r="P43" s="81"/>
      <c r="Q43" s="81"/>
      <c r="R43" s="83"/>
      <c r="S43" s="78"/>
      <c r="T43" s="106"/>
      <c r="U43" s="107"/>
      <c r="V43" s="81"/>
      <c r="W43" s="81"/>
      <c r="X43" s="83"/>
      <c r="Y43" s="78"/>
      <c r="Z43" s="78"/>
      <c r="AA43" s="78"/>
      <c r="AB43" s="78"/>
      <c r="AC43" s="78"/>
      <c r="AD43" s="78"/>
      <c r="AE43" s="78"/>
      <c r="AF43" s="106"/>
      <c r="AG43" s="43"/>
      <c r="AH43" s="43"/>
      <c r="AI43" s="108"/>
      <c r="AJ43" s="78"/>
      <c r="AK43" s="104"/>
      <c r="AL43" s="78"/>
      <c r="AM43" s="78"/>
      <c r="AN43" s="78"/>
      <c r="AO43" s="78"/>
      <c r="AP43" s="78"/>
      <c r="AQ43" s="78"/>
      <c r="AR43" s="78"/>
      <c r="AS43" s="78"/>
      <c r="AT43" s="106"/>
      <c r="AU43" s="43"/>
      <c r="AV43" s="43"/>
      <c r="AW43" s="43"/>
      <c r="AX43" s="104"/>
      <c r="AY43" s="78"/>
      <c r="AZ43" s="78"/>
      <c r="BA43" s="78"/>
      <c r="BB43" s="78"/>
      <c r="BC43" s="78"/>
      <c r="BD43" s="78"/>
      <c r="BE43" s="78"/>
      <c r="BF43" s="78"/>
      <c r="BG43" s="78"/>
      <c r="BH43" s="83"/>
      <c r="BI43" s="105"/>
      <c r="BJ43" s="83"/>
      <c r="BK43" s="78"/>
    </row>
    <row r="44" s="18" customFormat="1" spans="1:63">
      <c r="A44" s="73"/>
      <c r="B44" s="101"/>
      <c r="C44" s="101"/>
      <c r="D44" s="101"/>
      <c r="E44" s="102"/>
      <c r="F44" s="103"/>
      <c r="G44" s="103"/>
      <c r="H44" s="104"/>
      <c r="I44" s="78"/>
      <c r="J44" s="78"/>
      <c r="K44" s="105"/>
      <c r="L44" s="78"/>
      <c r="M44" s="78"/>
      <c r="N44" s="78"/>
      <c r="O44" s="78"/>
      <c r="P44" s="81"/>
      <c r="Q44" s="81"/>
      <c r="R44" s="83"/>
      <c r="S44" s="78"/>
      <c r="T44" s="106"/>
      <c r="U44" s="107"/>
      <c r="V44" s="81"/>
      <c r="W44" s="81"/>
      <c r="X44" s="83"/>
      <c r="Y44" s="78"/>
      <c r="Z44" s="78"/>
      <c r="AA44" s="78"/>
      <c r="AB44" s="78"/>
      <c r="AC44" s="78"/>
      <c r="AD44" s="78"/>
      <c r="AE44" s="78"/>
      <c r="AF44" s="106"/>
      <c r="AG44" s="43"/>
      <c r="AH44" s="43"/>
      <c r="AI44" s="108"/>
      <c r="AJ44" s="78"/>
      <c r="AK44" s="104"/>
      <c r="AL44" s="78"/>
      <c r="AM44" s="78"/>
      <c r="AN44" s="78"/>
      <c r="AO44" s="78"/>
      <c r="AP44" s="78"/>
      <c r="AQ44" s="78"/>
      <c r="AR44" s="78"/>
      <c r="AS44" s="78"/>
      <c r="AT44" s="106"/>
      <c r="AU44" s="43"/>
      <c r="AV44" s="43"/>
      <c r="AW44" s="43"/>
      <c r="AX44" s="104"/>
      <c r="AY44" s="78"/>
      <c r="AZ44" s="78"/>
      <c r="BA44" s="78"/>
      <c r="BB44" s="78"/>
      <c r="BC44" s="78"/>
      <c r="BD44" s="78"/>
      <c r="BE44" s="78"/>
      <c r="BF44" s="78"/>
      <c r="BG44" s="78"/>
      <c r="BH44" s="83"/>
      <c r="BI44" s="105"/>
      <c r="BJ44" s="83"/>
      <c r="BK44" s="78"/>
    </row>
    <row r="45" s="18" customFormat="1" spans="1:63">
      <c r="A45" s="73"/>
      <c r="B45" s="101"/>
      <c r="C45" s="101"/>
      <c r="D45" s="101"/>
      <c r="E45" s="102"/>
      <c r="F45" s="103"/>
      <c r="G45" s="103"/>
      <c r="H45" s="104"/>
      <c r="I45" s="78"/>
      <c r="J45" s="78"/>
      <c r="K45" s="105"/>
      <c r="L45" s="78"/>
      <c r="M45" s="78"/>
      <c r="N45" s="78"/>
      <c r="O45" s="78"/>
      <c r="P45" s="81"/>
      <c r="Q45" s="81"/>
      <c r="R45" s="83"/>
      <c r="S45" s="78"/>
      <c r="T45" s="106"/>
      <c r="U45" s="107"/>
      <c r="V45" s="81"/>
      <c r="W45" s="81"/>
      <c r="X45" s="83"/>
      <c r="Y45" s="78"/>
      <c r="Z45" s="78"/>
      <c r="AA45" s="78"/>
      <c r="AB45" s="78"/>
      <c r="AC45" s="78"/>
      <c r="AD45" s="78"/>
      <c r="AE45" s="78"/>
      <c r="AF45" s="106"/>
      <c r="AG45" s="43"/>
      <c r="AH45" s="43"/>
      <c r="AI45" s="108"/>
      <c r="AJ45" s="78"/>
      <c r="AK45" s="104"/>
      <c r="AL45" s="78"/>
      <c r="AM45" s="78"/>
      <c r="AN45" s="78"/>
      <c r="AO45" s="78"/>
      <c r="AP45" s="78"/>
      <c r="AQ45" s="78"/>
      <c r="AR45" s="78"/>
      <c r="AS45" s="78"/>
      <c r="AT45" s="106"/>
      <c r="AU45" s="43"/>
      <c r="AV45" s="43"/>
      <c r="AW45" s="43"/>
      <c r="AX45" s="104"/>
      <c r="AY45" s="78"/>
      <c r="AZ45" s="78"/>
      <c r="BA45" s="78"/>
      <c r="BB45" s="78"/>
      <c r="BC45" s="78"/>
      <c r="BD45" s="78"/>
      <c r="BE45" s="78"/>
      <c r="BF45" s="78"/>
      <c r="BG45" s="78"/>
      <c r="BH45" s="83"/>
      <c r="BI45" s="105"/>
      <c r="BJ45" s="83"/>
      <c r="BK45" s="78"/>
    </row>
    <row r="46" s="18" customFormat="1" spans="1:63">
      <c r="A46" s="73"/>
      <c r="B46" s="101"/>
      <c r="C46" s="101"/>
      <c r="D46" s="101"/>
      <c r="E46" s="102"/>
      <c r="F46" s="103"/>
      <c r="G46" s="103"/>
      <c r="H46" s="104"/>
      <c r="I46" s="78"/>
      <c r="J46" s="78"/>
      <c r="K46" s="105"/>
      <c r="L46" s="78"/>
      <c r="M46" s="78"/>
      <c r="N46" s="78"/>
      <c r="O46" s="78"/>
      <c r="P46" s="81"/>
      <c r="Q46" s="81"/>
      <c r="R46" s="83"/>
      <c r="S46" s="78"/>
      <c r="T46" s="106"/>
      <c r="U46" s="107"/>
      <c r="V46" s="81"/>
      <c r="W46" s="81"/>
      <c r="X46" s="83"/>
      <c r="Y46" s="78"/>
      <c r="Z46" s="78"/>
      <c r="AA46" s="78"/>
      <c r="AB46" s="78"/>
      <c r="AC46" s="78"/>
      <c r="AD46" s="78"/>
      <c r="AE46" s="78"/>
      <c r="AF46" s="106"/>
      <c r="AG46" s="43"/>
      <c r="AH46" s="43"/>
      <c r="AI46" s="108"/>
      <c r="AJ46" s="78"/>
      <c r="AK46" s="104"/>
      <c r="AL46" s="78"/>
      <c r="AM46" s="78"/>
      <c r="AN46" s="78"/>
      <c r="AO46" s="78"/>
      <c r="AP46" s="78"/>
      <c r="AQ46" s="78"/>
      <c r="AR46" s="78"/>
      <c r="AS46" s="78"/>
      <c r="AT46" s="106"/>
      <c r="AU46" s="43"/>
      <c r="AV46" s="43"/>
      <c r="AW46" s="43"/>
      <c r="AX46" s="104"/>
      <c r="AY46" s="78"/>
      <c r="AZ46" s="78"/>
      <c r="BA46" s="78"/>
      <c r="BB46" s="78"/>
      <c r="BC46" s="78"/>
      <c r="BD46" s="78"/>
      <c r="BE46" s="78"/>
      <c r="BF46" s="78"/>
      <c r="BG46" s="78"/>
      <c r="BH46" s="83"/>
      <c r="BI46" s="105"/>
      <c r="BJ46" s="83"/>
      <c r="BK46" s="78"/>
    </row>
    <row r="47" s="18" customFormat="1" spans="1:63">
      <c r="A47" s="73"/>
      <c r="B47" s="101"/>
      <c r="C47" s="101"/>
      <c r="D47" s="101"/>
      <c r="E47" s="102"/>
      <c r="F47" s="103"/>
      <c r="G47" s="103"/>
      <c r="H47" s="104"/>
      <c r="I47" s="78"/>
      <c r="J47" s="78"/>
      <c r="K47" s="105"/>
      <c r="L47" s="78"/>
      <c r="M47" s="78"/>
      <c r="N47" s="78"/>
      <c r="O47" s="78"/>
      <c r="P47" s="81"/>
      <c r="Q47" s="81"/>
      <c r="R47" s="83"/>
      <c r="S47" s="78"/>
      <c r="T47" s="106"/>
      <c r="U47" s="107"/>
      <c r="V47" s="81"/>
      <c r="W47" s="81"/>
      <c r="X47" s="83"/>
      <c r="Y47" s="78"/>
      <c r="Z47" s="78"/>
      <c r="AA47" s="78"/>
      <c r="AB47" s="78"/>
      <c r="AC47" s="78"/>
      <c r="AD47" s="78"/>
      <c r="AE47" s="78"/>
      <c r="AF47" s="106"/>
      <c r="AG47" s="43"/>
      <c r="AH47" s="43"/>
      <c r="AI47" s="108"/>
      <c r="AJ47" s="78"/>
      <c r="AK47" s="104"/>
      <c r="AL47" s="78"/>
      <c r="AM47" s="78"/>
      <c r="AN47" s="78"/>
      <c r="AO47" s="78"/>
      <c r="AP47" s="78"/>
      <c r="AQ47" s="78"/>
      <c r="AR47" s="78"/>
      <c r="AS47" s="78"/>
      <c r="AT47" s="106"/>
      <c r="AU47" s="43"/>
      <c r="AV47" s="43"/>
      <c r="AW47" s="43"/>
      <c r="AX47" s="104"/>
      <c r="AY47" s="78"/>
      <c r="AZ47" s="78"/>
      <c r="BA47" s="78"/>
      <c r="BB47" s="78"/>
      <c r="BC47" s="78"/>
      <c r="BD47" s="78"/>
      <c r="BE47" s="78"/>
      <c r="BF47" s="78"/>
      <c r="BG47" s="78"/>
      <c r="BH47" s="83"/>
      <c r="BI47" s="105"/>
      <c r="BJ47" s="83"/>
      <c r="BK47" s="78"/>
    </row>
    <row r="48" s="18" customFormat="1" spans="1:63">
      <c r="A48" s="73"/>
      <c r="B48" s="101"/>
      <c r="C48" s="101"/>
      <c r="D48" s="101"/>
      <c r="E48" s="102"/>
      <c r="F48" s="103"/>
      <c r="G48" s="103"/>
      <c r="H48" s="104"/>
      <c r="I48" s="78"/>
      <c r="J48" s="78"/>
      <c r="K48" s="105"/>
      <c r="L48" s="78"/>
      <c r="M48" s="78"/>
      <c r="N48" s="78"/>
      <c r="O48" s="78"/>
      <c r="P48" s="81"/>
      <c r="Q48" s="81"/>
      <c r="R48" s="83"/>
      <c r="S48" s="78"/>
      <c r="T48" s="106"/>
      <c r="U48" s="107"/>
      <c r="V48" s="81"/>
      <c r="W48" s="81"/>
      <c r="X48" s="83"/>
      <c r="Y48" s="78"/>
      <c r="Z48" s="78"/>
      <c r="AA48" s="78"/>
      <c r="AB48" s="78"/>
      <c r="AC48" s="78"/>
      <c r="AD48" s="78"/>
      <c r="AE48" s="78"/>
      <c r="AF48" s="106"/>
      <c r="AG48" s="43"/>
      <c r="AH48" s="43"/>
      <c r="AI48" s="108"/>
      <c r="AJ48" s="78"/>
      <c r="AK48" s="104"/>
      <c r="AL48" s="78"/>
      <c r="AM48" s="78"/>
      <c r="AN48" s="78"/>
      <c r="AO48" s="78"/>
      <c r="AP48" s="78"/>
      <c r="AQ48" s="78"/>
      <c r="AR48" s="78"/>
      <c r="AS48" s="78"/>
      <c r="AT48" s="106"/>
      <c r="AU48" s="43"/>
      <c r="AV48" s="43"/>
      <c r="AW48" s="43"/>
      <c r="AX48" s="104"/>
      <c r="AY48" s="78"/>
      <c r="AZ48" s="78"/>
      <c r="BA48" s="78"/>
      <c r="BB48" s="78"/>
      <c r="BC48" s="78"/>
      <c r="BD48" s="78"/>
      <c r="BE48" s="78"/>
      <c r="BF48" s="78"/>
      <c r="BG48" s="78"/>
      <c r="BH48" s="83"/>
      <c r="BI48" s="105"/>
      <c r="BJ48" s="83"/>
      <c r="BK48" s="78"/>
    </row>
    <row r="49" s="18" customFormat="1" spans="1:63">
      <c r="A49" s="73"/>
      <c r="B49" s="101"/>
      <c r="C49" s="101"/>
      <c r="D49" s="101"/>
      <c r="E49" s="102"/>
      <c r="F49" s="103"/>
      <c r="G49" s="103"/>
      <c r="H49" s="104"/>
      <c r="I49" s="78"/>
      <c r="J49" s="78"/>
      <c r="K49" s="105"/>
      <c r="L49" s="78"/>
      <c r="M49" s="78"/>
      <c r="N49" s="78"/>
      <c r="O49" s="78"/>
      <c r="P49" s="81"/>
      <c r="Q49" s="81"/>
      <c r="R49" s="83"/>
      <c r="S49" s="78"/>
      <c r="T49" s="106"/>
      <c r="U49" s="107"/>
      <c r="V49" s="81"/>
      <c r="W49" s="81"/>
      <c r="X49" s="83"/>
      <c r="Y49" s="78"/>
      <c r="Z49" s="78"/>
      <c r="AA49" s="78"/>
      <c r="AB49" s="78"/>
      <c r="AC49" s="78"/>
      <c r="AD49" s="78"/>
      <c r="AE49" s="78"/>
      <c r="AF49" s="106"/>
      <c r="AG49" s="43"/>
      <c r="AH49" s="43"/>
      <c r="AI49" s="108"/>
      <c r="AJ49" s="78"/>
      <c r="AK49" s="104"/>
      <c r="AL49" s="78"/>
      <c r="AM49" s="78"/>
      <c r="AN49" s="78"/>
      <c r="AO49" s="78"/>
      <c r="AP49" s="78"/>
      <c r="AQ49" s="78"/>
      <c r="AR49" s="78"/>
      <c r="AS49" s="78"/>
      <c r="AT49" s="106"/>
      <c r="AU49" s="43"/>
      <c r="AV49" s="43"/>
      <c r="AW49" s="43"/>
      <c r="AX49" s="104"/>
      <c r="AY49" s="78"/>
      <c r="AZ49" s="78"/>
      <c r="BA49" s="78"/>
      <c r="BB49" s="78"/>
      <c r="BC49" s="78"/>
      <c r="BD49" s="78"/>
      <c r="BE49" s="78"/>
      <c r="BF49" s="78"/>
      <c r="BG49" s="78"/>
      <c r="BH49" s="83"/>
      <c r="BI49" s="105"/>
      <c r="BJ49" s="83"/>
      <c r="BK49" s="78"/>
    </row>
    <row r="50" s="18" customFormat="1" spans="1:63">
      <c r="A50" s="73"/>
      <c r="B50" s="101"/>
      <c r="C50" s="101"/>
      <c r="D50" s="101"/>
      <c r="E50" s="102"/>
      <c r="F50" s="103"/>
      <c r="G50" s="103"/>
      <c r="H50" s="104"/>
      <c r="I50" s="78"/>
      <c r="J50" s="78"/>
      <c r="K50" s="105"/>
      <c r="L50" s="78"/>
      <c r="M50" s="78"/>
      <c r="N50" s="78"/>
      <c r="O50" s="78"/>
      <c r="P50" s="81"/>
      <c r="Q50" s="81"/>
      <c r="R50" s="83"/>
      <c r="S50" s="78"/>
      <c r="T50" s="106"/>
      <c r="U50" s="107"/>
      <c r="V50" s="81"/>
      <c r="W50" s="81"/>
      <c r="X50" s="83"/>
      <c r="Y50" s="78"/>
      <c r="Z50" s="78"/>
      <c r="AA50" s="78"/>
      <c r="AB50" s="78"/>
      <c r="AC50" s="78"/>
      <c r="AD50" s="78"/>
      <c r="AE50" s="78"/>
      <c r="AF50" s="106"/>
      <c r="AG50" s="43"/>
      <c r="AH50" s="43"/>
      <c r="AI50" s="108"/>
      <c r="AJ50" s="78"/>
      <c r="AK50" s="104"/>
      <c r="AL50" s="78"/>
      <c r="AM50" s="78"/>
      <c r="AN50" s="78"/>
      <c r="AO50" s="78"/>
      <c r="AP50" s="78"/>
      <c r="AQ50" s="78"/>
      <c r="AR50" s="78"/>
      <c r="AS50" s="78"/>
      <c r="AT50" s="106"/>
      <c r="AU50" s="43"/>
      <c r="AV50" s="43"/>
      <c r="AW50" s="43"/>
      <c r="AX50" s="104"/>
      <c r="AY50" s="78"/>
      <c r="AZ50" s="78"/>
      <c r="BA50" s="78"/>
      <c r="BB50" s="78"/>
      <c r="BC50" s="78"/>
      <c r="BD50" s="78"/>
      <c r="BE50" s="78"/>
      <c r="BF50" s="78"/>
      <c r="BG50" s="78"/>
      <c r="BH50" s="83"/>
      <c r="BI50" s="105"/>
      <c r="BJ50" s="83"/>
      <c r="BK50" s="78"/>
    </row>
    <row r="51" s="18" customFormat="1" spans="1:63">
      <c r="A51" s="73"/>
      <c r="B51" s="101"/>
      <c r="C51" s="101"/>
      <c r="D51" s="101"/>
      <c r="E51" s="102"/>
      <c r="F51" s="103"/>
      <c r="G51" s="103"/>
      <c r="H51" s="104"/>
      <c r="I51" s="78"/>
      <c r="J51" s="78"/>
      <c r="K51" s="105"/>
      <c r="L51" s="78"/>
      <c r="M51" s="78"/>
      <c r="N51" s="78"/>
      <c r="O51" s="78"/>
      <c r="P51" s="81"/>
      <c r="Q51" s="81"/>
      <c r="R51" s="83"/>
      <c r="S51" s="78"/>
      <c r="T51" s="106"/>
      <c r="U51" s="107"/>
      <c r="V51" s="81"/>
      <c r="W51" s="81"/>
      <c r="X51" s="83"/>
      <c r="Y51" s="78"/>
      <c r="Z51" s="78"/>
      <c r="AA51" s="78"/>
      <c r="AB51" s="78"/>
      <c r="AC51" s="78"/>
      <c r="AD51" s="78"/>
      <c r="AE51" s="78"/>
      <c r="AF51" s="106"/>
      <c r="AG51" s="43"/>
      <c r="AH51" s="43"/>
      <c r="AI51" s="108"/>
      <c r="AJ51" s="78"/>
      <c r="AK51" s="104"/>
      <c r="AL51" s="78"/>
      <c r="AM51" s="78"/>
      <c r="AN51" s="78"/>
      <c r="AO51" s="78"/>
      <c r="AP51" s="78"/>
      <c r="AQ51" s="78"/>
      <c r="AR51" s="78"/>
      <c r="AS51" s="78"/>
      <c r="AT51" s="106"/>
      <c r="AU51" s="43"/>
      <c r="AV51" s="43"/>
      <c r="AW51" s="43"/>
      <c r="AX51" s="104"/>
      <c r="AY51" s="78"/>
      <c r="AZ51" s="78"/>
      <c r="BA51" s="78"/>
      <c r="BB51" s="78"/>
      <c r="BC51" s="78"/>
      <c r="BD51" s="78"/>
      <c r="BE51" s="78"/>
      <c r="BF51" s="78"/>
      <c r="BG51" s="78"/>
      <c r="BH51" s="83"/>
      <c r="BI51" s="105"/>
      <c r="BJ51" s="83"/>
      <c r="BK51" s="78"/>
    </row>
    <row r="52" s="18" customFormat="1" spans="1:63">
      <c r="A52" s="73"/>
      <c r="B52" s="101"/>
      <c r="C52" s="101"/>
      <c r="D52" s="101"/>
      <c r="E52" s="102"/>
      <c r="F52" s="103"/>
      <c r="G52" s="103"/>
      <c r="H52" s="104"/>
      <c r="I52" s="78"/>
      <c r="J52" s="78"/>
      <c r="K52" s="105"/>
      <c r="L52" s="78"/>
      <c r="M52" s="78"/>
      <c r="N52" s="78"/>
      <c r="O52" s="78"/>
      <c r="P52" s="81"/>
      <c r="Q52" s="81"/>
      <c r="R52" s="83"/>
      <c r="S52" s="78"/>
      <c r="T52" s="106"/>
      <c r="U52" s="107"/>
      <c r="V52" s="81"/>
      <c r="W52" s="81"/>
      <c r="X52" s="83"/>
      <c r="Y52" s="78"/>
      <c r="Z52" s="78"/>
      <c r="AA52" s="78"/>
      <c r="AB52" s="78"/>
      <c r="AC52" s="78"/>
      <c r="AD52" s="78"/>
      <c r="AE52" s="78"/>
      <c r="AF52" s="106"/>
      <c r="AG52" s="43"/>
      <c r="AH52" s="43"/>
      <c r="AI52" s="108"/>
      <c r="AJ52" s="78"/>
      <c r="AK52" s="104"/>
      <c r="AL52" s="78"/>
      <c r="AM52" s="78"/>
      <c r="AN52" s="78"/>
      <c r="AO52" s="109"/>
      <c r="AP52" s="109"/>
      <c r="AQ52" s="78"/>
      <c r="AR52" s="78"/>
      <c r="AS52" s="78"/>
      <c r="AT52" s="106"/>
      <c r="AU52" s="43"/>
      <c r="AV52" s="43"/>
      <c r="AW52" s="43"/>
      <c r="AX52" s="104"/>
      <c r="AY52" s="78"/>
      <c r="AZ52" s="78"/>
      <c r="BA52" s="78"/>
      <c r="BB52" s="78"/>
      <c r="BC52" s="78"/>
      <c r="BD52" s="78"/>
      <c r="BE52" s="78"/>
      <c r="BF52" s="78"/>
      <c r="BG52" s="78"/>
      <c r="BH52" s="83"/>
      <c r="BI52" s="105"/>
      <c r="BJ52" s="83"/>
      <c r="BK52" s="78"/>
    </row>
    <row r="53" s="18" customFormat="1" spans="1:63">
      <c r="A53" s="73"/>
      <c r="B53" s="101"/>
      <c r="C53" s="101"/>
      <c r="D53" s="101"/>
      <c r="E53" s="102"/>
      <c r="F53" s="103"/>
      <c r="G53" s="103"/>
      <c r="H53" s="104"/>
      <c r="I53" s="78"/>
      <c r="J53" s="78"/>
      <c r="K53" s="105"/>
      <c r="L53" s="78"/>
      <c r="M53" s="78"/>
      <c r="N53" s="78"/>
      <c r="O53" s="78"/>
      <c r="P53" s="81"/>
      <c r="Q53" s="81"/>
      <c r="R53" s="83"/>
      <c r="S53" s="78"/>
      <c r="T53" s="106"/>
      <c r="U53" s="107"/>
      <c r="V53" s="81"/>
      <c r="W53" s="81"/>
      <c r="X53" s="83"/>
      <c r="Y53" s="78"/>
      <c r="Z53" s="78"/>
      <c r="AA53" s="78"/>
      <c r="AB53" s="78"/>
      <c r="AC53" s="78"/>
      <c r="AD53" s="78"/>
      <c r="AE53" s="78"/>
      <c r="AF53" s="106"/>
      <c r="AG53" s="43"/>
      <c r="AH53" s="43"/>
      <c r="AI53" s="108"/>
      <c r="AJ53" s="78"/>
      <c r="AK53" s="104"/>
      <c r="AL53" s="78"/>
      <c r="AM53" s="78"/>
      <c r="AN53" s="110"/>
      <c r="AO53" s="43"/>
      <c r="AP53" s="43"/>
      <c r="AQ53" s="104"/>
      <c r="AR53" s="78"/>
      <c r="AS53" s="78"/>
      <c r="AT53" s="106"/>
      <c r="AU53" s="43"/>
      <c r="AV53" s="43"/>
      <c r="AW53" s="43"/>
      <c r="AX53" s="104"/>
      <c r="AY53" s="78"/>
      <c r="AZ53" s="78"/>
      <c r="BA53" s="78"/>
      <c r="BB53" s="78"/>
      <c r="BC53" s="78"/>
      <c r="BD53" s="78"/>
      <c r="BE53" s="78"/>
      <c r="BF53" s="78"/>
      <c r="BG53" s="78"/>
      <c r="BH53" s="83"/>
      <c r="BI53" s="105"/>
      <c r="BJ53" s="83"/>
      <c r="BK53" s="78"/>
    </row>
    <row r="54" s="18" customFormat="1" spans="1:63">
      <c r="A54" s="73"/>
      <c r="B54" s="101"/>
      <c r="C54" s="101"/>
      <c r="D54" s="101"/>
      <c r="E54" s="102"/>
      <c r="F54" s="103"/>
      <c r="G54" s="103"/>
      <c r="H54" s="104"/>
      <c r="I54" s="78"/>
      <c r="J54" s="78"/>
      <c r="K54" s="105"/>
      <c r="L54" s="78"/>
      <c r="M54" s="78"/>
      <c r="N54" s="78"/>
      <c r="O54" s="78"/>
      <c r="P54" s="81"/>
      <c r="Q54" s="81"/>
      <c r="R54" s="83"/>
      <c r="S54" s="78"/>
      <c r="T54" s="106"/>
      <c r="U54" s="107"/>
      <c r="V54" s="81"/>
      <c r="W54" s="81"/>
      <c r="X54" s="83"/>
      <c r="Y54" s="78"/>
      <c r="Z54" s="78"/>
      <c r="AA54" s="78"/>
      <c r="AB54" s="78"/>
      <c r="AC54" s="78"/>
      <c r="AD54" s="78"/>
      <c r="AE54" s="78"/>
      <c r="AF54" s="110"/>
      <c r="AG54" s="43"/>
      <c r="AH54" s="43"/>
      <c r="AI54" s="108"/>
      <c r="AJ54" s="78"/>
      <c r="AK54" s="104"/>
      <c r="AL54" s="78"/>
      <c r="AM54" s="106"/>
      <c r="AN54" s="111"/>
      <c r="AO54" s="43"/>
      <c r="AP54" s="43"/>
      <c r="AQ54" s="104"/>
      <c r="AR54" s="78"/>
      <c r="AS54" s="78"/>
      <c r="AT54" s="106"/>
      <c r="AU54" s="43"/>
      <c r="AV54" s="43"/>
      <c r="AW54" s="43"/>
      <c r="AX54" s="104"/>
      <c r="AY54" s="78"/>
      <c r="AZ54" s="78"/>
      <c r="BA54" s="78"/>
      <c r="BB54" s="78"/>
      <c r="BC54" s="78"/>
      <c r="BD54" s="78"/>
      <c r="BE54" s="78"/>
      <c r="BF54" s="78"/>
      <c r="BG54" s="78"/>
      <c r="BH54" s="83"/>
      <c r="BI54" s="105"/>
      <c r="BJ54" s="83"/>
      <c r="BK54" s="78"/>
    </row>
    <row r="55" s="18" customFormat="1" spans="1:63">
      <c r="A55" s="73"/>
      <c r="B55" s="101"/>
      <c r="C55" s="101"/>
      <c r="D55" s="101"/>
      <c r="E55" s="102"/>
      <c r="F55" s="103"/>
      <c r="G55" s="103"/>
      <c r="H55" s="104"/>
      <c r="I55" s="78"/>
      <c r="J55" s="78"/>
      <c r="K55" s="105"/>
      <c r="L55" s="78"/>
      <c r="M55" s="78"/>
      <c r="N55" s="78"/>
      <c r="O55" s="78"/>
      <c r="P55" s="81"/>
      <c r="Q55" s="81"/>
      <c r="R55" s="83"/>
      <c r="S55" s="78"/>
      <c r="T55" s="106"/>
      <c r="U55" s="107"/>
      <c r="V55" s="81"/>
      <c r="W55" s="81"/>
      <c r="X55" s="83"/>
      <c r="Y55" s="104"/>
      <c r="Z55" s="78"/>
      <c r="AA55" s="78"/>
      <c r="AB55" s="78"/>
      <c r="AC55" s="78"/>
      <c r="AD55" s="78"/>
      <c r="AE55" s="106"/>
      <c r="AF55" s="111"/>
      <c r="AG55" s="43"/>
      <c r="AH55" s="43"/>
      <c r="AI55" s="108"/>
      <c r="AJ55" s="78"/>
      <c r="AK55" s="104"/>
      <c r="AL55" s="78"/>
      <c r="AM55" s="106"/>
      <c r="AN55" s="111"/>
      <c r="AO55" s="43"/>
      <c r="AP55" s="43"/>
      <c r="AQ55" s="112"/>
      <c r="AR55" s="78"/>
      <c r="AS55" s="78"/>
      <c r="AT55" s="106"/>
      <c r="AU55" s="43"/>
      <c r="AV55" s="43"/>
      <c r="AW55" s="43"/>
      <c r="AX55" s="104"/>
      <c r="AY55" s="78"/>
      <c r="AZ55" s="78"/>
      <c r="BA55" s="78"/>
      <c r="BB55" s="78"/>
      <c r="BC55" s="78"/>
      <c r="BD55" s="78"/>
      <c r="BE55" s="78"/>
      <c r="BF55" s="78"/>
      <c r="BG55" s="78"/>
      <c r="BH55" s="83"/>
      <c r="BI55" s="105"/>
      <c r="BJ55" s="83"/>
      <c r="BK55" s="78"/>
    </row>
    <row r="56" s="18" customFormat="1" spans="1:63">
      <c r="A56" s="73"/>
      <c r="B56" s="101"/>
      <c r="C56" s="101"/>
      <c r="D56" s="101"/>
      <c r="E56" s="102"/>
      <c r="F56" s="103"/>
      <c r="G56" s="103"/>
      <c r="H56" s="104"/>
      <c r="I56" s="109"/>
      <c r="J56" s="109"/>
      <c r="K56" s="113"/>
      <c r="L56" s="109"/>
      <c r="M56" s="109"/>
      <c r="N56" s="109"/>
      <c r="O56" s="109"/>
      <c r="P56" s="114"/>
      <c r="Q56" s="114"/>
      <c r="R56" s="115"/>
      <c r="S56" s="109"/>
      <c r="T56" s="110"/>
      <c r="U56" s="116"/>
      <c r="V56" s="114"/>
      <c r="W56" s="114"/>
      <c r="X56" s="115"/>
      <c r="Y56" s="117"/>
      <c r="Z56" s="109"/>
      <c r="AA56" s="109"/>
      <c r="AB56" s="109"/>
      <c r="AC56" s="109"/>
      <c r="AD56" s="109"/>
      <c r="AE56" s="110"/>
      <c r="AF56" s="111"/>
      <c r="AG56" s="43"/>
      <c r="AH56" s="43"/>
      <c r="AI56" s="118"/>
      <c r="AJ56" s="109"/>
      <c r="AK56" s="117"/>
      <c r="AL56" s="109"/>
      <c r="AM56" s="110"/>
      <c r="AN56" s="111"/>
      <c r="AO56" s="43"/>
      <c r="AP56" s="43"/>
      <c r="AQ56" s="119"/>
      <c r="AR56" s="109"/>
      <c r="AS56" s="109"/>
      <c r="AT56" s="110"/>
      <c r="AU56" s="43"/>
      <c r="AV56" s="43"/>
      <c r="AW56" s="43"/>
      <c r="AX56" s="117"/>
      <c r="AY56" s="109"/>
      <c r="AZ56" s="78"/>
      <c r="BA56" s="78"/>
      <c r="BB56" s="109"/>
      <c r="BC56" s="109"/>
      <c r="BD56" s="109"/>
      <c r="BE56" s="109"/>
      <c r="BF56" s="109"/>
      <c r="BG56" s="78"/>
      <c r="BH56" s="83"/>
      <c r="BI56" s="113"/>
      <c r="BJ56" s="115"/>
      <c r="BK56" s="109"/>
    </row>
    <row r="57" s="18" customFormat="1" spans="1:63">
      <c r="A57" s="73"/>
      <c r="B57" s="101"/>
      <c r="C57" s="101"/>
      <c r="D57" s="101"/>
      <c r="E57" s="102"/>
      <c r="F57" s="103"/>
      <c r="G57" s="103"/>
      <c r="H57" s="104"/>
      <c r="I57" s="43"/>
      <c r="J57" s="43"/>
      <c r="K57" s="113"/>
      <c r="L57" s="43"/>
      <c r="M57" s="43"/>
      <c r="N57" s="43"/>
      <c r="O57" s="43"/>
      <c r="P57" s="114"/>
      <c r="Q57" s="114"/>
      <c r="R57" s="115"/>
      <c r="S57" s="43"/>
      <c r="T57" s="111"/>
      <c r="U57" s="116"/>
      <c r="V57" s="114"/>
      <c r="W57" s="114"/>
      <c r="X57" s="115"/>
      <c r="Y57" s="120"/>
      <c r="Z57" s="43"/>
      <c r="AA57" s="43"/>
      <c r="AB57" s="43"/>
      <c r="AC57" s="43"/>
      <c r="AD57" s="43"/>
      <c r="AE57" s="111"/>
      <c r="AF57" s="111"/>
      <c r="AG57" s="43"/>
      <c r="AH57" s="43"/>
      <c r="AI57" s="118"/>
      <c r="AJ57" s="43"/>
      <c r="AK57" s="120"/>
      <c r="AL57" s="43"/>
      <c r="AM57" s="111"/>
      <c r="AN57" s="111"/>
      <c r="AO57" s="43"/>
      <c r="AP57" s="43"/>
      <c r="AQ57" s="119"/>
      <c r="AR57" s="109"/>
      <c r="AS57" s="109"/>
      <c r="AT57" s="110"/>
      <c r="AU57" s="43"/>
      <c r="AV57" s="43"/>
      <c r="AW57" s="43"/>
      <c r="AX57" s="120"/>
      <c r="AY57" s="43"/>
      <c r="AZ57" s="78"/>
      <c r="BA57" s="78"/>
      <c r="BB57" s="109"/>
      <c r="BC57" s="109"/>
      <c r="BD57" s="109"/>
      <c r="BE57" s="109"/>
      <c r="BF57" s="109"/>
      <c r="BG57" s="78"/>
      <c r="BH57" s="83"/>
      <c r="BI57" s="113"/>
      <c r="BJ57" s="115"/>
      <c r="BK57" s="109"/>
    </row>
    <row r="58" s="18" customFormat="1" spans="1:63">
      <c r="A58" s="73"/>
      <c r="B58" s="101"/>
      <c r="C58" s="101"/>
      <c r="D58" s="101"/>
      <c r="E58" s="102"/>
      <c r="F58" s="103"/>
      <c r="G58" s="103"/>
      <c r="H58" s="104"/>
      <c r="I58" s="43"/>
      <c r="J58" s="43"/>
      <c r="K58" s="113"/>
      <c r="L58" s="43"/>
      <c r="M58" s="43"/>
      <c r="N58" s="43"/>
      <c r="O58" s="43"/>
      <c r="P58" s="114"/>
      <c r="Q58" s="114"/>
      <c r="R58" s="115"/>
      <c r="S58" s="43"/>
      <c r="T58" s="111"/>
      <c r="U58" s="116"/>
      <c r="V58" s="114"/>
      <c r="W58" s="114"/>
      <c r="X58" s="115"/>
      <c r="Y58" s="120"/>
      <c r="Z58" s="43"/>
      <c r="AA58" s="43"/>
      <c r="AB58" s="43"/>
      <c r="AC58" s="43"/>
      <c r="AD58" s="43"/>
      <c r="AE58" s="111"/>
      <c r="AF58" s="111"/>
      <c r="AG58" s="43"/>
      <c r="AH58" s="43"/>
      <c r="AI58" s="118"/>
      <c r="AJ58" s="43"/>
      <c r="AK58" s="120"/>
      <c r="AL58" s="43"/>
      <c r="AM58" s="111"/>
      <c r="AN58" s="111"/>
      <c r="AO58" s="43"/>
      <c r="AP58" s="43"/>
      <c r="AQ58" s="119"/>
      <c r="AR58" s="109"/>
      <c r="AS58" s="109"/>
      <c r="AT58" s="110"/>
      <c r="AU58" s="43"/>
      <c r="AV58" s="43"/>
      <c r="AW58" s="43"/>
      <c r="AX58" s="120"/>
      <c r="AY58" s="43"/>
      <c r="AZ58" s="78"/>
      <c r="BA58" s="78"/>
      <c r="BB58" s="109"/>
      <c r="BC58" s="109"/>
      <c r="BD58" s="109"/>
      <c r="BE58" s="109"/>
      <c r="BF58" s="109"/>
      <c r="BG58" s="78"/>
      <c r="BH58" s="83"/>
      <c r="BI58" s="113"/>
      <c r="BJ58" s="115"/>
      <c r="BK58" s="109"/>
    </row>
    <row r="59" s="18" customFormat="1" spans="1:63">
      <c r="A59" s="73"/>
      <c r="B59" s="101"/>
      <c r="C59" s="101"/>
      <c r="D59" s="101"/>
      <c r="E59" s="102"/>
      <c r="F59" s="103"/>
      <c r="G59" s="103"/>
      <c r="H59" s="104"/>
      <c r="I59" s="43"/>
      <c r="J59" s="43"/>
      <c r="K59" s="113"/>
      <c r="L59" s="43"/>
      <c r="M59" s="43"/>
      <c r="N59" s="43"/>
      <c r="O59" s="43"/>
      <c r="P59" s="114"/>
      <c r="Q59" s="114"/>
      <c r="R59" s="115"/>
      <c r="S59" s="43"/>
      <c r="T59" s="111"/>
      <c r="U59" s="116"/>
      <c r="V59" s="114"/>
      <c r="W59" s="114"/>
      <c r="X59" s="115"/>
      <c r="Y59" s="120"/>
      <c r="Z59" s="43"/>
      <c r="AA59" s="43"/>
      <c r="AB59" s="43"/>
      <c r="AC59" s="43"/>
      <c r="AD59" s="43"/>
      <c r="AE59" s="111"/>
      <c r="AF59" s="111"/>
      <c r="AG59" s="43"/>
      <c r="AH59" s="43"/>
      <c r="AI59" s="118"/>
      <c r="AJ59" s="43"/>
      <c r="AK59" s="120"/>
      <c r="AL59" s="43"/>
      <c r="AM59" s="111"/>
      <c r="AN59" s="111"/>
      <c r="AO59" s="43"/>
      <c r="AP59" s="43"/>
      <c r="AQ59" s="119"/>
      <c r="AR59" s="109"/>
      <c r="AS59" s="109"/>
      <c r="AT59" s="110"/>
      <c r="AU59" s="43"/>
      <c r="AV59" s="43"/>
      <c r="AW59" s="43"/>
      <c r="AX59" s="120"/>
      <c r="AY59" s="43"/>
      <c r="AZ59" s="78"/>
      <c r="BA59" s="78"/>
      <c r="BB59" s="109"/>
      <c r="BC59" s="109"/>
      <c r="BD59" s="109"/>
      <c r="BE59" s="109"/>
      <c r="BF59" s="109"/>
      <c r="BG59" s="78"/>
      <c r="BH59" s="83"/>
      <c r="BI59" s="113"/>
      <c r="BJ59" s="115"/>
      <c r="BK59" s="109"/>
    </row>
    <row r="60" s="18" customFormat="1" spans="1:63">
      <c r="A60" s="73"/>
      <c r="B60" s="101"/>
      <c r="C60" s="101"/>
      <c r="D60" s="101"/>
      <c r="E60" s="102"/>
      <c r="F60" s="103"/>
      <c r="G60" s="103"/>
      <c r="H60" s="104"/>
      <c r="I60" s="43"/>
      <c r="J60" s="43"/>
      <c r="K60" s="113"/>
      <c r="L60" s="43"/>
      <c r="M60" s="43"/>
      <c r="N60" s="43"/>
      <c r="O60" s="43"/>
      <c r="P60" s="114"/>
      <c r="Q60" s="114"/>
      <c r="R60" s="115"/>
      <c r="S60" s="43"/>
      <c r="T60" s="111"/>
      <c r="U60" s="116"/>
      <c r="V60" s="114"/>
      <c r="W60" s="114"/>
      <c r="X60" s="115"/>
      <c r="Y60" s="120"/>
      <c r="Z60" s="43"/>
      <c r="AA60" s="43"/>
      <c r="AB60" s="43"/>
      <c r="AC60" s="43"/>
      <c r="AD60" s="43"/>
      <c r="AE60" s="111"/>
      <c r="AF60" s="111"/>
      <c r="AG60" s="43"/>
      <c r="AH60" s="43"/>
      <c r="AI60" s="118"/>
      <c r="AJ60" s="43"/>
      <c r="AK60" s="120"/>
      <c r="AL60" s="43"/>
      <c r="AM60" s="111"/>
      <c r="AN60" s="111"/>
      <c r="AO60" s="43"/>
      <c r="AP60" s="43"/>
      <c r="AQ60" s="119"/>
      <c r="AR60" s="109"/>
      <c r="AS60" s="109"/>
      <c r="AT60" s="110"/>
      <c r="AU60" s="43"/>
      <c r="AV60" s="43"/>
      <c r="AW60" s="43"/>
      <c r="AX60" s="120"/>
      <c r="AY60" s="43"/>
      <c r="AZ60" s="78"/>
      <c r="BA60" s="78"/>
      <c r="BB60" s="109"/>
      <c r="BC60" s="109"/>
      <c r="BD60" s="109"/>
      <c r="BE60" s="109"/>
      <c r="BF60" s="109"/>
      <c r="BG60" s="78"/>
      <c r="BH60" s="83"/>
      <c r="BI60" s="113"/>
      <c r="BJ60" s="115"/>
      <c r="BK60" s="109"/>
    </row>
    <row r="61" s="18" customFormat="1" spans="1:63">
      <c r="A61" s="73"/>
      <c r="B61" s="101"/>
      <c r="C61" s="101"/>
      <c r="D61" s="101"/>
      <c r="E61" s="102"/>
      <c r="F61" s="103"/>
      <c r="G61" s="103"/>
      <c r="H61" s="104"/>
      <c r="I61" s="43"/>
      <c r="J61" s="43"/>
      <c r="K61" s="113"/>
      <c r="L61" s="43"/>
      <c r="M61" s="43"/>
      <c r="N61" s="43"/>
      <c r="O61" s="43"/>
      <c r="P61" s="114"/>
      <c r="Q61" s="114"/>
      <c r="R61" s="115"/>
      <c r="S61" s="43"/>
      <c r="T61" s="111"/>
      <c r="U61" s="116"/>
      <c r="V61" s="114"/>
      <c r="W61" s="114"/>
      <c r="X61" s="115"/>
      <c r="Y61" s="120"/>
      <c r="Z61" s="43"/>
      <c r="AA61" s="43"/>
      <c r="AB61" s="43"/>
      <c r="AC61" s="43"/>
      <c r="AD61" s="43"/>
      <c r="AE61" s="111"/>
      <c r="AF61" s="111"/>
      <c r="AG61" s="43"/>
      <c r="AH61" s="43"/>
      <c r="AI61" s="118"/>
      <c r="AJ61" s="43"/>
      <c r="AK61" s="120"/>
      <c r="AL61" s="43"/>
      <c r="AM61" s="111"/>
      <c r="AN61" s="111"/>
      <c r="AO61" s="43"/>
      <c r="AP61" s="43"/>
      <c r="AQ61" s="119"/>
      <c r="AR61" s="109"/>
      <c r="AS61" s="109"/>
      <c r="AT61" s="110"/>
      <c r="AU61" s="43"/>
      <c r="AV61" s="43"/>
      <c r="AW61" s="43"/>
      <c r="AX61" s="120"/>
      <c r="AY61" s="43"/>
      <c r="AZ61" s="78"/>
      <c r="BA61" s="78"/>
      <c r="BB61" s="109"/>
      <c r="BC61" s="109"/>
      <c r="BD61" s="109"/>
      <c r="BE61" s="109"/>
      <c r="BF61" s="109"/>
      <c r="BG61" s="78"/>
      <c r="BH61" s="83"/>
      <c r="BI61" s="113"/>
      <c r="BJ61" s="115"/>
      <c r="BK61" s="109"/>
    </row>
    <row r="62" s="18" customFormat="1" spans="1:63">
      <c r="A62" s="73"/>
      <c r="B62" s="101"/>
      <c r="C62" s="101"/>
      <c r="D62" s="101"/>
      <c r="E62" s="102"/>
      <c r="F62" s="103"/>
      <c r="G62" s="103"/>
      <c r="H62" s="104"/>
      <c r="I62" s="43"/>
      <c r="J62" s="43"/>
      <c r="K62" s="113"/>
      <c r="L62" s="43"/>
      <c r="M62" s="43"/>
      <c r="N62" s="43"/>
      <c r="O62" s="43"/>
      <c r="P62" s="114"/>
      <c r="Q62" s="114"/>
      <c r="R62" s="115"/>
      <c r="S62" s="43"/>
      <c r="T62" s="111"/>
      <c r="U62" s="116"/>
      <c r="V62" s="114"/>
      <c r="W62" s="114"/>
      <c r="X62" s="115"/>
      <c r="Y62" s="120"/>
      <c r="Z62" s="43"/>
      <c r="AA62" s="43"/>
      <c r="AB62" s="43"/>
      <c r="AC62" s="43"/>
      <c r="AD62" s="43"/>
      <c r="AE62" s="111"/>
      <c r="AF62" s="111"/>
      <c r="AG62" s="43"/>
      <c r="AH62" s="43"/>
      <c r="AI62" s="118"/>
      <c r="AJ62" s="43"/>
      <c r="AK62" s="120"/>
      <c r="AL62" s="43"/>
      <c r="AM62" s="111"/>
      <c r="AN62" s="111"/>
      <c r="AO62" s="43"/>
      <c r="AP62" s="43"/>
      <c r="AQ62" s="119"/>
      <c r="AR62" s="109"/>
      <c r="AS62" s="109"/>
      <c r="AT62" s="110"/>
      <c r="AU62" s="43"/>
      <c r="AV62" s="43"/>
      <c r="AW62" s="43"/>
      <c r="AX62" s="120"/>
      <c r="AY62" s="43"/>
      <c r="AZ62" s="78"/>
      <c r="BA62" s="78"/>
      <c r="BB62" s="109"/>
      <c r="BC62" s="109"/>
      <c r="BD62" s="109"/>
      <c r="BE62" s="109"/>
      <c r="BF62" s="109"/>
      <c r="BG62" s="78"/>
      <c r="BH62" s="83"/>
      <c r="BI62" s="113"/>
      <c r="BJ62" s="115"/>
      <c r="BK62" s="109"/>
    </row>
    <row r="63" s="18" customFormat="1" spans="1:63">
      <c r="A63" s="73"/>
      <c r="B63" s="101"/>
      <c r="C63" s="101"/>
      <c r="D63" s="101"/>
      <c r="E63" s="102"/>
      <c r="F63" s="103"/>
      <c r="G63" s="103"/>
      <c r="H63" s="104"/>
      <c r="I63" s="43"/>
      <c r="J63" s="43"/>
      <c r="K63" s="113"/>
      <c r="L63" s="43"/>
      <c r="M63" s="43"/>
      <c r="N63" s="43"/>
      <c r="O63" s="43"/>
      <c r="P63" s="114"/>
      <c r="Q63" s="114"/>
      <c r="R63" s="115"/>
      <c r="S63" s="43"/>
      <c r="T63" s="111"/>
      <c r="U63" s="116"/>
      <c r="V63" s="114"/>
      <c r="W63" s="114"/>
      <c r="X63" s="115"/>
      <c r="Y63" s="120"/>
      <c r="Z63" s="43"/>
      <c r="AA63" s="43"/>
      <c r="AB63" s="43"/>
      <c r="AC63" s="43"/>
      <c r="AD63" s="43"/>
      <c r="AE63" s="111"/>
      <c r="AF63" s="111"/>
      <c r="AG63" s="43"/>
      <c r="AH63" s="43"/>
      <c r="AI63" s="118"/>
      <c r="AJ63" s="43"/>
      <c r="AK63" s="120"/>
      <c r="AL63" s="43"/>
      <c r="AM63" s="111"/>
      <c r="AN63" s="111"/>
      <c r="AO63" s="43"/>
      <c r="AP63" s="43"/>
      <c r="AQ63" s="119"/>
      <c r="AR63" s="109"/>
      <c r="AS63" s="109"/>
      <c r="AT63" s="110"/>
      <c r="AU63" s="43"/>
      <c r="AV63" s="43"/>
      <c r="AW63" s="43"/>
      <c r="AX63" s="120"/>
      <c r="AY63" s="43"/>
      <c r="AZ63" s="78"/>
      <c r="BA63" s="78"/>
      <c r="BB63" s="109"/>
      <c r="BC63" s="109"/>
      <c r="BD63" s="109"/>
      <c r="BE63" s="109"/>
      <c r="BF63" s="109"/>
      <c r="BG63" s="78"/>
      <c r="BH63" s="83"/>
      <c r="BI63" s="113"/>
      <c r="BJ63" s="115"/>
      <c r="BK63" s="109"/>
    </row>
    <row r="64" s="18" customFormat="1" spans="1:63">
      <c r="A64" s="73"/>
      <c r="B64" s="101"/>
      <c r="C64" s="101"/>
      <c r="D64" s="101"/>
      <c r="E64" s="102"/>
      <c r="F64" s="103"/>
      <c r="G64" s="103"/>
      <c r="H64" s="104"/>
      <c r="I64" s="43"/>
      <c r="J64" s="43"/>
      <c r="K64" s="113"/>
      <c r="L64" s="43"/>
      <c r="M64" s="43"/>
      <c r="N64" s="43"/>
      <c r="O64" s="43"/>
      <c r="P64" s="114"/>
      <c r="Q64" s="114"/>
      <c r="R64" s="115"/>
      <c r="S64" s="43"/>
      <c r="T64" s="111"/>
      <c r="U64" s="116"/>
      <c r="V64" s="114"/>
      <c r="W64" s="114"/>
      <c r="X64" s="115"/>
      <c r="Y64" s="120"/>
      <c r="Z64" s="43"/>
      <c r="AA64" s="43"/>
      <c r="AB64" s="43"/>
      <c r="AC64" s="43"/>
      <c r="AD64" s="43"/>
      <c r="AE64" s="111"/>
      <c r="AF64" s="111"/>
      <c r="AG64" s="43"/>
      <c r="AH64" s="43"/>
      <c r="AI64" s="118"/>
      <c r="AJ64" s="43"/>
      <c r="AK64" s="120"/>
      <c r="AL64" s="43"/>
      <c r="AM64" s="111"/>
      <c r="AN64" s="111"/>
      <c r="AO64" s="43"/>
      <c r="AP64" s="43"/>
      <c r="AQ64" s="119"/>
      <c r="AR64" s="109"/>
      <c r="AS64" s="109"/>
      <c r="AT64" s="110"/>
      <c r="AU64" s="43"/>
      <c r="AV64" s="43"/>
      <c r="AW64" s="43"/>
      <c r="AX64" s="120"/>
      <c r="AY64" s="43"/>
      <c r="AZ64" s="78"/>
      <c r="BA64" s="78"/>
      <c r="BB64" s="109"/>
      <c r="BC64" s="109"/>
      <c r="BD64" s="109"/>
      <c r="BE64" s="109"/>
      <c r="BF64" s="109"/>
      <c r="BG64" s="78"/>
      <c r="BH64" s="83"/>
      <c r="BI64" s="113"/>
      <c r="BJ64" s="115"/>
      <c r="BK64" s="109"/>
    </row>
    <row r="65" s="18" customFormat="1" spans="1:63">
      <c r="A65" s="73"/>
      <c r="B65" s="101"/>
      <c r="C65" s="101"/>
      <c r="D65" s="101"/>
      <c r="E65" s="102"/>
      <c r="F65" s="103"/>
      <c r="G65" s="103"/>
      <c r="H65" s="104"/>
      <c r="I65" s="43"/>
      <c r="J65" s="43"/>
      <c r="K65" s="113"/>
      <c r="L65" s="43"/>
      <c r="M65" s="43"/>
      <c r="N65" s="43"/>
      <c r="O65" s="43"/>
      <c r="P65" s="114"/>
      <c r="Q65" s="114"/>
      <c r="R65" s="115"/>
      <c r="S65" s="43"/>
      <c r="T65" s="111"/>
      <c r="U65" s="116"/>
      <c r="V65" s="114"/>
      <c r="W65" s="114"/>
      <c r="X65" s="115"/>
      <c r="Y65" s="120"/>
      <c r="Z65" s="43"/>
      <c r="AA65" s="43"/>
      <c r="AB65" s="43"/>
      <c r="AC65" s="43"/>
      <c r="AD65" s="43"/>
      <c r="AE65" s="111"/>
      <c r="AF65" s="111"/>
      <c r="AG65" s="43"/>
      <c r="AH65" s="43"/>
      <c r="AI65" s="118"/>
      <c r="AJ65" s="43"/>
      <c r="AK65" s="120"/>
      <c r="AL65" s="43"/>
      <c r="AM65" s="111"/>
      <c r="AN65" s="111"/>
      <c r="AO65" s="43"/>
      <c r="AP65" s="43"/>
      <c r="AQ65" s="119"/>
      <c r="AR65" s="109"/>
      <c r="AS65" s="109"/>
      <c r="AT65" s="110"/>
      <c r="AU65" s="43"/>
      <c r="AV65" s="43"/>
      <c r="AW65" s="43"/>
      <c r="AX65" s="120"/>
      <c r="AY65" s="43"/>
      <c r="AZ65" s="78"/>
      <c r="BA65" s="78"/>
      <c r="BB65" s="109"/>
      <c r="BC65" s="109"/>
      <c r="BD65" s="109"/>
      <c r="BE65" s="109"/>
      <c r="BF65" s="109"/>
      <c r="BG65" s="78"/>
      <c r="BH65" s="83"/>
      <c r="BI65" s="113"/>
      <c r="BJ65" s="115"/>
      <c r="BK65" s="109"/>
    </row>
    <row r="66" s="18" customFormat="1" spans="1:63">
      <c r="A66" s="73"/>
      <c r="B66" s="101"/>
      <c r="C66" s="101"/>
      <c r="D66" s="101"/>
      <c r="E66" s="102"/>
      <c r="F66" s="103"/>
      <c r="G66" s="103"/>
      <c r="H66" s="104"/>
      <c r="I66" s="43"/>
      <c r="J66" s="43"/>
      <c r="K66" s="113"/>
      <c r="L66" s="43"/>
      <c r="M66" s="43"/>
      <c r="N66" s="43"/>
      <c r="O66" s="43"/>
      <c r="P66" s="114"/>
      <c r="Q66" s="114"/>
      <c r="R66" s="115"/>
      <c r="S66" s="43"/>
      <c r="T66" s="111"/>
      <c r="U66" s="116"/>
      <c r="V66" s="114"/>
      <c r="W66" s="114"/>
      <c r="X66" s="115"/>
      <c r="Y66" s="120"/>
      <c r="Z66" s="43"/>
      <c r="AA66" s="43"/>
      <c r="AB66" s="43"/>
      <c r="AC66" s="43"/>
      <c r="AD66" s="43"/>
      <c r="AE66" s="111"/>
      <c r="AF66" s="111"/>
      <c r="AG66" s="43"/>
      <c r="AH66" s="43"/>
      <c r="AI66" s="118"/>
      <c r="AJ66" s="43"/>
      <c r="AK66" s="120"/>
      <c r="AL66" s="43"/>
      <c r="AM66" s="111"/>
      <c r="AN66" s="111"/>
      <c r="AO66" s="43"/>
      <c r="AP66" s="43"/>
      <c r="AQ66" s="119"/>
      <c r="AR66" s="109"/>
      <c r="AS66" s="109"/>
      <c r="AT66" s="110"/>
      <c r="AU66" s="43"/>
      <c r="AV66" s="43"/>
      <c r="AW66" s="43"/>
      <c r="AX66" s="120"/>
      <c r="AY66" s="43"/>
      <c r="AZ66" s="78"/>
      <c r="BA66" s="78"/>
      <c r="BB66" s="109"/>
      <c r="BC66" s="109"/>
      <c r="BD66" s="109"/>
      <c r="BE66" s="109"/>
      <c r="BF66" s="109"/>
      <c r="BG66" s="78"/>
      <c r="BH66" s="83"/>
      <c r="BI66" s="113"/>
      <c r="BJ66" s="115"/>
      <c r="BK66" s="109"/>
    </row>
    <row r="67" s="18" customFormat="1" spans="1:63">
      <c r="A67" s="73"/>
      <c r="B67" s="101"/>
      <c r="C67" s="101"/>
      <c r="D67" s="101"/>
      <c r="E67" s="102"/>
      <c r="F67" s="103"/>
      <c r="G67" s="103"/>
      <c r="H67" s="120"/>
      <c r="I67" s="43"/>
      <c r="J67" s="43"/>
      <c r="K67" s="113"/>
      <c r="L67" s="43"/>
      <c r="M67" s="43"/>
      <c r="N67" s="43"/>
      <c r="O67" s="43"/>
      <c r="P67" s="114"/>
      <c r="Q67" s="114"/>
      <c r="R67" s="115"/>
      <c r="S67" s="43"/>
      <c r="T67" s="111"/>
      <c r="U67" s="116"/>
      <c r="V67" s="114"/>
      <c r="W67" s="114"/>
      <c r="X67" s="115"/>
      <c r="Y67" s="120"/>
      <c r="Z67" s="43"/>
      <c r="AA67" s="43"/>
      <c r="AB67" s="43"/>
      <c r="AC67" s="43"/>
      <c r="AD67" s="43"/>
      <c r="AE67" s="111"/>
      <c r="AF67" s="111"/>
      <c r="AG67" s="43"/>
      <c r="AH67" s="43"/>
      <c r="AI67" s="118"/>
      <c r="AJ67" s="43"/>
      <c r="AK67" s="120"/>
      <c r="AL67" s="43"/>
      <c r="AM67" s="111"/>
      <c r="AN67" s="111"/>
      <c r="AO67" s="43"/>
      <c r="AP67" s="43"/>
      <c r="AQ67" s="119"/>
      <c r="AR67" s="109"/>
      <c r="AS67" s="109"/>
      <c r="AT67" s="110"/>
      <c r="AU67" s="43"/>
      <c r="AV67" s="43"/>
      <c r="AW67" s="43"/>
      <c r="AX67" s="120"/>
      <c r="AY67" s="43"/>
      <c r="AZ67" s="78"/>
      <c r="BA67" s="78"/>
      <c r="BB67" s="109"/>
      <c r="BC67" s="109"/>
      <c r="BD67" s="109"/>
      <c r="BE67" s="109"/>
      <c r="BF67" s="109"/>
      <c r="BG67" s="78"/>
      <c r="BH67" s="83"/>
      <c r="BI67" s="113"/>
      <c r="BJ67" s="115"/>
      <c r="BK67" s="109"/>
    </row>
    <row r="68" s="18" customFormat="1" spans="1:63">
      <c r="A68" s="73"/>
      <c r="B68" s="101"/>
      <c r="C68" s="101"/>
      <c r="D68" s="101"/>
      <c r="E68" s="102"/>
      <c r="F68" s="103"/>
      <c r="G68" s="103"/>
      <c r="H68" s="120"/>
      <c r="I68" s="43"/>
      <c r="J68" s="43"/>
      <c r="K68" s="113"/>
      <c r="L68" s="43"/>
      <c r="M68" s="43"/>
      <c r="N68" s="43"/>
      <c r="O68" s="43"/>
      <c r="P68" s="114"/>
      <c r="Q68" s="114"/>
      <c r="R68" s="115"/>
      <c r="S68" s="43"/>
      <c r="T68" s="111"/>
      <c r="U68" s="116"/>
      <c r="V68" s="114"/>
      <c r="W68" s="114"/>
      <c r="X68" s="115"/>
      <c r="Y68" s="120"/>
      <c r="Z68" s="43"/>
      <c r="AA68" s="43"/>
      <c r="AB68" s="43"/>
      <c r="AC68" s="43"/>
      <c r="AD68" s="43"/>
      <c r="AE68" s="111"/>
      <c r="AF68" s="111"/>
      <c r="AG68" s="43"/>
      <c r="AH68" s="43"/>
      <c r="AI68" s="118"/>
      <c r="AJ68" s="43"/>
      <c r="AK68" s="120"/>
      <c r="AL68" s="43"/>
      <c r="AM68" s="111"/>
      <c r="AN68" s="111"/>
      <c r="AO68" s="43"/>
      <c r="AP68" s="43"/>
      <c r="AQ68" s="119"/>
      <c r="AR68" s="109"/>
      <c r="AS68" s="109"/>
      <c r="AT68" s="110"/>
      <c r="AU68" s="43"/>
      <c r="AV68" s="43"/>
      <c r="AW68" s="43"/>
      <c r="AX68" s="120"/>
      <c r="AY68" s="43"/>
      <c r="AZ68" s="78"/>
      <c r="BA68" s="78"/>
      <c r="BB68" s="109"/>
      <c r="BC68" s="109"/>
      <c r="BD68" s="109"/>
      <c r="BE68" s="109"/>
      <c r="BF68" s="109"/>
      <c r="BG68" s="78"/>
      <c r="BH68" s="83"/>
      <c r="BI68" s="113"/>
      <c r="BJ68" s="115"/>
      <c r="BK68" s="109"/>
    </row>
    <row r="69" s="18" customFormat="1" spans="1:63">
      <c r="A69" s="73"/>
      <c r="B69" s="101"/>
      <c r="C69" s="101"/>
      <c r="D69" s="101"/>
      <c r="E69" s="102"/>
      <c r="F69" s="103"/>
      <c r="G69" s="103"/>
      <c r="H69" s="120"/>
      <c r="I69" s="43"/>
      <c r="J69" s="43"/>
      <c r="K69" s="113"/>
      <c r="L69" s="43"/>
      <c r="M69" s="43"/>
      <c r="N69" s="43"/>
      <c r="O69" s="43"/>
      <c r="P69" s="114"/>
      <c r="Q69" s="114"/>
      <c r="R69" s="115"/>
      <c r="S69" s="43"/>
      <c r="T69" s="111"/>
      <c r="U69" s="116"/>
      <c r="V69" s="114"/>
      <c r="W69" s="114"/>
      <c r="X69" s="115"/>
      <c r="Y69" s="120"/>
      <c r="Z69" s="43"/>
      <c r="AA69" s="43"/>
      <c r="AB69" s="43"/>
      <c r="AC69" s="43"/>
      <c r="AD69" s="43"/>
      <c r="AE69" s="111"/>
      <c r="AF69" s="111"/>
      <c r="AG69" s="43"/>
      <c r="AH69" s="43"/>
      <c r="AI69" s="118"/>
      <c r="AJ69" s="43"/>
      <c r="AK69" s="120"/>
      <c r="AL69" s="43"/>
      <c r="AM69" s="111"/>
      <c r="AN69" s="111"/>
      <c r="AO69" s="43"/>
      <c r="AP69" s="43"/>
      <c r="AQ69" s="119"/>
      <c r="AR69" s="109"/>
      <c r="AS69" s="109"/>
      <c r="AT69" s="110"/>
      <c r="AU69" s="43"/>
      <c r="AV69" s="43"/>
      <c r="AW69" s="43"/>
      <c r="AX69" s="120"/>
      <c r="AY69" s="43"/>
      <c r="AZ69" s="43"/>
      <c r="BA69" s="78"/>
      <c r="BB69" s="109"/>
      <c r="BC69" s="109"/>
      <c r="BD69" s="109"/>
      <c r="BE69" s="109"/>
      <c r="BF69" s="109"/>
      <c r="BG69" s="78"/>
      <c r="BH69" s="83"/>
      <c r="BI69" s="113"/>
      <c r="BJ69" s="115"/>
      <c r="BK69" s="109"/>
    </row>
    <row r="70" s="18" customFormat="1" spans="1:63">
      <c r="A70" s="73"/>
      <c r="B70" s="101"/>
      <c r="C70" s="101"/>
      <c r="D70" s="101"/>
      <c r="E70" s="102"/>
      <c r="F70" s="103"/>
      <c r="G70" s="103"/>
      <c r="H70" s="120"/>
      <c r="I70" s="43"/>
      <c r="J70" s="43"/>
      <c r="K70" s="113"/>
      <c r="L70" s="43"/>
      <c r="M70" s="43"/>
      <c r="N70" s="43"/>
      <c r="O70" s="43"/>
      <c r="P70" s="114"/>
      <c r="Q70" s="114"/>
      <c r="R70" s="115"/>
      <c r="S70" s="43"/>
      <c r="T70" s="111"/>
      <c r="U70" s="116"/>
      <c r="V70" s="114"/>
      <c r="W70" s="114"/>
      <c r="X70" s="115"/>
      <c r="Y70" s="120"/>
      <c r="Z70" s="43"/>
      <c r="AA70" s="43"/>
      <c r="AB70" s="43"/>
      <c r="AC70" s="43"/>
      <c r="AD70" s="43"/>
      <c r="AE70" s="111"/>
      <c r="AF70" s="111"/>
      <c r="AG70" s="43"/>
      <c r="AH70" s="43"/>
      <c r="AI70" s="118"/>
      <c r="AJ70" s="43"/>
      <c r="AK70" s="120"/>
      <c r="AL70" s="43"/>
      <c r="AM70" s="111"/>
      <c r="AN70" s="111"/>
      <c r="AO70" s="43"/>
      <c r="AP70" s="43"/>
      <c r="AQ70" s="119"/>
      <c r="AR70" s="43"/>
      <c r="AS70" s="109"/>
      <c r="AT70" s="110"/>
      <c r="AU70" s="43"/>
      <c r="AV70" s="43"/>
      <c r="AW70" s="43"/>
      <c r="AX70" s="120"/>
      <c r="AY70" s="43"/>
      <c r="AZ70" s="43"/>
      <c r="BA70" s="78"/>
      <c r="BB70" s="109"/>
      <c r="BC70" s="109"/>
      <c r="BD70" s="109"/>
      <c r="BE70" s="109"/>
      <c r="BF70" s="109"/>
      <c r="BG70" s="78"/>
      <c r="BH70" s="83"/>
      <c r="BI70" s="113"/>
      <c r="BJ70" s="115"/>
      <c r="BK70" s="109"/>
    </row>
    <row r="71" s="18" customFormat="1" spans="1:63">
      <c r="A71" s="73"/>
      <c r="B71" s="101"/>
      <c r="C71" s="101"/>
      <c r="D71" s="101"/>
      <c r="E71" s="102"/>
      <c r="F71" s="103"/>
      <c r="G71" s="103"/>
      <c r="H71" s="120"/>
      <c r="I71" s="43"/>
      <c r="J71" s="43"/>
      <c r="K71" s="113"/>
      <c r="L71" s="43"/>
      <c r="M71" s="43"/>
      <c r="N71" s="43"/>
      <c r="O71" s="43"/>
      <c r="P71" s="114"/>
      <c r="Q71" s="114"/>
      <c r="R71" s="115"/>
      <c r="S71" s="43"/>
      <c r="T71" s="111"/>
      <c r="U71" s="116"/>
      <c r="V71" s="114"/>
      <c r="W71" s="114"/>
      <c r="X71" s="115"/>
      <c r="Y71" s="120"/>
      <c r="Z71" s="43"/>
      <c r="AA71" s="43"/>
      <c r="AB71" s="43"/>
      <c r="AC71" s="43"/>
      <c r="AD71" s="43"/>
      <c r="AE71" s="111"/>
      <c r="AF71" s="111"/>
      <c r="AG71" s="43"/>
      <c r="AH71" s="43"/>
      <c r="AI71" s="118"/>
      <c r="AJ71" s="43"/>
      <c r="AK71" s="120"/>
      <c r="AL71" s="43"/>
      <c r="AM71" s="111"/>
      <c r="AN71" s="111"/>
      <c r="AO71" s="43"/>
      <c r="AP71" s="43"/>
      <c r="AQ71" s="119"/>
      <c r="AR71" s="43"/>
      <c r="AS71" s="109"/>
      <c r="AT71" s="110"/>
      <c r="AU71" s="43"/>
      <c r="AV71" s="43"/>
      <c r="AW71" s="43"/>
      <c r="AX71" s="120"/>
      <c r="AY71" s="43"/>
      <c r="AZ71" s="43"/>
      <c r="BA71" s="78"/>
      <c r="BB71" s="109"/>
      <c r="BC71" s="109"/>
      <c r="BD71" s="109"/>
      <c r="BE71" s="109"/>
      <c r="BF71" s="109"/>
      <c r="BG71" s="78"/>
      <c r="BH71" s="83"/>
      <c r="BI71" s="113"/>
      <c r="BJ71" s="115"/>
      <c r="BK71" s="43"/>
    </row>
    <row r="72" s="18" customFormat="1" spans="1:63">
      <c r="A72" s="73"/>
      <c r="B72" s="101"/>
      <c r="C72" s="101"/>
      <c r="D72" s="101"/>
      <c r="E72" s="102"/>
      <c r="F72" s="103"/>
      <c r="G72" s="103"/>
      <c r="H72" s="120"/>
      <c r="I72" s="43"/>
      <c r="J72" s="43"/>
      <c r="K72" s="113"/>
      <c r="L72" s="43"/>
      <c r="M72" s="43"/>
      <c r="N72" s="43"/>
      <c r="O72" s="43"/>
      <c r="P72" s="114"/>
      <c r="Q72" s="114"/>
      <c r="R72" s="43"/>
      <c r="S72" s="43"/>
      <c r="T72" s="111"/>
      <c r="U72" s="116"/>
      <c r="V72" s="114"/>
      <c r="W72" s="114"/>
      <c r="X72" s="115"/>
      <c r="Y72" s="120"/>
      <c r="Z72" s="43"/>
      <c r="AA72" s="43"/>
      <c r="AB72" s="43"/>
      <c r="AC72" s="43"/>
      <c r="AD72" s="43"/>
      <c r="AE72" s="111"/>
      <c r="AF72" s="111"/>
      <c r="AG72" s="43"/>
      <c r="AH72" s="43"/>
      <c r="AI72" s="118"/>
      <c r="AJ72" s="43"/>
      <c r="AK72" s="120"/>
      <c r="AL72" s="43"/>
      <c r="AM72" s="111"/>
      <c r="AN72" s="111"/>
      <c r="AO72" s="43"/>
      <c r="AP72" s="43"/>
      <c r="AQ72" s="119"/>
      <c r="AR72" s="43"/>
      <c r="AS72" s="109"/>
      <c r="AT72" s="110"/>
      <c r="AU72" s="43"/>
      <c r="AV72" s="43"/>
      <c r="AW72" s="43"/>
      <c r="AX72" s="120"/>
      <c r="AY72" s="43"/>
      <c r="AZ72" s="43"/>
      <c r="BA72" s="78"/>
      <c r="BB72" s="109"/>
      <c r="BC72" s="109"/>
      <c r="BD72" s="109"/>
      <c r="BE72" s="109"/>
      <c r="BF72" s="109"/>
      <c r="BG72" s="78"/>
      <c r="BH72" s="83"/>
      <c r="BI72" s="113"/>
      <c r="BJ72" s="115"/>
      <c r="BK72" s="43"/>
    </row>
    <row r="73" s="18" customFormat="1" spans="1:63">
      <c r="A73" s="73"/>
      <c r="B73" s="101"/>
      <c r="C73" s="101"/>
      <c r="D73" s="101"/>
      <c r="E73" s="102"/>
      <c r="F73" s="103"/>
      <c r="G73" s="103"/>
      <c r="H73" s="120"/>
      <c r="I73" s="43"/>
      <c r="J73" s="43"/>
      <c r="K73" s="113"/>
      <c r="L73" s="43"/>
      <c r="M73" s="43"/>
      <c r="N73" s="43"/>
      <c r="O73" s="43"/>
      <c r="P73" s="114"/>
      <c r="Q73" s="114"/>
      <c r="R73" s="43"/>
      <c r="S73" s="43"/>
      <c r="T73" s="111"/>
      <c r="U73" s="116"/>
      <c r="V73" s="114"/>
      <c r="W73" s="114"/>
      <c r="X73" s="115"/>
      <c r="Y73" s="120"/>
      <c r="Z73" s="43"/>
      <c r="AA73" s="43"/>
      <c r="AB73" s="43"/>
      <c r="AC73" s="43"/>
      <c r="AD73" s="43"/>
      <c r="AE73" s="111"/>
      <c r="AF73" s="111"/>
      <c r="AG73" s="43"/>
      <c r="AH73" s="43"/>
      <c r="AI73" s="118"/>
      <c r="AJ73" s="43"/>
      <c r="AK73" s="120"/>
      <c r="AL73" s="43"/>
      <c r="AM73" s="111"/>
      <c r="AN73" s="111"/>
      <c r="AO73" s="43"/>
      <c r="AP73" s="43"/>
      <c r="AQ73" s="119"/>
      <c r="AR73" s="43"/>
      <c r="AS73" s="109"/>
      <c r="AT73" s="110"/>
      <c r="AU73" s="43"/>
      <c r="AV73" s="43"/>
      <c r="AW73" s="43"/>
      <c r="AX73" s="120"/>
      <c r="AY73" s="43"/>
      <c r="AZ73" s="43"/>
      <c r="BA73" s="78"/>
      <c r="BB73" s="109"/>
      <c r="BC73" s="109"/>
      <c r="BD73" s="109"/>
      <c r="BE73" s="109"/>
      <c r="BF73" s="109"/>
      <c r="BG73" s="78"/>
      <c r="BH73" s="83"/>
      <c r="BI73" s="113"/>
      <c r="BJ73" s="115"/>
      <c r="BK73" s="43"/>
    </row>
    <row r="74" s="18" customFormat="1" spans="1:63">
      <c r="A74" s="73"/>
      <c r="B74" s="101"/>
      <c r="C74" s="101"/>
      <c r="D74" s="101"/>
      <c r="E74" s="102"/>
      <c r="F74" s="103"/>
      <c r="G74" s="103"/>
      <c r="H74" s="120"/>
      <c r="I74" s="43"/>
      <c r="J74" s="43"/>
      <c r="K74" s="113"/>
      <c r="L74" s="43"/>
      <c r="M74" s="43"/>
      <c r="N74" s="43"/>
      <c r="O74" s="43"/>
      <c r="P74" s="114"/>
      <c r="Q74" s="114"/>
      <c r="R74" s="43"/>
      <c r="S74" s="43"/>
      <c r="T74" s="111"/>
      <c r="U74" s="116"/>
      <c r="V74" s="114"/>
      <c r="W74" s="114"/>
      <c r="X74" s="115"/>
      <c r="Y74" s="120"/>
      <c r="Z74" s="43"/>
      <c r="AA74" s="43"/>
      <c r="AB74" s="43"/>
      <c r="AC74" s="43"/>
      <c r="AD74" s="43"/>
      <c r="AE74" s="111"/>
      <c r="AF74" s="111"/>
      <c r="AG74" s="43"/>
      <c r="AH74" s="43"/>
      <c r="AI74" s="118"/>
      <c r="AJ74" s="43"/>
      <c r="AK74" s="120"/>
      <c r="AL74" s="43"/>
      <c r="AM74" s="43"/>
      <c r="AN74" s="111"/>
      <c r="AO74" s="43"/>
      <c r="AP74" s="43"/>
      <c r="AQ74" s="119"/>
      <c r="AR74" s="43"/>
      <c r="AS74" s="109"/>
      <c r="AT74" s="110"/>
      <c r="AU74" s="43"/>
      <c r="AV74" s="43"/>
      <c r="AW74" s="43"/>
      <c r="AX74" s="120"/>
      <c r="AZ74" s="43"/>
      <c r="BA74" s="78"/>
      <c r="BB74" s="109"/>
      <c r="BC74" s="109"/>
      <c r="BD74" s="109"/>
      <c r="BE74" s="109"/>
      <c r="BF74" s="109"/>
      <c r="BG74" s="78"/>
      <c r="BH74" s="83"/>
      <c r="BI74" s="113"/>
      <c r="BJ74" s="115"/>
      <c r="BK74" s="43"/>
    </row>
    <row r="75" s="18" customFormat="1" spans="1:63">
      <c r="A75" s="73"/>
      <c r="B75" s="101"/>
      <c r="C75" s="101"/>
      <c r="D75" s="101"/>
      <c r="E75" s="102"/>
      <c r="F75" s="103"/>
      <c r="G75" s="103"/>
      <c r="H75" s="120"/>
      <c r="I75" s="43"/>
      <c r="J75" s="43"/>
      <c r="K75" s="113"/>
      <c r="L75" s="43"/>
      <c r="M75" s="43"/>
      <c r="N75" s="43"/>
      <c r="O75" s="43"/>
      <c r="P75" s="114"/>
      <c r="Q75" s="114"/>
      <c r="R75" s="43"/>
      <c r="S75" s="43"/>
      <c r="T75" s="111"/>
      <c r="U75" s="116"/>
      <c r="V75" s="114"/>
      <c r="W75" s="114"/>
      <c r="X75" s="115"/>
      <c r="Y75" s="120"/>
      <c r="Z75" s="43"/>
      <c r="AA75" s="43"/>
      <c r="AB75" s="43"/>
      <c r="AC75" s="43"/>
      <c r="AD75" s="43"/>
      <c r="AE75" s="111"/>
      <c r="AF75" s="111"/>
      <c r="AG75" s="43"/>
      <c r="AH75" s="43"/>
      <c r="AI75" s="118"/>
      <c r="AJ75" s="43"/>
      <c r="AK75" s="120"/>
      <c r="AL75" s="43"/>
      <c r="AM75" s="43"/>
      <c r="AN75" s="111"/>
      <c r="AO75" s="43"/>
      <c r="AP75" s="43"/>
      <c r="AQ75" s="119"/>
      <c r="AR75" s="43"/>
      <c r="AS75" s="109"/>
      <c r="AT75" s="110"/>
      <c r="AU75" s="43"/>
      <c r="AV75" s="43"/>
      <c r="AW75" s="43"/>
      <c r="AX75" s="120"/>
      <c r="AY75" s="43"/>
      <c r="AZ75" s="43"/>
      <c r="BA75" s="78"/>
      <c r="BB75" s="109"/>
      <c r="BC75" s="109"/>
      <c r="BD75" s="109"/>
      <c r="BE75" s="109"/>
      <c r="BF75" s="109"/>
      <c r="BG75" s="78"/>
      <c r="BH75" s="83"/>
      <c r="BI75" s="113"/>
      <c r="BJ75" s="115"/>
      <c r="BK75" s="43"/>
    </row>
    <row r="76" s="18" customFormat="1" spans="1:63">
      <c r="A76" s="73"/>
      <c r="B76" s="101"/>
      <c r="C76" s="101"/>
      <c r="D76" s="101"/>
      <c r="E76" s="102"/>
      <c r="F76" s="103"/>
      <c r="G76" s="103"/>
      <c r="H76" s="120"/>
      <c r="I76" s="43"/>
      <c r="J76" s="43"/>
      <c r="K76" s="113"/>
      <c r="L76" s="43"/>
      <c r="M76" s="43"/>
      <c r="N76" s="43"/>
      <c r="O76" s="43"/>
      <c r="P76" s="114"/>
      <c r="Q76" s="114"/>
      <c r="R76" s="43"/>
      <c r="S76" s="43"/>
      <c r="T76" s="111"/>
      <c r="U76" s="116"/>
      <c r="V76" s="114"/>
      <c r="W76" s="114"/>
      <c r="X76" s="115"/>
      <c r="Y76" s="120"/>
      <c r="Z76" s="43"/>
      <c r="AA76" s="43"/>
      <c r="AB76" s="43"/>
      <c r="AC76" s="43"/>
      <c r="AD76" s="43"/>
      <c r="AE76" s="111"/>
      <c r="AF76" s="111"/>
      <c r="AG76" s="43"/>
      <c r="AH76" s="43"/>
      <c r="AI76" s="118"/>
      <c r="AJ76" s="43"/>
      <c r="AK76" s="120"/>
      <c r="AL76" s="43"/>
      <c r="AM76" s="43"/>
      <c r="AN76" s="111"/>
      <c r="AO76" s="43"/>
      <c r="AP76" s="43"/>
      <c r="AQ76" s="119"/>
      <c r="AR76" s="43"/>
      <c r="AS76" s="109"/>
      <c r="AT76" s="110"/>
      <c r="AU76" s="43"/>
      <c r="AV76" s="43"/>
      <c r="AW76" s="43"/>
      <c r="AX76" s="120"/>
      <c r="AY76" s="43"/>
      <c r="AZ76" s="43"/>
      <c r="BA76" s="78"/>
      <c r="BB76" s="109"/>
      <c r="BC76" s="109"/>
      <c r="BD76" s="109"/>
      <c r="BE76" s="109"/>
      <c r="BF76" s="109"/>
      <c r="BG76" s="78"/>
      <c r="BH76" s="83"/>
      <c r="BI76" s="113"/>
      <c r="BJ76" s="115"/>
      <c r="BK76" s="43"/>
    </row>
    <row r="77" s="18" customFormat="1" spans="1:63">
      <c r="A77" s="73"/>
      <c r="B77" s="101"/>
      <c r="C77" s="101"/>
      <c r="D77" s="101"/>
      <c r="E77" s="102"/>
      <c r="F77" s="103"/>
      <c r="G77" s="103"/>
      <c r="H77" s="120"/>
      <c r="I77" s="43"/>
      <c r="J77" s="43"/>
      <c r="K77" s="113"/>
      <c r="L77" s="43"/>
      <c r="M77" s="43"/>
      <c r="N77" s="43"/>
      <c r="O77" s="43"/>
      <c r="P77" s="114"/>
      <c r="Q77" s="114"/>
      <c r="R77" s="43"/>
      <c r="S77" s="43"/>
      <c r="T77" s="111"/>
      <c r="U77" s="116"/>
      <c r="V77" s="114"/>
      <c r="W77" s="114"/>
      <c r="X77" s="115"/>
      <c r="Y77" s="120"/>
      <c r="Z77" s="43"/>
      <c r="AA77" s="43"/>
      <c r="AB77" s="43"/>
      <c r="AC77" s="43"/>
      <c r="AD77" s="43"/>
      <c r="AE77" s="111"/>
      <c r="AF77" s="111"/>
      <c r="AG77" s="43"/>
      <c r="AH77" s="43"/>
      <c r="AI77" s="118"/>
      <c r="AJ77" s="43"/>
      <c r="AK77" s="120"/>
      <c r="AL77" s="43"/>
      <c r="AM77" s="43"/>
      <c r="AN77" s="111"/>
      <c r="AO77" s="43"/>
      <c r="AP77" s="43"/>
      <c r="AQ77" s="119"/>
      <c r="AR77" s="43"/>
      <c r="AS77" s="109"/>
      <c r="AT77" s="110"/>
      <c r="AU77" s="43"/>
      <c r="AV77" s="43"/>
      <c r="AW77" s="43"/>
      <c r="AX77" s="120"/>
      <c r="AY77" s="43"/>
      <c r="AZ77" s="43"/>
      <c r="BA77" s="78"/>
      <c r="BB77" s="109"/>
      <c r="BC77" s="109"/>
      <c r="BD77" s="109"/>
      <c r="BE77" s="109"/>
      <c r="BF77" s="109"/>
      <c r="BG77" s="78"/>
      <c r="BH77" s="83"/>
      <c r="BI77" s="113"/>
      <c r="BJ77" s="115"/>
      <c r="BK77" s="43"/>
    </row>
    <row r="78" s="18" customFormat="1" spans="1:63">
      <c r="A78" s="73"/>
      <c r="B78" s="101"/>
      <c r="C78" s="101"/>
      <c r="D78" s="101"/>
      <c r="E78" s="102"/>
      <c r="F78" s="103"/>
      <c r="G78" s="103"/>
      <c r="H78" s="120"/>
      <c r="I78" s="43"/>
      <c r="J78" s="43"/>
      <c r="K78" s="113"/>
      <c r="L78" s="43"/>
      <c r="M78" s="43"/>
      <c r="N78" s="43"/>
      <c r="O78" s="43"/>
      <c r="P78" s="114"/>
      <c r="Q78" s="114"/>
      <c r="R78" s="43"/>
      <c r="S78" s="43"/>
      <c r="T78" s="111"/>
      <c r="U78" s="116"/>
      <c r="V78" s="114"/>
      <c r="W78" s="114"/>
      <c r="X78" s="115"/>
      <c r="Y78" s="120"/>
      <c r="Z78" s="43"/>
      <c r="AA78" s="43"/>
      <c r="AB78" s="43"/>
      <c r="AC78" s="43"/>
      <c r="AD78" s="43"/>
      <c r="AE78" s="111"/>
      <c r="AF78" s="111"/>
      <c r="AG78" s="43"/>
      <c r="AH78" s="43"/>
      <c r="AI78" s="118"/>
      <c r="AJ78" s="43"/>
      <c r="AK78" s="120"/>
      <c r="AL78" s="43"/>
      <c r="AM78" s="43"/>
      <c r="AN78" s="111"/>
      <c r="AO78" s="43"/>
      <c r="AP78" s="43"/>
      <c r="AQ78" s="119"/>
      <c r="AR78" s="43"/>
      <c r="AS78" s="109"/>
      <c r="AT78" s="110"/>
      <c r="AU78" s="43"/>
      <c r="AV78" s="43"/>
      <c r="AW78" s="43"/>
      <c r="AX78" s="120"/>
      <c r="AY78" s="43"/>
      <c r="AZ78" s="43"/>
      <c r="BA78" s="78"/>
      <c r="BB78" s="109"/>
      <c r="BC78" s="109"/>
      <c r="BD78" s="109"/>
      <c r="BE78" s="109"/>
      <c r="BF78" s="109"/>
      <c r="BG78" s="78"/>
      <c r="BH78" s="83"/>
      <c r="BI78" s="113"/>
      <c r="BJ78" s="115"/>
      <c r="BK78" s="43"/>
    </row>
    <row r="79" s="18" customFormat="1" spans="1:63">
      <c r="A79" s="73"/>
      <c r="B79" s="101"/>
      <c r="C79" s="101"/>
      <c r="D79" s="101"/>
      <c r="E79" s="102"/>
      <c r="F79" s="103"/>
      <c r="G79" s="103"/>
      <c r="H79" s="120"/>
      <c r="I79" s="43"/>
      <c r="J79" s="43"/>
      <c r="K79" s="113"/>
      <c r="L79" s="43"/>
      <c r="M79" s="43"/>
      <c r="N79" s="43"/>
      <c r="O79" s="43"/>
      <c r="P79" s="114"/>
      <c r="Q79" s="114"/>
      <c r="R79" s="43"/>
      <c r="S79" s="43"/>
      <c r="T79" s="111"/>
      <c r="U79" s="116"/>
      <c r="V79" s="114"/>
      <c r="W79" s="114"/>
      <c r="X79" s="115"/>
      <c r="Y79" s="120"/>
      <c r="Z79" s="43"/>
      <c r="AA79" s="43"/>
      <c r="AB79" s="43"/>
      <c r="AC79" s="43"/>
      <c r="AD79" s="43"/>
      <c r="AE79" s="43"/>
      <c r="AF79" s="111"/>
      <c r="AG79" s="43"/>
      <c r="AH79" s="43"/>
      <c r="AI79" s="118"/>
      <c r="AJ79" s="43"/>
      <c r="AK79" s="120"/>
      <c r="AL79" s="43"/>
      <c r="AM79" s="43"/>
      <c r="AN79" s="111"/>
      <c r="AO79" s="43"/>
      <c r="AP79" s="43"/>
      <c r="AQ79" s="119"/>
      <c r="AR79" s="43"/>
      <c r="AS79" s="109"/>
      <c r="AT79" s="110"/>
      <c r="AU79" s="43"/>
      <c r="AV79" s="43"/>
      <c r="AW79" s="43"/>
      <c r="AX79" s="120"/>
      <c r="AY79" s="43"/>
      <c r="AZ79" s="43"/>
      <c r="BA79" s="78"/>
      <c r="BB79" s="109"/>
      <c r="BC79" s="109"/>
      <c r="BD79" s="109"/>
      <c r="BE79" s="109"/>
      <c r="BF79" s="109"/>
      <c r="BG79" s="78"/>
      <c r="BH79" s="83"/>
      <c r="BI79" s="113"/>
      <c r="BJ79" s="115"/>
      <c r="BK79" s="43"/>
    </row>
    <row r="80" s="18" customFormat="1" spans="1:63">
      <c r="A80" s="73"/>
      <c r="B80" s="101"/>
      <c r="C80" s="101"/>
      <c r="D80" s="101"/>
      <c r="E80" s="102"/>
      <c r="F80" s="103"/>
      <c r="G80" s="103"/>
      <c r="H80" s="104"/>
      <c r="I80" s="43"/>
      <c r="J80" s="43"/>
      <c r="K80" s="113"/>
      <c r="L80" s="43"/>
      <c r="M80" s="43"/>
      <c r="N80" s="43"/>
      <c r="O80" s="43"/>
      <c r="P80" s="114"/>
      <c r="Q80" s="114"/>
      <c r="R80" s="43"/>
      <c r="S80" s="43"/>
      <c r="T80" s="111"/>
      <c r="U80" s="116"/>
      <c r="V80" s="114"/>
      <c r="W80" s="114"/>
      <c r="X80" s="115"/>
      <c r="Y80" s="120"/>
      <c r="Z80" s="43"/>
      <c r="AA80" s="43"/>
      <c r="AB80" s="43"/>
      <c r="AC80" s="43"/>
      <c r="AD80" s="43"/>
      <c r="AE80" s="43"/>
      <c r="AF80" s="111"/>
      <c r="AG80" s="43"/>
      <c r="AH80" s="43"/>
      <c r="AI80" s="118"/>
      <c r="AJ80" s="43"/>
      <c r="AK80" s="120"/>
      <c r="AL80" s="43"/>
      <c r="AM80" s="43"/>
      <c r="AN80" s="111"/>
      <c r="AO80" s="43"/>
      <c r="AP80" s="43"/>
      <c r="AQ80" s="119"/>
      <c r="AR80" s="43"/>
      <c r="AS80" s="109"/>
      <c r="AT80" s="110"/>
      <c r="AU80" s="43"/>
      <c r="AV80" s="43"/>
      <c r="AW80" s="43"/>
      <c r="AX80" s="120"/>
      <c r="AY80" s="43"/>
      <c r="AZ80" s="43"/>
      <c r="BA80" s="78"/>
      <c r="BB80" s="109"/>
      <c r="BC80" s="109"/>
      <c r="BD80" s="109"/>
      <c r="BE80" s="109"/>
      <c r="BF80" s="109"/>
      <c r="BG80" s="78"/>
      <c r="BH80" s="83"/>
      <c r="BI80" s="113"/>
      <c r="BJ80" s="115"/>
      <c r="BK80" s="43"/>
    </row>
    <row r="81" s="18" customFormat="1" spans="1:63">
      <c r="A81" s="73"/>
      <c r="B81" s="101"/>
      <c r="C81" s="101"/>
      <c r="D81" s="101"/>
      <c r="E81" s="102"/>
      <c r="F81" s="103"/>
      <c r="G81" s="103"/>
      <c r="H81" s="104"/>
      <c r="I81" s="43"/>
      <c r="J81" s="43"/>
      <c r="K81" s="113"/>
      <c r="L81" s="43"/>
      <c r="M81" s="43"/>
      <c r="N81" s="43"/>
      <c r="O81" s="43"/>
      <c r="P81" s="114"/>
      <c r="Q81" s="114"/>
      <c r="R81" s="43"/>
      <c r="S81" s="43"/>
      <c r="T81" s="111"/>
      <c r="U81" s="116"/>
      <c r="V81" s="114"/>
      <c r="W81" s="114"/>
      <c r="X81" s="115"/>
      <c r="Y81" s="120"/>
      <c r="Z81" s="43"/>
      <c r="AA81" s="43"/>
      <c r="AB81" s="43"/>
      <c r="AC81" s="43"/>
      <c r="AD81" s="43"/>
      <c r="AE81" s="43"/>
      <c r="AF81" s="111"/>
      <c r="AG81" s="43"/>
      <c r="AH81" s="43"/>
      <c r="AI81" s="118"/>
      <c r="AJ81" s="43"/>
      <c r="AK81" s="120"/>
      <c r="AL81" s="43"/>
      <c r="AM81" s="43"/>
      <c r="AN81" s="111"/>
      <c r="AO81" s="43"/>
      <c r="AP81" s="43"/>
      <c r="AQ81" s="119"/>
      <c r="AR81" s="43"/>
      <c r="AS81" s="109"/>
      <c r="AT81" s="110"/>
      <c r="AU81" s="43"/>
      <c r="AV81" s="43"/>
      <c r="AW81" s="43"/>
      <c r="AX81" s="120"/>
      <c r="AY81" s="43"/>
      <c r="AZ81" s="43"/>
      <c r="BA81" s="78"/>
      <c r="BB81" s="109"/>
      <c r="BC81" s="109"/>
      <c r="BD81" s="109"/>
      <c r="BE81" s="109"/>
      <c r="BF81" s="109"/>
      <c r="BG81" s="78"/>
      <c r="BH81" s="83"/>
      <c r="BI81" s="113"/>
      <c r="BJ81" s="115"/>
      <c r="BK81" s="43"/>
    </row>
    <row r="82" s="18" customFormat="1" spans="1:63">
      <c r="A82" s="73"/>
      <c r="B82" s="101"/>
      <c r="C82" s="101"/>
      <c r="D82" s="101"/>
      <c r="E82" s="102"/>
      <c r="F82" s="103"/>
      <c r="G82" s="103"/>
      <c r="H82" s="104"/>
      <c r="I82" s="43"/>
      <c r="J82" s="43"/>
      <c r="K82" s="113"/>
      <c r="L82" s="43"/>
      <c r="M82" s="43"/>
      <c r="N82" s="43"/>
      <c r="O82" s="43"/>
      <c r="P82" s="114"/>
      <c r="Q82" s="114"/>
      <c r="R82" s="43"/>
      <c r="S82" s="43"/>
      <c r="T82" s="111"/>
      <c r="U82" s="116"/>
      <c r="V82" s="114"/>
      <c r="W82" s="114"/>
      <c r="X82" s="115"/>
      <c r="Y82" s="120"/>
      <c r="Z82" s="43"/>
      <c r="AA82" s="43"/>
      <c r="AB82" s="43"/>
      <c r="AC82" s="43"/>
      <c r="AD82" s="43"/>
      <c r="AE82" s="43"/>
      <c r="AF82" s="111"/>
      <c r="AG82" s="43"/>
      <c r="AH82" s="43"/>
      <c r="AI82" s="118"/>
      <c r="AJ82" s="43"/>
      <c r="AK82" s="120"/>
      <c r="AL82" s="43"/>
      <c r="AM82" s="43"/>
      <c r="AN82" s="111"/>
      <c r="AO82" s="43"/>
      <c r="AP82" s="43"/>
      <c r="AQ82" s="119"/>
      <c r="AR82" s="43"/>
      <c r="AS82" s="109"/>
      <c r="AT82" s="110"/>
      <c r="AU82" s="43"/>
      <c r="AV82" s="43"/>
      <c r="AW82" s="43"/>
      <c r="AX82" s="120"/>
      <c r="AY82" s="43"/>
      <c r="AZ82" s="43"/>
      <c r="BA82" s="78"/>
      <c r="BB82" s="109"/>
      <c r="BC82" s="109"/>
      <c r="BD82" s="109"/>
      <c r="BE82" s="109"/>
      <c r="BF82" s="109"/>
      <c r="BG82" s="78"/>
      <c r="BH82" s="83"/>
      <c r="BI82" s="113"/>
      <c r="BJ82" s="115"/>
      <c r="BK82" s="43"/>
    </row>
    <row r="83" s="18" customFormat="1" spans="1:63">
      <c r="A83" s="73"/>
      <c r="B83" s="101"/>
      <c r="C83" s="101"/>
      <c r="D83" s="101"/>
      <c r="E83" s="102"/>
      <c r="F83" s="103"/>
      <c r="G83" s="103"/>
      <c r="H83" s="120"/>
      <c r="I83" s="43"/>
      <c r="J83" s="43"/>
      <c r="K83" s="113"/>
      <c r="L83" s="43"/>
      <c r="M83" s="43"/>
      <c r="N83" s="43"/>
      <c r="O83" s="43"/>
      <c r="P83" s="114"/>
      <c r="Q83" s="114"/>
      <c r="R83" s="43"/>
      <c r="S83" s="43"/>
      <c r="T83" s="111"/>
      <c r="U83" s="116"/>
      <c r="V83" s="114"/>
      <c r="W83" s="114"/>
      <c r="X83" s="115"/>
      <c r="Y83" s="120"/>
      <c r="Z83" s="43"/>
      <c r="AA83" s="43"/>
      <c r="AB83" s="43"/>
      <c r="AC83" s="43"/>
      <c r="AD83" s="43"/>
      <c r="AE83" s="43"/>
      <c r="AF83" s="111"/>
      <c r="AG83" s="43"/>
      <c r="AH83" s="43"/>
      <c r="AI83" s="118"/>
      <c r="AJ83" s="43"/>
      <c r="AK83" s="120"/>
      <c r="AL83" s="43"/>
      <c r="AM83" s="43"/>
      <c r="AN83" s="111"/>
      <c r="AO83" s="43"/>
      <c r="AP83" s="43"/>
      <c r="AQ83" s="119"/>
      <c r="AR83" s="43"/>
      <c r="AS83" s="109"/>
      <c r="AT83" s="110"/>
      <c r="AU83" s="43"/>
      <c r="AV83" s="43"/>
      <c r="AW83" s="43"/>
      <c r="AX83" s="120"/>
      <c r="AY83" s="43"/>
      <c r="AZ83" s="43"/>
      <c r="BA83" s="78"/>
      <c r="BB83" s="109"/>
      <c r="BC83" s="109"/>
      <c r="BD83" s="109"/>
      <c r="BE83" s="109"/>
      <c r="BF83" s="109"/>
      <c r="BG83" s="78"/>
      <c r="BH83" s="83"/>
      <c r="BI83" s="113"/>
      <c r="BJ83" s="115"/>
      <c r="BK83" s="43"/>
    </row>
    <row r="84" s="18" customFormat="1" spans="1:63">
      <c r="A84" s="73"/>
      <c r="B84" s="101"/>
      <c r="C84" s="101"/>
      <c r="D84" s="101"/>
      <c r="E84" s="102"/>
      <c r="F84" s="103"/>
      <c r="G84" s="103"/>
      <c r="H84" s="120"/>
      <c r="I84" s="43"/>
      <c r="J84" s="43"/>
      <c r="K84" s="113"/>
      <c r="L84" s="43"/>
      <c r="M84" s="43"/>
      <c r="N84" s="43"/>
      <c r="O84" s="43"/>
      <c r="P84" s="114"/>
      <c r="Q84" s="114"/>
      <c r="R84" s="43"/>
      <c r="S84" s="43"/>
      <c r="T84" s="111"/>
      <c r="U84" s="116"/>
      <c r="V84" s="114"/>
      <c r="W84" s="114"/>
      <c r="X84" s="115"/>
      <c r="Y84" s="120"/>
      <c r="Z84" s="43"/>
      <c r="AA84" s="43"/>
      <c r="AB84" s="43"/>
      <c r="AC84" s="43"/>
      <c r="AD84" s="43"/>
      <c r="AE84" s="43"/>
      <c r="AF84" s="111"/>
      <c r="AG84" s="43"/>
      <c r="AH84" s="43"/>
      <c r="AI84" s="118"/>
      <c r="AJ84" s="43"/>
      <c r="AK84" s="120"/>
      <c r="AL84" s="43"/>
      <c r="AM84" s="43"/>
      <c r="AN84" s="111"/>
      <c r="AO84" s="43"/>
      <c r="AP84" s="43"/>
      <c r="AQ84" s="119"/>
      <c r="AR84" s="43"/>
      <c r="AS84" s="109"/>
      <c r="AT84" s="110"/>
      <c r="AU84" s="43"/>
      <c r="AV84" s="43"/>
      <c r="AW84" s="43"/>
      <c r="AX84" s="120"/>
      <c r="AY84" s="43"/>
      <c r="AZ84" s="43"/>
      <c r="BA84" s="78"/>
      <c r="BB84" s="109"/>
      <c r="BC84" s="109"/>
      <c r="BD84" s="109"/>
      <c r="BE84" s="109"/>
      <c r="BF84" s="109"/>
      <c r="BG84" s="78"/>
      <c r="BH84" s="83"/>
      <c r="BI84" s="113"/>
      <c r="BJ84" s="115"/>
      <c r="BK84" s="43"/>
    </row>
    <row r="85" s="18" customFormat="1" spans="1:63">
      <c r="A85" s="73"/>
      <c r="B85" s="101"/>
      <c r="C85" s="101"/>
      <c r="D85" s="101"/>
      <c r="E85" s="102"/>
      <c r="F85" s="103"/>
      <c r="G85" s="103"/>
      <c r="H85" s="120"/>
      <c r="I85" s="43"/>
      <c r="J85" s="43"/>
      <c r="K85" s="113"/>
      <c r="L85" s="43"/>
      <c r="M85" s="43"/>
      <c r="N85" s="43"/>
      <c r="O85" s="43"/>
      <c r="P85" s="114"/>
      <c r="Q85" s="114"/>
      <c r="R85" s="43"/>
      <c r="S85" s="43"/>
      <c r="T85" s="111"/>
      <c r="U85" s="116"/>
      <c r="V85" s="114"/>
      <c r="W85" s="114"/>
      <c r="X85" s="115"/>
      <c r="Y85" s="120"/>
      <c r="Z85" s="43"/>
      <c r="AA85" s="43"/>
      <c r="AB85" s="43"/>
      <c r="AC85" s="43"/>
      <c r="AD85" s="43"/>
      <c r="AE85" s="43"/>
      <c r="AF85" s="111"/>
      <c r="AG85" s="43"/>
      <c r="AH85" s="43"/>
      <c r="AI85" s="118"/>
      <c r="AJ85" s="43"/>
      <c r="AK85" s="120"/>
      <c r="AL85" s="43"/>
      <c r="AM85" s="43"/>
      <c r="AN85" s="111"/>
      <c r="AO85" s="43"/>
      <c r="AP85" s="43"/>
      <c r="AQ85" s="119"/>
      <c r="AR85" s="43"/>
      <c r="AS85" s="109"/>
      <c r="AT85" s="110"/>
      <c r="AU85" s="43"/>
      <c r="AV85" s="43"/>
      <c r="AW85" s="43"/>
      <c r="AX85" s="120"/>
      <c r="AY85" s="43"/>
      <c r="AZ85" s="43"/>
      <c r="BA85" s="78"/>
      <c r="BB85" s="109"/>
      <c r="BC85" s="109"/>
      <c r="BD85" s="109"/>
      <c r="BE85" s="109"/>
      <c r="BF85" s="109"/>
      <c r="BG85" s="78"/>
      <c r="BH85" s="83"/>
      <c r="BI85" s="113"/>
      <c r="BJ85" s="115"/>
      <c r="BK85" s="43"/>
    </row>
    <row r="86" s="18" customFormat="1" spans="1:63">
      <c r="A86" s="73"/>
      <c r="B86" s="101"/>
      <c r="C86" s="101"/>
      <c r="D86" s="101"/>
      <c r="E86" s="102"/>
      <c r="F86" s="103"/>
      <c r="G86" s="103"/>
      <c r="H86" s="120"/>
      <c r="I86" s="43"/>
      <c r="J86" s="43"/>
      <c r="K86" s="113"/>
      <c r="L86" s="43"/>
      <c r="M86" s="43"/>
      <c r="N86" s="43"/>
      <c r="O86" s="43"/>
      <c r="P86" s="114"/>
      <c r="Q86" s="114"/>
      <c r="R86" s="43"/>
      <c r="S86" s="43"/>
      <c r="T86" s="111"/>
      <c r="U86" s="116"/>
      <c r="V86" s="114"/>
      <c r="W86" s="114"/>
      <c r="X86" s="115"/>
      <c r="Y86" s="120"/>
      <c r="Z86" s="43"/>
      <c r="AA86" s="43"/>
      <c r="AB86" s="43"/>
      <c r="AC86" s="43"/>
      <c r="AD86" s="43"/>
      <c r="AE86" s="43"/>
      <c r="AF86" s="111"/>
      <c r="AG86" s="43"/>
      <c r="AH86" s="43"/>
      <c r="AI86" s="118"/>
      <c r="AJ86" s="43"/>
      <c r="AK86" s="120"/>
      <c r="AL86" s="43"/>
      <c r="AM86" s="43"/>
      <c r="AN86" s="111"/>
      <c r="AO86" s="43"/>
      <c r="AP86" s="43"/>
      <c r="AQ86" s="119"/>
      <c r="AR86" s="43"/>
      <c r="AS86" s="109"/>
      <c r="AT86" s="110"/>
      <c r="AU86" s="43"/>
      <c r="AV86" s="43"/>
      <c r="AW86" s="43"/>
      <c r="AX86" s="120"/>
      <c r="AY86" s="43"/>
      <c r="AZ86" s="43"/>
      <c r="BA86" s="78"/>
      <c r="BB86" s="109"/>
      <c r="BC86" s="109"/>
      <c r="BD86" s="109"/>
      <c r="BE86" s="109"/>
      <c r="BF86" s="109"/>
      <c r="BG86" s="78"/>
      <c r="BH86" s="83"/>
      <c r="BI86" s="113"/>
      <c r="BJ86" s="115"/>
      <c r="BK86" s="43"/>
    </row>
    <row r="87" s="18" customFormat="1" spans="1:63">
      <c r="A87" s="73"/>
      <c r="B87" s="101"/>
      <c r="C87" s="101"/>
      <c r="D87" s="101"/>
      <c r="E87" s="102"/>
      <c r="F87" s="103"/>
      <c r="G87" s="103"/>
      <c r="H87" s="120"/>
      <c r="I87" s="43"/>
      <c r="J87" s="43"/>
      <c r="K87" s="113"/>
      <c r="L87" s="43"/>
      <c r="M87" s="43"/>
      <c r="N87" s="43"/>
      <c r="O87" s="43"/>
      <c r="P87" s="114"/>
      <c r="Q87" s="114"/>
      <c r="R87" s="43"/>
      <c r="S87" s="43"/>
      <c r="T87" s="111"/>
      <c r="U87" s="116"/>
      <c r="V87" s="114"/>
      <c r="W87" s="114"/>
      <c r="X87" s="115"/>
      <c r="Y87" s="120"/>
      <c r="Z87" s="43"/>
      <c r="AA87" s="43"/>
      <c r="AB87" s="43"/>
      <c r="AC87" s="43"/>
      <c r="AD87" s="43"/>
      <c r="AE87" s="43"/>
      <c r="AF87" s="111"/>
      <c r="AG87" s="43"/>
      <c r="AH87" s="43"/>
      <c r="AI87" s="118"/>
      <c r="AJ87" s="43"/>
      <c r="AK87" s="120"/>
      <c r="AL87" s="43"/>
      <c r="AM87" s="43"/>
      <c r="AN87" s="111"/>
      <c r="AO87" s="43"/>
      <c r="AP87" s="43"/>
      <c r="AQ87" s="119"/>
      <c r="AR87" s="43"/>
      <c r="AS87" s="109"/>
      <c r="AT87" s="110"/>
      <c r="AU87" s="43"/>
      <c r="AV87" s="43"/>
      <c r="AW87" s="43"/>
      <c r="AX87" s="120"/>
      <c r="AY87" s="43"/>
      <c r="AZ87" s="43"/>
      <c r="BA87" s="78"/>
      <c r="BB87" s="109"/>
      <c r="BC87" s="109"/>
      <c r="BD87" s="109"/>
      <c r="BE87" s="109"/>
      <c r="BF87" s="109"/>
      <c r="BG87" s="78"/>
      <c r="BH87" s="83"/>
      <c r="BI87" s="113"/>
      <c r="BJ87" s="115"/>
      <c r="BK87" s="43"/>
    </row>
    <row r="88" s="18" customFormat="1" spans="1:63">
      <c r="A88" s="73"/>
      <c r="B88" s="101"/>
      <c r="C88" s="101"/>
      <c r="D88" s="101"/>
      <c r="E88" s="102"/>
      <c r="F88" s="103"/>
      <c r="G88" s="103"/>
      <c r="H88" s="120"/>
      <c r="I88" s="43"/>
      <c r="J88" s="43"/>
      <c r="K88" s="113"/>
      <c r="L88" s="43"/>
      <c r="M88" s="43"/>
      <c r="N88" s="43"/>
      <c r="O88" s="43"/>
      <c r="P88" s="114"/>
      <c r="Q88" s="114"/>
      <c r="R88" s="43"/>
      <c r="S88" s="43"/>
      <c r="T88" s="111"/>
      <c r="U88" s="116"/>
      <c r="V88" s="114"/>
      <c r="W88" s="114"/>
      <c r="X88" s="115"/>
      <c r="Y88" s="120"/>
      <c r="Z88" s="43"/>
      <c r="AA88" s="43"/>
      <c r="AB88" s="43"/>
      <c r="AC88" s="43"/>
      <c r="AD88" s="43"/>
      <c r="AE88" s="43"/>
      <c r="AF88" s="111"/>
      <c r="AG88" s="43"/>
      <c r="AH88" s="43"/>
      <c r="AI88" s="118"/>
      <c r="AJ88" s="43"/>
      <c r="AK88" s="120"/>
      <c r="AL88" s="43"/>
      <c r="AM88" s="43"/>
      <c r="AN88" s="111"/>
      <c r="AO88" s="43"/>
      <c r="AP88" s="43"/>
      <c r="AQ88" s="119"/>
      <c r="AR88" s="43"/>
      <c r="AS88" s="109"/>
      <c r="AT88" s="110"/>
      <c r="AU88" s="43"/>
      <c r="AV88" s="43"/>
      <c r="AW88" s="43"/>
      <c r="AX88" s="120"/>
      <c r="AY88" s="43"/>
      <c r="AZ88" s="43"/>
      <c r="BA88" s="78"/>
      <c r="BB88" s="109"/>
      <c r="BC88" s="109"/>
      <c r="BD88" s="109"/>
      <c r="BE88" s="109"/>
      <c r="BF88" s="109"/>
      <c r="BG88" s="78"/>
      <c r="BH88" s="83"/>
      <c r="BI88" s="113"/>
      <c r="BJ88" s="115"/>
      <c r="BK88" s="43"/>
    </row>
    <row r="89" s="18" customFormat="1" spans="1:63">
      <c r="A89" s="73"/>
      <c r="B89" s="101"/>
      <c r="C89" s="101"/>
      <c r="D89" s="101"/>
      <c r="E89" s="102"/>
      <c r="F89" s="103"/>
      <c r="G89" s="103"/>
      <c r="H89" s="120"/>
      <c r="I89" s="43"/>
      <c r="J89" s="43"/>
      <c r="K89" s="113"/>
      <c r="L89" s="43"/>
      <c r="M89" s="43"/>
      <c r="N89" s="43"/>
      <c r="O89" s="43"/>
      <c r="P89" s="114"/>
      <c r="Q89" s="114"/>
      <c r="R89" s="43"/>
      <c r="S89" s="43"/>
      <c r="T89" s="111"/>
      <c r="U89" s="116"/>
      <c r="V89" s="114"/>
      <c r="W89" s="114"/>
      <c r="X89" s="115"/>
      <c r="Y89" s="120"/>
      <c r="Z89" s="43"/>
      <c r="AA89" s="43"/>
      <c r="AB89" s="43"/>
      <c r="AC89" s="43"/>
      <c r="AD89" s="43"/>
      <c r="AE89" s="43"/>
      <c r="AF89" s="111"/>
      <c r="AG89" s="43"/>
      <c r="AH89" s="43"/>
      <c r="AI89" s="118"/>
      <c r="AJ89" s="43"/>
      <c r="AK89" s="120"/>
      <c r="AL89" s="43"/>
      <c r="AM89" s="43"/>
      <c r="AN89" s="111"/>
      <c r="AO89" s="43"/>
      <c r="AP89" s="43"/>
      <c r="AQ89" s="119"/>
      <c r="AR89" s="43"/>
      <c r="AS89" s="109"/>
      <c r="AT89" s="110"/>
      <c r="AU89" s="43"/>
      <c r="AV89" s="43"/>
      <c r="AW89" s="43"/>
      <c r="AX89" s="120"/>
      <c r="AY89" s="43"/>
      <c r="AZ89" s="43"/>
      <c r="BA89" s="78"/>
      <c r="BB89" s="109"/>
      <c r="BC89" s="109"/>
      <c r="BD89" s="109"/>
      <c r="BE89" s="109"/>
      <c r="BF89" s="109"/>
      <c r="BG89" s="78"/>
      <c r="BH89" s="83"/>
      <c r="BI89" s="113"/>
      <c r="BJ89" s="115"/>
      <c r="BK89" s="43"/>
    </row>
    <row r="90" s="18" customFormat="1" spans="1:63">
      <c r="A90" s="73"/>
      <c r="B90" s="101"/>
      <c r="C90" s="101"/>
      <c r="D90" s="101"/>
      <c r="E90" s="102"/>
      <c r="F90" s="103"/>
      <c r="G90" s="103"/>
      <c r="H90" s="120"/>
      <c r="I90" s="43"/>
      <c r="J90" s="43"/>
      <c r="K90" s="113"/>
      <c r="L90" s="43"/>
      <c r="M90" s="43"/>
      <c r="N90" s="43"/>
      <c r="O90" s="43"/>
      <c r="P90" s="114"/>
      <c r="Q90" s="114"/>
      <c r="R90" s="43"/>
      <c r="S90" s="43"/>
      <c r="T90" s="111"/>
      <c r="U90" s="116"/>
      <c r="V90" s="114"/>
      <c r="W90" s="114"/>
      <c r="X90" s="115"/>
      <c r="Y90" s="120"/>
      <c r="Z90" s="43"/>
      <c r="AA90" s="43"/>
      <c r="AB90" s="43"/>
      <c r="AC90" s="43"/>
      <c r="AD90" s="43"/>
      <c r="AE90" s="43"/>
      <c r="AF90" s="111"/>
      <c r="AG90" s="43"/>
      <c r="AH90" s="43"/>
      <c r="AI90" s="118"/>
      <c r="AJ90" s="43"/>
      <c r="AK90" s="120"/>
      <c r="AL90" s="43"/>
      <c r="AM90" s="43"/>
      <c r="AN90" s="111"/>
      <c r="AO90" s="43"/>
      <c r="AP90" s="43"/>
      <c r="AQ90" s="119"/>
      <c r="AR90" s="43"/>
      <c r="AS90" s="109"/>
      <c r="AT90" s="110"/>
      <c r="AU90" s="43"/>
      <c r="AV90" s="43"/>
      <c r="AW90" s="43"/>
      <c r="AX90" s="120"/>
      <c r="AY90" s="43"/>
      <c r="AZ90" s="43"/>
      <c r="BA90" s="78"/>
      <c r="BB90" s="109"/>
      <c r="BC90" s="109"/>
      <c r="BD90" s="109"/>
      <c r="BE90" s="109"/>
      <c r="BF90" s="109"/>
      <c r="BG90" s="78"/>
      <c r="BH90" s="83"/>
      <c r="BI90" s="113"/>
      <c r="BJ90" s="115"/>
      <c r="BK90" s="43"/>
    </row>
    <row r="91" s="18" customFormat="1" spans="1:63">
      <c r="A91" s="73"/>
      <c r="B91" s="101"/>
      <c r="C91" s="101"/>
      <c r="D91" s="101"/>
      <c r="E91" s="102"/>
      <c r="F91" s="103"/>
      <c r="G91" s="103"/>
      <c r="H91" s="120"/>
      <c r="I91" s="43"/>
      <c r="J91" s="43"/>
      <c r="K91" s="113"/>
      <c r="L91" s="43"/>
      <c r="M91" s="43"/>
      <c r="N91" s="43"/>
      <c r="O91" s="43"/>
      <c r="P91" s="114"/>
      <c r="Q91" s="114"/>
      <c r="R91" s="43"/>
      <c r="S91" s="43"/>
      <c r="T91" s="111"/>
      <c r="U91" s="116"/>
      <c r="V91" s="114"/>
      <c r="W91" s="114"/>
      <c r="X91" s="115"/>
      <c r="Y91" s="120"/>
      <c r="Z91" s="43"/>
      <c r="AA91" s="43"/>
      <c r="AB91" s="43"/>
      <c r="AC91" s="43"/>
      <c r="AD91" s="43"/>
      <c r="AE91" s="43"/>
      <c r="AF91" s="111"/>
      <c r="AG91" s="43"/>
      <c r="AH91" s="43"/>
      <c r="AI91" s="118"/>
      <c r="AJ91" s="43"/>
      <c r="AK91" s="120"/>
      <c r="AL91" s="43"/>
      <c r="AM91" s="43"/>
      <c r="AN91" s="111"/>
      <c r="AO91" s="43"/>
      <c r="AP91" s="43"/>
      <c r="AQ91" s="119"/>
      <c r="AR91" s="43"/>
      <c r="AS91" s="109"/>
      <c r="AT91" s="110"/>
      <c r="AU91" s="43"/>
      <c r="AV91" s="43"/>
      <c r="AW91" s="43"/>
      <c r="AX91" s="120"/>
      <c r="AY91" s="43"/>
      <c r="AZ91" s="43"/>
      <c r="BA91" s="78"/>
      <c r="BB91" s="109"/>
      <c r="BC91" s="109"/>
      <c r="BD91" s="109"/>
      <c r="BE91" s="109"/>
      <c r="BF91" s="109"/>
      <c r="BG91" s="78"/>
      <c r="BH91" s="83"/>
      <c r="BI91" s="113"/>
      <c r="BJ91" s="115"/>
      <c r="BK91" s="43"/>
    </row>
    <row r="92" s="18" customFormat="1" spans="1:63">
      <c r="A92" s="73"/>
      <c r="B92" s="101"/>
      <c r="C92" s="101"/>
      <c r="D92" s="101"/>
      <c r="E92" s="102"/>
      <c r="F92" s="103"/>
      <c r="G92" s="103"/>
      <c r="H92" s="120"/>
      <c r="I92" s="43"/>
      <c r="J92" s="43"/>
      <c r="K92" s="113"/>
      <c r="L92" s="43"/>
      <c r="M92" s="43"/>
      <c r="N92" s="43"/>
      <c r="O92" s="43"/>
      <c r="P92" s="114"/>
      <c r="Q92" s="114"/>
      <c r="R92" s="43"/>
      <c r="S92" s="43"/>
      <c r="T92" s="111"/>
      <c r="U92" s="116"/>
      <c r="V92" s="114"/>
      <c r="W92" s="114"/>
      <c r="X92" s="115"/>
      <c r="Y92" s="120"/>
      <c r="Z92" s="43"/>
      <c r="AA92" s="43"/>
      <c r="AB92" s="43"/>
      <c r="AC92" s="43"/>
      <c r="AD92" s="43"/>
      <c r="AE92" s="43"/>
      <c r="AF92" s="111"/>
      <c r="AG92" s="43"/>
      <c r="AH92" s="43"/>
      <c r="AI92" s="118"/>
      <c r="AJ92" s="43"/>
      <c r="AK92" s="120"/>
      <c r="AL92" s="43"/>
      <c r="AM92" s="43"/>
      <c r="AN92" s="111"/>
      <c r="AO92" s="43"/>
      <c r="AP92" s="43"/>
      <c r="AQ92" s="119"/>
      <c r="AR92" s="43"/>
      <c r="AS92" s="109"/>
      <c r="AT92" s="110"/>
      <c r="AU92" s="43"/>
      <c r="AV92" s="43"/>
      <c r="AW92" s="43"/>
      <c r="AX92" s="120"/>
      <c r="AY92" s="43"/>
      <c r="AZ92" s="43"/>
      <c r="BA92" s="78"/>
      <c r="BB92" s="109"/>
      <c r="BC92" s="109"/>
      <c r="BD92" s="109"/>
      <c r="BE92" s="109"/>
      <c r="BF92" s="109"/>
      <c r="BG92" s="78"/>
      <c r="BH92" s="83"/>
      <c r="BI92" s="113"/>
      <c r="BJ92" s="115"/>
      <c r="BK92" s="43"/>
    </row>
    <row r="93" s="18" customFormat="1" spans="1:63">
      <c r="A93" s="73"/>
      <c r="B93" s="101"/>
      <c r="C93" s="101"/>
      <c r="D93" s="101"/>
      <c r="E93" s="102"/>
      <c r="F93" s="103"/>
      <c r="G93" s="103"/>
      <c r="H93" s="120"/>
      <c r="I93" s="43"/>
      <c r="J93" s="43"/>
      <c r="K93" s="113"/>
      <c r="L93" s="43"/>
      <c r="M93" s="43"/>
      <c r="N93" s="43"/>
      <c r="O93" s="43"/>
      <c r="P93" s="114"/>
      <c r="Q93" s="114"/>
      <c r="R93" s="43"/>
      <c r="S93" s="43"/>
      <c r="T93" s="111"/>
      <c r="U93" s="116"/>
      <c r="V93" s="114"/>
      <c r="W93" s="114"/>
      <c r="X93" s="115"/>
      <c r="Y93" s="120"/>
      <c r="Z93" s="43"/>
      <c r="AA93" s="43"/>
      <c r="AB93" s="43"/>
      <c r="AC93" s="43"/>
      <c r="AD93" s="43"/>
      <c r="AE93" s="43"/>
      <c r="AF93" s="111"/>
      <c r="AG93" s="43"/>
      <c r="AH93" s="43"/>
      <c r="AI93" s="118"/>
      <c r="AJ93" s="43"/>
      <c r="AK93" s="120"/>
      <c r="AL93" s="43"/>
      <c r="AM93" s="43"/>
      <c r="AN93" s="111"/>
      <c r="AO93" s="43"/>
      <c r="AP93" s="43"/>
      <c r="AQ93" s="119"/>
      <c r="AR93" s="43"/>
      <c r="AS93" s="109"/>
      <c r="AT93" s="110"/>
      <c r="AU93" s="43"/>
      <c r="AV93" s="43"/>
      <c r="AW93" s="43"/>
      <c r="AX93" s="120"/>
      <c r="AY93" s="43"/>
      <c r="AZ93" s="43"/>
      <c r="BA93" s="78"/>
      <c r="BB93" s="109"/>
      <c r="BC93" s="109"/>
      <c r="BD93" s="109"/>
      <c r="BE93" s="109"/>
      <c r="BF93" s="109"/>
      <c r="BG93" s="78"/>
      <c r="BH93" s="83"/>
      <c r="BI93" s="113"/>
      <c r="BJ93" s="115"/>
      <c r="BK93" s="43"/>
    </row>
    <row r="94" s="18" customFormat="1" spans="1:63">
      <c r="A94" s="73"/>
      <c r="B94" s="101"/>
      <c r="C94" s="101"/>
      <c r="D94" s="101"/>
      <c r="E94" s="102"/>
      <c r="F94" s="103"/>
      <c r="G94" s="103"/>
      <c r="H94" s="120"/>
      <c r="I94" s="43"/>
      <c r="J94" s="43"/>
      <c r="K94" s="113"/>
      <c r="L94" s="43"/>
      <c r="M94" s="43"/>
      <c r="N94" s="43"/>
      <c r="O94" s="43"/>
      <c r="P94" s="114"/>
      <c r="Q94" s="114"/>
      <c r="R94" s="43"/>
      <c r="S94" s="43"/>
      <c r="T94" s="111"/>
      <c r="U94" s="116"/>
      <c r="V94" s="114"/>
      <c r="W94" s="114"/>
      <c r="X94" s="115"/>
      <c r="Y94" s="120"/>
      <c r="Z94" s="43"/>
      <c r="AA94" s="43"/>
      <c r="AB94" s="43"/>
      <c r="AC94" s="43"/>
      <c r="AD94" s="43"/>
      <c r="AE94" s="43"/>
      <c r="AF94" s="111"/>
      <c r="AG94" s="43"/>
      <c r="AH94" s="43"/>
      <c r="AI94" s="118"/>
      <c r="AJ94" s="43"/>
      <c r="AK94" s="120"/>
      <c r="AL94" s="43"/>
      <c r="AM94" s="43"/>
      <c r="AN94" s="111"/>
      <c r="AO94" s="43"/>
      <c r="AP94" s="43"/>
      <c r="AQ94" s="119"/>
      <c r="AR94" s="43"/>
      <c r="AS94" s="109"/>
      <c r="AT94" s="110"/>
      <c r="AU94" s="43"/>
      <c r="AV94" s="43"/>
      <c r="AW94" s="43"/>
      <c r="AX94" s="120"/>
      <c r="AY94" s="43"/>
      <c r="AZ94" s="43"/>
      <c r="BA94" s="78"/>
      <c r="BB94" s="109"/>
      <c r="BC94" s="109"/>
      <c r="BD94" s="109"/>
      <c r="BE94" s="109"/>
      <c r="BF94" s="109"/>
      <c r="BG94" s="78"/>
      <c r="BH94" s="83"/>
      <c r="BI94" s="113"/>
      <c r="BJ94" s="115"/>
      <c r="BK94" s="43"/>
    </row>
    <row r="95" s="18" customFormat="1" spans="1:63">
      <c r="A95" s="73"/>
      <c r="B95" s="101"/>
      <c r="C95" s="101"/>
      <c r="D95" s="101"/>
      <c r="E95" s="102"/>
      <c r="F95" s="103"/>
      <c r="G95" s="103"/>
      <c r="H95" s="120"/>
      <c r="I95" s="43"/>
      <c r="J95" s="43"/>
      <c r="K95" s="113"/>
      <c r="L95" s="43"/>
      <c r="M95" s="43"/>
      <c r="N95" s="43"/>
      <c r="O95" s="43"/>
      <c r="P95" s="114"/>
      <c r="Q95" s="114"/>
      <c r="R95" s="43"/>
      <c r="S95" s="43"/>
      <c r="T95" s="111"/>
      <c r="U95" s="116"/>
      <c r="V95" s="114"/>
      <c r="W95" s="114"/>
      <c r="X95" s="115"/>
      <c r="Y95" s="120"/>
      <c r="Z95" s="43"/>
      <c r="AA95" s="43"/>
      <c r="AB95" s="43"/>
      <c r="AC95" s="43"/>
      <c r="AD95" s="43"/>
      <c r="AE95" s="43"/>
      <c r="AF95" s="111"/>
      <c r="AG95" s="43"/>
      <c r="AH95" s="43"/>
      <c r="AI95" s="118"/>
      <c r="AJ95" s="43"/>
      <c r="AK95" s="120"/>
      <c r="AL95" s="43"/>
      <c r="AM95" s="43"/>
      <c r="AN95" s="111"/>
      <c r="AO95" s="43"/>
      <c r="AP95" s="43"/>
      <c r="AQ95" s="119"/>
      <c r="AR95" s="43"/>
      <c r="AS95" s="109"/>
      <c r="AT95" s="110"/>
      <c r="AU95" s="43"/>
      <c r="AV95" s="43"/>
      <c r="AW95" s="43"/>
      <c r="AX95" s="120"/>
      <c r="AY95" s="43"/>
      <c r="AZ95" s="43"/>
      <c r="BA95" s="78"/>
      <c r="BB95" s="109"/>
      <c r="BC95" s="109"/>
      <c r="BD95" s="109"/>
      <c r="BE95" s="109"/>
      <c r="BF95" s="109"/>
      <c r="BG95" s="78"/>
      <c r="BH95" s="83"/>
      <c r="BI95" s="113"/>
      <c r="BJ95" s="115"/>
      <c r="BK95" s="43"/>
    </row>
    <row r="96" s="18" customFormat="1" spans="1:63">
      <c r="A96" s="73"/>
      <c r="B96" s="101"/>
      <c r="C96" s="101"/>
      <c r="D96" s="101"/>
      <c r="E96" s="102"/>
      <c r="F96" s="103"/>
      <c r="G96" s="103"/>
      <c r="H96" s="120"/>
      <c r="I96" s="43"/>
      <c r="J96" s="43"/>
      <c r="K96" s="113"/>
      <c r="L96" s="43"/>
      <c r="M96" s="43"/>
      <c r="N96" s="43"/>
      <c r="O96" s="43"/>
      <c r="P96" s="114"/>
      <c r="Q96" s="114"/>
      <c r="R96" s="43"/>
      <c r="S96" s="43"/>
      <c r="T96" s="111"/>
      <c r="U96" s="116"/>
      <c r="V96" s="114"/>
      <c r="W96" s="114"/>
      <c r="X96" s="115"/>
      <c r="Y96" s="120"/>
      <c r="Z96" s="43"/>
      <c r="AA96" s="43"/>
      <c r="AB96" s="43"/>
      <c r="AC96" s="43"/>
      <c r="AD96" s="43"/>
      <c r="AE96" s="43"/>
      <c r="AF96" s="111"/>
      <c r="AG96" s="43"/>
      <c r="AH96" s="43"/>
      <c r="AI96" s="118"/>
      <c r="AJ96" s="43"/>
      <c r="AK96" s="120"/>
      <c r="AL96" s="43"/>
      <c r="AM96" s="43"/>
      <c r="AN96" s="111"/>
      <c r="AO96" s="43"/>
      <c r="AP96" s="43"/>
      <c r="AQ96" s="119"/>
      <c r="AR96" s="43"/>
      <c r="AS96" s="109"/>
      <c r="AT96" s="110"/>
      <c r="AU96" s="43"/>
      <c r="AV96" s="43"/>
      <c r="AW96" s="43"/>
      <c r="AX96" s="120"/>
      <c r="AY96" s="43"/>
      <c r="AZ96" s="43"/>
      <c r="BA96" s="78"/>
      <c r="BB96" s="109"/>
      <c r="BC96" s="109"/>
      <c r="BD96" s="109"/>
      <c r="BE96" s="109"/>
      <c r="BF96" s="109"/>
      <c r="BG96" s="78"/>
      <c r="BH96" s="83"/>
      <c r="BI96" s="113"/>
      <c r="BJ96" s="115"/>
      <c r="BK96" s="43"/>
    </row>
    <row r="97" s="18" customFormat="1" spans="1:63">
      <c r="A97" s="73"/>
      <c r="B97" s="101"/>
      <c r="C97" s="101"/>
      <c r="D97" s="101"/>
      <c r="E97" s="102"/>
      <c r="F97" s="103"/>
      <c r="G97" s="103"/>
      <c r="H97" s="120"/>
      <c r="I97" s="43"/>
      <c r="J97" s="43"/>
      <c r="K97" s="113"/>
      <c r="L97" s="43"/>
      <c r="M97" s="43"/>
      <c r="N97" s="43"/>
      <c r="O97" s="43"/>
      <c r="P97" s="114"/>
      <c r="Q97" s="114"/>
      <c r="R97" s="43"/>
      <c r="S97" s="43"/>
      <c r="T97" s="111"/>
      <c r="U97" s="116"/>
      <c r="V97" s="114"/>
      <c r="W97" s="114"/>
      <c r="X97" s="115"/>
      <c r="Y97" s="120"/>
      <c r="Z97" s="43"/>
      <c r="AA97" s="43"/>
      <c r="AB97" s="43"/>
      <c r="AC97" s="43"/>
      <c r="AD97" s="43"/>
      <c r="AE97" s="43"/>
      <c r="AF97" s="111"/>
      <c r="AG97" s="43"/>
      <c r="AH97" s="43"/>
      <c r="AI97" s="118"/>
      <c r="AJ97" s="43"/>
      <c r="AK97" s="120"/>
      <c r="AL97" s="43"/>
      <c r="AM97" s="43"/>
      <c r="AN97" s="111"/>
      <c r="AO97" s="43"/>
      <c r="AP97" s="43"/>
      <c r="AQ97" s="119"/>
      <c r="AR97" s="43"/>
      <c r="AS97" s="109"/>
      <c r="AT97" s="110"/>
      <c r="AU97" s="43"/>
      <c r="AV97" s="43"/>
      <c r="AW97" s="43"/>
      <c r="AX97" s="120"/>
      <c r="AY97" s="43"/>
      <c r="AZ97" s="43"/>
      <c r="BA97" s="78"/>
      <c r="BB97" s="109"/>
      <c r="BC97" s="109"/>
      <c r="BD97" s="109"/>
      <c r="BE97" s="109"/>
      <c r="BF97" s="109"/>
      <c r="BG97" s="78"/>
      <c r="BH97" s="83"/>
      <c r="BI97" s="113"/>
      <c r="BJ97" s="115"/>
      <c r="BK97" s="43"/>
    </row>
    <row r="98" s="18" customFormat="1" spans="1:63">
      <c r="A98" s="73"/>
      <c r="B98" s="101"/>
      <c r="C98" s="101"/>
      <c r="D98" s="101"/>
      <c r="E98" s="102"/>
      <c r="F98" s="103"/>
      <c r="G98" s="103"/>
      <c r="H98" s="120"/>
      <c r="I98" s="43"/>
      <c r="J98" s="43"/>
      <c r="K98" s="113"/>
      <c r="L98" s="43"/>
      <c r="M98" s="43"/>
      <c r="N98" s="43"/>
      <c r="O98" s="43"/>
      <c r="P98" s="114"/>
      <c r="Q98" s="114"/>
      <c r="R98" s="43"/>
      <c r="S98" s="43"/>
      <c r="T98" s="111"/>
      <c r="U98" s="116"/>
      <c r="V98" s="114"/>
      <c r="W98" s="114"/>
      <c r="X98" s="115"/>
      <c r="Y98" s="120"/>
      <c r="Z98" s="43"/>
      <c r="AA98" s="43"/>
      <c r="AB98" s="43"/>
      <c r="AC98" s="43"/>
      <c r="AD98" s="43"/>
      <c r="AE98" s="43"/>
      <c r="AF98" s="111"/>
      <c r="AG98" s="43"/>
      <c r="AH98" s="43"/>
      <c r="AI98" s="118"/>
      <c r="AJ98" s="43"/>
      <c r="AK98" s="120"/>
      <c r="AL98" s="43"/>
      <c r="AM98" s="43"/>
      <c r="AN98" s="111"/>
      <c r="AO98" s="43"/>
      <c r="AP98" s="43"/>
      <c r="AQ98" s="119"/>
      <c r="AR98" s="43"/>
      <c r="AS98" s="109"/>
      <c r="AT98" s="110"/>
      <c r="AU98" s="43"/>
      <c r="AV98" s="43"/>
      <c r="AW98" s="43"/>
      <c r="AX98" s="120"/>
      <c r="AY98" s="43"/>
      <c r="AZ98" s="43"/>
      <c r="BA98" s="78"/>
      <c r="BB98" s="109"/>
      <c r="BC98" s="109"/>
      <c r="BD98" s="109"/>
      <c r="BE98" s="109"/>
      <c r="BF98" s="109"/>
      <c r="BG98" s="78"/>
      <c r="BH98" s="83"/>
      <c r="BI98" s="113"/>
      <c r="BJ98" s="115"/>
      <c r="BK98" s="43"/>
    </row>
    <row r="99" s="18" customFormat="1" spans="1:63">
      <c r="A99" s="73"/>
      <c r="B99" s="101"/>
      <c r="C99" s="101"/>
      <c r="D99" s="101"/>
      <c r="E99" s="102"/>
      <c r="F99" s="103"/>
      <c r="G99" s="103"/>
      <c r="H99" s="120"/>
      <c r="I99" s="43"/>
      <c r="J99" s="43"/>
      <c r="K99" s="113"/>
      <c r="L99" s="43"/>
      <c r="M99" s="43"/>
      <c r="N99" s="43"/>
      <c r="O99" s="43"/>
      <c r="P99" s="114"/>
      <c r="Q99" s="114"/>
      <c r="R99" s="43"/>
      <c r="S99" s="43"/>
      <c r="T99" s="111"/>
      <c r="U99" s="116"/>
      <c r="V99" s="114"/>
      <c r="W99" s="114"/>
      <c r="X99" s="115"/>
      <c r="Y99" s="120"/>
      <c r="Z99" s="43"/>
      <c r="AA99" s="43"/>
      <c r="AB99" s="43"/>
      <c r="AC99" s="43"/>
      <c r="AD99" s="43"/>
      <c r="AE99" s="43"/>
      <c r="AF99" s="111"/>
      <c r="AG99" s="43"/>
      <c r="AH99" s="43"/>
      <c r="AI99" s="118"/>
      <c r="AJ99" s="43"/>
      <c r="AK99" s="120"/>
      <c r="AL99" s="43"/>
      <c r="AM99" s="43"/>
      <c r="AN99" s="111"/>
      <c r="AO99" s="43"/>
      <c r="AP99" s="43"/>
      <c r="AQ99" s="119"/>
      <c r="AR99" s="43"/>
      <c r="AS99" s="109"/>
      <c r="AT99" s="110"/>
      <c r="AU99" s="43"/>
      <c r="AV99" s="43"/>
      <c r="AW99" s="43"/>
      <c r="AX99" s="120"/>
      <c r="AY99" s="43"/>
      <c r="AZ99" s="43"/>
      <c r="BA99" s="78"/>
      <c r="BB99" s="109"/>
      <c r="BC99" s="109"/>
      <c r="BD99" s="109"/>
      <c r="BE99" s="109"/>
      <c r="BF99" s="109"/>
      <c r="BG99" s="78"/>
      <c r="BH99" s="83"/>
      <c r="BI99" s="113"/>
      <c r="BJ99" s="115"/>
      <c r="BK99" s="43"/>
    </row>
    <row r="100" s="18" customFormat="1" spans="1:63">
      <c r="A100" s="73"/>
      <c r="B100" s="101"/>
      <c r="C100" s="101"/>
      <c r="D100" s="101"/>
      <c r="E100" s="102"/>
      <c r="F100" s="103"/>
      <c r="G100" s="103"/>
      <c r="H100" s="120"/>
      <c r="I100" s="43"/>
      <c r="J100" s="43"/>
      <c r="K100" s="113"/>
      <c r="L100" s="43"/>
      <c r="M100" s="43"/>
      <c r="N100" s="43"/>
      <c r="O100" s="43"/>
      <c r="P100" s="114"/>
      <c r="Q100" s="114"/>
      <c r="R100" s="43"/>
      <c r="S100" s="43"/>
      <c r="T100" s="111"/>
      <c r="U100" s="116"/>
      <c r="V100" s="114"/>
      <c r="W100" s="114"/>
      <c r="X100" s="115"/>
      <c r="Y100" s="120"/>
      <c r="Z100" s="43"/>
      <c r="AA100" s="43"/>
      <c r="AB100" s="43"/>
      <c r="AC100" s="43"/>
      <c r="AD100" s="43"/>
      <c r="AE100" s="43"/>
      <c r="AF100" s="111"/>
      <c r="AG100" s="43"/>
      <c r="AH100" s="43"/>
      <c r="AI100" s="118"/>
      <c r="AJ100" s="43"/>
      <c r="AK100" s="120"/>
      <c r="AL100" s="43"/>
      <c r="AM100" s="43"/>
      <c r="AN100" s="111"/>
      <c r="AO100" s="43"/>
      <c r="AP100" s="43"/>
      <c r="AQ100" s="119"/>
      <c r="AR100" s="43"/>
      <c r="AS100" s="109"/>
      <c r="AT100" s="110"/>
      <c r="AU100" s="43"/>
      <c r="AV100" s="43"/>
      <c r="AW100" s="43"/>
      <c r="AX100" s="120"/>
      <c r="AY100" s="43"/>
      <c r="AZ100" s="43"/>
      <c r="BA100" s="78"/>
      <c r="BB100" s="109"/>
      <c r="BC100" s="109"/>
      <c r="BD100" s="109"/>
      <c r="BE100" s="109"/>
      <c r="BF100" s="109"/>
      <c r="BG100" s="78"/>
      <c r="BH100" s="83"/>
      <c r="BI100" s="113"/>
      <c r="BJ100" s="115"/>
      <c r="BK100" s="43"/>
    </row>
    <row r="101" s="18" customFormat="1" spans="1:63">
      <c r="A101" s="73"/>
      <c r="B101" s="101"/>
      <c r="C101" s="101"/>
      <c r="D101" s="101"/>
      <c r="E101" s="102"/>
      <c r="F101" s="103"/>
      <c r="G101" s="103"/>
      <c r="H101" s="120"/>
      <c r="I101" s="43"/>
      <c r="J101" s="43"/>
      <c r="K101" s="113"/>
      <c r="L101" s="43"/>
      <c r="M101" s="43"/>
      <c r="N101" s="43"/>
      <c r="O101" s="43"/>
      <c r="P101" s="114"/>
      <c r="Q101" s="114"/>
      <c r="R101" s="43"/>
      <c r="S101" s="43"/>
      <c r="T101" s="111"/>
      <c r="U101" s="116"/>
      <c r="V101" s="114"/>
      <c r="W101" s="114"/>
      <c r="X101" s="115"/>
      <c r="Y101" s="120"/>
      <c r="Z101" s="43"/>
      <c r="AA101" s="43"/>
      <c r="AB101" s="43"/>
      <c r="AC101" s="43"/>
      <c r="AD101" s="43"/>
      <c r="AE101" s="43"/>
      <c r="AF101" s="111"/>
      <c r="AG101" s="43"/>
      <c r="AH101" s="43"/>
      <c r="AI101" s="118"/>
      <c r="AJ101" s="43"/>
      <c r="AK101" s="120"/>
      <c r="AL101" s="43"/>
      <c r="AM101" s="43"/>
      <c r="AN101" s="111"/>
      <c r="AO101" s="43"/>
      <c r="AP101" s="43"/>
      <c r="AQ101" s="119"/>
      <c r="AR101" s="43"/>
      <c r="AS101" s="109"/>
      <c r="AT101" s="110"/>
      <c r="AU101" s="43"/>
      <c r="AV101" s="43"/>
      <c r="AW101" s="43"/>
      <c r="AX101" s="120"/>
      <c r="AY101" s="43"/>
      <c r="AZ101" s="43"/>
      <c r="BA101" s="78"/>
      <c r="BB101" s="110"/>
      <c r="BC101" s="43"/>
      <c r="BD101" s="43"/>
      <c r="BE101" s="43"/>
      <c r="BF101" s="117"/>
      <c r="BG101" s="78"/>
      <c r="BH101" s="83"/>
      <c r="BI101" s="113"/>
      <c r="BJ101" s="115"/>
      <c r="BK101" s="43"/>
    </row>
    <row r="102" s="18" customFormat="1" spans="1:63">
      <c r="A102" s="73"/>
      <c r="B102" s="101"/>
      <c r="C102" s="101"/>
      <c r="D102" s="101"/>
      <c r="E102" s="102"/>
      <c r="F102" s="103"/>
      <c r="G102" s="103"/>
      <c r="H102" s="120"/>
      <c r="I102" s="43"/>
      <c r="J102" s="43"/>
      <c r="K102" s="113"/>
      <c r="L102" s="43"/>
      <c r="M102" s="43"/>
      <c r="N102" s="43"/>
      <c r="O102" s="43"/>
      <c r="P102" s="114"/>
      <c r="Q102" s="114"/>
      <c r="R102" s="43"/>
      <c r="S102" s="43"/>
      <c r="T102" s="111"/>
      <c r="U102" s="116"/>
      <c r="V102" s="114"/>
      <c r="W102" s="114"/>
      <c r="X102" s="115"/>
      <c r="Y102" s="120"/>
      <c r="Z102" s="43"/>
      <c r="AA102" s="43"/>
      <c r="AB102" s="43"/>
      <c r="AC102" s="43"/>
      <c r="AD102" s="43"/>
      <c r="AE102" s="43"/>
      <c r="AF102" s="111"/>
      <c r="AG102" s="43"/>
      <c r="AH102" s="43"/>
      <c r="AI102" s="118"/>
      <c r="AJ102" s="43"/>
      <c r="AK102" s="120"/>
      <c r="AL102" s="43"/>
      <c r="AM102" s="43"/>
      <c r="AN102" s="111"/>
      <c r="AO102" s="43"/>
      <c r="AP102" s="43"/>
      <c r="AQ102" s="119"/>
      <c r="AR102" s="43"/>
      <c r="AS102" s="109"/>
      <c r="AT102" s="110"/>
      <c r="AU102" s="43"/>
      <c r="AV102" s="43"/>
      <c r="AW102" s="43"/>
      <c r="AX102" s="120"/>
      <c r="AY102" s="43"/>
      <c r="AZ102" s="43"/>
      <c r="BA102" s="43"/>
      <c r="BB102" s="111"/>
      <c r="BC102" s="43"/>
      <c r="BD102" s="43"/>
      <c r="BE102" s="43"/>
      <c r="BF102" s="117"/>
      <c r="BG102" s="78"/>
      <c r="BH102" s="83"/>
      <c r="BI102" s="113"/>
      <c r="BJ102" s="115"/>
      <c r="BK102" s="43"/>
    </row>
    <row r="103" s="18" customFormat="1" spans="1:63">
      <c r="A103" s="73"/>
      <c r="B103" s="101"/>
      <c r="C103" s="101"/>
      <c r="D103" s="101"/>
      <c r="E103" s="102"/>
      <c r="F103" s="103"/>
      <c r="G103" s="103"/>
      <c r="H103" s="120"/>
      <c r="I103" s="43"/>
      <c r="J103" s="43"/>
      <c r="K103" s="113"/>
      <c r="L103" s="43"/>
      <c r="M103" s="43"/>
      <c r="N103" s="43"/>
      <c r="O103" s="43"/>
      <c r="P103" s="114"/>
      <c r="Q103" s="114"/>
      <c r="R103" s="43"/>
      <c r="S103" s="43"/>
      <c r="T103" s="111"/>
      <c r="U103" s="116"/>
      <c r="V103" s="114"/>
      <c r="W103" s="114"/>
      <c r="X103" s="115"/>
      <c r="Y103" s="120"/>
      <c r="Z103" s="43"/>
      <c r="AA103" s="43"/>
      <c r="AB103" s="43"/>
      <c r="AC103" s="43"/>
      <c r="AD103" s="43"/>
      <c r="AE103" s="43"/>
      <c r="AF103" s="111"/>
      <c r="AG103" s="43"/>
      <c r="AH103" s="43"/>
      <c r="AI103" s="118"/>
      <c r="AJ103" s="43"/>
      <c r="AK103" s="120"/>
      <c r="AL103" s="43"/>
      <c r="AM103" s="43"/>
      <c r="AN103" s="111"/>
      <c r="AO103" s="43"/>
      <c r="AP103" s="43"/>
      <c r="AQ103" s="119"/>
      <c r="AR103" s="43"/>
      <c r="AS103" s="109"/>
      <c r="AT103" s="110"/>
      <c r="AU103" s="43"/>
      <c r="AV103" s="43"/>
      <c r="AW103" s="43"/>
      <c r="AX103" s="120"/>
      <c r="AY103" s="43"/>
      <c r="AZ103" s="43"/>
      <c r="BA103" s="43"/>
      <c r="BB103" s="111"/>
      <c r="BC103" s="43"/>
      <c r="BD103" s="43"/>
      <c r="BE103" s="43"/>
      <c r="BF103" s="117"/>
      <c r="BG103" s="78"/>
      <c r="BH103" s="83"/>
      <c r="BI103" s="113"/>
      <c r="BJ103" s="115"/>
      <c r="BK103" s="43"/>
    </row>
    <row r="104" s="18" customFormat="1" spans="1:63">
      <c r="A104" s="73"/>
      <c r="B104" s="101"/>
      <c r="C104" s="101"/>
      <c r="D104" s="101"/>
      <c r="E104" s="102"/>
      <c r="F104" s="103"/>
      <c r="G104" s="103"/>
      <c r="H104" s="120"/>
      <c r="I104" s="43"/>
      <c r="J104" s="43"/>
      <c r="K104" s="113"/>
      <c r="L104" s="43"/>
      <c r="M104" s="43"/>
      <c r="N104" s="43"/>
      <c r="O104" s="43"/>
      <c r="P104" s="114"/>
      <c r="Q104" s="114"/>
      <c r="R104" s="43"/>
      <c r="S104" s="43"/>
      <c r="T104" s="111"/>
      <c r="U104" s="116"/>
      <c r="V104" s="114"/>
      <c r="W104" s="114"/>
      <c r="X104" s="115"/>
      <c r="Y104" s="120"/>
      <c r="Z104" s="43"/>
      <c r="AA104" s="43"/>
      <c r="AB104" s="43"/>
      <c r="AC104" s="43"/>
      <c r="AD104" s="43"/>
      <c r="AE104" s="43"/>
      <c r="AF104" s="111"/>
      <c r="AG104" s="43"/>
      <c r="AH104" s="43"/>
      <c r="AI104" s="118"/>
      <c r="AJ104" s="43"/>
      <c r="AK104" s="120"/>
      <c r="AL104" s="43"/>
      <c r="AM104" s="43"/>
      <c r="AN104" s="111"/>
      <c r="AO104" s="43"/>
      <c r="AP104" s="43"/>
      <c r="AQ104" s="119"/>
      <c r="AR104" s="43"/>
      <c r="AS104" s="43"/>
      <c r="AT104" s="43"/>
      <c r="AU104" s="43"/>
      <c r="AV104" s="43"/>
      <c r="AW104" s="43"/>
      <c r="AX104" s="120"/>
      <c r="AY104" s="43"/>
      <c r="AZ104" s="43"/>
      <c r="BA104" s="43"/>
      <c r="BB104" s="111"/>
      <c r="BC104" s="43"/>
      <c r="BD104" s="43"/>
      <c r="BE104" s="43"/>
      <c r="BF104" s="117"/>
      <c r="BG104" s="78"/>
      <c r="BH104" s="83"/>
      <c r="BI104" s="113"/>
      <c r="BJ104" s="115"/>
      <c r="BK104" s="43"/>
    </row>
    <row r="105" s="18" customFormat="1" spans="1:63">
      <c r="A105" s="73"/>
      <c r="B105" s="101"/>
      <c r="C105" s="101"/>
      <c r="D105" s="101"/>
      <c r="E105" s="102"/>
      <c r="F105" s="103"/>
      <c r="G105" s="103"/>
      <c r="H105" s="120"/>
      <c r="I105" s="43"/>
      <c r="J105" s="43"/>
      <c r="K105" s="113"/>
      <c r="L105" s="43"/>
      <c r="M105" s="43"/>
      <c r="N105" s="43"/>
      <c r="O105" s="43"/>
      <c r="P105" s="114"/>
      <c r="Q105" s="114"/>
      <c r="R105" s="43"/>
      <c r="S105" s="43"/>
      <c r="T105" s="111"/>
      <c r="U105" s="116"/>
      <c r="V105" s="114"/>
      <c r="W105" s="114"/>
      <c r="X105" s="115"/>
      <c r="Y105" s="120"/>
      <c r="Z105" s="43"/>
      <c r="AA105" s="43"/>
      <c r="AB105" s="43"/>
      <c r="AC105" s="43"/>
      <c r="AD105" s="43"/>
      <c r="AE105" s="43"/>
      <c r="AF105" s="111"/>
      <c r="AG105" s="43"/>
      <c r="AH105" s="43"/>
      <c r="AI105" s="118"/>
      <c r="AJ105" s="43"/>
      <c r="AK105" s="120"/>
      <c r="AL105" s="43"/>
      <c r="AM105" s="43"/>
      <c r="AN105" s="111"/>
      <c r="AO105" s="43"/>
      <c r="AP105" s="43"/>
      <c r="AQ105" s="119"/>
      <c r="AR105" s="43"/>
      <c r="AS105" s="43"/>
      <c r="AT105" s="43"/>
      <c r="AU105" s="43"/>
      <c r="AV105" s="43"/>
      <c r="AW105" s="43"/>
      <c r="AX105" s="120"/>
      <c r="AY105" s="43"/>
      <c r="AZ105" s="43"/>
      <c r="BA105" s="43"/>
      <c r="BB105" s="111"/>
      <c r="BC105" s="43"/>
      <c r="BD105" s="43"/>
      <c r="BE105" s="43"/>
      <c r="BF105" s="117"/>
      <c r="BG105" s="78"/>
      <c r="BH105" s="83"/>
      <c r="BI105" s="113"/>
      <c r="BJ105" s="115"/>
      <c r="BK105" s="43"/>
    </row>
    <row r="106" s="18" customFormat="1" spans="1:63">
      <c r="A106" s="73"/>
      <c r="B106" s="101"/>
      <c r="C106" s="101"/>
      <c r="D106" s="101"/>
      <c r="E106" s="102"/>
      <c r="F106" s="103"/>
      <c r="G106" s="103"/>
      <c r="H106" s="120"/>
      <c r="I106" s="43"/>
      <c r="J106" s="43"/>
      <c r="K106" s="113"/>
      <c r="L106" s="43"/>
      <c r="M106" s="43"/>
      <c r="N106" s="43"/>
      <c r="O106" s="43"/>
      <c r="P106" s="114"/>
      <c r="Q106" s="114"/>
      <c r="R106" s="43"/>
      <c r="S106" s="43"/>
      <c r="T106" s="111"/>
      <c r="U106" s="116"/>
      <c r="V106" s="114"/>
      <c r="W106" s="114"/>
      <c r="X106" s="115"/>
      <c r="Y106" s="120"/>
      <c r="Z106" s="43"/>
      <c r="AA106" s="43"/>
      <c r="AB106" s="43"/>
      <c r="AC106" s="43"/>
      <c r="AD106" s="43"/>
      <c r="AE106" s="43"/>
      <c r="AF106" s="43"/>
      <c r="AG106" s="43"/>
      <c r="AH106" s="43"/>
      <c r="AI106" s="118"/>
      <c r="AJ106" s="43"/>
      <c r="AK106" s="120"/>
      <c r="AL106" s="43"/>
      <c r="AM106" s="43"/>
      <c r="AN106" s="43"/>
      <c r="AO106" s="43"/>
      <c r="AP106" s="43"/>
      <c r="AQ106" s="119"/>
      <c r="AR106" s="43"/>
      <c r="AS106" s="43"/>
      <c r="AT106" s="43"/>
      <c r="AU106" s="43"/>
      <c r="AV106" s="43"/>
      <c r="AW106" s="43"/>
      <c r="AX106" s="120"/>
      <c r="AY106" s="43"/>
      <c r="AZ106" s="43"/>
      <c r="BA106" s="43"/>
      <c r="BB106" s="111"/>
      <c r="BC106" s="101"/>
      <c r="BD106" s="43"/>
      <c r="BE106" s="43"/>
      <c r="BF106" s="117"/>
      <c r="BG106" s="78"/>
      <c r="BH106" s="83"/>
      <c r="BI106" s="113"/>
      <c r="BJ106" s="115"/>
      <c r="BK106" s="43"/>
    </row>
    <row r="107" s="18" customFormat="1" spans="1:63">
      <c r="A107" s="73"/>
      <c r="B107" s="101"/>
      <c r="C107" s="101"/>
      <c r="D107" s="101"/>
      <c r="E107" s="102"/>
      <c r="F107" s="103"/>
      <c r="G107" s="103"/>
      <c r="H107" s="120"/>
      <c r="I107" s="43"/>
      <c r="J107" s="43"/>
      <c r="K107" s="113"/>
      <c r="L107" s="43"/>
      <c r="M107" s="43"/>
      <c r="N107" s="43"/>
      <c r="O107" s="43"/>
      <c r="P107" s="114"/>
      <c r="Q107" s="114"/>
      <c r="R107" s="43"/>
      <c r="S107" s="43"/>
      <c r="T107" s="111"/>
      <c r="U107" s="116"/>
      <c r="V107" s="114"/>
      <c r="W107" s="114"/>
      <c r="X107" s="115"/>
      <c r="Y107" s="120"/>
      <c r="Z107" s="43"/>
      <c r="AA107" s="43"/>
      <c r="AB107" s="43"/>
      <c r="AC107" s="43"/>
      <c r="AD107" s="43"/>
      <c r="AE107" s="43"/>
      <c r="AF107" s="43"/>
      <c r="AG107" s="43"/>
      <c r="AH107" s="43"/>
      <c r="AI107" s="118"/>
      <c r="AJ107" s="43"/>
      <c r="AK107" s="120"/>
      <c r="AL107" s="43"/>
      <c r="AM107" s="43"/>
      <c r="AN107" s="43"/>
      <c r="AO107" s="43"/>
      <c r="AP107" s="43"/>
      <c r="AQ107" s="119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111"/>
      <c r="BC107" s="101"/>
      <c r="BD107" s="43"/>
      <c r="BE107" s="43"/>
      <c r="BF107" s="117"/>
      <c r="BG107" s="78"/>
      <c r="BH107" s="83"/>
      <c r="BI107" s="113"/>
      <c r="BJ107" s="115"/>
      <c r="BK107" s="43"/>
    </row>
    <row r="108" s="18" customFormat="1" spans="1:63">
      <c r="A108" s="73"/>
      <c r="B108" s="101"/>
      <c r="C108" s="101"/>
      <c r="D108" s="101"/>
      <c r="E108" s="102"/>
      <c r="F108" s="103"/>
      <c r="G108" s="103"/>
      <c r="H108" s="120"/>
      <c r="I108" s="43"/>
      <c r="J108" s="43"/>
      <c r="K108" s="113"/>
      <c r="L108" s="43"/>
      <c r="M108" s="43"/>
      <c r="N108" s="43"/>
      <c r="O108" s="43"/>
      <c r="P108" s="114"/>
      <c r="Q108" s="114"/>
      <c r="R108" s="43"/>
      <c r="S108" s="43"/>
      <c r="T108" s="111"/>
      <c r="U108" s="116"/>
      <c r="V108" s="114"/>
      <c r="W108" s="114"/>
      <c r="X108" s="115"/>
      <c r="Y108" s="120"/>
      <c r="Z108" s="43"/>
      <c r="AA108" s="43"/>
      <c r="AB108" s="43"/>
      <c r="AC108" s="43"/>
      <c r="AD108" s="43"/>
      <c r="AE108" s="43"/>
      <c r="AF108" s="43"/>
      <c r="AG108" s="43"/>
      <c r="AH108" s="43"/>
      <c r="AI108" s="118"/>
      <c r="AJ108" s="43"/>
      <c r="AK108" s="120"/>
      <c r="AL108" s="43"/>
      <c r="AM108" s="43"/>
      <c r="AN108" s="43"/>
      <c r="AO108" s="43"/>
      <c r="AP108" s="43"/>
      <c r="AQ108" s="119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111"/>
      <c r="BC108" s="101"/>
      <c r="BD108" s="43"/>
      <c r="BE108" s="43"/>
      <c r="BF108" s="117"/>
      <c r="BG108" s="78"/>
      <c r="BH108" s="83"/>
      <c r="BI108" s="113"/>
      <c r="BJ108" s="115"/>
      <c r="BK108" s="43"/>
    </row>
    <row r="109" s="18" customFormat="1" spans="1:63">
      <c r="A109" s="73"/>
      <c r="B109" s="101"/>
      <c r="C109" s="101"/>
      <c r="D109" s="101"/>
      <c r="E109" s="102"/>
      <c r="F109" s="103"/>
      <c r="G109" s="103"/>
      <c r="H109" s="120"/>
      <c r="I109" s="43"/>
      <c r="J109" s="43"/>
      <c r="K109" s="113"/>
      <c r="L109" s="43"/>
      <c r="M109" s="43"/>
      <c r="N109" s="43"/>
      <c r="O109" s="43"/>
      <c r="P109" s="114"/>
      <c r="Q109" s="114"/>
      <c r="R109" s="43"/>
      <c r="S109" s="43"/>
      <c r="T109" s="111"/>
      <c r="U109" s="116"/>
      <c r="V109" s="114"/>
      <c r="W109" s="114"/>
      <c r="X109" s="115"/>
      <c r="Y109" s="120"/>
      <c r="Z109" s="43"/>
      <c r="AA109" s="43"/>
      <c r="AB109" s="43"/>
      <c r="AC109" s="43"/>
      <c r="AD109" s="43"/>
      <c r="AE109" s="43"/>
      <c r="AF109" s="43"/>
      <c r="AG109" s="43"/>
      <c r="AH109" s="43"/>
      <c r="AI109" s="118"/>
      <c r="AJ109" s="43"/>
      <c r="AK109" s="120"/>
      <c r="AL109" s="43"/>
      <c r="AM109" s="43"/>
      <c r="AN109" s="43"/>
      <c r="AO109" s="43"/>
      <c r="AP109" s="43"/>
      <c r="AQ109" s="119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111"/>
      <c r="BC109" s="101"/>
      <c r="BD109" s="43"/>
      <c r="BE109" s="43"/>
      <c r="BF109" s="117"/>
      <c r="BG109" s="78"/>
      <c r="BH109" s="83"/>
      <c r="BI109" s="113"/>
      <c r="BJ109" s="115"/>
      <c r="BK109" s="43"/>
    </row>
    <row r="110" s="18" customFormat="1" spans="1:63">
      <c r="A110" s="73"/>
      <c r="B110" s="101"/>
      <c r="C110" s="101"/>
      <c r="D110" s="101"/>
      <c r="E110" s="102"/>
      <c r="F110" s="103"/>
      <c r="G110" s="103"/>
      <c r="H110" s="120"/>
      <c r="I110" s="43"/>
      <c r="J110" s="43"/>
      <c r="K110" s="113"/>
      <c r="L110" s="43"/>
      <c r="M110" s="43"/>
      <c r="N110" s="43"/>
      <c r="O110" s="43"/>
      <c r="P110" s="114"/>
      <c r="Q110" s="114"/>
      <c r="R110" s="43"/>
      <c r="S110" s="43"/>
      <c r="T110" s="111"/>
      <c r="U110" s="116"/>
      <c r="V110" s="114"/>
      <c r="W110" s="114"/>
      <c r="X110" s="115"/>
      <c r="Y110" s="120"/>
      <c r="Z110" s="43"/>
      <c r="AA110" s="43"/>
      <c r="AB110" s="43"/>
      <c r="AC110" s="43"/>
      <c r="AD110" s="43"/>
      <c r="AE110" s="43"/>
      <c r="AF110" s="43"/>
      <c r="AG110" s="43"/>
      <c r="AH110" s="43"/>
      <c r="AI110" s="118"/>
      <c r="AJ110" s="43"/>
      <c r="AK110" s="120"/>
      <c r="AL110" s="43"/>
      <c r="AM110" s="43"/>
      <c r="AN110" s="43"/>
      <c r="AO110" s="43"/>
      <c r="AP110" s="43"/>
      <c r="AQ110" s="119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111"/>
      <c r="BC110" s="101"/>
      <c r="BD110" s="43"/>
      <c r="BE110" s="43"/>
      <c r="BF110" s="117"/>
      <c r="BG110" s="78"/>
      <c r="BH110" s="83"/>
      <c r="BI110" s="113"/>
      <c r="BJ110" s="115"/>
      <c r="BK110" s="43"/>
    </row>
    <row r="111" s="18" customFormat="1" spans="1:63">
      <c r="A111" s="73"/>
      <c r="B111" s="101"/>
      <c r="C111" s="101"/>
      <c r="D111" s="101"/>
      <c r="E111" s="102"/>
      <c r="F111" s="103"/>
      <c r="G111" s="103"/>
      <c r="H111" s="120"/>
      <c r="I111" s="43"/>
      <c r="J111" s="43"/>
      <c r="K111" s="113"/>
      <c r="L111" s="43"/>
      <c r="M111" s="43"/>
      <c r="N111" s="43"/>
      <c r="O111" s="43"/>
      <c r="P111" s="114"/>
      <c r="Q111" s="114"/>
      <c r="R111" s="43"/>
      <c r="S111" s="43"/>
      <c r="T111" s="111"/>
      <c r="U111" s="116"/>
      <c r="V111" s="114"/>
      <c r="W111" s="114"/>
      <c r="X111" s="115"/>
      <c r="Y111" s="120"/>
      <c r="Z111" s="43"/>
      <c r="AA111" s="43"/>
      <c r="AB111" s="43"/>
      <c r="AC111" s="43"/>
      <c r="AD111" s="43"/>
      <c r="AE111" s="43"/>
      <c r="AF111" s="43"/>
      <c r="AG111" s="43"/>
      <c r="AH111" s="43"/>
      <c r="AI111" s="118"/>
      <c r="AJ111" s="43"/>
      <c r="AK111" s="120"/>
      <c r="AL111" s="43"/>
      <c r="AM111" s="43"/>
      <c r="AN111" s="43"/>
      <c r="AO111" s="43"/>
      <c r="AP111" s="43"/>
      <c r="AQ111" s="119"/>
      <c r="AR111" s="43"/>
      <c r="AS111" s="43"/>
      <c r="AT111" s="43"/>
      <c r="AU111" s="43"/>
      <c r="AV111" s="43"/>
      <c r="AW111" s="43"/>
      <c r="AX111" s="120"/>
      <c r="AY111" s="43"/>
      <c r="AZ111" s="43"/>
      <c r="BA111" s="43"/>
      <c r="BB111" s="111"/>
      <c r="BC111" s="101"/>
      <c r="BD111" s="43"/>
      <c r="BE111" s="43"/>
      <c r="BF111" s="117"/>
      <c r="BG111" s="78"/>
      <c r="BH111" s="83"/>
      <c r="BI111" s="113"/>
      <c r="BJ111" s="115"/>
      <c r="BK111" s="43"/>
    </row>
    <row r="112" s="18" customFormat="1" spans="1:63">
      <c r="A112" s="73"/>
      <c r="B112" s="101"/>
      <c r="C112" s="101"/>
      <c r="D112" s="101"/>
      <c r="E112" s="102"/>
      <c r="F112" s="103"/>
      <c r="G112" s="103"/>
      <c r="H112" s="120"/>
      <c r="I112" s="43"/>
      <c r="J112" s="43"/>
      <c r="K112" s="113"/>
      <c r="L112" s="43"/>
      <c r="M112" s="43"/>
      <c r="N112" s="43"/>
      <c r="O112" s="43"/>
      <c r="P112" s="114"/>
      <c r="Q112" s="114"/>
      <c r="R112" s="43"/>
      <c r="S112" s="43"/>
      <c r="T112" s="111"/>
      <c r="U112" s="116"/>
      <c r="V112" s="114"/>
      <c r="W112" s="114"/>
      <c r="X112" s="115"/>
      <c r="Y112" s="120"/>
      <c r="Z112" s="43"/>
      <c r="AA112" s="43"/>
      <c r="AB112" s="43"/>
      <c r="AC112" s="43"/>
      <c r="AD112" s="43"/>
      <c r="AE112" s="43"/>
      <c r="AF112" s="43"/>
      <c r="AG112" s="43"/>
      <c r="AH112" s="43"/>
      <c r="AI112" s="118"/>
      <c r="AJ112" s="43"/>
      <c r="AK112" s="120"/>
      <c r="AL112" s="43"/>
      <c r="AM112" s="43"/>
      <c r="AN112" s="43"/>
      <c r="AO112" s="43"/>
      <c r="AP112" s="43"/>
      <c r="AQ112" s="119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111"/>
      <c r="BC112" s="101"/>
      <c r="BD112" s="43"/>
      <c r="BE112" s="43"/>
      <c r="BF112" s="117"/>
      <c r="BG112" s="78"/>
      <c r="BH112" s="83"/>
      <c r="BI112" s="113"/>
      <c r="BJ112" s="115"/>
      <c r="BK112" s="43"/>
    </row>
    <row r="113" s="18" customFormat="1" spans="1:63">
      <c r="A113" s="73"/>
      <c r="B113" s="101"/>
      <c r="C113" s="101"/>
      <c r="D113" s="101"/>
      <c r="E113" s="102"/>
      <c r="F113" s="103"/>
      <c r="G113" s="103"/>
      <c r="H113" s="120"/>
      <c r="I113" s="43"/>
      <c r="J113" s="43"/>
      <c r="K113" s="113"/>
      <c r="L113" s="43"/>
      <c r="M113" s="43"/>
      <c r="N113" s="43"/>
      <c r="O113" s="43"/>
      <c r="P113" s="114"/>
      <c r="Q113" s="114"/>
      <c r="R113" s="43"/>
      <c r="S113" s="43"/>
      <c r="T113" s="111"/>
      <c r="U113" s="116"/>
      <c r="V113" s="114"/>
      <c r="W113" s="114"/>
      <c r="X113" s="115"/>
      <c r="Y113" s="120"/>
      <c r="Z113" s="43"/>
      <c r="AA113" s="43"/>
      <c r="AB113" s="43"/>
      <c r="AC113" s="43"/>
      <c r="AD113" s="43"/>
      <c r="AE113" s="43"/>
      <c r="AF113" s="43"/>
      <c r="AG113" s="43"/>
      <c r="AH113" s="43"/>
      <c r="AI113" s="118"/>
      <c r="AJ113" s="43"/>
      <c r="AK113" s="120"/>
      <c r="AL113" s="43"/>
      <c r="AM113" s="43"/>
      <c r="AN113" s="43"/>
      <c r="AO113" s="43"/>
      <c r="AP113" s="43"/>
      <c r="AQ113" s="119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111"/>
      <c r="BC113" s="101"/>
      <c r="BD113" s="43"/>
      <c r="BE113" s="43"/>
      <c r="BF113" s="117"/>
      <c r="BG113" s="78"/>
      <c r="BH113" s="83"/>
      <c r="BI113" s="113"/>
      <c r="BJ113" s="115"/>
      <c r="BK113" s="43"/>
    </row>
    <row r="114" s="18" customFormat="1" spans="1:63">
      <c r="A114" s="73"/>
      <c r="B114" s="101"/>
      <c r="C114" s="101"/>
      <c r="D114" s="101"/>
      <c r="E114" s="102"/>
      <c r="F114" s="103"/>
      <c r="G114" s="103"/>
      <c r="H114" s="120"/>
      <c r="I114" s="43"/>
      <c r="J114" s="43"/>
      <c r="K114" s="113"/>
      <c r="L114" s="43"/>
      <c r="M114" s="43"/>
      <c r="N114" s="43"/>
      <c r="O114" s="43"/>
      <c r="P114" s="114"/>
      <c r="Q114" s="114"/>
      <c r="R114" s="43"/>
      <c r="S114" s="43"/>
      <c r="T114" s="111"/>
      <c r="U114" s="116"/>
      <c r="V114" s="114"/>
      <c r="W114" s="114"/>
      <c r="X114" s="115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118"/>
      <c r="AJ114" s="43"/>
      <c r="AK114" s="120"/>
      <c r="AL114" s="43"/>
      <c r="AM114" s="43"/>
      <c r="AN114" s="43"/>
      <c r="AO114" s="43"/>
      <c r="AP114" s="43"/>
      <c r="AQ114" s="119"/>
      <c r="AR114" s="43"/>
      <c r="AS114" s="43"/>
      <c r="AT114" s="43"/>
      <c r="AU114" s="43"/>
      <c r="AV114" s="43"/>
      <c r="AW114" s="43"/>
      <c r="AX114" s="121"/>
      <c r="AY114" s="43"/>
      <c r="AZ114" s="43"/>
      <c r="BA114" s="43"/>
      <c r="BB114" s="111"/>
      <c r="BC114" s="101"/>
      <c r="BD114" s="43"/>
      <c r="BE114" s="43"/>
      <c r="BF114" s="117"/>
      <c r="BG114" s="78"/>
      <c r="BH114" s="83"/>
      <c r="BI114" s="113"/>
      <c r="BJ114" s="115"/>
      <c r="BK114" s="43"/>
    </row>
    <row r="115" s="18" customFormat="1" spans="1:63">
      <c r="A115" s="73"/>
      <c r="B115" s="101"/>
      <c r="C115" s="101"/>
      <c r="D115" s="101"/>
      <c r="E115" s="102"/>
      <c r="F115" s="103"/>
      <c r="G115" s="103"/>
      <c r="H115" s="120"/>
      <c r="I115" s="43"/>
      <c r="J115" s="43"/>
      <c r="K115" s="113"/>
      <c r="L115" s="43"/>
      <c r="M115" s="43"/>
      <c r="N115" s="43"/>
      <c r="O115" s="43"/>
      <c r="P115" s="114"/>
      <c r="Q115" s="114"/>
      <c r="R115" s="43"/>
      <c r="S115" s="43"/>
      <c r="T115" s="111"/>
      <c r="U115" s="116"/>
      <c r="V115" s="114"/>
      <c r="W115" s="114"/>
      <c r="X115" s="115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118"/>
      <c r="AJ115" s="43"/>
      <c r="AK115" s="120"/>
      <c r="AL115" s="43"/>
      <c r="AM115" s="43"/>
      <c r="AN115" s="43"/>
      <c r="AO115" s="43"/>
      <c r="AP115" s="43"/>
      <c r="AQ115" s="119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111"/>
      <c r="BC115" s="101"/>
      <c r="BD115" s="43"/>
      <c r="BE115" s="43"/>
      <c r="BF115" s="117"/>
      <c r="BG115" s="78"/>
      <c r="BH115" s="83"/>
      <c r="BI115" s="113"/>
      <c r="BJ115" s="115"/>
      <c r="BK115" s="43"/>
    </row>
    <row r="116" s="50" customFormat="1" spans="1:63">
      <c r="A116" s="73"/>
      <c r="B116" s="122"/>
      <c r="C116" s="122"/>
      <c r="D116" s="122"/>
      <c r="E116" s="123"/>
      <c r="F116" s="124"/>
      <c r="G116" s="124"/>
      <c r="H116" s="125"/>
      <c r="I116" s="126"/>
      <c r="J116" s="126"/>
      <c r="K116" s="127"/>
      <c r="L116" s="126"/>
      <c r="M116" s="126"/>
      <c r="N116" s="126"/>
      <c r="O116" s="126"/>
      <c r="P116" s="128"/>
      <c r="Q116" s="128"/>
      <c r="R116" s="126"/>
      <c r="S116" s="126"/>
      <c r="T116" s="129"/>
      <c r="U116" s="130"/>
      <c r="V116" s="128"/>
      <c r="W116" s="128"/>
      <c r="X116" s="131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32"/>
      <c r="AJ116" s="126"/>
      <c r="AK116" s="125"/>
      <c r="AL116" s="126"/>
      <c r="AM116" s="126"/>
      <c r="AN116" s="126"/>
      <c r="AO116" s="126"/>
      <c r="AP116" s="126"/>
      <c r="AQ116" s="133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9"/>
      <c r="BC116" s="122"/>
      <c r="BD116" s="126"/>
      <c r="BE116" s="126"/>
      <c r="BF116" s="134"/>
      <c r="BG116" s="135"/>
      <c r="BH116" s="136"/>
      <c r="BI116" s="127"/>
      <c r="BJ116" s="131"/>
      <c r="BK116" s="126"/>
    </row>
    <row r="117" s="18" customFormat="1" spans="1:63">
      <c r="A117" s="73"/>
      <c r="B117" s="101"/>
      <c r="C117" s="101"/>
      <c r="D117" s="101"/>
      <c r="E117" s="102"/>
      <c r="F117" s="103"/>
      <c r="G117" s="103"/>
      <c r="H117" s="137"/>
      <c r="I117" s="138"/>
      <c r="J117" s="138"/>
      <c r="K117" s="113"/>
      <c r="L117" s="138"/>
      <c r="M117" s="138"/>
      <c r="N117" s="138"/>
      <c r="O117" s="138"/>
      <c r="P117" s="114"/>
      <c r="Q117" s="114"/>
      <c r="R117" s="138"/>
      <c r="S117" s="138"/>
      <c r="T117" s="139"/>
      <c r="U117" s="116"/>
      <c r="V117" s="114"/>
      <c r="W117" s="114"/>
      <c r="X117" s="115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18"/>
      <c r="AJ117" s="138"/>
      <c r="AK117" s="137"/>
      <c r="AL117" s="138"/>
      <c r="AM117" s="138"/>
      <c r="AN117" s="138"/>
      <c r="AO117" s="138"/>
      <c r="AP117" s="138"/>
      <c r="AQ117" s="119"/>
      <c r="AR117" s="138"/>
      <c r="AS117" s="138"/>
      <c r="AT117" s="138"/>
      <c r="AU117" s="138"/>
      <c r="AV117" s="138"/>
      <c r="AW117" s="138"/>
      <c r="AX117" s="138"/>
      <c r="AY117" s="138"/>
      <c r="AZ117" s="138"/>
      <c r="BA117" s="43"/>
      <c r="BB117" s="111"/>
      <c r="BC117" s="101"/>
      <c r="BD117" s="43"/>
      <c r="BE117" s="43"/>
      <c r="BF117" s="117"/>
      <c r="BG117" s="110"/>
      <c r="BH117" s="83"/>
      <c r="BI117" s="140"/>
      <c r="BJ117" s="141"/>
      <c r="BK117" s="43"/>
    </row>
    <row r="118" s="18" customFormat="1" spans="1:63">
      <c r="A118" s="73"/>
      <c r="B118" s="101"/>
      <c r="C118" s="101"/>
      <c r="D118" s="101"/>
      <c r="E118" s="102"/>
      <c r="F118" s="103"/>
      <c r="G118" s="103"/>
      <c r="H118" s="137"/>
      <c r="I118" s="43"/>
      <c r="J118" s="43"/>
      <c r="K118" s="113"/>
      <c r="L118" s="43"/>
      <c r="M118" s="43"/>
      <c r="N118" s="43"/>
      <c r="O118" s="43"/>
      <c r="P118" s="114"/>
      <c r="Q118" s="114"/>
      <c r="R118" s="43"/>
      <c r="S118" s="43"/>
      <c r="T118" s="111"/>
      <c r="U118" s="116"/>
      <c r="V118" s="114"/>
      <c r="W118" s="114"/>
      <c r="X118" s="115"/>
      <c r="Y118" s="43"/>
      <c r="Z118" s="43"/>
      <c r="AA118" s="138"/>
      <c r="AB118" s="138"/>
      <c r="AC118" s="43"/>
      <c r="AD118" s="43"/>
      <c r="AE118" s="43"/>
      <c r="AF118" s="43"/>
      <c r="AG118" s="43"/>
      <c r="AH118" s="43"/>
      <c r="AI118" s="118"/>
      <c r="AJ118" s="43"/>
      <c r="AK118" s="120"/>
      <c r="AL118" s="43"/>
      <c r="AM118" s="43"/>
      <c r="AN118" s="43"/>
      <c r="AO118" s="43"/>
      <c r="AP118" s="43"/>
      <c r="AQ118" s="119"/>
      <c r="AR118" s="43"/>
      <c r="AS118" s="43"/>
      <c r="AT118" s="43"/>
      <c r="AU118" s="43"/>
      <c r="AV118" s="43"/>
      <c r="AW118" s="43"/>
      <c r="AX118" s="43"/>
      <c r="AY118" s="43"/>
      <c r="AZ118" s="43"/>
      <c r="BA118" s="138"/>
      <c r="BB118" s="139"/>
      <c r="BC118" s="101"/>
      <c r="BD118" s="43"/>
      <c r="BE118" s="43"/>
      <c r="BF118" s="43"/>
      <c r="BG118" s="43"/>
      <c r="BH118" s="83"/>
      <c r="BI118" s="142"/>
      <c r="BJ118" s="101"/>
      <c r="BK118" s="43"/>
    </row>
    <row r="119" s="18" customFormat="1" spans="1:63">
      <c r="A119" s="73"/>
      <c r="B119" s="101"/>
      <c r="C119" s="101"/>
      <c r="D119" s="101"/>
      <c r="E119" s="102"/>
      <c r="F119" s="103"/>
      <c r="G119" s="103"/>
      <c r="H119" s="137"/>
      <c r="I119" s="43"/>
      <c r="J119" s="43"/>
      <c r="K119" s="113"/>
      <c r="L119" s="43"/>
      <c r="M119" s="43"/>
      <c r="N119" s="43"/>
      <c r="O119" s="43"/>
      <c r="P119" s="114"/>
      <c r="Q119" s="114"/>
      <c r="R119" s="43"/>
      <c r="S119" s="43"/>
      <c r="T119" s="111"/>
      <c r="U119" s="116"/>
      <c r="V119" s="114"/>
      <c r="W119" s="114"/>
      <c r="X119" s="115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118"/>
      <c r="AJ119" s="43"/>
      <c r="AK119" s="120"/>
      <c r="AL119" s="43"/>
      <c r="AM119" s="43"/>
      <c r="AN119" s="43"/>
      <c r="AO119" s="43"/>
      <c r="AP119" s="43"/>
      <c r="AQ119" s="119"/>
      <c r="AR119" s="43"/>
      <c r="AS119" s="43"/>
      <c r="AT119" s="43"/>
      <c r="AU119" s="43"/>
      <c r="AV119" s="43"/>
      <c r="AW119" s="43"/>
      <c r="AX119" s="43"/>
      <c r="AY119" s="43"/>
      <c r="AZ119" s="43"/>
      <c r="BA119" s="138"/>
      <c r="BB119" s="139"/>
      <c r="BC119" s="101"/>
      <c r="BD119" s="43"/>
      <c r="BE119" s="43"/>
      <c r="BF119" s="43"/>
      <c r="BG119" s="43"/>
      <c r="BH119" s="83"/>
      <c r="BI119" s="142"/>
      <c r="BJ119" s="101"/>
      <c r="BK119" s="43"/>
    </row>
    <row r="120" s="18" customFormat="1" spans="1:63">
      <c r="A120" s="73"/>
      <c r="B120" s="101"/>
      <c r="C120" s="101"/>
      <c r="D120" s="101"/>
      <c r="E120" s="102"/>
      <c r="F120" s="103"/>
      <c r="G120" s="103"/>
      <c r="H120" s="120"/>
      <c r="I120" s="43"/>
      <c r="J120" s="43"/>
      <c r="K120" s="113"/>
      <c r="L120" s="43"/>
      <c r="M120" s="43"/>
      <c r="N120" s="43"/>
      <c r="O120" s="43"/>
      <c r="P120" s="114"/>
      <c r="Q120" s="114"/>
      <c r="R120" s="43"/>
      <c r="S120" s="43"/>
      <c r="T120" s="111"/>
      <c r="U120" s="116"/>
      <c r="V120" s="114"/>
      <c r="W120" s="114"/>
      <c r="X120" s="115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118"/>
      <c r="AJ120" s="43"/>
      <c r="AK120" s="120"/>
      <c r="AL120" s="43"/>
      <c r="AM120" s="43"/>
      <c r="AN120" s="43"/>
      <c r="AO120" s="43"/>
      <c r="AP120" s="43"/>
      <c r="AQ120" s="119"/>
      <c r="AR120" s="43"/>
      <c r="AS120" s="43"/>
      <c r="AT120" s="43"/>
      <c r="AU120" s="43"/>
      <c r="AV120" s="43"/>
      <c r="AW120" s="43"/>
      <c r="AX120" s="43"/>
      <c r="AY120" s="43"/>
      <c r="AZ120" s="43"/>
      <c r="BA120" s="138"/>
      <c r="BB120" s="139"/>
      <c r="BC120" s="101"/>
      <c r="BD120" s="43"/>
      <c r="BE120" s="43"/>
      <c r="BF120" s="43"/>
      <c r="BG120" s="43"/>
      <c r="BH120" s="83"/>
      <c r="BI120" s="142"/>
      <c r="BJ120" s="101"/>
      <c r="BK120" s="43"/>
    </row>
    <row r="121" s="50" customFormat="1" spans="1:63">
      <c r="A121" s="73"/>
      <c r="B121" s="122"/>
      <c r="C121" s="122"/>
      <c r="D121" s="122"/>
      <c r="E121" s="123"/>
      <c r="F121" s="124"/>
      <c r="G121" s="124"/>
      <c r="H121" s="125"/>
      <c r="I121" s="126"/>
      <c r="J121" s="126"/>
      <c r="K121" s="127"/>
      <c r="L121" s="126"/>
      <c r="M121" s="126"/>
      <c r="N121" s="126"/>
      <c r="O121" s="126"/>
      <c r="P121" s="128"/>
      <c r="Q121" s="128"/>
      <c r="R121" s="126"/>
      <c r="S121" s="126"/>
      <c r="T121" s="129"/>
      <c r="U121" s="130"/>
      <c r="V121" s="128"/>
      <c r="W121" s="128"/>
      <c r="X121" s="131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32"/>
      <c r="AJ121" s="126"/>
      <c r="AK121" s="125"/>
      <c r="AL121" s="126"/>
      <c r="AM121" s="126"/>
      <c r="AN121" s="126"/>
      <c r="AO121" s="126"/>
      <c r="AP121" s="126"/>
      <c r="AQ121" s="133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43"/>
      <c r="BB121" s="144"/>
      <c r="BC121" s="126"/>
      <c r="BD121" s="126"/>
      <c r="BE121" s="126"/>
      <c r="BF121" s="126"/>
      <c r="BG121" s="126"/>
      <c r="BH121" s="136"/>
      <c r="BI121" s="145"/>
      <c r="BJ121" s="122"/>
      <c r="BK121" s="126"/>
    </row>
    <row r="122" s="18" customFormat="1" spans="1:63">
      <c r="A122" s="73"/>
      <c r="B122" s="101"/>
      <c r="C122" s="101"/>
      <c r="D122" s="101"/>
      <c r="E122" s="102"/>
      <c r="F122" s="103"/>
      <c r="G122" s="103"/>
      <c r="H122" s="120"/>
      <c r="I122" s="43"/>
      <c r="J122" s="43"/>
      <c r="K122" s="113"/>
      <c r="L122" s="43"/>
      <c r="M122" s="43"/>
      <c r="N122" s="43"/>
      <c r="O122" s="43"/>
      <c r="P122" s="114"/>
      <c r="Q122" s="114"/>
      <c r="R122" s="43"/>
      <c r="S122" s="43"/>
      <c r="T122" s="111"/>
      <c r="U122" s="116"/>
      <c r="V122" s="114"/>
      <c r="W122" s="114"/>
      <c r="X122" s="115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118"/>
      <c r="AJ122" s="43"/>
      <c r="AK122" s="120"/>
      <c r="AL122" s="43"/>
      <c r="AM122" s="43"/>
      <c r="AN122" s="43"/>
      <c r="AO122" s="43"/>
      <c r="AP122" s="43"/>
      <c r="AQ122" s="119"/>
      <c r="AR122" s="43"/>
      <c r="AS122" s="43"/>
      <c r="AT122" s="43"/>
      <c r="AU122" s="43"/>
      <c r="AV122" s="43"/>
      <c r="AW122" s="43"/>
      <c r="AX122" s="43"/>
      <c r="AY122" s="43"/>
      <c r="AZ122" s="43"/>
      <c r="BA122" s="138"/>
      <c r="BB122" s="139"/>
      <c r="BC122" s="43"/>
      <c r="BD122" s="43"/>
      <c r="BE122" s="43"/>
      <c r="BF122" s="43"/>
      <c r="BG122" s="43"/>
      <c r="BH122" s="83"/>
      <c r="BI122" s="142"/>
      <c r="BJ122" s="101"/>
      <c r="BK122" s="43"/>
    </row>
    <row r="123" s="18" customFormat="1" spans="1:63">
      <c r="A123" s="73"/>
      <c r="B123" s="101"/>
      <c r="C123" s="101"/>
      <c r="D123" s="101"/>
      <c r="E123" s="102"/>
      <c r="F123" s="103"/>
      <c r="G123" s="103"/>
      <c r="H123" s="120"/>
      <c r="I123" s="43"/>
      <c r="J123" s="43"/>
      <c r="K123" s="113"/>
      <c r="L123" s="43"/>
      <c r="M123" s="43"/>
      <c r="N123" s="43"/>
      <c r="O123" s="43"/>
      <c r="P123" s="114"/>
      <c r="Q123" s="114"/>
      <c r="R123" s="43"/>
      <c r="S123" s="43"/>
      <c r="T123" s="111"/>
      <c r="U123" s="116"/>
      <c r="V123" s="114"/>
      <c r="W123" s="114"/>
      <c r="X123" s="115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118"/>
      <c r="AJ123" s="43"/>
      <c r="AK123" s="120"/>
      <c r="AL123" s="43"/>
      <c r="AM123" s="43"/>
      <c r="AN123" s="43"/>
      <c r="AO123" s="43"/>
      <c r="AP123" s="43"/>
      <c r="AQ123" s="119"/>
      <c r="AR123" s="43"/>
      <c r="AS123" s="43"/>
      <c r="AT123" s="43"/>
      <c r="AU123" s="43"/>
      <c r="AV123" s="43"/>
      <c r="AW123" s="43"/>
      <c r="AX123" s="43"/>
      <c r="AY123" s="43"/>
      <c r="AZ123" s="43"/>
      <c r="BA123" s="138"/>
      <c r="BB123" s="139"/>
      <c r="BC123" s="43"/>
      <c r="BD123" s="43"/>
      <c r="BE123" s="43"/>
      <c r="BF123" s="43"/>
      <c r="BG123" s="43"/>
      <c r="BH123" s="83"/>
      <c r="BI123" s="142"/>
      <c r="BJ123" s="101"/>
      <c r="BK123" s="43"/>
    </row>
    <row r="124" s="18" customFormat="1" spans="1:63">
      <c r="A124" s="73"/>
      <c r="B124" s="101"/>
      <c r="C124" s="101"/>
      <c r="D124" s="101"/>
      <c r="E124" s="102"/>
      <c r="F124" s="103"/>
      <c r="G124" s="103"/>
      <c r="H124" s="120"/>
      <c r="I124" s="43"/>
      <c r="J124" s="43"/>
      <c r="K124" s="113"/>
      <c r="L124" s="43"/>
      <c r="M124" s="43"/>
      <c r="N124" s="43"/>
      <c r="O124" s="43"/>
      <c r="P124" s="114"/>
      <c r="Q124" s="114"/>
      <c r="R124" s="43"/>
      <c r="S124" s="43"/>
      <c r="T124" s="111"/>
      <c r="U124" s="116"/>
      <c r="V124" s="114"/>
      <c r="W124" s="114"/>
      <c r="X124" s="115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118"/>
      <c r="AJ124" s="43"/>
      <c r="AK124" s="120"/>
      <c r="AL124" s="43"/>
      <c r="AM124" s="43"/>
      <c r="AN124" s="43"/>
      <c r="AO124" s="43"/>
      <c r="AP124" s="43"/>
      <c r="AQ124" s="119"/>
      <c r="AR124" s="43"/>
      <c r="AS124" s="43"/>
      <c r="AT124" s="43"/>
      <c r="AU124" s="43"/>
      <c r="AV124" s="43"/>
      <c r="AW124" s="43"/>
      <c r="AX124" s="43"/>
      <c r="AY124" s="43"/>
      <c r="AZ124" s="43"/>
      <c r="BA124" s="138"/>
      <c r="BB124" s="139"/>
      <c r="BC124" s="43"/>
      <c r="BD124" s="43"/>
      <c r="BE124" s="43"/>
      <c r="BF124" s="43"/>
      <c r="BG124" s="43"/>
      <c r="BH124" s="83"/>
      <c r="BI124" s="142"/>
      <c r="BJ124" s="101"/>
      <c r="BK124" s="43"/>
    </row>
    <row r="125" s="18" customFormat="1" spans="1:63">
      <c r="A125" s="73"/>
      <c r="B125" s="101"/>
      <c r="C125" s="101"/>
      <c r="D125" s="101"/>
      <c r="E125" s="102"/>
      <c r="F125" s="103"/>
      <c r="G125" s="103"/>
      <c r="H125" s="120"/>
      <c r="I125" s="43"/>
      <c r="J125" s="43"/>
      <c r="K125" s="113"/>
      <c r="L125" s="43"/>
      <c r="M125" s="43"/>
      <c r="N125" s="43"/>
      <c r="O125" s="43"/>
      <c r="P125" s="114"/>
      <c r="Q125" s="114"/>
      <c r="R125" s="43"/>
      <c r="S125" s="43"/>
      <c r="T125" s="111"/>
      <c r="U125" s="116"/>
      <c r="V125" s="114"/>
      <c r="W125" s="114"/>
      <c r="X125" s="115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118"/>
      <c r="AJ125" s="43"/>
      <c r="AK125" s="120"/>
      <c r="AL125" s="43"/>
      <c r="AM125" s="43"/>
      <c r="AN125" s="43"/>
      <c r="AO125" s="43"/>
      <c r="AP125" s="43"/>
      <c r="AQ125" s="119"/>
      <c r="AR125" s="43"/>
      <c r="AS125" s="43"/>
      <c r="AT125" s="43"/>
      <c r="AU125" s="43"/>
      <c r="AV125" s="43"/>
      <c r="AW125" s="43"/>
      <c r="AX125" s="43"/>
      <c r="AY125" s="43"/>
      <c r="AZ125" s="43"/>
      <c r="BA125" s="138"/>
      <c r="BB125" s="139"/>
      <c r="BC125" s="43"/>
      <c r="BD125" s="43"/>
      <c r="BE125" s="43"/>
      <c r="BF125" s="43"/>
      <c r="BG125" s="43"/>
      <c r="BH125" s="83"/>
      <c r="BI125" s="142"/>
      <c r="BJ125" s="101"/>
      <c r="BK125" s="43"/>
    </row>
    <row r="126" s="18" customFormat="1" spans="1:63">
      <c r="A126" s="73"/>
      <c r="B126" s="101"/>
      <c r="C126" s="101"/>
      <c r="D126" s="101"/>
      <c r="E126" s="102"/>
      <c r="F126" s="103"/>
      <c r="G126" s="103"/>
      <c r="H126" s="120"/>
      <c r="I126" s="43"/>
      <c r="J126" s="43"/>
      <c r="K126" s="113"/>
      <c r="L126" s="43"/>
      <c r="M126" s="43"/>
      <c r="N126" s="43"/>
      <c r="O126" s="43"/>
      <c r="P126" s="114"/>
      <c r="Q126" s="114"/>
      <c r="R126" s="43"/>
      <c r="S126" s="43"/>
      <c r="T126" s="111"/>
      <c r="U126" s="116"/>
      <c r="V126" s="114"/>
      <c r="W126" s="114"/>
      <c r="X126" s="115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118"/>
      <c r="AJ126" s="43"/>
      <c r="AK126" s="120"/>
      <c r="AL126" s="43"/>
      <c r="AM126" s="43"/>
      <c r="AN126" s="43"/>
      <c r="AO126" s="43"/>
      <c r="AP126" s="43"/>
      <c r="AQ126" s="119"/>
      <c r="AR126" s="43"/>
      <c r="AS126" s="43"/>
      <c r="AT126" s="43"/>
      <c r="AU126" s="43"/>
      <c r="AV126" s="43"/>
      <c r="AW126" s="43"/>
      <c r="AX126" s="43"/>
      <c r="AY126" s="43"/>
      <c r="AZ126" s="43"/>
      <c r="BA126" s="138"/>
      <c r="BB126" s="139"/>
      <c r="BC126" s="43"/>
      <c r="BD126" s="43"/>
      <c r="BE126" s="43"/>
      <c r="BF126" s="43"/>
      <c r="BG126" s="43"/>
      <c r="BH126" s="83"/>
      <c r="BI126" s="142"/>
      <c r="BJ126" s="101"/>
      <c r="BK126" s="43"/>
    </row>
    <row r="127" s="18" customFormat="1" spans="1:63">
      <c r="A127" s="73"/>
      <c r="B127" s="101"/>
      <c r="C127" s="101"/>
      <c r="D127" s="101"/>
      <c r="E127" s="102"/>
      <c r="F127" s="103"/>
      <c r="G127" s="103"/>
      <c r="H127" s="120"/>
      <c r="I127" s="43"/>
      <c r="J127" s="43"/>
      <c r="K127" s="113"/>
      <c r="L127" s="43"/>
      <c r="M127" s="43"/>
      <c r="N127" s="43"/>
      <c r="O127" s="43"/>
      <c r="P127" s="114"/>
      <c r="Q127" s="114"/>
      <c r="R127" s="43"/>
      <c r="S127" s="43"/>
      <c r="T127" s="111"/>
      <c r="U127" s="116"/>
      <c r="V127" s="114"/>
      <c r="W127" s="114"/>
      <c r="X127" s="115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118"/>
      <c r="AJ127" s="43"/>
      <c r="AK127" s="120"/>
      <c r="AL127" s="43"/>
      <c r="AM127" s="43"/>
      <c r="AN127" s="43"/>
      <c r="AO127" s="43"/>
      <c r="AP127" s="43"/>
      <c r="AQ127" s="119"/>
      <c r="AR127" s="43"/>
      <c r="AS127" s="43"/>
      <c r="AT127" s="43"/>
      <c r="AU127" s="43"/>
      <c r="AV127" s="43"/>
      <c r="AW127" s="43"/>
      <c r="AX127" s="43"/>
      <c r="AY127" s="43"/>
      <c r="AZ127" s="43"/>
      <c r="BA127" s="138"/>
      <c r="BB127" s="43"/>
      <c r="BC127" s="43"/>
      <c r="BD127" s="43"/>
      <c r="BE127" s="43"/>
      <c r="BF127" s="43"/>
      <c r="BG127" s="43"/>
      <c r="BH127" s="83"/>
      <c r="BI127" s="142"/>
      <c r="BJ127" s="101"/>
      <c r="BK127" s="43"/>
    </row>
    <row r="128" s="18" customFormat="1" spans="1:63">
      <c r="A128" s="73"/>
      <c r="B128" s="101"/>
      <c r="C128" s="101"/>
      <c r="D128" s="101"/>
      <c r="E128" s="102"/>
      <c r="F128" s="103"/>
      <c r="G128" s="103"/>
      <c r="H128" s="120"/>
      <c r="I128" s="43"/>
      <c r="J128" s="43"/>
      <c r="K128" s="113"/>
      <c r="L128" s="43"/>
      <c r="M128" s="43"/>
      <c r="N128" s="43"/>
      <c r="O128" s="43"/>
      <c r="P128" s="114"/>
      <c r="Q128" s="114"/>
      <c r="R128" s="43"/>
      <c r="S128" s="43"/>
      <c r="T128" s="111"/>
      <c r="U128" s="116"/>
      <c r="V128" s="114"/>
      <c r="W128" s="114"/>
      <c r="X128" s="115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118"/>
      <c r="AJ128" s="43"/>
      <c r="AK128" s="120"/>
      <c r="AL128" s="43"/>
      <c r="AM128" s="43"/>
      <c r="AN128" s="43"/>
      <c r="AO128" s="43"/>
      <c r="AP128" s="43"/>
      <c r="AQ128" s="119"/>
      <c r="AR128" s="43"/>
      <c r="AS128" s="43"/>
      <c r="AT128" s="43"/>
      <c r="AU128" s="43"/>
      <c r="AV128" s="43"/>
      <c r="AW128" s="43"/>
      <c r="AX128" s="43"/>
      <c r="AY128" s="43"/>
      <c r="AZ128" s="43"/>
      <c r="BA128" s="138"/>
      <c r="BB128" s="43"/>
      <c r="BC128" s="43"/>
      <c r="BD128" s="43"/>
      <c r="BE128" s="43"/>
      <c r="BF128" s="43"/>
      <c r="BG128" s="43"/>
      <c r="BH128" s="83"/>
      <c r="BI128" s="142"/>
      <c r="BJ128" s="101"/>
      <c r="BK128" s="43"/>
    </row>
    <row r="129" s="18" customFormat="1" spans="1:63">
      <c r="A129" s="73"/>
      <c r="B129" s="101"/>
      <c r="C129" s="101"/>
      <c r="D129" s="101"/>
      <c r="E129" s="102"/>
      <c r="F129" s="103"/>
      <c r="G129" s="103"/>
      <c r="H129" s="120"/>
      <c r="I129" s="43"/>
      <c r="J129" s="43"/>
      <c r="K129" s="113"/>
      <c r="L129" s="43"/>
      <c r="M129" s="43"/>
      <c r="N129" s="43"/>
      <c r="O129" s="43"/>
      <c r="P129" s="114"/>
      <c r="Q129" s="114"/>
      <c r="R129" s="43"/>
      <c r="S129" s="43"/>
      <c r="T129" s="111"/>
      <c r="U129" s="116"/>
      <c r="V129" s="114"/>
      <c r="W129" s="114"/>
      <c r="X129" s="115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118"/>
      <c r="AJ129" s="43"/>
      <c r="AK129" s="120"/>
      <c r="AL129" s="43"/>
      <c r="AM129" s="43"/>
      <c r="AN129" s="43"/>
      <c r="AO129" s="43"/>
      <c r="AP129" s="43"/>
      <c r="AQ129" s="119"/>
      <c r="AR129" s="43"/>
      <c r="AS129" s="43"/>
      <c r="AT129" s="43"/>
      <c r="AU129" s="43"/>
      <c r="AV129" s="43"/>
      <c r="AW129" s="43"/>
      <c r="AX129" s="43"/>
      <c r="AY129" s="43"/>
      <c r="AZ129" s="43"/>
      <c r="BA129" s="138"/>
      <c r="BB129" s="43"/>
      <c r="BC129" s="43"/>
      <c r="BD129" s="43"/>
      <c r="BE129" s="43"/>
      <c r="BF129" s="43"/>
      <c r="BG129" s="43"/>
      <c r="BH129" s="83"/>
      <c r="BI129" s="142"/>
      <c r="BJ129" s="101"/>
      <c r="BK129" s="43"/>
    </row>
    <row r="130" s="18" customFormat="1" spans="1:63">
      <c r="A130" s="73"/>
      <c r="B130" s="101"/>
      <c r="C130" s="101"/>
      <c r="D130" s="101"/>
      <c r="E130" s="102"/>
      <c r="F130" s="103"/>
      <c r="G130" s="103"/>
      <c r="H130" s="120"/>
      <c r="I130" s="43"/>
      <c r="J130" s="43"/>
      <c r="K130" s="113"/>
      <c r="L130" s="43"/>
      <c r="M130" s="43"/>
      <c r="N130" s="43"/>
      <c r="O130" s="43"/>
      <c r="P130" s="114"/>
      <c r="Q130" s="114"/>
      <c r="R130" s="43"/>
      <c r="S130" s="43"/>
      <c r="T130" s="111"/>
      <c r="U130" s="116"/>
      <c r="V130" s="114"/>
      <c r="W130" s="114"/>
      <c r="X130" s="115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118"/>
      <c r="AJ130" s="43"/>
      <c r="AK130" s="120"/>
      <c r="AL130" s="43"/>
      <c r="AM130" s="43"/>
      <c r="AN130" s="43"/>
      <c r="AO130" s="43"/>
      <c r="AP130" s="43"/>
      <c r="AQ130" s="119"/>
      <c r="AR130" s="43"/>
      <c r="AS130" s="43"/>
      <c r="AT130" s="43"/>
      <c r="AU130" s="43"/>
      <c r="AV130" s="43"/>
      <c r="AW130" s="43"/>
      <c r="AX130" s="43"/>
      <c r="AY130" s="43"/>
      <c r="AZ130" s="43"/>
      <c r="BA130" s="138"/>
      <c r="BB130" s="43"/>
      <c r="BC130" s="43"/>
      <c r="BD130" s="43"/>
      <c r="BE130" s="43"/>
      <c r="BF130" s="43"/>
      <c r="BG130" s="43"/>
      <c r="BH130" s="83"/>
      <c r="BI130" s="142"/>
      <c r="BJ130" s="101"/>
      <c r="BK130" s="43"/>
    </row>
    <row r="131" s="51" customFormat="1" spans="1:63">
      <c r="A131" s="73"/>
      <c r="B131" s="146"/>
      <c r="C131" s="146"/>
      <c r="D131" s="146"/>
      <c r="E131" s="147"/>
      <c r="F131" s="148"/>
      <c r="G131" s="148"/>
      <c r="H131" s="149"/>
      <c r="I131" s="150"/>
      <c r="J131" s="150"/>
      <c r="K131" s="113"/>
      <c r="L131" s="150"/>
      <c r="M131" s="150"/>
      <c r="N131" s="150"/>
      <c r="O131" s="150"/>
      <c r="P131" s="151"/>
      <c r="Q131" s="151"/>
      <c r="R131" s="150"/>
      <c r="S131" s="150"/>
      <c r="T131" s="152"/>
      <c r="U131" s="153"/>
      <c r="V131" s="151"/>
      <c r="W131" s="151"/>
      <c r="X131" s="154"/>
      <c r="Y131" s="150"/>
      <c r="Z131" s="150"/>
      <c r="AA131" s="150"/>
      <c r="AB131" s="150"/>
      <c r="AC131" s="150"/>
      <c r="AD131" s="150"/>
      <c r="AE131" s="150"/>
      <c r="AF131" s="150"/>
      <c r="AG131" s="150"/>
      <c r="AH131" s="150"/>
      <c r="AI131" s="155"/>
      <c r="AJ131" s="150"/>
      <c r="AK131" s="149"/>
      <c r="AL131" s="150"/>
      <c r="AM131" s="150"/>
      <c r="AN131" s="150"/>
      <c r="AO131" s="150"/>
      <c r="AP131" s="150"/>
      <c r="AQ131" s="156"/>
      <c r="AR131" s="150"/>
      <c r="AS131" s="150"/>
      <c r="AT131" s="150"/>
      <c r="AU131" s="150"/>
      <c r="AV131" s="150"/>
      <c r="AW131" s="150"/>
      <c r="AX131" s="150"/>
      <c r="AY131" s="150"/>
      <c r="AZ131" s="150"/>
      <c r="BA131" s="157"/>
      <c r="BB131" s="150"/>
      <c r="BC131" s="150"/>
      <c r="BD131" s="150"/>
      <c r="BE131" s="150"/>
      <c r="BF131" s="43"/>
      <c r="BG131" s="150"/>
      <c r="BH131" s="158"/>
      <c r="BI131" s="142"/>
      <c r="BJ131" s="146"/>
      <c r="BK131" s="150"/>
    </row>
    <row r="132" s="18" customFormat="1" spans="1:63">
      <c r="A132" s="73"/>
      <c r="B132" s="101"/>
      <c r="C132" s="101"/>
      <c r="D132" s="101"/>
      <c r="E132" s="102"/>
      <c r="F132" s="103"/>
      <c r="G132" s="103"/>
      <c r="H132" s="120"/>
      <c r="I132" s="43"/>
      <c r="J132" s="43"/>
      <c r="K132" s="113"/>
      <c r="L132" s="43"/>
      <c r="M132" s="43"/>
      <c r="N132" s="43"/>
      <c r="O132" s="43"/>
      <c r="P132" s="114"/>
      <c r="Q132" s="114"/>
      <c r="R132" s="43"/>
      <c r="S132" s="43"/>
      <c r="T132" s="111"/>
      <c r="U132" s="116"/>
      <c r="V132" s="114"/>
      <c r="W132" s="114"/>
      <c r="X132" s="115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118"/>
      <c r="AJ132" s="43"/>
      <c r="AK132" s="120"/>
      <c r="AL132" s="43"/>
      <c r="AM132" s="43"/>
      <c r="AN132" s="43"/>
      <c r="AO132" s="43"/>
      <c r="AP132" s="43"/>
      <c r="AQ132" s="119"/>
      <c r="AR132" s="43"/>
      <c r="AS132" s="43"/>
      <c r="AT132" s="43"/>
      <c r="AU132" s="43"/>
      <c r="AV132" s="43"/>
      <c r="AW132" s="43"/>
      <c r="AX132" s="43"/>
      <c r="AY132" s="43"/>
      <c r="AZ132" s="43"/>
      <c r="BA132" s="138"/>
      <c r="BB132" s="43"/>
      <c r="BC132" s="43"/>
      <c r="BD132" s="43"/>
      <c r="BE132" s="43"/>
      <c r="BF132" s="43"/>
      <c r="BG132" s="43"/>
      <c r="BH132" s="83"/>
      <c r="BI132" s="142"/>
      <c r="BJ132" s="101"/>
      <c r="BK132" s="43"/>
    </row>
    <row r="133" s="18" customFormat="1" spans="1:63">
      <c r="A133" s="73"/>
      <c r="B133" s="101"/>
      <c r="C133" s="101"/>
      <c r="D133" s="101"/>
      <c r="E133" s="102"/>
      <c r="F133" s="103"/>
      <c r="G133" s="103"/>
      <c r="H133" s="120"/>
      <c r="I133" s="43"/>
      <c r="J133" s="43"/>
      <c r="K133" s="113"/>
      <c r="L133" s="43"/>
      <c r="M133" s="43"/>
      <c r="N133" s="43"/>
      <c r="O133" s="43"/>
      <c r="P133" s="114"/>
      <c r="Q133" s="114"/>
      <c r="R133" s="43"/>
      <c r="S133" s="43"/>
      <c r="T133" s="111"/>
      <c r="U133" s="116"/>
      <c r="V133" s="114"/>
      <c r="W133" s="114"/>
      <c r="X133" s="115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118"/>
      <c r="AJ133" s="43"/>
      <c r="AK133" s="120"/>
      <c r="AL133" s="43"/>
      <c r="AM133" s="43"/>
      <c r="AN133" s="43"/>
      <c r="AO133" s="43"/>
      <c r="AP133" s="43"/>
      <c r="AQ133" s="119"/>
      <c r="AR133" s="43"/>
      <c r="AS133" s="43"/>
      <c r="AT133" s="43"/>
      <c r="AU133" s="43"/>
      <c r="AV133" s="43"/>
      <c r="AW133" s="43"/>
      <c r="AX133" s="43"/>
      <c r="AY133" s="43"/>
      <c r="AZ133" s="43"/>
      <c r="BA133" s="138"/>
      <c r="BB133" s="43"/>
      <c r="BC133" s="43"/>
      <c r="BD133" s="43"/>
      <c r="BE133" s="43"/>
      <c r="BF133" s="43"/>
      <c r="BG133" s="43"/>
      <c r="BH133" s="83"/>
      <c r="BI133" s="142"/>
      <c r="BJ133" s="101"/>
      <c r="BK133" s="43"/>
    </row>
    <row r="134" s="18" customFormat="1" spans="1:63">
      <c r="A134" s="73"/>
      <c r="B134" s="101"/>
      <c r="C134" s="101"/>
      <c r="D134" s="101"/>
      <c r="E134" s="102"/>
      <c r="F134" s="103"/>
      <c r="G134" s="103"/>
      <c r="H134" s="120"/>
      <c r="I134" s="43"/>
      <c r="J134" s="43"/>
      <c r="K134" s="113"/>
      <c r="L134" s="43"/>
      <c r="M134" s="43"/>
      <c r="N134" s="43"/>
      <c r="O134" s="43"/>
      <c r="P134" s="114"/>
      <c r="Q134" s="114"/>
      <c r="R134" s="43"/>
      <c r="S134" s="43"/>
      <c r="T134" s="111"/>
      <c r="U134" s="116"/>
      <c r="V134" s="114"/>
      <c r="W134" s="114"/>
      <c r="X134" s="115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118"/>
      <c r="AJ134" s="43"/>
      <c r="AK134" s="120"/>
      <c r="AL134" s="43"/>
      <c r="AM134" s="43"/>
      <c r="AN134" s="43"/>
      <c r="AO134" s="43"/>
      <c r="AP134" s="43"/>
      <c r="AQ134" s="119"/>
      <c r="AR134" s="43"/>
      <c r="AS134" s="43"/>
      <c r="AT134" s="43"/>
      <c r="AU134" s="43"/>
      <c r="AV134" s="43"/>
      <c r="AW134" s="43"/>
      <c r="AX134" s="43"/>
      <c r="AY134" s="43"/>
      <c r="AZ134" s="43"/>
      <c r="BA134" s="138"/>
      <c r="BB134" s="43"/>
      <c r="BC134" s="43"/>
      <c r="BD134" s="43"/>
      <c r="BE134" s="43"/>
      <c r="BF134" s="43"/>
      <c r="BG134" s="43"/>
      <c r="BH134" s="83"/>
      <c r="BI134" s="142"/>
      <c r="BJ134" s="101"/>
      <c r="BK134" s="43"/>
    </row>
    <row r="135" s="18" customFormat="1" spans="1:63">
      <c r="A135" s="73"/>
      <c r="B135" s="101"/>
      <c r="C135" s="101"/>
      <c r="D135" s="101"/>
      <c r="E135" s="102"/>
      <c r="F135" s="103"/>
      <c r="G135" s="103"/>
      <c r="H135" s="120"/>
      <c r="I135" s="43"/>
      <c r="J135" s="43"/>
      <c r="K135" s="113"/>
      <c r="L135" s="43"/>
      <c r="M135" s="43"/>
      <c r="N135" s="43"/>
      <c r="O135" s="43"/>
      <c r="P135" s="114"/>
      <c r="Q135" s="114"/>
      <c r="R135" s="43"/>
      <c r="S135" s="43"/>
      <c r="T135" s="111"/>
      <c r="U135" s="116"/>
      <c r="V135" s="114"/>
      <c r="W135" s="114"/>
      <c r="X135" s="115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118"/>
      <c r="AJ135" s="43"/>
      <c r="AK135" s="120"/>
      <c r="AL135" s="43"/>
      <c r="AM135" s="43"/>
      <c r="AN135" s="43"/>
      <c r="AO135" s="43"/>
      <c r="AP135" s="43"/>
      <c r="AQ135" s="119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83"/>
      <c r="BI135" s="142"/>
      <c r="BJ135" s="101"/>
      <c r="BK135" s="43"/>
    </row>
    <row r="136" s="18" customFormat="1" spans="1:63">
      <c r="A136" s="73"/>
      <c r="B136" s="101"/>
      <c r="C136" s="101"/>
      <c r="D136" s="101"/>
      <c r="E136" s="102"/>
      <c r="F136" s="103"/>
      <c r="G136" s="103"/>
      <c r="H136" s="120"/>
      <c r="I136" s="43"/>
      <c r="J136" s="43"/>
      <c r="K136" s="113"/>
      <c r="L136" s="43"/>
      <c r="M136" s="43"/>
      <c r="N136" s="43"/>
      <c r="O136" s="43"/>
      <c r="P136" s="114"/>
      <c r="Q136" s="114"/>
      <c r="R136" s="43"/>
      <c r="S136" s="43"/>
      <c r="T136" s="111"/>
      <c r="U136" s="116"/>
      <c r="V136" s="114"/>
      <c r="W136" s="114"/>
      <c r="X136" s="115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118"/>
      <c r="AJ136" s="43"/>
      <c r="AK136" s="120"/>
      <c r="AL136" s="43"/>
      <c r="AM136" s="43"/>
      <c r="AN136" s="43"/>
      <c r="AO136" s="43"/>
      <c r="AP136" s="43"/>
      <c r="AQ136" s="119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83"/>
      <c r="BI136" s="142"/>
      <c r="BJ136" s="101"/>
      <c r="BK136" s="43"/>
    </row>
    <row r="137" s="18" customFormat="1" spans="1:63">
      <c r="A137" s="73"/>
      <c r="B137" s="101"/>
      <c r="C137" s="101"/>
      <c r="D137" s="101"/>
      <c r="E137" s="102"/>
      <c r="F137" s="103"/>
      <c r="G137" s="103"/>
      <c r="H137" s="120"/>
      <c r="I137" s="43"/>
      <c r="J137" s="43"/>
      <c r="K137" s="113"/>
      <c r="L137" s="43"/>
      <c r="M137" s="43"/>
      <c r="N137" s="43"/>
      <c r="O137" s="43"/>
      <c r="P137" s="114"/>
      <c r="Q137" s="114"/>
      <c r="R137" s="43"/>
      <c r="S137" s="43"/>
      <c r="T137" s="111"/>
      <c r="U137" s="116"/>
      <c r="V137" s="114"/>
      <c r="W137" s="114"/>
      <c r="X137" s="115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118"/>
      <c r="AJ137" s="43"/>
      <c r="AK137" s="120"/>
      <c r="AL137" s="43"/>
      <c r="AM137" s="43"/>
      <c r="AN137" s="43"/>
      <c r="AO137" s="43"/>
      <c r="AP137" s="43"/>
      <c r="AQ137" s="119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83"/>
      <c r="BI137" s="142"/>
      <c r="BJ137" s="101"/>
      <c r="BK137" s="43"/>
    </row>
    <row r="138" s="18" customFormat="1" spans="1:63">
      <c r="A138" s="73"/>
      <c r="B138" s="101"/>
      <c r="C138" s="101"/>
      <c r="D138" s="101"/>
      <c r="E138" s="102"/>
      <c r="F138" s="103"/>
      <c r="G138" s="103"/>
      <c r="H138" s="120"/>
      <c r="I138" s="43"/>
      <c r="J138" s="43"/>
      <c r="K138" s="113"/>
      <c r="L138" s="43"/>
      <c r="M138" s="43"/>
      <c r="N138" s="43"/>
      <c r="O138" s="43"/>
      <c r="P138" s="114"/>
      <c r="Q138" s="114"/>
      <c r="R138" s="43"/>
      <c r="S138" s="43"/>
      <c r="T138" s="111"/>
      <c r="U138" s="116"/>
      <c r="V138" s="114"/>
      <c r="W138" s="114"/>
      <c r="X138" s="115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118"/>
      <c r="AJ138" s="43"/>
      <c r="AK138" s="120"/>
      <c r="AL138" s="43"/>
      <c r="AM138" s="43"/>
      <c r="AN138" s="43"/>
      <c r="AO138" s="43"/>
      <c r="AP138" s="43"/>
      <c r="AQ138" s="119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83"/>
      <c r="BI138" s="142"/>
      <c r="BJ138" s="101"/>
      <c r="BK138" s="43"/>
    </row>
    <row r="139" s="18" customFormat="1" spans="1:63">
      <c r="A139" s="73"/>
      <c r="B139" s="101"/>
      <c r="C139" s="101"/>
      <c r="D139" s="101"/>
      <c r="E139" s="102"/>
      <c r="F139" s="103"/>
      <c r="G139" s="103"/>
      <c r="H139" s="120"/>
      <c r="I139" s="43"/>
      <c r="J139" s="43"/>
      <c r="K139" s="113"/>
      <c r="L139" s="43"/>
      <c r="M139" s="43"/>
      <c r="N139" s="43"/>
      <c r="O139" s="43"/>
      <c r="P139" s="114"/>
      <c r="Q139" s="114"/>
      <c r="R139" s="43"/>
      <c r="S139" s="43"/>
      <c r="T139" s="111"/>
      <c r="U139" s="116"/>
      <c r="V139" s="114"/>
      <c r="W139" s="114"/>
      <c r="X139" s="115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118"/>
      <c r="AJ139" s="43"/>
      <c r="AK139" s="120"/>
      <c r="AL139" s="43"/>
      <c r="AM139" s="43"/>
      <c r="AN139" s="43"/>
      <c r="AO139" s="43"/>
      <c r="AP139" s="43"/>
      <c r="AQ139" s="119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83"/>
      <c r="BI139" s="142"/>
      <c r="BJ139" s="101"/>
      <c r="BK139" s="43"/>
    </row>
    <row r="140" s="50" customFormat="1" spans="1:63">
      <c r="A140" s="73"/>
      <c r="B140" s="122"/>
      <c r="C140" s="122"/>
      <c r="D140" s="122"/>
      <c r="E140" s="123"/>
      <c r="F140" s="124"/>
      <c r="G140" s="124"/>
      <c r="H140" s="125"/>
      <c r="I140" s="126"/>
      <c r="J140" s="126"/>
      <c r="K140" s="127"/>
      <c r="L140" s="126"/>
      <c r="M140" s="126"/>
      <c r="N140" s="126"/>
      <c r="O140" s="126"/>
      <c r="P140" s="128"/>
      <c r="Q140" s="128"/>
      <c r="R140" s="126"/>
      <c r="S140" s="126"/>
      <c r="T140" s="129"/>
      <c r="U140" s="130"/>
      <c r="V140" s="128"/>
      <c r="W140" s="128"/>
      <c r="X140" s="131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32"/>
      <c r="AJ140" s="126"/>
      <c r="AK140" s="125"/>
      <c r="AL140" s="126"/>
      <c r="AM140" s="126"/>
      <c r="AN140" s="126"/>
      <c r="AO140" s="126"/>
      <c r="AP140" s="126"/>
      <c r="AQ140" s="133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  <c r="BE140" s="126"/>
      <c r="BF140" s="126"/>
      <c r="BG140" s="126"/>
      <c r="BH140" s="136"/>
      <c r="BI140" s="145"/>
      <c r="BJ140" s="122"/>
      <c r="BK140" s="126"/>
    </row>
    <row r="141" s="50" customFormat="1" spans="1:63">
      <c r="A141" s="73"/>
      <c r="B141" s="122"/>
      <c r="C141" s="122"/>
      <c r="D141" s="122"/>
      <c r="E141" s="123"/>
      <c r="F141" s="124"/>
      <c r="G141" s="124"/>
      <c r="H141" s="125"/>
      <c r="I141" s="126"/>
      <c r="J141" s="126"/>
      <c r="K141" s="127"/>
      <c r="L141" s="126"/>
      <c r="M141" s="126"/>
      <c r="N141" s="126"/>
      <c r="O141" s="126"/>
      <c r="P141" s="128"/>
      <c r="Q141" s="128"/>
      <c r="R141" s="126"/>
      <c r="S141" s="126"/>
      <c r="T141" s="129"/>
      <c r="U141" s="130"/>
      <c r="V141" s="128"/>
      <c r="W141" s="128"/>
      <c r="X141" s="131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32"/>
      <c r="AJ141" s="126"/>
      <c r="AK141" s="125"/>
      <c r="AL141" s="126"/>
      <c r="AM141" s="126"/>
      <c r="AN141" s="126"/>
      <c r="AO141" s="126"/>
      <c r="AP141" s="126"/>
      <c r="AQ141" s="133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  <c r="BE141" s="126"/>
      <c r="BF141" s="126"/>
      <c r="BG141" s="126"/>
      <c r="BH141" s="136"/>
      <c r="BI141" s="145"/>
      <c r="BJ141" s="122"/>
      <c r="BK141" s="126"/>
    </row>
    <row r="142" s="50" customFormat="1" spans="1:63">
      <c r="A142" s="73"/>
      <c r="B142" s="122"/>
      <c r="C142" s="122"/>
      <c r="D142" s="122"/>
      <c r="E142" s="123"/>
      <c r="F142" s="124"/>
      <c r="G142" s="124"/>
      <c r="H142" s="125"/>
      <c r="I142" s="126"/>
      <c r="J142" s="126"/>
      <c r="K142" s="127"/>
      <c r="L142" s="126"/>
      <c r="M142" s="126"/>
      <c r="N142" s="126"/>
      <c r="O142" s="126"/>
      <c r="P142" s="128"/>
      <c r="Q142" s="128"/>
      <c r="R142" s="126"/>
      <c r="S142" s="126"/>
      <c r="T142" s="129"/>
      <c r="U142" s="130"/>
      <c r="V142" s="128"/>
      <c r="W142" s="128"/>
      <c r="X142" s="131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32"/>
      <c r="AJ142" s="126"/>
      <c r="AK142" s="125"/>
      <c r="AL142" s="126"/>
      <c r="AM142" s="126"/>
      <c r="AN142" s="126"/>
      <c r="AO142" s="126"/>
      <c r="AP142" s="126"/>
      <c r="AQ142" s="133"/>
      <c r="AR142" s="126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  <c r="BC142" s="126"/>
      <c r="BD142" s="126"/>
      <c r="BE142" s="126"/>
      <c r="BF142" s="126"/>
      <c r="BG142" s="126"/>
      <c r="BH142" s="136"/>
      <c r="BI142" s="145"/>
      <c r="BJ142" s="122"/>
      <c r="BK142" s="126"/>
    </row>
    <row r="143" s="50" customFormat="1" spans="1:63">
      <c r="A143" s="73"/>
      <c r="B143" s="122"/>
      <c r="C143" s="122"/>
      <c r="D143" s="122"/>
      <c r="E143" s="123"/>
      <c r="F143" s="124"/>
      <c r="G143" s="124"/>
      <c r="H143" s="125"/>
      <c r="I143" s="126"/>
      <c r="J143" s="126"/>
      <c r="K143" s="127"/>
      <c r="L143" s="126"/>
      <c r="M143" s="126"/>
      <c r="N143" s="126"/>
      <c r="O143" s="126"/>
      <c r="P143" s="128"/>
      <c r="Q143" s="128"/>
      <c r="R143" s="126"/>
      <c r="S143" s="126"/>
      <c r="T143" s="129"/>
      <c r="U143" s="130"/>
      <c r="V143" s="128"/>
      <c r="W143" s="128"/>
      <c r="X143" s="131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32"/>
      <c r="AJ143" s="126"/>
      <c r="AK143" s="125"/>
      <c r="AL143" s="126"/>
      <c r="AM143" s="126"/>
      <c r="AN143" s="126"/>
      <c r="AO143" s="126"/>
      <c r="AP143" s="126"/>
      <c r="AQ143" s="133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  <c r="BC143" s="126"/>
      <c r="BD143" s="126"/>
      <c r="BE143" s="126"/>
      <c r="BF143" s="126"/>
      <c r="BG143" s="126"/>
      <c r="BH143" s="136"/>
      <c r="BI143" s="145"/>
      <c r="BJ143" s="122"/>
      <c r="BK143" s="126"/>
    </row>
    <row r="144" s="50" customFormat="1" spans="1:63">
      <c r="A144" s="73"/>
      <c r="B144" s="122"/>
      <c r="C144" s="122"/>
      <c r="D144" s="122"/>
      <c r="E144" s="123"/>
      <c r="F144" s="124"/>
      <c r="G144" s="124"/>
      <c r="H144" s="125"/>
      <c r="I144" s="126"/>
      <c r="J144" s="126"/>
      <c r="K144" s="127"/>
      <c r="L144" s="126"/>
      <c r="M144" s="126"/>
      <c r="N144" s="126"/>
      <c r="O144" s="126"/>
      <c r="P144" s="128"/>
      <c r="Q144" s="128"/>
      <c r="R144" s="126"/>
      <c r="S144" s="126"/>
      <c r="T144" s="129"/>
      <c r="U144" s="130"/>
      <c r="V144" s="128"/>
      <c r="W144" s="128"/>
      <c r="X144" s="131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32"/>
      <c r="AJ144" s="126"/>
      <c r="AK144" s="125"/>
      <c r="AL144" s="126"/>
      <c r="AM144" s="126"/>
      <c r="AN144" s="126"/>
      <c r="AO144" s="126"/>
      <c r="AP144" s="126"/>
      <c r="AQ144" s="133"/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  <c r="BC144" s="126"/>
      <c r="BD144" s="126"/>
      <c r="BE144" s="126"/>
      <c r="BF144" s="126"/>
      <c r="BG144" s="126"/>
      <c r="BH144" s="136"/>
      <c r="BI144" s="145"/>
      <c r="BJ144" s="122"/>
      <c r="BK144" s="126"/>
    </row>
    <row r="145" s="18" customFormat="1" spans="1:63">
      <c r="A145" s="73"/>
      <c r="B145" s="101"/>
      <c r="C145" s="101"/>
      <c r="D145" s="101"/>
      <c r="E145" s="102"/>
      <c r="F145" s="103"/>
      <c r="G145" s="103"/>
      <c r="H145" s="120"/>
      <c r="I145" s="43"/>
      <c r="J145" s="43"/>
      <c r="K145" s="113"/>
      <c r="L145" s="43"/>
      <c r="M145" s="43"/>
      <c r="N145" s="43"/>
      <c r="O145" s="43"/>
      <c r="P145" s="114"/>
      <c r="Q145" s="114"/>
      <c r="R145" s="43"/>
      <c r="S145" s="43"/>
      <c r="T145" s="111"/>
      <c r="U145" s="116"/>
      <c r="V145" s="114"/>
      <c r="W145" s="114"/>
      <c r="X145" s="115"/>
      <c r="Y145" s="120"/>
      <c r="Z145" s="43"/>
      <c r="AA145" s="43"/>
      <c r="AB145" s="43"/>
      <c r="AC145" s="43"/>
      <c r="AD145" s="43"/>
      <c r="AE145" s="43"/>
      <c r="AF145" s="43"/>
      <c r="AG145" s="43"/>
      <c r="AH145" s="43"/>
      <c r="AI145" s="118"/>
      <c r="AJ145" s="43"/>
      <c r="AK145" s="120"/>
      <c r="AL145" s="43"/>
      <c r="AM145" s="43"/>
      <c r="AN145" s="43"/>
      <c r="AO145" s="43"/>
      <c r="AP145" s="43"/>
      <c r="AQ145" s="119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83"/>
      <c r="BI145" s="142"/>
      <c r="BJ145" s="101"/>
      <c r="BK145" s="43"/>
    </row>
    <row r="146" s="50" customFormat="1" spans="1:63">
      <c r="A146" s="73"/>
      <c r="B146" s="122"/>
      <c r="C146" s="122"/>
      <c r="D146" s="122"/>
      <c r="E146" s="123"/>
      <c r="F146" s="124"/>
      <c r="G146" s="124"/>
      <c r="H146" s="125"/>
      <c r="I146" s="126"/>
      <c r="J146" s="126"/>
      <c r="K146" s="127"/>
      <c r="L146" s="126"/>
      <c r="M146" s="126"/>
      <c r="N146" s="126"/>
      <c r="O146" s="126"/>
      <c r="P146" s="128"/>
      <c r="Q146" s="128"/>
      <c r="R146" s="126"/>
      <c r="S146" s="126"/>
      <c r="T146" s="129"/>
      <c r="U146" s="130"/>
      <c r="V146" s="128"/>
      <c r="W146" s="128"/>
      <c r="X146" s="131"/>
      <c r="Y146" s="125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32"/>
      <c r="AJ146" s="126"/>
      <c r="AK146" s="125"/>
      <c r="AL146" s="126"/>
      <c r="AM146" s="126"/>
      <c r="AN146" s="126"/>
      <c r="AO146" s="126"/>
      <c r="AP146" s="126"/>
      <c r="AQ146" s="133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6"/>
      <c r="BD146" s="126"/>
      <c r="BE146" s="126"/>
      <c r="BF146" s="126"/>
      <c r="BG146" s="126"/>
      <c r="BH146" s="136"/>
      <c r="BI146" s="145"/>
      <c r="BJ146" s="122"/>
      <c r="BK146" s="126"/>
    </row>
    <row r="147" s="50" customFormat="1" spans="1:63">
      <c r="A147" s="73"/>
      <c r="B147" s="122"/>
      <c r="C147" s="122"/>
      <c r="D147" s="122"/>
      <c r="E147" s="123"/>
      <c r="F147" s="124"/>
      <c r="G147" s="124"/>
      <c r="H147" s="125"/>
      <c r="I147" s="126"/>
      <c r="J147" s="126"/>
      <c r="K147" s="127"/>
      <c r="L147" s="126"/>
      <c r="M147" s="126"/>
      <c r="N147" s="126"/>
      <c r="O147" s="126"/>
      <c r="P147" s="128"/>
      <c r="Q147" s="128"/>
      <c r="R147" s="126"/>
      <c r="S147" s="126"/>
      <c r="T147" s="129"/>
      <c r="U147" s="130"/>
      <c r="V147" s="128"/>
      <c r="W147" s="128"/>
      <c r="X147" s="131"/>
      <c r="Y147" s="125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32"/>
      <c r="AJ147" s="126"/>
      <c r="AK147" s="125"/>
      <c r="AL147" s="126"/>
      <c r="AM147" s="126"/>
      <c r="AN147" s="126"/>
      <c r="AO147" s="126"/>
      <c r="AP147" s="126"/>
      <c r="AQ147" s="133"/>
      <c r="AR147" s="126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  <c r="BC147" s="126"/>
      <c r="BD147" s="126"/>
      <c r="BE147" s="126"/>
      <c r="BF147" s="126"/>
      <c r="BG147" s="126"/>
      <c r="BH147" s="136"/>
      <c r="BI147" s="145"/>
      <c r="BJ147" s="122"/>
      <c r="BK147" s="126"/>
    </row>
    <row r="148" s="18" customFormat="1" spans="1:63">
      <c r="A148" s="73"/>
      <c r="B148" s="101"/>
      <c r="C148" s="101"/>
      <c r="D148" s="101"/>
      <c r="E148" s="102"/>
      <c r="F148" s="103"/>
      <c r="G148" s="103"/>
      <c r="H148" s="120"/>
      <c r="I148" s="43"/>
      <c r="J148" s="43"/>
      <c r="K148" s="113"/>
      <c r="L148" s="43"/>
      <c r="M148" s="43"/>
      <c r="N148" s="43"/>
      <c r="O148" s="43"/>
      <c r="P148" s="114"/>
      <c r="Q148" s="114"/>
      <c r="R148" s="43"/>
      <c r="S148" s="43"/>
      <c r="T148" s="111"/>
      <c r="U148" s="116"/>
      <c r="V148" s="114"/>
      <c r="W148" s="114"/>
      <c r="X148" s="115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118"/>
      <c r="AJ148" s="43"/>
      <c r="AK148" s="120"/>
      <c r="AL148" s="43"/>
      <c r="AM148" s="43"/>
      <c r="AN148" s="43"/>
      <c r="AO148" s="43"/>
      <c r="AP148" s="43"/>
      <c r="AQ148" s="119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83"/>
      <c r="BI148" s="142"/>
      <c r="BJ148" s="101"/>
      <c r="BK148" s="43"/>
    </row>
    <row r="149" s="18" customFormat="1" spans="1:63">
      <c r="A149" s="73"/>
      <c r="B149" s="101"/>
      <c r="C149" s="101"/>
      <c r="D149" s="101"/>
      <c r="E149" s="159"/>
      <c r="F149" s="101"/>
      <c r="G149" s="101"/>
      <c r="H149" s="120"/>
      <c r="I149" s="43"/>
      <c r="J149" s="43"/>
      <c r="K149" s="113"/>
      <c r="L149" s="43"/>
      <c r="M149" s="43"/>
      <c r="N149" s="43"/>
      <c r="O149" s="43"/>
      <c r="P149" s="114"/>
      <c r="Q149" s="114"/>
      <c r="R149" s="43"/>
      <c r="S149" s="43"/>
      <c r="T149" s="111"/>
      <c r="U149" s="116"/>
      <c r="V149" s="114"/>
      <c r="W149" s="114"/>
      <c r="X149" s="115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118"/>
      <c r="AJ149" s="43"/>
      <c r="AK149" s="120"/>
      <c r="AL149" s="43"/>
      <c r="AM149" s="43"/>
      <c r="AN149" s="43"/>
      <c r="AO149" s="43"/>
      <c r="AP149" s="43"/>
      <c r="AQ149" s="119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83"/>
      <c r="BI149" s="142"/>
      <c r="BJ149" s="101"/>
      <c r="BK149" s="43"/>
    </row>
    <row r="150" s="18" customFormat="1" spans="1:63">
      <c r="A150" s="73"/>
      <c r="B150" s="101"/>
      <c r="C150" s="101"/>
      <c r="D150" s="101"/>
      <c r="E150" s="159"/>
      <c r="F150" s="101"/>
      <c r="G150" s="101"/>
      <c r="H150" s="120"/>
      <c r="I150" s="43"/>
      <c r="J150" s="43"/>
      <c r="K150" s="113"/>
      <c r="L150" s="43"/>
      <c r="M150" s="43"/>
      <c r="N150" s="43"/>
      <c r="O150" s="43"/>
      <c r="P150" s="114"/>
      <c r="Q150" s="114"/>
      <c r="R150" s="43"/>
      <c r="S150" s="43"/>
      <c r="T150" s="111"/>
      <c r="U150" s="116"/>
      <c r="V150" s="114"/>
      <c r="W150" s="114"/>
      <c r="X150" s="115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118"/>
      <c r="AJ150" s="43"/>
      <c r="AK150" s="120"/>
      <c r="AL150" s="120"/>
      <c r="AM150" s="120"/>
      <c r="AN150" s="120"/>
      <c r="AO150" s="43"/>
      <c r="AP150" s="43"/>
      <c r="AQ150" s="119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83"/>
      <c r="BI150" s="142"/>
      <c r="BJ150" s="101"/>
      <c r="BK150" s="43"/>
    </row>
    <row r="151" s="18" customFormat="1" spans="1:63">
      <c r="A151" s="73"/>
      <c r="B151" s="101"/>
      <c r="C151" s="101"/>
      <c r="D151" s="101"/>
      <c r="E151" s="159"/>
      <c r="F151" s="101"/>
      <c r="G151" s="101"/>
      <c r="H151" s="120"/>
      <c r="I151" s="43"/>
      <c r="J151" s="43"/>
      <c r="K151" s="113"/>
      <c r="L151" s="43"/>
      <c r="M151" s="43"/>
      <c r="N151" s="43"/>
      <c r="O151" s="43"/>
      <c r="P151" s="114"/>
      <c r="Q151" s="114"/>
      <c r="R151" s="43"/>
      <c r="S151" s="43"/>
      <c r="T151" s="111"/>
      <c r="U151" s="116"/>
      <c r="V151" s="114"/>
      <c r="W151" s="114"/>
      <c r="X151" s="115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118"/>
      <c r="AJ151" s="43"/>
      <c r="AK151" s="120"/>
      <c r="AL151" s="43"/>
      <c r="AM151" s="43"/>
      <c r="AN151" s="43"/>
      <c r="AO151" s="43"/>
      <c r="AP151" s="43"/>
      <c r="AQ151" s="119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83"/>
      <c r="BI151" s="142"/>
      <c r="BJ151" s="101"/>
      <c r="BK151" s="43"/>
    </row>
    <row r="152" s="18" customFormat="1" spans="1:63">
      <c r="A152" s="73"/>
      <c r="B152" s="101"/>
      <c r="C152" s="101"/>
      <c r="D152" s="101"/>
      <c r="E152" s="159"/>
      <c r="F152" s="101"/>
      <c r="G152" s="101"/>
      <c r="H152" s="120"/>
      <c r="I152" s="43"/>
      <c r="J152" s="43"/>
      <c r="K152" s="113"/>
      <c r="L152" s="43"/>
      <c r="M152" s="43"/>
      <c r="N152" s="43"/>
      <c r="O152" s="43"/>
      <c r="P152" s="114"/>
      <c r="Q152" s="114"/>
      <c r="R152" s="43"/>
      <c r="S152" s="43"/>
      <c r="T152" s="111"/>
      <c r="U152" s="116"/>
      <c r="V152" s="114"/>
      <c r="W152" s="114"/>
      <c r="X152" s="115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118"/>
      <c r="AJ152" s="43"/>
      <c r="AK152" s="120"/>
      <c r="AL152" s="43"/>
      <c r="AM152" s="43"/>
      <c r="AN152" s="43"/>
      <c r="AO152" s="43"/>
      <c r="AP152" s="43"/>
      <c r="AQ152" s="119"/>
      <c r="AR152" s="43"/>
      <c r="AS152" s="138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83"/>
      <c r="BI152" s="142"/>
      <c r="BJ152" s="101"/>
      <c r="BK152" s="43"/>
    </row>
    <row r="153" s="18" customFormat="1" spans="1:63">
      <c r="A153" s="73"/>
      <c r="B153" s="101"/>
      <c r="C153" s="101"/>
      <c r="D153" s="101"/>
      <c r="E153" s="159"/>
      <c r="F153" s="101"/>
      <c r="G153" s="101"/>
      <c r="H153" s="120"/>
      <c r="I153" s="43"/>
      <c r="J153" s="43"/>
      <c r="K153" s="113"/>
      <c r="L153" s="43"/>
      <c r="M153" s="43"/>
      <c r="N153" s="43"/>
      <c r="O153" s="43"/>
      <c r="P153" s="114"/>
      <c r="Q153" s="114"/>
      <c r="R153" s="43"/>
      <c r="S153" s="43"/>
      <c r="T153" s="111"/>
      <c r="U153" s="116"/>
      <c r="V153" s="114"/>
      <c r="W153" s="114"/>
      <c r="X153" s="115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118"/>
      <c r="AJ153" s="43"/>
      <c r="AK153" s="120"/>
      <c r="AL153" s="43"/>
      <c r="AM153" s="43"/>
      <c r="AN153" s="43"/>
      <c r="AO153" s="43"/>
      <c r="AP153" s="43"/>
      <c r="AQ153" s="119"/>
      <c r="AR153" s="111"/>
      <c r="AS153" s="43"/>
      <c r="AT153" s="120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83"/>
      <c r="BI153" s="142"/>
      <c r="BJ153" s="101"/>
      <c r="BK153" s="43"/>
    </row>
    <row r="154" s="18" customFormat="1" spans="1:63">
      <c r="A154" s="73"/>
      <c r="B154" s="101"/>
      <c r="C154" s="101"/>
      <c r="D154" s="101"/>
      <c r="E154" s="159"/>
      <c r="F154" s="101"/>
      <c r="G154" s="101"/>
      <c r="H154" s="120"/>
      <c r="I154" s="43"/>
      <c r="J154" s="43"/>
      <c r="K154" s="113"/>
      <c r="L154" s="43"/>
      <c r="M154" s="43"/>
      <c r="N154" s="43"/>
      <c r="O154" s="43"/>
      <c r="P154" s="114"/>
      <c r="Q154" s="114"/>
      <c r="R154" s="43"/>
      <c r="S154" s="43"/>
      <c r="T154" s="111"/>
      <c r="U154" s="116"/>
      <c r="V154" s="114"/>
      <c r="W154" s="114"/>
      <c r="X154" s="115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118"/>
      <c r="AJ154" s="43"/>
      <c r="AK154" s="43"/>
      <c r="AL154" s="43"/>
      <c r="AM154" s="43"/>
      <c r="AN154" s="43"/>
      <c r="AO154" s="43"/>
      <c r="AP154" s="43"/>
      <c r="AQ154" s="119"/>
      <c r="AR154" s="111"/>
      <c r="AS154" s="43"/>
      <c r="AT154" s="120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83"/>
      <c r="BI154" s="142"/>
      <c r="BJ154" s="101"/>
      <c r="BK154" s="43"/>
    </row>
    <row r="155" s="18" customFormat="1" spans="1:63">
      <c r="A155" s="73"/>
      <c r="B155" s="101"/>
      <c r="C155" s="101"/>
      <c r="D155" s="101"/>
      <c r="E155" s="159"/>
      <c r="F155" s="101"/>
      <c r="G155" s="101"/>
      <c r="H155" s="120"/>
      <c r="I155" s="43"/>
      <c r="J155" s="43"/>
      <c r="K155" s="113"/>
      <c r="L155" s="43"/>
      <c r="M155" s="43"/>
      <c r="N155" s="43"/>
      <c r="O155" s="43"/>
      <c r="P155" s="114"/>
      <c r="Q155" s="114"/>
      <c r="R155" s="43"/>
      <c r="S155" s="43"/>
      <c r="T155" s="111"/>
      <c r="U155" s="116"/>
      <c r="V155" s="114"/>
      <c r="W155" s="114"/>
      <c r="X155" s="115"/>
      <c r="Y155" s="43"/>
      <c r="Z155" s="43"/>
      <c r="AA155" s="43"/>
      <c r="AB155" s="43"/>
      <c r="AC155" s="120"/>
      <c r="AD155" s="43"/>
      <c r="AE155" s="43"/>
      <c r="AF155" s="43"/>
      <c r="AG155" s="43"/>
      <c r="AH155" s="43"/>
      <c r="AI155" s="118"/>
      <c r="AJ155" s="43"/>
      <c r="AK155" s="120"/>
      <c r="AL155" s="43"/>
      <c r="AM155" s="43"/>
      <c r="AN155" s="43"/>
      <c r="AO155" s="43"/>
      <c r="AP155" s="43"/>
      <c r="AQ155" s="119"/>
      <c r="AR155" s="111"/>
      <c r="AS155" s="43"/>
      <c r="AT155" s="120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83"/>
      <c r="BI155" s="142"/>
      <c r="BJ155" s="101"/>
      <c r="BK155" s="43"/>
    </row>
    <row r="156" s="50" customFormat="1" spans="1:63">
      <c r="A156" s="73"/>
      <c r="B156" s="122"/>
      <c r="C156" s="122"/>
      <c r="D156" s="122"/>
      <c r="E156" s="160"/>
      <c r="F156" s="122"/>
      <c r="G156" s="122"/>
      <c r="H156" s="125"/>
      <c r="I156" s="126"/>
      <c r="J156" s="126"/>
      <c r="K156" s="127"/>
      <c r="L156" s="126"/>
      <c r="M156" s="126"/>
      <c r="N156" s="126"/>
      <c r="O156" s="126"/>
      <c r="P156" s="128"/>
      <c r="Q156" s="128"/>
      <c r="R156" s="126"/>
      <c r="S156" s="126"/>
      <c r="T156" s="129"/>
      <c r="U156" s="130"/>
      <c r="V156" s="128"/>
      <c r="W156" s="128"/>
      <c r="X156" s="131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32"/>
      <c r="AJ156" s="126"/>
      <c r="AK156" s="125"/>
      <c r="AL156" s="126"/>
      <c r="AM156" s="126"/>
      <c r="AN156" s="126"/>
      <c r="AO156" s="126"/>
      <c r="AP156" s="126"/>
      <c r="AQ156" s="133"/>
      <c r="AR156" s="129"/>
      <c r="AS156" s="126"/>
      <c r="AT156" s="125"/>
      <c r="AU156" s="126"/>
      <c r="AV156" s="126"/>
      <c r="AW156" s="126"/>
      <c r="AX156" s="126"/>
      <c r="AY156" s="126"/>
      <c r="AZ156" s="126"/>
      <c r="BA156" s="126"/>
      <c r="BB156" s="126"/>
      <c r="BC156" s="126"/>
      <c r="BD156" s="126"/>
      <c r="BE156" s="126"/>
      <c r="BF156" s="126"/>
      <c r="BG156" s="126"/>
      <c r="BH156" s="136"/>
      <c r="BI156" s="145"/>
      <c r="BJ156" s="122"/>
      <c r="BK156" s="126"/>
    </row>
    <row r="157" s="50" customFormat="1" spans="1:63">
      <c r="A157" s="73"/>
      <c r="B157" s="122"/>
      <c r="C157" s="122"/>
      <c r="D157" s="122"/>
      <c r="E157" s="160"/>
      <c r="F157" s="122"/>
      <c r="G157" s="122"/>
      <c r="H157" s="125"/>
      <c r="I157" s="126"/>
      <c r="J157" s="126"/>
      <c r="K157" s="127"/>
      <c r="L157" s="126"/>
      <c r="M157" s="126"/>
      <c r="N157" s="126"/>
      <c r="O157" s="126"/>
      <c r="P157" s="128"/>
      <c r="Q157" s="128"/>
      <c r="R157" s="126"/>
      <c r="S157" s="126"/>
      <c r="T157" s="129"/>
      <c r="U157" s="130"/>
      <c r="V157" s="128"/>
      <c r="W157" s="128"/>
      <c r="X157" s="131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32"/>
      <c r="AJ157" s="126"/>
      <c r="AK157" s="125"/>
      <c r="AL157" s="126"/>
      <c r="AM157" s="126"/>
      <c r="AN157" s="126"/>
      <c r="AO157" s="126"/>
      <c r="AP157" s="126"/>
      <c r="AQ157" s="133"/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  <c r="BC157" s="126"/>
      <c r="BD157" s="126"/>
      <c r="BE157" s="126"/>
      <c r="BF157" s="126"/>
      <c r="BG157" s="126"/>
      <c r="BH157" s="136"/>
      <c r="BI157" s="145"/>
      <c r="BJ157" s="122"/>
      <c r="BK157" s="126"/>
    </row>
    <row r="158" s="50" customFormat="1" spans="1:63">
      <c r="A158" s="73"/>
      <c r="B158" s="122"/>
      <c r="C158" s="122"/>
      <c r="D158" s="122"/>
      <c r="E158" s="160"/>
      <c r="F158" s="122"/>
      <c r="G158" s="122"/>
      <c r="H158" s="125"/>
      <c r="I158" s="126"/>
      <c r="J158" s="126"/>
      <c r="K158" s="127"/>
      <c r="L158" s="126"/>
      <c r="M158" s="126"/>
      <c r="N158" s="126"/>
      <c r="O158" s="126"/>
      <c r="P158" s="128"/>
      <c r="Q158" s="128"/>
      <c r="R158" s="126"/>
      <c r="S158" s="126"/>
      <c r="T158" s="129"/>
      <c r="U158" s="130"/>
      <c r="V158" s="128"/>
      <c r="W158" s="128"/>
      <c r="X158" s="131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32"/>
      <c r="AJ158" s="126"/>
      <c r="AK158" s="125"/>
      <c r="AL158" s="126"/>
      <c r="AM158" s="126"/>
      <c r="AN158" s="126"/>
      <c r="AO158" s="126"/>
      <c r="AP158" s="126"/>
      <c r="AQ158" s="133"/>
      <c r="AR158" s="126"/>
      <c r="AS158" s="126"/>
      <c r="AT158" s="126"/>
      <c r="AU158" s="126"/>
      <c r="AV158" s="126"/>
      <c r="AW158" s="126"/>
      <c r="AX158" s="126"/>
      <c r="AY158" s="126"/>
      <c r="AZ158" s="126"/>
      <c r="BA158" s="126"/>
      <c r="BB158" s="126"/>
      <c r="BC158" s="126"/>
      <c r="BD158" s="126"/>
      <c r="BE158" s="126"/>
      <c r="BF158" s="126"/>
      <c r="BG158" s="126"/>
      <c r="BH158" s="136"/>
      <c r="BI158" s="145"/>
      <c r="BJ158" s="122"/>
      <c r="BK158" s="126"/>
    </row>
    <row r="159" s="50" customFormat="1" spans="1:63">
      <c r="A159" s="73"/>
      <c r="B159" s="122"/>
      <c r="C159" s="122"/>
      <c r="D159" s="122"/>
      <c r="E159" s="160"/>
      <c r="F159" s="122"/>
      <c r="G159" s="122"/>
      <c r="H159" s="125"/>
      <c r="I159" s="126"/>
      <c r="J159" s="126"/>
      <c r="K159" s="127"/>
      <c r="L159" s="126"/>
      <c r="M159" s="126"/>
      <c r="N159" s="126"/>
      <c r="O159" s="126"/>
      <c r="P159" s="128"/>
      <c r="Q159" s="128"/>
      <c r="R159" s="126"/>
      <c r="S159" s="126"/>
      <c r="T159" s="129"/>
      <c r="U159" s="130"/>
      <c r="V159" s="128"/>
      <c r="W159" s="128"/>
      <c r="X159" s="131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32"/>
      <c r="AJ159" s="126"/>
      <c r="AK159" s="125"/>
      <c r="AL159" s="126"/>
      <c r="AM159" s="126"/>
      <c r="AN159" s="126"/>
      <c r="AO159" s="126"/>
      <c r="AP159" s="126"/>
      <c r="AQ159" s="133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6"/>
      <c r="BD159" s="126"/>
      <c r="BE159" s="126"/>
      <c r="BF159" s="126"/>
      <c r="BG159" s="126"/>
      <c r="BH159" s="136"/>
      <c r="BI159" s="145"/>
      <c r="BJ159" s="122"/>
      <c r="BK159" s="126"/>
    </row>
    <row r="160" s="50" customFormat="1" spans="1:63">
      <c r="A160" s="73"/>
      <c r="B160" s="122"/>
      <c r="C160" s="122"/>
      <c r="D160" s="122"/>
      <c r="E160" s="160"/>
      <c r="F160" s="122"/>
      <c r="G160" s="122"/>
      <c r="H160" s="125"/>
      <c r="I160" s="126"/>
      <c r="J160" s="126"/>
      <c r="K160" s="127"/>
      <c r="L160" s="126"/>
      <c r="M160" s="126"/>
      <c r="N160" s="126"/>
      <c r="O160" s="126"/>
      <c r="P160" s="128"/>
      <c r="Q160" s="128"/>
      <c r="R160" s="126"/>
      <c r="S160" s="126"/>
      <c r="T160" s="129"/>
      <c r="U160" s="130"/>
      <c r="V160" s="128"/>
      <c r="W160" s="128"/>
      <c r="X160" s="131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32"/>
      <c r="AJ160" s="126"/>
      <c r="AK160" s="125"/>
      <c r="AL160" s="126"/>
      <c r="AM160" s="126"/>
      <c r="AN160" s="126"/>
      <c r="AO160" s="126"/>
      <c r="AP160" s="126"/>
      <c r="AQ160" s="133"/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  <c r="BC160" s="126"/>
      <c r="BD160" s="126"/>
      <c r="BE160" s="126"/>
      <c r="BF160" s="126"/>
      <c r="BG160" s="126"/>
      <c r="BH160" s="136"/>
      <c r="BI160" s="145"/>
      <c r="BJ160" s="122"/>
      <c r="BK160" s="126"/>
    </row>
    <row r="161" s="50" customFormat="1" spans="1:63">
      <c r="A161" s="73"/>
      <c r="B161" s="122"/>
      <c r="C161" s="122"/>
      <c r="D161" s="122"/>
      <c r="E161" s="160"/>
      <c r="F161" s="122"/>
      <c r="G161" s="122"/>
      <c r="H161" s="125"/>
      <c r="I161" s="126"/>
      <c r="J161" s="126"/>
      <c r="K161" s="127"/>
      <c r="L161" s="126"/>
      <c r="M161" s="126"/>
      <c r="N161" s="126"/>
      <c r="O161" s="126"/>
      <c r="P161" s="128"/>
      <c r="Q161" s="128"/>
      <c r="R161" s="126"/>
      <c r="S161" s="126"/>
      <c r="T161" s="129"/>
      <c r="U161" s="130"/>
      <c r="V161" s="128"/>
      <c r="W161" s="128"/>
      <c r="X161" s="131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32"/>
      <c r="AJ161" s="126"/>
      <c r="AK161" s="125"/>
      <c r="AL161" s="126"/>
      <c r="AM161" s="126"/>
      <c r="AN161" s="126"/>
      <c r="AO161" s="126"/>
      <c r="AP161" s="126"/>
      <c r="AQ161" s="133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  <c r="BC161" s="126"/>
      <c r="BD161" s="126"/>
      <c r="BE161" s="126"/>
      <c r="BF161" s="126"/>
      <c r="BG161" s="126"/>
      <c r="BH161" s="136"/>
      <c r="BI161" s="145"/>
      <c r="BJ161" s="122"/>
      <c r="BK161" s="126"/>
    </row>
    <row r="162" s="50" customFormat="1" spans="1:63">
      <c r="A162" s="73"/>
      <c r="B162" s="122"/>
      <c r="C162" s="122"/>
      <c r="D162" s="122"/>
      <c r="E162" s="160"/>
      <c r="F162" s="122"/>
      <c r="G162" s="122"/>
      <c r="H162" s="125"/>
      <c r="I162" s="126"/>
      <c r="J162" s="126"/>
      <c r="K162" s="127"/>
      <c r="L162" s="126"/>
      <c r="M162" s="126"/>
      <c r="N162" s="126"/>
      <c r="O162" s="126"/>
      <c r="P162" s="128"/>
      <c r="Q162" s="128"/>
      <c r="R162" s="126"/>
      <c r="S162" s="126"/>
      <c r="T162" s="129"/>
      <c r="U162" s="130"/>
      <c r="V162" s="128"/>
      <c r="W162" s="128"/>
      <c r="X162" s="131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32"/>
      <c r="AJ162" s="126"/>
      <c r="AK162" s="125"/>
      <c r="AL162" s="126"/>
      <c r="AM162" s="126"/>
      <c r="AN162" s="126"/>
      <c r="AO162" s="126"/>
      <c r="AP162" s="126"/>
      <c r="AQ162" s="133"/>
      <c r="AR162" s="126"/>
      <c r="AS162" s="126"/>
      <c r="AT162" s="126"/>
      <c r="AU162" s="126"/>
      <c r="AV162" s="126"/>
      <c r="AW162" s="126"/>
      <c r="AX162" s="126"/>
      <c r="AY162" s="126"/>
      <c r="AZ162" s="126"/>
      <c r="BA162" s="126"/>
      <c r="BB162" s="126"/>
      <c r="BC162" s="126"/>
      <c r="BD162" s="126"/>
      <c r="BE162" s="126"/>
      <c r="BF162" s="126"/>
      <c r="BG162" s="126"/>
      <c r="BH162" s="136"/>
      <c r="BI162" s="145"/>
      <c r="BJ162" s="122"/>
      <c r="BK162" s="126"/>
    </row>
    <row r="163" s="50" customFormat="1" spans="1:63">
      <c r="A163" s="73"/>
      <c r="B163" s="122"/>
      <c r="C163" s="122"/>
      <c r="D163" s="122"/>
      <c r="E163" s="160"/>
      <c r="F163" s="122"/>
      <c r="G163" s="122"/>
      <c r="H163" s="125"/>
      <c r="I163" s="126"/>
      <c r="J163" s="126"/>
      <c r="K163" s="127"/>
      <c r="L163" s="126"/>
      <c r="M163" s="126"/>
      <c r="N163" s="126"/>
      <c r="O163" s="126"/>
      <c r="P163" s="128"/>
      <c r="Q163" s="128"/>
      <c r="R163" s="126"/>
      <c r="S163" s="126"/>
      <c r="T163" s="129"/>
      <c r="U163" s="130"/>
      <c r="V163" s="128"/>
      <c r="W163" s="128"/>
      <c r="X163" s="131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32"/>
      <c r="AJ163" s="126"/>
      <c r="AK163" s="125"/>
      <c r="AL163" s="126"/>
      <c r="AM163" s="126"/>
      <c r="AN163" s="126"/>
      <c r="AO163" s="126"/>
      <c r="AP163" s="126"/>
      <c r="AQ163" s="133"/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/>
      <c r="BC163" s="126"/>
      <c r="BD163" s="126"/>
      <c r="BE163" s="126"/>
      <c r="BF163" s="126"/>
      <c r="BG163" s="126"/>
      <c r="BH163" s="136"/>
      <c r="BI163" s="145"/>
      <c r="BJ163" s="122"/>
      <c r="BK163" s="126"/>
    </row>
    <row r="164" s="50" customFormat="1" spans="1:63">
      <c r="A164" s="73"/>
      <c r="B164" s="122"/>
      <c r="C164" s="122"/>
      <c r="D164" s="122"/>
      <c r="E164" s="160"/>
      <c r="F164" s="122"/>
      <c r="G164" s="122"/>
      <c r="H164" s="125"/>
      <c r="I164" s="126"/>
      <c r="J164" s="126"/>
      <c r="K164" s="127"/>
      <c r="L164" s="161"/>
      <c r="M164" s="126"/>
      <c r="N164" s="126"/>
      <c r="O164" s="126"/>
      <c r="P164" s="128"/>
      <c r="Q164" s="128"/>
      <c r="R164" s="126"/>
      <c r="S164" s="126"/>
      <c r="T164" s="129"/>
      <c r="U164" s="130"/>
      <c r="V164" s="128"/>
      <c r="W164" s="128"/>
      <c r="X164" s="131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32"/>
      <c r="AJ164" s="126"/>
      <c r="AK164" s="125"/>
      <c r="AL164" s="126"/>
      <c r="AM164" s="126"/>
      <c r="AN164" s="126"/>
      <c r="AO164" s="126"/>
      <c r="AP164" s="126"/>
      <c r="AQ164" s="133"/>
      <c r="AR164" s="126"/>
      <c r="AS164" s="126"/>
      <c r="AT164" s="126"/>
      <c r="AU164" s="126"/>
      <c r="AV164" s="126"/>
      <c r="AW164" s="126"/>
      <c r="AX164" s="126"/>
      <c r="AY164" s="126"/>
      <c r="AZ164" s="126"/>
      <c r="BA164" s="126"/>
      <c r="BB164" s="126"/>
      <c r="BC164" s="126"/>
      <c r="BD164" s="126"/>
      <c r="BE164" s="126"/>
      <c r="BF164" s="126"/>
      <c r="BG164" s="126"/>
      <c r="BH164" s="136"/>
      <c r="BI164" s="145"/>
      <c r="BJ164" s="122"/>
      <c r="BK164" s="126"/>
    </row>
    <row r="165" s="18" customFormat="1" spans="1:63">
      <c r="A165" s="73"/>
      <c r="B165" s="101"/>
      <c r="C165" s="101"/>
      <c r="D165" s="101"/>
      <c r="E165" s="159"/>
      <c r="F165" s="101"/>
      <c r="G165" s="101"/>
      <c r="H165" s="120"/>
      <c r="I165" s="43"/>
      <c r="J165" s="43"/>
      <c r="K165" s="113"/>
      <c r="L165" s="43"/>
      <c r="M165" s="43"/>
      <c r="N165" s="43"/>
      <c r="O165" s="43"/>
      <c r="P165" s="114"/>
      <c r="Q165" s="114"/>
      <c r="R165" s="43"/>
      <c r="S165" s="43"/>
      <c r="T165" s="111"/>
      <c r="U165" s="153"/>
      <c r="V165" s="114"/>
      <c r="W165" s="114"/>
      <c r="X165" s="115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118"/>
      <c r="AJ165" s="43"/>
      <c r="AK165" s="120"/>
      <c r="AL165" s="43"/>
      <c r="AM165" s="43"/>
      <c r="AN165" s="43"/>
      <c r="AO165" s="43"/>
      <c r="AP165" s="43"/>
      <c r="AQ165" s="119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83"/>
      <c r="BI165" s="142"/>
      <c r="BJ165" s="101"/>
      <c r="BK165" s="43"/>
    </row>
    <row r="166" s="18" customFormat="1" spans="1:63">
      <c r="A166" s="73"/>
      <c r="B166" s="101"/>
      <c r="C166" s="101"/>
      <c r="D166" s="101"/>
      <c r="E166" s="159"/>
      <c r="F166" s="101"/>
      <c r="G166" s="101"/>
      <c r="H166" s="120"/>
      <c r="I166" s="43"/>
      <c r="J166" s="43"/>
      <c r="K166" s="113"/>
      <c r="L166" s="43"/>
      <c r="M166" s="43"/>
      <c r="N166" s="43"/>
      <c r="O166" s="43"/>
      <c r="P166" s="114"/>
      <c r="Q166" s="114"/>
      <c r="R166" s="43"/>
      <c r="S166" s="43"/>
      <c r="T166" s="111"/>
      <c r="U166" s="153"/>
      <c r="V166" s="114"/>
      <c r="W166" s="114"/>
      <c r="X166" s="115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118"/>
      <c r="AJ166" s="43"/>
      <c r="AK166" s="120"/>
      <c r="AL166" s="43"/>
      <c r="AM166" s="43"/>
      <c r="AN166" s="43"/>
      <c r="AO166" s="43"/>
      <c r="AP166" s="43"/>
      <c r="AQ166" s="119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83"/>
      <c r="BI166" s="142"/>
      <c r="BJ166" s="101"/>
      <c r="BK166" s="43"/>
    </row>
    <row r="167" s="18" customFormat="1" spans="1:63">
      <c r="A167" s="73"/>
      <c r="B167" s="101"/>
      <c r="C167" s="101"/>
      <c r="D167" s="101"/>
      <c r="E167" s="159"/>
      <c r="F167" s="101"/>
      <c r="G167" s="101"/>
      <c r="H167" s="120"/>
      <c r="I167" s="43"/>
      <c r="J167" s="43"/>
      <c r="K167" s="113"/>
      <c r="L167" s="43"/>
      <c r="M167" s="43"/>
      <c r="N167" s="43"/>
      <c r="O167" s="43"/>
      <c r="P167" s="114"/>
      <c r="Q167" s="114"/>
      <c r="R167" s="43"/>
      <c r="S167" s="43"/>
      <c r="T167" s="111"/>
      <c r="U167" s="153"/>
      <c r="V167" s="114"/>
      <c r="W167" s="114"/>
      <c r="X167" s="115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118"/>
      <c r="AJ167" s="43"/>
      <c r="AK167" s="43"/>
      <c r="AL167" s="43"/>
      <c r="AM167" s="43"/>
      <c r="AN167" s="43"/>
      <c r="AO167" s="43"/>
      <c r="AP167" s="43"/>
      <c r="AQ167" s="119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83"/>
      <c r="BI167" s="142"/>
      <c r="BJ167" s="101"/>
      <c r="BK167" s="43"/>
    </row>
    <row r="168" s="18" customFormat="1" spans="1:63">
      <c r="A168" s="73"/>
      <c r="B168" s="101"/>
      <c r="C168" s="101"/>
      <c r="D168" s="101"/>
      <c r="E168" s="159"/>
      <c r="F168" s="101"/>
      <c r="G168" s="101"/>
      <c r="H168" s="120"/>
      <c r="I168" s="43"/>
      <c r="J168" s="43"/>
      <c r="K168" s="113"/>
      <c r="L168" s="43"/>
      <c r="M168" s="43"/>
      <c r="N168" s="43"/>
      <c r="O168" s="43"/>
      <c r="P168" s="114"/>
      <c r="Q168" s="114"/>
      <c r="R168" s="43"/>
      <c r="S168" s="43"/>
      <c r="T168" s="111"/>
      <c r="U168" s="153"/>
      <c r="V168" s="114"/>
      <c r="W168" s="114"/>
      <c r="X168" s="115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118"/>
      <c r="AJ168" s="43"/>
      <c r="AK168" s="43"/>
      <c r="AL168" s="43"/>
      <c r="AM168" s="43"/>
      <c r="AN168" s="43"/>
      <c r="AO168" s="43"/>
      <c r="AP168" s="43"/>
      <c r="AQ168" s="119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83"/>
      <c r="BI168" s="142"/>
      <c r="BJ168" s="101"/>
      <c r="BK168" s="43"/>
    </row>
    <row r="169" s="18" customFormat="1" spans="1:63">
      <c r="A169" s="73"/>
      <c r="B169" s="101"/>
      <c r="C169" s="101"/>
      <c r="D169" s="101"/>
      <c r="E169" s="159"/>
      <c r="F169" s="101"/>
      <c r="G169" s="101"/>
      <c r="H169" s="120"/>
      <c r="I169" s="43"/>
      <c r="J169" s="43"/>
      <c r="K169" s="113"/>
      <c r="L169" s="43"/>
      <c r="M169" s="43"/>
      <c r="N169" s="43"/>
      <c r="O169" s="43"/>
      <c r="P169" s="114"/>
      <c r="Q169" s="114"/>
      <c r="R169" s="43"/>
      <c r="S169" s="43"/>
      <c r="T169" s="111"/>
      <c r="U169" s="153"/>
      <c r="V169" s="114"/>
      <c r="W169" s="114"/>
      <c r="X169" s="115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118"/>
      <c r="AJ169" s="43"/>
      <c r="AK169" s="43"/>
      <c r="AL169" s="43"/>
      <c r="AM169" s="43"/>
      <c r="AN169" s="43"/>
      <c r="AO169" s="43"/>
      <c r="AP169" s="43"/>
      <c r="AQ169" s="119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83"/>
      <c r="BI169" s="142"/>
      <c r="BJ169" s="101"/>
      <c r="BK169" s="43"/>
    </row>
    <row r="170" s="18" customFormat="1" spans="1:63">
      <c r="A170" s="73"/>
      <c r="B170" s="101"/>
      <c r="C170" s="101"/>
      <c r="D170" s="101"/>
      <c r="E170" s="159"/>
      <c r="F170" s="101"/>
      <c r="G170" s="101"/>
      <c r="H170" s="120"/>
      <c r="I170" s="43"/>
      <c r="J170" s="43"/>
      <c r="K170" s="113"/>
      <c r="L170" s="43"/>
      <c r="M170" s="43"/>
      <c r="N170" s="43"/>
      <c r="O170" s="43"/>
      <c r="P170" s="114"/>
      <c r="Q170" s="114"/>
      <c r="R170" s="43"/>
      <c r="S170" s="43"/>
      <c r="T170" s="111"/>
      <c r="U170" s="153"/>
      <c r="V170" s="114"/>
      <c r="W170" s="114"/>
      <c r="X170" s="115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118"/>
      <c r="AJ170" s="43"/>
      <c r="AK170" s="120"/>
      <c r="AL170" s="43"/>
      <c r="AM170" s="43"/>
      <c r="AN170" s="43"/>
      <c r="AO170" s="43"/>
      <c r="AP170" s="43"/>
      <c r="AQ170" s="119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83"/>
      <c r="BI170" s="142"/>
      <c r="BJ170" s="101"/>
      <c r="BK170" s="43"/>
    </row>
    <row r="171" s="18" customFormat="1" spans="1:63">
      <c r="A171" s="73"/>
      <c r="B171" s="101"/>
      <c r="C171" s="101"/>
      <c r="D171" s="101"/>
      <c r="E171" s="159"/>
      <c r="F171" s="101"/>
      <c r="G171" s="101"/>
      <c r="H171" s="120"/>
      <c r="I171" s="43"/>
      <c r="J171" s="43"/>
      <c r="K171" s="113"/>
      <c r="L171" s="43"/>
      <c r="M171" s="43"/>
      <c r="N171" s="43"/>
      <c r="O171" s="43"/>
      <c r="P171" s="114"/>
      <c r="Q171" s="114"/>
      <c r="R171" s="43"/>
      <c r="S171" s="43"/>
      <c r="T171" s="111"/>
      <c r="U171" s="153"/>
      <c r="V171" s="114"/>
      <c r="W171" s="114"/>
      <c r="X171" s="115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118"/>
      <c r="AJ171" s="43"/>
      <c r="AK171" s="120"/>
      <c r="AL171" s="43"/>
      <c r="AM171" s="43"/>
      <c r="AN171" s="43"/>
      <c r="AO171" s="43"/>
      <c r="AP171" s="43"/>
      <c r="AQ171" s="119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83"/>
      <c r="BI171" s="142"/>
      <c r="BJ171" s="101"/>
      <c r="BK171" s="43"/>
    </row>
    <row r="172" s="18" customFormat="1" spans="1:63">
      <c r="A172" s="73"/>
      <c r="B172" s="101"/>
      <c r="C172" s="101"/>
      <c r="D172" s="101"/>
      <c r="E172" s="159"/>
      <c r="F172" s="101"/>
      <c r="G172" s="101"/>
      <c r="H172" s="120"/>
      <c r="I172" s="43"/>
      <c r="J172" s="43"/>
      <c r="K172" s="113"/>
      <c r="L172" s="43"/>
      <c r="M172" s="43"/>
      <c r="N172" s="43"/>
      <c r="O172" s="43"/>
      <c r="P172" s="114"/>
      <c r="Q172" s="114"/>
      <c r="R172" s="43"/>
      <c r="S172" s="43"/>
      <c r="T172" s="111"/>
      <c r="U172" s="153"/>
      <c r="V172" s="114"/>
      <c r="W172" s="114"/>
      <c r="X172" s="115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118"/>
      <c r="AJ172" s="43"/>
      <c r="AK172" s="120"/>
      <c r="AL172" s="43"/>
      <c r="AM172" s="43"/>
      <c r="AN172" s="43"/>
      <c r="AO172" s="43"/>
      <c r="AP172" s="43"/>
      <c r="AQ172" s="119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83"/>
      <c r="BI172" s="142"/>
      <c r="BJ172" s="101"/>
      <c r="BK172" s="43"/>
    </row>
    <row r="173" s="18" customFormat="1" spans="1:63">
      <c r="A173" s="73"/>
      <c r="B173" s="101"/>
      <c r="C173" s="101"/>
      <c r="D173" s="101"/>
      <c r="E173" s="159"/>
      <c r="F173" s="101"/>
      <c r="G173" s="101"/>
      <c r="H173" s="120"/>
      <c r="I173" s="43"/>
      <c r="J173" s="43"/>
      <c r="K173" s="113"/>
      <c r="L173" s="43"/>
      <c r="M173" s="43"/>
      <c r="N173" s="43"/>
      <c r="O173" s="43"/>
      <c r="P173" s="114"/>
      <c r="Q173" s="114"/>
      <c r="R173" s="43"/>
      <c r="S173" s="43"/>
      <c r="T173" s="111"/>
      <c r="U173" s="153"/>
      <c r="V173" s="114"/>
      <c r="W173" s="114"/>
      <c r="X173" s="115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118"/>
      <c r="AJ173" s="43"/>
      <c r="AK173" s="120"/>
      <c r="AL173" s="43"/>
      <c r="AM173" s="43"/>
      <c r="AN173" s="43"/>
      <c r="AO173" s="43"/>
      <c r="AP173" s="43"/>
      <c r="AQ173" s="119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83"/>
      <c r="BI173" s="142"/>
      <c r="BJ173" s="101"/>
      <c r="BK173" s="43"/>
    </row>
    <row r="174" s="18" customFormat="1" spans="1:63">
      <c r="A174" s="73"/>
      <c r="B174" s="101"/>
      <c r="C174" s="101"/>
      <c r="D174" s="101"/>
      <c r="E174" s="159"/>
      <c r="F174" s="101"/>
      <c r="G174" s="101"/>
      <c r="H174" s="120"/>
      <c r="I174" s="43"/>
      <c r="J174" s="43"/>
      <c r="K174" s="113"/>
      <c r="L174" s="43"/>
      <c r="M174" s="43"/>
      <c r="N174" s="43"/>
      <c r="O174" s="43"/>
      <c r="P174" s="114"/>
      <c r="Q174" s="114"/>
      <c r="R174" s="43"/>
      <c r="S174" s="43"/>
      <c r="T174" s="111"/>
      <c r="U174" s="153"/>
      <c r="V174" s="114"/>
      <c r="W174" s="114"/>
      <c r="X174" s="115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118"/>
      <c r="AJ174" s="43"/>
      <c r="AK174" s="120"/>
      <c r="AL174" s="43"/>
      <c r="AM174" s="43"/>
      <c r="AN174" s="43"/>
      <c r="AO174" s="43"/>
      <c r="AP174" s="43"/>
      <c r="AQ174" s="119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83"/>
      <c r="BI174" s="142"/>
      <c r="BJ174" s="101"/>
      <c r="BK174" s="43"/>
    </row>
    <row r="175" s="18" customFormat="1" spans="1:63">
      <c r="A175" s="73"/>
      <c r="B175" s="101"/>
      <c r="C175" s="101"/>
      <c r="D175" s="101"/>
      <c r="E175" s="159"/>
      <c r="F175" s="101"/>
      <c r="G175" s="101"/>
      <c r="H175" s="120"/>
      <c r="I175" s="43"/>
      <c r="J175" s="43"/>
      <c r="K175" s="113"/>
      <c r="L175" s="43"/>
      <c r="M175" s="43"/>
      <c r="N175" s="43"/>
      <c r="O175" s="43"/>
      <c r="P175" s="114"/>
      <c r="Q175" s="114"/>
      <c r="R175" s="43"/>
      <c r="S175" s="43"/>
      <c r="T175" s="111"/>
      <c r="U175" s="153"/>
      <c r="V175" s="114"/>
      <c r="W175" s="114"/>
      <c r="X175" s="115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118"/>
      <c r="AJ175" s="43"/>
      <c r="AK175" s="120"/>
      <c r="AL175" s="43"/>
      <c r="AM175" s="43"/>
      <c r="AN175" s="43"/>
      <c r="AO175" s="43"/>
      <c r="AP175" s="43"/>
      <c r="AQ175" s="119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83"/>
      <c r="BI175" s="142"/>
      <c r="BJ175" s="101"/>
      <c r="BK175" s="43"/>
    </row>
    <row r="176" s="18" customFormat="1" spans="1:63">
      <c r="A176" s="73"/>
      <c r="B176" s="101"/>
      <c r="C176" s="101"/>
      <c r="D176" s="101"/>
      <c r="E176" s="159"/>
      <c r="F176" s="101"/>
      <c r="G176" s="101"/>
      <c r="H176" s="120"/>
      <c r="I176" s="43"/>
      <c r="J176" s="43"/>
      <c r="K176" s="113"/>
      <c r="L176" s="43"/>
      <c r="M176" s="43"/>
      <c r="N176" s="43"/>
      <c r="O176" s="43"/>
      <c r="P176" s="114"/>
      <c r="Q176" s="114"/>
      <c r="R176" s="43"/>
      <c r="S176" s="43"/>
      <c r="T176" s="111"/>
      <c r="U176" s="153"/>
      <c r="V176" s="114"/>
      <c r="W176" s="114"/>
      <c r="X176" s="115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118"/>
      <c r="AJ176" s="43"/>
      <c r="AK176" s="120"/>
      <c r="AL176" s="43"/>
      <c r="AM176" s="43"/>
      <c r="AN176" s="43"/>
      <c r="AO176" s="43"/>
      <c r="AP176" s="43"/>
      <c r="AQ176" s="119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83"/>
      <c r="BI176" s="142"/>
      <c r="BJ176" s="101"/>
      <c r="BK176" s="43"/>
    </row>
    <row r="177" s="18" customFormat="1" spans="1:63">
      <c r="A177" s="73"/>
      <c r="B177" s="101"/>
      <c r="C177" s="101"/>
      <c r="D177" s="101"/>
      <c r="E177" s="159"/>
      <c r="F177" s="101"/>
      <c r="G177" s="101"/>
      <c r="H177" s="120"/>
      <c r="I177" s="43"/>
      <c r="J177" s="43"/>
      <c r="K177" s="113"/>
      <c r="L177" s="43"/>
      <c r="M177" s="43"/>
      <c r="N177" s="43"/>
      <c r="O177" s="43"/>
      <c r="P177" s="114"/>
      <c r="Q177" s="114"/>
      <c r="R177" s="43"/>
      <c r="S177" s="43"/>
      <c r="T177" s="111"/>
      <c r="U177" s="153"/>
      <c r="V177" s="114"/>
      <c r="W177" s="114"/>
      <c r="X177" s="115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118"/>
      <c r="AJ177" s="43"/>
      <c r="AK177" s="120"/>
      <c r="AL177" s="43"/>
      <c r="AM177" s="43"/>
      <c r="AN177" s="43"/>
      <c r="AO177" s="43"/>
      <c r="AP177" s="43"/>
      <c r="AQ177" s="119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83"/>
      <c r="BI177" s="142"/>
      <c r="BJ177" s="101"/>
      <c r="BK177" s="43"/>
    </row>
    <row r="178" s="18" customFormat="1" spans="1:63">
      <c r="A178" s="73"/>
      <c r="B178" s="101"/>
      <c r="C178" s="101"/>
      <c r="D178" s="101"/>
      <c r="E178" s="159"/>
      <c r="F178" s="101"/>
      <c r="G178" s="101"/>
      <c r="H178" s="120"/>
      <c r="I178" s="43"/>
      <c r="J178" s="43"/>
      <c r="K178" s="113"/>
      <c r="L178" s="43"/>
      <c r="M178" s="43"/>
      <c r="N178" s="43"/>
      <c r="O178" s="43"/>
      <c r="P178" s="114"/>
      <c r="Q178" s="114"/>
      <c r="R178" s="43"/>
      <c r="S178" s="43"/>
      <c r="T178" s="111"/>
      <c r="U178" s="153"/>
      <c r="V178" s="114"/>
      <c r="W178" s="114"/>
      <c r="X178" s="115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118"/>
      <c r="AJ178" s="43"/>
      <c r="AK178" s="120"/>
      <c r="AL178" s="43"/>
      <c r="AM178" s="43"/>
      <c r="AN178" s="43"/>
      <c r="AO178" s="43"/>
      <c r="AP178" s="43"/>
      <c r="AQ178" s="119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83"/>
      <c r="BI178" s="142"/>
      <c r="BJ178" s="101"/>
      <c r="BK178" s="43"/>
    </row>
    <row r="179" s="18" customFormat="1" spans="1:63">
      <c r="A179" s="73"/>
      <c r="B179" s="101"/>
      <c r="C179" s="101"/>
      <c r="D179" s="101"/>
      <c r="E179" s="159"/>
      <c r="F179" s="101"/>
      <c r="G179" s="101"/>
      <c r="H179" s="120"/>
      <c r="I179" s="43"/>
      <c r="J179" s="43"/>
      <c r="K179" s="113"/>
      <c r="L179" s="43"/>
      <c r="M179" s="43"/>
      <c r="N179" s="43"/>
      <c r="O179" s="43"/>
      <c r="P179" s="114"/>
      <c r="Q179" s="114"/>
      <c r="R179" s="43"/>
      <c r="S179" s="43"/>
      <c r="T179" s="111"/>
      <c r="U179" s="153"/>
      <c r="V179" s="114"/>
      <c r="W179" s="114"/>
      <c r="X179" s="115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118"/>
      <c r="AJ179" s="43"/>
      <c r="AK179" s="120"/>
      <c r="AL179" s="43"/>
      <c r="AM179" s="43"/>
      <c r="AN179" s="43"/>
      <c r="AO179" s="43"/>
      <c r="AP179" s="43"/>
      <c r="AQ179" s="119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83"/>
      <c r="BI179" s="142"/>
      <c r="BJ179" s="101"/>
      <c r="BK179" s="43"/>
    </row>
    <row r="180" s="18" customFormat="1" spans="1:63">
      <c r="A180" s="73"/>
      <c r="B180" s="101"/>
      <c r="C180" s="101"/>
      <c r="D180" s="101"/>
      <c r="E180" s="159"/>
      <c r="F180" s="101"/>
      <c r="G180" s="101"/>
      <c r="H180" s="120"/>
      <c r="I180" s="43"/>
      <c r="J180" s="43"/>
      <c r="K180" s="113"/>
      <c r="L180" s="43"/>
      <c r="M180" s="43"/>
      <c r="N180" s="43"/>
      <c r="O180" s="43"/>
      <c r="P180" s="114"/>
      <c r="Q180" s="114"/>
      <c r="R180" s="43"/>
      <c r="S180" s="43"/>
      <c r="T180" s="111"/>
      <c r="U180" s="153"/>
      <c r="V180" s="114"/>
      <c r="W180" s="114"/>
      <c r="X180" s="115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118"/>
      <c r="AJ180" s="43"/>
      <c r="AK180" s="120"/>
      <c r="AL180" s="43"/>
      <c r="AM180" s="43"/>
      <c r="AN180" s="43"/>
      <c r="AO180" s="43"/>
      <c r="AP180" s="43"/>
      <c r="AQ180" s="119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83"/>
      <c r="BI180" s="142"/>
      <c r="BJ180" s="101"/>
      <c r="BK180" s="43"/>
    </row>
    <row r="181" s="18" customFormat="1" spans="1:63">
      <c r="A181" s="73"/>
      <c r="B181" s="101"/>
      <c r="C181" s="101"/>
      <c r="D181" s="101"/>
      <c r="E181" s="159"/>
      <c r="F181" s="101"/>
      <c r="G181" s="101"/>
      <c r="H181" s="120"/>
      <c r="I181" s="43"/>
      <c r="J181" s="43"/>
      <c r="K181" s="113"/>
      <c r="L181" s="43"/>
      <c r="M181" s="43"/>
      <c r="N181" s="43"/>
      <c r="O181" s="43"/>
      <c r="P181" s="114"/>
      <c r="Q181" s="114"/>
      <c r="R181" s="43"/>
      <c r="S181" s="43"/>
      <c r="T181" s="111"/>
      <c r="U181" s="153"/>
      <c r="V181" s="114"/>
      <c r="W181" s="114"/>
      <c r="X181" s="115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118"/>
      <c r="AJ181" s="43"/>
      <c r="AK181" s="120"/>
      <c r="AL181" s="43"/>
      <c r="AM181" s="43"/>
      <c r="AN181" s="43"/>
      <c r="AO181" s="43"/>
      <c r="AP181" s="43"/>
      <c r="AQ181" s="119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83"/>
      <c r="BI181" s="142"/>
      <c r="BJ181" s="101"/>
      <c r="BK181" s="43"/>
    </row>
    <row r="182" s="18" customFormat="1" spans="1:63">
      <c r="A182" s="73"/>
      <c r="B182" s="101"/>
      <c r="C182" s="101"/>
      <c r="D182" s="101"/>
      <c r="E182" s="159"/>
      <c r="F182" s="101"/>
      <c r="G182" s="101"/>
      <c r="H182" s="120"/>
      <c r="I182" s="43"/>
      <c r="J182" s="43"/>
      <c r="K182" s="113"/>
      <c r="L182" s="43"/>
      <c r="M182" s="43"/>
      <c r="N182" s="43"/>
      <c r="O182" s="43"/>
      <c r="P182" s="114"/>
      <c r="Q182" s="114"/>
      <c r="R182" s="43"/>
      <c r="S182" s="43"/>
      <c r="T182" s="111"/>
      <c r="U182" s="153"/>
      <c r="V182" s="114"/>
      <c r="W182" s="114"/>
      <c r="X182" s="115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118"/>
      <c r="AJ182" s="43"/>
      <c r="AK182" s="120"/>
      <c r="AL182" s="43"/>
      <c r="AM182" s="43"/>
      <c r="AN182" s="43"/>
      <c r="AO182" s="43"/>
      <c r="AP182" s="43"/>
      <c r="AQ182" s="119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83"/>
      <c r="BI182" s="142"/>
      <c r="BJ182" s="101"/>
      <c r="BK182" s="43"/>
    </row>
    <row r="183" s="18" customFormat="1" spans="1:63">
      <c r="A183" s="73"/>
      <c r="B183" s="101"/>
      <c r="C183" s="101"/>
      <c r="D183" s="101"/>
      <c r="E183" s="159"/>
      <c r="F183" s="101"/>
      <c r="G183" s="101"/>
      <c r="H183" s="120"/>
      <c r="I183" s="43"/>
      <c r="J183" s="43"/>
      <c r="K183" s="113"/>
      <c r="L183" s="43"/>
      <c r="M183" s="43"/>
      <c r="N183" s="43"/>
      <c r="O183" s="43"/>
      <c r="P183" s="114"/>
      <c r="Q183" s="114"/>
      <c r="R183" s="43"/>
      <c r="S183" s="43"/>
      <c r="T183" s="111"/>
      <c r="U183" s="153"/>
      <c r="V183" s="114"/>
      <c r="W183" s="114"/>
      <c r="X183" s="115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118"/>
      <c r="AJ183" s="43"/>
      <c r="AK183" s="120"/>
      <c r="AL183" s="43"/>
      <c r="AM183" s="43"/>
      <c r="AN183" s="43"/>
      <c r="AO183" s="43"/>
      <c r="AP183" s="43"/>
      <c r="AQ183" s="119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83"/>
      <c r="BI183" s="142"/>
      <c r="BJ183" s="101"/>
      <c r="BK183" s="43"/>
    </row>
    <row r="184" s="18" customFormat="1" spans="1:63">
      <c r="A184" s="73"/>
      <c r="B184" s="101"/>
      <c r="C184" s="101"/>
      <c r="D184" s="101"/>
      <c r="E184" s="159"/>
      <c r="F184" s="101"/>
      <c r="G184" s="101"/>
      <c r="H184" s="120"/>
      <c r="I184" s="43"/>
      <c r="J184" s="43"/>
      <c r="K184" s="113"/>
      <c r="L184" s="43"/>
      <c r="M184" s="43"/>
      <c r="N184" s="43"/>
      <c r="O184" s="43"/>
      <c r="P184" s="114"/>
      <c r="Q184" s="114"/>
      <c r="R184" s="43"/>
      <c r="S184" s="43"/>
      <c r="T184" s="111"/>
      <c r="U184" s="153"/>
      <c r="V184" s="114"/>
      <c r="W184" s="114"/>
      <c r="X184" s="115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118"/>
      <c r="AJ184" s="43"/>
      <c r="AK184" s="120"/>
      <c r="AL184" s="43"/>
      <c r="AM184" s="43"/>
      <c r="AN184" s="43"/>
      <c r="AO184" s="43"/>
      <c r="AP184" s="43"/>
      <c r="AQ184" s="119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83"/>
      <c r="BI184" s="142"/>
      <c r="BJ184" s="101"/>
      <c r="BK184" s="43"/>
    </row>
    <row r="185" s="18" customFormat="1" spans="1:63">
      <c r="A185" s="73"/>
      <c r="B185" s="101"/>
      <c r="C185" s="101"/>
      <c r="D185" s="101"/>
      <c r="E185" s="159"/>
      <c r="F185" s="101"/>
      <c r="G185" s="101"/>
      <c r="H185" s="120"/>
      <c r="I185" s="43"/>
      <c r="J185" s="43"/>
      <c r="K185" s="113"/>
      <c r="L185" s="43"/>
      <c r="M185" s="43"/>
      <c r="N185" s="43"/>
      <c r="O185" s="43"/>
      <c r="P185" s="114"/>
      <c r="Q185" s="114"/>
      <c r="R185" s="43"/>
      <c r="S185" s="43"/>
      <c r="T185" s="111"/>
      <c r="U185" s="153"/>
      <c r="V185" s="114"/>
      <c r="W185" s="114"/>
      <c r="X185" s="115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118"/>
      <c r="AJ185" s="43"/>
      <c r="AK185" s="120"/>
      <c r="AL185" s="43"/>
      <c r="AM185" s="43"/>
      <c r="AN185" s="43"/>
      <c r="AO185" s="43"/>
      <c r="AP185" s="43"/>
      <c r="AQ185" s="119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83"/>
      <c r="BI185" s="142"/>
      <c r="BJ185" s="101"/>
      <c r="BK185" s="43"/>
    </row>
    <row r="186" s="18" customFormat="1" spans="1:63">
      <c r="A186" s="73"/>
      <c r="B186" s="101"/>
      <c r="C186" s="101"/>
      <c r="D186" s="101"/>
      <c r="E186" s="159"/>
      <c r="F186" s="101"/>
      <c r="G186" s="101"/>
      <c r="H186" s="120"/>
      <c r="I186" s="43"/>
      <c r="J186" s="43"/>
      <c r="K186" s="113"/>
      <c r="L186" s="43"/>
      <c r="M186" s="43"/>
      <c r="N186" s="43"/>
      <c r="O186" s="43"/>
      <c r="P186" s="114"/>
      <c r="Q186" s="114"/>
      <c r="R186" s="43"/>
      <c r="S186" s="43"/>
      <c r="T186" s="111"/>
      <c r="U186" s="153"/>
      <c r="V186" s="114"/>
      <c r="W186" s="114"/>
      <c r="X186" s="115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118"/>
      <c r="AJ186" s="43"/>
      <c r="AK186" s="120"/>
      <c r="AL186" s="43"/>
      <c r="AM186" s="43"/>
      <c r="AN186" s="43"/>
      <c r="AO186" s="43"/>
      <c r="AP186" s="43"/>
      <c r="AQ186" s="119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83"/>
      <c r="BI186" s="142"/>
      <c r="BJ186" s="101"/>
      <c r="BK186" s="43"/>
    </row>
    <row r="187" s="18" customFormat="1" spans="1:63">
      <c r="A187" s="73"/>
      <c r="B187" s="101"/>
      <c r="C187" s="101"/>
      <c r="D187" s="101"/>
      <c r="E187" s="159"/>
      <c r="F187" s="101"/>
      <c r="G187" s="101"/>
      <c r="H187" s="120"/>
      <c r="I187" s="43"/>
      <c r="J187" s="43"/>
      <c r="K187" s="113"/>
      <c r="L187" s="43"/>
      <c r="M187" s="43"/>
      <c r="N187" s="43"/>
      <c r="O187" s="43"/>
      <c r="P187" s="114"/>
      <c r="Q187" s="114"/>
      <c r="R187" s="43"/>
      <c r="S187" s="43"/>
      <c r="T187" s="111"/>
      <c r="U187" s="153"/>
      <c r="V187" s="114"/>
      <c r="W187" s="114"/>
      <c r="X187" s="115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118"/>
      <c r="AJ187" s="43"/>
      <c r="AK187" s="120"/>
      <c r="AL187" s="120"/>
      <c r="AM187" s="120"/>
      <c r="AN187" s="120"/>
      <c r="AO187" s="120"/>
      <c r="AP187" s="120"/>
      <c r="AQ187" s="119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83"/>
      <c r="BI187" s="142"/>
      <c r="BJ187" s="101"/>
      <c r="BK187" s="43"/>
    </row>
    <row r="188" s="18" customFormat="1" spans="1:63">
      <c r="A188" s="73"/>
      <c r="B188" s="101"/>
      <c r="C188" s="101"/>
      <c r="D188" s="101"/>
      <c r="E188" s="159"/>
      <c r="F188" s="101"/>
      <c r="G188" s="101"/>
      <c r="H188" s="120"/>
      <c r="I188" s="43"/>
      <c r="J188" s="43"/>
      <c r="K188" s="113"/>
      <c r="L188" s="43"/>
      <c r="M188" s="43"/>
      <c r="N188" s="43"/>
      <c r="O188" s="43"/>
      <c r="P188" s="114"/>
      <c r="Q188" s="114"/>
      <c r="R188" s="43"/>
      <c r="S188" s="43"/>
      <c r="T188" s="111"/>
      <c r="U188" s="153"/>
      <c r="V188" s="114"/>
      <c r="W188" s="114"/>
      <c r="X188" s="115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118"/>
      <c r="AJ188" s="43"/>
      <c r="AK188" s="120"/>
      <c r="AL188" s="43"/>
      <c r="AM188" s="43"/>
      <c r="AN188" s="43"/>
      <c r="AO188" s="43"/>
      <c r="AP188" s="43"/>
      <c r="AQ188" s="119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83"/>
      <c r="BI188" s="142"/>
      <c r="BJ188" s="101"/>
      <c r="BK188" s="43"/>
    </row>
    <row r="189" s="18" customFormat="1" spans="1:63">
      <c r="A189" s="73"/>
      <c r="B189" s="101"/>
      <c r="C189" s="101"/>
      <c r="D189" s="101"/>
      <c r="E189" s="159"/>
      <c r="F189" s="101"/>
      <c r="G189" s="101"/>
      <c r="H189" s="120"/>
      <c r="I189" s="43"/>
      <c r="J189" s="43"/>
      <c r="K189" s="113"/>
      <c r="L189" s="43"/>
      <c r="M189" s="43"/>
      <c r="N189" s="43"/>
      <c r="O189" s="43"/>
      <c r="P189" s="114"/>
      <c r="Q189" s="114"/>
      <c r="R189" s="43"/>
      <c r="S189" s="43"/>
      <c r="T189" s="111"/>
      <c r="U189" s="153"/>
      <c r="V189" s="114"/>
      <c r="W189" s="114"/>
      <c r="X189" s="115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118"/>
      <c r="AJ189" s="43"/>
      <c r="AK189" s="120"/>
      <c r="AL189" s="43"/>
      <c r="AM189" s="43"/>
      <c r="AN189" s="43"/>
      <c r="AO189" s="43"/>
      <c r="AP189" s="43"/>
      <c r="AQ189" s="119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83"/>
      <c r="BI189" s="142"/>
      <c r="BJ189" s="101"/>
      <c r="BK189" s="43"/>
    </row>
    <row r="190" s="50" customFormat="1" spans="1:63">
      <c r="A190" s="73"/>
      <c r="B190" s="122"/>
      <c r="C190" s="122"/>
      <c r="D190" s="122"/>
      <c r="E190" s="160"/>
      <c r="F190" s="122"/>
      <c r="G190" s="122"/>
      <c r="H190" s="125"/>
      <c r="I190" s="126"/>
      <c r="J190" s="126"/>
      <c r="K190" s="127"/>
      <c r="L190" s="126"/>
      <c r="M190" s="126"/>
      <c r="N190" s="126"/>
      <c r="O190" s="126"/>
      <c r="P190" s="128"/>
      <c r="Q190" s="128"/>
      <c r="R190" s="126"/>
      <c r="S190" s="126"/>
      <c r="T190" s="129"/>
      <c r="U190" s="130"/>
      <c r="V190" s="128"/>
      <c r="W190" s="128"/>
      <c r="X190" s="131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32"/>
      <c r="AJ190" s="126"/>
      <c r="AK190" s="125"/>
      <c r="AL190" s="125"/>
      <c r="AM190" s="125"/>
      <c r="AN190" s="125"/>
      <c r="AO190" s="126"/>
      <c r="AP190" s="126"/>
      <c r="AQ190" s="133"/>
      <c r="AR190" s="126"/>
      <c r="AS190" s="126"/>
      <c r="AT190" s="126"/>
      <c r="AU190" s="126"/>
      <c r="AV190" s="126"/>
      <c r="AW190" s="126"/>
      <c r="AX190" s="126"/>
      <c r="AY190" s="126"/>
      <c r="AZ190" s="126"/>
      <c r="BA190" s="126"/>
      <c r="BB190" s="126"/>
      <c r="BC190" s="126"/>
      <c r="BD190" s="126"/>
      <c r="BE190" s="126"/>
      <c r="BF190" s="126"/>
      <c r="BG190" s="126"/>
      <c r="BH190" s="136"/>
      <c r="BI190" s="145"/>
      <c r="BJ190" s="122"/>
      <c r="BK190" s="126"/>
    </row>
    <row r="191" s="50" customFormat="1" spans="1:63">
      <c r="A191" s="73"/>
      <c r="B191" s="122"/>
      <c r="C191" s="122"/>
      <c r="D191" s="122"/>
      <c r="E191" s="160"/>
      <c r="F191" s="122"/>
      <c r="G191" s="122"/>
      <c r="H191" s="125"/>
      <c r="I191" s="126"/>
      <c r="J191" s="126"/>
      <c r="K191" s="127"/>
      <c r="L191" s="126"/>
      <c r="M191" s="126"/>
      <c r="N191" s="126"/>
      <c r="O191" s="126"/>
      <c r="P191" s="128"/>
      <c r="Q191" s="128"/>
      <c r="R191" s="126"/>
      <c r="S191" s="126"/>
      <c r="T191" s="129"/>
      <c r="U191" s="130"/>
      <c r="V191" s="128"/>
      <c r="W191" s="128"/>
      <c r="X191" s="131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32"/>
      <c r="AJ191" s="126"/>
      <c r="AK191" s="125"/>
      <c r="AL191" s="126"/>
      <c r="AM191" s="126"/>
      <c r="AN191" s="126"/>
      <c r="AO191" s="126"/>
      <c r="AP191" s="126"/>
      <c r="AQ191" s="133"/>
      <c r="AR191" s="126"/>
      <c r="AS191" s="126"/>
      <c r="AT191" s="126"/>
      <c r="AU191" s="126"/>
      <c r="AV191" s="126"/>
      <c r="AW191" s="126"/>
      <c r="AX191" s="126"/>
      <c r="AY191" s="126"/>
      <c r="AZ191" s="126"/>
      <c r="BA191" s="126"/>
      <c r="BB191" s="126"/>
      <c r="BC191" s="126"/>
      <c r="BD191" s="126"/>
      <c r="BE191" s="126"/>
      <c r="BF191" s="126"/>
      <c r="BG191" s="126"/>
      <c r="BH191" s="136"/>
      <c r="BI191" s="145"/>
      <c r="BJ191" s="122"/>
      <c r="BK191" s="126"/>
    </row>
    <row r="192" s="50" customFormat="1" spans="1:63">
      <c r="A192" s="73"/>
      <c r="B192" s="122"/>
      <c r="C192" s="122"/>
      <c r="D192" s="122"/>
      <c r="E192" s="160"/>
      <c r="F192" s="122"/>
      <c r="G192" s="122"/>
      <c r="H192" s="125"/>
      <c r="I192" s="126"/>
      <c r="J192" s="126"/>
      <c r="K192" s="127"/>
      <c r="L192" s="126"/>
      <c r="M192" s="126"/>
      <c r="N192" s="126"/>
      <c r="O192" s="126"/>
      <c r="P192" s="128"/>
      <c r="Q192" s="128"/>
      <c r="R192" s="126"/>
      <c r="S192" s="126"/>
      <c r="T192" s="129"/>
      <c r="U192" s="130"/>
      <c r="V192" s="128"/>
      <c r="W192" s="128"/>
      <c r="X192" s="131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32"/>
      <c r="AJ192" s="126"/>
      <c r="AK192" s="125"/>
      <c r="AL192" s="126"/>
      <c r="AM192" s="126"/>
      <c r="AN192" s="126"/>
      <c r="AO192" s="126"/>
      <c r="AP192" s="126"/>
      <c r="AQ192" s="133"/>
      <c r="AR192" s="126"/>
      <c r="AS192" s="126"/>
      <c r="AT192" s="126"/>
      <c r="AU192" s="126"/>
      <c r="AV192" s="126"/>
      <c r="AW192" s="126"/>
      <c r="AX192" s="126"/>
      <c r="AY192" s="126"/>
      <c r="AZ192" s="126"/>
      <c r="BA192" s="126"/>
      <c r="BB192" s="126"/>
      <c r="BC192" s="126"/>
      <c r="BD192" s="126"/>
      <c r="BE192" s="126"/>
      <c r="BF192" s="126"/>
      <c r="BG192" s="126"/>
      <c r="BH192" s="136"/>
      <c r="BI192" s="145"/>
      <c r="BJ192" s="122"/>
      <c r="BK192" s="126"/>
    </row>
    <row r="193" s="18" customFormat="1" spans="1:63">
      <c r="A193" s="73"/>
      <c r="B193" s="101"/>
      <c r="C193" s="101"/>
      <c r="D193" s="101"/>
      <c r="E193" s="159"/>
      <c r="F193" s="101"/>
      <c r="G193" s="101"/>
      <c r="H193" s="120"/>
      <c r="I193" s="43"/>
      <c r="J193" s="43"/>
      <c r="K193" s="113"/>
      <c r="L193" s="43"/>
      <c r="M193" s="43"/>
      <c r="N193" s="43"/>
      <c r="O193" s="43"/>
      <c r="P193" s="114"/>
      <c r="Q193" s="114"/>
      <c r="R193" s="43"/>
      <c r="S193" s="43"/>
      <c r="T193" s="111"/>
      <c r="U193" s="153"/>
      <c r="V193" s="114"/>
      <c r="W193" s="114"/>
      <c r="X193" s="115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118"/>
      <c r="AJ193" s="43"/>
      <c r="AK193" s="120"/>
      <c r="AL193" s="43"/>
      <c r="AM193" s="43"/>
      <c r="AN193" s="43"/>
      <c r="AO193" s="43"/>
      <c r="AP193" s="43"/>
      <c r="AQ193" s="119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83"/>
      <c r="BI193" s="142"/>
      <c r="BJ193" s="101"/>
      <c r="BK193" s="43"/>
    </row>
    <row r="194" s="18" customFormat="1" spans="1:63">
      <c r="A194" s="73"/>
      <c r="B194" s="101"/>
      <c r="C194" s="101"/>
      <c r="D194" s="101"/>
      <c r="E194" s="159"/>
      <c r="F194" s="101"/>
      <c r="G194" s="101"/>
      <c r="H194" s="120"/>
      <c r="I194" s="43"/>
      <c r="J194" s="43"/>
      <c r="K194" s="113"/>
      <c r="L194" s="43"/>
      <c r="M194" s="43"/>
      <c r="N194" s="43"/>
      <c r="O194" s="43"/>
      <c r="P194" s="114"/>
      <c r="Q194" s="114"/>
      <c r="R194" s="43"/>
      <c r="S194" s="43"/>
      <c r="T194" s="111"/>
      <c r="U194" s="153"/>
      <c r="V194" s="114"/>
      <c r="W194" s="114"/>
      <c r="X194" s="115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118"/>
      <c r="AJ194" s="43"/>
      <c r="AK194" s="120"/>
      <c r="AL194" s="43"/>
      <c r="AM194" s="43"/>
      <c r="AN194" s="43"/>
      <c r="AO194" s="43"/>
      <c r="AP194" s="43"/>
      <c r="AQ194" s="119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83"/>
      <c r="BI194" s="142"/>
      <c r="BJ194" s="101"/>
      <c r="BK194" s="43"/>
    </row>
    <row r="195" s="18" customFormat="1" spans="1:63">
      <c r="A195" s="73"/>
      <c r="B195" s="101"/>
      <c r="C195" s="101"/>
      <c r="D195" s="101"/>
      <c r="E195" s="159"/>
      <c r="F195" s="101"/>
      <c r="G195" s="101"/>
      <c r="H195" s="120"/>
      <c r="I195" s="43"/>
      <c r="J195" s="43"/>
      <c r="K195" s="113"/>
      <c r="L195" s="43"/>
      <c r="M195" s="43"/>
      <c r="N195" s="43"/>
      <c r="O195" s="43"/>
      <c r="P195" s="114"/>
      <c r="Q195" s="114"/>
      <c r="R195" s="43"/>
      <c r="S195" s="43"/>
      <c r="T195" s="111"/>
      <c r="U195" s="153"/>
      <c r="V195" s="114"/>
      <c r="W195" s="114"/>
      <c r="X195" s="115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118"/>
      <c r="AJ195" s="43"/>
      <c r="AK195" s="120"/>
      <c r="AL195" s="43"/>
      <c r="AM195" s="43"/>
      <c r="AN195" s="43"/>
      <c r="AO195" s="43"/>
      <c r="AP195" s="43"/>
      <c r="AQ195" s="119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83"/>
      <c r="BI195" s="142"/>
      <c r="BJ195" s="101"/>
      <c r="BK195" s="43"/>
    </row>
    <row r="196" s="18" customFormat="1" spans="1:63">
      <c r="A196" s="73"/>
      <c r="B196" s="101"/>
      <c r="C196" s="101"/>
      <c r="D196" s="101"/>
      <c r="E196" s="159"/>
      <c r="F196" s="101"/>
      <c r="G196" s="101"/>
      <c r="H196" s="120"/>
      <c r="I196" s="43"/>
      <c r="J196" s="43"/>
      <c r="K196" s="113"/>
      <c r="L196" s="43"/>
      <c r="M196" s="43"/>
      <c r="N196" s="43"/>
      <c r="O196" s="43"/>
      <c r="P196" s="114"/>
      <c r="Q196" s="114"/>
      <c r="R196" s="43"/>
      <c r="S196" s="43"/>
      <c r="T196" s="111"/>
      <c r="U196" s="153"/>
      <c r="V196" s="114"/>
      <c r="W196" s="114"/>
      <c r="X196" s="115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118"/>
      <c r="AJ196" s="43"/>
      <c r="AK196" s="120"/>
      <c r="AL196" s="43"/>
      <c r="AM196" s="43"/>
      <c r="AN196" s="43"/>
      <c r="AO196" s="43"/>
      <c r="AP196" s="43"/>
      <c r="AQ196" s="119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83"/>
      <c r="BI196" s="142"/>
      <c r="BJ196" s="101"/>
      <c r="BK196" s="43"/>
    </row>
    <row r="197" s="50" customFormat="1" spans="1:63">
      <c r="A197" s="73"/>
      <c r="B197" s="122"/>
      <c r="C197" s="122"/>
      <c r="D197" s="122"/>
      <c r="E197" s="160"/>
      <c r="F197" s="122"/>
      <c r="G197" s="122"/>
      <c r="H197" s="125"/>
      <c r="I197" s="126"/>
      <c r="J197" s="126"/>
      <c r="K197" s="127"/>
      <c r="L197" s="126"/>
      <c r="M197" s="126"/>
      <c r="N197" s="126"/>
      <c r="O197" s="126"/>
      <c r="P197" s="128"/>
      <c r="Q197" s="128"/>
      <c r="R197" s="126"/>
      <c r="S197" s="126"/>
      <c r="T197" s="129"/>
      <c r="U197" s="130"/>
      <c r="V197" s="128"/>
      <c r="W197" s="128"/>
      <c r="X197" s="131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32"/>
      <c r="AJ197" s="126"/>
      <c r="AK197" s="125"/>
      <c r="AL197" s="126"/>
      <c r="AM197" s="126"/>
      <c r="AN197" s="126"/>
      <c r="AO197" s="126"/>
      <c r="AP197" s="126"/>
      <c r="AQ197" s="133"/>
      <c r="AR197" s="126"/>
      <c r="AS197" s="126"/>
      <c r="AT197" s="126"/>
      <c r="AU197" s="126"/>
      <c r="AV197" s="126"/>
      <c r="AW197" s="126"/>
      <c r="AX197" s="126"/>
      <c r="AY197" s="126"/>
      <c r="AZ197" s="126"/>
      <c r="BA197" s="126"/>
      <c r="BB197" s="126"/>
      <c r="BC197" s="126"/>
      <c r="BD197" s="126"/>
      <c r="BE197" s="126"/>
      <c r="BF197" s="126"/>
      <c r="BG197" s="126"/>
      <c r="BH197" s="136"/>
      <c r="BI197" s="145"/>
      <c r="BJ197" s="122"/>
      <c r="BK197" s="126"/>
    </row>
    <row r="198" s="18" customFormat="1" spans="1:63">
      <c r="A198" s="73"/>
      <c r="B198" s="101"/>
      <c r="C198" s="101"/>
      <c r="D198" s="101"/>
      <c r="E198" s="159"/>
      <c r="F198" s="101"/>
      <c r="G198" s="101"/>
      <c r="H198" s="120"/>
      <c r="I198" s="43"/>
      <c r="J198" s="43"/>
      <c r="K198" s="113"/>
      <c r="L198" s="43"/>
      <c r="M198" s="43"/>
      <c r="N198" s="43"/>
      <c r="O198" s="43"/>
      <c r="P198" s="114"/>
      <c r="Q198" s="114"/>
      <c r="R198" s="43"/>
      <c r="S198" s="43"/>
      <c r="T198" s="111"/>
      <c r="U198" s="153"/>
      <c r="V198" s="114"/>
      <c r="W198" s="114"/>
      <c r="X198" s="115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118"/>
      <c r="AJ198" s="43"/>
      <c r="AK198" s="120"/>
      <c r="AL198" s="43"/>
      <c r="AM198" s="43"/>
      <c r="AN198" s="43"/>
      <c r="AO198" s="43"/>
      <c r="AP198" s="43"/>
      <c r="AQ198" s="119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83"/>
      <c r="BI198" s="142"/>
      <c r="BJ198" s="101"/>
      <c r="BK198" s="43"/>
    </row>
    <row r="199" s="18" customFormat="1" spans="1:63">
      <c r="A199" s="73"/>
      <c r="B199" s="101"/>
      <c r="C199" s="101"/>
      <c r="D199" s="101"/>
      <c r="E199" s="159"/>
      <c r="F199" s="101"/>
      <c r="G199" s="101"/>
      <c r="H199" s="120"/>
      <c r="I199" s="43"/>
      <c r="J199" s="43"/>
      <c r="K199" s="113"/>
      <c r="L199" s="43"/>
      <c r="M199" s="43"/>
      <c r="N199" s="43"/>
      <c r="O199" s="43"/>
      <c r="P199" s="114"/>
      <c r="Q199" s="114"/>
      <c r="R199" s="43"/>
      <c r="S199" s="43"/>
      <c r="T199" s="111"/>
      <c r="U199" s="153"/>
      <c r="V199" s="114"/>
      <c r="W199" s="114"/>
      <c r="X199" s="115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118"/>
      <c r="AJ199" s="43"/>
      <c r="AK199" s="120"/>
      <c r="AL199" s="43"/>
      <c r="AM199" s="43"/>
      <c r="AN199" s="43"/>
      <c r="AO199" s="43"/>
      <c r="AP199" s="43"/>
      <c r="AQ199" s="119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83"/>
      <c r="BI199" s="142"/>
      <c r="BJ199" s="101"/>
      <c r="BK199" s="43"/>
    </row>
    <row r="200" s="18" customFormat="1" spans="1:63">
      <c r="A200" s="73"/>
      <c r="B200" s="101"/>
      <c r="C200" s="101"/>
      <c r="D200" s="101"/>
      <c r="E200" s="159"/>
      <c r="F200" s="101"/>
      <c r="G200" s="101"/>
      <c r="H200" s="120"/>
      <c r="I200" s="43"/>
      <c r="J200" s="43"/>
      <c r="K200" s="113"/>
      <c r="L200" s="43"/>
      <c r="M200" s="43"/>
      <c r="N200" s="43"/>
      <c r="O200" s="43"/>
      <c r="P200" s="114"/>
      <c r="Q200" s="114"/>
      <c r="R200" s="43"/>
      <c r="S200" s="43"/>
      <c r="T200" s="111"/>
      <c r="U200" s="153"/>
      <c r="V200" s="114"/>
      <c r="W200" s="114"/>
      <c r="X200" s="115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118"/>
      <c r="AJ200" s="43"/>
      <c r="AK200" s="120"/>
      <c r="AL200" s="43"/>
      <c r="AM200" s="43"/>
      <c r="AN200" s="43"/>
      <c r="AO200" s="43"/>
      <c r="AP200" s="43"/>
      <c r="AQ200" s="119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83"/>
      <c r="BI200" s="142"/>
      <c r="BJ200" s="101"/>
      <c r="BK200" s="43"/>
    </row>
    <row r="201" s="18" customFormat="1" spans="1:63">
      <c r="A201" s="73"/>
      <c r="B201" s="101"/>
      <c r="C201" s="101"/>
      <c r="D201" s="101"/>
      <c r="E201" s="159"/>
      <c r="F201" s="101"/>
      <c r="G201" s="101"/>
      <c r="H201" s="120"/>
      <c r="I201" s="43"/>
      <c r="J201" s="43"/>
      <c r="K201" s="113"/>
      <c r="L201" s="43"/>
      <c r="M201" s="43"/>
      <c r="N201" s="43"/>
      <c r="O201" s="43"/>
      <c r="P201" s="114"/>
      <c r="Q201" s="114"/>
      <c r="R201" s="43"/>
      <c r="S201" s="43"/>
      <c r="T201" s="111"/>
      <c r="U201" s="153"/>
      <c r="V201" s="114"/>
      <c r="W201" s="114"/>
      <c r="X201" s="115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118"/>
      <c r="AJ201" s="43"/>
      <c r="AK201" s="120"/>
      <c r="AL201" s="43"/>
      <c r="AM201" s="43"/>
      <c r="AN201" s="43"/>
      <c r="AO201" s="43"/>
      <c r="AP201" s="43"/>
      <c r="AQ201" s="119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83"/>
      <c r="BI201" s="142"/>
      <c r="BJ201" s="101"/>
      <c r="BK201" s="43"/>
    </row>
    <row r="202" s="18" customFormat="1" spans="1:63">
      <c r="A202" s="73"/>
      <c r="B202" s="101"/>
      <c r="C202" s="101"/>
      <c r="D202" s="101"/>
      <c r="E202" s="159"/>
      <c r="F202" s="101"/>
      <c r="G202" s="101"/>
      <c r="H202" s="120"/>
      <c r="I202" s="43"/>
      <c r="J202" s="43"/>
      <c r="K202" s="113"/>
      <c r="L202" s="43"/>
      <c r="M202" s="43"/>
      <c r="N202" s="43"/>
      <c r="O202" s="43"/>
      <c r="P202" s="114"/>
      <c r="Q202" s="114"/>
      <c r="R202" s="43"/>
      <c r="S202" s="43"/>
      <c r="T202" s="111"/>
      <c r="U202" s="153"/>
      <c r="V202" s="114"/>
      <c r="W202" s="114"/>
      <c r="X202" s="115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118"/>
      <c r="AJ202" s="43"/>
      <c r="AK202" s="120"/>
      <c r="AL202" s="43"/>
      <c r="AM202" s="43"/>
      <c r="AN202" s="43"/>
      <c r="AO202" s="43"/>
      <c r="AP202" s="43"/>
      <c r="AQ202" s="119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83"/>
      <c r="BI202" s="142"/>
      <c r="BJ202" s="101"/>
      <c r="BK202" s="43"/>
    </row>
    <row r="203" s="18" customFormat="1" spans="1:63">
      <c r="A203" s="73"/>
      <c r="B203" s="101"/>
      <c r="C203" s="101"/>
      <c r="D203" s="101"/>
      <c r="E203" s="159"/>
      <c r="F203" s="101"/>
      <c r="G203" s="101"/>
      <c r="H203" s="120"/>
      <c r="I203" s="43"/>
      <c r="J203" s="43"/>
      <c r="K203" s="113"/>
      <c r="L203" s="43"/>
      <c r="M203" s="43"/>
      <c r="N203" s="43"/>
      <c r="O203" s="43"/>
      <c r="P203" s="114"/>
      <c r="Q203" s="114"/>
      <c r="R203" s="43"/>
      <c r="S203" s="43"/>
      <c r="T203" s="111"/>
      <c r="U203" s="153"/>
      <c r="V203" s="114"/>
      <c r="W203" s="114"/>
      <c r="X203" s="115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118"/>
      <c r="AJ203" s="43"/>
      <c r="AK203" s="120"/>
      <c r="AL203" s="43"/>
      <c r="AM203" s="43"/>
      <c r="AN203" s="43"/>
      <c r="AO203" s="43"/>
      <c r="AP203" s="43"/>
      <c r="AQ203" s="119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83"/>
      <c r="BI203" s="142"/>
      <c r="BJ203" s="101"/>
      <c r="BK203" s="43"/>
    </row>
    <row r="204" s="18" customFormat="1" spans="1:63">
      <c r="A204" s="73"/>
      <c r="B204" s="101"/>
      <c r="C204" s="101"/>
      <c r="D204" s="101"/>
      <c r="E204" s="159"/>
      <c r="F204" s="101"/>
      <c r="G204" s="101"/>
      <c r="H204" s="120"/>
      <c r="I204" s="43"/>
      <c r="J204" s="43"/>
      <c r="K204" s="113"/>
      <c r="L204" s="43"/>
      <c r="M204" s="43"/>
      <c r="N204" s="43"/>
      <c r="O204" s="43"/>
      <c r="P204" s="114"/>
      <c r="Q204" s="114"/>
      <c r="R204" s="43"/>
      <c r="S204" s="43"/>
      <c r="T204" s="111"/>
      <c r="U204" s="153"/>
      <c r="V204" s="114"/>
      <c r="W204" s="114"/>
      <c r="X204" s="115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118"/>
      <c r="AJ204" s="43"/>
      <c r="AK204" s="120"/>
      <c r="AL204" s="43"/>
      <c r="AM204" s="43"/>
      <c r="AN204" s="43"/>
      <c r="AO204" s="43"/>
      <c r="AP204" s="43"/>
      <c r="AQ204" s="119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83"/>
      <c r="BI204" s="142"/>
      <c r="BJ204" s="101"/>
      <c r="BK204" s="43"/>
    </row>
    <row r="205" s="18" customFormat="1" spans="1:63">
      <c r="A205" s="73"/>
      <c r="B205" s="101"/>
      <c r="C205" s="101"/>
      <c r="D205" s="101"/>
      <c r="E205" s="159"/>
      <c r="F205" s="101"/>
      <c r="G205" s="101"/>
      <c r="H205" s="120"/>
      <c r="I205" s="43"/>
      <c r="J205" s="43"/>
      <c r="K205" s="113"/>
      <c r="L205" s="43"/>
      <c r="M205" s="43"/>
      <c r="N205" s="43"/>
      <c r="O205" s="43"/>
      <c r="P205" s="114"/>
      <c r="Q205" s="114"/>
      <c r="R205" s="43"/>
      <c r="S205" s="43"/>
      <c r="T205" s="111"/>
      <c r="U205" s="153"/>
      <c r="V205" s="114"/>
      <c r="W205" s="114"/>
      <c r="X205" s="115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118"/>
      <c r="AJ205" s="43"/>
      <c r="AK205" s="120"/>
      <c r="AL205" s="43"/>
      <c r="AM205" s="43"/>
      <c r="AN205" s="43"/>
      <c r="AO205" s="43"/>
      <c r="AP205" s="43"/>
      <c r="AQ205" s="119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83"/>
      <c r="BI205" s="142"/>
      <c r="BJ205" s="101"/>
      <c r="BK205" s="43"/>
    </row>
    <row r="206" s="18" customFormat="1" spans="1:63">
      <c r="A206" s="73"/>
      <c r="B206" s="101"/>
      <c r="C206" s="101"/>
      <c r="D206" s="101"/>
      <c r="E206" s="159"/>
      <c r="F206" s="101"/>
      <c r="G206" s="101"/>
      <c r="H206" s="120"/>
      <c r="I206" s="43"/>
      <c r="J206" s="43"/>
      <c r="K206" s="113"/>
      <c r="L206" s="43"/>
      <c r="M206" s="43"/>
      <c r="N206" s="43"/>
      <c r="O206" s="43"/>
      <c r="P206" s="114"/>
      <c r="Q206" s="114"/>
      <c r="R206" s="43"/>
      <c r="S206" s="43"/>
      <c r="T206" s="111"/>
      <c r="U206" s="153"/>
      <c r="V206" s="114"/>
      <c r="W206" s="114"/>
      <c r="X206" s="115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118"/>
      <c r="AJ206" s="43"/>
      <c r="AK206" s="120"/>
      <c r="AL206" s="43"/>
      <c r="AM206" s="43"/>
      <c r="AN206" s="43"/>
      <c r="AO206" s="43"/>
      <c r="AP206" s="43"/>
      <c r="AQ206" s="119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83"/>
      <c r="BI206" s="142"/>
      <c r="BJ206" s="101"/>
      <c r="BK206" s="43"/>
    </row>
    <row r="207" s="18" customFormat="1" spans="1:63">
      <c r="A207" s="73"/>
      <c r="B207" s="101"/>
      <c r="C207" s="101"/>
      <c r="D207" s="101"/>
      <c r="E207" s="159"/>
      <c r="F207" s="101"/>
      <c r="G207" s="101"/>
      <c r="H207" s="120"/>
      <c r="I207" s="43"/>
      <c r="J207" s="43"/>
      <c r="K207" s="113"/>
      <c r="L207" s="43"/>
      <c r="M207" s="43"/>
      <c r="N207" s="43"/>
      <c r="O207" s="43"/>
      <c r="P207" s="114"/>
      <c r="Q207" s="114"/>
      <c r="R207" s="43"/>
      <c r="S207" s="43"/>
      <c r="T207" s="111"/>
      <c r="U207" s="153"/>
      <c r="V207" s="114"/>
      <c r="W207" s="114"/>
      <c r="X207" s="115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118"/>
      <c r="AJ207" s="43"/>
      <c r="AK207" s="120"/>
      <c r="AL207" s="43"/>
      <c r="AM207" s="43"/>
      <c r="AN207" s="43"/>
      <c r="AO207" s="43"/>
      <c r="AP207" s="43"/>
      <c r="AQ207" s="119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83"/>
      <c r="BI207" s="142"/>
      <c r="BJ207" s="101"/>
      <c r="BK207" s="43"/>
    </row>
    <row r="208" s="18" customFormat="1" spans="1:63">
      <c r="A208" s="73"/>
      <c r="B208" s="101"/>
      <c r="C208" s="101"/>
      <c r="D208" s="101"/>
      <c r="E208" s="159"/>
      <c r="F208" s="101"/>
      <c r="G208" s="101"/>
      <c r="H208" s="120"/>
      <c r="I208" s="43"/>
      <c r="J208" s="43"/>
      <c r="K208" s="113"/>
      <c r="L208" s="43"/>
      <c r="M208" s="43"/>
      <c r="N208" s="43"/>
      <c r="O208" s="43"/>
      <c r="P208" s="114"/>
      <c r="Q208" s="114"/>
      <c r="R208" s="43"/>
      <c r="S208" s="43"/>
      <c r="T208" s="111"/>
      <c r="U208" s="153"/>
      <c r="V208" s="114"/>
      <c r="W208" s="114"/>
      <c r="X208" s="115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118"/>
      <c r="AJ208" s="43"/>
      <c r="AK208" s="120"/>
      <c r="AL208" s="43"/>
      <c r="AM208" s="43"/>
      <c r="AN208" s="43"/>
      <c r="AO208" s="43"/>
      <c r="AP208" s="43"/>
      <c r="AQ208" s="119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83"/>
      <c r="BI208" s="142"/>
      <c r="BJ208" s="101"/>
      <c r="BK208" s="43"/>
    </row>
    <row r="209" s="18" customFormat="1" spans="1:63">
      <c r="A209" s="73"/>
      <c r="B209" s="101"/>
      <c r="C209" s="101"/>
      <c r="D209" s="101"/>
      <c r="E209" s="159"/>
      <c r="F209" s="101"/>
      <c r="G209" s="101"/>
      <c r="H209" s="120"/>
      <c r="I209" s="43"/>
      <c r="J209" s="43"/>
      <c r="K209" s="113"/>
      <c r="L209" s="43"/>
      <c r="M209" s="43"/>
      <c r="N209" s="43"/>
      <c r="O209" s="43"/>
      <c r="P209" s="114"/>
      <c r="Q209" s="114"/>
      <c r="R209" s="43"/>
      <c r="S209" s="43"/>
      <c r="T209" s="111"/>
      <c r="U209" s="153"/>
      <c r="V209" s="114"/>
      <c r="W209" s="114"/>
      <c r="X209" s="115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118"/>
      <c r="AJ209" s="43"/>
      <c r="AK209" s="120"/>
      <c r="AL209" s="43"/>
      <c r="AM209" s="43"/>
      <c r="AN209" s="43"/>
      <c r="AO209" s="43"/>
      <c r="AP209" s="43"/>
      <c r="AQ209" s="119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83"/>
      <c r="BI209" s="142"/>
      <c r="BJ209" s="101"/>
      <c r="BK209" s="43"/>
    </row>
    <row r="210" s="18" customFormat="1" spans="1:63">
      <c r="A210" s="73"/>
      <c r="B210" s="101"/>
      <c r="C210" s="101"/>
      <c r="D210" s="101"/>
      <c r="E210" s="159"/>
      <c r="F210" s="101"/>
      <c r="G210" s="101"/>
      <c r="H210" s="120"/>
      <c r="I210" s="43"/>
      <c r="J210" s="43"/>
      <c r="K210" s="113"/>
      <c r="L210" s="43"/>
      <c r="M210" s="43"/>
      <c r="N210" s="43"/>
      <c r="O210" s="43"/>
      <c r="P210" s="114"/>
      <c r="Q210" s="114"/>
      <c r="R210" s="43"/>
      <c r="S210" s="43"/>
      <c r="T210" s="111"/>
      <c r="U210" s="153"/>
      <c r="V210" s="114"/>
      <c r="W210" s="114"/>
      <c r="X210" s="115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118"/>
      <c r="AJ210" s="43"/>
      <c r="AK210" s="120"/>
      <c r="AL210" s="43"/>
      <c r="AM210" s="43"/>
      <c r="AN210" s="43"/>
      <c r="AO210" s="43"/>
      <c r="AP210" s="43"/>
      <c r="AQ210" s="119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83"/>
      <c r="BI210" s="142"/>
      <c r="BJ210" s="101"/>
      <c r="BK210" s="43"/>
    </row>
    <row r="211" s="50" customFormat="1" spans="1:63">
      <c r="A211" s="73"/>
      <c r="B211" s="122"/>
      <c r="C211" s="122"/>
      <c r="D211" s="122"/>
      <c r="E211" s="160"/>
      <c r="F211" s="122"/>
      <c r="G211" s="122"/>
      <c r="H211" s="125"/>
      <c r="I211" s="126"/>
      <c r="J211" s="126"/>
      <c r="K211" s="127"/>
      <c r="L211" s="126"/>
      <c r="M211" s="126"/>
      <c r="N211" s="126"/>
      <c r="O211" s="126"/>
      <c r="P211" s="128"/>
      <c r="Q211" s="128"/>
      <c r="R211" s="126"/>
      <c r="S211" s="126"/>
      <c r="T211" s="129"/>
      <c r="U211" s="130"/>
      <c r="V211" s="128"/>
      <c r="W211" s="128"/>
      <c r="X211" s="131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32"/>
      <c r="AJ211" s="126"/>
      <c r="AK211" s="125"/>
      <c r="AL211" s="126"/>
      <c r="AM211" s="126"/>
      <c r="AN211" s="126"/>
      <c r="AO211" s="126"/>
      <c r="AP211" s="126"/>
      <c r="AQ211" s="133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  <c r="BC211" s="126"/>
      <c r="BD211" s="126"/>
      <c r="BE211" s="126"/>
      <c r="BF211" s="126"/>
      <c r="BG211" s="126"/>
      <c r="BH211" s="136"/>
      <c r="BI211" s="145"/>
      <c r="BJ211" s="122"/>
      <c r="BK211" s="126"/>
    </row>
    <row r="212" s="18" customFormat="1" spans="1:63">
      <c r="A212" s="73"/>
      <c r="B212" s="101"/>
      <c r="C212" s="101"/>
      <c r="D212" s="101"/>
      <c r="E212" s="159"/>
      <c r="F212" s="101"/>
      <c r="G212" s="101"/>
      <c r="H212" s="120"/>
      <c r="I212" s="43"/>
      <c r="J212" s="43"/>
      <c r="K212" s="113"/>
      <c r="L212" s="43"/>
      <c r="M212" s="43"/>
      <c r="N212" s="43"/>
      <c r="O212" s="43"/>
      <c r="P212" s="114"/>
      <c r="Q212" s="114"/>
      <c r="R212" s="43"/>
      <c r="S212" s="43"/>
      <c r="T212" s="111"/>
      <c r="U212" s="116"/>
      <c r="V212" s="114"/>
      <c r="W212" s="114"/>
      <c r="X212" s="115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118"/>
      <c r="AJ212" s="43"/>
      <c r="AK212" s="120"/>
      <c r="AL212" s="43"/>
      <c r="AM212" s="43"/>
      <c r="AN212" s="43"/>
      <c r="AO212" s="43"/>
      <c r="AP212" s="43"/>
      <c r="AQ212" s="119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83"/>
      <c r="BI212" s="142"/>
      <c r="BJ212" s="101"/>
      <c r="BK212" s="43"/>
    </row>
    <row r="213" s="18" customFormat="1" spans="1:63">
      <c r="A213" s="73"/>
      <c r="B213" s="101"/>
      <c r="C213" s="101"/>
      <c r="D213" s="101"/>
      <c r="E213" s="159"/>
      <c r="F213" s="101"/>
      <c r="G213" s="101"/>
      <c r="H213" s="120"/>
      <c r="I213" s="43"/>
      <c r="J213" s="43"/>
      <c r="K213" s="113"/>
      <c r="L213" s="43"/>
      <c r="M213" s="43"/>
      <c r="N213" s="43"/>
      <c r="O213" s="43"/>
      <c r="P213" s="114"/>
      <c r="Q213" s="114"/>
      <c r="R213" s="43"/>
      <c r="S213" s="43"/>
      <c r="T213" s="111"/>
      <c r="U213" s="116"/>
      <c r="V213" s="114"/>
      <c r="W213" s="114"/>
      <c r="X213" s="115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118"/>
      <c r="AJ213" s="43"/>
      <c r="AK213" s="120"/>
      <c r="AL213" s="43"/>
      <c r="AM213" s="43"/>
      <c r="AN213" s="43"/>
      <c r="AO213" s="43"/>
      <c r="AP213" s="43"/>
      <c r="AQ213" s="119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83"/>
      <c r="BI213" s="142"/>
      <c r="BJ213" s="101"/>
      <c r="BK213" s="43"/>
    </row>
    <row r="214" s="18" customFormat="1" spans="1:63">
      <c r="A214" s="73"/>
      <c r="B214" s="101"/>
      <c r="C214" s="101"/>
      <c r="D214" s="101"/>
      <c r="E214" s="159"/>
      <c r="F214" s="101"/>
      <c r="G214" s="101"/>
      <c r="H214" s="120"/>
      <c r="I214" s="43"/>
      <c r="J214" s="43"/>
      <c r="K214" s="113"/>
      <c r="L214" s="43"/>
      <c r="M214" s="43"/>
      <c r="N214" s="43"/>
      <c r="O214" s="43"/>
      <c r="P214" s="114"/>
      <c r="Q214" s="114"/>
      <c r="R214" s="43"/>
      <c r="S214" s="43"/>
      <c r="T214" s="111"/>
      <c r="U214" s="116"/>
      <c r="V214" s="114"/>
      <c r="W214" s="114"/>
      <c r="X214" s="115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118"/>
      <c r="AJ214" s="43"/>
      <c r="AK214" s="120"/>
      <c r="AL214" s="43"/>
      <c r="AM214" s="43"/>
      <c r="AN214" s="43"/>
      <c r="AO214" s="43"/>
      <c r="AP214" s="43"/>
      <c r="AQ214" s="119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83"/>
      <c r="BI214" s="142"/>
      <c r="BJ214" s="101"/>
      <c r="BK214" s="43"/>
    </row>
    <row r="215" s="18" customFormat="1" spans="1:63">
      <c r="A215" s="73"/>
      <c r="B215" s="101"/>
      <c r="C215" s="101"/>
      <c r="D215" s="101"/>
      <c r="E215" s="159"/>
      <c r="F215" s="101"/>
      <c r="G215" s="101"/>
      <c r="H215" s="120"/>
      <c r="I215" s="43"/>
      <c r="J215" s="43"/>
      <c r="K215" s="113"/>
      <c r="L215" s="43"/>
      <c r="M215" s="43"/>
      <c r="N215" s="43"/>
      <c r="O215" s="43"/>
      <c r="P215" s="114"/>
      <c r="Q215" s="114"/>
      <c r="R215" s="43"/>
      <c r="S215" s="43"/>
      <c r="T215" s="111"/>
      <c r="U215" s="116"/>
      <c r="V215" s="114"/>
      <c r="W215" s="114"/>
      <c r="X215" s="115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118"/>
      <c r="AJ215" s="43"/>
      <c r="AK215" s="120"/>
      <c r="AL215" s="43"/>
      <c r="AM215" s="43"/>
      <c r="AN215" s="43"/>
      <c r="AO215" s="43"/>
      <c r="AP215" s="43"/>
      <c r="AQ215" s="119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83"/>
      <c r="BI215" s="142"/>
      <c r="BJ215" s="101"/>
      <c r="BK215" s="43"/>
    </row>
    <row r="216" s="18" customFormat="1" spans="1:63">
      <c r="A216" s="73"/>
      <c r="B216" s="101"/>
      <c r="C216" s="101"/>
      <c r="D216" s="101"/>
      <c r="E216" s="159"/>
      <c r="F216" s="101"/>
      <c r="G216" s="101"/>
      <c r="H216" s="120"/>
      <c r="I216" s="43"/>
      <c r="J216" s="43"/>
      <c r="K216" s="113"/>
      <c r="L216" s="43"/>
      <c r="M216" s="43"/>
      <c r="N216" s="43"/>
      <c r="O216" s="43"/>
      <c r="P216" s="114"/>
      <c r="Q216" s="114"/>
      <c r="R216" s="43"/>
      <c r="S216" s="43"/>
      <c r="T216" s="111"/>
      <c r="U216" s="116"/>
      <c r="V216" s="114"/>
      <c r="W216" s="114"/>
      <c r="X216" s="115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118"/>
      <c r="AJ216" s="43"/>
      <c r="AK216" s="120"/>
      <c r="AL216" s="43"/>
      <c r="AM216" s="43"/>
      <c r="AN216" s="43"/>
      <c r="AO216" s="43"/>
      <c r="AP216" s="43"/>
      <c r="AQ216" s="119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83"/>
      <c r="BI216" s="142"/>
      <c r="BJ216" s="101"/>
      <c r="BK216" s="43"/>
    </row>
    <row r="217" s="18" customFormat="1" spans="1:63">
      <c r="A217" s="73"/>
      <c r="B217" s="101"/>
      <c r="C217" s="101"/>
      <c r="D217" s="101"/>
      <c r="E217" s="159"/>
      <c r="F217" s="101"/>
      <c r="G217" s="101"/>
      <c r="H217" s="120"/>
      <c r="I217" s="43"/>
      <c r="J217" s="43"/>
      <c r="K217" s="113"/>
      <c r="L217" s="43"/>
      <c r="M217" s="43"/>
      <c r="N217" s="43"/>
      <c r="O217" s="43"/>
      <c r="P217" s="114"/>
      <c r="Q217" s="114"/>
      <c r="R217" s="43"/>
      <c r="S217" s="43"/>
      <c r="T217" s="111"/>
      <c r="U217" s="116"/>
      <c r="V217" s="114"/>
      <c r="W217" s="114"/>
      <c r="X217" s="115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118"/>
      <c r="AJ217" s="43"/>
      <c r="AK217" s="120"/>
      <c r="AL217" s="43"/>
      <c r="AM217" s="43"/>
      <c r="AN217" s="43"/>
      <c r="AO217" s="43"/>
      <c r="AP217" s="43"/>
      <c r="AQ217" s="119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83"/>
      <c r="BI217" s="142"/>
      <c r="BJ217" s="101"/>
      <c r="BK217" s="43"/>
    </row>
    <row r="218" s="50" customFormat="1" spans="1:63">
      <c r="A218" s="73"/>
      <c r="B218" s="122"/>
      <c r="C218" s="122"/>
      <c r="D218" s="122"/>
      <c r="E218" s="160"/>
      <c r="F218" s="122"/>
      <c r="G218" s="122"/>
      <c r="H218" s="125"/>
      <c r="I218" s="126"/>
      <c r="J218" s="126"/>
      <c r="K218" s="127"/>
      <c r="L218" s="126"/>
      <c r="M218" s="126"/>
      <c r="N218" s="126"/>
      <c r="O218" s="126"/>
      <c r="P218" s="128"/>
      <c r="Q218" s="128"/>
      <c r="R218" s="126"/>
      <c r="S218" s="126"/>
      <c r="T218" s="129"/>
      <c r="U218" s="130"/>
      <c r="V218" s="128"/>
      <c r="W218" s="128"/>
      <c r="X218" s="131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32"/>
      <c r="AJ218" s="126"/>
      <c r="AK218" s="125"/>
      <c r="AL218" s="126"/>
      <c r="AM218" s="126"/>
      <c r="AN218" s="126"/>
      <c r="AO218" s="126"/>
      <c r="AP218" s="126"/>
      <c r="AQ218" s="133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  <c r="BD218" s="126"/>
      <c r="BE218" s="126"/>
      <c r="BF218" s="126"/>
      <c r="BG218" s="126"/>
      <c r="BH218" s="136"/>
      <c r="BI218" s="145"/>
      <c r="BJ218" s="122"/>
      <c r="BK218" s="126"/>
    </row>
    <row r="219" s="18" customFormat="1" spans="1:63">
      <c r="A219" s="73"/>
      <c r="B219" s="146"/>
      <c r="C219" s="146"/>
      <c r="D219" s="146"/>
      <c r="E219" s="162"/>
      <c r="F219" s="146"/>
      <c r="G219" s="146"/>
      <c r="H219" s="120"/>
      <c r="I219" s="43"/>
      <c r="J219" s="43"/>
      <c r="K219" s="113"/>
      <c r="L219" s="43"/>
      <c r="M219" s="43"/>
      <c r="N219" s="43"/>
      <c r="O219" s="43"/>
      <c r="P219" s="114"/>
      <c r="Q219" s="114"/>
      <c r="R219" s="43"/>
      <c r="S219" s="43"/>
      <c r="T219" s="111"/>
      <c r="U219" s="116"/>
      <c r="V219" s="114"/>
      <c r="W219" s="114"/>
      <c r="X219" s="115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118"/>
      <c r="AJ219" s="43"/>
      <c r="AK219" s="120"/>
      <c r="AL219" s="43"/>
      <c r="AM219" s="43"/>
      <c r="AN219" s="43"/>
      <c r="AO219" s="43"/>
      <c r="AP219" s="43"/>
      <c r="AQ219" s="119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83"/>
      <c r="BI219" s="142"/>
      <c r="BJ219" s="101"/>
      <c r="BK219" s="43"/>
    </row>
    <row r="220" s="18" customFormat="1" spans="1:63">
      <c r="A220" s="73"/>
      <c r="B220" s="146"/>
      <c r="C220" s="146"/>
      <c r="D220" s="146"/>
      <c r="E220" s="162"/>
      <c r="F220" s="146"/>
      <c r="G220" s="146"/>
      <c r="H220" s="120"/>
      <c r="I220" s="43"/>
      <c r="J220" s="43"/>
      <c r="K220" s="113"/>
      <c r="L220" s="43"/>
      <c r="M220" s="43"/>
      <c r="N220" s="43"/>
      <c r="O220" s="43"/>
      <c r="P220" s="114"/>
      <c r="Q220" s="114"/>
      <c r="R220" s="43"/>
      <c r="S220" s="43"/>
      <c r="T220" s="111"/>
      <c r="U220" s="116"/>
      <c r="V220" s="114"/>
      <c r="W220" s="114"/>
      <c r="X220" s="115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118"/>
      <c r="AJ220" s="43"/>
      <c r="AK220" s="120"/>
      <c r="AL220" s="43"/>
      <c r="AM220" s="43"/>
      <c r="AN220" s="43"/>
      <c r="AO220" s="43"/>
      <c r="AP220" s="43"/>
      <c r="AQ220" s="119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83"/>
      <c r="BI220" s="142"/>
      <c r="BJ220" s="101"/>
      <c r="BK220" s="43"/>
    </row>
    <row r="221" s="18" customFormat="1" spans="1:63">
      <c r="A221" s="73"/>
      <c r="B221" s="146"/>
      <c r="C221" s="146"/>
      <c r="D221" s="146"/>
      <c r="E221" s="162"/>
      <c r="F221" s="146"/>
      <c r="G221" s="146"/>
      <c r="H221" s="120"/>
      <c r="I221" s="43"/>
      <c r="J221" s="43"/>
      <c r="K221" s="113"/>
      <c r="L221" s="43"/>
      <c r="M221" s="43"/>
      <c r="N221" s="43"/>
      <c r="O221" s="43"/>
      <c r="P221" s="114"/>
      <c r="Q221" s="114"/>
      <c r="R221" s="43"/>
      <c r="S221" s="43"/>
      <c r="T221" s="111"/>
      <c r="U221" s="116"/>
      <c r="V221" s="114"/>
      <c r="W221" s="114"/>
      <c r="X221" s="115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118"/>
      <c r="AJ221" s="43"/>
      <c r="AK221" s="120"/>
      <c r="AL221" s="43"/>
      <c r="AM221" s="43"/>
      <c r="AN221" s="43"/>
      <c r="AO221" s="43"/>
      <c r="AP221" s="43"/>
      <c r="AQ221" s="119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83"/>
      <c r="BI221" s="142"/>
      <c r="BJ221" s="101"/>
      <c r="BK221" s="43"/>
    </row>
    <row r="222" s="18" customFormat="1" spans="1:63">
      <c r="A222" s="73"/>
      <c r="B222" s="146"/>
      <c r="C222" s="146"/>
      <c r="D222" s="146"/>
      <c r="E222" s="162"/>
      <c r="F222" s="146"/>
      <c r="G222" s="146"/>
      <c r="H222" s="120"/>
      <c r="I222" s="43"/>
      <c r="J222" s="43"/>
      <c r="K222" s="113"/>
      <c r="L222" s="43"/>
      <c r="M222" s="43"/>
      <c r="N222" s="43"/>
      <c r="O222" s="43"/>
      <c r="P222" s="114"/>
      <c r="Q222" s="114"/>
      <c r="R222" s="43"/>
      <c r="S222" s="43"/>
      <c r="T222" s="111"/>
      <c r="U222" s="116"/>
      <c r="V222" s="114"/>
      <c r="W222" s="114"/>
      <c r="X222" s="115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118"/>
      <c r="AJ222" s="43"/>
      <c r="AK222" s="120"/>
      <c r="AL222" s="43"/>
      <c r="AM222" s="43"/>
      <c r="AN222" s="43"/>
      <c r="AO222" s="43"/>
      <c r="AP222" s="43"/>
      <c r="AQ222" s="119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83"/>
      <c r="BI222" s="142"/>
      <c r="BJ222" s="101"/>
      <c r="BK222" s="43"/>
    </row>
    <row r="223" s="50" customFormat="1" spans="1:63">
      <c r="A223" s="73"/>
      <c r="B223" s="122"/>
      <c r="C223" s="122"/>
      <c r="D223" s="122"/>
      <c r="E223" s="160"/>
      <c r="F223" s="122"/>
      <c r="G223" s="122"/>
      <c r="H223" s="125"/>
      <c r="I223" s="126"/>
      <c r="J223" s="126"/>
      <c r="K223" s="127"/>
      <c r="L223" s="126"/>
      <c r="M223" s="126"/>
      <c r="N223" s="126"/>
      <c r="O223" s="126"/>
      <c r="P223" s="128"/>
      <c r="Q223" s="128"/>
      <c r="R223" s="126"/>
      <c r="S223" s="126"/>
      <c r="T223" s="129"/>
      <c r="U223" s="130"/>
      <c r="V223" s="128"/>
      <c r="W223" s="128"/>
      <c r="X223" s="131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32"/>
      <c r="AJ223" s="126"/>
      <c r="AK223" s="125"/>
      <c r="AL223" s="126"/>
      <c r="AM223" s="126"/>
      <c r="AN223" s="126"/>
      <c r="AO223" s="126"/>
      <c r="AP223" s="126"/>
      <c r="AQ223" s="133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  <c r="BC223" s="126"/>
      <c r="BD223" s="126"/>
      <c r="BE223" s="126"/>
      <c r="BF223" s="126"/>
      <c r="BG223" s="126"/>
      <c r="BH223" s="136"/>
      <c r="BI223" s="145"/>
      <c r="BJ223" s="122"/>
      <c r="BK223" s="126"/>
    </row>
    <row r="224" s="50" customFormat="1" spans="1:63">
      <c r="A224" s="73"/>
      <c r="B224" s="122"/>
      <c r="C224" s="122"/>
      <c r="D224" s="122"/>
      <c r="E224" s="160"/>
      <c r="F224" s="122"/>
      <c r="G224" s="122"/>
      <c r="H224" s="125"/>
      <c r="I224" s="126"/>
      <c r="J224" s="126"/>
      <c r="K224" s="127"/>
      <c r="L224" s="126"/>
      <c r="M224" s="126"/>
      <c r="N224" s="126"/>
      <c r="O224" s="126"/>
      <c r="P224" s="128"/>
      <c r="Q224" s="128"/>
      <c r="R224" s="126"/>
      <c r="S224" s="126"/>
      <c r="T224" s="129"/>
      <c r="U224" s="130"/>
      <c r="V224" s="128"/>
      <c r="W224" s="128"/>
      <c r="X224" s="131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32"/>
      <c r="AJ224" s="126"/>
      <c r="AK224" s="125"/>
      <c r="AL224" s="126"/>
      <c r="AM224" s="126"/>
      <c r="AN224" s="126"/>
      <c r="AO224" s="126"/>
      <c r="AP224" s="126"/>
      <c r="AQ224" s="133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  <c r="BC224" s="126"/>
      <c r="BD224" s="126"/>
      <c r="BE224" s="126"/>
      <c r="BF224" s="126"/>
      <c r="BG224" s="126"/>
      <c r="BH224" s="136"/>
      <c r="BI224" s="145"/>
      <c r="BJ224" s="122"/>
      <c r="BK224" s="126"/>
    </row>
    <row r="225" s="18" customFormat="1" spans="1:63">
      <c r="A225" s="73"/>
      <c r="B225" s="146"/>
      <c r="C225" s="146"/>
      <c r="D225" s="146"/>
      <c r="E225" s="162"/>
      <c r="F225" s="146"/>
      <c r="G225" s="146"/>
      <c r="H225" s="120"/>
      <c r="I225" s="43"/>
      <c r="J225" s="43"/>
      <c r="K225" s="113"/>
      <c r="L225" s="43"/>
      <c r="M225" s="43"/>
      <c r="N225" s="43"/>
      <c r="O225" s="43"/>
      <c r="P225" s="114"/>
      <c r="Q225" s="114"/>
      <c r="R225" s="43"/>
      <c r="S225" s="43"/>
      <c r="T225" s="111"/>
      <c r="U225" s="116"/>
      <c r="V225" s="114"/>
      <c r="W225" s="114"/>
      <c r="X225" s="115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118"/>
      <c r="AJ225" s="43"/>
      <c r="AK225" s="120"/>
      <c r="AL225" s="43"/>
      <c r="AM225" s="43"/>
      <c r="AN225" s="43"/>
      <c r="AO225" s="43"/>
      <c r="AP225" s="43"/>
      <c r="AQ225" s="119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83"/>
      <c r="BI225" s="142"/>
      <c r="BJ225" s="101"/>
      <c r="BK225" s="43"/>
    </row>
    <row r="226" s="50" customFormat="1" spans="1:63">
      <c r="A226" s="73"/>
      <c r="B226" s="122"/>
      <c r="C226" s="122"/>
      <c r="D226" s="122"/>
      <c r="E226" s="160"/>
      <c r="F226" s="122"/>
      <c r="G226" s="122"/>
      <c r="H226" s="125"/>
      <c r="I226" s="126"/>
      <c r="J226" s="126"/>
      <c r="K226" s="127"/>
      <c r="L226" s="126"/>
      <c r="M226" s="126"/>
      <c r="N226" s="126"/>
      <c r="O226" s="126"/>
      <c r="P226" s="128"/>
      <c r="Q226" s="128"/>
      <c r="R226" s="126"/>
      <c r="S226" s="126"/>
      <c r="T226" s="129"/>
      <c r="U226" s="130"/>
      <c r="V226" s="128"/>
      <c r="W226" s="128"/>
      <c r="X226" s="131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32"/>
      <c r="AJ226" s="126"/>
      <c r="AK226" s="125"/>
      <c r="AL226" s="126"/>
      <c r="AM226" s="126"/>
      <c r="AN226" s="126"/>
      <c r="AO226" s="126"/>
      <c r="AP226" s="126"/>
      <c r="AQ226" s="133"/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126"/>
      <c r="BB226" s="126"/>
      <c r="BC226" s="126"/>
      <c r="BD226" s="126"/>
      <c r="BE226" s="126"/>
      <c r="BF226" s="126"/>
      <c r="BG226" s="126"/>
      <c r="BH226" s="136"/>
      <c r="BI226" s="145"/>
      <c r="BJ226" s="122"/>
      <c r="BK226" s="126"/>
    </row>
    <row r="227" s="18" customFormat="1" spans="1:63">
      <c r="A227" s="73"/>
      <c r="B227" s="146"/>
      <c r="C227" s="146"/>
      <c r="D227" s="146"/>
      <c r="E227" s="162"/>
      <c r="F227" s="146"/>
      <c r="G227" s="146"/>
      <c r="H227" s="120"/>
      <c r="I227" s="43"/>
      <c r="J227" s="43"/>
      <c r="K227" s="113"/>
      <c r="L227" s="43"/>
      <c r="M227" s="43"/>
      <c r="N227" s="43"/>
      <c r="O227" s="43"/>
      <c r="P227" s="114"/>
      <c r="Q227" s="114"/>
      <c r="R227" s="43"/>
      <c r="S227" s="43"/>
      <c r="T227" s="111"/>
      <c r="U227" s="116"/>
      <c r="V227" s="114"/>
      <c r="W227" s="114"/>
      <c r="X227" s="115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118"/>
      <c r="AJ227" s="43"/>
      <c r="AK227" s="120"/>
      <c r="AL227" s="43"/>
      <c r="AM227" s="43"/>
      <c r="AN227" s="43"/>
      <c r="AO227" s="43"/>
      <c r="AP227" s="43"/>
      <c r="AQ227" s="119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83"/>
      <c r="BI227" s="142"/>
      <c r="BJ227" s="101"/>
      <c r="BK227" s="43"/>
    </row>
    <row r="228" s="18" customFormat="1" spans="1:63">
      <c r="A228" s="73"/>
      <c r="B228" s="146"/>
      <c r="C228" s="146"/>
      <c r="D228" s="146"/>
      <c r="E228" s="162"/>
      <c r="F228" s="146"/>
      <c r="G228" s="146"/>
      <c r="H228" s="120"/>
      <c r="I228" s="43"/>
      <c r="J228" s="43"/>
      <c r="K228" s="113"/>
      <c r="L228" s="43"/>
      <c r="M228" s="43"/>
      <c r="N228" s="43"/>
      <c r="O228" s="43"/>
      <c r="P228" s="114"/>
      <c r="Q228" s="114"/>
      <c r="R228" s="43"/>
      <c r="S228" s="43"/>
      <c r="T228" s="111"/>
      <c r="U228" s="116"/>
      <c r="V228" s="114"/>
      <c r="W228" s="114"/>
      <c r="X228" s="115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118"/>
      <c r="AJ228" s="43"/>
      <c r="AK228" s="120"/>
      <c r="AL228" s="43"/>
      <c r="AM228" s="43"/>
      <c r="AN228" s="43"/>
      <c r="AO228" s="43"/>
      <c r="AP228" s="43"/>
      <c r="AQ228" s="119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83"/>
      <c r="BI228" s="142"/>
      <c r="BJ228" s="101"/>
      <c r="BK228" s="43"/>
    </row>
    <row r="229" s="18" customFormat="1" spans="1:63">
      <c r="A229" s="73"/>
      <c r="B229" s="146"/>
      <c r="C229" s="146"/>
      <c r="D229" s="146"/>
      <c r="E229" s="162"/>
      <c r="F229" s="146"/>
      <c r="G229" s="146"/>
      <c r="H229" s="120"/>
      <c r="I229" s="43"/>
      <c r="J229" s="43"/>
      <c r="K229" s="113"/>
      <c r="L229" s="43"/>
      <c r="M229" s="43"/>
      <c r="N229" s="43"/>
      <c r="O229" s="43"/>
      <c r="P229" s="114"/>
      <c r="Q229" s="114"/>
      <c r="R229" s="43"/>
      <c r="S229" s="43"/>
      <c r="T229" s="111"/>
      <c r="U229" s="116"/>
      <c r="V229" s="114"/>
      <c r="W229" s="114"/>
      <c r="X229" s="115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118"/>
      <c r="AJ229" s="43"/>
      <c r="AK229" s="120"/>
      <c r="AL229" s="43"/>
      <c r="AM229" s="43"/>
      <c r="AN229" s="43"/>
      <c r="AO229" s="43"/>
      <c r="AP229" s="43"/>
      <c r="AQ229" s="119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83"/>
      <c r="BI229" s="142"/>
      <c r="BJ229" s="101"/>
      <c r="BK229" s="43"/>
    </row>
    <row r="230" s="18" customFormat="1" spans="1:63">
      <c r="A230" s="73"/>
      <c r="B230" s="146"/>
      <c r="C230" s="146"/>
      <c r="D230" s="146"/>
      <c r="E230" s="162"/>
      <c r="F230" s="146"/>
      <c r="G230" s="146"/>
      <c r="H230" s="120"/>
      <c r="I230" s="43"/>
      <c r="J230" s="43"/>
      <c r="K230" s="113"/>
      <c r="L230" s="43"/>
      <c r="M230" s="43"/>
      <c r="N230" s="43"/>
      <c r="O230" s="43"/>
      <c r="P230" s="114"/>
      <c r="Q230" s="114"/>
      <c r="R230" s="43"/>
      <c r="S230" s="43"/>
      <c r="T230" s="111"/>
      <c r="U230" s="116"/>
      <c r="V230" s="114"/>
      <c r="W230" s="114"/>
      <c r="X230" s="115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118"/>
      <c r="AJ230" s="43"/>
      <c r="AK230" s="120"/>
      <c r="AL230" s="43"/>
      <c r="AM230" s="43"/>
      <c r="AN230" s="43"/>
      <c r="AO230" s="43"/>
      <c r="AP230" s="43"/>
      <c r="AQ230" s="119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83"/>
      <c r="BI230" s="142"/>
      <c r="BJ230" s="101"/>
      <c r="BK230" s="43"/>
    </row>
    <row r="231" s="18" customFormat="1" spans="1:63">
      <c r="A231" s="73"/>
      <c r="B231" s="146"/>
      <c r="C231" s="146"/>
      <c r="D231" s="146"/>
      <c r="E231" s="162"/>
      <c r="F231" s="146"/>
      <c r="G231" s="146"/>
      <c r="H231" s="120"/>
      <c r="I231" s="43"/>
      <c r="J231" s="43"/>
      <c r="K231" s="113"/>
      <c r="L231" s="43"/>
      <c r="M231" s="43"/>
      <c r="N231" s="43"/>
      <c r="O231" s="43"/>
      <c r="P231" s="114"/>
      <c r="Q231" s="114"/>
      <c r="R231" s="43"/>
      <c r="S231" s="43"/>
      <c r="T231" s="111"/>
      <c r="U231" s="116"/>
      <c r="V231" s="114"/>
      <c r="W231" s="114"/>
      <c r="X231" s="115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118"/>
      <c r="AJ231" s="43"/>
      <c r="AK231" s="120"/>
      <c r="AL231" s="43"/>
      <c r="AM231" s="43"/>
      <c r="AN231" s="43"/>
      <c r="AO231" s="43"/>
      <c r="AP231" s="43"/>
      <c r="AQ231" s="119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83"/>
      <c r="BI231" s="142"/>
      <c r="BJ231" s="101"/>
      <c r="BK231" s="43"/>
    </row>
    <row r="232" s="18" customFormat="1" spans="1:63">
      <c r="A232" s="73"/>
      <c r="B232" s="146"/>
      <c r="C232" s="146"/>
      <c r="D232" s="146"/>
      <c r="E232" s="162"/>
      <c r="F232" s="146"/>
      <c r="G232" s="146"/>
      <c r="H232" s="120"/>
      <c r="I232" s="43"/>
      <c r="J232" s="43"/>
      <c r="K232" s="113"/>
      <c r="L232" s="43"/>
      <c r="M232" s="43"/>
      <c r="N232" s="43"/>
      <c r="O232" s="43"/>
      <c r="P232" s="114"/>
      <c r="Q232" s="114"/>
      <c r="R232" s="43"/>
      <c r="S232" s="43"/>
      <c r="T232" s="111"/>
      <c r="U232" s="116"/>
      <c r="V232" s="114"/>
      <c r="W232" s="114"/>
      <c r="X232" s="115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118"/>
      <c r="AJ232" s="43"/>
      <c r="AK232" s="120"/>
      <c r="AL232" s="43"/>
      <c r="AM232" s="43"/>
      <c r="AN232" s="43"/>
      <c r="AO232" s="43"/>
      <c r="AP232" s="43"/>
      <c r="AQ232" s="119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83"/>
      <c r="BI232" s="142"/>
      <c r="BJ232" s="101"/>
      <c r="BK232" s="43"/>
    </row>
    <row r="233" s="18" customFormat="1" spans="1:63">
      <c r="A233" s="73"/>
      <c r="B233" s="146"/>
      <c r="C233" s="146"/>
      <c r="D233" s="146"/>
      <c r="E233" s="162"/>
      <c r="F233" s="146"/>
      <c r="G233" s="146"/>
      <c r="H233" s="120"/>
      <c r="I233" s="43"/>
      <c r="J233" s="43"/>
      <c r="K233" s="113"/>
      <c r="L233" s="43"/>
      <c r="M233" s="43"/>
      <c r="N233" s="43"/>
      <c r="O233" s="43"/>
      <c r="P233" s="114"/>
      <c r="Q233" s="114"/>
      <c r="R233" s="43"/>
      <c r="S233" s="43"/>
      <c r="T233" s="111"/>
      <c r="U233" s="116"/>
      <c r="V233" s="114"/>
      <c r="W233" s="114"/>
      <c r="X233" s="115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118"/>
      <c r="AJ233" s="43"/>
      <c r="AK233" s="120"/>
      <c r="AL233" s="43"/>
      <c r="AM233" s="43"/>
      <c r="AN233" s="43"/>
      <c r="AO233" s="43"/>
      <c r="AP233" s="43"/>
      <c r="AQ233" s="119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83"/>
      <c r="BI233" s="142"/>
      <c r="BJ233" s="101"/>
      <c r="BK233" s="43"/>
    </row>
    <row r="234" s="50" customFormat="1" spans="1:63">
      <c r="A234" s="73"/>
      <c r="B234" s="122"/>
      <c r="C234" s="122"/>
      <c r="D234" s="122"/>
      <c r="E234" s="160"/>
      <c r="F234" s="122"/>
      <c r="G234" s="122"/>
      <c r="H234" s="125"/>
      <c r="I234" s="126"/>
      <c r="J234" s="126"/>
      <c r="K234" s="127"/>
      <c r="L234" s="126"/>
      <c r="M234" s="126"/>
      <c r="N234" s="126"/>
      <c r="O234" s="126"/>
      <c r="P234" s="128"/>
      <c r="Q234" s="128"/>
      <c r="R234" s="126"/>
      <c r="S234" s="126"/>
      <c r="T234" s="129"/>
      <c r="U234" s="130"/>
      <c r="V234" s="128"/>
      <c r="W234" s="128"/>
      <c r="X234" s="131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32"/>
      <c r="AJ234" s="126"/>
      <c r="AK234" s="125"/>
      <c r="AL234" s="126"/>
      <c r="AM234" s="126"/>
      <c r="AN234" s="126"/>
      <c r="AO234" s="126"/>
      <c r="AP234" s="126"/>
      <c r="AQ234" s="133"/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126"/>
      <c r="BB234" s="126"/>
      <c r="BC234" s="126"/>
      <c r="BD234" s="126"/>
      <c r="BE234" s="126"/>
      <c r="BF234" s="126"/>
      <c r="BG234" s="126"/>
      <c r="BH234" s="136"/>
      <c r="BI234" s="145"/>
      <c r="BJ234" s="122"/>
      <c r="BK234" s="126"/>
    </row>
    <row r="235" s="18" customFormat="1" spans="1:63">
      <c r="A235" s="73"/>
      <c r="B235" s="146"/>
      <c r="C235" s="146"/>
      <c r="D235" s="146"/>
      <c r="E235" s="162"/>
      <c r="F235" s="146"/>
      <c r="G235" s="146"/>
      <c r="H235" s="120"/>
      <c r="I235" s="43"/>
      <c r="J235" s="43"/>
      <c r="K235" s="113"/>
      <c r="L235" s="43"/>
      <c r="M235" s="43"/>
      <c r="N235" s="43"/>
      <c r="O235" s="43"/>
      <c r="P235" s="114"/>
      <c r="Q235" s="114"/>
      <c r="R235" s="43"/>
      <c r="S235" s="150"/>
      <c r="T235" s="152"/>
      <c r="U235" s="116"/>
      <c r="V235" s="114"/>
      <c r="W235" s="114"/>
      <c r="X235" s="115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118"/>
      <c r="AJ235" s="43"/>
      <c r="AK235" s="120"/>
      <c r="AL235" s="43"/>
      <c r="AM235" s="43"/>
      <c r="AN235" s="43"/>
      <c r="AO235" s="43"/>
      <c r="AP235" s="43"/>
      <c r="AQ235" s="119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83"/>
      <c r="BI235" s="142"/>
      <c r="BJ235" s="101"/>
      <c r="BK235" s="43"/>
    </row>
    <row r="236" s="18" customFormat="1" spans="1:63">
      <c r="A236" s="73"/>
      <c r="B236" s="146"/>
      <c r="C236" s="146"/>
      <c r="D236" s="146"/>
      <c r="E236" s="162"/>
      <c r="F236" s="146"/>
      <c r="G236" s="146"/>
      <c r="H236" s="120"/>
      <c r="I236" s="43"/>
      <c r="J236" s="43"/>
      <c r="K236" s="113"/>
      <c r="L236" s="43"/>
      <c r="M236" s="43"/>
      <c r="N236" s="43"/>
      <c r="O236" s="43"/>
      <c r="P236" s="114"/>
      <c r="Q236" s="114"/>
      <c r="R236" s="43"/>
      <c r="S236" s="43"/>
      <c r="T236" s="111"/>
      <c r="U236" s="116"/>
      <c r="V236" s="114"/>
      <c r="W236" s="114"/>
      <c r="X236" s="115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118"/>
      <c r="AJ236" s="43"/>
      <c r="AK236" s="120"/>
      <c r="AL236" s="43"/>
      <c r="AM236" s="43"/>
      <c r="AN236" s="43"/>
      <c r="AO236" s="43"/>
      <c r="AP236" s="43"/>
      <c r="AQ236" s="119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83"/>
      <c r="BI236" s="142"/>
      <c r="BJ236" s="101"/>
      <c r="BK236" s="43"/>
    </row>
    <row r="237" s="50" customFormat="1" spans="1:63">
      <c r="A237" s="73"/>
      <c r="B237" s="122"/>
      <c r="C237" s="122"/>
      <c r="D237" s="122"/>
      <c r="E237" s="160"/>
      <c r="F237" s="122"/>
      <c r="G237" s="122"/>
      <c r="H237" s="125"/>
      <c r="I237" s="126"/>
      <c r="J237" s="126"/>
      <c r="K237" s="127"/>
      <c r="L237" s="126"/>
      <c r="M237" s="126"/>
      <c r="N237" s="126"/>
      <c r="O237" s="126"/>
      <c r="P237" s="128"/>
      <c r="Q237" s="128"/>
      <c r="R237" s="126"/>
      <c r="S237" s="43"/>
      <c r="T237" s="111"/>
      <c r="U237" s="116"/>
      <c r="V237" s="128"/>
      <c r="W237" s="128"/>
      <c r="X237" s="131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32"/>
      <c r="AJ237" s="126"/>
      <c r="AK237" s="125"/>
      <c r="AL237" s="126"/>
      <c r="AM237" s="126"/>
      <c r="AN237" s="126"/>
      <c r="AO237" s="126"/>
      <c r="AP237" s="126"/>
      <c r="AQ237" s="133"/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126"/>
      <c r="BB237" s="126"/>
      <c r="BC237" s="126"/>
      <c r="BD237" s="126"/>
      <c r="BE237" s="126"/>
      <c r="BF237" s="126"/>
      <c r="BG237" s="126"/>
      <c r="BH237" s="136"/>
      <c r="BI237" s="145"/>
      <c r="BJ237" s="122"/>
      <c r="BK237" s="126"/>
    </row>
    <row r="238" s="50" customFormat="1" spans="1:63">
      <c r="A238" s="73"/>
      <c r="B238" s="122"/>
      <c r="C238" s="122"/>
      <c r="D238" s="122"/>
      <c r="E238" s="160"/>
      <c r="F238" s="122"/>
      <c r="G238" s="122"/>
      <c r="H238" s="125"/>
      <c r="I238" s="126"/>
      <c r="J238" s="126"/>
      <c r="K238" s="127"/>
      <c r="L238" s="126"/>
      <c r="M238" s="126"/>
      <c r="N238" s="126"/>
      <c r="O238" s="126"/>
      <c r="P238" s="128"/>
      <c r="Q238" s="128"/>
      <c r="R238" s="126"/>
      <c r="S238" s="126"/>
      <c r="T238" s="129"/>
      <c r="U238" s="130"/>
      <c r="V238" s="128"/>
      <c r="W238" s="128"/>
      <c r="X238" s="131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32"/>
      <c r="AJ238" s="126"/>
      <c r="AK238" s="125"/>
      <c r="AL238" s="126"/>
      <c r="AM238" s="126"/>
      <c r="AN238" s="126"/>
      <c r="AO238" s="126"/>
      <c r="AP238" s="126"/>
      <c r="AQ238" s="133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  <c r="BC238" s="126"/>
      <c r="BD238" s="126"/>
      <c r="BE238" s="126"/>
      <c r="BF238" s="126"/>
      <c r="BG238" s="126"/>
      <c r="BH238" s="136"/>
      <c r="BI238" s="145"/>
      <c r="BJ238" s="122"/>
      <c r="BK238" s="126"/>
    </row>
    <row r="239" s="50" customFormat="1" spans="1:63">
      <c r="A239" s="73"/>
      <c r="B239" s="122"/>
      <c r="C239" s="122"/>
      <c r="D239" s="122"/>
      <c r="E239" s="160"/>
      <c r="F239" s="122"/>
      <c r="G239" s="122"/>
      <c r="H239" s="125"/>
      <c r="I239" s="126"/>
      <c r="J239" s="126"/>
      <c r="K239" s="127"/>
      <c r="L239" s="126"/>
      <c r="M239" s="126"/>
      <c r="N239" s="126"/>
      <c r="O239" s="126"/>
      <c r="P239" s="128"/>
      <c r="Q239" s="128"/>
      <c r="R239" s="126"/>
      <c r="S239" s="126"/>
      <c r="T239" s="129"/>
      <c r="U239" s="130"/>
      <c r="V239" s="128"/>
      <c r="W239" s="128"/>
      <c r="X239" s="131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32"/>
      <c r="AJ239" s="126"/>
      <c r="AK239" s="125"/>
      <c r="AL239" s="126"/>
      <c r="AM239" s="126"/>
      <c r="AN239" s="126"/>
      <c r="AO239" s="126"/>
      <c r="AP239" s="126"/>
      <c r="AQ239" s="133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/>
      <c r="BB239" s="126"/>
      <c r="BC239" s="126"/>
      <c r="BD239" s="126"/>
      <c r="BE239" s="126"/>
      <c r="BF239" s="126"/>
      <c r="BG239" s="126"/>
      <c r="BH239" s="136"/>
      <c r="BI239" s="145"/>
      <c r="BJ239" s="122"/>
      <c r="BK239" s="126"/>
    </row>
    <row r="240" s="50" customFormat="1" spans="1:63">
      <c r="A240" s="73"/>
      <c r="B240" s="122"/>
      <c r="C240" s="122"/>
      <c r="D240" s="122"/>
      <c r="E240" s="160"/>
      <c r="F240" s="122"/>
      <c r="G240" s="122"/>
      <c r="H240" s="125"/>
      <c r="I240" s="126"/>
      <c r="J240" s="126"/>
      <c r="K240" s="127"/>
      <c r="L240" s="126"/>
      <c r="M240" s="126"/>
      <c r="N240" s="126"/>
      <c r="O240" s="126"/>
      <c r="P240" s="128"/>
      <c r="Q240" s="128"/>
      <c r="R240" s="126"/>
      <c r="S240" s="126"/>
      <c r="T240" s="129"/>
      <c r="U240" s="130"/>
      <c r="V240" s="128"/>
      <c r="W240" s="128"/>
      <c r="X240" s="131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32"/>
      <c r="AJ240" s="126"/>
      <c r="AK240" s="125"/>
      <c r="AL240" s="126"/>
      <c r="AM240" s="126"/>
      <c r="AN240" s="126"/>
      <c r="AO240" s="126"/>
      <c r="AP240" s="126"/>
      <c r="AQ240" s="133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  <c r="BC240" s="126"/>
      <c r="BD240" s="126"/>
      <c r="BE240" s="126"/>
      <c r="BF240" s="126"/>
      <c r="BG240" s="126"/>
      <c r="BH240" s="136"/>
      <c r="BI240" s="145"/>
      <c r="BJ240" s="122"/>
      <c r="BK240" s="126"/>
    </row>
    <row r="241" s="50" customFormat="1" spans="1:63">
      <c r="A241" s="73"/>
      <c r="B241" s="122"/>
      <c r="C241" s="122"/>
      <c r="D241" s="122"/>
      <c r="E241" s="160"/>
      <c r="F241" s="122"/>
      <c r="G241" s="122"/>
      <c r="H241" s="125"/>
      <c r="I241" s="126"/>
      <c r="J241" s="126"/>
      <c r="K241" s="127"/>
      <c r="L241" s="126"/>
      <c r="M241" s="126"/>
      <c r="N241" s="126"/>
      <c r="O241" s="126"/>
      <c r="P241" s="128"/>
      <c r="Q241" s="128"/>
      <c r="R241" s="126"/>
      <c r="S241" s="126"/>
      <c r="T241" s="129"/>
      <c r="U241" s="130"/>
      <c r="V241" s="128"/>
      <c r="W241" s="128"/>
      <c r="X241" s="131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32"/>
      <c r="AJ241" s="126"/>
      <c r="AK241" s="125"/>
      <c r="AL241" s="126"/>
      <c r="AM241" s="126"/>
      <c r="AN241" s="126"/>
      <c r="AO241" s="126"/>
      <c r="AP241" s="126"/>
      <c r="AQ241" s="133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  <c r="BC241" s="126"/>
      <c r="BD241" s="126"/>
      <c r="BE241" s="126"/>
      <c r="BF241" s="126"/>
      <c r="BG241" s="126"/>
      <c r="BH241" s="136"/>
      <c r="BI241" s="145"/>
      <c r="BJ241" s="122"/>
      <c r="BK241" s="126"/>
    </row>
    <row r="242" s="50" customFormat="1" spans="1:63">
      <c r="A242" s="73"/>
      <c r="B242" s="122"/>
      <c r="C242" s="122"/>
      <c r="D242" s="122"/>
      <c r="E242" s="160"/>
      <c r="F242" s="122"/>
      <c r="G242" s="122"/>
      <c r="H242" s="125"/>
      <c r="I242" s="126"/>
      <c r="J242" s="126"/>
      <c r="K242" s="127"/>
      <c r="L242" s="126"/>
      <c r="M242" s="126"/>
      <c r="N242" s="126"/>
      <c r="O242" s="126"/>
      <c r="P242" s="128"/>
      <c r="Q242" s="128"/>
      <c r="R242" s="126"/>
      <c r="S242" s="126"/>
      <c r="T242" s="129"/>
      <c r="U242" s="130"/>
      <c r="V242" s="128"/>
      <c r="W242" s="128"/>
      <c r="X242" s="131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32"/>
      <c r="AJ242" s="126"/>
      <c r="AK242" s="125"/>
      <c r="AL242" s="126"/>
      <c r="AM242" s="126"/>
      <c r="AN242" s="126"/>
      <c r="AO242" s="126"/>
      <c r="AP242" s="126"/>
      <c r="AQ242" s="133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  <c r="BC242" s="126"/>
      <c r="BD242" s="126"/>
      <c r="BE242" s="126"/>
      <c r="BF242" s="126"/>
      <c r="BG242" s="126"/>
      <c r="BH242" s="136"/>
      <c r="BI242" s="145"/>
      <c r="BJ242" s="122"/>
      <c r="BK242" s="126"/>
    </row>
    <row r="243" s="50" customFormat="1" spans="1:63">
      <c r="A243" s="73"/>
      <c r="B243" s="122"/>
      <c r="C243" s="122"/>
      <c r="D243" s="122"/>
      <c r="E243" s="160"/>
      <c r="F243" s="122"/>
      <c r="G243" s="122"/>
      <c r="H243" s="125"/>
      <c r="I243" s="126"/>
      <c r="J243" s="126"/>
      <c r="K243" s="127"/>
      <c r="L243" s="126"/>
      <c r="M243" s="126"/>
      <c r="N243" s="126"/>
      <c r="O243" s="126"/>
      <c r="P243" s="128"/>
      <c r="Q243" s="128"/>
      <c r="R243" s="126"/>
      <c r="S243" s="126"/>
      <c r="T243" s="129"/>
      <c r="U243" s="130"/>
      <c r="V243" s="128"/>
      <c r="W243" s="128"/>
      <c r="X243" s="131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32"/>
      <c r="AJ243" s="126"/>
      <c r="AK243" s="125"/>
      <c r="AL243" s="125"/>
      <c r="AM243" s="125"/>
      <c r="AN243" s="125"/>
      <c r="AO243" s="125"/>
      <c r="AP243" s="125"/>
      <c r="AQ243" s="133"/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126"/>
      <c r="BB243" s="126"/>
      <c r="BC243" s="126"/>
      <c r="BD243" s="126"/>
      <c r="BE243" s="126"/>
      <c r="BF243" s="126"/>
      <c r="BG243" s="126"/>
      <c r="BH243" s="136"/>
      <c r="BI243" s="145"/>
      <c r="BJ243" s="122"/>
      <c r="BK243" s="126"/>
    </row>
    <row r="244" s="50" customFormat="1" spans="1:63">
      <c r="A244" s="73"/>
      <c r="B244" s="122"/>
      <c r="C244" s="122"/>
      <c r="D244" s="122"/>
      <c r="E244" s="160"/>
      <c r="F244" s="122"/>
      <c r="G244" s="122"/>
      <c r="H244" s="125"/>
      <c r="I244" s="126"/>
      <c r="J244" s="126"/>
      <c r="K244" s="127"/>
      <c r="L244" s="126"/>
      <c r="M244" s="126"/>
      <c r="N244" s="126"/>
      <c r="O244" s="126"/>
      <c r="P244" s="128"/>
      <c r="Q244" s="128"/>
      <c r="R244" s="126"/>
      <c r="S244" s="126"/>
      <c r="T244" s="129"/>
      <c r="U244" s="130"/>
      <c r="V244" s="128"/>
      <c r="W244" s="128"/>
      <c r="X244" s="131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32"/>
      <c r="AJ244" s="126"/>
      <c r="AK244" s="125"/>
      <c r="AL244" s="126"/>
      <c r="AM244" s="126"/>
      <c r="AN244" s="126"/>
      <c r="AO244" s="126"/>
      <c r="AP244" s="126"/>
      <c r="AQ244" s="133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  <c r="BC244" s="126"/>
      <c r="BD244" s="126"/>
      <c r="BE244" s="126"/>
      <c r="BF244" s="126"/>
      <c r="BG244" s="126"/>
      <c r="BH244" s="136"/>
      <c r="BI244" s="145"/>
      <c r="BJ244" s="122"/>
      <c r="BK244" s="126"/>
    </row>
    <row r="245" s="50" customFormat="1" spans="1:63">
      <c r="A245" s="73"/>
      <c r="B245" s="122"/>
      <c r="C245" s="122"/>
      <c r="D245" s="122"/>
      <c r="E245" s="160"/>
      <c r="F245" s="122"/>
      <c r="G245" s="122"/>
      <c r="H245" s="125"/>
      <c r="I245" s="126"/>
      <c r="J245" s="126"/>
      <c r="K245" s="127"/>
      <c r="L245" s="126"/>
      <c r="M245" s="126"/>
      <c r="N245" s="126"/>
      <c r="O245" s="126"/>
      <c r="P245" s="128"/>
      <c r="Q245" s="128"/>
      <c r="R245" s="126"/>
      <c r="S245" s="126"/>
      <c r="T245" s="129"/>
      <c r="U245" s="130"/>
      <c r="V245" s="128"/>
      <c r="W245" s="128"/>
      <c r="X245" s="131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32"/>
      <c r="AJ245" s="126"/>
      <c r="AK245" s="125"/>
      <c r="AL245" s="126"/>
      <c r="AM245" s="126"/>
      <c r="AN245" s="126"/>
      <c r="AO245" s="126"/>
      <c r="AP245" s="126"/>
      <c r="AQ245" s="133"/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126"/>
      <c r="BB245" s="126"/>
      <c r="BC245" s="126"/>
      <c r="BD245" s="126"/>
      <c r="BE245" s="126"/>
      <c r="BF245" s="126"/>
      <c r="BG245" s="126"/>
      <c r="BH245" s="136"/>
      <c r="BI245" s="145"/>
      <c r="BJ245" s="122"/>
      <c r="BK245" s="126"/>
    </row>
    <row r="246" s="50" customFormat="1" spans="1:63">
      <c r="A246" s="73"/>
      <c r="B246" s="122"/>
      <c r="C246" s="122"/>
      <c r="D246" s="122"/>
      <c r="E246" s="160"/>
      <c r="F246" s="122"/>
      <c r="G246" s="122"/>
      <c r="H246" s="125"/>
      <c r="I246" s="126"/>
      <c r="J246" s="126"/>
      <c r="K246" s="127"/>
      <c r="L246" s="126"/>
      <c r="M246" s="126"/>
      <c r="N246" s="126"/>
      <c r="O246" s="126"/>
      <c r="P246" s="128"/>
      <c r="Q246" s="128"/>
      <c r="R246" s="126"/>
      <c r="S246" s="126"/>
      <c r="T246" s="129"/>
      <c r="U246" s="130"/>
      <c r="V246" s="128"/>
      <c r="W246" s="128"/>
      <c r="X246" s="131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32"/>
      <c r="AJ246" s="126"/>
      <c r="AK246" s="125"/>
      <c r="AL246" s="126"/>
      <c r="AM246" s="126"/>
      <c r="AN246" s="126"/>
      <c r="AO246" s="126"/>
      <c r="AP246" s="126"/>
      <c r="AQ246" s="133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  <c r="BC246" s="126"/>
      <c r="BD246" s="126"/>
      <c r="BE246" s="126"/>
      <c r="BF246" s="126"/>
      <c r="BG246" s="126"/>
      <c r="BH246" s="136"/>
      <c r="BI246" s="145"/>
      <c r="BJ246" s="122"/>
      <c r="BK246" s="126"/>
    </row>
    <row r="247" s="50" customFormat="1" spans="1:63">
      <c r="A247" s="73"/>
      <c r="B247" s="122"/>
      <c r="C247" s="122"/>
      <c r="D247" s="122"/>
      <c r="E247" s="160"/>
      <c r="F247" s="122"/>
      <c r="G247" s="122"/>
      <c r="H247" s="125"/>
      <c r="I247" s="126"/>
      <c r="J247" s="126"/>
      <c r="K247" s="127"/>
      <c r="L247" s="126"/>
      <c r="M247" s="126"/>
      <c r="N247" s="126"/>
      <c r="O247" s="126"/>
      <c r="P247" s="128"/>
      <c r="Q247" s="128"/>
      <c r="R247" s="126"/>
      <c r="S247" s="126"/>
      <c r="T247" s="129"/>
      <c r="U247" s="130"/>
      <c r="V247" s="128"/>
      <c r="W247" s="128"/>
      <c r="X247" s="131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32"/>
      <c r="AJ247" s="126"/>
      <c r="AK247" s="125"/>
      <c r="AL247" s="126"/>
      <c r="AM247" s="126"/>
      <c r="AN247" s="126"/>
      <c r="AO247" s="126"/>
      <c r="AP247" s="126"/>
      <c r="AQ247" s="133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/>
      <c r="BB247" s="126"/>
      <c r="BC247" s="126"/>
      <c r="BD247" s="126"/>
      <c r="BE247" s="126"/>
      <c r="BF247" s="126"/>
      <c r="BG247" s="126"/>
      <c r="BH247" s="136"/>
      <c r="BI247" s="145"/>
      <c r="BJ247" s="122"/>
      <c r="BK247" s="126"/>
    </row>
    <row r="248" s="50" customFormat="1" spans="1:63">
      <c r="A248" s="73"/>
      <c r="B248" s="122"/>
      <c r="C248" s="122"/>
      <c r="D248" s="122"/>
      <c r="E248" s="160"/>
      <c r="F248" s="122"/>
      <c r="G248" s="122"/>
      <c r="H248" s="125"/>
      <c r="I248" s="126"/>
      <c r="J248" s="126"/>
      <c r="K248" s="127"/>
      <c r="L248" s="126"/>
      <c r="M248" s="126"/>
      <c r="N248" s="126"/>
      <c r="O248" s="126"/>
      <c r="P248" s="128"/>
      <c r="Q248" s="128"/>
      <c r="R248" s="126"/>
      <c r="S248" s="126"/>
      <c r="T248" s="129"/>
      <c r="U248" s="130"/>
      <c r="V248" s="128"/>
      <c r="W248" s="128"/>
      <c r="X248" s="131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32"/>
      <c r="AJ248" s="126"/>
      <c r="AK248" s="125"/>
      <c r="AL248" s="126"/>
      <c r="AM248" s="126"/>
      <c r="AN248" s="126"/>
      <c r="AO248" s="126"/>
      <c r="AP248" s="126"/>
      <c r="AQ248" s="133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  <c r="BC248" s="126"/>
      <c r="BD248" s="126"/>
      <c r="BE248" s="126"/>
      <c r="BF248" s="126"/>
      <c r="BG248" s="126"/>
      <c r="BH248" s="136"/>
      <c r="BI248" s="145"/>
      <c r="BJ248" s="122"/>
      <c r="BK248" s="126"/>
    </row>
    <row r="249" s="18" customFormat="1" spans="1:63">
      <c r="A249" s="73"/>
      <c r="B249" s="101"/>
      <c r="C249" s="101"/>
      <c r="D249" s="101"/>
      <c r="E249" s="159"/>
      <c r="F249" s="101"/>
      <c r="G249" s="101"/>
      <c r="H249" s="120"/>
      <c r="I249" s="43"/>
      <c r="J249" s="43"/>
      <c r="K249" s="113"/>
      <c r="L249" s="43"/>
      <c r="M249" s="43"/>
      <c r="N249" s="43"/>
      <c r="O249" s="43"/>
      <c r="P249" s="114"/>
      <c r="Q249" s="114"/>
      <c r="R249" s="43"/>
      <c r="S249" s="43"/>
      <c r="T249" s="111"/>
      <c r="U249" s="116"/>
      <c r="V249" s="114"/>
      <c r="W249" s="114"/>
      <c r="X249" s="115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118"/>
      <c r="AJ249" s="43"/>
      <c r="AK249" s="120"/>
      <c r="AL249" s="43"/>
      <c r="AM249" s="43"/>
      <c r="AN249" s="43"/>
      <c r="AO249" s="43"/>
      <c r="AP249" s="43"/>
      <c r="AQ249" s="119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83"/>
      <c r="BI249" s="142"/>
      <c r="BJ249" s="101"/>
      <c r="BK249" s="43"/>
    </row>
    <row r="250" s="50" customFormat="1" spans="1:63">
      <c r="A250" s="73"/>
      <c r="B250" s="122"/>
      <c r="C250" s="122"/>
      <c r="D250" s="122"/>
      <c r="E250" s="160"/>
      <c r="F250" s="122"/>
      <c r="G250" s="122"/>
      <c r="H250" s="125"/>
      <c r="I250" s="126"/>
      <c r="J250" s="126"/>
      <c r="K250" s="127"/>
      <c r="L250" s="126"/>
      <c r="M250" s="126"/>
      <c r="N250" s="126"/>
      <c r="O250" s="126"/>
      <c r="P250" s="128"/>
      <c r="Q250" s="128"/>
      <c r="R250" s="126"/>
      <c r="S250" s="126"/>
      <c r="T250" s="129"/>
      <c r="U250" s="130"/>
      <c r="V250" s="128"/>
      <c r="W250" s="128"/>
      <c r="X250" s="131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32"/>
      <c r="AJ250" s="126"/>
      <c r="AK250" s="125"/>
      <c r="AL250" s="126"/>
      <c r="AM250" s="126"/>
      <c r="AN250" s="126"/>
      <c r="AO250" s="126"/>
      <c r="AP250" s="126"/>
      <c r="AQ250" s="133"/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126"/>
      <c r="BB250" s="126"/>
      <c r="BC250" s="126"/>
      <c r="BD250" s="126"/>
      <c r="BE250" s="126"/>
      <c r="BF250" s="126"/>
      <c r="BG250" s="126"/>
      <c r="BH250" s="136"/>
      <c r="BI250" s="145"/>
      <c r="BJ250" s="122"/>
      <c r="BK250" s="126"/>
    </row>
    <row r="251" s="50" customFormat="1" spans="1:63">
      <c r="A251" s="73"/>
      <c r="B251" s="122"/>
      <c r="C251" s="122"/>
      <c r="D251" s="122"/>
      <c r="E251" s="160"/>
      <c r="F251" s="122"/>
      <c r="G251" s="122"/>
      <c r="H251" s="125"/>
      <c r="I251" s="126"/>
      <c r="J251" s="126"/>
      <c r="K251" s="127"/>
      <c r="L251" s="126"/>
      <c r="M251" s="126"/>
      <c r="N251" s="126"/>
      <c r="O251" s="126"/>
      <c r="P251" s="128"/>
      <c r="Q251" s="128"/>
      <c r="R251" s="126"/>
      <c r="S251" s="126"/>
      <c r="T251" s="129"/>
      <c r="U251" s="130"/>
      <c r="V251" s="128"/>
      <c r="W251" s="128"/>
      <c r="X251" s="131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32"/>
      <c r="AJ251" s="126"/>
      <c r="AK251" s="125"/>
      <c r="AL251" s="126"/>
      <c r="AM251" s="126"/>
      <c r="AN251" s="126"/>
      <c r="AO251" s="126"/>
      <c r="AP251" s="126"/>
      <c r="AQ251" s="133"/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126"/>
      <c r="BB251" s="126"/>
      <c r="BC251" s="126"/>
      <c r="BD251" s="126"/>
      <c r="BE251" s="126"/>
      <c r="BF251" s="126"/>
      <c r="BG251" s="126"/>
      <c r="BH251" s="136"/>
      <c r="BI251" s="145"/>
      <c r="BJ251" s="122"/>
      <c r="BK251" s="126"/>
    </row>
    <row r="252" s="50" customFormat="1" spans="1:63">
      <c r="A252" s="73"/>
      <c r="B252" s="122"/>
      <c r="C252" s="122"/>
      <c r="D252" s="122"/>
      <c r="E252" s="160"/>
      <c r="F252" s="122"/>
      <c r="G252" s="122"/>
      <c r="H252" s="125"/>
      <c r="I252" s="126"/>
      <c r="J252" s="126"/>
      <c r="K252" s="127"/>
      <c r="L252" s="126"/>
      <c r="M252" s="126"/>
      <c r="N252" s="126"/>
      <c r="O252" s="126"/>
      <c r="P252" s="128"/>
      <c r="Q252" s="128"/>
      <c r="R252" s="126"/>
      <c r="S252" s="126"/>
      <c r="T252" s="129"/>
      <c r="U252" s="130"/>
      <c r="V252" s="128"/>
      <c r="W252" s="128"/>
      <c r="X252" s="131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32"/>
      <c r="AJ252" s="126"/>
      <c r="AK252" s="125"/>
      <c r="AL252" s="126"/>
      <c r="AM252" s="126"/>
      <c r="AN252" s="126"/>
      <c r="AO252" s="126"/>
      <c r="AP252" s="126"/>
      <c r="AQ252" s="133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  <c r="BC252" s="126"/>
      <c r="BD252" s="126"/>
      <c r="BE252" s="126"/>
      <c r="BF252" s="126"/>
      <c r="BG252" s="126"/>
      <c r="BH252" s="136"/>
      <c r="BI252" s="145"/>
      <c r="BJ252" s="122"/>
      <c r="BK252" s="126"/>
    </row>
    <row r="253" s="18" customFormat="1" spans="1:63">
      <c r="A253" s="73"/>
      <c r="B253" s="101"/>
      <c r="C253" s="101"/>
      <c r="D253" s="101"/>
      <c r="E253" s="159"/>
      <c r="F253" s="101"/>
      <c r="G253" s="101"/>
      <c r="H253" s="120"/>
      <c r="I253" s="43"/>
      <c r="J253" s="43"/>
      <c r="K253" s="113"/>
      <c r="L253" s="43"/>
      <c r="M253" s="43"/>
      <c r="N253" s="43"/>
      <c r="O253" s="43"/>
      <c r="P253" s="114"/>
      <c r="Q253" s="114"/>
      <c r="R253" s="43"/>
      <c r="S253" s="43"/>
      <c r="T253" s="111"/>
      <c r="U253" s="116"/>
      <c r="V253" s="114"/>
      <c r="W253" s="114"/>
      <c r="X253" s="115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118"/>
      <c r="AJ253" s="43"/>
      <c r="AK253" s="120"/>
      <c r="AL253" s="43"/>
      <c r="AM253" s="43"/>
      <c r="AN253" s="43"/>
      <c r="AO253" s="43"/>
      <c r="AP253" s="43"/>
      <c r="AQ253" s="119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83"/>
      <c r="BI253" s="142"/>
      <c r="BJ253" s="101"/>
      <c r="BK253" s="43"/>
    </row>
    <row r="254" s="18" customFormat="1" spans="1:63">
      <c r="A254" s="73"/>
      <c r="B254" s="101"/>
      <c r="C254" s="101"/>
      <c r="D254" s="101"/>
      <c r="E254" s="159"/>
      <c r="F254" s="101"/>
      <c r="G254" s="101"/>
      <c r="H254" s="120"/>
      <c r="I254" s="43"/>
      <c r="J254" s="43"/>
      <c r="K254" s="113"/>
      <c r="L254" s="43"/>
      <c r="M254" s="43"/>
      <c r="N254" s="43"/>
      <c r="O254" s="43"/>
      <c r="P254" s="114"/>
      <c r="Q254" s="114"/>
      <c r="R254" s="43"/>
      <c r="S254" s="43"/>
      <c r="T254" s="111"/>
      <c r="U254" s="116"/>
      <c r="V254" s="114"/>
      <c r="W254" s="114"/>
      <c r="X254" s="115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118"/>
      <c r="AJ254" s="43"/>
      <c r="AK254" s="120"/>
      <c r="AL254" s="43"/>
      <c r="AM254" s="43"/>
      <c r="AN254" s="43"/>
      <c r="AO254" s="43"/>
      <c r="AP254" s="43"/>
      <c r="AQ254" s="119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83"/>
      <c r="BI254" s="142"/>
      <c r="BJ254" s="101"/>
      <c r="BK254" s="43"/>
    </row>
    <row r="255" s="18" customFormat="1" spans="1:63">
      <c r="A255" s="73"/>
      <c r="B255" s="101"/>
      <c r="C255" s="101"/>
      <c r="D255" s="101"/>
      <c r="E255" s="159"/>
      <c r="F255" s="101"/>
      <c r="G255" s="101"/>
      <c r="H255" s="120"/>
      <c r="I255" s="43"/>
      <c r="J255" s="43"/>
      <c r="K255" s="113"/>
      <c r="L255" s="43"/>
      <c r="M255" s="43"/>
      <c r="N255" s="43"/>
      <c r="O255" s="43"/>
      <c r="P255" s="114"/>
      <c r="Q255" s="114"/>
      <c r="R255" s="43"/>
      <c r="S255" s="43"/>
      <c r="T255" s="111"/>
      <c r="U255" s="116"/>
      <c r="V255" s="114"/>
      <c r="W255" s="114"/>
      <c r="X255" s="115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118"/>
      <c r="AJ255" s="43"/>
      <c r="AK255" s="120"/>
      <c r="AL255" s="43"/>
      <c r="AM255" s="43"/>
      <c r="AN255" s="43"/>
      <c r="AO255" s="43"/>
      <c r="AP255" s="43"/>
      <c r="AQ255" s="119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83"/>
      <c r="BI255" s="142"/>
      <c r="BJ255" s="101"/>
      <c r="BK255" s="43"/>
    </row>
    <row r="256" s="18" customFormat="1" spans="1:63">
      <c r="A256" s="73"/>
      <c r="B256" s="101"/>
      <c r="C256" s="101"/>
      <c r="D256" s="101"/>
      <c r="E256" s="159"/>
      <c r="F256" s="101"/>
      <c r="G256" s="101"/>
      <c r="H256" s="120"/>
      <c r="I256" s="43"/>
      <c r="J256" s="43"/>
      <c r="K256" s="113"/>
      <c r="L256" s="43"/>
      <c r="M256" s="43"/>
      <c r="N256" s="43"/>
      <c r="O256" s="43"/>
      <c r="P256" s="114"/>
      <c r="Q256" s="114"/>
      <c r="R256" s="43"/>
      <c r="S256" s="43"/>
      <c r="T256" s="111"/>
      <c r="U256" s="116"/>
      <c r="V256" s="114"/>
      <c r="W256" s="114"/>
      <c r="X256" s="115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118"/>
      <c r="AJ256" s="43"/>
      <c r="AK256" s="120"/>
      <c r="AL256" s="43"/>
      <c r="AM256" s="43"/>
      <c r="AN256" s="43"/>
      <c r="AO256" s="43"/>
      <c r="AP256" s="43"/>
      <c r="AQ256" s="119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83"/>
      <c r="BI256" s="142"/>
      <c r="BJ256" s="101"/>
      <c r="BK256" s="43"/>
    </row>
    <row r="257" s="18" customFormat="1" spans="1:63">
      <c r="A257" s="73"/>
      <c r="B257" s="101"/>
      <c r="C257" s="101"/>
      <c r="D257" s="101"/>
      <c r="E257" s="159"/>
      <c r="F257" s="101"/>
      <c r="G257" s="101"/>
      <c r="H257" s="120"/>
      <c r="I257" s="43"/>
      <c r="J257" s="43"/>
      <c r="K257" s="113"/>
      <c r="L257" s="43"/>
      <c r="M257" s="43"/>
      <c r="N257" s="43"/>
      <c r="O257" s="43"/>
      <c r="P257" s="114"/>
      <c r="Q257" s="114"/>
      <c r="R257" s="43"/>
      <c r="S257" s="43"/>
      <c r="T257" s="111"/>
      <c r="U257" s="116"/>
      <c r="V257" s="114"/>
      <c r="W257" s="114"/>
      <c r="X257" s="115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118"/>
      <c r="AJ257" s="43"/>
      <c r="AK257" s="120"/>
      <c r="AL257" s="43"/>
      <c r="AM257" s="43"/>
      <c r="AN257" s="43"/>
      <c r="AO257" s="43"/>
      <c r="AP257" s="43"/>
      <c r="AQ257" s="119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83"/>
      <c r="BI257" s="142"/>
      <c r="BJ257" s="101"/>
      <c r="BK257" s="43"/>
    </row>
    <row r="258" s="18" customFormat="1" spans="1:63">
      <c r="A258" s="73"/>
      <c r="B258" s="101"/>
      <c r="C258" s="101"/>
      <c r="D258" s="101"/>
      <c r="E258" s="159"/>
      <c r="F258" s="101"/>
      <c r="G258" s="101"/>
      <c r="H258" s="120"/>
      <c r="I258" s="43"/>
      <c r="J258" s="43"/>
      <c r="K258" s="113"/>
      <c r="L258" s="43"/>
      <c r="M258" s="43"/>
      <c r="N258" s="43"/>
      <c r="O258" s="43"/>
      <c r="P258" s="114"/>
      <c r="Q258" s="114"/>
      <c r="R258" s="43"/>
      <c r="S258" s="43"/>
      <c r="T258" s="111"/>
      <c r="U258" s="116"/>
      <c r="V258" s="114"/>
      <c r="W258" s="114"/>
      <c r="X258" s="115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118"/>
      <c r="AJ258" s="43"/>
      <c r="AK258" s="120"/>
      <c r="AL258" s="43"/>
      <c r="AM258" s="43"/>
      <c r="AN258" s="43"/>
      <c r="AO258" s="43"/>
      <c r="AP258" s="43"/>
      <c r="AQ258" s="119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83"/>
      <c r="BI258" s="142"/>
      <c r="BJ258" s="101"/>
      <c r="BK258" s="43"/>
    </row>
    <row r="259" s="50" customFormat="1" spans="1:63">
      <c r="A259" s="73"/>
      <c r="B259" s="122"/>
      <c r="C259" s="122"/>
      <c r="D259" s="122"/>
      <c r="E259" s="160"/>
      <c r="F259" s="122"/>
      <c r="G259" s="122"/>
      <c r="H259" s="125"/>
      <c r="I259" s="126"/>
      <c r="J259" s="126"/>
      <c r="K259" s="127"/>
      <c r="L259" s="126"/>
      <c r="M259" s="126"/>
      <c r="N259" s="126"/>
      <c r="O259" s="126"/>
      <c r="P259" s="128"/>
      <c r="Q259" s="128"/>
      <c r="R259" s="126"/>
      <c r="S259" s="126"/>
      <c r="T259" s="129"/>
      <c r="U259" s="130"/>
      <c r="V259" s="128"/>
      <c r="W259" s="128"/>
      <c r="X259" s="131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32"/>
      <c r="AJ259" s="126"/>
      <c r="AK259" s="125"/>
      <c r="AL259" s="126"/>
      <c r="AM259" s="126"/>
      <c r="AN259" s="126"/>
      <c r="AO259" s="126"/>
      <c r="AP259" s="126"/>
      <c r="AQ259" s="133"/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126"/>
      <c r="BB259" s="126"/>
      <c r="BC259" s="126"/>
      <c r="BD259" s="126"/>
      <c r="BE259" s="126"/>
      <c r="BF259" s="126"/>
      <c r="BG259" s="126"/>
      <c r="BH259" s="136"/>
      <c r="BI259" s="145"/>
      <c r="BJ259" s="122"/>
      <c r="BK259" s="126"/>
    </row>
    <row r="260" s="18" customFormat="1" spans="1:63">
      <c r="A260" s="73"/>
      <c r="B260" s="101"/>
      <c r="C260" s="101"/>
      <c r="D260" s="101"/>
      <c r="E260" s="159"/>
      <c r="F260" s="101"/>
      <c r="G260" s="101"/>
      <c r="H260" s="120"/>
      <c r="I260" s="43"/>
      <c r="J260" s="43"/>
      <c r="K260" s="113"/>
      <c r="L260" s="43"/>
      <c r="M260" s="43"/>
      <c r="N260" s="43"/>
      <c r="O260" s="43"/>
      <c r="P260" s="114"/>
      <c r="Q260" s="114"/>
      <c r="R260" s="43"/>
      <c r="S260" s="43"/>
      <c r="T260" s="111"/>
      <c r="U260" s="116"/>
      <c r="V260" s="114"/>
      <c r="W260" s="114"/>
      <c r="X260" s="115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118"/>
      <c r="AJ260" s="43"/>
      <c r="AK260" s="120"/>
      <c r="AL260" s="120"/>
      <c r="AM260" s="120"/>
      <c r="AN260" s="120"/>
      <c r="AO260" s="43"/>
      <c r="AP260" s="43"/>
      <c r="AQ260" s="119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83"/>
      <c r="BI260" s="142"/>
      <c r="BJ260" s="101"/>
      <c r="BK260" s="43"/>
    </row>
    <row r="261" s="18" customFormat="1" spans="1:63">
      <c r="A261" s="73"/>
      <c r="B261" s="101"/>
      <c r="C261" s="101"/>
      <c r="D261" s="101"/>
      <c r="E261" s="159"/>
      <c r="F261" s="101"/>
      <c r="G261" s="101"/>
      <c r="H261" s="120"/>
      <c r="I261" s="43"/>
      <c r="J261" s="43"/>
      <c r="K261" s="113"/>
      <c r="L261" s="43"/>
      <c r="M261" s="43"/>
      <c r="N261" s="43"/>
      <c r="O261" s="43"/>
      <c r="P261" s="114"/>
      <c r="Q261" s="114"/>
      <c r="R261" s="43"/>
      <c r="S261" s="43"/>
      <c r="T261" s="111"/>
      <c r="U261" s="116"/>
      <c r="V261" s="114"/>
      <c r="W261" s="114"/>
      <c r="X261" s="115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118"/>
      <c r="AJ261" s="43"/>
      <c r="AK261" s="120"/>
      <c r="AL261" s="43"/>
      <c r="AM261" s="43"/>
      <c r="AN261" s="43"/>
      <c r="AO261" s="43"/>
      <c r="AP261" s="43"/>
      <c r="AQ261" s="119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83"/>
      <c r="BI261" s="142"/>
      <c r="BJ261" s="101"/>
      <c r="BK261" s="43"/>
    </row>
    <row r="262" s="18" customFormat="1" spans="1:63">
      <c r="A262" s="73"/>
      <c r="B262" s="101"/>
      <c r="C262" s="101"/>
      <c r="D262" s="101"/>
      <c r="E262" s="159"/>
      <c r="F262" s="101"/>
      <c r="G262" s="101"/>
      <c r="H262" s="120"/>
      <c r="I262" s="43"/>
      <c r="J262" s="43"/>
      <c r="K262" s="113"/>
      <c r="L262" s="43"/>
      <c r="M262" s="43"/>
      <c r="N262" s="43"/>
      <c r="O262" s="43"/>
      <c r="P262" s="114"/>
      <c r="Q262" s="114"/>
      <c r="R262" s="43"/>
      <c r="S262" s="43"/>
      <c r="T262" s="111"/>
      <c r="U262" s="116"/>
      <c r="V262" s="114"/>
      <c r="W262" s="114"/>
      <c r="X262" s="115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118"/>
      <c r="AJ262" s="43"/>
      <c r="AK262" s="120"/>
      <c r="AL262" s="43"/>
      <c r="AM262" s="43"/>
      <c r="AN262" s="43"/>
      <c r="AO262" s="43"/>
      <c r="AP262" s="43"/>
      <c r="AQ262" s="119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83"/>
      <c r="BI262" s="142"/>
      <c r="BJ262" s="101"/>
      <c r="BK262" s="43"/>
    </row>
    <row r="263" s="18" customFormat="1" spans="1:63">
      <c r="A263" s="73"/>
      <c r="B263" s="101"/>
      <c r="C263" s="101"/>
      <c r="D263" s="101"/>
      <c r="E263" s="159"/>
      <c r="F263" s="101"/>
      <c r="G263" s="101"/>
      <c r="H263" s="120"/>
      <c r="I263" s="43"/>
      <c r="J263" s="43"/>
      <c r="K263" s="113"/>
      <c r="L263" s="43"/>
      <c r="M263" s="43"/>
      <c r="N263" s="43"/>
      <c r="O263" s="43"/>
      <c r="P263" s="114"/>
      <c r="Q263" s="114"/>
      <c r="R263" s="43"/>
      <c r="S263" s="43"/>
      <c r="T263" s="111"/>
      <c r="U263" s="116"/>
      <c r="V263" s="114"/>
      <c r="W263" s="114"/>
      <c r="X263" s="115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118"/>
      <c r="AJ263" s="43"/>
      <c r="AK263" s="120"/>
      <c r="AL263" s="43"/>
      <c r="AM263" s="43"/>
      <c r="AN263" s="43"/>
      <c r="AO263" s="43"/>
      <c r="AP263" s="43"/>
      <c r="AQ263" s="119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83"/>
      <c r="BI263" s="142"/>
      <c r="BJ263" s="101"/>
      <c r="BK263" s="43"/>
    </row>
    <row r="264" s="18" customFormat="1" spans="1:63">
      <c r="A264" s="73"/>
      <c r="B264" s="101"/>
      <c r="C264" s="101"/>
      <c r="D264" s="101"/>
      <c r="E264" s="159"/>
      <c r="F264" s="101"/>
      <c r="G264" s="101"/>
      <c r="H264" s="120"/>
      <c r="I264" s="43"/>
      <c r="J264" s="43"/>
      <c r="K264" s="113"/>
      <c r="L264" s="43"/>
      <c r="M264" s="43"/>
      <c r="N264" s="43"/>
      <c r="O264" s="43"/>
      <c r="P264" s="114"/>
      <c r="Q264" s="114"/>
      <c r="R264" s="43"/>
      <c r="S264" s="43"/>
      <c r="T264" s="111"/>
      <c r="U264" s="116"/>
      <c r="V264" s="114"/>
      <c r="W264" s="114"/>
      <c r="X264" s="115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118"/>
      <c r="AJ264" s="43"/>
      <c r="AK264" s="120"/>
      <c r="AL264" s="43"/>
      <c r="AM264" s="43"/>
      <c r="AN264" s="43"/>
      <c r="AO264" s="43"/>
      <c r="AP264" s="43"/>
      <c r="AQ264" s="119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83"/>
      <c r="BI264" s="142"/>
      <c r="BJ264" s="101"/>
      <c r="BK264" s="43"/>
    </row>
    <row r="265" s="18" customFormat="1" spans="1:63">
      <c r="A265" s="73"/>
      <c r="B265" s="101"/>
      <c r="C265" s="101"/>
      <c r="D265" s="101"/>
      <c r="E265" s="159"/>
      <c r="F265" s="101"/>
      <c r="G265" s="101"/>
      <c r="H265" s="120"/>
      <c r="I265" s="43"/>
      <c r="J265" s="43"/>
      <c r="K265" s="113"/>
      <c r="L265" s="43"/>
      <c r="M265" s="43"/>
      <c r="N265" s="43"/>
      <c r="O265" s="43"/>
      <c r="P265" s="114"/>
      <c r="Q265" s="114"/>
      <c r="R265" s="43"/>
      <c r="S265" s="43"/>
      <c r="T265" s="111"/>
      <c r="U265" s="116"/>
      <c r="V265" s="114"/>
      <c r="W265" s="114"/>
      <c r="X265" s="115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118"/>
      <c r="AJ265" s="43"/>
      <c r="AK265" s="120"/>
      <c r="AL265" s="43"/>
      <c r="AM265" s="43"/>
      <c r="AN265" s="43"/>
      <c r="AO265" s="43"/>
      <c r="AP265" s="43"/>
      <c r="AQ265" s="119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83"/>
      <c r="BI265" s="142"/>
      <c r="BJ265" s="101"/>
      <c r="BK265" s="43"/>
    </row>
    <row r="266" s="50" customFormat="1" spans="1:63">
      <c r="A266" s="73"/>
      <c r="B266" s="122"/>
      <c r="C266" s="122"/>
      <c r="D266" s="122"/>
      <c r="E266" s="160"/>
      <c r="F266" s="122"/>
      <c r="G266" s="122"/>
      <c r="H266" s="125"/>
      <c r="I266" s="126"/>
      <c r="J266" s="126"/>
      <c r="K266" s="127"/>
      <c r="L266" s="126"/>
      <c r="M266" s="126"/>
      <c r="N266" s="126"/>
      <c r="O266" s="126"/>
      <c r="P266" s="128"/>
      <c r="Q266" s="128"/>
      <c r="R266" s="126"/>
      <c r="S266" s="126"/>
      <c r="T266" s="129"/>
      <c r="U266" s="130"/>
      <c r="V266" s="128"/>
      <c r="W266" s="128"/>
      <c r="X266" s="131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32"/>
      <c r="AJ266" s="126"/>
      <c r="AK266" s="125"/>
      <c r="AL266" s="126"/>
      <c r="AM266" s="126"/>
      <c r="AN266" s="126"/>
      <c r="AO266" s="126"/>
      <c r="AP266" s="126"/>
      <c r="AQ266" s="133"/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126"/>
      <c r="BB266" s="126"/>
      <c r="BC266" s="126"/>
      <c r="BD266" s="126"/>
      <c r="BE266" s="126"/>
      <c r="BF266" s="126"/>
      <c r="BG266" s="126"/>
      <c r="BH266" s="136"/>
      <c r="BI266" s="145"/>
      <c r="BJ266" s="122"/>
      <c r="BK266" s="126"/>
    </row>
    <row r="267" s="50" customFormat="1" spans="1:63">
      <c r="A267" s="73"/>
      <c r="B267" s="122"/>
      <c r="C267" s="122"/>
      <c r="D267" s="122"/>
      <c r="E267" s="160"/>
      <c r="F267" s="122"/>
      <c r="G267" s="122"/>
      <c r="H267" s="125"/>
      <c r="I267" s="126"/>
      <c r="J267" s="126"/>
      <c r="K267" s="127"/>
      <c r="L267" s="126"/>
      <c r="M267" s="126"/>
      <c r="N267" s="126"/>
      <c r="O267" s="126"/>
      <c r="P267" s="128"/>
      <c r="Q267" s="128"/>
      <c r="R267" s="126"/>
      <c r="S267" s="126"/>
      <c r="T267" s="129"/>
      <c r="U267" s="130"/>
      <c r="V267" s="128"/>
      <c r="W267" s="128"/>
      <c r="X267" s="131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32"/>
      <c r="AJ267" s="126"/>
      <c r="AK267" s="125"/>
      <c r="AL267" s="126"/>
      <c r="AM267" s="126"/>
      <c r="AN267" s="126"/>
      <c r="AO267" s="126"/>
      <c r="AP267" s="126"/>
      <c r="AQ267" s="133"/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126"/>
      <c r="BB267" s="126"/>
      <c r="BC267" s="126"/>
      <c r="BD267" s="126"/>
      <c r="BE267" s="126"/>
      <c r="BF267" s="126"/>
      <c r="BG267" s="126"/>
      <c r="BH267" s="136"/>
      <c r="BI267" s="145"/>
      <c r="BJ267" s="122"/>
      <c r="BK267" s="126"/>
    </row>
    <row r="268" s="18" customFormat="1" spans="1:63">
      <c r="A268" s="73"/>
      <c r="B268" s="101"/>
      <c r="C268" s="101"/>
      <c r="D268" s="101"/>
      <c r="E268" s="101"/>
      <c r="F268" s="101"/>
      <c r="G268" s="101"/>
      <c r="H268" s="120"/>
      <c r="I268" s="43"/>
      <c r="J268" s="43"/>
      <c r="K268" s="113"/>
      <c r="L268" s="43"/>
      <c r="M268" s="43"/>
      <c r="N268" s="43"/>
      <c r="O268" s="43"/>
      <c r="P268" s="114"/>
      <c r="Q268" s="114"/>
      <c r="R268" s="43"/>
      <c r="S268" s="43"/>
      <c r="T268" s="111"/>
      <c r="U268" s="116"/>
      <c r="V268" s="114"/>
      <c r="W268" s="114"/>
      <c r="X268" s="115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118"/>
      <c r="AJ268" s="43"/>
      <c r="AK268" s="120"/>
      <c r="AL268" s="120"/>
      <c r="AM268" s="120"/>
      <c r="AN268" s="120"/>
      <c r="AO268" s="120"/>
      <c r="AP268" s="43"/>
      <c r="AQ268" s="119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83"/>
      <c r="BI268" s="142"/>
      <c r="BJ268" s="101"/>
      <c r="BK268" s="43"/>
    </row>
    <row r="269" s="50" customFormat="1" spans="1:63">
      <c r="A269" s="73"/>
      <c r="B269" s="122"/>
      <c r="C269" s="122"/>
      <c r="D269" s="122"/>
      <c r="E269" s="122"/>
      <c r="F269" s="122"/>
      <c r="G269" s="122"/>
      <c r="H269" s="125"/>
      <c r="I269" s="126"/>
      <c r="J269" s="126"/>
      <c r="K269" s="127"/>
      <c r="L269" s="126"/>
      <c r="M269" s="126"/>
      <c r="N269" s="126"/>
      <c r="O269" s="126"/>
      <c r="P269" s="128"/>
      <c r="Q269" s="128"/>
      <c r="R269" s="126"/>
      <c r="S269" s="126"/>
      <c r="T269" s="129"/>
      <c r="U269" s="130"/>
      <c r="V269" s="128"/>
      <c r="W269" s="128"/>
      <c r="X269" s="131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32"/>
      <c r="AJ269" s="126"/>
      <c r="AK269" s="125"/>
      <c r="AL269" s="126"/>
      <c r="AM269" s="126"/>
      <c r="AN269" s="126"/>
      <c r="AO269" s="126"/>
      <c r="AP269" s="126"/>
      <c r="AQ269" s="133"/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126"/>
      <c r="BB269" s="126"/>
      <c r="BC269" s="126"/>
      <c r="BD269" s="126"/>
      <c r="BE269" s="126"/>
      <c r="BF269" s="126"/>
      <c r="BG269" s="126"/>
      <c r="BH269" s="136"/>
      <c r="BI269" s="145"/>
      <c r="BJ269" s="122"/>
      <c r="BK269" s="126"/>
    </row>
    <row r="270" s="18" customFormat="1" spans="1:63">
      <c r="A270" s="73"/>
      <c r="B270" s="101"/>
      <c r="C270" s="101"/>
      <c r="D270" s="101"/>
      <c r="E270" s="101"/>
      <c r="F270" s="101"/>
      <c r="G270" s="101"/>
      <c r="H270" s="120"/>
      <c r="I270" s="43"/>
      <c r="J270" s="43"/>
      <c r="K270" s="113"/>
      <c r="L270" s="43"/>
      <c r="M270" s="43"/>
      <c r="N270" s="43"/>
      <c r="O270" s="43"/>
      <c r="P270" s="114"/>
      <c r="Q270" s="114"/>
      <c r="R270" s="43"/>
      <c r="S270" s="43"/>
      <c r="T270" s="111"/>
      <c r="U270" s="153"/>
      <c r="V270" s="114"/>
      <c r="W270" s="114"/>
      <c r="X270" s="115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118"/>
      <c r="AJ270" s="43"/>
      <c r="AK270" s="120"/>
      <c r="AL270" s="43"/>
      <c r="AM270" s="43"/>
      <c r="AN270" s="43"/>
      <c r="AO270" s="43"/>
      <c r="AP270" s="43"/>
      <c r="AQ270" s="119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83"/>
      <c r="BI270" s="142"/>
      <c r="BJ270" s="101"/>
      <c r="BK270" s="43"/>
    </row>
    <row r="271" s="50" customFormat="1" spans="1:63">
      <c r="A271" s="73"/>
      <c r="B271" s="122"/>
      <c r="C271" s="122"/>
      <c r="D271" s="122"/>
      <c r="E271" s="122"/>
      <c r="F271" s="122"/>
      <c r="G271" s="122"/>
      <c r="H271" s="125"/>
      <c r="I271" s="126"/>
      <c r="J271" s="126"/>
      <c r="K271" s="127"/>
      <c r="L271" s="126"/>
      <c r="M271" s="126"/>
      <c r="N271" s="126"/>
      <c r="O271" s="126"/>
      <c r="P271" s="128"/>
      <c r="Q271" s="128"/>
      <c r="R271" s="126"/>
      <c r="S271" s="126"/>
      <c r="T271" s="129"/>
      <c r="U271" s="130"/>
      <c r="V271" s="128"/>
      <c r="W271" s="128"/>
      <c r="X271" s="131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32"/>
      <c r="AJ271" s="126"/>
      <c r="AK271" s="125"/>
      <c r="AL271" s="126"/>
      <c r="AM271" s="126"/>
      <c r="AN271" s="126"/>
      <c r="AO271" s="126"/>
      <c r="AP271" s="126"/>
      <c r="AQ271" s="133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  <c r="BC271" s="126"/>
      <c r="BD271" s="126"/>
      <c r="BE271" s="126"/>
      <c r="BF271" s="126"/>
      <c r="BG271" s="126"/>
      <c r="BH271" s="136"/>
      <c r="BI271" s="145"/>
      <c r="BJ271" s="122"/>
      <c r="BK271" s="126"/>
    </row>
    <row r="272" s="50" customFormat="1" spans="1:63">
      <c r="A272" s="73"/>
      <c r="B272" s="122"/>
      <c r="C272" s="122"/>
      <c r="D272" s="122"/>
      <c r="E272" s="122"/>
      <c r="F272" s="122"/>
      <c r="G272" s="122"/>
      <c r="H272" s="125"/>
      <c r="I272" s="126"/>
      <c r="J272" s="126"/>
      <c r="K272" s="127"/>
      <c r="L272" s="126"/>
      <c r="M272" s="126"/>
      <c r="N272" s="126"/>
      <c r="O272" s="126"/>
      <c r="P272" s="128"/>
      <c r="Q272" s="128"/>
      <c r="R272" s="126"/>
      <c r="S272" s="126"/>
      <c r="T272" s="129"/>
      <c r="U272" s="130"/>
      <c r="V272" s="128"/>
      <c r="W272" s="128"/>
      <c r="X272" s="131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32"/>
      <c r="AJ272" s="126"/>
      <c r="AK272" s="125"/>
      <c r="AL272" s="126"/>
      <c r="AM272" s="126"/>
      <c r="AN272" s="126"/>
      <c r="AO272" s="126"/>
      <c r="AP272" s="126"/>
      <c r="AQ272" s="133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  <c r="BC272" s="126"/>
      <c r="BD272" s="126"/>
      <c r="BE272" s="126"/>
      <c r="BF272" s="126"/>
      <c r="BG272" s="126"/>
      <c r="BH272" s="136"/>
      <c r="BI272" s="145"/>
      <c r="BJ272" s="122"/>
      <c r="BK272" s="126"/>
    </row>
    <row r="273" s="18" customFormat="1" spans="1:63">
      <c r="A273" s="73"/>
      <c r="B273" s="146"/>
      <c r="C273" s="146"/>
      <c r="D273" s="146"/>
      <c r="E273" s="146"/>
      <c r="F273" s="146"/>
      <c r="G273" s="146"/>
      <c r="H273" s="120"/>
      <c r="I273" s="43"/>
      <c r="J273" s="43"/>
      <c r="K273" s="113"/>
      <c r="L273" s="43"/>
      <c r="M273" s="43"/>
      <c r="N273" s="43"/>
      <c r="O273" s="43"/>
      <c r="P273" s="114"/>
      <c r="Q273" s="114"/>
      <c r="R273" s="43"/>
      <c r="S273" s="43"/>
      <c r="T273" s="111"/>
      <c r="U273" s="153"/>
      <c r="V273" s="114"/>
      <c r="W273" s="114"/>
      <c r="X273" s="115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118"/>
      <c r="AJ273" s="43"/>
      <c r="AK273" s="120"/>
      <c r="AL273" s="43"/>
      <c r="AM273" s="43"/>
      <c r="AN273" s="43"/>
      <c r="AO273" s="43"/>
      <c r="AP273" s="43"/>
      <c r="AQ273" s="119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83"/>
      <c r="BI273" s="142"/>
      <c r="BJ273" s="101"/>
      <c r="BK273" s="43"/>
    </row>
    <row r="274" s="18" customFormat="1" spans="1:63">
      <c r="A274" s="73"/>
      <c r="B274" s="146"/>
      <c r="C274" s="146"/>
      <c r="D274" s="146"/>
      <c r="E274" s="146"/>
      <c r="F274" s="146"/>
      <c r="G274" s="146"/>
      <c r="H274" s="120"/>
      <c r="I274" s="43"/>
      <c r="J274" s="43"/>
      <c r="K274" s="113"/>
      <c r="L274" s="43"/>
      <c r="M274" s="43"/>
      <c r="N274" s="43"/>
      <c r="O274" s="43"/>
      <c r="P274" s="114"/>
      <c r="Q274" s="114"/>
      <c r="R274" s="43"/>
      <c r="S274" s="43"/>
      <c r="T274" s="111"/>
      <c r="U274" s="153"/>
      <c r="V274" s="114"/>
      <c r="W274" s="114"/>
      <c r="X274" s="115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118"/>
      <c r="AJ274" s="43"/>
      <c r="AK274" s="120"/>
      <c r="AL274" s="43"/>
      <c r="AM274" s="43"/>
      <c r="AN274" s="43"/>
      <c r="AO274" s="43"/>
      <c r="AP274" s="43"/>
      <c r="AQ274" s="119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83"/>
      <c r="BI274" s="142"/>
      <c r="BJ274" s="101"/>
      <c r="BK274" s="43"/>
    </row>
    <row r="275" s="18" customFormat="1" spans="1:63">
      <c r="A275" s="73"/>
      <c r="B275" s="146"/>
      <c r="C275" s="146"/>
      <c r="D275" s="146"/>
      <c r="E275" s="146"/>
      <c r="F275" s="146"/>
      <c r="G275" s="146"/>
      <c r="H275" s="120"/>
      <c r="I275" s="43"/>
      <c r="J275" s="43"/>
      <c r="K275" s="113"/>
      <c r="L275" s="43"/>
      <c r="M275" s="43"/>
      <c r="N275" s="43"/>
      <c r="O275" s="43"/>
      <c r="P275" s="114"/>
      <c r="Q275" s="114"/>
      <c r="R275" s="43"/>
      <c r="S275" s="43"/>
      <c r="T275" s="111"/>
      <c r="U275" s="153"/>
      <c r="V275" s="114"/>
      <c r="W275" s="114"/>
      <c r="X275" s="115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118"/>
      <c r="AJ275" s="43"/>
      <c r="AK275" s="120"/>
      <c r="AL275" s="43"/>
      <c r="AM275" s="43"/>
      <c r="AN275" s="43"/>
      <c r="AO275" s="43"/>
      <c r="AP275" s="43"/>
      <c r="AQ275" s="119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83"/>
      <c r="BI275" s="142"/>
      <c r="BJ275" s="101"/>
      <c r="BK275" s="43"/>
    </row>
    <row r="276" s="18" customFormat="1" spans="1:63">
      <c r="A276" s="73"/>
      <c r="B276" s="146"/>
      <c r="C276" s="146"/>
      <c r="D276" s="146"/>
      <c r="E276" s="146"/>
      <c r="F276" s="146"/>
      <c r="G276" s="146"/>
      <c r="H276" s="120"/>
      <c r="I276" s="43"/>
      <c r="J276" s="43"/>
      <c r="K276" s="113"/>
      <c r="L276" s="43"/>
      <c r="M276" s="43"/>
      <c r="N276" s="43"/>
      <c r="O276" s="43"/>
      <c r="P276" s="114"/>
      <c r="Q276" s="114"/>
      <c r="R276" s="43"/>
      <c r="S276" s="43"/>
      <c r="T276" s="111"/>
      <c r="U276" s="153"/>
      <c r="V276" s="114"/>
      <c r="W276" s="114"/>
      <c r="X276" s="115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118"/>
      <c r="AJ276" s="43"/>
      <c r="AK276" s="120"/>
      <c r="AL276" s="43"/>
      <c r="AM276" s="43"/>
      <c r="AN276" s="43"/>
      <c r="AO276" s="43"/>
      <c r="AP276" s="43"/>
      <c r="AQ276" s="119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83"/>
      <c r="BI276" s="142"/>
      <c r="BJ276" s="101"/>
      <c r="BK276" s="43"/>
    </row>
    <row r="277" s="18" customFormat="1" spans="1:63">
      <c r="A277" s="73"/>
      <c r="B277" s="146"/>
      <c r="C277" s="146"/>
      <c r="D277" s="146"/>
      <c r="E277" s="146"/>
      <c r="F277" s="146"/>
      <c r="G277" s="146"/>
      <c r="H277" s="120"/>
      <c r="I277" s="43"/>
      <c r="J277" s="43"/>
      <c r="K277" s="113"/>
      <c r="L277" s="43"/>
      <c r="M277" s="43"/>
      <c r="N277" s="43"/>
      <c r="O277" s="43"/>
      <c r="P277" s="114"/>
      <c r="Q277" s="114"/>
      <c r="R277" s="43"/>
      <c r="S277" s="43"/>
      <c r="T277" s="111"/>
      <c r="U277" s="153"/>
      <c r="V277" s="114"/>
      <c r="W277" s="114"/>
      <c r="X277" s="115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118"/>
      <c r="AJ277" s="43"/>
      <c r="AK277" s="120"/>
      <c r="AL277" s="43"/>
      <c r="AM277" s="43"/>
      <c r="AN277" s="43"/>
      <c r="AO277" s="43"/>
      <c r="AP277" s="43"/>
      <c r="AQ277" s="119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83"/>
      <c r="BI277" s="142"/>
      <c r="BJ277" s="101"/>
      <c r="BK277" s="43"/>
    </row>
    <row r="278" s="18" customFormat="1" spans="1:63">
      <c r="A278" s="73"/>
      <c r="B278" s="146"/>
      <c r="C278" s="146"/>
      <c r="D278" s="146"/>
      <c r="E278" s="146"/>
      <c r="F278" s="146"/>
      <c r="G278" s="146"/>
      <c r="H278" s="120"/>
      <c r="I278" s="43"/>
      <c r="J278" s="43"/>
      <c r="K278" s="113"/>
      <c r="L278" s="43"/>
      <c r="M278" s="43"/>
      <c r="N278" s="43"/>
      <c r="O278" s="43"/>
      <c r="P278" s="114"/>
      <c r="Q278" s="114"/>
      <c r="R278" s="43"/>
      <c r="S278" s="43"/>
      <c r="T278" s="111"/>
      <c r="U278" s="153"/>
      <c r="V278" s="114"/>
      <c r="W278" s="114"/>
      <c r="X278" s="115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118"/>
      <c r="AJ278" s="43"/>
      <c r="AK278" s="120"/>
      <c r="AL278" s="43"/>
      <c r="AM278" s="43"/>
      <c r="AN278" s="43"/>
      <c r="AO278" s="43"/>
      <c r="AP278" s="43"/>
      <c r="AQ278" s="119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83"/>
      <c r="BI278" s="142"/>
      <c r="BJ278" s="101"/>
      <c r="BK278" s="43"/>
    </row>
    <row r="279" s="18" customFormat="1" spans="1:63">
      <c r="A279" s="73"/>
      <c r="B279" s="146"/>
      <c r="C279" s="146"/>
      <c r="D279" s="146"/>
      <c r="E279" s="146"/>
      <c r="F279" s="146"/>
      <c r="G279" s="146"/>
      <c r="H279" s="120"/>
      <c r="I279" s="43"/>
      <c r="J279" s="43"/>
      <c r="K279" s="113"/>
      <c r="L279" s="43"/>
      <c r="M279" s="43"/>
      <c r="N279" s="43"/>
      <c r="O279" s="43"/>
      <c r="P279" s="114"/>
      <c r="Q279" s="114"/>
      <c r="R279" s="43"/>
      <c r="S279" s="43"/>
      <c r="T279" s="111"/>
      <c r="U279" s="153"/>
      <c r="V279" s="114"/>
      <c r="W279" s="114"/>
      <c r="X279" s="115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118"/>
      <c r="AJ279" s="43"/>
      <c r="AK279" s="120"/>
      <c r="AL279" s="43"/>
      <c r="AM279" s="43"/>
      <c r="AN279" s="43"/>
      <c r="AO279" s="43"/>
      <c r="AP279" s="43"/>
      <c r="AQ279" s="119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83"/>
      <c r="BI279" s="142"/>
      <c r="BJ279" s="101"/>
      <c r="BK279" s="43"/>
    </row>
    <row r="280" s="18" customFormat="1" spans="1:63">
      <c r="A280" s="73"/>
      <c r="B280" s="146"/>
      <c r="C280" s="146"/>
      <c r="D280" s="146"/>
      <c r="E280" s="146"/>
      <c r="F280" s="146"/>
      <c r="G280" s="146"/>
      <c r="H280" s="120"/>
      <c r="I280" s="43"/>
      <c r="J280" s="43"/>
      <c r="K280" s="113"/>
      <c r="L280" s="43"/>
      <c r="M280" s="43"/>
      <c r="N280" s="43"/>
      <c r="O280" s="43"/>
      <c r="P280" s="114"/>
      <c r="Q280" s="114"/>
      <c r="R280" s="43"/>
      <c r="S280" s="43"/>
      <c r="T280" s="111"/>
      <c r="U280" s="153"/>
      <c r="V280" s="114"/>
      <c r="W280" s="114"/>
      <c r="X280" s="115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118"/>
      <c r="AJ280" s="43"/>
      <c r="AK280" s="120"/>
      <c r="AL280" s="43"/>
      <c r="AM280" s="43"/>
      <c r="AN280" s="43"/>
      <c r="AO280" s="43"/>
      <c r="AP280" s="43"/>
      <c r="AQ280" s="119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83"/>
      <c r="BI280" s="142"/>
      <c r="BJ280" s="101"/>
      <c r="BK280" s="43"/>
    </row>
    <row r="281" s="18" customFormat="1" spans="1:63">
      <c r="A281" s="73"/>
      <c r="B281" s="146"/>
      <c r="C281" s="146"/>
      <c r="D281" s="146"/>
      <c r="E281" s="146"/>
      <c r="F281" s="146"/>
      <c r="G281" s="146"/>
      <c r="H281" s="120"/>
      <c r="I281" s="43"/>
      <c r="J281" s="43"/>
      <c r="K281" s="113"/>
      <c r="L281" s="43"/>
      <c r="M281" s="43"/>
      <c r="N281" s="43"/>
      <c r="O281" s="43"/>
      <c r="P281" s="114"/>
      <c r="Q281" s="114"/>
      <c r="R281" s="43"/>
      <c r="S281" s="43"/>
      <c r="T281" s="111"/>
      <c r="U281" s="153"/>
      <c r="V281" s="114"/>
      <c r="W281" s="114"/>
      <c r="X281" s="115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118"/>
      <c r="AJ281" s="43"/>
      <c r="AK281" s="120"/>
      <c r="AL281" s="43"/>
      <c r="AM281" s="43"/>
      <c r="AN281" s="43"/>
      <c r="AO281" s="43"/>
      <c r="AP281" s="43"/>
      <c r="AQ281" s="119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83"/>
      <c r="BI281" s="142"/>
      <c r="BJ281" s="101"/>
      <c r="BK281" s="43"/>
    </row>
    <row r="282" s="18" customFormat="1" spans="1:63">
      <c r="A282" s="73"/>
      <c r="B282" s="146"/>
      <c r="C282" s="146"/>
      <c r="D282" s="146"/>
      <c r="E282" s="146"/>
      <c r="F282" s="146"/>
      <c r="G282" s="146"/>
      <c r="H282" s="120"/>
      <c r="I282" s="43"/>
      <c r="J282" s="43"/>
      <c r="K282" s="113"/>
      <c r="L282" s="43"/>
      <c r="M282" s="43"/>
      <c r="N282" s="43"/>
      <c r="O282" s="43"/>
      <c r="P282" s="114"/>
      <c r="Q282" s="114"/>
      <c r="R282" s="43"/>
      <c r="S282" s="43"/>
      <c r="T282" s="111"/>
      <c r="U282" s="153"/>
      <c r="V282" s="114"/>
      <c r="W282" s="114"/>
      <c r="X282" s="115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118"/>
      <c r="AJ282" s="43"/>
      <c r="AK282" s="120"/>
      <c r="AL282" s="43"/>
      <c r="AM282" s="43"/>
      <c r="AN282" s="43"/>
      <c r="AO282" s="43"/>
      <c r="AP282" s="43"/>
      <c r="AQ282" s="119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83"/>
      <c r="BI282" s="142"/>
      <c r="BJ282" s="101"/>
      <c r="BK282" s="43"/>
    </row>
    <row r="283" s="18" customFormat="1" spans="1:63">
      <c r="A283" s="73"/>
      <c r="B283" s="146"/>
      <c r="C283" s="146"/>
      <c r="D283" s="146"/>
      <c r="E283" s="146"/>
      <c r="F283" s="146"/>
      <c r="G283" s="146"/>
      <c r="H283" s="120"/>
      <c r="I283" s="43"/>
      <c r="J283" s="43"/>
      <c r="K283" s="113"/>
      <c r="L283" s="43"/>
      <c r="M283" s="43"/>
      <c r="N283" s="43"/>
      <c r="O283" s="43"/>
      <c r="P283" s="114"/>
      <c r="Q283" s="114"/>
      <c r="R283" s="43"/>
      <c r="S283" s="43"/>
      <c r="T283" s="111"/>
      <c r="U283" s="153"/>
      <c r="V283" s="114"/>
      <c r="W283" s="114"/>
      <c r="X283" s="115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118"/>
      <c r="AJ283" s="43"/>
      <c r="AK283" s="120"/>
      <c r="AL283" s="43"/>
      <c r="AM283" s="43"/>
      <c r="AN283" s="43"/>
      <c r="AO283" s="43"/>
      <c r="AP283" s="43"/>
      <c r="AQ283" s="119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83"/>
      <c r="BI283" s="142"/>
      <c r="BJ283" s="101"/>
      <c r="BK283" s="43"/>
    </row>
    <row r="284" s="18" customFormat="1" spans="1:63">
      <c r="A284" s="73"/>
      <c r="B284" s="146"/>
      <c r="C284" s="146"/>
      <c r="D284" s="146"/>
      <c r="E284" s="146"/>
      <c r="F284" s="146"/>
      <c r="G284" s="146"/>
      <c r="H284" s="120"/>
      <c r="I284" s="43"/>
      <c r="J284" s="43"/>
      <c r="K284" s="113"/>
      <c r="L284" s="43"/>
      <c r="M284" s="43"/>
      <c r="N284" s="43"/>
      <c r="O284" s="43"/>
      <c r="P284" s="114"/>
      <c r="Q284" s="114"/>
      <c r="R284" s="43"/>
      <c r="S284" s="43"/>
      <c r="T284" s="111"/>
      <c r="U284" s="153"/>
      <c r="V284" s="114"/>
      <c r="W284" s="114"/>
      <c r="X284" s="115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118"/>
      <c r="AJ284" s="43"/>
      <c r="AK284" s="120"/>
      <c r="AL284" s="43"/>
      <c r="AM284" s="43"/>
      <c r="AN284" s="43"/>
      <c r="AO284" s="43"/>
      <c r="AP284" s="43"/>
      <c r="AQ284" s="119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83"/>
      <c r="BI284" s="142"/>
      <c r="BJ284" s="101"/>
      <c r="BK284" s="43"/>
    </row>
    <row r="285" s="18" customFormat="1" spans="1:63">
      <c r="A285" s="73"/>
      <c r="B285" s="146"/>
      <c r="C285" s="146"/>
      <c r="D285" s="146"/>
      <c r="E285" s="146"/>
      <c r="F285" s="146"/>
      <c r="G285" s="146"/>
      <c r="H285" s="120"/>
      <c r="I285" s="43"/>
      <c r="J285" s="43"/>
      <c r="K285" s="113"/>
      <c r="L285" s="43"/>
      <c r="M285" s="43"/>
      <c r="N285" s="43"/>
      <c r="O285" s="43"/>
      <c r="P285" s="114"/>
      <c r="Q285" s="114"/>
      <c r="R285" s="43"/>
      <c r="S285" s="43"/>
      <c r="T285" s="111"/>
      <c r="U285" s="153"/>
      <c r="V285" s="114"/>
      <c r="W285" s="114"/>
      <c r="X285" s="115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118"/>
      <c r="AJ285" s="43"/>
      <c r="AK285" s="120"/>
      <c r="AL285" s="43"/>
      <c r="AM285" s="43"/>
      <c r="AN285" s="43"/>
      <c r="AO285" s="43"/>
      <c r="AP285" s="43"/>
      <c r="AQ285" s="119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83"/>
      <c r="BI285" s="142"/>
      <c r="BJ285" s="101"/>
      <c r="BK285" s="43"/>
    </row>
    <row r="286" s="18" customFormat="1" spans="1:63">
      <c r="A286" s="73"/>
      <c r="B286" s="146"/>
      <c r="C286" s="146"/>
      <c r="D286" s="146"/>
      <c r="E286" s="146"/>
      <c r="F286" s="146"/>
      <c r="G286" s="146"/>
      <c r="H286" s="120"/>
      <c r="I286" s="43"/>
      <c r="J286" s="43"/>
      <c r="K286" s="113"/>
      <c r="L286" s="43"/>
      <c r="M286" s="43"/>
      <c r="N286" s="43"/>
      <c r="O286" s="43"/>
      <c r="P286" s="114"/>
      <c r="Q286" s="114"/>
      <c r="R286" s="43"/>
      <c r="S286" s="43"/>
      <c r="T286" s="111"/>
      <c r="U286" s="153"/>
      <c r="V286" s="114"/>
      <c r="W286" s="114"/>
      <c r="X286" s="115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118"/>
      <c r="AJ286" s="43"/>
      <c r="AK286" s="120"/>
      <c r="AL286" s="43"/>
      <c r="AM286" s="43"/>
      <c r="AN286" s="43"/>
      <c r="AO286" s="43"/>
      <c r="AP286" s="43"/>
      <c r="AQ286" s="119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83"/>
      <c r="BI286" s="142"/>
      <c r="BJ286" s="101"/>
      <c r="BK286" s="43"/>
    </row>
    <row r="287" s="18" customFormat="1" spans="1:63">
      <c r="A287" s="73"/>
      <c r="B287" s="146"/>
      <c r="C287" s="146"/>
      <c r="D287" s="146"/>
      <c r="E287" s="146"/>
      <c r="F287" s="146"/>
      <c r="G287" s="146"/>
      <c r="H287" s="120"/>
      <c r="I287" s="43"/>
      <c r="J287" s="43"/>
      <c r="K287" s="113"/>
      <c r="L287" s="43"/>
      <c r="M287" s="43"/>
      <c r="N287" s="43"/>
      <c r="O287" s="43"/>
      <c r="P287" s="114"/>
      <c r="Q287" s="114"/>
      <c r="R287" s="43"/>
      <c r="S287" s="43"/>
      <c r="T287" s="111"/>
      <c r="U287" s="153"/>
      <c r="V287" s="114"/>
      <c r="W287" s="114"/>
      <c r="X287" s="115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118"/>
      <c r="AJ287" s="43"/>
      <c r="AK287" s="120"/>
      <c r="AL287" s="43"/>
      <c r="AM287" s="43"/>
      <c r="AN287" s="43"/>
      <c r="AO287" s="43"/>
      <c r="AP287" s="43"/>
      <c r="AQ287" s="119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83"/>
      <c r="BI287" s="142"/>
      <c r="BJ287" s="101"/>
      <c r="BK287" s="43"/>
    </row>
    <row r="288" s="18" customFormat="1" spans="1:63">
      <c r="A288" s="73"/>
      <c r="B288" s="146"/>
      <c r="C288" s="146"/>
      <c r="D288" s="146"/>
      <c r="E288" s="146"/>
      <c r="F288" s="146"/>
      <c r="G288" s="146"/>
      <c r="H288" s="120"/>
      <c r="I288" s="43"/>
      <c r="J288" s="43"/>
      <c r="K288" s="113"/>
      <c r="L288" s="43"/>
      <c r="M288" s="43"/>
      <c r="N288" s="43"/>
      <c r="O288" s="43"/>
      <c r="P288" s="114"/>
      <c r="Q288" s="114"/>
      <c r="R288" s="43"/>
      <c r="S288" s="43"/>
      <c r="T288" s="111"/>
      <c r="U288" s="153"/>
      <c r="V288" s="114"/>
      <c r="W288" s="114"/>
      <c r="X288" s="115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118"/>
      <c r="AJ288" s="43"/>
      <c r="AK288" s="120"/>
      <c r="AL288" s="43"/>
      <c r="AM288" s="43"/>
      <c r="AN288" s="43"/>
      <c r="AO288" s="43"/>
      <c r="AP288" s="43"/>
      <c r="AQ288" s="119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83"/>
      <c r="BI288" s="142"/>
      <c r="BJ288" s="101"/>
      <c r="BK288" s="43"/>
    </row>
    <row r="289" s="18" customFormat="1" spans="1:63">
      <c r="A289" s="73"/>
      <c r="B289" s="146"/>
      <c r="C289" s="146"/>
      <c r="D289" s="146"/>
      <c r="E289" s="146"/>
      <c r="F289" s="146"/>
      <c r="G289" s="146"/>
      <c r="H289" s="120"/>
      <c r="I289" s="43"/>
      <c r="J289" s="43"/>
      <c r="K289" s="113"/>
      <c r="L289" s="43"/>
      <c r="M289" s="43"/>
      <c r="N289" s="43"/>
      <c r="O289" s="43"/>
      <c r="P289" s="114"/>
      <c r="Q289" s="114"/>
      <c r="R289" s="43"/>
      <c r="S289" s="43"/>
      <c r="T289" s="111"/>
      <c r="U289" s="153"/>
      <c r="V289" s="114"/>
      <c r="W289" s="114"/>
      <c r="X289" s="115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118"/>
      <c r="AJ289" s="43"/>
      <c r="AK289" s="120"/>
      <c r="AL289" s="43"/>
      <c r="AM289" s="43"/>
      <c r="AN289" s="43"/>
      <c r="AO289" s="43"/>
      <c r="AP289" s="43"/>
      <c r="AQ289" s="119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83"/>
      <c r="BI289" s="142"/>
      <c r="BJ289" s="101"/>
      <c r="BK289" s="43"/>
    </row>
    <row r="290" s="18" customFormat="1" spans="1:63">
      <c r="A290" s="73"/>
      <c r="B290" s="146"/>
      <c r="C290" s="146"/>
      <c r="D290" s="146"/>
      <c r="E290" s="146"/>
      <c r="F290" s="146"/>
      <c r="G290" s="146"/>
      <c r="H290" s="120"/>
      <c r="I290" s="43"/>
      <c r="J290" s="43"/>
      <c r="K290" s="113"/>
      <c r="L290" s="43"/>
      <c r="M290" s="43"/>
      <c r="N290" s="43"/>
      <c r="O290" s="43"/>
      <c r="P290" s="114"/>
      <c r="Q290" s="114"/>
      <c r="R290" s="43"/>
      <c r="S290" s="43"/>
      <c r="T290" s="111"/>
      <c r="U290" s="153"/>
      <c r="V290" s="114"/>
      <c r="W290" s="114"/>
      <c r="X290" s="115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118"/>
      <c r="AJ290" s="43"/>
      <c r="AK290" s="120"/>
      <c r="AL290" s="43"/>
      <c r="AM290" s="43"/>
      <c r="AN290" s="43"/>
      <c r="AO290" s="43"/>
      <c r="AP290" s="43"/>
      <c r="AQ290" s="119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83"/>
      <c r="BI290" s="142"/>
      <c r="BJ290" s="101"/>
      <c r="BK290" s="43"/>
    </row>
    <row r="291" s="18" customFormat="1" spans="1:63">
      <c r="A291" s="73"/>
      <c r="B291" s="146"/>
      <c r="C291" s="146"/>
      <c r="D291" s="146"/>
      <c r="E291" s="146"/>
      <c r="F291" s="146"/>
      <c r="G291" s="146"/>
      <c r="H291" s="120"/>
      <c r="I291" s="43"/>
      <c r="J291" s="43"/>
      <c r="K291" s="113"/>
      <c r="L291" s="43"/>
      <c r="M291" s="43"/>
      <c r="N291" s="43"/>
      <c r="O291" s="43"/>
      <c r="P291" s="114"/>
      <c r="Q291" s="114"/>
      <c r="R291" s="43"/>
      <c r="S291" s="43"/>
      <c r="T291" s="111"/>
      <c r="U291" s="153"/>
      <c r="V291" s="114"/>
      <c r="W291" s="114"/>
      <c r="X291" s="115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118"/>
      <c r="AJ291" s="43"/>
      <c r="AK291" s="120"/>
      <c r="AL291" s="43"/>
      <c r="AM291" s="43"/>
      <c r="AN291" s="43"/>
      <c r="AO291" s="43"/>
      <c r="AP291" s="43"/>
      <c r="AQ291" s="119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83"/>
      <c r="BI291" s="142"/>
      <c r="BJ291" s="101"/>
      <c r="BK291" s="43"/>
    </row>
    <row r="292" s="18" customFormat="1" spans="1:63">
      <c r="A292" s="73"/>
      <c r="B292" s="146"/>
      <c r="C292" s="146"/>
      <c r="D292" s="146"/>
      <c r="E292" s="146"/>
      <c r="F292" s="146"/>
      <c r="G292" s="146"/>
      <c r="H292" s="120"/>
      <c r="I292" s="43"/>
      <c r="J292" s="43"/>
      <c r="K292" s="113"/>
      <c r="L292" s="43"/>
      <c r="M292" s="43"/>
      <c r="N292" s="43"/>
      <c r="O292" s="43"/>
      <c r="P292" s="114"/>
      <c r="Q292" s="114"/>
      <c r="R292" s="43"/>
      <c r="S292" s="43"/>
      <c r="T292" s="111"/>
      <c r="U292" s="153"/>
      <c r="V292" s="114"/>
      <c r="W292" s="114"/>
      <c r="X292" s="115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118"/>
      <c r="AJ292" s="43"/>
      <c r="AK292" s="120"/>
      <c r="AL292" s="43"/>
      <c r="AM292" s="43"/>
      <c r="AN292" s="43"/>
      <c r="AO292" s="43"/>
      <c r="AP292" s="43"/>
      <c r="AQ292" s="119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83"/>
      <c r="BI292" s="142"/>
      <c r="BJ292" s="101"/>
      <c r="BK292" s="43"/>
    </row>
    <row r="293" s="18" customFormat="1" spans="1:63">
      <c r="A293" s="73"/>
      <c r="B293" s="146"/>
      <c r="C293" s="146"/>
      <c r="D293" s="146"/>
      <c r="E293" s="146"/>
      <c r="F293" s="146"/>
      <c r="G293" s="146"/>
      <c r="H293" s="120"/>
      <c r="I293" s="43"/>
      <c r="J293" s="43"/>
      <c r="K293" s="113"/>
      <c r="L293" s="43"/>
      <c r="M293" s="43"/>
      <c r="N293" s="43"/>
      <c r="O293" s="43"/>
      <c r="P293" s="114"/>
      <c r="Q293" s="114"/>
      <c r="R293" s="43"/>
      <c r="S293" s="43"/>
      <c r="T293" s="111"/>
      <c r="U293" s="153"/>
      <c r="V293" s="114"/>
      <c r="W293" s="114"/>
      <c r="X293" s="115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118"/>
      <c r="AJ293" s="43"/>
      <c r="AK293" s="120"/>
      <c r="AL293" s="43"/>
      <c r="AM293" s="43"/>
      <c r="AN293" s="43"/>
      <c r="AO293" s="43"/>
      <c r="AP293" s="43"/>
      <c r="AQ293" s="119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83"/>
      <c r="BI293" s="142"/>
      <c r="BJ293" s="101"/>
      <c r="BK293" s="43"/>
    </row>
    <row r="294" s="18" customFormat="1" spans="1:63">
      <c r="A294" s="73"/>
      <c r="B294" s="146"/>
      <c r="C294" s="146"/>
      <c r="D294" s="146"/>
      <c r="E294" s="146"/>
      <c r="F294" s="146"/>
      <c r="G294" s="146"/>
      <c r="H294" s="120"/>
      <c r="I294" s="43"/>
      <c r="J294" s="43"/>
      <c r="K294" s="113"/>
      <c r="L294" s="43"/>
      <c r="M294" s="43"/>
      <c r="N294" s="43"/>
      <c r="O294" s="43"/>
      <c r="P294" s="114"/>
      <c r="Q294" s="114"/>
      <c r="R294" s="43"/>
      <c r="S294" s="43"/>
      <c r="T294" s="111"/>
      <c r="U294" s="153"/>
      <c r="V294" s="114"/>
      <c r="W294" s="114"/>
      <c r="X294" s="115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118"/>
      <c r="AJ294" s="43"/>
      <c r="AK294" s="120"/>
      <c r="AL294" s="43"/>
      <c r="AM294" s="43"/>
      <c r="AN294" s="43"/>
      <c r="AO294" s="43"/>
      <c r="AP294" s="43"/>
      <c r="AQ294" s="119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83"/>
      <c r="BI294" s="142"/>
      <c r="BJ294" s="101"/>
      <c r="BK294" s="43"/>
    </row>
    <row r="295" s="18" customFormat="1" spans="1:63">
      <c r="A295" s="73"/>
      <c r="B295" s="146"/>
      <c r="C295" s="146"/>
      <c r="D295" s="146"/>
      <c r="E295" s="146"/>
      <c r="F295" s="146"/>
      <c r="G295" s="146"/>
      <c r="H295" s="120"/>
      <c r="I295" s="43"/>
      <c r="J295" s="43"/>
      <c r="K295" s="113"/>
      <c r="L295" s="43"/>
      <c r="M295" s="43"/>
      <c r="N295" s="43"/>
      <c r="O295" s="43"/>
      <c r="P295" s="114"/>
      <c r="Q295" s="114"/>
      <c r="R295" s="43"/>
      <c r="S295" s="43"/>
      <c r="T295" s="111"/>
      <c r="U295" s="153"/>
      <c r="V295" s="114"/>
      <c r="W295" s="114"/>
      <c r="X295" s="115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118"/>
      <c r="AJ295" s="43"/>
      <c r="AK295" s="120"/>
      <c r="AL295" s="43"/>
      <c r="AM295" s="43"/>
      <c r="AN295" s="43"/>
      <c r="AO295" s="43"/>
      <c r="AP295" s="43"/>
      <c r="AQ295" s="119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83"/>
      <c r="BI295" s="142"/>
      <c r="BJ295" s="101"/>
      <c r="BK295" s="43"/>
    </row>
    <row r="296" s="18" customFormat="1" spans="1:63">
      <c r="A296" s="73"/>
      <c r="B296" s="146"/>
      <c r="C296" s="146"/>
      <c r="D296" s="146"/>
      <c r="E296" s="146"/>
      <c r="F296" s="146"/>
      <c r="G296" s="146"/>
      <c r="H296" s="120"/>
      <c r="I296" s="43"/>
      <c r="J296" s="43"/>
      <c r="K296" s="113"/>
      <c r="L296" s="43"/>
      <c r="M296" s="43"/>
      <c r="N296" s="43"/>
      <c r="O296" s="43"/>
      <c r="P296" s="114"/>
      <c r="Q296" s="114"/>
      <c r="R296" s="43"/>
      <c r="S296" s="43"/>
      <c r="T296" s="111"/>
      <c r="U296" s="153"/>
      <c r="V296" s="114"/>
      <c r="W296" s="114"/>
      <c r="X296" s="115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118"/>
      <c r="AJ296" s="43"/>
      <c r="AK296" s="120"/>
      <c r="AL296" s="43"/>
      <c r="AM296" s="43"/>
      <c r="AN296" s="43"/>
      <c r="AO296" s="43"/>
      <c r="AP296" s="43"/>
      <c r="AQ296" s="119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83"/>
      <c r="BI296" s="142"/>
      <c r="BJ296" s="101"/>
      <c r="BK296" s="43"/>
    </row>
    <row r="297" s="18" customFormat="1" spans="1:63">
      <c r="A297" s="73"/>
      <c r="B297" s="146"/>
      <c r="C297" s="146"/>
      <c r="D297" s="146"/>
      <c r="E297" s="146"/>
      <c r="F297" s="146"/>
      <c r="G297" s="146"/>
      <c r="H297" s="120"/>
      <c r="I297" s="43"/>
      <c r="J297" s="43"/>
      <c r="K297" s="113"/>
      <c r="L297" s="43"/>
      <c r="M297" s="43"/>
      <c r="N297" s="43"/>
      <c r="O297" s="43"/>
      <c r="P297" s="114"/>
      <c r="Q297" s="114"/>
      <c r="R297" s="43"/>
      <c r="S297" s="43"/>
      <c r="T297" s="111"/>
      <c r="U297" s="153"/>
      <c r="V297" s="114"/>
      <c r="W297" s="114"/>
      <c r="X297" s="115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118"/>
      <c r="AJ297" s="43"/>
      <c r="AK297" s="120"/>
      <c r="AL297" s="43"/>
      <c r="AM297" s="43"/>
      <c r="AN297" s="43"/>
      <c r="AO297" s="43"/>
      <c r="AP297" s="43"/>
      <c r="AQ297" s="119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83"/>
      <c r="BI297" s="142"/>
      <c r="BJ297" s="101"/>
      <c r="BK297" s="43"/>
    </row>
    <row r="298" s="18" customFormat="1" spans="1:63">
      <c r="A298" s="73"/>
      <c r="B298" s="146"/>
      <c r="C298" s="146"/>
      <c r="D298" s="146"/>
      <c r="E298" s="146"/>
      <c r="F298" s="146"/>
      <c r="G298" s="146"/>
      <c r="H298" s="120"/>
      <c r="I298" s="43"/>
      <c r="J298" s="43"/>
      <c r="K298" s="113"/>
      <c r="L298" s="43"/>
      <c r="M298" s="43"/>
      <c r="N298" s="43"/>
      <c r="O298" s="43"/>
      <c r="P298" s="114"/>
      <c r="Q298" s="114"/>
      <c r="R298" s="43"/>
      <c r="S298" s="43"/>
      <c r="T298" s="111"/>
      <c r="U298" s="153"/>
      <c r="V298" s="114"/>
      <c r="W298" s="114"/>
      <c r="X298" s="115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118"/>
      <c r="AJ298" s="43"/>
      <c r="AK298" s="120"/>
      <c r="AL298" s="43"/>
      <c r="AM298" s="43"/>
      <c r="AN298" s="43"/>
      <c r="AO298" s="43"/>
      <c r="AP298" s="43"/>
      <c r="AQ298" s="119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83"/>
      <c r="BI298" s="142"/>
      <c r="BJ298" s="101"/>
      <c r="BK298" s="43"/>
    </row>
    <row r="299" s="18" customFormat="1" spans="1:63">
      <c r="A299" s="73"/>
      <c r="B299" s="146"/>
      <c r="C299" s="146"/>
      <c r="D299" s="146"/>
      <c r="E299" s="146"/>
      <c r="F299" s="146"/>
      <c r="G299" s="146"/>
      <c r="H299" s="120"/>
      <c r="I299" s="43"/>
      <c r="J299" s="43"/>
      <c r="K299" s="113"/>
      <c r="L299" s="43"/>
      <c r="M299" s="43"/>
      <c r="N299" s="43"/>
      <c r="O299" s="43"/>
      <c r="P299" s="114"/>
      <c r="Q299" s="114"/>
      <c r="R299" s="43"/>
      <c r="S299" s="43"/>
      <c r="T299" s="111"/>
      <c r="U299" s="153"/>
      <c r="V299" s="114"/>
      <c r="W299" s="114"/>
      <c r="X299" s="115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118"/>
      <c r="AJ299" s="43"/>
      <c r="AK299" s="120"/>
      <c r="AL299" s="43"/>
      <c r="AM299" s="43"/>
      <c r="AN299" s="43"/>
      <c r="AO299" s="43"/>
      <c r="AP299" s="43"/>
      <c r="AQ299" s="119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83"/>
      <c r="BI299" s="142"/>
      <c r="BJ299" s="101"/>
      <c r="BK299" s="43"/>
    </row>
    <row r="300" s="18" customFormat="1" spans="1:63">
      <c r="A300" s="73"/>
      <c r="B300" s="146"/>
      <c r="C300" s="146"/>
      <c r="D300" s="146"/>
      <c r="E300" s="146"/>
      <c r="F300" s="146"/>
      <c r="G300" s="146"/>
      <c r="H300" s="120"/>
      <c r="I300" s="43"/>
      <c r="J300" s="43"/>
      <c r="K300" s="113"/>
      <c r="L300" s="43"/>
      <c r="M300" s="43"/>
      <c r="N300" s="43"/>
      <c r="O300" s="43"/>
      <c r="P300" s="114"/>
      <c r="Q300" s="114"/>
      <c r="R300" s="43"/>
      <c r="S300" s="43"/>
      <c r="T300" s="111"/>
      <c r="U300" s="153"/>
      <c r="V300" s="114"/>
      <c r="W300" s="114"/>
      <c r="X300" s="115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118"/>
      <c r="AJ300" s="43"/>
      <c r="AK300" s="120"/>
      <c r="AL300" s="43"/>
      <c r="AM300" s="43"/>
      <c r="AN300" s="43"/>
      <c r="AO300" s="43"/>
      <c r="AP300" s="43"/>
      <c r="AQ300" s="119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83"/>
      <c r="BI300" s="142"/>
      <c r="BJ300" s="101"/>
      <c r="BK300" s="43"/>
    </row>
    <row r="301" s="18" customFormat="1" spans="1:63">
      <c r="A301" s="73"/>
      <c r="B301" s="146"/>
      <c r="C301" s="146"/>
      <c r="D301" s="146"/>
      <c r="E301" s="146"/>
      <c r="F301" s="146"/>
      <c r="G301" s="146"/>
      <c r="H301" s="120"/>
      <c r="I301" s="43"/>
      <c r="J301" s="43"/>
      <c r="K301" s="113"/>
      <c r="L301" s="43"/>
      <c r="M301" s="43"/>
      <c r="N301" s="43"/>
      <c r="O301" s="43"/>
      <c r="P301" s="114"/>
      <c r="Q301" s="114"/>
      <c r="R301" s="43"/>
      <c r="S301" s="43"/>
      <c r="T301" s="111"/>
      <c r="U301" s="153"/>
      <c r="V301" s="114"/>
      <c r="W301" s="114"/>
      <c r="X301" s="115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118"/>
      <c r="AJ301" s="43"/>
      <c r="AK301" s="120"/>
      <c r="AL301" s="43"/>
      <c r="AM301" s="43"/>
      <c r="AN301" s="43"/>
      <c r="AO301" s="43"/>
      <c r="AP301" s="43"/>
      <c r="AQ301" s="119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83"/>
      <c r="BI301" s="142"/>
      <c r="BJ301" s="101"/>
      <c r="BK301" s="43"/>
    </row>
    <row r="302" s="18" customFormat="1" spans="1:63">
      <c r="A302" s="73"/>
      <c r="B302" s="146"/>
      <c r="C302" s="146"/>
      <c r="D302" s="146"/>
      <c r="E302" s="146"/>
      <c r="F302" s="146"/>
      <c r="G302" s="146"/>
      <c r="H302" s="120"/>
      <c r="I302" s="43"/>
      <c r="J302" s="43"/>
      <c r="K302" s="113"/>
      <c r="L302" s="43"/>
      <c r="M302" s="43"/>
      <c r="N302" s="43"/>
      <c r="O302" s="43"/>
      <c r="P302" s="114"/>
      <c r="Q302" s="114"/>
      <c r="R302" s="43"/>
      <c r="S302" s="43"/>
      <c r="T302" s="111"/>
      <c r="U302" s="153"/>
      <c r="V302" s="114"/>
      <c r="W302" s="114"/>
      <c r="X302" s="115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118"/>
      <c r="AJ302" s="43"/>
      <c r="AK302" s="120"/>
      <c r="AL302" s="43"/>
      <c r="AM302" s="43"/>
      <c r="AN302" s="43"/>
      <c r="AO302" s="43"/>
      <c r="AP302" s="43"/>
      <c r="AQ302" s="119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83"/>
      <c r="BI302" s="142"/>
      <c r="BJ302" s="101"/>
      <c r="BK302" s="43"/>
    </row>
    <row r="303" s="18" customFormat="1" spans="1:63">
      <c r="A303" s="73"/>
      <c r="B303" s="146"/>
      <c r="C303" s="146"/>
      <c r="D303" s="146"/>
      <c r="E303" s="146"/>
      <c r="F303" s="146"/>
      <c r="G303" s="146"/>
      <c r="H303" s="120"/>
      <c r="I303" s="43"/>
      <c r="J303" s="43"/>
      <c r="K303" s="113"/>
      <c r="L303" s="43"/>
      <c r="M303" s="43"/>
      <c r="N303" s="43"/>
      <c r="O303" s="43"/>
      <c r="P303" s="114"/>
      <c r="Q303" s="114"/>
      <c r="R303" s="43"/>
      <c r="S303" s="43"/>
      <c r="T303" s="111"/>
      <c r="U303" s="153"/>
      <c r="V303" s="114"/>
      <c r="W303" s="114"/>
      <c r="X303" s="115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118"/>
      <c r="AJ303" s="43"/>
      <c r="AK303" s="120"/>
      <c r="AL303" s="43"/>
      <c r="AM303" s="43"/>
      <c r="AN303" s="43"/>
      <c r="AO303" s="43"/>
      <c r="AP303" s="43"/>
      <c r="AQ303" s="119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83"/>
      <c r="BI303" s="142"/>
      <c r="BJ303" s="101"/>
      <c r="BK303" s="43"/>
    </row>
    <row r="304" s="18" customFormat="1" spans="1:63">
      <c r="A304" s="73"/>
      <c r="B304" s="146"/>
      <c r="C304" s="146"/>
      <c r="D304" s="146"/>
      <c r="E304" s="146"/>
      <c r="F304" s="146"/>
      <c r="G304" s="146"/>
      <c r="H304" s="120"/>
      <c r="I304" s="43"/>
      <c r="J304" s="43"/>
      <c r="K304" s="113"/>
      <c r="L304" s="43"/>
      <c r="M304" s="43"/>
      <c r="N304" s="43"/>
      <c r="O304" s="43"/>
      <c r="P304" s="114"/>
      <c r="Q304" s="114"/>
      <c r="R304" s="43"/>
      <c r="S304" s="43"/>
      <c r="T304" s="111"/>
      <c r="U304" s="153"/>
      <c r="V304" s="114"/>
      <c r="W304" s="114"/>
      <c r="X304" s="115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118"/>
      <c r="AJ304" s="43"/>
      <c r="AK304" s="120"/>
      <c r="AL304" s="43"/>
      <c r="AM304" s="43"/>
      <c r="AN304" s="43"/>
      <c r="AO304" s="43"/>
      <c r="AP304" s="43"/>
      <c r="AQ304" s="119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83"/>
      <c r="BI304" s="142"/>
      <c r="BJ304" s="101"/>
      <c r="BK304" s="43"/>
    </row>
    <row r="305" s="18" customFormat="1" spans="1:63">
      <c r="A305" s="73"/>
      <c r="B305" s="146"/>
      <c r="C305" s="146"/>
      <c r="D305" s="146"/>
      <c r="E305" s="146"/>
      <c r="F305" s="146"/>
      <c r="G305" s="146"/>
      <c r="H305" s="120"/>
      <c r="I305" s="43"/>
      <c r="J305" s="43"/>
      <c r="K305" s="113"/>
      <c r="L305" s="43"/>
      <c r="M305" s="43"/>
      <c r="N305" s="43"/>
      <c r="O305" s="43"/>
      <c r="P305" s="114"/>
      <c r="Q305" s="114"/>
      <c r="R305" s="43"/>
      <c r="S305" s="43"/>
      <c r="T305" s="111"/>
      <c r="U305" s="153"/>
      <c r="V305" s="114"/>
      <c r="W305" s="114"/>
      <c r="X305" s="115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118"/>
      <c r="AJ305" s="43"/>
      <c r="AK305" s="120"/>
      <c r="AL305" s="43"/>
      <c r="AM305" s="43"/>
      <c r="AN305" s="43"/>
      <c r="AO305" s="43"/>
      <c r="AP305" s="43"/>
      <c r="AQ305" s="119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83"/>
      <c r="BI305" s="142"/>
      <c r="BJ305" s="101"/>
      <c r="BK305" s="43"/>
    </row>
    <row r="306" s="18" customFormat="1" spans="1:63">
      <c r="A306" s="73"/>
      <c r="B306" s="146"/>
      <c r="C306" s="146"/>
      <c r="D306" s="146"/>
      <c r="E306" s="146"/>
      <c r="F306" s="146"/>
      <c r="G306" s="146"/>
      <c r="H306" s="120"/>
      <c r="I306" s="43"/>
      <c r="J306" s="43"/>
      <c r="K306" s="113"/>
      <c r="L306" s="43"/>
      <c r="M306" s="43"/>
      <c r="N306" s="43"/>
      <c r="O306" s="43"/>
      <c r="P306" s="114"/>
      <c r="Q306" s="114"/>
      <c r="R306" s="43"/>
      <c r="S306" s="43"/>
      <c r="T306" s="111"/>
      <c r="U306" s="153"/>
      <c r="V306" s="114"/>
      <c r="W306" s="114"/>
      <c r="X306" s="115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118"/>
      <c r="AJ306" s="43"/>
      <c r="AK306" s="120"/>
      <c r="AL306" s="43"/>
      <c r="AM306" s="43"/>
      <c r="AN306" s="43"/>
      <c r="AO306" s="43"/>
      <c r="AP306" s="43"/>
      <c r="AQ306" s="119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83"/>
      <c r="BI306" s="142"/>
      <c r="BJ306" s="101"/>
      <c r="BK306" s="43"/>
    </row>
    <row r="307" s="18" customFormat="1" spans="1:63">
      <c r="A307" s="73"/>
      <c r="B307" s="146"/>
      <c r="C307" s="146"/>
      <c r="D307" s="146"/>
      <c r="E307" s="146"/>
      <c r="F307" s="146"/>
      <c r="G307" s="146"/>
      <c r="H307" s="120"/>
      <c r="I307" s="43"/>
      <c r="J307" s="43"/>
      <c r="K307" s="113"/>
      <c r="L307" s="43"/>
      <c r="M307" s="43"/>
      <c r="N307" s="43"/>
      <c r="O307" s="43"/>
      <c r="P307" s="114"/>
      <c r="Q307" s="114"/>
      <c r="R307" s="43"/>
      <c r="S307" s="43"/>
      <c r="T307" s="111"/>
      <c r="U307" s="153"/>
      <c r="V307" s="114"/>
      <c r="W307" s="114"/>
      <c r="X307" s="115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118"/>
      <c r="AJ307" s="43"/>
      <c r="AK307" s="120"/>
      <c r="AL307" s="43"/>
      <c r="AM307" s="43"/>
      <c r="AN307" s="43"/>
      <c r="AO307" s="43"/>
      <c r="AP307" s="43"/>
      <c r="AQ307" s="119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83"/>
      <c r="BI307" s="142"/>
      <c r="BJ307" s="101"/>
      <c r="BK307" s="43"/>
    </row>
    <row r="308" s="18" customFormat="1" spans="1:63">
      <c r="A308" s="73"/>
      <c r="B308" s="146"/>
      <c r="C308" s="146"/>
      <c r="D308" s="146"/>
      <c r="E308" s="146"/>
      <c r="F308" s="146"/>
      <c r="G308" s="146"/>
      <c r="H308" s="120"/>
      <c r="I308" s="43"/>
      <c r="J308" s="43"/>
      <c r="K308" s="113"/>
      <c r="L308" s="43"/>
      <c r="M308" s="43"/>
      <c r="N308" s="43"/>
      <c r="O308" s="43"/>
      <c r="P308" s="114"/>
      <c r="Q308" s="114"/>
      <c r="R308" s="43"/>
      <c r="S308" s="43"/>
      <c r="T308" s="111"/>
      <c r="U308" s="153"/>
      <c r="V308" s="114"/>
      <c r="W308" s="114"/>
      <c r="X308" s="115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118"/>
      <c r="AJ308" s="43"/>
      <c r="AK308" s="120"/>
      <c r="AL308" s="43"/>
      <c r="AM308" s="43"/>
      <c r="AN308" s="43"/>
      <c r="AO308" s="43"/>
      <c r="AP308" s="43"/>
      <c r="AQ308" s="119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83"/>
      <c r="BI308" s="142"/>
      <c r="BJ308" s="101"/>
      <c r="BK308" s="43"/>
    </row>
    <row r="309" s="18" customFormat="1" spans="1:63">
      <c r="A309" s="73"/>
      <c r="B309" s="146"/>
      <c r="C309" s="146"/>
      <c r="D309" s="146"/>
      <c r="E309" s="146"/>
      <c r="F309" s="146"/>
      <c r="G309" s="146"/>
      <c r="H309" s="120"/>
      <c r="I309" s="43"/>
      <c r="J309" s="43"/>
      <c r="K309" s="113"/>
      <c r="L309" s="43"/>
      <c r="M309" s="43"/>
      <c r="N309" s="43"/>
      <c r="O309" s="43"/>
      <c r="P309" s="114"/>
      <c r="Q309" s="114"/>
      <c r="R309" s="43"/>
      <c r="S309" s="43"/>
      <c r="T309" s="111"/>
      <c r="U309" s="153"/>
      <c r="V309" s="114"/>
      <c r="W309" s="114"/>
      <c r="X309" s="115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118"/>
      <c r="AJ309" s="43"/>
      <c r="AK309" s="120"/>
      <c r="AL309" s="120"/>
      <c r="AM309" s="120"/>
      <c r="AN309" s="120"/>
      <c r="AO309" s="120"/>
      <c r="AP309" s="120"/>
      <c r="AQ309" s="119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83"/>
      <c r="BI309" s="142"/>
      <c r="BJ309" s="101"/>
      <c r="BK309" s="43"/>
    </row>
    <row r="310" s="18" customFormat="1" spans="1:63">
      <c r="A310" s="73"/>
      <c r="B310" s="146"/>
      <c r="C310" s="146"/>
      <c r="D310" s="146"/>
      <c r="E310" s="146"/>
      <c r="F310" s="146"/>
      <c r="G310" s="146"/>
      <c r="H310" s="120"/>
      <c r="I310" s="43"/>
      <c r="J310" s="43"/>
      <c r="K310" s="113"/>
      <c r="L310" s="43"/>
      <c r="M310" s="43"/>
      <c r="N310" s="43"/>
      <c r="O310" s="43"/>
      <c r="P310" s="114"/>
      <c r="Q310" s="114"/>
      <c r="R310" s="43"/>
      <c r="S310" s="43"/>
      <c r="T310" s="111"/>
      <c r="U310" s="153"/>
      <c r="V310" s="114"/>
      <c r="W310" s="114"/>
      <c r="X310" s="115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118"/>
      <c r="AJ310" s="43"/>
      <c r="AK310" s="120"/>
      <c r="AL310" s="120"/>
      <c r="AM310" s="120"/>
      <c r="AN310" s="120"/>
      <c r="AO310" s="120"/>
      <c r="AP310" s="120"/>
      <c r="AQ310" s="119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83"/>
      <c r="BI310" s="142"/>
      <c r="BJ310" s="101"/>
      <c r="BK310" s="43"/>
    </row>
    <row r="311" s="18" customFormat="1" spans="1:63">
      <c r="A311" s="73"/>
      <c r="B311" s="146"/>
      <c r="C311" s="146"/>
      <c r="D311" s="146"/>
      <c r="E311" s="146"/>
      <c r="F311" s="146"/>
      <c r="G311" s="146"/>
      <c r="H311" s="43"/>
      <c r="I311" s="43"/>
      <c r="J311" s="43"/>
      <c r="K311" s="113"/>
      <c r="L311" s="43"/>
      <c r="M311" s="43"/>
      <c r="N311" s="43"/>
      <c r="O311" s="43"/>
      <c r="P311" s="114"/>
      <c r="Q311" s="114"/>
      <c r="R311" s="43"/>
      <c r="S311" s="43"/>
      <c r="T311" s="43"/>
      <c r="U311" s="153"/>
      <c r="V311" s="114"/>
      <c r="W311" s="114"/>
      <c r="X311" s="115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118"/>
      <c r="AJ311" s="43"/>
      <c r="AK311" s="120"/>
      <c r="AL311" s="120"/>
      <c r="AM311" s="120"/>
      <c r="AN311" s="120"/>
      <c r="AO311" s="120"/>
      <c r="AP311" s="120"/>
      <c r="AQ311" s="119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83"/>
      <c r="BI311" s="142"/>
      <c r="BJ311" s="101"/>
      <c r="BK311" s="43"/>
    </row>
    <row r="312" s="18" customFormat="1" spans="1:63">
      <c r="A312" s="73"/>
      <c r="B312" s="146"/>
      <c r="C312" s="146"/>
      <c r="D312" s="146"/>
      <c r="E312" s="146"/>
      <c r="F312" s="146"/>
      <c r="G312" s="146"/>
      <c r="H312" s="43"/>
      <c r="I312" s="43"/>
      <c r="J312" s="43"/>
      <c r="K312" s="113"/>
      <c r="L312" s="43"/>
      <c r="M312" s="43"/>
      <c r="N312" s="43"/>
      <c r="O312" s="43"/>
      <c r="P312" s="114"/>
      <c r="Q312" s="114"/>
      <c r="R312" s="43"/>
      <c r="S312" s="43"/>
      <c r="T312" s="43"/>
      <c r="U312" s="153"/>
      <c r="V312" s="114"/>
      <c r="W312" s="114"/>
      <c r="X312" s="115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118"/>
      <c r="AJ312" s="43"/>
      <c r="AK312" s="43"/>
      <c r="AL312" s="43"/>
      <c r="AM312" s="43"/>
      <c r="AN312" s="43"/>
      <c r="AO312" s="43"/>
      <c r="AP312" s="43"/>
      <c r="AQ312" s="119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83"/>
      <c r="BI312" s="142"/>
      <c r="BJ312" s="101"/>
      <c r="BK312" s="43"/>
    </row>
    <row r="313" s="18" customFormat="1" spans="1:63">
      <c r="A313" s="73"/>
      <c r="B313" s="146"/>
      <c r="C313" s="146"/>
      <c r="D313" s="146"/>
      <c r="E313" s="146"/>
      <c r="F313" s="146"/>
      <c r="G313" s="146"/>
      <c r="H313" s="43"/>
      <c r="I313" s="43"/>
      <c r="J313" s="43"/>
      <c r="K313" s="113"/>
      <c r="L313" s="43"/>
      <c r="M313" s="43"/>
      <c r="N313" s="43"/>
      <c r="O313" s="43"/>
      <c r="P313" s="114"/>
      <c r="Q313" s="114"/>
      <c r="R313" s="43"/>
      <c r="S313" s="43"/>
      <c r="T313" s="43"/>
      <c r="U313" s="153"/>
      <c r="V313" s="114"/>
      <c r="W313" s="114"/>
      <c r="X313" s="115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118"/>
      <c r="AJ313" s="43"/>
      <c r="AK313" s="43"/>
      <c r="AL313" s="43"/>
      <c r="AM313" s="43"/>
      <c r="AN313" s="43"/>
      <c r="AO313" s="43"/>
      <c r="AP313" s="43"/>
      <c r="AQ313" s="119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83"/>
      <c r="BI313" s="142"/>
      <c r="BJ313" s="101"/>
      <c r="BK313" s="43"/>
    </row>
    <row r="314" s="18" customFormat="1" spans="1:63">
      <c r="A314" s="73"/>
      <c r="B314" s="146"/>
      <c r="C314" s="146"/>
      <c r="D314" s="146"/>
      <c r="E314" s="146"/>
      <c r="F314" s="146"/>
      <c r="G314" s="146"/>
      <c r="H314" s="43"/>
      <c r="I314" s="43"/>
      <c r="J314" s="43"/>
      <c r="K314" s="113"/>
      <c r="L314" s="43"/>
      <c r="M314" s="43"/>
      <c r="N314" s="43"/>
      <c r="O314" s="43"/>
      <c r="P314" s="114"/>
      <c r="Q314" s="114"/>
      <c r="R314" s="43"/>
      <c r="S314" s="43"/>
      <c r="T314" s="43"/>
      <c r="U314" s="153"/>
      <c r="V314" s="114"/>
      <c r="W314" s="114"/>
      <c r="X314" s="115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118"/>
      <c r="AJ314" s="43"/>
      <c r="AK314" s="43"/>
      <c r="AL314" s="43"/>
      <c r="AM314" s="43"/>
      <c r="AN314" s="43"/>
      <c r="AO314" s="43"/>
      <c r="AP314" s="43"/>
      <c r="AQ314" s="119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83"/>
      <c r="BI314" s="142"/>
      <c r="BJ314" s="101"/>
      <c r="BK314" s="43"/>
    </row>
    <row r="315" s="18" customFormat="1" spans="1:63">
      <c r="A315" s="73"/>
      <c r="B315" s="146"/>
      <c r="C315" s="146"/>
      <c r="D315" s="146"/>
      <c r="E315" s="146"/>
      <c r="F315" s="146"/>
      <c r="G315" s="146"/>
      <c r="H315" s="43"/>
      <c r="I315" s="43"/>
      <c r="J315" s="43"/>
      <c r="K315" s="113"/>
      <c r="L315" s="43"/>
      <c r="M315" s="43"/>
      <c r="N315" s="43"/>
      <c r="O315" s="43"/>
      <c r="P315" s="114"/>
      <c r="Q315" s="114"/>
      <c r="R315" s="43"/>
      <c r="S315" s="43"/>
      <c r="T315" s="43"/>
      <c r="U315" s="153"/>
      <c r="V315" s="114"/>
      <c r="W315" s="114"/>
      <c r="X315" s="115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118"/>
      <c r="AJ315" s="43"/>
      <c r="AK315" s="43"/>
      <c r="AL315" s="43"/>
      <c r="AM315" s="43"/>
      <c r="AN315" s="43"/>
      <c r="AO315" s="43"/>
      <c r="AP315" s="43"/>
      <c r="AQ315" s="119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83"/>
      <c r="BI315" s="142"/>
      <c r="BJ315" s="101"/>
      <c r="BK315" s="43"/>
    </row>
    <row r="316" s="18" customFormat="1" spans="1:63">
      <c r="A316" s="73"/>
      <c r="B316" s="146"/>
      <c r="C316" s="146"/>
      <c r="D316" s="146"/>
      <c r="E316" s="146"/>
      <c r="F316" s="146"/>
      <c r="G316" s="146"/>
      <c r="H316" s="43"/>
      <c r="I316" s="43"/>
      <c r="J316" s="43"/>
      <c r="K316" s="113"/>
      <c r="L316" s="43"/>
      <c r="M316" s="43"/>
      <c r="N316" s="43"/>
      <c r="O316" s="43"/>
      <c r="P316" s="114"/>
      <c r="Q316" s="114"/>
      <c r="R316" s="43"/>
      <c r="S316" s="43"/>
      <c r="T316" s="43"/>
      <c r="U316" s="153"/>
      <c r="V316" s="114"/>
      <c r="W316" s="114"/>
      <c r="X316" s="115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118"/>
      <c r="AJ316" s="43"/>
      <c r="AK316" s="43"/>
      <c r="AL316" s="43"/>
      <c r="AM316" s="43"/>
      <c r="AN316" s="43"/>
      <c r="AO316" s="43"/>
      <c r="AP316" s="43"/>
      <c r="AQ316" s="119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83"/>
      <c r="BI316" s="142"/>
      <c r="BJ316" s="101"/>
      <c r="BK316" s="43"/>
    </row>
    <row r="317" s="18" customFormat="1" spans="1:63">
      <c r="A317" s="73"/>
      <c r="B317" s="146"/>
      <c r="C317" s="146"/>
      <c r="D317" s="146"/>
      <c r="E317" s="146"/>
      <c r="F317" s="146"/>
      <c r="G317" s="146"/>
      <c r="H317" s="43"/>
      <c r="I317" s="43"/>
      <c r="J317" s="43"/>
      <c r="K317" s="113"/>
      <c r="L317" s="43"/>
      <c r="M317" s="43"/>
      <c r="N317" s="43"/>
      <c r="O317" s="43"/>
      <c r="P317" s="114"/>
      <c r="Q317" s="114"/>
      <c r="R317" s="43"/>
      <c r="S317" s="43"/>
      <c r="T317" s="43"/>
      <c r="U317" s="153"/>
      <c r="V317" s="114"/>
      <c r="W317" s="114"/>
      <c r="X317" s="115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118"/>
      <c r="AJ317" s="43"/>
      <c r="AK317" s="43"/>
      <c r="AL317" s="43"/>
      <c r="AM317" s="43"/>
      <c r="AN317" s="43"/>
      <c r="AO317" s="43"/>
      <c r="AP317" s="43"/>
      <c r="AQ317" s="119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83"/>
      <c r="BI317" s="142"/>
      <c r="BJ317" s="101"/>
      <c r="BK317" s="43"/>
    </row>
    <row r="318" s="18" customFormat="1" spans="1:63">
      <c r="A318" s="73"/>
      <c r="B318" s="146"/>
      <c r="C318" s="146"/>
      <c r="D318" s="146"/>
      <c r="E318" s="146"/>
      <c r="F318" s="146"/>
      <c r="G318" s="146"/>
      <c r="H318" s="43"/>
      <c r="I318" s="43"/>
      <c r="J318" s="43"/>
      <c r="K318" s="113"/>
      <c r="L318" s="43"/>
      <c r="M318" s="43"/>
      <c r="N318" s="43"/>
      <c r="O318" s="43"/>
      <c r="P318" s="114"/>
      <c r="Q318" s="114"/>
      <c r="R318" s="43"/>
      <c r="S318" s="43"/>
      <c r="T318" s="43"/>
      <c r="U318" s="153"/>
      <c r="V318" s="114"/>
      <c r="W318" s="114"/>
      <c r="X318" s="115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118"/>
      <c r="AJ318" s="43"/>
      <c r="AK318" s="43"/>
      <c r="AL318" s="43"/>
      <c r="AM318" s="43"/>
      <c r="AN318" s="43"/>
      <c r="AO318" s="43"/>
      <c r="AP318" s="43"/>
      <c r="AQ318" s="119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83"/>
      <c r="BI318" s="142"/>
      <c r="BJ318" s="101"/>
      <c r="BK318" s="43"/>
    </row>
    <row r="319" s="18" customFormat="1" spans="1:63">
      <c r="A319" s="73"/>
      <c r="B319" s="146"/>
      <c r="C319" s="146"/>
      <c r="D319" s="146"/>
      <c r="E319" s="146"/>
      <c r="F319" s="146"/>
      <c r="G319" s="146"/>
      <c r="H319" s="43"/>
      <c r="I319" s="43"/>
      <c r="J319" s="43"/>
      <c r="K319" s="113"/>
      <c r="L319" s="43"/>
      <c r="M319" s="43"/>
      <c r="N319" s="43"/>
      <c r="O319" s="43"/>
      <c r="P319" s="114"/>
      <c r="Q319" s="114"/>
      <c r="R319" s="43"/>
      <c r="S319" s="43"/>
      <c r="T319" s="43"/>
      <c r="U319" s="153"/>
      <c r="V319" s="114"/>
      <c r="W319" s="114"/>
      <c r="X319" s="115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118"/>
      <c r="AJ319" s="43"/>
      <c r="AK319" s="43"/>
      <c r="AL319" s="43"/>
      <c r="AM319" s="43"/>
      <c r="AN319" s="43"/>
      <c r="AO319" s="43"/>
      <c r="AP319" s="43"/>
      <c r="AQ319" s="119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83"/>
      <c r="BI319" s="142"/>
      <c r="BJ319" s="101"/>
      <c r="BK319" s="43"/>
    </row>
    <row r="320" s="18" customFormat="1" spans="1:63">
      <c r="A320" s="73"/>
      <c r="B320" s="146"/>
      <c r="C320" s="146"/>
      <c r="D320" s="146"/>
      <c r="E320" s="146"/>
      <c r="F320" s="146"/>
      <c r="G320" s="146"/>
      <c r="H320" s="43"/>
      <c r="I320" s="43"/>
      <c r="J320" s="43"/>
      <c r="K320" s="113"/>
      <c r="L320" s="43"/>
      <c r="M320" s="43"/>
      <c r="N320" s="43"/>
      <c r="O320" s="43"/>
      <c r="P320" s="114"/>
      <c r="Q320" s="114"/>
      <c r="R320" s="43"/>
      <c r="S320" s="43"/>
      <c r="T320" s="43"/>
      <c r="U320" s="153"/>
      <c r="V320" s="114"/>
      <c r="W320" s="114"/>
      <c r="X320" s="115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118"/>
      <c r="AJ320" s="43"/>
      <c r="AK320" s="43"/>
      <c r="AL320" s="43"/>
      <c r="AM320" s="43"/>
      <c r="AN320" s="43"/>
      <c r="AO320" s="43"/>
      <c r="AP320" s="43"/>
      <c r="AQ320" s="119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83"/>
      <c r="BI320" s="142"/>
      <c r="BJ320" s="101"/>
      <c r="BK320" s="43"/>
    </row>
    <row r="321" s="18" customFormat="1" spans="1:63">
      <c r="A321" s="73"/>
      <c r="B321" s="146"/>
      <c r="C321" s="146"/>
      <c r="D321" s="146"/>
      <c r="E321" s="146"/>
      <c r="F321" s="146"/>
      <c r="G321" s="146"/>
      <c r="H321" s="43"/>
      <c r="I321" s="43"/>
      <c r="J321" s="43"/>
      <c r="K321" s="113"/>
      <c r="L321" s="43"/>
      <c r="M321" s="43"/>
      <c r="N321" s="43"/>
      <c r="O321" s="43"/>
      <c r="P321" s="114"/>
      <c r="Q321" s="114"/>
      <c r="R321" s="43"/>
      <c r="S321" s="43"/>
      <c r="T321" s="43"/>
      <c r="U321" s="153"/>
      <c r="V321" s="114"/>
      <c r="W321" s="114"/>
      <c r="X321" s="115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118"/>
      <c r="AJ321" s="43"/>
      <c r="AK321" s="43"/>
      <c r="AL321" s="43"/>
      <c r="AM321" s="43"/>
      <c r="AN321" s="43"/>
      <c r="AO321" s="43"/>
      <c r="AP321" s="43"/>
      <c r="AQ321" s="119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83"/>
      <c r="BI321" s="142"/>
      <c r="BJ321" s="101"/>
      <c r="BK321" s="43"/>
    </row>
    <row r="322" s="18" customFormat="1" spans="1:63">
      <c r="A322" s="73"/>
      <c r="B322" s="146"/>
      <c r="C322" s="146"/>
      <c r="D322" s="146"/>
      <c r="E322" s="146"/>
      <c r="F322" s="146"/>
      <c r="G322" s="146"/>
      <c r="H322" s="43"/>
      <c r="I322" s="43"/>
      <c r="J322" s="43"/>
      <c r="K322" s="113"/>
      <c r="L322" s="43"/>
      <c r="M322" s="43"/>
      <c r="N322" s="43"/>
      <c r="O322" s="43"/>
      <c r="P322" s="114"/>
      <c r="Q322" s="114"/>
      <c r="R322" s="43"/>
      <c r="S322" s="43"/>
      <c r="T322" s="43"/>
      <c r="U322" s="153"/>
      <c r="V322" s="114"/>
      <c r="W322" s="114"/>
      <c r="X322" s="115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118"/>
      <c r="AJ322" s="43"/>
      <c r="AK322" s="43"/>
      <c r="AL322" s="43"/>
      <c r="AM322" s="43"/>
      <c r="AN322" s="43"/>
      <c r="AO322" s="43"/>
      <c r="AP322" s="43"/>
      <c r="AQ322" s="119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83"/>
      <c r="BI322" s="142"/>
      <c r="BJ322" s="101"/>
      <c r="BK322" s="43"/>
    </row>
    <row r="323" s="18" customFormat="1" spans="1:63">
      <c r="A323" s="73"/>
      <c r="B323" s="146"/>
      <c r="C323" s="146"/>
      <c r="D323" s="146"/>
      <c r="E323" s="146"/>
      <c r="F323" s="146"/>
      <c r="G323" s="146"/>
      <c r="H323" s="43"/>
      <c r="I323" s="43"/>
      <c r="J323" s="43"/>
      <c r="K323" s="113"/>
      <c r="L323" s="43"/>
      <c r="M323" s="43"/>
      <c r="N323" s="43"/>
      <c r="O323" s="43"/>
      <c r="P323" s="114"/>
      <c r="Q323" s="114"/>
      <c r="R323" s="43"/>
      <c r="S323" s="43"/>
      <c r="T323" s="43"/>
      <c r="U323" s="153"/>
      <c r="V323" s="114"/>
      <c r="W323" s="114"/>
      <c r="X323" s="115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118"/>
      <c r="AJ323" s="43"/>
      <c r="AK323" s="43"/>
      <c r="AL323" s="43"/>
      <c r="AM323" s="43"/>
      <c r="AN323" s="43"/>
      <c r="AO323" s="43"/>
      <c r="AP323" s="43"/>
      <c r="AQ323" s="119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83"/>
      <c r="BI323" s="142"/>
      <c r="BJ323" s="101"/>
      <c r="BK323" s="43"/>
    </row>
    <row r="324" s="18" customFormat="1" spans="1:63">
      <c r="A324" s="73"/>
      <c r="B324" s="146"/>
      <c r="C324" s="146"/>
      <c r="D324" s="146"/>
      <c r="E324" s="146"/>
      <c r="F324" s="146"/>
      <c r="G324" s="146"/>
      <c r="H324" s="43"/>
      <c r="I324" s="43"/>
      <c r="J324" s="43"/>
      <c r="K324" s="113"/>
      <c r="L324" s="43"/>
      <c r="M324" s="43"/>
      <c r="N324" s="43"/>
      <c r="O324" s="43"/>
      <c r="P324" s="114"/>
      <c r="Q324" s="114"/>
      <c r="R324" s="43"/>
      <c r="S324" s="43"/>
      <c r="T324" s="43"/>
      <c r="U324" s="153"/>
      <c r="V324" s="114"/>
      <c r="W324" s="114"/>
      <c r="X324" s="115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118"/>
      <c r="AJ324" s="43"/>
      <c r="AK324" s="43"/>
      <c r="AL324" s="43"/>
      <c r="AM324" s="43"/>
      <c r="AN324" s="43"/>
      <c r="AO324" s="43"/>
      <c r="AP324" s="43"/>
      <c r="AQ324" s="119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83"/>
      <c r="BI324" s="142"/>
      <c r="BJ324" s="101"/>
      <c r="BK324" s="43"/>
    </row>
    <row r="325" s="18" customFormat="1" spans="1:63">
      <c r="A325" s="73"/>
      <c r="B325" s="146"/>
      <c r="C325" s="146"/>
      <c r="D325" s="146"/>
      <c r="E325" s="146"/>
      <c r="F325" s="146"/>
      <c r="G325" s="146"/>
      <c r="H325" s="43"/>
      <c r="I325" s="43"/>
      <c r="J325" s="43"/>
      <c r="K325" s="113"/>
      <c r="L325" s="43"/>
      <c r="M325" s="43"/>
      <c r="N325" s="43"/>
      <c r="O325" s="43"/>
      <c r="P325" s="114"/>
      <c r="Q325" s="114"/>
      <c r="R325" s="43"/>
      <c r="S325" s="43"/>
      <c r="T325" s="43"/>
      <c r="U325" s="153"/>
      <c r="V325" s="114"/>
      <c r="W325" s="114"/>
      <c r="X325" s="115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118"/>
      <c r="AJ325" s="43"/>
      <c r="AK325" s="43"/>
      <c r="AL325" s="43"/>
      <c r="AM325" s="43"/>
      <c r="AN325" s="43"/>
      <c r="AO325" s="43"/>
      <c r="AP325" s="43"/>
      <c r="AQ325" s="119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83"/>
      <c r="BI325" s="142"/>
      <c r="BJ325" s="101"/>
      <c r="BK325" s="43"/>
    </row>
    <row r="326" s="18" customFormat="1" spans="1:63">
      <c r="A326" s="73"/>
      <c r="B326" s="146"/>
      <c r="C326" s="146"/>
      <c r="D326" s="146"/>
      <c r="E326" s="146"/>
      <c r="F326" s="146"/>
      <c r="G326" s="146"/>
      <c r="H326" s="43"/>
      <c r="I326" s="43"/>
      <c r="J326" s="43"/>
      <c r="K326" s="113"/>
      <c r="L326" s="43"/>
      <c r="M326" s="43"/>
      <c r="N326" s="43"/>
      <c r="O326" s="43"/>
      <c r="P326" s="114"/>
      <c r="Q326" s="114"/>
      <c r="R326" s="43"/>
      <c r="S326" s="43"/>
      <c r="T326" s="43"/>
      <c r="U326" s="153"/>
      <c r="V326" s="114"/>
      <c r="W326" s="114"/>
      <c r="X326" s="115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118"/>
      <c r="AJ326" s="43"/>
      <c r="AK326" s="43"/>
      <c r="AL326" s="43"/>
      <c r="AM326" s="43"/>
      <c r="AN326" s="43"/>
      <c r="AO326" s="43"/>
      <c r="AP326" s="43"/>
      <c r="AQ326" s="119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83"/>
      <c r="BI326" s="142"/>
      <c r="BJ326" s="101"/>
      <c r="BK326" s="43"/>
    </row>
    <row r="327" s="18" customFormat="1" spans="1:63">
      <c r="A327" s="73"/>
      <c r="B327" s="146"/>
      <c r="C327" s="146"/>
      <c r="D327" s="146"/>
      <c r="E327" s="146"/>
      <c r="F327" s="146"/>
      <c r="G327" s="146"/>
      <c r="H327" s="43"/>
      <c r="I327" s="43"/>
      <c r="J327" s="43"/>
      <c r="K327" s="113"/>
      <c r="L327" s="43"/>
      <c r="M327" s="43"/>
      <c r="N327" s="43"/>
      <c r="O327" s="43"/>
      <c r="P327" s="114"/>
      <c r="Q327" s="114"/>
      <c r="R327" s="43"/>
      <c r="S327" s="43"/>
      <c r="T327" s="43"/>
      <c r="U327" s="153"/>
      <c r="V327" s="114"/>
      <c r="W327" s="114"/>
      <c r="X327" s="115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118"/>
      <c r="AJ327" s="43"/>
      <c r="AK327" s="43"/>
      <c r="AL327" s="43"/>
      <c r="AM327" s="43"/>
      <c r="AN327" s="43"/>
      <c r="AO327" s="43"/>
      <c r="AP327" s="43"/>
      <c r="AQ327" s="119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83"/>
      <c r="BI327" s="142"/>
      <c r="BJ327" s="101"/>
      <c r="BK327" s="43"/>
    </row>
    <row r="328" s="18" customFormat="1" spans="1:63">
      <c r="A328" s="73"/>
      <c r="B328" s="43"/>
      <c r="C328" s="43"/>
      <c r="D328" s="43"/>
      <c r="E328" s="111"/>
      <c r="F328" s="43"/>
      <c r="G328" s="43"/>
      <c r="H328" s="43"/>
      <c r="I328" s="43"/>
      <c r="J328" s="43"/>
      <c r="K328" s="113"/>
      <c r="L328" s="43"/>
      <c r="M328" s="43"/>
      <c r="N328" s="43"/>
      <c r="O328" s="43"/>
      <c r="P328" s="114"/>
      <c r="Q328" s="114"/>
      <c r="R328" s="43"/>
      <c r="S328" s="43"/>
      <c r="T328" s="43"/>
      <c r="U328" s="153"/>
      <c r="V328" s="114"/>
      <c r="W328" s="114"/>
      <c r="X328" s="115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118"/>
      <c r="AJ328" s="43"/>
      <c r="AK328" s="43"/>
      <c r="AL328" s="43"/>
      <c r="AM328" s="43"/>
      <c r="AN328" s="43"/>
      <c r="AO328" s="43"/>
      <c r="AP328" s="163"/>
      <c r="AQ328" s="119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83"/>
      <c r="BI328" s="142"/>
      <c r="BJ328" s="101"/>
      <c r="BK328" s="43"/>
    </row>
    <row r="329" s="18" customFormat="1" spans="1:63">
      <c r="A329" s="73"/>
      <c r="B329" s="43"/>
      <c r="C329" s="43"/>
      <c r="D329" s="43"/>
      <c r="E329" s="111"/>
      <c r="F329" s="43"/>
      <c r="G329" s="43"/>
      <c r="H329" s="43"/>
      <c r="I329" s="43"/>
      <c r="J329" s="43"/>
      <c r="K329" s="113"/>
      <c r="L329" s="43"/>
      <c r="M329" s="43"/>
      <c r="N329" s="43"/>
      <c r="O329" s="43"/>
      <c r="P329" s="114"/>
      <c r="Q329" s="114"/>
      <c r="R329" s="43"/>
      <c r="S329" s="43"/>
      <c r="T329" s="43"/>
      <c r="U329" s="153"/>
      <c r="V329" s="114"/>
      <c r="W329" s="114"/>
      <c r="X329" s="115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118"/>
      <c r="AJ329" s="43"/>
      <c r="AK329" s="43"/>
      <c r="AL329" s="43"/>
      <c r="AM329" s="43"/>
      <c r="AN329" s="43"/>
      <c r="AO329" s="43"/>
      <c r="AP329" s="43"/>
      <c r="AQ329" s="119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83"/>
      <c r="BI329" s="142"/>
      <c r="BJ329" s="101"/>
      <c r="BK329" s="43"/>
    </row>
    <row r="330" s="18" customFormat="1" spans="1:63">
      <c r="A330" s="73"/>
      <c r="B330" s="43"/>
      <c r="C330" s="43"/>
      <c r="D330" s="43"/>
      <c r="E330" s="111"/>
      <c r="F330" s="43"/>
      <c r="G330" s="43"/>
      <c r="H330" s="43"/>
      <c r="I330" s="43"/>
      <c r="J330" s="43"/>
      <c r="K330" s="113"/>
      <c r="L330" s="43"/>
      <c r="M330" s="43"/>
      <c r="N330" s="43"/>
      <c r="O330" s="43"/>
      <c r="P330" s="114"/>
      <c r="Q330" s="114"/>
      <c r="R330" s="43"/>
      <c r="S330" s="43"/>
      <c r="T330" s="43"/>
      <c r="U330" s="153"/>
      <c r="V330" s="114"/>
      <c r="W330" s="114"/>
      <c r="X330" s="115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118"/>
      <c r="AJ330" s="43"/>
      <c r="AK330" s="43"/>
      <c r="AL330" s="43"/>
      <c r="AM330" s="43"/>
      <c r="AN330" s="43"/>
      <c r="AO330" s="43"/>
      <c r="AP330" s="43"/>
      <c r="AQ330" s="119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83"/>
      <c r="BI330" s="142"/>
      <c r="BJ330" s="101"/>
      <c r="BK330" s="43"/>
    </row>
    <row r="331" s="18" customFormat="1" spans="1:63">
      <c r="A331" s="73"/>
      <c r="B331" s="43"/>
      <c r="C331" s="43"/>
      <c r="D331" s="43"/>
      <c r="E331" s="111"/>
      <c r="F331" s="43"/>
      <c r="G331" s="43"/>
      <c r="H331" s="43"/>
      <c r="I331" s="43"/>
      <c r="J331" s="43"/>
      <c r="K331" s="113"/>
      <c r="L331" s="43"/>
      <c r="M331" s="43"/>
      <c r="N331" s="43"/>
      <c r="O331" s="43"/>
      <c r="P331" s="114"/>
      <c r="Q331" s="114"/>
      <c r="R331" s="43"/>
      <c r="S331" s="43"/>
      <c r="T331" s="43"/>
      <c r="U331" s="153"/>
      <c r="V331" s="114"/>
      <c r="W331" s="114"/>
      <c r="X331" s="115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118"/>
      <c r="AJ331" s="43"/>
      <c r="AK331" s="43"/>
      <c r="AL331" s="43"/>
      <c r="AM331" s="43"/>
      <c r="AN331" s="43"/>
      <c r="AO331" s="43"/>
      <c r="AP331" s="43"/>
      <c r="AQ331" s="119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83"/>
      <c r="BI331" s="142"/>
      <c r="BJ331" s="101"/>
      <c r="BK331" s="43"/>
    </row>
    <row r="332" s="18" customFormat="1" spans="1:63">
      <c r="A332" s="73"/>
      <c r="B332" s="43"/>
      <c r="C332" s="43"/>
      <c r="D332" s="43"/>
      <c r="E332" s="43"/>
      <c r="F332" s="43"/>
      <c r="G332" s="43"/>
      <c r="H332" s="43"/>
      <c r="I332" s="43"/>
      <c r="J332" s="43"/>
      <c r="K332" s="113"/>
      <c r="L332" s="43"/>
      <c r="M332" s="43"/>
      <c r="N332" s="43"/>
      <c r="O332" s="43"/>
      <c r="P332" s="114"/>
      <c r="Q332" s="114"/>
      <c r="R332" s="43"/>
      <c r="S332" s="43"/>
      <c r="T332" s="43"/>
      <c r="U332" s="153"/>
      <c r="V332" s="114"/>
      <c r="W332" s="114"/>
      <c r="X332" s="115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118"/>
      <c r="AJ332" s="43"/>
      <c r="AK332" s="43"/>
      <c r="AL332" s="43"/>
      <c r="AM332" s="43"/>
      <c r="AN332" s="43"/>
      <c r="AO332" s="43"/>
      <c r="AP332" s="43"/>
      <c r="AQ332" s="119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83"/>
      <c r="BI332" s="142"/>
      <c r="BJ332" s="101"/>
      <c r="BK332" s="43"/>
    </row>
    <row r="333" s="18" customFormat="1" spans="1:63">
      <c r="A333" s="73"/>
      <c r="B333" s="43"/>
      <c r="C333" s="43"/>
      <c r="D333" s="43"/>
      <c r="E333" s="43"/>
      <c r="F333" s="43"/>
      <c r="G333" s="43"/>
      <c r="H333" s="43"/>
      <c r="I333" s="43"/>
      <c r="J333" s="43"/>
      <c r="K333" s="113"/>
      <c r="L333" s="43"/>
      <c r="M333" s="43"/>
      <c r="N333" s="43"/>
      <c r="O333" s="43"/>
      <c r="P333" s="114"/>
      <c r="Q333" s="114"/>
      <c r="R333" s="43"/>
      <c r="S333" s="43"/>
      <c r="T333" s="43"/>
      <c r="U333" s="153"/>
      <c r="V333" s="114"/>
      <c r="W333" s="114"/>
      <c r="X333" s="115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118"/>
      <c r="AJ333" s="43"/>
      <c r="AK333" s="43"/>
      <c r="AL333" s="43"/>
      <c r="AM333" s="43"/>
      <c r="AN333" s="43"/>
      <c r="AO333" s="43"/>
      <c r="AP333" s="43"/>
      <c r="AQ333" s="119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83"/>
      <c r="BI333" s="142"/>
      <c r="BJ333" s="101"/>
      <c r="BK333" s="43"/>
    </row>
    <row r="334" s="18" customFormat="1" spans="1:63">
      <c r="A334" s="73"/>
      <c r="B334" s="43"/>
      <c r="C334" s="43"/>
      <c r="D334" s="43"/>
      <c r="E334" s="43"/>
      <c r="F334" s="43"/>
      <c r="G334" s="43"/>
      <c r="H334" s="43"/>
      <c r="I334" s="43"/>
      <c r="J334" s="43"/>
      <c r="K334" s="113"/>
      <c r="L334" s="43"/>
      <c r="M334" s="43"/>
      <c r="N334" s="43"/>
      <c r="O334" s="43"/>
      <c r="P334" s="114"/>
      <c r="Q334" s="114"/>
      <c r="R334" s="43"/>
      <c r="S334" s="43"/>
      <c r="T334" s="43"/>
      <c r="U334" s="153"/>
      <c r="V334" s="114"/>
      <c r="W334" s="114"/>
      <c r="X334" s="115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118"/>
      <c r="AJ334" s="43"/>
      <c r="AK334" s="43"/>
      <c r="AL334" s="43"/>
      <c r="AM334" s="43"/>
      <c r="AN334" s="43"/>
      <c r="AO334" s="43"/>
      <c r="AP334" s="43"/>
      <c r="AQ334" s="119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83"/>
      <c r="BI334" s="142"/>
      <c r="BJ334" s="101"/>
      <c r="BK334" s="43"/>
    </row>
    <row r="335" s="18" customFormat="1" spans="1:63">
      <c r="A335" s="73"/>
      <c r="B335" s="43"/>
      <c r="C335" s="43"/>
      <c r="D335" s="43"/>
      <c r="E335" s="43"/>
      <c r="F335" s="43"/>
      <c r="G335" s="43"/>
      <c r="H335" s="43"/>
      <c r="I335" s="43"/>
      <c r="J335" s="43"/>
      <c r="K335" s="113"/>
      <c r="L335" s="43"/>
      <c r="M335" s="43"/>
      <c r="N335" s="43"/>
      <c r="O335" s="43"/>
      <c r="P335" s="114"/>
      <c r="Q335" s="114"/>
      <c r="R335" s="43"/>
      <c r="S335" s="43"/>
      <c r="T335" s="43"/>
      <c r="U335" s="153"/>
      <c r="V335" s="114"/>
      <c r="W335" s="114"/>
      <c r="X335" s="115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118"/>
      <c r="AJ335" s="43"/>
      <c r="AK335" s="43"/>
      <c r="AL335" s="43"/>
      <c r="AM335" s="43"/>
      <c r="AN335" s="43"/>
      <c r="AO335" s="43"/>
      <c r="AP335" s="43"/>
      <c r="AQ335" s="119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83"/>
      <c r="BI335" s="142"/>
      <c r="BJ335" s="101"/>
      <c r="BK335" s="43"/>
    </row>
    <row r="336" s="18" customFormat="1" spans="1:63">
      <c r="A336" s="73"/>
      <c r="B336" s="43"/>
      <c r="C336" s="43"/>
      <c r="D336" s="43"/>
      <c r="E336" s="43"/>
      <c r="F336" s="43"/>
      <c r="G336" s="43"/>
      <c r="H336" s="43"/>
      <c r="I336" s="43"/>
      <c r="J336" s="43"/>
      <c r="K336" s="113"/>
      <c r="L336" s="43"/>
      <c r="M336" s="43"/>
      <c r="N336" s="43"/>
      <c r="O336" s="43"/>
      <c r="P336" s="114"/>
      <c r="Q336" s="114"/>
      <c r="R336" s="43"/>
      <c r="S336" s="43"/>
      <c r="T336" s="43"/>
      <c r="U336" s="153"/>
      <c r="V336" s="114"/>
      <c r="W336" s="114"/>
      <c r="X336" s="115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118"/>
      <c r="AJ336" s="43"/>
      <c r="AK336" s="43"/>
      <c r="AL336" s="43"/>
      <c r="AM336" s="43"/>
      <c r="AN336" s="43"/>
      <c r="AO336" s="43"/>
      <c r="AP336" s="43"/>
      <c r="AQ336" s="119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83"/>
      <c r="BI336" s="142"/>
      <c r="BJ336" s="101"/>
      <c r="BK336" s="43"/>
    </row>
    <row r="337" s="18" customFormat="1" spans="1:63">
      <c r="A337" s="73"/>
      <c r="B337" s="43"/>
      <c r="C337" s="43"/>
      <c r="D337" s="43"/>
      <c r="E337" s="43"/>
      <c r="F337" s="43"/>
      <c r="G337" s="43"/>
      <c r="H337" s="43"/>
      <c r="I337" s="43"/>
      <c r="J337" s="43"/>
      <c r="K337" s="113"/>
      <c r="L337" s="43"/>
      <c r="M337" s="43"/>
      <c r="N337" s="43"/>
      <c r="O337" s="43"/>
      <c r="P337" s="114"/>
      <c r="Q337" s="114"/>
      <c r="R337" s="43"/>
      <c r="S337" s="43"/>
      <c r="T337" s="43"/>
      <c r="U337" s="153"/>
      <c r="V337" s="114"/>
      <c r="W337" s="114"/>
      <c r="X337" s="115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118"/>
      <c r="AJ337" s="43"/>
      <c r="AK337" s="43"/>
      <c r="AL337" s="43"/>
      <c r="AM337" s="43"/>
      <c r="AN337" s="43"/>
      <c r="AO337" s="43"/>
      <c r="AP337" s="43"/>
      <c r="AQ337" s="119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83"/>
      <c r="BI337" s="142"/>
      <c r="BJ337" s="101"/>
      <c r="BK337" s="43"/>
    </row>
    <row r="338" s="18" customFormat="1" spans="1:63">
      <c r="A338" s="73"/>
      <c r="B338" s="43"/>
      <c r="C338" s="43"/>
      <c r="D338" s="43"/>
      <c r="E338" s="43"/>
      <c r="F338" s="43"/>
      <c r="G338" s="43"/>
      <c r="H338" s="43"/>
      <c r="I338" s="43"/>
      <c r="J338" s="43"/>
      <c r="K338" s="113"/>
      <c r="L338" s="43"/>
      <c r="M338" s="43"/>
      <c r="N338" s="43"/>
      <c r="O338" s="43"/>
      <c r="P338" s="114"/>
      <c r="Q338" s="114"/>
      <c r="R338" s="43"/>
      <c r="S338" s="43"/>
      <c r="T338" s="43"/>
      <c r="U338" s="153"/>
      <c r="V338" s="114"/>
      <c r="W338" s="114"/>
      <c r="X338" s="115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118"/>
      <c r="AJ338" s="43"/>
      <c r="AK338" s="43"/>
      <c r="AL338" s="43"/>
      <c r="AM338" s="43"/>
      <c r="AN338" s="43"/>
      <c r="AO338" s="43"/>
      <c r="AP338" s="43"/>
      <c r="AQ338" s="119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83"/>
      <c r="BI338" s="142"/>
      <c r="BJ338" s="101"/>
      <c r="BK338" s="43"/>
    </row>
    <row r="339" s="18" customFormat="1" spans="1:63">
      <c r="A339" s="73"/>
      <c r="B339" s="43"/>
      <c r="C339" s="43"/>
      <c r="D339" s="43"/>
      <c r="E339" s="43"/>
      <c r="F339" s="43"/>
      <c r="G339" s="43"/>
      <c r="H339" s="43"/>
      <c r="I339" s="43"/>
      <c r="J339" s="43"/>
      <c r="K339" s="113"/>
      <c r="L339" s="43"/>
      <c r="M339" s="43"/>
      <c r="N339" s="43"/>
      <c r="O339" s="43"/>
      <c r="P339" s="114"/>
      <c r="Q339" s="114"/>
      <c r="R339" s="43"/>
      <c r="S339" s="43"/>
      <c r="T339" s="43"/>
      <c r="U339" s="153"/>
      <c r="V339" s="114"/>
      <c r="W339" s="114"/>
      <c r="X339" s="115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118"/>
      <c r="AJ339" s="43"/>
      <c r="AK339" s="43"/>
      <c r="AL339" s="43"/>
      <c r="AM339" s="43"/>
      <c r="AN339" s="43"/>
      <c r="AO339" s="43"/>
      <c r="AP339" s="43"/>
      <c r="AQ339" s="119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83"/>
      <c r="BI339" s="142"/>
      <c r="BJ339" s="101"/>
      <c r="BK339" s="43"/>
    </row>
    <row r="340" s="18" customFormat="1" spans="1:63">
      <c r="A340" s="73"/>
      <c r="B340" s="43"/>
      <c r="C340" s="43"/>
      <c r="D340" s="43"/>
      <c r="E340" s="43"/>
      <c r="F340" s="43"/>
      <c r="G340" s="43"/>
      <c r="H340" s="43"/>
      <c r="I340" s="43"/>
      <c r="J340" s="43"/>
      <c r="K340" s="113"/>
      <c r="L340" s="43"/>
      <c r="M340" s="43"/>
      <c r="N340" s="43"/>
      <c r="O340" s="43"/>
      <c r="P340" s="114"/>
      <c r="Q340" s="114"/>
      <c r="R340" s="43"/>
      <c r="S340" s="43"/>
      <c r="T340" s="43"/>
      <c r="U340" s="153"/>
      <c r="V340" s="114"/>
      <c r="W340" s="114"/>
      <c r="X340" s="115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118"/>
      <c r="AJ340" s="43"/>
      <c r="AK340" s="43"/>
      <c r="AL340" s="43"/>
      <c r="AM340" s="43"/>
      <c r="AN340" s="43"/>
      <c r="AO340" s="43"/>
      <c r="AP340" s="43"/>
      <c r="AQ340" s="119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83"/>
      <c r="BI340" s="142"/>
      <c r="BJ340" s="101"/>
      <c r="BK340" s="43"/>
    </row>
    <row r="341" s="18" customFormat="1" spans="1:63">
      <c r="A341" s="73"/>
      <c r="B341" s="43"/>
      <c r="C341" s="43"/>
      <c r="D341" s="43"/>
      <c r="E341" s="43"/>
      <c r="F341" s="43"/>
      <c r="G341" s="43"/>
      <c r="H341" s="43"/>
      <c r="I341" s="43"/>
      <c r="J341" s="43"/>
      <c r="K341" s="113"/>
      <c r="L341" s="43"/>
      <c r="M341" s="43"/>
      <c r="N341" s="43"/>
      <c r="O341" s="43"/>
      <c r="P341" s="114"/>
      <c r="Q341" s="114"/>
      <c r="R341" s="43"/>
      <c r="S341" s="43"/>
      <c r="T341" s="43"/>
      <c r="U341" s="153"/>
      <c r="V341" s="114"/>
      <c r="W341" s="114"/>
      <c r="X341" s="115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118"/>
      <c r="AJ341" s="43"/>
      <c r="AK341" s="43"/>
      <c r="AL341" s="43"/>
      <c r="AM341" s="43"/>
      <c r="AN341" s="43"/>
      <c r="AO341" s="43"/>
      <c r="AP341" s="43"/>
      <c r="AQ341" s="119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83"/>
      <c r="BI341" s="142"/>
      <c r="BJ341" s="101"/>
      <c r="BK341" s="43"/>
    </row>
    <row r="342" s="18" customFormat="1" spans="1:63">
      <c r="A342" s="73"/>
      <c r="B342" s="43"/>
      <c r="C342" s="43"/>
      <c r="D342" s="43"/>
      <c r="E342" s="43"/>
      <c r="F342" s="43"/>
      <c r="G342" s="43"/>
      <c r="H342" s="43"/>
      <c r="I342" s="43"/>
      <c r="J342" s="43"/>
      <c r="K342" s="113"/>
      <c r="L342" s="43"/>
      <c r="M342" s="43"/>
      <c r="N342" s="43"/>
      <c r="O342" s="43"/>
      <c r="P342" s="114"/>
      <c r="Q342" s="114"/>
      <c r="R342" s="43"/>
      <c r="S342" s="43"/>
      <c r="T342" s="43"/>
      <c r="U342" s="153"/>
      <c r="V342" s="114"/>
      <c r="W342" s="114"/>
      <c r="X342" s="115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118"/>
      <c r="AJ342" s="43"/>
      <c r="AK342" s="43"/>
      <c r="AL342" s="43"/>
      <c r="AM342" s="43"/>
      <c r="AN342" s="43"/>
      <c r="AO342" s="43"/>
      <c r="AP342" s="43"/>
      <c r="AQ342" s="119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83"/>
      <c r="BI342" s="142"/>
      <c r="BJ342" s="101"/>
      <c r="BK342" s="43"/>
    </row>
    <row r="343" s="18" customFormat="1" spans="1:63">
      <c r="A343" s="73"/>
      <c r="B343" s="43"/>
      <c r="C343" s="43"/>
      <c r="D343" s="43"/>
      <c r="E343" s="43"/>
      <c r="F343" s="43"/>
      <c r="G343" s="43"/>
      <c r="H343" s="43"/>
      <c r="I343" s="43"/>
      <c r="J343" s="43"/>
      <c r="K343" s="113"/>
      <c r="L343" s="43"/>
      <c r="M343" s="43"/>
      <c r="N343" s="43"/>
      <c r="O343" s="43"/>
      <c r="P343" s="114"/>
      <c r="Q343" s="114"/>
      <c r="R343" s="43"/>
      <c r="S343" s="43"/>
      <c r="T343" s="43"/>
      <c r="U343" s="153"/>
      <c r="V343" s="114"/>
      <c r="W343" s="114"/>
      <c r="X343" s="115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118"/>
      <c r="AJ343" s="43"/>
      <c r="AK343" s="43"/>
      <c r="AL343" s="43"/>
      <c r="AM343" s="43"/>
      <c r="AN343" s="43"/>
      <c r="AO343" s="43"/>
      <c r="AP343" s="43"/>
      <c r="AQ343" s="119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83"/>
      <c r="BI343" s="142"/>
      <c r="BJ343" s="101"/>
      <c r="BK343" s="43"/>
    </row>
    <row r="344" s="18" customFormat="1" spans="1:63">
      <c r="A344" s="73"/>
      <c r="B344" s="43"/>
      <c r="C344" s="43"/>
      <c r="D344" s="43"/>
      <c r="E344" s="43"/>
      <c r="F344" s="43"/>
      <c r="G344" s="43"/>
      <c r="H344" s="43"/>
      <c r="I344" s="43"/>
      <c r="J344" s="43"/>
      <c r="K344" s="113"/>
      <c r="L344" s="43"/>
      <c r="M344" s="43"/>
      <c r="N344" s="43"/>
      <c r="O344" s="43"/>
      <c r="P344" s="114"/>
      <c r="Q344" s="114"/>
      <c r="R344" s="43"/>
      <c r="S344" s="43"/>
      <c r="T344" s="43"/>
      <c r="U344" s="153"/>
      <c r="V344" s="114"/>
      <c r="W344" s="114"/>
      <c r="X344" s="115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118"/>
      <c r="AJ344" s="43"/>
      <c r="AK344" s="43"/>
      <c r="AL344" s="43"/>
      <c r="AM344" s="43"/>
      <c r="AN344" s="43"/>
      <c r="AO344" s="43"/>
      <c r="AP344" s="43"/>
      <c r="AQ344" s="119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83"/>
      <c r="BI344" s="142"/>
      <c r="BJ344" s="101"/>
      <c r="BK344" s="43"/>
    </row>
    <row r="345" s="18" customFormat="1" spans="1:63">
      <c r="A345" s="73"/>
      <c r="B345" s="43"/>
      <c r="C345" s="43"/>
      <c r="D345" s="43"/>
      <c r="E345" s="43"/>
      <c r="F345" s="43"/>
      <c r="G345" s="43"/>
      <c r="H345" s="43"/>
      <c r="I345" s="43"/>
      <c r="J345" s="43"/>
      <c r="K345" s="113"/>
      <c r="L345" s="43"/>
      <c r="M345" s="43"/>
      <c r="N345" s="43"/>
      <c r="O345" s="43"/>
      <c r="P345" s="114"/>
      <c r="Q345" s="114"/>
      <c r="R345" s="43"/>
      <c r="S345" s="43"/>
      <c r="T345" s="43"/>
      <c r="U345" s="153"/>
      <c r="V345" s="114"/>
      <c r="W345" s="114"/>
      <c r="X345" s="115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118"/>
      <c r="AJ345" s="43"/>
      <c r="AK345" s="43"/>
      <c r="AL345" s="43"/>
      <c r="AM345" s="43"/>
      <c r="AN345" s="43"/>
      <c r="AO345" s="43"/>
      <c r="AP345" s="43"/>
      <c r="AQ345" s="119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83"/>
      <c r="BI345" s="142"/>
      <c r="BJ345" s="101"/>
      <c r="BK345" s="43"/>
    </row>
    <row r="346" s="18" customFormat="1" spans="1:63">
      <c r="A346" s="73"/>
      <c r="B346" s="43"/>
      <c r="C346" s="43"/>
      <c r="D346" s="43"/>
      <c r="E346" s="43"/>
      <c r="F346" s="43"/>
      <c r="G346" s="43"/>
      <c r="H346" s="43"/>
      <c r="I346" s="43"/>
      <c r="J346" s="43"/>
      <c r="K346" s="113"/>
      <c r="L346" s="43"/>
      <c r="M346" s="43"/>
      <c r="N346" s="43"/>
      <c r="O346" s="43"/>
      <c r="P346" s="114"/>
      <c r="Q346" s="114"/>
      <c r="R346" s="43"/>
      <c r="S346" s="43"/>
      <c r="T346" s="43"/>
      <c r="U346" s="153"/>
      <c r="V346" s="114"/>
      <c r="W346" s="114"/>
      <c r="X346" s="115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118"/>
      <c r="AJ346" s="43"/>
      <c r="AK346" s="43"/>
      <c r="AL346" s="43"/>
      <c r="AM346" s="43"/>
      <c r="AN346" s="43"/>
      <c r="AO346" s="43"/>
      <c r="AP346" s="43"/>
      <c r="AQ346" s="119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83"/>
      <c r="BI346" s="142"/>
      <c r="BJ346" s="101"/>
      <c r="BK346" s="43"/>
    </row>
    <row r="347" s="18" customFormat="1" spans="1:63">
      <c r="A347" s="73"/>
      <c r="B347" s="43"/>
      <c r="C347" s="43"/>
      <c r="D347" s="43"/>
      <c r="E347" s="43"/>
      <c r="F347" s="43"/>
      <c r="G347" s="43"/>
      <c r="H347" s="43"/>
      <c r="I347" s="43"/>
      <c r="J347" s="43"/>
      <c r="K347" s="113"/>
      <c r="L347" s="43"/>
      <c r="M347" s="43"/>
      <c r="N347" s="43"/>
      <c r="O347" s="43"/>
      <c r="P347" s="114"/>
      <c r="Q347" s="114"/>
      <c r="R347" s="43"/>
      <c r="S347" s="43"/>
      <c r="T347" s="43"/>
      <c r="U347" s="153"/>
      <c r="V347" s="114"/>
      <c r="W347" s="114"/>
      <c r="X347" s="115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118"/>
      <c r="AJ347" s="43"/>
      <c r="AK347" s="43"/>
      <c r="AL347" s="43"/>
      <c r="AM347" s="43"/>
      <c r="AN347" s="43"/>
      <c r="AO347" s="43"/>
      <c r="AP347" s="43"/>
      <c r="AQ347" s="119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83"/>
      <c r="BI347" s="142"/>
      <c r="BJ347" s="101"/>
      <c r="BK347" s="43"/>
    </row>
    <row r="348" s="18" customFormat="1" spans="1:63">
      <c r="A348" s="73"/>
      <c r="B348" s="43"/>
      <c r="C348" s="43"/>
      <c r="D348" s="43"/>
      <c r="E348" s="43"/>
      <c r="F348" s="43"/>
      <c r="G348" s="43"/>
      <c r="H348" s="43"/>
      <c r="I348" s="43"/>
      <c r="J348" s="43"/>
      <c r="K348" s="113"/>
      <c r="L348" s="43"/>
      <c r="M348" s="43"/>
      <c r="N348" s="43"/>
      <c r="O348" s="43"/>
      <c r="P348" s="114"/>
      <c r="Q348" s="114"/>
      <c r="R348" s="43"/>
      <c r="S348" s="43"/>
      <c r="T348" s="43"/>
      <c r="U348" s="153"/>
      <c r="V348" s="114"/>
      <c r="W348" s="114"/>
      <c r="X348" s="115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118"/>
      <c r="AJ348" s="43"/>
      <c r="AK348" s="43"/>
      <c r="AL348" s="43"/>
      <c r="AM348" s="43"/>
      <c r="AN348" s="43"/>
      <c r="AO348" s="43"/>
      <c r="AP348" s="43"/>
      <c r="AQ348" s="119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83"/>
      <c r="BI348" s="142"/>
      <c r="BJ348" s="101"/>
      <c r="BK348" s="43"/>
    </row>
    <row r="349" s="18" customFormat="1" spans="1:63">
      <c r="A349" s="73"/>
      <c r="B349" s="43"/>
      <c r="C349" s="43"/>
      <c r="D349" s="43"/>
      <c r="E349" s="43"/>
      <c r="F349" s="43"/>
      <c r="G349" s="43"/>
      <c r="H349" s="43"/>
      <c r="I349" s="43"/>
      <c r="J349" s="43"/>
      <c r="K349" s="113"/>
      <c r="L349" s="43"/>
      <c r="M349" s="43"/>
      <c r="N349" s="43"/>
      <c r="O349" s="43"/>
      <c r="P349" s="114"/>
      <c r="Q349" s="114"/>
      <c r="R349" s="43"/>
      <c r="S349" s="43"/>
      <c r="T349" s="43"/>
      <c r="U349" s="153"/>
      <c r="V349" s="114"/>
      <c r="W349" s="114"/>
      <c r="X349" s="115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118"/>
      <c r="AJ349" s="43"/>
      <c r="AK349" s="43"/>
      <c r="AL349" s="43"/>
      <c r="AM349" s="43"/>
      <c r="AN349" s="43"/>
      <c r="AO349" s="43"/>
      <c r="AP349" s="43"/>
      <c r="AQ349" s="119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83"/>
      <c r="BI349" s="142"/>
      <c r="BJ349" s="101"/>
      <c r="BK349" s="43"/>
    </row>
    <row r="350" s="18" customFormat="1" spans="1:63">
      <c r="A350" s="73"/>
      <c r="B350" s="43"/>
      <c r="C350" s="43"/>
      <c r="D350" s="43"/>
      <c r="E350" s="43"/>
      <c r="F350" s="43"/>
      <c r="G350" s="43"/>
      <c r="H350" s="43"/>
      <c r="I350" s="43"/>
      <c r="J350" s="43"/>
      <c r="K350" s="113"/>
      <c r="L350" s="43"/>
      <c r="M350" s="43"/>
      <c r="N350" s="43"/>
      <c r="O350" s="43"/>
      <c r="P350" s="114"/>
      <c r="Q350" s="114"/>
      <c r="R350" s="43"/>
      <c r="S350" s="43"/>
      <c r="T350" s="43"/>
      <c r="U350" s="153"/>
      <c r="V350" s="114"/>
      <c r="W350" s="114"/>
      <c r="X350" s="115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118"/>
      <c r="AJ350" s="43"/>
      <c r="AK350" s="43"/>
      <c r="AL350" s="43"/>
      <c r="AM350" s="43"/>
      <c r="AN350" s="43"/>
      <c r="AO350" s="43"/>
      <c r="AP350" s="43"/>
      <c r="AQ350" s="119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83"/>
      <c r="BI350" s="142"/>
      <c r="BJ350" s="101"/>
      <c r="BK350" s="43"/>
    </row>
    <row r="351" s="18" customFormat="1" spans="1:63">
      <c r="A351" s="73"/>
      <c r="B351" s="43"/>
      <c r="C351" s="43"/>
      <c r="D351" s="43"/>
      <c r="E351" s="43"/>
      <c r="F351" s="43"/>
      <c r="G351" s="43"/>
      <c r="H351" s="43"/>
      <c r="I351" s="43"/>
      <c r="J351" s="43"/>
      <c r="K351" s="113"/>
      <c r="L351" s="43"/>
      <c r="M351" s="43"/>
      <c r="N351" s="43"/>
      <c r="O351" s="43"/>
      <c r="P351" s="114"/>
      <c r="Q351" s="114"/>
      <c r="R351" s="43"/>
      <c r="S351" s="43"/>
      <c r="T351" s="43"/>
      <c r="U351" s="153"/>
      <c r="V351" s="114"/>
      <c r="W351" s="114"/>
      <c r="X351" s="115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118"/>
      <c r="AJ351" s="43"/>
      <c r="AK351" s="43"/>
      <c r="AL351" s="43"/>
      <c r="AM351" s="43"/>
      <c r="AN351" s="43"/>
      <c r="AO351" s="43"/>
      <c r="AP351" s="43"/>
      <c r="AQ351" s="119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83"/>
      <c r="BI351" s="142"/>
      <c r="BJ351" s="101"/>
      <c r="BK351" s="43"/>
    </row>
    <row r="352" s="18" customFormat="1" spans="1:63">
      <c r="A352" s="73"/>
      <c r="B352" s="43"/>
      <c r="C352" s="43"/>
      <c r="D352" s="43"/>
      <c r="E352" s="43"/>
      <c r="F352" s="43"/>
      <c r="G352" s="43"/>
      <c r="H352" s="43"/>
      <c r="I352" s="43"/>
      <c r="J352" s="43"/>
      <c r="K352" s="113"/>
      <c r="L352" s="43"/>
      <c r="M352" s="43"/>
      <c r="N352" s="43"/>
      <c r="O352" s="43"/>
      <c r="P352" s="114"/>
      <c r="Q352" s="114"/>
      <c r="R352" s="43"/>
      <c r="S352" s="43"/>
      <c r="T352" s="43"/>
      <c r="U352" s="153"/>
      <c r="V352" s="114"/>
      <c r="W352" s="114"/>
      <c r="X352" s="115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118"/>
      <c r="AJ352" s="43"/>
      <c r="AK352" s="43"/>
      <c r="AL352" s="43"/>
      <c r="AM352" s="43"/>
      <c r="AN352" s="43"/>
      <c r="AO352" s="43"/>
      <c r="AP352" s="43"/>
      <c r="AQ352" s="119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83"/>
      <c r="BI352" s="142"/>
      <c r="BJ352" s="101"/>
      <c r="BK352" s="43"/>
    </row>
    <row r="353" s="18" customFormat="1" spans="1:63">
      <c r="A353" s="73"/>
      <c r="B353" s="43"/>
      <c r="C353" s="43"/>
      <c r="D353" s="43"/>
      <c r="E353" s="43"/>
      <c r="F353" s="43"/>
      <c r="G353" s="43"/>
      <c r="H353" s="43"/>
      <c r="I353" s="43"/>
      <c r="J353" s="43"/>
      <c r="K353" s="113"/>
      <c r="L353" s="43"/>
      <c r="M353" s="43"/>
      <c r="N353" s="43"/>
      <c r="O353" s="43"/>
      <c r="P353" s="114"/>
      <c r="Q353" s="114"/>
      <c r="R353" s="43"/>
      <c r="S353" s="43"/>
      <c r="T353" s="43"/>
      <c r="U353" s="153"/>
      <c r="V353" s="114"/>
      <c r="W353" s="114"/>
      <c r="X353" s="115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118"/>
      <c r="AJ353" s="43"/>
      <c r="AK353" s="43"/>
      <c r="AL353" s="43"/>
      <c r="AM353" s="43"/>
      <c r="AN353" s="43"/>
      <c r="AO353" s="43"/>
      <c r="AP353" s="43"/>
      <c r="AQ353" s="119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83"/>
      <c r="BI353" s="142"/>
      <c r="BJ353" s="101"/>
      <c r="BK353" s="43"/>
    </row>
    <row r="354" s="18" customFormat="1" spans="1:63">
      <c r="A354" s="73"/>
      <c r="B354" s="43"/>
      <c r="C354" s="43"/>
      <c r="D354" s="43"/>
      <c r="E354" s="43"/>
      <c r="F354" s="43"/>
      <c r="G354" s="43"/>
      <c r="H354" s="43"/>
      <c r="I354" s="43"/>
      <c r="J354" s="43"/>
      <c r="K354" s="113"/>
      <c r="L354" s="43"/>
      <c r="M354" s="43"/>
      <c r="N354" s="43"/>
      <c r="O354" s="43"/>
      <c r="P354" s="114"/>
      <c r="Q354" s="114"/>
      <c r="R354" s="43"/>
      <c r="S354" s="43"/>
      <c r="T354" s="43"/>
      <c r="U354" s="153"/>
      <c r="V354" s="114"/>
      <c r="W354" s="114"/>
      <c r="X354" s="115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118"/>
      <c r="AJ354" s="43"/>
      <c r="AK354" s="43"/>
      <c r="AL354" s="43"/>
      <c r="AM354" s="43"/>
      <c r="AN354" s="43"/>
      <c r="AO354" s="43"/>
      <c r="AP354" s="43"/>
      <c r="AQ354" s="119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83"/>
      <c r="BI354" s="142"/>
      <c r="BJ354" s="101"/>
      <c r="BK354" s="43"/>
    </row>
    <row r="355" s="18" customFormat="1" spans="1:63">
      <c r="A355" s="73"/>
      <c r="B355" s="43"/>
      <c r="C355" s="43"/>
      <c r="D355" s="43"/>
      <c r="E355" s="43"/>
      <c r="F355" s="43"/>
      <c r="G355" s="43"/>
      <c r="H355" s="43"/>
      <c r="I355" s="43"/>
      <c r="J355" s="43"/>
      <c r="K355" s="113"/>
      <c r="L355" s="43"/>
      <c r="M355" s="43"/>
      <c r="N355" s="43"/>
      <c r="O355" s="43"/>
      <c r="P355" s="114"/>
      <c r="Q355" s="114"/>
      <c r="R355" s="43"/>
      <c r="S355" s="43"/>
      <c r="T355" s="43"/>
      <c r="U355" s="153"/>
      <c r="V355" s="114"/>
      <c r="W355" s="114"/>
      <c r="X355" s="115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118"/>
      <c r="AJ355" s="43"/>
      <c r="AK355" s="43"/>
      <c r="AL355" s="43"/>
      <c r="AM355" s="43"/>
      <c r="AN355" s="43"/>
      <c r="AO355" s="43"/>
      <c r="AP355" s="43"/>
      <c r="AQ355" s="119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83"/>
      <c r="BI355" s="142"/>
      <c r="BJ355" s="101"/>
      <c r="BK355" s="43"/>
    </row>
    <row r="356" s="18" customFormat="1" spans="1:63">
      <c r="A356" s="73"/>
      <c r="B356" s="43"/>
      <c r="C356" s="43"/>
      <c r="D356" s="43"/>
      <c r="E356" s="43"/>
      <c r="F356" s="43"/>
      <c r="G356" s="43"/>
      <c r="H356" s="43"/>
      <c r="I356" s="43"/>
      <c r="J356" s="43"/>
      <c r="K356" s="113"/>
      <c r="L356" s="43"/>
      <c r="M356" s="43"/>
      <c r="N356" s="43"/>
      <c r="O356" s="43"/>
      <c r="P356" s="114"/>
      <c r="Q356" s="114"/>
      <c r="R356" s="43"/>
      <c r="S356" s="43"/>
      <c r="T356" s="43"/>
      <c r="U356" s="153"/>
      <c r="V356" s="114"/>
      <c r="W356" s="114"/>
      <c r="X356" s="115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118"/>
      <c r="AJ356" s="43"/>
      <c r="AK356" s="43"/>
      <c r="AL356" s="43"/>
      <c r="AM356" s="43"/>
      <c r="AN356" s="43"/>
      <c r="AO356" s="43"/>
      <c r="AP356" s="43"/>
      <c r="AQ356" s="119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83"/>
      <c r="BI356" s="142"/>
      <c r="BJ356" s="101"/>
      <c r="BK356" s="43"/>
    </row>
    <row r="357" s="18" customFormat="1" spans="1:63">
      <c r="A357" s="73"/>
      <c r="B357" s="43"/>
      <c r="C357" s="43"/>
      <c r="D357" s="43"/>
      <c r="E357" s="43"/>
      <c r="F357" s="43"/>
      <c r="G357" s="43"/>
      <c r="H357" s="43"/>
      <c r="I357" s="43"/>
      <c r="J357" s="43"/>
      <c r="K357" s="113"/>
      <c r="L357" s="43"/>
      <c r="M357" s="43"/>
      <c r="N357" s="43"/>
      <c r="O357" s="43"/>
      <c r="P357" s="114"/>
      <c r="Q357" s="114"/>
      <c r="R357" s="43"/>
      <c r="S357" s="43"/>
      <c r="T357" s="43"/>
      <c r="U357" s="153"/>
      <c r="V357" s="114"/>
      <c r="W357" s="114"/>
      <c r="X357" s="115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118"/>
      <c r="AJ357" s="43"/>
      <c r="AK357" s="43"/>
      <c r="AL357" s="43"/>
      <c r="AM357" s="43"/>
      <c r="AN357" s="43"/>
      <c r="AO357" s="43"/>
      <c r="AP357" s="43"/>
      <c r="AQ357" s="119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83"/>
      <c r="BI357" s="142"/>
      <c r="BJ357" s="101"/>
      <c r="BK357" s="43"/>
    </row>
    <row r="358" s="18" customFormat="1" spans="1:63">
      <c r="A358" s="73"/>
      <c r="B358" s="43"/>
      <c r="C358" s="43"/>
      <c r="D358" s="43"/>
      <c r="E358" s="43"/>
      <c r="F358" s="43"/>
      <c r="G358" s="43"/>
      <c r="H358" s="43"/>
      <c r="I358" s="43"/>
      <c r="J358" s="43"/>
      <c r="K358" s="113"/>
      <c r="L358" s="43"/>
      <c r="M358" s="43"/>
      <c r="N358" s="43"/>
      <c r="O358" s="43"/>
      <c r="P358" s="114"/>
      <c r="Q358" s="114"/>
      <c r="R358" s="43"/>
      <c r="S358" s="43"/>
      <c r="T358" s="43"/>
      <c r="U358" s="153"/>
      <c r="V358" s="114"/>
      <c r="W358" s="114"/>
      <c r="X358" s="115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118"/>
      <c r="AJ358" s="43"/>
      <c r="AK358" s="43"/>
      <c r="AL358" s="43"/>
      <c r="AM358" s="43"/>
      <c r="AN358" s="43"/>
      <c r="AO358" s="43"/>
      <c r="AP358" s="43"/>
      <c r="AQ358" s="119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83"/>
      <c r="BI358" s="142"/>
      <c r="BJ358" s="101"/>
      <c r="BK358" s="43"/>
    </row>
    <row r="359" s="18" customFormat="1" spans="1:63">
      <c r="A359" s="73"/>
      <c r="B359" s="43"/>
      <c r="C359" s="43"/>
      <c r="D359" s="43"/>
      <c r="E359" s="43"/>
      <c r="F359" s="43"/>
      <c r="G359" s="43"/>
      <c r="H359" s="43"/>
      <c r="I359" s="43"/>
      <c r="J359" s="43"/>
      <c r="K359" s="113"/>
      <c r="L359" s="43"/>
      <c r="M359" s="43"/>
      <c r="N359" s="43"/>
      <c r="O359" s="43"/>
      <c r="P359" s="114"/>
      <c r="Q359" s="114"/>
      <c r="R359" s="43"/>
      <c r="S359" s="43"/>
      <c r="T359" s="43"/>
      <c r="U359" s="153"/>
      <c r="V359" s="114"/>
      <c r="W359" s="114"/>
      <c r="X359" s="115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118"/>
      <c r="AJ359" s="43"/>
      <c r="AK359" s="43"/>
      <c r="AL359" s="43"/>
      <c r="AM359" s="43"/>
      <c r="AN359" s="43"/>
      <c r="AO359" s="43"/>
      <c r="AP359" s="43"/>
      <c r="AQ359" s="119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83"/>
      <c r="BI359" s="142"/>
      <c r="BJ359" s="101"/>
      <c r="BK359" s="43"/>
    </row>
    <row r="360" s="18" customFormat="1" spans="1:63">
      <c r="A360" s="73"/>
      <c r="B360" s="43"/>
      <c r="C360" s="43"/>
      <c r="D360" s="43"/>
      <c r="E360" s="43"/>
      <c r="F360" s="43"/>
      <c r="G360" s="43"/>
      <c r="H360" s="43"/>
      <c r="I360" s="43"/>
      <c r="J360" s="43"/>
      <c r="K360" s="113"/>
      <c r="L360" s="43"/>
      <c r="M360" s="43"/>
      <c r="N360" s="43"/>
      <c r="O360" s="43"/>
      <c r="P360" s="114"/>
      <c r="Q360" s="114"/>
      <c r="R360" s="43"/>
      <c r="S360" s="43"/>
      <c r="T360" s="43"/>
      <c r="U360" s="153"/>
      <c r="V360" s="114"/>
      <c r="W360" s="114"/>
      <c r="X360" s="115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118"/>
      <c r="AJ360" s="43"/>
      <c r="AK360" s="43"/>
      <c r="AL360" s="43"/>
      <c r="AM360" s="43"/>
      <c r="AN360" s="43"/>
      <c r="AO360" s="43"/>
      <c r="AP360" s="43"/>
      <c r="AQ360" s="119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83"/>
      <c r="BI360" s="142"/>
      <c r="BJ360" s="101"/>
      <c r="BK360" s="43"/>
    </row>
    <row r="361" s="18" customFormat="1" spans="1:63">
      <c r="A361" s="73"/>
      <c r="B361" s="43"/>
      <c r="C361" s="43"/>
      <c r="D361" s="43"/>
      <c r="E361" s="43"/>
      <c r="F361" s="43"/>
      <c r="G361" s="43"/>
      <c r="H361" s="43"/>
      <c r="I361" s="43"/>
      <c r="J361" s="43"/>
      <c r="K361" s="113"/>
      <c r="L361" s="43"/>
      <c r="M361" s="43"/>
      <c r="N361" s="43"/>
      <c r="O361" s="43"/>
      <c r="P361" s="114"/>
      <c r="Q361" s="114"/>
      <c r="R361" s="43"/>
      <c r="S361" s="43"/>
      <c r="T361" s="43"/>
      <c r="U361" s="153"/>
      <c r="V361" s="114"/>
      <c r="W361" s="114"/>
      <c r="X361" s="115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118"/>
      <c r="AJ361" s="43"/>
      <c r="AK361" s="43"/>
      <c r="AL361" s="43"/>
      <c r="AM361" s="43"/>
      <c r="AN361" s="43"/>
      <c r="AO361" s="43"/>
      <c r="AP361" s="43"/>
      <c r="AQ361" s="119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83"/>
      <c r="BI361" s="142"/>
      <c r="BJ361" s="101"/>
      <c r="BK361" s="43"/>
    </row>
    <row r="362" s="18" customFormat="1" spans="1:63">
      <c r="A362" s="73"/>
      <c r="B362" s="43"/>
      <c r="C362" s="43"/>
      <c r="D362" s="43"/>
      <c r="E362" s="43"/>
      <c r="F362" s="43"/>
      <c r="G362" s="43"/>
      <c r="H362" s="43"/>
      <c r="I362" s="43"/>
      <c r="J362" s="43"/>
      <c r="K362" s="113"/>
      <c r="L362" s="43"/>
      <c r="M362" s="43"/>
      <c r="N362" s="43"/>
      <c r="O362" s="43"/>
      <c r="P362" s="114"/>
      <c r="Q362" s="114"/>
      <c r="R362" s="43"/>
      <c r="S362" s="43"/>
      <c r="T362" s="43"/>
      <c r="U362" s="153"/>
      <c r="V362" s="114"/>
      <c r="W362" s="114"/>
      <c r="X362" s="115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118"/>
      <c r="AJ362" s="43"/>
      <c r="AK362" s="43"/>
      <c r="AL362" s="43"/>
      <c r="AM362" s="43"/>
      <c r="AN362" s="43"/>
      <c r="AO362" s="43"/>
      <c r="AP362" s="43"/>
      <c r="AQ362" s="119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83"/>
      <c r="BI362" s="142"/>
      <c r="BJ362" s="101"/>
      <c r="BK362" s="43"/>
    </row>
    <row r="363" s="18" customFormat="1" spans="1:63">
      <c r="A363" s="73"/>
      <c r="B363" s="43"/>
      <c r="C363" s="43"/>
      <c r="D363" s="43"/>
      <c r="E363" s="43"/>
      <c r="F363" s="43"/>
      <c r="G363" s="43"/>
      <c r="H363" s="43"/>
      <c r="I363" s="43"/>
      <c r="J363" s="43"/>
      <c r="K363" s="113"/>
      <c r="L363" s="43"/>
      <c r="M363" s="43"/>
      <c r="N363" s="43"/>
      <c r="O363" s="43"/>
      <c r="P363" s="114"/>
      <c r="Q363" s="114"/>
      <c r="R363" s="43"/>
      <c r="S363" s="43"/>
      <c r="T363" s="43"/>
      <c r="U363" s="153"/>
      <c r="V363" s="114"/>
      <c r="W363" s="114"/>
      <c r="X363" s="115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118"/>
      <c r="AJ363" s="43"/>
      <c r="AK363" s="43"/>
      <c r="AL363" s="43"/>
      <c r="AM363" s="43"/>
      <c r="AN363" s="43"/>
      <c r="AO363" s="43"/>
      <c r="AP363" s="43"/>
      <c r="AQ363" s="119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83"/>
      <c r="BI363" s="142"/>
      <c r="BJ363" s="101"/>
      <c r="BK363" s="43"/>
    </row>
    <row r="364" s="18" customFormat="1" spans="1:63">
      <c r="A364" s="73"/>
      <c r="B364" s="43"/>
      <c r="C364" s="43"/>
      <c r="D364" s="43"/>
      <c r="E364" s="43"/>
      <c r="F364" s="43"/>
      <c r="G364" s="43"/>
      <c r="H364" s="43"/>
      <c r="I364" s="43"/>
      <c r="J364" s="43"/>
      <c r="K364" s="113"/>
      <c r="L364" s="43"/>
      <c r="M364" s="43"/>
      <c r="N364" s="43"/>
      <c r="O364" s="43"/>
      <c r="P364" s="114"/>
      <c r="Q364" s="114"/>
      <c r="R364" s="43"/>
      <c r="S364" s="43"/>
      <c r="T364" s="43"/>
      <c r="U364" s="153"/>
      <c r="V364" s="114"/>
      <c r="W364" s="114"/>
      <c r="X364" s="115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118"/>
      <c r="AJ364" s="43"/>
      <c r="AK364" s="43"/>
      <c r="AL364" s="43"/>
      <c r="AM364" s="43"/>
      <c r="AN364" s="43"/>
      <c r="AO364" s="43"/>
      <c r="AP364" s="43"/>
      <c r="AQ364" s="119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83"/>
      <c r="BI364" s="142"/>
      <c r="BJ364" s="101"/>
      <c r="BK364" s="43"/>
    </row>
    <row r="365" s="18" customFormat="1" spans="1:63">
      <c r="A365" s="73"/>
      <c r="B365" s="43"/>
      <c r="C365" s="43"/>
      <c r="D365" s="43"/>
      <c r="E365" s="43"/>
      <c r="F365" s="43"/>
      <c r="G365" s="43"/>
      <c r="H365" s="43"/>
      <c r="I365" s="43"/>
      <c r="J365" s="43"/>
      <c r="K365" s="113"/>
      <c r="L365" s="43"/>
      <c r="M365" s="43"/>
      <c r="N365" s="43"/>
      <c r="O365" s="43"/>
      <c r="P365" s="114"/>
      <c r="Q365" s="114"/>
      <c r="R365" s="43"/>
      <c r="S365" s="43"/>
      <c r="T365" s="43"/>
      <c r="U365" s="153"/>
      <c r="V365" s="114"/>
      <c r="W365" s="114"/>
      <c r="X365" s="115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118"/>
      <c r="AJ365" s="43"/>
      <c r="AK365" s="43"/>
      <c r="AL365" s="43"/>
      <c r="AM365" s="43"/>
      <c r="AN365" s="43"/>
      <c r="AO365" s="43"/>
      <c r="AP365" s="43"/>
      <c r="AQ365" s="119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83"/>
      <c r="BI365" s="142"/>
      <c r="BJ365" s="101"/>
      <c r="BK365" s="43"/>
    </row>
    <row r="366" s="18" customFormat="1" spans="1:63">
      <c r="A366" s="73"/>
      <c r="B366" s="43"/>
      <c r="C366" s="43"/>
      <c r="D366" s="43"/>
      <c r="E366" s="43"/>
      <c r="F366" s="43"/>
      <c r="G366" s="43"/>
      <c r="H366" s="43"/>
      <c r="I366" s="43"/>
      <c r="J366" s="43"/>
      <c r="K366" s="113"/>
      <c r="L366" s="43"/>
      <c r="M366" s="43"/>
      <c r="N366" s="43"/>
      <c r="O366" s="43"/>
      <c r="P366" s="114"/>
      <c r="Q366" s="114"/>
      <c r="R366" s="43"/>
      <c r="S366" s="43"/>
      <c r="T366" s="43"/>
      <c r="U366" s="153"/>
      <c r="V366" s="114"/>
      <c r="W366" s="114"/>
      <c r="X366" s="115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118"/>
      <c r="AJ366" s="43"/>
      <c r="AK366" s="43"/>
      <c r="AL366" s="43"/>
      <c r="AM366" s="43"/>
      <c r="AN366" s="43"/>
      <c r="AO366" s="43"/>
      <c r="AP366" s="43"/>
      <c r="AQ366" s="119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83"/>
      <c r="BI366" s="142"/>
      <c r="BJ366" s="101"/>
      <c r="BK366" s="43"/>
    </row>
    <row r="367" s="18" customFormat="1" spans="1:63">
      <c r="A367" s="73"/>
      <c r="B367" s="43"/>
      <c r="C367" s="43"/>
      <c r="D367" s="43"/>
      <c r="E367" s="43"/>
      <c r="F367" s="43"/>
      <c r="G367" s="43"/>
      <c r="H367" s="43"/>
      <c r="I367" s="43"/>
      <c r="J367" s="43"/>
      <c r="K367" s="113"/>
      <c r="L367" s="43"/>
      <c r="M367" s="43"/>
      <c r="N367" s="43"/>
      <c r="O367" s="43"/>
      <c r="P367" s="114"/>
      <c r="Q367" s="114"/>
      <c r="R367" s="43"/>
      <c r="S367" s="43"/>
      <c r="T367" s="43"/>
      <c r="U367" s="153"/>
      <c r="V367" s="114"/>
      <c r="W367" s="114"/>
      <c r="X367" s="115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118"/>
      <c r="AJ367" s="43"/>
      <c r="AK367" s="43"/>
      <c r="AL367" s="43"/>
      <c r="AM367" s="43"/>
      <c r="AN367" s="43"/>
      <c r="AO367" s="43"/>
      <c r="AP367" s="43"/>
      <c r="AQ367" s="119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83"/>
      <c r="BI367" s="142"/>
      <c r="BJ367" s="101"/>
      <c r="BK367" s="43"/>
    </row>
    <row r="368" s="18" customFormat="1" spans="1:63">
      <c r="A368" s="73"/>
      <c r="B368" s="43"/>
      <c r="C368" s="43"/>
      <c r="D368" s="43"/>
      <c r="E368" s="43"/>
      <c r="F368" s="43"/>
      <c r="G368" s="43"/>
      <c r="H368" s="43"/>
      <c r="I368" s="43"/>
      <c r="J368" s="43"/>
      <c r="K368" s="113"/>
      <c r="L368" s="43"/>
      <c r="M368" s="43"/>
      <c r="N368" s="43"/>
      <c r="O368" s="43"/>
      <c r="P368" s="114"/>
      <c r="Q368" s="114"/>
      <c r="R368" s="43"/>
      <c r="S368" s="43"/>
      <c r="T368" s="43"/>
      <c r="U368" s="153"/>
      <c r="V368" s="114"/>
      <c r="W368" s="114"/>
      <c r="X368" s="115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118"/>
      <c r="AJ368" s="43"/>
      <c r="AK368" s="43"/>
      <c r="AL368" s="43"/>
      <c r="AM368" s="43"/>
      <c r="AN368" s="43"/>
      <c r="AO368" s="43"/>
      <c r="AP368" s="43"/>
      <c r="AQ368" s="119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83"/>
      <c r="BI368" s="142"/>
      <c r="BJ368" s="101"/>
      <c r="BK368" s="43"/>
    </row>
    <row r="369" s="18" customFormat="1" spans="1:63">
      <c r="A369" s="73"/>
      <c r="B369" s="43"/>
      <c r="C369" s="43"/>
      <c r="D369" s="43"/>
      <c r="E369" s="43"/>
      <c r="F369" s="43"/>
      <c r="G369" s="43"/>
      <c r="H369" s="43"/>
      <c r="I369" s="43"/>
      <c r="J369" s="43"/>
      <c r="K369" s="113"/>
      <c r="L369" s="43"/>
      <c r="M369" s="43"/>
      <c r="N369" s="43"/>
      <c r="O369" s="43"/>
      <c r="P369" s="114"/>
      <c r="Q369" s="114"/>
      <c r="R369" s="43"/>
      <c r="S369" s="43"/>
      <c r="T369" s="43"/>
      <c r="U369" s="153"/>
      <c r="V369" s="114"/>
      <c r="W369" s="114"/>
      <c r="X369" s="115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118"/>
      <c r="AJ369" s="43"/>
      <c r="AK369" s="43"/>
      <c r="AL369" s="43"/>
      <c r="AM369" s="43"/>
      <c r="AN369" s="43"/>
      <c r="AO369" s="43"/>
      <c r="AP369" s="43"/>
      <c r="AQ369" s="119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83"/>
      <c r="BI369" s="142"/>
      <c r="BJ369" s="101"/>
      <c r="BK369" s="43"/>
    </row>
    <row r="370" s="18" customFormat="1" spans="1:63">
      <c r="A370" s="73"/>
      <c r="B370" s="43"/>
      <c r="C370" s="43"/>
      <c r="D370" s="43"/>
      <c r="E370" s="43"/>
      <c r="F370" s="43"/>
      <c r="G370" s="43"/>
      <c r="H370" s="43"/>
      <c r="I370" s="43"/>
      <c r="J370" s="43"/>
      <c r="K370" s="113"/>
      <c r="L370" s="43"/>
      <c r="M370" s="43"/>
      <c r="N370" s="43"/>
      <c r="O370" s="43"/>
      <c r="P370" s="114"/>
      <c r="Q370" s="114"/>
      <c r="R370" s="43"/>
      <c r="S370" s="43"/>
      <c r="T370" s="43"/>
      <c r="U370" s="153"/>
      <c r="V370" s="114"/>
      <c r="W370" s="114"/>
      <c r="X370" s="115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118"/>
      <c r="AJ370" s="43"/>
      <c r="AK370" s="43"/>
      <c r="AL370" s="43"/>
      <c r="AM370" s="43"/>
      <c r="AN370" s="43"/>
      <c r="AO370" s="43"/>
      <c r="AP370" s="43"/>
      <c r="AQ370" s="119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83"/>
      <c r="BI370" s="142"/>
      <c r="BJ370" s="101"/>
      <c r="BK370" s="43"/>
    </row>
    <row r="371" s="18" customFormat="1" spans="1:63">
      <c r="A371" s="73"/>
      <c r="B371" s="43"/>
      <c r="C371" s="43"/>
      <c r="D371" s="43"/>
      <c r="E371" s="43"/>
      <c r="F371" s="43"/>
      <c r="G371" s="43"/>
      <c r="H371" s="43"/>
      <c r="I371" s="43"/>
      <c r="J371" s="43"/>
      <c r="K371" s="113"/>
      <c r="L371" s="43"/>
      <c r="M371" s="43"/>
      <c r="N371" s="43"/>
      <c r="O371" s="43"/>
      <c r="P371" s="114"/>
      <c r="Q371" s="114"/>
      <c r="R371" s="43"/>
      <c r="S371" s="43"/>
      <c r="T371" s="43"/>
      <c r="U371" s="153"/>
      <c r="V371" s="114"/>
      <c r="W371" s="114"/>
      <c r="X371" s="115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118"/>
      <c r="AJ371" s="43"/>
      <c r="AK371" s="43"/>
      <c r="AL371" s="43"/>
      <c r="AM371" s="43"/>
      <c r="AN371" s="43"/>
      <c r="AO371" s="43"/>
      <c r="AP371" s="43"/>
      <c r="AQ371" s="119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83"/>
      <c r="BI371" s="142"/>
      <c r="BJ371" s="101"/>
      <c r="BK371" s="43"/>
    </row>
    <row r="372" s="18" customFormat="1" spans="1:63">
      <c r="A372" s="73"/>
      <c r="B372" s="43"/>
      <c r="C372" s="43"/>
      <c r="D372" s="43"/>
      <c r="E372" s="43"/>
      <c r="F372" s="43"/>
      <c r="G372" s="43"/>
      <c r="H372" s="43"/>
      <c r="I372" s="43"/>
      <c r="J372" s="43"/>
      <c r="K372" s="113"/>
      <c r="L372" s="43"/>
      <c r="M372" s="43"/>
      <c r="N372" s="43"/>
      <c r="O372" s="43"/>
      <c r="P372" s="114"/>
      <c r="Q372" s="114"/>
      <c r="R372" s="43"/>
      <c r="S372" s="43"/>
      <c r="T372" s="43"/>
      <c r="U372" s="153"/>
      <c r="V372" s="114"/>
      <c r="W372" s="114"/>
      <c r="X372" s="115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118"/>
      <c r="AJ372" s="43"/>
      <c r="AK372" s="43"/>
      <c r="AL372" s="43"/>
      <c r="AM372" s="43"/>
      <c r="AN372" s="43"/>
      <c r="AO372" s="43"/>
      <c r="AP372" s="43"/>
      <c r="AQ372" s="119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83"/>
      <c r="BI372" s="142"/>
      <c r="BJ372" s="101"/>
      <c r="BK372" s="43"/>
    </row>
    <row r="373" s="18" customFormat="1" spans="1:63">
      <c r="A373" s="73"/>
      <c r="B373" s="43"/>
      <c r="C373" s="43"/>
      <c r="D373" s="43"/>
      <c r="E373" s="43"/>
      <c r="F373" s="43"/>
      <c r="G373" s="43"/>
      <c r="H373" s="43"/>
      <c r="I373" s="43"/>
      <c r="J373" s="43"/>
      <c r="K373" s="113"/>
      <c r="L373" s="43"/>
      <c r="M373" s="43"/>
      <c r="N373" s="43"/>
      <c r="O373" s="43"/>
      <c r="P373" s="114"/>
      <c r="Q373" s="114"/>
      <c r="R373" s="43"/>
      <c r="S373" s="43"/>
      <c r="T373" s="43"/>
      <c r="U373" s="153"/>
      <c r="V373" s="114"/>
      <c r="W373" s="114"/>
      <c r="X373" s="115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118"/>
      <c r="AJ373" s="43"/>
      <c r="AK373" s="43"/>
      <c r="AL373" s="43"/>
      <c r="AM373" s="43"/>
      <c r="AN373" s="43"/>
      <c r="AO373" s="43"/>
      <c r="AP373" s="43"/>
      <c r="AQ373" s="119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83"/>
      <c r="BI373" s="142"/>
      <c r="BJ373" s="101"/>
      <c r="BK373" s="43"/>
    </row>
    <row r="374" s="18" customFormat="1" spans="1:63">
      <c r="A374" s="73"/>
      <c r="B374" s="43"/>
      <c r="C374" s="43"/>
      <c r="D374" s="43"/>
      <c r="E374" s="43"/>
      <c r="F374" s="43"/>
      <c r="G374" s="43"/>
      <c r="H374" s="43"/>
      <c r="I374" s="43"/>
      <c r="J374" s="43"/>
      <c r="K374" s="113"/>
      <c r="L374" s="43"/>
      <c r="M374" s="43"/>
      <c r="N374" s="43"/>
      <c r="O374" s="43"/>
      <c r="P374" s="114"/>
      <c r="Q374" s="114"/>
      <c r="R374" s="43"/>
      <c r="S374" s="43"/>
      <c r="T374" s="43"/>
      <c r="U374" s="153"/>
      <c r="V374" s="114"/>
      <c r="W374" s="114"/>
      <c r="X374" s="115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118"/>
      <c r="AJ374" s="43"/>
      <c r="AK374" s="43"/>
      <c r="AL374" s="43"/>
      <c r="AM374" s="43"/>
      <c r="AN374" s="43"/>
      <c r="AO374" s="43"/>
      <c r="AP374" s="43"/>
      <c r="AQ374" s="119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83"/>
      <c r="BI374" s="142"/>
      <c r="BJ374" s="101"/>
      <c r="BK374" s="43"/>
    </row>
    <row r="375" s="18" customFormat="1" spans="1:63">
      <c r="A375" s="73"/>
      <c r="B375" s="43"/>
      <c r="C375" s="43"/>
      <c r="D375" s="43"/>
      <c r="E375" s="43"/>
      <c r="F375" s="43"/>
      <c r="G375" s="43"/>
      <c r="H375" s="43"/>
      <c r="I375" s="43"/>
      <c r="J375" s="43"/>
      <c r="K375" s="113"/>
      <c r="L375" s="43"/>
      <c r="M375" s="43"/>
      <c r="N375" s="43"/>
      <c r="O375" s="43"/>
      <c r="P375" s="114"/>
      <c r="Q375" s="114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</row>
    <row r="376" s="18" customFormat="1" spans="1:63">
      <c r="A376" s="7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</row>
    <row r="377" s="18" customFormat="1" spans="1:63">
      <c r="A377" s="7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</row>
    <row r="378" s="18" customFormat="1" spans="1:63">
      <c r="A378" s="7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</row>
    <row r="379" s="18" customFormat="1" spans="1:63">
      <c r="A379" s="7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</row>
    <row r="380" s="18" customFormat="1" spans="1:63">
      <c r="A380" s="7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</row>
    <row r="381" s="18" customFormat="1" spans="1:63">
      <c r="A381" s="7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</row>
    <row r="382" s="18" customFormat="1" spans="1:63">
      <c r="A382" s="7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</row>
    <row r="383" s="18" customFormat="1" spans="1:63">
      <c r="A383" s="7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</row>
    <row r="384" s="18" customFormat="1" spans="1:63">
      <c r="A384" s="7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</row>
    <row r="385" s="18" customFormat="1" spans="1:63">
      <c r="A385" s="7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</row>
    <row r="386" s="18" customFormat="1" spans="1:63">
      <c r="A386" s="7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</row>
    <row r="387" s="18" customFormat="1" spans="1:63">
      <c r="A387" s="7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</row>
    <row r="388" s="18" customFormat="1" spans="1:63">
      <c r="A388" s="7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</row>
    <row r="389" s="18" customFormat="1" spans="1:63">
      <c r="A389" s="7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</row>
    <row r="390" s="18" customFormat="1" spans="1:63">
      <c r="A390" s="7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</row>
    <row r="391" spans="1:63">
      <c r="A391" s="73"/>
      <c r="E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</row>
    <row r="392" spans="1:63">
      <c r="A392" s="73"/>
      <c r="E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</row>
    <row r="393" spans="1:63">
      <c r="A393" s="73"/>
      <c r="E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</row>
    <row r="394" spans="1:63">
      <c r="A394" s="73"/>
      <c r="E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</row>
    <row r="395" spans="1:63">
      <c r="A395" s="73"/>
      <c r="E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</row>
    <row r="396" spans="1:63">
      <c r="A396" s="73"/>
      <c r="E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</row>
    <row r="397" spans="1:63">
      <c r="A397" s="73"/>
      <c r="E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</row>
    <row r="398" spans="1:63">
      <c r="A398" s="73"/>
      <c r="E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</row>
    <row r="399" spans="1:63">
      <c r="A399" s="73"/>
      <c r="E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</row>
    <row r="400" spans="1:63">
      <c r="A400" s="73"/>
      <c r="E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</row>
    <row r="401" spans="1:63">
      <c r="A401" s="73"/>
      <c r="E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</row>
    <row r="402" spans="1:63">
      <c r="A402" s="73"/>
      <c r="E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</row>
    <row r="403" spans="1:63">
      <c r="A403" s="73"/>
      <c r="E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</row>
    <row r="404" spans="1:63">
      <c r="A404" s="73"/>
      <c r="E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</row>
    <row r="405" spans="1:63">
      <c r="A405" s="73"/>
      <c r="E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</row>
    <row r="406" spans="1:63">
      <c r="A406" s="73"/>
      <c r="E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</row>
    <row r="407" spans="1:63">
      <c r="A407" s="73"/>
      <c r="E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</row>
    <row r="408" spans="1:63">
      <c r="A408" s="73"/>
      <c r="E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</row>
    <row r="409" spans="1:63">
      <c r="A409" s="73"/>
      <c r="E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</row>
    <row r="410" spans="1:63">
      <c r="A410" s="73"/>
      <c r="E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</row>
    <row r="411" spans="1:63">
      <c r="A411" s="73"/>
      <c r="E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</row>
    <row r="412" spans="1:63">
      <c r="A412" s="73"/>
      <c r="E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</row>
    <row r="413" spans="1:63">
      <c r="A413" s="73"/>
      <c r="E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</row>
    <row r="414" spans="1:63">
      <c r="A414" s="73"/>
      <c r="E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</row>
    <row r="415" spans="1:63">
      <c r="A415" s="73"/>
      <c r="E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</row>
    <row r="416" spans="1:63">
      <c r="A416" s="73"/>
      <c r="E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</row>
    <row r="417" spans="1:63">
      <c r="A417" s="73"/>
      <c r="E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</row>
    <row r="418" spans="1:63">
      <c r="A418" s="73"/>
      <c r="E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</row>
    <row r="419" spans="1:63">
      <c r="A419" s="73"/>
      <c r="E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</row>
    <row r="420" spans="1:63">
      <c r="A420" s="73"/>
      <c r="E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</row>
    <row r="421" spans="1:63">
      <c r="A421" s="73"/>
      <c r="E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</row>
    <row r="422" spans="1:63">
      <c r="A422" s="73"/>
      <c r="E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</row>
  </sheetData>
  <sheetProtection formatCells="0" insertHyperlinks="0" autoFilter="0"/>
  <mergeCells count="1">
    <mergeCell ref="A1:XFD1"/>
  </mergeCells>
  <conditionalFormatting sqref="P6:P375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{e8e411bb-475a-4ff1-9bfc-9193072c0c84}</x14:id>
        </ext>
      </extLst>
    </cfRule>
  </conditionalFormatting>
  <conditionalFormatting sqref="Q6:Q375">
    <cfRule type="dataBar" priority="1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{4ec91c47-f5c2-4936-a951-391f1283ac3b}</x14:id>
        </ext>
      </extLst>
    </cfRule>
  </conditionalFormatting>
  <conditionalFormatting sqref="S6:S60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U374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{ca2d3ce5-378b-4bbe-b8d9-c7ed9678741b}</x14:id>
        </ext>
      </extLst>
    </cfRule>
  </conditionalFormatting>
  <conditionalFormatting sqref="V6:V374">
    <cfRule type="dataBar" priority="1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{53a3ab91-6e39-4944-8395-0fe6e0f7fb6c}</x14:id>
        </ext>
      </extLst>
    </cfRule>
  </conditionalFormatting>
  <conditionalFormatting sqref="AI6:AI374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6:AQ374">
    <cfRule type="dataBar" priority="1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{83a0253f-1d0f-4bf0-ac51-50a485f9fa84}</x14:id>
        </ext>
      </extLst>
    </cfRule>
  </conditionalFormatting>
  <conditionalFormatting sqref="BH6:BH178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{7989fdb9-3252-46a5-a62f-1e84bcba7641}</x14:id>
        </ext>
      </extLst>
    </cfRule>
  </conditionalFormatting>
  <conditionalFormatting sqref="BH179:BH30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{806f6828-e79c-41cc-9f0b-1080582b9666}</x14:id>
        </ext>
      </extLst>
    </cfRule>
  </conditionalFormatting>
  <conditionalFormatting sqref="BH302:BH37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{7ea89d20-b84d-4b3c-8348-6ba27da2832b}</x14:id>
        </ext>
      </extLst>
    </cfRule>
  </conditionalFormatting>
  <conditionalFormatting sqref="BI302:BI37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I4:BI301 BI375:BI4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:K66 K69:K37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{fd75fece-0c71-403c-85f3-90e8497c9e17}</x14:id>
        </ext>
      </extLst>
    </cfRule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{627ece82-fab1-4348-b18a-96688d1bafd3}</x14:id>
        </ext>
      </extLst>
    </cfRule>
  </conditionalFormatting>
  <pageMargins left="0.7" right="0.7" top="0.75" bottom="0.75" header="0.3" footer="0.3"/>
  <pageSetup paperSize="256" orientation="portrait" horizontalDpi="203" verticalDpi="20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e411bb-475a-4ff1-9bfc-9193072c0c84}">
            <x14:dataBar minLength="0" maxLength="100" border="1" negativeBarBorderColorSameAsPositive="0" negativeBarColorSameAsPositive="1" axisPosition="none">
              <x14:cfvo type="autoMin"/>
              <x14:cfvo type="autoMax"/>
              <x14:borderColor rgb="FFFF555A"/>
              <x14:negativeBorderColor rgb="FF638EC6"/>
              <x14:axisColor indexed="65"/>
            </x14:dataBar>
          </x14:cfRule>
          <xm:sqref>P6:P375</xm:sqref>
        </x14:conditionalFormatting>
        <x14:conditionalFormatting xmlns:xm="http://schemas.microsoft.com/office/excel/2006/main">
          <x14:cfRule type="dataBar" id="{4ec91c47-f5c2-4936-a951-391f1283ac3b}">
            <x14:dataBar minLength="0" maxLength="100" border="1" negativeBarBorderColorSameAsPositive="0" negativeBarColorSameAsPositive="1" axisPosition="none">
              <x14:cfvo type="autoMin"/>
              <x14:cfvo type="autoMax"/>
              <x14:borderColor rgb="FFFFB628"/>
              <x14:negativeBorderColor rgb="FF638EC6"/>
              <x14:axisColor indexed="65"/>
            </x14:dataBar>
          </x14:cfRule>
          <xm:sqref>Q6:Q375</xm:sqref>
        </x14:conditionalFormatting>
        <x14:conditionalFormatting xmlns:xm="http://schemas.microsoft.com/office/excel/2006/main">
          <x14:cfRule type="dataBar" id="{ca2d3ce5-378b-4bbe-b8d9-c7ed9678741b}">
            <x14:dataBar minLength="0" maxLength="100" border="1" negativeBarBorderColorSameAsPositive="0" negativeBarColorSameAsPositive="1" axisPosition="none">
              <x14:cfvo type="autoMin"/>
              <x14:cfvo type="autoMax"/>
              <x14:borderColor rgb="FFD6007B"/>
              <x14:negativeBorderColor rgb="FF638EC6"/>
              <x14:axisColor indexed="65"/>
            </x14:dataBar>
          </x14:cfRule>
          <xm:sqref>U6:U374</xm:sqref>
        </x14:conditionalFormatting>
        <x14:conditionalFormatting xmlns:xm="http://schemas.microsoft.com/office/excel/2006/main">
          <x14:cfRule type="dataBar" id="{53a3ab91-6e39-4944-8395-0fe6e0f7fb6c}">
            <x14:dataBar minLength="0" maxLength="100" border="1" negativeBarBorderColorSameAsPositive="0" negativeBarColorSameAsPositive="1" axisPosition="none">
              <x14:cfvo type="autoMin"/>
              <x14:cfvo type="autoMax"/>
              <x14:borderColor rgb="FF008AEF"/>
              <x14:negativeBorderColor rgb="FF638EC6"/>
              <x14:axisColor indexed="65"/>
            </x14:dataBar>
          </x14:cfRule>
          <xm:sqref>V6:V374</xm:sqref>
        </x14:conditionalFormatting>
        <x14:conditionalFormatting xmlns:xm="http://schemas.microsoft.com/office/excel/2006/main">
          <x14:cfRule type="dataBar" id="{83a0253f-1d0f-4bf0-ac51-50a485f9fa84}">
            <x14:dataBar minLength="0" maxLength="100" border="1" negativeBarBorderColorSameAsPositive="0" negativeBarColorSameAsPositive="1" axisPosition="none">
              <x14:cfvo type="autoMin"/>
              <x14:cfvo type="autoMax"/>
              <x14:borderColor rgb="FFFFB628"/>
              <x14:negativeBorderColor rgb="FF638EC6"/>
              <x14:axisColor indexed="65"/>
            </x14:dataBar>
          </x14:cfRule>
          <xm:sqref>AQ6:AQ374</xm:sqref>
        </x14:conditionalFormatting>
        <x14:conditionalFormatting xmlns:xm="http://schemas.microsoft.com/office/excel/2006/main">
          <x14:cfRule type="dataBar" id="{7989fdb9-3252-46a5-a62f-1e84bcba7641}">
            <x14:dataBar minLength="0" maxLength="100" border="1" negativeBarBorderColorSameAsPositive="0" negativeBarColorSameAsPositive="1" axisPosition="none">
              <x14:cfvo type="autoMin"/>
              <x14:cfvo type="autoMax"/>
              <x14:borderColor rgb="FF638EC6"/>
              <x14:negativeBorderColor rgb="FF638EC6"/>
              <x14:axisColor indexed="65"/>
            </x14:dataBar>
          </x14:cfRule>
          <xm:sqref>BH6:BH178</xm:sqref>
        </x14:conditionalFormatting>
        <x14:conditionalFormatting xmlns:xm="http://schemas.microsoft.com/office/excel/2006/main">
          <x14:cfRule type="dataBar" id="{806f6828-e79c-41cc-9f0b-1080582b9666}">
            <x14:dataBar minLength="0" maxLength="100" border="1" negativeBarBorderColorSameAsPositive="0" negativeBarColorSameAsPositive="1" axisPosition="none">
              <x14:cfvo type="autoMin"/>
              <x14:cfvo type="autoMax"/>
              <x14:borderColor rgb="FF638EC6"/>
              <x14:negativeBorderColor rgb="FF638EC6"/>
              <x14:axisColor indexed="65"/>
            </x14:dataBar>
          </x14:cfRule>
          <xm:sqref>BH179:BH301</xm:sqref>
        </x14:conditionalFormatting>
        <x14:conditionalFormatting xmlns:xm="http://schemas.microsoft.com/office/excel/2006/main">
          <x14:cfRule type="dataBar" id="{7ea89d20-b84d-4b3c-8348-6ba27da2832b}">
            <x14:dataBar minLength="0" maxLength="100" border="1" negativeBarBorderColorSameAsPositive="0" negativeBarColorSameAsPositive="1" axisPosition="none">
              <x14:cfvo type="autoMin"/>
              <x14:cfvo type="autoMax"/>
              <x14:borderColor rgb="FF638EC6"/>
              <x14:negativeBorderColor rgb="FF638EC6"/>
              <x14:axisColor indexed="65"/>
            </x14:dataBar>
          </x14:cfRule>
          <xm:sqref>BH302:BH374</xm:sqref>
        </x14:conditionalFormatting>
        <x14:conditionalFormatting xmlns:xm="http://schemas.microsoft.com/office/excel/2006/main">
          <x14:cfRule type="dataBar" id="{fd75fece-0c71-403c-85f3-90e8497c9e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27ece82-fab1-4348-b18a-96688d1bafd3}">
            <x14:dataBar minLength="0" maxLength="100" border="1" negativeBarBorderColorSameAsPositive="0" negativeBarColorSameAsPositive="1" axisPosition="none">
              <x14:cfvo type="autoMin"/>
              <x14:cfvo type="autoMax"/>
              <x14:borderColor rgb="FF63C384"/>
              <x14:negativeBorderColor rgb="FF638EC6"/>
              <x14:axisColor indexed="65"/>
            </x14:dataBar>
          </x14:cfRule>
          <xm:sqref>K6:K66 K69:K375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39"/>
  <sheetViews>
    <sheetView workbookViewId="0">
      <selection activeCell="AK48" sqref="AK48"/>
    </sheetView>
  </sheetViews>
  <sheetFormatPr defaultColWidth="9" defaultRowHeight="14.25"/>
  <cols>
    <col min="1" max="1" width="4" customWidth="1"/>
    <col min="2" max="2" width="62.375" customWidth="1"/>
    <col min="3" max="3" width="10.125" customWidth="1"/>
    <col min="4" max="4" width="14.5" customWidth="1"/>
    <col min="5" max="8" width="11.375" customWidth="1"/>
    <col min="9" max="16" width="8.875" customWidth="1"/>
    <col min="17" max="17" width="10.125" customWidth="1"/>
    <col min="18" max="25" width="7.875" customWidth="1"/>
    <col min="26" max="26" width="7.625" customWidth="1"/>
    <col min="27" max="34" width="7.875" customWidth="1"/>
    <col min="35" max="35" width="6.625" customWidth="1"/>
    <col min="36" max="36" width="5.75" customWidth="1"/>
    <col min="37" max="44" width="7.875" customWidth="1"/>
    <col min="45" max="45" width="6" customWidth="1"/>
    <col min="46" max="53" width="7.875" customWidth="1"/>
    <col min="54" max="54" width="6.125" customWidth="1"/>
    <col min="55" max="55" width="9.625" customWidth="1"/>
    <col min="56" max="56" width="10.125" customWidth="1"/>
    <col min="57" max="57" width="17" customWidth="1"/>
    <col min="58" max="58" width="14.375" customWidth="1"/>
    <col min="59" max="59" width="14.25" customWidth="1"/>
    <col min="60" max="60" width="13.875" customWidth="1"/>
    <col min="61" max="61" width="13.5" customWidth="1"/>
    <col min="62" max="62" width="7.75" customWidth="1"/>
    <col min="63" max="63" width="11.5" customWidth="1"/>
    <col min="64" max="64" width="8.5" customWidth="1"/>
    <col min="65" max="65" width="8.25" customWidth="1"/>
    <col min="66" max="66" width="6.625" customWidth="1"/>
    <col min="67" max="67" width="11.25" customWidth="1"/>
    <col min="68" max="68" width="10.5" customWidth="1"/>
  </cols>
  <sheetData>
    <row r="1" s="29" customFormat="1" spans="1:66">
      <c r="G1" s="30"/>
      <c r="H1" s="30"/>
      <c r="I1" s="31" t="s">
        <v>100</v>
      </c>
      <c r="J1" s="31"/>
      <c r="K1" s="31"/>
      <c r="L1" s="31"/>
      <c r="M1" s="31"/>
      <c r="N1" s="31"/>
      <c r="O1" s="31"/>
      <c r="P1" s="31"/>
      <c r="R1" s="31" t="s">
        <v>101</v>
      </c>
      <c r="S1" s="31"/>
      <c r="T1" s="31"/>
      <c r="U1" s="31"/>
      <c r="V1" s="31"/>
      <c r="W1" s="31"/>
      <c r="X1" s="31"/>
      <c r="Y1" s="31"/>
      <c r="AA1" s="32" t="s">
        <v>102</v>
      </c>
      <c r="AB1" s="32"/>
      <c r="AC1" s="32"/>
      <c r="AD1" s="32"/>
      <c r="AE1" s="32"/>
      <c r="AF1" s="32"/>
      <c r="AG1" s="32"/>
      <c r="AH1" s="32"/>
      <c r="AK1" s="32" t="s">
        <v>103</v>
      </c>
      <c r="AL1" s="32"/>
      <c r="AM1" s="32"/>
      <c r="AN1" s="32"/>
      <c r="AO1" s="32"/>
      <c r="AP1" s="32"/>
      <c r="AQ1" s="32"/>
      <c r="AR1" s="32"/>
      <c r="AT1" s="33" t="s">
        <v>104</v>
      </c>
      <c r="AU1" s="33"/>
      <c r="AV1" s="33"/>
      <c r="AW1" s="33"/>
      <c r="AX1" s="33"/>
      <c r="AY1" s="33"/>
      <c r="AZ1" s="33"/>
    </row>
    <row r="2" spans="1:66">
      <c r="A2" s="34" t="s">
        <v>105</v>
      </c>
      <c r="B2" s="34" t="s">
        <v>106</v>
      </c>
      <c r="C2" s="34" t="s">
        <v>107</v>
      </c>
      <c r="D2" s="34" t="s">
        <v>108</v>
      </c>
      <c r="E2" s="34" t="s">
        <v>109</v>
      </c>
      <c r="F2" s="34" t="s">
        <v>110</v>
      </c>
      <c r="G2" s="10" t="s">
        <v>111</v>
      </c>
      <c r="H2" s="10" t="s">
        <v>112</v>
      </c>
      <c r="I2" s="35" t="s">
        <v>113</v>
      </c>
      <c r="J2" s="35" t="s">
        <v>114</v>
      </c>
      <c r="K2" s="35" t="s">
        <v>115</v>
      </c>
      <c r="L2" s="35" t="s">
        <v>116</v>
      </c>
      <c r="M2" s="35" t="s">
        <v>117</v>
      </c>
      <c r="N2" s="35" t="s">
        <v>118</v>
      </c>
      <c r="O2" s="35" t="s">
        <v>119</v>
      </c>
      <c r="P2" s="35" t="s">
        <v>120</v>
      </c>
      <c r="Q2" s="34" t="s">
        <v>121</v>
      </c>
      <c r="R2" s="35" t="s">
        <v>113</v>
      </c>
      <c r="S2" s="35" t="s">
        <v>114</v>
      </c>
      <c r="T2" s="35" t="s">
        <v>115</v>
      </c>
      <c r="U2" s="35" t="s">
        <v>116</v>
      </c>
      <c r="V2" s="35" t="s">
        <v>117</v>
      </c>
      <c r="W2" s="35" t="s">
        <v>118</v>
      </c>
      <c r="X2" s="35" t="s">
        <v>119</v>
      </c>
      <c r="Y2" s="35" t="s">
        <v>120</v>
      </c>
      <c r="Z2" s="34" t="s">
        <v>101</v>
      </c>
      <c r="AA2" s="36" t="s">
        <v>113</v>
      </c>
      <c r="AB2" s="36" t="s">
        <v>114</v>
      </c>
      <c r="AC2" s="36" t="s">
        <v>115</v>
      </c>
      <c r="AD2" s="36" t="s">
        <v>116</v>
      </c>
      <c r="AE2" s="36" t="s">
        <v>117</v>
      </c>
      <c r="AF2" s="36" t="s">
        <v>118</v>
      </c>
      <c r="AG2" s="36" t="s">
        <v>119</v>
      </c>
      <c r="AH2" s="36" t="s">
        <v>120</v>
      </c>
      <c r="AI2" s="34" t="s">
        <v>122</v>
      </c>
      <c r="AJ2" s="34" t="s">
        <v>123</v>
      </c>
      <c r="AK2" s="36" t="s">
        <v>113</v>
      </c>
      <c r="AL2" s="36" t="s">
        <v>114</v>
      </c>
      <c r="AM2" s="36" t="s">
        <v>115</v>
      </c>
      <c r="AN2" s="36" t="s">
        <v>116</v>
      </c>
      <c r="AO2" s="36" t="s">
        <v>117</v>
      </c>
      <c r="AP2" s="36" t="s">
        <v>118</v>
      </c>
      <c r="AQ2" s="36" t="s">
        <v>119</v>
      </c>
      <c r="AR2" s="36" t="s">
        <v>120</v>
      </c>
      <c r="AS2" s="34" t="s">
        <v>124</v>
      </c>
      <c r="AT2" s="19" t="s">
        <v>113</v>
      </c>
      <c r="AU2" s="19" t="s">
        <v>114</v>
      </c>
      <c r="AV2" s="19" t="s">
        <v>115</v>
      </c>
      <c r="AW2" s="19" t="s">
        <v>116</v>
      </c>
      <c r="AX2" s="19" t="s">
        <v>117</v>
      </c>
      <c r="AY2" s="19" t="s">
        <v>118</v>
      </c>
      <c r="AZ2" s="19" t="s">
        <v>119</v>
      </c>
      <c r="BA2" s="19" t="s">
        <v>120</v>
      </c>
      <c r="BB2" s="34" t="s">
        <v>125</v>
      </c>
      <c r="BC2" s="34" t="s">
        <v>126</v>
      </c>
      <c r="BD2" s="34" t="s">
        <v>127</v>
      </c>
      <c r="BE2" s="34" t="s">
        <v>128</v>
      </c>
      <c r="BF2" s="34" t="s">
        <v>129</v>
      </c>
      <c r="BG2" s="34" t="s">
        <v>130</v>
      </c>
      <c r="BH2" s="34" t="s">
        <v>131</v>
      </c>
      <c r="BI2" s="34" t="s">
        <v>132</v>
      </c>
      <c r="BJ2" s="34" t="s">
        <v>133</v>
      </c>
      <c r="BK2" s="34" t="s">
        <v>134</v>
      </c>
      <c r="BL2" s="34" t="s">
        <v>135</v>
      </c>
      <c r="BM2" s="34" t="s">
        <v>136</v>
      </c>
      <c r="BN2" s="34" t="s">
        <v>137</v>
      </c>
    </row>
    <row r="3" spans="1:66">
      <c r="A3" s="37">
        <v>1</v>
      </c>
      <c r="B3" s="37" t="s">
        <v>138</v>
      </c>
      <c r="C3" s="37"/>
      <c r="D3" s="37" t="s">
        <v>139</v>
      </c>
      <c r="E3" s="37" t="s">
        <v>140</v>
      </c>
      <c r="F3" s="37" t="s">
        <v>141</v>
      </c>
      <c r="G3" s="38">
        <v>44533</v>
      </c>
      <c r="H3" s="37" t="s">
        <v>142</v>
      </c>
      <c r="I3" s="37">
        <v>200</v>
      </c>
      <c r="J3" s="37">
        <v>200</v>
      </c>
      <c r="K3" s="37">
        <v>196</v>
      </c>
      <c r="L3" s="37"/>
      <c r="M3" s="37"/>
      <c r="N3" s="37"/>
      <c r="O3" s="37"/>
      <c r="P3" s="37"/>
      <c r="Q3" s="37">
        <f>I3+J3+K3</f>
        <v>596</v>
      </c>
      <c r="R3" s="37">
        <f>I3/20</f>
        <v>10</v>
      </c>
      <c r="S3" s="37">
        <f>J3/10</f>
        <v>20</v>
      </c>
      <c r="T3" s="37">
        <f>K3/7</f>
        <v>28</v>
      </c>
      <c r="U3" s="37"/>
      <c r="V3" s="37"/>
      <c r="W3" s="37"/>
      <c r="X3" s="37"/>
      <c r="Y3" s="37"/>
      <c r="Z3" s="37">
        <f>SUM(R3:Y3)</f>
        <v>58</v>
      </c>
      <c r="AA3" s="37" t="s">
        <v>143</v>
      </c>
      <c r="AB3" s="37" t="s">
        <v>144</v>
      </c>
      <c r="AC3" s="37" t="s">
        <v>145</v>
      </c>
      <c r="AD3" s="37" t="s">
        <v>144</v>
      </c>
      <c r="AE3" s="37" t="s">
        <v>146</v>
      </c>
      <c r="AF3" s="37" t="s">
        <v>147</v>
      </c>
      <c r="AG3" s="37" t="s">
        <v>148</v>
      </c>
      <c r="AH3" s="37" t="s">
        <v>149</v>
      </c>
      <c r="AI3" s="37">
        <v>1236</v>
      </c>
      <c r="AJ3" s="37"/>
      <c r="AK3" s="39">
        <f>0.32*0.26*0.13</f>
        <v>0.010816</v>
      </c>
      <c r="AL3" s="39">
        <f>0.32*0.3*0.115</f>
        <v>0.01104</v>
      </c>
      <c r="AM3" s="40">
        <f>0.35*0.205*0.135</f>
        <v>0.00968625</v>
      </c>
      <c r="AN3" s="40">
        <f>0.34*0.22*0.1</f>
        <v>0.00748</v>
      </c>
      <c r="AO3" s="40">
        <f>0.33*0.22*0.14</f>
        <v>0.010164</v>
      </c>
      <c r="AP3" s="40">
        <f>0.32*0.26*0.13</f>
        <v>0.010816</v>
      </c>
      <c r="AQ3" s="40">
        <f>0.32*0.3*0.115</f>
        <v>0.01104</v>
      </c>
      <c r="AR3" s="40">
        <v>0.126776</v>
      </c>
      <c r="AS3" s="37">
        <f>Z3*0.02405</f>
        <v>1.3949</v>
      </c>
      <c r="AT3" s="37">
        <v>13</v>
      </c>
      <c r="AU3" s="37">
        <v>19.5</v>
      </c>
      <c r="AV3" s="37">
        <v>26</v>
      </c>
      <c r="AW3" s="37">
        <v>32</v>
      </c>
      <c r="AX3" s="37">
        <v>18</v>
      </c>
      <c r="AY3" s="37">
        <v>25</v>
      </c>
      <c r="AZ3" s="37"/>
      <c r="BA3" s="37">
        <v>8914</v>
      </c>
      <c r="BB3" s="37" t="s">
        <v>150</v>
      </c>
      <c r="BC3" s="37">
        <f>BA3/Q3</f>
        <v>14.9563758389262</v>
      </c>
      <c r="BD3" s="37" t="s">
        <v>151</v>
      </c>
      <c r="BE3" s="41">
        <v>44135</v>
      </c>
      <c r="BF3" s="41">
        <v>44168</v>
      </c>
      <c r="BG3" s="41">
        <v>44231</v>
      </c>
      <c r="BH3" s="42" t="s">
        <v>152</v>
      </c>
      <c r="BI3" s="42" t="s">
        <v>153</v>
      </c>
      <c r="BJ3" s="37" t="s">
        <v>154</v>
      </c>
      <c r="BK3" s="37" t="s">
        <v>155</v>
      </c>
      <c r="BL3" s="37" t="s">
        <v>156</v>
      </c>
      <c r="BM3" s="37" t="s">
        <v>157</v>
      </c>
      <c r="BN3" s="37" t="s">
        <v>158</v>
      </c>
    </row>
    <row r="4" spans="1:66">
      <c r="A4" s="37">
        <v>2</v>
      </c>
      <c r="B4" s="37" t="s">
        <v>159</v>
      </c>
      <c r="C4" s="37"/>
      <c r="D4" s="37" t="s">
        <v>139</v>
      </c>
      <c r="E4" s="37" t="s">
        <v>140</v>
      </c>
      <c r="F4" s="37" t="s">
        <v>141</v>
      </c>
      <c r="G4" s="38">
        <v>44247</v>
      </c>
      <c r="H4" s="37" t="s">
        <v>160</v>
      </c>
      <c r="I4" s="37">
        <v>200</v>
      </c>
      <c r="J4" s="37"/>
      <c r="K4" s="37"/>
      <c r="L4" s="37"/>
      <c r="M4" s="37"/>
      <c r="N4" s="37"/>
      <c r="O4" s="37"/>
      <c r="P4" s="37"/>
      <c r="Q4" s="37">
        <f>I4+J4+K4</f>
        <v>200</v>
      </c>
      <c r="R4" s="37">
        <f>I4/20</f>
        <v>10</v>
      </c>
      <c r="S4" s="37">
        <f>J4/10</f>
        <v>0</v>
      </c>
      <c r="T4" s="37">
        <f>K4/7</f>
        <v>0</v>
      </c>
      <c r="U4" s="37"/>
      <c r="V4" s="37"/>
      <c r="W4" s="37"/>
      <c r="X4" s="37"/>
      <c r="Y4" s="37"/>
      <c r="Z4" s="37">
        <f>SUM(R4:Y4)</f>
        <v>10</v>
      </c>
      <c r="AA4" s="37"/>
      <c r="AB4" s="37"/>
      <c r="AC4" s="37"/>
      <c r="AD4" s="37"/>
      <c r="AE4" s="37"/>
      <c r="AF4" s="37"/>
      <c r="AG4" s="37"/>
      <c r="AH4" s="37"/>
      <c r="AI4" s="37">
        <v>210</v>
      </c>
      <c r="AJ4" s="37"/>
      <c r="AK4" s="39">
        <f>0.32*0.26*0.13</f>
        <v>0.010816</v>
      </c>
      <c r="AL4" s="39">
        <f>0.32*0.3*0.115</f>
        <v>0.01104</v>
      </c>
      <c r="AM4" s="40">
        <f>0.35*0.205*0.135</f>
        <v>0.00968625</v>
      </c>
      <c r="AN4" s="40">
        <f>0.34*0.22*0.1</f>
        <v>0.00748</v>
      </c>
      <c r="AO4" s="40">
        <f>0.33*0.22*0.14</f>
        <v>0.010164</v>
      </c>
      <c r="AP4" s="40">
        <f>0.32*0.26*0.13</f>
        <v>0.010816</v>
      </c>
      <c r="AQ4" s="40">
        <f>0.32*0.3*0.115</f>
        <v>0.01104</v>
      </c>
      <c r="AR4" s="40">
        <v>0.126776</v>
      </c>
      <c r="AS4" s="37">
        <f>Z4*0.02405</f>
        <v>0.2405</v>
      </c>
      <c r="AT4" s="39"/>
      <c r="AU4" s="39"/>
      <c r="AV4" s="40"/>
      <c r="AW4" s="40"/>
      <c r="AX4" s="40"/>
      <c r="AY4" s="40"/>
      <c r="AZ4" s="40"/>
      <c r="BA4" s="37"/>
      <c r="BB4" s="37"/>
      <c r="BC4" s="37"/>
      <c r="BD4" s="37" t="s">
        <v>161</v>
      </c>
      <c r="BE4" s="41">
        <v>44244</v>
      </c>
      <c r="BF4" s="37"/>
      <c r="BG4" s="37"/>
      <c r="BH4" s="37"/>
      <c r="BI4" s="37"/>
      <c r="BJ4" s="37"/>
      <c r="BK4" s="37"/>
      <c r="BL4" s="37"/>
      <c r="BM4" s="37"/>
      <c r="BN4" s="37"/>
    </row>
    <row r="5" spans="1:66">
      <c r="A5" s="37"/>
      <c r="B5" s="37"/>
      <c r="C5" s="37"/>
      <c r="D5" s="37"/>
      <c r="E5" s="37"/>
      <c r="F5" s="37"/>
      <c r="G5" s="38"/>
      <c r="H5" s="37"/>
      <c r="I5" s="43"/>
      <c r="J5" s="43"/>
      <c r="K5" s="43"/>
      <c r="L5" s="43"/>
      <c r="M5" s="43"/>
      <c r="N5" s="43"/>
      <c r="O5" s="43"/>
      <c r="P5" s="43"/>
      <c r="Q5" s="37"/>
      <c r="R5" s="37"/>
      <c r="S5" s="37"/>
      <c r="T5" s="37"/>
      <c r="U5" s="37"/>
      <c r="V5" s="37"/>
      <c r="W5" s="43"/>
      <c r="X5" s="43"/>
      <c r="Y5" s="43"/>
      <c r="Z5" s="37"/>
      <c r="AA5" s="37"/>
      <c r="AB5" s="37"/>
      <c r="AC5" s="37"/>
      <c r="AD5" s="37"/>
      <c r="AE5" s="37"/>
      <c r="AF5" s="43"/>
      <c r="AG5" s="43"/>
      <c r="AH5" s="43"/>
      <c r="AI5" s="37"/>
      <c r="AJ5" s="37"/>
      <c r="AK5" s="43"/>
      <c r="AL5" s="43"/>
      <c r="AM5" s="43"/>
      <c r="AN5" s="43"/>
      <c r="AO5" s="43"/>
      <c r="AP5" s="43"/>
      <c r="AQ5" s="43"/>
      <c r="AR5" s="43"/>
      <c r="AS5" s="37"/>
      <c r="AT5" s="43"/>
      <c r="AU5" s="43"/>
      <c r="AV5" s="43"/>
      <c r="AW5" s="43"/>
      <c r="AX5" s="43"/>
      <c r="AY5" s="43"/>
      <c r="AZ5" s="43"/>
      <c r="BA5" s="37"/>
      <c r="BB5" s="37"/>
      <c r="BC5" s="37"/>
      <c r="BD5" s="37"/>
      <c r="BE5" s="41"/>
      <c r="BF5" s="37"/>
      <c r="BG5" s="37"/>
      <c r="BH5" s="37"/>
      <c r="BI5" s="37"/>
      <c r="BJ5" s="37"/>
      <c r="BK5" s="37"/>
      <c r="BL5" s="37"/>
      <c r="BM5" s="37"/>
      <c r="BN5" s="37"/>
    </row>
    <row r="6" spans="1:66">
      <c r="A6" s="37"/>
      <c r="B6" s="37"/>
      <c r="C6" s="37"/>
      <c r="D6" s="37"/>
      <c r="E6" s="37"/>
      <c r="F6" s="37"/>
      <c r="G6" s="38"/>
      <c r="H6" s="37"/>
      <c r="I6" s="43"/>
      <c r="J6" s="43"/>
      <c r="K6" s="43"/>
      <c r="L6" s="43"/>
      <c r="M6" s="43"/>
      <c r="N6" s="43"/>
      <c r="O6" s="43"/>
      <c r="P6" s="43"/>
      <c r="Q6" s="37"/>
      <c r="R6" s="37"/>
      <c r="S6" s="37"/>
      <c r="T6" s="37"/>
      <c r="U6" s="37"/>
      <c r="V6" s="37"/>
      <c r="W6" s="43"/>
      <c r="X6" s="43"/>
      <c r="Y6" s="43"/>
      <c r="Z6" s="37"/>
      <c r="AA6" s="37"/>
      <c r="AB6" s="37"/>
      <c r="AC6" s="37"/>
      <c r="AD6" s="37"/>
      <c r="AE6" s="37"/>
      <c r="AF6" s="43"/>
      <c r="AG6" s="43"/>
      <c r="AH6" s="43"/>
      <c r="AI6" s="37"/>
      <c r="AJ6" s="37"/>
      <c r="AK6" s="43"/>
      <c r="AL6" s="43"/>
      <c r="AM6" s="43"/>
      <c r="AN6" s="43"/>
      <c r="AO6" s="43"/>
      <c r="AP6" s="43"/>
      <c r="AQ6" s="43"/>
      <c r="AR6" s="43"/>
      <c r="AS6" s="37"/>
      <c r="AT6" s="43"/>
      <c r="AU6" s="43"/>
      <c r="AV6" s="43"/>
      <c r="AW6" s="43"/>
      <c r="AX6" s="43"/>
      <c r="AY6" s="43"/>
      <c r="AZ6" s="43"/>
      <c r="BA6" s="37"/>
      <c r="BB6" s="37"/>
      <c r="BC6" s="37"/>
      <c r="BD6" s="37"/>
      <c r="BE6" s="41"/>
      <c r="BF6" s="37"/>
      <c r="BG6" s="37"/>
      <c r="BH6" s="37"/>
      <c r="BI6" s="37"/>
      <c r="BJ6" s="37"/>
      <c r="BK6" s="37"/>
      <c r="BL6" s="37"/>
      <c r="BM6" s="37"/>
      <c r="BN6" s="37"/>
    </row>
    <row r="7" spans="1:66">
      <c r="A7" s="37"/>
      <c r="B7" s="37"/>
      <c r="C7" s="37"/>
      <c r="D7" s="37"/>
      <c r="E7" s="37"/>
      <c r="F7" s="37"/>
      <c r="G7" s="38"/>
      <c r="H7" s="37"/>
      <c r="I7" s="43"/>
      <c r="J7" s="43"/>
      <c r="K7" s="43"/>
      <c r="L7" s="43"/>
      <c r="M7" s="43"/>
      <c r="N7" s="43"/>
      <c r="O7" s="43"/>
      <c r="P7" s="43"/>
      <c r="Q7" s="37"/>
      <c r="R7" s="37"/>
      <c r="S7" s="37"/>
      <c r="T7" s="37"/>
      <c r="U7" s="37"/>
      <c r="V7" s="37"/>
      <c r="W7" s="43"/>
      <c r="X7" s="43"/>
      <c r="Y7" s="43"/>
      <c r="Z7" s="37"/>
      <c r="AA7" s="37"/>
      <c r="AB7" s="37"/>
      <c r="AC7" s="37"/>
      <c r="AD7" s="37"/>
      <c r="AE7" s="37"/>
      <c r="AF7" s="43"/>
      <c r="AG7" s="43"/>
      <c r="AH7" s="43"/>
      <c r="AI7" s="37"/>
      <c r="AJ7" s="37"/>
      <c r="AK7" s="43"/>
      <c r="AL7" s="43"/>
      <c r="AM7" s="43"/>
      <c r="AN7" s="43"/>
      <c r="AO7" s="43"/>
      <c r="AP7" s="43"/>
      <c r="AQ7" s="43"/>
      <c r="AR7" s="43"/>
      <c r="AS7" s="37"/>
      <c r="AT7" s="43"/>
      <c r="AU7" s="43"/>
      <c r="AV7" s="43"/>
      <c r="AW7" s="43"/>
      <c r="AX7" s="43"/>
      <c r="AY7" s="43"/>
      <c r="AZ7" s="43"/>
      <c r="BA7" s="43"/>
      <c r="BB7" s="37"/>
      <c r="BC7" s="37"/>
      <c r="BD7" s="37"/>
      <c r="BE7" s="41"/>
      <c r="BF7" s="37"/>
      <c r="BG7" s="37"/>
      <c r="BH7" s="37"/>
      <c r="BI7" s="37"/>
      <c r="BJ7" s="37"/>
      <c r="BK7" s="37"/>
      <c r="BL7" s="37"/>
      <c r="BM7" s="37"/>
      <c r="BN7" s="37"/>
    </row>
    <row r="8" spans="1:66">
      <c r="A8" s="37"/>
      <c r="B8" s="37"/>
      <c r="C8" s="37"/>
      <c r="D8" s="37"/>
      <c r="E8" s="37"/>
      <c r="F8" s="37"/>
      <c r="G8" s="38"/>
      <c r="H8" s="37"/>
      <c r="I8" s="43"/>
      <c r="J8" s="43"/>
      <c r="K8" s="43"/>
      <c r="L8" s="43"/>
      <c r="M8" s="43"/>
      <c r="N8" s="43"/>
      <c r="O8" s="43"/>
      <c r="P8" s="43"/>
      <c r="Q8" s="37"/>
      <c r="R8" s="37"/>
      <c r="S8" s="37"/>
      <c r="T8" s="37"/>
      <c r="U8" s="37"/>
      <c r="V8" s="37"/>
      <c r="W8" s="43"/>
      <c r="X8" s="43"/>
      <c r="Y8" s="43"/>
      <c r="Z8" s="37"/>
      <c r="AA8" s="37"/>
      <c r="AB8" s="37"/>
      <c r="AC8" s="37"/>
      <c r="AD8" s="37"/>
      <c r="AE8" s="37"/>
      <c r="AF8" s="43"/>
      <c r="AG8" s="43"/>
      <c r="AH8" s="43"/>
      <c r="AI8" s="37"/>
      <c r="AJ8" s="37"/>
      <c r="AK8" s="43"/>
      <c r="AL8" s="43"/>
      <c r="AM8" s="43"/>
      <c r="AN8" s="43"/>
      <c r="AO8" s="43"/>
      <c r="AP8" s="43"/>
      <c r="AQ8" s="43"/>
      <c r="AR8" s="43"/>
      <c r="AS8" s="37"/>
      <c r="AT8" s="43"/>
      <c r="AU8" s="43"/>
      <c r="AV8" s="43"/>
      <c r="AW8" s="43"/>
      <c r="AX8" s="43"/>
      <c r="AY8" s="43"/>
      <c r="AZ8" s="43"/>
      <c r="BA8" s="43"/>
      <c r="BB8" s="37"/>
      <c r="BC8" s="37"/>
      <c r="BD8" s="37"/>
      <c r="BE8" s="41"/>
      <c r="BF8" s="37"/>
      <c r="BG8" s="37"/>
      <c r="BH8" s="37"/>
      <c r="BI8" s="37"/>
      <c r="BJ8" s="37"/>
      <c r="BK8" s="37"/>
      <c r="BL8" s="37"/>
      <c r="BM8" s="37"/>
      <c r="BN8" s="37"/>
    </row>
    <row r="9" spans="1:66">
      <c r="A9" s="37"/>
      <c r="B9" s="37"/>
      <c r="C9" s="37"/>
      <c r="D9" s="37"/>
      <c r="E9" s="37"/>
      <c r="F9" s="37"/>
      <c r="G9" s="38"/>
      <c r="H9" s="37"/>
      <c r="I9" s="43"/>
      <c r="J9" s="43"/>
      <c r="K9" s="43"/>
      <c r="L9" s="43"/>
      <c r="M9" s="43"/>
      <c r="N9" s="43"/>
      <c r="O9" s="43"/>
      <c r="P9" s="43"/>
      <c r="Q9" s="37"/>
      <c r="R9" s="37"/>
      <c r="S9" s="37"/>
      <c r="T9" s="37"/>
      <c r="U9" s="37"/>
      <c r="V9" s="37"/>
      <c r="W9" s="43"/>
      <c r="X9" s="43"/>
      <c r="Y9" s="43"/>
      <c r="Z9" s="37"/>
      <c r="AA9" s="37"/>
      <c r="AB9" s="37"/>
      <c r="AC9" s="37"/>
      <c r="AD9" s="37"/>
      <c r="AE9" s="37"/>
      <c r="AF9" s="43"/>
      <c r="AG9" s="43"/>
      <c r="AH9" s="43"/>
      <c r="AI9" s="37"/>
      <c r="AJ9" s="37"/>
      <c r="AK9" s="43"/>
      <c r="AL9" s="43"/>
      <c r="AM9" s="43"/>
      <c r="AN9" s="43"/>
      <c r="AO9" s="43"/>
      <c r="AP9" s="43"/>
      <c r="AQ9" s="43"/>
      <c r="AR9" s="43"/>
      <c r="AS9" s="37"/>
      <c r="AT9" s="43"/>
      <c r="AU9" s="43"/>
      <c r="AV9" s="43"/>
      <c r="AW9" s="43"/>
      <c r="AX9" s="43"/>
      <c r="AY9" s="43"/>
      <c r="AZ9" s="43"/>
      <c r="BA9" s="43"/>
      <c r="BB9" s="37"/>
      <c r="BC9" s="37"/>
      <c r="BD9" s="37"/>
      <c r="BE9" s="41"/>
      <c r="BF9" s="37"/>
      <c r="BG9" s="37"/>
      <c r="BH9" s="37"/>
      <c r="BI9" s="37"/>
      <c r="BJ9" s="37"/>
      <c r="BK9" s="37"/>
      <c r="BL9" s="37"/>
      <c r="BM9" s="37"/>
      <c r="BN9" s="37"/>
    </row>
    <row r="10" spans="1:66">
      <c r="A10" s="37"/>
      <c r="B10" s="37"/>
      <c r="C10" s="37"/>
      <c r="D10" s="37"/>
      <c r="E10" s="37"/>
      <c r="F10" s="37"/>
      <c r="G10" s="38"/>
      <c r="H10" s="37"/>
      <c r="I10" s="43"/>
      <c r="J10" s="43"/>
      <c r="K10" s="43"/>
      <c r="L10" s="43"/>
      <c r="M10" s="43"/>
      <c r="N10" s="43"/>
      <c r="O10" s="43"/>
      <c r="P10" s="43"/>
      <c r="Q10" s="37"/>
      <c r="R10" s="37"/>
      <c r="S10" s="37"/>
      <c r="T10" s="37"/>
      <c r="U10" s="37"/>
      <c r="V10" s="37"/>
      <c r="W10" s="43"/>
      <c r="X10" s="43"/>
      <c r="Y10" s="43"/>
      <c r="Z10" s="37"/>
      <c r="AA10" s="37"/>
      <c r="AB10" s="37"/>
      <c r="AC10" s="37"/>
      <c r="AD10" s="37"/>
      <c r="AE10" s="37"/>
      <c r="AF10" s="43"/>
      <c r="AG10" s="43"/>
      <c r="AH10" s="43"/>
      <c r="AI10" s="37"/>
      <c r="AJ10" s="37"/>
      <c r="AK10" s="43"/>
      <c r="AL10" s="43"/>
      <c r="AM10" s="43"/>
      <c r="AN10" s="43"/>
      <c r="AO10" s="43"/>
      <c r="AP10" s="43"/>
      <c r="AQ10" s="43"/>
      <c r="AR10" s="43"/>
      <c r="AS10" s="37"/>
      <c r="AT10" s="43"/>
      <c r="AU10" s="43"/>
      <c r="AV10" s="43"/>
      <c r="AW10" s="43"/>
      <c r="AX10" s="43"/>
      <c r="AY10" s="43"/>
      <c r="AZ10" s="43"/>
      <c r="BA10" s="43"/>
      <c r="BB10" s="37"/>
      <c r="BC10" s="37"/>
      <c r="BD10" s="37"/>
      <c r="BE10" s="41"/>
      <c r="BF10" s="37"/>
      <c r="BG10" s="37"/>
      <c r="BH10" s="37"/>
      <c r="BI10" s="37"/>
      <c r="BJ10" s="37"/>
      <c r="BK10" s="37"/>
      <c r="BL10" s="37"/>
      <c r="BM10" s="37"/>
      <c r="BN10" s="37"/>
    </row>
    <row r="11" s="18" customFormat="1" spans="1:66">
      <c r="A11" s="43"/>
      <c r="B11" s="43"/>
      <c r="C11" s="43"/>
      <c r="D11" s="43"/>
      <c r="E11" s="43"/>
      <c r="F11" s="43"/>
      <c r="G11" s="44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5"/>
      <c r="BF11" s="43"/>
      <c r="BG11" s="43"/>
      <c r="BH11" s="43"/>
      <c r="BI11" s="43"/>
      <c r="BJ11" s="43"/>
      <c r="BK11" s="43"/>
      <c r="BL11" s="43"/>
      <c r="BM11" s="43"/>
      <c r="BN11" s="43"/>
    </row>
    <row r="12" s="18" customFormat="1" spans="1:66">
      <c r="A12" s="43"/>
      <c r="B12" s="43"/>
      <c r="C12" s="43"/>
      <c r="D12" s="43"/>
      <c r="E12" s="43"/>
      <c r="F12" s="43"/>
      <c r="G12" s="44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5"/>
      <c r="BF12" s="43"/>
      <c r="BG12" s="43"/>
      <c r="BH12" s="43"/>
      <c r="BI12" s="43"/>
      <c r="BJ12" s="43"/>
      <c r="BK12" s="43"/>
      <c r="BL12" s="43"/>
      <c r="BM12" s="43"/>
      <c r="BN12" s="43"/>
    </row>
    <row r="13" s="18" customFormat="1" spans="1:66">
      <c r="A13" s="43"/>
      <c r="B13" s="43"/>
      <c r="C13" s="43"/>
      <c r="D13" s="43"/>
      <c r="E13" s="43"/>
      <c r="F13" s="43"/>
      <c r="G13" s="44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5"/>
      <c r="BF13" s="43"/>
      <c r="BG13" s="43"/>
      <c r="BH13" s="43"/>
      <c r="BI13" s="43"/>
      <c r="BJ13" s="43"/>
      <c r="BK13" s="43"/>
      <c r="BL13" s="43"/>
      <c r="BM13" s="43"/>
      <c r="BN13" s="43"/>
    </row>
    <row r="14" s="18" customFormat="1" spans="1:66">
      <c r="A14" s="43"/>
      <c r="B14" s="43"/>
      <c r="C14" s="43"/>
      <c r="D14" s="43"/>
      <c r="E14" s="43"/>
      <c r="F14" s="43"/>
      <c r="G14" s="44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5"/>
      <c r="BF14" s="43"/>
      <c r="BG14" s="43"/>
      <c r="BH14" s="43"/>
      <c r="BI14" s="43"/>
      <c r="BJ14" s="43"/>
      <c r="BK14" s="43"/>
      <c r="BL14" s="43"/>
      <c r="BM14" s="43"/>
      <c r="BN14" s="43"/>
    </row>
    <row r="15" s="18" customFormat="1" spans="1:66">
      <c r="A15" s="43"/>
      <c r="B15" s="43"/>
      <c r="C15" s="43"/>
      <c r="D15" s="43"/>
      <c r="E15" s="43"/>
      <c r="F15" s="43"/>
      <c r="G15" s="44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5"/>
      <c r="BF15" s="43"/>
      <c r="BG15" s="43"/>
      <c r="BH15" s="43"/>
      <c r="BI15" s="43"/>
      <c r="BJ15" s="43"/>
      <c r="BK15" s="43"/>
      <c r="BL15" s="43"/>
      <c r="BM15" s="43"/>
      <c r="BN15" s="43"/>
    </row>
    <row r="16" s="18" customFormat="1" spans="1:66">
      <c r="A16" s="43"/>
      <c r="B16" s="43"/>
      <c r="C16" s="43"/>
      <c r="D16" s="43"/>
      <c r="E16" s="43"/>
      <c r="F16" s="43"/>
      <c r="G16" s="44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5"/>
      <c r="BF16" s="43"/>
      <c r="BG16" s="43"/>
      <c r="BH16" s="43"/>
      <c r="BI16" s="43"/>
      <c r="BJ16" s="43"/>
      <c r="BK16" s="43"/>
      <c r="BL16" s="43"/>
      <c r="BM16" s="43"/>
      <c r="BN16" s="43"/>
    </row>
    <row r="17" s="18" customFormat="1" spans="1:66">
      <c r="A17" s="43"/>
      <c r="B17" s="43"/>
      <c r="C17" s="43"/>
      <c r="D17" s="43"/>
      <c r="E17" s="43"/>
      <c r="F17" s="43"/>
      <c r="G17" s="44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5"/>
      <c r="BF17" s="43"/>
      <c r="BG17" s="43"/>
      <c r="BH17" s="43"/>
      <c r="BI17" s="43"/>
      <c r="BJ17" s="43"/>
      <c r="BK17" s="43"/>
      <c r="BL17" s="43"/>
      <c r="BM17" s="43"/>
      <c r="BN17" s="43"/>
    </row>
    <row r="18" s="18" customFormat="1" spans="1:66">
      <c r="A18" s="43"/>
      <c r="B18" s="43"/>
      <c r="D18" s="43"/>
      <c r="E18" s="43"/>
      <c r="F18" s="43"/>
      <c r="G18" s="44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5"/>
      <c r="BF18" s="43"/>
      <c r="BG18" s="43"/>
      <c r="BH18" s="43"/>
      <c r="BI18" s="43"/>
      <c r="BJ18" s="43"/>
      <c r="BK18" s="43"/>
      <c r="BL18" s="43"/>
      <c r="BM18" s="43"/>
      <c r="BN18" s="43"/>
    </row>
    <row r="19" s="18" customFormat="1" spans="1:66">
      <c r="A19" s="43"/>
      <c r="B19" s="43"/>
      <c r="C19" s="43"/>
      <c r="D19" s="43"/>
      <c r="E19" s="43"/>
      <c r="F19" s="43"/>
      <c r="G19" s="44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5"/>
      <c r="BF19" s="43"/>
      <c r="BG19" s="43"/>
      <c r="BH19" s="43"/>
      <c r="BI19" s="43"/>
      <c r="BJ19" s="43"/>
      <c r="BK19" s="43"/>
      <c r="BL19" s="43"/>
      <c r="BM19" s="43"/>
      <c r="BN19" s="43"/>
    </row>
    <row r="20" s="18" customFormat="1" spans="1:66">
      <c r="A20" s="43"/>
      <c r="B20" s="43"/>
      <c r="C20" s="43"/>
      <c r="D20" s="43"/>
      <c r="E20" s="43"/>
      <c r="F20" s="43"/>
      <c r="G20" s="44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5"/>
      <c r="BF20" s="43"/>
      <c r="BG20" s="43"/>
      <c r="BH20" s="43"/>
      <c r="BI20" s="43"/>
      <c r="BJ20" s="43"/>
      <c r="BK20" s="43"/>
      <c r="BL20" s="43"/>
      <c r="BM20" s="43"/>
      <c r="BN20" s="43"/>
    </row>
    <row r="21" s="18" customFormat="1" spans="1:66">
      <c r="A21" s="43"/>
      <c r="B21" s="43"/>
      <c r="C21" s="43"/>
      <c r="D21" s="43"/>
      <c r="E21" s="43"/>
      <c r="F21" s="43"/>
      <c r="G21" s="44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5"/>
      <c r="BF21" s="43"/>
      <c r="BG21" s="43"/>
      <c r="BH21" s="43"/>
      <c r="BI21" s="43"/>
      <c r="BJ21" s="43"/>
      <c r="BK21" s="43"/>
      <c r="BL21" s="43"/>
      <c r="BM21" s="43"/>
      <c r="BN21" s="43"/>
    </row>
    <row r="22" s="18" customFormat="1" spans="1:66">
      <c r="A22" s="43"/>
      <c r="B22" s="43"/>
      <c r="C22" s="43"/>
      <c r="D22" s="43"/>
      <c r="E22" s="43"/>
      <c r="F22" s="43"/>
      <c r="G22" s="44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5"/>
      <c r="BF22" s="43"/>
      <c r="BG22" s="43"/>
      <c r="BH22" s="43"/>
      <c r="BI22" s="43"/>
      <c r="BJ22" s="43"/>
      <c r="BK22" s="43"/>
      <c r="BL22" s="43"/>
      <c r="BM22" s="43"/>
      <c r="BN22" s="43"/>
    </row>
    <row r="23" s="18" customFormat="1" spans="1:66">
      <c r="A23" s="43"/>
      <c r="B23" s="43"/>
      <c r="C23" s="43"/>
      <c r="D23" s="43"/>
      <c r="E23" s="43"/>
      <c r="F23" s="43"/>
      <c r="G23" s="44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5"/>
      <c r="BF23" s="43"/>
      <c r="BG23" s="43"/>
      <c r="BH23" s="43"/>
      <c r="BI23" s="43"/>
      <c r="BJ23" s="43"/>
      <c r="BK23" s="43"/>
      <c r="BL23" s="43"/>
      <c r="BM23" s="43"/>
      <c r="BN23" s="43"/>
    </row>
    <row r="24" s="18" customFormat="1" spans="1:66">
      <c r="A24" s="43"/>
      <c r="B24" s="43"/>
      <c r="C24" s="43"/>
      <c r="D24" s="43"/>
      <c r="E24" s="43"/>
      <c r="F24" s="43"/>
      <c r="G24" s="44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5"/>
      <c r="BF24" s="43"/>
      <c r="BG24" s="43"/>
      <c r="BH24" s="43"/>
      <c r="BI24" s="43"/>
      <c r="BJ24" s="43"/>
      <c r="BK24" s="43"/>
      <c r="BL24" s="43"/>
      <c r="BM24" s="43"/>
      <c r="BN24" s="43"/>
    </row>
    <row r="25" s="18" customFormat="1" spans="1:66">
      <c r="A25" s="43"/>
      <c r="B25" s="43"/>
      <c r="C25" s="43"/>
      <c r="D25" s="43"/>
      <c r="E25" s="43"/>
      <c r="F25" s="43"/>
      <c r="G25" s="44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5"/>
      <c r="BF25" s="43"/>
      <c r="BG25" s="43"/>
      <c r="BH25" s="43"/>
      <c r="BI25" s="43"/>
      <c r="BJ25" s="43"/>
      <c r="BK25" s="43"/>
      <c r="BL25" s="43"/>
      <c r="BM25" s="43"/>
      <c r="BN25" s="43"/>
    </row>
    <row r="26" s="18" customFormat="1" spans="1:66">
      <c r="A26" s="43"/>
      <c r="B26" s="43"/>
      <c r="C26" s="43"/>
      <c r="D26" s="43"/>
      <c r="E26" s="43"/>
      <c r="F26" s="43"/>
      <c r="G26" s="44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5"/>
      <c r="BF26" s="43"/>
      <c r="BG26" s="43"/>
      <c r="BH26" s="43"/>
      <c r="BI26" s="43"/>
      <c r="BJ26" s="43"/>
      <c r="BK26" s="43"/>
      <c r="BL26" s="43"/>
      <c r="BM26" s="43"/>
      <c r="BN26" s="43"/>
    </row>
    <row r="27" s="18" customFormat="1" spans="1:66">
      <c r="A27" s="43"/>
      <c r="B27" s="43"/>
      <c r="C27" s="43"/>
      <c r="D27" s="43"/>
      <c r="E27" s="43"/>
      <c r="F27" s="43"/>
      <c r="G27" s="44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5"/>
      <c r="BF27" s="43"/>
      <c r="BG27" s="43"/>
      <c r="BH27" s="43"/>
      <c r="BI27" s="43"/>
      <c r="BJ27" s="43"/>
      <c r="BK27" s="43"/>
      <c r="BL27" s="43"/>
      <c r="BM27" s="43"/>
      <c r="BN27" s="43"/>
    </row>
    <row r="28" s="18" customFormat="1" spans="1:66">
      <c r="A28" s="43"/>
      <c r="B28" s="43"/>
      <c r="C28" s="43"/>
      <c r="D28" s="43"/>
      <c r="E28" s="43"/>
      <c r="F28" s="43"/>
      <c r="G28" s="44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5"/>
      <c r="BF28" s="43"/>
      <c r="BG28" s="43"/>
      <c r="BH28" s="43"/>
      <c r="BI28" s="43"/>
      <c r="BJ28" s="43"/>
      <c r="BK28" s="43"/>
      <c r="BL28" s="43"/>
      <c r="BM28" s="43"/>
      <c r="BN28" s="43"/>
    </row>
    <row r="29" s="18" customFormat="1" spans="1:66">
      <c r="A29" s="43"/>
      <c r="B29" s="43"/>
      <c r="C29" s="43"/>
      <c r="D29" s="43"/>
      <c r="E29" s="43"/>
      <c r="F29" s="43"/>
      <c r="G29" s="44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6"/>
      <c r="AB29" s="46"/>
      <c r="AC29" s="46"/>
      <c r="AD29" s="46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5"/>
      <c r="BF29" s="43"/>
      <c r="BG29" s="43"/>
      <c r="BH29" s="43"/>
      <c r="BI29" s="43"/>
      <c r="BJ29" s="43"/>
      <c r="BK29" s="43"/>
      <c r="BL29" s="43"/>
      <c r="BM29" s="43"/>
      <c r="BN29" s="43"/>
    </row>
    <row r="30" s="18" customFormat="1" spans="1:66">
      <c r="A30" s="43"/>
      <c r="B30" s="43"/>
      <c r="C30" s="43"/>
      <c r="D30" s="43"/>
      <c r="E30" s="43"/>
      <c r="F30" s="43"/>
      <c r="G30" s="44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6"/>
      <c r="AB30" s="46"/>
      <c r="AC30" s="46"/>
      <c r="AD30" s="46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5"/>
      <c r="BF30" s="43"/>
      <c r="BG30" s="43"/>
      <c r="BH30" s="43"/>
      <c r="BI30" s="43"/>
      <c r="BJ30" s="43"/>
      <c r="BK30" s="43"/>
      <c r="BL30" s="43"/>
      <c r="BM30" s="43"/>
      <c r="BN30" s="43"/>
    </row>
    <row r="31" s="18" customFormat="1" spans="1:66">
      <c r="A31" s="43"/>
      <c r="B31" s="43"/>
      <c r="C31" s="43"/>
      <c r="D31" s="43"/>
      <c r="E31" s="43"/>
      <c r="F31" s="43"/>
      <c r="G31" s="44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6"/>
      <c r="AB31" s="46"/>
      <c r="AC31" s="46"/>
      <c r="AD31" s="46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5"/>
      <c r="BF31" s="43"/>
      <c r="BG31" s="43"/>
      <c r="BH31" s="43"/>
      <c r="BI31" s="43"/>
      <c r="BJ31" s="43"/>
      <c r="BK31" s="43"/>
      <c r="BL31" s="43"/>
      <c r="BM31" s="43"/>
      <c r="BN31" s="43"/>
    </row>
    <row r="32" s="18" customFormat="1" spans="1:66">
      <c r="A32" s="43"/>
      <c r="B32" s="43"/>
      <c r="C32" s="43"/>
      <c r="D32" s="43"/>
      <c r="E32" s="43"/>
      <c r="F32" s="43"/>
      <c r="G32" s="44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6"/>
      <c r="AB32" s="46"/>
      <c r="AC32" s="46"/>
      <c r="AD32" s="46"/>
      <c r="AE32" s="43"/>
      <c r="AF32" s="43"/>
      <c r="AG32" s="43"/>
      <c r="AH32" s="43"/>
      <c r="AI32" s="46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5"/>
      <c r="BF32" s="43"/>
      <c r="BG32" s="43"/>
      <c r="BH32" s="43"/>
      <c r="BI32" s="43"/>
      <c r="BJ32" s="43"/>
      <c r="BK32" s="43"/>
      <c r="BL32" s="43"/>
      <c r="BM32" s="43"/>
      <c r="BN32" s="43"/>
    </row>
    <row r="33" s="18" customFormat="1" spans="1:66">
      <c r="A33" s="43"/>
      <c r="B33" s="43"/>
      <c r="C33" s="43"/>
      <c r="D33" s="43"/>
      <c r="E33" s="43"/>
      <c r="F33" s="43"/>
      <c r="G33" s="44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6"/>
      <c r="AB33" s="46"/>
      <c r="AC33" s="46"/>
      <c r="AD33" s="46"/>
      <c r="AE33" s="43"/>
      <c r="AF33" s="43"/>
      <c r="AG33" s="43"/>
      <c r="AH33" s="43"/>
      <c r="AI33" s="46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5"/>
      <c r="BF33" s="43"/>
      <c r="BG33" s="43"/>
      <c r="BH33" s="43"/>
      <c r="BI33" s="43"/>
      <c r="BJ33" s="43"/>
      <c r="BK33" s="43"/>
      <c r="BL33" s="43"/>
      <c r="BM33" s="43"/>
      <c r="BN33" s="43"/>
    </row>
    <row r="34" s="18" customFormat="1" spans="1:66">
      <c r="A34" s="43"/>
      <c r="B34" s="43"/>
      <c r="C34" s="43"/>
      <c r="D34" s="43"/>
      <c r="E34" s="43"/>
      <c r="F34" s="43"/>
      <c r="G34" s="44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6"/>
      <c r="AB34" s="46"/>
      <c r="AC34" s="46"/>
      <c r="AD34" s="46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5"/>
      <c r="BF34" s="43"/>
      <c r="BG34" s="43"/>
      <c r="BH34" s="43"/>
      <c r="BI34" s="43"/>
      <c r="BJ34" s="43"/>
      <c r="BK34" s="43"/>
      <c r="BL34" s="43"/>
      <c r="BM34" s="43"/>
      <c r="BN34" s="43"/>
    </row>
    <row r="35" s="18" customFormat="1" spans="1:66">
      <c r="A35" s="43"/>
      <c r="B35" s="43"/>
      <c r="C35" s="43"/>
      <c r="D35" s="43"/>
      <c r="E35" s="43"/>
      <c r="F35" s="43"/>
      <c r="G35" s="44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6"/>
      <c r="AB35" s="46"/>
      <c r="AC35" s="46"/>
      <c r="AD35" s="46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5"/>
      <c r="BF35" s="43"/>
      <c r="BG35" s="43"/>
      <c r="BH35" s="43"/>
      <c r="BI35" s="43"/>
      <c r="BJ35" s="43"/>
      <c r="BK35" s="43"/>
      <c r="BL35" s="43"/>
      <c r="BM35" s="43"/>
      <c r="BN35" s="43"/>
    </row>
    <row r="36" s="18" customFormat="1" spans="1:66">
      <c r="A36" s="43"/>
      <c r="B36" s="43"/>
      <c r="C36" s="43"/>
      <c r="D36" s="43"/>
      <c r="E36" s="43"/>
      <c r="F36" s="43"/>
      <c r="G36" s="44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6"/>
      <c r="AB36" s="46"/>
      <c r="AC36" s="46"/>
      <c r="AD36" s="46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5"/>
      <c r="BF36" s="43"/>
      <c r="BG36" s="43"/>
      <c r="BH36" s="43"/>
      <c r="BI36" s="43"/>
      <c r="BJ36" s="43"/>
      <c r="BK36" s="43"/>
      <c r="BL36" s="43"/>
      <c r="BM36" s="43"/>
      <c r="BN36" s="43"/>
    </row>
    <row r="37" s="18" customFormat="1" spans="1:66">
      <c r="A37" s="43"/>
      <c r="B37" s="43"/>
      <c r="C37" s="43"/>
      <c r="D37" s="43"/>
      <c r="E37" s="43"/>
      <c r="F37" s="43"/>
      <c r="G37" s="44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6"/>
      <c r="AB37" s="46"/>
      <c r="AC37" s="46"/>
      <c r="AD37" s="46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5"/>
      <c r="BF37" s="43"/>
      <c r="BG37" s="43"/>
      <c r="BH37" s="43"/>
      <c r="BI37" s="43"/>
      <c r="BJ37" s="43"/>
      <c r="BK37" s="43"/>
      <c r="BL37" s="43"/>
      <c r="BM37" s="43"/>
      <c r="BN37" s="43"/>
    </row>
    <row r="38" s="18" customFormat="1" spans="1:66">
      <c r="A38" s="43"/>
      <c r="B38" s="43"/>
      <c r="C38" s="43"/>
      <c r="D38" s="43"/>
      <c r="E38" s="43"/>
      <c r="F38" s="43"/>
      <c r="G38" s="44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6"/>
      <c r="AB38" s="46"/>
      <c r="AC38" s="46"/>
      <c r="AD38" s="46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5"/>
      <c r="BF38" s="43"/>
      <c r="BG38" s="43"/>
      <c r="BH38" s="43"/>
      <c r="BI38" s="43"/>
      <c r="BJ38" s="43"/>
      <c r="BK38" s="43"/>
      <c r="BL38" s="43"/>
      <c r="BM38" s="43"/>
      <c r="BN38" s="43"/>
    </row>
    <row r="39" spans="1:66">
      <c r="A39" s="37"/>
      <c r="B39" s="47" t="s">
        <v>49</v>
      </c>
      <c r="C39" s="47"/>
      <c r="D39" s="47"/>
      <c r="E39" s="47"/>
      <c r="F39" s="47"/>
      <c r="G39" s="47"/>
      <c r="H39" s="47"/>
      <c r="I39" s="35"/>
      <c r="J39" s="35"/>
      <c r="K39" s="35"/>
      <c r="L39" s="35"/>
      <c r="M39" s="35"/>
      <c r="N39" s="35"/>
      <c r="O39" s="35"/>
      <c r="P39" s="35"/>
      <c r="Q39" s="47"/>
      <c r="R39" s="35"/>
      <c r="S39" s="35"/>
      <c r="T39" s="35"/>
      <c r="U39" s="35"/>
      <c r="V39" s="35"/>
      <c r="W39" s="35"/>
      <c r="X39" s="35"/>
      <c r="Y39" s="35"/>
      <c r="Z39" s="47"/>
      <c r="AA39" s="36"/>
      <c r="AB39" s="36"/>
      <c r="AC39" s="36"/>
      <c r="AD39" s="36"/>
      <c r="AE39" s="36"/>
      <c r="AF39" s="36"/>
      <c r="AG39" s="36"/>
      <c r="AH39" s="36"/>
      <c r="AI39" s="47"/>
      <c r="AJ39" s="47"/>
      <c r="AK39" s="36"/>
      <c r="AL39" s="36"/>
      <c r="AM39" s="36"/>
      <c r="AN39" s="36"/>
      <c r="AO39" s="36"/>
      <c r="AP39" s="36"/>
      <c r="AQ39" s="36"/>
      <c r="AR39" s="36"/>
      <c r="AS39" s="47"/>
      <c r="AT39" s="36">
        <f>SUM(AT4:AT15)</f>
        <v>0</v>
      </c>
      <c r="AU39" s="36">
        <f>SUM(AU4:AU15)</f>
        <v>0</v>
      </c>
      <c r="AV39" s="36">
        <f>SUM(AV4:AV15)</f>
        <v>0</v>
      </c>
      <c r="AW39" s="36"/>
      <c r="AX39" s="36"/>
      <c r="AY39" s="36"/>
      <c r="AZ39" s="36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</row>
  </sheetData>
  <sheetProtection formatCells="0" insertHyperlinks="0" autoFilter="0"/>
  <pageMargins left="0.7" right="0.7" top="0.75" bottom="0.75" header="0.3" footer="0.3"/>
  <pageSetup paperSize="256" orientation="portrait" horizontalDpi="203" verticalDpi="20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36"/>
  <sheetViews>
    <sheetView workbookViewId="0">
      <selection activeCell="J37" sqref="J37"/>
    </sheetView>
  </sheetViews>
  <sheetFormatPr defaultColWidth="9" defaultRowHeight="14.25"/>
  <cols>
    <col min="1" max="1" width="8.125" customWidth="1"/>
    <col min="2" max="2" width="5.5" customWidth="1"/>
    <col min="3" max="3" width="4.875" customWidth="1"/>
    <col min="4" max="4" width="6.625" customWidth="1"/>
    <col min="5" max="5" width="8.875" customWidth="1"/>
    <col min="6" max="6" width="9.125" customWidth="1"/>
    <col min="7" max="7" width="5.5" customWidth="1"/>
    <col min="8" max="8" width="5.625" customWidth="1"/>
    <col min="9" max="9" width="7.625" customWidth="1"/>
    <col min="10" max="10" width="6.625" customWidth="1"/>
    <col min="11" max="11" width="6.75" customWidth="1"/>
    <col min="12" max="12" width="7.5" customWidth="1"/>
    <col min="13" max="16" width="6.875" customWidth="1"/>
    <col min="17" max="17" width="8.25" customWidth="1"/>
    <col min="18" max="18" width="6.375" customWidth="1"/>
    <col min="19" max="19" width="6.5" customWidth="1"/>
    <col min="20" max="20" width="7.375" customWidth="1"/>
    <col min="21" max="24" width="6.875" customWidth="1"/>
    <col min="25" max="25" width="8.25" customWidth="1"/>
    <col min="26" max="26" width="6.375" customWidth="1"/>
    <col min="27" max="27" width="6.5" customWidth="1"/>
    <col min="28" max="28" width="7.375" customWidth="1"/>
    <col min="29" max="32" width="6.875" customWidth="1"/>
    <col min="33" max="33" width="8.25" customWidth="1"/>
    <col min="34" max="34" width="6.375" customWidth="1"/>
    <col min="35" max="35" width="6.5" customWidth="1"/>
    <col min="36" max="36" width="7.375" customWidth="1"/>
    <col min="37" max="40" width="6.875" customWidth="1"/>
    <col min="41" max="41" width="8.25" customWidth="1"/>
    <col min="42" max="42" width="6.375" customWidth="1"/>
    <col min="43" max="43" width="6.5" customWidth="1"/>
    <col min="44" max="44" width="7.375" customWidth="1"/>
    <col min="45" max="48" width="6.875" customWidth="1"/>
    <col min="49" max="49" width="8.25" customWidth="1"/>
    <col min="50" max="50" width="6.375" customWidth="1"/>
    <col min="51" max="51" width="6.5" customWidth="1"/>
    <col min="52" max="52" width="7.375" customWidth="1"/>
    <col min="53" max="53" width="5.25" customWidth="1"/>
    <col min="54" max="57" width="6.875" customWidth="1"/>
    <col min="58" max="58" width="8.25" customWidth="1"/>
    <col min="59" max="59" width="6.375" customWidth="1"/>
    <col min="60" max="60" width="6.5" customWidth="1"/>
    <col min="61" max="61" width="7.375" customWidth="1"/>
    <col min="63" max="63" width="6.5" customWidth="1"/>
    <col min="64" max="67" width="6.875" customWidth="1"/>
    <col min="68" max="68" width="8.25" customWidth="1"/>
    <col min="69" max="69" width="6.375" customWidth="1"/>
    <col min="70" max="70" width="6.5" customWidth="1"/>
    <col min="71" max="71" width="7.375" customWidth="1"/>
    <col min="72" max="72" width="7.875" customWidth="1"/>
  </cols>
  <sheetData>
    <row r="1" spans="1:72">
      <c r="A1" t="s">
        <v>162</v>
      </c>
    </row>
    <row r="2" s="1" customFormat="1" ht="42.75" spans="1:72">
      <c r="A2" s="5" t="s">
        <v>1</v>
      </c>
      <c r="B2" s="5" t="s">
        <v>163</v>
      </c>
      <c r="C2" s="5" t="s">
        <v>164</v>
      </c>
      <c r="D2" s="5" t="s">
        <v>165</v>
      </c>
      <c r="E2" s="5" t="s">
        <v>166</v>
      </c>
      <c r="F2" s="5" t="s">
        <v>167</v>
      </c>
      <c r="G2" s="5" t="s">
        <v>168</v>
      </c>
      <c r="H2" s="5" t="s">
        <v>123</v>
      </c>
      <c r="I2" s="5" t="s">
        <v>169</v>
      </c>
      <c r="J2" s="5" t="s">
        <v>170</v>
      </c>
      <c r="K2" s="5" t="s">
        <v>171</v>
      </c>
      <c r="L2" s="5" t="s">
        <v>172</v>
      </c>
      <c r="M2" s="6" t="s">
        <v>173</v>
      </c>
      <c r="N2" s="6" t="s">
        <v>174</v>
      </c>
      <c r="O2" s="6" t="s">
        <v>175</v>
      </c>
      <c r="P2" s="6" t="s">
        <v>49</v>
      </c>
      <c r="Q2" s="7" t="s">
        <v>176</v>
      </c>
      <c r="R2" s="8" t="s">
        <v>177</v>
      </c>
      <c r="S2" s="8" t="s">
        <v>56</v>
      </c>
      <c r="T2" s="8" t="s">
        <v>178</v>
      </c>
      <c r="U2" s="9" t="s">
        <v>179</v>
      </c>
      <c r="V2" s="9" t="s">
        <v>180</v>
      </c>
      <c r="W2" s="9" t="s">
        <v>181</v>
      </c>
      <c r="X2" s="9" t="s">
        <v>182</v>
      </c>
    </row>
    <row r="3" spans="1:72">
      <c r="A3" t="s">
        <v>183</v>
      </c>
      <c r="C3" t="s">
        <v>184</v>
      </c>
      <c r="F3" t="s">
        <v>185</v>
      </c>
    </row>
    <row r="4" s="2" customFormat="1" spans="1:72">
      <c r="A4" s="10" t="s">
        <v>186</v>
      </c>
      <c r="B4" s="10">
        <v>1162</v>
      </c>
      <c r="C4" s="10">
        <v>8.2</v>
      </c>
      <c r="D4" s="10">
        <v>13</v>
      </c>
      <c r="E4" s="11">
        <f>4500*I4</f>
        <v>673.66658077815</v>
      </c>
      <c r="F4" s="11">
        <f>1329.63*C4*I4</f>
        <v>1632.21418345787</v>
      </c>
      <c r="G4" s="10">
        <f>319.87*C4*I4</f>
        <v>392.662884308168</v>
      </c>
      <c r="H4" s="10">
        <f>B4*1</f>
        <v>1162</v>
      </c>
      <c r="I4" s="12">
        <f>H4/7762</f>
        <v>0.149703684617367</v>
      </c>
      <c r="J4" s="11">
        <f>(E4+F4+G4)/B4</f>
        <v>2.32232671991755</v>
      </c>
      <c r="K4" s="13">
        <f>D4+J4</f>
        <v>15.3223267199175</v>
      </c>
      <c r="L4" s="13">
        <f>K4/C4</f>
        <v>1.86857642925824</v>
      </c>
      <c r="M4" s="11">
        <f>Q4*0.153</f>
        <v>2.1267</v>
      </c>
      <c r="N4" s="10">
        <v>2.87</v>
      </c>
      <c r="O4" s="10">
        <v>0.2</v>
      </c>
      <c r="P4" s="11">
        <f>SUM(M4:O4)</f>
        <v>5.1967</v>
      </c>
      <c r="Q4" s="14">
        <v>13.9</v>
      </c>
      <c r="R4" s="11">
        <f>Q4/6</f>
        <v>2.31666666666667</v>
      </c>
      <c r="S4" s="13">
        <f>Q4-R4-P4-L4</f>
        <v>4.5180569040751</v>
      </c>
      <c r="T4" s="15">
        <f>S4/Q4</f>
        <v>0.325040065041374</v>
      </c>
      <c r="U4" s="11">
        <f>Q4*0.85</f>
        <v>11.815</v>
      </c>
      <c r="V4" s="11">
        <f>U4/6+U4*0.153</f>
        <v>3.77686166666667</v>
      </c>
      <c r="W4" s="13">
        <f>U4-V4-N4-O4-L4</f>
        <v>3.09956190407509</v>
      </c>
      <c r="X4" s="12">
        <f>W4/U4</f>
        <v>0.262341252989851</v>
      </c>
    </row>
    <row r="5" s="2" customFormat="1" spans="1:72">
      <c r="A5" s="10" t="s">
        <v>186</v>
      </c>
      <c r="B5" s="10">
        <v>824</v>
      </c>
      <c r="C5" s="10">
        <v>8.2</v>
      </c>
      <c r="D5" s="10">
        <v>19.5</v>
      </c>
      <c r="E5" s="11">
        <f t="shared" ref="E5:E10" si="0">4500*I5</f>
        <v>955.423859829941</v>
      </c>
      <c r="F5" s="11">
        <f t="shared" ref="F5:F10" si="1">1329.63*C5*I5</f>
        <v>2314.87863540325</v>
      </c>
      <c r="G5" s="10">
        <f t="shared" ref="G5:G10" si="2">319.87*C5*I5</f>
        <v>556.89193919093</v>
      </c>
      <c r="H5" s="10">
        <f>B5*2</f>
        <v>1648</v>
      </c>
      <c r="I5" s="12">
        <f t="shared" ref="I5:I10" si="3">H5/7762</f>
        <v>0.212316413295542</v>
      </c>
      <c r="J5" s="11">
        <f t="shared" ref="J5:J10" si="4">(E5+F5+G5)/B5</f>
        <v>4.64465343983509</v>
      </c>
      <c r="K5" s="13">
        <f t="shared" ref="K5:K10" si="5">D5+J5</f>
        <v>24.1446534398351</v>
      </c>
      <c r="L5" s="13">
        <f t="shared" ref="L5:L10" si="6">K5/C5</f>
        <v>2.94446993168721</v>
      </c>
      <c r="M5" s="11">
        <f t="shared" ref="M5:M10" si="7">Q5*0.153</f>
        <v>3.3507</v>
      </c>
      <c r="N5" s="10">
        <v>4.95</v>
      </c>
      <c r="O5" s="10">
        <v>0.2</v>
      </c>
      <c r="P5" s="11">
        <f t="shared" ref="P5:P10" si="8">SUM(M5:O5)</f>
        <v>8.5007</v>
      </c>
      <c r="Q5" s="14">
        <v>21.9</v>
      </c>
      <c r="R5" s="11">
        <f t="shared" ref="R5:R10" si="9">Q5/6</f>
        <v>3.65</v>
      </c>
      <c r="S5" s="13">
        <f t="shared" ref="S5:S10" si="10">Q5-R5-P5-L5</f>
        <v>6.80483006831279</v>
      </c>
      <c r="T5" s="15">
        <f t="shared" ref="T5:T10" si="11">S5/Q5</f>
        <v>0.310722834169534</v>
      </c>
      <c r="U5" s="11">
        <f t="shared" ref="U5:U10" si="12">Q5*0.85</f>
        <v>18.615</v>
      </c>
      <c r="V5" s="11">
        <f t="shared" ref="V5:V10" si="13">U5/6+U5*0.153</f>
        <v>5.950595</v>
      </c>
      <c r="W5" s="13">
        <f t="shared" ref="W5:W10" si="14">U5-V5-N5-O5-L5</f>
        <v>4.56993506831279</v>
      </c>
      <c r="X5" s="12">
        <f t="shared" ref="X5:X10" si="15">W5/U5</f>
        <v>0.245497451964157</v>
      </c>
    </row>
    <row r="6" s="2" customFormat="1" spans="1:72">
      <c r="A6" s="10" t="s">
        <v>186</v>
      </c>
      <c r="B6" s="10">
        <v>400</v>
      </c>
      <c r="C6" s="10">
        <v>8.2</v>
      </c>
      <c r="D6" s="10">
        <v>26</v>
      </c>
      <c r="E6" s="11">
        <f t="shared" si="0"/>
        <v>695.696985313064</v>
      </c>
      <c r="F6" s="11">
        <f t="shared" si="1"/>
        <v>1685.5912393713</v>
      </c>
      <c r="G6" s="10">
        <f t="shared" si="2"/>
        <v>405.503839216697</v>
      </c>
      <c r="H6" s="10">
        <f>B6*3</f>
        <v>1200</v>
      </c>
      <c r="I6" s="12">
        <f t="shared" si="3"/>
        <v>0.15459933006957</v>
      </c>
      <c r="J6" s="11">
        <f t="shared" si="4"/>
        <v>6.96698015975264</v>
      </c>
      <c r="K6" s="13">
        <f t="shared" si="5"/>
        <v>32.9669801597526</v>
      </c>
      <c r="L6" s="13">
        <f t="shared" si="6"/>
        <v>4.02036343411618</v>
      </c>
      <c r="M6" s="11">
        <f t="shared" si="7"/>
        <v>3.9627</v>
      </c>
      <c r="N6" s="10">
        <v>5.39</v>
      </c>
      <c r="O6" s="10">
        <v>0.2</v>
      </c>
      <c r="P6" s="11">
        <f t="shared" si="8"/>
        <v>9.5527</v>
      </c>
      <c r="Q6" s="14">
        <v>25.9</v>
      </c>
      <c r="R6" s="11">
        <f t="shared" si="9"/>
        <v>4.31666666666667</v>
      </c>
      <c r="S6" s="13">
        <f t="shared" si="10"/>
        <v>8.01026989921716</v>
      </c>
      <c r="T6" s="15">
        <f t="shared" si="11"/>
        <v>0.309276830085605</v>
      </c>
      <c r="U6" s="11">
        <f t="shared" si="12"/>
        <v>22.015</v>
      </c>
      <c r="V6" s="11">
        <f t="shared" si="13"/>
        <v>7.03746166666667</v>
      </c>
      <c r="W6" s="13">
        <f t="shared" si="14"/>
        <v>5.36717489921716</v>
      </c>
      <c r="X6" s="12">
        <f t="shared" si="15"/>
        <v>0.243796270688946</v>
      </c>
    </row>
    <row r="7" s="2" customFormat="1" spans="1:72">
      <c r="A7" s="10" t="s">
        <v>186</v>
      </c>
      <c r="B7" s="10">
        <v>688</v>
      </c>
      <c r="C7" s="10">
        <v>8.2</v>
      </c>
      <c r="D7" s="10">
        <v>32</v>
      </c>
      <c r="E7" s="11">
        <f t="shared" si="0"/>
        <v>1595.46508631796</v>
      </c>
      <c r="F7" s="11">
        <f t="shared" si="1"/>
        <v>3865.62257562484</v>
      </c>
      <c r="G7" s="10">
        <f t="shared" si="2"/>
        <v>929.955471270291</v>
      </c>
      <c r="H7" s="10">
        <f>B7*4</f>
        <v>2752</v>
      </c>
      <c r="I7" s="12">
        <f t="shared" si="3"/>
        <v>0.354547796959547</v>
      </c>
      <c r="J7" s="11">
        <f t="shared" si="4"/>
        <v>9.28930687967019</v>
      </c>
      <c r="K7" s="13">
        <f t="shared" si="5"/>
        <v>41.2893068796702</v>
      </c>
      <c r="L7" s="13">
        <f t="shared" si="6"/>
        <v>5.03528132678905</v>
      </c>
      <c r="M7" s="11">
        <f t="shared" si="7"/>
        <v>4.4217</v>
      </c>
      <c r="N7" s="10">
        <v>5.54</v>
      </c>
      <c r="O7" s="10">
        <v>0.2</v>
      </c>
      <c r="P7" s="11">
        <f t="shared" si="8"/>
        <v>10.1617</v>
      </c>
      <c r="Q7" s="14">
        <v>28.9</v>
      </c>
      <c r="R7" s="11">
        <f t="shared" si="9"/>
        <v>4.81666666666667</v>
      </c>
      <c r="S7" s="13">
        <f t="shared" si="10"/>
        <v>8.88635200654429</v>
      </c>
      <c r="T7" s="15">
        <f t="shared" si="11"/>
        <v>0.307486228600148</v>
      </c>
      <c r="U7" s="11">
        <f t="shared" si="12"/>
        <v>24.565</v>
      </c>
      <c r="V7" s="11">
        <f t="shared" si="13"/>
        <v>7.85261166666667</v>
      </c>
      <c r="W7" s="13">
        <f t="shared" si="14"/>
        <v>5.93710700654428</v>
      </c>
      <c r="X7" s="12">
        <f t="shared" si="15"/>
        <v>0.241689680706057</v>
      </c>
    </row>
    <row r="8" s="2" customFormat="1" spans="1:72">
      <c r="A8" s="10" t="s">
        <v>186</v>
      </c>
      <c r="B8" s="10">
        <v>54</v>
      </c>
      <c r="C8" s="10">
        <v>8.2</v>
      </c>
      <c r="D8" s="10">
        <v>47</v>
      </c>
      <c r="E8" s="11">
        <f t="shared" si="0"/>
        <v>187.838186034527</v>
      </c>
      <c r="F8" s="11">
        <f t="shared" si="1"/>
        <v>455.10963463025</v>
      </c>
      <c r="G8" s="10">
        <f t="shared" si="2"/>
        <v>109.486036588508</v>
      </c>
      <c r="H8" s="10">
        <f>B8*6</f>
        <v>324</v>
      </c>
      <c r="I8" s="12">
        <f t="shared" si="3"/>
        <v>0.0417418191187838</v>
      </c>
      <c r="J8" s="11">
        <f t="shared" si="4"/>
        <v>13.9339603195053</v>
      </c>
      <c r="K8" s="13">
        <f t="shared" si="5"/>
        <v>60.9339603195053</v>
      </c>
      <c r="L8" s="13">
        <f t="shared" si="6"/>
        <v>7.43097077067138</v>
      </c>
      <c r="M8" s="11">
        <f t="shared" si="7"/>
        <v>6.1047</v>
      </c>
      <c r="N8" s="10">
        <v>6.32</v>
      </c>
      <c r="O8" s="10">
        <v>0.2</v>
      </c>
      <c r="P8" s="11">
        <f t="shared" si="8"/>
        <v>12.6247</v>
      </c>
      <c r="Q8" s="14">
        <v>39.9</v>
      </c>
      <c r="R8" s="11">
        <f t="shared" si="9"/>
        <v>6.65</v>
      </c>
      <c r="S8" s="13">
        <f t="shared" si="10"/>
        <v>13.1943292293286</v>
      </c>
      <c r="T8" s="15">
        <f t="shared" si="11"/>
        <v>0.330684943090943</v>
      </c>
      <c r="U8" s="11">
        <f t="shared" si="12"/>
        <v>33.915</v>
      </c>
      <c r="V8" s="11">
        <f t="shared" si="13"/>
        <v>10.841495</v>
      </c>
      <c r="W8" s="13">
        <f t="shared" si="14"/>
        <v>9.12253422932863</v>
      </c>
      <c r="X8" s="12">
        <f t="shared" si="15"/>
        <v>0.268982285989345</v>
      </c>
    </row>
    <row r="9" s="2" customFormat="1" spans="1:72">
      <c r="A9" s="10" t="s">
        <v>186</v>
      </c>
      <c r="B9" s="10">
        <v>196</v>
      </c>
      <c r="C9" s="10">
        <v>8.2</v>
      </c>
      <c r="D9" s="10">
        <v>18</v>
      </c>
      <c r="E9" s="11">
        <f t="shared" si="0"/>
        <v>113.630507601134</v>
      </c>
      <c r="F9" s="11">
        <f t="shared" si="1"/>
        <v>275.313235763978</v>
      </c>
      <c r="G9" s="10">
        <f t="shared" si="2"/>
        <v>66.2322937387271</v>
      </c>
      <c r="H9" s="10">
        <f t="shared" ref="H9" si="16">B9*1</f>
        <v>196</v>
      </c>
      <c r="I9" s="12">
        <f t="shared" si="3"/>
        <v>0.0252512239113631</v>
      </c>
      <c r="J9" s="11">
        <f t="shared" si="4"/>
        <v>2.32232671991755</v>
      </c>
      <c r="K9" s="13">
        <f t="shared" si="5"/>
        <v>20.3223267199175</v>
      </c>
      <c r="L9" s="13">
        <f t="shared" si="6"/>
        <v>2.47833252681921</v>
      </c>
      <c r="M9" s="11">
        <f t="shared" si="7"/>
        <v>2.5857</v>
      </c>
      <c r="N9" s="10">
        <v>2.87</v>
      </c>
      <c r="O9" s="10">
        <v>0.2</v>
      </c>
      <c r="P9" s="11">
        <f t="shared" si="8"/>
        <v>5.6557</v>
      </c>
      <c r="Q9" s="14">
        <v>16.9</v>
      </c>
      <c r="R9" s="11">
        <f t="shared" si="9"/>
        <v>2.81666666666667</v>
      </c>
      <c r="S9" s="13">
        <f t="shared" si="10"/>
        <v>5.94930080651412</v>
      </c>
      <c r="T9" s="15">
        <f t="shared" si="11"/>
        <v>0.352029633521546</v>
      </c>
      <c r="U9" s="11">
        <f t="shared" si="12"/>
        <v>14.365</v>
      </c>
      <c r="V9" s="11">
        <f t="shared" si="13"/>
        <v>4.59201166666667</v>
      </c>
      <c r="W9" s="13">
        <f t="shared" si="14"/>
        <v>4.22465580651412</v>
      </c>
      <c r="X9" s="12">
        <f t="shared" si="15"/>
        <v>0.294093686495936</v>
      </c>
    </row>
    <row r="10" s="2" customFormat="1" spans="1:72">
      <c r="A10" s="10" t="s">
        <v>186</v>
      </c>
      <c r="B10" s="10">
        <v>240</v>
      </c>
      <c r="C10" s="10">
        <v>8.2</v>
      </c>
      <c r="D10" s="10">
        <v>25</v>
      </c>
      <c r="E10" s="11">
        <f t="shared" si="0"/>
        <v>278.278794125225</v>
      </c>
      <c r="F10" s="11">
        <f t="shared" si="1"/>
        <v>674.236495748518</v>
      </c>
      <c r="G10" s="10">
        <f t="shared" si="2"/>
        <v>162.201535686679</v>
      </c>
      <c r="H10" s="10">
        <f>B10*2</f>
        <v>480</v>
      </c>
      <c r="I10" s="12">
        <f t="shared" si="3"/>
        <v>0.0618397320278279</v>
      </c>
      <c r="J10" s="11">
        <f t="shared" si="4"/>
        <v>4.64465343983509</v>
      </c>
      <c r="K10" s="13">
        <f t="shared" si="5"/>
        <v>29.6446534398351</v>
      </c>
      <c r="L10" s="13">
        <f t="shared" si="6"/>
        <v>3.61520163900428</v>
      </c>
      <c r="M10" s="11">
        <f t="shared" si="7"/>
        <v>3.9627</v>
      </c>
      <c r="N10" s="10">
        <v>5.03</v>
      </c>
      <c r="O10" s="10">
        <v>0.2</v>
      </c>
      <c r="P10" s="11">
        <f t="shared" si="8"/>
        <v>9.1927</v>
      </c>
      <c r="Q10" s="14">
        <v>25.9</v>
      </c>
      <c r="R10" s="11">
        <f t="shared" si="9"/>
        <v>4.31666666666667</v>
      </c>
      <c r="S10" s="13">
        <f t="shared" si="10"/>
        <v>8.77543169432905</v>
      </c>
      <c r="T10" s="15">
        <f t="shared" si="11"/>
        <v>0.338819756537801</v>
      </c>
      <c r="U10" s="11">
        <f t="shared" si="12"/>
        <v>22.015</v>
      </c>
      <c r="V10" s="11">
        <f t="shared" si="13"/>
        <v>7.03746166666667</v>
      </c>
      <c r="W10" s="13">
        <f t="shared" si="14"/>
        <v>6.13233669432905</v>
      </c>
      <c r="X10" s="12">
        <f t="shared" si="15"/>
        <v>0.278552654750354</v>
      </c>
    </row>
    <row r="11" spans="1:72">
      <c r="A11" t="s">
        <v>183</v>
      </c>
      <c r="C11" t="s">
        <v>187</v>
      </c>
      <c r="F11" t="s">
        <v>188</v>
      </c>
    </row>
    <row r="12" s="2" customFormat="1" spans="1:72">
      <c r="A12" s="10" t="s">
        <v>189</v>
      </c>
      <c r="B12" s="10">
        <v>2000</v>
      </c>
      <c r="C12" s="10">
        <v>8.2</v>
      </c>
      <c r="D12" s="10">
        <v>10.2</v>
      </c>
      <c r="E12" s="11">
        <f>0*I12</f>
        <v>0</v>
      </c>
      <c r="F12" s="11">
        <f>1529.34*C12*I12</f>
        <v>12540.588</v>
      </c>
      <c r="G12" s="10">
        <f>146.2*C12*I12</f>
        <v>1198.84</v>
      </c>
      <c r="H12" s="10">
        <f>B12*1</f>
        <v>2000</v>
      </c>
      <c r="I12" s="12">
        <f>1</f>
        <v>1</v>
      </c>
      <c r="J12" s="11">
        <f>(E12+F12+G12)/B12</f>
        <v>6.869714</v>
      </c>
      <c r="K12" s="13">
        <f>D12+J12</f>
        <v>17.069714</v>
      </c>
      <c r="L12" s="13">
        <f>K12/C12</f>
        <v>2.08167243902439</v>
      </c>
      <c r="M12" s="11">
        <f>Q12*0.153</f>
        <v>1.5147</v>
      </c>
      <c r="N12" s="10">
        <v>2.77</v>
      </c>
      <c r="O12" s="10">
        <v>0.4</v>
      </c>
      <c r="P12" s="11">
        <f>SUM(M12:O12)</f>
        <v>4.6847</v>
      </c>
      <c r="Q12" s="14">
        <v>9.9</v>
      </c>
      <c r="R12" s="11">
        <f>Q12/6</f>
        <v>1.65</v>
      </c>
      <c r="S12" s="13">
        <f>Q12-R12-P12-L12</f>
        <v>1.48362756097561</v>
      </c>
      <c r="T12" s="15">
        <f>S12/Q12</f>
        <v>0.149861369795516</v>
      </c>
      <c r="U12" s="11">
        <f>Q12*0.85</f>
        <v>8.415</v>
      </c>
      <c r="V12" s="11">
        <f>U12/6+U12*0.153</f>
        <v>2.689995</v>
      </c>
      <c r="W12" s="13">
        <f>U12-V12-N12-O12-L12</f>
        <v>0.473332560975611</v>
      </c>
      <c r="X12" s="12">
        <f>W12/U12</f>
        <v>0.0562486703476662</v>
      </c>
    </row>
    <row r="14" spans="1:72">
      <c r="A14" s="16" t="s">
        <v>190</v>
      </c>
      <c r="M14" t="s">
        <v>191</v>
      </c>
      <c r="U14" t="s">
        <v>192</v>
      </c>
      <c r="AC14" t="s">
        <v>193</v>
      </c>
      <c r="AK14" t="s">
        <v>194</v>
      </c>
      <c r="AS14" t="s">
        <v>195</v>
      </c>
      <c r="BA14" t="s">
        <v>196</v>
      </c>
      <c r="BK14" t="s">
        <v>197</v>
      </c>
    </row>
    <row r="15" s="1" customFormat="1" ht="42.75" spans="1:72">
      <c r="A15" s="5" t="s">
        <v>1</v>
      </c>
      <c r="B15" s="5" t="s">
        <v>163</v>
      </c>
      <c r="C15" s="5" t="s">
        <v>164</v>
      </c>
      <c r="D15" s="5" t="s">
        <v>165</v>
      </c>
      <c r="E15" s="5" t="s">
        <v>166</v>
      </c>
      <c r="F15" s="5" t="s">
        <v>167</v>
      </c>
      <c r="G15" s="5" t="s">
        <v>168</v>
      </c>
      <c r="H15" s="5" t="s">
        <v>123</v>
      </c>
      <c r="I15" s="5" t="s">
        <v>169</v>
      </c>
      <c r="J15" s="5" t="s">
        <v>170</v>
      </c>
      <c r="K15" s="5" t="s">
        <v>171</v>
      </c>
      <c r="L15" s="5" t="s">
        <v>172</v>
      </c>
      <c r="M15" s="6" t="s">
        <v>198</v>
      </c>
      <c r="N15" s="6" t="s">
        <v>174</v>
      </c>
      <c r="O15" s="6" t="s">
        <v>175</v>
      </c>
      <c r="P15" s="6" t="s">
        <v>49</v>
      </c>
      <c r="Q15" s="17" t="s">
        <v>176</v>
      </c>
      <c r="R15" s="6" t="s">
        <v>199</v>
      </c>
      <c r="S15" s="6" t="s">
        <v>56</v>
      </c>
      <c r="T15" s="6" t="s">
        <v>178</v>
      </c>
      <c r="U15" s="6" t="s">
        <v>200</v>
      </c>
      <c r="V15" s="6" t="s">
        <v>174</v>
      </c>
      <c r="W15" s="6" t="s">
        <v>175</v>
      </c>
      <c r="X15" s="6" t="s">
        <v>49</v>
      </c>
      <c r="Y15" s="17" t="s">
        <v>176</v>
      </c>
      <c r="Z15" s="6" t="s">
        <v>201</v>
      </c>
      <c r="AA15" s="6" t="s">
        <v>56</v>
      </c>
      <c r="AB15" s="6" t="s">
        <v>178</v>
      </c>
      <c r="AC15" s="6" t="s">
        <v>200</v>
      </c>
      <c r="AD15" s="6" t="s">
        <v>174</v>
      </c>
      <c r="AE15" s="6" t="s">
        <v>175</v>
      </c>
      <c r="AF15" s="6" t="s">
        <v>49</v>
      </c>
      <c r="AG15" s="17" t="s">
        <v>176</v>
      </c>
      <c r="AH15" s="6" t="s">
        <v>202</v>
      </c>
      <c r="AI15" s="6" t="s">
        <v>56</v>
      </c>
      <c r="AJ15" s="6" t="s">
        <v>178</v>
      </c>
      <c r="AK15" s="6" t="s">
        <v>200</v>
      </c>
      <c r="AL15" s="6" t="s">
        <v>174</v>
      </c>
      <c r="AM15" s="6" t="s">
        <v>175</v>
      </c>
      <c r="AN15" s="6" t="s">
        <v>49</v>
      </c>
      <c r="AO15" s="17" t="s">
        <v>176</v>
      </c>
      <c r="AP15" s="6" t="s">
        <v>203</v>
      </c>
      <c r="AQ15" s="6" t="s">
        <v>56</v>
      </c>
      <c r="AR15" s="6" t="s">
        <v>178</v>
      </c>
      <c r="AS15" s="6" t="s">
        <v>173</v>
      </c>
      <c r="AT15" s="6" t="s">
        <v>174</v>
      </c>
      <c r="AU15" s="6" t="s">
        <v>175</v>
      </c>
      <c r="AV15" s="6" t="s">
        <v>49</v>
      </c>
      <c r="AW15" s="17" t="s">
        <v>176</v>
      </c>
      <c r="AX15" s="6" t="s">
        <v>203</v>
      </c>
      <c r="AY15" s="6" t="s">
        <v>56</v>
      </c>
      <c r="AZ15" s="6" t="s">
        <v>178</v>
      </c>
      <c r="BA15" s="6" t="s">
        <v>204</v>
      </c>
      <c r="BB15" s="6" t="s">
        <v>198</v>
      </c>
      <c r="BC15" s="6" t="s">
        <v>174</v>
      </c>
      <c r="BD15" s="6" t="s">
        <v>175</v>
      </c>
      <c r="BE15" s="6" t="s">
        <v>205</v>
      </c>
      <c r="BF15" s="6" t="s">
        <v>206</v>
      </c>
      <c r="BG15" s="17" t="s">
        <v>176</v>
      </c>
      <c r="BH15" s="6" t="s">
        <v>207</v>
      </c>
      <c r="BI15" s="6" t="s">
        <v>56</v>
      </c>
      <c r="BJ15" s="6" t="s">
        <v>178</v>
      </c>
      <c r="BK15" s="6" t="s">
        <v>208</v>
      </c>
      <c r="BL15" s="6" t="s">
        <v>209</v>
      </c>
      <c r="BM15" s="6" t="s">
        <v>174</v>
      </c>
      <c r="BN15" s="6" t="s">
        <v>175</v>
      </c>
      <c r="BO15" s="6" t="s">
        <v>210</v>
      </c>
      <c r="BP15" s="6" t="s">
        <v>211</v>
      </c>
      <c r="BQ15" s="17" t="s">
        <v>176</v>
      </c>
      <c r="BR15" s="6" t="s">
        <v>212</v>
      </c>
      <c r="BS15" s="6" t="s">
        <v>56</v>
      </c>
      <c r="BT15" s="6" t="s">
        <v>178</v>
      </c>
    </row>
    <row r="16" spans="1:72">
      <c r="A16" t="s">
        <v>213</v>
      </c>
      <c r="C16" t="s">
        <v>214</v>
      </c>
      <c r="E16" t="s">
        <v>214</v>
      </c>
      <c r="BA16" s="18"/>
    </row>
    <row r="17" s="3" customFormat="1" spans="1:72">
      <c r="A17" s="19" t="s">
        <v>186</v>
      </c>
      <c r="B17" s="19">
        <v>854</v>
      </c>
      <c r="C17" s="19">
        <v>6.8</v>
      </c>
      <c r="D17" s="19">
        <v>13</v>
      </c>
      <c r="E17" s="20">
        <f>4118*I17</f>
        <v>540.542883492161</v>
      </c>
      <c r="F17" s="20">
        <f>1525.72*C17*I17</f>
        <v>1361.8446332616</v>
      </c>
      <c r="G17" s="19">
        <f>397.14*C17*I17</f>
        <v>354.483770058408</v>
      </c>
      <c r="H17" s="19">
        <f>B17*1</f>
        <v>854</v>
      </c>
      <c r="I17" s="21">
        <f>H17/6506</f>
        <v>0.131263449123886</v>
      </c>
      <c r="J17" s="20">
        <f>(E17+F17+G17)/B17</f>
        <v>2.64270642483861</v>
      </c>
      <c r="K17" s="20">
        <f>D17+J17</f>
        <v>15.6427064248386</v>
      </c>
      <c r="L17" s="20">
        <f>K17/C17</f>
        <v>2.30039800365274</v>
      </c>
      <c r="M17" s="20">
        <f>Q17*0.15</f>
        <v>2.385</v>
      </c>
      <c r="N17" s="20">
        <v>4.19</v>
      </c>
      <c r="O17" s="20">
        <v>0.2</v>
      </c>
      <c r="P17" s="20">
        <f>SUM(M17:O17)</f>
        <v>6.775</v>
      </c>
      <c r="Q17" s="22">
        <v>15.9</v>
      </c>
      <c r="R17" s="20">
        <f>Q17*0.16</f>
        <v>2.544</v>
      </c>
      <c r="S17" s="20">
        <f>Q17-R17-P17-L17</f>
        <v>4.28060199634726</v>
      </c>
      <c r="T17" s="23">
        <f>S17/Q17</f>
        <v>0.269220251342595</v>
      </c>
      <c r="U17" s="20">
        <f>Y17*0.155</f>
        <v>3.5495</v>
      </c>
      <c r="V17" s="20">
        <v>5.91</v>
      </c>
      <c r="W17" s="20">
        <v>0.2</v>
      </c>
      <c r="X17" s="20">
        <f>SUM(U17:W17)</f>
        <v>9.6595</v>
      </c>
      <c r="Y17" s="22">
        <v>22.9</v>
      </c>
      <c r="Z17" s="20">
        <f>Y17/6</f>
        <v>3.81666666666667</v>
      </c>
      <c r="AA17" s="20">
        <f>Y17-Z17-X17-L17</f>
        <v>7.1234353296806</v>
      </c>
      <c r="AB17" s="23">
        <f>AA17/Y17</f>
        <v>0.311067044964218</v>
      </c>
      <c r="AC17" s="20">
        <f>AG17*0.155</f>
        <v>3.2395</v>
      </c>
      <c r="AD17" s="20">
        <v>5.3</v>
      </c>
      <c r="AE17" s="20">
        <v>0.2</v>
      </c>
      <c r="AF17" s="20">
        <f>SUM(AC17:AE17)</f>
        <v>8.7395</v>
      </c>
      <c r="AG17" s="22">
        <v>20.9</v>
      </c>
      <c r="AH17" s="20">
        <f>AG17*0.181</f>
        <v>3.7829</v>
      </c>
      <c r="AI17" s="20">
        <f>AG17-AH17-AF17-L17</f>
        <v>6.07720199634726</v>
      </c>
      <c r="AJ17" s="23">
        <f>AI17/AG17</f>
        <v>0.290775215136233</v>
      </c>
      <c r="AK17" s="20">
        <f>AO17*0.155</f>
        <v>4.9445</v>
      </c>
      <c r="AL17" s="20">
        <v>8.9</v>
      </c>
      <c r="AM17" s="20">
        <v>0.2</v>
      </c>
      <c r="AN17" s="20">
        <f>SUM(AK17:AM17)</f>
        <v>14.0445</v>
      </c>
      <c r="AO17" s="22">
        <v>31.9</v>
      </c>
      <c r="AP17" s="20">
        <f>AO17*0.174</f>
        <v>5.5506</v>
      </c>
      <c r="AQ17" s="20">
        <f>AO17-AP17-AN17-L17</f>
        <v>10.0045019963473</v>
      </c>
      <c r="AR17" s="23">
        <f>AQ17/AO17</f>
        <v>0.313620752236591</v>
      </c>
      <c r="AS17" s="20">
        <f>AW17*0.15</f>
        <v>2.685</v>
      </c>
      <c r="AT17" s="20">
        <v>3.95</v>
      </c>
      <c r="AU17" s="20">
        <v>0.2</v>
      </c>
      <c r="AV17" s="20">
        <f>SUM(AS17:AU17)</f>
        <v>6.835</v>
      </c>
      <c r="AW17" s="22">
        <v>17.9</v>
      </c>
      <c r="AX17" s="20">
        <f>AW17*0.174</f>
        <v>3.1146</v>
      </c>
      <c r="AY17" s="20">
        <f>AW17-AX17-AV17-L17</f>
        <v>5.65000199634726</v>
      </c>
      <c r="AZ17" s="23">
        <f>AY17/AW17</f>
        <v>0.315642569628339</v>
      </c>
      <c r="BA17" s="24">
        <v>0.099</v>
      </c>
      <c r="BB17" s="20">
        <f>BG17*0.15</f>
        <v>46.35</v>
      </c>
      <c r="BC17" s="20">
        <v>41.03</v>
      </c>
      <c r="BD17" s="20">
        <v>2</v>
      </c>
      <c r="BE17" s="20">
        <f>SUM(BB17:BD17)</f>
        <v>89.38</v>
      </c>
      <c r="BF17" s="20">
        <f>BE17+L17/BA17</f>
        <v>112.61634347124</v>
      </c>
      <c r="BG17" s="22">
        <v>309</v>
      </c>
      <c r="BH17" s="20">
        <f>BG17*0.2</f>
        <v>61.8</v>
      </c>
      <c r="BI17" s="20">
        <f>BG17-BH17-BF17</f>
        <v>134.58365652876</v>
      </c>
      <c r="BJ17" s="23">
        <f>BI17/BG17</f>
        <v>0.435545814008933</v>
      </c>
      <c r="BK17" s="19">
        <v>0.214</v>
      </c>
      <c r="BL17" s="20">
        <v>6.75</v>
      </c>
      <c r="BM17" s="20">
        <v>6.75</v>
      </c>
      <c r="BN17" s="20">
        <v>0.8</v>
      </c>
      <c r="BO17" s="25">
        <f>SUM(BL17:BN17)</f>
        <v>14.3</v>
      </c>
      <c r="BP17" s="26">
        <f>BO17+L17/BK17</f>
        <v>25.0495233815548</v>
      </c>
      <c r="BQ17" s="22">
        <v>49.9</v>
      </c>
      <c r="BR17" s="27">
        <f>BQ17*0.187</f>
        <v>9.3313</v>
      </c>
      <c r="BS17" s="28">
        <f>BQ17-BR17-BP17</f>
        <v>15.5191766184452</v>
      </c>
      <c r="BT17" s="23">
        <f>BS17/BQ17</f>
        <v>0.311005543455815</v>
      </c>
    </row>
    <row r="18" s="3" customFormat="1" spans="1:72">
      <c r="A18" s="19" t="s">
        <v>186</v>
      </c>
      <c r="B18" s="19">
        <v>1216</v>
      </c>
      <c r="C18" s="19">
        <v>6.8</v>
      </c>
      <c r="D18" s="19">
        <v>19.5</v>
      </c>
      <c r="E18" s="20">
        <f t="shared" ref="E18:E20" si="17">4118*I18</f>
        <v>1539.34460498002</v>
      </c>
      <c r="F18" s="20">
        <f t="shared" ref="F18:F20" si="18">1525.72*C18*I18</f>
        <v>3878.22733968644</v>
      </c>
      <c r="G18" s="19">
        <f t="shared" ref="G18:G20" si="19">397.14*C18*I18</f>
        <v>1009.49008054104</v>
      </c>
      <c r="H18" s="19">
        <f>B18*2</f>
        <v>2432</v>
      </c>
      <c r="I18" s="21">
        <f t="shared" ref="I18:I20" si="20">H18/6506</f>
        <v>0.373808791884414</v>
      </c>
      <c r="J18" s="20">
        <f t="shared" ref="J18:J20" si="21">(E18+F18+G18)/B18</f>
        <v>5.28541284967722</v>
      </c>
      <c r="K18" s="20">
        <f t="shared" ref="K18:K20" si="22">D18+J18</f>
        <v>24.7854128496772</v>
      </c>
      <c r="L18" s="20">
        <f t="shared" ref="L18:L20" si="23">K18/C18</f>
        <v>3.6449136543643</v>
      </c>
      <c r="M18" s="20">
        <f t="shared" ref="M18:M20" si="24">Q18*0.15</f>
        <v>3.885</v>
      </c>
      <c r="N18" s="19">
        <v>5.7</v>
      </c>
      <c r="O18" s="20">
        <v>0.2</v>
      </c>
      <c r="P18" s="20">
        <f t="shared" ref="P18:P20" si="25">SUM(M18:O18)</f>
        <v>9.785</v>
      </c>
      <c r="Q18" s="22">
        <v>25.9</v>
      </c>
      <c r="R18" s="20">
        <f t="shared" ref="R18:R20" si="26">Q18*0.16</f>
        <v>4.144</v>
      </c>
      <c r="S18" s="20">
        <f t="shared" ref="S18:S20" si="27">Q18-R18-P18-L18</f>
        <v>8.3260863456357</v>
      </c>
      <c r="T18" s="23">
        <f t="shared" ref="T18:T20" si="28">S18/Q18</f>
        <v>0.32147051527551</v>
      </c>
      <c r="U18" s="20">
        <f t="shared" ref="U18:U20" si="29">Y18*0.155</f>
        <v>5.4095</v>
      </c>
      <c r="V18" s="19">
        <v>8.95</v>
      </c>
      <c r="W18" s="20">
        <v>0.2</v>
      </c>
      <c r="X18" s="20">
        <f t="shared" ref="X18:X20" si="30">SUM(U18:W18)</f>
        <v>14.5595</v>
      </c>
      <c r="Y18" s="22">
        <v>34.9</v>
      </c>
      <c r="Z18" s="20">
        <f t="shared" ref="Z18:Z20" si="31">Y18/6</f>
        <v>5.81666666666667</v>
      </c>
      <c r="AA18" s="20">
        <f t="shared" ref="AA18:AA20" si="32">Y18-Z18-X18-L18</f>
        <v>10.878919678969</v>
      </c>
      <c r="AB18" s="23">
        <f t="shared" ref="AB18:AB20" si="33">AA18/Y18</f>
        <v>0.311716896245531</v>
      </c>
      <c r="AC18" s="20">
        <f t="shared" ref="AC18:AC20" si="34">AG18*0.155</f>
        <v>4.6345</v>
      </c>
      <c r="AD18" s="19">
        <v>7.28</v>
      </c>
      <c r="AE18" s="20">
        <v>0.2</v>
      </c>
      <c r="AF18" s="20">
        <f t="shared" ref="AF18:AF20" si="35">SUM(AC18:AE18)</f>
        <v>12.1145</v>
      </c>
      <c r="AG18" s="22">
        <v>29.9</v>
      </c>
      <c r="AH18" s="20">
        <f t="shared" ref="AH18:AH20" si="36">AG18*0.181</f>
        <v>5.4119</v>
      </c>
      <c r="AI18" s="20">
        <f t="shared" ref="AI18:AI20" si="37">AG18-AH18-AF18-L18</f>
        <v>8.7286863456357</v>
      </c>
      <c r="AJ18" s="23">
        <f t="shared" ref="AJ18:AJ20" si="38">AI18/AG18</f>
        <v>0.291929309218585</v>
      </c>
      <c r="AK18" s="20">
        <f t="shared" ref="AK18:AK20" si="39">AO18*0.155</f>
        <v>7.2695</v>
      </c>
      <c r="AL18" s="19">
        <v>12.87</v>
      </c>
      <c r="AM18" s="20">
        <v>0.2</v>
      </c>
      <c r="AN18" s="20">
        <f t="shared" ref="AN18:AN20" si="40">SUM(AK18:AM18)</f>
        <v>20.3395</v>
      </c>
      <c r="AO18" s="22">
        <v>46.9</v>
      </c>
      <c r="AP18" s="20">
        <f t="shared" ref="AP18:AP20" si="41">AO18*0.174</f>
        <v>8.1606</v>
      </c>
      <c r="AQ18" s="20">
        <f t="shared" ref="AQ18:AQ20" si="42">AO18-AP18-AN18-L18</f>
        <v>14.7549863456357</v>
      </c>
      <c r="AR18" s="23">
        <f t="shared" ref="AR18:AR20" si="43">AQ18/AO18</f>
        <v>0.31460525257219</v>
      </c>
      <c r="AS18" s="20">
        <f t="shared" ref="AS18:AS20" si="44">AW18*0.15</f>
        <v>3.885</v>
      </c>
      <c r="AT18" s="19">
        <v>5.5</v>
      </c>
      <c r="AU18" s="20">
        <v>0.2</v>
      </c>
      <c r="AV18" s="20">
        <f t="shared" ref="AV18:AV20" si="45">SUM(AS18:AU18)</f>
        <v>9.585</v>
      </c>
      <c r="AW18" s="22">
        <v>25.9</v>
      </c>
      <c r="AX18" s="20">
        <f t="shared" ref="AX18:AX20" si="46">AW18*0.174</f>
        <v>4.5066</v>
      </c>
      <c r="AY18" s="20">
        <f t="shared" ref="AY18:AY20" si="47">AW18-AX18-AV18-L18</f>
        <v>8.1634863456357</v>
      </c>
      <c r="AZ18" s="23">
        <f t="shared" ref="AZ18:AZ20" si="48">AY18/AW18</f>
        <v>0.315192522997518</v>
      </c>
      <c r="BA18" s="24">
        <v>0.099</v>
      </c>
      <c r="BB18" s="20">
        <f>BG18*0.15</f>
        <v>59.85</v>
      </c>
      <c r="BC18" s="19">
        <v>50.63</v>
      </c>
      <c r="BD18" s="20">
        <v>2</v>
      </c>
      <c r="BE18" s="20">
        <f t="shared" ref="BE18:BE20" si="49">SUM(BB18:BD18)</f>
        <v>112.48</v>
      </c>
      <c r="BF18" s="20">
        <f t="shared" ref="BF18:BF20" si="50">BE18+L18/BA18</f>
        <v>149.297309640043</v>
      </c>
      <c r="BG18" s="22">
        <v>399</v>
      </c>
      <c r="BH18" s="20">
        <f t="shared" ref="BH18:BH20" si="51">BG18*0.2</f>
        <v>79.8</v>
      </c>
      <c r="BI18" s="20">
        <f t="shared" ref="BI18:BI20" si="52">BG18-BH18-BF18</f>
        <v>169.902690359957</v>
      </c>
      <c r="BJ18" s="23">
        <f t="shared" ref="BJ18:BJ20" si="53">BI18/BG18</f>
        <v>0.425821279097636</v>
      </c>
      <c r="BK18" s="19">
        <v>0.214</v>
      </c>
      <c r="BL18" s="20">
        <v>6.88</v>
      </c>
      <c r="BM18" s="20">
        <v>6.83</v>
      </c>
      <c r="BN18" s="20">
        <v>0.8</v>
      </c>
      <c r="BO18" s="25">
        <f>SUM(BL18:BN18)</f>
        <v>14.51</v>
      </c>
      <c r="BP18" s="26">
        <f t="shared" ref="BP18:BP20" si="54">BO18+L18/BK18</f>
        <v>31.5423067960948</v>
      </c>
      <c r="BQ18" s="22">
        <v>62.9</v>
      </c>
      <c r="BR18" s="27">
        <f t="shared" ref="BR18:BR20" si="55">BQ18*0.187</f>
        <v>11.7623</v>
      </c>
      <c r="BS18" s="28">
        <f t="shared" ref="BS18:BS20" si="56">BQ18-BR18-BP18</f>
        <v>19.5953932039051</v>
      </c>
      <c r="BT18" s="23">
        <f>BS18/BQ18</f>
        <v>0.311532483368921</v>
      </c>
    </row>
    <row r="19" s="3" customFormat="1" spans="1:72">
      <c r="A19" s="19" t="s">
        <v>186</v>
      </c>
      <c r="B19" s="19">
        <v>380</v>
      </c>
      <c r="C19" s="19">
        <v>6.8</v>
      </c>
      <c r="D19" s="19">
        <v>26</v>
      </c>
      <c r="E19" s="20">
        <f t="shared" si="17"/>
        <v>721.567783584384</v>
      </c>
      <c r="F19" s="20">
        <f t="shared" si="18"/>
        <v>1817.91906547802</v>
      </c>
      <c r="G19" s="19">
        <f t="shared" si="19"/>
        <v>473.198475253612</v>
      </c>
      <c r="H19" s="19">
        <f>B19*3</f>
        <v>1140</v>
      </c>
      <c r="I19" s="21">
        <f t="shared" si="20"/>
        <v>0.175222871195819</v>
      </c>
      <c r="J19" s="20">
        <f t="shared" si="21"/>
        <v>7.92811927451583</v>
      </c>
      <c r="K19" s="20">
        <f t="shared" si="22"/>
        <v>33.9281192745158</v>
      </c>
      <c r="L19" s="20">
        <f t="shared" si="23"/>
        <v>4.98942930507586</v>
      </c>
      <c r="M19" s="20">
        <f t="shared" si="24"/>
        <v>4.635</v>
      </c>
      <c r="N19" s="19">
        <v>6.28</v>
      </c>
      <c r="O19" s="20">
        <v>0.2</v>
      </c>
      <c r="P19" s="20">
        <f t="shared" si="25"/>
        <v>11.115</v>
      </c>
      <c r="Q19" s="22">
        <v>30.9</v>
      </c>
      <c r="R19" s="20">
        <f t="shared" si="26"/>
        <v>4.944</v>
      </c>
      <c r="S19" s="20">
        <f t="shared" si="27"/>
        <v>9.85157069492414</v>
      </c>
      <c r="T19" s="23">
        <f t="shared" si="28"/>
        <v>0.31882105808816</v>
      </c>
      <c r="U19" s="20">
        <f t="shared" si="29"/>
        <v>7.2695</v>
      </c>
      <c r="V19" s="19">
        <v>15.61</v>
      </c>
      <c r="W19" s="20">
        <v>0.2</v>
      </c>
      <c r="X19" s="20">
        <f t="shared" si="30"/>
        <v>23.0795</v>
      </c>
      <c r="Y19" s="22">
        <v>46.9</v>
      </c>
      <c r="Z19" s="20">
        <f t="shared" si="31"/>
        <v>7.81666666666667</v>
      </c>
      <c r="AA19" s="20">
        <f t="shared" si="32"/>
        <v>11.0144040282575</v>
      </c>
      <c r="AB19" s="23">
        <f t="shared" si="33"/>
        <v>0.234848699962846</v>
      </c>
      <c r="AC19" s="20">
        <f t="shared" si="34"/>
        <v>7.5795</v>
      </c>
      <c r="AD19" s="19">
        <v>15.15</v>
      </c>
      <c r="AE19" s="20">
        <v>0.2</v>
      </c>
      <c r="AF19" s="20">
        <f t="shared" si="35"/>
        <v>22.9295</v>
      </c>
      <c r="AG19" s="22">
        <v>48.9</v>
      </c>
      <c r="AH19" s="20">
        <f t="shared" si="36"/>
        <v>8.8509</v>
      </c>
      <c r="AI19" s="20">
        <f t="shared" si="37"/>
        <v>12.1301706949241</v>
      </c>
      <c r="AJ19" s="23">
        <f t="shared" si="38"/>
        <v>0.248060750407447</v>
      </c>
      <c r="AK19" s="20">
        <f t="shared" si="39"/>
        <v>7.8895</v>
      </c>
      <c r="AL19" s="19">
        <v>15.15</v>
      </c>
      <c r="AM19" s="20">
        <v>0.2</v>
      </c>
      <c r="AN19" s="20">
        <f t="shared" si="40"/>
        <v>23.2395</v>
      </c>
      <c r="AO19" s="22">
        <v>50.9</v>
      </c>
      <c r="AP19" s="20">
        <f t="shared" si="41"/>
        <v>8.8566</v>
      </c>
      <c r="AQ19" s="20">
        <f t="shared" si="42"/>
        <v>13.8144706949241</v>
      </c>
      <c r="AR19" s="23">
        <f t="shared" si="43"/>
        <v>0.271404139389472</v>
      </c>
      <c r="AS19" s="20">
        <f t="shared" si="44"/>
        <v>7.485</v>
      </c>
      <c r="AT19" s="19">
        <v>15.15</v>
      </c>
      <c r="AU19" s="20">
        <v>0.2</v>
      </c>
      <c r="AV19" s="20">
        <f t="shared" si="45"/>
        <v>22.835</v>
      </c>
      <c r="AW19" s="22">
        <v>49.9</v>
      </c>
      <c r="AX19" s="20">
        <f t="shared" si="46"/>
        <v>8.6826</v>
      </c>
      <c r="AY19" s="20">
        <f t="shared" si="47"/>
        <v>13.3929706949241</v>
      </c>
      <c r="AZ19" s="23">
        <f t="shared" si="48"/>
        <v>0.268396206311105</v>
      </c>
      <c r="BA19" s="24">
        <v>0.099</v>
      </c>
      <c r="BB19" s="20">
        <f>BG19*0.15</f>
        <v>88.35</v>
      </c>
      <c r="BC19" s="19">
        <v>152.29</v>
      </c>
      <c r="BD19" s="20">
        <v>2</v>
      </c>
      <c r="BE19" s="20">
        <f t="shared" si="49"/>
        <v>242.64</v>
      </c>
      <c r="BF19" s="20">
        <f t="shared" si="50"/>
        <v>293.038275808847</v>
      </c>
      <c r="BG19" s="22">
        <v>589</v>
      </c>
      <c r="BH19" s="20">
        <f t="shared" si="51"/>
        <v>117.8</v>
      </c>
      <c r="BI19" s="20">
        <f t="shared" si="52"/>
        <v>178.161724191153</v>
      </c>
      <c r="BJ19" s="23">
        <f t="shared" si="53"/>
        <v>0.302481704908579</v>
      </c>
      <c r="BK19" s="19">
        <v>0.214</v>
      </c>
      <c r="BL19" s="20">
        <v>6.86</v>
      </c>
      <c r="BM19" s="20">
        <v>64.6</v>
      </c>
      <c r="BN19" s="20">
        <v>0.8</v>
      </c>
      <c r="BO19" s="25">
        <f>SUM(BL19:BN19)</f>
        <v>72.26</v>
      </c>
      <c r="BP19" s="26">
        <f t="shared" si="54"/>
        <v>95.5750902106348</v>
      </c>
      <c r="BQ19" s="22">
        <v>192.9</v>
      </c>
      <c r="BR19" s="27">
        <f t="shared" si="55"/>
        <v>36.0723</v>
      </c>
      <c r="BS19" s="28">
        <f t="shared" si="56"/>
        <v>61.2526097893652</v>
      </c>
      <c r="BT19" s="23">
        <f>BS19/BQ19</f>
        <v>0.317535561375662</v>
      </c>
    </row>
    <row r="20" s="3" customFormat="1" spans="1:72">
      <c r="A20" s="19" t="s">
        <v>186</v>
      </c>
      <c r="B20" s="19">
        <v>520</v>
      </c>
      <c r="C20" s="19">
        <v>6.8</v>
      </c>
      <c r="D20" s="19">
        <v>32</v>
      </c>
      <c r="E20" s="20">
        <f t="shared" si="17"/>
        <v>1316.54472794344</v>
      </c>
      <c r="F20" s="20">
        <f t="shared" si="18"/>
        <v>3316.90496157393</v>
      </c>
      <c r="G20" s="19">
        <f t="shared" si="19"/>
        <v>863.379674146941</v>
      </c>
      <c r="H20" s="19">
        <f>B20*4</f>
        <v>2080</v>
      </c>
      <c r="I20" s="21">
        <f t="shared" si="20"/>
        <v>0.319704887795881</v>
      </c>
      <c r="J20" s="20">
        <f t="shared" si="21"/>
        <v>10.5708256993544</v>
      </c>
      <c r="K20" s="20">
        <f t="shared" si="22"/>
        <v>42.5708256993544</v>
      </c>
      <c r="L20" s="20">
        <f t="shared" si="23"/>
        <v>6.26041554402271</v>
      </c>
      <c r="M20" s="20">
        <f t="shared" si="24"/>
        <v>5.235</v>
      </c>
      <c r="N20" s="19">
        <v>6.61</v>
      </c>
      <c r="O20" s="20">
        <v>0.2</v>
      </c>
      <c r="P20" s="20">
        <f t="shared" si="25"/>
        <v>12.045</v>
      </c>
      <c r="Q20" s="22">
        <v>34.9</v>
      </c>
      <c r="R20" s="20">
        <f t="shared" si="26"/>
        <v>5.584</v>
      </c>
      <c r="S20" s="20">
        <f t="shared" si="27"/>
        <v>11.0105844559773</v>
      </c>
      <c r="T20" s="23">
        <f t="shared" si="28"/>
        <v>0.315489525959235</v>
      </c>
      <c r="U20" s="20">
        <f t="shared" si="29"/>
        <v>9.2845</v>
      </c>
      <c r="V20" s="19">
        <v>16.46</v>
      </c>
      <c r="W20" s="20">
        <v>0.2</v>
      </c>
      <c r="X20" s="20">
        <f t="shared" si="30"/>
        <v>25.9445</v>
      </c>
      <c r="Y20" s="22">
        <v>59.9</v>
      </c>
      <c r="Z20" s="20">
        <f t="shared" si="31"/>
        <v>9.98333333333333</v>
      </c>
      <c r="AA20" s="20">
        <f t="shared" si="32"/>
        <v>17.7117511226439</v>
      </c>
      <c r="AB20" s="23">
        <f t="shared" si="33"/>
        <v>0.295688666488213</v>
      </c>
      <c r="AC20" s="20">
        <f t="shared" si="34"/>
        <v>9.2845</v>
      </c>
      <c r="AD20" s="19">
        <v>15.98</v>
      </c>
      <c r="AE20" s="20">
        <v>0.2</v>
      </c>
      <c r="AF20" s="20">
        <f t="shared" si="35"/>
        <v>25.4645</v>
      </c>
      <c r="AG20" s="22">
        <v>59.9</v>
      </c>
      <c r="AH20" s="20">
        <f t="shared" si="36"/>
        <v>10.8419</v>
      </c>
      <c r="AI20" s="20">
        <f t="shared" si="37"/>
        <v>17.3331844559773</v>
      </c>
      <c r="AJ20" s="23">
        <f t="shared" si="38"/>
        <v>0.289368688747534</v>
      </c>
      <c r="AK20" s="20">
        <f t="shared" si="39"/>
        <v>9.7495</v>
      </c>
      <c r="AL20" s="19">
        <v>15.98</v>
      </c>
      <c r="AM20" s="20">
        <v>0.2</v>
      </c>
      <c r="AN20" s="20">
        <f t="shared" si="40"/>
        <v>25.9295</v>
      </c>
      <c r="AO20" s="22">
        <v>62.9</v>
      </c>
      <c r="AP20" s="20">
        <f t="shared" si="41"/>
        <v>10.9446</v>
      </c>
      <c r="AQ20" s="20">
        <f t="shared" si="42"/>
        <v>19.7654844559773</v>
      </c>
      <c r="AR20" s="23">
        <f t="shared" si="43"/>
        <v>0.314236636819989</v>
      </c>
      <c r="AS20" s="20">
        <f t="shared" si="44"/>
        <v>9.285</v>
      </c>
      <c r="AT20" s="19">
        <v>15.98</v>
      </c>
      <c r="AU20" s="20">
        <v>0.2</v>
      </c>
      <c r="AV20" s="20">
        <f t="shared" si="45"/>
        <v>25.465</v>
      </c>
      <c r="AW20" s="22">
        <v>61.9</v>
      </c>
      <c r="AX20" s="20">
        <f t="shared" si="46"/>
        <v>10.7706</v>
      </c>
      <c r="AY20" s="20">
        <f t="shared" si="47"/>
        <v>19.4039844559773</v>
      </c>
      <c r="AZ20" s="23">
        <f t="shared" si="48"/>
        <v>0.313473092988325</v>
      </c>
      <c r="BA20" s="24">
        <v>0.099</v>
      </c>
      <c r="BB20" s="20">
        <f>BG20*0.15</f>
        <v>97.35</v>
      </c>
      <c r="BC20" s="19">
        <v>160.6</v>
      </c>
      <c r="BD20" s="20">
        <v>2</v>
      </c>
      <c r="BE20" s="20">
        <f t="shared" si="49"/>
        <v>259.95</v>
      </c>
      <c r="BF20" s="20">
        <f t="shared" si="50"/>
        <v>323.186520646694</v>
      </c>
      <c r="BG20" s="22">
        <v>649</v>
      </c>
      <c r="BH20" s="20">
        <f t="shared" si="51"/>
        <v>129.8</v>
      </c>
      <c r="BI20" s="20">
        <f t="shared" si="52"/>
        <v>196.013479353306</v>
      </c>
      <c r="BJ20" s="23">
        <f t="shared" si="53"/>
        <v>0.302023851083676</v>
      </c>
      <c r="BK20" s="19">
        <v>0.214</v>
      </c>
      <c r="BL20" s="20">
        <v>7.01</v>
      </c>
      <c r="BM20" s="20">
        <v>67.88</v>
      </c>
      <c r="BN20" s="20">
        <v>0.8</v>
      </c>
      <c r="BO20" s="25">
        <f>SUM(BL20:BN20)</f>
        <v>75.69</v>
      </c>
      <c r="BP20" s="26">
        <f t="shared" si="54"/>
        <v>104.944278243097</v>
      </c>
      <c r="BQ20" s="22">
        <v>211.9</v>
      </c>
      <c r="BR20" s="27">
        <f t="shared" si="55"/>
        <v>39.6253</v>
      </c>
      <c r="BS20" s="28">
        <f t="shared" si="56"/>
        <v>67.3304217569032</v>
      </c>
      <c r="BT20" s="23">
        <f>BS20/BQ20</f>
        <v>0.317746209329416</v>
      </c>
    </row>
    <row r="22" spans="1:72">
      <c r="A22" s="16" t="s">
        <v>215</v>
      </c>
    </row>
    <row r="23" s="4" customFormat="1" ht="28.5" spans="1:72">
      <c r="A23" s="5" t="s">
        <v>1</v>
      </c>
      <c r="B23" s="5" t="s">
        <v>163</v>
      </c>
      <c r="C23" s="5" t="s">
        <v>164</v>
      </c>
      <c r="D23" s="5" t="s">
        <v>165</v>
      </c>
      <c r="E23" s="5" t="s">
        <v>166</v>
      </c>
      <c r="F23" s="5" t="s">
        <v>167</v>
      </c>
      <c r="G23" s="5" t="s">
        <v>168</v>
      </c>
      <c r="H23" s="5" t="s">
        <v>123</v>
      </c>
      <c r="I23" s="5" t="s">
        <v>169</v>
      </c>
      <c r="J23" s="5" t="s">
        <v>170</v>
      </c>
      <c r="K23" s="5" t="s">
        <v>171</v>
      </c>
      <c r="L23" s="5" t="s">
        <v>172</v>
      </c>
      <c r="M23" s="6" t="s">
        <v>198</v>
      </c>
      <c r="N23" s="6" t="s">
        <v>174</v>
      </c>
      <c r="O23" s="6" t="s">
        <v>175</v>
      </c>
      <c r="P23" s="6" t="s">
        <v>49</v>
      </c>
      <c r="Q23" s="7" t="s">
        <v>176</v>
      </c>
      <c r="R23" s="8" t="s">
        <v>56</v>
      </c>
      <c r="S23" s="8" t="s">
        <v>178</v>
      </c>
      <c r="T23" s="9" t="s">
        <v>179</v>
      </c>
      <c r="U23" s="9" t="s">
        <v>216</v>
      </c>
      <c r="V23" s="9" t="s">
        <v>181</v>
      </c>
      <c r="W23" s="9" t="s">
        <v>182</v>
      </c>
    </row>
    <row r="24" s="4" customFormat="1" spans="1:72">
      <c r="A24" t="s">
        <v>217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="4" customFormat="1" spans="1:72">
      <c r="A25" s="10" t="s">
        <v>186</v>
      </c>
      <c r="B25" s="10">
        <v>306</v>
      </c>
      <c r="C25" s="10">
        <v>6.3</v>
      </c>
      <c r="D25" s="10">
        <v>10</v>
      </c>
      <c r="E25" s="11">
        <f>1251*I25</f>
        <v>150.653688228889</v>
      </c>
      <c r="F25" s="11">
        <f>806.35*C25*I25</f>
        <v>611.767777355075</v>
      </c>
      <c r="G25" s="10">
        <f>669.58*C25*I25</f>
        <v>508.002069028847</v>
      </c>
      <c r="H25" s="10">
        <f>B25*0.9</f>
        <v>275.4</v>
      </c>
      <c r="I25" s="12">
        <f>H25/2286.87</f>
        <v>0.120426609295675</v>
      </c>
      <c r="J25" s="11">
        <f>(E25+F25+G25)/B25</f>
        <v>4.15171089742749</v>
      </c>
      <c r="K25" s="13">
        <f>D25+J25</f>
        <v>14.1517108974275</v>
      </c>
      <c r="L25" s="13">
        <f>K25/C25</f>
        <v>2.24630331705198</v>
      </c>
      <c r="M25" s="11">
        <f>Q25*0.15</f>
        <v>2.085</v>
      </c>
      <c r="N25" s="10">
        <v>5.79</v>
      </c>
      <c r="O25" s="10">
        <v>0.3</v>
      </c>
      <c r="P25" s="11">
        <f>SUM(M25:O25)</f>
        <v>8.175</v>
      </c>
      <c r="Q25" s="14">
        <v>13.9</v>
      </c>
      <c r="R25" s="13">
        <f>Q25-P25-L25</f>
        <v>3.47869668294802</v>
      </c>
      <c r="S25" s="15">
        <f>R25/Q25</f>
        <v>0.250265948413526</v>
      </c>
      <c r="T25" s="11">
        <f>Q25*0.85</f>
        <v>11.815</v>
      </c>
      <c r="U25" s="11">
        <f>T25*0.15</f>
        <v>1.77225</v>
      </c>
      <c r="V25" s="13">
        <f>T25-U25-N25-O25-L25</f>
        <v>1.70644668294802</v>
      </c>
      <c r="W25" s="12">
        <f>V25/T25</f>
        <v>0.144430527545325</v>
      </c>
    </row>
    <row r="26" s="4" customFormat="1" spans="1:72">
      <c r="A26" s="10" t="s">
        <v>186</v>
      </c>
      <c r="B26" s="10">
        <v>225</v>
      </c>
      <c r="C26" s="10">
        <v>6.3</v>
      </c>
      <c r="D26" s="10">
        <v>16</v>
      </c>
      <c r="E26" s="11">
        <f t="shared" ref="E26:E29" si="57">1251*I26</f>
        <v>222.780372299256</v>
      </c>
      <c r="F26" s="11">
        <f t="shared" ref="F26:F29" si="58">806.35*C26*I26</f>
        <v>904.656598866573</v>
      </c>
      <c r="G26" s="10">
        <f t="shared" ref="G26:G29" si="59">669.58*C26*I26</f>
        <v>751.212209920109</v>
      </c>
      <c r="H26" s="10">
        <f>B26*1.81</f>
        <v>407.25</v>
      </c>
      <c r="I26" s="12">
        <f t="shared" ref="I26:I29" si="60">H26/2286.87</f>
        <v>0.178081832373506</v>
      </c>
      <c r="J26" s="11">
        <f t="shared" ref="J26:J29" si="61">(E26+F26+G26)/B26</f>
        <v>8.34955191593751</v>
      </c>
      <c r="K26" s="13">
        <f t="shared" ref="K26:K29" si="62">D26+J26</f>
        <v>24.3495519159375</v>
      </c>
      <c r="L26" s="13">
        <f t="shared" ref="L26:L29" si="63">K26/C26</f>
        <v>3.865008240625</v>
      </c>
      <c r="M26" s="11">
        <f t="shared" ref="M26:M29" si="64">Q26*0.15</f>
        <v>2.685</v>
      </c>
      <c r="N26" s="10">
        <v>6.43</v>
      </c>
      <c r="O26" s="10">
        <v>0.3</v>
      </c>
      <c r="P26" s="11">
        <f t="shared" ref="P26:P29" si="65">SUM(M26:O26)</f>
        <v>9.415</v>
      </c>
      <c r="Q26" s="14">
        <v>17.9</v>
      </c>
      <c r="R26" s="13">
        <f t="shared" ref="R26:R29" si="66">Q26-P26-L26</f>
        <v>4.619991759375</v>
      </c>
      <c r="S26" s="15">
        <f>R26/Q26</f>
        <v>0.258100098289106</v>
      </c>
      <c r="T26" s="11">
        <f>Q26*0.85</f>
        <v>15.215</v>
      </c>
      <c r="U26" s="11">
        <f t="shared" ref="U26:U29" si="67">T26*0.15</f>
        <v>2.28225</v>
      </c>
      <c r="V26" s="13">
        <f>T26-U26-N26-O26-L26</f>
        <v>2.337741759375</v>
      </c>
      <c r="W26" s="12">
        <f t="shared" ref="W26:W29" si="68">V26/T26</f>
        <v>0.153647174457772</v>
      </c>
    </row>
    <row r="27" s="4" customFormat="1" spans="1:72">
      <c r="A27" s="10" t="s">
        <v>186</v>
      </c>
      <c r="B27" s="10">
        <v>216</v>
      </c>
      <c r="C27" s="10">
        <v>6.3</v>
      </c>
      <c r="D27" s="10">
        <v>18</v>
      </c>
      <c r="E27" s="11">
        <f t="shared" si="57"/>
        <v>321.394534888297</v>
      </c>
      <c r="F27" s="11">
        <f t="shared" si="58"/>
        <v>1305.10459169083</v>
      </c>
      <c r="G27" s="10">
        <f t="shared" si="59"/>
        <v>1083.73774726154</v>
      </c>
      <c r="H27" s="10">
        <f>B27*2.72</f>
        <v>587.52</v>
      </c>
      <c r="I27" s="12">
        <f t="shared" si="60"/>
        <v>0.256910099830773</v>
      </c>
      <c r="J27" s="11">
        <f t="shared" si="61"/>
        <v>12.5473929344475</v>
      </c>
      <c r="K27" s="13">
        <f t="shared" si="62"/>
        <v>30.5473929344475</v>
      </c>
      <c r="L27" s="13">
        <f t="shared" si="63"/>
        <v>4.84879252927739</v>
      </c>
      <c r="M27" s="11">
        <f t="shared" si="64"/>
        <v>3.135</v>
      </c>
      <c r="N27" s="10">
        <v>7.03</v>
      </c>
      <c r="O27" s="10">
        <v>0.3</v>
      </c>
      <c r="P27" s="11">
        <f t="shared" si="65"/>
        <v>10.465</v>
      </c>
      <c r="Q27" s="14">
        <v>20.9</v>
      </c>
      <c r="R27" s="13">
        <f t="shared" si="66"/>
        <v>5.58620747072261</v>
      </c>
      <c r="S27" s="15">
        <f>R27/Q27</f>
        <v>0.26728265410156</v>
      </c>
      <c r="T27" s="11">
        <f>Q27*0.85</f>
        <v>17.765</v>
      </c>
      <c r="U27" s="11">
        <f t="shared" si="67"/>
        <v>2.66475</v>
      </c>
      <c r="V27" s="13">
        <f>T27-U27-N27-O27-L27</f>
        <v>2.92145747072261</v>
      </c>
      <c r="W27" s="12">
        <f t="shared" si="68"/>
        <v>0.164450181295953</v>
      </c>
    </row>
    <row r="28" s="4" customFormat="1" spans="1:72">
      <c r="A28" s="10" t="s">
        <v>186</v>
      </c>
      <c r="B28" s="10">
        <v>130</v>
      </c>
      <c r="C28" s="10">
        <v>6.3</v>
      </c>
      <c r="D28" s="10">
        <v>21</v>
      </c>
      <c r="E28" s="11">
        <f t="shared" si="57"/>
        <v>258.146243555602</v>
      </c>
      <c r="F28" s="11">
        <f t="shared" si="58"/>
        <v>1048.26875139383</v>
      </c>
      <c r="G28" s="10">
        <f t="shared" si="59"/>
        <v>870.465418935051</v>
      </c>
      <c r="H28" s="10">
        <f>B28*3.63</f>
        <v>471.9</v>
      </c>
      <c r="I28" s="12">
        <f t="shared" si="60"/>
        <v>0.206351913313831</v>
      </c>
      <c r="J28" s="11">
        <f t="shared" si="61"/>
        <v>16.7452339529575</v>
      </c>
      <c r="K28" s="13">
        <f t="shared" si="62"/>
        <v>37.7452339529575</v>
      </c>
      <c r="L28" s="13">
        <f t="shared" si="63"/>
        <v>5.99130697665993</v>
      </c>
      <c r="M28" s="11">
        <f t="shared" si="64"/>
        <v>3.585</v>
      </c>
      <c r="N28" s="10">
        <v>7.63</v>
      </c>
      <c r="O28" s="10">
        <v>0.3</v>
      </c>
      <c r="P28" s="11">
        <f t="shared" si="65"/>
        <v>11.515</v>
      </c>
      <c r="Q28" s="14">
        <v>23.9</v>
      </c>
      <c r="R28" s="13">
        <f t="shared" si="66"/>
        <v>6.39369302334007</v>
      </c>
      <c r="S28" s="15">
        <f>R28/Q28</f>
        <v>0.267518536541426</v>
      </c>
      <c r="T28" s="11">
        <f>Q28*0.85</f>
        <v>20.315</v>
      </c>
      <c r="U28" s="11">
        <f t="shared" si="67"/>
        <v>3.04725</v>
      </c>
      <c r="V28" s="13">
        <f>T28-U28-N28-O28-L28</f>
        <v>3.34644302334007</v>
      </c>
      <c r="W28" s="12">
        <f t="shared" si="68"/>
        <v>0.164727690048736</v>
      </c>
    </row>
    <row r="29" s="4" customFormat="1" spans="1:72">
      <c r="A29" s="10" t="s">
        <v>186</v>
      </c>
      <c r="B29" s="10">
        <v>120</v>
      </c>
      <c r="C29" s="10">
        <v>6.3</v>
      </c>
      <c r="D29" s="10">
        <v>26</v>
      </c>
      <c r="E29" s="11">
        <f t="shared" si="57"/>
        <v>298.025161027955</v>
      </c>
      <c r="F29" s="11">
        <f t="shared" si="58"/>
        <v>1210.2072806937</v>
      </c>
      <c r="G29" s="10">
        <f t="shared" si="59"/>
        <v>1004.93655485445</v>
      </c>
      <c r="H29" s="10">
        <f>B29*4.54</f>
        <v>544.8</v>
      </c>
      <c r="I29" s="12">
        <f t="shared" si="60"/>
        <v>0.238229545186215</v>
      </c>
      <c r="J29" s="11">
        <f t="shared" si="61"/>
        <v>20.9430749714675</v>
      </c>
      <c r="K29" s="13">
        <f t="shared" si="62"/>
        <v>46.9430749714676</v>
      </c>
      <c r="L29" s="13">
        <f t="shared" si="63"/>
        <v>7.45128174150279</v>
      </c>
      <c r="M29" s="11">
        <f t="shared" si="64"/>
        <v>4.035</v>
      </c>
      <c r="N29" s="10">
        <v>8.23</v>
      </c>
      <c r="O29" s="10">
        <v>0.3</v>
      </c>
      <c r="P29" s="11">
        <f t="shared" si="65"/>
        <v>12.565</v>
      </c>
      <c r="Q29" s="14">
        <v>26.9</v>
      </c>
      <c r="R29" s="13">
        <f t="shared" si="66"/>
        <v>6.88371825849721</v>
      </c>
      <c r="S29" s="15">
        <f>R29/Q29</f>
        <v>0.255900307007331</v>
      </c>
      <c r="T29" s="11">
        <f>Q29*0.85</f>
        <v>22.865</v>
      </c>
      <c r="U29" s="11">
        <f t="shared" si="67"/>
        <v>3.42975</v>
      </c>
      <c r="V29" s="13">
        <f>T29-U29-N29-O29-L29</f>
        <v>3.45396825849721</v>
      </c>
      <c r="W29" s="12">
        <f t="shared" si="68"/>
        <v>0.151059184714507</v>
      </c>
    </row>
    <row r="34" spans="6:11">
      <c r="F34" s="29"/>
      <c r="G34" s="29"/>
      <c r="H34" s="29"/>
      <c r="I34" s="29"/>
      <c r="J34" s="29"/>
      <c r="K34" s="29"/>
    </row>
    <row r="35" spans="6:11">
      <c r="F35" s="29"/>
      <c r="G35" s="29"/>
      <c r="H35" s="29"/>
      <c r="I35" s="29"/>
      <c r="J35" s="29"/>
      <c r="K35" s="29"/>
    </row>
    <row r="36" spans="6:11">
      <c r="F36" s="29"/>
      <c r="G36" s="29"/>
      <c r="H36" s="29"/>
      <c r="I36" s="29"/>
      <c r="J36" s="29"/>
      <c r="K36" s="29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3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41" interlineOnOff="0" interlineColor="0" isDbSheet="0" isDashBoardSheet="0" isDbDashBoardSheet="0" isFlexPaperSheet="0">
      <cellprotection/>
      <appEtDbRelations/>
    </woSheetProps>
  </woSheetsProps>
  <woBookProps>
    <bookSettings fileId="EZPSZPYEUMZAWQEW:4151291917146809985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3"/>
  <pixelatorList sheetStid="17"/>
  <pixelatorList sheetStid="41"/>
  <pixelatorList sheetStid="4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产品日报</vt:lpstr>
      <vt:lpstr>发货批次</vt:lpstr>
      <vt:lpstr>批次利润模型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林浩丰</dc:creator>
  <cp:lastModifiedBy>家国</cp:lastModifiedBy>
  <dcterms:created xsi:type="dcterms:W3CDTF">2020-08-18T19:38:00Z</dcterms:created>
  <dcterms:modified xsi:type="dcterms:W3CDTF">2024-03-14T09:34:00Z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5E52846296064F38AB5ABD11842D2106_12</vt:lpwstr>
  </property>
  <property fmtid="{D5CDD505-2E9C-101B-9397-08002B2CF9AE}" pid="3" name="KSOProductBuildVer">
    <vt:lpwstr>2052-12.9.0.24132</vt:lpwstr>
  </property>
  <property fmtid="{D5CDD505-2E9C-101B-9397-08002B2CF9AE}" pid="4" name="CalculationRule">
    <vt:i4>0</vt:i4>
  </property>
</Properties>
</file>