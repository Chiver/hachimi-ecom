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4240" windowHeight="12540"/>
  </bookViews>
  <sheets>
    <sheet name="立项审批表" sheetId="5" r:id="rId1"/>
  </sheets>
  <calcPr calcId="124519"/>
</workbook>
</file>

<file path=xl/calcChain.xml><?xml version="1.0" encoding="utf-8"?>
<calcChain xmlns="http://schemas.openxmlformats.org/spreadsheetml/2006/main">
  <c r="H2" i="5"/>
  <c r="G5"/>
  <c r="I5" s="1"/>
  <c r="G2"/>
  <c r="L5" l="1"/>
  <c r="M5"/>
  <c r="J2"/>
  <c r="L2" s="1"/>
  <c r="I2"/>
</calcChain>
</file>

<file path=xl/sharedStrings.xml><?xml version="1.0" encoding="utf-8"?>
<sst xmlns="http://schemas.openxmlformats.org/spreadsheetml/2006/main" count="22" uniqueCount="22">
  <si>
    <t>亚马逊销售所得</t>
  </si>
  <si>
    <t>汇率</t>
  </si>
  <si>
    <t>采购数量</t>
  </si>
  <si>
    <t>总采购成本</t>
  </si>
  <si>
    <t>单个利润金额</t>
  </si>
  <si>
    <t>总盈利情况</t>
  </si>
  <si>
    <r>
      <t>退货占比</t>
    </r>
    <r>
      <rPr>
        <sz val="11"/>
        <color theme="1"/>
        <rFont val="Tahoma"/>
        <family val="2"/>
      </rPr>
      <t>3%</t>
    </r>
  </si>
  <si>
    <t>扣除费用盈利情况</t>
  </si>
  <si>
    <t>总头程费用</t>
  </si>
  <si>
    <t>总所得</t>
  </si>
  <si>
    <t>销售单价</t>
  </si>
  <si>
    <t>平台佣金</t>
  </si>
  <si>
    <t>尾派</t>
  </si>
  <si>
    <t>单个销售RMB所得</t>
  </si>
  <si>
    <t>单个采购成本</t>
  </si>
  <si>
    <t>单个运费</t>
  </si>
  <si>
    <t>单个销售所得</t>
  </si>
  <si>
    <t>销售x个时为平衡点</t>
  </si>
  <si>
    <t>总结</t>
  </si>
  <si>
    <t>盈亏平衡计算</t>
    <phoneticPr fontId="3" type="noConversion"/>
  </si>
  <si>
    <r>
      <t>刷单</t>
    </r>
    <r>
      <rPr>
        <sz val="11"/>
        <color theme="1"/>
        <rFont val="Tahoma"/>
        <family val="2"/>
      </rPr>
      <t>+</t>
    </r>
    <r>
      <rPr>
        <sz val="11"/>
        <color theme="1"/>
        <rFont val="宋体"/>
        <family val="3"/>
        <charset val="134"/>
      </rPr>
      <t>广告占比</t>
    </r>
    <r>
      <rPr>
        <sz val="11"/>
        <color theme="1"/>
        <rFont val="Tahoma"/>
        <family val="2"/>
      </rPr>
      <t>15%</t>
    </r>
    <phoneticPr fontId="3" type="noConversion"/>
  </si>
  <si>
    <r>
      <t>销售</t>
    </r>
    <r>
      <rPr>
        <sz val="11"/>
        <color theme="1"/>
        <rFont val="Tahoma"/>
        <family val="2"/>
      </rPr>
      <t>3300</t>
    </r>
    <r>
      <rPr>
        <sz val="11"/>
        <color theme="1"/>
        <rFont val="宋体"/>
        <family val="3"/>
        <charset val="134"/>
      </rPr>
      <t>个的时候收回付出共计的30.6万前期付出成本，完成1W个的销售任务，公司的利润约为50.9W</t>
    </r>
    <phoneticPr fontId="3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</si>
</sst>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Tahoma"/>
      <charset val="134"/>
    </font>
    <font>
      <sz val="11"/>
      <color theme="1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selection activeCell="I15" sqref="I15"/>
    </sheetView>
  </sheetViews>
  <sheetFormatPr defaultColWidth="9" defaultRowHeight="14.25"/>
  <cols>
    <col min="1" max="1" width="3.75" style="1" customWidth="1"/>
    <col min="2" max="2" width="9.25" style="1" customWidth="1"/>
    <col min="3" max="3" width="2.125" style="1" customWidth="1"/>
    <col min="4" max="7" width="15" style="1" customWidth="1"/>
    <col min="8" max="8" width="17" style="1" customWidth="1"/>
    <col min="9" max="13" width="15" style="1" customWidth="1"/>
    <col min="14" max="16384" width="9" style="1"/>
  </cols>
  <sheetData>
    <row r="1" spans="1:13">
      <c r="A1" s="5" t="s">
        <v>19</v>
      </c>
      <c r="B1" s="5"/>
      <c r="C1" s="5"/>
      <c r="D1" s="2" t="s">
        <v>2</v>
      </c>
      <c r="E1" s="2" t="s">
        <v>3</v>
      </c>
      <c r="F1" s="2" t="s">
        <v>4</v>
      </c>
      <c r="G1" s="3" t="s">
        <v>5</v>
      </c>
      <c r="H1" s="3" t="s">
        <v>20</v>
      </c>
      <c r="I1" s="3" t="s">
        <v>6</v>
      </c>
      <c r="J1" s="4" t="s">
        <v>7</v>
      </c>
      <c r="K1" s="2" t="s">
        <v>8</v>
      </c>
      <c r="L1" s="9" t="s">
        <v>9</v>
      </c>
      <c r="M1" s="10"/>
    </row>
    <row r="2" spans="1:13">
      <c r="A2" s="5"/>
      <c r="B2" s="5"/>
      <c r="C2" s="5"/>
      <c r="D2" s="7">
        <v>10000</v>
      </c>
      <c r="E2" s="7">
        <v>246000</v>
      </c>
      <c r="F2" s="7">
        <v>62.11</v>
      </c>
      <c r="G2" s="11">
        <f>D2*F2</f>
        <v>621100</v>
      </c>
      <c r="H2" s="11">
        <f>G2*0.15</f>
        <v>93165</v>
      </c>
      <c r="I2" s="11">
        <f>G2*0.03</f>
        <v>18633</v>
      </c>
      <c r="J2" s="11">
        <f>G2-H2-I2</f>
        <v>509302</v>
      </c>
      <c r="K2" s="7">
        <v>60000</v>
      </c>
      <c r="L2" s="16">
        <f>J2-K2</f>
        <v>449302</v>
      </c>
      <c r="M2" s="17"/>
    </row>
    <row r="3" spans="1:13">
      <c r="A3" s="5"/>
      <c r="B3" s="5"/>
      <c r="C3" s="5"/>
      <c r="D3" s="8"/>
      <c r="E3" s="8"/>
      <c r="F3" s="8"/>
      <c r="G3" s="12"/>
      <c r="H3" s="12"/>
      <c r="I3" s="12"/>
      <c r="J3" s="12"/>
      <c r="K3" s="8"/>
      <c r="L3" s="18"/>
      <c r="M3" s="19"/>
    </row>
    <row r="4" spans="1:13">
      <c r="A4" s="5"/>
      <c r="B4" s="5"/>
      <c r="C4" s="5"/>
      <c r="D4" s="2" t="s">
        <v>10</v>
      </c>
      <c r="E4" s="2" t="s">
        <v>11</v>
      </c>
      <c r="F4" s="2" t="s">
        <v>12</v>
      </c>
      <c r="G4" s="3" t="s">
        <v>0</v>
      </c>
      <c r="H4" s="2" t="s">
        <v>1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</row>
    <row r="5" spans="1:13">
      <c r="A5" s="5"/>
      <c r="B5" s="5"/>
      <c r="C5" s="5"/>
      <c r="D5" s="6">
        <v>14.99</v>
      </c>
      <c r="E5" s="7">
        <v>0.15</v>
      </c>
      <c r="F5" s="7">
        <v>2.44</v>
      </c>
      <c r="G5" s="13">
        <f>D5*(1-E5)-F5</f>
        <v>10.301500000000001</v>
      </c>
      <c r="H5" s="6">
        <v>9</v>
      </c>
      <c r="I5" s="13">
        <f>G5*H5</f>
        <v>92.71350000000001</v>
      </c>
      <c r="J5" s="13">
        <v>24.6</v>
      </c>
      <c r="K5" s="13">
        <v>6</v>
      </c>
      <c r="L5" s="13">
        <f>I5-J5-K5</f>
        <v>62.113500000000016</v>
      </c>
      <c r="M5" s="13">
        <f>(E2+K2)/I5</f>
        <v>3300.4902198708924</v>
      </c>
    </row>
    <row r="6" spans="1:13">
      <c r="A6" s="5"/>
      <c r="B6" s="5"/>
      <c r="C6" s="5"/>
      <c r="D6" s="6"/>
      <c r="E6" s="8"/>
      <c r="F6" s="8"/>
      <c r="G6" s="13"/>
      <c r="H6" s="6"/>
      <c r="I6" s="13"/>
      <c r="J6" s="13"/>
      <c r="K6" s="13"/>
      <c r="L6" s="13"/>
      <c r="M6" s="13"/>
    </row>
    <row r="7" spans="1:13">
      <c r="A7" s="5"/>
      <c r="B7" s="5"/>
      <c r="C7" s="5"/>
      <c r="D7" s="2" t="s">
        <v>18</v>
      </c>
      <c r="E7" s="14" t="s">
        <v>21</v>
      </c>
      <c r="F7" s="15"/>
      <c r="G7" s="15"/>
      <c r="H7" s="15"/>
      <c r="I7" s="15"/>
      <c r="J7" s="15"/>
      <c r="K7" s="15"/>
      <c r="L7" s="15"/>
      <c r="M7" s="15"/>
    </row>
  </sheetData>
  <mergeCells count="22">
    <mergeCell ref="J2:J3"/>
    <mergeCell ref="J5:J6"/>
    <mergeCell ref="K2:K3"/>
    <mergeCell ref="K5:K6"/>
    <mergeCell ref="E7:M7"/>
    <mergeCell ref="E2:E3"/>
    <mergeCell ref="E5:E6"/>
    <mergeCell ref="H2:H3"/>
    <mergeCell ref="H5:H6"/>
    <mergeCell ref="L5:L6"/>
    <mergeCell ref="M5:M6"/>
    <mergeCell ref="L2:M3"/>
    <mergeCell ref="I2:I3"/>
    <mergeCell ref="I5:I6"/>
    <mergeCell ref="F2:F3"/>
    <mergeCell ref="F5:F6"/>
    <mergeCell ref="G2:G3"/>
    <mergeCell ref="G5:G6"/>
    <mergeCell ref="D2:D3"/>
    <mergeCell ref="D5:D6"/>
    <mergeCell ref="A1:C7"/>
    <mergeCell ref="L1:M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立项审批表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2008-09-11T17:22:00Z</dcterms:created>
  <dcterms:modified xsi:type="dcterms:W3CDTF">2022-07-11T09:22:48Z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