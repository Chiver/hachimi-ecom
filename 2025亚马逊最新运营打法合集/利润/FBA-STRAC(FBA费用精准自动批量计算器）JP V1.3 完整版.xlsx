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waku\Desktop\"/>
    </mc:Choice>
  </mc:AlternateContent>
  <bookViews>
    <workbookView xWindow="0" yWindow="0" windowWidth="20490" windowHeight="6870"/>
  </bookViews>
  <sheets>
    <sheet name="STRAC" sheetId="7" r:id="rId1"/>
    <sheet name="STRAC_Multiple Channel" sheetId="14" r:id="rId2"/>
    <sheet name="STRAC_Light and Small" sheetId="9" r:id="rId3"/>
    <sheet name="STRAC_Pretreatment" sheetId="12" r:id="rId4"/>
    <sheet name="STRAC_Labeling Service" sheetId="11" r:id="rId5"/>
    <sheet name="STRAC_Removal" sheetId="13" r:id="rId6"/>
  </sheets>
  <calcPr calcId="162913"/>
</workbook>
</file>

<file path=xl/calcChain.xml><?xml version="1.0" encoding="utf-8"?>
<calcChain xmlns="http://schemas.openxmlformats.org/spreadsheetml/2006/main">
  <c r="M4" i="9" l="1"/>
  <c r="N4" i="9"/>
  <c r="O4" i="9"/>
  <c r="P4" i="9"/>
  <c r="Q4" i="9"/>
  <c r="M5" i="9"/>
  <c r="N5" i="9" s="1"/>
  <c r="O5" i="9"/>
  <c r="P5" i="9" s="1"/>
  <c r="Q5" i="9"/>
  <c r="G4" i="9"/>
  <c r="H4" i="9" s="1"/>
  <c r="I4" i="9" s="1"/>
  <c r="G5" i="9"/>
  <c r="H5" i="9" s="1"/>
  <c r="I5" i="9" s="1"/>
  <c r="R6" i="14"/>
  <c r="S6" i="14"/>
  <c r="T6" i="14"/>
  <c r="U6" i="14"/>
  <c r="V6" i="14"/>
  <c r="R7" i="14"/>
  <c r="S7" i="14" s="1"/>
  <c r="T7" i="14"/>
  <c r="U7" i="14" s="1"/>
  <c r="V7" i="14"/>
  <c r="F6" i="14"/>
  <c r="I6" i="14" s="1"/>
  <c r="J6" i="14" s="1"/>
  <c r="G6" i="14"/>
  <c r="H6" i="14" s="1"/>
  <c r="M6" i="14"/>
  <c r="N6" i="14"/>
  <c r="F7" i="14"/>
  <c r="I7" i="14" s="1"/>
  <c r="J7" i="14" s="1"/>
  <c r="M7" i="14"/>
  <c r="N7" i="14" s="1"/>
  <c r="L6" i="7"/>
  <c r="M6" i="7" s="1"/>
  <c r="N6" i="7"/>
  <c r="O6" i="7"/>
  <c r="P6" i="7"/>
  <c r="L7" i="7"/>
  <c r="M7" i="7"/>
  <c r="N7" i="7"/>
  <c r="O7" i="7" s="1"/>
  <c r="P7" i="7"/>
  <c r="F6" i="7"/>
  <c r="G6" i="7" s="1"/>
  <c r="H6" i="7" s="1"/>
  <c r="F7" i="7"/>
  <c r="G7" i="7" s="1"/>
  <c r="H7" i="7" s="1"/>
  <c r="K6" i="14" l="1"/>
  <c r="L6" i="14" s="1"/>
  <c r="K7" i="14"/>
  <c r="L7" i="14" s="1"/>
  <c r="G7" i="14"/>
  <c r="H7" i="14" s="1"/>
  <c r="AD5" i="14" l="1"/>
  <c r="Y5" i="14"/>
  <c r="V5" i="14"/>
  <c r="R5" i="14"/>
  <c r="S5" i="14" s="1"/>
  <c r="M5" i="14"/>
  <c r="N5" i="14" s="1"/>
  <c r="F5" i="14"/>
  <c r="W5" i="14" s="1"/>
  <c r="Z5" i="14" s="1"/>
  <c r="AA5" i="14" s="1"/>
  <c r="I5" i="14" l="1"/>
  <c r="J5" i="14" s="1"/>
  <c r="X5" i="14"/>
  <c r="AB5" i="14" s="1"/>
  <c r="AC5" i="14" s="1"/>
  <c r="G5" i="14"/>
  <c r="H5" i="14" s="1"/>
  <c r="K5" i="14"/>
  <c r="L5" i="14" s="1"/>
  <c r="T5" i="14"/>
  <c r="U5" i="14" s="1"/>
  <c r="G3" i="9"/>
  <c r="H3" i="9" s="1"/>
  <c r="F5" i="7"/>
  <c r="S11" i="7"/>
  <c r="X11" i="7"/>
  <c r="S12" i="7"/>
  <c r="X12" i="7"/>
  <c r="R13" i="7"/>
  <c r="S13" i="7"/>
  <c r="X13" i="7"/>
  <c r="Q14" i="7"/>
  <c r="R14" i="7"/>
  <c r="S14" i="7"/>
  <c r="X14" i="7"/>
  <c r="Q15" i="7"/>
  <c r="S15" i="7"/>
  <c r="X15" i="7"/>
  <c r="S16" i="7"/>
  <c r="X16" i="7"/>
  <c r="S17" i="7"/>
  <c r="X17" i="7"/>
  <c r="S18" i="7"/>
  <c r="X18" i="7"/>
  <c r="S19" i="7"/>
  <c r="X19" i="7"/>
  <c r="S20" i="7"/>
  <c r="X20" i="7"/>
  <c r="S21" i="7"/>
  <c r="X21" i="7"/>
  <c r="S22" i="7"/>
  <c r="X22" i="7"/>
  <c r="S23" i="7"/>
  <c r="X23" i="7"/>
  <c r="S24" i="7"/>
  <c r="X24" i="7"/>
  <c r="S25" i="7"/>
  <c r="X25" i="7"/>
  <c r="S26" i="7"/>
  <c r="X26" i="7"/>
  <c r="S27" i="7"/>
  <c r="X27" i="7"/>
  <c r="S28" i="7"/>
  <c r="X28" i="7"/>
  <c r="S29" i="7"/>
  <c r="X29" i="7"/>
  <c r="S30" i="7"/>
  <c r="X30" i="7"/>
  <c r="S31" i="7"/>
  <c r="X31" i="7"/>
  <c r="S32" i="7"/>
  <c r="X32" i="7"/>
  <c r="S33" i="7"/>
  <c r="X33" i="7"/>
  <c r="S34" i="7"/>
  <c r="X34" i="7"/>
  <c r="S35" i="7"/>
  <c r="X35" i="7"/>
  <c r="S10" i="7"/>
  <c r="X10" i="7"/>
  <c r="S9" i="7"/>
  <c r="X9" i="7"/>
  <c r="S8" i="7"/>
  <c r="X8" i="7"/>
  <c r="S7" i="7"/>
  <c r="X7" i="7"/>
  <c r="V14" i="7" l="1"/>
  <c r="W14" i="7" s="1"/>
  <c r="R16" i="7"/>
  <c r="Q13" i="7"/>
  <c r="T13" i="7" s="1"/>
  <c r="U13" i="7" s="1"/>
  <c r="R12" i="7"/>
  <c r="Q16" i="7"/>
  <c r="T16" i="7" s="1"/>
  <c r="U16" i="7" s="1"/>
  <c r="R15" i="7"/>
  <c r="V15" i="7" s="1"/>
  <c r="W15" i="7" s="1"/>
  <c r="Q12" i="7"/>
  <c r="T12" i="7" s="1"/>
  <c r="U12" i="7" s="1"/>
  <c r="T14" i="7"/>
  <c r="U14" i="7" s="1"/>
  <c r="V13" i="7"/>
  <c r="W13" i="7" s="1"/>
  <c r="V16" i="7"/>
  <c r="W16" i="7" s="1"/>
  <c r="T15" i="7"/>
  <c r="U15" i="7" s="1"/>
  <c r="V12" i="7"/>
  <c r="W12" i="7" s="1"/>
  <c r="P5" i="7" l="1"/>
  <c r="S5" i="13" l="1"/>
  <c r="F5" i="13" s="1"/>
  <c r="K5" i="13" s="1"/>
  <c r="M5" i="13"/>
  <c r="S4" i="13"/>
  <c r="M4" i="13"/>
  <c r="F4" i="13"/>
  <c r="L4" i="13" s="1"/>
  <c r="S3" i="13"/>
  <c r="M3" i="13"/>
  <c r="R3" i="13"/>
  <c r="F3" i="13"/>
  <c r="K3" i="13" s="1"/>
  <c r="I4" i="13" l="1"/>
  <c r="I3" i="13"/>
  <c r="I5" i="13"/>
  <c r="G3" i="13"/>
  <c r="G5" i="13"/>
  <c r="H5" i="13" s="1"/>
  <c r="Z5" i="13" s="1"/>
  <c r="L3" i="13"/>
  <c r="L5" i="13"/>
  <c r="P5" i="13" s="1"/>
  <c r="Q5" i="13" s="1"/>
  <c r="G4" i="13"/>
  <c r="AC5" i="13"/>
  <c r="AD5" i="13"/>
  <c r="N3" i="13"/>
  <c r="O3" i="13" s="1"/>
  <c r="P4" i="13"/>
  <c r="Q4" i="13" s="1"/>
  <c r="N5" i="13"/>
  <c r="O5" i="13" s="1"/>
  <c r="K4" i="13"/>
  <c r="AA5" i="12"/>
  <c r="F5" i="12" s="1"/>
  <c r="U5" i="12"/>
  <c r="R5" i="12"/>
  <c r="AA4" i="12"/>
  <c r="U4" i="12"/>
  <c r="R4" i="12"/>
  <c r="F4" i="12"/>
  <c r="T4" i="12" s="1"/>
  <c r="AA3" i="12"/>
  <c r="U3" i="12"/>
  <c r="R3" i="12"/>
  <c r="Z3" i="12" s="1"/>
  <c r="F3" i="12"/>
  <c r="T3" i="12" s="1"/>
  <c r="Q5" i="11"/>
  <c r="F5" i="11" s="1"/>
  <c r="G5" i="11" s="1"/>
  <c r="H5" i="11" s="1"/>
  <c r="K5" i="11"/>
  <c r="Q4" i="11"/>
  <c r="K4" i="11"/>
  <c r="F4" i="11"/>
  <c r="J4" i="11" s="1"/>
  <c r="N4" i="11" s="1"/>
  <c r="O4" i="11" s="1"/>
  <c r="Q3" i="11"/>
  <c r="K3" i="11"/>
  <c r="P3" i="11"/>
  <c r="F3" i="11"/>
  <c r="G3" i="11" s="1"/>
  <c r="G3" i="12" l="1"/>
  <c r="H3" i="12" s="1"/>
  <c r="AH3" i="12" s="1"/>
  <c r="S3" i="12"/>
  <c r="V3" i="12" s="1"/>
  <c r="W3" i="12" s="1"/>
  <c r="G4" i="11"/>
  <c r="H4" i="11" s="1"/>
  <c r="X4" i="11" s="1"/>
  <c r="I4" i="11"/>
  <c r="L4" i="11" s="1"/>
  <c r="M4" i="11" s="1"/>
  <c r="J5" i="13"/>
  <c r="J3" i="13"/>
  <c r="J4" i="13"/>
  <c r="P3" i="13"/>
  <c r="Q3" i="13" s="1"/>
  <c r="AE3" i="13"/>
  <c r="H3" i="13"/>
  <c r="Z3" i="13" s="1"/>
  <c r="AE5" i="13"/>
  <c r="H4" i="13"/>
  <c r="Z4" i="13" s="1"/>
  <c r="AE4" i="13"/>
  <c r="AB5" i="13"/>
  <c r="AA5" i="13"/>
  <c r="AB3" i="13"/>
  <c r="AA3" i="13"/>
  <c r="N4" i="13"/>
  <c r="O4" i="13" s="1"/>
  <c r="AD4" i="13"/>
  <c r="AC4" i="13"/>
  <c r="G4" i="12"/>
  <c r="AM4" i="12" s="1"/>
  <c r="I3" i="12"/>
  <c r="J3" i="12" s="1"/>
  <c r="X3" i="12"/>
  <c r="Y3" i="12" s="1"/>
  <c r="P3" i="12"/>
  <c r="G5" i="12"/>
  <c r="T5" i="12"/>
  <c r="I5" i="12"/>
  <c r="J5" i="12" s="1"/>
  <c r="S5" i="12"/>
  <c r="X4" i="12"/>
  <c r="Y4" i="12" s="1"/>
  <c r="P4" i="12"/>
  <c r="S4" i="12"/>
  <c r="I4" i="12"/>
  <c r="J4" i="12" s="1"/>
  <c r="N3" i="12"/>
  <c r="AA4" i="11"/>
  <c r="AB4" i="11"/>
  <c r="J3" i="11"/>
  <c r="I3" i="11"/>
  <c r="I5" i="11"/>
  <c r="J5" i="11"/>
  <c r="AM3" i="12" l="1"/>
  <c r="AC4" i="11"/>
  <c r="H4" i="12"/>
  <c r="AH4" i="12" s="1"/>
  <c r="AD3" i="13"/>
  <c r="AC3" i="13"/>
  <c r="AA4" i="13"/>
  <c r="AB4" i="13"/>
  <c r="V5" i="12"/>
  <c r="W5" i="12" s="1"/>
  <c r="N5" i="12"/>
  <c r="Q4" i="12"/>
  <c r="AL4" i="12" s="1"/>
  <c r="AK4" i="12"/>
  <c r="X5" i="12"/>
  <c r="Y5" i="12" s="1"/>
  <c r="P5" i="12"/>
  <c r="O3" i="12"/>
  <c r="AJ3" i="12" s="1"/>
  <c r="AI3" i="12"/>
  <c r="Q3" i="12"/>
  <c r="AL3" i="12" s="1"/>
  <c r="AK3" i="12"/>
  <c r="V4" i="12"/>
  <c r="W4" i="12" s="1"/>
  <c r="N4" i="12"/>
  <c r="AM5" i="12"/>
  <c r="H5" i="12"/>
  <c r="AH5" i="12" s="1"/>
  <c r="Z4" i="11"/>
  <c r="Y4" i="11"/>
  <c r="X5" i="11"/>
  <c r="AC5" i="11"/>
  <c r="L5" i="11"/>
  <c r="M5" i="11" s="1"/>
  <c r="N3" i="11"/>
  <c r="O3" i="11" s="1"/>
  <c r="L3" i="11"/>
  <c r="M3" i="11" s="1"/>
  <c r="N5" i="11"/>
  <c r="O5" i="11" s="1"/>
  <c r="H3" i="11"/>
  <c r="X3" i="11" s="1"/>
  <c r="AC3" i="11"/>
  <c r="Q3" i="9"/>
  <c r="R3" i="9" s="1"/>
  <c r="AG3" i="9"/>
  <c r="Y3" i="9"/>
  <c r="AB3" i="9" s="1"/>
  <c r="Q32" i="7" l="1"/>
  <c r="R32" i="7"/>
  <c r="Q20" i="7"/>
  <c r="T20" i="7" s="1"/>
  <c r="U20" i="7" s="1"/>
  <c r="R20" i="7"/>
  <c r="V20" i="7" s="1"/>
  <c r="W20" i="7" s="1"/>
  <c r="Q35" i="7"/>
  <c r="R35" i="7"/>
  <c r="Q31" i="7"/>
  <c r="R31" i="7"/>
  <c r="Q27" i="7"/>
  <c r="T27" i="7" s="1"/>
  <c r="U27" i="7" s="1"/>
  <c r="R27" i="7"/>
  <c r="V27" i="7" s="1"/>
  <c r="W27" i="7" s="1"/>
  <c r="Q23" i="7"/>
  <c r="T23" i="7" s="1"/>
  <c r="U23" i="7" s="1"/>
  <c r="R23" i="7"/>
  <c r="V23" i="7" s="1"/>
  <c r="W23" i="7" s="1"/>
  <c r="Q19" i="7"/>
  <c r="T19" i="7" s="1"/>
  <c r="U19" i="7" s="1"/>
  <c r="R19" i="7"/>
  <c r="V19" i="7" s="1"/>
  <c r="W19" i="7" s="1"/>
  <c r="R24" i="7"/>
  <c r="V24" i="7" s="1"/>
  <c r="W24" i="7" s="1"/>
  <c r="Q24" i="7"/>
  <c r="T24" i="7" s="1"/>
  <c r="U24" i="7" s="1"/>
  <c r="Q34" i="7"/>
  <c r="R34" i="7"/>
  <c r="Q30" i="7"/>
  <c r="R30" i="7"/>
  <c r="Q26" i="7"/>
  <c r="T26" i="7" s="1"/>
  <c r="U26" i="7" s="1"/>
  <c r="R26" i="7"/>
  <c r="V26" i="7" s="1"/>
  <c r="W26" i="7" s="1"/>
  <c r="Q22" i="7"/>
  <c r="T22" i="7" s="1"/>
  <c r="U22" i="7" s="1"/>
  <c r="R22" i="7"/>
  <c r="V22" i="7" s="1"/>
  <c r="W22" i="7" s="1"/>
  <c r="Q18" i="7"/>
  <c r="T18" i="7" s="1"/>
  <c r="U18" i="7" s="1"/>
  <c r="R18" i="7"/>
  <c r="V18" i="7" s="1"/>
  <c r="W18" i="7" s="1"/>
  <c r="Q28" i="7"/>
  <c r="T28" i="7" s="1"/>
  <c r="U28" i="7" s="1"/>
  <c r="R28" i="7"/>
  <c r="V28" i="7" s="1"/>
  <c r="W28" i="7" s="1"/>
  <c r="R33" i="7"/>
  <c r="Q33" i="7"/>
  <c r="R29" i="7"/>
  <c r="Q29" i="7"/>
  <c r="R25" i="7"/>
  <c r="V25" i="7" s="1"/>
  <c r="W25" i="7" s="1"/>
  <c r="Q25" i="7"/>
  <c r="T25" i="7" s="1"/>
  <c r="U25" i="7" s="1"/>
  <c r="R21" i="7"/>
  <c r="V21" i="7" s="1"/>
  <c r="W21" i="7" s="1"/>
  <c r="Q21" i="7"/>
  <c r="T21" i="7" s="1"/>
  <c r="U21" i="7" s="1"/>
  <c r="R17" i="7"/>
  <c r="V17" i="7" s="1"/>
  <c r="W17" i="7" s="1"/>
  <c r="Q17" i="7"/>
  <c r="T17" i="7" s="1"/>
  <c r="U17" i="7" s="1"/>
  <c r="Q5" i="7"/>
  <c r="R5" i="7"/>
  <c r="G5" i="7"/>
  <c r="H5" i="7" s="1"/>
  <c r="R6" i="7"/>
  <c r="Q6" i="7"/>
  <c r="AI5" i="12"/>
  <c r="O5" i="12"/>
  <c r="AJ5" i="12" s="1"/>
  <c r="Q5" i="12"/>
  <c r="AL5" i="12" s="1"/>
  <c r="AK5" i="12"/>
  <c r="AI4" i="12"/>
  <c r="O4" i="12"/>
  <c r="AJ4" i="12" s="1"/>
  <c r="AA3" i="11"/>
  <c r="AB3" i="11"/>
  <c r="AA5" i="11"/>
  <c r="AB5" i="11"/>
  <c r="Z3" i="11"/>
  <c r="Y3" i="11"/>
  <c r="Z5" i="11"/>
  <c r="Y5" i="11"/>
  <c r="I3" i="9"/>
  <c r="AA3" i="9" s="1"/>
  <c r="Z3" i="9"/>
  <c r="AE3" i="9"/>
  <c r="M3" i="9" s="1"/>
  <c r="N3" i="9" s="1"/>
  <c r="AC3" i="9"/>
  <c r="AD3" i="9" s="1"/>
  <c r="AF3" i="9"/>
  <c r="O3" i="9" s="1"/>
  <c r="P3" i="9" s="1"/>
  <c r="T29" i="7" l="1"/>
  <c r="U29" i="7" s="1"/>
  <c r="V31" i="7"/>
  <c r="W31" i="7" s="1"/>
  <c r="V29" i="7"/>
  <c r="W29" i="7" s="1"/>
  <c r="T30" i="7"/>
  <c r="U30" i="7" s="1"/>
  <c r="T31" i="7"/>
  <c r="U31" i="7" s="1"/>
  <c r="V30" i="7"/>
  <c r="W30" i="7" s="1"/>
  <c r="T33" i="7"/>
  <c r="U33" i="7" s="1"/>
  <c r="V34" i="7"/>
  <c r="W34" i="7" s="1"/>
  <c r="V35" i="7"/>
  <c r="W35" i="7" s="1"/>
  <c r="V32" i="7"/>
  <c r="W32" i="7" s="1"/>
  <c r="V33" i="7"/>
  <c r="W33" i="7" s="1"/>
  <c r="T34" i="7"/>
  <c r="U34" i="7" s="1"/>
  <c r="T35" i="7"/>
  <c r="U35" i="7" s="1"/>
  <c r="T32" i="7"/>
  <c r="U32" i="7" s="1"/>
  <c r="AJ3" i="9"/>
  <c r="AK3" i="9" s="1"/>
  <c r="AH3" i="9"/>
  <c r="AI3" i="9" s="1"/>
  <c r="Q11" i="7" l="1"/>
  <c r="T11" i="7" s="1"/>
  <c r="U11" i="7" s="1"/>
  <c r="R11" i="7"/>
  <c r="V11" i="7" s="1"/>
  <c r="W11" i="7" s="1"/>
  <c r="Q10" i="7"/>
  <c r="R10" i="7"/>
  <c r="R9" i="7"/>
  <c r="Q9" i="7"/>
  <c r="Q8" i="7"/>
  <c r="R8" i="7"/>
  <c r="Q7" i="7"/>
  <c r="R7" i="7"/>
  <c r="AL3" i="9"/>
  <c r="AM3" i="9"/>
  <c r="AN3" i="9"/>
  <c r="AO3" i="9"/>
  <c r="X6" i="7"/>
  <c r="S6" i="7"/>
  <c r="V10" i="7" l="1"/>
  <c r="W10" i="7" s="1"/>
  <c r="T10" i="7"/>
  <c r="U10" i="7" s="1"/>
  <c r="T9" i="7"/>
  <c r="U9" i="7" s="1"/>
  <c r="V9" i="7"/>
  <c r="W9" i="7" s="1"/>
  <c r="V8" i="7"/>
  <c r="W8" i="7" s="1"/>
  <c r="T8" i="7"/>
  <c r="U8" i="7" s="1"/>
  <c r="T7" i="7"/>
  <c r="U7" i="7" s="1"/>
  <c r="V7" i="7"/>
  <c r="W7" i="7" s="1"/>
  <c r="V6" i="7" l="1"/>
  <c r="W6" i="7" s="1"/>
  <c r="T6" i="7"/>
  <c r="U6" i="7" s="1"/>
  <c r="S5" i="7" l="1"/>
  <c r="X5" i="7"/>
  <c r="N5" i="7" l="1"/>
  <c r="O5" i="7" s="1"/>
  <c r="V5" i="7" l="1"/>
  <c r="W5" i="7" s="1"/>
  <c r="L5" i="7"/>
  <c r="M5" i="7" s="1"/>
  <c r="T5" i="7" l="1"/>
  <c r="U5" i="7" s="1"/>
</calcChain>
</file>

<file path=xl/sharedStrings.xml><?xml version="1.0" encoding="utf-8"?>
<sst xmlns="http://schemas.openxmlformats.org/spreadsheetml/2006/main" count="218" uniqueCount="75">
  <si>
    <r>
      <rPr>
        <sz val="10"/>
        <color theme="0"/>
        <rFont val="Calibri"/>
        <family val="2"/>
      </rPr>
      <t>3</t>
    </r>
    <r>
      <rPr>
        <sz val="10"/>
        <color theme="0"/>
        <rFont val="等线"/>
        <family val="3"/>
        <charset val="134"/>
      </rPr>
      <t>边和</t>
    </r>
  </si>
  <si>
    <t>产品重量（g）</t>
  </si>
  <si>
    <t>包装材料重量for 小件/标准件类别1（g）</t>
  </si>
  <si>
    <t>包装材料重量for 标准件类别2-4/大件类别1-3（g）</t>
  </si>
  <si>
    <t>包装材料重量for大件类别4（g）</t>
  </si>
  <si>
    <t>包装材料重量for大件类别5（g）</t>
  </si>
  <si>
    <t>包装材料重量for大件类别6-7（g）</t>
  </si>
  <si>
    <t>包装材料重量for大件类别8（g）</t>
  </si>
  <si>
    <r>
      <rPr>
        <sz val="10"/>
        <color theme="0"/>
        <rFont val="等线"/>
        <family val="3"/>
        <charset val="134"/>
      </rPr>
      <t>最长边</t>
    </r>
    <r>
      <rPr>
        <sz val="10"/>
        <color theme="0"/>
        <rFont val="Calibri"/>
        <family val="2"/>
      </rPr>
      <t>(cm)</t>
    </r>
  </si>
  <si>
    <r>
      <rPr>
        <sz val="10"/>
        <color theme="0"/>
        <rFont val="等线"/>
        <family val="3"/>
        <charset val="134"/>
      </rPr>
      <t>次长边</t>
    </r>
    <r>
      <rPr>
        <sz val="10"/>
        <color theme="0"/>
        <rFont val="Calibri"/>
        <family val="2"/>
      </rPr>
      <t>(cm)</t>
    </r>
  </si>
  <si>
    <r>
      <rPr>
        <sz val="10"/>
        <color theme="0"/>
        <rFont val="等线"/>
        <family val="3"/>
        <charset val="134"/>
      </rPr>
      <t>最短边</t>
    </r>
    <r>
      <rPr>
        <sz val="10"/>
        <color theme="0"/>
        <rFont val="Calibri"/>
        <family val="2"/>
      </rPr>
      <t>(cm)</t>
    </r>
  </si>
  <si>
    <r>
      <rPr>
        <sz val="10"/>
        <color theme="0"/>
        <rFont val="等线"/>
        <family val="3"/>
        <charset val="134"/>
      </rPr>
      <t>汇率：</t>
    </r>
    <r>
      <rPr>
        <sz val="10"/>
        <color theme="0"/>
        <rFont val="Calibri"/>
        <family val="2"/>
      </rPr>
      <t>RMB/JPY</t>
    </r>
  </si>
  <si>
    <r>
      <rPr>
        <sz val="10"/>
        <color theme="0"/>
        <rFont val="Calibri"/>
        <family val="2"/>
      </rPr>
      <t>FBA</t>
    </r>
    <r>
      <rPr>
        <sz val="10"/>
        <color theme="0"/>
        <rFont val="等线"/>
        <family val="3"/>
        <charset val="134"/>
      </rPr>
      <t>尺寸类别</t>
    </r>
  </si>
  <si>
    <r>
      <rPr>
        <sz val="10"/>
        <color theme="0"/>
        <rFont val="Calibri"/>
        <family val="2"/>
      </rPr>
      <t>FBA</t>
    </r>
    <r>
      <rPr>
        <sz val="10"/>
        <color theme="0"/>
        <rFont val="等线"/>
        <family val="3"/>
        <charset val="134"/>
      </rPr>
      <t>配送费</t>
    </r>
    <r>
      <rPr>
        <sz val="10"/>
        <color theme="0"/>
        <rFont val="Calibri"/>
        <family val="2"/>
      </rPr>
      <t>/Unit RMB</t>
    </r>
  </si>
  <si>
    <t>存放天数</t>
  </si>
  <si>
    <t>当月总天数</t>
  </si>
  <si>
    <t>入库数量</t>
  </si>
  <si>
    <r>
      <rPr>
        <sz val="10"/>
        <color theme="0"/>
        <rFont val="等线"/>
        <family val="3"/>
        <charset val="134"/>
      </rPr>
      <t>仓储费（</t>
    </r>
    <r>
      <rPr>
        <sz val="10"/>
        <color theme="0"/>
        <rFont val="Calibri"/>
        <family val="2"/>
      </rPr>
      <t>1</t>
    </r>
    <r>
      <rPr>
        <sz val="10"/>
        <color theme="0"/>
        <rFont val="等线"/>
        <family val="3"/>
        <charset val="134"/>
      </rPr>
      <t>月</t>
    </r>
    <r>
      <rPr>
        <sz val="10"/>
        <color theme="0"/>
        <rFont val="Calibri"/>
        <family val="2"/>
      </rPr>
      <t>-9</t>
    </r>
    <r>
      <rPr>
        <sz val="10"/>
        <color theme="0"/>
        <rFont val="等线"/>
        <family val="3"/>
        <charset val="134"/>
      </rPr>
      <t>月）</t>
    </r>
  </si>
  <si>
    <r>
      <rPr>
        <sz val="10"/>
        <color theme="0"/>
        <rFont val="等线"/>
        <family val="3"/>
        <charset val="134"/>
      </rPr>
      <t>仓储费（</t>
    </r>
    <r>
      <rPr>
        <sz val="10"/>
        <color theme="0"/>
        <rFont val="Calibri"/>
        <family val="2"/>
      </rPr>
      <t>10</t>
    </r>
    <r>
      <rPr>
        <sz val="10"/>
        <color theme="0"/>
        <rFont val="等线"/>
        <family val="3"/>
        <charset val="134"/>
      </rPr>
      <t>月</t>
    </r>
    <r>
      <rPr>
        <sz val="10"/>
        <color theme="0"/>
        <rFont val="Calibri"/>
        <family val="2"/>
      </rPr>
      <t>-12</t>
    </r>
    <r>
      <rPr>
        <sz val="10"/>
        <color theme="0"/>
        <rFont val="等线"/>
        <family val="3"/>
        <charset val="134"/>
      </rPr>
      <t>月）</t>
    </r>
  </si>
  <si>
    <t>体积</t>
  </si>
  <si>
    <r>
      <rPr>
        <sz val="10"/>
        <color theme="0"/>
        <rFont val="等线"/>
        <family val="3"/>
        <charset val="134"/>
      </rPr>
      <t>月仓储费</t>
    </r>
    <r>
      <rPr>
        <sz val="10"/>
        <color theme="0"/>
        <rFont val="Calibri"/>
        <family val="2"/>
      </rPr>
      <t>/Unit</t>
    </r>
    <r>
      <rPr>
        <sz val="10"/>
        <color theme="0"/>
        <rFont val="等线"/>
        <family val="3"/>
        <charset val="134"/>
      </rPr>
      <t>（</t>
    </r>
    <r>
      <rPr>
        <sz val="10"/>
        <color theme="0"/>
        <rFont val="Calibri"/>
        <family val="2"/>
      </rPr>
      <t>1</t>
    </r>
    <r>
      <rPr>
        <sz val="10"/>
        <color theme="0"/>
        <rFont val="等线"/>
        <family val="3"/>
        <charset val="134"/>
      </rPr>
      <t>月</t>
    </r>
    <r>
      <rPr>
        <sz val="10"/>
        <color theme="0"/>
        <rFont val="Calibri"/>
        <family val="2"/>
      </rPr>
      <t>-9</t>
    </r>
    <r>
      <rPr>
        <sz val="10"/>
        <color theme="0"/>
        <rFont val="等线"/>
        <family val="3"/>
        <charset val="134"/>
      </rPr>
      <t>月）</t>
    </r>
    <r>
      <rPr>
        <sz val="10"/>
        <color theme="0"/>
        <rFont val="Calibri"/>
        <family val="2"/>
      </rPr>
      <t>JP</t>
    </r>
  </si>
  <si>
    <r>
      <rPr>
        <sz val="10"/>
        <color theme="0"/>
        <rFont val="等线"/>
        <family val="3"/>
        <charset val="134"/>
      </rPr>
      <t>月仓储费</t>
    </r>
    <r>
      <rPr>
        <sz val="10"/>
        <color theme="0"/>
        <rFont val="Calibri"/>
        <family val="2"/>
      </rPr>
      <t>/Unit</t>
    </r>
    <r>
      <rPr>
        <sz val="10"/>
        <color theme="0"/>
        <rFont val="等线"/>
        <family val="3"/>
        <charset val="134"/>
      </rPr>
      <t>（</t>
    </r>
    <r>
      <rPr>
        <sz val="10"/>
        <color theme="0"/>
        <rFont val="Calibri"/>
        <family val="2"/>
      </rPr>
      <t>1</t>
    </r>
    <r>
      <rPr>
        <sz val="10"/>
        <color theme="0"/>
        <rFont val="等线"/>
        <family val="3"/>
        <charset val="134"/>
      </rPr>
      <t>月</t>
    </r>
    <r>
      <rPr>
        <sz val="10"/>
        <color theme="0"/>
        <rFont val="Calibri"/>
        <family val="2"/>
      </rPr>
      <t>-9</t>
    </r>
    <r>
      <rPr>
        <sz val="10"/>
        <color theme="0"/>
        <rFont val="等线"/>
        <family val="3"/>
        <charset val="134"/>
      </rPr>
      <t>月）</t>
    </r>
    <r>
      <rPr>
        <sz val="10"/>
        <color theme="0"/>
        <rFont val="Calibri"/>
        <family val="2"/>
      </rPr>
      <t>RMB</t>
    </r>
  </si>
  <si>
    <r>
      <rPr>
        <sz val="10"/>
        <color theme="0"/>
        <rFont val="等线"/>
        <family val="3"/>
        <charset val="134"/>
      </rPr>
      <t>月仓储费</t>
    </r>
    <r>
      <rPr>
        <sz val="10"/>
        <color theme="0"/>
        <rFont val="Calibri"/>
        <family val="2"/>
      </rPr>
      <t>/Unit</t>
    </r>
    <r>
      <rPr>
        <sz val="10"/>
        <color theme="0"/>
        <rFont val="等线"/>
        <family val="3"/>
        <charset val="134"/>
      </rPr>
      <t>（</t>
    </r>
    <r>
      <rPr>
        <sz val="10"/>
        <color theme="0"/>
        <rFont val="Calibri"/>
        <family val="2"/>
      </rPr>
      <t>10</t>
    </r>
    <r>
      <rPr>
        <sz val="10"/>
        <color theme="0"/>
        <rFont val="等线"/>
        <family val="3"/>
        <charset val="134"/>
      </rPr>
      <t>月</t>
    </r>
    <r>
      <rPr>
        <sz val="10"/>
        <color theme="0"/>
        <rFont val="Calibri"/>
        <family val="2"/>
      </rPr>
      <t>-12</t>
    </r>
    <r>
      <rPr>
        <sz val="10"/>
        <color theme="0"/>
        <rFont val="等线"/>
        <family val="3"/>
        <charset val="134"/>
      </rPr>
      <t>月）</t>
    </r>
    <r>
      <rPr>
        <sz val="10"/>
        <color theme="0"/>
        <rFont val="Calibri"/>
        <family val="2"/>
      </rPr>
      <t>JP</t>
    </r>
  </si>
  <si>
    <r>
      <rPr>
        <sz val="10"/>
        <color theme="0"/>
        <rFont val="等线"/>
        <family val="3"/>
        <charset val="134"/>
      </rPr>
      <t>月仓储费</t>
    </r>
    <r>
      <rPr>
        <sz val="10"/>
        <color theme="0"/>
        <rFont val="Calibri"/>
        <family val="2"/>
      </rPr>
      <t>/Unit</t>
    </r>
    <r>
      <rPr>
        <sz val="10"/>
        <color theme="0"/>
        <rFont val="等线"/>
        <family val="3"/>
        <charset val="134"/>
      </rPr>
      <t>（</t>
    </r>
    <r>
      <rPr>
        <sz val="10"/>
        <color theme="0"/>
        <rFont val="Calibri"/>
        <family val="2"/>
      </rPr>
      <t>10</t>
    </r>
    <r>
      <rPr>
        <sz val="10"/>
        <color theme="0"/>
        <rFont val="等线"/>
        <family val="3"/>
        <charset val="134"/>
      </rPr>
      <t>月</t>
    </r>
    <r>
      <rPr>
        <sz val="10"/>
        <color theme="0"/>
        <rFont val="Calibri"/>
        <family val="2"/>
      </rPr>
      <t>-12</t>
    </r>
    <r>
      <rPr>
        <sz val="10"/>
        <color theme="0"/>
        <rFont val="等线"/>
        <family val="3"/>
        <charset val="134"/>
      </rPr>
      <t>月）</t>
    </r>
    <r>
      <rPr>
        <sz val="10"/>
        <color theme="0"/>
        <rFont val="Calibri"/>
        <family val="2"/>
      </rPr>
      <t>RMB</t>
    </r>
  </si>
  <si>
    <t>月实际仓储费（1月-9月）RMB（含10%消费税）</t>
    <phoneticPr fontId="5" type="noConversion"/>
  </si>
  <si>
    <r>
      <t>FBA</t>
    </r>
    <r>
      <rPr>
        <sz val="10"/>
        <color theme="0"/>
        <rFont val="等线"/>
        <family val="3"/>
        <charset val="134"/>
      </rPr>
      <t>配送费</t>
    </r>
    <r>
      <rPr>
        <sz val="10"/>
        <color theme="0"/>
        <rFont val="Calibri"/>
        <family val="2"/>
      </rPr>
      <t>/Unit JPY</t>
    </r>
    <r>
      <rPr>
        <sz val="10"/>
        <color theme="0"/>
        <rFont val="等线"/>
        <family val="3"/>
        <charset val="134"/>
      </rPr>
      <t>（含</t>
    </r>
    <r>
      <rPr>
        <sz val="10"/>
        <color theme="0"/>
        <rFont val="Calibri"/>
        <family val="2"/>
      </rPr>
      <t>10%</t>
    </r>
    <r>
      <rPr>
        <sz val="10"/>
        <color theme="0"/>
        <rFont val="等线"/>
        <family val="3"/>
        <charset val="134"/>
      </rPr>
      <t>消费税）</t>
    </r>
    <phoneticPr fontId="5" type="noConversion"/>
  </si>
  <si>
    <t>月实际仓储费（10月-12月）JP（含10%消费税）</t>
    <phoneticPr fontId="5" type="noConversion"/>
  </si>
  <si>
    <t>月实际仓储费（10月-12月) RMB（含10%消费税）</t>
    <phoneticPr fontId="5" type="noConversion"/>
  </si>
  <si>
    <t>长期仓储费/月 RMB（已在FBA FC中存放时间&gt;=365天的SKU，每月15日库存清点计费)（含10%消费税）</t>
    <phoneticPr fontId="5" type="noConversion"/>
  </si>
  <si>
    <t>销售价格</t>
    <phoneticPr fontId="5" type="noConversion"/>
  </si>
  <si>
    <r>
      <rPr>
        <sz val="10"/>
        <color theme="0"/>
        <rFont val="Calibri"/>
        <family val="2"/>
      </rPr>
      <t>FBA</t>
    </r>
    <r>
      <rPr>
        <sz val="10"/>
        <color theme="0"/>
        <rFont val="等线"/>
        <family val="3"/>
        <charset val="134"/>
      </rPr>
      <t>配送费</t>
    </r>
    <r>
      <rPr>
        <sz val="10"/>
        <color theme="0"/>
        <rFont val="Calibri"/>
        <family val="2"/>
      </rPr>
      <t>/Unit JPY</t>
    </r>
  </si>
  <si>
    <t>月实际仓储费（10月-12月) RMB（含10%消费税）</t>
    <phoneticPr fontId="5" type="noConversion"/>
  </si>
  <si>
    <t>长期仓储费/月 RMB（已在FBA FC中存放时间&gt;=365天的SKU，每月15日库存清点计费)（含10%消费税）</t>
    <phoneticPr fontId="5" type="noConversion"/>
  </si>
  <si>
    <r>
      <t>FBA</t>
    </r>
    <r>
      <rPr>
        <sz val="10"/>
        <rFont val="等线"/>
        <family val="3"/>
        <charset val="134"/>
      </rPr>
      <t>尺寸类别</t>
    </r>
  </si>
  <si>
    <r>
      <t>FBA</t>
    </r>
    <r>
      <rPr>
        <sz val="10"/>
        <rFont val="等线"/>
        <family val="3"/>
        <charset val="134"/>
      </rPr>
      <t>配送费</t>
    </r>
    <r>
      <rPr>
        <sz val="10"/>
        <rFont val="Calibri"/>
        <family val="2"/>
      </rPr>
      <t>/Unit JPY</t>
    </r>
  </si>
  <si>
    <r>
      <t>FBA</t>
    </r>
    <r>
      <rPr>
        <sz val="10"/>
        <rFont val="等线"/>
        <family val="3"/>
        <charset val="134"/>
      </rPr>
      <t>配送费</t>
    </r>
    <r>
      <rPr>
        <sz val="10"/>
        <rFont val="Calibri"/>
        <family val="2"/>
      </rPr>
      <t>/Unit JPY</t>
    </r>
    <r>
      <rPr>
        <sz val="10"/>
        <rFont val="等线"/>
        <family val="3"/>
        <charset val="134"/>
      </rPr>
      <t>（含10%消费税）</t>
    </r>
    <phoneticPr fontId="5" type="noConversion"/>
  </si>
  <si>
    <r>
      <t>FBA</t>
    </r>
    <r>
      <rPr>
        <sz val="10"/>
        <rFont val="等线"/>
        <family val="3"/>
        <charset val="134"/>
      </rPr>
      <t>配送费</t>
    </r>
    <r>
      <rPr>
        <sz val="10"/>
        <rFont val="Calibri"/>
        <family val="2"/>
      </rPr>
      <t>/Unit RMB</t>
    </r>
    <r>
      <rPr>
        <sz val="10"/>
        <rFont val="等线"/>
        <family val="3"/>
        <charset val="134"/>
      </rPr>
      <t>（含</t>
    </r>
    <r>
      <rPr>
        <sz val="10"/>
        <rFont val="Calibri"/>
        <family val="2"/>
      </rPr>
      <t>10%</t>
    </r>
    <r>
      <rPr>
        <sz val="10"/>
        <rFont val="等线"/>
        <family val="3"/>
        <charset val="134"/>
      </rPr>
      <t>消费税）</t>
    </r>
    <phoneticPr fontId="5" type="noConversion"/>
  </si>
  <si>
    <r>
      <t>FBA</t>
    </r>
    <r>
      <rPr>
        <sz val="10"/>
        <rFont val="等线"/>
        <family val="3"/>
        <charset val="134"/>
      </rPr>
      <t>配送费</t>
    </r>
    <r>
      <rPr>
        <sz val="10"/>
        <rFont val="Calibri"/>
        <family val="2"/>
      </rPr>
      <t>/Unit RMB</t>
    </r>
  </si>
  <si>
    <r>
      <t>月实际仓储费（</t>
    </r>
    <r>
      <rPr>
        <sz val="10"/>
        <rFont val="Calibri"/>
        <family val="2"/>
      </rPr>
      <t>1</t>
    </r>
    <r>
      <rPr>
        <sz val="10"/>
        <rFont val="等线"/>
        <family val="3"/>
        <charset val="134"/>
      </rPr>
      <t>月</t>
    </r>
    <r>
      <rPr>
        <sz val="10"/>
        <rFont val="Calibri"/>
        <family val="2"/>
      </rPr>
      <t>-9</t>
    </r>
    <r>
      <rPr>
        <sz val="10"/>
        <rFont val="等线"/>
        <family val="3"/>
        <charset val="134"/>
      </rPr>
      <t>月）</t>
    </r>
    <r>
      <rPr>
        <sz val="10"/>
        <rFont val="Calibri"/>
        <family val="2"/>
      </rPr>
      <t>JP</t>
    </r>
  </si>
  <si>
    <r>
      <t>月实际仓储费（</t>
    </r>
    <r>
      <rPr>
        <sz val="10"/>
        <rFont val="Calibri"/>
        <family val="2"/>
      </rPr>
      <t>1</t>
    </r>
    <r>
      <rPr>
        <sz val="10"/>
        <rFont val="等线"/>
        <family val="3"/>
        <charset val="134"/>
      </rPr>
      <t>月</t>
    </r>
    <r>
      <rPr>
        <sz val="10"/>
        <rFont val="Calibri"/>
        <family val="2"/>
      </rPr>
      <t>-9</t>
    </r>
    <r>
      <rPr>
        <sz val="10"/>
        <rFont val="等线"/>
        <family val="3"/>
        <charset val="134"/>
      </rPr>
      <t>月）</t>
    </r>
    <r>
      <rPr>
        <sz val="10"/>
        <rFont val="Calibri"/>
        <family val="2"/>
      </rPr>
      <t>JP</t>
    </r>
    <r>
      <rPr>
        <sz val="10"/>
        <rFont val="等线"/>
        <family val="3"/>
        <charset val="134"/>
      </rPr>
      <t>（含10%消费税）</t>
    </r>
    <phoneticPr fontId="5" type="noConversion"/>
  </si>
  <si>
    <r>
      <t>月实际仓储费（</t>
    </r>
    <r>
      <rPr>
        <sz val="10"/>
        <rFont val="Calibri"/>
        <family val="2"/>
      </rPr>
      <t>1</t>
    </r>
    <r>
      <rPr>
        <sz val="10"/>
        <rFont val="等线"/>
        <family val="3"/>
        <charset val="134"/>
      </rPr>
      <t>月</t>
    </r>
    <r>
      <rPr>
        <sz val="10"/>
        <rFont val="Calibri"/>
        <family val="2"/>
      </rPr>
      <t>-9</t>
    </r>
    <r>
      <rPr>
        <sz val="10"/>
        <rFont val="等线"/>
        <family val="3"/>
        <charset val="134"/>
      </rPr>
      <t>月）</t>
    </r>
    <r>
      <rPr>
        <sz val="10"/>
        <rFont val="Calibri"/>
        <family val="2"/>
      </rPr>
      <t>RMB</t>
    </r>
  </si>
  <si>
    <r>
      <t>月实际仓储费（</t>
    </r>
    <r>
      <rPr>
        <sz val="10"/>
        <rFont val="Calibri"/>
        <family val="2"/>
      </rPr>
      <t>10</t>
    </r>
    <r>
      <rPr>
        <sz val="10"/>
        <rFont val="等线"/>
        <family val="3"/>
        <charset val="134"/>
      </rPr>
      <t>月</t>
    </r>
    <r>
      <rPr>
        <sz val="10"/>
        <rFont val="Calibri"/>
        <family val="2"/>
      </rPr>
      <t>-12</t>
    </r>
    <r>
      <rPr>
        <sz val="10"/>
        <rFont val="等线"/>
        <family val="3"/>
        <charset val="134"/>
      </rPr>
      <t>月）</t>
    </r>
    <r>
      <rPr>
        <sz val="10"/>
        <rFont val="Calibri"/>
        <family val="2"/>
      </rPr>
      <t>JP</t>
    </r>
  </si>
  <si>
    <r>
      <t>月实际仓储费（</t>
    </r>
    <r>
      <rPr>
        <sz val="10"/>
        <rFont val="Calibri"/>
        <family val="2"/>
      </rPr>
      <t>10</t>
    </r>
    <r>
      <rPr>
        <sz val="10"/>
        <rFont val="等线"/>
        <family val="3"/>
        <charset val="134"/>
      </rPr>
      <t>月</t>
    </r>
    <r>
      <rPr>
        <sz val="10"/>
        <rFont val="Calibri"/>
        <family val="2"/>
      </rPr>
      <t>-12</t>
    </r>
    <r>
      <rPr>
        <sz val="10"/>
        <rFont val="等线"/>
        <family val="3"/>
        <charset val="134"/>
      </rPr>
      <t>月</t>
    </r>
    <r>
      <rPr>
        <sz val="10"/>
        <rFont val="Calibri"/>
        <family val="2"/>
      </rPr>
      <t>) RMB</t>
    </r>
  </si>
  <si>
    <r>
      <t>长期仓储费</t>
    </r>
    <r>
      <rPr>
        <sz val="10"/>
        <rFont val="Calibri"/>
        <family val="2"/>
      </rPr>
      <t>/</t>
    </r>
    <r>
      <rPr>
        <sz val="10"/>
        <rFont val="等线"/>
        <family val="3"/>
        <charset val="134"/>
      </rPr>
      <t>月</t>
    </r>
    <r>
      <rPr>
        <sz val="10"/>
        <rFont val="Calibri"/>
        <family val="2"/>
      </rPr>
      <t xml:space="preserve"> RMB</t>
    </r>
    <r>
      <rPr>
        <sz val="10"/>
        <rFont val="等线"/>
        <family val="3"/>
        <charset val="134"/>
      </rPr>
      <t>（已在</t>
    </r>
    <r>
      <rPr>
        <sz val="10"/>
        <rFont val="Calibri"/>
        <family val="2"/>
      </rPr>
      <t>FBA FC</t>
    </r>
    <r>
      <rPr>
        <sz val="10"/>
        <rFont val="等线"/>
        <family val="3"/>
        <charset val="134"/>
      </rPr>
      <t>中存放时间</t>
    </r>
    <r>
      <rPr>
        <sz val="10"/>
        <rFont val="Calibri"/>
        <family val="2"/>
      </rPr>
      <t>&gt;=365</t>
    </r>
    <r>
      <rPr>
        <sz val="10"/>
        <rFont val="等线"/>
        <family val="3"/>
        <charset val="134"/>
      </rPr>
      <t>天的</t>
    </r>
    <r>
      <rPr>
        <sz val="10"/>
        <rFont val="Calibri"/>
        <family val="2"/>
      </rPr>
      <t>SKU</t>
    </r>
    <r>
      <rPr>
        <sz val="10"/>
        <rFont val="等线"/>
        <family val="3"/>
        <charset val="134"/>
      </rPr>
      <t>，每月</t>
    </r>
    <r>
      <rPr>
        <sz val="10"/>
        <rFont val="Calibri"/>
        <family val="2"/>
      </rPr>
      <t>15</t>
    </r>
    <r>
      <rPr>
        <sz val="10"/>
        <rFont val="等线"/>
        <family val="3"/>
        <charset val="134"/>
      </rPr>
      <t>日库存清点计费</t>
    </r>
    <r>
      <rPr>
        <sz val="10"/>
        <rFont val="Calibri"/>
        <family val="2"/>
      </rPr>
      <t>)</t>
    </r>
  </si>
  <si>
    <r>
      <t>FBA</t>
    </r>
    <r>
      <rPr>
        <sz val="10"/>
        <rFont val="等线"/>
        <family val="3"/>
        <charset val="134"/>
      </rPr>
      <t>配送费</t>
    </r>
    <r>
      <rPr>
        <sz val="10"/>
        <rFont val="Calibri"/>
        <family val="2"/>
      </rPr>
      <t>/Unit JPY</t>
    </r>
    <r>
      <rPr>
        <sz val="10"/>
        <rFont val="等线"/>
        <family val="3"/>
        <charset val="134"/>
      </rPr>
      <t>（含10%消费税）</t>
    </r>
    <phoneticPr fontId="5" type="noConversion"/>
  </si>
  <si>
    <r>
      <t>月实际仓储费（</t>
    </r>
    <r>
      <rPr>
        <sz val="10"/>
        <rFont val="Calibri"/>
        <family val="2"/>
      </rPr>
      <t>1</t>
    </r>
    <r>
      <rPr>
        <sz val="10"/>
        <rFont val="等线"/>
        <family val="3"/>
        <charset val="134"/>
      </rPr>
      <t>月</t>
    </r>
    <r>
      <rPr>
        <sz val="10"/>
        <rFont val="Calibri"/>
        <family val="2"/>
      </rPr>
      <t>-9</t>
    </r>
    <r>
      <rPr>
        <sz val="10"/>
        <rFont val="等线"/>
        <family val="3"/>
        <charset val="134"/>
      </rPr>
      <t>月）</t>
    </r>
    <r>
      <rPr>
        <sz val="10"/>
        <rFont val="Calibri"/>
        <family val="2"/>
      </rPr>
      <t>JP</t>
    </r>
    <phoneticPr fontId="5" type="noConversion"/>
  </si>
  <si>
    <r>
      <t>月实际仓储费（</t>
    </r>
    <r>
      <rPr>
        <sz val="10"/>
        <rFont val="Calibri"/>
        <family val="2"/>
      </rPr>
      <t>1</t>
    </r>
    <r>
      <rPr>
        <sz val="10"/>
        <rFont val="等线"/>
        <family val="3"/>
        <charset val="134"/>
      </rPr>
      <t>月</t>
    </r>
    <r>
      <rPr>
        <sz val="10"/>
        <rFont val="Calibri"/>
        <family val="2"/>
      </rPr>
      <t>-9</t>
    </r>
    <r>
      <rPr>
        <sz val="10"/>
        <rFont val="等线"/>
        <family val="3"/>
        <charset val="134"/>
      </rPr>
      <t>月）</t>
    </r>
    <r>
      <rPr>
        <sz val="10"/>
        <rFont val="Calibri"/>
        <family val="2"/>
      </rPr>
      <t>RMB</t>
    </r>
    <phoneticPr fontId="5" type="noConversion"/>
  </si>
  <si>
    <r>
      <t>月实际仓储费（</t>
    </r>
    <r>
      <rPr>
        <sz val="10"/>
        <rFont val="Calibri"/>
        <family val="2"/>
      </rPr>
      <t>10</t>
    </r>
    <r>
      <rPr>
        <sz val="10"/>
        <rFont val="等线"/>
        <family val="3"/>
        <charset val="134"/>
      </rPr>
      <t>月</t>
    </r>
    <r>
      <rPr>
        <sz val="10"/>
        <rFont val="Calibri"/>
        <family val="2"/>
      </rPr>
      <t>-12</t>
    </r>
    <r>
      <rPr>
        <sz val="10"/>
        <rFont val="等线"/>
        <family val="3"/>
        <charset val="134"/>
      </rPr>
      <t>月）</t>
    </r>
    <r>
      <rPr>
        <sz val="10"/>
        <rFont val="Calibri"/>
        <family val="2"/>
      </rPr>
      <t>JP</t>
    </r>
    <phoneticPr fontId="5" type="noConversion"/>
  </si>
  <si>
    <r>
      <t>月实际仓储费（</t>
    </r>
    <r>
      <rPr>
        <sz val="10"/>
        <rFont val="Calibri"/>
        <family val="2"/>
      </rPr>
      <t>10</t>
    </r>
    <r>
      <rPr>
        <sz val="10"/>
        <rFont val="等线"/>
        <family val="3"/>
        <charset val="134"/>
      </rPr>
      <t>月</t>
    </r>
    <r>
      <rPr>
        <sz val="10"/>
        <rFont val="Calibri"/>
        <family val="2"/>
      </rPr>
      <t>-12</t>
    </r>
    <r>
      <rPr>
        <sz val="10"/>
        <rFont val="等线"/>
        <family val="3"/>
        <charset val="134"/>
      </rPr>
      <t>月</t>
    </r>
    <r>
      <rPr>
        <sz val="10"/>
        <rFont val="Calibri"/>
        <family val="2"/>
      </rPr>
      <t>) RMB</t>
    </r>
    <phoneticPr fontId="5" type="noConversion"/>
  </si>
  <si>
    <r>
      <t>长期仓储费</t>
    </r>
    <r>
      <rPr>
        <sz val="10"/>
        <rFont val="Calibri"/>
        <family val="2"/>
      </rPr>
      <t>/</t>
    </r>
    <r>
      <rPr>
        <sz val="10"/>
        <rFont val="等线"/>
        <family val="3"/>
        <charset val="134"/>
      </rPr>
      <t>月</t>
    </r>
    <r>
      <rPr>
        <sz val="10"/>
        <rFont val="Calibri"/>
        <family val="2"/>
      </rPr>
      <t xml:space="preserve"> RMB</t>
    </r>
    <r>
      <rPr>
        <sz val="10"/>
        <rFont val="等线"/>
        <family val="3"/>
        <charset val="134"/>
      </rPr>
      <t>（已在</t>
    </r>
    <r>
      <rPr>
        <sz val="10"/>
        <rFont val="Calibri"/>
        <family val="2"/>
      </rPr>
      <t>FBA FC</t>
    </r>
    <r>
      <rPr>
        <sz val="10"/>
        <rFont val="等线"/>
        <family val="3"/>
        <charset val="134"/>
      </rPr>
      <t>中存放时间</t>
    </r>
    <r>
      <rPr>
        <sz val="10"/>
        <rFont val="Calibri"/>
        <family val="2"/>
      </rPr>
      <t>&gt;=365</t>
    </r>
    <r>
      <rPr>
        <sz val="10"/>
        <rFont val="等线"/>
        <family val="3"/>
        <charset val="134"/>
      </rPr>
      <t>天的</t>
    </r>
    <r>
      <rPr>
        <sz val="10"/>
        <rFont val="Calibri"/>
        <family val="2"/>
      </rPr>
      <t>SKU</t>
    </r>
    <r>
      <rPr>
        <sz val="10"/>
        <rFont val="等线"/>
        <family val="3"/>
        <charset val="134"/>
      </rPr>
      <t>，每月</t>
    </r>
    <r>
      <rPr>
        <sz val="10"/>
        <rFont val="Calibri"/>
        <family val="2"/>
      </rPr>
      <t>15</t>
    </r>
    <r>
      <rPr>
        <sz val="10"/>
        <rFont val="等线"/>
        <family val="3"/>
        <charset val="134"/>
      </rPr>
      <t>日库存清点计费</t>
    </r>
    <r>
      <rPr>
        <sz val="10"/>
        <rFont val="Calibri"/>
        <family val="2"/>
      </rPr>
      <t>)</t>
    </r>
    <phoneticPr fontId="5" type="noConversion"/>
  </si>
  <si>
    <t xml:space="preserve">                 使用说明：在标题为黑色区域输入产品参数自定义值，即可在标题为橙色区域区域得到计算结果。</t>
    <phoneticPr fontId="5" type="noConversion"/>
  </si>
  <si>
    <t xml:space="preserve">                 使用说明：在标题为黑色区域输入产品参数自定义值，即可在标题为橙色区域区域得到计算结果。</t>
    <phoneticPr fontId="5" type="noConversion"/>
  </si>
  <si>
    <r>
      <t>FBA</t>
    </r>
    <r>
      <rPr>
        <sz val="10"/>
        <rFont val="等线"/>
        <family val="3"/>
        <charset val="134"/>
      </rPr>
      <t>尺寸类别</t>
    </r>
    <phoneticPr fontId="5" type="noConversion"/>
  </si>
  <si>
    <t>贴标服务费用/Unit JPY</t>
    <phoneticPr fontId="5" type="noConversion"/>
  </si>
  <si>
    <r>
      <rPr>
        <sz val="10"/>
        <rFont val="宋体"/>
        <family val="3"/>
        <charset val="134"/>
      </rPr>
      <t>贴标服务费用</t>
    </r>
    <r>
      <rPr>
        <sz val="10"/>
        <rFont val="Calibri"/>
        <family val="2"/>
      </rPr>
      <t>/Unit RMB</t>
    </r>
    <phoneticPr fontId="5" type="noConversion"/>
  </si>
  <si>
    <r>
      <rPr>
        <sz val="10"/>
        <rFont val="等线"/>
        <family val="3"/>
        <charset val="134"/>
      </rPr>
      <t>包装</t>
    </r>
    <r>
      <rPr>
        <sz val="10"/>
        <rFont val="Calibri"/>
        <family val="2"/>
      </rPr>
      <t>/Unit JPY</t>
    </r>
    <phoneticPr fontId="5" type="noConversion"/>
  </si>
  <si>
    <r>
      <rPr>
        <sz val="10"/>
        <rFont val="宋体"/>
        <family val="3"/>
        <charset val="134"/>
      </rPr>
      <t>封装</t>
    </r>
    <r>
      <rPr>
        <sz val="10"/>
        <rFont val="Calibri"/>
        <family val="2"/>
      </rPr>
      <t>/Unit RMB</t>
    </r>
    <phoneticPr fontId="5" type="noConversion"/>
  </si>
  <si>
    <r>
      <rPr>
        <sz val="10"/>
        <rFont val="宋体"/>
        <family val="3"/>
        <charset val="134"/>
      </rPr>
      <t>包装</t>
    </r>
    <r>
      <rPr>
        <sz val="10"/>
        <rFont val="Calibri"/>
        <family val="2"/>
      </rPr>
      <t>/Unit RMB</t>
    </r>
    <phoneticPr fontId="5" type="noConversion"/>
  </si>
  <si>
    <r>
      <rPr>
        <sz val="10"/>
        <rFont val="等线"/>
        <family val="3"/>
        <charset val="134"/>
      </rPr>
      <t>封装</t>
    </r>
    <r>
      <rPr>
        <sz val="10"/>
        <rFont val="Calibri"/>
        <family val="2"/>
      </rPr>
      <t>/Unit JPY</t>
    </r>
    <phoneticPr fontId="5" type="noConversion"/>
  </si>
  <si>
    <r>
      <rPr>
        <sz val="10"/>
        <rFont val="宋体"/>
        <family val="3"/>
        <charset val="134"/>
      </rPr>
      <t>退还</t>
    </r>
    <r>
      <rPr>
        <sz val="10"/>
        <rFont val="Calibri"/>
        <family val="2"/>
      </rPr>
      <t>/Unit JPY</t>
    </r>
    <phoneticPr fontId="5" type="noConversion"/>
  </si>
  <si>
    <r>
      <rPr>
        <sz val="10"/>
        <rFont val="宋体"/>
        <family val="3"/>
        <charset val="134"/>
      </rPr>
      <t>退还</t>
    </r>
    <r>
      <rPr>
        <sz val="10"/>
        <rFont val="Calibri"/>
        <family val="2"/>
      </rPr>
      <t>/Unit RMB</t>
    </r>
    <phoneticPr fontId="5" type="noConversion"/>
  </si>
  <si>
    <r>
      <rPr>
        <sz val="10"/>
        <rFont val="宋体"/>
        <family val="3"/>
        <charset val="134"/>
      </rPr>
      <t>弃置</t>
    </r>
    <r>
      <rPr>
        <sz val="10"/>
        <rFont val="Calibri"/>
        <family val="2"/>
      </rPr>
      <t>/Unit JPY</t>
    </r>
    <phoneticPr fontId="5" type="noConversion"/>
  </si>
  <si>
    <r>
      <rPr>
        <sz val="10"/>
        <rFont val="宋体"/>
        <family val="3"/>
        <charset val="134"/>
      </rPr>
      <t>弃置</t>
    </r>
    <r>
      <rPr>
        <sz val="10"/>
        <rFont val="Calibri"/>
        <family val="2"/>
      </rPr>
      <t>/Unit RMB</t>
    </r>
    <phoneticPr fontId="5" type="noConversion"/>
  </si>
  <si>
    <t>FBA尺寸类别</t>
    <phoneticPr fontId="5" type="noConversion"/>
  </si>
  <si>
    <r>
      <t>加急配送</t>
    </r>
    <r>
      <rPr>
        <sz val="10"/>
        <rFont val="Calibri"/>
        <family val="2"/>
      </rPr>
      <t>/</t>
    </r>
    <r>
      <rPr>
        <sz val="10"/>
        <rFont val="宋体"/>
        <family val="3"/>
        <charset val="134"/>
      </rPr>
      <t>计划配送</t>
    </r>
    <phoneticPr fontId="5" type="noConversion"/>
  </si>
  <si>
    <t>JPY</t>
  </si>
  <si>
    <t>FBA配送费/Unit</t>
    <phoneticPr fontId="5" type="noConversion"/>
  </si>
  <si>
    <t>RMB</t>
  </si>
  <si>
    <t>RMB</t>
    <phoneticPr fontId="5" type="noConversion"/>
  </si>
  <si>
    <t>JPY</t>
    <phoneticPr fontId="5" type="noConversion"/>
  </si>
  <si>
    <t>多渠道配送/Unit</t>
    <phoneticPr fontId="5" type="noConversion"/>
  </si>
  <si>
    <t>标准配送</t>
    <phoneticPr fontId="5" type="noConversion"/>
  </si>
  <si>
    <t xml:space="preserve">多渠道配送费货到付款费用/Order </t>
    <phoneticPr fontId="5" type="noConversion"/>
  </si>
  <si>
    <t>体积/unit</t>
    <phoneticPr fontId="5" type="noConversion"/>
  </si>
  <si>
    <r>
      <t xml:space="preserve">                 使用说明：在标题为黑色区域输入产品参数自定义值，即可在标题为橙色区域区域得到计算结果。调查问卷：</t>
    </r>
    <r>
      <rPr>
        <i/>
        <u/>
        <sz val="10"/>
        <color theme="4"/>
        <rFont val="宋体"/>
        <family val="3"/>
        <charset val="134"/>
      </rPr>
      <t>https://www.wjx.cn/jq/48088007.aspx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</si>
</sst>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#,##0.00_ "/>
    <numFmt numFmtId="177" formatCode="#,##0_);[Red]\(#,##0\)"/>
    <numFmt numFmtId="178" formatCode="0.00_);[Red]\(0.00\)"/>
    <numFmt numFmtId="179" formatCode="#,##0_ "/>
  </numFmts>
  <fonts count="13" x14ac:knownFonts="1">
    <font>
      <sz val="11"/>
      <color theme="1"/>
      <name val="等线"/>
      <charset val="134"/>
      <scheme val="minor"/>
    </font>
    <font>
      <sz val="10"/>
      <color theme="1"/>
      <name val="Calibri"/>
      <family val="2"/>
    </font>
    <font>
      <sz val="10"/>
      <color theme="1"/>
      <name val="宋体"/>
      <family val="3"/>
      <charset val="134"/>
    </font>
    <font>
      <sz val="10"/>
      <color theme="0"/>
      <name val="Calibri"/>
      <family val="2"/>
    </font>
    <font>
      <sz val="10"/>
      <color theme="0"/>
      <name val="等线"/>
      <family val="3"/>
      <charset val="134"/>
    </font>
    <font>
      <sz val="9"/>
      <name val="等线"/>
      <family val="3"/>
      <charset val="134"/>
      <scheme val="minor"/>
    </font>
    <font>
      <sz val="10"/>
      <color theme="1"/>
      <name val="宋体"/>
      <family val="3"/>
      <charset val="134"/>
    </font>
    <font>
      <sz val="10"/>
      <color theme="0"/>
      <name val="等线"/>
      <family val="3"/>
      <charset val="134"/>
    </font>
    <font>
      <sz val="9"/>
      <name val="等线"/>
      <family val="3"/>
      <charset val="134"/>
      <scheme val="minor"/>
    </font>
    <font>
      <sz val="10"/>
      <name val="Calibri"/>
      <family val="2"/>
    </font>
    <font>
      <sz val="10"/>
      <name val="等线"/>
      <family val="3"/>
      <charset val="134"/>
    </font>
    <font>
      <sz val="10"/>
      <name val="宋体"/>
      <family val="3"/>
      <charset val="134"/>
    </font>
    <font>
      <i/>
      <u/>
      <sz val="10"/>
      <color theme="4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0"/>
      </left>
      <right style="thin">
        <color theme="1"/>
      </right>
      <top/>
      <bottom style="thin">
        <color theme="1"/>
      </bottom>
      <diagonal/>
    </border>
    <border>
      <left/>
      <right style="thin">
        <color theme="0"/>
      </right>
      <top/>
      <bottom style="thin">
        <color theme="1"/>
      </bottom>
      <diagonal/>
    </border>
    <border>
      <left style="thin">
        <color theme="0"/>
      </left>
      <right/>
      <top/>
      <bottom style="thin">
        <color theme="1"/>
      </bottom>
      <diagonal/>
    </border>
    <border>
      <left style="thin">
        <color theme="0"/>
      </left>
      <right style="thin">
        <color theme="0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0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theme="1"/>
      </bottom>
      <diagonal/>
    </border>
    <border>
      <left/>
      <right style="thin">
        <color theme="0"/>
      </right>
      <top style="thin">
        <color auto="1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0" xfId="0" applyFont="1"/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176" fontId="7" fillId="2" borderId="5" xfId="0" applyNumberFormat="1" applyFont="1" applyFill="1" applyBorder="1" applyAlignment="1" applyProtection="1">
      <alignment horizontal="center" vertical="center" wrapText="1"/>
      <protection hidden="1"/>
    </xf>
    <xf numFmtId="177" fontId="3" fillId="2" borderId="8" xfId="0" applyNumberFormat="1" applyFont="1" applyFill="1" applyBorder="1" applyAlignment="1" applyProtection="1">
      <alignment horizontal="center" vertical="center" wrapText="1"/>
      <protection hidden="1"/>
    </xf>
    <xf numFmtId="0" fontId="6" fillId="0" borderId="0" xfId="0" applyFont="1" applyBorder="1" applyAlignment="1" applyProtection="1">
      <alignment vertical="center"/>
      <protection locked="0"/>
    </xf>
    <xf numFmtId="0" fontId="3" fillId="2" borderId="0" xfId="0" applyFont="1" applyFill="1" applyBorder="1" applyAlignment="1" applyProtection="1">
      <alignment horizontal="center" vertical="center" wrapText="1"/>
      <protection hidden="1"/>
    </xf>
    <xf numFmtId="0" fontId="2" fillId="0" borderId="0" xfId="0" applyFont="1" applyBorder="1" applyAlignment="1" applyProtection="1">
      <alignment horizontal="left" vertical="center"/>
      <protection locked="0"/>
    </xf>
    <xf numFmtId="0" fontId="3" fillId="2" borderId="15" xfId="0" applyFont="1" applyFill="1" applyBorder="1" applyAlignment="1" applyProtection="1">
      <alignment horizontal="center" vertical="center" wrapText="1"/>
      <protection hidden="1"/>
    </xf>
    <xf numFmtId="0" fontId="3" fillId="2" borderId="17" xfId="0" applyFont="1" applyFill="1" applyBorder="1" applyAlignment="1" applyProtection="1">
      <alignment horizontal="center" vertical="center" wrapText="1"/>
      <protection hidden="1"/>
    </xf>
    <xf numFmtId="176" fontId="3" fillId="2" borderId="2" xfId="0" applyNumberFormat="1" applyFont="1" applyFill="1" applyBorder="1" applyAlignment="1" applyProtection="1">
      <alignment horizontal="center" vertical="center" wrapText="1"/>
      <protection hidden="1"/>
    </xf>
    <xf numFmtId="176" fontId="7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1" fillId="0" borderId="0" xfId="0" applyFont="1" applyFill="1" applyProtection="1">
      <protection locked="0"/>
    </xf>
    <xf numFmtId="0" fontId="1" fillId="0" borderId="0" xfId="0" applyFont="1" applyFill="1" applyProtection="1"/>
    <xf numFmtId="176" fontId="1" fillId="0" borderId="0" xfId="0" applyNumberFormat="1" applyFont="1" applyFill="1" applyProtection="1"/>
    <xf numFmtId="0" fontId="1" fillId="0" borderId="0" xfId="0" applyFont="1" applyFill="1" applyProtection="1">
      <protection locked="0" hidden="1"/>
    </xf>
    <xf numFmtId="176" fontId="1" fillId="0" borderId="0" xfId="0" applyNumberFormat="1" applyFont="1" applyFill="1" applyProtection="1">
      <protection hidden="1"/>
    </xf>
    <xf numFmtId="179" fontId="1" fillId="0" borderId="3" xfId="0" applyNumberFormat="1" applyFont="1" applyFill="1" applyBorder="1" applyProtection="1">
      <protection locked="0"/>
    </xf>
    <xf numFmtId="0" fontId="1" fillId="0" borderId="3" xfId="0" applyFont="1" applyFill="1" applyBorder="1" applyAlignment="1" applyProtection="1">
      <alignment horizontal="right"/>
      <protection locked="0"/>
    </xf>
    <xf numFmtId="179" fontId="1" fillId="0" borderId="3" xfId="0" applyNumberFormat="1" applyFont="1" applyFill="1" applyBorder="1" applyAlignment="1" applyProtection="1">
      <alignment horizontal="right"/>
      <protection locked="0"/>
    </xf>
    <xf numFmtId="0" fontId="1" fillId="0" borderId="3" xfId="0" applyFont="1" applyFill="1" applyBorder="1" applyProtection="1">
      <protection locked="0"/>
    </xf>
    <xf numFmtId="0" fontId="1" fillId="0" borderId="0" xfId="0" applyFont="1" applyFill="1" applyAlignment="1" applyProtection="1">
      <alignment horizontal="right"/>
      <protection hidden="1"/>
    </xf>
    <xf numFmtId="0" fontId="2" fillId="0" borderId="3" xfId="0" applyFont="1" applyFill="1" applyBorder="1" applyAlignment="1" applyProtection="1">
      <alignment horizontal="right"/>
      <protection hidden="1"/>
    </xf>
    <xf numFmtId="0" fontId="1" fillId="0" borderId="3" xfId="0" applyFont="1" applyFill="1" applyBorder="1" applyAlignment="1" applyProtection="1">
      <alignment horizontal="right"/>
      <protection hidden="1"/>
    </xf>
    <xf numFmtId="176" fontId="1" fillId="0" borderId="3" xfId="0" applyNumberFormat="1" applyFont="1" applyFill="1" applyBorder="1" applyAlignment="1" applyProtection="1">
      <alignment horizontal="right"/>
      <protection hidden="1"/>
    </xf>
    <xf numFmtId="176" fontId="9" fillId="0" borderId="3" xfId="0" applyNumberFormat="1" applyFont="1" applyFill="1" applyBorder="1" applyProtection="1">
      <protection hidden="1"/>
    </xf>
    <xf numFmtId="0" fontId="9" fillId="3" borderId="15" xfId="0" applyFont="1" applyFill="1" applyBorder="1" applyAlignment="1" applyProtection="1">
      <alignment horizontal="center" vertical="center" wrapText="1"/>
      <protection hidden="1"/>
    </xf>
    <xf numFmtId="0" fontId="9" fillId="3" borderId="17" xfId="0" applyFont="1" applyFill="1" applyBorder="1" applyAlignment="1" applyProtection="1">
      <alignment horizontal="center" vertical="center" wrapText="1"/>
      <protection hidden="1"/>
    </xf>
    <xf numFmtId="176" fontId="9" fillId="3" borderId="2" xfId="0" applyNumberFormat="1" applyFont="1" applyFill="1" applyBorder="1" applyAlignment="1" applyProtection="1">
      <alignment horizontal="center" vertical="center" wrapText="1"/>
      <protection hidden="1"/>
    </xf>
    <xf numFmtId="176" fontId="10" fillId="3" borderId="16" xfId="0" applyNumberFormat="1" applyFont="1" applyFill="1" applyBorder="1" applyAlignment="1" applyProtection="1">
      <alignment horizontal="center" vertical="center" wrapText="1"/>
      <protection hidden="1"/>
    </xf>
    <xf numFmtId="176" fontId="10" fillId="3" borderId="18" xfId="0" applyNumberFormat="1" applyFont="1" applyFill="1" applyBorder="1" applyAlignment="1" applyProtection="1">
      <alignment horizontal="center" vertical="center" wrapText="1"/>
      <protection hidden="1"/>
    </xf>
    <xf numFmtId="176" fontId="10" fillId="3" borderId="19" xfId="0" applyNumberFormat="1" applyFont="1" applyFill="1" applyBorder="1" applyAlignment="1" applyProtection="1">
      <alignment horizontal="center" vertical="center" wrapText="1"/>
      <protection hidden="1"/>
    </xf>
    <xf numFmtId="176" fontId="10" fillId="3" borderId="20" xfId="0" applyNumberFormat="1" applyFont="1" applyFill="1" applyBorder="1" applyAlignment="1" applyProtection="1">
      <alignment horizontal="center" vertical="center" wrapText="1"/>
      <protection hidden="1"/>
    </xf>
    <xf numFmtId="176" fontId="10" fillId="3" borderId="21" xfId="0" applyNumberFormat="1" applyFont="1" applyFill="1" applyBorder="1" applyAlignment="1" applyProtection="1">
      <alignment horizontal="center" vertical="center" wrapText="1"/>
      <protection hidden="1"/>
    </xf>
    <xf numFmtId="176" fontId="10" fillId="3" borderId="2" xfId="0" applyNumberFormat="1" applyFont="1" applyFill="1" applyBorder="1" applyAlignment="1" applyProtection="1">
      <alignment horizontal="center" vertical="center" wrapText="1"/>
      <protection hidden="1"/>
    </xf>
    <xf numFmtId="178" fontId="9" fillId="3" borderId="8" xfId="0" applyNumberFormat="1" applyFont="1" applyFill="1" applyBorder="1" applyAlignment="1" applyProtection="1">
      <alignment horizontal="center" vertical="center" wrapText="1"/>
      <protection hidden="1"/>
    </xf>
    <xf numFmtId="178" fontId="9" fillId="3" borderId="6" xfId="0" applyNumberFormat="1" applyFont="1" applyFill="1" applyBorder="1" applyAlignment="1" applyProtection="1">
      <alignment horizontal="center" vertical="center" wrapText="1"/>
      <protection hidden="1"/>
    </xf>
    <xf numFmtId="176" fontId="10" fillId="3" borderId="4" xfId="0" applyNumberFormat="1" applyFont="1" applyFill="1" applyBorder="1" applyAlignment="1" applyProtection="1">
      <alignment horizontal="center" vertical="center" wrapText="1"/>
      <protection hidden="1"/>
    </xf>
    <xf numFmtId="176" fontId="10" fillId="3" borderId="6" xfId="0" applyNumberFormat="1" applyFont="1" applyFill="1" applyBorder="1" applyAlignment="1" applyProtection="1">
      <alignment horizontal="center" vertical="center" wrapText="1"/>
      <protection hidden="1"/>
    </xf>
    <xf numFmtId="0" fontId="6" fillId="0" borderId="13" xfId="0" applyFont="1" applyBorder="1" applyAlignment="1" applyProtection="1">
      <alignment vertical="center"/>
      <protection locked="0"/>
    </xf>
    <xf numFmtId="0" fontId="2" fillId="0" borderId="0" xfId="0" applyFont="1" applyBorder="1" applyAlignment="1" applyProtection="1">
      <alignment vertical="center"/>
      <protection locked="0"/>
    </xf>
    <xf numFmtId="0" fontId="1" fillId="0" borderId="0" xfId="0" applyFont="1" applyAlignment="1" applyProtection="1">
      <protection locked="0"/>
    </xf>
    <xf numFmtId="0" fontId="1" fillId="0" borderId="9" xfId="0" applyFont="1" applyFill="1" applyBorder="1" applyAlignment="1" applyProtection="1">
      <alignment horizontal="right"/>
      <protection locked="0"/>
    </xf>
    <xf numFmtId="178" fontId="2" fillId="0" borderId="3" xfId="0" applyNumberFormat="1" applyFont="1" applyFill="1" applyBorder="1" applyAlignment="1" applyProtection="1">
      <alignment horizontal="right"/>
      <protection hidden="1"/>
    </xf>
    <xf numFmtId="178" fontId="1" fillId="0" borderId="3" xfId="0" applyNumberFormat="1" applyFont="1" applyFill="1" applyBorder="1" applyAlignment="1" applyProtection="1">
      <alignment horizontal="right"/>
      <protection hidden="1"/>
    </xf>
    <xf numFmtId="176" fontId="1" fillId="0" borderId="3" xfId="0" applyNumberFormat="1" applyFont="1" applyFill="1" applyBorder="1" applyProtection="1">
      <protection hidden="1"/>
    </xf>
    <xf numFmtId="176" fontId="1" fillId="0" borderId="11" xfId="0" applyNumberFormat="1" applyFont="1" applyFill="1" applyBorder="1" applyProtection="1">
      <protection hidden="1"/>
    </xf>
    <xf numFmtId="0" fontId="1" fillId="0" borderId="1" xfId="0" applyFont="1" applyFill="1" applyBorder="1" applyAlignment="1" applyProtection="1">
      <alignment horizontal="right"/>
      <protection hidden="1"/>
    </xf>
    <xf numFmtId="177" fontId="1" fillId="0" borderId="3" xfId="0" applyNumberFormat="1" applyFont="1" applyFill="1" applyBorder="1" applyAlignment="1" applyProtection="1">
      <alignment horizontal="right"/>
      <protection hidden="1"/>
    </xf>
    <xf numFmtId="176" fontId="1" fillId="0" borderId="10" xfId="0" applyNumberFormat="1" applyFont="1" applyFill="1" applyBorder="1" applyProtection="1">
      <protection hidden="1"/>
    </xf>
    <xf numFmtId="176" fontId="1" fillId="0" borderId="0" xfId="0" applyNumberFormat="1" applyFont="1" applyFill="1" applyProtection="1">
      <protection locked="0"/>
    </xf>
    <xf numFmtId="177" fontId="1" fillId="0" borderId="0" xfId="0" applyNumberFormat="1" applyFont="1" applyFill="1" applyProtection="1">
      <protection locked="0"/>
    </xf>
    <xf numFmtId="0" fontId="1" fillId="0" borderId="0" xfId="0" applyFont="1" applyFill="1" applyProtection="1">
      <protection hidden="1"/>
    </xf>
    <xf numFmtId="0" fontId="4" fillId="2" borderId="6" xfId="0" applyFont="1" applyFill="1" applyBorder="1" applyAlignment="1" applyProtection="1">
      <alignment horizontal="center" vertical="center" wrapText="1"/>
      <protection hidden="1"/>
    </xf>
    <xf numFmtId="0" fontId="4" fillId="2" borderId="7" xfId="0" applyFont="1" applyFill="1" applyBorder="1" applyAlignment="1" applyProtection="1">
      <alignment horizontal="center" vertical="center" wrapText="1"/>
      <protection hidden="1"/>
    </xf>
    <xf numFmtId="0" fontId="4" fillId="2" borderId="8" xfId="0" applyFont="1" applyFill="1" applyBorder="1" applyAlignment="1" applyProtection="1">
      <alignment horizontal="center" vertical="center" wrapText="1"/>
      <protection hidden="1"/>
    </xf>
    <xf numFmtId="177" fontId="1" fillId="0" borderId="0" xfId="0" applyNumberFormat="1" applyFont="1" applyFill="1" applyProtection="1">
      <protection hidden="1"/>
    </xf>
    <xf numFmtId="0" fontId="4" fillId="2" borderId="2" xfId="0" applyFont="1" applyFill="1" applyBorder="1" applyAlignment="1" applyProtection="1">
      <alignment horizontal="center" vertical="center" wrapText="1"/>
      <protection hidden="1"/>
    </xf>
    <xf numFmtId="0" fontId="4" fillId="2" borderId="0" xfId="0" applyFont="1" applyFill="1" applyBorder="1" applyAlignment="1" applyProtection="1">
      <alignment horizontal="center" vertical="center" wrapText="1"/>
      <protection hidden="1"/>
    </xf>
    <xf numFmtId="0" fontId="4" fillId="2" borderId="15" xfId="0" applyFont="1" applyFill="1" applyBorder="1" applyAlignment="1" applyProtection="1">
      <alignment horizontal="center" vertical="center" wrapText="1"/>
      <protection hidden="1"/>
    </xf>
    <xf numFmtId="0" fontId="7" fillId="2" borderId="15" xfId="0" applyFont="1" applyFill="1" applyBorder="1" applyAlignment="1" applyProtection="1">
      <alignment horizontal="center" vertical="center" wrapText="1"/>
      <protection hidden="1"/>
    </xf>
    <xf numFmtId="0" fontId="3" fillId="2" borderId="16" xfId="0" applyFont="1" applyFill="1" applyBorder="1" applyAlignment="1" applyProtection="1">
      <alignment horizontal="center" vertical="center" wrapText="1"/>
      <protection hidden="1"/>
    </xf>
    <xf numFmtId="0" fontId="4" fillId="2" borderId="16" xfId="0" applyFont="1" applyFill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178" fontId="10" fillId="3" borderId="8" xfId="0" applyNumberFormat="1" applyFont="1" applyFill="1" applyBorder="1" applyAlignment="1" applyProtection="1">
      <alignment horizontal="center" vertical="center" wrapText="1"/>
      <protection hidden="1"/>
    </xf>
    <xf numFmtId="0" fontId="1" fillId="0" borderId="24" xfId="0" applyFont="1" applyFill="1" applyBorder="1" applyAlignment="1" applyProtection="1">
      <alignment horizontal="right"/>
      <protection locked="0"/>
    </xf>
    <xf numFmtId="178" fontId="9" fillId="3" borderId="25" xfId="0" applyNumberFormat="1" applyFont="1" applyFill="1" applyBorder="1" applyAlignment="1" applyProtection="1">
      <alignment horizontal="center" vertical="center" wrapText="1"/>
      <protection hidden="1"/>
    </xf>
    <xf numFmtId="178" fontId="9" fillId="3" borderId="23" xfId="0" applyNumberFormat="1" applyFont="1" applyFill="1" applyBorder="1" applyAlignment="1" applyProtection="1">
      <alignment horizontal="center" vertical="center" wrapText="1"/>
      <protection hidden="1"/>
    </xf>
    <xf numFmtId="178" fontId="9" fillId="3" borderId="8" xfId="0" applyNumberFormat="1" applyFont="1" applyFill="1" applyBorder="1" applyAlignment="1" applyProtection="1">
      <alignment horizontal="center" vertical="center"/>
      <protection hidden="1"/>
    </xf>
    <xf numFmtId="178" fontId="9" fillId="3" borderId="6" xfId="0" applyNumberFormat="1" applyFont="1" applyFill="1" applyBorder="1" applyAlignment="1" applyProtection="1">
      <alignment horizontal="center" vertical="center"/>
      <protection hidden="1"/>
    </xf>
    <xf numFmtId="0" fontId="1" fillId="0" borderId="0" xfId="0" applyFont="1" applyFill="1" applyAlignment="1" applyProtection="1">
      <protection hidden="1"/>
    </xf>
    <xf numFmtId="176" fontId="10" fillId="3" borderId="8" xfId="0" applyNumberFormat="1" applyFont="1" applyFill="1" applyBorder="1" applyAlignment="1" applyProtection="1">
      <alignment horizontal="center" vertical="center" wrapText="1"/>
      <protection hidden="1"/>
    </xf>
    <xf numFmtId="0" fontId="4" fillId="2" borderId="0" xfId="0" applyFont="1" applyFill="1" applyBorder="1" applyAlignment="1" applyProtection="1">
      <alignment horizontal="center" vertical="center" wrapText="1"/>
      <protection hidden="1"/>
    </xf>
    <xf numFmtId="0" fontId="4" fillId="2" borderId="4" xfId="0" applyFont="1" applyFill="1" applyBorder="1" applyAlignment="1" applyProtection="1">
      <alignment horizontal="center" vertical="center" wrapText="1"/>
      <protection hidden="1"/>
    </xf>
    <xf numFmtId="0" fontId="4" fillId="2" borderId="2" xfId="0" applyFont="1" applyFill="1" applyBorder="1" applyAlignment="1" applyProtection="1">
      <alignment horizontal="center" vertical="center" wrapText="1"/>
      <protection hidden="1"/>
    </xf>
    <xf numFmtId="0" fontId="4" fillId="2" borderId="6" xfId="0" applyFont="1" applyFill="1" applyBorder="1" applyAlignment="1" applyProtection="1">
      <alignment horizontal="center" vertical="center" wrapText="1"/>
      <protection hidden="1"/>
    </xf>
    <xf numFmtId="0" fontId="1" fillId="0" borderId="3" xfId="0" applyFont="1" applyFill="1" applyBorder="1" applyProtection="1">
      <protection hidden="1"/>
    </xf>
    <xf numFmtId="0" fontId="1" fillId="0" borderId="1" xfId="0" applyFont="1" applyFill="1" applyBorder="1" applyProtection="1">
      <protection hidden="1"/>
    </xf>
    <xf numFmtId="0" fontId="1" fillId="0" borderId="10" xfId="0" applyFont="1" applyFill="1" applyBorder="1" applyProtection="1">
      <protection hidden="1"/>
    </xf>
    <xf numFmtId="0" fontId="2" fillId="0" borderId="12" xfId="0" applyFont="1" applyBorder="1" applyAlignment="1" applyProtection="1">
      <alignment horizontal="left" vertical="center"/>
      <protection hidden="1"/>
    </xf>
    <xf numFmtId="0" fontId="6" fillId="0" borderId="13" xfId="0" applyFont="1" applyBorder="1" applyAlignment="1" applyProtection="1">
      <alignment horizontal="left" vertical="center"/>
      <protection hidden="1"/>
    </xf>
    <xf numFmtId="0" fontId="6" fillId="0" borderId="14" xfId="0" applyFont="1" applyBorder="1" applyAlignment="1" applyProtection="1">
      <alignment horizontal="left" vertical="center"/>
      <protection hidden="1"/>
    </xf>
    <xf numFmtId="0" fontId="4" fillId="2" borderId="22" xfId="0" applyFont="1" applyFill="1" applyBorder="1" applyAlignment="1" applyProtection="1">
      <alignment horizontal="center" vertical="center" wrapText="1"/>
      <protection hidden="1"/>
    </xf>
    <xf numFmtId="0" fontId="4" fillId="2" borderId="0" xfId="0" applyFont="1" applyFill="1" applyBorder="1" applyAlignment="1" applyProtection="1">
      <alignment horizontal="center" vertical="center" wrapText="1"/>
      <protection hidden="1"/>
    </xf>
    <xf numFmtId="0" fontId="4" fillId="2" borderId="4" xfId="0" applyFont="1" applyFill="1" applyBorder="1" applyAlignment="1" applyProtection="1">
      <alignment horizontal="center" vertical="center" wrapText="1"/>
      <protection hidden="1"/>
    </xf>
    <xf numFmtId="0" fontId="4" fillId="2" borderId="25" xfId="0" applyFont="1" applyFill="1" applyBorder="1" applyAlignment="1" applyProtection="1">
      <alignment horizontal="center" vertical="center" wrapText="1"/>
      <protection hidden="1"/>
    </xf>
    <xf numFmtId="0" fontId="4" fillId="2" borderId="17" xfId="0" applyFont="1" applyFill="1" applyBorder="1" applyAlignment="1" applyProtection="1">
      <alignment horizontal="center" vertical="center" wrapText="1"/>
      <protection hidden="1"/>
    </xf>
    <xf numFmtId="0" fontId="4" fillId="2" borderId="26" xfId="0" applyFont="1" applyFill="1" applyBorder="1" applyAlignment="1" applyProtection="1">
      <alignment horizontal="center" vertical="center" wrapText="1"/>
      <protection hidden="1"/>
    </xf>
    <xf numFmtId="0" fontId="4" fillId="2" borderId="23" xfId="0" applyFont="1" applyFill="1" applyBorder="1" applyAlignment="1" applyProtection="1">
      <alignment horizontal="center" vertical="center" wrapText="1"/>
      <protection hidden="1"/>
    </xf>
    <xf numFmtId="0" fontId="4" fillId="2" borderId="2" xfId="0" applyFont="1" applyFill="1" applyBorder="1" applyAlignment="1" applyProtection="1">
      <alignment horizontal="center" vertical="center" wrapText="1"/>
      <protection hidden="1"/>
    </xf>
    <xf numFmtId="0" fontId="4" fillId="2" borderId="6" xfId="0" applyFont="1" applyFill="1" applyBorder="1" applyAlignment="1" applyProtection="1">
      <alignment horizontal="center" vertical="center" wrapText="1"/>
      <protection hidden="1"/>
    </xf>
    <xf numFmtId="0" fontId="11" fillId="4" borderId="23" xfId="0" applyFont="1" applyFill="1" applyBorder="1" applyAlignment="1" applyProtection="1">
      <alignment horizontal="center" vertical="center" wrapText="1"/>
      <protection hidden="1"/>
    </xf>
    <xf numFmtId="0" fontId="11" fillId="4" borderId="2" xfId="0" applyFont="1" applyFill="1" applyBorder="1" applyAlignment="1" applyProtection="1">
      <alignment horizontal="center" vertical="center" wrapText="1"/>
      <protection hidden="1"/>
    </xf>
    <xf numFmtId="0" fontId="11" fillId="4" borderId="6" xfId="0" applyFont="1" applyFill="1" applyBorder="1" applyAlignment="1" applyProtection="1">
      <alignment horizontal="center" vertical="center" wrapText="1"/>
      <protection hidden="1"/>
    </xf>
    <xf numFmtId="178" fontId="11" fillId="3" borderId="27" xfId="0" applyNumberFormat="1" applyFont="1" applyFill="1" applyBorder="1" applyAlignment="1" applyProtection="1">
      <alignment horizontal="center" vertical="center" wrapText="1"/>
      <protection hidden="1"/>
    </xf>
    <xf numFmtId="178" fontId="11" fillId="3" borderId="23" xfId="0" applyNumberFormat="1" applyFont="1" applyFill="1" applyBorder="1" applyAlignment="1" applyProtection="1">
      <alignment horizontal="center" vertical="center" wrapText="1"/>
      <protection hidden="1"/>
    </xf>
    <xf numFmtId="178" fontId="11" fillId="3" borderId="28" xfId="0" applyNumberFormat="1" applyFont="1" applyFill="1" applyBorder="1" applyAlignment="1" applyProtection="1">
      <alignment horizontal="center" vertical="center" wrapText="1"/>
      <protection hidden="1"/>
    </xf>
    <xf numFmtId="178" fontId="11" fillId="3" borderId="29" xfId="0" applyNumberFormat="1" applyFont="1" applyFill="1" applyBorder="1" applyAlignment="1" applyProtection="1">
      <alignment horizontal="center" vertical="center" wrapText="1"/>
      <protection hidden="1"/>
    </xf>
    <xf numFmtId="0" fontId="4" fillId="2" borderId="8" xfId="0" applyFont="1" applyFill="1" applyBorder="1" applyAlignment="1" applyProtection="1">
      <alignment horizontal="center" vertical="center" wrapText="1"/>
      <protection hidden="1"/>
    </xf>
    <xf numFmtId="176" fontId="10" fillId="3" borderId="25" xfId="0" applyNumberFormat="1" applyFont="1" applyFill="1" applyBorder="1" applyAlignment="1" applyProtection="1">
      <alignment horizontal="center" vertical="center" wrapText="1"/>
      <protection hidden="1"/>
    </xf>
    <xf numFmtId="176" fontId="10" fillId="3" borderId="17" xfId="0" applyNumberFormat="1" applyFont="1" applyFill="1" applyBorder="1" applyAlignment="1" applyProtection="1">
      <alignment horizontal="center" vertical="center" wrapText="1"/>
      <protection hidden="1"/>
    </xf>
    <xf numFmtId="176" fontId="10" fillId="3" borderId="8" xfId="0" applyNumberFormat="1" applyFont="1" applyFill="1" applyBorder="1" applyAlignment="1" applyProtection="1">
      <alignment horizontal="center" vertical="center" wrapText="1"/>
      <protection hidden="1"/>
    </xf>
    <xf numFmtId="176" fontId="10" fillId="3" borderId="27" xfId="0" applyNumberFormat="1" applyFont="1" applyFill="1" applyBorder="1" applyAlignment="1" applyProtection="1">
      <alignment horizontal="center" vertical="center" wrapText="1"/>
      <protection hidden="1"/>
    </xf>
    <xf numFmtId="176" fontId="10" fillId="3" borderId="15" xfId="0" applyNumberFormat="1" applyFont="1" applyFill="1" applyBorder="1" applyAlignment="1" applyProtection="1">
      <alignment horizontal="center" vertical="center" wrapText="1"/>
      <protection hidden="1"/>
    </xf>
    <xf numFmtId="176" fontId="10" fillId="3" borderId="7" xfId="0" applyNumberFormat="1" applyFont="1" applyFill="1" applyBorder="1" applyAlignment="1" applyProtection="1">
      <alignment horizontal="center" vertical="center" wrapText="1"/>
      <protection hidden="1"/>
    </xf>
    <xf numFmtId="0" fontId="6" fillId="0" borderId="12" xfId="0" applyFont="1" applyBorder="1" applyAlignment="1" applyProtection="1">
      <alignment horizontal="left" vertical="center"/>
      <protection hidden="1"/>
    </xf>
    <xf numFmtId="178" fontId="10" fillId="3" borderId="12" xfId="0" applyNumberFormat="1" applyFont="1" applyFill="1" applyBorder="1" applyAlignment="1" applyProtection="1">
      <alignment horizontal="center" vertical="center" wrapText="1"/>
      <protection hidden="1"/>
    </xf>
    <xf numFmtId="178" fontId="10" fillId="3" borderId="13" xfId="0" applyNumberFormat="1" applyFont="1" applyFill="1" applyBorder="1" applyAlignment="1" applyProtection="1">
      <alignment horizontal="center" vertical="center" wrapText="1"/>
      <protection hidden="1"/>
    </xf>
    <xf numFmtId="178" fontId="10" fillId="3" borderId="14" xfId="0" applyNumberFormat="1" applyFont="1" applyFill="1" applyBorder="1" applyAlignment="1" applyProtection="1">
      <alignment horizontal="center" vertical="center" wrapText="1"/>
      <protection hidden="1"/>
    </xf>
    <xf numFmtId="178" fontId="10" fillId="3" borderId="12" xfId="0" applyNumberFormat="1" applyFont="1" applyFill="1" applyBorder="1" applyAlignment="1" applyProtection="1">
      <alignment horizontal="center" vertical="center"/>
      <protection hidden="1"/>
    </xf>
    <xf numFmtId="178" fontId="9" fillId="3" borderId="14" xfId="0" applyNumberFormat="1" applyFont="1" applyFill="1" applyBorder="1" applyAlignment="1" applyProtection="1">
      <alignment horizontal="center" vertical="center"/>
      <protection hidden="1"/>
    </xf>
    <xf numFmtId="178" fontId="11" fillId="3" borderId="12" xfId="0" applyNumberFormat="1" applyFont="1" applyFill="1" applyBorder="1" applyAlignment="1" applyProtection="1">
      <alignment horizontal="center" vertical="center"/>
      <protection hidden="1"/>
    </xf>
    <xf numFmtId="178" fontId="11" fillId="3" borderId="14" xfId="0" applyNumberFormat="1" applyFont="1" applyFill="1" applyBorder="1" applyAlignment="1" applyProtection="1">
      <alignment horizontal="center" vertical="center"/>
      <protection hidden="1"/>
    </xf>
    <xf numFmtId="0" fontId="6" fillId="0" borderId="0" xfId="0" applyFont="1" applyBorder="1" applyAlignment="1" applyProtection="1">
      <alignment horizontal="left" vertical="center"/>
      <protection hidden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85725</xdr:rowOff>
    </xdr:from>
    <xdr:to>
      <xdr:col>1</xdr:col>
      <xdr:colOff>381000</xdr:colOff>
      <xdr:row>0</xdr:row>
      <xdr:rowOff>455015</xdr:rowOff>
    </xdr:to>
    <xdr:pic>
      <xdr:nvPicPr>
        <xdr:cNvPr id="3" name="图片 2" descr="QQ截图2019072617152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85725"/>
          <a:ext cx="971550" cy="3692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85726</xdr:rowOff>
    </xdr:from>
    <xdr:to>
      <xdr:col>1</xdr:col>
      <xdr:colOff>390525</xdr:colOff>
      <xdr:row>0</xdr:row>
      <xdr:rowOff>447675</xdr:rowOff>
    </xdr:to>
    <xdr:pic>
      <xdr:nvPicPr>
        <xdr:cNvPr id="2" name="图片 1" descr="QQ截图2019072617152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85726"/>
          <a:ext cx="981075" cy="36194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95250</xdr:rowOff>
    </xdr:from>
    <xdr:to>
      <xdr:col>1</xdr:col>
      <xdr:colOff>419100</xdr:colOff>
      <xdr:row>0</xdr:row>
      <xdr:rowOff>464540</xdr:rowOff>
    </xdr:to>
    <xdr:pic>
      <xdr:nvPicPr>
        <xdr:cNvPr id="2" name="图片 1" descr="QQ截图2019072617152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95250"/>
          <a:ext cx="971550" cy="3692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95249</xdr:rowOff>
    </xdr:from>
    <xdr:to>
      <xdr:col>1</xdr:col>
      <xdr:colOff>381000</xdr:colOff>
      <xdr:row>0</xdr:row>
      <xdr:rowOff>466725</xdr:rowOff>
    </xdr:to>
    <xdr:pic>
      <xdr:nvPicPr>
        <xdr:cNvPr id="2" name="图片 1" descr="QQ截图2019072617152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95249"/>
          <a:ext cx="952500" cy="37147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95249</xdr:rowOff>
    </xdr:from>
    <xdr:to>
      <xdr:col>1</xdr:col>
      <xdr:colOff>381000</xdr:colOff>
      <xdr:row>0</xdr:row>
      <xdr:rowOff>438150</xdr:rowOff>
    </xdr:to>
    <xdr:pic>
      <xdr:nvPicPr>
        <xdr:cNvPr id="2" name="图片 1" descr="QQ截图2019072617152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95249"/>
          <a:ext cx="952500" cy="34290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85726</xdr:rowOff>
    </xdr:from>
    <xdr:to>
      <xdr:col>1</xdr:col>
      <xdr:colOff>381000</xdr:colOff>
      <xdr:row>0</xdr:row>
      <xdr:rowOff>466726</xdr:rowOff>
    </xdr:to>
    <xdr:pic>
      <xdr:nvPicPr>
        <xdr:cNvPr id="2" name="图片 1" descr="QQ截图2019072617152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85726"/>
          <a:ext cx="971550" cy="381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5"/>
  <sheetViews>
    <sheetView tabSelected="1" workbookViewId="0">
      <selection activeCell="J10" sqref="J10"/>
    </sheetView>
  </sheetViews>
  <sheetFormatPr defaultColWidth="9" defaultRowHeight="12.75" x14ac:dyDescent="0.2"/>
  <cols>
    <col min="1" max="1" width="8.625" style="13" customWidth="1"/>
    <col min="2" max="4" width="9" style="13" customWidth="1"/>
    <col min="5" max="5" width="12.125" style="13" customWidth="1"/>
    <col min="6" max="6" width="13.5" style="53" customWidth="1"/>
    <col min="7" max="7" width="8.125" style="53" customWidth="1"/>
    <col min="8" max="8" width="8.125" style="57" customWidth="1"/>
    <col min="9" max="9" width="8.875" style="13" customWidth="1"/>
    <col min="10" max="10" width="8.75" style="13" customWidth="1"/>
    <col min="11" max="11" width="10.25" style="13" customWidth="1"/>
    <col min="12" max="15" width="10.25" style="17" customWidth="1"/>
    <col min="16" max="16" width="11.625" style="17" customWidth="1"/>
    <col min="17" max="23" width="8.625" style="13" hidden="1" customWidth="1"/>
    <col min="24" max="24" width="8.625" style="53" hidden="1" customWidth="1"/>
    <col min="25" max="30" width="8.625" style="13" hidden="1" customWidth="1"/>
    <col min="31" max="16384" width="9" style="13"/>
  </cols>
  <sheetData>
    <row r="1" spans="1:31" s="6" customFormat="1" ht="42.95" customHeight="1" x14ac:dyDescent="0.2">
      <c r="A1" s="80" t="s">
        <v>74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2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</row>
    <row r="2" spans="1:31" s="3" customFormat="1" ht="37.5" customHeight="1" x14ac:dyDescent="0.2">
      <c r="A2" s="83" t="s">
        <v>1</v>
      </c>
      <c r="B2" s="86" t="s">
        <v>8</v>
      </c>
      <c r="C2" s="89" t="s">
        <v>9</v>
      </c>
      <c r="D2" s="89" t="s">
        <v>10</v>
      </c>
      <c r="E2" s="89" t="s">
        <v>11</v>
      </c>
      <c r="F2" s="92" t="s">
        <v>63</v>
      </c>
      <c r="G2" s="95" t="s">
        <v>66</v>
      </c>
      <c r="H2" s="96"/>
      <c r="I2" s="86" t="s">
        <v>14</v>
      </c>
      <c r="J2" s="86" t="s">
        <v>15</v>
      </c>
      <c r="K2" s="86" t="s">
        <v>16</v>
      </c>
      <c r="L2" s="100" t="s">
        <v>45</v>
      </c>
      <c r="M2" s="100" t="s">
        <v>46</v>
      </c>
      <c r="N2" s="100" t="s">
        <v>47</v>
      </c>
      <c r="O2" s="100" t="s">
        <v>48</v>
      </c>
      <c r="P2" s="103" t="s">
        <v>49</v>
      </c>
      <c r="Q2" s="74" t="s">
        <v>17</v>
      </c>
      <c r="R2" s="74" t="s">
        <v>18</v>
      </c>
      <c r="S2" s="74" t="s">
        <v>73</v>
      </c>
      <c r="T2" s="74" t="s">
        <v>20</v>
      </c>
      <c r="U2" s="74" t="s">
        <v>21</v>
      </c>
      <c r="V2" s="74" t="s">
        <v>22</v>
      </c>
      <c r="W2" s="74" t="s">
        <v>23</v>
      </c>
      <c r="X2" s="7" t="s">
        <v>0</v>
      </c>
      <c r="Y2" s="75" t="s">
        <v>2</v>
      </c>
      <c r="Z2" s="75" t="s">
        <v>3</v>
      </c>
      <c r="AA2" s="76" t="s">
        <v>4</v>
      </c>
      <c r="AB2" s="76" t="s">
        <v>5</v>
      </c>
      <c r="AC2" s="76" t="s">
        <v>6</v>
      </c>
      <c r="AD2" s="76" t="s">
        <v>7</v>
      </c>
      <c r="AE2" s="64"/>
    </row>
    <row r="3" spans="1:31" s="3" customFormat="1" ht="22.5" customHeight="1" x14ac:dyDescent="0.2">
      <c r="A3" s="84"/>
      <c r="B3" s="87"/>
      <c r="C3" s="90"/>
      <c r="D3" s="90"/>
      <c r="E3" s="90"/>
      <c r="F3" s="93"/>
      <c r="G3" s="97"/>
      <c r="H3" s="98"/>
      <c r="I3" s="87"/>
      <c r="J3" s="87"/>
      <c r="K3" s="87"/>
      <c r="L3" s="101"/>
      <c r="M3" s="101"/>
      <c r="N3" s="101"/>
      <c r="O3" s="101"/>
      <c r="P3" s="104"/>
      <c r="Q3" s="73"/>
      <c r="R3" s="73"/>
      <c r="S3" s="73"/>
      <c r="T3" s="73"/>
      <c r="U3" s="73"/>
      <c r="V3" s="73"/>
      <c r="W3" s="73"/>
      <c r="X3" s="7"/>
      <c r="Y3" s="73"/>
      <c r="Z3" s="73"/>
      <c r="AA3" s="73"/>
      <c r="AB3" s="73"/>
      <c r="AC3" s="73"/>
      <c r="AD3" s="73"/>
      <c r="AE3" s="64"/>
    </row>
    <row r="4" spans="1:31" ht="21.75" customHeight="1" x14ac:dyDescent="0.2">
      <c r="A4" s="85"/>
      <c r="B4" s="88"/>
      <c r="C4" s="91"/>
      <c r="D4" s="91"/>
      <c r="E4" s="91"/>
      <c r="F4" s="94"/>
      <c r="G4" s="67" t="s">
        <v>69</v>
      </c>
      <c r="H4" s="68" t="s">
        <v>68</v>
      </c>
      <c r="I4" s="99"/>
      <c r="J4" s="99"/>
      <c r="K4" s="99"/>
      <c r="L4" s="102"/>
      <c r="M4" s="102"/>
      <c r="N4" s="102"/>
      <c r="O4" s="102"/>
      <c r="P4" s="105"/>
      <c r="Q4" s="53"/>
      <c r="R4" s="53"/>
      <c r="S4" s="53"/>
      <c r="T4" s="53"/>
      <c r="U4" s="53"/>
      <c r="V4" s="53"/>
      <c r="W4" s="53"/>
      <c r="Y4" s="53"/>
      <c r="Z4" s="53"/>
      <c r="AA4" s="53"/>
      <c r="AB4" s="53"/>
      <c r="AC4" s="53"/>
      <c r="AD4" s="53"/>
      <c r="AE4" s="53"/>
    </row>
    <row r="5" spans="1:31" x14ac:dyDescent="0.2">
      <c r="A5" s="21"/>
      <c r="B5" s="66"/>
      <c r="C5" s="19"/>
      <c r="D5" s="19"/>
      <c r="E5" s="43"/>
      <c r="F5" s="44" t="str">
        <f t="shared" ref="F5" si="0">IF(AND(A5=0,B5=0,C5=0,D5=0,E5=0),"",IF(AND(B5&lt;25,C5&lt;18,D5&lt;2,(A5+Y5)&lt;250),"小件",IF(AND(B5&lt;33,C5&lt;24,D5&lt;2.8,(A5+Y5)&lt;1000),"标准件类别1",IF(AND(B5&lt;45,C5&lt;35,D5&lt;20,X5&lt;60,(A5+Z5)&lt;2000),"标准件类别2",IF(AND(B5&lt;45,C5&lt;35,D5&lt;20,X5&lt;80,(A5+Z5)&lt;5000),"标准件类别3",IF(AND(B5&lt;45,C5&lt;35,D5&lt;20,X5&lt;100,(A5+Z5)&lt;9000),"标准件类别4",IF(AND(OR(A5&gt;=9000,B5&gt;=45,C5&gt;=35,D5&gt;=20),AND(X5&lt;60,(A5+Z5)&lt;2000)),"大件类别1",IF(AND(OR(A5&gt;=9000,B5&gt;=45,C5&gt;=35,D5&gt;=20),AND(X5&lt;80,(A5+Z5)&lt;5000)),"大件类别2",IF(AND(OR(A5&gt;=9000,B5&gt;=45,C5&gt;=35,D5&gt;=20),AND(X5&lt;100,(A5+Z5)&lt;10000)),"大件类别3",IF(AND(OR(A5&gt;=9000,B5&gt;=45,C5&gt;=35,D5&gt;=20),AND(X5&lt;120,(A5+AA5)&lt;15000)),"大件类别4",IF(AND(OR(A5&gt;=9000,B5&gt;=45,C5&gt;=35,D5&gt;=20),AND(X5&lt;140,(A5+AB5)&lt;20000)),"大件类别5",IF(AND(OR(A5&gt;=9000,B5&gt;=45,C5&gt;=35,D5&gt;=20),AND(X5&lt;160,(A5+AC5)&lt;25000)),"大件类别6",IF(AND(B5&gt;=90,X5&gt;=170),"不可使用FBA服务",IF(AND(OR(A5&gt;=9000,B5&gt;=45,C5&gt;=35,D5&gt;=20),AND(X5&lt;180,(A5+AC5)&lt;30000)),"大件类别7",IF(AND(OR(A5&gt;=9000,B5&gt;=45,C5&gt;=35,D5&gt;=20),AND(X5&lt;200,(A5+AD5)&lt;40000)),"大件类别8",IF(OR(A5&gt;=40000,X5&gt;=200),"不可使用FBA服务"))))))))))))))))</f>
        <v/>
      </c>
      <c r="G5" s="45" t="str">
        <f>IF(F5="","",IF(F5="不可使用FBA服务","",IF(F5="小件","257",IF(F5="标准件类别1","361",IF(F5="标准件类别2","404",IF(F5="标准件类别3","427",IF(F5="标准件类别4","499",IF(F5="大件类别1","575",IF(F5="大件类别2","691",IF(F5="大件类别3","778",IF(F5="大件类别4","905",IF(F5="大件类别5","957",IF(F5="大件类别6","1001",IF(F5="大件类别7","1419",IF(F5="大件类别8","1598")))))))))))))))</f>
        <v/>
      </c>
      <c r="H5" s="45" t="str">
        <f t="shared" ref="H5" si="1">IF(G5="","",G5/E5)</f>
        <v/>
      </c>
      <c r="I5" s="21"/>
      <c r="J5" s="21"/>
      <c r="K5" s="21"/>
      <c r="L5" s="46" t="str">
        <f t="shared" ref="L5" si="2">IF(AND(I5=0,J5=0,K5=0),"",Q5*S5/1000*I5/J5*K5)</f>
        <v/>
      </c>
      <c r="M5" s="47" t="str">
        <f t="shared" ref="M5" si="3">IF(AND(I5=0,J5=0,K5=0),"",L5/E5)</f>
        <v/>
      </c>
      <c r="N5" s="46" t="str">
        <f t="shared" ref="N5" si="4">IF(AND(I5=0,J5=0,K5=0),"",R5*S5/1000*I5/J5*K5)</f>
        <v/>
      </c>
      <c r="O5" s="46" t="str">
        <f t="shared" ref="O5" si="5">IF(AND(I5=0,J5=0,K5=0),"",N5/E5)</f>
        <v/>
      </c>
      <c r="P5" s="46" t="str">
        <f t="shared" ref="P5" si="6">IF(AND(I5=0,J5=0,K5=0),"",B5*C5*D5/1000*K5*17.773/E5)</f>
        <v/>
      </c>
      <c r="Q5" s="77" t="b">
        <f t="shared" ref="Q5:Q35" si="7">IF(OR(F5="小件",F5="标准件类别1",F5="标准件类别2",F5="标准件类别3",F5="标准件类别4"),"5.16",IF(OR(F5="大件类别1",F5="大件类别2",F5="大件类别3",F5="大件类别4",F5="大件类别5",F5="大件类别6",F5="大件类别7",F5="大件类别8"),"4.37"))</f>
        <v>0</v>
      </c>
      <c r="R5" s="77" t="b">
        <f t="shared" ref="R5:R35" si="8">IF(OR(F5="小件",F5="标准件类别1",F5="标准件类别2",F5="标准件类别3",F5="标准件类别4"),"9.17",IF(OR(F5="大件类别1",F5="大件类别2",F5="大件类别3",F5="大件类别4",F5="大件类别5",F5="大件类别6",F5="大件类别7",F5="大件类别8"),"7.76"))</f>
        <v>0</v>
      </c>
      <c r="S5" s="77">
        <f t="shared" ref="S5:S35" si="9">B5*C5*D5</f>
        <v>0</v>
      </c>
      <c r="T5" s="77">
        <f>Q5*S5/1000</f>
        <v>0</v>
      </c>
      <c r="U5" s="77" t="e">
        <f t="shared" ref="U5:U35" si="10">T5/E5</f>
        <v>#DIV/0!</v>
      </c>
      <c r="V5" s="77">
        <f>R5*S5/1000</f>
        <v>0</v>
      </c>
      <c r="W5" s="77" t="e">
        <f t="shared" ref="W5:W35" si="11">V5/E5</f>
        <v>#DIV/0!</v>
      </c>
      <c r="X5" s="48">
        <f t="shared" ref="X5:X35" si="12">B5+C5+D5</f>
        <v>0</v>
      </c>
      <c r="Y5" s="78">
        <v>50</v>
      </c>
      <c r="Z5" s="78">
        <v>150</v>
      </c>
      <c r="AA5" s="79">
        <v>500</v>
      </c>
      <c r="AB5" s="77">
        <v>700</v>
      </c>
      <c r="AC5" s="77">
        <v>1200</v>
      </c>
      <c r="AD5" s="77">
        <v>1400</v>
      </c>
      <c r="AE5" s="53"/>
    </row>
    <row r="6" spans="1:31" x14ac:dyDescent="0.2">
      <c r="A6" s="21"/>
      <c r="B6" s="66"/>
      <c r="C6" s="19"/>
      <c r="D6" s="19"/>
      <c r="E6" s="43"/>
      <c r="F6" s="44" t="str">
        <f t="shared" ref="F6:F7" si="13">IF(AND(A6=0,B6=0,C6=0,D6=0,E6=0),"",IF(AND(B6&lt;25,C6&lt;18,D6&lt;2,(A6+Y6)&lt;250),"小件",IF(AND(B6&lt;33,C6&lt;24,D6&lt;2.8,(A6+Y6)&lt;1000),"标准件类别1",IF(AND(B6&lt;45,C6&lt;35,D6&lt;20,X6&lt;60,(A6+Z6)&lt;2000),"标准件类别2",IF(AND(B6&lt;45,C6&lt;35,D6&lt;20,X6&lt;80,(A6+Z6)&lt;5000),"标准件类别3",IF(AND(B6&lt;45,C6&lt;35,D6&lt;20,X6&lt;100,(A6+Z6)&lt;9000),"标准件类别4",IF(AND(OR(A6&gt;=9000,B6&gt;=45,C6&gt;=35,D6&gt;=20),AND(X6&lt;60,(A6+Z6)&lt;2000)),"大件类别1",IF(AND(OR(A6&gt;=9000,B6&gt;=45,C6&gt;=35,D6&gt;=20),AND(X6&lt;80,(A6+Z6)&lt;5000)),"大件类别2",IF(AND(OR(A6&gt;=9000,B6&gt;=45,C6&gt;=35,D6&gt;=20),AND(X6&lt;100,(A6+Z6)&lt;10000)),"大件类别3",IF(AND(OR(A6&gt;=9000,B6&gt;=45,C6&gt;=35,D6&gt;=20),AND(X6&lt;120,(A6+AA6)&lt;15000)),"大件类别4",IF(AND(OR(A6&gt;=9000,B6&gt;=45,C6&gt;=35,D6&gt;=20),AND(X6&lt;140,(A6+AB6)&lt;20000)),"大件类别5",IF(AND(OR(A6&gt;=9000,B6&gt;=45,C6&gt;=35,D6&gt;=20),AND(X6&lt;160,(A6+AC6)&lt;25000)),"大件类别6",IF(AND(B6&gt;=90,X6&gt;=170),"不可使用FBA服务",IF(AND(OR(A6&gt;=9000,B6&gt;=45,C6&gt;=35,D6&gt;=20),AND(X6&lt;180,(A6+AC6)&lt;30000)),"大件类别7",IF(AND(OR(A6&gt;=9000,B6&gt;=45,C6&gt;=35,D6&gt;=20),AND(X6&lt;200,(A6+AD6)&lt;40000)),"大件类别8",IF(OR(A6&gt;=40000,X6&gt;=200),"不可使用FBA服务"))))))))))))))))</f>
        <v/>
      </c>
      <c r="G6" s="45" t="str">
        <f t="shared" ref="G6:G7" si="14">IF(F6="","",IF(F6="不可使用FBA服务","",IF(F6="小件","257",IF(F6="标准件类别1","361",IF(F6="标准件类别2","404",IF(F6="标准件类别3","427",IF(F6="标准件类别4","499",IF(F6="大件类别1","575",IF(F6="大件类别2","691",IF(F6="大件类别3","778",IF(F6="大件类别4","905",IF(F6="大件类别5","957",IF(F6="大件类别6","1001",IF(F6="大件类别7","1419",IF(F6="大件类别8","1598")))))))))))))))</f>
        <v/>
      </c>
      <c r="H6" s="45" t="str">
        <f t="shared" ref="H6:H7" si="15">IF(G6="","",G6/E6)</f>
        <v/>
      </c>
      <c r="I6" s="21"/>
      <c r="J6" s="21"/>
      <c r="K6" s="21"/>
      <c r="L6" s="46" t="str">
        <f t="shared" ref="L6:L7" si="16">IF(AND(I6=0,J6=0,K6=0),"",Q6*S6/1000*I6/J6*K6)</f>
        <v/>
      </c>
      <c r="M6" s="47" t="str">
        <f t="shared" ref="M6:M7" si="17">IF(AND(I6=0,J6=0,K6=0),"",L6/E6)</f>
        <v/>
      </c>
      <c r="N6" s="46" t="str">
        <f t="shared" ref="N6:N7" si="18">IF(AND(I6=0,J6=0,K6=0),"",R6*S6/1000*I6/J6*K6)</f>
        <v/>
      </c>
      <c r="O6" s="46" t="str">
        <f t="shared" ref="O6:O7" si="19">IF(AND(I6=0,J6=0,K6=0),"",N6/E6)</f>
        <v/>
      </c>
      <c r="P6" s="46" t="str">
        <f t="shared" ref="P6:P7" si="20">IF(AND(I6=0,J6=0,K6=0),"",B6*C6*D6/1000*K6*17.773/E6)</f>
        <v/>
      </c>
      <c r="Q6" s="77" t="b">
        <f t="shared" si="7"/>
        <v>0</v>
      </c>
      <c r="R6" s="77" t="b">
        <f t="shared" si="8"/>
        <v>0</v>
      </c>
      <c r="S6" s="77">
        <f t="shared" si="9"/>
        <v>0</v>
      </c>
      <c r="T6" s="77">
        <f t="shared" ref="T6" si="21">Q6*S6/1000</f>
        <v>0</v>
      </c>
      <c r="U6" s="77" t="e">
        <f t="shared" si="10"/>
        <v>#DIV/0!</v>
      </c>
      <c r="V6" s="77">
        <f t="shared" ref="V6" si="22">R6*S6/1000</f>
        <v>0</v>
      </c>
      <c r="W6" s="77" t="e">
        <f t="shared" si="11"/>
        <v>#DIV/0!</v>
      </c>
      <c r="X6" s="48">
        <f t="shared" si="12"/>
        <v>0</v>
      </c>
      <c r="Y6" s="78">
        <v>50</v>
      </c>
      <c r="Z6" s="78">
        <v>150</v>
      </c>
      <c r="AA6" s="79">
        <v>500</v>
      </c>
      <c r="AB6" s="77">
        <v>700</v>
      </c>
      <c r="AC6" s="77">
        <v>1200</v>
      </c>
      <c r="AD6" s="77">
        <v>1400</v>
      </c>
      <c r="AE6" s="53"/>
    </row>
    <row r="7" spans="1:31" x14ac:dyDescent="0.2">
      <c r="A7" s="21"/>
      <c r="B7" s="66"/>
      <c r="C7" s="19"/>
      <c r="D7" s="19"/>
      <c r="E7" s="43"/>
      <c r="F7" s="44" t="str">
        <f t="shared" si="13"/>
        <v/>
      </c>
      <c r="G7" s="45" t="str">
        <f t="shared" si="14"/>
        <v/>
      </c>
      <c r="H7" s="45" t="str">
        <f t="shared" si="15"/>
        <v/>
      </c>
      <c r="I7" s="21"/>
      <c r="J7" s="21"/>
      <c r="K7" s="21"/>
      <c r="L7" s="46" t="str">
        <f t="shared" si="16"/>
        <v/>
      </c>
      <c r="M7" s="47" t="str">
        <f t="shared" si="17"/>
        <v/>
      </c>
      <c r="N7" s="46" t="str">
        <f t="shared" si="18"/>
        <v/>
      </c>
      <c r="O7" s="46" t="str">
        <f t="shared" si="19"/>
        <v/>
      </c>
      <c r="P7" s="46" t="str">
        <f t="shared" si="20"/>
        <v/>
      </c>
      <c r="Q7" s="77" t="b">
        <f t="shared" si="7"/>
        <v>0</v>
      </c>
      <c r="R7" s="77" t="b">
        <f t="shared" si="8"/>
        <v>0</v>
      </c>
      <c r="S7" s="77">
        <f t="shared" si="9"/>
        <v>0</v>
      </c>
      <c r="T7" s="77">
        <f>Q7*S7/1000</f>
        <v>0</v>
      </c>
      <c r="U7" s="77" t="e">
        <f t="shared" si="10"/>
        <v>#DIV/0!</v>
      </c>
      <c r="V7" s="77">
        <f>R7*S7/1000</f>
        <v>0</v>
      </c>
      <c r="W7" s="77" t="e">
        <f t="shared" si="11"/>
        <v>#DIV/0!</v>
      </c>
      <c r="X7" s="48">
        <f t="shared" si="12"/>
        <v>0</v>
      </c>
      <c r="Y7" s="78">
        <v>50</v>
      </c>
      <c r="Z7" s="78">
        <v>150</v>
      </c>
      <c r="AA7" s="79">
        <v>500</v>
      </c>
      <c r="AB7" s="77">
        <v>700</v>
      </c>
      <c r="AC7" s="77">
        <v>1200</v>
      </c>
      <c r="AD7" s="77">
        <v>1400</v>
      </c>
      <c r="AE7" s="53"/>
    </row>
    <row r="8" spans="1:31" x14ac:dyDescent="0.2">
      <c r="A8" s="21"/>
      <c r="B8" s="66"/>
      <c r="C8" s="19"/>
      <c r="D8" s="19"/>
      <c r="E8" s="43"/>
      <c r="F8" s="44"/>
      <c r="G8" s="45"/>
      <c r="H8" s="45"/>
      <c r="I8" s="21"/>
      <c r="J8" s="21"/>
      <c r="K8" s="21"/>
      <c r="L8" s="46"/>
      <c r="M8" s="47"/>
      <c r="N8" s="46"/>
      <c r="O8" s="46"/>
      <c r="P8" s="46"/>
      <c r="Q8" s="77" t="b">
        <f t="shared" si="7"/>
        <v>0</v>
      </c>
      <c r="R8" s="77" t="b">
        <f t="shared" si="8"/>
        <v>0</v>
      </c>
      <c r="S8" s="77">
        <f t="shared" si="9"/>
        <v>0</v>
      </c>
      <c r="T8" s="77">
        <f>Q8*S8/1000</f>
        <v>0</v>
      </c>
      <c r="U8" s="77" t="e">
        <f t="shared" si="10"/>
        <v>#DIV/0!</v>
      </c>
      <c r="V8" s="77">
        <f>R8*S8/1000</f>
        <v>0</v>
      </c>
      <c r="W8" s="77" t="e">
        <f t="shared" si="11"/>
        <v>#DIV/0!</v>
      </c>
      <c r="X8" s="48">
        <f t="shared" si="12"/>
        <v>0</v>
      </c>
      <c r="Y8" s="78">
        <v>50</v>
      </c>
      <c r="Z8" s="78">
        <v>150</v>
      </c>
      <c r="AA8" s="79">
        <v>500</v>
      </c>
      <c r="AB8" s="77">
        <v>700</v>
      </c>
      <c r="AC8" s="77">
        <v>1200</v>
      </c>
      <c r="AD8" s="77">
        <v>1400</v>
      </c>
      <c r="AE8" s="53"/>
    </row>
    <row r="9" spans="1:31" x14ac:dyDescent="0.2">
      <c r="A9" s="21"/>
      <c r="B9" s="66"/>
      <c r="C9" s="19"/>
      <c r="D9" s="19"/>
      <c r="E9" s="43"/>
      <c r="F9" s="44"/>
      <c r="G9" s="45"/>
      <c r="H9" s="45"/>
      <c r="I9" s="21"/>
      <c r="J9" s="21"/>
      <c r="K9" s="21"/>
      <c r="L9" s="46"/>
      <c r="M9" s="47"/>
      <c r="N9" s="46"/>
      <c r="O9" s="46"/>
      <c r="P9" s="46"/>
      <c r="Q9" s="77" t="b">
        <f t="shared" si="7"/>
        <v>0</v>
      </c>
      <c r="R9" s="77" t="b">
        <f t="shared" si="8"/>
        <v>0</v>
      </c>
      <c r="S9" s="77">
        <f t="shared" si="9"/>
        <v>0</v>
      </c>
      <c r="T9" s="77">
        <f>Q9*S9/1000</f>
        <v>0</v>
      </c>
      <c r="U9" s="77" t="e">
        <f t="shared" si="10"/>
        <v>#DIV/0!</v>
      </c>
      <c r="V9" s="77">
        <f>R9*S9/1000</f>
        <v>0</v>
      </c>
      <c r="W9" s="77" t="e">
        <f t="shared" si="11"/>
        <v>#DIV/0!</v>
      </c>
      <c r="X9" s="48">
        <f t="shared" si="12"/>
        <v>0</v>
      </c>
      <c r="Y9" s="78">
        <v>50</v>
      </c>
      <c r="Z9" s="78">
        <v>150</v>
      </c>
      <c r="AA9" s="79">
        <v>500</v>
      </c>
      <c r="AB9" s="77">
        <v>700</v>
      </c>
      <c r="AC9" s="77">
        <v>1200</v>
      </c>
      <c r="AD9" s="77">
        <v>1400</v>
      </c>
      <c r="AE9" s="53"/>
    </row>
    <row r="10" spans="1:31" x14ac:dyDescent="0.2">
      <c r="A10" s="21"/>
      <c r="B10" s="66"/>
      <c r="C10" s="19"/>
      <c r="D10" s="19"/>
      <c r="E10" s="43"/>
      <c r="F10" s="44"/>
      <c r="G10" s="45"/>
      <c r="H10" s="45"/>
      <c r="I10" s="21"/>
      <c r="J10" s="21"/>
      <c r="K10" s="21"/>
      <c r="L10" s="46"/>
      <c r="M10" s="47"/>
      <c r="N10" s="46"/>
      <c r="O10" s="46"/>
      <c r="P10" s="46"/>
      <c r="Q10" s="77" t="b">
        <f t="shared" si="7"/>
        <v>0</v>
      </c>
      <c r="R10" s="77" t="b">
        <f t="shared" si="8"/>
        <v>0</v>
      </c>
      <c r="S10" s="77">
        <f t="shared" si="9"/>
        <v>0</v>
      </c>
      <c r="T10" s="77">
        <f>Q10*S10/1000</f>
        <v>0</v>
      </c>
      <c r="U10" s="77" t="e">
        <f t="shared" si="10"/>
        <v>#DIV/0!</v>
      </c>
      <c r="V10" s="77">
        <f>R10*S10/1000</f>
        <v>0</v>
      </c>
      <c r="W10" s="77" t="e">
        <f t="shared" si="11"/>
        <v>#DIV/0!</v>
      </c>
      <c r="X10" s="48">
        <f t="shared" si="12"/>
        <v>0</v>
      </c>
      <c r="Y10" s="78">
        <v>50</v>
      </c>
      <c r="Z10" s="78">
        <v>150</v>
      </c>
      <c r="AA10" s="79">
        <v>500</v>
      </c>
      <c r="AB10" s="77">
        <v>700</v>
      </c>
      <c r="AC10" s="77">
        <v>1200</v>
      </c>
      <c r="AD10" s="77">
        <v>1400</v>
      </c>
      <c r="AE10" s="53"/>
    </row>
    <row r="11" spans="1:31" x14ac:dyDescent="0.2">
      <c r="A11" s="21"/>
      <c r="B11" s="66"/>
      <c r="C11" s="19"/>
      <c r="D11" s="19"/>
      <c r="E11" s="43"/>
      <c r="F11" s="44"/>
      <c r="G11" s="45"/>
      <c r="H11" s="45"/>
      <c r="I11" s="21"/>
      <c r="J11" s="21"/>
      <c r="K11" s="21"/>
      <c r="L11" s="46"/>
      <c r="M11" s="47"/>
      <c r="N11" s="46"/>
      <c r="O11" s="46"/>
      <c r="P11" s="46"/>
      <c r="Q11" s="77" t="b">
        <f t="shared" si="7"/>
        <v>0</v>
      </c>
      <c r="R11" s="77" t="b">
        <f t="shared" si="8"/>
        <v>0</v>
      </c>
      <c r="S11" s="77">
        <f t="shared" si="9"/>
        <v>0</v>
      </c>
      <c r="T11" s="77">
        <f t="shared" ref="T11:T35" si="23">Q11*S11/1000</f>
        <v>0</v>
      </c>
      <c r="U11" s="77" t="e">
        <f t="shared" si="10"/>
        <v>#DIV/0!</v>
      </c>
      <c r="V11" s="77">
        <f t="shared" ref="V11:V35" si="24">R11*S11/1000</f>
        <v>0</v>
      </c>
      <c r="W11" s="77" t="e">
        <f t="shared" si="11"/>
        <v>#DIV/0!</v>
      </c>
      <c r="X11" s="48">
        <f t="shared" si="12"/>
        <v>0</v>
      </c>
      <c r="Y11" s="78">
        <v>50</v>
      </c>
      <c r="Z11" s="78">
        <v>150</v>
      </c>
      <c r="AA11" s="79">
        <v>500</v>
      </c>
      <c r="AB11" s="77">
        <v>700</v>
      </c>
      <c r="AC11" s="77">
        <v>1200</v>
      </c>
      <c r="AD11" s="77">
        <v>1400</v>
      </c>
      <c r="AE11" s="53"/>
    </row>
    <row r="12" spans="1:31" x14ac:dyDescent="0.2">
      <c r="A12" s="21"/>
      <c r="B12" s="66"/>
      <c r="C12" s="19"/>
      <c r="D12" s="19"/>
      <c r="E12" s="43"/>
      <c r="F12" s="44"/>
      <c r="G12" s="45"/>
      <c r="H12" s="45"/>
      <c r="I12" s="21"/>
      <c r="J12" s="21"/>
      <c r="K12" s="21"/>
      <c r="L12" s="46"/>
      <c r="M12" s="47"/>
      <c r="N12" s="46"/>
      <c r="O12" s="46"/>
      <c r="P12" s="46"/>
      <c r="Q12" s="77" t="b">
        <f t="shared" si="7"/>
        <v>0</v>
      </c>
      <c r="R12" s="77" t="b">
        <f t="shared" si="8"/>
        <v>0</v>
      </c>
      <c r="S12" s="77">
        <f t="shared" si="9"/>
        <v>0</v>
      </c>
      <c r="T12" s="77">
        <f t="shared" si="23"/>
        <v>0</v>
      </c>
      <c r="U12" s="77" t="e">
        <f t="shared" si="10"/>
        <v>#DIV/0!</v>
      </c>
      <c r="V12" s="77">
        <f t="shared" si="24"/>
        <v>0</v>
      </c>
      <c r="W12" s="77" t="e">
        <f t="shared" si="11"/>
        <v>#DIV/0!</v>
      </c>
      <c r="X12" s="48">
        <f t="shared" si="12"/>
        <v>0</v>
      </c>
      <c r="Y12" s="78">
        <v>50</v>
      </c>
      <c r="Z12" s="78">
        <v>150</v>
      </c>
      <c r="AA12" s="79">
        <v>500</v>
      </c>
      <c r="AB12" s="77">
        <v>700</v>
      </c>
      <c r="AC12" s="77">
        <v>1200</v>
      </c>
      <c r="AD12" s="77">
        <v>1400</v>
      </c>
      <c r="AE12" s="53"/>
    </row>
    <row r="13" spans="1:31" x14ac:dyDescent="0.2">
      <c r="A13" s="21"/>
      <c r="B13" s="66"/>
      <c r="C13" s="19"/>
      <c r="D13" s="19"/>
      <c r="E13" s="43"/>
      <c r="F13" s="44"/>
      <c r="G13" s="45"/>
      <c r="H13" s="45"/>
      <c r="I13" s="21"/>
      <c r="J13" s="21"/>
      <c r="K13" s="21"/>
      <c r="L13" s="46"/>
      <c r="M13" s="47"/>
      <c r="N13" s="46"/>
      <c r="O13" s="46"/>
      <c r="P13" s="46"/>
      <c r="Q13" s="77" t="b">
        <f t="shared" si="7"/>
        <v>0</v>
      </c>
      <c r="R13" s="77" t="b">
        <f t="shared" si="8"/>
        <v>0</v>
      </c>
      <c r="S13" s="77">
        <f t="shared" si="9"/>
        <v>0</v>
      </c>
      <c r="T13" s="77">
        <f t="shared" si="23"/>
        <v>0</v>
      </c>
      <c r="U13" s="77" t="e">
        <f t="shared" si="10"/>
        <v>#DIV/0!</v>
      </c>
      <c r="V13" s="77">
        <f t="shared" si="24"/>
        <v>0</v>
      </c>
      <c r="W13" s="77" t="e">
        <f t="shared" si="11"/>
        <v>#DIV/0!</v>
      </c>
      <c r="X13" s="48">
        <f t="shared" si="12"/>
        <v>0</v>
      </c>
      <c r="Y13" s="78">
        <v>50</v>
      </c>
      <c r="Z13" s="78">
        <v>150</v>
      </c>
      <c r="AA13" s="79">
        <v>500</v>
      </c>
      <c r="AB13" s="77">
        <v>700</v>
      </c>
      <c r="AC13" s="77">
        <v>1200</v>
      </c>
      <c r="AD13" s="77">
        <v>1400</v>
      </c>
      <c r="AE13" s="53"/>
    </row>
    <row r="14" spans="1:31" x14ac:dyDescent="0.2">
      <c r="A14" s="21"/>
      <c r="B14" s="19"/>
      <c r="C14" s="19"/>
      <c r="D14" s="19"/>
      <c r="E14" s="43"/>
      <c r="F14" s="44"/>
      <c r="G14" s="45"/>
      <c r="H14" s="45"/>
      <c r="I14" s="21"/>
      <c r="J14" s="21"/>
      <c r="K14" s="21"/>
      <c r="L14" s="46"/>
      <c r="M14" s="47"/>
      <c r="N14" s="46"/>
      <c r="O14" s="46"/>
      <c r="P14" s="46"/>
      <c r="Q14" s="77" t="b">
        <f t="shared" si="7"/>
        <v>0</v>
      </c>
      <c r="R14" s="77" t="b">
        <f t="shared" si="8"/>
        <v>0</v>
      </c>
      <c r="S14" s="77">
        <f t="shared" si="9"/>
        <v>0</v>
      </c>
      <c r="T14" s="77">
        <f t="shared" si="23"/>
        <v>0</v>
      </c>
      <c r="U14" s="77" t="e">
        <f t="shared" si="10"/>
        <v>#DIV/0!</v>
      </c>
      <c r="V14" s="77">
        <f t="shared" si="24"/>
        <v>0</v>
      </c>
      <c r="W14" s="77" t="e">
        <f t="shared" si="11"/>
        <v>#DIV/0!</v>
      </c>
      <c r="X14" s="48">
        <f t="shared" si="12"/>
        <v>0</v>
      </c>
      <c r="Y14" s="78">
        <v>50</v>
      </c>
      <c r="Z14" s="78">
        <v>150</v>
      </c>
      <c r="AA14" s="79">
        <v>500</v>
      </c>
      <c r="AB14" s="77">
        <v>700</v>
      </c>
      <c r="AC14" s="77">
        <v>1200</v>
      </c>
      <c r="AD14" s="77">
        <v>1400</v>
      </c>
      <c r="AE14" s="53"/>
    </row>
    <row r="15" spans="1:31" x14ac:dyDescent="0.2">
      <c r="A15" s="21"/>
      <c r="B15" s="66"/>
      <c r="C15" s="19"/>
      <c r="D15" s="19"/>
      <c r="E15" s="43"/>
      <c r="F15" s="44"/>
      <c r="G15" s="45"/>
      <c r="H15" s="45"/>
      <c r="I15" s="21"/>
      <c r="J15" s="21"/>
      <c r="K15" s="21"/>
      <c r="L15" s="46"/>
      <c r="M15" s="47"/>
      <c r="N15" s="46"/>
      <c r="O15" s="46"/>
      <c r="P15" s="46"/>
      <c r="Q15" s="77" t="b">
        <f t="shared" si="7"/>
        <v>0</v>
      </c>
      <c r="R15" s="77" t="b">
        <f t="shared" si="8"/>
        <v>0</v>
      </c>
      <c r="S15" s="77">
        <f t="shared" si="9"/>
        <v>0</v>
      </c>
      <c r="T15" s="77">
        <f t="shared" si="23"/>
        <v>0</v>
      </c>
      <c r="U15" s="77" t="e">
        <f t="shared" si="10"/>
        <v>#DIV/0!</v>
      </c>
      <c r="V15" s="77">
        <f t="shared" si="24"/>
        <v>0</v>
      </c>
      <c r="W15" s="77" t="e">
        <f t="shared" si="11"/>
        <v>#DIV/0!</v>
      </c>
      <c r="X15" s="48">
        <f t="shared" si="12"/>
        <v>0</v>
      </c>
      <c r="Y15" s="78">
        <v>50</v>
      </c>
      <c r="Z15" s="78">
        <v>150</v>
      </c>
      <c r="AA15" s="79">
        <v>500</v>
      </c>
      <c r="AB15" s="77">
        <v>700</v>
      </c>
      <c r="AC15" s="77">
        <v>1200</v>
      </c>
      <c r="AD15" s="77">
        <v>1400</v>
      </c>
      <c r="AE15" s="53"/>
    </row>
    <row r="16" spans="1:31" x14ac:dyDescent="0.2">
      <c r="A16" s="21"/>
      <c r="B16" s="19"/>
      <c r="C16" s="19"/>
      <c r="D16" s="19"/>
      <c r="E16" s="43"/>
      <c r="F16" s="44"/>
      <c r="G16" s="45"/>
      <c r="H16" s="45"/>
      <c r="I16" s="21"/>
      <c r="J16" s="21"/>
      <c r="K16" s="21"/>
      <c r="L16" s="46"/>
      <c r="M16" s="47"/>
      <c r="N16" s="46"/>
      <c r="O16" s="46"/>
      <c r="P16" s="46"/>
      <c r="Q16" s="77" t="b">
        <f t="shared" si="7"/>
        <v>0</v>
      </c>
      <c r="R16" s="77" t="b">
        <f t="shared" si="8"/>
        <v>0</v>
      </c>
      <c r="S16" s="77">
        <f t="shared" si="9"/>
        <v>0</v>
      </c>
      <c r="T16" s="77">
        <f t="shared" si="23"/>
        <v>0</v>
      </c>
      <c r="U16" s="77" t="e">
        <f t="shared" si="10"/>
        <v>#DIV/0!</v>
      </c>
      <c r="V16" s="77">
        <f t="shared" si="24"/>
        <v>0</v>
      </c>
      <c r="W16" s="77" t="e">
        <f t="shared" si="11"/>
        <v>#DIV/0!</v>
      </c>
      <c r="X16" s="48">
        <f t="shared" si="12"/>
        <v>0</v>
      </c>
      <c r="Y16" s="78">
        <v>50</v>
      </c>
      <c r="Z16" s="78">
        <v>150</v>
      </c>
      <c r="AA16" s="79">
        <v>500</v>
      </c>
      <c r="AB16" s="77">
        <v>700</v>
      </c>
      <c r="AC16" s="77">
        <v>1200</v>
      </c>
      <c r="AD16" s="77">
        <v>1400</v>
      </c>
      <c r="AE16" s="53"/>
    </row>
    <row r="17" spans="1:31" x14ac:dyDescent="0.2">
      <c r="A17" s="21"/>
      <c r="B17" s="66"/>
      <c r="C17" s="19"/>
      <c r="D17" s="19"/>
      <c r="E17" s="43"/>
      <c r="F17" s="44"/>
      <c r="G17" s="45"/>
      <c r="H17" s="45"/>
      <c r="I17" s="21"/>
      <c r="J17" s="21"/>
      <c r="K17" s="21"/>
      <c r="L17" s="46"/>
      <c r="M17" s="47"/>
      <c r="N17" s="46"/>
      <c r="O17" s="46"/>
      <c r="P17" s="46"/>
      <c r="Q17" s="77" t="b">
        <f t="shared" si="7"/>
        <v>0</v>
      </c>
      <c r="R17" s="77" t="b">
        <f t="shared" si="8"/>
        <v>0</v>
      </c>
      <c r="S17" s="77">
        <f t="shared" si="9"/>
        <v>0</v>
      </c>
      <c r="T17" s="77">
        <f t="shared" si="23"/>
        <v>0</v>
      </c>
      <c r="U17" s="77" t="e">
        <f t="shared" si="10"/>
        <v>#DIV/0!</v>
      </c>
      <c r="V17" s="77">
        <f t="shared" si="24"/>
        <v>0</v>
      </c>
      <c r="W17" s="77" t="e">
        <f t="shared" si="11"/>
        <v>#DIV/0!</v>
      </c>
      <c r="X17" s="48">
        <f t="shared" si="12"/>
        <v>0</v>
      </c>
      <c r="Y17" s="78">
        <v>50</v>
      </c>
      <c r="Z17" s="78">
        <v>150</v>
      </c>
      <c r="AA17" s="79">
        <v>500</v>
      </c>
      <c r="AB17" s="77">
        <v>700</v>
      </c>
      <c r="AC17" s="77">
        <v>1200</v>
      </c>
      <c r="AD17" s="77">
        <v>1400</v>
      </c>
      <c r="AE17" s="53"/>
    </row>
    <row r="18" spans="1:31" x14ac:dyDescent="0.2">
      <c r="A18" s="21"/>
      <c r="B18" s="19"/>
      <c r="C18" s="19"/>
      <c r="D18" s="19"/>
      <c r="E18" s="43"/>
      <c r="F18" s="44"/>
      <c r="G18" s="45"/>
      <c r="H18" s="45"/>
      <c r="I18" s="21"/>
      <c r="J18" s="21"/>
      <c r="K18" s="21"/>
      <c r="L18" s="46"/>
      <c r="M18" s="47"/>
      <c r="N18" s="46"/>
      <c r="O18" s="46"/>
      <c r="P18" s="46"/>
      <c r="Q18" s="77" t="b">
        <f t="shared" si="7"/>
        <v>0</v>
      </c>
      <c r="R18" s="77" t="b">
        <f t="shared" si="8"/>
        <v>0</v>
      </c>
      <c r="S18" s="77">
        <f t="shared" si="9"/>
        <v>0</v>
      </c>
      <c r="T18" s="77">
        <f t="shared" si="23"/>
        <v>0</v>
      </c>
      <c r="U18" s="77" t="e">
        <f t="shared" si="10"/>
        <v>#DIV/0!</v>
      </c>
      <c r="V18" s="77">
        <f t="shared" si="24"/>
        <v>0</v>
      </c>
      <c r="W18" s="77" t="e">
        <f t="shared" si="11"/>
        <v>#DIV/0!</v>
      </c>
      <c r="X18" s="48">
        <f t="shared" si="12"/>
        <v>0</v>
      </c>
      <c r="Y18" s="78">
        <v>50</v>
      </c>
      <c r="Z18" s="78">
        <v>150</v>
      </c>
      <c r="AA18" s="79">
        <v>500</v>
      </c>
      <c r="AB18" s="77">
        <v>700</v>
      </c>
      <c r="AC18" s="77">
        <v>1200</v>
      </c>
      <c r="AD18" s="77">
        <v>1400</v>
      </c>
      <c r="AE18" s="53"/>
    </row>
    <row r="19" spans="1:31" x14ac:dyDescent="0.2">
      <c r="A19" s="21"/>
      <c r="B19" s="66"/>
      <c r="C19" s="19"/>
      <c r="D19" s="19"/>
      <c r="E19" s="43"/>
      <c r="F19" s="44"/>
      <c r="G19" s="45"/>
      <c r="H19" s="45"/>
      <c r="I19" s="21"/>
      <c r="J19" s="21"/>
      <c r="K19" s="21"/>
      <c r="L19" s="46"/>
      <c r="M19" s="47"/>
      <c r="N19" s="46"/>
      <c r="O19" s="46"/>
      <c r="P19" s="46"/>
      <c r="Q19" s="77" t="b">
        <f t="shared" si="7"/>
        <v>0</v>
      </c>
      <c r="R19" s="77" t="b">
        <f t="shared" si="8"/>
        <v>0</v>
      </c>
      <c r="S19" s="77">
        <f t="shared" si="9"/>
        <v>0</v>
      </c>
      <c r="T19" s="77">
        <f t="shared" si="23"/>
        <v>0</v>
      </c>
      <c r="U19" s="77" t="e">
        <f t="shared" si="10"/>
        <v>#DIV/0!</v>
      </c>
      <c r="V19" s="77">
        <f t="shared" si="24"/>
        <v>0</v>
      </c>
      <c r="W19" s="77" t="e">
        <f t="shared" si="11"/>
        <v>#DIV/0!</v>
      </c>
      <c r="X19" s="48">
        <f t="shared" si="12"/>
        <v>0</v>
      </c>
      <c r="Y19" s="78">
        <v>50</v>
      </c>
      <c r="Z19" s="78">
        <v>150</v>
      </c>
      <c r="AA19" s="79">
        <v>500</v>
      </c>
      <c r="AB19" s="77">
        <v>700</v>
      </c>
      <c r="AC19" s="77">
        <v>1200</v>
      </c>
      <c r="AD19" s="77">
        <v>1400</v>
      </c>
      <c r="AE19" s="53"/>
    </row>
    <row r="20" spans="1:31" x14ac:dyDescent="0.2">
      <c r="A20" s="21"/>
      <c r="B20" s="19"/>
      <c r="C20" s="19"/>
      <c r="D20" s="19"/>
      <c r="E20" s="43"/>
      <c r="F20" s="44"/>
      <c r="G20" s="45"/>
      <c r="H20" s="45"/>
      <c r="I20" s="21"/>
      <c r="J20" s="21"/>
      <c r="K20" s="21"/>
      <c r="L20" s="46"/>
      <c r="M20" s="47"/>
      <c r="N20" s="46"/>
      <c r="O20" s="46"/>
      <c r="P20" s="46"/>
      <c r="Q20" s="77" t="b">
        <f t="shared" si="7"/>
        <v>0</v>
      </c>
      <c r="R20" s="77" t="b">
        <f t="shared" si="8"/>
        <v>0</v>
      </c>
      <c r="S20" s="77">
        <f t="shared" si="9"/>
        <v>0</v>
      </c>
      <c r="T20" s="77">
        <f t="shared" si="23"/>
        <v>0</v>
      </c>
      <c r="U20" s="77" t="e">
        <f t="shared" si="10"/>
        <v>#DIV/0!</v>
      </c>
      <c r="V20" s="77">
        <f t="shared" si="24"/>
        <v>0</v>
      </c>
      <c r="W20" s="77" t="e">
        <f t="shared" si="11"/>
        <v>#DIV/0!</v>
      </c>
      <c r="X20" s="48">
        <f t="shared" si="12"/>
        <v>0</v>
      </c>
      <c r="Y20" s="78">
        <v>50</v>
      </c>
      <c r="Z20" s="78">
        <v>150</v>
      </c>
      <c r="AA20" s="79">
        <v>500</v>
      </c>
      <c r="AB20" s="77">
        <v>700</v>
      </c>
      <c r="AC20" s="77">
        <v>1200</v>
      </c>
      <c r="AD20" s="77">
        <v>1400</v>
      </c>
      <c r="AE20" s="53"/>
    </row>
    <row r="21" spans="1:31" x14ac:dyDescent="0.2">
      <c r="A21" s="21"/>
      <c r="B21" s="66"/>
      <c r="C21" s="19"/>
      <c r="D21" s="19"/>
      <c r="E21" s="43"/>
      <c r="F21" s="44"/>
      <c r="G21" s="45"/>
      <c r="H21" s="45"/>
      <c r="I21" s="21"/>
      <c r="J21" s="21"/>
      <c r="K21" s="21"/>
      <c r="L21" s="46"/>
      <c r="M21" s="47"/>
      <c r="N21" s="46"/>
      <c r="O21" s="46"/>
      <c r="P21" s="46"/>
      <c r="Q21" s="77" t="b">
        <f t="shared" si="7"/>
        <v>0</v>
      </c>
      <c r="R21" s="77" t="b">
        <f t="shared" si="8"/>
        <v>0</v>
      </c>
      <c r="S21" s="77">
        <f t="shared" si="9"/>
        <v>0</v>
      </c>
      <c r="T21" s="77">
        <f t="shared" si="23"/>
        <v>0</v>
      </c>
      <c r="U21" s="77" t="e">
        <f t="shared" si="10"/>
        <v>#DIV/0!</v>
      </c>
      <c r="V21" s="77">
        <f t="shared" si="24"/>
        <v>0</v>
      </c>
      <c r="W21" s="77" t="e">
        <f t="shared" si="11"/>
        <v>#DIV/0!</v>
      </c>
      <c r="X21" s="48">
        <f t="shared" si="12"/>
        <v>0</v>
      </c>
      <c r="Y21" s="78">
        <v>50</v>
      </c>
      <c r="Z21" s="78">
        <v>150</v>
      </c>
      <c r="AA21" s="79">
        <v>500</v>
      </c>
      <c r="AB21" s="77">
        <v>700</v>
      </c>
      <c r="AC21" s="77">
        <v>1200</v>
      </c>
      <c r="AD21" s="77">
        <v>1400</v>
      </c>
      <c r="AE21" s="53"/>
    </row>
    <row r="22" spans="1:31" x14ac:dyDescent="0.2">
      <c r="A22" s="21"/>
      <c r="B22" s="19"/>
      <c r="C22" s="19"/>
      <c r="D22" s="19"/>
      <c r="E22" s="43"/>
      <c r="F22" s="44"/>
      <c r="G22" s="45"/>
      <c r="H22" s="45"/>
      <c r="I22" s="21"/>
      <c r="J22" s="21"/>
      <c r="K22" s="21"/>
      <c r="L22" s="46"/>
      <c r="M22" s="47"/>
      <c r="N22" s="46"/>
      <c r="O22" s="46"/>
      <c r="P22" s="46"/>
      <c r="Q22" s="77" t="b">
        <f t="shared" si="7"/>
        <v>0</v>
      </c>
      <c r="R22" s="77" t="b">
        <f t="shared" si="8"/>
        <v>0</v>
      </c>
      <c r="S22" s="77">
        <f t="shared" si="9"/>
        <v>0</v>
      </c>
      <c r="T22" s="77">
        <f t="shared" si="23"/>
        <v>0</v>
      </c>
      <c r="U22" s="77" t="e">
        <f t="shared" si="10"/>
        <v>#DIV/0!</v>
      </c>
      <c r="V22" s="77">
        <f t="shared" si="24"/>
        <v>0</v>
      </c>
      <c r="W22" s="77" t="e">
        <f t="shared" si="11"/>
        <v>#DIV/0!</v>
      </c>
      <c r="X22" s="48">
        <f t="shared" si="12"/>
        <v>0</v>
      </c>
      <c r="Y22" s="78">
        <v>50</v>
      </c>
      <c r="Z22" s="78">
        <v>150</v>
      </c>
      <c r="AA22" s="79">
        <v>500</v>
      </c>
      <c r="AB22" s="77">
        <v>700</v>
      </c>
      <c r="AC22" s="77">
        <v>1200</v>
      </c>
      <c r="AD22" s="77">
        <v>1400</v>
      </c>
      <c r="AE22" s="53"/>
    </row>
    <row r="23" spans="1:31" x14ac:dyDescent="0.2">
      <c r="A23" s="21"/>
      <c r="B23" s="66"/>
      <c r="C23" s="19"/>
      <c r="D23" s="19"/>
      <c r="E23" s="43"/>
      <c r="F23" s="44"/>
      <c r="G23" s="45"/>
      <c r="H23" s="45"/>
      <c r="I23" s="21"/>
      <c r="J23" s="21"/>
      <c r="K23" s="21"/>
      <c r="L23" s="46"/>
      <c r="M23" s="47"/>
      <c r="N23" s="46"/>
      <c r="O23" s="46"/>
      <c r="P23" s="46"/>
      <c r="Q23" s="77" t="b">
        <f t="shared" si="7"/>
        <v>0</v>
      </c>
      <c r="R23" s="77" t="b">
        <f t="shared" si="8"/>
        <v>0</v>
      </c>
      <c r="S23" s="77">
        <f t="shared" si="9"/>
        <v>0</v>
      </c>
      <c r="T23" s="77">
        <f t="shared" si="23"/>
        <v>0</v>
      </c>
      <c r="U23" s="77" t="e">
        <f t="shared" si="10"/>
        <v>#DIV/0!</v>
      </c>
      <c r="V23" s="77">
        <f t="shared" si="24"/>
        <v>0</v>
      </c>
      <c r="W23" s="77" t="e">
        <f t="shared" si="11"/>
        <v>#DIV/0!</v>
      </c>
      <c r="X23" s="48">
        <f t="shared" si="12"/>
        <v>0</v>
      </c>
      <c r="Y23" s="78">
        <v>50</v>
      </c>
      <c r="Z23" s="78">
        <v>150</v>
      </c>
      <c r="AA23" s="79">
        <v>500</v>
      </c>
      <c r="AB23" s="77">
        <v>700</v>
      </c>
      <c r="AC23" s="77">
        <v>1200</v>
      </c>
      <c r="AD23" s="77">
        <v>1400</v>
      </c>
      <c r="AE23" s="53"/>
    </row>
    <row r="24" spans="1:31" x14ac:dyDescent="0.2">
      <c r="A24" s="21"/>
      <c r="B24" s="19"/>
      <c r="C24" s="19"/>
      <c r="D24" s="19"/>
      <c r="E24" s="43"/>
      <c r="F24" s="44"/>
      <c r="G24" s="45"/>
      <c r="H24" s="45"/>
      <c r="I24" s="21"/>
      <c r="J24" s="21"/>
      <c r="K24" s="21"/>
      <c r="L24" s="46"/>
      <c r="M24" s="47"/>
      <c r="N24" s="46"/>
      <c r="O24" s="46"/>
      <c r="P24" s="46"/>
      <c r="Q24" s="77" t="b">
        <f t="shared" si="7"/>
        <v>0</v>
      </c>
      <c r="R24" s="77" t="b">
        <f t="shared" si="8"/>
        <v>0</v>
      </c>
      <c r="S24" s="77">
        <f t="shared" si="9"/>
        <v>0</v>
      </c>
      <c r="T24" s="77">
        <f t="shared" si="23"/>
        <v>0</v>
      </c>
      <c r="U24" s="77" t="e">
        <f t="shared" si="10"/>
        <v>#DIV/0!</v>
      </c>
      <c r="V24" s="77">
        <f t="shared" si="24"/>
        <v>0</v>
      </c>
      <c r="W24" s="77" t="e">
        <f t="shared" si="11"/>
        <v>#DIV/0!</v>
      </c>
      <c r="X24" s="48">
        <f t="shared" si="12"/>
        <v>0</v>
      </c>
      <c r="Y24" s="78">
        <v>50</v>
      </c>
      <c r="Z24" s="78">
        <v>150</v>
      </c>
      <c r="AA24" s="79">
        <v>500</v>
      </c>
      <c r="AB24" s="77">
        <v>700</v>
      </c>
      <c r="AC24" s="77">
        <v>1200</v>
      </c>
      <c r="AD24" s="77">
        <v>1400</v>
      </c>
      <c r="AE24" s="53"/>
    </row>
    <row r="25" spans="1:31" x14ac:dyDescent="0.2">
      <c r="A25" s="21"/>
      <c r="B25" s="66"/>
      <c r="C25" s="19"/>
      <c r="D25" s="19"/>
      <c r="E25" s="43"/>
      <c r="F25" s="44"/>
      <c r="G25" s="45"/>
      <c r="H25" s="45"/>
      <c r="I25" s="21"/>
      <c r="J25" s="21"/>
      <c r="K25" s="21"/>
      <c r="L25" s="46"/>
      <c r="M25" s="47"/>
      <c r="N25" s="46"/>
      <c r="O25" s="46"/>
      <c r="P25" s="46"/>
      <c r="Q25" s="77" t="b">
        <f t="shared" si="7"/>
        <v>0</v>
      </c>
      <c r="R25" s="77" t="b">
        <f t="shared" si="8"/>
        <v>0</v>
      </c>
      <c r="S25" s="77">
        <f t="shared" si="9"/>
        <v>0</v>
      </c>
      <c r="T25" s="77">
        <f t="shared" si="23"/>
        <v>0</v>
      </c>
      <c r="U25" s="77" t="e">
        <f t="shared" si="10"/>
        <v>#DIV/0!</v>
      </c>
      <c r="V25" s="77">
        <f t="shared" si="24"/>
        <v>0</v>
      </c>
      <c r="W25" s="77" t="e">
        <f t="shared" si="11"/>
        <v>#DIV/0!</v>
      </c>
      <c r="X25" s="48">
        <f t="shared" si="12"/>
        <v>0</v>
      </c>
      <c r="Y25" s="78">
        <v>50</v>
      </c>
      <c r="Z25" s="78">
        <v>150</v>
      </c>
      <c r="AA25" s="79">
        <v>500</v>
      </c>
      <c r="AB25" s="77">
        <v>700</v>
      </c>
      <c r="AC25" s="77">
        <v>1200</v>
      </c>
      <c r="AD25" s="77">
        <v>1400</v>
      </c>
      <c r="AE25" s="53"/>
    </row>
    <row r="26" spans="1:31" x14ac:dyDescent="0.2">
      <c r="A26" s="21"/>
      <c r="B26" s="19"/>
      <c r="C26" s="19"/>
      <c r="D26" s="19"/>
      <c r="E26" s="43"/>
      <c r="F26" s="44"/>
      <c r="G26" s="45"/>
      <c r="H26" s="45"/>
      <c r="I26" s="21"/>
      <c r="J26" s="21"/>
      <c r="K26" s="21"/>
      <c r="L26" s="46"/>
      <c r="M26" s="47"/>
      <c r="N26" s="46"/>
      <c r="O26" s="46"/>
      <c r="P26" s="46"/>
      <c r="Q26" s="77" t="b">
        <f t="shared" si="7"/>
        <v>0</v>
      </c>
      <c r="R26" s="77" t="b">
        <f t="shared" si="8"/>
        <v>0</v>
      </c>
      <c r="S26" s="77">
        <f t="shared" si="9"/>
        <v>0</v>
      </c>
      <c r="T26" s="77">
        <f t="shared" si="23"/>
        <v>0</v>
      </c>
      <c r="U26" s="77" t="e">
        <f t="shared" si="10"/>
        <v>#DIV/0!</v>
      </c>
      <c r="V26" s="77">
        <f t="shared" si="24"/>
        <v>0</v>
      </c>
      <c r="W26" s="77" t="e">
        <f t="shared" si="11"/>
        <v>#DIV/0!</v>
      </c>
      <c r="X26" s="48">
        <f t="shared" si="12"/>
        <v>0</v>
      </c>
      <c r="Y26" s="78">
        <v>50</v>
      </c>
      <c r="Z26" s="78">
        <v>150</v>
      </c>
      <c r="AA26" s="79">
        <v>500</v>
      </c>
      <c r="AB26" s="77">
        <v>700</v>
      </c>
      <c r="AC26" s="77">
        <v>1200</v>
      </c>
      <c r="AD26" s="77">
        <v>1400</v>
      </c>
      <c r="AE26" s="53"/>
    </row>
    <row r="27" spans="1:31" x14ac:dyDescent="0.2">
      <c r="A27" s="21"/>
      <c r="B27" s="66"/>
      <c r="C27" s="19"/>
      <c r="D27" s="19"/>
      <c r="E27" s="43"/>
      <c r="F27" s="44"/>
      <c r="G27" s="45"/>
      <c r="H27" s="45"/>
      <c r="I27" s="21"/>
      <c r="J27" s="21"/>
      <c r="K27" s="21"/>
      <c r="L27" s="46"/>
      <c r="M27" s="47"/>
      <c r="N27" s="46"/>
      <c r="O27" s="46"/>
      <c r="P27" s="46"/>
      <c r="Q27" s="77" t="b">
        <f t="shared" si="7"/>
        <v>0</v>
      </c>
      <c r="R27" s="77" t="b">
        <f t="shared" si="8"/>
        <v>0</v>
      </c>
      <c r="S27" s="77">
        <f t="shared" si="9"/>
        <v>0</v>
      </c>
      <c r="T27" s="77">
        <f t="shared" si="23"/>
        <v>0</v>
      </c>
      <c r="U27" s="77" t="e">
        <f t="shared" si="10"/>
        <v>#DIV/0!</v>
      </c>
      <c r="V27" s="77">
        <f t="shared" si="24"/>
        <v>0</v>
      </c>
      <c r="W27" s="77" t="e">
        <f t="shared" si="11"/>
        <v>#DIV/0!</v>
      </c>
      <c r="X27" s="48">
        <f t="shared" si="12"/>
        <v>0</v>
      </c>
      <c r="Y27" s="78">
        <v>50</v>
      </c>
      <c r="Z27" s="78">
        <v>150</v>
      </c>
      <c r="AA27" s="79">
        <v>500</v>
      </c>
      <c r="AB27" s="77">
        <v>700</v>
      </c>
      <c r="AC27" s="77">
        <v>1200</v>
      </c>
      <c r="AD27" s="77">
        <v>1400</v>
      </c>
      <c r="AE27" s="53"/>
    </row>
    <row r="28" spans="1:31" x14ac:dyDescent="0.2">
      <c r="A28" s="21"/>
      <c r="B28" s="19"/>
      <c r="C28" s="19"/>
      <c r="D28" s="19"/>
      <c r="E28" s="43"/>
      <c r="F28" s="44"/>
      <c r="G28" s="45"/>
      <c r="H28" s="45"/>
      <c r="I28" s="21"/>
      <c r="J28" s="21"/>
      <c r="K28" s="21"/>
      <c r="L28" s="46"/>
      <c r="M28" s="47"/>
      <c r="N28" s="46"/>
      <c r="O28" s="46"/>
      <c r="P28" s="46"/>
      <c r="Q28" s="77" t="b">
        <f t="shared" si="7"/>
        <v>0</v>
      </c>
      <c r="R28" s="77" t="b">
        <f t="shared" si="8"/>
        <v>0</v>
      </c>
      <c r="S28" s="77">
        <f t="shared" si="9"/>
        <v>0</v>
      </c>
      <c r="T28" s="77">
        <f t="shared" si="23"/>
        <v>0</v>
      </c>
      <c r="U28" s="77" t="e">
        <f t="shared" si="10"/>
        <v>#DIV/0!</v>
      </c>
      <c r="V28" s="77">
        <f t="shared" si="24"/>
        <v>0</v>
      </c>
      <c r="W28" s="77" t="e">
        <f t="shared" si="11"/>
        <v>#DIV/0!</v>
      </c>
      <c r="X28" s="48">
        <f t="shared" si="12"/>
        <v>0</v>
      </c>
      <c r="Y28" s="78">
        <v>50</v>
      </c>
      <c r="Z28" s="78">
        <v>150</v>
      </c>
      <c r="AA28" s="79">
        <v>500</v>
      </c>
      <c r="AB28" s="77">
        <v>700</v>
      </c>
      <c r="AC28" s="77">
        <v>1200</v>
      </c>
      <c r="AD28" s="77">
        <v>1400</v>
      </c>
      <c r="AE28" s="53"/>
    </row>
    <row r="29" spans="1:31" x14ac:dyDescent="0.2">
      <c r="A29" s="21"/>
      <c r="B29" s="66"/>
      <c r="C29" s="19"/>
      <c r="D29" s="19"/>
      <c r="E29" s="43"/>
      <c r="F29" s="44"/>
      <c r="G29" s="45"/>
      <c r="H29" s="45"/>
      <c r="I29" s="21"/>
      <c r="J29" s="21"/>
      <c r="K29" s="21"/>
      <c r="L29" s="46"/>
      <c r="M29" s="47"/>
      <c r="N29" s="46"/>
      <c r="O29" s="46"/>
      <c r="P29" s="46"/>
      <c r="Q29" s="77" t="b">
        <f t="shared" si="7"/>
        <v>0</v>
      </c>
      <c r="R29" s="77" t="b">
        <f t="shared" si="8"/>
        <v>0</v>
      </c>
      <c r="S29" s="77">
        <f t="shared" si="9"/>
        <v>0</v>
      </c>
      <c r="T29" s="77">
        <f t="shared" si="23"/>
        <v>0</v>
      </c>
      <c r="U29" s="77" t="e">
        <f t="shared" si="10"/>
        <v>#DIV/0!</v>
      </c>
      <c r="V29" s="77">
        <f t="shared" si="24"/>
        <v>0</v>
      </c>
      <c r="W29" s="77" t="e">
        <f t="shared" si="11"/>
        <v>#DIV/0!</v>
      </c>
      <c r="X29" s="48">
        <f t="shared" si="12"/>
        <v>0</v>
      </c>
      <c r="Y29" s="78">
        <v>50</v>
      </c>
      <c r="Z29" s="78">
        <v>150</v>
      </c>
      <c r="AA29" s="79">
        <v>500</v>
      </c>
      <c r="AB29" s="77">
        <v>700</v>
      </c>
      <c r="AC29" s="77">
        <v>1200</v>
      </c>
      <c r="AD29" s="77">
        <v>1400</v>
      </c>
      <c r="AE29" s="53"/>
    </row>
    <row r="30" spans="1:31" x14ac:dyDescent="0.2">
      <c r="A30" s="21"/>
      <c r="B30" s="19"/>
      <c r="C30" s="19"/>
      <c r="D30" s="19"/>
      <c r="E30" s="43"/>
      <c r="F30" s="44"/>
      <c r="G30" s="45"/>
      <c r="H30" s="45"/>
      <c r="I30" s="21"/>
      <c r="J30" s="21"/>
      <c r="K30" s="21"/>
      <c r="L30" s="46"/>
      <c r="M30" s="47"/>
      <c r="N30" s="46"/>
      <c r="O30" s="46"/>
      <c r="P30" s="46"/>
      <c r="Q30" s="77" t="b">
        <f t="shared" si="7"/>
        <v>0</v>
      </c>
      <c r="R30" s="77" t="b">
        <f t="shared" si="8"/>
        <v>0</v>
      </c>
      <c r="S30" s="77">
        <f t="shared" si="9"/>
        <v>0</v>
      </c>
      <c r="T30" s="77">
        <f t="shared" si="23"/>
        <v>0</v>
      </c>
      <c r="U30" s="77" t="e">
        <f t="shared" si="10"/>
        <v>#DIV/0!</v>
      </c>
      <c r="V30" s="77">
        <f t="shared" si="24"/>
        <v>0</v>
      </c>
      <c r="W30" s="77" t="e">
        <f t="shared" si="11"/>
        <v>#DIV/0!</v>
      </c>
      <c r="X30" s="48">
        <f t="shared" si="12"/>
        <v>0</v>
      </c>
      <c r="Y30" s="78">
        <v>50</v>
      </c>
      <c r="Z30" s="78">
        <v>150</v>
      </c>
      <c r="AA30" s="79">
        <v>500</v>
      </c>
      <c r="AB30" s="77">
        <v>700</v>
      </c>
      <c r="AC30" s="77">
        <v>1200</v>
      </c>
      <c r="AD30" s="77">
        <v>1400</v>
      </c>
      <c r="AE30" s="53"/>
    </row>
    <row r="31" spans="1:31" x14ac:dyDescent="0.2">
      <c r="A31" s="21"/>
      <c r="B31" s="66"/>
      <c r="C31" s="19"/>
      <c r="D31" s="19"/>
      <c r="E31" s="43"/>
      <c r="F31" s="44"/>
      <c r="G31" s="45"/>
      <c r="H31" s="45"/>
      <c r="I31" s="21"/>
      <c r="J31" s="21"/>
      <c r="K31" s="21"/>
      <c r="L31" s="46"/>
      <c r="M31" s="47"/>
      <c r="N31" s="46"/>
      <c r="O31" s="46"/>
      <c r="P31" s="46"/>
      <c r="Q31" s="77" t="b">
        <f t="shared" si="7"/>
        <v>0</v>
      </c>
      <c r="R31" s="77" t="b">
        <f t="shared" si="8"/>
        <v>0</v>
      </c>
      <c r="S31" s="77">
        <f t="shared" si="9"/>
        <v>0</v>
      </c>
      <c r="T31" s="77">
        <f t="shared" si="23"/>
        <v>0</v>
      </c>
      <c r="U31" s="77" t="e">
        <f t="shared" si="10"/>
        <v>#DIV/0!</v>
      </c>
      <c r="V31" s="77">
        <f t="shared" si="24"/>
        <v>0</v>
      </c>
      <c r="W31" s="77" t="e">
        <f t="shared" si="11"/>
        <v>#DIV/0!</v>
      </c>
      <c r="X31" s="48">
        <f t="shared" si="12"/>
        <v>0</v>
      </c>
      <c r="Y31" s="78">
        <v>50</v>
      </c>
      <c r="Z31" s="78">
        <v>150</v>
      </c>
      <c r="AA31" s="79">
        <v>500</v>
      </c>
      <c r="AB31" s="77">
        <v>700</v>
      </c>
      <c r="AC31" s="77">
        <v>1200</v>
      </c>
      <c r="AD31" s="77">
        <v>1400</v>
      </c>
      <c r="AE31" s="53"/>
    </row>
    <row r="32" spans="1:31" x14ac:dyDescent="0.2">
      <c r="A32" s="21"/>
      <c r="B32" s="19"/>
      <c r="C32" s="19"/>
      <c r="D32" s="19"/>
      <c r="E32" s="43"/>
      <c r="F32" s="44"/>
      <c r="G32" s="45"/>
      <c r="H32" s="45"/>
      <c r="I32" s="21"/>
      <c r="J32" s="21"/>
      <c r="K32" s="21"/>
      <c r="L32" s="46"/>
      <c r="M32" s="47"/>
      <c r="N32" s="46"/>
      <c r="O32" s="46"/>
      <c r="P32" s="46"/>
      <c r="Q32" s="77" t="b">
        <f t="shared" si="7"/>
        <v>0</v>
      </c>
      <c r="R32" s="77" t="b">
        <f t="shared" si="8"/>
        <v>0</v>
      </c>
      <c r="S32" s="77">
        <f t="shared" si="9"/>
        <v>0</v>
      </c>
      <c r="T32" s="77">
        <f t="shared" si="23"/>
        <v>0</v>
      </c>
      <c r="U32" s="77" t="e">
        <f t="shared" si="10"/>
        <v>#DIV/0!</v>
      </c>
      <c r="V32" s="77">
        <f t="shared" si="24"/>
        <v>0</v>
      </c>
      <c r="W32" s="77" t="e">
        <f t="shared" si="11"/>
        <v>#DIV/0!</v>
      </c>
      <c r="X32" s="48">
        <f t="shared" si="12"/>
        <v>0</v>
      </c>
      <c r="Y32" s="78">
        <v>50</v>
      </c>
      <c r="Z32" s="78">
        <v>150</v>
      </c>
      <c r="AA32" s="79">
        <v>500</v>
      </c>
      <c r="AB32" s="77">
        <v>700</v>
      </c>
      <c r="AC32" s="77">
        <v>1200</v>
      </c>
      <c r="AD32" s="77">
        <v>1400</v>
      </c>
      <c r="AE32" s="53"/>
    </row>
    <row r="33" spans="1:31" x14ac:dyDescent="0.2">
      <c r="A33" s="21"/>
      <c r="B33" s="66"/>
      <c r="C33" s="19"/>
      <c r="D33" s="19"/>
      <c r="E33" s="43"/>
      <c r="F33" s="44"/>
      <c r="G33" s="45"/>
      <c r="H33" s="45"/>
      <c r="I33" s="21"/>
      <c r="J33" s="21"/>
      <c r="K33" s="21"/>
      <c r="L33" s="46"/>
      <c r="M33" s="47"/>
      <c r="N33" s="46"/>
      <c r="O33" s="46"/>
      <c r="P33" s="46"/>
      <c r="Q33" s="77" t="b">
        <f t="shared" si="7"/>
        <v>0</v>
      </c>
      <c r="R33" s="77" t="b">
        <f t="shared" si="8"/>
        <v>0</v>
      </c>
      <c r="S33" s="77">
        <f t="shared" si="9"/>
        <v>0</v>
      </c>
      <c r="T33" s="77">
        <f t="shared" si="23"/>
        <v>0</v>
      </c>
      <c r="U33" s="77" t="e">
        <f t="shared" si="10"/>
        <v>#DIV/0!</v>
      </c>
      <c r="V33" s="77">
        <f t="shared" si="24"/>
        <v>0</v>
      </c>
      <c r="W33" s="77" t="e">
        <f t="shared" si="11"/>
        <v>#DIV/0!</v>
      </c>
      <c r="X33" s="48">
        <f t="shared" si="12"/>
        <v>0</v>
      </c>
      <c r="Y33" s="78">
        <v>50</v>
      </c>
      <c r="Z33" s="78">
        <v>150</v>
      </c>
      <c r="AA33" s="79">
        <v>500</v>
      </c>
      <c r="AB33" s="77">
        <v>700</v>
      </c>
      <c r="AC33" s="77">
        <v>1200</v>
      </c>
      <c r="AD33" s="77">
        <v>1400</v>
      </c>
      <c r="AE33" s="53"/>
    </row>
    <row r="34" spans="1:31" x14ac:dyDescent="0.2">
      <c r="A34" s="21"/>
      <c r="B34" s="19"/>
      <c r="C34" s="19"/>
      <c r="D34" s="19"/>
      <c r="E34" s="43"/>
      <c r="F34" s="44"/>
      <c r="G34" s="45"/>
      <c r="H34" s="45"/>
      <c r="I34" s="21"/>
      <c r="J34" s="21"/>
      <c r="K34" s="21"/>
      <c r="L34" s="46"/>
      <c r="M34" s="47"/>
      <c r="N34" s="46"/>
      <c r="O34" s="46"/>
      <c r="P34" s="46"/>
      <c r="Q34" s="77" t="b">
        <f t="shared" si="7"/>
        <v>0</v>
      </c>
      <c r="R34" s="77" t="b">
        <f t="shared" si="8"/>
        <v>0</v>
      </c>
      <c r="S34" s="77">
        <f t="shared" si="9"/>
        <v>0</v>
      </c>
      <c r="T34" s="77">
        <f t="shared" si="23"/>
        <v>0</v>
      </c>
      <c r="U34" s="77" t="e">
        <f t="shared" si="10"/>
        <v>#DIV/0!</v>
      </c>
      <c r="V34" s="77">
        <f t="shared" si="24"/>
        <v>0</v>
      </c>
      <c r="W34" s="77" t="e">
        <f t="shared" si="11"/>
        <v>#DIV/0!</v>
      </c>
      <c r="X34" s="48">
        <f t="shared" si="12"/>
        <v>0</v>
      </c>
      <c r="Y34" s="78">
        <v>50</v>
      </c>
      <c r="Z34" s="78">
        <v>150</v>
      </c>
      <c r="AA34" s="79">
        <v>500</v>
      </c>
      <c r="AB34" s="77">
        <v>700</v>
      </c>
      <c r="AC34" s="77">
        <v>1200</v>
      </c>
      <c r="AD34" s="77">
        <v>1400</v>
      </c>
      <c r="AE34" s="53"/>
    </row>
    <row r="35" spans="1:31" x14ac:dyDescent="0.2">
      <c r="A35" s="21"/>
      <c r="B35" s="66"/>
      <c r="C35" s="19"/>
      <c r="D35" s="19"/>
      <c r="E35" s="43"/>
      <c r="F35" s="44"/>
      <c r="G35" s="45"/>
      <c r="H35" s="45"/>
      <c r="I35" s="21"/>
      <c r="J35" s="21"/>
      <c r="K35" s="21"/>
      <c r="L35" s="46"/>
      <c r="M35" s="47"/>
      <c r="N35" s="46"/>
      <c r="O35" s="46"/>
      <c r="P35" s="46"/>
      <c r="Q35" s="77" t="b">
        <f t="shared" si="7"/>
        <v>0</v>
      </c>
      <c r="R35" s="77" t="b">
        <f t="shared" si="8"/>
        <v>0</v>
      </c>
      <c r="S35" s="77">
        <f t="shared" si="9"/>
        <v>0</v>
      </c>
      <c r="T35" s="77">
        <f t="shared" si="23"/>
        <v>0</v>
      </c>
      <c r="U35" s="77" t="e">
        <f t="shared" si="10"/>
        <v>#DIV/0!</v>
      </c>
      <c r="V35" s="77">
        <f t="shared" si="24"/>
        <v>0</v>
      </c>
      <c r="W35" s="77" t="e">
        <f t="shared" si="11"/>
        <v>#DIV/0!</v>
      </c>
      <c r="X35" s="48">
        <f t="shared" si="12"/>
        <v>0</v>
      </c>
      <c r="Y35" s="78">
        <v>50</v>
      </c>
      <c r="Z35" s="78">
        <v>150</v>
      </c>
      <c r="AA35" s="79">
        <v>500</v>
      </c>
      <c r="AB35" s="77">
        <v>700</v>
      </c>
      <c r="AC35" s="77">
        <v>1200</v>
      </c>
      <c r="AD35" s="77">
        <v>1400</v>
      </c>
      <c r="AE35" s="53"/>
    </row>
  </sheetData>
  <sheetProtection algorithmName="SHA-512" hashValue="5VBPM3U+7XyLKRNg+REmXdDBtx0NJCMJnQOj8mQMfMzx2jezIN6cLj1vXgXLzev5P56cA8euDceK5MeSPlRvhw==" saltValue="fTbWjKRx62YVkobruHyV4g==" spinCount="100000" sheet="1" objects="1" scenarios="1"/>
  <mergeCells count="16">
    <mergeCell ref="A1:P1"/>
    <mergeCell ref="A2:A4"/>
    <mergeCell ref="B2:B4"/>
    <mergeCell ref="C2:C4"/>
    <mergeCell ref="D2:D4"/>
    <mergeCell ref="E2:E4"/>
    <mergeCell ref="F2:F4"/>
    <mergeCell ref="G2:H3"/>
    <mergeCell ref="I2:I4"/>
    <mergeCell ref="J2:J4"/>
    <mergeCell ref="K2:K4"/>
    <mergeCell ref="L2:L4"/>
    <mergeCell ref="M2:M4"/>
    <mergeCell ref="N2:N4"/>
    <mergeCell ref="O2:O4"/>
    <mergeCell ref="P2:P4"/>
  </mergeCells>
  <phoneticPr fontId="5" type="noConversion"/>
  <pageMargins left="0.75" right="0.75" top="1" bottom="1" header="0.51180555555555596" footer="0.51180555555555596"/>
  <pageSetup paperSize="9" orientation="portrait" r:id="rId1"/>
  <ignoredErrors>
    <ignoredError sqref="H5 M5 N5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6"/>
  <sheetViews>
    <sheetView workbookViewId="0">
      <selection activeCell="A5" sqref="A5:E14"/>
    </sheetView>
  </sheetViews>
  <sheetFormatPr defaultColWidth="9" defaultRowHeight="12.75" x14ac:dyDescent="0.2"/>
  <cols>
    <col min="1" max="1" width="8.625" style="13" customWidth="1"/>
    <col min="2" max="4" width="9" style="13" customWidth="1"/>
    <col min="5" max="5" width="12.125" style="13" customWidth="1"/>
    <col min="6" max="6" width="13.5" style="53" customWidth="1"/>
    <col min="7" max="7" width="8.125" style="53" customWidth="1"/>
    <col min="8" max="8" width="8.125" style="57" customWidth="1"/>
    <col min="9" max="9" width="7" style="71" customWidth="1"/>
    <col min="10" max="10" width="6.75" style="71" bestFit="1" customWidth="1"/>
    <col min="11" max="11" width="7.375" style="71" customWidth="1"/>
    <col min="12" max="13" width="7.625" style="71" customWidth="1"/>
    <col min="14" max="14" width="8.125" style="53" customWidth="1"/>
    <col min="15" max="15" width="8.875" style="13" customWidth="1"/>
    <col min="16" max="16" width="8.75" style="13" customWidth="1"/>
    <col min="17" max="17" width="10.25" style="13" customWidth="1"/>
    <col min="18" max="21" width="10.25" style="17" customWidth="1"/>
    <col min="22" max="22" width="11.625" style="17" customWidth="1"/>
    <col min="23" max="29" width="8.625" style="13" hidden="1" customWidth="1"/>
    <col min="30" max="30" width="8.625" style="53" hidden="1" customWidth="1"/>
    <col min="31" max="36" width="8.625" style="13" hidden="1" customWidth="1"/>
    <col min="37" max="16384" width="9" style="13"/>
  </cols>
  <sheetData>
    <row r="1" spans="1:37" s="6" customFormat="1" ht="42.95" customHeight="1" x14ac:dyDescent="0.2">
      <c r="A1" s="106" t="s">
        <v>50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2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</row>
    <row r="2" spans="1:37" s="3" customFormat="1" ht="37.5" customHeight="1" x14ac:dyDescent="0.2">
      <c r="A2" s="83" t="s">
        <v>1</v>
      </c>
      <c r="B2" s="86" t="s">
        <v>8</v>
      </c>
      <c r="C2" s="89" t="s">
        <v>9</v>
      </c>
      <c r="D2" s="89" t="s">
        <v>10</v>
      </c>
      <c r="E2" s="89" t="s">
        <v>11</v>
      </c>
      <c r="F2" s="92" t="s">
        <v>63</v>
      </c>
      <c r="G2" s="95" t="s">
        <v>66</v>
      </c>
      <c r="H2" s="96"/>
      <c r="I2" s="107" t="s">
        <v>70</v>
      </c>
      <c r="J2" s="108"/>
      <c r="K2" s="108"/>
      <c r="L2" s="109"/>
      <c r="M2" s="95" t="s">
        <v>72</v>
      </c>
      <c r="N2" s="96"/>
      <c r="O2" s="86" t="s">
        <v>14</v>
      </c>
      <c r="P2" s="86" t="s">
        <v>15</v>
      </c>
      <c r="Q2" s="86" t="s">
        <v>16</v>
      </c>
      <c r="R2" s="100" t="s">
        <v>45</v>
      </c>
      <c r="S2" s="100" t="s">
        <v>46</v>
      </c>
      <c r="T2" s="100" t="s">
        <v>47</v>
      </c>
      <c r="U2" s="100" t="s">
        <v>48</v>
      </c>
      <c r="V2" s="103" t="s">
        <v>49</v>
      </c>
      <c r="W2" s="74" t="s">
        <v>17</v>
      </c>
      <c r="X2" s="74" t="s">
        <v>18</v>
      </c>
      <c r="Y2" s="74" t="s">
        <v>73</v>
      </c>
      <c r="Z2" s="74" t="s">
        <v>20</v>
      </c>
      <c r="AA2" s="74" t="s">
        <v>21</v>
      </c>
      <c r="AB2" s="74" t="s">
        <v>22</v>
      </c>
      <c r="AC2" s="74" t="s">
        <v>23</v>
      </c>
      <c r="AD2" s="7" t="s">
        <v>0</v>
      </c>
      <c r="AE2" s="75" t="s">
        <v>2</v>
      </c>
      <c r="AF2" s="75" t="s">
        <v>3</v>
      </c>
      <c r="AG2" s="76" t="s">
        <v>4</v>
      </c>
      <c r="AH2" s="76" t="s">
        <v>5</v>
      </c>
      <c r="AI2" s="76" t="s">
        <v>6</v>
      </c>
      <c r="AJ2" s="76" t="s">
        <v>7</v>
      </c>
      <c r="AK2" s="64"/>
    </row>
    <row r="3" spans="1:37" s="3" customFormat="1" ht="22.5" customHeight="1" x14ac:dyDescent="0.2">
      <c r="A3" s="84"/>
      <c r="B3" s="87"/>
      <c r="C3" s="90"/>
      <c r="D3" s="90"/>
      <c r="E3" s="90"/>
      <c r="F3" s="93"/>
      <c r="G3" s="97"/>
      <c r="H3" s="98"/>
      <c r="I3" s="110" t="s">
        <v>71</v>
      </c>
      <c r="J3" s="111"/>
      <c r="K3" s="112" t="s">
        <v>64</v>
      </c>
      <c r="L3" s="113"/>
      <c r="M3" s="97"/>
      <c r="N3" s="98"/>
      <c r="O3" s="87"/>
      <c r="P3" s="87"/>
      <c r="Q3" s="87"/>
      <c r="R3" s="101"/>
      <c r="S3" s="101"/>
      <c r="T3" s="101"/>
      <c r="U3" s="101"/>
      <c r="V3" s="104"/>
      <c r="W3" s="73"/>
      <c r="X3" s="73"/>
      <c r="Y3" s="73"/>
      <c r="Z3" s="73"/>
      <c r="AA3" s="73"/>
      <c r="AB3" s="73"/>
      <c r="AC3" s="73"/>
      <c r="AD3" s="7"/>
      <c r="AE3" s="73"/>
      <c r="AF3" s="73"/>
      <c r="AG3" s="73"/>
      <c r="AH3" s="73"/>
      <c r="AI3" s="73"/>
      <c r="AJ3" s="73"/>
      <c r="AK3" s="64"/>
    </row>
    <row r="4" spans="1:37" ht="21.75" customHeight="1" x14ac:dyDescent="0.2">
      <c r="A4" s="85"/>
      <c r="B4" s="88"/>
      <c r="C4" s="91"/>
      <c r="D4" s="91"/>
      <c r="E4" s="91"/>
      <c r="F4" s="94"/>
      <c r="G4" s="67" t="s">
        <v>69</v>
      </c>
      <c r="H4" s="68" t="s">
        <v>68</v>
      </c>
      <c r="I4" s="69" t="s">
        <v>65</v>
      </c>
      <c r="J4" s="70" t="s">
        <v>67</v>
      </c>
      <c r="K4" s="69" t="s">
        <v>65</v>
      </c>
      <c r="L4" s="70" t="s">
        <v>67</v>
      </c>
      <c r="M4" s="37" t="s">
        <v>69</v>
      </c>
      <c r="N4" s="37" t="s">
        <v>68</v>
      </c>
      <c r="O4" s="99"/>
      <c r="P4" s="99"/>
      <c r="Q4" s="99"/>
      <c r="R4" s="102"/>
      <c r="S4" s="102"/>
      <c r="T4" s="102"/>
      <c r="U4" s="102"/>
      <c r="V4" s="105"/>
      <c r="W4" s="53"/>
      <c r="X4" s="53"/>
      <c r="Y4" s="53"/>
      <c r="Z4" s="53"/>
      <c r="AA4" s="53"/>
      <c r="AB4" s="53"/>
      <c r="AC4" s="53"/>
      <c r="AE4" s="53"/>
      <c r="AF4" s="53"/>
      <c r="AG4" s="53"/>
      <c r="AH4" s="53"/>
      <c r="AI4" s="53"/>
      <c r="AJ4" s="53"/>
      <c r="AK4" s="53"/>
    </row>
    <row r="5" spans="1:37" x14ac:dyDescent="0.2">
      <c r="A5" s="21"/>
      <c r="B5" s="66"/>
      <c r="C5" s="19"/>
      <c r="D5" s="19"/>
      <c r="E5" s="43"/>
      <c r="F5" s="44" t="str">
        <f t="shared" ref="F5" si="0">IF(AND(A5=0,B5=0,C5=0,D5=0,E5=0),"",IF(AND(B5&lt;25,C5&lt;18,D5&lt;2,(A5+AE5)&lt;250),"小件",IF(AND(B5&lt;33,C5&lt;24,D5&lt;2.8,(A5+AE5)&lt;1000),"标准件类别1",IF(AND(B5&lt;45,C5&lt;35,D5&lt;20,AD5&lt;60,(A5+AF5)&lt;2000),"标准件类别2",IF(AND(B5&lt;45,C5&lt;35,D5&lt;20,AD5&lt;80,(A5+AF5)&lt;5000),"标准件类别3",IF(AND(B5&lt;45,C5&lt;35,D5&lt;20,AD5&lt;100,(A5+AF5)&lt;9000),"标准件类别4",IF(AND(OR(A5&gt;=9000,B5&gt;=45,C5&gt;=35,D5&gt;=20),AND(AD5&lt;60,(A5+AF5)&lt;2000)),"大件类别1",IF(AND(OR(A5&gt;=9000,B5&gt;=45,C5&gt;=35,D5&gt;=20),AND(AD5&lt;80,(A5+AF5)&lt;5000)),"大件类别2",IF(AND(OR(A5&gt;=9000,B5&gt;=45,C5&gt;=35,D5&gt;=20),AND(AD5&lt;100,(A5+AF5)&lt;10000)),"大件类别3",IF(AND(OR(A5&gt;=9000,B5&gt;=45,C5&gt;=35,D5&gt;=20),AND(AD5&lt;120,(A5+AG5)&lt;15000)),"大件类别4",IF(AND(OR(A5&gt;=9000,B5&gt;=45,C5&gt;=35,D5&gt;=20),AND(AD5&lt;140,(A5+AH5)&lt;20000)),"大件类别5",IF(AND(OR(A5&gt;=9000,B5&gt;=45,C5&gt;=35,D5&gt;=20),AND(AD5&lt;160,(A5+AI5)&lt;25000)),"大件类别6",IF(AND(B5&gt;=90,AD5&gt;=170),"不可使用FBA服务",IF(AND(OR(A5&gt;=9000,B5&gt;=45,C5&gt;=35,D5&gt;=20),AND(AD5&lt;180,(A5+AI5)&lt;30000)),"大件类别7",IF(AND(OR(A5&gt;=9000,B5&gt;=45,C5&gt;=35,D5&gt;=20),AND(AD5&lt;200,(A5+AJ5)&lt;40000)),"大件类别8",IF(OR(A5&gt;=40000,AD5&gt;=200),"不可使用FBA服务"))))))))))))))))</f>
        <v/>
      </c>
      <c r="G5" s="45" t="str">
        <f>IF(F5="","",IF(F5="不可使用FBA服务","",IF(F5="小件","257",IF(F5="标准件类别1","361",IF(F5="标准件类别2","404",IF(F5="标准件类别3","427",IF(F5="标准件类别4","499",IF(F5="大件类别1","575",IF(F5="大件类别2","691",IF(F5="大件类别3","778",IF(F5="大件类别4","905",IF(F5="大件类别5","957",IF(F5="大件类别6","1001",IF(F5="大件类别7","1419",IF(F5="大件类别8","1598")))))))))))))))</f>
        <v/>
      </c>
      <c r="H5" s="45" t="str">
        <f t="shared" ref="H5" si="1">IF(G5="","",G5/E5)</f>
        <v/>
      </c>
      <c r="I5" s="45" t="str">
        <f>IF(F5="","",IF(F5="不可使用FBA服务","",IF(F5="小件","560",IF(F5="标准件类别1","586",IF(F5="标准件类别2","713",IF(F5="标准件类别3","738",IF(F5="标准件类别4","789",IF(F5="大件类别1","815",IF(F5="大件类别2","866",IF(F5="大件类别3","917",IF(F5="大件类别4","1019",IF(F5="大件类别5","1069",IF(F5="大件类别6","1120",IF(F5="大件类别7","1604",IF(F5="大件类别8","1630")))))))))))))))</f>
        <v/>
      </c>
      <c r="J5" s="45" t="str">
        <f>IF(I5="","",I5/E5)</f>
        <v/>
      </c>
      <c r="K5" s="45" t="str">
        <f>IF(F5="","",IF(F5="不可使用FBA服务","",IF(F5="小件","637",IF(F5="标准件类别1","662",IF(F5="标准件类别2","738",IF(F5="标准件类别3","764",IF(F5="标准件类别4","815",IF(F5="大件类别1","840",IF(F5="大件类别2","891",IF(F5="大件类别3","942",IF(F5="大件类别4","1044",IF(F5="大件类别5","1095",IF(F5="大件类别6","1146",IF(F5="大件类别7","1630",IF(F5="大件类别8","1655")))))))))))))))</f>
        <v/>
      </c>
      <c r="L5" s="45" t="str">
        <f t="shared" ref="L5" si="2">IF(K5="","",K5/E5)</f>
        <v/>
      </c>
      <c r="M5" s="45" t="str">
        <f>IF(E5="","",330)</f>
        <v/>
      </c>
      <c r="N5" s="45" t="str">
        <f>IF(M5="","",M5/E5)</f>
        <v/>
      </c>
      <c r="O5" s="21"/>
      <c r="P5" s="21"/>
      <c r="Q5" s="21"/>
      <c r="R5" s="46" t="str">
        <f t="shared" ref="R5" si="3">IF(AND(O5=0,P5=0,Q5=0),"",W5*Y5/1000*O5/P5*Q5)</f>
        <v/>
      </c>
      <c r="S5" s="47" t="str">
        <f t="shared" ref="S5" si="4">IF(AND(O5=0,P5=0,Q5=0),"",R5/E5)</f>
        <v/>
      </c>
      <c r="T5" s="46" t="str">
        <f t="shared" ref="T5" si="5">IF(AND(O5=0,P5=0,Q5=0),"",X5*Y5/1000*O5/P5*Q5)</f>
        <v/>
      </c>
      <c r="U5" s="46" t="str">
        <f t="shared" ref="U5" si="6">IF(AND(O5=0,P5=0,Q5=0),"",T5/E5)</f>
        <v/>
      </c>
      <c r="V5" s="46" t="str">
        <f>IF(AND(O5=0,P5=0,Q5=0),"",B5*C5*D5/1000*Q5*17.773/E5)</f>
        <v/>
      </c>
      <c r="W5" s="77" t="b">
        <f>IF(OR(F5="小件",F5="标准件类别1",F5="标准件类别2",F5="标准件类别3",F5="标准件类别4"),"5.16",IF(OR(F5="大件类别1",F5="大件类别2",F5="大件类别3",F5="大件类别4",F5="大件类别5",F5="大件类别6",F5="大件类别7",F5="大件类别8"),"4.37"))</f>
        <v>0</v>
      </c>
      <c r="X5" s="77" t="b">
        <f>IF(OR(F5="小件",F5="标准件类别1",F5="标准件类别2",F5="标准件类别3",F5="标准件类别4"),"9.17",IF(OR(F5="大件类别1",F5="大件类别2",F5="大件类别3",F5="大件类别4",F5="大件类别5",F5="大件类别6",F5="大件类别7",F5="大件类别8"),"7.76"))</f>
        <v>0</v>
      </c>
      <c r="Y5" s="77">
        <f t="shared" ref="Y5" si="7">B5*C5*D5</f>
        <v>0</v>
      </c>
      <c r="Z5" s="77">
        <f>W5*Y5/1000</f>
        <v>0</v>
      </c>
      <c r="AA5" s="77" t="e">
        <f t="shared" ref="AA5" si="8">Z5/E5</f>
        <v>#DIV/0!</v>
      </c>
      <c r="AB5" s="77">
        <f>X5*Y5/1000</f>
        <v>0</v>
      </c>
      <c r="AC5" s="77" t="e">
        <f t="shared" ref="AC5" si="9">AB5/E5</f>
        <v>#DIV/0!</v>
      </c>
      <c r="AD5" s="48">
        <f t="shared" ref="AD5" si="10">B5+C5+D5</f>
        <v>0</v>
      </c>
      <c r="AE5" s="78">
        <v>50</v>
      </c>
      <c r="AF5" s="78">
        <v>150</v>
      </c>
      <c r="AG5" s="79">
        <v>500</v>
      </c>
      <c r="AH5" s="77">
        <v>700</v>
      </c>
      <c r="AI5" s="77">
        <v>1200</v>
      </c>
      <c r="AJ5" s="77">
        <v>1400</v>
      </c>
      <c r="AK5" s="53"/>
    </row>
    <row r="6" spans="1:37" x14ac:dyDescent="0.2">
      <c r="A6" s="21"/>
      <c r="B6" s="66"/>
      <c r="C6" s="19"/>
      <c r="D6" s="19"/>
      <c r="E6" s="43"/>
      <c r="F6" s="44" t="str">
        <f t="shared" ref="F6:F7" si="11">IF(AND(A6=0,B6=0,C6=0,D6=0,E6=0),"",IF(AND(B6&lt;25,C6&lt;18,D6&lt;2,(A6+AE6)&lt;250),"小件",IF(AND(B6&lt;33,C6&lt;24,D6&lt;2.8,(A6+AE6)&lt;1000),"标准件类别1",IF(AND(B6&lt;45,C6&lt;35,D6&lt;20,AD6&lt;60,(A6+AF6)&lt;2000),"标准件类别2",IF(AND(B6&lt;45,C6&lt;35,D6&lt;20,AD6&lt;80,(A6+AF6)&lt;5000),"标准件类别3",IF(AND(B6&lt;45,C6&lt;35,D6&lt;20,AD6&lt;100,(A6+AF6)&lt;9000),"标准件类别4",IF(AND(OR(A6&gt;=9000,B6&gt;=45,C6&gt;=35,D6&gt;=20),AND(AD6&lt;60,(A6+AF6)&lt;2000)),"大件类别1",IF(AND(OR(A6&gt;=9000,B6&gt;=45,C6&gt;=35,D6&gt;=20),AND(AD6&lt;80,(A6+AF6)&lt;5000)),"大件类别2",IF(AND(OR(A6&gt;=9000,B6&gt;=45,C6&gt;=35,D6&gt;=20),AND(AD6&lt;100,(A6+AF6)&lt;10000)),"大件类别3",IF(AND(OR(A6&gt;=9000,B6&gt;=45,C6&gt;=35,D6&gt;=20),AND(AD6&lt;120,(A6+AG6)&lt;15000)),"大件类别4",IF(AND(OR(A6&gt;=9000,B6&gt;=45,C6&gt;=35,D6&gt;=20),AND(AD6&lt;140,(A6+AH6)&lt;20000)),"大件类别5",IF(AND(OR(A6&gt;=9000,B6&gt;=45,C6&gt;=35,D6&gt;=20),AND(AD6&lt;160,(A6+AI6)&lt;25000)),"大件类别6",IF(AND(B6&gt;=90,AD6&gt;=170),"不可使用FBA服务",IF(AND(OR(A6&gt;=9000,B6&gt;=45,C6&gt;=35,D6&gt;=20),AND(AD6&lt;180,(A6+AI6)&lt;30000)),"大件类别7",IF(AND(OR(A6&gt;=9000,B6&gt;=45,C6&gt;=35,D6&gt;=20),AND(AD6&lt;200,(A6+AJ6)&lt;40000)),"大件类别8",IF(OR(A6&gt;=40000,AD6&gt;=200),"不可使用FBA服务"))))))))))))))))</f>
        <v/>
      </c>
      <c r="G6" s="45" t="str">
        <f t="shared" ref="G6:G7" si="12">IF(F6="","",IF(F6="不可使用FBA服务","",IF(F6="小件","257",IF(F6="标准件类别1","361",IF(F6="标准件类别2","404",IF(F6="标准件类别3","427",IF(F6="标准件类别4","499",IF(F6="大件类别1","575",IF(F6="大件类别2","691",IF(F6="大件类别3","778",IF(F6="大件类别4","905",IF(F6="大件类别5","957",IF(F6="大件类别6","1001",IF(F6="大件类别7","1419",IF(F6="大件类别8","1598")))))))))))))))</f>
        <v/>
      </c>
      <c r="H6" s="45" t="str">
        <f t="shared" ref="H6:H7" si="13">IF(G6="","",G6/E6)</f>
        <v/>
      </c>
      <c r="I6" s="45" t="str">
        <f t="shared" ref="I6:I7" si="14">IF(F6="","",IF(F6="不可使用FBA服务","",IF(F6="小件","560",IF(F6="标准件类别1","586",IF(F6="标准件类别2","713",IF(F6="标准件类别3","738",IF(F6="标准件类别4","789",IF(F6="大件类别1","815",IF(F6="大件类别2","866",IF(F6="大件类别3","917",IF(F6="大件类别4","1019",IF(F6="大件类别5","1069",IF(F6="大件类别6","1120",IF(F6="大件类别7","1604",IF(F6="大件类别8","1630")))))))))))))))</f>
        <v/>
      </c>
      <c r="J6" s="45" t="str">
        <f t="shared" ref="J6:J7" si="15">IF(I6="","",I6/E6)</f>
        <v/>
      </c>
      <c r="K6" s="45" t="str">
        <f t="shared" ref="K6:K7" si="16">IF(F6="","",IF(F6="不可使用FBA服务","",IF(F6="小件","637",IF(F6="标准件类别1","662",IF(F6="标准件类别2","738",IF(F6="标准件类别3","764",IF(F6="标准件类别4","815",IF(F6="大件类别1","840",IF(F6="大件类别2","891",IF(F6="大件类别3","942",IF(F6="大件类别4","1044",IF(F6="大件类别5","1095",IF(F6="大件类别6","1146",IF(F6="大件类别7","1630",IF(F6="大件类别8","1655")))))))))))))))</f>
        <v/>
      </c>
      <c r="L6" s="45" t="str">
        <f t="shared" ref="L6:L7" si="17">IF(K6="","",K6/E6)</f>
        <v/>
      </c>
      <c r="M6" s="45" t="str">
        <f t="shared" ref="M6:M7" si="18">IF(E6="","",330)</f>
        <v/>
      </c>
      <c r="N6" s="45" t="str">
        <f t="shared" ref="N6:N7" si="19">IF(M6="","",M6/E6)</f>
        <v/>
      </c>
      <c r="O6" s="21"/>
      <c r="P6" s="21"/>
      <c r="Q6" s="21"/>
      <c r="R6" s="46" t="str">
        <f t="shared" ref="R6:R7" si="20">IF(AND(O6=0,P6=0,Q6=0),"",W6*Y6/1000*O6/P6*Q6)</f>
        <v/>
      </c>
      <c r="S6" s="47" t="str">
        <f t="shared" ref="S6:S7" si="21">IF(AND(O6=0,P6=0,Q6=0),"",R6/E6)</f>
        <v/>
      </c>
      <c r="T6" s="46" t="str">
        <f t="shared" ref="T6:T7" si="22">IF(AND(O6=0,P6=0,Q6=0),"",X6*Y6/1000*O6/P6*Q6)</f>
        <v/>
      </c>
      <c r="U6" s="46" t="str">
        <f t="shared" ref="U6:U7" si="23">IF(AND(O6=0,P6=0,Q6=0),"",T6/E6)</f>
        <v/>
      </c>
      <c r="V6" s="46" t="str">
        <f t="shared" ref="V6:V7" si="24">IF(AND(O6=0,P6=0,Q6=0),"",B6*C6*D6/1000*Q6*17.773/E6)</f>
        <v/>
      </c>
      <c r="W6" s="77"/>
      <c r="X6" s="77"/>
      <c r="Y6" s="77"/>
      <c r="Z6" s="77"/>
      <c r="AA6" s="77"/>
      <c r="AB6" s="77"/>
      <c r="AC6" s="77"/>
      <c r="AD6" s="48"/>
      <c r="AE6" s="78"/>
      <c r="AF6" s="78"/>
      <c r="AG6" s="79"/>
      <c r="AH6" s="77"/>
      <c r="AI6" s="77"/>
      <c r="AJ6" s="77"/>
      <c r="AK6" s="53"/>
    </row>
    <row r="7" spans="1:37" x14ac:dyDescent="0.2">
      <c r="A7" s="21"/>
      <c r="B7" s="66"/>
      <c r="C7" s="19"/>
      <c r="D7" s="19"/>
      <c r="E7" s="43"/>
      <c r="F7" s="44" t="str">
        <f t="shared" si="11"/>
        <v/>
      </c>
      <c r="G7" s="45" t="str">
        <f t="shared" si="12"/>
        <v/>
      </c>
      <c r="H7" s="45" t="str">
        <f t="shared" si="13"/>
        <v/>
      </c>
      <c r="I7" s="45" t="str">
        <f t="shared" si="14"/>
        <v/>
      </c>
      <c r="J7" s="45" t="str">
        <f t="shared" si="15"/>
        <v/>
      </c>
      <c r="K7" s="45" t="str">
        <f t="shared" si="16"/>
        <v/>
      </c>
      <c r="L7" s="45" t="str">
        <f t="shared" si="17"/>
        <v/>
      </c>
      <c r="M7" s="45" t="str">
        <f t="shared" si="18"/>
        <v/>
      </c>
      <c r="N7" s="45" t="str">
        <f t="shared" si="19"/>
        <v/>
      </c>
      <c r="O7" s="21"/>
      <c r="P7" s="21"/>
      <c r="Q7" s="21"/>
      <c r="R7" s="46" t="str">
        <f t="shared" si="20"/>
        <v/>
      </c>
      <c r="S7" s="47" t="str">
        <f t="shared" si="21"/>
        <v/>
      </c>
      <c r="T7" s="46" t="str">
        <f t="shared" si="22"/>
        <v/>
      </c>
      <c r="U7" s="46" t="str">
        <f t="shared" si="23"/>
        <v/>
      </c>
      <c r="V7" s="46" t="str">
        <f t="shared" si="24"/>
        <v/>
      </c>
      <c r="W7" s="77"/>
      <c r="X7" s="77"/>
      <c r="Y7" s="77"/>
      <c r="Z7" s="77"/>
      <c r="AA7" s="77"/>
      <c r="AB7" s="77"/>
      <c r="AC7" s="77"/>
      <c r="AD7" s="48"/>
      <c r="AE7" s="78"/>
      <c r="AF7" s="78"/>
      <c r="AG7" s="79"/>
      <c r="AH7" s="77"/>
      <c r="AI7" s="77"/>
      <c r="AJ7" s="77"/>
      <c r="AK7" s="53"/>
    </row>
    <row r="8" spans="1:37" x14ac:dyDescent="0.2">
      <c r="A8" s="21"/>
      <c r="B8" s="66"/>
      <c r="C8" s="19"/>
      <c r="D8" s="19"/>
      <c r="E8" s="43"/>
      <c r="F8" s="44"/>
      <c r="G8" s="45"/>
      <c r="H8" s="45"/>
      <c r="I8" s="45"/>
      <c r="J8" s="45"/>
      <c r="K8" s="45"/>
      <c r="L8" s="45"/>
      <c r="M8" s="45"/>
      <c r="N8" s="45"/>
      <c r="O8" s="21"/>
      <c r="P8" s="21"/>
      <c r="Q8" s="21"/>
      <c r="R8" s="46"/>
      <c r="S8" s="47"/>
      <c r="T8" s="46"/>
      <c r="U8" s="46"/>
      <c r="V8" s="46"/>
      <c r="W8" s="77"/>
      <c r="X8" s="77"/>
      <c r="Y8" s="77"/>
      <c r="Z8" s="77"/>
      <c r="AA8" s="77"/>
      <c r="AB8" s="77"/>
      <c r="AC8" s="77"/>
      <c r="AD8" s="48"/>
      <c r="AE8" s="78"/>
      <c r="AF8" s="78"/>
      <c r="AG8" s="79"/>
      <c r="AH8" s="77"/>
      <c r="AI8" s="77"/>
      <c r="AJ8" s="77"/>
      <c r="AK8" s="53"/>
    </row>
    <row r="9" spans="1:37" x14ac:dyDescent="0.2">
      <c r="A9" s="21"/>
      <c r="B9" s="66"/>
      <c r="C9" s="19"/>
      <c r="D9" s="19"/>
      <c r="E9" s="43"/>
      <c r="F9" s="44"/>
      <c r="G9" s="45"/>
      <c r="H9" s="45"/>
      <c r="I9" s="45"/>
      <c r="J9" s="45"/>
      <c r="K9" s="45"/>
      <c r="L9" s="45"/>
      <c r="M9" s="45"/>
      <c r="N9" s="45"/>
      <c r="O9" s="21"/>
      <c r="P9" s="21"/>
      <c r="Q9" s="21"/>
      <c r="R9" s="46"/>
      <c r="S9" s="47"/>
      <c r="T9" s="46"/>
      <c r="U9" s="46"/>
      <c r="V9" s="46"/>
      <c r="W9" s="77"/>
      <c r="X9" s="77"/>
      <c r="Y9" s="77"/>
      <c r="Z9" s="77"/>
      <c r="AA9" s="77"/>
      <c r="AB9" s="77"/>
      <c r="AC9" s="77"/>
      <c r="AD9" s="48"/>
      <c r="AE9" s="78"/>
      <c r="AF9" s="78"/>
      <c r="AG9" s="79"/>
      <c r="AH9" s="77"/>
      <c r="AI9" s="77"/>
      <c r="AJ9" s="77"/>
      <c r="AK9" s="53"/>
    </row>
    <row r="10" spans="1:37" x14ac:dyDescent="0.2">
      <c r="A10" s="21"/>
      <c r="B10" s="66"/>
      <c r="C10" s="19"/>
      <c r="D10" s="19"/>
      <c r="E10" s="43"/>
      <c r="F10" s="44"/>
      <c r="G10" s="45"/>
      <c r="H10" s="45"/>
      <c r="I10" s="45"/>
      <c r="J10" s="45"/>
      <c r="K10" s="45"/>
      <c r="L10" s="45"/>
      <c r="M10" s="45"/>
      <c r="N10" s="45"/>
      <c r="O10" s="21"/>
      <c r="P10" s="21"/>
      <c r="Q10" s="21"/>
      <c r="R10" s="46"/>
      <c r="S10" s="47"/>
      <c r="T10" s="46"/>
      <c r="U10" s="46"/>
      <c r="V10" s="46"/>
      <c r="W10" s="77"/>
      <c r="X10" s="77"/>
      <c r="Y10" s="77"/>
      <c r="Z10" s="77"/>
      <c r="AA10" s="77"/>
      <c r="AB10" s="77"/>
      <c r="AC10" s="77"/>
      <c r="AD10" s="48"/>
      <c r="AE10" s="78"/>
      <c r="AF10" s="78"/>
      <c r="AG10" s="79"/>
      <c r="AH10" s="77"/>
      <c r="AI10" s="77"/>
      <c r="AJ10" s="77"/>
      <c r="AK10" s="53"/>
    </row>
    <row r="11" spans="1:37" x14ac:dyDescent="0.2">
      <c r="A11" s="21"/>
      <c r="B11" s="66"/>
      <c r="C11" s="19"/>
      <c r="D11" s="19"/>
      <c r="E11" s="43"/>
      <c r="F11" s="44"/>
      <c r="G11" s="45"/>
      <c r="H11" s="45"/>
      <c r="I11" s="45"/>
      <c r="J11" s="45"/>
      <c r="K11" s="45"/>
      <c r="L11" s="45"/>
      <c r="M11" s="45"/>
      <c r="N11" s="45"/>
      <c r="O11" s="21"/>
      <c r="P11" s="21"/>
      <c r="Q11" s="21"/>
      <c r="R11" s="46"/>
      <c r="S11" s="47"/>
      <c r="T11" s="46"/>
      <c r="U11" s="46"/>
      <c r="V11" s="46"/>
      <c r="W11" s="77"/>
      <c r="X11" s="77"/>
      <c r="Y11" s="77"/>
      <c r="Z11" s="77"/>
      <c r="AA11" s="77"/>
      <c r="AB11" s="77"/>
      <c r="AC11" s="77"/>
      <c r="AD11" s="48"/>
      <c r="AE11" s="78"/>
      <c r="AF11" s="78"/>
      <c r="AG11" s="79"/>
      <c r="AH11" s="77"/>
      <c r="AI11" s="77"/>
      <c r="AJ11" s="77"/>
      <c r="AK11" s="53"/>
    </row>
    <row r="12" spans="1:37" x14ac:dyDescent="0.2">
      <c r="A12" s="21"/>
      <c r="B12" s="66"/>
      <c r="C12" s="19"/>
      <c r="D12" s="19"/>
      <c r="E12" s="43"/>
      <c r="F12" s="44"/>
      <c r="G12" s="45"/>
      <c r="H12" s="45"/>
      <c r="I12" s="45"/>
      <c r="J12" s="45"/>
      <c r="K12" s="45"/>
      <c r="L12" s="45"/>
      <c r="M12" s="45"/>
      <c r="N12" s="45"/>
      <c r="O12" s="21"/>
      <c r="P12" s="21"/>
      <c r="Q12" s="21"/>
      <c r="R12" s="46"/>
      <c r="S12" s="47"/>
      <c r="T12" s="46"/>
      <c r="U12" s="46"/>
      <c r="V12" s="46"/>
      <c r="W12" s="77"/>
      <c r="X12" s="77"/>
      <c r="Y12" s="77"/>
      <c r="Z12" s="77"/>
      <c r="AA12" s="77"/>
      <c r="AB12" s="77"/>
      <c r="AC12" s="77"/>
      <c r="AD12" s="48"/>
      <c r="AE12" s="78"/>
      <c r="AF12" s="78"/>
      <c r="AG12" s="79"/>
      <c r="AH12" s="77"/>
      <c r="AI12" s="77"/>
      <c r="AJ12" s="77"/>
      <c r="AK12" s="53"/>
    </row>
    <row r="13" spans="1:37" x14ac:dyDescent="0.2">
      <c r="A13" s="21"/>
      <c r="B13" s="66"/>
      <c r="C13" s="19"/>
      <c r="D13" s="19"/>
      <c r="E13" s="43"/>
      <c r="F13" s="44"/>
      <c r="G13" s="45"/>
      <c r="H13" s="45"/>
      <c r="I13" s="45"/>
      <c r="J13" s="45"/>
      <c r="K13" s="45"/>
      <c r="L13" s="45"/>
      <c r="M13" s="45"/>
      <c r="N13" s="45"/>
      <c r="O13" s="21"/>
      <c r="P13" s="21"/>
      <c r="Q13" s="21"/>
      <c r="R13" s="46"/>
      <c r="S13" s="47"/>
      <c r="T13" s="46"/>
      <c r="U13" s="46"/>
      <c r="V13" s="46"/>
      <c r="W13" s="77"/>
      <c r="X13" s="77"/>
      <c r="Y13" s="77"/>
      <c r="Z13" s="77"/>
      <c r="AA13" s="77"/>
      <c r="AB13" s="77"/>
      <c r="AC13" s="77"/>
      <c r="AD13" s="48"/>
      <c r="AE13" s="78"/>
      <c r="AF13" s="78"/>
      <c r="AG13" s="79"/>
      <c r="AH13" s="77"/>
      <c r="AI13" s="77"/>
      <c r="AJ13" s="77"/>
      <c r="AK13" s="53"/>
    </row>
    <row r="14" spans="1:37" x14ac:dyDescent="0.2">
      <c r="A14" s="21"/>
      <c r="B14" s="66"/>
      <c r="C14" s="19"/>
      <c r="D14" s="19"/>
      <c r="E14" s="43"/>
      <c r="F14" s="44"/>
      <c r="G14" s="45"/>
      <c r="H14" s="45"/>
      <c r="I14" s="45"/>
      <c r="J14" s="45"/>
      <c r="K14" s="45"/>
      <c r="L14" s="45"/>
      <c r="M14" s="45"/>
      <c r="N14" s="45"/>
      <c r="O14" s="21"/>
      <c r="P14" s="21"/>
      <c r="Q14" s="21"/>
      <c r="R14" s="46"/>
      <c r="S14" s="47"/>
      <c r="T14" s="46"/>
      <c r="U14" s="46"/>
      <c r="V14" s="46"/>
      <c r="W14" s="77"/>
      <c r="X14" s="77"/>
      <c r="Y14" s="77"/>
      <c r="Z14" s="77"/>
      <c r="AA14" s="77"/>
      <c r="AB14" s="77"/>
      <c r="AC14" s="77"/>
      <c r="AD14" s="48"/>
      <c r="AE14" s="78"/>
      <c r="AF14" s="78"/>
      <c r="AG14" s="79"/>
      <c r="AH14" s="77"/>
      <c r="AI14" s="77"/>
      <c r="AJ14" s="77"/>
      <c r="AK14" s="53"/>
    </row>
    <row r="15" spans="1:37" x14ac:dyDescent="0.2">
      <c r="A15" s="21"/>
      <c r="B15" s="66"/>
      <c r="C15" s="19"/>
      <c r="D15" s="19"/>
      <c r="E15" s="43"/>
      <c r="F15" s="44"/>
      <c r="G15" s="45"/>
      <c r="H15" s="45"/>
      <c r="I15" s="45"/>
      <c r="J15" s="45"/>
      <c r="K15" s="45"/>
      <c r="L15" s="45"/>
      <c r="M15" s="45"/>
      <c r="N15" s="45"/>
      <c r="O15" s="21"/>
      <c r="P15" s="21"/>
      <c r="Q15" s="21"/>
      <c r="R15" s="46"/>
      <c r="S15" s="47"/>
      <c r="T15" s="46"/>
      <c r="U15" s="46"/>
      <c r="V15" s="46"/>
      <c r="W15" s="77"/>
      <c r="X15" s="77"/>
      <c r="Y15" s="77"/>
      <c r="Z15" s="77"/>
      <c r="AA15" s="77"/>
      <c r="AB15" s="77"/>
      <c r="AC15" s="77"/>
      <c r="AD15" s="48"/>
      <c r="AE15" s="78"/>
      <c r="AF15" s="78"/>
      <c r="AG15" s="79"/>
      <c r="AH15" s="77"/>
      <c r="AI15" s="77"/>
      <c r="AJ15" s="77"/>
      <c r="AK15" s="53"/>
    </row>
    <row r="16" spans="1:37" x14ac:dyDescent="0.2">
      <c r="A16" s="21"/>
      <c r="B16" s="66"/>
      <c r="C16" s="19"/>
      <c r="D16" s="19"/>
      <c r="E16" s="43"/>
      <c r="F16" s="44"/>
      <c r="G16" s="45"/>
      <c r="H16" s="45"/>
      <c r="I16" s="45"/>
      <c r="J16" s="45"/>
      <c r="K16" s="45"/>
      <c r="L16" s="45"/>
      <c r="M16" s="45"/>
      <c r="N16" s="45"/>
      <c r="O16" s="21"/>
      <c r="P16" s="21"/>
      <c r="Q16" s="21"/>
      <c r="R16" s="46"/>
      <c r="S16" s="47"/>
      <c r="T16" s="46"/>
      <c r="U16" s="46"/>
      <c r="V16" s="46"/>
      <c r="W16" s="77"/>
      <c r="X16" s="77"/>
      <c r="Y16" s="77"/>
      <c r="Z16" s="77"/>
      <c r="AA16" s="77"/>
      <c r="AB16" s="77"/>
      <c r="AC16" s="77"/>
      <c r="AD16" s="48"/>
      <c r="AE16" s="78"/>
      <c r="AF16" s="78"/>
      <c r="AG16" s="79"/>
      <c r="AH16" s="77"/>
      <c r="AI16" s="77"/>
      <c r="AJ16" s="77"/>
      <c r="AK16" s="53"/>
    </row>
    <row r="17" spans="1:37" x14ac:dyDescent="0.2">
      <c r="A17" s="21"/>
      <c r="B17" s="66"/>
      <c r="C17" s="19"/>
      <c r="D17" s="19"/>
      <c r="E17" s="43"/>
      <c r="F17" s="44"/>
      <c r="G17" s="45"/>
      <c r="H17" s="45"/>
      <c r="I17" s="45"/>
      <c r="J17" s="45"/>
      <c r="K17" s="45"/>
      <c r="L17" s="45"/>
      <c r="M17" s="45"/>
      <c r="N17" s="45"/>
      <c r="O17" s="21"/>
      <c r="P17" s="21"/>
      <c r="Q17" s="21"/>
      <c r="R17" s="46"/>
      <c r="S17" s="47"/>
      <c r="T17" s="46"/>
      <c r="U17" s="46"/>
      <c r="V17" s="46"/>
      <c r="W17" s="77"/>
      <c r="X17" s="77"/>
      <c r="Y17" s="77"/>
      <c r="Z17" s="77"/>
      <c r="AA17" s="77"/>
      <c r="AB17" s="77"/>
      <c r="AC17" s="77"/>
      <c r="AD17" s="48"/>
      <c r="AE17" s="78"/>
      <c r="AF17" s="78"/>
      <c r="AG17" s="79"/>
      <c r="AH17" s="77"/>
      <c r="AI17" s="77"/>
      <c r="AJ17" s="77"/>
      <c r="AK17" s="53"/>
    </row>
    <row r="18" spans="1:37" x14ac:dyDescent="0.2">
      <c r="A18" s="21"/>
      <c r="B18" s="66"/>
      <c r="C18" s="19"/>
      <c r="D18" s="19"/>
      <c r="E18" s="43"/>
      <c r="F18" s="44"/>
      <c r="G18" s="45"/>
      <c r="H18" s="45"/>
      <c r="I18" s="45"/>
      <c r="J18" s="45"/>
      <c r="K18" s="45"/>
      <c r="L18" s="45"/>
      <c r="M18" s="45"/>
      <c r="N18" s="45"/>
      <c r="O18" s="21"/>
      <c r="P18" s="21"/>
      <c r="Q18" s="21"/>
      <c r="R18" s="46"/>
      <c r="S18" s="47"/>
      <c r="T18" s="46"/>
      <c r="U18" s="46"/>
      <c r="V18" s="46"/>
      <c r="W18" s="77"/>
      <c r="X18" s="77"/>
      <c r="Y18" s="77"/>
      <c r="Z18" s="77"/>
      <c r="AA18" s="77"/>
      <c r="AB18" s="77"/>
      <c r="AC18" s="77"/>
      <c r="AD18" s="48"/>
      <c r="AE18" s="78"/>
      <c r="AF18" s="78"/>
      <c r="AG18" s="79"/>
      <c r="AH18" s="77"/>
      <c r="AI18" s="77"/>
      <c r="AJ18" s="77"/>
      <c r="AK18" s="53"/>
    </row>
    <row r="19" spans="1:37" x14ac:dyDescent="0.2">
      <c r="A19" s="21"/>
      <c r="B19" s="66"/>
      <c r="C19" s="19"/>
      <c r="D19" s="19"/>
      <c r="E19" s="43"/>
      <c r="F19" s="44"/>
      <c r="G19" s="45"/>
      <c r="H19" s="45"/>
      <c r="I19" s="45"/>
      <c r="J19" s="45"/>
      <c r="K19" s="45"/>
      <c r="L19" s="45"/>
      <c r="M19" s="45"/>
      <c r="N19" s="45"/>
      <c r="O19" s="21"/>
      <c r="P19" s="21"/>
      <c r="Q19" s="21"/>
      <c r="R19" s="46"/>
      <c r="S19" s="47"/>
      <c r="T19" s="46"/>
      <c r="U19" s="46"/>
      <c r="V19" s="46"/>
      <c r="W19" s="77"/>
      <c r="X19" s="77"/>
      <c r="Y19" s="77"/>
      <c r="Z19" s="77"/>
      <c r="AA19" s="77"/>
      <c r="AB19" s="77"/>
      <c r="AC19" s="77"/>
      <c r="AD19" s="48"/>
      <c r="AE19" s="78"/>
      <c r="AF19" s="78"/>
      <c r="AG19" s="79"/>
      <c r="AH19" s="77"/>
      <c r="AI19" s="77"/>
      <c r="AJ19" s="77"/>
      <c r="AK19" s="53"/>
    </row>
    <row r="20" spans="1:37" x14ac:dyDescent="0.2">
      <c r="A20" s="21"/>
      <c r="B20" s="66"/>
      <c r="C20" s="19"/>
      <c r="D20" s="19"/>
      <c r="E20" s="43"/>
      <c r="F20" s="44"/>
      <c r="G20" s="45"/>
      <c r="H20" s="45"/>
      <c r="I20" s="45"/>
      <c r="J20" s="45"/>
      <c r="K20" s="45"/>
      <c r="L20" s="45"/>
      <c r="M20" s="45"/>
      <c r="N20" s="45"/>
      <c r="O20" s="21"/>
      <c r="P20" s="21"/>
      <c r="Q20" s="21"/>
      <c r="R20" s="46"/>
      <c r="S20" s="47"/>
      <c r="T20" s="46"/>
      <c r="U20" s="46"/>
      <c r="V20" s="46"/>
      <c r="W20" s="77"/>
      <c r="X20" s="77"/>
      <c r="Y20" s="77"/>
      <c r="Z20" s="77"/>
      <c r="AA20" s="77"/>
      <c r="AB20" s="77"/>
      <c r="AC20" s="77"/>
      <c r="AD20" s="48"/>
      <c r="AE20" s="78"/>
      <c r="AF20" s="78"/>
      <c r="AG20" s="79"/>
      <c r="AH20" s="77"/>
      <c r="AI20" s="77"/>
      <c r="AJ20" s="77"/>
      <c r="AK20" s="53"/>
    </row>
    <row r="21" spans="1:37" x14ac:dyDescent="0.2">
      <c r="A21" s="21"/>
      <c r="B21" s="66"/>
      <c r="C21" s="19"/>
      <c r="D21" s="19"/>
      <c r="E21" s="43"/>
      <c r="F21" s="44"/>
      <c r="G21" s="45"/>
      <c r="H21" s="45"/>
      <c r="I21" s="45"/>
      <c r="J21" s="45"/>
      <c r="K21" s="45"/>
      <c r="L21" s="45"/>
      <c r="M21" s="45"/>
      <c r="N21" s="45"/>
      <c r="O21" s="21"/>
      <c r="P21" s="21"/>
      <c r="Q21" s="21"/>
      <c r="R21" s="46"/>
      <c r="S21" s="47"/>
      <c r="T21" s="46"/>
      <c r="U21" s="46"/>
      <c r="V21" s="46"/>
      <c r="W21" s="77"/>
      <c r="X21" s="77"/>
      <c r="Y21" s="77"/>
      <c r="Z21" s="77"/>
      <c r="AA21" s="77"/>
      <c r="AB21" s="77"/>
      <c r="AC21" s="77"/>
      <c r="AD21" s="48"/>
      <c r="AE21" s="78"/>
      <c r="AF21" s="78"/>
      <c r="AG21" s="79"/>
      <c r="AH21" s="77"/>
      <c r="AI21" s="77"/>
      <c r="AJ21" s="77"/>
      <c r="AK21" s="53"/>
    </row>
    <row r="22" spans="1:37" x14ac:dyDescent="0.2">
      <c r="A22" s="21"/>
      <c r="B22" s="66"/>
      <c r="C22" s="19"/>
      <c r="D22" s="19"/>
      <c r="E22" s="43"/>
      <c r="F22" s="44"/>
      <c r="G22" s="45"/>
      <c r="H22" s="45"/>
      <c r="I22" s="45"/>
      <c r="J22" s="45"/>
      <c r="K22" s="45"/>
      <c r="L22" s="45"/>
      <c r="M22" s="45"/>
      <c r="N22" s="45"/>
      <c r="O22" s="21"/>
      <c r="P22" s="21"/>
      <c r="Q22" s="21"/>
      <c r="R22" s="46"/>
      <c r="S22" s="47"/>
      <c r="T22" s="46"/>
      <c r="U22" s="46"/>
      <c r="V22" s="46"/>
      <c r="W22" s="77"/>
      <c r="X22" s="77"/>
      <c r="Y22" s="77"/>
      <c r="Z22" s="77"/>
      <c r="AA22" s="77"/>
      <c r="AB22" s="77"/>
      <c r="AC22" s="77"/>
      <c r="AD22" s="48"/>
      <c r="AE22" s="78"/>
      <c r="AF22" s="78"/>
      <c r="AG22" s="79"/>
      <c r="AH22" s="77"/>
      <c r="AI22" s="77"/>
      <c r="AJ22" s="77"/>
      <c r="AK22" s="53"/>
    </row>
    <row r="23" spans="1:37" x14ac:dyDescent="0.2">
      <c r="A23" s="21"/>
      <c r="B23" s="66"/>
      <c r="C23" s="19"/>
      <c r="D23" s="19"/>
      <c r="E23" s="43"/>
      <c r="F23" s="44"/>
      <c r="G23" s="45"/>
      <c r="H23" s="45"/>
      <c r="I23" s="45"/>
      <c r="J23" s="45"/>
      <c r="K23" s="45"/>
      <c r="L23" s="45"/>
      <c r="M23" s="45"/>
      <c r="N23" s="45"/>
      <c r="O23" s="21"/>
      <c r="P23" s="21"/>
      <c r="Q23" s="21"/>
      <c r="R23" s="46"/>
      <c r="S23" s="47"/>
      <c r="T23" s="46"/>
      <c r="U23" s="46"/>
      <c r="V23" s="46"/>
      <c r="W23" s="77"/>
      <c r="X23" s="77"/>
      <c r="Y23" s="77"/>
      <c r="Z23" s="77"/>
      <c r="AA23" s="77"/>
      <c r="AB23" s="77"/>
      <c r="AC23" s="77"/>
      <c r="AD23" s="48"/>
      <c r="AE23" s="78"/>
      <c r="AF23" s="78"/>
      <c r="AG23" s="79"/>
      <c r="AH23" s="77"/>
      <c r="AI23" s="77"/>
      <c r="AJ23" s="77"/>
      <c r="AK23" s="53"/>
    </row>
    <row r="24" spans="1:37" x14ac:dyDescent="0.2">
      <c r="A24" s="21"/>
      <c r="B24" s="66"/>
      <c r="C24" s="19"/>
      <c r="D24" s="19"/>
      <c r="E24" s="43"/>
      <c r="F24" s="44"/>
      <c r="G24" s="45"/>
      <c r="H24" s="45"/>
      <c r="I24" s="45"/>
      <c r="J24" s="45"/>
      <c r="K24" s="45"/>
      <c r="L24" s="45"/>
      <c r="M24" s="45"/>
      <c r="N24" s="45"/>
      <c r="O24" s="21"/>
      <c r="P24" s="21"/>
      <c r="Q24" s="21"/>
      <c r="R24" s="46"/>
      <c r="S24" s="47"/>
      <c r="T24" s="46"/>
      <c r="U24" s="46"/>
      <c r="V24" s="46"/>
      <c r="W24" s="77"/>
      <c r="X24" s="77"/>
      <c r="Y24" s="77"/>
      <c r="Z24" s="77"/>
      <c r="AA24" s="77"/>
      <c r="AB24" s="77"/>
      <c r="AC24" s="77"/>
      <c r="AD24" s="48"/>
      <c r="AE24" s="78"/>
      <c r="AF24" s="78"/>
      <c r="AG24" s="79"/>
      <c r="AH24" s="77"/>
      <c r="AI24" s="77"/>
      <c r="AJ24" s="77"/>
      <c r="AK24" s="53"/>
    </row>
    <row r="25" spans="1:37" x14ac:dyDescent="0.2">
      <c r="A25" s="21"/>
      <c r="B25" s="66"/>
      <c r="C25" s="19"/>
      <c r="D25" s="19"/>
      <c r="E25" s="43"/>
      <c r="F25" s="44"/>
      <c r="G25" s="45"/>
      <c r="H25" s="45"/>
      <c r="I25" s="45"/>
      <c r="J25" s="45"/>
      <c r="K25" s="45"/>
      <c r="L25" s="45"/>
      <c r="M25" s="45"/>
      <c r="N25" s="45"/>
      <c r="O25" s="21"/>
      <c r="P25" s="21"/>
      <c r="Q25" s="21"/>
      <c r="R25" s="46"/>
      <c r="S25" s="47"/>
      <c r="T25" s="46"/>
      <c r="U25" s="46"/>
      <c r="V25" s="46"/>
      <c r="W25" s="77"/>
      <c r="X25" s="77"/>
      <c r="Y25" s="77"/>
      <c r="Z25" s="77"/>
      <c r="AA25" s="77"/>
      <c r="AB25" s="77"/>
      <c r="AC25" s="77"/>
      <c r="AD25" s="48"/>
      <c r="AE25" s="78"/>
      <c r="AF25" s="78"/>
      <c r="AG25" s="79"/>
      <c r="AH25" s="77"/>
      <c r="AI25" s="77"/>
      <c r="AJ25" s="77"/>
      <c r="AK25" s="53"/>
    </row>
    <row r="26" spans="1:37" x14ac:dyDescent="0.2">
      <c r="A26" s="21"/>
      <c r="B26" s="66"/>
      <c r="C26" s="19"/>
      <c r="D26" s="19"/>
      <c r="E26" s="43"/>
      <c r="F26" s="44"/>
      <c r="G26" s="45"/>
      <c r="H26" s="45"/>
      <c r="I26" s="45"/>
      <c r="J26" s="45"/>
      <c r="K26" s="45"/>
      <c r="L26" s="45"/>
      <c r="M26" s="45"/>
      <c r="N26" s="45"/>
      <c r="O26" s="21"/>
      <c r="P26" s="21"/>
      <c r="Q26" s="21"/>
      <c r="R26" s="46"/>
      <c r="S26" s="47"/>
      <c r="T26" s="46"/>
      <c r="U26" s="46"/>
      <c r="V26" s="46"/>
      <c r="W26" s="77"/>
      <c r="X26" s="77"/>
      <c r="Y26" s="77"/>
      <c r="Z26" s="77"/>
      <c r="AA26" s="77"/>
      <c r="AB26" s="77"/>
      <c r="AC26" s="77"/>
      <c r="AD26" s="48"/>
      <c r="AE26" s="78"/>
      <c r="AF26" s="78"/>
      <c r="AG26" s="79"/>
      <c r="AH26" s="77"/>
      <c r="AI26" s="77"/>
      <c r="AJ26" s="77"/>
      <c r="AK26" s="53"/>
    </row>
    <row r="27" spans="1:37" x14ac:dyDescent="0.2">
      <c r="A27" s="21"/>
      <c r="B27" s="66"/>
      <c r="C27" s="19"/>
      <c r="D27" s="19"/>
      <c r="E27" s="43"/>
      <c r="F27" s="44"/>
      <c r="G27" s="45"/>
      <c r="H27" s="45"/>
      <c r="I27" s="45"/>
      <c r="J27" s="45"/>
      <c r="K27" s="45"/>
      <c r="L27" s="45"/>
      <c r="M27" s="45"/>
      <c r="N27" s="45"/>
      <c r="O27" s="21"/>
      <c r="P27" s="21"/>
      <c r="Q27" s="21"/>
      <c r="R27" s="46"/>
      <c r="S27" s="47"/>
      <c r="T27" s="46"/>
      <c r="U27" s="46"/>
      <c r="V27" s="46"/>
      <c r="W27" s="77"/>
      <c r="X27" s="77"/>
      <c r="Y27" s="77"/>
      <c r="Z27" s="77"/>
      <c r="AA27" s="77"/>
      <c r="AB27" s="77"/>
      <c r="AC27" s="77"/>
      <c r="AD27" s="48"/>
      <c r="AE27" s="78"/>
      <c r="AF27" s="78"/>
      <c r="AG27" s="79"/>
      <c r="AH27" s="77"/>
      <c r="AI27" s="77"/>
      <c r="AJ27" s="77"/>
      <c r="AK27" s="53"/>
    </row>
    <row r="28" spans="1:37" x14ac:dyDescent="0.2">
      <c r="A28" s="21"/>
      <c r="B28" s="66"/>
      <c r="C28" s="19"/>
      <c r="D28" s="19"/>
      <c r="E28" s="43"/>
      <c r="F28" s="44"/>
      <c r="G28" s="45"/>
      <c r="H28" s="45"/>
      <c r="I28" s="45"/>
      <c r="J28" s="45"/>
      <c r="K28" s="45"/>
      <c r="L28" s="45"/>
      <c r="M28" s="45"/>
      <c r="N28" s="45"/>
      <c r="O28" s="21"/>
      <c r="P28" s="21"/>
      <c r="Q28" s="21"/>
      <c r="R28" s="46"/>
      <c r="S28" s="47"/>
      <c r="T28" s="46"/>
      <c r="U28" s="46"/>
      <c r="V28" s="46"/>
      <c r="W28" s="77"/>
      <c r="X28" s="77"/>
      <c r="Y28" s="77"/>
      <c r="Z28" s="77"/>
      <c r="AA28" s="77"/>
      <c r="AB28" s="77"/>
      <c r="AC28" s="77"/>
      <c r="AD28" s="48"/>
      <c r="AE28" s="78"/>
      <c r="AF28" s="78"/>
      <c r="AG28" s="79"/>
      <c r="AH28" s="77"/>
      <c r="AI28" s="77"/>
      <c r="AJ28" s="77"/>
      <c r="AK28" s="53"/>
    </row>
    <row r="29" spans="1:37" x14ac:dyDescent="0.2">
      <c r="A29" s="21"/>
      <c r="B29" s="66"/>
      <c r="C29" s="19"/>
      <c r="D29" s="19"/>
      <c r="E29" s="43"/>
      <c r="F29" s="44"/>
      <c r="G29" s="45"/>
      <c r="H29" s="45"/>
      <c r="I29" s="45"/>
      <c r="J29" s="45"/>
      <c r="K29" s="45"/>
      <c r="L29" s="45"/>
      <c r="M29" s="45"/>
      <c r="N29" s="45"/>
      <c r="O29" s="21"/>
      <c r="P29" s="21"/>
      <c r="Q29" s="21"/>
      <c r="R29" s="46"/>
      <c r="S29" s="47"/>
      <c r="T29" s="46"/>
      <c r="U29" s="46"/>
      <c r="V29" s="46"/>
      <c r="W29" s="77"/>
      <c r="X29" s="77"/>
      <c r="Y29" s="77"/>
      <c r="Z29" s="77"/>
      <c r="AA29" s="77"/>
      <c r="AB29" s="77"/>
      <c r="AC29" s="77"/>
      <c r="AD29" s="48"/>
      <c r="AE29" s="78"/>
      <c r="AF29" s="78"/>
      <c r="AG29" s="79"/>
      <c r="AH29" s="77"/>
      <c r="AI29" s="77"/>
      <c r="AJ29" s="77"/>
      <c r="AK29" s="53"/>
    </row>
    <row r="30" spans="1:37" x14ac:dyDescent="0.2">
      <c r="A30" s="21"/>
      <c r="B30" s="66"/>
      <c r="C30" s="19"/>
      <c r="D30" s="19"/>
      <c r="E30" s="43"/>
      <c r="F30" s="44"/>
      <c r="G30" s="45"/>
      <c r="H30" s="45"/>
      <c r="I30" s="45"/>
      <c r="J30" s="45"/>
      <c r="K30" s="45"/>
      <c r="L30" s="45"/>
      <c r="M30" s="45"/>
      <c r="N30" s="45"/>
      <c r="O30" s="21"/>
      <c r="P30" s="21"/>
      <c r="Q30" s="21"/>
      <c r="R30" s="46"/>
      <c r="S30" s="47"/>
      <c r="T30" s="46"/>
      <c r="U30" s="46"/>
      <c r="V30" s="46"/>
      <c r="W30" s="77"/>
      <c r="X30" s="77"/>
      <c r="Y30" s="77"/>
      <c r="Z30" s="77"/>
      <c r="AA30" s="77"/>
      <c r="AB30" s="77"/>
      <c r="AC30" s="77"/>
      <c r="AD30" s="48"/>
      <c r="AE30" s="78"/>
      <c r="AF30" s="78"/>
      <c r="AG30" s="79"/>
      <c r="AH30" s="77"/>
      <c r="AI30" s="77"/>
      <c r="AJ30" s="77"/>
      <c r="AK30" s="53"/>
    </row>
    <row r="31" spans="1:37" x14ac:dyDescent="0.2">
      <c r="A31" s="21"/>
      <c r="B31" s="66"/>
      <c r="C31" s="19"/>
      <c r="D31" s="19"/>
      <c r="E31" s="43"/>
      <c r="F31" s="44"/>
      <c r="G31" s="45"/>
      <c r="H31" s="45"/>
      <c r="I31" s="45"/>
      <c r="J31" s="45"/>
      <c r="K31" s="45"/>
      <c r="L31" s="45"/>
      <c r="M31" s="45"/>
      <c r="N31" s="45"/>
      <c r="O31" s="21"/>
      <c r="P31" s="21"/>
      <c r="Q31" s="21"/>
      <c r="R31" s="46"/>
      <c r="S31" s="47"/>
      <c r="T31" s="46"/>
      <c r="U31" s="46"/>
      <c r="V31" s="46"/>
      <c r="W31" s="77"/>
      <c r="X31" s="77"/>
      <c r="Y31" s="77"/>
      <c r="Z31" s="77"/>
      <c r="AA31" s="77"/>
      <c r="AB31" s="77"/>
      <c r="AC31" s="77"/>
      <c r="AD31" s="48"/>
      <c r="AE31" s="78"/>
      <c r="AF31" s="78"/>
      <c r="AG31" s="79"/>
      <c r="AH31" s="77"/>
      <c r="AI31" s="77"/>
      <c r="AJ31" s="77"/>
      <c r="AK31" s="53"/>
    </row>
    <row r="32" spans="1:37" x14ac:dyDescent="0.2">
      <c r="A32" s="21"/>
      <c r="B32" s="66"/>
      <c r="C32" s="19"/>
      <c r="D32" s="19"/>
      <c r="E32" s="43"/>
      <c r="F32" s="44"/>
      <c r="G32" s="45"/>
      <c r="H32" s="45"/>
      <c r="I32" s="45"/>
      <c r="J32" s="45"/>
      <c r="K32" s="45"/>
      <c r="L32" s="45"/>
      <c r="M32" s="45"/>
      <c r="N32" s="45"/>
      <c r="O32" s="21"/>
      <c r="P32" s="21"/>
      <c r="Q32" s="21"/>
      <c r="R32" s="46"/>
      <c r="S32" s="47"/>
      <c r="T32" s="46"/>
      <c r="U32" s="46"/>
      <c r="V32" s="46"/>
      <c r="W32" s="77"/>
      <c r="X32" s="77"/>
      <c r="Y32" s="77"/>
      <c r="Z32" s="77"/>
      <c r="AA32" s="77"/>
      <c r="AB32" s="77"/>
      <c r="AC32" s="77"/>
      <c r="AD32" s="48"/>
      <c r="AE32" s="78"/>
      <c r="AF32" s="78"/>
      <c r="AG32" s="79"/>
      <c r="AH32" s="77"/>
      <c r="AI32" s="77"/>
      <c r="AJ32" s="77"/>
      <c r="AK32" s="53"/>
    </row>
    <row r="33" spans="1:37" x14ac:dyDescent="0.2">
      <c r="A33" s="21"/>
      <c r="B33" s="66"/>
      <c r="C33" s="19"/>
      <c r="D33" s="19"/>
      <c r="E33" s="43"/>
      <c r="F33" s="44"/>
      <c r="G33" s="45"/>
      <c r="H33" s="45"/>
      <c r="I33" s="45"/>
      <c r="J33" s="45"/>
      <c r="K33" s="45"/>
      <c r="L33" s="45"/>
      <c r="M33" s="45"/>
      <c r="N33" s="45"/>
      <c r="O33" s="21"/>
      <c r="P33" s="21"/>
      <c r="Q33" s="21"/>
      <c r="R33" s="46"/>
      <c r="S33" s="47"/>
      <c r="T33" s="46"/>
      <c r="U33" s="46"/>
      <c r="V33" s="46"/>
      <c r="W33" s="77"/>
      <c r="X33" s="77"/>
      <c r="Y33" s="77"/>
      <c r="Z33" s="77"/>
      <c r="AA33" s="77"/>
      <c r="AB33" s="77"/>
      <c r="AC33" s="77"/>
      <c r="AD33" s="48"/>
      <c r="AE33" s="78"/>
      <c r="AF33" s="78"/>
      <c r="AG33" s="79"/>
      <c r="AH33" s="77"/>
      <c r="AI33" s="77"/>
      <c r="AJ33" s="77"/>
      <c r="AK33" s="53"/>
    </row>
    <row r="34" spans="1:37" x14ac:dyDescent="0.2">
      <c r="A34" s="21"/>
      <c r="B34" s="66"/>
      <c r="C34" s="19"/>
      <c r="D34" s="19"/>
      <c r="E34" s="43"/>
      <c r="F34" s="44"/>
      <c r="G34" s="45"/>
      <c r="H34" s="45"/>
      <c r="I34" s="45"/>
      <c r="J34" s="45"/>
      <c r="K34" s="45"/>
      <c r="L34" s="45"/>
      <c r="M34" s="45"/>
      <c r="N34" s="45"/>
      <c r="O34" s="21"/>
      <c r="P34" s="21"/>
      <c r="Q34" s="21"/>
      <c r="R34" s="46"/>
      <c r="S34" s="47"/>
      <c r="T34" s="46"/>
      <c r="U34" s="46"/>
      <c r="V34" s="46"/>
      <c r="W34" s="77"/>
      <c r="X34" s="77"/>
      <c r="Y34" s="77"/>
      <c r="Z34" s="77"/>
      <c r="AA34" s="77"/>
      <c r="AB34" s="77"/>
      <c r="AC34" s="77"/>
      <c r="AD34" s="48"/>
      <c r="AE34" s="78"/>
      <c r="AF34" s="78"/>
      <c r="AG34" s="79"/>
      <c r="AH34" s="77"/>
      <c r="AI34" s="77"/>
      <c r="AJ34" s="77"/>
      <c r="AK34" s="53"/>
    </row>
    <row r="35" spans="1:37" x14ac:dyDescent="0.2">
      <c r="A35" s="21"/>
      <c r="B35" s="66"/>
      <c r="C35" s="19"/>
      <c r="D35" s="19"/>
      <c r="E35" s="43"/>
      <c r="F35" s="44"/>
      <c r="G35" s="45"/>
      <c r="H35" s="45"/>
      <c r="I35" s="45"/>
      <c r="J35" s="45"/>
      <c r="K35" s="45"/>
      <c r="L35" s="45"/>
      <c r="M35" s="45"/>
      <c r="N35" s="45"/>
      <c r="O35" s="21"/>
      <c r="P35" s="21"/>
      <c r="Q35" s="21"/>
      <c r="R35" s="46"/>
      <c r="S35" s="47"/>
      <c r="T35" s="46"/>
      <c r="U35" s="46"/>
      <c r="V35" s="46"/>
      <c r="W35" s="77"/>
      <c r="X35" s="77"/>
      <c r="Y35" s="77"/>
      <c r="Z35" s="77"/>
      <c r="AA35" s="77"/>
      <c r="AB35" s="77"/>
      <c r="AC35" s="77"/>
      <c r="AD35" s="48"/>
      <c r="AE35" s="78"/>
      <c r="AF35" s="78"/>
      <c r="AG35" s="79"/>
      <c r="AH35" s="77"/>
      <c r="AI35" s="77"/>
      <c r="AJ35" s="77"/>
      <c r="AK35" s="53"/>
    </row>
    <row r="36" spans="1:37" x14ac:dyDescent="0.2">
      <c r="W36" s="53"/>
      <c r="X36" s="53"/>
      <c r="Y36" s="53"/>
      <c r="Z36" s="53"/>
      <c r="AA36" s="53"/>
      <c r="AB36" s="53"/>
      <c r="AC36" s="53"/>
      <c r="AE36" s="53"/>
      <c r="AF36" s="53"/>
      <c r="AG36" s="53"/>
      <c r="AH36" s="53"/>
      <c r="AI36" s="53"/>
      <c r="AJ36" s="53"/>
      <c r="AK36" s="53"/>
    </row>
  </sheetData>
  <sheetProtection algorithmName="SHA-512" hashValue="x2x3Po9S8lhLY5We8hFyr6p1c4iSX+5aL/Owc/E6VtnvHufGZYnXbOoasR3s/7KQeiPtcLwp/8kiE48DCsMkXw==" saltValue="Jbh2pyZTefKZ+WgI2AuE4g==" spinCount="100000" sheet="1" objects="1" scenarios="1"/>
  <mergeCells count="20">
    <mergeCell ref="O2:O4"/>
    <mergeCell ref="P2:P4"/>
    <mergeCell ref="Q2:Q4"/>
    <mergeCell ref="R2:R4"/>
    <mergeCell ref="S2:S4"/>
    <mergeCell ref="T2:T4"/>
    <mergeCell ref="A1:V1"/>
    <mergeCell ref="A2:A4"/>
    <mergeCell ref="B2:B4"/>
    <mergeCell ref="C2:C4"/>
    <mergeCell ref="D2:D4"/>
    <mergeCell ref="E2:E4"/>
    <mergeCell ref="F2:F4"/>
    <mergeCell ref="G2:H3"/>
    <mergeCell ref="I2:L2"/>
    <mergeCell ref="M2:N3"/>
    <mergeCell ref="U2:U4"/>
    <mergeCell ref="V2:V4"/>
    <mergeCell ref="I3:J3"/>
    <mergeCell ref="K3:L3"/>
  </mergeCells>
  <phoneticPr fontId="5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A24"/>
  <sheetViews>
    <sheetView workbookViewId="0">
      <selection activeCell="A3" sqref="A3:E12"/>
    </sheetView>
  </sheetViews>
  <sheetFormatPr defaultColWidth="9" defaultRowHeight="12.75" x14ac:dyDescent="0.2"/>
  <cols>
    <col min="1" max="1" width="8" style="13" customWidth="1"/>
    <col min="2" max="5" width="9" style="13" customWidth="1"/>
    <col min="6" max="6" width="7.375" style="13" customWidth="1"/>
    <col min="7" max="7" width="18.625" style="53" bestFit="1" customWidth="1"/>
    <col min="8" max="9" width="13.125" style="53" bestFit="1" customWidth="1"/>
    <col min="10" max="10" width="6.25" style="13" customWidth="1"/>
    <col min="11" max="11" width="6.125" style="13" customWidth="1"/>
    <col min="12" max="12" width="7.125" style="13" customWidth="1"/>
    <col min="13" max="13" width="13.125" style="17" bestFit="1" customWidth="1"/>
    <col min="14" max="16" width="9.375" style="17" customWidth="1"/>
    <col min="17" max="17" width="16.125" style="17" customWidth="1"/>
    <col min="18" max="18" width="14.5" style="17" hidden="1" customWidth="1"/>
    <col min="19" max="24" width="8" style="13" hidden="1" customWidth="1"/>
    <col min="25" max="25" width="8.625" style="13" hidden="1" customWidth="1"/>
    <col min="26" max="27" width="8.875" style="13" hidden="1" customWidth="1"/>
    <col min="28" max="28" width="13.5" style="14" hidden="1" customWidth="1"/>
    <col min="29" max="29" width="8.125" style="14" hidden="1" customWidth="1"/>
    <col min="30" max="30" width="8.125" style="15" hidden="1" customWidth="1"/>
    <col min="31" max="31" width="18.375" style="16" hidden="1" customWidth="1"/>
    <col min="32" max="32" width="20.625" style="16" hidden="1" customWidth="1"/>
    <col min="33" max="33" width="6.375" style="16" hidden="1" customWidth="1"/>
    <col min="34" max="34" width="26.625" style="16" hidden="1" customWidth="1"/>
    <col min="35" max="35" width="29" style="16" hidden="1" customWidth="1"/>
    <col min="36" max="36" width="28.875" style="16" hidden="1" customWidth="1"/>
    <col min="37" max="37" width="31.25" style="16" hidden="1" customWidth="1"/>
    <col min="38" max="41" width="9.375" style="17" hidden="1" customWidth="1"/>
    <col min="42" max="16384" width="9" style="13"/>
  </cols>
  <sheetData>
    <row r="1" spans="1:16355" s="1" customFormat="1" ht="42.95" customHeight="1" x14ac:dyDescent="0.2">
      <c r="A1" s="114" t="s">
        <v>50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8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2"/>
      <c r="AQ1" s="42"/>
      <c r="AR1" s="4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  <c r="XDA1" s="2"/>
      <c r="XDB1" s="2"/>
      <c r="XDC1" s="2"/>
      <c r="XDD1" s="2"/>
      <c r="XDE1" s="2"/>
      <c r="XDF1" s="2"/>
      <c r="XDG1" s="2"/>
      <c r="XDH1" s="2"/>
      <c r="XDI1" s="2"/>
      <c r="XDJ1" s="2"/>
      <c r="XDK1" s="2"/>
      <c r="XDL1" s="2"/>
      <c r="XDM1" s="2"/>
      <c r="XDN1" s="2"/>
      <c r="XDO1" s="2"/>
      <c r="XDP1" s="2"/>
      <c r="XDQ1" s="2"/>
      <c r="XDR1" s="2"/>
      <c r="XDS1" s="2"/>
      <c r="XDT1" s="2"/>
      <c r="XDU1" s="2"/>
      <c r="XDV1" s="2"/>
      <c r="XDW1" s="2"/>
      <c r="XDX1" s="2"/>
      <c r="XDY1" s="2"/>
      <c r="XDZ1" s="2"/>
      <c r="XEA1" s="2"/>
    </row>
    <row r="2" spans="1:16355" s="64" customFormat="1" ht="75" customHeight="1" x14ac:dyDescent="0.2">
      <c r="A2" s="58" t="s">
        <v>1</v>
      </c>
      <c r="B2" s="58" t="s">
        <v>8</v>
      </c>
      <c r="C2" s="59" t="s">
        <v>9</v>
      </c>
      <c r="D2" s="60" t="s">
        <v>10</v>
      </c>
      <c r="E2" s="61" t="s">
        <v>29</v>
      </c>
      <c r="F2" s="60" t="s">
        <v>11</v>
      </c>
      <c r="G2" s="27" t="s">
        <v>33</v>
      </c>
      <c r="H2" s="28" t="s">
        <v>34</v>
      </c>
      <c r="I2" s="29" t="s">
        <v>37</v>
      </c>
      <c r="J2" s="58" t="s">
        <v>14</v>
      </c>
      <c r="K2" s="58" t="s">
        <v>15</v>
      </c>
      <c r="L2" s="58" t="s">
        <v>16</v>
      </c>
      <c r="M2" s="30" t="s">
        <v>38</v>
      </c>
      <c r="N2" s="31" t="s">
        <v>40</v>
      </c>
      <c r="O2" s="32" t="s">
        <v>41</v>
      </c>
      <c r="P2" s="34" t="s">
        <v>42</v>
      </c>
      <c r="Q2" s="35" t="s">
        <v>43</v>
      </c>
      <c r="R2" s="12" t="s">
        <v>32</v>
      </c>
      <c r="S2" s="75" t="s">
        <v>2</v>
      </c>
      <c r="T2" s="75" t="s">
        <v>3</v>
      </c>
      <c r="U2" s="75" t="s">
        <v>4</v>
      </c>
      <c r="V2" s="75" t="s">
        <v>5</v>
      </c>
      <c r="W2" s="75" t="s">
        <v>6</v>
      </c>
      <c r="X2" s="75" t="s">
        <v>7</v>
      </c>
      <c r="Y2" s="62" t="s">
        <v>0</v>
      </c>
      <c r="Z2" s="28" t="s">
        <v>35</v>
      </c>
      <c r="AA2" s="29" t="s">
        <v>36</v>
      </c>
      <c r="AB2" s="9" t="s">
        <v>12</v>
      </c>
      <c r="AC2" s="10" t="s">
        <v>30</v>
      </c>
      <c r="AD2" s="11" t="s">
        <v>13</v>
      </c>
      <c r="AE2" s="73" t="s">
        <v>17</v>
      </c>
      <c r="AF2" s="73" t="s">
        <v>18</v>
      </c>
      <c r="AG2" s="73" t="s">
        <v>19</v>
      </c>
      <c r="AH2" s="73" t="s">
        <v>20</v>
      </c>
      <c r="AI2" s="73" t="s">
        <v>21</v>
      </c>
      <c r="AJ2" s="73" t="s">
        <v>22</v>
      </c>
      <c r="AK2" s="63" t="s">
        <v>23</v>
      </c>
      <c r="AL2" s="30" t="s">
        <v>39</v>
      </c>
      <c r="AM2" s="31" t="s">
        <v>24</v>
      </c>
      <c r="AN2" s="33" t="s">
        <v>26</v>
      </c>
      <c r="AO2" s="35" t="s">
        <v>31</v>
      </c>
    </row>
    <row r="3" spans="1:16355" x14ac:dyDescent="0.2">
      <c r="A3" s="18"/>
      <c r="B3" s="19"/>
      <c r="C3" s="19"/>
      <c r="D3" s="19"/>
      <c r="E3" s="20"/>
      <c r="F3" s="19"/>
      <c r="G3" s="23" t="str">
        <f>IF(AND(A3=0,B3=0,C3=0,D3=0,E3=0),"",IF(AND(B3&lt;=30,C3&lt;=23.5,D3&lt;=2.3,E3&lt;=1400,A3&lt;=900),"Letter A",IF(AND(B3&lt;=35,C3&lt;=30,D3&lt;=3.3,E3&lt;=1400,A3&lt;=800),"Letter B","不可加入轻小物流计划")))</f>
        <v/>
      </c>
      <c r="H3" s="24" t="str">
        <f>IF(G3="不可加入轻小物流计划","",IF(G3="","",IF(AND(B3&lt;=30,C3&lt;=23.5,D3&lt;=2.3,E3&lt;=400,A3&lt;=900),"121",IF(AND(B3&lt;=30,C3&lt;=23.5,D3&lt;=2.3,E3&lt;=600,E3&gt;400,A3&lt;=900),"142",IF(AND(B3&lt;=30,C3&lt;=23.5,D3&lt;=2.3,E3&lt;=800,E3&gt;600,A3&lt;=900),"162",IF(AND(B3&lt;=30,C3&lt;=23.5,D3&lt;=2.3,E3&lt;=1400,E3&gt;800,A3&lt;=900),"182",IF(AND(B3&lt;=35,C3&lt;=30,D3&lt;=3.3,E3&lt;=400,A3&lt;=800),"131",IF(AND(B3&lt;=35,C3&lt;=30,D3&lt;=3.3,E3&lt;=600,E3&gt;400,A3&lt;=800),"152",IF(AND(B3&lt;=35,C3&lt;=30,D3&lt;=3.3,E3&lt;=800,E3&gt;600,A3&lt;=800),"172",IF(AND(B3&lt;=35,C3&lt;=30,D3&lt;=3.3,E3&gt;800,E3&lt;=1400,E3&gt;=800,A3&lt;=800),"204"))))))))))</f>
        <v/>
      </c>
      <c r="I3" s="25" t="str">
        <f>IF(H3="","",H3/F3)</f>
        <v/>
      </c>
      <c r="J3" s="21"/>
      <c r="K3" s="21"/>
      <c r="L3" s="21"/>
      <c r="M3" s="26" t="str">
        <f t="shared" ref="M3" si="0">IF(AND(J3=0,K3=0,L3=0),"",AE3*AG3/1000*J3/K3*L3)</f>
        <v/>
      </c>
      <c r="N3" s="26" t="str">
        <f t="shared" ref="N3" si="1">IF(AND(J3=0,K3=0,L3=0),"",M3/F3)</f>
        <v/>
      </c>
      <c r="O3" s="26" t="str">
        <f t="shared" ref="O3" si="2">IF(AND(J3=0,K3=0,L3=0),"",AF3*AG3/1000*J3/K3*L3)</f>
        <v/>
      </c>
      <c r="P3" s="26" t="str">
        <f>IF(AND(J3=0,K3=0,L3=0),"",O3/F3)</f>
        <v/>
      </c>
      <c r="Q3" s="26" t="str">
        <f t="shared" ref="Q3" si="3">IF(AND(J3=0,K3=0,L3=0),"",B3*C3*D3/1000*L3*17.45/F3)</f>
        <v/>
      </c>
      <c r="R3" s="46" t="e">
        <f>Q3/108*110</f>
        <v>#VALUE!</v>
      </c>
      <c r="S3" s="77">
        <v>50</v>
      </c>
      <c r="T3" s="77">
        <v>150</v>
      </c>
      <c r="U3" s="77">
        <v>500</v>
      </c>
      <c r="V3" s="77">
        <v>700</v>
      </c>
      <c r="W3" s="77">
        <v>1200</v>
      </c>
      <c r="X3" s="77">
        <v>1400</v>
      </c>
      <c r="Y3" s="22">
        <f t="shared" ref="Y3" si="4">B3+C3+D3</f>
        <v>0</v>
      </c>
      <c r="Z3" s="25" t="e">
        <f t="shared" ref="Z3" si="5">H3/108*110</f>
        <v>#VALUE!</v>
      </c>
      <c r="AA3" s="25" t="e">
        <f t="shared" ref="AA3" si="6">I3/108*110</f>
        <v>#VALUE!</v>
      </c>
      <c r="AB3" s="23" t="str">
        <f t="shared" ref="AB3" si="7">IF(AND(B3&lt;25,C3&lt;18,D3&lt;2,(A3+S3)&lt;250),"小件",IF(AND(B3&lt;33,C3&lt;24,D3&lt;2.8,(A3+S3)&lt;1000),"标准件类别1",IF(AND(B3&lt;45,C3&lt;35,D3&lt;20,Y3&lt;60,(A3+T3)&lt;2000),"标准件类别2",IF(AND(B3&lt;45,C3&lt;35,D3&lt;20,Y3&lt;80,(A3+T3)&lt;5000),"标准件类别3",IF(AND(B3&lt;45,C3&lt;35,D3&lt;20,Y3&lt;100,(A3+T3)&lt;9000),"标准件类别4",IF(AND(OR(A3&gt;=9000,B3&gt;=45,C3&gt;=35,D3&gt;=20),AND(Y3&lt;60,(A3+T3)&lt;2000)),"大件类别1",IF(AND(OR(A3&gt;=9000,B3&gt;=45,C3&gt;=35,D3&gt;=20),AND(Y3&lt;80,(A3+T3)&lt;5000)),"大件类别2",IF(AND(OR(A3&gt;=9000,B3&gt;=45,C3&gt;=35,D3&gt;=20),AND(Y3&lt;100,(A3+T3)&lt;10000)),"大件类别3",IF(AND(OR(A3&gt;=9000,B3&gt;=45,C3&gt;=35,D3&gt;=20),AND(Y3&lt;120,(A3+U3)&lt;15000)),"大件类别4",IF(AND(OR(A3&gt;=9000,B3&gt;=45,C3&gt;=35,D3&gt;=20),AND(Y3&lt;140,(A3+V3)&lt;20000)),"大件类别5",IF(AND(OR(A3&gt;=9000,B3&gt;=45,C3&gt;=35,D3&gt;=20),AND(Y3&lt;160,(A3+W3)&lt;25000)),"大件类别6",IF(AND(B3&gt;=90,Y3&gt;=170),"不可使用FBA服务",IF(AND(OR(A3&gt;=9000,B3&gt;=45,C3&gt;=35,D3&gt;=20),AND(Y3&lt;180,(A3+W3)&lt;30000)),"大件类别7",IF(AND(OR(A3&gt;=9000,B3&gt;=45,C3&gt;=35,D3&gt;=20),AND(Y3&lt;200,(A3+X3)&lt;40000)),"大件类别8",IF(OR(A3&gt;=40000,Y3&gt;=200),"不可使用FBA服务")))))))))))))))</f>
        <v>小件</v>
      </c>
      <c r="AC3" s="24" t="str">
        <f>IF(AB3="小件","252",IF(AB3="标准件类别1","354",IF(AB3="标准件类别2","397",IF(AB3="标准件类别3","419",IF(AB3="标准件类别4","490",IF(AB3="大件类别1","565",IF(AB3="大件类别2","678",IF(AB3="大件类别3","764",IF(AB3="大件类别4","889",IF(AB3="大件类别5","940",IF(AB3="大件类别6","983",IF(AB3="大件类别7","1393",IF(AB3="大件类别8","1569")))))))))))))</f>
        <v>252</v>
      </c>
      <c r="AD3" s="25" t="e">
        <f t="shared" ref="AD3" si="8">AC3/F3</f>
        <v>#DIV/0!</v>
      </c>
      <c r="AE3" s="77" t="str">
        <f t="shared" ref="AE3" si="9">IF(OR(AB3="小件",AB3="标准件类别1",AB3="标准件类别2",AB3="标准件类别3",AB3="标准件类别4"),"5.07",IF(OR(AB3="大件类别1",AB3="大件类别2",AB3="大件类别3",AB3="大件类别4",AB3="大件类别5",AB3="大件类别6",AB3="大件类别7",AB3="大件类别8"),"4.29"))</f>
        <v>5.07</v>
      </c>
      <c r="AF3" s="77" t="str">
        <f t="shared" ref="AF3" si="10">IF(OR(AB3="小件",AB3="标准件类别1",AB3="标准件类别2",AB3="标准件类别3",AB3="标准件类别4"),"9",IF(OR(AB3="大件类别1",AB3="大件类别2",AB3="大件类别3",AB3="大件类别4",AB3="大件类别5",AB3="大件类别6",AB3="大件类别7",AB3="大件类别8"),"7.615"))</f>
        <v>9</v>
      </c>
      <c r="AG3" s="77">
        <f t="shared" ref="AG3" si="11">B3*C3*D3</f>
        <v>0</v>
      </c>
      <c r="AH3" s="77">
        <f>AE3*AG3/1000</f>
        <v>0</v>
      </c>
      <c r="AI3" s="77" t="e">
        <f t="shared" ref="AI3" si="12">AH3/F3</f>
        <v>#DIV/0!</v>
      </c>
      <c r="AJ3" s="77">
        <f>AF3*AG3/1000</f>
        <v>0</v>
      </c>
      <c r="AK3" s="77" t="e">
        <f t="shared" ref="AK3" si="13">AJ3/F3</f>
        <v>#DIV/0!</v>
      </c>
      <c r="AL3" s="26" t="e">
        <f t="shared" ref="AL3" si="14">M3/108*110</f>
        <v>#VALUE!</v>
      </c>
      <c r="AM3" s="26" t="e">
        <f t="shared" ref="AM3" si="15">N3/108*110</f>
        <v>#VALUE!</v>
      </c>
      <c r="AN3" s="26" t="e">
        <f t="shared" ref="AN3" si="16">O3/108*110</f>
        <v>#VALUE!</v>
      </c>
      <c r="AO3" s="26" t="e">
        <f t="shared" ref="AO3" si="17">P3/108*110</f>
        <v>#VALUE!</v>
      </c>
      <c r="AP3" s="53"/>
    </row>
    <row r="4" spans="1:16355" x14ac:dyDescent="0.2">
      <c r="A4" s="18"/>
      <c r="B4" s="19"/>
      <c r="C4" s="19"/>
      <c r="D4" s="19"/>
      <c r="E4" s="20"/>
      <c r="F4" s="19"/>
      <c r="G4" s="23" t="str">
        <f t="shared" ref="G4:G5" si="18">IF(AND(A4=0,B4=0,C4=0,D4=0,E4=0),"",IF(AND(B4&lt;=30,C4&lt;=23.5,D4&lt;=2.3,E4&lt;=1400,A4&lt;=900),"Letter A",IF(AND(B4&lt;=35,C4&lt;=30,D4&lt;=3.3,E4&lt;=1400,A4&lt;=800),"Letter B","不可加入轻小物流计划")))</f>
        <v/>
      </c>
      <c r="H4" s="24" t="str">
        <f t="shared" ref="H4:H5" si="19">IF(G4="不可加入轻小物流计划","",IF(G4="","",IF(AND(B4&lt;=30,C4&lt;=23.5,D4&lt;=2.3,E4&lt;=400,A4&lt;=900),"121",IF(AND(B4&lt;=30,C4&lt;=23.5,D4&lt;=2.3,E4&lt;=600,E4&gt;400,A4&lt;=900),"142",IF(AND(B4&lt;=30,C4&lt;=23.5,D4&lt;=2.3,E4&lt;=800,E4&gt;600,A4&lt;=900),"162",IF(AND(B4&lt;=30,C4&lt;=23.5,D4&lt;=2.3,E4&lt;=1400,E4&gt;800,A4&lt;=900),"182",IF(AND(B4&lt;=35,C4&lt;=30,D4&lt;=3.3,E4&lt;=400,A4&lt;=800),"131",IF(AND(B4&lt;=35,C4&lt;=30,D4&lt;=3.3,E4&lt;=600,E4&gt;400,A4&lt;=800),"152",IF(AND(B4&lt;=35,C4&lt;=30,D4&lt;=3.3,E4&lt;=800,E4&gt;600,A4&lt;=800),"172",IF(AND(B4&lt;=35,C4&lt;=30,D4&lt;=3.3,E4&gt;800,E4&lt;=1400,E4&gt;=800,A4&lt;=800),"204"))))))))))</f>
        <v/>
      </c>
      <c r="I4" s="25" t="str">
        <f t="shared" ref="I4:I5" si="20">IF(H4="","",H4/F4)</f>
        <v/>
      </c>
      <c r="J4" s="21"/>
      <c r="K4" s="21"/>
      <c r="L4" s="21"/>
      <c r="M4" s="26" t="str">
        <f t="shared" ref="M4:M5" si="21">IF(AND(J4=0,K4=0,L4=0),"",AE4*AG4/1000*J4/K4*L4)</f>
        <v/>
      </c>
      <c r="N4" s="26" t="str">
        <f t="shared" ref="N4:N5" si="22">IF(AND(J4=0,K4=0,L4=0),"",M4/F4)</f>
        <v/>
      </c>
      <c r="O4" s="26" t="str">
        <f t="shared" ref="O4:O5" si="23">IF(AND(J4=0,K4=0,L4=0),"",AF4*AG4/1000*J4/K4*L4)</f>
        <v/>
      </c>
      <c r="P4" s="26" t="str">
        <f t="shared" ref="P4:P5" si="24">IF(AND(J4=0,K4=0,L4=0),"",O4/F4)</f>
        <v/>
      </c>
      <c r="Q4" s="26" t="str">
        <f t="shared" ref="Q4:Q5" si="25">IF(AND(J4=0,K4=0,L4=0),"",B4*C4*D4/1000*L4*17.45/F4)</f>
        <v/>
      </c>
      <c r="S4" s="77"/>
      <c r="T4" s="77"/>
      <c r="U4" s="77"/>
      <c r="V4" s="77"/>
      <c r="W4" s="77"/>
      <c r="X4" s="77"/>
      <c r="Y4" s="22"/>
      <c r="Z4" s="25"/>
      <c r="AA4" s="25"/>
      <c r="AB4" s="23"/>
      <c r="AC4" s="24"/>
      <c r="AD4" s="25"/>
      <c r="AE4" s="77"/>
      <c r="AF4" s="77"/>
      <c r="AG4" s="77"/>
      <c r="AH4" s="77"/>
      <c r="AI4" s="77"/>
      <c r="AJ4" s="77"/>
      <c r="AK4" s="77"/>
      <c r="AL4" s="26"/>
      <c r="AM4" s="26"/>
      <c r="AN4" s="26"/>
      <c r="AO4" s="26"/>
      <c r="AP4" s="53"/>
    </row>
    <row r="5" spans="1:16355" x14ac:dyDescent="0.2">
      <c r="A5" s="18"/>
      <c r="B5" s="19"/>
      <c r="C5" s="19"/>
      <c r="D5" s="19"/>
      <c r="E5" s="20"/>
      <c r="F5" s="19"/>
      <c r="G5" s="23" t="str">
        <f t="shared" si="18"/>
        <v/>
      </c>
      <c r="H5" s="24" t="str">
        <f t="shared" si="19"/>
        <v/>
      </c>
      <c r="I5" s="25" t="str">
        <f t="shared" si="20"/>
        <v/>
      </c>
      <c r="J5" s="21"/>
      <c r="K5" s="21"/>
      <c r="L5" s="21"/>
      <c r="M5" s="26" t="str">
        <f t="shared" si="21"/>
        <v/>
      </c>
      <c r="N5" s="26" t="str">
        <f t="shared" si="22"/>
        <v/>
      </c>
      <c r="O5" s="26" t="str">
        <f t="shared" si="23"/>
        <v/>
      </c>
      <c r="P5" s="26" t="str">
        <f t="shared" si="24"/>
        <v/>
      </c>
      <c r="Q5" s="26" t="str">
        <f t="shared" si="25"/>
        <v/>
      </c>
      <c r="S5" s="77"/>
      <c r="T5" s="77"/>
      <c r="U5" s="77"/>
      <c r="V5" s="77"/>
      <c r="W5" s="77"/>
      <c r="X5" s="77"/>
      <c r="Y5" s="22"/>
      <c r="Z5" s="25"/>
      <c r="AA5" s="25"/>
      <c r="AB5" s="23"/>
      <c r="AC5" s="24"/>
      <c r="AD5" s="25"/>
      <c r="AE5" s="77"/>
      <c r="AF5" s="77"/>
      <c r="AG5" s="77"/>
      <c r="AH5" s="77"/>
      <c r="AI5" s="77"/>
      <c r="AJ5" s="77"/>
      <c r="AK5" s="77"/>
      <c r="AL5" s="26"/>
      <c r="AM5" s="26"/>
      <c r="AN5" s="26"/>
      <c r="AO5" s="26"/>
      <c r="AP5" s="53"/>
    </row>
    <row r="6" spans="1:16355" x14ac:dyDescent="0.2">
      <c r="A6" s="18"/>
      <c r="B6" s="19"/>
      <c r="C6" s="19"/>
      <c r="D6" s="19"/>
      <c r="E6" s="20"/>
      <c r="F6" s="19"/>
      <c r="G6" s="23"/>
      <c r="H6" s="24"/>
      <c r="I6" s="25"/>
      <c r="J6" s="21"/>
      <c r="K6" s="21"/>
      <c r="L6" s="21"/>
      <c r="M6" s="26"/>
      <c r="N6" s="26"/>
      <c r="O6" s="26"/>
      <c r="P6" s="26"/>
      <c r="Q6" s="26"/>
      <c r="S6" s="77"/>
      <c r="T6" s="77"/>
      <c r="U6" s="77"/>
      <c r="V6" s="77"/>
      <c r="W6" s="77"/>
      <c r="X6" s="77"/>
      <c r="Y6" s="22"/>
      <c r="Z6" s="25"/>
      <c r="AA6" s="25"/>
      <c r="AB6" s="23"/>
      <c r="AC6" s="24"/>
      <c r="AD6" s="25"/>
      <c r="AE6" s="77"/>
      <c r="AF6" s="77"/>
      <c r="AG6" s="77"/>
      <c r="AH6" s="77"/>
      <c r="AI6" s="77"/>
      <c r="AJ6" s="77"/>
      <c r="AK6" s="77"/>
      <c r="AL6" s="26"/>
      <c r="AM6" s="26"/>
      <c r="AN6" s="26"/>
      <c r="AO6" s="26"/>
      <c r="AP6" s="53"/>
    </row>
    <row r="7" spans="1:16355" x14ac:dyDescent="0.2">
      <c r="A7" s="18"/>
      <c r="B7" s="19"/>
      <c r="C7" s="19"/>
      <c r="D7" s="19"/>
      <c r="E7" s="20"/>
      <c r="F7" s="19"/>
      <c r="G7" s="23"/>
      <c r="H7" s="24"/>
      <c r="I7" s="25"/>
      <c r="J7" s="21"/>
      <c r="K7" s="21"/>
      <c r="L7" s="21"/>
      <c r="M7" s="26"/>
      <c r="N7" s="26"/>
      <c r="O7" s="26"/>
      <c r="P7" s="26"/>
      <c r="Q7" s="26"/>
      <c r="S7" s="77"/>
      <c r="T7" s="77"/>
      <c r="U7" s="77"/>
      <c r="V7" s="77"/>
      <c r="W7" s="77"/>
      <c r="X7" s="77"/>
      <c r="Y7" s="22"/>
      <c r="Z7" s="25"/>
      <c r="AA7" s="25"/>
      <c r="AB7" s="23"/>
      <c r="AC7" s="24"/>
      <c r="AD7" s="25"/>
      <c r="AE7" s="77"/>
      <c r="AF7" s="77"/>
      <c r="AG7" s="77"/>
      <c r="AH7" s="77"/>
      <c r="AI7" s="77"/>
      <c r="AJ7" s="77"/>
      <c r="AK7" s="77"/>
      <c r="AL7" s="26"/>
      <c r="AM7" s="26"/>
      <c r="AN7" s="26"/>
      <c r="AO7" s="26"/>
      <c r="AP7" s="53"/>
    </row>
    <row r="8" spans="1:16355" x14ac:dyDescent="0.2">
      <c r="A8" s="18"/>
      <c r="B8" s="19"/>
      <c r="C8" s="19"/>
      <c r="D8" s="19"/>
      <c r="E8" s="20"/>
      <c r="F8" s="19"/>
      <c r="G8" s="23"/>
      <c r="H8" s="24"/>
      <c r="I8" s="25"/>
      <c r="J8" s="21"/>
      <c r="K8" s="21"/>
      <c r="L8" s="21"/>
      <c r="M8" s="26"/>
      <c r="N8" s="26"/>
      <c r="O8" s="26"/>
      <c r="P8" s="26"/>
      <c r="Q8" s="26"/>
      <c r="S8" s="77"/>
      <c r="T8" s="77"/>
      <c r="U8" s="77"/>
      <c r="V8" s="77"/>
      <c r="W8" s="77"/>
      <c r="X8" s="77"/>
      <c r="Y8" s="22"/>
      <c r="Z8" s="25"/>
      <c r="AA8" s="25"/>
      <c r="AB8" s="23"/>
      <c r="AC8" s="24"/>
      <c r="AD8" s="25"/>
      <c r="AE8" s="77"/>
      <c r="AF8" s="77"/>
      <c r="AG8" s="77"/>
      <c r="AH8" s="77"/>
      <c r="AI8" s="77"/>
      <c r="AJ8" s="77"/>
      <c r="AK8" s="77"/>
      <c r="AL8" s="26"/>
      <c r="AM8" s="26"/>
      <c r="AN8" s="26"/>
      <c r="AO8" s="26"/>
      <c r="AP8" s="53"/>
    </row>
    <row r="9" spans="1:16355" x14ac:dyDescent="0.2">
      <c r="A9" s="18"/>
      <c r="B9" s="19"/>
      <c r="C9" s="19"/>
      <c r="D9" s="19"/>
      <c r="E9" s="20"/>
      <c r="F9" s="19"/>
      <c r="G9" s="23"/>
      <c r="H9" s="24"/>
      <c r="I9" s="25"/>
      <c r="J9" s="21"/>
      <c r="K9" s="21"/>
      <c r="L9" s="21"/>
      <c r="M9" s="26"/>
      <c r="N9" s="26"/>
      <c r="O9" s="26"/>
      <c r="P9" s="26"/>
      <c r="Q9" s="26"/>
      <c r="S9" s="77"/>
      <c r="T9" s="77"/>
      <c r="U9" s="77"/>
      <c r="V9" s="77"/>
      <c r="W9" s="77"/>
      <c r="X9" s="77"/>
      <c r="Y9" s="22"/>
      <c r="Z9" s="25"/>
      <c r="AA9" s="25"/>
      <c r="AB9" s="23"/>
      <c r="AC9" s="24"/>
      <c r="AD9" s="25"/>
      <c r="AE9" s="77"/>
      <c r="AF9" s="77"/>
      <c r="AG9" s="77"/>
      <c r="AH9" s="77"/>
      <c r="AI9" s="77"/>
      <c r="AJ9" s="77"/>
      <c r="AK9" s="77"/>
      <c r="AL9" s="26"/>
      <c r="AM9" s="26"/>
      <c r="AN9" s="26"/>
      <c r="AO9" s="26"/>
      <c r="AP9" s="53"/>
    </row>
    <row r="10" spans="1:16355" x14ac:dyDescent="0.2">
      <c r="A10" s="18"/>
      <c r="B10" s="19"/>
      <c r="C10" s="19"/>
      <c r="D10" s="19"/>
      <c r="E10" s="20"/>
      <c r="F10" s="19"/>
      <c r="G10" s="23"/>
      <c r="H10" s="24"/>
      <c r="I10" s="25"/>
      <c r="J10" s="21"/>
      <c r="K10" s="21"/>
      <c r="L10" s="21"/>
      <c r="M10" s="26"/>
      <c r="N10" s="26"/>
      <c r="O10" s="26"/>
      <c r="P10" s="26"/>
      <c r="Q10" s="26"/>
      <c r="S10" s="77"/>
      <c r="T10" s="77"/>
      <c r="U10" s="77"/>
      <c r="V10" s="77"/>
      <c r="W10" s="77"/>
      <c r="X10" s="77"/>
      <c r="Y10" s="22"/>
      <c r="Z10" s="25"/>
      <c r="AA10" s="25"/>
      <c r="AB10" s="23"/>
      <c r="AC10" s="24"/>
      <c r="AD10" s="25"/>
      <c r="AE10" s="77"/>
      <c r="AF10" s="77"/>
      <c r="AG10" s="77"/>
      <c r="AH10" s="77"/>
      <c r="AI10" s="77"/>
      <c r="AJ10" s="77"/>
      <c r="AK10" s="77"/>
      <c r="AL10" s="26"/>
      <c r="AM10" s="26"/>
      <c r="AN10" s="26"/>
      <c r="AO10" s="26"/>
      <c r="AP10" s="53"/>
    </row>
    <row r="11" spans="1:16355" x14ac:dyDescent="0.2">
      <c r="A11" s="18"/>
      <c r="B11" s="19"/>
      <c r="C11" s="19"/>
      <c r="D11" s="19"/>
      <c r="E11" s="20"/>
      <c r="F11" s="19"/>
      <c r="G11" s="23"/>
      <c r="H11" s="24"/>
      <c r="I11" s="25"/>
      <c r="J11" s="21"/>
      <c r="K11" s="21"/>
      <c r="L11" s="21"/>
      <c r="M11" s="26"/>
      <c r="N11" s="26"/>
      <c r="O11" s="26"/>
      <c r="P11" s="26"/>
      <c r="Q11" s="26"/>
      <c r="S11" s="77"/>
      <c r="T11" s="77"/>
      <c r="U11" s="77"/>
      <c r="V11" s="77"/>
      <c r="W11" s="77"/>
      <c r="X11" s="77"/>
      <c r="Y11" s="22"/>
      <c r="Z11" s="25"/>
      <c r="AA11" s="25"/>
      <c r="AB11" s="23"/>
      <c r="AC11" s="24"/>
      <c r="AD11" s="25"/>
      <c r="AE11" s="77"/>
      <c r="AF11" s="77"/>
      <c r="AG11" s="77"/>
      <c r="AH11" s="77"/>
      <c r="AI11" s="77"/>
      <c r="AJ11" s="77"/>
      <c r="AK11" s="77"/>
      <c r="AL11" s="26"/>
      <c r="AM11" s="26"/>
      <c r="AN11" s="26"/>
      <c r="AO11" s="26"/>
      <c r="AP11" s="53"/>
    </row>
    <row r="12" spans="1:16355" x14ac:dyDescent="0.2">
      <c r="A12" s="18"/>
      <c r="B12" s="19"/>
      <c r="C12" s="19"/>
      <c r="D12" s="19"/>
      <c r="E12" s="20"/>
      <c r="F12" s="19"/>
      <c r="G12" s="23"/>
      <c r="H12" s="24"/>
      <c r="I12" s="25"/>
      <c r="J12" s="21"/>
      <c r="K12" s="21"/>
      <c r="L12" s="21"/>
      <c r="M12" s="26"/>
      <c r="N12" s="26"/>
      <c r="O12" s="26"/>
      <c r="P12" s="26"/>
      <c r="Q12" s="26"/>
      <c r="S12" s="77"/>
      <c r="T12" s="77"/>
      <c r="U12" s="77"/>
      <c r="V12" s="77"/>
      <c r="W12" s="77"/>
      <c r="X12" s="77"/>
      <c r="Y12" s="22"/>
      <c r="Z12" s="25"/>
      <c r="AA12" s="25"/>
      <c r="AB12" s="23"/>
      <c r="AC12" s="24"/>
      <c r="AD12" s="25"/>
      <c r="AE12" s="77"/>
      <c r="AF12" s="77"/>
      <c r="AG12" s="77"/>
      <c r="AH12" s="77"/>
      <c r="AI12" s="77"/>
      <c r="AJ12" s="77"/>
      <c r="AK12" s="77"/>
      <c r="AL12" s="26"/>
      <c r="AM12" s="26"/>
      <c r="AN12" s="26"/>
      <c r="AO12" s="26"/>
      <c r="AP12" s="53"/>
    </row>
    <row r="13" spans="1:16355" x14ac:dyDescent="0.2">
      <c r="A13" s="18"/>
      <c r="B13" s="19"/>
      <c r="C13" s="19"/>
      <c r="D13" s="19"/>
      <c r="E13" s="20"/>
      <c r="F13" s="19"/>
      <c r="G13" s="23"/>
      <c r="H13" s="24"/>
      <c r="I13" s="25"/>
      <c r="J13" s="21"/>
      <c r="K13" s="21"/>
      <c r="L13" s="21"/>
      <c r="M13" s="26"/>
      <c r="N13" s="26"/>
      <c r="O13" s="26"/>
      <c r="P13" s="26"/>
      <c r="Q13" s="26"/>
      <c r="S13" s="77"/>
      <c r="T13" s="77"/>
      <c r="U13" s="77"/>
      <c r="V13" s="77"/>
      <c r="W13" s="77"/>
      <c r="X13" s="77"/>
      <c r="Y13" s="22"/>
      <c r="Z13" s="25"/>
      <c r="AA13" s="25"/>
      <c r="AB13" s="23"/>
      <c r="AC13" s="24"/>
      <c r="AD13" s="25"/>
      <c r="AE13" s="77"/>
      <c r="AF13" s="77"/>
      <c r="AG13" s="77"/>
      <c r="AH13" s="77"/>
      <c r="AI13" s="77"/>
      <c r="AJ13" s="77"/>
      <c r="AK13" s="77"/>
      <c r="AL13" s="26"/>
      <c r="AM13" s="26"/>
      <c r="AN13" s="26"/>
      <c r="AO13" s="26"/>
      <c r="AP13" s="53"/>
    </row>
    <row r="14" spans="1:16355" x14ac:dyDescent="0.2">
      <c r="A14" s="18"/>
      <c r="B14" s="19"/>
      <c r="C14" s="19"/>
      <c r="D14" s="19"/>
      <c r="E14" s="20"/>
      <c r="F14" s="19"/>
      <c r="G14" s="23"/>
      <c r="H14" s="24"/>
      <c r="I14" s="25"/>
      <c r="J14" s="21"/>
      <c r="K14" s="21"/>
      <c r="L14" s="21"/>
      <c r="M14" s="26"/>
      <c r="N14" s="26"/>
      <c r="O14" s="26"/>
      <c r="P14" s="26"/>
      <c r="Q14" s="26"/>
      <c r="S14" s="77"/>
      <c r="T14" s="77"/>
      <c r="U14" s="77"/>
      <c r="V14" s="77"/>
      <c r="W14" s="77"/>
      <c r="X14" s="77"/>
      <c r="Y14" s="22"/>
      <c r="Z14" s="25"/>
      <c r="AA14" s="25"/>
      <c r="AB14" s="23"/>
      <c r="AC14" s="24"/>
      <c r="AD14" s="25"/>
      <c r="AE14" s="77"/>
      <c r="AF14" s="77"/>
      <c r="AG14" s="77"/>
      <c r="AH14" s="77"/>
      <c r="AI14" s="77"/>
      <c r="AJ14" s="77"/>
      <c r="AK14" s="77"/>
      <c r="AL14" s="26"/>
      <c r="AM14" s="26"/>
      <c r="AN14" s="26"/>
      <c r="AO14" s="26"/>
      <c r="AP14" s="53"/>
    </row>
    <row r="15" spans="1:16355" x14ac:dyDescent="0.2">
      <c r="A15" s="18"/>
      <c r="B15" s="19"/>
      <c r="C15" s="19"/>
      <c r="D15" s="19"/>
      <c r="E15" s="20"/>
      <c r="F15" s="19"/>
      <c r="G15" s="23"/>
      <c r="H15" s="24"/>
      <c r="I15" s="25"/>
      <c r="J15" s="21"/>
      <c r="K15" s="21"/>
      <c r="L15" s="21"/>
      <c r="M15" s="26"/>
      <c r="N15" s="26"/>
      <c r="O15" s="26"/>
      <c r="P15" s="26"/>
      <c r="Q15" s="26"/>
      <c r="S15" s="77"/>
      <c r="T15" s="77"/>
      <c r="U15" s="77"/>
      <c r="V15" s="77"/>
      <c r="W15" s="77"/>
      <c r="X15" s="77"/>
      <c r="Y15" s="22"/>
      <c r="Z15" s="25"/>
      <c r="AA15" s="25"/>
      <c r="AB15" s="23"/>
      <c r="AC15" s="24"/>
      <c r="AD15" s="25"/>
      <c r="AE15" s="77"/>
      <c r="AF15" s="77"/>
      <c r="AG15" s="77"/>
      <c r="AH15" s="77"/>
      <c r="AI15" s="77"/>
      <c r="AJ15" s="77"/>
      <c r="AK15" s="77"/>
      <c r="AL15" s="26"/>
      <c r="AM15" s="26"/>
      <c r="AN15" s="26"/>
      <c r="AO15" s="26"/>
      <c r="AP15" s="53"/>
    </row>
    <row r="16" spans="1:16355" x14ac:dyDescent="0.2">
      <c r="A16" s="18"/>
      <c r="B16" s="19"/>
      <c r="C16" s="19"/>
      <c r="D16" s="19"/>
      <c r="E16" s="20"/>
      <c r="F16" s="19"/>
      <c r="G16" s="23"/>
      <c r="H16" s="24"/>
      <c r="I16" s="25"/>
      <c r="J16" s="21"/>
      <c r="K16" s="21"/>
      <c r="L16" s="21"/>
      <c r="M16" s="26"/>
      <c r="N16" s="26"/>
      <c r="O16" s="26"/>
      <c r="P16" s="26"/>
      <c r="Q16" s="26"/>
      <c r="S16" s="77"/>
      <c r="T16" s="77"/>
      <c r="U16" s="77"/>
      <c r="V16" s="77"/>
      <c r="W16" s="77"/>
      <c r="X16" s="77"/>
      <c r="Y16" s="22"/>
      <c r="Z16" s="25"/>
      <c r="AA16" s="25"/>
      <c r="AB16" s="23"/>
      <c r="AC16" s="24"/>
      <c r="AD16" s="25"/>
      <c r="AE16" s="77"/>
      <c r="AF16" s="77"/>
      <c r="AG16" s="77"/>
      <c r="AH16" s="77"/>
      <c r="AI16" s="77"/>
      <c r="AJ16" s="77"/>
      <c r="AK16" s="77"/>
      <c r="AL16" s="26"/>
      <c r="AM16" s="26"/>
      <c r="AN16" s="26"/>
      <c r="AO16" s="26"/>
      <c r="AP16" s="53"/>
    </row>
    <row r="17" spans="1:42" x14ac:dyDescent="0.2">
      <c r="A17" s="18"/>
      <c r="B17" s="19"/>
      <c r="C17" s="19"/>
      <c r="D17" s="19"/>
      <c r="E17" s="20"/>
      <c r="F17" s="19"/>
      <c r="G17" s="23"/>
      <c r="H17" s="24"/>
      <c r="I17" s="25"/>
      <c r="J17" s="21"/>
      <c r="K17" s="21"/>
      <c r="L17" s="21"/>
      <c r="M17" s="26"/>
      <c r="N17" s="26"/>
      <c r="O17" s="26"/>
      <c r="P17" s="26"/>
      <c r="Q17" s="26"/>
      <c r="S17" s="77"/>
      <c r="T17" s="77"/>
      <c r="U17" s="77"/>
      <c r="V17" s="77"/>
      <c r="W17" s="77"/>
      <c r="X17" s="77"/>
      <c r="Y17" s="22"/>
      <c r="Z17" s="25"/>
      <c r="AA17" s="25"/>
      <c r="AB17" s="23"/>
      <c r="AC17" s="24"/>
      <c r="AD17" s="25"/>
      <c r="AE17" s="77"/>
      <c r="AF17" s="77"/>
      <c r="AG17" s="77"/>
      <c r="AH17" s="77"/>
      <c r="AI17" s="77"/>
      <c r="AJ17" s="77"/>
      <c r="AK17" s="77"/>
      <c r="AL17" s="26"/>
      <c r="AM17" s="26"/>
      <c r="AN17" s="26"/>
      <c r="AO17" s="26"/>
      <c r="AP17" s="53"/>
    </row>
    <row r="18" spans="1:42" x14ac:dyDescent="0.2">
      <c r="A18" s="18"/>
      <c r="B18" s="19"/>
      <c r="C18" s="19"/>
      <c r="D18" s="19"/>
      <c r="E18" s="20"/>
      <c r="F18" s="19"/>
      <c r="G18" s="23"/>
      <c r="H18" s="24"/>
      <c r="I18" s="25"/>
      <c r="J18" s="21"/>
      <c r="K18" s="21"/>
      <c r="L18" s="21"/>
      <c r="M18" s="26"/>
      <c r="N18" s="26"/>
      <c r="O18" s="26"/>
      <c r="P18" s="26"/>
      <c r="Q18" s="26"/>
      <c r="S18" s="77"/>
      <c r="T18" s="77"/>
      <c r="U18" s="77"/>
      <c r="V18" s="77"/>
      <c r="W18" s="77"/>
      <c r="X18" s="77"/>
      <c r="Y18" s="22"/>
      <c r="Z18" s="25"/>
      <c r="AA18" s="25"/>
      <c r="AB18" s="23"/>
      <c r="AC18" s="24"/>
      <c r="AD18" s="25"/>
      <c r="AE18" s="77"/>
      <c r="AF18" s="77"/>
      <c r="AG18" s="77"/>
      <c r="AH18" s="77"/>
      <c r="AI18" s="77"/>
      <c r="AJ18" s="77"/>
      <c r="AK18" s="77"/>
      <c r="AL18" s="26"/>
      <c r="AM18" s="26"/>
      <c r="AN18" s="26"/>
      <c r="AO18" s="26"/>
      <c r="AP18" s="53"/>
    </row>
    <row r="19" spans="1:42" x14ac:dyDescent="0.2">
      <c r="A19" s="18"/>
      <c r="B19" s="19"/>
      <c r="C19" s="19"/>
      <c r="D19" s="19"/>
      <c r="E19" s="20"/>
      <c r="F19" s="19"/>
      <c r="G19" s="23"/>
      <c r="H19" s="24"/>
      <c r="I19" s="25"/>
      <c r="J19" s="21"/>
      <c r="K19" s="21"/>
      <c r="L19" s="21"/>
      <c r="M19" s="26"/>
      <c r="N19" s="26"/>
      <c r="O19" s="26"/>
      <c r="P19" s="26"/>
      <c r="Q19" s="26"/>
      <c r="S19" s="77"/>
      <c r="T19" s="77"/>
      <c r="U19" s="77"/>
      <c r="V19" s="77"/>
      <c r="W19" s="77"/>
      <c r="X19" s="77"/>
      <c r="Y19" s="22"/>
      <c r="Z19" s="25"/>
      <c r="AA19" s="25"/>
      <c r="AB19" s="23"/>
      <c r="AC19" s="24"/>
      <c r="AD19" s="25"/>
      <c r="AE19" s="77"/>
      <c r="AF19" s="77"/>
      <c r="AG19" s="77"/>
      <c r="AH19" s="77"/>
      <c r="AI19" s="77"/>
      <c r="AJ19" s="77"/>
      <c r="AK19" s="77"/>
      <c r="AL19" s="26"/>
      <c r="AM19" s="26"/>
      <c r="AN19" s="26"/>
      <c r="AO19" s="26"/>
      <c r="AP19" s="53"/>
    </row>
    <row r="20" spans="1:42" x14ac:dyDescent="0.2">
      <c r="A20" s="18"/>
      <c r="B20" s="19"/>
      <c r="C20" s="19"/>
      <c r="D20" s="19"/>
      <c r="E20" s="20"/>
      <c r="F20" s="19"/>
      <c r="G20" s="23"/>
      <c r="H20" s="24"/>
      <c r="I20" s="25"/>
      <c r="J20" s="21"/>
      <c r="K20" s="21"/>
      <c r="L20" s="21"/>
      <c r="M20" s="26"/>
      <c r="N20" s="26"/>
      <c r="O20" s="26"/>
      <c r="P20" s="26"/>
      <c r="Q20" s="26"/>
      <c r="S20" s="77"/>
      <c r="T20" s="77"/>
      <c r="U20" s="77"/>
      <c r="V20" s="77"/>
      <c r="W20" s="77"/>
      <c r="X20" s="77"/>
      <c r="Y20" s="22"/>
      <c r="Z20" s="25"/>
      <c r="AA20" s="25"/>
      <c r="AB20" s="23"/>
      <c r="AC20" s="24"/>
      <c r="AD20" s="25"/>
      <c r="AE20" s="77"/>
      <c r="AF20" s="77"/>
      <c r="AG20" s="77"/>
      <c r="AH20" s="77"/>
      <c r="AI20" s="77"/>
      <c r="AJ20" s="77"/>
      <c r="AK20" s="77"/>
      <c r="AL20" s="26"/>
      <c r="AM20" s="26"/>
      <c r="AN20" s="26"/>
      <c r="AO20" s="26"/>
      <c r="AP20" s="53"/>
    </row>
    <row r="21" spans="1:42" x14ac:dyDescent="0.2">
      <c r="A21" s="18"/>
      <c r="B21" s="19"/>
      <c r="C21" s="19"/>
      <c r="D21" s="19"/>
      <c r="E21" s="20"/>
      <c r="F21" s="19"/>
      <c r="G21" s="23"/>
      <c r="H21" s="24"/>
      <c r="I21" s="25"/>
      <c r="J21" s="21"/>
      <c r="K21" s="21"/>
      <c r="L21" s="21"/>
      <c r="M21" s="26"/>
      <c r="N21" s="26"/>
      <c r="O21" s="26"/>
      <c r="P21" s="26"/>
      <c r="Q21" s="26"/>
      <c r="S21" s="77"/>
      <c r="T21" s="77"/>
      <c r="U21" s="77"/>
      <c r="V21" s="77"/>
      <c r="W21" s="77"/>
      <c r="X21" s="77"/>
      <c r="Y21" s="22"/>
      <c r="Z21" s="25"/>
      <c r="AA21" s="25"/>
      <c r="AB21" s="23"/>
      <c r="AC21" s="24"/>
      <c r="AD21" s="25"/>
      <c r="AE21" s="77"/>
      <c r="AF21" s="77"/>
      <c r="AG21" s="77"/>
      <c r="AH21" s="77"/>
      <c r="AI21" s="77"/>
      <c r="AJ21" s="77"/>
      <c r="AK21" s="77"/>
      <c r="AL21" s="26"/>
      <c r="AM21" s="26"/>
      <c r="AN21" s="26"/>
      <c r="AO21" s="26"/>
      <c r="AP21" s="53"/>
    </row>
    <row r="22" spans="1:42" x14ac:dyDescent="0.2"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17"/>
      <c r="AE22" s="53"/>
      <c r="AF22" s="53"/>
      <c r="AG22" s="53"/>
      <c r="AH22" s="53"/>
      <c r="AI22" s="53"/>
      <c r="AJ22" s="53"/>
      <c r="AK22" s="53"/>
      <c r="AP22" s="53"/>
    </row>
    <row r="23" spans="1:42" x14ac:dyDescent="0.2"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17"/>
      <c r="AE23" s="53"/>
      <c r="AF23" s="53"/>
      <c r="AG23" s="53"/>
      <c r="AH23" s="53"/>
      <c r="AI23" s="53"/>
      <c r="AJ23" s="53"/>
      <c r="AK23" s="53"/>
      <c r="AP23" s="53"/>
    </row>
    <row r="24" spans="1:42" x14ac:dyDescent="0.2"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17"/>
      <c r="AE24" s="53"/>
      <c r="AF24" s="53"/>
      <c r="AG24" s="53"/>
      <c r="AH24" s="53"/>
      <c r="AI24" s="53"/>
      <c r="AJ24" s="53"/>
      <c r="AK24" s="53"/>
      <c r="AP24" s="53"/>
    </row>
  </sheetData>
  <sheetProtection algorithmName="SHA-512" hashValue="71xif36gkwlmhBYFHYL/LTd2WtBpW+pEzXyHHrLP3p5l48ZGy2A7FBHNBXp900d7kGcqMI3zwPH7zmKY/cc3dQ==" saltValue="lmjsJPTqY2lgOfXUc9h2IA==" spinCount="100000" sheet="1" objects="1" scenarios="1"/>
  <mergeCells count="1">
    <mergeCell ref="A1:Q1"/>
  </mergeCells>
  <phoneticPr fontId="8" type="noConversion"/>
  <pageMargins left="0.7" right="0.7" top="0.75" bottom="0.75" header="0.3" footer="0.3"/>
  <pageSetup paperSize="9" orientation="portrait" r:id="rId1"/>
  <ignoredErrors>
    <ignoredError sqref="N3 Q3 O3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5"/>
  <sheetViews>
    <sheetView workbookViewId="0">
      <selection activeCell="A3" sqref="A3:E12"/>
    </sheetView>
  </sheetViews>
  <sheetFormatPr defaultColWidth="9" defaultRowHeight="12.75" x14ac:dyDescent="0.2"/>
  <cols>
    <col min="1" max="1" width="8.625" style="13" customWidth="1"/>
    <col min="2" max="4" width="9" style="13" customWidth="1"/>
    <col min="5" max="5" width="12.125" style="13" customWidth="1"/>
    <col min="6" max="6" width="13.5" style="53" customWidth="1"/>
    <col min="7" max="7" width="8.125" style="53" customWidth="1"/>
    <col min="8" max="10" width="8.125" style="57" customWidth="1"/>
    <col min="11" max="11" width="7.125" style="13" customWidth="1"/>
    <col min="12" max="12" width="8.75" style="13" customWidth="1"/>
    <col min="13" max="13" width="10.25" style="13" customWidth="1"/>
    <col min="14" max="17" width="10.25" style="17" customWidth="1"/>
    <col min="18" max="18" width="14.625" style="17" customWidth="1"/>
    <col min="19" max="25" width="10.25" style="13" hidden="1" customWidth="1"/>
    <col min="26" max="26" width="10.25" style="51" hidden="1" customWidth="1"/>
    <col min="27" max="27" width="8" style="53" hidden="1" customWidth="1"/>
    <col min="28" max="33" width="8" style="13" hidden="1" customWidth="1"/>
    <col min="34" max="34" width="8.125" style="52" hidden="1" customWidth="1"/>
    <col min="35" max="38" width="10.25" style="51" hidden="1" customWidth="1"/>
    <col min="39" max="39" width="8.125" style="52" hidden="1" customWidth="1"/>
    <col min="40" max="16384" width="9" style="13"/>
  </cols>
  <sheetData>
    <row r="1" spans="1:40" s="6" customFormat="1" ht="42.95" customHeight="1" x14ac:dyDescent="0.2">
      <c r="A1" s="106" t="s">
        <v>50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2"/>
      <c r="S1" s="40"/>
      <c r="T1" s="40"/>
      <c r="U1" s="40"/>
      <c r="V1" s="40"/>
      <c r="W1" s="40"/>
      <c r="X1" s="40"/>
      <c r="Y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</row>
    <row r="2" spans="1:40" s="3" customFormat="1" ht="75" customHeight="1" x14ac:dyDescent="0.2">
      <c r="A2" s="54" t="s">
        <v>1</v>
      </c>
      <c r="B2" s="54" t="s">
        <v>8</v>
      </c>
      <c r="C2" s="54" t="s">
        <v>9</v>
      </c>
      <c r="D2" s="55" t="s">
        <v>10</v>
      </c>
      <c r="E2" s="56" t="s">
        <v>11</v>
      </c>
      <c r="F2" s="36" t="s">
        <v>52</v>
      </c>
      <c r="G2" s="36" t="s">
        <v>55</v>
      </c>
      <c r="H2" s="37" t="s">
        <v>57</v>
      </c>
      <c r="I2" s="36" t="s">
        <v>58</v>
      </c>
      <c r="J2" s="37" t="s">
        <v>56</v>
      </c>
      <c r="K2" s="56" t="s">
        <v>14</v>
      </c>
      <c r="L2" s="56" t="s">
        <v>15</v>
      </c>
      <c r="M2" s="54" t="s">
        <v>16</v>
      </c>
      <c r="N2" s="38" t="s">
        <v>45</v>
      </c>
      <c r="O2" s="72" t="s">
        <v>46</v>
      </c>
      <c r="P2" s="72" t="s">
        <v>47</v>
      </c>
      <c r="Q2" s="39" t="s">
        <v>48</v>
      </c>
      <c r="R2" s="39" t="s">
        <v>49</v>
      </c>
      <c r="S2" s="74" t="s">
        <v>17</v>
      </c>
      <c r="T2" s="74" t="s">
        <v>18</v>
      </c>
      <c r="U2" s="74" t="s">
        <v>19</v>
      </c>
      <c r="V2" s="74" t="s">
        <v>20</v>
      </c>
      <c r="W2" s="74" t="s">
        <v>21</v>
      </c>
      <c r="X2" s="74" t="s">
        <v>22</v>
      </c>
      <c r="Y2" s="74" t="s">
        <v>23</v>
      </c>
      <c r="Z2" s="4" t="s">
        <v>28</v>
      </c>
      <c r="AA2" s="7" t="s">
        <v>0</v>
      </c>
      <c r="AB2" s="75" t="s">
        <v>2</v>
      </c>
      <c r="AC2" s="75" t="s">
        <v>3</v>
      </c>
      <c r="AD2" s="76" t="s">
        <v>4</v>
      </c>
      <c r="AE2" s="76" t="s">
        <v>5</v>
      </c>
      <c r="AF2" s="76" t="s">
        <v>6</v>
      </c>
      <c r="AG2" s="76" t="s">
        <v>7</v>
      </c>
      <c r="AH2" s="5" t="s">
        <v>25</v>
      </c>
      <c r="AI2" s="38" t="s">
        <v>39</v>
      </c>
      <c r="AJ2" s="38" t="s">
        <v>24</v>
      </c>
      <c r="AK2" s="72" t="s">
        <v>26</v>
      </c>
      <c r="AL2" s="72" t="s">
        <v>27</v>
      </c>
      <c r="AM2" s="36" t="s">
        <v>44</v>
      </c>
      <c r="AN2" s="64"/>
    </row>
    <row r="3" spans="1:40" x14ac:dyDescent="0.2">
      <c r="A3" s="21"/>
      <c r="B3" s="19"/>
      <c r="C3" s="19"/>
      <c r="D3" s="19"/>
      <c r="E3" s="43"/>
      <c r="F3" s="44" t="str">
        <f t="shared" ref="F3:F5" si="0">IF(AND(A3=0,B3=0,C3=0,D3=0,E3=0),"",IF(AND(B3&lt;25,C3&lt;18,D3&lt;2,(A3+AB3)&lt;250),"小件",IF(AND(B3&lt;33,C3&lt;24,D3&lt;2.8,(A3+AB3)&lt;1000),"标准件类别1",IF(AND(B3&lt;45,C3&lt;35,D3&lt;20,AA3&lt;60,(A3+AC3)&lt;2000),"标准件类别2",IF(AND(B3&lt;45,C3&lt;35,D3&lt;20,AA3&lt;80,(A3+AC3)&lt;5000),"标准件类别3",IF(AND(B3&lt;45,C3&lt;35,D3&lt;20,AA3&lt;100,(A3+AC3)&lt;9000),"标准件类别4",IF(AND(OR(A3&gt;=9000,B3&gt;=45,C3&gt;=35,D3&gt;=20),AND(AA3&lt;60,(A3+AC3)&lt;2000)),"大件类别1",IF(AND(OR(A3&gt;=9000,B3&gt;=45,C3&gt;=35,D3&gt;=20),AND(AA3&lt;80,(A3+AC3)&lt;5000)),"大件类别2",IF(AND(OR(A3&gt;=9000,B3&gt;=45,C3&gt;=35,D3&gt;=20),AND(AA3&lt;100,(A3+AC3)&lt;10000)),"大件类别3",IF(AND(OR(A3&gt;=9000,B3&gt;=45,C3&gt;=35,D3&gt;=20),AND(AA3&lt;120,(A3+AD3)&lt;15000)),"大件类别4",IF(AND(OR(A3&gt;=9000,B3&gt;=45,C3&gt;=35,D3&gt;=20),AND(AA3&lt;140,(A3+AE3)&lt;20000)),"大件类别5",IF(AND(OR(A3&gt;=9000,B3&gt;=45,C3&gt;=35,D3&gt;=20),AND(AA3&lt;160,(A3+AF3)&lt;25000)),"大件类别6",IF(AND(B3&gt;=90,AA3&gt;=170),"不可使用FBA服务",IF(AND(OR(A3&gt;=9000,B3&gt;=45,C3&gt;=35,D3&gt;=20),AND(AA3&lt;180,(A3+AF3)&lt;30000)),"大件类别7",IF(AND(OR(A3&gt;=9000,B3&gt;=45,C3&gt;=35,D3&gt;=20),AND(AA3&lt;200,(A3+AG3)&lt;40000)),"大件类别8",IF(OR(A3&gt;=40000,AA3&gt;=200),"不可使用FBA服务"))))))))))))))))</f>
        <v/>
      </c>
      <c r="G3" s="45" t="str">
        <f>IF(F3="","",IF(F3="不可使用FBA服务","",IF(F3="小件","25",IF(F3="标准件类别1","25",IF(F3="标准件类别2","25",IF(F3="标准件类别3","25",IF(F3="标准件类别4","25",IF(F3="大件类别1","92",IF(F3="大件类别2","92",IF(F3="大件类别3","92",IF(F3="大件类别4","92",IF(F3="大件类别5","92",IF(F3="大件类别6","92",IF(F3="大件类别7","92",IF(F3="大件类别8","92")))))))))))))))</f>
        <v/>
      </c>
      <c r="H3" s="45" t="str">
        <f t="shared" ref="H3:H5" si="1">IF(G3="","",G3/E3)</f>
        <v/>
      </c>
      <c r="I3" s="45" t="str">
        <f>IF(F3="","",IF(F3="不可使用FBA服务","",IF(F3="小件","20",IF(F3="标准件类别1","20",IF(F3="标准件类别2","20",IF(F3="标准件类别3","20",IF(F3="标准件类别4","20",IF(F3="大件类别1","51",IF(F3="大件类别2","51",IF(F3="大件类别3","51",IF(F3="大件类别4","51",IF(F3="大件类别5","51",IF(F3="大件类别6","51",IF(F3="大件类别7","51",IF(F3="大件类别8","51")))))))))))))))</f>
        <v/>
      </c>
      <c r="J3" s="45" t="str">
        <f>IF(I3="","",I3/E3)</f>
        <v/>
      </c>
      <c r="K3" s="21"/>
      <c r="L3" s="21"/>
      <c r="M3" s="21"/>
      <c r="N3" s="46" t="str">
        <f t="shared" ref="N3:N5" si="2">IF(AND(K3=0,L3=0,M3=0),"",S3*U3/1000*K3/L3*M3)</f>
        <v/>
      </c>
      <c r="O3" s="47" t="str">
        <f t="shared" ref="O3:O5" si="3">IF(AND(K3=0,L3=0,M3=0),"",N3/E3)</f>
        <v/>
      </c>
      <c r="P3" s="46" t="str">
        <f t="shared" ref="P3:P5" si="4">IF(AND(K3=0,L3=0,M3=0),"",T3*U3/1000*K3/L3*M3)</f>
        <v/>
      </c>
      <c r="Q3" s="46" t="str">
        <f t="shared" ref="Q3:Q5" si="5">IF(AND(K3=0,L3=0,M3=0),"",P3/E3)</f>
        <v/>
      </c>
      <c r="R3" s="46" t="str">
        <f t="shared" ref="R3:R5" si="6">IF(AND(K3=0,L3=0,M3=0),"",B3*C3*D3/1000*M3*17.45/E3)</f>
        <v/>
      </c>
      <c r="S3" s="77" t="b">
        <f t="shared" ref="S3:S5" si="7">IF(OR(F3="小件",F3="标准件类别1",F3="标准件类别2",F3="标准件类别3",F3="标准件类别4"),"5.07",IF(OR(F3="大件类别1",F3="大件类别2",F3="大件类别3",F3="大件类别4",F3="大件类别5",F3="大件类别6",F3="大件类别7",F3="大件类别8"),"4.29"))</f>
        <v>0</v>
      </c>
      <c r="T3" s="77" t="b">
        <f t="shared" ref="T3:T5" si="8">IF(OR(F3="小件",F3="标准件类别1",F3="标准件类别2",F3="标准件类别3",F3="标准件类别4"),"9",IF(OR(F3="大件类别1",F3="大件类别2",F3="大件类别3",F3="大件类别4",F3="大件类别5",F3="大件类别6",F3="大件类别7",F3="大件类别8"),"7.615"))</f>
        <v>0</v>
      </c>
      <c r="U3" s="77">
        <f t="shared" ref="U3:U5" si="9">B3*C3*D3</f>
        <v>0</v>
      </c>
      <c r="V3" s="77">
        <f>S3*U3/1000</f>
        <v>0</v>
      </c>
      <c r="W3" s="77" t="e">
        <f t="shared" ref="W3:W5" si="10">V3/E3</f>
        <v>#DIV/0!</v>
      </c>
      <c r="X3" s="77">
        <f>T3*U3/1000</f>
        <v>0</v>
      </c>
      <c r="Y3" s="77" t="e">
        <f t="shared" ref="Y3:Y5" si="11">X3/E3</f>
        <v>#DIV/0!</v>
      </c>
      <c r="Z3" s="46" t="e">
        <f>R3/108*110</f>
        <v>#VALUE!</v>
      </c>
      <c r="AA3" s="48">
        <f t="shared" ref="AA3:AA5" si="12">B3+C3+D3</f>
        <v>0</v>
      </c>
      <c r="AB3" s="78">
        <v>50</v>
      </c>
      <c r="AC3" s="78">
        <v>150</v>
      </c>
      <c r="AD3" s="79">
        <v>500</v>
      </c>
      <c r="AE3" s="77">
        <v>700</v>
      </c>
      <c r="AF3" s="77">
        <v>1200</v>
      </c>
      <c r="AG3" s="77">
        <v>1400</v>
      </c>
      <c r="AH3" s="49" t="e">
        <f t="shared" ref="AH3:AH5" si="13">H3/108*110</f>
        <v>#VALUE!</v>
      </c>
      <c r="AI3" s="46" t="e">
        <f t="shared" ref="AI3:AL5" si="14">N3/108*110</f>
        <v>#VALUE!</v>
      </c>
      <c r="AJ3" s="50" t="e">
        <f t="shared" si="14"/>
        <v>#VALUE!</v>
      </c>
      <c r="AK3" s="46" t="e">
        <f t="shared" si="14"/>
        <v>#VALUE!</v>
      </c>
      <c r="AL3" s="46" t="e">
        <f t="shared" si="14"/>
        <v>#VALUE!</v>
      </c>
      <c r="AM3" s="45" t="e">
        <f t="shared" ref="AM3:AM5" si="15">G3/108*110</f>
        <v>#VALUE!</v>
      </c>
      <c r="AN3" s="53"/>
    </row>
    <row r="4" spans="1:40" x14ac:dyDescent="0.2">
      <c r="A4" s="21"/>
      <c r="B4" s="19"/>
      <c r="C4" s="19"/>
      <c r="D4" s="19"/>
      <c r="E4" s="43"/>
      <c r="F4" s="44" t="str">
        <f t="shared" si="0"/>
        <v/>
      </c>
      <c r="G4" s="45" t="str">
        <f t="shared" ref="G4:G5" si="16">IF(F4="","",IF(F4="不可使用FBA服务","",IF(F4="小件","550",IF(F4="标准件类别1","575",IF(F4="标准件类别2","700",IF(F4="标准件类别3","725",IF(F4="标准件类别4","775",IF(F4="大件类别1","800",IF(F4="大件类别2","850",IF(F4="大件类别3","900",IF(F4="大件类别4","1000",IF(F4="大件类别5","1050",IF(F4="大件类别6","1100",IF(F4="大件类别7","1575",IF(F4="大件类别8","1600")))))))))))))))</f>
        <v/>
      </c>
      <c r="H4" s="45" t="str">
        <f t="shared" si="1"/>
        <v/>
      </c>
      <c r="I4" s="45" t="str">
        <f t="shared" ref="I4:I5" si="17">IF(F4="","",IF(F4="不可使用FBA服务","",IF(F4="小件","625",IF(F4="标准件类别1","650",IF(F4="标准件类别2","725",IF(F4="标准件类别3","750",IF(F4="标准件类别4","800",IF(F4="大件类别1","825",IF(F4="大件类别2","875",IF(F4="大件类别3","925",IF(F4="大件类别4","1025",IF(F4="大件类别5","1075",IF(F4="大件类别6","1125",IF(F4="大件类别7","1600",IF(F4="大件类别8","1625")))))))))))))))</f>
        <v/>
      </c>
      <c r="J4" s="45" t="str">
        <f t="shared" ref="J4:J5" si="18">IF(I4="","",I4/E4)</f>
        <v/>
      </c>
      <c r="K4" s="21"/>
      <c r="L4" s="21"/>
      <c r="M4" s="21"/>
      <c r="N4" s="46" t="str">
        <f t="shared" si="2"/>
        <v/>
      </c>
      <c r="O4" s="47" t="str">
        <f t="shared" si="3"/>
        <v/>
      </c>
      <c r="P4" s="46" t="str">
        <f t="shared" si="4"/>
        <v/>
      </c>
      <c r="Q4" s="46" t="str">
        <f t="shared" si="5"/>
        <v/>
      </c>
      <c r="R4" s="46" t="str">
        <f t="shared" si="6"/>
        <v/>
      </c>
      <c r="S4" s="77" t="b">
        <f t="shared" si="7"/>
        <v>0</v>
      </c>
      <c r="T4" s="77" t="b">
        <f t="shared" si="8"/>
        <v>0</v>
      </c>
      <c r="U4" s="77">
        <f t="shared" si="9"/>
        <v>0</v>
      </c>
      <c r="V4" s="77">
        <f t="shared" ref="V4:V5" si="19">S4*U4/1000</f>
        <v>0</v>
      </c>
      <c r="W4" s="77" t="e">
        <f t="shared" si="10"/>
        <v>#DIV/0!</v>
      </c>
      <c r="X4" s="77">
        <f t="shared" ref="X4:X5" si="20">T4*U4/1000</f>
        <v>0</v>
      </c>
      <c r="Y4" s="77" t="e">
        <f t="shared" si="11"/>
        <v>#DIV/0!</v>
      </c>
      <c r="Z4" s="17"/>
      <c r="AA4" s="48">
        <f t="shared" si="12"/>
        <v>0</v>
      </c>
      <c r="AB4" s="78">
        <v>50</v>
      </c>
      <c r="AC4" s="78">
        <v>150</v>
      </c>
      <c r="AD4" s="79">
        <v>500</v>
      </c>
      <c r="AE4" s="77">
        <v>700</v>
      </c>
      <c r="AF4" s="77">
        <v>1200</v>
      </c>
      <c r="AG4" s="77">
        <v>1400</v>
      </c>
      <c r="AH4" s="49" t="e">
        <f t="shared" si="13"/>
        <v>#VALUE!</v>
      </c>
      <c r="AI4" s="46" t="e">
        <f t="shared" si="14"/>
        <v>#VALUE!</v>
      </c>
      <c r="AJ4" s="50" t="e">
        <f t="shared" si="14"/>
        <v>#VALUE!</v>
      </c>
      <c r="AK4" s="46" t="e">
        <f t="shared" si="14"/>
        <v>#VALUE!</v>
      </c>
      <c r="AL4" s="46" t="e">
        <f t="shared" si="14"/>
        <v>#VALUE!</v>
      </c>
      <c r="AM4" s="45" t="e">
        <f t="shared" si="15"/>
        <v>#VALUE!</v>
      </c>
      <c r="AN4" s="53"/>
    </row>
    <row r="5" spans="1:40" x14ac:dyDescent="0.2">
      <c r="A5" s="21"/>
      <c r="B5" s="19"/>
      <c r="C5" s="19"/>
      <c r="D5" s="19"/>
      <c r="E5" s="43"/>
      <c r="F5" s="44" t="str">
        <f t="shared" si="0"/>
        <v/>
      </c>
      <c r="G5" s="45" t="str">
        <f t="shared" si="16"/>
        <v/>
      </c>
      <c r="H5" s="45" t="str">
        <f t="shared" si="1"/>
        <v/>
      </c>
      <c r="I5" s="45" t="str">
        <f t="shared" si="17"/>
        <v/>
      </c>
      <c r="J5" s="45" t="str">
        <f t="shared" si="18"/>
        <v/>
      </c>
      <c r="K5" s="21"/>
      <c r="L5" s="21"/>
      <c r="M5" s="21"/>
      <c r="N5" s="46" t="str">
        <f t="shared" si="2"/>
        <v/>
      </c>
      <c r="O5" s="47" t="str">
        <f t="shared" si="3"/>
        <v/>
      </c>
      <c r="P5" s="46" t="str">
        <f t="shared" si="4"/>
        <v/>
      </c>
      <c r="Q5" s="46" t="str">
        <f t="shared" si="5"/>
        <v/>
      </c>
      <c r="R5" s="46" t="str">
        <f t="shared" si="6"/>
        <v/>
      </c>
      <c r="S5" s="77" t="b">
        <f t="shared" si="7"/>
        <v>0</v>
      </c>
      <c r="T5" s="77" t="b">
        <f t="shared" si="8"/>
        <v>0</v>
      </c>
      <c r="U5" s="77">
        <f t="shared" si="9"/>
        <v>0</v>
      </c>
      <c r="V5" s="77">
        <f t="shared" si="19"/>
        <v>0</v>
      </c>
      <c r="W5" s="77" t="e">
        <f t="shared" si="10"/>
        <v>#DIV/0!</v>
      </c>
      <c r="X5" s="77">
        <f t="shared" si="20"/>
        <v>0</v>
      </c>
      <c r="Y5" s="77" t="e">
        <f t="shared" si="11"/>
        <v>#DIV/0!</v>
      </c>
      <c r="Z5" s="17"/>
      <c r="AA5" s="48">
        <f t="shared" si="12"/>
        <v>0</v>
      </c>
      <c r="AB5" s="78">
        <v>50</v>
      </c>
      <c r="AC5" s="78">
        <v>150</v>
      </c>
      <c r="AD5" s="79">
        <v>500</v>
      </c>
      <c r="AE5" s="77">
        <v>700</v>
      </c>
      <c r="AF5" s="77">
        <v>1200</v>
      </c>
      <c r="AG5" s="77">
        <v>1400</v>
      </c>
      <c r="AH5" s="49" t="e">
        <f t="shared" si="13"/>
        <v>#VALUE!</v>
      </c>
      <c r="AI5" s="46" t="e">
        <f t="shared" si="14"/>
        <v>#VALUE!</v>
      </c>
      <c r="AJ5" s="50" t="e">
        <f t="shared" si="14"/>
        <v>#VALUE!</v>
      </c>
      <c r="AK5" s="46" t="e">
        <f t="shared" si="14"/>
        <v>#VALUE!</v>
      </c>
      <c r="AL5" s="46" t="e">
        <f t="shared" si="14"/>
        <v>#VALUE!</v>
      </c>
      <c r="AM5" s="45" t="e">
        <f t="shared" si="15"/>
        <v>#VALUE!</v>
      </c>
      <c r="AN5" s="53"/>
    </row>
    <row r="6" spans="1:40" x14ac:dyDescent="0.2">
      <c r="A6" s="21"/>
      <c r="B6" s="19"/>
      <c r="C6" s="19"/>
      <c r="D6" s="19"/>
      <c r="E6" s="43"/>
      <c r="F6" s="44"/>
      <c r="G6" s="45"/>
      <c r="H6" s="45"/>
      <c r="I6" s="45"/>
      <c r="J6" s="45"/>
      <c r="K6" s="21"/>
      <c r="L6" s="21"/>
      <c r="M6" s="21"/>
      <c r="N6" s="46"/>
      <c r="O6" s="47"/>
      <c r="P6" s="46"/>
      <c r="Q6" s="46"/>
      <c r="R6" s="46"/>
      <c r="S6" s="77"/>
      <c r="T6" s="77"/>
      <c r="U6" s="77"/>
      <c r="V6" s="77"/>
      <c r="W6" s="77"/>
      <c r="X6" s="77"/>
      <c r="Y6" s="77"/>
      <c r="Z6" s="17"/>
      <c r="AA6" s="48"/>
      <c r="AB6" s="78"/>
      <c r="AC6" s="78"/>
      <c r="AD6" s="79"/>
      <c r="AE6" s="77"/>
      <c r="AF6" s="77"/>
      <c r="AG6" s="77"/>
      <c r="AH6" s="49"/>
      <c r="AI6" s="46"/>
      <c r="AJ6" s="50"/>
      <c r="AK6" s="46"/>
      <c r="AL6" s="46"/>
      <c r="AM6" s="45"/>
      <c r="AN6" s="53"/>
    </row>
    <row r="7" spans="1:40" x14ac:dyDescent="0.2">
      <c r="A7" s="21"/>
      <c r="B7" s="19"/>
      <c r="C7" s="19"/>
      <c r="D7" s="19"/>
      <c r="E7" s="43"/>
      <c r="F7" s="44"/>
      <c r="G7" s="45"/>
      <c r="H7" s="45"/>
      <c r="I7" s="45"/>
      <c r="J7" s="45"/>
      <c r="K7" s="21"/>
      <c r="L7" s="21"/>
      <c r="M7" s="21"/>
      <c r="N7" s="46"/>
      <c r="O7" s="47"/>
      <c r="P7" s="46"/>
      <c r="Q7" s="46"/>
      <c r="R7" s="46"/>
      <c r="S7" s="77"/>
      <c r="T7" s="77"/>
      <c r="U7" s="77"/>
      <c r="V7" s="77"/>
      <c r="W7" s="77"/>
      <c r="X7" s="77"/>
      <c r="Y7" s="77"/>
      <c r="Z7" s="17"/>
      <c r="AA7" s="48"/>
      <c r="AB7" s="78"/>
      <c r="AC7" s="78"/>
      <c r="AD7" s="79"/>
      <c r="AE7" s="77"/>
      <c r="AF7" s="77"/>
      <c r="AG7" s="77"/>
      <c r="AH7" s="49"/>
      <c r="AI7" s="46"/>
      <c r="AJ7" s="50"/>
      <c r="AK7" s="46"/>
      <c r="AL7" s="46"/>
      <c r="AM7" s="45"/>
      <c r="AN7" s="53"/>
    </row>
    <row r="8" spans="1:40" x14ac:dyDescent="0.2">
      <c r="A8" s="21"/>
      <c r="B8" s="19"/>
      <c r="C8" s="19"/>
      <c r="D8" s="19"/>
      <c r="E8" s="43"/>
      <c r="F8" s="44"/>
      <c r="G8" s="45"/>
      <c r="H8" s="45"/>
      <c r="I8" s="45"/>
      <c r="J8" s="45"/>
      <c r="K8" s="21"/>
      <c r="L8" s="21"/>
      <c r="M8" s="21"/>
      <c r="N8" s="46"/>
      <c r="O8" s="47"/>
      <c r="P8" s="46"/>
      <c r="Q8" s="46"/>
      <c r="R8" s="46"/>
      <c r="S8" s="77"/>
      <c r="T8" s="77"/>
      <c r="U8" s="77"/>
      <c r="V8" s="77"/>
      <c r="W8" s="77"/>
      <c r="X8" s="77"/>
      <c r="Y8" s="77"/>
      <c r="Z8" s="17"/>
      <c r="AA8" s="48"/>
      <c r="AB8" s="78"/>
      <c r="AC8" s="78"/>
      <c r="AD8" s="79"/>
      <c r="AE8" s="77"/>
      <c r="AF8" s="77"/>
      <c r="AG8" s="77"/>
      <c r="AH8" s="49"/>
      <c r="AI8" s="46"/>
      <c r="AJ8" s="50"/>
      <c r="AK8" s="46"/>
      <c r="AL8" s="46"/>
      <c r="AM8" s="45"/>
      <c r="AN8" s="53"/>
    </row>
    <row r="9" spans="1:40" x14ac:dyDescent="0.2">
      <c r="A9" s="21"/>
      <c r="B9" s="19"/>
      <c r="C9" s="19"/>
      <c r="D9" s="19"/>
      <c r="E9" s="43"/>
      <c r="F9" s="44"/>
      <c r="G9" s="45"/>
      <c r="H9" s="45"/>
      <c r="I9" s="45"/>
      <c r="J9" s="45"/>
      <c r="K9" s="21"/>
      <c r="L9" s="21"/>
      <c r="M9" s="21"/>
      <c r="N9" s="46"/>
      <c r="O9" s="47"/>
      <c r="P9" s="46"/>
      <c r="Q9" s="46"/>
      <c r="R9" s="46"/>
      <c r="S9" s="77"/>
      <c r="T9" s="77"/>
      <c r="U9" s="77"/>
      <c r="V9" s="77"/>
      <c r="W9" s="77"/>
      <c r="X9" s="77"/>
      <c r="Y9" s="77"/>
      <c r="Z9" s="17"/>
      <c r="AA9" s="48"/>
      <c r="AB9" s="78"/>
      <c r="AC9" s="78"/>
      <c r="AD9" s="79"/>
      <c r="AE9" s="77"/>
      <c r="AF9" s="77"/>
      <c r="AG9" s="77"/>
      <c r="AH9" s="49"/>
      <c r="AI9" s="46"/>
      <c r="AJ9" s="50"/>
      <c r="AK9" s="46"/>
      <c r="AL9" s="46"/>
      <c r="AM9" s="45"/>
      <c r="AN9" s="53"/>
    </row>
    <row r="10" spans="1:40" x14ac:dyDescent="0.2">
      <c r="A10" s="21"/>
      <c r="B10" s="19"/>
      <c r="C10" s="19"/>
      <c r="D10" s="19"/>
      <c r="E10" s="43"/>
      <c r="F10" s="44"/>
      <c r="G10" s="45"/>
      <c r="H10" s="45"/>
      <c r="I10" s="45"/>
      <c r="J10" s="45"/>
      <c r="K10" s="21"/>
      <c r="L10" s="21"/>
      <c r="M10" s="21"/>
      <c r="N10" s="46"/>
      <c r="O10" s="47"/>
      <c r="P10" s="46"/>
      <c r="Q10" s="46"/>
      <c r="R10" s="46"/>
      <c r="S10" s="77"/>
      <c r="T10" s="77"/>
      <c r="U10" s="77"/>
      <c r="V10" s="77"/>
      <c r="W10" s="77"/>
      <c r="X10" s="77"/>
      <c r="Y10" s="77"/>
      <c r="Z10" s="17"/>
      <c r="AA10" s="48"/>
      <c r="AB10" s="78"/>
      <c r="AC10" s="78"/>
      <c r="AD10" s="79"/>
      <c r="AE10" s="77"/>
      <c r="AF10" s="77"/>
      <c r="AG10" s="77"/>
      <c r="AH10" s="49"/>
      <c r="AI10" s="46"/>
      <c r="AJ10" s="50"/>
      <c r="AK10" s="46"/>
      <c r="AL10" s="46"/>
      <c r="AM10" s="45"/>
      <c r="AN10" s="53"/>
    </row>
    <row r="11" spans="1:40" x14ac:dyDescent="0.2">
      <c r="A11" s="21"/>
      <c r="B11" s="19"/>
      <c r="C11" s="19"/>
      <c r="D11" s="19"/>
      <c r="E11" s="43"/>
      <c r="F11" s="44"/>
      <c r="G11" s="45"/>
      <c r="H11" s="45"/>
      <c r="I11" s="45"/>
      <c r="J11" s="45"/>
      <c r="K11" s="21"/>
      <c r="L11" s="21"/>
      <c r="M11" s="21"/>
      <c r="N11" s="46"/>
      <c r="O11" s="47"/>
      <c r="P11" s="46"/>
      <c r="Q11" s="46"/>
      <c r="R11" s="46"/>
      <c r="S11" s="77"/>
      <c r="T11" s="77"/>
      <c r="U11" s="77"/>
      <c r="V11" s="77"/>
      <c r="W11" s="77"/>
      <c r="X11" s="77"/>
      <c r="Y11" s="77"/>
      <c r="Z11" s="17"/>
      <c r="AA11" s="48"/>
      <c r="AB11" s="78"/>
      <c r="AC11" s="78"/>
      <c r="AD11" s="79"/>
      <c r="AE11" s="77"/>
      <c r="AF11" s="77"/>
      <c r="AG11" s="77"/>
      <c r="AH11" s="49"/>
      <c r="AI11" s="46"/>
      <c r="AJ11" s="50"/>
      <c r="AK11" s="46"/>
      <c r="AL11" s="46"/>
      <c r="AM11" s="45"/>
      <c r="AN11" s="53"/>
    </row>
    <row r="12" spans="1:40" x14ac:dyDescent="0.2">
      <c r="A12" s="21"/>
      <c r="B12" s="19"/>
      <c r="C12" s="19"/>
      <c r="D12" s="19"/>
      <c r="E12" s="43"/>
      <c r="F12" s="44"/>
      <c r="G12" s="45"/>
      <c r="H12" s="45"/>
      <c r="I12" s="45"/>
      <c r="J12" s="45"/>
      <c r="K12" s="21"/>
      <c r="L12" s="21"/>
      <c r="M12" s="21"/>
      <c r="N12" s="46"/>
      <c r="O12" s="47"/>
      <c r="P12" s="46"/>
      <c r="Q12" s="46"/>
      <c r="R12" s="46"/>
      <c r="S12" s="77"/>
      <c r="T12" s="77"/>
      <c r="U12" s="77"/>
      <c r="V12" s="77"/>
      <c r="W12" s="77"/>
      <c r="X12" s="77"/>
      <c r="Y12" s="77"/>
      <c r="Z12" s="17"/>
      <c r="AA12" s="48"/>
      <c r="AB12" s="78"/>
      <c r="AC12" s="78"/>
      <c r="AD12" s="79"/>
      <c r="AE12" s="77"/>
      <c r="AF12" s="77"/>
      <c r="AG12" s="77"/>
      <c r="AH12" s="49"/>
      <c r="AI12" s="46"/>
      <c r="AJ12" s="50"/>
      <c r="AK12" s="46"/>
      <c r="AL12" s="46"/>
      <c r="AM12" s="45"/>
      <c r="AN12" s="53"/>
    </row>
    <row r="13" spans="1:40" x14ac:dyDescent="0.2">
      <c r="A13" s="21"/>
      <c r="B13" s="19"/>
      <c r="C13" s="19"/>
      <c r="D13" s="19"/>
      <c r="E13" s="43"/>
      <c r="F13" s="44"/>
      <c r="G13" s="45"/>
      <c r="H13" s="45"/>
      <c r="I13" s="45"/>
      <c r="J13" s="45"/>
      <c r="K13" s="21"/>
      <c r="L13" s="21"/>
      <c r="M13" s="21"/>
      <c r="N13" s="46"/>
      <c r="O13" s="47"/>
      <c r="P13" s="46"/>
      <c r="Q13" s="46"/>
      <c r="R13" s="46"/>
      <c r="S13" s="77"/>
      <c r="T13" s="77"/>
      <c r="U13" s="77"/>
      <c r="V13" s="77"/>
      <c r="W13" s="77"/>
      <c r="X13" s="77"/>
      <c r="Y13" s="77"/>
      <c r="Z13" s="17"/>
      <c r="AA13" s="48"/>
      <c r="AB13" s="78"/>
      <c r="AC13" s="78"/>
      <c r="AD13" s="79"/>
      <c r="AE13" s="77"/>
      <c r="AF13" s="77"/>
      <c r="AG13" s="77"/>
      <c r="AH13" s="49"/>
      <c r="AI13" s="46"/>
      <c r="AJ13" s="50"/>
      <c r="AK13" s="46"/>
      <c r="AL13" s="46"/>
      <c r="AM13" s="45"/>
      <c r="AN13" s="53"/>
    </row>
    <row r="14" spans="1:40" x14ac:dyDescent="0.2">
      <c r="A14" s="21"/>
      <c r="B14" s="19"/>
      <c r="C14" s="19"/>
      <c r="D14" s="19"/>
      <c r="E14" s="43"/>
      <c r="F14" s="44"/>
      <c r="G14" s="45"/>
      <c r="H14" s="45"/>
      <c r="I14" s="45"/>
      <c r="J14" s="45"/>
      <c r="K14" s="21"/>
      <c r="L14" s="21"/>
      <c r="M14" s="21"/>
      <c r="N14" s="46"/>
      <c r="O14" s="47"/>
      <c r="P14" s="46"/>
      <c r="Q14" s="46"/>
      <c r="R14" s="46"/>
      <c r="S14" s="77"/>
      <c r="T14" s="77"/>
      <c r="U14" s="77"/>
      <c r="V14" s="77"/>
      <c r="W14" s="77"/>
      <c r="X14" s="77"/>
      <c r="Y14" s="77"/>
      <c r="Z14" s="17"/>
      <c r="AA14" s="48"/>
      <c r="AB14" s="78"/>
      <c r="AC14" s="78"/>
      <c r="AD14" s="79"/>
      <c r="AE14" s="77"/>
      <c r="AF14" s="77"/>
      <c r="AG14" s="77"/>
      <c r="AH14" s="49"/>
      <c r="AI14" s="46"/>
      <c r="AJ14" s="50"/>
      <c r="AK14" s="46"/>
      <c r="AL14" s="46"/>
      <c r="AM14" s="45"/>
      <c r="AN14" s="53"/>
    </row>
    <row r="15" spans="1:40" x14ac:dyDescent="0.2">
      <c r="A15" s="21"/>
      <c r="B15" s="19"/>
      <c r="C15" s="19"/>
      <c r="D15" s="19"/>
      <c r="E15" s="43"/>
      <c r="F15" s="44"/>
      <c r="G15" s="45"/>
      <c r="H15" s="45"/>
      <c r="I15" s="45"/>
      <c r="J15" s="45"/>
      <c r="K15" s="21"/>
      <c r="L15" s="21"/>
      <c r="M15" s="21"/>
      <c r="N15" s="46"/>
      <c r="O15" s="47"/>
      <c r="P15" s="46"/>
      <c r="Q15" s="46"/>
      <c r="R15" s="46"/>
      <c r="S15" s="77"/>
      <c r="T15" s="77"/>
      <c r="U15" s="77"/>
      <c r="V15" s="77"/>
      <c r="W15" s="77"/>
      <c r="X15" s="77"/>
      <c r="Y15" s="77"/>
      <c r="Z15" s="17"/>
      <c r="AA15" s="48"/>
      <c r="AB15" s="78"/>
      <c r="AC15" s="78"/>
      <c r="AD15" s="79"/>
      <c r="AE15" s="77"/>
      <c r="AF15" s="77"/>
      <c r="AG15" s="77"/>
      <c r="AH15" s="49"/>
      <c r="AI15" s="46"/>
      <c r="AJ15" s="50"/>
      <c r="AK15" s="46"/>
      <c r="AL15" s="46"/>
      <c r="AM15" s="45"/>
      <c r="AN15" s="53"/>
    </row>
    <row r="16" spans="1:40" x14ac:dyDescent="0.2">
      <c r="A16" s="21"/>
      <c r="B16" s="19"/>
      <c r="C16" s="19"/>
      <c r="D16" s="19"/>
      <c r="E16" s="43"/>
      <c r="F16" s="44"/>
      <c r="G16" s="45"/>
      <c r="H16" s="45"/>
      <c r="I16" s="45"/>
      <c r="J16" s="45"/>
      <c r="K16" s="21"/>
      <c r="L16" s="21"/>
      <c r="M16" s="21"/>
      <c r="N16" s="46"/>
      <c r="O16" s="47"/>
      <c r="P16" s="46"/>
      <c r="Q16" s="46"/>
      <c r="R16" s="46"/>
      <c r="S16" s="77"/>
      <c r="T16" s="77"/>
      <c r="U16" s="77"/>
      <c r="V16" s="77"/>
      <c r="W16" s="77"/>
      <c r="X16" s="77"/>
      <c r="Y16" s="77"/>
      <c r="Z16" s="17"/>
      <c r="AA16" s="48"/>
      <c r="AB16" s="78"/>
      <c r="AC16" s="78"/>
      <c r="AD16" s="79"/>
      <c r="AE16" s="77"/>
      <c r="AF16" s="77"/>
      <c r="AG16" s="77"/>
      <c r="AH16" s="49"/>
      <c r="AI16" s="46"/>
      <c r="AJ16" s="50"/>
      <c r="AK16" s="46"/>
      <c r="AL16" s="46"/>
      <c r="AM16" s="45"/>
      <c r="AN16" s="53"/>
    </row>
    <row r="17" spans="1:40" x14ac:dyDescent="0.2">
      <c r="A17" s="21"/>
      <c r="B17" s="19"/>
      <c r="C17" s="19"/>
      <c r="D17" s="19"/>
      <c r="E17" s="43"/>
      <c r="F17" s="44"/>
      <c r="G17" s="45"/>
      <c r="H17" s="45"/>
      <c r="I17" s="45"/>
      <c r="J17" s="45"/>
      <c r="K17" s="21"/>
      <c r="L17" s="21"/>
      <c r="M17" s="21"/>
      <c r="N17" s="46"/>
      <c r="O17" s="47"/>
      <c r="P17" s="46"/>
      <c r="Q17" s="46"/>
      <c r="R17" s="46"/>
      <c r="S17" s="77"/>
      <c r="T17" s="77"/>
      <c r="U17" s="77"/>
      <c r="V17" s="77"/>
      <c r="W17" s="77"/>
      <c r="X17" s="77"/>
      <c r="Y17" s="77"/>
      <c r="Z17" s="17"/>
      <c r="AA17" s="48"/>
      <c r="AB17" s="78"/>
      <c r="AC17" s="78"/>
      <c r="AD17" s="79"/>
      <c r="AE17" s="77"/>
      <c r="AF17" s="77"/>
      <c r="AG17" s="77"/>
      <c r="AH17" s="49"/>
      <c r="AI17" s="46"/>
      <c r="AJ17" s="50"/>
      <c r="AK17" s="46"/>
      <c r="AL17" s="46"/>
      <c r="AM17" s="45"/>
      <c r="AN17" s="53"/>
    </row>
    <row r="18" spans="1:40" x14ac:dyDescent="0.2">
      <c r="A18" s="21"/>
      <c r="B18" s="19"/>
      <c r="C18" s="19"/>
      <c r="D18" s="19"/>
      <c r="E18" s="43"/>
      <c r="F18" s="44"/>
      <c r="G18" s="45"/>
      <c r="H18" s="45"/>
      <c r="I18" s="45"/>
      <c r="J18" s="45"/>
      <c r="K18" s="21"/>
      <c r="L18" s="21"/>
      <c r="M18" s="21"/>
      <c r="N18" s="46"/>
      <c r="O18" s="47"/>
      <c r="P18" s="46"/>
      <c r="Q18" s="46"/>
      <c r="R18" s="46"/>
      <c r="S18" s="77"/>
      <c r="T18" s="77"/>
      <c r="U18" s="77"/>
      <c r="V18" s="77"/>
      <c r="W18" s="77"/>
      <c r="X18" s="77"/>
      <c r="Y18" s="77"/>
      <c r="Z18" s="17"/>
      <c r="AA18" s="48"/>
      <c r="AB18" s="78"/>
      <c r="AC18" s="78"/>
      <c r="AD18" s="79"/>
      <c r="AE18" s="77"/>
      <c r="AF18" s="77"/>
      <c r="AG18" s="77"/>
      <c r="AH18" s="49"/>
      <c r="AI18" s="46"/>
      <c r="AJ18" s="50"/>
      <c r="AK18" s="46"/>
      <c r="AL18" s="46"/>
      <c r="AM18" s="45"/>
      <c r="AN18" s="53"/>
    </row>
    <row r="19" spans="1:40" x14ac:dyDescent="0.2">
      <c r="A19" s="21"/>
      <c r="B19" s="19"/>
      <c r="C19" s="19"/>
      <c r="D19" s="19"/>
      <c r="E19" s="43"/>
      <c r="F19" s="44"/>
      <c r="G19" s="45"/>
      <c r="H19" s="45"/>
      <c r="I19" s="45"/>
      <c r="J19" s="45"/>
      <c r="K19" s="21"/>
      <c r="L19" s="21"/>
      <c r="M19" s="21"/>
      <c r="N19" s="46"/>
      <c r="O19" s="47"/>
      <c r="P19" s="46"/>
      <c r="Q19" s="46"/>
      <c r="R19" s="46"/>
      <c r="S19" s="77"/>
      <c r="T19" s="77"/>
      <c r="U19" s="77"/>
      <c r="V19" s="77"/>
      <c r="W19" s="77"/>
      <c r="X19" s="77"/>
      <c r="Y19" s="77"/>
      <c r="Z19" s="17"/>
      <c r="AA19" s="48"/>
      <c r="AB19" s="78"/>
      <c r="AC19" s="78"/>
      <c r="AD19" s="79"/>
      <c r="AE19" s="77"/>
      <c r="AF19" s="77"/>
      <c r="AG19" s="77"/>
      <c r="AH19" s="49"/>
      <c r="AI19" s="46"/>
      <c r="AJ19" s="50"/>
      <c r="AK19" s="46"/>
      <c r="AL19" s="46"/>
      <c r="AM19" s="45"/>
      <c r="AN19" s="53"/>
    </row>
    <row r="20" spans="1:40" x14ac:dyDescent="0.2">
      <c r="A20" s="21"/>
      <c r="B20" s="19"/>
      <c r="C20" s="19"/>
      <c r="D20" s="19"/>
      <c r="E20" s="43"/>
      <c r="F20" s="44"/>
      <c r="G20" s="45"/>
      <c r="H20" s="45"/>
      <c r="I20" s="45"/>
      <c r="J20" s="45"/>
      <c r="K20" s="21"/>
      <c r="L20" s="21"/>
      <c r="M20" s="21"/>
      <c r="N20" s="46"/>
      <c r="O20" s="47"/>
      <c r="P20" s="46"/>
      <c r="Q20" s="46"/>
      <c r="R20" s="46"/>
      <c r="S20" s="77"/>
      <c r="T20" s="77"/>
      <c r="U20" s="77"/>
      <c r="V20" s="77"/>
      <c r="W20" s="77"/>
      <c r="X20" s="77"/>
      <c r="Y20" s="77"/>
      <c r="Z20" s="17"/>
      <c r="AA20" s="48"/>
      <c r="AB20" s="78"/>
      <c r="AC20" s="78"/>
      <c r="AD20" s="79"/>
      <c r="AE20" s="77"/>
      <c r="AF20" s="77"/>
      <c r="AG20" s="77"/>
      <c r="AH20" s="49"/>
      <c r="AI20" s="46"/>
      <c r="AJ20" s="50"/>
      <c r="AK20" s="46"/>
      <c r="AL20" s="46"/>
      <c r="AM20" s="45"/>
      <c r="AN20" s="53"/>
    </row>
    <row r="21" spans="1:40" x14ac:dyDescent="0.2">
      <c r="A21" s="21"/>
      <c r="B21" s="19"/>
      <c r="C21" s="19"/>
      <c r="D21" s="19"/>
      <c r="E21" s="43"/>
      <c r="F21" s="44"/>
      <c r="G21" s="45"/>
      <c r="H21" s="45"/>
      <c r="I21" s="45"/>
      <c r="J21" s="45"/>
      <c r="K21" s="21"/>
      <c r="L21" s="21"/>
      <c r="M21" s="21"/>
      <c r="N21" s="46"/>
      <c r="O21" s="47"/>
      <c r="P21" s="46"/>
      <c r="Q21" s="46"/>
      <c r="R21" s="46"/>
      <c r="S21" s="77"/>
      <c r="T21" s="77"/>
      <c r="U21" s="77"/>
      <c r="V21" s="77"/>
      <c r="W21" s="77"/>
      <c r="X21" s="77"/>
      <c r="Y21" s="77"/>
      <c r="Z21" s="17"/>
      <c r="AA21" s="48"/>
      <c r="AB21" s="78"/>
      <c r="AC21" s="78"/>
      <c r="AD21" s="79"/>
      <c r="AE21" s="77"/>
      <c r="AF21" s="77"/>
      <c r="AG21" s="77"/>
      <c r="AH21" s="49"/>
      <c r="AI21" s="46"/>
      <c r="AJ21" s="50"/>
      <c r="AK21" s="46"/>
      <c r="AL21" s="46"/>
      <c r="AM21" s="45"/>
      <c r="AN21" s="53"/>
    </row>
    <row r="22" spans="1:40" x14ac:dyDescent="0.2">
      <c r="A22" s="21"/>
      <c r="B22" s="19"/>
      <c r="C22" s="19"/>
      <c r="D22" s="19"/>
      <c r="E22" s="43"/>
      <c r="F22" s="44"/>
      <c r="G22" s="45"/>
      <c r="H22" s="45"/>
      <c r="I22" s="45"/>
      <c r="J22" s="45"/>
      <c r="K22" s="21"/>
      <c r="L22" s="21"/>
      <c r="M22" s="21"/>
      <c r="N22" s="46"/>
      <c r="O22" s="47"/>
      <c r="P22" s="46"/>
      <c r="Q22" s="46"/>
      <c r="R22" s="46"/>
      <c r="S22" s="77"/>
      <c r="T22" s="77"/>
      <c r="U22" s="77"/>
      <c r="V22" s="77"/>
      <c r="W22" s="77"/>
      <c r="X22" s="77"/>
      <c r="Y22" s="77"/>
      <c r="Z22" s="17"/>
      <c r="AA22" s="48"/>
      <c r="AB22" s="78"/>
      <c r="AC22" s="78"/>
      <c r="AD22" s="79"/>
      <c r="AE22" s="77"/>
      <c r="AF22" s="77"/>
      <c r="AG22" s="77"/>
      <c r="AH22" s="49"/>
      <c r="AI22" s="46"/>
      <c r="AJ22" s="50"/>
      <c r="AK22" s="46"/>
      <c r="AL22" s="46"/>
      <c r="AM22" s="45"/>
      <c r="AN22" s="53"/>
    </row>
    <row r="23" spans="1:40" x14ac:dyDescent="0.2">
      <c r="A23" s="21"/>
      <c r="B23" s="19"/>
      <c r="C23" s="19"/>
      <c r="D23" s="19"/>
      <c r="E23" s="43"/>
      <c r="F23" s="44"/>
      <c r="G23" s="45"/>
      <c r="H23" s="45"/>
      <c r="I23" s="45"/>
      <c r="J23" s="45"/>
      <c r="K23" s="21"/>
      <c r="L23" s="21"/>
      <c r="M23" s="21"/>
      <c r="N23" s="46"/>
      <c r="O23" s="47"/>
      <c r="P23" s="46"/>
      <c r="Q23" s="46"/>
      <c r="R23" s="46"/>
      <c r="S23" s="77"/>
      <c r="T23" s="77"/>
      <c r="U23" s="77"/>
      <c r="V23" s="77"/>
      <c r="W23" s="77"/>
      <c r="X23" s="77"/>
      <c r="Y23" s="77"/>
      <c r="Z23" s="17"/>
      <c r="AA23" s="48"/>
      <c r="AB23" s="78"/>
      <c r="AC23" s="78"/>
      <c r="AD23" s="79"/>
      <c r="AE23" s="77"/>
      <c r="AF23" s="77"/>
      <c r="AG23" s="77"/>
      <c r="AH23" s="49"/>
      <c r="AI23" s="46"/>
      <c r="AJ23" s="50"/>
      <c r="AK23" s="46"/>
      <c r="AL23" s="46"/>
      <c r="AM23" s="45"/>
      <c r="AN23" s="53"/>
    </row>
    <row r="24" spans="1:40" x14ac:dyDescent="0.2">
      <c r="A24" s="21"/>
      <c r="B24" s="19"/>
      <c r="C24" s="19"/>
      <c r="D24" s="19"/>
      <c r="E24" s="43"/>
      <c r="F24" s="44"/>
      <c r="G24" s="45"/>
      <c r="H24" s="45"/>
      <c r="I24" s="45"/>
      <c r="J24" s="45"/>
      <c r="K24" s="21"/>
      <c r="L24" s="21"/>
      <c r="M24" s="21"/>
      <c r="N24" s="46"/>
      <c r="O24" s="47"/>
      <c r="P24" s="46"/>
      <c r="Q24" s="46"/>
      <c r="R24" s="46"/>
      <c r="S24" s="77"/>
      <c r="T24" s="77"/>
      <c r="U24" s="77"/>
      <c r="V24" s="77"/>
      <c r="W24" s="77"/>
      <c r="X24" s="77"/>
      <c r="Y24" s="77"/>
      <c r="Z24" s="17"/>
      <c r="AA24" s="48"/>
      <c r="AB24" s="78"/>
      <c r="AC24" s="78"/>
      <c r="AD24" s="79"/>
      <c r="AE24" s="77"/>
      <c r="AF24" s="77"/>
      <c r="AG24" s="77"/>
      <c r="AH24" s="49"/>
      <c r="AI24" s="46"/>
      <c r="AJ24" s="50"/>
      <c r="AK24" s="46"/>
      <c r="AL24" s="46"/>
      <c r="AM24" s="45"/>
      <c r="AN24" s="53"/>
    </row>
    <row r="25" spans="1:40" x14ac:dyDescent="0.2">
      <c r="A25" s="21"/>
      <c r="B25" s="19"/>
      <c r="C25" s="19"/>
      <c r="D25" s="19"/>
      <c r="E25" s="43"/>
      <c r="F25" s="44"/>
      <c r="G25" s="45"/>
      <c r="H25" s="45"/>
      <c r="I25" s="45"/>
      <c r="J25" s="45"/>
      <c r="K25" s="21"/>
      <c r="L25" s="21"/>
      <c r="M25" s="21"/>
      <c r="N25" s="46"/>
      <c r="O25" s="47"/>
      <c r="P25" s="46"/>
      <c r="Q25" s="46"/>
      <c r="R25" s="46"/>
      <c r="S25" s="77"/>
      <c r="T25" s="77"/>
      <c r="U25" s="77"/>
      <c r="V25" s="77"/>
      <c r="W25" s="77"/>
      <c r="X25" s="77"/>
      <c r="Y25" s="77"/>
      <c r="Z25" s="17"/>
      <c r="AA25" s="48"/>
      <c r="AB25" s="78"/>
      <c r="AC25" s="78"/>
      <c r="AD25" s="79"/>
      <c r="AE25" s="77"/>
      <c r="AF25" s="77"/>
      <c r="AG25" s="77"/>
      <c r="AH25" s="49"/>
      <c r="AI25" s="46"/>
      <c r="AJ25" s="50"/>
      <c r="AK25" s="46"/>
      <c r="AL25" s="46"/>
      <c r="AM25" s="45"/>
      <c r="AN25" s="53"/>
    </row>
    <row r="26" spans="1:40" x14ac:dyDescent="0.2">
      <c r="A26" s="21"/>
      <c r="B26" s="19"/>
      <c r="C26" s="19"/>
      <c r="D26" s="19"/>
      <c r="E26" s="43"/>
      <c r="F26" s="44"/>
      <c r="G26" s="45"/>
      <c r="H26" s="45"/>
      <c r="I26" s="45"/>
      <c r="J26" s="45"/>
      <c r="K26" s="21"/>
      <c r="L26" s="21"/>
      <c r="M26" s="21"/>
      <c r="N26" s="46"/>
      <c r="O26" s="47"/>
      <c r="P26" s="46"/>
      <c r="Q26" s="46"/>
      <c r="R26" s="46"/>
      <c r="S26" s="77"/>
      <c r="T26" s="77"/>
      <c r="U26" s="77"/>
      <c r="V26" s="77"/>
      <c r="W26" s="77"/>
      <c r="X26" s="77"/>
      <c r="Y26" s="77"/>
      <c r="Z26" s="17"/>
      <c r="AA26" s="48"/>
      <c r="AB26" s="78"/>
      <c r="AC26" s="78"/>
      <c r="AD26" s="79"/>
      <c r="AE26" s="77"/>
      <c r="AF26" s="77"/>
      <c r="AG26" s="77"/>
      <c r="AH26" s="49"/>
      <c r="AI26" s="46"/>
      <c r="AJ26" s="50"/>
      <c r="AK26" s="46"/>
      <c r="AL26" s="46"/>
      <c r="AM26" s="45"/>
      <c r="AN26" s="53"/>
    </row>
    <row r="27" spans="1:40" x14ac:dyDescent="0.2">
      <c r="A27" s="21"/>
      <c r="B27" s="19"/>
      <c r="C27" s="19"/>
      <c r="D27" s="19"/>
      <c r="E27" s="43"/>
      <c r="F27" s="44"/>
      <c r="G27" s="45"/>
      <c r="H27" s="45"/>
      <c r="I27" s="45"/>
      <c r="J27" s="45"/>
      <c r="K27" s="21"/>
      <c r="L27" s="21"/>
      <c r="M27" s="21"/>
      <c r="N27" s="46"/>
      <c r="O27" s="47"/>
      <c r="P27" s="46"/>
      <c r="Q27" s="46"/>
      <c r="R27" s="46"/>
      <c r="S27" s="77"/>
      <c r="T27" s="77"/>
      <c r="U27" s="77"/>
      <c r="V27" s="77"/>
      <c r="W27" s="77"/>
      <c r="X27" s="77"/>
      <c r="Y27" s="77"/>
      <c r="Z27" s="17"/>
      <c r="AA27" s="48"/>
      <c r="AB27" s="78"/>
      <c r="AC27" s="78"/>
      <c r="AD27" s="79"/>
      <c r="AE27" s="77"/>
      <c r="AF27" s="77"/>
      <c r="AG27" s="77"/>
      <c r="AH27" s="49"/>
      <c r="AI27" s="46"/>
      <c r="AJ27" s="50"/>
      <c r="AK27" s="46"/>
      <c r="AL27" s="46"/>
      <c r="AM27" s="45"/>
      <c r="AN27" s="53"/>
    </row>
    <row r="28" spans="1:40" x14ac:dyDescent="0.2">
      <c r="A28" s="21"/>
      <c r="B28" s="19"/>
      <c r="C28" s="19"/>
      <c r="D28" s="19"/>
      <c r="E28" s="43"/>
      <c r="F28" s="44"/>
      <c r="G28" s="45"/>
      <c r="H28" s="45"/>
      <c r="I28" s="45"/>
      <c r="J28" s="45"/>
      <c r="K28" s="21"/>
      <c r="L28" s="21"/>
      <c r="M28" s="21"/>
      <c r="N28" s="46"/>
      <c r="O28" s="47"/>
      <c r="P28" s="46"/>
      <c r="Q28" s="46"/>
      <c r="R28" s="46"/>
      <c r="S28" s="77"/>
      <c r="T28" s="77"/>
      <c r="U28" s="77"/>
      <c r="V28" s="77"/>
      <c r="W28" s="77"/>
      <c r="X28" s="77"/>
      <c r="Y28" s="77"/>
      <c r="Z28" s="17"/>
      <c r="AA28" s="48"/>
      <c r="AB28" s="78"/>
      <c r="AC28" s="78"/>
      <c r="AD28" s="79"/>
      <c r="AE28" s="77"/>
      <c r="AF28" s="77"/>
      <c r="AG28" s="77"/>
      <c r="AH28" s="49"/>
      <c r="AI28" s="46"/>
      <c r="AJ28" s="50"/>
      <c r="AK28" s="46"/>
      <c r="AL28" s="46"/>
      <c r="AM28" s="45"/>
      <c r="AN28" s="53"/>
    </row>
    <row r="29" spans="1:40" x14ac:dyDescent="0.2">
      <c r="A29" s="21"/>
      <c r="B29" s="19"/>
      <c r="C29" s="19"/>
      <c r="D29" s="19"/>
      <c r="E29" s="43"/>
      <c r="F29" s="44"/>
      <c r="G29" s="45"/>
      <c r="H29" s="45"/>
      <c r="I29" s="45"/>
      <c r="J29" s="45"/>
      <c r="K29" s="21"/>
      <c r="L29" s="21"/>
      <c r="M29" s="21"/>
      <c r="N29" s="46"/>
      <c r="O29" s="47"/>
      <c r="P29" s="46"/>
      <c r="Q29" s="46"/>
      <c r="R29" s="46"/>
      <c r="S29" s="77"/>
      <c r="T29" s="77"/>
      <c r="U29" s="77"/>
      <c r="V29" s="77"/>
      <c r="W29" s="77"/>
      <c r="X29" s="77"/>
      <c r="Y29" s="77"/>
      <c r="Z29" s="17"/>
      <c r="AA29" s="48"/>
      <c r="AB29" s="78"/>
      <c r="AC29" s="78"/>
      <c r="AD29" s="79"/>
      <c r="AE29" s="77"/>
      <c r="AF29" s="77"/>
      <c r="AG29" s="77"/>
      <c r="AH29" s="49"/>
      <c r="AI29" s="46"/>
      <c r="AJ29" s="50"/>
      <c r="AK29" s="46"/>
      <c r="AL29" s="46"/>
      <c r="AM29" s="45"/>
      <c r="AN29" s="53"/>
    </row>
    <row r="30" spans="1:40" x14ac:dyDescent="0.2">
      <c r="A30" s="21"/>
      <c r="B30" s="19"/>
      <c r="C30" s="19"/>
      <c r="D30" s="19"/>
      <c r="E30" s="43"/>
      <c r="F30" s="44"/>
      <c r="G30" s="45"/>
      <c r="H30" s="45"/>
      <c r="I30" s="45"/>
      <c r="J30" s="45"/>
      <c r="K30" s="21"/>
      <c r="L30" s="21"/>
      <c r="M30" s="21"/>
      <c r="N30" s="46"/>
      <c r="O30" s="47"/>
      <c r="P30" s="46"/>
      <c r="Q30" s="46"/>
      <c r="R30" s="46"/>
      <c r="S30" s="77"/>
      <c r="T30" s="77"/>
      <c r="U30" s="77"/>
      <c r="V30" s="77"/>
      <c r="W30" s="77"/>
      <c r="X30" s="77"/>
      <c r="Y30" s="77"/>
      <c r="Z30" s="17"/>
      <c r="AA30" s="48"/>
      <c r="AB30" s="78"/>
      <c r="AC30" s="78"/>
      <c r="AD30" s="79"/>
      <c r="AE30" s="77"/>
      <c r="AF30" s="77"/>
      <c r="AG30" s="77"/>
      <c r="AH30" s="49"/>
      <c r="AI30" s="46"/>
      <c r="AJ30" s="50"/>
      <c r="AK30" s="46"/>
      <c r="AL30" s="46"/>
      <c r="AM30" s="45"/>
      <c r="AN30" s="53"/>
    </row>
    <row r="31" spans="1:40" x14ac:dyDescent="0.2">
      <c r="A31" s="21"/>
      <c r="B31" s="19"/>
      <c r="C31" s="19"/>
      <c r="D31" s="19"/>
      <c r="E31" s="43"/>
      <c r="F31" s="44"/>
      <c r="G31" s="45"/>
      <c r="H31" s="45"/>
      <c r="I31" s="45"/>
      <c r="J31" s="45"/>
      <c r="K31" s="21"/>
      <c r="L31" s="21"/>
      <c r="M31" s="21"/>
      <c r="N31" s="46"/>
      <c r="O31" s="47"/>
      <c r="P31" s="46"/>
      <c r="Q31" s="46"/>
      <c r="R31" s="46"/>
      <c r="S31" s="77"/>
      <c r="T31" s="77"/>
      <c r="U31" s="77"/>
      <c r="V31" s="77"/>
      <c r="W31" s="77"/>
      <c r="X31" s="77"/>
      <c r="Y31" s="77"/>
      <c r="Z31" s="17"/>
      <c r="AA31" s="48"/>
      <c r="AB31" s="78"/>
      <c r="AC31" s="78"/>
      <c r="AD31" s="79"/>
      <c r="AE31" s="77"/>
      <c r="AF31" s="77"/>
      <c r="AG31" s="77"/>
      <c r="AH31" s="49"/>
      <c r="AI31" s="46"/>
      <c r="AJ31" s="50"/>
      <c r="AK31" s="46"/>
      <c r="AL31" s="46"/>
      <c r="AM31" s="45"/>
      <c r="AN31" s="53"/>
    </row>
    <row r="32" spans="1:40" x14ac:dyDescent="0.2">
      <c r="A32" s="21"/>
      <c r="B32" s="19"/>
      <c r="C32" s="19"/>
      <c r="D32" s="19"/>
      <c r="E32" s="43"/>
      <c r="F32" s="44"/>
      <c r="G32" s="45"/>
      <c r="H32" s="45"/>
      <c r="I32" s="45"/>
      <c r="J32" s="45"/>
      <c r="K32" s="21"/>
      <c r="L32" s="21"/>
      <c r="M32" s="21"/>
      <c r="N32" s="46"/>
      <c r="O32" s="47"/>
      <c r="P32" s="46"/>
      <c r="Q32" s="46"/>
      <c r="R32" s="46"/>
      <c r="S32" s="77"/>
      <c r="T32" s="77"/>
      <c r="U32" s="77"/>
      <c r="V32" s="77"/>
      <c r="W32" s="77"/>
      <c r="X32" s="77"/>
      <c r="Y32" s="77"/>
      <c r="Z32" s="17"/>
      <c r="AA32" s="48"/>
      <c r="AB32" s="78"/>
      <c r="AC32" s="78"/>
      <c r="AD32" s="79"/>
      <c r="AE32" s="77"/>
      <c r="AF32" s="77"/>
      <c r="AG32" s="77"/>
      <c r="AH32" s="49"/>
      <c r="AI32" s="46"/>
      <c r="AJ32" s="50"/>
      <c r="AK32" s="46"/>
      <c r="AL32" s="46"/>
      <c r="AM32" s="45"/>
      <c r="AN32" s="53"/>
    </row>
    <row r="33" spans="1:40" x14ac:dyDescent="0.2">
      <c r="A33" s="21"/>
      <c r="B33" s="19"/>
      <c r="C33" s="19"/>
      <c r="D33" s="19"/>
      <c r="E33" s="43"/>
      <c r="F33" s="44"/>
      <c r="G33" s="45"/>
      <c r="H33" s="45"/>
      <c r="I33" s="45"/>
      <c r="J33" s="45"/>
      <c r="K33" s="21"/>
      <c r="L33" s="21"/>
      <c r="M33" s="21"/>
      <c r="N33" s="46"/>
      <c r="O33" s="47"/>
      <c r="P33" s="46"/>
      <c r="Q33" s="46"/>
      <c r="R33" s="46"/>
      <c r="S33" s="77"/>
      <c r="T33" s="77"/>
      <c r="U33" s="77"/>
      <c r="V33" s="77"/>
      <c r="W33" s="77"/>
      <c r="X33" s="77"/>
      <c r="Y33" s="77"/>
      <c r="Z33" s="17"/>
      <c r="AA33" s="48"/>
      <c r="AB33" s="78"/>
      <c r="AC33" s="78"/>
      <c r="AD33" s="79"/>
      <c r="AE33" s="77"/>
      <c r="AF33" s="77"/>
      <c r="AG33" s="77"/>
      <c r="AH33" s="49"/>
      <c r="AI33" s="46"/>
      <c r="AJ33" s="50"/>
      <c r="AK33" s="46"/>
      <c r="AL33" s="46"/>
      <c r="AM33" s="45"/>
      <c r="AN33" s="53"/>
    </row>
    <row r="34" spans="1:40" x14ac:dyDescent="0.2">
      <c r="S34" s="53"/>
      <c r="T34" s="53"/>
      <c r="U34" s="53"/>
      <c r="V34" s="53"/>
      <c r="W34" s="53"/>
      <c r="X34" s="53"/>
      <c r="Y34" s="53"/>
      <c r="Z34" s="17"/>
      <c r="AB34" s="53"/>
      <c r="AC34" s="53"/>
      <c r="AD34" s="53"/>
      <c r="AE34" s="53"/>
      <c r="AF34" s="53"/>
      <c r="AG34" s="53"/>
      <c r="AH34" s="57"/>
      <c r="AI34" s="17"/>
      <c r="AJ34" s="17"/>
      <c r="AK34" s="17"/>
      <c r="AL34" s="17"/>
      <c r="AM34" s="57"/>
      <c r="AN34" s="53"/>
    </row>
    <row r="35" spans="1:40" x14ac:dyDescent="0.2">
      <c r="S35" s="53"/>
      <c r="T35" s="53"/>
      <c r="U35" s="53"/>
      <c r="V35" s="53"/>
      <c r="W35" s="53"/>
      <c r="X35" s="53"/>
      <c r="Y35" s="53"/>
      <c r="Z35" s="17"/>
      <c r="AB35" s="53"/>
      <c r="AC35" s="53"/>
      <c r="AD35" s="53"/>
      <c r="AE35" s="53"/>
      <c r="AF35" s="53"/>
      <c r="AG35" s="53"/>
      <c r="AH35" s="57"/>
      <c r="AI35" s="17"/>
      <c r="AJ35" s="17"/>
      <c r="AK35" s="17"/>
      <c r="AL35" s="17"/>
      <c r="AM35" s="57"/>
      <c r="AN35" s="53"/>
    </row>
  </sheetData>
  <sheetProtection algorithmName="SHA-512" hashValue="gRpbweINjUEBLRB0hGmyT/6t52txyckmkdR2q6DNSG5G3gCnV1JytNpAJ5CmPvnll6DMU0YW9l/54WKB4JHAiw==" saltValue="UF/mzN6O5boGBXGV1VVLOA==" spinCount="100000" sheet="1" objects="1" scenarios="1"/>
  <mergeCells count="1">
    <mergeCell ref="A1:R1"/>
  </mergeCells>
  <phoneticPr fontId="5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4"/>
  <sheetViews>
    <sheetView workbookViewId="0">
      <selection activeCell="A3" sqref="A3:E12"/>
    </sheetView>
  </sheetViews>
  <sheetFormatPr defaultColWidth="9" defaultRowHeight="12.75" x14ac:dyDescent="0.2"/>
  <cols>
    <col min="1" max="1" width="8.625" style="13" customWidth="1"/>
    <col min="2" max="4" width="9" style="13" customWidth="1"/>
    <col min="5" max="5" width="12.125" style="13" customWidth="1"/>
    <col min="6" max="6" width="17.75" style="53" customWidth="1"/>
    <col min="7" max="7" width="17.5" style="53" customWidth="1"/>
    <col min="8" max="8" width="19.875" style="57" customWidth="1"/>
    <col min="9" max="15" width="10.25" style="13" hidden="1" customWidth="1"/>
    <col min="16" max="16" width="10.25" style="51" hidden="1" customWidth="1"/>
    <col min="17" max="17" width="8" style="53" hidden="1" customWidth="1"/>
    <col min="18" max="23" width="8" style="13" hidden="1" customWidth="1"/>
    <col min="24" max="24" width="8.125" style="52" hidden="1" customWidth="1"/>
    <col min="25" max="28" width="10.25" style="51" hidden="1" customWidth="1"/>
    <col min="29" max="29" width="8.125" style="52" hidden="1" customWidth="1"/>
    <col min="30" max="16384" width="9" style="13"/>
  </cols>
  <sheetData>
    <row r="1" spans="1:30" s="6" customFormat="1" ht="42.95" customHeight="1" x14ac:dyDescent="0.2">
      <c r="A1" s="106" t="s">
        <v>50</v>
      </c>
      <c r="B1" s="81"/>
      <c r="C1" s="81"/>
      <c r="D1" s="81"/>
      <c r="E1" s="81"/>
      <c r="F1" s="81"/>
      <c r="G1" s="81"/>
      <c r="H1" s="81"/>
      <c r="I1" s="40"/>
      <c r="J1" s="40"/>
      <c r="K1" s="40"/>
      <c r="L1" s="40"/>
      <c r="M1" s="40"/>
      <c r="N1" s="40"/>
      <c r="O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</row>
    <row r="2" spans="1:30" s="3" customFormat="1" ht="75" customHeight="1" x14ac:dyDescent="0.2">
      <c r="A2" s="54" t="s">
        <v>1</v>
      </c>
      <c r="B2" s="54" t="s">
        <v>8</v>
      </c>
      <c r="C2" s="54" t="s">
        <v>9</v>
      </c>
      <c r="D2" s="55" t="s">
        <v>10</v>
      </c>
      <c r="E2" s="56" t="s">
        <v>11</v>
      </c>
      <c r="F2" s="36" t="s">
        <v>52</v>
      </c>
      <c r="G2" s="65" t="s">
        <v>53</v>
      </c>
      <c r="H2" s="37" t="s">
        <v>54</v>
      </c>
      <c r="I2" s="74" t="s">
        <v>17</v>
      </c>
      <c r="J2" s="74" t="s">
        <v>18</v>
      </c>
      <c r="K2" s="74" t="s">
        <v>19</v>
      </c>
      <c r="L2" s="74" t="s">
        <v>20</v>
      </c>
      <c r="M2" s="74" t="s">
        <v>21</v>
      </c>
      <c r="N2" s="74" t="s">
        <v>22</v>
      </c>
      <c r="O2" s="74" t="s">
        <v>23</v>
      </c>
      <c r="P2" s="4" t="s">
        <v>28</v>
      </c>
      <c r="Q2" s="7" t="s">
        <v>0</v>
      </c>
      <c r="R2" s="75" t="s">
        <v>2</v>
      </c>
      <c r="S2" s="75" t="s">
        <v>3</v>
      </c>
      <c r="T2" s="76" t="s">
        <v>4</v>
      </c>
      <c r="U2" s="76" t="s">
        <v>5</v>
      </c>
      <c r="V2" s="76" t="s">
        <v>6</v>
      </c>
      <c r="W2" s="76" t="s">
        <v>7</v>
      </c>
      <c r="X2" s="5" t="s">
        <v>25</v>
      </c>
      <c r="Y2" s="38" t="s">
        <v>39</v>
      </c>
      <c r="Z2" s="38" t="s">
        <v>24</v>
      </c>
      <c r="AA2" s="72" t="s">
        <v>26</v>
      </c>
      <c r="AB2" s="72" t="s">
        <v>27</v>
      </c>
      <c r="AC2" s="36" t="s">
        <v>44</v>
      </c>
      <c r="AD2" s="64"/>
    </row>
    <row r="3" spans="1:30" x14ac:dyDescent="0.2">
      <c r="A3" s="21"/>
      <c r="B3" s="19"/>
      <c r="C3" s="19"/>
      <c r="D3" s="19"/>
      <c r="E3" s="43"/>
      <c r="F3" s="44" t="str">
        <f t="shared" ref="F3:F5" si="0">IF(AND(A3=0,B3=0,C3=0,D3=0,E3=0),"",IF(AND(B3&lt;25,C3&lt;18,D3&lt;2,(A3+R3)&lt;250),"小件",IF(AND(B3&lt;33,C3&lt;24,D3&lt;2.8,(A3+R3)&lt;1000),"标准件类别1",IF(AND(B3&lt;45,C3&lt;35,D3&lt;20,Q3&lt;60,(A3+S3)&lt;2000),"标准件类别2",IF(AND(B3&lt;45,C3&lt;35,D3&lt;20,Q3&lt;80,(A3+S3)&lt;5000),"标准件类别3",IF(AND(B3&lt;45,C3&lt;35,D3&lt;20,Q3&lt;100,(A3+S3)&lt;9000),"标准件类别4",IF(AND(OR(A3&gt;=9000,B3&gt;=45,C3&gt;=35,D3&gt;=20),AND(Q3&lt;60,(A3+S3)&lt;2000)),"大件类别1",IF(AND(OR(A3&gt;=9000,B3&gt;=45,C3&gt;=35,D3&gt;=20),AND(Q3&lt;80,(A3+S3)&lt;5000)),"大件类别2",IF(AND(OR(A3&gt;=9000,B3&gt;=45,C3&gt;=35,D3&gt;=20),AND(Q3&lt;100,(A3+S3)&lt;10000)),"大件类别3",IF(AND(OR(A3&gt;=9000,B3&gt;=45,C3&gt;=35,D3&gt;=20),AND(Q3&lt;120,(A3+T3)&lt;15000)),"大件类别4",IF(AND(OR(A3&gt;=9000,B3&gt;=45,C3&gt;=35,D3&gt;=20),AND(Q3&lt;140,(A3+U3)&lt;20000)),"大件类别5",IF(AND(OR(A3&gt;=9000,B3&gt;=45,C3&gt;=35,D3&gt;=20),AND(Q3&lt;160,(A3+V3)&lt;25000)),"大件类别6",IF(AND(B3&gt;=90,Q3&gt;=170),"不可使用FBA服务",IF(AND(OR(A3&gt;=9000,B3&gt;=45,C3&gt;=35,D3&gt;=20),AND(Q3&lt;180,(A3+V3)&lt;30000)),"大件类别7",IF(AND(OR(A3&gt;=9000,B3&gt;=45,C3&gt;=35,D3&gt;=20),AND(Q3&lt;200,(A3+W3)&lt;40000)),"大件类别8",IF(OR(A3&gt;=40000,Q3&gt;=200),"不可使用FBA服务"))))))))))))))))</f>
        <v/>
      </c>
      <c r="G3" s="45" t="str">
        <f>IF(F3="","",IF(F3="不可使用FBA服务","",IF(F3="小件","20",IF(F3="标准件类别1","20",IF(F3="标准件类别2","20",IF(F3="标准件类别3","20",IF(F3="标准件类别4","20",IF(F3="大件类别1","51",IF(F3="大件类别2","51",IF(F3="大件类别3","51",IF(F3="大件类别4","51",IF(F3="大件类别5","51",IF(F3="大件类别6","51",IF(F3="大件类别7","51",IF(F3="大件类别8","51")))))))))))))))</f>
        <v/>
      </c>
      <c r="H3" s="45" t="str">
        <f t="shared" ref="H3" si="1">IF(G3="","",G3/E3)</f>
        <v/>
      </c>
      <c r="I3" s="77" t="b">
        <f t="shared" ref="I3:I5" si="2">IF(OR(F3="小件",F3="标准件类别1",F3="标准件类别2",F3="标准件类别3",F3="标准件类别4"),"5.07",IF(OR(F3="大件类别1",F3="大件类别2",F3="大件类别3",F3="大件类别4",F3="大件类别5",F3="大件类别6",F3="大件类别7",F3="大件类别8"),"4.29"))</f>
        <v>0</v>
      </c>
      <c r="J3" s="77" t="b">
        <f t="shared" ref="J3:J5" si="3">IF(OR(F3="小件",F3="标准件类别1",F3="标准件类别2",F3="标准件类别3",F3="标准件类别4"),"9",IF(OR(F3="大件类别1",F3="大件类别2",F3="大件类别3",F3="大件类别4",F3="大件类别5",F3="大件类别6",F3="大件类别7",F3="大件类别8"),"7.615"))</f>
        <v>0</v>
      </c>
      <c r="K3" s="77">
        <f t="shared" ref="K3:K5" si="4">B3*C3*D3</f>
        <v>0</v>
      </c>
      <c r="L3" s="77">
        <f>I3*K3/1000</f>
        <v>0</v>
      </c>
      <c r="M3" s="77" t="e">
        <f t="shared" ref="M3:M5" si="5">L3/E3</f>
        <v>#DIV/0!</v>
      </c>
      <c r="N3" s="77">
        <f>J3*K3/1000</f>
        <v>0</v>
      </c>
      <c r="O3" s="77" t="e">
        <f t="shared" ref="O3:O5" si="6">N3/E3</f>
        <v>#DIV/0!</v>
      </c>
      <c r="P3" s="46" t="e">
        <f>#REF!/108*110</f>
        <v>#REF!</v>
      </c>
      <c r="Q3" s="48">
        <f t="shared" ref="Q3:Q5" si="7">B3+C3+D3</f>
        <v>0</v>
      </c>
      <c r="R3" s="78">
        <v>50</v>
      </c>
      <c r="S3" s="78">
        <v>150</v>
      </c>
      <c r="T3" s="79">
        <v>500</v>
      </c>
      <c r="U3" s="77">
        <v>700</v>
      </c>
      <c r="V3" s="77">
        <v>1200</v>
      </c>
      <c r="W3" s="77">
        <v>1400</v>
      </c>
      <c r="X3" s="49" t="e">
        <f t="shared" ref="X3:X5" si="8">H3/108*110</f>
        <v>#VALUE!</v>
      </c>
      <c r="Y3" s="46" t="e">
        <f>#REF!/108*110</f>
        <v>#REF!</v>
      </c>
      <c r="Z3" s="50" t="e">
        <f>#REF!/108*110</f>
        <v>#REF!</v>
      </c>
      <c r="AA3" s="46" t="e">
        <f>#REF!/108*110</f>
        <v>#REF!</v>
      </c>
      <c r="AB3" s="46" t="e">
        <f>#REF!/108*110</f>
        <v>#REF!</v>
      </c>
      <c r="AC3" s="45" t="e">
        <f t="shared" ref="AC3:AC5" si="9">G3/108*110</f>
        <v>#VALUE!</v>
      </c>
      <c r="AD3" s="53"/>
    </row>
    <row r="4" spans="1:30" x14ac:dyDescent="0.2">
      <c r="A4" s="21"/>
      <c r="B4" s="19"/>
      <c r="C4" s="19"/>
      <c r="D4" s="19"/>
      <c r="E4" s="43"/>
      <c r="F4" s="44" t="str">
        <f t="shared" si="0"/>
        <v/>
      </c>
      <c r="G4" s="45" t="str">
        <f t="shared" ref="G4:G5" si="10">IF(F4="","",IF(F4="不可使用FBA服务","",IF(F4="小件","20",IF(F4="标准件类别1","20",IF(F4="标准件类别2","20",IF(F4="标准件类别3","20",IF(F4="标准件类别4","20",IF(F4="大件类别1","51",IF(F4="大件类别2","51",IF(F4="大件类别3","51",IF(F4="大件类别4","51",IF(F4="大件类别5","51",IF(F4="大件类别6","51",IF(F4="大件类别7","51",IF(F4="大件类别8","51")))))))))))))))</f>
        <v/>
      </c>
      <c r="H4" s="45" t="str">
        <f t="shared" ref="H4:H5" si="11">IF(G4="","",G4/E4)</f>
        <v/>
      </c>
      <c r="I4" s="77" t="b">
        <f t="shared" si="2"/>
        <v>0</v>
      </c>
      <c r="J4" s="77" t="b">
        <f t="shared" si="3"/>
        <v>0</v>
      </c>
      <c r="K4" s="77">
        <f t="shared" si="4"/>
        <v>0</v>
      </c>
      <c r="L4" s="77">
        <f t="shared" ref="L4:L5" si="12">I4*K4/1000</f>
        <v>0</v>
      </c>
      <c r="M4" s="77" t="e">
        <f t="shared" si="5"/>
        <v>#DIV/0!</v>
      </c>
      <c r="N4" s="77">
        <f t="shared" ref="N4:N5" si="13">J4*K4/1000</f>
        <v>0</v>
      </c>
      <c r="O4" s="77" t="e">
        <f t="shared" si="6"/>
        <v>#DIV/0!</v>
      </c>
      <c r="P4" s="17"/>
      <c r="Q4" s="48">
        <f t="shared" si="7"/>
        <v>0</v>
      </c>
      <c r="R4" s="78">
        <v>50</v>
      </c>
      <c r="S4" s="78">
        <v>150</v>
      </c>
      <c r="T4" s="79">
        <v>500</v>
      </c>
      <c r="U4" s="77">
        <v>700</v>
      </c>
      <c r="V4" s="77">
        <v>1200</v>
      </c>
      <c r="W4" s="77">
        <v>1400</v>
      </c>
      <c r="X4" s="49" t="e">
        <f t="shared" si="8"/>
        <v>#VALUE!</v>
      </c>
      <c r="Y4" s="46" t="e">
        <f>#REF!/108*110</f>
        <v>#REF!</v>
      </c>
      <c r="Z4" s="50" t="e">
        <f>#REF!/108*110</f>
        <v>#REF!</v>
      </c>
      <c r="AA4" s="46" t="e">
        <f>#REF!/108*110</f>
        <v>#REF!</v>
      </c>
      <c r="AB4" s="46" t="e">
        <f>#REF!/108*110</f>
        <v>#REF!</v>
      </c>
      <c r="AC4" s="45" t="e">
        <f t="shared" si="9"/>
        <v>#VALUE!</v>
      </c>
      <c r="AD4" s="53"/>
    </row>
    <row r="5" spans="1:30" x14ac:dyDescent="0.2">
      <c r="A5" s="21"/>
      <c r="B5" s="19"/>
      <c r="C5" s="19"/>
      <c r="D5" s="19"/>
      <c r="E5" s="43"/>
      <c r="F5" s="44" t="str">
        <f t="shared" si="0"/>
        <v/>
      </c>
      <c r="G5" s="45" t="str">
        <f t="shared" si="10"/>
        <v/>
      </c>
      <c r="H5" s="45" t="str">
        <f t="shared" si="11"/>
        <v/>
      </c>
      <c r="I5" s="77" t="b">
        <f t="shared" si="2"/>
        <v>0</v>
      </c>
      <c r="J5" s="77" t="b">
        <f t="shared" si="3"/>
        <v>0</v>
      </c>
      <c r="K5" s="77">
        <f t="shared" si="4"/>
        <v>0</v>
      </c>
      <c r="L5" s="77">
        <f t="shared" si="12"/>
        <v>0</v>
      </c>
      <c r="M5" s="77" t="e">
        <f t="shared" si="5"/>
        <v>#DIV/0!</v>
      </c>
      <c r="N5" s="77">
        <f t="shared" si="13"/>
        <v>0</v>
      </c>
      <c r="O5" s="77" t="e">
        <f t="shared" si="6"/>
        <v>#DIV/0!</v>
      </c>
      <c r="P5" s="17"/>
      <c r="Q5" s="48">
        <f t="shared" si="7"/>
        <v>0</v>
      </c>
      <c r="R5" s="78">
        <v>50</v>
      </c>
      <c r="S5" s="78">
        <v>150</v>
      </c>
      <c r="T5" s="79">
        <v>500</v>
      </c>
      <c r="U5" s="77">
        <v>700</v>
      </c>
      <c r="V5" s="77">
        <v>1200</v>
      </c>
      <c r="W5" s="77">
        <v>1400</v>
      </c>
      <c r="X5" s="49" t="e">
        <f t="shared" si="8"/>
        <v>#VALUE!</v>
      </c>
      <c r="Y5" s="46" t="e">
        <f>#REF!/108*110</f>
        <v>#REF!</v>
      </c>
      <c r="Z5" s="50" t="e">
        <f>#REF!/108*110</f>
        <v>#REF!</v>
      </c>
      <c r="AA5" s="46" t="e">
        <f>#REF!/108*110</f>
        <v>#REF!</v>
      </c>
      <c r="AB5" s="46" t="e">
        <f>#REF!/108*110</f>
        <v>#REF!</v>
      </c>
      <c r="AC5" s="45" t="e">
        <f t="shared" si="9"/>
        <v>#VALUE!</v>
      </c>
      <c r="AD5" s="53"/>
    </row>
    <row r="6" spans="1:30" x14ac:dyDescent="0.2">
      <c r="A6" s="21"/>
      <c r="B6" s="19"/>
      <c r="C6" s="19"/>
      <c r="D6" s="19"/>
      <c r="E6" s="43"/>
      <c r="F6" s="44"/>
      <c r="G6" s="45"/>
      <c r="H6" s="45"/>
      <c r="I6" s="77"/>
      <c r="J6" s="77"/>
      <c r="K6" s="77"/>
      <c r="L6" s="77"/>
      <c r="M6" s="77"/>
      <c r="N6" s="77"/>
      <c r="O6" s="77"/>
      <c r="P6" s="17"/>
      <c r="Q6" s="48"/>
      <c r="R6" s="78"/>
      <c r="S6" s="78"/>
      <c r="T6" s="79"/>
      <c r="U6" s="77"/>
      <c r="V6" s="77"/>
      <c r="W6" s="77"/>
      <c r="X6" s="49"/>
      <c r="Y6" s="46"/>
      <c r="Z6" s="50"/>
      <c r="AA6" s="46"/>
      <c r="AB6" s="46"/>
      <c r="AC6" s="45"/>
      <c r="AD6" s="53"/>
    </row>
    <row r="7" spans="1:30" x14ac:dyDescent="0.2">
      <c r="A7" s="21"/>
      <c r="B7" s="19"/>
      <c r="C7" s="19"/>
      <c r="D7" s="19"/>
      <c r="E7" s="43"/>
      <c r="F7" s="44"/>
      <c r="G7" s="45"/>
      <c r="H7" s="45"/>
      <c r="I7" s="77"/>
      <c r="J7" s="77"/>
      <c r="K7" s="77"/>
      <c r="L7" s="77"/>
      <c r="M7" s="77"/>
      <c r="N7" s="77"/>
      <c r="O7" s="77"/>
      <c r="P7" s="17"/>
      <c r="Q7" s="48"/>
      <c r="R7" s="78"/>
      <c r="S7" s="78"/>
      <c r="T7" s="79"/>
      <c r="U7" s="77"/>
      <c r="V7" s="77"/>
      <c r="W7" s="77"/>
      <c r="X7" s="49"/>
      <c r="Y7" s="46"/>
      <c r="Z7" s="50"/>
      <c r="AA7" s="46"/>
      <c r="AB7" s="46"/>
      <c r="AC7" s="45"/>
      <c r="AD7" s="53"/>
    </row>
    <row r="8" spans="1:30" x14ac:dyDescent="0.2">
      <c r="A8" s="21"/>
      <c r="B8" s="19"/>
      <c r="C8" s="19"/>
      <c r="D8" s="19"/>
      <c r="E8" s="43"/>
      <c r="F8" s="44"/>
      <c r="G8" s="45"/>
      <c r="H8" s="45"/>
      <c r="I8" s="77"/>
      <c r="J8" s="77"/>
      <c r="K8" s="77"/>
      <c r="L8" s="77"/>
      <c r="M8" s="77"/>
      <c r="N8" s="77"/>
      <c r="O8" s="77"/>
      <c r="P8" s="17"/>
      <c r="Q8" s="48"/>
      <c r="R8" s="78"/>
      <c r="S8" s="78"/>
      <c r="T8" s="79"/>
      <c r="U8" s="77"/>
      <c r="V8" s="77"/>
      <c r="W8" s="77"/>
      <c r="X8" s="49"/>
      <c r="Y8" s="46"/>
      <c r="Z8" s="50"/>
      <c r="AA8" s="46"/>
      <c r="AB8" s="46"/>
      <c r="AC8" s="45"/>
      <c r="AD8" s="53"/>
    </row>
    <row r="9" spans="1:30" x14ac:dyDescent="0.2">
      <c r="A9" s="21"/>
      <c r="B9" s="19"/>
      <c r="C9" s="19"/>
      <c r="D9" s="19"/>
      <c r="E9" s="43"/>
      <c r="F9" s="44"/>
      <c r="G9" s="45"/>
      <c r="H9" s="45"/>
      <c r="I9" s="77"/>
      <c r="J9" s="77"/>
      <c r="K9" s="77"/>
      <c r="L9" s="77"/>
      <c r="M9" s="77"/>
      <c r="N9" s="77"/>
      <c r="O9" s="77"/>
      <c r="P9" s="17"/>
      <c r="Q9" s="48"/>
      <c r="R9" s="78"/>
      <c r="S9" s="78"/>
      <c r="T9" s="79"/>
      <c r="U9" s="77"/>
      <c r="V9" s="77"/>
      <c r="W9" s="77"/>
      <c r="X9" s="49"/>
      <c r="Y9" s="46"/>
      <c r="Z9" s="50"/>
      <c r="AA9" s="46"/>
      <c r="AB9" s="46"/>
      <c r="AC9" s="45"/>
      <c r="AD9" s="53"/>
    </row>
    <row r="10" spans="1:30" x14ac:dyDescent="0.2">
      <c r="A10" s="21"/>
      <c r="B10" s="19"/>
      <c r="C10" s="19"/>
      <c r="D10" s="19"/>
      <c r="E10" s="43"/>
      <c r="F10" s="44"/>
      <c r="G10" s="45"/>
      <c r="H10" s="45"/>
      <c r="I10" s="77"/>
      <c r="J10" s="77"/>
      <c r="K10" s="77"/>
      <c r="L10" s="77"/>
      <c r="M10" s="77"/>
      <c r="N10" s="77"/>
      <c r="O10" s="77"/>
      <c r="P10" s="17"/>
      <c r="Q10" s="48"/>
      <c r="R10" s="78"/>
      <c r="S10" s="78"/>
      <c r="T10" s="79"/>
      <c r="U10" s="77"/>
      <c r="V10" s="77"/>
      <c r="W10" s="77"/>
      <c r="X10" s="49"/>
      <c r="Y10" s="46"/>
      <c r="Z10" s="50"/>
      <c r="AA10" s="46"/>
      <c r="AB10" s="46"/>
      <c r="AC10" s="45"/>
      <c r="AD10" s="53"/>
    </row>
    <row r="11" spans="1:30" x14ac:dyDescent="0.2">
      <c r="A11" s="21"/>
      <c r="B11" s="19"/>
      <c r="C11" s="19"/>
      <c r="D11" s="19"/>
      <c r="E11" s="43"/>
      <c r="F11" s="44"/>
      <c r="G11" s="45"/>
      <c r="H11" s="45"/>
      <c r="I11" s="77"/>
      <c r="J11" s="77"/>
      <c r="K11" s="77"/>
      <c r="L11" s="77"/>
      <c r="M11" s="77"/>
      <c r="N11" s="77"/>
      <c r="O11" s="77"/>
      <c r="P11" s="17"/>
      <c r="Q11" s="48"/>
      <c r="R11" s="78"/>
      <c r="S11" s="78"/>
      <c r="T11" s="79"/>
      <c r="U11" s="77"/>
      <c r="V11" s="77"/>
      <c r="W11" s="77"/>
      <c r="X11" s="49"/>
      <c r="Y11" s="46"/>
      <c r="Z11" s="50"/>
      <c r="AA11" s="46"/>
      <c r="AB11" s="46"/>
      <c r="AC11" s="45"/>
      <c r="AD11" s="53"/>
    </row>
    <row r="12" spans="1:30" x14ac:dyDescent="0.2">
      <c r="A12" s="21"/>
      <c r="B12" s="19"/>
      <c r="C12" s="19"/>
      <c r="D12" s="19"/>
      <c r="E12" s="43"/>
      <c r="F12" s="44"/>
      <c r="G12" s="45"/>
      <c r="H12" s="45"/>
      <c r="I12" s="77"/>
      <c r="J12" s="77"/>
      <c r="K12" s="77"/>
      <c r="L12" s="77"/>
      <c r="M12" s="77"/>
      <c r="N12" s="77"/>
      <c r="O12" s="77"/>
      <c r="P12" s="17"/>
      <c r="Q12" s="48"/>
      <c r="R12" s="78"/>
      <c r="S12" s="78"/>
      <c r="T12" s="79"/>
      <c r="U12" s="77"/>
      <c r="V12" s="77"/>
      <c r="W12" s="77"/>
      <c r="X12" s="49"/>
      <c r="Y12" s="46"/>
      <c r="Z12" s="50"/>
      <c r="AA12" s="46"/>
      <c r="AB12" s="46"/>
      <c r="AC12" s="45"/>
      <c r="AD12" s="53"/>
    </row>
    <row r="13" spans="1:30" x14ac:dyDescent="0.2">
      <c r="A13" s="21"/>
      <c r="B13" s="19"/>
      <c r="C13" s="19"/>
      <c r="D13" s="19"/>
      <c r="E13" s="43"/>
      <c r="F13" s="44"/>
      <c r="G13" s="45"/>
      <c r="H13" s="45"/>
      <c r="I13" s="77"/>
      <c r="J13" s="77"/>
      <c r="K13" s="77"/>
      <c r="L13" s="77"/>
      <c r="M13" s="77"/>
      <c r="N13" s="77"/>
      <c r="O13" s="77"/>
      <c r="P13" s="17"/>
      <c r="Q13" s="48"/>
      <c r="R13" s="78"/>
      <c r="S13" s="78"/>
      <c r="T13" s="79"/>
      <c r="U13" s="77"/>
      <c r="V13" s="77"/>
      <c r="W13" s="77"/>
      <c r="X13" s="49"/>
      <c r="Y13" s="46"/>
      <c r="Z13" s="50"/>
      <c r="AA13" s="46"/>
      <c r="AB13" s="46"/>
      <c r="AC13" s="45"/>
      <c r="AD13" s="53"/>
    </row>
    <row r="14" spans="1:30" x14ac:dyDescent="0.2">
      <c r="A14" s="21"/>
      <c r="B14" s="19"/>
      <c r="C14" s="19"/>
      <c r="D14" s="19"/>
      <c r="E14" s="43"/>
      <c r="F14" s="44"/>
      <c r="G14" s="45"/>
      <c r="H14" s="45"/>
      <c r="I14" s="77"/>
      <c r="J14" s="77"/>
      <c r="K14" s="77"/>
      <c r="L14" s="77"/>
      <c r="M14" s="77"/>
      <c r="N14" s="77"/>
      <c r="O14" s="77"/>
      <c r="P14" s="17"/>
      <c r="Q14" s="48"/>
      <c r="R14" s="78"/>
      <c r="S14" s="78"/>
      <c r="T14" s="79"/>
      <c r="U14" s="77"/>
      <c r="V14" s="77"/>
      <c r="W14" s="77"/>
      <c r="X14" s="49"/>
      <c r="Y14" s="46"/>
      <c r="Z14" s="50"/>
      <c r="AA14" s="46"/>
      <c r="AB14" s="46"/>
      <c r="AC14" s="45"/>
      <c r="AD14" s="53"/>
    </row>
    <row r="15" spans="1:30" x14ac:dyDescent="0.2">
      <c r="A15" s="21"/>
      <c r="B15" s="19"/>
      <c r="C15" s="19"/>
      <c r="D15" s="19"/>
      <c r="E15" s="43"/>
      <c r="F15" s="44"/>
      <c r="G15" s="45"/>
      <c r="H15" s="45"/>
      <c r="I15" s="77"/>
      <c r="J15" s="77"/>
      <c r="K15" s="77"/>
      <c r="L15" s="77"/>
      <c r="M15" s="77"/>
      <c r="N15" s="77"/>
      <c r="O15" s="77"/>
      <c r="P15" s="17"/>
      <c r="Q15" s="48"/>
      <c r="R15" s="78"/>
      <c r="S15" s="78"/>
      <c r="T15" s="79"/>
      <c r="U15" s="77"/>
      <c r="V15" s="77"/>
      <c r="W15" s="77"/>
      <c r="X15" s="49"/>
      <c r="Y15" s="46"/>
      <c r="Z15" s="50"/>
      <c r="AA15" s="46"/>
      <c r="AB15" s="46"/>
      <c r="AC15" s="45"/>
      <c r="AD15" s="53"/>
    </row>
    <row r="16" spans="1:30" x14ac:dyDescent="0.2">
      <c r="A16" s="21"/>
      <c r="B16" s="19"/>
      <c r="C16" s="19"/>
      <c r="D16" s="19"/>
      <c r="E16" s="43"/>
      <c r="F16" s="44"/>
      <c r="G16" s="45"/>
      <c r="H16" s="45"/>
      <c r="I16" s="77"/>
      <c r="J16" s="77"/>
      <c r="K16" s="77"/>
      <c r="L16" s="77"/>
      <c r="M16" s="77"/>
      <c r="N16" s="77"/>
      <c r="O16" s="77"/>
      <c r="P16" s="17"/>
      <c r="Q16" s="48"/>
      <c r="R16" s="78"/>
      <c r="S16" s="78"/>
      <c r="T16" s="79"/>
      <c r="U16" s="77"/>
      <c r="V16" s="77"/>
      <c r="W16" s="77"/>
      <c r="X16" s="49"/>
      <c r="Y16" s="46"/>
      <c r="Z16" s="50"/>
      <c r="AA16" s="46"/>
      <c r="AB16" s="46"/>
      <c r="AC16" s="45"/>
      <c r="AD16" s="53"/>
    </row>
    <row r="17" spans="1:30" x14ac:dyDescent="0.2">
      <c r="A17" s="21"/>
      <c r="B17" s="19"/>
      <c r="C17" s="19"/>
      <c r="D17" s="19"/>
      <c r="E17" s="43"/>
      <c r="F17" s="44"/>
      <c r="G17" s="45"/>
      <c r="H17" s="45"/>
      <c r="I17" s="77"/>
      <c r="J17" s="77"/>
      <c r="K17" s="77"/>
      <c r="L17" s="77"/>
      <c r="M17" s="77"/>
      <c r="N17" s="77"/>
      <c r="O17" s="77"/>
      <c r="P17" s="17"/>
      <c r="Q17" s="48"/>
      <c r="R17" s="78"/>
      <c r="S17" s="78"/>
      <c r="T17" s="79"/>
      <c r="U17" s="77"/>
      <c r="V17" s="77"/>
      <c r="W17" s="77"/>
      <c r="X17" s="49"/>
      <c r="Y17" s="46"/>
      <c r="Z17" s="50"/>
      <c r="AA17" s="46"/>
      <c r="AB17" s="46"/>
      <c r="AC17" s="45"/>
      <c r="AD17" s="53"/>
    </row>
    <row r="18" spans="1:30" x14ac:dyDescent="0.2">
      <c r="A18" s="21"/>
      <c r="B18" s="19"/>
      <c r="C18" s="19"/>
      <c r="D18" s="19"/>
      <c r="E18" s="43"/>
      <c r="F18" s="44"/>
      <c r="G18" s="45"/>
      <c r="H18" s="45"/>
      <c r="I18" s="77"/>
      <c r="J18" s="77"/>
      <c r="K18" s="77"/>
      <c r="L18" s="77"/>
      <c r="M18" s="77"/>
      <c r="N18" s="77"/>
      <c r="O18" s="77"/>
      <c r="P18" s="17"/>
      <c r="Q18" s="48"/>
      <c r="R18" s="78"/>
      <c r="S18" s="78"/>
      <c r="T18" s="79"/>
      <c r="U18" s="77"/>
      <c r="V18" s="77"/>
      <c r="W18" s="77"/>
      <c r="X18" s="49"/>
      <c r="Y18" s="46"/>
      <c r="Z18" s="50"/>
      <c r="AA18" s="46"/>
      <c r="AB18" s="46"/>
      <c r="AC18" s="45"/>
      <c r="AD18" s="53"/>
    </row>
    <row r="19" spans="1:30" x14ac:dyDescent="0.2">
      <c r="A19" s="21"/>
      <c r="B19" s="19"/>
      <c r="C19" s="19"/>
      <c r="D19" s="19"/>
      <c r="E19" s="43"/>
      <c r="F19" s="44"/>
      <c r="G19" s="45"/>
      <c r="H19" s="45"/>
      <c r="I19" s="77"/>
      <c r="J19" s="77"/>
      <c r="K19" s="77"/>
      <c r="L19" s="77"/>
      <c r="M19" s="77"/>
      <c r="N19" s="77"/>
      <c r="O19" s="77"/>
      <c r="P19" s="17"/>
      <c r="Q19" s="48"/>
      <c r="R19" s="78"/>
      <c r="S19" s="78"/>
      <c r="T19" s="79"/>
      <c r="U19" s="77"/>
      <c r="V19" s="77"/>
      <c r="W19" s="77"/>
      <c r="X19" s="49"/>
      <c r="Y19" s="46"/>
      <c r="Z19" s="50"/>
      <c r="AA19" s="46"/>
      <c r="AB19" s="46"/>
      <c r="AC19" s="45"/>
      <c r="AD19" s="53"/>
    </row>
    <row r="20" spans="1:30" x14ac:dyDescent="0.2">
      <c r="A20" s="21"/>
      <c r="B20" s="19"/>
      <c r="C20" s="19"/>
      <c r="D20" s="19"/>
      <c r="E20" s="43"/>
      <c r="F20" s="44"/>
      <c r="G20" s="45"/>
      <c r="H20" s="45"/>
      <c r="I20" s="77"/>
      <c r="J20" s="77"/>
      <c r="K20" s="77"/>
      <c r="L20" s="77"/>
      <c r="M20" s="77"/>
      <c r="N20" s="77"/>
      <c r="O20" s="77"/>
      <c r="P20" s="17"/>
      <c r="Q20" s="48"/>
      <c r="R20" s="78"/>
      <c r="S20" s="78"/>
      <c r="T20" s="79"/>
      <c r="U20" s="77"/>
      <c r="V20" s="77"/>
      <c r="W20" s="77"/>
      <c r="X20" s="49"/>
      <c r="Y20" s="46"/>
      <c r="Z20" s="50"/>
      <c r="AA20" s="46"/>
      <c r="AB20" s="46"/>
      <c r="AC20" s="45"/>
      <c r="AD20" s="53"/>
    </row>
    <row r="21" spans="1:30" x14ac:dyDescent="0.2">
      <c r="A21" s="21"/>
      <c r="B21" s="19"/>
      <c r="C21" s="19"/>
      <c r="D21" s="19"/>
      <c r="E21" s="43"/>
      <c r="F21" s="44"/>
      <c r="G21" s="45"/>
      <c r="H21" s="45"/>
      <c r="I21" s="77"/>
      <c r="J21" s="77"/>
      <c r="K21" s="77"/>
      <c r="L21" s="77"/>
      <c r="M21" s="77"/>
      <c r="N21" s="77"/>
      <c r="O21" s="77"/>
      <c r="P21" s="17"/>
      <c r="Q21" s="48"/>
      <c r="R21" s="78"/>
      <c r="S21" s="78"/>
      <c r="T21" s="79"/>
      <c r="U21" s="77"/>
      <c r="V21" s="77"/>
      <c r="W21" s="77"/>
      <c r="X21" s="49"/>
      <c r="Y21" s="46"/>
      <c r="Z21" s="50"/>
      <c r="AA21" s="46"/>
      <c r="AB21" s="46"/>
      <c r="AC21" s="45"/>
      <c r="AD21" s="53"/>
    </row>
    <row r="22" spans="1:30" x14ac:dyDescent="0.2">
      <c r="A22" s="21"/>
      <c r="B22" s="19"/>
      <c r="C22" s="19"/>
      <c r="D22" s="19"/>
      <c r="E22" s="43"/>
      <c r="F22" s="44"/>
      <c r="G22" s="45"/>
      <c r="H22" s="45"/>
      <c r="I22" s="77"/>
      <c r="J22" s="77"/>
      <c r="K22" s="77"/>
      <c r="L22" s="77"/>
      <c r="M22" s="77"/>
      <c r="N22" s="77"/>
      <c r="O22" s="77"/>
      <c r="P22" s="17"/>
      <c r="Q22" s="48"/>
      <c r="R22" s="78"/>
      <c r="S22" s="78"/>
      <c r="T22" s="79"/>
      <c r="U22" s="77"/>
      <c r="V22" s="77"/>
      <c r="W22" s="77"/>
      <c r="X22" s="49"/>
      <c r="Y22" s="46"/>
      <c r="Z22" s="50"/>
      <c r="AA22" s="46"/>
      <c r="AB22" s="46"/>
      <c r="AC22" s="45"/>
      <c r="AD22" s="53"/>
    </row>
    <row r="23" spans="1:30" x14ac:dyDescent="0.2">
      <c r="A23" s="21"/>
      <c r="B23" s="19"/>
      <c r="C23" s="19"/>
      <c r="D23" s="19"/>
      <c r="E23" s="43"/>
      <c r="F23" s="44"/>
      <c r="G23" s="45"/>
      <c r="H23" s="45"/>
      <c r="I23" s="77"/>
      <c r="J23" s="77"/>
      <c r="K23" s="77"/>
      <c r="L23" s="77"/>
      <c r="M23" s="77"/>
      <c r="N23" s="77"/>
      <c r="O23" s="77"/>
      <c r="P23" s="17"/>
      <c r="Q23" s="48"/>
      <c r="R23" s="78"/>
      <c r="S23" s="78"/>
      <c r="T23" s="79"/>
      <c r="U23" s="77"/>
      <c r="V23" s="77"/>
      <c r="W23" s="77"/>
      <c r="X23" s="49"/>
      <c r="Y23" s="46"/>
      <c r="Z23" s="50"/>
      <c r="AA23" s="46"/>
      <c r="AB23" s="46"/>
      <c r="AC23" s="45"/>
      <c r="AD23" s="53"/>
    </row>
    <row r="24" spans="1:30" x14ac:dyDescent="0.2">
      <c r="A24" s="21"/>
      <c r="B24" s="19"/>
      <c r="C24" s="19"/>
      <c r="D24" s="19"/>
      <c r="E24" s="43"/>
      <c r="F24" s="44"/>
      <c r="G24" s="45"/>
      <c r="H24" s="45"/>
      <c r="I24" s="77"/>
      <c r="J24" s="77"/>
      <c r="K24" s="77"/>
      <c r="L24" s="77"/>
      <c r="M24" s="77"/>
      <c r="N24" s="77"/>
      <c r="O24" s="77"/>
      <c r="P24" s="17"/>
      <c r="Q24" s="48"/>
      <c r="R24" s="78"/>
      <c r="S24" s="78"/>
      <c r="T24" s="79"/>
      <c r="U24" s="77"/>
      <c r="V24" s="77"/>
      <c r="W24" s="77"/>
      <c r="X24" s="49"/>
      <c r="Y24" s="46"/>
      <c r="Z24" s="50"/>
      <c r="AA24" s="46"/>
      <c r="AB24" s="46"/>
      <c r="AC24" s="45"/>
      <c r="AD24" s="53"/>
    </row>
    <row r="25" spans="1:30" x14ac:dyDescent="0.2">
      <c r="A25" s="21"/>
      <c r="B25" s="19"/>
      <c r="C25" s="19"/>
      <c r="D25" s="19"/>
      <c r="E25" s="43"/>
      <c r="F25" s="44"/>
      <c r="G25" s="45"/>
      <c r="H25" s="45"/>
      <c r="I25" s="77"/>
      <c r="J25" s="77"/>
      <c r="K25" s="77"/>
      <c r="L25" s="77"/>
      <c r="M25" s="77"/>
      <c r="N25" s="77"/>
      <c r="O25" s="77"/>
      <c r="P25" s="17"/>
      <c r="Q25" s="48"/>
      <c r="R25" s="78"/>
      <c r="S25" s="78"/>
      <c r="T25" s="79"/>
      <c r="U25" s="77"/>
      <c r="V25" s="77"/>
      <c r="W25" s="77"/>
      <c r="X25" s="49"/>
      <c r="Y25" s="46"/>
      <c r="Z25" s="50"/>
      <c r="AA25" s="46"/>
      <c r="AB25" s="46"/>
      <c r="AC25" s="45"/>
      <c r="AD25" s="53"/>
    </row>
    <row r="26" spans="1:30" x14ac:dyDescent="0.2">
      <c r="A26" s="21"/>
      <c r="B26" s="19"/>
      <c r="C26" s="19"/>
      <c r="D26" s="19"/>
      <c r="E26" s="43"/>
      <c r="F26" s="44"/>
      <c r="G26" s="45"/>
      <c r="H26" s="45"/>
      <c r="I26" s="77"/>
      <c r="J26" s="77"/>
      <c r="K26" s="77"/>
      <c r="L26" s="77"/>
      <c r="M26" s="77"/>
      <c r="N26" s="77"/>
      <c r="O26" s="77"/>
      <c r="P26" s="17"/>
      <c r="Q26" s="48"/>
      <c r="R26" s="78"/>
      <c r="S26" s="78"/>
      <c r="T26" s="79"/>
      <c r="U26" s="77"/>
      <c r="V26" s="77"/>
      <c r="W26" s="77"/>
      <c r="X26" s="49"/>
      <c r="Y26" s="46"/>
      <c r="Z26" s="50"/>
      <c r="AA26" s="46"/>
      <c r="AB26" s="46"/>
      <c r="AC26" s="45"/>
      <c r="AD26" s="53"/>
    </row>
    <row r="27" spans="1:30" x14ac:dyDescent="0.2">
      <c r="A27" s="21"/>
      <c r="B27" s="19"/>
      <c r="C27" s="19"/>
      <c r="D27" s="19"/>
      <c r="E27" s="43"/>
      <c r="F27" s="44"/>
      <c r="G27" s="45"/>
      <c r="H27" s="45"/>
      <c r="I27" s="77"/>
      <c r="J27" s="77"/>
      <c r="K27" s="77"/>
      <c r="L27" s="77"/>
      <c r="M27" s="77"/>
      <c r="N27" s="77"/>
      <c r="O27" s="77"/>
      <c r="P27" s="17"/>
      <c r="Q27" s="48"/>
      <c r="R27" s="78"/>
      <c r="S27" s="78"/>
      <c r="T27" s="79"/>
      <c r="U27" s="77"/>
      <c r="V27" s="77"/>
      <c r="W27" s="77"/>
      <c r="X27" s="49"/>
      <c r="Y27" s="46"/>
      <c r="Z27" s="50"/>
      <c r="AA27" s="46"/>
      <c r="AB27" s="46"/>
      <c r="AC27" s="45"/>
      <c r="AD27" s="53"/>
    </row>
    <row r="28" spans="1:30" x14ac:dyDescent="0.2">
      <c r="A28" s="21"/>
      <c r="B28" s="19"/>
      <c r="C28" s="19"/>
      <c r="D28" s="19"/>
      <c r="E28" s="43"/>
      <c r="F28" s="44"/>
      <c r="G28" s="45"/>
      <c r="H28" s="45"/>
      <c r="I28" s="77"/>
      <c r="J28" s="77"/>
      <c r="K28" s="77"/>
      <c r="L28" s="77"/>
      <c r="M28" s="77"/>
      <c r="N28" s="77"/>
      <c r="O28" s="77"/>
      <c r="P28" s="17"/>
      <c r="Q28" s="48"/>
      <c r="R28" s="78"/>
      <c r="S28" s="78"/>
      <c r="T28" s="79"/>
      <c r="U28" s="77"/>
      <c r="V28" s="77"/>
      <c r="W28" s="77"/>
      <c r="X28" s="49"/>
      <c r="Y28" s="46"/>
      <c r="Z28" s="50"/>
      <c r="AA28" s="46"/>
      <c r="AB28" s="46"/>
      <c r="AC28" s="45"/>
      <c r="AD28" s="53"/>
    </row>
    <row r="29" spans="1:30" x14ac:dyDescent="0.2">
      <c r="A29" s="21"/>
      <c r="B29" s="19"/>
      <c r="C29" s="19"/>
      <c r="D29" s="19"/>
      <c r="E29" s="43"/>
      <c r="F29" s="44"/>
      <c r="G29" s="45"/>
      <c r="H29" s="45"/>
      <c r="I29" s="77"/>
      <c r="J29" s="77"/>
      <c r="K29" s="77"/>
      <c r="L29" s="77"/>
      <c r="M29" s="77"/>
      <c r="N29" s="77"/>
      <c r="O29" s="77"/>
      <c r="P29" s="17"/>
      <c r="Q29" s="48"/>
      <c r="R29" s="78"/>
      <c r="S29" s="78"/>
      <c r="T29" s="79"/>
      <c r="U29" s="77"/>
      <c r="V29" s="77"/>
      <c r="W29" s="77"/>
      <c r="X29" s="49"/>
      <c r="Y29" s="46"/>
      <c r="Z29" s="50"/>
      <c r="AA29" s="46"/>
      <c r="AB29" s="46"/>
      <c r="AC29" s="45"/>
      <c r="AD29" s="53"/>
    </row>
    <row r="30" spans="1:30" x14ac:dyDescent="0.2">
      <c r="A30" s="21"/>
      <c r="B30" s="19"/>
      <c r="C30" s="19"/>
      <c r="D30" s="19"/>
      <c r="E30" s="43"/>
      <c r="F30" s="44"/>
      <c r="G30" s="45"/>
      <c r="H30" s="45"/>
      <c r="I30" s="77"/>
      <c r="J30" s="77"/>
      <c r="K30" s="77"/>
      <c r="L30" s="77"/>
      <c r="M30" s="77"/>
      <c r="N30" s="77"/>
      <c r="O30" s="77"/>
      <c r="P30" s="17"/>
      <c r="Q30" s="48"/>
      <c r="R30" s="78"/>
      <c r="S30" s="78"/>
      <c r="T30" s="79"/>
      <c r="U30" s="77"/>
      <c r="V30" s="77"/>
      <c r="W30" s="77"/>
      <c r="X30" s="49"/>
      <c r="Y30" s="46"/>
      <c r="Z30" s="50"/>
      <c r="AA30" s="46"/>
      <c r="AB30" s="46"/>
      <c r="AC30" s="45"/>
      <c r="AD30" s="53"/>
    </row>
    <row r="31" spans="1:30" x14ac:dyDescent="0.2">
      <c r="A31" s="21"/>
      <c r="B31" s="19"/>
      <c r="C31" s="19"/>
      <c r="D31" s="19"/>
      <c r="E31" s="43"/>
      <c r="F31" s="44"/>
      <c r="G31" s="45"/>
      <c r="H31" s="45"/>
      <c r="I31" s="77"/>
      <c r="J31" s="77"/>
      <c r="K31" s="77"/>
      <c r="L31" s="77"/>
      <c r="M31" s="77"/>
      <c r="N31" s="77"/>
      <c r="O31" s="77"/>
      <c r="P31" s="17"/>
      <c r="Q31" s="48"/>
      <c r="R31" s="78"/>
      <c r="S31" s="78"/>
      <c r="T31" s="79"/>
      <c r="U31" s="77"/>
      <c r="V31" s="77"/>
      <c r="W31" s="77"/>
      <c r="X31" s="49"/>
      <c r="Y31" s="46"/>
      <c r="Z31" s="50"/>
      <c r="AA31" s="46"/>
      <c r="AB31" s="46"/>
      <c r="AC31" s="45"/>
      <c r="AD31" s="53"/>
    </row>
    <row r="32" spans="1:30" x14ac:dyDescent="0.2">
      <c r="A32" s="21"/>
      <c r="B32" s="19"/>
      <c r="C32" s="19"/>
      <c r="D32" s="19"/>
      <c r="E32" s="43"/>
      <c r="F32" s="44"/>
      <c r="G32" s="45"/>
      <c r="H32" s="45"/>
      <c r="I32" s="77"/>
      <c r="J32" s="77"/>
      <c r="K32" s="77"/>
      <c r="L32" s="77"/>
      <c r="M32" s="77"/>
      <c r="N32" s="77"/>
      <c r="O32" s="77"/>
      <c r="P32" s="17"/>
      <c r="Q32" s="48"/>
      <c r="R32" s="78"/>
      <c r="S32" s="78"/>
      <c r="T32" s="79"/>
      <c r="U32" s="77"/>
      <c r="V32" s="77"/>
      <c r="W32" s="77"/>
      <c r="X32" s="49"/>
      <c r="Y32" s="46"/>
      <c r="Z32" s="50"/>
      <c r="AA32" s="46"/>
      <c r="AB32" s="46"/>
      <c r="AC32" s="45"/>
      <c r="AD32" s="53"/>
    </row>
    <row r="33" spans="1:30" x14ac:dyDescent="0.2">
      <c r="A33" s="21"/>
      <c r="B33" s="19"/>
      <c r="C33" s="19"/>
      <c r="D33" s="19"/>
      <c r="E33" s="43"/>
      <c r="F33" s="44"/>
      <c r="G33" s="45"/>
      <c r="H33" s="45"/>
      <c r="I33" s="77"/>
      <c r="J33" s="77"/>
      <c r="K33" s="77"/>
      <c r="L33" s="77"/>
      <c r="M33" s="77"/>
      <c r="N33" s="77"/>
      <c r="O33" s="77"/>
      <c r="P33" s="17"/>
      <c r="Q33" s="48"/>
      <c r="R33" s="78"/>
      <c r="S33" s="78"/>
      <c r="T33" s="79"/>
      <c r="U33" s="77"/>
      <c r="V33" s="77"/>
      <c r="W33" s="77"/>
      <c r="X33" s="49"/>
      <c r="Y33" s="46"/>
      <c r="Z33" s="50"/>
      <c r="AA33" s="46"/>
      <c r="AB33" s="46"/>
      <c r="AC33" s="45"/>
      <c r="AD33" s="53"/>
    </row>
    <row r="34" spans="1:30" x14ac:dyDescent="0.2">
      <c r="I34" s="53"/>
      <c r="J34" s="53"/>
      <c r="K34" s="53"/>
      <c r="L34" s="53"/>
      <c r="M34" s="53"/>
      <c r="N34" s="53"/>
      <c r="O34" s="53"/>
      <c r="P34" s="17"/>
      <c r="R34" s="53"/>
      <c r="S34" s="53"/>
      <c r="T34" s="53"/>
      <c r="U34" s="53"/>
      <c r="V34" s="53"/>
      <c r="W34" s="53"/>
      <c r="X34" s="57"/>
      <c r="Y34" s="17"/>
      <c r="Z34" s="17"/>
      <c r="AA34" s="17"/>
      <c r="AB34" s="17"/>
      <c r="AC34" s="57"/>
      <c r="AD34" s="53"/>
    </row>
  </sheetData>
  <sheetProtection algorithmName="SHA-512" hashValue="F3DdM52WdzNyhEKSTnl6STO0itiHUU9NZzvQ6RuEyEuIhYNpN5BQowHfSF5VXUpO4Hwd31jj3Nqybwi+v4/b5w==" saltValue="hzG5872me1QkEtU7gQ+WTQ==" spinCount="100000" sheet="1" objects="1" scenarios="1"/>
  <mergeCells count="1">
    <mergeCell ref="A1:H1"/>
  </mergeCells>
  <phoneticPr fontId="5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7"/>
  <sheetViews>
    <sheetView workbookViewId="0">
      <selection activeCell="A3" sqref="A3:E12"/>
    </sheetView>
  </sheetViews>
  <sheetFormatPr defaultColWidth="9" defaultRowHeight="12.75" x14ac:dyDescent="0.2"/>
  <cols>
    <col min="1" max="1" width="8.625" style="13" customWidth="1"/>
    <col min="2" max="4" width="9" style="13" customWidth="1"/>
    <col min="5" max="5" width="12.125" style="13" customWidth="1"/>
    <col min="6" max="6" width="13.5" style="53" customWidth="1"/>
    <col min="7" max="7" width="8.125" style="53" customWidth="1"/>
    <col min="8" max="10" width="8.125" style="57" customWidth="1"/>
    <col min="11" max="17" width="10.25" style="13" hidden="1" customWidth="1"/>
    <col min="18" max="18" width="10.25" style="51" hidden="1" customWidth="1"/>
    <col min="19" max="19" width="8" style="53" hidden="1" customWidth="1"/>
    <col min="20" max="25" width="8" style="13" hidden="1" customWidth="1"/>
    <col min="26" max="26" width="8.125" style="52" hidden="1" customWidth="1"/>
    <col min="27" max="30" width="10.25" style="51" hidden="1" customWidth="1"/>
    <col min="31" max="31" width="8.125" style="52" hidden="1" customWidth="1"/>
    <col min="32" max="16384" width="9" style="13"/>
  </cols>
  <sheetData>
    <row r="1" spans="1:32" s="6" customFormat="1" ht="42.95" customHeight="1" x14ac:dyDescent="0.2">
      <c r="A1" s="106" t="s">
        <v>51</v>
      </c>
      <c r="B1" s="81"/>
      <c r="C1" s="81"/>
      <c r="D1" s="81"/>
      <c r="E1" s="81"/>
      <c r="F1" s="81"/>
      <c r="G1" s="81"/>
      <c r="H1" s="81"/>
      <c r="I1" s="81"/>
      <c r="J1" s="81"/>
      <c r="K1" s="40"/>
      <c r="L1" s="40"/>
      <c r="M1" s="40"/>
      <c r="N1" s="40"/>
      <c r="O1" s="40"/>
      <c r="P1" s="40"/>
      <c r="Q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</row>
    <row r="2" spans="1:32" s="3" customFormat="1" ht="75" customHeight="1" x14ac:dyDescent="0.2">
      <c r="A2" s="54" t="s">
        <v>1</v>
      </c>
      <c r="B2" s="54" t="s">
        <v>8</v>
      </c>
      <c r="C2" s="54" t="s">
        <v>9</v>
      </c>
      <c r="D2" s="55" t="s">
        <v>10</v>
      </c>
      <c r="E2" s="56" t="s">
        <v>11</v>
      </c>
      <c r="F2" s="36" t="s">
        <v>33</v>
      </c>
      <c r="G2" s="36" t="s">
        <v>59</v>
      </c>
      <c r="H2" s="37" t="s">
        <v>60</v>
      </c>
      <c r="I2" s="36" t="s">
        <v>61</v>
      </c>
      <c r="J2" s="37" t="s">
        <v>62</v>
      </c>
      <c r="K2" s="74" t="s">
        <v>17</v>
      </c>
      <c r="L2" s="74" t="s">
        <v>18</v>
      </c>
      <c r="M2" s="74" t="s">
        <v>19</v>
      </c>
      <c r="N2" s="74" t="s">
        <v>20</v>
      </c>
      <c r="O2" s="74" t="s">
        <v>21</v>
      </c>
      <c r="P2" s="74" t="s">
        <v>22</v>
      </c>
      <c r="Q2" s="74" t="s">
        <v>23</v>
      </c>
      <c r="R2" s="4" t="s">
        <v>28</v>
      </c>
      <c r="S2" s="7" t="s">
        <v>0</v>
      </c>
      <c r="T2" s="75" t="s">
        <v>2</v>
      </c>
      <c r="U2" s="75" t="s">
        <v>3</v>
      </c>
      <c r="V2" s="76" t="s">
        <v>4</v>
      </c>
      <c r="W2" s="76" t="s">
        <v>5</v>
      </c>
      <c r="X2" s="76" t="s">
        <v>6</v>
      </c>
      <c r="Y2" s="76" t="s">
        <v>7</v>
      </c>
      <c r="Z2" s="5" t="s">
        <v>25</v>
      </c>
      <c r="AA2" s="38" t="s">
        <v>39</v>
      </c>
      <c r="AB2" s="38" t="s">
        <v>24</v>
      </c>
      <c r="AC2" s="72" t="s">
        <v>26</v>
      </c>
      <c r="AD2" s="72" t="s">
        <v>27</v>
      </c>
      <c r="AE2" s="36" t="s">
        <v>44</v>
      </c>
      <c r="AF2" s="64"/>
    </row>
    <row r="3" spans="1:32" x14ac:dyDescent="0.2">
      <c r="A3" s="21"/>
      <c r="B3" s="19"/>
      <c r="C3" s="19"/>
      <c r="D3" s="19"/>
      <c r="E3" s="43"/>
      <c r="F3" s="44" t="str">
        <f t="shared" ref="F3:F5" si="0">IF(AND(A3=0,B3=0,C3=0,D3=0,E3=0),"",IF(AND(B3&lt;25,C3&lt;18,D3&lt;2,(A3+T3)&lt;250),"小件",IF(AND(B3&lt;33,C3&lt;24,D3&lt;2.8,(A3+T3)&lt;1000),"标准件类别1",IF(AND(B3&lt;45,C3&lt;35,D3&lt;20,S3&lt;60,(A3+U3)&lt;2000),"标准件类别2",IF(AND(B3&lt;45,C3&lt;35,D3&lt;20,S3&lt;80,(A3+U3)&lt;5000),"标准件类别3",IF(AND(B3&lt;45,C3&lt;35,D3&lt;20,S3&lt;100,(A3+U3)&lt;9000),"标准件类别4",IF(AND(OR(A3&gt;=9000,B3&gt;=45,C3&gt;=35,D3&gt;=20),AND(S3&lt;60,(A3+U3)&lt;2000)),"大件类别1",IF(AND(OR(A3&gt;=9000,B3&gt;=45,C3&gt;=35,D3&gt;=20),AND(S3&lt;80,(A3+U3)&lt;5000)),"大件类别2",IF(AND(OR(A3&gt;=9000,B3&gt;=45,C3&gt;=35,D3&gt;=20),AND(S3&lt;100,(A3+U3)&lt;10000)),"大件类别3",IF(AND(OR(A3&gt;=9000,B3&gt;=45,C3&gt;=35,D3&gt;=20),AND(S3&lt;120,(A3+V3)&lt;15000)),"大件类别4",IF(AND(OR(A3&gt;=9000,B3&gt;=45,C3&gt;=35,D3&gt;=20),AND(S3&lt;140,(A3+W3)&lt;20000)),"大件类别5",IF(AND(OR(A3&gt;=9000,B3&gt;=45,C3&gt;=35,D3&gt;=20),AND(S3&lt;160,(A3+X3)&lt;25000)),"大件类别6",IF(AND(B3&gt;=90,S3&gt;=170),"不可使用FBA服务",IF(AND(OR(A3&gt;=9000,B3&gt;=45,C3&gt;=35,D3&gt;=20),AND(S3&lt;180,(A3+X3)&lt;30000)),"大件类别7",IF(AND(OR(A3&gt;=9000,B3&gt;=45,C3&gt;=35,D3&gt;=20),AND(S3&lt;200,(A3+Y3)&lt;40000)),"大件类别8",IF(OR(A3&gt;=40000,S3&gt;=200),"不可使用FBA服务"))))))))))))))))</f>
        <v/>
      </c>
      <c r="G3" s="45" t="str">
        <f>IF(F3="","",IF(F3="不可使用FBA服务","",IF(F3="小件","52",IF(F3="标准件类别1","52",IF(F3="标准件类别2","52",IF(F3="标准件类别3","52",IF(F3="标准件类别4","52",IF(F3="大件类别1","105",IF(F3="大件类别2","105",IF(F3="大件类别3","105",IF(F3="大件类别4","105",IF(F3="大件类别5","105",IF(F3="大件类别6","105",IF(F3="大件类别7","105",IF(F3="大件类别8","105")))))))))))))))</f>
        <v/>
      </c>
      <c r="H3" s="45" t="str">
        <f t="shared" ref="H3:J5" si="1">IF(G3="","",G3/E3)</f>
        <v/>
      </c>
      <c r="I3" s="45" t="str">
        <f>IF(F3="","",IF(F3="不可使用FBA服务","",IF(F3="小件","10",IF(F3="标准件类别1","10",IF(F3="标准件类别2","10",IF(F3="标准件类别3","10",IF(F3="标准件类别4","10",IF(F3="大件类别1","21",IF(F3="大件类别2","21",IF(F3="大件类别3","21",IF(F3="大件类别4","21",IF(F3="大件类别5","21",IF(F3="大件类别6","21",IF(F3="大件类别7","21",IF(F3="大件类别8","21")))))))))))))))</f>
        <v/>
      </c>
      <c r="J3" s="45" t="str">
        <f t="shared" si="1"/>
        <v/>
      </c>
      <c r="K3" s="77" t="b">
        <f t="shared" ref="K3:K5" si="2">IF(OR(F3="小件",F3="标准件类别1",F3="标准件类别2",F3="标准件类别3",F3="标准件类别4"),"5.07",IF(OR(F3="大件类别1",F3="大件类别2",F3="大件类别3",F3="大件类别4",F3="大件类别5",F3="大件类别6",F3="大件类别7",F3="大件类别8"),"4.29"))</f>
        <v>0</v>
      </c>
      <c r="L3" s="77" t="b">
        <f t="shared" ref="L3:L5" si="3">IF(OR(F3="小件",F3="标准件类别1",F3="标准件类别2",F3="标准件类别3",F3="标准件类别4"),"9",IF(OR(F3="大件类别1",F3="大件类别2",F3="大件类别3",F3="大件类别4",F3="大件类别5",F3="大件类别6",F3="大件类别7",F3="大件类别8"),"7.615"))</f>
        <v>0</v>
      </c>
      <c r="M3" s="77">
        <f t="shared" ref="M3:M5" si="4">B3*C3*D3</f>
        <v>0</v>
      </c>
      <c r="N3" s="77">
        <f>K3*M3/1000</f>
        <v>0</v>
      </c>
      <c r="O3" s="77" t="e">
        <f t="shared" ref="O3:O5" si="5">N3/E3</f>
        <v>#DIV/0!</v>
      </c>
      <c r="P3" s="77">
        <f>L3*M3/1000</f>
        <v>0</v>
      </c>
      <c r="Q3" s="77" t="e">
        <f t="shared" ref="Q3:Q5" si="6">P3/E3</f>
        <v>#DIV/0!</v>
      </c>
      <c r="R3" s="46" t="e">
        <f>#REF!/108*110</f>
        <v>#REF!</v>
      </c>
      <c r="S3" s="48">
        <f t="shared" ref="S3:S5" si="7">B3+C3+D3</f>
        <v>0</v>
      </c>
      <c r="T3" s="78">
        <v>50</v>
      </c>
      <c r="U3" s="78">
        <v>150</v>
      </c>
      <c r="V3" s="79">
        <v>500</v>
      </c>
      <c r="W3" s="77">
        <v>700</v>
      </c>
      <c r="X3" s="77">
        <v>1200</v>
      </c>
      <c r="Y3" s="77">
        <v>1400</v>
      </c>
      <c r="Z3" s="49" t="e">
        <f t="shared" ref="Z3:Z5" si="8">H3/108*110</f>
        <v>#VALUE!</v>
      </c>
      <c r="AA3" s="46" t="e">
        <f>#REF!/108*110</f>
        <v>#REF!</v>
      </c>
      <c r="AB3" s="50" t="e">
        <f>#REF!/108*110</f>
        <v>#REF!</v>
      </c>
      <c r="AC3" s="46" t="e">
        <f>#REF!/108*110</f>
        <v>#REF!</v>
      </c>
      <c r="AD3" s="46" t="e">
        <f>#REF!/108*110</f>
        <v>#REF!</v>
      </c>
      <c r="AE3" s="45" t="e">
        <f t="shared" ref="AE3:AE5" si="9">G3/108*110</f>
        <v>#VALUE!</v>
      </c>
      <c r="AF3" s="53"/>
    </row>
    <row r="4" spans="1:32" x14ac:dyDescent="0.2">
      <c r="A4" s="21"/>
      <c r="B4" s="19"/>
      <c r="C4" s="19"/>
      <c r="D4" s="19"/>
      <c r="E4" s="43"/>
      <c r="F4" s="44" t="str">
        <f t="shared" si="0"/>
        <v/>
      </c>
      <c r="G4" s="45" t="str">
        <f t="shared" ref="G4:G5" si="10">IF(F4="","",IF(F4="不可使用FBA服务","",IF(F4="小件","52",IF(F4="标准件类别1","52",IF(F4="标准件类别2","52",IF(F4="标准件类别3","52",IF(F4="标准件类别4","52",IF(F4="大件类别1","105",IF(F4="大件类别2","105",IF(F4="大件类别3","105",IF(F4="大件类别4","105",IF(F4="大件类别5","105",IF(F4="大件类别6","105",IF(F4="大件类别7","105",IF(F4="大件类别8","105")))))))))))))))</f>
        <v/>
      </c>
      <c r="H4" s="45" t="str">
        <f t="shared" si="1"/>
        <v/>
      </c>
      <c r="I4" s="45" t="str">
        <f t="shared" ref="I4:I5" si="11">IF(F4="","",IF(F4="不可使用FBA服务","",IF(F4="小件","10",IF(F4="标准件类别1","10",IF(F4="标准件类别2","10",IF(F4="标准件类别3","10",IF(F4="标准件类别4","10",IF(F4="大件类别1","21",IF(F4="大件类别2","21",IF(F4="大件类别3","21",IF(F4="大件类别4","21",IF(F4="大件类别5","21",IF(F4="大件类别6","21",IF(F4="大件类别7","21",IF(F4="大件类别8","21")))))))))))))))</f>
        <v/>
      </c>
      <c r="J4" s="45" t="str">
        <f t="shared" si="1"/>
        <v/>
      </c>
      <c r="K4" s="77" t="b">
        <f t="shared" si="2"/>
        <v>0</v>
      </c>
      <c r="L4" s="77" t="b">
        <f t="shared" si="3"/>
        <v>0</v>
      </c>
      <c r="M4" s="77">
        <f t="shared" si="4"/>
        <v>0</v>
      </c>
      <c r="N4" s="77">
        <f t="shared" ref="N4:N5" si="12">K4*M4/1000</f>
        <v>0</v>
      </c>
      <c r="O4" s="77" t="e">
        <f t="shared" si="5"/>
        <v>#DIV/0!</v>
      </c>
      <c r="P4" s="77">
        <f t="shared" ref="P4:P5" si="13">L4*M4/1000</f>
        <v>0</v>
      </c>
      <c r="Q4" s="77" t="e">
        <f t="shared" si="6"/>
        <v>#DIV/0!</v>
      </c>
      <c r="R4" s="17"/>
      <c r="S4" s="48">
        <f t="shared" si="7"/>
        <v>0</v>
      </c>
      <c r="T4" s="78">
        <v>50</v>
      </c>
      <c r="U4" s="78">
        <v>150</v>
      </c>
      <c r="V4" s="79">
        <v>500</v>
      </c>
      <c r="W4" s="77">
        <v>700</v>
      </c>
      <c r="X4" s="77">
        <v>1200</v>
      </c>
      <c r="Y4" s="77">
        <v>1400</v>
      </c>
      <c r="Z4" s="49" t="e">
        <f t="shared" si="8"/>
        <v>#VALUE!</v>
      </c>
      <c r="AA4" s="46" t="e">
        <f>#REF!/108*110</f>
        <v>#REF!</v>
      </c>
      <c r="AB4" s="50" t="e">
        <f>#REF!/108*110</f>
        <v>#REF!</v>
      </c>
      <c r="AC4" s="46" t="e">
        <f>#REF!/108*110</f>
        <v>#REF!</v>
      </c>
      <c r="AD4" s="46" t="e">
        <f>#REF!/108*110</f>
        <v>#REF!</v>
      </c>
      <c r="AE4" s="45" t="e">
        <f t="shared" si="9"/>
        <v>#VALUE!</v>
      </c>
      <c r="AF4" s="53"/>
    </row>
    <row r="5" spans="1:32" x14ac:dyDescent="0.2">
      <c r="A5" s="21"/>
      <c r="B5" s="19"/>
      <c r="C5" s="19"/>
      <c r="D5" s="19"/>
      <c r="E5" s="43"/>
      <c r="F5" s="44" t="str">
        <f t="shared" si="0"/>
        <v/>
      </c>
      <c r="G5" s="45" t="str">
        <f t="shared" si="10"/>
        <v/>
      </c>
      <c r="H5" s="45" t="str">
        <f t="shared" si="1"/>
        <v/>
      </c>
      <c r="I5" s="45" t="str">
        <f t="shared" si="11"/>
        <v/>
      </c>
      <c r="J5" s="45" t="str">
        <f t="shared" si="1"/>
        <v/>
      </c>
      <c r="K5" s="77" t="b">
        <f t="shared" si="2"/>
        <v>0</v>
      </c>
      <c r="L5" s="77" t="b">
        <f t="shared" si="3"/>
        <v>0</v>
      </c>
      <c r="M5" s="77">
        <f t="shared" si="4"/>
        <v>0</v>
      </c>
      <c r="N5" s="77">
        <f t="shared" si="12"/>
        <v>0</v>
      </c>
      <c r="O5" s="77" t="e">
        <f t="shared" si="5"/>
        <v>#DIV/0!</v>
      </c>
      <c r="P5" s="77">
        <f t="shared" si="13"/>
        <v>0</v>
      </c>
      <c r="Q5" s="77" t="e">
        <f t="shared" si="6"/>
        <v>#DIV/0!</v>
      </c>
      <c r="R5" s="17"/>
      <c r="S5" s="48">
        <f t="shared" si="7"/>
        <v>0</v>
      </c>
      <c r="T5" s="78">
        <v>50</v>
      </c>
      <c r="U5" s="78">
        <v>150</v>
      </c>
      <c r="V5" s="79">
        <v>500</v>
      </c>
      <c r="W5" s="77">
        <v>700</v>
      </c>
      <c r="X5" s="77">
        <v>1200</v>
      </c>
      <c r="Y5" s="77">
        <v>1400</v>
      </c>
      <c r="Z5" s="49" t="e">
        <f t="shared" si="8"/>
        <v>#VALUE!</v>
      </c>
      <c r="AA5" s="46" t="e">
        <f>#REF!/108*110</f>
        <v>#REF!</v>
      </c>
      <c r="AB5" s="50" t="e">
        <f>#REF!/108*110</f>
        <v>#REF!</v>
      </c>
      <c r="AC5" s="46" t="e">
        <f>#REF!/108*110</f>
        <v>#REF!</v>
      </c>
      <c r="AD5" s="46" t="e">
        <f>#REF!/108*110</f>
        <v>#REF!</v>
      </c>
      <c r="AE5" s="45" t="e">
        <f t="shared" si="9"/>
        <v>#VALUE!</v>
      </c>
      <c r="AF5" s="53"/>
    </row>
    <row r="6" spans="1:32" x14ac:dyDescent="0.2">
      <c r="A6" s="21"/>
      <c r="B6" s="19"/>
      <c r="C6" s="19"/>
      <c r="D6" s="19"/>
      <c r="E6" s="43"/>
      <c r="F6" s="44"/>
      <c r="G6" s="45"/>
      <c r="H6" s="45"/>
      <c r="I6" s="45"/>
      <c r="J6" s="45"/>
      <c r="K6" s="77"/>
      <c r="L6" s="77"/>
      <c r="M6" s="77"/>
      <c r="N6" s="77"/>
      <c r="O6" s="77"/>
      <c r="P6" s="77"/>
      <c r="Q6" s="77"/>
      <c r="R6" s="17"/>
      <c r="S6" s="48"/>
      <c r="T6" s="78"/>
      <c r="U6" s="78"/>
      <c r="V6" s="79"/>
      <c r="W6" s="77"/>
      <c r="X6" s="77"/>
      <c r="Y6" s="77"/>
      <c r="Z6" s="49"/>
      <c r="AA6" s="46"/>
      <c r="AB6" s="50"/>
      <c r="AC6" s="46"/>
      <c r="AD6" s="46"/>
      <c r="AE6" s="45"/>
      <c r="AF6" s="53"/>
    </row>
    <row r="7" spans="1:32" x14ac:dyDescent="0.2">
      <c r="A7" s="21"/>
      <c r="B7" s="19"/>
      <c r="C7" s="19"/>
      <c r="D7" s="19"/>
      <c r="E7" s="43"/>
      <c r="F7" s="44"/>
      <c r="G7" s="45"/>
      <c r="H7" s="45"/>
      <c r="I7" s="45"/>
      <c r="J7" s="45"/>
      <c r="K7" s="77"/>
      <c r="L7" s="77"/>
      <c r="M7" s="77"/>
      <c r="N7" s="77"/>
      <c r="O7" s="77"/>
      <c r="P7" s="77"/>
      <c r="Q7" s="77"/>
      <c r="R7" s="17"/>
      <c r="S7" s="48"/>
      <c r="T7" s="78"/>
      <c r="U7" s="78"/>
      <c r="V7" s="79"/>
      <c r="W7" s="77"/>
      <c r="X7" s="77"/>
      <c r="Y7" s="77"/>
      <c r="Z7" s="49"/>
      <c r="AA7" s="46"/>
      <c r="AB7" s="50"/>
      <c r="AC7" s="46"/>
      <c r="AD7" s="46"/>
      <c r="AE7" s="45"/>
      <c r="AF7" s="53"/>
    </row>
    <row r="8" spans="1:32" x14ac:dyDescent="0.2">
      <c r="A8" s="21"/>
      <c r="B8" s="19"/>
      <c r="C8" s="19"/>
      <c r="D8" s="19"/>
      <c r="E8" s="43"/>
      <c r="F8" s="44"/>
      <c r="G8" s="45"/>
      <c r="H8" s="45"/>
      <c r="I8" s="45"/>
      <c r="J8" s="45"/>
      <c r="K8" s="77"/>
      <c r="L8" s="77"/>
      <c r="M8" s="77"/>
      <c r="N8" s="77"/>
      <c r="O8" s="77"/>
      <c r="P8" s="77"/>
      <c r="Q8" s="77"/>
      <c r="R8" s="17"/>
      <c r="S8" s="48"/>
      <c r="T8" s="78"/>
      <c r="U8" s="78"/>
      <c r="V8" s="79"/>
      <c r="W8" s="77"/>
      <c r="X8" s="77"/>
      <c r="Y8" s="77"/>
      <c r="Z8" s="49"/>
      <c r="AA8" s="46"/>
      <c r="AB8" s="50"/>
      <c r="AC8" s="46"/>
      <c r="AD8" s="46"/>
      <c r="AE8" s="45"/>
      <c r="AF8" s="53"/>
    </row>
    <row r="9" spans="1:32" x14ac:dyDescent="0.2">
      <c r="A9" s="21"/>
      <c r="B9" s="19"/>
      <c r="C9" s="19"/>
      <c r="D9" s="19"/>
      <c r="E9" s="43"/>
      <c r="F9" s="44"/>
      <c r="G9" s="45"/>
      <c r="H9" s="45"/>
      <c r="I9" s="45"/>
      <c r="J9" s="45"/>
      <c r="K9" s="77"/>
      <c r="L9" s="77"/>
      <c r="M9" s="77"/>
      <c r="N9" s="77"/>
      <c r="O9" s="77"/>
      <c r="P9" s="77"/>
      <c r="Q9" s="77"/>
      <c r="R9" s="17"/>
      <c r="S9" s="48"/>
      <c r="T9" s="78"/>
      <c r="U9" s="78"/>
      <c r="V9" s="79"/>
      <c r="W9" s="77"/>
      <c r="X9" s="77"/>
      <c r="Y9" s="77"/>
      <c r="Z9" s="49"/>
      <c r="AA9" s="46"/>
      <c r="AB9" s="50"/>
      <c r="AC9" s="46"/>
      <c r="AD9" s="46"/>
      <c r="AE9" s="45"/>
      <c r="AF9" s="53"/>
    </row>
    <row r="10" spans="1:32" x14ac:dyDescent="0.2">
      <c r="A10" s="21"/>
      <c r="B10" s="19"/>
      <c r="C10" s="19"/>
      <c r="D10" s="19"/>
      <c r="E10" s="43"/>
      <c r="F10" s="44"/>
      <c r="G10" s="45"/>
      <c r="H10" s="45"/>
      <c r="I10" s="45"/>
      <c r="J10" s="45"/>
      <c r="K10" s="77"/>
      <c r="L10" s="77"/>
      <c r="M10" s="77"/>
      <c r="N10" s="77"/>
      <c r="O10" s="77"/>
      <c r="P10" s="77"/>
      <c r="Q10" s="77"/>
      <c r="R10" s="17"/>
      <c r="S10" s="48"/>
      <c r="T10" s="78"/>
      <c r="U10" s="78"/>
      <c r="V10" s="79"/>
      <c r="W10" s="77"/>
      <c r="X10" s="77"/>
      <c r="Y10" s="77"/>
      <c r="Z10" s="49"/>
      <c r="AA10" s="46"/>
      <c r="AB10" s="50"/>
      <c r="AC10" s="46"/>
      <c r="AD10" s="46"/>
      <c r="AE10" s="45"/>
      <c r="AF10" s="53"/>
    </row>
    <row r="11" spans="1:32" x14ac:dyDescent="0.2">
      <c r="A11" s="21"/>
      <c r="B11" s="19"/>
      <c r="C11" s="19"/>
      <c r="D11" s="19"/>
      <c r="E11" s="43"/>
      <c r="F11" s="44"/>
      <c r="G11" s="45"/>
      <c r="H11" s="45"/>
      <c r="I11" s="45"/>
      <c r="J11" s="45"/>
      <c r="K11" s="77"/>
      <c r="L11" s="77"/>
      <c r="M11" s="77"/>
      <c r="N11" s="77"/>
      <c r="O11" s="77"/>
      <c r="P11" s="77"/>
      <c r="Q11" s="77"/>
      <c r="R11" s="17"/>
      <c r="S11" s="48"/>
      <c r="T11" s="78"/>
      <c r="U11" s="78"/>
      <c r="V11" s="79"/>
      <c r="W11" s="77"/>
      <c r="X11" s="77"/>
      <c r="Y11" s="77"/>
      <c r="Z11" s="49"/>
      <c r="AA11" s="46"/>
      <c r="AB11" s="50"/>
      <c r="AC11" s="46"/>
      <c r="AD11" s="46"/>
      <c r="AE11" s="45"/>
      <c r="AF11" s="53"/>
    </row>
    <row r="12" spans="1:32" x14ac:dyDescent="0.2">
      <c r="A12" s="21"/>
      <c r="B12" s="19"/>
      <c r="C12" s="19"/>
      <c r="D12" s="19"/>
      <c r="E12" s="43"/>
      <c r="F12" s="44"/>
      <c r="G12" s="45"/>
      <c r="H12" s="45"/>
      <c r="I12" s="45"/>
      <c r="J12" s="45"/>
      <c r="K12" s="77"/>
      <c r="L12" s="77"/>
      <c r="M12" s="77"/>
      <c r="N12" s="77"/>
      <c r="O12" s="77"/>
      <c r="P12" s="77"/>
      <c r="Q12" s="77"/>
      <c r="R12" s="17"/>
      <c r="S12" s="48"/>
      <c r="T12" s="78"/>
      <c r="U12" s="78"/>
      <c r="V12" s="79"/>
      <c r="W12" s="77"/>
      <c r="X12" s="77"/>
      <c r="Y12" s="77"/>
      <c r="Z12" s="49"/>
      <c r="AA12" s="46"/>
      <c r="AB12" s="50"/>
      <c r="AC12" s="46"/>
      <c r="AD12" s="46"/>
      <c r="AE12" s="45"/>
      <c r="AF12" s="53"/>
    </row>
    <row r="13" spans="1:32" x14ac:dyDescent="0.2">
      <c r="A13" s="21"/>
      <c r="B13" s="19"/>
      <c r="C13" s="19"/>
      <c r="D13" s="19"/>
      <c r="E13" s="43"/>
      <c r="F13" s="44"/>
      <c r="G13" s="45"/>
      <c r="H13" s="45"/>
      <c r="I13" s="45"/>
      <c r="J13" s="45"/>
      <c r="K13" s="77"/>
      <c r="L13" s="77"/>
      <c r="M13" s="77"/>
      <c r="N13" s="77"/>
      <c r="O13" s="77"/>
      <c r="P13" s="77"/>
      <c r="Q13" s="77"/>
      <c r="R13" s="17"/>
      <c r="S13" s="48"/>
      <c r="T13" s="78"/>
      <c r="U13" s="78"/>
      <c r="V13" s="79"/>
      <c r="W13" s="77"/>
      <c r="X13" s="77"/>
      <c r="Y13" s="77"/>
      <c r="Z13" s="49"/>
      <c r="AA13" s="46"/>
      <c r="AB13" s="50"/>
      <c r="AC13" s="46"/>
      <c r="AD13" s="46"/>
      <c r="AE13" s="45"/>
      <c r="AF13" s="53"/>
    </row>
    <row r="14" spans="1:32" x14ac:dyDescent="0.2">
      <c r="A14" s="21"/>
      <c r="B14" s="19"/>
      <c r="C14" s="19"/>
      <c r="D14" s="19"/>
      <c r="E14" s="43"/>
      <c r="F14" s="44"/>
      <c r="G14" s="45"/>
      <c r="H14" s="45"/>
      <c r="I14" s="45"/>
      <c r="J14" s="45"/>
      <c r="K14" s="77"/>
      <c r="L14" s="77"/>
      <c r="M14" s="77"/>
      <c r="N14" s="77"/>
      <c r="O14" s="77"/>
      <c r="P14" s="77"/>
      <c r="Q14" s="77"/>
      <c r="R14" s="17"/>
      <c r="S14" s="48"/>
      <c r="T14" s="78"/>
      <c r="U14" s="78"/>
      <c r="V14" s="79"/>
      <c r="W14" s="77"/>
      <c r="X14" s="77"/>
      <c r="Y14" s="77"/>
      <c r="Z14" s="49"/>
      <c r="AA14" s="46"/>
      <c r="AB14" s="50"/>
      <c r="AC14" s="46"/>
      <c r="AD14" s="46"/>
      <c r="AE14" s="45"/>
      <c r="AF14" s="53"/>
    </row>
    <row r="15" spans="1:32" x14ac:dyDescent="0.2">
      <c r="A15" s="21"/>
      <c r="B15" s="19"/>
      <c r="C15" s="19"/>
      <c r="D15" s="19"/>
      <c r="E15" s="43"/>
      <c r="F15" s="44"/>
      <c r="G15" s="45"/>
      <c r="H15" s="45"/>
      <c r="I15" s="45"/>
      <c r="J15" s="45"/>
      <c r="K15" s="77"/>
      <c r="L15" s="77"/>
      <c r="M15" s="77"/>
      <c r="N15" s="77"/>
      <c r="O15" s="77"/>
      <c r="P15" s="77"/>
      <c r="Q15" s="77"/>
      <c r="R15" s="17"/>
      <c r="S15" s="48"/>
      <c r="T15" s="78"/>
      <c r="U15" s="78"/>
      <c r="V15" s="79"/>
      <c r="W15" s="77"/>
      <c r="X15" s="77"/>
      <c r="Y15" s="77"/>
      <c r="Z15" s="49"/>
      <c r="AA15" s="46"/>
      <c r="AB15" s="50"/>
      <c r="AC15" s="46"/>
      <c r="AD15" s="46"/>
      <c r="AE15" s="45"/>
      <c r="AF15" s="53"/>
    </row>
    <row r="16" spans="1:32" x14ac:dyDescent="0.2">
      <c r="A16" s="21"/>
      <c r="B16" s="19"/>
      <c r="C16" s="19"/>
      <c r="D16" s="19"/>
      <c r="E16" s="43"/>
      <c r="F16" s="44"/>
      <c r="G16" s="45"/>
      <c r="H16" s="45"/>
      <c r="I16" s="45"/>
      <c r="J16" s="45"/>
      <c r="K16" s="77"/>
      <c r="L16" s="77"/>
      <c r="M16" s="77"/>
      <c r="N16" s="77"/>
      <c r="O16" s="77"/>
      <c r="P16" s="77"/>
      <c r="Q16" s="77"/>
      <c r="R16" s="17"/>
      <c r="S16" s="48"/>
      <c r="T16" s="78"/>
      <c r="U16" s="78"/>
      <c r="V16" s="79"/>
      <c r="W16" s="77"/>
      <c r="X16" s="77"/>
      <c r="Y16" s="77"/>
      <c r="Z16" s="49"/>
      <c r="AA16" s="46"/>
      <c r="AB16" s="50"/>
      <c r="AC16" s="46"/>
      <c r="AD16" s="46"/>
      <c r="AE16" s="45"/>
      <c r="AF16" s="53"/>
    </row>
    <row r="17" spans="1:32" x14ac:dyDescent="0.2">
      <c r="A17" s="21"/>
      <c r="B17" s="19"/>
      <c r="C17" s="19"/>
      <c r="D17" s="19"/>
      <c r="E17" s="43"/>
      <c r="F17" s="44"/>
      <c r="G17" s="45"/>
      <c r="H17" s="45"/>
      <c r="I17" s="45"/>
      <c r="J17" s="45"/>
      <c r="K17" s="77"/>
      <c r="L17" s="77"/>
      <c r="M17" s="77"/>
      <c r="N17" s="77"/>
      <c r="O17" s="77"/>
      <c r="P17" s="77"/>
      <c r="Q17" s="77"/>
      <c r="R17" s="17"/>
      <c r="S17" s="48"/>
      <c r="T17" s="78"/>
      <c r="U17" s="78"/>
      <c r="V17" s="79"/>
      <c r="W17" s="77"/>
      <c r="X17" s="77"/>
      <c r="Y17" s="77"/>
      <c r="Z17" s="49"/>
      <c r="AA17" s="46"/>
      <c r="AB17" s="50"/>
      <c r="AC17" s="46"/>
      <c r="AD17" s="46"/>
      <c r="AE17" s="45"/>
      <c r="AF17" s="53"/>
    </row>
    <row r="18" spans="1:32" x14ac:dyDescent="0.2">
      <c r="A18" s="21"/>
      <c r="B18" s="19"/>
      <c r="C18" s="19"/>
      <c r="D18" s="19"/>
      <c r="E18" s="43"/>
      <c r="F18" s="44"/>
      <c r="G18" s="45"/>
      <c r="H18" s="45"/>
      <c r="I18" s="45"/>
      <c r="J18" s="45"/>
      <c r="K18" s="77"/>
      <c r="L18" s="77"/>
      <c r="M18" s="77"/>
      <c r="N18" s="77"/>
      <c r="O18" s="77"/>
      <c r="P18" s="77"/>
      <c r="Q18" s="77"/>
      <c r="R18" s="17"/>
      <c r="S18" s="48"/>
      <c r="T18" s="78"/>
      <c r="U18" s="78"/>
      <c r="V18" s="79"/>
      <c r="W18" s="77"/>
      <c r="X18" s="77"/>
      <c r="Y18" s="77"/>
      <c r="Z18" s="49"/>
      <c r="AA18" s="46"/>
      <c r="AB18" s="50"/>
      <c r="AC18" s="46"/>
      <c r="AD18" s="46"/>
      <c r="AE18" s="45"/>
      <c r="AF18" s="53"/>
    </row>
    <row r="19" spans="1:32" x14ac:dyDescent="0.2">
      <c r="A19" s="21"/>
      <c r="B19" s="19"/>
      <c r="C19" s="19"/>
      <c r="D19" s="19"/>
      <c r="E19" s="43"/>
      <c r="F19" s="44"/>
      <c r="G19" s="45"/>
      <c r="H19" s="45"/>
      <c r="I19" s="45"/>
      <c r="J19" s="45"/>
      <c r="K19" s="77"/>
      <c r="L19" s="77"/>
      <c r="M19" s="77"/>
      <c r="N19" s="77"/>
      <c r="O19" s="77"/>
      <c r="P19" s="77"/>
      <c r="Q19" s="77"/>
      <c r="R19" s="17"/>
      <c r="S19" s="48"/>
      <c r="T19" s="78"/>
      <c r="U19" s="78"/>
      <c r="V19" s="79"/>
      <c r="W19" s="77"/>
      <c r="X19" s="77"/>
      <c r="Y19" s="77"/>
      <c r="Z19" s="49"/>
      <c r="AA19" s="46"/>
      <c r="AB19" s="50"/>
      <c r="AC19" s="46"/>
      <c r="AD19" s="46"/>
      <c r="AE19" s="45"/>
      <c r="AF19" s="53"/>
    </row>
    <row r="20" spans="1:32" x14ac:dyDescent="0.2">
      <c r="A20" s="21"/>
      <c r="B20" s="19"/>
      <c r="C20" s="19"/>
      <c r="D20" s="19"/>
      <c r="E20" s="43"/>
      <c r="F20" s="44"/>
      <c r="G20" s="45"/>
      <c r="H20" s="45"/>
      <c r="I20" s="45"/>
      <c r="J20" s="45"/>
      <c r="K20" s="77"/>
      <c r="L20" s="77"/>
      <c r="M20" s="77"/>
      <c r="N20" s="77"/>
      <c r="O20" s="77"/>
      <c r="P20" s="77"/>
      <c r="Q20" s="77"/>
      <c r="R20" s="17"/>
      <c r="S20" s="48"/>
      <c r="T20" s="78"/>
      <c r="U20" s="78"/>
      <c r="V20" s="79"/>
      <c r="W20" s="77"/>
      <c r="X20" s="77"/>
      <c r="Y20" s="77"/>
      <c r="Z20" s="49"/>
      <c r="AA20" s="46"/>
      <c r="AB20" s="50"/>
      <c r="AC20" s="46"/>
      <c r="AD20" s="46"/>
      <c r="AE20" s="45"/>
      <c r="AF20" s="53"/>
    </row>
    <row r="21" spans="1:32" x14ac:dyDescent="0.2">
      <c r="A21" s="21"/>
      <c r="B21" s="19"/>
      <c r="C21" s="19"/>
      <c r="D21" s="19"/>
      <c r="E21" s="43"/>
      <c r="F21" s="44"/>
      <c r="G21" s="45"/>
      <c r="H21" s="45"/>
      <c r="I21" s="45"/>
      <c r="J21" s="45"/>
      <c r="K21" s="77"/>
      <c r="L21" s="77"/>
      <c r="M21" s="77"/>
      <c r="N21" s="77"/>
      <c r="O21" s="77"/>
      <c r="P21" s="77"/>
      <c r="Q21" s="77"/>
      <c r="R21" s="17"/>
      <c r="S21" s="48"/>
      <c r="T21" s="78"/>
      <c r="U21" s="78"/>
      <c r="V21" s="79"/>
      <c r="W21" s="77"/>
      <c r="X21" s="77"/>
      <c r="Y21" s="77"/>
      <c r="Z21" s="49"/>
      <c r="AA21" s="46"/>
      <c r="AB21" s="50"/>
      <c r="AC21" s="46"/>
      <c r="AD21" s="46"/>
      <c r="AE21" s="45"/>
      <c r="AF21" s="53"/>
    </row>
    <row r="22" spans="1:32" x14ac:dyDescent="0.2">
      <c r="A22" s="21"/>
      <c r="B22" s="19"/>
      <c r="C22" s="19"/>
      <c r="D22" s="19"/>
      <c r="E22" s="43"/>
      <c r="F22" s="44"/>
      <c r="G22" s="45"/>
      <c r="H22" s="45"/>
      <c r="I22" s="45"/>
      <c r="J22" s="45"/>
      <c r="K22" s="77"/>
      <c r="L22" s="77"/>
      <c r="M22" s="77"/>
      <c r="N22" s="77"/>
      <c r="O22" s="77"/>
      <c r="P22" s="77"/>
      <c r="Q22" s="77"/>
      <c r="R22" s="17"/>
      <c r="S22" s="48"/>
      <c r="T22" s="78"/>
      <c r="U22" s="78"/>
      <c r="V22" s="79"/>
      <c r="W22" s="77"/>
      <c r="X22" s="77"/>
      <c r="Y22" s="77"/>
      <c r="Z22" s="49"/>
      <c r="AA22" s="46"/>
      <c r="AB22" s="50"/>
      <c r="AC22" s="46"/>
      <c r="AD22" s="46"/>
      <c r="AE22" s="45"/>
      <c r="AF22" s="53"/>
    </row>
    <row r="23" spans="1:32" x14ac:dyDescent="0.2">
      <c r="A23" s="21"/>
      <c r="B23" s="19"/>
      <c r="C23" s="19"/>
      <c r="D23" s="19"/>
      <c r="E23" s="43"/>
      <c r="F23" s="44"/>
      <c r="G23" s="45"/>
      <c r="H23" s="45"/>
      <c r="I23" s="45"/>
      <c r="J23" s="45"/>
      <c r="K23" s="77"/>
      <c r="L23" s="77"/>
      <c r="M23" s="77"/>
      <c r="N23" s="77"/>
      <c r="O23" s="77"/>
      <c r="P23" s="77"/>
      <c r="Q23" s="77"/>
      <c r="R23" s="17"/>
      <c r="S23" s="48"/>
      <c r="T23" s="78"/>
      <c r="U23" s="78"/>
      <c r="V23" s="79"/>
      <c r="W23" s="77"/>
      <c r="X23" s="77"/>
      <c r="Y23" s="77"/>
      <c r="Z23" s="49"/>
      <c r="AA23" s="46"/>
      <c r="AB23" s="50"/>
      <c r="AC23" s="46"/>
      <c r="AD23" s="46"/>
      <c r="AE23" s="45"/>
      <c r="AF23" s="53"/>
    </row>
    <row r="24" spans="1:32" x14ac:dyDescent="0.2">
      <c r="A24" s="21"/>
      <c r="B24" s="19"/>
      <c r="C24" s="19"/>
      <c r="D24" s="19"/>
      <c r="E24" s="43"/>
      <c r="F24" s="44"/>
      <c r="G24" s="45"/>
      <c r="H24" s="45"/>
      <c r="I24" s="45"/>
      <c r="J24" s="45"/>
      <c r="K24" s="77"/>
      <c r="L24" s="77"/>
      <c r="M24" s="77"/>
      <c r="N24" s="77"/>
      <c r="O24" s="77"/>
      <c r="P24" s="77"/>
      <c r="Q24" s="77"/>
      <c r="R24" s="17"/>
      <c r="S24" s="48"/>
      <c r="T24" s="78"/>
      <c r="U24" s="78"/>
      <c r="V24" s="79"/>
      <c r="W24" s="77"/>
      <c r="X24" s="77"/>
      <c r="Y24" s="77"/>
      <c r="Z24" s="49"/>
      <c r="AA24" s="46"/>
      <c r="AB24" s="50"/>
      <c r="AC24" s="46"/>
      <c r="AD24" s="46"/>
      <c r="AE24" s="45"/>
      <c r="AF24" s="53"/>
    </row>
    <row r="25" spans="1:32" x14ac:dyDescent="0.2">
      <c r="A25" s="21"/>
      <c r="B25" s="19"/>
      <c r="C25" s="19"/>
      <c r="D25" s="19"/>
      <c r="E25" s="43"/>
      <c r="F25" s="44"/>
      <c r="G25" s="45"/>
      <c r="H25" s="45"/>
      <c r="I25" s="45"/>
      <c r="J25" s="45"/>
      <c r="K25" s="77"/>
      <c r="L25" s="77"/>
      <c r="M25" s="77"/>
      <c r="N25" s="77"/>
      <c r="O25" s="77"/>
      <c r="P25" s="77"/>
      <c r="Q25" s="77"/>
      <c r="R25" s="17"/>
      <c r="S25" s="48"/>
      <c r="T25" s="78"/>
      <c r="U25" s="78"/>
      <c r="V25" s="79"/>
      <c r="W25" s="77"/>
      <c r="X25" s="77"/>
      <c r="Y25" s="77"/>
      <c r="Z25" s="49"/>
      <c r="AA25" s="46"/>
      <c r="AB25" s="50"/>
      <c r="AC25" s="46"/>
      <c r="AD25" s="46"/>
      <c r="AE25" s="45"/>
      <c r="AF25" s="53"/>
    </row>
    <row r="26" spans="1:32" x14ac:dyDescent="0.2">
      <c r="A26" s="21"/>
      <c r="B26" s="19"/>
      <c r="C26" s="19"/>
      <c r="D26" s="19"/>
      <c r="E26" s="43"/>
      <c r="F26" s="44"/>
      <c r="G26" s="45"/>
      <c r="H26" s="45"/>
      <c r="I26" s="45"/>
      <c r="J26" s="45"/>
      <c r="K26" s="77"/>
      <c r="L26" s="77"/>
      <c r="M26" s="77"/>
      <c r="N26" s="77"/>
      <c r="O26" s="77"/>
      <c r="P26" s="77"/>
      <c r="Q26" s="77"/>
      <c r="R26" s="17"/>
      <c r="S26" s="48"/>
      <c r="T26" s="78"/>
      <c r="U26" s="78"/>
      <c r="V26" s="79"/>
      <c r="W26" s="77"/>
      <c r="X26" s="77"/>
      <c r="Y26" s="77"/>
      <c r="Z26" s="49"/>
      <c r="AA26" s="46"/>
      <c r="AB26" s="50"/>
      <c r="AC26" s="46"/>
      <c r="AD26" s="46"/>
      <c r="AE26" s="45"/>
      <c r="AF26" s="53"/>
    </row>
    <row r="27" spans="1:32" x14ac:dyDescent="0.2">
      <c r="A27" s="21"/>
      <c r="B27" s="19"/>
      <c r="C27" s="19"/>
      <c r="D27" s="19"/>
      <c r="E27" s="43"/>
      <c r="F27" s="44"/>
      <c r="G27" s="45"/>
      <c r="H27" s="45"/>
      <c r="I27" s="45"/>
      <c r="J27" s="45"/>
      <c r="K27" s="77"/>
      <c r="L27" s="77"/>
      <c r="M27" s="77"/>
      <c r="N27" s="77"/>
      <c r="O27" s="77"/>
      <c r="P27" s="77"/>
      <c r="Q27" s="77"/>
      <c r="R27" s="17"/>
      <c r="S27" s="48"/>
      <c r="T27" s="78"/>
      <c r="U27" s="78"/>
      <c r="V27" s="79"/>
      <c r="W27" s="77"/>
      <c r="X27" s="77"/>
      <c r="Y27" s="77"/>
      <c r="Z27" s="49"/>
      <c r="AA27" s="46"/>
      <c r="AB27" s="50"/>
      <c r="AC27" s="46"/>
      <c r="AD27" s="46"/>
      <c r="AE27" s="45"/>
      <c r="AF27" s="53"/>
    </row>
    <row r="28" spans="1:32" x14ac:dyDescent="0.2">
      <c r="A28" s="21"/>
      <c r="B28" s="19"/>
      <c r="C28" s="19"/>
      <c r="D28" s="19"/>
      <c r="E28" s="43"/>
      <c r="F28" s="44"/>
      <c r="G28" s="45"/>
      <c r="H28" s="45"/>
      <c r="I28" s="45"/>
      <c r="J28" s="45"/>
      <c r="K28" s="77"/>
      <c r="L28" s="77"/>
      <c r="M28" s="77"/>
      <c r="N28" s="77"/>
      <c r="O28" s="77"/>
      <c r="P28" s="77"/>
      <c r="Q28" s="77"/>
      <c r="R28" s="17"/>
      <c r="S28" s="48"/>
      <c r="T28" s="78"/>
      <c r="U28" s="78"/>
      <c r="V28" s="79"/>
      <c r="W28" s="77"/>
      <c r="X28" s="77"/>
      <c r="Y28" s="77"/>
      <c r="Z28" s="49"/>
      <c r="AA28" s="46"/>
      <c r="AB28" s="50"/>
      <c r="AC28" s="46"/>
      <c r="AD28" s="46"/>
      <c r="AE28" s="45"/>
      <c r="AF28" s="53"/>
    </row>
    <row r="29" spans="1:32" x14ac:dyDescent="0.2">
      <c r="A29" s="21"/>
      <c r="B29" s="19"/>
      <c r="C29" s="19"/>
      <c r="D29" s="19"/>
      <c r="E29" s="43"/>
      <c r="F29" s="44"/>
      <c r="G29" s="45"/>
      <c r="H29" s="45"/>
      <c r="I29" s="45"/>
      <c r="J29" s="45"/>
      <c r="K29" s="77"/>
      <c r="L29" s="77"/>
      <c r="M29" s="77"/>
      <c r="N29" s="77"/>
      <c r="O29" s="77"/>
      <c r="P29" s="77"/>
      <c r="Q29" s="77"/>
      <c r="R29" s="17"/>
      <c r="S29" s="48"/>
      <c r="T29" s="78"/>
      <c r="U29" s="78"/>
      <c r="V29" s="79"/>
      <c r="W29" s="77"/>
      <c r="X29" s="77"/>
      <c r="Y29" s="77"/>
      <c r="Z29" s="49"/>
      <c r="AA29" s="46"/>
      <c r="AB29" s="50"/>
      <c r="AC29" s="46"/>
      <c r="AD29" s="46"/>
      <c r="AE29" s="45"/>
      <c r="AF29" s="53"/>
    </row>
    <row r="30" spans="1:32" x14ac:dyDescent="0.2">
      <c r="A30" s="21"/>
      <c r="B30" s="19"/>
      <c r="C30" s="19"/>
      <c r="D30" s="19"/>
      <c r="E30" s="43"/>
      <c r="F30" s="44"/>
      <c r="G30" s="45"/>
      <c r="H30" s="45"/>
      <c r="I30" s="45"/>
      <c r="J30" s="45"/>
      <c r="K30" s="77"/>
      <c r="L30" s="77"/>
      <c r="M30" s="77"/>
      <c r="N30" s="77"/>
      <c r="O30" s="77"/>
      <c r="P30" s="77"/>
      <c r="Q30" s="77"/>
      <c r="R30" s="17"/>
      <c r="S30" s="48"/>
      <c r="T30" s="78"/>
      <c r="U30" s="78"/>
      <c r="V30" s="79"/>
      <c r="W30" s="77"/>
      <c r="X30" s="77"/>
      <c r="Y30" s="77"/>
      <c r="Z30" s="49"/>
      <c r="AA30" s="46"/>
      <c r="AB30" s="50"/>
      <c r="AC30" s="46"/>
      <c r="AD30" s="46"/>
      <c r="AE30" s="45"/>
      <c r="AF30" s="53"/>
    </row>
    <row r="31" spans="1:32" x14ac:dyDescent="0.2">
      <c r="A31" s="21"/>
      <c r="B31" s="19"/>
      <c r="C31" s="19"/>
      <c r="D31" s="19"/>
      <c r="E31" s="43"/>
      <c r="F31" s="44"/>
      <c r="G31" s="45"/>
      <c r="H31" s="45"/>
      <c r="I31" s="45"/>
      <c r="J31" s="45"/>
      <c r="K31" s="77"/>
      <c r="L31" s="77"/>
      <c r="M31" s="77"/>
      <c r="N31" s="77"/>
      <c r="O31" s="77"/>
      <c r="P31" s="77"/>
      <c r="Q31" s="77"/>
      <c r="R31" s="17"/>
      <c r="S31" s="48"/>
      <c r="T31" s="78"/>
      <c r="U31" s="78"/>
      <c r="V31" s="79"/>
      <c r="W31" s="77"/>
      <c r="X31" s="77"/>
      <c r="Y31" s="77"/>
      <c r="Z31" s="49"/>
      <c r="AA31" s="46"/>
      <c r="AB31" s="50"/>
      <c r="AC31" s="46"/>
      <c r="AD31" s="46"/>
      <c r="AE31" s="45"/>
      <c r="AF31" s="53"/>
    </row>
    <row r="32" spans="1:32" x14ac:dyDescent="0.2">
      <c r="A32" s="21"/>
      <c r="B32" s="19"/>
      <c r="C32" s="19"/>
      <c r="D32" s="19"/>
      <c r="E32" s="43"/>
      <c r="F32" s="44"/>
      <c r="G32" s="45"/>
      <c r="H32" s="45"/>
      <c r="I32" s="45"/>
      <c r="J32" s="45"/>
      <c r="K32" s="77"/>
      <c r="L32" s="77"/>
      <c r="M32" s="77"/>
      <c r="N32" s="77"/>
      <c r="O32" s="77"/>
      <c r="P32" s="77"/>
      <c r="Q32" s="77"/>
      <c r="R32" s="17"/>
      <c r="S32" s="48"/>
      <c r="T32" s="78"/>
      <c r="U32" s="78"/>
      <c r="V32" s="79"/>
      <c r="W32" s="77"/>
      <c r="X32" s="77"/>
      <c r="Y32" s="77"/>
      <c r="Z32" s="49"/>
      <c r="AA32" s="46"/>
      <c r="AB32" s="50"/>
      <c r="AC32" s="46"/>
      <c r="AD32" s="46"/>
      <c r="AE32" s="45"/>
      <c r="AF32" s="53"/>
    </row>
    <row r="33" spans="1:32" x14ac:dyDescent="0.2">
      <c r="A33" s="21"/>
      <c r="B33" s="19"/>
      <c r="C33" s="19"/>
      <c r="D33" s="19"/>
      <c r="E33" s="43"/>
      <c r="F33" s="44"/>
      <c r="G33" s="45"/>
      <c r="H33" s="45"/>
      <c r="I33" s="45"/>
      <c r="J33" s="45"/>
      <c r="K33" s="77"/>
      <c r="L33" s="77"/>
      <c r="M33" s="77"/>
      <c r="N33" s="77"/>
      <c r="O33" s="77"/>
      <c r="P33" s="77"/>
      <c r="Q33" s="77"/>
      <c r="R33" s="17"/>
      <c r="S33" s="48"/>
      <c r="T33" s="78"/>
      <c r="U33" s="78"/>
      <c r="V33" s="79"/>
      <c r="W33" s="77"/>
      <c r="X33" s="77"/>
      <c r="Y33" s="77"/>
      <c r="Z33" s="49"/>
      <c r="AA33" s="46"/>
      <c r="AB33" s="50"/>
      <c r="AC33" s="46"/>
      <c r="AD33" s="46"/>
      <c r="AE33" s="45"/>
      <c r="AF33" s="53"/>
    </row>
    <row r="34" spans="1:32" x14ac:dyDescent="0.2">
      <c r="K34" s="53"/>
      <c r="L34" s="53"/>
      <c r="M34" s="53"/>
      <c r="N34" s="53"/>
      <c r="O34" s="53"/>
      <c r="P34" s="53"/>
      <c r="Q34" s="53"/>
      <c r="R34" s="17"/>
      <c r="T34" s="53"/>
      <c r="U34" s="53"/>
      <c r="V34" s="53"/>
      <c r="W34" s="53"/>
      <c r="X34" s="53"/>
      <c r="Y34" s="53"/>
      <c r="Z34" s="57"/>
      <c r="AA34" s="17"/>
      <c r="AB34" s="17"/>
      <c r="AC34" s="17"/>
      <c r="AD34" s="17"/>
      <c r="AE34" s="57"/>
      <c r="AF34" s="53"/>
    </row>
    <row r="35" spans="1:32" x14ac:dyDescent="0.2">
      <c r="K35" s="53"/>
      <c r="L35" s="53"/>
      <c r="M35" s="53"/>
      <c r="N35" s="53"/>
      <c r="O35" s="53"/>
      <c r="P35" s="53"/>
      <c r="Q35" s="53"/>
      <c r="R35" s="17"/>
      <c r="T35" s="53"/>
      <c r="U35" s="53"/>
      <c r="V35" s="53"/>
      <c r="W35" s="53"/>
      <c r="X35" s="53"/>
      <c r="Y35" s="53"/>
      <c r="Z35" s="57"/>
      <c r="AA35" s="17"/>
      <c r="AB35" s="17"/>
      <c r="AC35" s="17"/>
      <c r="AD35" s="17"/>
      <c r="AE35" s="57"/>
      <c r="AF35" s="53"/>
    </row>
    <row r="36" spans="1:32" x14ac:dyDescent="0.2">
      <c r="K36" s="53"/>
      <c r="L36" s="53"/>
      <c r="M36" s="53"/>
      <c r="N36" s="53"/>
      <c r="O36" s="53"/>
      <c r="P36" s="53"/>
      <c r="Q36" s="53"/>
      <c r="R36" s="17"/>
      <c r="T36" s="53"/>
      <c r="U36" s="53"/>
      <c r="V36" s="53"/>
      <c r="W36" s="53"/>
      <c r="X36" s="53"/>
      <c r="Y36" s="53"/>
      <c r="Z36" s="57"/>
      <c r="AA36" s="17"/>
      <c r="AB36" s="17"/>
      <c r="AC36" s="17"/>
      <c r="AD36" s="17"/>
      <c r="AE36" s="57"/>
      <c r="AF36" s="53"/>
    </row>
    <row r="37" spans="1:32" x14ac:dyDescent="0.2">
      <c r="K37" s="53"/>
      <c r="L37" s="53"/>
      <c r="M37" s="53"/>
      <c r="N37" s="53"/>
      <c r="O37" s="53"/>
      <c r="P37" s="53"/>
      <c r="Q37" s="53"/>
      <c r="R37" s="17"/>
      <c r="T37" s="53"/>
      <c r="U37" s="53"/>
      <c r="V37" s="53"/>
      <c r="W37" s="53"/>
      <c r="X37" s="53"/>
      <c r="Y37" s="53"/>
      <c r="Z37" s="57"/>
      <c r="AA37" s="17"/>
      <c r="AB37" s="17"/>
      <c r="AC37" s="17"/>
      <c r="AD37" s="17"/>
      <c r="AE37" s="57"/>
      <c r="AF37" s="53"/>
    </row>
    <row r="38" spans="1:32" x14ac:dyDescent="0.2">
      <c r="K38" s="53"/>
      <c r="L38" s="53"/>
      <c r="M38" s="53"/>
      <c r="N38" s="53"/>
      <c r="O38" s="53"/>
      <c r="P38" s="53"/>
      <c r="Q38" s="53"/>
      <c r="R38" s="17"/>
      <c r="T38" s="53"/>
      <c r="U38" s="53"/>
      <c r="V38" s="53"/>
      <c r="W38" s="53"/>
      <c r="X38" s="53"/>
      <c r="Y38" s="53"/>
      <c r="Z38" s="57"/>
      <c r="AA38" s="17"/>
      <c r="AB38" s="17"/>
      <c r="AC38" s="17"/>
      <c r="AD38" s="17"/>
      <c r="AE38" s="57"/>
      <c r="AF38" s="53"/>
    </row>
    <row r="39" spans="1:32" x14ac:dyDescent="0.2">
      <c r="K39" s="53"/>
      <c r="L39" s="53"/>
      <c r="M39" s="53"/>
      <c r="N39" s="53"/>
      <c r="O39" s="53"/>
      <c r="P39" s="53"/>
      <c r="Q39" s="53"/>
      <c r="R39" s="17"/>
      <c r="T39" s="53"/>
      <c r="U39" s="53"/>
      <c r="V39" s="53"/>
      <c r="W39" s="53"/>
      <c r="X39" s="53"/>
      <c r="Y39" s="53"/>
      <c r="Z39" s="57"/>
      <c r="AA39" s="17"/>
      <c r="AB39" s="17"/>
      <c r="AC39" s="17"/>
      <c r="AD39" s="17"/>
      <c r="AE39" s="57"/>
      <c r="AF39" s="53"/>
    </row>
    <row r="40" spans="1:32" x14ac:dyDescent="0.2">
      <c r="K40" s="53"/>
      <c r="L40" s="53"/>
      <c r="M40" s="53"/>
      <c r="N40" s="53"/>
      <c r="O40" s="53"/>
      <c r="P40" s="53"/>
      <c r="Q40" s="53"/>
      <c r="R40" s="17"/>
      <c r="T40" s="53"/>
      <c r="U40" s="53"/>
      <c r="V40" s="53"/>
      <c r="W40" s="53"/>
      <c r="X40" s="53"/>
      <c r="Y40" s="53"/>
      <c r="Z40" s="57"/>
      <c r="AA40" s="17"/>
      <c r="AB40" s="17"/>
      <c r="AC40" s="17"/>
      <c r="AD40" s="17"/>
      <c r="AE40" s="57"/>
      <c r="AF40" s="53"/>
    </row>
    <row r="41" spans="1:32" x14ac:dyDescent="0.2">
      <c r="K41" s="53"/>
      <c r="L41" s="53"/>
      <c r="M41" s="53"/>
      <c r="N41" s="53"/>
      <c r="O41" s="53"/>
      <c r="P41" s="53"/>
      <c r="Q41" s="53"/>
      <c r="R41" s="17"/>
      <c r="T41" s="53"/>
      <c r="U41" s="53"/>
      <c r="V41" s="53"/>
      <c r="W41" s="53"/>
      <c r="X41" s="53"/>
      <c r="Y41" s="53"/>
      <c r="Z41" s="57"/>
      <c r="AA41" s="17"/>
      <c r="AB41" s="17"/>
      <c r="AC41" s="17"/>
      <c r="AD41" s="17"/>
      <c r="AE41" s="57"/>
      <c r="AF41" s="53"/>
    </row>
    <row r="42" spans="1:32" x14ac:dyDescent="0.2">
      <c r="K42" s="53"/>
      <c r="L42" s="53"/>
      <c r="M42" s="53"/>
      <c r="N42" s="53"/>
      <c r="O42" s="53"/>
      <c r="P42" s="53"/>
      <c r="Q42" s="53"/>
      <c r="R42" s="17"/>
      <c r="T42" s="53"/>
      <c r="U42" s="53"/>
      <c r="V42" s="53"/>
      <c r="W42" s="53"/>
      <c r="X42" s="53"/>
      <c r="Y42" s="53"/>
      <c r="Z42" s="57"/>
      <c r="AA42" s="17"/>
      <c r="AB42" s="17"/>
      <c r="AC42" s="17"/>
      <c r="AD42" s="17"/>
      <c r="AE42" s="57"/>
      <c r="AF42" s="53"/>
    </row>
    <row r="43" spans="1:32" x14ac:dyDescent="0.2">
      <c r="K43" s="53"/>
      <c r="L43" s="53"/>
      <c r="M43" s="53"/>
      <c r="N43" s="53"/>
      <c r="O43" s="53"/>
      <c r="P43" s="53"/>
      <c r="Q43" s="53"/>
      <c r="R43" s="17"/>
      <c r="T43" s="53"/>
      <c r="U43" s="53"/>
      <c r="V43" s="53"/>
      <c r="W43" s="53"/>
      <c r="X43" s="53"/>
      <c r="Y43" s="53"/>
      <c r="Z43" s="57"/>
      <c r="AA43" s="17"/>
      <c r="AB43" s="17"/>
      <c r="AC43" s="17"/>
      <c r="AD43" s="17"/>
      <c r="AE43" s="57"/>
      <c r="AF43" s="53"/>
    </row>
    <row r="44" spans="1:32" x14ac:dyDescent="0.2">
      <c r="K44" s="53"/>
      <c r="L44" s="53"/>
      <c r="M44" s="53"/>
      <c r="N44" s="53"/>
      <c r="O44" s="53"/>
      <c r="P44" s="53"/>
      <c r="Q44" s="53"/>
      <c r="R44" s="17"/>
      <c r="T44" s="53"/>
      <c r="U44" s="53"/>
      <c r="V44" s="53"/>
      <c r="W44" s="53"/>
      <c r="X44" s="53"/>
      <c r="Y44" s="53"/>
      <c r="Z44" s="57"/>
      <c r="AA44" s="17"/>
      <c r="AB44" s="17"/>
      <c r="AC44" s="17"/>
      <c r="AD44" s="17"/>
      <c r="AE44" s="57"/>
      <c r="AF44" s="53"/>
    </row>
    <row r="45" spans="1:32" x14ac:dyDescent="0.2">
      <c r="K45" s="53"/>
      <c r="L45" s="53"/>
      <c r="M45" s="53"/>
      <c r="N45" s="53"/>
      <c r="O45" s="53"/>
      <c r="P45" s="53"/>
      <c r="Q45" s="53"/>
      <c r="R45" s="17"/>
      <c r="T45" s="53"/>
      <c r="U45" s="53"/>
      <c r="V45" s="53"/>
      <c r="W45" s="53"/>
      <c r="X45" s="53"/>
      <c r="Y45" s="53"/>
      <c r="Z45" s="57"/>
      <c r="AA45" s="17"/>
      <c r="AB45" s="17"/>
      <c r="AC45" s="17"/>
      <c r="AD45" s="17"/>
      <c r="AE45" s="57"/>
      <c r="AF45" s="53"/>
    </row>
    <row r="46" spans="1:32" x14ac:dyDescent="0.2">
      <c r="K46" s="53"/>
      <c r="L46" s="53"/>
      <c r="M46" s="53"/>
      <c r="N46" s="53"/>
      <c r="O46" s="53"/>
      <c r="P46" s="53"/>
      <c r="Q46" s="53"/>
      <c r="R46" s="17"/>
      <c r="T46" s="53"/>
      <c r="U46" s="53"/>
      <c r="V46" s="53"/>
      <c r="W46" s="53"/>
      <c r="X46" s="53"/>
      <c r="Y46" s="53"/>
      <c r="Z46" s="57"/>
      <c r="AA46" s="17"/>
      <c r="AB46" s="17"/>
      <c r="AC46" s="17"/>
      <c r="AD46" s="17"/>
      <c r="AE46" s="57"/>
      <c r="AF46" s="53"/>
    </row>
    <row r="47" spans="1:32" x14ac:dyDescent="0.2">
      <c r="K47" s="53"/>
      <c r="L47" s="53"/>
      <c r="M47" s="53"/>
      <c r="N47" s="53"/>
      <c r="O47" s="53"/>
      <c r="P47" s="53"/>
      <c r="Q47" s="53"/>
      <c r="R47" s="17"/>
      <c r="T47" s="53"/>
      <c r="U47" s="53"/>
      <c r="V47" s="53"/>
      <c r="W47" s="53"/>
      <c r="X47" s="53"/>
      <c r="Y47" s="53"/>
      <c r="Z47" s="57"/>
      <c r="AA47" s="17"/>
      <c r="AB47" s="17"/>
      <c r="AC47" s="17"/>
      <c r="AD47" s="17"/>
      <c r="AE47" s="57"/>
      <c r="AF47" s="53"/>
    </row>
    <row r="48" spans="1:32" x14ac:dyDescent="0.2">
      <c r="K48" s="53"/>
      <c r="L48" s="53"/>
      <c r="M48" s="53"/>
      <c r="N48" s="53"/>
      <c r="O48" s="53"/>
      <c r="P48" s="53"/>
      <c r="Q48" s="53"/>
      <c r="R48" s="17"/>
      <c r="T48" s="53"/>
      <c r="U48" s="53"/>
      <c r="V48" s="53"/>
      <c r="W48" s="53"/>
      <c r="X48" s="53"/>
      <c r="Y48" s="53"/>
      <c r="Z48" s="57"/>
      <c r="AA48" s="17"/>
      <c r="AB48" s="17"/>
      <c r="AC48" s="17"/>
      <c r="AD48" s="17"/>
      <c r="AE48" s="57"/>
      <c r="AF48" s="53"/>
    </row>
    <row r="49" spans="11:32" x14ac:dyDescent="0.2">
      <c r="K49" s="53"/>
      <c r="L49" s="53"/>
      <c r="M49" s="53"/>
      <c r="N49" s="53"/>
      <c r="O49" s="53"/>
      <c r="P49" s="53"/>
      <c r="Q49" s="53"/>
      <c r="R49" s="17"/>
      <c r="T49" s="53"/>
      <c r="U49" s="53"/>
      <c r="V49" s="53"/>
      <c r="W49" s="53"/>
      <c r="X49" s="53"/>
      <c r="Y49" s="53"/>
      <c r="Z49" s="57"/>
      <c r="AA49" s="17"/>
      <c r="AB49" s="17"/>
      <c r="AC49" s="17"/>
      <c r="AD49" s="17"/>
      <c r="AE49" s="57"/>
      <c r="AF49" s="53"/>
    </row>
    <row r="50" spans="11:32" x14ac:dyDescent="0.2">
      <c r="K50" s="53"/>
      <c r="L50" s="53"/>
      <c r="M50" s="53"/>
      <c r="N50" s="53"/>
      <c r="O50" s="53"/>
      <c r="P50" s="53"/>
      <c r="Q50" s="53"/>
      <c r="R50" s="17"/>
      <c r="T50" s="53"/>
      <c r="U50" s="53"/>
      <c r="V50" s="53"/>
      <c r="W50" s="53"/>
      <c r="X50" s="53"/>
      <c r="Y50" s="53"/>
      <c r="Z50" s="57"/>
      <c r="AA50" s="17"/>
      <c r="AB50" s="17"/>
      <c r="AC50" s="17"/>
      <c r="AD50" s="17"/>
      <c r="AE50" s="57"/>
      <c r="AF50" s="53"/>
    </row>
    <row r="51" spans="11:32" x14ac:dyDescent="0.2">
      <c r="K51" s="53"/>
      <c r="L51" s="53"/>
      <c r="M51" s="53"/>
      <c r="N51" s="53"/>
      <c r="O51" s="53"/>
      <c r="P51" s="53"/>
      <c r="Q51" s="53"/>
      <c r="R51" s="17"/>
      <c r="T51" s="53"/>
      <c r="U51" s="53"/>
      <c r="V51" s="53"/>
      <c r="W51" s="53"/>
      <c r="X51" s="53"/>
      <c r="Y51" s="53"/>
      <c r="Z51" s="57"/>
      <c r="AA51" s="17"/>
      <c r="AB51" s="17"/>
      <c r="AC51" s="17"/>
      <c r="AD51" s="17"/>
      <c r="AE51" s="57"/>
      <c r="AF51" s="53"/>
    </row>
    <row r="52" spans="11:32" x14ac:dyDescent="0.2">
      <c r="K52" s="53"/>
      <c r="L52" s="53"/>
      <c r="M52" s="53"/>
      <c r="N52" s="53"/>
      <c r="O52" s="53"/>
      <c r="P52" s="53"/>
      <c r="Q52" s="53"/>
      <c r="R52" s="17"/>
      <c r="T52" s="53"/>
      <c r="U52" s="53"/>
      <c r="V52" s="53"/>
      <c r="W52" s="53"/>
      <c r="X52" s="53"/>
      <c r="Y52" s="53"/>
      <c r="Z52" s="57"/>
      <c r="AA52" s="17"/>
      <c r="AB52" s="17"/>
      <c r="AC52" s="17"/>
      <c r="AD52" s="17"/>
      <c r="AE52" s="57"/>
      <c r="AF52" s="53"/>
    </row>
    <row r="53" spans="11:32" x14ac:dyDescent="0.2">
      <c r="K53" s="53"/>
      <c r="L53" s="53"/>
      <c r="M53" s="53"/>
      <c r="N53" s="53"/>
      <c r="O53" s="53"/>
      <c r="P53" s="53"/>
      <c r="Q53" s="53"/>
      <c r="R53" s="17"/>
      <c r="T53" s="53"/>
      <c r="U53" s="53"/>
      <c r="V53" s="53"/>
      <c r="W53" s="53"/>
      <c r="X53" s="53"/>
      <c r="Y53" s="53"/>
      <c r="Z53" s="57"/>
      <c r="AA53" s="17"/>
      <c r="AB53" s="17"/>
      <c r="AC53" s="17"/>
      <c r="AD53" s="17"/>
      <c r="AE53" s="57"/>
      <c r="AF53" s="53"/>
    </row>
    <row r="54" spans="11:32" x14ac:dyDescent="0.2">
      <c r="K54" s="53"/>
      <c r="L54" s="53"/>
      <c r="M54" s="53"/>
      <c r="N54" s="53"/>
      <c r="O54" s="53"/>
      <c r="P54" s="53"/>
      <c r="Q54" s="53"/>
      <c r="R54" s="17"/>
      <c r="T54" s="53"/>
      <c r="U54" s="53"/>
      <c r="V54" s="53"/>
      <c r="W54" s="53"/>
      <c r="X54" s="53"/>
      <c r="Y54" s="53"/>
      <c r="Z54" s="57"/>
      <c r="AA54" s="17"/>
      <c r="AB54" s="17"/>
      <c r="AC54" s="17"/>
      <c r="AD54" s="17"/>
      <c r="AE54" s="57"/>
      <c r="AF54" s="53"/>
    </row>
    <row r="55" spans="11:32" x14ac:dyDescent="0.2">
      <c r="K55" s="53"/>
      <c r="L55" s="53"/>
      <c r="M55" s="53"/>
      <c r="N55" s="53"/>
      <c r="O55" s="53"/>
      <c r="P55" s="53"/>
      <c r="Q55" s="53"/>
      <c r="R55" s="17"/>
      <c r="T55" s="53"/>
      <c r="U55" s="53"/>
      <c r="V55" s="53"/>
      <c r="W55" s="53"/>
      <c r="X55" s="53"/>
      <c r="Y55" s="53"/>
      <c r="Z55" s="57"/>
      <c r="AA55" s="17"/>
      <c r="AB55" s="17"/>
      <c r="AC55" s="17"/>
      <c r="AD55" s="17"/>
      <c r="AE55" s="57"/>
      <c r="AF55" s="53"/>
    </row>
    <row r="56" spans="11:32" x14ac:dyDescent="0.2">
      <c r="K56" s="53"/>
      <c r="L56" s="53"/>
      <c r="M56" s="53"/>
      <c r="N56" s="53"/>
      <c r="O56" s="53"/>
      <c r="P56" s="53"/>
      <c r="Q56" s="53"/>
      <c r="R56" s="17"/>
      <c r="T56" s="53"/>
      <c r="U56" s="53"/>
      <c r="V56" s="53"/>
      <c r="W56" s="53"/>
      <c r="X56" s="53"/>
      <c r="Y56" s="53"/>
      <c r="Z56" s="57"/>
      <c r="AA56" s="17"/>
      <c r="AB56" s="17"/>
      <c r="AC56" s="17"/>
      <c r="AD56" s="17"/>
      <c r="AE56" s="57"/>
      <c r="AF56" s="53"/>
    </row>
    <row r="57" spans="11:32" x14ac:dyDescent="0.2">
      <c r="K57" s="53"/>
      <c r="L57" s="53"/>
      <c r="M57" s="53"/>
      <c r="N57" s="53"/>
      <c r="O57" s="53"/>
      <c r="P57" s="53"/>
      <c r="Q57" s="53"/>
      <c r="R57" s="17"/>
      <c r="T57" s="53"/>
      <c r="U57" s="53"/>
      <c r="V57" s="53"/>
      <c r="W57" s="53"/>
      <c r="X57" s="53"/>
      <c r="Y57" s="53"/>
      <c r="Z57" s="57"/>
      <c r="AA57" s="17"/>
      <c r="AB57" s="17"/>
      <c r="AC57" s="17"/>
      <c r="AD57" s="17"/>
      <c r="AE57" s="57"/>
      <c r="AF57" s="53"/>
    </row>
  </sheetData>
  <sheetProtection algorithmName="SHA-512" hashValue="zwsKDK4lEoZJD90TnLDJGGAZtBmrBFAlmXKKruB8+CXy4H7J5k5m3UFhO2AEfKIHHFDYPKRRUgglRJ6e9Sf0EQ==" saltValue="NsnOn72yNWxD+WYTbEcdYw==" spinCount="100000" sheet="1" objects="1" scenarios="1"/>
  <mergeCells count="1">
    <mergeCell ref="A1:J1"/>
  </mergeCells>
  <phoneticPr fontId="5" type="noConversion"/>
  <pageMargins left="0.7" right="0.7" top="0.75" bottom="0.75" header="0.3" footer="0.3"/>
  <pageSetup paperSize="9" orientation="portrait" r:id="rId1"/>
  <ignoredErrors>
    <ignoredError sqref="I3:I5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STRAC</vt:lpstr>
      <vt:lpstr>STRAC_Multiple Channel</vt:lpstr>
      <vt:lpstr>STRAC_Light and Small</vt:lpstr>
      <vt:lpstr>STRAC_Pretreatment</vt:lpstr>
      <vt:lpstr>STRAC_Labeling Service</vt:lpstr>
      <vt:lpstr>STRAC_Removal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Quin</cp:lastModifiedBy>
  <dcterms:created xsi:type="dcterms:W3CDTF">2015-06-05T18:19:00Z</dcterms:created>
  <dcterms:modified xsi:type="dcterms:W3CDTF">2019-10-22T09:45:01Z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2052-10.1.0.7698</vt:lpwstr>
  </property>
</Properties>
</file>