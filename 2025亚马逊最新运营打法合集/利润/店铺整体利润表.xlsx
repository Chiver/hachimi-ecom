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/>
  <mc:AlternateContent xmlns:mc="http://schemas.openxmlformats.org/markup-compatibility/2006">
    <mc:Choice Requires="x15">
      <x15ac:absPath xmlns:x15ac="http://schemas.microsoft.com/office/spreadsheetml/2010/11/ac" url="C:\Users\ruiqi\Desktop\跨境电商公司不同规模的公司组织架构，运营规划，运营细则要求和绩效提成(1)\"/>
    </mc:Choice>
  </mc:AlternateContent>
  <xr:revisionPtr revIDLastSave="0" documentId="13_ncr:1_{712D1C90-C0F7-4C67-89C4-0934AAF9EF7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总投入统计" sheetId="1" r:id="rId1"/>
    <sheet name="FBA利润统计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2" l="1"/>
  <c r="H24" i="2" s="1"/>
  <c r="E25" i="2"/>
  <c r="E26" i="2" s="1"/>
  <c r="E27" i="2" s="1"/>
  <c r="C25" i="2"/>
  <c r="D22" i="2" s="1"/>
  <c r="B10" i="2"/>
  <c r="B11" i="2" s="1"/>
  <c r="L6" i="1"/>
  <c r="G6" i="1"/>
  <c r="K6" i="1" s="1"/>
  <c r="D6" i="1"/>
  <c r="G26" i="2" l="1"/>
  <c r="G27" i="2" s="1"/>
  <c r="F18" i="2"/>
  <c r="H19" i="2"/>
  <c r="D21" i="2"/>
  <c r="F22" i="2"/>
  <c r="H23" i="2"/>
  <c r="H18" i="2"/>
  <c r="D20" i="2"/>
  <c r="F21" i="2"/>
  <c r="H22" i="2"/>
  <c r="D24" i="2"/>
  <c r="D25" i="2"/>
  <c r="H25" i="2"/>
  <c r="C26" i="2"/>
  <c r="C27" i="2" s="1"/>
  <c r="D19" i="2"/>
  <c r="F20" i="2"/>
  <c r="H21" i="2"/>
  <c r="D23" i="2"/>
  <c r="F24" i="2"/>
  <c r="D18" i="2"/>
  <c r="F19" i="2"/>
  <c r="H20" i="2"/>
  <c r="F23" i="2"/>
  <c r="F25" i="2"/>
</calcChain>
</file>

<file path=xl/sharedStrings.xml><?xml version="1.0" encoding="utf-8"?>
<sst xmlns="http://schemas.openxmlformats.org/spreadsheetml/2006/main" count="58" uniqueCount="52">
  <si>
    <t>FBA-亚马逊统计表</t>
  </si>
  <si>
    <t>FBA运营统计</t>
  </si>
  <si>
    <t>商品成本</t>
  </si>
  <si>
    <t>头程物流成本</t>
  </si>
  <si>
    <t>FBA成本</t>
  </si>
  <si>
    <t>商品固定成本</t>
  </si>
  <si>
    <t>评测成本</t>
  </si>
  <si>
    <t>广告成本</t>
  </si>
  <si>
    <t>商品（处理后）</t>
  </si>
  <si>
    <t>单价</t>
  </si>
  <si>
    <t>个数</t>
  </si>
  <si>
    <t>总价（含运费）</t>
  </si>
  <si>
    <t>包装费</t>
  </si>
  <si>
    <t>头程总价（含国运）</t>
  </si>
  <si>
    <t>头程单价</t>
  </si>
  <si>
    <t>佣金费用</t>
  </si>
  <si>
    <t>尾程配送费</t>
  </si>
  <si>
    <t>汇率</t>
  </si>
  <si>
    <t>采购+头程+FBA（单个及全票）</t>
  </si>
  <si>
    <t>评测费用</t>
  </si>
  <si>
    <t>自动单价</t>
  </si>
  <si>
    <t>7天消耗</t>
  </si>
  <si>
    <t>14天消耗</t>
  </si>
  <si>
    <t>30天消耗</t>
  </si>
  <si>
    <t>例如：钥匙扣 5pcs</t>
  </si>
  <si>
    <r>
      <rPr>
        <b/>
        <sz val="12"/>
        <color theme="3" tint="-0.249977111117893"/>
        <rFont val="微软雅黑"/>
        <charset val="134"/>
      </rPr>
      <t>单个产品利润计算器(</t>
    </r>
    <r>
      <rPr>
        <b/>
        <sz val="8"/>
        <color theme="3" tint="-0.249977111117893"/>
        <rFont val="微软雅黑"/>
        <charset val="134"/>
      </rPr>
      <t>填写带框数据</t>
    </r>
    <r>
      <rPr>
        <b/>
        <sz val="12"/>
        <color theme="3" tint="-0.249977111117893"/>
        <rFont val="微软雅黑"/>
        <charset val="134"/>
      </rPr>
      <t>）</t>
    </r>
  </si>
  <si>
    <t>成本价</t>
  </si>
  <si>
    <t>头程费用</t>
  </si>
  <si>
    <t>佣金比例</t>
  </si>
  <si>
    <t>FBA配送费</t>
  </si>
  <si>
    <t>最低售价</t>
  </si>
  <si>
    <t>当前售价</t>
  </si>
  <si>
    <t>利润</t>
  </si>
  <si>
    <t>利润率</t>
  </si>
  <si>
    <t>逻辑</t>
  </si>
  <si>
    <t>店铺盈亏额=收入（总销售额）-支出（货物成本+运输成本+佣金费用+FBA费用+仓储费用+广告成本+其他费用）。</t>
  </si>
  <si>
    <t>项目</t>
  </si>
  <si>
    <t>店铺-A</t>
  </si>
  <si>
    <t>SKU-01</t>
  </si>
  <si>
    <t>支出占比</t>
  </si>
  <si>
    <t>SKU-02</t>
  </si>
  <si>
    <t>SKU-03</t>
  </si>
  <si>
    <t>收入</t>
  </si>
  <si>
    <t>总销售额</t>
  </si>
  <si>
    <t>支出</t>
  </si>
  <si>
    <t>货物成本</t>
  </si>
  <si>
    <t>运输成本</t>
  </si>
  <si>
    <t>佣金</t>
  </si>
  <si>
    <t>FBA费用</t>
  </si>
  <si>
    <t>仓储费用</t>
  </si>
  <si>
    <t>其他费用</t>
  </si>
  <si>
    <t>总成本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</si>
</sst>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￥&quot;#,##0.00;&quot;￥&quot;\-#,##0.00"/>
    <numFmt numFmtId="179" formatCode="\$#,##0.00;\-\$#,##0.00"/>
    <numFmt numFmtId="180" formatCode="\¥#,##0.00;\¥\-#,##0.00"/>
    <numFmt numFmtId="181" formatCode="\¥#,##0.00;[Red]\¥#,##0.00"/>
  </numFmts>
  <fonts count="16" x14ac:knownFonts="1">
    <font>
      <sz val="11"/>
      <color theme="1"/>
      <name val="等线"/>
      <charset val="134"/>
      <scheme val="minor"/>
    </font>
    <font>
      <b/>
      <sz val="12"/>
      <color theme="3" tint="-0.249977111117893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1"/>
      <color theme="1"/>
      <name val="微软雅黑"/>
      <charset val="134"/>
    </font>
    <font>
      <b/>
      <sz val="18"/>
      <color rgb="FF006100"/>
      <name val="等线"/>
      <charset val="134"/>
      <scheme val="minor"/>
    </font>
    <font>
      <b/>
      <sz val="11"/>
      <color rgb="FF9C0006"/>
      <name val="等线"/>
      <charset val="134"/>
      <scheme val="minor"/>
    </font>
    <font>
      <b/>
      <sz val="11"/>
      <color rgb="FF9C57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8"/>
      <color rgb="FF9C57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rgb="FF006100"/>
      <name val="等线"/>
      <charset val="134"/>
      <scheme val="minor"/>
    </font>
    <font>
      <b/>
      <sz val="8"/>
      <color theme="3" tint="-0.249977111117893"/>
      <name val="微软雅黑"/>
      <charset val="134"/>
    </font>
    <font>
      <sz val="9"/>
      <name val="等线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auto="1"/>
      </bottom>
      <diagonal/>
    </border>
  </borders>
  <cellStyleXfs count="4">
    <xf numFmtId="0" fontId="0" fillId="0" borderId="0"/>
    <xf numFmtId="0" fontId="11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</cellStyleXfs>
  <cellXfs count="46">
    <xf numFmtId="0" fontId="0" fillId="0" borderId="0" xfId="0"/>
    <xf numFmtId="0" fontId="2" fillId="0" borderId="0" xfId="0" applyFont="1" applyAlignment="1">
      <alignment vertical="center"/>
    </xf>
    <xf numFmtId="176" fontId="2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76" fontId="2" fillId="0" borderId="3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9" fontId="2" fillId="0" borderId="5" xfId="0" applyNumberFormat="1" applyFont="1" applyBorder="1" applyAlignment="1">
      <alignment vertical="center"/>
    </xf>
    <xf numFmtId="179" fontId="2" fillId="0" borderId="6" xfId="0" applyNumberFormat="1" applyFont="1" applyBorder="1" applyAlignment="1">
      <alignment vertical="center"/>
    </xf>
    <xf numFmtId="179" fontId="2" fillId="0" borderId="0" xfId="0" applyNumberFormat="1" applyFont="1" applyAlignment="1">
      <alignment vertical="center"/>
    </xf>
    <xf numFmtId="179" fontId="2" fillId="0" borderId="7" xfId="0" applyNumberFormat="1" applyFont="1" applyBorder="1" applyAlignment="1">
      <alignment vertical="center"/>
    </xf>
    <xf numFmtId="176" fontId="2" fillId="0" borderId="0" xfId="0" applyNumberFormat="1" applyFont="1" applyAlignment="1">
      <alignment vertical="center"/>
    </xf>
    <xf numFmtId="10" fontId="2" fillId="3" borderId="0" xfId="0" applyNumberFormat="1" applyFont="1" applyFill="1" applyAlignment="1">
      <alignment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179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0" applyNumberFormat="1" applyFont="1" applyAlignment="1">
      <alignment vertical="center"/>
    </xf>
    <xf numFmtId="10" fontId="4" fillId="0" borderId="2" xfId="0" applyNumberFormat="1" applyFont="1" applyBorder="1" applyAlignment="1">
      <alignment vertical="center"/>
    </xf>
    <xf numFmtId="179" fontId="4" fillId="3" borderId="0" xfId="0" applyNumberFormat="1" applyFont="1" applyFill="1" applyAlignment="1">
      <alignment vertical="center"/>
    </xf>
    <xf numFmtId="10" fontId="4" fillId="0" borderId="9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7" fillId="11" borderId="0" xfId="1" applyFont="1" applyAlignment="1">
      <alignment horizontal="center" vertical="center"/>
    </xf>
    <xf numFmtId="0" fontId="8" fillId="12" borderId="0" xfId="3" applyFont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12" borderId="0" xfId="3" applyFont="1" applyAlignment="1">
      <alignment horizontal="center" vertical="center"/>
    </xf>
    <xf numFmtId="0" fontId="6" fillId="10" borderId="0" xfId="2" applyFont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4" fillId="8" borderId="9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5" borderId="0" xfId="0" applyFont="1" applyFill="1" applyAlignment="1">
      <alignment vertical="center"/>
    </xf>
  </cellXfs>
  <cellStyles count="4">
    <cellStyle name="差" xfId="1" builtinId="27"/>
    <cellStyle name="常规" xfId="0" builtinId="0"/>
    <cellStyle name="好" xfId="2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opLeftCell="I1" workbookViewId="0">
      <selection activeCell="U10" sqref="U10"/>
    </sheetView>
  </sheetViews>
  <sheetFormatPr defaultColWidth="9" defaultRowHeight="14.25" x14ac:dyDescent="0.2"/>
  <cols>
    <col min="1" max="1" width="17.625" customWidth="1"/>
    <col min="2" max="2" width="7.875" customWidth="1"/>
    <col min="3" max="3" width="8.875" customWidth="1"/>
    <col min="4" max="4" width="12.625" customWidth="1"/>
    <col min="6" max="6" width="18" customWidth="1"/>
    <col min="7" max="7" width="11.125" customWidth="1"/>
    <col min="9" max="9" width="10.625" customWidth="1"/>
    <col min="10" max="10" width="10.25" customWidth="1"/>
    <col min="11" max="11" width="15.5" customWidth="1"/>
    <col min="12" max="12" width="14.375" customWidth="1"/>
    <col min="17" max="17" width="9" customWidth="1"/>
    <col min="18" max="18" width="12.25" customWidth="1"/>
    <col min="19" max="19" width="17.5" customWidth="1"/>
  </cols>
  <sheetData>
    <row r="1" spans="1:21" ht="14.25" customHeight="1" x14ac:dyDescent="0.2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5" t="s">
        <v>1</v>
      </c>
      <c r="N1" s="35"/>
      <c r="O1" s="35"/>
      <c r="P1" s="35"/>
      <c r="Q1" s="35"/>
      <c r="T1" s="23"/>
      <c r="U1" s="23"/>
    </row>
    <row r="2" spans="1:21" ht="14.25" customHeight="1" x14ac:dyDescent="0.2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5"/>
      <c r="N2" s="35"/>
      <c r="O2" s="35"/>
      <c r="P2" s="35"/>
      <c r="Q2" s="35"/>
      <c r="T2" s="23"/>
      <c r="U2" s="23"/>
    </row>
    <row r="3" spans="1:21" ht="14.25" customHeight="1" x14ac:dyDescent="0.2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5"/>
      <c r="N3" s="35"/>
      <c r="O3" s="35"/>
      <c r="P3" s="35"/>
      <c r="Q3" s="35"/>
      <c r="T3" s="23"/>
      <c r="U3" s="23"/>
    </row>
    <row r="4" spans="1:21" x14ac:dyDescent="0.2">
      <c r="A4" s="29" t="s">
        <v>2</v>
      </c>
      <c r="B4" s="29"/>
      <c r="C4" s="29"/>
      <c r="D4" s="29"/>
      <c r="E4" s="29"/>
      <c r="F4" s="30" t="s">
        <v>3</v>
      </c>
      <c r="G4" s="30"/>
      <c r="H4" s="31" t="s">
        <v>4</v>
      </c>
      <c r="I4" s="31"/>
      <c r="J4" s="31"/>
      <c r="K4" s="32" t="s">
        <v>5</v>
      </c>
      <c r="L4" s="32"/>
      <c r="M4" s="28" t="s">
        <v>6</v>
      </c>
      <c r="N4" s="33" t="s">
        <v>7</v>
      </c>
      <c r="O4" s="33"/>
      <c r="P4" s="33"/>
      <c r="Q4" s="33"/>
      <c r="T4" s="24"/>
    </row>
    <row r="5" spans="1:21" x14ac:dyDescent="0.2">
      <c r="A5" s="24" t="s">
        <v>8</v>
      </c>
      <c r="B5" s="24" t="s">
        <v>9</v>
      </c>
      <c r="C5" s="24" t="s">
        <v>10</v>
      </c>
      <c r="D5" s="24" t="s">
        <v>11</v>
      </c>
      <c r="E5" s="24" t="s">
        <v>12</v>
      </c>
      <c r="F5" s="24" t="s">
        <v>13</v>
      </c>
      <c r="G5" s="24" t="s">
        <v>14</v>
      </c>
      <c r="H5" s="24" t="s">
        <v>15</v>
      </c>
      <c r="I5" s="24" t="s">
        <v>16</v>
      </c>
      <c r="J5" s="24" t="s">
        <v>17</v>
      </c>
      <c r="K5" s="34" t="s">
        <v>18</v>
      </c>
      <c r="L5" s="34"/>
      <c r="M5" s="24" t="s">
        <v>19</v>
      </c>
      <c r="N5" s="24" t="s">
        <v>20</v>
      </c>
      <c r="O5" s="24" t="s">
        <v>21</v>
      </c>
      <c r="P5" s="24" t="s">
        <v>22</v>
      </c>
      <c r="Q5" s="24" t="s">
        <v>23</v>
      </c>
      <c r="T5" s="24"/>
    </row>
    <row r="6" spans="1:21" x14ac:dyDescent="0.2">
      <c r="A6" s="24" t="s">
        <v>24</v>
      </c>
      <c r="B6" s="25">
        <v>5</v>
      </c>
      <c r="C6" s="24">
        <v>100</v>
      </c>
      <c r="D6" s="25">
        <f>B6*C6</f>
        <v>500</v>
      </c>
      <c r="E6" s="25">
        <v>20</v>
      </c>
      <c r="F6" s="25">
        <v>800</v>
      </c>
      <c r="G6" s="26">
        <f>F6/C6</f>
        <v>8</v>
      </c>
      <c r="H6" s="27">
        <v>0.75</v>
      </c>
      <c r="I6" s="27">
        <v>3.19</v>
      </c>
      <c r="J6" s="22">
        <v>7</v>
      </c>
      <c r="K6" s="26">
        <f>I6+H6*J6+G6+B6</f>
        <v>21.439999999999998</v>
      </c>
      <c r="L6" s="25">
        <f>I6+H6*J6*C6+D6+F6</f>
        <v>1828.19</v>
      </c>
      <c r="M6" s="24">
        <v>0</v>
      </c>
      <c r="N6" s="27"/>
      <c r="O6" s="24"/>
      <c r="P6" s="24"/>
      <c r="Q6" s="24"/>
      <c r="T6" s="24"/>
    </row>
    <row r="7" spans="1:21" x14ac:dyDescent="0.2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</row>
    <row r="8" spans="1:2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spans="1:21" x14ac:dyDescent="0.2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</row>
    <row r="10" spans="1:2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</row>
    <row r="11" spans="1:21" x14ac:dyDescent="0.2">
      <c r="G11" s="22"/>
    </row>
    <row r="12" spans="1:21" x14ac:dyDescent="0.2">
      <c r="G12" s="22"/>
    </row>
    <row r="13" spans="1:21" x14ac:dyDescent="0.2">
      <c r="G13" s="22"/>
    </row>
    <row r="14" spans="1:21" x14ac:dyDescent="0.2">
      <c r="G14" s="22"/>
    </row>
    <row r="15" spans="1:21" x14ac:dyDescent="0.2">
      <c r="G15" s="22"/>
    </row>
    <row r="16" spans="1:21" x14ac:dyDescent="0.2">
      <c r="G16" s="22"/>
    </row>
    <row r="17" spans="7:7" x14ac:dyDescent="0.2">
      <c r="G17" s="22"/>
    </row>
    <row r="18" spans="7:7" x14ac:dyDescent="0.2">
      <c r="G18" s="22"/>
    </row>
    <row r="19" spans="7:7" x14ac:dyDescent="0.2">
      <c r="G19" s="22"/>
    </row>
  </sheetData>
  <mergeCells count="8">
    <mergeCell ref="K5:L5"/>
    <mergeCell ref="M1:Q3"/>
    <mergeCell ref="A1:L3"/>
    <mergeCell ref="A4:E4"/>
    <mergeCell ref="F4:G4"/>
    <mergeCell ref="H4:J4"/>
    <mergeCell ref="K4:L4"/>
    <mergeCell ref="N4:Q4"/>
  </mergeCells>
  <phoneticPr fontId="15" type="noConversion"/>
  <pageMargins left="0.7" right="0.7" top="0.75" bottom="0.75" header="0.3" footer="0.3"/>
  <pageSetup paperSize="260" orientation="portrait" horizontalDpi="203" verticalDpi="20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"/>
  <sheetViews>
    <sheetView tabSelected="1" workbookViewId="0">
      <selection activeCell="J17" sqref="J17:O17"/>
    </sheetView>
  </sheetViews>
  <sheetFormatPr defaultColWidth="9" defaultRowHeight="14.25" x14ac:dyDescent="0.2"/>
  <cols>
    <col min="1" max="1" width="17.5" customWidth="1"/>
    <col min="2" max="2" width="21.375" customWidth="1"/>
    <col min="3" max="3" width="23.125" customWidth="1"/>
    <col min="4" max="4" width="17.375" customWidth="1"/>
    <col min="5" max="5" width="22.75" customWidth="1"/>
    <col min="6" max="6" width="19.5" customWidth="1"/>
    <col min="7" max="7" width="20.25" customWidth="1"/>
    <col min="8" max="8" width="24.25" customWidth="1"/>
  </cols>
  <sheetData>
    <row r="1" spans="1:15" x14ac:dyDescent="0.2">
      <c r="A1" s="41" t="s">
        <v>25</v>
      </c>
      <c r="B1" s="41"/>
    </row>
    <row r="2" spans="1:15" x14ac:dyDescent="0.2">
      <c r="A2" s="41"/>
      <c r="B2" s="41"/>
    </row>
    <row r="3" spans="1:15" ht="16.5" x14ac:dyDescent="0.2">
      <c r="A3" s="1" t="s">
        <v>26</v>
      </c>
      <c r="B3" s="2">
        <v>14</v>
      </c>
    </row>
    <row r="4" spans="1:15" ht="16.5" x14ac:dyDescent="0.2">
      <c r="A4" s="3" t="s">
        <v>27</v>
      </c>
      <c r="B4" s="4">
        <v>14</v>
      </c>
    </row>
    <row r="5" spans="1:15" ht="16.5" x14ac:dyDescent="0.2">
      <c r="A5" s="1" t="s">
        <v>17</v>
      </c>
      <c r="B5" s="5">
        <v>7</v>
      </c>
      <c r="J5" s="23"/>
      <c r="K5" s="23"/>
      <c r="L5" s="23"/>
      <c r="M5" s="23"/>
      <c r="N5" s="23"/>
      <c r="O5" s="23"/>
    </row>
    <row r="6" spans="1:15" ht="16.5" x14ac:dyDescent="0.2">
      <c r="A6" s="1" t="s">
        <v>28</v>
      </c>
      <c r="B6" s="6">
        <v>0.15</v>
      </c>
      <c r="J6" s="23"/>
      <c r="K6" s="23"/>
      <c r="L6" s="23"/>
      <c r="M6" s="23"/>
      <c r="N6" s="23"/>
      <c r="O6" s="23"/>
    </row>
    <row r="7" spans="1:15" ht="16.5" x14ac:dyDescent="0.2">
      <c r="A7" s="1" t="s">
        <v>29</v>
      </c>
      <c r="B7" s="7">
        <v>3.19</v>
      </c>
      <c r="J7" s="23"/>
      <c r="K7" s="23"/>
      <c r="L7" s="23"/>
      <c r="M7" s="23"/>
      <c r="N7" s="23"/>
      <c r="O7" s="23"/>
    </row>
    <row r="8" spans="1:15" ht="16.5" x14ac:dyDescent="0.2">
      <c r="A8" s="1" t="s">
        <v>30</v>
      </c>
      <c r="B8" s="8">
        <v>13.1</v>
      </c>
      <c r="J8" s="23"/>
      <c r="K8" s="23"/>
      <c r="L8" s="23"/>
      <c r="M8" s="23"/>
      <c r="N8" s="23"/>
      <c r="O8" s="23"/>
    </row>
    <row r="9" spans="1:15" ht="16.5" x14ac:dyDescent="0.2">
      <c r="A9" s="1" t="s">
        <v>31</v>
      </c>
      <c r="B9" s="9">
        <v>23.99</v>
      </c>
      <c r="J9" s="23"/>
      <c r="K9" s="23"/>
      <c r="L9" s="23"/>
      <c r="M9" s="23"/>
      <c r="N9" s="23"/>
      <c r="O9" s="23"/>
    </row>
    <row r="10" spans="1:15" ht="16.5" x14ac:dyDescent="0.2">
      <c r="A10" s="1" t="s">
        <v>32</v>
      </c>
      <c r="B10" s="10">
        <f>(B9-B7-B9*B6)*B5-B4-B3</f>
        <v>92.410499999999971</v>
      </c>
      <c r="J10" s="23"/>
      <c r="K10" s="23"/>
      <c r="L10" s="23"/>
      <c r="M10" s="23"/>
      <c r="N10" s="23"/>
      <c r="O10" s="23"/>
    </row>
    <row r="11" spans="1:15" ht="16.5" x14ac:dyDescent="0.2">
      <c r="A11" s="1" t="s">
        <v>33</v>
      </c>
      <c r="B11" s="11">
        <f>B10/(B9*B5)</f>
        <v>0.55029178824510205</v>
      </c>
      <c r="J11" s="23"/>
      <c r="K11" s="23"/>
      <c r="L11" s="23"/>
      <c r="M11" s="23"/>
      <c r="N11" s="23"/>
      <c r="O11" s="23"/>
    </row>
    <row r="12" spans="1:15" x14ac:dyDescent="0.2">
      <c r="J12" s="23"/>
      <c r="K12" s="23"/>
      <c r="L12" s="23"/>
      <c r="M12" s="23"/>
      <c r="N12" s="23"/>
      <c r="O12" s="23"/>
    </row>
    <row r="13" spans="1:15" x14ac:dyDescent="0.2">
      <c r="A13" s="42" t="s">
        <v>34</v>
      </c>
      <c r="B13" s="42"/>
      <c r="C13" s="43" t="s">
        <v>35</v>
      </c>
      <c r="D13" s="43"/>
      <c r="E13" s="43"/>
      <c r="F13" s="43"/>
      <c r="G13" s="43"/>
      <c r="H13" s="43"/>
      <c r="J13" s="23"/>
      <c r="K13" s="23"/>
      <c r="L13" s="23"/>
      <c r="M13" s="23"/>
      <c r="N13" s="23"/>
      <c r="O13" s="23"/>
    </row>
    <row r="14" spans="1:15" x14ac:dyDescent="0.2">
      <c r="A14" s="42"/>
      <c r="B14" s="42"/>
      <c r="C14" s="44"/>
      <c r="D14" s="44"/>
      <c r="E14" s="44"/>
      <c r="F14" s="44"/>
      <c r="G14" s="44"/>
      <c r="H14" s="44"/>
      <c r="J14" s="23"/>
      <c r="K14" s="23"/>
      <c r="L14" s="23"/>
      <c r="M14" s="23"/>
      <c r="N14" s="23"/>
      <c r="O14" s="23"/>
    </row>
    <row r="15" spans="1:15" ht="17.25" x14ac:dyDescent="0.2">
      <c r="A15" s="45" t="s">
        <v>36</v>
      </c>
      <c r="B15" s="45"/>
      <c r="C15" s="37" t="s">
        <v>37</v>
      </c>
      <c r="D15" s="37"/>
      <c r="E15" s="37"/>
      <c r="F15" s="37"/>
      <c r="G15" s="37"/>
      <c r="H15" s="37"/>
      <c r="M15" s="23"/>
      <c r="N15" s="23"/>
      <c r="O15" s="23"/>
    </row>
    <row r="16" spans="1:15" ht="17.25" x14ac:dyDescent="0.2">
      <c r="A16" s="45"/>
      <c r="B16" s="45"/>
      <c r="C16" s="12" t="s">
        <v>38</v>
      </c>
      <c r="D16" s="12" t="s">
        <v>39</v>
      </c>
      <c r="E16" s="12" t="s">
        <v>40</v>
      </c>
      <c r="F16" s="12" t="s">
        <v>39</v>
      </c>
      <c r="G16" s="12" t="s">
        <v>41</v>
      </c>
      <c r="H16" s="12" t="s">
        <v>39</v>
      </c>
      <c r="M16" s="23"/>
      <c r="N16" s="23"/>
      <c r="O16" s="23"/>
    </row>
    <row r="17" spans="1:15" ht="17.25" x14ac:dyDescent="0.2">
      <c r="A17" s="13" t="s">
        <v>42</v>
      </c>
      <c r="B17" s="14" t="s">
        <v>43</v>
      </c>
      <c r="C17" s="15">
        <v>500</v>
      </c>
      <c r="D17" s="16"/>
      <c r="E17" s="15">
        <v>70000</v>
      </c>
      <c r="F17" s="16"/>
      <c r="G17" s="15">
        <v>60000</v>
      </c>
      <c r="H17" s="16"/>
      <c r="J17" s="38"/>
      <c r="K17" s="38"/>
      <c r="L17" s="38"/>
      <c r="M17" s="38"/>
      <c r="N17" s="38"/>
      <c r="O17" s="38"/>
    </row>
    <row r="18" spans="1:15" ht="17.25" x14ac:dyDescent="0.2">
      <c r="A18" s="13" t="s">
        <v>44</v>
      </c>
      <c r="B18" s="14" t="s">
        <v>45</v>
      </c>
      <c r="C18" s="15">
        <v>-120</v>
      </c>
      <c r="D18" s="17">
        <f t="shared" ref="D18:H18" si="0">C18/C25</f>
        <v>0.22222222222222221</v>
      </c>
      <c r="E18" s="15">
        <v>-32675.06</v>
      </c>
      <c r="F18" s="17">
        <f t="shared" si="0"/>
        <v>0.58764362622301136</v>
      </c>
      <c r="G18" s="15">
        <v>-32675.06</v>
      </c>
      <c r="H18" s="17">
        <f t="shared" si="0"/>
        <v>0.58764362622301136</v>
      </c>
    </row>
    <row r="19" spans="1:15" ht="17.25" x14ac:dyDescent="0.2">
      <c r="A19" s="13"/>
      <c r="B19" s="14" t="s">
        <v>46</v>
      </c>
      <c r="C19" s="15">
        <v>-100</v>
      </c>
      <c r="D19" s="17">
        <f t="shared" ref="D19:H19" si="1">C19/C25</f>
        <v>0.18518518518518517</v>
      </c>
      <c r="E19" s="15">
        <v>-2412.27</v>
      </c>
      <c r="F19" s="17">
        <f t="shared" si="1"/>
        <v>4.3383396701612287E-2</v>
      </c>
      <c r="G19" s="15">
        <v>-2412.27</v>
      </c>
      <c r="H19" s="17">
        <f t="shared" si="1"/>
        <v>4.3383396701612287E-2</v>
      </c>
    </row>
    <row r="20" spans="1:15" ht="17.25" x14ac:dyDescent="0.2">
      <c r="A20" s="13"/>
      <c r="B20" s="14" t="s">
        <v>47</v>
      </c>
      <c r="C20" s="15">
        <v>-80</v>
      </c>
      <c r="D20" s="17">
        <f t="shared" ref="D20:H20" si="2">C20/C25</f>
        <v>0.14814814814814814</v>
      </c>
      <c r="E20" s="15">
        <v>-6994.74</v>
      </c>
      <c r="F20" s="17">
        <f t="shared" si="2"/>
        <v>0.12579668952672607</v>
      </c>
      <c r="G20" s="15">
        <v>-6994.74</v>
      </c>
      <c r="H20" s="17">
        <f t="shared" si="2"/>
        <v>0.12579668952672607</v>
      </c>
    </row>
    <row r="21" spans="1:15" ht="17.25" x14ac:dyDescent="0.2">
      <c r="A21" s="13"/>
      <c r="B21" s="14" t="s">
        <v>48</v>
      </c>
      <c r="C21" s="15">
        <v>-90</v>
      </c>
      <c r="D21" s="17">
        <f t="shared" ref="D21:H21" si="3">C21/C25</f>
        <v>0.16666666666666666</v>
      </c>
      <c r="E21" s="15">
        <v>-5327.23</v>
      </c>
      <c r="F21" s="17">
        <f t="shared" si="3"/>
        <v>9.5807406472214959E-2</v>
      </c>
      <c r="G21" s="15">
        <v>-5327.23</v>
      </c>
      <c r="H21" s="18">
        <f t="shared" si="3"/>
        <v>9.5807406472214959E-2</v>
      </c>
    </row>
    <row r="22" spans="1:15" ht="17.25" x14ac:dyDescent="0.2">
      <c r="A22" s="13"/>
      <c r="B22" s="14" t="s">
        <v>49</v>
      </c>
      <c r="C22" s="15">
        <v>-100</v>
      </c>
      <c r="D22" s="17">
        <f t="shared" ref="D22:H22" si="4">C22/C25</f>
        <v>0.18518518518518517</v>
      </c>
      <c r="E22" s="15">
        <v>-457.23</v>
      </c>
      <c r="F22" s="17">
        <f t="shared" si="4"/>
        <v>8.2230390768355897E-3</v>
      </c>
      <c r="G22" s="15">
        <v>-457.23</v>
      </c>
      <c r="H22" s="17">
        <f t="shared" si="4"/>
        <v>8.2230390768355897E-3</v>
      </c>
    </row>
    <row r="23" spans="1:15" ht="17.25" x14ac:dyDescent="0.2">
      <c r="A23" s="13"/>
      <c r="B23" s="14" t="s">
        <v>7</v>
      </c>
      <c r="C23" s="15">
        <v>-50</v>
      </c>
      <c r="D23" s="17">
        <f t="shared" ref="D23:H23" si="5">C23/C25</f>
        <v>9.2592592592592587E-2</v>
      </c>
      <c r="E23" s="15">
        <v>-7634.32</v>
      </c>
      <c r="F23" s="17">
        <f t="shared" si="5"/>
        <v>0.13729919665172335</v>
      </c>
      <c r="G23" s="15">
        <v>-7634.32</v>
      </c>
      <c r="H23" s="18">
        <f t="shared" si="5"/>
        <v>0.13729919665172335</v>
      </c>
    </row>
    <row r="24" spans="1:15" ht="17.25" x14ac:dyDescent="0.2">
      <c r="A24" s="13"/>
      <c r="B24" s="14" t="s">
        <v>50</v>
      </c>
      <c r="C24" s="15">
        <v>0</v>
      </c>
      <c r="D24" s="17">
        <f t="shared" ref="D24:H24" si="6">C24/C25</f>
        <v>0</v>
      </c>
      <c r="E24" s="15">
        <v>-102.68</v>
      </c>
      <c r="F24" s="17">
        <f t="shared" si="6"/>
        <v>1.8466453478762949E-3</v>
      </c>
      <c r="G24" s="15">
        <v>-102.68</v>
      </c>
      <c r="H24" s="18">
        <f t="shared" si="6"/>
        <v>1.8466453478762949E-3</v>
      </c>
    </row>
    <row r="25" spans="1:15" ht="17.25" x14ac:dyDescent="0.2">
      <c r="A25" s="13"/>
      <c r="B25" s="14" t="s">
        <v>51</v>
      </c>
      <c r="C25" s="15">
        <f t="shared" ref="C25:G25" si="7">SUM(C18:C24)</f>
        <v>-540</v>
      </c>
      <c r="D25" s="17">
        <f t="shared" ref="D25:H25" si="8">C25/C25</f>
        <v>1</v>
      </c>
      <c r="E25" s="15">
        <f t="shared" si="7"/>
        <v>-55603.530000000006</v>
      </c>
      <c r="F25" s="17">
        <f t="shared" si="8"/>
        <v>1</v>
      </c>
      <c r="G25" s="15">
        <f t="shared" si="7"/>
        <v>-55603.530000000006</v>
      </c>
      <c r="H25" s="18">
        <f t="shared" si="8"/>
        <v>1</v>
      </c>
    </row>
    <row r="26" spans="1:15" ht="17.25" x14ac:dyDescent="0.2">
      <c r="A26" s="39" t="s">
        <v>32</v>
      </c>
      <c r="B26" s="39"/>
      <c r="C26" s="19">
        <f t="shared" ref="C26:G26" si="9">C17+C25</f>
        <v>-40</v>
      </c>
      <c r="D26" s="16"/>
      <c r="E26" s="19">
        <f t="shared" si="9"/>
        <v>14396.469999999994</v>
      </c>
      <c r="F26" s="16"/>
      <c r="G26" s="19">
        <f t="shared" si="9"/>
        <v>4396.4699999999939</v>
      </c>
      <c r="H26" s="16"/>
    </row>
    <row r="27" spans="1:15" ht="17.25" x14ac:dyDescent="0.2">
      <c r="A27" s="40" t="s">
        <v>33</v>
      </c>
      <c r="B27" s="40"/>
      <c r="C27" s="20">
        <f t="shared" ref="C27:G27" si="10">C26/C17</f>
        <v>-0.08</v>
      </c>
      <c r="D27" s="21"/>
      <c r="E27" s="20">
        <f t="shared" si="10"/>
        <v>0.20566385714285706</v>
      </c>
      <c r="F27" s="21"/>
      <c r="G27" s="20">
        <f t="shared" si="10"/>
        <v>7.3274499999999895E-2</v>
      </c>
      <c r="H27" s="21"/>
    </row>
  </sheetData>
  <mergeCells count="8">
    <mergeCell ref="C15:H15"/>
    <mergeCell ref="J17:O17"/>
    <mergeCell ref="A26:B26"/>
    <mergeCell ref="A27:B27"/>
    <mergeCell ref="A1:B2"/>
    <mergeCell ref="A13:B14"/>
    <mergeCell ref="C13:H14"/>
    <mergeCell ref="A15:B16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总投入统计</vt:lpstr>
      <vt:lpstr>FBA利润统计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123</cp:lastModifiedBy>
  <dcterms:created xsi:type="dcterms:W3CDTF">2015-06-05T18:19:00Z</dcterms:created>
  <dcterms:modified xsi:type="dcterms:W3CDTF">2021-10-21T02:55:27Z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83E8012526C7414AB842156BD47F0357</vt:lpwstr>
  </property>
</Properties>
</file>