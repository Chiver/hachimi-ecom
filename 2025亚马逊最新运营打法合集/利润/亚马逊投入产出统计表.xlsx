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总投入统计" sheetId="1" r:id="rId1"/>
    <sheet name="FBA利润统计" sheetId="2" r:id="rId2"/>
  </sheets>
  <calcPr calcId="144525"/>
</workbook>
</file>

<file path=xl/sharedStrings.xml><?xml version="1.0" encoding="utf-8"?>
<sst xmlns="http://schemas.openxmlformats.org/spreadsheetml/2006/main" count="58" uniqueCount="52">
  <si>
    <t>FBA-亚马逊统计表</t>
  </si>
  <si>
    <t>FBA运营统计</t>
  </si>
  <si>
    <t>商品成本</t>
  </si>
  <si>
    <t>头程物流成本</t>
  </si>
  <si>
    <t>FBA成本</t>
  </si>
  <si>
    <t>商品固定成本</t>
  </si>
  <si>
    <t>评测成本</t>
  </si>
  <si>
    <t>广告成本</t>
  </si>
  <si>
    <t>商品（处理后）</t>
  </si>
  <si>
    <t>单价</t>
  </si>
  <si>
    <t>个数</t>
  </si>
  <si>
    <t>总价（含运费）</t>
  </si>
  <si>
    <t>包装费</t>
  </si>
  <si>
    <t>头程总价（含国运）</t>
  </si>
  <si>
    <t>头程单价</t>
  </si>
  <si>
    <t>佣金费用</t>
  </si>
  <si>
    <t>尾程配送费</t>
  </si>
  <si>
    <t>汇率</t>
  </si>
  <si>
    <t>采购+头程+FBA（单个及全票）</t>
  </si>
  <si>
    <t>评测费用</t>
  </si>
  <si>
    <t>自动单价</t>
  </si>
  <si>
    <t>7天消耗</t>
  </si>
  <si>
    <t>14天消耗</t>
  </si>
  <si>
    <t>30天消耗</t>
  </si>
  <si>
    <t>例如：钥匙扣 5pcs</t>
  </si>
  <si>
    <r>
      <rPr>
        <b/>
        <sz val="12"/>
        <color theme="3" tint="-0.249977111117893"/>
        <rFont val="微软雅黑"/>
        <charset val="134"/>
      </rPr>
      <t>单个产品利润计算器(</t>
    </r>
    <r>
      <rPr>
        <b/>
        <sz val="8"/>
        <color theme="3" tint="-0.249977111117893"/>
        <rFont val="微软雅黑"/>
        <charset val="134"/>
      </rPr>
      <t>填写带框数据</t>
    </r>
    <r>
      <rPr>
        <b/>
        <sz val="12"/>
        <color theme="3" tint="-0.249977111117893"/>
        <rFont val="微软雅黑"/>
        <charset val="134"/>
      </rPr>
      <t>）</t>
    </r>
  </si>
  <si>
    <t>成本价</t>
  </si>
  <si>
    <t>头程费用</t>
  </si>
  <si>
    <t>佣金比例</t>
  </si>
  <si>
    <t>FBA配送费</t>
  </si>
  <si>
    <t>最低售价</t>
  </si>
  <si>
    <t>当前售价</t>
  </si>
  <si>
    <t>利润</t>
  </si>
  <si>
    <t>利润率</t>
  </si>
  <si>
    <t>逻辑</t>
  </si>
  <si>
    <t>店铺盈亏额=收入（总销售额）-支出（货物成本+运输成本+佣金费用+FBA费用+仓储费用+广告成本+其他费用）。</t>
  </si>
  <si>
    <t>项目</t>
  </si>
  <si>
    <t>店铺-A</t>
  </si>
  <si>
    <t>SKU-01</t>
  </si>
  <si>
    <t>支出占比</t>
  </si>
  <si>
    <t>SKU-02</t>
  </si>
  <si>
    <t>SKU-03</t>
  </si>
  <si>
    <t>收入</t>
  </si>
  <si>
    <t>总销售额</t>
  </si>
  <si>
    <t>支出</t>
  </si>
  <si>
    <t>货物成本</t>
  </si>
  <si>
    <t>运输成本</t>
  </si>
  <si>
    <t>佣金</t>
  </si>
  <si>
    <t>FBA费用</t>
  </si>
  <si>
    <t>仓储费用</t>
  </si>
  <si>
    <t>其他费用</t>
  </si>
  <si>
    <t>总成本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</si>
</sst>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1" formatCode="_ * #,##0_ ;_ * \-#,##0_ ;_ * &quot;-&quot;_ ;_ @_ "/>
    <numFmt numFmtId="7" formatCode="&quot;￥&quot;#,##0.00;&quot;￥&quot;\-#,##0.00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\$#,##0.00;\-\$#,##0.00"/>
    <numFmt numFmtId="177" formatCode="\¥#,##0.00;\¥\-#,##0.00"/>
    <numFmt numFmtId="178" formatCode="\¥#,##0.00;[Red]\¥#,##0.00"/>
  </numFmts>
  <fonts count="30">
    <font>
      <sz val="11"/>
      <color theme="1"/>
      <name val="等线"/>
      <charset val="134"/>
      <scheme val="minor"/>
    </font>
    <font>
      <b/>
      <sz val="12"/>
      <color theme="3" tint="-0.249977111117893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8"/>
      <color rgb="FF006100"/>
      <name val="等线"/>
      <charset val="134"/>
      <scheme val="minor"/>
    </font>
    <font>
      <b/>
      <sz val="11"/>
      <color rgb="FF9C0006"/>
      <name val="等线"/>
      <charset val="134"/>
      <scheme val="minor"/>
    </font>
    <font>
      <b/>
      <sz val="11"/>
      <color rgb="FF9C57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8"/>
      <color rgb="FF9C57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8"/>
      <color theme="3" tint="-0.249977111117893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1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9" borderId="15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3" fillId="25" borderId="14" applyNumberFormat="0" applyAlignment="0" applyProtection="0">
      <alignment vertical="center"/>
    </xf>
    <xf numFmtId="0" fontId="24" fillId="25" borderId="10" applyNumberFormat="0" applyAlignment="0" applyProtection="0">
      <alignment vertical="center"/>
    </xf>
    <xf numFmtId="0" fontId="28" fillId="35" borderId="17" applyNumberForma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7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7" fontId="2" fillId="0" borderId="3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9" fontId="2" fillId="0" borderId="5" xfId="0" applyNumberFormat="1" applyFont="1" applyBorder="1" applyAlignment="1">
      <alignment vertical="center"/>
    </xf>
    <xf numFmtId="176" fontId="2" fillId="0" borderId="6" xfId="0" applyNumberFormat="1" applyFont="1" applyBorder="1" applyAlignment="1">
      <alignment vertical="center"/>
    </xf>
    <xf numFmtId="176" fontId="2" fillId="0" borderId="0" xfId="0" applyNumberFormat="1" applyFont="1" applyAlignment="1">
      <alignment vertical="center"/>
    </xf>
    <xf numFmtId="176" fontId="2" fillId="0" borderId="7" xfId="0" applyNumberFormat="1" applyFont="1" applyBorder="1" applyAlignment="1">
      <alignment vertical="center"/>
    </xf>
    <xf numFmtId="7" fontId="2" fillId="0" borderId="0" xfId="0" applyNumberFormat="1" applyFont="1" applyAlignment="1">
      <alignment vertical="center"/>
    </xf>
    <xf numFmtId="10" fontId="2" fillId="3" borderId="0" xfId="0" applyNumberFormat="1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5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176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10" fontId="4" fillId="0" borderId="2" xfId="0" applyNumberFormat="1" applyFont="1" applyBorder="1" applyAlignment="1">
      <alignment vertical="center"/>
    </xf>
    <xf numFmtId="176" fontId="4" fillId="3" borderId="0" xfId="0" applyNumberFormat="1" applyFont="1" applyFill="1" applyAlignment="1">
      <alignment vertical="center"/>
    </xf>
    <xf numFmtId="0" fontId="4" fillId="8" borderId="9" xfId="0" applyFont="1" applyFill="1" applyBorder="1" applyAlignment="1">
      <alignment vertical="center"/>
    </xf>
    <xf numFmtId="10" fontId="4" fillId="0" borderId="9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10" borderId="0" xfId="31" applyFont="1" applyAlignment="1">
      <alignment horizontal="center" vertical="center" wrapText="1"/>
    </xf>
    <xf numFmtId="0" fontId="6" fillId="11" borderId="0" xfId="7" applyFont="1" applyAlignment="1">
      <alignment horizontal="center" vertical="center"/>
    </xf>
    <xf numFmtId="0" fontId="7" fillId="12" borderId="0" xfId="32" applyFont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9" fillId="12" borderId="0" xfId="32" applyFont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tabSelected="1" workbookViewId="0">
      <selection activeCell="O9" sqref="O9"/>
    </sheetView>
  </sheetViews>
  <sheetFormatPr defaultColWidth="9" defaultRowHeight="14.25"/>
  <cols>
    <col min="1" max="1" width="17.625" customWidth="1"/>
    <col min="2" max="2" width="7.875" customWidth="1"/>
    <col min="3" max="3" width="8.875" customWidth="1"/>
    <col min="4" max="4" width="12.625" customWidth="1"/>
    <col min="6" max="6" width="18" customWidth="1"/>
    <col min="7" max="7" width="11.125" customWidth="1"/>
    <col min="9" max="9" width="10.625" customWidth="1"/>
    <col min="10" max="10" width="10.25" customWidth="1"/>
    <col min="11" max="11" width="15.5" customWidth="1"/>
    <col min="12" max="12" width="14.375" customWidth="1"/>
    <col min="17" max="17" width="9" customWidth="1"/>
    <col min="18" max="18" width="12.25" customWidth="1"/>
    <col min="19" max="19" width="17.5" customWidth="1"/>
  </cols>
  <sheetData>
    <row r="1" customHeight="1" spans="1:2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8" t="s">
        <v>1</v>
      </c>
      <c r="N1" s="38"/>
      <c r="O1" s="38"/>
      <c r="P1" s="38"/>
      <c r="Q1" s="38"/>
      <c r="T1" s="41"/>
      <c r="U1" s="41"/>
    </row>
    <row r="2" customHeight="1" spans="1:2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8"/>
      <c r="N2" s="38"/>
      <c r="O2" s="38"/>
      <c r="P2" s="38"/>
      <c r="Q2" s="38"/>
      <c r="T2" s="41"/>
      <c r="U2" s="41"/>
    </row>
    <row r="3" customHeight="1" spans="1:2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8"/>
      <c r="N3" s="38"/>
      <c r="O3" s="38"/>
      <c r="P3" s="38"/>
      <c r="Q3" s="38"/>
      <c r="T3" s="41"/>
      <c r="U3" s="41"/>
    </row>
    <row r="4" spans="1:20">
      <c r="A4" s="30" t="s">
        <v>2</v>
      </c>
      <c r="B4" s="30"/>
      <c r="C4" s="30"/>
      <c r="D4" s="30"/>
      <c r="E4" s="30"/>
      <c r="F4" s="31" t="s">
        <v>3</v>
      </c>
      <c r="G4" s="31"/>
      <c r="H4" s="32" t="s">
        <v>4</v>
      </c>
      <c r="I4" s="32"/>
      <c r="J4" s="32"/>
      <c r="K4" s="39" t="s">
        <v>5</v>
      </c>
      <c r="L4" s="39"/>
      <c r="M4" s="40" t="s">
        <v>6</v>
      </c>
      <c r="N4" s="40" t="s">
        <v>7</v>
      </c>
      <c r="O4" s="40"/>
      <c r="P4" s="40"/>
      <c r="Q4" s="40"/>
      <c r="T4" s="33"/>
    </row>
    <row r="5" spans="1:20">
      <c r="A5" s="33" t="s">
        <v>8</v>
      </c>
      <c r="B5" s="33" t="s">
        <v>9</v>
      </c>
      <c r="C5" s="33" t="s">
        <v>10</v>
      </c>
      <c r="D5" s="33" t="s">
        <v>11</v>
      </c>
      <c r="E5" s="33" t="s">
        <v>12</v>
      </c>
      <c r="F5" s="33" t="s">
        <v>13</v>
      </c>
      <c r="G5" s="33" t="s">
        <v>14</v>
      </c>
      <c r="H5" s="33" t="s">
        <v>15</v>
      </c>
      <c r="I5" s="33" t="s">
        <v>16</v>
      </c>
      <c r="J5" s="33" t="s">
        <v>17</v>
      </c>
      <c r="K5" s="33" t="s">
        <v>18</v>
      </c>
      <c r="L5" s="33"/>
      <c r="M5" s="33" t="s">
        <v>19</v>
      </c>
      <c r="N5" s="33" t="s">
        <v>20</v>
      </c>
      <c r="O5" s="33" t="s">
        <v>21</v>
      </c>
      <c r="P5" s="33" t="s">
        <v>22</v>
      </c>
      <c r="Q5" s="33" t="s">
        <v>23</v>
      </c>
      <c r="T5" s="33"/>
    </row>
    <row r="6" spans="1:20">
      <c r="A6" s="33" t="s">
        <v>24</v>
      </c>
      <c r="B6" s="34">
        <v>5</v>
      </c>
      <c r="C6" s="33">
        <v>100</v>
      </c>
      <c r="D6" s="34">
        <f>B6*C6</f>
        <v>500</v>
      </c>
      <c r="E6" s="34">
        <v>20</v>
      </c>
      <c r="F6" s="34">
        <v>800</v>
      </c>
      <c r="G6" s="35">
        <f>F6/C6</f>
        <v>8</v>
      </c>
      <c r="H6" s="36">
        <v>0.75</v>
      </c>
      <c r="I6" s="36">
        <v>3.19</v>
      </c>
      <c r="J6" s="37">
        <v>7</v>
      </c>
      <c r="K6" s="35">
        <f>I6+H6*J6+G6+B6</f>
        <v>21.44</v>
      </c>
      <c r="L6" s="34">
        <f>I6+H6*J6*C6+D6+F6</f>
        <v>1828.19</v>
      </c>
      <c r="M6" s="33">
        <v>0</v>
      </c>
      <c r="N6" s="36"/>
      <c r="O6" s="33"/>
      <c r="P6" s="33"/>
      <c r="Q6" s="33"/>
      <c r="T6" s="33"/>
    </row>
    <row r="7" spans="1:12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12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</row>
    <row r="9" spans="1:12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</row>
    <row r="10" spans="1:12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</row>
    <row r="11" spans="7:7">
      <c r="G11" s="37"/>
    </row>
    <row r="12" spans="7:7">
      <c r="G12" s="37"/>
    </row>
    <row r="13" spans="7:7">
      <c r="G13" s="37"/>
    </row>
    <row r="14" spans="7:7">
      <c r="G14" s="37"/>
    </row>
    <row r="15" spans="7:7">
      <c r="G15" s="37"/>
    </row>
    <row r="16" spans="7:7">
      <c r="G16" s="37"/>
    </row>
    <row r="17" spans="7:7">
      <c r="G17" s="37"/>
    </row>
    <row r="18" spans="7:7">
      <c r="G18" s="37"/>
    </row>
    <row r="19" spans="7:7">
      <c r="G19" s="37"/>
    </row>
  </sheetData>
  <mergeCells count="8">
    <mergeCell ref="A4:E4"/>
    <mergeCell ref="F4:G4"/>
    <mergeCell ref="H4:J4"/>
    <mergeCell ref="K4:L4"/>
    <mergeCell ref="N4:Q4"/>
    <mergeCell ref="K5:L5"/>
    <mergeCell ref="M1:Q3"/>
    <mergeCell ref="A1:L3"/>
  </mergeCells>
  <pageMargins left="0.7" right="0.7" top="0.75" bottom="0.75" header="0.3" footer="0.3"/>
  <pageSetup paperSize="260" orientation="portrait" horizontalDpi="203" verticalDpi="20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C32" sqref="C32"/>
    </sheetView>
  </sheetViews>
  <sheetFormatPr defaultColWidth="9" defaultRowHeight="14.25" outlineLevelCol="7"/>
  <cols>
    <col min="1" max="1" width="17.5" customWidth="1"/>
    <col min="2" max="2" width="21.375" customWidth="1"/>
    <col min="3" max="3" width="23.125" customWidth="1"/>
    <col min="4" max="4" width="17.375" customWidth="1"/>
    <col min="5" max="5" width="22.75" customWidth="1"/>
    <col min="6" max="6" width="19.5" customWidth="1"/>
    <col min="7" max="7" width="20.25" customWidth="1"/>
    <col min="8" max="8" width="24.25" customWidth="1"/>
  </cols>
  <sheetData>
    <row r="1" spans="1:2">
      <c r="A1" s="1" t="s">
        <v>25</v>
      </c>
      <c r="B1" s="1"/>
    </row>
    <row r="2" spans="1:2">
      <c r="A2" s="1"/>
      <c r="B2" s="1"/>
    </row>
    <row r="3" ht="16.5" spans="1:2">
      <c r="A3" s="2" t="s">
        <v>26</v>
      </c>
      <c r="B3" s="3">
        <v>14</v>
      </c>
    </row>
    <row r="4" ht="17.25" spans="1:2">
      <c r="A4" s="4" t="s">
        <v>27</v>
      </c>
      <c r="B4" s="5">
        <v>14</v>
      </c>
    </row>
    <row r="5" ht="18" spans="1:2">
      <c r="A5" s="2" t="s">
        <v>17</v>
      </c>
      <c r="B5" s="6">
        <v>7</v>
      </c>
    </row>
    <row r="6" ht="18" spans="1:2">
      <c r="A6" s="2" t="s">
        <v>28</v>
      </c>
      <c r="B6" s="7">
        <v>0.15</v>
      </c>
    </row>
    <row r="7" ht="18" spans="1:2">
      <c r="A7" s="2" t="s">
        <v>29</v>
      </c>
      <c r="B7" s="8">
        <v>3.19</v>
      </c>
    </row>
    <row r="8" ht="18" spans="1:2">
      <c r="A8" s="2" t="s">
        <v>30</v>
      </c>
      <c r="B8" s="9">
        <v>13.1</v>
      </c>
    </row>
    <row r="9" ht="18" spans="1:2">
      <c r="A9" s="2" t="s">
        <v>31</v>
      </c>
      <c r="B9" s="10">
        <v>23.99</v>
      </c>
    </row>
    <row r="10" ht="17.25" spans="1:2">
      <c r="A10" s="2" t="s">
        <v>32</v>
      </c>
      <c r="B10" s="11">
        <f>(B9-B7-B9*B6)*B5-B4-B3</f>
        <v>92.4105</v>
      </c>
    </row>
    <row r="11" ht="16.5" spans="1:2">
      <c r="A11" s="2" t="s">
        <v>33</v>
      </c>
      <c r="B11" s="12">
        <f>B10/(B9*B5)</f>
        <v>0.550291788245102</v>
      </c>
    </row>
    <row r="13" spans="1:8">
      <c r="A13" s="13" t="s">
        <v>34</v>
      </c>
      <c r="B13" s="13"/>
      <c r="C13" s="14" t="s">
        <v>35</v>
      </c>
      <c r="D13" s="14"/>
      <c r="E13" s="14"/>
      <c r="F13" s="14"/>
      <c r="G13" s="14"/>
      <c r="H13" s="14"/>
    </row>
    <row r="14" spans="1:8">
      <c r="A14" s="13"/>
      <c r="B14" s="13"/>
      <c r="C14" s="15"/>
      <c r="D14" s="15"/>
      <c r="E14" s="15"/>
      <c r="F14" s="15"/>
      <c r="G14" s="15"/>
      <c r="H14" s="15"/>
    </row>
    <row r="15" ht="17.25" spans="1:8">
      <c r="A15" s="16" t="s">
        <v>36</v>
      </c>
      <c r="B15" s="16"/>
      <c r="C15" s="17" t="s">
        <v>37</v>
      </c>
      <c r="D15" s="17"/>
      <c r="E15" s="17"/>
      <c r="F15" s="17"/>
      <c r="G15" s="17"/>
      <c r="H15" s="17"/>
    </row>
    <row r="16" ht="17.25" spans="1:8">
      <c r="A16" s="16"/>
      <c r="B16" s="16"/>
      <c r="C16" s="18" t="s">
        <v>38</v>
      </c>
      <c r="D16" s="18" t="s">
        <v>39</v>
      </c>
      <c r="E16" s="18" t="s">
        <v>40</v>
      </c>
      <c r="F16" s="18" t="s">
        <v>39</v>
      </c>
      <c r="G16" s="18" t="s">
        <v>41</v>
      </c>
      <c r="H16" s="18" t="s">
        <v>39</v>
      </c>
    </row>
    <row r="17" ht="17.25" spans="1:8">
      <c r="A17" s="19" t="s">
        <v>42</v>
      </c>
      <c r="B17" s="20" t="s">
        <v>43</v>
      </c>
      <c r="C17" s="21">
        <v>500</v>
      </c>
      <c r="D17" s="22"/>
      <c r="E17" s="21">
        <v>70000</v>
      </c>
      <c r="F17" s="22"/>
      <c r="G17" s="21">
        <v>60000</v>
      </c>
      <c r="H17" s="22"/>
    </row>
    <row r="18" ht="17.25" spans="1:8">
      <c r="A18" s="19" t="s">
        <v>44</v>
      </c>
      <c r="B18" s="20" t="s">
        <v>45</v>
      </c>
      <c r="C18" s="21">
        <v>-120</v>
      </c>
      <c r="D18" s="23">
        <f t="shared" ref="D18:H18" si="0">C18/C25</f>
        <v>0.222222222222222</v>
      </c>
      <c r="E18" s="21">
        <v>-32675.06</v>
      </c>
      <c r="F18" s="23">
        <f t="shared" si="0"/>
        <v>0.587643626223011</v>
      </c>
      <c r="G18" s="21">
        <v>-32675.06</v>
      </c>
      <c r="H18" s="23">
        <f t="shared" si="0"/>
        <v>0.587643626223011</v>
      </c>
    </row>
    <row r="19" ht="17.25" spans="1:8">
      <c r="A19" s="19"/>
      <c r="B19" s="20" t="s">
        <v>46</v>
      </c>
      <c r="C19" s="21">
        <v>-100</v>
      </c>
      <c r="D19" s="23">
        <f t="shared" ref="D19:H19" si="1">C19/C25</f>
        <v>0.185185185185185</v>
      </c>
      <c r="E19" s="21">
        <v>-2412.27</v>
      </c>
      <c r="F19" s="23">
        <f t="shared" si="1"/>
        <v>0.0433833967016123</v>
      </c>
      <c r="G19" s="21">
        <v>-2412.27</v>
      </c>
      <c r="H19" s="23">
        <f t="shared" si="1"/>
        <v>0.0433833967016123</v>
      </c>
    </row>
    <row r="20" ht="17.25" spans="1:8">
      <c r="A20" s="19"/>
      <c r="B20" s="20" t="s">
        <v>47</v>
      </c>
      <c r="C20" s="21">
        <v>-80</v>
      </c>
      <c r="D20" s="23">
        <f t="shared" ref="D20:H20" si="2">C20/C25</f>
        <v>0.148148148148148</v>
      </c>
      <c r="E20" s="21">
        <v>-6994.74</v>
      </c>
      <c r="F20" s="23">
        <f t="shared" si="2"/>
        <v>0.125796689526726</v>
      </c>
      <c r="G20" s="21">
        <v>-6994.74</v>
      </c>
      <c r="H20" s="23">
        <f t="shared" si="2"/>
        <v>0.125796689526726</v>
      </c>
    </row>
    <row r="21" ht="17.25" spans="1:8">
      <c r="A21" s="19"/>
      <c r="B21" s="20" t="s">
        <v>48</v>
      </c>
      <c r="C21" s="21">
        <v>-90</v>
      </c>
      <c r="D21" s="23">
        <f t="shared" ref="D21:H21" si="3">C21/C25</f>
        <v>0.166666666666667</v>
      </c>
      <c r="E21" s="21">
        <v>-5327.23</v>
      </c>
      <c r="F21" s="23">
        <f t="shared" si="3"/>
        <v>0.095807406472215</v>
      </c>
      <c r="G21" s="21">
        <v>-5327.23</v>
      </c>
      <c r="H21" s="24">
        <f t="shared" si="3"/>
        <v>0.095807406472215</v>
      </c>
    </row>
    <row r="22" ht="17.25" spans="1:8">
      <c r="A22" s="19"/>
      <c r="B22" s="20" t="s">
        <v>49</v>
      </c>
      <c r="C22" s="21">
        <v>-100</v>
      </c>
      <c r="D22" s="23">
        <f t="shared" ref="D22:H22" si="4">C22/C25</f>
        <v>0.185185185185185</v>
      </c>
      <c r="E22" s="21">
        <v>-457.23</v>
      </c>
      <c r="F22" s="23">
        <f t="shared" si="4"/>
        <v>0.00822303907683559</v>
      </c>
      <c r="G22" s="21">
        <v>-457.23</v>
      </c>
      <c r="H22" s="23">
        <f t="shared" si="4"/>
        <v>0.00822303907683559</v>
      </c>
    </row>
    <row r="23" ht="17.25" spans="1:8">
      <c r="A23" s="19"/>
      <c r="B23" s="20" t="s">
        <v>7</v>
      </c>
      <c r="C23" s="21">
        <v>-50</v>
      </c>
      <c r="D23" s="23">
        <f t="shared" ref="D23:H23" si="5">C23/C25</f>
        <v>0.0925925925925926</v>
      </c>
      <c r="E23" s="21">
        <v>-7634.32</v>
      </c>
      <c r="F23" s="23">
        <f t="shared" si="5"/>
        <v>0.137299196651723</v>
      </c>
      <c r="G23" s="21">
        <v>-7634.32</v>
      </c>
      <c r="H23" s="24">
        <f t="shared" si="5"/>
        <v>0.137299196651723</v>
      </c>
    </row>
    <row r="24" ht="17.25" spans="1:8">
      <c r="A24" s="19"/>
      <c r="B24" s="20" t="s">
        <v>50</v>
      </c>
      <c r="C24" s="21">
        <v>0</v>
      </c>
      <c r="D24" s="23">
        <f t="shared" ref="D24:H24" si="6">C24/C25</f>
        <v>0</v>
      </c>
      <c r="E24" s="21">
        <v>-102.68</v>
      </c>
      <c r="F24" s="23">
        <f t="shared" si="6"/>
        <v>0.00184664534787629</v>
      </c>
      <c r="G24" s="21">
        <v>-102.68</v>
      </c>
      <c r="H24" s="24">
        <f t="shared" si="6"/>
        <v>0.00184664534787629</v>
      </c>
    </row>
    <row r="25" ht="17.25" spans="1:8">
      <c r="A25" s="19"/>
      <c r="B25" s="20" t="s">
        <v>51</v>
      </c>
      <c r="C25" s="21">
        <f t="shared" ref="C25:G25" si="7">SUM(C18:C24)</f>
        <v>-540</v>
      </c>
      <c r="D25" s="23">
        <f t="shared" ref="D25:H25" si="8">C25/C25</f>
        <v>1</v>
      </c>
      <c r="E25" s="21">
        <f t="shared" si="7"/>
        <v>-55603.53</v>
      </c>
      <c r="F25" s="23">
        <f t="shared" si="8"/>
        <v>1</v>
      </c>
      <c r="G25" s="21">
        <f t="shared" si="7"/>
        <v>-55603.53</v>
      </c>
      <c r="H25" s="24">
        <f t="shared" si="8"/>
        <v>1</v>
      </c>
    </row>
    <row r="26" ht="17.25" spans="1:8">
      <c r="A26" s="19" t="s">
        <v>32</v>
      </c>
      <c r="B26" s="19"/>
      <c r="C26" s="25">
        <f t="shared" ref="C26:G26" si="9">C17+C25</f>
        <v>-40</v>
      </c>
      <c r="D26" s="22"/>
      <c r="E26" s="25">
        <f t="shared" si="9"/>
        <v>14396.47</v>
      </c>
      <c r="F26" s="22"/>
      <c r="G26" s="25">
        <f t="shared" si="9"/>
        <v>4396.46999999999</v>
      </c>
      <c r="H26" s="22"/>
    </row>
    <row r="27" ht="18" spans="1:8">
      <c r="A27" s="26" t="s">
        <v>33</v>
      </c>
      <c r="B27" s="26"/>
      <c r="C27" s="27">
        <f t="shared" ref="C27:G27" si="10">C26/C17</f>
        <v>-0.08</v>
      </c>
      <c r="D27" s="28"/>
      <c r="E27" s="27">
        <f t="shared" si="10"/>
        <v>0.205663857142857</v>
      </c>
      <c r="F27" s="28"/>
      <c r="G27" s="27">
        <f t="shared" si="10"/>
        <v>0.0732744999999999</v>
      </c>
      <c r="H27" s="28"/>
    </row>
    <row r="28" ht="15"/>
  </sheetData>
  <mergeCells count="7">
    <mergeCell ref="C15:H15"/>
    <mergeCell ref="A26:B26"/>
    <mergeCell ref="A27:B27"/>
    <mergeCell ref="A1:B2"/>
    <mergeCell ref="A13:B14"/>
    <mergeCell ref="C13:H14"/>
    <mergeCell ref="A15:B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总投入统计</vt:lpstr>
      <vt:lpstr>FBA利润统计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2015-06-05T18:19:00Z</dcterms:created>
  <dcterms:modified xsi:type="dcterms:W3CDTF">2020-12-10T09:15:29Z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