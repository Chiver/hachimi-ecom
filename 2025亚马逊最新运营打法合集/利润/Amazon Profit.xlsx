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<sst xmlns="http://schemas.openxmlformats.org/spreadsheetml/2006/main" count="66" uniqueCount="63">
  <si>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下划线组合</t>
  </si>
  <si>
    <t>coupon/prime/促销</t>
  </si>
  <si>
    <t>仓储费移除退货费等其他费用</t>
  </si>
  <si>
    <t>配置费可加在海运费上</t>
  </si>
  <si>
    <t>广告预算判断：</t>
  </si>
  <si>
    <t>会员日活动表：按平时原价涨价做活动</t>
  </si>
  <si>
    <t>产品</t>
  </si>
  <si>
    <t>Asin</t>
  </si>
  <si>
    <t>SKU</t>
  </si>
  <si>
    <t>计划价</t>
  </si>
  <si>
    <t>原价</t>
  </si>
  <si>
    <t>折后价</t>
  </si>
  <si>
    <t>扣除佣金</t>
  </si>
  <si>
    <t>配送费</t>
  </si>
  <si>
    <t>剩余$</t>
  </si>
  <si>
    <t>杂费</t>
  </si>
  <si>
    <t>人民币7</t>
  </si>
  <si>
    <t>海运</t>
  </si>
  <si>
    <t>最终利润</t>
  </si>
  <si>
    <t>预算$</t>
  </si>
  <si>
    <t>广告￥(7.2)</t>
  </si>
  <si>
    <t>应出单</t>
  </si>
  <si>
    <t>参考价</t>
  </si>
  <si>
    <t>低5%</t>
  </si>
  <si>
    <t>Prime</t>
  </si>
  <si>
    <t>所需折扣（刚好%的可以用%）</t>
  </si>
  <si>
    <t>扣30</t>
  </si>
  <si>
    <t>固定到25.64</t>
  </si>
  <si>
    <t>涨原价，固定到36.99，也可以扣$9</t>
  </si>
  <si>
    <t>固定到9.49</t>
  </si>
  <si>
    <t>仓储费可以用来vlookup看单asin异常</t>
  </si>
  <si>
    <t>如有coupon这里需减0.6</t>
  </si>
  <si>
    <t>这里广告可以看大概出几单可回本，可判断加减广告</t>
  </si>
  <si>
    <t>比历史售价价低5%：*0.95</t>
  </si>
  <si>
    <t>低15%改成*0.85</t>
  </si>
  <si>
    <t>（本表杂费不含超龄，低水平等费用等非所有产品所需费用，个别品的额外成本自己加上）</t>
  </si>
  <si>
    <t>按报错同步修改</t>
  </si>
  <si>
    <t>别人的利润表：</t>
  </si>
  <si>
    <t>店铺每日盈亏数据</t>
  </si>
  <si>
    <t>日期</t>
  </si>
  <si>
    <t>产品名称</t>
  </si>
  <si>
    <t>定价</t>
  </si>
  <si>
    <t>会员折扣
/
秒杀</t>
  </si>
  <si>
    <t>coupon
/
code</t>
  </si>
  <si>
    <r>
      <rPr>
        <b/>
        <sz val="11"/>
        <color rgb="FF000000"/>
        <rFont val="Arial"/>
        <charset val="134"/>
      </rPr>
      <t xml:space="preserve">FBA    
</t>
    </r>
    <r>
      <rPr>
        <b/>
        <sz val="11"/>
        <color rgb="FF000000"/>
        <rFont val="宋体"/>
        <charset val="134"/>
      </rPr>
      <t>配送费</t>
    </r>
  </si>
  <si>
    <t>亚马逊佣金</t>
  </si>
  <si>
    <t>每单账号回款</t>
  </si>
  <si>
    <t>仓储费</t>
  </si>
  <si>
    <t>coupon
费用</t>
  </si>
  <si>
    <t>产品成本</t>
  </si>
  <si>
    <t>海运费</t>
  </si>
  <si>
    <t>退货成本</t>
  </si>
  <si>
    <t>退货率</t>
  </si>
  <si>
    <r>
      <rPr>
        <b/>
        <sz val="11"/>
        <color rgb="FF000000"/>
        <rFont val="宋体"/>
        <charset val="134"/>
      </rPr>
      <t>每单平摊</t>
    </r>
    <r>
      <rPr>
        <b/>
        <sz val="11"/>
        <color rgb="FF000000"/>
        <rFont val="Arial"/>
        <charset val="134"/>
      </rPr>
      <t xml:space="preserve">
</t>
    </r>
    <r>
      <rPr>
        <b/>
        <sz val="11"/>
        <color rgb="FF000000"/>
        <rFont val="宋体"/>
        <charset val="134"/>
      </rPr>
      <t>退货成本</t>
    </r>
  </si>
  <si>
    <t>每单
毛利</t>
  </si>
  <si>
    <t>毛利率</t>
  </si>
  <si>
    <t>产生
订单数量</t>
  </si>
  <si>
    <t>最终订单
带来毛利</t>
  </si>
  <si>
    <t>最终花费
广告费用</t>
  </si>
  <si>
    <t>最终盈亏</t>
  </si>
  <si>
    <t>每单平均利润</t>
  </si>
  <si>
    <r>
      <rPr>
        <b/>
        <sz val="11"/>
        <color rgb="FF000000"/>
        <rFont val="宋体"/>
        <charset val="134"/>
      </rPr>
      <t>利润产出比</t>
    </r>
    <r>
      <rPr>
        <b/>
        <sz val="11"/>
        <color rgb="FF000000"/>
        <rFont val="Arial"/>
        <charset val="134"/>
      </rPr>
      <t xml:space="preserve">
</t>
    </r>
    <r>
      <rPr>
        <b/>
        <sz val="11"/>
        <color rgb="FF000000"/>
        <rFont val="宋体"/>
        <charset val="134"/>
      </rPr>
      <t>（利润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成本）</t>
    </r>
  </si>
  <si>
    <t>产品1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</si>
</sst>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  <numFmt numFmtId="177" formatCode="0.00_ "/>
    <numFmt numFmtId="178" formatCode="0_);\(0\)"/>
    <numFmt numFmtId="179" formatCode="0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汉仪书宋二KW"/>
      <charset val="134"/>
    </font>
    <font>
      <sz val="11"/>
      <color rgb="FF000000"/>
      <name val="汉仪书宋二K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9" fontId="0" fillId="0" borderId="0" xfId="0" applyNumberFormat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left" vertical="center"/>
    </xf>
    <xf numFmtId="176" fontId="0" fillId="2" borderId="1" xfId="0" applyNumberFormat="1" applyFon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9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176" fontId="0" fillId="0" borderId="0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left" vertical="center"/>
    </xf>
    <xf numFmtId="176" fontId="0" fillId="0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10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Border="1">
      <alignment vertical="center"/>
    </xf>
    <xf numFmtId="0" fontId="0" fillId="4" borderId="0" xfId="0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4" borderId="1" xfId="0" applyNumberFormat="1" applyFont="1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left" vertical="center"/>
    </xf>
    <xf numFmtId="178" fontId="0" fillId="0" borderId="0" xfId="0" applyNumberFormat="1" applyFill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7" fontId="0" fillId="0" borderId="1" xfId="0" applyNumberFormat="1" applyBorder="1">
      <alignment vertical="center"/>
    </xf>
    <xf numFmtId="179" fontId="4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/>
    </xf>
    <xf numFmtId="10" fontId="0" fillId="0" borderId="0" xfId="0" applyNumberFormat="1" applyBorder="1">
      <alignment vertical="center"/>
    </xf>
    <xf numFmtId="179" fontId="0" fillId="0" borderId="0" xfId="0" applyNumberFormat="1" applyBorder="1">
      <alignment vertical="center"/>
    </xf>
    <xf numFmtId="0" fontId="0" fillId="5" borderId="1" xfId="0" applyFill="1" applyBorder="1" applyAlignment="1">
      <alignment horizontal="left" vertical="center"/>
    </xf>
    <xf numFmtId="9" fontId="0" fillId="5" borderId="1" xfId="0" applyNumberFormat="1" applyFill="1" applyBorder="1" applyAlignment="1">
      <alignment horizontal="left" vertical="center"/>
    </xf>
    <xf numFmtId="176" fontId="0" fillId="5" borderId="1" xfId="0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4"/>
  <sheetViews>
    <sheetView tabSelected="1" workbookViewId="0">
      <selection activeCell="M11" sqref="M11"/>
    </sheetView>
  </sheetViews>
  <sheetFormatPr defaultColWidth="9" defaultRowHeight="13.5"/>
  <cols>
    <col min="1" max="1" width="3" customWidth="1"/>
    <col min="2" max="4" width="6.375" customWidth="1"/>
    <col min="9" max="11" width="8" customWidth="1"/>
    <col min="16" max="16" width="3.875" customWidth="1"/>
    <col min="18" max="18" width="11.75" customWidth="1"/>
    <col min="25" max="25" width="31.625" customWidth="1"/>
  </cols>
  <sheetData>
    <row r="1" s="1" customFormat="1" spans="16:20">
      <c r="P1" s="2"/>
      <c r="T1" s="2"/>
    </row>
    <row r="2" s="1" customFormat="1" spans="16:20">
      <c r="P2" s="2"/>
      <c r="T2" s="2"/>
    </row>
    <row r="3" s="2" customFormat="1" spans="5:21">
      <c r="E3" s="7" t="s">
        <v>0</v>
      </c>
      <c r="F3" s="7"/>
      <c r="G3" s="2" t="s">
        <v>1</v>
      </c>
      <c r="H3" s="8"/>
      <c r="K3" s="2" t="s">
        <v>2</v>
      </c>
      <c r="N3" s="2" t="s">
        <v>3</v>
      </c>
      <c r="Q3" s="38" t="s">
        <v>4</v>
      </c>
      <c r="R3" s="38"/>
      <c r="S3" s="38"/>
      <c r="U3" s="2" t="s">
        <v>5</v>
      </c>
    </row>
    <row r="4" s="1" customFormat="1" spans="2:25">
      <c r="B4" s="9" t="s">
        <v>6</v>
      </c>
      <c r="C4" s="9" t="s">
        <v>7</v>
      </c>
      <c r="D4" s="9" t="s">
        <v>8</v>
      </c>
      <c r="E4" s="10" t="s">
        <v>9</v>
      </c>
      <c r="F4" s="10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6</v>
      </c>
      <c r="N4" s="9" t="s">
        <v>17</v>
      </c>
      <c r="O4" s="9" t="s">
        <v>18</v>
      </c>
      <c r="P4" s="29"/>
      <c r="Q4" s="39" t="s">
        <v>19</v>
      </c>
      <c r="R4" s="39" t="s">
        <v>20</v>
      </c>
      <c r="S4" s="39" t="s">
        <v>21</v>
      </c>
      <c r="T4" s="2"/>
      <c r="U4" s="40" t="s">
        <v>10</v>
      </c>
      <c r="V4" s="40" t="s">
        <v>22</v>
      </c>
      <c r="W4" s="40" t="s">
        <v>23</v>
      </c>
      <c r="X4" s="40" t="s">
        <v>24</v>
      </c>
      <c r="Y4" s="50" t="s">
        <v>25</v>
      </c>
    </row>
    <row r="5" s="1" customFormat="1" spans="2:26">
      <c r="B5" s="9"/>
      <c r="C5" s="9"/>
      <c r="D5" s="9"/>
      <c r="E5" s="11">
        <v>99.99</v>
      </c>
      <c r="F5" s="11">
        <v>89.99</v>
      </c>
      <c r="G5" s="12">
        <f>F5-10</f>
        <v>79.99</v>
      </c>
      <c r="H5" s="12">
        <f t="shared" ref="H5:H8" si="0">G5*0.15</f>
        <v>11.9985</v>
      </c>
      <c r="I5" s="12">
        <v>14.51</v>
      </c>
      <c r="J5" s="12">
        <f t="shared" ref="J5:J7" si="1">G5-H5-I5-0.6</f>
        <v>52.8815</v>
      </c>
      <c r="K5" s="12">
        <f>J5-5</f>
        <v>47.8815</v>
      </c>
      <c r="L5" s="12">
        <f t="shared" ref="L5:L8" si="2">K5*7</f>
        <v>335.1705</v>
      </c>
      <c r="M5" s="30">
        <v>90</v>
      </c>
      <c r="N5" s="12">
        <v>30</v>
      </c>
      <c r="O5" s="31">
        <f>L5-M5-N5</f>
        <v>215.1705</v>
      </c>
      <c r="P5" s="29"/>
      <c r="Q5" s="41">
        <v>30</v>
      </c>
      <c r="R5" s="41">
        <f t="shared" ref="R5:R8" si="3">Q5*7</f>
        <v>210</v>
      </c>
      <c r="S5" s="41">
        <f t="shared" ref="S5:S8" si="4">R5/O5</f>
        <v>0.97597021896589</v>
      </c>
      <c r="T5" s="33"/>
      <c r="U5" s="12">
        <v>99.99</v>
      </c>
      <c r="V5" s="12">
        <v>79.99</v>
      </c>
      <c r="W5" s="12">
        <f>V5*0.95</f>
        <v>75.9905</v>
      </c>
      <c r="X5" s="40">
        <v>69.99</v>
      </c>
      <c r="Y5" s="51" t="s">
        <v>26</v>
      </c>
      <c r="Z5" s="13"/>
    </row>
    <row r="6" s="1" customFormat="1" spans="2:26">
      <c r="B6" s="9"/>
      <c r="C6" s="9"/>
      <c r="D6" s="9"/>
      <c r="E6" s="11">
        <v>35.99</v>
      </c>
      <c r="F6" s="11">
        <v>29.99</v>
      </c>
      <c r="G6" s="12">
        <f>F6-3</f>
        <v>26.99</v>
      </c>
      <c r="H6" s="12">
        <f t="shared" si="0"/>
        <v>4.0485</v>
      </c>
      <c r="I6" s="12">
        <v>6.26</v>
      </c>
      <c r="J6" s="12">
        <f t="shared" si="1"/>
        <v>16.0815</v>
      </c>
      <c r="K6" s="12">
        <f>J6-1</f>
        <v>15.0815</v>
      </c>
      <c r="L6" s="12">
        <f t="shared" si="2"/>
        <v>105.5705</v>
      </c>
      <c r="M6" s="30">
        <v>30</v>
      </c>
      <c r="N6" s="12">
        <v>9</v>
      </c>
      <c r="O6" s="31">
        <f>L6-M6-N6</f>
        <v>66.5705</v>
      </c>
      <c r="P6" s="32"/>
      <c r="Q6" s="42">
        <v>50</v>
      </c>
      <c r="R6" s="41">
        <f t="shared" si="3"/>
        <v>350</v>
      </c>
      <c r="S6" s="41">
        <f t="shared" si="4"/>
        <v>5.25758406501378</v>
      </c>
      <c r="T6" s="43"/>
      <c r="U6" s="12">
        <v>35.99</v>
      </c>
      <c r="V6" s="12">
        <v>26.99</v>
      </c>
      <c r="W6" s="12">
        <f>V6*0.95</f>
        <v>25.6405</v>
      </c>
      <c r="X6" s="40">
        <v>25.64</v>
      </c>
      <c r="Y6" s="50" t="s">
        <v>27</v>
      </c>
      <c r="Z6" s="13"/>
    </row>
    <row r="7" s="1" customFormat="1" spans="2:26">
      <c r="B7" s="9"/>
      <c r="C7" s="9"/>
      <c r="D7" s="9"/>
      <c r="E7" s="12"/>
      <c r="F7" s="12"/>
      <c r="G7" s="12">
        <v>38.99</v>
      </c>
      <c r="H7" s="12">
        <f t="shared" si="0"/>
        <v>5.8485</v>
      </c>
      <c r="I7" s="12">
        <v>7.71</v>
      </c>
      <c r="J7" s="12">
        <f>G7-H7-I7</f>
        <v>25.4315</v>
      </c>
      <c r="K7" s="12">
        <f>J7-2</f>
        <v>23.4315</v>
      </c>
      <c r="L7" s="12">
        <f t="shared" si="2"/>
        <v>164.0205</v>
      </c>
      <c r="M7" s="30">
        <v>68</v>
      </c>
      <c r="N7" s="12">
        <v>12</v>
      </c>
      <c r="O7" s="31">
        <f>L7-M7-N7</f>
        <v>84.0205</v>
      </c>
      <c r="P7" s="32"/>
      <c r="Q7" s="42">
        <v>30</v>
      </c>
      <c r="R7" s="41">
        <f t="shared" si="3"/>
        <v>210</v>
      </c>
      <c r="S7" s="41">
        <f t="shared" si="4"/>
        <v>2.49939002981415</v>
      </c>
      <c r="T7" s="43"/>
      <c r="U7" s="12">
        <v>45.99</v>
      </c>
      <c r="V7" s="12">
        <v>38.99</v>
      </c>
      <c r="W7" s="12">
        <f>V7*0.95</f>
        <v>37.0405</v>
      </c>
      <c r="X7" s="40">
        <v>36.99</v>
      </c>
      <c r="Y7" s="50" t="s">
        <v>28</v>
      </c>
      <c r="Z7" s="13"/>
    </row>
    <row r="8" s="3" customFormat="1" ht="15" customHeight="1" spans="2:33">
      <c r="B8" s="12"/>
      <c r="C8" s="12"/>
      <c r="D8" s="12"/>
      <c r="E8" s="12">
        <v>19.99</v>
      </c>
      <c r="F8" s="12">
        <v>19.99</v>
      </c>
      <c r="G8" s="12">
        <v>9.99</v>
      </c>
      <c r="H8" s="12">
        <f t="shared" si="0"/>
        <v>1.4985</v>
      </c>
      <c r="I8" s="12">
        <v>2.91</v>
      </c>
      <c r="J8" s="12">
        <f>G8-H8-I8</f>
        <v>5.5815</v>
      </c>
      <c r="K8" s="12">
        <f>J8-0.5</f>
        <v>5.0815</v>
      </c>
      <c r="L8" s="12">
        <f t="shared" si="2"/>
        <v>35.5705</v>
      </c>
      <c r="M8" s="30">
        <v>8</v>
      </c>
      <c r="N8" s="12">
        <v>2</v>
      </c>
      <c r="O8" s="31">
        <f>L8-M8-N8</f>
        <v>25.5705</v>
      </c>
      <c r="P8" s="2"/>
      <c r="Q8" s="42">
        <v>100</v>
      </c>
      <c r="R8" s="41">
        <f t="shared" si="3"/>
        <v>700</v>
      </c>
      <c r="S8" s="41">
        <f t="shared" si="4"/>
        <v>27.375295750963</v>
      </c>
      <c r="T8"/>
      <c r="U8" s="44"/>
      <c r="V8" s="40">
        <v>9.99</v>
      </c>
      <c r="W8" s="12">
        <f>V8*0.95</f>
        <v>9.4905</v>
      </c>
      <c r="X8" s="44">
        <v>9.49</v>
      </c>
      <c r="Y8" s="52" t="s">
        <v>29</v>
      </c>
      <c r="Z8" s="1"/>
      <c r="AA8" s="1"/>
      <c r="AB8" s="1"/>
      <c r="AC8" s="1"/>
      <c r="AD8" s="1"/>
      <c r="AE8" s="1"/>
      <c r="AF8" s="1"/>
      <c r="AG8" s="1"/>
    </row>
    <row r="9" s="1" customFormat="1" spans="2:26">
      <c r="B9" s="2" t="s">
        <v>30</v>
      </c>
      <c r="C9" s="13"/>
      <c r="D9" s="13"/>
      <c r="E9" s="13"/>
      <c r="F9" s="13"/>
      <c r="G9" s="13"/>
      <c r="H9" s="13"/>
      <c r="I9" s="13"/>
      <c r="J9" s="13" t="s">
        <v>31</v>
      </c>
      <c r="K9" s="13"/>
      <c r="L9" s="13"/>
      <c r="M9" s="13"/>
      <c r="N9" s="13"/>
      <c r="O9" s="13"/>
      <c r="P9" s="33"/>
      <c r="Q9" s="13" t="s">
        <v>32</v>
      </c>
      <c r="R9" s="13"/>
      <c r="S9" s="13"/>
      <c r="T9" s="33"/>
      <c r="U9" s="13"/>
      <c r="V9" s="13"/>
      <c r="W9" s="13" t="s">
        <v>33</v>
      </c>
      <c r="X9" s="13"/>
      <c r="Y9" s="13"/>
      <c r="Z9" s="13"/>
    </row>
    <row r="10" s="1" customFormat="1" spans="16:23">
      <c r="P10" s="2"/>
      <c r="T10" s="2"/>
      <c r="W10" s="1" t="s">
        <v>34</v>
      </c>
    </row>
    <row r="11" s="1" customFormat="1" spans="2:23">
      <c r="B11" s="1" t="s">
        <v>35</v>
      </c>
      <c r="P11" s="2"/>
      <c r="T11" s="2"/>
      <c r="W11" s="1" t="s">
        <v>36</v>
      </c>
    </row>
    <row r="18" spans="2:2">
      <c r="B18" t="s">
        <v>37</v>
      </c>
    </row>
    <row r="19" s="4" customFormat="1" ht="32.25" customHeight="1" spans="1:24">
      <c r="A19" s="14" t="s">
        <v>38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45"/>
      <c r="X19" s="45"/>
    </row>
    <row r="20" s="5" customFormat="1" ht="58.5" customHeight="1" spans="1:24">
      <c r="A20" s="15" t="s">
        <v>39</v>
      </c>
      <c r="B20" s="16" t="s">
        <v>40</v>
      </c>
      <c r="C20" s="16" t="s">
        <v>41</v>
      </c>
      <c r="D20" s="17" t="s">
        <v>42</v>
      </c>
      <c r="E20" s="18" t="s">
        <v>43</v>
      </c>
      <c r="F20" s="19" t="s">
        <v>11</v>
      </c>
      <c r="G20" s="20" t="s">
        <v>44</v>
      </c>
      <c r="H20" s="21" t="s">
        <v>45</v>
      </c>
      <c r="I20" s="21" t="s">
        <v>46</v>
      </c>
      <c r="J20" s="21" t="s">
        <v>47</v>
      </c>
      <c r="K20" s="19" t="s">
        <v>48</v>
      </c>
      <c r="L20" s="21" t="s">
        <v>49</v>
      </c>
      <c r="M20" s="21" t="s">
        <v>50</v>
      </c>
      <c r="N20" s="21" t="s">
        <v>51</v>
      </c>
      <c r="O20" s="34" t="s">
        <v>52</v>
      </c>
      <c r="P20" s="21" t="s">
        <v>53</v>
      </c>
      <c r="Q20" s="21" t="s">
        <v>54</v>
      </c>
      <c r="R20" s="34" t="s">
        <v>55</v>
      </c>
      <c r="S20" s="46" t="s">
        <v>56</v>
      </c>
      <c r="T20" s="19" t="s">
        <v>57</v>
      </c>
      <c r="U20" s="19" t="s">
        <v>58</v>
      </c>
      <c r="V20" s="19" t="s">
        <v>59</v>
      </c>
      <c r="W20" s="21" t="s">
        <v>60</v>
      </c>
      <c r="X20" s="21" t="s">
        <v>61</v>
      </c>
    </row>
    <row r="21" s="6" customFormat="1" ht="30" customHeight="1" spans="1:24">
      <c r="A21" s="22"/>
      <c r="B21" s="23" t="s">
        <v>62</v>
      </c>
      <c r="C21" s="24">
        <v>49.99</v>
      </c>
      <c r="D21" s="25">
        <v>0.2</v>
      </c>
      <c r="E21" s="25">
        <v>0.1</v>
      </c>
      <c r="F21" s="26">
        <f>C21*(1-D21)*(1-E21)</f>
        <v>35.9928</v>
      </c>
      <c r="G21" s="26">
        <v>8.99</v>
      </c>
      <c r="H21" s="26">
        <f>F21*15%</f>
        <v>5.39892</v>
      </c>
      <c r="I21" s="26">
        <f>F21-G21-H21</f>
        <v>21.60388</v>
      </c>
      <c r="J21" s="26">
        <v>0.14</v>
      </c>
      <c r="K21" s="35">
        <v>0.6</v>
      </c>
      <c r="L21" s="26">
        <v>5.22</v>
      </c>
      <c r="M21" s="26">
        <v>2.89</v>
      </c>
      <c r="N21" s="26">
        <f>SUM(20%*(15%*F21)+G21+J21+L21+M21+K21)</f>
        <v>18.919784</v>
      </c>
      <c r="O21" s="36">
        <v>0.0759</v>
      </c>
      <c r="P21" s="26">
        <f>SUM(N21*O21/(1-O21))</f>
        <v>1.55395693712802</v>
      </c>
      <c r="Q21" s="26">
        <f>I21-J21-L21-M21-P21-K21</f>
        <v>11.199923062872</v>
      </c>
      <c r="R21" s="36">
        <f>SUM(Q21/F21)</f>
        <v>0.311171208210308</v>
      </c>
      <c r="S21" s="47">
        <v>33</v>
      </c>
      <c r="T21" s="26">
        <f>SUM(Q21*S21)</f>
        <v>369.597461074775</v>
      </c>
      <c r="U21" s="26">
        <v>164.7</v>
      </c>
      <c r="V21" s="26">
        <f>SUM(T21-U21)</f>
        <v>204.897461074775</v>
      </c>
      <c r="W21" s="26">
        <f>SUM(V21/S21)</f>
        <v>6.20901397196289</v>
      </c>
      <c r="X21" s="26">
        <f>SUM(W21/L21)</f>
        <v>1.18946627815381</v>
      </c>
    </row>
    <row r="22" s="4" customFormat="1" ht="27" customHeight="1" spans="4:24">
      <c r="D22" s="27"/>
      <c r="E22" s="27"/>
      <c r="F22" s="28"/>
      <c r="G22" s="28"/>
      <c r="H22" s="28"/>
      <c r="I22" s="28"/>
      <c r="J22" s="28"/>
      <c r="K22" s="37"/>
      <c r="L22" s="28"/>
      <c r="M22" s="28"/>
      <c r="N22" s="28"/>
      <c r="P22" s="28"/>
      <c r="Q22" s="28"/>
      <c r="R22" s="48"/>
      <c r="S22" s="49"/>
      <c r="T22" s="28"/>
      <c r="U22" s="28"/>
      <c r="V22" s="28"/>
      <c r="W22" s="28"/>
      <c r="X22" s="28"/>
    </row>
    <row r="23" s="4" customFormat="1" ht="27" customHeight="1" spans="4:24">
      <c r="D23" s="27"/>
      <c r="E23" s="27"/>
      <c r="F23" s="28"/>
      <c r="G23" s="28"/>
      <c r="H23" s="28"/>
      <c r="I23" s="28"/>
      <c r="J23" s="28"/>
      <c r="K23" s="37"/>
      <c r="L23" s="28"/>
      <c r="M23" s="28"/>
      <c r="N23" s="28"/>
      <c r="P23" s="28"/>
      <c r="Q23" s="28"/>
      <c r="R23" s="48"/>
      <c r="S23" s="49"/>
      <c r="T23" s="28"/>
      <c r="U23" s="28"/>
      <c r="V23" s="28"/>
      <c r="W23" s="28"/>
      <c r="X23" s="28"/>
    </row>
    <row r="24" s="4" customFormat="1" ht="27" customHeight="1" spans="4:24">
      <c r="D24" s="27"/>
      <c r="E24" s="27"/>
      <c r="F24" s="28"/>
      <c r="G24" s="28"/>
      <c r="H24" s="28"/>
      <c r="I24" s="28"/>
      <c r="J24" s="28"/>
      <c r="K24" s="37"/>
      <c r="L24" s="28"/>
      <c r="M24" s="28"/>
      <c r="N24" s="28"/>
      <c r="P24" s="28"/>
      <c r="Q24" s="28"/>
      <c r="R24" s="48"/>
      <c r="S24" s="49"/>
      <c r="T24" s="28"/>
      <c r="U24" s="28"/>
      <c r="V24" s="28"/>
      <c r="W24" s="28"/>
      <c r="X24" s="28"/>
    </row>
  </sheetData>
  <mergeCells count="2">
    <mergeCell ref="E3:F3"/>
    <mergeCell ref="A19:V19"/>
  </mergeCells>
  <conditionalFormatting sqref="B8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方5</cp:lastModifiedBy>
  <dcterms:created xsi:type="dcterms:W3CDTF">2023-05-12T11:15:00Z</dcterms:created>
  <dcterms:modified xsi:type="dcterms:W3CDTF">2024-11-07T04:57:03Z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2052-12.1.0.18608</vt:lpwstr>
  </property>
</Properties>
</file>