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128" windowHeight="1254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9" i="1" l="1"/>
  <c r="C6" i="1"/>
  <c r="O6" i="1" l="1"/>
</calcChain>
</file>

<file path=xl/sharedStrings.xml><?xml version="1.0" encoding="utf-8"?>
<sst xmlns="http://schemas.openxmlformats.org/spreadsheetml/2006/main" count="24" uniqueCount="23">
  <si>
    <t>头程运费计算</t>
  </si>
  <si>
    <t>FBA费用计算</t>
  </si>
  <si>
    <t>成本计算</t>
  </si>
  <si>
    <t>利润计算</t>
  </si>
  <si>
    <r>
      <rPr>
        <sz val="12"/>
        <color theme="1"/>
        <rFont val="微软雅黑"/>
        <charset val="134"/>
      </rPr>
      <t>运费单价</t>
    </r>
    <r>
      <rPr>
        <sz val="9"/>
        <color theme="1"/>
        <rFont val="微软雅黑"/>
        <charset val="134"/>
      </rPr>
      <t>（单位：元/千克）</t>
    </r>
  </si>
  <si>
    <r>
      <rPr>
        <sz val="12"/>
        <color theme="1"/>
        <rFont val="微软雅黑"/>
        <charset val="134"/>
      </rPr>
      <t>尾程配送费</t>
    </r>
    <r>
      <rPr>
        <sz val="9"/>
        <color theme="1"/>
        <rFont val="微软雅黑"/>
        <charset val="134"/>
      </rPr>
      <t>（单位：美元）</t>
    </r>
  </si>
  <si>
    <r>
      <rPr>
        <sz val="12"/>
        <color theme="1"/>
        <rFont val="微软雅黑"/>
        <charset val="134"/>
      </rPr>
      <t>采购/生产成本</t>
    </r>
    <r>
      <rPr>
        <sz val="9"/>
        <color theme="1"/>
        <rFont val="微软雅黑"/>
        <charset val="134"/>
      </rPr>
      <t>（单位：元）</t>
    </r>
  </si>
  <si>
    <r>
      <rPr>
        <sz val="12"/>
        <color theme="1"/>
        <rFont val="微软雅黑"/>
        <charset val="134"/>
      </rPr>
      <t>汇率</t>
    </r>
    <r>
      <rPr>
        <sz val="9"/>
        <color theme="1"/>
        <rFont val="微软雅黑"/>
        <charset val="134"/>
      </rPr>
      <t>(单位:1:X)</t>
    </r>
  </si>
  <si>
    <r>
      <rPr>
        <sz val="12"/>
        <color theme="1"/>
        <rFont val="微软雅黑"/>
        <charset val="134"/>
      </rPr>
      <t>产品重量</t>
    </r>
    <r>
      <rPr>
        <sz val="9"/>
        <color theme="1"/>
        <rFont val="微软雅黑"/>
        <charset val="134"/>
      </rPr>
      <t>（单位：千克）</t>
    </r>
  </si>
  <si>
    <r>
      <rPr>
        <sz val="12"/>
        <color theme="1"/>
        <rFont val="微软雅黑"/>
        <charset val="134"/>
      </rPr>
      <t>合仓费</t>
    </r>
    <r>
      <rPr>
        <sz val="9"/>
        <color theme="1"/>
        <rFont val="微软雅黑"/>
        <charset val="134"/>
      </rPr>
      <t>（单位：美元）</t>
    </r>
  </si>
  <si>
    <r>
      <rPr>
        <sz val="12"/>
        <color theme="1"/>
        <rFont val="微软雅黑"/>
        <charset val="134"/>
      </rPr>
      <t>广告费用占比</t>
    </r>
    <r>
      <rPr>
        <sz val="9"/>
        <color theme="1"/>
        <rFont val="微软雅黑"/>
        <charset val="134"/>
      </rPr>
      <t>（单位：%）</t>
    </r>
  </si>
  <si>
    <r>
      <rPr>
        <sz val="12"/>
        <color theme="1"/>
        <rFont val="微软雅黑"/>
        <charset val="134"/>
      </rPr>
      <t>售价</t>
    </r>
    <r>
      <rPr>
        <sz val="9"/>
        <color theme="1"/>
        <rFont val="微软雅黑"/>
        <charset val="134"/>
      </rPr>
      <t>（单位：美金）</t>
    </r>
  </si>
  <si>
    <r>
      <rPr>
        <sz val="12"/>
        <color theme="1"/>
        <rFont val="微软雅黑"/>
        <charset val="134"/>
      </rPr>
      <t>头程运费</t>
    </r>
    <r>
      <rPr>
        <sz val="9"/>
        <color theme="1"/>
        <rFont val="微软雅黑"/>
        <charset val="134"/>
      </rPr>
      <t>（单位：元）</t>
    </r>
  </si>
  <si>
    <r>
      <rPr>
        <sz val="12"/>
        <color theme="1"/>
        <rFont val="微软雅黑"/>
        <charset val="134"/>
      </rPr>
      <t>退货率</t>
    </r>
    <r>
      <rPr>
        <sz val="9"/>
        <color theme="1"/>
        <rFont val="微软雅黑"/>
        <charset val="134"/>
      </rPr>
      <t>（单位：%）</t>
    </r>
  </si>
  <si>
    <r>
      <rPr>
        <sz val="12"/>
        <color theme="1"/>
        <rFont val="微软雅黑"/>
        <charset val="134"/>
      </rPr>
      <t>VAT费用</t>
    </r>
    <r>
      <rPr>
        <sz val="9"/>
        <color theme="1"/>
        <rFont val="微软雅黑"/>
        <charset val="134"/>
      </rPr>
      <t>（单位：%）</t>
    </r>
  </si>
  <si>
    <r>
      <rPr>
        <sz val="12"/>
        <color theme="1"/>
        <rFont val="微软雅黑"/>
        <charset val="134"/>
      </rPr>
      <t>利润</t>
    </r>
    <r>
      <rPr>
        <sz val="9"/>
        <color theme="1"/>
        <rFont val="微软雅黑"/>
        <charset val="134"/>
      </rPr>
      <t>（单位：元）</t>
    </r>
  </si>
  <si>
    <r>
      <rPr>
        <sz val="12"/>
        <color theme="1"/>
        <rFont val="微软雅黑"/>
        <charset val="134"/>
      </rPr>
      <t>类目佣金</t>
    </r>
    <r>
      <rPr>
        <sz val="9"/>
        <color theme="1"/>
        <rFont val="微软雅黑"/>
        <charset val="134"/>
      </rPr>
      <t>（单位：%）</t>
    </r>
  </si>
  <si>
    <r>
      <rPr>
        <sz val="12"/>
        <color theme="1"/>
        <rFont val="微软雅黑"/>
        <charset val="134"/>
      </rPr>
      <t>其他杂费</t>
    </r>
    <r>
      <rPr>
        <sz val="9"/>
        <color theme="1"/>
        <rFont val="微软雅黑"/>
        <charset val="134"/>
      </rPr>
      <t>（单位：%）</t>
    </r>
  </si>
  <si>
    <t>本计算器由知易电商出品,使用表格遇到问题联系微信：zhiyisxy</t>
  </si>
  <si>
    <r>
      <rPr>
        <sz val="12"/>
        <color theme="1"/>
        <rFont val="微软雅黑"/>
        <charset val="134"/>
      </rPr>
      <t>尾程退货费</t>
    </r>
    <r>
      <rPr>
        <sz val="9"/>
        <color theme="1"/>
        <rFont val="微软雅黑"/>
        <charset val="134"/>
      </rPr>
      <t>（单位：美元）</t>
    </r>
  </si>
  <si>
    <r>
      <rPr>
        <sz val="12"/>
        <color theme="1"/>
        <rFont val="微软雅黑"/>
        <charset val="134"/>
      </rPr>
      <t>总成本</t>
    </r>
    <r>
      <rPr>
        <sz val="9"/>
        <color theme="1"/>
        <rFont val="微软雅黑"/>
        <charset val="134"/>
      </rPr>
      <t>（单位：元）</t>
    </r>
  </si>
  <si>
    <r>
      <rPr>
        <sz val="12"/>
        <color theme="1"/>
        <rFont val="微软雅黑"/>
        <charset val="134"/>
      </rPr>
      <t>平均退货费用</t>
    </r>
    <r>
      <rPr>
        <sz val="9"/>
        <color theme="1"/>
        <rFont val="微软雅黑"/>
        <charset val="134"/>
      </rPr>
      <t>（单位：元）</t>
    </r>
  </si>
  <si>
    <r>
      <rPr>
        <sz val="12"/>
        <color theme="1"/>
        <rFont val="微软雅黑"/>
        <charset val="134"/>
      </rPr>
      <t>FBA总费用</t>
    </r>
    <r>
      <rPr>
        <sz val="9"/>
        <color theme="1"/>
        <rFont val="微软雅黑"/>
        <charset val="134"/>
      </rPr>
      <t>（单位：元）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</si>
</sst>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8" formatCode="0.00_ ;[Red]\-0.00\ "/>
    <numFmt numFmtId="179" formatCode="0.00_);\(0.00\)"/>
    <numFmt numFmtId="180" formatCode="0.00_);[Red]\(0.00\)"/>
  </numFmts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0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2"/>
      <color rgb="FFE7E6E6"/>
      <name val="微软雅黑"/>
      <charset val="134"/>
    </font>
    <font>
      <sz val="11"/>
      <color rgb="FFE7E6E6"/>
      <name val="宋体"/>
      <charset val="134"/>
      <scheme val="minor"/>
    </font>
    <font>
      <sz val="9"/>
      <color theme="1"/>
      <name val="微软雅黑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F010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vertical="center"/>
      <protection locked="0"/>
    </xf>
    <xf numFmtId="0" fontId="1" fillId="2" borderId="2" xfId="0" applyFont="1" applyFill="1" applyBorder="1" applyAlignment="1" applyProtection="1">
      <alignment vertical="center"/>
      <protection locked="0"/>
    </xf>
    <xf numFmtId="0" fontId="1" fillId="2" borderId="3" xfId="0" applyFont="1" applyFill="1" applyBorder="1" applyAlignment="1" applyProtection="1">
      <alignment vertical="center"/>
      <protection locked="0"/>
    </xf>
    <xf numFmtId="0" fontId="2" fillId="2" borderId="4" xfId="0" applyFont="1" applyFill="1" applyBorder="1" applyAlignment="1" applyProtection="1">
      <alignment vertic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vertical="center"/>
      <protection locked="0"/>
    </xf>
    <xf numFmtId="0" fontId="1" fillId="2" borderId="0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left" vertical="center"/>
    </xf>
    <xf numFmtId="0" fontId="4" fillId="0" borderId="6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Alignment="1" applyProtection="1">
      <alignment vertical="center"/>
      <protection locked="0"/>
    </xf>
    <xf numFmtId="0" fontId="5" fillId="2" borderId="0" xfId="0" applyFont="1" applyFill="1" applyBorder="1" applyAlignment="1" applyProtection="1">
      <alignment vertical="center"/>
      <protection locked="0"/>
    </xf>
    <xf numFmtId="0" fontId="4" fillId="2" borderId="4" xfId="0" applyFont="1" applyFill="1" applyBorder="1" applyAlignment="1" applyProtection="1">
      <alignment vertical="center"/>
    </xf>
    <xf numFmtId="179" fontId="4" fillId="0" borderId="7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vertical="center"/>
    </xf>
    <xf numFmtId="0" fontId="5" fillId="2" borderId="8" xfId="0" applyFont="1" applyFill="1" applyBorder="1" applyAlignment="1" applyProtection="1">
      <alignment vertical="center"/>
      <protection locked="0"/>
    </xf>
    <xf numFmtId="9" fontId="4" fillId="0" borderId="9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179" fontId="4" fillId="0" borderId="9" xfId="0" applyNumberFormat="1" applyFont="1" applyFill="1" applyBorder="1" applyAlignment="1" applyProtection="1">
      <alignment vertical="center"/>
      <protection locked="0"/>
    </xf>
    <xf numFmtId="179" fontId="5" fillId="2" borderId="5" xfId="0" applyNumberFormat="1" applyFont="1" applyFill="1" applyBorder="1" applyAlignment="1" applyProtection="1">
      <alignment vertical="center"/>
      <protection locked="0"/>
    </xf>
    <xf numFmtId="0" fontId="1" fillId="2" borderId="10" xfId="0" applyFont="1" applyFill="1" applyBorder="1" applyAlignment="1" applyProtection="1">
      <alignment vertical="center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13" xfId="0" applyFont="1" applyFill="1" applyBorder="1" applyAlignment="1" applyProtection="1">
      <alignment vertical="center"/>
      <protection locked="0"/>
    </xf>
    <xf numFmtId="0" fontId="4" fillId="5" borderId="10" xfId="0" applyFont="1" applyFill="1" applyBorder="1" applyAlignment="1" applyProtection="1">
      <alignment vertical="center"/>
    </xf>
    <xf numFmtId="179" fontId="4" fillId="2" borderId="12" xfId="0" applyNumberFormat="1" applyFont="1" applyFill="1" applyBorder="1" applyAlignment="1" applyProtection="1">
      <alignment vertical="center"/>
      <protection locked="0"/>
    </xf>
    <xf numFmtId="0" fontId="1" fillId="5" borderId="2" xfId="0" applyFont="1" applyFill="1" applyBorder="1" applyAlignment="1" applyProtection="1">
      <alignment vertical="center"/>
      <protection locked="0"/>
    </xf>
    <xf numFmtId="0" fontId="1" fillId="5" borderId="14" xfId="0" applyFont="1" applyFill="1" applyBorder="1" applyAlignment="1" applyProtection="1">
      <alignment vertical="center"/>
      <protection locked="0"/>
    </xf>
    <xf numFmtId="0" fontId="3" fillId="5" borderId="0" xfId="0" applyFont="1" applyFill="1" applyBorder="1" applyAlignment="1" applyProtection="1">
      <alignment horizontal="center" vertical="center"/>
      <protection locked="0"/>
    </xf>
    <xf numFmtId="0" fontId="3" fillId="5" borderId="15" xfId="0" applyFont="1" applyFill="1" applyBorder="1" applyAlignment="1" applyProtection="1">
      <alignment horizontal="center" vertical="center"/>
      <protection locked="0"/>
    </xf>
    <xf numFmtId="0" fontId="1" fillId="5" borderId="0" xfId="0" applyFont="1" applyFill="1" applyBorder="1" applyAlignment="1" applyProtection="1">
      <alignment horizontal="center" vertical="center"/>
      <protection locked="0"/>
    </xf>
    <xf numFmtId="0" fontId="1" fillId="5" borderId="15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1" fillId="2" borderId="0" xfId="0" applyFont="1" applyFill="1" applyBorder="1" applyAlignment="1" applyProtection="1">
      <alignment vertical="center"/>
      <protection locked="0"/>
    </xf>
    <xf numFmtId="0" fontId="4" fillId="8" borderId="6" xfId="0" applyFont="1" applyFill="1" applyBorder="1" applyAlignment="1" applyProtection="1">
      <alignment vertical="center"/>
      <protection locked="0"/>
    </xf>
    <xf numFmtId="0" fontId="5" fillId="2" borderId="15" xfId="0" applyFont="1" applyFill="1" applyBorder="1" applyAlignment="1" applyProtection="1">
      <alignment vertical="center"/>
      <protection locked="0"/>
    </xf>
    <xf numFmtId="9" fontId="4" fillId="8" borderId="6" xfId="0" applyNumberFormat="1" applyFont="1" applyFill="1" applyBorder="1" applyAlignment="1" applyProtection="1">
      <alignment vertical="center"/>
      <protection locked="0"/>
    </xf>
    <xf numFmtId="0" fontId="4" fillId="0" borderId="16" xfId="0" applyFont="1" applyFill="1" applyBorder="1" applyAlignment="1" applyProtection="1">
      <alignment vertical="center"/>
      <protection locked="0"/>
    </xf>
    <xf numFmtId="9" fontId="5" fillId="0" borderId="6" xfId="0" applyNumberFormat="1" applyFont="1" applyFill="1" applyBorder="1" applyAlignment="1" applyProtection="1">
      <alignment vertical="center"/>
      <protection locked="0"/>
    </xf>
    <xf numFmtId="178" fontId="5" fillId="2" borderId="0" xfId="0" applyNumberFormat="1" applyFont="1" applyFill="1" applyBorder="1" applyAlignment="1" applyProtection="1">
      <alignment vertical="center"/>
      <protection locked="0"/>
    </xf>
    <xf numFmtId="9" fontId="5" fillId="2" borderId="0" xfId="0" applyNumberFormat="1" applyFont="1" applyFill="1" applyBorder="1" applyAlignment="1" applyProtection="1">
      <alignment vertical="center"/>
      <protection locked="0"/>
    </xf>
    <xf numFmtId="178" fontId="5" fillId="2" borderId="0" xfId="0" applyNumberFormat="1" applyFont="1" applyFill="1" applyAlignment="1" applyProtection="1">
      <alignment vertical="center"/>
      <protection locked="0"/>
    </xf>
    <xf numFmtId="0" fontId="4" fillId="2" borderId="4" xfId="0" applyFont="1" applyFill="1" applyBorder="1" applyAlignment="1" applyProtection="1">
      <alignment vertical="center"/>
      <protection locked="0"/>
    </xf>
    <xf numFmtId="180" fontId="5" fillId="2" borderId="0" xfId="0" applyNumberFormat="1" applyFont="1" applyFill="1" applyBorder="1" applyAlignment="1" applyProtection="1">
      <alignment vertical="center"/>
      <protection locked="0"/>
    </xf>
    <xf numFmtId="0" fontId="4" fillId="2" borderId="10" xfId="0" applyFont="1" applyFill="1" applyBorder="1" applyAlignment="1" applyProtection="1">
      <alignment vertical="center"/>
      <protection locked="0"/>
    </xf>
    <xf numFmtId="180" fontId="5" fillId="2" borderId="11" xfId="0" applyNumberFormat="1" applyFont="1" applyFill="1" applyBorder="1" applyAlignment="1" applyProtection="1">
      <alignment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2" borderId="5" xfId="0" applyFont="1" applyFill="1" applyBorder="1" applyAlignment="1" applyProtection="1">
      <alignment vertical="center"/>
      <protection locked="0"/>
    </xf>
    <xf numFmtId="0" fontId="1" fillId="2" borderId="12" xfId="0" applyFont="1" applyFill="1" applyBorder="1" applyAlignment="1" applyProtection="1">
      <alignment vertical="center"/>
      <protection locked="0"/>
    </xf>
    <xf numFmtId="0" fontId="3" fillId="3" borderId="0" xfId="0" applyFont="1" applyFill="1" applyBorder="1" applyAlignment="1" applyProtection="1">
      <alignment horizontal="center" vertical="center"/>
    </xf>
    <xf numFmtId="0" fontId="2" fillId="3" borderId="0" xfId="0" applyFont="1" applyFill="1" applyBorder="1" applyAlignment="1" applyProtection="1">
      <alignment horizontal="center" vertical="center"/>
    </xf>
    <xf numFmtId="0" fontId="3" fillId="4" borderId="4" xfId="0" applyFont="1" applyFill="1" applyBorder="1" applyAlignment="1" applyProtection="1">
      <alignment horizontal="center" vertical="center"/>
    </xf>
    <xf numFmtId="0" fontId="3" fillId="4" borderId="5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 applyProtection="1">
      <alignment horizontal="center" vertical="center"/>
    </xf>
    <xf numFmtId="0" fontId="3" fillId="6" borderId="0" xfId="0" applyFont="1" applyFill="1" applyBorder="1" applyAlignment="1" applyProtection="1">
      <alignment horizontal="center" vertical="center"/>
    </xf>
    <xf numFmtId="0" fontId="3" fillId="6" borderId="5" xfId="0" applyFont="1" applyFill="1" applyBorder="1" applyAlignment="1" applyProtection="1">
      <alignment horizontal="center" vertical="center"/>
    </xf>
    <xf numFmtId="0" fontId="3" fillId="7" borderId="4" xfId="0" applyFont="1" applyFill="1" applyBorder="1" applyAlignment="1" applyProtection="1">
      <alignment horizontal="center" vertical="center"/>
    </xf>
    <xf numFmtId="0" fontId="3" fillId="7" borderId="0" xfId="0" applyFont="1" applyFill="1" applyAlignment="1" applyProtection="1">
      <alignment horizontal="center" vertical="center"/>
    </xf>
    <xf numFmtId="0" fontId="7" fillId="2" borderId="4" xfId="0" applyFont="1" applyFill="1" applyBorder="1" applyAlignment="1" applyProtection="1">
      <alignment horizontal="center" vertical="center" wrapText="1"/>
      <protection locked="0"/>
    </xf>
    <xf numFmtId="0" fontId="7" fillId="2" borderId="10" xfId="0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2" borderId="11" xfId="0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tabSelected="1" workbookViewId="0">
      <selection activeCell="O5" sqref="O5"/>
    </sheetView>
  </sheetViews>
  <sheetFormatPr defaultColWidth="9" defaultRowHeight="14.4" x14ac:dyDescent="0.25"/>
  <sheetData>
    <row r="1" spans="1:18" x14ac:dyDescent="0.25">
      <c r="A1" s="1"/>
      <c r="B1" s="2"/>
      <c r="C1" s="2"/>
      <c r="D1" s="3"/>
      <c r="E1" s="2"/>
      <c r="F1" s="1"/>
      <c r="G1" s="3"/>
      <c r="H1" s="2"/>
      <c r="I1" s="1"/>
      <c r="J1" s="2"/>
      <c r="K1" s="3"/>
      <c r="L1" s="29"/>
      <c r="M1" s="30"/>
      <c r="N1" s="1"/>
      <c r="O1" s="2"/>
      <c r="P1" s="2"/>
      <c r="Q1" s="2"/>
      <c r="R1" s="3"/>
    </row>
    <row r="2" spans="1:18" ht="20.399999999999999" x14ac:dyDescent="0.25">
      <c r="A2" s="4"/>
      <c r="B2" s="53" t="s">
        <v>0</v>
      </c>
      <c r="C2" s="54"/>
      <c r="D2" s="5"/>
      <c r="E2" s="6"/>
      <c r="F2" s="55" t="s">
        <v>1</v>
      </c>
      <c r="G2" s="56"/>
      <c r="H2" s="6"/>
      <c r="I2" s="57" t="s">
        <v>2</v>
      </c>
      <c r="J2" s="58"/>
      <c r="K2" s="59"/>
      <c r="L2" s="31"/>
      <c r="M2" s="32"/>
      <c r="N2" s="60" t="s">
        <v>3</v>
      </c>
      <c r="O2" s="61"/>
      <c r="P2" s="61"/>
      <c r="Q2" s="61"/>
      <c r="R2" s="51"/>
    </row>
    <row r="3" spans="1:18" x14ac:dyDescent="0.25">
      <c r="A3" s="7"/>
      <c r="B3" s="8"/>
      <c r="C3" s="8"/>
      <c r="D3" s="9"/>
      <c r="E3" s="8"/>
      <c r="F3" s="10"/>
      <c r="G3" s="9"/>
      <c r="H3" s="8"/>
      <c r="I3" s="10"/>
      <c r="J3" s="8"/>
      <c r="K3" s="9"/>
      <c r="L3" s="33"/>
      <c r="M3" s="34"/>
      <c r="N3" s="7"/>
      <c r="O3" s="35"/>
      <c r="P3" s="36"/>
      <c r="Q3" s="36"/>
      <c r="R3" s="51"/>
    </row>
    <row r="4" spans="1:18" ht="17.399999999999999" x14ac:dyDescent="0.25">
      <c r="A4" s="7"/>
      <c r="B4" s="11" t="s">
        <v>4</v>
      </c>
      <c r="C4" s="12"/>
      <c r="D4" s="13"/>
      <c r="E4" s="14"/>
      <c r="F4" s="15" t="s">
        <v>5</v>
      </c>
      <c r="G4" s="16"/>
      <c r="H4" s="14"/>
      <c r="I4" s="15" t="s">
        <v>6</v>
      </c>
      <c r="J4" s="37"/>
      <c r="K4" s="13"/>
      <c r="L4" s="14"/>
      <c r="M4" s="38"/>
      <c r="N4" s="15" t="s">
        <v>7</v>
      </c>
      <c r="O4" s="12"/>
      <c r="P4" s="36"/>
      <c r="Q4" s="36"/>
      <c r="R4" s="51"/>
    </row>
    <row r="5" spans="1:18" ht="17.399999999999999" x14ac:dyDescent="0.25">
      <c r="A5" s="7"/>
      <c r="B5" s="17" t="s">
        <v>8</v>
      </c>
      <c r="C5" s="12"/>
      <c r="D5" s="13"/>
      <c r="E5" s="14"/>
      <c r="F5" s="15" t="s">
        <v>9</v>
      </c>
      <c r="G5" s="16"/>
      <c r="H5" s="14"/>
      <c r="I5" s="15" t="s">
        <v>10</v>
      </c>
      <c r="J5" s="39"/>
      <c r="K5" s="13"/>
      <c r="L5" s="14"/>
      <c r="M5" s="38"/>
      <c r="N5" s="15" t="s">
        <v>11</v>
      </c>
      <c r="O5" s="40"/>
      <c r="P5" s="36"/>
      <c r="Q5" s="36"/>
      <c r="R5" s="51"/>
    </row>
    <row r="6" spans="1:18" ht="17.399999999999999" x14ac:dyDescent="0.25">
      <c r="A6" s="7"/>
      <c r="B6" s="17" t="s">
        <v>12</v>
      </c>
      <c r="C6" s="18">
        <f>C4*C5</f>
        <v>0</v>
      </c>
      <c r="D6" s="13"/>
      <c r="E6" s="14"/>
      <c r="F6" s="15" t="s">
        <v>13</v>
      </c>
      <c r="G6" s="19"/>
      <c r="H6" s="14"/>
      <c r="I6" s="15" t="s">
        <v>14</v>
      </c>
      <c r="J6" s="41"/>
      <c r="K6" s="13"/>
      <c r="L6" s="14"/>
      <c r="M6" s="38"/>
      <c r="N6" s="15" t="s">
        <v>15</v>
      </c>
      <c r="O6" s="42">
        <f>(O5*(1-G7-J6-J7-J5)-G4-G5)*O4-J4-G9-C6</f>
        <v>0</v>
      </c>
      <c r="P6" s="36"/>
      <c r="Q6" s="36"/>
      <c r="R6" s="51"/>
    </row>
    <row r="7" spans="1:18" ht="17.399999999999999" x14ac:dyDescent="0.25">
      <c r="A7" s="7"/>
      <c r="B7" s="20"/>
      <c r="C7" s="21"/>
      <c r="D7" s="13"/>
      <c r="E7" s="14"/>
      <c r="F7" s="15" t="s">
        <v>16</v>
      </c>
      <c r="G7" s="19"/>
      <c r="H7" s="14"/>
      <c r="I7" s="15" t="s">
        <v>17</v>
      </c>
      <c r="J7" s="43"/>
      <c r="K7" s="13"/>
      <c r="L7" s="14"/>
      <c r="M7" s="38"/>
      <c r="N7" s="7"/>
      <c r="O7" s="35"/>
      <c r="P7" s="36"/>
      <c r="Q7" s="36"/>
      <c r="R7" s="51"/>
    </row>
    <row r="8" spans="1:18" ht="17.399999999999999" x14ac:dyDescent="0.25">
      <c r="A8" s="7"/>
      <c r="B8" s="64" t="s">
        <v>18</v>
      </c>
      <c r="C8" s="64"/>
      <c r="D8" s="13"/>
      <c r="E8" s="14"/>
      <c r="F8" s="15" t="s">
        <v>19</v>
      </c>
      <c r="G8" s="22"/>
      <c r="H8" s="14"/>
      <c r="I8" s="15" t="s">
        <v>20</v>
      </c>
      <c r="J8" s="44"/>
      <c r="K8" s="13"/>
      <c r="L8" s="14"/>
      <c r="M8" s="38"/>
      <c r="N8" s="62" t="s">
        <v>18</v>
      </c>
      <c r="O8" s="35"/>
      <c r="P8" s="36"/>
      <c r="Q8" s="36"/>
      <c r="R8" s="51"/>
    </row>
    <row r="9" spans="1:18" ht="17.399999999999999" x14ac:dyDescent="0.25">
      <c r="A9" s="7"/>
      <c r="B9" s="64"/>
      <c r="C9" s="64"/>
      <c r="D9" s="13"/>
      <c r="E9" s="14"/>
      <c r="F9" s="15" t="s">
        <v>21</v>
      </c>
      <c r="G9" s="23">
        <f>(G4+G8+O5*G7*20%)*O4*G6</f>
        <v>0</v>
      </c>
      <c r="H9" s="14"/>
      <c r="I9" s="45"/>
      <c r="J9" s="46"/>
      <c r="K9" s="13"/>
      <c r="L9" s="14"/>
      <c r="M9" s="38"/>
      <c r="N9" s="62"/>
      <c r="O9" s="35"/>
      <c r="P9" s="36"/>
      <c r="Q9" s="36"/>
      <c r="R9" s="51"/>
    </row>
    <row r="10" spans="1:18" ht="17.399999999999999" x14ac:dyDescent="0.25">
      <c r="A10" s="24"/>
      <c r="B10" s="65"/>
      <c r="C10" s="65"/>
      <c r="D10" s="25"/>
      <c r="E10" s="26"/>
      <c r="F10" s="27" t="s">
        <v>22</v>
      </c>
      <c r="G10" s="28"/>
      <c r="H10" s="26"/>
      <c r="I10" s="47"/>
      <c r="J10" s="48"/>
      <c r="K10" s="25"/>
      <c r="L10" s="26"/>
      <c r="M10" s="49"/>
      <c r="N10" s="63"/>
      <c r="O10" s="50"/>
      <c r="P10" s="50"/>
      <c r="Q10" s="50"/>
      <c r="R10" s="52"/>
    </row>
  </sheetData>
  <mergeCells count="6">
    <mergeCell ref="B2:C2"/>
    <mergeCell ref="F2:G2"/>
    <mergeCell ref="I2:K2"/>
    <mergeCell ref="N2:Q2"/>
    <mergeCell ref="N8:N10"/>
    <mergeCell ref="B8:C10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2023-05-23T07:05:03Z</dcterms:created>
  <dcterms:modified xsi:type="dcterms:W3CDTF">2024-12-07T01:48:22Z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40129710025B4A9885ABD228F49AD0D2_12</vt:lpwstr>
  </property>
  <property fmtid="{D5CDD505-2E9C-101B-9397-08002B2CF9AE}" pid="3" name="KSOProductBuildVer">
    <vt:lpwstr>2052-11.1.0.14309</vt:lpwstr>
  </property>
</Properties>
</file>