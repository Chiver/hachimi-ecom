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mc:AlternateContent xmlns:mc="http://schemas.openxmlformats.org/markup-compatibility/2006">
    <mc:Choice Requires="x15">
      <x15ac:absPath xmlns:x15ac="http://schemas.microsoft.com/office/spreadsheetml/2010/11/ac" url="C:\Users\LZY\Desktop\下载资源\20191205\"/>
    </mc:Choice>
  </mc:AlternateContent>
  <xr:revisionPtr revIDLastSave="0" documentId="13_ncr:1_{9B57630C-E929-4EEC-8E4B-6E3A02CC97DE}" xr6:coauthVersionLast="45" xr6:coauthVersionMax="45" xr10:uidLastSave="{00000000-0000-0000-0000-000000000000}"/>
  <bookViews>
    <workbookView xWindow="2868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U9" i="1" l="1"/>
  <c r="DQ9" i="1"/>
  <c r="DM9" i="1"/>
  <c r="DI9" i="1"/>
  <c r="DE9" i="1"/>
  <c r="DA9" i="1"/>
  <c r="CW9" i="1"/>
  <c r="CS9" i="1"/>
  <c r="CO9" i="1"/>
  <c r="CK9" i="1"/>
  <c r="CG9" i="1"/>
  <c r="CC9" i="1"/>
  <c r="BY9" i="1"/>
  <c r="BU9" i="1"/>
  <c r="BQ9" i="1"/>
  <c r="BM9" i="1"/>
  <c r="BI9" i="1"/>
  <c r="BE9" i="1"/>
  <c r="BA9" i="1"/>
  <c r="AW9" i="1"/>
  <c r="AS9" i="1"/>
  <c r="AO9" i="1"/>
  <c r="AK9" i="1"/>
  <c r="AG9" i="1"/>
  <c r="AC9" i="1"/>
  <c r="Y9" i="1"/>
  <c r="U9" i="1"/>
  <c r="Q9" i="1"/>
  <c r="M9" i="1"/>
  <c r="J9" i="1"/>
  <c r="I9" i="1"/>
  <c r="E9" i="1"/>
  <c r="DU8" i="1"/>
  <c r="DQ8" i="1"/>
  <c r="DM8" i="1"/>
  <c r="DI8" i="1"/>
  <c r="DE8" i="1"/>
  <c r="DA8" i="1"/>
  <c r="CW8" i="1"/>
  <c r="CS8" i="1"/>
  <c r="CO8" i="1"/>
  <c r="CK8" i="1"/>
  <c r="CG8" i="1"/>
  <c r="CC8" i="1"/>
  <c r="BY8" i="1"/>
  <c r="BU8" i="1"/>
  <c r="BQ8" i="1"/>
  <c r="BM8" i="1"/>
  <c r="BI8" i="1"/>
  <c r="BE8" i="1"/>
  <c r="BA8" i="1"/>
  <c r="AW8" i="1"/>
  <c r="AS8" i="1"/>
  <c r="AO8" i="1"/>
  <c r="AK8" i="1"/>
  <c r="AG8" i="1"/>
  <c r="AC8" i="1"/>
  <c r="Y8" i="1"/>
  <c r="U8" i="1"/>
  <c r="Q8" i="1"/>
  <c r="N8" i="1"/>
  <c r="M8" i="1"/>
  <c r="J8" i="1"/>
  <c r="I8" i="1"/>
  <c r="E8" i="1"/>
  <c r="DU7" i="1"/>
  <c r="DQ7" i="1"/>
  <c r="DM7" i="1"/>
  <c r="DI7" i="1"/>
  <c r="DE7" i="1"/>
  <c r="DA7" i="1"/>
  <c r="CW7" i="1"/>
  <c r="CS7" i="1"/>
  <c r="CO7" i="1"/>
  <c r="CK7" i="1"/>
  <c r="CG7" i="1"/>
  <c r="CC7" i="1"/>
  <c r="BY7" i="1"/>
  <c r="BU7" i="1"/>
  <c r="BQ7" i="1"/>
  <c r="BM7" i="1"/>
  <c r="BI7" i="1"/>
  <c r="BE7" i="1"/>
  <c r="BA7" i="1"/>
  <c r="AW7" i="1"/>
  <c r="AS7" i="1"/>
  <c r="AO7" i="1"/>
  <c r="AK7" i="1"/>
  <c r="AG7" i="1"/>
  <c r="AC7" i="1"/>
  <c r="Y7" i="1"/>
  <c r="U7" i="1"/>
  <c r="Q7" i="1"/>
  <c r="M7" i="1"/>
  <c r="I7" i="1"/>
  <c r="J7" i="1" s="1"/>
  <c r="F7" i="1"/>
  <c r="E7" i="1"/>
  <c r="DU6" i="1"/>
  <c r="DQ6" i="1"/>
  <c r="DM6" i="1"/>
  <c r="DI6" i="1"/>
  <c r="DE6" i="1"/>
  <c r="DA6" i="1"/>
  <c r="CW6" i="1"/>
  <c r="CS6" i="1"/>
  <c r="CO6" i="1"/>
  <c r="CK6" i="1"/>
  <c r="CG6" i="1"/>
  <c r="CC6" i="1"/>
  <c r="BY6" i="1"/>
  <c r="BU6" i="1"/>
  <c r="BQ6" i="1"/>
  <c r="BM6" i="1"/>
  <c r="BI6" i="1"/>
  <c r="BE6" i="1"/>
  <c r="BA6" i="1"/>
  <c r="AW6" i="1"/>
  <c r="AS6" i="1"/>
  <c r="AO6" i="1"/>
  <c r="AK6" i="1"/>
  <c r="AG6" i="1"/>
  <c r="AC6" i="1"/>
  <c r="Y6" i="1"/>
  <c r="U6" i="1"/>
  <c r="Q6" i="1"/>
  <c r="M6" i="1"/>
  <c r="J6" i="1"/>
  <c r="I6" i="1"/>
  <c r="E6" i="1"/>
  <c r="DU5" i="1"/>
  <c r="DV6" i="1" s="1"/>
  <c r="DQ5" i="1"/>
  <c r="DM5" i="1"/>
  <c r="DN6" i="1" s="1"/>
  <c r="DI5" i="1"/>
  <c r="DE5" i="1"/>
  <c r="DF6" i="1" s="1"/>
  <c r="DA5" i="1"/>
  <c r="CW5" i="1"/>
  <c r="CX6" i="1" s="1"/>
  <c r="CS5" i="1"/>
  <c r="CO5" i="1"/>
  <c r="CP6" i="1" s="1"/>
  <c r="CK5" i="1"/>
  <c r="CG5" i="1"/>
  <c r="CH6" i="1" s="1"/>
  <c r="CC5" i="1"/>
  <c r="BY5" i="1"/>
  <c r="BZ6" i="1" s="1"/>
  <c r="BU5" i="1"/>
  <c r="BQ5" i="1"/>
  <c r="BR6" i="1" s="1"/>
  <c r="BM5" i="1"/>
  <c r="BI5" i="1"/>
  <c r="BJ6" i="1" s="1"/>
  <c r="BE5" i="1"/>
  <c r="BA5" i="1"/>
  <c r="AW5" i="1"/>
  <c r="AS5" i="1"/>
  <c r="AO5" i="1"/>
  <c r="AK5" i="1"/>
  <c r="AG5" i="1"/>
  <c r="AC5" i="1"/>
  <c r="AD6" i="1" s="1"/>
  <c r="Y5" i="1"/>
  <c r="U5" i="1"/>
  <c r="Q5" i="1"/>
  <c r="M5" i="1"/>
  <c r="I5" i="1"/>
  <c r="J5" i="1" s="1"/>
  <c r="E5" i="1"/>
  <c r="DU4" i="1"/>
  <c r="DQ4" i="1"/>
  <c r="DM4" i="1"/>
  <c r="DI4" i="1"/>
  <c r="DE4" i="1"/>
  <c r="DA4" i="1"/>
  <c r="CW4" i="1"/>
  <c r="CS4" i="1"/>
  <c r="CO4" i="1"/>
  <c r="CK4" i="1"/>
  <c r="CG4" i="1"/>
  <c r="CC4" i="1"/>
  <c r="BY4" i="1"/>
  <c r="BU4" i="1"/>
  <c r="BQ4" i="1"/>
  <c r="BM4" i="1"/>
  <c r="BI4" i="1"/>
  <c r="BE4" i="1"/>
  <c r="BA4" i="1"/>
  <c r="AW4" i="1"/>
  <c r="AS4" i="1"/>
  <c r="AO4" i="1"/>
  <c r="AK4" i="1"/>
  <c r="AG4" i="1"/>
  <c r="AC4" i="1"/>
  <c r="Y4" i="1"/>
  <c r="U4" i="1"/>
  <c r="Q4" i="1"/>
  <c r="M4" i="1"/>
  <c r="J4" i="1"/>
  <c r="I4" i="1"/>
  <c r="F4" i="1"/>
  <c r="E4" i="1"/>
  <c r="DU3" i="1"/>
  <c r="DQ3" i="1"/>
  <c r="DM3" i="1"/>
  <c r="DN9" i="1" s="1"/>
  <c r="DI3" i="1"/>
  <c r="DJ4" i="1" s="1"/>
  <c r="DE3" i="1"/>
  <c r="DA3" i="1"/>
  <c r="CW3" i="1"/>
  <c r="CS3" i="1"/>
  <c r="CO3" i="1"/>
  <c r="CK3" i="1"/>
  <c r="CL4" i="1" s="1"/>
  <c r="CG3" i="1"/>
  <c r="CC3" i="1"/>
  <c r="CD4" i="1" s="1"/>
  <c r="BY3" i="1"/>
  <c r="BU3" i="1"/>
  <c r="BQ3" i="1"/>
  <c r="BM3" i="1"/>
  <c r="BI3" i="1"/>
  <c r="BE3" i="1"/>
  <c r="BF4" i="1" s="1"/>
  <c r="BA3" i="1"/>
  <c r="BB6" i="1" s="1"/>
  <c r="AW3" i="1"/>
  <c r="AX4" i="1" s="1"/>
  <c r="AS3" i="1"/>
  <c r="AO3" i="1"/>
  <c r="AK3" i="1"/>
  <c r="AG3" i="1"/>
  <c r="AC3" i="1"/>
  <c r="Y3" i="1"/>
  <c r="U3" i="1"/>
  <c r="V6" i="1" s="1"/>
  <c r="Q3" i="1"/>
  <c r="R4" i="1" s="1"/>
  <c r="M3" i="1"/>
  <c r="I3" i="1"/>
  <c r="J3" i="1" s="1"/>
  <c r="E3" i="1"/>
  <c r="F6" i="1" s="1"/>
  <c r="AP7" i="1" l="1"/>
  <c r="AP3" i="1"/>
  <c r="AP8" i="1"/>
  <c r="AP9" i="1"/>
  <c r="AP5" i="1"/>
  <c r="AP6" i="1"/>
  <c r="DB7" i="1"/>
  <c r="DB3" i="1"/>
  <c r="DB8" i="1"/>
  <c r="DB9" i="1"/>
  <c r="DB5" i="1"/>
  <c r="DB6" i="1"/>
  <c r="Z7" i="1"/>
  <c r="Z3" i="1"/>
  <c r="Z8" i="1"/>
  <c r="Z9" i="1"/>
  <c r="Z5" i="1"/>
  <c r="Z6" i="1"/>
  <c r="BV7" i="1"/>
  <c r="BV3" i="1"/>
  <c r="BV8" i="1"/>
  <c r="BV9" i="1"/>
  <c r="BV5" i="1"/>
  <c r="BV6" i="1"/>
  <c r="DR7" i="1"/>
  <c r="DR3" i="1"/>
  <c r="DR8" i="1"/>
  <c r="DR9" i="1"/>
  <c r="DR5" i="1"/>
  <c r="DR6" i="1"/>
  <c r="Z4" i="1"/>
  <c r="DR4" i="1"/>
  <c r="N9" i="1"/>
  <c r="N5" i="1"/>
  <c r="N7" i="1"/>
  <c r="N3" i="1"/>
  <c r="N4" i="1"/>
  <c r="AD9" i="1"/>
  <c r="AD5" i="1"/>
  <c r="AD7" i="1"/>
  <c r="AD3" i="1"/>
  <c r="AD8" i="1"/>
  <c r="AD4" i="1"/>
  <c r="AT9" i="1"/>
  <c r="AT5" i="1"/>
  <c r="AT7" i="1"/>
  <c r="AT3" i="1"/>
  <c r="AT8" i="1"/>
  <c r="AT4" i="1"/>
  <c r="BJ9" i="1"/>
  <c r="BZ9" i="1"/>
  <c r="CP9" i="1"/>
  <c r="DF9" i="1"/>
  <c r="DV9" i="1"/>
  <c r="BF7" i="1"/>
  <c r="BF3" i="1"/>
  <c r="BF8" i="1"/>
  <c r="BF9" i="1"/>
  <c r="BF5" i="1"/>
  <c r="BF6" i="1"/>
  <c r="R7" i="1"/>
  <c r="B7" i="1" s="1"/>
  <c r="R3" i="1"/>
  <c r="R8" i="1"/>
  <c r="R9" i="1"/>
  <c r="R5" i="1"/>
  <c r="R6" i="1"/>
  <c r="AH7" i="1"/>
  <c r="AH3" i="1"/>
  <c r="AH8" i="1"/>
  <c r="AH9" i="1"/>
  <c r="AH5" i="1"/>
  <c r="AH6" i="1"/>
  <c r="BN7" i="1"/>
  <c r="BN3" i="1"/>
  <c r="BN8" i="1"/>
  <c r="BN9" i="1"/>
  <c r="BN5" i="1"/>
  <c r="BN6" i="1"/>
  <c r="CD7" i="1"/>
  <c r="CD3" i="1"/>
  <c r="CD8" i="1"/>
  <c r="CD9" i="1"/>
  <c r="CD5" i="1"/>
  <c r="CD6" i="1"/>
  <c r="CT7" i="1"/>
  <c r="CT3" i="1"/>
  <c r="CT8" i="1"/>
  <c r="CT9" i="1"/>
  <c r="CT5" i="1"/>
  <c r="CT6" i="1"/>
  <c r="DJ7" i="1"/>
  <c r="DJ3" i="1"/>
  <c r="DJ8" i="1"/>
  <c r="DJ9" i="1"/>
  <c r="DJ5" i="1"/>
  <c r="DJ6" i="1"/>
  <c r="AP4" i="1"/>
  <c r="BV4" i="1"/>
  <c r="DB4" i="1"/>
  <c r="N6" i="1"/>
  <c r="B6" i="1" s="1"/>
  <c r="AT6" i="1"/>
  <c r="CL7" i="1"/>
  <c r="CL3" i="1"/>
  <c r="CL8" i="1"/>
  <c r="CL9" i="1"/>
  <c r="CL5" i="1"/>
  <c r="CL6" i="1"/>
  <c r="AX7" i="1"/>
  <c r="AX3" i="1"/>
  <c r="AX8" i="1"/>
  <c r="AX9" i="1"/>
  <c r="AX5" i="1"/>
  <c r="AX6" i="1"/>
  <c r="F9" i="1"/>
  <c r="F5" i="1"/>
  <c r="F3" i="1"/>
  <c r="F8" i="1"/>
  <c r="B8" i="1" s="1"/>
  <c r="V9" i="1"/>
  <c r="V5" i="1"/>
  <c r="V7" i="1"/>
  <c r="V3" i="1"/>
  <c r="V4" i="1"/>
  <c r="V8" i="1"/>
  <c r="AL9" i="1"/>
  <c r="AL5" i="1"/>
  <c r="AL7" i="1"/>
  <c r="AL3" i="1"/>
  <c r="AL4" i="1"/>
  <c r="AL8" i="1"/>
  <c r="BB9" i="1"/>
  <c r="BB5" i="1"/>
  <c r="BB7" i="1"/>
  <c r="BB3" i="1"/>
  <c r="BB4" i="1"/>
  <c r="BB8" i="1"/>
  <c r="BR9" i="1"/>
  <c r="CH9" i="1"/>
  <c r="CX9" i="1"/>
  <c r="AH4" i="1"/>
  <c r="BN4" i="1"/>
  <c r="CT4" i="1"/>
  <c r="AL6" i="1"/>
  <c r="BJ4" i="1"/>
  <c r="BR4" i="1"/>
  <c r="BZ4" i="1"/>
  <c r="CH4" i="1"/>
  <c r="CP4" i="1"/>
  <c r="CX4" i="1"/>
  <c r="DF4" i="1"/>
  <c r="DN4" i="1"/>
  <c r="DV4" i="1"/>
  <c r="BJ8" i="1"/>
  <c r="BR8" i="1"/>
  <c r="BZ8" i="1"/>
  <c r="CH8" i="1"/>
  <c r="CP8" i="1"/>
  <c r="CX8" i="1"/>
  <c r="DF8" i="1"/>
  <c r="DN8" i="1"/>
  <c r="DV8" i="1"/>
  <c r="BJ3" i="1"/>
  <c r="BR3" i="1"/>
  <c r="BZ3" i="1"/>
  <c r="CH3" i="1"/>
  <c r="CP3" i="1"/>
  <c r="CX3" i="1"/>
  <c r="DF3" i="1"/>
  <c r="DN3" i="1"/>
  <c r="DV3" i="1"/>
  <c r="BJ7" i="1"/>
  <c r="BR7" i="1"/>
  <c r="BZ7" i="1"/>
  <c r="CH7" i="1"/>
  <c r="CP7" i="1"/>
  <c r="CX7" i="1"/>
  <c r="DF7" i="1"/>
  <c r="DN7" i="1"/>
  <c r="DV7" i="1"/>
  <c r="BJ5" i="1"/>
  <c r="BR5" i="1"/>
  <c r="BZ5" i="1"/>
  <c r="CH5" i="1"/>
  <c r="CP5" i="1"/>
  <c r="CX5" i="1"/>
  <c r="DF5" i="1"/>
  <c r="DN5" i="1"/>
  <c r="DV5" i="1"/>
  <c r="B9" i="1" l="1"/>
  <c r="B4" i="1"/>
  <c r="B3" i="1"/>
  <c r="B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yyqfeng</author>
    <author>Administrator</author>
  </authors>
  <commentList>
    <comment ref="D3" authorId="0" shapeId="0" xr:uid="{00000000-0006-0000-0000-000001000000}">
      <text>
        <r>
          <rPr>
            <sz val="9"/>
            <rFont val="宋体"/>
            <charset val="134"/>
          </rPr>
          <t>输入加班数量</t>
        </r>
      </text>
    </comment>
    <comment ref="H3" authorId="0" shapeId="0" xr:uid="{00000000-0006-0000-0000-000002000000}">
      <text>
        <r>
          <rPr>
            <sz val="9"/>
            <rFont val="宋体"/>
            <charset val="134"/>
          </rPr>
          <t>输入加班数量</t>
        </r>
      </text>
    </comment>
    <comment ref="L3" authorId="0" shapeId="0" xr:uid="{00000000-0006-0000-0000-000003000000}">
      <text>
        <r>
          <rPr>
            <sz val="9"/>
            <rFont val="宋体"/>
            <charset val="134"/>
          </rPr>
          <t>输入加班数量</t>
        </r>
      </text>
    </comment>
    <comment ref="P3" authorId="0" shapeId="0" xr:uid="{00000000-0006-0000-0000-000004000000}">
      <text>
        <r>
          <rPr>
            <sz val="9"/>
            <rFont val="宋体"/>
            <charset val="134"/>
          </rPr>
          <t>输入加班数量</t>
        </r>
      </text>
    </comment>
    <comment ref="T3" authorId="0" shapeId="0" xr:uid="{00000000-0006-0000-0000-000005000000}">
      <text>
        <r>
          <rPr>
            <sz val="9"/>
            <rFont val="宋体"/>
            <charset val="134"/>
          </rPr>
          <t>输入加班数量</t>
        </r>
      </text>
    </comment>
    <comment ref="X3" authorId="0" shapeId="0" xr:uid="{00000000-0006-0000-0000-000006000000}">
      <text>
        <r>
          <rPr>
            <sz val="9"/>
            <rFont val="宋体"/>
            <charset val="134"/>
          </rPr>
          <t>输入加班数量</t>
        </r>
      </text>
    </comment>
    <comment ref="AB3" authorId="0" shapeId="0" xr:uid="{00000000-0006-0000-0000-000007000000}">
      <text>
        <r>
          <rPr>
            <sz val="9"/>
            <rFont val="宋体"/>
            <charset val="134"/>
          </rPr>
          <t>输入加班数量</t>
        </r>
      </text>
    </comment>
    <comment ref="AF3" authorId="0" shapeId="0" xr:uid="{00000000-0006-0000-0000-000008000000}">
      <text>
        <r>
          <rPr>
            <sz val="9"/>
            <rFont val="宋体"/>
            <charset val="134"/>
          </rPr>
          <t>输入加班数量</t>
        </r>
      </text>
    </comment>
    <comment ref="AJ3" authorId="0" shapeId="0" xr:uid="{00000000-0006-0000-0000-000009000000}">
      <text>
        <r>
          <rPr>
            <sz val="9"/>
            <rFont val="宋体"/>
            <charset val="134"/>
          </rPr>
          <t>输入加班数量</t>
        </r>
      </text>
    </comment>
    <comment ref="AN3" authorId="0" shapeId="0" xr:uid="{00000000-0006-0000-0000-00000A000000}">
      <text>
        <r>
          <rPr>
            <sz val="9"/>
            <rFont val="宋体"/>
            <charset val="134"/>
          </rPr>
          <t>输入加班数量</t>
        </r>
      </text>
    </comment>
    <comment ref="AR3" authorId="0" shapeId="0" xr:uid="{00000000-0006-0000-0000-00000B000000}">
      <text>
        <r>
          <rPr>
            <sz val="9"/>
            <rFont val="宋体"/>
            <charset val="134"/>
          </rPr>
          <t>输入加班数量</t>
        </r>
      </text>
    </comment>
    <comment ref="AV3" authorId="0" shapeId="0" xr:uid="{00000000-0006-0000-0000-00000C000000}">
      <text>
        <r>
          <rPr>
            <sz val="9"/>
            <rFont val="宋体"/>
            <charset val="134"/>
          </rPr>
          <t>输入加班数量</t>
        </r>
      </text>
    </comment>
    <comment ref="AZ3" authorId="0" shapeId="0" xr:uid="{00000000-0006-0000-0000-00000D000000}">
      <text>
        <r>
          <rPr>
            <sz val="9"/>
            <rFont val="宋体"/>
            <charset val="134"/>
          </rPr>
          <t>输入加班数量</t>
        </r>
      </text>
    </comment>
    <comment ref="BD3" authorId="0" shapeId="0" xr:uid="{00000000-0006-0000-0000-00000E000000}">
      <text>
        <r>
          <rPr>
            <sz val="9"/>
            <rFont val="宋体"/>
            <charset val="134"/>
          </rPr>
          <t>输入加班数量</t>
        </r>
      </text>
    </comment>
    <comment ref="BH3" authorId="0" shapeId="0" xr:uid="{00000000-0006-0000-0000-00000F000000}">
      <text>
        <r>
          <rPr>
            <sz val="9"/>
            <rFont val="宋体"/>
            <charset val="134"/>
          </rPr>
          <t>输入加班数量</t>
        </r>
      </text>
    </comment>
    <comment ref="BL3" authorId="0" shapeId="0" xr:uid="{00000000-0006-0000-0000-000010000000}">
      <text>
        <r>
          <rPr>
            <sz val="9"/>
            <rFont val="宋体"/>
            <charset val="134"/>
          </rPr>
          <t>输入加班数量</t>
        </r>
      </text>
    </comment>
    <comment ref="BP3" authorId="0" shapeId="0" xr:uid="{00000000-0006-0000-0000-000011000000}">
      <text>
        <r>
          <rPr>
            <sz val="9"/>
            <rFont val="宋体"/>
            <charset val="134"/>
          </rPr>
          <t>输入加班数量</t>
        </r>
      </text>
    </comment>
    <comment ref="BT3" authorId="0" shapeId="0" xr:uid="{00000000-0006-0000-0000-000012000000}">
      <text>
        <r>
          <rPr>
            <sz val="9"/>
            <rFont val="宋体"/>
            <charset val="134"/>
          </rPr>
          <t>输入加班数量</t>
        </r>
      </text>
    </comment>
    <comment ref="BX3" authorId="0" shapeId="0" xr:uid="{00000000-0006-0000-0000-000013000000}">
      <text>
        <r>
          <rPr>
            <sz val="9"/>
            <rFont val="宋体"/>
            <charset val="134"/>
          </rPr>
          <t>输入加班数量</t>
        </r>
      </text>
    </comment>
    <comment ref="CB3" authorId="0" shapeId="0" xr:uid="{00000000-0006-0000-0000-000014000000}">
      <text>
        <r>
          <rPr>
            <sz val="9"/>
            <rFont val="宋体"/>
            <charset val="134"/>
          </rPr>
          <t>输入加班数量</t>
        </r>
      </text>
    </comment>
    <comment ref="CF3" authorId="0" shapeId="0" xr:uid="{00000000-0006-0000-0000-000015000000}">
      <text>
        <r>
          <rPr>
            <sz val="9"/>
            <rFont val="宋体"/>
            <charset val="134"/>
          </rPr>
          <t>输入加班数量</t>
        </r>
      </text>
    </comment>
    <comment ref="CJ3" authorId="0" shapeId="0" xr:uid="{00000000-0006-0000-0000-000016000000}">
      <text>
        <r>
          <rPr>
            <sz val="9"/>
            <rFont val="宋体"/>
            <charset val="134"/>
          </rPr>
          <t>输入加班数量</t>
        </r>
      </text>
    </comment>
    <comment ref="CN3" authorId="0" shapeId="0" xr:uid="{00000000-0006-0000-0000-000017000000}">
      <text>
        <r>
          <rPr>
            <sz val="9"/>
            <rFont val="宋体"/>
            <charset val="134"/>
          </rPr>
          <t>输入加班数量</t>
        </r>
      </text>
    </comment>
    <comment ref="CR3" authorId="0" shapeId="0" xr:uid="{00000000-0006-0000-0000-000018000000}">
      <text>
        <r>
          <rPr>
            <sz val="9"/>
            <rFont val="宋体"/>
            <charset val="134"/>
          </rPr>
          <t>输入加班数量</t>
        </r>
      </text>
    </comment>
    <comment ref="CV3" authorId="0" shapeId="0" xr:uid="{00000000-0006-0000-0000-000019000000}">
      <text>
        <r>
          <rPr>
            <sz val="9"/>
            <rFont val="宋体"/>
            <charset val="134"/>
          </rPr>
          <t>输入加班数量</t>
        </r>
      </text>
    </comment>
    <comment ref="CZ3" authorId="0" shapeId="0" xr:uid="{00000000-0006-0000-0000-00001A000000}">
      <text>
        <r>
          <rPr>
            <sz val="9"/>
            <rFont val="宋体"/>
            <charset val="134"/>
          </rPr>
          <t>输入加班数量</t>
        </r>
      </text>
    </comment>
    <comment ref="DD3" authorId="0" shapeId="0" xr:uid="{00000000-0006-0000-0000-00001B000000}">
      <text>
        <r>
          <rPr>
            <sz val="9"/>
            <rFont val="宋体"/>
            <charset val="134"/>
          </rPr>
          <t>输入加班数量</t>
        </r>
      </text>
    </comment>
    <comment ref="DH3" authorId="0" shapeId="0" xr:uid="{00000000-0006-0000-0000-00001C000000}">
      <text>
        <r>
          <rPr>
            <sz val="9"/>
            <rFont val="宋体"/>
            <charset val="134"/>
          </rPr>
          <t>输入加班数量</t>
        </r>
      </text>
    </comment>
    <comment ref="DL3" authorId="0" shapeId="0" xr:uid="{00000000-0006-0000-0000-00001D000000}">
      <text>
        <r>
          <rPr>
            <sz val="9"/>
            <rFont val="宋体"/>
            <charset val="134"/>
          </rPr>
          <t>输入加班数量</t>
        </r>
      </text>
    </comment>
    <comment ref="DP3" authorId="0" shapeId="0" xr:uid="{00000000-0006-0000-0000-00001E000000}">
      <text>
        <r>
          <rPr>
            <sz val="9"/>
            <rFont val="宋体"/>
            <charset val="134"/>
          </rPr>
          <t>输入加班数量</t>
        </r>
      </text>
    </comment>
    <comment ref="DT3" authorId="0" shapeId="0" xr:uid="{00000000-0006-0000-0000-00001F000000}">
      <text>
        <r>
          <rPr>
            <sz val="9"/>
            <rFont val="宋体"/>
            <charset val="134"/>
          </rPr>
          <t>输入加班数量</t>
        </r>
      </text>
    </comment>
    <comment ref="D4" authorId="0" shapeId="0" xr:uid="{00000000-0006-0000-0000-000020000000}">
      <text>
        <r>
          <rPr>
            <sz val="9"/>
            <rFont val="宋体"/>
            <charset val="134"/>
          </rPr>
          <t>输入正常数量</t>
        </r>
      </text>
    </comment>
    <comment ref="H4" authorId="0" shapeId="0" xr:uid="{00000000-0006-0000-0000-000021000000}">
      <text>
        <r>
          <rPr>
            <sz val="9"/>
            <rFont val="宋体"/>
            <charset val="134"/>
          </rPr>
          <t>输入正常数量</t>
        </r>
      </text>
    </comment>
    <comment ref="L4" authorId="0" shapeId="0" xr:uid="{00000000-0006-0000-0000-000022000000}">
      <text>
        <r>
          <rPr>
            <sz val="9"/>
            <rFont val="宋体"/>
            <charset val="134"/>
          </rPr>
          <t>输入正常数量</t>
        </r>
      </text>
    </comment>
    <comment ref="P4" authorId="0" shapeId="0" xr:uid="{00000000-0006-0000-0000-000023000000}">
      <text>
        <r>
          <rPr>
            <sz val="9"/>
            <rFont val="宋体"/>
            <charset val="134"/>
          </rPr>
          <t>输入正常数量</t>
        </r>
      </text>
    </comment>
    <comment ref="T4" authorId="0" shapeId="0" xr:uid="{00000000-0006-0000-0000-000024000000}">
      <text>
        <r>
          <rPr>
            <sz val="9"/>
            <rFont val="宋体"/>
            <charset val="134"/>
          </rPr>
          <t>输入正常数量</t>
        </r>
      </text>
    </comment>
    <comment ref="X4" authorId="0" shapeId="0" xr:uid="{00000000-0006-0000-0000-000025000000}">
      <text>
        <r>
          <rPr>
            <sz val="9"/>
            <rFont val="宋体"/>
            <charset val="134"/>
          </rPr>
          <t>输入正常数量</t>
        </r>
      </text>
    </comment>
    <comment ref="AB4" authorId="0" shapeId="0" xr:uid="{00000000-0006-0000-0000-000026000000}">
      <text>
        <r>
          <rPr>
            <sz val="9"/>
            <rFont val="宋体"/>
            <charset val="134"/>
          </rPr>
          <t>输入正常数量</t>
        </r>
      </text>
    </comment>
    <comment ref="AF4" authorId="0" shapeId="0" xr:uid="{00000000-0006-0000-0000-000027000000}">
      <text>
        <r>
          <rPr>
            <sz val="9"/>
            <rFont val="宋体"/>
            <charset val="134"/>
          </rPr>
          <t>输入正常数量</t>
        </r>
      </text>
    </comment>
    <comment ref="AJ4" authorId="0" shapeId="0" xr:uid="{00000000-0006-0000-0000-000028000000}">
      <text>
        <r>
          <rPr>
            <sz val="9"/>
            <rFont val="宋体"/>
            <charset val="134"/>
          </rPr>
          <t>输入正常数量</t>
        </r>
      </text>
    </comment>
    <comment ref="AN4" authorId="0" shapeId="0" xr:uid="{00000000-0006-0000-0000-000029000000}">
      <text>
        <r>
          <rPr>
            <sz val="9"/>
            <rFont val="宋体"/>
            <charset val="134"/>
          </rPr>
          <t>输入正常数量</t>
        </r>
      </text>
    </comment>
    <comment ref="AR4" authorId="0" shapeId="0" xr:uid="{00000000-0006-0000-0000-00002A000000}">
      <text>
        <r>
          <rPr>
            <sz val="9"/>
            <rFont val="宋体"/>
            <charset val="134"/>
          </rPr>
          <t>输入正常数量</t>
        </r>
      </text>
    </comment>
    <comment ref="AV4" authorId="0" shapeId="0" xr:uid="{00000000-0006-0000-0000-00002B000000}">
      <text>
        <r>
          <rPr>
            <sz val="9"/>
            <rFont val="宋体"/>
            <charset val="134"/>
          </rPr>
          <t>输入正常数量</t>
        </r>
      </text>
    </comment>
    <comment ref="AZ4" authorId="0" shapeId="0" xr:uid="{00000000-0006-0000-0000-00002C000000}">
      <text>
        <r>
          <rPr>
            <sz val="9"/>
            <rFont val="宋体"/>
            <charset val="134"/>
          </rPr>
          <t>输入正常数量</t>
        </r>
      </text>
    </comment>
    <comment ref="BD4" authorId="0" shapeId="0" xr:uid="{00000000-0006-0000-0000-00002D000000}">
      <text>
        <r>
          <rPr>
            <sz val="9"/>
            <rFont val="宋体"/>
            <charset val="134"/>
          </rPr>
          <t>输入正常数量</t>
        </r>
      </text>
    </comment>
    <comment ref="BH4" authorId="0" shapeId="0" xr:uid="{00000000-0006-0000-0000-00002E000000}">
      <text>
        <r>
          <rPr>
            <sz val="9"/>
            <rFont val="宋体"/>
            <charset val="134"/>
          </rPr>
          <t>输入正常数量</t>
        </r>
      </text>
    </comment>
    <comment ref="BL4" authorId="0" shapeId="0" xr:uid="{00000000-0006-0000-0000-00002F000000}">
      <text>
        <r>
          <rPr>
            <sz val="9"/>
            <rFont val="宋体"/>
            <charset val="134"/>
          </rPr>
          <t>输入正常数量</t>
        </r>
      </text>
    </comment>
    <comment ref="BP4" authorId="0" shapeId="0" xr:uid="{00000000-0006-0000-0000-000030000000}">
      <text>
        <r>
          <rPr>
            <sz val="9"/>
            <rFont val="宋体"/>
            <charset val="134"/>
          </rPr>
          <t>输入正常数量</t>
        </r>
      </text>
    </comment>
    <comment ref="BT4" authorId="0" shapeId="0" xr:uid="{00000000-0006-0000-0000-000031000000}">
      <text>
        <r>
          <rPr>
            <sz val="9"/>
            <rFont val="宋体"/>
            <charset val="134"/>
          </rPr>
          <t>输入正常数量</t>
        </r>
      </text>
    </comment>
    <comment ref="BX4" authorId="0" shapeId="0" xr:uid="{00000000-0006-0000-0000-000032000000}">
      <text>
        <r>
          <rPr>
            <sz val="9"/>
            <rFont val="宋体"/>
            <charset val="134"/>
          </rPr>
          <t>输入正常数量</t>
        </r>
      </text>
    </comment>
    <comment ref="CB4" authorId="0" shapeId="0" xr:uid="{00000000-0006-0000-0000-000033000000}">
      <text>
        <r>
          <rPr>
            <sz val="9"/>
            <rFont val="宋体"/>
            <charset val="134"/>
          </rPr>
          <t>输入正常数量</t>
        </r>
      </text>
    </comment>
    <comment ref="CF4" authorId="0" shapeId="0" xr:uid="{00000000-0006-0000-0000-000034000000}">
      <text>
        <r>
          <rPr>
            <sz val="9"/>
            <rFont val="宋体"/>
            <charset val="134"/>
          </rPr>
          <t>输入正常数量</t>
        </r>
      </text>
    </comment>
    <comment ref="CJ4" authorId="0" shapeId="0" xr:uid="{00000000-0006-0000-0000-000035000000}">
      <text>
        <r>
          <rPr>
            <sz val="9"/>
            <rFont val="宋体"/>
            <charset val="134"/>
          </rPr>
          <t>输入正常数量</t>
        </r>
      </text>
    </comment>
    <comment ref="CN4" authorId="0" shapeId="0" xr:uid="{00000000-0006-0000-0000-000036000000}">
      <text>
        <r>
          <rPr>
            <sz val="9"/>
            <rFont val="宋体"/>
            <charset val="134"/>
          </rPr>
          <t>输入正常数量</t>
        </r>
      </text>
    </comment>
    <comment ref="CR4" authorId="0" shapeId="0" xr:uid="{00000000-0006-0000-0000-000037000000}">
      <text>
        <r>
          <rPr>
            <sz val="9"/>
            <rFont val="宋体"/>
            <charset val="134"/>
          </rPr>
          <t>输入正常数量</t>
        </r>
      </text>
    </comment>
    <comment ref="CV4" authorId="0" shapeId="0" xr:uid="{00000000-0006-0000-0000-000038000000}">
      <text>
        <r>
          <rPr>
            <sz val="9"/>
            <rFont val="宋体"/>
            <charset val="134"/>
          </rPr>
          <t>输入正常数量</t>
        </r>
      </text>
    </comment>
    <comment ref="CZ4" authorId="0" shapeId="0" xr:uid="{00000000-0006-0000-0000-000039000000}">
      <text>
        <r>
          <rPr>
            <sz val="9"/>
            <rFont val="宋体"/>
            <charset val="134"/>
          </rPr>
          <t>输入正常数量</t>
        </r>
      </text>
    </comment>
    <comment ref="DD4" authorId="0" shapeId="0" xr:uid="{00000000-0006-0000-0000-00003A000000}">
      <text>
        <r>
          <rPr>
            <sz val="9"/>
            <rFont val="宋体"/>
            <charset val="134"/>
          </rPr>
          <t>输入正常数量</t>
        </r>
      </text>
    </comment>
    <comment ref="DH4" authorId="0" shapeId="0" xr:uid="{00000000-0006-0000-0000-00003B000000}">
      <text>
        <r>
          <rPr>
            <sz val="9"/>
            <rFont val="宋体"/>
            <charset val="134"/>
          </rPr>
          <t>输入正常数量</t>
        </r>
      </text>
    </comment>
    <comment ref="DL4" authorId="0" shapeId="0" xr:uid="{00000000-0006-0000-0000-00003C000000}">
      <text>
        <r>
          <rPr>
            <sz val="9"/>
            <rFont val="宋体"/>
            <charset val="134"/>
          </rPr>
          <t>输入正常数量</t>
        </r>
      </text>
    </comment>
    <comment ref="DP4" authorId="0" shapeId="0" xr:uid="{00000000-0006-0000-0000-00003D000000}">
      <text>
        <r>
          <rPr>
            <sz val="9"/>
            <rFont val="宋体"/>
            <charset val="134"/>
          </rPr>
          <t>输入正常数量</t>
        </r>
      </text>
    </comment>
    <comment ref="DT4" authorId="0" shapeId="0" xr:uid="{00000000-0006-0000-0000-00003E000000}">
      <text>
        <r>
          <rPr>
            <sz val="9"/>
            <rFont val="宋体"/>
            <charset val="134"/>
          </rPr>
          <t>输入正常数量</t>
        </r>
      </text>
    </comment>
    <comment ref="D6" authorId="1" shapeId="0" xr:uid="{00000000-0006-0000-0000-00003F000000}">
      <text>
        <r>
          <rPr>
            <sz val="9"/>
            <rFont val="宋体"/>
            <charset val="134"/>
          </rPr>
          <t>正常上班或加班数量都输入此单元格</t>
        </r>
      </text>
    </comment>
    <comment ref="H6" authorId="1" shapeId="0" xr:uid="{00000000-0006-0000-0000-000040000000}">
      <text>
        <r>
          <rPr>
            <sz val="9"/>
            <rFont val="宋体"/>
            <charset val="134"/>
          </rPr>
          <t>正常上班或加班数量都输入此单元格</t>
        </r>
      </text>
    </comment>
    <comment ref="L6" authorId="1" shapeId="0" xr:uid="{00000000-0006-0000-0000-000041000000}">
      <text>
        <r>
          <rPr>
            <sz val="9"/>
            <rFont val="宋体"/>
            <charset val="134"/>
          </rPr>
          <t>正常上班或加班数量都输入此单元格</t>
        </r>
      </text>
    </comment>
    <comment ref="P6" authorId="1" shapeId="0" xr:uid="{00000000-0006-0000-0000-000042000000}">
      <text>
        <r>
          <rPr>
            <sz val="9"/>
            <rFont val="宋体"/>
            <charset val="134"/>
          </rPr>
          <t>正常上班或加班数量都输入此单元格</t>
        </r>
      </text>
    </comment>
    <comment ref="T6" authorId="1" shapeId="0" xr:uid="{00000000-0006-0000-0000-000043000000}">
      <text>
        <r>
          <rPr>
            <sz val="9"/>
            <rFont val="宋体"/>
            <charset val="134"/>
          </rPr>
          <t>正常上班或加班数量都输入此单元格</t>
        </r>
      </text>
    </comment>
    <comment ref="X6" authorId="1" shapeId="0" xr:uid="{00000000-0006-0000-0000-000044000000}">
      <text>
        <r>
          <rPr>
            <sz val="9"/>
            <rFont val="宋体"/>
            <charset val="134"/>
          </rPr>
          <t>正常上班或加班数量都输入此单元格</t>
        </r>
      </text>
    </comment>
    <comment ref="AB6" authorId="1" shapeId="0" xr:uid="{00000000-0006-0000-0000-000045000000}">
      <text>
        <r>
          <rPr>
            <sz val="9"/>
            <rFont val="宋体"/>
            <charset val="134"/>
          </rPr>
          <t>正常上班或加班数量都输入此单元格</t>
        </r>
      </text>
    </comment>
    <comment ref="AF6" authorId="1" shapeId="0" xr:uid="{00000000-0006-0000-0000-000046000000}">
      <text>
        <r>
          <rPr>
            <sz val="9"/>
            <rFont val="宋体"/>
            <charset val="134"/>
          </rPr>
          <t>正常上班或加班数量都输入此单元格</t>
        </r>
      </text>
    </comment>
    <comment ref="AJ6" authorId="1" shapeId="0" xr:uid="{00000000-0006-0000-0000-000047000000}">
      <text>
        <r>
          <rPr>
            <sz val="9"/>
            <rFont val="宋体"/>
            <charset val="134"/>
          </rPr>
          <t>正常上班或加班数量都输入此单元格</t>
        </r>
      </text>
    </comment>
    <comment ref="AN6" authorId="1" shapeId="0" xr:uid="{00000000-0006-0000-0000-000048000000}">
      <text>
        <r>
          <rPr>
            <sz val="9"/>
            <rFont val="宋体"/>
            <charset val="134"/>
          </rPr>
          <t>正常上班或加班数量都输入此单元格</t>
        </r>
      </text>
    </comment>
    <comment ref="AR6" authorId="1" shapeId="0" xr:uid="{00000000-0006-0000-0000-000049000000}">
      <text>
        <r>
          <rPr>
            <sz val="9"/>
            <rFont val="宋体"/>
            <charset val="134"/>
          </rPr>
          <t>正常上班或加班数量都输入此单元格</t>
        </r>
      </text>
    </comment>
    <comment ref="AV6" authorId="1" shapeId="0" xr:uid="{00000000-0006-0000-0000-00004A000000}">
      <text>
        <r>
          <rPr>
            <sz val="9"/>
            <rFont val="宋体"/>
            <charset val="134"/>
          </rPr>
          <t>正常上班或加班数量都输入此单元格</t>
        </r>
      </text>
    </comment>
    <comment ref="AZ6" authorId="1" shapeId="0" xr:uid="{00000000-0006-0000-0000-00004B000000}">
      <text>
        <r>
          <rPr>
            <sz val="9"/>
            <rFont val="宋体"/>
            <charset val="134"/>
          </rPr>
          <t>正常上班或加班数量都输入此单元格</t>
        </r>
      </text>
    </comment>
    <comment ref="BD6" authorId="1" shapeId="0" xr:uid="{00000000-0006-0000-0000-00004C000000}">
      <text>
        <r>
          <rPr>
            <sz val="9"/>
            <rFont val="宋体"/>
            <charset val="134"/>
          </rPr>
          <t>正常上班或加班数量都输入此单元格</t>
        </r>
      </text>
    </comment>
    <comment ref="BH6" authorId="1" shapeId="0" xr:uid="{00000000-0006-0000-0000-00004D000000}">
      <text>
        <r>
          <rPr>
            <sz val="9"/>
            <rFont val="宋体"/>
            <charset val="134"/>
          </rPr>
          <t>正常上班或加班数量都输入此单元格</t>
        </r>
      </text>
    </comment>
    <comment ref="BL6" authorId="1" shapeId="0" xr:uid="{00000000-0006-0000-0000-00004E000000}">
      <text>
        <r>
          <rPr>
            <sz val="9"/>
            <rFont val="宋体"/>
            <charset val="134"/>
          </rPr>
          <t>正常上班或加班数量都输入此单元格</t>
        </r>
      </text>
    </comment>
    <comment ref="BP6" authorId="1" shapeId="0" xr:uid="{00000000-0006-0000-0000-00004F000000}">
      <text>
        <r>
          <rPr>
            <sz val="9"/>
            <rFont val="宋体"/>
            <charset val="134"/>
          </rPr>
          <t>正常上班或加班数量都输入此单元格</t>
        </r>
      </text>
    </comment>
    <comment ref="BT6" authorId="1" shapeId="0" xr:uid="{00000000-0006-0000-0000-000050000000}">
      <text>
        <r>
          <rPr>
            <sz val="9"/>
            <rFont val="宋体"/>
            <charset val="134"/>
          </rPr>
          <t>正常上班或加班数量都输入此单元格</t>
        </r>
      </text>
    </comment>
    <comment ref="BX6" authorId="1" shapeId="0" xr:uid="{00000000-0006-0000-0000-000051000000}">
      <text>
        <r>
          <rPr>
            <sz val="9"/>
            <rFont val="宋体"/>
            <charset val="134"/>
          </rPr>
          <t>正常上班或加班数量都输入此单元格</t>
        </r>
      </text>
    </comment>
    <comment ref="CB6" authorId="1" shapeId="0" xr:uid="{00000000-0006-0000-0000-000052000000}">
      <text>
        <r>
          <rPr>
            <sz val="9"/>
            <rFont val="宋体"/>
            <charset val="134"/>
          </rPr>
          <t>正常上班或加班数量都输入此单元格</t>
        </r>
      </text>
    </comment>
    <comment ref="CF6" authorId="1" shapeId="0" xr:uid="{00000000-0006-0000-0000-000053000000}">
      <text>
        <r>
          <rPr>
            <sz val="9"/>
            <rFont val="宋体"/>
            <charset val="134"/>
          </rPr>
          <t>正常上班或加班数量都输入此单元格</t>
        </r>
      </text>
    </comment>
    <comment ref="CJ6" authorId="1" shapeId="0" xr:uid="{00000000-0006-0000-0000-000054000000}">
      <text>
        <r>
          <rPr>
            <sz val="9"/>
            <rFont val="宋体"/>
            <charset val="134"/>
          </rPr>
          <t>正常上班或加班数量都输入此单元格</t>
        </r>
      </text>
    </comment>
    <comment ref="CN6" authorId="1" shapeId="0" xr:uid="{00000000-0006-0000-0000-000055000000}">
      <text>
        <r>
          <rPr>
            <sz val="9"/>
            <rFont val="宋体"/>
            <charset val="134"/>
          </rPr>
          <t>正常上班或加班数量都输入此单元格</t>
        </r>
      </text>
    </comment>
    <comment ref="CR6" authorId="1" shapeId="0" xr:uid="{00000000-0006-0000-0000-000056000000}">
      <text>
        <r>
          <rPr>
            <sz val="9"/>
            <rFont val="宋体"/>
            <charset val="134"/>
          </rPr>
          <t>正常上班或加班数量都输入此单元格</t>
        </r>
      </text>
    </comment>
    <comment ref="CV6" authorId="1" shapeId="0" xr:uid="{00000000-0006-0000-0000-000057000000}">
      <text>
        <r>
          <rPr>
            <sz val="9"/>
            <rFont val="宋体"/>
            <charset val="134"/>
          </rPr>
          <t>正常上班或加班数量都输入此单元格</t>
        </r>
      </text>
    </comment>
    <comment ref="CZ6" authorId="1" shapeId="0" xr:uid="{00000000-0006-0000-0000-000058000000}">
      <text>
        <r>
          <rPr>
            <sz val="9"/>
            <rFont val="宋体"/>
            <charset val="134"/>
          </rPr>
          <t>正常上班或加班数量都输入此单元格</t>
        </r>
      </text>
    </comment>
    <comment ref="DD6" authorId="1" shapeId="0" xr:uid="{00000000-0006-0000-0000-000059000000}">
      <text>
        <r>
          <rPr>
            <sz val="9"/>
            <rFont val="宋体"/>
            <charset val="134"/>
          </rPr>
          <t>正常上班或加班数量都输入此单元格</t>
        </r>
      </text>
    </comment>
    <comment ref="DH6" authorId="1" shapeId="0" xr:uid="{00000000-0006-0000-0000-00005A000000}">
      <text>
        <r>
          <rPr>
            <sz val="9"/>
            <rFont val="宋体"/>
            <charset val="134"/>
          </rPr>
          <t>正常上班或加班数量都输入此单元格</t>
        </r>
      </text>
    </comment>
    <comment ref="DL6" authorId="1" shapeId="0" xr:uid="{00000000-0006-0000-0000-00005B000000}">
      <text>
        <r>
          <rPr>
            <sz val="9"/>
            <rFont val="宋体"/>
            <charset val="134"/>
          </rPr>
          <t>正常上班或加班数量都输入此单元格</t>
        </r>
      </text>
    </comment>
    <comment ref="DP6" authorId="1" shapeId="0" xr:uid="{00000000-0006-0000-0000-00005C000000}">
      <text>
        <r>
          <rPr>
            <sz val="9"/>
            <rFont val="宋体"/>
            <charset val="134"/>
          </rPr>
          <t>正常上班或加班数量都输入此单元格</t>
        </r>
      </text>
    </comment>
    <comment ref="DT6" authorId="1" shapeId="0" xr:uid="{00000000-0006-0000-0000-00005D000000}">
      <text>
        <r>
          <rPr>
            <sz val="9"/>
            <rFont val="宋体"/>
            <charset val="134"/>
          </rPr>
          <t>正常上班或加班数量都输入此单元格</t>
        </r>
      </text>
    </comment>
    <comment ref="D7" authorId="1" shapeId="0" xr:uid="{00000000-0006-0000-0000-00005E000000}">
      <text>
        <r>
          <rPr>
            <sz val="9"/>
            <rFont val="宋体"/>
            <charset val="134"/>
          </rPr>
          <t xml:space="preserve">正常上班或加班数量都输入此单元格
</t>
        </r>
      </text>
    </comment>
    <comment ref="H7" authorId="1" shapeId="0" xr:uid="{00000000-0006-0000-0000-00005F000000}">
      <text>
        <r>
          <rPr>
            <sz val="9"/>
            <rFont val="宋体"/>
            <charset val="134"/>
          </rPr>
          <t xml:space="preserve">正常上班或加班数量都输入此单元格
</t>
        </r>
      </text>
    </comment>
    <comment ref="L7" authorId="1" shapeId="0" xr:uid="{00000000-0006-0000-0000-000060000000}">
      <text>
        <r>
          <rPr>
            <sz val="9"/>
            <rFont val="宋体"/>
            <charset val="134"/>
          </rPr>
          <t xml:space="preserve">正常上班或加班数量都输入此单元格
</t>
        </r>
      </text>
    </comment>
    <comment ref="P7" authorId="1" shapeId="0" xr:uid="{00000000-0006-0000-0000-000061000000}">
      <text>
        <r>
          <rPr>
            <sz val="9"/>
            <rFont val="宋体"/>
            <charset val="134"/>
          </rPr>
          <t xml:space="preserve">正常上班或加班数量都输入此单元格
</t>
        </r>
      </text>
    </comment>
    <comment ref="T7" authorId="1" shapeId="0" xr:uid="{00000000-0006-0000-0000-000062000000}">
      <text>
        <r>
          <rPr>
            <sz val="9"/>
            <rFont val="宋体"/>
            <charset val="134"/>
          </rPr>
          <t xml:space="preserve">正常上班或加班数量都输入此单元格
</t>
        </r>
      </text>
    </comment>
    <comment ref="X7" authorId="1" shapeId="0" xr:uid="{00000000-0006-0000-0000-000063000000}">
      <text>
        <r>
          <rPr>
            <sz val="9"/>
            <rFont val="宋体"/>
            <charset val="134"/>
          </rPr>
          <t xml:space="preserve">正常上班或加班数量都输入此单元格
</t>
        </r>
      </text>
    </comment>
    <comment ref="AB7" authorId="1" shapeId="0" xr:uid="{00000000-0006-0000-0000-000064000000}">
      <text>
        <r>
          <rPr>
            <sz val="9"/>
            <rFont val="宋体"/>
            <charset val="134"/>
          </rPr>
          <t xml:space="preserve">正常上班或加班数量都输入此单元格
</t>
        </r>
      </text>
    </comment>
    <comment ref="AF7" authorId="1" shapeId="0" xr:uid="{00000000-0006-0000-0000-000065000000}">
      <text>
        <r>
          <rPr>
            <sz val="9"/>
            <rFont val="宋体"/>
            <charset val="134"/>
          </rPr>
          <t xml:space="preserve">正常上班或加班数量都输入此单元格
</t>
        </r>
      </text>
    </comment>
    <comment ref="AJ7" authorId="1" shapeId="0" xr:uid="{00000000-0006-0000-0000-000066000000}">
      <text>
        <r>
          <rPr>
            <sz val="9"/>
            <rFont val="宋体"/>
            <charset val="134"/>
          </rPr>
          <t xml:space="preserve">正常上班或加班数量都输入此单元格
</t>
        </r>
      </text>
    </comment>
    <comment ref="AN7" authorId="1" shapeId="0" xr:uid="{00000000-0006-0000-0000-000067000000}">
      <text>
        <r>
          <rPr>
            <sz val="9"/>
            <rFont val="宋体"/>
            <charset val="134"/>
          </rPr>
          <t xml:space="preserve">正常上班或加班数量都输入此单元格
</t>
        </r>
      </text>
    </comment>
    <comment ref="AR7" authorId="1" shapeId="0" xr:uid="{00000000-0006-0000-0000-000068000000}">
      <text>
        <r>
          <rPr>
            <sz val="9"/>
            <rFont val="宋体"/>
            <charset val="134"/>
          </rPr>
          <t xml:space="preserve">正常上班或加班数量都输入此单元格
</t>
        </r>
      </text>
    </comment>
    <comment ref="AV7" authorId="1" shapeId="0" xr:uid="{00000000-0006-0000-0000-000069000000}">
      <text>
        <r>
          <rPr>
            <sz val="9"/>
            <rFont val="宋体"/>
            <charset val="134"/>
          </rPr>
          <t xml:space="preserve">正常上班或加班数量都输入此单元格
</t>
        </r>
      </text>
    </comment>
    <comment ref="AZ7" authorId="1" shapeId="0" xr:uid="{00000000-0006-0000-0000-00006A000000}">
      <text>
        <r>
          <rPr>
            <sz val="9"/>
            <rFont val="宋体"/>
            <charset val="134"/>
          </rPr>
          <t xml:space="preserve">正常上班或加班数量都输入此单元格
</t>
        </r>
      </text>
    </comment>
    <comment ref="BD7" authorId="1" shapeId="0" xr:uid="{00000000-0006-0000-0000-00006B000000}">
      <text>
        <r>
          <rPr>
            <sz val="9"/>
            <rFont val="宋体"/>
            <charset val="134"/>
          </rPr>
          <t xml:space="preserve">正常上班或加班数量都输入此单元格
</t>
        </r>
      </text>
    </comment>
    <comment ref="BH7" authorId="1" shapeId="0" xr:uid="{00000000-0006-0000-0000-00006C000000}">
      <text>
        <r>
          <rPr>
            <sz val="9"/>
            <rFont val="宋体"/>
            <charset val="134"/>
          </rPr>
          <t xml:space="preserve">正常上班或加班数量都输入此单元格
</t>
        </r>
      </text>
    </comment>
    <comment ref="BL7" authorId="1" shapeId="0" xr:uid="{00000000-0006-0000-0000-00006D000000}">
      <text>
        <r>
          <rPr>
            <sz val="9"/>
            <rFont val="宋体"/>
            <charset val="134"/>
          </rPr>
          <t xml:space="preserve">正常上班或加班数量都输入此单元格
</t>
        </r>
      </text>
    </comment>
    <comment ref="BP7" authorId="1" shapeId="0" xr:uid="{00000000-0006-0000-0000-00006E000000}">
      <text>
        <r>
          <rPr>
            <sz val="9"/>
            <rFont val="宋体"/>
            <charset val="134"/>
          </rPr>
          <t xml:space="preserve">正常上班或加班数量都输入此单元格
</t>
        </r>
      </text>
    </comment>
    <comment ref="BT7" authorId="1" shapeId="0" xr:uid="{00000000-0006-0000-0000-00006F000000}">
      <text>
        <r>
          <rPr>
            <sz val="9"/>
            <rFont val="宋体"/>
            <charset val="134"/>
          </rPr>
          <t xml:space="preserve">正常上班或加班数量都输入此单元格
</t>
        </r>
      </text>
    </comment>
    <comment ref="BX7" authorId="1" shapeId="0" xr:uid="{00000000-0006-0000-0000-000070000000}">
      <text>
        <r>
          <rPr>
            <sz val="9"/>
            <rFont val="宋体"/>
            <charset val="134"/>
          </rPr>
          <t xml:space="preserve">正常上班或加班数量都输入此单元格
</t>
        </r>
      </text>
    </comment>
    <comment ref="CB7" authorId="1" shapeId="0" xr:uid="{00000000-0006-0000-0000-000071000000}">
      <text>
        <r>
          <rPr>
            <sz val="9"/>
            <rFont val="宋体"/>
            <charset val="134"/>
          </rPr>
          <t xml:space="preserve">正常上班或加班数量都输入此单元格
</t>
        </r>
      </text>
    </comment>
    <comment ref="CF7" authorId="1" shapeId="0" xr:uid="{00000000-0006-0000-0000-000072000000}">
      <text>
        <r>
          <rPr>
            <sz val="9"/>
            <rFont val="宋体"/>
            <charset val="134"/>
          </rPr>
          <t xml:space="preserve">正常上班或加班数量都输入此单元格
</t>
        </r>
      </text>
    </comment>
    <comment ref="CJ7" authorId="1" shapeId="0" xr:uid="{00000000-0006-0000-0000-000073000000}">
      <text>
        <r>
          <rPr>
            <sz val="9"/>
            <rFont val="宋体"/>
            <charset val="134"/>
          </rPr>
          <t xml:space="preserve">正常上班或加班数量都输入此单元格
</t>
        </r>
      </text>
    </comment>
    <comment ref="CN7" authorId="1" shapeId="0" xr:uid="{00000000-0006-0000-0000-000074000000}">
      <text>
        <r>
          <rPr>
            <sz val="9"/>
            <rFont val="宋体"/>
            <charset val="134"/>
          </rPr>
          <t xml:space="preserve">正常上班或加班数量都输入此单元格
</t>
        </r>
      </text>
    </comment>
    <comment ref="CR7" authorId="1" shapeId="0" xr:uid="{00000000-0006-0000-0000-000075000000}">
      <text>
        <r>
          <rPr>
            <sz val="9"/>
            <rFont val="宋体"/>
            <charset val="134"/>
          </rPr>
          <t xml:space="preserve">正常上班或加班数量都输入此单元格
</t>
        </r>
      </text>
    </comment>
    <comment ref="CV7" authorId="1" shapeId="0" xr:uid="{00000000-0006-0000-0000-000076000000}">
      <text>
        <r>
          <rPr>
            <sz val="9"/>
            <rFont val="宋体"/>
            <charset val="134"/>
          </rPr>
          <t xml:space="preserve">正常上班或加班数量都输入此单元格
</t>
        </r>
      </text>
    </comment>
    <comment ref="CZ7" authorId="1" shapeId="0" xr:uid="{00000000-0006-0000-0000-000077000000}">
      <text>
        <r>
          <rPr>
            <sz val="9"/>
            <rFont val="宋体"/>
            <charset val="134"/>
          </rPr>
          <t xml:space="preserve">正常上班或加班数量都输入此单元格
</t>
        </r>
      </text>
    </comment>
    <comment ref="DD7" authorId="1" shapeId="0" xr:uid="{00000000-0006-0000-0000-000078000000}">
      <text>
        <r>
          <rPr>
            <sz val="9"/>
            <rFont val="宋体"/>
            <charset val="134"/>
          </rPr>
          <t xml:space="preserve">正常上班或加班数量都输入此单元格
</t>
        </r>
      </text>
    </comment>
    <comment ref="DH7" authorId="1" shapeId="0" xr:uid="{00000000-0006-0000-0000-000079000000}">
      <text>
        <r>
          <rPr>
            <sz val="9"/>
            <rFont val="宋体"/>
            <charset val="134"/>
          </rPr>
          <t xml:space="preserve">正常上班或加班数量都输入此单元格
</t>
        </r>
      </text>
    </comment>
    <comment ref="DL7" authorId="1" shapeId="0" xr:uid="{00000000-0006-0000-0000-00007A000000}">
      <text>
        <r>
          <rPr>
            <sz val="9"/>
            <rFont val="宋体"/>
            <charset val="134"/>
          </rPr>
          <t xml:space="preserve">正常上班或加班数量都输入此单元格
</t>
        </r>
      </text>
    </comment>
    <comment ref="DP7" authorId="1" shapeId="0" xr:uid="{00000000-0006-0000-0000-00007B000000}">
      <text>
        <r>
          <rPr>
            <sz val="9"/>
            <rFont val="宋体"/>
            <charset val="134"/>
          </rPr>
          <t xml:space="preserve">正常上班或加班数量都输入此单元格
</t>
        </r>
      </text>
    </comment>
    <comment ref="DT7" authorId="1" shapeId="0" xr:uid="{00000000-0006-0000-0000-00007C000000}">
      <text>
        <r>
          <rPr>
            <sz val="9"/>
            <rFont val="宋体"/>
            <charset val="134"/>
          </rPr>
          <t xml:space="preserve">正常上班或加班数量都输入此单元格
</t>
        </r>
      </text>
    </comment>
    <comment ref="D8" authorId="1" shapeId="0" xr:uid="{00000000-0006-0000-0000-00007D000000}">
      <text>
        <r>
          <rPr>
            <sz val="9"/>
            <rFont val="宋体"/>
            <charset val="134"/>
          </rPr>
          <t xml:space="preserve">输入加班数量
</t>
        </r>
      </text>
    </comment>
    <comment ref="H8" authorId="1" shapeId="0" xr:uid="{00000000-0006-0000-0000-00007E000000}">
      <text>
        <r>
          <rPr>
            <sz val="9"/>
            <rFont val="宋体"/>
            <charset val="134"/>
          </rPr>
          <t xml:space="preserve">输入加班数量
</t>
        </r>
      </text>
    </comment>
    <comment ref="L8" authorId="1" shapeId="0" xr:uid="{00000000-0006-0000-0000-00007F000000}">
      <text>
        <r>
          <rPr>
            <sz val="9"/>
            <rFont val="宋体"/>
            <charset val="134"/>
          </rPr>
          <t xml:space="preserve">输入加班数量
</t>
        </r>
      </text>
    </comment>
    <comment ref="P8" authorId="1" shapeId="0" xr:uid="{00000000-0006-0000-0000-000080000000}">
      <text>
        <r>
          <rPr>
            <sz val="9"/>
            <rFont val="宋体"/>
            <charset val="134"/>
          </rPr>
          <t xml:space="preserve">输入加班数量
</t>
        </r>
      </text>
    </comment>
    <comment ref="T8" authorId="1" shapeId="0" xr:uid="{00000000-0006-0000-0000-000081000000}">
      <text>
        <r>
          <rPr>
            <sz val="9"/>
            <rFont val="宋体"/>
            <charset val="134"/>
          </rPr>
          <t xml:space="preserve">输入加班数量
</t>
        </r>
      </text>
    </comment>
    <comment ref="X8" authorId="1" shapeId="0" xr:uid="{00000000-0006-0000-0000-000082000000}">
      <text>
        <r>
          <rPr>
            <sz val="9"/>
            <rFont val="宋体"/>
            <charset val="134"/>
          </rPr>
          <t xml:space="preserve">输入加班数量
</t>
        </r>
      </text>
    </comment>
    <comment ref="AB8" authorId="1" shapeId="0" xr:uid="{00000000-0006-0000-0000-000083000000}">
      <text>
        <r>
          <rPr>
            <sz val="9"/>
            <rFont val="宋体"/>
            <charset val="134"/>
          </rPr>
          <t xml:space="preserve">输入加班数量
</t>
        </r>
      </text>
    </comment>
    <comment ref="AF8" authorId="1" shapeId="0" xr:uid="{00000000-0006-0000-0000-000084000000}">
      <text>
        <r>
          <rPr>
            <sz val="9"/>
            <rFont val="宋体"/>
            <charset val="134"/>
          </rPr>
          <t xml:space="preserve">输入加班数量
</t>
        </r>
      </text>
    </comment>
    <comment ref="AJ8" authorId="1" shapeId="0" xr:uid="{00000000-0006-0000-0000-000085000000}">
      <text>
        <r>
          <rPr>
            <sz val="9"/>
            <rFont val="宋体"/>
            <charset val="134"/>
          </rPr>
          <t xml:space="preserve">输入加班数量
</t>
        </r>
      </text>
    </comment>
    <comment ref="AN8" authorId="1" shapeId="0" xr:uid="{00000000-0006-0000-0000-000086000000}">
      <text>
        <r>
          <rPr>
            <sz val="9"/>
            <rFont val="宋体"/>
            <charset val="134"/>
          </rPr>
          <t xml:space="preserve">输入加班数量
</t>
        </r>
      </text>
    </comment>
    <comment ref="AR8" authorId="1" shapeId="0" xr:uid="{00000000-0006-0000-0000-000087000000}">
      <text>
        <r>
          <rPr>
            <sz val="9"/>
            <rFont val="宋体"/>
            <charset val="134"/>
          </rPr>
          <t xml:space="preserve">输入加班数量
</t>
        </r>
      </text>
    </comment>
    <comment ref="AV8" authorId="1" shapeId="0" xr:uid="{00000000-0006-0000-0000-000088000000}">
      <text>
        <r>
          <rPr>
            <sz val="9"/>
            <rFont val="宋体"/>
            <charset val="134"/>
          </rPr>
          <t xml:space="preserve">输入加班数量
</t>
        </r>
      </text>
    </comment>
    <comment ref="AZ8" authorId="1" shapeId="0" xr:uid="{00000000-0006-0000-0000-000089000000}">
      <text>
        <r>
          <rPr>
            <sz val="9"/>
            <rFont val="宋体"/>
            <charset val="134"/>
          </rPr>
          <t xml:space="preserve">输入加班数量
</t>
        </r>
      </text>
    </comment>
    <comment ref="BD8" authorId="1" shapeId="0" xr:uid="{00000000-0006-0000-0000-00008A000000}">
      <text>
        <r>
          <rPr>
            <sz val="9"/>
            <rFont val="宋体"/>
            <charset val="134"/>
          </rPr>
          <t xml:space="preserve">输入加班数量
</t>
        </r>
      </text>
    </comment>
    <comment ref="BH8" authorId="1" shapeId="0" xr:uid="{00000000-0006-0000-0000-00008B000000}">
      <text>
        <r>
          <rPr>
            <sz val="9"/>
            <rFont val="宋体"/>
            <charset val="134"/>
          </rPr>
          <t xml:space="preserve">输入加班数量
</t>
        </r>
      </text>
    </comment>
    <comment ref="BL8" authorId="1" shapeId="0" xr:uid="{00000000-0006-0000-0000-00008C000000}">
      <text>
        <r>
          <rPr>
            <sz val="9"/>
            <rFont val="宋体"/>
            <charset val="134"/>
          </rPr>
          <t xml:space="preserve">输入加班数量
</t>
        </r>
      </text>
    </comment>
    <comment ref="BP8" authorId="1" shapeId="0" xr:uid="{00000000-0006-0000-0000-00008D000000}">
      <text>
        <r>
          <rPr>
            <sz val="9"/>
            <rFont val="宋体"/>
            <charset val="134"/>
          </rPr>
          <t xml:space="preserve">输入加班数量
</t>
        </r>
      </text>
    </comment>
    <comment ref="BT8" authorId="1" shapeId="0" xr:uid="{00000000-0006-0000-0000-00008E000000}">
      <text>
        <r>
          <rPr>
            <sz val="9"/>
            <rFont val="宋体"/>
            <charset val="134"/>
          </rPr>
          <t xml:space="preserve">输入加班数量
</t>
        </r>
      </text>
    </comment>
    <comment ref="BX8" authorId="1" shapeId="0" xr:uid="{00000000-0006-0000-0000-00008F000000}">
      <text>
        <r>
          <rPr>
            <sz val="9"/>
            <rFont val="宋体"/>
            <charset val="134"/>
          </rPr>
          <t xml:space="preserve">输入加班数量
</t>
        </r>
      </text>
    </comment>
    <comment ref="CB8" authorId="1" shapeId="0" xr:uid="{00000000-0006-0000-0000-000090000000}">
      <text>
        <r>
          <rPr>
            <sz val="9"/>
            <rFont val="宋体"/>
            <charset val="134"/>
          </rPr>
          <t xml:space="preserve">输入加班数量
</t>
        </r>
      </text>
    </comment>
    <comment ref="CF8" authorId="1" shapeId="0" xr:uid="{00000000-0006-0000-0000-000091000000}">
      <text>
        <r>
          <rPr>
            <sz val="9"/>
            <rFont val="宋体"/>
            <charset val="134"/>
          </rPr>
          <t xml:space="preserve">输入加班数量
</t>
        </r>
      </text>
    </comment>
    <comment ref="CJ8" authorId="1" shapeId="0" xr:uid="{00000000-0006-0000-0000-000092000000}">
      <text>
        <r>
          <rPr>
            <sz val="9"/>
            <rFont val="宋体"/>
            <charset val="134"/>
          </rPr>
          <t xml:space="preserve">输入加班数量
</t>
        </r>
      </text>
    </comment>
    <comment ref="CN8" authorId="1" shapeId="0" xr:uid="{00000000-0006-0000-0000-000093000000}">
      <text>
        <r>
          <rPr>
            <sz val="9"/>
            <rFont val="宋体"/>
            <charset val="134"/>
          </rPr>
          <t xml:space="preserve">输入加班数量
</t>
        </r>
      </text>
    </comment>
    <comment ref="CR8" authorId="1" shapeId="0" xr:uid="{00000000-0006-0000-0000-000094000000}">
      <text>
        <r>
          <rPr>
            <sz val="9"/>
            <rFont val="宋体"/>
            <charset val="134"/>
          </rPr>
          <t xml:space="preserve">输入加班数量
</t>
        </r>
      </text>
    </comment>
    <comment ref="CV8" authorId="1" shapeId="0" xr:uid="{00000000-0006-0000-0000-000095000000}">
      <text>
        <r>
          <rPr>
            <sz val="9"/>
            <rFont val="宋体"/>
            <charset val="134"/>
          </rPr>
          <t xml:space="preserve">输入加班数量
</t>
        </r>
      </text>
    </comment>
    <comment ref="CZ8" authorId="1" shapeId="0" xr:uid="{00000000-0006-0000-0000-000096000000}">
      <text>
        <r>
          <rPr>
            <sz val="9"/>
            <rFont val="宋体"/>
            <charset val="134"/>
          </rPr>
          <t xml:space="preserve">输入加班数量
</t>
        </r>
      </text>
    </comment>
    <comment ref="DD8" authorId="1" shapeId="0" xr:uid="{00000000-0006-0000-0000-000097000000}">
      <text>
        <r>
          <rPr>
            <sz val="9"/>
            <rFont val="宋体"/>
            <charset val="134"/>
          </rPr>
          <t xml:space="preserve">输入加班数量
</t>
        </r>
      </text>
    </comment>
    <comment ref="DH8" authorId="1" shapeId="0" xr:uid="{00000000-0006-0000-0000-000098000000}">
      <text>
        <r>
          <rPr>
            <sz val="9"/>
            <rFont val="宋体"/>
            <charset val="134"/>
          </rPr>
          <t xml:space="preserve">输入加班数量
</t>
        </r>
      </text>
    </comment>
    <comment ref="DL8" authorId="1" shapeId="0" xr:uid="{00000000-0006-0000-0000-000099000000}">
      <text>
        <r>
          <rPr>
            <sz val="9"/>
            <rFont val="宋体"/>
            <charset val="134"/>
          </rPr>
          <t xml:space="preserve">输入加班数量
</t>
        </r>
      </text>
    </comment>
    <comment ref="DP8" authorId="1" shapeId="0" xr:uid="{00000000-0006-0000-0000-00009A000000}">
      <text>
        <r>
          <rPr>
            <sz val="9"/>
            <rFont val="宋体"/>
            <charset val="134"/>
          </rPr>
          <t xml:space="preserve">输入加班数量
</t>
        </r>
      </text>
    </comment>
    <comment ref="DT8" authorId="1" shapeId="0" xr:uid="{00000000-0006-0000-0000-00009B000000}">
      <text>
        <r>
          <rPr>
            <sz val="9"/>
            <rFont val="宋体"/>
            <charset val="134"/>
          </rPr>
          <t xml:space="preserve">输入加班数量
</t>
        </r>
      </text>
    </comment>
    <comment ref="D9" authorId="1" shapeId="0" xr:uid="{00000000-0006-0000-0000-00009C000000}">
      <text>
        <r>
          <rPr>
            <sz val="9"/>
            <rFont val="宋体"/>
            <charset val="134"/>
          </rPr>
          <t xml:space="preserve">输入正常数量
</t>
        </r>
      </text>
    </comment>
    <comment ref="H9" authorId="1" shapeId="0" xr:uid="{00000000-0006-0000-0000-00009D000000}">
      <text>
        <r>
          <rPr>
            <sz val="9"/>
            <rFont val="宋体"/>
            <charset val="134"/>
          </rPr>
          <t xml:space="preserve">输入正常数量
</t>
        </r>
      </text>
    </comment>
    <comment ref="L9" authorId="1" shapeId="0" xr:uid="{00000000-0006-0000-0000-00009E000000}">
      <text>
        <r>
          <rPr>
            <sz val="9"/>
            <rFont val="宋体"/>
            <charset val="134"/>
          </rPr>
          <t xml:space="preserve">输入正常数量
</t>
        </r>
      </text>
    </comment>
    <comment ref="P9" authorId="1" shapeId="0" xr:uid="{00000000-0006-0000-0000-00009F000000}">
      <text>
        <r>
          <rPr>
            <sz val="9"/>
            <rFont val="宋体"/>
            <charset val="134"/>
          </rPr>
          <t xml:space="preserve">输入正常数量
</t>
        </r>
      </text>
    </comment>
    <comment ref="T9" authorId="1" shapeId="0" xr:uid="{00000000-0006-0000-0000-0000A0000000}">
      <text>
        <r>
          <rPr>
            <sz val="9"/>
            <rFont val="宋体"/>
            <charset val="134"/>
          </rPr>
          <t xml:space="preserve">输入正常数量
</t>
        </r>
      </text>
    </comment>
    <comment ref="X9" authorId="1" shapeId="0" xr:uid="{00000000-0006-0000-0000-0000A1000000}">
      <text>
        <r>
          <rPr>
            <sz val="9"/>
            <rFont val="宋体"/>
            <charset val="134"/>
          </rPr>
          <t xml:space="preserve">输入正常数量
</t>
        </r>
      </text>
    </comment>
    <comment ref="AB9" authorId="1" shapeId="0" xr:uid="{00000000-0006-0000-0000-0000A2000000}">
      <text>
        <r>
          <rPr>
            <sz val="9"/>
            <rFont val="宋体"/>
            <charset val="134"/>
          </rPr>
          <t xml:space="preserve">输入正常数量
</t>
        </r>
      </text>
    </comment>
    <comment ref="AF9" authorId="1" shapeId="0" xr:uid="{00000000-0006-0000-0000-0000A3000000}">
      <text>
        <r>
          <rPr>
            <sz val="9"/>
            <rFont val="宋体"/>
            <charset val="134"/>
          </rPr>
          <t xml:space="preserve">输入正常数量
</t>
        </r>
      </text>
    </comment>
    <comment ref="AJ9" authorId="1" shapeId="0" xr:uid="{00000000-0006-0000-0000-0000A4000000}">
      <text>
        <r>
          <rPr>
            <sz val="9"/>
            <rFont val="宋体"/>
            <charset val="134"/>
          </rPr>
          <t xml:space="preserve">输入正常数量
</t>
        </r>
      </text>
    </comment>
    <comment ref="AN9" authorId="1" shapeId="0" xr:uid="{00000000-0006-0000-0000-0000A5000000}">
      <text>
        <r>
          <rPr>
            <sz val="9"/>
            <rFont val="宋体"/>
            <charset val="134"/>
          </rPr>
          <t xml:space="preserve">输入正常数量
</t>
        </r>
      </text>
    </comment>
    <comment ref="AR9" authorId="1" shapeId="0" xr:uid="{00000000-0006-0000-0000-0000A6000000}">
      <text>
        <r>
          <rPr>
            <sz val="9"/>
            <rFont val="宋体"/>
            <charset val="134"/>
          </rPr>
          <t xml:space="preserve">输入正常数量
</t>
        </r>
      </text>
    </comment>
    <comment ref="AV9" authorId="1" shapeId="0" xr:uid="{00000000-0006-0000-0000-0000A7000000}">
      <text>
        <r>
          <rPr>
            <sz val="9"/>
            <rFont val="宋体"/>
            <charset val="134"/>
          </rPr>
          <t xml:space="preserve">输入正常数量
</t>
        </r>
      </text>
    </comment>
    <comment ref="AZ9" authorId="1" shapeId="0" xr:uid="{00000000-0006-0000-0000-0000A8000000}">
      <text>
        <r>
          <rPr>
            <sz val="9"/>
            <rFont val="宋体"/>
            <charset val="134"/>
          </rPr>
          <t xml:space="preserve">输入正常数量
</t>
        </r>
      </text>
    </comment>
    <comment ref="BD9" authorId="1" shapeId="0" xr:uid="{00000000-0006-0000-0000-0000A9000000}">
      <text>
        <r>
          <rPr>
            <sz val="9"/>
            <rFont val="宋体"/>
            <charset val="134"/>
          </rPr>
          <t xml:space="preserve">输入正常数量
</t>
        </r>
      </text>
    </comment>
    <comment ref="BH9" authorId="1" shapeId="0" xr:uid="{00000000-0006-0000-0000-0000AA000000}">
      <text>
        <r>
          <rPr>
            <sz val="9"/>
            <rFont val="宋体"/>
            <charset val="134"/>
          </rPr>
          <t xml:space="preserve">输入正常数量
</t>
        </r>
      </text>
    </comment>
    <comment ref="BL9" authorId="1" shapeId="0" xr:uid="{00000000-0006-0000-0000-0000AB000000}">
      <text>
        <r>
          <rPr>
            <sz val="9"/>
            <rFont val="宋体"/>
            <charset val="134"/>
          </rPr>
          <t xml:space="preserve">输入正常数量
</t>
        </r>
      </text>
    </comment>
    <comment ref="BP9" authorId="1" shapeId="0" xr:uid="{00000000-0006-0000-0000-0000AC000000}">
      <text>
        <r>
          <rPr>
            <sz val="9"/>
            <rFont val="宋体"/>
            <charset val="134"/>
          </rPr>
          <t xml:space="preserve">输入正常数量
</t>
        </r>
      </text>
    </comment>
    <comment ref="BT9" authorId="1" shapeId="0" xr:uid="{00000000-0006-0000-0000-0000AD000000}">
      <text>
        <r>
          <rPr>
            <sz val="9"/>
            <rFont val="宋体"/>
            <charset val="134"/>
          </rPr>
          <t xml:space="preserve">输入正常数量
</t>
        </r>
      </text>
    </comment>
    <comment ref="BX9" authorId="1" shapeId="0" xr:uid="{00000000-0006-0000-0000-0000AE000000}">
      <text>
        <r>
          <rPr>
            <sz val="9"/>
            <rFont val="宋体"/>
            <charset val="134"/>
          </rPr>
          <t xml:space="preserve">输入正常数量
</t>
        </r>
      </text>
    </comment>
    <comment ref="CB9" authorId="1" shapeId="0" xr:uid="{00000000-0006-0000-0000-0000AF000000}">
      <text>
        <r>
          <rPr>
            <sz val="9"/>
            <rFont val="宋体"/>
            <charset val="134"/>
          </rPr>
          <t xml:space="preserve">输入正常数量
</t>
        </r>
      </text>
    </comment>
    <comment ref="CF9" authorId="1" shapeId="0" xr:uid="{00000000-0006-0000-0000-0000B0000000}">
      <text>
        <r>
          <rPr>
            <sz val="9"/>
            <rFont val="宋体"/>
            <charset val="134"/>
          </rPr>
          <t xml:space="preserve">输入正常数量
</t>
        </r>
      </text>
    </comment>
    <comment ref="CJ9" authorId="1" shapeId="0" xr:uid="{00000000-0006-0000-0000-0000B1000000}">
      <text>
        <r>
          <rPr>
            <sz val="9"/>
            <rFont val="宋体"/>
            <charset val="134"/>
          </rPr>
          <t xml:space="preserve">输入正常数量
</t>
        </r>
      </text>
    </comment>
    <comment ref="CN9" authorId="1" shapeId="0" xr:uid="{00000000-0006-0000-0000-0000B2000000}">
      <text>
        <r>
          <rPr>
            <sz val="9"/>
            <rFont val="宋体"/>
            <charset val="134"/>
          </rPr>
          <t xml:space="preserve">输入正常数量
</t>
        </r>
      </text>
    </comment>
    <comment ref="CR9" authorId="1" shapeId="0" xr:uid="{00000000-0006-0000-0000-0000B3000000}">
      <text>
        <r>
          <rPr>
            <sz val="9"/>
            <rFont val="宋体"/>
            <charset val="134"/>
          </rPr>
          <t xml:space="preserve">输入正常数量
</t>
        </r>
      </text>
    </comment>
    <comment ref="CV9" authorId="1" shapeId="0" xr:uid="{00000000-0006-0000-0000-0000B4000000}">
      <text>
        <r>
          <rPr>
            <sz val="9"/>
            <rFont val="宋体"/>
            <charset val="134"/>
          </rPr>
          <t xml:space="preserve">输入正常数量
</t>
        </r>
      </text>
    </comment>
    <comment ref="CZ9" authorId="1" shapeId="0" xr:uid="{00000000-0006-0000-0000-0000B5000000}">
      <text>
        <r>
          <rPr>
            <sz val="9"/>
            <rFont val="宋体"/>
            <charset val="134"/>
          </rPr>
          <t xml:space="preserve">输入正常数量
</t>
        </r>
      </text>
    </comment>
    <comment ref="DD9" authorId="1" shapeId="0" xr:uid="{00000000-0006-0000-0000-0000B6000000}">
      <text>
        <r>
          <rPr>
            <sz val="9"/>
            <rFont val="宋体"/>
            <charset val="134"/>
          </rPr>
          <t xml:space="preserve">输入正常数量
</t>
        </r>
      </text>
    </comment>
    <comment ref="DH9" authorId="1" shapeId="0" xr:uid="{00000000-0006-0000-0000-0000B7000000}">
      <text>
        <r>
          <rPr>
            <sz val="9"/>
            <rFont val="宋体"/>
            <charset val="134"/>
          </rPr>
          <t xml:space="preserve">输入正常数量
</t>
        </r>
      </text>
    </comment>
    <comment ref="DL9" authorId="1" shapeId="0" xr:uid="{00000000-0006-0000-0000-0000B8000000}">
      <text>
        <r>
          <rPr>
            <sz val="9"/>
            <rFont val="宋体"/>
            <charset val="134"/>
          </rPr>
          <t xml:space="preserve">输入正常数量
</t>
        </r>
      </text>
    </comment>
    <comment ref="DP9" authorId="1" shapeId="0" xr:uid="{00000000-0006-0000-0000-0000B9000000}">
      <text>
        <r>
          <rPr>
            <sz val="9"/>
            <rFont val="宋体"/>
            <charset val="134"/>
          </rPr>
          <t xml:space="preserve">输入正常数量
</t>
        </r>
      </text>
    </comment>
    <comment ref="DT9" authorId="1" shapeId="0" xr:uid="{00000000-0006-0000-0000-0000BA000000}">
      <text>
        <r>
          <rPr>
            <sz val="9"/>
            <rFont val="宋体"/>
            <charset val="134"/>
          </rPr>
          <t xml:space="preserve">输入正常数量
</t>
        </r>
      </text>
    </comment>
  </commentList>
</comments>
</file>

<file path=xl/sharedStrings.xml><?xml version="1.0" encoding="utf-8"?>
<sst xmlns="http://schemas.openxmlformats.org/spreadsheetml/2006/main" count="178" uniqueCount="52">
  <si>
    <t>1号</t>
  </si>
  <si>
    <t>2号</t>
  </si>
  <si>
    <t>3号</t>
  </si>
  <si>
    <t>4号</t>
  </si>
  <si>
    <t>5号</t>
  </si>
  <si>
    <t>6号</t>
  </si>
  <si>
    <t>7号</t>
  </si>
  <si>
    <t>8号</t>
  </si>
  <si>
    <t>9号</t>
  </si>
  <si>
    <t>10号</t>
  </si>
  <si>
    <t>11号</t>
  </si>
  <si>
    <t>12号</t>
  </si>
  <si>
    <t>13号</t>
  </si>
  <si>
    <t>14号</t>
  </si>
  <si>
    <t>15号</t>
  </si>
  <si>
    <t>16号</t>
  </si>
  <si>
    <t>17号</t>
  </si>
  <si>
    <t>18号</t>
  </si>
  <si>
    <t>19号</t>
  </si>
  <si>
    <t>20号</t>
  </si>
  <si>
    <t>21号</t>
  </si>
  <si>
    <t>22号</t>
  </si>
  <si>
    <t>23号</t>
  </si>
  <si>
    <t>24号</t>
  </si>
  <si>
    <t>25号</t>
  </si>
  <si>
    <t>26号</t>
  </si>
  <si>
    <t>27号</t>
  </si>
  <si>
    <t>28号</t>
  </si>
  <si>
    <t>29号</t>
  </si>
  <si>
    <t>30号</t>
  </si>
  <si>
    <t>31号</t>
  </si>
  <si>
    <t>姓名</t>
  </si>
  <si>
    <t>总提成</t>
  </si>
  <si>
    <t>组别</t>
  </si>
  <si>
    <t>数量</t>
  </si>
  <si>
    <t>个人数量</t>
  </si>
  <si>
    <t>个人提成</t>
  </si>
  <si>
    <t>事项</t>
  </si>
  <si>
    <t>A1</t>
  </si>
  <si>
    <t>A2</t>
  </si>
  <si>
    <t>休息</t>
  </si>
  <si>
    <t>A3</t>
  </si>
  <si>
    <t>加班</t>
  </si>
  <si>
    <t>D</t>
  </si>
  <si>
    <t>D组</t>
  </si>
  <si>
    <t>H</t>
  </si>
  <si>
    <t>H组</t>
  </si>
  <si>
    <t>新人</t>
  </si>
  <si>
    <t>Q1</t>
  </si>
  <si>
    <t>Q组</t>
  </si>
  <si>
    <t>Q2</t>
  </si>
  <si>
    <t>A组</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</si>
</sst>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8" x14ac:knownFonts="1">
    <font>
      <sz val="11"/>
      <color theme="1"/>
      <name val="宋体"/>
      <charset val="134"/>
      <scheme val="minor"/>
    </font>
    <font>
      <b/>
      <sz val="11"/>
      <color theme="0"/>
      <name val="宋体"/>
      <charset val="134"/>
      <scheme val="minor"/>
    </font>
    <font>
      <b/>
      <sz val="11"/>
      <name val="宋体"/>
      <charset val="134"/>
      <scheme val="minor"/>
    </font>
    <font>
      <sz val="11"/>
      <name val="宋体"/>
      <charset val="134"/>
      <scheme val="minor"/>
    </font>
    <font>
      <sz val="12"/>
      <color rgb="FF333333"/>
      <name val="Arial"/>
      <family val="2"/>
    </font>
    <font>
      <sz val="9"/>
      <name val="宋体"/>
      <charset val="134"/>
    </font>
    <font>
      <sz val="9"/>
      <name val="宋体"/>
      <family val="3"/>
      <charset val="134"/>
      <scheme val="minor"/>
    </font>
    <font>
      <sz val="11"/>
      <color theme="1"/>
      <name val="宋体"/>
      <family val="3"/>
      <charset val="134"/>
      <scheme val="minor"/>
    </font>
  </fonts>
  <fills count="8">
    <fill>
      <patternFill patternType="none"/>
    </fill>
    <fill>
      <patternFill patternType="gray125"/>
    </fill>
    <fill>
      <patternFill patternType="solid">
        <fgColor theme="4"/>
        <bgColor theme="4"/>
      </patternFill>
    </fill>
    <fill>
      <patternFill patternType="solid">
        <fgColor theme="5" tint="0.79998168889431442"/>
        <bgColor theme="4"/>
      </patternFill>
    </fill>
    <fill>
      <patternFill patternType="solid">
        <fgColor theme="6" tint="0.79998168889431442"/>
        <bgColor theme="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6" tint="0.79998168889431442"/>
        <bgColor indexed="64"/>
      </patternFill>
    </fill>
  </fills>
  <borders count="6">
    <border>
      <left/>
      <right/>
      <top/>
      <bottom/>
      <diagonal/>
    </border>
    <border>
      <left/>
      <right/>
      <top style="thin">
        <color theme="4"/>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alignment vertical="center"/>
    </xf>
  </cellStyleXfs>
  <cellXfs count="30">
    <xf numFmtId="0" fontId="0" fillId="0" borderId="0" xfId="0">
      <alignment vertical="center"/>
    </xf>
    <xf numFmtId="0" fontId="0" fillId="0" borderId="0" xfId="0" applyAlignment="1" applyProtection="1">
      <alignment horizontal="center" vertical="center"/>
      <protection hidden="1"/>
    </xf>
    <xf numFmtId="0" fontId="0" fillId="0" borderId="0" xfId="0" applyProtection="1">
      <alignment vertical="center"/>
      <protection hidden="1"/>
    </xf>
    <xf numFmtId="0" fontId="1" fillId="2" borderId="1" xfId="0" applyFont="1" applyFill="1" applyBorder="1" applyAlignment="1" applyProtection="1">
      <alignment horizontal="center" vertical="center"/>
      <protection hidden="1"/>
    </xf>
    <xf numFmtId="0" fontId="1" fillId="2" borderId="2" xfId="0" applyFont="1" applyFill="1" applyBorder="1" applyAlignment="1" applyProtection="1">
      <alignment horizontal="center" vertical="center"/>
      <protection hidden="1"/>
    </xf>
    <xf numFmtId="0" fontId="0" fillId="5" borderId="3" xfId="0" applyFont="1" applyFill="1" applyBorder="1" applyAlignment="1" applyProtection="1">
      <alignment horizontal="center" vertical="center"/>
      <protection hidden="1"/>
    </xf>
    <xf numFmtId="0" fontId="3" fillId="6" borderId="4" xfId="0" applyFont="1" applyFill="1" applyBorder="1" applyAlignment="1" applyProtection="1">
      <alignment horizontal="center" vertical="center"/>
      <protection hidden="1"/>
    </xf>
    <xf numFmtId="0" fontId="3" fillId="6" borderId="2" xfId="0" applyFont="1" applyFill="1" applyBorder="1" applyAlignment="1" applyProtection="1">
      <alignment horizontal="center" vertical="center"/>
      <protection hidden="1"/>
    </xf>
    <xf numFmtId="0" fontId="3" fillId="6" borderId="3" xfId="0" applyFont="1" applyFill="1" applyBorder="1" applyAlignment="1" applyProtection="1">
      <alignment horizontal="center" vertical="center"/>
      <protection hidden="1"/>
    </xf>
    <xf numFmtId="0" fontId="3" fillId="7" borderId="4" xfId="0" applyFont="1" applyFill="1" applyBorder="1" applyAlignment="1" applyProtection="1">
      <alignment horizontal="center" vertical="center"/>
      <protection hidden="1"/>
    </xf>
    <xf numFmtId="0" fontId="0" fillId="5" borderId="5" xfId="0" applyFont="1" applyFill="1" applyBorder="1" applyProtection="1">
      <alignment vertical="center"/>
      <protection hidden="1"/>
    </xf>
    <xf numFmtId="0" fontId="0" fillId="5" borderId="5" xfId="0" applyFont="1" applyFill="1" applyBorder="1" applyAlignment="1" applyProtection="1">
      <alignment horizontal="center" vertical="center"/>
      <protection hidden="1"/>
    </xf>
    <xf numFmtId="0" fontId="3" fillId="0" borderId="3" xfId="0" applyFont="1" applyFill="1" applyBorder="1" applyAlignment="1" applyProtection="1">
      <alignment horizontal="center" vertical="center"/>
      <protection locked="0" hidden="1"/>
    </xf>
    <xf numFmtId="176" fontId="3" fillId="6" borderId="3" xfId="0" applyNumberFormat="1" applyFont="1" applyFill="1" applyBorder="1" applyAlignment="1" applyProtection="1">
      <alignment horizontal="center" vertical="center"/>
      <protection hidden="1"/>
    </xf>
    <xf numFmtId="0" fontId="3" fillId="6" borderId="3" xfId="0" applyFont="1" applyFill="1" applyBorder="1" applyAlignment="1" applyProtection="1">
      <alignment horizontal="center" vertical="center"/>
      <protection locked="0" hidden="1"/>
    </xf>
    <xf numFmtId="0" fontId="0" fillId="5" borderId="3" xfId="0" applyFont="1" applyFill="1" applyBorder="1" applyProtection="1">
      <alignment vertical="center"/>
      <protection hidden="1"/>
    </xf>
    <xf numFmtId="0" fontId="4" fillId="0" borderId="0" xfId="0" applyFont="1" applyProtection="1">
      <alignment vertical="center"/>
      <protection hidden="1"/>
    </xf>
    <xf numFmtId="0" fontId="3" fillId="0" borderId="0" xfId="0" applyFont="1" applyProtection="1">
      <alignment vertical="center"/>
      <protection hidden="1"/>
    </xf>
    <xf numFmtId="0" fontId="3" fillId="7" borderId="2" xfId="0" applyFont="1" applyFill="1" applyBorder="1" applyAlignment="1" applyProtection="1">
      <alignment horizontal="center" vertical="center"/>
      <protection hidden="1"/>
    </xf>
    <xf numFmtId="0" fontId="3" fillId="7" borderId="3" xfId="0" applyFont="1" applyFill="1" applyBorder="1" applyAlignment="1" applyProtection="1">
      <alignment horizontal="center" vertical="center"/>
      <protection hidden="1"/>
    </xf>
    <xf numFmtId="176" fontId="3" fillId="7" borderId="3" xfId="0" applyNumberFormat="1" applyFont="1" applyFill="1" applyBorder="1" applyAlignment="1" applyProtection="1">
      <alignment horizontal="center" vertical="center"/>
      <protection hidden="1"/>
    </xf>
    <xf numFmtId="0" fontId="3" fillId="7" borderId="3" xfId="0" applyFont="1" applyFill="1" applyBorder="1" applyAlignment="1" applyProtection="1">
      <alignment horizontal="center" vertical="center"/>
      <protection locked="0" hidden="1"/>
    </xf>
    <xf numFmtId="0" fontId="3" fillId="0" borderId="2" xfId="0" applyFont="1" applyFill="1" applyBorder="1" applyAlignment="1" applyProtection="1">
      <alignment horizontal="center" vertical="center"/>
      <protection locked="0" hidden="1"/>
    </xf>
    <xf numFmtId="0" fontId="3" fillId="0" borderId="5" xfId="0" applyFont="1" applyFill="1" applyBorder="1" applyAlignment="1" applyProtection="1">
      <alignment horizontal="center" vertical="center"/>
      <protection locked="0" hidden="1"/>
    </xf>
    <xf numFmtId="0" fontId="0" fillId="0" borderId="0" xfId="0" applyAlignment="1" applyProtection="1">
      <alignment horizontal="left" vertical="center" wrapText="1"/>
      <protection hidden="1"/>
    </xf>
    <xf numFmtId="0" fontId="2" fillId="3" borderId="3" xfId="0" applyFont="1" applyFill="1" applyBorder="1" applyAlignment="1" applyProtection="1">
      <alignment horizontal="center" vertical="center"/>
      <protection hidden="1"/>
    </xf>
    <xf numFmtId="0" fontId="0" fillId="5" borderId="3" xfId="0" applyFont="1" applyFill="1" applyBorder="1" applyAlignment="1" applyProtection="1">
      <alignment horizontal="center" vertical="center"/>
      <protection hidden="1"/>
    </xf>
    <xf numFmtId="0" fontId="2" fillId="4" borderId="3" xfId="0" applyFont="1" applyFill="1" applyBorder="1" applyAlignment="1" applyProtection="1">
      <alignment horizontal="center" vertical="center"/>
      <protection hidden="1"/>
    </xf>
    <xf numFmtId="0" fontId="7" fillId="0" borderId="0" xfId="0" applyFont="1" applyAlignment="1" applyProtection="1">
      <alignment horizontal="left" vertical="center" wrapText="1"/>
      <protection hidden="1"/>
    </xf>
    <xf numFmtId="0" fontId="7" fillId="5" borderId="5" xfId="0" applyFont="1" applyFill="1" applyBorder="1" applyAlignment="1" applyProtection="1">
      <alignment horizontal="center" vertical="center"/>
      <protection hidden="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W12"/>
  <sheetViews>
    <sheetView tabSelected="1" workbookViewId="0">
      <pane xSplit="3" ySplit="2" topLeftCell="D3" activePane="bottomRight" state="frozen"/>
      <selection pane="topRight"/>
      <selection pane="bottomLeft"/>
      <selection pane="bottomRight" activeCell="E8" sqref="E8"/>
    </sheetView>
  </sheetViews>
  <sheetFormatPr defaultColWidth="9" defaultRowHeight="13.5" x14ac:dyDescent="0.15"/>
  <cols>
    <col min="1" max="1" width="12.75" style="2" customWidth="1"/>
    <col min="2" max="2" width="8.75" style="1" customWidth="1"/>
    <col min="3" max="3" width="12.5" style="2" customWidth="1"/>
    <col min="4" max="4" width="9.375" style="1" customWidth="1"/>
    <col min="5" max="127" width="9.375" style="2" customWidth="1"/>
    <col min="128" max="16384" width="9" style="2"/>
  </cols>
  <sheetData>
    <row r="1" spans="1:127" s="1" customFormat="1" ht="21.95" customHeight="1" x14ac:dyDescent="0.15">
      <c r="A1" s="3"/>
      <c r="B1" s="4"/>
      <c r="C1" s="4"/>
      <c r="D1" s="25" t="s">
        <v>0</v>
      </c>
      <c r="E1" s="25"/>
      <c r="F1" s="25"/>
      <c r="G1" s="25"/>
      <c r="H1" s="27" t="s">
        <v>1</v>
      </c>
      <c r="I1" s="27"/>
      <c r="J1" s="27"/>
      <c r="K1" s="27"/>
      <c r="L1" s="25" t="s">
        <v>2</v>
      </c>
      <c r="M1" s="25"/>
      <c r="N1" s="25"/>
      <c r="O1" s="25"/>
      <c r="P1" s="27" t="s">
        <v>3</v>
      </c>
      <c r="Q1" s="27"/>
      <c r="R1" s="27"/>
      <c r="S1" s="27"/>
      <c r="T1" s="25" t="s">
        <v>4</v>
      </c>
      <c r="U1" s="25"/>
      <c r="V1" s="25"/>
      <c r="W1" s="25"/>
      <c r="X1" s="27" t="s">
        <v>5</v>
      </c>
      <c r="Y1" s="27"/>
      <c r="Z1" s="27"/>
      <c r="AA1" s="27"/>
      <c r="AB1" s="25" t="s">
        <v>6</v>
      </c>
      <c r="AC1" s="25"/>
      <c r="AD1" s="25"/>
      <c r="AE1" s="25"/>
      <c r="AF1" s="27" t="s">
        <v>7</v>
      </c>
      <c r="AG1" s="27"/>
      <c r="AH1" s="27"/>
      <c r="AI1" s="27"/>
      <c r="AJ1" s="25" t="s">
        <v>8</v>
      </c>
      <c r="AK1" s="25"/>
      <c r="AL1" s="25"/>
      <c r="AM1" s="25"/>
      <c r="AN1" s="27" t="s">
        <v>9</v>
      </c>
      <c r="AO1" s="27"/>
      <c r="AP1" s="27"/>
      <c r="AQ1" s="27"/>
      <c r="AR1" s="25" t="s">
        <v>10</v>
      </c>
      <c r="AS1" s="25"/>
      <c r="AT1" s="25"/>
      <c r="AU1" s="25"/>
      <c r="AV1" s="27" t="s">
        <v>11</v>
      </c>
      <c r="AW1" s="27"/>
      <c r="AX1" s="27"/>
      <c r="AY1" s="27"/>
      <c r="AZ1" s="25" t="s">
        <v>12</v>
      </c>
      <c r="BA1" s="25"/>
      <c r="BB1" s="25"/>
      <c r="BC1" s="25"/>
      <c r="BD1" s="27" t="s">
        <v>13</v>
      </c>
      <c r="BE1" s="27"/>
      <c r="BF1" s="27"/>
      <c r="BG1" s="27"/>
      <c r="BH1" s="25" t="s">
        <v>14</v>
      </c>
      <c r="BI1" s="25"/>
      <c r="BJ1" s="25"/>
      <c r="BK1" s="25"/>
      <c r="BL1" s="27" t="s">
        <v>15</v>
      </c>
      <c r="BM1" s="27"/>
      <c r="BN1" s="27"/>
      <c r="BO1" s="27"/>
      <c r="BP1" s="25" t="s">
        <v>16</v>
      </c>
      <c r="BQ1" s="25"/>
      <c r="BR1" s="25"/>
      <c r="BS1" s="25"/>
      <c r="BT1" s="27" t="s">
        <v>17</v>
      </c>
      <c r="BU1" s="27"/>
      <c r="BV1" s="27"/>
      <c r="BW1" s="27"/>
      <c r="BX1" s="25" t="s">
        <v>18</v>
      </c>
      <c r="BY1" s="25"/>
      <c r="BZ1" s="25"/>
      <c r="CA1" s="25"/>
      <c r="CB1" s="27" t="s">
        <v>19</v>
      </c>
      <c r="CC1" s="27"/>
      <c r="CD1" s="27"/>
      <c r="CE1" s="27"/>
      <c r="CF1" s="25" t="s">
        <v>20</v>
      </c>
      <c r="CG1" s="25"/>
      <c r="CH1" s="25"/>
      <c r="CI1" s="25"/>
      <c r="CJ1" s="27" t="s">
        <v>21</v>
      </c>
      <c r="CK1" s="27"/>
      <c r="CL1" s="27"/>
      <c r="CM1" s="27"/>
      <c r="CN1" s="25" t="s">
        <v>22</v>
      </c>
      <c r="CO1" s="25"/>
      <c r="CP1" s="25"/>
      <c r="CQ1" s="25"/>
      <c r="CR1" s="27" t="s">
        <v>23</v>
      </c>
      <c r="CS1" s="27"/>
      <c r="CT1" s="27"/>
      <c r="CU1" s="27"/>
      <c r="CV1" s="25" t="s">
        <v>24</v>
      </c>
      <c r="CW1" s="25"/>
      <c r="CX1" s="25"/>
      <c r="CY1" s="25"/>
      <c r="CZ1" s="27" t="s">
        <v>25</v>
      </c>
      <c r="DA1" s="27"/>
      <c r="DB1" s="27"/>
      <c r="DC1" s="27"/>
      <c r="DD1" s="25" t="s">
        <v>26</v>
      </c>
      <c r="DE1" s="25"/>
      <c r="DF1" s="25"/>
      <c r="DG1" s="25"/>
      <c r="DH1" s="27" t="s">
        <v>27</v>
      </c>
      <c r="DI1" s="27"/>
      <c r="DJ1" s="27"/>
      <c r="DK1" s="27"/>
      <c r="DL1" s="25" t="s">
        <v>28</v>
      </c>
      <c r="DM1" s="25"/>
      <c r="DN1" s="25"/>
      <c r="DO1" s="25"/>
      <c r="DP1" s="27" t="s">
        <v>29</v>
      </c>
      <c r="DQ1" s="27"/>
      <c r="DR1" s="27"/>
      <c r="DS1" s="27"/>
      <c r="DT1" s="25" t="s">
        <v>30</v>
      </c>
      <c r="DU1" s="25"/>
      <c r="DV1" s="25"/>
      <c r="DW1" s="25"/>
    </row>
    <row r="2" spans="1:127" s="1" customFormat="1" ht="18.95" customHeight="1" x14ac:dyDescent="0.15">
      <c r="A2" s="5" t="s">
        <v>31</v>
      </c>
      <c r="B2" s="5" t="s">
        <v>32</v>
      </c>
      <c r="C2" s="5" t="s">
        <v>33</v>
      </c>
      <c r="D2" s="6" t="s">
        <v>34</v>
      </c>
      <c r="E2" s="7" t="s">
        <v>35</v>
      </c>
      <c r="F2" s="7" t="s">
        <v>36</v>
      </c>
      <c r="G2" s="8" t="s">
        <v>37</v>
      </c>
      <c r="H2" s="9" t="s">
        <v>34</v>
      </c>
      <c r="I2" s="18" t="s">
        <v>35</v>
      </c>
      <c r="J2" s="18" t="s">
        <v>36</v>
      </c>
      <c r="K2" s="19" t="s">
        <v>37</v>
      </c>
      <c r="L2" s="6" t="s">
        <v>34</v>
      </c>
      <c r="M2" s="7" t="s">
        <v>35</v>
      </c>
      <c r="N2" s="7" t="s">
        <v>36</v>
      </c>
      <c r="O2" s="8" t="s">
        <v>37</v>
      </c>
      <c r="P2" s="9" t="s">
        <v>34</v>
      </c>
      <c r="Q2" s="18" t="s">
        <v>35</v>
      </c>
      <c r="R2" s="18" t="s">
        <v>36</v>
      </c>
      <c r="S2" s="19" t="s">
        <v>37</v>
      </c>
      <c r="T2" s="6" t="s">
        <v>34</v>
      </c>
      <c r="U2" s="7" t="s">
        <v>35</v>
      </c>
      <c r="V2" s="7" t="s">
        <v>36</v>
      </c>
      <c r="W2" s="8" t="s">
        <v>37</v>
      </c>
      <c r="X2" s="9" t="s">
        <v>34</v>
      </c>
      <c r="Y2" s="18" t="s">
        <v>35</v>
      </c>
      <c r="Z2" s="18" t="s">
        <v>36</v>
      </c>
      <c r="AA2" s="19" t="s">
        <v>37</v>
      </c>
      <c r="AB2" s="6" t="s">
        <v>34</v>
      </c>
      <c r="AC2" s="7" t="s">
        <v>35</v>
      </c>
      <c r="AD2" s="7" t="s">
        <v>36</v>
      </c>
      <c r="AE2" s="8" t="s">
        <v>37</v>
      </c>
      <c r="AF2" s="9" t="s">
        <v>34</v>
      </c>
      <c r="AG2" s="18" t="s">
        <v>35</v>
      </c>
      <c r="AH2" s="18" t="s">
        <v>36</v>
      </c>
      <c r="AI2" s="19" t="s">
        <v>37</v>
      </c>
      <c r="AJ2" s="6" t="s">
        <v>34</v>
      </c>
      <c r="AK2" s="7" t="s">
        <v>35</v>
      </c>
      <c r="AL2" s="7" t="s">
        <v>36</v>
      </c>
      <c r="AM2" s="8" t="s">
        <v>37</v>
      </c>
      <c r="AN2" s="9" t="s">
        <v>34</v>
      </c>
      <c r="AO2" s="18" t="s">
        <v>35</v>
      </c>
      <c r="AP2" s="18" t="s">
        <v>36</v>
      </c>
      <c r="AQ2" s="19" t="s">
        <v>37</v>
      </c>
      <c r="AR2" s="6" t="s">
        <v>34</v>
      </c>
      <c r="AS2" s="7" t="s">
        <v>35</v>
      </c>
      <c r="AT2" s="7" t="s">
        <v>36</v>
      </c>
      <c r="AU2" s="8" t="s">
        <v>37</v>
      </c>
      <c r="AV2" s="9" t="s">
        <v>34</v>
      </c>
      <c r="AW2" s="18" t="s">
        <v>35</v>
      </c>
      <c r="AX2" s="18" t="s">
        <v>36</v>
      </c>
      <c r="AY2" s="19" t="s">
        <v>37</v>
      </c>
      <c r="AZ2" s="6" t="s">
        <v>34</v>
      </c>
      <c r="BA2" s="7" t="s">
        <v>35</v>
      </c>
      <c r="BB2" s="7" t="s">
        <v>36</v>
      </c>
      <c r="BC2" s="8" t="s">
        <v>37</v>
      </c>
      <c r="BD2" s="9" t="s">
        <v>34</v>
      </c>
      <c r="BE2" s="18" t="s">
        <v>35</v>
      </c>
      <c r="BF2" s="18" t="s">
        <v>36</v>
      </c>
      <c r="BG2" s="19" t="s">
        <v>37</v>
      </c>
      <c r="BH2" s="6" t="s">
        <v>34</v>
      </c>
      <c r="BI2" s="7" t="s">
        <v>35</v>
      </c>
      <c r="BJ2" s="7" t="s">
        <v>36</v>
      </c>
      <c r="BK2" s="8" t="s">
        <v>37</v>
      </c>
      <c r="BL2" s="9" t="s">
        <v>34</v>
      </c>
      <c r="BM2" s="18" t="s">
        <v>35</v>
      </c>
      <c r="BN2" s="18" t="s">
        <v>36</v>
      </c>
      <c r="BO2" s="19" t="s">
        <v>37</v>
      </c>
      <c r="BP2" s="6" t="s">
        <v>34</v>
      </c>
      <c r="BQ2" s="7" t="s">
        <v>35</v>
      </c>
      <c r="BR2" s="7" t="s">
        <v>36</v>
      </c>
      <c r="BS2" s="8" t="s">
        <v>37</v>
      </c>
      <c r="BT2" s="9" t="s">
        <v>34</v>
      </c>
      <c r="BU2" s="18" t="s">
        <v>35</v>
      </c>
      <c r="BV2" s="18" t="s">
        <v>36</v>
      </c>
      <c r="BW2" s="19" t="s">
        <v>37</v>
      </c>
      <c r="BX2" s="6" t="s">
        <v>34</v>
      </c>
      <c r="BY2" s="7" t="s">
        <v>35</v>
      </c>
      <c r="BZ2" s="7" t="s">
        <v>36</v>
      </c>
      <c r="CA2" s="8" t="s">
        <v>37</v>
      </c>
      <c r="CB2" s="9" t="s">
        <v>34</v>
      </c>
      <c r="CC2" s="18" t="s">
        <v>35</v>
      </c>
      <c r="CD2" s="18" t="s">
        <v>36</v>
      </c>
      <c r="CE2" s="19" t="s">
        <v>37</v>
      </c>
      <c r="CF2" s="6" t="s">
        <v>34</v>
      </c>
      <c r="CG2" s="7" t="s">
        <v>35</v>
      </c>
      <c r="CH2" s="7" t="s">
        <v>36</v>
      </c>
      <c r="CI2" s="8" t="s">
        <v>37</v>
      </c>
      <c r="CJ2" s="9" t="s">
        <v>34</v>
      </c>
      <c r="CK2" s="18" t="s">
        <v>35</v>
      </c>
      <c r="CL2" s="18" t="s">
        <v>36</v>
      </c>
      <c r="CM2" s="19" t="s">
        <v>37</v>
      </c>
      <c r="CN2" s="6" t="s">
        <v>34</v>
      </c>
      <c r="CO2" s="7" t="s">
        <v>35</v>
      </c>
      <c r="CP2" s="7" t="s">
        <v>36</v>
      </c>
      <c r="CQ2" s="8" t="s">
        <v>37</v>
      </c>
      <c r="CR2" s="9" t="s">
        <v>34</v>
      </c>
      <c r="CS2" s="18" t="s">
        <v>35</v>
      </c>
      <c r="CT2" s="18" t="s">
        <v>36</v>
      </c>
      <c r="CU2" s="19" t="s">
        <v>37</v>
      </c>
      <c r="CV2" s="6" t="s">
        <v>34</v>
      </c>
      <c r="CW2" s="7" t="s">
        <v>35</v>
      </c>
      <c r="CX2" s="7" t="s">
        <v>36</v>
      </c>
      <c r="CY2" s="8" t="s">
        <v>37</v>
      </c>
      <c r="CZ2" s="9" t="s">
        <v>34</v>
      </c>
      <c r="DA2" s="18" t="s">
        <v>35</v>
      </c>
      <c r="DB2" s="18" t="s">
        <v>36</v>
      </c>
      <c r="DC2" s="19" t="s">
        <v>37</v>
      </c>
      <c r="DD2" s="6" t="s">
        <v>34</v>
      </c>
      <c r="DE2" s="7" t="s">
        <v>35</v>
      </c>
      <c r="DF2" s="7" t="s">
        <v>36</v>
      </c>
      <c r="DG2" s="8" t="s">
        <v>37</v>
      </c>
      <c r="DH2" s="9" t="s">
        <v>34</v>
      </c>
      <c r="DI2" s="18" t="s">
        <v>35</v>
      </c>
      <c r="DJ2" s="18" t="s">
        <v>36</v>
      </c>
      <c r="DK2" s="19" t="s">
        <v>37</v>
      </c>
      <c r="DL2" s="6" t="s">
        <v>34</v>
      </c>
      <c r="DM2" s="7" t="s">
        <v>35</v>
      </c>
      <c r="DN2" s="7" t="s">
        <v>36</v>
      </c>
      <c r="DO2" s="8" t="s">
        <v>37</v>
      </c>
      <c r="DP2" s="9" t="s">
        <v>34</v>
      </c>
      <c r="DQ2" s="18" t="s">
        <v>35</v>
      </c>
      <c r="DR2" s="18" t="s">
        <v>36</v>
      </c>
      <c r="DS2" s="19" t="s">
        <v>37</v>
      </c>
      <c r="DT2" s="6" t="s">
        <v>34</v>
      </c>
      <c r="DU2" s="7" t="s">
        <v>35</v>
      </c>
      <c r="DV2" s="7" t="s">
        <v>36</v>
      </c>
      <c r="DW2" s="8" t="s">
        <v>37</v>
      </c>
    </row>
    <row r="3" spans="1:127" ht="29.1" customHeight="1" x14ac:dyDescent="0.15">
      <c r="A3" s="10" t="s">
        <v>38</v>
      </c>
      <c r="B3" s="11">
        <f>SUMIF(A$2:DV$2,"个人提成",A3:DV3)</f>
        <v>90</v>
      </c>
      <c r="C3" s="29" t="s">
        <v>51</v>
      </c>
      <c r="D3" s="12"/>
      <c r="E3" s="13">
        <f>IF(G3="",(D$4/COUNTIFS(G$3:G$5,"&lt;&gt;*休息*",G$3:G$5,"&lt;&gt;*加班*")),IF(G3="","",CHOOSE(MATCH(G3,{"休息","加班","新人"},),"",(D$3/COUNTIF(G$3:G$5,G3)),(D$4/COUNTIFS(G$3:G$5,"&lt;&gt;*休息*",G$3:G$5,"&lt;&gt;*加班*")))))</f>
        <v>0</v>
      </c>
      <c r="F3" s="8">
        <f>IF(G3="",IF(AND(AVERAGEIF(G$3:G$9,"",E$3:E$9)&lt;500,E3&lt;500),0,(E3-500)*0.3),IF(G3="","",CHOOSE(MATCH(G3,{"休息","加班","新人"},),"",E3*0.3,(IF(E3&gt;500,CEILING(E3,1),500)-500)*0.3)))</f>
        <v>0</v>
      </c>
      <c r="G3" s="14"/>
      <c r="H3" s="12">
        <v>300</v>
      </c>
      <c r="I3" s="20">
        <f>IF(K3="",(H$4/COUNTIFS(K$3:K$5,"&lt;&gt;*休息*",K$3:K$5,"&lt;&gt;*加班*")),IF(K3="","",CHOOSE(MATCH(K3,{"休息","加班","新人"},),"",(H$3/COUNTIF(K$3:K$5,K3)),(H$4/COUNTIFS(K$3:K$5,"&lt;&gt;*休息*",K$3:K$5,"&lt;&gt;*加班*")))))</f>
        <v>800</v>
      </c>
      <c r="J3" s="19">
        <f>IF(K3="",IF(AND(AVERAGEIF(K$3:K$9,"",I$3:I$9)&lt;500,I3&lt;500),0,(I3-500)*0.3),IF(K3="","",CHOOSE(MATCH(K3,{"休息","加班","新人"},),"",I3*0.3,(IF(I3&gt;500,CEILING(I3,1),500)-500)*0.3)))</f>
        <v>90</v>
      </c>
      <c r="K3" s="21"/>
      <c r="L3" s="12"/>
      <c r="M3" s="13">
        <f>IF(O3="",(L$4/COUNTIFS(O$3:O$5,"&lt;&gt;*休息*",O$3:O$5,"&lt;&gt;*加班*")),IF(O3="","",CHOOSE(MATCH(O3,{"休息","加班","新人"},),"",(L$3/COUNTIF(O$3:O$5,O3)),(L$4/COUNTIFS(O$3:O$5,"&lt;&gt;*休息*",O$3:O$5,"&lt;&gt;*加班*")))))</f>
        <v>433.33333333333331</v>
      </c>
      <c r="N3" s="8">
        <f>IF(O3="",IF(AND(AVERAGEIF(O$3:O$9,"",M$3:M$9)&lt;500,M3&lt;500),0,(M3-500)*0.3),IF(O3="","",CHOOSE(MATCH(O3,{"休息","加班","新人"},),"",M3*0.3,(IF(M3&gt;500,CEILING(M3,1),500)-500)*0.3)))</f>
        <v>0</v>
      </c>
      <c r="O3" s="14"/>
      <c r="P3" s="12"/>
      <c r="Q3" s="20">
        <f>IF(S3="",(P$4/COUNTIFS(S$3:S$5,"&lt;&gt;*休息*",S$3:S$5,"&lt;&gt;*加班*")),IF(S3="","",CHOOSE(MATCH(S3,{"休息","加班","新人"},),"",(P$3/COUNTIF(S$3:S$5,S3)),(P$4/COUNTIFS(S$3:S$5,"&lt;&gt;*休息*",S$3:S$5,"&lt;&gt;*加班*")))))</f>
        <v>0</v>
      </c>
      <c r="R3" s="19">
        <f>IF(S3="",IF(AND(AVERAGEIF(S$3:S$9,"",Q$3:Q$9)&lt;500,Q3&lt;500),0,(Q3-500)*0.3),IF(S3="","",CHOOSE(MATCH(S3,{"休息","加班","新人"},),"",Q3*0.3,(IF(Q3&gt;500,CEILING(Q3,1),500)-500)*0.3)))</f>
        <v>0</v>
      </c>
      <c r="S3" s="21"/>
      <c r="T3" s="12"/>
      <c r="U3" s="13">
        <f>IF(W3="",(T$4/COUNTIFS(W$3:W$5,"&lt;&gt;*休息*",W$3:W$5,"&lt;&gt;*加班*")),IF(W3="","",CHOOSE(MATCH(W3,{"休息","加班","新人"},),"",(T$3/COUNTIF(W$3:W$5,W3)),(T$4/COUNTIFS(W$3:W$5,"&lt;&gt;*休息*",W$3:W$5,"&lt;&gt;*加班*")))))</f>
        <v>0</v>
      </c>
      <c r="V3" s="8">
        <f>IF(W3="",IF(AND(AVERAGEIF(W$3:W$9,"",U$3:U$9)&lt;500,U3&lt;500),0,(U3-500)*0.3),IF(W3="","",CHOOSE(MATCH(W3,{"休息","加班","新人"},),"",U3*0.3,(IF(U3&gt;500,CEILING(U3,1),500)-500)*0.3)))</f>
        <v>0</v>
      </c>
      <c r="W3" s="14"/>
      <c r="X3" s="12"/>
      <c r="Y3" s="20">
        <f>IF(AA3="",(X$4/COUNTIFS(AA$3:AA$5,"&lt;&gt;*休息*",AA$3:AA$5,"&lt;&gt;*加班*")),IF(AA3="","",CHOOSE(MATCH(AA3,{"休息","加班","新人"},),"",(X$3/COUNTIF(AA$3:AA$5,AA3)),(X$4/COUNTIFS(AA$3:AA$5,"&lt;&gt;*休息*",AA$3:AA$5,"&lt;&gt;*加班*")))))</f>
        <v>0</v>
      </c>
      <c r="Z3" s="19">
        <f>IF(AA3="",IF(AND(AVERAGEIF(AA$3:AA$9,"",Y$3:Y$9)&lt;500,Y3&lt;500),0,(Y3-500)*0.3),IF(AA3="","",CHOOSE(MATCH(AA3,{"休息","加班","新人"},),"",Y3*0.3,(IF(Y3&gt;500,CEILING(Y3,1),500)-500)*0.3)))</f>
        <v>0</v>
      </c>
      <c r="AA3" s="21"/>
      <c r="AB3" s="12"/>
      <c r="AC3" s="13">
        <f>IF(AE3="",(AB$4/COUNTIFS(AE$3:AE$5,"&lt;&gt;*休息*",AE$3:AE$5,"&lt;&gt;*加班*")),IF(AE3="","",CHOOSE(MATCH(AE3,{"休息","加班","新人"},),"",(AB$3/COUNTIF(AE$3:AE$5,AE3)),(AB$4/COUNTIFS(AE$3:AE$5,"&lt;&gt;*休息*",AE$3:AE$5,"&lt;&gt;*加班*")))))</f>
        <v>0</v>
      </c>
      <c r="AD3" s="8">
        <f>IF(AE3="",IF(AND(AVERAGEIF(AE$3:AE$9,"",AC$3:AC$9)&lt;500,AC3&lt;500),0,(AC3-500)*0.3),IF(AE3="","",CHOOSE(MATCH(AE3,{"休息","加班","新人"},),"",AC3*0.3,(IF(AC3&gt;500,CEILING(AC3,1),500)-500)*0.3)))</f>
        <v>0</v>
      </c>
      <c r="AE3" s="14"/>
      <c r="AF3" s="12"/>
      <c r="AG3" s="20">
        <f>IF(AI3="",(AF$4/COUNTIFS(AI$3:AI$5,"&lt;&gt;*休息*",AI$3:AI$5,"&lt;&gt;*加班*")),IF(AI3="","",CHOOSE(MATCH(AI3,{"休息","加班","新人"},),"",(AF$3/COUNTIF(AI$3:AI$5,AI3)),(AF$4/COUNTIFS(AI$3:AI$5,"&lt;&gt;*休息*",AI$3:AI$5,"&lt;&gt;*加班*")))))</f>
        <v>0</v>
      </c>
      <c r="AH3" s="19">
        <f>IF(AI3="",IF(AND(AVERAGEIF(AI$3:AI$9,"",AG$3:AG$9)&lt;500,AG3&lt;500),0,(AG3-500)*0.3),IF(AI3="","",CHOOSE(MATCH(AI3,{"休息","加班","新人"},),"",AG3*0.3,(IF(AG3&gt;500,CEILING(AG3,1),500)-500)*0.3)))</f>
        <v>0</v>
      </c>
      <c r="AI3" s="21"/>
      <c r="AJ3" s="12"/>
      <c r="AK3" s="13">
        <f>IF(AM3="",(AJ$4/COUNTIFS(AM$3:AM$5,"&lt;&gt;*休息*",AM$3:AM$5,"&lt;&gt;*加班*")),IF(AM3="","",CHOOSE(MATCH(AM3,{"休息","加班","新人"},),"",(AJ$3/COUNTIF(AM$3:AM$5,AM3)),(AJ$4/COUNTIFS(AM$3:AM$5,"&lt;&gt;*休息*",AM$3:AM$5,"&lt;&gt;*加班*")))))</f>
        <v>0</v>
      </c>
      <c r="AL3" s="8">
        <f>IF(AM3="",IF(AND(AVERAGEIF(AM$3:AM$9,"",AK$3:AK$9)&lt;500,AK3&lt;500),0,(AK3-500)*0.3),IF(AM3="","",CHOOSE(MATCH(AM3,{"休息","加班","新人"},),"",AK3*0.3,(IF(AK3&gt;500,CEILING(AK3,1),500)-500)*0.3)))</f>
        <v>0</v>
      </c>
      <c r="AM3" s="14"/>
      <c r="AN3" s="12"/>
      <c r="AO3" s="20">
        <f>IF(AQ3="",(AN$4/COUNTIFS(AQ$3:AQ$5,"&lt;&gt;*休息*",AQ$3:AQ$5,"&lt;&gt;*加班*")),IF(AQ3="","",CHOOSE(MATCH(AQ3,{"休息","加班","新人"},),"",(AN$3/COUNTIF(AQ$3:AQ$5,AQ3)),(AN$4/COUNTIFS(AQ$3:AQ$5,"&lt;&gt;*休息*",AQ$3:AQ$5,"&lt;&gt;*加班*")))))</f>
        <v>0</v>
      </c>
      <c r="AP3" s="19">
        <f>IF(AQ3="",IF(AND(AVERAGEIF(AQ$3:AQ$9,"",AO$3:AO$9)&lt;500,AO3&lt;500),0,(AO3-500)*0.3),IF(AQ3="","",CHOOSE(MATCH(AQ3,{"休息","加班","新人"},),"",AO3*0.3,(IF(AO3&gt;500,CEILING(AO3,1),500)-500)*0.3)))</f>
        <v>0</v>
      </c>
      <c r="AQ3" s="21"/>
      <c r="AR3" s="12"/>
      <c r="AS3" s="13">
        <f>IF(AU3="",(AR$4/COUNTIFS(AU$3:AU$5,"&lt;&gt;*休息*",AU$3:AU$5,"&lt;&gt;*加班*")),IF(AU3="","",CHOOSE(MATCH(AU3,{"休息","加班","新人"},),"",(AR$3/COUNTIF(AU$3:AU$5,AU3)),(AR$4/COUNTIFS(AU$3:AU$5,"&lt;&gt;*休息*",AU$3:AU$5,"&lt;&gt;*加班*")))))</f>
        <v>0</v>
      </c>
      <c r="AT3" s="8">
        <f>IF(AU3="",IF(AND(AVERAGEIF(AU$3:AU$9,"",AS$3:AS$9)&lt;500,AS3&lt;500),0,(AS3-500)*0.3),IF(AU3="","",CHOOSE(MATCH(AU3,{"休息","加班","新人"},),"",AS3*0.3,(IF(AS3&gt;500,CEILING(AS3,1),500)-500)*0.3)))</f>
        <v>0</v>
      </c>
      <c r="AU3" s="14"/>
      <c r="AV3" s="12"/>
      <c r="AW3" s="20">
        <f>IF(AY3="",(AV$4/COUNTIFS(AY$3:AY$5,"&lt;&gt;*休息*",AY$3:AY$5,"&lt;&gt;*加班*")),IF(AY3="","",CHOOSE(MATCH(AY3,{"休息","加班","新人"},),"",(AV$3/COUNTIF(AY$3:AY$5,AY3)),(AV$4/COUNTIFS(AY$3:AY$5,"&lt;&gt;*休息*",AY$3:AY$5,"&lt;&gt;*加班*")))))</f>
        <v>0</v>
      </c>
      <c r="AX3" s="19">
        <f>IF(AY3="",IF(AND(AVERAGEIF(AY$3:AY$9,"",AW$3:AW$9)&lt;500,AW3&lt;500),0,(AW3-500)*0.3),IF(AY3="","",CHOOSE(MATCH(AY3,{"休息","加班","新人"},),"",AW3*0.3,(IF(AW3&gt;500,CEILING(AW3,1),500)-500)*0.3)))</f>
        <v>0</v>
      </c>
      <c r="AY3" s="21"/>
      <c r="AZ3" s="12"/>
      <c r="BA3" s="13">
        <f>IF(BC3="",(AZ$4/COUNTIFS(BC$3:BC$5,"&lt;&gt;*休息*",BC$3:BC$5,"&lt;&gt;*加班*")),IF(BC3="","",CHOOSE(MATCH(BC3,{"休息","加班","新人"},),"",(AZ$3/COUNTIF(BC$3:BC$5,BC3)),(AZ$4/COUNTIFS(BC$3:BC$5,"&lt;&gt;*休息*",BC$3:BC$5,"&lt;&gt;*加班*")))))</f>
        <v>0</v>
      </c>
      <c r="BB3" s="8">
        <f>IF(BC3="",IF(AND(AVERAGEIF(BC$3:BC$9,"",BA$3:BA$9)&lt;500,BA3&lt;500),0,(BA3-500)*0.3),IF(BC3="","",CHOOSE(MATCH(BC3,{"休息","加班","新人"},),"",BA3*0.3,(IF(BA3&gt;500,CEILING(BA3,1),500)-500)*0.3)))</f>
        <v>0</v>
      </c>
      <c r="BC3" s="14"/>
      <c r="BD3" s="12"/>
      <c r="BE3" s="20">
        <f>IF(BG3="",(BD$4/COUNTIFS(BG$3:BG$5,"&lt;&gt;*休息*",BG$3:BG$5,"&lt;&gt;*加班*")),IF(BG3="","",CHOOSE(MATCH(BG3,{"休息","加班","新人"},),"",(BD$3/COUNTIF(BG$3:BG$5,BG3)),(BD$4/COUNTIFS(BG$3:BG$5,"&lt;&gt;*休息*",BG$3:BG$5,"&lt;&gt;*加班*")))))</f>
        <v>0</v>
      </c>
      <c r="BF3" s="19">
        <f>IF(BG3="",IF(AND(AVERAGEIF(BG$3:BG$9,"",BE$3:BE$9)&lt;500,BE3&lt;500),0,(BE3-500)*0.3),IF(BG3="","",CHOOSE(MATCH(BG3,{"休息","加班","新人"},),"",BE3*0.3,(IF(BE3&gt;500,CEILING(BE3,1),500)-500)*0.3)))</f>
        <v>0</v>
      </c>
      <c r="BG3" s="21"/>
      <c r="BH3" s="12"/>
      <c r="BI3" s="13">
        <f>IF(BK3="",(BH$4/COUNTIFS(BK$3:BK$5,"&lt;&gt;*休息*",BK$3:BK$5,"&lt;&gt;*加班*")),IF(BK3="","",CHOOSE(MATCH(BK3,{"休息","加班","新人"},),"",(BH$3/COUNTIF(BK$3:BK$5,BK3)),(BH$4/COUNTIFS(BK$3:BK$5,"&lt;&gt;*休息*",BK$3:BK$5,"&lt;&gt;*加班*")))))</f>
        <v>0</v>
      </c>
      <c r="BJ3" s="8">
        <f>IF(BK3="",IF(AND(AVERAGEIF(BK$3:BK$9,"",BI$3:BI$9)&lt;500,BI3&lt;500),0,(BI3-500)*0.3),IF(BK3="","",CHOOSE(MATCH(BK3,{"休息","加班","新人"},),"",BI3*0.3,(IF(BI3&gt;500,CEILING(BI3,1),500)-500)*0.3)))</f>
        <v>0</v>
      </c>
      <c r="BK3" s="14"/>
      <c r="BL3" s="12"/>
      <c r="BM3" s="20">
        <f>IF(BO3="",(BL$4/COUNTIFS(BO$3:BO$5,"&lt;&gt;*休息*",BO$3:BO$5,"&lt;&gt;*加班*")),IF(BO3="","",CHOOSE(MATCH(BO3,{"休息","加班","新人"},),"",(BL$3/COUNTIF(BO$3:BO$5,BO3)),(BL$4/COUNTIFS(BO$3:BO$5,"&lt;&gt;*休息*",BO$3:BO$5,"&lt;&gt;*加班*")))))</f>
        <v>0</v>
      </c>
      <c r="BN3" s="19">
        <f>IF(BO3="",IF(AND(AVERAGEIF(BO$3:BO$9,"",BM$3:BM$9)&lt;500,BM3&lt;500),0,(BM3-500)*0.3),IF(BO3="","",CHOOSE(MATCH(BO3,{"休息","加班","新人"},),"",BM3*0.3,(IF(BM3&gt;500,CEILING(BM3,1),500)-500)*0.3)))</f>
        <v>0</v>
      </c>
      <c r="BO3" s="21"/>
      <c r="BP3" s="12"/>
      <c r="BQ3" s="13">
        <f>IF(BS3="",(BP$4/COUNTIFS(BS$3:BS$5,"&lt;&gt;*休息*",BS$3:BS$5,"&lt;&gt;*加班*")),IF(BS3="","",CHOOSE(MATCH(BS3,{"休息","加班","新人"},),"",(BP$3/COUNTIF(BS$3:BS$5,BS3)),(BP$4/COUNTIFS(BS$3:BS$5,"&lt;&gt;*休息*",BS$3:BS$5,"&lt;&gt;*加班*")))))</f>
        <v>0</v>
      </c>
      <c r="BR3" s="8">
        <f>IF(BS3="",IF(AND(AVERAGEIF(BS$3:BS$9,"",BQ$3:BQ$9)&lt;500,BQ3&lt;500),0,(BQ3-500)*0.3),IF(BS3="","",CHOOSE(MATCH(BS3,{"休息","加班","新人"},),"",BQ3*0.3,(IF(BQ3&gt;500,CEILING(BQ3,1),500)-500)*0.3)))</f>
        <v>0</v>
      </c>
      <c r="BS3" s="14"/>
      <c r="BT3" s="12"/>
      <c r="BU3" s="20">
        <f>IF(BW3="",(BT$4/COUNTIFS(BW$3:BW$5,"&lt;&gt;*休息*",BW$3:BW$5,"&lt;&gt;*加班*")),IF(BW3="","",CHOOSE(MATCH(BW3,{"休息","加班","新人"},),"",(BT$3/COUNTIF(BW$3:BW$5,BW3)),(BT$4/COUNTIFS(BW$3:BW$5,"&lt;&gt;*休息*",BW$3:BW$5,"&lt;&gt;*加班*")))))</f>
        <v>0</v>
      </c>
      <c r="BV3" s="19">
        <f>IF(BW3="",IF(AND(AVERAGEIF(BW$3:BW$9,"",BU$3:BU$9)&lt;500,BU3&lt;500),0,(BU3-500)*0.3),IF(BW3="","",CHOOSE(MATCH(BW3,{"休息","加班","新人"},),"",BU3*0.3,(IF(BU3&gt;500,CEILING(BU3,1),500)-500)*0.3)))</f>
        <v>0</v>
      </c>
      <c r="BW3" s="21"/>
      <c r="BX3" s="12"/>
      <c r="BY3" s="13">
        <f>IF(CA3="",(BX$4/COUNTIFS(CA$3:CA$5,"&lt;&gt;*休息*",CA$3:CA$5,"&lt;&gt;*加班*")),IF(CA3="","",CHOOSE(MATCH(CA3,{"休息","加班","新人"},),"",(BX$3/COUNTIF(CA$3:CA$5,CA3)),(BX$4/COUNTIFS(CA$3:CA$5,"&lt;&gt;*休息*",CA$3:CA$5,"&lt;&gt;*加班*")))))</f>
        <v>0</v>
      </c>
      <c r="BZ3" s="8">
        <f>IF(CA3="",IF(AND(AVERAGEIF(CA$3:CA$9,"",BY$3:BY$9)&lt;500,BY3&lt;500),0,(BY3-500)*0.3),IF(CA3="","",CHOOSE(MATCH(CA3,{"休息","加班","新人"},),"",BY3*0.3,(IF(BY3&gt;500,CEILING(BY3,1),500)-500)*0.3)))</f>
        <v>0</v>
      </c>
      <c r="CA3" s="14"/>
      <c r="CB3" s="12"/>
      <c r="CC3" s="20">
        <f>IF(CE3="",(CB$4/COUNTIFS(CE$3:CE$5,"&lt;&gt;*休息*",CE$3:CE$5,"&lt;&gt;*加班*")),IF(CE3="","",CHOOSE(MATCH(CE3,{"休息","加班","新人"},),"",(CB$3/COUNTIF(CE$3:CE$5,CE3)),(CB$4/COUNTIFS(CE$3:CE$5,"&lt;&gt;*休息*",CE$3:CE$5,"&lt;&gt;*加班*")))))</f>
        <v>0</v>
      </c>
      <c r="CD3" s="19">
        <f>IF(CE3="",IF(AND(AVERAGEIF(CE$3:CE$9,"",CC$3:CC$9)&lt;500,CC3&lt;500),0,(CC3-500)*0.3),IF(CE3="","",CHOOSE(MATCH(CE3,{"休息","加班","新人"},),"",CC3*0.3,(IF(CC3&gt;500,CEILING(CC3,1),500)-500)*0.3)))</f>
        <v>0</v>
      </c>
      <c r="CE3" s="21"/>
      <c r="CF3" s="12"/>
      <c r="CG3" s="13">
        <f>IF(CI3="",(CF$4/COUNTIFS(CI$3:CI$5,"&lt;&gt;*休息*",CI$3:CI$5,"&lt;&gt;*加班*")),IF(CI3="","",CHOOSE(MATCH(CI3,{"休息","加班","新人"},),"",(CF$3/COUNTIF(CI$3:CI$5,CI3)),(CF$4/COUNTIFS(CI$3:CI$5,"&lt;&gt;*休息*",CI$3:CI$5,"&lt;&gt;*加班*")))))</f>
        <v>0</v>
      </c>
      <c r="CH3" s="8">
        <f>IF(CI3="",IF(AND(AVERAGEIF(CI$3:CI$9,"",CG$3:CG$9)&lt;500,CG3&lt;500),0,(CG3-500)*0.3),IF(CI3="","",CHOOSE(MATCH(CI3,{"休息","加班","新人"},),"",CG3*0.3,(IF(CG3&gt;500,CEILING(CG3,1),500)-500)*0.3)))</f>
        <v>0</v>
      </c>
      <c r="CI3" s="14"/>
      <c r="CJ3" s="12"/>
      <c r="CK3" s="20">
        <f>IF(CM3="",(CJ$4/COUNTIFS(CM$3:CM$5,"&lt;&gt;*休息*",CM$3:CM$5,"&lt;&gt;*加班*")),IF(CM3="","",CHOOSE(MATCH(CM3,{"休息","加班","新人"},),"",(CJ$3/COUNTIF(CM$3:CM$5,CM3)),(CJ$4/COUNTIFS(CM$3:CM$5,"&lt;&gt;*休息*",CM$3:CM$5,"&lt;&gt;*加班*")))))</f>
        <v>0</v>
      </c>
      <c r="CL3" s="19">
        <f>IF(CM3="",IF(AND(AVERAGEIF(CM$3:CM$9,"",CK$3:CK$9)&lt;500,CK3&lt;500),0,(CK3-500)*0.3),IF(CM3="","",CHOOSE(MATCH(CM3,{"休息","加班","新人"},),"",CK3*0.3,(IF(CK3&gt;500,CEILING(CK3,1),500)-500)*0.3)))</f>
        <v>0</v>
      </c>
      <c r="CM3" s="21"/>
      <c r="CN3" s="12"/>
      <c r="CO3" s="13">
        <f>IF(CQ3="",(CN$4/COUNTIFS(CQ$3:CQ$5,"&lt;&gt;*休息*",CQ$3:CQ$5,"&lt;&gt;*加班*")),IF(CQ3="","",CHOOSE(MATCH(CQ3,{"休息","加班","新人"},),"",(CN$3/COUNTIF(CQ$3:CQ$5,CQ3)),(CN$4/COUNTIFS(CQ$3:CQ$5,"&lt;&gt;*休息*",CQ$3:CQ$5,"&lt;&gt;*加班*")))))</f>
        <v>0</v>
      </c>
      <c r="CP3" s="8">
        <f>IF(CQ3="",IF(AND(AVERAGEIF(CQ$3:CQ$9,"",CO$3:CO$9)&lt;500,CO3&lt;500),0,(CO3-500)*0.3),IF(CQ3="","",CHOOSE(MATCH(CQ3,{"休息","加班","新人"},),"",CO3*0.3,(IF(CO3&gt;500,CEILING(CO3,1),500)-500)*0.3)))</f>
        <v>0</v>
      </c>
      <c r="CQ3" s="14"/>
      <c r="CR3" s="12"/>
      <c r="CS3" s="20">
        <f>IF(CU3="",(CR$4/COUNTIFS(CU$3:CU$5,"&lt;&gt;*休息*",CU$3:CU$5,"&lt;&gt;*加班*")),IF(CU3="","",CHOOSE(MATCH(CU3,{"休息","加班","新人"},),"",(CR$3/COUNTIF(CU$3:CU$5,CU3)),(CR$4/COUNTIFS(CU$3:CU$5,"&lt;&gt;*休息*",CU$3:CU$5,"&lt;&gt;*加班*")))))</f>
        <v>0</v>
      </c>
      <c r="CT3" s="19">
        <f>IF(CU3="",IF(AND(AVERAGEIF(CU$3:CU$9,"",CS$3:CS$9)&lt;500,CS3&lt;500),0,(CS3-500)*0.3),IF(CU3="","",CHOOSE(MATCH(CU3,{"休息","加班","新人"},),"",CS3*0.3,(IF(CS3&gt;500,CEILING(CS3,1),500)-500)*0.3)))</f>
        <v>0</v>
      </c>
      <c r="CU3" s="21"/>
      <c r="CV3" s="12"/>
      <c r="CW3" s="13">
        <f>IF(CY3="",(CV$4/COUNTIFS(CY$3:CY$5,"&lt;&gt;*休息*",CY$3:CY$5,"&lt;&gt;*加班*")),IF(CY3="","",CHOOSE(MATCH(CY3,{"休息","加班","新人"},),"",(CV$3/COUNTIF(CY$3:CY$5,CY3)),(CV$4/COUNTIFS(CY$3:CY$5,"&lt;&gt;*休息*",CY$3:CY$5,"&lt;&gt;*加班*")))))</f>
        <v>0</v>
      </c>
      <c r="CX3" s="8">
        <f>IF(CY3="",IF(AND(AVERAGEIF(CY$3:CY$9,"",CW$3:CW$9)&lt;500,CW3&lt;500),0,(CW3-500)*0.3),IF(CY3="","",CHOOSE(MATCH(CY3,{"休息","加班","新人"},),"",CW3*0.3,(IF(CW3&gt;500,CEILING(CW3,1),500)-500)*0.3)))</f>
        <v>0</v>
      </c>
      <c r="CY3" s="14"/>
      <c r="CZ3" s="12"/>
      <c r="DA3" s="20">
        <f>IF(DC3="",(CZ$4/COUNTIFS(DC$3:DC$5,"&lt;&gt;*休息*",DC$3:DC$5,"&lt;&gt;*加班*")),IF(DC3="","",CHOOSE(MATCH(DC3,{"休息","加班","新人"},),"",(CZ$3/COUNTIF(DC$3:DC$5,DC3)),(CZ$4/COUNTIFS(DC$3:DC$5,"&lt;&gt;*休息*",DC$3:DC$5,"&lt;&gt;*加班*")))))</f>
        <v>0</v>
      </c>
      <c r="DB3" s="19">
        <f>IF(DC3="",IF(AND(AVERAGEIF(DC$3:DC$9,"",DA$3:DA$9)&lt;500,DA3&lt;500),0,(DA3-500)*0.3),IF(DC3="","",CHOOSE(MATCH(DC3,{"休息","加班","新人"},),"",DA3*0.3,(IF(DA3&gt;500,CEILING(DA3,1),500)-500)*0.3)))</f>
        <v>0</v>
      </c>
      <c r="DC3" s="21"/>
      <c r="DD3" s="12"/>
      <c r="DE3" s="13">
        <f>IF(DG3="",(DD$4/COUNTIFS(DG$3:DG$5,"&lt;&gt;*休息*",DG$3:DG$5,"&lt;&gt;*加班*")),IF(DG3="","",CHOOSE(MATCH(DG3,{"休息","加班","新人"},),"",(DD$3/COUNTIF(DG$3:DG$5,DG3)),(DD$4/COUNTIFS(DG$3:DG$5,"&lt;&gt;*休息*",DG$3:DG$5,"&lt;&gt;*加班*")))))</f>
        <v>0</v>
      </c>
      <c r="DF3" s="8">
        <f>IF(DG3="",IF(AND(AVERAGEIF(DG$3:DG$9,"",DE$3:DE$9)&lt;500,DE3&lt;500),0,(DE3-500)*0.3),IF(DG3="","",CHOOSE(MATCH(DG3,{"休息","加班","新人"},),"",DE3*0.3,(IF(DE3&gt;500,CEILING(DE3,1),500)-500)*0.3)))</f>
        <v>0</v>
      </c>
      <c r="DG3" s="14"/>
      <c r="DH3" s="12"/>
      <c r="DI3" s="20">
        <f>IF(DK3="",(DH$4/COUNTIFS(DK$3:DK$5,"&lt;&gt;*休息*",DK$3:DK$5,"&lt;&gt;*加班*")),IF(DK3="","",CHOOSE(MATCH(DK3,{"休息","加班","新人"},),"",(DH$3/COUNTIF(DK$3:DK$5,DK3)),(DH$4/COUNTIFS(DK$3:DK$5,"&lt;&gt;*休息*",DK$3:DK$5,"&lt;&gt;*加班*")))))</f>
        <v>0</v>
      </c>
      <c r="DJ3" s="19">
        <f>IF(DK3="",IF(AND(AVERAGEIF(DK$3:DK$9,"",DI$3:DI$9)&lt;500,DI3&lt;500),0,(DI3-500)*0.3),IF(DK3="","",CHOOSE(MATCH(DK3,{"休息","加班","新人"},),"",DI3*0.3,(IF(DI3&gt;500,CEILING(DI3,1),500)-500)*0.3)))</f>
        <v>0</v>
      </c>
      <c r="DK3" s="21"/>
      <c r="DL3" s="12"/>
      <c r="DM3" s="13">
        <f>IF(DO3="",(DL$4/COUNTIFS(DO$3:DO$5,"&lt;&gt;*休息*",DO$3:DO$5,"&lt;&gt;*加班*")),IF(DO3="","",CHOOSE(MATCH(DO3,{"休息","加班","新人"},),"",(DL$3/COUNTIF(DO$3:DO$5,DO3)),(DL$4/COUNTIFS(DO$3:DO$5,"&lt;&gt;*休息*",DO$3:DO$5,"&lt;&gt;*加班*")))))</f>
        <v>0</v>
      </c>
      <c r="DN3" s="8">
        <f>IF(DO3="",IF(AND(AVERAGEIF(DO$3:DO$9,"",DM$3:DM$9)&lt;500,DM3&lt;500),0,(DM3-500)*0.3),IF(DO3="","",CHOOSE(MATCH(DO3,{"休息","加班","新人"},),"",DM3*0.3,(IF(DM3&gt;500,CEILING(DM3,1),500)-500)*0.3)))</f>
        <v>0</v>
      </c>
      <c r="DO3" s="14"/>
      <c r="DP3" s="12"/>
      <c r="DQ3" s="20">
        <f>IF(DS3="",(DP$4/COUNTIFS(DS$3:DS$5,"&lt;&gt;*休息*",DS$3:DS$5,"&lt;&gt;*加班*")),IF(DS3="","",CHOOSE(MATCH(DS3,{"休息","加班","新人"},),"",(DP$3/COUNTIF(DS$3:DS$5,DS3)),(DP$4/COUNTIFS(DS$3:DS$5,"&lt;&gt;*休息*",DS$3:DS$5,"&lt;&gt;*加班*")))))</f>
        <v>0</v>
      </c>
      <c r="DR3" s="19">
        <f>IF(DS3="",IF(AND(AVERAGEIF(DS$3:DS$9,"",DQ$3:DQ$9)&lt;500,DQ3&lt;500),0,(DQ3-500)*0.3),IF(DS3="","",CHOOSE(MATCH(DS3,{"休息","加班","新人"},),"",DQ3*0.3,(IF(DQ3&gt;500,CEILING(DQ3,1),500)-500)*0.3)))</f>
        <v>0</v>
      </c>
      <c r="DS3" s="21"/>
      <c r="DT3" s="12"/>
      <c r="DU3" s="13">
        <f>IF(DW3="",(DT$4/COUNTIFS(DW$3:DW$5,"&lt;&gt;*休息*",DW$3:DW$5,"&lt;&gt;*加班*")),IF(DW3="","",CHOOSE(MATCH(DW3,{"休息","加班","新人"},),"",(DT$3/COUNTIF(DW$3:DW$5,DW3)),(DT$4/COUNTIFS(DW$3:DW$5,"&lt;&gt;*休息*",DW$3:DW$5,"&lt;&gt;*加班*")))))</f>
        <v>0</v>
      </c>
      <c r="DV3" s="8">
        <f>IF(DW3="",IF(AND(AVERAGEIF(DW$3:DW$9,"",DU$3:DU$9)&lt;500,DU3&lt;500),0,(DU3-500)*0.3),IF(DW3="","",CHOOSE(MATCH(DW3,{"休息","加班","新人"},),"",DU3*0.3,(IF(DU3&gt;500,CEILING(DU3,1),500)-500)*0.3)))</f>
        <v>0</v>
      </c>
      <c r="DW3" s="14"/>
    </row>
    <row r="4" spans="1:127" ht="29.1" customHeight="1" x14ac:dyDescent="0.15">
      <c r="A4" s="10" t="s">
        <v>39</v>
      </c>
      <c r="B4" s="11">
        <f t="shared" ref="B4:B9" si="0">SUMIF(A$2:DV$2,"个人提成",A4:DV4)</f>
        <v>0</v>
      </c>
      <c r="C4" s="26"/>
      <c r="D4" s="22"/>
      <c r="E4" s="13" t="str">
        <f>IF(G4="",(D$4/COUNTIFS(G$3:G$5,"&lt;&gt;*休息*",G$3:G$5,"&lt;&gt;*加班*")),IF(G4="","",CHOOSE(MATCH(G4,{"休息","加班","新人"},),"",(D$3/COUNTIF(G$3:G$5,G4)),(D$4/COUNTIFS(G$3:G$5,"&lt;&gt;*休息*",G$3:G$5,"&lt;&gt;*加班*")))))</f>
        <v/>
      </c>
      <c r="F4" s="8" t="str">
        <f>IF(G4="",IF(AND(AVERAGEIF(G$3:G$9,"",E$3:E$9)&lt;500,E4&lt;500),0,(E4-500)*0.3),IF(G4="","",CHOOSE(MATCH(G4,{"休息","加班","新人"},),"",E4*0.3,(IF(E4&gt;500,CEILING(E4,1),500)-500)*0.3)))</f>
        <v/>
      </c>
      <c r="G4" s="14" t="s">
        <v>40</v>
      </c>
      <c r="H4" s="22">
        <v>800</v>
      </c>
      <c r="I4" s="20" t="str">
        <f>IF(K4="",(H$4/COUNTIFS(K$3:K$5,"&lt;&gt;*休息*",K$3:K$5,"&lt;&gt;*加班*")),IF(K4="","",CHOOSE(MATCH(K4,{"休息","加班","新人"},),"",(H$3/COUNTIF(K$3:K$5,K4)),(H$4/COUNTIFS(K$3:K$5,"&lt;&gt;*休息*",K$3:K$5,"&lt;&gt;*加班*")))))</f>
        <v/>
      </c>
      <c r="J4" s="19" t="str">
        <f>IF(K4="",IF(AND(AVERAGEIF(K$3:K$9,"",I$3:I$9)&lt;500,I4&lt;500),0,(I4-500)*0.3),IF(K4="","",CHOOSE(MATCH(K4,{"休息","加班","新人"},),"",I4*0.3,(IF(I4&gt;500,CEILING(I4,1),500)-500)*0.3)))</f>
        <v/>
      </c>
      <c r="K4" s="21" t="s">
        <v>40</v>
      </c>
      <c r="L4" s="22">
        <v>1300</v>
      </c>
      <c r="M4" s="13">
        <f>IF(O4="",(L$4/COUNTIFS(O$3:O$5,"&lt;&gt;*休息*",O$3:O$5,"&lt;&gt;*加班*")),IF(O4="","",CHOOSE(MATCH(O4,{"休息","加班","新人"},),"",(L$3/COUNTIF(O$3:O$5,O4)),(L$4/COUNTIFS(O$3:O$5,"&lt;&gt;*休息*",O$3:O$5,"&lt;&gt;*加班*")))))</f>
        <v>433.33333333333331</v>
      </c>
      <c r="N4" s="8">
        <f>IF(O4="",IF(AND(AVERAGEIF(O$3:O$9,"",M$3:M$9)&lt;500,M4&lt;500),0,(M4-500)*0.3),IF(O4="","",CHOOSE(MATCH(O4,{"休息","加班","新人"},),"",M4*0.3,(IF(M4&gt;500,CEILING(M4,1),500)-500)*0.3)))</f>
        <v>0</v>
      </c>
      <c r="O4" s="14"/>
      <c r="P4" s="22"/>
      <c r="Q4" s="20">
        <f>IF(S4="",(P$4/COUNTIFS(S$3:S$5,"&lt;&gt;*休息*",S$3:S$5,"&lt;&gt;*加班*")),IF(S4="","",CHOOSE(MATCH(S4,{"休息","加班","新人"},),"",(P$3/COUNTIF(S$3:S$5,S4)),(P$4/COUNTIFS(S$3:S$5,"&lt;&gt;*休息*",S$3:S$5,"&lt;&gt;*加班*")))))</f>
        <v>0</v>
      </c>
      <c r="R4" s="19">
        <f>IF(S4="",IF(AND(AVERAGEIF(S$3:S$9,"",Q$3:Q$9)&lt;500,Q4&lt;500),0,(Q4-500)*0.3),IF(S4="","",CHOOSE(MATCH(S4,{"休息","加班","新人"},),"",Q4*0.3,(IF(Q4&gt;500,CEILING(Q4,1),500)-500)*0.3)))</f>
        <v>0</v>
      </c>
      <c r="S4" s="21"/>
      <c r="T4" s="22"/>
      <c r="U4" s="13">
        <f>IF(W4="",(T$4/COUNTIFS(W$3:W$5,"&lt;&gt;*休息*",W$3:W$5,"&lt;&gt;*加班*")),IF(W4="","",CHOOSE(MATCH(W4,{"休息","加班","新人"},),"",(T$3/COUNTIF(W$3:W$5,W4)),(T$4/COUNTIFS(W$3:W$5,"&lt;&gt;*休息*",W$3:W$5,"&lt;&gt;*加班*")))))</f>
        <v>0</v>
      </c>
      <c r="V4" s="8">
        <f>IF(W4="",IF(AND(AVERAGEIF(W$3:W$9,"",U$3:U$9)&lt;500,U4&lt;500),0,(U4-500)*0.3),IF(W4="","",CHOOSE(MATCH(W4,{"休息","加班","新人"},),"",U4*0.3,(IF(U4&gt;500,CEILING(U4,1),500)-500)*0.3)))</f>
        <v>0</v>
      </c>
      <c r="W4" s="14"/>
      <c r="X4" s="22"/>
      <c r="Y4" s="20">
        <f>IF(AA4="",(X$4/COUNTIFS(AA$3:AA$5,"&lt;&gt;*休息*",AA$3:AA$5,"&lt;&gt;*加班*")),IF(AA4="","",CHOOSE(MATCH(AA4,{"休息","加班","新人"},),"",(X$3/COUNTIF(AA$3:AA$5,AA4)),(X$4/COUNTIFS(AA$3:AA$5,"&lt;&gt;*休息*",AA$3:AA$5,"&lt;&gt;*加班*")))))</f>
        <v>0</v>
      </c>
      <c r="Z4" s="19">
        <f>IF(AA4="",IF(AND(AVERAGEIF(AA$3:AA$9,"",Y$3:Y$9)&lt;500,Y4&lt;500),0,(Y4-500)*0.3),IF(AA4="","",CHOOSE(MATCH(AA4,{"休息","加班","新人"},),"",Y4*0.3,(IF(Y4&gt;500,CEILING(Y4,1),500)-500)*0.3)))</f>
        <v>0</v>
      </c>
      <c r="AA4" s="21"/>
      <c r="AB4" s="22"/>
      <c r="AC4" s="13">
        <f>IF(AE4="",(AB$4/COUNTIFS(AE$3:AE$5,"&lt;&gt;*休息*",AE$3:AE$5,"&lt;&gt;*加班*")),IF(AE4="","",CHOOSE(MATCH(AE4,{"休息","加班","新人"},),"",(AB$3/COUNTIF(AE$3:AE$5,AE4)),(AB$4/COUNTIFS(AE$3:AE$5,"&lt;&gt;*休息*",AE$3:AE$5,"&lt;&gt;*加班*")))))</f>
        <v>0</v>
      </c>
      <c r="AD4" s="8">
        <f>IF(AE4="",IF(AND(AVERAGEIF(AE$3:AE$9,"",AC$3:AC$9)&lt;500,AC4&lt;500),0,(AC4-500)*0.3),IF(AE4="","",CHOOSE(MATCH(AE4,{"休息","加班","新人"},),"",AC4*0.3,(IF(AC4&gt;500,CEILING(AC4,1),500)-500)*0.3)))</f>
        <v>0</v>
      </c>
      <c r="AE4" s="14"/>
      <c r="AF4" s="22"/>
      <c r="AG4" s="20">
        <f>IF(AI4="",(AF$4/COUNTIFS(AI$3:AI$5,"&lt;&gt;*休息*",AI$3:AI$5,"&lt;&gt;*加班*")),IF(AI4="","",CHOOSE(MATCH(AI4,{"休息","加班","新人"},),"",(AF$3/COUNTIF(AI$3:AI$5,AI4)),(AF$4/COUNTIFS(AI$3:AI$5,"&lt;&gt;*休息*",AI$3:AI$5,"&lt;&gt;*加班*")))))</f>
        <v>0</v>
      </c>
      <c r="AH4" s="19">
        <f>IF(AI4="",IF(AND(AVERAGEIF(AI$3:AI$9,"",AG$3:AG$9)&lt;500,AG4&lt;500),0,(AG4-500)*0.3),IF(AI4="","",CHOOSE(MATCH(AI4,{"休息","加班","新人"},),"",AG4*0.3,(IF(AG4&gt;500,CEILING(AG4,1),500)-500)*0.3)))</f>
        <v>0</v>
      </c>
      <c r="AI4" s="21"/>
      <c r="AJ4" s="22"/>
      <c r="AK4" s="13">
        <f>IF(AM4="",(AJ$4/COUNTIFS(AM$3:AM$5,"&lt;&gt;*休息*",AM$3:AM$5,"&lt;&gt;*加班*")),IF(AM4="","",CHOOSE(MATCH(AM4,{"休息","加班","新人"},),"",(AJ$3/COUNTIF(AM$3:AM$5,AM4)),(AJ$4/COUNTIFS(AM$3:AM$5,"&lt;&gt;*休息*",AM$3:AM$5,"&lt;&gt;*加班*")))))</f>
        <v>0</v>
      </c>
      <c r="AL4" s="8">
        <f>IF(AM4="",IF(AND(AVERAGEIF(AM$3:AM$9,"",AK$3:AK$9)&lt;500,AK4&lt;500),0,(AK4-500)*0.3),IF(AM4="","",CHOOSE(MATCH(AM4,{"休息","加班","新人"},),"",AK4*0.3,(IF(AK4&gt;500,CEILING(AK4,1),500)-500)*0.3)))</f>
        <v>0</v>
      </c>
      <c r="AM4" s="14"/>
      <c r="AN4" s="22"/>
      <c r="AO4" s="20">
        <f>IF(AQ4="",(AN$4/COUNTIFS(AQ$3:AQ$5,"&lt;&gt;*休息*",AQ$3:AQ$5,"&lt;&gt;*加班*")),IF(AQ4="","",CHOOSE(MATCH(AQ4,{"休息","加班","新人"},),"",(AN$3/COUNTIF(AQ$3:AQ$5,AQ4)),(AN$4/COUNTIFS(AQ$3:AQ$5,"&lt;&gt;*休息*",AQ$3:AQ$5,"&lt;&gt;*加班*")))))</f>
        <v>0</v>
      </c>
      <c r="AP4" s="19">
        <f>IF(AQ4="",IF(AND(AVERAGEIF(AQ$3:AQ$9,"",AO$3:AO$9)&lt;500,AO4&lt;500),0,(AO4-500)*0.3),IF(AQ4="","",CHOOSE(MATCH(AQ4,{"休息","加班","新人"},),"",AO4*0.3,(IF(AO4&gt;500,CEILING(AO4,1),500)-500)*0.3)))</f>
        <v>0</v>
      </c>
      <c r="AQ4" s="21"/>
      <c r="AR4" s="22"/>
      <c r="AS4" s="13">
        <f>IF(AU4="",(AR$4/COUNTIFS(AU$3:AU$5,"&lt;&gt;*休息*",AU$3:AU$5,"&lt;&gt;*加班*")),IF(AU4="","",CHOOSE(MATCH(AU4,{"休息","加班","新人"},),"",(AR$3/COUNTIF(AU$3:AU$5,AU4)),(AR$4/COUNTIFS(AU$3:AU$5,"&lt;&gt;*休息*",AU$3:AU$5,"&lt;&gt;*加班*")))))</f>
        <v>0</v>
      </c>
      <c r="AT4" s="8">
        <f>IF(AU4="",IF(AND(AVERAGEIF(AU$3:AU$9,"",AS$3:AS$9)&lt;500,AS4&lt;500),0,(AS4-500)*0.3),IF(AU4="","",CHOOSE(MATCH(AU4,{"休息","加班","新人"},),"",AS4*0.3,(IF(AS4&gt;500,CEILING(AS4,1),500)-500)*0.3)))</f>
        <v>0</v>
      </c>
      <c r="AU4" s="14"/>
      <c r="AV4" s="22"/>
      <c r="AW4" s="20">
        <f>IF(AY4="",(AV$4/COUNTIFS(AY$3:AY$5,"&lt;&gt;*休息*",AY$3:AY$5,"&lt;&gt;*加班*")),IF(AY4="","",CHOOSE(MATCH(AY4,{"休息","加班","新人"},),"",(AV$3/COUNTIF(AY$3:AY$5,AY4)),(AV$4/COUNTIFS(AY$3:AY$5,"&lt;&gt;*休息*",AY$3:AY$5,"&lt;&gt;*加班*")))))</f>
        <v>0</v>
      </c>
      <c r="AX4" s="19">
        <f>IF(AY4="",IF(AND(AVERAGEIF(AY$3:AY$9,"",AW$3:AW$9)&lt;500,AW4&lt;500),0,(AW4-500)*0.3),IF(AY4="","",CHOOSE(MATCH(AY4,{"休息","加班","新人"},),"",AW4*0.3,(IF(AW4&gt;500,CEILING(AW4,1),500)-500)*0.3)))</f>
        <v>0</v>
      </c>
      <c r="AY4" s="21"/>
      <c r="AZ4" s="22"/>
      <c r="BA4" s="13">
        <f>IF(BC4="",(AZ$4/COUNTIFS(BC$3:BC$5,"&lt;&gt;*休息*",BC$3:BC$5,"&lt;&gt;*加班*")),IF(BC4="","",CHOOSE(MATCH(BC4,{"休息","加班","新人"},),"",(AZ$3/COUNTIF(BC$3:BC$5,BC4)),(AZ$4/COUNTIFS(BC$3:BC$5,"&lt;&gt;*休息*",BC$3:BC$5,"&lt;&gt;*加班*")))))</f>
        <v>0</v>
      </c>
      <c r="BB4" s="8">
        <f>IF(BC4="",IF(AND(AVERAGEIF(BC$3:BC$9,"",BA$3:BA$9)&lt;500,BA4&lt;500),0,(BA4-500)*0.3),IF(BC4="","",CHOOSE(MATCH(BC4,{"休息","加班","新人"},),"",BA4*0.3,(IF(BA4&gt;500,CEILING(BA4,1),500)-500)*0.3)))</f>
        <v>0</v>
      </c>
      <c r="BC4" s="14"/>
      <c r="BD4" s="22"/>
      <c r="BE4" s="20">
        <f>IF(BG4="",(BD$4/COUNTIFS(BG$3:BG$5,"&lt;&gt;*休息*",BG$3:BG$5,"&lt;&gt;*加班*")),IF(BG4="","",CHOOSE(MATCH(BG4,{"休息","加班","新人"},),"",(BD$3/COUNTIF(BG$3:BG$5,BG4)),(BD$4/COUNTIFS(BG$3:BG$5,"&lt;&gt;*休息*",BG$3:BG$5,"&lt;&gt;*加班*")))))</f>
        <v>0</v>
      </c>
      <c r="BF4" s="19">
        <f>IF(BG4="",IF(AND(AVERAGEIF(BG$3:BG$9,"",BE$3:BE$9)&lt;500,BE4&lt;500),0,(BE4-500)*0.3),IF(BG4="","",CHOOSE(MATCH(BG4,{"休息","加班","新人"},),"",BE4*0.3,(IF(BE4&gt;500,CEILING(BE4,1),500)-500)*0.3)))</f>
        <v>0</v>
      </c>
      <c r="BG4" s="21"/>
      <c r="BH4" s="22"/>
      <c r="BI4" s="13">
        <f>IF(BK4="",(BH$4/COUNTIFS(BK$3:BK$5,"&lt;&gt;*休息*",BK$3:BK$5,"&lt;&gt;*加班*")),IF(BK4="","",CHOOSE(MATCH(BK4,{"休息","加班","新人"},),"",(BH$3/COUNTIF(BK$3:BK$5,BK4)),(BH$4/COUNTIFS(BK$3:BK$5,"&lt;&gt;*休息*",BK$3:BK$5,"&lt;&gt;*加班*")))))</f>
        <v>0</v>
      </c>
      <c r="BJ4" s="8">
        <f>IF(BK4="",IF(AND(AVERAGEIF(BK$3:BK$9,"",BI$3:BI$9)&lt;500,BI4&lt;500),0,(BI4-500)*0.3),IF(BK4="","",CHOOSE(MATCH(BK4,{"休息","加班","新人"},),"",BI4*0.3,(IF(BI4&gt;500,CEILING(BI4,1),500)-500)*0.3)))</f>
        <v>0</v>
      </c>
      <c r="BK4" s="14"/>
      <c r="BL4" s="22"/>
      <c r="BM4" s="20">
        <f>IF(BO4="",(BL$4/COUNTIFS(BO$3:BO$5,"&lt;&gt;*休息*",BO$3:BO$5,"&lt;&gt;*加班*")),IF(BO4="","",CHOOSE(MATCH(BO4,{"休息","加班","新人"},),"",(BL$3/COUNTIF(BO$3:BO$5,BO4)),(BL$4/COUNTIFS(BO$3:BO$5,"&lt;&gt;*休息*",BO$3:BO$5,"&lt;&gt;*加班*")))))</f>
        <v>0</v>
      </c>
      <c r="BN4" s="19">
        <f>IF(BO4="",IF(AND(AVERAGEIF(BO$3:BO$9,"",BM$3:BM$9)&lt;500,BM4&lt;500),0,(BM4-500)*0.3),IF(BO4="","",CHOOSE(MATCH(BO4,{"休息","加班","新人"},),"",BM4*0.3,(IF(BM4&gt;500,CEILING(BM4,1),500)-500)*0.3)))</f>
        <v>0</v>
      </c>
      <c r="BO4" s="21"/>
      <c r="BP4" s="22"/>
      <c r="BQ4" s="13">
        <f>IF(BS4="",(BP$4/COUNTIFS(BS$3:BS$5,"&lt;&gt;*休息*",BS$3:BS$5,"&lt;&gt;*加班*")),IF(BS4="","",CHOOSE(MATCH(BS4,{"休息","加班","新人"},),"",(BP$3/COUNTIF(BS$3:BS$5,BS4)),(BP$4/COUNTIFS(BS$3:BS$5,"&lt;&gt;*休息*",BS$3:BS$5,"&lt;&gt;*加班*")))))</f>
        <v>0</v>
      </c>
      <c r="BR4" s="8">
        <f>IF(BS4="",IF(AND(AVERAGEIF(BS$3:BS$9,"",BQ$3:BQ$9)&lt;500,BQ4&lt;500),0,(BQ4-500)*0.3),IF(BS4="","",CHOOSE(MATCH(BS4,{"休息","加班","新人"},),"",BQ4*0.3,(IF(BQ4&gt;500,CEILING(BQ4,1),500)-500)*0.3)))</f>
        <v>0</v>
      </c>
      <c r="BS4" s="14"/>
      <c r="BT4" s="22"/>
      <c r="BU4" s="20">
        <f>IF(BW4="",(BT$4/COUNTIFS(BW$3:BW$5,"&lt;&gt;*休息*",BW$3:BW$5,"&lt;&gt;*加班*")),IF(BW4="","",CHOOSE(MATCH(BW4,{"休息","加班","新人"},),"",(BT$3/COUNTIF(BW$3:BW$5,BW4)),(BT$4/COUNTIFS(BW$3:BW$5,"&lt;&gt;*休息*",BW$3:BW$5,"&lt;&gt;*加班*")))))</f>
        <v>0</v>
      </c>
      <c r="BV4" s="19">
        <f>IF(BW4="",IF(AND(AVERAGEIF(BW$3:BW$9,"",BU$3:BU$9)&lt;500,BU4&lt;500),0,(BU4-500)*0.3),IF(BW4="","",CHOOSE(MATCH(BW4,{"休息","加班","新人"},),"",BU4*0.3,(IF(BU4&gt;500,CEILING(BU4,1),500)-500)*0.3)))</f>
        <v>0</v>
      </c>
      <c r="BW4" s="21"/>
      <c r="BX4" s="22"/>
      <c r="BY4" s="13">
        <f>IF(CA4="",(BX$4/COUNTIFS(CA$3:CA$5,"&lt;&gt;*休息*",CA$3:CA$5,"&lt;&gt;*加班*")),IF(CA4="","",CHOOSE(MATCH(CA4,{"休息","加班","新人"},),"",(BX$3/COUNTIF(CA$3:CA$5,CA4)),(BX$4/COUNTIFS(CA$3:CA$5,"&lt;&gt;*休息*",CA$3:CA$5,"&lt;&gt;*加班*")))))</f>
        <v>0</v>
      </c>
      <c r="BZ4" s="8">
        <f>IF(CA4="",IF(AND(AVERAGEIF(CA$3:CA$9,"",BY$3:BY$9)&lt;500,BY4&lt;500),0,(BY4-500)*0.3),IF(CA4="","",CHOOSE(MATCH(CA4,{"休息","加班","新人"},),"",BY4*0.3,(IF(BY4&gt;500,CEILING(BY4,1),500)-500)*0.3)))</f>
        <v>0</v>
      </c>
      <c r="CA4" s="14"/>
      <c r="CB4" s="22"/>
      <c r="CC4" s="20">
        <f>IF(CE4="",(CB$4/COUNTIFS(CE$3:CE$5,"&lt;&gt;*休息*",CE$3:CE$5,"&lt;&gt;*加班*")),IF(CE4="","",CHOOSE(MATCH(CE4,{"休息","加班","新人"},),"",(CB$3/COUNTIF(CE$3:CE$5,CE4)),(CB$4/COUNTIFS(CE$3:CE$5,"&lt;&gt;*休息*",CE$3:CE$5,"&lt;&gt;*加班*")))))</f>
        <v>0</v>
      </c>
      <c r="CD4" s="19">
        <f>IF(CE4="",IF(AND(AVERAGEIF(CE$3:CE$9,"",CC$3:CC$9)&lt;500,CC4&lt;500),0,(CC4-500)*0.3),IF(CE4="","",CHOOSE(MATCH(CE4,{"休息","加班","新人"},),"",CC4*0.3,(IF(CC4&gt;500,CEILING(CC4,1),500)-500)*0.3)))</f>
        <v>0</v>
      </c>
      <c r="CE4" s="21"/>
      <c r="CF4" s="22"/>
      <c r="CG4" s="13">
        <f>IF(CI4="",(CF$4/COUNTIFS(CI$3:CI$5,"&lt;&gt;*休息*",CI$3:CI$5,"&lt;&gt;*加班*")),IF(CI4="","",CHOOSE(MATCH(CI4,{"休息","加班","新人"},),"",(CF$3/COUNTIF(CI$3:CI$5,CI4)),(CF$4/COUNTIFS(CI$3:CI$5,"&lt;&gt;*休息*",CI$3:CI$5,"&lt;&gt;*加班*")))))</f>
        <v>0</v>
      </c>
      <c r="CH4" s="8">
        <f>IF(CI4="",IF(AND(AVERAGEIF(CI$3:CI$9,"",CG$3:CG$9)&lt;500,CG4&lt;500),0,(CG4-500)*0.3),IF(CI4="","",CHOOSE(MATCH(CI4,{"休息","加班","新人"},),"",CG4*0.3,(IF(CG4&gt;500,CEILING(CG4,1),500)-500)*0.3)))</f>
        <v>0</v>
      </c>
      <c r="CI4" s="14"/>
      <c r="CJ4" s="22"/>
      <c r="CK4" s="20">
        <f>IF(CM4="",(CJ$4/COUNTIFS(CM$3:CM$5,"&lt;&gt;*休息*",CM$3:CM$5,"&lt;&gt;*加班*")),IF(CM4="","",CHOOSE(MATCH(CM4,{"休息","加班","新人"},),"",(CJ$3/COUNTIF(CM$3:CM$5,CM4)),(CJ$4/COUNTIFS(CM$3:CM$5,"&lt;&gt;*休息*",CM$3:CM$5,"&lt;&gt;*加班*")))))</f>
        <v>0</v>
      </c>
      <c r="CL4" s="19">
        <f>IF(CM4="",IF(AND(AVERAGEIF(CM$3:CM$9,"",CK$3:CK$9)&lt;500,CK4&lt;500),0,(CK4-500)*0.3),IF(CM4="","",CHOOSE(MATCH(CM4,{"休息","加班","新人"},),"",CK4*0.3,(IF(CK4&gt;500,CEILING(CK4,1),500)-500)*0.3)))</f>
        <v>0</v>
      </c>
      <c r="CM4" s="21"/>
      <c r="CN4" s="22"/>
      <c r="CO4" s="13">
        <f>IF(CQ4="",(CN$4/COUNTIFS(CQ$3:CQ$5,"&lt;&gt;*休息*",CQ$3:CQ$5,"&lt;&gt;*加班*")),IF(CQ4="","",CHOOSE(MATCH(CQ4,{"休息","加班","新人"},),"",(CN$3/COUNTIF(CQ$3:CQ$5,CQ4)),(CN$4/COUNTIFS(CQ$3:CQ$5,"&lt;&gt;*休息*",CQ$3:CQ$5,"&lt;&gt;*加班*")))))</f>
        <v>0</v>
      </c>
      <c r="CP4" s="8">
        <f>IF(CQ4="",IF(AND(AVERAGEIF(CQ$3:CQ$9,"",CO$3:CO$9)&lt;500,CO4&lt;500),0,(CO4-500)*0.3),IF(CQ4="","",CHOOSE(MATCH(CQ4,{"休息","加班","新人"},),"",CO4*0.3,(IF(CO4&gt;500,CEILING(CO4,1),500)-500)*0.3)))</f>
        <v>0</v>
      </c>
      <c r="CQ4" s="14"/>
      <c r="CR4" s="22"/>
      <c r="CS4" s="20">
        <f>IF(CU4="",(CR$4/COUNTIFS(CU$3:CU$5,"&lt;&gt;*休息*",CU$3:CU$5,"&lt;&gt;*加班*")),IF(CU4="","",CHOOSE(MATCH(CU4,{"休息","加班","新人"},),"",(CR$3/COUNTIF(CU$3:CU$5,CU4)),(CR$4/COUNTIFS(CU$3:CU$5,"&lt;&gt;*休息*",CU$3:CU$5,"&lt;&gt;*加班*")))))</f>
        <v>0</v>
      </c>
      <c r="CT4" s="19">
        <f>IF(CU4="",IF(AND(AVERAGEIF(CU$3:CU$9,"",CS$3:CS$9)&lt;500,CS4&lt;500),0,(CS4-500)*0.3),IF(CU4="","",CHOOSE(MATCH(CU4,{"休息","加班","新人"},),"",CS4*0.3,(IF(CS4&gt;500,CEILING(CS4,1),500)-500)*0.3)))</f>
        <v>0</v>
      </c>
      <c r="CU4" s="21"/>
      <c r="CV4" s="22"/>
      <c r="CW4" s="13">
        <f>IF(CY4="",(CV$4/COUNTIFS(CY$3:CY$5,"&lt;&gt;*休息*",CY$3:CY$5,"&lt;&gt;*加班*")),IF(CY4="","",CHOOSE(MATCH(CY4,{"休息","加班","新人"},),"",(CV$3/COUNTIF(CY$3:CY$5,CY4)),(CV$4/COUNTIFS(CY$3:CY$5,"&lt;&gt;*休息*",CY$3:CY$5,"&lt;&gt;*加班*")))))</f>
        <v>0</v>
      </c>
      <c r="CX4" s="8">
        <f>IF(CY4="",IF(AND(AVERAGEIF(CY$3:CY$9,"",CW$3:CW$9)&lt;500,CW4&lt;500),0,(CW4-500)*0.3),IF(CY4="","",CHOOSE(MATCH(CY4,{"休息","加班","新人"},),"",CW4*0.3,(IF(CW4&gt;500,CEILING(CW4,1),500)-500)*0.3)))</f>
        <v>0</v>
      </c>
      <c r="CY4" s="14"/>
      <c r="CZ4" s="22"/>
      <c r="DA4" s="20">
        <f>IF(DC4="",(CZ$4/COUNTIFS(DC$3:DC$5,"&lt;&gt;*休息*",DC$3:DC$5,"&lt;&gt;*加班*")),IF(DC4="","",CHOOSE(MATCH(DC4,{"休息","加班","新人"},),"",(CZ$3/COUNTIF(DC$3:DC$5,DC4)),(CZ$4/COUNTIFS(DC$3:DC$5,"&lt;&gt;*休息*",DC$3:DC$5,"&lt;&gt;*加班*")))))</f>
        <v>0</v>
      </c>
      <c r="DB4" s="19">
        <f>IF(DC4="",IF(AND(AVERAGEIF(DC$3:DC$9,"",DA$3:DA$9)&lt;500,DA4&lt;500),0,(DA4-500)*0.3),IF(DC4="","",CHOOSE(MATCH(DC4,{"休息","加班","新人"},),"",DA4*0.3,(IF(DA4&gt;500,CEILING(DA4,1),500)-500)*0.3)))</f>
        <v>0</v>
      </c>
      <c r="DC4" s="21"/>
      <c r="DD4" s="22"/>
      <c r="DE4" s="13">
        <f>IF(DG4="",(DD$4/COUNTIFS(DG$3:DG$5,"&lt;&gt;*休息*",DG$3:DG$5,"&lt;&gt;*加班*")),IF(DG4="","",CHOOSE(MATCH(DG4,{"休息","加班","新人"},),"",(DD$3/COUNTIF(DG$3:DG$5,DG4)),(DD$4/COUNTIFS(DG$3:DG$5,"&lt;&gt;*休息*",DG$3:DG$5,"&lt;&gt;*加班*")))))</f>
        <v>0</v>
      </c>
      <c r="DF4" s="8">
        <f>IF(DG4="",IF(AND(AVERAGEIF(DG$3:DG$9,"",DE$3:DE$9)&lt;500,DE4&lt;500),0,(DE4-500)*0.3),IF(DG4="","",CHOOSE(MATCH(DG4,{"休息","加班","新人"},),"",DE4*0.3,(IF(DE4&gt;500,CEILING(DE4,1),500)-500)*0.3)))</f>
        <v>0</v>
      </c>
      <c r="DG4" s="14"/>
      <c r="DH4" s="22"/>
      <c r="DI4" s="20">
        <f>IF(DK4="",(DH$4/COUNTIFS(DK$3:DK$5,"&lt;&gt;*休息*",DK$3:DK$5,"&lt;&gt;*加班*")),IF(DK4="","",CHOOSE(MATCH(DK4,{"休息","加班","新人"},),"",(DH$3/COUNTIF(DK$3:DK$5,DK4)),(DH$4/COUNTIFS(DK$3:DK$5,"&lt;&gt;*休息*",DK$3:DK$5,"&lt;&gt;*加班*")))))</f>
        <v>0</v>
      </c>
      <c r="DJ4" s="19">
        <f>IF(DK4="",IF(AND(AVERAGEIF(DK$3:DK$9,"",DI$3:DI$9)&lt;500,DI4&lt;500),0,(DI4-500)*0.3),IF(DK4="","",CHOOSE(MATCH(DK4,{"休息","加班","新人"},),"",DI4*0.3,(IF(DI4&gt;500,CEILING(DI4,1),500)-500)*0.3)))</f>
        <v>0</v>
      </c>
      <c r="DK4" s="21"/>
      <c r="DL4" s="22"/>
      <c r="DM4" s="13">
        <f>IF(DO4="",(DL$4/COUNTIFS(DO$3:DO$5,"&lt;&gt;*休息*",DO$3:DO$5,"&lt;&gt;*加班*")),IF(DO4="","",CHOOSE(MATCH(DO4,{"休息","加班","新人"},),"",(DL$3/COUNTIF(DO$3:DO$5,DO4)),(DL$4/COUNTIFS(DO$3:DO$5,"&lt;&gt;*休息*",DO$3:DO$5,"&lt;&gt;*加班*")))))</f>
        <v>0</v>
      </c>
      <c r="DN4" s="8">
        <f>IF(DO4="",IF(AND(AVERAGEIF(DO$3:DO$9,"",DM$3:DM$9)&lt;500,DM4&lt;500),0,(DM4-500)*0.3),IF(DO4="","",CHOOSE(MATCH(DO4,{"休息","加班","新人"},),"",DM4*0.3,(IF(DM4&gt;500,CEILING(DM4,1),500)-500)*0.3)))</f>
        <v>0</v>
      </c>
      <c r="DO4" s="14"/>
      <c r="DP4" s="22"/>
      <c r="DQ4" s="20">
        <f>IF(DS4="",(DP$4/COUNTIFS(DS$3:DS$5,"&lt;&gt;*休息*",DS$3:DS$5,"&lt;&gt;*加班*")),IF(DS4="","",CHOOSE(MATCH(DS4,{"休息","加班","新人"},),"",(DP$3/COUNTIF(DS$3:DS$5,DS4)),(DP$4/COUNTIFS(DS$3:DS$5,"&lt;&gt;*休息*",DS$3:DS$5,"&lt;&gt;*加班*")))))</f>
        <v>0</v>
      </c>
      <c r="DR4" s="19">
        <f>IF(DS4="",IF(AND(AVERAGEIF(DS$3:DS$9,"",DQ$3:DQ$9)&lt;500,DQ4&lt;500),0,(DQ4-500)*0.3),IF(DS4="","",CHOOSE(MATCH(DS4,{"休息","加班","新人"},),"",DQ4*0.3,(IF(DQ4&gt;500,CEILING(DQ4,1),500)-500)*0.3)))</f>
        <v>0</v>
      </c>
      <c r="DS4" s="21"/>
      <c r="DT4" s="22"/>
      <c r="DU4" s="13">
        <f>IF(DW4="",(DT$4/COUNTIFS(DW$3:DW$5,"&lt;&gt;*休息*",DW$3:DW$5,"&lt;&gt;*加班*")),IF(DW4="","",CHOOSE(MATCH(DW4,{"休息","加班","新人"},),"",(DT$3/COUNTIF(DW$3:DW$5,DW4)),(DT$4/COUNTIFS(DW$3:DW$5,"&lt;&gt;*休息*",DW$3:DW$5,"&lt;&gt;*加班*")))))</f>
        <v>0</v>
      </c>
      <c r="DV4" s="8">
        <f>IF(DW4="",IF(AND(AVERAGEIF(DW$3:DW$9,"",DU$3:DU$9)&lt;500,DU4&lt;500),0,(DU4-500)*0.3),IF(DW4="","",CHOOSE(MATCH(DW4,{"休息","加班","新人"},),"",DU4*0.3,(IF(DU4&gt;500,CEILING(DU4,1),500)-500)*0.3)))</f>
        <v>0</v>
      </c>
      <c r="DW4" s="14"/>
    </row>
    <row r="5" spans="1:127" ht="29.1" customHeight="1" x14ac:dyDescent="0.15">
      <c r="A5" s="10" t="s">
        <v>41</v>
      </c>
      <c r="B5" s="11">
        <f t="shared" si="0"/>
        <v>90</v>
      </c>
      <c r="C5" s="26"/>
      <c r="D5" s="23"/>
      <c r="E5" s="13">
        <f>IF(G5="",(D$4/COUNTIFS(G$3:G$5,"&lt;&gt;*休息*",G$3:G$5,"&lt;&gt;*加班*")),IF(G5="","",CHOOSE(MATCH(G5,{"休息","加班","新人"},),"",(D$3/COUNTIF(G$3:G$5,G5)),(D$4/COUNTIFS(G$3:G$5,"&lt;&gt;*休息*",G$3:G$5,"&lt;&gt;*加班*")))))</f>
        <v>0</v>
      </c>
      <c r="F5" s="8">
        <f>IF(G5="",IF(AND(AVERAGEIF(G$3:G$9,"",E$3:E$9)&lt;500,E5&lt;500),0,(E5-500)*0.3),IF(G5="","",CHOOSE(MATCH(G5,{"休息","加班","新人"},),"",E5*0.3,(IF(E5&gt;500,CEILING(E5,1),500)-500)*0.3)))</f>
        <v>0</v>
      </c>
      <c r="G5" s="14"/>
      <c r="H5" s="23"/>
      <c r="I5" s="20">
        <f>IF(K5="",(H$4/COUNTIFS(K$3:K$5,"&lt;&gt;*休息*",K$3:K$5,"&lt;&gt;*加班*")),IF(K5="","",CHOOSE(MATCH(K5,{"休息","加班","新人"},),"",(H$3/COUNTIF(K$3:K$5,K5)),(H$4/COUNTIFS(K$3:K$5,"&lt;&gt;*休息*",K$3:K$5,"&lt;&gt;*加班*")))))</f>
        <v>300</v>
      </c>
      <c r="J5" s="19">
        <f>IF(K5="",IF(AND(AVERAGEIF(K$3:K$9,"",I$3:I$9)&lt;500,I5&lt;500),0,(I5-500)*0.3),IF(K5="","",CHOOSE(MATCH(K5,{"休息","加班","新人"},),"",I5*0.3,(IF(I5&gt;500,CEILING(I5,1),500)-500)*0.3)))</f>
        <v>90</v>
      </c>
      <c r="K5" s="21" t="s">
        <v>42</v>
      </c>
      <c r="L5" s="23"/>
      <c r="M5" s="13">
        <f>IF(O5="",(L$4/COUNTIFS(O$3:O$5,"&lt;&gt;*休息*",O$3:O$5,"&lt;&gt;*加班*")),IF(O5="","",CHOOSE(MATCH(O5,{"休息","加班","新人"},),"",(L$3/COUNTIF(O$3:O$5,O5)),(L$4/COUNTIFS(O$3:O$5,"&lt;&gt;*休息*",O$3:O$5,"&lt;&gt;*加班*")))))</f>
        <v>433.33333333333331</v>
      </c>
      <c r="N5" s="8">
        <f>IF(O5="",IF(AND(AVERAGEIF(O$3:O$9,"",M$3:M$9)&lt;500,M5&lt;500),0,(M5-500)*0.3),IF(O5="","",CHOOSE(MATCH(O5,{"休息","加班","新人"},),"",M5*0.3,(IF(M5&gt;500,CEILING(M5,1),500)-500)*0.3)))</f>
        <v>0</v>
      </c>
      <c r="O5" s="14"/>
      <c r="P5" s="23"/>
      <c r="Q5" s="20">
        <f>IF(S5="",(P$4/COUNTIFS(S$3:S$5,"&lt;&gt;*休息*",S$3:S$5,"&lt;&gt;*加班*")),IF(S5="","",CHOOSE(MATCH(S5,{"休息","加班","新人"},),"",(P$3/COUNTIF(S$3:S$5,S5)),(P$4/COUNTIFS(S$3:S$5,"&lt;&gt;*休息*",S$3:S$5,"&lt;&gt;*加班*")))))</f>
        <v>0</v>
      </c>
      <c r="R5" s="19">
        <f>IF(S5="",IF(AND(AVERAGEIF(S$3:S$9,"",Q$3:Q$9)&lt;500,Q5&lt;500),0,(Q5-500)*0.3),IF(S5="","",CHOOSE(MATCH(S5,{"休息","加班","新人"},),"",Q5*0.3,(IF(Q5&gt;500,CEILING(Q5,1),500)-500)*0.3)))</f>
        <v>0</v>
      </c>
      <c r="S5" s="21"/>
      <c r="T5" s="23"/>
      <c r="U5" s="13">
        <f>IF(W5="",(T$4/COUNTIFS(W$3:W$5,"&lt;&gt;*休息*",W$3:W$5,"&lt;&gt;*加班*")),IF(W5="","",CHOOSE(MATCH(W5,{"休息","加班","新人"},),"",(T$3/COUNTIF(W$3:W$5,W5)),(T$4/COUNTIFS(W$3:W$5,"&lt;&gt;*休息*",W$3:W$5,"&lt;&gt;*加班*")))))</f>
        <v>0</v>
      </c>
      <c r="V5" s="8">
        <f>IF(W5="",IF(AND(AVERAGEIF(W$3:W$9,"",U$3:U$9)&lt;500,U5&lt;500),0,(U5-500)*0.3),IF(W5="","",CHOOSE(MATCH(W5,{"休息","加班","新人"},),"",U5*0.3,(IF(U5&gt;500,CEILING(U5,1),500)-500)*0.3)))</f>
        <v>0</v>
      </c>
      <c r="W5" s="14"/>
      <c r="X5" s="23"/>
      <c r="Y5" s="20">
        <f>IF(AA5="",(X$4/COUNTIFS(AA$3:AA$5,"&lt;&gt;*休息*",AA$3:AA$5,"&lt;&gt;*加班*")),IF(AA5="","",CHOOSE(MATCH(AA5,{"休息","加班","新人"},),"",(X$3/COUNTIF(AA$3:AA$5,AA5)),(X$4/COUNTIFS(AA$3:AA$5,"&lt;&gt;*休息*",AA$3:AA$5,"&lt;&gt;*加班*")))))</f>
        <v>0</v>
      </c>
      <c r="Z5" s="19">
        <f>IF(AA5="",IF(AND(AVERAGEIF(AA$3:AA$9,"",Y$3:Y$9)&lt;500,Y5&lt;500),0,(Y5-500)*0.3),IF(AA5="","",CHOOSE(MATCH(AA5,{"休息","加班","新人"},),"",Y5*0.3,(IF(Y5&gt;500,CEILING(Y5,1),500)-500)*0.3)))</f>
        <v>0</v>
      </c>
      <c r="AA5" s="21"/>
      <c r="AB5" s="23"/>
      <c r="AC5" s="13">
        <f>IF(AE5="",(AB$4/COUNTIFS(AE$3:AE$5,"&lt;&gt;*休息*",AE$3:AE$5,"&lt;&gt;*加班*")),IF(AE5="","",CHOOSE(MATCH(AE5,{"休息","加班","新人"},),"",(AB$3/COUNTIF(AE$3:AE$5,AE5)),(AB$4/COUNTIFS(AE$3:AE$5,"&lt;&gt;*休息*",AE$3:AE$5,"&lt;&gt;*加班*")))))</f>
        <v>0</v>
      </c>
      <c r="AD5" s="8">
        <f>IF(AE5="",IF(AND(AVERAGEIF(AE$3:AE$9,"",AC$3:AC$9)&lt;500,AC5&lt;500),0,(AC5-500)*0.3),IF(AE5="","",CHOOSE(MATCH(AE5,{"休息","加班","新人"},),"",AC5*0.3,(IF(AC5&gt;500,CEILING(AC5,1),500)-500)*0.3)))</f>
        <v>0</v>
      </c>
      <c r="AE5" s="14"/>
      <c r="AF5" s="23"/>
      <c r="AG5" s="20">
        <f>IF(AI5="",(AF$4/COUNTIFS(AI$3:AI$5,"&lt;&gt;*休息*",AI$3:AI$5,"&lt;&gt;*加班*")),IF(AI5="","",CHOOSE(MATCH(AI5,{"休息","加班","新人"},),"",(AF$3/COUNTIF(AI$3:AI$5,AI5)),(AF$4/COUNTIFS(AI$3:AI$5,"&lt;&gt;*休息*",AI$3:AI$5,"&lt;&gt;*加班*")))))</f>
        <v>0</v>
      </c>
      <c r="AH5" s="19">
        <f>IF(AI5="",IF(AND(AVERAGEIF(AI$3:AI$9,"",AG$3:AG$9)&lt;500,AG5&lt;500),0,(AG5-500)*0.3),IF(AI5="","",CHOOSE(MATCH(AI5,{"休息","加班","新人"},),"",AG5*0.3,(IF(AG5&gt;500,CEILING(AG5,1),500)-500)*0.3)))</f>
        <v>0</v>
      </c>
      <c r="AI5" s="21"/>
      <c r="AJ5" s="23"/>
      <c r="AK5" s="13">
        <f>IF(AM5="",(AJ$4/COUNTIFS(AM$3:AM$5,"&lt;&gt;*休息*",AM$3:AM$5,"&lt;&gt;*加班*")),IF(AM5="","",CHOOSE(MATCH(AM5,{"休息","加班","新人"},),"",(AJ$3/COUNTIF(AM$3:AM$5,AM5)),(AJ$4/COUNTIFS(AM$3:AM$5,"&lt;&gt;*休息*",AM$3:AM$5,"&lt;&gt;*加班*")))))</f>
        <v>0</v>
      </c>
      <c r="AL5" s="8">
        <f>IF(AM5="",IF(AND(AVERAGEIF(AM$3:AM$9,"",AK$3:AK$9)&lt;500,AK5&lt;500),0,(AK5-500)*0.3),IF(AM5="","",CHOOSE(MATCH(AM5,{"休息","加班","新人"},),"",AK5*0.3,(IF(AK5&gt;500,CEILING(AK5,1),500)-500)*0.3)))</f>
        <v>0</v>
      </c>
      <c r="AM5" s="14"/>
      <c r="AN5" s="23"/>
      <c r="AO5" s="20">
        <f>IF(AQ5="",(AN$4/COUNTIFS(AQ$3:AQ$5,"&lt;&gt;*休息*",AQ$3:AQ$5,"&lt;&gt;*加班*")),IF(AQ5="","",CHOOSE(MATCH(AQ5,{"休息","加班","新人"},),"",(AN$3/COUNTIF(AQ$3:AQ$5,AQ5)),(AN$4/COUNTIFS(AQ$3:AQ$5,"&lt;&gt;*休息*",AQ$3:AQ$5,"&lt;&gt;*加班*")))))</f>
        <v>0</v>
      </c>
      <c r="AP5" s="19">
        <f>IF(AQ5="",IF(AND(AVERAGEIF(AQ$3:AQ$9,"",AO$3:AO$9)&lt;500,AO5&lt;500),0,(AO5-500)*0.3),IF(AQ5="","",CHOOSE(MATCH(AQ5,{"休息","加班","新人"},),"",AO5*0.3,(IF(AO5&gt;500,CEILING(AO5,1),500)-500)*0.3)))</f>
        <v>0</v>
      </c>
      <c r="AQ5" s="21"/>
      <c r="AR5" s="23"/>
      <c r="AS5" s="13">
        <f>IF(AU5="",(AR$4/COUNTIFS(AU$3:AU$5,"&lt;&gt;*休息*",AU$3:AU$5,"&lt;&gt;*加班*")),IF(AU5="","",CHOOSE(MATCH(AU5,{"休息","加班","新人"},),"",(AR$3/COUNTIF(AU$3:AU$5,AU5)),(AR$4/COUNTIFS(AU$3:AU$5,"&lt;&gt;*休息*",AU$3:AU$5,"&lt;&gt;*加班*")))))</f>
        <v>0</v>
      </c>
      <c r="AT5" s="8">
        <f>IF(AU5="",IF(AND(AVERAGEIF(AU$3:AU$9,"",AS$3:AS$9)&lt;500,AS5&lt;500),0,(AS5-500)*0.3),IF(AU5="","",CHOOSE(MATCH(AU5,{"休息","加班","新人"},),"",AS5*0.3,(IF(AS5&gt;500,CEILING(AS5,1),500)-500)*0.3)))</f>
        <v>0</v>
      </c>
      <c r="AU5" s="14"/>
      <c r="AV5" s="23"/>
      <c r="AW5" s="20">
        <f>IF(AY5="",(AV$4/COUNTIFS(AY$3:AY$5,"&lt;&gt;*休息*",AY$3:AY$5,"&lt;&gt;*加班*")),IF(AY5="","",CHOOSE(MATCH(AY5,{"休息","加班","新人"},),"",(AV$3/COUNTIF(AY$3:AY$5,AY5)),(AV$4/COUNTIFS(AY$3:AY$5,"&lt;&gt;*休息*",AY$3:AY$5,"&lt;&gt;*加班*")))))</f>
        <v>0</v>
      </c>
      <c r="AX5" s="19">
        <f>IF(AY5="",IF(AND(AVERAGEIF(AY$3:AY$9,"",AW$3:AW$9)&lt;500,AW5&lt;500),0,(AW5-500)*0.3),IF(AY5="","",CHOOSE(MATCH(AY5,{"休息","加班","新人"},),"",AW5*0.3,(IF(AW5&gt;500,CEILING(AW5,1),500)-500)*0.3)))</f>
        <v>0</v>
      </c>
      <c r="AY5" s="21"/>
      <c r="AZ5" s="23"/>
      <c r="BA5" s="13">
        <f>IF(BC5="",(AZ$4/COUNTIFS(BC$3:BC$5,"&lt;&gt;*休息*",BC$3:BC$5,"&lt;&gt;*加班*")),IF(BC5="","",CHOOSE(MATCH(BC5,{"休息","加班","新人"},),"",(AZ$3/COUNTIF(BC$3:BC$5,BC5)),(AZ$4/COUNTIFS(BC$3:BC$5,"&lt;&gt;*休息*",BC$3:BC$5,"&lt;&gt;*加班*")))))</f>
        <v>0</v>
      </c>
      <c r="BB5" s="8">
        <f>IF(BC5="",IF(AND(AVERAGEIF(BC$3:BC$9,"",BA$3:BA$9)&lt;500,BA5&lt;500),0,(BA5-500)*0.3),IF(BC5="","",CHOOSE(MATCH(BC5,{"休息","加班","新人"},),"",BA5*0.3,(IF(BA5&gt;500,CEILING(BA5,1),500)-500)*0.3)))</f>
        <v>0</v>
      </c>
      <c r="BC5" s="14"/>
      <c r="BD5" s="23"/>
      <c r="BE5" s="20">
        <f>IF(BG5="",(BD$4/COUNTIFS(BG$3:BG$5,"&lt;&gt;*休息*",BG$3:BG$5,"&lt;&gt;*加班*")),IF(BG5="","",CHOOSE(MATCH(BG5,{"休息","加班","新人"},),"",(BD$3/COUNTIF(BG$3:BG$5,BG5)),(BD$4/COUNTIFS(BG$3:BG$5,"&lt;&gt;*休息*",BG$3:BG$5,"&lt;&gt;*加班*")))))</f>
        <v>0</v>
      </c>
      <c r="BF5" s="19">
        <f>IF(BG5="",IF(AND(AVERAGEIF(BG$3:BG$9,"",BE$3:BE$9)&lt;500,BE5&lt;500),0,(BE5-500)*0.3),IF(BG5="","",CHOOSE(MATCH(BG5,{"休息","加班","新人"},),"",BE5*0.3,(IF(BE5&gt;500,CEILING(BE5,1),500)-500)*0.3)))</f>
        <v>0</v>
      </c>
      <c r="BG5" s="21"/>
      <c r="BH5" s="23"/>
      <c r="BI5" s="13">
        <f>IF(BK5="",(BH$4/COUNTIFS(BK$3:BK$5,"&lt;&gt;*休息*",BK$3:BK$5,"&lt;&gt;*加班*")),IF(BK5="","",CHOOSE(MATCH(BK5,{"休息","加班","新人"},),"",(BH$3/COUNTIF(BK$3:BK$5,BK5)),(BH$4/COUNTIFS(BK$3:BK$5,"&lt;&gt;*休息*",BK$3:BK$5,"&lt;&gt;*加班*")))))</f>
        <v>0</v>
      </c>
      <c r="BJ5" s="8">
        <f>IF(BK5="",IF(AND(AVERAGEIF(BK$3:BK$9,"",BI$3:BI$9)&lt;500,BI5&lt;500),0,(BI5-500)*0.3),IF(BK5="","",CHOOSE(MATCH(BK5,{"休息","加班","新人"},),"",BI5*0.3,(IF(BI5&gt;500,CEILING(BI5,1),500)-500)*0.3)))</f>
        <v>0</v>
      </c>
      <c r="BK5" s="14"/>
      <c r="BL5" s="23"/>
      <c r="BM5" s="20">
        <f>IF(BO5="",(BL$4/COUNTIFS(BO$3:BO$5,"&lt;&gt;*休息*",BO$3:BO$5,"&lt;&gt;*加班*")),IF(BO5="","",CHOOSE(MATCH(BO5,{"休息","加班","新人"},),"",(BL$3/COUNTIF(BO$3:BO$5,BO5)),(BL$4/COUNTIFS(BO$3:BO$5,"&lt;&gt;*休息*",BO$3:BO$5,"&lt;&gt;*加班*")))))</f>
        <v>0</v>
      </c>
      <c r="BN5" s="19">
        <f>IF(BO5="",IF(AND(AVERAGEIF(BO$3:BO$9,"",BM$3:BM$9)&lt;500,BM5&lt;500),0,(BM5-500)*0.3),IF(BO5="","",CHOOSE(MATCH(BO5,{"休息","加班","新人"},),"",BM5*0.3,(IF(BM5&gt;500,CEILING(BM5,1),500)-500)*0.3)))</f>
        <v>0</v>
      </c>
      <c r="BO5" s="21"/>
      <c r="BP5" s="23"/>
      <c r="BQ5" s="13">
        <f>IF(BS5="",(BP$4/COUNTIFS(BS$3:BS$5,"&lt;&gt;*休息*",BS$3:BS$5,"&lt;&gt;*加班*")),IF(BS5="","",CHOOSE(MATCH(BS5,{"休息","加班","新人"},),"",(BP$3/COUNTIF(BS$3:BS$5,BS5)),(BP$4/COUNTIFS(BS$3:BS$5,"&lt;&gt;*休息*",BS$3:BS$5,"&lt;&gt;*加班*")))))</f>
        <v>0</v>
      </c>
      <c r="BR5" s="8">
        <f>IF(BS5="",IF(AND(AVERAGEIF(BS$3:BS$9,"",BQ$3:BQ$9)&lt;500,BQ5&lt;500),0,(BQ5-500)*0.3),IF(BS5="","",CHOOSE(MATCH(BS5,{"休息","加班","新人"},),"",BQ5*0.3,(IF(BQ5&gt;500,CEILING(BQ5,1),500)-500)*0.3)))</f>
        <v>0</v>
      </c>
      <c r="BS5" s="14"/>
      <c r="BT5" s="23"/>
      <c r="BU5" s="20">
        <f>IF(BW5="",(BT$4/COUNTIFS(BW$3:BW$5,"&lt;&gt;*休息*",BW$3:BW$5,"&lt;&gt;*加班*")),IF(BW5="","",CHOOSE(MATCH(BW5,{"休息","加班","新人"},),"",(BT$3/COUNTIF(BW$3:BW$5,BW5)),(BT$4/COUNTIFS(BW$3:BW$5,"&lt;&gt;*休息*",BW$3:BW$5,"&lt;&gt;*加班*")))))</f>
        <v>0</v>
      </c>
      <c r="BV5" s="19">
        <f>IF(BW5="",IF(AND(AVERAGEIF(BW$3:BW$9,"",BU$3:BU$9)&lt;500,BU5&lt;500),0,(BU5-500)*0.3),IF(BW5="","",CHOOSE(MATCH(BW5,{"休息","加班","新人"},),"",BU5*0.3,(IF(BU5&gt;500,CEILING(BU5,1),500)-500)*0.3)))</f>
        <v>0</v>
      </c>
      <c r="BW5" s="21"/>
      <c r="BX5" s="23"/>
      <c r="BY5" s="13">
        <f>IF(CA5="",(BX$4/COUNTIFS(CA$3:CA$5,"&lt;&gt;*休息*",CA$3:CA$5,"&lt;&gt;*加班*")),IF(CA5="","",CHOOSE(MATCH(CA5,{"休息","加班","新人"},),"",(BX$3/COUNTIF(CA$3:CA$5,CA5)),(BX$4/COUNTIFS(CA$3:CA$5,"&lt;&gt;*休息*",CA$3:CA$5,"&lt;&gt;*加班*")))))</f>
        <v>0</v>
      </c>
      <c r="BZ5" s="8">
        <f>IF(CA5="",IF(AND(AVERAGEIF(CA$3:CA$9,"",BY$3:BY$9)&lt;500,BY5&lt;500),0,(BY5-500)*0.3),IF(CA5="","",CHOOSE(MATCH(CA5,{"休息","加班","新人"},),"",BY5*0.3,(IF(BY5&gt;500,CEILING(BY5,1),500)-500)*0.3)))</f>
        <v>0</v>
      </c>
      <c r="CA5" s="14"/>
      <c r="CB5" s="23"/>
      <c r="CC5" s="20">
        <f>IF(CE5="",(CB$4/COUNTIFS(CE$3:CE$5,"&lt;&gt;*休息*",CE$3:CE$5,"&lt;&gt;*加班*")),IF(CE5="","",CHOOSE(MATCH(CE5,{"休息","加班","新人"},),"",(CB$3/COUNTIF(CE$3:CE$5,CE5)),(CB$4/COUNTIFS(CE$3:CE$5,"&lt;&gt;*休息*",CE$3:CE$5,"&lt;&gt;*加班*")))))</f>
        <v>0</v>
      </c>
      <c r="CD5" s="19">
        <f>IF(CE5="",IF(AND(AVERAGEIF(CE$3:CE$9,"",CC$3:CC$9)&lt;500,CC5&lt;500),0,(CC5-500)*0.3),IF(CE5="","",CHOOSE(MATCH(CE5,{"休息","加班","新人"},),"",CC5*0.3,(IF(CC5&gt;500,CEILING(CC5,1),500)-500)*0.3)))</f>
        <v>0</v>
      </c>
      <c r="CE5" s="21"/>
      <c r="CF5" s="23"/>
      <c r="CG5" s="13">
        <f>IF(CI5="",(CF$4/COUNTIFS(CI$3:CI$5,"&lt;&gt;*休息*",CI$3:CI$5,"&lt;&gt;*加班*")),IF(CI5="","",CHOOSE(MATCH(CI5,{"休息","加班","新人"},),"",(CF$3/COUNTIF(CI$3:CI$5,CI5)),(CF$4/COUNTIFS(CI$3:CI$5,"&lt;&gt;*休息*",CI$3:CI$5,"&lt;&gt;*加班*")))))</f>
        <v>0</v>
      </c>
      <c r="CH5" s="8">
        <f>IF(CI5="",IF(AND(AVERAGEIF(CI$3:CI$9,"",CG$3:CG$9)&lt;500,CG5&lt;500),0,(CG5-500)*0.3),IF(CI5="","",CHOOSE(MATCH(CI5,{"休息","加班","新人"},),"",CG5*0.3,(IF(CG5&gt;500,CEILING(CG5,1),500)-500)*0.3)))</f>
        <v>0</v>
      </c>
      <c r="CI5" s="14"/>
      <c r="CJ5" s="23"/>
      <c r="CK5" s="20">
        <f>IF(CM5="",(CJ$4/COUNTIFS(CM$3:CM$5,"&lt;&gt;*休息*",CM$3:CM$5,"&lt;&gt;*加班*")),IF(CM5="","",CHOOSE(MATCH(CM5,{"休息","加班","新人"},),"",(CJ$3/COUNTIF(CM$3:CM$5,CM5)),(CJ$4/COUNTIFS(CM$3:CM$5,"&lt;&gt;*休息*",CM$3:CM$5,"&lt;&gt;*加班*")))))</f>
        <v>0</v>
      </c>
      <c r="CL5" s="19">
        <f>IF(CM5="",IF(AND(AVERAGEIF(CM$3:CM$9,"",CK$3:CK$9)&lt;500,CK5&lt;500),0,(CK5-500)*0.3),IF(CM5="","",CHOOSE(MATCH(CM5,{"休息","加班","新人"},),"",CK5*0.3,(IF(CK5&gt;500,CEILING(CK5,1),500)-500)*0.3)))</f>
        <v>0</v>
      </c>
      <c r="CM5" s="21"/>
      <c r="CN5" s="23"/>
      <c r="CO5" s="13">
        <f>IF(CQ5="",(CN$4/COUNTIFS(CQ$3:CQ$5,"&lt;&gt;*休息*",CQ$3:CQ$5,"&lt;&gt;*加班*")),IF(CQ5="","",CHOOSE(MATCH(CQ5,{"休息","加班","新人"},),"",(CN$3/COUNTIF(CQ$3:CQ$5,CQ5)),(CN$4/COUNTIFS(CQ$3:CQ$5,"&lt;&gt;*休息*",CQ$3:CQ$5,"&lt;&gt;*加班*")))))</f>
        <v>0</v>
      </c>
      <c r="CP5" s="8">
        <f>IF(CQ5="",IF(AND(AVERAGEIF(CQ$3:CQ$9,"",CO$3:CO$9)&lt;500,CO5&lt;500),0,(CO5-500)*0.3),IF(CQ5="","",CHOOSE(MATCH(CQ5,{"休息","加班","新人"},),"",CO5*0.3,(IF(CO5&gt;500,CEILING(CO5,1),500)-500)*0.3)))</f>
        <v>0</v>
      </c>
      <c r="CQ5" s="14"/>
      <c r="CR5" s="23"/>
      <c r="CS5" s="20">
        <f>IF(CU5="",(CR$4/COUNTIFS(CU$3:CU$5,"&lt;&gt;*休息*",CU$3:CU$5,"&lt;&gt;*加班*")),IF(CU5="","",CHOOSE(MATCH(CU5,{"休息","加班","新人"},),"",(CR$3/COUNTIF(CU$3:CU$5,CU5)),(CR$4/COUNTIFS(CU$3:CU$5,"&lt;&gt;*休息*",CU$3:CU$5,"&lt;&gt;*加班*")))))</f>
        <v>0</v>
      </c>
      <c r="CT5" s="19">
        <f>IF(CU5="",IF(AND(AVERAGEIF(CU$3:CU$9,"",CS$3:CS$9)&lt;500,CS5&lt;500),0,(CS5-500)*0.3),IF(CU5="","",CHOOSE(MATCH(CU5,{"休息","加班","新人"},),"",CS5*0.3,(IF(CS5&gt;500,CEILING(CS5,1),500)-500)*0.3)))</f>
        <v>0</v>
      </c>
      <c r="CU5" s="21"/>
      <c r="CV5" s="23"/>
      <c r="CW5" s="13">
        <f>IF(CY5="",(CV$4/COUNTIFS(CY$3:CY$5,"&lt;&gt;*休息*",CY$3:CY$5,"&lt;&gt;*加班*")),IF(CY5="","",CHOOSE(MATCH(CY5,{"休息","加班","新人"},),"",(CV$3/COUNTIF(CY$3:CY$5,CY5)),(CV$4/COUNTIFS(CY$3:CY$5,"&lt;&gt;*休息*",CY$3:CY$5,"&lt;&gt;*加班*")))))</f>
        <v>0</v>
      </c>
      <c r="CX5" s="8">
        <f>IF(CY5="",IF(AND(AVERAGEIF(CY$3:CY$9,"",CW$3:CW$9)&lt;500,CW5&lt;500),0,(CW5-500)*0.3),IF(CY5="","",CHOOSE(MATCH(CY5,{"休息","加班","新人"},),"",CW5*0.3,(IF(CW5&gt;500,CEILING(CW5,1),500)-500)*0.3)))</f>
        <v>0</v>
      </c>
      <c r="CY5" s="14"/>
      <c r="CZ5" s="23"/>
      <c r="DA5" s="20">
        <f>IF(DC5="",(CZ$4/COUNTIFS(DC$3:DC$5,"&lt;&gt;*休息*",DC$3:DC$5,"&lt;&gt;*加班*")),IF(DC5="","",CHOOSE(MATCH(DC5,{"休息","加班","新人"},),"",(CZ$3/COUNTIF(DC$3:DC$5,DC5)),(CZ$4/COUNTIFS(DC$3:DC$5,"&lt;&gt;*休息*",DC$3:DC$5,"&lt;&gt;*加班*")))))</f>
        <v>0</v>
      </c>
      <c r="DB5" s="19">
        <f>IF(DC5="",IF(AND(AVERAGEIF(DC$3:DC$9,"",DA$3:DA$9)&lt;500,DA5&lt;500),0,(DA5-500)*0.3),IF(DC5="","",CHOOSE(MATCH(DC5,{"休息","加班","新人"},),"",DA5*0.3,(IF(DA5&gt;500,CEILING(DA5,1),500)-500)*0.3)))</f>
        <v>0</v>
      </c>
      <c r="DC5" s="21"/>
      <c r="DD5" s="23"/>
      <c r="DE5" s="13">
        <f>IF(DG5="",(DD$4/COUNTIFS(DG$3:DG$5,"&lt;&gt;*休息*",DG$3:DG$5,"&lt;&gt;*加班*")),IF(DG5="","",CHOOSE(MATCH(DG5,{"休息","加班","新人"},),"",(DD$3/COUNTIF(DG$3:DG$5,DG5)),(DD$4/COUNTIFS(DG$3:DG$5,"&lt;&gt;*休息*",DG$3:DG$5,"&lt;&gt;*加班*")))))</f>
        <v>0</v>
      </c>
      <c r="DF5" s="8">
        <f>IF(DG5="",IF(AND(AVERAGEIF(DG$3:DG$9,"",DE$3:DE$9)&lt;500,DE5&lt;500),0,(DE5-500)*0.3),IF(DG5="","",CHOOSE(MATCH(DG5,{"休息","加班","新人"},),"",DE5*0.3,(IF(DE5&gt;500,CEILING(DE5,1),500)-500)*0.3)))</f>
        <v>0</v>
      </c>
      <c r="DG5" s="14"/>
      <c r="DH5" s="23"/>
      <c r="DI5" s="20">
        <f>IF(DK5="",(DH$4/COUNTIFS(DK$3:DK$5,"&lt;&gt;*休息*",DK$3:DK$5,"&lt;&gt;*加班*")),IF(DK5="","",CHOOSE(MATCH(DK5,{"休息","加班","新人"},),"",(DH$3/COUNTIF(DK$3:DK$5,DK5)),(DH$4/COUNTIFS(DK$3:DK$5,"&lt;&gt;*休息*",DK$3:DK$5,"&lt;&gt;*加班*")))))</f>
        <v>0</v>
      </c>
      <c r="DJ5" s="19">
        <f>IF(DK5="",IF(AND(AVERAGEIF(DK$3:DK$9,"",DI$3:DI$9)&lt;500,DI5&lt;500),0,(DI5-500)*0.3),IF(DK5="","",CHOOSE(MATCH(DK5,{"休息","加班","新人"},),"",DI5*0.3,(IF(DI5&gt;500,CEILING(DI5,1),500)-500)*0.3)))</f>
        <v>0</v>
      </c>
      <c r="DK5" s="21"/>
      <c r="DL5" s="23"/>
      <c r="DM5" s="13">
        <f>IF(DO5="",(DL$4/COUNTIFS(DO$3:DO$5,"&lt;&gt;*休息*",DO$3:DO$5,"&lt;&gt;*加班*")),IF(DO5="","",CHOOSE(MATCH(DO5,{"休息","加班","新人"},),"",(DL$3/COUNTIF(DO$3:DO$5,DO5)),(DL$4/COUNTIFS(DO$3:DO$5,"&lt;&gt;*休息*",DO$3:DO$5,"&lt;&gt;*加班*")))))</f>
        <v>0</v>
      </c>
      <c r="DN5" s="8">
        <f>IF(DO5="",IF(AND(AVERAGEIF(DO$3:DO$9,"",DM$3:DM$9)&lt;500,DM5&lt;500),0,(DM5-500)*0.3),IF(DO5="","",CHOOSE(MATCH(DO5,{"休息","加班","新人"},),"",DM5*0.3,(IF(DM5&gt;500,CEILING(DM5,1),500)-500)*0.3)))</f>
        <v>0</v>
      </c>
      <c r="DO5" s="14"/>
      <c r="DP5" s="23"/>
      <c r="DQ5" s="20">
        <f>IF(DS5="",(DP$4/COUNTIFS(DS$3:DS$5,"&lt;&gt;*休息*",DS$3:DS$5,"&lt;&gt;*加班*")),IF(DS5="","",CHOOSE(MATCH(DS5,{"休息","加班","新人"},),"",(DP$3/COUNTIF(DS$3:DS$5,DS5)),(DP$4/COUNTIFS(DS$3:DS$5,"&lt;&gt;*休息*",DS$3:DS$5,"&lt;&gt;*加班*")))))</f>
        <v>0</v>
      </c>
      <c r="DR5" s="19">
        <f>IF(DS5="",IF(AND(AVERAGEIF(DS$3:DS$9,"",DQ$3:DQ$9)&lt;500,DQ5&lt;500),0,(DQ5-500)*0.3),IF(DS5="","",CHOOSE(MATCH(DS5,{"休息","加班","新人"},),"",DQ5*0.3,(IF(DQ5&gt;500,CEILING(DQ5,1),500)-500)*0.3)))</f>
        <v>0</v>
      </c>
      <c r="DS5" s="21"/>
      <c r="DT5" s="23"/>
      <c r="DU5" s="13">
        <f>IF(DW5="",(DT$4/COUNTIFS(DW$3:DW$5,"&lt;&gt;*休息*",DW$3:DW$5,"&lt;&gt;*加班*")),IF(DW5="","",CHOOSE(MATCH(DW5,{"休息","加班","新人"},),"",(DT$3/COUNTIF(DW$3:DW$5,DW5)),(DT$4/COUNTIFS(DW$3:DW$5,"&lt;&gt;*休息*",DW$3:DW$5,"&lt;&gt;*加班*")))))</f>
        <v>0</v>
      </c>
      <c r="DV5" s="8">
        <f>IF(DW5="",IF(AND(AVERAGEIF(DW$3:DW$9,"",DU$3:DU$9)&lt;500,DU5&lt;500),0,(DU5-500)*0.3),IF(DW5="","",CHOOSE(MATCH(DW5,{"休息","加班","新人"},),"",DU5*0.3,(IF(DU5&gt;500,CEILING(DU5,1),500)-500)*0.3)))</f>
        <v>0</v>
      </c>
      <c r="DW5" s="14"/>
    </row>
    <row r="6" spans="1:127" ht="29.1" customHeight="1" x14ac:dyDescent="0.15">
      <c r="A6" s="15" t="s">
        <v>43</v>
      </c>
      <c r="B6" s="11">
        <f t="shared" si="0"/>
        <v>75</v>
      </c>
      <c r="C6" s="5" t="s">
        <v>44</v>
      </c>
      <c r="D6" s="12">
        <v>750</v>
      </c>
      <c r="E6" s="13">
        <f>IF(G6="",D6,IF(G6="","",CHOOSE(MATCH(G6,{"休息","加班","新人"},),"",D6,D6)))</f>
        <v>750</v>
      </c>
      <c r="F6" s="8">
        <f>IF(G6="",IF(AND(AVERAGEIF(G$3:G$9,"",E$3:E$9)&lt;500,E6&lt;500),0,(E6-500)*0.3),IF(G6="","",CHOOSE(MATCH(G6,{"休息","加班","新人"},),"",E6*0.3,(IF(E6&gt;500,CEILING(E6,1),500)-500)*0.3)))</f>
        <v>75</v>
      </c>
      <c r="G6" s="14"/>
      <c r="H6" s="12"/>
      <c r="I6" s="20" t="str">
        <f>IF(K6="",H6,IF(K6="","",CHOOSE(MATCH(K6,{"休息","加班","新人"},),"",H6,H6)))</f>
        <v/>
      </c>
      <c r="J6" s="19" t="str">
        <f>IF(K6="",IF(AND(AVERAGEIF(K$3:K$9,"",I$3:I$9)&lt;500,I6&lt;500),0,(I6-500)*0.3),IF(K6="","",CHOOSE(MATCH(K6,{"休息","加班","新人"},),"",I6*0.3,(IF(I6&gt;500,CEILING(I6,1),500)-500)*0.3)))</f>
        <v/>
      </c>
      <c r="K6" s="21" t="s">
        <v>40</v>
      </c>
      <c r="L6" s="12">
        <v>460</v>
      </c>
      <c r="M6" s="13">
        <f>IF(O6="",L6,IF(O6="","",CHOOSE(MATCH(O6,{"休息","加班","新人"},),"",L6,L6)))</f>
        <v>460</v>
      </c>
      <c r="N6" s="8">
        <f>IF(O6="",IF(AND(AVERAGEIF(O$3:O$9,"",M$3:M$9)&lt;500,M6&lt;500),0,(M6-500)*0.3),IF(O6="","",CHOOSE(MATCH(O6,{"休息","加班","新人"},),"",M6*0.3,(IF(M6&gt;500,CEILING(M6,1),500)-500)*0.3)))</f>
        <v>0</v>
      </c>
      <c r="O6" s="14"/>
      <c r="P6" s="12"/>
      <c r="Q6" s="20">
        <f>IF(S6="",P6,IF(S6="","",CHOOSE(MATCH(S6,{"休息","加班","新人"},),"",P6,P6)))</f>
        <v>0</v>
      </c>
      <c r="R6" s="19">
        <f>IF(S6="",IF(AND(AVERAGEIF(S$3:S$9,"",Q$3:Q$9)&lt;500,Q6&lt;500),0,(Q6-500)*0.3),IF(S6="","",CHOOSE(MATCH(S6,{"休息","加班","新人"},),"",Q6*0.3,(IF(Q6&gt;500,CEILING(Q6,1),500)-500)*0.3)))</f>
        <v>0</v>
      </c>
      <c r="S6" s="21"/>
      <c r="T6" s="12"/>
      <c r="U6" s="13">
        <f>IF(W6="",T6,IF(W6="","",CHOOSE(MATCH(W6,{"休息","加班","新人"},),"",T6,T6)))</f>
        <v>0</v>
      </c>
      <c r="V6" s="8">
        <f>IF(W6="",IF(AND(AVERAGEIF(W$3:W$9,"",U$3:U$9)&lt;500,U6&lt;500),0,(U6-500)*0.3),IF(W6="","",CHOOSE(MATCH(W6,{"休息","加班","新人"},),"",U6*0.3,(IF(U6&gt;500,CEILING(U6,1),500)-500)*0.3)))</f>
        <v>0</v>
      </c>
      <c r="W6" s="14"/>
      <c r="X6" s="12"/>
      <c r="Y6" s="20">
        <f>IF(AA6="",X6,IF(AA6="","",CHOOSE(MATCH(AA6,{"休息","加班","新人"},),"",X6,X6)))</f>
        <v>0</v>
      </c>
      <c r="Z6" s="19">
        <f>IF(AA6="",IF(AND(AVERAGEIF(AA$3:AA$9,"",Y$3:Y$9)&lt;500,Y6&lt;500),0,(Y6-500)*0.3),IF(AA6="","",CHOOSE(MATCH(AA6,{"休息","加班","新人"},),"",Y6*0.3,(IF(Y6&gt;500,CEILING(Y6,1),500)-500)*0.3)))</f>
        <v>0</v>
      </c>
      <c r="AA6" s="21"/>
      <c r="AB6" s="12"/>
      <c r="AC6" s="13">
        <f>IF(AE6="",AB6,IF(AE6="","",CHOOSE(MATCH(AE6,{"休息","加班","新人"},),"",AB6,AB6)))</f>
        <v>0</v>
      </c>
      <c r="AD6" s="8">
        <f>IF(AE6="",IF(AND(AVERAGEIF(AE$3:AE$9,"",AC$3:AC$9)&lt;500,AC6&lt;500),0,(AC6-500)*0.3),IF(AE6="","",CHOOSE(MATCH(AE6,{"休息","加班","新人"},),"",AC6*0.3,(IF(AC6&gt;500,CEILING(AC6,1),500)-500)*0.3)))</f>
        <v>0</v>
      </c>
      <c r="AE6" s="14"/>
      <c r="AF6" s="12"/>
      <c r="AG6" s="20">
        <f>IF(AI6="",AF6,IF(AI6="","",CHOOSE(MATCH(AI6,{"休息","加班","新人"},),"",AF6,AF6)))</f>
        <v>0</v>
      </c>
      <c r="AH6" s="19">
        <f>IF(AI6="",IF(AND(AVERAGEIF(AI$3:AI$9,"",AG$3:AG$9)&lt;500,AG6&lt;500),0,(AG6-500)*0.3),IF(AI6="","",CHOOSE(MATCH(AI6,{"休息","加班","新人"},),"",AG6*0.3,(IF(AG6&gt;500,CEILING(AG6,1),500)-500)*0.3)))</f>
        <v>0</v>
      </c>
      <c r="AI6" s="21"/>
      <c r="AJ6" s="12"/>
      <c r="AK6" s="13">
        <f>IF(AM6="",AJ6,IF(AM6="","",CHOOSE(MATCH(AM6,{"休息","加班","新人"},),"",AJ6,AJ6)))</f>
        <v>0</v>
      </c>
      <c r="AL6" s="8">
        <f>IF(AM6="",IF(AND(AVERAGEIF(AM$3:AM$9,"",AK$3:AK$9)&lt;500,AK6&lt;500),0,(AK6-500)*0.3),IF(AM6="","",CHOOSE(MATCH(AM6,{"休息","加班","新人"},),"",AK6*0.3,(IF(AK6&gt;500,CEILING(AK6,1),500)-500)*0.3)))</f>
        <v>0</v>
      </c>
      <c r="AM6" s="14"/>
      <c r="AN6" s="12"/>
      <c r="AO6" s="20">
        <f>IF(AQ6="",AN6,IF(AQ6="","",CHOOSE(MATCH(AQ6,{"休息","加班","新人"},),"",AN6,AN6)))</f>
        <v>0</v>
      </c>
      <c r="AP6" s="19">
        <f>IF(AQ6="",IF(AND(AVERAGEIF(AQ$3:AQ$9,"",AO$3:AO$9)&lt;500,AO6&lt;500),0,(AO6-500)*0.3),IF(AQ6="","",CHOOSE(MATCH(AQ6,{"休息","加班","新人"},),"",AO6*0.3,(IF(AO6&gt;500,CEILING(AO6,1),500)-500)*0.3)))</f>
        <v>0</v>
      </c>
      <c r="AQ6" s="21"/>
      <c r="AR6" s="12"/>
      <c r="AS6" s="13">
        <f>IF(AU6="",AR6,IF(AU6="","",CHOOSE(MATCH(AU6,{"休息","加班","新人"},),"",AR6,AR6)))</f>
        <v>0</v>
      </c>
      <c r="AT6" s="8">
        <f>IF(AU6="",IF(AND(AVERAGEIF(AU$3:AU$9,"",AS$3:AS$9)&lt;500,AS6&lt;500),0,(AS6-500)*0.3),IF(AU6="","",CHOOSE(MATCH(AU6,{"休息","加班","新人"},),"",AS6*0.3,(IF(AS6&gt;500,CEILING(AS6,1),500)-500)*0.3)))</f>
        <v>0</v>
      </c>
      <c r="AU6" s="14"/>
      <c r="AV6" s="12"/>
      <c r="AW6" s="20">
        <f>IF(AY6="",AV6,IF(AY6="","",CHOOSE(MATCH(AY6,{"休息","加班","新人"},),"",AV6,AV6)))</f>
        <v>0</v>
      </c>
      <c r="AX6" s="19">
        <f>IF(AY6="",IF(AND(AVERAGEIF(AY$3:AY$9,"",AW$3:AW$9)&lt;500,AW6&lt;500),0,(AW6-500)*0.3),IF(AY6="","",CHOOSE(MATCH(AY6,{"休息","加班","新人"},),"",AW6*0.3,(IF(AW6&gt;500,CEILING(AW6,1),500)-500)*0.3)))</f>
        <v>0</v>
      </c>
      <c r="AY6" s="21"/>
      <c r="AZ6" s="12"/>
      <c r="BA6" s="13">
        <f>IF(BC6="",AZ6,IF(BC6="","",CHOOSE(MATCH(BC6,{"休息","加班","新人"},),"",AZ6,AZ6)))</f>
        <v>0</v>
      </c>
      <c r="BB6" s="8">
        <f>IF(BC6="",IF(AND(AVERAGEIF(BC$3:BC$9,"",BA$3:BA$9)&lt;500,BA6&lt;500),0,(BA6-500)*0.3),IF(BC6="","",CHOOSE(MATCH(BC6,{"休息","加班","新人"},),"",BA6*0.3,(IF(BA6&gt;500,CEILING(BA6,1),500)-500)*0.3)))</f>
        <v>0</v>
      </c>
      <c r="BC6" s="14"/>
      <c r="BD6" s="12"/>
      <c r="BE6" s="20">
        <f>IF(BG6="",BD6,IF(BG6="","",CHOOSE(MATCH(BG6,{"休息","加班","新人"},),"",BD6,BD6)))</f>
        <v>0</v>
      </c>
      <c r="BF6" s="19">
        <f>IF(BG6="",IF(AND(AVERAGEIF(BG$3:BG$9,"",BE$3:BE$9)&lt;500,BE6&lt;500),0,(BE6-500)*0.3),IF(BG6="","",CHOOSE(MATCH(BG6,{"休息","加班","新人"},),"",BE6*0.3,(IF(BE6&gt;500,CEILING(BE6,1),500)-500)*0.3)))</f>
        <v>0</v>
      </c>
      <c r="BG6" s="21"/>
      <c r="BH6" s="12"/>
      <c r="BI6" s="13">
        <f>IF(BK6="",BH6,IF(BK6="","",CHOOSE(MATCH(BK6,{"休息","加班","新人"},),"",BH6,BH6)))</f>
        <v>0</v>
      </c>
      <c r="BJ6" s="8">
        <f>IF(BK6="",IF(AND(AVERAGEIF(BK$3:BK$9,"",BI$3:BI$9)&lt;500,BI6&lt;500),0,(BI6-500)*0.3),IF(BK6="","",CHOOSE(MATCH(BK6,{"休息","加班","新人"},),"",BI6*0.3,(IF(BI6&gt;500,CEILING(BI6,1),500)-500)*0.3)))</f>
        <v>0</v>
      </c>
      <c r="BK6" s="14"/>
      <c r="BL6" s="12"/>
      <c r="BM6" s="20">
        <f>IF(BO6="",BL6,IF(BO6="","",CHOOSE(MATCH(BO6,{"休息","加班","新人"},),"",BL6,BL6)))</f>
        <v>0</v>
      </c>
      <c r="BN6" s="19">
        <f>IF(BO6="",IF(AND(AVERAGEIF(BO$3:BO$9,"",BM$3:BM$9)&lt;500,BM6&lt;500),0,(BM6-500)*0.3),IF(BO6="","",CHOOSE(MATCH(BO6,{"休息","加班","新人"},),"",BM6*0.3,(IF(BM6&gt;500,CEILING(BM6,1),500)-500)*0.3)))</f>
        <v>0</v>
      </c>
      <c r="BO6" s="21"/>
      <c r="BP6" s="12"/>
      <c r="BQ6" s="13">
        <f>IF(BS6="",BP6,IF(BS6="","",CHOOSE(MATCH(BS6,{"休息","加班","新人"},),"",BP6,BP6)))</f>
        <v>0</v>
      </c>
      <c r="BR6" s="8">
        <f>IF(BS6="",IF(AND(AVERAGEIF(BS$3:BS$9,"",BQ$3:BQ$9)&lt;500,BQ6&lt;500),0,(BQ6-500)*0.3),IF(BS6="","",CHOOSE(MATCH(BS6,{"休息","加班","新人"},),"",BQ6*0.3,(IF(BQ6&gt;500,CEILING(BQ6,1),500)-500)*0.3)))</f>
        <v>0</v>
      </c>
      <c r="BS6" s="14"/>
      <c r="BT6" s="12"/>
      <c r="BU6" s="20">
        <f>IF(BW6="",BT6,IF(BW6="","",CHOOSE(MATCH(BW6,{"休息","加班","新人"},),"",BT6,BT6)))</f>
        <v>0</v>
      </c>
      <c r="BV6" s="19">
        <f>IF(BW6="",IF(AND(AVERAGEIF(BW$3:BW$9,"",BU$3:BU$9)&lt;500,BU6&lt;500),0,(BU6-500)*0.3),IF(BW6="","",CHOOSE(MATCH(BW6,{"休息","加班","新人"},),"",BU6*0.3,(IF(BU6&gt;500,CEILING(BU6,1),500)-500)*0.3)))</f>
        <v>0</v>
      </c>
      <c r="BW6" s="21"/>
      <c r="BX6" s="12"/>
      <c r="BY6" s="13">
        <f>IF(CA6="",BX6,IF(CA6="","",CHOOSE(MATCH(CA6,{"休息","加班","新人"},),"",BX6,BX6)))</f>
        <v>0</v>
      </c>
      <c r="BZ6" s="8">
        <f>IF(CA6="",IF(AND(AVERAGEIF(CA$3:CA$9,"",BY$3:BY$9)&lt;500,BY6&lt;500),0,(BY6-500)*0.3),IF(CA6="","",CHOOSE(MATCH(CA6,{"休息","加班","新人"},),"",BY6*0.3,(IF(BY6&gt;500,CEILING(BY6,1),500)-500)*0.3)))</f>
        <v>0</v>
      </c>
      <c r="CA6" s="14"/>
      <c r="CB6" s="12"/>
      <c r="CC6" s="20">
        <f>IF(CE6="",CB6,IF(CE6="","",CHOOSE(MATCH(CE6,{"休息","加班","新人"},),"",CB6,CB6)))</f>
        <v>0</v>
      </c>
      <c r="CD6" s="19">
        <f>IF(CE6="",IF(AND(AVERAGEIF(CE$3:CE$9,"",CC$3:CC$9)&lt;500,CC6&lt;500),0,(CC6-500)*0.3),IF(CE6="","",CHOOSE(MATCH(CE6,{"休息","加班","新人"},),"",CC6*0.3,(IF(CC6&gt;500,CEILING(CC6,1),500)-500)*0.3)))</f>
        <v>0</v>
      </c>
      <c r="CE6" s="21"/>
      <c r="CF6" s="12"/>
      <c r="CG6" s="13">
        <f>IF(CI6="",CF6,IF(CI6="","",CHOOSE(MATCH(CI6,{"休息","加班","新人"},),"",CF6,CF6)))</f>
        <v>0</v>
      </c>
      <c r="CH6" s="8">
        <f>IF(CI6="",IF(AND(AVERAGEIF(CI$3:CI$9,"",CG$3:CG$9)&lt;500,CG6&lt;500),0,(CG6-500)*0.3),IF(CI6="","",CHOOSE(MATCH(CI6,{"休息","加班","新人"},),"",CG6*0.3,(IF(CG6&gt;500,CEILING(CG6,1),500)-500)*0.3)))</f>
        <v>0</v>
      </c>
      <c r="CI6" s="14"/>
      <c r="CJ6" s="12"/>
      <c r="CK6" s="20">
        <f>IF(CM6="",CJ6,IF(CM6="","",CHOOSE(MATCH(CM6,{"休息","加班","新人"},),"",CJ6,CJ6)))</f>
        <v>0</v>
      </c>
      <c r="CL6" s="19">
        <f>IF(CM6="",IF(AND(AVERAGEIF(CM$3:CM$9,"",CK$3:CK$9)&lt;500,CK6&lt;500),0,(CK6-500)*0.3),IF(CM6="","",CHOOSE(MATCH(CM6,{"休息","加班","新人"},),"",CK6*0.3,(IF(CK6&gt;500,CEILING(CK6,1),500)-500)*0.3)))</f>
        <v>0</v>
      </c>
      <c r="CM6" s="21"/>
      <c r="CN6" s="12"/>
      <c r="CO6" s="13">
        <f>IF(CQ6="",CN6,IF(CQ6="","",CHOOSE(MATCH(CQ6,{"休息","加班","新人"},),"",CN6,CN6)))</f>
        <v>0</v>
      </c>
      <c r="CP6" s="8">
        <f>IF(CQ6="",IF(AND(AVERAGEIF(CQ$3:CQ$9,"",CO$3:CO$9)&lt;500,CO6&lt;500),0,(CO6-500)*0.3),IF(CQ6="","",CHOOSE(MATCH(CQ6,{"休息","加班","新人"},),"",CO6*0.3,(IF(CO6&gt;500,CEILING(CO6,1),500)-500)*0.3)))</f>
        <v>0</v>
      </c>
      <c r="CQ6" s="14"/>
      <c r="CR6" s="12"/>
      <c r="CS6" s="20">
        <f>IF(CU6="",CR6,IF(CU6="","",CHOOSE(MATCH(CU6,{"休息","加班","新人"},),"",CR6,CR6)))</f>
        <v>0</v>
      </c>
      <c r="CT6" s="19">
        <f>IF(CU6="",IF(AND(AVERAGEIF(CU$3:CU$9,"",CS$3:CS$9)&lt;500,CS6&lt;500),0,(CS6-500)*0.3),IF(CU6="","",CHOOSE(MATCH(CU6,{"休息","加班","新人"},),"",CS6*0.3,(IF(CS6&gt;500,CEILING(CS6,1),500)-500)*0.3)))</f>
        <v>0</v>
      </c>
      <c r="CU6" s="21"/>
      <c r="CV6" s="12"/>
      <c r="CW6" s="13">
        <f>IF(CY6="",CV6,IF(CY6="","",CHOOSE(MATCH(CY6,{"休息","加班","新人"},),"",CV6,CV6)))</f>
        <v>0</v>
      </c>
      <c r="CX6" s="8">
        <f>IF(CY6="",IF(AND(AVERAGEIF(CY$3:CY$9,"",CW$3:CW$9)&lt;500,CW6&lt;500),0,(CW6-500)*0.3),IF(CY6="","",CHOOSE(MATCH(CY6,{"休息","加班","新人"},),"",CW6*0.3,(IF(CW6&gt;500,CEILING(CW6,1),500)-500)*0.3)))</f>
        <v>0</v>
      </c>
      <c r="CY6" s="14"/>
      <c r="CZ6" s="12"/>
      <c r="DA6" s="20">
        <f>IF(DC6="",CZ6,IF(DC6="","",CHOOSE(MATCH(DC6,{"休息","加班","新人"},),"",CZ6,CZ6)))</f>
        <v>0</v>
      </c>
      <c r="DB6" s="19">
        <f>IF(DC6="",IF(AND(AVERAGEIF(DC$3:DC$9,"",DA$3:DA$9)&lt;500,DA6&lt;500),0,(DA6-500)*0.3),IF(DC6="","",CHOOSE(MATCH(DC6,{"休息","加班","新人"},),"",DA6*0.3,(IF(DA6&gt;500,CEILING(DA6,1),500)-500)*0.3)))</f>
        <v>0</v>
      </c>
      <c r="DC6" s="21"/>
      <c r="DD6" s="12"/>
      <c r="DE6" s="13">
        <f>IF(DG6="",DD6,IF(DG6="","",CHOOSE(MATCH(DG6,{"休息","加班","新人"},),"",DD6,DD6)))</f>
        <v>0</v>
      </c>
      <c r="DF6" s="8">
        <f>IF(DG6="",IF(AND(AVERAGEIF(DG$3:DG$9,"",DE$3:DE$9)&lt;500,DE6&lt;500),0,(DE6-500)*0.3),IF(DG6="","",CHOOSE(MATCH(DG6,{"休息","加班","新人"},),"",DE6*0.3,(IF(DE6&gt;500,CEILING(DE6,1),500)-500)*0.3)))</f>
        <v>0</v>
      </c>
      <c r="DG6" s="14"/>
      <c r="DH6" s="12"/>
      <c r="DI6" s="20">
        <f>IF(DK6="",DH6,IF(DK6="","",CHOOSE(MATCH(DK6,{"休息","加班","新人"},),"",DH6,DH6)))</f>
        <v>0</v>
      </c>
      <c r="DJ6" s="19">
        <f>IF(DK6="",IF(AND(AVERAGEIF(DK$3:DK$9,"",DI$3:DI$9)&lt;500,DI6&lt;500),0,(DI6-500)*0.3),IF(DK6="","",CHOOSE(MATCH(DK6,{"休息","加班","新人"},),"",DI6*0.3,(IF(DI6&gt;500,CEILING(DI6,1),500)-500)*0.3)))</f>
        <v>0</v>
      </c>
      <c r="DK6" s="21"/>
      <c r="DL6" s="12"/>
      <c r="DM6" s="13">
        <f>IF(DO6="",DL6,IF(DO6="","",CHOOSE(MATCH(DO6,{"休息","加班","新人"},),"",DL6,DL6)))</f>
        <v>0</v>
      </c>
      <c r="DN6" s="8">
        <f>IF(DO6="",IF(AND(AVERAGEIF(DO$3:DO$9,"",DM$3:DM$9)&lt;500,DM6&lt;500),0,(DM6-500)*0.3),IF(DO6="","",CHOOSE(MATCH(DO6,{"休息","加班","新人"},),"",DM6*0.3,(IF(DM6&gt;500,CEILING(DM6,1),500)-500)*0.3)))</f>
        <v>0</v>
      </c>
      <c r="DO6" s="14"/>
      <c r="DP6" s="12"/>
      <c r="DQ6" s="20">
        <f>IF(DS6="",DP6,IF(DS6="","",CHOOSE(MATCH(DS6,{"休息","加班","新人"},),"",DP6,DP6)))</f>
        <v>0</v>
      </c>
      <c r="DR6" s="19">
        <f>IF(DS6="",IF(AND(AVERAGEIF(DS$3:DS$9,"",DQ$3:DQ$9)&lt;500,DQ6&lt;500),0,(DQ6-500)*0.3),IF(DS6="","",CHOOSE(MATCH(DS6,{"休息","加班","新人"},),"",DQ6*0.3,(IF(DQ6&gt;500,CEILING(DQ6,1),500)-500)*0.3)))</f>
        <v>0</v>
      </c>
      <c r="DS6" s="21"/>
      <c r="DT6" s="12"/>
      <c r="DU6" s="13">
        <f>IF(DW6="",DT6,IF(DW6="","",CHOOSE(MATCH(DW6,{"休息","加班","新人"},),"",DT6,DT6)))</f>
        <v>0</v>
      </c>
      <c r="DV6" s="8">
        <f>IF(DW6="",IF(AND(AVERAGEIF(DW$3:DW$9,"",DU$3:DU$9)&lt;500,DU6&lt;500),0,(DU6-500)*0.3),IF(DW6="","",CHOOSE(MATCH(DW6,{"休息","加班","新人"},),"",DU6*0.3,(IF(DU6&gt;500,CEILING(DU6,1),500)-500)*0.3)))</f>
        <v>0</v>
      </c>
      <c r="DW6" s="14"/>
    </row>
    <row r="7" spans="1:127" ht="29.1" customHeight="1" x14ac:dyDescent="0.15">
      <c r="A7" s="15" t="s">
        <v>45</v>
      </c>
      <c r="B7" s="11">
        <f t="shared" si="0"/>
        <v>126</v>
      </c>
      <c r="C7" s="5" t="s">
        <v>46</v>
      </c>
      <c r="D7" s="12">
        <v>610</v>
      </c>
      <c r="E7" s="13">
        <f>IF(G7="",D7,IF(G7="","",CHOOSE(MATCH(G7,{"休息","加班","新人"},),"",D7,D7)))</f>
        <v>610</v>
      </c>
      <c r="F7" s="8">
        <f>IF(G7="",IF(AND(AVERAGEIF(G$3:G$9,"",E$3:E$9)&lt;500,E7&lt;500),0,(E7-500)*0.3),IF(G7="","",CHOOSE(MATCH(G7,{"休息","加班","新人"},),"",E7*0.3,(IF(E7&gt;500,CEILING(E7,1),500)-500)*0.3)))</f>
        <v>33</v>
      </c>
      <c r="G7" s="14" t="s">
        <v>47</v>
      </c>
      <c r="H7" s="12">
        <v>310</v>
      </c>
      <c r="I7" s="20">
        <f>IF(K7="",H7,IF(K7="","",CHOOSE(MATCH(K7,{"休息","加班","新人"},),"",H7,H7)))</f>
        <v>310</v>
      </c>
      <c r="J7" s="19">
        <f>IF(K7="",IF(AND(AVERAGEIF(K$3:K$9,"",I$3:I$9)&lt;500,I7&lt;500),0,(I7-500)*0.3),IF(K7="","",CHOOSE(MATCH(K7,{"休息","加班","新人"},),"",I7*0.3,(IF(I7&gt;500,CEILING(I7,1),500)-500)*0.3)))</f>
        <v>93</v>
      </c>
      <c r="K7" s="21" t="s">
        <v>42</v>
      </c>
      <c r="L7" s="12">
        <v>430</v>
      </c>
      <c r="M7" s="13">
        <f>IF(O7="",L7,IF(O7="","",CHOOSE(MATCH(O7,{"休息","加班","新人"},),"",L7,L7)))</f>
        <v>430</v>
      </c>
      <c r="N7" s="8">
        <f>IF(O7="",IF(AND(AVERAGEIF(O$3:O$9,"",M$3:M$9)&lt;500,M7&lt;500),0,(M7-500)*0.3),IF(O7="","",CHOOSE(MATCH(O7,{"休息","加班","新人"},),"",M7*0.3,(IF(M7&gt;500,CEILING(M7,1),500)-500)*0.3)))</f>
        <v>0</v>
      </c>
      <c r="O7" s="14"/>
      <c r="P7" s="12"/>
      <c r="Q7" s="20">
        <f>IF(S7="",P7,IF(S7="","",CHOOSE(MATCH(S7,{"休息","加班","新人"},),"",P7,P7)))</f>
        <v>0</v>
      </c>
      <c r="R7" s="19">
        <f>IF(S7="",IF(AND(AVERAGEIF(S$3:S$9,"",Q$3:Q$9)&lt;500,Q7&lt;500),0,(Q7-500)*0.3),IF(S7="","",CHOOSE(MATCH(S7,{"休息","加班","新人"},),"",Q7*0.3,(IF(Q7&gt;500,CEILING(Q7,1),500)-500)*0.3)))</f>
        <v>0</v>
      </c>
      <c r="S7" s="21"/>
      <c r="T7" s="12"/>
      <c r="U7" s="13">
        <f>IF(W7="",T7,IF(W7="","",CHOOSE(MATCH(W7,{"休息","加班","新人"},),"",T7,T7)))</f>
        <v>0</v>
      </c>
      <c r="V7" s="8">
        <f>IF(W7="",IF(AND(AVERAGEIF(W$3:W$9,"",U$3:U$9)&lt;500,U7&lt;500),0,(U7-500)*0.3),IF(W7="","",CHOOSE(MATCH(W7,{"休息","加班","新人"},),"",U7*0.3,(IF(U7&gt;500,CEILING(U7,1),500)-500)*0.3)))</f>
        <v>0</v>
      </c>
      <c r="W7" s="14"/>
      <c r="X7" s="12"/>
      <c r="Y7" s="20">
        <f>IF(AA7="",X7,IF(AA7="","",CHOOSE(MATCH(AA7,{"休息","加班","新人"},),"",X7,X7)))</f>
        <v>0</v>
      </c>
      <c r="Z7" s="19">
        <f>IF(AA7="",IF(AND(AVERAGEIF(AA$3:AA$9,"",Y$3:Y$9)&lt;500,Y7&lt;500),0,(Y7-500)*0.3),IF(AA7="","",CHOOSE(MATCH(AA7,{"休息","加班","新人"},),"",Y7*0.3,(IF(Y7&gt;500,CEILING(Y7,1),500)-500)*0.3)))</f>
        <v>0</v>
      </c>
      <c r="AA7" s="21"/>
      <c r="AB7" s="12"/>
      <c r="AC7" s="13">
        <f>IF(AE7="",AB7,IF(AE7="","",CHOOSE(MATCH(AE7,{"休息","加班","新人"},),"",AB7,AB7)))</f>
        <v>0</v>
      </c>
      <c r="AD7" s="8">
        <f>IF(AE7="",IF(AND(AVERAGEIF(AE$3:AE$9,"",AC$3:AC$9)&lt;500,AC7&lt;500),0,(AC7-500)*0.3),IF(AE7="","",CHOOSE(MATCH(AE7,{"休息","加班","新人"},),"",AC7*0.3,(IF(AC7&gt;500,CEILING(AC7,1),500)-500)*0.3)))</f>
        <v>0</v>
      </c>
      <c r="AE7" s="14"/>
      <c r="AF7" s="12"/>
      <c r="AG7" s="20">
        <f>IF(AI7="",AF7,IF(AI7="","",CHOOSE(MATCH(AI7,{"休息","加班","新人"},),"",AF7,AF7)))</f>
        <v>0</v>
      </c>
      <c r="AH7" s="19">
        <f>IF(AI7="",IF(AND(AVERAGEIF(AI$3:AI$9,"",AG$3:AG$9)&lt;500,AG7&lt;500),0,(AG7-500)*0.3),IF(AI7="","",CHOOSE(MATCH(AI7,{"休息","加班","新人"},),"",AG7*0.3,(IF(AG7&gt;500,CEILING(AG7,1),500)-500)*0.3)))</f>
        <v>0</v>
      </c>
      <c r="AI7" s="21"/>
      <c r="AJ7" s="12"/>
      <c r="AK7" s="13">
        <f>IF(AM7="",AJ7,IF(AM7="","",CHOOSE(MATCH(AM7,{"休息","加班","新人"},),"",AJ7,AJ7)))</f>
        <v>0</v>
      </c>
      <c r="AL7" s="8">
        <f>IF(AM7="",IF(AND(AVERAGEIF(AM$3:AM$9,"",AK$3:AK$9)&lt;500,AK7&lt;500),0,(AK7-500)*0.3),IF(AM7="","",CHOOSE(MATCH(AM7,{"休息","加班","新人"},),"",AK7*0.3,(IF(AK7&gt;500,CEILING(AK7,1),500)-500)*0.3)))</f>
        <v>0</v>
      </c>
      <c r="AM7" s="14"/>
      <c r="AN7" s="12"/>
      <c r="AO7" s="20">
        <f>IF(AQ7="",AN7,IF(AQ7="","",CHOOSE(MATCH(AQ7,{"休息","加班","新人"},),"",AN7,AN7)))</f>
        <v>0</v>
      </c>
      <c r="AP7" s="19">
        <f>IF(AQ7="",IF(AND(AVERAGEIF(AQ$3:AQ$9,"",AO$3:AO$9)&lt;500,AO7&lt;500),0,(AO7-500)*0.3),IF(AQ7="","",CHOOSE(MATCH(AQ7,{"休息","加班","新人"},),"",AO7*0.3,(IF(AO7&gt;500,CEILING(AO7,1),500)-500)*0.3)))</f>
        <v>0</v>
      </c>
      <c r="AQ7" s="21"/>
      <c r="AR7" s="12"/>
      <c r="AS7" s="13">
        <f>IF(AU7="",AR7,IF(AU7="","",CHOOSE(MATCH(AU7,{"休息","加班","新人"},),"",AR7,AR7)))</f>
        <v>0</v>
      </c>
      <c r="AT7" s="8">
        <f>IF(AU7="",IF(AND(AVERAGEIF(AU$3:AU$9,"",AS$3:AS$9)&lt;500,AS7&lt;500),0,(AS7-500)*0.3),IF(AU7="","",CHOOSE(MATCH(AU7,{"休息","加班","新人"},),"",AS7*0.3,(IF(AS7&gt;500,CEILING(AS7,1),500)-500)*0.3)))</f>
        <v>0</v>
      </c>
      <c r="AU7" s="14"/>
      <c r="AV7" s="12"/>
      <c r="AW7" s="20">
        <f>IF(AY7="",AV7,IF(AY7="","",CHOOSE(MATCH(AY7,{"休息","加班","新人"},),"",AV7,AV7)))</f>
        <v>0</v>
      </c>
      <c r="AX7" s="19">
        <f>IF(AY7="",IF(AND(AVERAGEIF(AY$3:AY$9,"",AW$3:AW$9)&lt;500,AW7&lt;500),0,(AW7-500)*0.3),IF(AY7="","",CHOOSE(MATCH(AY7,{"休息","加班","新人"},),"",AW7*0.3,(IF(AW7&gt;500,CEILING(AW7,1),500)-500)*0.3)))</f>
        <v>0</v>
      </c>
      <c r="AY7" s="21"/>
      <c r="AZ7" s="12"/>
      <c r="BA7" s="13">
        <f>IF(BC7="",AZ7,IF(BC7="","",CHOOSE(MATCH(BC7,{"休息","加班","新人"},),"",AZ7,AZ7)))</f>
        <v>0</v>
      </c>
      <c r="BB7" s="8">
        <f>IF(BC7="",IF(AND(AVERAGEIF(BC$3:BC$9,"",BA$3:BA$9)&lt;500,BA7&lt;500),0,(BA7-500)*0.3),IF(BC7="","",CHOOSE(MATCH(BC7,{"休息","加班","新人"},),"",BA7*0.3,(IF(BA7&gt;500,CEILING(BA7,1),500)-500)*0.3)))</f>
        <v>0</v>
      </c>
      <c r="BC7" s="14"/>
      <c r="BD7" s="12"/>
      <c r="BE7" s="20">
        <f>IF(BG7="",BD7,IF(BG7="","",CHOOSE(MATCH(BG7,{"休息","加班","新人"},),"",BD7,BD7)))</f>
        <v>0</v>
      </c>
      <c r="BF7" s="19">
        <f>IF(BG7="",IF(AND(AVERAGEIF(BG$3:BG$9,"",BE$3:BE$9)&lt;500,BE7&lt;500),0,(BE7-500)*0.3),IF(BG7="","",CHOOSE(MATCH(BG7,{"休息","加班","新人"},),"",BE7*0.3,(IF(BE7&gt;500,CEILING(BE7,1),500)-500)*0.3)))</f>
        <v>0</v>
      </c>
      <c r="BG7" s="21"/>
      <c r="BH7" s="12"/>
      <c r="BI7" s="13">
        <f>IF(BK7="",BH7,IF(BK7="","",CHOOSE(MATCH(BK7,{"休息","加班","新人"},),"",BH7,BH7)))</f>
        <v>0</v>
      </c>
      <c r="BJ7" s="8">
        <f>IF(BK7="",IF(AND(AVERAGEIF(BK$3:BK$9,"",BI$3:BI$9)&lt;500,BI7&lt;500),0,(BI7-500)*0.3),IF(BK7="","",CHOOSE(MATCH(BK7,{"休息","加班","新人"},),"",BI7*0.3,(IF(BI7&gt;500,CEILING(BI7,1),500)-500)*0.3)))</f>
        <v>0</v>
      </c>
      <c r="BK7" s="14"/>
      <c r="BL7" s="12"/>
      <c r="BM7" s="20">
        <f>IF(BO7="",BL7,IF(BO7="","",CHOOSE(MATCH(BO7,{"休息","加班","新人"},),"",BL7,BL7)))</f>
        <v>0</v>
      </c>
      <c r="BN7" s="19">
        <f>IF(BO7="",IF(AND(AVERAGEIF(BO$3:BO$9,"",BM$3:BM$9)&lt;500,BM7&lt;500),0,(BM7-500)*0.3),IF(BO7="","",CHOOSE(MATCH(BO7,{"休息","加班","新人"},),"",BM7*0.3,(IF(BM7&gt;500,CEILING(BM7,1),500)-500)*0.3)))</f>
        <v>0</v>
      </c>
      <c r="BO7" s="21"/>
      <c r="BP7" s="12"/>
      <c r="BQ7" s="13">
        <f>IF(BS7="",BP7,IF(BS7="","",CHOOSE(MATCH(BS7,{"休息","加班","新人"},),"",BP7,BP7)))</f>
        <v>0</v>
      </c>
      <c r="BR7" s="8">
        <f>IF(BS7="",IF(AND(AVERAGEIF(BS$3:BS$9,"",BQ$3:BQ$9)&lt;500,BQ7&lt;500),0,(BQ7-500)*0.3),IF(BS7="","",CHOOSE(MATCH(BS7,{"休息","加班","新人"},),"",BQ7*0.3,(IF(BQ7&gt;500,CEILING(BQ7,1),500)-500)*0.3)))</f>
        <v>0</v>
      </c>
      <c r="BS7" s="14"/>
      <c r="BT7" s="12"/>
      <c r="BU7" s="20">
        <f>IF(BW7="",BT7,IF(BW7="","",CHOOSE(MATCH(BW7,{"休息","加班","新人"},),"",BT7,BT7)))</f>
        <v>0</v>
      </c>
      <c r="BV7" s="19">
        <f>IF(BW7="",IF(AND(AVERAGEIF(BW$3:BW$9,"",BU$3:BU$9)&lt;500,BU7&lt;500),0,(BU7-500)*0.3),IF(BW7="","",CHOOSE(MATCH(BW7,{"休息","加班","新人"},),"",BU7*0.3,(IF(BU7&gt;500,CEILING(BU7,1),500)-500)*0.3)))</f>
        <v>0</v>
      </c>
      <c r="BW7" s="21"/>
      <c r="BX7" s="12"/>
      <c r="BY7" s="13">
        <f>IF(CA7="",BX7,IF(CA7="","",CHOOSE(MATCH(CA7,{"休息","加班","新人"},),"",BX7,BX7)))</f>
        <v>0</v>
      </c>
      <c r="BZ7" s="8">
        <f>IF(CA7="",IF(AND(AVERAGEIF(CA$3:CA$9,"",BY$3:BY$9)&lt;500,BY7&lt;500),0,(BY7-500)*0.3),IF(CA7="","",CHOOSE(MATCH(CA7,{"休息","加班","新人"},),"",BY7*0.3,(IF(BY7&gt;500,CEILING(BY7,1),500)-500)*0.3)))</f>
        <v>0</v>
      </c>
      <c r="CA7" s="14"/>
      <c r="CB7" s="12"/>
      <c r="CC7" s="20">
        <f>IF(CE7="",CB7,IF(CE7="","",CHOOSE(MATCH(CE7,{"休息","加班","新人"},),"",CB7,CB7)))</f>
        <v>0</v>
      </c>
      <c r="CD7" s="19">
        <f>IF(CE7="",IF(AND(AVERAGEIF(CE$3:CE$9,"",CC$3:CC$9)&lt;500,CC7&lt;500),0,(CC7-500)*0.3),IF(CE7="","",CHOOSE(MATCH(CE7,{"休息","加班","新人"},),"",CC7*0.3,(IF(CC7&gt;500,CEILING(CC7,1),500)-500)*0.3)))</f>
        <v>0</v>
      </c>
      <c r="CE7" s="21"/>
      <c r="CF7" s="12"/>
      <c r="CG7" s="13">
        <f>IF(CI7="",CF7,IF(CI7="","",CHOOSE(MATCH(CI7,{"休息","加班","新人"},),"",CF7,CF7)))</f>
        <v>0</v>
      </c>
      <c r="CH7" s="8">
        <f>IF(CI7="",IF(AND(AVERAGEIF(CI$3:CI$9,"",CG$3:CG$9)&lt;500,CG7&lt;500),0,(CG7-500)*0.3),IF(CI7="","",CHOOSE(MATCH(CI7,{"休息","加班","新人"},),"",CG7*0.3,(IF(CG7&gt;500,CEILING(CG7,1),500)-500)*0.3)))</f>
        <v>0</v>
      </c>
      <c r="CI7" s="14"/>
      <c r="CJ7" s="12"/>
      <c r="CK7" s="20">
        <f>IF(CM7="",CJ7,IF(CM7="","",CHOOSE(MATCH(CM7,{"休息","加班","新人"},),"",CJ7,CJ7)))</f>
        <v>0</v>
      </c>
      <c r="CL7" s="19">
        <f>IF(CM7="",IF(AND(AVERAGEIF(CM$3:CM$9,"",CK$3:CK$9)&lt;500,CK7&lt;500),0,(CK7-500)*0.3),IF(CM7="","",CHOOSE(MATCH(CM7,{"休息","加班","新人"},),"",CK7*0.3,(IF(CK7&gt;500,CEILING(CK7,1),500)-500)*0.3)))</f>
        <v>0</v>
      </c>
      <c r="CM7" s="21"/>
      <c r="CN7" s="12"/>
      <c r="CO7" s="13">
        <f>IF(CQ7="",CN7,IF(CQ7="","",CHOOSE(MATCH(CQ7,{"休息","加班","新人"},),"",CN7,CN7)))</f>
        <v>0</v>
      </c>
      <c r="CP7" s="8">
        <f>IF(CQ7="",IF(AND(AVERAGEIF(CQ$3:CQ$9,"",CO$3:CO$9)&lt;500,CO7&lt;500),0,(CO7-500)*0.3),IF(CQ7="","",CHOOSE(MATCH(CQ7,{"休息","加班","新人"},),"",CO7*0.3,(IF(CO7&gt;500,CEILING(CO7,1),500)-500)*0.3)))</f>
        <v>0</v>
      </c>
      <c r="CQ7" s="14"/>
      <c r="CR7" s="12"/>
      <c r="CS7" s="20">
        <f>IF(CU7="",CR7,IF(CU7="","",CHOOSE(MATCH(CU7,{"休息","加班","新人"},),"",CR7,CR7)))</f>
        <v>0</v>
      </c>
      <c r="CT7" s="19">
        <f>IF(CU7="",IF(AND(AVERAGEIF(CU$3:CU$9,"",CS$3:CS$9)&lt;500,CS7&lt;500),0,(CS7-500)*0.3),IF(CU7="","",CHOOSE(MATCH(CU7,{"休息","加班","新人"},),"",CS7*0.3,(IF(CS7&gt;500,CEILING(CS7,1),500)-500)*0.3)))</f>
        <v>0</v>
      </c>
      <c r="CU7" s="21"/>
      <c r="CV7" s="12"/>
      <c r="CW7" s="13">
        <f>IF(CY7="",CV7,IF(CY7="","",CHOOSE(MATCH(CY7,{"休息","加班","新人"},),"",CV7,CV7)))</f>
        <v>0</v>
      </c>
      <c r="CX7" s="8">
        <f>IF(CY7="",IF(AND(AVERAGEIF(CY$3:CY$9,"",CW$3:CW$9)&lt;500,CW7&lt;500),0,(CW7-500)*0.3),IF(CY7="","",CHOOSE(MATCH(CY7,{"休息","加班","新人"},),"",CW7*0.3,(IF(CW7&gt;500,CEILING(CW7,1),500)-500)*0.3)))</f>
        <v>0</v>
      </c>
      <c r="CY7" s="14"/>
      <c r="CZ7" s="12"/>
      <c r="DA7" s="20">
        <f>IF(DC7="",CZ7,IF(DC7="","",CHOOSE(MATCH(DC7,{"休息","加班","新人"},),"",CZ7,CZ7)))</f>
        <v>0</v>
      </c>
      <c r="DB7" s="19">
        <f>IF(DC7="",IF(AND(AVERAGEIF(DC$3:DC$9,"",DA$3:DA$9)&lt;500,DA7&lt;500),0,(DA7-500)*0.3),IF(DC7="","",CHOOSE(MATCH(DC7,{"休息","加班","新人"},),"",DA7*0.3,(IF(DA7&gt;500,CEILING(DA7,1),500)-500)*0.3)))</f>
        <v>0</v>
      </c>
      <c r="DC7" s="21"/>
      <c r="DD7" s="12"/>
      <c r="DE7" s="13">
        <f>IF(DG7="",DD7,IF(DG7="","",CHOOSE(MATCH(DG7,{"休息","加班","新人"},),"",DD7,DD7)))</f>
        <v>0</v>
      </c>
      <c r="DF7" s="8">
        <f>IF(DG7="",IF(AND(AVERAGEIF(DG$3:DG$9,"",DE$3:DE$9)&lt;500,DE7&lt;500),0,(DE7-500)*0.3),IF(DG7="","",CHOOSE(MATCH(DG7,{"休息","加班","新人"},),"",DE7*0.3,(IF(DE7&gt;500,CEILING(DE7,1),500)-500)*0.3)))</f>
        <v>0</v>
      </c>
      <c r="DG7" s="14"/>
      <c r="DH7" s="12"/>
      <c r="DI7" s="20">
        <f>IF(DK7="",DH7,IF(DK7="","",CHOOSE(MATCH(DK7,{"休息","加班","新人"},),"",DH7,DH7)))</f>
        <v>0</v>
      </c>
      <c r="DJ7" s="19">
        <f>IF(DK7="",IF(AND(AVERAGEIF(DK$3:DK$9,"",DI$3:DI$9)&lt;500,DI7&lt;500),0,(DI7-500)*0.3),IF(DK7="","",CHOOSE(MATCH(DK7,{"休息","加班","新人"},),"",DI7*0.3,(IF(DI7&gt;500,CEILING(DI7,1),500)-500)*0.3)))</f>
        <v>0</v>
      </c>
      <c r="DK7" s="21"/>
      <c r="DL7" s="12"/>
      <c r="DM7" s="13">
        <f>IF(DO7="",DL7,IF(DO7="","",CHOOSE(MATCH(DO7,{"休息","加班","新人"},),"",DL7,DL7)))</f>
        <v>0</v>
      </c>
      <c r="DN7" s="8">
        <f>IF(DO7="",IF(AND(AVERAGEIF(DO$3:DO$9,"",DM$3:DM$9)&lt;500,DM7&lt;500),0,(DM7-500)*0.3),IF(DO7="","",CHOOSE(MATCH(DO7,{"休息","加班","新人"},),"",DM7*0.3,(IF(DM7&gt;500,CEILING(DM7,1),500)-500)*0.3)))</f>
        <v>0</v>
      </c>
      <c r="DO7" s="14"/>
      <c r="DP7" s="12"/>
      <c r="DQ7" s="20">
        <f>IF(DS7="",DP7,IF(DS7="","",CHOOSE(MATCH(DS7,{"休息","加班","新人"},),"",DP7,DP7)))</f>
        <v>0</v>
      </c>
      <c r="DR7" s="19">
        <f>IF(DS7="",IF(AND(AVERAGEIF(DS$3:DS$9,"",DQ$3:DQ$9)&lt;500,DQ7&lt;500),0,(DQ7-500)*0.3),IF(DS7="","",CHOOSE(MATCH(DS7,{"休息","加班","新人"},),"",DQ7*0.3,(IF(DQ7&gt;500,CEILING(DQ7,1),500)-500)*0.3)))</f>
        <v>0</v>
      </c>
      <c r="DS7" s="21"/>
      <c r="DT7" s="12"/>
      <c r="DU7" s="13">
        <f>IF(DW7="",DT7,IF(DW7="","",CHOOSE(MATCH(DW7,{"休息","加班","新人"},),"",DT7,DT7)))</f>
        <v>0</v>
      </c>
      <c r="DV7" s="8">
        <f>IF(DW7="",IF(AND(AVERAGEIF(DW$3:DW$9,"",DU$3:DU$9)&lt;500,DU7&lt;500),0,(DU7-500)*0.3),IF(DW7="","",CHOOSE(MATCH(DW7,{"休息","加班","新人"},),"",DU7*0.3,(IF(DU7&gt;500,CEILING(DU7,1),500)-500)*0.3)))</f>
        <v>0</v>
      </c>
      <c r="DW7" s="14"/>
    </row>
    <row r="8" spans="1:127" ht="29.1" customHeight="1" x14ac:dyDescent="0.15">
      <c r="A8" s="15" t="s">
        <v>48</v>
      </c>
      <c r="B8" s="11">
        <f t="shared" si="0"/>
        <v>0</v>
      </c>
      <c r="C8" s="26" t="s">
        <v>49</v>
      </c>
      <c r="D8" s="12"/>
      <c r="E8" s="13">
        <f>IF(G8="",(D$9/COUNTIFS(G$8:G$9,"&lt;&gt;*休息*",G$8:G$9,"&lt;&gt;*加班*")),IF(G8="","",CHOOSE(MATCH(G8,{"休息","加班","新人"},),"",(D$8/COUNTIF(G$8:G$9,G8)),(D$9/COUNTIFS(G$8:G$9,"&lt;&gt;*休息*",G$8:G$9,"&lt;&gt;*加班*")))))</f>
        <v>450</v>
      </c>
      <c r="F8" s="8">
        <f>IF(G8="",IF(AND(AVERAGEIF(G$3:G$9,"",E$3:E$9)&lt;500,E8&lt;500),0,(E8-500)*0.3),IF(G8="","",CHOOSE(MATCH(G8,{"休息","加班","新人"},),"",E8*0.3,(IF(E8&gt;500,CEILING(E8,1),500)-500)*0.3)))</f>
        <v>0</v>
      </c>
      <c r="G8" s="14"/>
      <c r="H8" s="12"/>
      <c r="I8" s="20" t="str">
        <f>IF(K8="",(H$9/COUNTIFS(K$8:K$9,"&lt;&gt;*休息*",K$8:K$9,"&lt;&gt;*加班*")),IF(K8="","",CHOOSE(MATCH(K8,{"休息","加班","新人"},),"",(H$8/COUNTIF(K$8:K$9,K8)),(H$9/COUNTIFS(K$8:K$9,"&lt;&gt;*休息*",K$8:K$9,"&lt;&gt;*加班*")))))</f>
        <v/>
      </c>
      <c r="J8" s="19" t="str">
        <f>IF(K8="",IF(AND(AVERAGEIF(K$3:K$9,"",I$3:I$9)&lt;500,I8&lt;500),0,(I8-500)*0.3),IF(K8="","",CHOOSE(MATCH(K8,{"休息","加班","新人"},),"",I8*0.3,(IF(I8&gt;500,CEILING(I8,1),500)-500)*0.3)))</f>
        <v/>
      </c>
      <c r="K8" s="21" t="s">
        <v>40</v>
      </c>
      <c r="L8" s="12"/>
      <c r="M8" s="13" t="str">
        <f>IF(O8="",(L$9/COUNTIFS(O$8:O$9,"&lt;&gt;*休息*",O$8:O$9,"&lt;&gt;*加班*")),IF(O8="","",CHOOSE(MATCH(O8,{"休息","加班","新人"},),"",(L$8/COUNTIF(O$8:O$9,O8)),(L$9/COUNTIFS(O$8:O$9,"&lt;&gt;*休息*",O$8:O$9,"&lt;&gt;*加班*")))))</f>
        <v/>
      </c>
      <c r="N8" s="8" t="str">
        <f>IF(O8="",IF(AND(AVERAGEIF(O$3:O$9,"",M$3:M$9)&lt;500,M8&lt;500),0,(M8-500)*0.3),IF(O8="","",CHOOSE(MATCH(O8,{"休息","加班","新人"},),"",M8*0.3,(IF(M8&gt;500,CEILING(M8,1),500)-500)*0.3)))</f>
        <v/>
      </c>
      <c r="O8" s="14" t="s">
        <v>40</v>
      </c>
      <c r="P8" s="12"/>
      <c r="Q8" s="20">
        <f>IF(S8="",(P$9/COUNTIFS(S$8:S$9,"&lt;&gt;*休息*",S$8:S$9,"&lt;&gt;*加班*")),IF(S8="","",CHOOSE(MATCH(S8,{"休息","加班","新人"},),"",(P$8/COUNTIF(S$8:S$9,S8)),(P$9/COUNTIFS(S$8:S$9,"&lt;&gt;*休息*",S$8:S$9,"&lt;&gt;*加班*")))))</f>
        <v>0</v>
      </c>
      <c r="R8" s="19">
        <f>IF(S8="",IF(AND(AVERAGEIF(S$3:S$9,"",Q$3:Q$9)&lt;500,Q8&lt;500),0,(Q8-500)*0.3),IF(S8="","",CHOOSE(MATCH(S8,{"休息","加班","新人"},),"",Q8*0.3,(IF(Q8&gt;500,CEILING(Q8,1),500)-500)*0.3)))</f>
        <v>0</v>
      </c>
      <c r="S8" s="21"/>
      <c r="T8" s="12"/>
      <c r="U8" s="13">
        <f>IF(W8="",(T$9/COUNTIFS(W$8:W$9,"&lt;&gt;*休息*",W$8:W$9,"&lt;&gt;*加班*")),IF(W8="","",CHOOSE(MATCH(W8,{"休息","加班","新人"},),"",(T$8/COUNTIF(W$8:W$9,W8)),(T$9/COUNTIFS(W$8:W$9,"&lt;&gt;*休息*",W$8:W$9,"&lt;&gt;*加班*")))))</f>
        <v>0</v>
      </c>
      <c r="V8" s="8">
        <f>IF(W8="",IF(AND(AVERAGEIF(W$3:W$9,"",U$3:U$9)&lt;500,U8&lt;500),0,(U8-500)*0.3),IF(W8="","",CHOOSE(MATCH(W8,{"休息","加班","新人"},),"",U8*0.3,(IF(U8&gt;500,CEILING(U8,1),500)-500)*0.3)))</f>
        <v>0</v>
      </c>
      <c r="W8" s="14"/>
      <c r="X8" s="12"/>
      <c r="Y8" s="20">
        <f>IF(AA8="",(X$9/COUNTIFS(AA$8:AA$9,"&lt;&gt;*休息*",AA$8:AA$9,"&lt;&gt;*加班*")),IF(AA8="","",CHOOSE(MATCH(AA8,{"休息","加班","新人"},),"",(X$8/COUNTIF(AA$8:AA$9,AA8)),(X$9/COUNTIFS(AA$8:AA$9,"&lt;&gt;*休息*",AA$8:AA$9,"&lt;&gt;*加班*")))))</f>
        <v>0</v>
      </c>
      <c r="Z8" s="19">
        <f>IF(AA8="",IF(AND(AVERAGEIF(AA$3:AA$9,"",Y$3:Y$9)&lt;500,Y8&lt;500),0,(Y8-500)*0.3),IF(AA8="","",CHOOSE(MATCH(AA8,{"休息","加班","新人"},),"",Y8*0.3,(IF(Y8&gt;500,CEILING(Y8,1),500)-500)*0.3)))</f>
        <v>0</v>
      </c>
      <c r="AA8" s="21"/>
      <c r="AB8" s="12"/>
      <c r="AC8" s="13">
        <f>IF(AE8="",(AB$9/COUNTIFS(AE$8:AE$9,"&lt;&gt;*休息*",AE$8:AE$9,"&lt;&gt;*加班*")),IF(AE8="","",CHOOSE(MATCH(AE8,{"休息","加班","新人"},),"",(AB$8/COUNTIF(AE$8:AE$9,AE8)),(AB$9/COUNTIFS(AE$8:AE$9,"&lt;&gt;*休息*",AE$8:AE$9,"&lt;&gt;*加班*")))))</f>
        <v>0</v>
      </c>
      <c r="AD8" s="8">
        <f>IF(AE8="",IF(AND(AVERAGEIF(AE$3:AE$9,"",AC$3:AC$9)&lt;500,AC8&lt;500),0,(AC8-500)*0.3),IF(AE8="","",CHOOSE(MATCH(AE8,{"休息","加班","新人"},),"",AC8*0.3,(IF(AC8&gt;500,CEILING(AC8,1),500)-500)*0.3)))</f>
        <v>0</v>
      </c>
      <c r="AE8" s="14"/>
      <c r="AF8" s="12"/>
      <c r="AG8" s="20">
        <f>IF(AI8="",(AF$9/COUNTIFS(AI$8:AI$9,"&lt;&gt;*休息*",AI$8:AI$9,"&lt;&gt;*加班*")),IF(AI8="","",CHOOSE(MATCH(AI8,{"休息","加班","新人"},),"",(AF$8/COUNTIF(AI$8:AI$9,AI8)),(AF$9/COUNTIFS(AI$8:AI$9,"&lt;&gt;*休息*",AI$8:AI$9,"&lt;&gt;*加班*")))))</f>
        <v>0</v>
      </c>
      <c r="AH8" s="19">
        <f>IF(AI8="",IF(AND(AVERAGEIF(AI$3:AI$9,"",AG$3:AG$9)&lt;500,AG8&lt;500),0,(AG8-500)*0.3),IF(AI8="","",CHOOSE(MATCH(AI8,{"休息","加班","新人"},),"",AG8*0.3,(IF(AG8&gt;500,CEILING(AG8,1),500)-500)*0.3)))</f>
        <v>0</v>
      </c>
      <c r="AI8" s="21"/>
      <c r="AJ8" s="12"/>
      <c r="AK8" s="13">
        <f>IF(AM8="",(AJ$9/COUNTIFS(AM$8:AM$9,"&lt;&gt;*休息*",AM$8:AM$9,"&lt;&gt;*加班*")),IF(AM8="","",CHOOSE(MATCH(AM8,{"休息","加班","新人"},),"",(AJ$8/COUNTIF(AM$8:AM$9,AM8)),(AJ$9/COUNTIFS(AM$8:AM$9,"&lt;&gt;*休息*",AM$8:AM$9,"&lt;&gt;*加班*")))))</f>
        <v>0</v>
      </c>
      <c r="AL8" s="8">
        <f>IF(AM8="",IF(AND(AVERAGEIF(AM$3:AM$9,"",AK$3:AK$9)&lt;500,AK8&lt;500),0,(AK8-500)*0.3),IF(AM8="","",CHOOSE(MATCH(AM8,{"休息","加班","新人"},),"",AK8*0.3,(IF(AK8&gt;500,CEILING(AK8,1),500)-500)*0.3)))</f>
        <v>0</v>
      </c>
      <c r="AM8" s="14"/>
      <c r="AN8" s="12"/>
      <c r="AO8" s="20">
        <f>IF(AQ8="",(AN$9/COUNTIFS(AQ$8:AQ$9,"&lt;&gt;*休息*",AQ$8:AQ$9,"&lt;&gt;*加班*")),IF(AQ8="","",CHOOSE(MATCH(AQ8,{"休息","加班","新人"},),"",(AN$8/COUNTIF(AQ$8:AQ$9,AQ8)),(AN$9/COUNTIFS(AQ$8:AQ$9,"&lt;&gt;*休息*",AQ$8:AQ$9,"&lt;&gt;*加班*")))))</f>
        <v>0</v>
      </c>
      <c r="AP8" s="19">
        <f>IF(AQ8="",IF(AND(AVERAGEIF(AQ$3:AQ$9,"",AO$3:AO$9)&lt;500,AO8&lt;500),0,(AO8-500)*0.3),IF(AQ8="","",CHOOSE(MATCH(AQ8,{"休息","加班","新人"},),"",AO8*0.3,(IF(AO8&gt;500,CEILING(AO8,1),500)-500)*0.3)))</f>
        <v>0</v>
      </c>
      <c r="AQ8" s="21"/>
      <c r="AR8" s="12"/>
      <c r="AS8" s="13">
        <f>IF(AU8="",(AR$9/COUNTIFS(AU$8:AU$9,"&lt;&gt;*休息*",AU$8:AU$9,"&lt;&gt;*加班*")),IF(AU8="","",CHOOSE(MATCH(AU8,{"休息","加班","新人"},),"",(AR$8/COUNTIF(AU$8:AU$9,AU8)),(AR$9/COUNTIFS(AU$8:AU$9,"&lt;&gt;*休息*",AU$8:AU$9,"&lt;&gt;*加班*")))))</f>
        <v>0</v>
      </c>
      <c r="AT8" s="8">
        <f>IF(AU8="",IF(AND(AVERAGEIF(AU$3:AU$9,"",AS$3:AS$9)&lt;500,AS8&lt;500),0,(AS8-500)*0.3),IF(AU8="","",CHOOSE(MATCH(AU8,{"休息","加班","新人"},),"",AS8*0.3,(IF(AS8&gt;500,CEILING(AS8,1),500)-500)*0.3)))</f>
        <v>0</v>
      </c>
      <c r="AU8" s="14"/>
      <c r="AV8" s="12"/>
      <c r="AW8" s="20">
        <f>IF(AY8="",(AV$9/COUNTIFS(AY$8:AY$9,"&lt;&gt;*休息*",AY$8:AY$9,"&lt;&gt;*加班*")),IF(AY8="","",CHOOSE(MATCH(AY8,{"休息","加班","新人"},),"",(AV$8/COUNTIF(AY$8:AY$9,AY8)),(AV$9/COUNTIFS(AY$8:AY$9,"&lt;&gt;*休息*",AY$8:AY$9,"&lt;&gt;*加班*")))))</f>
        <v>0</v>
      </c>
      <c r="AX8" s="19">
        <f>IF(AY8="",IF(AND(AVERAGEIF(AY$3:AY$9,"",AW$3:AW$9)&lt;500,AW8&lt;500),0,(AW8-500)*0.3),IF(AY8="","",CHOOSE(MATCH(AY8,{"休息","加班","新人"},),"",AW8*0.3,(IF(AW8&gt;500,CEILING(AW8,1),500)-500)*0.3)))</f>
        <v>0</v>
      </c>
      <c r="AY8" s="21"/>
      <c r="AZ8" s="12"/>
      <c r="BA8" s="13">
        <f>IF(BC8="",(AZ$9/COUNTIFS(BC$8:BC$9,"&lt;&gt;*休息*",BC$8:BC$9,"&lt;&gt;*加班*")),IF(BC8="","",CHOOSE(MATCH(BC8,{"休息","加班","新人"},),"",(AZ$8/COUNTIF(BC$8:BC$9,BC8)),(AZ$9/COUNTIFS(BC$8:BC$9,"&lt;&gt;*休息*",BC$8:BC$9,"&lt;&gt;*加班*")))))</f>
        <v>0</v>
      </c>
      <c r="BB8" s="8">
        <f>IF(BC8="",IF(AND(AVERAGEIF(BC$3:BC$9,"",BA$3:BA$9)&lt;500,BA8&lt;500),0,(BA8-500)*0.3),IF(BC8="","",CHOOSE(MATCH(BC8,{"休息","加班","新人"},),"",BA8*0.3,(IF(BA8&gt;500,CEILING(BA8,1),500)-500)*0.3)))</f>
        <v>0</v>
      </c>
      <c r="BC8" s="14"/>
      <c r="BD8" s="12"/>
      <c r="BE8" s="20">
        <f>IF(BG8="",(BD$9/COUNTIFS(BG$8:BG$9,"&lt;&gt;*休息*",BG$8:BG$9,"&lt;&gt;*加班*")),IF(BG8="","",CHOOSE(MATCH(BG8,{"休息","加班","新人"},),"",(BD$8/COUNTIF(BG$8:BG$9,BG8)),(BD$9/COUNTIFS(BG$8:BG$9,"&lt;&gt;*休息*",BG$8:BG$9,"&lt;&gt;*加班*")))))</f>
        <v>0</v>
      </c>
      <c r="BF8" s="19">
        <f>IF(BG8="",IF(AND(AVERAGEIF(BG$3:BG$9,"",BE$3:BE$9)&lt;500,BE8&lt;500),0,(BE8-500)*0.3),IF(BG8="","",CHOOSE(MATCH(BG8,{"休息","加班","新人"},),"",BE8*0.3,(IF(BE8&gt;500,CEILING(BE8,1),500)-500)*0.3)))</f>
        <v>0</v>
      </c>
      <c r="BG8" s="21"/>
      <c r="BH8" s="12"/>
      <c r="BI8" s="13">
        <f>IF(BK8="",(BH$9/COUNTIFS(BK$8:BK$9,"&lt;&gt;*休息*",BK$8:BK$9,"&lt;&gt;*加班*")),IF(BK8="","",CHOOSE(MATCH(BK8,{"休息","加班","新人"},),"",(BH$8/COUNTIF(BK$8:BK$9,BK8)),(BH$9/COUNTIFS(BK$8:BK$9,"&lt;&gt;*休息*",BK$8:BK$9,"&lt;&gt;*加班*")))))</f>
        <v>0</v>
      </c>
      <c r="BJ8" s="8">
        <f>IF(BK8="",IF(AND(AVERAGEIF(BK$3:BK$9,"",BI$3:BI$9)&lt;500,BI8&lt;500),0,(BI8-500)*0.3),IF(BK8="","",CHOOSE(MATCH(BK8,{"休息","加班","新人"},),"",BI8*0.3,(IF(BI8&gt;500,CEILING(BI8,1),500)-500)*0.3)))</f>
        <v>0</v>
      </c>
      <c r="BK8" s="14"/>
      <c r="BL8" s="12"/>
      <c r="BM8" s="20">
        <f>IF(BO8="",(BL$9/COUNTIFS(BO$8:BO$9,"&lt;&gt;*休息*",BO$8:BO$9,"&lt;&gt;*加班*")),IF(BO8="","",CHOOSE(MATCH(BO8,{"休息","加班","新人"},),"",(BL$8/COUNTIF(BO$8:BO$9,BO8)),(BL$9/COUNTIFS(BO$8:BO$9,"&lt;&gt;*休息*",BO$8:BO$9,"&lt;&gt;*加班*")))))</f>
        <v>0</v>
      </c>
      <c r="BN8" s="19">
        <f>IF(BO8="",IF(AND(AVERAGEIF(BO$3:BO$9,"",BM$3:BM$9)&lt;500,BM8&lt;500),0,(BM8-500)*0.3),IF(BO8="","",CHOOSE(MATCH(BO8,{"休息","加班","新人"},),"",BM8*0.3,(IF(BM8&gt;500,CEILING(BM8,1),500)-500)*0.3)))</f>
        <v>0</v>
      </c>
      <c r="BO8" s="21"/>
      <c r="BP8" s="12"/>
      <c r="BQ8" s="13">
        <f>IF(BS8="",(BP$9/COUNTIFS(BS$8:BS$9,"&lt;&gt;*休息*",BS$8:BS$9,"&lt;&gt;*加班*")),IF(BS8="","",CHOOSE(MATCH(BS8,{"休息","加班","新人"},),"",(BP$8/COUNTIF(BS$8:BS$9,BS8)),(BP$9/COUNTIFS(BS$8:BS$9,"&lt;&gt;*休息*",BS$8:BS$9,"&lt;&gt;*加班*")))))</f>
        <v>0</v>
      </c>
      <c r="BR8" s="8">
        <f>IF(BS8="",IF(AND(AVERAGEIF(BS$3:BS$9,"",BQ$3:BQ$9)&lt;500,BQ8&lt;500),0,(BQ8-500)*0.3),IF(BS8="","",CHOOSE(MATCH(BS8,{"休息","加班","新人"},),"",BQ8*0.3,(IF(BQ8&gt;500,CEILING(BQ8,1),500)-500)*0.3)))</f>
        <v>0</v>
      </c>
      <c r="BS8" s="14"/>
      <c r="BT8" s="12"/>
      <c r="BU8" s="20">
        <f>IF(BW8="",(BT$9/COUNTIFS(BW$8:BW$9,"&lt;&gt;*休息*",BW$8:BW$9,"&lt;&gt;*加班*")),IF(BW8="","",CHOOSE(MATCH(BW8,{"休息","加班","新人"},),"",(BT$8/COUNTIF(BW$8:BW$9,BW8)),(BT$9/COUNTIFS(BW$8:BW$9,"&lt;&gt;*休息*",BW$8:BW$9,"&lt;&gt;*加班*")))))</f>
        <v>0</v>
      </c>
      <c r="BV8" s="19">
        <f>IF(BW8="",IF(AND(AVERAGEIF(BW$3:BW$9,"",BU$3:BU$9)&lt;500,BU8&lt;500),0,(BU8-500)*0.3),IF(BW8="","",CHOOSE(MATCH(BW8,{"休息","加班","新人"},),"",BU8*0.3,(IF(BU8&gt;500,CEILING(BU8,1),500)-500)*0.3)))</f>
        <v>0</v>
      </c>
      <c r="BW8" s="21"/>
      <c r="BX8" s="12"/>
      <c r="BY8" s="13">
        <f>IF(CA8="",(BX$9/COUNTIFS(CA$8:CA$9,"&lt;&gt;*休息*",CA$8:CA$9,"&lt;&gt;*加班*")),IF(CA8="","",CHOOSE(MATCH(CA8,{"休息","加班","新人"},),"",(BX$8/COUNTIF(CA$8:CA$9,CA8)),(BX$9/COUNTIFS(CA$8:CA$9,"&lt;&gt;*休息*",CA$8:CA$9,"&lt;&gt;*加班*")))))</f>
        <v>0</v>
      </c>
      <c r="BZ8" s="8">
        <f>IF(CA8="",IF(AND(AVERAGEIF(CA$3:CA$9,"",BY$3:BY$9)&lt;500,BY8&lt;500),0,(BY8-500)*0.3),IF(CA8="","",CHOOSE(MATCH(CA8,{"休息","加班","新人"},),"",BY8*0.3,(IF(BY8&gt;500,CEILING(BY8,1),500)-500)*0.3)))</f>
        <v>0</v>
      </c>
      <c r="CA8" s="14"/>
      <c r="CB8" s="12"/>
      <c r="CC8" s="20">
        <f>IF(CE8="",(CB$9/COUNTIFS(CE$8:CE$9,"&lt;&gt;*休息*",CE$8:CE$9,"&lt;&gt;*加班*")),IF(CE8="","",CHOOSE(MATCH(CE8,{"休息","加班","新人"},),"",(CB$8/COUNTIF(CE$8:CE$9,CE8)),(CB$9/COUNTIFS(CE$8:CE$9,"&lt;&gt;*休息*",CE$8:CE$9,"&lt;&gt;*加班*")))))</f>
        <v>0</v>
      </c>
      <c r="CD8" s="19">
        <f>IF(CE8="",IF(AND(AVERAGEIF(CE$3:CE$9,"",CC$3:CC$9)&lt;500,CC8&lt;500),0,(CC8-500)*0.3),IF(CE8="","",CHOOSE(MATCH(CE8,{"休息","加班","新人"},),"",CC8*0.3,(IF(CC8&gt;500,CEILING(CC8,1),500)-500)*0.3)))</f>
        <v>0</v>
      </c>
      <c r="CE8" s="21"/>
      <c r="CF8" s="12"/>
      <c r="CG8" s="13">
        <f>IF(CI8="",(CF$9/COUNTIFS(CI$8:CI$9,"&lt;&gt;*休息*",CI$8:CI$9,"&lt;&gt;*加班*")),IF(CI8="","",CHOOSE(MATCH(CI8,{"休息","加班","新人"},),"",(CF$8/COUNTIF(CI$8:CI$9,CI8)),(CF$9/COUNTIFS(CI$8:CI$9,"&lt;&gt;*休息*",CI$8:CI$9,"&lt;&gt;*加班*")))))</f>
        <v>0</v>
      </c>
      <c r="CH8" s="8">
        <f>IF(CI8="",IF(AND(AVERAGEIF(CI$3:CI$9,"",CG$3:CG$9)&lt;500,CG8&lt;500),0,(CG8-500)*0.3),IF(CI8="","",CHOOSE(MATCH(CI8,{"休息","加班","新人"},),"",CG8*0.3,(IF(CG8&gt;500,CEILING(CG8,1),500)-500)*0.3)))</f>
        <v>0</v>
      </c>
      <c r="CI8" s="14"/>
      <c r="CJ8" s="12"/>
      <c r="CK8" s="20">
        <f>IF(CM8="",(CJ$9/COUNTIFS(CM$8:CM$9,"&lt;&gt;*休息*",CM$8:CM$9,"&lt;&gt;*加班*")),IF(CM8="","",CHOOSE(MATCH(CM8,{"休息","加班","新人"},),"",(CJ$8/COUNTIF(CM$8:CM$9,CM8)),(CJ$9/COUNTIFS(CM$8:CM$9,"&lt;&gt;*休息*",CM$8:CM$9,"&lt;&gt;*加班*")))))</f>
        <v>0</v>
      </c>
      <c r="CL8" s="19">
        <f>IF(CM8="",IF(AND(AVERAGEIF(CM$3:CM$9,"",CK$3:CK$9)&lt;500,CK8&lt;500),0,(CK8-500)*0.3),IF(CM8="","",CHOOSE(MATCH(CM8,{"休息","加班","新人"},),"",CK8*0.3,(IF(CK8&gt;500,CEILING(CK8,1),500)-500)*0.3)))</f>
        <v>0</v>
      </c>
      <c r="CM8" s="21"/>
      <c r="CN8" s="12"/>
      <c r="CO8" s="13">
        <f>IF(CQ8="",(CN$9/COUNTIFS(CQ$8:CQ$9,"&lt;&gt;*休息*",CQ$8:CQ$9,"&lt;&gt;*加班*")),IF(CQ8="","",CHOOSE(MATCH(CQ8,{"休息","加班","新人"},),"",(CN$8/COUNTIF(CQ$8:CQ$9,CQ8)),(CN$9/COUNTIFS(CQ$8:CQ$9,"&lt;&gt;*休息*",CQ$8:CQ$9,"&lt;&gt;*加班*")))))</f>
        <v>0</v>
      </c>
      <c r="CP8" s="8">
        <f>IF(CQ8="",IF(AND(AVERAGEIF(CQ$3:CQ$9,"",CO$3:CO$9)&lt;500,CO8&lt;500),0,(CO8-500)*0.3),IF(CQ8="","",CHOOSE(MATCH(CQ8,{"休息","加班","新人"},),"",CO8*0.3,(IF(CO8&gt;500,CEILING(CO8,1),500)-500)*0.3)))</f>
        <v>0</v>
      </c>
      <c r="CQ8" s="14"/>
      <c r="CR8" s="12"/>
      <c r="CS8" s="20">
        <f>IF(CU8="",(CR$9/COUNTIFS(CU$8:CU$9,"&lt;&gt;*休息*",CU$8:CU$9,"&lt;&gt;*加班*")),IF(CU8="","",CHOOSE(MATCH(CU8,{"休息","加班","新人"},),"",(CR$8/COUNTIF(CU$8:CU$9,CU8)),(CR$9/COUNTIFS(CU$8:CU$9,"&lt;&gt;*休息*",CU$8:CU$9,"&lt;&gt;*加班*")))))</f>
        <v>0</v>
      </c>
      <c r="CT8" s="19">
        <f>IF(CU8="",IF(AND(AVERAGEIF(CU$3:CU$9,"",CS$3:CS$9)&lt;500,CS8&lt;500),0,(CS8-500)*0.3),IF(CU8="","",CHOOSE(MATCH(CU8,{"休息","加班","新人"},),"",CS8*0.3,(IF(CS8&gt;500,CEILING(CS8,1),500)-500)*0.3)))</f>
        <v>0</v>
      </c>
      <c r="CU8" s="21"/>
      <c r="CV8" s="12"/>
      <c r="CW8" s="13">
        <f>IF(CY8="",(CV$9/COUNTIFS(CY$8:CY$9,"&lt;&gt;*休息*",CY$8:CY$9,"&lt;&gt;*加班*")),IF(CY8="","",CHOOSE(MATCH(CY8,{"休息","加班","新人"},),"",(CV$8/COUNTIF(CY$8:CY$9,CY8)),(CV$9/COUNTIFS(CY$8:CY$9,"&lt;&gt;*休息*",CY$8:CY$9,"&lt;&gt;*加班*")))))</f>
        <v>0</v>
      </c>
      <c r="CX8" s="8">
        <f>IF(CY8="",IF(AND(AVERAGEIF(CY$3:CY$9,"",CW$3:CW$9)&lt;500,CW8&lt;500),0,(CW8-500)*0.3),IF(CY8="","",CHOOSE(MATCH(CY8,{"休息","加班","新人"},),"",CW8*0.3,(IF(CW8&gt;500,CEILING(CW8,1),500)-500)*0.3)))</f>
        <v>0</v>
      </c>
      <c r="CY8" s="14"/>
      <c r="CZ8" s="12"/>
      <c r="DA8" s="20">
        <f>IF(DC8="",(CZ$9/COUNTIFS(DC$8:DC$9,"&lt;&gt;*休息*",DC$8:DC$9,"&lt;&gt;*加班*")),IF(DC8="","",CHOOSE(MATCH(DC8,{"休息","加班","新人"},),"",(CZ$8/COUNTIF(DC$8:DC$9,DC8)),(CZ$9/COUNTIFS(DC$8:DC$9,"&lt;&gt;*休息*",DC$8:DC$9,"&lt;&gt;*加班*")))))</f>
        <v>0</v>
      </c>
      <c r="DB8" s="19">
        <f>IF(DC8="",IF(AND(AVERAGEIF(DC$3:DC$9,"",DA$3:DA$9)&lt;500,DA8&lt;500),0,(DA8-500)*0.3),IF(DC8="","",CHOOSE(MATCH(DC8,{"休息","加班","新人"},),"",DA8*0.3,(IF(DA8&gt;500,CEILING(DA8,1),500)-500)*0.3)))</f>
        <v>0</v>
      </c>
      <c r="DC8" s="21"/>
      <c r="DD8" s="12"/>
      <c r="DE8" s="13">
        <f>IF(DG8="",(DD$9/COUNTIFS(DG$8:DG$9,"&lt;&gt;*休息*",DG$8:DG$9,"&lt;&gt;*加班*")),IF(DG8="","",CHOOSE(MATCH(DG8,{"休息","加班","新人"},),"",(DD$8/COUNTIF(DG$8:DG$9,DG8)),(DD$9/COUNTIFS(DG$8:DG$9,"&lt;&gt;*休息*",DG$8:DG$9,"&lt;&gt;*加班*")))))</f>
        <v>0</v>
      </c>
      <c r="DF8" s="8">
        <f>IF(DG8="",IF(AND(AVERAGEIF(DG$3:DG$9,"",DE$3:DE$9)&lt;500,DE8&lt;500),0,(DE8-500)*0.3),IF(DG8="","",CHOOSE(MATCH(DG8,{"休息","加班","新人"},),"",DE8*0.3,(IF(DE8&gt;500,CEILING(DE8,1),500)-500)*0.3)))</f>
        <v>0</v>
      </c>
      <c r="DG8" s="14"/>
      <c r="DH8" s="12"/>
      <c r="DI8" s="20">
        <f>IF(DK8="",(DH$9/COUNTIFS(DK$8:DK$9,"&lt;&gt;*休息*",DK$8:DK$9,"&lt;&gt;*加班*")),IF(DK8="","",CHOOSE(MATCH(DK8,{"休息","加班","新人"},),"",(DH$8/COUNTIF(DK$8:DK$9,DK8)),(DH$9/COUNTIFS(DK$8:DK$9,"&lt;&gt;*休息*",DK$8:DK$9,"&lt;&gt;*加班*")))))</f>
        <v>0</v>
      </c>
      <c r="DJ8" s="19">
        <f>IF(DK8="",IF(AND(AVERAGEIF(DK$3:DK$9,"",DI$3:DI$9)&lt;500,DI8&lt;500),0,(DI8-500)*0.3),IF(DK8="","",CHOOSE(MATCH(DK8,{"休息","加班","新人"},),"",DI8*0.3,(IF(DI8&gt;500,CEILING(DI8,1),500)-500)*0.3)))</f>
        <v>0</v>
      </c>
      <c r="DK8" s="21"/>
      <c r="DL8" s="12"/>
      <c r="DM8" s="13">
        <f>IF(DO8="",(DL$9/COUNTIFS(DO$8:DO$9,"&lt;&gt;*休息*",DO$8:DO$9,"&lt;&gt;*加班*")),IF(DO8="","",CHOOSE(MATCH(DO8,{"休息","加班","新人"},),"",(DL$8/COUNTIF(DO$8:DO$9,DO8)),(DL$9/COUNTIFS(DO$8:DO$9,"&lt;&gt;*休息*",DO$8:DO$9,"&lt;&gt;*加班*")))))</f>
        <v>0</v>
      </c>
      <c r="DN8" s="8">
        <f>IF(DO8="",IF(AND(AVERAGEIF(DO$3:DO$9,"",DM$3:DM$9)&lt;500,DM8&lt;500),0,(DM8-500)*0.3),IF(DO8="","",CHOOSE(MATCH(DO8,{"休息","加班","新人"},),"",DM8*0.3,(IF(DM8&gt;500,CEILING(DM8,1),500)-500)*0.3)))</f>
        <v>0</v>
      </c>
      <c r="DO8" s="14"/>
      <c r="DP8" s="12"/>
      <c r="DQ8" s="20">
        <f>IF(DS8="",(DP$9/COUNTIFS(DS$8:DS$9,"&lt;&gt;*休息*",DS$8:DS$9,"&lt;&gt;*加班*")),IF(DS8="","",CHOOSE(MATCH(DS8,{"休息","加班","新人"},),"",(DP$8/COUNTIF(DS$8:DS$9,DS8)),(DP$9/COUNTIFS(DS$8:DS$9,"&lt;&gt;*休息*",DS$8:DS$9,"&lt;&gt;*加班*")))))</f>
        <v>0</v>
      </c>
      <c r="DR8" s="19">
        <f>IF(DS8="",IF(AND(AVERAGEIF(DS$3:DS$9,"",DQ$3:DQ$9)&lt;500,DQ8&lt;500),0,(DQ8-500)*0.3),IF(DS8="","",CHOOSE(MATCH(DS8,{"休息","加班","新人"},),"",DQ8*0.3,(IF(DQ8&gt;500,CEILING(DQ8,1),500)-500)*0.3)))</f>
        <v>0</v>
      </c>
      <c r="DS8" s="21"/>
      <c r="DT8" s="12"/>
      <c r="DU8" s="13">
        <f>IF(DW8="",(DT$9/COUNTIFS(DW$8:DW$9,"&lt;&gt;*休息*",DW$8:DW$9,"&lt;&gt;*加班*")),IF(DW8="","",CHOOSE(MATCH(DW8,{"休息","加班","新人"},),"",(DT$8/COUNTIF(DW$8:DW$9,DW8)),(DT$9/COUNTIFS(DW$8:DW$9,"&lt;&gt;*休息*",DW$8:DW$9,"&lt;&gt;*加班*")))))</f>
        <v>0</v>
      </c>
      <c r="DV8" s="8">
        <f>IF(DW8="",IF(AND(AVERAGEIF(DW$3:DW$9,"",DU$3:DU$9)&lt;500,DU8&lt;500),0,(DU8-500)*0.3),IF(DW8="","",CHOOSE(MATCH(DW8,{"休息","加班","新人"},),"",DU8*0.3,(IF(DU8&gt;500,CEILING(DU8,1),500)-500)*0.3)))</f>
        <v>0</v>
      </c>
      <c r="DW8" s="14"/>
    </row>
    <row r="9" spans="1:127" ht="35.1" customHeight="1" x14ac:dyDescent="0.15">
      <c r="A9" s="15" t="s">
        <v>50</v>
      </c>
      <c r="B9" s="11">
        <f t="shared" si="0"/>
        <v>0</v>
      </c>
      <c r="C9" s="26"/>
      <c r="D9" s="12">
        <v>900</v>
      </c>
      <c r="E9" s="13">
        <f>IF(G9="",(D$9/COUNTIFS(G$8:G$9,"&lt;&gt;*休息*",G$8:G$9,"&lt;&gt;*加班*")),IF(G9="","",CHOOSE(MATCH(G9,{"休息","加班","新人"},),"",(D$8/COUNTIF(G$8:G$9,G9)),(D$9/COUNTIFS(G$8:G$9,"&lt;&gt;*休息*",G$8:G$9,"&lt;&gt;*加班*")))))</f>
        <v>450</v>
      </c>
      <c r="F9" s="8">
        <f>IF(G9="",IF(AND(AVERAGEIF(G$3:G$9,"",E$3:E$9)&lt;500,E9&lt;500),0,(E9-500)*0.3),IF(G9="","",CHOOSE(MATCH(G9,{"休息","加班","新人"},),"",E9*0.3,(IF(E9&gt;500,CEILING(E9,1),500)-500)*0.3)))</f>
        <v>0</v>
      </c>
      <c r="G9" s="14"/>
      <c r="H9" s="12"/>
      <c r="I9" s="20" t="str">
        <f>IF(K9="",(H$9/COUNTIFS(K$8:K$9,"&lt;&gt;*休息*",K$8:K$9,"&lt;&gt;*加班*")),IF(K9="","",CHOOSE(MATCH(K9,{"休息","加班","新人"},),"",(H$8/COUNTIF(K$8:K$9,K9)),(H$9/COUNTIFS(K$8:K$9,"&lt;&gt;*休息*",K$8:K$9,"&lt;&gt;*加班*")))))</f>
        <v/>
      </c>
      <c r="J9" s="19" t="str">
        <f>IF(K9="",IF(AND(AVERAGEIF(K$3:K$9,"",I$3:I$9)&lt;500,I9&lt;500),0,(I9-500)*0.3),IF(K9="","",CHOOSE(MATCH(K9,{"休息","加班","新人"},),"",I9*0.3,(IF(I9&gt;500,CEILING(I9,1),500)-500)*0.3)))</f>
        <v/>
      </c>
      <c r="K9" s="21" t="s">
        <v>40</v>
      </c>
      <c r="L9" s="12">
        <v>410</v>
      </c>
      <c r="M9" s="13">
        <f>IF(O9="",(L$9/COUNTIFS(O$8:O$9,"&lt;&gt;*休息*",O$8:O$9,"&lt;&gt;*加班*")),IF(O9="","",CHOOSE(MATCH(O9,{"休息","加班","新人"},),"",(L$8/COUNTIF(O$8:O$9,O9)),(L$9/COUNTIFS(O$8:O$9,"&lt;&gt;*休息*",O$8:O$9,"&lt;&gt;*加班*")))))</f>
        <v>410</v>
      </c>
      <c r="N9" s="8">
        <f>IF(O9="",IF(AND(AVERAGEIF(O$3:O$9,"",M$3:M$9)&lt;500,M9&lt;500),0,(M9-500)*0.3),IF(O9="","",CHOOSE(MATCH(O9,{"休息","加班","新人"},),"",M9*0.3,(IF(M9&gt;500,CEILING(M9,1),500)-500)*0.3)))</f>
        <v>0</v>
      </c>
      <c r="O9" s="14"/>
      <c r="P9" s="12"/>
      <c r="Q9" s="20">
        <f>IF(S9="",(P$9/COUNTIFS(S$8:S$9,"&lt;&gt;*休息*",S$8:S$9,"&lt;&gt;*加班*")),IF(S9="","",CHOOSE(MATCH(S9,{"休息","加班","新人"},),"",(P$8/COUNTIF(S$8:S$9,S9)),(P$9/COUNTIFS(S$8:S$9,"&lt;&gt;*休息*",S$8:S$9,"&lt;&gt;*加班*")))))</f>
        <v>0</v>
      </c>
      <c r="R9" s="19">
        <f>IF(S9="",IF(AND(AVERAGEIF(S$3:S$9,"",Q$3:Q$9)&lt;500,Q9&lt;500),0,(Q9-500)*0.3),IF(S9="","",CHOOSE(MATCH(S9,{"休息","加班","新人"},),"",Q9*0.3,(IF(Q9&gt;500,CEILING(Q9,1),500)-500)*0.3)))</f>
        <v>0</v>
      </c>
      <c r="S9" s="21"/>
      <c r="T9" s="12"/>
      <c r="U9" s="13">
        <f>IF(W9="",(T$9/COUNTIFS(W$8:W$9,"&lt;&gt;*休息*",W$8:W$9,"&lt;&gt;*加班*")),IF(W9="","",CHOOSE(MATCH(W9,{"休息","加班","新人"},),"",(T$8/COUNTIF(W$8:W$9,W9)),(T$9/COUNTIFS(W$8:W$9,"&lt;&gt;*休息*",W$8:W$9,"&lt;&gt;*加班*")))))</f>
        <v>0</v>
      </c>
      <c r="V9" s="8">
        <f>IF(W9="",IF(AND(AVERAGEIF(W$3:W$9,"",U$3:U$9)&lt;500,U9&lt;500),0,(U9-500)*0.3),IF(W9="","",CHOOSE(MATCH(W9,{"休息","加班","新人"},),"",U9*0.3,(IF(U9&gt;500,CEILING(U9,1),500)-500)*0.3)))</f>
        <v>0</v>
      </c>
      <c r="W9" s="14"/>
      <c r="X9" s="12"/>
      <c r="Y9" s="20">
        <f>IF(AA9="",(X$9/COUNTIFS(AA$8:AA$9,"&lt;&gt;*休息*",AA$8:AA$9,"&lt;&gt;*加班*")),IF(AA9="","",CHOOSE(MATCH(AA9,{"休息","加班","新人"},),"",(X$8/COUNTIF(AA$8:AA$9,AA9)),(X$9/COUNTIFS(AA$8:AA$9,"&lt;&gt;*休息*",AA$8:AA$9,"&lt;&gt;*加班*")))))</f>
        <v>0</v>
      </c>
      <c r="Z9" s="19">
        <f>IF(AA9="",IF(AND(AVERAGEIF(AA$3:AA$9,"",Y$3:Y$9)&lt;500,Y9&lt;500),0,(Y9-500)*0.3),IF(AA9="","",CHOOSE(MATCH(AA9,{"休息","加班","新人"},),"",Y9*0.3,(IF(Y9&gt;500,CEILING(Y9,1),500)-500)*0.3)))</f>
        <v>0</v>
      </c>
      <c r="AA9" s="21"/>
      <c r="AB9" s="12"/>
      <c r="AC9" s="13">
        <f>IF(AE9="",(AB$9/COUNTIFS(AE$8:AE$9,"&lt;&gt;*休息*",AE$8:AE$9,"&lt;&gt;*加班*")),IF(AE9="","",CHOOSE(MATCH(AE9,{"休息","加班","新人"},),"",(AB$8/COUNTIF(AE$8:AE$9,AE9)),(AB$9/COUNTIFS(AE$8:AE$9,"&lt;&gt;*休息*",AE$8:AE$9,"&lt;&gt;*加班*")))))</f>
        <v>0</v>
      </c>
      <c r="AD9" s="8">
        <f>IF(AE9="",IF(AND(AVERAGEIF(AE$3:AE$9,"",AC$3:AC$9)&lt;500,AC9&lt;500),0,(AC9-500)*0.3),IF(AE9="","",CHOOSE(MATCH(AE9,{"休息","加班","新人"},),"",AC9*0.3,(IF(AC9&gt;500,CEILING(AC9,1),500)-500)*0.3)))</f>
        <v>0</v>
      </c>
      <c r="AE9" s="14"/>
      <c r="AF9" s="12"/>
      <c r="AG9" s="20">
        <f>IF(AI9="",(AF$9/COUNTIFS(AI$8:AI$9,"&lt;&gt;*休息*",AI$8:AI$9,"&lt;&gt;*加班*")),IF(AI9="","",CHOOSE(MATCH(AI9,{"休息","加班","新人"},),"",(AF$8/COUNTIF(AI$8:AI$9,AI9)),(AF$9/COUNTIFS(AI$8:AI$9,"&lt;&gt;*休息*",AI$8:AI$9,"&lt;&gt;*加班*")))))</f>
        <v>0</v>
      </c>
      <c r="AH9" s="19">
        <f>IF(AI9="",IF(AND(AVERAGEIF(AI$3:AI$9,"",AG$3:AG$9)&lt;500,AG9&lt;500),0,(AG9-500)*0.3),IF(AI9="","",CHOOSE(MATCH(AI9,{"休息","加班","新人"},),"",AG9*0.3,(IF(AG9&gt;500,CEILING(AG9,1),500)-500)*0.3)))</f>
        <v>0</v>
      </c>
      <c r="AI9" s="21"/>
      <c r="AJ9" s="12"/>
      <c r="AK9" s="13">
        <f>IF(AM9="",(AJ$9/COUNTIFS(AM$8:AM$9,"&lt;&gt;*休息*",AM$8:AM$9,"&lt;&gt;*加班*")),IF(AM9="","",CHOOSE(MATCH(AM9,{"休息","加班","新人"},),"",(AJ$8/COUNTIF(AM$8:AM$9,AM9)),(AJ$9/COUNTIFS(AM$8:AM$9,"&lt;&gt;*休息*",AM$8:AM$9,"&lt;&gt;*加班*")))))</f>
        <v>0</v>
      </c>
      <c r="AL9" s="8">
        <f>IF(AM9="",IF(AND(AVERAGEIF(AM$3:AM$9,"",AK$3:AK$9)&lt;500,AK9&lt;500),0,(AK9-500)*0.3),IF(AM9="","",CHOOSE(MATCH(AM9,{"休息","加班","新人"},),"",AK9*0.3,(IF(AK9&gt;500,CEILING(AK9,1),500)-500)*0.3)))</f>
        <v>0</v>
      </c>
      <c r="AM9" s="14"/>
      <c r="AN9" s="12"/>
      <c r="AO9" s="20">
        <f>IF(AQ9="",(AN$9/COUNTIFS(AQ$8:AQ$9,"&lt;&gt;*休息*",AQ$8:AQ$9,"&lt;&gt;*加班*")),IF(AQ9="","",CHOOSE(MATCH(AQ9,{"休息","加班","新人"},),"",(AN$8/COUNTIF(AQ$8:AQ$9,AQ9)),(AN$9/COUNTIFS(AQ$8:AQ$9,"&lt;&gt;*休息*",AQ$8:AQ$9,"&lt;&gt;*加班*")))))</f>
        <v>0</v>
      </c>
      <c r="AP9" s="19">
        <f>IF(AQ9="",IF(AND(AVERAGEIF(AQ$3:AQ$9,"",AO$3:AO$9)&lt;500,AO9&lt;500),0,(AO9-500)*0.3),IF(AQ9="","",CHOOSE(MATCH(AQ9,{"休息","加班","新人"},),"",AO9*0.3,(IF(AO9&gt;500,CEILING(AO9,1),500)-500)*0.3)))</f>
        <v>0</v>
      </c>
      <c r="AQ9" s="21"/>
      <c r="AR9" s="12"/>
      <c r="AS9" s="13">
        <f>IF(AU9="",(AR$9/COUNTIFS(AU$8:AU$9,"&lt;&gt;*休息*",AU$8:AU$9,"&lt;&gt;*加班*")),IF(AU9="","",CHOOSE(MATCH(AU9,{"休息","加班","新人"},),"",(AR$8/COUNTIF(AU$8:AU$9,AU9)),(AR$9/COUNTIFS(AU$8:AU$9,"&lt;&gt;*休息*",AU$8:AU$9,"&lt;&gt;*加班*")))))</f>
        <v>0</v>
      </c>
      <c r="AT9" s="8">
        <f>IF(AU9="",IF(AND(AVERAGEIF(AU$3:AU$9,"",AS$3:AS$9)&lt;500,AS9&lt;500),0,(AS9-500)*0.3),IF(AU9="","",CHOOSE(MATCH(AU9,{"休息","加班","新人"},),"",AS9*0.3,(IF(AS9&gt;500,CEILING(AS9,1),500)-500)*0.3)))</f>
        <v>0</v>
      </c>
      <c r="AU9" s="14"/>
      <c r="AV9" s="12"/>
      <c r="AW9" s="20">
        <f>IF(AY9="",(AV$9/COUNTIFS(AY$8:AY$9,"&lt;&gt;*休息*",AY$8:AY$9,"&lt;&gt;*加班*")),IF(AY9="","",CHOOSE(MATCH(AY9,{"休息","加班","新人"},),"",(AV$8/COUNTIF(AY$8:AY$9,AY9)),(AV$9/COUNTIFS(AY$8:AY$9,"&lt;&gt;*休息*",AY$8:AY$9,"&lt;&gt;*加班*")))))</f>
        <v>0</v>
      </c>
      <c r="AX9" s="19">
        <f>IF(AY9="",IF(AND(AVERAGEIF(AY$3:AY$9,"",AW$3:AW$9)&lt;500,AW9&lt;500),0,(AW9-500)*0.3),IF(AY9="","",CHOOSE(MATCH(AY9,{"休息","加班","新人"},),"",AW9*0.3,(IF(AW9&gt;500,CEILING(AW9,1),500)-500)*0.3)))</f>
        <v>0</v>
      </c>
      <c r="AY9" s="21"/>
      <c r="AZ9" s="12"/>
      <c r="BA9" s="13">
        <f>IF(BC9="",(AZ$9/COUNTIFS(BC$8:BC$9,"&lt;&gt;*休息*",BC$8:BC$9,"&lt;&gt;*加班*")),IF(BC9="","",CHOOSE(MATCH(BC9,{"休息","加班","新人"},),"",(AZ$8/COUNTIF(BC$8:BC$9,BC9)),(AZ$9/COUNTIFS(BC$8:BC$9,"&lt;&gt;*休息*",BC$8:BC$9,"&lt;&gt;*加班*")))))</f>
        <v>0</v>
      </c>
      <c r="BB9" s="8">
        <f>IF(BC9="",IF(AND(AVERAGEIF(BC$3:BC$9,"",BA$3:BA$9)&lt;500,BA9&lt;500),0,(BA9-500)*0.3),IF(BC9="","",CHOOSE(MATCH(BC9,{"休息","加班","新人"},),"",BA9*0.3,(IF(BA9&gt;500,CEILING(BA9,1),500)-500)*0.3)))</f>
        <v>0</v>
      </c>
      <c r="BC9" s="14"/>
      <c r="BD9" s="12"/>
      <c r="BE9" s="20">
        <f>IF(BG9="",(BD$9/COUNTIFS(BG$8:BG$9,"&lt;&gt;*休息*",BG$8:BG$9,"&lt;&gt;*加班*")),IF(BG9="","",CHOOSE(MATCH(BG9,{"休息","加班","新人"},),"",(BD$8/COUNTIF(BG$8:BG$9,BG9)),(BD$9/COUNTIFS(BG$8:BG$9,"&lt;&gt;*休息*",BG$8:BG$9,"&lt;&gt;*加班*")))))</f>
        <v>0</v>
      </c>
      <c r="BF9" s="19">
        <f>IF(BG9="",IF(AND(AVERAGEIF(BG$3:BG$9,"",BE$3:BE$9)&lt;500,BE9&lt;500),0,(BE9-500)*0.3),IF(BG9="","",CHOOSE(MATCH(BG9,{"休息","加班","新人"},),"",BE9*0.3,(IF(BE9&gt;500,CEILING(BE9,1),500)-500)*0.3)))</f>
        <v>0</v>
      </c>
      <c r="BG9" s="21"/>
      <c r="BH9" s="12"/>
      <c r="BI9" s="13">
        <f>IF(BK9="",(BH$9/COUNTIFS(BK$8:BK$9,"&lt;&gt;*休息*",BK$8:BK$9,"&lt;&gt;*加班*")),IF(BK9="","",CHOOSE(MATCH(BK9,{"休息","加班","新人"},),"",(BH$8/COUNTIF(BK$8:BK$9,BK9)),(BH$9/COUNTIFS(BK$8:BK$9,"&lt;&gt;*休息*",BK$8:BK$9,"&lt;&gt;*加班*")))))</f>
        <v>0</v>
      </c>
      <c r="BJ9" s="8">
        <f>IF(BK9="",IF(AND(AVERAGEIF(BK$3:BK$9,"",BI$3:BI$9)&lt;500,BI9&lt;500),0,(BI9-500)*0.3),IF(BK9="","",CHOOSE(MATCH(BK9,{"休息","加班","新人"},),"",BI9*0.3,(IF(BI9&gt;500,CEILING(BI9,1),500)-500)*0.3)))</f>
        <v>0</v>
      </c>
      <c r="BK9" s="14"/>
      <c r="BL9" s="12"/>
      <c r="BM9" s="20">
        <f>IF(BO9="",(BL$9/COUNTIFS(BO$8:BO$9,"&lt;&gt;*休息*",BO$8:BO$9,"&lt;&gt;*加班*")),IF(BO9="","",CHOOSE(MATCH(BO9,{"休息","加班","新人"},),"",(BL$8/COUNTIF(BO$8:BO$9,BO9)),(BL$9/COUNTIFS(BO$8:BO$9,"&lt;&gt;*休息*",BO$8:BO$9,"&lt;&gt;*加班*")))))</f>
        <v>0</v>
      </c>
      <c r="BN9" s="19">
        <f>IF(BO9="",IF(AND(AVERAGEIF(BO$3:BO$9,"",BM$3:BM$9)&lt;500,BM9&lt;500),0,(BM9-500)*0.3),IF(BO9="","",CHOOSE(MATCH(BO9,{"休息","加班","新人"},),"",BM9*0.3,(IF(BM9&gt;500,CEILING(BM9,1),500)-500)*0.3)))</f>
        <v>0</v>
      </c>
      <c r="BO9" s="21"/>
      <c r="BP9" s="12"/>
      <c r="BQ9" s="13">
        <f>IF(BS9="",(BP$9/COUNTIFS(BS$8:BS$9,"&lt;&gt;*休息*",BS$8:BS$9,"&lt;&gt;*加班*")),IF(BS9="","",CHOOSE(MATCH(BS9,{"休息","加班","新人"},),"",(BP$8/COUNTIF(BS$8:BS$9,BS9)),(BP$9/COUNTIFS(BS$8:BS$9,"&lt;&gt;*休息*",BS$8:BS$9,"&lt;&gt;*加班*")))))</f>
        <v>0</v>
      </c>
      <c r="BR9" s="8">
        <f>IF(BS9="",IF(AND(AVERAGEIF(BS$3:BS$9,"",BQ$3:BQ$9)&lt;500,BQ9&lt;500),0,(BQ9-500)*0.3),IF(BS9="","",CHOOSE(MATCH(BS9,{"休息","加班","新人"},),"",BQ9*0.3,(IF(BQ9&gt;500,CEILING(BQ9,1),500)-500)*0.3)))</f>
        <v>0</v>
      </c>
      <c r="BS9" s="14"/>
      <c r="BT9" s="12"/>
      <c r="BU9" s="20">
        <f>IF(BW9="",(BT$9/COUNTIFS(BW$8:BW$9,"&lt;&gt;*休息*",BW$8:BW$9,"&lt;&gt;*加班*")),IF(BW9="","",CHOOSE(MATCH(BW9,{"休息","加班","新人"},),"",(BT$8/COUNTIF(BW$8:BW$9,BW9)),(BT$9/COUNTIFS(BW$8:BW$9,"&lt;&gt;*休息*",BW$8:BW$9,"&lt;&gt;*加班*")))))</f>
        <v>0</v>
      </c>
      <c r="BV9" s="19">
        <f>IF(BW9="",IF(AND(AVERAGEIF(BW$3:BW$9,"",BU$3:BU$9)&lt;500,BU9&lt;500),0,(BU9-500)*0.3),IF(BW9="","",CHOOSE(MATCH(BW9,{"休息","加班","新人"},),"",BU9*0.3,(IF(BU9&gt;500,CEILING(BU9,1),500)-500)*0.3)))</f>
        <v>0</v>
      </c>
      <c r="BW9" s="21"/>
      <c r="BX9" s="12"/>
      <c r="BY9" s="13">
        <f>IF(CA9="",(BX$9/COUNTIFS(CA$8:CA$9,"&lt;&gt;*休息*",CA$8:CA$9,"&lt;&gt;*加班*")),IF(CA9="","",CHOOSE(MATCH(CA9,{"休息","加班","新人"},),"",(BX$8/COUNTIF(CA$8:CA$9,CA9)),(BX$9/COUNTIFS(CA$8:CA$9,"&lt;&gt;*休息*",CA$8:CA$9,"&lt;&gt;*加班*")))))</f>
        <v>0</v>
      </c>
      <c r="BZ9" s="8">
        <f>IF(CA9="",IF(AND(AVERAGEIF(CA$3:CA$9,"",BY$3:BY$9)&lt;500,BY9&lt;500),0,(BY9-500)*0.3),IF(CA9="","",CHOOSE(MATCH(CA9,{"休息","加班","新人"},),"",BY9*0.3,(IF(BY9&gt;500,CEILING(BY9,1),500)-500)*0.3)))</f>
        <v>0</v>
      </c>
      <c r="CA9" s="14"/>
      <c r="CB9" s="12"/>
      <c r="CC9" s="20">
        <f>IF(CE9="",(CB$9/COUNTIFS(CE$8:CE$9,"&lt;&gt;*休息*",CE$8:CE$9,"&lt;&gt;*加班*")),IF(CE9="","",CHOOSE(MATCH(CE9,{"休息","加班","新人"},),"",(CB$8/COUNTIF(CE$8:CE$9,CE9)),(CB$9/COUNTIFS(CE$8:CE$9,"&lt;&gt;*休息*",CE$8:CE$9,"&lt;&gt;*加班*")))))</f>
        <v>0</v>
      </c>
      <c r="CD9" s="19">
        <f>IF(CE9="",IF(AND(AVERAGEIF(CE$3:CE$9,"",CC$3:CC$9)&lt;500,CC9&lt;500),0,(CC9-500)*0.3),IF(CE9="","",CHOOSE(MATCH(CE9,{"休息","加班","新人"},),"",CC9*0.3,(IF(CC9&gt;500,CEILING(CC9,1),500)-500)*0.3)))</f>
        <v>0</v>
      </c>
      <c r="CE9" s="21"/>
      <c r="CF9" s="12"/>
      <c r="CG9" s="13">
        <f>IF(CI9="",(CF$9/COUNTIFS(CI$8:CI$9,"&lt;&gt;*休息*",CI$8:CI$9,"&lt;&gt;*加班*")),IF(CI9="","",CHOOSE(MATCH(CI9,{"休息","加班","新人"},),"",(CF$8/COUNTIF(CI$8:CI$9,CI9)),(CF$9/COUNTIFS(CI$8:CI$9,"&lt;&gt;*休息*",CI$8:CI$9,"&lt;&gt;*加班*")))))</f>
        <v>0</v>
      </c>
      <c r="CH9" s="8">
        <f>IF(CI9="",IF(AND(AVERAGEIF(CI$3:CI$9,"",CG$3:CG$9)&lt;500,CG9&lt;500),0,(CG9-500)*0.3),IF(CI9="","",CHOOSE(MATCH(CI9,{"休息","加班","新人"},),"",CG9*0.3,(IF(CG9&gt;500,CEILING(CG9,1),500)-500)*0.3)))</f>
        <v>0</v>
      </c>
      <c r="CI9" s="14"/>
      <c r="CJ9" s="12"/>
      <c r="CK9" s="20">
        <f>IF(CM9="",(CJ$9/COUNTIFS(CM$8:CM$9,"&lt;&gt;*休息*",CM$8:CM$9,"&lt;&gt;*加班*")),IF(CM9="","",CHOOSE(MATCH(CM9,{"休息","加班","新人"},),"",(CJ$8/COUNTIF(CM$8:CM$9,CM9)),(CJ$9/COUNTIFS(CM$8:CM$9,"&lt;&gt;*休息*",CM$8:CM$9,"&lt;&gt;*加班*")))))</f>
        <v>0</v>
      </c>
      <c r="CL9" s="19">
        <f>IF(CM9="",IF(AND(AVERAGEIF(CM$3:CM$9,"",CK$3:CK$9)&lt;500,CK9&lt;500),0,(CK9-500)*0.3),IF(CM9="","",CHOOSE(MATCH(CM9,{"休息","加班","新人"},),"",CK9*0.3,(IF(CK9&gt;500,CEILING(CK9,1),500)-500)*0.3)))</f>
        <v>0</v>
      </c>
      <c r="CM9" s="21"/>
      <c r="CN9" s="12"/>
      <c r="CO9" s="13">
        <f>IF(CQ9="",(CN$9/COUNTIFS(CQ$8:CQ$9,"&lt;&gt;*休息*",CQ$8:CQ$9,"&lt;&gt;*加班*")),IF(CQ9="","",CHOOSE(MATCH(CQ9,{"休息","加班","新人"},),"",(CN$8/COUNTIF(CQ$8:CQ$9,CQ9)),(CN$9/COUNTIFS(CQ$8:CQ$9,"&lt;&gt;*休息*",CQ$8:CQ$9,"&lt;&gt;*加班*")))))</f>
        <v>0</v>
      </c>
      <c r="CP9" s="8">
        <f>IF(CQ9="",IF(AND(AVERAGEIF(CQ$3:CQ$9,"",CO$3:CO$9)&lt;500,CO9&lt;500),0,(CO9-500)*0.3),IF(CQ9="","",CHOOSE(MATCH(CQ9,{"休息","加班","新人"},),"",CO9*0.3,(IF(CO9&gt;500,CEILING(CO9,1),500)-500)*0.3)))</f>
        <v>0</v>
      </c>
      <c r="CQ9" s="14"/>
      <c r="CR9" s="12"/>
      <c r="CS9" s="20">
        <f>IF(CU9="",(CR$9/COUNTIFS(CU$8:CU$9,"&lt;&gt;*休息*",CU$8:CU$9,"&lt;&gt;*加班*")),IF(CU9="","",CHOOSE(MATCH(CU9,{"休息","加班","新人"},),"",(CR$8/COUNTIF(CU$8:CU$9,CU9)),(CR$9/COUNTIFS(CU$8:CU$9,"&lt;&gt;*休息*",CU$8:CU$9,"&lt;&gt;*加班*")))))</f>
        <v>0</v>
      </c>
      <c r="CT9" s="19">
        <f>IF(CU9="",IF(AND(AVERAGEIF(CU$3:CU$9,"",CS$3:CS$9)&lt;500,CS9&lt;500),0,(CS9-500)*0.3),IF(CU9="","",CHOOSE(MATCH(CU9,{"休息","加班","新人"},),"",CS9*0.3,(IF(CS9&gt;500,CEILING(CS9,1),500)-500)*0.3)))</f>
        <v>0</v>
      </c>
      <c r="CU9" s="21"/>
      <c r="CV9" s="12"/>
      <c r="CW9" s="13">
        <f>IF(CY9="",(CV$9/COUNTIFS(CY$8:CY$9,"&lt;&gt;*休息*",CY$8:CY$9,"&lt;&gt;*加班*")),IF(CY9="","",CHOOSE(MATCH(CY9,{"休息","加班","新人"},),"",(CV$8/COUNTIF(CY$8:CY$9,CY9)),(CV$9/COUNTIFS(CY$8:CY$9,"&lt;&gt;*休息*",CY$8:CY$9,"&lt;&gt;*加班*")))))</f>
        <v>0</v>
      </c>
      <c r="CX9" s="8">
        <f>IF(CY9="",IF(AND(AVERAGEIF(CY$3:CY$9,"",CW$3:CW$9)&lt;500,CW9&lt;500),0,(CW9-500)*0.3),IF(CY9="","",CHOOSE(MATCH(CY9,{"休息","加班","新人"},),"",CW9*0.3,(IF(CW9&gt;500,CEILING(CW9,1),500)-500)*0.3)))</f>
        <v>0</v>
      </c>
      <c r="CY9" s="14"/>
      <c r="CZ9" s="12"/>
      <c r="DA9" s="20">
        <f>IF(DC9="",(CZ$9/COUNTIFS(DC$8:DC$9,"&lt;&gt;*休息*",DC$8:DC$9,"&lt;&gt;*加班*")),IF(DC9="","",CHOOSE(MATCH(DC9,{"休息","加班","新人"},),"",(CZ$8/COUNTIF(DC$8:DC$9,DC9)),(CZ$9/COUNTIFS(DC$8:DC$9,"&lt;&gt;*休息*",DC$8:DC$9,"&lt;&gt;*加班*")))))</f>
        <v>0</v>
      </c>
      <c r="DB9" s="19">
        <f>IF(DC9="",IF(AND(AVERAGEIF(DC$3:DC$9,"",DA$3:DA$9)&lt;500,DA9&lt;500),0,(DA9-500)*0.3),IF(DC9="","",CHOOSE(MATCH(DC9,{"休息","加班","新人"},),"",DA9*0.3,(IF(DA9&gt;500,CEILING(DA9,1),500)-500)*0.3)))</f>
        <v>0</v>
      </c>
      <c r="DC9" s="21"/>
      <c r="DD9" s="12"/>
      <c r="DE9" s="13">
        <f>IF(DG9="",(DD$9/COUNTIFS(DG$8:DG$9,"&lt;&gt;*休息*",DG$8:DG$9,"&lt;&gt;*加班*")),IF(DG9="","",CHOOSE(MATCH(DG9,{"休息","加班","新人"},),"",(DD$8/COUNTIF(DG$8:DG$9,DG9)),(DD$9/COUNTIFS(DG$8:DG$9,"&lt;&gt;*休息*",DG$8:DG$9,"&lt;&gt;*加班*")))))</f>
        <v>0</v>
      </c>
      <c r="DF9" s="8">
        <f>IF(DG9="",IF(AND(AVERAGEIF(DG$3:DG$9,"",DE$3:DE$9)&lt;500,DE9&lt;500),0,(DE9-500)*0.3),IF(DG9="","",CHOOSE(MATCH(DG9,{"休息","加班","新人"},),"",DE9*0.3,(IF(DE9&gt;500,CEILING(DE9,1),500)-500)*0.3)))</f>
        <v>0</v>
      </c>
      <c r="DG9" s="14"/>
      <c r="DH9" s="12"/>
      <c r="DI9" s="20">
        <f>IF(DK9="",(DH$9/COUNTIFS(DK$8:DK$9,"&lt;&gt;*休息*",DK$8:DK$9,"&lt;&gt;*加班*")),IF(DK9="","",CHOOSE(MATCH(DK9,{"休息","加班","新人"},),"",(DH$8/COUNTIF(DK$8:DK$9,DK9)),(DH$9/COUNTIFS(DK$8:DK$9,"&lt;&gt;*休息*",DK$8:DK$9,"&lt;&gt;*加班*")))))</f>
        <v>0</v>
      </c>
      <c r="DJ9" s="19">
        <f>IF(DK9="",IF(AND(AVERAGEIF(DK$3:DK$9,"",DI$3:DI$9)&lt;500,DI9&lt;500),0,(DI9-500)*0.3),IF(DK9="","",CHOOSE(MATCH(DK9,{"休息","加班","新人"},),"",DI9*0.3,(IF(DI9&gt;500,CEILING(DI9,1),500)-500)*0.3)))</f>
        <v>0</v>
      </c>
      <c r="DK9" s="21"/>
      <c r="DL9" s="12"/>
      <c r="DM9" s="13">
        <f>IF(DO9="",(DL$9/COUNTIFS(DO$8:DO$9,"&lt;&gt;*休息*",DO$8:DO$9,"&lt;&gt;*加班*")),IF(DO9="","",CHOOSE(MATCH(DO9,{"休息","加班","新人"},),"",(DL$8/COUNTIF(DO$8:DO$9,DO9)),(DL$9/COUNTIFS(DO$8:DO$9,"&lt;&gt;*休息*",DO$8:DO$9,"&lt;&gt;*加班*")))))</f>
        <v>0</v>
      </c>
      <c r="DN9" s="8">
        <f>IF(DO9="",IF(AND(AVERAGEIF(DO$3:DO$9,"",DM$3:DM$9)&lt;500,DM9&lt;500),0,(DM9-500)*0.3),IF(DO9="","",CHOOSE(MATCH(DO9,{"休息","加班","新人"},),"",DM9*0.3,(IF(DM9&gt;500,CEILING(DM9,1),500)-500)*0.3)))</f>
        <v>0</v>
      </c>
      <c r="DO9" s="14"/>
      <c r="DP9" s="12"/>
      <c r="DQ9" s="20">
        <f>IF(DS9="",(DP$9/COUNTIFS(DS$8:DS$9,"&lt;&gt;*休息*",DS$8:DS$9,"&lt;&gt;*加班*")),IF(DS9="","",CHOOSE(MATCH(DS9,{"休息","加班","新人"},),"",(DP$8/COUNTIF(DS$8:DS$9,DS9)),(DP$9/COUNTIFS(DS$8:DS$9,"&lt;&gt;*休息*",DS$8:DS$9,"&lt;&gt;*加班*")))))</f>
        <v>0</v>
      </c>
      <c r="DR9" s="19">
        <f>IF(DS9="",IF(AND(AVERAGEIF(DS$3:DS$9,"",DQ$3:DQ$9)&lt;500,DQ9&lt;500),0,(DQ9-500)*0.3),IF(DS9="","",CHOOSE(MATCH(DS9,{"休息","加班","新人"},),"",DQ9*0.3,(IF(DQ9&gt;500,CEILING(DQ9,1),500)-500)*0.3)))</f>
        <v>0</v>
      </c>
      <c r="DS9" s="21"/>
      <c r="DT9" s="12"/>
      <c r="DU9" s="13">
        <f>IF(DW9="",(DT$9/COUNTIFS(DW$8:DW$9,"&lt;&gt;*休息*",DW$8:DW$9,"&lt;&gt;*加班*")),IF(DW9="","",CHOOSE(MATCH(DW9,{"休息","加班","新人"},),"",(DT$8/COUNTIF(DW$8:DW$9,DW9)),(DT$9/COUNTIFS(DW$8:DW$9,"&lt;&gt;*休息*",DW$8:DW$9,"&lt;&gt;*加班*")))))</f>
        <v>0</v>
      </c>
      <c r="DV9" s="8">
        <f>IF(DW9="",IF(AND(AVERAGEIF(DW$3:DW$9,"",DU$3:DU$9)&lt;500,DU9&lt;500),0,(DU9-500)*0.3),IF(DW9="","",CHOOSE(MATCH(DW9,{"休息","加班","新人"},),"",DU9*0.3,(IF(DU9&gt;500,CEILING(DU9,1),500)-500)*0.3)))</f>
        <v>0</v>
      </c>
      <c r="DW9" s="14"/>
    </row>
    <row r="10" spans="1:127" ht="15" x14ac:dyDescent="0.15">
      <c r="C10" s="16"/>
      <c r="G10" s="17"/>
    </row>
    <row r="11" spans="1:127" x14ac:dyDescent="0.15">
      <c r="A11" s="28"/>
      <c r="B11" s="24"/>
      <c r="C11" s="24"/>
    </row>
    <row r="12" spans="1:127" x14ac:dyDescent="0.15">
      <c r="A12" s="24"/>
      <c r="B12" s="24"/>
      <c r="C12" s="24"/>
    </row>
  </sheetData>
  <mergeCells count="65">
    <mergeCell ref="D1:G1"/>
    <mergeCell ref="H1:K1"/>
    <mergeCell ref="L1:O1"/>
    <mergeCell ref="P1:S1"/>
    <mergeCell ref="T1:W1"/>
    <mergeCell ref="X1:AA1"/>
    <mergeCell ref="AB1:AE1"/>
    <mergeCell ref="AF1:AI1"/>
    <mergeCell ref="AJ1:AM1"/>
    <mergeCell ref="AN1:AQ1"/>
    <mergeCell ref="AR1:AU1"/>
    <mergeCell ref="AV1:AY1"/>
    <mergeCell ref="AZ1:BC1"/>
    <mergeCell ref="BD1:BG1"/>
    <mergeCell ref="BH1:BK1"/>
    <mergeCell ref="BL1:BO1"/>
    <mergeCell ref="BP1:BS1"/>
    <mergeCell ref="BT1:BW1"/>
    <mergeCell ref="BX1:CA1"/>
    <mergeCell ref="CB1:CE1"/>
    <mergeCell ref="DH1:DK1"/>
    <mergeCell ref="DL1:DO1"/>
    <mergeCell ref="DP1:DS1"/>
    <mergeCell ref="CF1:CI1"/>
    <mergeCell ref="CJ1:CM1"/>
    <mergeCell ref="CN1:CQ1"/>
    <mergeCell ref="CR1:CU1"/>
    <mergeCell ref="CV1:CY1"/>
    <mergeCell ref="C8:C9"/>
    <mergeCell ref="D4:D5"/>
    <mergeCell ref="H4:H5"/>
    <mergeCell ref="L4:L5"/>
    <mergeCell ref="P4:P5"/>
    <mergeCell ref="BL4:BL5"/>
    <mergeCell ref="BP4:BP5"/>
    <mergeCell ref="BT4:BT5"/>
    <mergeCell ref="DT1:DW1"/>
    <mergeCell ref="C3:C5"/>
    <mergeCell ref="T4:T5"/>
    <mergeCell ref="X4:X5"/>
    <mergeCell ref="AB4:AB5"/>
    <mergeCell ref="AF4:AF5"/>
    <mergeCell ref="AJ4:AJ5"/>
    <mergeCell ref="AN4:AN5"/>
    <mergeCell ref="AR4:AR5"/>
    <mergeCell ref="AV4:AV5"/>
    <mergeCell ref="AZ4:AZ5"/>
    <mergeCell ref="CZ1:DC1"/>
    <mergeCell ref="DD1:DG1"/>
    <mergeCell ref="DL4:DL5"/>
    <mergeCell ref="DP4:DP5"/>
    <mergeCell ref="DT4:DT5"/>
    <mergeCell ref="A11:C12"/>
    <mergeCell ref="CR4:CR5"/>
    <mergeCell ref="CV4:CV5"/>
    <mergeCell ref="CZ4:CZ5"/>
    <mergeCell ref="DD4:DD5"/>
    <mergeCell ref="DH4:DH5"/>
    <mergeCell ref="BX4:BX5"/>
    <mergeCell ref="CB4:CB5"/>
    <mergeCell ref="CF4:CF5"/>
    <mergeCell ref="CJ4:CJ5"/>
    <mergeCell ref="CN4:CN5"/>
    <mergeCell ref="BD4:BD5"/>
    <mergeCell ref="BH4:BH5"/>
  </mergeCells>
  <phoneticPr fontId="6" type="noConversion"/>
  <conditionalFormatting sqref="G4:G5 K4:K5 O4:O5 S4:S5 W4:W5 AA4:AA5 AE4:AE5 AI4:AI5 AM4:AM5 AQ4:AQ5 AU4:AU5 AY4:AY5 BC4:BC5 BG4:BG5 BK4:BK5 BO4:BO5 BS4:BS5 BW4:BW5 CA4:CA5 CE4:CE5 CI4:CI5 CM4:CM5 CQ4:CQ5 CU4:CU5 CY4:CY5 DC4:DC5 DG4:DG5 DK4:DK5 DO4:DO5 DS4:DS5 DW4:DW5">
    <cfRule type="expression" priority="1">
      <formula>IF(G3="休息",0,$D$3/#REF!)</formula>
    </cfRule>
  </conditionalFormatting>
  <dataValidations count="1">
    <dataValidation type="list" allowBlank="1" showInputMessage="1" showErrorMessage="1" sqref="G3 K3 O3 S3 W3 AA3 AE3 AI3 AM3 AQ3 AU3 AY3 BC3 BG3 BK3 BO3 BS3 BW3 CA3 CE3 CI3 CM3 CQ3 CU3 CY3 DC3 DG3 DK3 DO3 DS3 DW3 G4 K4 O4 S4 W4 AA4 AE4 AI4 AM4 AQ4 AU4 AY4 BC4 BG4 BK4 BO4 BS4 BW4 CA4 CE4 CI4 CM4 CQ4 CU4 CY4 DC4 DG4 DK4 DO4 DS4 DW4 G5 K5 O5 S5 W5 AA5 AE5 AI5 AM5 AQ5 AU5 AY5 BC5 BG5 BK5 BO5 BS5 BW5 CA5 CE5 CI5 CM5 CQ5 CU5 CY5 DC5 DG5 DK5 DO5 DS5 DW5 G6 K6 O6 S6 W6 AA6 AE6 AI6 AM6 AQ6 AU6 AY6 BC6 BG6 BK6 BO6 BS6 BW6 CA6 CE6 CI6 CM6 CQ6 CU6 CY6 DC6 DG6 DK6 DO6 DS6 DW6 G7 K7 O7 S7 W7 AA7 AE7 AI7 AM7 AQ7 AU7 AY7 BC7 BG7 BK7 BO7 BS7 BW7 CA7 CE7 CI7 CM7 CQ7 CU7 CY7 DC7 DG7 DK7 DO7 DS7 DW7 G8 K8 O8 S8 W8 AA8 AE8 AI8 AM8 AQ8 AU8 AY8 BC8 BG8 BK8 BO8 BS8 BW8 CA8 CE8 CI8 CM8 CQ8 CU8 CY8 DC8 DG8 DK8 DO8 DS8 DW8 G9 K9 O9 S9 W9 AA9 AE9 AI9 AM9 AQ9 AU9 AY9 BC9 BG9 BK9 BO9 BS9 BW9 CA9 CE9 CI9 CM9 CQ9 CU9 CY9 DC9 DG9 DK9 DO9 DS9 DW9" xr:uid="{00000000-0002-0000-0000-000000000000}">
      <formula1>"休息,加班,新人"</formula1>
    </dataValidation>
  </dataValidations>
  <pageMargins left="0.69930555555555596" right="0.69930555555555596"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LZY</cp:lastModifiedBy>
  <dcterms:created xsi:type="dcterms:W3CDTF">2019-11-29T17:15:00Z</dcterms:created>
  <dcterms:modified xsi:type="dcterms:W3CDTF">2019-12-05T02:50:08Z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2052-11.1.0.9208</vt:lpwstr>
  </property>
</Properties>
</file>