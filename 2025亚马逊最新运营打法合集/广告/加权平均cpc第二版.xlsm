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6428" windowHeight="8807"/>
  </bookViews>
  <sheets>
    <sheet name="加权CPC" sheetId="1" r:id="rId1"/>
    <sheet name="浮动百分比" sheetId="2" r:id="rId2"/>
    <sheet name="预算预估" sheetId="5" r:id="rId3"/>
  </sheets>
  <calcPr calcId="144525"/>
</workbook>
</file>

<file path=xl/sharedStrings.xml><?xml version="1.0" encoding="utf-8"?>
<sst xmlns="http://schemas.openxmlformats.org/spreadsheetml/2006/main" count="55" uniqueCount="48">
  <si>
    <t>ASIN</t>
  </si>
  <si>
    <t>CPC</t>
  </si>
  <si>
    <t>Orders</t>
  </si>
  <si>
    <t>Bxxxx1</t>
  </si>
  <si>
    <t>Bxxxx2</t>
  </si>
  <si>
    <t>加权CPC</t>
  </si>
  <si>
    <t>Bxxxx3</t>
  </si>
  <si>
    <t>Bxxxx4</t>
  </si>
  <si>
    <t>Bxxxx5</t>
  </si>
  <si>
    <t>Bxxxx6</t>
  </si>
  <si>
    <t>Bxxxx7</t>
  </si>
  <si>
    <t>Bxxxx8</t>
  </si>
  <si>
    <t>使用说明：
1.下载自动广告serch terms报告(或自定义)
2.选择并粘贴对应数据到灰色单元格
3.点击运行加权CPC</t>
  </si>
  <si>
    <t>Bxxxx9</t>
  </si>
  <si>
    <t>Bxxxx10</t>
  </si>
  <si>
    <t>Bxxxx11</t>
  </si>
  <si>
    <t>Bxxxx12</t>
  </si>
  <si>
    <t>bid</t>
  </si>
  <si>
    <t>浮动百分比</t>
  </si>
  <si>
    <t>顶部首页cpc</t>
  </si>
  <si>
    <t>商品页cpc</t>
  </si>
  <si>
    <t>其他位置</t>
  </si>
  <si>
    <t>竞价策略</t>
  </si>
  <si>
    <t>0 - 1.25</t>
  </si>
  <si>
    <t>0 - 1</t>
  </si>
  <si>
    <t>动态只降低</t>
  </si>
  <si>
    <t>0 - 2.5</t>
  </si>
  <si>
    <t>0 - 1.875</t>
  </si>
  <si>
    <t>动态提高和降低</t>
  </si>
  <si>
    <t>此计算结果为：设置浮动百分比后，各位置的系统出价区间。</t>
  </si>
  <si>
    <t>固定竞价</t>
  </si>
  <si>
    <r>
      <rPr>
        <sz val="16"/>
        <rFont val="阿里巴巴普惠体"/>
        <charset val="134"/>
      </rPr>
      <t>图中只有</t>
    </r>
    <r>
      <rPr>
        <sz val="26"/>
        <color rgb="FFFFC000"/>
        <rFont val="阿里巴巴普惠体"/>
        <charset val="134"/>
      </rPr>
      <t>橙色区域</t>
    </r>
    <r>
      <rPr>
        <sz val="16"/>
        <rFont val="阿里巴巴普惠体"/>
        <charset val="134"/>
      </rPr>
      <t>需要填写，然后各自运行自动计算</t>
    </r>
  </si>
  <si>
    <t>默认bid</t>
  </si>
  <si>
    <t>期望bid</t>
  </si>
  <si>
    <t>顶部首页</t>
  </si>
  <si>
    <t>商品页</t>
  </si>
  <si>
    <t>此计算结果为：设置期望bid后，各位置需要的浮动百分比</t>
  </si>
  <si>
    <t>所需浮动百分比</t>
  </si>
  <si>
    <t>cpc</t>
  </si>
  <si>
    <t>acos</t>
  </si>
  <si>
    <t>客单价</t>
  </si>
  <si>
    <t>Click</t>
  </si>
  <si>
    <t>Spend</t>
  </si>
  <si>
    <t>Sales</t>
  </si>
  <si>
    <t>转化率</t>
  </si>
  <si>
    <t>这一列不要动</t>
  </si>
  <si>
    <t>目标ACOS</t>
  </si>
  <si>
    <r>
      <rPr>
        <sz val="14"/>
        <rFont val="阿里巴巴普惠体"/>
        <charset val="134"/>
      </rPr>
      <t>使用说明：
1. 填写CPC,客单价,转化率,目标acos
2. 纯新品转化率一般10%以下
3.</t>
    </r>
    <r>
      <rPr>
        <sz val="14"/>
        <color rgb="FFC00000"/>
        <rFont val="阿里巴巴普惠体"/>
        <charset val="134"/>
      </rPr>
      <t>此计算结果为理论结果，不可直接套用</t>
    </r>
  </si>
</sst>
</file>

<file path=xl/styles.xml><?xml version="1.0" encoding="utf-8"?>
<styleSheet xmlns="http://schemas.openxmlformats.org/spreadsheetml/2006/main">
  <numFmts count="6">
    <numFmt numFmtId="43" formatCode="_ * #,##0.00_ ;_ * \-#,##0.00_ ;_ * &quot;-&quot;??_ ;_ @_ "/>
    <numFmt numFmtId="41" formatCode="_ * #,##0_ ;_ * \-#,##0_ ;_ * &quot;-&quot;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176" formatCode="0.00_ "/>
    <numFmt numFmtId="177" formatCode="\$#,##0.00;\-\$#,##0.00"/>
  </numFmts>
  <fonts count="35">
    <font>
      <sz val="12"/>
      <name val="宋体"/>
      <charset val="134"/>
    </font>
    <font>
      <sz val="6"/>
      <color theme="0"/>
      <name val="宋体"/>
      <charset val="134"/>
    </font>
    <font>
      <sz val="10"/>
      <name val="阿里巴巴普惠体"/>
      <charset val="134"/>
    </font>
    <font>
      <sz val="12"/>
      <name val="阿里巴巴普惠体"/>
      <charset val="134"/>
    </font>
    <font>
      <sz val="6"/>
      <color theme="0"/>
      <name val="阿里巴巴普惠体"/>
      <charset val="134"/>
    </font>
    <font>
      <b/>
      <sz val="9"/>
      <color theme="0"/>
      <name val="阿里巴巴普惠体"/>
      <charset val="134"/>
    </font>
    <font>
      <b/>
      <sz val="12"/>
      <color theme="0"/>
      <name val="阿里巴巴普惠体"/>
      <charset val="134"/>
    </font>
    <font>
      <sz val="18"/>
      <name val="阿里巴巴普惠体"/>
      <charset val="134"/>
    </font>
    <font>
      <sz val="18"/>
      <name val="宋体"/>
      <charset val="134"/>
    </font>
    <font>
      <sz val="14"/>
      <name val="阿里巴巴普惠体"/>
      <charset val="134"/>
    </font>
    <font>
      <sz val="14"/>
      <name val="宋体"/>
      <charset val="134"/>
    </font>
    <font>
      <sz val="11"/>
      <name val="阿里巴巴普惠体"/>
      <charset val="134"/>
    </font>
    <font>
      <sz val="16"/>
      <name val="阿里巴巴普惠体"/>
      <charset val="134"/>
    </font>
    <font>
      <sz val="11"/>
      <color theme="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theme="1"/>
      <name val="宋体"/>
      <charset val="134"/>
      <scheme val="minor"/>
    </font>
    <font>
      <b/>
      <sz val="11"/>
      <color theme="1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3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5"/>
      <color theme="3"/>
      <name val="宋体"/>
      <charset val="134"/>
      <scheme val="minor"/>
    </font>
    <font>
      <sz val="11"/>
      <color rgb="FF006100"/>
      <name val="宋体"/>
      <charset val="0"/>
      <scheme val="minor"/>
    </font>
    <font>
      <sz val="14"/>
      <color rgb="FFC00000"/>
      <name val="阿里巴巴普惠体"/>
      <charset val="134"/>
    </font>
    <font>
      <sz val="26"/>
      <color rgb="FFFFC000"/>
      <name val="阿里巴巴普惠体"/>
      <charset val="134"/>
    </font>
  </fonts>
  <fills count="3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7" fillId="11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18" fillId="13" borderId="4" applyNumberFormat="0" applyFont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1" fillId="0" borderId="8" applyNumberFormat="0" applyFill="0" applyAlignment="0" applyProtection="0">
      <alignment vertical="center"/>
    </xf>
    <xf numFmtId="0" fontId="25" fillId="0" borderId="8" applyNumberFormat="0" applyFill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4" fillId="9" borderId="2" applyNumberFormat="0" applyAlignment="0" applyProtection="0">
      <alignment vertical="center"/>
    </xf>
    <xf numFmtId="0" fontId="24" fillId="9" borderId="3" applyNumberFormat="0" applyAlignment="0" applyProtection="0">
      <alignment vertical="center"/>
    </xf>
    <xf numFmtId="0" fontId="23" fillId="19" borderId="7" applyNumberFormat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20" fillId="0" borderId="6" applyNumberFormat="0" applyFill="0" applyAlignment="0" applyProtection="0">
      <alignment vertical="center"/>
    </xf>
    <xf numFmtId="0" fontId="19" fillId="0" borderId="5" applyNumberFormat="0" applyFill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22" fillId="18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3" fillId="38" borderId="0" applyNumberFormat="0" applyBorder="0" applyAlignment="0" applyProtection="0">
      <alignment vertical="center"/>
    </xf>
    <xf numFmtId="0" fontId="16" fillId="37" borderId="0" applyNumberFormat="0" applyBorder="0" applyAlignment="0" applyProtection="0">
      <alignment vertical="center"/>
    </xf>
    <xf numFmtId="0" fontId="16" fillId="22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34" borderId="0" applyNumberFormat="0" applyBorder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0" fontId="13" fillId="31" borderId="0" applyNumberFormat="0" applyBorder="0" applyAlignment="0" applyProtection="0">
      <alignment vertical="center"/>
    </xf>
    <xf numFmtId="0" fontId="16" fillId="33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26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1" fillId="0" borderId="0" xfId="0" applyFont="1">
      <alignment vertical="center"/>
    </xf>
    <xf numFmtId="9" fontId="0" fillId="0" borderId="0" xfId="11">
      <alignment vertical="center"/>
    </xf>
    <xf numFmtId="177" fontId="0" fillId="0" borderId="0" xfId="0" applyNumberFormat="1">
      <alignment vertical="center"/>
    </xf>
    <xf numFmtId="0" fontId="2" fillId="0" borderId="0" xfId="0" applyFont="1">
      <alignment vertical="center"/>
    </xf>
    <xf numFmtId="9" fontId="3" fillId="0" borderId="0" xfId="11" applyFont="1">
      <alignment vertical="center"/>
    </xf>
    <xf numFmtId="177" fontId="2" fillId="0" borderId="0" xfId="0" applyNumberFormat="1" applyFont="1">
      <alignment vertical="center"/>
    </xf>
    <xf numFmtId="0" fontId="2" fillId="2" borderId="0" xfId="0" applyFont="1" applyFill="1">
      <alignment vertical="center"/>
    </xf>
    <xf numFmtId="9" fontId="2" fillId="2" borderId="0" xfId="11" applyNumberFormat="1" applyFont="1" applyFill="1">
      <alignment vertical="center"/>
    </xf>
    <xf numFmtId="0" fontId="4" fillId="0" borderId="0" xfId="0" applyFont="1">
      <alignment vertical="center"/>
    </xf>
    <xf numFmtId="9" fontId="4" fillId="0" borderId="0" xfId="11" applyFont="1">
      <alignment vertical="center"/>
    </xf>
    <xf numFmtId="0" fontId="5" fillId="3" borderId="0" xfId="0" applyFont="1" applyFill="1">
      <alignment vertical="center"/>
    </xf>
    <xf numFmtId="0" fontId="6" fillId="4" borderId="0" xfId="0" applyFont="1" applyFill="1">
      <alignment vertical="center"/>
    </xf>
    <xf numFmtId="0" fontId="3" fillId="0" borderId="0" xfId="0" applyFont="1">
      <alignment vertical="center"/>
    </xf>
    <xf numFmtId="9" fontId="3" fillId="0" borderId="0" xfId="11" applyNumberFormat="1" applyFont="1">
      <alignment vertical="center"/>
    </xf>
    <xf numFmtId="0" fontId="7" fillId="0" borderId="0" xfId="0" applyFont="1" applyAlignment="1">
      <alignment vertical="center" wrapText="1"/>
    </xf>
    <xf numFmtId="0" fontId="8" fillId="0" borderId="0" xfId="0" applyFont="1" applyAlignment="1">
      <alignment vertical="center" wrapText="1"/>
    </xf>
    <xf numFmtId="0" fontId="9" fillId="0" borderId="0" xfId="0" applyFont="1" applyAlignment="1">
      <alignment horizontal="left" vertical="top" wrapText="1"/>
    </xf>
    <xf numFmtId="0" fontId="10" fillId="0" borderId="0" xfId="0" applyFont="1" applyAlignment="1">
      <alignment vertical="top" wrapText="1"/>
    </xf>
    <xf numFmtId="0" fontId="10" fillId="0" borderId="0" xfId="0" applyFont="1" applyAlignment="1">
      <alignment vertical="center" wrapText="1"/>
    </xf>
    <xf numFmtId="0" fontId="9" fillId="0" borderId="0" xfId="0" applyFont="1" applyAlignment="1">
      <alignment vertical="top" wrapText="1"/>
    </xf>
    <xf numFmtId="0" fontId="9" fillId="0" borderId="0" xfId="0" applyFont="1" applyAlignment="1">
      <alignment vertical="center" wrapText="1"/>
    </xf>
    <xf numFmtId="0" fontId="3" fillId="0" borderId="0" xfId="0" applyFont="1" applyAlignment="1">
      <alignment horizontal="right" vertical="center"/>
    </xf>
    <xf numFmtId="49" fontId="3" fillId="0" borderId="0" xfId="0" applyNumberFormat="1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49" fontId="6" fillId="5" borderId="0" xfId="0" applyNumberFormat="1" applyFont="1" applyFill="1" applyAlignment="1">
      <alignment horizontal="center" vertical="center"/>
    </xf>
    <xf numFmtId="49" fontId="3" fillId="5" borderId="0" xfId="0" applyNumberFormat="1" applyFont="1" applyFill="1" applyAlignment="1">
      <alignment horizontal="center" vertical="center"/>
    </xf>
    <xf numFmtId="0" fontId="11" fillId="2" borderId="0" xfId="0" applyFont="1" applyFill="1" applyAlignment="1">
      <alignment horizontal="right" vertical="center"/>
    </xf>
    <xf numFmtId="9" fontId="11" fillId="2" borderId="0" xfId="11" applyNumberFormat="1" applyFont="1" applyFill="1" applyAlignment="1">
      <alignment horizontal="right" vertical="center"/>
    </xf>
    <xf numFmtId="49" fontId="11" fillId="0" borderId="0" xfId="0" applyNumberFormat="1" applyFont="1" applyAlignment="1">
      <alignment horizontal="right" vertical="center"/>
    </xf>
    <xf numFmtId="0" fontId="11" fillId="0" borderId="0" xfId="0" applyFont="1" applyAlignment="1">
      <alignment horizontal="right" vertical="center"/>
    </xf>
    <xf numFmtId="0" fontId="6" fillId="6" borderId="0" xfId="0" applyFont="1" applyFill="1">
      <alignment vertical="center"/>
    </xf>
    <xf numFmtId="0" fontId="11" fillId="0" borderId="0" xfId="0" applyFont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2" borderId="0" xfId="0" applyFill="1">
      <alignment vertical="center"/>
    </xf>
    <xf numFmtId="0" fontId="0" fillId="2" borderId="0" xfId="0" applyNumberFormat="1" applyFill="1">
      <alignment vertical="center"/>
    </xf>
    <xf numFmtId="0" fontId="6" fillId="3" borderId="0" xfId="0" applyFont="1" applyFill="1" applyAlignment="1">
      <alignment horizontal="center" vertical="center"/>
    </xf>
    <xf numFmtId="0" fontId="0" fillId="7" borderId="1" xfId="0" applyFill="1" applyBorder="1">
      <alignment vertical="center"/>
    </xf>
    <xf numFmtId="176" fontId="0" fillId="0" borderId="0" xfId="0" applyNumberFormat="1" applyAlignment="1">
      <alignment horizontal="center" vertical="center"/>
    </xf>
    <xf numFmtId="0" fontId="10" fillId="0" borderId="0" xfId="0" applyFont="1" applyAlignment="1">
      <alignment horizontal="left" vertical="top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colors>
    <mruColors>
      <color rgb="00FFFF00"/>
      <color rgb="00C0C0C0"/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4</xdr:col>
      <xdr:colOff>670560</xdr:colOff>
      <xdr:row>1</xdr:row>
      <xdr:rowOff>107315</xdr:rowOff>
    </xdr:from>
    <xdr:to>
      <xdr:col>6</xdr:col>
      <xdr:colOff>0</xdr:colOff>
      <xdr:row>2</xdr:row>
      <xdr:rowOff>182880</xdr:rowOff>
    </xdr:to>
    <xdr:sp macro="[0]!加权CPC">
      <xdr:nvSpPr>
        <xdr:cNvPr id="2" name="圆角矩形 1"/>
        <xdr:cNvSpPr/>
      </xdr:nvSpPr>
      <xdr:spPr>
        <a:xfrm>
          <a:off x="3413760" y="305435"/>
          <a:ext cx="853440" cy="273685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 anchorCtr="0"/>
        <a:p>
          <a:pPr algn="ctr"/>
          <a:r>
            <a:rPr lang="zh-CN" altLang="en-US" sz="1100" b="1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加权</a:t>
          </a:r>
          <a:r>
            <a:rPr lang="en-US" altLang="zh-CN" sz="1100" b="1"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CPC</a:t>
          </a:r>
          <a:endParaRPr lang="en-US" altLang="zh-CN" sz="1100" b="1"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6</xdr:col>
      <xdr:colOff>7620</xdr:colOff>
      <xdr:row>0</xdr:row>
      <xdr:rowOff>7620</xdr:rowOff>
    </xdr:from>
    <xdr:to>
      <xdr:col>6</xdr:col>
      <xdr:colOff>678180</xdr:colOff>
      <xdr:row>1</xdr:row>
      <xdr:rowOff>7620</xdr:rowOff>
    </xdr:to>
    <xdr:sp macro="[0]!浮动百分比">
      <xdr:nvSpPr>
        <xdr:cNvPr id="2" name="矩形 1"/>
        <xdr:cNvSpPr/>
      </xdr:nvSpPr>
      <xdr:spPr>
        <a:xfrm>
          <a:off x="6332220" y="7620"/>
          <a:ext cx="670560" cy="3048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 anchorCtr="0"/>
        <a:p>
          <a:pPr algn="ctr"/>
          <a:r>
            <a:rPr lang="zh-CN" altLang="en-US" sz="1400" b="1">
              <a:latin typeface="阿里巴巴普惠体" panose="00020600040101010101" charset="-122"/>
              <a:ea typeface="阿里巴巴普惠体" panose="00020600040101010101" charset="-122"/>
            </a:rPr>
            <a:t>运行</a:t>
          </a:r>
          <a:endParaRPr lang="zh-CN" altLang="en-US" sz="1400" b="1">
            <a:latin typeface="阿里巴巴普惠体" panose="00020600040101010101" charset="-122"/>
            <a:ea typeface="阿里巴巴普惠体" panose="00020600040101010101" charset="-122"/>
          </a:endParaRPr>
        </a:p>
      </xdr:txBody>
    </xdr:sp>
    <xdr:clientData/>
  </xdr:twoCellAnchor>
  <xdr:twoCellAnchor>
    <xdr:from>
      <xdr:col>6</xdr:col>
      <xdr:colOff>8255</xdr:colOff>
      <xdr:row>7</xdr:row>
      <xdr:rowOff>0</xdr:rowOff>
    </xdr:from>
    <xdr:to>
      <xdr:col>6</xdr:col>
      <xdr:colOff>678815</xdr:colOff>
      <xdr:row>8</xdr:row>
      <xdr:rowOff>83820</xdr:rowOff>
    </xdr:to>
    <xdr:sp macro="[0]!浮动百分比2">
      <xdr:nvSpPr>
        <xdr:cNvPr id="3" name="矩形 2"/>
        <xdr:cNvSpPr/>
      </xdr:nvSpPr>
      <xdr:spPr>
        <a:xfrm>
          <a:off x="6332855" y="1562100"/>
          <a:ext cx="670560" cy="304800"/>
        </a:xfrm>
        <a:prstGeom prst="rect">
          <a:avLst/>
        </a:prstGeom>
        <a:solidFill>
          <a:srgbClr val="7030A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400" b="1">
              <a:latin typeface="阿里巴巴普惠体" panose="00020600040101010101" charset="-122"/>
              <a:ea typeface="阿里巴巴普惠体" panose="00020600040101010101" charset="-122"/>
            </a:rPr>
            <a:t>运行</a:t>
          </a:r>
          <a:endParaRPr lang="zh-CN" altLang="en-US" sz="1400" b="1">
            <a:latin typeface="阿里巴巴普惠体" panose="00020600040101010101" charset="-122"/>
            <a:ea typeface="阿里巴巴普惠体" panose="00020600040101010101" charset="-122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K14"/>
  <sheetViews>
    <sheetView tabSelected="1" workbookViewId="0">
      <selection activeCell="K14" sqref="K14"/>
    </sheetView>
  </sheetViews>
  <sheetFormatPr defaultColWidth="9" defaultRowHeight="15.6"/>
  <cols>
    <col min="6" max="6" width="11" customWidth="1"/>
    <col min="7" max="7" width="7.5"/>
    <col min="8" max="8" width="21" customWidth="1"/>
    <col min="11" max="11" width="13.8" customWidth="1"/>
  </cols>
  <sheetData>
    <row r="1" spans="1:3">
      <c r="A1" s="40" t="s">
        <v>0</v>
      </c>
      <c r="B1" s="40" t="s">
        <v>1</v>
      </c>
      <c r="C1" s="40" t="s">
        <v>2</v>
      </c>
    </row>
    <row r="2" spans="1:3">
      <c r="A2" s="40" t="s">
        <v>3</v>
      </c>
      <c r="B2" s="40">
        <v>0.3</v>
      </c>
      <c r="C2" s="40">
        <v>1</v>
      </c>
    </row>
    <row r="3" spans="1:6">
      <c r="A3" s="40" t="s">
        <v>4</v>
      </c>
      <c r="B3" s="40">
        <v>0.3</v>
      </c>
      <c r="C3" s="40">
        <v>1</v>
      </c>
      <c r="F3" t="s">
        <v>5</v>
      </c>
    </row>
    <row r="4" spans="1:11">
      <c r="A4" s="40" t="s">
        <v>6</v>
      </c>
      <c r="B4" s="40">
        <v>0.3</v>
      </c>
      <c r="C4" s="40">
        <v>1</v>
      </c>
      <c r="F4" s="41">
        <v>0.316666666666667</v>
      </c>
      <c r="K4" s="2"/>
    </row>
    <row r="5" spans="1:11">
      <c r="A5" s="40" t="s">
        <v>7</v>
      </c>
      <c r="B5" s="40">
        <v>0.3</v>
      </c>
      <c r="C5" s="40">
        <v>1</v>
      </c>
      <c r="K5" s="2"/>
    </row>
    <row r="6" spans="1:3">
      <c r="A6" s="40" t="s">
        <v>8</v>
      </c>
      <c r="B6" s="40">
        <v>0.3</v>
      </c>
      <c r="C6" s="40">
        <v>1</v>
      </c>
    </row>
    <row r="7" spans="1:3">
      <c r="A7" s="40" t="s">
        <v>9</v>
      </c>
      <c r="B7" s="40">
        <v>0.3</v>
      </c>
      <c r="C7" s="40">
        <v>1</v>
      </c>
    </row>
    <row r="8" spans="1:3">
      <c r="A8" s="40" t="s">
        <v>10</v>
      </c>
      <c r="B8" s="40">
        <v>0.5</v>
      </c>
      <c r="C8" s="40">
        <v>1</v>
      </c>
    </row>
    <row r="9" spans="1:9">
      <c r="A9" s="40" t="s">
        <v>11</v>
      </c>
      <c r="B9" s="40">
        <v>0.3</v>
      </c>
      <c r="C9" s="40">
        <v>1</v>
      </c>
      <c r="F9" s="42" t="s">
        <v>12</v>
      </c>
      <c r="G9" s="42"/>
      <c r="H9" s="42"/>
      <c r="I9" s="42"/>
    </row>
    <row r="10" spans="1:9">
      <c r="A10" s="40" t="s">
        <v>13</v>
      </c>
      <c r="B10" s="40">
        <v>0.3</v>
      </c>
      <c r="C10" s="40">
        <v>1</v>
      </c>
      <c r="F10" s="42"/>
      <c r="G10" s="42"/>
      <c r="H10" s="42"/>
      <c r="I10" s="42"/>
    </row>
    <row r="11" spans="1:9">
      <c r="A11" s="40" t="s">
        <v>14</v>
      </c>
      <c r="B11" s="40">
        <v>0.3</v>
      </c>
      <c r="C11" s="40">
        <v>1</v>
      </c>
      <c r="F11" s="42"/>
      <c r="G11" s="42"/>
      <c r="H11" s="42"/>
      <c r="I11" s="42"/>
    </row>
    <row r="12" spans="1:9">
      <c r="A12" s="40" t="s">
        <v>15</v>
      </c>
      <c r="B12" s="40">
        <v>0.3</v>
      </c>
      <c r="C12" s="40">
        <v>1</v>
      </c>
      <c r="F12" s="42"/>
      <c r="G12" s="42"/>
      <c r="H12" s="42"/>
      <c r="I12" s="42"/>
    </row>
    <row r="13" spans="1:9">
      <c r="A13" s="40" t="s">
        <v>16</v>
      </c>
      <c r="B13" s="40">
        <v>0.3</v>
      </c>
      <c r="C13" s="40">
        <v>1</v>
      </c>
      <c r="F13" s="42"/>
      <c r="G13" s="42"/>
      <c r="H13" s="42"/>
      <c r="I13" s="42"/>
    </row>
    <row r="14" spans="6:9">
      <c r="F14" s="42"/>
      <c r="G14" s="42"/>
      <c r="H14" s="42"/>
      <c r="I14" s="42"/>
    </row>
  </sheetData>
  <mergeCells count="1">
    <mergeCell ref="F9:I14"/>
  </mergeCells>
  <pageMargins left="0.75" right="0.75" top="1" bottom="1" header="0.511805555555556" footer="0.511805555555556"/>
  <pageSetup paperSize="9" orientation="portrait" horizontalDpi="600" verticalDpi="600"/>
  <headerFooter alignWithMargins="0" scaleWithDoc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O1048576"/>
  <sheetViews>
    <sheetView workbookViewId="0">
      <selection activeCell="E13" sqref="E13"/>
    </sheetView>
  </sheetViews>
  <sheetFormatPr defaultColWidth="9" defaultRowHeight="17.4"/>
  <cols>
    <col min="1" max="1" width="9" style="22"/>
    <col min="2" max="2" width="13.5" style="22" customWidth="1"/>
    <col min="3" max="3" width="15.1" style="23" customWidth="1"/>
    <col min="4" max="4" width="14.5" style="23" customWidth="1"/>
    <col min="5" max="5" width="13.5" style="22" customWidth="1"/>
    <col min="6" max="6" width="17.4" style="13" customWidth="1"/>
    <col min="7" max="7" width="9" style="13"/>
    <col min="8" max="8" width="7.5" style="13"/>
    <col min="9" max="9" width="11.5" style="13" customWidth="1"/>
    <col min="10" max="13" width="9" style="13"/>
    <col min="14" max="15" width="9" style="24"/>
    <col min="16" max="16384" width="9" style="13"/>
  </cols>
  <sheetData>
    <row r="1" ht="24" customHeight="1" spans="1:13">
      <c r="A1" s="25" t="s">
        <v>17</v>
      </c>
      <c r="B1" s="26" t="s">
        <v>18</v>
      </c>
      <c r="C1" s="27" t="s">
        <v>19</v>
      </c>
      <c r="D1" s="28" t="s">
        <v>20</v>
      </c>
      <c r="E1" s="25" t="s">
        <v>21</v>
      </c>
      <c r="F1" s="26" t="s">
        <v>22</v>
      </c>
      <c r="G1" s="24"/>
      <c r="H1" s="24"/>
      <c r="I1" s="24"/>
      <c r="J1" s="24"/>
      <c r="K1" s="24"/>
      <c r="L1" s="24"/>
      <c r="M1" s="24"/>
    </row>
    <row r="2" spans="1:13">
      <c r="A2" s="29">
        <v>1</v>
      </c>
      <c r="B2" s="30">
        <v>0.25</v>
      </c>
      <c r="C2" s="31" t="s">
        <v>23</v>
      </c>
      <c r="D2" s="31" t="s">
        <v>23</v>
      </c>
      <c r="E2" s="32" t="s">
        <v>24</v>
      </c>
      <c r="F2" s="33" t="s">
        <v>25</v>
      </c>
      <c r="G2" s="24"/>
      <c r="H2" s="24"/>
      <c r="I2" s="24"/>
      <c r="J2" s="24"/>
      <c r="K2" s="24"/>
      <c r="L2" s="24"/>
      <c r="M2" s="24"/>
    </row>
    <row r="3" spans="1:13">
      <c r="A3" s="34"/>
      <c r="B3" s="34"/>
      <c r="C3" s="31" t="s">
        <v>26</v>
      </c>
      <c r="D3" s="31" t="s">
        <v>27</v>
      </c>
      <c r="E3" s="32" t="s">
        <v>23</v>
      </c>
      <c r="F3" s="33" t="s">
        <v>28</v>
      </c>
      <c r="G3" s="35" t="s">
        <v>29</v>
      </c>
      <c r="H3" s="35"/>
      <c r="I3" s="35"/>
      <c r="J3" s="35"/>
      <c r="K3" s="35"/>
      <c r="L3" s="35"/>
      <c r="M3" s="35"/>
    </row>
    <row r="4" spans="1:13">
      <c r="A4" s="34"/>
      <c r="B4" s="34"/>
      <c r="C4" s="31">
        <v>1.25</v>
      </c>
      <c r="D4" s="31">
        <v>1.25</v>
      </c>
      <c r="E4" s="32">
        <v>1</v>
      </c>
      <c r="F4" s="33" t="s">
        <v>30</v>
      </c>
      <c r="G4" s="24"/>
      <c r="H4" s="24"/>
      <c r="I4" s="24"/>
      <c r="J4" s="24"/>
      <c r="K4" s="24"/>
      <c r="L4" s="24"/>
      <c r="M4" s="24"/>
    </row>
    <row r="5" ht="15.6" spans="1:13">
      <c r="A5" s="36" t="s">
        <v>31</v>
      </c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</row>
    <row r="6" ht="15.6" spans="1:13">
      <c r="A6" s="24"/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</row>
    <row r="7" ht="15.6" spans="1:13">
      <c r="A7" s="24"/>
      <c r="B7" s="24"/>
      <c r="C7" s="24"/>
      <c r="D7" s="24"/>
      <c r="E7" s="24"/>
      <c r="F7" s="24"/>
      <c r="G7" s="24"/>
      <c r="H7" s="24"/>
      <c r="I7" s="24"/>
      <c r="J7" s="24"/>
      <c r="K7" s="24"/>
      <c r="L7" s="24"/>
      <c r="M7" s="24"/>
    </row>
    <row r="8" spans="1:13">
      <c r="A8" s="24"/>
      <c r="B8" s="24"/>
      <c r="C8" s="25" t="s">
        <v>32</v>
      </c>
      <c r="D8" s="25" t="s">
        <v>33</v>
      </c>
      <c r="E8" s="25"/>
      <c r="F8" s="25" t="s">
        <v>22</v>
      </c>
      <c r="G8" s="24"/>
      <c r="H8" s="24"/>
      <c r="I8" s="24"/>
      <c r="J8" s="24"/>
      <c r="K8" s="24"/>
      <c r="L8" s="24"/>
      <c r="M8" s="24"/>
    </row>
    <row r="9" spans="1:13">
      <c r="A9" s="24"/>
      <c r="B9" s="24"/>
      <c r="C9" s="25"/>
      <c r="D9" s="28" t="s">
        <v>34</v>
      </c>
      <c r="E9" s="27" t="s">
        <v>35</v>
      </c>
      <c r="F9" s="25"/>
      <c r="G9" s="24"/>
      <c r="H9" s="24"/>
      <c r="I9" s="24"/>
      <c r="J9" s="24"/>
      <c r="K9" s="24"/>
      <c r="L9" s="24"/>
      <c r="M9" s="24"/>
    </row>
    <row r="10" spans="1:13">
      <c r="A10" s="24"/>
      <c r="B10" s="24"/>
      <c r="C10" s="37">
        <v>1</v>
      </c>
      <c r="D10" s="38">
        <v>1</v>
      </c>
      <c r="E10" s="37">
        <v>1.5</v>
      </c>
      <c r="F10" s="25"/>
      <c r="G10" s="39" t="s">
        <v>36</v>
      </c>
      <c r="H10" s="39"/>
      <c r="I10" s="39"/>
      <c r="J10" s="39"/>
      <c r="K10" s="39"/>
      <c r="L10" s="39"/>
      <c r="M10" s="39"/>
    </row>
    <row r="11" spans="1:13">
      <c r="A11" s="24"/>
      <c r="B11" s="24"/>
      <c r="C11" s="35" t="s">
        <v>37</v>
      </c>
      <c r="D11" s="2">
        <v>0</v>
      </c>
      <c r="E11" s="2">
        <v>0.5</v>
      </c>
      <c r="F11" s="12" t="s">
        <v>25</v>
      </c>
      <c r="G11" s="24"/>
      <c r="H11" s="24"/>
      <c r="I11" s="24"/>
      <c r="J11" s="24"/>
      <c r="K11" s="24"/>
      <c r="L11" s="24"/>
      <c r="M11" s="24"/>
    </row>
    <row r="12" spans="1:13">
      <c r="A12" s="24"/>
      <c r="B12" s="24"/>
      <c r="C12" s="35"/>
      <c r="D12" s="2">
        <v>-0.5</v>
      </c>
      <c r="E12" s="2">
        <v>0</v>
      </c>
      <c r="F12" s="12" t="s">
        <v>28</v>
      </c>
      <c r="G12" s="24"/>
      <c r="H12" s="24"/>
      <c r="I12" s="24"/>
      <c r="J12" s="24"/>
      <c r="K12" s="24"/>
      <c r="L12" s="24"/>
      <c r="M12" s="24"/>
    </row>
    <row r="13" spans="1:13">
      <c r="A13" s="24"/>
      <c r="B13" s="24"/>
      <c r="C13" s="35"/>
      <c r="D13" s="2">
        <v>0</v>
      </c>
      <c r="E13" s="2">
        <v>0.5</v>
      </c>
      <c r="F13" s="12" t="s">
        <v>30</v>
      </c>
      <c r="G13" s="24"/>
      <c r="H13" s="24"/>
      <c r="I13" s="24"/>
      <c r="J13" s="24"/>
      <c r="K13" s="24"/>
      <c r="L13" s="24"/>
      <c r="M13" s="24"/>
    </row>
    <row r="14" ht="15.6" spans="1:13">
      <c r="A14" s="24"/>
      <c r="B14" s="24"/>
      <c r="C14" s="24"/>
      <c r="D14" s="24"/>
      <c r="E14" s="24"/>
      <c r="F14" s="24"/>
      <c r="G14" s="24"/>
      <c r="H14" s="24"/>
      <c r="I14" s="24"/>
      <c r="J14" s="24"/>
      <c r="K14" s="24"/>
      <c r="L14" s="24"/>
      <c r="M14" s="24"/>
    </row>
    <row r="15" ht="15.6" spans="1:13">
      <c r="A15" s="24"/>
      <c r="B15" s="24"/>
      <c r="C15" s="24"/>
      <c r="D15" s="24"/>
      <c r="E15" s="24"/>
      <c r="F15" s="24"/>
      <c r="G15" s="24"/>
      <c r="H15" s="24"/>
      <c r="I15" s="24"/>
      <c r="J15" s="24"/>
      <c r="K15" s="24"/>
      <c r="L15" s="24"/>
      <c r="M15" s="24"/>
    </row>
    <row r="16" ht="15.6" spans="1:13">
      <c r="A16" s="24"/>
      <c r="B16" s="24"/>
      <c r="C16" s="24"/>
      <c r="D16" s="24"/>
      <c r="E16" s="24"/>
      <c r="F16" s="24"/>
      <c r="G16" s="24"/>
      <c r="H16" s="24"/>
      <c r="I16" s="24"/>
      <c r="J16" s="24"/>
      <c r="K16" s="24"/>
      <c r="L16" s="24"/>
      <c r="M16" s="24"/>
    </row>
    <row r="17" ht="15.6" spans="1:13">
      <c r="A17" s="24"/>
      <c r="B17" s="24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</row>
    <row r="18" ht="15.6" spans="1:13">
      <c r="A18" s="24"/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</row>
    <row r="19" ht="15.6" spans="1:13">
      <c r="A19" s="24"/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</row>
    <row r="20" ht="15.6" spans="1:13">
      <c r="A20" s="24"/>
      <c r="B20" s="24"/>
      <c r="C20" s="24"/>
      <c r="D20" s="24"/>
      <c r="E20" s="24"/>
      <c r="F20" s="24"/>
      <c r="G20" s="24"/>
      <c r="H20" s="24"/>
      <c r="I20" s="24"/>
      <c r="J20" s="24"/>
      <c r="K20" s="24"/>
      <c r="L20" s="24"/>
      <c r="M20" s="24"/>
    </row>
    <row r="21" ht="15.6" spans="1:13">
      <c r="A21" s="24"/>
      <c r="B21" s="24"/>
      <c r="C21" s="24"/>
      <c r="D21" s="24"/>
      <c r="E21" s="24"/>
      <c r="F21" s="24"/>
      <c r="G21" s="24"/>
      <c r="H21" s="24"/>
      <c r="I21" s="24"/>
      <c r="J21" s="24"/>
      <c r="K21" s="24"/>
      <c r="L21" s="24"/>
      <c r="M21" s="24"/>
    </row>
    <row r="22" ht="15.6" spans="1:13">
      <c r="A22" s="24"/>
      <c r="B22" s="24"/>
      <c r="C22" s="24"/>
      <c r="D22" s="24"/>
      <c r="E22" s="24"/>
      <c r="F22" s="24"/>
      <c r="G22" s="24"/>
      <c r="H22" s="24"/>
      <c r="I22" s="24"/>
      <c r="J22" s="24"/>
      <c r="K22" s="24"/>
      <c r="L22" s="24"/>
      <c r="M22" s="24"/>
    </row>
    <row r="23" ht="15.6" spans="1:13">
      <c r="A23" s="24"/>
      <c r="B23" s="24"/>
      <c r="C23" s="24"/>
      <c r="D23" s="24"/>
      <c r="E23" s="24"/>
      <c r="F23" s="24"/>
      <c r="G23" s="24"/>
      <c r="H23" s="24"/>
      <c r="I23" s="24"/>
      <c r="J23" s="24"/>
      <c r="K23" s="24"/>
      <c r="L23" s="24"/>
      <c r="M23" s="24"/>
    </row>
    <row r="24" ht="15.6" spans="1:13">
      <c r="A24" s="24"/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</row>
  </sheetData>
  <mergeCells count="15">
    <mergeCell ref="G3:M3"/>
    <mergeCell ref="G4:M4"/>
    <mergeCell ref="D8:E8"/>
    <mergeCell ref="G10:M10"/>
    <mergeCell ref="C8:C9"/>
    <mergeCell ref="C11:C13"/>
    <mergeCell ref="F8:F10"/>
    <mergeCell ref="G1:M2"/>
    <mergeCell ref="G11:M13"/>
    <mergeCell ref="G8:M9"/>
    <mergeCell ref="A8:B13"/>
    <mergeCell ref="A3:B4"/>
    <mergeCell ref="A14:M24"/>
    <mergeCell ref="N1:O1048576"/>
    <mergeCell ref="A5:M7"/>
  </mergeCells>
  <pageMargins left="0.75" right="0.75" top="1" bottom="1" header="0.511805555555556" footer="0.511805555555556"/>
  <pageSetup paperSize="9" orientation="portrait"/>
  <headerFooter alignWithMargins="0" scaleWithDoc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S101"/>
  <sheetViews>
    <sheetView workbookViewId="0">
      <selection activeCell="I6" sqref="I6"/>
    </sheetView>
  </sheetViews>
  <sheetFormatPr defaultColWidth="8.8" defaultRowHeight="15.6"/>
  <cols>
    <col min="1" max="1" width="8.8" style="1"/>
    <col min="2" max="2" width="7.6" style="2" customWidth="1"/>
    <col min="3" max="3" width="8.8" style="1"/>
    <col min="6" max="6" width="8.8" style="3"/>
    <col min="7" max="7" width="9.5" style="3"/>
    <col min="8" max="8" width="8.8" style="1"/>
    <col min="9" max="9" width="10.1" style="1" customWidth="1"/>
    <col min="10" max="10" width="10.4" customWidth="1"/>
    <col min="16" max="16" width="18.2" customWidth="1"/>
  </cols>
  <sheetData>
    <row r="1" ht="17.4" spans="1:14">
      <c r="A1" s="4" t="s">
        <v>38</v>
      </c>
      <c r="B1" s="5" t="s">
        <v>39</v>
      </c>
      <c r="C1" s="4" t="s">
        <v>40</v>
      </c>
      <c r="D1" s="4" t="s">
        <v>41</v>
      </c>
      <c r="E1" s="4" t="s">
        <v>2</v>
      </c>
      <c r="F1" s="6" t="s">
        <v>42</v>
      </c>
      <c r="G1" s="6" t="s">
        <v>43</v>
      </c>
      <c r="H1" s="4" t="s">
        <v>44</v>
      </c>
      <c r="I1" s="11" t="s">
        <v>45</v>
      </c>
      <c r="J1" s="12" t="s">
        <v>46</v>
      </c>
      <c r="K1" s="13"/>
      <c r="L1" s="13"/>
      <c r="M1" s="13"/>
      <c r="N1" s="13"/>
    </row>
    <row r="2" ht="25.8" spans="1:19">
      <c r="A2" s="7">
        <v>1</v>
      </c>
      <c r="B2" s="5" t="e">
        <f>F2/G2</f>
        <v>#DIV/0!</v>
      </c>
      <c r="C2" s="7">
        <v>30</v>
      </c>
      <c r="D2" s="4">
        <v>1</v>
      </c>
      <c r="E2" s="4">
        <f>INT(I2)</f>
        <v>0</v>
      </c>
      <c r="F2" s="6">
        <f>A2*D2</f>
        <v>1</v>
      </c>
      <c r="G2" s="6">
        <f>C2*E2</f>
        <v>0</v>
      </c>
      <c r="H2" s="8">
        <v>0.1</v>
      </c>
      <c r="I2" s="9">
        <f>D2*H2</f>
        <v>0.1</v>
      </c>
      <c r="J2" s="14">
        <v>0.1</v>
      </c>
      <c r="K2" s="15"/>
      <c r="L2" s="15"/>
      <c r="M2" s="15"/>
      <c r="N2" s="15"/>
      <c r="O2" s="16"/>
      <c r="P2" s="16"/>
      <c r="Q2" s="16"/>
      <c r="R2" s="16"/>
      <c r="S2" s="16"/>
    </row>
    <row r="3" ht="25.8" spans="1:19">
      <c r="A3" s="9">
        <f>$A$2</f>
        <v>1</v>
      </c>
      <c r="B3" s="5" t="e">
        <f t="shared" ref="B3:B34" si="0">F3/G3</f>
        <v>#DIV/0!</v>
      </c>
      <c r="C3" s="9">
        <f>$C$2</f>
        <v>30</v>
      </c>
      <c r="D3" s="4">
        <v>2</v>
      </c>
      <c r="E3" s="4">
        <f t="shared" ref="E3:E34" si="1">INT(I3)</f>
        <v>0</v>
      </c>
      <c r="F3" s="6">
        <f t="shared" ref="F3:F34" si="2">A3*D3</f>
        <v>2</v>
      </c>
      <c r="G3" s="6">
        <f t="shared" ref="G3:G34" si="3">C3*E3</f>
        <v>0</v>
      </c>
      <c r="H3" s="10">
        <f>$H$2</f>
        <v>0.1</v>
      </c>
      <c r="I3" s="9">
        <f t="shared" ref="I3:I34" si="4">D3*H3</f>
        <v>0.2</v>
      </c>
      <c r="J3" s="13"/>
      <c r="K3" s="15"/>
      <c r="L3" s="15"/>
      <c r="M3" s="15"/>
      <c r="N3" s="15"/>
      <c r="O3" s="16"/>
      <c r="P3" s="16"/>
      <c r="Q3" s="16"/>
      <c r="R3" s="16"/>
      <c r="S3" s="16"/>
    </row>
    <row r="4" ht="22.2" spans="1:19">
      <c r="A4" s="9">
        <f t="shared" ref="A4:A13" si="5">$A$2</f>
        <v>1</v>
      </c>
      <c r="B4" s="5" t="e">
        <f t="shared" si="0"/>
        <v>#DIV/0!</v>
      </c>
      <c r="C4" s="9">
        <f t="shared" ref="C4:C13" si="6">$C$2</f>
        <v>30</v>
      </c>
      <c r="D4" s="4">
        <v>3</v>
      </c>
      <c r="E4" s="4">
        <f t="shared" si="1"/>
        <v>0</v>
      </c>
      <c r="F4" s="6">
        <f t="shared" si="2"/>
        <v>3</v>
      </c>
      <c r="G4" s="6">
        <f t="shared" si="3"/>
        <v>0</v>
      </c>
      <c r="H4" s="10">
        <f t="shared" ref="H4:H13" si="7">$H$2</f>
        <v>0.1</v>
      </c>
      <c r="I4" s="9">
        <f t="shared" si="4"/>
        <v>0.3</v>
      </c>
      <c r="J4" s="17" t="s">
        <v>47</v>
      </c>
      <c r="K4" s="17"/>
      <c r="L4" s="17"/>
      <c r="M4" s="17"/>
      <c r="N4" s="17"/>
      <c r="O4" s="16"/>
      <c r="P4" s="16"/>
      <c r="Q4" s="16"/>
      <c r="R4" s="16"/>
      <c r="S4" s="16"/>
    </row>
    <row r="5" ht="21" customHeight="1" spans="1:19">
      <c r="A5" s="9">
        <f t="shared" si="5"/>
        <v>1</v>
      </c>
      <c r="B5" s="5" t="e">
        <f t="shared" si="0"/>
        <v>#DIV/0!</v>
      </c>
      <c r="C5" s="9">
        <f t="shared" si="6"/>
        <v>30</v>
      </c>
      <c r="D5" s="4">
        <v>4</v>
      </c>
      <c r="E5" s="4">
        <f t="shared" si="1"/>
        <v>0</v>
      </c>
      <c r="F5" s="6">
        <f t="shared" si="2"/>
        <v>4</v>
      </c>
      <c r="G5" s="6">
        <f t="shared" si="3"/>
        <v>0</v>
      </c>
      <c r="H5" s="10">
        <f t="shared" si="7"/>
        <v>0.1</v>
      </c>
      <c r="I5" s="9">
        <f t="shared" si="4"/>
        <v>0.4</v>
      </c>
      <c r="J5" s="17"/>
      <c r="K5" s="17"/>
      <c r="L5" s="17"/>
      <c r="M5" s="17"/>
      <c r="N5" s="17"/>
      <c r="R5" s="16"/>
      <c r="S5" s="16"/>
    </row>
    <row r="6" ht="22.2" spans="1:19">
      <c r="A6" s="9">
        <f t="shared" si="5"/>
        <v>1</v>
      </c>
      <c r="B6" s="5" t="e">
        <f t="shared" si="0"/>
        <v>#DIV/0!</v>
      </c>
      <c r="C6" s="9">
        <f t="shared" si="6"/>
        <v>30</v>
      </c>
      <c r="D6" s="4">
        <v>5</v>
      </c>
      <c r="E6" s="4">
        <f t="shared" si="1"/>
        <v>0</v>
      </c>
      <c r="F6" s="6">
        <f t="shared" si="2"/>
        <v>5</v>
      </c>
      <c r="G6" s="6">
        <f t="shared" si="3"/>
        <v>0</v>
      </c>
      <c r="H6" s="10">
        <f t="shared" si="7"/>
        <v>0.1</v>
      </c>
      <c r="I6" s="9">
        <f t="shared" si="4"/>
        <v>0.5</v>
      </c>
      <c r="J6" s="17"/>
      <c r="K6" s="17"/>
      <c r="L6" s="17"/>
      <c r="M6" s="17"/>
      <c r="N6" s="17"/>
      <c r="O6" s="18"/>
      <c r="P6" s="19"/>
      <c r="Q6" s="16"/>
      <c r="R6" s="16"/>
      <c r="S6" s="16"/>
    </row>
    <row r="7" ht="22.2" spans="1:19">
      <c r="A7" s="9">
        <f t="shared" si="5"/>
        <v>1</v>
      </c>
      <c r="B7" s="5" t="e">
        <f t="shared" si="0"/>
        <v>#DIV/0!</v>
      </c>
      <c r="C7" s="9">
        <f t="shared" si="6"/>
        <v>30</v>
      </c>
      <c r="D7" s="4">
        <v>6</v>
      </c>
      <c r="E7" s="4">
        <f t="shared" si="1"/>
        <v>0</v>
      </c>
      <c r="F7" s="6">
        <f t="shared" si="2"/>
        <v>6</v>
      </c>
      <c r="G7" s="6">
        <f t="shared" si="3"/>
        <v>0</v>
      </c>
      <c r="H7" s="10">
        <f t="shared" si="7"/>
        <v>0.1</v>
      </c>
      <c r="I7" s="9">
        <f t="shared" si="4"/>
        <v>0.6</v>
      </c>
      <c r="J7" s="17"/>
      <c r="K7" s="17"/>
      <c r="L7" s="17"/>
      <c r="M7" s="17"/>
      <c r="N7" s="17"/>
      <c r="O7" s="18"/>
      <c r="P7" s="19"/>
      <c r="Q7" s="16"/>
      <c r="R7" s="16"/>
      <c r="S7" s="16"/>
    </row>
    <row r="8" ht="22.2" spans="1:19">
      <c r="A8" s="9">
        <f t="shared" si="5"/>
        <v>1</v>
      </c>
      <c r="B8" s="5" t="e">
        <f t="shared" si="0"/>
        <v>#DIV/0!</v>
      </c>
      <c r="C8" s="9">
        <f t="shared" si="6"/>
        <v>30</v>
      </c>
      <c r="D8" s="4">
        <v>7</v>
      </c>
      <c r="E8" s="4">
        <f t="shared" si="1"/>
        <v>0</v>
      </c>
      <c r="F8" s="6">
        <f t="shared" si="2"/>
        <v>7</v>
      </c>
      <c r="G8" s="6">
        <f t="shared" si="3"/>
        <v>0</v>
      </c>
      <c r="H8" s="10">
        <f t="shared" si="7"/>
        <v>0.1</v>
      </c>
      <c r="I8" s="9">
        <f t="shared" si="4"/>
        <v>0.7</v>
      </c>
      <c r="J8" s="13"/>
      <c r="K8" s="20"/>
      <c r="L8" s="20"/>
      <c r="M8" s="20"/>
      <c r="N8" s="20"/>
      <c r="O8" s="18"/>
      <c r="P8" s="19"/>
      <c r="Q8" s="16"/>
      <c r="R8" s="16"/>
      <c r="S8" s="16"/>
    </row>
    <row r="9" ht="22.2" spans="1:19">
      <c r="A9" s="9">
        <f t="shared" si="5"/>
        <v>1</v>
      </c>
      <c r="B9" s="5" t="e">
        <f t="shared" si="0"/>
        <v>#DIV/0!</v>
      </c>
      <c r="C9" s="9">
        <f t="shared" si="6"/>
        <v>30</v>
      </c>
      <c r="D9" s="4">
        <v>8</v>
      </c>
      <c r="E9" s="4">
        <f t="shared" si="1"/>
        <v>0</v>
      </c>
      <c r="F9" s="6">
        <f t="shared" si="2"/>
        <v>8</v>
      </c>
      <c r="G9" s="6">
        <f t="shared" si="3"/>
        <v>0</v>
      </c>
      <c r="H9" s="10">
        <f t="shared" si="7"/>
        <v>0.1</v>
      </c>
      <c r="I9" s="9">
        <f t="shared" si="4"/>
        <v>0.8</v>
      </c>
      <c r="J9" s="13"/>
      <c r="K9" s="20"/>
      <c r="L9" s="20"/>
      <c r="M9" s="20"/>
      <c r="N9" s="20"/>
      <c r="O9" s="18"/>
      <c r="P9" s="19"/>
      <c r="Q9" s="16"/>
      <c r="R9" s="16"/>
      <c r="S9" s="16"/>
    </row>
    <row r="10" ht="22.2" spans="1:19">
      <c r="A10" s="9">
        <f t="shared" si="5"/>
        <v>1</v>
      </c>
      <c r="B10" s="5" t="e">
        <f t="shared" si="0"/>
        <v>#DIV/0!</v>
      </c>
      <c r="C10" s="9">
        <f t="shared" si="6"/>
        <v>30</v>
      </c>
      <c r="D10" s="4">
        <v>9</v>
      </c>
      <c r="E10" s="4">
        <f t="shared" si="1"/>
        <v>0</v>
      </c>
      <c r="F10" s="6">
        <f t="shared" si="2"/>
        <v>9</v>
      </c>
      <c r="G10" s="6">
        <f t="shared" si="3"/>
        <v>0</v>
      </c>
      <c r="H10" s="10">
        <f t="shared" si="7"/>
        <v>0.1</v>
      </c>
      <c r="I10" s="9">
        <f t="shared" si="4"/>
        <v>0.9</v>
      </c>
      <c r="J10" s="13"/>
      <c r="K10" s="20"/>
      <c r="L10" s="20"/>
      <c r="M10" s="20"/>
      <c r="N10" s="20"/>
      <c r="O10" s="18"/>
      <c r="P10" s="19"/>
      <c r="Q10" s="16"/>
      <c r="R10" s="16"/>
      <c r="S10" s="16"/>
    </row>
    <row r="11" ht="22.2" spans="1:19">
      <c r="A11" s="9">
        <f t="shared" si="5"/>
        <v>1</v>
      </c>
      <c r="B11" s="5">
        <f t="shared" si="0"/>
        <v>0.333333333333333</v>
      </c>
      <c r="C11" s="9">
        <f t="shared" si="6"/>
        <v>30</v>
      </c>
      <c r="D11" s="4">
        <v>10</v>
      </c>
      <c r="E11" s="4">
        <f t="shared" si="1"/>
        <v>1</v>
      </c>
      <c r="F11" s="6">
        <f t="shared" si="2"/>
        <v>10</v>
      </c>
      <c r="G11" s="6">
        <f t="shared" si="3"/>
        <v>30</v>
      </c>
      <c r="H11" s="10">
        <f t="shared" si="7"/>
        <v>0.1</v>
      </c>
      <c r="I11" s="9">
        <f t="shared" si="4"/>
        <v>1</v>
      </c>
      <c r="J11" s="13"/>
      <c r="K11" s="21"/>
      <c r="L11" s="21"/>
      <c r="M11" s="21"/>
      <c r="N11" s="21"/>
      <c r="O11" s="19"/>
      <c r="P11" s="19"/>
      <c r="Q11" s="16"/>
      <c r="R11" s="16"/>
      <c r="S11" s="16"/>
    </row>
    <row r="12" ht="22.2" spans="1:19">
      <c r="A12" s="9">
        <f t="shared" si="5"/>
        <v>1</v>
      </c>
      <c r="B12" s="5">
        <f t="shared" si="0"/>
        <v>0.366666666666667</v>
      </c>
      <c r="C12" s="9">
        <f t="shared" si="6"/>
        <v>30</v>
      </c>
      <c r="D12" s="4">
        <v>11</v>
      </c>
      <c r="E12" s="4">
        <f t="shared" si="1"/>
        <v>1</v>
      </c>
      <c r="F12" s="6">
        <f t="shared" si="2"/>
        <v>11</v>
      </c>
      <c r="G12" s="6">
        <f t="shared" si="3"/>
        <v>30</v>
      </c>
      <c r="H12" s="10">
        <f t="shared" si="7"/>
        <v>0.1</v>
      </c>
      <c r="I12" s="9">
        <f t="shared" si="4"/>
        <v>1.1</v>
      </c>
      <c r="J12" s="13"/>
      <c r="K12" s="21"/>
      <c r="L12" s="21"/>
      <c r="M12" s="21"/>
      <c r="N12" s="21"/>
      <c r="O12" s="19"/>
      <c r="P12" s="19"/>
      <c r="Q12" s="16"/>
      <c r="R12" s="16"/>
      <c r="S12" s="16"/>
    </row>
    <row r="13" ht="22.2" spans="1:19">
      <c r="A13" s="9">
        <f t="shared" si="5"/>
        <v>1</v>
      </c>
      <c r="B13" s="5">
        <f t="shared" si="0"/>
        <v>0.4</v>
      </c>
      <c r="C13" s="9">
        <f t="shared" si="6"/>
        <v>30</v>
      </c>
      <c r="D13" s="4">
        <v>12</v>
      </c>
      <c r="E13" s="4">
        <f t="shared" si="1"/>
        <v>1</v>
      </c>
      <c r="F13" s="6">
        <f t="shared" si="2"/>
        <v>12</v>
      </c>
      <c r="G13" s="6">
        <f t="shared" si="3"/>
        <v>30</v>
      </c>
      <c r="H13" s="10">
        <f t="shared" si="7"/>
        <v>0.1</v>
      </c>
      <c r="I13" s="9">
        <f t="shared" si="4"/>
        <v>1.2</v>
      </c>
      <c r="J13" s="13"/>
      <c r="K13" s="21"/>
      <c r="L13" s="21"/>
      <c r="M13" s="21"/>
      <c r="N13" s="21"/>
      <c r="O13" s="19"/>
      <c r="P13" s="19"/>
      <c r="Q13" s="16"/>
      <c r="R13" s="16"/>
      <c r="S13" s="16"/>
    </row>
    <row r="14" ht="22.2" spans="1:19">
      <c r="A14" s="9">
        <f t="shared" ref="A14:A23" si="8">$A$2</f>
        <v>1</v>
      </c>
      <c r="B14" s="5">
        <f t="shared" si="0"/>
        <v>0.433333333333333</v>
      </c>
      <c r="C14" s="9">
        <f t="shared" ref="C14:C23" si="9">$C$2</f>
        <v>30</v>
      </c>
      <c r="D14" s="4">
        <v>13</v>
      </c>
      <c r="E14" s="4">
        <f t="shared" si="1"/>
        <v>1</v>
      </c>
      <c r="F14" s="6">
        <f t="shared" si="2"/>
        <v>13</v>
      </c>
      <c r="G14" s="6">
        <f t="shared" si="3"/>
        <v>30</v>
      </c>
      <c r="H14" s="10">
        <f t="shared" ref="H14:H23" si="10">$H$2</f>
        <v>0.1</v>
      </c>
      <c r="I14" s="9">
        <f t="shared" si="4"/>
        <v>1.3</v>
      </c>
      <c r="J14" s="13"/>
      <c r="K14" s="21"/>
      <c r="L14" s="21"/>
      <c r="M14" s="21"/>
      <c r="N14" s="21"/>
      <c r="O14" s="19"/>
      <c r="P14" s="19"/>
      <c r="Q14" s="16"/>
      <c r="R14" s="16"/>
      <c r="S14" s="16"/>
    </row>
    <row r="15" ht="22.2" spans="1:19">
      <c r="A15" s="9">
        <f t="shared" si="8"/>
        <v>1</v>
      </c>
      <c r="B15" s="5">
        <f t="shared" si="0"/>
        <v>0.466666666666667</v>
      </c>
      <c r="C15" s="9">
        <f t="shared" si="9"/>
        <v>30</v>
      </c>
      <c r="D15" s="4">
        <v>14</v>
      </c>
      <c r="E15" s="4">
        <f t="shared" si="1"/>
        <v>1</v>
      </c>
      <c r="F15" s="6">
        <f t="shared" si="2"/>
        <v>14</v>
      </c>
      <c r="G15" s="6">
        <f t="shared" si="3"/>
        <v>30</v>
      </c>
      <c r="H15" s="10">
        <f t="shared" si="10"/>
        <v>0.1</v>
      </c>
      <c r="I15" s="9">
        <f t="shared" si="4"/>
        <v>1.4</v>
      </c>
      <c r="J15" s="13"/>
      <c r="K15" s="21"/>
      <c r="L15" s="21"/>
      <c r="M15" s="21"/>
      <c r="N15" s="21"/>
      <c r="O15" s="19"/>
      <c r="P15" s="19"/>
      <c r="Q15" s="16"/>
      <c r="R15" s="16"/>
      <c r="S15" s="16"/>
    </row>
    <row r="16" ht="22.2" spans="1:19">
      <c r="A16" s="9">
        <f t="shared" si="8"/>
        <v>1</v>
      </c>
      <c r="B16" s="5">
        <f t="shared" si="0"/>
        <v>0.5</v>
      </c>
      <c r="C16" s="9">
        <f t="shared" si="9"/>
        <v>30</v>
      </c>
      <c r="D16" s="4">
        <v>15</v>
      </c>
      <c r="E16" s="4">
        <f t="shared" si="1"/>
        <v>1</v>
      </c>
      <c r="F16" s="6">
        <f t="shared" si="2"/>
        <v>15</v>
      </c>
      <c r="G16" s="6">
        <f t="shared" si="3"/>
        <v>30</v>
      </c>
      <c r="H16" s="10">
        <f t="shared" si="10"/>
        <v>0.1</v>
      </c>
      <c r="I16" s="9">
        <f t="shared" si="4"/>
        <v>1.5</v>
      </c>
      <c r="J16" s="13"/>
      <c r="K16" s="21"/>
      <c r="L16" s="21"/>
      <c r="M16" s="21"/>
      <c r="N16" s="21"/>
      <c r="O16" s="19"/>
      <c r="P16" s="19"/>
      <c r="Q16" s="16"/>
      <c r="R16" s="16"/>
      <c r="S16" s="16"/>
    </row>
    <row r="17" ht="22.2" spans="1:19">
      <c r="A17" s="9">
        <f t="shared" si="8"/>
        <v>1</v>
      </c>
      <c r="B17" s="5">
        <f t="shared" si="0"/>
        <v>0.533333333333333</v>
      </c>
      <c r="C17" s="9">
        <f t="shared" si="9"/>
        <v>30</v>
      </c>
      <c r="D17" s="4">
        <v>16</v>
      </c>
      <c r="E17" s="4">
        <f t="shared" si="1"/>
        <v>1</v>
      </c>
      <c r="F17" s="6">
        <f t="shared" si="2"/>
        <v>16</v>
      </c>
      <c r="G17" s="6">
        <f t="shared" si="3"/>
        <v>30</v>
      </c>
      <c r="H17" s="10">
        <f t="shared" si="10"/>
        <v>0.1</v>
      </c>
      <c r="I17" s="9">
        <f t="shared" si="4"/>
        <v>1.6</v>
      </c>
      <c r="J17" s="13"/>
      <c r="K17" s="21"/>
      <c r="L17" s="21"/>
      <c r="M17" s="21"/>
      <c r="N17" s="21"/>
      <c r="O17" s="19"/>
      <c r="P17" s="19"/>
      <c r="Q17" s="16"/>
      <c r="R17" s="16"/>
      <c r="S17" s="16"/>
    </row>
    <row r="18" ht="19.8" spans="1:16">
      <c r="A18" s="9">
        <f t="shared" si="8"/>
        <v>1</v>
      </c>
      <c r="B18" s="5">
        <f t="shared" si="0"/>
        <v>0.566666666666667</v>
      </c>
      <c r="C18" s="9">
        <f t="shared" si="9"/>
        <v>30</v>
      </c>
      <c r="D18" s="4">
        <v>17</v>
      </c>
      <c r="E18" s="4">
        <f t="shared" si="1"/>
        <v>1</v>
      </c>
      <c r="F18" s="6">
        <f t="shared" si="2"/>
        <v>17</v>
      </c>
      <c r="G18" s="6">
        <f t="shared" si="3"/>
        <v>30</v>
      </c>
      <c r="H18" s="10">
        <f t="shared" si="10"/>
        <v>0.1</v>
      </c>
      <c r="I18" s="9">
        <f t="shared" si="4"/>
        <v>1.7</v>
      </c>
      <c r="J18" s="13"/>
      <c r="K18" s="21"/>
      <c r="L18" s="21"/>
      <c r="M18" s="21"/>
      <c r="N18" s="21"/>
      <c r="O18" s="19"/>
      <c r="P18" s="19"/>
    </row>
    <row r="19" ht="17.4" spans="1:14">
      <c r="A19" s="9">
        <f t="shared" si="8"/>
        <v>1</v>
      </c>
      <c r="B19" s="5">
        <f t="shared" si="0"/>
        <v>0.6</v>
      </c>
      <c r="C19" s="9">
        <f t="shared" si="9"/>
        <v>30</v>
      </c>
      <c r="D19" s="4">
        <v>18</v>
      </c>
      <c r="E19" s="4">
        <f t="shared" si="1"/>
        <v>1</v>
      </c>
      <c r="F19" s="6">
        <f t="shared" si="2"/>
        <v>18</v>
      </c>
      <c r="G19" s="6">
        <f t="shared" si="3"/>
        <v>30</v>
      </c>
      <c r="H19" s="10">
        <f t="shared" si="10"/>
        <v>0.1</v>
      </c>
      <c r="I19" s="9">
        <f t="shared" si="4"/>
        <v>1.8</v>
      </c>
      <c r="J19" s="13"/>
      <c r="K19" s="13"/>
      <c r="L19" s="13"/>
      <c r="M19" s="13"/>
      <c r="N19" s="13"/>
    </row>
    <row r="20" ht="17.4" spans="1:14">
      <c r="A20" s="9">
        <f t="shared" si="8"/>
        <v>1</v>
      </c>
      <c r="B20" s="5">
        <f t="shared" si="0"/>
        <v>0.633333333333333</v>
      </c>
      <c r="C20" s="9">
        <f t="shared" si="9"/>
        <v>30</v>
      </c>
      <c r="D20" s="4">
        <v>19</v>
      </c>
      <c r="E20" s="4">
        <f t="shared" si="1"/>
        <v>1</v>
      </c>
      <c r="F20" s="6">
        <f t="shared" si="2"/>
        <v>19</v>
      </c>
      <c r="G20" s="6">
        <f t="shared" si="3"/>
        <v>30</v>
      </c>
      <c r="H20" s="10">
        <f t="shared" si="10"/>
        <v>0.1</v>
      </c>
      <c r="I20" s="9">
        <f t="shared" si="4"/>
        <v>1.9</v>
      </c>
      <c r="J20" s="13"/>
      <c r="K20" s="13"/>
      <c r="L20" s="13"/>
      <c r="M20" s="13"/>
      <c r="N20" s="13"/>
    </row>
    <row r="21" ht="17.4" spans="1:14">
      <c r="A21" s="9">
        <f t="shared" si="8"/>
        <v>1</v>
      </c>
      <c r="B21" s="5">
        <f t="shared" si="0"/>
        <v>0.333333333333333</v>
      </c>
      <c r="C21" s="9">
        <f t="shared" si="9"/>
        <v>30</v>
      </c>
      <c r="D21" s="4">
        <v>20</v>
      </c>
      <c r="E21" s="4">
        <f t="shared" si="1"/>
        <v>2</v>
      </c>
      <c r="F21" s="6">
        <f t="shared" si="2"/>
        <v>20</v>
      </c>
      <c r="G21" s="6">
        <f t="shared" si="3"/>
        <v>60</v>
      </c>
      <c r="H21" s="10">
        <f t="shared" si="10"/>
        <v>0.1</v>
      </c>
      <c r="I21" s="9">
        <f t="shared" si="4"/>
        <v>2</v>
      </c>
      <c r="J21" s="13"/>
      <c r="K21" s="13"/>
      <c r="L21" s="13"/>
      <c r="M21" s="13"/>
      <c r="N21" s="13"/>
    </row>
    <row r="22" ht="17.4" spans="1:14">
      <c r="A22" s="9">
        <f t="shared" si="8"/>
        <v>1</v>
      </c>
      <c r="B22" s="5">
        <f t="shared" si="0"/>
        <v>0.35</v>
      </c>
      <c r="C22" s="9">
        <f t="shared" si="9"/>
        <v>30</v>
      </c>
      <c r="D22" s="4">
        <v>21</v>
      </c>
      <c r="E22" s="4">
        <f t="shared" si="1"/>
        <v>2</v>
      </c>
      <c r="F22" s="6">
        <f t="shared" si="2"/>
        <v>21</v>
      </c>
      <c r="G22" s="6">
        <f t="shared" si="3"/>
        <v>60</v>
      </c>
      <c r="H22" s="10">
        <f t="shared" si="10"/>
        <v>0.1</v>
      </c>
      <c r="I22" s="9">
        <f t="shared" si="4"/>
        <v>2.1</v>
      </c>
      <c r="J22" s="13"/>
      <c r="K22" s="13"/>
      <c r="L22" s="13"/>
      <c r="M22" s="13"/>
      <c r="N22" s="13"/>
    </row>
    <row r="23" ht="17.4" spans="1:14">
      <c r="A23" s="9">
        <f t="shared" si="8"/>
        <v>1</v>
      </c>
      <c r="B23" s="5">
        <f t="shared" si="0"/>
        <v>0.366666666666667</v>
      </c>
      <c r="C23" s="9">
        <f t="shared" si="9"/>
        <v>30</v>
      </c>
      <c r="D23" s="4">
        <v>22</v>
      </c>
      <c r="E23" s="4">
        <f t="shared" si="1"/>
        <v>2</v>
      </c>
      <c r="F23" s="6">
        <f t="shared" si="2"/>
        <v>22</v>
      </c>
      <c r="G23" s="6">
        <f t="shared" si="3"/>
        <v>60</v>
      </c>
      <c r="H23" s="10">
        <f t="shared" si="10"/>
        <v>0.1</v>
      </c>
      <c r="I23" s="9">
        <f t="shared" si="4"/>
        <v>2.2</v>
      </c>
      <c r="J23" s="13"/>
      <c r="K23" s="13"/>
      <c r="L23" s="13"/>
      <c r="M23" s="13"/>
      <c r="N23" s="13"/>
    </row>
    <row r="24" ht="17.4" spans="1:14">
      <c r="A24" s="9">
        <f t="shared" ref="A24:A33" si="11">$A$2</f>
        <v>1</v>
      </c>
      <c r="B24" s="5">
        <f t="shared" si="0"/>
        <v>0.383333333333333</v>
      </c>
      <c r="C24" s="9">
        <f t="shared" ref="C24:C33" si="12">$C$2</f>
        <v>30</v>
      </c>
      <c r="D24" s="4">
        <v>23</v>
      </c>
      <c r="E24" s="4">
        <f t="shared" si="1"/>
        <v>2</v>
      </c>
      <c r="F24" s="6">
        <f t="shared" si="2"/>
        <v>23</v>
      </c>
      <c r="G24" s="6">
        <f t="shared" si="3"/>
        <v>60</v>
      </c>
      <c r="H24" s="10">
        <f t="shared" ref="H24:H33" si="13">$H$2</f>
        <v>0.1</v>
      </c>
      <c r="I24" s="9">
        <f t="shared" si="4"/>
        <v>2.3</v>
      </c>
      <c r="J24" s="13"/>
      <c r="K24" s="13"/>
      <c r="L24" s="13"/>
      <c r="M24" s="13"/>
      <c r="N24" s="13"/>
    </row>
    <row r="25" ht="17.4" spans="1:14">
      <c r="A25" s="9">
        <f t="shared" si="11"/>
        <v>1</v>
      </c>
      <c r="B25" s="5">
        <f t="shared" si="0"/>
        <v>0.4</v>
      </c>
      <c r="C25" s="9">
        <f t="shared" si="12"/>
        <v>30</v>
      </c>
      <c r="D25" s="4">
        <v>24</v>
      </c>
      <c r="E25" s="4">
        <f t="shared" si="1"/>
        <v>2</v>
      </c>
      <c r="F25" s="6">
        <f t="shared" si="2"/>
        <v>24</v>
      </c>
      <c r="G25" s="6">
        <f t="shared" si="3"/>
        <v>60</v>
      </c>
      <c r="H25" s="10">
        <f t="shared" si="13"/>
        <v>0.1</v>
      </c>
      <c r="I25" s="9">
        <f t="shared" si="4"/>
        <v>2.4</v>
      </c>
      <c r="J25" s="13"/>
      <c r="K25" s="13"/>
      <c r="L25" s="13"/>
      <c r="M25" s="13"/>
      <c r="N25" s="13"/>
    </row>
    <row r="26" ht="17.4" spans="1:14">
      <c r="A26" s="9">
        <f t="shared" si="11"/>
        <v>1</v>
      </c>
      <c r="B26" s="5">
        <f t="shared" si="0"/>
        <v>0.416666666666667</v>
      </c>
      <c r="C26" s="9">
        <f t="shared" si="12"/>
        <v>30</v>
      </c>
      <c r="D26" s="4">
        <v>25</v>
      </c>
      <c r="E26" s="4">
        <f t="shared" si="1"/>
        <v>2</v>
      </c>
      <c r="F26" s="6">
        <f t="shared" si="2"/>
        <v>25</v>
      </c>
      <c r="G26" s="6">
        <f t="shared" si="3"/>
        <v>60</v>
      </c>
      <c r="H26" s="10">
        <f t="shared" si="13"/>
        <v>0.1</v>
      </c>
      <c r="I26" s="9">
        <f t="shared" si="4"/>
        <v>2.5</v>
      </c>
      <c r="J26" s="13"/>
      <c r="K26" s="13"/>
      <c r="L26" s="13"/>
      <c r="M26" s="13"/>
      <c r="N26" s="13"/>
    </row>
    <row r="27" ht="17.4" spans="1:14">
      <c r="A27" s="9">
        <f t="shared" si="11"/>
        <v>1</v>
      </c>
      <c r="B27" s="5">
        <f t="shared" si="0"/>
        <v>0.433333333333333</v>
      </c>
      <c r="C27" s="9">
        <f t="shared" si="12"/>
        <v>30</v>
      </c>
      <c r="D27" s="4">
        <v>26</v>
      </c>
      <c r="E27" s="4">
        <f t="shared" si="1"/>
        <v>2</v>
      </c>
      <c r="F27" s="6">
        <f t="shared" si="2"/>
        <v>26</v>
      </c>
      <c r="G27" s="6">
        <f t="shared" si="3"/>
        <v>60</v>
      </c>
      <c r="H27" s="10">
        <f t="shared" si="13"/>
        <v>0.1</v>
      </c>
      <c r="I27" s="9">
        <f t="shared" si="4"/>
        <v>2.6</v>
      </c>
      <c r="J27" s="13"/>
      <c r="K27" s="13"/>
      <c r="L27" s="13"/>
      <c r="M27" s="13"/>
      <c r="N27" s="13"/>
    </row>
    <row r="28" ht="17.4" spans="1:14">
      <c r="A28" s="9">
        <f t="shared" si="11"/>
        <v>1</v>
      </c>
      <c r="B28" s="5">
        <f t="shared" si="0"/>
        <v>0.45</v>
      </c>
      <c r="C28" s="9">
        <f t="shared" si="12"/>
        <v>30</v>
      </c>
      <c r="D28" s="4">
        <v>27</v>
      </c>
      <c r="E28" s="4">
        <f t="shared" si="1"/>
        <v>2</v>
      </c>
      <c r="F28" s="6">
        <f t="shared" si="2"/>
        <v>27</v>
      </c>
      <c r="G28" s="6">
        <f t="shared" si="3"/>
        <v>60</v>
      </c>
      <c r="H28" s="10">
        <f t="shared" si="13"/>
        <v>0.1</v>
      </c>
      <c r="I28" s="9">
        <f t="shared" si="4"/>
        <v>2.7</v>
      </c>
      <c r="J28" s="13"/>
      <c r="K28" s="13"/>
      <c r="L28" s="13"/>
      <c r="M28" s="13"/>
      <c r="N28" s="13"/>
    </row>
    <row r="29" ht="17.4" spans="1:14">
      <c r="A29" s="9">
        <f t="shared" si="11"/>
        <v>1</v>
      </c>
      <c r="B29" s="5">
        <f t="shared" si="0"/>
        <v>0.466666666666667</v>
      </c>
      <c r="C29" s="9">
        <f t="shared" si="12"/>
        <v>30</v>
      </c>
      <c r="D29" s="4">
        <v>28</v>
      </c>
      <c r="E29" s="4">
        <f t="shared" si="1"/>
        <v>2</v>
      </c>
      <c r="F29" s="6">
        <f t="shared" si="2"/>
        <v>28</v>
      </c>
      <c r="G29" s="6">
        <f t="shared" si="3"/>
        <v>60</v>
      </c>
      <c r="H29" s="10">
        <f t="shared" si="13"/>
        <v>0.1</v>
      </c>
      <c r="I29" s="9">
        <f t="shared" si="4"/>
        <v>2.8</v>
      </c>
      <c r="J29" s="13"/>
      <c r="K29" s="13"/>
      <c r="L29" s="13"/>
      <c r="M29" s="13"/>
      <c r="N29" s="13"/>
    </row>
    <row r="30" ht="17.4" spans="1:14">
      <c r="A30" s="9">
        <f t="shared" si="11"/>
        <v>1</v>
      </c>
      <c r="B30" s="5">
        <f t="shared" si="0"/>
        <v>0.483333333333333</v>
      </c>
      <c r="C30" s="9">
        <f t="shared" si="12"/>
        <v>30</v>
      </c>
      <c r="D30" s="4">
        <v>29</v>
      </c>
      <c r="E30" s="4">
        <f t="shared" si="1"/>
        <v>2</v>
      </c>
      <c r="F30" s="6">
        <f t="shared" si="2"/>
        <v>29</v>
      </c>
      <c r="G30" s="6">
        <f t="shared" si="3"/>
        <v>60</v>
      </c>
      <c r="H30" s="10">
        <f t="shared" si="13"/>
        <v>0.1</v>
      </c>
      <c r="I30" s="9">
        <f t="shared" si="4"/>
        <v>2.9</v>
      </c>
      <c r="J30" s="13"/>
      <c r="K30" s="13"/>
      <c r="L30" s="13"/>
      <c r="M30" s="13"/>
      <c r="N30" s="13"/>
    </row>
    <row r="31" ht="17.4" spans="1:14">
      <c r="A31" s="9">
        <f t="shared" si="11"/>
        <v>1</v>
      </c>
      <c r="B31" s="5">
        <f t="shared" si="0"/>
        <v>0.333333333333333</v>
      </c>
      <c r="C31" s="9">
        <f t="shared" si="12"/>
        <v>30</v>
      </c>
      <c r="D31" s="4">
        <v>30</v>
      </c>
      <c r="E31" s="4">
        <f t="shared" si="1"/>
        <v>3</v>
      </c>
      <c r="F31" s="6">
        <f t="shared" si="2"/>
        <v>30</v>
      </c>
      <c r="G31" s="6">
        <f t="shared" si="3"/>
        <v>90</v>
      </c>
      <c r="H31" s="10">
        <f t="shared" si="13"/>
        <v>0.1</v>
      </c>
      <c r="I31" s="9">
        <f t="shared" si="4"/>
        <v>3</v>
      </c>
      <c r="J31" s="13"/>
      <c r="K31" s="13"/>
      <c r="L31" s="13"/>
      <c r="M31" s="13"/>
      <c r="N31" s="13"/>
    </row>
    <row r="32" ht="17.4" spans="1:14">
      <c r="A32" s="9">
        <f t="shared" si="11"/>
        <v>1</v>
      </c>
      <c r="B32" s="5">
        <f t="shared" si="0"/>
        <v>0.344444444444444</v>
      </c>
      <c r="C32" s="9">
        <f t="shared" si="12"/>
        <v>30</v>
      </c>
      <c r="D32" s="4">
        <v>31</v>
      </c>
      <c r="E32" s="4">
        <f t="shared" si="1"/>
        <v>3</v>
      </c>
      <c r="F32" s="6">
        <f t="shared" si="2"/>
        <v>31</v>
      </c>
      <c r="G32" s="6">
        <f t="shared" si="3"/>
        <v>90</v>
      </c>
      <c r="H32" s="10">
        <f t="shared" si="13"/>
        <v>0.1</v>
      </c>
      <c r="I32" s="9">
        <f t="shared" si="4"/>
        <v>3.1</v>
      </c>
      <c r="J32" s="13"/>
      <c r="K32" s="13"/>
      <c r="L32" s="13"/>
      <c r="M32" s="13"/>
      <c r="N32" s="13"/>
    </row>
    <row r="33" ht="17.4" spans="1:14">
      <c r="A33" s="9">
        <f t="shared" si="11"/>
        <v>1</v>
      </c>
      <c r="B33" s="5">
        <f t="shared" si="0"/>
        <v>0.355555555555556</v>
      </c>
      <c r="C33" s="9">
        <f t="shared" si="12"/>
        <v>30</v>
      </c>
      <c r="D33" s="4">
        <v>32</v>
      </c>
      <c r="E33" s="4">
        <f t="shared" si="1"/>
        <v>3</v>
      </c>
      <c r="F33" s="6">
        <f t="shared" si="2"/>
        <v>32</v>
      </c>
      <c r="G33" s="6">
        <f t="shared" si="3"/>
        <v>90</v>
      </c>
      <c r="H33" s="10">
        <f t="shared" si="13"/>
        <v>0.1</v>
      </c>
      <c r="I33" s="9">
        <f t="shared" si="4"/>
        <v>3.2</v>
      </c>
      <c r="J33" s="13"/>
      <c r="K33" s="13"/>
      <c r="L33" s="13"/>
      <c r="M33" s="13"/>
      <c r="N33" s="13"/>
    </row>
    <row r="34" ht="17.4" spans="1:14">
      <c r="A34" s="9">
        <f t="shared" ref="A34:A43" si="14">$A$2</f>
        <v>1</v>
      </c>
      <c r="B34" s="5">
        <f t="shared" si="0"/>
        <v>0.366666666666667</v>
      </c>
      <c r="C34" s="9">
        <f t="shared" ref="C34:C43" si="15">$C$2</f>
        <v>30</v>
      </c>
      <c r="D34" s="4">
        <v>33</v>
      </c>
      <c r="E34" s="4">
        <f t="shared" si="1"/>
        <v>3</v>
      </c>
      <c r="F34" s="6">
        <f t="shared" si="2"/>
        <v>33</v>
      </c>
      <c r="G34" s="6">
        <f t="shared" si="3"/>
        <v>90</v>
      </c>
      <c r="H34" s="10">
        <f t="shared" ref="H34:H43" si="16">$H$2</f>
        <v>0.1</v>
      </c>
      <c r="I34" s="9">
        <f t="shared" si="4"/>
        <v>3.3</v>
      </c>
      <c r="J34" s="13"/>
      <c r="K34" s="13"/>
      <c r="L34" s="13"/>
      <c r="M34" s="13"/>
      <c r="N34" s="13"/>
    </row>
    <row r="35" ht="17.4" spans="1:14">
      <c r="A35" s="9">
        <f t="shared" si="14"/>
        <v>1</v>
      </c>
      <c r="B35" s="5">
        <f t="shared" ref="B35:B51" si="17">F35/G35</f>
        <v>0.377777777777778</v>
      </c>
      <c r="C35" s="9">
        <f t="shared" si="15"/>
        <v>30</v>
      </c>
      <c r="D35" s="4">
        <v>34</v>
      </c>
      <c r="E35" s="4">
        <f t="shared" ref="E35:E51" si="18">INT(I35)</f>
        <v>3</v>
      </c>
      <c r="F35" s="6">
        <f t="shared" ref="F35:F51" si="19">A35*D35</f>
        <v>34</v>
      </c>
      <c r="G35" s="6">
        <f t="shared" ref="G35:G51" si="20">C35*E35</f>
        <v>90</v>
      </c>
      <c r="H35" s="10">
        <f t="shared" si="16"/>
        <v>0.1</v>
      </c>
      <c r="I35" s="9">
        <f t="shared" ref="I35:I51" si="21">D35*H35</f>
        <v>3.4</v>
      </c>
      <c r="J35" s="13"/>
      <c r="K35" s="13"/>
      <c r="L35" s="13"/>
      <c r="M35" s="13"/>
      <c r="N35" s="13"/>
    </row>
    <row r="36" ht="17.4" spans="1:14">
      <c r="A36" s="9">
        <f t="shared" si="14"/>
        <v>1</v>
      </c>
      <c r="B36" s="5">
        <f t="shared" si="17"/>
        <v>0.388888888888889</v>
      </c>
      <c r="C36" s="9">
        <f t="shared" si="15"/>
        <v>30</v>
      </c>
      <c r="D36" s="4">
        <v>35</v>
      </c>
      <c r="E36" s="4">
        <f t="shared" si="18"/>
        <v>3</v>
      </c>
      <c r="F36" s="6">
        <f t="shared" si="19"/>
        <v>35</v>
      </c>
      <c r="G36" s="6">
        <f t="shared" si="20"/>
        <v>90</v>
      </c>
      <c r="H36" s="10">
        <f t="shared" si="16"/>
        <v>0.1</v>
      </c>
      <c r="I36" s="9">
        <f t="shared" si="21"/>
        <v>3.5</v>
      </c>
      <c r="J36" s="13"/>
      <c r="K36" s="13"/>
      <c r="L36" s="13"/>
      <c r="M36" s="13"/>
      <c r="N36" s="13"/>
    </row>
    <row r="37" ht="17.4" spans="1:14">
      <c r="A37" s="9">
        <f t="shared" si="14"/>
        <v>1</v>
      </c>
      <c r="B37" s="5">
        <f t="shared" si="17"/>
        <v>0.4</v>
      </c>
      <c r="C37" s="9">
        <f t="shared" si="15"/>
        <v>30</v>
      </c>
      <c r="D37" s="4">
        <v>36</v>
      </c>
      <c r="E37" s="4">
        <f t="shared" si="18"/>
        <v>3</v>
      </c>
      <c r="F37" s="6">
        <f t="shared" si="19"/>
        <v>36</v>
      </c>
      <c r="G37" s="6">
        <f t="shared" si="20"/>
        <v>90</v>
      </c>
      <c r="H37" s="10">
        <f t="shared" si="16"/>
        <v>0.1</v>
      </c>
      <c r="I37" s="9">
        <f t="shared" si="21"/>
        <v>3.6</v>
      </c>
      <c r="J37" s="13"/>
      <c r="K37" s="13"/>
      <c r="L37" s="13"/>
      <c r="M37" s="13"/>
      <c r="N37" s="13"/>
    </row>
    <row r="38" ht="17.4" spans="1:14">
      <c r="A38" s="9">
        <f t="shared" si="14"/>
        <v>1</v>
      </c>
      <c r="B38" s="5">
        <f t="shared" si="17"/>
        <v>0.411111111111111</v>
      </c>
      <c r="C38" s="9">
        <f t="shared" si="15"/>
        <v>30</v>
      </c>
      <c r="D38" s="4">
        <v>37</v>
      </c>
      <c r="E38" s="4">
        <f t="shared" si="18"/>
        <v>3</v>
      </c>
      <c r="F38" s="6">
        <f t="shared" si="19"/>
        <v>37</v>
      </c>
      <c r="G38" s="6">
        <f t="shared" si="20"/>
        <v>90</v>
      </c>
      <c r="H38" s="10">
        <f t="shared" si="16"/>
        <v>0.1</v>
      </c>
      <c r="I38" s="9">
        <f t="shared" si="21"/>
        <v>3.7</v>
      </c>
      <c r="J38" s="13"/>
      <c r="K38" s="13"/>
      <c r="L38" s="13"/>
      <c r="M38" s="13"/>
      <c r="N38" s="13"/>
    </row>
    <row r="39" ht="17.4" spans="1:14">
      <c r="A39" s="9">
        <f t="shared" si="14"/>
        <v>1</v>
      </c>
      <c r="B39" s="5">
        <f t="shared" si="17"/>
        <v>0.422222222222222</v>
      </c>
      <c r="C39" s="9">
        <f t="shared" si="15"/>
        <v>30</v>
      </c>
      <c r="D39" s="4">
        <v>38</v>
      </c>
      <c r="E39" s="4">
        <f t="shared" si="18"/>
        <v>3</v>
      </c>
      <c r="F39" s="6">
        <f t="shared" si="19"/>
        <v>38</v>
      </c>
      <c r="G39" s="6">
        <f t="shared" si="20"/>
        <v>90</v>
      </c>
      <c r="H39" s="10">
        <f t="shared" si="16"/>
        <v>0.1</v>
      </c>
      <c r="I39" s="9">
        <f t="shared" si="21"/>
        <v>3.8</v>
      </c>
      <c r="J39" s="13"/>
      <c r="K39" s="13"/>
      <c r="L39" s="13"/>
      <c r="M39" s="13"/>
      <c r="N39" s="13"/>
    </row>
    <row r="40" ht="17.4" spans="1:14">
      <c r="A40" s="9">
        <f t="shared" si="14"/>
        <v>1</v>
      </c>
      <c r="B40" s="5">
        <f t="shared" si="17"/>
        <v>0.433333333333333</v>
      </c>
      <c r="C40" s="9">
        <f t="shared" si="15"/>
        <v>30</v>
      </c>
      <c r="D40" s="4">
        <v>39</v>
      </c>
      <c r="E40" s="4">
        <f t="shared" si="18"/>
        <v>3</v>
      </c>
      <c r="F40" s="6">
        <f t="shared" si="19"/>
        <v>39</v>
      </c>
      <c r="G40" s="6">
        <f t="shared" si="20"/>
        <v>90</v>
      </c>
      <c r="H40" s="10">
        <f t="shared" si="16"/>
        <v>0.1</v>
      </c>
      <c r="I40" s="9">
        <f t="shared" si="21"/>
        <v>3.9</v>
      </c>
      <c r="J40" s="13"/>
      <c r="K40" s="13"/>
      <c r="L40" s="13"/>
      <c r="M40" s="13"/>
      <c r="N40" s="13"/>
    </row>
    <row r="41" ht="17.4" spans="1:14">
      <c r="A41" s="9">
        <f t="shared" si="14"/>
        <v>1</v>
      </c>
      <c r="B41" s="5">
        <f t="shared" si="17"/>
        <v>0.333333333333333</v>
      </c>
      <c r="C41" s="9">
        <f t="shared" si="15"/>
        <v>30</v>
      </c>
      <c r="D41" s="4">
        <v>40</v>
      </c>
      <c r="E41" s="4">
        <f t="shared" si="18"/>
        <v>4</v>
      </c>
      <c r="F41" s="6">
        <f t="shared" si="19"/>
        <v>40</v>
      </c>
      <c r="G41" s="6">
        <f t="shared" si="20"/>
        <v>120</v>
      </c>
      <c r="H41" s="10">
        <f t="shared" si="16"/>
        <v>0.1</v>
      </c>
      <c r="I41" s="9">
        <f t="shared" si="21"/>
        <v>4</v>
      </c>
      <c r="J41" s="13"/>
      <c r="K41" s="13"/>
      <c r="L41" s="13"/>
      <c r="M41" s="13"/>
      <c r="N41" s="13"/>
    </row>
    <row r="42" ht="17.4" spans="1:14">
      <c r="A42" s="9">
        <f t="shared" si="14"/>
        <v>1</v>
      </c>
      <c r="B42" s="5">
        <f t="shared" si="17"/>
        <v>0.341666666666667</v>
      </c>
      <c r="C42" s="9">
        <f t="shared" si="15"/>
        <v>30</v>
      </c>
      <c r="D42" s="4">
        <v>41</v>
      </c>
      <c r="E42" s="4">
        <f t="shared" si="18"/>
        <v>4</v>
      </c>
      <c r="F42" s="6">
        <f t="shared" si="19"/>
        <v>41</v>
      </c>
      <c r="G42" s="6">
        <f t="shared" si="20"/>
        <v>120</v>
      </c>
      <c r="H42" s="10">
        <f t="shared" si="16"/>
        <v>0.1</v>
      </c>
      <c r="I42" s="9">
        <f t="shared" si="21"/>
        <v>4.1</v>
      </c>
      <c r="J42" s="13"/>
      <c r="K42" s="13"/>
      <c r="L42" s="13"/>
      <c r="M42" s="13"/>
      <c r="N42" s="13"/>
    </row>
    <row r="43" ht="17.4" spans="1:14">
      <c r="A43" s="9">
        <f t="shared" si="14"/>
        <v>1</v>
      </c>
      <c r="B43" s="5">
        <f t="shared" si="17"/>
        <v>0.35</v>
      </c>
      <c r="C43" s="9">
        <f t="shared" si="15"/>
        <v>30</v>
      </c>
      <c r="D43" s="4">
        <v>42</v>
      </c>
      <c r="E43" s="4">
        <f t="shared" si="18"/>
        <v>4</v>
      </c>
      <c r="F43" s="6">
        <f t="shared" si="19"/>
        <v>42</v>
      </c>
      <c r="G43" s="6">
        <f t="shared" si="20"/>
        <v>120</v>
      </c>
      <c r="H43" s="10">
        <f t="shared" si="16"/>
        <v>0.1</v>
      </c>
      <c r="I43" s="9">
        <f t="shared" si="21"/>
        <v>4.2</v>
      </c>
      <c r="J43" s="13"/>
      <c r="K43" s="13"/>
      <c r="L43" s="13"/>
      <c r="M43" s="13"/>
      <c r="N43" s="13"/>
    </row>
    <row r="44" ht="17.4" spans="1:14">
      <c r="A44" s="9">
        <f t="shared" ref="A44:A51" si="22">$A$2</f>
        <v>1</v>
      </c>
      <c r="B44" s="5">
        <f t="shared" si="17"/>
        <v>0.358333333333333</v>
      </c>
      <c r="C44" s="9">
        <f t="shared" ref="C44:C51" si="23">$C$2</f>
        <v>30</v>
      </c>
      <c r="D44" s="4">
        <v>43</v>
      </c>
      <c r="E44" s="4">
        <f t="shared" si="18"/>
        <v>4</v>
      </c>
      <c r="F44" s="6">
        <f t="shared" si="19"/>
        <v>43</v>
      </c>
      <c r="G44" s="6">
        <f t="shared" si="20"/>
        <v>120</v>
      </c>
      <c r="H44" s="10">
        <f t="shared" ref="H44:H51" si="24">$H$2</f>
        <v>0.1</v>
      </c>
      <c r="I44" s="9">
        <f t="shared" si="21"/>
        <v>4.3</v>
      </c>
      <c r="J44" s="13"/>
      <c r="K44" s="13"/>
      <c r="L44" s="13"/>
      <c r="M44" s="13"/>
      <c r="N44" s="13"/>
    </row>
    <row r="45" ht="17.4" spans="1:14">
      <c r="A45" s="9">
        <f t="shared" si="22"/>
        <v>1</v>
      </c>
      <c r="B45" s="5">
        <f t="shared" si="17"/>
        <v>0.366666666666667</v>
      </c>
      <c r="C45" s="9">
        <f t="shared" si="23"/>
        <v>30</v>
      </c>
      <c r="D45" s="4">
        <v>44</v>
      </c>
      <c r="E45" s="4">
        <f t="shared" si="18"/>
        <v>4</v>
      </c>
      <c r="F45" s="6">
        <f t="shared" si="19"/>
        <v>44</v>
      </c>
      <c r="G45" s="6">
        <f t="shared" si="20"/>
        <v>120</v>
      </c>
      <c r="H45" s="10">
        <f t="shared" si="24"/>
        <v>0.1</v>
      </c>
      <c r="I45" s="9">
        <f t="shared" si="21"/>
        <v>4.4</v>
      </c>
      <c r="J45" s="13"/>
      <c r="K45" s="13"/>
      <c r="L45" s="13"/>
      <c r="M45" s="13"/>
      <c r="N45" s="13"/>
    </row>
    <row r="46" ht="17.4" spans="1:14">
      <c r="A46" s="9">
        <f t="shared" si="22"/>
        <v>1</v>
      </c>
      <c r="B46" s="5">
        <f t="shared" si="17"/>
        <v>0.375</v>
      </c>
      <c r="C46" s="9">
        <f t="shared" si="23"/>
        <v>30</v>
      </c>
      <c r="D46" s="4">
        <v>45</v>
      </c>
      <c r="E46" s="4">
        <f t="shared" si="18"/>
        <v>4</v>
      </c>
      <c r="F46" s="6">
        <f t="shared" si="19"/>
        <v>45</v>
      </c>
      <c r="G46" s="6">
        <f t="shared" si="20"/>
        <v>120</v>
      </c>
      <c r="H46" s="10">
        <f t="shared" si="24"/>
        <v>0.1</v>
      </c>
      <c r="I46" s="9">
        <f t="shared" si="21"/>
        <v>4.5</v>
      </c>
      <c r="J46" s="13"/>
      <c r="K46" s="13"/>
      <c r="L46" s="13"/>
      <c r="M46" s="13"/>
      <c r="N46" s="13"/>
    </row>
    <row r="47" ht="17.4" spans="1:14">
      <c r="A47" s="9">
        <f t="shared" si="22"/>
        <v>1</v>
      </c>
      <c r="B47" s="5">
        <f t="shared" si="17"/>
        <v>0.383333333333333</v>
      </c>
      <c r="C47" s="9">
        <f t="shared" si="23"/>
        <v>30</v>
      </c>
      <c r="D47" s="4">
        <v>46</v>
      </c>
      <c r="E47" s="4">
        <f t="shared" si="18"/>
        <v>4</v>
      </c>
      <c r="F47" s="6">
        <f t="shared" si="19"/>
        <v>46</v>
      </c>
      <c r="G47" s="6">
        <f t="shared" si="20"/>
        <v>120</v>
      </c>
      <c r="H47" s="10">
        <f t="shared" si="24"/>
        <v>0.1</v>
      </c>
      <c r="I47" s="9">
        <f t="shared" si="21"/>
        <v>4.6</v>
      </c>
      <c r="J47" s="13"/>
      <c r="K47" s="13"/>
      <c r="L47" s="13"/>
      <c r="M47" s="13"/>
      <c r="N47" s="13"/>
    </row>
    <row r="48" ht="17.4" spans="1:14">
      <c r="A48" s="9">
        <f t="shared" si="22"/>
        <v>1</v>
      </c>
      <c r="B48" s="5">
        <f t="shared" si="17"/>
        <v>0.391666666666667</v>
      </c>
      <c r="C48" s="9">
        <f t="shared" si="23"/>
        <v>30</v>
      </c>
      <c r="D48" s="4">
        <v>47</v>
      </c>
      <c r="E48" s="4">
        <f t="shared" si="18"/>
        <v>4</v>
      </c>
      <c r="F48" s="6">
        <f t="shared" si="19"/>
        <v>47</v>
      </c>
      <c r="G48" s="6">
        <f t="shared" si="20"/>
        <v>120</v>
      </c>
      <c r="H48" s="10">
        <f t="shared" si="24"/>
        <v>0.1</v>
      </c>
      <c r="I48" s="9">
        <f t="shared" si="21"/>
        <v>4.7</v>
      </c>
      <c r="J48" s="13"/>
      <c r="K48" s="13"/>
      <c r="L48" s="13"/>
      <c r="M48" s="13"/>
      <c r="N48" s="13"/>
    </row>
    <row r="49" ht="17.4" spans="1:14">
      <c r="A49" s="9">
        <f t="shared" si="22"/>
        <v>1</v>
      </c>
      <c r="B49" s="5">
        <f t="shared" si="17"/>
        <v>0.4</v>
      </c>
      <c r="C49" s="9">
        <f t="shared" si="23"/>
        <v>30</v>
      </c>
      <c r="D49" s="4">
        <v>48</v>
      </c>
      <c r="E49" s="4">
        <f t="shared" si="18"/>
        <v>4</v>
      </c>
      <c r="F49" s="6">
        <f t="shared" si="19"/>
        <v>48</v>
      </c>
      <c r="G49" s="6">
        <f t="shared" si="20"/>
        <v>120</v>
      </c>
      <c r="H49" s="10">
        <f t="shared" si="24"/>
        <v>0.1</v>
      </c>
      <c r="I49" s="9">
        <f t="shared" si="21"/>
        <v>4.8</v>
      </c>
      <c r="J49" s="13"/>
      <c r="K49" s="13"/>
      <c r="L49" s="13"/>
      <c r="M49" s="13"/>
      <c r="N49" s="13"/>
    </row>
    <row r="50" ht="17.4" spans="1:14">
      <c r="A50" s="9">
        <f t="shared" si="22"/>
        <v>1</v>
      </c>
      <c r="B50" s="5">
        <f t="shared" si="17"/>
        <v>0.408333333333333</v>
      </c>
      <c r="C50" s="9">
        <f t="shared" si="23"/>
        <v>30</v>
      </c>
      <c r="D50" s="4">
        <v>49</v>
      </c>
      <c r="E50" s="4">
        <f t="shared" si="18"/>
        <v>4</v>
      </c>
      <c r="F50" s="6">
        <f t="shared" si="19"/>
        <v>49</v>
      </c>
      <c r="G50" s="6">
        <f t="shared" si="20"/>
        <v>120</v>
      </c>
      <c r="H50" s="10">
        <f t="shared" si="24"/>
        <v>0.1</v>
      </c>
      <c r="I50" s="9">
        <f t="shared" si="21"/>
        <v>4.9</v>
      </c>
      <c r="J50" s="13"/>
      <c r="K50" s="13"/>
      <c r="L50" s="13"/>
      <c r="M50" s="13"/>
      <c r="N50" s="13"/>
    </row>
    <row r="51" ht="17.4" spans="1:14">
      <c r="A51" s="9">
        <f t="shared" si="22"/>
        <v>1</v>
      </c>
      <c r="B51" s="5">
        <f t="shared" si="17"/>
        <v>0.333333333333333</v>
      </c>
      <c r="C51" s="9">
        <f t="shared" si="23"/>
        <v>30</v>
      </c>
      <c r="D51" s="4">
        <v>50</v>
      </c>
      <c r="E51" s="4">
        <f t="shared" si="18"/>
        <v>5</v>
      </c>
      <c r="F51" s="6">
        <f t="shared" si="19"/>
        <v>50</v>
      </c>
      <c r="G51" s="6">
        <f t="shared" si="20"/>
        <v>150</v>
      </c>
      <c r="H51" s="10">
        <f t="shared" si="24"/>
        <v>0.1</v>
      </c>
      <c r="I51" s="9">
        <f t="shared" si="21"/>
        <v>5</v>
      </c>
      <c r="J51" s="13"/>
      <c r="K51" s="13"/>
      <c r="L51" s="13"/>
      <c r="M51" s="13"/>
      <c r="N51" s="13"/>
    </row>
    <row r="52" ht="17.4" spans="1:14">
      <c r="A52" s="9">
        <f t="shared" ref="A52:A61" si="25">$A$2</f>
        <v>1</v>
      </c>
      <c r="B52" s="5">
        <f t="shared" ref="B52:B83" si="26">F52/G52</f>
        <v>0.34</v>
      </c>
      <c r="C52" s="9">
        <f t="shared" ref="C52:C61" si="27">$C$2</f>
        <v>30</v>
      </c>
      <c r="D52" s="4">
        <v>51</v>
      </c>
      <c r="E52" s="4">
        <f t="shared" ref="E52:E83" si="28">INT(I52)</f>
        <v>5</v>
      </c>
      <c r="F52" s="6">
        <f t="shared" ref="F52:F83" si="29">A52*D52</f>
        <v>51</v>
      </c>
      <c r="G52" s="6">
        <f t="shared" ref="G52:G83" si="30">C52*E52</f>
        <v>150</v>
      </c>
      <c r="H52" s="10">
        <f t="shared" ref="H52:H61" si="31">$H$2</f>
        <v>0.1</v>
      </c>
      <c r="I52" s="9">
        <f t="shared" ref="I52:I83" si="32">D52*H52</f>
        <v>5.1</v>
      </c>
      <c r="J52" s="13"/>
      <c r="K52" s="13"/>
      <c r="L52" s="13"/>
      <c r="M52" s="13"/>
      <c r="N52" s="13"/>
    </row>
    <row r="53" ht="17.4" spans="1:14">
      <c r="A53" s="9">
        <f t="shared" si="25"/>
        <v>1</v>
      </c>
      <c r="B53" s="5">
        <f t="shared" si="26"/>
        <v>0.346666666666667</v>
      </c>
      <c r="C53" s="9">
        <f t="shared" si="27"/>
        <v>30</v>
      </c>
      <c r="D53" s="4">
        <v>52</v>
      </c>
      <c r="E53" s="4">
        <f t="shared" si="28"/>
        <v>5</v>
      </c>
      <c r="F53" s="6">
        <f t="shared" si="29"/>
        <v>52</v>
      </c>
      <c r="G53" s="6">
        <f t="shared" si="30"/>
        <v>150</v>
      </c>
      <c r="H53" s="10">
        <f t="shared" si="31"/>
        <v>0.1</v>
      </c>
      <c r="I53" s="9">
        <f t="shared" si="32"/>
        <v>5.2</v>
      </c>
      <c r="J53" s="13"/>
      <c r="K53" s="13"/>
      <c r="L53" s="13"/>
      <c r="M53" s="13"/>
      <c r="N53" s="13"/>
    </row>
    <row r="54" ht="17.4" spans="1:14">
      <c r="A54" s="9">
        <f t="shared" si="25"/>
        <v>1</v>
      </c>
      <c r="B54" s="5">
        <f t="shared" si="26"/>
        <v>0.353333333333333</v>
      </c>
      <c r="C54" s="9">
        <f t="shared" si="27"/>
        <v>30</v>
      </c>
      <c r="D54" s="4">
        <v>53</v>
      </c>
      <c r="E54" s="4">
        <f t="shared" si="28"/>
        <v>5</v>
      </c>
      <c r="F54" s="6">
        <f t="shared" si="29"/>
        <v>53</v>
      </c>
      <c r="G54" s="6">
        <f t="shared" si="30"/>
        <v>150</v>
      </c>
      <c r="H54" s="10">
        <f t="shared" si="31"/>
        <v>0.1</v>
      </c>
      <c r="I54" s="9">
        <f t="shared" si="32"/>
        <v>5.3</v>
      </c>
      <c r="J54" s="13"/>
      <c r="K54" s="13"/>
      <c r="L54" s="13"/>
      <c r="M54" s="13"/>
      <c r="N54" s="13"/>
    </row>
    <row r="55" ht="17.4" spans="1:14">
      <c r="A55" s="9">
        <f t="shared" si="25"/>
        <v>1</v>
      </c>
      <c r="B55" s="5">
        <f t="shared" si="26"/>
        <v>0.36</v>
      </c>
      <c r="C55" s="9">
        <f t="shared" si="27"/>
        <v>30</v>
      </c>
      <c r="D55" s="4">
        <v>54</v>
      </c>
      <c r="E55" s="4">
        <f t="shared" si="28"/>
        <v>5</v>
      </c>
      <c r="F55" s="6">
        <f t="shared" si="29"/>
        <v>54</v>
      </c>
      <c r="G55" s="6">
        <f t="shared" si="30"/>
        <v>150</v>
      </c>
      <c r="H55" s="10">
        <f t="shared" si="31"/>
        <v>0.1</v>
      </c>
      <c r="I55" s="9">
        <f t="shared" si="32"/>
        <v>5.4</v>
      </c>
      <c r="J55" s="13"/>
      <c r="K55" s="13"/>
      <c r="L55" s="13"/>
      <c r="M55" s="13"/>
      <c r="N55" s="13"/>
    </row>
    <row r="56" ht="17.4" spans="1:14">
      <c r="A56" s="9">
        <f t="shared" si="25"/>
        <v>1</v>
      </c>
      <c r="B56" s="5">
        <f t="shared" si="26"/>
        <v>0.366666666666667</v>
      </c>
      <c r="C56" s="9">
        <f t="shared" si="27"/>
        <v>30</v>
      </c>
      <c r="D56" s="4">
        <v>55</v>
      </c>
      <c r="E56" s="4">
        <f t="shared" si="28"/>
        <v>5</v>
      </c>
      <c r="F56" s="6">
        <f t="shared" si="29"/>
        <v>55</v>
      </c>
      <c r="G56" s="6">
        <f t="shared" si="30"/>
        <v>150</v>
      </c>
      <c r="H56" s="10">
        <f t="shared" si="31"/>
        <v>0.1</v>
      </c>
      <c r="I56" s="9">
        <f t="shared" si="32"/>
        <v>5.5</v>
      </c>
      <c r="J56" s="13"/>
      <c r="K56" s="13"/>
      <c r="L56" s="13"/>
      <c r="M56" s="13"/>
      <c r="N56" s="13"/>
    </row>
    <row r="57" ht="17.4" spans="1:14">
      <c r="A57" s="9">
        <f t="shared" si="25"/>
        <v>1</v>
      </c>
      <c r="B57" s="5">
        <f t="shared" si="26"/>
        <v>0.373333333333333</v>
      </c>
      <c r="C57" s="9">
        <f t="shared" si="27"/>
        <v>30</v>
      </c>
      <c r="D57" s="4">
        <v>56</v>
      </c>
      <c r="E57" s="4">
        <f t="shared" si="28"/>
        <v>5</v>
      </c>
      <c r="F57" s="6">
        <f t="shared" si="29"/>
        <v>56</v>
      </c>
      <c r="G57" s="6">
        <f t="shared" si="30"/>
        <v>150</v>
      </c>
      <c r="H57" s="10">
        <f t="shared" si="31"/>
        <v>0.1</v>
      </c>
      <c r="I57" s="9">
        <f t="shared" si="32"/>
        <v>5.6</v>
      </c>
      <c r="J57" s="13"/>
      <c r="K57" s="13"/>
      <c r="L57" s="13"/>
      <c r="M57" s="13"/>
      <c r="N57" s="13"/>
    </row>
    <row r="58" ht="17.4" spans="1:14">
      <c r="A58" s="9">
        <f t="shared" si="25"/>
        <v>1</v>
      </c>
      <c r="B58" s="5">
        <f t="shared" si="26"/>
        <v>0.38</v>
      </c>
      <c r="C58" s="9">
        <f t="shared" si="27"/>
        <v>30</v>
      </c>
      <c r="D58" s="4">
        <v>57</v>
      </c>
      <c r="E58" s="4">
        <f t="shared" si="28"/>
        <v>5</v>
      </c>
      <c r="F58" s="6">
        <f t="shared" si="29"/>
        <v>57</v>
      </c>
      <c r="G58" s="6">
        <f t="shared" si="30"/>
        <v>150</v>
      </c>
      <c r="H58" s="10">
        <f t="shared" si="31"/>
        <v>0.1</v>
      </c>
      <c r="I58" s="9">
        <f t="shared" si="32"/>
        <v>5.7</v>
      </c>
      <c r="J58" s="13"/>
      <c r="K58" s="13"/>
      <c r="L58" s="13"/>
      <c r="M58" s="13"/>
      <c r="N58" s="13"/>
    </row>
    <row r="59" ht="17.4" spans="1:14">
      <c r="A59" s="9">
        <f t="shared" si="25"/>
        <v>1</v>
      </c>
      <c r="B59" s="5">
        <f t="shared" si="26"/>
        <v>0.386666666666667</v>
      </c>
      <c r="C59" s="9">
        <f t="shared" si="27"/>
        <v>30</v>
      </c>
      <c r="D59" s="4">
        <v>58</v>
      </c>
      <c r="E59" s="4">
        <f t="shared" si="28"/>
        <v>5</v>
      </c>
      <c r="F59" s="6">
        <f t="shared" si="29"/>
        <v>58</v>
      </c>
      <c r="G59" s="6">
        <f t="shared" si="30"/>
        <v>150</v>
      </c>
      <c r="H59" s="10">
        <f t="shared" si="31"/>
        <v>0.1</v>
      </c>
      <c r="I59" s="9">
        <f t="shared" si="32"/>
        <v>5.8</v>
      </c>
      <c r="J59" s="13"/>
      <c r="K59" s="13"/>
      <c r="L59" s="13"/>
      <c r="M59" s="13"/>
      <c r="N59" s="13"/>
    </row>
    <row r="60" ht="17.4" spans="1:14">
      <c r="A60" s="9">
        <f t="shared" si="25"/>
        <v>1</v>
      </c>
      <c r="B60" s="5">
        <f t="shared" si="26"/>
        <v>0.393333333333333</v>
      </c>
      <c r="C60" s="9">
        <f t="shared" si="27"/>
        <v>30</v>
      </c>
      <c r="D60" s="4">
        <v>59</v>
      </c>
      <c r="E60" s="4">
        <f t="shared" si="28"/>
        <v>5</v>
      </c>
      <c r="F60" s="6">
        <f t="shared" si="29"/>
        <v>59</v>
      </c>
      <c r="G60" s="6">
        <f t="shared" si="30"/>
        <v>150</v>
      </c>
      <c r="H60" s="10">
        <f t="shared" si="31"/>
        <v>0.1</v>
      </c>
      <c r="I60" s="9">
        <f t="shared" si="32"/>
        <v>5.9</v>
      </c>
      <c r="J60" s="13"/>
      <c r="K60" s="13"/>
      <c r="L60" s="13"/>
      <c r="M60" s="13"/>
      <c r="N60" s="13"/>
    </row>
    <row r="61" ht="17.4" spans="1:14">
      <c r="A61" s="9">
        <f t="shared" si="25"/>
        <v>1</v>
      </c>
      <c r="B61" s="5">
        <f t="shared" si="26"/>
        <v>0.333333333333333</v>
      </c>
      <c r="C61" s="9">
        <f t="shared" si="27"/>
        <v>30</v>
      </c>
      <c r="D61" s="4">
        <v>60</v>
      </c>
      <c r="E61" s="4">
        <f t="shared" si="28"/>
        <v>6</v>
      </c>
      <c r="F61" s="6">
        <f t="shared" si="29"/>
        <v>60</v>
      </c>
      <c r="G61" s="6">
        <f t="shared" si="30"/>
        <v>180</v>
      </c>
      <c r="H61" s="10">
        <f t="shared" si="31"/>
        <v>0.1</v>
      </c>
      <c r="I61" s="9">
        <f t="shared" si="32"/>
        <v>6</v>
      </c>
      <c r="J61" s="13"/>
      <c r="K61" s="13"/>
      <c r="L61" s="13"/>
      <c r="M61" s="13"/>
      <c r="N61" s="13"/>
    </row>
    <row r="62" ht="17.4" spans="1:14">
      <c r="A62" s="9">
        <f t="shared" ref="A62:A71" si="33">$A$2</f>
        <v>1</v>
      </c>
      <c r="B62" s="5">
        <f t="shared" si="26"/>
        <v>0.338888888888889</v>
      </c>
      <c r="C62" s="9">
        <f t="shared" ref="C62:C71" si="34">$C$2</f>
        <v>30</v>
      </c>
      <c r="D62" s="4">
        <v>61</v>
      </c>
      <c r="E62" s="4">
        <f t="shared" si="28"/>
        <v>6</v>
      </c>
      <c r="F62" s="6">
        <f t="shared" si="29"/>
        <v>61</v>
      </c>
      <c r="G62" s="6">
        <f t="shared" si="30"/>
        <v>180</v>
      </c>
      <c r="H62" s="10">
        <f t="shared" ref="H62:H71" si="35">$H$2</f>
        <v>0.1</v>
      </c>
      <c r="I62" s="9">
        <f t="shared" si="32"/>
        <v>6.1</v>
      </c>
      <c r="J62" s="13"/>
      <c r="K62" s="13"/>
      <c r="L62" s="13"/>
      <c r="M62" s="13"/>
      <c r="N62" s="13"/>
    </row>
    <row r="63" ht="17.4" spans="1:14">
      <c r="A63" s="9">
        <f t="shared" si="33"/>
        <v>1</v>
      </c>
      <c r="B63" s="5">
        <f t="shared" si="26"/>
        <v>0.344444444444444</v>
      </c>
      <c r="C63" s="9">
        <f t="shared" si="34"/>
        <v>30</v>
      </c>
      <c r="D63" s="4">
        <v>62</v>
      </c>
      <c r="E63" s="4">
        <f t="shared" si="28"/>
        <v>6</v>
      </c>
      <c r="F63" s="6">
        <f t="shared" si="29"/>
        <v>62</v>
      </c>
      <c r="G63" s="6">
        <f t="shared" si="30"/>
        <v>180</v>
      </c>
      <c r="H63" s="10">
        <f t="shared" si="35"/>
        <v>0.1</v>
      </c>
      <c r="I63" s="9">
        <f t="shared" si="32"/>
        <v>6.2</v>
      </c>
      <c r="J63" s="13"/>
      <c r="K63" s="13"/>
      <c r="L63" s="13"/>
      <c r="M63" s="13"/>
      <c r="N63" s="13"/>
    </row>
    <row r="64" ht="17.4" spans="1:14">
      <c r="A64" s="9">
        <f t="shared" si="33"/>
        <v>1</v>
      </c>
      <c r="B64" s="5">
        <f t="shared" si="26"/>
        <v>0.35</v>
      </c>
      <c r="C64" s="9">
        <f t="shared" si="34"/>
        <v>30</v>
      </c>
      <c r="D64" s="4">
        <v>63</v>
      </c>
      <c r="E64" s="4">
        <f t="shared" si="28"/>
        <v>6</v>
      </c>
      <c r="F64" s="6">
        <f t="shared" si="29"/>
        <v>63</v>
      </c>
      <c r="G64" s="6">
        <f t="shared" si="30"/>
        <v>180</v>
      </c>
      <c r="H64" s="10">
        <f t="shared" si="35"/>
        <v>0.1</v>
      </c>
      <c r="I64" s="9">
        <f t="shared" si="32"/>
        <v>6.3</v>
      </c>
      <c r="J64" s="13"/>
      <c r="K64" s="13"/>
      <c r="L64" s="13"/>
      <c r="M64" s="13"/>
      <c r="N64" s="13"/>
    </row>
    <row r="65" ht="17.4" spans="1:14">
      <c r="A65" s="9">
        <f t="shared" si="33"/>
        <v>1</v>
      </c>
      <c r="B65" s="5">
        <f t="shared" si="26"/>
        <v>0.355555555555556</v>
      </c>
      <c r="C65" s="9">
        <f t="shared" si="34"/>
        <v>30</v>
      </c>
      <c r="D65" s="4">
        <v>64</v>
      </c>
      <c r="E65" s="4">
        <f t="shared" si="28"/>
        <v>6</v>
      </c>
      <c r="F65" s="6">
        <f t="shared" si="29"/>
        <v>64</v>
      </c>
      <c r="G65" s="6">
        <f t="shared" si="30"/>
        <v>180</v>
      </c>
      <c r="H65" s="10">
        <f t="shared" si="35"/>
        <v>0.1</v>
      </c>
      <c r="I65" s="9">
        <f t="shared" si="32"/>
        <v>6.4</v>
      </c>
      <c r="J65" s="13"/>
      <c r="K65" s="13"/>
      <c r="L65" s="13"/>
      <c r="M65" s="13"/>
      <c r="N65" s="13"/>
    </row>
    <row r="66" ht="17.4" spans="1:14">
      <c r="A66" s="9">
        <f t="shared" si="33"/>
        <v>1</v>
      </c>
      <c r="B66" s="5">
        <f t="shared" si="26"/>
        <v>0.361111111111111</v>
      </c>
      <c r="C66" s="9">
        <f t="shared" si="34"/>
        <v>30</v>
      </c>
      <c r="D66" s="4">
        <v>65</v>
      </c>
      <c r="E66" s="4">
        <f t="shared" si="28"/>
        <v>6</v>
      </c>
      <c r="F66" s="6">
        <f t="shared" si="29"/>
        <v>65</v>
      </c>
      <c r="G66" s="6">
        <f t="shared" si="30"/>
        <v>180</v>
      </c>
      <c r="H66" s="10">
        <f t="shared" si="35"/>
        <v>0.1</v>
      </c>
      <c r="I66" s="9">
        <f t="shared" si="32"/>
        <v>6.5</v>
      </c>
      <c r="J66" s="13"/>
      <c r="K66" s="13"/>
      <c r="L66" s="13"/>
      <c r="M66" s="13"/>
      <c r="N66" s="13"/>
    </row>
    <row r="67" ht="17.4" spans="1:14">
      <c r="A67" s="9">
        <f t="shared" si="33"/>
        <v>1</v>
      </c>
      <c r="B67" s="5">
        <f t="shared" si="26"/>
        <v>0.366666666666667</v>
      </c>
      <c r="C67" s="9">
        <f t="shared" si="34"/>
        <v>30</v>
      </c>
      <c r="D67" s="4">
        <v>66</v>
      </c>
      <c r="E67" s="4">
        <f t="shared" si="28"/>
        <v>6</v>
      </c>
      <c r="F67" s="6">
        <f t="shared" si="29"/>
        <v>66</v>
      </c>
      <c r="G67" s="6">
        <f t="shared" si="30"/>
        <v>180</v>
      </c>
      <c r="H67" s="10">
        <f t="shared" si="35"/>
        <v>0.1</v>
      </c>
      <c r="I67" s="9">
        <f t="shared" si="32"/>
        <v>6.6</v>
      </c>
      <c r="J67" s="13"/>
      <c r="K67" s="13"/>
      <c r="L67" s="13"/>
      <c r="M67" s="13"/>
      <c r="N67" s="13"/>
    </row>
    <row r="68" ht="17.4" spans="1:14">
      <c r="A68" s="9">
        <f t="shared" si="33"/>
        <v>1</v>
      </c>
      <c r="B68" s="5">
        <f t="shared" si="26"/>
        <v>0.372222222222222</v>
      </c>
      <c r="C68" s="9">
        <f t="shared" si="34"/>
        <v>30</v>
      </c>
      <c r="D68" s="4">
        <v>67</v>
      </c>
      <c r="E68" s="4">
        <f t="shared" si="28"/>
        <v>6</v>
      </c>
      <c r="F68" s="6">
        <f t="shared" si="29"/>
        <v>67</v>
      </c>
      <c r="G68" s="6">
        <f t="shared" si="30"/>
        <v>180</v>
      </c>
      <c r="H68" s="10">
        <f t="shared" si="35"/>
        <v>0.1</v>
      </c>
      <c r="I68" s="9">
        <f t="shared" si="32"/>
        <v>6.7</v>
      </c>
      <c r="J68" s="13"/>
      <c r="K68" s="13"/>
      <c r="L68" s="13"/>
      <c r="M68" s="13"/>
      <c r="N68" s="13"/>
    </row>
    <row r="69" ht="17.4" spans="1:14">
      <c r="A69" s="9">
        <f t="shared" si="33"/>
        <v>1</v>
      </c>
      <c r="B69" s="5">
        <f t="shared" si="26"/>
        <v>0.377777777777778</v>
      </c>
      <c r="C69" s="9">
        <f t="shared" si="34"/>
        <v>30</v>
      </c>
      <c r="D69" s="4">
        <v>68</v>
      </c>
      <c r="E69" s="4">
        <f t="shared" si="28"/>
        <v>6</v>
      </c>
      <c r="F69" s="6">
        <f t="shared" si="29"/>
        <v>68</v>
      </c>
      <c r="G69" s="6">
        <f t="shared" si="30"/>
        <v>180</v>
      </c>
      <c r="H69" s="10">
        <f t="shared" si="35"/>
        <v>0.1</v>
      </c>
      <c r="I69" s="9">
        <f t="shared" si="32"/>
        <v>6.8</v>
      </c>
      <c r="J69" s="13"/>
      <c r="K69" s="13"/>
      <c r="L69" s="13"/>
      <c r="M69" s="13"/>
      <c r="N69" s="13"/>
    </row>
    <row r="70" ht="17.4" spans="1:14">
      <c r="A70" s="9">
        <f t="shared" si="33"/>
        <v>1</v>
      </c>
      <c r="B70" s="5">
        <f t="shared" si="26"/>
        <v>0.383333333333333</v>
      </c>
      <c r="C70" s="9">
        <f t="shared" si="34"/>
        <v>30</v>
      </c>
      <c r="D70" s="4">
        <v>69</v>
      </c>
      <c r="E70" s="4">
        <f t="shared" si="28"/>
        <v>6</v>
      </c>
      <c r="F70" s="6">
        <f t="shared" si="29"/>
        <v>69</v>
      </c>
      <c r="G70" s="6">
        <f t="shared" si="30"/>
        <v>180</v>
      </c>
      <c r="H70" s="10">
        <f t="shared" si="35"/>
        <v>0.1</v>
      </c>
      <c r="I70" s="9">
        <f t="shared" si="32"/>
        <v>6.9</v>
      </c>
      <c r="J70" s="13"/>
      <c r="K70" s="13"/>
      <c r="L70" s="13"/>
      <c r="M70" s="13"/>
      <c r="N70" s="13"/>
    </row>
    <row r="71" ht="17.4" spans="1:14">
      <c r="A71" s="9">
        <f t="shared" si="33"/>
        <v>1</v>
      </c>
      <c r="B71" s="5">
        <f t="shared" si="26"/>
        <v>0.333333333333333</v>
      </c>
      <c r="C71" s="9">
        <f t="shared" si="34"/>
        <v>30</v>
      </c>
      <c r="D71" s="4">
        <v>70</v>
      </c>
      <c r="E71" s="4">
        <f t="shared" si="28"/>
        <v>7</v>
      </c>
      <c r="F71" s="6">
        <f t="shared" si="29"/>
        <v>70</v>
      </c>
      <c r="G71" s="6">
        <f t="shared" si="30"/>
        <v>210</v>
      </c>
      <c r="H71" s="10">
        <f t="shared" si="35"/>
        <v>0.1</v>
      </c>
      <c r="I71" s="9">
        <f t="shared" si="32"/>
        <v>7</v>
      </c>
      <c r="J71" s="13"/>
      <c r="K71" s="13"/>
      <c r="L71" s="13"/>
      <c r="M71" s="13"/>
      <c r="N71" s="13"/>
    </row>
    <row r="72" ht="17.4" spans="1:14">
      <c r="A72" s="9">
        <f t="shared" ref="A72:A81" si="36">$A$2</f>
        <v>1</v>
      </c>
      <c r="B72" s="5">
        <f t="shared" si="26"/>
        <v>0.338095238095238</v>
      </c>
      <c r="C72" s="9">
        <f t="shared" ref="C72:C81" si="37">$C$2</f>
        <v>30</v>
      </c>
      <c r="D72" s="4">
        <v>71</v>
      </c>
      <c r="E72" s="4">
        <f t="shared" si="28"/>
        <v>7</v>
      </c>
      <c r="F72" s="6">
        <f t="shared" si="29"/>
        <v>71</v>
      </c>
      <c r="G72" s="6">
        <f t="shared" si="30"/>
        <v>210</v>
      </c>
      <c r="H72" s="10">
        <f t="shared" ref="H72:H81" si="38">$H$2</f>
        <v>0.1</v>
      </c>
      <c r="I72" s="9">
        <f t="shared" si="32"/>
        <v>7.1</v>
      </c>
      <c r="J72" s="13"/>
      <c r="K72" s="13"/>
      <c r="L72" s="13"/>
      <c r="M72" s="13"/>
      <c r="N72" s="13"/>
    </row>
    <row r="73" ht="17.4" spans="1:14">
      <c r="A73" s="9">
        <f t="shared" si="36"/>
        <v>1</v>
      </c>
      <c r="B73" s="5">
        <f t="shared" si="26"/>
        <v>0.342857142857143</v>
      </c>
      <c r="C73" s="9">
        <f t="shared" si="37"/>
        <v>30</v>
      </c>
      <c r="D73" s="4">
        <v>72</v>
      </c>
      <c r="E73" s="4">
        <f t="shared" si="28"/>
        <v>7</v>
      </c>
      <c r="F73" s="6">
        <f t="shared" si="29"/>
        <v>72</v>
      </c>
      <c r="G73" s="6">
        <f t="shared" si="30"/>
        <v>210</v>
      </c>
      <c r="H73" s="10">
        <f t="shared" si="38"/>
        <v>0.1</v>
      </c>
      <c r="I73" s="9">
        <f t="shared" si="32"/>
        <v>7.2</v>
      </c>
      <c r="J73" s="13"/>
      <c r="K73" s="13"/>
      <c r="L73" s="13"/>
      <c r="M73" s="13"/>
      <c r="N73" s="13"/>
    </row>
    <row r="74" ht="17.4" spans="1:14">
      <c r="A74" s="9">
        <f t="shared" si="36"/>
        <v>1</v>
      </c>
      <c r="B74" s="5">
        <f t="shared" si="26"/>
        <v>0.347619047619048</v>
      </c>
      <c r="C74" s="9">
        <f t="shared" si="37"/>
        <v>30</v>
      </c>
      <c r="D74" s="4">
        <v>73</v>
      </c>
      <c r="E74" s="4">
        <f t="shared" si="28"/>
        <v>7</v>
      </c>
      <c r="F74" s="6">
        <f t="shared" si="29"/>
        <v>73</v>
      </c>
      <c r="G74" s="6">
        <f t="shared" si="30"/>
        <v>210</v>
      </c>
      <c r="H74" s="10">
        <f t="shared" si="38"/>
        <v>0.1</v>
      </c>
      <c r="I74" s="9">
        <f t="shared" si="32"/>
        <v>7.3</v>
      </c>
      <c r="J74" s="13"/>
      <c r="K74" s="13"/>
      <c r="L74" s="13"/>
      <c r="M74" s="13"/>
      <c r="N74" s="13"/>
    </row>
    <row r="75" ht="17.4" spans="1:14">
      <c r="A75" s="9">
        <f t="shared" si="36"/>
        <v>1</v>
      </c>
      <c r="B75" s="5">
        <f t="shared" si="26"/>
        <v>0.352380952380952</v>
      </c>
      <c r="C75" s="9">
        <f t="shared" si="37"/>
        <v>30</v>
      </c>
      <c r="D75" s="4">
        <v>74</v>
      </c>
      <c r="E75" s="4">
        <f t="shared" si="28"/>
        <v>7</v>
      </c>
      <c r="F75" s="6">
        <f t="shared" si="29"/>
        <v>74</v>
      </c>
      <c r="G75" s="6">
        <f t="shared" si="30"/>
        <v>210</v>
      </c>
      <c r="H75" s="10">
        <f t="shared" si="38"/>
        <v>0.1</v>
      </c>
      <c r="I75" s="9">
        <f t="shared" si="32"/>
        <v>7.4</v>
      </c>
      <c r="J75" s="13"/>
      <c r="K75" s="13"/>
      <c r="L75" s="13"/>
      <c r="M75" s="13"/>
      <c r="N75" s="13"/>
    </row>
    <row r="76" ht="17.4" spans="1:14">
      <c r="A76" s="9">
        <f t="shared" si="36"/>
        <v>1</v>
      </c>
      <c r="B76" s="5">
        <f t="shared" si="26"/>
        <v>0.357142857142857</v>
      </c>
      <c r="C76" s="9">
        <f t="shared" si="37"/>
        <v>30</v>
      </c>
      <c r="D76" s="4">
        <v>75</v>
      </c>
      <c r="E76" s="4">
        <f t="shared" si="28"/>
        <v>7</v>
      </c>
      <c r="F76" s="6">
        <f t="shared" si="29"/>
        <v>75</v>
      </c>
      <c r="G76" s="6">
        <f t="shared" si="30"/>
        <v>210</v>
      </c>
      <c r="H76" s="10">
        <f t="shared" si="38"/>
        <v>0.1</v>
      </c>
      <c r="I76" s="9">
        <f t="shared" si="32"/>
        <v>7.5</v>
      </c>
      <c r="J76" s="13"/>
      <c r="K76" s="13"/>
      <c r="L76" s="13"/>
      <c r="M76" s="13"/>
      <c r="N76" s="13"/>
    </row>
    <row r="77" ht="17.4" spans="1:14">
      <c r="A77" s="9">
        <f t="shared" si="36"/>
        <v>1</v>
      </c>
      <c r="B77" s="5">
        <f t="shared" si="26"/>
        <v>0.361904761904762</v>
      </c>
      <c r="C77" s="9">
        <f t="shared" si="37"/>
        <v>30</v>
      </c>
      <c r="D77" s="4">
        <v>76</v>
      </c>
      <c r="E77" s="4">
        <f t="shared" si="28"/>
        <v>7</v>
      </c>
      <c r="F77" s="6">
        <f t="shared" si="29"/>
        <v>76</v>
      </c>
      <c r="G77" s="6">
        <f t="shared" si="30"/>
        <v>210</v>
      </c>
      <c r="H77" s="10">
        <f t="shared" si="38"/>
        <v>0.1</v>
      </c>
      <c r="I77" s="9">
        <f t="shared" si="32"/>
        <v>7.6</v>
      </c>
      <c r="J77" s="13"/>
      <c r="K77" s="13"/>
      <c r="L77" s="13"/>
      <c r="M77" s="13"/>
      <c r="N77" s="13"/>
    </row>
    <row r="78" ht="17.4" spans="1:14">
      <c r="A78" s="9">
        <f t="shared" si="36"/>
        <v>1</v>
      </c>
      <c r="B78" s="5">
        <f t="shared" si="26"/>
        <v>0.366666666666667</v>
      </c>
      <c r="C78" s="9">
        <f t="shared" si="37"/>
        <v>30</v>
      </c>
      <c r="D78" s="4">
        <v>77</v>
      </c>
      <c r="E78" s="4">
        <f t="shared" si="28"/>
        <v>7</v>
      </c>
      <c r="F78" s="6">
        <f t="shared" si="29"/>
        <v>77</v>
      </c>
      <c r="G78" s="6">
        <f t="shared" si="30"/>
        <v>210</v>
      </c>
      <c r="H78" s="10">
        <f t="shared" si="38"/>
        <v>0.1</v>
      </c>
      <c r="I78" s="9">
        <f t="shared" si="32"/>
        <v>7.7</v>
      </c>
      <c r="J78" s="13"/>
      <c r="K78" s="13"/>
      <c r="L78" s="13"/>
      <c r="M78" s="13"/>
      <c r="N78" s="13"/>
    </row>
    <row r="79" ht="17.4" spans="1:14">
      <c r="A79" s="9">
        <f t="shared" si="36"/>
        <v>1</v>
      </c>
      <c r="B79" s="5">
        <f t="shared" si="26"/>
        <v>0.371428571428571</v>
      </c>
      <c r="C79" s="9">
        <f t="shared" si="37"/>
        <v>30</v>
      </c>
      <c r="D79" s="4">
        <v>78</v>
      </c>
      <c r="E79" s="4">
        <f t="shared" si="28"/>
        <v>7</v>
      </c>
      <c r="F79" s="6">
        <f t="shared" si="29"/>
        <v>78</v>
      </c>
      <c r="G79" s="6">
        <f t="shared" si="30"/>
        <v>210</v>
      </c>
      <c r="H79" s="10">
        <f t="shared" si="38"/>
        <v>0.1</v>
      </c>
      <c r="I79" s="9">
        <f t="shared" si="32"/>
        <v>7.8</v>
      </c>
      <c r="J79" s="13"/>
      <c r="K79" s="13"/>
      <c r="L79" s="13"/>
      <c r="M79" s="13"/>
      <c r="N79" s="13"/>
    </row>
    <row r="80" ht="17.4" spans="1:14">
      <c r="A80" s="9">
        <f t="shared" si="36"/>
        <v>1</v>
      </c>
      <c r="B80" s="5">
        <f t="shared" si="26"/>
        <v>0.376190476190476</v>
      </c>
      <c r="C80" s="9">
        <f t="shared" si="37"/>
        <v>30</v>
      </c>
      <c r="D80" s="4">
        <v>79</v>
      </c>
      <c r="E80" s="4">
        <f t="shared" si="28"/>
        <v>7</v>
      </c>
      <c r="F80" s="6">
        <f t="shared" si="29"/>
        <v>79</v>
      </c>
      <c r="G80" s="6">
        <f t="shared" si="30"/>
        <v>210</v>
      </c>
      <c r="H80" s="10">
        <f t="shared" si="38"/>
        <v>0.1</v>
      </c>
      <c r="I80" s="9">
        <f t="shared" si="32"/>
        <v>7.9</v>
      </c>
      <c r="J80" s="13"/>
      <c r="K80" s="13"/>
      <c r="L80" s="13"/>
      <c r="M80" s="13"/>
      <c r="N80" s="13"/>
    </row>
    <row r="81" ht="17.4" spans="1:14">
      <c r="A81" s="9">
        <f t="shared" si="36"/>
        <v>1</v>
      </c>
      <c r="B81" s="5">
        <f t="shared" si="26"/>
        <v>0.333333333333333</v>
      </c>
      <c r="C81" s="9">
        <f t="shared" si="37"/>
        <v>30</v>
      </c>
      <c r="D81" s="4">
        <v>80</v>
      </c>
      <c r="E81" s="4">
        <f t="shared" si="28"/>
        <v>8</v>
      </c>
      <c r="F81" s="6">
        <f t="shared" si="29"/>
        <v>80</v>
      </c>
      <c r="G81" s="6">
        <f t="shared" si="30"/>
        <v>240</v>
      </c>
      <c r="H81" s="10">
        <f t="shared" si="38"/>
        <v>0.1</v>
      </c>
      <c r="I81" s="9">
        <f t="shared" si="32"/>
        <v>8</v>
      </c>
      <c r="J81" s="13"/>
      <c r="K81" s="13"/>
      <c r="L81" s="13"/>
      <c r="M81" s="13"/>
      <c r="N81" s="13"/>
    </row>
    <row r="82" ht="17.4" spans="1:14">
      <c r="A82" s="9">
        <f t="shared" ref="A82:A91" si="39">$A$2</f>
        <v>1</v>
      </c>
      <c r="B82" s="5">
        <f t="shared" si="26"/>
        <v>0.3375</v>
      </c>
      <c r="C82" s="9">
        <f t="shared" ref="C82:C91" si="40">$C$2</f>
        <v>30</v>
      </c>
      <c r="D82" s="4">
        <v>81</v>
      </c>
      <c r="E82" s="4">
        <f t="shared" si="28"/>
        <v>8</v>
      </c>
      <c r="F82" s="6">
        <f t="shared" si="29"/>
        <v>81</v>
      </c>
      <c r="G82" s="6">
        <f t="shared" si="30"/>
        <v>240</v>
      </c>
      <c r="H82" s="10">
        <f t="shared" ref="H82:H91" si="41">$H$2</f>
        <v>0.1</v>
      </c>
      <c r="I82" s="9">
        <f t="shared" si="32"/>
        <v>8.1</v>
      </c>
      <c r="J82" s="13"/>
      <c r="K82" s="13"/>
      <c r="L82" s="13"/>
      <c r="M82" s="13"/>
      <c r="N82" s="13"/>
    </row>
    <row r="83" ht="17.4" spans="1:14">
      <c r="A83" s="9">
        <f t="shared" si="39"/>
        <v>1</v>
      </c>
      <c r="B83" s="5">
        <f t="shared" si="26"/>
        <v>0.341666666666667</v>
      </c>
      <c r="C83" s="9">
        <f t="shared" si="40"/>
        <v>30</v>
      </c>
      <c r="D83" s="4">
        <v>82</v>
      </c>
      <c r="E83" s="4">
        <f t="shared" si="28"/>
        <v>8</v>
      </c>
      <c r="F83" s="6">
        <f t="shared" si="29"/>
        <v>82</v>
      </c>
      <c r="G83" s="6">
        <f t="shared" si="30"/>
        <v>240</v>
      </c>
      <c r="H83" s="10">
        <f t="shared" si="41"/>
        <v>0.1</v>
      </c>
      <c r="I83" s="9">
        <f t="shared" si="32"/>
        <v>8.2</v>
      </c>
      <c r="J83" s="13"/>
      <c r="K83" s="13"/>
      <c r="L83" s="13"/>
      <c r="M83" s="13"/>
      <c r="N83" s="13"/>
    </row>
    <row r="84" ht="17.4" spans="1:14">
      <c r="A84" s="9">
        <f t="shared" si="39"/>
        <v>1</v>
      </c>
      <c r="B84" s="5">
        <f t="shared" ref="B84:B101" si="42">F84/G84</f>
        <v>0.345833333333333</v>
      </c>
      <c r="C84" s="9">
        <f t="shared" si="40"/>
        <v>30</v>
      </c>
      <c r="D84" s="4">
        <v>83</v>
      </c>
      <c r="E84" s="4">
        <f t="shared" ref="E84:E101" si="43">INT(I84)</f>
        <v>8</v>
      </c>
      <c r="F84" s="6">
        <f t="shared" ref="F84:F101" si="44">A84*D84</f>
        <v>83</v>
      </c>
      <c r="G84" s="6">
        <f t="shared" ref="G84:G101" si="45">C84*E84</f>
        <v>240</v>
      </c>
      <c r="H84" s="10">
        <f t="shared" si="41"/>
        <v>0.1</v>
      </c>
      <c r="I84" s="9">
        <f t="shared" ref="I84:I101" si="46">D84*H84</f>
        <v>8.3</v>
      </c>
      <c r="J84" s="13"/>
      <c r="K84" s="13"/>
      <c r="L84" s="13"/>
      <c r="M84" s="13"/>
      <c r="N84" s="13"/>
    </row>
    <row r="85" ht="17.4" spans="1:14">
      <c r="A85" s="9">
        <f t="shared" si="39"/>
        <v>1</v>
      </c>
      <c r="B85" s="5">
        <f t="shared" si="42"/>
        <v>0.35</v>
      </c>
      <c r="C85" s="9">
        <f t="shared" si="40"/>
        <v>30</v>
      </c>
      <c r="D85" s="4">
        <v>84</v>
      </c>
      <c r="E85" s="4">
        <f t="shared" si="43"/>
        <v>8</v>
      </c>
      <c r="F85" s="6">
        <f t="shared" si="44"/>
        <v>84</v>
      </c>
      <c r="G85" s="6">
        <f t="shared" si="45"/>
        <v>240</v>
      </c>
      <c r="H85" s="10">
        <f t="shared" si="41"/>
        <v>0.1</v>
      </c>
      <c r="I85" s="9">
        <f t="shared" si="46"/>
        <v>8.4</v>
      </c>
      <c r="J85" s="13"/>
      <c r="K85" s="13"/>
      <c r="L85" s="13"/>
      <c r="M85" s="13"/>
      <c r="N85" s="13"/>
    </row>
    <row r="86" ht="17.4" spans="1:14">
      <c r="A86" s="9">
        <f t="shared" si="39"/>
        <v>1</v>
      </c>
      <c r="B86" s="5">
        <f t="shared" si="42"/>
        <v>0.354166666666667</v>
      </c>
      <c r="C86" s="9">
        <f t="shared" si="40"/>
        <v>30</v>
      </c>
      <c r="D86" s="4">
        <v>85</v>
      </c>
      <c r="E86" s="4">
        <f t="shared" si="43"/>
        <v>8</v>
      </c>
      <c r="F86" s="6">
        <f t="shared" si="44"/>
        <v>85</v>
      </c>
      <c r="G86" s="6">
        <f t="shared" si="45"/>
        <v>240</v>
      </c>
      <c r="H86" s="10">
        <f t="shared" si="41"/>
        <v>0.1</v>
      </c>
      <c r="I86" s="9">
        <f t="shared" si="46"/>
        <v>8.5</v>
      </c>
      <c r="J86" s="13"/>
      <c r="K86" s="13"/>
      <c r="L86" s="13"/>
      <c r="M86" s="13"/>
      <c r="N86" s="13"/>
    </row>
    <row r="87" ht="17.4" spans="1:14">
      <c r="A87" s="9">
        <f t="shared" si="39"/>
        <v>1</v>
      </c>
      <c r="B87" s="5">
        <f t="shared" si="42"/>
        <v>0.358333333333333</v>
      </c>
      <c r="C87" s="9">
        <f t="shared" si="40"/>
        <v>30</v>
      </c>
      <c r="D87" s="4">
        <v>86</v>
      </c>
      <c r="E87" s="4">
        <f t="shared" si="43"/>
        <v>8</v>
      </c>
      <c r="F87" s="6">
        <f t="shared" si="44"/>
        <v>86</v>
      </c>
      <c r="G87" s="6">
        <f t="shared" si="45"/>
        <v>240</v>
      </c>
      <c r="H87" s="10">
        <f t="shared" si="41"/>
        <v>0.1</v>
      </c>
      <c r="I87" s="9">
        <f t="shared" si="46"/>
        <v>8.6</v>
      </c>
      <c r="J87" s="13"/>
      <c r="K87" s="13"/>
      <c r="L87" s="13"/>
      <c r="M87" s="13"/>
      <c r="N87" s="13"/>
    </row>
    <row r="88" ht="17.4" spans="1:14">
      <c r="A88" s="9">
        <f t="shared" si="39"/>
        <v>1</v>
      </c>
      <c r="B88" s="5">
        <f t="shared" si="42"/>
        <v>0.3625</v>
      </c>
      <c r="C88" s="9">
        <f t="shared" si="40"/>
        <v>30</v>
      </c>
      <c r="D88" s="4">
        <v>87</v>
      </c>
      <c r="E88" s="4">
        <f t="shared" si="43"/>
        <v>8</v>
      </c>
      <c r="F88" s="6">
        <f t="shared" si="44"/>
        <v>87</v>
      </c>
      <c r="G88" s="6">
        <f t="shared" si="45"/>
        <v>240</v>
      </c>
      <c r="H88" s="10">
        <f t="shared" si="41"/>
        <v>0.1</v>
      </c>
      <c r="I88" s="9">
        <f t="shared" si="46"/>
        <v>8.7</v>
      </c>
      <c r="J88" s="13"/>
      <c r="K88" s="13"/>
      <c r="L88" s="13"/>
      <c r="M88" s="13"/>
      <c r="N88" s="13"/>
    </row>
    <row r="89" ht="17.4" spans="1:14">
      <c r="A89" s="9">
        <f t="shared" si="39"/>
        <v>1</v>
      </c>
      <c r="B89" s="5">
        <f t="shared" si="42"/>
        <v>0.366666666666667</v>
      </c>
      <c r="C89" s="9">
        <f t="shared" si="40"/>
        <v>30</v>
      </c>
      <c r="D89" s="4">
        <v>88</v>
      </c>
      <c r="E89" s="4">
        <f t="shared" si="43"/>
        <v>8</v>
      </c>
      <c r="F89" s="6">
        <f t="shared" si="44"/>
        <v>88</v>
      </c>
      <c r="G89" s="6">
        <f t="shared" si="45"/>
        <v>240</v>
      </c>
      <c r="H89" s="10">
        <f t="shared" si="41"/>
        <v>0.1</v>
      </c>
      <c r="I89" s="9">
        <f t="shared" si="46"/>
        <v>8.8</v>
      </c>
      <c r="J89" s="13"/>
      <c r="K89" s="13"/>
      <c r="L89" s="13"/>
      <c r="M89" s="13"/>
      <c r="N89" s="13"/>
    </row>
    <row r="90" ht="17.4" spans="1:14">
      <c r="A90" s="9">
        <f t="shared" si="39"/>
        <v>1</v>
      </c>
      <c r="B90" s="5">
        <f t="shared" si="42"/>
        <v>0.370833333333333</v>
      </c>
      <c r="C90" s="9">
        <f t="shared" si="40"/>
        <v>30</v>
      </c>
      <c r="D90" s="4">
        <v>89</v>
      </c>
      <c r="E90" s="4">
        <f t="shared" si="43"/>
        <v>8</v>
      </c>
      <c r="F90" s="6">
        <f t="shared" si="44"/>
        <v>89</v>
      </c>
      <c r="G90" s="6">
        <f t="shared" si="45"/>
        <v>240</v>
      </c>
      <c r="H90" s="10">
        <f t="shared" si="41"/>
        <v>0.1</v>
      </c>
      <c r="I90" s="9">
        <f t="shared" si="46"/>
        <v>8.9</v>
      </c>
      <c r="J90" s="13"/>
      <c r="K90" s="13"/>
      <c r="L90" s="13"/>
      <c r="M90" s="13"/>
      <c r="N90" s="13"/>
    </row>
    <row r="91" ht="17.4" spans="1:14">
      <c r="A91" s="9">
        <f t="shared" si="39"/>
        <v>1</v>
      </c>
      <c r="B91" s="5">
        <f t="shared" si="42"/>
        <v>0.333333333333333</v>
      </c>
      <c r="C91" s="9">
        <f t="shared" si="40"/>
        <v>30</v>
      </c>
      <c r="D91" s="4">
        <v>90</v>
      </c>
      <c r="E91" s="4">
        <f t="shared" si="43"/>
        <v>9</v>
      </c>
      <c r="F91" s="6">
        <f t="shared" si="44"/>
        <v>90</v>
      </c>
      <c r="G91" s="6">
        <f t="shared" si="45"/>
        <v>270</v>
      </c>
      <c r="H91" s="10">
        <f t="shared" si="41"/>
        <v>0.1</v>
      </c>
      <c r="I91" s="9">
        <f t="shared" si="46"/>
        <v>9</v>
      </c>
      <c r="J91" s="13"/>
      <c r="K91" s="13"/>
      <c r="L91" s="13"/>
      <c r="M91" s="13"/>
      <c r="N91" s="13"/>
    </row>
    <row r="92" ht="17.4" spans="1:14">
      <c r="A92" s="9">
        <f t="shared" ref="A92:A101" si="47">$A$2</f>
        <v>1</v>
      </c>
      <c r="B92" s="5">
        <f t="shared" si="42"/>
        <v>0.337037037037037</v>
      </c>
      <c r="C92" s="9">
        <f t="shared" ref="C92:C101" si="48">$C$2</f>
        <v>30</v>
      </c>
      <c r="D92" s="4">
        <v>91</v>
      </c>
      <c r="E92" s="4">
        <f t="shared" si="43"/>
        <v>9</v>
      </c>
      <c r="F92" s="6">
        <f t="shared" si="44"/>
        <v>91</v>
      </c>
      <c r="G92" s="6">
        <f t="shared" si="45"/>
        <v>270</v>
      </c>
      <c r="H92" s="10">
        <f t="shared" ref="H92:H101" si="49">$H$2</f>
        <v>0.1</v>
      </c>
      <c r="I92" s="9">
        <f t="shared" si="46"/>
        <v>9.1</v>
      </c>
      <c r="J92" s="13"/>
      <c r="K92" s="13"/>
      <c r="L92" s="13"/>
      <c r="M92" s="13"/>
      <c r="N92" s="13"/>
    </row>
    <row r="93" ht="17.4" spans="1:14">
      <c r="A93" s="9">
        <f t="shared" si="47"/>
        <v>1</v>
      </c>
      <c r="B93" s="5">
        <f t="shared" si="42"/>
        <v>0.340740740740741</v>
      </c>
      <c r="C93" s="9">
        <f t="shared" si="48"/>
        <v>30</v>
      </c>
      <c r="D93" s="4">
        <v>92</v>
      </c>
      <c r="E93" s="4">
        <f t="shared" si="43"/>
        <v>9</v>
      </c>
      <c r="F93" s="6">
        <f t="shared" si="44"/>
        <v>92</v>
      </c>
      <c r="G93" s="6">
        <f t="shared" si="45"/>
        <v>270</v>
      </c>
      <c r="H93" s="10">
        <f t="shared" si="49"/>
        <v>0.1</v>
      </c>
      <c r="I93" s="9">
        <f t="shared" si="46"/>
        <v>9.2</v>
      </c>
      <c r="J93" s="13"/>
      <c r="K93" s="13"/>
      <c r="L93" s="13"/>
      <c r="M93" s="13"/>
      <c r="N93" s="13"/>
    </row>
    <row r="94" ht="17.4" spans="1:14">
      <c r="A94" s="9">
        <f t="shared" si="47"/>
        <v>1</v>
      </c>
      <c r="B94" s="5">
        <f t="shared" si="42"/>
        <v>0.344444444444444</v>
      </c>
      <c r="C94" s="9">
        <f t="shared" si="48"/>
        <v>30</v>
      </c>
      <c r="D94" s="4">
        <v>93</v>
      </c>
      <c r="E94" s="4">
        <f t="shared" si="43"/>
        <v>9</v>
      </c>
      <c r="F94" s="6">
        <f t="shared" si="44"/>
        <v>93</v>
      </c>
      <c r="G94" s="6">
        <f t="shared" si="45"/>
        <v>270</v>
      </c>
      <c r="H94" s="10">
        <f t="shared" si="49"/>
        <v>0.1</v>
      </c>
      <c r="I94" s="9">
        <f t="shared" si="46"/>
        <v>9.3</v>
      </c>
      <c r="J94" s="13"/>
      <c r="K94" s="13"/>
      <c r="L94" s="13"/>
      <c r="M94" s="13"/>
      <c r="N94" s="13"/>
    </row>
    <row r="95" ht="17.4" spans="1:14">
      <c r="A95" s="9">
        <f t="shared" si="47"/>
        <v>1</v>
      </c>
      <c r="B95" s="5">
        <f t="shared" si="42"/>
        <v>0.348148148148148</v>
      </c>
      <c r="C95" s="9">
        <f t="shared" si="48"/>
        <v>30</v>
      </c>
      <c r="D95" s="4">
        <v>94</v>
      </c>
      <c r="E95" s="4">
        <f t="shared" si="43"/>
        <v>9</v>
      </c>
      <c r="F95" s="6">
        <f t="shared" si="44"/>
        <v>94</v>
      </c>
      <c r="G95" s="6">
        <f t="shared" si="45"/>
        <v>270</v>
      </c>
      <c r="H95" s="10">
        <f t="shared" si="49"/>
        <v>0.1</v>
      </c>
      <c r="I95" s="9">
        <f t="shared" si="46"/>
        <v>9.4</v>
      </c>
      <c r="J95" s="13"/>
      <c r="K95" s="13"/>
      <c r="L95" s="13"/>
      <c r="M95" s="13"/>
      <c r="N95" s="13"/>
    </row>
    <row r="96" ht="17.4" spans="1:14">
      <c r="A96" s="9">
        <f t="shared" si="47"/>
        <v>1</v>
      </c>
      <c r="B96" s="5">
        <f t="shared" si="42"/>
        <v>0.351851851851852</v>
      </c>
      <c r="C96" s="9">
        <f t="shared" si="48"/>
        <v>30</v>
      </c>
      <c r="D96" s="4">
        <v>95</v>
      </c>
      <c r="E96" s="4">
        <f t="shared" si="43"/>
        <v>9</v>
      </c>
      <c r="F96" s="6">
        <f t="shared" si="44"/>
        <v>95</v>
      </c>
      <c r="G96" s="6">
        <f t="shared" si="45"/>
        <v>270</v>
      </c>
      <c r="H96" s="10">
        <f t="shared" si="49"/>
        <v>0.1</v>
      </c>
      <c r="I96" s="9">
        <f t="shared" si="46"/>
        <v>9.5</v>
      </c>
      <c r="J96" s="13"/>
      <c r="K96" s="13"/>
      <c r="L96" s="13"/>
      <c r="M96" s="13"/>
      <c r="N96" s="13"/>
    </row>
    <row r="97" ht="17.4" spans="1:14">
      <c r="A97" s="9">
        <f t="shared" si="47"/>
        <v>1</v>
      </c>
      <c r="B97" s="5">
        <f t="shared" si="42"/>
        <v>0.355555555555556</v>
      </c>
      <c r="C97" s="9">
        <f t="shared" si="48"/>
        <v>30</v>
      </c>
      <c r="D97" s="4">
        <v>96</v>
      </c>
      <c r="E97" s="4">
        <f t="shared" si="43"/>
        <v>9</v>
      </c>
      <c r="F97" s="6">
        <f t="shared" si="44"/>
        <v>96</v>
      </c>
      <c r="G97" s="6">
        <f t="shared" si="45"/>
        <v>270</v>
      </c>
      <c r="H97" s="10">
        <f t="shared" si="49"/>
        <v>0.1</v>
      </c>
      <c r="I97" s="9">
        <f t="shared" si="46"/>
        <v>9.6</v>
      </c>
      <c r="J97" s="13"/>
      <c r="K97" s="13"/>
      <c r="L97" s="13"/>
      <c r="M97" s="13"/>
      <c r="N97" s="13"/>
    </row>
    <row r="98" ht="17.4" spans="1:14">
      <c r="A98" s="9">
        <f t="shared" si="47"/>
        <v>1</v>
      </c>
      <c r="B98" s="5">
        <f t="shared" si="42"/>
        <v>0.359259259259259</v>
      </c>
      <c r="C98" s="9">
        <f t="shared" si="48"/>
        <v>30</v>
      </c>
      <c r="D98" s="4">
        <v>97</v>
      </c>
      <c r="E98" s="4">
        <f t="shared" si="43"/>
        <v>9</v>
      </c>
      <c r="F98" s="6">
        <f t="shared" si="44"/>
        <v>97</v>
      </c>
      <c r="G98" s="6">
        <f t="shared" si="45"/>
        <v>270</v>
      </c>
      <c r="H98" s="10">
        <f t="shared" si="49"/>
        <v>0.1</v>
      </c>
      <c r="I98" s="9">
        <f t="shared" si="46"/>
        <v>9.7</v>
      </c>
      <c r="J98" s="13"/>
      <c r="K98" s="13"/>
      <c r="L98" s="13"/>
      <c r="M98" s="13"/>
      <c r="N98" s="13"/>
    </row>
    <row r="99" ht="17.4" spans="1:14">
      <c r="A99" s="9">
        <f t="shared" si="47"/>
        <v>1</v>
      </c>
      <c r="B99" s="5">
        <f t="shared" si="42"/>
        <v>0.362962962962963</v>
      </c>
      <c r="C99" s="9">
        <f t="shared" si="48"/>
        <v>30</v>
      </c>
      <c r="D99" s="4">
        <v>98</v>
      </c>
      <c r="E99" s="4">
        <f t="shared" si="43"/>
        <v>9</v>
      </c>
      <c r="F99" s="6">
        <f t="shared" si="44"/>
        <v>98</v>
      </c>
      <c r="G99" s="6">
        <f t="shared" si="45"/>
        <v>270</v>
      </c>
      <c r="H99" s="10">
        <f t="shared" si="49"/>
        <v>0.1</v>
      </c>
      <c r="I99" s="9">
        <f t="shared" si="46"/>
        <v>9.8</v>
      </c>
      <c r="J99" s="13"/>
      <c r="K99" s="13"/>
      <c r="L99" s="13"/>
      <c r="M99" s="13"/>
      <c r="N99" s="13"/>
    </row>
    <row r="100" ht="17.4" spans="1:14">
      <c r="A100" s="9">
        <f t="shared" si="47"/>
        <v>1</v>
      </c>
      <c r="B100" s="5">
        <f t="shared" si="42"/>
        <v>0.366666666666667</v>
      </c>
      <c r="C100" s="9">
        <f t="shared" si="48"/>
        <v>30</v>
      </c>
      <c r="D100" s="4">
        <v>99</v>
      </c>
      <c r="E100" s="4">
        <f t="shared" si="43"/>
        <v>9</v>
      </c>
      <c r="F100" s="6">
        <f t="shared" si="44"/>
        <v>99</v>
      </c>
      <c r="G100" s="6">
        <f t="shared" si="45"/>
        <v>270</v>
      </c>
      <c r="H100" s="10">
        <f t="shared" si="49"/>
        <v>0.1</v>
      </c>
      <c r="I100" s="9">
        <f t="shared" si="46"/>
        <v>9.9</v>
      </c>
      <c r="J100" s="13"/>
      <c r="K100" s="13"/>
      <c r="L100" s="13"/>
      <c r="M100" s="13"/>
      <c r="N100" s="13"/>
    </row>
    <row r="101" ht="17.4" spans="1:14">
      <c r="A101" s="9">
        <f t="shared" si="47"/>
        <v>1</v>
      </c>
      <c r="B101" s="5">
        <f t="shared" si="42"/>
        <v>0.333333333333333</v>
      </c>
      <c r="C101" s="9">
        <f t="shared" si="48"/>
        <v>30</v>
      </c>
      <c r="D101" s="4">
        <v>100</v>
      </c>
      <c r="E101" s="4">
        <f t="shared" si="43"/>
        <v>10</v>
      </c>
      <c r="F101" s="6">
        <f t="shared" si="44"/>
        <v>100</v>
      </c>
      <c r="G101" s="6">
        <f t="shared" si="45"/>
        <v>300</v>
      </c>
      <c r="H101" s="10">
        <f t="shared" si="49"/>
        <v>0.1</v>
      </c>
      <c r="I101" s="9">
        <f t="shared" si="46"/>
        <v>10</v>
      </c>
      <c r="J101" s="13"/>
      <c r="K101" s="13"/>
      <c r="L101" s="13"/>
      <c r="M101" s="13"/>
      <c r="N101" s="13"/>
    </row>
  </sheetData>
  <mergeCells count="1">
    <mergeCell ref="J4:N7"/>
  </mergeCells>
  <conditionalFormatting sqref="B$1:B$1048576">
    <cfRule type="cellIs" dxfId="0" priority="3" operator="greaterThan">
      <formula>0.3</formula>
    </cfRule>
    <cfRule type="cellIs" dxfId="0" priority="2" operator="greaterThan">
      <formula>0.3</formula>
    </cfRule>
    <cfRule type="cellIs" dxfId="0" priority="1" operator="greaterThan">
      <formula>$J$2</formula>
    </cfRule>
  </conditionalFormatting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Office 个人版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加权CPC</vt:lpstr>
      <vt:lpstr>浮动百分比</vt:lpstr>
      <vt:lpstr>预算预估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夏天的风</cp:lastModifiedBy>
  <cp:revision>1</cp:revision>
  <dcterms:created xsi:type="dcterms:W3CDTF">2011-03-14T00:13:00Z</dcterms:created>
  <dcterms:modified xsi:type="dcterms:W3CDTF">2021-08-11T11:18:26Z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2052-11.1.0.10072</vt:lpwstr>
  </property>
  <property fmtid="{D5CDD505-2E9C-101B-9397-08002B2CF9AE}" pid="3" name="KSOReadingLayout">
    <vt:bool>false</vt:bool>
  </property>
</Properties>
</file>