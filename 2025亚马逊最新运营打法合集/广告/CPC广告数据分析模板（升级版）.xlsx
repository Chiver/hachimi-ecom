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杨帆\广告报表分析\"/>
    </mc:Choice>
  </mc:AlternateContent>
  <bookViews>
    <workbookView xWindow="0" yWindow="0" windowWidth="28800" windowHeight="12450" activeTab="3"/>
  </bookViews>
  <sheets>
    <sheet name="搜索词报告" sheetId="10" r:id="rId1"/>
    <sheet name="总体数据一览" sheetId="12" r:id="rId2"/>
    <sheet name="关键词词频统计" sheetId="13" r:id="rId3"/>
    <sheet name="草稿" sheetId="15" r:id="rId4"/>
  </sheets>
  <definedNames>
    <definedName name="_xlnm._FilterDatabase" localSheetId="2" hidden="1">关键词词频统计!$U$1:$U$441</definedName>
    <definedName name="_xlnm._FilterDatabase" localSheetId="0" hidden="1">搜索词报告!$D$1:$D$1014</definedName>
  </definedNames>
  <calcPr calcId="152511"/>
</workbook>
</file>

<file path=xl/calcChain.xml><?xml version="1.0" encoding="utf-8"?>
<calcChain xmlns="http://schemas.openxmlformats.org/spreadsheetml/2006/main">
  <c r="V7" i="13" l="1"/>
  <c r="V8" i="13"/>
  <c r="V9" i="13"/>
  <c r="V10" i="13"/>
  <c r="V11" i="13"/>
  <c r="V12" i="13"/>
  <c r="V13" i="13"/>
  <c r="V14" i="13"/>
  <c r="V15" i="13"/>
  <c r="V16" i="13"/>
  <c r="V17" i="13"/>
  <c r="V18" i="13"/>
  <c r="V19" i="13"/>
  <c r="V20" i="13"/>
  <c r="V21" i="13"/>
  <c r="V22" i="13"/>
  <c r="V23" i="13"/>
  <c r="V24" i="13"/>
  <c r="V25" i="13"/>
  <c r="V26" i="13"/>
  <c r="V27" i="13"/>
  <c r="V28" i="13"/>
  <c r="V29" i="13"/>
  <c r="V30" i="13"/>
  <c r="V31" i="13"/>
  <c r="V32" i="13"/>
  <c r="V33" i="13"/>
  <c r="V34" i="13"/>
  <c r="V35" i="13"/>
  <c r="V36" i="13"/>
  <c r="V37" i="13"/>
  <c r="V38" i="13"/>
  <c r="V39" i="13"/>
  <c r="V40" i="13"/>
  <c r="V41" i="13"/>
  <c r="V42" i="13"/>
  <c r="V43" i="13"/>
  <c r="V44" i="13"/>
  <c r="V45" i="13"/>
  <c r="V46" i="13"/>
  <c r="V47" i="13"/>
  <c r="V48" i="13"/>
  <c r="V49" i="13"/>
  <c r="V50" i="13"/>
  <c r="V51" i="13"/>
  <c r="V52" i="13"/>
  <c r="V53" i="13"/>
  <c r="V54" i="13"/>
  <c r="V55" i="13"/>
  <c r="V56" i="13"/>
  <c r="V57" i="13"/>
  <c r="V58" i="13"/>
  <c r="V59" i="13"/>
  <c r="V60" i="13"/>
  <c r="V61" i="13"/>
  <c r="V62" i="13"/>
  <c r="V63" i="13"/>
  <c r="V64" i="13"/>
  <c r="V65" i="13"/>
  <c r="V66" i="13"/>
  <c r="V67" i="13"/>
  <c r="V68" i="13"/>
  <c r="V69" i="13"/>
  <c r="V70" i="13"/>
  <c r="V71" i="13"/>
  <c r="V72" i="13"/>
  <c r="V73" i="13"/>
  <c r="V74" i="13"/>
  <c r="V75" i="13"/>
  <c r="V76" i="13"/>
  <c r="V77" i="13"/>
  <c r="V78" i="13"/>
  <c r="V79" i="13"/>
  <c r="V80" i="13"/>
  <c r="V81" i="13"/>
  <c r="V82" i="13"/>
  <c r="V83" i="13"/>
  <c r="V84" i="13"/>
  <c r="V85" i="13"/>
  <c r="V86" i="13"/>
  <c r="V87" i="13"/>
  <c r="V88" i="13"/>
  <c r="V89" i="13"/>
  <c r="V90" i="13"/>
  <c r="V91" i="13"/>
  <c r="V92" i="13"/>
  <c r="V93" i="13"/>
  <c r="V94" i="13"/>
  <c r="V95" i="13"/>
  <c r="V96" i="13"/>
  <c r="V97" i="13"/>
  <c r="V98" i="13"/>
  <c r="V99" i="13"/>
  <c r="V100" i="13"/>
  <c r="V101" i="13"/>
  <c r="V102" i="13"/>
  <c r="V103" i="13"/>
  <c r="V104" i="13"/>
  <c r="V105" i="13"/>
  <c r="V106" i="13"/>
  <c r="V107" i="13"/>
  <c r="V108" i="13"/>
  <c r="V109" i="13"/>
  <c r="V110" i="13"/>
  <c r="V111" i="13"/>
  <c r="V112" i="13"/>
  <c r="V113" i="13"/>
  <c r="V114" i="13"/>
  <c r="V115" i="13"/>
  <c r="V116" i="13"/>
  <c r="V117" i="13"/>
  <c r="V118" i="13"/>
  <c r="V119" i="13"/>
  <c r="V120" i="13"/>
  <c r="V121" i="13"/>
  <c r="V122" i="13"/>
  <c r="V123" i="13"/>
  <c r="V124" i="13"/>
  <c r="V125" i="13"/>
  <c r="V126" i="13"/>
  <c r="V127" i="13"/>
  <c r="V128" i="13"/>
  <c r="V129" i="13"/>
  <c r="V130" i="13"/>
  <c r="V131" i="13"/>
  <c r="V132" i="13"/>
  <c r="V133" i="13"/>
  <c r="V134" i="13"/>
  <c r="V135" i="13"/>
  <c r="V136" i="13"/>
  <c r="V137" i="13"/>
  <c r="V138" i="13"/>
  <c r="V139" i="13"/>
  <c r="V140" i="13"/>
  <c r="V141" i="13"/>
  <c r="V142" i="13"/>
  <c r="V143" i="13"/>
  <c r="V144" i="13"/>
  <c r="V145" i="13"/>
  <c r="V146" i="13"/>
  <c r="V147" i="13"/>
  <c r="V148" i="13"/>
  <c r="V149" i="13"/>
  <c r="V150" i="13"/>
  <c r="V151" i="13"/>
  <c r="V152" i="13"/>
  <c r="V153" i="13"/>
  <c r="V154" i="13"/>
  <c r="V155" i="13"/>
  <c r="V156" i="13"/>
  <c r="V157" i="13"/>
  <c r="V158" i="13"/>
  <c r="V159" i="13"/>
  <c r="V160" i="13"/>
  <c r="V161" i="13"/>
  <c r="V162" i="13"/>
  <c r="V163" i="13"/>
  <c r="V164" i="13"/>
  <c r="V165" i="13"/>
  <c r="V166" i="13"/>
  <c r="V167" i="13"/>
  <c r="V168" i="13"/>
  <c r="V169" i="13"/>
  <c r="V170" i="13"/>
  <c r="V171" i="13"/>
  <c r="V172" i="13"/>
  <c r="V173" i="13"/>
  <c r="V174" i="13"/>
  <c r="V175" i="13"/>
  <c r="V176" i="13"/>
  <c r="V177" i="13"/>
  <c r="V178" i="13"/>
  <c r="V179" i="13"/>
  <c r="V180" i="13"/>
  <c r="V181" i="13"/>
  <c r="V182" i="13"/>
  <c r="V183" i="13"/>
  <c r="V184" i="13"/>
  <c r="V185" i="13"/>
  <c r="V186" i="13"/>
  <c r="V187" i="13"/>
  <c r="V188" i="13"/>
  <c r="V189" i="13"/>
  <c r="V190" i="13"/>
  <c r="V191" i="13"/>
  <c r="V192" i="13"/>
  <c r="V193" i="13"/>
  <c r="V194" i="13"/>
  <c r="V195" i="13"/>
  <c r="V196" i="13"/>
  <c r="V197" i="13"/>
  <c r="V198" i="13"/>
  <c r="V199" i="13"/>
  <c r="V200" i="13"/>
  <c r="V201" i="13"/>
  <c r="V202" i="13"/>
  <c r="V203" i="13"/>
  <c r="V204" i="13"/>
  <c r="V205" i="13"/>
  <c r="V206" i="13"/>
  <c r="V207" i="13"/>
  <c r="V208" i="13"/>
  <c r="V209" i="13"/>
  <c r="V210" i="13"/>
  <c r="V211" i="13"/>
  <c r="V212" i="13"/>
  <c r="V213" i="13"/>
  <c r="V214" i="13"/>
  <c r="V215" i="13"/>
  <c r="V216" i="13"/>
  <c r="V217" i="13"/>
  <c r="V218" i="13"/>
  <c r="V219" i="13"/>
  <c r="V220" i="13"/>
  <c r="V221" i="13"/>
  <c r="V222" i="13"/>
  <c r="V223" i="13"/>
  <c r="V224" i="13"/>
  <c r="V225" i="13"/>
  <c r="V226" i="13"/>
  <c r="V227" i="13"/>
  <c r="V228" i="13"/>
  <c r="V229" i="13"/>
  <c r="V230" i="13"/>
  <c r="V231" i="13"/>
  <c r="V232" i="13"/>
  <c r="V233" i="13"/>
  <c r="V234" i="13"/>
  <c r="V235" i="13"/>
  <c r="V236" i="13"/>
  <c r="V237" i="13"/>
  <c r="V238" i="13"/>
  <c r="V239" i="13"/>
  <c r="V240" i="13"/>
  <c r="V241" i="13"/>
  <c r="V242" i="13"/>
  <c r="V243" i="13"/>
  <c r="V244" i="13"/>
  <c r="V245" i="13"/>
  <c r="V246" i="13"/>
  <c r="V247" i="13"/>
  <c r="V248" i="13"/>
  <c r="V249" i="13"/>
  <c r="V250" i="13"/>
  <c r="V251" i="13"/>
  <c r="V252" i="13"/>
  <c r="V253" i="13"/>
  <c r="V254" i="13"/>
  <c r="V255" i="13"/>
  <c r="V256" i="13"/>
  <c r="V257" i="13"/>
  <c r="V258" i="13"/>
  <c r="V259" i="13"/>
  <c r="V260" i="13"/>
  <c r="V261" i="13"/>
  <c r="V262" i="13"/>
  <c r="V263" i="13"/>
  <c r="V264" i="13"/>
  <c r="V265" i="13"/>
  <c r="V266" i="13"/>
  <c r="V267" i="13"/>
  <c r="V268" i="13"/>
  <c r="V269" i="13"/>
  <c r="V270" i="13"/>
  <c r="V271" i="13"/>
  <c r="V272" i="13"/>
  <c r="V273" i="13"/>
  <c r="V274" i="13"/>
  <c r="V275" i="13"/>
  <c r="V276" i="13"/>
  <c r="V277" i="13"/>
  <c r="V278" i="13"/>
  <c r="V279" i="13"/>
  <c r="V280" i="13"/>
  <c r="V281" i="13"/>
  <c r="V282" i="13"/>
  <c r="V283" i="13"/>
  <c r="V284" i="13"/>
  <c r="V285" i="13"/>
  <c r="V286" i="13"/>
  <c r="V287" i="13"/>
  <c r="V288" i="13"/>
  <c r="V289" i="13"/>
  <c r="V290" i="13"/>
  <c r="V291" i="13"/>
  <c r="V292" i="13"/>
  <c r="V293" i="13"/>
  <c r="V294" i="13"/>
  <c r="V295" i="13"/>
  <c r="V296" i="13"/>
  <c r="V297" i="13"/>
  <c r="V298" i="13"/>
  <c r="V299" i="13"/>
  <c r="V300" i="13"/>
  <c r="V301" i="13"/>
  <c r="V302" i="13"/>
  <c r="V303" i="13"/>
  <c r="V304" i="13"/>
  <c r="V305" i="13"/>
  <c r="V306" i="13"/>
  <c r="V307" i="13"/>
  <c r="V308" i="13"/>
  <c r="V309" i="13"/>
  <c r="V310" i="13"/>
  <c r="V311" i="13"/>
  <c r="V312" i="13"/>
  <c r="V313" i="13"/>
  <c r="V314" i="13"/>
  <c r="V315" i="13"/>
  <c r="V316" i="13"/>
  <c r="V317" i="13"/>
  <c r="V318" i="13"/>
  <c r="V319" i="13"/>
  <c r="V320" i="13"/>
  <c r="V321" i="13"/>
  <c r="V322" i="13"/>
  <c r="V323" i="13"/>
  <c r="V324" i="13"/>
  <c r="V325" i="13"/>
  <c r="V326" i="13"/>
  <c r="V327" i="13"/>
  <c r="V328" i="13"/>
  <c r="V329" i="13"/>
  <c r="V330" i="13"/>
  <c r="V331" i="13"/>
  <c r="V332" i="13"/>
  <c r="V333" i="13"/>
  <c r="V334" i="13"/>
  <c r="V335" i="13"/>
  <c r="V336" i="13"/>
  <c r="V337" i="13"/>
  <c r="V338" i="13"/>
  <c r="V339" i="13"/>
  <c r="V340" i="13"/>
  <c r="V341" i="13"/>
  <c r="V342" i="13"/>
  <c r="V343" i="13"/>
  <c r="V344" i="13"/>
  <c r="V345" i="13"/>
  <c r="V346" i="13"/>
  <c r="V347" i="13"/>
  <c r="V348" i="13"/>
  <c r="V349" i="13"/>
  <c r="V350" i="13"/>
  <c r="V351" i="13"/>
  <c r="V352" i="13"/>
  <c r="V353" i="13"/>
  <c r="V354" i="13"/>
  <c r="V355" i="13"/>
  <c r="V356" i="13"/>
  <c r="V357" i="13"/>
  <c r="V358" i="13"/>
  <c r="V359" i="13"/>
  <c r="V360" i="13"/>
  <c r="V361" i="13"/>
  <c r="V362" i="13"/>
  <c r="V363" i="13"/>
  <c r="V364" i="13"/>
  <c r="V365" i="13"/>
  <c r="V366" i="13"/>
  <c r="V367" i="13"/>
  <c r="V368" i="13"/>
  <c r="V369" i="13"/>
  <c r="V370" i="13"/>
  <c r="V371" i="13"/>
  <c r="V372" i="13"/>
  <c r="V373" i="13"/>
  <c r="V374" i="13"/>
  <c r="V375" i="13"/>
  <c r="V376" i="13"/>
  <c r="V377" i="13"/>
  <c r="V378" i="13"/>
  <c r="V379" i="13"/>
  <c r="V380" i="13"/>
  <c r="V381" i="13"/>
  <c r="V382" i="13"/>
  <c r="V383" i="13"/>
  <c r="V384" i="13"/>
  <c r="V385" i="13"/>
  <c r="V386" i="13"/>
  <c r="V387" i="13"/>
  <c r="V388" i="13"/>
  <c r="V389" i="13"/>
  <c r="V390" i="13"/>
  <c r="V391" i="13"/>
  <c r="V392" i="13"/>
  <c r="V393" i="13"/>
  <c r="V394" i="13"/>
  <c r="V395" i="13"/>
  <c r="V396" i="13"/>
  <c r="V397" i="13"/>
  <c r="V398" i="13"/>
  <c r="V399" i="13"/>
  <c r="V400" i="13"/>
  <c r="V401" i="13"/>
  <c r="V402" i="13"/>
  <c r="V403" i="13"/>
  <c r="V404" i="13"/>
  <c r="V405" i="13"/>
  <c r="V406" i="13"/>
  <c r="V407" i="13"/>
  <c r="V408" i="13"/>
  <c r="V409" i="13"/>
  <c r="V410" i="13"/>
  <c r="V411" i="13"/>
  <c r="V412" i="13"/>
  <c r="V413" i="13"/>
  <c r="V414" i="13"/>
  <c r="V415" i="13"/>
  <c r="V416" i="13"/>
  <c r="V417" i="13"/>
  <c r="V418" i="13"/>
  <c r="V419" i="13"/>
  <c r="V420" i="13"/>
  <c r="V421" i="13"/>
  <c r="V422" i="13"/>
  <c r="V423" i="13"/>
  <c r="V424" i="13"/>
  <c r="V425" i="13"/>
  <c r="V426" i="13"/>
  <c r="V427" i="13"/>
  <c r="V428" i="13"/>
  <c r="V429" i="13"/>
  <c r="V430" i="13"/>
  <c r="V431" i="13"/>
  <c r="V432" i="13"/>
  <c r="V433" i="13"/>
  <c r="V434" i="13"/>
  <c r="V435" i="13"/>
  <c r="V436" i="13"/>
  <c r="V437" i="13"/>
  <c r="V438" i="13"/>
  <c r="V439" i="13"/>
  <c r="V440" i="13"/>
  <c r="V441" i="13"/>
  <c r="V6" i="13"/>
  <c r="K7" i="13" l="1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59" i="13"/>
  <c r="K60" i="13"/>
  <c r="K61" i="13"/>
  <c r="K62" i="13"/>
  <c r="K63" i="13"/>
  <c r="K64" i="13"/>
  <c r="K65" i="13"/>
  <c r="K66" i="13"/>
  <c r="K67" i="13"/>
  <c r="K68" i="13"/>
  <c r="K69" i="13"/>
  <c r="K70" i="13"/>
  <c r="K71" i="13"/>
  <c r="K72" i="13"/>
  <c r="K73" i="13"/>
  <c r="K74" i="13"/>
  <c r="K75" i="13"/>
  <c r="K76" i="13"/>
  <c r="K77" i="13"/>
  <c r="K78" i="13"/>
  <c r="K79" i="13"/>
  <c r="K80" i="13"/>
  <c r="K81" i="13"/>
  <c r="K82" i="13"/>
  <c r="K83" i="13"/>
  <c r="K84" i="13"/>
  <c r="K85" i="13"/>
  <c r="K86" i="13"/>
  <c r="K87" i="13"/>
  <c r="K88" i="13"/>
  <c r="K89" i="13"/>
  <c r="K90" i="13"/>
  <c r="K91" i="13"/>
  <c r="K92" i="13"/>
  <c r="K93" i="13"/>
  <c r="K94" i="13"/>
  <c r="K95" i="13"/>
  <c r="K96" i="13"/>
  <c r="K97" i="13"/>
  <c r="K98" i="13"/>
  <c r="K99" i="13"/>
  <c r="K100" i="13"/>
  <c r="K101" i="13"/>
  <c r="K102" i="13"/>
  <c r="K103" i="13"/>
  <c r="K104" i="13"/>
  <c r="K105" i="13"/>
  <c r="K106" i="13"/>
  <c r="K107" i="13"/>
  <c r="K108" i="13"/>
  <c r="K109" i="13"/>
  <c r="K110" i="13"/>
  <c r="K111" i="13"/>
  <c r="K112" i="13"/>
  <c r="K113" i="13"/>
  <c r="K114" i="13"/>
  <c r="K115" i="13"/>
  <c r="K116" i="13"/>
  <c r="K117" i="13"/>
  <c r="K118" i="13"/>
  <c r="K119" i="13"/>
  <c r="K120" i="13"/>
  <c r="K121" i="13"/>
  <c r="K122" i="13"/>
  <c r="K123" i="13"/>
  <c r="K124" i="13"/>
  <c r="K125" i="13"/>
  <c r="K126" i="13"/>
  <c r="K127" i="13"/>
  <c r="K128" i="13"/>
  <c r="K129" i="13"/>
  <c r="K130" i="13"/>
  <c r="K131" i="13"/>
  <c r="K132" i="13"/>
  <c r="K133" i="13"/>
  <c r="K134" i="13"/>
  <c r="K135" i="13"/>
  <c r="K136" i="13"/>
  <c r="K137" i="13"/>
  <c r="K138" i="13"/>
  <c r="K139" i="13"/>
  <c r="K140" i="13"/>
  <c r="K141" i="13"/>
  <c r="K142" i="13"/>
  <c r="K143" i="13"/>
  <c r="K144" i="13"/>
  <c r="K145" i="13"/>
  <c r="K146" i="13"/>
  <c r="K147" i="13"/>
  <c r="K148" i="13"/>
  <c r="K149" i="13"/>
  <c r="K150" i="13"/>
  <c r="K151" i="13"/>
  <c r="K152" i="13"/>
  <c r="K153" i="13"/>
  <c r="K154" i="13"/>
  <c r="K155" i="13"/>
  <c r="K156" i="13"/>
  <c r="K157" i="13"/>
  <c r="K158" i="13"/>
  <c r="K159" i="13"/>
  <c r="K160" i="13"/>
  <c r="K161" i="13"/>
  <c r="K162" i="13"/>
  <c r="K163" i="13"/>
  <c r="K164" i="13"/>
  <c r="K165" i="13"/>
  <c r="K166" i="13"/>
  <c r="K167" i="13"/>
  <c r="K168" i="13"/>
  <c r="K169" i="13"/>
  <c r="K170" i="13"/>
  <c r="K171" i="13"/>
  <c r="K172" i="13"/>
  <c r="K173" i="13"/>
  <c r="K174" i="13"/>
  <c r="K175" i="13"/>
  <c r="K176" i="13"/>
  <c r="K177" i="13"/>
  <c r="K178" i="13"/>
  <c r="K179" i="13"/>
  <c r="K180" i="13"/>
  <c r="K181" i="13"/>
  <c r="K182" i="13"/>
  <c r="K183" i="13"/>
  <c r="K184" i="13"/>
  <c r="K185" i="13"/>
  <c r="K186" i="13"/>
  <c r="K187" i="13"/>
  <c r="K188" i="13"/>
  <c r="K189" i="13"/>
  <c r="K190" i="13"/>
  <c r="K191" i="13"/>
  <c r="K192" i="13"/>
  <c r="K193" i="13"/>
  <c r="K194" i="13"/>
  <c r="K195" i="13"/>
  <c r="K196" i="13"/>
  <c r="K197" i="13"/>
  <c r="K198" i="13"/>
  <c r="K199" i="13"/>
  <c r="K200" i="13"/>
  <c r="K201" i="13"/>
  <c r="K202" i="13"/>
  <c r="K203" i="13"/>
  <c r="K204" i="13"/>
  <c r="K205" i="13"/>
  <c r="K206" i="13"/>
  <c r="K207" i="13"/>
  <c r="K208" i="13"/>
  <c r="K209" i="13"/>
  <c r="K210" i="13"/>
  <c r="K211" i="13"/>
  <c r="K212" i="13"/>
  <c r="K213" i="13"/>
  <c r="K214" i="13"/>
  <c r="K215" i="13"/>
  <c r="K216" i="13"/>
  <c r="K217" i="13"/>
  <c r="K218" i="13"/>
  <c r="K219" i="13"/>
  <c r="K220" i="13"/>
  <c r="K221" i="13"/>
  <c r="K222" i="13"/>
  <c r="K223" i="13"/>
  <c r="K224" i="13"/>
  <c r="K225" i="13"/>
  <c r="K226" i="13"/>
  <c r="K227" i="13"/>
  <c r="K228" i="13"/>
  <c r="K229" i="13"/>
  <c r="K230" i="13"/>
  <c r="K231" i="13"/>
  <c r="K232" i="13"/>
  <c r="K233" i="13"/>
  <c r="K234" i="13"/>
  <c r="K235" i="13"/>
  <c r="K236" i="13"/>
  <c r="K237" i="13"/>
  <c r="K238" i="13"/>
  <c r="K239" i="13"/>
  <c r="K240" i="13"/>
  <c r="K241" i="13"/>
  <c r="K242" i="13"/>
  <c r="K243" i="13"/>
  <c r="K244" i="13"/>
  <c r="K245" i="13"/>
  <c r="K246" i="13"/>
  <c r="K247" i="13"/>
  <c r="K248" i="13"/>
  <c r="K249" i="13"/>
  <c r="K250" i="13"/>
  <c r="K251" i="13"/>
  <c r="K252" i="13"/>
  <c r="K253" i="13"/>
  <c r="K254" i="13"/>
  <c r="K255" i="13"/>
  <c r="K256" i="13"/>
  <c r="K257" i="13"/>
  <c r="K258" i="13"/>
  <c r="K259" i="13"/>
  <c r="K260" i="13"/>
  <c r="K261" i="13"/>
  <c r="K262" i="13"/>
  <c r="K263" i="13"/>
  <c r="K264" i="13"/>
  <c r="K265" i="13"/>
  <c r="K266" i="13"/>
  <c r="K267" i="13"/>
  <c r="K268" i="13"/>
  <c r="K269" i="13"/>
  <c r="K270" i="13"/>
  <c r="K271" i="13"/>
  <c r="K272" i="13"/>
  <c r="K273" i="13"/>
  <c r="K274" i="13"/>
  <c r="K275" i="13"/>
  <c r="K276" i="13"/>
  <c r="K277" i="13"/>
  <c r="K278" i="13"/>
  <c r="K279" i="13"/>
  <c r="K280" i="13"/>
  <c r="K281" i="13"/>
  <c r="K282" i="13"/>
  <c r="K283" i="13"/>
  <c r="K284" i="13"/>
  <c r="K285" i="13"/>
  <c r="K286" i="13"/>
  <c r="K287" i="13"/>
  <c r="K288" i="13"/>
  <c r="K289" i="13"/>
  <c r="K290" i="13"/>
  <c r="K291" i="13"/>
  <c r="K292" i="13"/>
  <c r="K293" i="13"/>
  <c r="K294" i="13"/>
  <c r="K295" i="13"/>
  <c r="K296" i="13"/>
  <c r="K297" i="13"/>
  <c r="K298" i="13"/>
  <c r="K299" i="13"/>
  <c r="K300" i="13"/>
  <c r="K301" i="13"/>
  <c r="K302" i="13"/>
  <c r="K303" i="13"/>
  <c r="K304" i="13"/>
  <c r="K305" i="13"/>
  <c r="K306" i="13"/>
  <c r="K307" i="13"/>
  <c r="K308" i="13"/>
  <c r="K309" i="13"/>
  <c r="K310" i="13"/>
  <c r="K311" i="13"/>
  <c r="K312" i="13"/>
  <c r="K313" i="13"/>
  <c r="K314" i="13"/>
  <c r="K315" i="13"/>
  <c r="K316" i="13"/>
  <c r="K317" i="13"/>
  <c r="K318" i="13"/>
  <c r="K319" i="13"/>
  <c r="K320" i="13"/>
  <c r="K321" i="13"/>
  <c r="K322" i="13"/>
  <c r="K323" i="13"/>
  <c r="K324" i="13"/>
  <c r="K325" i="13"/>
  <c r="K326" i="13"/>
  <c r="K327" i="13"/>
  <c r="K328" i="13"/>
  <c r="K329" i="13"/>
  <c r="K330" i="13"/>
  <c r="K331" i="13"/>
  <c r="K332" i="13"/>
  <c r="K333" i="13"/>
  <c r="K334" i="13"/>
  <c r="K335" i="13"/>
  <c r="K336" i="13"/>
  <c r="K337" i="13"/>
  <c r="K338" i="13"/>
  <c r="K339" i="13"/>
  <c r="K340" i="13"/>
  <c r="K341" i="13"/>
  <c r="K342" i="13"/>
  <c r="K343" i="13"/>
  <c r="K344" i="13"/>
  <c r="K345" i="13"/>
  <c r="K346" i="13"/>
  <c r="K347" i="13"/>
  <c r="K348" i="13"/>
  <c r="K349" i="13"/>
  <c r="K350" i="13"/>
  <c r="K351" i="13"/>
  <c r="K352" i="13"/>
  <c r="K353" i="13"/>
  <c r="K354" i="13"/>
  <c r="K355" i="13"/>
  <c r="K356" i="13"/>
  <c r="K357" i="13"/>
  <c r="K358" i="13"/>
  <c r="K359" i="13"/>
  <c r="K360" i="13"/>
  <c r="K361" i="13"/>
  <c r="K362" i="13"/>
  <c r="K363" i="13"/>
  <c r="K364" i="13"/>
  <c r="K365" i="13"/>
  <c r="K366" i="13"/>
  <c r="K367" i="13"/>
  <c r="K368" i="13"/>
  <c r="K369" i="13"/>
  <c r="K370" i="13"/>
  <c r="K371" i="13"/>
  <c r="K372" i="13"/>
  <c r="K373" i="13"/>
  <c r="K374" i="13"/>
  <c r="K375" i="13"/>
  <c r="K376" i="13"/>
  <c r="K377" i="13"/>
  <c r="K378" i="13"/>
  <c r="K379" i="13"/>
  <c r="K380" i="13"/>
  <c r="K381" i="13"/>
  <c r="K382" i="13"/>
  <c r="K383" i="13"/>
  <c r="K384" i="13"/>
  <c r="K385" i="13"/>
  <c r="K386" i="13"/>
  <c r="K387" i="13"/>
  <c r="K388" i="13"/>
  <c r="K389" i="13"/>
  <c r="K390" i="13"/>
  <c r="K391" i="13"/>
  <c r="K392" i="13"/>
  <c r="K393" i="13"/>
  <c r="K394" i="13"/>
  <c r="K395" i="13"/>
  <c r="K396" i="13"/>
  <c r="K397" i="13"/>
  <c r="K398" i="13"/>
  <c r="K399" i="13"/>
  <c r="K400" i="13"/>
  <c r="K401" i="13"/>
  <c r="K402" i="13"/>
  <c r="K403" i="13"/>
  <c r="K404" i="13"/>
  <c r="K405" i="13"/>
  <c r="K406" i="13"/>
  <c r="K407" i="13"/>
  <c r="K408" i="13"/>
  <c r="K409" i="13"/>
  <c r="K410" i="13"/>
  <c r="K411" i="13"/>
  <c r="K412" i="13"/>
  <c r="K413" i="13"/>
  <c r="K414" i="13"/>
  <c r="K415" i="13"/>
  <c r="K416" i="13"/>
  <c r="K417" i="13"/>
  <c r="K418" i="13"/>
  <c r="K419" i="13"/>
  <c r="K420" i="13"/>
  <c r="K421" i="13"/>
  <c r="K422" i="13"/>
  <c r="K423" i="13"/>
  <c r="K424" i="13"/>
  <c r="K425" i="13"/>
  <c r="K426" i="13"/>
  <c r="K427" i="13"/>
  <c r="K428" i="13"/>
  <c r="K429" i="13"/>
  <c r="K430" i="13"/>
  <c r="K431" i="13"/>
  <c r="K432" i="13"/>
  <c r="K433" i="13"/>
  <c r="K434" i="13"/>
  <c r="K435" i="13"/>
  <c r="K436" i="13"/>
  <c r="K437" i="13"/>
  <c r="K438" i="13"/>
  <c r="K439" i="13"/>
  <c r="K440" i="13"/>
  <c r="K441" i="13"/>
  <c r="K6" i="13"/>
  <c r="S7" i="13" l="1" a="1"/>
  <c r="S7" i="13" s="1"/>
  <c r="S8" i="13" a="1"/>
  <c r="S8" i="13" s="1"/>
  <c r="S9" i="13" a="1"/>
  <c r="S9" i="13" s="1"/>
  <c r="S10" i="13" a="1"/>
  <c r="S10" i="13" s="1"/>
  <c r="S11" i="13" a="1"/>
  <c r="S11" i="13" s="1"/>
  <c r="S12" i="13" a="1"/>
  <c r="S12" i="13" s="1"/>
  <c r="S13" i="13" a="1"/>
  <c r="S13" i="13" s="1"/>
  <c r="S14" i="13" a="1"/>
  <c r="S14" i="13" s="1"/>
  <c r="S15" i="13" a="1"/>
  <c r="S15" i="13" s="1"/>
  <c r="S16" i="13" a="1"/>
  <c r="S16" i="13" s="1"/>
  <c r="S17" i="13" a="1"/>
  <c r="S17" i="13" s="1"/>
  <c r="S18" i="13" a="1"/>
  <c r="S18" i="13" s="1"/>
  <c r="S19" i="13" a="1"/>
  <c r="S19" i="13" s="1"/>
  <c r="S20" i="13" a="1"/>
  <c r="S20" i="13" s="1"/>
  <c r="S21" i="13" a="1"/>
  <c r="S21" i="13" s="1"/>
  <c r="S22" i="13" a="1"/>
  <c r="S22" i="13" s="1"/>
  <c r="S23" i="13" a="1"/>
  <c r="S23" i="13" s="1"/>
  <c r="S24" i="13" a="1"/>
  <c r="S24" i="13" s="1"/>
  <c r="S25" i="13" a="1"/>
  <c r="S25" i="13" s="1"/>
  <c r="S26" i="13" a="1"/>
  <c r="S26" i="13" s="1"/>
  <c r="S27" i="13" a="1"/>
  <c r="S27" i="13" s="1"/>
  <c r="S28" i="13" a="1"/>
  <c r="S28" i="13" s="1"/>
  <c r="S29" i="13" a="1"/>
  <c r="S29" i="13" s="1"/>
  <c r="S30" i="13" a="1"/>
  <c r="S30" i="13" s="1"/>
  <c r="S31" i="13" a="1"/>
  <c r="S31" i="13" s="1"/>
  <c r="S32" i="13" a="1"/>
  <c r="S32" i="13" s="1"/>
  <c r="S33" i="13" a="1"/>
  <c r="S33" i="13" s="1"/>
  <c r="S34" i="13" a="1"/>
  <c r="S34" i="13" s="1"/>
  <c r="S35" i="13" a="1"/>
  <c r="S35" i="13" s="1"/>
  <c r="S36" i="13" a="1"/>
  <c r="S36" i="13" s="1"/>
  <c r="S37" i="13" a="1"/>
  <c r="S37" i="13" s="1"/>
  <c r="S38" i="13" a="1"/>
  <c r="S38" i="13" s="1"/>
  <c r="S39" i="13" a="1"/>
  <c r="S39" i="13" s="1"/>
  <c r="S40" i="13" a="1"/>
  <c r="S40" i="13" s="1"/>
  <c r="S41" i="13" a="1"/>
  <c r="S41" i="13" s="1"/>
  <c r="S42" i="13" a="1"/>
  <c r="S42" i="13" s="1"/>
  <c r="S43" i="13" a="1"/>
  <c r="S43" i="13" s="1"/>
  <c r="S44" i="13" a="1"/>
  <c r="S44" i="13" s="1"/>
  <c r="S45" i="13" a="1"/>
  <c r="S45" i="13" s="1"/>
  <c r="S46" i="13" a="1"/>
  <c r="S46" i="13" s="1"/>
  <c r="S47" i="13" a="1"/>
  <c r="S47" i="13" s="1"/>
  <c r="S48" i="13" a="1"/>
  <c r="S48" i="13" s="1"/>
  <c r="S49" i="13" a="1"/>
  <c r="S49" i="13" s="1"/>
  <c r="S50" i="13" a="1"/>
  <c r="S50" i="13" s="1"/>
  <c r="S51" i="13" a="1"/>
  <c r="S51" i="13" s="1"/>
  <c r="S52" i="13" a="1"/>
  <c r="S52" i="13" s="1"/>
  <c r="S53" i="13" a="1"/>
  <c r="S53" i="13" s="1"/>
  <c r="S54" i="13" a="1"/>
  <c r="S54" i="13" s="1"/>
  <c r="S55" i="13" a="1"/>
  <c r="S55" i="13" s="1"/>
  <c r="S56" i="13" a="1"/>
  <c r="S56" i="13" s="1"/>
  <c r="S57" i="13" a="1"/>
  <c r="S57" i="13" s="1"/>
  <c r="S58" i="13" a="1"/>
  <c r="S58" i="13" s="1"/>
  <c r="S59" i="13" a="1"/>
  <c r="S59" i="13" s="1"/>
  <c r="S60" i="13" a="1"/>
  <c r="S60" i="13" s="1"/>
  <c r="S61" i="13" a="1"/>
  <c r="S61" i="13" s="1"/>
  <c r="S62" i="13" a="1"/>
  <c r="S62" i="13" s="1"/>
  <c r="S63" i="13" a="1"/>
  <c r="S63" i="13" s="1"/>
  <c r="S64" i="13" a="1"/>
  <c r="S64" i="13" s="1"/>
  <c r="S65" i="13" a="1"/>
  <c r="S65" i="13" s="1"/>
  <c r="S66" i="13" a="1"/>
  <c r="S66" i="13" s="1"/>
  <c r="S67" i="13" a="1"/>
  <c r="S67" i="13" s="1"/>
  <c r="S68" i="13" a="1"/>
  <c r="S68" i="13" s="1"/>
  <c r="S69" i="13" a="1"/>
  <c r="S69" i="13" s="1"/>
  <c r="S70" i="13" a="1"/>
  <c r="S70" i="13" s="1"/>
  <c r="S71" i="13" a="1"/>
  <c r="S71" i="13" s="1"/>
  <c r="S72" i="13" a="1"/>
  <c r="S72" i="13" s="1"/>
  <c r="S73" i="13" a="1"/>
  <c r="S73" i="13" s="1"/>
  <c r="S74" i="13" a="1"/>
  <c r="S74" i="13" s="1"/>
  <c r="S75" i="13" a="1"/>
  <c r="S75" i="13" s="1"/>
  <c r="S76" i="13" a="1"/>
  <c r="S76" i="13" s="1"/>
  <c r="S77" i="13" a="1"/>
  <c r="S77" i="13" s="1"/>
  <c r="S78" i="13" a="1"/>
  <c r="S78" i="13" s="1"/>
  <c r="S79" i="13" a="1"/>
  <c r="S79" i="13" s="1"/>
  <c r="S80" i="13" a="1"/>
  <c r="S80" i="13" s="1"/>
  <c r="S81" i="13" a="1"/>
  <c r="S81" i="13" s="1"/>
  <c r="S82" i="13" a="1"/>
  <c r="S82" i="13" s="1"/>
  <c r="S83" i="13" a="1"/>
  <c r="S83" i="13" s="1"/>
  <c r="S84" i="13" a="1"/>
  <c r="S84" i="13" s="1"/>
  <c r="S85" i="13" a="1"/>
  <c r="S85" i="13" s="1"/>
  <c r="S86" i="13" a="1"/>
  <c r="S86" i="13" s="1"/>
  <c r="S87" i="13" a="1"/>
  <c r="S87" i="13" s="1"/>
  <c r="S88" i="13" a="1"/>
  <c r="S88" i="13" s="1"/>
  <c r="S89" i="13" a="1"/>
  <c r="S89" i="13" s="1"/>
  <c r="S90" i="13" a="1"/>
  <c r="S90" i="13" s="1"/>
  <c r="S91" i="13" a="1"/>
  <c r="S91" i="13" s="1"/>
  <c r="S92" i="13" a="1"/>
  <c r="S92" i="13" s="1"/>
  <c r="S93" i="13" a="1"/>
  <c r="S93" i="13" s="1"/>
  <c r="S94" i="13" a="1"/>
  <c r="S94" i="13" s="1"/>
  <c r="S95" i="13" a="1"/>
  <c r="S95" i="13" s="1"/>
  <c r="S96" i="13" a="1"/>
  <c r="S96" i="13" s="1"/>
  <c r="S97" i="13" a="1"/>
  <c r="S97" i="13" s="1"/>
  <c r="S98" i="13" a="1"/>
  <c r="S98" i="13" s="1"/>
  <c r="S99" i="13" a="1"/>
  <c r="S99" i="13" s="1"/>
  <c r="S100" i="13" a="1"/>
  <c r="S100" i="13" s="1"/>
  <c r="S101" i="13" a="1"/>
  <c r="S101" i="13" s="1"/>
  <c r="S102" i="13" a="1"/>
  <c r="S102" i="13" s="1"/>
  <c r="S103" i="13" a="1"/>
  <c r="S103" i="13" s="1"/>
  <c r="S104" i="13" a="1"/>
  <c r="S104" i="13" s="1"/>
  <c r="S105" i="13" a="1"/>
  <c r="S105" i="13" s="1"/>
  <c r="S106" i="13" a="1"/>
  <c r="S106" i="13" s="1"/>
  <c r="S107" i="13" a="1"/>
  <c r="S107" i="13" s="1"/>
  <c r="S108" i="13" a="1"/>
  <c r="S108" i="13" s="1"/>
  <c r="S109" i="13" a="1"/>
  <c r="S109" i="13" s="1"/>
  <c r="S110" i="13" a="1"/>
  <c r="S110" i="13" s="1"/>
  <c r="S111" i="13" a="1"/>
  <c r="S111" i="13" s="1"/>
  <c r="S112" i="13" a="1"/>
  <c r="S112" i="13" s="1"/>
  <c r="S113" i="13" a="1"/>
  <c r="S113" i="13" s="1"/>
  <c r="S114" i="13" a="1"/>
  <c r="S114" i="13" s="1"/>
  <c r="S115" i="13" a="1"/>
  <c r="S115" i="13" s="1"/>
  <c r="S116" i="13" a="1"/>
  <c r="S116" i="13" s="1"/>
  <c r="S117" i="13" a="1"/>
  <c r="S117" i="13" s="1"/>
  <c r="S118" i="13" a="1"/>
  <c r="S118" i="13" s="1"/>
  <c r="S119" i="13" a="1"/>
  <c r="S119" i="13" s="1"/>
  <c r="S120" i="13" a="1"/>
  <c r="S120" i="13" s="1"/>
  <c r="S121" i="13" a="1"/>
  <c r="S121" i="13" s="1"/>
  <c r="S122" i="13" a="1"/>
  <c r="S122" i="13" s="1"/>
  <c r="S123" i="13" a="1"/>
  <c r="S123" i="13" s="1"/>
  <c r="S124" i="13" a="1"/>
  <c r="S124" i="13" s="1"/>
  <c r="S125" i="13" a="1"/>
  <c r="S125" i="13" s="1"/>
  <c r="S126" i="13" a="1"/>
  <c r="S126" i="13" s="1"/>
  <c r="S127" i="13" a="1"/>
  <c r="S127" i="13" s="1"/>
  <c r="S128" i="13" a="1"/>
  <c r="S128" i="13" s="1"/>
  <c r="S129" i="13" a="1"/>
  <c r="S129" i="13" s="1"/>
  <c r="S130" i="13" a="1"/>
  <c r="S130" i="13" s="1"/>
  <c r="S131" i="13" a="1"/>
  <c r="S131" i="13" s="1"/>
  <c r="S132" i="13" a="1"/>
  <c r="S132" i="13" s="1"/>
  <c r="S133" i="13" a="1"/>
  <c r="S133" i="13" s="1"/>
  <c r="S134" i="13" a="1"/>
  <c r="S134" i="13" s="1"/>
  <c r="S135" i="13" a="1"/>
  <c r="S135" i="13" s="1"/>
  <c r="S136" i="13" a="1"/>
  <c r="S136" i="13" s="1"/>
  <c r="S137" i="13" a="1"/>
  <c r="S137" i="13" s="1"/>
  <c r="S138" i="13" a="1"/>
  <c r="S138" i="13" s="1"/>
  <c r="S139" i="13" a="1"/>
  <c r="S139" i="13" s="1"/>
  <c r="S140" i="13" a="1"/>
  <c r="S140" i="13" s="1"/>
  <c r="S141" i="13" a="1"/>
  <c r="S141" i="13" s="1"/>
  <c r="S142" i="13" a="1"/>
  <c r="S142" i="13" s="1"/>
  <c r="S143" i="13" a="1"/>
  <c r="S143" i="13" s="1"/>
  <c r="S144" i="13" a="1"/>
  <c r="S144" i="13" s="1"/>
  <c r="S145" i="13" a="1"/>
  <c r="S145" i="13" s="1"/>
  <c r="S146" i="13" a="1"/>
  <c r="S146" i="13" s="1"/>
  <c r="S147" i="13" a="1"/>
  <c r="S147" i="13" s="1"/>
  <c r="S148" i="13" a="1"/>
  <c r="S148" i="13" s="1"/>
  <c r="S149" i="13" a="1"/>
  <c r="S149" i="13" s="1"/>
  <c r="S150" i="13" a="1"/>
  <c r="S150" i="13" s="1"/>
  <c r="S151" i="13" a="1"/>
  <c r="S151" i="13" s="1"/>
  <c r="S152" i="13" a="1"/>
  <c r="S152" i="13" s="1"/>
  <c r="S153" i="13" a="1"/>
  <c r="S153" i="13" s="1"/>
  <c r="S154" i="13" a="1"/>
  <c r="S154" i="13" s="1"/>
  <c r="S155" i="13" a="1"/>
  <c r="S155" i="13" s="1"/>
  <c r="S156" i="13" a="1"/>
  <c r="S156" i="13" s="1"/>
  <c r="S157" i="13" a="1"/>
  <c r="S157" i="13" s="1"/>
  <c r="S158" i="13" a="1"/>
  <c r="S158" i="13" s="1"/>
  <c r="S159" i="13" a="1"/>
  <c r="S159" i="13" s="1"/>
  <c r="S160" i="13" a="1"/>
  <c r="S160" i="13" s="1"/>
  <c r="S161" i="13" a="1"/>
  <c r="S161" i="13" s="1"/>
  <c r="S162" i="13" a="1"/>
  <c r="S162" i="13" s="1"/>
  <c r="S163" i="13" a="1"/>
  <c r="S163" i="13" s="1"/>
  <c r="S164" i="13" a="1"/>
  <c r="S164" i="13" s="1"/>
  <c r="S165" i="13" a="1"/>
  <c r="S165" i="13" s="1"/>
  <c r="S166" i="13" a="1"/>
  <c r="S166" i="13" s="1"/>
  <c r="S167" i="13" a="1"/>
  <c r="S167" i="13" s="1"/>
  <c r="S168" i="13" a="1"/>
  <c r="S168" i="13" s="1"/>
  <c r="S169" i="13" a="1"/>
  <c r="S169" i="13" s="1"/>
  <c r="S170" i="13" a="1"/>
  <c r="S170" i="13" s="1"/>
  <c r="S171" i="13" a="1"/>
  <c r="S171" i="13" s="1"/>
  <c r="S172" i="13" a="1"/>
  <c r="S172" i="13" s="1"/>
  <c r="S173" i="13" a="1"/>
  <c r="S173" i="13" s="1"/>
  <c r="S174" i="13" a="1"/>
  <c r="S174" i="13" s="1"/>
  <c r="S175" i="13" a="1"/>
  <c r="S175" i="13" s="1"/>
  <c r="S176" i="13" a="1"/>
  <c r="S176" i="13" s="1"/>
  <c r="S177" i="13" a="1"/>
  <c r="S177" i="13" s="1"/>
  <c r="S178" i="13" a="1"/>
  <c r="S178" i="13" s="1"/>
  <c r="S179" i="13" a="1"/>
  <c r="S179" i="13" s="1"/>
  <c r="S180" i="13" a="1"/>
  <c r="S180" i="13" s="1"/>
  <c r="S181" i="13" a="1"/>
  <c r="S181" i="13" s="1"/>
  <c r="S182" i="13" a="1"/>
  <c r="S182" i="13" s="1"/>
  <c r="S183" i="13" a="1"/>
  <c r="S183" i="13" s="1"/>
  <c r="S184" i="13" a="1"/>
  <c r="S184" i="13" s="1"/>
  <c r="S185" i="13" a="1"/>
  <c r="S185" i="13" s="1"/>
  <c r="S186" i="13" a="1"/>
  <c r="S186" i="13" s="1"/>
  <c r="S187" i="13" a="1"/>
  <c r="S187" i="13" s="1"/>
  <c r="S188" i="13" a="1"/>
  <c r="S188" i="13" s="1"/>
  <c r="S189" i="13" a="1"/>
  <c r="S189" i="13" s="1"/>
  <c r="S190" i="13" a="1"/>
  <c r="S190" i="13" s="1"/>
  <c r="S191" i="13" a="1"/>
  <c r="S191" i="13" s="1"/>
  <c r="S192" i="13" a="1"/>
  <c r="S192" i="13" s="1"/>
  <c r="S193" i="13" a="1"/>
  <c r="S193" i="13" s="1"/>
  <c r="S194" i="13" a="1"/>
  <c r="S194" i="13" s="1"/>
  <c r="S195" i="13" a="1"/>
  <c r="S195" i="13" s="1"/>
  <c r="S196" i="13" a="1"/>
  <c r="S196" i="13" s="1"/>
  <c r="S197" i="13" a="1"/>
  <c r="S197" i="13" s="1"/>
  <c r="S198" i="13" a="1"/>
  <c r="S198" i="13" s="1"/>
  <c r="S199" i="13" a="1"/>
  <c r="S199" i="13" s="1"/>
  <c r="S200" i="13" a="1"/>
  <c r="S200" i="13" s="1"/>
  <c r="S201" i="13" a="1"/>
  <c r="S201" i="13" s="1"/>
  <c r="S202" i="13" a="1"/>
  <c r="S202" i="13" s="1"/>
  <c r="S203" i="13" a="1"/>
  <c r="S203" i="13" s="1"/>
  <c r="S204" i="13" a="1"/>
  <c r="S204" i="13" s="1"/>
  <c r="S205" i="13" a="1"/>
  <c r="S205" i="13" s="1"/>
  <c r="S206" i="13" a="1"/>
  <c r="S206" i="13" s="1"/>
  <c r="S207" i="13" a="1"/>
  <c r="S207" i="13" s="1"/>
  <c r="S208" i="13" a="1"/>
  <c r="S208" i="13" s="1"/>
  <c r="S209" i="13" a="1"/>
  <c r="S209" i="13" s="1"/>
  <c r="S210" i="13" a="1"/>
  <c r="S210" i="13" s="1"/>
  <c r="S211" i="13" a="1"/>
  <c r="S211" i="13" s="1"/>
  <c r="S212" i="13" a="1"/>
  <c r="S212" i="13" s="1"/>
  <c r="S213" i="13" a="1"/>
  <c r="S213" i="13" s="1"/>
  <c r="S214" i="13" a="1"/>
  <c r="S214" i="13" s="1"/>
  <c r="S215" i="13" a="1"/>
  <c r="S215" i="13" s="1"/>
  <c r="S216" i="13" a="1"/>
  <c r="S216" i="13" s="1"/>
  <c r="S217" i="13" a="1"/>
  <c r="S217" i="13" s="1"/>
  <c r="S218" i="13" a="1"/>
  <c r="S218" i="13" s="1"/>
  <c r="S219" i="13" a="1"/>
  <c r="S219" i="13" s="1"/>
  <c r="S220" i="13" a="1"/>
  <c r="S220" i="13" s="1"/>
  <c r="S221" i="13" a="1"/>
  <c r="S221" i="13" s="1"/>
  <c r="S222" i="13" a="1"/>
  <c r="S222" i="13" s="1"/>
  <c r="S223" i="13" a="1"/>
  <c r="S223" i="13" s="1"/>
  <c r="S224" i="13" a="1"/>
  <c r="S224" i="13" s="1"/>
  <c r="S225" i="13" a="1"/>
  <c r="S225" i="13" s="1"/>
  <c r="S226" i="13" a="1"/>
  <c r="S226" i="13" s="1"/>
  <c r="S227" i="13" a="1"/>
  <c r="S227" i="13" s="1"/>
  <c r="S228" i="13" a="1"/>
  <c r="S228" i="13" s="1"/>
  <c r="S229" i="13" a="1"/>
  <c r="S229" i="13" s="1"/>
  <c r="S230" i="13" a="1"/>
  <c r="S230" i="13" s="1"/>
  <c r="S231" i="13" a="1"/>
  <c r="S231" i="13" s="1"/>
  <c r="S232" i="13" a="1"/>
  <c r="S232" i="13" s="1"/>
  <c r="S233" i="13" a="1"/>
  <c r="S233" i="13" s="1"/>
  <c r="S234" i="13" a="1"/>
  <c r="S234" i="13" s="1"/>
  <c r="S235" i="13" a="1"/>
  <c r="S235" i="13" s="1"/>
  <c r="S236" i="13" a="1"/>
  <c r="S236" i="13" s="1"/>
  <c r="S237" i="13" a="1"/>
  <c r="S237" i="13" s="1"/>
  <c r="S238" i="13" a="1"/>
  <c r="S238" i="13" s="1"/>
  <c r="S239" i="13" a="1"/>
  <c r="S239" i="13" s="1"/>
  <c r="S240" i="13" a="1"/>
  <c r="S240" i="13" s="1"/>
  <c r="S241" i="13" a="1"/>
  <c r="S241" i="13" s="1"/>
  <c r="S242" i="13" a="1"/>
  <c r="S242" i="13" s="1"/>
  <c r="S243" i="13" a="1"/>
  <c r="S243" i="13" s="1"/>
  <c r="S244" i="13" a="1"/>
  <c r="S244" i="13" s="1"/>
  <c r="S245" i="13" a="1"/>
  <c r="S245" i="13" s="1"/>
  <c r="S246" i="13" a="1"/>
  <c r="S246" i="13" s="1"/>
  <c r="S247" i="13" a="1"/>
  <c r="S247" i="13" s="1"/>
  <c r="S248" i="13" a="1"/>
  <c r="S248" i="13" s="1"/>
  <c r="S249" i="13" a="1"/>
  <c r="S249" i="13" s="1"/>
  <c r="S250" i="13" a="1"/>
  <c r="S250" i="13" s="1"/>
  <c r="S251" i="13" a="1"/>
  <c r="S251" i="13" s="1"/>
  <c r="S252" i="13" a="1"/>
  <c r="S252" i="13" s="1"/>
  <c r="S253" i="13" a="1"/>
  <c r="S253" i="13" s="1"/>
  <c r="S254" i="13" a="1"/>
  <c r="S254" i="13" s="1"/>
  <c r="S255" i="13" a="1"/>
  <c r="S255" i="13" s="1"/>
  <c r="S256" i="13" a="1"/>
  <c r="S256" i="13" s="1"/>
  <c r="S257" i="13" a="1"/>
  <c r="S257" i="13" s="1"/>
  <c r="S258" i="13" a="1"/>
  <c r="S258" i="13" s="1"/>
  <c r="S259" i="13" a="1"/>
  <c r="S259" i="13" s="1"/>
  <c r="S260" i="13" a="1"/>
  <c r="S260" i="13" s="1"/>
  <c r="S261" i="13" a="1"/>
  <c r="S261" i="13" s="1"/>
  <c r="S262" i="13" a="1"/>
  <c r="S262" i="13" s="1"/>
  <c r="S263" i="13" a="1"/>
  <c r="S263" i="13" s="1"/>
  <c r="S264" i="13" a="1"/>
  <c r="S264" i="13" s="1"/>
  <c r="S265" i="13" a="1"/>
  <c r="S265" i="13" s="1"/>
  <c r="S266" i="13" a="1"/>
  <c r="S266" i="13" s="1"/>
  <c r="S267" i="13" a="1"/>
  <c r="S267" i="13" s="1"/>
  <c r="S268" i="13" a="1"/>
  <c r="S268" i="13" s="1"/>
  <c r="S269" i="13" a="1"/>
  <c r="S269" i="13" s="1"/>
  <c r="S270" i="13" a="1"/>
  <c r="S270" i="13" s="1"/>
  <c r="S271" i="13" a="1"/>
  <c r="S271" i="13" s="1"/>
  <c r="S272" i="13" a="1"/>
  <c r="S272" i="13" s="1"/>
  <c r="S273" i="13" a="1"/>
  <c r="S273" i="13" s="1"/>
  <c r="S274" i="13" a="1"/>
  <c r="S274" i="13" s="1"/>
  <c r="S275" i="13" a="1"/>
  <c r="S275" i="13" s="1"/>
  <c r="S276" i="13" a="1"/>
  <c r="S276" i="13" s="1"/>
  <c r="S277" i="13" a="1"/>
  <c r="S277" i="13" s="1"/>
  <c r="S278" i="13" a="1"/>
  <c r="S278" i="13" s="1"/>
  <c r="S279" i="13" a="1"/>
  <c r="S279" i="13" s="1"/>
  <c r="S280" i="13" a="1"/>
  <c r="S280" i="13" s="1"/>
  <c r="S281" i="13" a="1"/>
  <c r="S281" i="13" s="1"/>
  <c r="S282" i="13" a="1"/>
  <c r="S282" i="13" s="1"/>
  <c r="S283" i="13" a="1"/>
  <c r="S283" i="13" s="1"/>
  <c r="S284" i="13" a="1"/>
  <c r="S284" i="13" s="1"/>
  <c r="S285" i="13" a="1"/>
  <c r="S285" i="13" s="1"/>
  <c r="S286" i="13" a="1"/>
  <c r="S286" i="13" s="1"/>
  <c r="S287" i="13" a="1"/>
  <c r="S287" i="13" s="1"/>
  <c r="S288" i="13" a="1"/>
  <c r="S288" i="13" s="1"/>
  <c r="S289" i="13" a="1"/>
  <c r="S289" i="13" s="1"/>
  <c r="S290" i="13" a="1"/>
  <c r="S290" i="13" s="1"/>
  <c r="S291" i="13" a="1"/>
  <c r="S291" i="13" s="1"/>
  <c r="S292" i="13" a="1"/>
  <c r="S292" i="13" s="1"/>
  <c r="S293" i="13" a="1"/>
  <c r="S293" i="13" s="1"/>
  <c r="S294" i="13" a="1"/>
  <c r="S294" i="13" s="1"/>
  <c r="S295" i="13" a="1"/>
  <c r="S295" i="13" s="1"/>
  <c r="S296" i="13" a="1"/>
  <c r="S296" i="13" s="1"/>
  <c r="S297" i="13" a="1"/>
  <c r="S297" i="13" s="1"/>
  <c r="S298" i="13" a="1"/>
  <c r="S298" i="13" s="1"/>
  <c r="S299" i="13" a="1"/>
  <c r="S299" i="13" s="1"/>
  <c r="S300" i="13" a="1"/>
  <c r="S300" i="13" s="1"/>
  <c r="S301" i="13" a="1"/>
  <c r="S301" i="13" s="1"/>
  <c r="S302" i="13" a="1"/>
  <c r="S302" i="13" s="1"/>
  <c r="S303" i="13" a="1"/>
  <c r="S303" i="13" s="1"/>
  <c r="S304" i="13" a="1"/>
  <c r="S304" i="13" s="1"/>
  <c r="S305" i="13" a="1"/>
  <c r="S305" i="13" s="1"/>
  <c r="S306" i="13" a="1"/>
  <c r="S306" i="13" s="1"/>
  <c r="S307" i="13" a="1"/>
  <c r="S307" i="13" s="1"/>
  <c r="S308" i="13" a="1"/>
  <c r="S308" i="13" s="1"/>
  <c r="S309" i="13" a="1"/>
  <c r="S309" i="13" s="1"/>
  <c r="S310" i="13" a="1"/>
  <c r="S310" i="13" s="1"/>
  <c r="S311" i="13" a="1"/>
  <c r="S311" i="13" s="1"/>
  <c r="S312" i="13" a="1"/>
  <c r="S312" i="13" s="1"/>
  <c r="S313" i="13" a="1"/>
  <c r="S313" i="13" s="1"/>
  <c r="S314" i="13" a="1"/>
  <c r="S314" i="13" s="1"/>
  <c r="S315" i="13" a="1"/>
  <c r="S315" i="13" s="1"/>
  <c r="S316" i="13" a="1"/>
  <c r="S316" i="13" s="1"/>
  <c r="S317" i="13" a="1"/>
  <c r="S317" i="13" s="1"/>
  <c r="S318" i="13" a="1"/>
  <c r="S318" i="13" s="1"/>
  <c r="S319" i="13" a="1"/>
  <c r="S319" i="13" s="1"/>
  <c r="S320" i="13" a="1"/>
  <c r="S320" i="13" s="1"/>
  <c r="S321" i="13" a="1"/>
  <c r="S321" i="13" s="1"/>
  <c r="S322" i="13" a="1"/>
  <c r="S322" i="13" s="1"/>
  <c r="S323" i="13" a="1"/>
  <c r="S323" i="13" s="1"/>
  <c r="S324" i="13" a="1"/>
  <c r="S324" i="13" s="1"/>
  <c r="S325" i="13" a="1"/>
  <c r="S325" i="13" s="1"/>
  <c r="S326" i="13" a="1"/>
  <c r="S326" i="13" s="1"/>
  <c r="S327" i="13" a="1"/>
  <c r="S327" i="13" s="1"/>
  <c r="S328" i="13" a="1"/>
  <c r="S328" i="13" s="1"/>
  <c r="S329" i="13" a="1"/>
  <c r="S329" i="13" s="1"/>
  <c r="S330" i="13" a="1"/>
  <c r="S330" i="13" s="1"/>
  <c r="S331" i="13" a="1"/>
  <c r="S331" i="13" s="1"/>
  <c r="S332" i="13" a="1"/>
  <c r="S332" i="13" s="1"/>
  <c r="S333" i="13" a="1"/>
  <c r="S333" i="13" s="1"/>
  <c r="S334" i="13" a="1"/>
  <c r="S334" i="13" s="1"/>
  <c r="S335" i="13" a="1"/>
  <c r="S335" i="13" s="1"/>
  <c r="S336" i="13" a="1"/>
  <c r="S336" i="13" s="1"/>
  <c r="S337" i="13" a="1"/>
  <c r="S337" i="13" s="1"/>
  <c r="S338" i="13" a="1"/>
  <c r="S338" i="13" s="1"/>
  <c r="S339" i="13" a="1"/>
  <c r="S339" i="13" s="1"/>
  <c r="S340" i="13" a="1"/>
  <c r="S340" i="13" s="1"/>
  <c r="S341" i="13" a="1"/>
  <c r="S341" i="13" s="1"/>
  <c r="S342" i="13" a="1"/>
  <c r="S342" i="13" s="1"/>
  <c r="S343" i="13" a="1"/>
  <c r="S343" i="13" s="1"/>
  <c r="S344" i="13" a="1"/>
  <c r="S344" i="13" s="1"/>
  <c r="S345" i="13" a="1"/>
  <c r="S345" i="13" s="1"/>
  <c r="S346" i="13" a="1"/>
  <c r="S346" i="13" s="1"/>
  <c r="S347" i="13" a="1"/>
  <c r="S347" i="13" s="1"/>
  <c r="S348" i="13" a="1"/>
  <c r="S348" i="13" s="1"/>
  <c r="S349" i="13" a="1"/>
  <c r="S349" i="13" s="1"/>
  <c r="S350" i="13" a="1"/>
  <c r="S350" i="13" s="1"/>
  <c r="S351" i="13" a="1"/>
  <c r="S351" i="13" s="1"/>
  <c r="S352" i="13" a="1"/>
  <c r="S352" i="13" s="1"/>
  <c r="S353" i="13" a="1"/>
  <c r="S353" i="13" s="1"/>
  <c r="S354" i="13" a="1"/>
  <c r="S354" i="13" s="1"/>
  <c r="S355" i="13" a="1"/>
  <c r="S355" i="13" s="1"/>
  <c r="S356" i="13" a="1"/>
  <c r="S356" i="13" s="1"/>
  <c r="S357" i="13" a="1"/>
  <c r="S357" i="13" s="1"/>
  <c r="S358" i="13" a="1"/>
  <c r="S358" i="13" s="1"/>
  <c r="S359" i="13" a="1"/>
  <c r="S359" i="13" s="1"/>
  <c r="S360" i="13" a="1"/>
  <c r="S360" i="13" s="1"/>
  <c r="S361" i="13" a="1"/>
  <c r="S361" i="13" s="1"/>
  <c r="S362" i="13" a="1"/>
  <c r="S362" i="13" s="1"/>
  <c r="S363" i="13" a="1"/>
  <c r="S363" i="13" s="1"/>
  <c r="S364" i="13" a="1"/>
  <c r="S364" i="13" s="1"/>
  <c r="S365" i="13" a="1"/>
  <c r="S365" i="13" s="1"/>
  <c r="S366" i="13" a="1"/>
  <c r="S366" i="13" s="1"/>
  <c r="S367" i="13" a="1"/>
  <c r="S367" i="13" s="1"/>
  <c r="S368" i="13" a="1"/>
  <c r="S368" i="13" s="1"/>
  <c r="S369" i="13" a="1"/>
  <c r="S369" i="13" s="1"/>
  <c r="S370" i="13" a="1"/>
  <c r="S370" i="13" s="1"/>
  <c r="S371" i="13" a="1"/>
  <c r="S371" i="13" s="1"/>
  <c r="S372" i="13" a="1"/>
  <c r="S372" i="13" s="1"/>
  <c r="S373" i="13" a="1"/>
  <c r="S373" i="13" s="1"/>
  <c r="S374" i="13" a="1"/>
  <c r="S374" i="13" s="1"/>
  <c r="S375" i="13" a="1"/>
  <c r="S375" i="13" s="1"/>
  <c r="S376" i="13" a="1"/>
  <c r="S376" i="13" s="1"/>
  <c r="S377" i="13" a="1"/>
  <c r="S377" i="13" s="1"/>
  <c r="S378" i="13" a="1"/>
  <c r="S378" i="13" s="1"/>
  <c r="S379" i="13" a="1"/>
  <c r="S379" i="13" s="1"/>
  <c r="S380" i="13" a="1"/>
  <c r="S380" i="13" s="1"/>
  <c r="S381" i="13" a="1"/>
  <c r="S381" i="13" s="1"/>
  <c r="S382" i="13" a="1"/>
  <c r="S382" i="13" s="1"/>
  <c r="S383" i="13" a="1"/>
  <c r="S383" i="13" s="1"/>
  <c r="S384" i="13" a="1"/>
  <c r="S384" i="13" s="1"/>
  <c r="S385" i="13" a="1"/>
  <c r="S385" i="13" s="1"/>
  <c r="S386" i="13" a="1"/>
  <c r="S386" i="13" s="1"/>
  <c r="S387" i="13" a="1"/>
  <c r="S387" i="13" s="1"/>
  <c r="S388" i="13" a="1"/>
  <c r="S388" i="13" s="1"/>
  <c r="S389" i="13" a="1"/>
  <c r="S389" i="13" s="1"/>
  <c r="S6" i="13" a="1"/>
  <c r="S6" i="13" s="1"/>
  <c r="R7" i="13" a="1"/>
  <c r="R7" i="13" s="1"/>
  <c r="R8" i="13" a="1"/>
  <c r="R8" i="13" s="1"/>
  <c r="R9" i="13" a="1"/>
  <c r="R9" i="13" s="1"/>
  <c r="R10" i="13" a="1"/>
  <c r="R10" i="13" s="1"/>
  <c r="R11" i="13" a="1"/>
  <c r="R11" i="13" s="1"/>
  <c r="R12" i="13" a="1"/>
  <c r="R12" i="13" s="1"/>
  <c r="R13" i="13" a="1"/>
  <c r="R13" i="13" s="1"/>
  <c r="R14" i="13" a="1"/>
  <c r="R14" i="13" s="1"/>
  <c r="R15" i="13" a="1"/>
  <c r="R15" i="13" s="1"/>
  <c r="R16" i="13" a="1"/>
  <c r="R16" i="13" s="1"/>
  <c r="R17" i="13" a="1"/>
  <c r="R17" i="13" s="1"/>
  <c r="R18" i="13" a="1"/>
  <c r="R18" i="13" s="1"/>
  <c r="R19" i="13" a="1"/>
  <c r="R19" i="13" s="1"/>
  <c r="R20" i="13" a="1"/>
  <c r="R20" i="13" s="1"/>
  <c r="R21" i="13" a="1"/>
  <c r="R21" i="13" s="1"/>
  <c r="R22" i="13" a="1"/>
  <c r="R22" i="13" s="1"/>
  <c r="R23" i="13" a="1"/>
  <c r="R23" i="13" s="1"/>
  <c r="R24" i="13" a="1"/>
  <c r="R24" i="13" s="1"/>
  <c r="R25" i="13" a="1"/>
  <c r="R25" i="13" s="1"/>
  <c r="R26" i="13" a="1"/>
  <c r="R26" i="13" s="1"/>
  <c r="R27" i="13" a="1"/>
  <c r="R27" i="13" s="1"/>
  <c r="R28" i="13" a="1"/>
  <c r="R28" i="13" s="1"/>
  <c r="R29" i="13" a="1"/>
  <c r="R29" i="13" s="1"/>
  <c r="R30" i="13" a="1"/>
  <c r="R30" i="13" s="1"/>
  <c r="R31" i="13" a="1"/>
  <c r="R31" i="13" s="1"/>
  <c r="R32" i="13" a="1"/>
  <c r="R32" i="13" s="1"/>
  <c r="R33" i="13" a="1"/>
  <c r="R33" i="13" s="1"/>
  <c r="R34" i="13" a="1"/>
  <c r="R34" i="13" s="1"/>
  <c r="R35" i="13" a="1"/>
  <c r="R35" i="13" s="1"/>
  <c r="R36" i="13" a="1"/>
  <c r="R36" i="13" s="1"/>
  <c r="R37" i="13" a="1"/>
  <c r="R37" i="13" s="1"/>
  <c r="R38" i="13" a="1"/>
  <c r="R38" i="13" s="1"/>
  <c r="R39" i="13" a="1"/>
  <c r="R39" i="13" s="1"/>
  <c r="R40" i="13" a="1"/>
  <c r="R40" i="13" s="1"/>
  <c r="R41" i="13" a="1"/>
  <c r="R41" i="13" s="1"/>
  <c r="R42" i="13" a="1"/>
  <c r="R42" i="13" s="1"/>
  <c r="R43" i="13" a="1"/>
  <c r="R43" i="13" s="1"/>
  <c r="R44" i="13" a="1"/>
  <c r="R44" i="13" s="1"/>
  <c r="R45" i="13" a="1"/>
  <c r="R45" i="13" s="1"/>
  <c r="R46" i="13" a="1"/>
  <c r="R46" i="13" s="1"/>
  <c r="R47" i="13" a="1"/>
  <c r="R47" i="13" s="1"/>
  <c r="R48" i="13" a="1"/>
  <c r="R48" i="13" s="1"/>
  <c r="R49" i="13" a="1"/>
  <c r="R49" i="13" s="1"/>
  <c r="R50" i="13" a="1"/>
  <c r="R50" i="13" s="1"/>
  <c r="R51" i="13" a="1"/>
  <c r="R51" i="13" s="1"/>
  <c r="R52" i="13" a="1"/>
  <c r="R52" i="13" s="1"/>
  <c r="R53" i="13" a="1"/>
  <c r="R53" i="13" s="1"/>
  <c r="R54" i="13" a="1"/>
  <c r="R54" i="13" s="1"/>
  <c r="R55" i="13" a="1"/>
  <c r="R55" i="13" s="1"/>
  <c r="R56" i="13" a="1"/>
  <c r="R56" i="13" s="1"/>
  <c r="R57" i="13" a="1"/>
  <c r="R57" i="13" s="1"/>
  <c r="R58" i="13" a="1"/>
  <c r="R58" i="13" s="1"/>
  <c r="R59" i="13" a="1"/>
  <c r="R59" i="13" s="1"/>
  <c r="R60" i="13" a="1"/>
  <c r="R60" i="13" s="1"/>
  <c r="R61" i="13" a="1"/>
  <c r="R61" i="13" s="1"/>
  <c r="R62" i="13" a="1"/>
  <c r="R62" i="13" s="1"/>
  <c r="R63" i="13" a="1"/>
  <c r="R63" i="13" s="1"/>
  <c r="R64" i="13" a="1"/>
  <c r="R64" i="13" s="1"/>
  <c r="R65" i="13" a="1"/>
  <c r="R65" i="13" s="1"/>
  <c r="R66" i="13" a="1"/>
  <c r="R66" i="13" s="1"/>
  <c r="R67" i="13" a="1"/>
  <c r="R67" i="13" s="1"/>
  <c r="R68" i="13" a="1"/>
  <c r="R68" i="13" s="1"/>
  <c r="R69" i="13" a="1"/>
  <c r="R69" i="13" s="1"/>
  <c r="R70" i="13" a="1"/>
  <c r="R70" i="13" s="1"/>
  <c r="R71" i="13" a="1"/>
  <c r="R71" i="13" s="1"/>
  <c r="R72" i="13" a="1"/>
  <c r="R72" i="13" s="1"/>
  <c r="R73" i="13" a="1"/>
  <c r="R73" i="13" s="1"/>
  <c r="R74" i="13" a="1"/>
  <c r="R74" i="13" s="1"/>
  <c r="R75" i="13" a="1"/>
  <c r="R75" i="13" s="1"/>
  <c r="R76" i="13" a="1"/>
  <c r="R76" i="13" s="1"/>
  <c r="R77" i="13" a="1"/>
  <c r="R77" i="13" s="1"/>
  <c r="R78" i="13" a="1"/>
  <c r="R78" i="13" s="1"/>
  <c r="R79" i="13" a="1"/>
  <c r="R79" i="13" s="1"/>
  <c r="R80" i="13" a="1"/>
  <c r="R80" i="13" s="1"/>
  <c r="R81" i="13" a="1"/>
  <c r="R81" i="13" s="1"/>
  <c r="R82" i="13" a="1"/>
  <c r="R82" i="13" s="1"/>
  <c r="R83" i="13" a="1"/>
  <c r="R83" i="13" s="1"/>
  <c r="R84" i="13" a="1"/>
  <c r="R84" i="13" s="1"/>
  <c r="R85" i="13" a="1"/>
  <c r="R85" i="13" s="1"/>
  <c r="R86" i="13" a="1"/>
  <c r="R86" i="13" s="1"/>
  <c r="R87" i="13" a="1"/>
  <c r="R87" i="13" s="1"/>
  <c r="R88" i="13" a="1"/>
  <c r="R88" i="13" s="1"/>
  <c r="R89" i="13" a="1"/>
  <c r="R89" i="13" s="1"/>
  <c r="R90" i="13" a="1"/>
  <c r="R90" i="13" s="1"/>
  <c r="R91" i="13" a="1"/>
  <c r="R91" i="13" s="1"/>
  <c r="R92" i="13" a="1"/>
  <c r="R92" i="13" s="1"/>
  <c r="R93" i="13" a="1"/>
  <c r="R93" i="13" s="1"/>
  <c r="R94" i="13" a="1"/>
  <c r="R94" i="13" s="1"/>
  <c r="R95" i="13" a="1"/>
  <c r="R95" i="13" s="1"/>
  <c r="R96" i="13" a="1"/>
  <c r="R96" i="13" s="1"/>
  <c r="R97" i="13" a="1"/>
  <c r="R97" i="13" s="1"/>
  <c r="R98" i="13" a="1"/>
  <c r="R98" i="13" s="1"/>
  <c r="R99" i="13" a="1"/>
  <c r="R99" i="13" s="1"/>
  <c r="R100" i="13" a="1"/>
  <c r="R100" i="13" s="1"/>
  <c r="R101" i="13" a="1"/>
  <c r="R101" i="13" s="1"/>
  <c r="R102" i="13" a="1"/>
  <c r="R102" i="13" s="1"/>
  <c r="R103" i="13" a="1"/>
  <c r="R103" i="13" s="1"/>
  <c r="R104" i="13" a="1"/>
  <c r="R104" i="13" s="1"/>
  <c r="R105" i="13" a="1"/>
  <c r="R105" i="13" s="1"/>
  <c r="R106" i="13" a="1"/>
  <c r="R106" i="13" s="1"/>
  <c r="R107" i="13" a="1"/>
  <c r="R107" i="13" s="1"/>
  <c r="R108" i="13" a="1"/>
  <c r="R108" i="13" s="1"/>
  <c r="R109" i="13" a="1"/>
  <c r="R109" i="13" s="1"/>
  <c r="R110" i="13" a="1"/>
  <c r="R110" i="13" s="1"/>
  <c r="R111" i="13" a="1"/>
  <c r="R111" i="13" s="1"/>
  <c r="R112" i="13" a="1"/>
  <c r="R112" i="13" s="1"/>
  <c r="R113" i="13" a="1"/>
  <c r="R113" i="13" s="1"/>
  <c r="R114" i="13" a="1"/>
  <c r="R114" i="13" s="1"/>
  <c r="R115" i="13" a="1"/>
  <c r="R115" i="13" s="1"/>
  <c r="R116" i="13" a="1"/>
  <c r="R116" i="13" s="1"/>
  <c r="R117" i="13" a="1"/>
  <c r="R117" i="13" s="1"/>
  <c r="R118" i="13" a="1"/>
  <c r="R118" i="13" s="1"/>
  <c r="R119" i="13" a="1"/>
  <c r="R119" i="13" s="1"/>
  <c r="R120" i="13" a="1"/>
  <c r="R120" i="13" s="1"/>
  <c r="R121" i="13" a="1"/>
  <c r="R121" i="13" s="1"/>
  <c r="R122" i="13" a="1"/>
  <c r="R122" i="13" s="1"/>
  <c r="R123" i="13" a="1"/>
  <c r="R123" i="13" s="1"/>
  <c r="R124" i="13" a="1"/>
  <c r="R124" i="13" s="1"/>
  <c r="R125" i="13" a="1"/>
  <c r="R125" i="13" s="1"/>
  <c r="R126" i="13" a="1"/>
  <c r="R126" i="13" s="1"/>
  <c r="R127" i="13" a="1"/>
  <c r="R127" i="13" s="1"/>
  <c r="R128" i="13" a="1"/>
  <c r="R128" i="13" s="1"/>
  <c r="R129" i="13" a="1"/>
  <c r="R129" i="13" s="1"/>
  <c r="R130" i="13" a="1"/>
  <c r="R130" i="13" s="1"/>
  <c r="R131" i="13" a="1"/>
  <c r="R131" i="13" s="1"/>
  <c r="R132" i="13" a="1"/>
  <c r="R132" i="13" s="1"/>
  <c r="R133" i="13" a="1"/>
  <c r="R133" i="13" s="1"/>
  <c r="R134" i="13" a="1"/>
  <c r="R134" i="13" s="1"/>
  <c r="R135" i="13" a="1"/>
  <c r="R135" i="13" s="1"/>
  <c r="R136" i="13" a="1"/>
  <c r="R136" i="13" s="1"/>
  <c r="R137" i="13" a="1"/>
  <c r="R137" i="13" s="1"/>
  <c r="R138" i="13" a="1"/>
  <c r="R138" i="13" s="1"/>
  <c r="R139" i="13" a="1"/>
  <c r="R139" i="13" s="1"/>
  <c r="R140" i="13" a="1"/>
  <c r="R140" i="13" s="1"/>
  <c r="R141" i="13" a="1"/>
  <c r="R141" i="13" s="1"/>
  <c r="R142" i="13" a="1"/>
  <c r="R142" i="13" s="1"/>
  <c r="R143" i="13" a="1"/>
  <c r="R143" i="13" s="1"/>
  <c r="R144" i="13" a="1"/>
  <c r="R144" i="13" s="1"/>
  <c r="R145" i="13" a="1"/>
  <c r="R145" i="13" s="1"/>
  <c r="R146" i="13" a="1"/>
  <c r="R146" i="13" s="1"/>
  <c r="R147" i="13" a="1"/>
  <c r="R147" i="13" s="1"/>
  <c r="R148" i="13" a="1"/>
  <c r="R148" i="13" s="1"/>
  <c r="R149" i="13" a="1"/>
  <c r="R149" i="13" s="1"/>
  <c r="R150" i="13" a="1"/>
  <c r="R150" i="13" s="1"/>
  <c r="R151" i="13" a="1"/>
  <c r="R151" i="13" s="1"/>
  <c r="R152" i="13" a="1"/>
  <c r="R152" i="13" s="1"/>
  <c r="R153" i="13" a="1"/>
  <c r="R153" i="13" s="1"/>
  <c r="R154" i="13" a="1"/>
  <c r="R154" i="13" s="1"/>
  <c r="R155" i="13" a="1"/>
  <c r="R155" i="13" s="1"/>
  <c r="R156" i="13" a="1"/>
  <c r="R156" i="13" s="1"/>
  <c r="R157" i="13" a="1"/>
  <c r="R157" i="13" s="1"/>
  <c r="R158" i="13" a="1"/>
  <c r="R158" i="13" s="1"/>
  <c r="R159" i="13" a="1"/>
  <c r="R159" i="13" s="1"/>
  <c r="R160" i="13" a="1"/>
  <c r="R160" i="13" s="1"/>
  <c r="R161" i="13" a="1"/>
  <c r="R161" i="13" s="1"/>
  <c r="R162" i="13" a="1"/>
  <c r="R162" i="13" s="1"/>
  <c r="R163" i="13" a="1"/>
  <c r="R163" i="13" s="1"/>
  <c r="R164" i="13" a="1"/>
  <c r="R164" i="13" s="1"/>
  <c r="R165" i="13" a="1"/>
  <c r="R165" i="13" s="1"/>
  <c r="R166" i="13" a="1"/>
  <c r="R166" i="13" s="1"/>
  <c r="R167" i="13" a="1"/>
  <c r="R167" i="13" s="1"/>
  <c r="R168" i="13" a="1"/>
  <c r="R168" i="13" s="1"/>
  <c r="R169" i="13" a="1"/>
  <c r="R169" i="13" s="1"/>
  <c r="R170" i="13" a="1"/>
  <c r="R170" i="13" s="1"/>
  <c r="R171" i="13" a="1"/>
  <c r="R171" i="13" s="1"/>
  <c r="R172" i="13" a="1"/>
  <c r="R172" i="13" s="1"/>
  <c r="R173" i="13" a="1"/>
  <c r="R173" i="13" s="1"/>
  <c r="R174" i="13" a="1"/>
  <c r="R174" i="13" s="1"/>
  <c r="R175" i="13" a="1"/>
  <c r="R175" i="13" s="1"/>
  <c r="R176" i="13" a="1"/>
  <c r="R176" i="13" s="1"/>
  <c r="R177" i="13" a="1"/>
  <c r="R177" i="13" s="1"/>
  <c r="R178" i="13" a="1"/>
  <c r="R178" i="13" s="1"/>
  <c r="R179" i="13" a="1"/>
  <c r="R179" i="13" s="1"/>
  <c r="R180" i="13" a="1"/>
  <c r="R180" i="13" s="1"/>
  <c r="R181" i="13" a="1"/>
  <c r="R181" i="13" s="1"/>
  <c r="R182" i="13" a="1"/>
  <c r="R182" i="13" s="1"/>
  <c r="R183" i="13" a="1"/>
  <c r="R183" i="13" s="1"/>
  <c r="R184" i="13" a="1"/>
  <c r="R184" i="13" s="1"/>
  <c r="R185" i="13" a="1"/>
  <c r="R185" i="13" s="1"/>
  <c r="R186" i="13" a="1"/>
  <c r="R186" i="13" s="1"/>
  <c r="R187" i="13" a="1"/>
  <c r="R187" i="13" s="1"/>
  <c r="R188" i="13" a="1"/>
  <c r="R188" i="13" s="1"/>
  <c r="R189" i="13" a="1"/>
  <c r="R189" i="13" s="1"/>
  <c r="R190" i="13" a="1"/>
  <c r="R190" i="13" s="1"/>
  <c r="R191" i="13" a="1"/>
  <c r="R191" i="13" s="1"/>
  <c r="R192" i="13" a="1"/>
  <c r="R192" i="13" s="1"/>
  <c r="R193" i="13" a="1"/>
  <c r="R193" i="13" s="1"/>
  <c r="R194" i="13" a="1"/>
  <c r="R194" i="13" s="1"/>
  <c r="R195" i="13" a="1"/>
  <c r="R195" i="13" s="1"/>
  <c r="R196" i="13" a="1"/>
  <c r="R196" i="13" s="1"/>
  <c r="R197" i="13" a="1"/>
  <c r="R197" i="13" s="1"/>
  <c r="R198" i="13" a="1"/>
  <c r="R198" i="13" s="1"/>
  <c r="R199" i="13" a="1"/>
  <c r="R199" i="13" s="1"/>
  <c r="R200" i="13" a="1"/>
  <c r="R200" i="13" s="1"/>
  <c r="R201" i="13" a="1"/>
  <c r="R201" i="13" s="1"/>
  <c r="R202" i="13" a="1"/>
  <c r="R202" i="13" s="1"/>
  <c r="R203" i="13" a="1"/>
  <c r="R203" i="13" s="1"/>
  <c r="R204" i="13" a="1"/>
  <c r="R204" i="13" s="1"/>
  <c r="R205" i="13" a="1"/>
  <c r="R205" i="13" s="1"/>
  <c r="R206" i="13" a="1"/>
  <c r="R206" i="13" s="1"/>
  <c r="R207" i="13" a="1"/>
  <c r="R207" i="13" s="1"/>
  <c r="R208" i="13" a="1"/>
  <c r="R208" i="13" s="1"/>
  <c r="R209" i="13" a="1"/>
  <c r="R209" i="13" s="1"/>
  <c r="R210" i="13" a="1"/>
  <c r="R210" i="13" s="1"/>
  <c r="R211" i="13" a="1"/>
  <c r="R211" i="13" s="1"/>
  <c r="R212" i="13" a="1"/>
  <c r="R212" i="13" s="1"/>
  <c r="R213" i="13" a="1"/>
  <c r="R213" i="13" s="1"/>
  <c r="R214" i="13" a="1"/>
  <c r="R214" i="13" s="1"/>
  <c r="R215" i="13" a="1"/>
  <c r="R215" i="13" s="1"/>
  <c r="R216" i="13" a="1"/>
  <c r="R216" i="13" s="1"/>
  <c r="R217" i="13" a="1"/>
  <c r="R217" i="13" s="1"/>
  <c r="R218" i="13" a="1"/>
  <c r="R218" i="13" s="1"/>
  <c r="R219" i="13" a="1"/>
  <c r="R219" i="13" s="1"/>
  <c r="R220" i="13" a="1"/>
  <c r="R220" i="13" s="1"/>
  <c r="R221" i="13" a="1"/>
  <c r="R221" i="13" s="1"/>
  <c r="R222" i="13" a="1"/>
  <c r="R222" i="13" s="1"/>
  <c r="R223" i="13" a="1"/>
  <c r="R223" i="13" s="1"/>
  <c r="R224" i="13" a="1"/>
  <c r="R224" i="13" s="1"/>
  <c r="R225" i="13" a="1"/>
  <c r="R225" i="13" s="1"/>
  <c r="R226" i="13" a="1"/>
  <c r="R226" i="13" s="1"/>
  <c r="R227" i="13" a="1"/>
  <c r="R227" i="13" s="1"/>
  <c r="R228" i="13" a="1"/>
  <c r="R228" i="13" s="1"/>
  <c r="R229" i="13" a="1"/>
  <c r="R229" i="13" s="1"/>
  <c r="R230" i="13" a="1"/>
  <c r="R230" i="13" s="1"/>
  <c r="R231" i="13" a="1"/>
  <c r="R231" i="13" s="1"/>
  <c r="R232" i="13" a="1"/>
  <c r="R232" i="13" s="1"/>
  <c r="R233" i="13" a="1"/>
  <c r="R233" i="13" s="1"/>
  <c r="R234" i="13" a="1"/>
  <c r="R234" i="13" s="1"/>
  <c r="R235" i="13" a="1"/>
  <c r="R235" i="13" s="1"/>
  <c r="R236" i="13" a="1"/>
  <c r="R236" i="13" s="1"/>
  <c r="R237" i="13" a="1"/>
  <c r="R237" i="13" s="1"/>
  <c r="R238" i="13" a="1"/>
  <c r="R238" i="13" s="1"/>
  <c r="R239" i="13" a="1"/>
  <c r="R239" i="13" s="1"/>
  <c r="R240" i="13" a="1"/>
  <c r="R240" i="13" s="1"/>
  <c r="R241" i="13" a="1"/>
  <c r="R241" i="13" s="1"/>
  <c r="R242" i="13" a="1"/>
  <c r="R242" i="13" s="1"/>
  <c r="R243" i="13" a="1"/>
  <c r="R243" i="13" s="1"/>
  <c r="R244" i="13" a="1"/>
  <c r="R244" i="13" s="1"/>
  <c r="R245" i="13" a="1"/>
  <c r="R245" i="13" s="1"/>
  <c r="R246" i="13" a="1"/>
  <c r="R246" i="13" s="1"/>
  <c r="R247" i="13" a="1"/>
  <c r="R247" i="13" s="1"/>
  <c r="R248" i="13" a="1"/>
  <c r="R248" i="13" s="1"/>
  <c r="R249" i="13" a="1"/>
  <c r="R249" i="13" s="1"/>
  <c r="R250" i="13" a="1"/>
  <c r="R250" i="13" s="1"/>
  <c r="R251" i="13" a="1"/>
  <c r="R251" i="13" s="1"/>
  <c r="R252" i="13" a="1"/>
  <c r="R252" i="13" s="1"/>
  <c r="R253" i="13" a="1"/>
  <c r="R253" i="13" s="1"/>
  <c r="R254" i="13" a="1"/>
  <c r="R254" i="13" s="1"/>
  <c r="R255" i="13" a="1"/>
  <c r="R255" i="13" s="1"/>
  <c r="R256" i="13" a="1"/>
  <c r="R256" i="13" s="1"/>
  <c r="R257" i="13" a="1"/>
  <c r="R257" i="13" s="1"/>
  <c r="R258" i="13" a="1"/>
  <c r="R258" i="13" s="1"/>
  <c r="R259" i="13" a="1"/>
  <c r="R259" i="13" s="1"/>
  <c r="R260" i="13" a="1"/>
  <c r="R260" i="13" s="1"/>
  <c r="R261" i="13" a="1"/>
  <c r="R261" i="13" s="1"/>
  <c r="R262" i="13" a="1"/>
  <c r="R262" i="13" s="1"/>
  <c r="R263" i="13" a="1"/>
  <c r="R263" i="13" s="1"/>
  <c r="R264" i="13" a="1"/>
  <c r="R264" i="13" s="1"/>
  <c r="R265" i="13" a="1"/>
  <c r="R265" i="13" s="1"/>
  <c r="R266" i="13" a="1"/>
  <c r="R266" i="13" s="1"/>
  <c r="R267" i="13" a="1"/>
  <c r="R267" i="13" s="1"/>
  <c r="R268" i="13" a="1"/>
  <c r="R268" i="13" s="1"/>
  <c r="R269" i="13" a="1"/>
  <c r="R269" i="13" s="1"/>
  <c r="R270" i="13" a="1"/>
  <c r="R270" i="13" s="1"/>
  <c r="R271" i="13" a="1"/>
  <c r="R271" i="13" s="1"/>
  <c r="R272" i="13" a="1"/>
  <c r="R272" i="13" s="1"/>
  <c r="R273" i="13" a="1"/>
  <c r="R273" i="13" s="1"/>
  <c r="R274" i="13" a="1"/>
  <c r="R274" i="13" s="1"/>
  <c r="R275" i="13" a="1"/>
  <c r="R275" i="13" s="1"/>
  <c r="R276" i="13" a="1"/>
  <c r="R276" i="13" s="1"/>
  <c r="R277" i="13" a="1"/>
  <c r="R277" i="13" s="1"/>
  <c r="R278" i="13" a="1"/>
  <c r="R278" i="13" s="1"/>
  <c r="R279" i="13" a="1"/>
  <c r="R279" i="13" s="1"/>
  <c r="R280" i="13" a="1"/>
  <c r="R280" i="13" s="1"/>
  <c r="R281" i="13" a="1"/>
  <c r="R281" i="13" s="1"/>
  <c r="R282" i="13" a="1"/>
  <c r="R282" i="13" s="1"/>
  <c r="R283" i="13" a="1"/>
  <c r="R283" i="13" s="1"/>
  <c r="R284" i="13" a="1"/>
  <c r="R284" i="13" s="1"/>
  <c r="R285" i="13" a="1"/>
  <c r="R285" i="13" s="1"/>
  <c r="R286" i="13" a="1"/>
  <c r="R286" i="13" s="1"/>
  <c r="R287" i="13" a="1"/>
  <c r="R287" i="13" s="1"/>
  <c r="R288" i="13" a="1"/>
  <c r="R288" i="13" s="1"/>
  <c r="R289" i="13" a="1"/>
  <c r="R289" i="13" s="1"/>
  <c r="R290" i="13" a="1"/>
  <c r="R290" i="13" s="1"/>
  <c r="R291" i="13" a="1"/>
  <c r="R291" i="13" s="1"/>
  <c r="R292" i="13" a="1"/>
  <c r="R292" i="13" s="1"/>
  <c r="R293" i="13" a="1"/>
  <c r="R293" i="13" s="1"/>
  <c r="R294" i="13" a="1"/>
  <c r="R294" i="13" s="1"/>
  <c r="R295" i="13" a="1"/>
  <c r="R295" i="13" s="1"/>
  <c r="R296" i="13" a="1"/>
  <c r="R296" i="13" s="1"/>
  <c r="R297" i="13" a="1"/>
  <c r="R297" i="13" s="1"/>
  <c r="R298" i="13" a="1"/>
  <c r="R298" i="13" s="1"/>
  <c r="R299" i="13" a="1"/>
  <c r="R299" i="13" s="1"/>
  <c r="R300" i="13" a="1"/>
  <c r="R300" i="13" s="1"/>
  <c r="R301" i="13" a="1"/>
  <c r="R301" i="13" s="1"/>
  <c r="R302" i="13" a="1"/>
  <c r="R302" i="13" s="1"/>
  <c r="R303" i="13" a="1"/>
  <c r="R303" i="13" s="1"/>
  <c r="R304" i="13" a="1"/>
  <c r="R304" i="13" s="1"/>
  <c r="R305" i="13" a="1"/>
  <c r="R305" i="13" s="1"/>
  <c r="R306" i="13" a="1"/>
  <c r="R306" i="13" s="1"/>
  <c r="R307" i="13" a="1"/>
  <c r="R307" i="13" s="1"/>
  <c r="R308" i="13" a="1"/>
  <c r="R308" i="13" s="1"/>
  <c r="R309" i="13" a="1"/>
  <c r="R309" i="13" s="1"/>
  <c r="R310" i="13" a="1"/>
  <c r="R310" i="13" s="1"/>
  <c r="R311" i="13" a="1"/>
  <c r="R311" i="13" s="1"/>
  <c r="R312" i="13" a="1"/>
  <c r="R312" i="13" s="1"/>
  <c r="R313" i="13" a="1"/>
  <c r="R313" i="13" s="1"/>
  <c r="R314" i="13" a="1"/>
  <c r="R314" i="13" s="1"/>
  <c r="R315" i="13" a="1"/>
  <c r="R315" i="13" s="1"/>
  <c r="R316" i="13" a="1"/>
  <c r="R316" i="13" s="1"/>
  <c r="R317" i="13" a="1"/>
  <c r="R317" i="13" s="1"/>
  <c r="R318" i="13" a="1"/>
  <c r="R318" i="13" s="1"/>
  <c r="R319" i="13" a="1"/>
  <c r="R319" i="13" s="1"/>
  <c r="R320" i="13" a="1"/>
  <c r="R320" i="13" s="1"/>
  <c r="R321" i="13" a="1"/>
  <c r="R321" i="13" s="1"/>
  <c r="R322" i="13" a="1"/>
  <c r="R322" i="13" s="1"/>
  <c r="R323" i="13" a="1"/>
  <c r="R323" i="13" s="1"/>
  <c r="R324" i="13" a="1"/>
  <c r="R324" i="13" s="1"/>
  <c r="R325" i="13" a="1"/>
  <c r="R325" i="13" s="1"/>
  <c r="R326" i="13" a="1"/>
  <c r="R326" i="13" s="1"/>
  <c r="R327" i="13" a="1"/>
  <c r="R327" i="13" s="1"/>
  <c r="R328" i="13" a="1"/>
  <c r="R328" i="13" s="1"/>
  <c r="R329" i="13" a="1"/>
  <c r="R329" i="13" s="1"/>
  <c r="R330" i="13" a="1"/>
  <c r="R330" i="13" s="1"/>
  <c r="R331" i="13" a="1"/>
  <c r="R331" i="13" s="1"/>
  <c r="R332" i="13" a="1"/>
  <c r="R332" i="13" s="1"/>
  <c r="R333" i="13" a="1"/>
  <c r="R333" i="13" s="1"/>
  <c r="R334" i="13" a="1"/>
  <c r="R334" i="13" s="1"/>
  <c r="R335" i="13" a="1"/>
  <c r="R335" i="13" s="1"/>
  <c r="R336" i="13" a="1"/>
  <c r="R336" i="13" s="1"/>
  <c r="R337" i="13" a="1"/>
  <c r="R337" i="13" s="1"/>
  <c r="R338" i="13" a="1"/>
  <c r="R338" i="13" s="1"/>
  <c r="R339" i="13" a="1"/>
  <c r="R339" i="13" s="1"/>
  <c r="R340" i="13" a="1"/>
  <c r="R340" i="13" s="1"/>
  <c r="R341" i="13" a="1"/>
  <c r="R341" i="13" s="1"/>
  <c r="R342" i="13" a="1"/>
  <c r="R342" i="13" s="1"/>
  <c r="R343" i="13" a="1"/>
  <c r="R343" i="13" s="1"/>
  <c r="R344" i="13" a="1"/>
  <c r="R344" i="13" s="1"/>
  <c r="R345" i="13" a="1"/>
  <c r="R345" i="13" s="1"/>
  <c r="R346" i="13" a="1"/>
  <c r="R346" i="13" s="1"/>
  <c r="R347" i="13" a="1"/>
  <c r="R347" i="13" s="1"/>
  <c r="R348" i="13" a="1"/>
  <c r="R348" i="13" s="1"/>
  <c r="R349" i="13" a="1"/>
  <c r="R349" i="13" s="1"/>
  <c r="R350" i="13" a="1"/>
  <c r="R350" i="13" s="1"/>
  <c r="R351" i="13" a="1"/>
  <c r="R351" i="13" s="1"/>
  <c r="R352" i="13" a="1"/>
  <c r="R352" i="13" s="1"/>
  <c r="R353" i="13" a="1"/>
  <c r="R353" i="13" s="1"/>
  <c r="R354" i="13" a="1"/>
  <c r="R354" i="13" s="1"/>
  <c r="R355" i="13" a="1"/>
  <c r="R355" i="13" s="1"/>
  <c r="R356" i="13" a="1"/>
  <c r="R356" i="13" s="1"/>
  <c r="R357" i="13" a="1"/>
  <c r="R357" i="13" s="1"/>
  <c r="R358" i="13" a="1"/>
  <c r="R358" i="13" s="1"/>
  <c r="R359" i="13" a="1"/>
  <c r="R359" i="13" s="1"/>
  <c r="R360" i="13" a="1"/>
  <c r="R360" i="13" s="1"/>
  <c r="R361" i="13" a="1"/>
  <c r="R361" i="13" s="1"/>
  <c r="R362" i="13" a="1"/>
  <c r="R362" i="13" s="1"/>
  <c r="R363" i="13" a="1"/>
  <c r="R363" i="13" s="1"/>
  <c r="R364" i="13" a="1"/>
  <c r="R364" i="13" s="1"/>
  <c r="R365" i="13" a="1"/>
  <c r="R365" i="13" s="1"/>
  <c r="R366" i="13" a="1"/>
  <c r="R366" i="13" s="1"/>
  <c r="R367" i="13" a="1"/>
  <c r="R367" i="13" s="1"/>
  <c r="R368" i="13" a="1"/>
  <c r="R368" i="13" s="1"/>
  <c r="R369" i="13" a="1"/>
  <c r="R369" i="13" s="1"/>
  <c r="R370" i="13" a="1"/>
  <c r="R370" i="13" s="1"/>
  <c r="R371" i="13" a="1"/>
  <c r="R371" i="13" s="1"/>
  <c r="R372" i="13" a="1"/>
  <c r="R372" i="13" s="1"/>
  <c r="R373" i="13" a="1"/>
  <c r="R373" i="13" s="1"/>
  <c r="R374" i="13" a="1"/>
  <c r="R374" i="13" s="1"/>
  <c r="R375" i="13" a="1"/>
  <c r="R375" i="13" s="1"/>
  <c r="R376" i="13" a="1"/>
  <c r="R376" i="13" s="1"/>
  <c r="R377" i="13" a="1"/>
  <c r="R377" i="13" s="1"/>
  <c r="R378" i="13" a="1"/>
  <c r="R378" i="13" s="1"/>
  <c r="R379" i="13" a="1"/>
  <c r="R379" i="13" s="1"/>
  <c r="R380" i="13" a="1"/>
  <c r="R380" i="13" s="1"/>
  <c r="R381" i="13" a="1"/>
  <c r="R381" i="13" s="1"/>
  <c r="R382" i="13" a="1"/>
  <c r="R382" i="13" s="1"/>
  <c r="R383" i="13" a="1"/>
  <c r="R383" i="13" s="1"/>
  <c r="R384" i="13" a="1"/>
  <c r="R384" i="13" s="1"/>
  <c r="R385" i="13" a="1"/>
  <c r="R385" i="13" s="1"/>
  <c r="R386" i="13" a="1"/>
  <c r="R386" i="13" s="1"/>
  <c r="R387" i="13" a="1"/>
  <c r="R387" i="13" s="1"/>
  <c r="R388" i="13" a="1"/>
  <c r="R388" i="13" s="1"/>
  <c r="R389" i="13" a="1"/>
  <c r="R389" i="13" s="1"/>
  <c r="R6" i="13" a="1"/>
  <c r="R6" i="13" s="1"/>
  <c r="Q7" i="13" a="1"/>
  <c r="Q7" i="13" s="1"/>
  <c r="Q8" i="13" a="1"/>
  <c r="Q8" i="13" s="1"/>
  <c r="Q9" i="13" a="1"/>
  <c r="Q9" i="13" s="1"/>
  <c r="Q10" i="13" a="1"/>
  <c r="Q10" i="13" s="1"/>
  <c r="Q11" i="13" a="1"/>
  <c r="Q11" i="13" s="1"/>
  <c r="Q12" i="13" a="1"/>
  <c r="Q12" i="13" s="1"/>
  <c r="Q13" i="13" a="1"/>
  <c r="Q13" i="13" s="1"/>
  <c r="Q14" i="13" a="1"/>
  <c r="Q14" i="13" s="1"/>
  <c r="Q15" i="13" a="1"/>
  <c r="Q15" i="13" s="1"/>
  <c r="Q16" i="13" a="1"/>
  <c r="Q16" i="13" s="1"/>
  <c r="Q17" i="13" a="1"/>
  <c r="Q17" i="13" s="1"/>
  <c r="Q18" i="13" a="1"/>
  <c r="Q18" i="13" s="1"/>
  <c r="Q19" i="13" a="1"/>
  <c r="Q19" i="13" s="1"/>
  <c r="Q20" i="13" a="1"/>
  <c r="Q20" i="13" s="1"/>
  <c r="Q21" i="13" a="1"/>
  <c r="Q21" i="13" s="1"/>
  <c r="Q22" i="13" a="1"/>
  <c r="Q22" i="13" s="1"/>
  <c r="Q23" i="13" a="1"/>
  <c r="Q23" i="13" s="1"/>
  <c r="Q24" i="13" a="1"/>
  <c r="Q24" i="13" s="1"/>
  <c r="Q25" i="13" a="1"/>
  <c r="Q25" i="13" s="1"/>
  <c r="Q26" i="13" a="1"/>
  <c r="Q26" i="13" s="1"/>
  <c r="Q27" i="13" a="1"/>
  <c r="Q27" i="13" s="1"/>
  <c r="Q28" i="13" a="1"/>
  <c r="Q28" i="13" s="1"/>
  <c r="Q29" i="13" a="1"/>
  <c r="Q29" i="13" s="1"/>
  <c r="Q30" i="13" a="1"/>
  <c r="Q30" i="13" s="1"/>
  <c r="Q31" i="13" a="1"/>
  <c r="Q31" i="13" s="1"/>
  <c r="Q32" i="13" a="1"/>
  <c r="Q32" i="13" s="1"/>
  <c r="Q33" i="13" a="1"/>
  <c r="Q33" i="13" s="1"/>
  <c r="Q34" i="13" a="1"/>
  <c r="Q34" i="13" s="1"/>
  <c r="Q35" i="13" a="1"/>
  <c r="Q35" i="13" s="1"/>
  <c r="Q36" i="13" a="1"/>
  <c r="Q36" i="13" s="1"/>
  <c r="Q37" i="13" a="1"/>
  <c r="Q37" i="13" s="1"/>
  <c r="Q38" i="13" a="1"/>
  <c r="Q38" i="13" s="1"/>
  <c r="Q39" i="13" a="1"/>
  <c r="Q39" i="13" s="1"/>
  <c r="Q40" i="13" a="1"/>
  <c r="Q40" i="13" s="1"/>
  <c r="Q41" i="13" a="1"/>
  <c r="Q41" i="13" s="1"/>
  <c r="Q42" i="13" a="1"/>
  <c r="Q42" i="13" s="1"/>
  <c r="Q43" i="13" a="1"/>
  <c r="Q43" i="13" s="1"/>
  <c r="Q44" i="13" a="1"/>
  <c r="Q44" i="13" s="1"/>
  <c r="Q45" i="13" a="1"/>
  <c r="Q45" i="13" s="1"/>
  <c r="Q46" i="13" a="1"/>
  <c r="Q46" i="13" s="1"/>
  <c r="Q47" i="13" a="1"/>
  <c r="Q47" i="13" s="1"/>
  <c r="Q48" i="13" a="1"/>
  <c r="Q48" i="13" s="1"/>
  <c r="Q49" i="13" a="1"/>
  <c r="Q49" i="13" s="1"/>
  <c r="Q50" i="13" a="1"/>
  <c r="Q50" i="13" s="1"/>
  <c r="Q51" i="13" a="1"/>
  <c r="Q51" i="13" s="1"/>
  <c r="Q52" i="13" a="1"/>
  <c r="Q52" i="13" s="1"/>
  <c r="Q53" i="13" a="1"/>
  <c r="Q53" i="13" s="1"/>
  <c r="Q54" i="13" a="1"/>
  <c r="Q54" i="13" s="1"/>
  <c r="Q55" i="13" a="1"/>
  <c r="Q55" i="13" s="1"/>
  <c r="Q56" i="13" a="1"/>
  <c r="Q56" i="13" s="1"/>
  <c r="Q57" i="13" a="1"/>
  <c r="Q57" i="13" s="1"/>
  <c r="Q58" i="13" a="1"/>
  <c r="Q58" i="13" s="1"/>
  <c r="Q59" i="13" a="1"/>
  <c r="Q59" i="13" s="1"/>
  <c r="Q60" i="13" a="1"/>
  <c r="Q60" i="13" s="1"/>
  <c r="Q61" i="13" a="1"/>
  <c r="Q61" i="13" s="1"/>
  <c r="Q62" i="13" a="1"/>
  <c r="Q62" i="13" s="1"/>
  <c r="Q63" i="13" a="1"/>
  <c r="Q63" i="13" s="1"/>
  <c r="Q64" i="13" a="1"/>
  <c r="Q64" i="13" s="1"/>
  <c r="Q65" i="13" a="1"/>
  <c r="Q65" i="13" s="1"/>
  <c r="Q66" i="13" a="1"/>
  <c r="Q66" i="13" s="1"/>
  <c r="Q67" i="13" a="1"/>
  <c r="Q67" i="13" s="1"/>
  <c r="Q68" i="13" a="1"/>
  <c r="Q68" i="13" s="1"/>
  <c r="Q69" i="13" a="1"/>
  <c r="Q69" i="13" s="1"/>
  <c r="Q70" i="13" a="1"/>
  <c r="Q70" i="13" s="1"/>
  <c r="Q71" i="13" a="1"/>
  <c r="Q71" i="13" s="1"/>
  <c r="Q72" i="13" a="1"/>
  <c r="Q72" i="13" s="1"/>
  <c r="Q73" i="13" a="1"/>
  <c r="Q73" i="13" s="1"/>
  <c r="Q74" i="13" a="1"/>
  <c r="Q74" i="13" s="1"/>
  <c r="Q75" i="13" a="1"/>
  <c r="Q75" i="13" s="1"/>
  <c r="Q76" i="13" a="1"/>
  <c r="Q76" i="13" s="1"/>
  <c r="Q77" i="13" a="1"/>
  <c r="Q77" i="13" s="1"/>
  <c r="Q78" i="13" a="1"/>
  <c r="Q78" i="13" s="1"/>
  <c r="Q79" i="13" a="1"/>
  <c r="Q79" i="13" s="1"/>
  <c r="Q80" i="13" a="1"/>
  <c r="Q80" i="13" s="1"/>
  <c r="Q81" i="13" a="1"/>
  <c r="Q81" i="13" s="1"/>
  <c r="Q82" i="13" a="1"/>
  <c r="Q82" i="13" s="1"/>
  <c r="Q83" i="13" a="1"/>
  <c r="Q83" i="13" s="1"/>
  <c r="Q84" i="13" a="1"/>
  <c r="Q84" i="13" s="1"/>
  <c r="Q85" i="13" a="1"/>
  <c r="Q85" i="13" s="1"/>
  <c r="Q86" i="13" a="1"/>
  <c r="Q86" i="13" s="1"/>
  <c r="Q87" i="13" a="1"/>
  <c r="Q87" i="13" s="1"/>
  <c r="Q88" i="13" a="1"/>
  <c r="Q88" i="13" s="1"/>
  <c r="Q89" i="13" a="1"/>
  <c r="Q89" i="13" s="1"/>
  <c r="Q90" i="13" a="1"/>
  <c r="Q90" i="13" s="1"/>
  <c r="Q91" i="13" a="1"/>
  <c r="Q91" i="13" s="1"/>
  <c r="Q92" i="13" a="1"/>
  <c r="Q92" i="13" s="1"/>
  <c r="Q93" i="13" a="1"/>
  <c r="Q93" i="13" s="1"/>
  <c r="Q94" i="13" a="1"/>
  <c r="Q94" i="13" s="1"/>
  <c r="Q95" i="13" a="1"/>
  <c r="Q95" i="13" s="1"/>
  <c r="Q96" i="13" a="1"/>
  <c r="Q96" i="13" s="1"/>
  <c r="Q97" i="13" a="1"/>
  <c r="Q97" i="13" s="1"/>
  <c r="Q98" i="13" a="1"/>
  <c r="Q98" i="13" s="1"/>
  <c r="Q99" i="13" a="1"/>
  <c r="Q99" i="13" s="1"/>
  <c r="Q100" i="13" a="1"/>
  <c r="Q100" i="13" s="1"/>
  <c r="Q101" i="13" a="1"/>
  <c r="Q101" i="13" s="1"/>
  <c r="Q102" i="13" a="1"/>
  <c r="Q102" i="13" s="1"/>
  <c r="Q103" i="13" a="1"/>
  <c r="Q103" i="13" s="1"/>
  <c r="Q104" i="13" a="1"/>
  <c r="Q104" i="13" s="1"/>
  <c r="Q105" i="13" a="1"/>
  <c r="Q105" i="13" s="1"/>
  <c r="Q106" i="13" a="1"/>
  <c r="Q106" i="13" s="1"/>
  <c r="Q107" i="13" a="1"/>
  <c r="Q107" i="13" s="1"/>
  <c r="Q108" i="13" a="1"/>
  <c r="Q108" i="13" s="1"/>
  <c r="Q109" i="13" a="1"/>
  <c r="Q109" i="13" s="1"/>
  <c r="Q110" i="13" a="1"/>
  <c r="Q110" i="13" s="1"/>
  <c r="Q111" i="13" a="1"/>
  <c r="Q111" i="13" s="1"/>
  <c r="Q112" i="13" a="1"/>
  <c r="Q112" i="13" s="1"/>
  <c r="Q113" i="13" a="1"/>
  <c r="Q113" i="13" s="1"/>
  <c r="Q114" i="13" a="1"/>
  <c r="Q114" i="13" s="1"/>
  <c r="Q115" i="13" a="1"/>
  <c r="Q115" i="13" s="1"/>
  <c r="Q116" i="13" a="1"/>
  <c r="Q116" i="13" s="1"/>
  <c r="Q117" i="13" a="1"/>
  <c r="Q117" i="13" s="1"/>
  <c r="Q118" i="13" a="1"/>
  <c r="Q118" i="13" s="1"/>
  <c r="Q119" i="13" a="1"/>
  <c r="Q119" i="13" s="1"/>
  <c r="Q120" i="13" a="1"/>
  <c r="Q120" i="13" s="1"/>
  <c r="Q121" i="13" a="1"/>
  <c r="Q121" i="13" s="1"/>
  <c r="Q122" i="13" a="1"/>
  <c r="Q122" i="13" s="1"/>
  <c r="Q123" i="13" a="1"/>
  <c r="Q123" i="13" s="1"/>
  <c r="Q124" i="13" a="1"/>
  <c r="Q124" i="13" s="1"/>
  <c r="Q125" i="13" a="1"/>
  <c r="Q125" i="13" s="1"/>
  <c r="Q126" i="13" a="1"/>
  <c r="Q126" i="13" s="1"/>
  <c r="Q127" i="13" a="1"/>
  <c r="Q127" i="13" s="1"/>
  <c r="Q128" i="13" a="1"/>
  <c r="Q128" i="13" s="1"/>
  <c r="Q129" i="13" a="1"/>
  <c r="Q129" i="13" s="1"/>
  <c r="Q130" i="13" a="1"/>
  <c r="Q130" i="13" s="1"/>
  <c r="Q131" i="13" a="1"/>
  <c r="Q131" i="13" s="1"/>
  <c r="Q132" i="13" a="1"/>
  <c r="Q132" i="13" s="1"/>
  <c r="Q133" i="13" a="1"/>
  <c r="Q133" i="13" s="1"/>
  <c r="Q134" i="13" a="1"/>
  <c r="Q134" i="13" s="1"/>
  <c r="Q135" i="13" a="1"/>
  <c r="Q135" i="13" s="1"/>
  <c r="Q136" i="13" a="1"/>
  <c r="Q136" i="13" s="1"/>
  <c r="Q137" i="13" a="1"/>
  <c r="Q137" i="13" s="1"/>
  <c r="Q138" i="13" a="1"/>
  <c r="Q138" i="13" s="1"/>
  <c r="Q139" i="13" a="1"/>
  <c r="Q139" i="13" s="1"/>
  <c r="Q140" i="13" a="1"/>
  <c r="Q140" i="13" s="1"/>
  <c r="Q141" i="13" a="1"/>
  <c r="Q141" i="13" s="1"/>
  <c r="Q142" i="13" a="1"/>
  <c r="Q142" i="13" s="1"/>
  <c r="Q143" i="13" a="1"/>
  <c r="Q143" i="13" s="1"/>
  <c r="Q144" i="13" a="1"/>
  <c r="Q144" i="13" s="1"/>
  <c r="Q145" i="13" a="1"/>
  <c r="Q145" i="13" s="1"/>
  <c r="Q146" i="13" a="1"/>
  <c r="Q146" i="13" s="1"/>
  <c r="Q147" i="13" a="1"/>
  <c r="Q147" i="13" s="1"/>
  <c r="Q148" i="13" a="1"/>
  <c r="Q148" i="13" s="1"/>
  <c r="Q149" i="13" a="1"/>
  <c r="Q149" i="13" s="1"/>
  <c r="Q150" i="13" a="1"/>
  <c r="Q150" i="13" s="1"/>
  <c r="Q151" i="13" a="1"/>
  <c r="Q151" i="13" s="1"/>
  <c r="Q152" i="13" a="1"/>
  <c r="Q152" i="13" s="1"/>
  <c r="Q153" i="13" a="1"/>
  <c r="Q153" i="13" s="1"/>
  <c r="Q154" i="13" a="1"/>
  <c r="Q154" i="13" s="1"/>
  <c r="Q155" i="13" a="1"/>
  <c r="Q155" i="13" s="1"/>
  <c r="Q156" i="13" a="1"/>
  <c r="Q156" i="13" s="1"/>
  <c r="Q157" i="13" a="1"/>
  <c r="Q157" i="13" s="1"/>
  <c r="Q158" i="13" a="1"/>
  <c r="Q158" i="13" s="1"/>
  <c r="Q159" i="13" a="1"/>
  <c r="Q159" i="13" s="1"/>
  <c r="Q160" i="13" a="1"/>
  <c r="Q160" i="13" s="1"/>
  <c r="Q161" i="13" a="1"/>
  <c r="Q161" i="13" s="1"/>
  <c r="Q162" i="13" a="1"/>
  <c r="Q162" i="13" s="1"/>
  <c r="Q163" i="13" a="1"/>
  <c r="Q163" i="13" s="1"/>
  <c r="Q164" i="13" a="1"/>
  <c r="Q164" i="13" s="1"/>
  <c r="Q165" i="13" a="1"/>
  <c r="Q165" i="13" s="1"/>
  <c r="Q166" i="13" a="1"/>
  <c r="Q166" i="13" s="1"/>
  <c r="Q167" i="13" a="1"/>
  <c r="Q167" i="13" s="1"/>
  <c r="Q168" i="13" a="1"/>
  <c r="Q168" i="13" s="1"/>
  <c r="Q169" i="13" a="1"/>
  <c r="Q169" i="13" s="1"/>
  <c r="Q170" i="13" a="1"/>
  <c r="Q170" i="13" s="1"/>
  <c r="Q171" i="13" a="1"/>
  <c r="Q171" i="13" s="1"/>
  <c r="Q172" i="13" a="1"/>
  <c r="Q172" i="13" s="1"/>
  <c r="Q173" i="13" a="1"/>
  <c r="Q173" i="13" s="1"/>
  <c r="Q174" i="13" a="1"/>
  <c r="Q174" i="13" s="1"/>
  <c r="Q175" i="13" a="1"/>
  <c r="Q175" i="13" s="1"/>
  <c r="Q176" i="13" a="1"/>
  <c r="Q176" i="13" s="1"/>
  <c r="Q177" i="13" a="1"/>
  <c r="Q177" i="13" s="1"/>
  <c r="Q178" i="13" a="1"/>
  <c r="Q178" i="13" s="1"/>
  <c r="Q179" i="13" a="1"/>
  <c r="Q179" i="13" s="1"/>
  <c r="Q180" i="13" a="1"/>
  <c r="Q180" i="13" s="1"/>
  <c r="Q181" i="13" a="1"/>
  <c r="Q181" i="13" s="1"/>
  <c r="Q182" i="13" a="1"/>
  <c r="Q182" i="13" s="1"/>
  <c r="Q183" i="13" a="1"/>
  <c r="Q183" i="13" s="1"/>
  <c r="Q184" i="13" a="1"/>
  <c r="Q184" i="13" s="1"/>
  <c r="Q185" i="13" a="1"/>
  <c r="Q185" i="13" s="1"/>
  <c r="Q186" i="13" a="1"/>
  <c r="Q186" i="13" s="1"/>
  <c r="Q187" i="13" a="1"/>
  <c r="Q187" i="13" s="1"/>
  <c r="Q188" i="13" a="1"/>
  <c r="Q188" i="13" s="1"/>
  <c r="Q189" i="13" a="1"/>
  <c r="Q189" i="13" s="1"/>
  <c r="Q190" i="13" a="1"/>
  <c r="Q190" i="13" s="1"/>
  <c r="Q191" i="13" a="1"/>
  <c r="Q191" i="13" s="1"/>
  <c r="Q192" i="13" a="1"/>
  <c r="Q192" i="13" s="1"/>
  <c r="Q193" i="13" a="1"/>
  <c r="Q193" i="13" s="1"/>
  <c r="Q194" i="13" a="1"/>
  <c r="Q194" i="13" s="1"/>
  <c r="Q195" i="13" a="1"/>
  <c r="Q195" i="13" s="1"/>
  <c r="Q196" i="13" a="1"/>
  <c r="Q196" i="13" s="1"/>
  <c r="Q197" i="13" a="1"/>
  <c r="Q197" i="13" s="1"/>
  <c r="Q198" i="13" a="1"/>
  <c r="Q198" i="13" s="1"/>
  <c r="Q199" i="13" a="1"/>
  <c r="Q199" i="13" s="1"/>
  <c r="Q200" i="13" a="1"/>
  <c r="Q200" i="13" s="1"/>
  <c r="Q201" i="13" a="1"/>
  <c r="Q201" i="13" s="1"/>
  <c r="Q202" i="13" a="1"/>
  <c r="Q202" i="13" s="1"/>
  <c r="Q203" i="13" a="1"/>
  <c r="Q203" i="13" s="1"/>
  <c r="Q204" i="13" a="1"/>
  <c r="Q204" i="13" s="1"/>
  <c r="Q205" i="13" a="1"/>
  <c r="Q205" i="13" s="1"/>
  <c r="Q206" i="13" a="1"/>
  <c r="Q206" i="13" s="1"/>
  <c r="Q207" i="13" a="1"/>
  <c r="Q207" i="13" s="1"/>
  <c r="Q208" i="13" a="1"/>
  <c r="Q208" i="13" s="1"/>
  <c r="Q209" i="13" a="1"/>
  <c r="Q209" i="13" s="1"/>
  <c r="Q210" i="13" a="1"/>
  <c r="Q210" i="13" s="1"/>
  <c r="Q211" i="13" a="1"/>
  <c r="Q211" i="13" s="1"/>
  <c r="Q212" i="13" a="1"/>
  <c r="Q212" i="13" s="1"/>
  <c r="Q213" i="13" a="1"/>
  <c r="Q213" i="13" s="1"/>
  <c r="Q214" i="13" a="1"/>
  <c r="Q214" i="13" s="1"/>
  <c r="Q215" i="13" a="1"/>
  <c r="Q215" i="13" s="1"/>
  <c r="Q216" i="13" a="1"/>
  <c r="Q216" i="13" s="1"/>
  <c r="Q217" i="13" a="1"/>
  <c r="Q217" i="13" s="1"/>
  <c r="Q218" i="13" a="1"/>
  <c r="Q218" i="13" s="1"/>
  <c r="Q219" i="13" a="1"/>
  <c r="Q219" i="13" s="1"/>
  <c r="Q220" i="13" a="1"/>
  <c r="Q220" i="13" s="1"/>
  <c r="Q221" i="13" a="1"/>
  <c r="Q221" i="13" s="1"/>
  <c r="Q222" i="13" a="1"/>
  <c r="Q222" i="13" s="1"/>
  <c r="Q223" i="13" a="1"/>
  <c r="Q223" i="13" s="1"/>
  <c r="Q224" i="13" a="1"/>
  <c r="Q224" i="13" s="1"/>
  <c r="Q225" i="13" a="1"/>
  <c r="Q225" i="13" s="1"/>
  <c r="Q226" i="13" a="1"/>
  <c r="Q226" i="13" s="1"/>
  <c r="Q227" i="13" a="1"/>
  <c r="Q227" i="13" s="1"/>
  <c r="Q228" i="13" a="1"/>
  <c r="Q228" i="13" s="1"/>
  <c r="Q229" i="13" a="1"/>
  <c r="Q229" i="13" s="1"/>
  <c r="Q230" i="13" a="1"/>
  <c r="Q230" i="13" s="1"/>
  <c r="Q231" i="13" a="1"/>
  <c r="Q231" i="13" s="1"/>
  <c r="Q232" i="13" a="1"/>
  <c r="Q232" i="13" s="1"/>
  <c r="Q233" i="13" a="1"/>
  <c r="Q233" i="13" s="1"/>
  <c r="Q234" i="13" a="1"/>
  <c r="Q234" i="13" s="1"/>
  <c r="Q235" i="13" a="1"/>
  <c r="Q235" i="13" s="1"/>
  <c r="Q236" i="13" a="1"/>
  <c r="Q236" i="13" s="1"/>
  <c r="Q237" i="13" a="1"/>
  <c r="Q237" i="13" s="1"/>
  <c r="Q238" i="13" a="1"/>
  <c r="Q238" i="13" s="1"/>
  <c r="Q239" i="13" a="1"/>
  <c r="Q239" i="13" s="1"/>
  <c r="Q240" i="13" a="1"/>
  <c r="Q240" i="13" s="1"/>
  <c r="Q241" i="13" a="1"/>
  <c r="Q241" i="13" s="1"/>
  <c r="Q242" i="13" a="1"/>
  <c r="Q242" i="13" s="1"/>
  <c r="Q243" i="13" a="1"/>
  <c r="Q243" i="13" s="1"/>
  <c r="Q244" i="13" a="1"/>
  <c r="Q244" i="13" s="1"/>
  <c r="Q245" i="13" a="1"/>
  <c r="Q245" i="13" s="1"/>
  <c r="Q246" i="13" a="1"/>
  <c r="Q246" i="13" s="1"/>
  <c r="Q247" i="13" a="1"/>
  <c r="Q247" i="13" s="1"/>
  <c r="Q248" i="13" a="1"/>
  <c r="Q248" i="13" s="1"/>
  <c r="Q249" i="13" a="1"/>
  <c r="Q249" i="13" s="1"/>
  <c r="Q250" i="13" a="1"/>
  <c r="Q250" i="13" s="1"/>
  <c r="Q251" i="13" a="1"/>
  <c r="Q251" i="13" s="1"/>
  <c r="Q252" i="13" a="1"/>
  <c r="Q252" i="13" s="1"/>
  <c r="Q253" i="13" a="1"/>
  <c r="Q253" i="13" s="1"/>
  <c r="Q254" i="13" a="1"/>
  <c r="Q254" i="13" s="1"/>
  <c r="Q255" i="13" a="1"/>
  <c r="Q255" i="13" s="1"/>
  <c r="Q256" i="13" a="1"/>
  <c r="Q256" i="13" s="1"/>
  <c r="Q257" i="13" a="1"/>
  <c r="Q257" i="13" s="1"/>
  <c r="Q258" i="13" a="1"/>
  <c r="Q258" i="13" s="1"/>
  <c r="Q259" i="13" a="1"/>
  <c r="Q259" i="13" s="1"/>
  <c r="Q260" i="13" a="1"/>
  <c r="Q260" i="13" s="1"/>
  <c r="Q261" i="13" a="1"/>
  <c r="Q261" i="13" s="1"/>
  <c r="Q262" i="13" a="1"/>
  <c r="Q262" i="13" s="1"/>
  <c r="Q263" i="13" a="1"/>
  <c r="Q263" i="13" s="1"/>
  <c r="Q264" i="13" a="1"/>
  <c r="Q264" i="13" s="1"/>
  <c r="Q265" i="13" a="1"/>
  <c r="Q265" i="13" s="1"/>
  <c r="Q266" i="13" a="1"/>
  <c r="Q266" i="13" s="1"/>
  <c r="Q267" i="13" a="1"/>
  <c r="Q267" i="13" s="1"/>
  <c r="Q268" i="13" a="1"/>
  <c r="Q268" i="13" s="1"/>
  <c r="Q269" i="13" a="1"/>
  <c r="Q269" i="13" s="1"/>
  <c r="Q270" i="13" a="1"/>
  <c r="Q270" i="13" s="1"/>
  <c r="Q271" i="13" a="1"/>
  <c r="Q271" i="13" s="1"/>
  <c r="Q272" i="13" a="1"/>
  <c r="Q272" i="13" s="1"/>
  <c r="Q273" i="13" a="1"/>
  <c r="Q273" i="13" s="1"/>
  <c r="Q274" i="13" a="1"/>
  <c r="Q274" i="13" s="1"/>
  <c r="Q275" i="13" a="1"/>
  <c r="Q275" i="13" s="1"/>
  <c r="Q276" i="13" a="1"/>
  <c r="Q276" i="13" s="1"/>
  <c r="Q277" i="13" a="1"/>
  <c r="Q277" i="13" s="1"/>
  <c r="Q278" i="13" a="1"/>
  <c r="Q278" i="13" s="1"/>
  <c r="Q279" i="13" a="1"/>
  <c r="Q279" i="13" s="1"/>
  <c r="Q280" i="13" a="1"/>
  <c r="Q280" i="13" s="1"/>
  <c r="Q281" i="13" a="1"/>
  <c r="Q281" i="13" s="1"/>
  <c r="Q282" i="13" a="1"/>
  <c r="Q282" i="13" s="1"/>
  <c r="Q283" i="13" a="1"/>
  <c r="Q283" i="13" s="1"/>
  <c r="Q284" i="13" a="1"/>
  <c r="Q284" i="13" s="1"/>
  <c r="Q285" i="13" a="1"/>
  <c r="Q285" i="13" s="1"/>
  <c r="Q286" i="13" a="1"/>
  <c r="Q286" i="13" s="1"/>
  <c r="Q287" i="13" a="1"/>
  <c r="Q287" i="13" s="1"/>
  <c r="Q288" i="13" a="1"/>
  <c r="Q288" i="13" s="1"/>
  <c r="Q289" i="13" a="1"/>
  <c r="Q289" i="13" s="1"/>
  <c r="Q290" i="13" a="1"/>
  <c r="Q290" i="13" s="1"/>
  <c r="Q291" i="13" a="1"/>
  <c r="Q291" i="13" s="1"/>
  <c r="Q292" i="13" a="1"/>
  <c r="Q292" i="13" s="1"/>
  <c r="Q293" i="13" a="1"/>
  <c r="Q293" i="13" s="1"/>
  <c r="Q294" i="13" a="1"/>
  <c r="Q294" i="13" s="1"/>
  <c r="Q295" i="13" a="1"/>
  <c r="Q295" i="13" s="1"/>
  <c r="Q296" i="13" a="1"/>
  <c r="Q296" i="13" s="1"/>
  <c r="Q297" i="13" a="1"/>
  <c r="Q297" i="13" s="1"/>
  <c r="Q298" i="13" a="1"/>
  <c r="Q298" i="13" s="1"/>
  <c r="Q299" i="13" a="1"/>
  <c r="Q299" i="13" s="1"/>
  <c r="Q300" i="13" a="1"/>
  <c r="Q300" i="13" s="1"/>
  <c r="Q301" i="13" a="1"/>
  <c r="Q301" i="13" s="1"/>
  <c r="Q302" i="13" a="1"/>
  <c r="Q302" i="13" s="1"/>
  <c r="Q303" i="13" a="1"/>
  <c r="Q303" i="13" s="1"/>
  <c r="Q304" i="13" a="1"/>
  <c r="Q304" i="13" s="1"/>
  <c r="Q305" i="13" a="1"/>
  <c r="Q305" i="13" s="1"/>
  <c r="Q306" i="13" a="1"/>
  <c r="Q306" i="13" s="1"/>
  <c r="Q307" i="13" a="1"/>
  <c r="Q307" i="13" s="1"/>
  <c r="Q308" i="13" a="1"/>
  <c r="Q308" i="13" s="1"/>
  <c r="Q309" i="13" a="1"/>
  <c r="Q309" i="13" s="1"/>
  <c r="Q310" i="13" a="1"/>
  <c r="Q310" i="13" s="1"/>
  <c r="Q311" i="13" a="1"/>
  <c r="Q311" i="13" s="1"/>
  <c r="Q312" i="13" a="1"/>
  <c r="Q312" i="13" s="1"/>
  <c r="Q313" i="13" a="1"/>
  <c r="Q313" i="13" s="1"/>
  <c r="Q314" i="13" a="1"/>
  <c r="Q314" i="13" s="1"/>
  <c r="Q315" i="13" a="1"/>
  <c r="Q315" i="13" s="1"/>
  <c r="Q316" i="13" a="1"/>
  <c r="Q316" i="13" s="1"/>
  <c r="Q317" i="13" a="1"/>
  <c r="Q317" i="13" s="1"/>
  <c r="Q318" i="13" a="1"/>
  <c r="Q318" i="13" s="1"/>
  <c r="Q319" i="13" a="1"/>
  <c r="Q319" i="13" s="1"/>
  <c r="Q320" i="13" a="1"/>
  <c r="Q320" i="13" s="1"/>
  <c r="Q321" i="13" a="1"/>
  <c r="Q321" i="13" s="1"/>
  <c r="Q322" i="13" a="1"/>
  <c r="Q322" i="13" s="1"/>
  <c r="Q323" i="13" a="1"/>
  <c r="Q323" i="13" s="1"/>
  <c r="Q324" i="13" a="1"/>
  <c r="Q324" i="13" s="1"/>
  <c r="Q325" i="13" a="1"/>
  <c r="Q325" i="13" s="1"/>
  <c r="Q326" i="13" a="1"/>
  <c r="Q326" i="13" s="1"/>
  <c r="Q327" i="13" a="1"/>
  <c r="Q327" i="13" s="1"/>
  <c r="Q328" i="13" a="1"/>
  <c r="Q328" i="13" s="1"/>
  <c r="Q329" i="13" a="1"/>
  <c r="Q329" i="13" s="1"/>
  <c r="Q330" i="13" a="1"/>
  <c r="Q330" i="13" s="1"/>
  <c r="Q331" i="13" a="1"/>
  <c r="Q331" i="13" s="1"/>
  <c r="Q332" i="13" a="1"/>
  <c r="Q332" i="13" s="1"/>
  <c r="Q333" i="13" a="1"/>
  <c r="Q333" i="13" s="1"/>
  <c r="Q334" i="13" a="1"/>
  <c r="Q334" i="13" s="1"/>
  <c r="Q335" i="13" a="1"/>
  <c r="Q335" i="13" s="1"/>
  <c r="Q336" i="13" a="1"/>
  <c r="Q336" i="13" s="1"/>
  <c r="Q337" i="13" a="1"/>
  <c r="Q337" i="13" s="1"/>
  <c r="Q338" i="13" a="1"/>
  <c r="Q338" i="13" s="1"/>
  <c r="Q339" i="13" a="1"/>
  <c r="Q339" i="13" s="1"/>
  <c r="Q340" i="13" a="1"/>
  <c r="Q340" i="13" s="1"/>
  <c r="Q341" i="13" a="1"/>
  <c r="Q341" i="13" s="1"/>
  <c r="Q342" i="13" a="1"/>
  <c r="Q342" i="13" s="1"/>
  <c r="Q343" i="13" a="1"/>
  <c r="Q343" i="13" s="1"/>
  <c r="Q344" i="13" a="1"/>
  <c r="Q344" i="13" s="1"/>
  <c r="Q345" i="13" a="1"/>
  <c r="Q345" i="13" s="1"/>
  <c r="Q346" i="13" a="1"/>
  <c r="Q346" i="13" s="1"/>
  <c r="Q347" i="13" a="1"/>
  <c r="Q347" i="13" s="1"/>
  <c r="Q348" i="13" a="1"/>
  <c r="Q348" i="13" s="1"/>
  <c r="Q349" i="13" a="1"/>
  <c r="Q349" i="13" s="1"/>
  <c r="Q350" i="13" a="1"/>
  <c r="Q350" i="13" s="1"/>
  <c r="Q351" i="13" a="1"/>
  <c r="Q351" i="13" s="1"/>
  <c r="Q352" i="13" a="1"/>
  <c r="Q352" i="13" s="1"/>
  <c r="Q353" i="13" a="1"/>
  <c r="Q353" i="13" s="1"/>
  <c r="Q354" i="13" a="1"/>
  <c r="Q354" i="13" s="1"/>
  <c r="Q355" i="13" a="1"/>
  <c r="Q355" i="13" s="1"/>
  <c r="Q356" i="13" a="1"/>
  <c r="Q356" i="13" s="1"/>
  <c r="Q357" i="13" a="1"/>
  <c r="Q357" i="13" s="1"/>
  <c r="Q358" i="13" a="1"/>
  <c r="Q358" i="13" s="1"/>
  <c r="Q359" i="13" a="1"/>
  <c r="Q359" i="13" s="1"/>
  <c r="Q360" i="13" a="1"/>
  <c r="Q360" i="13" s="1"/>
  <c r="Q361" i="13" a="1"/>
  <c r="Q361" i="13" s="1"/>
  <c r="Q362" i="13" a="1"/>
  <c r="Q362" i="13" s="1"/>
  <c r="Q363" i="13" a="1"/>
  <c r="Q363" i="13" s="1"/>
  <c r="Q364" i="13" a="1"/>
  <c r="Q364" i="13" s="1"/>
  <c r="Q365" i="13" a="1"/>
  <c r="Q365" i="13" s="1"/>
  <c r="Q366" i="13" a="1"/>
  <c r="Q366" i="13" s="1"/>
  <c r="Q367" i="13" a="1"/>
  <c r="Q367" i="13" s="1"/>
  <c r="Q368" i="13" a="1"/>
  <c r="Q368" i="13" s="1"/>
  <c r="Q369" i="13" a="1"/>
  <c r="Q369" i="13" s="1"/>
  <c r="Q370" i="13" a="1"/>
  <c r="Q370" i="13" s="1"/>
  <c r="Q371" i="13" a="1"/>
  <c r="Q371" i="13" s="1"/>
  <c r="Q372" i="13" a="1"/>
  <c r="Q372" i="13" s="1"/>
  <c r="Q373" i="13" a="1"/>
  <c r="Q373" i="13" s="1"/>
  <c r="Q374" i="13" a="1"/>
  <c r="Q374" i="13" s="1"/>
  <c r="Q375" i="13" a="1"/>
  <c r="Q375" i="13" s="1"/>
  <c r="Q376" i="13" a="1"/>
  <c r="Q376" i="13" s="1"/>
  <c r="Q377" i="13" a="1"/>
  <c r="Q377" i="13" s="1"/>
  <c r="Q378" i="13" a="1"/>
  <c r="Q378" i="13" s="1"/>
  <c r="Q379" i="13" a="1"/>
  <c r="Q379" i="13" s="1"/>
  <c r="Q380" i="13" a="1"/>
  <c r="Q380" i="13" s="1"/>
  <c r="Q381" i="13" a="1"/>
  <c r="Q381" i="13" s="1"/>
  <c r="Q382" i="13" a="1"/>
  <c r="Q382" i="13" s="1"/>
  <c r="Q383" i="13" a="1"/>
  <c r="Q383" i="13" s="1"/>
  <c r="Q384" i="13" a="1"/>
  <c r="Q384" i="13" s="1"/>
  <c r="Q385" i="13" a="1"/>
  <c r="Q385" i="13" s="1"/>
  <c r="Q386" i="13" a="1"/>
  <c r="Q386" i="13" s="1"/>
  <c r="Q387" i="13" a="1"/>
  <c r="Q387" i="13" s="1"/>
  <c r="Q388" i="13" a="1"/>
  <c r="Q388" i="13" s="1"/>
  <c r="Q389" i="13" a="1"/>
  <c r="Q389" i="13" s="1"/>
  <c r="Q6" i="13" a="1"/>
  <c r="Q6" i="13" s="1"/>
  <c r="N7" i="13" a="1"/>
  <c r="N7" i="13" s="1"/>
  <c r="N8" i="13" a="1"/>
  <c r="N8" i="13" s="1"/>
  <c r="N9" i="13" a="1"/>
  <c r="N9" i="13" s="1"/>
  <c r="N10" i="13" a="1"/>
  <c r="N10" i="13" s="1"/>
  <c r="N11" i="13" a="1"/>
  <c r="N11" i="13" s="1"/>
  <c r="N12" i="13" a="1"/>
  <c r="N12" i="13" s="1"/>
  <c r="N13" i="13" a="1"/>
  <c r="N13" i="13" s="1"/>
  <c r="N14" i="13" a="1"/>
  <c r="N14" i="13" s="1"/>
  <c r="N15" i="13" a="1"/>
  <c r="N15" i="13" s="1"/>
  <c r="N16" i="13" a="1"/>
  <c r="N16" i="13" s="1"/>
  <c r="N17" i="13" a="1"/>
  <c r="N17" i="13" s="1"/>
  <c r="N18" i="13" a="1"/>
  <c r="N18" i="13" s="1"/>
  <c r="N19" i="13" a="1"/>
  <c r="N19" i="13" s="1"/>
  <c r="N20" i="13" a="1"/>
  <c r="N20" i="13" s="1"/>
  <c r="N21" i="13" a="1"/>
  <c r="N21" i="13" s="1"/>
  <c r="N22" i="13" a="1"/>
  <c r="N22" i="13" s="1"/>
  <c r="N23" i="13" a="1"/>
  <c r="N23" i="13" s="1"/>
  <c r="N24" i="13" a="1"/>
  <c r="N24" i="13" s="1"/>
  <c r="N25" i="13" a="1"/>
  <c r="N25" i="13" s="1"/>
  <c r="N26" i="13" a="1"/>
  <c r="N26" i="13" s="1"/>
  <c r="N27" i="13" a="1"/>
  <c r="N27" i="13" s="1"/>
  <c r="N28" i="13" a="1"/>
  <c r="N28" i="13" s="1"/>
  <c r="N29" i="13" a="1"/>
  <c r="N29" i="13" s="1"/>
  <c r="N30" i="13" a="1"/>
  <c r="N30" i="13" s="1"/>
  <c r="N31" i="13" a="1"/>
  <c r="N31" i="13" s="1"/>
  <c r="N32" i="13" a="1"/>
  <c r="N32" i="13" s="1"/>
  <c r="N33" i="13" a="1"/>
  <c r="N33" i="13" s="1"/>
  <c r="N34" i="13" a="1"/>
  <c r="N34" i="13" s="1"/>
  <c r="N35" i="13" a="1"/>
  <c r="N35" i="13" s="1"/>
  <c r="N36" i="13" a="1"/>
  <c r="N36" i="13" s="1"/>
  <c r="N37" i="13" a="1"/>
  <c r="N37" i="13" s="1"/>
  <c r="N38" i="13" a="1"/>
  <c r="N38" i="13" s="1"/>
  <c r="N39" i="13" a="1"/>
  <c r="N39" i="13" s="1"/>
  <c r="N40" i="13" a="1"/>
  <c r="N40" i="13" s="1"/>
  <c r="N41" i="13" a="1"/>
  <c r="N41" i="13" s="1"/>
  <c r="N42" i="13" a="1"/>
  <c r="N42" i="13" s="1"/>
  <c r="N43" i="13" a="1"/>
  <c r="N43" i="13" s="1"/>
  <c r="N44" i="13" a="1"/>
  <c r="N44" i="13" s="1"/>
  <c r="N45" i="13" a="1"/>
  <c r="N45" i="13" s="1"/>
  <c r="N46" i="13" a="1"/>
  <c r="N46" i="13" s="1"/>
  <c r="N47" i="13" a="1"/>
  <c r="N47" i="13" s="1"/>
  <c r="N48" i="13" a="1"/>
  <c r="N48" i="13" s="1"/>
  <c r="N49" i="13" a="1"/>
  <c r="N49" i="13" s="1"/>
  <c r="N50" i="13" a="1"/>
  <c r="N50" i="13" s="1"/>
  <c r="N51" i="13" a="1"/>
  <c r="N51" i="13" s="1"/>
  <c r="N52" i="13" a="1"/>
  <c r="N52" i="13" s="1"/>
  <c r="N53" i="13" a="1"/>
  <c r="N53" i="13" s="1"/>
  <c r="N54" i="13" a="1"/>
  <c r="N54" i="13" s="1"/>
  <c r="N55" i="13" a="1"/>
  <c r="N55" i="13" s="1"/>
  <c r="N56" i="13" a="1"/>
  <c r="N56" i="13" s="1"/>
  <c r="N57" i="13" a="1"/>
  <c r="N57" i="13" s="1"/>
  <c r="N58" i="13" a="1"/>
  <c r="N58" i="13" s="1"/>
  <c r="N59" i="13" a="1"/>
  <c r="N59" i="13" s="1"/>
  <c r="N60" i="13" a="1"/>
  <c r="N60" i="13" s="1"/>
  <c r="N61" i="13" a="1"/>
  <c r="N61" i="13" s="1"/>
  <c r="N62" i="13" a="1"/>
  <c r="N62" i="13" s="1"/>
  <c r="N63" i="13" a="1"/>
  <c r="N63" i="13" s="1"/>
  <c r="N64" i="13" a="1"/>
  <c r="N64" i="13" s="1"/>
  <c r="N65" i="13" a="1"/>
  <c r="N65" i="13" s="1"/>
  <c r="N66" i="13" a="1"/>
  <c r="N66" i="13" s="1"/>
  <c r="N67" i="13" a="1"/>
  <c r="N67" i="13" s="1"/>
  <c r="N68" i="13" a="1"/>
  <c r="N68" i="13" s="1"/>
  <c r="N69" i="13" a="1"/>
  <c r="N69" i="13" s="1"/>
  <c r="N70" i="13" a="1"/>
  <c r="N70" i="13" s="1"/>
  <c r="N71" i="13" a="1"/>
  <c r="N71" i="13" s="1"/>
  <c r="N72" i="13" a="1"/>
  <c r="N72" i="13" s="1"/>
  <c r="N73" i="13" a="1"/>
  <c r="N73" i="13" s="1"/>
  <c r="N74" i="13" a="1"/>
  <c r="N74" i="13" s="1"/>
  <c r="N75" i="13" a="1"/>
  <c r="N75" i="13" s="1"/>
  <c r="N76" i="13" a="1"/>
  <c r="N76" i="13" s="1"/>
  <c r="N77" i="13" a="1"/>
  <c r="N77" i="13" s="1"/>
  <c r="N78" i="13" a="1"/>
  <c r="N78" i="13" s="1"/>
  <c r="N79" i="13" a="1"/>
  <c r="N79" i="13" s="1"/>
  <c r="N80" i="13" a="1"/>
  <c r="N80" i="13" s="1"/>
  <c r="N81" i="13" a="1"/>
  <c r="N81" i="13" s="1"/>
  <c r="N82" i="13" a="1"/>
  <c r="N82" i="13" s="1"/>
  <c r="N83" i="13" a="1"/>
  <c r="N83" i="13" s="1"/>
  <c r="N84" i="13" a="1"/>
  <c r="N84" i="13" s="1"/>
  <c r="N85" i="13" a="1"/>
  <c r="N85" i="13" s="1"/>
  <c r="N86" i="13" a="1"/>
  <c r="N86" i="13" s="1"/>
  <c r="N87" i="13" a="1"/>
  <c r="N87" i="13" s="1"/>
  <c r="N88" i="13" a="1"/>
  <c r="N88" i="13" s="1"/>
  <c r="N89" i="13" a="1"/>
  <c r="N89" i="13" s="1"/>
  <c r="N90" i="13" a="1"/>
  <c r="N90" i="13" s="1"/>
  <c r="N91" i="13" a="1"/>
  <c r="N91" i="13" s="1"/>
  <c r="N92" i="13" a="1"/>
  <c r="N92" i="13" s="1"/>
  <c r="N93" i="13" a="1"/>
  <c r="N93" i="13" s="1"/>
  <c r="N94" i="13" a="1"/>
  <c r="N94" i="13" s="1"/>
  <c r="N95" i="13" a="1"/>
  <c r="N95" i="13" s="1"/>
  <c r="N96" i="13" a="1"/>
  <c r="N96" i="13" s="1"/>
  <c r="N97" i="13" a="1"/>
  <c r="N97" i="13" s="1"/>
  <c r="N98" i="13" a="1"/>
  <c r="N98" i="13" s="1"/>
  <c r="N99" i="13" a="1"/>
  <c r="N99" i="13" s="1"/>
  <c r="N100" i="13" a="1"/>
  <c r="N100" i="13" s="1"/>
  <c r="N101" i="13" a="1"/>
  <c r="N101" i="13" s="1"/>
  <c r="N102" i="13" a="1"/>
  <c r="N102" i="13" s="1"/>
  <c r="N103" i="13" a="1"/>
  <c r="N103" i="13" s="1"/>
  <c r="N104" i="13" a="1"/>
  <c r="N104" i="13" s="1"/>
  <c r="N105" i="13" a="1"/>
  <c r="N105" i="13" s="1"/>
  <c r="N106" i="13" a="1"/>
  <c r="N106" i="13" s="1"/>
  <c r="N107" i="13" a="1"/>
  <c r="N107" i="13" s="1"/>
  <c r="N108" i="13" a="1"/>
  <c r="N108" i="13" s="1"/>
  <c r="N109" i="13" a="1"/>
  <c r="N109" i="13" s="1"/>
  <c r="N110" i="13" a="1"/>
  <c r="N110" i="13" s="1"/>
  <c r="N111" i="13" a="1"/>
  <c r="N111" i="13" s="1"/>
  <c r="N112" i="13" a="1"/>
  <c r="N112" i="13" s="1"/>
  <c r="N113" i="13" a="1"/>
  <c r="N113" i="13" s="1"/>
  <c r="N114" i="13" a="1"/>
  <c r="N114" i="13" s="1"/>
  <c r="N115" i="13" a="1"/>
  <c r="N115" i="13" s="1"/>
  <c r="N116" i="13" a="1"/>
  <c r="N116" i="13" s="1"/>
  <c r="N117" i="13" a="1"/>
  <c r="N117" i="13" s="1"/>
  <c r="N118" i="13" a="1"/>
  <c r="N118" i="13" s="1"/>
  <c r="N119" i="13" a="1"/>
  <c r="N119" i="13" s="1"/>
  <c r="N120" i="13" a="1"/>
  <c r="N120" i="13" s="1"/>
  <c r="N121" i="13" a="1"/>
  <c r="N121" i="13" s="1"/>
  <c r="N122" i="13" a="1"/>
  <c r="N122" i="13" s="1"/>
  <c r="N123" i="13" a="1"/>
  <c r="N123" i="13" s="1"/>
  <c r="N124" i="13" a="1"/>
  <c r="N124" i="13" s="1"/>
  <c r="N125" i="13" a="1"/>
  <c r="N125" i="13" s="1"/>
  <c r="N126" i="13" a="1"/>
  <c r="N126" i="13" s="1"/>
  <c r="N127" i="13" a="1"/>
  <c r="N127" i="13" s="1"/>
  <c r="N128" i="13" a="1"/>
  <c r="N128" i="13" s="1"/>
  <c r="N129" i="13" a="1"/>
  <c r="N129" i="13" s="1"/>
  <c r="N130" i="13" a="1"/>
  <c r="N130" i="13" s="1"/>
  <c r="N131" i="13" a="1"/>
  <c r="N131" i="13" s="1"/>
  <c r="N132" i="13" a="1"/>
  <c r="N132" i="13" s="1"/>
  <c r="N133" i="13" a="1"/>
  <c r="N133" i="13" s="1"/>
  <c r="N134" i="13" a="1"/>
  <c r="N134" i="13" s="1"/>
  <c r="N135" i="13" a="1"/>
  <c r="N135" i="13" s="1"/>
  <c r="N136" i="13" a="1"/>
  <c r="N136" i="13" s="1"/>
  <c r="N137" i="13" a="1"/>
  <c r="N137" i="13" s="1"/>
  <c r="N138" i="13" a="1"/>
  <c r="N138" i="13" s="1"/>
  <c r="N139" i="13" a="1"/>
  <c r="N139" i="13" s="1"/>
  <c r="N140" i="13" a="1"/>
  <c r="N140" i="13" s="1"/>
  <c r="N141" i="13" a="1"/>
  <c r="N141" i="13" s="1"/>
  <c r="N142" i="13" a="1"/>
  <c r="N142" i="13" s="1"/>
  <c r="N143" i="13" a="1"/>
  <c r="N143" i="13" s="1"/>
  <c r="N144" i="13" a="1"/>
  <c r="N144" i="13" s="1"/>
  <c r="N145" i="13" a="1"/>
  <c r="N145" i="13" s="1"/>
  <c r="N146" i="13" a="1"/>
  <c r="N146" i="13" s="1"/>
  <c r="N147" i="13" a="1"/>
  <c r="N147" i="13" s="1"/>
  <c r="N148" i="13" a="1"/>
  <c r="N148" i="13" s="1"/>
  <c r="N149" i="13" a="1"/>
  <c r="N149" i="13" s="1"/>
  <c r="N150" i="13" a="1"/>
  <c r="N150" i="13" s="1"/>
  <c r="N151" i="13" a="1"/>
  <c r="N151" i="13" s="1"/>
  <c r="N152" i="13" a="1"/>
  <c r="N152" i="13" s="1"/>
  <c r="N153" i="13" a="1"/>
  <c r="N153" i="13" s="1"/>
  <c r="N154" i="13" a="1"/>
  <c r="N154" i="13" s="1"/>
  <c r="N155" i="13" a="1"/>
  <c r="N155" i="13" s="1"/>
  <c r="N156" i="13" a="1"/>
  <c r="N156" i="13" s="1"/>
  <c r="N157" i="13" a="1"/>
  <c r="N157" i="13" s="1"/>
  <c r="N158" i="13" a="1"/>
  <c r="N158" i="13" s="1"/>
  <c r="N159" i="13" a="1"/>
  <c r="N159" i="13" s="1"/>
  <c r="N160" i="13" a="1"/>
  <c r="N160" i="13" s="1"/>
  <c r="N161" i="13" a="1"/>
  <c r="N161" i="13" s="1"/>
  <c r="N162" i="13" a="1"/>
  <c r="N162" i="13" s="1"/>
  <c r="N163" i="13" a="1"/>
  <c r="N163" i="13" s="1"/>
  <c r="N164" i="13" a="1"/>
  <c r="N164" i="13" s="1"/>
  <c r="N165" i="13" a="1"/>
  <c r="N165" i="13" s="1"/>
  <c r="N166" i="13" a="1"/>
  <c r="N166" i="13" s="1"/>
  <c r="N167" i="13" a="1"/>
  <c r="N167" i="13" s="1"/>
  <c r="N168" i="13" a="1"/>
  <c r="N168" i="13" s="1"/>
  <c r="N169" i="13" a="1"/>
  <c r="N169" i="13" s="1"/>
  <c r="N170" i="13" a="1"/>
  <c r="N170" i="13" s="1"/>
  <c r="N171" i="13" a="1"/>
  <c r="N171" i="13" s="1"/>
  <c r="N172" i="13" a="1"/>
  <c r="N172" i="13" s="1"/>
  <c r="N173" i="13" a="1"/>
  <c r="N173" i="13" s="1"/>
  <c r="N174" i="13" a="1"/>
  <c r="N174" i="13" s="1"/>
  <c r="N175" i="13" a="1"/>
  <c r="N175" i="13" s="1"/>
  <c r="N176" i="13" a="1"/>
  <c r="N176" i="13" s="1"/>
  <c r="N177" i="13" a="1"/>
  <c r="N177" i="13" s="1"/>
  <c r="N178" i="13" a="1"/>
  <c r="N178" i="13" s="1"/>
  <c r="N179" i="13" a="1"/>
  <c r="N179" i="13" s="1"/>
  <c r="N180" i="13" a="1"/>
  <c r="N180" i="13" s="1"/>
  <c r="N181" i="13" a="1"/>
  <c r="N181" i="13" s="1"/>
  <c r="N182" i="13" a="1"/>
  <c r="N182" i="13" s="1"/>
  <c r="N183" i="13" a="1"/>
  <c r="N183" i="13" s="1"/>
  <c r="N184" i="13" a="1"/>
  <c r="N184" i="13" s="1"/>
  <c r="N185" i="13" a="1"/>
  <c r="N185" i="13" s="1"/>
  <c r="N186" i="13" a="1"/>
  <c r="N186" i="13" s="1"/>
  <c r="N187" i="13" a="1"/>
  <c r="N187" i="13" s="1"/>
  <c r="N188" i="13" a="1"/>
  <c r="N188" i="13" s="1"/>
  <c r="N189" i="13" a="1"/>
  <c r="N189" i="13" s="1"/>
  <c r="N190" i="13" a="1"/>
  <c r="N190" i="13" s="1"/>
  <c r="N191" i="13" a="1"/>
  <c r="N191" i="13" s="1"/>
  <c r="N192" i="13" a="1"/>
  <c r="N192" i="13" s="1"/>
  <c r="N193" i="13" a="1"/>
  <c r="N193" i="13" s="1"/>
  <c r="N194" i="13" a="1"/>
  <c r="N194" i="13" s="1"/>
  <c r="N195" i="13" a="1"/>
  <c r="N195" i="13" s="1"/>
  <c r="N196" i="13" a="1"/>
  <c r="N196" i="13" s="1"/>
  <c r="N197" i="13" a="1"/>
  <c r="N197" i="13" s="1"/>
  <c r="N198" i="13" a="1"/>
  <c r="N198" i="13" s="1"/>
  <c r="N199" i="13" a="1"/>
  <c r="N199" i="13" s="1"/>
  <c r="N200" i="13" a="1"/>
  <c r="N200" i="13" s="1"/>
  <c r="N201" i="13" a="1"/>
  <c r="N201" i="13" s="1"/>
  <c r="N202" i="13" a="1"/>
  <c r="N202" i="13" s="1"/>
  <c r="N203" i="13" a="1"/>
  <c r="N203" i="13" s="1"/>
  <c r="N204" i="13" a="1"/>
  <c r="N204" i="13" s="1"/>
  <c r="N205" i="13" a="1"/>
  <c r="N205" i="13" s="1"/>
  <c r="N206" i="13" a="1"/>
  <c r="N206" i="13" s="1"/>
  <c r="N207" i="13" a="1"/>
  <c r="N207" i="13" s="1"/>
  <c r="N208" i="13" a="1"/>
  <c r="N208" i="13" s="1"/>
  <c r="N209" i="13" a="1"/>
  <c r="N209" i="13" s="1"/>
  <c r="N210" i="13" a="1"/>
  <c r="N210" i="13" s="1"/>
  <c r="N211" i="13" a="1"/>
  <c r="N211" i="13" s="1"/>
  <c r="N212" i="13" a="1"/>
  <c r="N212" i="13" s="1"/>
  <c r="N213" i="13" a="1"/>
  <c r="N213" i="13" s="1"/>
  <c r="N214" i="13" a="1"/>
  <c r="N214" i="13" s="1"/>
  <c r="N215" i="13" a="1"/>
  <c r="N215" i="13" s="1"/>
  <c r="N216" i="13" a="1"/>
  <c r="N216" i="13" s="1"/>
  <c r="N217" i="13" a="1"/>
  <c r="N217" i="13" s="1"/>
  <c r="N218" i="13" a="1"/>
  <c r="N218" i="13" s="1"/>
  <c r="N219" i="13" a="1"/>
  <c r="N219" i="13" s="1"/>
  <c r="N220" i="13" a="1"/>
  <c r="N220" i="13" s="1"/>
  <c r="N221" i="13" a="1"/>
  <c r="N221" i="13" s="1"/>
  <c r="N222" i="13" a="1"/>
  <c r="N222" i="13" s="1"/>
  <c r="N223" i="13" a="1"/>
  <c r="N223" i="13" s="1"/>
  <c r="N224" i="13" a="1"/>
  <c r="N224" i="13" s="1"/>
  <c r="N225" i="13" a="1"/>
  <c r="N225" i="13" s="1"/>
  <c r="N226" i="13" a="1"/>
  <c r="N226" i="13" s="1"/>
  <c r="N227" i="13" a="1"/>
  <c r="N227" i="13" s="1"/>
  <c r="N228" i="13" a="1"/>
  <c r="N228" i="13" s="1"/>
  <c r="N229" i="13" a="1"/>
  <c r="N229" i="13" s="1"/>
  <c r="N230" i="13" a="1"/>
  <c r="N230" i="13" s="1"/>
  <c r="N231" i="13" a="1"/>
  <c r="N231" i="13" s="1"/>
  <c r="N232" i="13" a="1"/>
  <c r="N232" i="13" s="1"/>
  <c r="N233" i="13" a="1"/>
  <c r="N233" i="13" s="1"/>
  <c r="N234" i="13" a="1"/>
  <c r="N234" i="13" s="1"/>
  <c r="N235" i="13" a="1"/>
  <c r="N235" i="13" s="1"/>
  <c r="N236" i="13" a="1"/>
  <c r="N236" i="13" s="1"/>
  <c r="N237" i="13" a="1"/>
  <c r="N237" i="13" s="1"/>
  <c r="N238" i="13" a="1"/>
  <c r="N238" i="13" s="1"/>
  <c r="N239" i="13" a="1"/>
  <c r="N239" i="13" s="1"/>
  <c r="N240" i="13" a="1"/>
  <c r="N240" i="13" s="1"/>
  <c r="N241" i="13" a="1"/>
  <c r="N241" i="13" s="1"/>
  <c r="N242" i="13" a="1"/>
  <c r="N242" i="13" s="1"/>
  <c r="N243" i="13" a="1"/>
  <c r="N243" i="13" s="1"/>
  <c r="N244" i="13" a="1"/>
  <c r="N244" i="13" s="1"/>
  <c r="N245" i="13" a="1"/>
  <c r="N245" i="13" s="1"/>
  <c r="N246" i="13" a="1"/>
  <c r="N246" i="13" s="1"/>
  <c r="N247" i="13" a="1"/>
  <c r="N247" i="13" s="1"/>
  <c r="N248" i="13" a="1"/>
  <c r="N248" i="13" s="1"/>
  <c r="N249" i="13" a="1"/>
  <c r="N249" i="13" s="1"/>
  <c r="N250" i="13" a="1"/>
  <c r="N250" i="13" s="1"/>
  <c r="N251" i="13" a="1"/>
  <c r="N251" i="13" s="1"/>
  <c r="N252" i="13" a="1"/>
  <c r="N252" i="13" s="1"/>
  <c r="N253" i="13" a="1"/>
  <c r="N253" i="13" s="1"/>
  <c r="N254" i="13" a="1"/>
  <c r="N254" i="13" s="1"/>
  <c r="N255" i="13" a="1"/>
  <c r="N255" i="13" s="1"/>
  <c r="N256" i="13" a="1"/>
  <c r="N256" i="13" s="1"/>
  <c r="N257" i="13" a="1"/>
  <c r="N257" i="13" s="1"/>
  <c r="N258" i="13" a="1"/>
  <c r="N258" i="13" s="1"/>
  <c r="N259" i="13" a="1"/>
  <c r="N259" i="13" s="1"/>
  <c r="N260" i="13" a="1"/>
  <c r="N260" i="13" s="1"/>
  <c r="N261" i="13" a="1"/>
  <c r="N261" i="13" s="1"/>
  <c r="N262" i="13" a="1"/>
  <c r="N262" i="13" s="1"/>
  <c r="N263" i="13" a="1"/>
  <c r="N263" i="13" s="1"/>
  <c r="N264" i="13" a="1"/>
  <c r="N264" i="13" s="1"/>
  <c r="N265" i="13" a="1"/>
  <c r="N265" i="13" s="1"/>
  <c r="N266" i="13" a="1"/>
  <c r="N266" i="13" s="1"/>
  <c r="N267" i="13" a="1"/>
  <c r="N267" i="13" s="1"/>
  <c r="N268" i="13" a="1"/>
  <c r="N268" i="13" s="1"/>
  <c r="N269" i="13" a="1"/>
  <c r="N269" i="13" s="1"/>
  <c r="N270" i="13" a="1"/>
  <c r="N270" i="13" s="1"/>
  <c r="N271" i="13" a="1"/>
  <c r="N271" i="13" s="1"/>
  <c r="N272" i="13" a="1"/>
  <c r="N272" i="13" s="1"/>
  <c r="N273" i="13" a="1"/>
  <c r="N273" i="13" s="1"/>
  <c r="N274" i="13" a="1"/>
  <c r="N274" i="13" s="1"/>
  <c r="N275" i="13" a="1"/>
  <c r="N275" i="13" s="1"/>
  <c r="N276" i="13" a="1"/>
  <c r="N276" i="13" s="1"/>
  <c r="N277" i="13" a="1"/>
  <c r="N277" i="13" s="1"/>
  <c r="N278" i="13" a="1"/>
  <c r="N278" i="13" s="1"/>
  <c r="N279" i="13" a="1"/>
  <c r="N279" i="13" s="1"/>
  <c r="N280" i="13" a="1"/>
  <c r="N280" i="13" s="1"/>
  <c r="N281" i="13" a="1"/>
  <c r="N281" i="13" s="1"/>
  <c r="N282" i="13" a="1"/>
  <c r="N282" i="13" s="1"/>
  <c r="N283" i="13" a="1"/>
  <c r="N283" i="13" s="1"/>
  <c r="N284" i="13" a="1"/>
  <c r="N284" i="13" s="1"/>
  <c r="N285" i="13" a="1"/>
  <c r="N285" i="13" s="1"/>
  <c r="N286" i="13" a="1"/>
  <c r="N286" i="13" s="1"/>
  <c r="N287" i="13" a="1"/>
  <c r="N287" i="13" s="1"/>
  <c r="N288" i="13" a="1"/>
  <c r="N288" i="13" s="1"/>
  <c r="N289" i="13" a="1"/>
  <c r="N289" i="13" s="1"/>
  <c r="N290" i="13" a="1"/>
  <c r="N290" i="13" s="1"/>
  <c r="N291" i="13" a="1"/>
  <c r="N291" i="13" s="1"/>
  <c r="N292" i="13" a="1"/>
  <c r="N292" i="13" s="1"/>
  <c r="N293" i="13" a="1"/>
  <c r="N293" i="13" s="1"/>
  <c r="N294" i="13" a="1"/>
  <c r="N294" i="13" s="1"/>
  <c r="N295" i="13" a="1"/>
  <c r="N295" i="13" s="1"/>
  <c r="N296" i="13" a="1"/>
  <c r="N296" i="13" s="1"/>
  <c r="N297" i="13" a="1"/>
  <c r="N297" i="13" s="1"/>
  <c r="N298" i="13" a="1"/>
  <c r="N298" i="13" s="1"/>
  <c r="N299" i="13" a="1"/>
  <c r="N299" i="13" s="1"/>
  <c r="N300" i="13" a="1"/>
  <c r="N300" i="13" s="1"/>
  <c r="N301" i="13" a="1"/>
  <c r="N301" i="13" s="1"/>
  <c r="N302" i="13" a="1"/>
  <c r="N302" i="13" s="1"/>
  <c r="N303" i="13" a="1"/>
  <c r="N303" i="13" s="1"/>
  <c r="N304" i="13" a="1"/>
  <c r="N304" i="13" s="1"/>
  <c r="N305" i="13" a="1"/>
  <c r="N305" i="13" s="1"/>
  <c r="N306" i="13" a="1"/>
  <c r="N306" i="13" s="1"/>
  <c r="N307" i="13" a="1"/>
  <c r="N307" i="13" s="1"/>
  <c r="N308" i="13" a="1"/>
  <c r="N308" i="13" s="1"/>
  <c r="N309" i="13" a="1"/>
  <c r="N309" i="13" s="1"/>
  <c r="N310" i="13" a="1"/>
  <c r="N310" i="13" s="1"/>
  <c r="N311" i="13" a="1"/>
  <c r="N311" i="13" s="1"/>
  <c r="N312" i="13" a="1"/>
  <c r="N312" i="13" s="1"/>
  <c r="N313" i="13" a="1"/>
  <c r="N313" i="13" s="1"/>
  <c r="N314" i="13" a="1"/>
  <c r="N314" i="13" s="1"/>
  <c r="N315" i="13" a="1"/>
  <c r="N315" i="13" s="1"/>
  <c r="N316" i="13" a="1"/>
  <c r="N316" i="13" s="1"/>
  <c r="N317" i="13" a="1"/>
  <c r="N317" i="13" s="1"/>
  <c r="N318" i="13" a="1"/>
  <c r="N318" i="13" s="1"/>
  <c r="N319" i="13" a="1"/>
  <c r="N319" i="13" s="1"/>
  <c r="N320" i="13" a="1"/>
  <c r="N320" i="13" s="1"/>
  <c r="N321" i="13" a="1"/>
  <c r="N321" i="13" s="1"/>
  <c r="N322" i="13" a="1"/>
  <c r="N322" i="13" s="1"/>
  <c r="N323" i="13" a="1"/>
  <c r="N323" i="13" s="1"/>
  <c r="N324" i="13" a="1"/>
  <c r="N324" i="13" s="1"/>
  <c r="N325" i="13" a="1"/>
  <c r="N325" i="13" s="1"/>
  <c r="N326" i="13" a="1"/>
  <c r="N326" i="13" s="1"/>
  <c r="N327" i="13" a="1"/>
  <c r="N327" i="13" s="1"/>
  <c r="N328" i="13" a="1"/>
  <c r="N328" i="13" s="1"/>
  <c r="N329" i="13" a="1"/>
  <c r="N329" i="13" s="1"/>
  <c r="N330" i="13" a="1"/>
  <c r="N330" i="13" s="1"/>
  <c r="N331" i="13" a="1"/>
  <c r="N331" i="13" s="1"/>
  <c r="N332" i="13" a="1"/>
  <c r="N332" i="13" s="1"/>
  <c r="N333" i="13" a="1"/>
  <c r="N333" i="13" s="1"/>
  <c r="N334" i="13" a="1"/>
  <c r="N334" i="13" s="1"/>
  <c r="N335" i="13" a="1"/>
  <c r="N335" i="13" s="1"/>
  <c r="N336" i="13" a="1"/>
  <c r="N336" i="13" s="1"/>
  <c r="N337" i="13" a="1"/>
  <c r="N337" i="13" s="1"/>
  <c r="N338" i="13" a="1"/>
  <c r="N338" i="13" s="1"/>
  <c r="N339" i="13" a="1"/>
  <c r="N339" i="13" s="1"/>
  <c r="N340" i="13" a="1"/>
  <c r="N340" i="13" s="1"/>
  <c r="N341" i="13" a="1"/>
  <c r="N341" i="13" s="1"/>
  <c r="N342" i="13" a="1"/>
  <c r="N342" i="13" s="1"/>
  <c r="N343" i="13" a="1"/>
  <c r="N343" i="13" s="1"/>
  <c r="N344" i="13" a="1"/>
  <c r="N344" i="13" s="1"/>
  <c r="N345" i="13" a="1"/>
  <c r="N345" i="13" s="1"/>
  <c r="N346" i="13" a="1"/>
  <c r="N346" i="13" s="1"/>
  <c r="N347" i="13" a="1"/>
  <c r="N347" i="13" s="1"/>
  <c r="N348" i="13" a="1"/>
  <c r="N348" i="13" s="1"/>
  <c r="N349" i="13" a="1"/>
  <c r="N349" i="13" s="1"/>
  <c r="N350" i="13" a="1"/>
  <c r="N350" i="13" s="1"/>
  <c r="N351" i="13" a="1"/>
  <c r="N351" i="13" s="1"/>
  <c r="N352" i="13" a="1"/>
  <c r="N352" i="13" s="1"/>
  <c r="N353" i="13" a="1"/>
  <c r="N353" i="13" s="1"/>
  <c r="N354" i="13" a="1"/>
  <c r="N354" i="13" s="1"/>
  <c r="N355" i="13" a="1"/>
  <c r="N355" i="13" s="1"/>
  <c r="N356" i="13" a="1"/>
  <c r="N356" i="13" s="1"/>
  <c r="N357" i="13" a="1"/>
  <c r="N357" i="13" s="1"/>
  <c r="N358" i="13" a="1"/>
  <c r="N358" i="13" s="1"/>
  <c r="N359" i="13" a="1"/>
  <c r="N359" i="13" s="1"/>
  <c r="N360" i="13" a="1"/>
  <c r="N360" i="13" s="1"/>
  <c r="N361" i="13" a="1"/>
  <c r="N361" i="13" s="1"/>
  <c r="N362" i="13" a="1"/>
  <c r="N362" i="13" s="1"/>
  <c r="N363" i="13" a="1"/>
  <c r="N363" i="13" s="1"/>
  <c r="N364" i="13" a="1"/>
  <c r="N364" i="13" s="1"/>
  <c r="N365" i="13" a="1"/>
  <c r="N365" i="13" s="1"/>
  <c r="N366" i="13" a="1"/>
  <c r="N366" i="13" s="1"/>
  <c r="N367" i="13" a="1"/>
  <c r="N367" i="13" s="1"/>
  <c r="N368" i="13" a="1"/>
  <c r="N368" i="13" s="1"/>
  <c r="N369" i="13" a="1"/>
  <c r="N369" i="13" s="1"/>
  <c r="N370" i="13" a="1"/>
  <c r="N370" i="13" s="1"/>
  <c r="N371" i="13" a="1"/>
  <c r="N371" i="13" s="1"/>
  <c r="N372" i="13" a="1"/>
  <c r="N372" i="13" s="1"/>
  <c r="N373" i="13" a="1"/>
  <c r="N373" i="13" s="1"/>
  <c r="N374" i="13" a="1"/>
  <c r="N374" i="13" s="1"/>
  <c r="N375" i="13" a="1"/>
  <c r="N375" i="13" s="1"/>
  <c r="N376" i="13" a="1"/>
  <c r="N376" i="13" s="1"/>
  <c r="N377" i="13" a="1"/>
  <c r="N377" i="13" s="1"/>
  <c r="N378" i="13" a="1"/>
  <c r="N378" i="13" s="1"/>
  <c r="N379" i="13" a="1"/>
  <c r="N379" i="13" s="1"/>
  <c r="N380" i="13" a="1"/>
  <c r="N380" i="13" s="1"/>
  <c r="N381" i="13" a="1"/>
  <c r="N381" i="13" s="1"/>
  <c r="N382" i="13" a="1"/>
  <c r="N382" i="13" s="1"/>
  <c r="N383" i="13" a="1"/>
  <c r="N383" i="13" s="1"/>
  <c r="N384" i="13" a="1"/>
  <c r="N384" i="13" s="1"/>
  <c r="N385" i="13" a="1"/>
  <c r="N385" i="13" s="1"/>
  <c r="N386" i="13" a="1"/>
  <c r="N386" i="13" s="1"/>
  <c r="N387" i="13" a="1"/>
  <c r="N387" i="13" s="1"/>
  <c r="N388" i="13" a="1"/>
  <c r="N388" i="13" s="1"/>
  <c r="N389" i="13" a="1"/>
  <c r="N389" i="13" s="1"/>
  <c r="N6" i="13" a="1"/>
  <c r="N6" i="13" s="1"/>
  <c r="M7" i="13" a="1"/>
  <c r="M7" i="13" s="1"/>
  <c r="M8" i="13" a="1"/>
  <c r="M8" i="13" s="1"/>
  <c r="O8" i="13" s="1"/>
  <c r="M9" i="13" a="1"/>
  <c r="M9" i="13" s="1"/>
  <c r="O9" i="13" s="1"/>
  <c r="M10" i="13" a="1"/>
  <c r="M10" i="13" s="1"/>
  <c r="M11" i="13" a="1"/>
  <c r="M11" i="13" s="1"/>
  <c r="O11" i="13" s="1"/>
  <c r="M12" i="13" a="1"/>
  <c r="M12" i="13" s="1"/>
  <c r="O12" i="13" s="1"/>
  <c r="M13" i="13" a="1"/>
  <c r="M13" i="13" s="1"/>
  <c r="O13" i="13" s="1"/>
  <c r="M14" i="13" a="1"/>
  <c r="M14" i="13" s="1"/>
  <c r="M15" i="13" a="1"/>
  <c r="M15" i="13" s="1"/>
  <c r="O15" i="13" s="1"/>
  <c r="M16" i="13" a="1"/>
  <c r="M16" i="13" s="1"/>
  <c r="O16" i="13" s="1"/>
  <c r="M17" i="13" a="1"/>
  <c r="M17" i="13" s="1"/>
  <c r="M18" i="13" a="1"/>
  <c r="M18" i="13" s="1"/>
  <c r="M19" i="13" a="1"/>
  <c r="M19" i="13" s="1"/>
  <c r="O19" i="13" s="1"/>
  <c r="M20" i="13" a="1"/>
  <c r="M20" i="13" s="1"/>
  <c r="O20" i="13" s="1"/>
  <c r="M21" i="13" a="1"/>
  <c r="M21" i="13" s="1"/>
  <c r="M22" i="13" a="1"/>
  <c r="M22" i="13" s="1"/>
  <c r="M23" i="13" a="1"/>
  <c r="M23" i="13" s="1"/>
  <c r="O23" i="13" s="1"/>
  <c r="M24" i="13" a="1"/>
  <c r="M24" i="13" s="1"/>
  <c r="M25" i="13" a="1"/>
  <c r="M25" i="13" s="1"/>
  <c r="O25" i="13" s="1"/>
  <c r="M26" i="13" a="1"/>
  <c r="M26" i="13" s="1"/>
  <c r="M27" i="13" a="1"/>
  <c r="M27" i="13" s="1"/>
  <c r="O27" i="13" s="1"/>
  <c r="M28" i="13" a="1"/>
  <c r="M28" i="13" s="1"/>
  <c r="M29" i="13" a="1"/>
  <c r="M29" i="13" s="1"/>
  <c r="O29" i="13" s="1"/>
  <c r="M30" i="13" a="1"/>
  <c r="M30" i="13" s="1"/>
  <c r="M31" i="13" a="1"/>
  <c r="M31" i="13" s="1"/>
  <c r="O31" i="13" s="1"/>
  <c r="M32" i="13" a="1"/>
  <c r="M32" i="13" s="1"/>
  <c r="M33" i="13" a="1"/>
  <c r="M33" i="13" s="1"/>
  <c r="O33" i="13" s="1"/>
  <c r="M34" i="13" a="1"/>
  <c r="M34" i="13" s="1"/>
  <c r="M35" i="13" a="1"/>
  <c r="M35" i="13" s="1"/>
  <c r="M36" i="13" a="1"/>
  <c r="M36" i="13" s="1"/>
  <c r="O36" i="13" s="1"/>
  <c r="M37" i="13" a="1"/>
  <c r="M37" i="13" s="1"/>
  <c r="O37" i="13" s="1"/>
  <c r="M38" i="13" a="1"/>
  <c r="M38" i="13" s="1"/>
  <c r="M39" i="13" a="1"/>
  <c r="M39" i="13" s="1"/>
  <c r="M40" i="13" a="1"/>
  <c r="M40" i="13" s="1"/>
  <c r="O40" i="13" s="1"/>
  <c r="M41" i="13" a="1"/>
  <c r="M41" i="13" s="1"/>
  <c r="O41" i="13" s="1"/>
  <c r="M42" i="13" a="1"/>
  <c r="M42" i="13" s="1"/>
  <c r="M43" i="13" a="1"/>
  <c r="M43" i="13" s="1"/>
  <c r="O43" i="13" s="1"/>
  <c r="M44" i="13" a="1"/>
  <c r="M44" i="13" s="1"/>
  <c r="O44" i="13" s="1"/>
  <c r="M45" i="13" a="1"/>
  <c r="M45" i="13" s="1"/>
  <c r="O45" i="13" s="1"/>
  <c r="M46" i="13" a="1"/>
  <c r="M46" i="13" s="1"/>
  <c r="M47" i="13" a="1"/>
  <c r="M47" i="13" s="1"/>
  <c r="O47" i="13" s="1"/>
  <c r="M48" i="13" a="1"/>
  <c r="M48" i="13" s="1"/>
  <c r="O48" i="13" s="1"/>
  <c r="M49" i="13" a="1"/>
  <c r="M49" i="13" s="1"/>
  <c r="M50" i="13" a="1"/>
  <c r="M50" i="13" s="1"/>
  <c r="M51" i="13" a="1"/>
  <c r="M51" i="13" s="1"/>
  <c r="O51" i="13" s="1"/>
  <c r="M52" i="13" a="1"/>
  <c r="M52" i="13" s="1"/>
  <c r="O52" i="13" s="1"/>
  <c r="M53" i="13" a="1"/>
  <c r="M53" i="13" s="1"/>
  <c r="M54" i="13" a="1"/>
  <c r="M54" i="13" s="1"/>
  <c r="M55" i="13" a="1"/>
  <c r="M55" i="13" s="1"/>
  <c r="O55" i="13" s="1"/>
  <c r="M56" i="13" a="1"/>
  <c r="M56" i="13" s="1"/>
  <c r="O56" i="13" s="1"/>
  <c r="M57" i="13" a="1"/>
  <c r="M57" i="13" s="1"/>
  <c r="M58" i="13" a="1"/>
  <c r="M58" i="13" s="1"/>
  <c r="M59" i="13" a="1"/>
  <c r="M59" i="13" s="1"/>
  <c r="O59" i="13" s="1"/>
  <c r="M60" i="13" a="1"/>
  <c r="M60" i="13" s="1"/>
  <c r="M61" i="13" a="1"/>
  <c r="M61" i="13" s="1"/>
  <c r="M62" i="13" a="1"/>
  <c r="M62" i="13" s="1"/>
  <c r="M63" i="13" a="1"/>
  <c r="M63" i="13" s="1"/>
  <c r="O63" i="13" s="1"/>
  <c r="M64" i="13" a="1"/>
  <c r="M64" i="13" s="1"/>
  <c r="M65" i="13" a="1"/>
  <c r="M65" i="13" s="1"/>
  <c r="M66" i="13" a="1"/>
  <c r="M66" i="13" s="1"/>
  <c r="M67" i="13" a="1"/>
  <c r="M67" i="13" s="1"/>
  <c r="M68" i="13" a="1"/>
  <c r="M68" i="13" s="1"/>
  <c r="M69" i="13" a="1"/>
  <c r="M69" i="13" s="1"/>
  <c r="O69" i="13" s="1"/>
  <c r="M70" i="13" a="1"/>
  <c r="M70" i="13" s="1"/>
  <c r="M71" i="13" a="1"/>
  <c r="M71" i="13" s="1"/>
  <c r="M72" i="13" a="1"/>
  <c r="M72" i="13" s="1"/>
  <c r="M73" i="13" a="1"/>
  <c r="M73" i="13" s="1"/>
  <c r="O73" i="13" s="1"/>
  <c r="M74" i="13" a="1"/>
  <c r="M74" i="13" s="1"/>
  <c r="M75" i="13" a="1"/>
  <c r="M75" i="13" s="1"/>
  <c r="M76" i="13" a="1"/>
  <c r="M76" i="13" s="1"/>
  <c r="M77" i="13" a="1"/>
  <c r="M77" i="13" s="1"/>
  <c r="O77" i="13" s="1"/>
  <c r="M78" i="13" a="1"/>
  <c r="M78" i="13" s="1"/>
  <c r="M79" i="13" a="1"/>
  <c r="M79" i="13" s="1"/>
  <c r="M80" i="13" a="1"/>
  <c r="M80" i="13" s="1"/>
  <c r="M81" i="13" a="1"/>
  <c r="M81" i="13" s="1"/>
  <c r="M82" i="13" a="1"/>
  <c r="M82" i="13" s="1"/>
  <c r="M83" i="13" a="1"/>
  <c r="M83" i="13" s="1"/>
  <c r="M84" i="13" a="1"/>
  <c r="M84" i="13" s="1"/>
  <c r="O84" i="13" s="1"/>
  <c r="M85" i="13" a="1"/>
  <c r="M85" i="13" s="1"/>
  <c r="M86" i="13" a="1"/>
  <c r="M86" i="13" s="1"/>
  <c r="M87" i="13" a="1"/>
  <c r="M87" i="13" s="1"/>
  <c r="M88" i="13" a="1"/>
  <c r="M88" i="13" s="1"/>
  <c r="M89" i="13" a="1"/>
  <c r="M89" i="13" s="1"/>
  <c r="M90" i="13" a="1"/>
  <c r="M90" i="13" s="1"/>
  <c r="M91" i="13" a="1"/>
  <c r="M91" i="13" s="1"/>
  <c r="O91" i="13" s="1"/>
  <c r="M92" i="13" a="1"/>
  <c r="M92" i="13" s="1"/>
  <c r="M93" i="13" a="1"/>
  <c r="M93" i="13" s="1"/>
  <c r="M94" i="13" a="1"/>
  <c r="M94" i="13" s="1"/>
  <c r="M95" i="13" a="1"/>
  <c r="M95" i="13" s="1"/>
  <c r="M96" i="13" a="1"/>
  <c r="M96" i="13" s="1"/>
  <c r="M97" i="13" a="1"/>
  <c r="M97" i="13" s="1"/>
  <c r="M98" i="13" a="1"/>
  <c r="M98" i="13" s="1"/>
  <c r="M99" i="13" a="1"/>
  <c r="M99" i="13" s="1"/>
  <c r="M100" i="13" a="1"/>
  <c r="M100" i="13" s="1"/>
  <c r="M101" i="13" a="1"/>
  <c r="M101" i="13" s="1"/>
  <c r="M102" i="13" a="1"/>
  <c r="M102" i="13" s="1"/>
  <c r="M103" i="13" a="1"/>
  <c r="M103" i="13" s="1"/>
  <c r="M104" i="13" a="1"/>
  <c r="M104" i="13" s="1"/>
  <c r="M105" i="13" a="1"/>
  <c r="M105" i="13" s="1"/>
  <c r="M106" i="13" a="1"/>
  <c r="M106" i="13" s="1"/>
  <c r="M107" i="13" a="1"/>
  <c r="M107" i="13" s="1"/>
  <c r="M108" i="13" a="1"/>
  <c r="M108" i="13" s="1"/>
  <c r="M109" i="13" a="1"/>
  <c r="M109" i="13" s="1"/>
  <c r="M110" i="13" a="1"/>
  <c r="M110" i="13" s="1"/>
  <c r="M111" i="13" a="1"/>
  <c r="M111" i="13" s="1"/>
  <c r="M112" i="13" a="1"/>
  <c r="M112" i="13" s="1"/>
  <c r="M113" i="13" a="1"/>
  <c r="M113" i="13" s="1"/>
  <c r="M114" i="13" a="1"/>
  <c r="M114" i="13" s="1"/>
  <c r="M115" i="13" a="1"/>
  <c r="M115" i="13" s="1"/>
  <c r="M116" i="13" a="1"/>
  <c r="M116" i="13" s="1"/>
  <c r="M117" i="13" a="1"/>
  <c r="M117" i="13" s="1"/>
  <c r="M118" i="13" a="1"/>
  <c r="M118" i="13" s="1"/>
  <c r="M119" i="13" a="1"/>
  <c r="M119" i="13" s="1"/>
  <c r="M120" i="13" a="1"/>
  <c r="M120" i="13" s="1"/>
  <c r="M121" i="13" a="1"/>
  <c r="M121" i="13" s="1"/>
  <c r="M122" i="13" a="1"/>
  <c r="M122" i="13" s="1"/>
  <c r="M123" i="13" a="1"/>
  <c r="M123" i="13" s="1"/>
  <c r="M124" i="13" a="1"/>
  <c r="M124" i="13" s="1"/>
  <c r="M125" i="13" a="1"/>
  <c r="M125" i="13" s="1"/>
  <c r="M126" i="13" a="1"/>
  <c r="M126" i="13" s="1"/>
  <c r="M127" i="13" a="1"/>
  <c r="M127" i="13" s="1"/>
  <c r="M128" i="13" a="1"/>
  <c r="M128" i="13" s="1"/>
  <c r="M129" i="13" a="1"/>
  <c r="M129" i="13" s="1"/>
  <c r="M130" i="13" a="1"/>
  <c r="M130" i="13" s="1"/>
  <c r="M131" i="13" a="1"/>
  <c r="M131" i="13" s="1"/>
  <c r="M132" i="13" a="1"/>
  <c r="M132" i="13" s="1"/>
  <c r="M133" i="13" a="1"/>
  <c r="M133" i="13" s="1"/>
  <c r="M134" i="13" a="1"/>
  <c r="M134" i="13" s="1"/>
  <c r="M135" i="13" a="1"/>
  <c r="M135" i="13" s="1"/>
  <c r="M136" i="13" a="1"/>
  <c r="M136" i="13" s="1"/>
  <c r="M137" i="13" a="1"/>
  <c r="M137" i="13" s="1"/>
  <c r="M138" i="13" a="1"/>
  <c r="M138" i="13" s="1"/>
  <c r="M139" i="13" a="1"/>
  <c r="M139" i="13" s="1"/>
  <c r="M140" i="13" a="1"/>
  <c r="M140" i="13" s="1"/>
  <c r="M141" i="13" a="1"/>
  <c r="M141" i="13" s="1"/>
  <c r="M142" i="13" a="1"/>
  <c r="M142" i="13" s="1"/>
  <c r="M143" i="13" a="1"/>
  <c r="M143" i="13" s="1"/>
  <c r="M144" i="13" a="1"/>
  <c r="M144" i="13" s="1"/>
  <c r="M145" i="13" a="1"/>
  <c r="M145" i="13" s="1"/>
  <c r="M146" i="13" a="1"/>
  <c r="M146" i="13" s="1"/>
  <c r="M147" i="13" a="1"/>
  <c r="M147" i="13" s="1"/>
  <c r="M148" i="13" a="1"/>
  <c r="M148" i="13" s="1"/>
  <c r="M149" i="13" a="1"/>
  <c r="M149" i="13" s="1"/>
  <c r="M150" i="13" a="1"/>
  <c r="M150" i="13" s="1"/>
  <c r="M151" i="13" a="1"/>
  <c r="M151" i="13" s="1"/>
  <c r="M152" i="13" a="1"/>
  <c r="M152" i="13" s="1"/>
  <c r="M153" i="13" a="1"/>
  <c r="M153" i="13" s="1"/>
  <c r="M154" i="13" a="1"/>
  <c r="M154" i="13" s="1"/>
  <c r="M155" i="13" a="1"/>
  <c r="M155" i="13" s="1"/>
  <c r="M156" i="13" a="1"/>
  <c r="M156" i="13" s="1"/>
  <c r="M157" i="13" a="1"/>
  <c r="M157" i="13" s="1"/>
  <c r="M158" i="13" a="1"/>
  <c r="M158" i="13" s="1"/>
  <c r="M159" i="13" a="1"/>
  <c r="M159" i="13" s="1"/>
  <c r="M160" i="13" a="1"/>
  <c r="M160" i="13" s="1"/>
  <c r="M161" i="13" a="1"/>
  <c r="M161" i="13" s="1"/>
  <c r="M162" i="13" a="1"/>
  <c r="M162" i="13" s="1"/>
  <c r="M163" i="13" a="1"/>
  <c r="M163" i="13" s="1"/>
  <c r="M164" i="13" a="1"/>
  <c r="M164" i="13" s="1"/>
  <c r="M165" i="13" a="1"/>
  <c r="M165" i="13" s="1"/>
  <c r="M166" i="13" a="1"/>
  <c r="M166" i="13" s="1"/>
  <c r="M167" i="13" a="1"/>
  <c r="M167" i="13" s="1"/>
  <c r="M168" i="13" a="1"/>
  <c r="M168" i="13" s="1"/>
  <c r="M169" i="13" a="1"/>
  <c r="M169" i="13" s="1"/>
  <c r="M170" i="13" a="1"/>
  <c r="M170" i="13" s="1"/>
  <c r="M171" i="13" a="1"/>
  <c r="M171" i="13" s="1"/>
  <c r="M172" i="13" a="1"/>
  <c r="M172" i="13" s="1"/>
  <c r="M173" i="13" a="1"/>
  <c r="M173" i="13" s="1"/>
  <c r="M174" i="13" a="1"/>
  <c r="M174" i="13" s="1"/>
  <c r="M175" i="13" a="1"/>
  <c r="M175" i="13" s="1"/>
  <c r="M176" i="13" a="1"/>
  <c r="M176" i="13" s="1"/>
  <c r="M177" i="13" a="1"/>
  <c r="M177" i="13" s="1"/>
  <c r="M178" i="13" a="1"/>
  <c r="M178" i="13" s="1"/>
  <c r="M179" i="13" a="1"/>
  <c r="M179" i="13" s="1"/>
  <c r="M180" i="13" a="1"/>
  <c r="M180" i="13" s="1"/>
  <c r="M181" i="13" a="1"/>
  <c r="M181" i="13" s="1"/>
  <c r="M182" i="13" a="1"/>
  <c r="M182" i="13" s="1"/>
  <c r="M183" i="13" a="1"/>
  <c r="M183" i="13" s="1"/>
  <c r="M184" i="13" a="1"/>
  <c r="M184" i="13" s="1"/>
  <c r="M185" i="13" a="1"/>
  <c r="M185" i="13" s="1"/>
  <c r="M186" i="13" a="1"/>
  <c r="M186" i="13" s="1"/>
  <c r="M187" i="13" a="1"/>
  <c r="M187" i="13" s="1"/>
  <c r="M188" i="13" a="1"/>
  <c r="M188" i="13" s="1"/>
  <c r="M189" i="13" a="1"/>
  <c r="M189" i="13" s="1"/>
  <c r="M190" i="13" a="1"/>
  <c r="M190" i="13" s="1"/>
  <c r="M191" i="13" a="1"/>
  <c r="M191" i="13" s="1"/>
  <c r="M192" i="13" a="1"/>
  <c r="M192" i="13" s="1"/>
  <c r="M193" i="13" a="1"/>
  <c r="M193" i="13" s="1"/>
  <c r="M194" i="13" a="1"/>
  <c r="M194" i="13" s="1"/>
  <c r="M195" i="13" a="1"/>
  <c r="M195" i="13" s="1"/>
  <c r="M196" i="13" a="1"/>
  <c r="M196" i="13" s="1"/>
  <c r="M197" i="13" a="1"/>
  <c r="M197" i="13" s="1"/>
  <c r="M198" i="13" a="1"/>
  <c r="M198" i="13" s="1"/>
  <c r="M199" i="13" a="1"/>
  <c r="M199" i="13" s="1"/>
  <c r="M200" i="13" a="1"/>
  <c r="M200" i="13" s="1"/>
  <c r="M201" i="13" a="1"/>
  <c r="M201" i="13" s="1"/>
  <c r="M202" i="13" a="1"/>
  <c r="M202" i="13" s="1"/>
  <c r="M203" i="13" a="1"/>
  <c r="M203" i="13" s="1"/>
  <c r="M204" i="13" a="1"/>
  <c r="M204" i="13" s="1"/>
  <c r="M205" i="13" a="1"/>
  <c r="M205" i="13" s="1"/>
  <c r="M206" i="13" a="1"/>
  <c r="M206" i="13" s="1"/>
  <c r="M207" i="13" a="1"/>
  <c r="M207" i="13" s="1"/>
  <c r="M208" i="13" a="1"/>
  <c r="M208" i="13" s="1"/>
  <c r="M209" i="13" a="1"/>
  <c r="M209" i="13" s="1"/>
  <c r="M210" i="13" a="1"/>
  <c r="M210" i="13" s="1"/>
  <c r="M211" i="13" a="1"/>
  <c r="M211" i="13" s="1"/>
  <c r="M212" i="13" a="1"/>
  <c r="M212" i="13" s="1"/>
  <c r="M213" i="13" a="1"/>
  <c r="M213" i="13" s="1"/>
  <c r="M214" i="13" a="1"/>
  <c r="M214" i="13" s="1"/>
  <c r="M215" i="13" a="1"/>
  <c r="M215" i="13" s="1"/>
  <c r="M216" i="13" a="1"/>
  <c r="M216" i="13" s="1"/>
  <c r="M217" i="13" a="1"/>
  <c r="M217" i="13" s="1"/>
  <c r="M218" i="13" a="1"/>
  <c r="M218" i="13" s="1"/>
  <c r="M219" i="13" a="1"/>
  <c r="M219" i="13" s="1"/>
  <c r="M220" i="13" a="1"/>
  <c r="M220" i="13" s="1"/>
  <c r="M221" i="13" a="1"/>
  <c r="M221" i="13" s="1"/>
  <c r="M222" i="13" a="1"/>
  <c r="M222" i="13" s="1"/>
  <c r="M223" i="13" a="1"/>
  <c r="M223" i="13" s="1"/>
  <c r="M224" i="13" a="1"/>
  <c r="M224" i="13" s="1"/>
  <c r="M225" i="13" a="1"/>
  <c r="M225" i="13" s="1"/>
  <c r="M226" i="13" a="1"/>
  <c r="M226" i="13" s="1"/>
  <c r="M227" i="13" a="1"/>
  <c r="M227" i="13" s="1"/>
  <c r="M228" i="13" a="1"/>
  <c r="M228" i="13" s="1"/>
  <c r="M229" i="13" a="1"/>
  <c r="M229" i="13" s="1"/>
  <c r="M230" i="13" a="1"/>
  <c r="M230" i="13" s="1"/>
  <c r="M231" i="13" a="1"/>
  <c r="M231" i="13" s="1"/>
  <c r="M232" i="13" a="1"/>
  <c r="M232" i="13" s="1"/>
  <c r="M233" i="13" a="1"/>
  <c r="M233" i="13" s="1"/>
  <c r="M234" i="13" a="1"/>
  <c r="M234" i="13" s="1"/>
  <c r="M235" i="13" a="1"/>
  <c r="M235" i="13" s="1"/>
  <c r="M236" i="13" a="1"/>
  <c r="M236" i="13" s="1"/>
  <c r="M237" i="13" a="1"/>
  <c r="M237" i="13" s="1"/>
  <c r="M238" i="13" a="1"/>
  <c r="M238" i="13" s="1"/>
  <c r="M239" i="13" a="1"/>
  <c r="M239" i="13" s="1"/>
  <c r="M240" i="13" a="1"/>
  <c r="M240" i="13" s="1"/>
  <c r="M241" i="13" a="1"/>
  <c r="M241" i="13" s="1"/>
  <c r="M242" i="13" a="1"/>
  <c r="M242" i="13" s="1"/>
  <c r="M243" i="13" a="1"/>
  <c r="M243" i="13" s="1"/>
  <c r="M244" i="13" a="1"/>
  <c r="M244" i="13" s="1"/>
  <c r="M245" i="13" a="1"/>
  <c r="M245" i="13" s="1"/>
  <c r="M246" i="13" a="1"/>
  <c r="M246" i="13" s="1"/>
  <c r="M247" i="13" a="1"/>
  <c r="M247" i="13" s="1"/>
  <c r="M248" i="13" a="1"/>
  <c r="M248" i="13" s="1"/>
  <c r="M249" i="13" a="1"/>
  <c r="M249" i="13" s="1"/>
  <c r="M250" i="13" a="1"/>
  <c r="M250" i="13" s="1"/>
  <c r="M251" i="13" a="1"/>
  <c r="M251" i="13" s="1"/>
  <c r="M252" i="13" a="1"/>
  <c r="M252" i="13" s="1"/>
  <c r="M253" i="13" a="1"/>
  <c r="M253" i="13" s="1"/>
  <c r="M254" i="13" a="1"/>
  <c r="M254" i="13" s="1"/>
  <c r="M255" i="13" a="1"/>
  <c r="M255" i="13" s="1"/>
  <c r="M256" i="13" a="1"/>
  <c r="M256" i="13" s="1"/>
  <c r="M257" i="13" a="1"/>
  <c r="M257" i="13" s="1"/>
  <c r="M258" i="13" a="1"/>
  <c r="M258" i="13" s="1"/>
  <c r="M259" i="13" a="1"/>
  <c r="M259" i="13" s="1"/>
  <c r="M260" i="13" a="1"/>
  <c r="M260" i="13" s="1"/>
  <c r="M261" i="13" a="1"/>
  <c r="M261" i="13" s="1"/>
  <c r="M262" i="13" a="1"/>
  <c r="M262" i="13" s="1"/>
  <c r="M263" i="13" a="1"/>
  <c r="M263" i="13" s="1"/>
  <c r="M264" i="13" a="1"/>
  <c r="M264" i="13" s="1"/>
  <c r="M265" i="13" a="1"/>
  <c r="M265" i="13" s="1"/>
  <c r="M266" i="13" a="1"/>
  <c r="M266" i="13" s="1"/>
  <c r="M267" i="13" a="1"/>
  <c r="M267" i="13" s="1"/>
  <c r="M268" i="13" a="1"/>
  <c r="M268" i="13" s="1"/>
  <c r="M269" i="13" a="1"/>
  <c r="M269" i="13" s="1"/>
  <c r="M270" i="13" a="1"/>
  <c r="M270" i="13" s="1"/>
  <c r="M271" i="13" a="1"/>
  <c r="M271" i="13" s="1"/>
  <c r="M272" i="13" a="1"/>
  <c r="M272" i="13" s="1"/>
  <c r="M273" i="13" a="1"/>
  <c r="M273" i="13" s="1"/>
  <c r="M274" i="13" a="1"/>
  <c r="M274" i="13" s="1"/>
  <c r="M275" i="13" a="1"/>
  <c r="M275" i="13" s="1"/>
  <c r="M276" i="13" a="1"/>
  <c r="M276" i="13" s="1"/>
  <c r="M277" i="13" a="1"/>
  <c r="M277" i="13" s="1"/>
  <c r="M278" i="13" a="1"/>
  <c r="M278" i="13" s="1"/>
  <c r="M279" i="13" a="1"/>
  <c r="M279" i="13" s="1"/>
  <c r="M280" i="13" a="1"/>
  <c r="M280" i="13" s="1"/>
  <c r="M281" i="13" a="1"/>
  <c r="M281" i="13" s="1"/>
  <c r="M282" i="13" a="1"/>
  <c r="M282" i="13" s="1"/>
  <c r="M283" i="13" a="1"/>
  <c r="M283" i="13" s="1"/>
  <c r="M284" i="13" a="1"/>
  <c r="M284" i="13" s="1"/>
  <c r="M285" i="13" a="1"/>
  <c r="M285" i="13" s="1"/>
  <c r="M286" i="13" a="1"/>
  <c r="M286" i="13" s="1"/>
  <c r="M287" i="13" a="1"/>
  <c r="M287" i="13" s="1"/>
  <c r="M288" i="13" a="1"/>
  <c r="M288" i="13" s="1"/>
  <c r="M289" i="13" a="1"/>
  <c r="M289" i="13" s="1"/>
  <c r="M290" i="13" a="1"/>
  <c r="M290" i="13" s="1"/>
  <c r="M291" i="13" a="1"/>
  <c r="M291" i="13" s="1"/>
  <c r="M292" i="13" a="1"/>
  <c r="M292" i="13" s="1"/>
  <c r="M293" i="13" a="1"/>
  <c r="M293" i="13" s="1"/>
  <c r="M294" i="13" a="1"/>
  <c r="M294" i="13" s="1"/>
  <c r="M295" i="13" a="1"/>
  <c r="M295" i="13" s="1"/>
  <c r="M296" i="13" a="1"/>
  <c r="M296" i="13" s="1"/>
  <c r="M297" i="13" a="1"/>
  <c r="M297" i="13" s="1"/>
  <c r="M298" i="13" a="1"/>
  <c r="M298" i="13" s="1"/>
  <c r="M299" i="13" a="1"/>
  <c r="M299" i="13" s="1"/>
  <c r="M300" i="13" a="1"/>
  <c r="M300" i="13" s="1"/>
  <c r="M301" i="13" a="1"/>
  <c r="M301" i="13" s="1"/>
  <c r="M302" i="13" a="1"/>
  <c r="M302" i="13" s="1"/>
  <c r="M303" i="13" a="1"/>
  <c r="M303" i="13" s="1"/>
  <c r="M304" i="13" a="1"/>
  <c r="M304" i="13" s="1"/>
  <c r="M305" i="13" a="1"/>
  <c r="M305" i="13" s="1"/>
  <c r="M306" i="13" a="1"/>
  <c r="M306" i="13" s="1"/>
  <c r="M307" i="13" a="1"/>
  <c r="M307" i="13" s="1"/>
  <c r="M308" i="13" a="1"/>
  <c r="M308" i="13" s="1"/>
  <c r="M309" i="13" a="1"/>
  <c r="M309" i="13" s="1"/>
  <c r="M310" i="13" a="1"/>
  <c r="M310" i="13" s="1"/>
  <c r="M311" i="13" a="1"/>
  <c r="M311" i="13" s="1"/>
  <c r="M312" i="13" a="1"/>
  <c r="M312" i="13" s="1"/>
  <c r="M313" i="13" a="1"/>
  <c r="M313" i="13" s="1"/>
  <c r="M314" i="13" a="1"/>
  <c r="M314" i="13" s="1"/>
  <c r="M315" i="13" a="1"/>
  <c r="M315" i="13" s="1"/>
  <c r="M316" i="13" a="1"/>
  <c r="M316" i="13" s="1"/>
  <c r="M317" i="13" a="1"/>
  <c r="M317" i="13" s="1"/>
  <c r="M318" i="13" a="1"/>
  <c r="M318" i="13" s="1"/>
  <c r="M319" i="13" a="1"/>
  <c r="M319" i="13" s="1"/>
  <c r="M320" i="13" a="1"/>
  <c r="M320" i="13" s="1"/>
  <c r="M321" i="13" a="1"/>
  <c r="M321" i="13" s="1"/>
  <c r="M322" i="13" a="1"/>
  <c r="M322" i="13" s="1"/>
  <c r="M323" i="13" a="1"/>
  <c r="M323" i="13" s="1"/>
  <c r="M324" i="13" a="1"/>
  <c r="M324" i="13" s="1"/>
  <c r="M325" i="13" a="1"/>
  <c r="M325" i="13" s="1"/>
  <c r="M326" i="13" a="1"/>
  <c r="M326" i="13" s="1"/>
  <c r="M327" i="13" a="1"/>
  <c r="M327" i="13" s="1"/>
  <c r="M328" i="13" a="1"/>
  <c r="M328" i="13" s="1"/>
  <c r="M329" i="13" a="1"/>
  <c r="M329" i="13" s="1"/>
  <c r="M330" i="13" a="1"/>
  <c r="M330" i="13" s="1"/>
  <c r="M331" i="13" a="1"/>
  <c r="M331" i="13" s="1"/>
  <c r="M332" i="13" a="1"/>
  <c r="M332" i="13" s="1"/>
  <c r="M333" i="13" a="1"/>
  <c r="M333" i="13" s="1"/>
  <c r="M334" i="13" a="1"/>
  <c r="M334" i="13" s="1"/>
  <c r="M335" i="13" a="1"/>
  <c r="M335" i="13" s="1"/>
  <c r="M336" i="13" a="1"/>
  <c r="M336" i="13" s="1"/>
  <c r="M337" i="13" a="1"/>
  <c r="M337" i="13" s="1"/>
  <c r="M338" i="13" a="1"/>
  <c r="M338" i="13" s="1"/>
  <c r="M339" i="13" a="1"/>
  <c r="M339" i="13" s="1"/>
  <c r="M340" i="13" a="1"/>
  <c r="M340" i="13" s="1"/>
  <c r="M341" i="13" a="1"/>
  <c r="M341" i="13" s="1"/>
  <c r="M342" i="13" a="1"/>
  <c r="M342" i="13" s="1"/>
  <c r="M343" i="13" a="1"/>
  <c r="M343" i="13" s="1"/>
  <c r="M344" i="13" a="1"/>
  <c r="M344" i="13" s="1"/>
  <c r="M345" i="13" a="1"/>
  <c r="M345" i="13" s="1"/>
  <c r="M346" i="13" a="1"/>
  <c r="M346" i="13" s="1"/>
  <c r="M347" i="13" a="1"/>
  <c r="M347" i="13" s="1"/>
  <c r="M348" i="13" a="1"/>
  <c r="M348" i="13" s="1"/>
  <c r="M349" i="13" a="1"/>
  <c r="M349" i="13" s="1"/>
  <c r="M350" i="13" a="1"/>
  <c r="M350" i="13" s="1"/>
  <c r="M351" i="13" a="1"/>
  <c r="M351" i="13" s="1"/>
  <c r="M352" i="13" a="1"/>
  <c r="M352" i="13" s="1"/>
  <c r="M353" i="13" a="1"/>
  <c r="M353" i="13" s="1"/>
  <c r="M354" i="13" a="1"/>
  <c r="M354" i="13" s="1"/>
  <c r="M355" i="13" a="1"/>
  <c r="M355" i="13" s="1"/>
  <c r="M356" i="13" a="1"/>
  <c r="M356" i="13" s="1"/>
  <c r="M357" i="13" a="1"/>
  <c r="M357" i="13" s="1"/>
  <c r="M358" i="13" a="1"/>
  <c r="M358" i="13" s="1"/>
  <c r="M359" i="13" a="1"/>
  <c r="M359" i="13" s="1"/>
  <c r="M360" i="13" a="1"/>
  <c r="M360" i="13" s="1"/>
  <c r="M361" i="13" a="1"/>
  <c r="M361" i="13" s="1"/>
  <c r="M362" i="13" a="1"/>
  <c r="M362" i="13" s="1"/>
  <c r="M363" i="13" a="1"/>
  <c r="M363" i="13" s="1"/>
  <c r="M364" i="13" a="1"/>
  <c r="M364" i="13" s="1"/>
  <c r="M365" i="13" a="1"/>
  <c r="M365" i="13" s="1"/>
  <c r="M366" i="13" a="1"/>
  <c r="M366" i="13" s="1"/>
  <c r="M367" i="13" a="1"/>
  <c r="M367" i="13" s="1"/>
  <c r="M368" i="13" a="1"/>
  <c r="M368" i="13" s="1"/>
  <c r="M369" i="13" a="1"/>
  <c r="M369" i="13" s="1"/>
  <c r="M370" i="13" a="1"/>
  <c r="M370" i="13" s="1"/>
  <c r="M371" i="13" a="1"/>
  <c r="M371" i="13" s="1"/>
  <c r="M372" i="13" a="1"/>
  <c r="M372" i="13" s="1"/>
  <c r="M373" i="13" a="1"/>
  <c r="M373" i="13" s="1"/>
  <c r="M374" i="13" a="1"/>
  <c r="M374" i="13" s="1"/>
  <c r="M375" i="13" a="1"/>
  <c r="M375" i="13" s="1"/>
  <c r="M376" i="13" a="1"/>
  <c r="M376" i="13" s="1"/>
  <c r="M377" i="13" a="1"/>
  <c r="M377" i="13" s="1"/>
  <c r="M378" i="13" a="1"/>
  <c r="M378" i="13" s="1"/>
  <c r="M379" i="13" a="1"/>
  <c r="M379" i="13" s="1"/>
  <c r="M380" i="13" a="1"/>
  <c r="M380" i="13" s="1"/>
  <c r="M381" i="13" a="1"/>
  <c r="M381" i="13" s="1"/>
  <c r="M382" i="13" a="1"/>
  <c r="M382" i="13" s="1"/>
  <c r="M383" i="13" a="1"/>
  <c r="M383" i="13" s="1"/>
  <c r="M384" i="13" a="1"/>
  <c r="M384" i="13" s="1"/>
  <c r="M385" i="13" a="1"/>
  <c r="M385" i="13" s="1"/>
  <c r="M386" i="13" a="1"/>
  <c r="M386" i="13" s="1"/>
  <c r="M387" i="13" a="1"/>
  <c r="M387" i="13" s="1"/>
  <c r="M388" i="13" a="1"/>
  <c r="M388" i="13" s="1"/>
  <c r="M389" i="13" a="1"/>
  <c r="M389" i="13" s="1"/>
  <c r="M6" i="13" a="1"/>
  <c r="M6" i="13" s="1"/>
  <c r="O24" i="13" l="1"/>
  <c r="O88" i="13"/>
  <c r="T342" i="13"/>
  <c r="T332" i="13"/>
  <c r="T314" i="13"/>
  <c r="T300" i="13"/>
  <c r="T282" i="13"/>
  <c r="T268" i="13"/>
  <c r="T252" i="13"/>
  <c r="T344" i="13"/>
  <c r="T330" i="13"/>
  <c r="T316" i="13"/>
  <c r="T298" i="13"/>
  <c r="T284" i="13"/>
  <c r="T266" i="13"/>
  <c r="T244" i="13"/>
  <c r="O326" i="13"/>
  <c r="O314" i="13"/>
  <c r="O107" i="13"/>
  <c r="O298" i="13"/>
  <c r="O261" i="13"/>
  <c r="O219" i="13"/>
  <c r="O197" i="13"/>
  <c r="O149" i="13"/>
  <c r="O282" i="13"/>
  <c r="O155" i="13"/>
  <c r="O378" i="13"/>
  <c r="O362" i="13"/>
  <c r="O330" i="13"/>
  <c r="O240" i="13"/>
  <c r="O229" i="13"/>
  <c r="O176" i="13"/>
  <c r="T389" i="13"/>
  <c r="T385" i="13"/>
  <c r="T381" i="13"/>
  <c r="T377" i="13"/>
  <c r="T373" i="13"/>
  <c r="T369" i="13"/>
  <c r="T365" i="13"/>
  <c r="T361" i="13"/>
  <c r="T357" i="13"/>
  <c r="T353" i="13"/>
  <c r="T349" i="13"/>
  <c r="T345" i="13"/>
  <c r="T337" i="13"/>
  <c r="T333" i="13"/>
  <c r="T327" i="13"/>
  <c r="T321" i="13"/>
  <c r="T317" i="13"/>
  <c r="T311" i="13"/>
  <c r="T305" i="13"/>
  <c r="T301" i="13"/>
  <c r="T295" i="13"/>
  <c r="T289" i="13"/>
  <c r="T285" i="13"/>
  <c r="T279" i="13"/>
  <c r="T273" i="13"/>
  <c r="T269" i="13"/>
  <c r="T263" i="13"/>
  <c r="T256" i="13"/>
  <c r="T246" i="13"/>
  <c r="T243" i="13"/>
  <c r="T232" i="13"/>
  <c r="T228" i="13"/>
  <c r="T224" i="13"/>
  <c r="T168" i="13"/>
  <c r="T160" i="13"/>
  <c r="T152" i="13"/>
  <c r="T100" i="13"/>
  <c r="T68" i="13"/>
  <c r="T36" i="13"/>
  <c r="T14" i="13"/>
  <c r="T388" i="13"/>
  <c r="T384" i="13"/>
  <c r="T380" i="13"/>
  <c r="T376" i="13"/>
  <c r="T372" i="13"/>
  <c r="T368" i="13"/>
  <c r="T364" i="13"/>
  <c r="T360" i="13"/>
  <c r="T356" i="13"/>
  <c r="T352" i="13"/>
  <c r="T348" i="13"/>
  <c r="T339" i="13"/>
  <c r="T336" i="13"/>
  <c r="T326" i="13"/>
  <c r="T323" i="13"/>
  <c r="T320" i="13"/>
  <c r="T310" i="13"/>
  <c r="T307" i="13"/>
  <c r="T304" i="13"/>
  <c r="T294" i="13"/>
  <c r="T291" i="13"/>
  <c r="T288" i="13"/>
  <c r="T278" i="13"/>
  <c r="T275" i="13"/>
  <c r="T272" i="13"/>
  <c r="T262" i="13"/>
  <c r="T259" i="13"/>
  <c r="T242" i="13"/>
  <c r="T227" i="13"/>
  <c r="T216" i="13"/>
  <c r="T212" i="13"/>
  <c r="T208" i="13"/>
  <c r="T178" i="13"/>
  <c r="T140" i="13"/>
  <c r="T136" i="13"/>
  <c r="T132" i="13"/>
  <c r="T92" i="13"/>
  <c r="T60" i="13"/>
  <c r="T28" i="13"/>
  <c r="T387" i="13"/>
  <c r="T383" i="13"/>
  <c r="T379" i="13"/>
  <c r="T375" i="13"/>
  <c r="T371" i="13"/>
  <c r="T367" i="13"/>
  <c r="T363" i="13"/>
  <c r="T359" i="13"/>
  <c r="T355" i="13"/>
  <c r="T351" i="13"/>
  <c r="T347" i="13"/>
  <c r="T341" i="13"/>
  <c r="T338" i="13"/>
  <c r="T335" i="13"/>
  <c r="T329" i="13"/>
  <c r="T325" i="13"/>
  <c r="T322" i="13"/>
  <c r="T319" i="13"/>
  <c r="T313" i="13"/>
  <c r="T309" i="13"/>
  <c r="T306" i="13"/>
  <c r="T303" i="13"/>
  <c r="T297" i="13"/>
  <c r="T293" i="13"/>
  <c r="T290" i="13"/>
  <c r="T287" i="13"/>
  <c r="T281" i="13"/>
  <c r="T277" i="13"/>
  <c r="T274" i="13"/>
  <c r="T271" i="13"/>
  <c r="T265" i="13"/>
  <c r="T258" i="13"/>
  <c r="T254" i="13"/>
  <c r="T251" i="13"/>
  <c r="T248" i="13"/>
  <c r="T241" i="13"/>
  <c r="T237" i="13"/>
  <c r="T230" i="13"/>
  <c r="T200" i="13"/>
  <c r="T196" i="13"/>
  <c r="T192" i="13"/>
  <c r="T124" i="13"/>
  <c r="T120" i="13"/>
  <c r="T116" i="13"/>
  <c r="T84" i="13"/>
  <c r="T52" i="13"/>
  <c r="T20" i="13"/>
  <c r="T12" i="13"/>
  <c r="T6" i="13"/>
  <c r="T386" i="13"/>
  <c r="T382" i="13"/>
  <c r="T378" i="13"/>
  <c r="T374" i="13"/>
  <c r="T370" i="13"/>
  <c r="T366" i="13"/>
  <c r="T362" i="13"/>
  <c r="T358" i="13"/>
  <c r="T354" i="13"/>
  <c r="T350" i="13"/>
  <c r="T346" i="13"/>
  <c r="T343" i="13"/>
  <c r="T340" i="13"/>
  <c r="T334" i="13"/>
  <c r="T331" i="13"/>
  <c r="T328" i="13"/>
  <c r="T324" i="13"/>
  <c r="T318" i="13"/>
  <c r="T315" i="13"/>
  <c r="T312" i="13"/>
  <c r="T308" i="13"/>
  <c r="T302" i="13"/>
  <c r="T299" i="13"/>
  <c r="T296" i="13"/>
  <c r="T292" i="13"/>
  <c r="T286" i="13"/>
  <c r="T283" i="13"/>
  <c r="T280" i="13"/>
  <c r="T276" i="13"/>
  <c r="T270" i="13"/>
  <c r="T267" i="13"/>
  <c r="T264" i="13"/>
  <c r="T260" i="13"/>
  <c r="T257" i="13"/>
  <c r="T253" i="13"/>
  <c r="T250" i="13"/>
  <c r="T247" i="13"/>
  <c r="T240" i="13"/>
  <c r="T236" i="13"/>
  <c r="T233" i="13"/>
  <c r="T184" i="13"/>
  <c r="T180" i="13"/>
  <c r="T108" i="13"/>
  <c r="T76" i="13"/>
  <c r="T44" i="13"/>
  <c r="O338" i="13"/>
  <c r="O223" i="13"/>
  <c r="O64" i="13"/>
  <c r="O334" i="13"/>
  <c r="O294" i="13"/>
  <c r="O271" i="13"/>
  <c r="O207" i="13"/>
  <c r="O144" i="13"/>
  <c r="O72" i="13"/>
  <c r="O346" i="13"/>
  <c r="O319" i="13"/>
  <c r="O255" i="13"/>
  <c r="O191" i="13"/>
  <c r="O112" i="13"/>
  <c r="O287" i="13"/>
  <c r="O80" i="13"/>
  <c r="O342" i="13"/>
  <c r="O303" i="13"/>
  <c r="O239" i="13"/>
  <c r="O172" i="13"/>
  <c r="O96" i="13"/>
  <c r="O32" i="13"/>
  <c r="O379" i="13"/>
  <c r="O375" i="13"/>
  <c r="O371" i="13"/>
  <c r="O367" i="13"/>
  <c r="O363" i="13"/>
  <c r="O359" i="13"/>
  <c r="O355" i="13"/>
  <c r="O351" i="13"/>
  <c r="O347" i="13"/>
  <c r="O344" i="13"/>
  <c r="O339" i="13"/>
  <c r="O336" i="13"/>
  <c r="O331" i="13"/>
  <c r="O327" i="13"/>
  <c r="O324" i="13"/>
  <c r="O320" i="13"/>
  <c r="O317" i="13"/>
  <c r="O313" i="13"/>
  <c r="O299" i="13"/>
  <c r="O295" i="13"/>
  <c r="O292" i="13"/>
  <c r="O288" i="13"/>
  <c r="O285" i="13"/>
  <c r="O281" i="13"/>
  <c r="O263" i="13"/>
  <c r="O260" i="13"/>
  <c r="O253" i="13"/>
  <c r="O249" i="13"/>
  <c r="O231" i="13"/>
  <c r="O228" i="13"/>
  <c r="O221" i="13"/>
  <c r="O217" i="13"/>
  <c r="O199" i="13"/>
  <c r="O196" i="13"/>
  <c r="O189" i="13"/>
  <c r="O185" i="13"/>
  <c r="O168" i="13"/>
  <c r="O161" i="13"/>
  <c r="O147" i="13"/>
  <c r="O143" i="13"/>
  <c r="O140" i="13"/>
  <c r="O136" i="13"/>
  <c r="O129" i="13"/>
  <c r="O125" i="13"/>
  <c r="O121" i="13"/>
  <c r="O113" i="13"/>
  <c r="O103" i="13"/>
  <c r="O99" i="13"/>
  <c r="O92" i="13"/>
  <c r="O81" i="13"/>
  <c r="O71" i="13"/>
  <c r="O67" i="13"/>
  <c r="O60" i="13"/>
  <c r="O49" i="13"/>
  <c r="O39" i="13"/>
  <c r="O35" i="13"/>
  <c r="O28" i="13"/>
  <c r="O17" i="13"/>
  <c r="O7" i="13"/>
  <c r="O387" i="13"/>
  <c r="O383" i="13"/>
  <c r="O133" i="13"/>
  <c r="O341" i="13"/>
  <c r="O333" i="13"/>
  <c r="O323" i="13"/>
  <c r="O316" i="13"/>
  <c r="O312" i="13"/>
  <c r="O309" i="13"/>
  <c r="O305" i="13"/>
  <c r="O291" i="13"/>
  <c r="O284" i="13"/>
  <c r="O280" i="13"/>
  <c r="O273" i="13"/>
  <c r="O259" i="13"/>
  <c r="O252" i="13"/>
  <c r="O248" i="13"/>
  <c r="O241" i="13"/>
  <c r="O227" i="13"/>
  <c r="O220" i="13"/>
  <c r="O216" i="13"/>
  <c r="O209" i="13"/>
  <c r="O195" i="13"/>
  <c r="O188" i="13"/>
  <c r="O184" i="13"/>
  <c r="O177" i="13"/>
  <c r="O167" i="13"/>
  <c r="O164" i="13"/>
  <c r="O157" i="13"/>
  <c r="O153" i="13"/>
  <c r="O135" i="13"/>
  <c r="O132" i="13"/>
  <c r="O124" i="13"/>
  <c r="O120" i="13"/>
  <c r="O116" i="13"/>
  <c r="O109" i="13"/>
  <c r="O105" i="13"/>
  <c r="O95" i="13"/>
  <c r="O6" i="13"/>
  <c r="O386" i="13"/>
  <c r="O382" i="13"/>
  <c r="O374" i="13"/>
  <c r="O358" i="13"/>
  <c r="O310" i="13"/>
  <c r="O277" i="13"/>
  <c r="O256" i="13"/>
  <c r="O235" i="13"/>
  <c r="O213" i="13"/>
  <c r="O192" i="13"/>
  <c r="O171" i="13"/>
  <c r="O128" i="13"/>
  <c r="O85" i="13"/>
  <c r="O21" i="13"/>
  <c r="O377" i="13"/>
  <c r="O373" i="13"/>
  <c r="O369" i="13"/>
  <c r="O365" i="13"/>
  <c r="O361" i="13"/>
  <c r="O357" i="13"/>
  <c r="O353" i="13"/>
  <c r="O349" i="13"/>
  <c r="O343" i="13"/>
  <c r="O340" i="13"/>
  <c r="O335" i="13"/>
  <c r="O332" i="13"/>
  <c r="O329" i="13"/>
  <c r="O315" i="13"/>
  <c r="O311" i="13"/>
  <c r="O308" i="13"/>
  <c r="O304" i="13"/>
  <c r="O301" i="13"/>
  <c r="O297" i="13"/>
  <c r="O283" i="13"/>
  <c r="O279" i="13"/>
  <c r="O276" i="13"/>
  <c r="O269" i="13"/>
  <c r="O265" i="13"/>
  <c r="O247" i="13"/>
  <c r="O244" i="13"/>
  <c r="O237" i="13"/>
  <c r="O233" i="13"/>
  <c r="O215" i="13"/>
  <c r="O212" i="13"/>
  <c r="O205" i="13"/>
  <c r="O201" i="13"/>
  <c r="O183" i="13"/>
  <c r="O180" i="13"/>
  <c r="O173" i="13"/>
  <c r="O163" i="13"/>
  <c r="O159" i="13"/>
  <c r="O156" i="13"/>
  <c r="O152" i="13"/>
  <c r="O145" i="13"/>
  <c r="O131" i="13"/>
  <c r="O127" i="13"/>
  <c r="O119" i="13"/>
  <c r="O115" i="13"/>
  <c r="O108" i="13"/>
  <c r="O104" i="13"/>
  <c r="O97" i="13"/>
  <c r="O87" i="13"/>
  <c r="O83" i="13"/>
  <c r="O76" i="13"/>
  <c r="O65" i="13"/>
  <c r="O389" i="13"/>
  <c r="O385" i="13"/>
  <c r="O381" i="13"/>
  <c r="O370" i="13"/>
  <c r="O354" i="13"/>
  <c r="O322" i="13"/>
  <c r="O306" i="13"/>
  <c r="O290" i="13"/>
  <c r="O272" i="13"/>
  <c r="O251" i="13"/>
  <c r="O208" i="13"/>
  <c r="O187" i="13"/>
  <c r="O165" i="13"/>
  <c r="O123" i="13"/>
  <c r="O101" i="13"/>
  <c r="O376" i="13"/>
  <c r="O372" i="13"/>
  <c r="O368" i="13"/>
  <c r="O364" i="13"/>
  <c r="O360" i="13"/>
  <c r="O356" i="13"/>
  <c r="O352" i="13"/>
  <c r="O348" i="13"/>
  <c r="O345" i="13"/>
  <c r="O337" i="13"/>
  <c r="O328" i="13"/>
  <c r="O325" i="13"/>
  <c r="O321" i="13"/>
  <c r="O307" i="13"/>
  <c r="O300" i="13"/>
  <c r="O296" i="13"/>
  <c r="O293" i="13"/>
  <c r="O289" i="13"/>
  <c r="O275" i="13"/>
  <c r="O268" i="13"/>
  <c r="O264" i="13"/>
  <c r="O257" i="13"/>
  <c r="O243" i="13"/>
  <c r="O236" i="13"/>
  <c r="O232" i="13"/>
  <c r="O225" i="13"/>
  <c r="O211" i="13"/>
  <c r="O204" i="13"/>
  <c r="O200" i="13"/>
  <c r="O193" i="13"/>
  <c r="O179" i="13"/>
  <c r="O175" i="13"/>
  <c r="O169" i="13"/>
  <c r="O151" i="13"/>
  <c r="O148" i="13"/>
  <c r="O141" i="13"/>
  <c r="O137" i="13"/>
  <c r="O111" i="13"/>
  <c r="O100" i="13"/>
  <c r="O93" i="13"/>
  <c r="O89" i="13"/>
  <c r="O79" i="13"/>
  <c r="O68" i="13"/>
  <c r="O61" i="13"/>
  <c r="O57" i="13"/>
  <c r="O388" i="13"/>
  <c r="O384" i="13"/>
  <c r="O380" i="13"/>
  <c r="O366" i="13"/>
  <c r="O350" i="13"/>
  <c r="O318" i="13"/>
  <c r="O302" i="13"/>
  <c r="O286" i="13"/>
  <c r="O267" i="13"/>
  <c r="O245" i="13"/>
  <c r="O224" i="13"/>
  <c r="O203" i="13"/>
  <c r="O181" i="13"/>
  <c r="O160" i="13"/>
  <c r="O139" i="13"/>
  <c r="O117" i="13"/>
  <c r="O75" i="13"/>
  <c r="O53" i="13"/>
  <c r="P389" i="13"/>
  <c r="U389" i="13" s="1"/>
  <c r="P385" i="13"/>
  <c r="U385" i="13" s="1"/>
  <c r="P381" i="13"/>
  <c r="U381" i="13" s="1"/>
  <c r="P377" i="13"/>
  <c r="U377" i="13" s="1"/>
  <c r="P373" i="13"/>
  <c r="U373" i="13" s="1"/>
  <c r="P369" i="13"/>
  <c r="U369" i="13" s="1"/>
  <c r="P365" i="13"/>
  <c r="U365" i="13" s="1"/>
  <c r="P361" i="13"/>
  <c r="U361" i="13" s="1"/>
  <c r="P357" i="13"/>
  <c r="U357" i="13" s="1"/>
  <c r="P388" i="13"/>
  <c r="U388" i="13" s="1"/>
  <c r="P384" i="13"/>
  <c r="U384" i="13" s="1"/>
  <c r="P380" i="13"/>
  <c r="U380" i="13" s="1"/>
  <c r="P376" i="13"/>
  <c r="U376" i="13" s="1"/>
  <c r="P372" i="13"/>
  <c r="U372" i="13" s="1"/>
  <c r="P368" i="13"/>
  <c r="U368" i="13" s="1"/>
  <c r="P364" i="13"/>
  <c r="U364" i="13" s="1"/>
  <c r="P360" i="13"/>
  <c r="U360" i="13" s="1"/>
  <c r="P356" i="13"/>
  <c r="U356" i="13" s="1"/>
  <c r="P387" i="13"/>
  <c r="U387" i="13" s="1"/>
  <c r="P383" i="13"/>
  <c r="U383" i="13" s="1"/>
  <c r="P379" i="13"/>
  <c r="U379" i="13" s="1"/>
  <c r="P375" i="13"/>
  <c r="U375" i="13" s="1"/>
  <c r="P371" i="13"/>
  <c r="U371" i="13" s="1"/>
  <c r="P367" i="13"/>
  <c r="U367" i="13" s="1"/>
  <c r="P363" i="13"/>
  <c r="U363" i="13" s="1"/>
  <c r="P359" i="13"/>
  <c r="U359" i="13" s="1"/>
  <c r="P355" i="13"/>
  <c r="U355" i="13" s="1"/>
  <c r="P351" i="13"/>
  <c r="U351" i="13" s="1"/>
  <c r="P347" i="13"/>
  <c r="U347" i="13" s="1"/>
  <c r="P343" i="13"/>
  <c r="U343" i="13" s="1"/>
  <c r="P339" i="13"/>
  <c r="U339" i="13" s="1"/>
  <c r="P335" i="13"/>
  <c r="U335" i="13" s="1"/>
  <c r="P331" i="13"/>
  <c r="U331" i="13" s="1"/>
  <c r="P327" i="13"/>
  <c r="U327" i="13" s="1"/>
  <c r="P307" i="13"/>
  <c r="U307" i="13" s="1"/>
  <c r="P300" i="13"/>
  <c r="U300" i="13" s="1"/>
  <c r="P296" i="13"/>
  <c r="U296" i="13" s="1"/>
  <c r="P292" i="13"/>
  <c r="U292" i="13" s="1"/>
  <c r="P289" i="13"/>
  <c r="U289" i="13" s="1"/>
  <c r="P285" i="13"/>
  <c r="U285" i="13" s="1"/>
  <c r="P282" i="13"/>
  <c r="U282" i="13" s="1"/>
  <c r="P278" i="13"/>
  <c r="U278" i="13" s="1"/>
  <c r="O278" i="13"/>
  <c r="O274" i="13"/>
  <c r="O270" i="13"/>
  <c r="O266" i="13"/>
  <c r="O262" i="13"/>
  <c r="O258" i="13"/>
  <c r="O254" i="13"/>
  <c r="O250" i="13"/>
  <c r="O246" i="13"/>
  <c r="O242" i="13"/>
  <c r="O238" i="13"/>
  <c r="O234" i="13"/>
  <c r="O230" i="13"/>
  <c r="O226" i="13"/>
  <c r="O222" i="13"/>
  <c r="O218" i="13"/>
  <c r="O214" i="13"/>
  <c r="O210" i="13"/>
  <c r="O206" i="13"/>
  <c r="O202" i="13"/>
  <c r="O198" i="13"/>
  <c r="O194" i="13"/>
  <c r="O190" i="13"/>
  <c r="O186" i="13"/>
  <c r="O182" i="13"/>
  <c r="O178" i="13"/>
  <c r="O174" i="13"/>
  <c r="O170" i="13"/>
  <c r="O166" i="13"/>
  <c r="O162" i="13"/>
  <c r="O158" i="13"/>
  <c r="O154" i="13"/>
  <c r="O150" i="13"/>
  <c r="O146" i="13"/>
  <c r="O142" i="13"/>
  <c r="O138" i="13"/>
  <c r="O134" i="13"/>
  <c r="O130" i="13"/>
  <c r="O126" i="13"/>
  <c r="O122" i="13"/>
  <c r="O118" i="13"/>
  <c r="O114" i="13"/>
  <c r="O110" i="13"/>
  <c r="O106" i="13"/>
  <c r="O102" i="13"/>
  <c r="O98" i="13"/>
  <c r="O94" i="13"/>
  <c r="O90" i="13"/>
  <c r="O86" i="13"/>
  <c r="O82" i="13"/>
  <c r="O78" i="13"/>
  <c r="O74" i="13"/>
  <c r="O70" i="13"/>
  <c r="O66" i="13"/>
  <c r="O62" i="13"/>
  <c r="O58" i="13"/>
  <c r="O54" i="13"/>
  <c r="O50" i="13"/>
  <c r="O46" i="13"/>
  <c r="O42" i="13"/>
  <c r="O38" i="13"/>
  <c r="O34" i="13"/>
  <c r="O30" i="13"/>
  <c r="O26" i="13"/>
  <c r="O22" i="13"/>
  <c r="O18" i="13"/>
  <c r="O14" i="13"/>
  <c r="O10" i="13"/>
  <c r="P6" i="13"/>
  <c r="U6" i="13" s="1"/>
  <c r="P386" i="13"/>
  <c r="U386" i="13" s="1"/>
  <c r="P382" i="13"/>
  <c r="U382" i="13" s="1"/>
  <c r="P378" i="13"/>
  <c r="U378" i="13" s="1"/>
  <c r="P374" i="13"/>
  <c r="U374" i="13" s="1"/>
  <c r="P370" i="13"/>
  <c r="U370" i="13" s="1"/>
  <c r="P366" i="13"/>
  <c r="U366" i="13" s="1"/>
  <c r="P362" i="13"/>
  <c r="U362" i="13" s="1"/>
  <c r="P358" i="13"/>
  <c r="U358" i="13" s="1"/>
  <c r="P354" i="13"/>
  <c r="U354" i="13" s="1"/>
  <c r="P306" i="13"/>
  <c r="U306" i="13" s="1"/>
  <c r="P303" i="13"/>
  <c r="U303" i="13" s="1"/>
  <c r="P168" i="13"/>
  <c r="U168" i="13" s="1"/>
  <c r="P158" i="13"/>
  <c r="U158" i="13" s="1"/>
  <c r="P136" i="13"/>
  <c r="U136" i="13" s="1"/>
  <c r="P126" i="13"/>
  <c r="U126" i="13" s="1"/>
  <c r="P70" i="13"/>
  <c r="U70" i="13" s="1"/>
  <c r="P353" i="13"/>
  <c r="U353" i="13" s="1"/>
  <c r="P349" i="13"/>
  <c r="U349" i="13" s="1"/>
  <c r="P345" i="13"/>
  <c r="U345" i="13" s="1"/>
  <c r="P341" i="13"/>
  <c r="U341" i="13" s="1"/>
  <c r="P337" i="13"/>
  <c r="U337" i="13" s="1"/>
  <c r="P333" i="13"/>
  <c r="U333" i="13" s="1"/>
  <c r="P329" i="13"/>
  <c r="U329" i="13" s="1"/>
  <c r="P325" i="13"/>
  <c r="U325" i="13" s="1"/>
  <c r="P321" i="13"/>
  <c r="U321" i="13" s="1"/>
  <c r="P317" i="13"/>
  <c r="U317" i="13" s="1"/>
  <c r="P313" i="13"/>
  <c r="U313" i="13" s="1"/>
  <c r="P309" i="13"/>
  <c r="U309" i="13" s="1"/>
  <c r="P206" i="13"/>
  <c r="U206" i="13" s="1"/>
  <c r="P202" i="13"/>
  <c r="U202" i="13" s="1"/>
  <c r="P110" i="13"/>
  <c r="U110" i="13" s="1"/>
  <c r="P102" i="13"/>
  <c r="U102" i="13" s="1"/>
  <c r="P352" i="13"/>
  <c r="U352" i="13" s="1"/>
  <c r="P348" i="13"/>
  <c r="U348" i="13" s="1"/>
  <c r="P344" i="13"/>
  <c r="U344" i="13" s="1"/>
  <c r="P340" i="13"/>
  <c r="U340" i="13" s="1"/>
  <c r="P336" i="13"/>
  <c r="U336" i="13" s="1"/>
  <c r="P332" i="13"/>
  <c r="U332" i="13" s="1"/>
  <c r="P328" i="13"/>
  <c r="U328" i="13" s="1"/>
  <c r="P324" i="13"/>
  <c r="U324" i="13" s="1"/>
  <c r="P320" i="13"/>
  <c r="U320" i="13" s="1"/>
  <c r="P316" i="13"/>
  <c r="U316" i="13" s="1"/>
  <c r="P312" i="13"/>
  <c r="U312" i="13" s="1"/>
  <c r="P174" i="13"/>
  <c r="U174" i="13" s="1"/>
  <c r="P152" i="13"/>
  <c r="U152" i="13" s="1"/>
  <c r="P142" i="13"/>
  <c r="U142" i="13" s="1"/>
  <c r="P120" i="13"/>
  <c r="U120" i="13" s="1"/>
  <c r="P274" i="13"/>
  <c r="U274" i="13" s="1"/>
  <c r="P270" i="13"/>
  <c r="U270" i="13" s="1"/>
  <c r="P266" i="13"/>
  <c r="U266" i="13" s="1"/>
  <c r="P262" i="13"/>
  <c r="U262" i="13" s="1"/>
  <c r="P258" i="13"/>
  <c r="U258" i="13" s="1"/>
  <c r="P254" i="13"/>
  <c r="U254" i="13" s="1"/>
  <c r="P250" i="13"/>
  <c r="U250" i="13" s="1"/>
  <c r="P246" i="13"/>
  <c r="U246" i="13" s="1"/>
  <c r="P242" i="13"/>
  <c r="U242" i="13" s="1"/>
  <c r="P238" i="13"/>
  <c r="U238" i="13" s="1"/>
  <c r="P234" i="13"/>
  <c r="U234" i="13" s="1"/>
  <c r="P230" i="13"/>
  <c r="U230" i="13" s="1"/>
  <c r="P190" i="13"/>
  <c r="U190" i="13" s="1"/>
  <c r="P186" i="13"/>
  <c r="U186" i="13" s="1"/>
  <c r="P50" i="13"/>
  <c r="U50" i="13" s="1"/>
  <c r="P323" i="13"/>
  <c r="U323" i="13" s="1"/>
  <c r="P319" i="13"/>
  <c r="U319" i="13" s="1"/>
  <c r="P315" i="13"/>
  <c r="U315" i="13" s="1"/>
  <c r="P311" i="13"/>
  <c r="U311" i="13" s="1"/>
  <c r="P308" i="13"/>
  <c r="U308" i="13" s="1"/>
  <c r="P305" i="13"/>
  <c r="U305" i="13" s="1"/>
  <c r="P302" i="13"/>
  <c r="U302" i="13" s="1"/>
  <c r="P299" i="13"/>
  <c r="U299" i="13" s="1"/>
  <c r="P295" i="13"/>
  <c r="U295" i="13" s="1"/>
  <c r="P288" i="13"/>
  <c r="U288" i="13" s="1"/>
  <c r="P284" i="13"/>
  <c r="U284" i="13" s="1"/>
  <c r="P281" i="13"/>
  <c r="U281" i="13" s="1"/>
  <c r="P277" i="13"/>
  <c r="U277" i="13" s="1"/>
  <c r="P273" i="13"/>
  <c r="U273" i="13" s="1"/>
  <c r="P269" i="13"/>
  <c r="U269" i="13" s="1"/>
  <c r="P265" i="13"/>
  <c r="U265" i="13" s="1"/>
  <c r="P261" i="13"/>
  <c r="U261" i="13" s="1"/>
  <c r="P257" i="13"/>
  <c r="U257" i="13" s="1"/>
  <c r="P253" i="13"/>
  <c r="U253" i="13" s="1"/>
  <c r="P249" i="13"/>
  <c r="U249" i="13" s="1"/>
  <c r="P245" i="13"/>
  <c r="U245" i="13" s="1"/>
  <c r="P241" i="13"/>
  <c r="U241" i="13" s="1"/>
  <c r="P237" i="13"/>
  <c r="U237" i="13" s="1"/>
  <c r="P233" i="13"/>
  <c r="U233" i="13" s="1"/>
  <c r="P229" i="13"/>
  <c r="U229" i="13" s="1"/>
  <c r="P225" i="13"/>
  <c r="U225" i="13" s="1"/>
  <c r="P218" i="13"/>
  <c r="U218" i="13" s="1"/>
  <c r="P214" i="13"/>
  <c r="U214" i="13" s="1"/>
  <c r="P211" i="13"/>
  <c r="U211" i="13" s="1"/>
  <c r="P207" i="13"/>
  <c r="U207" i="13" s="1"/>
  <c r="P204" i="13"/>
  <c r="U204" i="13" s="1"/>
  <c r="P201" i="13"/>
  <c r="U201" i="13" s="1"/>
  <c r="P194" i="13"/>
  <c r="U194" i="13" s="1"/>
  <c r="P191" i="13"/>
  <c r="U191" i="13" s="1"/>
  <c r="P188" i="13"/>
  <c r="U188" i="13" s="1"/>
  <c r="P185" i="13"/>
  <c r="U185" i="13" s="1"/>
  <c r="P178" i="13"/>
  <c r="U178" i="13" s="1"/>
  <c r="P173" i="13"/>
  <c r="U173" i="13" s="1"/>
  <c r="P169" i="13"/>
  <c r="U169" i="13" s="1"/>
  <c r="P166" i="13"/>
  <c r="U166" i="13" s="1"/>
  <c r="P163" i="13"/>
  <c r="U163" i="13" s="1"/>
  <c r="P157" i="13"/>
  <c r="U157" i="13" s="1"/>
  <c r="P153" i="13"/>
  <c r="U153" i="13" s="1"/>
  <c r="P150" i="13"/>
  <c r="U150" i="13" s="1"/>
  <c r="P147" i="13"/>
  <c r="U147" i="13" s="1"/>
  <c r="P141" i="13"/>
  <c r="U141" i="13" s="1"/>
  <c r="P137" i="13"/>
  <c r="U137" i="13" s="1"/>
  <c r="P134" i="13"/>
  <c r="U134" i="13" s="1"/>
  <c r="P131" i="13"/>
  <c r="U131" i="13" s="1"/>
  <c r="P125" i="13"/>
  <c r="U125" i="13" s="1"/>
  <c r="P121" i="13"/>
  <c r="U121" i="13" s="1"/>
  <c r="P118" i="13"/>
  <c r="U118" i="13" s="1"/>
  <c r="P115" i="13"/>
  <c r="U115" i="13" s="1"/>
  <c r="P111" i="13"/>
  <c r="U111" i="13" s="1"/>
  <c r="P108" i="13"/>
  <c r="U108" i="13" s="1"/>
  <c r="P104" i="13"/>
  <c r="U104" i="13" s="1"/>
  <c r="P101" i="13"/>
  <c r="U101" i="13" s="1"/>
  <c r="P97" i="13"/>
  <c r="U97" i="13" s="1"/>
  <c r="P90" i="13"/>
  <c r="U90" i="13" s="1"/>
  <c r="P86" i="13"/>
  <c r="U86" i="13" s="1"/>
  <c r="P83" i="13"/>
  <c r="U83" i="13" s="1"/>
  <c r="P79" i="13"/>
  <c r="U79" i="13" s="1"/>
  <c r="P76" i="13"/>
  <c r="U76" i="13" s="1"/>
  <c r="P72" i="13"/>
  <c r="U72" i="13" s="1"/>
  <c r="P69" i="13"/>
  <c r="U69" i="13" s="1"/>
  <c r="P65" i="13"/>
  <c r="U65" i="13" s="1"/>
  <c r="P58" i="13"/>
  <c r="U58" i="13" s="1"/>
  <c r="P55" i="13"/>
  <c r="U55" i="13" s="1"/>
  <c r="P52" i="13"/>
  <c r="U52" i="13" s="1"/>
  <c r="P49" i="13"/>
  <c r="U49" i="13" s="1"/>
  <c r="P42" i="13"/>
  <c r="U42" i="13" s="1"/>
  <c r="P39" i="13"/>
  <c r="U39" i="13" s="1"/>
  <c r="P36" i="13"/>
  <c r="U36" i="13" s="1"/>
  <c r="P33" i="13"/>
  <c r="U33" i="13" s="1"/>
  <c r="P26" i="13"/>
  <c r="U26" i="13" s="1"/>
  <c r="P22" i="13"/>
  <c r="U22" i="13" s="1"/>
  <c r="P19" i="13"/>
  <c r="U19" i="13" s="1"/>
  <c r="P15" i="13"/>
  <c r="U15" i="13" s="1"/>
  <c r="P12" i="13"/>
  <c r="U12" i="13" s="1"/>
  <c r="P8" i="13"/>
  <c r="U8" i="13" s="1"/>
  <c r="P350" i="13"/>
  <c r="U350" i="13" s="1"/>
  <c r="P346" i="13"/>
  <c r="U346" i="13" s="1"/>
  <c r="P342" i="13"/>
  <c r="U342" i="13" s="1"/>
  <c r="P338" i="13"/>
  <c r="U338" i="13" s="1"/>
  <c r="P334" i="13"/>
  <c r="U334" i="13" s="1"/>
  <c r="P330" i="13"/>
  <c r="U330" i="13" s="1"/>
  <c r="P326" i="13"/>
  <c r="U326" i="13" s="1"/>
  <c r="P322" i="13"/>
  <c r="U322" i="13" s="1"/>
  <c r="P318" i="13"/>
  <c r="U318" i="13" s="1"/>
  <c r="P314" i="13"/>
  <c r="U314" i="13" s="1"/>
  <c r="P310" i="13"/>
  <c r="U310" i="13" s="1"/>
  <c r="P301" i="13"/>
  <c r="U301" i="13" s="1"/>
  <c r="P298" i="13"/>
  <c r="U298" i="13" s="1"/>
  <c r="P294" i="13"/>
  <c r="U294" i="13" s="1"/>
  <c r="P291" i="13"/>
  <c r="U291" i="13" s="1"/>
  <c r="P287" i="13"/>
  <c r="U287" i="13" s="1"/>
  <c r="P280" i="13"/>
  <c r="U280" i="13" s="1"/>
  <c r="P276" i="13"/>
  <c r="U276" i="13" s="1"/>
  <c r="P272" i="13"/>
  <c r="U272" i="13" s="1"/>
  <c r="P268" i="13"/>
  <c r="U268" i="13" s="1"/>
  <c r="P264" i="13"/>
  <c r="U264" i="13" s="1"/>
  <c r="P260" i="13"/>
  <c r="U260" i="13" s="1"/>
  <c r="P256" i="13"/>
  <c r="U256" i="13" s="1"/>
  <c r="P252" i="13"/>
  <c r="U252" i="13" s="1"/>
  <c r="P248" i="13"/>
  <c r="U248" i="13" s="1"/>
  <c r="P244" i="13"/>
  <c r="U244" i="13" s="1"/>
  <c r="P240" i="13"/>
  <c r="U240" i="13" s="1"/>
  <c r="P236" i="13"/>
  <c r="U236" i="13" s="1"/>
  <c r="P232" i="13"/>
  <c r="U232" i="13" s="1"/>
  <c r="P228" i="13"/>
  <c r="U228" i="13" s="1"/>
  <c r="P224" i="13"/>
  <c r="U224" i="13" s="1"/>
  <c r="P221" i="13"/>
  <c r="U221" i="13" s="1"/>
  <c r="P217" i="13"/>
  <c r="U217" i="13" s="1"/>
  <c r="P210" i="13"/>
  <c r="U210" i="13" s="1"/>
  <c r="P203" i="13"/>
  <c r="U203" i="13" s="1"/>
  <c r="P200" i="13"/>
  <c r="U200" i="13" s="1"/>
  <c r="P197" i="13"/>
  <c r="U197" i="13" s="1"/>
  <c r="P187" i="13"/>
  <c r="U187" i="13" s="1"/>
  <c r="P184" i="13"/>
  <c r="U184" i="13" s="1"/>
  <c r="P181" i="13"/>
  <c r="U181" i="13" s="1"/>
  <c r="P175" i="13"/>
  <c r="U175" i="13" s="1"/>
  <c r="P172" i="13"/>
  <c r="U172" i="13" s="1"/>
  <c r="P162" i="13"/>
  <c r="U162" i="13" s="1"/>
  <c r="P159" i="13"/>
  <c r="U159" i="13" s="1"/>
  <c r="P156" i="13"/>
  <c r="U156" i="13" s="1"/>
  <c r="P146" i="13"/>
  <c r="U146" i="13" s="1"/>
  <c r="P143" i="13"/>
  <c r="U143" i="13" s="1"/>
  <c r="P140" i="13"/>
  <c r="U140" i="13" s="1"/>
  <c r="P130" i="13"/>
  <c r="U130" i="13" s="1"/>
  <c r="P127" i="13"/>
  <c r="U127" i="13" s="1"/>
  <c r="P124" i="13"/>
  <c r="U124" i="13" s="1"/>
  <c r="P114" i="13"/>
  <c r="U114" i="13" s="1"/>
  <c r="P107" i="13"/>
  <c r="U107" i="13" s="1"/>
  <c r="P103" i="13"/>
  <c r="U103" i="13" s="1"/>
  <c r="P100" i="13"/>
  <c r="U100" i="13" s="1"/>
  <c r="P96" i="13"/>
  <c r="U96" i="13" s="1"/>
  <c r="P93" i="13"/>
  <c r="U93" i="13" s="1"/>
  <c r="P89" i="13"/>
  <c r="U89" i="13" s="1"/>
  <c r="P82" i="13"/>
  <c r="U82" i="13" s="1"/>
  <c r="P78" i="13"/>
  <c r="U78" i="13" s="1"/>
  <c r="P75" i="13"/>
  <c r="U75" i="13" s="1"/>
  <c r="P71" i="13"/>
  <c r="U71" i="13" s="1"/>
  <c r="P68" i="13"/>
  <c r="U68" i="13" s="1"/>
  <c r="P64" i="13"/>
  <c r="U64" i="13" s="1"/>
  <c r="P61" i="13"/>
  <c r="U61" i="13" s="1"/>
  <c r="P54" i="13"/>
  <c r="U54" i="13" s="1"/>
  <c r="P51" i="13"/>
  <c r="U51" i="13" s="1"/>
  <c r="P48" i="13"/>
  <c r="U48" i="13" s="1"/>
  <c r="P45" i="13"/>
  <c r="U45" i="13" s="1"/>
  <c r="P38" i="13"/>
  <c r="U38" i="13" s="1"/>
  <c r="P35" i="13"/>
  <c r="U35" i="13" s="1"/>
  <c r="P32" i="13"/>
  <c r="U32" i="13" s="1"/>
  <c r="P29" i="13"/>
  <c r="U29" i="13" s="1"/>
  <c r="P25" i="13"/>
  <c r="U25" i="13" s="1"/>
  <c r="P18" i="13"/>
  <c r="U18" i="13" s="1"/>
  <c r="P14" i="13"/>
  <c r="U14" i="13" s="1"/>
  <c r="P11" i="13"/>
  <c r="U11" i="13" s="1"/>
  <c r="P304" i="13"/>
  <c r="U304" i="13" s="1"/>
  <c r="P297" i="13"/>
  <c r="U297" i="13" s="1"/>
  <c r="P293" i="13"/>
  <c r="U293" i="13" s="1"/>
  <c r="P290" i="13"/>
  <c r="U290" i="13" s="1"/>
  <c r="P286" i="13"/>
  <c r="U286" i="13" s="1"/>
  <c r="P283" i="13"/>
  <c r="U283" i="13" s="1"/>
  <c r="P279" i="13"/>
  <c r="U279" i="13" s="1"/>
  <c r="P275" i="13"/>
  <c r="U275" i="13" s="1"/>
  <c r="P271" i="13"/>
  <c r="U271" i="13" s="1"/>
  <c r="P267" i="13"/>
  <c r="U267" i="13" s="1"/>
  <c r="P263" i="13"/>
  <c r="U263" i="13" s="1"/>
  <c r="P259" i="13"/>
  <c r="U259" i="13" s="1"/>
  <c r="P255" i="13"/>
  <c r="U255" i="13" s="1"/>
  <c r="P251" i="13"/>
  <c r="U251" i="13" s="1"/>
  <c r="P247" i="13"/>
  <c r="U247" i="13" s="1"/>
  <c r="P243" i="13"/>
  <c r="U243" i="13" s="1"/>
  <c r="P239" i="13"/>
  <c r="U239" i="13" s="1"/>
  <c r="P235" i="13"/>
  <c r="U235" i="13" s="1"/>
  <c r="P231" i="13"/>
  <c r="U231" i="13" s="1"/>
  <c r="P227" i="13"/>
  <c r="U227" i="13" s="1"/>
  <c r="P223" i="13"/>
  <c r="U223" i="13" s="1"/>
  <c r="P220" i="13"/>
  <c r="U220" i="13" s="1"/>
  <c r="P216" i="13"/>
  <c r="U216" i="13" s="1"/>
  <c r="P213" i="13"/>
  <c r="U213" i="13" s="1"/>
  <c r="P209" i="13"/>
  <c r="U209" i="13" s="1"/>
  <c r="P199" i="13"/>
  <c r="U199" i="13" s="1"/>
  <c r="P196" i="13"/>
  <c r="U196" i="13" s="1"/>
  <c r="P193" i="13"/>
  <c r="U193" i="13" s="1"/>
  <c r="P183" i="13"/>
  <c r="U183" i="13" s="1"/>
  <c r="P180" i="13"/>
  <c r="U180" i="13" s="1"/>
  <c r="P177" i="13"/>
  <c r="U177" i="13" s="1"/>
  <c r="P171" i="13"/>
  <c r="U171" i="13" s="1"/>
  <c r="P165" i="13"/>
  <c r="U165" i="13" s="1"/>
  <c r="P161" i="13"/>
  <c r="U161" i="13" s="1"/>
  <c r="P155" i="13"/>
  <c r="U155" i="13" s="1"/>
  <c r="P149" i="13"/>
  <c r="U149" i="13" s="1"/>
  <c r="P145" i="13"/>
  <c r="U145" i="13" s="1"/>
  <c r="P139" i="13"/>
  <c r="U139" i="13" s="1"/>
  <c r="P133" i="13"/>
  <c r="U133" i="13" s="1"/>
  <c r="P129" i="13"/>
  <c r="U129" i="13" s="1"/>
  <c r="P123" i="13"/>
  <c r="U123" i="13" s="1"/>
  <c r="P117" i="13"/>
  <c r="U117" i="13" s="1"/>
  <c r="P113" i="13"/>
  <c r="U113" i="13" s="1"/>
  <c r="P106" i="13"/>
  <c r="U106" i="13" s="1"/>
  <c r="P99" i="13"/>
  <c r="U99" i="13" s="1"/>
  <c r="P95" i="13"/>
  <c r="U95" i="13" s="1"/>
  <c r="P92" i="13"/>
  <c r="U92" i="13" s="1"/>
  <c r="P88" i="13"/>
  <c r="U88" i="13" s="1"/>
  <c r="P85" i="13"/>
  <c r="U85" i="13" s="1"/>
  <c r="P81" i="13"/>
  <c r="U81" i="13" s="1"/>
  <c r="P74" i="13"/>
  <c r="U74" i="13" s="1"/>
  <c r="P67" i="13"/>
  <c r="U67" i="13" s="1"/>
  <c r="P63" i="13"/>
  <c r="U63" i="13" s="1"/>
  <c r="P60" i="13"/>
  <c r="U60" i="13" s="1"/>
  <c r="P57" i="13"/>
  <c r="U57" i="13" s="1"/>
  <c r="P47" i="13"/>
  <c r="U47" i="13" s="1"/>
  <c r="P44" i="13"/>
  <c r="U44" i="13" s="1"/>
  <c r="P41" i="13"/>
  <c r="U41" i="13" s="1"/>
  <c r="P34" i="13"/>
  <c r="U34" i="13" s="1"/>
  <c r="P31" i="13"/>
  <c r="U31" i="13" s="1"/>
  <c r="P28" i="13"/>
  <c r="U28" i="13" s="1"/>
  <c r="P24" i="13"/>
  <c r="U24" i="13" s="1"/>
  <c r="P21" i="13"/>
  <c r="U21" i="13" s="1"/>
  <c r="P17" i="13"/>
  <c r="U17" i="13" s="1"/>
  <c r="P10" i="13"/>
  <c r="U10" i="13" s="1"/>
  <c r="P7" i="13"/>
  <c r="U7" i="13" s="1"/>
  <c r="P226" i="13"/>
  <c r="U226" i="13" s="1"/>
  <c r="P222" i="13"/>
  <c r="U222" i="13" s="1"/>
  <c r="P219" i="13"/>
  <c r="U219" i="13" s="1"/>
  <c r="P215" i="13"/>
  <c r="U215" i="13" s="1"/>
  <c r="P212" i="13"/>
  <c r="U212" i="13" s="1"/>
  <c r="P208" i="13"/>
  <c r="U208" i="13" s="1"/>
  <c r="P205" i="13"/>
  <c r="U205" i="13" s="1"/>
  <c r="P198" i="13"/>
  <c r="U198" i="13" s="1"/>
  <c r="P195" i="13"/>
  <c r="U195" i="13" s="1"/>
  <c r="P192" i="13"/>
  <c r="U192" i="13" s="1"/>
  <c r="P189" i="13"/>
  <c r="U189" i="13" s="1"/>
  <c r="P182" i="13"/>
  <c r="U182" i="13" s="1"/>
  <c r="P179" i="13"/>
  <c r="U179" i="13" s="1"/>
  <c r="P176" i="13"/>
  <c r="U176" i="13" s="1"/>
  <c r="P170" i="13"/>
  <c r="U170" i="13" s="1"/>
  <c r="P167" i="13"/>
  <c r="U167" i="13" s="1"/>
  <c r="P164" i="13"/>
  <c r="U164" i="13" s="1"/>
  <c r="P160" i="13"/>
  <c r="U160" i="13" s="1"/>
  <c r="P154" i="13"/>
  <c r="U154" i="13" s="1"/>
  <c r="P151" i="13"/>
  <c r="U151" i="13" s="1"/>
  <c r="P148" i="13"/>
  <c r="U148" i="13" s="1"/>
  <c r="P144" i="13"/>
  <c r="U144" i="13" s="1"/>
  <c r="P138" i="13"/>
  <c r="U138" i="13" s="1"/>
  <c r="P135" i="13"/>
  <c r="U135" i="13" s="1"/>
  <c r="P132" i="13"/>
  <c r="U132" i="13" s="1"/>
  <c r="P128" i="13"/>
  <c r="U128" i="13" s="1"/>
  <c r="P122" i="13"/>
  <c r="U122" i="13" s="1"/>
  <c r="P119" i="13"/>
  <c r="U119" i="13" s="1"/>
  <c r="P116" i="13"/>
  <c r="U116" i="13" s="1"/>
  <c r="P112" i="13"/>
  <c r="U112" i="13" s="1"/>
  <c r="P109" i="13"/>
  <c r="U109" i="13" s="1"/>
  <c r="P105" i="13"/>
  <c r="U105" i="13" s="1"/>
  <c r="P98" i="13"/>
  <c r="U98" i="13" s="1"/>
  <c r="P94" i="13"/>
  <c r="U94" i="13" s="1"/>
  <c r="P91" i="13"/>
  <c r="U91" i="13" s="1"/>
  <c r="P87" i="13"/>
  <c r="U87" i="13" s="1"/>
  <c r="P84" i="13"/>
  <c r="U84" i="13" s="1"/>
  <c r="P80" i="13"/>
  <c r="U80" i="13" s="1"/>
  <c r="P77" i="13"/>
  <c r="U77" i="13" s="1"/>
  <c r="P73" i="13"/>
  <c r="U73" i="13" s="1"/>
  <c r="P66" i="13"/>
  <c r="U66" i="13" s="1"/>
  <c r="P62" i="13"/>
  <c r="U62" i="13" s="1"/>
  <c r="P59" i="13"/>
  <c r="U59" i="13" s="1"/>
  <c r="P56" i="13"/>
  <c r="U56" i="13" s="1"/>
  <c r="P53" i="13"/>
  <c r="U53" i="13" s="1"/>
  <c r="P46" i="13"/>
  <c r="U46" i="13" s="1"/>
  <c r="P43" i="13"/>
  <c r="U43" i="13" s="1"/>
  <c r="P40" i="13"/>
  <c r="U40" i="13" s="1"/>
  <c r="P37" i="13"/>
  <c r="U37" i="13" s="1"/>
  <c r="P30" i="13"/>
  <c r="U30" i="13" s="1"/>
  <c r="P27" i="13"/>
  <c r="U27" i="13" s="1"/>
  <c r="P23" i="13"/>
  <c r="U23" i="13" s="1"/>
  <c r="P20" i="13"/>
  <c r="U20" i="13" s="1"/>
  <c r="P16" i="13"/>
  <c r="U16" i="13" s="1"/>
  <c r="P13" i="13"/>
  <c r="U13" i="13" s="1"/>
  <c r="P9" i="13"/>
  <c r="U9" i="13" s="1"/>
  <c r="T220" i="13"/>
  <c r="T217" i="13"/>
  <c r="T214" i="13"/>
  <c r="T211" i="13"/>
  <c r="T204" i="13"/>
  <c r="T201" i="13"/>
  <c r="T198" i="13"/>
  <c r="T195" i="13"/>
  <c r="T188" i="13"/>
  <c r="T185" i="13"/>
  <c r="T182" i="13"/>
  <c r="T179" i="13"/>
  <c r="T176" i="13"/>
  <c r="T173" i="13"/>
  <c r="T169" i="13"/>
  <c r="T166" i="13"/>
  <c r="T162" i="13"/>
  <c r="T159" i="13"/>
  <c r="T155" i="13"/>
  <c r="T148" i="13"/>
  <c r="T144" i="13"/>
  <c r="T141" i="13"/>
  <c r="T138" i="13"/>
  <c r="T135" i="13"/>
  <c r="T128" i="13"/>
  <c r="T125" i="13"/>
  <c r="T122" i="13"/>
  <c r="T119" i="13"/>
  <c r="T112" i="13"/>
  <c r="T109" i="13"/>
  <c r="T106" i="13"/>
  <c r="T103" i="13"/>
  <c r="T96" i="13"/>
  <c r="T93" i="13"/>
  <c r="T90" i="13"/>
  <c r="T87" i="13"/>
  <c r="T80" i="13"/>
  <c r="T77" i="13"/>
  <c r="T74" i="13"/>
  <c r="T70" i="13"/>
  <c r="T64" i="13"/>
  <c r="T61" i="13"/>
  <c r="T58" i="13"/>
  <c r="T54" i="13"/>
  <c r="T48" i="13"/>
  <c r="T45" i="13"/>
  <c r="T42" i="13"/>
  <c r="T38" i="13"/>
  <c r="T32" i="13"/>
  <c r="T29" i="13"/>
  <c r="T26" i="13"/>
  <c r="T22" i="13"/>
  <c r="T16" i="13"/>
  <c r="T13" i="13"/>
  <c r="T10" i="13"/>
  <c r="T261" i="13"/>
  <c r="T255" i="13"/>
  <c r="T249" i="13"/>
  <c r="T245" i="13"/>
  <c r="T239" i="13"/>
  <c r="T229" i="13"/>
  <c r="T226" i="13"/>
  <c r="T223" i="13"/>
  <c r="T213" i="13"/>
  <c r="T210" i="13"/>
  <c r="T207" i="13"/>
  <c r="T197" i="13"/>
  <c r="T194" i="13"/>
  <c r="T191" i="13"/>
  <c r="T181" i="13"/>
  <c r="T172" i="13"/>
  <c r="T165" i="13"/>
  <c r="T161" i="13"/>
  <c r="T158" i="13"/>
  <c r="T154" i="13"/>
  <c r="T151" i="13"/>
  <c r="T147" i="13"/>
  <c r="T137" i="13"/>
  <c r="T134" i="13"/>
  <c r="T131" i="13"/>
  <c r="T121" i="13"/>
  <c r="T118" i="13"/>
  <c r="T115" i="13"/>
  <c r="T105" i="13"/>
  <c r="T102" i="13"/>
  <c r="T99" i="13"/>
  <c r="T89" i="13"/>
  <c r="T86" i="13"/>
  <c r="T83" i="13"/>
  <c r="T79" i="13"/>
  <c r="T73" i="13"/>
  <c r="T67" i="13"/>
  <c r="T63" i="13"/>
  <c r="T57" i="13"/>
  <c r="T51" i="13"/>
  <c r="T47" i="13"/>
  <c r="T41" i="13"/>
  <c r="T35" i="13"/>
  <c r="T31" i="13"/>
  <c r="T25" i="13"/>
  <c r="T19" i="13"/>
  <c r="T15" i="13"/>
  <c r="T9" i="13"/>
  <c r="T238" i="13"/>
  <c r="T235" i="13"/>
  <c r="T225" i="13"/>
  <c r="T222" i="13"/>
  <c r="T219" i="13"/>
  <c r="T209" i="13"/>
  <c r="T206" i="13"/>
  <c r="T203" i="13"/>
  <c r="T193" i="13"/>
  <c r="T190" i="13"/>
  <c r="T187" i="13"/>
  <c r="T175" i="13"/>
  <c r="T171" i="13"/>
  <c r="T164" i="13"/>
  <c r="T157" i="13"/>
  <c r="T153" i="13"/>
  <c r="T150" i="13"/>
  <c r="T146" i="13"/>
  <c r="T143" i="13"/>
  <c r="T133" i="13"/>
  <c r="T130" i="13"/>
  <c r="T127" i="13"/>
  <c r="T117" i="13"/>
  <c r="T114" i="13"/>
  <c r="T111" i="13"/>
  <c r="T104" i="13"/>
  <c r="T101" i="13"/>
  <c r="T98" i="13"/>
  <c r="T95" i="13"/>
  <c r="T88" i="13"/>
  <c r="T85" i="13"/>
  <c r="T82" i="13"/>
  <c r="T78" i="13"/>
  <c r="T72" i="13"/>
  <c r="T69" i="13"/>
  <c r="T66" i="13"/>
  <c r="T62" i="13"/>
  <c r="T56" i="13"/>
  <c r="T53" i="13"/>
  <c r="T50" i="13"/>
  <c r="T46" i="13"/>
  <c r="T40" i="13"/>
  <c r="T37" i="13"/>
  <c r="T34" i="13"/>
  <c r="T30" i="13"/>
  <c r="T24" i="13"/>
  <c r="T21" i="13"/>
  <c r="T18" i="13"/>
  <c r="T8" i="13"/>
  <c r="T234" i="13"/>
  <c r="T231" i="13"/>
  <c r="T221" i="13"/>
  <c r="T218" i="13"/>
  <c r="T215" i="13"/>
  <c r="T205" i="13"/>
  <c r="T202" i="13"/>
  <c r="T199" i="13"/>
  <c r="T189" i="13"/>
  <c r="T186" i="13"/>
  <c r="T183" i="13"/>
  <c r="T177" i="13"/>
  <c r="T174" i="13"/>
  <c r="T170" i="13"/>
  <c r="T167" i="13"/>
  <c r="T163" i="13"/>
  <c r="T156" i="13"/>
  <c r="T149" i="13"/>
  <c r="T145" i="13"/>
  <c r="T142" i="13"/>
  <c r="T139" i="13"/>
  <c r="T129" i="13"/>
  <c r="T126" i="13"/>
  <c r="T123" i="13"/>
  <c r="T113" i="13"/>
  <c r="T110" i="13"/>
  <c r="T107" i="13"/>
  <c r="T97" i="13"/>
  <c r="T94" i="13"/>
  <c r="T91" i="13"/>
  <c r="T81" i="13"/>
  <c r="T75" i="13"/>
  <c r="T71" i="13"/>
  <c r="T65" i="13"/>
  <c r="T59" i="13"/>
  <c r="T55" i="13"/>
  <c r="T49" i="13"/>
  <c r="T43" i="13"/>
  <c r="T39" i="13"/>
  <c r="T33" i="13"/>
  <c r="T27" i="13"/>
  <c r="T23" i="13"/>
  <c r="T17" i="13"/>
  <c r="T11" i="13"/>
  <c r="T7" i="13"/>
  <c r="H14" i="13"/>
  <c r="H7" i="13" a="1"/>
  <c r="H7" i="13" s="1"/>
  <c r="H8" i="13" a="1"/>
  <c r="H8" i="13" s="1"/>
  <c r="H9" i="13" a="1"/>
  <c r="H9" i="13" s="1"/>
  <c r="H10" i="13" a="1"/>
  <c r="H10" i="13" s="1"/>
  <c r="H11" i="13" a="1"/>
  <c r="H11" i="13" s="1"/>
  <c r="H12" i="13" a="1"/>
  <c r="H12" i="13" s="1"/>
  <c r="H13" i="13" a="1"/>
  <c r="H13" i="13" s="1"/>
  <c r="H15" i="13" a="1"/>
  <c r="H15" i="13" s="1"/>
  <c r="H16" i="13" a="1"/>
  <c r="H16" i="13" s="1"/>
  <c r="H17" i="13" a="1"/>
  <c r="H17" i="13" s="1"/>
  <c r="H18" i="13" a="1"/>
  <c r="H18" i="13" s="1"/>
  <c r="H19" i="13" a="1"/>
  <c r="H19" i="13" s="1"/>
  <c r="H20" i="13" a="1"/>
  <c r="H20" i="13" s="1"/>
  <c r="H21" i="13" a="1"/>
  <c r="H21" i="13" s="1"/>
  <c r="H22" i="13" a="1"/>
  <c r="H22" i="13" s="1"/>
  <c r="H23" i="13" a="1"/>
  <c r="H23" i="13" s="1"/>
  <c r="H24" i="13" a="1"/>
  <c r="H24" i="13" s="1"/>
  <c r="H25" i="13" a="1"/>
  <c r="H25" i="13" s="1"/>
  <c r="H26" i="13" a="1"/>
  <c r="H26" i="13" s="1"/>
  <c r="H27" i="13" a="1"/>
  <c r="H27" i="13" s="1"/>
  <c r="H28" i="13" a="1"/>
  <c r="H28" i="13" s="1"/>
  <c r="H29" i="13" a="1"/>
  <c r="H29" i="13" s="1"/>
  <c r="H30" i="13" a="1"/>
  <c r="H30" i="13" s="1"/>
  <c r="H31" i="13" a="1"/>
  <c r="H31" i="13" s="1"/>
  <c r="H32" i="13" a="1"/>
  <c r="H32" i="13" s="1"/>
  <c r="H33" i="13" a="1"/>
  <c r="H33" i="13" s="1"/>
  <c r="H34" i="13" a="1"/>
  <c r="H34" i="13" s="1"/>
  <c r="H35" i="13" a="1"/>
  <c r="H35" i="13" s="1"/>
  <c r="H36" i="13" a="1"/>
  <c r="H36" i="13" s="1"/>
  <c r="H37" i="13" a="1"/>
  <c r="H37" i="13" s="1"/>
  <c r="H38" i="13" a="1"/>
  <c r="H38" i="13" s="1"/>
  <c r="H39" i="13" a="1"/>
  <c r="H39" i="13" s="1"/>
  <c r="H40" i="13" a="1"/>
  <c r="H40" i="13" s="1"/>
  <c r="H41" i="13" a="1"/>
  <c r="H41" i="13" s="1"/>
  <c r="H42" i="13" a="1"/>
  <c r="H42" i="13" s="1"/>
  <c r="H43" i="13" a="1"/>
  <c r="H43" i="13" s="1"/>
  <c r="H44" i="13" a="1"/>
  <c r="H44" i="13" s="1"/>
  <c r="H45" i="13" a="1"/>
  <c r="H45" i="13" s="1"/>
  <c r="H46" i="13" a="1"/>
  <c r="H46" i="13" s="1"/>
  <c r="H47" i="13" a="1"/>
  <c r="H47" i="13" s="1"/>
  <c r="H48" i="13" a="1"/>
  <c r="H48" i="13" s="1"/>
  <c r="H49" i="13" a="1"/>
  <c r="H49" i="13" s="1"/>
  <c r="H50" i="13" a="1"/>
  <c r="H50" i="13" s="1"/>
  <c r="H51" i="13" a="1"/>
  <c r="H51" i="13" s="1"/>
  <c r="H52" i="13" a="1"/>
  <c r="H52" i="13" s="1"/>
  <c r="H53" i="13" a="1"/>
  <c r="H53" i="13" s="1"/>
  <c r="H54" i="13" a="1"/>
  <c r="H54" i="13" s="1"/>
  <c r="H55" i="13" a="1"/>
  <c r="H55" i="13" s="1"/>
  <c r="H56" i="13" a="1"/>
  <c r="H56" i="13" s="1"/>
  <c r="H57" i="13" a="1"/>
  <c r="H57" i="13" s="1"/>
  <c r="H58" i="13" a="1"/>
  <c r="H58" i="13" s="1"/>
  <c r="H59" i="13" a="1"/>
  <c r="H59" i="13" s="1"/>
  <c r="H60" i="13" a="1"/>
  <c r="H60" i="13" s="1"/>
  <c r="H61" i="13" a="1"/>
  <c r="H61" i="13" s="1"/>
  <c r="H62" i="13" a="1"/>
  <c r="H62" i="13" s="1"/>
  <c r="H63" i="13" a="1"/>
  <c r="H63" i="13" s="1"/>
  <c r="H64" i="13" a="1"/>
  <c r="H64" i="13" s="1"/>
  <c r="H65" i="13" a="1"/>
  <c r="H65" i="13" s="1"/>
  <c r="H66" i="13" a="1"/>
  <c r="H66" i="13" s="1"/>
  <c r="H67" i="13" a="1"/>
  <c r="H67" i="13" s="1"/>
  <c r="H68" i="13" a="1"/>
  <c r="H68" i="13" s="1"/>
  <c r="H69" i="13" a="1"/>
  <c r="H69" i="13" s="1"/>
  <c r="H70" i="13" a="1"/>
  <c r="H70" i="13" s="1"/>
  <c r="H71" i="13" a="1"/>
  <c r="H71" i="13" s="1"/>
  <c r="H72" i="13" a="1"/>
  <c r="H72" i="13" s="1"/>
  <c r="H73" i="13" a="1"/>
  <c r="H73" i="13" s="1"/>
  <c r="H74" i="13" a="1"/>
  <c r="H74" i="13" s="1"/>
  <c r="H75" i="13" a="1"/>
  <c r="H75" i="13" s="1"/>
  <c r="H76" i="13" a="1"/>
  <c r="H76" i="13" s="1"/>
  <c r="H77" i="13" a="1"/>
  <c r="H77" i="13" s="1"/>
  <c r="H78" i="13" a="1"/>
  <c r="H78" i="13" s="1"/>
  <c r="H79" i="13" a="1"/>
  <c r="H79" i="13" s="1"/>
  <c r="H80" i="13" a="1"/>
  <c r="H80" i="13" s="1"/>
  <c r="H81" i="13" a="1"/>
  <c r="H81" i="13" s="1"/>
  <c r="H82" i="13" a="1"/>
  <c r="H82" i="13" s="1"/>
  <c r="H83" i="13" a="1"/>
  <c r="H83" i="13" s="1"/>
  <c r="H84" i="13" a="1"/>
  <c r="H84" i="13" s="1"/>
  <c r="H85" i="13" a="1"/>
  <c r="H85" i="13" s="1"/>
  <c r="H86" i="13" a="1"/>
  <c r="H86" i="13" s="1"/>
  <c r="H87" i="13" a="1"/>
  <c r="H87" i="13" s="1"/>
  <c r="H88" i="13" a="1"/>
  <c r="H88" i="13" s="1"/>
  <c r="H89" i="13" a="1"/>
  <c r="H89" i="13" s="1"/>
  <c r="H90" i="13" a="1"/>
  <c r="H90" i="13" s="1"/>
  <c r="H91" i="13" a="1"/>
  <c r="H91" i="13" s="1"/>
  <c r="H92" i="13" a="1"/>
  <c r="H92" i="13" s="1"/>
  <c r="H93" i="13" a="1"/>
  <c r="H93" i="13" s="1"/>
  <c r="H94" i="13" a="1"/>
  <c r="H94" i="13" s="1"/>
  <c r="H95" i="13" a="1"/>
  <c r="H95" i="13" s="1"/>
  <c r="H96" i="13" a="1"/>
  <c r="H96" i="13" s="1"/>
  <c r="H97" i="13" a="1"/>
  <c r="H97" i="13" s="1"/>
  <c r="H98" i="13" a="1"/>
  <c r="H98" i="13" s="1"/>
  <c r="H99" i="13" a="1"/>
  <c r="H99" i="13" s="1"/>
  <c r="H100" i="13" a="1"/>
  <c r="H100" i="13" s="1"/>
  <c r="H101" i="13" a="1"/>
  <c r="H101" i="13" s="1"/>
  <c r="H102" i="13" a="1"/>
  <c r="H102" i="13" s="1"/>
  <c r="H103" i="13" a="1"/>
  <c r="H103" i="13" s="1"/>
  <c r="H104" i="13" a="1"/>
  <c r="H104" i="13" s="1"/>
  <c r="H105" i="13" a="1"/>
  <c r="H105" i="13" s="1"/>
  <c r="H106" i="13" a="1"/>
  <c r="H106" i="13" s="1"/>
  <c r="H107" i="13" a="1"/>
  <c r="H107" i="13" s="1"/>
  <c r="H108" i="13" a="1"/>
  <c r="H108" i="13" s="1"/>
  <c r="H109" i="13" a="1"/>
  <c r="H109" i="13" s="1"/>
  <c r="H110" i="13" a="1"/>
  <c r="H110" i="13" s="1"/>
  <c r="H111" i="13" a="1"/>
  <c r="H111" i="13" s="1"/>
  <c r="H112" i="13" a="1"/>
  <c r="H112" i="13" s="1"/>
  <c r="H113" i="13" a="1"/>
  <c r="H113" i="13" s="1"/>
  <c r="H114" i="13" a="1"/>
  <c r="H114" i="13" s="1"/>
  <c r="H115" i="13" a="1"/>
  <c r="H115" i="13" s="1"/>
  <c r="H116" i="13" a="1"/>
  <c r="H116" i="13" s="1"/>
  <c r="H117" i="13" a="1"/>
  <c r="H117" i="13" s="1"/>
  <c r="H118" i="13" a="1"/>
  <c r="H118" i="13" s="1"/>
  <c r="H119" i="13" a="1"/>
  <c r="H119" i="13" s="1"/>
  <c r="H120" i="13" a="1"/>
  <c r="H120" i="13" s="1"/>
  <c r="H121" i="13" a="1"/>
  <c r="H121" i="13" s="1"/>
  <c r="H122" i="13" a="1"/>
  <c r="H122" i="13" s="1"/>
  <c r="H123" i="13" a="1"/>
  <c r="H123" i="13" s="1"/>
  <c r="H124" i="13" a="1"/>
  <c r="H124" i="13" s="1"/>
  <c r="H125" i="13" a="1"/>
  <c r="H125" i="13" s="1"/>
  <c r="H126" i="13" a="1"/>
  <c r="H126" i="13" s="1"/>
  <c r="H127" i="13" a="1"/>
  <c r="H127" i="13" s="1"/>
  <c r="H128" i="13" a="1"/>
  <c r="H128" i="13" s="1"/>
  <c r="H129" i="13" a="1"/>
  <c r="H129" i="13" s="1"/>
  <c r="H130" i="13" a="1"/>
  <c r="H130" i="13" s="1"/>
  <c r="H131" i="13" a="1"/>
  <c r="H131" i="13" s="1"/>
  <c r="H132" i="13" a="1"/>
  <c r="H132" i="13" s="1"/>
  <c r="H133" i="13" a="1"/>
  <c r="H133" i="13" s="1"/>
  <c r="H134" i="13" a="1"/>
  <c r="H134" i="13" s="1"/>
  <c r="H135" i="13" a="1"/>
  <c r="H135" i="13" s="1"/>
  <c r="H136" i="13" a="1"/>
  <c r="H136" i="13" s="1"/>
  <c r="H137" i="13" a="1"/>
  <c r="H137" i="13" s="1"/>
  <c r="H138" i="13" a="1"/>
  <c r="H138" i="13" s="1"/>
  <c r="H139" i="13" a="1"/>
  <c r="H139" i="13" s="1"/>
  <c r="H140" i="13" a="1"/>
  <c r="H140" i="13" s="1"/>
  <c r="H141" i="13" a="1"/>
  <c r="H141" i="13" s="1"/>
  <c r="H142" i="13" a="1"/>
  <c r="H142" i="13" s="1"/>
  <c r="H143" i="13" a="1"/>
  <c r="H143" i="13" s="1"/>
  <c r="H144" i="13" a="1"/>
  <c r="H144" i="13" s="1"/>
  <c r="H145" i="13" a="1"/>
  <c r="H145" i="13" s="1"/>
  <c r="H146" i="13" a="1"/>
  <c r="H146" i="13" s="1"/>
  <c r="H147" i="13" a="1"/>
  <c r="H147" i="13" s="1"/>
  <c r="H148" i="13" a="1"/>
  <c r="H148" i="13" s="1"/>
  <c r="H149" i="13" a="1"/>
  <c r="H149" i="13" s="1"/>
  <c r="H150" i="13" a="1"/>
  <c r="H150" i="13" s="1"/>
  <c r="H151" i="13" a="1"/>
  <c r="H151" i="13" s="1"/>
  <c r="H152" i="13" a="1"/>
  <c r="H152" i="13" s="1"/>
  <c r="H153" i="13" a="1"/>
  <c r="H153" i="13" s="1"/>
  <c r="H154" i="13" a="1"/>
  <c r="H154" i="13" s="1"/>
  <c r="H155" i="13" a="1"/>
  <c r="H155" i="13" s="1"/>
  <c r="H156" i="13" a="1"/>
  <c r="H156" i="13" s="1"/>
  <c r="H157" i="13" a="1"/>
  <c r="H157" i="13" s="1"/>
  <c r="H158" i="13" a="1"/>
  <c r="H158" i="13" s="1"/>
  <c r="H159" i="13" a="1"/>
  <c r="H159" i="13" s="1"/>
  <c r="H160" i="13" a="1"/>
  <c r="H160" i="13" s="1"/>
  <c r="H161" i="13" a="1"/>
  <c r="H161" i="13" s="1"/>
  <c r="H162" i="13" a="1"/>
  <c r="H162" i="13" s="1"/>
  <c r="H163" i="13" a="1"/>
  <c r="H163" i="13" s="1"/>
  <c r="H164" i="13" a="1"/>
  <c r="H164" i="13" s="1"/>
  <c r="H165" i="13" a="1"/>
  <c r="H165" i="13" s="1"/>
  <c r="H166" i="13" a="1"/>
  <c r="H166" i="13" s="1"/>
  <c r="H167" i="13" a="1"/>
  <c r="H167" i="13" s="1"/>
  <c r="H168" i="13" a="1"/>
  <c r="H168" i="13" s="1"/>
  <c r="H169" i="13" a="1"/>
  <c r="H169" i="13" s="1"/>
  <c r="H170" i="13" a="1"/>
  <c r="H170" i="13" s="1"/>
  <c r="H171" i="13" a="1"/>
  <c r="H171" i="13" s="1"/>
  <c r="H172" i="13" a="1"/>
  <c r="H172" i="13" s="1"/>
  <c r="H173" i="13" a="1"/>
  <c r="H173" i="13" s="1"/>
  <c r="H174" i="13" a="1"/>
  <c r="H174" i="13" s="1"/>
  <c r="H175" i="13" a="1"/>
  <c r="H175" i="13" s="1"/>
  <c r="H176" i="13" a="1"/>
  <c r="H176" i="13" s="1"/>
  <c r="H177" i="13" a="1"/>
  <c r="H177" i="13" s="1"/>
  <c r="H178" i="13" a="1"/>
  <c r="H178" i="13" s="1"/>
  <c r="H179" i="13" a="1"/>
  <c r="H179" i="13" s="1"/>
  <c r="H180" i="13" a="1"/>
  <c r="H180" i="13" s="1"/>
  <c r="H181" i="13" a="1"/>
  <c r="H181" i="13" s="1"/>
  <c r="H182" i="13" a="1"/>
  <c r="H182" i="13" s="1"/>
  <c r="H183" i="13" a="1"/>
  <c r="H183" i="13" s="1"/>
  <c r="H184" i="13" a="1"/>
  <c r="H184" i="13" s="1"/>
  <c r="H185" i="13" a="1"/>
  <c r="H185" i="13" s="1"/>
  <c r="H186" i="13" a="1"/>
  <c r="H186" i="13" s="1"/>
  <c r="H187" i="13" a="1"/>
  <c r="H187" i="13" s="1"/>
  <c r="H188" i="13" a="1"/>
  <c r="H188" i="13" s="1"/>
  <c r="H189" i="13" a="1"/>
  <c r="H189" i="13" s="1"/>
  <c r="H190" i="13" a="1"/>
  <c r="H190" i="13" s="1"/>
  <c r="H191" i="13" a="1"/>
  <c r="H191" i="13" s="1"/>
  <c r="H192" i="13" a="1"/>
  <c r="H192" i="13" s="1"/>
  <c r="H193" i="13" a="1"/>
  <c r="H193" i="13" s="1"/>
  <c r="H194" i="13" a="1"/>
  <c r="H194" i="13" s="1"/>
  <c r="H195" i="13" a="1"/>
  <c r="H195" i="13" s="1"/>
  <c r="H196" i="13" a="1"/>
  <c r="H196" i="13" s="1"/>
  <c r="H197" i="13" a="1"/>
  <c r="H197" i="13" s="1"/>
  <c r="H198" i="13" a="1"/>
  <c r="H198" i="13" s="1"/>
  <c r="H199" i="13" a="1"/>
  <c r="H199" i="13" s="1"/>
  <c r="H200" i="13" a="1"/>
  <c r="H200" i="13" s="1"/>
  <c r="H201" i="13" a="1"/>
  <c r="H201" i="13" s="1"/>
  <c r="H202" i="13" a="1"/>
  <c r="H202" i="13" s="1"/>
  <c r="H203" i="13" a="1"/>
  <c r="H203" i="13" s="1"/>
  <c r="H204" i="13" a="1"/>
  <c r="H204" i="13" s="1"/>
  <c r="H205" i="13" a="1"/>
  <c r="H205" i="13" s="1"/>
  <c r="H206" i="13" a="1"/>
  <c r="H206" i="13" s="1"/>
  <c r="H207" i="13" a="1"/>
  <c r="H207" i="13" s="1"/>
  <c r="H208" i="13" a="1"/>
  <c r="H208" i="13" s="1"/>
  <c r="H209" i="13" a="1"/>
  <c r="H209" i="13" s="1"/>
  <c r="H210" i="13" a="1"/>
  <c r="H210" i="13" s="1"/>
  <c r="H211" i="13" a="1"/>
  <c r="H211" i="13" s="1"/>
  <c r="H212" i="13" a="1"/>
  <c r="H212" i="13" s="1"/>
  <c r="H213" i="13" a="1"/>
  <c r="H213" i="13" s="1"/>
  <c r="H214" i="13" a="1"/>
  <c r="H214" i="13" s="1"/>
  <c r="H215" i="13" a="1"/>
  <c r="H215" i="13" s="1"/>
  <c r="H216" i="13" a="1"/>
  <c r="H216" i="13" s="1"/>
  <c r="H217" i="13" a="1"/>
  <c r="H217" i="13" s="1"/>
  <c r="H218" i="13" a="1"/>
  <c r="H218" i="13" s="1"/>
  <c r="H219" i="13" a="1"/>
  <c r="H219" i="13" s="1"/>
  <c r="H220" i="13" a="1"/>
  <c r="H220" i="13" s="1"/>
  <c r="H221" i="13" a="1"/>
  <c r="H221" i="13" s="1"/>
  <c r="H222" i="13" a="1"/>
  <c r="H222" i="13" s="1"/>
  <c r="H223" i="13" a="1"/>
  <c r="H223" i="13" s="1"/>
  <c r="H224" i="13" a="1"/>
  <c r="H224" i="13" s="1"/>
  <c r="H225" i="13" a="1"/>
  <c r="H225" i="13" s="1"/>
  <c r="H226" i="13" a="1"/>
  <c r="H226" i="13" s="1"/>
  <c r="H227" i="13" a="1"/>
  <c r="H227" i="13" s="1"/>
  <c r="H228" i="13" a="1"/>
  <c r="H228" i="13" s="1"/>
  <c r="H229" i="13" a="1"/>
  <c r="H229" i="13" s="1"/>
  <c r="H230" i="13" a="1"/>
  <c r="H230" i="13" s="1"/>
  <c r="H231" i="13" a="1"/>
  <c r="H231" i="13" s="1"/>
  <c r="H232" i="13" a="1"/>
  <c r="H232" i="13" s="1"/>
  <c r="H233" i="13" a="1"/>
  <c r="H233" i="13" s="1"/>
  <c r="H234" i="13" a="1"/>
  <c r="H234" i="13" s="1"/>
  <c r="H235" i="13" a="1"/>
  <c r="H235" i="13" s="1"/>
  <c r="H236" i="13" a="1"/>
  <c r="H236" i="13" s="1"/>
  <c r="H237" i="13" a="1"/>
  <c r="H237" i="13" s="1"/>
  <c r="H238" i="13" a="1"/>
  <c r="H238" i="13" s="1"/>
  <c r="H239" i="13" a="1"/>
  <c r="H239" i="13" s="1"/>
  <c r="H240" i="13" a="1"/>
  <c r="H240" i="13" s="1"/>
  <c r="H241" i="13" a="1"/>
  <c r="H241" i="13" s="1"/>
  <c r="H242" i="13" a="1"/>
  <c r="H242" i="13" s="1"/>
  <c r="H243" i="13" a="1"/>
  <c r="H243" i="13" s="1"/>
  <c r="H244" i="13" a="1"/>
  <c r="H244" i="13" s="1"/>
  <c r="H245" i="13" a="1"/>
  <c r="H245" i="13" s="1"/>
  <c r="H246" i="13" a="1"/>
  <c r="H246" i="13" s="1"/>
  <c r="H247" i="13" a="1"/>
  <c r="H247" i="13" s="1"/>
  <c r="H248" i="13" a="1"/>
  <c r="H248" i="13" s="1"/>
  <c r="H249" i="13" a="1"/>
  <c r="H249" i="13" s="1"/>
  <c r="H250" i="13" a="1"/>
  <c r="H250" i="13" s="1"/>
  <c r="H251" i="13" a="1"/>
  <c r="H251" i="13" s="1"/>
  <c r="H252" i="13" a="1"/>
  <c r="H252" i="13" s="1"/>
  <c r="H253" i="13" a="1"/>
  <c r="H253" i="13" s="1"/>
  <c r="H254" i="13" a="1"/>
  <c r="H254" i="13" s="1"/>
  <c r="H255" i="13" a="1"/>
  <c r="H255" i="13" s="1"/>
  <c r="H256" i="13" a="1"/>
  <c r="H256" i="13" s="1"/>
  <c r="H257" i="13" a="1"/>
  <c r="H257" i="13" s="1"/>
  <c r="H258" i="13" a="1"/>
  <c r="H258" i="13" s="1"/>
  <c r="H259" i="13" a="1"/>
  <c r="H259" i="13" s="1"/>
  <c r="H260" i="13" a="1"/>
  <c r="H260" i="13" s="1"/>
  <c r="H261" i="13" a="1"/>
  <c r="H261" i="13" s="1"/>
  <c r="H262" i="13" a="1"/>
  <c r="H262" i="13" s="1"/>
  <c r="H263" i="13" a="1"/>
  <c r="H263" i="13" s="1"/>
  <c r="H264" i="13" a="1"/>
  <c r="H264" i="13" s="1"/>
  <c r="H265" i="13" a="1"/>
  <c r="H265" i="13" s="1"/>
  <c r="H266" i="13" a="1"/>
  <c r="H266" i="13" s="1"/>
  <c r="H267" i="13" a="1"/>
  <c r="H267" i="13" s="1"/>
  <c r="H268" i="13" a="1"/>
  <c r="H268" i="13" s="1"/>
  <c r="H269" i="13" a="1"/>
  <c r="H269" i="13" s="1"/>
  <c r="H270" i="13" a="1"/>
  <c r="H270" i="13" s="1"/>
  <c r="H271" i="13" a="1"/>
  <c r="H271" i="13" s="1"/>
  <c r="H272" i="13" a="1"/>
  <c r="H272" i="13" s="1"/>
  <c r="H273" i="13" a="1"/>
  <c r="H273" i="13" s="1"/>
  <c r="H274" i="13" a="1"/>
  <c r="H274" i="13" s="1"/>
  <c r="H275" i="13" a="1"/>
  <c r="H275" i="13" s="1"/>
  <c r="H276" i="13" a="1"/>
  <c r="H276" i="13" s="1"/>
  <c r="H277" i="13" a="1"/>
  <c r="H277" i="13" s="1"/>
  <c r="H278" i="13" a="1"/>
  <c r="H278" i="13" s="1"/>
  <c r="H279" i="13" a="1"/>
  <c r="H279" i="13" s="1"/>
  <c r="H280" i="13" a="1"/>
  <c r="H280" i="13" s="1"/>
  <c r="H281" i="13" a="1"/>
  <c r="H281" i="13" s="1"/>
  <c r="H282" i="13" a="1"/>
  <c r="H282" i="13" s="1"/>
  <c r="H283" i="13" a="1"/>
  <c r="H283" i="13" s="1"/>
  <c r="H284" i="13" a="1"/>
  <c r="H284" i="13" s="1"/>
  <c r="H285" i="13" a="1"/>
  <c r="H285" i="13" s="1"/>
  <c r="H286" i="13" a="1"/>
  <c r="H286" i="13" s="1"/>
  <c r="H287" i="13" a="1"/>
  <c r="H287" i="13" s="1"/>
  <c r="H288" i="13" a="1"/>
  <c r="H288" i="13" s="1"/>
  <c r="H289" i="13" a="1"/>
  <c r="H289" i="13" s="1"/>
  <c r="H290" i="13" a="1"/>
  <c r="H290" i="13" s="1"/>
  <c r="H291" i="13" a="1"/>
  <c r="H291" i="13" s="1"/>
  <c r="H292" i="13" a="1"/>
  <c r="H292" i="13" s="1"/>
  <c r="H293" i="13" a="1"/>
  <c r="H293" i="13" s="1"/>
  <c r="H294" i="13" a="1"/>
  <c r="H294" i="13" s="1"/>
  <c r="H295" i="13" a="1"/>
  <c r="H295" i="13" s="1"/>
  <c r="H296" i="13" a="1"/>
  <c r="H296" i="13" s="1"/>
  <c r="H297" i="13" a="1"/>
  <c r="H297" i="13" s="1"/>
  <c r="H298" i="13" a="1"/>
  <c r="H298" i="13" s="1"/>
  <c r="H299" i="13" a="1"/>
  <c r="H299" i="13" s="1"/>
  <c r="H300" i="13" a="1"/>
  <c r="H300" i="13" s="1"/>
  <c r="H301" i="13" a="1"/>
  <c r="H301" i="13" s="1"/>
  <c r="H302" i="13" a="1"/>
  <c r="H302" i="13" s="1"/>
  <c r="H303" i="13" a="1"/>
  <c r="H303" i="13" s="1"/>
  <c r="H304" i="13" a="1"/>
  <c r="H304" i="13" s="1"/>
  <c r="H305" i="13" a="1"/>
  <c r="H305" i="13" s="1"/>
  <c r="H306" i="13" a="1"/>
  <c r="H306" i="13" s="1"/>
  <c r="H307" i="13" a="1"/>
  <c r="H307" i="13" s="1"/>
  <c r="H308" i="13" a="1"/>
  <c r="H308" i="13" s="1"/>
  <c r="H309" i="13" a="1"/>
  <c r="H309" i="13" s="1"/>
  <c r="H310" i="13" a="1"/>
  <c r="H310" i="13" s="1"/>
  <c r="H311" i="13" a="1"/>
  <c r="H311" i="13" s="1"/>
  <c r="H312" i="13" a="1"/>
  <c r="H312" i="13" s="1"/>
  <c r="H313" i="13" a="1"/>
  <c r="H313" i="13" s="1"/>
  <c r="H314" i="13" a="1"/>
  <c r="H314" i="13" s="1"/>
  <c r="H315" i="13" a="1"/>
  <c r="H315" i="13" s="1"/>
  <c r="H316" i="13" a="1"/>
  <c r="H316" i="13" s="1"/>
  <c r="H317" i="13" a="1"/>
  <c r="H317" i="13" s="1"/>
  <c r="H318" i="13" a="1"/>
  <c r="H318" i="13" s="1"/>
  <c r="H319" i="13" a="1"/>
  <c r="H319" i="13" s="1"/>
  <c r="H320" i="13" a="1"/>
  <c r="H320" i="13" s="1"/>
  <c r="H321" i="13" a="1"/>
  <c r="H321" i="13" s="1"/>
  <c r="H322" i="13" a="1"/>
  <c r="H322" i="13" s="1"/>
  <c r="H323" i="13" a="1"/>
  <c r="H323" i="13" s="1"/>
  <c r="H324" i="13" a="1"/>
  <c r="H324" i="13" s="1"/>
  <c r="H325" i="13" a="1"/>
  <c r="H325" i="13" s="1"/>
  <c r="H326" i="13" a="1"/>
  <c r="H326" i="13" s="1"/>
  <c r="H327" i="13" a="1"/>
  <c r="H327" i="13" s="1"/>
  <c r="H328" i="13" a="1"/>
  <c r="H328" i="13" s="1"/>
  <c r="H329" i="13" a="1"/>
  <c r="H329" i="13" s="1"/>
  <c r="H330" i="13" a="1"/>
  <c r="H330" i="13" s="1"/>
  <c r="H331" i="13" a="1"/>
  <c r="H331" i="13" s="1"/>
  <c r="H332" i="13" a="1"/>
  <c r="H332" i="13" s="1"/>
  <c r="H333" i="13" a="1"/>
  <c r="H333" i="13" s="1"/>
  <c r="H334" i="13" a="1"/>
  <c r="H334" i="13" s="1"/>
  <c r="H335" i="13" a="1"/>
  <c r="H335" i="13" s="1"/>
  <c r="H336" i="13" a="1"/>
  <c r="H336" i="13" s="1"/>
  <c r="H337" i="13" a="1"/>
  <c r="H337" i="13" s="1"/>
  <c r="H338" i="13" a="1"/>
  <c r="H338" i="13" s="1"/>
  <c r="H339" i="13" a="1"/>
  <c r="H339" i="13" s="1"/>
  <c r="H340" i="13" a="1"/>
  <c r="H340" i="13" s="1"/>
  <c r="H341" i="13" a="1"/>
  <c r="H341" i="13" s="1"/>
  <c r="H342" i="13" a="1"/>
  <c r="H342" i="13" s="1"/>
  <c r="H343" i="13" a="1"/>
  <c r="H343" i="13" s="1"/>
  <c r="H344" i="13" a="1"/>
  <c r="H344" i="13" s="1"/>
  <c r="H345" i="13" a="1"/>
  <c r="H345" i="13" s="1"/>
  <c r="H346" i="13" a="1"/>
  <c r="H346" i="13" s="1"/>
  <c r="H347" i="13" a="1"/>
  <c r="H347" i="13" s="1"/>
  <c r="H348" i="13" a="1"/>
  <c r="H348" i="13" s="1"/>
  <c r="H349" i="13" a="1"/>
  <c r="H349" i="13" s="1"/>
  <c r="H350" i="13" a="1"/>
  <c r="H350" i="13" s="1"/>
  <c r="H351" i="13" a="1"/>
  <c r="H351" i="13" s="1"/>
  <c r="H352" i="13" a="1"/>
  <c r="H352" i="13" s="1"/>
  <c r="H353" i="13" a="1"/>
  <c r="H353" i="13" s="1"/>
  <c r="H354" i="13" a="1"/>
  <c r="H354" i="13" s="1"/>
  <c r="H355" i="13" a="1"/>
  <c r="H355" i="13" s="1"/>
  <c r="H356" i="13" a="1"/>
  <c r="H356" i="13" s="1"/>
  <c r="H357" i="13" a="1"/>
  <c r="H357" i="13" s="1"/>
  <c r="H358" i="13" a="1"/>
  <c r="H358" i="13" s="1"/>
  <c r="H359" i="13" a="1"/>
  <c r="H359" i="13" s="1"/>
  <c r="H360" i="13" a="1"/>
  <c r="H360" i="13" s="1"/>
  <c r="H361" i="13" a="1"/>
  <c r="H361" i="13" s="1"/>
  <c r="H362" i="13" a="1"/>
  <c r="H362" i="13" s="1"/>
  <c r="H363" i="13" a="1"/>
  <c r="H363" i="13" s="1"/>
  <c r="H364" i="13" a="1"/>
  <c r="H364" i="13" s="1"/>
  <c r="H365" i="13" a="1"/>
  <c r="H365" i="13" s="1"/>
  <c r="H366" i="13" a="1"/>
  <c r="H366" i="13" s="1"/>
  <c r="H367" i="13" a="1"/>
  <c r="H367" i="13" s="1"/>
  <c r="H368" i="13" a="1"/>
  <c r="H368" i="13" s="1"/>
  <c r="H369" i="13" a="1"/>
  <c r="H369" i="13" s="1"/>
  <c r="H370" i="13" a="1"/>
  <c r="H370" i="13" s="1"/>
  <c r="H371" i="13" a="1"/>
  <c r="H371" i="13" s="1"/>
  <c r="H372" i="13" a="1"/>
  <c r="H372" i="13" s="1"/>
  <c r="H373" i="13" a="1"/>
  <c r="H373" i="13" s="1"/>
  <c r="H374" i="13" a="1"/>
  <c r="H374" i="13" s="1"/>
  <c r="H375" i="13" a="1"/>
  <c r="H375" i="13" s="1"/>
  <c r="H376" i="13" a="1"/>
  <c r="H376" i="13" s="1"/>
  <c r="H377" i="13" a="1"/>
  <c r="H377" i="13" s="1"/>
  <c r="H378" i="13" a="1"/>
  <c r="H378" i="13" s="1"/>
  <c r="H379" i="13" a="1"/>
  <c r="H379" i="13" s="1"/>
  <c r="H380" i="13" a="1"/>
  <c r="H380" i="13" s="1"/>
  <c r="H381" i="13" a="1"/>
  <c r="H381" i="13" s="1"/>
  <c r="H382" i="13" a="1"/>
  <c r="H382" i="13" s="1"/>
  <c r="H383" i="13" a="1"/>
  <c r="H383" i="13" s="1"/>
  <c r="H384" i="13" a="1"/>
  <c r="H384" i="13" s="1"/>
  <c r="H385" i="13" a="1"/>
  <c r="H385" i="13" s="1"/>
  <c r="H386" i="13" a="1"/>
  <c r="H386" i="13" s="1"/>
  <c r="H387" i="13" a="1"/>
  <c r="H387" i="13" s="1"/>
  <c r="H388" i="13" a="1"/>
  <c r="H388" i="13" s="1"/>
  <c r="H389" i="13" a="1"/>
  <c r="H389" i="13" s="1"/>
  <c r="H390" i="13" a="1"/>
  <c r="H390" i="13" s="1"/>
  <c r="H391" i="13" a="1"/>
  <c r="H391" i="13" s="1"/>
  <c r="H392" i="13" a="1"/>
  <c r="H392" i="13" s="1"/>
  <c r="H393" i="13" a="1"/>
  <c r="H393" i="13" s="1"/>
  <c r="H394" i="13" a="1"/>
  <c r="H394" i="13" s="1"/>
  <c r="H395" i="13" a="1"/>
  <c r="H395" i="13" s="1"/>
  <c r="H396" i="13" a="1"/>
  <c r="H396" i="13" s="1"/>
  <c r="H397" i="13" a="1"/>
  <c r="H397" i="13" s="1"/>
  <c r="H398" i="13" a="1"/>
  <c r="H398" i="13" s="1"/>
  <c r="H399" i="13" a="1"/>
  <c r="H399" i="13" s="1"/>
  <c r="H400" i="13" a="1"/>
  <c r="H400" i="13" s="1"/>
  <c r="H401" i="13" a="1"/>
  <c r="H401" i="13" s="1"/>
  <c r="H402" i="13" a="1"/>
  <c r="H402" i="13" s="1"/>
  <c r="H403" i="13" a="1"/>
  <c r="H403" i="13" s="1"/>
  <c r="H404" i="13" a="1"/>
  <c r="H404" i="13" s="1"/>
  <c r="H405" i="13" a="1"/>
  <c r="H405" i="13" s="1"/>
  <c r="H406" i="13" a="1"/>
  <c r="H406" i="13" s="1"/>
  <c r="H407" i="13" a="1"/>
  <c r="H407" i="13" s="1"/>
  <c r="H408" i="13" a="1"/>
  <c r="H408" i="13" s="1"/>
  <c r="H409" i="13" a="1"/>
  <c r="H409" i="13" s="1"/>
  <c r="H410" i="13" a="1"/>
  <c r="H410" i="13" s="1"/>
  <c r="H411" i="13" a="1"/>
  <c r="H411" i="13" s="1"/>
  <c r="H412" i="13" a="1"/>
  <c r="H412" i="13" s="1"/>
  <c r="H413" i="13" a="1"/>
  <c r="H413" i="13" s="1"/>
  <c r="H414" i="13" a="1"/>
  <c r="H414" i="13" s="1"/>
  <c r="H415" i="13" a="1"/>
  <c r="H415" i="13" s="1"/>
  <c r="H416" i="13" a="1"/>
  <c r="H416" i="13" s="1"/>
  <c r="H417" i="13" a="1"/>
  <c r="H417" i="13" s="1"/>
  <c r="H418" i="13" a="1"/>
  <c r="H418" i="13" s="1"/>
  <c r="H419" i="13" a="1"/>
  <c r="H419" i="13" s="1"/>
  <c r="H420" i="13" a="1"/>
  <c r="H420" i="13" s="1"/>
  <c r="H421" i="13" a="1"/>
  <c r="H421" i="13" s="1"/>
  <c r="H422" i="13" a="1"/>
  <c r="H422" i="13" s="1"/>
  <c r="H423" i="13" a="1"/>
  <c r="H423" i="13" s="1"/>
  <c r="H424" i="13" a="1"/>
  <c r="H424" i="13" s="1"/>
  <c r="H425" i="13" a="1"/>
  <c r="H425" i="13" s="1"/>
  <c r="H426" i="13" a="1"/>
  <c r="H426" i="13" s="1"/>
  <c r="H427" i="13" a="1"/>
  <c r="H427" i="13" s="1"/>
  <c r="H428" i="13" a="1"/>
  <c r="H428" i="13" s="1"/>
  <c r="H429" i="13" a="1"/>
  <c r="H429" i="13" s="1"/>
  <c r="H430" i="13" a="1"/>
  <c r="H430" i="13" s="1"/>
  <c r="H431" i="13" a="1"/>
  <c r="H431" i="13" s="1"/>
  <c r="H432" i="13" a="1"/>
  <c r="H432" i="13" s="1"/>
  <c r="H433" i="13" a="1"/>
  <c r="H433" i="13" s="1"/>
  <c r="H434" i="13" a="1"/>
  <c r="H434" i="13" s="1"/>
  <c r="H435" i="13" a="1"/>
  <c r="H435" i="13" s="1"/>
  <c r="H436" i="13" a="1"/>
  <c r="H436" i="13" s="1"/>
  <c r="H437" i="13" a="1"/>
  <c r="H437" i="13" s="1"/>
  <c r="H438" i="13" a="1"/>
  <c r="H438" i="13" s="1"/>
  <c r="H439" i="13" a="1"/>
  <c r="H439" i="13" s="1"/>
  <c r="H440" i="13" a="1"/>
  <c r="H440" i="13" s="1"/>
  <c r="H441" i="13" a="1"/>
  <c r="H441" i="13" s="1"/>
  <c r="H6" i="13" a="1"/>
  <c r="H6" i="13" s="1"/>
  <c r="G7" i="13" a="1"/>
  <c r="G7" i="13" s="1"/>
  <c r="G8" i="13" a="1"/>
  <c r="G8" i="13" s="1"/>
  <c r="G9" i="13" a="1"/>
  <c r="G9" i="13" s="1"/>
  <c r="G10" i="13" a="1"/>
  <c r="G10" i="13" s="1"/>
  <c r="G11" i="13" a="1"/>
  <c r="G11" i="13" s="1"/>
  <c r="G12" i="13" a="1"/>
  <c r="G12" i="13" s="1"/>
  <c r="G13" i="13" a="1"/>
  <c r="G13" i="13" s="1"/>
  <c r="G14" i="13" a="1"/>
  <c r="G14" i="13" s="1"/>
  <c r="G15" i="13" a="1"/>
  <c r="G15" i="13" s="1"/>
  <c r="G16" i="13" a="1"/>
  <c r="G16" i="13" s="1"/>
  <c r="G17" i="13" a="1"/>
  <c r="G17" i="13" s="1"/>
  <c r="G18" i="13" a="1"/>
  <c r="G18" i="13" s="1"/>
  <c r="G19" i="13" a="1"/>
  <c r="G19" i="13" s="1"/>
  <c r="G20" i="13" a="1"/>
  <c r="G20" i="13" s="1"/>
  <c r="G21" i="13" a="1"/>
  <c r="G21" i="13" s="1"/>
  <c r="G22" i="13" a="1"/>
  <c r="G22" i="13" s="1"/>
  <c r="G23" i="13" a="1"/>
  <c r="G23" i="13" s="1"/>
  <c r="G24" i="13" a="1"/>
  <c r="G24" i="13" s="1"/>
  <c r="G25" i="13" a="1"/>
  <c r="G25" i="13" s="1"/>
  <c r="G26" i="13" a="1"/>
  <c r="G26" i="13" s="1"/>
  <c r="G27" i="13" a="1"/>
  <c r="G27" i="13" s="1"/>
  <c r="G28" i="13" a="1"/>
  <c r="G28" i="13" s="1"/>
  <c r="G29" i="13" a="1"/>
  <c r="G29" i="13" s="1"/>
  <c r="G30" i="13" a="1"/>
  <c r="G30" i="13" s="1"/>
  <c r="G31" i="13" a="1"/>
  <c r="G31" i="13" s="1"/>
  <c r="G32" i="13" a="1"/>
  <c r="G32" i="13" s="1"/>
  <c r="G33" i="13" a="1"/>
  <c r="G33" i="13" s="1"/>
  <c r="G34" i="13" a="1"/>
  <c r="G34" i="13" s="1"/>
  <c r="G35" i="13" a="1"/>
  <c r="G35" i="13" s="1"/>
  <c r="G36" i="13" a="1"/>
  <c r="G36" i="13" s="1"/>
  <c r="G37" i="13" a="1"/>
  <c r="G37" i="13" s="1"/>
  <c r="G38" i="13" a="1"/>
  <c r="G38" i="13" s="1"/>
  <c r="G39" i="13" a="1"/>
  <c r="G39" i="13" s="1"/>
  <c r="G40" i="13" a="1"/>
  <c r="G40" i="13" s="1"/>
  <c r="G41" i="13" a="1"/>
  <c r="G41" i="13" s="1"/>
  <c r="G42" i="13" a="1"/>
  <c r="G42" i="13" s="1"/>
  <c r="G43" i="13" a="1"/>
  <c r="G43" i="13" s="1"/>
  <c r="G44" i="13" a="1"/>
  <c r="G44" i="13" s="1"/>
  <c r="G45" i="13" a="1"/>
  <c r="G45" i="13" s="1"/>
  <c r="G46" i="13" a="1"/>
  <c r="G46" i="13" s="1"/>
  <c r="G47" i="13" a="1"/>
  <c r="G47" i="13" s="1"/>
  <c r="G48" i="13" a="1"/>
  <c r="G48" i="13" s="1"/>
  <c r="G49" i="13" a="1"/>
  <c r="G49" i="13" s="1"/>
  <c r="G50" i="13" a="1"/>
  <c r="G50" i="13" s="1"/>
  <c r="G51" i="13" a="1"/>
  <c r="G51" i="13" s="1"/>
  <c r="G52" i="13" a="1"/>
  <c r="G52" i="13" s="1"/>
  <c r="G53" i="13" a="1"/>
  <c r="G53" i="13" s="1"/>
  <c r="G54" i="13" a="1"/>
  <c r="G54" i="13" s="1"/>
  <c r="G55" i="13" a="1"/>
  <c r="G55" i="13" s="1"/>
  <c r="G56" i="13" a="1"/>
  <c r="G56" i="13" s="1"/>
  <c r="G57" i="13" a="1"/>
  <c r="G57" i="13" s="1"/>
  <c r="G58" i="13" a="1"/>
  <c r="G58" i="13" s="1"/>
  <c r="G59" i="13" a="1"/>
  <c r="G59" i="13" s="1"/>
  <c r="G60" i="13" a="1"/>
  <c r="G60" i="13" s="1"/>
  <c r="G61" i="13" a="1"/>
  <c r="G61" i="13" s="1"/>
  <c r="G62" i="13" a="1"/>
  <c r="G62" i="13" s="1"/>
  <c r="G63" i="13" a="1"/>
  <c r="G63" i="13" s="1"/>
  <c r="G64" i="13" a="1"/>
  <c r="G64" i="13" s="1"/>
  <c r="G65" i="13" a="1"/>
  <c r="G65" i="13" s="1"/>
  <c r="G66" i="13" a="1"/>
  <c r="G66" i="13" s="1"/>
  <c r="G67" i="13" a="1"/>
  <c r="G67" i="13" s="1"/>
  <c r="G68" i="13" a="1"/>
  <c r="G68" i="13" s="1"/>
  <c r="G69" i="13" a="1"/>
  <c r="G69" i="13" s="1"/>
  <c r="G70" i="13" a="1"/>
  <c r="G70" i="13" s="1"/>
  <c r="G71" i="13" a="1"/>
  <c r="G71" i="13" s="1"/>
  <c r="G72" i="13" a="1"/>
  <c r="G72" i="13" s="1"/>
  <c r="G73" i="13" a="1"/>
  <c r="G73" i="13" s="1"/>
  <c r="G74" i="13" a="1"/>
  <c r="G74" i="13" s="1"/>
  <c r="G75" i="13" a="1"/>
  <c r="G75" i="13" s="1"/>
  <c r="G76" i="13" a="1"/>
  <c r="G76" i="13" s="1"/>
  <c r="G77" i="13" a="1"/>
  <c r="G77" i="13" s="1"/>
  <c r="G78" i="13" a="1"/>
  <c r="G78" i="13" s="1"/>
  <c r="G79" i="13" a="1"/>
  <c r="G79" i="13" s="1"/>
  <c r="G80" i="13" a="1"/>
  <c r="G80" i="13" s="1"/>
  <c r="G81" i="13" a="1"/>
  <c r="G81" i="13" s="1"/>
  <c r="G82" i="13" a="1"/>
  <c r="G82" i="13" s="1"/>
  <c r="G83" i="13" a="1"/>
  <c r="G83" i="13" s="1"/>
  <c r="G84" i="13" a="1"/>
  <c r="G84" i="13" s="1"/>
  <c r="G85" i="13" a="1"/>
  <c r="G85" i="13" s="1"/>
  <c r="G86" i="13" a="1"/>
  <c r="G86" i="13" s="1"/>
  <c r="G87" i="13" a="1"/>
  <c r="G87" i="13" s="1"/>
  <c r="G88" i="13" a="1"/>
  <c r="G88" i="13" s="1"/>
  <c r="G89" i="13" a="1"/>
  <c r="G89" i="13" s="1"/>
  <c r="G90" i="13" a="1"/>
  <c r="G90" i="13" s="1"/>
  <c r="G91" i="13" a="1"/>
  <c r="G91" i="13" s="1"/>
  <c r="G92" i="13" a="1"/>
  <c r="G92" i="13" s="1"/>
  <c r="G93" i="13" a="1"/>
  <c r="G93" i="13" s="1"/>
  <c r="G94" i="13" a="1"/>
  <c r="G94" i="13" s="1"/>
  <c r="G95" i="13" a="1"/>
  <c r="G95" i="13" s="1"/>
  <c r="G96" i="13" a="1"/>
  <c r="G96" i="13" s="1"/>
  <c r="G97" i="13" a="1"/>
  <c r="G97" i="13" s="1"/>
  <c r="G98" i="13" a="1"/>
  <c r="G98" i="13" s="1"/>
  <c r="G99" i="13" a="1"/>
  <c r="G99" i="13" s="1"/>
  <c r="G100" i="13" a="1"/>
  <c r="G100" i="13" s="1"/>
  <c r="G101" i="13" a="1"/>
  <c r="G101" i="13" s="1"/>
  <c r="G102" i="13" a="1"/>
  <c r="G102" i="13" s="1"/>
  <c r="G103" i="13" a="1"/>
  <c r="G103" i="13" s="1"/>
  <c r="G104" i="13" a="1"/>
  <c r="G104" i="13" s="1"/>
  <c r="G105" i="13" a="1"/>
  <c r="G105" i="13" s="1"/>
  <c r="G106" i="13" a="1"/>
  <c r="G106" i="13" s="1"/>
  <c r="G107" i="13" a="1"/>
  <c r="G107" i="13" s="1"/>
  <c r="G108" i="13" a="1"/>
  <c r="G108" i="13" s="1"/>
  <c r="G109" i="13" a="1"/>
  <c r="G109" i="13" s="1"/>
  <c r="G110" i="13" a="1"/>
  <c r="G110" i="13" s="1"/>
  <c r="G111" i="13" a="1"/>
  <c r="G111" i="13" s="1"/>
  <c r="G112" i="13" a="1"/>
  <c r="G112" i="13" s="1"/>
  <c r="G113" i="13" a="1"/>
  <c r="G113" i="13" s="1"/>
  <c r="G114" i="13" a="1"/>
  <c r="G114" i="13" s="1"/>
  <c r="G115" i="13" a="1"/>
  <c r="G115" i="13" s="1"/>
  <c r="G116" i="13" a="1"/>
  <c r="G116" i="13" s="1"/>
  <c r="G117" i="13" a="1"/>
  <c r="G117" i="13" s="1"/>
  <c r="G118" i="13" a="1"/>
  <c r="G118" i="13" s="1"/>
  <c r="G119" i="13" a="1"/>
  <c r="G119" i="13" s="1"/>
  <c r="G120" i="13" a="1"/>
  <c r="G120" i="13" s="1"/>
  <c r="G121" i="13" a="1"/>
  <c r="G121" i="13" s="1"/>
  <c r="G122" i="13" a="1"/>
  <c r="G122" i="13" s="1"/>
  <c r="G123" i="13" a="1"/>
  <c r="G123" i="13" s="1"/>
  <c r="G124" i="13" a="1"/>
  <c r="G124" i="13" s="1"/>
  <c r="G125" i="13" a="1"/>
  <c r="G125" i="13" s="1"/>
  <c r="G126" i="13" a="1"/>
  <c r="G126" i="13" s="1"/>
  <c r="G127" i="13" a="1"/>
  <c r="G127" i="13" s="1"/>
  <c r="G128" i="13" a="1"/>
  <c r="G128" i="13" s="1"/>
  <c r="G129" i="13" a="1"/>
  <c r="G129" i="13" s="1"/>
  <c r="G130" i="13" a="1"/>
  <c r="G130" i="13" s="1"/>
  <c r="G131" i="13" a="1"/>
  <c r="G131" i="13" s="1"/>
  <c r="G132" i="13" a="1"/>
  <c r="G132" i="13" s="1"/>
  <c r="G133" i="13" a="1"/>
  <c r="G133" i="13" s="1"/>
  <c r="G134" i="13" a="1"/>
  <c r="G134" i="13" s="1"/>
  <c r="G135" i="13" a="1"/>
  <c r="G135" i="13" s="1"/>
  <c r="G136" i="13" a="1"/>
  <c r="G136" i="13" s="1"/>
  <c r="G137" i="13" a="1"/>
  <c r="G137" i="13" s="1"/>
  <c r="G138" i="13" a="1"/>
  <c r="G138" i="13" s="1"/>
  <c r="G139" i="13" a="1"/>
  <c r="G139" i="13" s="1"/>
  <c r="G140" i="13" a="1"/>
  <c r="G140" i="13" s="1"/>
  <c r="G141" i="13" a="1"/>
  <c r="G141" i="13" s="1"/>
  <c r="G142" i="13" a="1"/>
  <c r="G142" i="13" s="1"/>
  <c r="G143" i="13" a="1"/>
  <c r="G143" i="13" s="1"/>
  <c r="G144" i="13" a="1"/>
  <c r="G144" i="13" s="1"/>
  <c r="G145" i="13" a="1"/>
  <c r="G145" i="13" s="1"/>
  <c r="G146" i="13" a="1"/>
  <c r="G146" i="13" s="1"/>
  <c r="G147" i="13" a="1"/>
  <c r="G147" i="13" s="1"/>
  <c r="G148" i="13" a="1"/>
  <c r="G148" i="13" s="1"/>
  <c r="G149" i="13" a="1"/>
  <c r="G149" i="13" s="1"/>
  <c r="G150" i="13" a="1"/>
  <c r="G150" i="13" s="1"/>
  <c r="G151" i="13" a="1"/>
  <c r="G151" i="13" s="1"/>
  <c r="G152" i="13" a="1"/>
  <c r="G152" i="13" s="1"/>
  <c r="G153" i="13" a="1"/>
  <c r="G153" i="13" s="1"/>
  <c r="G154" i="13" a="1"/>
  <c r="G154" i="13" s="1"/>
  <c r="G155" i="13" a="1"/>
  <c r="G155" i="13" s="1"/>
  <c r="G156" i="13" a="1"/>
  <c r="G156" i="13" s="1"/>
  <c r="G157" i="13" a="1"/>
  <c r="G157" i="13" s="1"/>
  <c r="G158" i="13" a="1"/>
  <c r="G158" i="13" s="1"/>
  <c r="G159" i="13" a="1"/>
  <c r="G159" i="13" s="1"/>
  <c r="G160" i="13" a="1"/>
  <c r="G160" i="13" s="1"/>
  <c r="G161" i="13" a="1"/>
  <c r="G161" i="13" s="1"/>
  <c r="G162" i="13" a="1"/>
  <c r="G162" i="13" s="1"/>
  <c r="G163" i="13" a="1"/>
  <c r="G163" i="13" s="1"/>
  <c r="G164" i="13" a="1"/>
  <c r="G164" i="13" s="1"/>
  <c r="G165" i="13" a="1"/>
  <c r="G165" i="13" s="1"/>
  <c r="G166" i="13" a="1"/>
  <c r="G166" i="13" s="1"/>
  <c r="G167" i="13" a="1"/>
  <c r="G167" i="13" s="1"/>
  <c r="G168" i="13" a="1"/>
  <c r="G168" i="13" s="1"/>
  <c r="G169" i="13" a="1"/>
  <c r="G169" i="13" s="1"/>
  <c r="G170" i="13" a="1"/>
  <c r="G170" i="13" s="1"/>
  <c r="G171" i="13" a="1"/>
  <c r="G171" i="13" s="1"/>
  <c r="G172" i="13" a="1"/>
  <c r="G172" i="13" s="1"/>
  <c r="G173" i="13" a="1"/>
  <c r="G173" i="13" s="1"/>
  <c r="G174" i="13" a="1"/>
  <c r="G174" i="13" s="1"/>
  <c r="G175" i="13" a="1"/>
  <c r="G175" i="13" s="1"/>
  <c r="G176" i="13" a="1"/>
  <c r="G176" i="13" s="1"/>
  <c r="G177" i="13" a="1"/>
  <c r="G177" i="13" s="1"/>
  <c r="G178" i="13" a="1"/>
  <c r="G178" i="13" s="1"/>
  <c r="G179" i="13" a="1"/>
  <c r="G179" i="13" s="1"/>
  <c r="G180" i="13" a="1"/>
  <c r="G180" i="13" s="1"/>
  <c r="G181" i="13" a="1"/>
  <c r="G181" i="13" s="1"/>
  <c r="G182" i="13" a="1"/>
  <c r="G182" i="13" s="1"/>
  <c r="G183" i="13" a="1"/>
  <c r="G183" i="13" s="1"/>
  <c r="G184" i="13" a="1"/>
  <c r="G184" i="13" s="1"/>
  <c r="G185" i="13" a="1"/>
  <c r="G185" i="13" s="1"/>
  <c r="G186" i="13" a="1"/>
  <c r="G186" i="13" s="1"/>
  <c r="G187" i="13" a="1"/>
  <c r="G187" i="13" s="1"/>
  <c r="G188" i="13" a="1"/>
  <c r="G188" i="13" s="1"/>
  <c r="G189" i="13" a="1"/>
  <c r="G189" i="13" s="1"/>
  <c r="G190" i="13" a="1"/>
  <c r="G190" i="13" s="1"/>
  <c r="G191" i="13" a="1"/>
  <c r="G191" i="13" s="1"/>
  <c r="G192" i="13" a="1"/>
  <c r="G192" i="13" s="1"/>
  <c r="G193" i="13" a="1"/>
  <c r="G193" i="13" s="1"/>
  <c r="G194" i="13" a="1"/>
  <c r="G194" i="13" s="1"/>
  <c r="G195" i="13" a="1"/>
  <c r="G195" i="13" s="1"/>
  <c r="G196" i="13" a="1"/>
  <c r="G196" i="13" s="1"/>
  <c r="G197" i="13" a="1"/>
  <c r="G197" i="13" s="1"/>
  <c r="G198" i="13" a="1"/>
  <c r="G198" i="13" s="1"/>
  <c r="G199" i="13" a="1"/>
  <c r="G199" i="13" s="1"/>
  <c r="G200" i="13" a="1"/>
  <c r="G200" i="13" s="1"/>
  <c r="G201" i="13" a="1"/>
  <c r="G201" i="13" s="1"/>
  <c r="G202" i="13" a="1"/>
  <c r="G202" i="13" s="1"/>
  <c r="G203" i="13" a="1"/>
  <c r="G203" i="13" s="1"/>
  <c r="G204" i="13" a="1"/>
  <c r="G204" i="13" s="1"/>
  <c r="G205" i="13" a="1"/>
  <c r="G205" i="13" s="1"/>
  <c r="G206" i="13" a="1"/>
  <c r="G206" i="13" s="1"/>
  <c r="G207" i="13" a="1"/>
  <c r="G207" i="13" s="1"/>
  <c r="G208" i="13" a="1"/>
  <c r="G208" i="13" s="1"/>
  <c r="G209" i="13" a="1"/>
  <c r="G209" i="13" s="1"/>
  <c r="G210" i="13" a="1"/>
  <c r="G210" i="13" s="1"/>
  <c r="G211" i="13" a="1"/>
  <c r="G211" i="13" s="1"/>
  <c r="G212" i="13" a="1"/>
  <c r="G212" i="13" s="1"/>
  <c r="G213" i="13" a="1"/>
  <c r="G213" i="13" s="1"/>
  <c r="G214" i="13" a="1"/>
  <c r="G214" i="13" s="1"/>
  <c r="G215" i="13" a="1"/>
  <c r="G215" i="13" s="1"/>
  <c r="G216" i="13" a="1"/>
  <c r="G216" i="13" s="1"/>
  <c r="G217" i="13" a="1"/>
  <c r="G217" i="13" s="1"/>
  <c r="G218" i="13" a="1"/>
  <c r="G218" i="13" s="1"/>
  <c r="G219" i="13" a="1"/>
  <c r="G219" i="13" s="1"/>
  <c r="G220" i="13" a="1"/>
  <c r="G220" i="13" s="1"/>
  <c r="G221" i="13" a="1"/>
  <c r="G221" i="13" s="1"/>
  <c r="G222" i="13" a="1"/>
  <c r="G222" i="13" s="1"/>
  <c r="G223" i="13" a="1"/>
  <c r="G223" i="13" s="1"/>
  <c r="G224" i="13" a="1"/>
  <c r="G224" i="13" s="1"/>
  <c r="G225" i="13" a="1"/>
  <c r="G225" i="13" s="1"/>
  <c r="G226" i="13" a="1"/>
  <c r="G226" i="13" s="1"/>
  <c r="G227" i="13" a="1"/>
  <c r="G227" i="13" s="1"/>
  <c r="G228" i="13" a="1"/>
  <c r="G228" i="13" s="1"/>
  <c r="G229" i="13" a="1"/>
  <c r="G229" i="13" s="1"/>
  <c r="G230" i="13" a="1"/>
  <c r="G230" i="13" s="1"/>
  <c r="G231" i="13" a="1"/>
  <c r="G231" i="13" s="1"/>
  <c r="G232" i="13" a="1"/>
  <c r="G232" i="13" s="1"/>
  <c r="G233" i="13" a="1"/>
  <c r="G233" i="13" s="1"/>
  <c r="G234" i="13" a="1"/>
  <c r="G234" i="13" s="1"/>
  <c r="G235" i="13" a="1"/>
  <c r="G235" i="13" s="1"/>
  <c r="G236" i="13" a="1"/>
  <c r="G236" i="13" s="1"/>
  <c r="G237" i="13" a="1"/>
  <c r="G237" i="13" s="1"/>
  <c r="G238" i="13" a="1"/>
  <c r="G238" i="13" s="1"/>
  <c r="G239" i="13" a="1"/>
  <c r="G239" i="13" s="1"/>
  <c r="G240" i="13" a="1"/>
  <c r="G240" i="13" s="1"/>
  <c r="G241" i="13" a="1"/>
  <c r="G241" i="13" s="1"/>
  <c r="G242" i="13" a="1"/>
  <c r="G242" i="13" s="1"/>
  <c r="G243" i="13" a="1"/>
  <c r="G243" i="13" s="1"/>
  <c r="G244" i="13" a="1"/>
  <c r="G244" i="13" s="1"/>
  <c r="G245" i="13" a="1"/>
  <c r="G245" i="13" s="1"/>
  <c r="G246" i="13" a="1"/>
  <c r="G246" i="13" s="1"/>
  <c r="G247" i="13" a="1"/>
  <c r="G247" i="13" s="1"/>
  <c r="G248" i="13" a="1"/>
  <c r="G248" i="13" s="1"/>
  <c r="G249" i="13" a="1"/>
  <c r="G249" i="13" s="1"/>
  <c r="G250" i="13" a="1"/>
  <c r="G250" i="13" s="1"/>
  <c r="G251" i="13" a="1"/>
  <c r="G251" i="13" s="1"/>
  <c r="G252" i="13" a="1"/>
  <c r="G252" i="13" s="1"/>
  <c r="G253" i="13" a="1"/>
  <c r="G253" i="13" s="1"/>
  <c r="G254" i="13" a="1"/>
  <c r="G254" i="13" s="1"/>
  <c r="G255" i="13" a="1"/>
  <c r="G255" i="13" s="1"/>
  <c r="G256" i="13" a="1"/>
  <c r="G256" i="13" s="1"/>
  <c r="G257" i="13" a="1"/>
  <c r="G257" i="13" s="1"/>
  <c r="G258" i="13" a="1"/>
  <c r="G258" i="13" s="1"/>
  <c r="G259" i="13" a="1"/>
  <c r="G259" i="13" s="1"/>
  <c r="G260" i="13" a="1"/>
  <c r="G260" i="13" s="1"/>
  <c r="G261" i="13" a="1"/>
  <c r="G261" i="13" s="1"/>
  <c r="G262" i="13" a="1"/>
  <c r="G262" i="13" s="1"/>
  <c r="G263" i="13" a="1"/>
  <c r="G263" i="13" s="1"/>
  <c r="G264" i="13" a="1"/>
  <c r="G264" i="13" s="1"/>
  <c r="G265" i="13" a="1"/>
  <c r="G265" i="13" s="1"/>
  <c r="G266" i="13" a="1"/>
  <c r="G266" i="13" s="1"/>
  <c r="G267" i="13" a="1"/>
  <c r="G267" i="13" s="1"/>
  <c r="G268" i="13" a="1"/>
  <c r="G268" i="13" s="1"/>
  <c r="G269" i="13" a="1"/>
  <c r="G269" i="13" s="1"/>
  <c r="G270" i="13" a="1"/>
  <c r="G270" i="13" s="1"/>
  <c r="G271" i="13" a="1"/>
  <c r="G271" i="13" s="1"/>
  <c r="G272" i="13" a="1"/>
  <c r="G272" i="13" s="1"/>
  <c r="G273" i="13" a="1"/>
  <c r="G273" i="13" s="1"/>
  <c r="G274" i="13" a="1"/>
  <c r="G274" i="13" s="1"/>
  <c r="G275" i="13" a="1"/>
  <c r="G275" i="13" s="1"/>
  <c r="G276" i="13" a="1"/>
  <c r="G276" i="13" s="1"/>
  <c r="G277" i="13" a="1"/>
  <c r="G277" i="13" s="1"/>
  <c r="G278" i="13" a="1"/>
  <c r="G278" i="13" s="1"/>
  <c r="G279" i="13" a="1"/>
  <c r="G279" i="13" s="1"/>
  <c r="G280" i="13" a="1"/>
  <c r="G280" i="13" s="1"/>
  <c r="G281" i="13" a="1"/>
  <c r="G281" i="13" s="1"/>
  <c r="G282" i="13" a="1"/>
  <c r="G282" i="13" s="1"/>
  <c r="G283" i="13" a="1"/>
  <c r="G283" i="13" s="1"/>
  <c r="G284" i="13" a="1"/>
  <c r="G284" i="13" s="1"/>
  <c r="G285" i="13" a="1"/>
  <c r="G285" i="13" s="1"/>
  <c r="G286" i="13" a="1"/>
  <c r="G286" i="13" s="1"/>
  <c r="G287" i="13" a="1"/>
  <c r="G287" i="13" s="1"/>
  <c r="G288" i="13" a="1"/>
  <c r="G288" i="13" s="1"/>
  <c r="G289" i="13" a="1"/>
  <c r="G289" i="13" s="1"/>
  <c r="G290" i="13" a="1"/>
  <c r="G290" i="13" s="1"/>
  <c r="G291" i="13" a="1"/>
  <c r="G291" i="13" s="1"/>
  <c r="G292" i="13" a="1"/>
  <c r="G292" i="13" s="1"/>
  <c r="G293" i="13" a="1"/>
  <c r="G293" i="13" s="1"/>
  <c r="G294" i="13" a="1"/>
  <c r="G294" i="13" s="1"/>
  <c r="G295" i="13" a="1"/>
  <c r="G295" i="13" s="1"/>
  <c r="G296" i="13" a="1"/>
  <c r="G296" i="13" s="1"/>
  <c r="G297" i="13" a="1"/>
  <c r="G297" i="13" s="1"/>
  <c r="G298" i="13" a="1"/>
  <c r="G298" i="13" s="1"/>
  <c r="G299" i="13" a="1"/>
  <c r="G299" i="13" s="1"/>
  <c r="G300" i="13" a="1"/>
  <c r="G300" i="13" s="1"/>
  <c r="G301" i="13" a="1"/>
  <c r="G301" i="13" s="1"/>
  <c r="G302" i="13" a="1"/>
  <c r="G302" i="13" s="1"/>
  <c r="G303" i="13" a="1"/>
  <c r="G303" i="13" s="1"/>
  <c r="G304" i="13" a="1"/>
  <c r="G304" i="13" s="1"/>
  <c r="G305" i="13" a="1"/>
  <c r="G305" i="13" s="1"/>
  <c r="G306" i="13" a="1"/>
  <c r="G306" i="13" s="1"/>
  <c r="G307" i="13" a="1"/>
  <c r="G307" i="13" s="1"/>
  <c r="G308" i="13" a="1"/>
  <c r="G308" i="13" s="1"/>
  <c r="G309" i="13" a="1"/>
  <c r="G309" i="13" s="1"/>
  <c r="G310" i="13" a="1"/>
  <c r="G310" i="13" s="1"/>
  <c r="G311" i="13" a="1"/>
  <c r="G311" i="13" s="1"/>
  <c r="G312" i="13" a="1"/>
  <c r="G312" i="13" s="1"/>
  <c r="G313" i="13" a="1"/>
  <c r="G313" i="13" s="1"/>
  <c r="G314" i="13" a="1"/>
  <c r="G314" i="13" s="1"/>
  <c r="G315" i="13" a="1"/>
  <c r="G315" i="13" s="1"/>
  <c r="G316" i="13" a="1"/>
  <c r="G316" i="13" s="1"/>
  <c r="G317" i="13" a="1"/>
  <c r="G317" i="13" s="1"/>
  <c r="G318" i="13" a="1"/>
  <c r="G318" i="13" s="1"/>
  <c r="G319" i="13" a="1"/>
  <c r="G319" i="13" s="1"/>
  <c r="G320" i="13" a="1"/>
  <c r="G320" i="13" s="1"/>
  <c r="G321" i="13" a="1"/>
  <c r="G321" i="13" s="1"/>
  <c r="G322" i="13" a="1"/>
  <c r="G322" i="13" s="1"/>
  <c r="G323" i="13" a="1"/>
  <c r="G323" i="13" s="1"/>
  <c r="G324" i="13" a="1"/>
  <c r="G324" i="13" s="1"/>
  <c r="G325" i="13" a="1"/>
  <c r="G325" i="13" s="1"/>
  <c r="G326" i="13" a="1"/>
  <c r="G326" i="13" s="1"/>
  <c r="G327" i="13" a="1"/>
  <c r="G327" i="13" s="1"/>
  <c r="G328" i="13" a="1"/>
  <c r="G328" i="13" s="1"/>
  <c r="G329" i="13" a="1"/>
  <c r="G329" i="13" s="1"/>
  <c r="G330" i="13" a="1"/>
  <c r="G330" i="13" s="1"/>
  <c r="G331" i="13" a="1"/>
  <c r="G331" i="13" s="1"/>
  <c r="G332" i="13" a="1"/>
  <c r="G332" i="13" s="1"/>
  <c r="G333" i="13" a="1"/>
  <c r="G333" i="13" s="1"/>
  <c r="G334" i="13" a="1"/>
  <c r="G334" i="13" s="1"/>
  <c r="G335" i="13" a="1"/>
  <c r="G335" i="13" s="1"/>
  <c r="G336" i="13" a="1"/>
  <c r="G336" i="13" s="1"/>
  <c r="G337" i="13" a="1"/>
  <c r="G337" i="13" s="1"/>
  <c r="G338" i="13" a="1"/>
  <c r="G338" i="13" s="1"/>
  <c r="G339" i="13" a="1"/>
  <c r="G339" i="13" s="1"/>
  <c r="G340" i="13" a="1"/>
  <c r="G340" i="13" s="1"/>
  <c r="G341" i="13" a="1"/>
  <c r="G341" i="13" s="1"/>
  <c r="G342" i="13" a="1"/>
  <c r="G342" i="13" s="1"/>
  <c r="G343" i="13" a="1"/>
  <c r="G343" i="13" s="1"/>
  <c r="G344" i="13" a="1"/>
  <c r="G344" i="13" s="1"/>
  <c r="G345" i="13" a="1"/>
  <c r="G345" i="13" s="1"/>
  <c r="G346" i="13" a="1"/>
  <c r="G346" i="13" s="1"/>
  <c r="G347" i="13" a="1"/>
  <c r="G347" i="13" s="1"/>
  <c r="G348" i="13" a="1"/>
  <c r="G348" i="13" s="1"/>
  <c r="G349" i="13" a="1"/>
  <c r="G349" i="13" s="1"/>
  <c r="G350" i="13" a="1"/>
  <c r="G350" i="13" s="1"/>
  <c r="G351" i="13" a="1"/>
  <c r="G351" i="13" s="1"/>
  <c r="G352" i="13" a="1"/>
  <c r="G352" i="13" s="1"/>
  <c r="G353" i="13" a="1"/>
  <c r="G353" i="13" s="1"/>
  <c r="G354" i="13" a="1"/>
  <c r="G354" i="13" s="1"/>
  <c r="G355" i="13" a="1"/>
  <c r="G355" i="13" s="1"/>
  <c r="G356" i="13" a="1"/>
  <c r="G356" i="13" s="1"/>
  <c r="G357" i="13" a="1"/>
  <c r="G357" i="13" s="1"/>
  <c r="G358" i="13" a="1"/>
  <c r="G358" i="13" s="1"/>
  <c r="G359" i="13" a="1"/>
  <c r="G359" i="13" s="1"/>
  <c r="G360" i="13" a="1"/>
  <c r="G360" i="13" s="1"/>
  <c r="G361" i="13" a="1"/>
  <c r="G361" i="13" s="1"/>
  <c r="G362" i="13" a="1"/>
  <c r="G362" i="13" s="1"/>
  <c r="G363" i="13" a="1"/>
  <c r="G363" i="13" s="1"/>
  <c r="G364" i="13" a="1"/>
  <c r="G364" i="13" s="1"/>
  <c r="G365" i="13" a="1"/>
  <c r="G365" i="13" s="1"/>
  <c r="G366" i="13" a="1"/>
  <c r="G366" i="13" s="1"/>
  <c r="G367" i="13" a="1"/>
  <c r="G367" i="13" s="1"/>
  <c r="G368" i="13" a="1"/>
  <c r="G368" i="13" s="1"/>
  <c r="G369" i="13" a="1"/>
  <c r="G369" i="13" s="1"/>
  <c r="G370" i="13" a="1"/>
  <c r="G370" i="13" s="1"/>
  <c r="G371" i="13" a="1"/>
  <c r="G371" i="13" s="1"/>
  <c r="G372" i="13" a="1"/>
  <c r="G372" i="13" s="1"/>
  <c r="G373" i="13" a="1"/>
  <c r="G373" i="13" s="1"/>
  <c r="G374" i="13" a="1"/>
  <c r="G374" i="13" s="1"/>
  <c r="G375" i="13" a="1"/>
  <c r="G375" i="13" s="1"/>
  <c r="G376" i="13" a="1"/>
  <c r="G376" i="13" s="1"/>
  <c r="G377" i="13" a="1"/>
  <c r="G377" i="13" s="1"/>
  <c r="G378" i="13" a="1"/>
  <c r="G378" i="13" s="1"/>
  <c r="G379" i="13" a="1"/>
  <c r="G379" i="13" s="1"/>
  <c r="G380" i="13" a="1"/>
  <c r="G380" i="13" s="1"/>
  <c r="G381" i="13" a="1"/>
  <c r="G381" i="13" s="1"/>
  <c r="G382" i="13" a="1"/>
  <c r="G382" i="13" s="1"/>
  <c r="G383" i="13" a="1"/>
  <c r="G383" i="13" s="1"/>
  <c r="G384" i="13" a="1"/>
  <c r="G384" i="13" s="1"/>
  <c r="G385" i="13" a="1"/>
  <c r="G385" i="13" s="1"/>
  <c r="G386" i="13" a="1"/>
  <c r="G386" i="13" s="1"/>
  <c r="G387" i="13" a="1"/>
  <c r="G387" i="13" s="1"/>
  <c r="G388" i="13" a="1"/>
  <c r="G388" i="13" s="1"/>
  <c r="G389" i="13" a="1"/>
  <c r="G389" i="13" s="1"/>
  <c r="G390" i="13" a="1"/>
  <c r="G390" i="13" s="1"/>
  <c r="G391" i="13" a="1"/>
  <c r="G391" i="13" s="1"/>
  <c r="G392" i="13" a="1"/>
  <c r="G392" i="13" s="1"/>
  <c r="G393" i="13" a="1"/>
  <c r="G393" i="13" s="1"/>
  <c r="G394" i="13" a="1"/>
  <c r="G394" i="13" s="1"/>
  <c r="G395" i="13" a="1"/>
  <c r="G395" i="13" s="1"/>
  <c r="G396" i="13" a="1"/>
  <c r="G396" i="13" s="1"/>
  <c r="G397" i="13" a="1"/>
  <c r="G397" i="13" s="1"/>
  <c r="G398" i="13" a="1"/>
  <c r="G398" i="13" s="1"/>
  <c r="G399" i="13" a="1"/>
  <c r="G399" i="13" s="1"/>
  <c r="G400" i="13" a="1"/>
  <c r="G400" i="13" s="1"/>
  <c r="G401" i="13" a="1"/>
  <c r="G401" i="13" s="1"/>
  <c r="G402" i="13" a="1"/>
  <c r="G402" i="13" s="1"/>
  <c r="G403" i="13" a="1"/>
  <c r="G403" i="13" s="1"/>
  <c r="G404" i="13" a="1"/>
  <c r="G404" i="13" s="1"/>
  <c r="G405" i="13" a="1"/>
  <c r="G405" i="13" s="1"/>
  <c r="G406" i="13" a="1"/>
  <c r="G406" i="13" s="1"/>
  <c r="G407" i="13" a="1"/>
  <c r="G407" i="13" s="1"/>
  <c r="G408" i="13" a="1"/>
  <c r="G408" i="13" s="1"/>
  <c r="G409" i="13" a="1"/>
  <c r="G409" i="13" s="1"/>
  <c r="G410" i="13" a="1"/>
  <c r="G410" i="13" s="1"/>
  <c r="G411" i="13" a="1"/>
  <c r="G411" i="13" s="1"/>
  <c r="G412" i="13" a="1"/>
  <c r="G412" i="13" s="1"/>
  <c r="G413" i="13" a="1"/>
  <c r="G413" i="13" s="1"/>
  <c r="G414" i="13" a="1"/>
  <c r="G414" i="13" s="1"/>
  <c r="G415" i="13" a="1"/>
  <c r="G415" i="13" s="1"/>
  <c r="G416" i="13" a="1"/>
  <c r="G416" i="13" s="1"/>
  <c r="G417" i="13" a="1"/>
  <c r="G417" i="13" s="1"/>
  <c r="G418" i="13" a="1"/>
  <c r="G418" i="13" s="1"/>
  <c r="G419" i="13" a="1"/>
  <c r="G419" i="13" s="1"/>
  <c r="G420" i="13" a="1"/>
  <c r="G420" i="13" s="1"/>
  <c r="G421" i="13" a="1"/>
  <c r="G421" i="13" s="1"/>
  <c r="G422" i="13" a="1"/>
  <c r="G422" i="13" s="1"/>
  <c r="G423" i="13" a="1"/>
  <c r="G423" i="13" s="1"/>
  <c r="G424" i="13" a="1"/>
  <c r="G424" i="13" s="1"/>
  <c r="G425" i="13" a="1"/>
  <c r="G425" i="13" s="1"/>
  <c r="G426" i="13" a="1"/>
  <c r="G426" i="13" s="1"/>
  <c r="G427" i="13" a="1"/>
  <c r="G427" i="13" s="1"/>
  <c r="G428" i="13" a="1"/>
  <c r="G428" i="13" s="1"/>
  <c r="G429" i="13" a="1"/>
  <c r="G429" i="13" s="1"/>
  <c r="G430" i="13" a="1"/>
  <c r="G430" i="13" s="1"/>
  <c r="G431" i="13" a="1"/>
  <c r="G431" i="13" s="1"/>
  <c r="G432" i="13" a="1"/>
  <c r="G432" i="13" s="1"/>
  <c r="G433" i="13" a="1"/>
  <c r="G433" i="13" s="1"/>
  <c r="G434" i="13" a="1"/>
  <c r="G434" i="13" s="1"/>
  <c r="G435" i="13" a="1"/>
  <c r="G435" i="13" s="1"/>
  <c r="G436" i="13" a="1"/>
  <c r="G436" i="13" s="1"/>
  <c r="G437" i="13" a="1"/>
  <c r="G437" i="13" s="1"/>
  <c r="G438" i="13" a="1"/>
  <c r="G438" i="13" s="1"/>
  <c r="G439" i="13" a="1"/>
  <c r="G439" i="13" s="1"/>
  <c r="G440" i="13" a="1"/>
  <c r="G440" i="13" s="1"/>
  <c r="G441" i="13" a="1"/>
  <c r="G441" i="13" s="1"/>
  <c r="G6" i="13" a="1"/>
  <c r="G6" i="13" s="1"/>
  <c r="F7" i="13" a="1"/>
  <c r="F7" i="13" s="1"/>
  <c r="F8" i="13" a="1"/>
  <c r="F8" i="13" s="1"/>
  <c r="F9" i="13" a="1"/>
  <c r="F9" i="13" s="1"/>
  <c r="F10" i="13" a="1"/>
  <c r="F10" i="13" s="1"/>
  <c r="F11" i="13" a="1"/>
  <c r="F11" i="13" s="1"/>
  <c r="F12" i="13" a="1"/>
  <c r="F12" i="13" s="1"/>
  <c r="F13" i="13" a="1"/>
  <c r="F13" i="13" s="1"/>
  <c r="F14" i="13" a="1"/>
  <c r="F14" i="13" s="1"/>
  <c r="F15" i="13" a="1"/>
  <c r="F15" i="13" s="1"/>
  <c r="F16" i="13" a="1"/>
  <c r="F16" i="13" s="1"/>
  <c r="F17" i="13" a="1"/>
  <c r="F17" i="13" s="1"/>
  <c r="F18" i="13" a="1"/>
  <c r="F18" i="13" s="1"/>
  <c r="F19" i="13" a="1"/>
  <c r="F19" i="13" s="1"/>
  <c r="F20" i="13" a="1"/>
  <c r="F20" i="13" s="1"/>
  <c r="F21" i="13" a="1"/>
  <c r="F21" i="13" s="1"/>
  <c r="F22" i="13" a="1"/>
  <c r="F22" i="13" s="1"/>
  <c r="F23" i="13" a="1"/>
  <c r="F23" i="13" s="1"/>
  <c r="F24" i="13" a="1"/>
  <c r="F24" i="13" s="1"/>
  <c r="F25" i="13" a="1"/>
  <c r="F25" i="13" s="1"/>
  <c r="F26" i="13" a="1"/>
  <c r="F26" i="13" s="1"/>
  <c r="F27" i="13" a="1"/>
  <c r="F27" i="13" s="1"/>
  <c r="F28" i="13" a="1"/>
  <c r="F28" i="13" s="1"/>
  <c r="F29" i="13" a="1"/>
  <c r="F29" i="13" s="1"/>
  <c r="F30" i="13" a="1"/>
  <c r="F30" i="13" s="1"/>
  <c r="F31" i="13" a="1"/>
  <c r="F31" i="13" s="1"/>
  <c r="F32" i="13" a="1"/>
  <c r="F32" i="13" s="1"/>
  <c r="F33" i="13" a="1"/>
  <c r="F33" i="13" s="1"/>
  <c r="F34" i="13" a="1"/>
  <c r="F34" i="13" s="1"/>
  <c r="F35" i="13" a="1"/>
  <c r="F35" i="13" s="1"/>
  <c r="F36" i="13" a="1"/>
  <c r="F36" i="13" s="1"/>
  <c r="F37" i="13" a="1"/>
  <c r="F37" i="13" s="1"/>
  <c r="F38" i="13" a="1"/>
  <c r="F38" i="13" s="1"/>
  <c r="F39" i="13" a="1"/>
  <c r="F39" i="13" s="1"/>
  <c r="F40" i="13" a="1"/>
  <c r="F40" i="13" s="1"/>
  <c r="F41" i="13" a="1"/>
  <c r="F41" i="13" s="1"/>
  <c r="F42" i="13" a="1"/>
  <c r="F42" i="13" s="1"/>
  <c r="F43" i="13" a="1"/>
  <c r="F43" i="13" s="1"/>
  <c r="F44" i="13" a="1"/>
  <c r="F44" i="13" s="1"/>
  <c r="F45" i="13" a="1"/>
  <c r="F45" i="13" s="1"/>
  <c r="F46" i="13" a="1"/>
  <c r="F46" i="13" s="1"/>
  <c r="F47" i="13" a="1"/>
  <c r="F47" i="13" s="1"/>
  <c r="F48" i="13" a="1"/>
  <c r="F48" i="13" s="1"/>
  <c r="F49" i="13" a="1"/>
  <c r="F49" i="13" s="1"/>
  <c r="F50" i="13" a="1"/>
  <c r="F50" i="13" s="1"/>
  <c r="F51" i="13" a="1"/>
  <c r="F51" i="13" s="1"/>
  <c r="F52" i="13" a="1"/>
  <c r="F52" i="13" s="1"/>
  <c r="F53" i="13" a="1"/>
  <c r="F53" i="13" s="1"/>
  <c r="F54" i="13" a="1"/>
  <c r="F54" i="13" s="1"/>
  <c r="F55" i="13" a="1"/>
  <c r="F55" i="13" s="1"/>
  <c r="F56" i="13" a="1"/>
  <c r="F56" i="13" s="1"/>
  <c r="F57" i="13" a="1"/>
  <c r="F57" i="13" s="1"/>
  <c r="F58" i="13" a="1"/>
  <c r="F58" i="13" s="1"/>
  <c r="F59" i="13" a="1"/>
  <c r="F59" i="13" s="1"/>
  <c r="F60" i="13" a="1"/>
  <c r="F60" i="13" s="1"/>
  <c r="F61" i="13" a="1"/>
  <c r="F61" i="13" s="1"/>
  <c r="F62" i="13" a="1"/>
  <c r="F62" i="13" s="1"/>
  <c r="F63" i="13" a="1"/>
  <c r="F63" i="13" s="1"/>
  <c r="F64" i="13" a="1"/>
  <c r="F64" i="13" s="1"/>
  <c r="F65" i="13" a="1"/>
  <c r="F65" i="13" s="1"/>
  <c r="F66" i="13" a="1"/>
  <c r="F66" i="13" s="1"/>
  <c r="F67" i="13" a="1"/>
  <c r="F67" i="13" s="1"/>
  <c r="F68" i="13" a="1"/>
  <c r="F68" i="13" s="1"/>
  <c r="F69" i="13" a="1"/>
  <c r="F69" i="13" s="1"/>
  <c r="F70" i="13" a="1"/>
  <c r="F70" i="13" s="1"/>
  <c r="F71" i="13" a="1"/>
  <c r="F71" i="13" s="1"/>
  <c r="F72" i="13" a="1"/>
  <c r="F72" i="13" s="1"/>
  <c r="F73" i="13" a="1"/>
  <c r="F73" i="13" s="1"/>
  <c r="F74" i="13" a="1"/>
  <c r="F74" i="13" s="1"/>
  <c r="F75" i="13" a="1"/>
  <c r="F75" i="13" s="1"/>
  <c r="F76" i="13" a="1"/>
  <c r="F76" i="13" s="1"/>
  <c r="F77" i="13" a="1"/>
  <c r="F77" i="13" s="1"/>
  <c r="F78" i="13" a="1"/>
  <c r="F78" i="13" s="1"/>
  <c r="F79" i="13" a="1"/>
  <c r="F79" i="13" s="1"/>
  <c r="F80" i="13" a="1"/>
  <c r="F80" i="13" s="1"/>
  <c r="F81" i="13" a="1"/>
  <c r="F81" i="13" s="1"/>
  <c r="F82" i="13" a="1"/>
  <c r="F82" i="13" s="1"/>
  <c r="F83" i="13" a="1"/>
  <c r="F83" i="13" s="1"/>
  <c r="F84" i="13" a="1"/>
  <c r="F84" i="13" s="1"/>
  <c r="F85" i="13" a="1"/>
  <c r="F85" i="13" s="1"/>
  <c r="F86" i="13" a="1"/>
  <c r="F86" i="13" s="1"/>
  <c r="F87" i="13" a="1"/>
  <c r="F87" i="13" s="1"/>
  <c r="F88" i="13" a="1"/>
  <c r="F88" i="13" s="1"/>
  <c r="F89" i="13" a="1"/>
  <c r="F89" i="13" s="1"/>
  <c r="F90" i="13" a="1"/>
  <c r="F90" i="13" s="1"/>
  <c r="F91" i="13" a="1"/>
  <c r="F91" i="13" s="1"/>
  <c r="F92" i="13" a="1"/>
  <c r="F92" i="13" s="1"/>
  <c r="F93" i="13" a="1"/>
  <c r="F93" i="13" s="1"/>
  <c r="F94" i="13" a="1"/>
  <c r="F94" i="13" s="1"/>
  <c r="F95" i="13" a="1"/>
  <c r="F95" i="13" s="1"/>
  <c r="F96" i="13" a="1"/>
  <c r="F96" i="13" s="1"/>
  <c r="F97" i="13" a="1"/>
  <c r="F97" i="13" s="1"/>
  <c r="F98" i="13" a="1"/>
  <c r="F98" i="13" s="1"/>
  <c r="F99" i="13" a="1"/>
  <c r="F99" i="13" s="1"/>
  <c r="F100" i="13" a="1"/>
  <c r="F100" i="13" s="1"/>
  <c r="F101" i="13" a="1"/>
  <c r="F101" i="13" s="1"/>
  <c r="F102" i="13" a="1"/>
  <c r="F102" i="13" s="1"/>
  <c r="F103" i="13" a="1"/>
  <c r="F103" i="13" s="1"/>
  <c r="F104" i="13" a="1"/>
  <c r="F104" i="13" s="1"/>
  <c r="F105" i="13" a="1"/>
  <c r="F105" i="13" s="1"/>
  <c r="F106" i="13" a="1"/>
  <c r="F106" i="13" s="1"/>
  <c r="F107" i="13" a="1"/>
  <c r="F107" i="13" s="1"/>
  <c r="F108" i="13" a="1"/>
  <c r="F108" i="13" s="1"/>
  <c r="F109" i="13" a="1"/>
  <c r="F109" i="13" s="1"/>
  <c r="F110" i="13" a="1"/>
  <c r="F110" i="13" s="1"/>
  <c r="F111" i="13" a="1"/>
  <c r="F111" i="13" s="1"/>
  <c r="F112" i="13" a="1"/>
  <c r="F112" i="13" s="1"/>
  <c r="F113" i="13" a="1"/>
  <c r="F113" i="13" s="1"/>
  <c r="F114" i="13" a="1"/>
  <c r="F114" i="13" s="1"/>
  <c r="F115" i="13" a="1"/>
  <c r="F115" i="13" s="1"/>
  <c r="F116" i="13" a="1"/>
  <c r="F116" i="13" s="1"/>
  <c r="F117" i="13" a="1"/>
  <c r="F117" i="13" s="1"/>
  <c r="F118" i="13" a="1"/>
  <c r="F118" i="13" s="1"/>
  <c r="F119" i="13" a="1"/>
  <c r="F119" i="13" s="1"/>
  <c r="F120" i="13" a="1"/>
  <c r="F120" i="13" s="1"/>
  <c r="F121" i="13" a="1"/>
  <c r="F121" i="13" s="1"/>
  <c r="F122" i="13" a="1"/>
  <c r="F122" i="13" s="1"/>
  <c r="F123" i="13" a="1"/>
  <c r="F123" i="13" s="1"/>
  <c r="F124" i="13" a="1"/>
  <c r="F124" i="13" s="1"/>
  <c r="F125" i="13" a="1"/>
  <c r="F125" i="13" s="1"/>
  <c r="F126" i="13" a="1"/>
  <c r="F126" i="13" s="1"/>
  <c r="F127" i="13" a="1"/>
  <c r="F127" i="13" s="1"/>
  <c r="F128" i="13" a="1"/>
  <c r="F128" i="13" s="1"/>
  <c r="F129" i="13" a="1"/>
  <c r="F129" i="13" s="1"/>
  <c r="F130" i="13" a="1"/>
  <c r="F130" i="13" s="1"/>
  <c r="F131" i="13" a="1"/>
  <c r="F131" i="13" s="1"/>
  <c r="F132" i="13" a="1"/>
  <c r="F132" i="13" s="1"/>
  <c r="F133" i="13" a="1"/>
  <c r="F133" i="13" s="1"/>
  <c r="F134" i="13" a="1"/>
  <c r="F134" i="13" s="1"/>
  <c r="F135" i="13" a="1"/>
  <c r="F135" i="13" s="1"/>
  <c r="F136" i="13" a="1"/>
  <c r="F136" i="13" s="1"/>
  <c r="F137" i="13" a="1"/>
  <c r="F137" i="13" s="1"/>
  <c r="F138" i="13" a="1"/>
  <c r="F138" i="13" s="1"/>
  <c r="F139" i="13" a="1"/>
  <c r="F139" i="13" s="1"/>
  <c r="F140" i="13" a="1"/>
  <c r="F140" i="13" s="1"/>
  <c r="F141" i="13" a="1"/>
  <c r="F141" i="13" s="1"/>
  <c r="F142" i="13" a="1"/>
  <c r="F142" i="13" s="1"/>
  <c r="F143" i="13" a="1"/>
  <c r="F143" i="13" s="1"/>
  <c r="F144" i="13" a="1"/>
  <c r="F144" i="13" s="1"/>
  <c r="F145" i="13" a="1"/>
  <c r="F145" i="13" s="1"/>
  <c r="F146" i="13" a="1"/>
  <c r="F146" i="13" s="1"/>
  <c r="F147" i="13" a="1"/>
  <c r="F147" i="13" s="1"/>
  <c r="F148" i="13" a="1"/>
  <c r="F148" i="13" s="1"/>
  <c r="F149" i="13" a="1"/>
  <c r="F149" i="13" s="1"/>
  <c r="F150" i="13" a="1"/>
  <c r="F150" i="13" s="1"/>
  <c r="F151" i="13" a="1"/>
  <c r="F151" i="13" s="1"/>
  <c r="F152" i="13" a="1"/>
  <c r="F152" i="13" s="1"/>
  <c r="F153" i="13" a="1"/>
  <c r="F153" i="13" s="1"/>
  <c r="F154" i="13" a="1"/>
  <c r="F154" i="13" s="1"/>
  <c r="F155" i="13" a="1"/>
  <c r="F155" i="13" s="1"/>
  <c r="F156" i="13" a="1"/>
  <c r="F156" i="13" s="1"/>
  <c r="F157" i="13" a="1"/>
  <c r="F157" i="13" s="1"/>
  <c r="F158" i="13" a="1"/>
  <c r="F158" i="13" s="1"/>
  <c r="F159" i="13" a="1"/>
  <c r="F159" i="13" s="1"/>
  <c r="F160" i="13" a="1"/>
  <c r="F160" i="13" s="1"/>
  <c r="F161" i="13" a="1"/>
  <c r="F161" i="13" s="1"/>
  <c r="F162" i="13" a="1"/>
  <c r="F162" i="13" s="1"/>
  <c r="F163" i="13" a="1"/>
  <c r="F163" i="13" s="1"/>
  <c r="F164" i="13" a="1"/>
  <c r="F164" i="13" s="1"/>
  <c r="F165" i="13" a="1"/>
  <c r="F165" i="13" s="1"/>
  <c r="F166" i="13" a="1"/>
  <c r="F166" i="13" s="1"/>
  <c r="F167" i="13" a="1"/>
  <c r="F167" i="13" s="1"/>
  <c r="F168" i="13" a="1"/>
  <c r="F168" i="13" s="1"/>
  <c r="F169" i="13" a="1"/>
  <c r="F169" i="13" s="1"/>
  <c r="F170" i="13" a="1"/>
  <c r="F170" i="13" s="1"/>
  <c r="F171" i="13" a="1"/>
  <c r="F171" i="13" s="1"/>
  <c r="F172" i="13" a="1"/>
  <c r="F172" i="13" s="1"/>
  <c r="F173" i="13" a="1"/>
  <c r="F173" i="13" s="1"/>
  <c r="F174" i="13" a="1"/>
  <c r="F174" i="13" s="1"/>
  <c r="F175" i="13" a="1"/>
  <c r="F175" i="13" s="1"/>
  <c r="F176" i="13" a="1"/>
  <c r="F176" i="13" s="1"/>
  <c r="F177" i="13" a="1"/>
  <c r="F177" i="13" s="1"/>
  <c r="F178" i="13" a="1"/>
  <c r="F178" i="13" s="1"/>
  <c r="F179" i="13" a="1"/>
  <c r="F179" i="13" s="1"/>
  <c r="F180" i="13" a="1"/>
  <c r="F180" i="13" s="1"/>
  <c r="F181" i="13" a="1"/>
  <c r="F181" i="13" s="1"/>
  <c r="F182" i="13" a="1"/>
  <c r="F182" i="13" s="1"/>
  <c r="F183" i="13" a="1"/>
  <c r="F183" i="13" s="1"/>
  <c r="F184" i="13" a="1"/>
  <c r="F184" i="13" s="1"/>
  <c r="F185" i="13" a="1"/>
  <c r="F185" i="13" s="1"/>
  <c r="F186" i="13" a="1"/>
  <c r="F186" i="13" s="1"/>
  <c r="F187" i="13" a="1"/>
  <c r="F187" i="13" s="1"/>
  <c r="F188" i="13" a="1"/>
  <c r="F188" i="13" s="1"/>
  <c r="F189" i="13" a="1"/>
  <c r="F189" i="13" s="1"/>
  <c r="F190" i="13" a="1"/>
  <c r="F190" i="13" s="1"/>
  <c r="F191" i="13" a="1"/>
  <c r="F191" i="13" s="1"/>
  <c r="F192" i="13" a="1"/>
  <c r="F192" i="13" s="1"/>
  <c r="F193" i="13" a="1"/>
  <c r="F193" i="13" s="1"/>
  <c r="F194" i="13" a="1"/>
  <c r="F194" i="13" s="1"/>
  <c r="F195" i="13" a="1"/>
  <c r="F195" i="13" s="1"/>
  <c r="F196" i="13" a="1"/>
  <c r="F196" i="13" s="1"/>
  <c r="F197" i="13" a="1"/>
  <c r="F197" i="13" s="1"/>
  <c r="F198" i="13" a="1"/>
  <c r="F198" i="13" s="1"/>
  <c r="F199" i="13" a="1"/>
  <c r="F199" i="13" s="1"/>
  <c r="F200" i="13" a="1"/>
  <c r="F200" i="13" s="1"/>
  <c r="F201" i="13" a="1"/>
  <c r="F201" i="13" s="1"/>
  <c r="F202" i="13" a="1"/>
  <c r="F202" i="13" s="1"/>
  <c r="F203" i="13" a="1"/>
  <c r="F203" i="13" s="1"/>
  <c r="F204" i="13" a="1"/>
  <c r="F204" i="13" s="1"/>
  <c r="F205" i="13" a="1"/>
  <c r="F205" i="13" s="1"/>
  <c r="F206" i="13" a="1"/>
  <c r="F206" i="13" s="1"/>
  <c r="F207" i="13" a="1"/>
  <c r="F207" i="13" s="1"/>
  <c r="F208" i="13" a="1"/>
  <c r="F208" i="13" s="1"/>
  <c r="F209" i="13" a="1"/>
  <c r="F209" i="13" s="1"/>
  <c r="F210" i="13" a="1"/>
  <c r="F210" i="13" s="1"/>
  <c r="F211" i="13" a="1"/>
  <c r="F211" i="13" s="1"/>
  <c r="F212" i="13" a="1"/>
  <c r="F212" i="13" s="1"/>
  <c r="F213" i="13" a="1"/>
  <c r="F213" i="13" s="1"/>
  <c r="F214" i="13" a="1"/>
  <c r="F214" i="13" s="1"/>
  <c r="F215" i="13" a="1"/>
  <c r="F215" i="13" s="1"/>
  <c r="F216" i="13" a="1"/>
  <c r="F216" i="13" s="1"/>
  <c r="F217" i="13" a="1"/>
  <c r="F217" i="13" s="1"/>
  <c r="F218" i="13" a="1"/>
  <c r="F218" i="13" s="1"/>
  <c r="F219" i="13" a="1"/>
  <c r="F219" i="13" s="1"/>
  <c r="F220" i="13" a="1"/>
  <c r="F220" i="13" s="1"/>
  <c r="F221" i="13" a="1"/>
  <c r="F221" i="13" s="1"/>
  <c r="F222" i="13" a="1"/>
  <c r="F222" i="13" s="1"/>
  <c r="F223" i="13" a="1"/>
  <c r="F223" i="13" s="1"/>
  <c r="F224" i="13" a="1"/>
  <c r="F224" i="13" s="1"/>
  <c r="F225" i="13" a="1"/>
  <c r="F225" i="13" s="1"/>
  <c r="F226" i="13" a="1"/>
  <c r="F226" i="13" s="1"/>
  <c r="F227" i="13" a="1"/>
  <c r="F227" i="13" s="1"/>
  <c r="F228" i="13" a="1"/>
  <c r="F228" i="13" s="1"/>
  <c r="F229" i="13" a="1"/>
  <c r="F229" i="13" s="1"/>
  <c r="F230" i="13" a="1"/>
  <c r="F230" i="13" s="1"/>
  <c r="F231" i="13" a="1"/>
  <c r="F231" i="13" s="1"/>
  <c r="F232" i="13" a="1"/>
  <c r="F232" i="13" s="1"/>
  <c r="F233" i="13" a="1"/>
  <c r="F233" i="13" s="1"/>
  <c r="F234" i="13" a="1"/>
  <c r="F234" i="13" s="1"/>
  <c r="F235" i="13" a="1"/>
  <c r="F235" i="13" s="1"/>
  <c r="F236" i="13" a="1"/>
  <c r="F236" i="13" s="1"/>
  <c r="F237" i="13" a="1"/>
  <c r="F237" i="13" s="1"/>
  <c r="F238" i="13" a="1"/>
  <c r="F238" i="13" s="1"/>
  <c r="F239" i="13" a="1"/>
  <c r="F239" i="13" s="1"/>
  <c r="F240" i="13" a="1"/>
  <c r="F240" i="13" s="1"/>
  <c r="F241" i="13" a="1"/>
  <c r="F241" i="13" s="1"/>
  <c r="F242" i="13" a="1"/>
  <c r="F242" i="13" s="1"/>
  <c r="F243" i="13" a="1"/>
  <c r="F243" i="13" s="1"/>
  <c r="F244" i="13" a="1"/>
  <c r="F244" i="13" s="1"/>
  <c r="F245" i="13" a="1"/>
  <c r="F245" i="13" s="1"/>
  <c r="F246" i="13" a="1"/>
  <c r="F246" i="13" s="1"/>
  <c r="F247" i="13" a="1"/>
  <c r="F247" i="13" s="1"/>
  <c r="F248" i="13" a="1"/>
  <c r="F248" i="13" s="1"/>
  <c r="F249" i="13" a="1"/>
  <c r="F249" i="13" s="1"/>
  <c r="F250" i="13" a="1"/>
  <c r="F250" i="13" s="1"/>
  <c r="F251" i="13" a="1"/>
  <c r="F251" i="13" s="1"/>
  <c r="F252" i="13" a="1"/>
  <c r="F252" i="13" s="1"/>
  <c r="F253" i="13" a="1"/>
  <c r="F253" i="13" s="1"/>
  <c r="F254" i="13" a="1"/>
  <c r="F254" i="13" s="1"/>
  <c r="F255" i="13" a="1"/>
  <c r="F255" i="13" s="1"/>
  <c r="F256" i="13" a="1"/>
  <c r="F256" i="13" s="1"/>
  <c r="F257" i="13" a="1"/>
  <c r="F257" i="13" s="1"/>
  <c r="F258" i="13" a="1"/>
  <c r="F258" i="13" s="1"/>
  <c r="F259" i="13" a="1"/>
  <c r="F259" i="13" s="1"/>
  <c r="F260" i="13" a="1"/>
  <c r="F260" i="13" s="1"/>
  <c r="F261" i="13" a="1"/>
  <c r="F261" i="13" s="1"/>
  <c r="F262" i="13" a="1"/>
  <c r="F262" i="13" s="1"/>
  <c r="F263" i="13" a="1"/>
  <c r="F263" i="13" s="1"/>
  <c r="F264" i="13" a="1"/>
  <c r="F264" i="13" s="1"/>
  <c r="F265" i="13" a="1"/>
  <c r="F265" i="13" s="1"/>
  <c r="F266" i="13" a="1"/>
  <c r="F266" i="13" s="1"/>
  <c r="F267" i="13" a="1"/>
  <c r="F267" i="13" s="1"/>
  <c r="F268" i="13" a="1"/>
  <c r="F268" i="13" s="1"/>
  <c r="F269" i="13" a="1"/>
  <c r="F269" i="13" s="1"/>
  <c r="F270" i="13" a="1"/>
  <c r="F270" i="13" s="1"/>
  <c r="F271" i="13" a="1"/>
  <c r="F271" i="13" s="1"/>
  <c r="F272" i="13" a="1"/>
  <c r="F272" i="13" s="1"/>
  <c r="F273" i="13" a="1"/>
  <c r="F273" i="13" s="1"/>
  <c r="F274" i="13" a="1"/>
  <c r="F274" i="13" s="1"/>
  <c r="F275" i="13" a="1"/>
  <c r="F275" i="13" s="1"/>
  <c r="F276" i="13" a="1"/>
  <c r="F276" i="13" s="1"/>
  <c r="F277" i="13" a="1"/>
  <c r="F277" i="13" s="1"/>
  <c r="F278" i="13" a="1"/>
  <c r="F278" i="13" s="1"/>
  <c r="F279" i="13" a="1"/>
  <c r="F279" i="13" s="1"/>
  <c r="F280" i="13" a="1"/>
  <c r="F280" i="13" s="1"/>
  <c r="F281" i="13" a="1"/>
  <c r="F281" i="13" s="1"/>
  <c r="F282" i="13" a="1"/>
  <c r="F282" i="13" s="1"/>
  <c r="F283" i="13" a="1"/>
  <c r="F283" i="13" s="1"/>
  <c r="F284" i="13" a="1"/>
  <c r="F284" i="13" s="1"/>
  <c r="F285" i="13" a="1"/>
  <c r="F285" i="13" s="1"/>
  <c r="F286" i="13" a="1"/>
  <c r="F286" i="13" s="1"/>
  <c r="F287" i="13" a="1"/>
  <c r="F287" i="13" s="1"/>
  <c r="F288" i="13" a="1"/>
  <c r="F288" i="13" s="1"/>
  <c r="F289" i="13" a="1"/>
  <c r="F289" i="13" s="1"/>
  <c r="F290" i="13" a="1"/>
  <c r="F290" i="13" s="1"/>
  <c r="F291" i="13" a="1"/>
  <c r="F291" i="13" s="1"/>
  <c r="F292" i="13" a="1"/>
  <c r="F292" i="13" s="1"/>
  <c r="F293" i="13" a="1"/>
  <c r="F293" i="13" s="1"/>
  <c r="F294" i="13" a="1"/>
  <c r="F294" i="13" s="1"/>
  <c r="F295" i="13" a="1"/>
  <c r="F295" i="13" s="1"/>
  <c r="F296" i="13" a="1"/>
  <c r="F296" i="13" s="1"/>
  <c r="F297" i="13" a="1"/>
  <c r="F297" i="13" s="1"/>
  <c r="F298" i="13" a="1"/>
  <c r="F298" i="13" s="1"/>
  <c r="F299" i="13" a="1"/>
  <c r="F299" i="13" s="1"/>
  <c r="F300" i="13" a="1"/>
  <c r="F300" i="13" s="1"/>
  <c r="F301" i="13" a="1"/>
  <c r="F301" i="13" s="1"/>
  <c r="F302" i="13" a="1"/>
  <c r="F302" i="13" s="1"/>
  <c r="F303" i="13" a="1"/>
  <c r="F303" i="13" s="1"/>
  <c r="F304" i="13" a="1"/>
  <c r="F304" i="13" s="1"/>
  <c r="F305" i="13" a="1"/>
  <c r="F305" i="13" s="1"/>
  <c r="F306" i="13" a="1"/>
  <c r="F306" i="13" s="1"/>
  <c r="F307" i="13" a="1"/>
  <c r="F307" i="13" s="1"/>
  <c r="F308" i="13" a="1"/>
  <c r="F308" i="13" s="1"/>
  <c r="F309" i="13" a="1"/>
  <c r="F309" i="13" s="1"/>
  <c r="F310" i="13" a="1"/>
  <c r="F310" i="13" s="1"/>
  <c r="F311" i="13" a="1"/>
  <c r="F311" i="13" s="1"/>
  <c r="F312" i="13" a="1"/>
  <c r="F312" i="13" s="1"/>
  <c r="F313" i="13" a="1"/>
  <c r="F313" i="13" s="1"/>
  <c r="F314" i="13" a="1"/>
  <c r="F314" i="13" s="1"/>
  <c r="F315" i="13" a="1"/>
  <c r="F315" i="13" s="1"/>
  <c r="F316" i="13" a="1"/>
  <c r="F316" i="13" s="1"/>
  <c r="F317" i="13" a="1"/>
  <c r="F317" i="13" s="1"/>
  <c r="F318" i="13" a="1"/>
  <c r="F318" i="13" s="1"/>
  <c r="F319" i="13" a="1"/>
  <c r="F319" i="13" s="1"/>
  <c r="F320" i="13" a="1"/>
  <c r="F320" i="13" s="1"/>
  <c r="F321" i="13" a="1"/>
  <c r="F321" i="13" s="1"/>
  <c r="F322" i="13" a="1"/>
  <c r="F322" i="13" s="1"/>
  <c r="F323" i="13" a="1"/>
  <c r="F323" i="13" s="1"/>
  <c r="F324" i="13" a="1"/>
  <c r="F324" i="13" s="1"/>
  <c r="F325" i="13" a="1"/>
  <c r="F325" i="13" s="1"/>
  <c r="F326" i="13" a="1"/>
  <c r="F326" i="13" s="1"/>
  <c r="F327" i="13" a="1"/>
  <c r="F327" i="13" s="1"/>
  <c r="F328" i="13" a="1"/>
  <c r="F328" i="13" s="1"/>
  <c r="F329" i="13" a="1"/>
  <c r="F329" i="13" s="1"/>
  <c r="F330" i="13" a="1"/>
  <c r="F330" i="13" s="1"/>
  <c r="F331" i="13" a="1"/>
  <c r="F331" i="13" s="1"/>
  <c r="F332" i="13" a="1"/>
  <c r="F332" i="13" s="1"/>
  <c r="F333" i="13" a="1"/>
  <c r="F333" i="13" s="1"/>
  <c r="F334" i="13" a="1"/>
  <c r="F334" i="13" s="1"/>
  <c r="F335" i="13" a="1"/>
  <c r="F335" i="13" s="1"/>
  <c r="F336" i="13" a="1"/>
  <c r="F336" i="13" s="1"/>
  <c r="F337" i="13" a="1"/>
  <c r="F337" i="13" s="1"/>
  <c r="F338" i="13" a="1"/>
  <c r="F338" i="13" s="1"/>
  <c r="F339" i="13" a="1"/>
  <c r="F339" i="13" s="1"/>
  <c r="F340" i="13" a="1"/>
  <c r="F340" i="13" s="1"/>
  <c r="F341" i="13" a="1"/>
  <c r="F341" i="13" s="1"/>
  <c r="F342" i="13" a="1"/>
  <c r="F342" i="13" s="1"/>
  <c r="F343" i="13" a="1"/>
  <c r="F343" i="13" s="1"/>
  <c r="F344" i="13" a="1"/>
  <c r="F344" i="13" s="1"/>
  <c r="F345" i="13" a="1"/>
  <c r="F345" i="13" s="1"/>
  <c r="F346" i="13" a="1"/>
  <c r="F346" i="13" s="1"/>
  <c r="F347" i="13" a="1"/>
  <c r="F347" i="13" s="1"/>
  <c r="F348" i="13" a="1"/>
  <c r="F348" i="13" s="1"/>
  <c r="F349" i="13" a="1"/>
  <c r="F349" i="13" s="1"/>
  <c r="F350" i="13" a="1"/>
  <c r="F350" i="13" s="1"/>
  <c r="F351" i="13" a="1"/>
  <c r="F351" i="13" s="1"/>
  <c r="F352" i="13" a="1"/>
  <c r="F352" i="13" s="1"/>
  <c r="F353" i="13" a="1"/>
  <c r="F353" i="13" s="1"/>
  <c r="F354" i="13" a="1"/>
  <c r="F354" i="13" s="1"/>
  <c r="F355" i="13" a="1"/>
  <c r="F355" i="13" s="1"/>
  <c r="F356" i="13" a="1"/>
  <c r="F356" i="13" s="1"/>
  <c r="F357" i="13" a="1"/>
  <c r="F357" i="13" s="1"/>
  <c r="F358" i="13" a="1"/>
  <c r="F358" i="13" s="1"/>
  <c r="F359" i="13" a="1"/>
  <c r="F359" i="13" s="1"/>
  <c r="F360" i="13" a="1"/>
  <c r="F360" i="13" s="1"/>
  <c r="F361" i="13" a="1"/>
  <c r="F361" i="13" s="1"/>
  <c r="F362" i="13" a="1"/>
  <c r="F362" i="13" s="1"/>
  <c r="F363" i="13" a="1"/>
  <c r="F363" i="13" s="1"/>
  <c r="F364" i="13" a="1"/>
  <c r="F364" i="13" s="1"/>
  <c r="F365" i="13" a="1"/>
  <c r="F365" i="13" s="1"/>
  <c r="F366" i="13" a="1"/>
  <c r="F366" i="13" s="1"/>
  <c r="F367" i="13" a="1"/>
  <c r="F367" i="13" s="1"/>
  <c r="F368" i="13" a="1"/>
  <c r="F368" i="13" s="1"/>
  <c r="F369" i="13" a="1"/>
  <c r="F369" i="13" s="1"/>
  <c r="F370" i="13" a="1"/>
  <c r="F370" i="13" s="1"/>
  <c r="F371" i="13" a="1"/>
  <c r="F371" i="13" s="1"/>
  <c r="F372" i="13" a="1"/>
  <c r="F372" i="13" s="1"/>
  <c r="F373" i="13" a="1"/>
  <c r="F373" i="13" s="1"/>
  <c r="F374" i="13" a="1"/>
  <c r="F374" i="13" s="1"/>
  <c r="F375" i="13" a="1"/>
  <c r="F375" i="13" s="1"/>
  <c r="F376" i="13" a="1"/>
  <c r="F376" i="13" s="1"/>
  <c r="F377" i="13" a="1"/>
  <c r="F377" i="13" s="1"/>
  <c r="F378" i="13" a="1"/>
  <c r="F378" i="13" s="1"/>
  <c r="F379" i="13" a="1"/>
  <c r="F379" i="13" s="1"/>
  <c r="F380" i="13" a="1"/>
  <c r="F380" i="13" s="1"/>
  <c r="F381" i="13" a="1"/>
  <c r="F381" i="13" s="1"/>
  <c r="F382" i="13" a="1"/>
  <c r="F382" i="13" s="1"/>
  <c r="F383" i="13" a="1"/>
  <c r="F383" i="13" s="1"/>
  <c r="F384" i="13" a="1"/>
  <c r="F384" i="13" s="1"/>
  <c r="F385" i="13" a="1"/>
  <c r="F385" i="13" s="1"/>
  <c r="F386" i="13" a="1"/>
  <c r="F386" i="13" s="1"/>
  <c r="F387" i="13" a="1"/>
  <c r="F387" i="13" s="1"/>
  <c r="F388" i="13" a="1"/>
  <c r="F388" i="13" s="1"/>
  <c r="F389" i="13" a="1"/>
  <c r="F389" i="13" s="1"/>
  <c r="F390" i="13" a="1"/>
  <c r="F390" i="13" s="1"/>
  <c r="F391" i="13" a="1"/>
  <c r="F391" i="13" s="1"/>
  <c r="F392" i="13" a="1"/>
  <c r="F392" i="13" s="1"/>
  <c r="F393" i="13" a="1"/>
  <c r="F393" i="13" s="1"/>
  <c r="F394" i="13" a="1"/>
  <c r="F394" i="13" s="1"/>
  <c r="F395" i="13" a="1"/>
  <c r="F395" i="13" s="1"/>
  <c r="F396" i="13" a="1"/>
  <c r="F396" i="13" s="1"/>
  <c r="F397" i="13" a="1"/>
  <c r="F397" i="13" s="1"/>
  <c r="F398" i="13" a="1"/>
  <c r="F398" i="13" s="1"/>
  <c r="F399" i="13" a="1"/>
  <c r="F399" i="13" s="1"/>
  <c r="F400" i="13" a="1"/>
  <c r="F400" i="13" s="1"/>
  <c r="F401" i="13" a="1"/>
  <c r="F401" i="13" s="1"/>
  <c r="F402" i="13" a="1"/>
  <c r="F402" i="13" s="1"/>
  <c r="F403" i="13" a="1"/>
  <c r="F403" i="13" s="1"/>
  <c r="F404" i="13" a="1"/>
  <c r="F404" i="13" s="1"/>
  <c r="F405" i="13" a="1"/>
  <c r="F405" i="13" s="1"/>
  <c r="F406" i="13" a="1"/>
  <c r="F406" i="13" s="1"/>
  <c r="F407" i="13" a="1"/>
  <c r="F407" i="13" s="1"/>
  <c r="F408" i="13" a="1"/>
  <c r="F408" i="13" s="1"/>
  <c r="F409" i="13" a="1"/>
  <c r="F409" i="13" s="1"/>
  <c r="F410" i="13" a="1"/>
  <c r="F410" i="13" s="1"/>
  <c r="F411" i="13" a="1"/>
  <c r="F411" i="13" s="1"/>
  <c r="F412" i="13" a="1"/>
  <c r="F412" i="13" s="1"/>
  <c r="F413" i="13" a="1"/>
  <c r="F413" i="13" s="1"/>
  <c r="F414" i="13" a="1"/>
  <c r="F414" i="13" s="1"/>
  <c r="F415" i="13" a="1"/>
  <c r="F415" i="13" s="1"/>
  <c r="F416" i="13" a="1"/>
  <c r="F416" i="13" s="1"/>
  <c r="F417" i="13" a="1"/>
  <c r="F417" i="13" s="1"/>
  <c r="F418" i="13" a="1"/>
  <c r="F418" i="13" s="1"/>
  <c r="F419" i="13" a="1"/>
  <c r="F419" i="13" s="1"/>
  <c r="F420" i="13" a="1"/>
  <c r="F420" i="13" s="1"/>
  <c r="F421" i="13" a="1"/>
  <c r="F421" i="13" s="1"/>
  <c r="F422" i="13" a="1"/>
  <c r="F422" i="13" s="1"/>
  <c r="F423" i="13" a="1"/>
  <c r="F423" i="13" s="1"/>
  <c r="F424" i="13" a="1"/>
  <c r="F424" i="13" s="1"/>
  <c r="F425" i="13" a="1"/>
  <c r="F425" i="13" s="1"/>
  <c r="F426" i="13" a="1"/>
  <c r="F426" i="13" s="1"/>
  <c r="F427" i="13" a="1"/>
  <c r="F427" i="13" s="1"/>
  <c r="F428" i="13" a="1"/>
  <c r="F428" i="13" s="1"/>
  <c r="F429" i="13" a="1"/>
  <c r="F429" i="13" s="1"/>
  <c r="F430" i="13" a="1"/>
  <c r="F430" i="13" s="1"/>
  <c r="F431" i="13" a="1"/>
  <c r="F431" i="13" s="1"/>
  <c r="F432" i="13" a="1"/>
  <c r="F432" i="13" s="1"/>
  <c r="F433" i="13" a="1"/>
  <c r="F433" i="13" s="1"/>
  <c r="F434" i="13" a="1"/>
  <c r="F434" i="13" s="1"/>
  <c r="F435" i="13" a="1"/>
  <c r="F435" i="13" s="1"/>
  <c r="F436" i="13" a="1"/>
  <c r="F436" i="13" s="1"/>
  <c r="F437" i="13" a="1"/>
  <c r="F437" i="13" s="1"/>
  <c r="F438" i="13" a="1"/>
  <c r="F438" i="13" s="1"/>
  <c r="F439" i="13" a="1"/>
  <c r="F439" i="13" s="1"/>
  <c r="F440" i="13" a="1"/>
  <c r="F440" i="13" s="1"/>
  <c r="F441" i="13" a="1"/>
  <c r="F441" i="13" s="1"/>
  <c r="F6" i="13" a="1"/>
  <c r="F6" i="13" s="1"/>
  <c r="C7" i="13" a="1"/>
  <c r="C7" i="13" s="1"/>
  <c r="C8" i="13" a="1"/>
  <c r="C8" i="13" s="1"/>
  <c r="C9" i="13" a="1"/>
  <c r="C9" i="13" s="1"/>
  <c r="C10" i="13" a="1"/>
  <c r="C10" i="13" s="1"/>
  <c r="C11" i="13" a="1"/>
  <c r="C11" i="13" s="1"/>
  <c r="C12" i="13" a="1"/>
  <c r="C12" i="13" s="1"/>
  <c r="C13" i="13" a="1"/>
  <c r="C13" i="13" s="1"/>
  <c r="C14" i="13" a="1"/>
  <c r="C14" i="13" s="1"/>
  <c r="C15" i="13" a="1"/>
  <c r="C15" i="13" s="1"/>
  <c r="C16" i="13" a="1"/>
  <c r="C16" i="13" s="1"/>
  <c r="C17" i="13" a="1"/>
  <c r="C17" i="13" s="1"/>
  <c r="C18" i="13" a="1"/>
  <c r="C18" i="13" s="1"/>
  <c r="C19" i="13" a="1"/>
  <c r="C19" i="13" s="1"/>
  <c r="C20" i="13" a="1"/>
  <c r="C20" i="13" s="1"/>
  <c r="C21" i="13" a="1"/>
  <c r="C21" i="13" s="1"/>
  <c r="C22" i="13" a="1"/>
  <c r="C22" i="13" s="1"/>
  <c r="C23" i="13" a="1"/>
  <c r="C23" i="13" s="1"/>
  <c r="C24" i="13" a="1"/>
  <c r="C24" i="13" s="1"/>
  <c r="C25" i="13" a="1"/>
  <c r="C25" i="13" s="1"/>
  <c r="C26" i="13" a="1"/>
  <c r="C26" i="13" s="1"/>
  <c r="C27" i="13" a="1"/>
  <c r="C27" i="13" s="1"/>
  <c r="C28" i="13" a="1"/>
  <c r="C28" i="13" s="1"/>
  <c r="C29" i="13" a="1"/>
  <c r="C29" i="13" s="1"/>
  <c r="C30" i="13" a="1"/>
  <c r="C30" i="13" s="1"/>
  <c r="C31" i="13" a="1"/>
  <c r="C31" i="13" s="1"/>
  <c r="C32" i="13" a="1"/>
  <c r="C32" i="13" s="1"/>
  <c r="C33" i="13" a="1"/>
  <c r="C33" i="13" s="1"/>
  <c r="C34" i="13" a="1"/>
  <c r="C34" i="13" s="1"/>
  <c r="C35" i="13" a="1"/>
  <c r="C35" i="13" s="1"/>
  <c r="C36" i="13" a="1"/>
  <c r="C36" i="13" s="1"/>
  <c r="C37" i="13" a="1"/>
  <c r="C37" i="13" s="1"/>
  <c r="C38" i="13" a="1"/>
  <c r="C38" i="13" s="1"/>
  <c r="C39" i="13" a="1"/>
  <c r="C39" i="13" s="1"/>
  <c r="C40" i="13" a="1"/>
  <c r="C40" i="13" s="1"/>
  <c r="C41" i="13" a="1"/>
  <c r="C41" i="13" s="1"/>
  <c r="C42" i="13" a="1"/>
  <c r="C42" i="13" s="1"/>
  <c r="C43" i="13" a="1"/>
  <c r="C43" i="13" s="1"/>
  <c r="C44" i="13" a="1"/>
  <c r="C44" i="13" s="1"/>
  <c r="C45" i="13" a="1"/>
  <c r="C45" i="13" s="1"/>
  <c r="C46" i="13" a="1"/>
  <c r="C46" i="13" s="1"/>
  <c r="C47" i="13" a="1"/>
  <c r="C47" i="13" s="1"/>
  <c r="C48" i="13" a="1"/>
  <c r="C48" i="13" s="1"/>
  <c r="C49" i="13" a="1"/>
  <c r="C49" i="13" s="1"/>
  <c r="C50" i="13" a="1"/>
  <c r="C50" i="13" s="1"/>
  <c r="C51" i="13" a="1"/>
  <c r="C51" i="13" s="1"/>
  <c r="C52" i="13" a="1"/>
  <c r="C52" i="13" s="1"/>
  <c r="C53" i="13" a="1"/>
  <c r="C53" i="13" s="1"/>
  <c r="C54" i="13" a="1"/>
  <c r="C54" i="13" s="1"/>
  <c r="C55" i="13" a="1"/>
  <c r="C55" i="13" s="1"/>
  <c r="C56" i="13" a="1"/>
  <c r="C56" i="13" s="1"/>
  <c r="C57" i="13" a="1"/>
  <c r="C57" i="13" s="1"/>
  <c r="C58" i="13" a="1"/>
  <c r="C58" i="13" s="1"/>
  <c r="C59" i="13" a="1"/>
  <c r="C59" i="13" s="1"/>
  <c r="C60" i="13" a="1"/>
  <c r="C60" i="13" s="1"/>
  <c r="C61" i="13" a="1"/>
  <c r="C61" i="13" s="1"/>
  <c r="C62" i="13" a="1"/>
  <c r="C62" i="13" s="1"/>
  <c r="C63" i="13" a="1"/>
  <c r="C63" i="13" s="1"/>
  <c r="C64" i="13" a="1"/>
  <c r="C64" i="13" s="1"/>
  <c r="C65" i="13" a="1"/>
  <c r="C65" i="13" s="1"/>
  <c r="C66" i="13" a="1"/>
  <c r="C66" i="13" s="1"/>
  <c r="C67" i="13" a="1"/>
  <c r="C67" i="13" s="1"/>
  <c r="C68" i="13" a="1"/>
  <c r="C68" i="13" s="1"/>
  <c r="C69" i="13" a="1"/>
  <c r="C69" i="13" s="1"/>
  <c r="C70" i="13" a="1"/>
  <c r="C70" i="13" s="1"/>
  <c r="C71" i="13" a="1"/>
  <c r="C71" i="13" s="1"/>
  <c r="C72" i="13" a="1"/>
  <c r="C72" i="13" s="1"/>
  <c r="C73" i="13" a="1"/>
  <c r="C73" i="13" s="1"/>
  <c r="C74" i="13" a="1"/>
  <c r="C74" i="13" s="1"/>
  <c r="C75" i="13" a="1"/>
  <c r="C75" i="13" s="1"/>
  <c r="C76" i="13" a="1"/>
  <c r="C76" i="13" s="1"/>
  <c r="C77" i="13" a="1"/>
  <c r="C77" i="13" s="1"/>
  <c r="C78" i="13" a="1"/>
  <c r="C78" i="13" s="1"/>
  <c r="C79" i="13" a="1"/>
  <c r="C79" i="13" s="1"/>
  <c r="C80" i="13" a="1"/>
  <c r="C80" i="13" s="1"/>
  <c r="C81" i="13" a="1"/>
  <c r="C81" i="13" s="1"/>
  <c r="C82" i="13" a="1"/>
  <c r="C82" i="13" s="1"/>
  <c r="C83" i="13" a="1"/>
  <c r="C83" i="13" s="1"/>
  <c r="C84" i="13" a="1"/>
  <c r="C84" i="13" s="1"/>
  <c r="C85" i="13" a="1"/>
  <c r="C85" i="13" s="1"/>
  <c r="C86" i="13" a="1"/>
  <c r="C86" i="13" s="1"/>
  <c r="C87" i="13" a="1"/>
  <c r="C87" i="13" s="1"/>
  <c r="C88" i="13" a="1"/>
  <c r="C88" i="13" s="1"/>
  <c r="C89" i="13" a="1"/>
  <c r="C89" i="13" s="1"/>
  <c r="C90" i="13" a="1"/>
  <c r="C90" i="13" s="1"/>
  <c r="C91" i="13" a="1"/>
  <c r="C91" i="13" s="1"/>
  <c r="C92" i="13" a="1"/>
  <c r="C92" i="13" s="1"/>
  <c r="C93" i="13" a="1"/>
  <c r="C93" i="13" s="1"/>
  <c r="C94" i="13" a="1"/>
  <c r="C94" i="13" s="1"/>
  <c r="C95" i="13" a="1"/>
  <c r="C95" i="13" s="1"/>
  <c r="C96" i="13" a="1"/>
  <c r="C96" i="13" s="1"/>
  <c r="C97" i="13" a="1"/>
  <c r="C97" i="13" s="1"/>
  <c r="C98" i="13" a="1"/>
  <c r="C98" i="13" s="1"/>
  <c r="C99" i="13" a="1"/>
  <c r="C99" i="13" s="1"/>
  <c r="C100" i="13" a="1"/>
  <c r="C100" i="13" s="1"/>
  <c r="C101" i="13" a="1"/>
  <c r="C101" i="13" s="1"/>
  <c r="C102" i="13" a="1"/>
  <c r="C102" i="13" s="1"/>
  <c r="C103" i="13" a="1"/>
  <c r="C103" i="13" s="1"/>
  <c r="C104" i="13" a="1"/>
  <c r="C104" i="13" s="1"/>
  <c r="C105" i="13" a="1"/>
  <c r="C105" i="13" s="1"/>
  <c r="C106" i="13" a="1"/>
  <c r="C106" i="13" s="1"/>
  <c r="C107" i="13" a="1"/>
  <c r="C107" i="13" s="1"/>
  <c r="C108" i="13" a="1"/>
  <c r="C108" i="13" s="1"/>
  <c r="C109" i="13" a="1"/>
  <c r="C109" i="13" s="1"/>
  <c r="C110" i="13" a="1"/>
  <c r="C110" i="13" s="1"/>
  <c r="C111" i="13" a="1"/>
  <c r="C111" i="13" s="1"/>
  <c r="C112" i="13" a="1"/>
  <c r="C112" i="13" s="1"/>
  <c r="C113" i="13" a="1"/>
  <c r="C113" i="13" s="1"/>
  <c r="C114" i="13" a="1"/>
  <c r="C114" i="13" s="1"/>
  <c r="C115" i="13" a="1"/>
  <c r="C115" i="13" s="1"/>
  <c r="C116" i="13" a="1"/>
  <c r="C116" i="13" s="1"/>
  <c r="C117" i="13" a="1"/>
  <c r="C117" i="13" s="1"/>
  <c r="C118" i="13" a="1"/>
  <c r="C118" i="13" s="1"/>
  <c r="C119" i="13" a="1"/>
  <c r="C119" i="13" s="1"/>
  <c r="C120" i="13" a="1"/>
  <c r="C120" i="13" s="1"/>
  <c r="C121" i="13" a="1"/>
  <c r="C121" i="13" s="1"/>
  <c r="C122" i="13" a="1"/>
  <c r="C122" i="13" s="1"/>
  <c r="C123" i="13" a="1"/>
  <c r="C123" i="13" s="1"/>
  <c r="C124" i="13" a="1"/>
  <c r="C124" i="13" s="1"/>
  <c r="C125" i="13" a="1"/>
  <c r="C125" i="13" s="1"/>
  <c r="C126" i="13" a="1"/>
  <c r="C126" i="13" s="1"/>
  <c r="C127" i="13" a="1"/>
  <c r="C127" i="13" s="1"/>
  <c r="C128" i="13" a="1"/>
  <c r="C128" i="13" s="1"/>
  <c r="C129" i="13" a="1"/>
  <c r="C129" i="13" s="1"/>
  <c r="C130" i="13" a="1"/>
  <c r="C130" i="13" s="1"/>
  <c r="C131" i="13" a="1"/>
  <c r="C131" i="13" s="1"/>
  <c r="C132" i="13" a="1"/>
  <c r="C132" i="13" s="1"/>
  <c r="C133" i="13" a="1"/>
  <c r="C133" i="13" s="1"/>
  <c r="C134" i="13" a="1"/>
  <c r="C134" i="13" s="1"/>
  <c r="C135" i="13" a="1"/>
  <c r="C135" i="13" s="1"/>
  <c r="C136" i="13" a="1"/>
  <c r="C136" i="13" s="1"/>
  <c r="C137" i="13" a="1"/>
  <c r="C137" i="13" s="1"/>
  <c r="C138" i="13" a="1"/>
  <c r="C138" i="13" s="1"/>
  <c r="C139" i="13" a="1"/>
  <c r="C139" i="13" s="1"/>
  <c r="C140" i="13" a="1"/>
  <c r="C140" i="13" s="1"/>
  <c r="C141" i="13" a="1"/>
  <c r="C141" i="13" s="1"/>
  <c r="C142" i="13" a="1"/>
  <c r="C142" i="13" s="1"/>
  <c r="C143" i="13" a="1"/>
  <c r="C143" i="13" s="1"/>
  <c r="C144" i="13" a="1"/>
  <c r="C144" i="13" s="1"/>
  <c r="C145" i="13" a="1"/>
  <c r="C145" i="13" s="1"/>
  <c r="C146" i="13" a="1"/>
  <c r="C146" i="13" s="1"/>
  <c r="C147" i="13" a="1"/>
  <c r="C147" i="13" s="1"/>
  <c r="C148" i="13" a="1"/>
  <c r="C148" i="13" s="1"/>
  <c r="C149" i="13" a="1"/>
  <c r="C149" i="13" s="1"/>
  <c r="C150" i="13" a="1"/>
  <c r="C150" i="13" s="1"/>
  <c r="C151" i="13" a="1"/>
  <c r="C151" i="13" s="1"/>
  <c r="C152" i="13" a="1"/>
  <c r="C152" i="13" s="1"/>
  <c r="C153" i="13" a="1"/>
  <c r="C153" i="13" s="1"/>
  <c r="C154" i="13" a="1"/>
  <c r="C154" i="13" s="1"/>
  <c r="C155" i="13" a="1"/>
  <c r="C155" i="13" s="1"/>
  <c r="C156" i="13" a="1"/>
  <c r="C156" i="13" s="1"/>
  <c r="C157" i="13" a="1"/>
  <c r="C157" i="13" s="1"/>
  <c r="C158" i="13" a="1"/>
  <c r="C158" i="13" s="1"/>
  <c r="C159" i="13" a="1"/>
  <c r="C159" i="13" s="1"/>
  <c r="C160" i="13" a="1"/>
  <c r="C160" i="13" s="1"/>
  <c r="C161" i="13" a="1"/>
  <c r="C161" i="13" s="1"/>
  <c r="C162" i="13" a="1"/>
  <c r="C162" i="13" s="1"/>
  <c r="C163" i="13" a="1"/>
  <c r="C163" i="13" s="1"/>
  <c r="C164" i="13" a="1"/>
  <c r="C164" i="13" s="1"/>
  <c r="C165" i="13" a="1"/>
  <c r="C165" i="13" s="1"/>
  <c r="C166" i="13" a="1"/>
  <c r="C166" i="13" s="1"/>
  <c r="C167" i="13" a="1"/>
  <c r="C167" i="13" s="1"/>
  <c r="C168" i="13" a="1"/>
  <c r="C168" i="13" s="1"/>
  <c r="C169" i="13" a="1"/>
  <c r="C169" i="13" s="1"/>
  <c r="C170" i="13" a="1"/>
  <c r="C170" i="13" s="1"/>
  <c r="C171" i="13" a="1"/>
  <c r="C171" i="13" s="1"/>
  <c r="C172" i="13" a="1"/>
  <c r="C172" i="13" s="1"/>
  <c r="C173" i="13" a="1"/>
  <c r="C173" i="13" s="1"/>
  <c r="C174" i="13" a="1"/>
  <c r="C174" i="13" s="1"/>
  <c r="C175" i="13" a="1"/>
  <c r="C175" i="13" s="1"/>
  <c r="C176" i="13" a="1"/>
  <c r="C176" i="13" s="1"/>
  <c r="C177" i="13" a="1"/>
  <c r="C177" i="13" s="1"/>
  <c r="C178" i="13" a="1"/>
  <c r="C178" i="13" s="1"/>
  <c r="C179" i="13" a="1"/>
  <c r="C179" i="13" s="1"/>
  <c r="C180" i="13" a="1"/>
  <c r="C180" i="13" s="1"/>
  <c r="C181" i="13" a="1"/>
  <c r="C181" i="13" s="1"/>
  <c r="C182" i="13" a="1"/>
  <c r="C182" i="13" s="1"/>
  <c r="C183" i="13" a="1"/>
  <c r="C183" i="13" s="1"/>
  <c r="C184" i="13" a="1"/>
  <c r="C184" i="13" s="1"/>
  <c r="C185" i="13" a="1"/>
  <c r="C185" i="13" s="1"/>
  <c r="C186" i="13" a="1"/>
  <c r="C186" i="13" s="1"/>
  <c r="C187" i="13" a="1"/>
  <c r="C187" i="13" s="1"/>
  <c r="C188" i="13" a="1"/>
  <c r="C188" i="13" s="1"/>
  <c r="C189" i="13" a="1"/>
  <c r="C189" i="13" s="1"/>
  <c r="C190" i="13" a="1"/>
  <c r="C190" i="13" s="1"/>
  <c r="C191" i="13" a="1"/>
  <c r="C191" i="13" s="1"/>
  <c r="C192" i="13" a="1"/>
  <c r="C192" i="13" s="1"/>
  <c r="C193" i="13" a="1"/>
  <c r="C193" i="13" s="1"/>
  <c r="C194" i="13" a="1"/>
  <c r="C194" i="13" s="1"/>
  <c r="C195" i="13" a="1"/>
  <c r="C195" i="13" s="1"/>
  <c r="C196" i="13" a="1"/>
  <c r="C196" i="13" s="1"/>
  <c r="C197" i="13" a="1"/>
  <c r="C197" i="13" s="1"/>
  <c r="C198" i="13" a="1"/>
  <c r="C198" i="13" s="1"/>
  <c r="C199" i="13" a="1"/>
  <c r="C199" i="13" s="1"/>
  <c r="C200" i="13" a="1"/>
  <c r="C200" i="13" s="1"/>
  <c r="C201" i="13" a="1"/>
  <c r="C201" i="13" s="1"/>
  <c r="C202" i="13" a="1"/>
  <c r="C202" i="13" s="1"/>
  <c r="C203" i="13" a="1"/>
  <c r="C203" i="13" s="1"/>
  <c r="C204" i="13" a="1"/>
  <c r="C204" i="13" s="1"/>
  <c r="C205" i="13" a="1"/>
  <c r="C205" i="13" s="1"/>
  <c r="C206" i="13" a="1"/>
  <c r="C206" i="13" s="1"/>
  <c r="C207" i="13" a="1"/>
  <c r="C207" i="13" s="1"/>
  <c r="C208" i="13" a="1"/>
  <c r="C208" i="13" s="1"/>
  <c r="C209" i="13" a="1"/>
  <c r="C209" i="13" s="1"/>
  <c r="C210" i="13" a="1"/>
  <c r="C210" i="13" s="1"/>
  <c r="C211" i="13" a="1"/>
  <c r="C211" i="13" s="1"/>
  <c r="C212" i="13" a="1"/>
  <c r="C212" i="13" s="1"/>
  <c r="C213" i="13" a="1"/>
  <c r="C213" i="13" s="1"/>
  <c r="C214" i="13" a="1"/>
  <c r="C214" i="13" s="1"/>
  <c r="C215" i="13" a="1"/>
  <c r="C215" i="13" s="1"/>
  <c r="C216" i="13" a="1"/>
  <c r="C216" i="13" s="1"/>
  <c r="C217" i="13" a="1"/>
  <c r="C217" i="13" s="1"/>
  <c r="C218" i="13" a="1"/>
  <c r="C218" i="13" s="1"/>
  <c r="C219" i="13" a="1"/>
  <c r="C219" i="13" s="1"/>
  <c r="C220" i="13" a="1"/>
  <c r="C220" i="13" s="1"/>
  <c r="C221" i="13" a="1"/>
  <c r="C221" i="13" s="1"/>
  <c r="C222" i="13" a="1"/>
  <c r="C222" i="13" s="1"/>
  <c r="C223" i="13" a="1"/>
  <c r="C223" i="13" s="1"/>
  <c r="C224" i="13" a="1"/>
  <c r="C224" i="13" s="1"/>
  <c r="C225" i="13" a="1"/>
  <c r="C225" i="13" s="1"/>
  <c r="C226" i="13" a="1"/>
  <c r="C226" i="13" s="1"/>
  <c r="C227" i="13" a="1"/>
  <c r="C227" i="13" s="1"/>
  <c r="C228" i="13" a="1"/>
  <c r="C228" i="13" s="1"/>
  <c r="C229" i="13" a="1"/>
  <c r="C229" i="13" s="1"/>
  <c r="C230" i="13" a="1"/>
  <c r="C230" i="13" s="1"/>
  <c r="C231" i="13" a="1"/>
  <c r="C231" i="13" s="1"/>
  <c r="C232" i="13" a="1"/>
  <c r="C232" i="13" s="1"/>
  <c r="C233" i="13" a="1"/>
  <c r="C233" i="13" s="1"/>
  <c r="C234" i="13" a="1"/>
  <c r="C234" i="13" s="1"/>
  <c r="C235" i="13" a="1"/>
  <c r="C235" i="13" s="1"/>
  <c r="C236" i="13" a="1"/>
  <c r="C236" i="13" s="1"/>
  <c r="C237" i="13" a="1"/>
  <c r="C237" i="13" s="1"/>
  <c r="C238" i="13" a="1"/>
  <c r="C238" i="13" s="1"/>
  <c r="C239" i="13" a="1"/>
  <c r="C239" i="13" s="1"/>
  <c r="C240" i="13" a="1"/>
  <c r="C240" i="13" s="1"/>
  <c r="C241" i="13" a="1"/>
  <c r="C241" i="13" s="1"/>
  <c r="C242" i="13" a="1"/>
  <c r="C242" i="13" s="1"/>
  <c r="C243" i="13" a="1"/>
  <c r="C243" i="13" s="1"/>
  <c r="C244" i="13" a="1"/>
  <c r="C244" i="13" s="1"/>
  <c r="C245" i="13" a="1"/>
  <c r="C245" i="13" s="1"/>
  <c r="C246" i="13" a="1"/>
  <c r="C246" i="13" s="1"/>
  <c r="C247" i="13" a="1"/>
  <c r="C247" i="13" s="1"/>
  <c r="C248" i="13" a="1"/>
  <c r="C248" i="13" s="1"/>
  <c r="C249" i="13" a="1"/>
  <c r="C249" i="13" s="1"/>
  <c r="C250" i="13" a="1"/>
  <c r="C250" i="13" s="1"/>
  <c r="C251" i="13" a="1"/>
  <c r="C251" i="13" s="1"/>
  <c r="C252" i="13" a="1"/>
  <c r="C252" i="13" s="1"/>
  <c r="C253" i="13" a="1"/>
  <c r="C253" i="13" s="1"/>
  <c r="C254" i="13" a="1"/>
  <c r="C254" i="13" s="1"/>
  <c r="C255" i="13" a="1"/>
  <c r="C255" i="13" s="1"/>
  <c r="C256" i="13" a="1"/>
  <c r="C256" i="13" s="1"/>
  <c r="C257" i="13" a="1"/>
  <c r="C257" i="13" s="1"/>
  <c r="C258" i="13" a="1"/>
  <c r="C258" i="13" s="1"/>
  <c r="C259" i="13" a="1"/>
  <c r="C259" i="13" s="1"/>
  <c r="C260" i="13" a="1"/>
  <c r="C260" i="13" s="1"/>
  <c r="C261" i="13" a="1"/>
  <c r="C261" i="13" s="1"/>
  <c r="C262" i="13" a="1"/>
  <c r="C262" i="13" s="1"/>
  <c r="C263" i="13" a="1"/>
  <c r="C263" i="13" s="1"/>
  <c r="C264" i="13" a="1"/>
  <c r="C264" i="13" s="1"/>
  <c r="C265" i="13" a="1"/>
  <c r="C265" i="13" s="1"/>
  <c r="C266" i="13" a="1"/>
  <c r="C266" i="13" s="1"/>
  <c r="C267" i="13" a="1"/>
  <c r="C267" i="13" s="1"/>
  <c r="C268" i="13" a="1"/>
  <c r="C268" i="13" s="1"/>
  <c r="C269" i="13" a="1"/>
  <c r="C269" i="13" s="1"/>
  <c r="C270" i="13" a="1"/>
  <c r="C270" i="13" s="1"/>
  <c r="C271" i="13" a="1"/>
  <c r="C271" i="13" s="1"/>
  <c r="C272" i="13" a="1"/>
  <c r="C272" i="13" s="1"/>
  <c r="C273" i="13" a="1"/>
  <c r="C273" i="13" s="1"/>
  <c r="C274" i="13" a="1"/>
  <c r="C274" i="13" s="1"/>
  <c r="C275" i="13" a="1"/>
  <c r="C275" i="13" s="1"/>
  <c r="C276" i="13" a="1"/>
  <c r="C276" i="13" s="1"/>
  <c r="C277" i="13" a="1"/>
  <c r="C277" i="13" s="1"/>
  <c r="C278" i="13" a="1"/>
  <c r="C278" i="13" s="1"/>
  <c r="C279" i="13" a="1"/>
  <c r="C279" i="13" s="1"/>
  <c r="C280" i="13" a="1"/>
  <c r="C280" i="13" s="1"/>
  <c r="C281" i="13" a="1"/>
  <c r="C281" i="13" s="1"/>
  <c r="C282" i="13" a="1"/>
  <c r="C282" i="13" s="1"/>
  <c r="C283" i="13" a="1"/>
  <c r="C283" i="13" s="1"/>
  <c r="C284" i="13" a="1"/>
  <c r="C284" i="13" s="1"/>
  <c r="C285" i="13" a="1"/>
  <c r="C285" i="13" s="1"/>
  <c r="C286" i="13" a="1"/>
  <c r="C286" i="13" s="1"/>
  <c r="C287" i="13" a="1"/>
  <c r="C287" i="13" s="1"/>
  <c r="C288" i="13" a="1"/>
  <c r="C288" i="13" s="1"/>
  <c r="C289" i="13" a="1"/>
  <c r="C289" i="13" s="1"/>
  <c r="C290" i="13" a="1"/>
  <c r="C290" i="13" s="1"/>
  <c r="C291" i="13" a="1"/>
  <c r="C291" i="13" s="1"/>
  <c r="C292" i="13" a="1"/>
  <c r="C292" i="13" s="1"/>
  <c r="C293" i="13" a="1"/>
  <c r="C293" i="13" s="1"/>
  <c r="C294" i="13" a="1"/>
  <c r="C294" i="13" s="1"/>
  <c r="C295" i="13" a="1"/>
  <c r="C295" i="13" s="1"/>
  <c r="C296" i="13" a="1"/>
  <c r="C296" i="13" s="1"/>
  <c r="C297" i="13" a="1"/>
  <c r="C297" i="13" s="1"/>
  <c r="C298" i="13" a="1"/>
  <c r="C298" i="13" s="1"/>
  <c r="C299" i="13" a="1"/>
  <c r="C299" i="13" s="1"/>
  <c r="C300" i="13" a="1"/>
  <c r="C300" i="13" s="1"/>
  <c r="C301" i="13" a="1"/>
  <c r="C301" i="13" s="1"/>
  <c r="C302" i="13" a="1"/>
  <c r="C302" i="13" s="1"/>
  <c r="C303" i="13" a="1"/>
  <c r="C303" i="13" s="1"/>
  <c r="C304" i="13" a="1"/>
  <c r="C304" i="13" s="1"/>
  <c r="C305" i="13" a="1"/>
  <c r="C305" i="13" s="1"/>
  <c r="C306" i="13" a="1"/>
  <c r="C306" i="13" s="1"/>
  <c r="C307" i="13" a="1"/>
  <c r="C307" i="13" s="1"/>
  <c r="C308" i="13" a="1"/>
  <c r="C308" i="13" s="1"/>
  <c r="C309" i="13" a="1"/>
  <c r="C309" i="13" s="1"/>
  <c r="C310" i="13" a="1"/>
  <c r="C310" i="13" s="1"/>
  <c r="C311" i="13" a="1"/>
  <c r="C311" i="13" s="1"/>
  <c r="C312" i="13" a="1"/>
  <c r="C312" i="13" s="1"/>
  <c r="C313" i="13" a="1"/>
  <c r="C313" i="13" s="1"/>
  <c r="C314" i="13" a="1"/>
  <c r="C314" i="13" s="1"/>
  <c r="C315" i="13" a="1"/>
  <c r="C315" i="13" s="1"/>
  <c r="C316" i="13" a="1"/>
  <c r="C316" i="13" s="1"/>
  <c r="C317" i="13" a="1"/>
  <c r="C317" i="13" s="1"/>
  <c r="C318" i="13" a="1"/>
  <c r="C318" i="13" s="1"/>
  <c r="C319" i="13" a="1"/>
  <c r="C319" i="13" s="1"/>
  <c r="C320" i="13" a="1"/>
  <c r="C320" i="13" s="1"/>
  <c r="C321" i="13" a="1"/>
  <c r="C321" i="13" s="1"/>
  <c r="C322" i="13" a="1"/>
  <c r="C322" i="13" s="1"/>
  <c r="C323" i="13" a="1"/>
  <c r="C323" i="13" s="1"/>
  <c r="C324" i="13" a="1"/>
  <c r="C324" i="13" s="1"/>
  <c r="C325" i="13" a="1"/>
  <c r="C325" i="13" s="1"/>
  <c r="C326" i="13" a="1"/>
  <c r="C326" i="13" s="1"/>
  <c r="C327" i="13" a="1"/>
  <c r="C327" i="13" s="1"/>
  <c r="C328" i="13" a="1"/>
  <c r="C328" i="13" s="1"/>
  <c r="C329" i="13" a="1"/>
  <c r="C329" i="13" s="1"/>
  <c r="C330" i="13" a="1"/>
  <c r="C330" i="13" s="1"/>
  <c r="C331" i="13" a="1"/>
  <c r="C331" i="13" s="1"/>
  <c r="C332" i="13" a="1"/>
  <c r="C332" i="13" s="1"/>
  <c r="C333" i="13" a="1"/>
  <c r="C333" i="13" s="1"/>
  <c r="C334" i="13" a="1"/>
  <c r="C334" i="13" s="1"/>
  <c r="C335" i="13" a="1"/>
  <c r="C335" i="13" s="1"/>
  <c r="C336" i="13" a="1"/>
  <c r="C336" i="13" s="1"/>
  <c r="C337" i="13" a="1"/>
  <c r="C337" i="13" s="1"/>
  <c r="C338" i="13" a="1"/>
  <c r="C338" i="13" s="1"/>
  <c r="C339" i="13" a="1"/>
  <c r="C339" i="13" s="1"/>
  <c r="C340" i="13" a="1"/>
  <c r="C340" i="13" s="1"/>
  <c r="C341" i="13" a="1"/>
  <c r="C341" i="13" s="1"/>
  <c r="C342" i="13" a="1"/>
  <c r="C342" i="13" s="1"/>
  <c r="C343" i="13" a="1"/>
  <c r="C343" i="13" s="1"/>
  <c r="C344" i="13" a="1"/>
  <c r="C344" i="13" s="1"/>
  <c r="C345" i="13" a="1"/>
  <c r="C345" i="13" s="1"/>
  <c r="C346" i="13" a="1"/>
  <c r="C346" i="13" s="1"/>
  <c r="C347" i="13" a="1"/>
  <c r="C347" i="13" s="1"/>
  <c r="C348" i="13" a="1"/>
  <c r="C348" i="13" s="1"/>
  <c r="C349" i="13" a="1"/>
  <c r="C349" i="13" s="1"/>
  <c r="C350" i="13" a="1"/>
  <c r="C350" i="13" s="1"/>
  <c r="C351" i="13" a="1"/>
  <c r="C351" i="13" s="1"/>
  <c r="C352" i="13" a="1"/>
  <c r="C352" i="13" s="1"/>
  <c r="C353" i="13" a="1"/>
  <c r="C353" i="13" s="1"/>
  <c r="C354" i="13" a="1"/>
  <c r="C354" i="13" s="1"/>
  <c r="C355" i="13" a="1"/>
  <c r="C355" i="13" s="1"/>
  <c r="C356" i="13" a="1"/>
  <c r="C356" i="13" s="1"/>
  <c r="C357" i="13" a="1"/>
  <c r="C357" i="13" s="1"/>
  <c r="C358" i="13" a="1"/>
  <c r="C358" i="13" s="1"/>
  <c r="C359" i="13" a="1"/>
  <c r="C359" i="13" s="1"/>
  <c r="C360" i="13" a="1"/>
  <c r="C360" i="13" s="1"/>
  <c r="C361" i="13" a="1"/>
  <c r="C361" i="13" s="1"/>
  <c r="C362" i="13" a="1"/>
  <c r="C362" i="13" s="1"/>
  <c r="C363" i="13" a="1"/>
  <c r="C363" i="13" s="1"/>
  <c r="C364" i="13" a="1"/>
  <c r="C364" i="13" s="1"/>
  <c r="C365" i="13" a="1"/>
  <c r="C365" i="13" s="1"/>
  <c r="C366" i="13" a="1"/>
  <c r="C366" i="13" s="1"/>
  <c r="C367" i="13" a="1"/>
  <c r="C367" i="13" s="1"/>
  <c r="C368" i="13" a="1"/>
  <c r="C368" i="13" s="1"/>
  <c r="C369" i="13" a="1"/>
  <c r="C369" i="13" s="1"/>
  <c r="C370" i="13" a="1"/>
  <c r="C370" i="13" s="1"/>
  <c r="C371" i="13" a="1"/>
  <c r="C371" i="13" s="1"/>
  <c r="C372" i="13" a="1"/>
  <c r="C372" i="13" s="1"/>
  <c r="C373" i="13" a="1"/>
  <c r="C373" i="13" s="1"/>
  <c r="C374" i="13" a="1"/>
  <c r="C374" i="13" s="1"/>
  <c r="C375" i="13" a="1"/>
  <c r="C375" i="13" s="1"/>
  <c r="C376" i="13" a="1"/>
  <c r="C376" i="13" s="1"/>
  <c r="C377" i="13" a="1"/>
  <c r="C377" i="13" s="1"/>
  <c r="C378" i="13" a="1"/>
  <c r="C378" i="13" s="1"/>
  <c r="C379" i="13" a="1"/>
  <c r="C379" i="13" s="1"/>
  <c r="C380" i="13" a="1"/>
  <c r="C380" i="13" s="1"/>
  <c r="C381" i="13" a="1"/>
  <c r="C381" i="13" s="1"/>
  <c r="C382" i="13" a="1"/>
  <c r="C382" i="13" s="1"/>
  <c r="C383" i="13" a="1"/>
  <c r="C383" i="13" s="1"/>
  <c r="C384" i="13" a="1"/>
  <c r="C384" i="13" s="1"/>
  <c r="C385" i="13" a="1"/>
  <c r="C385" i="13" s="1"/>
  <c r="C386" i="13" a="1"/>
  <c r="C386" i="13" s="1"/>
  <c r="C387" i="13" a="1"/>
  <c r="C387" i="13" s="1"/>
  <c r="C388" i="13" a="1"/>
  <c r="C388" i="13" s="1"/>
  <c r="C389" i="13" a="1"/>
  <c r="C389" i="13" s="1"/>
  <c r="C390" i="13" a="1"/>
  <c r="C390" i="13" s="1"/>
  <c r="C391" i="13" a="1"/>
  <c r="C391" i="13" s="1"/>
  <c r="C392" i="13" a="1"/>
  <c r="C392" i="13" s="1"/>
  <c r="C393" i="13" a="1"/>
  <c r="C393" i="13" s="1"/>
  <c r="C394" i="13" a="1"/>
  <c r="C394" i="13" s="1"/>
  <c r="C395" i="13" a="1"/>
  <c r="C395" i="13" s="1"/>
  <c r="C396" i="13" a="1"/>
  <c r="C396" i="13" s="1"/>
  <c r="C397" i="13" a="1"/>
  <c r="C397" i="13" s="1"/>
  <c r="C398" i="13" a="1"/>
  <c r="C398" i="13" s="1"/>
  <c r="C399" i="13" a="1"/>
  <c r="C399" i="13" s="1"/>
  <c r="C400" i="13" a="1"/>
  <c r="C400" i="13" s="1"/>
  <c r="C401" i="13" a="1"/>
  <c r="C401" i="13" s="1"/>
  <c r="C402" i="13" a="1"/>
  <c r="C402" i="13" s="1"/>
  <c r="C403" i="13" a="1"/>
  <c r="C403" i="13" s="1"/>
  <c r="C404" i="13" a="1"/>
  <c r="C404" i="13" s="1"/>
  <c r="C405" i="13" a="1"/>
  <c r="C405" i="13" s="1"/>
  <c r="C406" i="13" a="1"/>
  <c r="C406" i="13" s="1"/>
  <c r="C407" i="13" a="1"/>
  <c r="C407" i="13" s="1"/>
  <c r="C408" i="13" a="1"/>
  <c r="C408" i="13" s="1"/>
  <c r="C409" i="13" a="1"/>
  <c r="C409" i="13" s="1"/>
  <c r="C410" i="13" a="1"/>
  <c r="C410" i="13" s="1"/>
  <c r="C411" i="13" a="1"/>
  <c r="C411" i="13" s="1"/>
  <c r="C412" i="13" a="1"/>
  <c r="C412" i="13" s="1"/>
  <c r="C413" i="13" a="1"/>
  <c r="C413" i="13" s="1"/>
  <c r="C414" i="13" a="1"/>
  <c r="C414" i="13" s="1"/>
  <c r="C415" i="13" a="1"/>
  <c r="C415" i="13" s="1"/>
  <c r="C416" i="13" a="1"/>
  <c r="C416" i="13" s="1"/>
  <c r="C417" i="13" a="1"/>
  <c r="C417" i="13" s="1"/>
  <c r="C418" i="13" a="1"/>
  <c r="C418" i="13" s="1"/>
  <c r="C419" i="13" a="1"/>
  <c r="C419" i="13" s="1"/>
  <c r="C420" i="13" a="1"/>
  <c r="C420" i="13" s="1"/>
  <c r="C421" i="13" a="1"/>
  <c r="C421" i="13" s="1"/>
  <c r="C422" i="13" a="1"/>
  <c r="C422" i="13" s="1"/>
  <c r="C423" i="13" a="1"/>
  <c r="C423" i="13" s="1"/>
  <c r="C424" i="13" a="1"/>
  <c r="C424" i="13" s="1"/>
  <c r="C425" i="13" a="1"/>
  <c r="C425" i="13" s="1"/>
  <c r="C426" i="13" a="1"/>
  <c r="C426" i="13" s="1"/>
  <c r="C427" i="13" a="1"/>
  <c r="C427" i="13" s="1"/>
  <c r="C428" i="13" a="1"/>
  <c r="C428" i="13" s="1"/>
  <c r="C429" i="13" a="1"/>
  <c r="C429" i="13" s="1"/>
  <c r="C430" i="13" a="1"/>
  <c r="C430" i="13" s="1"/>
  <c r="C431" i="13" a="1"/>
  <c r="C431" i="13" s="1"/>
  <c r="C432" i="13" a="1"/>
  <c r="C432" i="13" s="1"/>
  <c r="C433" i="13" a="1"/>
  <c r="C433" i="13" s="1"/>
  <c r="C434" i="13" a="1"/>
  <c r="C434" i="13" s="1"/>
  <c r="C435" i="13" a="1"/>
  <c r="C435" i="13" s="1"/>
  <c r="C436" i="13" a="1"/>
  <c r="C436" i="13" s="1"/>
  <c r="C437" i="13" a="1"/>
  <c r="C437" i="13" s="1"/>
  <c r="C438" i="13" a="1"/>
  <c r="C438" i="13" s="1"/>
  <c r="C439" i="13" a="1"/>
  <c r="C439" i="13" s="1"/>
  <c r="C440" i="13" a="1"/>
  <c r="C440" i="13" s="1"/>
  <c r="C441" i="13" a="1"/>
  <c r="C441" i="13" s="1"/>
  <c r="C6" i="13" a="1"/>
  <c r="C6" i="13" s="1"/>
  <c r="B7" i="13" a="1"/>
  <c r="B7" i="13" s="1"/>
  <c r="B8" i="13" a="1"/>
  <c r="B8" i="13" s="1"/>
  <c r="B9" i="13" a="1"/>
  <c r="B9" i="13" s="1"/>
  <c r="B10" i="13" a="1"/>
  <c r="B10" i="13" s="1"/>
  <c r="B11" i="13" a="1"/>
  <c r="B11" i="13" s="1"/>
  <c r="B12" i="13" a="1"/>
  <c r="B12" i="13" s="1"/>
  <c r="B13" i="13" a="1"/>
  <c r="B13" i="13" s="1"/>
  <c r="B14" i="13" a="1"/>
  <c r="B14" i="13" s="1"/>
  <c r="B15" i="13" a="1"/>
  <c r="B15" i="13" s="1"/>
  <c r="B16" i="13" a="1"/>
  <c r="B16" i="13" s="1"/>
  <c r="B17" i="13" a="1"/>
  <c r="B17" i="13" s="1"/>
  <c r="B18" i="13" a="1"/>
  <c r="B18" i="13" s="1"/>
  <c r="B19" i="13" a="1"/>
  <c r="B19" i="13" s="1"/>
  <c r="B20" i="13" a="1"/>
  <c r="B20" i="13" s="1"/>
  <c r="B21" i="13" a="1"/>
  <c r="B21" i="13" s="1"/>
  <c r="B22" i="13" a="1"/>
  <c r="B22" i="13" s="1"/>
  <c r="B23" i="13" a="1"/>
  <c r="B23" i="13" s="1"/>
  <c r="B24" i="13" a="1"/>
  <c r="B24" i="13" s="1"/>
  <c r="B25" i="13" a="1"/>
  <c r="B25" i="13" s="1"/>
  <c r="B26" i="13" a="1"/>
  <c r="B26" i="13" s="1"/>
  <c r="B27" i="13" a="1"/>
  <c r="B27" i="13" s="1"/>
  <c r="B28" i="13" a="1"/>
  <c r="B28" i="13" s="1"/>
  <c r="B29" i="13" a="1"/>
  <c r="B29" i="13" s="1"/>
  <c r="B30" i="13" a="1"/>
  <c r="B30" i="13" s="1"/>
  <c r="B31" i="13" a="1"/>
  <c r="B31" i="13" s="1"/>
  <c r="B32" i="13" a="1"/>
  <c r="B32" i="13" s="1"/>
  <c r="B33" i="13" a="1"/>
  <c r="B33" i="13" s="1"/>
  <c r="B34" i="13" a="1"/>
  <c r="B34" i="13" s="1"/>
  <c r="B35" i="13" a="1"/>
  <c r="B35" i="13" s="1"/>
  <c r="B36" i="13" a="1"/>
  <c r="B36" i="13" s="1"/>
  <c r="B37" i="13" a="1"/>
  <c r="B37" i="13" s="1"/>
  <c r="B38" i="13" a="1"/>
  <c r="B38" i="13" s="1"/>
  <c r="B39" i="13" a="1"/>
  <c r="B39" i="13" s="1"/>
  <c r="B40" i="13" a="1"/>
  <c r="B40" i="13" s="1"/>
  <c r="B41" i="13" a="1"/>
  <c r="B41" i="13" s="1"/>
  <c r="B42" i="13" a="1"/>
  <c r="B42" i="13" s="1"/>
  <c r="B43" i="13" a="1"/>
  <c r="B43" i="13" s="1"/>
  <c r="B44" i="13" a="1"/>
  <c r="B44" i="13" s="1"/>
  <c r="B45" i="13" a="1"/>
  <c r="B45" i="13" s="1"/>
  <c r="B46" i="13" a="1"/>
  <c r="B46" i="13" s="1"/>
  <c r="B47" i="13" a="1"/>
  <c r="B47" i="13" s="1"/>
  <c r="B48" i="13" a="1"/>
  <c r="B48" i="13" s="1"/>
  <c r="B49" i="13" a="1"/>
  <c r="B49" i="13" s="1"/>
  <c r="B50" i="13" a="1"/>
  <c r="B50" i="13" s="1"/>
  <c r="B51" i="13" a="1"/>
  <c r="B51" i="13" s="1"/>
  <c r="B52" i="13" a="1"/>
  <c r="B52" i="13" s="1"/>
  <c r="B53" i="13" a="1"/>
  <c r="B53" i="13" s="1"/>
  <c r="B54" i="13" a="1"/>
  <c r="B54" i="13" s="1"/>
  <c r="B55" i="13" a="1"/>
  <c r="B55" i="13" s="1"/>
  <c r="B56" i="13" a="1"/>
  <c r="B56" i="13" s="1"/>
  <c r="B57" i="13" a="1"/>
  <c r="B57" i="13" s="1"/>
  <c r="B58" i="13" a="1"/>
  <c r="B58" i="13" s="1"/>
  <c r="B59" i="13" a="1"/>
  <c r="B59" i="13" s="1"/>
  <c r="B60" i="13" a="1"/>
  <c r="B60" i="13" s="1"/>
  <c r="B61" i="13" a="1"/>
  <c r="B61" i="13" s="1"/>
  <c r="B62" i="13" a="1"/>
  <c r="B62" i="13" s="1"/>
  <c r="B63" i="13" a="1"/>
  <c r="B63" i="13" s="1"/>
  <c r="B64" i="13" a="1"/>
  <c r="B64" i="13" s="1"/>
  <c r="B65" i="13" a="1"/>
  <c r="B65" i="13" s="1"/>
  <c r="B66" i="13" a="1"/>
  <c r="B66" i="13" s="1"/>
  <c r="B67" i="13" a="1"/>
  <c r="B67" i="13" s="1"/>
  <c r="B68" i="13" a="1"/>
  <c r="B68" i="13" s="1"/>
  <c r="B69" i="13" a="1"/>
  <c r="B69" i="13" s="1"/>
  <c r="B70" i="13" a="1"/>
  <c r="B70" i="13" s="1"/>
  <c r="B71" i="13" a="1"/>
  <c r="B71" i="13" s="1"/>
  <c r="B72" i="13" a="1"/>
  <c r="B72" i="13" s="1"/>
  <c r="B73" i="13" a="1"/>
  <c r="B73" i="13" s="1"/>
  <c r="B74" i="13" a="1"/>
  <c r="B74" i="13" s="1"/>
  <c r="B75" i="13" a="1"/>
  <c r="B75" i="13" s="1"/>
  <c r="B76" i="13" a="1"/>
  <c r="B76" i="13" s="1"/>
  <c r="B77" i="13" a="1"/>
  <c r="B77" i="13" s="1"/>
  <c r="B78" i="13" a="1"/>
  <c r="B78" i="13" s="1"/>
  <c r="B79" i="13" a="1"/>
  <c r="B79" i="13" s="1"/>
  <c r="B80" i="13" a="1"/>
  <c r="B80" i="13" s="1"/>
  <c r="B81" i="13" a="1"/>
  <c r="B81" i="13" s="1"/>
  <c r="B82" i="13" a="1"/>
  <c r="B82" i="13" s="1"/>
  <c r="B83" i="13" a="1"/>
  <c r="B83" i="13" s="1"/>
  <c r="B84" i="13" a="1"/>
  <c r="B84" i="13" s="1"/>
  <c r="B85" i="13" a="1"/>
  <c r="B85" i="13" s="1"/>
  <c r="B86" i="13" a="1"/>
  <c r="B86" i="13" s="1"/>
  <c r="B87" i="13" a="1"/>
  <c r="B87" i="13" s="1"/>
  <c r="B88" i="13" a="1"/>
  <c r="B88" i="13" s="1"/>
  <c r="B89" i="13" a="1"/>
  <c r="B89" i="13" s="1"/>
  <c r="B90" i="13" a="1"/>
  <c r="B90" i="13" s="1"/>
  <c r="B91" i="13" a="1"/>
  <c r="B91" i="13" s="1"/>
  <c r="B92" i="13" a="1"/>
  <c r="B92" i="13" s="1"/>
  <c r="B93" i="13" a="1"/>
  <c r="B93" i="13" s="1"/>
  <c r="B94" i="13" a="1"/>
  <c r="B94" i="13" s="1"/>
  <c r="B95" i="13" a="1"/>
  <c r="B95" i="13" s="1"/>
  <c r="B96" i="13" a="1"/>
  <c r="B96" i="13" s="1"/>
  <c r="B97" i="13" a="1"/>
  <c r="B97" i="13" s="1"/>
  <c r="B98" i="13" a="1"/>
  <c r="B98" i="13" s="1"/>
  <c r="B99" i="13" a="1"/>
  <c r="B99" i="13" s="1"/>
  <c r="B100" i="13" a="1"/>
  <c r="B100" i="13" s="1"/>
  <c r="B101" i="13" a="1"/>
  <c r="B101" i="13" s="1"/>
  <c r="B102" i="13" a="1"/>
  <c r="B102" i="13" s="1"/>
  <c r="B103" i="13" a="1"/>
  <c r="B103" i="13" s="1"/>
  <c r="B104" i="13" a="1"/>
  <c r="B104" i="13" s="1"/>
  <c r="B105" i="13" a="1"/>
  <c r="B105" i="13" s="1"/>
  <c r="B106" i="13" a="1"/>
  <c r="B106" i="13" s="1"/>
  <c r="B107" i="13" a="1"/>
  <c r="B107" i="13" s="1"/>
  <c r="B108" i="13" a="1"/>
  <c r="B108" i="13" s="1"/>
  <c r="B109" i="13" a="1"/>
  <c r="B109" i="13" s="1"/>
  <c r="B110" i="13" a="1"/>
  <c r="B110" i="13" s="1"/>
  <c r="B111" i="13" a="1"/>
  <c r="B111" i="13" s="1"/>
  <c r="B112" i="13" a="1"/>
  <c r="B112" i="13" s="1"/>
  <c r="B113" i="13" a="1"/>
  <c r="B113" i="13" s="1"/>
  <c r="B114" i="13" a="1"/>
  <c r="B114" i="13" s="1"/>
  <c r="B115" i="13" a="1"/>
  <c r="B115" i="13" s="1"/>
  <c r="B116" i="13" a="1"/>
  <c r="B116" i="13" s="1"/>
  <c r="B117" i="13" a="1"/>
  <c r="B117" i="13" s="1"/>
  <c r="B118" i="13" a="1"/>
  <c r="B118" i="13" s="1"/>
  <c r="B119" i="13" a="1"/>
  <c r="B119" i="13" s="1"/>
  <c r="B120" i="13" a="1"/>
  <c r="B120" i="13" s="1"/>
  <c r="B121" i="13" a="1"/>
  <c r="B121" i="13" s="1"/>
  <c r="B122" i="13" a="1"/>
  <c r="B122" i="13" s="1"/>
  <c r="B123" i="13" a="1"/>
  <c r="B123" i="13" s="1"/>
  <c r="B124" i="13" a="1"/>
  <c r="B124" i="13" s="1"/>
  <c r="B125" i="13" a="1"/>
  <c r="B125" i="13" s="1"/>
  <c r="B126" i="13" a="1"/>
  <c r="B126" i="13" s="1"/>
  <c r="B127" i="13" a="1"/>
  <c r="B127" i="13" s="1"/>
  <c r="B128" i="13" a="1"/>
  <c r="B128" i="13" s="1"/>
  <c r="B129" i="13" a="1"/>
  <c r="B129" i="13" s="1"/>
  <c r="B130" i="13" a="1"/>
  <c r="B130" i="13" s="1"/>
  <c r="B131" i="13" a="1"/>
  <c r="B131" i="13" s="1"/>
  <c r="B132" i="13" a="1"/>
  <c r="B132" i="13" s="1"/>
  <c r="B133" i="13" a="1"/>
  <c r="B133" i="13" s="1"/>
  <c r="B134" i="13" a="1"/>
  <c r="B134" i="13" s="1"/>
  <c r="B135" i="13" a="1"/>
  <c r="B135" i="13" s="1"/>
  <c r="B136" i="13" a="1"/>
  <c r="B136" i="13" s="1"/>
  <c r="B137" i="13" a="1"/>
  <c r="B137" i="13" s="1"/>
  <c r="B138" i="13" a="1"/>
  <c r="B138" i="13" s="1"/>
  <c r="B139" i="13" a="1"/>
  <c r="B139" i="13" s="1"/>
  <c r="B140" i="13" a="1"/>
  <c r="B140" i="13" s="1"/>
  <c r="B141" i="13" a="1"/>
  <c r="B141" i="13" s="1"/>
  <c r="B142" i="13" a="1"/>
  <c r="B142" i="13" s="1"/>
  <c r="B143" i="13" a="1"/>
  <c r="B143" i="13" s="1"/>
  <c r="B144" i="13" a="1"/>
  <c r="B144" i="13" s="1"/>
  <c r="B145" i="13" a="1"/>
  <c r="B145" i="13" s="1"/>
  <c r="B146" i="13" a="1"/>
  <c r="B146" i="13" s="1"/>
  <c r="B147" i="13" a="1"/>
  <c r="B147" i="13" s="1"/>
  <c r="B148" i="13" a="1"/>
  <c r="B148" i="13" s="1"/>
  <c r="B149" i="13" a="1"/>
  <c r="B149" i="13" s="1"/>
  <c r="B150" i="13" a="1"/>
  <c r="B150" i="13" s="1"/>
  <c r="B151" i="13" a="1"/>
  <c r="B151" i="13" s="1"/>
  <c r="B152" i="13" a="1"/>
  <c r="B152" i="13" s="1"/>
  <c r="B153" i="13" a="1"/>
  <c r="B153" i="13" s="1"/>
  <c r="B154" i="13" a="1"/>
  <c r="B154" i="13" s="1"/>
  <c r="B155" i="13" a="1"/>
  <c r="B155" i="13" s="1"/>
  <c r="B156" i="13" a="1"/>
  <c r="B156" i="13" s="1"/>
  <c r="B157" i="13" a="1"/>
  <c r="B157" i="13" s="1"/>
  <c r="B158" i="13" a="1"/>
  <c r="B158" i="13" s="1"/>
  <c r="B159" i="13" a="1"/>
  <c r="B159" i="13" s="1"/>
  <c r="B160" i="13" a="1"/>
  <c r="B160" i="13" s="1"/>
  <c r="B161" i="13" a="1"/>
  <c r="B161" i="13" s="1"/>
  <c r="B162" i="13" a="1"/>
  <c r="B162" i="13" s="1"/>
  <c r="B163" i="13" a="1"/>
  <c r="B163" i="13" s="1"/>
  <c r="B164" i="13" a="1"/>
  <c r="B164" i="13" s="1"/>
  <c r="B165" i="13" a="1"/>
  <c r="B165" i="13" s="1"/>
  <c r="B166" i="13" a="1"/>
  <c r="B166" i="13" s="1"/>
  <c r="B167" i="13" a="1"/>
  <c r="B167" i="13" s="1"/>
  <c r="B168" i="13" a="1"/>
  <c r="B168" i="13" s="1"/>
  <c r="B169" i="13" a="1"/>
  <c r="B169" i="13" s="1"/>
  <c r="B170" i="13" a="1"/>
  <c r="B170" i="13" s="1"/>
  <c r="B171" i="13" a="1"/>
  <c r="B171" i="13" s="1"/>
  <c r="B172" i="13" a="1"/>
  <c r="B172" i="13" s="1"/>
  <c r="B173" i="13" a="1"/>
  <c r="B173" i="13" s="1"/>
  <c r="B174" i="13" a="1"/>
  <c r="B174" i="13" s="1"/>
  <c r="B175" i="13" a="1"/>
  <c r="B175" i="13" s="1"/>
  <c r="B176" i="13" a="1"/>
  <c r="B176" i="13" s="1"/>
  <c r="B177" i="13" a="1"/>
  <c r="B177" i="13" s="1"/>
  <c r="B178" i="13" a="1"/>
  <c r="B178" i="13" s="1"/>
  <c r="B179" i="13" a="1"/>
  <c r="B179" i="13" s="1"/>
  <c r="B180" i="13" a="1"/>
  <c r="B180" i="13" s="1"/>
  <c r="B181" i="13" a="1"/>
  <c r="B181" i="13" s="1"/>
  <c r="B182" i="13" a="1"/>
  <c r="B182" i="13" s="1"/>
  <c r="B183" i="13" a="1"/>
  <c r="B183" i="13" s="1"/>
  <c r="B184" i="13" a="1"/>
  <c r="B184" i="13" s="1"/>
  <c r="B185" i="13" a="1"/>
  <c r="B185" i="13" s="1"/>
  <c r="B186" i="13" a="1"/>
  <c r="B186" i="13" s="1"/>
  <c r="B187" i="13" a="1"/>
  <c r="B187" i="13" s="1"/>
  <c r="B188" i="13" a="1"/>
  <c r="B188" i="13" s="1"/>
  <c r="B189" i="13" a="1"/>
  <c r="B189" i="13" s="1"/>
  <c r="B190" i="13" a="1"/>
  <c r="B190" i="13" s="1"/>
  <c r="B191" i="13" a="1"/>
  <c r="B191" i="13" s="1"/>
  <c r="B192" i="13" a="1"/>
  <c r="B192" i="13" s="1"/>
  <c r="B193" i="13" a="1"/>
  <c r="B193" i="13" s="1"/>
  <c r="B194" i="13" a="1"/>
  <c r="B194" i="13" s="1"/>
  <c r="B195" i="13" a="1"/>
  <c r="B195" i="13" s="1"/>
  <c r="B196" i="13" a="1"/>
  <c r="B196" i="13" s="1"/>
  <c r="B197" i="13" a="1"/>
  <c r="B197" i="13" s="1"/>
  <c r="B198" i="13" a="1"/>
  <c r="B198" i="13" s="1"/>
  <c r="B199" i="13" a="1"/>
  <c r="B199" i="13" s="1"/>
  <c r="B200" i="13" a="1"/>
  <c r="B200" i="13" s="1"/>
  <c r="B201" i="13" a="1"/>
  <c r="B201" i="13" s="1"/>
  <c r="B202" i="13" a="1"/>
  <c r="B202" i="13" s="1"/>
  <c r="B203" i="13" a="1"/>
  <c r="B203" i="13" s="1"/>
  <c r="B204" i="13" a="1"/>
  <c r="B204" i="13" s="1"/>
  <c r="B205" i="13" a="1"/>
  <c r="B205" i="13" s="1"/>
  <c r="B206" i="13" a="1"/>
  <c r="B206" i="13" s="1"/>
  <c r="B207" i="13" a="1"/>
  <c r="B207" i="13" s="1"/>
  <c r="B208" i="13" a="1"/>
  <c r="B208" i="13" s="1"/>
  <c r="B209" i="13" a="1"/>
  <c r="B209" i="13" s="1"/>
  <c r="B210" i="13" a="1"/>
  <c r="B210" i="13" s="1"/>
  <c r="B211" i="13" a="1"/>
  <c r="B211" i="13" s="1"/>
  <c r="B212" i="13" a="1"/>
  <c r="B212" i="13" s="1"/>
  <c r="B213" i="13" a="1"/>
  <c r="B213" i="13" s="1"/>
  <c r="B214" i="13" a="1"/>
  <c r="B214" i="13" s="1"/>
  <c r="B215" i="13" a="1"/>
  <c r="B215" i="13" s="1"/>
  <c r="B216" i="13" a="1"/>
  <c r="B216" i="13" s="1"/>
  <c r="B217" i="13" a="1"/>
  <c r="B217" i="13" s="1"/>
  <c r="B218" i="13" a="1"/>
  <c r="B218" i="13" s="1"/>
  <c r="B219" i="13" a="1"/>
  <c r="B219" i="13" s="1"/>
  <c r="B220" i="13" a="1"/>
  <c r="B220" i="13" s="1"/>
  <c r="B221" i="13" a="1"/>
  <c r="B221" i="13" s="1"/>
  <c r="B222" i="13" a="1"/>
  <c r="B222" i="13" s="1"/>
  <c r="B223" i="13" a="1"/>
  <c r="B223" i="13" s="1"/>
  <c r="B224" i="13" a="1"/>
  <c r="B224" i="13" s="1"/>
  <c r="B225" i="13" a="1"/>
  <c r="B225" i="13" s="1"/>
  <c r="B226" i="13" a="1"/>
  <c r="B226" i="13" s="1"/>
  <c r="B227" i="13" a="1"/>
  <c r="B227" i="13" s="1"/>
  <c r="B228" i="13" a="1"/>
  <c r="B228" i="13" s="1"/>
  <c r="B229" i="13" a="1"/>
  <c r="B229" i="13" s="1"/>
  <c r="B230" i="13" a="1"/>
  <c r="B230" i="13" s="1"/>
  <c r="B231" i="13" a="1"/>
  <c r="B231" i="13" s="1"/>
  <c r="B232" i="13" a="1"/>
  <c r="B232" i="13" s="1"/>
  <c r="B233" i="13" a="1"/>
  <c r="B233" i="13" s="1"/>
  <c r="B234" i="13" a="1"/>
  <c r="B234" i="13" s="1"/>
  <c r="B235" i="13" a="1"/>
  <c r="B235" i="13" s="1"/>
  <c r="B236" i="13" a="1"/>
  <c r="B236" i="13" s="1"/>
  <c r="B237" i="13" a="1"/>
  <c r="B237" i="13" s="1"/>
  <c r="B238" i="13" a="1"/>
  <c r="B238" i="13" s="1"/>
  <c r="B239" i="13" a="1"/>
  <c r="B239" i="13" s="1"/>
  <c r="B240" i="13" a="1"/>
  <c r="B240" i="13" s="1"/>
  <c r="B241" i="13" a="1"/>
  <c r="B241" i="13" s="1"/>
  <c r="B242" i="13" a="1"/>
  <c r="B242" i="13" s="1"/>
  <c r="B243" i="13" a="1"/>
  <c r="B243" i="13" s="1"/>
  <c r="B244" i="13" a="1"/>
  <c r="B244" i="13" s="1"/>
  <c r="B245" i="13" a="1"/>
  <c r="B245" i="13" s="1"/>
  <c r="B246" i="13" a="1"/>
  <c r="B246" i="13" s="1"/>
  <c r="B247" i="13" a="1"/>
  <c r="B247" i="13" s="1"/>
  <c r="B248" i="13" a="1"/>
  <c r="B248" i="13" s="1"/>
  <c r="B249" i="13" a="1"/>
  <c r="B249" i="13" s="1"/>
  <c r="B250" i="13" a="1"/>
  <c r="B250" i="13" s="1"/>
  <c r="B251" i="13" a="1"/>
  <c r="B251" i="13" s="1"/>
  <c r="B252" i="13" a="1"/>
  <c r="B252" i="13" s="1"/>
  <c r="B253" i="13" a="1"/>
  <c r="B253" i="13" s="1"/>
  <c r="B254" i="13" a="1"/>
  <c r="B254" i="13" s="1"/>
  <c r="B255" i="13" a="1"/>
  <c r="B255" i="13" s="1"/>
  <c r="B256" i="13" a="1"/>
  <c r="B256" i="13" s="1"/>
  <c r="B257" i="13" a="1"/>
  <c r="B257" i="13" s="1"/>
  <c r="B258" i="13" a="1"/>
  <c r="B258" i="13" s="1"/>
  <c r="B259" i="13" a="1"/>
  <c r="B259" i="13" s="1"/>
  <c r="B260" i="13" a="1"/>
  <c r="B260" i="13" s="1"/>
  <c r="B261" i="13" a="1"/>
  <c r="B261" i="13" s="1"/>
  <c r="B262" i="13" a="1"/>
  <c r="B262" i="13" s="1"/>
  <c r="B263" i="13" a="1"/>
  <c r="B263" i="13" s="1"/>
  <c r="B264" i="13" a="1"/>
  <c r="B264" i="13" s="1"/>
  <c r="B265" i="13" a="1"/>
  <c r="B265" i="13" s="1"/>
  <c r="B266" i="13" a="1"/>
  <c r="B266" i="13" s="1"/>
  <c r="B267" i="13" a="1"/>
  <c r="B267" i="13" s="1"/>
  <c r="B268" i="13" a="1"/>
  <c r="B268" i="13" s="1"/>
  <c r="B269" i="13" a="1"/>
  <c r="B269" i="13" s="1"/>
  <c r="B270" i="13" a="1"/>
  <c r="B270" i="13" s="1"/>
  <c r="B271" i="13" a="1"/>
  <c r="B271" i="13" s="1"/>
  <c r="B272" i="13" a="1"/>
  <c r="B272" i="13" s="1"/>
  <c r="B273" i="13" a="1"/>
  <c r="B273" i="13" s="1"/>
  <c r="B274" i="13" a="1"/>
  <c r="B274" i="13" s="1"/>
  <c r="B275" i="13" a="1"/>
  <c r="B275" i="13" s="1"/>
  <c r="B276" i="13" a="1"/>
  <c r="B276" i="13" s="1"/>
  <c r="B277" i="13" a="1"/>
  <c r="B277" i="13" s="1"/>
  <c r="B278" i="13" a="1"/>
  <c r="B278" i="13" s="1"/>
  <c r="B279" i="13" a="1"/>
  <c r="B279" i="13" s="1"/>
  <c r="B280" i="13" a="1"/>
  <c r="B280" i="13" s="1"/>
  <c r="B281" i="13" a="1"/>
  <c r="B281" i="13" s="1"/>
  <c r="B282" i="13" a="1"/>
  <c r="B282" i="13" s="1"/>
  <c r="B283" i="13" a="1"/>
  <c r="B283" i="13" s="1"/>
  <c r="B284" i="13" a="1"/>
  <c r="B284" i="13" s="1"/>
  <c r="B285" i="13" a="1"/>
  <c r="B285" i="13" s="1"/>
  <c r="B286" i="13" a="1"/>
  <c r="B286" i="13" s="1"/>
  <c r="B287" i="13" a="1"/>
  <c r="B287" i="13" s="1"/>
  <c r="B288" i="13" a="1"/>
  <c r="B288" i="13" s="1"/>
  <c r="B289" i="13" a="1"/>
  <c r="B289" i="13" s="1"/>
  <c r="B290" i="13" a="1"/>
  <c r="B290" i="13" s="1"/>
  <c r="B291" i="13" a="1"/>
  <c r="B291" i="13" s="1"/>
  <c r="B292" i="13" a="1"/>
  <c r="B292" i="13" s="1"/>
  <c r="B293" i="13" a="1"/>
  <c r="B293" i="13" s="1"/>
  <c r="B294" i="13" a="1"/>
  <c r="B294" i="13" s="1"/>
  <c r="B295" i="13" a="1"/>
  <c r="B295" i="13" s="1"/>
  <c r="B296" i="13" a="1"/>
  <c r="B296" i="13" s="1"/>
  <c r="B297" i="13" a="1"/>
  <c r="B297" i="13" s="1"/>
  <c r="B298" i="13" a="1"/>
  <c r="B298" i="13" s="1"/>
  <c r="B299" i="13" a="1"/>
  <c r="B299" i="13" s="1"/>
  <c r="B300" i="13" a="1"/>
  <c r="B300" i="13" s="1"/>
  <c r="B301" i="13" a="1"/>
  <c r="B301" i="13" s="1"/>
  <c r="B302" i="13" a="1"/>
  <c r="B302" i="13" s="1"/>
  <c r="B303" i="13" a="1"/>
  <c r="B303" i="13" s="1"/>
  <c r="B304" i="13" a="1"/>
  <c r="B304" i="13" s="1"/>
  <c r="B305" i="13" a="1"/>
  <c r="B305" i="13" s="1"/>
  <c r="B306" i="13" a="1"/>
  <c r="B306" i="13" s="1"/>
  <c r="B307" i="13" a="1"/>
  <c r="B307" i="13" s="1"/>
  <c r="B308" i="13" a="1"/>
  <c r="B308" i="13" s="1"/>
  <c r="B309" i="13" a="1"/>
  <c r="B309" i="13" s="1"/>
  <c r="B310" i="13" a="1"/>
  <c r="B310" i="13" s="1"/>
  <c r="B311" i="13" a="1"/>
  <c r="B311" i="13" s="1"/>
  <c r="B312" i="13" a="1"/>
  <c r="B312" i="13" s="1"/>
  <c r="B313" i="13" a="1"/>
  <c r="B313" i="13" s="1"/>
  <c r="B314" i="13" a="1"/>
  <c r="B314" i="13" s="1"/>
  <c r="B315" i="13" a="1"/>
  <c r="B315" i="13" s="1"/>
  <c r="B316" i="13" a="1"/>
  <c r="B316" i="13" s="1"/>
  <c r="B317" i="13" a="1"/>
  <c r="B317" i="13" s="1"/>
  <c r="B318" i="13" a="1"/>
  <c r="B318" i="13" s="1"/>
  <c r="B319" i="13" a="1"/>
  <c r="B319" i="13" s="1"/>
  <c r="B320" i="13" a="1"/>
  <c r="B320" i="13" s="1"/>
  <c r="B321" i="13" a="1"/>
  <c r="B321" i="13" s="1"/>
  <c r="B322" i="13" a="1"/>
  <c r="B322" i="13" s="1"/>
  <c r="B323" i="13" a="1"/>
  <c r="B323" i="13" s="1"/>
  <c r="B324" i="13" a="1"/>
  <c r="B324" i="13" s="1"/>
  <c r="B325" i="13" a="1"/>
  <c r="B325" i="13" s="1"/>
  <c r="B326" i="13" a="1"/>
  <c r="B326" i="13" s="1"/>
  <c r="B327" i="13" a="1"/>
  <c r="B327" i="13" s="1"/>
  <c r="B328" i="13" a="1"/>
  <c r="B328" i="13" s="1"/>
  <c r="B329" i="13" a="1"/>
  <c r="B329" i="13" s="1"/>
  <c r="B330" i="13" a="1"/>
  <c r="B330" i="13" s="1"/>
  <c r="B331" i="13" a="1"/>
  <c r="B331" i="13" s="1"/>
  <c r="B332" i="13" a="1"/>
  <c r="B332" i="13" s="1"/>
  <c r="B333" i="13" a="1"/>
  <c r="B333" i="13" s="1"/>
  <c r="B334" i="13" a="1"/>
  <c r="B334" i="13" s="1"/>
  <c r="B335" i="13" a="1"/>
  <c r="B335" i="13" s="1"/>
  <c r="B336" i="13" a="1"/>
  <c r="B336" i="13" s="1"/>
  <c r="B337" i="13" a="1"/>
  <c r="B337" i="13" s="1"/>
  <c r="B338" i="13" a="1"/>
  <c r="B338" i="13" s="1"/>
  <c r="B339" i="13" a="1"/>
  <c r="B339" i="13" s="1"/>
  <c r="B340" i="13" a="1"/>
  <c r="B340" i="13" s="1"/>
  <c r="B341" i="13" a="1"/>
  <c r="B341" i="13" s="1"/>
  <c r="B342" i="13" a="1"/>
  <c r="B342" i="13" s="1"/>
  <c r="B343" i="13" a="1"/>
  <c r="B343" i="13" s="1"/>
  <c r="B344" i="13" a="1"/>
  <c r="B344" i="13" s="1"/>
  <c r="B345" i="13" a="1"/>
  <c r="B345" i="13" s="1"/>
  <c r="B346" i="13" a="1"/>
  <c r="B346" i="13" s="1"/>
  <c r="B347" i="13" a="1"/>
  <c r="B347" i="13" s="1"/>
  <c r="B348" i="13" a="1"/>
  <c r="B348" i="13" s="1"/>
  <c r="B349" i="13" a="1"/>
  <c r="B349" i="13" s="1"/>
  <c r="B350" i="13" a="1"/>
  <c r="B350" i="13" s="1"/>
  <c r="B351" i="13" a="1"/>
  <c r="B351" i="13" s="1"/>
  <c r="B352" i="13" a="1"/>
  <c r="B352" i="13" s="1"/>
  <c r="B353" i="13" a="1"/>
  <c r="B353" i="13" s="1"/>
  <c r="B354" i="13" a="1"/>
  <c r="B354" i="13" s="1"/>
  <c r="B355" i="13" a="1"/>
  <c r="B355" i="13" s="1"/>
  <c r="B356" i="13" a="1"/>
  <c r="B356" i="13" s="1"/>
  <c r="B357" i="13" a="1"/>
  <c r="B357" i="13" s="1"/>
  <c r="B358" i="13" a="1"/>
  <c r="B358" i="13" s="1"/>
  <c r="B359" i="13" a="1"/>
  <c r="B359" i="13" s="1"/>
  <c r="B360" i="13" a="1"/>
  <c r="B360" i="13" s="1"/>
  <c r="B361" i="13" a="1"/>
  <c r="B361" i="13" s="1"/>
  <c r="B362" i="13" a="1"/>
  <c r="B362" i="13" s="1"/>
  <c r="B363" i="13" a="1"/>
  <c r="B363" i="13" s="1"/>
  <c r="B364" i="13" a="1"/>
  <c r="B364" i="13" s="1"/>
  <c r="B365" i="13" a="1"/>
  <c r="B365" i="13" s="1"/>
  <c r="B366" i="13" a="1"/>
  <c r="B366" i="13" s="1"/>
  <c r="B367" i="13" a="1"/>
  <c r="B367" i="13" s="1"/>
  <c r="B368" i="13" a="1"/>
  <c r="B368" i="13" s="1"/>
  <c r="B369" i="13" a="1"/>
  <c r="B369" i="13" s="1"/>
  <c r="B370" i="13" a="1"/>
  <c r="B370" i="13" s="1"/>
  <c r="B371" i="13" a="1"/>
  <c r="B371" i="13" s="1"/>
  <c r="B372" i="13" a="1"/>
  <c r="B372" i="13" s="1"/>
  <c r="B373" i="13" a="1"/>
  <c r="B373" i="13" s="1"/>
  <c r="B374" i="13" a="1"/>
  <c r="B374" i="13" s="1"/>
  <c r="B375" i="13" a="1"/>
  <c r="B375" i="13" s="1"/>
  <c r="B376" i="13" a="1"/>
  <c r="B376" i="13" s="1"/>
  <c r="B377" i="13" a="1"/>
  <c r="B377" i="13" s="1"/>
  <c r="B378" i="13" a="1"/>
  <c r="B378" i="13" s="1"/>
  <c r="B379" i="13" a="1"/>
  <c r="B379" i="13" s="1"/>
  <c r="B380" i="13" a="1"/>
  <c r="B380" i="13" s="1"/>
  <c r="B381" i="13" a="1"/>
  <c r="B381" i="13" s="1"/>
  <c r="B382" i="13" a="1"/>
  <c r="B382" i="13" s="1"/>
  <c r="B383" i="13" a="1"/>
  <c r="B383" i="13" s="1"/>
  <c r="B384" i="13" a="1"/>
  <c r="B384" i="13" s="1"/>
  <c r="B385" i="13" a="1"/>
  <c r="B385" i="13" s="1"/>
  <c r="B386" i="13" a="1"/>
  <c r="B386" i="13" s="1"/>
  <c r="B387" i="13" a="1"/>
  <c r="B387" i="13" s="1"/>
  <c r="B388" i="13" a="1"/>
  <c r="B388" i="13" s="1"/>
  <c r="B389" i="13" a="1"/>
  <c r="B389" i="13" s="1"/>
  <c r="B390" i="13" a="1"/>
  <c r="B390" i="13" s="1"/>
  <c r="B391" i="13" a="1"/>
  <c r="B391" i="13" s="1"/>
  <c r="B392" i="13" a="1"/>
  <c r="B392" i="13" s="1"/>
  <c r="B393" i="13" a="1"/>
  <c r="B393" i="13" s="1"/>
  <c r="B394" i="13" a="1"/>
  <c r="B394" i="13" s="1"/>
  <c r="B395" i="13" a="1"/>
  <c r="B395" i="13" s="1"/>
  <c r="B396" i="13" a="1"/>
  <c r="B396" i="13" s="1"/>
  <c r="B397" i="13" a="1"/>
  <c r="B397" i="13" s="1"/>
  <c r="B398" i="13" a="1"/>
  <c r="B398" i="13" s="1"/>
  <c r="B399" i="13" a="1"/>
  <c r="B399" i="13" s="1"/>
  <c r="B400" i="13" a="1"/>
  <c r="B400" i="13" s="1"/>
  <c r="B401" i="13" a="1"/>
  <c r="B401" i="13" s="1"/>
  <c r="B402" i="13" a="1"/>
  <c r="B402" i="13" s="1"/>
  <c r="B403" i="13" a="1"/>
  <c r="B403" i="13" s="1"/>
  <c r="B404" i="13" a="1"/>
  <c r="B404" i="13" s="1"/>
  <c r="B405" i="13" a="1"/>
  <c r="B405" i="13" s="1"/>
  <c r="B406" i="13" a="1"/>
  <c r="B406" i="13" s="1"/>
  <c r="B407" i="13" a="1"/>
  <c r="B407" i="13" s="1"/>
  <c r="B408" i="13" a="1"/>
  <c r="B408" i="13" s="1"/>
  <c r="B409" i="13" a="1"/>
  <c r="B409" i="13" s="1"/>
  <c r="B410" i="13" a="1"/>
  <c r="B410" i="13" s="1"/>
  <c r="B411" i="13" a="1"/>
  <c r="B411" i="13" s="1"/>
  <c r="B412" i="13" a="1"/>
  <c r="B412" i="13" s="1"/>
  <c r="B413" i="13" a="1"/>
  <c r="B413" i="13" s="1"/>
  <c r="B414" i="13" a="1"/>
  <c r="B414" i="13" s="1"/>
  <c r="B415" i="13" a="1"/>
  <c r="B415" i="13" s="1"/>
  <c r="B416" i="13" a="1"/>
  <c r="B416" i="13" s="1"/>
  <c r="B417" i="13" a="1"/>
  <c r="B417" i="13" s="1"/>
  <c r="B418" i="13" a="1"/>
  <c r="B418" i="13" s="1"/>
  <c r="B419" i="13" a="1"/>
  <c r="B419" i="13" s="1"/>
  <c r="B420" i="13" a="1"/>
  <c r="B420" i="13" s="1"/>
  <c r="B421" i="13" a="1"/>
  <c r="B421" i="13" s="1"/>
  <c r="B422" i="13" a="1"/>
  <c r="B422" i="13" s="1"/>
  <c r="B423" i="13" a="1"/>
  <c r="B423" i="13" s="1"/>
  <c r="B424" i="13" a="1"/>
  <c r="B424" i="13" s="1"/>
  <c r="B425" i="13" a="1"/>
  <c r="B425" i="13" s="1"/>
  <c r="B426" i="13" a="1"/>
  <c r="B426" i="13" s="1"/>
  <c r="B427" i="13" a="1"/>
  <c r="B427" i="13" s="1"/>
  <c r="B428" i="13" a="1"/>
  <c r="B428" i="13" s="1"/>
  <c r="B429" i="13" a="1"/>
  <c r="B429" i="13" s="1"/>
  <c r="B430" i="13" a="1"/>
  <c r="B430" i="13" s="1"/>
  <c r="B431" i="13" a="1"/>
  <c r="B431" i="13" s="1"/>
  <c r="B432" i="13" a="1"/>
  <c r="B432" i="13" s="1"/>
  <c r="B433" i="13" a="1"/>
  <c r="B433" i="13" s="1"/>
  <c r="B434" i="13" a="1"/>
  <c r="B434" i="13" s="1"/>
  <c r="B435" i="13" a="1"/>
  <c r="B435" i="13" s="1"/>
  <c r="B436" i="13" a="1"/>
  <c r="B436" i="13" s="1"/>
  <c r="B437" i="13" a="1"/>
  <c r="B437" i="13" s="1"/>
  <c r="B438" i="13" a="1"/>
  <c r="B438" i="13" s="1"/>
  <c r="B439" i="13" a="1"/>
  <c r="B439" i="13" s="1"/>
  <c r="B440" i="13" a="1"/>
  <c r="B440" i="13" s="1"/>
  <c r="B441" i="13" a="1"/>
  <c r="B441" i="13" s="1"/>
  <c r="B6" i="13" a="1"/>
  <c r="B6" i="13" s="1"/>
  <c r="I290" i="13" l="1"/>
  <c r="I266" i="13"/>
  <c r="I256" i="13"/>
  <c r="I240" i="13"/>
  <c r="I6" i="13"/>
  <c r="I438" i="13"/>
  <c r="I434" i="13"/>
  <c r="I430" i="13"/>
  <c r="I426" i="13"/>
  <c r="I422" i="13"/>
  <c r="I418" i="13"/>
  <c r="I414" i="13"/>
  <c r="I410" i="13"/>
  <c r="I406" i="13"/>
  <c r="I402" i="13"/>
  <c r="I398" i="13"/>
  <c r="I394" i="13"/>
  <c r="I390" i="13"/>
  <c r="I386" i="13"/>
  <c r="I382" i="13"/>
  <c r="I378" i="13"/>
  <c r="I374" i="13"/>
  <c r="I370" i="13"/>
  <c r="I366" i="13"/>
  <c r="I362" i="13"/>
  <c r="I358" i="13"/>
  <c r="I354" i="13"/>
  <c r="I350" i="13"/>
  <c r="I346" i="13"/>
  <c r="I342" i="13"/>
  <c r="I338" i="13"/>
  <c r="I334" i="13"/>
  <c r="I330" i="13"/>
  <c r="I326" i="13"/>
  <c r="I322" i="13"/>
  <c r="I318" i="13"/>
  <c r="I314" i="13"/>
  <c r="I310" i="13"/>
  <c r="I306" i="13"/>
  <c r="I302" i="13"/>
  <c r="I298" i="13"/>
  <c r="I294" i="13"/>
  <c r="I287" i="13"/>
  <c r="I283" i="13"/>
  <c r="I279" i="13"/>
  <c r="I275" i="13"/>
  <c r="I271" i="13"/>
  <c r="I267" i="13"/>
  <c r="I264" i="13"/>
  <c r="I260" i="13"/>
  <c r="I253" i="13"/>
  <c r="I249" i="13"/>
  <c r="I245" i="13"/>
  <c r="I241" i="13"/>
  <c r="I238" i="13"/>
  <c r="I234" i="13"/>
  <c r="I223" i="13"/>
  <c r="I211" i="13"/>
  <c r="I200" i="13"/>
  <c r="I196" i="13"/>
  <c r="I192" i="13"/>
  <c r="I184" i="13"/>
  <c r="I180" i="13"/>
  <c r="I168" i="13"/>
  <c r="I164" i="13"/>
  <c r="I152" i="13"/>
  <c r="I136" i="13"/>
  <c r="I120" i="13"/>
  <c r="I104" i="13"/>
  <c r="I88" i="13"/>
  <c r="I72" i="13"/>
  <c r="I46" i="13"/>
  <c r="I30" i="13"/>
  <c r="I441" i="13"/>
  <c r="I437" i="13"/>
  <c r="I433" i="13"/>
  <c r="I429" i="13"/>
  <c r="I425" i="13"/>
  <c r="I421" i="13"/>
  <c r="I417" i="13"/>
  <c r="I413" i="13"/>
  <c r="I409" i="13"/>
  <c r="I405" i="13"/>
  <c r="I401" i="13"/>
  <c r="I397" i="13"/>
  <c r="I393" i="13"/>
  <c r="I389" i="13"/>
  <c r="I385" i="13"/>
  <c r="I381" i="13"/>
  <c r="I377" i="13"/>
  <c r="I373" i="13"/>
  <c r="I369" i="13"/>
  <c r="I365" i="13"/>
  <c r="I361" i="13"/>
  <c r="I357" i="13"/>
  <c r="I353" i="13"/>
  <c r="I349" i="13"/>
  <c r="I345" i="13"/>
  <c r="I341" i="13"/>
  <c r="I337" i="13"/>
  <c r="I333" i="13"/>
  <c r="I329" i="13"/>
  <c r="I325" i="13"/>
  <c r="I321" i="13"/>
  <c r="I317" i="13"/>
  <c r="I313" i="13"/>
  <c r="I309" i="13"/>
  <c r="I305" i="13"/>
  <c r="I301" i="13"/>
  <c r="I297" i="13"/>
  <c r="I293" i="13"/>
  <c r="I286" i="13"/>
  <c r="I282" i="13"/>
  <c r="I278" i="13"/>
  <c r="I274" i="13"/>
  <c r="I270" i="13"/>
  <c r="I263" i="13"/>
  <c r="I259" i="13"/>
  <c r="I252" i="13"/>
  <c r="I248" i="13"/>
  <c r="I244" i="13"/>
  <c r="I237" i="13"/>
  <c r="I233" i="13"/>
  <c r="I229" i="13"/>
  <c r="I222" i="13"/>
  <c r="I218" i="13"/>
  <c r="I207" i="13"/>
  <c r="I195" i="13"/>
  <c r="I191" i="13"/>
  <c r="I179" i="13"/>
  <c r="I175" i="13"/>
  <c r="I163" i="13"/>
  <c r="I159" i="13"/>
  <c r="I147" i="13"/>
  <c r="I131" i="13"/>
  <c r="I115" i="13"/>
  <c r="I99" i="13"/>
  <c r="I83" i="13"/>
  <c r="I56" i="13"/>
  <c r="I8" i="13"/>
  <c r="I440" i="13"/>
  <c r="I436" i="13"/>
  <c r="I432" i="13"/>
  <c r="I428" i="13"/>
  <c r="I424" i="13"/>
  <c r="I420" i="13"/>
  <c r="I416" i="13"/>
  <c r="I412" i="13"/>
  <c r="I408" i="13"/>
  <c r="I404" i="13"/>
  <c r="I400" i="13"/>
  <c r="I396" i="13"/>
  <c r="I392" i="13"/>
  <c r="I388" i="13"/>
  <c r="I384" i="13"/>
  <c r="I380" i="13"/>
  <c r="I376" i="13"/>
  <c r="I372" i="13"/>
  <c r="I368" i="13"/>
  <c r="I364" i="13"/>
  <c r="I360" i="13"/>
  <c r="I356" i="13"/>
  <c r="I352" i="13"/>
  <c r="I348" i="13"/>
  <c r="I344" i="13"/>
  <c r="I340" i="13"/>
  <c r="I336" i="13"/>
  <c r="I332" i="13"/>
  <c r="I328" i="13"/>
  <c r="I324" i="13"/>
  <c r="I320" i="13"/>
  <c r="I316" i="13"/>
  <c r="I312" i="13"/>
  <c r="I308" i="13"/>
  <c r="I304" i="13"/>
  <c r="I300" i="13"/>
  <c r="I296" i="13"/>
  <c r="I292" i="13"/>
  <c r="I289" i="13"/>
  <c r="I285" i="13"/>
  <c r="I281" i="13"/>
  <c r="I277" i="13"/>
  <c r="I273" i="13"/>
  <c r="I269" i="13"/>
  <c r="I262" i="13"/>
  <c r="I258" i="13"/>
  <c r="I255" i="13"/>
  <c r="I251" i="13"/>
  <c r="I247" i="13"/>
  <c r="I243" i="13"/>
  <c r="I236" i="13"/>
  <c r="I232" i="13"/>
  <c r="I228" i="13"/>
  <c r="I224" i="13"/>
  <c r="I221" i="13"/>
  <c r="I217" i="13"/>
  <c r="I213" i="13"/>
  <c r="I206" i="13"/>
  <c r="I202" i="13"/>
  <c r="I190" i="13"/>
  <c r="I186" i="13"/>
  <c r="I174" i="13"/>
  <c r="I170" i="13"/>
  <c r="I158" i="13"/>
  <c r="I142" i="13"/>
  <c r="I134" i="13"/>
  <c r="I126" i="13"/>
  <c r="I110" i="13"/>
  <c r="I102" i="13"/>
  <c r="I94" i="13"/>
  <c r="I78" i="13"/>
  <c r="I67" i="13"/>
  <c r="I40" i="13"/>
  <c r="I32" i="13"/>
  <c r="I24" i="13"/>
  <c r="I16" i="13"/>
  <c r="I439" i="13"/>
  <c r="I435" i="13"/>
  <c r="I431" i="13"/>
  <c r="I427" i="13"/>
  <c r="I423" i="13"/>
  <c r="I419" i="13"/>
  <c r="I415" i="13"/>
  <c r="I411" i="13"/>
  <c r="I407" i="13"/>
  <c r="I403" i="13"/>
  <c r="I399" i="13"/>
  <c r="I395" i="13"/>
  <c r="I391" i="13"/>
  <c r="I387" i="13"/>
  <c r="I383" i="13"/>
  <c r="I379" i="13"/>
  <c r="I375" i="13"/>
  <c r="I371" i="13"/>
  <c r="I367" i="13"/>
  <c r="I363" i="13"/>
  <c r="I359" i="13"/>
  <c r="I355" i="13"/>
  <c r="I351" i="13"/>
  <c r="I347" i="13"/>
  <c r="I343" i="13"/>
  <c r="I339" i="13"/>
  <c r="I335" i="13"/>
  <c r="I331" i="13"/>
  <c r="I327" i="13"/>
  <c r="I323" i="13"/>
  <c r="I319" i="13"/>
  <c r="I315" i="13"/>
  <c r="I311" i="13"/>
  <c r="I307" i="13"/>
  <c r="I303" i="13"/>
  <c r="I299" i="13"/>
  <c r="I295" i="13"/>
  <c r="I291" i="13"/>
  <c r="I288" i="13"/>
  <c r="I284" i="13"/>
  <c r="I280" i="13"/>
  <c r="I276" i="13"/>
  <c r="I272" i="13"/>
  <c r="I268" i="13"/>
  <c r="I265" i="13"/>
  <c r="I261" i="13"/>
  <c r="I257" i="13"/>
  <c r="I254" i="13"/>
  <c r="I250" i="13"/>
  <c r="I246" i="13"/>
  <c r="I242" i="13"/>
  <c r="I239" i="13"/>
  <c r="I235" i="13"/>
  <c r="I231" i="13"/>
  <c r="I227" i="13"/>
  <c r="I216" i="13"/>
  <c r="I212" i="13"/>
  <c r="I62" i="13"/>
  <c r="I51" i="13"/>
  <c r="I209" i="13"/>
  <c r="I198" i="13"/>
  <c r="I194" i="13"/>
  <c r="I187" i="13"/>
  <c r="I183" i="13"/>
  <c r="I171" i="13"/>
  <c r="I167" i="13"/>
  <c r="I155" i="13"/>
  <c r="I148" i="13"/>
  <c r="I144" i="13"/>
  <c r="I140" i="13"/>
  <c r="I133" i="13"/>
  <c r="I129" i="13"/>
  <c r="I125" i="13"/>
  <c r="I121" i="13"/>
  <c r="I117" i="13"/>
  <c r="I113" i="13"/>
  <c r="I109" i="13"/>
  <c r="I105" i="13"/>
  <c r="I98" i="13"/>
  <c r="I90" i="13"/>
  <c r="I86" i="13"/>
  <c r="I82" i="13"/>
  <c r="I74" i="13"/>
  <c r="I70" i="13"/>
  <c r="I63" i="13"/>
  <c r="I59" i="13"/>
  <c r="I55" i="13"/>
  <c r="I52" i="13"/>
  <c r="I48" i="13"/>
  <c r="I44" i="13"/>
  <c r="I36" i="13"/>
  <c r="I29" i="13"/>
  <c r="I25" i="13"/>
  <c r="I21" i="13"/>
  <c r="I17" i="13"/>
  <c r="I12" i="13"/>
  <c r="I220" i="13"/>
  <c r="I208" i="13"/>
  <c r="I205" i="13"/>
  <c r="I201" i="13"/>
  <c r="I197" i="13"/>
  <c r="I193" i="13"/>
  <c r="I182" i="13"/>
  <c r="I178" i="13"/>
  <c r="I166" i="13"/>
  <c r="I162" i="13"/>
  <c r="I154" i="13"/>
  <c r="I151" i="13"/>
  <c r="I143" i="13"/>
  <c r="I139" i="13"/>
  <c r="I135" i="13"/>
  <c r="I132" i="13"/>
  <c r="I128" i="13"/>
  <c r="I124" i="13"/>
  <c r="I116" i="13"/>
  <c r="I112" i="13"/>
  <c r="I108" i="13"/>
  <c r="I101" i="13"/>
  <c r="I97" i="13"/>
  <c r="I93" i="13"/>
  <c r="I89" i="13"/>
  <c r="I85" i="13"/>
  <c r="I81" i="13"/>
  <c r="I77" i="13"/>
  <c r="I73" i="13"/>
  <c r="I66" i="13"/>
  <c r="I58" i="13"/>
  <c r="I54" i="13"/>
  <c r="I47" i="13"/>
  <c r="I43" i="13"/>
  <c r="I39" i="13"/>
  <c r="I35" i="13"/>
  <c r="I31" i="13"/>
  <c r="I28" i="13"/>
  <c r="I20" i="13"/>
  <c r="I11" i="13"/>
  <c r="I7" i="13"/>
  <c r="I230" i="13"/>
  <c r="I226" i="13"/>
  <c r="I219" i="13"/>
  <c r="I215" i="13"/>
  <c r="I204" i="13"/>
  <c r="I189" i="13"/>
  <c r="I185" i="13"/>
  <c r="I181" i="13"/>
  <c r="I177" i="13"/>
  <c r="I173" i="13"/>
  <c r="I169" i="13"/>
  <c r="I165" i="13"/>
  <c r="I161" i="13"/>
  <c r="I157" i="13"/>
  <c r="I153" i="13"/>
  <c r="I150" i="13"/>
  <c r="I146" i="13"/>
  <c r="I138" i="13"/>
  <c r="I127" i="13"/>
  <c r="I123" i="13"/>
  <c r="I119" i="13"/>
  <c r="I111" i="13"/>
  <c r="I107" i="13"/>
  <c r="I103" i="13"/>
  <c r="I100" i="13"/>
  <c r="I96" i="13"/>
  <c r="I92" i="13"/>
  <c r="I84" i="13"/>
  <c r="I80" i="13"/>
  <c r="I76" i="13"/>
  <c r="I69" i="13"/>
  <c r="I65" i="13"/>
  <c r="I61" i="13"/>
  <c r="I57" i="13"/>
  <c r="I50" i="13"/>
  <c r="I42" i="13"/>
  <c r="I38" i="13"/>
  <c r="I34" i="13"/>
  <c r="I27" i="13"/>
  <c r="I23" i="13"/>
  <c r="I19" i="13"/>
  <c r="I15" i="13"/>
  <c r="I10" i="13"/>
  <c r="I14" i="13"/>
  <c r="I225" i="13"/>
  <c r="I214" i="13"/>
  <c r="I210" i="13"/>
  <c r="I203" i="13"/>
  <c r="I199" i="13"/>
  <c r="I188" i="13"/>
  <c r="I176" i="13"/>
  <c r="I172" i="13"/>
  <c r="I160" i="13"/>
  <c r="I156" i="13"/>
  <c r="I149" i="13"/>
  <c r="I145" i="13"/>
  <c r="I141" i="13"/>
  <c r="I137" i="13"/>
  <c r="I130" i="13"/>
  <c r="I122" i="13"/>
  <c r="I118" i="13"/>
  <c r="I114" i="13"/>
  <c r="I106" i="13"/>
  <c r="I95" i="13"/>
  <c r="I91" i="13"/>
  <c r="I87" i="13"/>
  <c r="I79" i="13"/>
  <c r="I75" i="13"/>
  <c r="I71" i="13"/>
  <c r="I68" i="13"/>
  <c r="I64" i="13"/>
  <c r="I60" i="13"/>
  <c r="I53" i="13"/>
  <c r="I49" i="13"/>
  <c r="I45" i="13"/>
  <c r="I41" i="13"/>
  <c r="I37" i="13"/>
  <c r="I33" i="13"/>
  <c r="I26" i="13"/>
  <c r="I22" i="13"/>
  <c r="I18" i="13"/>
  <c r="I13" i="13"/>
  <c r="I9" i="13"/>
  <c r="E278" i="13"/>
  <c r="J278" i="13" s="1"/>
  <c r="D440" i="13"/>
  <c r="D436" i="13"/>
  <c r="D432" i="13"/>
  <c r="D428" i="13"/>
  <c r="D424" i="13"/>
  <c r="D420" i="13"/>
  <c r="D416" i="13"/>
  <c r="D412" i="13"/>
  <c r="D408" i="13"/>
  <c r="D404" i="13"/>
  <c r="D400" i="13"/>
  <c r="D396" i="13"/>
  <c r="D392" i="13"/>
  <c r="D388" i="13"/>
  <c r="D384" i="13"/>
  <c r="D380" i="13"/>
  <c r="D376" i="13"/>
  <c r="D372" i="13"/>
  <c r="D368" i="13"/>
  <c r="D236" i="13"/>
  <c r="D162" i="13"/>
  <c r="D98" i="13"/>
  <c r="D439" i="13"/>
  <c r="D435" i="13"/>
  <c r="D431" i="13"/>
  <c r="D427" i="13"/>
  <c r="D423" i="13"/>
  <c r="D419" i="13"/>
  <c r="D415" i="13"/>
  <c r="D411" i="13"/>
  <c r="D407" i="13"/>
  <c r="D403" i="13"/>
  <c r="D399" i="13"/>
  <c r="D395" i="13"/>
  <c r="D391" i="13"/>
  <c r="D387" i="13"/>
  <c r="D383" i="13"/>
  <c r="D379" i="13"/>
  <c r="D252" i="13"/>
  <c r="D188" i="13"/>
  <c r="D114" i="13"/>
  <c r="D10" i="13"/>
  <c r="D6" i="13"/>
  <c r="D438" i="13"/>
  <c r="D434" i="13"/>
  <c r="D430" i="13"/>
  <c r="D426" i="13"/>
  <c r="D422" i="13"/>
  <c r="D418" i="13"/>
  <c r="D414" i="13"/>
  <c r="D410" i="13"/>
  <c r="D406" i="13"/>
  <c r="D402" i="13"/>
  <c r="D398" i="13"/>
  <c r="D394" i="13"/>
  <c r="D268" i="13"/>
  <c r="D204" i="13"/>
  <c r="D130" i="13"/>
  <c r="D38" i="13"/>
  <c r="D441" i="13"/>
  <c r="D437" i="13"/>
  <c r="D433" i="13"/>
  <c r="D429" i="13"/>
  <c r="D425" i="13"/>
  <c r="D421" i="13"/>
  <c r="D417" i="13"/>
  <c r="D413" i="13"/>
  <c r="D409" i="13"/>
  <c r="D284" i="13"/>
  <c r="D220" i="13"/>
  <c r="D146" i="13"/>
  <c r="D70" i="13"/>
  <c r="D364" i="13"/>
  <c r="D360" i="13"/>
  <c r="D356" i="13"/>
  <c r="D352" i="13"/>
  <c r="D348" i="13"/>
  <c r="D344" i="13"/>
  <c r="D340" i="13"/>
  <c r="D336" i="13"/>
  <c r="D332" i="13"/>
  <c r="D328" i="13"/>
  <c r="D324" i="13"/>
  <c r="D320" i="13"/>
  <c r="D316" i="13"/>
  <c r="D312" i="13"/>
  <c r="D308" i="13"/>
  <c r="D304" i="13"/>
  <c r="D300" i="13"/>
  <c r="D297" i="13"/>
  <c r="D293" i="13"/>
  <c r="D290" i="13"/>
  <c r="D287" i="13"/>
  <c r="D281" i="13"/>
  <c r="D277" i="13"/>
  <c r="D274" i="13"/>
  <c r="D271" i="13"/>
  <c r="D265" i="13"/>
  <c r="D261" i="13"/>
  <c r="D258" i="13"/>
  <c r="D255" i="13"/>
  <c r="D249" i="13"/>
  <c r="D245" i="13"/>
  <c r="D242" i="13"/>
  <c r="D239" i="13"/>
  <c r="D233" i="13"/>
  <c r="D229" i="13"/>
  <c r="D226" i="13"/>
  <c r="D223" i="13"/>
  <c r="D217" i="13"/>
  <c r="D213" i="13"/>
  <c r="D210" i="13"/>
  <c r="D207" i="13"/>
  <c r="D201" i="13"/>
  <c r="D197" i="13"/>
  <c r="D194" i="13"/>
  <c r="D191" i="13"/>
  <c r="D185" i="13"/>
  <c r="D181" i="13"/>
  <c r="D178" i="13"/>
  <c r="D175" i="13"/>
  <c r="D171" i="13"/>
  <c r="D168" i="13"/>
  <c r="D165" i="13"/>
  <c r="D158" i="13"/>
  <c r="D155" i="13"/>
  <c r="D152" i="13"/>
  <c r="D149" i="13"/>
  <c r="D142" i="13"/>
  <c r="D139" i="13"/>
  <c r="D136" i="13"/>
  <c r="D133" i="13"/>
  <c r="D126" i="13"/>
  <c r="D123" i="13"/>
  <c r="D120" i="13"/>
  <c r="D117" i="13"/>
  <c r="D110" i="13"/>
  <c r="D107" i="13"/>
  <c r="D104" i="13"/>
  <c r="D101" i="13"/>
  <c r="D94" i="13"/>
  <c r="D91" i="13"/>
  <c r="D87" i="13"/>
  <c r="D84" i="13"/>
  <c r="D80" i="13"/>
  <c r="D77" i="13"/>
  <c r="D73" i="13"/>
  <c r="D66" i="13"/>
  <c r="D62" i="13"/>
  <c r="D59" i="13"/>
  <c r="D55" i="13"/>
  <c r="D52" i="13"/>
  <c r="D48" i="13"/>
  <c r="D45" i="13"/>
  <c r="D41" i="13"/>
  <c r="D34" i="13"/>
  <c r="D30" i="13"/>
  <c r="D27" i="13"/>
  <c r="D23" i="13"/>
  <c r="D20" i="13"/>
  <c r="D16" i="13"/>
  <c r="D13" i="13"/>
  <c r="E6" i="13"/>
  <c r="J6" i="13" s="1"/>
  <c r="E438" i="13"/>
  <c r="J438" i="13" s="1"/>
  <c r="E434" i="13"/>
  <c r="J434" i="13" s="1"/>
  <c r="E430" i="13"/>
  <c r="J430" i="13" s="1"/>
  <c r="E426" i="13"/>
  <c r="J426" i="13" s="1"/>
  <c r="E422" i="13"/>
  <c r="J422" i="13" s="1"/>
  <c r="E418" i="13"/>
  <c r="J418" i="13" s="1"/>
  <c r="E414" i="13"/>
  <c r="J414" i="13" s="1"/>
  <c r="E410" i="13"/>
  <c r="J410" i="13" s="1"/>
  <c r="E406" i="13"/>
  <c r="J406" i="13" s="1"/>
  <c r="E402" i="13"/>
  <c r="J402" i="13" s="1"/>
  <c r="E398" i="13"/>
  <c r="J398" i="13" s="1"/>
  <c r="E394" i="13"/>
  <c r="J394" i="13" s="1"/>
  <c r="E390" i="13"/>
  <c r="J390" i="13" s="1"/>
  <c r="E386" i="13"/>
  <c r="J386" i="13" s="1"/>
  <c r="E382" i="13"/>
  <c r="J382" i="13" s="1"/>
  <c r="E378" i="13"/>
  <c r="J378" i="13" s="1"/>
  <c r="E374" i="13"/>
  <c r="J374" i="13" s="1"/>
  <c r="E370" i="13"/>
  <c r="J370" i="13" s="1"/>
  <c r="E366" i="13"/>
  <c r="J366" i="13" s="1"/>
  <c r="E362" i="13"/>
  <c r="J362" i="13" s="1"/>
  <c r="E358" i="13"/>
  <c r="J358" i="13" s="1"/>
  <c r="E354" i="13"/>
  <c r="J354" i="13" s="1"/>
  <c r="E350" i="13"/>
  <c r="J350" i="13" s="1"/>
  <c r="E346" i="13"/>
  <c r="J346" i="13" s="1"/>
  <c r="E342" i="13"/>
  <c r="J342" i="13" s="1"/>
  <c r="E338" i="13"/>
  <c r="J338" i="13" s="1"/>
  <c r="E334" i="13"/>
  <c r="J334" i="13" s="1"/>
  <c r="E330" i="13"/>
  <c r="J330" i="13" s="1"/>
  <c r="E326" i="13"/>
  <c r="J326" i="13" s="1"/>
  <c r="E322" i="13"/>
  <c r="J322" i="13" s="1"/>
  <c r="E318" i="13"/>
  <c r="J318" i="13" s="1"/>
  <c r="E314" i="13"/>
  <c r="J314" i="13" s="1"/>
  <c r="E310" i="13"/>
  <c r="J310" i="13" s="1"/>
  <c r="E306" i="13"/>
  <c r="J306" i="13" s="1"/>
  <c r="E302" i="13"/>
  <c r="J302" i="13" s="1"/>
  <c r="E299" i="13"/>
  <c r="J299" i="13" s="1"/>
  <c r="E295" i="13"/>
  <c r="J295" i="13" s="1"/>
  <c r="E292" i="13"/>
  <c r="J292" i="13" s="1"/>
  <c r="E288" i="13"/>
  <c r="J288" i="13" s="1"/>
  <c r="E285" i="13"/>
  <c r="J285" i="13" s="1"/>
  <c r="E281" i="13"/>
  <c r="J281" i="13" s="1"/>
  <c r="E274" i="13"/>
  <c r="J274" i="13" s="1"/>
  <c r="E270" i="13"/>
  <c r="J270" i="13" s="1"/>
  <c r="E267" i="13"/>
  <c r="J267" i="13" s="1"/>
  <c r="E263" i="13"/>
  <c r="J263" i="13" s="1"/>
  <c r="E260" i="13"/>
  <c r="J260" i="13" s="1"/>
  <c r="E256" i="13"/>
  <c r="J256" i="13" s="1"/>
  <c r="E253" i="13"/>
  <c r="J253" i="13" s="1"/>
  <c r="E249" i="13"/>
  <c r="J249" i="13" s="1"/>
  <c r="E241" i="13"/>
  <c r="J241" i="13" s="1"/>
  <c r="E227" i="13"/>
  <c r="J227" i="13" s="1"/>
  <c r="E223" i="13"/>
  <c r="J223" i="13" s="1"/>
  <c r="E220" i="13"/>
  <c r="J220" i="13" s="1"/>
  <c r="E216" i="13"/>
  <c r="J216" i="13" s="1"/>
  <c r="E212" i="13"/>
  <c r="J212" i="13" s="1"/>
  <c r="E205" i="13"/>
  <c r="J205" i="13" s="1"/>
  <c r="E201" i="13"/>
  <c r="J201" i="13" s="1"/>
  <c r="E179" i="13"/>
  <c r="J179" i="13" s="1"/>
  <c r="E176" i="13"/>
  <c r="J176" i="13" s="1"/>
  <c r="E172" i="13"/>
  <c r="J172" i="13" s="1"/>
  <c r="E157" i="13"/>
  <c r="J157" i="13" s="1"/>
  <c r="E145" i="13"/>
  <c r="J145" i="13" s="1"/>
  <c r="E142" i="13"/>
  <c r="J142" i="13" s="1"/>
  <c r="E134" i="13"/>
  <c r="J134" i="13" s="1"/>
  <c r="E127" i="13"/>
  <c r="J127" i="13" s="1"/>
  <c r="E115" i="13"/>
  <c r="J115" i="13" s="1"/>
  <c r="E108" i="13"/>
  <c r="J108" i="13" s="1"/>
  <c r="E104" i="13"/>
  <c r="J104" i="13" s="1"/>
  <c r="E100" i="13"/>
  <c r="J100" i="13" s="1"/>
  <c r="E93" i="13"/>
  <c r="J93" i="13" s="1"/>
  <c r="E81" i="13"/>
  <c r="J81" i="13" s="1"/>
  <c r="E77" i="13"/>
  <c r="J77" i="13" s="1"/>
  <c r="E73" i="13"/>
  <c r="J73" i="13" s="1"/>
  <c r="E65" i="13"/>
  <c r="J65" i="13" s="1"/>
  <c r="E54" i="13"/>
  <c r="J54" i="13" s="1"/>
  <c r="E46" i="13"/>
  <c r="J46" i="13" s="1"/>
  <c r="E38" i="13"/>
  <c r="J38" i="13" s="1"/>
  <c r="E23" i="13"/>
  <c r="J23" i="13" s="1"/>
  <c r="E15" i="13"/>
  <c r="J15" i="13" s="1"/>
  <c r="E7" i="13"/>
  <c r="J7" i="13" s="1"/>
  <c r="D375" i="13"/>
  <c r="D371" i="13"/>
  <c r="D367" i="13"/>
  <c r="D363" i="13"/>
  <c r="D359" i="13"/>
  <c r="D355" i="13"/>
  <c r="D351" i="13"/>
  <c r="D347" i="13"/>
  <c r="D343" i="13"/>
  <c r="D339" i="13"/>
  <c r="D335" i="13"/>
  <c r="D331" i="13"/>
  <c r="D327" i="13"/>
  <c r="D323" i="13"/>
  <c r="D319" i="13"/>
  <c r="D315" i="13"/>
  <c r="D311" i="13"/>
  <c r="D307" i="13"/>
  <c r="D303" i="13"/>
  <c r="D299" i="13"/>
  <c r="D296" i="13"/>
  <c r="D292" i="13"/>
  <c r="D286" i="13"/>
  <c r="D283" i="13"/>
  <c r="D280" i="13"/>
  <c r="D276" i="13"/>
  <c r="D270" i="13"/>
  <c r="D267" i="13"/>
  <c r="D264" i="13"/>
  <c r="D260" i="13"/>
  <c r="D254" i="13"/>
  <c r="D251" i="13"/>
  <c r="D248" i="13"/>
  <c r="D244" i="13"/>
  <c r="D238" i="13"/>
  <c r="D235" i="13"/>
  <c r="D232" i="13"/>
  <c r="D228" i="13"/>
  <c r="D222" i="13"/>
  <c r="D219" i="13"/>
  <c r="D216" i="13"/>
  <c r="D212" i="13"/>
  <c r="D206" i="13"/>
  <c r="D203" i="13"/>
  <c r="D200" i="13"/>
  <c r="D196" i="13"/>
  <c r="D190" i="13"/>
  <c r="D187" i="13"/>
  <c r="D184" i="13"/>
  <c r="D180" i="13"/>
  <c r="D174" i="13"/>
  <c r="D170" i="13"/>
  <c r="D167" i="13"/>
  <c r="D164" i="13"/>
  <c r="D161" i="13"/>
  <c r="D154" i="13"/>
  <c r="D151" i="13"/>
  <c r="D148" i="13"/>
  <c r="D145" i="13"/>
  <c r="D138" i="13"/>
  <c r="D135" i="13"/>
  <c r="D132" i="13"/>
  <c r="D129" i="13"/>
  <c r="D122" i="13"/>
  <c r="D119" i="13"/>
  <c r="D116" i="13"/>
  <c r="D113" i="13"/>
  <c r="D106" i="13"/>
  <c r="D103" i="13"/>
  <c r="D100" i="13"/>
  <c r="D97" i="13"/>
  <c r="D90" i="13"/>
  <c r="D86" i="13"/>
  <c r="D83" i="13"/>
  <c r="D79" i="13"/>
  <c r="D76" i="13"/>
  <c r="D72" i="13"/>
  <c r="D69" i="13"/>
  <c r="D65" i="13"/>
  <c r="D58" i="13"/>
  <c r="D54" i="13"/>
  <c r="D51" i="13"/>
  <c r="D47" i="13"/>
  <c r="D44" i="13"/>
  <c r="D40" i="13"/>
  <c r="D37" i="13"/>
  <c r="D33" i="13"/>
  <c r="D26" i="13"/>
  <c r="D22" i="13"/>
  <c r="D19" i="13"/>
  <c r="D15" i="13"/>
  <c r="D12" i="13"/>
  <c r="D9" i="13"/>
  <c r="E441" i="13"/>
  <c r="J441" i="13" s="1"/>
  <c r="E437" i="13"/>
  <c r="J437" i="13" s="1"/>
  <c r="E433" i="13"/>
  <c r="J433" i="13" s="1"/>
  <c r="E429" i="13"/>
  <c r="J429" i="13" s="1"/>
  <c r="E425" i="13"/>
  <c r="J425" i="13" s="1"/>
  <c r="E421" i="13"/>
  <c r="J421" i="13" s="1"/>
  <c r="E417" i="13"/>
  <c r="J417" i="13" s="1"/>
  <c r="E413" i="13"/>
  <c r="J413" i="13" s="1"/>
  <c r="E409" i="13"/>
  <c r="J409" i="13" s="1"/>
  <c r="E405" i="13"/>
  <c r="J405" i="13" s="1"/>
  <c r="E401" i="13"/>
  <c r="J401" i="13" s="1"/>
  <c r="E397" i="13"/>
  <c r="J397" i="13" s="1"/>
  <c r="E393" i="13"/>
  <c r="J393" i="13" s="1"/>
  <c r="E389" i="13"/>
  <c r="J389" i="13" s="1"/>
  <c r="E385" i="13"/>
  <c r="J385" i="13" s="1"/>
  <c r="E381" i="13"/>
  <c r="J381" i="13" s="1"/>
  <c r="E377" i="13"/>
  <c r="J377" i="13" s="1"/>
  <c r="E373" i="13"/>
  <c r="J373" i="13" s="1"/>
  <c r="E369" i="13"/>
  <c r="J369" i="13" s="1"/>
  <c r="E365" i="13"/>
  <c r="J365" i="13" s="1"/>
  <c r="E361" i="13"/>
  <c r="J361" i="13" s="1"/>
  <c r="E357" i="13"/>
  <c r="J357" i="13" s="1"/>
  <c r="E353" i="13"/>
  <c r="J353" i="13" s="1"/>
  <c r="E349" i="13"/>
  <c r="J349" i="13" s="1"/>
  <c r="E345" i="13"/>
  <c r="J345" i="13" s="1"/>
  <c r="E341" i="13"/>
  <c r="J341" i="13" s="1"/>
  <c r="E337" i="13"/>
  <c r="J337" i="13" s="1"/>
  <c r="E333" i="13"/>
  <c r="J333" i="13" s="1"/>
  <c r="E329" i="13"/>
  <c r="J329" i="13" s="1"/>
  <c r="E325" i="13"/>
  <c r="J325" i="13" s="1"/>
  <c r="E321" i="13"/>
  <c r="J321" i="13" s="1"/>
  <c r="E317" i="13"/>
  <c r="J317" i="13" s="1"/>
  <c r="E313" i="13"/>
  <c r="J313" i="13" s="1"/>
  <c r="E309" i="13"/>
  <c r="J309" i="13" s="1"/>
  <c r="E305" i="13"/>
  <c r="J305" i="13" s="1"/>
  <c r="E298" i="13"/>
  <c r="J298" i="13" s="1"/>
  <c r="E294" i="13"/>
  <c r="J294" i="13" s="1"/>
  <c r="E291" i="13"/>
  <c r="J291" i="13" s="1"/>
  <c r="E287" i="13"/>
  <c r="J287" i="13" s="1"/>
  <c r="E284" i="13"/>
  <c r="J284" i="13" s="1"/>
  <c r="E280" i="13"/>
  <c r="J280" i="13" s="1"/>
  <c r="E277" i="13"/>
  <c r="J277" i="13" s="1"/>
  <c r="E273" i="13"/>
  <c r="J273" i="13" s="1"/>
  <c r="E266" i="13"/>
  <c r="J266" i="13" s="1"/>
  <c r="E262" i="13"/>
  <c r="J262" i="13" s="1"/>
  <c r="E259" i="13"/>
  <c r="J259" i="13" s="1"/>
  <c r="E255" i="13"/>
  <c r="J255" i="13" s="1"/>
  <c r="E252" i="13"/>
  <c r="J252" i="13" s="1"/>
  <c r="E248" i="13"/>
  <c r="J248" i="13" s="1"/>
  <c r="E244" i="13"/>
  <c r="J244" i="13" s="1"/>
  <c r="E237" i="13"/>
  <c r="J237" i="13" s="1"/>
  <c r="E233" i="13"/>
  <c r="J233" i="13" s="1"/>
  <c r="E215" i="13"/>
  <c r="J215" i="13" s="1"/>
  <c r="E207" i="13"/>
  <c r="J207" i="13" s="1"/>
  <c r="E200" i="13"/>
  <c r="J200" i="13" s="1"/>
  <c r="E193" i="13"/>
  <c r="J193" i="13" s="1"/>
  <c r="E182" i="13"/>
  <c r="J182" i="13" s="1"/>
  <c r="E164" i="13"/>
  <c r="J164" i="13" s="1"/>
  <c r="E160" i="13"/>
  <c r="J160" i="13" s="1"/>
  <c r="E156" i="13"/>
  <c r="J156" i="13" s="1"/>
  <c r="E152" i="13"/>
  <c r="J152" i="13" s="1"/>
  <c r="E148" i="13"/>
  <c r="J148" i="13" s="1"/>
  <c r="E141" i="13"/>
  <c r="J141" i="13" s="1"/>
  <c r="E137" i="13"/>
  <c r="J137" i="13" s="1"/>
  <c r="E129" i="13"/>
  <c r="J129" i="13" s="1"/>
  <c r="E126" i="13"/>
  <c r="J126" i="13" s="1"/>
  <c r="E118" i="13"/>
  <c r="J118" i="13" s="1"/>
  <c r="E103" i="13"/>
  <c r="J103" i="13" s="1"/>
  <c r="E99" i="13"/>
  <c r="J99" i="13" s="1"/>
  <c r="E92" i="13"/>
  <c r="J92" i="13" s="1"/>
  <c r="E88" i="13"/>
  <c r="J88" i="13" s="1"/>
  <c r="E84" i="13"/>
  <c r="J84" i="13" s="1"/>
  <c r="E72" i="13"/>
  <c r="J72" i="13" s="1"/>
  <c r="E57" i="13"/>
  <c r="J57" i="13" s="1"/>
  <c r="E49" i="13"/>
  <c r="J49" i="13" s="1"/>
  <c r="E45" i="13"/>
  <c r="J45" i="13" s="1"/>
  <c r="E41" i="13"/>
  <c r="J41" i="13" s="1"/>
  <c r="E22" i="13"/>
  <c r="J22" i="13" s="1"/>
  <c r="E14" i="13"/>
  <c r="J14" i="13" s="1"/>
  <c r="D390" i="13"/>
  <c r="D386" i="13"/>
  <c r="D382" i="13"/>
  <c r="D378" i="13"/>
  <c r="D374" i="13"/>
  <c r="D370" i="13"/>
  <c r="D366" i="13"/>
  <c r="D362" i="13"/>
  <c r="D358" i="13"/>
  <c r="D354" i="13"/>
  <c r="D350" i="13"/>
  <c r="D346" i="13"/>
  <c r="D342" i="13"/>
  <c r="D338" i="13"/>
  <c r="D334" i="13"/>
  <c r="D330" i="13"/>
  <c r="D326" i="13"/>
  <c r="D322" i="13"/>
  <c r="D318" i="13"/>
  <c r="D314" i="13"/>
  <c r="D310" i="13"/>
  <c r="D306" i="13"/>
  <c r="D302" i="13"/>
  <c r="D298" i="13"/>
  <c r="D295" i="13"/>
  <c r="D289" i="13"/>
  <c r="D285" i="13"/>
  <c r="D282" i="13"/>
  <c r="D279" i="13"/>
  <c r="D273" i="13"/>
  <c r="D269" i="13"/>
  <c r="D266" i="13"/>
  <c r="D263" i="13"/>
  <c r="D257" i="13"/>
  <c r="D253" i="13"/>
  <c r="D250" i="13"/>
  <c r="D247" i="13"/>
  <c r="D241" i="13"/>
  <c r="D237" i="13"/>
  <c r="D234" i="13"/>
  <c r="D231" i="13"/>
  <c r="D225" i="13"/>
  <c r="D221" i="13"/>
  <c r="D218" i="13"/>
  <c r="D215" i="13"/>
  <c r="D209" i="13"/>
  <c r="D205" i="13"/>
  <c r="D202" i="13"/>
  <c r="D199" i="13"/>
  <c r="D193" i="13"/>
  <c r="D189" i="13"/>
  <c r="D186" i="13"/>
  <c r="D183" i="13"/>
  <c r="D177" i="13"/>
  <c r="D173" i="13"/>
  <c r="D166" i="13"/>
  <c r="D163" i="13"/>
  <c r="D160" i="13"/>
  <c r="D157" i="13"/>
  <c r="D150" i="13"/>
  <c r="D147" i="13"/>
  <c r="D144" i="13"/>
  <c r="D141" i="13"/>
  <c r="D134" i="13"/>
  <c r="D131" i="13"/>
  <c r="D128" i="13"/>
  <c r="D125" i="13"/>
  <c r="D118" i="13"/>
  <c r="D115" i="13"/>
  <c r="D112" i="13"/>
  <c r="D109" i="13"/>
  <c r="D102" i="13"/>
  <c r="D99" i="13"/>
  <c r="D96" i="13"/>
  <c r="D93" i="13"/>
  <c r="D89" i="13"/>
  <c r="D82" i="13"/>
  <c r="D78" i="13"/>
  <c r="D75" i="13"/>
  <c r="D71" i="13"/>
  <c r="D68" i="13"/>
  <c r="D64" i="13"/>
  <c r="D61" i="13"/>
  <c r="D57" i="13"/>
  <c r="D50" i="13"/>
  <c r="D46" i="13"/>
  <c r="D43" i="13"/>
  <c r="D39" i="13"/>
  <c r="D36" i="13"/>
  <c r="D32" i="13"/>
  <c r="D29" i="13"/>
  <c r="D25" i="13"/>
  <c r="D18" i="13"/>
  <c r="D14" i="13"/>
  <c r="D11" i="13"/>
  <c r="D8" i="13"/>
  <c r="E440" i="13"/>
  <c r="J440" i="13" s="1"/>
  <c r="E436" i="13"/>
  <c r="J436" i="13" s="1"/>
  <c r="E432" i="13"/>
  <c r="J432" i="13" s="1"/>
  <c r="E428" i="13"/>
  <c r="J428" i="13" s="1"/>
  <c r="E424" i="13"/>
  <c r="J424" i="13" s="1"/>
  <c r="E420" i="13"/>
  <c r="J420" i="13" s="1"/>
  <c r="E416" i="13"/>
  <c r="J416" i="13" s="1"/>
  <c r="E412" i="13"/>
  <c r="J412" i="13" s="1"/>
  <c r="E408" i="13"/>
  <c r="J408" i="13" s="1"/>
  <c r="E404" i="13"/>
  <c r="J404" i="13" s="1"/>
  <c r="E400" i="13"/>
  <c r="J400" i="13" s="1"/>
  <c r="E396" i="13"/>
  <c r="J396" i="13" s="1"/>
  <c r="E392" i="13"/>
  <c r="J392" i="13" s="1"/>
  <c r="E388" i="13"/>
  <c r="J388" i="13" s="1"/>
  <c r="E384" i="13"/>
  <c r="J384" i="13" s="1"/>
  <c r="E380" i="13"/>
  <c r="J380" i="13" s="1"/>
  <c r="E376" i="13"/>
  <c r="J376" i="13" s="1"/>
  <c r="E372" i="13"/>
  <c r="J372" i="13" s="1"/>
  <c r="E368" i="13"/>
  <c r="J368" i="13" s="1"/>
  <c r="E364" i="13"/>
  <c r="J364" i="13" s="1"/>
  <c r="E360" i="13"/>
  <c r="J360" i="13" s="1"/>
  <c r="E356" i="13"/>
  <c r="J356" i="13" s="1"/>
  <c r="E352" i="13"/>
  <c r="J352" i="13" s="1"/>
  <c r="E348" i="13"/>
  <c r="J348" i="13" s="1"/>
  <c r="E344" i="13"/>
  <c r="J344" i="13" s="1"/>
  <c r="E340" i="13"/>
  <c r="J340" i="13" s="1"/>
  <c r="E336" i="13"/>
  <c r="J336" i="13" s="1"/>
  <c r="E332" i="13"/>
  <c r="J332" i="13" s="1"/>
  <c r="E328" i="13"/>
  <c r="J328" i="13" s="1"/>
  <c r="E324" i="13"/>
  <c r="J324" i="13" s="1"/>
  <c r="E320" i="13"/>
  <c r="J320" i="13" s="1"/>
  <c r="E316" i="13"/>
  <c r="J316" i="13" s="1"/>
  <c r="E312" i="13"/>
  <c r="J312" i="13" s="1"/>
  <c r="E308" i="13"/>
  <c r="J308" i="13" s="1"/>
  <c r="E304" i="13"/>
  <c r="J304" i="13" s="1"/>
  <c r="E301" i="13"/>
  <c r="J301" i="13" s="1"/>
  <c r="E297" i="13"/>
  <c r="J297" i="13" s="1"/>
  <c r="E290" i="13"/>
  <c r="J290" i="13" s="1"/>
  <c r="E286" i="13"/>
  <c r="J286" i="13" s="1"/>
  <c r="E283" i="13"/>
  <c r="J283" i="13" s="1"/>
  <c r="E279" i="13"/>
  <c r="J279" i="13" s="1"/>
  <c r="E276" i="13"/>
  <c r="J276" i="13" s="1"/>
  <c r="E269" i="13"/>
  <c r="J269" i="13" s="1"/>
  <c r="E265" i="13"/>
  <c r="J265" i="13" s="1"/>
  <c r="E243" i="13"/>
  <c r="J243" i="13" s="1"/>
  <c r="E236" i="13"/>
  <c r="J236" i="13" s="1"/>
  <c r="E214" i="13"/>
  <c r="J214" i="13" s="1"/>
  <c r="E199" i="13"/>
  <c r="J199" i="13" s="1"/>
  <c r="E185" i="13"/>
  <c r="J185" i="13" s="1"/>
  <c r="E174" i="13"/>
  <c r="J174" i="13" s="1"/>
  <c r="E167" i="13"/>
  <c r="J167" i="13" s="1"/>
  <c r="E163" i="13"/>
  <c r="J163" i="13" s="1"/>
  <c r="E159" i="13"/>
  <c r="J159" i="13" s="1"/>
  <c r="E151" i="13"/>
  <c r="J151" i="13" s="1"/>
  <c r="E136" i="13"/>
  <c r="J136" i="13" s="1"/>
  <c r="E121" i="13"/>
  <c r="J121" i="13" s="1"/>
  <c r="E113" i="13"/>
  <c r="J113" i="13" s="1"/>
  <c r="E110" i="13"/>
  <c r="J110" i="13" s="1"/>
  <c r="E102" i="13"/>
  <c r="J102" i="13" s="1"/>
  <c r="E95" i="13"/>
  <c r="J95" i="13" s="1"/>
  <c r="E87" i="13"/>
  <c r="J87" i="13" s="1"/>
  <c r="E79" i="13"/>
  <c r="J79" i="13" s="1"/>
  <c r="E71" i="13"/>
  <c r="J71" i="13" s="1"/>
  <c r="E67" i="13"/>
  <c r="J67" i="13" s="1"/>
  <c r="E63" i="13"/>
  <c r="J63" i="13" s="1"/>
  <c r="E60" i="13"/>
  <c r="J60" i="13" s="1"/>
  <c r="E56" i="13"/>
  <c r="J56" i="13" s="1"/>
  <c r="E52" i="13"/>
  <c r="J52" i="13" s="1"/>
  <c r="E44" i="13"/>
  <c r="J44" i="13" s="1"/>
  <c r="E36" i="13"/>
  <c r="J36" i="13" s="1"/>
  <c r="E29" i="13"/>
  <c r="J29" i="13" s="1"/>
  <c r="E17" i="13"/>
  <c r="J17" i="13" s="1"/>
  <c r="E13" i="13"/>
  <c r="J13" i="13" s="1"/>
  <c r="E9" i="13"/>
  <c r="J9" i="13" s="1"/>
  <c r="D405" i="13"/>
  <c r="D401" i="13"/>
  <c r="D397" i="13"/>
  <c r="D393" i="13"/>
  <c r="D389" i="13"/>
  <c r="D385" i="13"/>
  <c r="D381" i="13"/>
  <c r="D377" i="13"/>
  <c r="D373" i="13"/>
  <c r="D369" i="13"/>
  <c r="D365" i="13"/>
  <c r="D361" i="13"/>
  <c r="D357" i="13"/>
  <c r="D353" i="13"/>
  <c r="D349" i="13"/>
  <c r="D345" i="13"/>
  <c r="D341" i="13"/>
  <c r="D337" i="13"/>
  <c r="D333" i="13"/>
  <c r="D329" i="13"/>
  <c r="D325" i="13"/>
  <c r="D321" i="13"/>
  <c r="D317" i="13"/>
  <c r="D313" i="13"/>
  <c r="D309" i="13"/>
  <c r="D305" i="13"/>
  <c r="D301" i="13"/>
  <c r="D294" i="13"/>
  <c r="D291" i="13"/>
  <c r="D288" i="13"/>
  <c r="D278" i="13"/>
  <c r="D275" i="13"/>
  <c r="D272" i="13"/>
  <c r="D262" i="13"/>
  <c r="D259" i="13"/>
  <c r="D256" i="13"/>
  <c r="D246" i="13"/>
  <c r="D243" i="13"/>
  <c r="D240" i="13"/>
  <c r="D230" i="13"/>
  <c r="D227" i="13"/>
  <c r="D224" i="13"/>
  <c r="D214" i="13"/>
  <c r="D211" i="13"/>
  <c r="D208" i="13"/>
  <c r="D198" i="13"/>
  <c r="D195" i="13"/>
  <c r="D192" i="13"/>
  <c r="D182" i="13"/>
  <c r="D179" i="13"/>
  <c r="D176" i="13"/>
  <c r="D172" i="13"/>
  <c r="D169" i="13"/>
  <c r="D159" i="13"/>
  <c r="D156" i="13"/>
  <c r="D153" i="13"/>
  <c r="D143" i="13"/>
  <c r="D140" i="13"/>
  <c r="D137" i="13"/>
  <c r="D127" i="13"/>
  <c r="D124" i="13"/>
  <c r="D121" i="13"/>
  <c r="D111" i="13"/>
  <c r="D108" i="13"/>
  <c r="D105" i="13"/>
  <c r="D95" i="13"/>
  <c r="D92" i="13"/>
  <c r="D88" i="13"/>
  <c r="D85" i="13"/>
  <c r="D81" i="13"/>
  <c r="D74" i="13"/>
  <c r="D67" i="13"/>
  <c r="D63" i="13"/>
  <c r="D60" i="13"/>
  <c r="D56" i="13"/>
  <c r="D53" i="13"/>
  <c r="D49" i="13"/>
  <c r="D42" i="13"/>
  <c r="D35" i="13"/>
  <c r="D31" i="13"/>
  <c r="D28" i="13"/>
  <c r="D24" i="13"/>
  <c r="D21" i="13"/>
  <c r="D17" i="13"/>
  <c r="D7" i="13"/>
  <c r="E439" i="13"/>
  <c r="J439" i="13" s="1"/>
  <c r="E435" i="13"/>
  <c r="J435" i="13" s="1"/>
  <c r="E431" i="13"/>
  <c r="J431" i="13" s="1"/>
  <c r="E427" i="13"/>
  <c r="J427" i="13" s="1"/>
  <c r="E423" i="13"/>
  <c r="J423" i="13" s="1"/>
  <c r="E419" i="13"/>
  <c r="J419" i="13" s="1"/>
  <c r="E415" i="13"/>
  <c r="J415" i="13" s="1"/>
  <c r="E411" i="13"/>
  <c r="J411" i="13" s="1"/>
  <c r="E407" i="13"/>
  <c r="J407" i="13" s="1"/>
  <c r="E403" i="13"/>
  <c r="J403" i="13" s="1"/>
  <c r="E399" i="13"/>
  <c r="J399" i="13" s="1"/>
  <c r="E395" i="13"/>
  <c r="J395" i="13" s="1"/>
  <c r="E391" i="13"/>
  <c r="J391" i="13" s="1"/>
  <c r="E387" i="13"/>
  <c r="J387" i="13" s="1"/>
  <c r="E383" i="13"/>
  <c r="J383" i="13" s="1"/>
  <c r="E379" i="13"/>
  <c r="J379" i="13" s="1"/>
  <c r="E375" i="13"/>
  <c r="J375" i="13" s="1"/>
  <c r="E371" i="13"/>
  <c r="J371" i="13" s="1"/>
  <c r="E367" i="13"/>
  <c r="J367" i="13" s="1"/>
  <c r="E363" i="13"/>
  <c r="J363" i="13" s="1"/>
  <c r="E359" i="13"/>
  <c r="J359" i="13" s="1"/>
  <c r="E355" i="13"/>
  <c r="J355" i="13" s="1"/>
  <c r="E351" i="13"/>
  <c r="J351" i="13" s="1"/>
  <c r="E347" i="13"/>
  <c r="J347" i="13" s="1"/>
  <c r="E343" i="13"/>
  <c r="J343" i="13" s="1"/>
  <c r="E339" i="13"/>
  <c r="J339" i="13" s="1"/>
  <c r="E335" i="13"/>
  <c r="J335" i="13" s="1"/>
  <c r="E331" i="13"/>
  <c r="J331" i="13" s="1"/>
  <c r="E327" i="13"/>
  <c r="J327" i="13" s="1"/>
  <c r="E323" i="13"/>
  <c r="J323" i="13" s="1"/>
  <c r="E319" i="13"/>
  <c r="J319" i="13" s="1"/>
  <c r="E315" i="13"/>
  <c r="J315" i="13" s="1"/>
  <c r="E311" i="13"/>
  <c r="J311" i="13" s="1"/>
  <c r="E307" i="13"/>
  <c r="J307" i="13" s="1"/>
  <c r="E303" i="13"/>
  <c r="J303" i="13" s="1"/>
  <c r="E300" i="13"/>
  <c r="J300" i="13" s="1"/>
  <c r="E296" i="13"/>
  <c r="J296" i="13" s="1"/>
  <c r="E293" i="13"/>
  <c r="J293" i="13" s="1"/>
  <c r="E289" i="13"/>
  <c r="J289" i="13" s="1"/>
  <c r="E282" i="13"/>
  <c r="J282" i="13" s="1"/>
  <c r="E275" i="13"/>
  <c r="J275" i="13" s="1"/>
  <c r="E271" i="13"/>
  <c r="J271" i="13" s="1"/>
  <c r="E264" i="13"/>
  <c r="J264" i="13" s="1"/>
  <c r="E257" i="13"/>
  <c r="J257" i="13" s="1"/>
  <c r="E246" i="13"/>
  <c r="J246" i="13" s="1"/>
  <c r="E231" i="13"/>
  <c r="J231" i="13" s="1"/>
  <c r="E228" i="13"/>
  <c r="J228" i="13" s="1"/>
  <c r="E221" i="13"/>
  <c r="J221" i="13" s="1"/>
  <c r="E209" i="13"/>
  <c r="J209" i="13" s="1"/>
  <c r="E195" i="13"/>
  <c r="J195" i="13" s="1"/>
  <c r="E191" i="13"/>
  <c r="J191" i="13" s="1"/>
  <c r="E188" i="13"/>
  <c r="J188" i="13" s="1"/>
  <c r="E184" i="13"/>
  <c r="J184" i="13" s="1"/>
  <c r="E180" i="13"/>
  <c r="J180" i="13" s="1"/>
  <c r="E177" i="13"/>
  <c r="J177" i="13" s="1"/>
  <c r="E173" i="13"/>
  <c r="J173" i="13" s="1"/>
  <c r="E169" i="13"/>
  <c r="J169" i="13" s="1"/>
  <c r="E150" i="13"/>
  <c r="J150" i="13" s="1"/>
  <c r="E143" i="13"/>
  <c r="J143" i="13" s="1"/>
  <c r="E135" i="13"/>
  <c r="J135" i="13" s="1"/>
  <c r="E131" i="13"/>
  <c r="J131" i="13" s="1"/>
  <c r="E124" i="13"/>
  <c r="J124" i="13" s="1"/>
  <c r="E120" i="13"/>
  <c r="J120" i="13" s="1"/>
  <c r="E116" i="13"/>
  <c r="J116" i="13" s="1"/>
  <c r="E109" i="13"/>
  <c r="J109" i="13" s="1"/>
  <c r="E105" i="13"/>
  <c r="J105" i="13" s="1"/>
  <c r="E94" i="13"/>
  <c r="J94" i="13" s="1"/>
  <c r="E86" i="13"/>
  <c r="J86" i="13" s="1"/>
  <c r="E78" i="13"/>
  <c r="J78" i="13" s="1"/>
  <c r="E70" i="13"/>
  <c r="J70" i="13" s="1"/>
  <c r="E51" i="13"/>
  <c r="J51" i="13" s="1"/>
  <c r="E39" i="13"/>
  <c r="J39" i="13" s="1"/>
  <c r="E35" i="13"/>
  <c r="J35" i="13" s="1"/>
  <c r="E31" i="13"/>
  <c r="J31" i="13" s="1"/>
  <c r="E28" i="13"/>
  <c r="J28" i="13" s="1"/>
  <c r="E24" i="13"/>
  <c r="J24" i="13" s="1"/>
  <c r="E20" i="13"/>
  <c r="J20" i="13" s="1"/>
  <c r="E8" i="13"/>
  <c r="J8" i="13" s="1"/>
  <c r="E272" i="13"/>
  <c r="J272" i="13" s="1"/>
  <c r="E258" i="13"/>
  <c r="J258" i="13" s="1"/>
  <c r="E254" i="13"/>
  <c r="J254" i="13" s="1"/>
  <c r="E251" i="13"/>
  <c r="J251" i="13" s="1"/>
  <c r="E247" i="13"/>
  <c r="J247" i="13" s="1"/>
  <c r="E240" i="13"/>
  <c r="J240" i="13" s="1"/>
  <c r="E226" i="13"/>
  <c r="J226" i="13" s="1"/>
  <c r="E222" i="13"/>
  <c r="J222" i="13" s="1"/>
  <c r="E219" i="13"/>
  <c r="J219" i="13" s="1"/>
  <c r="E208" i="13"/>
  <c r="J208" i="13" s="1"/>
  <c r="E194" i="13"/>
  <c r="J194" i="13" s="1"/>
  <c r="E190" i="13"/>
  <c r="J190" i="13" s="1"/>
  <c r="E187" i="13"/>
  <c r="J187" i="13" s="1"/>
  <c r="E183" i="13"/>
  <c r="J183" i="13" s="1"/>
  <c r="E171" i="13"/>
  <c r="J171" i="13" s="1"/>
  <c r="E153" i="13"/>
  <c r="J153" i="13" s="1"/>
  <c r="E147" i="13"/>
  <c r="J147" i="13" s="1"/>
  <c r="E125" i="13"/>
  <c r="J125" i="13" s="1"/>
  <c r="E89" i="13"/>
  <c r="J89" i="13" s="1"/>
  <c r="E83" i="13"/>
  <c r="J83" i="13" s="1"/>
  <c r="E76" i="13"/>
  <c r="J76" i="13" s="1"/>
  <c r="E69" i="13"/>
  <c r="J69" i="13" s="1"/>
  <c r="E58" i="13"/>
  <c r="J58" i="13" s="1"/>
  <c r="E47" i="13"/>
  <c r="J47" i="13" s="1"/>
  <c r="E40" i="13"/>
  <c r="J40" i="13" s="1"/>
  <c r="E37" i="13"/>
  <c r="J37" i="13" s="1"/>
  <c r="E33" i="13"/>
  <c r="J33" i="13" s="1"/>
  <c r="E26" i="13"/>
  <c r="J26" i="13" s="1"/>
  <c r="E19" i="13"/>
  <c r="J19" i="13" s="1"/>
  <c r="E12" i="13"/>
  <c r="J12" i="13" s="1"/>
  <c r="E268" i="13"/>
  <c r="J268" i="13" s="1"/>
  <c r="E261" i="13"/>
  <c r="J261" i="13" s="1"/>
  <c r="E250" i="13"/>
  <c r="J250" i="13" s="1"/>
  <c r="E239" i="13"/>
  <c r="J239" i="13" s="1"/>
  <c r="E232" i="13"/>
  <c r="J232" i="13" s="1"/>
  <c r="E229" i="13"/>
  <c r="J229" i="13" s="1"/>
  <c r="E225" i="13"/>
  <c r="J225" i="13" s="1"/>
  <c r="E218" i="13"/>
  <c r="J218" i="13" s="1"/>
  <c r="E211" i="13"/>
  <c r="J211" i="13" s="1"/>
  <c r="E204" i="13"/>
  <c r="J204" i="13" s="1"/>
  <c r="E197" i="13"/>
  <c r="J197" i="13" s="1"/>
  <c r="E186" i="13"/>
  <c r="J186" i="13" s="1"/>
  <c r="E170" i="13"/>
  <c r="J170" i="13" s="1"/>
  <c r="E146" i="13"/>
  <c r="J146" i="13" s="1"/>
  <c r="E140" i="13"/>
  <c r="J140" i="13" s="1"/>
  <c r="E130" i="13"/>
  <c r="J130" i="13" s="1"/>
  <c r="E114" i="13"/>
  <c r="J114" i="13" s="1"/>
  <c r="E111" i="13"/>
  <c r="J111" i="13" s="1"/>
  <c r="E98" i="13"/>
  <c r="J98" i="13" s="1"/>
  <c r="E82" i="13"/>
  <c r="J82" i="13" s="1"/>
  <c r="E75" i="13"/>
  <c r="J75" i="13" s="1"/>
  <c r="E68" i="13"/>
  <c r="J68" i="13" s="1"/>
  <c r="E64" i="13"/>
  <c r="J64" i="13" s="1"/>
  <c r="E61" i="13"/>
  <c r="J61" i="13" s="1"/>
  <c r="E50" i="13"/>
  <c r="J50" i="13" s="1"/>
  <c r="E43" i="13"/>
  <c r="J43" i="13" s="1"/>
  <c r="E32" i="13"/>
  <c r="J32" i="13" s="1"/>
  <c r="E25" i="13"/>
  <c r="J25" i="13" s="1"/>
  <c r="E18" i="13"/>
  <c r="J18" i="13" s="1"/>
  <c r="E11" i="13"/>
  <c r="J11" i="13" s="1"/>
  <c r="E242" i="13"/>
  <c r="J242" i="13" s="1"/>
  <c r="E238" i="13"/>
  <c r="J238" i="13" s="1"/>
  <c r="E235" i="13"/>
  <c r="J235" i="13" s="1"/>
  <c r="E224" i="13"/>
  <c r="J224" i="13" s="1"/>
  <c r="E217" i="13"/>
  <c r="J217" i="13" s="1"/>
  <c r="E210" i="13"/>
  <c r="J210" i="13" s="1"/>
  <c r="E206" i="13"/>
  <c r="J206" i="13" s="1"/>
  <c r="E203" i="13"/>
  <c r="J203" i="13" s="1"/>
  <c r="E196" i="13"/>
  <c r="J196" i="13" s="1"/>
  <c r="E192" i="13"/>
  <c r="J192" i="13" s="1"/>
  <c r="E189" i="13"/>
  <c r="J189" i="13" s="1"/>
  <c r="E178" i="13"/>
  <c r="J178" i="13" s="1"/>
  <c r="E166" i="13"/>
  <c r="J166" i="13" s="1"/>
  <c r="E162" i="13"/>
  <c r="J162" i="13" s="1"/>
  <c r="E155" i="13"/>
  <c r="J155" i="13" s="1"/>
  <c r="E149" i="13"/>
  <c r="J149" i="13" s="1"/>
  <c r="E139" i="13"/>
  <c r="J139" i="13" s="1"/>
  <c r="E133" i="13"/>
  <c r="J133" i="13" s="1"/>
  <c r="E123" i="13"/>
  <c r="J123" i="13" s="1"/>
  <c r="E117" i="13"/>
  <c r="J117" i="13" s="1"/>
  <c r="E107" i="13"/>
  <c r="J107" i="13" s="1"/>
  <c r="E101" i="13"/>
  <c r="J101" i="13" s="1"/>
  <c r="E97" i="13"/>
  <c r="J97" i="13" s="1"/>
  <c r="E91" i="13"/>
  <c r="J91" i="13" s="1"/>
  <c r="E85" i="13"/>
  <c r="J85" i="13" s="1"/>
  <c r="E74" i="13"/>
  <c r="J74" i="13" s="1"/>
  <c r="E53" i="13"/>
  <c r="J53" i="13" s="1"/>
  <c r="E42" i="13"/>
  <c r="J42" i="13" s="1"/>
  <c r="E21" i="13"/>
  <c r="J21" i="13" s="1"/>
  <c r="E10" i="13"/>
  <c r="J10" i="13" s="1"/>
  <c r="E245" i="13"/>
  <c r="J245" i="13" s="1"/>
  <c r="E234" i="13"/>
  <c r="J234" i="13" s="1"/>
  <c r="E230" i="13"/>
  <c r="J230" i="13" s="1"/>
  <c r="E213" i="13"/>
  <c r="J213" i="13" s="1"/>
  <c r="E202" i="13"/>
  <c r="J202" i="13" s="1"/>
  <c r="E198" i="13"/>
  <c r="J198" i="13" s="1"/>
  <c r="E181" i="13"/>
  <c r="J181" i="13" s="1"/>
  <c r="E175" i="13"/>
  <c r="J175" i="13" s="1"/>
  <c r="E168" i="13"/>
  <c r="J168" i="13" s="1"/>
  <c r="E165" i="13"/>
  <c r="J165" i="13" s="1"/>
  <c r="E161" i="13"/>
  <c r="J161" i="13" s="1"/>
  <c r="E158" i="13"/>
  <c r="J158" i="13" s="1"/>
  <c r="E154" i="13"/>
  <c r="J154" i="13" s="1"/>
  <c r="E144" i="13"/>
  <c r="J144" i="13" s="1"/>
  <c r="E138" i="13"/>
  <c r="J138" i="13" s="1"/>
  <c r="E132" i="13"/>
  <c r="J132" i="13" s="1"/>
  <c r="E128" i="13"/>
  <c r="J128" i="13" s="1"/>
  <c r="E122" i="13"/>
  <c r="J122" i="13" s="1"/>
  <c r="E119" i="13"/>
  <c r="J119" i="13" s="1"/>
  <c r="E112" i="13"/>
  <c r="J112" i="13" s="1"/>
  <c r="E106" i="13"/>
  <c r="J106" i="13" s="1"/>
  <c r="E96" i="13"/>
  <c r="J96" i="13" s="1"/>
  <c r="E90" i="13"/>
  <c r="J90" i="13" s="1"/>
  <c r="E80" i="13"/>
  <c r="J80" i="13" s="1"/>
  <c r="E66" i="13"/>
  <c r="J66" i="13" s="1"/>
  <c r="E62" i="13"/>
  <c r="J62" i="13" s="1"/>
  <c r="E59" i="13"/>
  <c r="J59" i="13" s="1"/>
  <c r="E55" i="13"/>
  <c r="J55" i="13" s="1"/>
  <c r="E48" i="13"/>
  <c r="J48" i="13" s="1"/>
  <c r="E34" i="13"/>
  <c r="J34" i="13" s="1"/>
  <c r="E30" i="13"/>
  <c r="J30" i="13" s="1"/>
  <c r="E27" i="13"/>
  <c r="J27" i="13" s="1"/>
  <c r="E16" i="13"/>
  <c r="J16" i="13" s="1"/>
  <c r="B20" i="12" l="1"/>
  <c r="G20" i="12" s="1"/>
  <c r="C20" i="12"/>
  <c r="F20" i="12"/>
  <c r="B21" i="12"/>
  <c r="G21" i="12" s="1"/>
  <c r="C21" i="12"/>
  <c r="F21" i="12"/>
  <c r="B22" i="12"/>
  <c r="G22" i="12" s="1"/>
  <c r="C22" i="12"/>
  <c r="F22" i="12"/>
  <c r="B23" i="12"/>
  <c r="G23" i="12" s="1"/>
  <c r="C23" i="12"/>
  <c r="F23" i="12"/>
  <c r="B24" i="12"/>
  <c r="G24" i="12" s="1"/>
  <c r="C24" i="12"/>
  <c r="F24" i="12"/>
  <c r="B25" i="12"/>
  <c r="G25" i="12" s="1"/>
  <c r="C25" i="12"/>
  <c r="F25" i="12"/>
  <c r="B26" i="12"/>
  <c r="G26" i="12" s="1"/>
  <c r="C26" i="12"/>
  <c r="F26" i="12"/>
  <c r="B27" i="12"/>
  <c r="G27" i="12" s="1"/>
  <c r="C27" i="12"/>
  <c r="F27" i="12"/>
  <c r="B28" i="12"/>
  <c r="G28" i="12" s="1"/>
  <c r="C28" i="12"/>
  <c r="F28" i="12"/>
  <c r="B29" i="12"/>
  <c r="G29" i="12" s="1"/>
  <c r="C29" i="12"/>
  <c r="F29" i="12"/>
  <c r="B30" i="12"/>
  <c r="G30" i="12" s="1"/>
  <c r="C30" i="12"/>
  <c r="F30" i="12"/>
  <c r="B31" i="12"/>
  <c r="G31" i="12" s="1"/>
  <c r="C31" i="12"/>
  <c r="F31" i="12"/>
  <c r="B32" i="12"/>
  <c r="G32" i="12" s="1"/>
  <c r="C32" i="12"/>
  <c r="F32" i="12"/>
  <c r="B33" i="12"/>
  <c r="G33" i="12" s="1"/>
  <c r="C33" i="12"/>
  <c r="F33" i="12"/>
  <c r="B34" i="12"/>
  <c r="G34" i="12" s="1"/>
  <c r="C34" i="12"/>
  <c r="F34" i="12"/>
  <c r="B35" i="12"/>
  <c r="G35" i="12" s="1"/>
  <c r="C35" i="12"/>
  <c r="F35" i="12"/>
  <c r="B36" i="12"/>
  <c r="G36" i="12" s="1"/>
  <c r="C36" i="12"/>
  <c r="F36" i="12"/>
  <c r="B37" i="12"/>
  <c r="G37" i="12" s="1"/>
  <c r="C37" i="12"/>
  <c r="F37" i="12"/>
  <c r="B38" i="12"/>
  <c r="G38" i="12" s="1"/>
  <c r="C38" i="12"/>
  <c r="F38" i="12"/>
  <c r="B39" i="12"/>
  <c r="G39" i="12" s="1"/>
  <c r="C39" i="12"/>
  <c r="F39" i="12"/>
  <c r="B40" i="12"/>
  <c r="G40" i="12" s="1"/>
  <c r="C40" i="12"/>
  <c r="F40" i="12"/>
  <c r="B41" i="12"/>
  <c r="G41" i="12" s="1"/>
  <c r="C41" i="12"/>
  <c r="F41" i="12"/>
  <c r="B42" i="12"/>
  <c r="G42" i="12" s="1"/>
  <c r="C42" i="12"/>
  <c r="F42" i="12"/>
  <c r="B43" i="12"/>
  <c r="G43" i="12" s="1"/>
  <c r="C43" i="12"/>
  <c r="F43" i="12"/>
  <c r="B44" i="12"/>
  <c r="G44" i="12" s="1"/>
  <c r="C44" i="12"/>
  <c r="F44" i="12"/>
  <c r="B45" i="12"/>
  <c r="G45" i="12" s="1"/>
  <c r="C45" i="12"/>
  <c r="F45" i="12"/>
  <c r="B46" i="12"/>
  <c r="G46" i="12" s="1"/>
  <c r="C46" i="12"/>
  <c r="F46" i="12"/>
  <c r="B47" i="12"/>
  <c r="G47" i="12" s="1"/>
  <c r="C47" i="12"/>
  <c r="F47" i="12"/>
  <c r="B48" i="12"/>
  <c r="G48" i="12" s="1"/>
  <c r="C48" i="12"/>
  <c r="F48" i="12"/>
  <c r="B49" i="12"/>
  <c r="G49" i="12" s="1"/>
  <c r="C49" i="12"/>
  <c r="F49" i="12"/>
  <c r="B50" i="12"/>
  <c r="G50" i="12" s="1"/>
  <c r="C50" i="12"/>
  <c r="F50" i="12"/>
  <c r="B51" i="12"/>
  <c r="G51" i="12" s="1"/>
  <c r="C51" i="12"/>
  <c r="F51" i="12"/>
  <c r="B52" i="12"/>
  <c r="G52" i="12" s="1"/>
  <c r="C52" i="12"/>
  <c r="F52" i="12"/>
  <c r="B53" i="12"/>
  <c r="G53" i="12" s="1"/>
  <c r="C53" i="12"/>
  <c r="F53" i="12"/>
  <c r="B54" i="12"/>
  <c r="G54" i="12" s="1"/>
  <c r="C54" i="12"/>
  <c r="F54" i="12"/>
  <c r="B55" i="12"/>
  <c r="G55" i="12" s="1"/>
  <c r="C55" i="12"/>
  <c r="F55" i="12"/>
  <c r="B56" i="12"/>
  <c r="G56" i="12" s="1"/>
  <c r="C56" i="12"/>
  <c r="F56" i="12"/>
  <c r="B57" i="12"/>
  <c r="G57" i="12" s="1"/>
  <c r="C57" i="12"/>
  <c r="F57" i="12"/>
  <c r="B58" i="12"/>
  <c r="G58" i="12" s="1"/>
  <c r="C58" i="12"/>
  <c r="F58" i="12"/>
  <c r="B59" i="12"/>
  <c r="G59" i="12" s="1"/>
  <c r="C59" i="12"/>
  <c r="F59" i="12"/>
  <c r="B60" i="12"/>
  <c r="G60" i="12" s="1"/>
  <c r="C60" i="12"/>
  <c r="F60" i="12"/>
  <c r="B61" i="12"/>
  <c r="G61" i="12" s="1"/>
  <c r="C61" i="12"/>
  <c r="F61" i="12"/>
  <c r="B62" i="12"/>
  <c r="G62" i="12" s="1"/>
  <c r="C62" i="12"/>
  <c r="F62" i="12"/>
  <c r="B63" i="12"/>
  <c r="G63" i="12" s="1"/>
  <c r="C63" i="12"/>
  <c r="F63" i="12"/>
  <c r="B64" i="12"/>
  <c r="G64" i="12" s="1"/>
  <c r="C64" i="12"/>
  <c r="F64" i="12"/>
  <c r="B65" i="12"/>
  <c r="G65" i="12" s="1"/>
  <c r="C65" i="12"/>
  <c r="F65" i="12"/>
  <c r="B66" i="12"/>
  <c r="G66" i="12" s="1"/>
  <c r="C66" i="12"/>
  <c r="F66" i="12"/>
  <c r="B67" i="12"/>
  <c r="G67" i="12" s="1"/>
  <c r="C67" i="12"/>
  <c r="F67" i="12"/>
  <c r="B68" i="12"/>
  <c r="G68" i="12" s="1"/>
  <c r="C68" i="12"/>
  <c r="F68" i="12"/>
  <c r="B69" i="12"/>
  <c r="G69" i="12" s="1"/>
  <c r="C69" i="12"/>
  <c r="F69" i="12"/>
  <c r="B70" i="12"/>
  <c r="G70" i="12" s="1"/>
  <c r="C70" i="12"/>
  <c r="F70" i="12"/>
  <c r="B71" i="12"/>
  <c r="G71" i="12" s="1"/>
  <c r="C71" i="12"/>
  <c r="F71" i="12"/>
  <c r="B72" i="12"/>
  <c r="G72" i="12" s="1"/>
  <c r="C72" i="12"/>
  <c r="F72" i="12"/>
  <c r="B73" i="12"/>
  <c r="G73" i="12" s="1"/>
  <c r="C73" i="12"/>
  <c r="F73" i="12"/>
  <c r="B74" i="12"/>
  <c r="G74" i="12" s="1"/>
  <c r="C74" i="12"/>
  <c r="F74" i="12"/>
  <c r="B75" i="12"/>
  <c r="G75" i="12" s="1"/>
  <c r="C75" i="12"/>
  <c r="F75" i="12"/>
  <c r="B76" i="12"/>
  <c r="G76" i="12" s="1"/>
  <c r="C76" i="12"/>
  <c r="F76" i="12"/>
  <c r="B77" i="12"/>
  <c r="G77" i="12" s="1"/>
  <c r="C77" i="12"/>
  <c r="F77" i="12"/>
  <c r="B78" i="12"/>
  <c r="G78" i="12" s="1"/>
  <c r="C78" i="12"/>
  <c r="F78" i="12"/>
  <c r="B79" i="12"/>
  <c r="G79" i="12" s="1"/>
  <c r="C79" i="12"/>
  <c r="F79" i="12"/>
  <c r="B80" i="12"/>
  <c r="G80" i="12" s="1"/>
  <c r="C80" i="12"/>
  <c r="F80" i="12"/>
  <c r="B81" i="12"/>
  <c r="G81" i="12" s="1"/>
  <c r="C81" i="12"/>
  <c r="F81" i="12"/>
  <c r="B82" i="12"/>
  <c r="G82" i="12" s="1"/>
  <c r="C82" i="12"/>
  <c r="F82" i="12"/>
  <c r="B83" i="12"/>
  <c r="C83" i="12"/>
  <c r="F83" i="12"/>
  <c r="B84" i="12"/>
  <c r="G84" i="12" s="1"/>
  <c r="C84" i="12"/>
  <c r="F84" i="12"/>
  <c r="B85" i="12"/>
  <c r="G85" i="12" s="1"/>
  <c r="C85" i="12"/>
  <c r="F85" i="12"/>
  <c r="B86" i="12"/>
  <c r="G86" i="12" s="1"/>
  <c r="C86" i="12"/>
  <c r="F86" i="12"/>
  <c r="B87" i="12"/>
  <c r="C87" i="12"/>
  <c r="F87" i="12"/>
  <c r="B88" i="12"/>
  <c r="G88" i="12" s="1"/>
  <c r="C88" i="12"/>
  <c r="F88" i="12"/>
  <c r="B89" i="12"/>
  <c r="G89" i="12" s="1"/>
  <c r="C89" i="12"/>
  <c r="F89" i="12"/>
  <c r="B90" i="12"/>
  <c r="G90" i="12" s="1"/>
  <c r="C90" i="12"/>
  <c r="F90" i="12"/>
  <c r="B91" i="12"/>
  <c r="C91" i="12"/>
  <c r="F91" i="12"/>
  <c r="B92" i="12"/>
  <c r="G92" i="12" s="1"/>
  <c r="C92" i="12"/>
  <c r="F92" i="12"/>
  <c r="B93" i="12"/>
  <c r="G93" i="12" s="1"/>
  <c r="C93" i="12"/>
  <c r="F93" i="12"/>
  <c r="B94" i="12"/>
  <c r="G94" i="12" s="1"/>
  <c r="C94" i="12"/>
  <c r="F94" i="12"/>
  <c r="B95" i="12"/>
  <c r="C95" i="12"/>
  <c r="F95" i="12"/>
  <c r="B96" i="12"/>
  <c r="G96" i="12" s="1"/>
  <c r="C96" i="12"/>
  <c r="F96" i="12"/>
  <c r="B97" i="12"/>
  <c r="G97" i="12" s="1"/>
  <c r="C97" i="12"/>
  <c r="F97" i="12"/>
  <c r="B98" i="12"/>
  <c r="G98" i="12" s="1"/>
  <c r="C98" i="12"/>
  <c r="F98" i="12"/>
  <c r="B99" i="12"/>
  <c r="C99" i="12"/>
  <c r="F99" i="12"/>
  <c r="B100" i="12"/>
  <c r="G100" i="12" s="1"/>
  <c r="C100" i="12"/>
  <c r="F100" i="12"/>
  <c r="B101" i="12"/>
  <c r="G101" i="12" s="1"/>
  <c r="C101" i="12"/>
  <c r="F101" i="12"/>
  <c r="B102" i="12"/>
  <c r="G102" i="12" s="1"/>
  <c r="C102" i="12"/>
  <c r="F102" i="12"/>
  <c r="B103" i="12"/>
  <c r="C103" i="12"/>
  <c r="F103" i="12"/>
  <c r="B104" i="12"/>
  <c r="G104" i="12" s="1"/>
  <c r="C104" i="12"/>
  <c r="F104" i="12"/>
  <c r="B105" i="12"/>
  <c r="C105" i="12"/>
  <c r="F105" i="12"/>
  <c r="B106" i="12"/>
  <c r="G106" i="12" s="1"/>
  <c r="C106" i="12"/>
  <c r="F106" i="12"/>
  <c r="B107" i="12"/>
  <c r="G107" i="12" s="1"/>
  <c r="C107" i="12"/>
  <c r="F107" i="12"/>
  <c r="B108" i="12"/>
  <c r="G108" i="12" s="1"/>
  <c r="C108" i="12"/>
  <c r="F108" i="12"/>
  <c r="B109" i="12"/>
  <c r="G109" i="12" s="1"/>
  <c r="C109" i="12"/>
  <c r="F109" i="12"/>
  <c r="B110" i="12"/>
  <c r="G110" i="12" s="1"/>
  <c r="C110" i="12"/>
  <c r="F110" i="12"/>
  <c r="B111" i="12"/>
  <c r="G111" i="12" s="1"/>
  <c r="C111" i="12"/>
  <c r="F111" i="12"/>
  <c r="B112" i="12"/>
  <c r="G112" i="12" s="1"/>
  <c r="C112" i="12"/>
  <c r="F112" i="12"/>
  <c r="B113" i="12"/>
  <c r="G113" i="12" s="1"/>
  <c r="C113" i="12"/>
  <c r="F113" i="12"/>
  <c r="B114" i="12"/>
  <c r="G114" i="12" s="1"/>
  <c r="C114" i="12"/>
  <c r="F114" i="12"/>
  <c r="B115" i="12"/>
  <c r="G115" i="12" s="1"/>
  <c r="C115" i="12"/>
  <c r="F115" i="12"/>
  <c r="B116" i="12"/>
  <c r="G116" i="12" s="1"/>
  <c r="C116" i="12"/>
  <c r="F116" i="12"/>
  <c r="B117" i="12"/>
  <c r="G117" i="12" s="1"/>
  <c r="C117" i="12"/>
  <c r="F117" i="12"/>
  <c r="B118" i="12"/>
  <c r="G118" i="12" s="1"/>
  <c r="C118" i="12"/>
  <c r="F118" i="12"/>
  <c r="B119" i="12"/>
  <c r="G119" i="12" s="1"/>
  <c r="C119" i="12"/>
  <c r="F119" i="12"/>
  <c r="B120" i="12"/>
  <c r="G120" i="12" s="1"/>
  <c r="C120" i="12"/>
  <c r="F120" i="12"/>
  <c r="B121" i="12"/>
  <c r="G121" i="12" s="1"/>
  <c r="C121" i="12"/>
  <c r="F121" i="12"/>
  <c r="B122" i="12"/>
  <c r="G122" i="12" s="1"/>
  <c r="C122" i="12"/>
  <c r="F122" i="12"/>
  <c r="B123" i="12"/>
  <c r="G123" i="12" s="1"/>
  <c r="C123" i="12"/>
  <c r="F123" i="12"/>
  <c r="B124" i="12"/>
  <c r="G124" i="12" s="1"/>
  <c r="C124" i="12"/>
  <c r="F124" i="12"/>
  <c r="B125" i="12"/>
  <c r="G125" i="12" s="1"/>
  <c r="C125" i="12"/>
  <c r="F125" i="12"/>
  <c r="B126" i="12"/>
  <c r="G126" i="12" s="1"/>
  <c r="C126" i="12"/>
  <c r="F126" i="12"/>
  <c r="B127" i="12"/>
  <c r="G127" i="12" s="1"/>
  <c r="C127" i="12"/>
  <c r="F127" i="12"/>
  <c r="B128" i="12"/>
  <c r="G128" i="12" s="1"/>
  <c r="C128" i="12"/>
  <c r="F128" i="12"/>
  <c r="B129" i="12"/>
  <c r="G129" i="12" s="1"/>
  <c r="C129" i="12"/>
  <c r="F129" i="12"/>
  <c r="B130" i="12"/>
  <c r="G130" i="12" s="1"/>
  <c r="C130" i="12"/>
  <c r="F130" i="12"/>
  <c r="B131" i="12"/>
  <c r="G131" i="12" s="1"/>
  <c r="C131" i="12"/>
  <c r="F131" i="12"/>
  <c r="B132" i="12"/>
  <c r="G132" i="12" s="1"/>
  <c r="C132" i="12"/>
  <c r="F132" i="12"/>
  <c r="B133" i="12"/>
  <c r="G133" i="12" s="1"/>
  <c r="C133" i="12"/>
  <c r="F133" i="12"/>
  <c r="B134" i="12"/>
  <c r="G134" i="12" s="1"/>
  <c r="C134" i="12"/>
  <c r="F134" i="12"/>
  <c r="B135" i="12"/>
  <c r="G135" i="12" s="1"/>
  <c r="C135" i="12"/>
  <c r="F135" i="12"/>
  <c r="B136" i="12"/>
  <c r="G136" i="12" s="1"/>
  <c r="C136" i="12"/>
  <c r="F136" i="12"/>
  <c r="B137" i="12"/>
  <c r="G137" i="12" s="1"/>
  <c r="C137" i="12"/>
  <c r="F137" i="12"/>
  <c r="B138" i="12"/>
  <c r="G138" i="12" s="1"/>
  <c r="C138" i="12"/>
  <c r="F138" i="12"/>
  <c r="B139" i="12"/>
  <c r="G139" i="12" s="1"/>
  <c r="C139" i="12"/>
  <c r="F139" i="12"/>
  <c r="B140" i="12"/>
  <c r="G140" i="12" s="1"/>
  <c r="C140" i="12"/>
  <c r="F140" i="12"/>
  <c r="B141" i="12"/>
  <c r="C141" i="12"/>
  <c r="F141" i="12"/>
  <c r="B142" i="12"/>
  <c r="G142" i="12" s="1"/>
  <c r="C142" i="12"/>
  <c r="F142" i="12"/>
  <c r="B143" i="12"/>
  <c r="G143" i="12" s="1"/>
  <c r="C143" i="12"/>
  <c r="F143" i="12"/>
  <c r="B144" i="12"/>
  <c r="G144" i="12" s="1"/>
  <c r="C144" i="12"/>
  <c r="F144" i="12"/>
  <c r="B145" i="12"/>
  <c r="C145" i="12"/>
  <c r="F145" i="12"/>
  <c r="B146" i="12"/>
  <c r="G146" i="12" s="1"/>
  <c r="C146" i="12"/>
  <c r="F146" i="12"/>
  <c r="B147" i="12"/>
  <c r="G147" i="12" s="1"/>
  <c r="C147" i="12"/>
  <c r="F147" i="12"/>
  <c r="B148" i="12"/>
  <c r="G148" i="12" s="1"/>
  <c r="C148" i="12"/>
  <c r="F148" i="12"/>
  <c r="B149" i="12"/>
  <c r="C149" i="12"/>
  <c r="F149" i="12"/>
  <c r="B150" i="12"/>
  <c r="G150" i="12" s="1"/>
  <c r="C150" i="12"/>
  <c r="F150" i="12"/>
  <c r="B151" i="12"/>
  <c r="G151" i="12" s="1"/>
  <c r="C151" i="12"/>
  <c r="F151" i="12"/>
  <c r="B152" i="12"/>
  <c r="G152" i="12" s="1"/>
  <c r="C152" i="12"/>
  <c r="F152" i="12"/>
  <c r="B153" i="12"/>
  <c r="C153" i="12"/>
  <c r="F153" i="12"/>
  <c r="B154" i="12"/>
  <c r="G154" i="12" s="1"/>
  <c r="C154" i="12"/>
  <c r="F154" i="12"/>
  <c r="B155" i="12"/>
  <c r="G155" i="12" s="1"/>
  <c r="C155" i="12"/>
  <c r="F155" i="12"/>
  <c r="B156" i="12"/>
  <c r="G156" i="12" s="1"/>
  <c r="C156" i="12"/>
  <c r="F156" i="12"/>
  <c r="B157" i="12"/>
  <c r="C157" i="12"/>
  <c r="F157" i="12"/>
  <c r="B158" i="12"/>
  <c r="G158" i="12" s="1"/>
  <c r="C158" i="12"/>
  <c r="F158" i="12"/>
  <c r="B159" i="12"/>
  <c r="G159" i="12" s="1"/>
  <c r="C159" i="12"/>
  <c r="F159" i="12"/>
  <c r="B160" i="12"/>
  <c r="G160" i="12" s="1"/>
  <c r="C160" i="12"/>
  <c r="F160" i="12"/>
  <c r="B161" i="12"/>
  <c r="C161" i="12"/>
  <c r="F161" i="12"/>
  <c r="B162" i="12"/>
  <c r="G162" i="12" s="1"/>
  <c r="C162" i="12"/>
  <c r="F162" i="12"/>
  <c r="B163" i="12"/>
  <c r="G163" i="12" s="1"/>
  <c r="C163" i="12"/>
  <c r="F163" i="12"/>
  <c r="B164" i="12"/>
  <c r="G164" i="12" s="1"/>
  <c r="C164" i="12"/>
  <c r="F164" i="12"/>
  <c r="B165" i="12"/>
  <c r="C165" i="12"/>
  <c r="F165" i="12"/>
  <c r="B166" i="12"/>
  <c r="G166" i="12" s="1"/>
  <c r="C166" i="12"/>
  <c r="F166" i="12"/>
  <c r="B167" i="12"/>
  <c r="G167" i="12" s="1"/>
  <c r="C167" i="12"/>
  <c r="F167" i="12"/>
  <c r="B168" i="12"/>
  <c r="G168" i="12" s="1"/>
  <c r="C168" i="12"/>
  <c r="F168" i="12"/>
  <c r="B169" i="12"/>
  <c r="C169" i="12"/>
  <c r="F169" i="12"/>
  <c r="B170" i="12"/>
  <c r="G170" i="12" s="1"/>
  <c r="C170" i="12"/>
  <c r="F170" i="12"/>
  <c r="B171" i="12"/>
  <c r="G171" i="12" s="1"/>
  <c r="C171" i="12"/>
  <c r="F171" i="12"/>
  <c r="B172" i="12"/>
  <c r="G172" i="12" s="1"/>
  <c r="C172" i="12"/>
  <c r="F172" i="12"/>
  <c r="B173" i="12"/>
  <c r="C173" i="12"/>
  <c r="F173" i="12"/>
  <c r="B174" i="12"/>
  <c r="G174" i="12" s="1"/>
  <c r="C174" i="12"/>
  <c r="F174" i="12"/>
  <c r="B175" i="12"/>
  <c r="G175" i="12" s="1"/>
  <c r="C175" i="12"/>
  <c r="F175" i="12"/>
  <c r="B176" i="12"/>
  <c r="G176" i="12" s="1"/>
  <c r="C176" i="12"/>
  <c r="F176" i="12"/>
  <c r="B177" i="12"/>
  <c r="C177" i="12"/>
  <c r="F177" i="12"/>
  <c r="B178" i="12"/>
  <c r="G178" i="12" s="1"/>
  <c r="C178" i="12"/>
  <c r="F178" i="12"/>
  <c r="B179" i="12"/>
  <c r="G179" i="12" s="1"/>
  <c r="C179" i="12"/>
  <c r="F179" i="12"/>
  <c r="B180" i="12"/>
  <c r="G180" i="12" s="1"/>
  <c r="C180" i="12"/>
  <c r="F180" i="12"/>
  <c r="B181" i="12"/>
  <c r="C181" i="12"/>
  <c r="F181" i="12"/>
  <c r="B182" i="12"/>
  <c r="G182" i="12" s="1"/>
  <c r="C182" i="12"/>
  <c r="F182" i="12"/>
  <c r="B183" i="12"/>
  <c r="G183" i="12" s="1"/>
  <c r="C183" i="12"/>
  <c r="F183" i="12"/>
  <c r="B184" i="12"/>
  <c r="G184" i="12" s="1"/>
  <c r="C184" i="12"/>
  <c r="F184" i="12"/>
  <c r="B185" i="12"/>
  <c r="C185" i="12"/>
  <c r="F185" i="12"/>
  <c r="B186" i="12"/>
  <c r="G186" i="12" s="1"/>
  <c r="C186" i="12"/>
  <c r="F186" i="12"/>
  <c r="B187" i="12"/>
  <c r="G187" i="12" s="1"/>
  <c r="C187" i="12"/>
  <c r="F187" i="12"/>
  <c r="B188" i="12"/>
  <c r="G188" i="12" s="1"/>
  <c r="C188" i="12"/>
  <c r="F188" i="12"/>
  <c r="B189" i="12"/>
  <c r="C189" i="12"/>
  <c r="F189" i="12"/>
  <c r="B190" i="12"/>
  <c r="G190" i="12" s="1"/>
  <c r="C190" i="12"/>
  <c r="F190" i="12"/>
  <c r="B191" i="12"/>
  <c r="G191" i="12" s="1"/>
  <c r="C191" i="12"/>
  <c r="F191" i="12"/>
  <c r="B192" i="12"/>
  <c r="G192" i="12" s="1"/>
  <c r="C192" i="12"/>
  <c r="F192" i="12"/>
  <c r="B193" i="12"/>
  <c r="C193" i="12"/>
  <c r="F193" i="12"/>
  <c r="B194" i="12"/>
  <c r="G194" i="12" s="1"/>
  <c r="C194" i="12"/>
  <c r="F194" i="12"/>
  <c r="B195" i="12"/>
  <c r="G195" i="12" s="1"/>
  <c r="C195" i="12"/>
  <c r="F195" i="12"/>
  <c r="B196" i="12"/>
  <c r="G196" i="12" s="1"/>
  <c r="C196" i="12"/>
  <c r="F196" i="12"/>
  <c r="B197" i="12"/>
  <c r="C197" i="12"/>
  <c r="F197" i="12"/>
  <c r="B198" i="12"/>
  <c r="G198" i="12" s="1"/>
  <c r="C198" i="12"/>
  <c r="F198" i="12"/>
  <c r="B199" i="12"/>
  <c r="G199" i="12" s="1"/>
  <c r="C199" i="12"/>
  <c r="F199" i="12"/>
  <c r="B200" i="12"/>
  <c r="G200" i="12" s="1"/>
  <c r="C200" i="12"/>
  <c r="F200" i="12"/>
  <c r="B201" i="12"/>
  <c r="C201" i="12"/>
  <c r="F201" i="12"/>
  <c r="B202" i="12"/>
  <c r="G202" i="12" s="1"/>
  <c r="C202" i="12"/>
  <c r="F202" i="12"/>
  <c r="B203" i="12"/>
  <c r="G203" i="12" s="1"/>
  <c r="C203" i="12"/>
  <c r="F203" i="12"/>
  <c r="B204" i="12"/>
  <c r="G204" i="12" s="1"/>
  <c r="C204" i="12"/>
  <c r="F204" i="12"/>
  <c r="B205" i="12"/>
  <c r="C205" i="12"/>
  <c r="F205" i="12"/>
  <c r="B206" i="12"/>
  <c r="G206" i="12" s="1"/>
  <c r="C206" i="12"/>
  <c r="F206" i="12"/>
  <c r="B207" i="12"/>
  <c r="G207" i="12" s="1"/>
  <c r="C207" i="12"/>
  <c r="F207" i="12"/>
  <c r="B208" i="12"/>
  <c r="G208" i="12" s="1"/>
  <c r="C208" i="12"/>
  <c r="F208" i="12"/>
  <c r="B209" i="12"/>
  <c r="C209" i="12"/>
  <c r="F209" i="12"/>
  <c r="B210" i="12"/>
  <c r="G210" i="12" s="1"/>
  <c r="C210" i="12"/>
  <c r="F210" i="12"/>
  <c r="B211" i="12"/>
  <c r="G211" i="12" s="1"/>
  <c r="C211" i="12"/>
  <c r="F211" i="12"/>
  <c r="B212" i="12"/>
  <c r="G212" i="12" s="1"/>
  <c r="C212" i="12"/>
  <c r="F212" i="12"/>
  <c r="B213" i="12"/>
  <c r="C213" i="12"/>
  <c r="F213" i="12"/>
  <c r="B214" i="12"/>
  <c r="G214" i="12" s="1"/>
  <c r="C214" i="12"/>
  <c r="F214" i="12"/>
  <c r="B215" i="12"/>
  <c r="G215" i="12" s="1"/>
  <c r="C215" i="12"/>
  <c r="F215" i="12"/>
  <c r="B216" i="12"/>
  <c r="G216" i="12" s="1"/>
  <c r="C216" i="12"/>
  <c r="F216" i="12"/>
  <c r="B217" i="12"/>
  <c r="C217" i="12"/>
  <c r="F217" i="12"/>
  <c r="B218" i="12"/>
  <c r="G218" i="12" s="1"/>
  <c r="C218" i="12"/>
  <c r="F218" i="12"/>
  <c r="B219" i="12"/>
  <c r="G219" i="12" s="1"/>
  <c r="C219" i="12"/>
  <c r="F219" i="12"/>
  <c r="B220" i="12"/>
  <c r="G220" i="12" s="1"/>
  <c r="C220" i="12"/>
  <c r="F220" i="12"/>
  <c r="B221" i="12"/>
  <c r="C221" i="12"/>
  <c r="F221" i="12"/>
  <c r="B222" i="12"/>
  <c r="G222" i="12" s="1"/>
  <c r="C222" i="12"/>
  <c r="F222" i="12"/>
  <c r="B223" i="12"/>
  <c r="G223" i="12" s="1"/>
  <c r="C223" i="12"/>
  <c r="F223" i="12"/>
  <c r="B224" i="12"/>
  <c r="G224" i="12" s="1"/>
  <c r="C224" i="12"/>
  <c r="F224" i="12"/>
  <c r="B225" i="12"/>
  <c r="C225" i="12"/>
  <c r="F225" i="12"/>
  <c r="B226" i="12"/>
  <c r="G226" i="12" s="1"/>
  <c r="C226" i="12"/>
  <c r="F226" i="12"/>
  <c r="B227" i="12"/>
  <c r="G227" i="12" s="1"/>
  <c r="C227" i="12"/>
  <c r="F227" i="12"/>
  <c r="B228" i="12"/>
  <c r="G228" i="12" s="1"/>
  <c r="C228" i="12"/>
  <c r="F228" i="12"/>
  <c r="B229" i="12"/>
  <c r="C229" i="12"/>
  <c r="F229" i="12"/>
  <c r="B230" i="12"/>
  <c r="G230" i="12" s="1"/>
  <c r="C230" i="12"/>
  <c r="F230" i="12"/>
  <c r="B231" i="12"/>
  <c r="G231" i="12" s="1"/>
  <c r="C231" i="12"/>
  <c r="F231" i="12"/>
  <c r="B232" i="12"/>
  <c r="G232" i="12" s="1"/>
  <c r="C232" i="12"/>
  <c r="F232" i="12"/>
  <c r="B233" i="12"/>
  <c r="C233" i="12"/>
  <c r="F233" i="12"/>
  <c r="B234" i="12"/>
  <c r="G234" i="12" s="1"/>
  <c r="C234" i="12"/>
  <c r="F234" i="12"/>
  <c r="B235" i="12"/>
  <c r="G235" i="12" s="1"/>
  <c r="C235" i="12"/>
  <c r="F235" i="12"/>
  <c r="B236" i="12"/>
  <c r="G236" i="12" s="1"/>
  <c r="C236" i="12"/>
  <c r="F236" i="12"/>
  <c r="B237" i="12"/>
  <c r="C237" i="12"/>
  <c r="F237" i="12"/>
  <c r="B238" i="12"/>
  <c r="G238" i="12" s="1"/>
  <c r="C238" i="12"/>
  <c r="F238" i="12"/>
  <c r="B239" i="12"/>
  <c r="G239" i="12" s="1"/>
  <c r="C239" i="12"/>
  <c r="F239" i="12"/>
  <c r="B240" i="12"/>
  <c r="G240" i="12" s="1"/>
  <c r="C240" i="12"/>
  <c r="F240" i="12"/>
  <c r="B241" i="12"/>
  <c r="C241" i="12"/>
  <c r="F241" i="12"/>
  <c r="B242" i="12"/>
  <c r="G242" i="12" s="1"/>
  <c r="C242" i="12"/>
  <c r="F242" i="12"/>
  <c r="B243" i="12"/>
  <c r="G243" i="12" s="1"/>
  <c r="C243" i="12"/>
  <c r="F243" i="12"/>
  <c r="B244" i="12"/>
  <c r="G244" i="12" s="1"/>
  <c r="C244" i="12"/>
  <c r="F244" i="12"/>
  <c r="B245" i="12"/>
  <c r="C245" i="12"/>
  <c r="F245" i="12"/>
  <c r="B246" i="12"/>
  <c r="G246" i="12" s="1"/>
  <c r="C246" i="12"/>
  <c r="F246" i="12"/>
  <c r="B247" i="12"/>
  <c r="G247" i="12" s="1"/>
  <c r="C247" i="12"/>
  <c r="F247" i="12"/>
  <c r="B248" i="12"/>
  <c r="G248" i="12" s="1"/>
  <c r="C248" i="12"/>
  <c r="F248" i="12"/>
  <c r="B249" i="12"/>
  <c r="G249" i="12" s="1"/>
  <c r="C249" i="12"/>
  <c r="F249" i="12"/>
  <c r="B250" i="12"/>
  <c r="G250" i="12" s="1"/>
  <c r="C250" i="12"/>
  <c r="F250" i="12"/>
  <c r="B251" i="12"/>
  <c r="G251" i="12" s="1"/>
  <c r="C251" i="12"/>
  <c r="F251" i="12"/>
  <c r="B252" i="12"/>
  <c r="G252" i="12" s="1"/>
  <c r="C252" i="12"/>
  <c r="F252" i="12"/>
  <c r="B253" i="12"/>
  <c r="G253" i="12" s="1"/>
  <c r="C253" i="12"/>
  <c r="F253" i="12"/>
  <c r="B254" i="12"/>
  <c r="G254" i="12" s="1"/>
  <c r="C254" i="12"/>
  <c r="F254" i="12"/>
  <c r="B255" i="12"/>
  <c r="G255" i="12" s="1"/>
  <c r="C255" i="12"/>
  <c r="F255" i="12"/>
  <c r="B256" i="12"/>
  <c r="G256" i="12" s="1"/>
  <c r="C256" i="12"/>
  <c r="F256" i="12"/>
  <c r="B257" i="12"/>
  <c r="G257" i="12" s="1"/>
  <c r="C257" i="12"/>
  <c r="F257" i="12"/>
  <c r="B258" i="12"/>
  <c r="G258" i="12" s="1"/>
  <c r="C258" i="12"/>
  <c r="F258" i="12"/>
  <c r="B259" i="12"/>
  <c r="G259" i="12" s="1"/>
  <c r="C259" i="12"/>
  <c r="F259" i="12"/>
  <c r="B260" i="12"/>
  <c r="G260" i="12" s="1"/>
  <c r="C260" i="12"/>
  <c r="F260" i="12"/>
  <c r="B261" i="12"/>
  <c r="G261" i="12" s="1"/>
  <c r="C261" i="12"/>
  <c r="F261" i="12"/>
  <c r="B262" i="12"/>
  <c r="G262" i="12" s="1"/>
  <c r="C262" i="12"/>
  <c r="F262" i="12"/>
  <c r="B263" i="12"/>
  <c r="G263" i="12" s="1"/>
  <c r="C263" i="12"/>
  <c r="F263" i="12"/>
  <c r="B264" i="12"/>
  <c r="G264" i="12" s="1"/>
  <c r="C264" i="12"/>
  <c r="F264" i="12"/>
  <c r="B265" i="12"/>
  <c r="C265" i="12"/>
  <c r="F265" i="12"/>
  <c r="B266" i="12"/>
  <c r="G266" i="12" s="1"/>
  <c r="C266" i="12"/>
  <c r="F266" i="12"/>
  <c r="B267" i="12"/>
  <c r="G267" i="12" s="1"/>
  <c r="C267" i="12"/>
  <c r="F267" i="12"/>
  <c r="B268" i="12"/>
  <c r="G268" i="12" s="1"/>
  <c r="C268" i="12"/>
  <c r="F268" i="12"/>
  <c r="B269" i="12"/>
  <c r="G269" i="12" s="1"/>
  <c r="C269" i="12"/>
  <c r="F269" i="12"/>
  <c r="B270" i="12"/>
  <c r="G270" i="12" s="1"/>
  <c r="C270" i="12"/>
  <c r="F270" i="12"/>
  <c r="B271" i="12"/>
  <c r="G271" i="12" s="1"/>
  <c r="C271" i="12"/>
  <c r="F271" i="12"/>
  <c r="B272" i="12"/>
  <c r="G272" i="12" s="1"/>
  <c r="C272" i="12"/>
  <c r="F272" i="12"/>
  <c r="B273" i="12"/>
  <c r="G273" i="12" s="1"/>
  <c r="C273" i="12"/>
  <c r="F273" i="12"/>
  <c r="B274" i="12"/>
  <c r="G274" i="12" s="1"/>
  <c r="C274" i="12"/>
  <c r="F274" i="12"/>
  <c r="B275" i="12"/>
  <c r="G275" i="12" s="1"/>
  <c r="C275" i="12"/>
  <c r="F275" i="12"/>
  <c r="B276" i="12"/>
  <c r="G276" i="12" s="1"/>
  <c r="C276" i="12"/>
  <c r="F276" i="12"/>
  <c r="B277" i="12"/>
  <c r="G277" i="12" s="1"/>
  <c r="C277" i="12"/>
  <c r="F277" i="12"/>
  <c r="B278" i="12"/>
  <c r="G278" i="12" s="1"/>
  <c r="C278" i="12"/>
  <c r="F278" i="12"/>
  <c r="B279" i="12"/>
  <c r="G279" i="12" s="1"/>
  <c r="C279" i="12"/>
  <c r="F279" i="12"/>
  <c r="B280" i="12"/>
  <c r="G280" i="12" s="1"/>
  <c r="C280" i="12"/>
  <c r="F280" i="12"/>
  <c r="B281" i="12"/>
  <c r="C281" i="12"/>
  <c r="F281" i="12"/>
  <c r="B282" i="12"/>
  <c r="G282" i="12" s="1"/>
  <c r="C282" i="12"/>
  <c r="F282" i="12"/>
  <c r="B283" i="12"/>
  <c r="G283" i="12" s="1"/>
  <c r="C283" i="12"/>
  <c r="F283" i="12"/>
  <c r="B284" i="12"/>
  <c r="G284" i="12" s="1"/>
  <c r="C284" i="12"/>
  <c r="F284" i="12"/>
  <c r="B285" i="12"/>
  <c r="G285" i="12" s="1"/>
  <c r="C285" i="12"/>
  <c r="F285" i="12"/>
  <c r="B286" i="12"/>
  <c r="G286" i="12" s="1"/>
  <c r="C286" i="12"/>
  <c r="F286" i="12"/>
  <c r="B287" i="12"/>
  <c r="G287" i="12" s="1"/>
  <c r="C287" i="12"/>
  <c r="F287" i="12"/>
  <c r="B288" i="12"/>
  <c r="G288" i="12" s="1"/>
  <c r="C288" i="12"/>
  <c r="F288" i="12"/>
  <c r="B289" i="12"/>
  <c r="G289" i="12" s="1"/>
  <c r="C289" i="12"/>
  <c r="F289" i="12"/>
  <c r="B290" i="12"/>
  <c r="G290" i="12" s="1"/>
  <c r="C290" i="12"/>
  <c r="F290" i="12"/>
  <c r="B291" i="12"/>
  <c r="G291" i="12" s="1"/>
  <c r="C291" i="12"/>
  <c r="F291" i="12"/>
  <c r="B292" i="12"/>
  <c r="G292" i="12" s="1"/>
  <c r="C292" i="12"/>
  <c r="F292" i="12"/>
  <c r="B293" i="12"/>
  <c r="G293" i="12" s="1"/>
  <c r="C293" i="12"/>
  <c r="F293" i="12"/>
  <c r="B294" i="12"/>
  <c r="G294" i="12" s="1"/>
  <c r="C294" i="12"/>
  <c r="F294" i="12"/>
  <c r="B295" i="12"/>
  <c r="G295" i="12" s="1"/>
  <c r="C295" i="12"/>
  <c r="F295" i="12"/>
  <c r="B296" i="12"/>
  <c r="G296" i="12" s="1"/>
  <c r="C296" i="12"/>
  <c r="F296" i="12"/>
  <c r="B297" i="12"/>
  <c r="G297" i="12" s="1"/>
  <c r="C297" i="12"/>
  <c r="F297" i="12"/>
  <c r="B298" i="12"/>
  <c r="G298" i="12" s="1"/>
  <c r="C298" i="12"/>
  <c r="F298" i="12"/>
  <c r="B299" i="12"/>
  <c r="G299" i="12" s="1"/>
  <c r="C299" i="12"/>
  <c r="F299" i="12"/>
  <c r="B300" i="12"/>
  <c r="G300" i="12" s="1"/>
  <c r="C300" i="12"/>
  <c r="F300" i="12"/>
  <c r="B301" i="12"/>
  <c r="G301" i="12" s="1"/>
  <c r="C301" i="12"/>
  <c r="F301" i="12"/>
  <c r="B302" i="12"/>
  <c r="G302" i="12" s="1"/>
  <c r="C302" i="12"/>
  <c r="F302" i="12"/>
  <c r="B303" i="12"/>
  <c r="G303" i="12" s="1"/>
  <c r="C303" i="12"/>
  <c r="F303" i="12"/>
  <c r="B304" i="12"/>
  <c r="G304" i="12" s="1"/>
  <c r="C304" i="12"/>
  <c r="F304" i="12"/>
  <c r="B305" i="12"/>
  <c r="G305" i="12" s="1"/>
  <c r="C305" i="12"/>
  <c r="F305" i="12"/>
  <c r="B306" i="12"/>
  <c r="G306" i="12" s="1"/>
  <c r="C306" i="12"/>
  <c r="F306" i="12"/>
  <c r="B307" i="12"/>
  <c r="G307" i="12" s="1"/>
  <c r="C307" i="12"/>
  <c r="F307" i="12"/>
  <c r="B308" i="12"/>
  <c r="G308" i="12" s="1"/>
  <c r="C308" i="12"/>
  <c r="F308" i="12"/>
  <c r="B309" i="12"/>
  <c r="G309" i="12" s="1"/>
  <c r="C309" i="12"/>
  <c r="F309" i="12"/>
  <c r="B310" i="12"/>
  <c r="G310" i="12" s="1"/>
  <c r="C310" i="12"/>
  <c r="F310" i="12"/>
  <c r="B311" i="12"/>
  <c r="G311" i="12" s="1"/>
  <c r="C311" i="12"/>
  <c r="F311" i="12"/>
  <c r="B312" i="12"/>
  <c r="G312" i="12" s="1"/>
  <c r="C312" i="12"/>
  <c r="F312" i="12"/>
  <c r="B313" i="12"/>
  <c r="C313" i="12"/>
  <c r="F313" i="12"/>
  <c r="B314" i="12"/>
  <c r="G314" i="12" s="1"/>
  <c r="C314" i="12"/>
  <c r="F314" i="12"/>
  <c r="B315" i="12"/>
  <c r="G315" i="12" s="1"/>
  <c r="C315" i="12"/>
  <c r="F315" i="12"/>
  <c r="B316" i="12"/>
  <c r="G316" i="12" s="1"/>
  <c r="C316" i="12"/>
  <c r="F316" i="12"/>
  <c r="B317" i="12"/>
  <c r="G317" i="12" s="1"/>
  <c r="C317" i="12"/>
  <c r="F317" i="12"/>
  <c r="B318" i="12"/>
  <c r="G318" i="12" s="1"/>
  <c r="C318" i="12"/>
  <c r="F318" i="12"/>
  <c r="B319" i="12"/>
  <c r="G319" i="12" s="1"/>
  <c r="C319" i="12"/>
  <c r="F319" i="12"/>
  <c r="B320" i="12"/>
  <c r="G320" i="12" s="1"/>
  <c r="C320" i="12"/>
  <c r="F320" i="12"/>
  <c r="B321" i="12"/>
  <c r="C321" i="12"/>
  <c r="F321" i="12"/>
  <c r="B322" i="12"/>
  <c r="G322" i="12" s="1"/>
  <c r="C322" i="12"/>
  <c r="F322" i="12"/>
  <c r="B323" i="12"/>
  <c r="G323" i="12" s="1"/>
  <c r="C323" i="12"/>
  <c r="F323" i="12"/>
  <c r="B324" i="12"/>
  <c r="G324" i="12" s="1"/>
  <c r="C324" i="12"/>
  <c r="F324" i="12"/>
  <c r="B325" i="12"/>
  <c r="G325" i="12" s="1"/>
  <c r="C325" i="12"/>
  <c r="F325" i="12"/>
  <c r="B326" i="12"/>
  <c r="G326" i="12" s="1"/>
  <c r="C326" i="12"/>
  <c r="F326" i="12"/>
  <c r="B327" i="12"/>
  <c r="G327" i="12" s="1"/>
  <c r="C327" i="12"/>
  <c r="F327" i="12"/>
  <c r="B328" i="12"/>
  <c r="G328" i="12" s="1"/>
  <c r="C328" i="12"/>
  <c r="F328" i="12"/>
  <c r="B329" i="12"/>
  <c r="C329" i="12"/>
  <c r="F329" i="12"/>
  <c r="B330" i="12"/>
  <c r="G330" i="12" s="1"/>
  <c r="C330" i="12"/>
  <c r="F330" i="12"/>
  <c r="B331" i="12"/>
  <c r="G331" i="12" s="1"/>
  <c r="C331" i="12"/>
  <c r="F331" i="12"/>
  <c r="B332" i="12"/>
  <c r="G332" i="12" s="1"/>
  <c r="C332" i="12"/>
  <c r="F332" i="12"/>
  <c r="B333" i="12"/>
  <c r="G333" i="12" s="1"/>
  <c r="C333" i="12"/>
  <c r="F333" i="12"/>
  <c r="B334" i="12"/>
  <c r="G334" i="12" s="1"/>
  <c r="C334" i="12"/>
  <c r="F334" i="12"/>
  <c r="B335" i="12"/>
  <c r="G335" i="12" s="1"/>
  <c r="C335" i="12"/>
  <c r="F335" i="12"/>
  <c r="B336" i="12"/>
  <c r="G336" i="12" s="1"/>
  <c r="C336" i="12"/>
  <c r="F336" i="12"/>
  <c r="B337" i="12"/>
  <c r="G337" i="12" s="1"/>
  <c r="C337" i="12"/>
  <c r="F337" i="12"/>
  <c r="B338" i="12"/>
  <c r="G338" i="12" s="1"/>
  <c r="C338" i="12"/>
  <c r="F338" i="12"/>
  <c r="B339" i="12"/>
  <c r="G339" i="12" s="1"/>
  <c r="C339" i="12"/>
  <c r="F339" i="12"/>
  <c r="B340" i="12"/>
  <c r="G340" i="12" s="1"/>
  <c r="C340" i="12"/>
  <c r="F340" i="12"/>
  <c r="B341" i="12"/>
  <c r="G341" i="12" s="1"/>
  <c r="C341" i="12"/>
  <c r="F341" i="12"/>
  <c r="B342" i="12"/>
  <c r="G342" i="12" s="1"/>
  <c r="C342" i="12"/>
  <c r="F342" i="12"/>
  <c r="B343" i="12"/>
  <c r="G343" i="12" s="1"/>
  <c r="C343" i="12"/>
  <c r="F343" i="12"/>
  <c r="B344" i="12"/>
  <c r="G344" i="12" s="1"/>
  <c r="C344" i="12"/>
  <c r="F344" i="12"/>
  <c r="B345" i="12"/>
  <c r="G345" i="12" s="1"/>
  <c r="C345" i="12"/>
  <c r="F345" i="12"/>
  <c r="B346" i="12"/>
  <c r="G346" i="12" s="1"/>
  <c r="C346" i="12"/>
  <c r="F346" i="12"/>
  <c r="B347" i="12"/>
  <c r="G347" i="12" s="1"/>
  <c r="C347" i="12"/>
  <c r="F347" i="12"/>
  <c r="B348" i="12"/>
  <c r="G348" i="12" s="1"/>
  <c r="C348" i="12"/>
  <c r="F348" i="12"/>
  <c r="B349" i="12"/>
  <c r="G349" i="12" s="1"/>
  <c r="C349" i="12"/>
  <c r="F349" i="12"/>
  <c r="B350" i="12"/>
  <c r="G350" i="12" s="1"/>
  <c r="C350" i="12"/>
  <c r="F350" i="12"/>
  <c r="B351" i="12"/>
  <c r="G351" i="12" s="1"/>
  <c r="C351" i="12"/>
  <c r="F351" i="12"/>
  <c r="B352" i="12"/>
  <c r="G352" i="12" s="1"/>
  <c r="C352" i="12"/>
  <c r="F352" i="12"/>
  <c r="B353" i="12"/>
  <c r="G353" i="12" s="1"/>
  <c r="C353" i="12"/>
  <c r="F353" i="12"/>
  <c r="B354" i="12"/>
  <c r="G354" i="12" s="1"/>
  <c r="C354" i="12"/>
  <c r="F354" i="12"/>
  <c r="B355" i="12"/>
  <c r="G355" i="12" s="1"/>
  <c r="C355" i="12"/>
  <c r="F355" i="12"/>
  <c r="B356" i="12"/>
  <c r="G356" i="12" s="1"/>
  <c r="C356" i="12"/>
  <c r="F356" i="12"/>
  <c r="B357" i="12"/>
  <c r="G357" i="12" s="1"/>
  <c r="C357" i="12"/>
  <c r="F357" i="12"/>
  <c r="B358" i="12"/>
  <c r="G358" i="12" s="1"/>
  <c r="C358" i="12"/>
  <c r="F358" i="12"/>
  <c r="B359" i="12"/>
  <c r="G359" i="12" s="1"/>
  <c r="C359" i="12"/>
  <c r="F359" i="12"/>
  <c r="B360" i="12"/>
  <c r="G360" i="12" s="1"/>
  <c r="C360" i="12"/>
  <c r="F360" i="12"/>
  <c r="B361" i="12"/>
  <c r="G361" i="12" s="1"/>
  <c r="C361" i="12"/>
  <c r="F361" i="12"/>
  <c r="B362" i="12"/>
  <c r="G362" i="12" s="1"/>
  <c r="C362" i="12"/>
  <c r="F362" i="12"/>
  <c r="B363" i="12"/>
  <c r="G363" i="12" s="1"/>
  <c r="C363" i="12"/>
  <c r="F363" i="12"/>
  <c r="B364" i="12"/>
  <c r="G364" i="12" s="1"/>
  <c r="C364" i="12"/>
  <c r="F364" i="12"/>
  <c r="B365" i="12"/>
  <c r="G365" i="12" s="1"/>
  <c r="C365" i="12"/>
  <c r="F365" i="12"/>
  <c r="B366" i="12"/>
  <c r="G366" i="12" s="1"/>
  <c r="C366" i="12"/>
  <c r="F366" i="12"/>
  <c r="B367" i="12"/>
  <c r="G367" i="12" s="1"/>
  <c r="C367" i="12"/>
  <c r="F367" i="12"/>
  <c r="B368" i="12"/>
  <c r="G368" i="12" s="1"/>
  <c r="C368" i="12"/>
  <c r="F368" i="12"/>
  <c r="B369" i="12"/>
  <c r="G369" i="12" s="1"/>
  <c r="C369" i="12"/>
  <c r="F369" i="12"/>
  <c r="B370" i="12"/>
  <c r="G370" i="12" s="1"/>
  <c r="C370" i="12"/>
  <c r="F370" i="12"/>
  <c r="B371" i="12"/>
  <c r="G371" i="12" s="1"/>
  <c r="C371" i="12"/>
  <c r="F371" i="12"/>
  <c r="B372" i="12"/>
  <c r="G372" i="12" s="1"/>
  <c r="C372" i="12"/>
  <c r="F372" i="12"/>
  <c r="B373" i="12"/>
  <c r="G373" i="12" s="1"/>
  <c r="C373" i="12"/>
  <c r="F373" i="12"/>
  <c r="B374" i="12"/>
  <c r="G374" i="12" s="1"/>
  <c r="C374" i="12"/>
  <c r="F374" i="12"/>
  <c r="B375" i="12"/>
  <c r="G375" i="12" s="1"/>
  <c r="C375" i="12"/>
  <c r="F375" i="12"/>
  <c r="B376" i="12"/>
  <c r="G376" i="12" s="1"/>
  <c r="C376" i="12"/>
  <c r="F376" i="12"/>
  <c r="B377" i="12"/>
  <c r="G377" i="12" s="1"/>
  <c r="C377" i="12"/>
  <c r="F377" i="12"/>
  <c r="B378" i="12"/>
  <c r="G378" i="12" s="1"/>
  <c r="C378" i="12"/>
  <c r="F378" i="12"/>
  <c r="B379" i="12"/>
  <c r="G379" i="12" s="1"/>
  <c r="C379" i="12"/>
  <c r="F379" i="12"/>
  <c r="B380" i="12"/>
  <c r="G380" i="12" s="1"/>
  <c r="C380" i="12"/>
  <c r="F380" i="12"/>
  <c r="B381" i="12"/>
  <c r="G381" i="12" s="1"/>
  <c r="C381" i="12"/>
  <c r="F381" i="12"/>
  <c r="B382" i="12"/>
  <c r="G382" i="12" s="1"/>
  <c r="C382" i="12"/>
  <c r="F382" i="12"/>
  <c r="B383" i="12"/>
  <c r="G383" i="12" s="1"/>
  <c r="C383" i="12"/>
  <c r="F383" i="12"/>
  <c r="B384" i="12"/>
  <c r="G384" i="12" s="1"/>
  <c r="C384" i="12"/>
  <c r="F384" i="12"/>
  <c r="B385" i="12"/>
  <c r="G385" i="12" s="1"/>
  <c r="C385" i="12"/>
  <c r="F385" i="12"/>
  <c r="B386" i="12"/>
  <c r="G386" i="12" s="1"/>
  <c r="C386" i="12"/>
  <c r="F386" i="12"/>
  <c r="B387" i="12"/>
  <c r="G387" i="12" s="1"/>
  <c r="C387" i="12"/>
  <c r="F387" i="12"/>
  <c r="B388" i="12"/>
  <c r="G388" i="12" s="1"/>
  <c r="C388" i="12"/>
  <c r="F388" i="12"/>
  <c r="B389" i="12"/>
  <c r="G389" i="12" s="1"/>
  <c r="C389" i="12"/>
  <c r="F389" i="12"/>
  <c r="B390" i="12"/>
  <c r="G390" i="12" s="1"/>
  <c r="C390" i="12"/>
  <c r="F390" i="12"/>
  <c r="B391" i="12"/>
  <c r="G391" i="12" s="1"/>
  <c r="C391" i="12"/>
  <c r="F391" i="12"/>
  <c r="B392" i="12"/>
  <c r="G392" i="12" s="1"/>
  <c r="C392" i="12"/>
  <c r="F392" i="12"/>
  <c r="B393" i="12"/>
  <c r="G393" i="12" s="1"/>
  <c r="C393" i="12"/>
  <c r="F393" i="12"/>
  <c r="B394" i="12"/>
  <c r="G394" i="12" s="1"/>
  <c r="C394" i="12"/>
  <c r="F394" i="12"/>
  <c r="B395" i="12"/>
  <c r="G395" i="12" s="1"/>
  <c r="C395" i="12"/>
  <c r="F395" i="12"/>
  <c r="B396" i="12"/>
  <c r="G396" i="12" s="1"/>
  <c r="C396" i="12"/>
  <c r="F396" i="12"/>
  <c r="B397" i="12"/>
  <c r="G397" i="12" s="1"/>
  <c r="C397" i="12"/>
  <c r="F397" i="12"/>
  <c r="B398" i="12"/>
  <c r="G398" i="12" s="1"/>
  <c r="C398" i="12"/>
  <c r="F398" i="12"/>
  <c r="B399" i="12"/>
  <c r="G399" i="12" s="1"/>
  <c r="C399" i="12"/>
  <c r="F399" i="12"/>
  <c r="B400" i="12"/>
  <c r="G400" i="12" s="1"/>
  <c r="C400" i="12"/>
  <c r="F400" i="12"/>
  <c r="B401" i="12"/>
  <c r="G401" i="12" s="1"/>
  <c r="C401" i="12"/>
  <c r="F401" i="12"/>
  <c r="B402" i="12"/>
  <c r="G402" i="12" s="1"/>
  <c r="C402" i="12"/>
  <c r="F402" i="12"/>
  <c r="B403" i="12"/>
  <c r="G403" i="12" s="1"/>
  <c r="C403" i="12"/>
  <c r="F403" i="12"/>
  <c r="B404" i="12"/>
  <c r="G404" i="12" s="1"/>
  <c r="C404" i="12"/>
  <c r="F404" i="12"/>
  <c r="B405" i="12"/>
  <c r="G405" i="12" s="1"/>
  <c r="C405" i="12"/>
  <c r="F405" i="12"/>
  <c r="B406" i="12"/>
  <c r="G406" i="12" s="1"/>
  <c r="C406" i="12"/>
  <c r="F406" i="12"/>
  <c r="B407" i="12"/>
  <c r="G407" i="12" s="1"/>
  <c r="C407" i="12"/>
  <c r="F407" i="12"/>
  <c r="B408" i="12"/>
  <c r="G408" i="12" s="1"/>
  <c r="C408" i="12"/>
  <c r="F408" i="12"/>
  <c r="B409" i="12"/>
  <c r="G409" i="12" s="1"/>
  <c r="C409" i="12"/>
  <c r="F409" i="12"/>
  <c r="B410" i="12"/>
  <c r="G410" i="12" s="1"/>
  <c r="C410" i="12"/>
  <c r="F410" i="12"/>
  <c r="B411" i="12"/>
  <c r="G411" i="12" s="1"/>
  <c r="C411" i="12"/>
  <c r="F411" i="12"/>
  <c r="B412" i="12"/>
  <c r="C412" i="12"/>
  <c r="F412" i="12"/>
  <c r="B413" i="12"/>
  <c r="G413" i="12" s="1"/>
  <c r="C413" i="12"/>
  <c r="F413" i="12"/>
  <c r="B414" i="12"/>
  <c r="G414" i="12" s="1"/>
  <c r="C414" i="12"/>
  <c r="F414" i="12"/>
  <c r="B415" i="12"/>
  <c r="G415" i="12" s="1"/>
  <c r="C415" i="12"/>
  <c r="F415" i="12"/>
  <c r="B416" i="12"/>
  <c r="C416" i="12"/>
  <c r="F416" i="12"/>
  <c r="B417" i="12"/>
  <c r="G417" i="12" s="1"/>
  <c r="C417" i="12"/>
  <c r="F417" i="12"/>
  <c r="B418" i="12"/>
  <c r="G418" i="12" s="1"/>
  <c r="C418" i="12"/>
  <c r="F418" i="12"/>
  <c r="B419" i="12"/>
  <c r="G419" i="12" s="1"/>
  <c r="C419" i="12"/>
  <c r="F419" i="12"/>
  <c r="B420" i="12"/>
  <c r="C420" i="12"/>
  <c r="F420" i="12"/>
  <c r="B421" i="12"/>
  <c r="G421" i="12" s="1"/>
  <c r="C421" i="12"/>
  <c r="F421" i="12"/>
  <c r="B422" i="12"/>
  <c r="G422" i="12" s="1"/>
  <c r="C422" i="12"/>
  <c r="F422" i="12"/>
  <c r="B423" i="12"/>
  <c r="G423" i="12" s="1"/>
  <c r="C423" i="12"/>
  <c r="F423" i="12"/>
  <c r="B424" i="12"/>
  <c r="C424" i="12"/>
  <c r="F424" i="12"/>
  <c r="B425" i="12"/>
  <c r="G425" i="12" s="1"/>
  <c r="C425" i="12"/>
  <c r="F425" i="12"/>
  <c r="B426" i="12"/>
  <c r="G426" i="12" s="1"/>
  <c r="C426" i="12"/>
  <c r="F426" i="12"/>
  <c r="B427" i="12"/>
  <c r="G427" i="12" s="1"/>
  <c r="C427" i="12"/>
  <c r="F427" i="12"/>
  <c r="B428" i="12"/>
  <c r="C428" i="12"/>
  <c r="F428" i="12"/>
  <c r="B429" i="12"/>
  <c r="G429" i="12" s="1"/>
  <c r="C429" i="12"/>
  <c r="F429" i="12"/>
  <c r="B430" i="12"/>
  <c r="G430" i="12" s="1"/>
  <c r="C430" i="12"/>
  <c r="F430" i="12"/>
  <c r="B431" i="12"/>
  <c r="G431" i="12" s="1"/>
  <c r="C431" i="12"/>
  <c r="F431" i="12"/>
  <c r="B432" i="12"/>
  <c r="C432" i="12"/>
  <c r="F432" i="12"/>
  <c r="B433" i="12"/>
  <c r="G433" i="12" s="1"/>
  <c r="C433" i="12"/>
  <c r="F433" i="12"/>
  <c r="B434" i="12"/>
  <c r="G434" i="12" s="1"/>
  <c r="C434" i="12"/>
  <c r="F434" i="12"/>
  <c r="B435" i="12"/>
  <c r="G435" i="12" s="1"/>
  <c r="C435" i="12"/>
  <c r="F435" i="12"/>
  <c r="B436" i="12"/>
  <c r="C436" i="12"/>
  <c r="F436" i="12"/>
  <c r="B437" i="12"/>
  <c r="G437" i="12" s="1"/>
  <c r="C437" i="12"/>
  <c r="F437" i="12"/>
  <c r="B438" i="12"/>
  <c r="G438" i="12" s="1"/>
  <c r="C438" i="12"/>
  <c r="F438" i="12"/>
  <c r="B439" i="12"/>
  <c r="G439" i="12" s="1"/>
  <c r="C439" i="12"/>
  <c r="F439" i="12"/>
  <c r="B440" i="12"/>
  <c r="C440" i="12"/>
  <c r="F440" i="12"/>
  <c r="B441" i="12"/>
  <c r="G441" i="12" s="1"/>
  <c r="C441" i="12"/>
  <c r="F441" i="12"/>
  <c r="B442" i="12"/>
  <c r="G442" i="12" s="1"/>
  <c r="C442" i="12"/>
  <c r="F442" i="12"/>
  <c r="B443" i="12"/>
  <c r="G443" i="12" s="1"/>
  <c r="C443" i="12"/>
  <c r="F443" i="12"/>
  <c r="B444" i="12"/>
  <c r="C444" i="12"/>
  <c r="F444" i="12"/>
  <c r="B445" i="12"/>
  <c r="G445" i="12" s="1"/>
  <c r="C445" i="12"/>
  <c r="F445" i="12"/>
  <c r="B446" i="12"/>
  <c r="G446" i="12" s="1"/>
  <c r="C446" i="12"/>
  <c r="F446" i="12"/>
  <c r="B447" i="12"/>
  <c r="G447" i="12" s="1"/>
  <c r="C447" i="12"/>
  <c r="F447" i="12"/>
  <c r="B448" i="12"/>
  <c r="C448" i="12"/>
  <c r="F448" i="12"/>
  <c r="B449" i="12"/>
  <c r="G449" i="12" s="1"/>
  <c r="C449" i="12"/>
  <c r="F449" i="12"/>
  <c r="B450" i="12"/>
  <c r="G450" i="12" s="1"/>
  <c r="C450" i="12"/>
  <c r="F450" i="12"/>
  <c r="B451" i="12"/>
  <c r="G451" i="12" s="1"/>
  <c r="C451" i="12"/>
  <c r="F451" i="12"/>
  <c r="B452" i="12"/>
  <c r="C452" i="12"/>
  <c r="F452" i="12"/>
  <c r="B453" i="12"/>
  <c r="G453" i="12" s="1"/>
  <c r="C453" i="12"/>
  <c r="F453" i="12"/>
  <c r="B454" i="12"/>
  <c r="G454" i="12" s="1"/>
  <c r="C454" i="12"/>
  <c r="F454" i="12"/>
  <c r="B455" i="12"/>
  <c r="G455" i="12" s="1"/>
  <c r="C455" i="12"/>
  <c r="F455" i="12"/>
  <c r="B456" i="12"/>
  <c r="C456" i="12"/>
  <c r="F456" i="12"/>
  <c r="B457" i="12"/>
  <c r="G457" i="12" s="1"/>
  <c r="C457" i="12"/>
  <c r="F457" i="12"/>
  <c r="B458" i="12"/>
  <c r="G458" i="12" s="1"/>
  <c r="C458" i="12"/>
  <c r="F458" i="12"/>
  <c r="B459" i="12"/>
  <c r="G459" i="12" s="1"/>
  <c r="C459" i="12"/>
  <c r="F459" i="12"/>
  <c r="B460" i="12"/>
  <c r="C460" i="12"/>
  <c r="F460" i="12"/>
  <c r="B461" i="12"/>
  <c r="G461" i="12" s="1"/>
  <c r="C461" i="12"/>
  <c r="F461" i="12"/>
  <c r="B462" i="12"/>
  <c r="G462" i="12" s="1"/>
  <c r="C462" i="12"/>
  <c r="F462" i="12"/>
  <c r="B463" i="12"/>
  <c r="G463" i="12" s="1"/>
  <c r="C463" i="12"/>
  <c r="F463" i="12"/>
  <c r="B464" i="12"/>
  <c r="C464" i="12"/>
  <c r="F464" i="12"/>
  <c r="B465" i="12"/>
  <c r="G465" i="12" s="1"/>
  <c r="C465" i="12"/>
  <c r="F465" i="12"/>
  <c r="B466" i="12"/>
  <c r="G466" i="12" s="1"/>
  <c r="C466" i="12"/>
  <c r="F466" i="12"/>
  <c r="B467" i="12"/>
  <c r="G467" i="12" s="1"/>
  <c r="C467" i="12"/>
  <c r="F467" i="12"/>
  <c r="B468" i="12"/>
  <c r="C468" i="12"/>
  <c r="F468" i="12"/>
  <c r="B469" i="12"/>
  <c r="G469" i="12" s="1"/>
  <c r="C469" i="12"/>
  <c r="F469" i="12"/>
  <c r="B470" i="12"/>
  <c r="G470" i="12" s="1"/>
  <c r="C470" i="12"/>
  <c r="F470" i="12"/>
  <c r="B471" i="12"/>
  <c r="G471" i="12" s="1"/>
  <c r="C471" i="12"/>
  <c r="F471" i="12"/>
  <c r="B472" i="12"/>
  <c r="C472" i="12"/>
  <c r="F472" i="12"/>
  <c r="B473" i="12"/>
  <c r="G473" i="12" s="1"/>
  <c r="C473" i="12"/>
  <c r="F473" i="12"/>
  <c r="B474" i="12"/>
  <c r="G474" i="12" s="1"/>
  <c r="C474" i="12"/>
  <c r="F474" i="12"/>
  <c r="B475" i="12"/>
  <c r="G475" i="12" s="1"/>
  <c r="C475" i="12"/>
  <c r="F475" i="12"/>
  <c r="B476" i="12"/>
  <c r="C476" i="12"/>
  <c r="F476" i="12"/>
  <c r="B477" i="12"/>
  <c r="G477" i="12" s="1"/>
  <c r="C477" i="12"/>
  <c r="F477" i="12"/>
  <c r="B478" i="12"/>
  <c r="G478" i="12" s="1"/>
  <c r="C478" i="12"/>
  <c r="F478" i="12"/>
  <c r="B479" i="12"/>
  <c r="G479" i="12" s="1"/>
  <c r="C479" i="12"/>
  <c r="F479" i="12"/>
  <c r="B480" i="12"/>
  <c r="C480" i="12"/>
  <c r="F480" i="12"/>
  <c r="B481" i="12"/>
  <c r="G481" i="12" s="1"/>
  <c r="C481" i="12"/>
  <c r="F481" i="12"/>
  <c r="B482" i="12"/>
  <c r="G482" i="12" s="1"/>
  <c r="C482" i="12"/>
  <c r="F482" i="12"/>
  <c r="B483" i="12"/>
  <c r="G483" i="12" s="1"/>
  <c r="C483" i="12"/>
  <c r="F483" i="12"/>
  <c r="B484" i="12"/>
  <c r="C484" i="12"/>
  <c r="F484" i="12"/>
  <c r="B485" i="12"/>
  <c r="G485" i="12" s="1"/>
  <c r="C485" i="12"/>
  <c r="F485" i="12"/>
  <c r="B486" i="12"/>
  <c r="G486" i="12" s="1"/>
  <c r="C486" i="12"/>
  <c r="F486" i="12"/>
  <c r="B487" i="12"/>
  <c r="G487" i="12" s="1"/>
  <c r="C487" i="12"/>
  <c r="F487" i="12"/>
  <c r="B488" i="12"/>
  <c r="C488" i="12"/>
  <c r="F488" i="12"/>
  <c r="B489" i="12"/>
  <c r="G489" i="12" s="1"/>
  <c r="C489" i="12"/>
  <c r="F489" i="12"/>
  <c r="B490" i="12"/>
  <c r="G490" i="12" s="1"/>
  <c r="C490" i="12"/>
  <c r="F490" i="12"/>
  <c r="B491" i="12"/>
  <c r="G491" i="12" s="1"/>
  <c r="C491" i="12"/>
  <c r="F491" i="12"/>
  <c r="B492" i="12"/>
  <c r="C492" i="12"/>
  <c r="F492" i="12"/>
  <c r="B493" i="12"/>
  <c r="G493" i="12" s="1"/>
  <c r="C493" i="12"/>
  <c r="F493" i="12"/>
  <c r="B494" i="12"/>
  <c r="G494" i="12" s="1"/>
  <c r="C494" i="12"/>
  <c r="F494" i="12"/>
  <c r="B495" i="12"/>
  <c r="G495" i="12" s="1"/>
  <c r="C495" i="12"/>
  <c r="F495" i="12"/>
  <c r="B496" i="12"/>
  <c r="G496" i="12" s="1"/>
  <c r="C496" i="12"/>
  <c r="F496" i="12"/>
  <c r="B497" i="12"/>
  <c r="G497" i="12" s="1"/>
  <c r="C497" i="12"/>
  <c r="F497" i="12"/>
  <c r="B498" i="12"/>
  <c r="G498" i="12" s="1"/>
  <c r="C498" i="12"/>
  <c r="F498" i="12"/>
  <c r="B499" i="12"/>
  <c r="C499" i="12"/>
  <c r="F499" i="12"/>
  <c r="B500" i="12"/>
  <c r="G500" i="12" s="1"/>
  <c r="C500" i="12"/>
  <c r="F500" i="12"/>
  <c r="B501" i="12"/>
  <c r="G501" i="12" s="1"/>
  <c r="C501" i="12"/>
  <c r="F501" i="12"/>
  <c r="B502" i="12"/>
  <c r="G502" i="12" s="1"/>
  <c r="C502" i="12"/>
  <c r="F502" i="12"/>
  <c r="B503" i="12"/>
  <c r="G503" i="12" s="1"/>
  <c r="C503" i="12"/>
  <c r="F503" i="12"/>
  <c r="B504" i="12"/>
  <c r="G504" i="12" s="1"/>
  <c r="C504" i="12"/>
  <c r="F504" i="12"/>
  <c r="B505" i="12"/>
  <c r="G505" i="12" s="1"/>
  <c r="C505" i="12"/>
  <c r="F505" i="12"/>
  <c r="B506" i="12"/>
  <c r="G506" i="12" s="1"/>
  <c r="C506" i="12"/>
  <c r="F506" i="12"/>
  <c r="B507" i="12"/>
  <c r="G507" i="12" s="1"/>
  <c r="C507" i="12"/>
  <c r="F507" i="12"/>
  <c r="B508" i="12"/>
  <c r="G508" i="12" s="1"/>
  <c r="C508" i="12"/>
  <c r="F508" i="12"/>
  <c r="B509" i="12"/>
  <c r="G509" i="12" s="1"/>
  <c r="C509" i="12"/>
  <c r="F509" i="12"/>
  <c r="B510" i="12"/>
  <c r="G510" i="12" s="1"/>
  <c r="C510" i="12"/>
  <c r="F510" i="12"/>
  <c r="B511" i="12"/>
  <c r="C511" i="12"/>
  <c r="F511" i="12"/>
  <c r="B512" i="12"/>
  <c r="G512" i="12" s="1"/>
  <c r="C512" i="12"/>
  <c r="F512" i="12"/>
  <c r="B513" i="12"/>
  <c r="G513" i="12" s="1"/>
  <c r="C513" i="12"/>
  <c r="F513" i="12"/>
  <c r="B514" i="12"/>
  <c r="G514" i="12" s="1"/>
  <c r="C514" i="12"/>
  <c r="F514" i="12"/>
  <c r="B515" i="12"/>
  <c r="C515" i="12"/>
  <c r="F515" i="12"/>
  <c r="B516" i="12"/>
  <c r="G516" i="12" s="1"/>
  <c r="C516" i="12"/>
  <c r="F516" i="12"/>
  <c r="B517" i="12"/>
  <c r="G517" i="12" s="1"/>
  <c r="C517" i="12"/>
  <c r="F517" i="12"/>
  <c r="B518" i="12"/>
  <c r="G518" i="12" s="1"/>
  <c r="C518" i="12"/>
  <c r="F518" i="12"/>
  <c r="B519" i="12"/>
  <c r="C519" i="12"/>
  <c r="F519" i="12"/>
  <c r="B520" i="12"/>
  <c r="G520" i="12" s="1"/>
  <c r="C520" i="12"/>
  <c r="F520" i="12"/>
  <c r="B521" i="12"/>
  <c r="G521" i="12" s="1"/>
  <c r="C521" i="12"/>
  <c r="F521" i="12"/>
  <c r="B522" i="12"/>
  <c r="G522" i="12" s="1"/>
  <c r="C522" i="12"/>
  <c r="F522" i="12"/>
  <c r="B523" i="12"/>
  <c r="C523" i="12"/>
  <c r="F523" i="12"/>
  <c r="B524" i="12"/>
  <c r="G524" i="12" s="1"/>
  <c r="C524" i="12"/>
  <c r="F524" i="12"/>
  <c r="B525" i="12"/>
  <c r="G525" i="12" s="1"/>
  <c r="C525" i="12"/>
  <c r="F525" i="12"/>
  <c r="B526" i="12"/>
  <c r="G526" i="12" s="1"/>
  <c r="C526" i="12"/>
  <c r="F526" i="12"/>
  <c r="B527" i="12"/>
  <c r="C527" i="12"/>
  <c r="F527" i="12"/>
  <c r="B528" i="12"/>
  <c r="G528" i="12" s="1"/>
  <c r="C528" i="12"/>
  <c r="F528" i="12"/>
  <c r="B529" i="12"/>
  <c r="G529" i="12" s="1"/>
  <c r="C529" i="12"/>
  <c r="F529" i="12"/>
  <c r="B530" i="12"/>
  <c r="G530" i="12" s="1"/>
  <c r="C530" i="12"/>
  <c r="F530" i="12"/>
  <c r="B531" i="12"/>
  <c r="C531" i="12"/>
  <c r="F531" i="12"/>
  <c r="B532" i="12"/>
  <c r="G532" i="12" s="1"/>
  <c r="C532" i="12"/>
  <c r="F532" i="12"/>
  <c r="B533" i="12"/>
  <c r="G533" i="12" s="1"/>
  <c r="C533" i="12"/>
  <c r="F533" i="12"/>
  <c r="B534" i="12"/>
  <c r="G534" i="12" s="1"/>
  <c r="C534" i="12"/>
  <c r="F534" i="12"/>
  <c r="B535" i="12"/>
  <c r="C535" i="12"/>
  <c r="F535" i="12"/>
  <c r="B536" i="12"/>
  <c r="G536" i="12" s="1"/>
  <c r="C536" i="12"/>
  <c r="F536" i="12"/>
  <c r="B537" i="12"/>
  <c r="C537" i="12"/>
  <c r="F537" i="12"/>
  <c r="B538" i="12"/>
  <c r="G538" i="12" s="1"/>
  <c r="C538" i="12"/>
  <c r="F538" i="12"/>
  <c r="B539" i="12"/>
  <c r="C539" i="12"/>
  <c r="F539" i="12"/>
  <c r="B540" i="12"/>
  <c r="G540" i="12" s="1"/>
  <c r="C540" i="12"/>
  <c r="F540" i="12"/>
  <c r="B541" i="12"/>
  <c r="G541" i="12" s="1"/>
  <c r="C541" i="12"/>
  <c r="F541" i="12"/>
  <c r="B542" i="12"/>
  <c r="G542" i="12" s="1"/>
  <c r="C542" i="12"/>
  <c r="F542" i="12"/>
  <c r="B543" i="12"/>
  <c r="C543" i="12"/>
  <c r="F543" i="12"/>
  <c r="B544" i="12"/>
  <c r="G544" i="12" s="1"/>
  <c r="C544" i="12"/>
  <c r="F544" i="12"/>
  <c r="B545" i="12"/>
  <c r="G545" i="12" s="1"/>
  <c r="C545" i="12"/>
  <c r="F545" i="12"/>
  <c r="B546" i="12"/>
  <c r="G546" i="12" s="1"/>
  <c r="C546" i="12"/>
  <c r="F546" i="12"/>
  <c r="B547" i="12"/>
  <c r="C547" i="12"/>
  <c r="F547" i="12"/>
  <c r="B548" i="12"/>
  <c r="G548" i="12" s="1"/>
  <c r="C548" i="12"/>
  <c r="F548" i="12"/>
  <c r="B549" i="12"/>
  <c r="G549" i="12" s="1"/>
  <c r="C549" i="12"/>
  <c r="F549" i="12"/>
  <c r="B550" i="12"/>
  <c r="G550" i="12" s="1"/>
  <c r="C550" i="12"/>
  <c r="F550" i="12"/>
  <c r="B551" i="12"/>
  <c r="C551" i="12"/>
  <c r="F551" i="12"/>
  <c r="B552" i="12"/>
  <c r="G552" i="12" s="1"/>
  <c r="C552" i="12"/>
  <c r="F552" i="12"/>
  <c r="B553" i="12"/>
  <c r="C553" i="12"/>
  <c r="F553" i="12"/>
  <c r="B554" i="12"/>
  <c r="G554" i="12" s="1"/>
  <c r="C554" i="12"/>
  <c r="F554" i="12"/>
  <c r="B555" i="12"/>
  <c r="C555" i="12"/>
  <c r="F555" i="12"/>
  <c r="B556" i="12"/>
  <c r="G556" i="12" s="1"/>
  <c r="C556" i="12"/>
  <c r="F556" i="12"/>
  <c r="B557" i="12"/>
  <c r="G557" i="12" s="1"/>
  <c r="C557" i="12"/>
  <c r="F557" i="12"/>
  <c r="B558" i="12"/>
  <c r="G558" i="12" s="1"/>
  <c r="C558" i="12"/>
  <c r="F558" i="12"/>
  <c r="B559" i="12"/>
  <c r="C559" i="12"/>
  <c r="F559" i="12"/>
  <c r="B560" i="12"/>
  <c r="G560" i="12" s="1"/>
  <c r="C560" i="12"/>
  <c r="F560" i="12"/>
  <c r="B561" i="12"/>
  <c r="G561" i="12" s="1"/>
  <c r="C561" i="12"/>
  <c r="F561" i="12"/>
  <c r="B562" i="12"/>
  <c r="G562" i="12" s="1"/>
  <c r="C562" i="12"/>
  <c r="F562" i="12"/>
  <c r="B563" i="12"/>
  <c r="C563" i="12"/>
  <c r="F563" i="12"/>
  <c r="B564" i="12"/>
  <c r="G564" i="12" s="1"/>
  <c r="C564" i="12"/>
  <c r="F564" i="12"/>
  <c r="B565" i="12"/>
  <c r="G565" i="12" s="1"/>
  <c r="C565" i="12"/>
  <c r="F565" i="12"/>
  <c r="B566" i="12"/>
  <c r="G566" i="12" s="1"/>
  <c r="C566" i="12"/>
  <c r="F566" i="12"/>
  <c r="B567" i="12"/>
  <c r="C567" i="12"/>
  <c r="F567" i="12"/>
  <c r="B568" i="12"/>
  <c r="G568" i="12" s="1"/>
  <c r="C568" i="12"/>
  <c r="F568" i="12"/>
  <c r="B569" i="12"/>
  <c r="G569" i="12" s="1"/>
  <c r="C569" i="12"/>
  <c r="F569" i="12"/>
  <c r="B570" i="12"/>
  <c r="G570" i="12" s="1"/>
  <c r="C570" i="12"/>
  <c r="F570" i="12"/>
  <c r="B571" i="12"/>
  <c r="C571" i="12"/>
  <c r="F571" i="12"/>
  <c r="B572" i="12"/>
  <c r="G572" i="12" s="1"/>
  <c r="C572" i="12"/>
  <c r="F572" i="12"/>
  <c r="B573" i="12"/>
  <c r="G573" i="12" s="1"/>
  <c r="C573" i="12"/>
  <c r="F573" i="12"/>
  <c r="B574" i="12"/>
  <c r="G574" i="12" s="1"/>
  <c r="C574" i="12"/>
  <c r="F574" i="12"/>
  <c r="B575" i="12"/>
  <c r="C575" i="12"/>
  <c r="F575" i="12"/>
  <c r="B576" i="12"/>
  <c r="G576" i="12" s="1"/>
  <c r="C576" i="12"/>
  <c r="F576" i="12"/>
  <c r="B577" i="12"/>
  <c r="G577" i="12" s="1"/>
  <c r="C577" i="12"/>
  <c r="F577" i="12"/>
  <c r="B578" i="12"/>
  <c r="G578" i="12" s="1"/>
  <c r="C578" i="12"/>
  <c r="F578" i="12"/>
  <c r="B579" i="12"/>
  <c r="C579" i="12"/>
  <c r="F579" i="12"/>
  <c r="B580" i="12"/>
  <c r="G580" i="12" s="1"/>
  <c r="C580" i="12"/>
  <c r="F580" i="12"/>
  <c r="B581" i="12"/>
  <c r="G581" i="12" s="1"/>
  <c r="C581" i="12"/>
  <c r="F581" i="12"/>
  <c r="B582" i="12"/>
  <c r="G582" i="12" s="1"/>
  <c r="C582" i="12"/>
  <c r="F582" i="12"/>
  <c r="B583" i="12"/>
  <c r="C583" i="12"/>
  <c r="F583" i="12"/>
  <c r="B584" i="12"/>
  <c r="G584" i="12" s="1"/>
  <c r="C584" i="12"/>
  <c r="F584" i="12"/>
  <c r="B585" i="12"/>
  <c r="G585" i="12" s="1"/>
  <c r="C585" i="12"/>
  <c r="F585" i="12"/>
  <c r="B586" i="12"/>
  <c r="G586" i="12" s="1"/>
  <c r="C586" i="12"/>
  <c r="F586" i="12"/>
  <c r="B587" i="12"/>
  <c r="C587" i="12"/>
  <c r="F587" i="12"/>
  <c r="B588" i="12"/>
  <c r="G588" i="12" s="1"/>
  <c r="C588" i="12"/>
  <c r="F588" i="12"/>
  <c r="B589" i="12"/>
  <c r="G589" i="12" s="1"/>
  <c r="C589" i="12"/>
  <c r="F589" i="12"/>
  <c r="B590" i="12"/>
  <c r="G590" i="12" s="1"/>
  <c r="C590" i="12"/>
  <c r="F590" i="12"/>
  <c r="B591" i="12"/>
  <c r="C591" i="12"/>
  <c r="F591" i="12"/>
  <c r="B592" i="12"/>
  <c r="G592" i="12" s="1"/>
  <c r="C592" i="12"/>
  <c r="F592" i="12"/>
  <c r="B593" i="12"/>
  <c r="G593" i="12" s="1"/>
  <c r="C593" i="12"/>
  <c r="F593" i="12"/>
  <c r="B594" i="12"/>
  <c r="G594" i="12" s="1"/>
  <c r="C594" i="12"/>
  <c r="F594" i="12"/>
  <c r="B595" i="12"/>
  <c r="C595" i="12"/>
  <c r="F595" i="12"/>
  <c r="B596" i="12"/>
  <c r="G596" i="12" s="1"/>
  <c r="C596" i="12"/>
  <c r="F596" i="12"/>
  <c r="B597" i="12"/>
  <c r="G597" i="12" s="1"/>
  <c r="C597" i="12"/>
  <c r="F597" i="12"/>
  <c r="B598" i="12"/>
  <c r="G598" i="12" s="1"/>
  <c r="C598" i="12"/>
  <c r="F598" i="12"/>
  <c r="B599" i="12"/>
  <c r="C599" i="12"/>
  <c r="F599" i="12"/>
  <c r="B600" i="12"/>
  <c r="G600" i="12" s="1"/>
  <c r="C600" i="12"/>
  <c r="F600" i="12"/>
  <c r="B601" i="12"/>
  <c r="G601" i="12" s="1"/>
  <c r="C601" i="12"/>
  <c r="F601" i="12"/>
  <c r="B602" i="12"/>
  <c r="G602" i="12" s="1"/>
  <c r="C602" i="12"/>
  <c r="F602" i="12"/>
  <c r="B603" i="12"/>
  <c r="G603" i="12" s="1"/>
  <c r="C603" i="12"/>
  <c r="F603" i="12"/>
  <c r="B604" i="12"/>
  <c r="G604" i="12" s="1"/>
  <c r="C604" i="12"/>
  <c r="F604" i="12"/>
  <c r="B605" i="12"/>
  <c r="G605" i="12" s="1"/>
  <c r="C605" i="12"/>
  <c r="F605" i="12"/>
  <c r="B606" i="12"/>
  <c r="G606" i="12" s="1"/>
  <c r="C606" i="12"/>
  <c r="F606" i="12"/>
  <c r="B607" i="12"/>
  <c r="G607" i="12" s="1"/>
  <c r="C607" i="12"/>
  <c r="F607" i="12"/>
  <c r="B608" i="12"/>
  <c r="G608" i="12" s="1"/>
  <c r="C608" i="12"/>
  <c r="F608" i="12"/>
  <c r="B609" i="12"/>
  <c r="G609" i="12" s="1"/>
  <c r="C609" i="12"/>
  <c r="F609" i="12"/>
  <c r="B610" i="12"/>
  <c r="G610" i="12" s="1"/>
  <c r="C610" i="12"/>
  <c r="F610" i="12"/>
  <c r="B611" i="12"/>
  <c r="G611" i="12" s="1"/>
  <c r="C611" i="12"/>
  <c r="F611" i="12"/>
  <c r="B612" i="12"/>
  <c r="G612" i="12" s="1"/>
  <c r="C612" i="12"/>
  <c r="F612" i="12"/>
  <c r="B613" i="12"/>
  <c r="G613" i="12" s="1"/>
  <c r="C613" i="12"/>
  <c r="F613" i="12"/>
  <c r="B614" i="12"/>
  <c r="G614" i="12" s="1"/>
  <c r="C614" i="12"/>
  <c r="F614" i="12"/>
  <c r="B615" i="12"/>
  <c r="G615" i="12" s="1"/>
  <c r="C615" i="12"/>
  <c r="F615" i="12"/>
  <c r="B616" i="12"/>
  <c r="G616" i="12" s="1"/>
  <c r="C616" i="12"/>
  <c r="F616" i="12"/>
  <c r="B617" i="12"/>
  <c r="G617" i="12" s="1"/>
  <c r="C617" i="12"/>
  <c r="F617" i="12"/>
  <c r="B618" i="12"/>
  <c r="G618" i="12" s="1"/>
  <c r="C618" i="12"/>
  <c r="F618" i="12"/>
  <c r="B619" i="12"/>
  <c r="G619" i="12" s="1"/>
  <c r="C619" i="12"/>
  <c r="F619" i="12"/>
  <c r="B620" i="12"/>
  <c r="G620" i="12" s="1"/>
  <c r="C620" i="12"/>
  <c r="F620" i="12"/>
  <c r="B621" i="12"/>
  <c r="G621" i="12" s="1"/>
  <c r="C621" i="12"/>
  <c r="F621" i="12"/>
  <c r="B622" i="12"/>
  <c r="G622" i="12" s="1"/>
  <c r="C622" i="12"/>
  <c r="F622" i="12"/>
  <c r="B623" i="12"/>
  <c r="G623" i="12" s="1"/>
  <c r="C623" i="12"/>
  <c r="F623" i="12"/>
  <c r="B624" i="12"/>
  <c r="G624" i="12" s="1"/>
  <c r="C624" i="12"/>
  <c r="F624" i="12"/>
  <c r="B625" i="12"/>
  <c r="G625" i="12" s="1"/>
  <c r="C625" i="12"/>
  <c r="F625" i="12"/>
  <c r="B626" i="12"/>
  <c r="G626" i="12" s="1"/>
  <c r="C626" i="12"/>
  <c r="F626" i="12"/>
  <c r="B627" i="12"/>
  <c r="G627" i="12" s="1"/>
  <c r="C627" i="12"/>
  <c r="F627" i="12"/>
  <c r="B628" i="12"/>
  <c r="G628" i="12" s="1"/>
  <c r="C628" i="12"/>
  <c r="F628" i="12"/>
  <c r="B629" i="12"/>
  <c r="G629" i="12" s="1"/>
  <c r="C629" i="12"/>
  <c r="F629" i="12"/>
  <c r="B630" i="12"/>
  <c r="G630" i="12" s="1"/>
  <c r="C630" i="12"/>
  <c r="F630" i="12"/>
  <c r="B631" i="12"/>
  <c r="G631" i="12" s="1"/>
  <c r="C631" i="12"/>
  <c r="F631" i="12"/>
  <c r="B632" i="12"/>
  <c r="G632" i="12" s="1"/>
  <c r="C632" i="12"/>
  <c r="F632" i="12"/>
  <c r="B633" i="12"/>
  <c r="G633" i="12" s="1"/>
  <c r="C633" i="12"/>
  <c r="F633" i="12"/>
  <c r="B634" i="12"/>
  <c r="G634" i="12" s="1"/>
  <c r="C634" i="12"/>
  <c r="F634" i="12"/>
  <c r="B635" i="12"/>
  <c r="G635" i="12" s="1"/>
  <c r="C635" i="12"/>
  <c r="F635" i="12"/>
  <c r="B636" i="12"/>
  <c r="G636" i="12" s="1"/>
  <c r="C636" i="12"/>
  <c r="F636" i="12"/>
  <c r="B637" i="12"/>
  <c r="G637" i="12" s="1"/>
  <c r="C637" i="12"/>
  <c r="F637" i="12"/>
  <c r="B638" i="12"/>
  <c r="G638" i="12" s="1"/>
  <c r="C638" i="12"/>
  <c r="F638" i="12"/>
  <c r="B639" i="12"/>
  <c r="G639" i="12" s="1"/>
  <c r="C639" i="12"/>
  <c r="F639" i="12"/>
  <c r="B640" i="12"/>
  <c r="G640" i="12" s="1"/>
  <c r="C640" i="12"/>
  <c r="F640" i="12"/>
  <c r="B641" i="12"/>
  <c r="G641" i="12" s="1"/>
  <c r="C641" i="12"/>
  <c r="F641" i="12"/>
  <c r="B642" i="12"/>
  <c r="G642" i="12" s="1"/>
  <c r="C642" i="12"/>
  <c r="F642" i="12"/>
  <c r="B643" i="12"/>
  <c r="G643" i="12" s="1"/>
  <c r="C643" i="12"/>
  <c r="F643" i="12"/>
  <c r="B644" i="12"/>
  <c r="G644" i="12" s="1"/>
  <c r="C644" i="12"/>
  <c r="F644" i="12"/>
  <c r="B645" i="12"/>
  <c r="G645" i="12" s="1"/>
  <c r="C645" i="12"/>
  <c r="F645" i="12"/>
  <c r="B646" i="12"/>
  <c r="G646" i="12" s="1"/>
  <c r="C646" i="12"/>
  <c r="F646" i="12"/>
  <c r="B647" i="12"/>
  <c r="G647" i="12" s="1"/>
  <c r="C647" i="12"/>
  <c r="F647" i="12"/>
  <c r="B648" i="12"/>
  <c r="G648" i="12" s="1"/>
  <c r="C648" i="12"/>
  <c r="F648" i="12"/>
  <c r="B649" i="12"/>
  <c r="G649" i="12" s="1"/>
  <c r="C649" i="12"/>
  <c r="F649" i="12"/>
  <c r="B650" i="12"/>
  <c r="G650" i="12" s="1"/>
  <c r="C650" i="12"/>
  <c r="F650" i="12"/>
  <c r="B651" i="12"/>
  <c r="G651" i="12" s="1"/>
  <c r="C651" i="12"/>
  <c r="F651" i="12"/>
  <c r="B652" i="12"/>
  <c r="G652" i="12" s="1"/>
  <c r="C652" i="12"/>
  <c r="F652" i="12"/>
  <c r="B653" i="12"/>
  <c r="G653" i="12" s="1"/>
  <c r="C653" i="12"/>
  <c r="F653" i="12"/>
  <c r="B654" i="12"/>
  <c r="G654" i="12" s="1"/>
  <c r="C654" i="12"/>
  <c r="F654" i="12"/>
  <c r="B655" i="12"/>
  <c r="G655" i="12" s="1"/>
  <c r="C655" i="12"/>
  <c r="F655" i="12"/>
  <c r="B656" i="12"/>
  <c r="G656" i="12" s="1"/>
  <c r="C656" i="12"/>
  <c r="F656" i="12"/>
  <c r="B657" i="12"/>
  <c r="G657" i="12" s="1"/>
  <c r="C657" i="12"/>
  <c r="F657" i="12"/>
  <c r="B658" i="12"/>
  <c r="G658" i="12" s="1"/>
  <c r="C658" i="12"/>
  <c r="F658" i="12"/>
  <c r="B659" i="12"/>
  <c r="G659" i="12" s="1"/>
  <c r="C659" i="12"/>
  <c r="F659" i="12"/>
  <c r="B660" i="12"/>
  <c r="G660" i="12" s="1"/>
  <c r="C660" i="12"/>
  <c r="F660" i="12"/>
  <c r="B661" i="12"/>
  <c r="G661" i="12" s="1"/>
  <c r="C661" i="12"/>
  <c r="F661" i="12"/>
  <c r="B662" i="12"/>
  <c r="G662" i="12" s="1"/>
  <c r="C662" i="12"/>
  <c r="F662" i="12"/>
  <c r="B663" i="12"/>
  <c r="G663" i="12" s="1"/>
  <c r="C663" i="12"/>
  <c r="F663" i="12"/>
  <c r="B664" i="12"/>
  <c r="G664" i="12" s="1"/>
  <c r="C664" i="12"/>
  <c r="F664" i="12"/>
  <c r="B665" i="12"/>
  <c r="G665" i="12" s="1"/>
  <c r="C665" i="12"/>
  <c r="F665" i="12"/>
  <c r="B666" i="12"/>
  <c r="G666" i="12" s="1"/>
  <c r="C666" i="12"/>
  <c r="F666" i="12"/>
  <c r="B667" i="12"/>
  <c r="G667" i="12" s="1"/>
  <c r="C667" i="12"/>
  <c r="F667" i="12"/>
  <c r="B668" i="12"/>
  <c r="G668" i="12" s="1"/>
  <c r="C668" i="12"/>
  <c r="F668" i="12"/>
  <c r="B669" i="12"/>
  <c r="G669" i="12" s="1"/>
  <c r="C669" i="12"/>
  <c r="F669" i="12"/>
  <c r="B670" i="12"/>
  <c r="G670" i="12" s="1"/>
  <c r="C670" i="12"/>
  <c r="F670" i="12"/>
  <c r="B671" i="12"/>
  <c r="G671" i="12" s="1"/>
  <c r="C671" i="12"/>
  <c r="F671" i="12"/>
  <c r="B672" i="12"/>
  <c r="G672" i="12" s="1"/>
  <c r="C672" i="12"/>
  <c r="F672" i="12"/>
  <c r="B673" i="12"/>
  <c r="G673" i="12" s="1"/>
  <c r="C673" i="12"/>
  <c r="F673" i="12"/>
  <c r="B674" i="12"/>
  <c r="G674" i="12" s="1"/>
  <c r="C674" i="12"/>
  <c r="F674" i="12"/>
  <c r="B675" i="12"/>
  <c r="G675" i="12" s="1"/>
  <c r="C675" i="12"/>
  <c r="F675" i="12"/>
  <c r="B676" i="12"/>
  <c r="G676" i="12" s="1"/>
  <c r="C676" i="12"/>
  <c r="F676" i="12"/>
  <c r="B677" i="12"/>
  <c r="G677" i="12" s="1"/>
  <c r="C677" i="12"/>
  <c r="F677" i="12"/>
  <c r="B678" i="12"/>
  <c r="G678" i="12" s="1"/>
  <c r="C678" i="12"/>
  <c r="F678" i="12"/>
  <c r="B679" i="12"/>
  <c r="G679" i="12" s="1"/>
  <c r="C679" i="12"/>
  <c r="F679" i="12"/>
  <c r="B680" i="12"/>
  <c r="G680" i="12" s="1"/>
  <c r="C680" i="12"/>
  <c r="F680" i="12"/>
  <c r="B681" i="12"/>
  <c r="G681" i="12" s="1"/>
  <c r="C681" i="12"/>
  <c r="F681" i="12"/>
  <c r="B682" i="12"/>
  <c r="G682" i="12" s="1"/>
  <c r="C682" i="12"/>
  <c r="F682" i="12"/>
  <c r="B683" i="12"/>
  <c r="G683" i="12" s="1"/>
  <c r="C683" i="12"/>
  <c r="F683" i="12"/>
  <c r="B684" i="12"/>
  <c r="G684" i="12" s="1"/>
  <c r="C684" i="12"/>
  <c r="F684" i="12"/>
  <c r="B685" i="12"/>
  <c r="G685" i="12" s="1"/>
  <c r="C685" i="12"/>
  <c r="F685" i="12"/>
  <c r="B686" i="12"/>
  <c r="G686" i="12" s="1"/>
  <c r="C686" i="12"/>
  <c r="F686" i="12"/>
  <c r="B687" i="12"/>
  <c r="G687" i="12" s="1"/>
  <c r="C687" i="12"/>
  <c r="F687" i="12"/>
  <c r="B688" i="12"/>
  <c r="G688" i="12" s="1"/>
  <c r="C688" i="12"/>
  <c r="F688" i="12"/>
  <c r="B689" i="12"/>
  <c r="G689" i="12" s="1"/>
  <c r="C689" i="12"/>
  <c r="F689" i="12"/>
  <c r="B690" i="12"/>
  <c r="G690" i="12" s="1"/>
  <c r="C690" i="12"/>
  <c r="F690" i="12"/>
  <c r="B691" i="12"/>
  <c r="G691" i="12" s="1"/>
  <c r="C691" i="12"/>
  <c r="F691" i="12"/>
  <c r="B692" i="12"/>
  <c r="G692" i="12" s="1"/>
  <c r="C692" i="12"/>
  <c r="F692" i="12"/>
  <c r="B693" i="12"/>
  <c r="G693" i="12" s="1"/>
  <c r="C693" i="12"/>
  <c r="F693" i="12"/>
  <c r="B694" i="12"/>
  <c r="G694" i="12" s="1"/>
  <c r="C694" i="12"/>
  <c r="F694" i="12"/>
  <c r="B695" i="12"/>
  <c r="G695" i="12" s="1"/>
  <c r="C695" i="12"/>
  <c r="F695" i="12"/>
  <c r="B696" i="12"/>
  <c r="G696" i="12" s="1"/>
  <c r="C696" i="12"/>
  <c r="F696" i="12"/>
  <c r="B697" i="12"/>
  <c r="G697" i="12" s="1"/>
  <c r="C697" i="12"/>
  <c r="F697" i="12"/>
  <c r="B698" i="12"/>
  <c r="G698" i="12" s="1"/>
  <c r="C698" i="12"/>
  <c r="F698" i="12"/>
  <c r="B699" i="12"/>
  <c r="G699" i="12" s="1"/>
  <c r="C699" i="12"/>
  <c r="F699" i="12"/>
  <c r="B700" i="12"/>
  <c r="G700" i="12" s="1"/>
  <c r="C700" i="12"/>
  <c r="F700" i="12"/>
  <c r="B701" i="12"/>
  <c r="G701" i="12" s="1"/>
  <c r="C701" i="12"/>
  <c r="F701" i="12"/>
  <c r="B702" i="12"/>
  <c r="G702" i="12" s="1"/>
  <c r="C702" i="12"/>
  <c r="F702" i="12"/>
  <c r="B703" i="12"/>
  <c r="G703" i="12" s="1"/>
  <c r="C703" i="12"/>
  <c r="F703" i="12"/>
  <c r="B704" i="12"/>
  <c r="G704" i="12" s="1"/>
  <c r="C704" i="12"/>
  <c r="F704" i="12"/>
  <c r="B705" i="12"/>
  <c r="G705" i="12" s="1"/>
  <c r="C705" i="12"/>
  <c r="F705" i="12"/>
  <c r="B706" i="12"/>
  <c r="G706" i="12" s="1"/>
  <c r="C706" i="12"/>
  <c r="F706" i="12"/>
  <c r="B707" i="12"/>
  <c r="G707" i="12" s="1"/>
  <c r="C707" i="12"/>
  <c r="F707" i="12"/>
  <c r="B708" i="12"/>
  <c r="G708" i="12" s="1"/>
  <c r="C708" i="12"/>
  <c r="F708" i="12"/>
  <c r="B709" i="12"/>
  <c r="G709" i="12" s="1"/>
  <c r="C709" i="12"/>
  <c r="F709" i="12"/>
  <c r="B710" i="12"/>
  <c r="G710" i="12" s="1"/>
  <c r="C710" i="12"/>
  <c r="F710" i="12"/>
  <c r="B711" i="12"/>
  <c r="G711" i="12" s="1"/>
  <c r="C711" i="12"/>
  <c r="F711" i="12"/>
  <c r="B712" i="12"/>
  <c r="G712" i="12" s="1"/>
  <c r="C712" i="12"/>
  <c r="F712" i="12"/>
  <c r="B713" i="12"/>
  <c r="G713" i="12" s="1"/>
  <c r="C713" i="12"/>
  <c r="F713" i="12"/>
  <c r="B714" i="12"/>
  <c r="G714" i="12" s="1"/>
  <c r="C714" i="12"/>
  <c r="F714" i="12"/>
  <c r="B715" i="12"/>
  <c r="G715" i="12" s="1"/>
  <c r="C715" i="12"/>
  <c r="F715" i="12"/>
  <c r="B716" i="12"/>
  <c r="G716" i="12" s="1"/>
  <c r="C716" i="12"/>
  <c r="F716" i="12"/>
  <c r="B717" i="12"/>
  <c r="G717" i="12" s="1"/>
  <c r="C717" i="12"/>
  <c r="F717" i="12"/>
  <c r="B718" i="12"/>
  <c r="G718" i="12" s="1"/>
  <c r="C718" i="12"/>
  <c r="F718" i="12"/>
  <c r="B719" i="12"/>
  <c r="G719" i="12" s="1"/>
  <c r="C719" i="12"/>
  <c r="F719" i="12"/>
  <c r="B720" i="12"/>
  <c r="G720" i="12" s="1"/>
  <c r="C720" i="12"/>
  <c r="F720" i="12"/>
  <c r="B721" i="12"/>
  <c r="G721" i="12" s="1"/>
  <c r="C721" i="12"/>
  <c r="F721" i="12"/>
  <c r="B722" i="12"/>
  <c r="G722" i="12" s="1"/>
  <c r="C722" i="12"/>
  <c r="F722" i="12"/>
  <c r="B723" i="12"/>
  <c r="G723" i="12" s="1"/>
  <c r="C723" i="12"/>
  <c r="F723" i="12"/>
  <c r="B724" i="12"/>
  <c r="G724" i="12" s="1"/>
  <c r="C724" i="12"/>
  <c r="F724" i="12"/>
  <c r="B725" i="12"/>
  <c r="G725" i="12" s="1"/>
  <c r="C725" i="12"/>
  <c r="F725" i="12"/>
  <c r="B726" i="12"/>
  <c r="G726" i="12" s="1"/>
  <c r="C726" i="12"/>
  <c r="F726" i="12"/>
  <c r="B727" i="12"/>
  <c r="G727" i="12" s="1"/>
  <c r="C727" i="12"/>
  <c r="F727" i="12"/>
  <c r="B728" i="12"/>
  <c r="G728" i="12" s="1"/>
  <c r="C728" i="12"/>
  <c r="F728" i="12"/>
  <c r="B729" i="12"/>
  <c r="G729" i="12" s="1"/>
  <c r="C729" i="12"/>
  <c r="F729" i="12"/>
  <c r="B730" i="12"/>
  <c r="G730" i="12" s="1"/>
  <c r="C730" i="12"/>
  <c r="F730" i="12"/>
  <c r="B731" i="12"/>
  <c r="G731" i="12" s="1"/>
  <c r="C731" i="12"/>
  <c r="F731" i="12"/>
  <c r="B732" i="12"/>
  <c r="G732" i="12" s="1"/>
  <c r="C732" i="12"/>
  <c r="F732" i="12"/>
  <c r="B733" i="12"/>
  <c r="G733" i="12" s="1"/>
  <c r="C733" i="12"/>
  <c r="F733" i="12"/>
  <c r="B734" i="12"/>
  <c r="G734" i="12" s="1"/>
  <c r="C734" i="12"/>
  <c r="F734" i="12"/>
  <c r="B735" i="12"/>
  <c r="G735" i="12" s="1"/>
  <c r="C735" i="12"/>
  <c r="F735" i="12"/>
  <c r="B736" i="12"/>
  <c r="G736" i="12" s="1"/>
  <c r="C736" i="12"/>
  <c r="F736" i="12"/>
  <c r="B737" i="12"/>
  <c r="G737" i="12" s="1"/>
  <c r="C737" i="12"/>
  <c r="F737" i="12"/>
  <c r="B738" i="12"/>
  <c r="G738" i="12" s="1"/>
  <c r="C738" i="12"/>
  <c r="F738" i="12"/>
  <c r="B739" i="12"/>
  <c r="G739" i="12" s="1"/>
  <c r="C739" i="12"/>
  <c r="F739" i="12"/>
  <c r="B740" i="12"/>
  <c r="G740" i="12" s="1"/>
  <c r="C740" i="12"/>
  <c r="F740" i="12"/>
  <c r="B741" i="12"/>
  <c r="G741" i="12" s="1"/>
  <c r="C741" i="12"/>
  <c r="F741" i="12"/>
  <c r="B742" i="12"/>
  <c r="G742" i="12" s="1"/>
  <c r="C742" i="12"/>
  <c r="F742" i="12"/>
  <c r="B743" i="12"/>
  <c r="G743" i="12" s="1"/>
  <c r="C743" i="12"/>
  <c r="F743" i="12"/>
  <c r="B744" i="12"/>
  <c r="G744" i="12" s="1"/>
  <c r="C744" i="12"/>
  <c r="F744" i="12"/>
  <c r="B745" i="12"/>
  <c r="G745" i="12" s="1"/>
  <c r="C745" i="12"/>
  <c r="F745" i="12"/>
  <c r="B746" i="12"/>
  <c r="G746" i="12" s="1"/>
  <c r="C746" i="12"/>
  <c r="F746" i="12"/>
  <c r="B747" i="12"/>
  <c r="G747" i="12" s="1"/>
  <c r="C747" i="12"/>
  <c r="F747" i="12"/>
  <c r="B748" i="12"/>
  <c r="G748" i="12" s="1"/>
  <c r="C748" i="12"/>
  <c r="F748" i="12"/>
  <c r="B749" i="12"/>
  <c r="G749" i="12" s="1"/>
  <c r="C749" i="12"/>
  <c r="F749" i="12"/>
  <c r="B750" i="12"/>
  <c r="G750" i="12" s="1"/>
  <c r="C750" i="12"/>
  <c r="F750" i="12"/>
  <c r="B751" i="12"/>
  <c r="G751" i="12" s="1"/>
  <c r="C751" i="12"/>
  <c r="F751" i="12"/>
  <c r="B752" i="12"/>
  <c r="G752" i="12" s="1"/>
  <c r="C752" i="12"/>
  <c r="F752" i="12"/>
  <c r="B753" i="12"/>
  <c r="G753" i="12" s="1"/>
  <c r="C753" i="12"/>
  <c r="F753" i="12"/>
  <c r="B754" i="12"/>
  <c r="G754" i="12" s="1"/>
  <c r="C754" i="12"/>
  <c r="F754" i="12"/>
  <c r="B755" i="12"/>
  <c r="G755" i="12" s="1"/>
  <c r="C755" i="12"/>
  <c r="F755" i="12"/>
  <c r="B756" i="12"/>
  <c r="G756" i="12" s="1"/>
  <c r="C756" i="12"/>
  <c r="F756" i="12"/>
  <c r="B757" i="12"/>
  <c r="G757" i="12" s="1"/>
  <c r="C757" i="12"/>
  <c r="F757" i="12"/>
  <c r="B758" i="12"/>
  <c r="G758" i="12" s="1"/>
  <c r="C758" i="12"/>
  <c r="F758" i="12"/>
  <c r="B759" i="12"/>
  <c r="G759" i="12" s="1"/>
  <c r="C759" i="12"/>
  <c r="F759" i="12"/>
  <c r="B760" i="12"/>
  <c r="G760" i="12" s="1"/>
  <c r="C760" i="12"/>
  <c r="F760" i="12"/>
  <c r="B761" i="12"/>
  <c r="G761" i="12" s="1"/>
  <c r="C761" i="12"/>
  <c r="F761" i="12"/>
  <c r="B762" i="12"/>
  <c r="G762" i="12" s="1"/>
  <c r="C762" i="12"/>
  <c r="F762" i="12"/>
  <c r="B763" i="12"/>
  <c r="G763" i="12" s="1"/>
  <c r="C763" i="12"/>
  <c r="F763" i="12"/>
  <c r="B764" i="12"/>
  <c r="G764" i="12" s="1"/>
  <c r="C764" i="12"/>
  <c r="F764" i="12"/>
  <c r="B765" i="12"/>
  <c r="G765" i="12" s="1"/>
  <c r="C765" i="12"/>
  <c r="F765" i="12"/>
  <c r="B766" i="12"/>
  <c r="G766" i="12" s="1"/>
  <c r="C766" i="12"/>
  <c r="F766" i="12"/>
  <c r="B767" i="12"/>
  <c r="G767" i="12" s="1"/>
  <c r="C767" i="12"/>
  <c r="F767" i="12"/>
  <c r="B768" i="12"/>
  <c r="G768" i="12" s="1"/>
  <c r="C768" i="12"/>
  <c r="F768" i="12"/>
  <c r="B769" i="12"/>
  <c r="G769" i="12" s="1"/>
  <c r="C769" i="12"/>
  <c r="F769" i="12"/>
  <c r="B770" i="12"/>
  <c r="G770" i="12" s="1"/>
  <c r="C770" i="12"/>
  <c r="F770" i="12"/>
  <c r="B771" i="12"/>
  <c r="G771" i="12" s="1"/>
  <c r="C771" i="12"/>
  <c r="F771" i="12"/>
  <c r="B772" i="12"/>
  <c r="G772" i="12" s="1"/>
  <c r="C772" i="12"/>
  <c r="F772" i="12"/>
  <c r="B773" i="12"/>
  <c r="G773" i="12" s="1"/>
  <c r="C773" i="12"/>
  <c r="F773" i="12"/>
  <c r="B774" i="12"/>
  <c r="G774" i="12" s="1"/>
  <c r="C774" i="12"/>
  <c r="F774" i="12"/>
  <c r="B775" i="12"/>
  <c r="G775" i="12" s="1"/>
  <c r="C775" i="12"/>
  <c r="F775" i="12"/>
  <c r="B776" i="12"/>
  <c r="G776" i="12" s="1"/>
  <c r="C776" i="12"/>
  <c r="F776" i="12"/>
  <c r="B777" i="12"/>
  <c r="G777" i="12" s="1"/>
  <c r="C777" i="12"/>
  <c r="F777" i="12"/>
  <c r="B778" i="12"/>
  <c r="G778" i="12" s="1"/>
  <c r="C778" i="12"/>
  <c r="F778" i="12"/>
  <c r="B779" i="12"/>
  <c r="G779" i="12" s="1"/>
  <c r="C779" i="12"/>
  <c r="F779" i="12"/>
  <c r="B780" i="12"/>
  <c r="G780" i="12" s="1"/>
  <c r="C780" i="12"/>
  <c r="F780" i="12"/>
  <c r="B781" i="12"/>
  <c r="G781" i="12" s="1"/>
  <c r="C781" i="12"/>
  <c r="F781" i="12"/>
  <c r="B782" i="12"/>
  <c r="G782" i="12" s="1"/>
  <c r="C782" i="12"/>
  <c r="F782" i="12"/>
  <c r="B783" i="12"/>
  <c r="G783" i="12" s="1"/>
  <c r="C783" i="12"/>
  <c r="F783" i="12"/>
  <c r="B784" i="12"/>
  <c r="G784" i="12" s="1"/>
  <c r="C784" i="12"/>
  <c r="F784" i="12"/>
  <c r="B785" i="12"/>
  <c r="G785" i="12" s="1"/>
  <c r="C785" i="12"/>
  <c r="F785" i="12"/>
  <c r="B786" i="12"/>
  <c r="G786" i="12" s="1"/>
  <c r="C786" i="12"/>
  <c r="F786" i="12"/>
  <c r="B787" i="12"/>
  <c r="G787" i="12" s="1"/>
  <c r="C787" i="12"/>
  <c r="F787" i="12"/>
  <c r="B788" i="12"/>
  <c r="G788" i="12" s="1"/>
  <c r="C788" i="12"/>
  <c r="F788" i="12"/>
  <c r="B789" i="12"/>
  <c r="G789" i="12" s="1"/>
  <c r="C789" i="12"/>
  <c r="F789" i="12"/>
  <c r="B790" i="12"/>
  <c r="G790" i="12" s="1"/>
  <c r="C790" i="12"/>
  <c r="F790" i="12"/>
  <c r="B791" i="12"/>
  <c r="G791" i="12" s="1"/>
  <c r="C791" i="12"/>
  <c r="F791" i="12"/>
  <c r="B792" i="12"/>
  <c r="G792" i="12" s="1"/>
  <c r="C792" i="12"/>
  <c r="F792" i="12"/>
  <c r="B793" i="12"/>
  <c r="G793" i="12" s="1"/>
  <c r="C793" i="12"/>
  <c r="F793" i="12"/>
  <c r="B794" i="12"/>
  <c r="G794" i="12" s="1"/>
  <c r="C794" i="12"/>
  <c r="F794" i="12"/>
  <c r="B795" i="12"/>
  <c r="G795" i="12" s="1"/>
  <c r="C795" i="12"/>
  <c r="F795" i="12"/>
  <c r="B796" i="12"/>
  <c r="G796" i="12" s="1"/>
  <c r="C796" i="12"/>
  <c r="F796" i="12"/>
  <c r="B797" i="12"/>
  <c r="G797" i="12" s="1"/>
  <c r="C797" i="12"/>
  <c r="F797" i="12"/>
  <c r="B798" i="12"/>
  <c r="G798" i="12" s="1"/>
  <c r="C798" i="12"/>
  <c r="F798" i="12"/>
  <c r="B799" i="12"/>
  <c r="G799" i="12" s="1"/>
  <c r="C799" i="12"/>
  <c r="F799" i="12"/>
  <c r="B800" i="12"/>
  <c r="G800" i="12" s="1"/>
  <c r="C800" i="12"/>
  <c r="F800" i="12"/>
  <c r="B801" i="12"/>
  <c r="G801" i="12" s="1"/>
  <c r="C801" i="12"/>
  <c r="F801" i="12"/>
  <c r="B802" i="12"/>
  <c r="G802" i="12" s="1"/>
  <c r="C802" i="12"/>
  <c r="F802" i="12"/>
  <c r="B803" i="12"/>
  <c r="G803" i="12" s="1"/>
  <c r="C803" i="12"/>
  <c r="F803" i="12"/>
  <c r="B804" i="12"/>
  <c r="G804" i="12" s="1"/>
  <c r="C804" i="12"/>
  <c r="F804" i="12"/>
  <c r="B805" i="12"/>
  <c r="G805" i="12" s="1"/>
  <c r="C805" i="12"/>
  <c r="F805" i="12"/>
  <c r="B806" i="12"/>
  <c r="G806" i="12" s="1"/>
  <c r="C806" i="12"/>
  <c r="F806" i="12"/>
  <c r="B807" i="12"/>
  <c r="G807" i="12" s="1"/>
  <c r="C807" i="12"/>
  <c r="F807" i="12"/>
  <c r="B808" i="12"/>
  <c r="G808" i="12" s="1"/>
  <c r="C808" i="12"/>
  <c r="F808" i="12"/>
  <c r="B809" i="12"/>
  <c r="G809" i="12" s="1"/>
  <c r="C809" i="12"/>
  <c r="F809" i="12"/>
  <c r="B810" i="12"/>
  <c r="G810" i="12" s="1"/>
  <c r="C810" i="12"/>
  <c r="F810" i="12"/>
  <c r="B811" i="12"/>
  <c r="G811" i="12" s="1"/>
  <c r="C811" i="12"/>
  <c r="F811" i="12"/>
  <c r="B812" i="12"/>
  <c r="G812" i="12" s="1"/>
  <c r="C812" i="12"/>
  <c r="F812" i="12"/>
  <c r="B813" i="12"/>
  <c r="G813" i="12" s="1"/>
  <c r="C813" i="12"/>
  <c r="F813" i="12"/>
  <c r="B814" i="12"/>
  <c r="G814" i="12" s="1"/>
  <c r="C814" i="12"/>
  <c r="F814" i="12"/>
  <c r="B815" i="12"/>
  <c r="G815" i="12" s="1"/>
  <c r="C815" i="12"/>
  <c r="F815" i="12"/>
  <c r="B816" i="12"/>
  <c r="G816" i="12" s="1"/>
  <c r="C816" i="12"/>
  <c r="F816" i="12"/>
  <c r="B817" i="12"/>
  <c r="G817" i="12" s="1"/>
  <c r="C817" i="12"/>
  <c r="F817" i="12"/>
  <c r="B818" i="12"/>
  <c r="G818" i="12" s="1"/>
  <c r="C818" i="12"/>
  <c r="F818" i="12"/>
  <c r="B819" i="12"/>
  <c r="G819" i="12" s="1"/>
  <c r="C819" i="12"/>
  <c r="F819" i="12"/>
  <c r="B820" i="12"/>
  <c r="G820" i="12" s="1"/>
  <c r="C820" i="12"/>
  <c r="F820" i="12"/>
  <c r="B821" i="12"/>
  <c r="G821" i="12" s="1"/>
  <c r="C821" i="12"/>
  <c r="F821" i="12"/>
  <c r="B822" i="12"/>
  <c r="G822" i="12" s="1"/>
  <c r="C822" i="12"/>
  <c r="F822" i="12"/>
  <c r="B823" i="12"/>
  <c r="G823" i="12" s="1"/>
  <c r="C823" i="12"/>
  <c r="F823" i="12"/>
  <c r="B824" i="12"/>
  <c r="G824" i="12" s="1"/>
  <c r="C824" i="12"/>
  <c r="F824" i="12"/>
  <c r="B825" i="12"/>
  <c r="G825" i="12" s="1"/>
  <c r="C825" i="12"/>
  <c r="F825" i="12"/>
  <c r="B826" i="12"/>
  <c r="G826" i="12" s="1"/>
  <c r="C826" i="12"/>
  <c r="F826" i="12"/>
  <c r="B827" i="12"/>
  <c r="G827" i="12" s="1"/>
  <c r="C827" i="12"/>
  <c r="F827" i="12"/>
  <c r="B828" i="12"/>
  <c r="G828" i="12" s="1"/>
  <c r="C828" i="12"/>
  <c r="F828" i="12"/>
  <c r="B829" i="12"/>
  <c r="G829" i="12" s="1"/>
  <c r="C829" i="12"/>
  <c r="F829" i="12"/>
  <c r="B830" i="12"/>
  <c r="G830" i="12" s="1"/>
  <c r="C830" i="12"/>
  <c r="F830" i="12"/>
  <c r="B831" i="12"/>
  <c r="G831" i="12" s="1"/>
  <c r="C831" i="12"/>
  <c r="F831" i="12"/>
  <c r="B832" i="12"/>
  <c r="G832" i="12" s="1"/>
  <c r="C832" i="12"/>
  <c r="F832" i="12"/>
  <c r="B833" i="12"/>
  <c r="G833" i="12" s="1"/>
  <c r="C833" i="12"/>
  <c r="F833" i="12"/>
  <c r="B834" i="12"/>
  <c r="G834" i="12" s="1"/>
  <c r="C834" i="12"/>
  <c r="F834" i="12"/>
  <c r="B835" i="12"/>
  <c r="G835" i="12" s="1"/>
  <c r="C835" i="12"/>
  <c r="F835" i="12"/>
  <c r="B836" i="12"/>
  <c r="G836" i="12" s="1"/>
  <c r="C836" i="12"/>
  <c r="F836" i="12"/>
  <c r="B837" i="12"/>
  <c r="G837" i="12" s="1"/>
  <c r="C837" i="12"/>
  <c r="F837" i="12"/>
  <c r="B838" i="12"/>
  <c r="G838" i="12" s="1"/>
  <c r="C838" i="12"/>
  <c r="F838" i="12"/>
  <c r="B839" i="12"/>
  <c r="G839" i="12" s="1"/>
  <c r="C839" i="12"/>
  <c r="F839" i="12"/>
  <c r="B840" i="12"/>
  <c r="G840" i="12" s="1"/>
  <c r="C840" i="12"/>
  <c r="F840" i="12"/>
  <c r="B841" i="12"/>
  <c r="G841" i="12" s="1"/>
  <c r="C841" i="12"/>
  <c r="F841" i="12"/>
  <c r="B842" i="12"/>
  <c r="G842" i="12" s="1"/>
  <c r="C842" i="12"/>
  <c r="F842" i="12"/>
  <c r="B843" i="12"/>
  <c r="G843" i="12" s="1"/>
  <c r="C843" i="12"/>
  <c r="F843" i="12"/>
  <c r="B844" i="12"/>
  <c r="G844" i="12" s="1"/>
  <c r="C844" i="12"/>
  <c r="F844" i="12"/>
  <c r="B845" i="12"/>
  <c r="G845" i="12" s="1"/>
  <c r="C845" i="12"/>
  <c r="F845" i="12"/>
  <c r="B846" i="12"/>
  <c r="G846" i="12" s="1"/>
  <c r="C846" i="12"/>
  <c r="F846" i="12"/>
  <c r="B847" i="12"/>
  <c r="G847" i="12" s="1"/>
  <c r="C847" i="12"/>
  <c r="F847" i="12"/>
  <c r="B848" i="12"/>
  <c r="G848" i="12" s="1"/>
  <c r="C848" i="12"/>
  <c r="F848" i="12"/>
  <c r="B849" i="12"/>
  <c r="G849" i="12" s="1"/>
  <c r="C849" i="12"/>
  <c r="F849" i="12"/>
  <c r="B850" i="12"/>
  <c r="G850" i="12" s="1"/>
  <c r="C850" i="12"/>
  <c r="F850" i="12"/>
  <c r="B851" i="12"/>
  <c r="G851" i="12" s="1"/>
  <c r="C851" i="12"/>
  <c r="F851" i="12"/>
  <c r="B852" i="12"/>
  <c r="G852" i="12" s="1"/>
  <c r="C852" i="12"/>
  <c r="F852" i="12"/>
  <c r="B853" i="12"/>
  <c r="G853" i="12" s="1"/>
  <c r="C853" i="12"/>
  <c r="F853" i="12"/>
  <c r="B854" i="12"/>
  <c r="G854" i="12" s="1"/>
  <c r="C854" i="12"/>
  <c r="F854" i="12"/>
  <c r="B855" i="12"/>
  <c r="G855" i="12" s="1"/>
  <c r="C855" i="12"/>
  <c r="F855" i="12"/>
  <c r="B856" i="12"/>
  <c r="G856" i="12" s="1"/>
  <c r="C856" i="12"/>
  <c r="F856" i="12"/>
  <c r="B857" i="12"/>
  <c r="G857" i="12" s="1"/>
  <c r="C857" i="12"/>
  <c r="F857" i="12"/>
  <c r="B858" i="12"/>
  <c r="G858" i="12" s="1"/>
  <c r="C858" i="12"/>
  <c r="F858" i="12"/>
  <c r="B859" i="12"/>
  <c r="G859" i="12" s="1"/>
  <c r="C859" i="12"/>
  <c r="F859" i="12"/>
  <c r="B860" i="12"/>
  <c r="G860" i="12" s="1"/>
  <c r="C860" i="12"/>
  <c r="F860" i="12"/>
  <c r="B861" i="12"/>
  <c r="G861" i="12" s="1"/>
  <c r="C861" i="12"/>
  <c r="F861" i="12"/>
  <c r="B862" i="12"/>
  <c r="G862" i="12" s="1"/>
  <c r="C862" i="12"/>
  <c r="F862" i="12"/>
  <c r="B863" i="12"/>
  <c r="G863" i="12" s="1"/>
  <c r="C863" i="12"/>
  <c r="F863" i="12"/>
  <c r="B864" i="12"/>
  <c r="G864" i="12" s="1"/>
  <c r="C864" i="12"/>
  <c r="F864" i="12"/>
  <c r="B865" i="12"/>
  <c r="G865" i="12" s="1"/>
  <c r="C865" i="12"/>
  <c r="F865" i="12"/>
  <c r="B866" i="12"/>
  <c r="G866" i="12" s="1"/>
  <c r="C866" i="12"/>
  <c r="F866" i="12"/>
  <c r="B867" i="12"/>
  <c r="G867" i="12" s="1"/>
  <c r="C867" i="12"/>
  <c r="F867" i="12"/>
  <c r="B868" i="12"/>
  <c r="G868" i="12" s="1"/>
  <c r="C868" i="12"/>
  <c r="F868" i="12"/>
  <c r="B869" i="12"/>
  <c r="G869" i="12" s="1"/>
  <c r="C869" i="12"/>
  <c r="F869" i="12"/>
  <c r="B870" i="12"/>
  <c r="G870" i="12" s="1"/>
  <c r="C870" i="12"/>
  <c r="F870" i="12"/>
  <c r="B871" i="12"/>
  <c r="G871" i="12" s="1"/>
  <c r="C871" i="12"/>
  <c r="F871" i="12"/>
  <c r="B872" i="12"/>
  <c r="G872" i="12" s="1"/>
  <c r="C872" i="12"/>
  <c r="F872" i="12"/>
  <c r="B873" i="12"/>
  <c r="G873" i="12" s="1"/>
  <c r="C873" i="12"/>
  <c r="F873" i="12"/>
  <c r="B874" i="12"/>
  <c r="G874" i="12" s="1"/>
  <c r="C874" i="12"/>
  <c r="F874" i="12"/>
  <c r="B875" i="12"/>
  <c r="G875" i="12" s="1"/>
  <c r="C875" i="12"/>
  <c r="F875" i="12"/>
  <c r="B876" i="12"/>
  <c r="G876" i="12" s="1"/>
  <c r="C876" i="12"/>
  <c r="F876" i="12"/>
  <c r="B877" i="12"/>
  <c r="G877" i="12" s="1"/>
  <c r="C877" i="12"/>
  <c r="F877" i="12"/>
  <c r="B878" i="12"/>
  <c r="G878" i="12" s="1"/>
  <c r="C878" i="12"/>
  <c r="F878" i="12"/>
  <c r="B879" i="12"/>
  <c r="G879" i="12" s="1"/>
  <c r="C879" i="12"/>
  <c r="F879" i="12"/>
  <c r="B880" i="12"/>
  <c r="G880" i="12" s="1"/>
  <c r="C880" i="12"/>
  <c r="F880" i="12"/>
  <c r="B881" i="12"/>
  <c r="G881" i="12" s="1"/>
  <c r="C881" i="12"/>
  <c r="F881" i="12"/>
  <c r="B882" i="12"/>
  <c r="G882" i="12" s="1"/>
  <c r="C882" i="12"/>
  <c r="F882" i="12"/>
  <c r="B883" i="12"/>
  <c r="G883" i="12" s="1"/>
  <c r="C883" i="12"/>
  <c r="F883" i="12"/>
  <c r="B884" i="12"/>
  <c r="G884" i="12" s="1"/>
  <c r="C884" i="12"/>
  <c r="F884" i="12"/>
  <c r="B885" i="12"/>
  <c r="G885" i="12" s="1"/>
  <c r="C885" i="12"/>
  <c r="F885" i="12"/>
  <c r="B886" i="12"/>
  <c r="G886" i="12" s="1"/>
  <c r="C886" i="12"/>
  <c r="F886" i="12"/>
  <c r="B887" i="12"/>
  <c r="G887" i="12" s="1"/>
  <c r="C887" i="12"/>
  <c r="F887" i="12"/>
  <c r="B888" i="12"/>
  <c r="G888" i="12" s="1"/>
  <c r="C888" i="12"/>
  <c r="F888" i="12"/>
  <c r="B889" i="12"/>
  <c r="G889" i="12" s="1"/>
  <c r="C889" i="12"/>
  <c r="F889" i="12"/>
  <c r="B890" i="12"/>
  <c r="G890" i="12" s="1"/>
  <c r="C890" i="12"/>
  <c r="F890" i="12"/>
  <c r="B891" i="12"/>
  <c r="G891" i="12" s="1"/>
  <c r="C891" i="12"/>
  <c r="F891" i="12"/>
  <c r="B892" i="12"/>
  <c r="G892" i="12" s="1"/>
  <c r="C892" i="12"/>
  <c r="F892" i="12"/>
  <c r="B893" i="12"/>
  <c r="G893" i="12" s="1"/>
  <c r="C893" i="12"/>
  <c r="F893" i="12"/>
  <c r="B894" i="12"/>
  <c r="G894" i="12" s="1"/>
  <c r="C894" i="12"/>
  <c r="F894" i="12"/>
  <c r="B895" i="12"/>
  <c r="G895" i="12" s="1"/>
  <c r="C895" i="12"/>
  <c r="F895" i="12"/>
  <c r="B896" i="12"/>
  <c r="G896" i="12" s="1"/>
  <c r="C896" i="12"/>
  <c r="F896" i="12"/>
  <c r="B897" i="12"/>
  <c r="G897" i="12" s="1"/>
  <c r="C897" i="12"/>
  <c r="F897" i="12"/>
  <c r="B898" i="12"/>
  <c r="G898" i="12" s="1"/>
  <c r="C898" i="12"/>
  <c r="F898" i="12"/>
  <c r="B899" i="12"/>
  <c r="G899" i="12" s="1"/>
  <c r="C899" i="12"/>
  <c r="F899" i="12"/>
  <c r="B900" i="12"/>
  <c r="G900" i="12" s="1"/>
  <c r="C900" i="12"/>
  <c r="F900" i="12"/>
  <c r="B901" i="12"/>
  <c r="G901" i="12" s="1"/>
  <c r="C901" i="12"/>
  <c r="F901" i="12"/>
  <c r="B902" i="12"/>
  <c r="G902" i="12" s="1"/>
  <c r="C902" i="12"/>
  <c r="F902" i="12"/>
  <c r="B903" i="12"/>
  <c r="G903" i="12" s="1"/>
  <c r="C903" i="12"/>
  <c r="F903" i="12"/>
  <c r="B904" i="12"/>
  <c r="G904" i="12" s="1"/>
  <c r="C904" i="12"/>
  <c r="F904" i="12"/>
  <c r="B905" i="12"/>
  <c r="G905" i="12" s="1"/>
  <c r="C905" i="12"/>
  <c r="F905" i="12"/>
  <c r="B906" i="12"/>
  <c r="G906" i="12" s="1"/>
  <c r="C906" i="12"/>
  <c r="F906" i="12"/>
  <c r="B907" i="12"/>
  <c r="G907" i="12" s="1"/>
  <c r="C907" i="12"/>
  <c r="F907" i="12"/>
  <c r="B908" i="12"/>
  <c r="G908" i="12" s="1"/>
  <c r="C908" i="12"/>
  <c r="F908" i="12"/>
  <c r="B909" i="12"/>
  <c r="G909" i="12" s="1"/>
  <c r="C909" i="12"/>
  <c r="F909" i="12"/>
  <c r="B910" i="12"/>
  <c r="G910" i="12" s="1"/>
  <c r="C910" i="12"/>
  <c r="F910" i="12"/>
  <c r="B911" i="12"/>
  <c r="G911" i="12" s="1"/>
  <c r="C911" i="12"/>
  <c r="F911" i="12"/>
  <c r="B912" i="12"/>
  <c r="G912" i="12" s="1"/>
  <c r="C912" i="12"/>
  <c r="F912" i="12"/>
  <c r="B913" i="12"/>
  <c r="G913" i="12" s="1"/>
  <c r="C913" i="12"/>
  <c r="F913" i="12"/>
  <c r="B914" i="12"/>
  <c r="G914" i="12" s="1"/>
  <c r="C914" i="12"/>
  <c r="F914" i="12"/>
  <c r="B915" i="12"/>
  <c r="G915" i="12" s="1"/>
  <c r="C915" i="12"/>
  <c r="F915" i="12"/>
  <c r="B916" i="12"/>
  <c r="G916" i="12" s="1"/>
  <c r="C916" i="12"/>
  <c r="F916" i="12"/>
  <c r="B917" i="12"/>
  <c r="G917" i="12" s="1"/>
  <c r="C917" i="12"/>
  <c r="F917" i="12"/>
  <c r="B918" i="12"/>
  <c r="G918" i="12" s="1"/>
  <c r="C918" i="12"/>
  <c r="F918" i="12"/>
  <c r="B919" i="12"/>
  <c r="G919" i="12" s="1"/>
  <c r="C919" i="12"/>
  <c r="F919" i="12"/>
  <c r="B920" i="12"/>
  <c r="G920" i="12" s="1"/>
  <c r="C920" i="12"/>
  <c r="F920" i="12"/>
  <c r="B921" i="12"/>
  <c r="G921" i="12" s="1"/>
  <c r="C921" i="12"/>
  <c r="F921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" i="12"/>
  <c r="B3" i="12"/>
  <c r="G3" i="12" s="1"/>
  <c r="B4" i="12"/>
  <c r="G4" i="12" s="1"/>
  <c r="H4" i="12" s="1"/>
  <c r="B5" i="12"/>
  <c r="G5" i="12" s="1"/>
  <c r="H5" i="12" s="1"/>
  <c r="B6" i="12"/>
  <c r="G6" i="12" s="1"/>
  <c r="B7" i="12"/>
  <c r="G7" i="12" s="1"/>
  <c r="B8" i="12"/>
  <c r="G8" i="12" s="1"/>
  <c r="B9" i="12"/>
  <c r="G9" i="12" s="1"/>
  <c r="H9" i="12" s="1"/>
  <c r="B10" i="12"/>
  <c r="G10" i="12" s="1"/>
  <c r="B11" i="12"/>
  <c r="G11" i="12" s="1"/>
  <c r="B12" i="12"/>
  <c r="G12" i="12" s="1"/>
  <c r="B13" i="12"/>
  <c r="G13" i="12" s="1"/>
  <c r="B14" i="12"/>
  <c r="G14" i="12" s="1"/>
  <c r="B15" i="12"/>
  <c r="G15" i="12" s="1"/>
  <c r="B16" i="12"/>
  <c r="G16" i="12" s="1"/>
  <c r="B17" i="12"/>
  <c r="G17" i="12" s="1"/>
  <c r="B18" i="12"/>
  <c r="G18" i="12" s="1"/>
  <c r="B19" i="12"/>
  <c r="G19" i="12" s="1"/>
  <c r="B2" i="12"/>
  <c r="G2" i="12" s="1"/>
  <c r="D504" i="12" l="1"/>
  <c r="D500" i="12"/>
  <c r="D397" i="12"/>
  <c r="H162" i="12"/>
  <c r="E902" i="12"/>
  <c r="D889" i="12"/>
  <c r="E886" i="12"/>
  <c r="D825" i="12"/>
  <c r="E822" i="12"/>
  <c r="E787" i="12"/>
  <c r="H698" i="12"/>
  <c r="H797" i="12"/>
  <c r="H601" i="12"/>
  <c r="H593" i="12"/>
  <c r="H495" i="12"/>
  <c r="H427" i="12"/>
  <c r="D381" i="12"/>
  <c r="E875" i="12"/>
  <c r="E96" i="12"/>
  <c r="H769" i="12"/>
  <c r="E767" i="12"/>
  <c r="H761" i="12"/>
  <c r="E759" i="12"/>
  <c r="H697" i="12"/>
  <c r="E695" i="12"/>
  <c r="E439" i="12"/>
  <c r="D430" i="12"/>
  <c r="D410" i="12"/>
  <c r="D385" i="12"/>
  <c r="D160" i="12"/>
  <c r="D144" i="12"/>
  <c r="D401" i="12"/>
  <c r="E683" i="12"/>
  <c r="D529" i="12"/>
  <c r="H385" i="12"/>
  <c r="E318" i="12"/>
  <c r="D215" i="12"/>
  <c r="D211" i="12"/>
  <c r="D203" i="12"/>
  <c r="D195" i="12"/>
  <c r="D187" i="12"/>
  <c r="D179" i="12"/>
  <c r="D140" i="12"/>
  <c r="D409" i="12"/>
  <c r="H401" i="12"/>
  <c r="D372" i="12"/>
  <c r="E907" i="12"/>
  <c r="E811" i="12"/>
  <c r="H628" i="12"/>
  <c r="H829" i="12"/>
  <c r="E827" i="12"/>
  <c r="H821" i="12"/>
  <c r="E743" i="12"/>
  <c r="E731" i="12"/>
  <c r="E727" i="12"/>
  <c r="H674" i="12"/>
  <c r="H666" i="12"/>
  <c r="D639" i="12"/>
  <c r="E627" i="12"/>
  <c r="E590" i="12"/>
  <c r="D589" i="12"/>
  <c r="H588" i="12"/>
  <c r="D585" i="12"/>
  <c r="H389" i="12"/>
  <c r="E334" i="12"/>
  <c r="E75" i="12"/>
  <c r="E72" i="12"/>
  <c r="D71" i="12"/>
  <c r="D423" i="12"/>
  <c r="H393" i="12"/>
  <c r="D389" i="12"/>
  <c r="D321" i="12"/>
  <c r="E301" i="12"/>
  <c r="E298" i="12"/>
  <c r="E285" i="12"/>
  <c r="E277" i="12"/>
  <c r="E269" i="12"/>
  <c r="H93" i="12"/>
  <c r="H85" i="12"/>
  <c r="D746" i="12"/>
  <c r="D745" i="12"/>
  <c r="E566" i="12"/>
  <c r="H561" i="12"/>
  <c r="D546" i="12"/>
  <c r="D530" i="12"/>
  <c r="H512" i="12"/>
  <c r="D405" i="12"/>
  <c r="H397" i="12"/>
  <c r="D393" i="12"/>
  <c r="H381" i="12"/>
  <c r="D362" i="12"/>
  <c r="D20" i="12"/>
  <c r="H900" i="12"/>
  <c r="H685" i="12"/>
  <c r="H681" i="12"/>
  <c r="H669" i="12"/>
  <c r="H665" i="12"/>
  <c r="H661" i="12"/>
  <c r="H600" i="12"/>
  <c r="H596" i="12"/>
  <c r="H585" i="12"/>
  <c r="E459" i="12"/>
  <c r="E438" i="12"/>
  <c r="H152" i="12"/>
  <c r="H144" i="12"/>
  <c r="H55" i="12"/>
  <c r="E9" i="12"/>
  <c r="E921" i="12"/>
  <c r="H905" i="12"/>
  <c r="H903" i="12"/>
  <c r="E867" i="12"/>
  <c r="D834" i="12"/>
  <c r="H833" i="12"/>
  <c r="D754" i="12"/>
  <c r="H730" i="12"/>
  <c r="D721" i="12"/>
  <c r="E678" i="12"/>
  <c r="D677" i="12"/>
  <c r="D673" i="12"/>
  <c r="D657" i="12"/>
  <c r="H580" i="12"/>
  <c r="D578" i="12"/>
  <c r="H564" i="12"/>
  <c r="E558" i="12"/>
  <c r="D557" i="12"/>
  <c r="H556" i="12"/>
  <c r="E550" i="12"/>
  <c r="H548" i="12"/>
  <c r="H545" i="12"/>
  <c r="E537" i="12"/>
  <c r="H529" i="12"/>
  <c r="H504" i="12"/>
  <c r="E488" i="12"/>
  <c r="E463" i="12"/>
  <c r="H454" i="12"/>
  <c r="E450" i="12"/>
  <c r="E408" i="12"/>
  <c r="H407" i="12"/>
  <c r="D406" i="12"/>
  <c r="E404" i="12"/>
  <c r="H403" i="12"/>
  <c r="D402" i="12"/>
  <c r="E400" i="12"/>
  <c r="H399" i="12"/>
  <c r="D398" i="12"/>
  <c r="E396" i="12"/>
  <c r="H395" i="12"/>
  <c r="D394" i="12"/>
  <c r="E392" i="12"/>
  <c r="H391" i="12"/>
  <c r="D390" i="12"/>
  <c r="E388" i="12"/>
  <c r="H387" i="12"/>
  <c r="D386" i="12"/>
  <c r="E384" i="12"/>
  <c r="D382" i="12"/>
  <c r="E380" i="12"/>
  <c r="H362" i="12"/>
  <c r="H346" i="12"/>
  <c r="H342" i="12"/>
  <c r="E294" i="12"/>
  <c r="H285" i="12"/>
  <c r="H277" i="12"/>
  <c r="D274" i="12"/>
  <c r="H214" i="12"/>
  <c r="H172" i="12"/>
  <c r="H156" i="12"/>
  <c r="E148" i="12"/>
  <c r="E144" i="12"/>
  <c r="E84" i="12"/>
  <c r="H297" i="12"/>
  <c r="E51" i="12"/>
  <c r="D43" i="12"/>
  <c r="E838" i="12"/>
  <c r="E803" i="12"/>
  <c r="E795" i="12"/>
  <c r="E791" i="12"/>
  <c r="E723" i="12"/>
  <c r="E703" i="12"/>
  <c r="D621" i="12"/>
  <c r="E598" i="12"/>
  <c r="E333" i="12"/>
  <c r="H325" i="12"/>
  <c r="D324" i="12"/>
  <c r="G321" i="12"/>
  <c r="H321" i="12" s="1"/>
  <c r="E302" i="12"/>
  <c r="E270" i="12"/>
  <c r="D265" i="12"/>
  <c r="E240" i="12"/>
  <c r="H116" i="12"/>
  <c r="H63" i="12"/>
  <c r="E5" i="12"/>
  <c r="H861" i="12"/>
  <c r="H841" i="12"/>
  <c r="H806" i="12"/>
  <c r="H729" i="12"/>
  <c r="H513" i="12"/>
  <c r="D506" i="12"/>
  <c r="D498" i="12"/>
  <c r="D486" i="12"/>
  <c r="D470" i="12"/>
  <c r="H462" i="12"/>
  <c r="H451" i="12"/>
  <c r="H405" i="12"/>
  <c r="H386" i="12"/>
  <c r="H382" i="12"/>
  <c r="H373" i="12"/>
  <c r="H273" i="12"/>
  <c r="H176" i="12"/>
  <c r="H175" i="12"/>
  <c r="E870" i="12"/>
  <c r="H826" i="12"/>
  <c r="E806" i="12"/>
  <c r="H778" i="12"/>
  <c r="H738" i="12"/>
  <c r="H733" i="12"/>
  <c r="H705" i="12"/>
  <c r="H694" i="12"/>
  <c r="D894" i="12"/>
  <c r="E878" i="12"/>
  <c r="D862" i="12"/>
  <c r="E859" i="12"/>
  <c r="D846" i="12"/>
  <c r="D838" i="12"/>
  <c r="H834" i="12"/>
  <c r="E830" i="12"/>
  <c r="D822" i="12"/>
  <c r="E819" i="12"/>
  <c r="D817" i="12"/>
  <c r="E814" i="12"/>
  <c r="H790" i="12"/>
  <c r="D778" i="12"/>
  <c r="D777" i="12"/>
  <c r="E755" i="12"/>
  <c r="H746" i="12"/>
  <c r="D722" i="12"/>
  <c r="E711" i="12"/>
  <c r="E699" i="12"/>
  <c r="D682" i="12"/>
  <c r="E679" i="12"/>
  <c r="H758" i="12"/>
  <c r="E910" i="12"/>
  <c r="E901" i="12"/>
  <c r="D900" i="12"/>
  <c r="D870" i="12"/>
  <c r="E869" i="12"/>
  <c r="D868" i="12"/>
  <c r="D806" i="12"/>
  <c r="E805" i="12"/>
  <c r="D804" i="12"/>
  <c r="D786" i="12"/>
  <c r="E775" i="12"/>
  <c r="H765" i="12"/>
  <c r="E763" i="12"/>
  <c r="D753" i="12"/>
  <c r="H737" i="12"/>
  <c r="E735" i="12"/>
  <c r="H726" i="12"/>
  <c r="D714" i="12"/>
  <c r="D713" i="12"/>
  <c r="E691" i="12"/>
  <c r="H411" i="12"/>
  <c r="H383" i="12"/>
  <c r="E377" i="12"/>
  <c r="H337" i="12"/>
  <c r="D329" i="12"/>
  <c r="E286" i="12"/>
  <c r="E237" i="12"/>
  <c r="H230" i="12"/>
  <c r="H168" i="12"/>
  <c r="E122" i="12"/>
  <c r="H119" i="12"/>
  <c r="E76" i="12"/>
  <c r="E35" i="12"/>
  <c r="H32" i="12"/>
  <c r="H30" i="12"/>
  <c r="H26" i="12"/>
  <c r="H653" i="12"/>
  <c r="H651" i="12"/>
  <c r="E640" i="12"/>
  <c r="H624" i="12"/>
  <c r="H619" i="12"/>
  <c r="D616" i="12"/>
  <c r="D608" i="12"/>
  <c r="H607" i="12"/>
  <c r="D604" i="12"/>
  <c r="H603" i="12"/>
  <c r="H572" i="12"/>
  <c r="E569" i="12"/>
  <c r="D554" i="12"/>
  <c r="H532" i="12"/>
  <c r="E525" i="12"/>
  <c r="H521" i="12"/>
  <c r="D505" i="12"/>
  <c r="D497" i="12"/>
  <c r="H491" i="12"/>
  <c r="E467" i="12"/>
  <c r="D458" i="12"/>
  <c r="E455" i="12"/>
  <c r="D454" i="12"/>
  <c r="D422" i="12"/>
  <c r="E370" i="12"/>
  <c r="E362" i="12"/>
  <c r="H359" i="12"/>
  <c r="D354" i="12"/>
  <c r="H353" i="12"/>
  <c r="H351" i="12"/>
  <c r="H345" i="12"/>
  <c r="H343" i="12"/>
  <c r="D342" i="12"/>
  <c r="D338" i="12"/>
  <c r="D297" i="12"/>
  <c r="D249" i="12"/>
  <c r="H240" i="12"/>
  <c r="H239" i="12"/>
  <c r="D231" i="12"/>
  <c r="D223" i="12"/>
  <c r="H171" i="12"/>
  <c r="E168" i="12"/>
  <c r="E164" i="12"/>
  <c r="D152" i="12"/>
  <c r="H134" i="12"/>
  <c r="D133" i="12"/>
  <c r="D109" i="12"/>
  <c r="E68" i="12"/>
  <c r="H47" i="12"/>
  <c r="E36" i="12"/>
  <c r="H648" i="12"/>
  <c r="H645" i="12"/>
  <c r="H643" i="12"/>
  <c r="H641" i="12"/>
  <c r="D640" i="12"/>
  <c r="H620" i="12"/>
  <c r="H490" i="12"/>
  <c r="H483" i="12"/>
  <c r="H475" i="12"/>
  <c r="H426" i="12"/>
  <c r="H366" i="12"/>
  <c r="D359" i="12"/>
  <c r="H301" i="12"/>
  <c r="H261" i="12"/>
  <c r="H235" i="12"/>
  <c r="D212" i="12"/>
  <c r="H210" i="12"/>
  <c r="H202" i="12"/>
  <c r="H160" i="12"/>
  <c r="H155" i="12"/>
  <c r="E140" i="12"/>
  <c r="D47" i="12"/>
  <c r="E43" i="12"/>
  <c r="D658" i="12"/>
  <c r="E655" i="12"/>
  <c r="D650" i="12"/>
  <c r="D636" i="12"/>
  <c r="E629" i="12"/>
  <c r="D622" i="12"/>
  <c r="D601" i="12"/>
  <c r="E581" i="12"/>
  <c r="D570" i="12"/>
  <c r="D522" i="12"/>
  <c r="E518" i="12"/>
  <c r="D507" i="12"/>
  <c r="D503" i="12"/>
  <c r="D485" i="12"/>
  <c r="D477" i="12"/>
  <c r="E474" i="12"/>
  <c r="D447" i="12"/>
  <c r="E443" i="12"/>
  <c r="H438" i="12"/>
  <c r="E427" i="12"/>
  <c r="D426" i="12"/>
  <c r="E419" i="12"/>
  <c r="H409" i="12"/>
  <c r="E918" i="12"/>
  <c r="E914" i="12"/>
  <c r="E899" i="12"/>
  <c r="D886" i="12"/>
  <c r="D881" i="12"/>
  <c r="E835" i="12"/>
  <c r="H782" i="12"/>
  <c r="E779" i="12"/>
  <c r="E771" i="12"/>
  <c r="H750" i="12"/>
  <c r="E747" i="12"/>
  <c r="E739" i="12"/>
  <c r="H718" i="12"/>
  <c r="E715" i="12"/>
  <c r="E707" i="12"/>
  <c r="H706" i="12"/>
  <c r="H701" i="12"/>
  <c r="H686" i="12"/>
  <c r="H682" i="12"/>
  <c r="H657" i="12"/>
  <c r="H635" i="12"/>
  <c r="H631" i="12"/>
  <c r="H584" i="12"/>
  <c r="H908" i="12"/>
  <c r="D902" i="12"/>
  <c r="D878" i="12"/>
  <c r="H866" i="12"/>
  <c r="H858" i="12"/>
  <c r="D857" i="12"/>
  <c r="E854" i="12"/>
  <c r="E843" i="12"/>
  <c r="E837" i="12"/>
  <c r="D836" i="12"/>
  <c r="D830" i="12"/>
  <c r="D814" i="12"/>
  <c r="H802" i="12"/>
  <c r="E783" i="12"/>
  <c r="E782" i="12"/>
  <c r="H774" i="12"/>
  <c r="E751" i="12"/>
  <c r="E750" i="12"/>
  <c r="H742" i="12"/>
  <c r="E719" i="12"/>
  <c r="E718" i="12"/>
  <c r="H710" i="12"/>
  <c r="E687" i="12"/>
  <c r="D678" i="12"/>
  <c r="H677" i="12"/>
  <c r="E675" i="12"/>
  <c r="D674" i="12"/>
  <c r="H673" i="12"/>
  <c r="E671" i="12"/>
  <c r="D669" i="12"/>
  <c r="H658" i="12"/>
  <c r="D651" i="12"/>
  <c r="E648" i="12"/>
  <c r="D647" i="12"/>
  <c r="D646" i="12"/>
  <c r="D637" i="12"/>
  <c r="H636" i="12"/>
  <c r="H632" i="12"/>
  <c r="D629" i="12"/>
  <c r="D628" i="12"/>
  <c r="E615" i="12"/>
  <c r="E611" i="12"/>
  <c r="E607" i="12"/>
  <c r="D602" i="12"/>
  <c r="D594" i="12"/>
  <c r="E582" i="12"/>
  <c r="D581" i="12"/>
  <c r="H577" i="12"/>
  <c r="G553" i="12"/>
  <c r="H553" i="12" s="1"/>
  <c r="D553" i="12"/>
  <c r="H913" i="12"/>
  <c r="E909" i="12"/>
  <c r="D908" i="12"/>
  <c r="E894" i="12"/>
  <c r="H873" i="12"/>
  <c r="D866" i="12"/>
  <c r="H865" i="12"/>
  <c r="E862" i="12"/>
  <c r="D854" i="12"/>
  <c r="H853" i="12"/>
  <c r="E851" i="12"/>
  <c r="D849" i="12"/>
  <c r="E846" i="12"/>
  <c r="H809" i="12"/>
  <c r="D802" i="12"/>
  <c r="D801" i="12"/>
  <c r="H789" i="12"/>
  <c r="H786" i="12"/>
  <c r="D774" i="12"/>
  <c r="D773" i="12"/>
  <c r="H757" i="12"/>
  <c r="H754" i="12"/>
  <c r="D742" i="12"/>
  <c r="D741" i="12"/>
  <c r="H725" i="12"/>
  <c r="D710" i="12"/>
  <c r="D709" i="12"/>
  <c r="H693" i="12"/>
  <c r="D681" i="12"/>
  <c r="D670" i="12"/>
  <c r="E667" i="12"/>
  <c r="E663" i="12"/>
  <c r="D638" i="12"/>
  <c r="E635" i="12"/>
  <c r="D625" i="12"/>
  <c r="D620" i="12"/>
  <c r="E616" i="12"/>
  <c r="E612" i="12"/>
  <c r="E604" i="12"/>
  <c r="E597" i="12"/>
  <c r="E574" i="12"/>
  <c r="H569" i="12"/>
  <c r="D565" i="12"/>
  <c r="H528" i="12"/>
  <c r="D478" i="12"/>
  <c r="H430" i="12"/>
  <c r="E414" i="12"/>
  <c r="D411" i="12"/>
  <c r="D407" i="12"/>
  <c r="D403" i="12"/>
  <c r="D399" i="12"/>
  <c r="D395" i="12"/>
  <c r="D391" i="12"/>
  <c r="D387" i="12"/>
  <c r="D383" i="12"/>
  <c r="D379" i="12"/>
  <c r="H370" i="12"/>
  <c r="H365" i="12"/>
  <c r="D364" i="12"/>
  <c r="H333" i="12"/>
  <c r="G329" i="12"/>
  <c r="H329" i="12" s="1"/>
  <c r="E326" i="12"/>
  <c r="E317" i="12"/>
  <c r="E310" i="12"/>
  <c r="E309" i="12"/>
  <c r="H305" i="12"/>
  <c r="D289" i="12"/>
  <c r="H269" i="12"/>
  <c r="G265" i="12"/>
  <c r="E262" i="12"/>
  <c r="D261" i="12"/>
  <c r="D255" i="12"/>
  <c r="H249" i="12"/>
  <c r="D243" i="12"/>
  <c r="D235" i="12"/>
  <c r="H226" i="12"/>
  <c r="D219" i="12"/>
  <c r="H206" i="12"/>
  <c r="D176" i="12"/>
  <c r="D175" i="12"/>
  <c r="D168" i="12"/>
  <c r="H167" i="12"/>
  <c r="D163" i="12"/>
  <c r="E156" i="12"/>
  <c r="E134" i="12"/>
  <c r="H127" i="12"/>
  <c r="H124" i="12"/>
  <c r="E100" i="12"/>
  <c r="E92" i="12"/>
  <c r="E67" i="12"/>
  <c r="H66" i="12"/>
  <c r="H64" i="12"/>
  <c r="E32" i="12"/>
  <c r="D23" i="12"/>
  <c r="H22" i="12"/>
  <c r="H576" i="12"/>
  <c r="E542" i="12"/>
  <c r="D541" i="12"/>
  <c r="H540" i="12"/>
  <c r="H533" i="12"/>
  <c r="E526" i="12"/>
  <c r="H524" i="12"/>
  <c r="D517" i="12"/>
  <c r="H516" i="12"/>
  <c r="D510" i="12"/>
  <c r="H508" i="12"/>
  <c r="H496" i="12"/>
  <c r="D494" i="12"/>
  <c r="E480" i="12"/>
  <c r="D463" i="12"/>
  <c r="H459" i="12"/>
  <c r="E451" i="12"/>
  <c r="D450" i="12"/>
  <c r="H446" i="12"/>
  <c r="D438" i="12"/>
  <c r="E434" i="12"/>
  <c r="E422" i="12"/>
  <c r="D418" i="12"/>
  <c r="E415" i="12"/>
  <c r="D414" i="12"/>
  <c r="H377" i="12"/>
  <c r="H354" i="12"/>
  <c r="E330" i="12"/>
  <c r="H309" i="12"/>
  <c r="D306" i="12"/>
  <c r="H293" i="12"/>
  <c r="D292" i="12"/>
  <c r="E266" i="12"/>
  <c r="H265" i="12"/>
  <c r="D258" i="12"/>
  <c r="H253" i="12"/>
  <c r="D227" i="12"/>
  <c r="E211" i="12"/>
  <c r="D207" i="12"/>
  <c r="D199" i="12"/>
  <c r="D191" i="12"/>
  <c r="D183" i="12"/>
  <c r="E160" i="12"/>
  <c r="H159" i="12"/>
  <c r="D156" i="12"/>
  <c r="H151" i="12"/>
  <c r="D134" i="12"/>
  <c r="D132" i="12"/>
  <c r="D121" i="12"/>
  <c r="E107" i="12"/>
  <c r="H104" i="12"/>
  <c r="E102" i="12"/>
  <c r="E88" i="12"/>
  <c r="H86" i="12"/>
  <c r="E80" i="12"/>
  <c r="D44" i="12"/>
  <c r="D41" i="12"/>
  <c r="H38" i="12"/>
  <c r="D538" i="12"/>
  <c r="E534" i="12"/>
  <c r="D533" i="12"/>
  <c r="E521" i="12"/>
  <c r="D513" i="12"/>
  <c r="E506" i="12"/>
  <c r="E502" i="12"/>
  <c r="D496" i="12"/>
  <c r="E472" i="12"/>
  <c r="H467" i="12"/>
  <c r="E466" i="12"/>
  <c r="E447" i="12"/>
  <c r="H443" i="12"/>
  <c r="E435" i="12"/>
  <c r="D434" i="12"/>
  <c r="E423" i="12"/>
  <c r="E378" i="12"/>
  <c r="D371" i="12"/>
  <c r="H361" i="12"/>
  <c r="D350" i="12"/>
  <c r="E346" i="12"/>
  <c r="E338" i="12"/>
  <c r="H317" i="12"/>
  <c r="E278" i="12"/>
  <c r="D251" i="12"/>
  <c r="D247" i="12"/>
  <c r="D232" i="12"/>
  <c r="D216" i="12"/>
  <c r="D171" i="12"/>
  <c r="E152" i="12"/>
  <c r="D148" i="12"/>
  <c r="D129" i="12"/>
  <c r="E108" i="12"/>
  <c r="D107" i="12"/>
  <c r="D74" i="12"/>
  <c r="E71" i="12"/>
  <c r="E47" i="12"/>
  <c r="E18" i="12"/>
  <c r="H921" i="12"/>
  <c r="E920" i="12"/>
  <c r="D919" i="12"/>
  <c r="E916" i="12"/>
  <c r="D915" i="12"/>
  <c r="H910" i="12"/>
  <c r="D906" i="12"/>
  <c r="E893" i="12"/>
  <c r="D892" i="12"/>
  <c r="E885" i="12"/>
  <c r="D884" i="12"/>
  <c r="E877" i="12"/>
  <c r="D876" i="12"/>
  <c r="D874" i="12"/>
  <c r="H869" i="12"/>
  <c r="D865" i="12"/>
  <c r="H862" i="12"/>
  <c r="E845" i="12"/>
  <c r="D844" i="12"/>
  <c r="D842" i="12"/>
  <c r="H837" i="12"/>
  <c r="D833" i="12"/>
  <c r="H830" i="12"/>
  <c r="E813" i="12"/>
  <c r="D812" i="12"/>
  <c r="D810" i="12"/>
  <c r="H805" i="12"/>
  <c r="D798" i="12"/>
  <c r="D797" i="12"/>
  <c r="H785" i="12"/>
  <c r="H781" i="12"/>
  <c r="E774" i="12"/>
  <c r="D770" i="12"/>
  <c r="D769" i="12"/>
  <c r="D766" i="12"/>
  <c r="D765" i="12"/>
  <c r="H753" i="12"/>
  <c r="H749" i="12"/>
  <c r="E742" i="12"/>
  <c r="D738" i="12"/>
  <c r="D737" i="12"/>
  <c r="D734" i="12"/>
  <c r="D733" i="12"/>
  <c r="H722" i="12"/>
  <c r="H721" i="12"/>
  <c r="H717" i="12"/>
  <c r="E710" i="12"/>
  <c r="D706" i="12"/>
  <c r="D705" i="12"/>
  <c r="D702" i="12"/>
  <c r="D701" i="12"/>
  <c r="H690" i="12"/>
  <c r="H689" i="12"/>
  <c r="E659" i="12"/>
  <c r="H854" i="12"/>
  <c r="H822" i="12"/>
  <c r="E686" i="12"/>
  <c r="H662" i="12"/>
  <c r="E917" i="12"/>
  <c r="D910" i="12"/>
  <c r="H894" i="12"/>
  <c r="H890" i="12"/>
  <c r="H886" i="12"/>
  <c r="H882" i="12"/>
  <c r="H878" i="12"/>
  <c r="E861" i="12"/>
  <c r="D860" i="12"/>
  <c r="D858" i="12"/>
  <c r="H857" i="12"/>
  <c r="H850" i="12"/>
  <c r="H846" i="12"/>
  <c r="E829" i="12"/>
  <c r="D828" i="12"/>
  <c r="D826" i="12"/>
  <c r="H825" i="12"/>
  <c r="H818" i="12"/>
  <c r="H814" i="12"/>
  <c r="H798" i="12"/>
  <c r="H794" i="12"/>
  <c r="E790" i="12"/>
  <c r="D785" i="12"/>
  <c r="D782" i="12"/>
  <c r="D781" i="12"/>
  <c r="H766" i="12"/>
  <c r="H762" i="12"/>
  <c r="E758" i="12"/>
  <c r="D750" i="12"/>
  <c r="D749" i="12"/>
  <c r="H734" i="12"/>
  <c r="E726" i="12"/>
  <c r="D718" i="12"/>
  <c r="D717" i="12"/>
  <c r="H702" i="12"/>
  <c r="E694" i="12"/>
  <c r="D690" i="12"/>
  <c r="D689" i="12"/>
  <c r="D686" i="12"/>
  <c r="D685" i="12"/>
  <c r="H670" i="12"/>
  <c r="E662" i="12"/>
  <c r="E15" i="12"/>
  <c r="H11" i="12"/>
  <c r="E7" i="12"/>
  <c r="E3" i="12"/>
  <c r="H917" i="12"/>
  <c r="H915" i="12"/>
  <c r="E913" i="12"/>
  <c r="H902" i="12"/>
  <c r="D898" i="12"/>
  <c r="H897" i="12"/>
  <c r="H895" i="12"/>
  <c r="E891" i="12"/>
  <c r="D890" i="12"/>
  <c r="H889" i="12"/>
  <c r="H887" i="12"/>
  <c r="E883" i="12"/>
  <c r="D882" i="12"/>
  <c r="H881" i="12"/>
  <c r="H877" i="12"/>
  <c r="H874" i="12"/>
  <c r="D873" i="12"/>
  <c r="H870" i="12"/>
  <c r="E853" i="12"/>
  <c r="D852" i="12"/>
  <c r="D850" i="12"/>
  <c r="H849" i="12"/>
  <c r="H845" i="12"/>
  <c r="H842" i="12"/>
  <c r="D841" i="12"/>
  <c r="H838" i="12"/>
  <c r="E821" i="12"/>
  <c r="D820" i="12"/>
  <c r="D818" i="12"/>
  <c r="H817" i="12"/>
  <c r="H813" i="12"/>
  <c r="H810" i="12"/>
  <c r="D809" i="12"/>
  <c r="E798" i="12"/>
  <c r="E797" i="12"/>
  <c r="D796" i="12"/>
  <c r="D794" i="12"/>
  <c r="D793" i="12"/>
  <c r="D790" i="12"/>
  <c r="D789" i="12"/>
  <c r="H777" i="12"/>
  <c r="H773" i="12"/>
  <c r="H770" i="12"/>
  <c r="E766" i="12"/>
  <c r="D762" i="12"/>
  <c r="D761" i="12"/>
  <c r="D758" i="12"/>
  <c r="D757" i="12"/>
  <c r="H745" i="12"/>
  <c r="H741" i="12"/>
  <c r="E734" i="12"/>
  <c r="D730" i="12"/>
  <c r="D729" i="12"/>
  <c r="D726" i="12"/>
  <c r="D725" i="12"/>
  <c r="H714" i="12"/>
  <c r="H713" i="12"/>
  <c r="H709" i="12"/>
  <c r="E702" i="12"/>
  <c r="D698" i="12"/>
  <c r="D697" i="12"/>
  <c r="D694" i="12"/>
  <c r="D693" i="12"/>
  <c r="H678" i="12"/>
  <c r="E670" i="12"/>
  <c r="D666" i="12"/>
  <c r="D665" i="12"/>
  <c r="D662" i="12"/>
  <c r="D661" i="12"/>
  <c r="H654" i="12"/>
  <c r="H649" i="12"/>
  <c r="D648" i="12"/>
  <c r="H578" i="12"/>
  <c r="H485" i="12"/>
  <c r="H477" i="12"/>
  <c r="H594" i="12"/>
  <c r="H570" i="12"/>
  <c r="H546" i="12"/>
  <c r="H522" i="12"/>
  <c r="H503" i="12"/>
  <c r="E496" i="12"/>
  <c r="H374" i="12"/>
  <c r="D370" i="12"/>
  <c r="E354" i="12"/>
  <c r="E625" i="12"/>
  <c r="H615" i="12"/>
  <c r="H592" i="12"/>
  <c r="H586" i="12"/>
  <c r="E585" i="12"/>
  <c r="H573" i="12"/>
  <c r="H568" i="12"/>
  <c r="H549" i="12"/>
  <c r="D545" i="12"/>
  <c r="H520" i="12"/>
  <c r="H514" i="12"/>
  <c r="E507" i="12"/>
  <c r="D499" i="12"/>
  <c r="D490" i="12"/>
  <c r="H489" i="12"/>
  <c r="H487" i="12"/>
  <c r="D482" i="12"/>
  <c r="H481" i="12"/>
  <c r="H479" i="12"/>
  <c r="D474" i="12"/>
  <c r="H473" i="12"/>
  <c r="H471" i="12"/>
  <c r="E454" i="12"/>
  <c r="H442" i="12"/>
  <c r="D439" i="12"/>
  <c r="H419" i="12"/>
  <c r="D377" i="12"/>
  <c r="E376" i="12"/>
  <c r="H375" i="12"/>
  <c r="D374" i="12"/>
  <c r="H369" i="12"/>
  <c r="H367" i="12"/>
  <c r="E366" i="12"/>
  <c r="H357" i="12"/>
  <c r="D356" i="12"/>
  <c r="D351" i="12"/>
  <c r="D332" i="12"/>
  <c r="D281" i="12"/>
  <c r="G281" i="12"/>
  <c r="H281" i="12" s="1"/>
  <c r="D253" i="12"/>
  <c r="E253" i="12"/>
  <c r="D654" i="12"/>
  <c r="D643" i="12"/>
  <c r="D642" i="12"/>
  <c r="H640" i="12"/>
  <c r="D630" i="12"/>
  <c r="E619" i="12"/>
  <c r="D612" i="12"/>
  <c r="H611" i="12"/>
  <c r="E608" i="12"/>
  <c r="E603" i="12"/>
  <c r="H602" i="12"/>
  <c r="E601" i="12"/>
  <c r="D597" i="12"/>
  <c r="H589" i="12"/>
  <c r="D586" i="12"/>
  <c r="D573" i="12"/>
  <c r="D562" i="12"/>
  <c r="E553" i="12"/>
  <c r="D549" i="12"/>
  <c r="H536" i="12"/>
  <c r="H530" i="12"/>
  <c r="D525" i="12"/>
  <c r="H517" i="12"/>
  <c r="D514" i="12"/>
  <c r="H507" i="12"/>
  <c r="D502" i="12"/>
  <c r="E500" i="12"/>
  <c r="G499" i="12"/>
  <c r="H499" i="12" s="1"/>
  <c r="E495" i="12"/>
  <c r="D489" i="12"/>
  <c r="E484" i="12"/>
  <c r="D481" i="12"/>
  <c r="E478" i="12"/>
  <c r="E476" i="12"/>
  <c r="D473" i="12"/>
  <c r="E470" i="12"/>
  <c r="D466" i="12"/>
  <c r="H458" i="12"/>
  <c r="D455" i="12"/>
  <c r="D442" i="12"/>
  <c r="H435" i="12"/>
  <c r="E431" i="12"/>
  <c r="H422" i="12"/>
  <c r="E418" i="12"/>
  <c r="H410" i="12"/>
  <c r="H406" i="12"/>
  <c r="H402" i="12"/>
  <c r="H398" i="12"/>
  <c r="H394" i="12"/>
  <c r="H390" i="12"/>
  <c r="H378" i="12"/>
  <c r="D375" i="12"/>
  <c r="D367" i="12"/>
  <c r="D348" i="12"/>
  <c r="D346" i="12"/>
  <c r="H341" i="12"/>
  <c r="D313" i="12"/>
  <c r="G313" i="12"/>
  <c r="H313" i="12" s="1"/>
  <c r="D343" i="12"/>
  <c r="D337" i="12"/>
  <c r="D330" i="12"/>
  <c r="E325" i="12"/>
  <c r="E322" i="12"/>
  <c r="D316" i="12"/>
  <c r="D305" i="12"/>
  <c r="D298" i="12"/>
  <c r="E293" i="12"/>
  <c r="E290" i="12"/>
  <c r="H289" i="12"/>
  <c r="D284" i="12"/>
  <c r="D273" i="12"/>
  <c r="D266" i="12"/>
  <c r="E249" i="12"/>
  <c r="H243" i="12"/>
  <c r="D236" i="12"/>
  <c r="H234" i="12"/>
  <c r="D220" i="12"/>
  <c r="H218" i="12"/>
  <c r="H179" i="12"/>
  <c r="E176" i="12"/>
  <c r="E172" i="12"/>
  <c r="H170" i="12"/>
  <c r="D162" i="12"/>
  <c r="D154" i="12"/>
  <c r="H139" i="12"/>
  <c r="H101" i="12"/>
  <c r="H94" i="12"/>
  <c r="H89" i="12"/>
  <c r="E78" i="12"/>
  <c r="E64" i="12"/>
  <c r="D63" i="12"/>
  <c r="H62" i="12"/>
  <c r="E60" i="12"/>
  <c r="D59" i="12"/>
  <c r="H58" i="12"/>
  <c r="E55" i="12"/>
  <c r="H39" i="12"/>
  <c r="D340" i="12"/>
  <c r="D322" i="12"/>
  <c r="E314" i="12"/>
  <c r="D308" i="12"/>
  <c r="D290" i="12"/>
  <c r="E282" i="12"/>
  <c r="D276" i="12"/>
  <c r="E258" i="12"/>
  <c r="H257" i="12"/>
  <c r="D224" i="12"/>
  <c r="H222" i="12"/>
  <c r="H208" i="12"/>
  <c r="E207" i="12"/>
  <c r="H204" i="12"/>
  <c r="E203" i="12"/>
  <c r="H200" i="12"/>
  <c r="E199" i="12"/>
  <c r="H196" i="12"/>
  <c r="E195" i="12"/>
  <c r="H192" i="12"/>
  <c r="E191" i="12"/>
  <c r="H188" i="12"/>
  <c r="E187" i="12"/>
  <c r="H184" i="12"/>
  <c r="E183" i="12"/>
  <c r="H180" i="12"/>
  <c r="H178" i="12"/>
  <c r="D170" i="12"/>
  <c r="D159" i="12"/>
  <c r="D155" i="12"/>
  <c r="H147" i="12"/>
  <c r="H140" i="12"/>
  <c r="H136" i="12"/>
  <c r="H128" i="12"/>
  <c r="E120" i="12"/>
  <c r="E119" i="12"/>
  <c r="E118" i="12"/>
  <c r="D117" i="12"/>
  <c r="D110" i="12"/>
  <c r="E104" i="12"/>
  <c r="H102" i="12"/>
  <c r="H97" i="12"/>
  <c r="D90" i="12"/>
  <c r="H81" i="12"/>
  <c r="H79" i="12"/>
  <c r="D75" i="12"/>
  <c r="H70" i="12"/>
  <c r="D55" i="12"/>
  <c r="H40" i="12"/>
  <c r="H31" i="12"/>
  <c r="D314" i="12"/>
  <c r="E306" i="12"/>
  <c r="D300" i="12"/>
  <c r="D282" i="12"/>
  <c r="E274" i="12"/>
  <c r="D268" i="12"/>
  <c r="D256" i="12"/>
  <c r="D240" i="12"/>
  <c r="D238" i="12"/>
  <c r="D228" i="12"/>
  <c r="D208" i="12"/>
  <c r="D204" i="12"/>
  <c r="D200" i="12"/>
  <c r="D196" i="12"/>
  <c r="D192" i="12"/>
  <c r="D188" i="12"/>
  <c r="D184" i="12"/>
  <c r="D180" i="12"/>
  <c r="D178" i="12"/>
  <c r="D167" i="12"/>
  <c r="H164" i="12"/>
  <c r="H163" i="12"/>
  <c r="H148" i="12"/>
  <c r="H143" i="12"/>
  <c r="H130" i="12"/>
  <c r="E127" i="12"/>
  <c r="D125" i="12"/>
  <c r="D122" i="12"/>
  <c r="D112" i="12"/>
  <c r="D98" i="12"/>
  <c r="E94" i="12"/>
  <c r="E86" i="12"/>
  <c r="D82" i="12"/>
  <c r="D40" i="12"/>
  <c r="H34" i="12"/>
  <c r="D31" i="12"/>
  <c r="E28" i="12"/>
  <c r="D27" i="12"/>
  <c r="H2" i="12"/>
  <c r="H8" i="12"/>
  <c r="D2" i="12"/>
  <c r="D16" i="12"/>
  <c r="D8" i="12"/>
  <c r="D4" i="12"/>
  <c r="H10" i="12"/>
  <c r="H6" i="12"/>
  <c r="E2" i="12"/>
  <c r="E11" i="12"/>
  <c r="E6" i="12"/>
  <c r="H18" i="12"/>
  <c r="H911" i="12"/>
  <c r="E911" i="12"/>
  <c r="D19" i="12"/>
  <c r="D15" i="12"/>
  <c r="D11" i="12"/>
  <c r="D7" i="12"/>
  <c r="D3" i="12"/>
  <c r="H17" i="12"/>
  <c r="E13" i="12"/>
  <c r="E10" i="12"/>
  <c r="D921" i="12"/>
  <c r="E915" i="12"/>
  <c r="H916" i="12"/>
  <c r="H15" i="12"/>
  <c r="H3" i="12"/>
  <c r="H644" i="12"/>
  <c r="D18" i="12"/>
  <c r="D10" i="12"/>
  <c r="D6" i="12"/>
  <c r="E8" i="12"/>
  <c r="E4" i="12"/>
  <c r="E17" i="12"/>
  <c r="H919" i="12"/>
  <c r="H920" i="12"/>
  <c r="H914" i="12"/>
  <c r="H13" i="12"/>
  <c r="H7" i="12"/>
  <c r="H898" i="12"/>
  <c r="H652" i="12"/>
  <c r="D17" i="12"/>
  <c r="D13" i="12"/>
  <c r="D9" i="12"/>
  <c r="D5" i="12"/>
  <c r="E19" i="12"/>
  <c r="E919" i="12"/>
  <c r="D917" i="12"/>
  <c r="H918" i="12"/>
  <c r="H19" i="12"/>
  <c r="D913" i="12"/>
  <c r="H906" i="12"/>
  <c r="E906" i="12"/>
  <c r="H909" i="12"/>
  <c r="D905" i="12"/>
  <c r="H901" i="12"/>
  <c r="D897" i="12"/>
  <c r="H893" i="12"/>
  <c r="H885" i="12"/>
  <c r="H626" i="12"/>
  <c r="D569" i="12"/>
  <c r="H560" i="12"/>
  <c r="H554" i="12"/>
  <c r="E554" i="12"/>
  <c r="H544" i="12"/>
  <c r="H538" i="12"/>
  <c r="E538" i="12"/>
  <c r="H879" i="12"/>
  <c r="H871" i="12"/>
  <c r="H863" i="12"/>
  <c r="H855" i="12"/>
  <c r="H847" i="12"/>
  <c r="H839" i="12"/>
  <c r="H831" i="12"/>
  <c r="H823" i="12"/>
  <c r="H815" i="12"/>
  <c r="H807" i="12"/>
  <c r="H799" i="12"/>
  <c r="H791" i="12"/>
  <c r="E789" i="12"/>
  <c r="D788" i="12"/>
  <c r="H783" i="12"/>
  <c r="E781" i="12"/>
  <c r="D780" i="12"/>
  <c r="H775" i="12"/>
  <c r="E773" i="12"/>
  <c r="D772" i="12"/>
  <c r="H767" i="12"/>
  <c r="E765" i="12"/>
  <c r="D764" i="12"/>
  <c r="H759" i="12"/>
  <c r="E757" i="12"/>
  <c r="D756" i="12"/>
  <c r="H751" i="12"/>
  <c r="E749" i="12"/>
  <c r="D748" i="12"/>
  <c r="H743" i="12"/>
  <c r="E741" i="12"/>
  <c r="D740" i="12"/>
  <c r="H735" i="12"/>
  <c r="E733" i="12"/>
  <c r="D732" i="12"/>
  <c r="H727" i="12"/>
  <c r="E725" i="12"/>
  <c r="D724" i="12"/>
  <c r="H719" i="12"/>
  <c r="E717" i="12"/>
  <c r="D716" i="12"/>
  <c r="H711" i="12"/>
  <c r="E709" i="12"/>
  <c r="D708" i="12"/>
  <c r="H703" i="12"/>
  <c r="E701" i="12"/>
  <c r="D700" i="12"/>
  <c r="H695" i="12"/>
  <c r="E693" i="12"/>
  <c r="D692" i="12"/>
  <c r="H687" i="12"/>
  <c r="E685" i="12"/>
  <c r="D684" i="12"/>
  <c r="H679" i="12"/>
  <c r="E677" i="12"/>
  <c r="D676" i="12"/>
  <c r="H671" i="12"/>
  <c r="E669" i="12"/>
  <c r="D668" i="12"/>
  <c r="H663" i="12"/>
  <c r="E661" i="12"/>
  <c r="D660" i="12"/>
  <c r="H655" i="12"/>
  <c r="E652" i="12"/>
  <c r="E649" i="12"/>
  <c r="H647" i="12"/>
  <c r="E644" i="12"/>
  <c r="H642" i="12"/>
  <c r="E641" i="12"/>
  <c r="H639" i="12"/>
  <c r="E633" i="12"/>
  <c r="E631" i="12"/>
  <c r="H630" i="12"/>
  <c r="D626" i="12"/>
  <c r="D624" i="12"/>
  <c r="H623" i="12"/>
  <c r="E617" i="12"/>
  <c r="H616" i="12"/>
  <c r="E613" i="12"/>
  <c r="H612" i="12"/>
  <c r="E609" i="12"/>
  <c r="H608" i="12"/>
  <c r="E605" i="12"/>
  <c r="H604" i="12"/>
  <c r="D598" i="12"/>
  <c r="E594" i="12"/>
  <c r="E593" i="12"/>
  <c r="H590" i="12"/>
  <c r="D582" i="12"/>
  <c r="E578" i="12"/>
  <c r="E577" i="12"/>
  <c r="H574" i="12"/>
  <c r="E557" i="12"/>
  <c r="H557" i="12"/>
  <c r="E541" i="12"/>
  <c r="H541" i="12"/>
  <c r="D920" i="12"/>
  <c r="D918" i="12"/>
  <c r="D916" i="12"/>
  <c r="D914" i="12"/>
  <c r="D909" i="12"/>
  <c r="E903" i="12"/>
  <c r="D901" i="12"/>
  <c r="E898" i="12"/>
  <c r="E895" i="12"/>
  <c r="D893" i="12"/>
  <c r="E890" i="12"/>
  <c r="H888" i="12"/>
  <c r="E887" i="12"/>
  <c r="D885" i="12"/>
  <c r="E882" i="12"/>
  <c r="H880" i="12"/>
  <c r="E879" i="12"/>
  <c r="D877" i="12"/>
  <c r="E874" i="12"/>
  <c r="H872" i="12"/>
  <c r="E871" i="12"/>
  <c r="D869" i="12"/>
  <c r="E866" i="12"/>
  <c r="H864" i="12"/>
  <c r="E863" i="12"/>
  <c r="D861" i="12"/>
  <c r="E858" i="12"/>
  <c r="H856" i="12"/>
  <c r="E855" i="12"/>
  <c r="D853" i="12"/>
  <c r="E850" i="12"/>
  <c r="H848" i="12"/>
  <c r="E847" i="12"/>
  <c r="D845" i="12"/>
  <c r="E842" i="12"/>
  <c r="H840" i="12"/>
  <c r="E839" i="12"/>
  <c r="D837" i="12"/>
  <c r="E834" i="12"/>
  <c r="H832" i="12"/>
  <c r="E831" i="12"/>
  <c r="D829" i="12"/>
  <c r="E826" i="12"/>
  <c r="H824" i="12"/>
  <c r="E823" i="12"/>
  <c r="D821" i="12"/>
  <c r="E818" i="12"/>
  <c r="H816" i="12"/>
  <c r="E815" i="12"/>
  <c r="D813" i="12"/>
  <c r="E810" i="12"/>
  <c r="H808" i="12"/>
  <c r="E807" i="12"/>
  <c r="D805" i="12"/>
  <c r="E802" i="12"/>
  <c r="H801" i="12"/>
  <c r="H800" i="12"/>
  <c r="E799" i="12"/>
  <c r="E794" i="12"/>
  <c r="H793" i="12"/>
  <c r="H792" i="12"/>
  <c r="E786" i="12"/>
  <c r="H784" i="12"/>
  <c r="E778" i="12"/>
  <c r="H776" i="12"/>
  <c r="E770" i="12"/>
  <c r="H768" i="12"/>
  <c r="E762" i="12"/>
  <c r="H760" i="12"/>
  <c r="E754" i="12"/>
  <c r="H752" i="12"/>
  <c r="E746" i="12"/>
  <c r="H744" i="12"/>
  <c r="E738" i="12"/>
  <c r="H736" i="12"/>
  <c r="E730" i="12"/>
  <c r="H728" i="12"/>
  <c r="E722" i="12"/>
  <c r="H720" i="12"/>
  <c r="E714" i="12"/>
  <c r="H712" i="12"/>
  <c r="E706" i="12"/>
  <c r="H704" i="12"/>
  <c r="E698" i="12"/>
  <c r="H696" i="12"/>
  <c r="E690" i="12"/>
  <c r="H688" i="12"/>
  <c r="E682" i="12"/>
  <c r="H680" i="12"/>
  <c r="E674" i="12"/>
  <c r="H672" i="12"/>
  <c r="E666" i="12"/>
  <c r="H664" i="12"/>
  <c r="E658" i="12"/>
  <c r="H656" i="12"/>
  <c r="D652" i="12"/>
  <c r="D644" i="12"/>
  <c r="E637" i="12"/>
  <c r="H634" i="12"/>
  <c r="D633" i="12"/>
  <c r="H627" i="12"/>
  <c r="E621" i="12"/>
  <c r="H618" i="12"/>
  <c r="D617" i="12"/>
  <c r="D613" i="12"/>
  <c r="D609" i="12"/>
  <c r="D605" i="12"/>
  <c r="D593" i="12"/>
  <c r="E589" i="12"/>
  <c r="D577" i="12"/>
  <c r="E573" i="12"/>
  <c r="H562" i="12"/>
  <c r="E562" i="12"/>
  <c r="H552" i="12"/>
  <c r="G537" i="12"/>
  <c r="H537" i="12" s="1"/>
  <c r="D537" i="12"/>
  <c r="D912" i="12"/>
  <c r="E905" i="12"/>
  <c r="D904" i="12"/>
  <c r="E897" i="12"/>
  <c r="D896" i="12"/>
  <c r="E889" i="12"/>
  <c r="D888" i="12"/>
  <c r="E881" i="12"/>
  <c r="D880" i="12"/>
  <c r="E873" i="12"/>
  <c r="D872" i="12"/>
  <c r="E865" i="12"/>
  <c r="D864" i="12"/>
  <c r="E857" i="12"/>
  <c r="D856" i="12"/>
  <c r="E849" i="12"/>
  <c r="D848" i="12"/>
  <c r="E841" i="12"/>
  <c r="D840" i="12"/>
  <c r="E833" i="12"/>
  <c r="D832" i="12"/>
  <c r="E825" i="12"/>
  <c r="D824" i="12"/>
  <c r="E817" i="12"/>
  <c r="D816" i="12"/>
  <c r="E809" i="12"/>
  <c r="D808" i="12"/>
  <c r="E801" i="12"/>
  <c r="D800" i="12"/>
  <c r="E793" i="12"/>
  <c r="D792" i="12"/>
  <c r="E785" i="12"/>
  <c r="D784" i="12"/>
  <c r="E777" i="12"/>
  <c r="D776" i="12"/>
  <c r="E769" i="12"/>
  <c r="D768" i="12"/>
  <c r="E761" i="12"/>
  <c r="D760" i="12"/>
  <c r="E753" i="12"/>
  <c r="D752" i="12"/>
  <c r="E745" i="12"/>
  <c r="D744" i="12"/>
  <c r="E737" i="12"/>
  <c r="D736" i="12"/>
  <c r="E729" i="12"/>
  <c r="D728" i="12"/>
  <c r="E721" i="12"/>
  <c r="D720" i="12"/>
  <c r="E713" i="12"/>
  <c r="D712" i="12"/>
  <c r="E705" i="12"/>
  <c r="D704" i="12"/>
  <c r="E697" i="12"/>
  <c r="D696" i="12"/>
  <c r="E689" i="12"/>
  <c r="D688" i="12"/>
  <c r="E681" i="12"/>
  <c r="D680" i="12"/>
  <c r="E673" i="12"/>
  <c r="D672" i="12"/>
  <c r="E665" i="12"/>
  <c r="D664" i="12"/>
  <c r="E657" i="12"/>
  <c r="D656" i="12"/>
  <c r="E653" i="12"/>
  <c r="H646" i="12"/>
  <c r="E645" i="12"/>
  <c r="H638" i="12"/>
  <c r="D634" i="12"/>
  <c r="D632" i="12"/>
  <c r="E623" i="12"/>
  <c r="H622" i="12"/>
  <c r="D618" i="12"/>
  <c r="D614" i="12"/>
  <c r="D610" i="12"/>
  <c r="D606" i="12"/>
  <c r="E602" i="12"/>
  <c r="H598" i="12"/>
  <c r="H597" i="12"/>
  <c r="D590" i="12"/>
  <c r="E586" i="12"/>
  <c r="H582" i="12"/>
  <c r="H581" i="12"/>
  <c r="D574" i="12"/>
  <c r="E570" i="12"/>
  <c r="H566" i="12"/>
  <c r="E565" i="12"/>
  <c r="H565" i="12"/>
  <c r="D561" i="12"/>
  <c r="H493" i="12"/>
  <c r="H469" i="12"/>
  <c r="H453" i="12"/>
  <c r="H437" i="12"/>
  <c r="H421" i="12"/>
  <c r="H379" i="12"/>
  <c r="E374" i="12"/>
  <c r="D558" i="12"/>
  <c r="H550" i="12"/>
  <c r="D542" i="12"/>
  <c r="H534" i="12"/>
  <c r="D526" i="12"/>
  <c r="E522" i="12"/>
  <c r="H518" i="12"/>
  <c r="D509" i="12"/>
  <c r="E508" i="12"/>
  <c r="H500" i="12"/>
  <c r="D493" i="12"/>
  <c r="E489" i="12"/>
  <c r="E485" i="12"/>
  <c r="E481" i="12"/>
  <c r="E477" i="12"/>
  <c r="E473" i="12"/>
  <c r="D467" i="12"/>
  <c r="E462" i="12"/>
  <c r="H455" i="12"/>
  <c r="D451" i="12"/>
  <c r="E446" i="12"/>
  <c r="H439" i="12"/>
  <c r="D435" i="12"/>
  <c r="E430" i="12"/>
  <c r="H423" i="12"/>
  <c r="D419" i="12"/>
  <c r="E410" i="12"/>
  <c r="E409" i="12"/>
  <c r="E406" i="12"/>
  <c r="E405" i="12"/>
  <c r="E402" i="12"/>
  <c r="E401" i="12"/>
  <c r="E398" i="12"/>
  <c r="E397" i="12"/>
  <c r="E394" i="12"/>
  <c r="E393" i="12"/>
  <c r="E390" i="12"/>
  <c r="E389" i="12"/>
  <c r="E386" i="12"/>
  <c r="E385" i="12"/>
  <c r="E382" i="12"/>
  <c r="E381" i="12"/>
  <c r="D366" i="12"/>
  <c r="H358" i="12"/>
  <c r="E358" i="12"/>
  <c r="H349" i="12"/>
  <c r="E549" i="12"/>
  <c r="E533" i="12"/>
  <c r="D521" i="12"/>
  <c r="E517" i="12"/>
  <c r="D508" i="12"/>
  <c r="E504" i="12"/>
  <c r="E503" i="12"/>
  <c r="E498" i="12"/>
  <c r="D462" i="12"/>
  <c r="E458" i="12"/>
  <c r="D446" i="12"/>
  <c r="E442" i="12"/>
  <c r="D431" i="12"/>
  <c r="E426" i="12"/>
  <c r="D415" i="12"/>
  <c r="D408" i="12"/>
  <c r="D404" i="12"/>
  <c r="D400" i="12"/>
  <c r="D396" i="12"/>
  <c r="D392" i="12"/>
  <c r="D388" i="12"/>
  <c r="D384" i="12"/>
  <c r="D378" i="12"/>
  <c r="D358" i="12"/>
  <c r="H350" i="12"/>
  <c r="E350" i="12"/>
  <c r="D566" i="12"/>
  <c r="E561" i="12"/>
  <c r="H558" i="12"/>
  <c r="D550" i="12"/>
  <c r="E546" i="12"/>
  <c r="E545" i="12"/>
  <c r="H542" i="12"/>
  <c r="D534" i="12"/>
  <c r="E530" i="12"/>
  <c r="E529" i="12"/>
  <c r="H526" i="12"/>
  <c r="H525" i="12"/>
  <c r="D518" i="12"/>
  <c r="E514" i="12"/>
  <c r="E513" i="12"/>
  <c r="E510" i="12"/>
  <c r="D501" i="12"/>
  <c r="E499" i="12"/>
  <c r="D495" i="12"/>
  <c r="E494" i="12"/>
  <c r="E492" i="12"/>
  <c r="E490" i="12"/>
  <c r="E486" i="12"/>
  <c r="E482" i="12"/>
  <c r="H466" i="12"/>
  <c r="H463" i="12"/>
  <c r="D459" i="12"/>
  <c r="H457" i="12"/>
  <c r="H450" i="12"/>
  <c r="H447" i="12"/>
  <c r="D443" i="12"/>
  <c r="H441" i="12"/>
  <c r="H434" i="12"/>
  <c r="H431" i="12"/>
  <c r="D427" i="12"/>
  <c r="H425" i="12"/>
  <c r="H418" i="12"/>
  <c r="H415" i="12"/>
  <c r="H414" i="12"/>
  <c r="E342" i="12"/>
  <c r="H338" i="12"/>
  <c r="D334" i="12"/>
  <c r="H330" i="12"/>
  <c r="D326" i="12"/>
  <c r="H322" i="12"/>
  <c r="D318" i="12"/>
  <c r="H314" i="12"/>
  <c r="D310" i="12"/>
  <c r="H306" i="12"/>
  <c r="D302" i="12"/>
  <c r="H298" i="12"/>
  <c r="D294" i="12"/>
  <c r="H290" i="12"/>
  <c r="D286" i="12"/>
  <c r="H282" i="12"/>
  <c r="D278" i="12"/>
  <c r="H274" i="12"/>
  <c r="D270" i="12"/>
  <c r="H266" i="12"/>
  <c r="D262" i="12"/>
  <c r="H258" i="12"/>
  <c r="E257" i="12"/>
  <c r="D257" i="12"/>
  <c r="H244" i="12"/>
  <c r="E244" i="12"/>
  <c r="D380" i="12"/>
  <c r="D376" i="12"/>
  <c r="H371" i="12"/>
  <c r="D368" i="12"/>
  <c r="H363" i="12"/>
  <c r="D360" i="12"/>
  <c r="H355" i="12"/>
  <c r="D352" i="12"/>
  <c r="H347" i="12"/>
  <c r="D344" i="12"/>
  <c r="E337" i="12"/>
  <c r="D336" i="12"/>
  <c r="E329" i="12"/>
  <c r="D328" i="12"/>
  <c r="E321" i="12"/>
  <c r="D320" i="12"/>
  <c r="E313" i="12"/>
  <c r="D312" i="12"/>
  <c r="E305" i="12"/>
  <c r="D304" i="12"/>
  <c r="E297" i="12"/>
  <c r="D296" i="12"/>
  <c r="E289" i="12"/>
  <c r="D288" i="12"/>
  <c r="E281" i="12"/>
  <c r="D280" i="12"/>
  <c r="E273" i="12"/>
  <c r="D272" i="12"/>
  <c r="E265" i="12"/>
  <c r="D264" i="12"/>
  <c r="D244" i="12"/>
  <c r="D363" i="12"/>
  <c r="D355" i="12"/>
  <c r="D347" i="12"/>
  <c r="H334" i="12"/>
  <c r="D333" i="12"/>
  <c r="H326" i="12"/>
  <c r="D325" i="12"/>
  <c r="H318" i="12"/>
  <c r="D317" i="12"/>
  <c r="H310" i="12"/>
  <c r="D309" i="12"/>
  <c r="H302" i="12"/>
  <c r="D301" i="12"/>
  <c r="H294" i="12"/>
  <c r="D293" i="12"/>
  <c r="H286" i="12"/>
  <c r="D285" i="12"/>
  <c r="H278" i="12"/>
  <c r="D277" i="12"/>
  <c r="H270" i="12"/>
  <c r="D269" i="12"/>
  <c r="H262" i="12"/>
  <c r="H252" i="12"/>
  <c r="H236" i="12"/>
  <c r="E236" i="12"/>
  <c r="H232" i="12"/>
  <c r="E232" i="12"/>
  <c r="E231" i="12"/>
  <c r="H231" i="12"/>
  <c r="H228" i="12"/>
  <c r="E228" i="12"/>
  <c r="E227" i="12"/>
  <c r="H227" i="12"/>
  <c r="H224" i="12"/>
  <c r="E224" i="12"/>
  <c r="E223" i="12"/>
  <c r="H223" i="12"/>
  <c r="H220" i="12"/>
  <c r="E220" i="12"/>
  <c r="E219" i="12"/>
  <c r="H219" i="12"/>
  <c r="H216" i="12"/>
  <c r="E216" i="12"/>
  <c r="E215" i="12"/>
  <c r="H215" i="12"/>
  <c r="H212" i="12"/>
  <c r="E212" i="12"/>
  <c r="E261" i="12"/>
  <c r="D260" i="12"/>
  <c r="D239" i="12"/>
  <c r="D234" i="12"/>
  <c r="D230" i="12"/>
  <c r="D226" i="12"/>
  <c r="D222" i="12"/>
  <c r="D218" i="12"/>
  <c r="D214" i="12"/>
  <c r="H211" i="12"/>
  <c r="D210" i="12"/>
  <c r="E208" i="12"/>
  <c r="H207" i="12"/>
  <c r="D206" i="12"/>
  <c r="E204" i="12"/>
  <c r="H203" i="12"/>
  <c r="D202" i="12"/>
  <c r="E200" i="12"/>
  <c r="H199" i="12"/>
  <c r="D198" i="12"/>
  <c r="E196" i="12"/>
  <c r="H195" i="12"/>
  <c r="D194" i="12"/>
  <c r="E192" i="12"/>
  <c r="H191" i="12"/>
  <c r="D190" i="12"/>
  <c r="E188" i="12"/>
  <c r="H187" i="12"/>
  <c r="D186" i="12"/>
  <c r="E184" i="12"/>
  <c r="H183" i="12"/>
  <c r="D182" i="12"/>
  <c r="E180" i="12"/>
  <c r="H174" i="12"/>
  <c r="H166" i="12"/>
  <c r="H158" i="12"/>
  <c r="D150" i="12"/>
  <c r="E150" i="12"/>
  <c r="D142" i="12"/>
  <c r="E142" i="12"/>
  <c r="D136" i="12"/>
  <c r="E79" i="12"/>
  <c r="D67" i="12"/>
  <c r="H59" i="12"/>
  <c r="H46" i="12"/>
  <c r="E44" i="12"/>
  <c r="H42" i="12"/>
  <c r="E40" i="12"/>
  <c r="E39" i="12"/>
  <c r="D35" i="12"/>
  <c r="H27" i="12"/>
  <c r="H248" i="12"/>
  <c r="E243" i="12"/>
  <c r="D174" i="12"/>
  <c r="D172" i="12"/>
  <c r="D166" i="12"/>
  <c r="D164" i="12"/>
  <c r="D158" i="12"/>
  <c r="D137" i="12"/>
  <c r="D113" i="12"/>
  <c r="E112" i="12"/>
  <c r="E110" i="12"/>
  <c r="H107" i="12"/>
  <c r="D101" i="12"/>
  <c r="E98" i="12"/>
  <c r="D93" i="12"/>
  <c r="E90" i="12"/>
  <c r="D85" i="12"/>
  <c r="E82" i="12"/>
  <c r="D79" i="12"/>
  <c r="D78" i="12"/>
  <c r="H67" i="12"/>
  <c r="D48" i="12"/>
  <c r="E48" i="12"/>
  <c r="D39" i="12"/>
  <c r="H35" i="12"/>
  <c r="D146" i="12"/>
  <c r="E146" i="12"/>
  <c r="D138" i="12"/>
  <c r="E138" i="12"/>
  <c r="E131" i="12"/>
  <c r="H131" i="12"/>
  <c r="D114" i="12"/>
  <c r="E114" i="12"/>
  <c r="E63" i="12"/>
  <c r="E59" i="12"/>
  <c r="D51" i="12"/>
  <c r="D49" i="12"/>
  <c r="E31" i="12"/>
  <c r="E27" i="12"/>
  <c r="H198" i="12"/>
  <c r="H194" i="12"/>
  <c r="H190" i="12"/>
  <c r="H186" i="12"/>
  <c r="H182" i="12"/>
  <c r="E130" i="12"/>
  <c r="H126" i="12"/>
  <c r="E126" i="12"/>
  <c r="D124" i="12"/>
  <c r="E124" i="12"/>
  <c r="D116" i="12"/>
  <c r="E116" i="12"/>
  <c r="H56" i="12"/>
  <c r="E56" i="12"/>
  <c r="D52" i="12"/>
  <c r="E52" i="12"/>
  <c r="H154" i="12"/>
  <c r="D151" i="12"/>
  <c r="D147" i="12"/>
  <c r="D143" i="12"/>
  <c r="D139" i="12"/>
  <c r="E135" i="12"/>
  <c r="H132" i="12"/>
  <c r="D126" i="12"/>
  <c r="E123" i="12"/>
  <c r="H120" i="12"/>
  <c r="D118" i="12"/>
  <c r="E111" i="12"/>
  <c r="H108" i="12"/>
  <c r="D102" i="12"/>
  <c r="D94" i="12"/>
  <c r="D86" i="12"/>
  <c r="H74" i="12"/>
  <c r="H71" i="12"/>
  <c r="E70" i="12"/>
  <c r="D60" i="12"/>
  <c r="D57" i="12"/>
  <c r="D56" i="12"/>
  <c r="H54" i="12"/>
  <c r="H50" i="12"/>
  <c r="H43" i="12"/>
  <c r="D28" i="12"/>
  <c r="H23" i="12"/>
  <c r="H20" i="12"/>
  <c r="E20" i="12"/>
  <c r="E179" i="12"/>
  <c r="E175" i="12"/>
  <c r="E171" i="12"/>
  <c r="E167" i="12"/>
  <c r="E163" i="12"/>
  <c r="E159" i="12"/>
  <c r="E155" i="12"/>
  <c r="H142" i="12"/>
  <c r="H138" i="12"/>
  <c r="H135" i="12"/>
  <c r="D130" i="12"/>
  <c r="D128" i="12"/>
  <c r="H123" i="12"/>
  <c r="D120" i="12"/>
  <c r="E115" i="12"/>
  <c r="H112" i="12"/>
  <c r="D108" i="12"/>
  <c r="H98" i="12"/>
  <c r="D97" i="12"/>
  <c r="H90" i="12"/>
  <c r="D89" i="12"/>
  <c r="H82" i="12"/>
  <c r="D81" i="12"/>
  <c r="H78" i="12"/>
  <c r="H75" i="12"/>
  <c r="E74" i="12"/>
  <c r="D70" i="12"/>
  <c r="D68" i="12"/>
  <c r="D65" i="12"/>
  <c r="D64" i="12"/>
  <c r="H51" i="12"/>
  <c r="H48" i="12"/>
  <c r="D36" i="12"/>
  <c r="D33" i="12"/>
  <c r="D32" i="12"/>
  <c r="H24" i="12"/>
  <c r="H16" i="12"/>
  <c r="E16" i="12"/>
  <c r="H14" i="12"/>
  <c r="D14" i="12"/>
  <c r="E14" i="12"/>
  <c r="D12" i="12"/>
  <c r="H12" i="12"/>
  <c r="E12" i="12"/>
  <c r="D25" i="12"/>
  <c r="E24" i="12"/>
  <c r="E23" i="12"/>
  <c r="D24" i="12"/>
  <c r="H912" i="12"/>
  <c r="H904" i="12"/>
  <c r="H896" i="12"/>
  <c r="H907" i="12"/>
  <c r="H899" i="12"/>
  <c r="H891" i="12"/>
  <c r="H883" i="12"/>
  <c r="H875" i="12"/>
  <c r="H867" i="12"/>
  <c r="H859" i="12"/>
  <c r="H851" i="12"/>
  <c r="H843" i="12"/>
  <c r="H835" i="12"/>
  <c r="H827" i="12"/>
  <c r="H819" i="12"/>
  <c r="H811" i="12"/>
  <c r="H803" i="12"/>
  <c r="H795" i="12"/>
  <c r="H787" i="12"/>
  <c r="H779" i="12"/>
  <c r="H771" i="12"/>
  <c r="H763" i="12"/>
  <c r="H755" i="12"/>
  <c r="H747" i="12"/>
  <c r="H739" i="12"/>
  <c r="H731" i="12"/>
  <c r="H723" i="12"/>
  <c r="H715" i="12"/>
  <c r="H707" i="12"/>
  <c r="H699" i="12"/>
  <c r="H691" i="12"/>
  <c r="H683" i="12"/>
  <c r="H675" i="12"/>
  <c r="H667" i="12"/>
  <c r="H659" i="12"/>
  <c r="H892" i="12"/>
  <c r="H884" i="12"/>
  <c r="H876" i="12"/>
  <c r="H868" i="12"/>
  <c r="H860" i="12"/>
  <c r="H852" i="12"/>
  <c r="H844" i="12"/>
  <c r="H836" i="12"/>
  <c r="H828" i="12"/>
  <c r="H820" i="12"/>
  <c r="H812" i="12"/>
  <c r="H804" i="12"/>
  <c r="H796" i="12"/>
  <c r="H788" i="12"/>
  <c r="H780" i="12"/>
  <c r="H772" i="12"/>
  <c r="H764" i="12"/>
  <c r="H756" i="12"/>
  <c r="H748" i="12"/>
  <c r="H740" i="12"/>
  <c r="H732" i="12"/>
  <c r="H724" i="12"/>
  <c r="H716" i="12"/>
  <c r="H708" i="12"/>
  <c r="H700" i="12"/>
  <c r="H692" i="12"/>
  <c r="H684" i="12"/>
  <c r="H676" i="12"/>
  <c r="H668" i="12"/>
  <c r="H660" i="12"/>
  <c r="E595" i="12"/>
  <c r="E579" i="12"/>
  <c r="E563" i="12"/>
  <c r="E547" i="12"/>
  <c r="G539" i="12"/>
  <c r="D539" i="12"/>
  <c r="D524" i="12"/>
  <c r="E524" i="12"/>
  <c r="D475" i="12"/>
  <c r="E475" i="12"/>
  <c r="D457" i="12"/>
  <c r="E457" i="12"/>
  <c r="G440" i="12"/>
  <c r="D440" i="12"/>
  <c r="D425" i="12"/>
  <c r="E425" i="12"/>
  <c r="D248" i="12"/>
  <c r="E248" i="12"/>
  <c r="E133" i="12"/>
  <c r="H133" i="12"/>
  <c r="E109" i="12"/>
  <c r="H109" i="12"/>
  <c r="G105" i="12"/>
  <c r="H105" i="12" s="1"/>
  <c r="D105" i="12"/>
  <c r="E99" i="12"/>
  <c r="H21" i="12"/>
  <c r="E21" i="12"/>
  <c r="E908" i="12"/>
  <c r="D907" i="12"/>
  <c r="E900" i="12"/>
  <c r="D899" i="12"/>
  <c r="E896" i="12"/>
  <c r="D895" i="12"/>
  <c r="E892" i="12"/>
  <c r="D891" i="12"/>
  <c r="E888" i="12"/>
  <c r="D887" i="12"/>
  <c r="E884" i="12"/>
  <c r="D883" i="12"/>
  <c r="E880" i="12"/>
  <c r="D879" i="12"/>
  <c r="E876" i="12"/>
  <c r="D875" i="12"/>
  <c r="E872" i="12"/>
  <c r="D871" i="12"/>
  <c r="E868" i="12"/>
  <c r="D867" i="12"/>
  <c r="E864" i="12"/>
  <c r="D863" i="12"/>
  <c r="E860" i="12"/>
  <c r="D859" i="12"/>
  <c r="E856" i="12"/>
  <c r="D855" i="12"/>
  <c r="E852" i="12"/>
  <c r="D851" i="12"/>
  <c r="E848" i="12"/>
  <c r="D847" i="12"/>
  <c r="E844" i="12"/>
  <c r="D843" i="12"/>
  <c r="E840" i="12"/>
  <c r="D839" i="12"/>
  <c r="E836" i="12"/>
  <c r="D835" i="12"/>
  <c r="E832" i="12"/>
  <c r="D831" i="12"/>
  <c r="E828" i="12"/>
  <c r="D827" i="12"/>
  <c r="E824" i="12"/>
  <c r="D823" i="12"/>
  <c r="E820" i="12"/>
  <c r="D819" i="12"/>
  <c r="E816" i="12"/>
  <c r="D815" i="12"/>
  <c r="E812" i="12"/>
  <c r="D811" i="12"/>
  <c r="E808" i="12"/>
  <c r="D807" i="12"/>
  <c r="E804" i="12"/>
  <c r="D803" i="12"/>
  <c r="E800" i="12"/>
  <c r="D799" i="12"/>
  <c r="E796" i="12"/>
  <c r="D795" i="12"/>
  <c r="E792" i="12"/>
  <c r="D791" i="12"/>
  <c r="E788" i="12"/>
  <c r="D787" i="12"/>
  <c r="E784" i="12"/>
  <c r="D783" i="12"/>
  <c r="E780" i="12"/>
  <c r="D779" i="12"/>
  <c r="E776" i="12"/>
  <c r="D775" i="12"/>
  <c r="E772" i="12"/>
  <c r="D771" i="12"/>
  <c r="E768" i="12"/>
  <c r="D767" i="12"/>
  <c r="E764" i="12"/>
  <c r="D763" i="12"/>
  <c r="E760" i="12"/>
  <c r="D759" i="12"/>
  <c r="E756" i="12"/>
  <c r="D755" i="12"/>
  <c r="E752" i="12"/>
  <c r="D751" i="12"/>
  <c r="E748" i="12"/>
  <c r="D747" i="12"/>
  <c r="E744" i="12"/>
  <c r="D743" i="12"/>
  <c r="E740" i="12"/>
  <c r="D739" i="12"/>
  <c r="E736" i="12"/>
  <c r="D735" i="12"/>
  <c r="E732" i="12"/>
  <c r="D731" i="12"/>
  <c r="E728" i="12"/>
  <c r="D727" i="12"/>
  <c r="E724" i="12"/>
  <c r="D723" i="12"/>
  <c r="E720" i="12"/>
  <c r="D719" i="12"/>
  <c r="E716" i="12"/>
  <c r="D715" i="12"/>
  <c r="E712" i="12"/>
  <c r="D711" i="12"/>
  <c r="E708" i="12"/>
  <c r="D707" i="12"/>
  <c r="E704" i="12"/>
  <c r="D703" i="12"/>
  <c r="E700" i="12"/>
  <c r="D699" i="12"/>
  <c r="E696" i="12"/>
  <c r="D695" i="12"/>
  <c r="E692" i="12"/>
  <c r="D691" i="12"/>
  <c r="E688" i="12"/>
  <c r="D687" i="12"/>
  <c r="E684" i="12"/>
  <c r="D683" i="12"/>
  <c r="E680" i="12"/>
  <c r="D679" i="12"/>
  <c r="E676" i="12"/>
  <c r="D675" i="12"/>
  <c r="E672" i="12"/>
  <c r="D671" i="12"/>
  <c r="E668" i="12"/>
  <c r="D667" i="12"/>
  <c r="E664" i="12"/>
  <c r="D663" i="12"/>
  <c r="E660" i="12"/>
  <c r="D659" i="12"/>
  <c r="E656" i="12"/>
  <c r="D655" i="12"/>
  <c r="D653" i="12"/>
  <c r="E651" i="12"/>
  <c r="D649" i="12"/>
  <c r="E647" i="12"/>
  <c r="D645" i="12"/>
  <c r="E643" i="12"/>
  <c r="D641" i="12"/>
  <c r="E639" i="12"/>
  <c r="E636" i="12"/>
  <c r="E632" i="12"/>
  <c r="E628" i="12"/>
  <c r="E624" i="12"/>
  <c r="E620" i="12"/>
  <c r="D600" i="12"/>
  <c r="E600" i="12"/>
  <c r="G599" i="12"/>
  <c r="H599" i="12" s="1"/>
  <c r="D599" i="12"/>
  <c r="E591" i="12"/>
  <c r="D584" i="12"/>
  <c r="E584" i="12"/>
  <c r="G583" i="12"/>
  <c r="H583" i="12" s="1"/>
  <c r="D583" i="12"/>
  <c r="E575" i="12"/>
  <c r="D568" i="12"/>
  <c r="E568" i="12"/>
  <c r="G567" i="12"/>
  <c r="H567" i="12" s="1"/>
  <c r="D567" i="12"/>
  <c r="E559" i="12"/>
  <c r="D552" i="12"/>
  <c r="E552" i="12"/>
  <c r="G551" i="12"/>
  <c r="H551" i="12" s="1"/>
  <c r="D551" i="12"/>
  <c r="E543" i="12"/>
  <c r="D536" i="12"/>
  <c r="E536" i="12"/>
  <c r="G535" i="12"/>
  <c r="H535" i="12" s="1"/>
  <c r="D535" i="12"/>
  <c r="E527" i="12"/>
  <c r="D520" i="12"/>
  <c r="E520" i="12"/>
  <c r="G519" i="12"/>
  <c r="D519" i="12"/>
  <c r="E511" i="12"/>
  <c r="H497" i="12"/>
  <c r="E497" i="12"/>
  <c r="D487" i="12"/>
  <c r="E487" i="12"/>
  <c r="G476" i="12"/>
  <c r="H476" i="12" s="1"/>
  <c r="D476" i="12"/>
  <c r="D471" i="12"/>
  <c r="E471" i="12"/>
  <c r="G587" i="12"/>
  <c r="H587" i="12" s="1"/>
  <c r="D587" i="12"/>
  <c r="G571" i="12"/>
  <c r="D571" i="12"/>
  <c r="G555" i="12"/>
  <c r="H555" i="12" s="1"/>
  <c r="D555" i="12"/>
  <c r="D540" i="12"/>
  <c r="E540" i="12"/>
  <c r="E515" i="12"/>
  <c r="G492" i="12"/>
  <c r="H492" i="12" s="1"/>
  <c r="D492" i="12"/>
  <c r="E464" i="12"/>
  <c r="E448" i="12"/>
  <c r="E432" i="12"/>
  <c r="E416" i="12"/>
  <c r="E121" i="12"/>
  <c r="H121" i="12"/>
  <c r="D106" i="12"/>
  <c r="E106" i="12"/>
  <c r="G103" i="12"/>
  <c r="H103" i="12" s="1"/>
  <c r="D103" i="12"/>
  <c r="G95" i="12"/>
  <c r="H95" i="12" s="1"/>
  <c r="D95" i="12"/>
  <c r="E91" i="12"/>
  <c r="G87" i="12"/>
  <c r="D87" i="12"/>
  <c r="E83" i="12"/>
  <c r="H77" i="12"/>
  <c r="E77" i="12"/>
  <c r="H53" i="12"/>
  <c r="E53" i="12"/>
  <c r="E912" i="12"/>
  <c r="D911" i="12"/>
  <c r="E904" i="12"/>
  <c r="D903" i="12"/>
  <c r="H650" i="12"/>
  <c r="H637" i="12"/>
  <c r="D635" i="12"/>
  <c r="H633" i="12"/>
  <c r="D631" i="12"/>
  <c r="H629" i="12"/>
  <c r="D627" i="12"/>
  <c r="H625" i="12"/>
  <c r="D623" i="12"/>
  <c r="H621" i="12"/>
  <c r="D619" i="12"/>
  <c r="H617" i="12"/>
  <c r="D615" i="12"/>
  <c r="H614" i="12"/>
  <c r="H613" i="12"/>
  <c r="D611" i="12"/>
  <c r="H610" i="12"/>
  <c r="H609" i="12"/>
  <c r="D607" i="12"/>
  <c r="H606" i="12"/>
  <c r="H605" i="12"/>
  <c r="D603" i="12"/>
  <c r="D596" i="12"/>
  <c r="E596" i="12"/>
  <c r="G595" i="12"/>
  <c r="H595" i="12" s="1"/>
  <c r="D595" i="12"/>
  <c r="E587" i="12"/>
  <c r="D580" i="12"/>
  <c r="E580" i="12"/>
  <c r="G579" i="12"/>
  <c r="H579" i="12" s="1"/>
  <c r="D579" i="12"/>
  <c r="H571" i="12"/>
  <c r="E571" i="12"/>
  <c r="D564" i="12"/>
  <c r="E564" i="12"/>
  <c r="G563" i="12"/>
  <c r="H563" i="12" s="1"/>
  <c r="D563" i="12"/>
  <c r="E555" i="12"/>
  <c r="D548" i="12"/>
  <c r="E548" i="12"/>
  <c r="G547" i="12"/>
  <c r="H547" i="12" s="1"/>
  <c r="D547" i="12"/>
  <c r="H539" i="12"/>
  <c r="E539" i="12"/>
  <c r="D532" i="12"/>
  <c r="E532" i="12"/>
  <c r="G531" i="12"/>
  <c r="H531" i="12" s="1"/>
  <c r="D531" i="12"/>
  <c r="E523" i="12"/>
  <c r="D516" i="12"/>
  <c r="E516" i="12"/>
  <c r="G515" i="12"/>
  <c r="H515" i="12" s="1"/>
  <c r="D515" i="12"/>
  <c r="H509" i="12"/>
  <c r="E509" i="12"/>
  <c r="G488" i="12"/>
  <c r="H488" i="12" s="1"/>
  <c r="D488" i="12"/>
  <c r="D483" i="12"/>
  <c r="E483" i="12"/>
  <c r="G472" i="12"/>
  <c r="H472" i="12" s="1"/>
  <c r="D472" i="12"/>
  <c r="D588" i="12"/>
  <c r="E588" i="12"/>
  <c r="D572" i="12"/>
  <c r="E572" i="12"/>
  <c r="D556" i="12"/>
  <c r="E556" i="12"/>
  <c r="E531" i="12"/>
  <c r="G523" i="12"/>
  <c r="H523" i="12" s="1"/>
  <c r="D523" i="12"/>
  <c r="H501" i="12"/>
  <c r="E501" i="12"/>
  <c r="G480" i="12"/>
  <c r="H480" i="12" s="1"/>
  <c r="D480" i="12"/>
  <c r="G456" i="12"/>
  <c r="D456" i="12"/>
  <c r="D441" i="12"/>
  <c r="E441" i="12"/>
  <c r="G424" i="12"/>
  <c r="D424" i="12"/>
  <c r="E251" i="12"/>
  <c r="H251" i="12"/>
  <c r="E654" i="12"/>
  <c r="E650" i="12"/>
  <c r="E646" i="12"/>
  <c r="E642" i="12"/>
  <c r="E638" i="12"/>
  <c r="E634" i="12"/>
  <c r="E630" i="12"/>
  <c r="E626" i="12"/>
  <c r="E622" i="12"/>
  <c r="E618" i="12"/>
  <c r="E614" i="12"/>
  <c r="E610" i="12"/>
  <c r="E606" i="12"/>
  <c r="E599" i="12"/>
  <c r="D592" i="12"/>
  <c r="E592" i="12"/>
  <c r="G591" i="12"/>
  <c r="H591" i="12" s="1"/>
  <c r="D591" i="12"/>
  <c r="E583" i="12"/>
  <c r="D576" i="12"/>
  <c r="E576" i="12"/>
  <c r="G575" i="12"/>
  <c r="H575" i="12" s="1"/>
  <c r="D575" i="12"/>
  <c r="E567" i="12"/>
  <c r="D560" i="12"/>
  <c r="E560" i="12"/>
  <c r="G559" i="12"/>
  <c r="H559" i="12" s="1"/>
  <c r="D559" i="12"/>
  <c r="E551" i="12"/>
  <c r="D544" i="12"/>
  <c r="E544" i="12"/>
  <c r="G543" i="12"/>
  <c r="H543" i="12" s="1"/>
  <c r="D543" i="12"/>
  <c r="E535" i="12"/>
  <c r="D528" i="12"/>
  <c r="E528" i="12"/>
  <c r="G527" i="12"/>
  <c r="H527" i="12" s="1"/>
  <c r="D527" i="12"/>
  <c r="H519" i="12"/>
  <c r="E519" i="12"/>
  <c r="D512" i="12"/>
  <c r="E512" i="12"/>
  <c r="G511" i="12"/>
  <c r="H511" i="12" s="1"/>
  <c r="D511" i="12"/>
  <c r="H505" i="12"/>
  <c r="E505" i="12"/>
  <c r="D491" i="12"/>
  <c r="E491" i="12"/>
  <c r="G484" i="12"/>
  <c r="H484" i="12" s="1"/>
  <c r="D484" i="12"/>
  <c r="D479" i="12"/>
  <c r="E479" i="12"/>
  <c r="H510" i="12"/>
  <c r="H506" i="12"/>
  <c r="H502" i="12"/>
  <c r="H498" i="12"/>
  <c r="H494" i="12"/>
  <c r="E493" i="12"/>
  <c r="D469" i="12"/>
  <c r="E469" i="12"/>
  <c r="G468" i="12"/>
  <c r="H468" i="12" s="1"/>
  <c r="D468" i="12"/>
  <c r="H465" i="12"/>
  <c r="E460" i="12"/>
  <c r="D453" i="12"/>
  <c r="E453" i="12"/>
  <c r="G452" i="12"/>
  <c r="H452" i="12" s="1"/>
  <c r="D452" i="12"/>
  <c r="H449" i="12"/>
  <c r="E444" i="12"/>
  <c r="D437" i="12"/>
  <c r="E437" i="12"/>
  <c r="G436" i="12"/>
  <c r="H436" i="12" s="1"/>
  <c r="D436" i="12"/>
  <c r="H433" i="12"/>
  <c r="E428" i="12"/>
  <c r="D421" i="12"/>
  <c r="E421" i="12"/>
  <c r="G420" i="12"/>
  <c r="H420" i="12" s="1"/>
  <c r="D420" i="12"/>
  <c r="H417" i="12"/>
  <c r="E412" i="12"/>
  <c r="E373" i="12"/>
  <c r="D373" i="12"/>
  <c r="E365" i="12"/>
  <c r="D365" i="12"/>
  <c r="E357" i="12"/>
  <c r="D357" i="12"/>
  <c r="E349" i="12"/>
  <c r="D349" i="12"/>
  <c r="E341" i="12"/>
  <c r="D341" i="12"/>
  <c r="H335" i="12"/>
  <c r="E335" i="12"/>
  <c r="H327" i="12"/>
  <c r="E327" i="12"/>
  <c r="H319" i="12"/>
  <c r="E319" i="12"/>
  <c r="H311" i="12"/>
  <c r="E311" i="12"/>
  <c r="H303" i="12"/>
  <c r="E303" i="12"/>
  <c r="H295" i="12"/>
  <c r="E295" i="12"/>
  <c r="H287" i="12"/>
  <c r="E287" i="12"/>
  <c r="H279" i="12"/>
  <c r="E279" i="12"/>
  <c r="H271" i="12"/>
  <c r="E271" i="12"/>
  <c r="H263" i="12"/>
  <c r="E263" i="12"/>
  <c r="H486" i="12"/>
  <c r="H482" i="12"/>
  <c r="H478" i="12"/>
  <c r="H474" i="12"/>
  <c r="H470" i="12"/>
  <c r="D465" i="12"/>
  <c r="E465" i="12"/>
  <c r="G464" i="12"/>
  <c r="H464" i="12" s="1"/>
  <c r="D464" i="12"/>
  <c r="H461" i="12"/>
  <c r="H456" i="12"/>
  <c r="E456" i="12"/>
  <c r="D449" i="12"/>
  <c r="E449" i="12"/>
  <c r="G448" i="12"/>
  <c r="H448" i="12" s="1"/>
  <c r="D448" i="12"/>
  <c r="H445" i="12"/>
  <c r="H440" i="12"/>
  <c r="E440" i="12"/>
  <c r="D433" i="12"/>
  <c r="E433" i="12"/>
  <c r="G432" i="12"/>
  <c r="H432" i="12" s="1"/>
  <c r="D432" i="12"/>
  <c r="H429" i="12"/>
  <c r="H424" i="12"/>
  <c r="E424" i="12"/>
  <c r="D417" i="12"/>
  <c r="E417" i="12"/>
  <c r="G416" i="12"/>
  <c r="H416" i="12" s="1"/>
  <c r="D416" i="12"/>
  <c r="H413" i="12"/>
  <c r="E468" i="12"/>
  <c r="D461" i="12"/>
  <c r="E461" i="12"/>
  <c r="G460" i="12"/>
  <c r="H460" i="12" s="1"/>
  <c r="D460" i="12"/>
  <c r="E452" i="12"/>
  <c r="D445" i="12"/>
  <c r="E445" i="12"/>
  <c r="G444" i="12"/>
  <c r="H444" i="12" s="1"/>
  <c r="D444" i="12"/>
  <c r="E436" i="12"/>
  <c r="D429" i="12"/>
  <c r="E429" i="12"/>
  <c r="G428" i="12"/>
  <c r="H428" i="12" s="1"/>
  <c r="D428" i="12"/>
  <c r="E420" i="12"/>
  <c r="D413" i="12"/>
  <c r="E413" i="12"/>
  <c r="G412" i="12"/>
  <c r="H412" i="12" s="1"/>
  <c r="D412" i="12"/>
  <c r="E369" i="12"/>
  <c r="D369" i="12"/>
  <c r="E361" i="12"/>
  <c r="D361" i="12"/>
  <c r="E353" i="12"/>
  <c r="D353" i="12"/>
  <c r="E345" i="12"/>
  <c r="D345" i="12"/>
  <c r="H336" i="12"/>
  <c r="D335" i="12"/>
  <c r="H328" i="12"/>
  <c r="D327" i="12"/>
  <c r="H320" i="12"/>
  <c r="D319" i="12"/>
  <c r="H312" i="12"/>
  <c r="D311" i="12"/>
  <c r="H304" i="12"/>
  <c r="D303" i="12"/>
  <c r="H296" i="12"/>
  <c r="D295" i="12"/>
  <c r="H288" i="12"/>
  <c r="D287" i="12"/>
  <c r="H280" i="12"/>
  <c r="D279" i="12"/>
  <c r="H272" i="12"/>
  <c r="D271" i="12"/>
  <c r="H264" i="12"/>
  <c r="D263" i="12"/>
  <c r="H256" i="12"/>
  <c r="E255" i="12"/>
  <c r="H255" i="12"/>
  <c r="D252" i="12"/>
  <c r="E252" i="12"/>
  <c r="H339" i="12"/>
  <c r="E339" i="12"/>
  <c r="H331" i="12"/>
  <c r="E331" i="12"/>
  <c r="H323" i="12"/>
  <c r="E323" i="12"/>
  <c r="H315" i="12"/>
  <c r="E315" i="12"/>
  <c r="H307" i="12"/>
  <c r="E307" i="12"/>
  <c r="H299" i="12"/>
  <c r="E299" i="12"/>
  <c r="H291" i="12"/>
  <c r="E291" i="12"/>
  <c r="H283" i="12"/>
  <c r="E283" i="12"/>
  <c r="H275" i="12"/>
  <c r="E275" i="12"/>
  <c r="H267" i="12"/>
  <c r="E267" i="12"/>
  <c r="H259" i="12"/>
  <c r="E259" i="12"/>
  <c r="G241" i="12"/>
  <c r="H241" i="12" s="1"/>
  <c r="D241" i="12"/>
  <c r="E411" i="12"/>
  <c r="H408" i="12"/>
  <c r="E407" i="12"/>
  <c r="H404" i="12"/>
  <c r="E403" i="12"/>
  <c r="H400" i="12"/>
  <c r="E399" i="12"/>
  <c r="H396" i="12"/>
  <c r="E395" i="12"/>
  <c r="H392" i="12"/>
  <c r="E391" i="12"/>
  <c r="H388" i="12"/>
  <c r="E387" i="12"/>
  <c r="H384" i="12"/>
  <c r="E383" i="12"/>
  <c r="H380" i="12"/>
  <c r="E379" i="12"/>
  <c r="H376" i="12"/>
  <c r="E375" i="12"/>
  <c r="H372" i="12"/>
  <c r="E372" i="12"/>
  <c r="E371" i="12"/>
  <c r="H368" i="12"/>
  <c r="E368" i="12"/>
  <c r="E367" i="12"/>
  <c r="H364" i="12"/>
  <c r="E364" i="12"/>
  <c r="E363" i="12"/>
  <c r="H360" i="12"/>
  <c r="E360" i="12"/>
  <c r="E359" i="12"/>
  <c r="H356" i="12"/>
  <c r="E356" i="12"/>
  <c r="E355" i="12"/>
  <c r="H352" i="12"/>
  <c r="E352" i="12"/>
  <c r="E351" i="12"/>
  <c r="H348" i="12"/>
  <c r="E348" i="12"/>
  <c r="E347" i="12"/>
  <c r="H344" i="12"/>
  <c r="E344" i="12"/>
  <c r="E343" i="12"/>
  <c r="H340" i="12"/>
  <c r="D339" i="12"/>
  <c r="H332" i="12"/>
  <c r="D331" i="12"/>
  <c r="H324" i="12"/>
  <c r="D323" i="12"/>
  <c r="H316" i="12"/>
  <c r="D315" i="12"/>
  <c r="H308" i="12"/>
  <c r="D307" i="12"/>
  <c r="H300" i="12"/>
  <c r="D299" i="12"/>
  <c r="H292" i="12"/>
  <c r="D291" i="12"/>
  <c r="H284" i="12"/>
  <c r="D283" i="12"/>
  <c r="H276" i="12"/>
  <c r="D275" i="12"/>
  <c r="H268" i="12"/>
  <c r="D267" i="12"/>
  <c r="H260" i="12"/>
  <c r="D259" i="12"/>
  <c r="E247" i="12"/>
  <c r="H247" i="12"/>
  <c r="E245" i="12"/>
  <c r="H254" i="12"/>
  <c r="H250" i="12"/>
  <c r="H246" i="12"/>
  <c r="E246" i="12"/>
  <c r="G237" i="12"/>
  <c r="H237" i="12" s="1"/>
  <c r="D237" i="12"/>
  <c r="G233" i="12"/>
  <c r="H233" i="12" s="1"/>
  <c r="D233" i="12"/>
  <c r="G229" i="12"/>
  <c r="H229" i="12" s="1"/>
  <c r="D229" i="12"/>
  <c r="G225" i="12"/>
  <c r="H225" i="12" s="1"/>
  <c r="D225" i="12"/>
  <c r="G221" i="12"/>
  <c r="H221" i="12" s="1"/>
  <c r="D221" i="12"/>
  <c r="G217" i="12"/>
  <c r="H217" i="12" s="1"/>
  <c r="D217" i="12"/>
  <c r="G213" i="12"/>
  <c r="H213" i="12" s="1"/>
  <c r="D213" i="12"/>
  <c r="G209" i="12"/>
  <c r="H209" i="12" s="1"/>
  <c r="D209" i="12"/>
  <c r="G205" i="12"/>
  <c r="H205" i="12" s="1"/>
  <c r="D205" i="12"/>
  <c r="G201" i="12"/>
  <c r="H201" i="12" s="1"/>
  <c r="D201" i="12"/>
  <c r="G197" i="12"/>
  <c r="H197" i="12" s="1"/>
  <c r="D197" i="12"/>
  <c r="G193" i="12"/>
  <c r="H193" i="12" s="1"/>
  <c r="D193" i="12"/>
  <c r="G189" i="12"/>
  <c r="H189" i="12" s="1"/>
  <c r="D189" i="12"/>
  <c r="G185" i="12"/>
  <c r="H185" i="12" s="1"/>
  <c r="D185" i="12"/>
  <c r="G181" i="12"/>
  <c r="H181" i="12" s="1"/>
  <c r="D181" i="12"/>
  <c r="G177" i="12"/>
  <c r="H177" i="12" s="1"/>
  <c r="D177" i="12"/>
  <c r="G173" i="12"/>
  <c r="H173" i="12" s="1"/>
  <c r="D173" i="12"/>
  <c r="G169" i="12"/>
  <c r="H169" i="12" s="1"/>
  <c r="D169" i="12"/>
  <c r="G165" i="12"/>
  <c r="H165" i="12" s="1"/>
  <c r="D165" i="12"/>
  <c r="G161" i="12"/>
  <c r="H161" i="12" s="1"/>
  <c r="D161" i="12"/>
  <c r="G157" i="12"/>
  <c r="H157" i="12" s="1"/>
  <c r="D157" i="12"/>
  <c r="G153" i="12"/>
  <c r="H153" i="12" s="1"/>
  <c r="D153" i="12"/>
  <c r="G149" i="12"/>
  <c r="H149" i="12" s="1"/>
  <c r="D149" i="12"/>
  <c r="G145" i="12"/>
  <c r="H145" i="12" s="1"/>
  <c r="D145" i="12"/>
  <c r="G141" i="12"/>
  <c r="H141" i="12" s="1"/>
  <c r="D141" i="12"/>
  <c r="E129" i="12"/>
  <c r="H129" i="12"/>
  <c r="E340" i="12"/>
  <c r="E336" i="12"/>
  <c r="E332" i="12"/>
  <c r="E328" i="12"/>
  <c r="E324" i="12"/>
  <c r="E320" i="12"/>
  <c r="E316" i="12"/>
  <c r="E312" i="12"/>
  <c r="E308" i="12"/>
  <c r="E304" i="12"/>
  <c r="E300" i="12"/>
  <c r="E296" i="12"/>
  <c r="E292" i="12"/>
  <c r="E288" i="12"/>
  <c r="E284" i="12"/>
  <c r="E280" i="12"/>
  <c r="E276" i="12"/>
  <c r="E272" i="12"/>
  <c r="E268" i="12"/>
  <c r="E264" i="12"/>
  <c r="E260" i="12"/>
  <c r="E256" i="12"/>
  <c r="E254" i="12"/>
  <c r="E250" i="12"/>
  <c r="D246" i="12"/>
  <c r="H242" i="12"/>
  <c r="E242" i="12"/>
  <c r="E241" i="12"/>
  <c r="E239" i="12"/>
  <c r="E125" i="12"/>
  <c r="H125" i="12"/>
  <c r="E117" i="12"/>
  <c r="H117" i="12"/>
  <c r="D254" i="12"/>
  <c r="D250" i="12"/>
  <c r="G245" i="12"/>
  <c r="H245" i="12" s="1"/>
  <c r="D245" i="12"/>
  <c r="D242" i="12"/>
  <c r="H238" i="12"/>
  <c r="E238" i="12"/>
  <c r="E235" i="12"/>
  <c r="E233" i="12"/>
  <c r="E229" i="12"/>
  <c r="E225" i="12"/>
  <c r="E221" i="12"/>
  <c r="E217" i="12"/>
  <c r="E213" i="12"/>
  <c r="E209" i="12"/>
  <c r="E205" i="12"/>
  <c r="E201" i="12"/>
  <c r="E197" i="12"/>
  <c r="E193" i="12"/>
  <c r="E189" i="12"/>
  <c r="E185" i="12"/>
  <c r="E181" i="12"/>
  <c r="E177" i="12"/>
  <c r="E173" i="12"/>
  <c r="E169" i="12"/>
  <c r="E165" i="12"/>
  <c r="E161" i="12"/>
  <c r="E157" i="12"/>
  <c r="E153" i="12"/>
  <c r="E149" i="12"/>
  <c r="E145" i="12"/>
  <c r="E141" i="12"/>
  <c r="E137" i="12"/>
  <c r="H137" i="12"/>
  <c r="E113" i="12"/>
  <c r="H113" i="12"/>
  <c r="H115" i="12"/>
  <c r="H111" i="12"/>
  <c r="H73" i="12"/>
  <c r="E73" i="12"/>
  <c r="D62" i="12"/>
  <c r="E62" i="12"/>
  <c r="D30" i="12"/>
  <c r="E30" i="12"/>
  <c r="E234" i="12"/>
  <c r="E230" i="12"/>
  <c r="E226" i="12"/>
  <c r="E222" i="12"/>
  <c r="E218" i="12"/>
  <c r="E214" i="12"/>
  <c r="E210" i="12"/>
  <c r="E206" i="12"/>
  <c r="E202" i="12"/>
  <c r="E198" i="12"/>
  <c r="E194" i="12"/>
  <c r="E190" i="12"/>
  <c r="E186" i="12"/>
  <c r="E182" i="12"/>
  <c r="E178" i="12"/>
  <c r="E174" i="12"/>
  <c r="E170" i="12"/>
  <c r="E166" i="12"/>
  <c r="E162" i="12"/>
  <c r="E158" i="12"/>
  <c r="E154" i="12"/>
  <c r="E151" i="12"/>
  <c r="E147" i="12"/>
  <c r="E143" i="12"/>
  <c r="E139" i="12"/>
  <c r="E136" i="12"/>
  <c r="E132" i="12"/>
  <c r="E128" i="12"/>
  <c r="E105" i="12"/>
  <c r="E103" i="12"/>
  <c r="G99" i="12"/>
  <c r="H99" i="12" s="1"/>
  <c r="D99" i="12"/>
  <c r="E95" i="12"/>
  <c r="G91" i="12"/>
  <c r="H91" i="12" s="1"/>
  <c r="D91" i="12"/>
  <c r="H87" i="12"/>
  <c r="E87" i="12"/>
  <c r="G83" i="12"/>
  <c r="H83" i="12" s="1"/>
  <c r="D83" i="12"/>
  <c r="H69" i="12"/>
  <c r="E69" i="12"/>
  <c r="H37" i="12"/>
  <c r="E37" i="12"/>
  <c r="H150" i="12"/>
  <c r="H146" i="12"/>
  <c r="D135" i="12"/>
  <c r="D131" i="12"/>
  <c r="D127" i="12"/>
  <c r="D123" i="12"/>
  <c r="H122" i="12"/>
  <c r="D119" i="12"/>
  <c r="H118" i="12"/>
  <c r="D115" i="12"/>
  <c r="H114" i="12"/>
  <c r="D111" i="12"/>
  <c r="H110" i="12"/>
  <c r="H106" i="12"/>
  <c r="D46" i="12"/>
  <c r="E46" i="12"/>
  <c r="D104" i="12"/>
  <c r="D100" i="12"/>
  <c r="D96" i="12"/>
  <c r="D92" i="12"/>
  <c r="D88" i="12"/>
  <c r="D84" i="12"/>
  <c r="D80" i="12"/>
  <c r="D77" i="12"/>
  <c r="D76" i="12"/>
  <c r="D73" i="12"/>
  <c r="D72" i="12"/>
  <c r="D69" i="12"/>
  <c r="H65" i="12"/>
  <c r="E65" i="12"/>
  <c r="H60" i="12"/>
  <c r="D58" i="12"/>
  <c r="E58" i="12"/>
  <c r="D53" i="12"/>
  <c r="H49" i="12"/>
  <c r="E49" i="12"/>
  <c r="H44" i="12"/>
  <c r="D42" i="12"/>
  <c r="E42" i="12"/>
  <c r="D37" i="12"/>
  <c r="H33" i="12"/>
  <c r="E33" i="12"/>
  <c r="H28" i="12"/>
  <c r="D26" i="12"/>
  <c r="E26" i="12"/>
  <c r="D21" i="12"/>
  <c r="E101" i="12"/>
  <c r="E97" i="12"/>
  <c r="E93" i="12"/>
  <c r="E89" i="12"/>
  <c r="E85" i="12"/>
  <c r="E81" i="12"/>
  <c r="H61" i="12"/>
  <c r="E61" i="12"/>
  <c r="D54" i="12"/>
  <c r="E54" i="12"/>
  <c r="H45" i="12"/>
  <c r="E45" i="12"/>
  <c r="D38" i="12"/>
  <c r="E38" i="12"/>
  <c r="H29" i="12"/>
  <c r="E29" i="12"/>
  <c r="D22" i="12"/>
  <c r="E22" i="12"/>
  <c r="H100" i="12"/>
  <c r="H96" i="12"/>
  <c r="H92" i="12"/>
  <c r="H88" i="12"/>
  <c r="H84" i="12"/>
  <c r="H80" i="12"/>
  <c r="H76" i="12"/>
  <c r="H72" i="12"/>
  <c r="H68" i="12"/>
  <c r="D66" i="12"/>
  <c r="E66" i="12"/>
  <c r="D61" i="12"/>
  <c r="H57" i="12"/>
  <c r="E57" i="12"/>
  <c r="H52" i="12"/>
  <c r="D50" i="12"/>
  <c r="E50" i="12"/>
  <c r="D45" i="12"/>
  <c r="H41" i="12"/>
  <c r="E41" i="12"/>
  <c r="H36" i="12"/>
  <c r="D34" i="12"/>
  <c r="E34" i="12"/>
  <c r="D29" i="12"/>
  <c r="H25" i="12"/>
  <c r="E25" i="12"/>
</calcChain>
</file>

<file path=xl/sharedStrings.xml><?xml version="1.0" encoding="utf-8"?>
<sst xmlns="http://schemas.openxmlformats.org/spreadsheetml/2006/main" count="34" uniqueCount="21">
  <si>
    <t>曝光量</t>
  </si>
  <si>
    <t>点击率</t>
  </si>
  <si>
    <t>日期</t>
  </si>
  <si>
    <t>点击数</t>
  </si>
  <si>
    <t>曝光量</t>
    <phoneticPr fontId="1" type="noConversion"/>
  </si>
  <si>
    <t>销售额</t>
    <phoneticPr fontId="1" type="noConversion"/>
  </si>
  <si>
    <t>平均点击花费</t>
  </si>
  <si>
    <t>总花费</t>
  </si>
  <si>
    <t>ACOS</t>
    <phoneticPr fontId="1" type="noConversion"/>
  </si>
  <si>
    <t>点击次数</t>
    <phoneticPr fontId="1" type="noConversion"/>
  </si>
  <si>
    <t>点击率</t>
    <phoneticPr fontId="1" type="noConversion"/>
  </si>
  <si>
    <t>转化率</t>
    <phoneticPr fontId="1" type="noConversion"/>
  </si>
  <si>
    <t>开始时间</t>
    <phoneticPr fontId="1" type="noConversion"/>
  </si>
  <si>
    <t>结束时间</t>
    <phoneticPr fontId="1" type="noConversion"/>
  </si>
  <si>
    <t>客户搜索词</t>
    <phoneticPr fontId="1" type="noConversion"/>
  </si>
  <si>
    <t>销售额</t>
    <phoneticPr fontId="1" type="noConversion"/>
  </si>
  <si>
    <t>花费</t>
    <phoneticPr fontId="1" type="noConversion"/>
  </si>
  <si>
    <t>ACOS</t>
    <phoneticPr fontId="1" type="noConversion"/>
  </si>
  <si>
    <t>评级</t>
    <phoneticPr fontId="1" type="noConversion"/>
  </si>
  <si>
    <t>订单数</t>
    <phoneticPr fontId="1" type="noConversion"/>
  </si>
  <si>
    <t>所属广告组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</si>
</sst>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0" fontId="0" fillId="2" borderId="0" xfId="0" applyNumberFormat="1" applyFill="1">
      <alignment vertical="center"/>
    </xf>
  </cellXfs>
  <cellStyles count="1">
    <cellStyle name="常规" xfId="0" builtinId="0"/>
  </cellStyles>
  <dxfs count="8">
    <dxf>
      <fill>
        <patternFill patternType="solid">
          <fgColor rgb="FFFF0000"/>
          <bgColor rgb="FFFF0000"/>
        </patternFill>
      </fill>
    </dxf>
    <dxf>
      <fill>
        <patternFill patternType="solid">
          <fgColor theme="9"/>
          <bgColor rgb="FF92D050"/>
        </patternFill>
      </fill>
    </dxf>
    <dxf>
      <fill>
        <patternFill>
          <fgColor theme="4"/>
          <bgColor theme="4"/>
        </patternFill>
      </fill>
    </dxf>
    <dxf>
      <fill>
        <patternFill>
          <fgColor theme="7"/>
          <bgColor theme="7"/>
        </patternFill>
      </fill>
    </dxf>
    <dxf>
      <fill>
        <patternFill>
          <fgColor theme="7"/>
          <bgColor theme="7"/>
        </patternFill>
      </fill>
    </dxf>
    <dxf>
      <fill>
        <patternFill>
          <fgColor theme="4"/>
          <bgColor theme="4"/>
        </patternFill>
      </fill>
    </dxf>
    <dxf>
      <fill>
        <patternFill patternType="solid">
          <fgColor theme="9"/>
          <bgColor rgb="FF92D05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E25" sqref="E25"/>
    </sheetView>
  </sheetViews>
  <sheetFormatPr defaultRowHeight="13.5" x14ac:dyDescent="0.15"/>
  <cols>
    <col min="1" max="1" width="13.875" style="1" customWidth="1"/>
    <col min="4" max="4" width="12.875" customWidth="1"/>
    <col min="5" max="5" width="10.75" customWidth="1"/>
    <col min="6" max="6" width="21.625" customWidth="1"/>
    <col min="7" max="7" width="10.375" customWidth="1"/>
    <col min="8" max="8" width="37.125" style="1" customWidth="1"/>
    <col min="11" max="11" width="22.75" customWidth="1"/>
    <col min="12" max="12" width="27.875" customWidth="1"/>
    <col min="17" max="17" width="22.375" customWidth="1"/>
    <col min="19" max="23" width="24.375" customWidth="1"/>
  </cols>
  <sheetData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1"/>
  <sheetViews>
    <sheetView workbookViewId="0">
      <selection activeCell="B11" sqref="B11"/>
    </sheetView>
  </sheetViews>
  <sheetFormatPr defaultRowHeight="13.5" x14ac:dyDescent="0.15"/>
  <cols>
    <col min="1" max="1" width="17.375" style="1" customWidth="1"/>
    <col min="2" max="3" width="17.375" customWidth="1"/>
    <col min="4" max="4" width="17.375" style="2" customWidth="1"/>
    <col min="5" max="7" width="17.375" customWidth="1"/>
    <col min="8" max="8" width="17.375" style="2" customWidth="1"/>
    <col min="9" max="9" width="13.25" customWidth="1"/>
  </cols>
  <sheetData>
    <row r="1" spans="1:8" x14ac:dyDescent="0.15">
      <c r="A1" s="1" t="s">
        <v>2</v>
      </c>
      <c r="B1" t="s">
        <v>0</v>
      </c>
      <c r="C1" t="s">
        <v>3</v>
      </c>
      <c r="D1" s="2" t="s">
        <v>1</v>
      </c>
      <c r="E1" t="s">
        <v>6</v>
      </c>
      <c r="F1" t="s">
        <v>7</v>
      </c>
      <c r="G1" t="s">
        <v>5</v>
      </c>
      <c r="H1" s="2" t="s">
        <v>8</v>
      </c>
    </row>
    <row r="2" spans="1:8" x14ac:dyDescent="0.15">
      <c r="A2" s="1">
        <v>43770</v>
      </c>
      <c r="B2" t="str">
        <f>IF(SUMIF(搜索词报告!$A$2:$A$22222,总体数据一览!A2,搜索词报告!$I$2:$I$22222)=0,"",SUMIF(搜索词报告!$A$2:$A$22222,总体数据一览!A2,搜索词报告!$I$2:$I$22222))</f>
        <v/>
      </c>
      <c r="C2" t="str">
        <f>IF(SUMIF(搜索词报告!$A$2:$A$22222,总体数据一览!A2,搜索词报告!$J$2:$J$22222)=0,"",SUMIF(搜索词报告!$A$2:$A$22222,总体数据一览!A2,搜索词报告!$J$2:$J$22222))</f>
        <v/>
      </c>
      <c r="D2" s="2" t="str">
        <f>IFERROR(ROUND(C2/B2,4),"")</f>
        <v/>
      </c>
      <c r="E2" t="str">
        <f>IFERROR(ROUND(F2/C2,2),"")</f>
        <v/>
      </c>
      <c r="F2" t="str">
        <f>IF(SUMIF(搜索词报告!$A$2:$A$22222,总体数据一览!A2,搜索词报告!$M$2:$M$22222)=0,"",SUMIF(搜索词报告!$A$2:$A$22222,总体数据一览!A2,搜索词报告!$M$2:$M$22222))</f>
        <v/>
      </c>
      <c r="G2" t="str">
        <f>IFERROR(IF(B2="","",SUMIF(搜索词报告!$A$2:$A$22222,总体数据一览!A2,搜索词报告!$V$2:$V$22222))+IF(B2="","",SUMIF(搜索词报告!$A$2:$A$22222,总体数据一览!A2,搜索词报告!$W$2:$W$22222)),"")</f>
        <v/>
      </c>
      <c r="H2" s="2" t="str">
        <f>IFERROR(ROUND(F2/G2,2),"")</f>
        <v/>
      </c>
    </row>
    <row r="3" spans="1:8" x14ac:dyDescent="0.15">
      <c r="A3" s="1">
        <v>43771</v>
      </c>
      <c r="B3" t="str">
        <f>IF(SUMIF(搜索词报告!$A$2:$A$22222,总体数据一览!A3,搜索词报告!$I$2:$I$22222)=0,"",SUMIF(搜索词报告!$A$2:$A$22222,总体数据一览!A3,搜索词报告!$I$2:$I$22222))</f>
        <v/>
      </c>
      <c r="C3" t="str">
        <f>IF(SUMIF(搜索词报告!$A$2:$A$22222,总体数据一览!A3,搜索词报告!$J$2:$J$22222)=0,"",SUMIF(搜索词报告!$A$2:$A$22222,总体数据一览!A3,搜索词报告!$J$2:$J$22222))</f>
        <v/>
      </c>
      <c r="D3" s="2" t="str">
        <f t="shared" ref="D3:D19" si="0">IFERROR(ROUND(C3/B3,4),"")</f>
        <v/>
      </c>
      <c r="E3" t="str">
        <f t="shared" ref="E3:E19" si="1">IFERROR(ROUND(F3/C3,2),"")</f>
        <v/>
      </c>
      <c r="F3" t="str">
        <f>IF(SUMIF(搜索词报告!$A$2:$A$22222,总体数据一览!A3,搜索词报告!$M$2:$M$22222)=0,"",SUMIF(搜索词报告!$A$2:$A$22222,总体数据一览!A3,搜索词报告!$M$2:$M$22222))</f>
        <v/>
      </c>
      <c r="G3" t="str">
        <f>IFERROR(IF(B3="","",SUMIF(搜索词报告!$A$2:$A$22222,总体数据一览!A3,搜索词报告!$V$2:$V$22222))+IF(B3="","",SUMIF(搜索词报告!$A$2:$A$22222,总体数据一览!A3,搜索词报告!$W$2:$W$22222)),"")</f>
        <v/>
      </c>
      <c r="H3" s="2" t="str">
        <f t="shared" ref="H3:H19" si="2">IFERROR(ROUND(F3/G3,2),"")</f>
        <v/>
      </c>
    </row>
    <row r="4" spans="1:8" x14ac:dyDescent="0.15">
      <c r="A4" s="1">
        <v>43772</v>
      </c>
      <c r="B4" t="str">
        <f>IF(SUMIF(搜索词报告!$A$2:$A$22222,总体数据一览!A4,搜索词报告!$I$2:$I$22222)=0,"",SUMIF(搜索词报告!$A$2:$A$22222,总体数据一览!A4,搜索词报告!$I$2:$I$22222))</f>
        <v/>
      </c>
      <c r="C4" t="str">
        <f>IF(SUMIF(搜索词报告!$A$2:$A$22222,总体数据一览!A4,搜索词报告!$J$2:$J$22222)=0,"",SUMIF(搜索词报告!$A$2:$A$22222,总体数据一览!A4,搜索词报告!$J$2:$J$22222))</f>
        <v/>
      </c>
      <c r="D4" s="2" t="str">
        <f t="shared" si="0"/>
        <v/>
      </c>
      <c r="E4" t="str">
        <f t="shared" si="1"/>
        <v/>
      </c>
      <c r="F4" t="str">
        <f>IF(SUMIF(搜索词报告!$A$2:$A$22222,总体数据一览!A4,搜索词报告!$M$2:$M$22222)=0,"",SUMIF(搜索词报告!$A$2:$A$22222,总体数据一览!A4,搜索词报告!$M$2:$M$22222))</f>
        <v/>
      </c>
      <c r="G4" t="str">
        <f>IFERROR(IF(B4="","",SUMIF(搜索词报告!$A$2:$A$22222,总体数据一览!A4,搜索词报告!$V$2:$V$22222))+IF(B4="","",SUMIF(搜索词报告!$A$2:$A$22222,总体数据一览!A4,搜索词报告!$W$2:$W$22222)),"")</f>
        <v/>
      </c>
      <c r="H4" s="2" t="str">
        <f t="shared" si="2"/>
        <v/>
      </c>
    </row>
    <row r="5" spans="1:8" x14ac:dyDescent="0.15">
      <c r="A5" s="1">
        <v>43773</v>
      </c>
      <c r="B5" t="str">
        <f>IF(SUMIF(搜索词报告!$A$2:$A$22222,总体数据一览!A5,搜索词报告!$I$2:$I$22222)=0,"",SUMIF(搜索词报告!$A$2:$A$22222,总体数据一览!A5,搜索词报告!$I$2:$I$22222))</f>
        <v/>
      </c>
      <c r="C5" t="str">
        <f>IF(SUMIF(搜索词报告!$A$2:$A$22222,总体数据一览!A5,搜索词报告!$J$2:$J$22222)=0,"",SUMIF(搜索词报告!$A$2:$A$22222,总体数据一览!A5,搜索词报告!$J$2:$J$22222))</f>
        <v/>
      </c>
      <c r="D5" s="2" t="str">
        <f t="shared" si="0"/>
        <v/>
      </c>
      <c r="E5" t="str">
        <f t="shared" si="1"/>
        <v/>
      </c>
      <c r="F5" t="str">
        <f>IF(SUMIF(搜索词报告!$A$2:$A$22222,总体数据一览!A5,搜索词报告!$M$2:$M$22222)=0,"",SUMIF(搜索词报告!$A$2:$A$22222,总体数据一览!A5,搜索词报告!$M$2:$M$22222))</f>
        <v/>
      </c>
      <c r="G5" t="str">
        <f>IFERROR(IF(B5="","",SUMIF(搜索词报告!$A$2:$A$22222,总体数据一览!A5,搜索词报告!$V$2:$V$22222))+IF(B5="","",SUMIF(搜索词报告!$A$2:$A$22222,总体数据一览!A5,搜索词报告!$W$2:$W$22222)),"")</f>
        <v/>
      </c>
      <c r="H5" s="2" t="str">
        <f t="shared" si="2"/>
        <v/>
      </c>
    </row>
    <row r="6" spans="1:8" x14ac:dyDescent="0.15">
      <c r="A6" s="1">
        <v>43774</v>
      </c>
      <c r="B6" t="str">
        <f>IF(SUMIF(搜索词报告!$A$2:$A$22222,总体数据一览!A6,搜索词报告!$I$2:$I$22222)=0,"",SUMIF(搜索词报告!$A$2:$A$22222,总体数据一览!A6,搜索词报告!$I$2:$I$22222))</f>
        <v/>
      </c>
      <c r="C6" t="str">
        <f>IF(SUMIF(搜索词报告!$A$2:$A$22222,总体数据一览!A6,搜索词报告!$J$2:$J$22222)=0,"",SUMIF(搜索词报告!$A$2:$A$22222,总体数据一览!A6,搜索词报告!$J$2:$J$22222))</f>
        <v/>
      </c>
      <c r="D6" s="2" t="str">
        <f t="shared" si="0"/>
        <v/>
      </c>
      <c r="E6" t="str">
        <f t="shared" si="1"/>
        <v/>
      </c>
      <c r="F6" t="str">
        <f>IF(SUMIF(搜索词报告!$A$2:$A$22222,总体数据一览!A6,搜索词报告!$M$2:$M$22222)=0,"",SUMIF(搜索词报告!$A$2:$A$22222,总体数据一览!A6,搜索词报告!$M$2:$M$22222))</f>
        <v/>
      </c>
      <c r="G6" t="str">
        <f>IFERROR(IF(B6="","",SUMIF(搜索词报告!$A$2:$A$22222,总体数据一览!A6,搜索词报告!$V$2:$V$22222))+IF(B6="","",SUMIF(搜索词报告!$A$2:$A$22222,总体数据一览!A6,搜索词报告!$W$2:$W$22222)),"")</f>
        <v/>
      </c>
      <c r="H6" s="2" t="str">
        <f t="shared" si="2"/>
        <v/>
      </c>
    </row>
    <row r="7" spans="1:8" x14ac:dyDescent="0.15">
      <c r="A7" s="1">
        <v>43775</v>
      </c>
      <c r="B7" t="str">
        <f>IF(SUMIF(搜索词报告!$A$2:$A$22222,总体数据一览!A7,搜索词报告!$I$2:$I$22222)=0,"",SUMIF(搜索词报告!$A$2:$A$22222,总体数据一览!A7,搜索词报告!$I$2:$I$22222))</f>
        <v/>
      </c>
      <c r="C7" t="str">
        <f>IF(SUMIF(搜索词报告!$A$2:$A$22222,总体数据一览!A7,搜索词报告!$J$2:$J$22222)=0,"",SUMIF(搜索词报告!$A$2:$A$22222,总体数据一览!A7,搜索词报告!$J$2:$J$22222))</f>
        <v/>
      </c>
      <c r="D7" s="2" t="str">
        <f t="shared" si="0"/>
        <v/>
      </c>
      <c r="E7" t="str">
        <f t="shared" si="1"/>
        <v/>
      </c>
      <c r="F7" t="str">
        <f>IF(SUMIF(搜索词报告!$A$2:$A$22222,总体数据一览!A7,搜索词报告!$M$2:$M$22222)=0,"",SUMIF(搜索词报告!$A$2:$A$22222,总体数据一览!A7,搜索词报告!$M$2:$M$22222))</f>
        <v/>
      </c>
      <c r="G7" t="str">
        <f>IFERROR(IF(B7="","",SUMIF(搜索词报告!$A$2:$A$22222,总体数据一览!A7,搜索词报告!$V$2:$V$22222))+IF(B7="","",SUMIF(搜索词报告!$A$2:$A$22222,总体数据一览!A7,搜索词报告!$W$2:$W$22222)),"")</f>
        <v/>
      </c>
      <c r="H7" s="2" t="str">
        <f t="shared" si="2"/>
        <v/>
      </c>
    </row>
    <row r="8" spans="1:8" x14ac:dyDescent="0.15">
      <c r="A8" s="1">
        <v>43776</v>
      </c>
      <c r="B8" t="str">
        <f>IF(SUMIF(搜索词报告!$A$2:$A$22222,总体数据一览!A8,搜索词报告!$I$2:$I$22222)=0,"",SUMIF(搜索词报告!$A$2:$A$22222,总体数据一览!A8,搜索词报告!$I$2:$I$22222))</f>
        <v/>
      </c>
      <c r="C8" t="str">
        <f>IF(SUMIF(搜索词报告!$A$2:$A$22222,总体数据一览!A8,搜索词报告!$J$2:$J$22222)=0,"",SUMIF(搜索词报告!$A$2:$A$22222,总体数据一览!A8,搜索词报告!$J$2:$J$22222))</f>
        <v/>
      </c>
      <c r="D8" s="2" t="str">
        <f t="shared" si="0"/>
        <v/>
      </c>
      <c r="E8" t="str">
        <f t="shared" si="1"/>
        <v/>
      </c>
      <c r="F8" t="str">
        <f>IF(SUMIF(搜索词报告!$A$2:$A$22222,总体数据一览!A8,搜索词报告!$M$2:$M$22222)=0,"",SUMIF(搜索词报告!$A$2:$A$22222,总体数据一览!A8,搜索词报告!$M$2:$M$22222))</f>
        <v/>
      </c>
      <c r="G8" t="str">
        <f>IFERROR(IF(B8="","",SUMIF(搜索词报告!$A$2:$A$22222,总体数据一览!A8,搜索词报告!$V$2:$V$22222))+IF(B8="","",SUMIF(搜索词报告!$A$2:$A$22222,总体数据一览!A8,搜索词报告!$W$2:$W$22222)),"")</f>
        <v/>
      </c>
      <c r="H8" s="2" t="str">
        <f t="shared" si="2"/>
        <v/>
      </c>
    </row>
    <row r="9" spans="1:8" x14ac:dyDescent="0.15">
      <c r="A9" s="1">
        <v>43777</v>
      </c>
      <c r="B9" t="str">
        <f>IF(SUMIF(搜索词报告!$A$2:$A$22222,总体数据一览!A9,搜索词报告!$I$2:$I$22222)=0,"",SUMIF(搜索词报告!$A$2:$A$22222,总体数据一览!A9,搜索词报告!$I$2:$I$22222))</f>
        <v/>
      </c>
      <c r="C9" t="str">
        <f>IF(SUMIF(搜索词报告!$A$2:$A$22222,总体数据一览!A9,搜索词报告!$J$2:$J$22222)=0,"",SUMIF(搜索词报告!$A$2:$A$22222,总体数据一览!A9,搜索词报告!$J$2:$J$22222))</f>
        <v/>
      </c>
      <c r="D9" s="2" t="str">
        <f t="shared" si="0"/>
        <v/>
      </c>
      <c r="E9" t="str">
        <f t="shared" si="1"/>
        <v/>
      </c>
      <c r="F9" t="str">
        <f>IF(SUMIF(搜索词报告!$A$2:$A$22222,总体数据一览!A9,搜索词报告!$M$2:$M$22222)=0,"",SUMIF(搜索词报告!$A$2:$A$22222,总体数据一览!A9,搜索词报告!$M$2:$M$22222))</f>
        <v/>
      </c>
      <c r="G9" t="str">
        <f>IFERROR(IF(B9="","",SUMIF(搜索词报告!$A$2:$A$22222,总体数据一览!A9,搜索词报告!$V$2:$V$22222))+IF(B9="","",SUMIF(搜索词报告!$A$2:$A$22222,总体数据一览!A9,搜索词报告!$W$2:$W$22222)),"")</f>
        <v/>
      </c>
      <c r="H9" s="2" t="str">
        <f t="shared" si="2"/>
        <v/>
      </c>
    </row>
    <row r="10" spans="1:8" x14ac:dyDescent="0.15">
      <c r="A10" s="1">
        <v>43778</v>
      </c>
      <c r="B10" t="str">
        <f>IF(SUMIF(搜索词报告!$A$2:$A$22222,总体数据一览!A10,搜索词报告!$I$2:$I$22222)=0,"",SUMIF(搜索词报告!$A$2:$A$22222,总体数据一览!A10,搜索词报告!$I$2:$I$22222))</f>
        <v/>
      </c>
      <c r="C10" t="str">
        <f>IF(SUMIF(搜索词报告!$A$2:$A$22222,总体数据一览!A10,搜索词报告!$J$2:$J$22222)=0,"",SUMIF(搜索词报告!$A$2:$A$22222,总体数据一览!A10,搜索词报告!$J$2:$J$22222))</f>
        <v/>
      </c>
      <c r="D10" s="2" t="str">
        <f t="shared" si="0"/>
        <v/>
      </c>
      <c r="E10" t="str">
        <f t="shared" si="1"/>
        <v/>
      </c>
      <c r="F10" t="str">
        <f>IF(SUMIF(搜索词报告!$A$2:$A$22222,总体数据一览!A10,搜索词报告!$M$2:$M$22222)=0,"",SUMIF(搜索词报告!$A$2:$A$22222,总体数据一览!A10,搜索词报告!$M$2:$M$22222))</f>
        <v/>
      </c>
      <c r="G10" t="str">
        <f>IFERROR(IF(B10="","",SUMIF(搜索词报告!$A$2:$A$22222,总体数据一览!A10,搜索词报告!$V$2:$V$22222))+IF(B10="","",SUMIF(搜索词报告!$A$2:$A$22222,总体数据一览!A10,搜索词报告!$W$2:$W$22222)),"")</f>
        <v/>
      </c>
      <c r="H10" s="2" t="str">
        <f t="shared" si="2"/>
        <v/>
      </c>
    </row>
    <row r="11" spans="1:8" x14ac:dyDescent="0.15">
      <c r="A11" s="1">
        <v>43779</v>
      </c>
      <c r="B11" t="str">
        <f>IF(SUMIF(搜索词报告!$A$2:$A$22222,总体数据一览!A11,搜索词报告!$I$2:$I$22222)=0,"",SUMIF(搜索词报告!$A$2:$A$22222,总体数据一览!A11,搜索词报告!$I$2:$I$22222))</f>
        <v/>
      </c>
      <c r="C11" t="str">
        <f>IF(SUMIF(搜索词报告!$A$2:$A$22222,总体数据一览!A11,搜索词报告!$J$2:$J$22222)=0,"",SUMIF(搜索词报告!$A$2:$A$22222,总体数据一览!A11,搜索词报告!$J$2:$J$22222))</f>
        <v/>
      </c>
      <c r="D11" s="2" t="str">
        <f t="shared" si="0"/>
        <v/>
      </c>
      <c r="E11" t="str">
        <f t="shared" si="1"/>
        <v/>
      </c>
      <c r="F11" t="str">
        <f>IF(SUMIF(搜索词报告!$A$2:$A$22222,总体数据一览!A11,搜索词报告!$M$2:$M$22222)=0,"",SUMIF(搜索词报告!$A$2:$A$22222,总体数据一览!A11,搜索词报告!$M$2:$M$22222))</f>
        <v/>
      </c>
      <c r="G11" t="str">
        <f>IFERROR(IF(B11="","",SUMIF(搜索词报告!$A$2:$A$22222,总体数据一览!A11,搜索词报告!$V$2:$V$22222))+IF(B11="","",SUMIF(搜索词报告!$A$2:$A$22222,总体数据一览!A11,搜索词报告!$W$2:$W$22222)),"")</f>
        <v/>
      </c>
      <c r="H11" s="2" t="str">
        <f t="shared" si="2"/>
        <v/>
      </c>
    </row>
    <row r="12" spans="1:8" x14ac:dyDescent="0.15">
      <c r="A12" s="1">
        <v>43780</v>
      </c>
      <c r="B12" t="str">
        <f>IF(SUMIF(搜索词报告!$A$2:$A$22222,总体数据一览!A12,搜索词报告!$I$2:$I$22222)=0,"",SUMIF(搜索词报告!$A$2:$A$22222,总体数据一览!A12,搜索词报告!$I$2:$I$22222))</f>
        <v/>
      </c>
      <c r="C12" t="str">
        <f>IF(SUMIF(搜索词报告!$A$2:$A$22222,总体数据一览!A12,搜索词报告!$J$2:$J$22222)=0,"",SUMIF(搜索词报告!$A$2:$A$22222,总体数据一览!A12,搜索词报告!$J$2:$J$22222))</f>
        <v/>
      </c>
      <c r="D12" s="2" t="str">
        <f t="shared" si="0"/>
        <v/>
      </c>
      <c r="E12" t="str">
        <f t="shared" si="1"/>
        <v/>
      </c>
      <c r="F12" t="str">
        <f>IF(SUMIF(搜索词报告!$A$2:$A$22222,总体数据一览!A12,搜索词报告!$M$2:$M$22222)=0,"",SUMIF(搜索词报告!$A$2:$A$22222,总体数据一览!A12,搜索词报告!$M$2:$M$22222))</f>
        <v/>
      </c>
      <c r="G12" t="str">
        <f>IFERROR(IF(B12="","",SUMIF(搜索词报告!$A$2:$A$22222,总体数据一览!A12,搜索词报告!$V$2:$V$22222))+IF(B12="","",SUMIF(搜索词报告!$A$2:$A$22222,总体数据一览!A12,搜索词报告!$W$2:$W$22222)),"")</f>
        <v/>
      </c>
      <c r="H12" s="2" t="str">
        <f t="shared" si="2"/>
        <v/>
      </c>
    </row>
    <row r="13" spans="1:8" x14ac:dyDescent="0.15">
      <c r="A13" s="1">
        <v>43781</v>
      </c>
      <c r="B13" t="str">
        <f>IF(SUMIF(搜索词报告!$A$2:$A$22222,总体数据一览!A13,搜索词报告!$I$2:$I$22222)=0,"",SUMIF(搜索词报告!$A$2:$A$22222,总体数据一览!A13,搜索词报告!$I$2:$I$22222))</f>
        <v/>
      </c>
      <c r="C13" t="str">
        <f>IF(SUMIF(搜索词报告!$A$2:$A$22222,总体数据一览!A13,搜索词报告!$J$2:$J$22222)=0,"",SUMIF(搜索词报告!$A$2:$A$22222,总体数据一览!A13,搜索词报告!$J$2:$J$22222))</f>
        <v/>
      </c>
      <c r="D13" s="2" t="str">
        <f t="shared" si="0"/>
        <v/>
      </c>
      <c r="E13" t="str">
        <f t="shared" si="1"/>
        <v/>
      </c>
      <c r="F13" t="str">
        <f>IF(SUMIF(搜索词报告!$A$2:$A$22222,总体数据一览!A13,搜索词报告!$M$2:$M$22222)=0,"",SUMIF(搜索词报告!$A$2:$A$22222,总体数据一览!A13,搜索词报告!$M$2:$M$22222))</f>
        <v/>
      </c>
      <c r="G13" t="str">
        <f>IFERROR(IF(B13="","",SUMIF(搜索词报告!$A$2:$A$22222,总体数据一览!A13,搜索词报告!$V$2:$V$22222))+IF(B13="","",SUMIF(搜索词报告!$A$2:$A$22222,总体数据一览!A13,搜索词报告!$W$2:$W$22222)),"")</f>
        <v/>
      </c>
      <c r="H13" s="2" t="str">
        <f t="shared" si="2"/>
        <v/>
      </c>
    </row>
    <row r="14" spans="1:8" x14ac:dyDescent="0.15">
      <c r="A14" s="1">
        <v>43782</v>
      </c>
      <c r="B14" t="str">
        <f>IF(SUMIF(搜索词报告!$A$2:$A$22222,总体数据一览!A14,搜索词报告!$I$2:$I$22222)=0,"",SUMIF(搜索词报告!$A$2:$A$22222,总体数据一览!A14,搜索词报告!$I$2:$I$22222))</f>
        <v/>
      </c>
      <c r="C14" t="str">
        <f>IF(SUMIF(搜索词报告!$A$2:$A$22222,总体数据一览!A14,搜索词报告!$J$2:$J$22222)=0,"",SUMIF(搜索词报告!$A$2:$A$22222,总体数据一览!A14,搜索词报告!$J$2:$J$22222))</f>
        <v/>
      </c>
      <c r="D14" s="2" t="str">
        <f t="shared" si="0"/>
        <v/>
      </c>
      <c r="E14" t="str">
        <f t="shared" si="1"/>
        <v/>
      </c>
      <c r="F14" t="str">
        <f>IF(SUMIF(搜索词报告!$A$2:$A$22222,总体数据一览!A14,搜索词报告!$M$2:$M$22222)=0,"",SUMIF(搜索词报告!$A$2:$A$22222,总体数据一览!A14,搜索词报告!$M$2:$M$22222))</f>
        <v/>
      </c>
      <c r="G14" t="str">
        <f>IFERROR(IF(B14="","",SUMIF(搜索词报告!$A$2:$A$22222,总体数据一览!A14,搜索词报告!$V$2:$V$22222))+IF(B14="","",SUMIF(搜索词报告!$A$2:$A$22222,总体数据一览!A14,搜索词报告!$W$2:$W$22222)),"")</f>
        <v/>
      </c>
      <c r="H14" s="2" t="str">
        <f t="shared" si="2"/>
        <v/>
      </c>
    </row>
    <row r="15" spans="1:8" x14ac:dyDescent="0.15">
      <c r="A15" s="1">
        <v>43783</v>
      </c>
      <c r="B15" t="str">
        <f>IF(SUMIF(搜索词报告!$A$2:$A$22222,总体数据一览!A15,搜索词报告!$I$2:$I$22222)=0,"",SUMIF(搜索词报告!$A$2:$A$22222,总体数据一览!A15,搜索词报告!$I$2:$I$22222))</f>
        <v/>
      </c>
      <c r="C15" t="str">
        <f>IF(SUMIF(搜索词报告!$A$2:$A$22222,总体数据一览!A15,搜索词报告!$J$2:$J$22222)=0,"",SUMIF(搜索词报告!$A$2:$A$22222,总体数据一览!A15,搜索词报告!$J$2:$J$22222))</f>
        <v/>
      </c>
      <c r="D15" s="2" t="str">
        <f t="shared" si="0"/>
        <v/>
      </c>
      <c r="E15" t="str">
        <f t="shared" si="1"/>
        <v/>
      </c>
      <c r="F15" t="str">
        <f>IF(SUMIF(搜索词报告!$A$2:$A$22222,总体数据一览!A15,搜索词报告!$M$2:$M$22222)=0,"",SUMIF(搜索词报告!$A$2:$A$22222,总体数据一览!A15,搜索词报告!$M$2:$M$22222))</f>
        <v/>
      </c>
      <c r="G15" t="str">
        <f>IFERROR(IF(B15="","",SUMIF(搜索词报告!$A$2:$A$22222,总体数据一览!A15,搜索词报告!$V$2:$V$22222))+IF(B15="","",SUMIF(搜索词报告!$A$2:$A$22222,总体数据一览!A15,搜索词报告!$W$2:$W$22222)),"")</f>
        <v/>
      </c>
      <c r="H15" s="2" t="str">
        <f t="shared" si="2"/>
        <v/>
      </c>
    </row>
    <row r="16" spans="1:8" x14ac:dyDescent="0.15">
      <c r="A16" s="1">
        <v>43784</v>
      </c>
      <c r="B16" t="str">
        <f>IF(SUMIF(搜索词报告!$A$2:$A$22222,总体数据一览!A16,搜索词报告!$I$2:$I$22222)=0,"",SUMIF(搜索词报告!$A$2:$A$22222,总体数据一览!A16,搜索词报告!$I$2:$I$22222))</f>
        <v/>
      </c>
      <c r="C16" t="str">
        <f>IF(SUMIF(搜索词报告!$A$2:$A$22222,总体数据一览!A16,搜索词报告!$J$2:$J$22222)=0,"",SUMIF(搜索词报告!$A$2:$A$22222,总体数据一览!A16,搜索词报告!$J$2:$J$22222))</f>
        <v/>
      </c>
      <c r="D16" s="2" t="str">
        <f t="shared" si="0"/>
        <v/>
      </c>
      <c r="E16" t="str">
        <f t="shared" si="1"/>
        <v/>
      </c>
      <c r="F16" t="str">
        <f>IF(SUMIF(搜索词报告!$A$2:$A$22222,总体数据一览!A16,搜索词报告!$M$2:$M$22222)=0,"",SUMIF(搜索词报告!$A$2:$A$22222,总体数据一览!A16,搜索词报告!$M$2:$M$22222))</f>
        <v/>
      </c>
      <c r="G16" t="str">
        <f>IFERROR(IF(B16="","",SUMIF(搜索词报告!$A$2:$A$22222,总体数据一览!A16,搜索词报告!$V$2:$V$22222))+IF(B16="","",SUMIF(搜索词报告!$A$2:$A$22222,总体数据一览!A16,搜索词报告!$W$2:$W$22222)),"")</f>
        <v/>
      </c>
      <c r="H16" s="2" t="str">
        <f t="shared" si="2"/>
        <v/>
      </c>
    </row>
    <row r="17" spans="1:8" x14ac:dyDescent="0.15">
      <c r="A17" s="1">
        <v>43785</v>
      </c>
      <c r="B17" t="str">
        <f>IF(SUMIF(搜索词报告!$A$2:$A$22222,总体数据一览!A17,搜索词报告!$I$2:$I$22222)=0,"",SUMIF(搜索词报告!$A$2:$A$22222,总体数据一览!A17,搜索词报告!$I$2:$I$22222))</f>
        <v/>
      </c>
      <c r="C17" t="str">
        <f>IF(SUMIF(搜索词报告!$A$2:$A$22222,总体数据一览!A17,搜索词报告!$J$2:$J$22222)=0,"",SUMIF(搜索词报告!$A$2:$A$22222,总体数据一览!A17,搜索词报告!$J$2:$J$22222))</f>
        <v/>
      </c>
      <c r="D17" s="2" t="str">
        <f t="shared" si="0"/>
        <v/>
      </c>
      <c r="E17" t="str">
        <f t="shared" si="1"/>
        <v/>
      </c>
      <c r="F17" t="str">
        <f>IF(SUMIF(搜索词报告!$A$2:$A$22222,总体数据一览!A17,搜索词报告!$M$2:$M$22222)=0,"",SUMIF(搜索词报告!$A$2:$A$22222,总体数据一览!A17,搜索词报告!$M$2:$M$22222))</f>
        <v/>
      </c>
      <c r="G17" t="str">
        <f>IFERROR(IF(B17="","",SUMIF(搜索词报告!$A$2:$A$22222,总体数据一览!A17,搜索词报告!$V$2:$V$22222))+IF(B17="","",SUMIF(搜索词报告!$A$2:$A$22222,总体数据一览!A17,搜索词报告!$W$2:$W$22222)),"")</f>
        <v/>
      </c>
      <c r="H17" s="2" t="str">
        <f t="shared" si="2"/>
        <v/>
      </c>
    </row>
    <row r="18" spans="1:8" x14ac:dyDescent="0.15">
      <c r="A18" s="1">
        <v>43786</v>
      </c>
      <c r="B18" t="str">
        <f>IF(SUMIF(搜索词报告!$A$2:$A$22222,总体数据一览!A18,搜索词报告!$I$2:$I$22222)=0,"",SUMIF(搜索词报告!$A$2:$A$22222,总体数据一览!A18,搜索词报告!$I$2:$I$22222))</f>
        <v/>
      </c>
      <c r="C18" t="str">
        <f>IF(SUMIF(搜索词报告!$A$2:$A$22222,总体数据一览!A18,搜索词报告!$J$2:$J$22222)=0,"",SUMIF(搜索词报告!$A$2:$A$22222,总体数据一览!A18,搜索词报告!$J$2:$J$22222))</f>
        <v/>
      </c>
      <c r="D18" s="2" t="str">
        <f t="shared" si="0"/>
        <v/>
      </c>
      <c r="E18" t="str">
        <f t="shared" si="1"/>
        <v/>
      </c>
      <c r="F18" t="str">
        <f>IF(SUMIF(搜索词报告!$A$2:$A$22222,总体数据一览!A18,搜索词报告!$M$2:$M$22222)=0,"",SUMIF(搜索词报告!$A$2:$A$22222,总体数据一览!A18,搜索词报告!$M$2:$M$22222))</f>
        <v/>
      </c>
      <c r="G18" t="str">
        <f>IFERROR(IF(B18="","",SUMIF(搜索词报告!$A$2:$A$22222,总体数据一览!A18,搜索词报告!$V$2:$V$22222))+IF(B18="","",SUMIF(搜索词报告!$A$2:$A$22222,总体数据一览!A18,搜索词报告!$W$2:$W$22222)),"")</f>
        <v/>
      </c>
      <c r="H18" s="2" t="str">
        <f t="shared" si="2"/>
        <v/>
      </c>
    </row>
    <row r="19" spans="1:8" x14ac:dyDescent="0.15">
      <c r="A19" s="1">
        <v>43787</v>
      </c>
      <c r="B19" t="str">
        <f>IF(SUMIF(搜索词报告!$A$2:$A$22222,总体数据一览!A19,搜索词报告!$I$2:$I$22222)=0,"",SUMIF(搜索词报告!$A$2:$A$22222,总体数据一览!A19,搜索词报告!$I$2:$I$22222))</f>
        <v/>
      </c>
      <c r="C19" t="str">
        <f>IF(SUMIF(搜索词报告!$A$2:$A$22222,总体数据一览!A19,搜索词报告!$J$2:$J$22222)=0,"",SUMIF(搜索词报告!$A$2:$A$22222,总体数据一览!A19,搜索词报告!$J$2:$J$22222))</f>
        <v/>
      </c>
      <c r="D19" s="2" t="str">
        <f t="shared" si="0"/>
        <v/>
      </c>
      <c r="E19" t="str">
        <f t="shared" si="1"/>
        <v/>
      </c>
      <c r="F19" t="str">
        <f>IF(SUMIF(搜索词报告!$A$2:$A$22222,总体数据一览!A19,搜索词报告!$M$2:$M$22222)=0,"",SUMIF(搜索词报告!$A$2:$A$22222,总体数据一览!A19,搜索词报告!$M$2:$M$22222))</f>
        <v/>
      </c>
      <c r="G19" t="str">
        <f>IFERROR(IF(B19="","",SUMIF(搜索词报告!$A$2:$A$22222,总体数据一览!A19,搜索词报告!$V$2:$V$22222))+IF(B19="","",SUMIF(搜索词报告!$A$2:$A$22222,总体数据一览!A19,搜索词报告!$W$2:$W$22222)),"")</f>
        <v/>
      </c>
      <c r="H19" s="2" t="str">
        <f t="shared" si="2"/>
        <v/>
      </c>
    </row>
    <row r="20" spans="1:8" x14ac:dyDescent="0.15">
      <c r="A20" s="1">
        <v>43788</v>
      </c>
      <c r="B20" t="str">
        <f>IF(SUMIF(搜索词报告!$A$2:$A$22222,总体数据一览!A20,搜索词报告!$I$2:$I$22222)=0,"",SUMIF(搜索词报告!$A$2:$A$22222,总体数据一览!A20,搜索词报告!$I$2:$I$22222))</f>
        <v/>
      </c>
      <c r="C20" t="str">
        <f>IF(SUMIF(搜索词报告!$A$2:$A$22222,总体数据一览!A20,搜索词报告!$J$2:$J$22222)=0,"",SUMIF(搜索词报告!$A$2:$A$22222,总体数据一览!A20,搜索词报告!$J$2:$J$22222))</f>
        <v/>
      </c>
      <c r="D20" s="2" t="str">
        <f t="shared" ref="D20:D83" si="3">IFERROR(ROUND(C20/B20,4),"")</f>
        <v/>
      </c>
      <c r="E20" t="str">
        <f t="shared" ref="E20:E83" si="4">IFERROR(ROUND(F20/C20,2),"")</f>
        <v/>
      </c>
      <c r="F20" t="str">
        <f>IF(SUMIF(搜索词报告!$A$2:$A$22222,总体数据一览!A20,搜索词报告!$M$2:$M$22222)=0,"",SUMIF(搜索词报告!$A$2:$A$22222,总体数据一览!A20,搜索词报告!$M$2:$M$22222))</f>
        <v/>
      </c>
      <c r="G20" t="str">
        <f>IFERROR(IF(B20="","",SUMIF(搜索词报告!$A$2:$A$22222,总体数据一览!A20,搜索词报告!$V$2:$V$22222))+IF(B20="","",SUMIF(搜索词报告!$A$2:$A$22222,总体数据一览!A20,搜索词报告!$W$2:$W$22222)),"")</f>
        <v/>
      </c>
      <c r="H20" s="2" t="str">
        <f t="shared" ref="H20:H83" si="5">IFERROR(ROUND(F20/G20,2),"")</f>
        <v/>
      </c>
    </row>
    <row r="21" spans="1:8" x14ac:dyDescent="0.15">
      <c r="A21" s="1">
        <v>43789</v>
      </c>
      <c r="B21" t="str">
        <f>IF(SUMIF(搜索词报告!$A$2:$A$22222,总体数据一览!A21,搜索词报告!$I$2:$I$22222)=0,"",SUMIF(搜索词报告!$A$2:$A$22222,总体数据一览!A21,搜索词报告!$I$2:$I$22222))</f>
        <v/>
      </c>
      <c r="C21" t="str">
        <f>IF(SUMIF(搜索词报告!$A$2:$A$22222,总体数据一览!A21,搜索词报告!$J$2:$J$22222)=0,"",SUMIF(搜索词报告!$A$2:$A$22222,总体数据一览!A21,搜索词报告!$J$2:$J$22222))</f>
        <v/>
      </c>
      <c r="D21" s="2" t="str">
        <f t="shared" si="3"/>
        <v/>
      </c>
      <c r="E21" t="str">
        <f t="shared" si="4"/>
        <v/>
      </c>
      <c r="F21" t="str">
        <f>IF(SUMIF(搜索词报告!$A$2:$A$22222,总体数据一览!A21,搜索词报告!$M$2:$M$22222)=0,"",SUMIF(搜索词报告!$A$2:$A$22222,总体数据一览!A21,搜索词报告!$M$2:$M$22222))</f>
        <v/>
      </c>
      <c r="G21" t="str">
        <f>IFERROR(IF(B21="","",SUMIF(搜索词报告!$A$2:$A$22222,总体数据一览!A21,搜索词报告!$V$2:$V$22222))+IF(B21="","",SUMIF(搜索词报告!$A$2:$A$22222,总体数据一览!A21,搜索词报告!$W$2:$W$22222)),"")</f>
        <v/>
      </c>
      <c r="H21" s="2" t="str">
        <f t="shared" si="5"/>
        <v/>
      </c>
    </row>
    <row r="22" spans="1:8" x14ac:dyDescent="0.15">
      <c r="A22" s="1">
        <v>43790</v>
      </c>
      <c r="B22" t="str">
        <f>IF(SUMIF(搜索词报告!$A$2:$A$22222,总体数据一览!A22,搜索词报告!$I$2:$I$22222)=0,"",SUMIF(搜索词报告!$A$2:$A$22222,总体数据一览!A22,搜索词报告!$I$2:$I$22222))</f>
        <v/>
      </c>
      <c r="C22" t="str">
        <f>IF(SUMIF(搜索词报告!$A$2:$A$22222,总体数据一览!A22,搜索词报告!$J$2:$J$22222)=0,"",SUMIF(搜索词报告!$A$2:$A$22222,总体数据一览!A22,搜索词报告!$J$2:$J$22222))</f>
        <v/>
      </c>
      <c r="D22" s="2" t="str">
        <f t="shared" si="3"/>
        <v/>
      </c>
      <c r="E22" t="str">
        <f t="shared" si="4"/>
        <v/>
      </c>
      <c r="F22" t="str">
        <f>IF(SUMIF(搜索词报告!$A$2:$A$22222,总体数据一览!A22,搜索词报告!$M$2:$M$22222)=0,"",SUMIF(搜索词报告!$A$2:$A$22222,总体数据一览!A22,搜索词报告!$M$2:$M$22222))</f>
        <v/>
      </c>
      <c r="G22" t="str">
        <f>IFERROR(IF(B22="","",SUMIF(搜索词报告!$A$2:$A$22222,总体数据一览!A22,搜索词报告!$V$2:$V$22222))+IF(B22="","",SUMIF(搜索词报告!$A$2:$A$22222,总体数据一览!A22,搜索词报告!$W$2:$W$22222)),"")</f>
        <v/>
      </c>
      <c r="H22" s="2" t="str">
        <f t="shared" si="5"/>
        <v/>
      </c>
    </row>
    <row r="23" spans="1:8" x14ac:dyDescent="0.15">
      <c r="A23" s="1">
        <v>43791</v>
      </c>
      <c r="B23" t="str">
        <f>IF(SUMIF(搜索词报告!$A$2:$A$22222,总体数据一览!A23,搜索词报告!$I$2:$I$22222)=0,"",SUMIF(搜索词报告!$A$2:$A$22222,总体数据一览!A23,搜索词报告!$I$2:$I$22222))</f>
        <v/>
      </c>
      <c r="C23" t="str">
        <f>IF(SUMIF(搜索词报告!$A$2:$A$22222,总体数据一览!A23,搜索词报告!$J$2:$J$22222)=0,"",SUMIF(搜索词报告!$A$2:$A$22222,总体数据一览!A23,搜索词报告!$J$2:$J$22222))</f>
        <v/>
      </c>
      <c r="D23" s="2" t="str">
        <f t="shared" si="3"/>
        <v/>
      </c>
      <c r="E23" t="str">
        <f t="shared" si="4"/>
        <v/>
      </c>
      <c r="F23" t="str">
        <f>IF(SUMIF(搜索词报告!$A$2:$A$22222,总体数据一览!A23,搜索词报告!$M$2:$M$22222)=0,"",SUMIF(搜索词报告!$A$2:$A$22222,总体数据一览!A23,搜索词报告!$M$2:$M$22222))</f>
        <v/>
      </c>
      <c r="G23" t="str">
        <f>IFERROR(IF(B23="","",SUMIF(搜索词报告!$A$2:$A$22222,总体数据一览!A23,搜索词报告!$V$2:$V$22222))+IF(B23="","",SUMIF(搜索词报告!$A$2:$A$22222,总体数据一览!A23,搜索词报告!$W$2:$W$22222)),"")</f>
        <v/>
      </c>
      <c r="H23" s="2" t="str">
        <f t="shared" si="5"/>
        <v/>
      </c>
    </row>
    <row r="24" spans="1:8" x14ac:dyDescent="0.15">
      <c r="A24" s="1">
        <v>43792</v>
      </c>
      <c r="B24" t="str">
        <f>IF(SUMIF(搜索词报告!$A$2:$A$22222,总体数据一览!A24,搜索词报告!$I$2:$I$22222)=0,"",SUMIF(搜索词报告!$A$2:$A$22222,总体数据一览!A24,搜索词报告!$I$2:$I$22222))</f>
        <v/>
      </c>
      <c r="C24" t="str">
        <f>IF(SUMIF(搜索词报告!$A$2:$A$22222,总体数据一览!A24,搜索词报告!$J$2:$J$22222)=0,"",SUMIF(搜索词报告!$A$2:$A$22222,总体数据一览!A24,搜索词报告!$J$2:$J$22222))</f>
        <v/>
      </c>
      <c r="D24" s="2" t="str">
        <f t="shared" si="3"/>
        <v/>
      </c>
      <c r="E24" t="str">
        <f t="shared" si="4"/>
        <v/>
      </c>
      <c r="F24" t="str">
        <f>IF(SUMIF(搜索词报告!$A$2:$A$22222,总体数据一览!A24,搜索词报告!$M$2:$M$22222)=0,"",SUMIF(搜索词报告!$A$2:$A$22222,总体数据一览!A24,搜索词报告!$M$2:$M$22222))</f>
        <v/>
      </c>
      <c r="G24" t="str">
        <f>IFERROR(IF(B24="","",SUMIF(搜索词报告!$A$2:$A$22222,总体数据一览!A24,搜索词报告!$V$2:$V$22222))+IF(B24="","",SUMIF(搜索词报告!$A$2:$A$22222,总体数据一览!A24,搜索词报告!$W$2:$W$22222)),"")</f>
        <v/>
      </c>
      <c r="H24" s="2" t="str">
        <f t="shared" si="5"/>
        <v/>
      </c>
    </row>
    <row r="25" spans="1:8" x14ac:dyDescent="0.15">
      <c r="A25" s="1">
        <v>43793</v>
      </c>
      <c r="B25" t="str">
        <f>IF(SUMIF(搜索词报告!$A$2:$A$22222,总体数据一览!A25,搜索词报告!$I$2:$I$22222)=0,"",SUMIF(搜索词报告!$A$2:$A$22222,总体数据一览!A25,搜索词报告!$I$2:$I$22222))</f>
        <v/>
      </c>
      <c r="C25" t="str">
        <f>IF(SUMIF(搜索词报告!$A$2:$A$22222,总体数据一览!A25,搜索词报告!$J$2:$J$22222)=0,"",SUMIF(搜索词报告!$A$2:$A$22222,总体数据一览!A25,搜索词报告!$J$2:$J$22222))</f>
        <v/>
      </c>
      <c r="D25" s="2" t="str">
        <f t="shared" si="3"/>
        <v/>
      </c>
      <c r="E25" t="str">
        <f t="shared" si="4"/>
        <v/>
      </c>
      <c r="F25" t="str">
        <f>IF(SUMIF(搜索词报告!$A$2:$A$22222,总体数据一览!A25,搜索词报告!$M$2:$M$22222)=0,"",SUMIF(搜索词报告!$A$2:$A$22222,总体数据一览!A25,搜索词报告!$M$2:$M$22222))</f>
        <v/>
      </c>
      <c r="G25" t="str">
        <f>IFERROR(IF(B25="","",SUMIF(搜索词报告!$A$2:$A$22222,总体数据一览!A25,搜索词报告!$V$2:$V$22222))+IF(B25="","",SUMIF(搜索词报告!$A$2:$A$22222,总体数据一览!A25,搜索词报告!$W$2:$W$22222)),"")</f>
        <v/>
      </c>
      <c r="H25" s="2" t="str">
        <f t="shared" si="5"/>
        <v/>
      </c>
    </row>
    <row r="26" spans="1:8" x14ac:dyDescent="0.15">
      <c r="A26" s="1">
        <v>43794</v>
      </c>
      <c r="B26" t="str">
        <f>IF(SUMIF(搜索词报告!$A$2:$A$22222,总体数据一览!A26,搜索词报告!$I$2:$I$22222)=0,"",SUMIF(搜索词报告!$A$2:$A$22222,总体数据一览!A26,搜索词报告!$I$2:$I$22222))</f>
        <v/>
      </c>
      <c r="C26" t="str">
        <f>IF(SUMIF(搜索词报告!$A$2:$A$22222,总体数据一览!A26,搜索词报告!$J$2:$J$22222)=0,"",SUMIF(搜索词报告!$A$2:$A$22222,总体数据一览!A26,搜索词报告!$J$2:$J$22222))</f>
        <v/>
      </c>
      <c r="D26" s="2" t="str">
        <f t="shared" si="3"/>
        <v/>
      </c>
      <c r="E26" t="str">
        <f t="shared" si="4"/>
        <v/>
      </c>
      <c r="F26" t="str">
        <f>IF(SUMIF(搜索词报告!$A$2:$A$22222,总体数据一览!A26,搜索词报告!$M$2:$M$22222)=0,"",SUMIF(搜索词报告!$A$2:$A$22222,总体数据一览!A26,搜索词报告!$M$2:$M$22222))</f>
        <v/>
      </c>
      <c r="G26" t="str">
        <f>IFERROR(IF(B26="","",SUMIF(搜索词报告!$A$2:$A$22222,总体数据一览!A26,搜索词报告!$V$2:$V$22222))+IF(B26="","",SUMIF(搜索词报告!$A$2:$A$22222,总体数据一览!A26,搜索词报告!$W$2:$W$22222)),"")</f>
        <v/>
      </c>
      <c r="H26" s="2" t="str">
        <f t="shared" si="5"/>
        <v/>
      </c>
    </row>
    <row r="27" spans="1:8" x14ac:dyDescent="0.15">
      <c r="A27" s="1">
        <v>43795</v>
      </c>
      <c r="B27" t="str">
        <f>IF(SUMIF(搜索词报告!$A$2:$A$22222,总体数据一览!A27,搜索词报告!$I$2:$I$22222)=0,"",SUMIF(搜索词报告!$A$2:$A$22222,总体数据一览!A27,搜索词报告!$I$2:$I$22222))</f>
        <v/>
      </c>
      <c r="C27" t="str">
        <f>IF(SUMIF(搜索词报告!$A$2:$A$22222,总体数据一览!A27,搜索词报告!$J$2:$J$22222)=0,"",SUMIF(搜索词报告!$A$2:$A$22222,总体数据一览!A27,搜索词报告!$J$2:$J$22222))</f>
        <v/>
      </c>
      <c r="D27" s="2" t="str">
        <f t="shared" si="3"/>
        <v/>
      </c>
      <c r="E27" t="str">
        <f t="shared" si="4"/>
        <v/>
      </c>
      <c r="F27" t="str">
        <f>IF(SUMIF(搜索词报告!$A$2:$A$22222,总体数据一览!A27,搜索词报告!$M$2:$M$22222)=0,"",SUMIF(搜索词报告!$A$2:$A$22222,总体数据一览!A27,搜索词报告!$M$2:$M$22222))</f>
        <v/>
      </c>
      <c r="G27" t="str">
        <f>IFERROR(IF(B27="","",SUMIF(搜索词报告!$A$2:$A$22222,总体数据一览!A27,搜索词报告!$V$2:$V$22222))+IF(B27="","",SUMIF(搜索词报告!$A$2:$A$22222,总体数据一览!A27,搜索词报告!$W$2:$W$22222)),"")</f>
        <v/>
      </c>
      <c r="H27" s="2" t="str">
        <f t="shared" si="5"/>
        <v/>
      </c>
    </row>
    <row r="28" spans="1:8" x14ac:dyDescent="0.15">
      <c r="A28" s="1">
        <v>43796</v>
      </c>
      <c r="B28" t="str">
        <f>IF(SUMIF(搜索词报告!$A$2:$A$22222,总体数据一览!A28,搜索词报告!$I$2:$I$22222)=0,"",SUMIF(搜索词报告!$A$2:$A$22222,总体数据一览!A28,搜索词报告!$I$2:$I$22222))</f>
        <v/>
      </c>
      <c r="C28" t="str">
        <f>IF(SUMIF(搜索词报告!$A$2:$A$22222,总体数据一览!A28,搜索词报告!$J$2:$J$22222)=0,"",SUMIF(搜索词报告!$A$2:$A$22222,总体数据一览!A28,搜索词报告!$J$2:$J$22222))</f>
        <v/>
      </c>
      <c r="D28" s="2" t="str">
        <f t="shared" si="3"/>
        <v/>
      </c>
      <c r="E28" t="str">
        <f t="shared" si="4"/>
        <v/>
      </c>
      <c r="F28" t="str">
        <f>IF(SUMIF(搜索词报告!$A$2:$A$22222,总体数据一览!A28,搜索词报告!$M$2:$M$22222)=0,"",SUMIF(搜索词报告!$A$2:$A$22222,总体数据一览!A28,搜索词报告!$M$2:$M$22222))</f>
        <v/>
      </c>
      <c r="G28" t="str">
        <f>IFERROR(IF(B28="","",SUMIF(搜索词报告!$A$2:$A$22222,总体数据一览!A28,搜索词报告!$V$2:$V$22222))+IF(B28="","",SUMIF(搜索词报告!$A$2:$A$22222,总体数据一览!A28,搜索词报告!$W$2:$W$22222)),"")</f>
        <v/>
      </c>
      <c r="H28" s="2" t="str">
        <f t="shared" si="5"/>
        <v/>
      </c>
    </row>
    <row r="29" spans="1:8" x14ac:dyDescent="0.15">
      <c r="A29" s="1">
        <v>43797</v>
      </c>
      <c r="B29" t="str">
        <f>IF(SUMIF(搜索词报告!$A$2:$A$22222,总体数据一览!A29,搜索词报告!$I$2:$I$22222)=0,"",SUMIF(搜索词报告!$A$2:$A$22222,总体数据一览!A29,搜索词报告!$I$2:$I$22222))</f>
        <v/>
      </c>
      <c r="C29" t="str">
        <f>IF(SUMIF(搜索词报告!$A$2:$A$22222,总体数据一览!A29,搜索词报告!$J$2:$J$22222)=0,"",SUMIF(搜索词报告!$A$2:$A$22222,总体数据一览!A29,搜索词报告!$J$2:$J$22222))</f>
        <v/>
      </c>
      <c r="D29" s="2" t="str">
        <f t="shared" si="3"/>
        <v/>
      </c>
      <c r="E29" t="str">
        <f t="shared" si="4"/>
        <v/>
      </c>
      <c r="F29" t="str">
        <f>IF(SUMIF(搜索词报告!$A$2:$A$22222,总体数据一览!A29,搜索词报告!$M$2:$M$22222)=0,"",SUMIF(搜索词报告!$A$2:$A$22222,总体数据一览!A29,搜索词报告!$M$2:$M$22222))</f>
        <v/>
      </c>
      <c r="G29" t="str">
        <f>IFERROR(IF(B29="","",SUMIF(搜索词报告!$A$2:$A$22222,总体数据一览!A29,搜索词报告!$V$2:$V$22222))+IF(B29="","",SUMIF(搜索词报告!$A$2:$A$22222,总体数据一览!A29,搜索词报告!$W$2:$W$22222)),"")</f>
        <v/>
      </c>
      <c r="H29" s="2" t="str">
        <f t="shared" si="5"/>
        <v/>
      </c>
    </row>
    <row r="30" spans="1:8" x14ac:dyDescent="0.15">
      <c r="A30" s="1">
        <v>43798</v>
      </c>
      <c r="B30" t="str">
        <f>IF(SUMIF(搜索词报告!$A$2:$A$22222,总体数据一览!A30,搜索词报告!$I$2:$I$22222)=0,"",SUMIF(搜索词报告!$A$2:$A$22222,总体数据一览!A30,搜索词报告!$I$2:$I$22222))</f>
        <v/>
      </c>
      <c r="C30" t="str">
        <f>IF(SUMIF(搜索词报告!$A$2:$A$22222,总体数据一览!A30,搜索词报告!$J$2:$J$22222)=0,"",SUMIF(搜索词报告!$A$2:$A$22222,总体数据一览!A30,搜索词报告!$J$2:$J$22222))</f>
        <v/>
      </c>
      <c r="D30" s="2" t="str">
        <f t="shared" si="3"/>
        <v/>
      </c>
      <c r="E30" t="str">
        <f t="shared" si="4"/>
        <v/>
      </c>
      <c r="F30" t="str">
        <f>IF(SUMIF(搜索词报告!$A$2:$A$22222,总体数据一览!A30,搜索词报告!$M$2:$M$22222)=0,"",SUMIF(搜索词报告!$A$2:$A$22222,总体数据一览!A30,搜索词报告!$M$2:$M$22222))</f>
        <v/>
      </c>
      <c r="G30" t="str">
        <f>IFERROR(IF(B30="","",SUMIF(搜索词报告!$A$2:$A$22222,总体数据一览!A30,搜索词报告!$V$2:$V$22222))+IF(B30="","",SUMIF(搜索词报告!$A$2:$A$22222,总体数据一览!A30,搜索词报告!$W$2:$W$22222)),"")</f>
        <v/>
      </c>
      <c r="H30" s="2" t="str">
        <f t="shared" si="5"/>
        <v/>
      </c>
    </row>
    <row r="31" spans="1:8" x14ac:dyDescent="0.15">
      <c r="A31" s="1">
        <v>43799</v>
      </c>
      <c r="B31" t="str">
        <f>IF(SUMIF(搜索词报告!$A$2:$A$22222,总体数据一览!A31,搜索词报告!$I$2:$I$22222)=0,"",SUMIF(搜索词报告!$A$2:$A$22222,总体数据一览!A31,搜索词报告!$I$2:$I$22222))</f>
        <v/>
      </c>
      <c r="C31" t="str">
        <f>IF(SUMIF(搜索词报告!$A$2:$A$22222,总体数据一览!A31,搜索词报告!$J$2:$J$22222)=0,"",SUMIF(搜索词报告!$A$2:$A$22222,总体数据一览!A31,搜索词报告!$J$2:$J$22222))</f>
        <v/>
      </c>
      <c r="D31" s="2" t="str">
        <f t="shared" si="3"/>
        <v/>
      </c>
      <c r="E31" t="str">
        <f t="shared" si="4"/>
        <v/>
      </c>
      <c r="F31" t="str">
        <f>IF(SUMIF(搜索词报告!$A$2:$A$22222,总体数据一览!A31,搜索词报告!$M$2:$M$22222)=0,"",SUMIF(搜索词报告!$A$2:$A$22222,总体数据一览!A31,搜索词报告!$M$2:$M$22222))</f>
        <v/>
      </c>
      <c r="G31" t="str">
        <f>IFERROR(IF(B31="","",SUMIF(搜索词报告!$A$2:$A$22222,总体数据一览!A31,搜索词报告!$V$2:$V$22222))+IF(B31="","",SUMIF(搜索词报告!$A$2:$A$22222,总体数据一览!A31,搜索词报告!$W$2:$W$22222)),"")</f>
        <v/>
      </c>
      <c r="H31" s="2" t="str">
        <f t="shared" si="5"/>
        <v/>
      </c>
    </row>
    <row r="32" spans="1:8" x14ac:dyDescent="0.15">
      <c r="A32" s="1">
        <v>43800</v>
      </c>
      <c r="B32" t="str">
        <f>IF(SUMIF(搜索词报告!$A$2:$A$22222,总体数据一览!A32,搜索词报告!$I$2:$I$22222)=0,"",SUMIF(搜索词报告!$A$2:$A$22222,总体数据一览!A32,搜索词报告!$I$2:$I$22222))</f>
        <v/>
      </c>
      <c r="C32" t="str">
        <f>IF(SUMIF(搜索词报告!$A$2:$A$22222,总体数据一览!A32,搜索词报告!$J$2:$J$22222)=0,"",SUMIF(搜索词报告!$A$2:$A$22222,总体数据一览!A32,搜索词报告!$J$2:$J$22222))</f>
        <v/>
      </c>
      <c r="D32" s="2" t="str">
        <f t="shared" si="3"/>
        <v/>
      </c>
      <c r="E32" t="str">
        <f t="shared" si="4"/>
        <v/>
      </c>
      <c r="F32" t="str">
        <f>IF(SUMIF(搜索词报告!$A$2:$A$22222,总体数据一览!A32,搜索词报告!$M$2:$M$22222)=0,"",SUMIF(搜索词报告!$A$2:$A$22222,总体数据一览!A32,搜索词报告!$M$2:$M$22222))</f>
        <v/>
      </c>
      <c r="G32" t="str">
        <f>IFERROR(IF(B32="","",SUMIF(搜索词报告!$A$2:$A$22222,总体数据一览!A32,搜索词报告!$V$2:$V$22222))+IF(B32="","",SUMIF(搜索词报告!$A$2:$A$22222,总体数据一览!A32,搜索词报告!$W$2:$W$22222)),"")</f>
        <v/>
      </c>
      <c r="H32" s="2" t="str">
        <f t="shared" si="5"/>
        <v/>
      </c>
    </row>
    <row r="33" spans="1:8" x14ac:dyDescent="0.15">
      <c r="A33" s="1">
        <v>43801</v>
      </c>
      <c r="B33" t="str">
        <f>IF(SUMIF(搜索词报告!$A$2:$A$22222,总体数据一览!A33,搜索词报告!$I$2:$I$22222)=0,"",SUMIF(搜索词报告!$A$2:$A$22222,总体数据一览!A33,搜索词报告!$I$2:$I$22222))</f>
        <v/>
      </c>
      <c r="C33" t="str">
        <f>IF(SUMIF(搜索词报告!$A$2:$A$22222,总体数据一览!A33,搜索词报告!$J$2:$J$22222)=0,"",SUMIF(搜索词报告!$A$2:$A$22222,总体数据一览!A33,搜索词报告!$J$2:$J$22222))</f>
        <v/>
      </c>
      <c r="D33" s="2" t="str">
        <f t="shared" si="3"/>
        <v/>
      </c>
      <c r="E33" t="str">
        <f t="shared" si="4"/>
        <v/>
      </c>
      <c r="F33" t="str">
        <f>IF(SUMIF(搜索词报告!$A$2:$A$22222,总体数据一览!A33,搜索词报告!$M$2:$M$22222)=0,"",SUMIF(搜索词报告!$A$2:$A$22222,总体数据一览!A33,搜索词报告!$M$2:$M$22222))</f>
        <v/>
      </c>
      <c r="G33" t="str">
        <f>IFERROR(IF(B33="","",SUMIF(搜索词报告!$A$2:$A$22222,总体数据一览!A33,搜索词报告!$V$2:$V$22222))+IF(B33="","",SUMIF(搜索词报告!$A$2:$A$22222,总体数据一览!A33,搜索词报告!$W$2:$W$22222)),"")</f>
        <v/>
      </c>
      <c r="H33" s="2" t="str">
        <f t="shared" si="5"/>
        <v/>
      </c>
    </row>
    <row r="34" spans="1:8" x14ac:dyDescent="0.15">
      <c r="A34" s="1">
        <v>43802</v>
      </c>
      <c r="B34" t="str">
        <f>IF(SUMIF(搜索词报告!$A$2:$A$22222,总体数据一览!A34,搜索词报告!$I$2:$I$22222)=0,"",SUMIF(搜索词报告!$A$2:$A$22222,总体数据一览!A34,搜索词报告!$I$2:$I$22222))</f>
        <v/>
      </c>
      <c r="C34" t="str">
        <f>IF(SUMIF(搜索词报告!$A$2:$A$22222,总体数据一览!A34,搜索词报告!$J$2:$J$22222)=0,"",SUMIF(搜索词报告!$A$2:$A$22222,总体数据一览!A34,搜索词报告!$J$2:$J$22222))</f>
        <v/>
      </c>
      <c r="D34" s="2" t="str">
        <f t="shared" si="3"/>
        <v/>
      </c>
      <c r="E34" t="str">
        <f t="shared" si="4"/>
        <v/>
      </c>
      <c r="F34" t="str">
        <f>IF(SUMIF(搜索词报告!$A$2:$A$22222,总体数据一览!A34,搜索词报告!$M$2:$M$22222)=0,"",SUMIF(搜索词报告!$A$2:$A$22222,总体数据一览!A34,搜索词报告!$M$2:$M$22222))</f>
        <v/>
      </c>
      <c r="G34" t="str">
        <f>IFERROR(IF(B34="","",SUMIF(搜索词报告!$A$2:$A$22222,总体数据一览!A34,搜索词报告!$V$2:$V$22222))+IF(B34="","",SUMIF(搜索词报告!$A$2:$A$22222,总体数据一览!A34,搜索词报告!$W$2:$W$22222)),"")</f>
        <v/>
      </c>
      <c r="H34" s="2" t="str">
        <f t="shared" si="5"/>
        <v/>
      </c>
    </row>
    <row r="35" spans="1:8" x14ac:dyDescent="0.15">
      <c r="B35" t="str">
        <f>IF(SUMIF(搜索词报告!$A$2:$A$22222,总体数据一览!A35,搜索词报告!$I$2:$I$22222)=0,"",SUMIF(搜索词报告!$A$2:$A$22222,总体数据一览!A35,搜索词报告!$I$2:$I$22222))</f>
        <v/>
      </c>
      <c r="C35" t="str">
        <f>IF(SUMIF(搜索词报告!$A$2:$A$22222,总体数据一览!A35,搜索词报告!$J$2:$J$22222)=0,"",SUMIF(搜索词报告!$A$2:$A$22222,总体数据一览!A35,搜索词报告!$J$2:$J$22222))</f>
        <v/>
      </c>
      <c r="D35" s="2" t="str">
        <f t="shared" si="3"/>
        <v/>
      </c>
      <c r="E35" t="str">
        <f t="shared" si="4"/>
        <v/>
      </c>
      <c r="F35" t="str">
        <f>IF(SUMIF(搜索词报告!$A$2:$A$22222,总体数据一览!A35,搜索词报告!$M$2:$M$22222)=0,"",SUMIF(搜索词报告!$A$2:$A$22222,总体数据一览!A35,搜索词报告!$M$2:$M$22222))</f>
        <v/>
      </c>
      <c r="G35" t="str">
        <f>IFERROR(IF(B35="","",SUMIF(搜索词报告!$A$2:$A$22222,总体数据一览!A35,搜索词报告!$V$2:$V$22222))+IF(B35="","",SUMIF(搜索词报告!$A$2:$A$22222,总体数据一览!A35,搜索词报告!$W$2:$W$22222)),"")</f>
        <v/>
      </c>
      <c r="H35" s="2" t="str">
        <f t="shared" si="5"/>
        <v/>
      </c>
    </row>
    <row r="36" spans="1:8" x14ac:dyDescent="0.15">
      <c r="B36" t="str">
        <f>IF(SUMIF(搜索词报告!$A$2:$A$22222,总体数据一览!A36,搜索词报告!$I$2:$I$22222)=0,"",SUMIF(搜索词报告!$A$2:$A$22222,总体数据一览!A36,搜索词报告!$I$2:$I$22222))</f>
        <v/>
      </c>
      <c r="C36" t="str">
        <f>IF(SUMIF(搜索词报告!$A$2:$A$22222,总体数据一览!A36,搜索词报告!$J$2:$J$22222)=0,"",SUMIF(搜索词报告!$A$2:$A$22222,总体数据一览!A36,搜索词报告!$J$2:$J$22222))</f>
        <v/>
      </c>
      <c r="D36" s="2" t="str">
        <f t="shared" si="3"/>
        <v/>
      </c>
      <c r="E36" t="str">
        <f t="shared" si="4"/>
        <v/>
      </c>
      <c r="F36" t="str">
        <f>IF(SUMIF(搜索词报告!$A$2:$A$22222,总体数据一览!A36,搜索词报告!$M$2:$M$22222)=0,"",SUMIF(搜索词报告!$A$2:$A$22222,总体数据一览!A36,搜索词报告!$M$2:$M$22222))</f>
        <v/>
      </c>
      <c r="G36" t="str">
        <f>IFERROR(IF(B36="","",SUMIF(搜索词报告!$A$2:$A$22222,总体数据一览!A36,搜索词报告!$V$2:$V$22222))+IF(B36="","",SUMIF(搜索词报告!$A$2:$A$22222,总体数据一览!A36,搜索词报告!$W$2:$W$22222)),"")</f>
        <v/>
      </c>
      <c r="H36" s="2" t="str">
        <f t="shared" si="5"/>
        <v/>
      </c>
    </row>
    <row r="37" spans="1:8" x14ac:dyDescent="0.15">
      <c r="B37" t="str">
        <f>IF(SUMIF(搜索词报告!$A$2:$A$22222,总体数据一览!A37,搜索词报告!$I$2:$I$22222)=0,"",SUMIF(搜索词报告!$A$2:$A$22222,总体数据一览!A37,搜索词报告!$I$2:$I$22222))</f>
        <v/>
      </c>
      <c r="C37" t="str">
        <f>IF(SUMIF(搜索词报告!$A$2:$A$22222,总体数据一览!A37,搜索词报告!$J$2:$J$22222)=0,"",SUMIF(搜索词报告!$A$2:$A$22222,总体数据一览!A37,搜索词报告!$J$2:$J$22222))</f>
        <v/>
      </c>
      <c r="D37" s="2" t="str">
        <f t="shared" si="3"/>
        <v/>
      </c>
      <c r="E37" t="str">
        <f t="shared" si="4"/>
        <v/>
      </c>
      <c r="F37" t="str">
        <f>IF(SUMIF(搜索词报告!$A$2:$A$22222,总体数据一览!A37,搜索词报告!$M$2:$M$22222)=0,"",SUMIF(搜索词报告!$A$2:$A$22222,总体数据一览!A37,搜索词报告!$M$2:$M$22222))</f>
        <v/>
      </c>
      <c r="G37" t="str">
        <f>IFERROR(IF(B37="","",SUMIF(搜索词报告!$A$2:$A$22222,总体数据一览!A37,搜索词报告!$V$2:$V$22222))+IF(B37="","",SUMIF(搜索词报告!$A$2:$A$22222,总体数据一览!A37,搜索词报告!$W$2:$W$22222)),"")</f>
        <v/>
      </c>
      <c r="H37" s="2" t="str">
        <f t="shared" si="5"/>
        <v/>
      </c>
    </row>
    <row r="38" spans="1:8" x14ac:dyDescent="0.15">
      <c r="B38" t="str">
        <f>IF(SUMIF(搜索词报告!$A$2:$A$22222,总体数据一览!A38,搜索词报告!$I$2:$I$22222)=0,"",SUMIF(搜索词报告!$A$2:$A$22222,总体数据一览!A38,搜索词报告!$I$2:$I$22222))</f>
        <v/>
      </c>
      <c r="C38" t="str">
        <f>IF(SUMIF(搜索词报告!$A$2:$A$22222,总体数据一览!A38,搜索词报告!$J$2:$J$22222)=0,"",SUMIF(搜索词报告!$A$2:$A$22222,总体数据一览!A38,搜索词报告!$J$2:$J$22222))</f>
        <v/>
      </c>
      <c r="D38" s="2" t="str">
        <f t="shared" si="3"/>
        <v/>
      </c>
      <c r="E38" t="str">
        <f t="shared" si="4"/>
        <v/>
      </c>
      <c r="F38" t="str">
        <f>IF(SUMIF(搜索词报告!$A$2:$A$22222,总体数据一览!A38,搜索词报告!$M$2:$M$22222)=0,"",SUMIF(搜索词报告!$A$2:$A$22222,总体数据一览!A38,搜索词报告!$M$2:$M$22222))</f>
        <v/>
      </c>
      <c r="G38" t="str">
        <f>IFERROR(IF(B38="","",SUMIF(搜索词报告!$A$2:$A$22222,总体数据一览!A38,搜索词报告!$V$2:$V$22222))+IF(B38="","",SUMIF(搜索词报告!$A$2:$A$22222,总体数据一览!A38,搜索词报告!$W$2:$W$22222)),"")</f>
        <v/>
      </c>
      <c r="H38" s="2" t="str">
        <f t="shared" si="5"/>
        <v/>
      </c>
    </row>
    <row r="39" spans="1:8" x14ac:dyDescent="0.15">
      <c r="B39" t="str">
        <f>IF(SUMIF(搜索词报告!$A$2:$A$22222,总体数据一览!A39,搜索词报告!$I$2:$I$22222)=0,"",SUMIF(搜索词报告!$A$2:$A$22222,总体数据一览!A39,搜索词报告!$I$2:$I$22222))</f>
        <v/>
      </c>
      <c r="C39" t="str">
        <f>IF(SUMIF(搜索词报告!$A$2:$A$22222,总体数据一览!A39,搜索词报告!$J$2:$J$22222)=0,"",SUMIF(搜索词报告!$A$2:$A$22222,总体数据一览!A39,搜索词报告!$J$2:$J$22222))</f>
        <v/>
      </c>
      <c r="D39" s="2" t="str">
        <f t="shared" si="3"/>
        <v/>
      </c>
      <c r="E39" t="str">
        <f t="shared" si="4"/>
        <v/>
      </c>
      <c r="F39" t="str">
        <f>IF(SUMIF(搜索词报告!$A$2:$A$22222,总体数据一览!A39,搜索词报告!$M$2:$M$22222)=0,"",SUMIF(搜索词报告!$A$2:$A$22222,总体数据一览!A39,搜索词报告!$M$2:$M$22222))</f>
        <v/>
      </c>
      <c r="G39" t="str">
        <f>IFERROR(IF(B39="","",SUMIF(搜索词报告!$A$2:$A$22222,总体数据一览!A39,搜索词报告!$V$2:$V$22222))+IF(B39="","",SUMIF(搜索词报告!$A$2:$A$22222,总体数据一览!A39,搜索词报告!$W$2:$W$22222)),"")</f>
        <v/>
      </c>
      <c r="H39" s="2" t="str">
        <f t="shared" si="5"/>
        <v/>
      </c>
    </row>
    <row r="40" spans="1:8" x14ac:dyDescent="0.15">
      <c r="B40" t="str">
        <f>IF(SUMIF(搜索词报告!$A$2:$A$22222,总体数据一览!A40,搜索词报告!$I$2:$I$22222)=0,"",SUMIF(搜索词报告!$A$2:$A$22222,总体数据一览!A40,搜索词报告!$I$2:$I$22222))</f>
        <v/>
      </c>
      <c r="C40" t="str">
        <f>IF(SUMIF(搜索词报告!$A$2:$A$22222,总体数据一览!A40,搜索词报告!$J$2:$J$22222)=0,"",SUMIF(搜索词报告!$A$2:$A$22222,总体数据一览!A40,搜索词报告!$J$2:$J$22222))</f>
        <v/>
      </c>
      <c r="D40" s="2" t="str">
        <f t="shared" si="3"/>
        <v/>
      </c>
      <c r="E40" t="str">
        <f t="shared" si="4"/>
        <v/>
      </c>
      <c r="F40" t="str">
        <f>IF(SUMIF(搜索词报告!$A$2:$A$22222,总体数据一览!A40,搜索词报告!$M$2:$M$22222)=0,"",SUMIF(搜索词报告!$A$2:$A$22222,总体数据一览!A40,搜索词报告!$M$2:$M$22222))</f>
        <v/>
      </c>
      <c r="G40" t="str">
        <f>IFERROR(IF(B40="","",SUMIF(搜索词报告!$A$2:$A$22222,总体数据一览!A40,搜索词报告!$V$2:$V$22222))+IF(B40="","",SUMIF(搜索词报告!$A$2:$A$22222,总体数据一览!A40,搜索词报告!$W$2:$W$22222)),"")</f>
        <v/>
      </c>
      <c r="H40" s="2" t="str">
        <f t="shared" si="5"/>
        <v/>
      </c>
    </row>
    <row r="41" spans="1:8" x14ac:dyDescent="0.15">
      <c r="B41" t="str">
        <f>IF(SUMIF(搜索词报告!$A$2:$A$22222,总体数据一览!A41,搜索词报告!$I$2:$I$22222)=0,"",SUMIF(搜索词报告!$A$2:$A$22222,总体数据一览!A41,搜索词报告!$I$2:$I$22222))</f>
        <v/>
      </c>
      <c r="C41" t="str">
        <f>IF(SUMIF(搜索词报告!$A$2:$A$22222,总体数据一览!A41,搜索词报告!$J$2:$J$22222)=0,"",SUMIF(搜索词报告!$A$2:$A$22222,总体数据一览!A41,搜索词报告!$J$2:$J$22222))</f>
        <v/>
      </c>
      <c r="D41" s="2" t="str">
        <f t="shared" si="3"/>
        <v/>
      </c>
      <c r="E41" t="str">
        <f t="shared" si="4"/>
        <v/>
      </c>
      <c r="F41" t="str">
        <f>IF(SUMIF(搜索词报告!$A$2:$A$22222,总体数据一览!A41,搜索词报告!$M$2:$M$22222)=0,"",SUMIF(搜索词报告!$A$2:$A$22222,总体数据一览!A41,搜索词报告!$M$2:$M$22222))</f>
        <v/>
      </c>
      <c r="G41" t="str">
        <f>IFERROR(IF(B41="","",SUMIF(搜索词报告!$A$2:$A$22222,总体数据一览!A41,搜索词报告!$V$2:$V$22222))+IF(B41="","",SUMIF(搜索词报告!$A$2:$A$22222,总体数据一览!A41,搜索词报告!$W$2:$W$22222)),"")</f>
        <v/>
      </c>
      <c r="H41" s="2" t="str">
        <f t="shared" si="5"/>
        <v/>
      </c>
    </row>
    <row r="42" spans="1:8" x14ac:dyDescent="0.15">
      <c r="B42" t="str">
        <f>IF(SUMIF(搜索词报告!$A$2:$A$22222,总体数据一览!A42,搜索词报告!$I$2:$I$22222)=0,"",SUMIF(搜索词报告!$A$2:$A$22222,总体数据一览!A42,搜索词报告!$I$2:$I$22222))</f>
        <v/>
      </c>
      <c r="C42" t="str">
        <f>IF(SUMIF(搜索词报告!$A$2:$A$22222,总体数据一览!A42,搜索词报告!$J$2:$J$22222)=0,"",SUMIF(搜索词报告!$A$2:$A$22222,总体数据一览!A42,搜索词报告!$J$2:$J$22222))</f>
        <v/>
      </c>
      <c r="D42" s="2" t="str">
        <f t="shared" si="3"/>
        <v/>
      </c>
      <c r="E42" t="str">
        <f t="shared" si="4"/>
        <v/>
      </c>
      <c r="F42" t="str">
        <f>IF(SUMIF(搜索词报告!$A$2:$A$22222,总体数据一览!A42,搜索词报告!$M$2:$M$22222)=0,"",SUMIF(搜索词报告!$A$2:$A$22222,总体数据一览!A42,搜索词报告!$M$2:$M$22222))</f>
        <v/>
      </c>
      <c r="G42" t="str">
        <f>IFERROR(IF(B42="","",SUMIF(搜索词报告!$A$2:$A$22222,总体数据一览!A42,搜索词报告!$V$2:$V$22222))+IF(B42="","",SUMIF(搜索词报告!$A$2:$A$22222,总体数据一览!A42,搜索词报告!$W$2:$W$22222)),"")</f>
        <v/>
      </c>
      <c r="H42" s="2" t="str">
        <f t="shared" si="5"/>
        <v/>
      </c>
    </row>
    <row r="43" spans="1:8" x14ac:dyDescent="0.15">
      <c r="B43" t="str">
        <f>IF(SUMIF(搜索词报告!$A$2:$A$22222,总体数据一览!A43,搜索词报告!$I$2:$I$22222)=0,"",SUMIF(搜索词报告!$A$2:$A$22222,总体数据一览!A43,搜索词报告!$I$2:$I$22222))</f>
        <v/>
      </c>
      <c r="C43" t="str">
        <f>IF(SUMIF(搜索词报告!$A$2:$A$22222,总体数据一览!A43,搜索词报告!$J$2:$J$22222)=0,"",SUMIF(搜索词报告!$A$2:$A$22222,总体数据一览!A43,搜索词报告!$J$2:$J$22222))</f>
        <v/>
      </c>
      <c r="D43" s="2" t="str">
        <f t="shared" si="3"/>
        <v/>
      </c>
      <c r="E43" t="str">
        <f t="shared" si="4"/>
        <v/>
      </c>
      <c r="F43" t="str">
        <f>IF(SUMIF(搜索词报告!$A$2:$A$22222,总体数据一览!A43,搜索词报告!$M$2:$M$22222)=0,"",SUMIF(搜索词报告!$A$2:$A$22222,总体数据一览!A43,搜索词报告!$M$2:$M$22222))</f>
        <v/>
      </c>
      <c r="G43" t="str">
        <f>IFERROR(IF(B43="","",SUMIF(搜索词报告!$A$2:$A$22222,总体数据一览!A43,搜索词报告!$V$2:$V$22222))+IF(B43="","",SUMIF(搜索词报告!$A$2:$A$22222,总体数据一览!A43,搜索词报告!$W$2:$W$22222)),"")</f>
        <v/>
      </c>
      <c r="H43" s="2" t="str">
        <f t="shared" si="5"/>
        <v/>
      </c>
    </row>
    <row r="44" spans="1:8" x14ac:dyDescent="0.15">
      <c r="B44" t="str">
        <f>IF(SUMIF(搜索词报告!$A$2:$A$22222,总体数据一览!A44,搜索词报告!$I$2:$I$22222)=0,"",SUMIF(搜索词报告!$A$2:$A$22222,总体数据一览!A44,搜索词报告!$I$2:$I$22222))</f>
        <v/>
      </c>
      <c r="C44" t="str">
        <f>IF(SUMIF(搜索词报告!$A$2:$A$22222,总体数据一览!A44,搜索词报告!$J$2:$J$22222)=0,"",SUMIF(搜索词报告!$A$2:$A$22222,总体数据一览!A44,搜索词报告!$J$2:$J$22222))</f>
        <v/>
      </c>
      <c r="D44" s="2" t="str">
        <f t="shared" si="3"/>
        <v/>
      </c>
      <c r="E44" t="str">
        <f t="shared" si="4"/>
        <v/>
      </c>
      <c r="F44" t="str">
        <f>IF(SUMIF(搜索词报告!$A$2:$A$22222,总体数据一览!A44,搜索词报告!$M$2:$M$22222)=0,"",SUMIF(搜索词报告!$A$2:$A$22222,总体数据一览!A44,搜索词报告!$M$2:$M$22222))</f>
        <v/>
      </c>
      <c r="G44" t="str">
        <f>IFERROR(IF(B44="","",SUMIF(搜索词报告!$A$2:$A$22222,总体数据一览!A44,搜索词报告!$V$2:$V$22222))+IF(B44="","",SUMIF(搜索词报告!$A$2:$A$22222,总体数据一览!A44,搜索词报告!$W$2:$W$22222)),"")</f>
        <v/>
      </c>
      <c r="H44" s="2" t="str">
        <f t="shared" si="5"/>
        <v/>
      </c>
    </row>
    <row r="45" spans="1:8" x14ac:dyDescent="0.15">
      <c r="B45" t="str">
        <f>IF(SUMIF(搜索词报告!$A$2:$A$22222,总体数据一览!A45,搜索词报告!$I$2:$I$22222)=0,"",SUMIF(搜索词报告!$A$2:$A$22222,总体数据一览!A45,搜索词报告!$I$2:$I$22222))</f>
        <v/>
      </c>
      <c r="C45" t="str">
        <f>IF(SUMIF(搜索词报告!$A$2:$A$22222,总体数据一览!A45,搜索词报告!$J$2:$J$22222)=0,"",SUMIF(搜索词报告!$A$2:$A$22222,总体数据一览!A45,搜索词报告!$J$2:$J$22222))</f>
        <v/>
      </c>
      <c r="D45" s="2" t="str">
        <f t="shared" si="3"/>
        <v/>
      </c>
      <c r="E45" t="str">
        <f t="shared" si="4"/>
        <v/>
      </c>
      <c r="F45" t="str">
        <f>IF(SUMIF(搜索词报告!$A$2:$A$22222,总体数据一览!A45,搜索词报告!$M$2:$M$22222)=0,"",SUMIF(搜索词报告!$A$2:$A$22222,总体数据一览!A45,搜索词报告!$M$2:$M$22222))</f>
        <v/>
      </c>
      <c r="G45" t="str">
        <f>IFERROR(IF(B45="","",SUMIF(搜索词报告!$A$2:$A$22222,总体数据一览!A45,搜索词报告!$V$2:$V$22222))+IF(B45="","",SUMIF(搜索词报告!$A$2:$A$22222,总体数据一览!A45,搜索词报告!$W$2:$W$22222)),"")</f>
        <v/>
      </c>
      <c r="H45" s="2" t="str">
        <f t="shared" si="5"/>
        <v/>
      </c>
    </row>
    <row r="46" spans="1:8" x14ac:dyDescent="0.15">
      <c r="B46" t="str">
        <f>IF(SUMIF(搜索词报告!$A$2:$A$22222,总体数据一览!A46,搜索词报告!$I$2:$I$22222)=0,"",SUMIF(搜索词报告!$A$2:$A$22222,总体数据一览!A46,搜索词报告!$I$2:$I$22222))</f>
        <v/>
      </c>
      <c r="C46" t="str">
        <f>IF(SUMIF(搜索词报告!$A$2:$A$22222,总体数据一览!A46,搜索词报告!$J$2:$J$22222)=0,"",SUMIF(搜索词报告!$A$2:$A$22222,总体数据一览!A46,搜索词报告!$J$2:$J$22222))</f>
        <v/>
      </c>
      <c r="D46" s="2" t="str">
        <f t="shared" si="3"/>
        <v/>
      </c>
      <c r="E46" t="str">
        <f t="shared" si="4"/>
        <v/>
      </c>
      <c r="F46" t="str">
        <f>IF(SUMIF(搜索词报告!$A$2:$A$22222,总体数据一览!A46,搜索词报告!$M$2:$M$22222)=0,"",SUMIF(搜索词报告!$A$2:$A$22222,总体数据一览!A46,搜索词报告!$M$2:$M$22222))</f>
        <v/>
      </c>
      <c r="G46" t="str">
        <f>IFERROR(IF(B46="","",SUMIF(搜索词报告!$A$2:$A$22222,总体数据一览!A46,搜索词报告!$V$2:$V$22222))+IF(B46="","",SUMIF(搜索词报告!$A$2:$A$22222,总体数据一览!A46,搜索词报告!$W$2:$W$22222)),"")</f>
        <v/>
      </c>
      <c r="H46" s="2" t="str">
        <f t="shared" si="5"/>
        <v/>
      </c>
    </row>
    <row r="47" spans="1:8" x14ac:dyDescent="0.15">
      <c r="B47" t="str">
        <f>IF(SUMIF(搜索词报告!$A$2:$A$22222,总体数据一览!A47,搜索词报告!$I$2:$I$22222)=0,"",SUMIF(搜索词报告!$A$2:$A$22222,总体数据一览!A47,搜索词报告!$I$2:$I$22222))</f>
        <v/>
      </c>
      <c r="C47" t="str">
        <f>IF(SUMIF(搜索词报告!$A$2:$A$22222,总体数据一览!A47,搜索词报告!$J$2:$J$22222)=0,"",SUMIF(搜索词报告!$A$2:$A$22222,总体数据一览!A47,搜索词报告!$J$2:$J$22222))</f>
        <v/>
      </c>
      <c r="D47" s="2" t="str">
        <f t="shared" si="3"/>
        <v/>
      </c>
      <c r="E47" t="str">
        <f t="shared" si="4"/>
        <v/>
      </c>
      <c r="F47" t="str">
        <f>IF(SUMIF(搜索词报告!$A$2:$A$22222,总体数据一览!A47,搜索词报告!$M$2:$M$22222)=0,"",SUMIF(搜索词报告!$A$2:$A$22222,总体数据一览!A47,搜索词报告!$M$2:$M$22222))</f>
        <v/>
      </c>
      <c r="G47" t="str">
        <f>IFERROR(IF(B47="","",SUMIF(搜索词报告!$A$2:$A$22222,总体数据一览!A47,搜索词报告!$V$2:$V$22222))+IF(B47="","",SUMIF(搜索词报告!$A$2:$A$22222,总体数据一览!A47,搜索词报告!$W$2:$W$22222)),"")</f>
        <v/>
      </c>
      <c r="H47" s="2" t="str">
        <f t="shared" si="5"/>
        <v/>
      </c>
    </row>
    <row r="48" spans="1:8" x14ac:dyDescent="0.15">
      <c r="B48" t="str">
        <f>IF(SUMIF(搜索词报告!$A$2:$A$22222,总体数据一览!A48,搜索词报告!$I$2:$I$22222)=0,"",SUMIF(搜索词报告!$A$2:$A$22222,总体数据一览!A48,搜索词报告!$I$2:$I$22222))</f>
        <v/>
      </c>
      <c r="C48" t="str">
        <f>IF(SUMIF(搜索词报告!$A$2:$A$22222,总体数据一览!A48,搜索词报告!$J$2:$J$22222)=0,"",SUMIF(搜索词报告!$A$2:$A$22222,总体数据一览!A48,搜索词报告!$J$2:$J$22222))</f>
        <v/>
      </c>
      <c r="D48" s="2" t="str">
        <f t="shared" si="3"/>
        <v/>
      </c>
      <c r="E48" t="str">
        <f t="shared" si="4"/>
        <v/>
      </c>
      <c r="F48" t="str">
        <f>IF(SUMIF(搜索词报告!$A$2:$A$22222,总体数据一览!A48,搜索词报告!$M$2:$M$22222)=0,"",SUMIF(搜索词报告!$A$2:$A$22222,总体数据一览!A48,搜索词报告!$M$2:$M$22222))</f>
        <v/>
      </c>
      <c r="G48" t="str">
        <f>IFERROR(IF(B48="","",SUMIF(搜索词报告!$A$2:$A$22222,总体数据一览!A48,搜索词报告!$V$2:$V$22222))+IF(B48="","",SUMIF(搜索词报告!$A$2:$A$22222,总体数据一览!A48,搜索词报告!$W$2:$W$22222)),"")</f>
        <v/>
      </c>
      <c r="H48" s="2" t="str">
        <f t="shared" si="5"/>
        <v/>
      </c>
    </row>
    <row r="49" spans="2:8" x14ac:dyDescent="0.15">
      <c r="B49" t="str">
        <f>IF(SUMIF(搜索词报告!$A$2:$A$22222,总体数据一览!A49,搜索词报告!$I$2:$I$22222)=0,"",SUMIF(搜索词报告!$A$2:$A$22222,总体数据一览!A49,搜索词报告!$I$2:$I$22222))</f>
        <v/>
      </c>
      <c r="C49" t="str">
        <f>IF(SUMIF(搜索词报告!$A$2:$A$22222,总体数据一览!A49,搜索词报告!$J$2:$J$22222)=0,"",SUMIF(搜索词报告!$A$2:$A$22222,总体数据一览!A49,搜索词报告!$J$2:$J$22222))</f>
        <v/>
      </c>
      <c r="D49" s="2" t="str">
        <f t="shared" si="3"/>
        <v/>
      </c>
      <c r="E49" t="str">
        <f t="shared" si="4"/>
        <v/>
      </c>
      <c r="F49" t="str">
        <f>IF(SUMIF(搜索词报告!$A$2:$A$22222,总体数据一览!A49,搜索词报告!$M$2:$M$22222)=0,"",SUMIF(搜索词报告!$A$2:$A$22222,总体数据一览!A49,搜索词报告!$M$2:$M$22222))</f>
        <v/>
      </c>
      <c r="G49" t="str">
        <f>IFERROR(IF(B49="","",SUMIF(搜索词报告!$A$2:$A$22222,总体数据一览!A49,搜索词报告!$V$2:$V$22222))+IF(B49="","",SUMIF(搜索词报告!$A$2:$A$22222,总体数据一览!A49,搜索词报告!$W$2:$W$22222)),"")</f>
        <v/>
      </c>
      <c r="H49" s="2" t="str">
        <f t="shared" si="5"/>
        <v/>
      </c>
    </row>
    <row r="50" spans="2:8" x14ac:dyDescent="0.15">
      <c r="B50" t="str">
        <f>IF(SUMIF(搜索词报告!$A$2:$A$22222,总体数据一览!A50,搜索词报告!$I$2:$I$22222)=0,"",SUMIF(搜索词报告!$A$2:$A$22222,总体数据一览!A50,搜索词报告!$I$2:$I$22222))</f>
        <v/>
      </c>
      <c r="C50" t="str">
        <f>IF(SUMIF(搜索词报告!$A$2:$A$22222,总体数据一览!A50,搜索词报告!$J$2:$J$22222)=0,"",SUMIF(搜索词报告!$A$2:$A$22222,总体数据一览!A50,搜索词报告!$J$2:$J$22222))</f>
        <v/>
      </c>
      <c r="D50" s="2" t="str">
        <f t="shared" si="3"/>
        <v/>
      </c>
      <c r="E50" t="str">
        <f t="shared" si="4"/>
        <v/>
      </c>
      <c r="F50" t="str">
        <f>IF(SUMIF(搜索词报告!$A$2:$A$22222,总体数据一览!A50,搜索词报告!$M$2:$M$22222)=0,"",SUMIF(搜索词报告!$A$2:$A$22222,总体数据一览!A50,搜索词报告!$M$2:$M$22222))</f>
        <v/>
      </c>
      <c r="G50" t="str">
        <f>IFERROR(IF(B50="","",SUMIF(搜索词报告!$A$2:$A$22222,总体数据一览!A50,搜索词报告!$V$2:$V$22222))+IF(B50="","",SUMIF(搜索词报告!$A$2:$A$22222,总体数据一览!A50,搜索词报告!$W$2:$W$22222)),"")</f>
        <v/>
      </c>
      <c r="H50" s="2" t="str">
        <f t="shared" si="5"/>
        <v/>
      </c>
    </row>
    <row r="51" spans="2:8" x14ac:dyDescent="0.15">
      <c r="B51" t="str">
        <f>IF(SUMIF(搜索词报告!$A$2:$A$22222,总体数据一览!A51,搜索词报告!$I$2:$I$22222)=0,"",SUMIF(搜索词报告!$A$2:$A$22222,总体数据一览!A51,搜索词报告!$I$2:$I$22222))</f>
        <v/>
      </c>
      <c r="C51" t="str">
        <f>IF(SUMIF(搜索词报告!$A$2:$A$22222,总体数据一览!A51,搜索词报告!$J$2:$J$22222)=0,"",SUMIF(搜索词报告!$A$2:$A$22222,总体数据一览!A51,搜索词报告!$J$2:$J$22222))</f>
        <v/>
      </c>
      <c r="D51" s="2" t="str">
        <f t="shared" si="3"/>
        <v/>
      </c>
      <c r="E51" t="str">
        <f t="shared" si="4"/>
        <v/>
      </c>
      <c r="F51" t="str">
        <f>IF(SUMIF(搜索词报告!$A$2:$A$22222,总体数据一览!A51,搜索词报告!$M$2:$M$22222)=0,"",SUMIF(搜索词报告!$A$2:$A$22222,总体数据一览!A51,搜索词报告!$M$2:$M$22222))</f>
        <v/>
      </c>
      <c r="G51" t="str">
        <f>IFERROR(IF(B51="","",SUMIF(搜索词报告!$A$2:$A$22222,总体数据一览!A51,搜索词报告!$V$2:$V$22222))+IF(B51="","",SUMIF(搜索词报告!$A$2:$A$22222,总体数据一览!A51,搜索词报告!$W$2:$W$22222)),"")</f>
        <v/>
      </c>
      <c r="H51" s="2" t="str">
        <f t="shared" si="5"/>
        <v/>
      </c>
    </row>
    <row r="52" spans="2:8" x14ac:dyDescent="0.15">
      <c r="B52" t="str">
        <f>IF(SUMIF(搜索词报告!$A$2:$A$22222,总体数据一览!A52,搜索词报告!$I$2:$I$22222)=0,"",SUMIF(搜索词报告!$A$2:$A$22222,总体数据一览!A52,搜索词报告!$I$2:$I$22222))</f>
        <v/>
      </c>
      <c r="C52" t="str">
        <f>IF(SUMIF(搜索词报告!$A$2:$A$22222,总体数据一览!A52,搜索词报告!$J$2:$J$22222)=0,"",SUMIF(搜索词报告!$A$2:$A$22222,总体数据一览!A52,搜索词报告!$J$2:$J$22222))</f>
        <v/>
      </c>
      <c r="D52" s="2" t="str">
        <f t="shared" si="3"/>
        <v/>
      </c>
      <c r="E52" t="str">
        <f t="shared" si="4"/>
        <v/>
      </c>
      <c r="F52" t="str">
        <f>IF(SUMIF(搜索词报告!$A$2:$A$22222,总体数据一览!A52,搜索词报告!$M$2:$M$22222)=0,"",SUMIF(搜索词报告!$A$2:$A$22222,总体数据一览!A52,搜索词报告!$M$2:$M$22222))</f>
        <v/>
      </c>
      <c r="G52" t="str">
        <f>IFERROR(IF(B52="","",SUMIF(搜索词报告!$A$2:$A$22222,总体数据一览!A52,搜索词报告!$V$2:$V$22222))+IF(B52="","",SUMIF(搜索词报告!$A$2:$A$22222,总体数据一览!A52,搜索词报告!$W$2:$W$22222)),"")</f>
        <v/>
      </c>
      <c r="H52" s="2" t="str">
        <f t="shared" si="5"/>
        <v/>
      </c>
    </row>
    <row r="53" spans="2:8" x14ac:dyDescent="0.15">
      <c r="B53" t="str">
        <f>IF(SUMIF(搜索词报告!$A$2:$A$22222,总体数据一览!A53,搜索词报告!$I$2:$I$22222)=0,"",SUMIF(搜索词报告!$A$2:$A$22222,总体数据一览!A53,搜索词报告!$I$2:$I$22222))</f>
        <v/>
      </c>
      <c r="C53" t="str">
        <f>IF(SUMIF(搜索词报告!$A$2:$A$22222,总体数据一览!A53,搜索词报告!$J$2:$J$22222)=0,"",SUMIF(搜索词报告!$A$2:$A$22222,总体数据一览!A53,搜索词报告!$J$2:$J$22222))</f>
        <v/>
      </c>
      <c r="D53" s="2" t="str">
        <f t="shared" si="3"/>
        <v/>
      </c>
      <c r="E53" t="str">
        <f t="shared" si="4"/>
        <v/>
      </c>
      <c r="F53" t="str">
        <f>IF(SUMIF(搜索词报告!$A$2:$A$22222,总体数据一览!A53,搜索词报告!$M$2:$M$22222)=0,"",SUMIF(搜索词报告!$A$2:$A$22222,总体数据一览!A53,搜索词报告!$M$2:$M$22222))</f>
        <v/>
      </c>
      <c r="G53" t="str">
        <f>IFERROR(IF(B53="","",SUMIF(搜索词报告!$A$2:$A$22222,总体数据一览!A53,搜索词报告!$V$2:$V$22222))+IF(B53="","",SUMIF(搜索词报告!$A$2:$A$22222,总体数据一览!A53,搜索词报告!$W$2:$W$22222)),"")</f>
        <v/>
      </c>
      <c r="H53" s="2" t="str">
        <f t="shared" si="5"/>
        <v/>
      </c>
    </row>
    <row r="54" spans="2:8" x14ac:dyDescent="0.15">
      <c r="B54" t="str">
        <f>IF(SUMIF(搜索词报告!$A$2:$A$22222,总体数据一览!A54,搜索词报告!$I$2:$I$22222)=0,"",SUMIF(搜索词报告!$A$2:$A$22222,总体数据一览!A54,搜索词报告!$I$2:$I$22222))</f>
        <v/>
      </c>
      <c r="C54" t="str">
        <f>IF(SUMIF(搜索词报告!$A$2:$A$22222,总体数据一览!A54,搜索词报告!$J$2:$J$22222)=0,"",SUMIF(搜索词报告!$A$2:$A$22222,总体数据一览!A54,搜索词报告!$J$2:$J$22222))</f>
        <v/>
      </c>
      <c r="D54" s="2" t="str">
        <f t="shared" si="3"/>
        <v/>
      </c>
      <c r="E54" t="str">
        <f t="shared" si="4"/>
        <v/>
      </c>
      <c r="F54" t="str">
        <f>IF(SUMIF(搜索词报告!$A$2:$A$22222,总体数据一览!A54,搜索词报告!$M$2:$M$22222)=0,"",SUMIF(搜索词报告!$A$2:$A$22222,总体数据一览!A54,搜索词报告!$M$2:$M$22222))</f>
        <v/>
      </c>
      <c r="G54" t="str">
        <f>IFERROR(IF(B54="","",SUMIF(搜索词报告!$A$2:$A$22222,总体数据一览!A54,搜索词报告!$V$2:$V$22222))+IF(B54="","",SUMIF(搜索词报告!$A$2:$A$22222,总体数据一览!A54,搜索词报告!$W$2:$W$22222)),"")</f>
        <v/>
      </c>
      <c r="H54" s="2" t="str">
        <f t="shared" si="5"/>
        <v/>
      </c>
    </row>
    <row r="55" spans="2:8" x14ac:dyDescent="0.15">
      <c r="B55" t="str">
        <f>IF(SUMIF(搜索词报告!$A$2:$A$22222,总体数据一览!A55,搜索词报告!$I$2:$I$22222)=0,"",SUMIF(搜索词报告!$A$2:$A$22222,总体数据一览!A55,搜索词报告!$I$2:$I$22222))</f>
        <v/>
      </c>
      <c r="C55" t="str">
        <f>IF(SUMIF(搜索词报告!$A$2:$A$22222,总体数据一览!A55,搜索词报告!$J$2:$J$22222)=0,"",SUMIF(搜索词报告!$A$2:$A$22222,总体数据一览!A55,搜索词报告!$J$2:$J$22222))</f>
        <v/>
      </c>
      <c r="D55" s="2" t="str">
        <f t="shared" si="3"/>
        <v/>
      </c>
      <c r="E55" t="str">
        <f t="shared" si="4"/>
        <v/>
      </c>
      <c r="F55" t="str">
        <f>IF(SUMIF(搜索词报告!$A$2:$A$22222,总体数据一览!A55,搜索词报告!$M$2:$M$22222)=0,"",SUMIF(搜索词报告!$A$2:$A$22222,总体数据一览!A55,搜索词报告!$M$2:$M$22222))</f>
        <v/>
      </c>
      <c r="G55" t="str">
        <f>IFERROR(IF(B55="","",SUMIF(搜索词报告!$A$2:$A$22222,总体数据一览!A55,搜索词报告!$V$2:$V$22222))+IF(B55="","",SUMIF(搜索词报告!$A$2:$A$22222,总体数据一览!A55,搜索词报告!$W$2:$W$22222)),"")</f>
        <v/>
      </c>
      <c r="H55" s="2" t="str">
        <f t="shared" si="5"/>
        <v/>
      </c>
    </row>
    <row r="56" spans="2:8" x14ac:dyDescent="0.15">
      <c r="B56" t="str">
        <f>IF(SUMIF(搜索词报告!$A$2:$A$22222,总体数据一览!A56,搜索词报告!$I$2:$I$22222)=0,"",SUMIF(搜索词报告!$A$2:$A$22222,总体数据一览!A56,搜索词报告!$I$2:$I$22222))</f>
        <v/>
      </c>
      <c r="C56" t="str">
        <f>IF(SUMIF(搜索词报告!$A$2:$A$22222,总体数据一览!A56,搜索词报告!$J$2:$J$22222)=0,"",SUMIF(搜索词报告!$A$2:$A$22222,总体数据一览!A56,搜索词报告!$J$2:$J$22222))</f>
        <v/>
      </c>
      <c r="D56" s="2" t="str">
        <f t="shared" si="3"/>
        <v/>
      </c>
      <c r="E56" t="str">
        <f t="shared" si="4"/>
        <v/>
      </c>
      <c r="F56" t="str">
        <f>IF(SUMIF(搜索词报告!$A$2:$A$22222,总体数据一览!A56,搜索词报告!$M$2:$M$22222)=0,"",SUMIF(搜索词报告!$A$2:$A$22222,总体数据一览!A56,搜索词报告!$M$2:$M$22222))</f>
        <v/>
      </c>
      <c r="G56" t="str">
        <f>IFERROR(IF(B56="","",SUMIF(搜索词报告!$A$2:$A$22222,总体数据一览!A56,搜索词报告!$V$2:$V$22222))+IF(B56="","",SUMIF(搜索词报告!$A$2:$A$22222,总体数据一览!A56,搜索词报告!$W$2:$W$22222)),"")</f>
        <v/>
      </c>
      <c r="H56" s="2" t="str">
        <f t="shared" si="5"/>
        <v/>
      </c>
    </row>
    <row r="57" spans="2:8" x14ac:dyDescent="0.15">
      <c r="B57" t="str">
        <f>IF(SUMIF(搜索词报告!$A$2:$A$22222,总体数据一览!A57,搜索词报告!$I$2:$I$22222)=0,"",SUMIF(搜索词报告!$A$2:$A$22222,总体数据一览!A57,搜索词报告!$I$2:$I$22222))</f>
        <v/>
      </c>
      <c r="C57" t="str">
        <f>IF(SUMIF(搜索词报告!$A$2:$A$22222,总体数据一览!A57,搜索词报告!$J$2:$J$22222)=0,"",SUMIF(搜索词报告!$A$2:$A$22222,总体数据一览!A57,搜索词报告!$J$2:$J$22222))</f>
        <v/>
      </c>
      <c r="D57" s="2" t="str">
        <f t="shared" si="3"/>
        <v/>
      </c>
      <c r="E57" t="str">
        <f t="shared" si="4"/>
        <v/>
      </c>
      <c r="F57" t="str">
        <f>IF(SUMIF(搜索词报告!$A$2:$A$22222,总体数据一览!A57,搜索词报告!$M$2:$M$22222)=0,"",SUMIF(搜索词报告!$A$2:$A$22222,总体数据一览!A57,搜索词报告!$M$2:$M$22222))</f>
        <v/>
      </c>
      <c r="G57" t="str">
        <f>IFERROR(IF(B57="","",SUMIF(搜索词报告!$A$2:$A$22222,总体数据一览!A57,搜索词报告!$V$2:$V$22222))+IF(B57="","",SUMIF(搜索词报告!$A$2:$A$22222,总体数据一览!A57,搜索词报告!$W$2:$W$22222)),"")</f>
        <v/>
      </c>
      <c r="H57" s="2" t="str">
        <f t="shared" si="5"/>
        <v/>
      </c>
    </row>
    <row r="58" spans="2:8" x14ac:dyDescent="0.15">
      <c r="B58" t="str">
        <f>IF(SUMIF(搜索词报告!$A$2:$A$22222,总体数据一览!A58,搜索词报告!$I$2:$I$22222)=0,"",SUMIF(搜索词报告!$A$2:$A$22222,总体数据一览!A58,搜索词报告!$I$2:$I$22222))</f>
        <v/>
      </c>
      <c r="C58" t="str">
        <f>IF(SUMIF(搜索词报告!$A$2:$A$22222,总体数据一览!A58,搜索词报告!$J$2:$J$22222)=0,"",SUMIF(搜索词报告!$A$2:$A$22222,总体数据一览!A58,搜索词报告!$J$2:$J$22222))</f>
        <v/>
      </c>
      <c r="D58" s="2" t="str">
        <f t="shared" si="3"/>
        <v/>
      </c>
      <c r="E58" t="str">
        <f t="shared" si="4"/>
        <v/>
      </c>
      <c r="F58" t="str">
        <f>IF(SUMIF(搜索词报告!$A$2:$A$22222,总体数据一览!A58,搜索词报告!$M$2:$M$22222)=0,"",SUMIF(搜索词报告!$A$2:$A$22222,总体数据一览!A58,搜索词报告!$M$2:$M$22222))</f>
        <v/>
      </c>
      <c r="G58" t="str">
        <f>IFERROR(IF(B58="","",SUMIF(搜索词报告!$A$2:$A$22222,总体数据一览!A58,搜索词报告!$V$2:$V$22222))+IF(B58="","",SUMIF(搜索词报告!$A$2:$A$22222,总体数据一览!A58,搜索词报告!$W$2:$W$22222)),"")</f>
        <v/>
      </c>
      <c r="H58" s="2" t="str">
        <f t="shared" si="5"/>
        <v/>
      </c>
    </row>
    <row r="59" spans="2:8" x14ac:dyDescent="0.15">
      <c r="B59" t="str">
        <f>IF(SUMIF(搜索词报告!$A$2:$A$22222,总体数据一览!A59,搜索词报告!$I$2:$I$22222)=0,"",SUMIF(搜索词报告!$A$2:$A$22222,总体数据一览!A59,搜索词报告!$I$2:$I$22222))</f>
        <v/>
      </c>
      <c r="C59" t="str">
        <f>IF(SUMIF(搜索词报告!$A$2:$A$22222,总体数据一览!A59,搜索词报告!$J$2:$J$22222)=0,"",SUMIF(搜索词报告!$A$2:$A$22222,总体数据一览!A59,搜索词报告!$J$2:$J$22222))</f>
        <v/>
      </c>
      <c r="D59" s="2" t="str">
        <f t="shared" si="3"/>
        <v/>
      </c>
      <c r="E59" t="str">
        <f t="shared" si="4"/>
        <v/>
      </c>
      <c r="F59" t="str">
        <f>IF(SUMIF(搜索词报告!$A$2:$A$22222,总体数据一览!A59,搜索词报告!$M$2:$M$22222)=0,"",SUMIF(搜索词报告!$A$2:$A$22222,总体数据一览!A59,搜索词报告!$M$2:$M$22222))</f>
        <v/>
      </c>
      <c r="G59" t="str">
        <f>IFERROR(IF(B59="","",SUMIF(搜索词报告!$A$2:$A$22222,总体数据一览!A59,搜索词报告!$V$2:$V$22222))+IF(B59="","",SUMIF(搜索词报告!$A$2:$A$22222,总体数据一览!A59,搜索词报告!$W$2:$W$22222)),"")</f>
        <v/>
      </c>
      <c r="H59" s="2" t="str">
        <f t="shared" si="5"/>
        <v/>
      </c>
    </row>
    <row r="60" spans="2:8" x14ac:dyDescent="0.15">
      <c r="B60" t="str">
        <f>IF(SUMIF(搜索词报告!$A$2:$A$22222,总体数据一览!A60,搜索词报告!$I$2:$I$22222)=0,"",SUMIF(搜索词报告!$A$2:$A$22222,总体数据一览!A60,搜索词报告!$I$2:$I$22222))</f>
        <v/>
      </c>
      <c r="C60" t="str">
        <f>IF(SUMIF(搜索词报告!$A$2:$A$22222,总体数据一览!A60,搜索词报告!$J$2:$J$22222)=0,"",SUMIF(搜索词报告!$A$2:$A$22222,总体数据一览!A60,搜索词报告!$J$2:$J$22222))</f>
        <v/>
      </c>
      <c r="D60" s="2" t="str">
        <f t="shared" si="3"/>
        <v/>
      </c>
      <c r="E60" t="str">
        <f t="shared" si="4"/>
        <v/>
      </c>
      <c r="F60" t="str">
        <f>IF(SUMIF(搜索词报告!$A$2:$A$22222,总体数据一览!A60,搜索词报告!$M$2:$M$22222)=0,"",SUMIF(搜索词报告!$A$2:$A$22222,总体数据一览!A60,搜索词报告!$M$2:$M$22222))</f>
        <v/>
      </c>
      <c r="G60" t="str">
        <f>IFERROR(IF(B60="","",SUMIF(搜索词报告!$A$2:$A$22222,总体数据一览!A60,搜索词报告!$V$2:$V$22222))+IF(B60="","",SUMIF(搜索词报告!$A$2:$A$22222,总体数据一览!A60,搜索词报告!$W$2:$W$22222)),"")</f>
        <v/>
      </c>
      <c r="H60" s="2" t="str">
        <f t="shared" si="5"/>
        <v/>
      </c>
    </row>
    <row r="61" spans="2:8" x14ac:dyDescent="0.15">
      <c r="B61" t="str">
        <f>IF(SUMIF(搜索词报告!$A$2:$A$22222,总体数据一览!A61,搜索词报告!$I$2:$I$22222)=0,"",SUMIF(搜索词报告!$A$2:$A$22222,总体数据一览!A61,搜索词报告!$I$2:$I$22222))</f>
        <v/>
      </c>
      <c r="C61" t="str">
        <f>IF(SUMIF(搜索词报告!$A$2:$A$22222,总体数据一览!A61,搜索词报告!$J$2:$J$22222)=0,"",SUMIF(搜索词报告!$A$2:$A$22222,总体数据一览!A61,搜索词报告!$J$2:$J$22222))</f>
        <v/>
      </c>
      <c r="D61" s="2" t="str">
        <f t="shared" si="3"/>
        <v/>
      </c>
      <c r="E61" t="str">
        <f t="shared" si="4"/>
        <v/>
      </c>
      <c r="F61" t="str">
        <f>IF(SUMIF(搜索词报告!$A$2:$A$22222,总体数据一览!A61,搜索词报告!$M$2:$M$22222)=0,"",SUMIF(搜索词报告!$A$2:$A$22222,总体数据一览!A61,搜索词报告!$M$2:$M$22222))</f>
        <v/>
      </c>
      <c r="G61" t="str">
        <f>IFERROR(IF(B61="","",SUMIF(搜索词报告!$A$2:$A$22222,总体数据一览!A61,搜索词报告!$V$2:$V$22222))+IF(B61="","",SUMIF(搜索词报告!$A$2:$A$22222,总体数据一览!A61,搜索词报告!$W$2:$W$22222)),"")</f>
        <v/>
      </c>
      <c r="H61" s="2" t="str">
        <f t="shared" si="5"/>
        <v/>
      </c>
    </row>
    <row r="62" spans="2:8" x14ac:dyDescent="0.15">
      <c r="B62" t="str">
        <f>IF(SUMIF(搜索词报告!$A$2:$A$22222,总体数据一览!A62,搜索词报告!$I$2:$I$22222)=0,"",SUMIF(搜索词报告!$A$2:$A$22222,总体数据一览!A62,搜索词报告!$I$2:$I$22222))</f>
        <v/>
      </c>
      <c r="C62" t="str">
        <f>IF(SUMIF(搜索词报告!$A$2:$A$22222,总体数据一览!A62,搜索词报告!$J$2:$J$22222)=0,"",SUMIF(搜索词报告!$A$2:$A$22222,总体数据一览!A62,搜索词报告!$J$2:$J$22222))</f>
        <v/>
      </c>
      <c r="D62" s="2" t="str">
        <f t="shared" si="3"/>
        <v/>
      </c>
      <c r="E62" t="str">
        <f t="shared" si="4"/>
        <v/>
      </c>
      <c r="F62" t="str">
        <f>IF(SUMIF(搜索词报告!$A$2:$A$22222,总体数据一览!A62,搜索词报告!$M$2:$M$22222)=0,"",SUMIF(搜索词报告!$A$2:$A$22222,总体数据一览!A62,搜索词报告!$M$2:$M$22222))</f>
        <v/>
      </c>
      <c r="G62" t="str">
        <f>IFERROR(IF(B62="","",SUMIF(搜索词报告!$A$2:$A$22222,总体数据一览!A62,搜索词报告!$V$2:$V$22222))+IF(B62="","",SUMIF(搜索词报告!$A$2:$A$22222,总体数据一览!A62,搜索词报告!$W$2:$W$22222)),"")</f>
        <v/>
      </c>
      <c r="H62" s="2" t="str">
        <f t="shared" si="5"/>
        <v/>
      </c>
    </row>
    <row r="63" spans="2:8" x14ac:dyDescent="0.15">
      <c r="B63" t="str">
        <f>IF(SUMIF(搜索词报告!$A$2:$A$22222,总体数据一览!A63,搜索词报告!$I$2:$I$22222)=0,"",SUMIF(搜索词报告!$A$2:$A$22222,总体数据一览!A63,搜索词报告!$I$2:$I$22222))</f>
        <v/>
      </c>
      <c r="C63" t="str">
        <f>IF(SUMIF(搜索词报告!$A$2:$A$22222,总体数据一览!A63,搜索词报告!$J$2:$J$22222)=0,"",SUMIF(搜索词报告!$A$2:$A$22222,总体数据一览!A63,搜索词报告!$J$2:$J$22222))</f>
        <v/>
      </c>
      <c r="D63" s="2" t="str">
        <f t="shared" si="3"/>
        <v/>
      </c>
      <c r="E63" t="str">
        <f t="shared" si="4"/>
        <v/>
      </c>
      <c r="F63" t="str">
        <f>IF(SUMIF(搜索词报告!$A$2:$A$22222,总体数据一览!A63,搜索词报告!$M$2:$M$22222)=0,"",SUMIF(搜索词报告!$A$2:$A$22222,总体数据一览!A63,搜索词报告!$M$2:$M$22222))</f>
        <v/>
      </c>
      <c r="G63" t="str">
        <f>IFERROR(IF(B63="","",SUMIF(搜索词报告!$A$2:$A$22222,总体数据一览!A63,搜索词报告!$V$2:$V$22222))+IF(B63="","",SUMIF(搜索词报告!$A$2:$A$22222,总体数据一览!A63,搜索词报告!$W$2:$W$22222)),"")</f>
        <v/>
      </c>
      <c r="H63" s="2" t="str">
        <f t="shared" si="5"/>
        <v/>
      </c>
    </row>
    <row r="64" spans="2:8" x14ac:dyDescent="0.15">
      <c r="B64" t="str">
        <f>IF(SUMIF(搜索词报告!$A$2:$A$22222,总体数据一览!A64,搜索词报告!$I$2:$I$22222)=0,"",SUMIF(搜索词报告!$A$2:$A$22222,总体数据一览!A64,搜索词报告!$I$2:$I$22222))</f>
        <v/>
      </c>
      <c r="C64" t="str">
        <f>IF(SUMIF(搜索词报告!$A$2:$A$22222,总体数据一览!A64,搜索词报告!$J$2:$J$22222)=0,"",SUMIF(搜索词报告!$A$2:$A$22222,总体数据一览!A64,搜索词报告!$J$2:$J$22222))</f>
        <v/>
      </c>
      <c r="D64" s="2" t="str">
        <f t="shared" si="3"/>
        <v/>
      </c>
      <c r="E64" t="str">
        <f t="shared" si="4"/>
        <v/>
      </c>
      <c r="F64" t="str">
        <f>IF(SUMIF(搜索词报告!$A$2:$A$22222,总体数据一览!A64,搜索词报告!$M$2:$M$22222)=0,"",SUMIF(搜索词报告!$A$2:$A$22222,总体数据一览!A64,搜索词报告!$M$2:$M$22222))</f>
        <v/>
      </c>
      <c r="G64" t="str">
        <f>IFERROR(IF(B64="","",SUMIF(搜索词报告!$A$2:$A$22222,总体数据一览!A64,搜索词报告!$V$2:$V$22222))+IF(B64="","",SUMIF(搜索词报告!$A$2:$A$22222,总体数据一览!A64,搜索词报告!$W$2:$W$22222)),"")</f>
        <v/>
      </c>
      <c r="H64" s="2" t="str">
        <f t="shared" si="5"/>
        <v/>
      </c>
    </row>
    <row r="65" spans="2:8" x14ac:dyDescent="0.15">
      <c r="B65" t="str">
        <f>IF(SUMIF(搜索词报告!$A$2:$A$22222,总体数据一览!A65,搜索词报告!$I$2:$I$22222)=0,"",SUMIF(搜索词报告!$A$2:$A$22222,总体数据一览!A65,搜索词报告!$I$2:$I$22222))</f>
        <v/>
      </c>
      <c r="C65" t="str">
        <f>IF(SUMIF(搜索词报告!$A$2:$A$22222,总体数据一览!A65,搜索词报告!$J$2:$J$22222)=0,"",SUMIF(搜索词报告!$A$2:$A$22222,总体数据一览!A65,搜索词报告!$J$2:$J$22222))</f>
        <v/>
      </c>
      <c r="D65" s="2" t="str">
        <f t="shared" si="3"/>
        <v/>
      </c>
      <c r="E65" t="str">
        <f t="shared" si="4"/>
        <v/>
      </c>
      <c r="F65" t="str">
        <f>IF(SUMIF(搜索词报告!$A$2:$A$22222,总体数据一览!A65,搜索词报告!$M$2:$M$22222)=0,"",SUMIF(搜索词报告!$A$2:$A$22222,总体数据一览!A65,搜索词报告!$M$2:$M$22222))</f>
        <v/>
      </c>
      <c r="G65" t="str">
        <f>IFERROR(IF(B65="","",SUMIF(搜索词报告!$A$2:$A$22222,总体数据一览!A65,搜索词报告!$V$2:$V$22222))+IF(B65="","",SUMIF(搜索词报告!$A$2:$A$22222,总体数据一览!A65,搜索词报告!$W$2:$W$22222)),"")</f>
        <v/>
      </c>
      <c r="H65" s="2" t="str">
        <f t="shared" si="5"/>
        <v/>
      </c>
    </row>
    <row r="66" spans="2:8" x14ac:dyDescent="0.15">
      <c r="B66" t="str">
        <f>IF(SUMIF(搜索词报告!$A$2:$A$22222,总体数据一览!A66,搜索词报告!$I$2:$I$22222)=0,"",SUMIF(搜索词报告!$A$2:$A$22222,总体数据一览!A66,搜索词报告!$I$2:$I$22222))</f>
        <v/>
      </c>
      <c r="C66" t="str">
        <f>IF(SUMIF(搜索词报告!$A$2:$A$22222,总体数据一览!A66,搜索词报告!$J$2:$J$22222)=0,"",SUMIF(搜索词报告!$A$2:$A$22222,总体数据一览!A66,搜索词报告!$J$2:$J$22222))</f>
        <v/>
      </c>
      <c r="D66" s="2" t="str">
        <f t="shared" si="3"/>
        <v/>
      </c>
      <c r="E66" t="str">
        <f t="shared" si="4"/>
        <v/>
      </c>
      <c r="F66" t="str">
        <f>IF(SUMIF(搜索词报告!$A$2:$A$22222,总体数据一览!A66,搜索词报告!$M$2:$M$22222)=0,"",SUMIF(搜索词报告!$A$2:$A$22222,总体数据一览!A66,搜索词报告!$M$2:$M$22222))</f>
        <v/>
      </c>
      <c r="G66" t="str">
        <f>IFERROR(IF(B66="","",SUMIF(搜索词报告!$A$2:$A$22222,总体数据一览!A66,搜索词报告!$V$2:$V$22222))+IF(B66="","",SUMIF(搜索词报告!$A$2:$A$22222,总体数据一览!A66,搜索词报告!$W$2:$W$22222)),"")</f>
        <v/>
      </c>
      <c r="H66" s="2" t="str">
        <f t="shared" si="5"/>
        <v/>
      </c>
    </row>
    <row r="67" spans="2:8" x14ac:dyDescent="0.15">
      <c r="B67" t="str">
        <f>IF(SUMIF(搜索词报告!$A$2:$A$22222,总体数据一览!A67,搜索词报告!$I$2:$I$22222)=0,"",SUMIF(搜索词报告!$A$2:$A$22222,总体数据一览!A67,搜索词报告!$I$2:$I$22222))</f>
        <v/>
      </c>
      <c r="C67" t="str">
        <f>IF(SUMIF(搜索词报告!$A$2:$A$22222,总体数据一览!A67,搜索词报告!$J$2:$J$22222)=0,"",SUMIF(搜索词报告!$A$2:$A$22222,总体数据一览!A67,搜索词报告!$J$2:$J$22222))</f>
        <v/>
      </c>
      <c r="D67" s="2" t="str">
        <f t="shared" si="3"/>
        <v/>
      </c>
      <c r="E67" t="str">
        <f t="shared" si="4"/>
        <v/>
      </c>
      <c r="F67" t="str">
        <f>IF(SUMIF(搜索词报告!$A$2:$A$22222,总体数据一览!A67,搜索词报告!$M$2:$M$22222)=0,"",SUMIF(搜索词报告!$A$2:$A$22222,总体数据一览!A67,搜索词报告!$M$2:$M$22222))</f>
        <v/>
      </c>
      <c r="G67" t="str">
        <f>IFERROR(IF(B67="","",SUMIF(搜索词报告!$A$2:$A$22222,总体数据一览!A67,搜索词报告!$V$2:$V$22222))+IF(B67="","",SUMIF(搜索词报告!$A$2:$A$22222,总体数据一览!A67,搜索词报告!$W$2:$W$22222)),"")</f>
        <v/>
      </c>
      <c r="H67" s="2" t="str">
        <f t="shared" si="5"/>
        <v/>
      </c>
    </row>
    <row r="68" spans="2:8" x14ac:dyDescent="0.15">
      <c r="B68" t="str">
        <f>IF(SUMIF(搜索词报告!$A$2:$A$22222,总体数据一览!A68,搜索词报告!$I$2:$I$22222)=0,"",SUMIF(搜索词报告!$A$2:$A$22222,总体数据一览!A68,搜索词报告!$I$2:$I$22222))</f>
        <v/>
      </c>
      <c r="C68" t="str">
        <f>IF(SUMIF(搜索词报告!$A$2:$A$22222,总体数据一览!A68,搜索词报告!$J$2:$J$22222)=0,"",SUMIF(搜索词报告!$A$2:$A$22222,总体数据一览!A68,搜索词报告!$J$2:$J$22222))</f>
        <v/>
      </c>
      <c r="D68" s="2" t="str">
        <f t="shared" si="3"/>
        <v/>
      </c>
      <c r="E68" t="str">
        <f t="shared" si="4"/>
        <v/>
      </c>
      <c r="F68" t="str">
        <f>IF(SUMIF(搜索词报告!$A$2:$A$22222,总体数据一览!A68,搜索词报告!$M$2:$M$22222)=0,"",SUMIF(搜索词报告!$A$2:$A$22222,总体数据一览!A68,搜索词报告!$M$2:$M$22222))</f>
        <v/>
      </c>
      <c r="G68" t="str">
        <f>IFERROR(IF(B68="","",SUMIF(搜索词报告!$A$2:$A$22222,总体数据一览!A68,搜索词报告!$V$2:$V$22222))+IF(B68="","",SUMIF(搜索词报告!$A$2:$A$22222,总体数据一览!A68,搜索词报告!$W$2:$W$22222)),"")</f>
        <v/>
      </c>
      <c r="H68" s="2" t="str">
        <f t="shared" si="5"/>
        <v/>
      </c>
    </row>
    <row r="69" spans="2:8" x14ac:dyDescent="0.15">
      <c r="B69" t="str">
        <f>IF(SUMIF(搜索词报告!$A$2:$A$22222,总体数据一览!A69,搜索词报告!$I$2:$I$22222)=0,"",SUMIF(搜索词报告!$A$2:$A$22222,总体数据一览!A69,搜索词报告!$I$2:$I$22222))</f>
        <v/>
      </c>
      <c r="C69" t="str">
        <f>IF(SUMIF(搜索词报告!$A$2:$A$22222,总体数据一览!A69,搜索词报告!$J$2:$J$22222)=0,"",SUMIF(搜索词报告!$A$2:$A$22222,总体数据一览!A69,搜索词报告!$J$2:$J$22222))</f>
        <v/>
      </c>
      <c r="D69" s="2" t="str">
        <f t="shared" si="3"/>
        <v/>
      </c>
      <c r="E69" t="str">
        <f t="shared" si="4"/>
        <v/>
      </c>
      <c r="F69" t="str">
        <f>IF(SUMIF(搜索词报告!$A$2:$A$22222,总体数据一览!A69,搜索词报告!$M$2:$M$22222)=0,"",SUMIF(搜索词报告!$A$2:$A$22222,总体数据一览!A69,搜索词报告!$M$2:$M$22222))</f>
        <v/>
      </c>
      <c r="G69" t="str">
        <f>IFERROR(IF(B69="","",SUMIF(搜索词报告!$A$2:$A$22222,总体数据一览!A69,搜索词报告!$V$2:$V$22222))+IF(B69="","",SUMIF(搜索词报告!$A$2:$A$22222,总体数据一览!A69,搜索词报告!$W$2:$W$22222)),"")</f>
        <v/>
      </c>
      <c r="H69" s="2" t="str">
        <f t="shared" si="5"/>
        <v/>
      </c>
    </row>
    <row r="70" spans="2:8" x14ac:dyDescent="0.15">
      <c r="B70" t="str">
        <f>IF(SUMIF(搜索词报告!$A$2:$A$22222,总体数据一览!A70,搜索词报告!$I$2:$I$22222)=0,"",SUMIF(搜索词报告!$A$2:$A$22222,总体数据一览!A70,搜索词报告!$I$2:$I$22222))</f>
        <v/>
      </c>
      <c r="C70" t="str">
        <f>IF(SUMIF(搜索词报告!$A$2:$A$22222,总体数据一览!A70,搜索词报告!$J$2:$J$22222)=0,"",SUMIF(搜索词报告!$A$2:$A$22222,总体数据一览!A70,搜索词报告!$J$2:$J$22222))</f>
        <v/>
      </c>
      <c r="D70" s="2" t="str">
        <f t="shared" si="3"/>
        <v/>
      </c>
      <c r="E70" t="str">
        <f t="shared" si="4"/>
        <v/>
      </c>
      <c r="F70" t="str">
        <f>IF(SUMIF(搜索词报告!$A$2:$A$22222,总体数据一览!A70,搜索词报告!$M$2:$M$22222)=0,"",SUMIF(搜索词报告!$A$2:$A$22222,总体数据一览!A70,搜索词报告!$M$2:$M$22222))</f>
        <v/>
      </c>
      <c r="G70" t="str">
        <f>IFERROR(IF(B70="","",SUMIF(搜索词报告!$A$2:$A$22222,总体数据一览!A70,搜索词报告!$V$2:$V$22222))+IF(B70="","",SUMIF(搜索词报告!$A$2:$A$22222,总体数据一览!A70,搜索词报告!$W$2:$W$22222)),"")</f>
        <v/>
      </c>
      <c r="H70" s="2" t="str">
        <f t="shared" si="5"/>
        <v/>
      </c>
    </row>
    <row r="71" spans="2:8" x14ac:dyDescent="0.15">
      <c r="B71" t="str">
        <f>IF(SUMIF(搜索词报告!$A$2:$A$22222,总体数据一览!A71,搜索词报告!$I$2:$I$22222)=0,"",SUMIF(搜索词报告!$A$2:$A$22222,总体数据一览!A71,搜索词报告!$I$2:$I$22222))</f>
        <v/>
      </c>
      <c r="C71" t="str">
        <f>IF(SUMIF(搜索词报告!$A$2:$A$22222,总体数据一览!A71,搜索词报告!$J$2:$J$22222)=0,"",SUMIF(搜索词报告!$A$2:$A$22222,总体数据一览!A71,搜索词报告!$J$2:$J$22222))</f>
        <v/>
      </c>
      <c r="D71" s="2" t="str">
        <f t="shared" si="3"/>
        <v/>
      </c>
      <c r="E71" t="str">
        <f t="shared" si="4"/>
        <v/>
      </c>
      <c r="F71" t="str">
        <f>IF(SUMIF(搜索词报告!$A$2:$A$22222,总体数据一览!A71,搜索词报告!$M$2:$M$22222)=0,"",SUMIF(搜索词报告!$A$2:$A$22222,总体数据一览!A71,搜索词报告!$M$2:$M$22222))</f>
        <v/>
      </c>
      <c r="G71" t="str">
        <f>IFERROR(IF(B71="","",SUMIF(搜索词报告!$A$2:$A$22222,总体数据一览!A71,搜索词报告!$V$2:$V$22222))+IF(B71="","",SUMIF(搜索词报告!$A$2:$A$22222,总体数据一览!A71,搜索词报告!$W$2:$W$22222)),"")</f>
        <v/>
      </c>
      <c r="H71" s="2" t="str">
        <f t="shared" si="5"/>
        <v/>
      </c>
    </row>
    <row r="72" spans="2:8" x14ac:dyDescent="0.15">
      <c r="B72" t="str">
        <f>IF(SUMIF(搜索词报告!$A$2:$A$22222,总体数据一览!A72,搜索词报告!$I$2:$I$22222)=0,"",SUMIF(搜索词报告!$A$2:$A$22222,总体数据一览!A72,搜索词报告!$I$2:$I$22222))</f>
        <v/>
      </c>
      <c r="C72" t="str">
        <f>IF(SUMIF(搜索词报告!$A$2:$A$22222,总体数据一览!A72,搜索词报告!$J$2:$J$22222)=0,"",SUMIF(搜索词报告!$A$2:$A$22222,总体数据一览!A72,搜索词报告!$J$2:$J$22222))</f>
        <v/>
      </c>
      <c r="D72" s="2" t="str">
        <f t="shared" si="3"/>
        <v/>
      </c>
      <c r="E72" t="str">
        <f t="shared" si="4"/>
        <v/>
      </c>
      <c r="F72" t="str">
        <f>IF(SUMIF(搜索词报告!$A$2:$A$22222,总体数据一览!A72,搜索词报告!$M$2:$M$22222)=0,"",SUMIF(搜索词报告!$A$2:$A$22222,总体数据一览!A72,搜索词报告!$M$2:$M$22222))</f>
        <v/>
      </c>
      <c r="G72" t="str">
        <f>IFERROR(IF(B72="","",SUMIF(搜索词报告!$A$2:$A$22222,总体数据一览!A72,搜索词报告!$V$2:$V$22222))+IF(B72="","",SUMIF(搜索词报告!$A$2:$A$22222,总体数据一览!A72,搜索词报告!$W$2:$W$22222)),"")</f>
        <v/>
      </c>
      <c r="H72" s="2" t="str">
        <f t="shared" si="5"/>
        <v/>
      </c>
    </row>
    <row r="73" spans="2:8" x14ac:dyDescent="0.15">
      <c r="B73" t="str">
        <f>IF(SUMIF(搜索词报告!$A$2:$A$22222,总体数据一览!A73,搜索词报告!$I$2:$I$22222)=0,"",SUMIF(搜索词报告!$A$2:$A$22222,总体数据一览!A73,搜索词报告!$I$2:$I$22222))</f>
        <v/>
      </c>
      <c r="C73" t="str">
        <f>IF(SUMIF(搜索词报告!$A$2:$A$22222,总体数据一览!A73,搜索词报告!$J$2:$J$22222)=0,"",SUMIF(搜索词报告!$A$2:$A$22222,总体数据一览!A73,搜索词报告!$J$2:$J$22222))</f>
        <v/>
      </c>
      <c r="D73" s="2" t="str">
        <f t="shared" si="3"/>
        <v/>
      </c>
      <c r="E73" t="str">
        <f t="shared" si="4"/>
        <v/>
      </c>
      <c r="F73" t="str">
        <f>IF(SUMIF(搜索词报告!$A$2:$A$22222,总体数据一览!A73,搜索词报告!$M$2:$M$22222)=0,"",SUMIF(搜索词报告!$A$2:$A$22222,总体数据一览!A73,搜索词报告!$M$2:$M$22222))</f>
        <v/>
      </c>
      <c r="G73" t="str">
        <f>IFERROR(IF(B73="","",SUMIF(搜索词报告!$A$2:$A$22222,总体数据一览!A73,搜索词报告!$V$2:$V$22222))+IF(B73="","",SUMIF(搜索词报告!$A$2:$A$22222,总体数据一览!A73,搜索词报告!$W$2:$W$22222)),"")</f>
        <v/>
      </c>
      <c r="H73" s="2" t="str">
        <f t="shared" si="5"/>
        <v/>
      </c>
    </row>
    <row r="74" spans="2:8" x14ac:dyDescent="0.15">
      <c r="B74" t="str">
        <f>IF(SUMIF(搜索词报告!$A$2:$A$22222,总体数据一览!A74,搜索词报告!$I$2:$I$22222)=0,"",SUMIF(搜索词报告!$A$2:$A$22222,总体数据一览!A74,搜索词报告!$I$2:$I$22222))</f>
        <v/>
      </c>
      <c r="C74" t="str">
        <f>IF(SUMIF(搜索词报告!$A$2:$A$22222,总体数据一览!A74,搜索词报告!$J$2:$J$22222)=0,"",SUMIF(搜索词报告!$A$2:$A$22222,总体数据一览!A74,搜索词报告!$J$2:$J$22222))</f>
        <v/>
      </c>
      <c r="D74" s="2" t="str">
        <f t="shared" si="3"/>
        <v/>
      </c>
      <c r="E74" t="str">
        <f t="shared" si="4"/>
        <v/>
      </c>
      <c r="F74" t="str">
        <f>IF(SUMIF(搜索词报告!$A$2:$A$22222,总体数据一览!A74,搜索词报告!$M$2:$M$22222)=0,"",SUMIF(搜索词报告!$A$2:$A$22222,总体数据一览!A74,搜索词报告!$M$2:$M$22222))</f>
        <v/>
      </c>
      <c r="G74" t="str">
        <f>IFERROR(IF(B74="","",SUMIF(搜索词报告!$A$2:$A$22222,总体数据一览!A74,搜索词报告!$V$2:$V$22222))+IF(B74="","",SUMIF(搜索词报告!$A$2:$A$22222,总体数据一览!A74,搜索词报告!$W$2:$W$22222)),"")</f>
        <v/>
      </c>
      <c r="H74" s="2" t="str">
        <f t="shared" si="5"/>
        <v/>
      </c>
    </row>
    <row r="75" spans="2:8" x14ac:dyDescent="0.15">
      <c r="B75" t="str">
        <f>IF(SUMIF(搜索词报告!$A$2:$A$22222,总体数据一览!A75,搜索词报告!$I$2:$I$22222)=0,"",SUMIF(搜索词报告!$A$2:$A$22222,总体数据一览!A75,搜索词报告!$I$2:$I$22222))</f>
        <v/>
      </c>
      <c r="C75" t="str">
        <f>IF(SUMIF(搜索词报告!$A$2:$A$22222,总体数据一览!A75,搜索词报告!$J$2:$J$22222)=0,"",SUMIF(搜索词报告!$A$2:$A$22222,总体数据一览!A75,搜索词报告!$J$2:$J$22222))</f>
        <v/>
      </c>
      <c r="D75" s="2" t="str">
        <f t="shared" si="3"/>
        <v/>
      </c>
      <c r="E75" t="str">
        <f t="shared" si="4"/>
        <v/>
      </c>
      <c r="F75" t="str">
        <f>IF(SUMIF(搜索词报告!$A$2:$A$22222,总体数据一览!A75,搜索词报告!$M$2:$M$22222)=0,"",SUMIF(搜索词报告!$A$2:$A$22222,总体数据一览!A75,搜索词报告!$M$2:$M$22222))</f>
        <v/>
      </c>
      <c r="G75" t="str">
        <f>IFERROR(IF(B75="","",SUMIF(搜索词报告!$A$2:$A$22222,总体数据一览!A75,搜索词报告!$V$2:$V$22222))+IF(B75="","",SUMIF(搜索词报告!$A$2:$A$22222,总体数据一览!A75,搜索词报告!$W$2:$W$22222)),"")</f>
        <v/>
      </c>
      <c r="H75" s="2" t="str">
        <f t="shared" si="5"/>
        <v/>
      </c>
    </row>
    <row r="76" spans="2:8" x14ac:dyDescent="0.15">
      <c r="B76" t="str">
        <f>IF(SUMIF(搜索词报告!$A$2:$A$22222,总体数据一览!A76,搜索词报告!$I$2:$I$22222)=0,"",SUMIF(搜索词报告!$A$2:$A$22222,总体数据一览!A76,搜索词报告!$I$2:$I$22222))</f>
        <v/>
      </c>
      <c r="C76" t="str">
        <f>IF(SUMIF(搜索词报告!$A$2:$A$22222,总体数据一览!A76,搜索词报告!$J$2:$J$22222)=0,"",SUMIF(搜索词报告!$A$2:$A$22222,总体数据一览!A76,搜索词报告!$J$2:$J$22222))</f>
        <v/>
      </c>
      <c r="D76" s="2" t="str">
        <f t="shared" si="3"/>
        <v/>
      </c>
      <c r="E76" t="str">
        <f t="shared" si="4"/>
        <v/>
      </c>
      <c r="F76" t="str">
        <f>IF(SUMIF(搜索词报告!$A$2:$A$22222,总体数据一览!A76,搜索词报告!$M$2:$M$22222)=0,"",SUMIF(搜索词报告!$A$2:$A$22222,总体数据一览!A76,搜索词报告!$M$2:$M$22222))</f>
        <v/>
      </c>
      <c r="G76" t="str">
        <f>IFERROR(IF(B76="","",SUMIF(搜索词报告!$A$2:$A$22222,总体数据一览!A76,搜索词报告!$V$2:$V$22222))+IF(B76="","",SUMIF(搜索词报告!$A$2:$A$22222,总体数据一览!A76,搜索词报告!$W$2:$W$22222)),"")</f>
        <v/>
      </c>
      <c r="H76" s="2" t="str">
        <f t="shared" si="5"/>
        <v/>
      </c>
    </row>
    <row r="77" spans="2:8" x14ac:dyDescent="0.15">
      <c r="B77" t="str">
        <f>IF(SUMIF(搜索词报告!$A$2:$A$22222,总体数据一览!A77,搜索词报告!$I$2:$I$22222)=0,"",SUMIF(搜索词报告!$A$2:$A$22222,总体数据一览!A77,搜索词报告!$I$2:$I$22222))</f>
        <v/>
      </c>
      <c r="C77" t="str">
        <f>IF(SUMIF(搜索词报告!$A$2:$A$22222,总体数据一览!A77,搜索词报告!$J$2:$J$22222)=0,"",SUMIF(搜索词报告!$A$2:$A$22222,总体数据一览!A77,搜索词报告!$J$2:$J$22222))</f>
        <v/>
      </c>
      <c r="D77" s="2" t="str">
        <f t="shared" si="3"/>
        <v/>
      </c>
      <c r="E77" t="str">
        <f t="shared" si="4"/>
        <v/>
      </c>
      <c r="F77" t="str">
        <f>IF(SUMIF(搜索词报告!$A$2:$A$22222,总体数据一览!A77,搜索词报告!$M$2:$M$22222)=0,"",SUMIF(搜索词报告!$A$2:$A$22222,总体数据一览!A77,搜索词报告!$M$2:$M$22222))</f>
        <v/>
      </c>
      <c r="G77" t="str">
        <f>IFERROR(IF(B77="","",SUMIF(搜索词报告!$A$2:$A$22222,总体数据一览!A77,搜索词报告!$V$2:$V$22222))+IF(B77="","",SUMIF(搜索词报告!$A$2:$A$22222,总体数据一览!A77,搜索词报告!$W$2:$W$22222)),"")</f>
        <v/>
      </c>
      <c r="H77" s="2" t="str">
        <f t="shared" si="5"/>
        <v/>
      </c>
    </row>
    <row r="78" spans="2:8" x14ac:dyDescent="0.15">
      <c r="B78" t="str">
        <f>IF(SUMIF(搜索词报告!$A$2:$A$22222,总体数据一览!A78,搜索词报告!$I$2:$I$22222)=0,"",SUMIF(搜索词报告!$A$2:$A$22222,总体数据一览!A78,搜索词报告!$I$2:$I$22222))</f>
        <v/>
      </c>
      <c r="C78" t="str">
        <f>IF(SUMIF(搜索词报告!$A$2:$A$22222,总体数据一览!A78,搜索词报告!$J$2:$J$22222)=0,"",SUMIF(搜索词报告!$A$2:$A$22222,总体数据一览!A78,搜索词报告!$J$2:$J$22222))</f>
        <v/>
      </c>
      <c r="D78" s="2" t="str">
        <f t="shared" si="3"/>
        <v/>
      </c>
      <c r="E78" t="str">
        <f t="shared" si="4"/>
        <v/>
      </c>
      <c r="F78" t="str">
        <f>IF(SUMIF(搜索词报告!$A$2:$A$22222,总体数据一览!A78,搜索词报告!$M$2:$M$22222)=0,"",SUMIF(搜索词报告!$A$2:$A$22222,总体数据一览!A78,搜索词报告!$M$2:$M$22222))</f>
        <v/>
      </c>
      <c r="G78" t="str">
        <f>IFERROR(IF(B78="","",SUMIF(搜索词报告!$A$2:$A$22222,总体数据一览!A78,搜索词报告!$V$2:$V$22222))+IF(B78="","",SUMIF(搜索词报告!$A$2:$A$22222,总体数据一览!A78,搜索词报告!$W$2:$W$22222)),"")</f>
        <v/>
      </c>
      <c r="H78" s="2" t="str">
        <f t="shared" si="5"/>
        <v/>
      </c>
    </row>
    <row r="79" spans="2:8" x14ac:dyDescent="0.15">
      <c r="B79" t="str">
        <f>IF(SUMIF(搜索词报告!$A$2:$A$22222,总体数据一览!A79,搜索词报告!$I$2:$I$22222)=0,"",SUMIF(搜索词报告!$A$2:$A$22222,总体数据一览!A79,搜索词报告!$I$2:$I$22222))</f>
        <v/>
      </c>
      <c r="C79" t="str">
        <f>IF(SUMIF(搜索词报告!$A$2:$A$22222,总体数据一览!A79,搜索词报告!$J$2:$J$22222)=0,"",SUMIF(搜索词报告!$A$2:$A$22222,总体数据一览!A79,搜索词报告!$J$2:$J$22222))</f>
        <v/>
      </c>
      <c r="D79" s="2" t="str">
        <f t="shared" si="3"/>
        <v/>
      </c>
      <c r="E79" t="str">
        <f t="shared" si="4"/>
        <v/>
      </c>
      <c r="F79" t="str">
        <f>IF(SUMIF(搜索词报告!$A$2:$A$22222,总体数据一览!A79,搜索词报告!$M$2:$M$22222)=0,"",SUMIF(搜索词报告!$A$2:$A$22222,总体数据一览!A79,搜索词报告!$M$2:$M$22222))</f>
        <v/>
      </c>
      <c r="G79" t="str">
        <f>IFERROR(IF(B79="","",SUMIF(搜索词报告!$A$2:$A$22222,总体数据一览!A79,搜索词报告!$V$2:$V$22222))+IF(B79="","",SUMIF(搜索词报告!$A$2:$A$22222,总体数据一览!A79,搜索词报告!$W$2:$W$22222)),"")</f>
        <v/>
      </c>
      <c r="H79" s="2" t="str">
        <f t="shared" si="5"/>
        <v/>
      </c>
    </row>
    <row r="80" spans="2:8" x14ac:dyDescent="0.15">
      <c r="B80" t="str">
        <f>IF(SUMIF(搜索词报告!$A$2:$A$22222,总体数据一览!A80,搜索词报告!$I$2:$I$22222)=0,"",SUMIF(搜索词报告!$A$2:$A$22222,总体数据一览!A80,搜索词报告!$I$2:$I$22222))</f>
        <v/>
      </c>
      <c r="C80" t="str">
        <f>IF(SUMIF(搜索词报告!$A$2:$A$22222,总体数据一览!A80,搜索词报告!$J$2:$J$22222)=0,"",SUMIF(搜索词报告!$A$2:$A$22222,总体数据一览!A80,搜索词报告!$J$2:$J$22222))</f>
        <v/>
      </c>
      <c r="D80" s="2" t="str">
        <f t="shared" si="3"/>
        <v/>
      </c>
      <c r="E80" t="str">
        <f t="shared" si="4"/>
        <v/>
      </c>
      <c r="F80" t="str">
        <f>IF(SUMIF(搜索词报告!$A$2:$A$22222,总体数据一览!A80,搜索词报告!$M$2:$M$22222)=0,"",SUMIF(搜索词报告!$A$2:$A$22222,总体数据一览!A80,搜索词报告!$M$2:$M$22222))</f>
        <v/>
      </c>
      <c r="G80" t="str">
        <f>IFERROR(IF(B80="","",SUMIF(搜索词报告!$A$2:$A$22222,总体数据一览!A80,搜索词报告!$V$2:$V$22222))+IF(B80="","",SUMIF(搜索词报告!$A$2:$A$22222,总体数据一览!A80,搜索词报告!$W$2:$W$22222)),"")</f>
        <v/>
      </c>
      <c r="H80" s="2" t="str">
        <f t="shared" si="5"/>
        <v/>
      </c>
    </row>
    <row r="81" spans="2:8" x14ac:dyDescent="0.15">
      <c r="B81" t="str">
        <f>IF(SUMIF(搜索词报告!$A$2:$A$22222,总体数据一览!A81,搜索词报告!$I$2:$I$22222)=0,"",SUMIF(搜索词报告!$A$2:$A$22222,总体数据一览!A81,搜索词报告!$I$2:$I$22222))</f>
        <v/>
      </c>
      <c r="C81" t="str">
        <f>IF(SUMIF(搜索词报告!$A$2:$A$22222,总体数据一览!A81,搜索词报告!$J$2:$J$22222)=0,"",SUMIF(搜索词报告!$A$2:$A$22222,总体数据一览!A81,搜索词报告!$J$2:$J$22222))</f>
        <v/>
      </c>
      <c r="D81" s="2" t="str">
        <f t="shared" si="3"/>
        <v/>
      </c>
      <c r="E81" t="str">
        <f t="shared" si="4"/>
        <v/>
      </c>
      <c r="F81" t="str">
        <f>IF(SUMIF(搜索词报告!$A$2:$A$22222,总体数据一览!A81,搜索词报告!$M$2:$M$22222)=0,"",SUMIF(搜索词报告!$A$2:$A$22222,总体数据一览!A81,搜索词报告!$M$2:$M$22222))</f>
        <v/>
      </c>
      <c r="G81" t="str">
        <f>IFERROR(IF(B81="","",SUMIF(搜索词报告!$A$2:$A$22222,总体数据一览!A81,搜索词报告!$V$2:$V$22222))+IF(B81="","",SUMIF(搜索词报告!$A$2:$A$22222,总体数据一览!A81,搜索词报告!$W$2:$W$22222)),"")</f>
        <v/>
      </c>
      <c r="H81" s="2" t="str">
        <f t="shared" si="5"/>
        <v/>
      </c>
    </row>
    <row r="82" spans="2:8" x14ac:dyDescent="0.15">
      <c r="B82" t="str">
        <f>IF(SUMIF(搜索词报告!$A$2:$A$22222,总体数据一览!A82,搜索词报告!$I$2:$I$22222)=0,"",SUMIF(搜索词报告!$A$2:$A$22222,总体数据一览!A82,搜索词报告!$I$2:$I$22222))</f>
        <v/>
      </c>
      <c r="C82" t="str">
        <f>IF(SUMIF(搜索词报告!$A$2:$A$22222,总体数据一览!A82,搜索词报告!$J$2:$J$22222)=0,"",SUMIF(搜索词报告!$A$2:$A$22222,总体数据一览!A82,搜索词报告!$J$2:$J$22222))</f>
        <v/>
      </c>
      <c r="D82" s="2" t="str">
        <f t="shared" si="3"/>
        <v/>
      </c>
      <c r="E82" t="str">
        <f t="shared" si="4"/>
        <v/>
      </c>
      <c r="F82" t="str">
        <f>IF(SUMIF(搜索词报告!$A$2:$A$22222,总体数据一览!A82,搜索词报告!$M$2:$M$22222)=0,"",SUMIF(搜索词报告!$A$2:$A$22222,总体数据一览!A82,搜索词报告!$M$2:$M$22222))</f>
        <v/>
      </c>
      <c r="G82" t="str">
        <f>IFERROR(IF(B82="","",SUMIF(搜索词报告!$A$2:$A$22222,总体数据一览!A82,搜索词报告!$V$2:$V$22222))+IF(B82="","",SUMIF(搜索词报告!$A$2:$A$22222,总体数据一览!A82,搜索词报告!$W$2:$W$22222)),"")</f>
        <v/>
      </c>
      <c r="H82" s="2" t="str">
        <f t="shared" si="5"/>
        <v/>
      </c>
    </row>
    <row r="83" spans="2:8" x14ac:dyDescent="0.15">
      <c r="B83" t="str">
        <f>IF(SUMIF(搜索词报告!$A$2:$A$22222,总体数据一览!A83,搜索词报告!$I$2:$I$22222)=0,"",SUMIF(搜索词报告!$A$2:$A$22222,总体数据一览!A83,搜索词报告!$I$2:$I$22222))</f>
        <v/>
      </c>
      <c r="C83" t="str">
        <f>IF(SUMIF(搜索词报告!$A$2:$A$22222,总体数据一览!A83,搜索词报告!$J$2:$J$22222)=0,"",SUMIF(搜索词报告!$A$2:$A$22222,总体数据一览!A83,搜索词报告!$J$2:$J$22222))</f>
        <v/>
      </c>
      <c r="D83" s="2" t="str">
        <f t="shared" si="3"/>
        <v/>
      </c>
      <c r="E83" t="str">
        <f t="shared" si="4"/>
        <v/>
      </c>
      <c r="F83" t="str">
        <f>IF(SUMIF(搜索词报告!$A$2:$A$22222,总体数据一览!A83,搜索词报告!$M$2:$M$22222)=0,"",SUMIF(搜索词报告!$A$2:$A$22222,总体数据一览!A83,搜索词报告!$M$2:$M$22222))</f>
        <v/>
      </c>
      <c r="G83" t="str">
        <f>IFERROR(IF(B83="","",SUMIF(搜索词报告!$A$2:$A$22222,总体数据一览!A83,搜索词报告!$V$2:$V$22222))+IF(B83="","",SUMIF(搜索词报告!$A$2:$A$22222,总体数据一览!A83,搜索词报告!$W$2:$W$22222)),"")</f>
        <v/>
      </c>
      <c r="H83" s="2" t="str">
        <f t="shared" si="5"/>
        <v/>
      </c>
    </row>
    <row r="84" spans="2:8" x14ac:dyDescent="0.15">
      <c r="B84" t="str">
        <f>IF(SUMIF(搜索词报告!$A$2:$A$22222,总体数据一览!A84,搜索词报告!$I$2:$I$22222)=0,"",SUMIF(搜索词报告!$A$2:$A$22222,总体数据一览!A84,搜索词报告!$I$2:$I$22222))</f>
        <v/>
      </c>
      <c r="C84" t="str">
        <f>IF(SUMIF(搜索词报告!$A$2:$A$22222,总体数据一览!A84,搜索词报告!$J$2:$J$22222)=0,"",SUMIF(搜索词报告!$A$2:$A$22222,总体数据一览!A84,搜索词报告!$J$2:$J$22222))</f>
        <v/>
      </c>
      <c r="D84" s="2" t="str">
        <f t="shared" ref="D84:D147" si="6">IFERROR(ROUND(C84/B84,4),"")</f>
        <v/>
      </c>
      <c r="E84" t="str">
        <f t="shared" ref="E84:E147" si="7">IFERROR(ROUND(F84/C84,2),"")</f>
        <v/>
      </c>
      <c r="F84" t="str">
        <f>IF(SUMIF(搜索词报告!$A$2:$A$22222,总体数据一览!A84,搜索词报告!$M$2:$M$22222)=0,"",SUMIF(搜索词报告!$A$2:$A$22222,总体数据一览!A84,搜索词报告!$M$2:$M$22222))</f>
        <v/>
      </c>
      <c r="G84" t="str">
        <f>IFERROR(IF(B84="","",SUMIF(搜索词报告!$A$2:$A$22222,总体数据一览!A84,搜索词报告!$V$2:$V$22222))+IF(B84="","",SUMIF(搜索词报告!$A$2:$A$22222,总体数据一览!A84,搜索词报告!$W$2:$W$22222)),"")</f>
        <v/>
      </c>
      <c r="H84" s="2" t="str">
        <f t="shared" ref="H84:H147" si="8">IFERROR(ROUND(F84/G84,2),"")</f>
        <v/>
      </c>
    </row>
    <row r="85" spans="2:8" x14ac:dyDescent="0.15">
      <c r="B85" t="str">
        <f>IF(SUMIF(搜索词报告!$A$2:$A$22222,总体数据一览!A85,搜索词报告!$I$2:$I$22222)=0,"",SUMIF(搜索词报告!$A$2:$A$22222,总体数据一览!A85,搜索词报告!$I$2:$I$22222))</f>
        <v/>
      </c>
      <c r="C85" t="str">
        <f>IF(SUMIF(搜索词报告!$A$2:$A$22222,总体数据一览!A85,搜索词报告!$J$2:$J$22222)=0,"",SUMIF(搜索词报告!$A$2:$A$22222,总体数据一览!A85,搜索词报告!$J$2:$J$22222))</f>
        <v/>
      </c>
      <c r="D85" s="2" t="str">
        <f t="shared" si="6"/>
        <v/>
      </c>
      <c r="E85" t="str">
        <f t="shared" si="7"/>
        <v/>
      </c>
      <c r="F85" t="str">
        <f>IF(SUMIF(搜索词报告!$A$2:$A$22222,总体数据一览!A85,搜索词报告!$M$2:$M$22222)=0,"",SUMIF(搜索词报告!$A$2:$A$22222,总体数据一览!A85,搜索词报告!$M$2:$M$22222))</f>
        <v/>
      </c>
      <c r="G85" t="str">
        <f>IFERROR(IF(B85="","",SUMIF(搜索词报告!$A$2:$A$22222,总体数据一览!A85,搜索词报告!$V$2:$V$22222))+IF(B85="","",SUMIF(搜索词报告!$A$2:$A$22222,总体数据一览!A85,搜索词报告!$W$2:$W$22222)),"")</f>
        <v/>
      </c>
      <c r="H85" s="2" t="str">
        <f t="shared" si="8"/>
        <v/>
      </c>
    </row>
    <row r="86" spans="2:8" x14ac:dyDescent="0.15">
      <c r="B86" t="str">
        <f>IF(SUMIF(搜索词报告!$A$2:$A$22222,总体数据一览!A86,搜索词报告!$I$2:$I$22222)=0,"",SUMIF(搜索词报告!$A$2:$A$22222,总体数据一览!A86,搜索词报告!$I$2:$I$22222))</f>
        <v/>
      </c>
      <c r="C86" t="str">
        <f>IF(SUMIF(搜索词报告!$A$2:$A$22222,总体数据一览!A86,搜索词报告!$J$2:$J$22222)=0,"",SUMIF(搜索词报告!$A$2:$A$22222,总体数据一览!A86,搜索词报告!$J$2:$J$22222))</f>
        <v/>
      </c>
      <c r="D86" s="2" t="str">
        <f t="shared" si="6"/>
        <v/>
      </c>
      <c r="E86" t="str">
        <f t="shared" si="7"/>
        <v/>
      </c>
      <c r="F86" t="str">
        <f>IF(SUMIF(搜索词报告!$A$2:$A$22222,总体数据一览!A86,搜索词报告!$M$2:$M$22222)=0,"",SUMIF(搜索词报告!$A$2:$A$22222,总体数据一览!A86,搜索词报告!$M$2:$M$22222))</f>
        <v/>
      </c>
      <c r="G86" t="str">
        <f>IFERROR(IF(B86="","",SUMIF(搜索词报告!$A$2:$A$22222,总体数据一览!A86,搜索词报告!$V$2:$V$22222))+IF(B86="","",SUMIF(搜索词报告!$A$2:$A$22222,总体数据一览!A86,搜索词报告!$W$2:$W$22222)),"")</f>
        <v/>
      </c>
      <c r="H86" s="2" t="str">
        <f t="shared" si="8"/>
        <v/>
      </c>
    </row>
    <row r="87" spans="2:8" x14ac:dyDescent="0.15">
      <c r="B87" t="str">
        <f>IF(SUMIF(搜索词报告!$A$2:$A$22222,总体数据一览!A87,搜索词报告!$I$2:$I$22222)=0,"",SUMIF(搜索词报告!$A$2:$A$22222,总体数据一览!A87,搜索词报告!$I$2:$I$22222))</f>
        <v/>
      </c>
      <c r="C87" t="str">
        <f>IF(SUMIF(搜索词报告!$A$2:$A$22222,总体数据一览!A87,搜索词报告!$J$2:$J$22222)=0,"",SUMIF(搜索词报告!$A$2:$A$22222,总体数据一览!A87,搜索词报告!$J$2:$J$22222))</f>
        <v/>
      </c>
      <c r="D87" s="2" t="str">
        <f t="shared" si="6"/>
        <v/>
      </c>
      <c r="E87" t="str">
        <f t="shared" si="7"/>
        <v/>
      </c>
      <c r="F87" t="str">
        <f>IF(SUMIF(搜索词报告!$A$2:$A$22222,总体数据一览!A87,搜索词报告!$M$2:$M$22222)=0,"",SUMIF(搜索词报告!$A$2:$A$22222,总体数据一览!A87,搜索词报告!$M$2:$M$22222))</f>
        <v/>
      </c>
      <c r="G87" t="str">
        <f>IFERROR(IF(B87="","",SUMIF(搜索词报告!$A$2:$A$22222,总体数据一览!A87,搜索词报告!$V$2:$V$22222))+IF(B87="","",SUMIF(搜索词报告!$A$2:$A$22222,总体数据一览!A87,搜索词报告!$W$2:$W$22222)),"")</f>
        <v/>
      </c>
      <c r="H87" s="2" t="str">
        <f t="shared" si="8"/>
        <v/>
      </c>
    </row>
    <row r="88" spans="2:8" x14ac:dyDescent="0.15">
      <c r="B88" t="str">
        <f>IF(SUMIF(搜索词报告!$A$2:$A$22222,总体数据一览!A88,搜索词报告!$I$2:$I$22222)=0,"",SUMIF(搜索词报告!$A$2:$A$22222,总体数据一览!A88,搜索词报告!$I$2:$I$22222))</f>
        <v/>
      </c>
      <c r="C88" t="str">
        <f>IF(SUMIF(搜索词报告!$A$2:$A$22222,总体数据一览!A88,搜索词报告!$J$2:$J$22222)=0,"",SUMIF(搜索词报告!$A$2:$A$22222,总体数据一览!A88,搜索词报告!$J$2:$J$22222))</f>
        <v/>
      </c>
      <c r="D88" s="2" t="str">
        <f t="shared" si="6"/>
        <v/>
      </c>
      <c r="E88" t="str">
        <f t="shared" si="7"/>
        <v/>
      </c>
      <c r="F88" t="str">
        <f>IF(SUMIF(搜索词报告!$A$2:$A$22222,总体数据一览!A88,搜索词报告!$M$2:$M$22222)=0,"",SUMIF(搜索词报告!$A$2:$A$22222,总体数据一览!A88,搜索词报告!$M$2:$M$22222))</f>
        <v/>
      </c>
      <c r="G88" t="str">
        <f>IFERROR(IF(B88="","",SUMIF(搜索词报告!$A$2:$A$22222,总体数据一览!A88,搜索词报告!$V$2:$V$22222))+IF(B88="","",SUMIF(搜索词报告!$A$2:$A$22222,总体数据一览!A88,搜索词报告!$W$2:$W$22222)),"")</f>
        <v/>
      </c>
      <c r="H88" s="2" t="str">
        <f t="shared" si="8"/>
        <v/>
      </c>
    </row>
    <row r="89" spans="2:8" x14ac:dyDescent="0.15">
      <c r="B89" t="str">
        <f>IF(SUMIF(搜索词报告!$A$2:$A$22222,总体数据一览!A89,搜索词报告!$I$2:$I$22222)=0,"",SUMIF(搜索词报告!$A$2:$A$22222,总体数据一览!A89,搜索词报告!$I$2:$I$22222))</f>
        <v/>
      </c>
      <c r="C89" t="str">
        <f>IF(SUMIF(搜索词报告!$A$2:$A$22222,总体数据一览!A89,搜索词报告!$J$2:$J$22222)=0,"",SUMIF(搜索词报告!$A$2:$A$22222,总体数据一览!A89,搜索词报告!$J$2:$J$22222))</f>
        <v/>
      </c>
      <c r="D89" s="2" t="str">
        <f t="shared" si="6"/>
        <v/>
      </c>
      <c r="E89" t="str">
        <f t="shared" si="7"/>
        <v/>
      </c>
      <c r="F89" t="str">
        <f>IF(SUMIF(搜索词报告!$A$2:$A$22222,总体数据一览!A89,搜索词报告!$M$2:$M$22222)=0,"",SUMIF(搜索词报告!$A$2:$A$22222,总体数据一览!A89,搜索词报告!$M$2:$M$22222))</f>
        <v/>
      </c>
      <c r="G89" t="str">
        <f>IFERROR(IF(B89="","",SUMIF(搜索词报告!$A$2:$A$22222,总体数据一览!A89,搜索词报告!$V$2:$V$22222))+IF(B89="","",SUMIF(搜索词报告!$A$2:$A$22222,总体数据一览!A89,搜索词报告!$W$2:$W$22222)),"")</f>
        <v/>
      </c>
      <c r="H89" s="2" t="str">
        <f t="shared" si="8"/>
        <v/>
      </c>
    </row>
    <row r="90" spans="2:8" x14ac:dyDescent="0.15">
      <c r="B90" t="str">
        <f>IF(SUMIF(搜索词报告!$A$2:$A$22222,总体数据一览!A90,搜索词报告!$I$2:$I$22222)=0,"",SUMIF(搜索词报告!$A$2:$A$22222,总体数据一览!A90,搜索词报告!$I$2:$I$22222))</f>
        <v/>
      </c>
      <c r="C90" t="str">
        <f>IF(SUMIF(搜索词报告!$A$2:$A$22222,总体数据一览!A90,搜索词报告!$J$2:$J$22222)=0,"",SUMIF(搜索词报告!$A$2:$A$22222,总体数据一览!A90,搜索词报告!$J$2:$J$22222))</f>
        <v/>
      </c>
      <c r="D90" s="2" t="str">
        <f t="shared" si="6"/>
        <v/>
      </c>
      <c r="E90" t="str">
        <f t="shared" si="7"/>
        <v/>
      </c>
      <c r="F90" t="str">
        <f>IF(SUMIF(搜索词报告!$A$2:$A$22222,总体数据一览!A90,搜索词报告!$M$2:$M$22222)=0,"",SUMIF(搜索词报告!$A$2:$A$22222,总体数据一览!A90,搜索词报告!$M$2:$M$22222))</f>
        <v/>
      </c>
      <c r="G90" t="str">
        <f>IFERROR(IF(B90="","",SUMIF(搜索词报告!$A$2:$A$22222,总体数据一览!A90,搜索词报告!$V$2:$V$22222))+IF(B90="","",SUMIF(搜索词报告!$A$2:$A$22222,总体数据一览!A90,搜索词报告!$W$2:$W$22222)),"")</f>
        <v/>
      </c>
      <c r="H90" s="2" t="str">
        <f t="shared" si="8"/>
        <v/>
      </c>
    </row>
    <row r="91" spans="2:8" x14ac:dyDescent="0.15">
      <c r="B91" t="str">
        <f>IF(SUMIF(搜索词报告!$A$2:$A$22222,总体数据一览!A91,搜索词报告!$I$2:$I$22222)=0,"",SUMIF(搜索词报告!$A$2:$A$22222,总体数据一览!A91,搜索词报告!$I$2:$I$22222))</f>
        <v/>
      </c>
      <c r="C91" t="str">
        <f>IF(SUMIF(搜索词报告!$A$2:$A$22222,总体数据一览!A91,搜索词报告!$J$2:$J$22222)=0,"",SUMIF(搜索词报告!$A$2:$A$22222,总体数据一览!A91,搜索词报告!$J$2:$J$22222))</f>
        <v/>
      </c>
      <c r="D91" s="2" t="str">
        <f t="shared" si="6"/>
        <v/>
      </c>
      <c r="E91" t="str">
        <f t="shared" si="7"/>
        <v/>
      </c>
      <c r="F91" t="str">
        <f>IF(SUMIF(搜索词报告!$A$2:$A$22222,总体数据一览!A91,搜索词报告!$M$2:$M$22222)=0,"",SUMIF(搜索词报告!$A$2:$A$22222,总体数据一览!A91,搜索词报告!$M$2:$M$22222))</f>
        <v/>
      </c>
      <c r="G91" t="str">
        <f>IFERROR(IF(B91="","",SUMIF(搜索词报告!$A$2:$A$22222,总体数据一览!A91,搜索词报告!$V$2:$V$22222))+IF(B91="","",SUMIF(搜索词报告!$A$2:$A$22222,总体数据一览!A91,搜索词报告!$W$2:$W$22222)),"")</f>
        <v/>
      </c>
      <c r="H91" s="2" t="str">
        <f t="shared" si="8"/>
        <v/>
      </c>
    </row>
    <row r="92" spans="2:8" x14ac:dyDescent="0.15">
      <c r="B92" t="str">
        <f>IF(SUMIF(搜索词报告!$A$2:$A$22222,总体数据一览!A92,搜索词报告!$I$2:$I$22222)=0,"",SUMIF(搜索词报告!$A$2:$A$22222,总体数据一览!A92,搜索词报告!$I$2:$I$22222))</f>
        <v/>
      </c>
      <c r="C92" t="str">
        <f>IF(SUMIF(搜索词报告!$A$2:$A$22222,总体数据一览!A92,搜索词报告!$J$2:$J$22222)=0,"",SUMIF(搜索词报告!$A$2:$A$22222,总体数据一览!A92,搜索词报告!$J$2:$J$22222))</f>
        <v/>
      </c>
      <c r="D92" s="2" t="str">
        <f t="shared" si="6"/>
        <v/>
      </c>
      <c r="E92" t="str">
        <f t="shared" si="7"/>
        <v/>
      </c>
      <c r="F92" t="str">
        <f>IF(SUMIF(搜索词报告!$A$2:$A$22222,总体数据一览!A92,搜索词报告!$M$2:$M$22222)=0,"",SUMIF(搜索词报告!$A$2:$A$22222,总体数据一览!A92,搜索词报告!$M$2:$M$22222))</f>
        <v/>
      </c>
      <c r="G92" t="str">
        <f>IFERROR(IF(B92="","",SUMIF(搜索词报告!$A$2:$A$22222,总体数据一览!A92,搜索词报告!$V$2:$V$22222))+IF(B92="","",SUMIF(搜索词报告!$A$2:$A$22222,总体数据一览!A92,搜索词报告!$W$2:$W$22222)),"")</f>
        <v/>
      </c>
      <c r="H92" s="2" t="str">
        <f t="shared" si="8"/>
        <v/>
      </c>
    </row>
    <row r="93" spans="2:8" x14ac:dyDescent="0.15">
      <c r="B93" t="str">
        <f>IF(SUMIF(搜索词报告!$A$2:$A$22222,总体数据一览!A93,搜索词报告!$I$2:$I$22222)=0,"",SUMIF(搜索词报告!$A$2:$A$22222,总体数据一览!A93,搜索词报告!$I$2:$I$22222))</f>
        <v/>
      </c>
      <c r="C93" t="str">
        <f>IF(SUMIF(搜索词报告!$A$2:$A$22222,总体数据一览!A93,搜索词报告!$J$2:$J$22222)=0,"",SUMIF(搜索词报告!$A$2:$A$22222,总体数据一览!A93,搜索词报告!$J$2:$J$22222))</f>
        <v/>
      </c>
      <c r="D93" s="2" t="str">
        <f t="shared" si="6"/>
        <v/>
      </c>
      <c r="E93" t="str">
        <f t="shared" si="7"/>
        <v/>
      </c>
      <c r="F93" t="str">
        <f>IF(SUMIF(搜索词报告!$A$2:$A$22222,总体数据一览!A93,搜索词报告!$M$2:$M$22222)=0,"",SUMIF(搜索词报告!$A$2:$A$22222,总体数据一览!A93,搜索词报告!$M$2:$M$22222))</f>
        <v/>
      </c>
      <c r="G93" t="str">
        <f>IFERROR(IF(B93="","",SUMIF(搜索词报告!$A$2:$A$22222,总体数据一览!A93,搜索词报告!$V$2:$V$22222))+IF(B93="","",SUMIF(搜索词报告!$A$2:$A$22222,总体数据一览!A93,搜索词报告!$W$2:$W$22222)),"")</f>
        <v/>
      </c>
      <c r="H93" s="2" t="str">
        <f t="shared" si="8"/>
        <v/>
      </c>
    </row>
    <row r="94" spans="2:8" x14ac:dyDescent="0.15">
      <c r="B94" t="str">
        <f>IF(SUMIF(搜索词报告!$A$2:$A$22222,总体数据一览!A94,搜索词报告!$I$2:$I$22222)=0,"",SUMIF(搜索词报告!$A$2:$A$22222,总体数据一览!A94,搜索词报告!$I$2:$I$22222))</f>
        <v/>
      </c>
      <c r="C94" t="str">
        <f>IF(SUMIF(搜索词报告!$A$2:$A$22222,总体数据一览!A94,搜索词报告!$J$2:$J$22222)=0,"",SUMIF(搜索词报告!$A$2:$A$22222,总体数据一览!A94,搜索词报告!$J$2:$J$22222))</f>
        <v/>
      </c>
      <c r="D94" s="2" t="str">
        <f t="shared" si="6"/>
        <v/>
      </c>
      <c r="E94" t="str">
        <f t="shared" si="7"/>
        <v/>
      </c>
      <c r="F94" t="str">
        <f>IF(SUMIF(搜索词报告!$A$2:$A$22222,总体数据一览!A94,搜索词报告!$M$2:$M$22222)=0,"",SUMIF(搜索词报告!$A$2:$A$22222,总体数据一览!A94,搜索词报告!$M$2:$M$22222))</f>
        <v/>
      </c>
      <c r="G94" t="str">
        <f>IFERROR(IF(B94="","",SUMIF(搜索词报告!$A$2:$A$22222,总体数据一览!A94,搜索词报告!$V$2:$V$22222))+IF(B94="","",SUMIF(搜索词报告!$A$2:$A$22222,总体数据一览!A94,搜索词报告!$W$2:$W$22222)),"")</f>
        <v/>
      </c>
      <c r="H94" s="2" t="str">
        <f t="shared" si="8"/>
        <v/>
      </c>
    </row>
    <row r="95" spans="2:8" x14ac:dyDescent="0.15">
      <c r="B95" t="str">
        <f>IF(SUMIF(搜索词报告!$A$2:$A$22222,总体数据一览!A95,搜索词报告!$I$2:$I$22222)=0,"",SUMIF(搜索词报告!$A$2:$A$22222,总体数据一览!A95,搜索词报告!$I$2:$I$22222))</f>
        <v/>
      </c>
      <c r="C95" t="str">
        <f>IF(SUMIF(搜索词报告!$A$2:$A$22222,总体数据一览!A95,搜索词报告!$J$2:$J$22222)=0,"",SUMIF(搜索词报告!$A$2:$A$22222,总体数据一览!A95,搜索词报告!$J$2:$J$22222))</f>
        <v/>
      </c>
      <c r="D95" s="2" t="str">
        <f t="shared" si="6"/>
        <v/>
      </c>
      <c r="E95" t="str">
        <f t="shared" si="7"/>
        <v/>
      </c>
      <c r="F95" t="str">
        <f>IF(SUMIF(搜索词报告!$A$2:$A$22222,总体数据一览!A95,搜索词报告!$M$2:$M$22222)=0,"",SUMIF(搜索词报告!$A$2:$A$22222,总体数据一览!A95,搜索词报告!$M$2:$M$22222))</f>
        <v/>
      </c>
      <c r="G95" t="str">
        <f>IFERROR(IF(B95="","",SUMIF(搜索词报告!$A$2:$A$22222,总体数据一览!A95,搜索词报告!$V$2:$V$22222))+IF(B95="","",SUMIF(搜索词报告!$A$2:$A$22222,总体数据一览!A95,搜索词报告!$W$2:$W$22222)),"")</f>
        <v/>
      </c>
      <c r="H95" s="2" t="str">
        <f t="shared" si="8"/>
        <v/>
      </c>
    </row>
    <row r="96" spans="2:8" x14ac:dyDescent="0.15">
      <c r="B96" t="str">
        <f>IF(SUMIF(搜索词报告!$A$2:$A$22222,总体数据一览!A96,搜索词报告!$I$2:$I$22222)=0,"",SUMIF(搜索词报告!$A$2:$A$22222,总体数据一览!A96,搜索词报告!$I$2:$I$22222))</f>
        <v/>
      </c>
      <c r="C96" t="str">
        <f>IF(SUMIF(搜索词报告!$A$2:$A$22222,总体数据一览!A96,搜索词报告!$J$2:$J$22222)=0,"",SUMIF(搜索词报告!$A$2:$A$22222,总体数据一览!A96,搜索词报告!$J$2:$J$22222))</f>
        <v/>
      </c>
      <c r="D96" s="2" t="str">
        <f t="shared" si="6"/>
        <v/>
      </c>
      <c r="E96" t="str">
        <f t="shared" si="7"/>
        <v/>
      </c>
      <c r="F96" t="str">
        <f>IF(SUMIF(搜索词报告!$A$2:$A$22222,总体数据一览!A96,搜索词报告!$M$2:$M$22222)=0,"",SUMIF(搜索词报告!$A$2:$A$22222,总体数据一览!A96,搜索词报告!$M$2:$M$22222))</f>
        <v/>
      </c>
      <c r="G96" t="str">
        <f>IFERROR(IF(B96="","",SUMIF(搜索词报告!$A$2:$A$22222,总体数据一览!A96,搜索词报告!$V$2:$V$22222))+IF(B96="","",SUMIF(搜索词报告!$A$2:$A$22222,总体数据一览!A96,搜索词报告!$W$2:$W$22222)),"")</f>
        <v/>
      </c>
      <c r="H96" s="2" t="str">
        <f t="shared" si="8"/>
        <v/>
      </c>
    </row>
    <row r="97" spans="2:8" x14ac:dyDescent="0.15">
      <c r="B97" t="str">
        <f>IF(SUMIF(搜索词报告!$A$2:$A$22222,总体数据一览!A97,搜索词报告!$I$2:$I$22222)=0,"",SUMIF(搜索词报告!$A$2:$A$22222,总体数据一览!A97,搜索词报告!$I$2:$I$22222))</f>
        <v/>
      </c>
      <c r="C97" t="str">
        <f>IF(SUMIF(搜索词报告!$A$2:$A$22222,总体数据一览!A97,搜索词报告!$J$2:$J$22222)=0,"",SUMIF(搜索词报告!$A$2:$A$22222,总体数据一览!A97,搜索词报告!$J$2:$J$22222))</f>
        <v/>
      </c>
      <c r="D97" s="2" t="str">
        <f t="shared" si="6"/>
        <v/>
      </c>
      <c r="E97" t="str">
        <f t="shared" si="7"/>
        <v/>
      </c>
      <c r="F97" t="str">
        <f>IF(SUMIF(搜索词报告!$A$2:$A$22222,总体数据一览!A97,搜索词报告!$M$2:$M$22222)=0,"",SUMIF(搜索词报告!$A$2:$A$22222,总体数据一览!A97,搜索词报告!$M$2:$M$22222))</f>
        <v/>
      </c>
      <c r="G97" t="str">
        <f>IFERROR(IF(B97="","",SUMIF(搜索词报告!$A$2:$A$22222,总体数据一览!A97,搜索词报告!$V$2:$V$22222))+IF(B97="","",SUMIF(搜索词报告!$A$2:$A$22222,总体数据一览!A97,搜索词报告!$W$2:$W$22222)),"")</f>
        <v/>
      </c>
      <c r="H97" s="2" t="str">
        <f t="shared" si="8"/>
        <v/>
      </c>
    </row>
    <row r="98" spans="2:8" x14ac:dyDescent="0.15">
      <c r="B98" t="str">
        <f>IF(SUMIF(搜索词报告!$A$2:$A$22222,总体数据一览!A98,搜索词报告!$I$2:$I$22222)=0,"",SUMIF(搜索词报告!$A$2:$A$22222,总体数据一览!A98,搜索词报告!$I$2:$I$22222))</f>
        <v/>
      </c>
      <c r="C98" t="str">
        <f>IF(SUMIF(搜索词报告!$A$2:$A$22222,总体数据一览!A98,搜索词报告!$J$2:$J$22222)=0,"",SUMIF(搜索词报告!$A$2:$A$22222,总体数据一览!A98,搜索词报告!$J$2:$J$22222))</f>
        <v/>
      </c>
      <c r="D98" s="2" t="str">
        <f t="shared" si="6"/>
        <v/>
      </c>
      <c r="E98" t="str">
        <f t="shared" si="7"/>
        <v/>
      </c>
      <c r="F98" t="str">
        <f>IF(SUMIF(搜索词报告!$A$2:$A$22222,总体数据一览!A98,搜索词报告!$M$2:$M$22222)=0,"",SUMIF(搜索词报告!$A$2:$A$22222,总体数据一览!A98,搜索词报告!$M$2:$M$22222))</f>
        <v/>
      </c>
      <c r="G98" t="str">
        <f>IFERROR(IF(B98="","",SUMIF(搜索词报告!$A$2:$A$22222,总体数据一览!A98,搜索词报告!$V$2:$V$22222))+IF(B98="","",SUMIF(搜索词报告!$A$2:$A$22222,总体数据一览!A98,搜索词报告!$W$2:$W$22222)),"")</f>
        <v/>
      </c>
      <c r="H98" s="2" t="str">
        <f t="shared" si="8"/>
        <v/>
      </c>
    </row>
    <row r="99" spans="2:8" x14ac:dyDescent="0.15">
      <c r="B99" t="str">
        <f>IF(SUMIF(搜索词报告!$A$2:$A$22222,总体数据一览!A99,搜索词报告!$I$2:$I$22222)=0,"",SUMIF(搜索词报告!$A$2:$A$22222,总体数据一览!A99,搜索词报告!$I$2:$I$22222))</f>
        <v/>
      </c>
      <c r="C99" t="str">
        <f>IF(SUMIF(搜索词报告!$A$2:$A$22222,总体数据一览!A99,搜索词报告!$J$2:$J$22222)=0,"",SUMIF(搜索词报告!$A$2:$A$22222,总体数据一览!A99,搜索词报告!$J$2:$J$22222))</f>
        <v/>
      </c>
      <c r="D99" s="2" t="str">
        <f t="shared" si="6"/>
        <v/>
      </c>
      <c r="E99" t="str">
        <f t="shared" si="7"/>
        <v/>
      </c>
      <c r="F99" t="str">
        <f>IF(SUMIF(搜索词报告!$A$2:$A$22222,总体数据一览!A99,搜索词报告!$M$2:$M$22222)=0,"",SUMIF(搜索词报告!$A$2:$A$22222,总体数据一览!A99,搜索词报告!$M$2:$M$22222))</f>
        <v/>
      </c>
      <c r="G99" t="str">
        <f>IFERROR(IF(B99="","",SUMIF(搜索词报告!$A$2:$A$22222,总体数据一览!A99,搜索词报告!$V$2:$V$22222))+IF(B99="","",SUMIF(搜索词报告!$A$2:$A$22222,总体数据一览!A99,搜索词报告!$W$2:$W$22222)),"")</f>
        <v/>
      </c>
      <c r="H99" s="2" t="str">
        <f t="shared" si="8"/>
        <v/>
      </c>
    </row>
    <row r="100" spans="2:8" x14ac:dyDescent="0.15">
      <c r="B100" t="str">
        <f>IF(SUMIF(搜索词报告!$A$2:$A$22222,总体数据一览!A100,搜索词报告!$I$2:$I$22222)=0,"",SUMIF(搜索词报告!$A$2:$A$22222,总体数据一览!A100,搜索词报告!$I$2:$I$22222))</f>
        <v/>
      </c>
      <c r="C100" t="str">
        <f>IF(SUMIF(搜索词报告!$A$2:$A$22222,总体数据一览!A100,搜索词报告!$J$2:$J$22222)=0,"",SUMIF(搜索词报告!$A$2:$A$22222,总体数据一览!A100,搜索词报告!$J$2:$J$22222))</f>
        <v/>
      </c>
      <c r="D100" s="2" t="str">
        <f t="shared" si="6"/>
        <v/>
      </c>
      <c r="E100" t="str">
        <f t="shared" si="7"/>
        <v/>
      </c>
      <c r="F100" t="str">
        <f>IF(SUMIF(搜索词报告!$A$2:$A$22222,总体数据一览!A100,搜索词报告!$M$2:$M$22222)=0,"",SUMIF(搜索词报告!$A$2:$A$22222,总体数据一览!A100,搜索词报告!$M$2:$M$22222))</f>
        <v/>
      </c>
      <c r="G100" t="str">
        <f>IFERROR(IF(B100="","",SUMIF(搜索词报告!$A$2:$A$22222,总体数据一览!A100,搜索词报告!$V$2:$V$22222))+IF(B100="","",SUMIF(搜索词报告!$A$2:$A$22222,总体数据一览!A100,搜索词报告!$W$2:$W$22222)),"")</f>
        <v/>
      </c>
      <c r="H100" s="2" t="str">
        <f t="shared" si="8"/>
        <v/>
      </c>
    </row>
    <row r="101" spans="2:8" x14ac:dyDescent="0.15">
      <c r="B101" t="str">
        <f>IF(SUMIF(搜索词报告!$A$2:$A$22222,总体数据一览!A101,搜索词报告!$I$2:$I$22222)=0,"",SUMIF(搜索词报告!$A$2:$A$22222,总体数据一览!A101,搜索词报告!$I$2:$I$22222))</f>
        <v/>
      </c>
      <c r="C101" t="str">
        <f>IF(SUMIF(搜索词报告!$A$2:$A$22222,总体数据一览!A101,搜索词报告!$J$2:$J$22222)=0,"",SUMIF(搜索词报告!$A$2:$A$22222,总体数据一览!A101,搜索词报告!$J$2:$J$22222))</f>
        <v/>
      </c>
      <c r="D101" s="2" t="str">
        <f t="shared" si="6"/>
        <v/>
      </c>
      <c r="E101" t="str">
        <f t="shared" si="7"/>
        <v/>
      </c>
      <c r="F101" t="str">
        <f>IF(SUMIF(搜索词报告!$A$2:$A$22222,总体数据一览!A101,搜索词报告!$M$2:$M$22222)=0,"",SUMIF(搜索词报告!$A$2:$A$22222,总体数据一览!A101,搜索词报告!$M$2:$M$22222))</f>
        <v/>
      </c>
      <c r="G101" t="str">
        <f>IFERROR(IF(B101="","",SUMIF(搜索词报告!$A$2:$A$22222,总体数据一览!A101,搜索词报告!$V$2:$V$22222))+IF(B101="","",SUMIF(搜索词报告!$A$2:$A$22222,总体数据一览!A101,搜索词报告!$W$2:$W$22222)),"")</f>
        <v/>
      </c>
      <c r="H101" s="2" t="str">
        <f t="shared" si="8"/>
        <v/>
      </c>
    </row>
    <row r="102" spans="2:8" x14ac:dyDescent="0.15">
      <c r="B102" t="str">
        <f>IF(SUMIF(搜索词报告!$A$2:$A$22222,总体数据一览!A102,搜索词报告!$I$2:$I$22222)=0,"",SUMIF(搜索词报告!$A$2:$A$22222,总体数据一览!A102,搜索词报告!$I$2:$I$22222))</f>
        <v/>
      </c>
      <c r="C102" t="str">
        <f>IF(SUMIF(搜索词报告!$A$2:$A$22222,总体数据一览!A102,搜索词报告!$J$2:$J$22222)=0,"",SUMIF(搜索词报告!$A$2:$A$22222,总体数据一览!A102,搜索词报告!$J$2:$J$22222))</f>
        <v/>
      </c>
      <c r="D102" s="2" t="str">
        <f t="shared" si="6"/>
        <v/>
      </c>
      <c r="E102" t="str">
        <f t="shared" si="7"/>
        <v/>
      </c>
      <c r="F102" t="str">
        <f>IF(SUMIF(搜索词报告!$A$2:$A$22222,总体数据一览!A102,搜索词报告!$M$2:$M$22222)=0,"",SUMIF(搜索词报告!$A$2:$A$22222,总体数据一览!A102,搜索词报告!$M$2:$M$22222))</f>
        <v/>
      </c>
      <c r="G102" t="str">
        <f>IFERROR(IF(B102="","",SUMIF(搜索词报告!$A$2:$A$22222,总体数据一览!A102,搜索词报告!$V$2:$V$22222))+IF(B102="","",SUMIF(搜索词报告!$A$2:$A$22222,总体数据一览!A102,搜索词报告!$W$2:$W$22222)),"")</f>
        <v/>
      </c>
      <c r="H102" s="2" t="str">
        <f t="shared" si="8"/>
        <v/>
      </c>
    </row>
    <row r="103" spans="2:8" x14ac:dyDescent="0.15">
      <c r="B103" t="str">
        <f>IF(SUMIF(搜索词报告!$A$2:$A$22222,总体数据一览!A103,搜索词报告!$I$2:$I$22222)=0,"",SUMIF(搜索词报告!$A$2:$A$22222,总体数据一览!A103,搜索词报告!$I$2:$I$22222))</f>
        <v/>
      </c>
      <c r="C103" t="str">
        <f>IF(SUMIF(搜索词报告!$A$2:$A$22222,总体数据一览!A103,搜索词报告!$J$2:$J$22222)=0,"",SUMIF(搜索词报告!$A$2:$A$22222,总体数据一览!A103,搜索词报告!$J$2:$J$22222))</f>
        <v/>
      </c>
      <c r="D103" s="2" t="str">
        <f t="shared" si="6"/>
        <v/>
      </c>
      <c r="E103" t="str">
        <f t="shared" si="7"/>
        <v/>
      </c>
      <c r="F103" t="str">
        <f>IF(SUMIF(搜索词报告!$A$2:$A$22222,总体数据一览!A103,搜索词报告!$M$2:$M$22222)=0,"",SUMIF(搜索词报告!$A$2:$A$22222,总体数据一览!A103,搜索词报告!$M$2:$M$22222))</f>
        <v/>
      </c>
      <c r="G103" t="str">
        <f>IFERROR(IF(B103="","",SUMIF(搜索词报告!$A$2:$A$22222,总体数据一览!A103,搜索词报告!$V$2:$V$22222))+IF(B103="","",SUMIF(搜索词报告!$A$2:$A$22222,总体数据一览!A103,搜索词报告!$W$2:$W$22222)),"")</f>
        <v/>
      </c>
      <c r="H103" s="2" t="str">
        <f t="shared" si="8"/>
        <v/>
      </c>
    </row>
    <row r="104" spans="2:8" x14ac:dyDescent="0.15">
      <c r="B104" t="str">
        <f>IF(SUMIF(搜索词报告!$A$2:$A$22222,总体数据一览!A104,搜索词报告!$I$2:$I$22222)=0,"",SUMIF(搜索词报告!$A$2:$A$22222,总体数据一览!A104,搜索词报告!$I$2:$I$22222))</f>
        <v/>
      </c>
      <c r="C104" t="str">
        <f>IF(SUMIF(搜索词报告!$A$2:$A$22222,总体数据一览!A104,搜索词报告!$J$2:$J$22222)=0,"",SUMIF(搜索词报告!$A$2:$A$22222,总体数据一览!A104,搜索词报告!$J$2:$J$22222))</f>
        <v/>
      </c>
      <c r="D104" s="2" t="str">
        <f t="shared" si="6"/>
        <v/>
      </c>
      <c r="E104" t="str">
        <f t="shared" si="7"/>
        <v/>
      </c>
      <c r="F104" t="str">
        <f>IF(SUMIF(搜索词报告!$A$2:$A$22222,总体数据一览!A104,搜索词报告!$M$2:$M$22222)=0,"",SUMIF(搜索词报告!$A$2:$A$22222,总体数据一览!A104,搜索词报告!$M$2:$M$22222))</f>
        <v/>
      </c>
      <c r="G104" t="str">
        <f>IFERROR(IF(B104="","",SUMIF(搜索词报告!$A$2:$A$22222,总体数据一览!A104,搜索词报告!$V$2:$V$22222))+IF(B104="","",SUMIF(搜索词报告!$A$2:$A$22222,总体数据一览!A104,搜索词报告!$W$2:$W$22222)),"")</f>
        <v/>
      </c>
      <c r="H104" s="2" t="str">
        <f t="shared" si="8"/>
        <v/>
      </c>
    </row>
    <row r="105" spans="2:8" x14ac:dyDescent="0.15">
      <c r="B105" t="str">
        <f>IF(SUMIF(搜索词报告!$A$2:$A$22222,总体数据一览!A105,搜索词报告!$I$2:$I$22222)=0,"",SUMIF(搜索词报告!$A$2:$A$22222,总体数据一览!A105,搜索词报告!$I$2:$I$22222))</f>
        <v/>
      </c>
      <c r="C105" t="str">
        <f>IF(SUMIF(搜索词报告!$A$2:$A$22222,总体数据一览!A105,搜索词报告!$J$2:$J$22222)=0,"",SUMIF(搜索词报告!$A$2:$A$22222,总体数据一览!A105,搜索词报告!$J$2:$J$22222))</f>
        <v/>
      </c>
      <c r="D105" s="2" t="str">
        <f t="shared" si="6"/>
        <v/>
      </c>
      <c r="E105" t="str">
        <f t="shared" si="7"/>
        <v/>
      </c>
      <c r="F105" t="str">
        <f>IF(SUMIF(搜索词报告!$A$2:$A$22222,总体数据一览!A105,搜索词报告!$M$2:$M$22222)=0,"",SUMIF(搜索词报告!$A$2:$A$22222,总体数据一览!A105,搜索词报告!$M$2:$M$22222))</f>
        <v/>
      </c>
      <c r="G105" t="str">
        <f>IFERROR(IF(B105="","",SUMIF(搜索词报告!$A$2:$A$22222,总体数据一览!A105,搜索词报告!$V$2:$V$22222))+IF(B105="","",SUMIF(搜索词报告!$A$2:$A$22222,总体数据一览!A105,搜索词报告!$W$2:$W$22222)),"")</f>
        <v/>
      </c>
      <c r="H105" s="2" t="str">
        <f t="shared" si="8"/>
        <v/>
      </c>
    </row>
    <row r="106" spans="2:8" x14ac:dyDescent="0.15">
      <c r="B106" t="str">
        <f>IF(SUMIF(搜索词报告!$A$2:$A$22222,总体数据一览!A106,搜索词报告!$I$2:$I$22222)=0,"",SUMIF(搜索词报告!$A$2:$A$22222,总体数据一览!A106,搜索词报告!$I$2:$I$22222))</f>
        <v/>
      </c>
      <c r="C106" t="str">
        <f>IF(SUMIF(搜索词报告!$A$2:$A$22222,总体数据一览!A106,搜索词报告!$J$2:$J$22222)=0,"",SUMIF(搜索词报告!$A$2:$A$22222,总体数据一览!A106,搜索词报告!$J$2:$J$22222))</f>
        <v/>
      </c>
      <c r="D106" s="2" t="str">
        <f t="shared" si="6"/>
        <v/>
      </c>
      <c r="E106" t="str">
        <f t="shared" si="7"/>
        <v/>
      </c>
      <c r="F106" t="str">
        <f>IF(SUMIF(搜索词报告!$A$2:$A$22222,总体数据一览!A106,搜索词报告!$M$2:$M$22222)=0,"",SUMIF(搜索词报告!$A$2:$A$22222,总体数据一览!A106,搜索词报告!$M$2:$M$22222))</f>
        <v/>
      </c>
      <c r="G106" t="str">
        <f>IFERROR(IF(B106="","",SUMIF(搜索词报告!$A$2:$A$22222,总体数据一览!A106,搜索词报告!$V$2:$V$22222))+IF(B106="","",SUMIF(搜索词报告!$A$2:$A$22222,总体数据一览!A106,搜索词报告!$W$2:$W$22222)),"")</f>
        <v/>
      </c>
      <c r="H106" s="2" t="str">
        <f t="shared" si="8"/>
        <v/>
      </c>
    </row>
    <row r="107" spans="2:8" x14ac:dyDescent="0.15">
      <c r="B107" t="str">
        <f>IF(SUMIF(搜索词报告!$A$2:$A$22222,总体数据一览!A107,搜索词报告!$I$2:$I$22222)=0,"",SUMIF(搜索词报告!$A$2:$A$22222,总体数据一览!A107,搜索词报告!$I$2:$I$22222))</f>
        <v/>
      </c>
      <c r="C107" t="str">
        <f>IF(SUMIF(搜索词报告!$A$2:$A$22222,总体数据一览!A107,搜索词报告!$J$2:$J$22222)=0,"",SUMIF(搜索词报告!$A$2:$A$22222,总体数据一览!A107,搜索词报告!$J$2:$J$22222))</f>
        <v/>
      </c>
      <c r="D107" s="2" t="str">
        <f t="shared" si="6"/>
        <v/>
      </c>
      <c r="E107" t="str">
        <f t="shared" si="7"/>
        <v/>
      </c>
      <c r="F107" t="str">
        <f>IF(SUMIF(搜索词报告!$A$2:$A$22222,总体数据一览!A107,搜索词报告!$M$2:$M$22222)=0,"",SUMIF(搜索词报告!$A$2:$A$22222,总体数据一览!A107,搜索词报告!$M$2:$M$22222))</f>
        <v/>
      </c>
      <c r="G107" t="str">
        <f>IFERROR(IF(B107="","",SUMIF(搜索词报告!$A$2:$A$22222,总体数据一览!A107,搜索词报告!$V$2:$V$22222))+IF(B107="","",SUMIF(搜索词报告!$A$2:$A$22222,总体数据一览!A107,搜索词报告!$W$2:$W$22222)),"")</f>
        <v/>
      </c>
      <c r="H107" s="2" t="str">
        <f t="shared" si="8"/>
        <v/>
      </c>
    </row>
    <row r="108" spans="2:8" x14ac:dyDescent="0.15">
      <c r="B108" t="str">
        <f>IF(SUMIF(搜索词报告!$A$2:$A$22222,总体数据一览!A108,搜索词报告!$I$2:$I$22222)=0,"",SUMIF(搜索词报告!$A$2:$A$22222,总体数据一览!A108,搜索词报告!$I$2:$I$22222))</f>
        <v/>
      </c>
      <c r="C108" t="str">
        <f>IF(SUMIF(搜索词报告!$A$2:$A$22222,总体数据一览!A108,搜索词报告!$J$2:$J$22222)=0,"",SUMIF(搜索词报告!$A$2:$A$22222,总体数据一览!A108,搜索词报告!$J$2:$J$22222))</f>
        <v/>
      </c>
      <c r="D108" s="2" t="str">
        <f t="shared" si="6"/>
        <v/>
      </c>
      <c r="E108" t="str">
        <f t="shared" si="7"/>
        <v/>
      </c>
      <c r="F108" t="str">
        <f>IF(SUMIF(搜索词报告!$A$2:$A$22222,总体数据一览!A108,搜索词报告!$M$2:$M$22222)=0,"",SUMIF(搜索词报告!$A$2:$A$22222,总体数据一览!A108,搜索词报告!$M$2:$M$22222))</f>
        <v/>
      </c>
      <c r="G108" t="str">
        <f>IFERROR(IF(B108="","",SUMIF(搜索词报告!$A$2:$A$22222,总体数据一览!A108,搜索词报告!$V$2:$V$22222))+IF(B108="","",SUMIF(搜索词报告!$A$2:$A$22222,总体数据一览!A108,搜索词报告!$W$2:$W$22222)),"")</f>
        <v/>
      </c>
      <c r="H108" s="2" t="str">
        <f t="shared" si="8"/>
        <v/>
      </c>
    </row>
    <row r="109" spans="2:8" x14ac:dyDescent="0.15">
      <c r="B109" t="str">
        <f>IF(SUMIF(搜索词报告!$A$2:$A$22222,总体数据一览!A109,搜索词报告!$I$2:$I$22222)=0,"",SUMIF(搜索词报告!$A$2:$A$22222,总体数据一览!A109,搜索词报告!$I$2:$I$22222))</f>
        <v/>
      </c>
      <c r="C109" t="str">
        <f>IF(SUMIF(搜索词报告!$A$2:$A$22222,总体数据一览!A109,搜索词报告!$J$2:$J$22222)=0,"",SUMIF(搜索词报告!$A$2:$A$22222,总体数据一览!A109,搜索词报告!$J$2:$J$22222))</f>
        <v/>
      </c>
      <c r="D109" s="2" t="str">
        <f t="shared" si="6"/>
        <v/>
      </c>
      <c r="E109" t="str">
        <f t="shared" si="7"/>
        <v/>
      </c>
      <c r="F109" t="str">
        <f>IF(SUMIF(搜索词报告!$A$2:$A$22222,总体数据一览!A109,搜索词报告!$M$2:$M$22222)=0,"",SUMIF(搜索词报告!$A$2:$A$22222,总体数据一览!A109,搜索词报告!$M$2:$M$22222))</f>
        <v/>
      </c>
      <c r="G109" t="str">
        <f>IFERROR(IF(B109="","",SUMIF(搜索词报告!$A$2:$A$22222,总体数据一览!A109,搜索词报告!$V$2:$V$22222))+IF(B109="","",SUMIF(搜索词报告!$A$2:$A$22222,总体数据一览!A109,搜索词报告!$W$2:$W$22222)),"")</f>
        <v/>
      </c>
      <c r="H109" s="2" t="str">
        <f t="shared" si="8"/>
        <v/>
      </c>
    </row>
    <row r="110" spans="2:8" x14ac:dyDescent="0.15">
      <c r="B110" t="str">
        <f>IF(SUMIF(搜索词报告!$A$2:$A$22222,总体数据一览!A110,搜索词报告!$I$2:$I$22222)=0,"",SUMIF(搜索词报告!$A$2:$A$22222,总体数据一览!A110,搜索词报告!$I$2:$I$22222))</f>
        <v/>
      </c>
      <c r="C110" t="str">
        <f>IF(SUMIF(搜索词报告!$A$2:$A$22222,总体数据一览!A110,搜索词报告!$J$2:$J$22222)=0,"",SUMIF(搜索词报告!$A$2:$A$22222,总体数据一览!A110,搜索词报告!$J$2:$J$22222))</f>
        <v/>
      </c>
      <c r="D110" s="2" t="str">
        <f t="shared" si="6"/>
        <v/>
      </c>
      <c r="E110" t="str">
        <f t="shared" si="7"/>
        <v/>
      </c>
      <c r="F110" t="str">
        <f>IF(SUMIF(搜索词报告!$A$2:$A$22222,总体数据一览!A110,搜索词报告!$M$2:$M$22222)=0,"",SUMIF(搜索词报告!$A$2:$A$22222,总体数据一览!A110,搜索词报告!$M$2:$M$22222))</f>
        <v/>
      </c>
      <c r="G110" t="str">
        <f>IFERROR(IF(B110="","",SUMIF(搜索词报告!$A$2:$A$22222,总体数据一览!A110,搜索词报告!$V$2:$V$22222))+IF(B110="","",SUMIF(搜索词报告!$A$2:$A$22222,总体数据一览!A110,搜索词报告!$W$2:$W$22222)),"")</f>
        <v/>
      </c>
      <c r="H110" s="2" t="str">
        <f t="shared" si="8"/>
        <v/>
      </c>
    </row>
    <row r="111" spans="2:8" x14ac:dyDescent="0.15">
      <c r="B111" t="str">
        <f>IF(SUMIF(搜索词报告!$A$2:$A$22222,总体数据一览!A111,搜索词报告!$I$2:$I$22222)=0,"",SUMIF(搜索词报告!$A$2:$A$22222,总体数据一览!A111,搜索词报告!$I$2:$I$22222))</f>
        <v/>
      </c>
      <c r="C111" t="str">
        <f>IF(SUMIF(搜索词报告!$A$2:$A$22222,总体数据一览!A111,搜索词报告!$J$2:$J$22222)=0,"",SUMIF(搜索词报告!$A$2:$A$22222,总体数据一览!A111,搜索词报告!$J$2:$J$22222))</f>
        <v/>
      </c>
      <c r="D111" s="2" t="str">
        <f t="shared" si="6"/>
        <v/>
      </c>
      <c r="E111" t="str">
        <f t="shared" si="7"/>
        <v/>
      </c>
      <c r="F111" t="str">
        <f>IF(SUMIF(搜索词报告!$A$2:$A$22222,总体数据一览!A111,搜索词报告!$M$2:$M$22222)=0,"",SUMIF(搜索词报告!$A$2:$A$22222,总体数据一览!A111,搜索词报告!$M$2:$M$22222))</f>
        <v/>
      </c>
      <c r="G111" t="str">
        <f>IFERROR(IF(B111="","",SUMIF(搜索词报告!$A$2:$A$22222,总体数据一览!A111,搜索词报告!$V$2:$V$22222))+IF(B111="","",SUMIF(搜索词报告!$A$2:$A$22222,总体数据一览!A111,搜索词报告!$W$2:$W$22222)),"")</f>
        <v/>
      </c>
      <c r="H111" s="2" t="str">
        <f t="shared" si="8"/>
        <v/>
      </c>
    </row>
    <row r="112" spans="2:8" x14ac:dyDescent="0.15">
      <c r="B112" t="str">
        <f>IF(SUMIF(搜索词报告!$A$2:$A$22222,总体数据一览!A112,搜索词报告!$I$2:$I$22222)=0,"",SUMIF(搜索词报告!$A$2:$A$22222,总体数据一览!A112,搜索词报告!$I$2:$I$22222))</f>
        <v/>
      </c>
      <c r="C112" t="str">
        <f>IF(SUMIF(搜索词报告!$A$2:$A$22222,总体数据一览!A112,搜索词报告!$J$2:$J$22222)=0,"",SUMIF(搜索词报告!$A$2:$A$22222,总体数据一览!A112,搜索词报告!$J$2:$J$22222))</f>
        <v/>
      </c>
      <c r="D112" s="2" t="str">
        <f t="shared" si="6"/>
        <v/>
      </c>
      <c r="E112" t="str">
        <f t="shared" si="7"/>
        <v/>
      </c>
      <c r="F112" t="str">
        <f>IF(SUMIF(搜索词报告!$A$2:$A$22222,总体数据一览!A112,搜索词报告!$M$2:$M$22222)=0,"",SUMIF(搜索词报告!$A$2:$A$22222,总体数据一览!A112,搜索词报告!$M$2:$M$22222))</f>
        <v/>
      </c>
      <c r="G112" t="str">
        <f>IFERROR(IF(B112="","",SUMIF(搜索词报告!$A$2:$A$22222,总体数据一览!A112,搜索词报告!$V$2:$V$22222))+IF(B112="","",SUMIF(搜索词报告!$A$2:$A$22222,总体数据一览!A112,搜索词报告!$W$2:$W$22222)),"")</f>
        <v/>
      </c>
      <c r="H112" s="2" t="str">
        <f t="shared" si="8"/>
        <v/>
      </c>
    </row>
    <row r="113" spans="2:8" x14ac:dyDescent="0.15">
      <c r="B113" t="str">
        <f>IF(SUMIF(搜索词报告!$A$2:$A$22222,总体数据一览!A113,搜索词报告!$I$2:$I$22222)=0,"",SUMIF(搜索词报告!$A$2:$A$22222,总体数据一览!A113,搜索词报告!$I$2:$I$22222))</f>
        <v/>
      </c>
      <c r="C113" t="str">
        <f>IF(SUMIF(搜索词报告!$A$2:$A$22222,总体数据一览!A113,搜索词报告!$J$2:$J$22222)=0,"",SUMIF(搜索词报告!$A$2:$A$22222,总体数据一览!A113,搜索词报告!$J$2:$J$22222))</f>
        <v/>
      </c>
      <c r="D113" s="2" t="str">
        <f t="shared" si="6"/>
        <v/>
      </c>
      <c r="E113" t="str">
        <f t="shared" si="7"/>
        <v/>
      </c>
      <c r="F113" t="str">
        <f>IF(SUMIF(搜索词报告!$A$2:$A$22222,总体数据一览!A113,搜索词报告!$M$2:$M$22222)=0,"",SUMIF(搜索词报告!$A$2:$A$22222,总体数据一览!A113,搜索词报告!$M$2:$M$22222))</f>
        <v/>
      </c>
      <c r="G113" t="str">
        <f>IFERROR(IF(B113="","",SUMIF(搜索词报告!$A$2:$A$22222,总体数据一览!A113,搜索词报告!$V$2:$V$22222))+IF(B113="","",SUMIF(搜索词报告!$A$2:$A$22222,总体数据一览!A113,搜索词报告!$W$2:$W$22222)),"")</f>
        <v/>
      </c>
      <c r="H113" s="2" t="str">
        <f t="shared" si="8"/>
        <v/>
      </c>
    </row>
    <row r="114" spans="2:8" x14ac:dyDescent="0.15">
      <c r="B114" t="str">
        <f>IF(SUMIF(搜索词报告!$A$2:$A$22222,总体数据一览!A114,搜索词报告!$I$2:$I$22222)=0,"",SUMIF(搜索词报告!$A$2:$A$22222,总体数据一览!A114,搜索词报告!$I$2:$I$22222))</f>
        <v/>
      </c>
      <c r="C114" t="str">
        <f>IF(SUMIF(搜索词报告!$A$2:$A$22222,总体数据一览!A114,搜索词报告!$J$2:$J$22222)=0,"",SUMIF(搜索词报告!$A$2:$A$22222,总体数据一览!A114,搜索词报告!$J$2:$J$22222))</f>
        <v/>
      </c>
      <c r="D114" s="2" t="str">
        <f t="shared" si="6"/>
        <v/>
      </c>
      <c r="E114" t="str">
        <f t="shared" si="7"/>
        <v/>
      </c>
      <c r="F114" t="str">
        <f>IF(SUMIF(搜索词报告!$A$2:$A$22222,总体数据一览!A114,搜索词报告!$M$2:$M$22222)=0,"",SUMIF(搜索词报告!$A$2:$A$22222,总体数据一览!A114,搜索词报告!$M$2:$M$22222))</f>
        <v/>
      </c>
      <c r="G114" t="str">
        <f>IFERROR(IF(B114="","",SUMIF(搜索词报告!$A$2:$A$22222,总体数据一览!A114,搜索词报告!$V$2:$V$22222))+IF(B114="","",SUMIF(搜索词报告!$A$2:$A$22222,总体数据一览!A114,搜索词报告!$W$2:$W$22222)),"")</f>
        <v/>
      </c>
      <c r="H114" s="2" t="str">
        <f t="shared" si="8"/>
        <v/>
      </c>
    </row>
    <row r="115" spans="2:8" x14ac:dyDescent="0.15">
      <c r="B115" t="str">
        <f>IF(SUMIF(搜索词报告!$A$2:$A$22222,总体数据一览!A115,搜索词报告!$I$2:$I$22222)=0,"",SUMIF(搜索词报告!$A$2:$A$22222,总体数据一览!A115,搜索词报告!$I$2:$I$22222))</f>
        <v/>
      </c>
      <c r="C115" t="str">
        <f>IF(SUMIF(搜索词报告!$A$2:$A$22222,总体数据一览!A115,搜索词报告!$J$2:$J$22222)=0,"",SUMIF(搜索词报告!$A$2:$A$22222,总体数据一览!A115,搜索词报告!$J$2:$J$22222))</f>
        <v/>
      </c>
      <c r="D115" s="2" t="str">
        <f t="shared" si="6"/>
        <v/>
      </c>
      <c r="E115" t="str">
        <f t="shared" si="7"/>
        <v/>
      </c>
      <c r="F115" t="str">
        <f>IF(SUMIF(搜索词报告!$A$2:$A$22222,总体数据一览!A115,搜索词报告!$M$2:$M$22222)=0,"",SUMIF(搜索词报告!$A$2:$A$22222,总体数据一览!A115,搜索词报告!$M$2:$M$22222))</f>
        <v/>
      </c>
      <c r="G115" t="str">
        <f>IFERROR(IF(B115="","",SUMIF(搜索词报告!$A$2:$A$22222,总体数据一览!A115,搜索词报告!$V$2:$V$22222))+IF(B115="","",SUMIF(搜索词报告!$A$2:$A$22222,总体数据一览!A115,搜索词报告!$W$2:$W$22222)),"")</f>
        <v/>
      </c>
      <c r="H115" s="2" t="str">
        <f t="shared" si="8"/>
        <v/>
      </c>
    </row>
    <row r="116" spans="2:8" x14ac:dyDescent="0.15">
      <c r="B116" t="str">
        <f>IF(SUMIF(搜索词报告!$A$2:$A$22222,总体数据一览!A116,搜索词报告!$I$2:$I$22222)=0,"",SUMIF(搜索词报告!$A$2:$A$22222,总体数据一览!A116,搜索词报告!$I$2:$I$22222))</f>
        <v/>
      </c>
      <c r="C116" t="str">
        <f>IF(SUMIF(搜索词报告!$A$2:$A$22222,总体数据一览!A116,搜索词报告!$J$2:$J$22222)=0,"",SUMIF(搜索词报告!$A$2:$A$22222,总体数据一览!A116,搜索词报告!$J$2:$J$22222))</f>
        <v/>
      </c>
      <c r="D116" s="2" t="str">
        <f t="shared" si="6"/>
        <v/>
      </c>
      <c r="E116" t="str">
        <f t="shared" si="7"/>
        <v/>
      </c>
      <c r="F116" t="str">
        <f>IF(SUMIF(搜索词报告!$A$2:$A$22222,总体数据一览!A116,搜索词报告!$M$2:$M$22222)=0,"",SUMIF(搜索词报告!$A$2:$A$22222,总体数据一览!A116,搜索词报告!$M$2:$M$22222))</f>
        <v/>
      </c>
      <c r="G116" t="str">
        <f>IFERROR(IF(B116="","",SUMIF(搜索词报告!$A$2:$A$22222,总体数据一览!A116,搜索词报告!$V$2:$V$22222))+IF(B116="","",SUMIF(搜索词报告!$A$2:$A$22222,总体数据一览!A116,搜索词报告!$W$2:$W$22222)),"")</f>
        <v/>
      </c>
      <c r="H116" s="2" t="str">
        <f t="shared" si="8"/>
        <v/>
      </c>
    </row>
    <row r="117" spans="2:8" x14ac:dyDescent="0.15">
      <c r="B117" t="str">
        <f>IF(SUMIF(搜索词报告!$A$2:$A$22222,总体数据一览!A117,搜索词报告!$I$2:$I$22222)=0,"",SUMIF(搜索词报告!$A$2:$A$22222,总体数据一览!A117,搜索词报告!$I$2:$I$22222))</f>
        <v/>
      </c>
      <c r="C117" t="str">
        <f>IF(SUMIF(搜索词报告!$A$2:$A$22222,总体数据一览!A117,搜索词报告!$J$2:$J$22222)=0,"",SUMIF(搜索词报告!$A$2:$A$22222,总体数据一览!A117,搜索词报告!$J$2:$J$22222))</f>
        <v/>
      </c>
      <c r="D117" s="2" t="str">
        <f t="shared" si="6"/>
        <v/>
      </c>
      <c r="E117" t="str">
        <f t="shared" si="7"/>
        <v/>
      </c>
      <c r="F117" t="str">
        <f>IF(SUMIF(搜索词报告!$A$2:$A$22222,总体数据一览!A117,搜索词报告!$M$2:$M$22222)=0,"",SUMIF(搜索词报告!$A$2:$A$22222,总体数据一览!A117,搜索词报告!$M$2:$M$22222))</f>
        <v/>
      </c>
      <c r="G117" t="str">
        <f>IFERROR(IF(B117="","",SUMIF(搜索词报告!$A$2:$A$22222,总体数据一览!A117,搜索词报告!$V$2:$V$22222))+IF(B117="","",SUMIF(搜索词报告!$A$2:$A$22222,总体数据一览!A117,搜索词报告!$W$2:$W$22222)),"")</f>
        <v/>
      </c>
      <c r="H117" s="2" t="str">
        <f t="shared" si="8"/>
        <v/>
      </c>
    </row>
    <row r="118" spans="2:8" x14ac:dyDescent="0.15">
      <c r="B118" t="str">
        <f>IF(SUMIF(搜索词报告!$A$2:$A$22222,总体数据一览!A118,搜索词报告!$I$2:$I$22222)=0,"",SUMIF(搜索词报告!$A$2:$A$22222,总体数据一览!A118,搜索词报告!$I$2:$I$22222))</f>
        <v/>
      </c>
      <c r="C118" t="str">
        <f>IF(SUMIF(搜索词报告!$A$2:$A$22222,总体数据一览!A118,搜索词报告!$J$2:$J$22222)=0,"",SUMIF(搜索词报告!$A$2:$A$22222,总体数据一览!A118,搜索词报告!$J$2:$J$22222))</f>
        <v/>
      </c>
      <c r="D118" s="2" t="str">
        <f t="shared" si="6"/>
        <v/>
      </c>
      <c r="E118" t="str">
        <f t="shared" si="7"/>
        <v/>
      </c>
      <c r="F118" t="str">
        <f>IF(SUMIF(搜索词报告!$A$2:$A$22222,总体数据一览!A118,搜索词报告!$M$2:$M$22222)=0,"",SUMIF(搜索词报告!$A$2:$A$22222,总体数据一览!A118,搜索词报告!$M$2:$M$22222))</f>
        <v/>
      </c>
      <c r="G118" t="str">
        <f>IFERROR(IF(B118="","",SUMIF(搜索词报告!$A$2:$A$22222,总体数据一览!A118,搜索词报告!$V$2:$V$22222))+IF(B118="","",SUMIF(搜索词报告!$A$2:$A$22222,总体数据一览!A118,搜索词报告!$W$2:$W$22222)),"")</f>
        <v/>
      </c>
      <c r="H118" s="2" t="str">
        <f t="shared" si="8"/>
        <v/>
      </c>
    </row>
    <row r="119" spans="2:8" x14ac:dyDescent="0.15">
      <c r="B119" t="str">
        <f>IF(SUMIF(搜索词报告!$A$2:$A$22222,总体数据一览!A119,搜索词报告!$I$2:$I$22222)=0,"",SUMIF(搜索词报告!$A$2:$A$22222,总体数据一览!A119,搜索词报告!$I$2:$I$22222))</f>
        <v/>
      </c>
      <c r="C119" t="str">
        <f>IF(SUMIF(搜索词报告!$A$2:$A$22222,总体数据一览!A119,搜索词报告!$J$2:$J$22222)=0,"",SUMIF(搜索词报告!$A$2:$A$22222,总体数据一览!A119,搜索词报告!$J$2:$J$22222))</f>
        <v/>
      </c>
      <c r="D119" s="2" t="str">
        <f t="shared" si="6"/>
        <v/>
      </c>
      <c r="E119" t="str">
        <f t="shared" si="7"/>
        <v/>
      </c>
      <c r="F119" t="str">
        <f>IF(SUMIF(搜索词报告!$A$2:$A$22222,总体数据一览!A119,搜索词报告!$M$2:$M$22222)=0,"",SUMIF(搜索词报告!$A$2:$A$22222,总体数据一览!A119,搜索词报告!$M$2:$M$22222))</f>
        <v/>
      </c>
      <c r="G119" t="str">
        <f>IFERROR(IF(B119="","",SUMIF(搜索词报告!$A$2:$A$22222,总体数据一览!A119,搜索词报告!$V$2:$V$22222))+IF(B119="","",SUMIF(搜索词报告!$A$2:$A$22222,总体数据一览!A119,搜索词报告!$W$2:$W$22222)),"")</f>
        <v/>
      </c>
      <c r="H119" s="2" t="str">
        <f t="shared" si="8"/>
        <v/>
      </c>
    </row>
    <row r="120" spans="2:8" x14ac:dyDescent="0.15">
      <c r="B120" t="str">
        <f>IF(SUMIF(搜索词报告!$A$2:$A$22222,总体数据一览!A120,搜索词报告!$I$2:$I$22222)=0,"",SUMIF(搜索词报告!$A$2:$A$22222,总体数据一览!A120,搜索词报告!$I$2:$I$22222))</f>
        <v/>
      </c>
      <c r="C120" t="str">
        <f>IF(SUMIF(搜索词报告!$A$2:$A$22222,总体数据一览!A120,搜索词报告!$J$2:$J$22222)=0,"",SUMIF(搜索词报告!$A$2:$A$22222,总体数据一览!A120,搜索词报告!$J$2:$J$22222))</f>
        <v/>
      </c>
      <c r="D120" s="2" t="str">
        <f t="shared" si="6"/>
        <v/>
      </c>
      <c r="E120" t="str">
        <f t="shared" si="7"/>
        <v/>
      </c>
      <c r="F120" t="str">
        <f>IF(SUMIF(搜索词报告!$A$2:$A$22222,总体数据一览!A120,搜索词报告!$M$2:$M$22222)=0,"",SUMIF(搜索词报告!$A$2:$A$22222,总体数据一览!A120,搜索词报告!$M$2:$M$22222))</f>
        <v/>
      </c>
      <c r="G120" t="str">
        <f>IFERROR(IF(B120="","",SUMIF(搜索词报告!$A$2:$A$22222,总体数据一览!A120,搜索词报告!$V$2:$V$22222))+IF(B120="","",SUMIF(搜索词报告!$A$2:$A$22222,总体数据一览!A120,搜索词报告!$W$2:$W$22222)),"")</f>
        <v/>
      </c>
      <c r="H120" s="2" t="str">
        <f t="shared" si="8"/>
        <v/>
      </c>
    </row>
    <row r="121" spans="2:8" x14ac:dyDescent="0.15">
      <c r="B121" t="str">
        <f>IF(SUMIF(搜索词报告!$A$2:$A$22222,总体数据一览!A121,搜索词报告!$I$2:$I$22222)=0,"",SUMIF(搜索词报告!$A$2:$A$22222,总体数据一览!A121,搜索词报告!$I$2:$I$22222))</f>
        <v/>
      </c>
      <c r="C121" t="str">
        <f>IF(SUMIF(搜索词报告!$A$2:$A$22222,总体数据一览!A121,搜索词报告!$J$2:$J$22222)=0,"",SUMIF(搜索词报告!$A$2:$A$22222,总体数据一览!A121,搜索词报告!$J$2:$J$22222))</f>
        <v/>
      </c>
      <c r="D121" s="2" t="str">
        <f t="shared" si="6"/>
        <v/>
      </c>
      <c r="E121" t="str">
        <f t="shared" si="7"/>
        <v/>
      </c>
      <c r="F121" t="str">
        <f>IF(SUMIF(搜索词报告!$A$2:$A$22222,总体数据一览!A121,搜索词报告!$M$2:$M$22222)=0,"",SUMIF(搜索词报告!$A$2:$A$22222,总体数据一览!A121,搜索词报告!$M$2:$M$22222))</f>
        <v/>
      </c>
      <c r="G121" t="str">
        <f>IFERROR(IF(B121="","",SUMIF(搜索词报告!$A$2:$A$22222,总体数据一览!A121,搜索词报告!$V$2:$V$22222))+IF(B121="","",SUMIF(搜索词报告!$A$2:$A$22222,总体数据一览!A121,搜索词报告!$W$2:$W$22222)),"")</f>
        <v/>
      </c>
      <c r="H121" s="2" t="str">
        <f t="shared" si="8"/>
        <v/>
      </c>
    </row>
    <row r="122" spans="2:8" x14ac:dyDescent="0.15">
      <c r="B122" t="str">
        <f>IF(SUMIF(搜索词报告!$A$2:$A$22222,总体数据一览!A122,搜索词报告!$I$2:$I$22222)=0,"",SUMIF(搜索词报告!$A$2:$A$22222,总体数据一览!A122,搜索词报告!$I$2:$I$22222))</f>
        <v/>
      </c>
      <c r="C122" t="str">
        <f>IF(SUMIF(搜索词报告!$A$2:$A$22222,总体数据一览!A122,搜索词报告!$J$2:$J$22222)=0,"",SUMIF(搜索词报告!$A$2:$A$22222,总体数据一览!A122,搜索词报告!$J$2:$J$22222))</f>
        <v/>
      </c>
      <c r="D122" s="2" t="str">
        <f t="shared" si="6"/>
        <v/>
      </c>
      <c r="E122" t="str">
        <f t="shared" si="7"/>
        <v/>
      </c>
      <c r="F122" t="str">
        <f>IF(SUMIF(搜索词报告!$A$2:$A$22222,总体数据一览!A122,搜索词报告!$M$2:$M$22222)=0,"",SUMIF(搜索词报告!$A$2:$A$22222,总体数据一览!A122,搜索词报告!$M$2:$M$22222))</f>
        <v/>
      </c>
      <c r="G122" t="str">
        <f>IFERROR(IF(B122="","",SUMIF(搜索词报告!$A$2:$A$22222,总体数据一览!A122,搜索词报告!$V$2:$V$22222))+IF(B122="","",SUMIF(搜索词报告!$A$2:$A$22222,总体数据一览!A122,搜索词报告!$W$2:$W$22222)),"")</f>
        <v/>
      </c>
      <c r="H122" s="2" t="str">
        <f t="shared" si="8"/>
        <v/>
      </c>
    </row>
    <row r="123" spans="2:8" x14ac:dyDescent="0.15">
      <c r="B123" t="str">
        <f>IF(SUMIF(搜索词报告!$A$2:$A$22222,总体数据一览!A123,搜索词报告!$I$2:$I$22222)=0,"",SUMIF(搜索词报告!$A$2:$A$22222,总体数据一览!A123,搜索词报告!$I$2:$I$22222))</f>
        <v/>
      </c>
      <c r="C123" t="str">
        <f>IF(SUMIF(搜索词报告!$A$2:$A$22222,总体数据一览!A123,搜索词报告!$J$2:$J$22222)=0,"",SUMIF(搜索词报告!$A$2:$A$22222,总体数据一览!A123,搜索词报告!$J$2:$J$22222))</f>
        <v/>
      </c>
      <c r="D123" s="2" t="str">
        <f t="shared" si="6"/>
        <v/>
      </c>
      <c r="E123" t="str">
        <f t="shared" si="7"/>
        <v/>
      </c>
      <c r="F123" t="str">
        <f>IF(SUMIF(搜索词报告!$A$2:$A$22222,总体数据一览!A123,搜索词报告!$M$2:$M$22222)=0,"",SUMIF(搜索词报告!$A$2:$A$22222,总体数据一览!A123,搜索词报告!$M$2:$M$22222))</f>
        <v/>
      </c>
      <c r="G123" t="str">
        <f>IFERROR(IF(B123="","",SUMIF(搜索词报告!$A$2:$A$22222,总体数据一览!A123,搜索词报告!$V$2:$V$22222))+IF(B123="","",SUMIF(搜索词报告!$A$2:$A$22222,总体数据一览!A123,搜索词报告!$W$2:$W$22222)),"")</f>
        <v/>
      </c>
      <c r="H123" s="2" t="str">
        <f t="shared" si="8"/>
        <v/>
      </c>
    </row>
    <row r="124" spans="2:8" x14ac:dyDescent="0.15">
      <c r="B124" t="str">
        <f>IF(SUMIF(搜索词报告!$A$2:$A$22222,总体数据一览!A124,搜索词报告!$I$2:$I$22222)=0,"",SUMIF(搜索词报告!$A$2:$A$22222,总体数据一览!A124,搜索词报告!$I$2:$I$22222))</f>
        <v/>
      </c>
      <c r="C124" t="str">
        <f>IF(SUMIF(搜索词报告!$A$2:$A$22222,总体数据一览!A124,搜索词报告!$J$2:$J$22222)=0,"",SUMIF(搜索词报告!$A$2:$A$22222,总体数据一览!A124,搜索词报告!$J$2:$J$22222))</f>
        <v/>
      </c>
      <c r="D124" s="2" t="str">
        <f t="shared" si="6"/>
        <v/>
      </c>
      <c r="E124" t="str">
        <f t="shared" si="7"/>
        <v/>
      </c>
      <c r="F124" t="str">
        <f>IF(SUMIF(搜索词报告!$A$2:$A$22222,总体数据一览!A124,搜索词报告!$M$2:$M$22222)=0,"",SUMIF(搜索词报告!$A$2:$A$22222,总体数据一览!A124,搜索词报告!$M$2:$M$22222))</f>
        <v/>
      </c>
      <c r="G124" t="str">
        <f>IFERROR(IF(B124="","",SUMIF(搜索词报告!$A$2:$A$22222,总体数据一览!A124,搜索词报告!$V$2:$V$22222))+IF(B124="","",SUMIF(搜索词报告!$A$2:$A$22222,总体数据一览!A124,搜索词报告!$W$2:$W$22222)),"")</f>
        <v/>
      </c>
      <c r="H124" s="2" t="str">
        <f t="shared" si="8"/>
        <v/>
      </c>
    </row>
    <row r="125" spans="2:8" x14ac:dyDescent="0.15">
      <c r="B125" t="str">
        <f>IF(SUMIF(搜索词报告!$A$2:$A$22222,总体数据一览!A125,搜索词报告!$I$2:$I$22222)=0,"",SUMIF(搜索词报告!$A$2:$A$22222,总体数据一览!A125,搜索词报告!$I$2:$I$22222))</f>
        <v/>
      </c>
      <c r="C125" t="str">
        <f>IF(SUMIF(搜索词报告!$A$2:$A$22222,总体数据一览!A125,搜索词报告!$J$2:$J$22222)=0,"",SUMIF(搜索词报告!$A$2:$A$22222,总体数据一览!A125,搜索词报告!$J$2:$J$22222))</f>
        <v/>
      </c>
      <c r="D125" s="2" t="str">
        <f t="shared" si="6"/>
        <v/>
      </c>
      <c r="E125" t="str">
        <f t="shared" si="7"/>
        <v/>
      </c>
      <c r="F125" t="str">
        <f>IF(SUMIF(搜索词报告!$A$2:$A$22222,总体数据一览!A125,搜索词报告!$M$2:$M$22222)=0,"",SUMIF(搜索词报告!$A$2:$A$22222,总体数据一览!A125,搜索词报告!$M$2:$M$22222))</f>
        <v/>
      </c>
      <c r="G125" t="str">
        <f>IFERROR(IF(B125="","",SUMIF(搜索词报告!$A$2:$A$22222,总体数据一览!A125,搜索词报告!$V$2:$V$22222))+IF(B125="","",SUMIF(搜索词报告!$A$2:$A$22222,总体数据一览!A125,搜索词报告!$W$2:$W$22222)),"")</f>
        <v/>
      </c>
      <c r="H125" s="2" t="str">
        <f t="shared" si="8"/>
        <v/>
      </c>
    </row>
    <row r="126" spans="2:8" x14ac:dyDescent="0.15">
      <c r="B126" t="str">
        <f>IF(SUMIF(搜索词报告!$A$2:$A$22222,总体数据一览!A126,搜索词报告!$I$2:$I$22222)=0,"",SUMIF(搜索词报告!$A$2:$A$22222,总体数据一览!A126,搜索词报告!$I$2:$I$22222))</f>
        <v/>
      </c>
      <c r="C126" t="str">
        <f>IF(SUMIF(搜索词报告!$A$2:$A$22222,总体数据一览!A126,搜索词报告!$J$2:$J$22222)=0,"",SUMIF(搜索词报告!$A$2:$A$22222,总体数据一览!A126,搜索词报告!$J$2:$J$22222))</f>
        <v/>
      </c>
      <c r="D126" s="2" t="str">
        <f t="shared" si="6"/>
        <v/>
      </c>
      <c r="E126" t="str">
        <f t="shared" si="7"/>
        <v/>
      </c>
      <c r="F126" t="str">
        <f>IF(SUMIF(搜索词报告!$A$2:$A$22222,总体数据一览!A126,搜索词报告!$M$2:$M$22222)=0,"",SUMIF(搜索词报告!$A$2:$A$22222,总体数据一览!A126,搜索词报告!$M$2:$M$22222))</f>
        <v/>
      </c>
      <c r="G126" t="str">
        <f>IFERROR(IF(B126="","",SUMIF(搜索词报告!$A$2:$A$22222,总体数据一览!A126,搜索词报告!$V$2:$V$22222))+IF(B126="","",SUMIF(搜索词报告!$A$2:$A$22222,总体数据一览!A126,搜索词报告!$W$2:$W$22222)),"")</f>
        <v/>
      </c>
      <c r="H126" s="2" t="str">
        <f t="shared" si="8"/>
        <v/>
      </c>
    </row>
    <row r="127" spans="2:8" x14ac:dyDescent="0.15">
      <c r="B127" t="str">
        <f>IF(SUMIF(搜索词报告!$A$2:$A$22222,总体数据一览!A127,搜索词报告!$I$2:$I$22222)=0,"",SUMIF(搜索词报告!$A$2:$A$22222,总体数据一览!A127,搜索词报告!$I$2:$I$22222))</f>
        <v/>
      </c>
      <c r="C127" t="str">
        <f>IF(SUMIF(搜索词报告!$A$2:$A$22222,总体数据一览!A127,搜索词报告!$J$2:$J$22222)=0,"",SUMIF(搜索词报告!$A$2:$A$22222,总体数据一览!A127,搜索词报告!$J$2:$J$22222))</f>
        <v/>
      </c>
      <c r="D127" s="2" t="str">
        <f t="shared" si="6"/>
        <v/>
      </c>
      <c r="E127" t="str">
        <f t="shared" si="7"/>
        <v/>
      </c>
      <c r="F127" t="str">
        <f>IF(SUMIF(搜索词报告!$A$2:$A$22222,总体数据一览!A127,搜索词报告!$M$2:$M$22222)=0,"",SUMIF(搜索词报告!$A$2:$A$22222,总体数据一览!A127,搜索词报告!$M$2:$M$22222))</f>
        <v/>
      </c>
      <c r="G127" t="str">
        <f>IFERROR(IF(B127="","",SUMIF(搜索词报告!$A$2:$A$22222,总体数据一览!A127,搜索词报告!$V$2:$V$22222))+IF(B127="","",SUMIF(搜索词报告!$A$2:$A$22222,总体数据一览!A127,搜索词报告!$W$2:$W$22222)),"")</f>
        <v/>
      </c>
      <c r="H127" s="2" t="str">
        <f t="shared" si="8"/>
        <v/>
      </c>
    </row>
    <row r="128" spans="2:8" x14ac:dyDescent="0.15">
      <c r="B128" t="str">
        <f>IF(SUMIF(搜索词报告!$A$2:$A$22222,总体数据一览!A128,搜索词报告!$I$2:$I$22222)=0,"",SUMIF(搜索词报告!$A$2:$A$22222,总体数据一览!A128,搜索词报告!$I$2:$I$22222))</f>
        <v/>
      </c>
      <c r="C128" t="str">
        <f>IF(SUMIF(搜索词报告!$A$2:$A$22222,总体数据一览!A128,搜索词报告!$J$2:$J$22222)=0,"",SUMIF(搜索词报告!$A$2:$A$22222,总体数据一览!A128,搜索词报告!$J$2:$J$22222))</f>
        <v/>
      </c>
      <c r="D128" s="2" t="str">
        <f t="shared" si="6"/>
        <v/>
      </c>
      <c r="E128" t="str">
        <f t="shared" si="7"/>
        <v/>
      </c>
      <c r="F128" t="str">
        <f>IF(SUMIF(搜索词报告!$A$2:$A$22222,总体数据一览!A128,搜索词报告!$M$2:$M$22222)=0,"",SUMIF(搜索词报告!$A$2:$A$22222,总体数据一览!A128,搜索词报告!$M$2:$M$22222))</f>
        <v/>
      </c>
      <c r="G128" t="str">
        <f>IFERROR(IF(B128="","",SUMIF(搜索词报告!$A$2:$A$22222,总体数据一览!A128,搜索词报告!$V$2:$V$22222))+IF(B128="","",SUMIF(搜索词报告!$A$2:$A$22222,总体数据一览!A128,搜索词报告!$W$2:$W$22222)),"")</f>
        <v/>
      </c>
      <c r="H128" s="2" t="str">
        <f t="shared" si="8"/>
        <v/>
      </c>
    </row>
    <row r="129" spans="2:8" x14ac:dyDescent="0.15">
      <c r="B129" t="str">
        <f>IF(SUMIF(搜索词报告!$A$2:$A$22222,总体数据一览!A129,搜索词报告!$I$2:$I$22222)=0,"",SUMIF(搜索词报告!$A$2:$A$22222,总体数据一览!A129,搜索词报告!$I$2:$I$22222))</f>
        <v/>
      </c>
      <c r="C129" t="str">
        <f>IF(SUMIF(搜索词报告!$A$2:$A$22222,总体数据一览!A129,搜索词报告!$J$2:$J$22222)=0,"",SUMIF(搜索词报告!$A$2:$A$22222,总体数据一览!A129,搜索词报告!$J$2:$J$22222))</f>
        <v/>
      </c>
      <c r="D129" s="2" t="str">
        <f t="shared" si="6"/>
        <v/>
      </c>
      <c r="E129" t="str">
        <f t="shared" si="7"/>
        <v/>
      </c>
      <c r="F129" t="str">
        <f>IF(SUMIF(搜索词报告!$A$2:$A$22222,总体数据一览!A129,搜索词报告!$M$2:$M$22222)=0,"",SUMIF(搜索词报告!$A$2:$A$22222,总体数据一览!A129,搜索词报告!$M$2:$M$22222))</f>
        <v/>
      </c>
      <c r="G129" t="str">
        <f>IFERROR(IF(B129="","",SUMIF(搜索词报告!$A$2:$A$22222,总体数据一览!A129,搜索词报告!$V$2:$V$22222))+IF(B129="","",SUMIF(搜索词报告!$A$2:$A$22222,总体数据一览!A129,搜索词报告!$W$2:$W$22222)),"")</f>
        <v/>
      </c>
      <c r="H129" s="2" t="str">
        <f t="shared" si="8"/>
        <v/>
      </c>
    </row>
    <row r="130" spans="2:8" x14ac:dyDescent="0.15">
      <c r="B130" t="str">
        <f>IF(SUMIF(搜索词报告!$A$2:$A$22222,总体数据一览!A130,搜索词报告!$I$2:$I$22222)=0,"",SUMIF(搜索词报告!$A$2:$A$22222,总体数据一览!A130,搜索词报告!$I$2:$I$22222))</f>
        <v/>
      </c>
      <c r="C130" t="str">
        <f>IF(SUMIF(搜索词报告!$A$2:$A$22222,总体数据一览!A130,搜索词报告!$J$2:$J$22222)=0,"",SUMIF(搜索词报告!$A$2:$A$22222,总体数据一览!A130,搜索词报告!$J$2:$J$22222))</f>
        <v/>
      </c>
      <c r="D130" s="2" t="str">
        <f t="shared" si="6"/>
        <v/>
      </c>
      <c r="E130" t="str">
        <f t="shared" si="7"/>
        <v/>
      </c>
      <c r="F130" t="str">
        <f>IF(SUMIF(搜索词报告!$A$2:$A$22222,总体数据一览!A130,搜索词报告!$M$2:$M$22222)=0,"",SUMIF(搜索词报告!$A$2:$A$22222,总体数据一览!A130,搜索词报告!$M$2:$M$22222))</f>
        <v/>
      </c>
      <c r="G130" t="str">
        <f>IFERROR(IF(B130="","",SUMIF(搜索词报告!$A$2:$A$22222,总体数据一览!A130,搜索词报告!$V$2:$V$22222))+IF(B130="","",SUMIF(搜索词报告!$A$2:$A$22222,总体数据一览!A130,搜索词报告!$W$2:$W$22222)),"")</f>
        <v/>
      </c>
      <c r="H130" s="2" t="str">
        <f t="shared" si="8"/>
        <v/>
      </c>
    </row>
    <row r="131" spans="2:8" x14ac:dyDescent="0.15">
      <c r="B131" t="str">
        <f>IF(SUMIF(搜索词报告!$A$2:$A$22222,总体数据一览!A131,搜索词报告!$I$2:$I$22222)=0,"",SUMIF(搜索词报告!$A$2:$A$22222,总体数据一览!A131,搜索词报告!$I$2:$I$22222))</f>
        <v/>
      </c>
      <c r="C131" t="str">
        <f>IF(SUMIF(搜索词报告!$A$2:$A$22222,总体数据一览!A131,搜索词报告!$J$2:$J$22222)=0,"",SUMIF(搜索词报告!$A$2:$A$22222,总体数据一览!A131,搜索词报告!$J$2:$J$22222))</f>
        <v/>
      </c>
      <c r="D131" s="2" t="str">
        <f t="shared" si="6"/>
        <v/>
      </c>
      <c r="E131" t="str">
        <f t="shared" si="7"/>
        <v/>
      </c>
      <c r="F131" t="str">
        <f>IF(SUMIF(搜索词报告!$A$2:$A$22222,总体数据一览!A131,搜索词报告!$M$2:$M$22222)=0,"",SUMIF(搜索词报告!$A$2:$A$22222,总体数据一览!A131,搜索词报告!$M$2:$M$22222))</f>
        <v/>
      </c>
      <c r="G131" t="str">
        <f>IFERROR(IF(B131="","",SUMIF(搜索词报告!$A$2:$A$22222,总体数据一览!A131,搜索词报告!$V$2:$V$22222))+IF(B131="","",SUMIF(搜索词报告!$A$2:$A$22222,总体数据一览!A131,搜索词报告!$W$2:$W$22222)),"")</f>
        <v/>
      </c>
      <c r="H131" s="2" t="str">
        <f t="shared" si="8"/>
        <v/>
      </c>
    </row>
    <row r="132" spans="2:8" x14ac:dyDescent="0.15">
      <c r="B132" t="str">
        <f>IF(SUMIF(搜索词报告!$A$2:$A$22222,总体数据一览!A132,搜索词报告!$I$2:$I$22222)=0,"",SUMIF(搜索词报告!$A$2:$A$22222,总体数据一览!A132,搜索词报告!$I$2:$I$22222))</f>
        <v/>
      </c>
      <c r="C132" t="str">
        <f>IF(SUMIF(搜索词报告!$A$2:$A$22222,总体数据一览!A132,搜索词报告!$J$2:$J$22222)=0,"",SUMIF(搜索词报告!$A$2:$A$22222,总体数据一览!A132,搜索词报告!$J$2:$J$22222))</f>
        <v/>
      </c>
      <c r="D132" s="2" t="str">
        <f t="shared" si="6"/>
        <v/>
      </c>
      <c r="E132" t="str">
        <f t="shared" si="7"/>
        <v/>
      </c>
      <c r="F132" t="str">
        <f>IF(SUMIF(搜索词报告!$A$2:$A$22222,总体数据一览!A132,搜索词报告!$M$2:$M$22222)=0,"",SUMIF(搜索词报告!$A$2:$A$22222,总体数据一览!A132,搜索词报告!$M$2:$M$22222))</f>
        <v/>
      </c>
      <c r="G132" t="str">
        <f>IFERROR(IF(B132="","",SUMIF(搜索词报告!$A$2:$A$22222,总体数据一览!A132,搜索词报告!$V$2:$V$22222))+IF(B132="","",SUMIF(搜索词报告!$A$2:$A$22222,总体数据一览!A132,搜索词报告!$W$2:$W$22222)),"")</f>
        <v/>
      </c>
      <c r="H132" s="2" t="str">
        <f t="shared" si="8"/>
        <v/>
      </c>
    </row>
    <row r="133" spans="2:8" x14ac:dyDescent="0.15">
      <c r="B133" t="str">
        <f>IF(SUMIF(搜索词报告!$A$2:$A$22222,总体数据一览!A133,搜索词报告!$I$2:$I$22222)=0,"",SUMIF(搜索词报告!$A$2:$A$22222,总体数据一览!A133,搜索词报告!$I$2:$I$22222))</f>
        <v/>
      </c>
      <c r="C133" t="str">
        <f>IF(SUMIF(搜索词报告!$A$2:$A$22222,总体数据一览!A133,搜索词报告!$J$2:$J$22222)=0,"",SUMIF(搜索词报告!$A$2:$A$22222,总体数据一览!A133,搜索词报告!$J$2:$J$22222))</f>
        <v/>
      </c>
      <c r="D133" s="2" t="str">
        <f t="shared" si="6"/>
        <v/>
      </c>
      <c r="E133" t="str">
        <f t="shared" si="7"/>
        <v/>
      </c>
      <c r="F133" t="str">
        <f>IF(SUMIF(搜索词报告!$A$2:$A$22222,总体数据一览!A133,搜索词报告!$M$2:$M$22222)=0,"",SUMIF(搜索词报告!$A$2:$A$22222,总体数据一览!A133,搜索词报告!$M$2:$M$22222))</f>
        <v/>
      </c>
      <c r="G133" t="str">
        <f>IFERROR(IF(B133="","",SUMIF(搜索词报告!$A$2:$A$22222,总体数据一览!A133,搜索词报告!$V$2:$V$22222))+IF(B133="","",SUMIF(搜索词报告!$A$2:$A$22222,总体数据一览!A133,搜索词报告!$W$2:$W$22222)),"")</f>
        <v/>
      </c>
      <c r="H133" s="2" t="str">
        <f t="shared" si="8"/>
        <v/>
      </c>
    </row>
    <row r="134" spans="2:8" x14ac:dyDescent="0.15">
      <c r="B134" t="str">
        <f>IF(SUMIF(搜索词报告!$A$2:$A$22222,总体数据一览!A134,搜索词报告!$I$2:$I$22222)=0,"",SUMIF(搜索词报告!$A$2:$A$22222,总体数据一览!A134,搜索词报告!$I$2:$I$22222))</f>
        <v/>
      </c>
      <c r="C134" t="str">
        <f>IF(SUMIF(搜索词报告!$A$2:$A$22222,总体数据一览!A134,搜索词报告!$J$2:$J$22222)=0,"",SUMIF(搜索词报告!$A$2:$A$22222,总体数据一览!A134,搜索词报告!$J$2:$J$22222))</f>
        <v/>
      </c>
      <c r="D134" s="2" t="str">
        <f t="shared" si="6"/>
        <v/>
      </c>
      <c r="E134" t="str">
        <f t="shared" si="7"/>
        <v/>
      </c>
      <c r="F134" t="str">
        <f>IF(SUMIF(搜索词报告!$A$2:$A$22222,总体数据一览!A134,搜索词报告!$M$2:$M$22222)=0,"",SUMIF(搜索词报告!$A$2:$A$22222,总体数据一览!A134,搜索词报告!$M$2:$M$22222))</f>
        <v/>
      </c>
      <c r="G134" t="str">
        <f>IFERROR(IF(B134="","",SUMIF(搜索词报告!$A$2:$A$22222,总体数据一览!A134,搜索词报告!$V$2:$V$22222))+IF(B134="","",SUMIF(搜索词报告!$A$2:$A$22222,总体数据一览!A134,搜索词报告!$W$2:$W$22222)),"")</f>
        <v/>
      </c>
      <c r="H134" s="2" t="str">
        <f t="shared" si="8"/>
        <v/>
      </c>
    </row>
    <row r="135" spans="2:8" x14ac:dyDescent="0.15">
      <c r="B135" t="str">
        <f>IF(SUMIF(搜索词报告!$A$2:$A$22222,总体数据一览!A135,搜索词报告!$I$2:$I$22222)=0,"",SUMIF(搜索词报告!$A$2:$A$22222,总体数据一览!A135,搜索词报告!$I$2:$I$22222))</f>
        <v/>
      </c>
      <c r="C135" t="str">
        <f>IF(SUMIF(搜索词报告!$A$2:$A$22222,总体数据一览!A135,搜索词报告!$J$2:$J$22222)=0,"",SUMIF(搜索词报告!$A$2:$A$22222,总体数据一览!A135,搜索词报告!$J$2:$J$22222))</f>
        <v/>
      </c>
      <c r="D135" s="2" t="str">
        <f t="shared" si="6"/>
        <v/>
      </c>
      <c r="E135" t="str">
        <f t="shared" si="7"/>
        <v/>
      </c>
      <c r="F135" t="str">
        <f>IF(SUMIF(搜索词报告!$A$2:$A$22222,总体数据一览!A135,搜索词报告!$M$2:$M$22222)=0,"",SUMIF(搜索词报告!$A$2:$A$22222,总体数据一览!A135,搜索词报告!$M$2:$M$22222))</f>
        <v/>
      </c>
      <c r="G135" t="str">
        <f>IFERROR(IF(B135="","",SUMIF(搜索词报告!$A$2:$A$22222,总体数据一览!A135,搜索词报告!$V$2:$V$22222))+IF(B135="","",SUMIF(搜索词报告!$A$2:$A$22222,总体数据一览!A135,搜索词报告!$W$2:$W$22222)),"")</f>
        <v/>
      </c>
      <c r="H135" s="2" t="str">
        <f t="shared" si="8"/>
        <v/>
      </c>
    </row>
    <row r="136" spans="2:8" x14ac:dyDescent="0.15">
      <c r="B136" t="str">
        <f>IF(SUMIF(搜索词报告!$A$2:$A$22222,总体数据一览!A136,搜索词报告!$I$2:$I$22222)=0,"",SUMIF(搜索词报告!$A$2:$A$22222,总体数据一览!A136,搜索词报告!$I$2:$I$22222))</f>
        <v/>
      </c>
      <c r="C136" t="str">
        <f>IF(SUMIF(搜索词报告!$A$2:$A$22222,总体数据一览!A136,搜索词报告!$J$2:$J$22222)=0,"",SUMIF(搜索词报告!$A$2:$A$22222,总体数据一览!A136,搜索词报告!$J$2:$J$22222))</f>
        <v/>
      </c>
      <c r="D136" s="2" t="str">
        <f t="shared" si="6"/>
        <v/>
      </c>
      <c r="E136" t="str">
        <f t="shared" si="7"/>
        <v/>
      </c>
      <c r="F136" t="str">
        <f>IF(SUMIF(搜索词报告!$A$2:$A$22222,总体数据一览!A136,搜索词报告!$M$2:$M$22222)=0,"",SUMIF(搜索词报告!$A$2:$A$22222,总体数据一览!A136,搜索词报告!$M$2:$M$22222))</f>
        <v/>
      </c>
      <c r="G136" t="str">
        <f>IFERROR(IF(B136="","",SUMIF(搜索词报告!$A$2:$A$22222,总体数据一览!A136,搜索词报告!$V$2:$V$22222))+IF(B136="","",SUMIF(搜索词报告!$A$2:$A$22222,总体数据一览!A136,搜索词报告!$W$2:$W$22222)),"")</f>
        <v/>
      </c>
      <c r="H136" s="2" t="str">
        <f t="shared" si="8"/>
        <v/>
      </c>
    </row>
    <row r="137" spans="2:8" x14ac:dyDescent="0.15">
      <c r="B137" t="str">
        <f>IF(SUMIF(搜索词报告!$A$2:$A$22222,总体数据一览!A137,搜索词报告!$I$2:$I$22222)=0,"",SUMIF(搜索词报告!$A$2:$A$22222,总体数据一览!A137,搜索词报告!$I$2:$I$22222))</f>
        <v/>
      </c>
      <c r="C137" t="str">
        <f>IF(SUMIF(搜索词报告!$A$2:$A$22222,总体数据一览!A137,搜索词报告!$J$2:$J$22222)=0,"",SUMIF(搜索词报告!$A$2:$A$22222,总体数据一览!A137,搜索词报告!$J$2:$J$22222))</f>
        <v/>
      </c>
      <c r="D137" s="2" t="str">
        <f t="shared" si="6"/>
        <v/>
      </c>
      <c r="E137" t="str">
        <f t="shared" si="7"/>
        <v/>
      </c>
      <c r="F137" t="str">
        <f>IF(SUMIF(搜索词报告!$A$2:$A$22222,总体数据一览!A137,搜索词报告!$M$2:$M$22222)=0,"",SUMIF(搜索词报告!$A$2:$A$22222,总体数据一览!A137,搜索词报告!$M$2:$M$22222))</f>
        <v/>
      </c>
      <c r="G137" t="str">
        <f>IFERROR(IF(B137="","",SUMIF(搜索词报告!$A$2:$A$22222,总体数据一览!A137,搜索词报告!$V$2:$V$22222))+IF(B137="","",SUMIF(搜索词报告!$A$2:$A$22222,总体数据一览!A137,搜索词报告!$W$2:$W$22222)),"")</f>
        <v/>
      </c>
      <c r="H137" s="2" t="str">
        <f t="shared" si="8"/>
        <v/>
      </c>
    </row>
    <row r="138" spans="2:8" x14ac:dyDescent="0.15">
      <c r="B138" t="str">
        <f>IF(SUMIF(搜索词报告!$A$2:$A$22222,总体数据一览!A138,搜索词报告!$I$2:$I$22222)=0,"",SUMIF(搜索词报告!$A$2:$A$22222,总体数据一览!A138,搜索词报告!$I$2:$I$22222))</f>
        <v/>
      </c>
      <c r="C138" t="str">
        <f>IF(SUMIF(搜索词报告!$A$2:$A$22222,总体数据一览!A138,搜索词报告!$J$2:$J$22222)=0,"",SUMIF(搜索词报告!$A$2:$A$22222,总体数据一览!A138,搜索词报告!$J$2:$J$22222))</f>
        <v/>
      </c>
      <c r="D138" s="2" t="str">
        <f t="shared" si="6"/>
        <v/>
      </c>
      <c r="E138" t="str">
        <f t="shared" si="7"/>
        <v/>
      </c>
      <c r="F138" t="str">
        <f>IF(SUMIF(搜索词报告!$A$2:$A$22222,总体数据一览!A138,搜索词报告!$M$2:$M$22222)=0,"",SUMIF(搜索词报告!$A$2:$A$22222,总体数据一览!A138,搜索词报告!$M$2:$M$22222))</f>
        <v/>
      </c>
      <c r="G138" t="str">
        <f>IFERROR(IF(B138="","",SUMIF(搜索词报告!$A$2:$A$22222,总体数据一览!A138,搜索词报告!$V$2:$V$22222))+IF(B138="","",SUMIF(搜索词报告!$A$2:$A$22222,总体数据一览!A138,搜索词报告!$W$2:$W$22222)),"")</f>
        <v/>
      </c>
      <c r="H138" s="2" t="str">
        <f t="shared" si="8"/>
        <v/>
      </c>
    </row>
    <row r="139" spans="2:8" x14ac:dyDescent="0.15">
      <c r="B139" t="str">
        <f>IF(SUMIF(搜索词报告!$A$2:$A$22222,总体数据一览!A139,搜索词报告!$I$2:$I$22222)=0,"",SUMIF(搜索词报告!$A$2:$A$22222,总体数据一览!A139,搜索词报告!$I$2:$I$22222))</f>
        <v/>
      </c>
      <c r="C139" t="str">
        <f>IF(SUMIF(搜索词报告!$A$2:$A$22222,总体数据一览!A139,搜索词报告!$J$2:$J$22222)=0,"",SUMIF(搜索词报告!$A$2:$A$22222,总体数据一览!A139,搜索词报告!$J$2:$J$22222))</f>
        <v/>
      </c>
      <c r="D139" s="2" t="str">
        <f t="shared" si="6"/>
        <v/>
      </c>
      <c r="E139" t="str">
        <f t="shared" si="7"/>
        <v/>
      </c>
      <c r="F139" t="str">
        <f>IF(SUMIF(搜索词报告!$A$2:$A$22222,总体数据一览!A139,搜索词报告!$M$2:$M$22222)=0,"",SUMIF(搜索词报告!$A$2:$A$22222,总体数据一览!A139,搜索词报告!$M$2:$M$22222))</f>
        <v/>
      </c>
      <c r="G139" t="str">
        <f>IFERROR(IF(B139="","",SUMIF(搜索词报告!$A$2:$A$22222,总体数据一览!A139,搜索词报告!$V$2:$V$22222))+IF(B139="","",SUMIF(搜索词报告!$A$2:$A$22222,总体数据一览!A139,搜索词报告!$W$2:$W$22222)),"")</f>
        <v/>
      </c>
      <c r="H139" s="2" t="str">
        <f t="shared" si="8"/>
        <v/>
      </c>
    </row>
    <row r="140" spans="2:8" x14ac:dyDescent="0.15">
      <c r="B140" t="str">
        <f>IF(SUMIF(搜索词报告!$A$2:$A$22222,总体数据一览!A140,搜索词报告!$I$2:$I$22222)=0,"",SUMIF(搜索词报告!$A$2:$A$22222,总体数据一览!A140,搜索词报告!$I$2:$I$22222))</f>
        <v/>
      </c>
      <c r="C140" t="str">
        <f>IF(SUMIF(搜索词报告!$A$2:$A$22222,总体数据一览!A140,搜索词报告!$J$2:$J$22222)=0,"",SUMIF(搜索词报告!$A$2:$A$22222,总体数据一览!A140,搜索词报告!$J$2:$J$22222))</f>
        <v/>
      </c>
      <c r="D140" s="2" t="str">
        <f t="shared" si="6"/>
        <v/>
      </c>
      <c r="E140" t="str">
        <f t="shared" si="7"/>
        <v/>
      </c>
      <c r="F140" t="str">
        <f>IF(SUMIF(搜索词报告!$A$2:$A$22222,总体数据一览!A140,搜索词报告!$M$2:$M$22222)=0,"",SUMIF(搜索词报告!$A$2:$A$22222,总体数据一览!A140,搜索词报告!$M$2:$M$22222))</f>
        <v/>
      </c>
      <c r="G140" t="str">
        <f>IFERROR(IF(B140="","",SUMIF(搜索词报告!$A$2:$A$22222,总体数据一览!A140,搜索词报告!$V$2:$V$22222))+IF(B140="","",SUMIF(搜索词报告!$A$2:$A$22222,总体数据一览!A140,搜索词报告!$W$2:$W$22222)),"")</f>
        <v/>
      </c>
      <c r="H140" s="2" t="str">
        <f t="shared" si="8"/>
        <v/>
      </c>
    </row>
    <row r="141" spans="2:8" x14ac:dyDescent="0.15">
      <c r="B141" t="str">
        <f>IF(SUMIF(搜索词报告!$A$2:$A$22222,总体数据一览!A141,搜索词报告!$I$2:$I$22222)=0,"",SUMIF(搜索词报告!$A$2:$A$22222,总体数据一览!A141,搜索词报告!$I$2:$I$22222))</f>
        <v/>
      </c>
      <c r="C141" t="str">
        <f>IF(SUMIF(搜索词报告!$A$2:$A$22222,总体数据一览!A141,搜索词报告!$J$2:$J$22222)=0,"",SUMIF(搜索词报告!$A$2:$A$22222,总体数据一览!A141,搜索词报告!$J$2:$J$22222))</f>
        <v/>
      </c>
      <c r="D141" s="2" t="str">
        <f t="shared" si="6"/>
        <v/>
      </c>
      <c r="E141" t="str">
        <f t="shared" si="7"/>
        <v/>
      </c>
      <c r="F141" t="str">
        <f>IF(SUMIF(搜索词报告!$A$2:$A$22222,总体数据一览!A141,搜索词报告!$M$2:$M$22222)=0,"",SUMIF(搜索词报告!$A$2:$A$22222,总体数据一览!A141,搜索词报告!$M$2:$M$22222))</f>
        <v/>
      </c>
      <c r="G141" t="str">
        <f>IFERROR(IF(B141="","",SUMIF(搜索词报告!$A$2:$A$22222,总体数据一览!A141,搜索词报告!$V$2:$V$22222))+IF(B141="","",SUMIF(搜索词报告!$A$2:$A$22222,总体数据一览!A141,搜索词报告!$W$2:$W$22222)),"")</f>
        <v/>
      </c>
      <c r="H141" s="2" t="str">
        <f t="shared" si="8"/>
        <v/>
      </c>
    </row>
    <row r="142" spans="2:8" x14ac:dyDescent="0.15">
      <c r="B142" t="str">
        <f>IF(SUMIF(搜索词报告!$A$2:$A$22222,总体数据一览!A142,搜索词报告!$I$2:$I$22222)=0,"",SUMIF(搜索词报告!$A$2:$A$22222,总体数据一览!A142,搜索词报告!$I$2:$I$22222))</f>
        <v/>
      </c>
      <c r="C142" t="str">
        <f>IF(SUMIF(搜索词报告!$A$2:$A$22222,总体数据一览!A142,搜索词报告!$J$2:$J$22222)=0,"",SUMIF(搜索词报告!$A$2:$A$22222,总体数据一览!A142,搜索词报告!$J$2:$J$22222))</f>
        <v/>
      </c>
      <c r="D142" s="2" t="str">
        <f t="shared" si="6"/>
        <v/>
      </c>
      <c r="E142" t="str">
        <f t="shared" si="7"/>
        <v/>
      </c>
      <c r="F142" t="str">
        <f>IF(SUMIF(搜索词报告!$A$2:$A$22222,总体数据一览!A142,搜索词报告!$M$2:$M$22222)=0,"",SUMIF(搜索词报告!$A$2:$A$22222,总体数据一览!A142,搜索词报告!$M$2:$M$22222))</f>
        <v/>
      </c>
      <c r="G142" t="str">
        <f>IFERROR(IF(B142="","",SUMIF(搜索词报告!$A$2:$A$22222,总体数据一览!A142,搜索词报告!$V$2:$V$22222))+IF(B142="","",SUMIF(搜索词报告!$A$2:$A$22222,总体数据一览!A142,搜索词报告!$W$2:$W$22222)),"")</f>
        <v/>
      </c>
      <c r="H142" s="2" t="str">
        <f t="shared" si="8"/>
        <v/>
      </c>
    </row>
    <row r="143" spans="2:8" x14ac:dyDescent="0.15">
      <c r="B143" t="str">
        <f>IF(SUMIF(搜索词报告!$A$2:$A$22222,总体数据一览!A143,搜索词报告!$I$2:$I$22222)=0,"",SUMIF(搜索词报告!$A$2:$A$22222,总体数据一览!A143,搜索词报告!$I$2:$I$22222))</f>
        <v/>
      </c>
      <c r="C143" t="str">
        <f>IF(SUMIF(搜索词报告!$A$2:$A$22222,总体数据一览!A143,搜索词报告!$J$2:$J$22222)=0,"",SUMIF(搜索词报告!$A$2:$A$22222,总体数据一览!A143,搜索词报告!$J$2:$J$22222))</f>
        <v/>
      </c>
      <c r="D143" s="2" t="str">
        <f t="shared" si="6"/>
        <v/>
      </c>
      <c r="E143" t="str">
        <f t="shared" si="7"/>
        <v/>
      </c>
      <c r="F143" t="str">
        <f>IF(SUMIF(搜索词报告!$A$2:$A$22222,总体数据一览!A143,搜索词报告!$M$2:$M$22222)=0,"",SUMIF(搜索词报告!$A$2:$A$22222,总体数据一览!A143,搜索词报告!$M$2:$M$22222))</f>
        <v/>
      </c>
      <c r="G143" t="str">
        <f>IFERROR(IF(B143="","",SUMIF(搜索词报告!$A$2:$A$22222,总体数据一览!A143,搜索词报告!$V$2:$V$22222))+IF(B143="","",SUMIF(搜索词报告!$A$2:$A$22222,总体数据一览!A143,搜索词报告!$W$2:$W$22222)),"")</f>
        <v/>
      </c>
      <c r="H143" s="2" t="str">
        <f t="shared" si="8"/>
        <v/>
      </c>
    </row>
    <row r="144" spans="2:8" x14ac:dyDescent="0.15">
      <c r="B144" t="str">
        <f>IF(SUMIF(搜索词报告!$A$2:$A$22222,总体数据一览!A144,搜索词报告!$I$2:$I$22222)=0,"",SUMIF(搜索词报告!$A$2:$A$22222,总体数据一览!A144,搜索词报告!$I$2:$I$22222))</f>
        <v/>
      </c>
      <c r="C144" t="str">
        <f>IF(SUMIF(搜索词报告!$A$2:$A$22222,总体数据一览!A144,搜索词报告!$J$2:$J$22222)=0,"",SUMIF(搜索词报告!$A$2:$A$22222,总体数据一览!A144,搜索词报告!$J$2:$J$22222))</f>
        <v/>
      </c>
      <c r="D144" s="2" t="str">
        <f t="shared" si="6"/>
        <v/>
      </c>
      <c r="E144" t="str">
        <f t="shared" si="7"/>
        <v/>
      </c>
      <c r="F144" t="str">
        <f>IF(SUMIF(搜索词报告!$A$2:$A$22222,总体数据一览!A144,搜索词报告!$M$2:$M$22222)=0,"",SUMIF(搜索词报告!$A$2:$A$22222,总体数据一览!A144,搜索词报告!$M$2:$M$22222))</f>
        <v/>
      </c>
      <c r="G144" t="str">
        <f>IFERROR(IF(B144="","",SUMIF(搜索词报告!$A$2:$A$22222,总体数据一览!A144,搜索词报告!$V$2:$V$22222))+IF(B144="","",SUMIF(搜索词报告!$A$2:$A$22222,总体数据一览!A144,搜索词报告!$W$2:$W$22222)),"")</f>
        <v/>
      </c>
      <c r="H144" s="2" t="str">
        <f t="shared" si="8"/>
        <v/>
      </c>
    </row>
    <row r="145" spans="2:8" x14ac:dyDescent="0.15">
      <c r="B145" t="str">
        <f>IF(SUMIF(搜索词报告!$A$2:$A$22222,总体数据一览!A145,搜索词报告!$I$2:$I$22222)=0,"",SUMIF(搜索词报告!$A$2:$A$22222,总体数据一览!A145,搜索词报告!$I$2:$I$22222))</f>
        <v/>
      </c>
      <c r="C145" t="str">
        <f>IF(SUMIF(搜索词报告!$A$2:$A$22222,总体数据一览!A145,搜索词报告!$J$2:$J$22222)=0,"",SUMIF(搜索词报告!$A$2:$A$22222,总体数据一览!A145,搜索词报告!$J$2:$J$22222))</f>
        <v/>
      </c>
      <c r="D145" s="2" t="str">
        <f t="shared" si="6"/>
        <v/>
      </c>
      <c r="E145" t="str">
        <f t="shared" si="7"/>
        <v/>
      </c>
      <c r="F145" t="str">
        <f>IF(SUMIF(搜索词报告!$A$2:$A$22222,总体数据一览!A145,搜索词报告!$M$2:$M$22222)=0,"",SUMIF(搜索词报告!$A$2:$A$22222,总体数据一览!A145,搜索词报告!$M$2:$M$22222))</f>
        <v/>
      </c>
      <c r="G145" t="str">
        <f>IFERROR(IF(B145="","",SUMIF(搜索词报告!$A$2:$A$22222,总体数据一览!A145,搜索词报告!$V$2:$V$22222))+IF(B145="","",SUMIF(搜索词报告!$A$2:$A$22222,总体数据一览!A145,搜索词报告!$W$2:$W$22222)),"")</f>
        <v/>
      </c>
      <c r="H145" s="2" t="str">
        <f t="shared" si="8"/>
        <v/>
      </c>
    </row>
    <row r="146" spans="2:8" x14ac:dyDescent="0.15">
      <c r="B146" t="str">
        <f>IF(SUMIF(搜索词报告!$A$2:$A$22222,总体数据一览!A146,搜索词报告!$I$2:$I$22222)=0,"",SUMIF(搜索词报告!$A$2:$A$22222,总体数据一览!A146,搜索词报告!$I$2:$I$22222))</f>
        <v/>
      </c>
      <c r="C146" t="str">
        <f>IF(SUMIF(搜索词报告!$A$2:$A$22222,总体数据一览!A146,搜索词报告!$J$2:$J$22222)=0,"",SUMIF(搜索词报告!$A$2:$A$22222,总体数据一览!A146,搜索词报告!$J$2:$J$22222))</f>
        <v/>
      </c>
      <c r="D146" s="2" t="str">
        <f t="shared" si="6"/>
        <v/>
      </c>
      <c r="E146" t="str">
        <f t="shared" si="7"/>
        <v/>
      </c>
      <c r="F146" t="str">
        <f>IF(SUMIF(搜索词报告!$A$2:$A$22222,总体数据一览!A146,搜索词报告!$M$2:$M$22222)=0,"",SUMIF(搜索词报告!$A$2:$A$22222,总体数据一览!A146,搜索词报告!$M$2:$M$22222))</f>
        <v/>
      </c>
      <c r="G146" t="str">
        <f>IFERROR(IF(B146="","",SUMIF(搜索词报告!$A$2:$A$22222,总体数据一览!A146,搜索词报告!$V$2:$V$22222))+IF(B146="","",SUMIF(搜索词报告!$A$2:$A$22222,总体数据一览!A146,搜索词报告!$W$2:$W$22222)),"")</f>
        <v/>
      </c>
      <c r="H146" s="2" t="str">
        <f t="shared" si="8"/>
        <v/>
      </c>
    </row>
    <row r="147" spans="2:8" x14ac:dyDescent="0.15">
      <c r="B147" t="str">
        <f>IF(SUMIF(搜索词报告!$A$2:$A$22222,总体数据一览!A147,搜索词报告!$I$2:$I$22222)=0,"",SUMIF(搜索词报告!$A$2:$A$22222,总体数据一览!A147,搜索词报告!$I$2:$I$22222))</f>
        <v/>
      </c>
      <c r="C147" t="str">
        <f>IF(SUMIF(搜索词报告!$A$2:$A$22222,总体数据一览!A147,搜索词报告!$J$2:$J$22222)=0,"",SUMIF(搜索词报告!$A$2:$A$22222,总体数据一览!A147,搜索词报告!$J$2:$J$22222))</f>
        <v/>
      </c>
      <c r="D147" s="2" t="str">
        <f t="shared" si="6"/>
        <v/>
      </c>
      <c r="E147" t="str">
        <f t="shared" si="7"/>
        <v/>
      </c>
      <c r="F147" t="str">
        <f>IF(SUMIF(搜索词报告!$A$2:$A$22222,总体数据一览!A147,搜索词报告!$M$2:$M$22222)=0,"",SUMIF(搜索词报告!$A$2:$A$22222,总体数据一览!A147,搜索词报告!$M$2:$M$22222))</f>
        <v/>
      </c>
      <c r="G147" t="str">
        <f>IFERROR(IF(B147="","",SUMIF(搜索词报告!$A$2:$A$22222,总体数据一览!A147,搜索词报告!$V$2:$V$22222))+IF(B147="","",SUMIF(搜索词报告!$A$2:$A$22222,总体数据一览!A147,搜索词报告!$W$2:$W$22222)),"")</f>
        <v/>
      </c>
      <c r="H147" s="2" t="str">
        <f t="shared" si="8"/>
        <v/>
      </c>
    </row>
    <row r="148" spans="2:8" x14ac:dyDescent="0.15">
      <c r="B148" t="str">
        <f>IF(SUMIF(搜索词报告!$A$2:$A$22222,总体数据一览!A148,搜索词报告!$I$2:$I$22222)=0,"",SUMIF(搜索词报告!$A$2:$A$22222,总体数据一览!A148,搜索词报告!$I$2:$I$22222))</f>
        <v/>
      </c>
      <c r="C148" t="str">
        <f>IF(SUMIF(搜索词报告!$A$2:$A$22222,总体数据一览!A148,搜索词报告!$J$2:$J$22222)=0,"",SUMIF(搜索词报告!$A$2:$A$22222,总体数据一览!A148,搜索词报告!$J$2:$J$22222))</f>
        <v/>
      </c>
      <c r="D148" s="2" t="str">
        <f t="shared" ref="D148:D211" si="9">IFERROR(ROUND(C148/B148,4),"")</f>
        <v/>
      </c>
      <c r="E148" t="str">
        <f t="shared" ref="E148:E211" si="10">IFERROR(ROUND(F148/C148,2),"")</f>
        <v/>
      </c>
      <c r="F148" t="str">
        <f>IF(SUMIF(搜索词报告!$A$2:$A$22222,总体数据一览!A148,搜索词报告!$M$2:$M$22222)=0,"",SUMIF(搜索词报告!$A$2:$A$22222,总体数据一览!A148,搜索词报告!$M$2:$M$22222))</f>
        <v/>
      </c>
      <c r="G148" t="str">
        <f>IFERROR(IF(B148="","",SUMIF(搜索词报告!$A$2:$A$22222,总体数据一览!A148,搜索词报告!$V$2:$V$22222))+IF(B148="","",SUMIF(搜索词报告!$A$2:$A$22222,总体数据一览!A148,搜索词报告!$W$2:$W$22222)),"")</f>
        <v/>
      </c>
      <c r="H148" s="2" t="str">
        <f t="shared" ref="H148:H211" si="11">IFERROR(ROUND(F148/G148,2),"")</f>
        <v/>
      </c>
    </row>
    <row r="149" spans="2:8" x14ac:dyDescent="0.15">
      <c r="B149" t="str">
        <f>IF(SUMIF(搜索词报告!$A$2:$A$22222,总体数据一览!A149,搜索词报告!$I$2:$I$22222)=0,"",SUMIF(搜索词报告!$A$2:$A$22222,总体数据一览!A149,搜索词报告!$I$2:$I$22222))</f>
        <v/>
      </c>
      <c r="C149" t="str">
        <f>IF(SUMIF(搜索词报告!$A$2:$A$22222,总体数据一览!A149,搜索词报告!$J$2:$J$22222)=0,"",SUMIF(搜索词报告!$A$2:$A$22222,总体数据一览!A149,搜索词报告!$J$2:$J$22222))</f>
        <v/>
      </c>
      <c r="D149" s="2" t="str">
        <f t="shared" si="9"/>
        <v/>
      </c>
      <c r="E149" t="str">
        <f t="shared" si="10"/>
        <v/>
      </c>
      <c r="F149" t="str">
        <f>IF(SUMIF(搜索词报告!$A$2:$A$22222,总体数据一览!A149,搜索词报告!$M$2:$M$22222)=0,"",SUMIF(搜索词报告!$A$2:$A$22222,总体数据一览!A149,搜索词报告!$M$2:$M$22222))</f>
        <v/>
      </c>
      <c r="G149" t="str">
        <f>IFERROR(IF(B149="","",SUMIF(搜索词报告!$A$2:$A$22222,总体数据一览!A149,搜索词报告!$V$2:$V$22222))+IF(B149="","",SUMIF(搜索词报告!$A$2:$A$22222,总体数据一览!A149,搜索词报告!$W$2:$W$22222)),"")</f>
        <v/>
      </c>
      <c r="H149" s="2" t="str">
        <f t="shared" si="11"/>
        <v/>
      </c>
    </row>
    <row r="150" spans="2:8" x14ac:dyDescent="0.15">
      <c r="B150" t="str">
        <f>IF(SUMIF(搜索词报告!$A$2:$A$22222,总体数据一览!A150,搜索词报告!$I$2:$I$22222)=0,"",SUMIF(搜索词报告!$A$2:$A$22222,总体数据一览!A150,搜索词报告!$I$2:$I$22222))</f>
        <v/>
      </c>
      <c r="C150" t="str">
        <f>IF(SUMIF(搜索词报告!$A$2:$A$22222,总体数据一览!A150,搜索词报告!$J$2:$J$22222)=0,"",SUMIF(搜索词报告!$A$2:$A$22222,总体数据一览!A150,搜索词报告!$J$2:$J$22222))</f>
        <v/>
      </c>
      <c r="D150" s="2" t="str">
        <f t="shared" si="9"/>
        <v/>
      </c>
      <c r="E150" t="str">
        <f t="shared" si="10"/>
        <v/>
      </c>
      <c r="F150" t="str">
        <f>IF(SUMIF(搜索词报告!$A$2:$A$22222,总体数据一览!A150,搜索词报告!$M$2:$M$22222)=0,"",SUMIF(搜索词报告!$A$2:$A$22222,总体数据一览!A150,搜索词报告!$M$2:$M$22222))</f>
        <v/>
      </c>
      <c r="G150" t="str">
        <f>IFERROR(IF(B150="","",SUMIF(搜索词报告!$A$2:$A$22222,总体数据一览!A150,搜索词报告!$V$2:$V$22222))+IF(B150="","",SUMIF(搜索词报告!$A$2:$A$22222,总体数据一览!A150,搜索词报告!$W$2:$W$22222)),"")</f>
        <v/>
      </c>
      <c r="H150" s="2" t="str">
        <f t="shared" si="11"/>
        <v/>
      </c>
    </row>
    <row r="151" spans="2:8" x14ac:dyDescent="0.15">
      <c r="B151" t="str">
        <f>IF(SUMIF(搜索词报告!$A$2:$A$22222,总体数据一览!A151,搜索词报告!$I$2:$I$22222)=0,"",SUMIF(搜索词报告!$A$2:$A$22222,总体数据一览!A151,搜索词报告!$I$2:$I$22222))</f>
        <v/>
      </c>
      <c r="C151" t="str">
        <f>IF(SUMIF(搜索词报告!$A$2:$A$22222,总体数据一览!A151,搜索词报告!$J$2:$J$22222)=0,"",SUMIF(搜索词报告!$A$2:$A$22222,总体数据一览!A151,搜索词报告!$J$2:$J$22222))</f>
        <v/>
      </c>
      <c r="D151" s="2" t="str">
        <f t="shared" si="9"/>
        <v/>
      </c>
      <c r="E151" t="str">
        <f t="shared" si="10"/>
        <v/>
      </c>
      <c r="F151" t="str">
        <f>IF(SUMIF(搜索词报告!$A$2:$A$22222,总体数据一览!A151,搜索词报告!$M$2:$M$22222)=0,"",SUMIF(搜索词报告!$A$2:$A$22222,总体数据一览!A151,搜索词报告!$M$2:$M$22222))</f>
        <v/>
      </c>
      <c r="G151" t="str">
        <f>IFERROR(IF(B151="","",SUMIF(搜索词报告!$A$2:$A$22222,总体数据一览!A151,搜索词报告!$V$2:$V$22222))+IF(B151="","",SUMIF(搜索词报告!$A$2:$A$22222,总体数据一览!A151,搜索词报告!$W$2:$W$22222)),"")</f>
        <v/>
      </c>
      <c r="H151" s="2" t="str">
        <f t="shared" si="11"/>
        <v/>
      </c>
    </row>
    <row r="152" spans="2:8" x14ac:dyDescent="0.15">
      <c r="B152" t="str">
        <f>IF(SUMIF(搜索词报告!$A$2:$A$22222,总体数据一览!A152,搜索词报告!$I$2:$I$22222)=0,"",SUMIF(搜索词报告!$A$2:$A$22222,总体数据一览!A152,搜索词报告!$I$2:$I$22222))</f>
        <v/>
      </c>
      <c r="C152" t="str">
        <f>IF(SUMIF(搜索词报告!$A$2:$A$22222,总体数据一览!A152,搜索词报告!$J$2:$J$22222)=0,"",SUMIF(搜索词报告!$A$2:$A$22222,总体数据一览!A152,搜索词报告!$J$2:$J$22222))</f>
        <v/>
      </c>
      <c r="D152" s="2" t="str">
        <f t="shared" si="9"/>
        <v/>
      </c>
      <c r="E152" t="str">
        <f t="shared" si="10"/>
        <v/>
      </c>
      <c r="F152" t="str">
        <f>IF(SUMIF(搜索词报告!$A$2:$A$22222,总体数据一览!A152,搜索词报告!$M$2:$M$22222)=0,"",SUMIF(搜索词报告!$A$2:$A$22222,总体数据一览!A152,搜索词报告!$M$2:$M$22222))</f>
        <v/>
      </c>
      <c r="G152" t="str">
        <f>IFERROR(IF(B152="","",SUMIF(搜索词报告!$A$2:$A$22222,总体数据一览!A152,搜索词报告!$V$2:$V$22222))+IF(B152="","",SUMIF(搜索词报告!$A$2:$A$22222,总体数据一览!A152,搜索词报告!$W$2:$W$22222)),"")</f>
        <v/>
      </c>
      <c r="H152" s="2" t="str">
        <f t="shared" si="11"/>
        <v/>
      </c>
    </row>
    <row r="153" spans="2:8" x14ac:dyDescent="0.15">
      <c r="B153" t="str">
        <f>IF(SUMIF(搜索词报告!$A$2:$A$22222,总体数据一览!A153,搜索词报告!$I$2:$I$22222)=0,"",SUMIF(搜索词报告!$A$2:$A$22222,总体数据一览!A153,搜索词报告!$I$2:$I$22222))</f>
        <v/>
      </c>
      <c r="C153" t="str">
        <f>IF(SUMIF(搜索词报告!$A$2:$A$22222,总体数据一览!A153,搜索词报告!$J$2:$J$22222)=0,"",SUMIF(搜索词报告!$A$2:$A$22222,总体数据一览!A153,搜索词报告!$J$2:$J$22222))</f>
        <v/>
      </c>
      <c r="D153" s="2" t="str">
        <f t="shared" si="9"/>
        <v/>
      </c>
      <c r="E153" t="str">
        <f t="shared" si="10"/>
        <v/>
      </c>
      <c r="F153" t="str">
        <f>IF(SUMIF(搜索词报告!$A$2:$A$22222,总体数据一览!A153,搜索词报告!$M$2:$M$22222)=0,"",SUMIF(搜索词报告!$A$2:$A$22222,总体数据一览!A153,搜索词报告!$M$2:$M$22222))</f>
        <v/>
      </c>
      <c r="G153" t="str">
        <f>IFERROR(IF(B153="","",SUMIF(搜索词报告!$A$2:$A$22222,总体数据一览!A153,搜索词报告!$V$2:$V$22222))+IF(B153="","",SUMIF(搜索词报告!$A$2:$A$22222,总体数据一览!A153,搜索词报告!$W$2:$W$22222)),"")</f>
        <v/>
      </c>
      <c r="H153" s="2" t="str">
        <f t="shared" si="11"/>
        <v/>
      </c>
    </row>
    <row r="154" spans="2:8" x14ac:dyDescent="0.15">
      <c r="B154" t="str">
        <f>IF(SUMIF(搜索词报告!$A$2:$A$22222,总体数据一览!A154,搜索词报告!$I$2:$I$22222)=0,"",SUMIF(搜索词报告!$A$2:$A$22222,总体数据一览!A154,搜索词报告!$I$2:$I$22222))</f>
        <v/>
      </c>
      <c r="C154" t="str">
        <f>IF(SUMIF(搜索词报告!$A$2:$A$22222,总体数据一览!A154,搜索词报告!$J$2:$J$22222)=0,"",SUMIF(搜索词报告!$A$2:$A$22222,总体数据一览!A154,搜索词报告!$J$2:$J$22222))</f>
        <v/>
      </c>
      <c r="D154" s="2" t="str">
        <f t="shared" si="9"/>
        <v/>
      </c>
      <c r="E154" t="str">
        <f t="shared" si="10"/>
        <v/>
      </c>
      <c r="F154" t="str">
        <f>IF(SUMIF(搜索词报告!$A$2:$A$22222,总体数据一览!A154,搜索词报告!$M$2:$M$22222)=0,"",SUMIF(搜索词报告!$A$2:$A$22222,总体数据一览!A154,搜索词报告!$M$2:$M$22222))</f>
        <v/>
      </c>
      <c r="G154" t="str">
        <f>IFERROR(IF(B154="","",SUMIF(搜索词报告!$A$2:$A$22222,总体数据一览!A154,搜索词报告!$V$2:$V$22222))+IF(B154="","",SUMIF(搜索词报告!$A$2:$A$22222,总体数据一览!A154,搜索词报告!$W$2:$W$22222)),"")</f>
        <v/>
      </c>
      <c r="H154" s="2" t="str">
        <f t="shared" si="11"/>
        <v/>
      </c>
    </row>
    <row r="155" spans="2:8" x14ac:dyDescent="0.15">
      <c r="B155" t="str">
        <f>IF(SUMIF(搜索词报告!$A$2:$A$22222,总体数据一览!A155,搜索词报告!$I$2:$I$22222)=0,"",SUMIF(搜索词报告!$A$2:$A$22222,总体数据一览!A155,搜索词报告!$I$2:$I$22222))</f>
        <v/>
      </c>
      <c r="C155" t="str">
        <f>IF(SUMIF(搜索词报告!$A$2:$A$22222,总体数据一览!A155,搜索词报告!$J$2:$J$22222)=0,"",SUMIF(搜索词报告!$A$2:$A$22222,总体数据一览!A155,搜索词报告!$J$2:$J$22222))</f>
        <v/>
      </c>
      <c r="D155" s="2" t="str">
        <f t="shared" si="9"/>
        <v/>
      </c>
      <c r="E155" t="str">
        <f t="shared" si="10"/>
        <v/>
      </c>
      <c r="F155" t="str">
        <f>IF(SUMIF(搜索词报告!$A$2:$A$22222,总体数据一览!A155,搜索词报告!$M$2:$M$22222)=0,"",SUMIF(搜索词报告!$A$2:$A$22222,总体数据一览!A155,搜索词报告!$M$2:$M$22222))</f>
        <v/>
      </c>
      <c r="G155" t="str">
        <f>IFERROR(IF(B155="","",SUMIF(搜索词报告!$A$2:$A$22222,总体数据一览!A155,搜索词报告!$V$2:$V$22222))+IF(B155="","",SUMIF(搜索词报告!$A$2:$A$22222,总体数据一览!A155,搜索词报告!$W$2:$W$22222)),"")</f>
        <v/>
      </c>
      <c r="H155" s="2" t="str">
        <f t="shared" si="11"/>
        <v/>
      </c>
    </row>
    <row r="156" spans="2:8" x14ac:dyDescent="0.15">
      <c r="B156" t="str">
        <f>IF(SUMIF(搜索词报告!$A$2:$A$22222,总体数据一览!A156,搜索词报告!$I$2:$I$22222)=0,"",SUMIF(搜索词报告!$A$2:$A$22222,总体数据一览!A156,搜索词报告!$I$2:$I$22222))</f>
        <v/>
      </c>
      <c r="C156" t="str">
        <f>IF(SUMIF(搜索词报告!$A$2:$A$22222,总体数据一览!A156,搜索词报告!$J$2:$J$22222)=0,"",SUMIF(搜索词报告!$A$2:$A$22222,总体数据一览!A156,搜索词报告!$J$2:$J$22222))</f>
        <v/>
      </c>
      <c r="D156" s="2" t="str">
        <f t="shared" si="9"/>
        <v/>
      </c>
      <c r="E156" t="str">
        <f t="shared" si="10"/>
        <v/>
      </c>
      <c r="F156" t="str">
        <f>IF(SUMIF(搜索词报告!$A$2:$A$22222,总体数据一览!A156,搜索词报告!$M$2:$M$22222)=0,"",SUMIF(搜索词报告!$A$2:$A$22222,总体数据一览!A156,搜索词报告!$M$2:$M$22222))</f>
        <v/>
      </c>
      <c r="G156" t="str">
        <f>IFERROR(IF(B156="","",SUMIF(搜索词报告!$A$2:$A$22222,总体数据一览!A156,搜索词报告!$V$2:$V$22222))+IF(B156="","",SUMIF(搜索词报告!$A$2:$A$22222,总体数据一览!A156,搜索词报告!$W$2:$W$22222)),"")</f>
        <v/>
      </c>
      <c r="H156" s="2" t="str">
        <f t="shared" si="11"/>
        <v/>
      </c>
    </row>
    <row r="157" spans="2:8" x14ac:dyDescent="0.15">
      <c r="B157" t="str">
        <f>IF(SUMIF(搜索词报告!$A$2:$A$22222,总体数据一览!A157,搜索词报告!$I$2:$I$22222)=0,"",SUMIF(搜索词报告!$A$2:$A$22222,总体数据一览!A157,搜索词报告!$I$2:$I$22222))</f>
        <v/>
      </c>
      <c r="C157" t="str">
        <f>IF(SUMIF(搜索词报告!$A$2:$A$22222,总体数据一览!A157,搜索词报告!$J$2:$J$22222)=0,"",SUMIF(搜索词报告!$A$2:$A$22222,总体数据一览!A157,搜索词报告!$J$2:$J$22222))</f>
        <v/>
      </c>
      <c r="D157" s="2" t="str">
        <f t="shared" si="9"/>
        <v/>
      </c>
      <c r="E157" t="str">
        <f t="shared" si="10"/>
        <v/>
      </c>
      <c r="F157" t="str">
        <f>IF(SUMIF(搜索词报告!$A$2:$A$22222,总体数据一览!A157,搜索词报告!$M$2:$M$22222)=0,"",SUMIF(搜索词报告!$A$2:$A$22222,总体数据一览!A157,搜索词报告!$M$2:$M$22222))</f>
        <v/>
      </c>
      <c r="G157" t="str">
        <f>IFERROR(IF(B157="","",SUMIF(搜索词报告!$A$2:$A$22222,总体数据一览!A157,搜索词报告!$V$2:$V$22222))+IF(B157="","",SUMIF(搜索词报告!$A$2:$A$22222,总体数据一览!A157,搜索词报告!$W$2:$W$22222)),"")</f>
        <v/>
      </c>
      <c r="H157" s="2" t="str">
        <f t="shared" si="11"/>
        <v/>
      </c>
    </row>
    <row r="158" spans="2:8" x14ac:dyDescent="0.15">
      <c r="B158" t="str">
        <f>IF(SUMIF(搜索词报告!$A$2:$A$22222,总体数据一览!A158,搜索词报告!$I$2:$I$22222)=0,"",SUMIF(搜索词报告!$A$2:$A$22222,总体数据一览!A158,搜索词报告!$I$2:$I$22222))</f>
        <v/>
      </c>
      <c r="C158" t="str">
        <f>IF(SUMIF(搜索词报告!$A$2:$A$22222,总体数据一览!A158,搜索词报告!$J$2:$J$22222)=0,"",SUMIF(搜索词报告!$A$2:$A$22222,总体数据一览!A158,搜索词报告!$J$2:$J$22222))</f>
        <v/>
      </c>
      <c r="D158" s="2" t="str">
        <f t="shared" si="9"/>
        <v/>
      </c>
      <c r="E158" t="str">
        <f t="shared" si="10"/>
        <v/>
      </c>
      <c r="F158" t="str">
        <f>IF(SUMIF(搜索词报告!$A$2:$A$22222,总体数据一览!A158,搜索词报告!$M$2:$M$22222)=0,"",SUMIF(搜索词报告!$A$2:$A$22222,总体数据一览!A158,搜索词报告!$M$2:$M$22222))</f>
        <v/>
      </c>
      <c r="G158" t="str">
        <f>IFERROR(IF(B158="","",SUMIF(搜索词报告!$A$2:$A$22222,总体数据一览!A158,搜索词报告!$V$2:$V$22222))+IF(B158="","",SUMIF(搜索词报告!$A$2:$A$22222,总体数据一览!A158,搜索词报告!$W$2:$W$22222)),"")</f>
        <v/>
      </c>
      <c r="H158" s="2" t="str">
        <f t="shared" si="11"/>
        <v/>
      </c>
    </row>
    <row r="159" spans="2:8" x14ac:dyDescent="0.15">
      <c r="B159" t="str">
        <f>IF(SUMIF(搜索词报告!$A$2:$A$22222,总体数据一览!A159,搜索词报告!$I$2:$I$22222)=0,"",SUMIF(搜索词报告!$A$2:$A$22222,总体数据一览!A159,搜索词报告!$I$2:$I$22222))</f>
        <v/>
      </c>
      <c r="C159" t="str">
        <f>IF(SUMIF(搜索词报告!$A$2:$A$22222,总体数据一览!A159,搜索词报告!$J$2:$J$22222)=0,"",SUMIF(搜索词报告!$A$2:$A$22222,总体数据一览!A159,搜索词报告!$J$2:$J$22222))</f>
        <v/>
      </c>
      <c r="D159" s="2" t="str">
        <f t="shared" si="9"/>
        <v/>
      </c>
      <c r="E159" t="str">
        <f t="shared" si="10"/>
        <v/>
      </c>
      <c r="F159" t="str">
        <f>IF(SUMIF(搜索词报告!$A$2:$A$22222,总体数据一览!A159,搜索词报告!$M$2:$M$22222)=0,"",SUMIF(搜索词报告!$A$2:$A$22222,总体数据一览!A159,搜索词报告!$M$2:$M$22222))</f>
        <v/>
      </c>
      <c r="G159" t="str">
        <f>IFERROR(IF(B159="","",SUMIF(搜索词报告!$A$2:$A$22222,总体数据一览!A159,搜索词报告!$V$2:$V$22222))+IF(B159="","",SUMIF(搜索词报告!$A$2:$A$22222,总体数据一览!A159,搜索词报告!$W$2:$W$22222)),"")</f>
        <v/>
      </c>
      <c r="H159" s="2" t="str">
        <f t="shared" si="11"/>
        <v/>
      </c>
    </row>
    <row r="160" spans="2:8" x14ac:dyDescent="0.15">
      <c r="B160" t="str">
        <f>IF(SUMIF(搜索词报告!$A$2:$A$22222,总体数据一览!A160,搜索词报告!$I$2:$I$22222)=0,"",SUMIF(搜索词报告!$A$2:$A$22222,总体数据一览!A160,搜索词报告!$I$2:$I$22222))</f>
        <v/>
      </c>
      <c r="C160" t="str">
        <f>IF(SUMIF(搜索词报告!$A$2:$A$22222,总体数据一览!A160,搜索词报告!$J$2:$J$22222)=0,"",SUMIF(搜索词报告!$A$2:$A$22222,总体数据一览!A160,搜索词报告!$J$2:$J$22222))</f>
        <v/>
      </c>
      <c r="D160" s="2" t="str">
        <f t="shared" si="9"/>
        <v/>
      </c>
      <c r="E160" t="str">
        <f t="shared" si="10"/>
        <v/>
      </c>
      <c r="F160" t="str">
        <f>IF(SUMIF(搜索词报告!$A$2:$A$22222,总体数据一览!A160,搜索词报告!$M$2:$M$22222)=0,"",SUMIF(搜索词报告!$A$2:$A$22222,总体数据一览!A160,搜索词报告!$M$2:$M$22222))</f>
        <v/>
      </c>
      <c r="G160" t="str">
        <f>IFERROR(IF(B160="","",SUMIF(搜索词报告!$A$2:$A$22222,总体数据一览!A160,搜索词报告!$V$2:$V$22222))+IF(B160="","",SUMIF(搜索词报告!$A$2:$A$22222,总体数据一览!A160,搜索词报告!$W$2:$W$22222)),"")</f>
        <v/>
      </c>
      <c r="H160" s="2" t="str">
        <f t="shared" si="11"/>
        <v/>
      </c>
    </row>
    <row r="161" spans="2:8" x14ac:dyDescent="0.15">
      <c r="B161" t="str">
        <f>IF(SUMIF(搜索词报告!$A$2:$A$22222,总体数据一览!A161,搜索词报告!$I$2:$I$22222)=0,"",SUMIF(搜索词报告!$A$2:$A$22222,总体数据一览!A161,搜索词报告!$I$2:$I$22222))</f>
        <v/>
      </c>
      <c r="C161" t="str">
        <f>IF(SUMIF(搜索词报告!$A$2:$A$22222,总体数据一览!A161,搜索词报告!$J$2:$J$22222)=0,"",SUMIF(搜索词报告!$A$2:$A$22222,总体数据一览!A161,搜索词报告!$J$2:$J$22222))</f>
        <v/>
      </c>
      <c r="D161" s="2" t="str">
        <f t="shared" si="9"/>
        <v/>
      </c>
      <c r="E161" t="str">
        <f t="shared" si="10"/>
        <v/>
      </c>
      <c r="F161" t="str">
        <f>IF(SUMIF(搜索词报告!$A$2:$A$22222,总体数据一览!A161,搜索词报告!$M$2:$M$22222)=0,"",SUMIF(搜索词报告!$A$2:$A$22222,总体数据一览!A161,搜索词报告!$M$2:$M$22222))</f>
        <v/>
      </c>
      <c r="G161" t="str">
        <f>IFERROR(IF(B161="","",SUMIF(搜索词报告!$A$2:$A$22222,总体数据一览!A161,搜索词报告!$V$2:$V$22222))+IF(B161="","",SUMIF(搜索词报告!$A$2:$A$22222,总体数据一览!A161,搜索词报告!$W$2:$W$22222)),"")</f>
        <v/>
      </c>
      <c r="H161" s="2" t="str">
        <f t="shared" si="11"/>
        <v/>
      </c>
    </row>
    <row r="162" spans="2:8" x14ac:dyDescent="0.15">
      <c r="B162" t="str">
        <f>IF(SUMIF(搜索词报告!$A$2:$A$22222,总体数据一览!A162,搜索词报告!$I$2:$I$22222)=0,"",SUMIF(搜索词报告!$A$2:$A$22222,总体数据一览!A162,搜索词报告!$I$2:$I$22222))</f>
        <v/>
      </c>
      <c r="C162" t="str">
        <f>IF(SUMIF(搜索词报告!$A$2:$A$22222,总体数据一览!A162,搜索词报告!$J$2:$J$22222)=0,"",SUMIF(搜索词报告!$A$2:$A$22222,总体数据一览!A162,搜索词报告!$J$2:$J$22222))</f>
        <v/>
      </c>
      <c r="D162" s="2" t="str">
        <f t="shared" si="9"/>
        <v/>
      </c>
      <c r="E162" t="str">
        <f t="shared" si="10"/>
        <v/>
      </c>
      <c r="F162" t="str">
        <f>IF(SUMIF(搜索词报告!$A$2:$A$22222,总体数据一览!A162,搜索词报告!$M$2:$M$22222)=0,"",SUMIF(搜索词报告!$A$2:$A$22222,总体数据一览!A162,搜索词报告!$M$2:$M$22222))</f>
        <v/>
      </c>
      <c r="G162" t="str">
        <f>IFERROR(IF(B162="","",SUMIF(搜索词报告!$A$2:$A$22222,总体数据一览!A162,搜索词报告!$V$2:$V$22222))+IF(B162="","",SUMIF(搜索词报告!$A$2:$A$22222,总体数据一览!A162,搜索词报告!$W$2:$W$22222)),"")</f>
        <v/>
      </c>
      <c r="H162" s="2" t="str">
        <f t="shared" si="11"/>
        <v/>
      </c>
    </row>
    <row r="163" spans="2:8" x14ac:dyDescent="0.15">
      <c r="B163" t="str">
        <f>IF(SUMIF(搜索词报告!$A$2:$A$22222,总体数据一览!A163,搜索词报告!$I$2:$I$22222)=0,"",SUMIF(搜索词报告!$A$2:$A$22222,总体数据一览!A163,搜索词报告!$I$2:$I$22222))</f>
        <v/>
      </c>
      <c r="C163" t="str">
        <f>IF(SUMIF(搜索词报告!$A$2:$A$22222,总体数据一览!A163,搜索词报告!$J$2:$J$22222)=0,"",SUMIF(搜索词报告!$A$2:$A$22222,总体数据一览!A163,搜索词报告!$J$2:$J$22222))</f>
        <v/>
      </c>
      <c r="D163" s="2" t="str">
        <f t="shared" si="9"/>
        <v/>
      </c>
      <c r="E163" t="str">
        <f t="shared" si="10"/>
        <v/>
      </c>
      <c r="F163" t="str">
        <f>IF(SUMIF(搜索词报告!$A$2:$A$22222,总体数据一览!A163,搜索词报告!$M$2:$M$22222)=0,"",SUMIF(搜索词报告!$A$2:$A$22222,总体数据一览!A163,搜索词报告!$M$2:$M$22222))</f>
        <v/>
      </c>
      <c r="G163" t="str">
        <f>IFERROR(IF(B163="","",SUMIF(搜索词报告!$A$2:$A$22222,总体数据一览!A163,搜索词报告!$V$2:$V$22222))+IF(B163="","",SUMIF(搜索词报告!$A$2:$A$22222,总体数据一览!A163,搜索词报告!$W$2:$W$22222)),"")</f>
        <v/>
      </c>
      <c r="H163" s="2" t="str">
        <f t="shared" si="11"/>
        <v/>
      </c>
    </row>
    <row r="164" spans="2:8" x14ac:dyDescent="0.15">
      <c r="B164" t="str">
        <f>IF(SUMIF(搜索词报告!$A$2:$A$22222,总体数据一览!A164,搜索词报告!$I$2:$I$22222)=0,"",SUMIF(搜索词报告!$A$2:$A$22222,总体数据一览!A164,搜索词报告!$I$2:$I$22222))</f>
        <v/>
      </c>
      <c r="C164" t="str">
        <f>IF(SUMIF(搜索词报告!$A$2:$A$22222,总体数据一览!A164,搜索词报告!$J$2:$J$22222)=0,"",SUMIF(搜索词报告!$A$2:$A$22222,总体数据一览!A164,搜索词报告!$J$2:$J$22222))</f>
        <v/>
      </c>
      <c r="D164" s="2" t="str">
        <f t="shared" si="9"/>
        <v/>
      </c>
      <c r="E164" t="str">
        <f t="shared" si="10"/>
        <v/>
      </c>
      <c r="F164" t="str">
        <f>IF(SUMIF(搜索词报告!$A$2:$A$22222,总体数据一览!A164,搜索词报告!$M$2:$M$22222)=0,"",SUMIF(搜索词报告!$A$2:$A$22222,总体数据一览!A164,搜索词报告!$M$2:$M$22222))</f>
        <v/>
      </c>
      <c r="G164" t="str">
        <f>IFERROR(IF(B164="","",SUMIF(搜索词报告!$A$2:$A$22222,总体数据一览!A164,搜索词报告!$V$2:$V$22222))+IF(B164="","",SUMIF(搜索词报告!$A$2:$A$22222,总体数据一览!A164,搜索词报告!$W$2:$W$22222)),"")</f>
        <v/>
      </c>
      <c r="H164" s="2" t="str">
        <f t="shared" si="11"/>
        <v/>
      </c>
    </row>
    <row r="165" spans="2:8" x14ac:dyDescent="0.15">
      <c r="B165" t="str">
        <f>IF(SUMIF(搜索词报告!$A$2:$A$22222,总体数据一览!A165,搜索词报告!$I$2:$I$22222)=0,"",SUMIF(搜索词报告!$A$2:$A$22222,总体数据一览!A165,搜索词报告!$I$2:$I$22222))</f>
        <v/>
      </c>
      <c r="C165" t="str">
        <f>IF(SUMIF(搜索词报告!$A$2:$A$22222,总体数据一览!A165,搜索词报告!$J$2:$J$22222)=0,"",SUMIF(搜索词报告!$A$2:$A$22222,总体数据一览!A165,搜索词报告!$J$2:$J$22222))</f>
        <v/>
      </c>
      <c r="D165" s="2" t="str">
        <f t="shared" si="9"/>
        <v/>
      </c>
      <c r="E165" t="str">
        <f t="shared" si="10"/>
        <v/>
      </c>
      <c r="F165" t="str">
        <f>IF(SUMIF(搜索词报告!$A$2:$A$22222,总体数据一览!A165,搜索词报告!$M$2:$M$22222)=0,"",SUMIF(搜索词报告!$A$2:$A$22222,总体数据一览!A165,搜索词报告!$M$2:$M$22222))</f>
        <v/>
      </c>
      <c r="G165" t="str">
        <f>IFERROR(IF(B165="","",SUMIF(搜索词报告!$A$2:$A$22222,总体数据一览!A165,搜索词报告!$V$2:$V$22222))+IF(B165="","",SUMIF(搜索词报告!$A$2:$A$22222,总体数据一览!A165,搜索词报告!$W$2:$W$22222)),"")</f>
        <v/>
      </c>
      <c r="H165" s="2" t="str">
        <f t="shared" si="11"/>
        <v/>
      </c>
    </row>
    <row r="166" spans="2:8" x14ac:dyDescent="0.15">
      <c r="B166" t="str">
        <f>IF(SUMIF(搜索词报告!$A$2:$A$22222,总体数据一览!A166,搜索词报告!$I$2:$I$22222)=0,"",SUMIF(搜索词报告!$A$2:$A$22222,总体数据一览!A166,搜索词报告!$I$2:$I$22222))</f>
        <v/>
      </c>
      <c r="C166" t="str">
        <f>IF(SUMIF(搜索词报告!$A$2:$A$22222,总体数据一览!A166,搜索词报告!$J$2:$J$22222)=0,"",SUMIF(搜索词报告!$A$2:$A$22222,总体数据一览!A166,搜索词报告!$J$2:$J$22222))</f>
        <v/>
      </c>
      <c r="D166" s="2" t="str">
        <f t="shared" si="9"/>
        <v/>
      </c>
      <c r="E166" t="str">
        <f t="shared" si="10"/>
        <v/>
      </c>
      <c r="F166" t="str">
        <f>IF(SUMIF(搜索词报告!$A$2:$A$22222,总体数据一览!A166,搜索词报告!$M$2:$M$22222)=0,"",SUMIF(搜索词报告!$A$2:$A$22222,总体数据一览!A166,搜索词报告!$M$2:$M$22222))</f>
        <v/>
      </c>
      <c r="G166" t="str">
        <f>IFERROR(IF(B166="","",SUMIF(搜索词报告!$A$2:$A$22222,总体数据一览!A166,搜索词报告!$V$2:$V$22222))+IF(B166="","",SUMIF(搜索词报告!$A$2:$A$22222,总体数据一览!A166,搜索词报告!$W$2:$W$22222)),"")</f>
        <v/>
      </c>
      <c r="H166" s="2" t="str">
        <f t="shared" si="11"/>
        <v/>
      </c>
    </row>
    <row r="167" spans="2:8" x14ac:dyDescent="0.15">
      <c r="B167" t="str">
        <f>IF(SUMIF(搜索词报告!$A$2:$A$22222,总体数据一览!A167,搜索词报告!$I$2:$I$22222)=0,"",SUMIF(搜索词报告!$A$2:$A$22222,总体数据一览!A167,搜索词报告!$I$2:$I$22222))</f>
        <v/>
      </c>
      <c r="C167" t="str">
        <f>IF(SUMIF(搜索词报告!$A$2:$A$22222,总体数据一览!A167,搜索词报告!$J$2:$J$22222)=0,"",SUMIF(搜索词报告!$A$2:$A$22222,总体数据一览!A167,搜索词报告!$J$2:$J$22222))</f>
        <v/>
      </c>
      <c r="D167" s="2" t="str">
        <f t="shared" si="9"/>
        <v/>
      </c>
      <c r="E167" t="str">
        <f t="shared" si="10"/>
        <v/>
      </c>
      <c r="F167" t="str">
        <f>IF(SUMIF(搜索词报告!$A$2:$A$22222,总体数据一览!A167,搜索词报告!$M$2:$M$22222)=0,"",SUMIF(搜索词报告!$A$2:$A$22222,总体数据一览!A167,搜索词报告!$M$2:$M$22222))</f>
        <v/>
      </c>
      <c r="G167" t="str">
        <f>IFERROR(IF(B167="","",SUMIF(搜索词报告!$A$2:$A$22222,总体数据一览!A167,搜索词报告!$V$2:$V$22222))+IF(B167="","",SUMIF(搜索词报告!$A$2:$A$22222,总体数据一览!A167,搜索词报告!$W$2:$W$22222)),"")</f>
        <v/>
      </c>
      <c r="H167" s="2" t="str">
        <f t="shared" si="11"/>
        <v/>
      </c>
    </row>
    <row r="168" spans="2:8" x14ac:dyDescent="0.15">
      <c r="B168" t="str">
        <f>IF(SUMIF(搜索词报告!$A$2:$A$22222,总体数据一览!A168,搜索词报告!$I$2:$I$22222)=0,"",SUMIF(搜索词报告!$A$2:$A$22222,总体数据一览!A168,搜索词报告!$I$2:$I$22222))</f>
        <v/>
      </c>
      <c r="C168" t="str">
        <f>IF(SUMIF(搜索词报告!$A$2:$A$22222,总体数据一览!A168,搜索词报告!$J$2:$J$22222)=0,"",SUMIF(搜索词报告!$A$2:$A$22222,总体数据一览!A168,搜索词报告!$J$2:$J$22222))</f>
        <v/>
      </c>
      <c r="D168" s="2" t="str">
        <f t="shared" si="9"/>
        <v/>
      </c>
      <c r="E168" t="str">
        <f t="shared" si="10"/>
        <v/>
      </c>
      <c r="F168" t="str">
        <f>IF(SUMIF(搜索词报告!$A$2:$A$22222,总体数据一览!A168,搜索词报告!$M$2:$M$22222)=0,"",SUMIF(搜索词报告!$A$2:$A$22222,总体数据一览!A168,搜索词报告!$M$2:$M$22222))</f>
        <v/>
      </c>
      <c r="G168" t="str">
        <f>IFERROR(IF(B168="","",SUMIF(搜索词报告!$A$2:$A$22222,总体数据一览!A168,搜索词报告!$V$2:$V$22222))+IF(B168="","",SUMIF(搜索词报告!$A$2:$A$22222,总体数据一览!A168,搜索词报告!$W$2:$W$22222)),"")</f>
        <v/>
      </c>
      <c r="H168" s="2" t="str">
        <f t="shared" si="11"/>
        <v/>
      </c>
    </row>
    <row r="169" spans="2:8" x14ac:dyDescent="0.15">
      <c r="B169" t="str">
        <f>IF(SUMIF(搜索词报告!$A$2:$A$22222,总体数据一览!A169,搜索词报告!$I$2:$I$22222)=0,"",SUMIF(搜索词报告!$A$2:$A$22222,总体数据一览!A169,搜索词报告!$I$2:$I$22222))</f>
        <v/>
      </c>
      <c r="C169" t="str">
        <f>IF(SUMIF(搜索词报告!$A$2:$A$22222,总体数据一览!A169,搜索词报告!$J$2:$J$22222)=0,"",SUMIF(搜索词报告!$A$2:$A$22222,总体数据一览!A169,搜索词报告!$J$2:$J$22222))</f>
        <v/>
      </c>
      <c r="D169" s="2" t="str">
        <f t="shared" si="9"/>
        <v/>
      </c>
      <c r="E169" t="str">
        <f t="shared" si="10"/>
        <v/>
      </c>
      <c r="F169" t="str">
        <f>IF(SUMIF(搜索词报告!$A$2:$A$22222,总体数据一览!A169,搜索词报告!$M$2:$M$22222)=0,"",SUMIF(搜索词报告!$A$2:$A$22222,总体数据一览!A169,搜索词报告!$M$2:$M$22222))</f>
        <v/>
      </c>
      <c r="G169" t="str">
        <f>IFERROR(IF(B169="","",SUMIF(搜索词报告!$A$2:$A$22222,总体数据一览!A169,搜索词报告!$V$2:$V$22222))+IF(B169="","",SUMIF(搜索词报告!$A$2:$A$22222,总体数据一览!A169,搜索词报告!$W$2:$W$22222)),"")</f>
        <v/>
      </c>
      <c r="H169" s="2" t="str">
        <f t="shared" si="11"/>
        <v/>
      </c>
    </row>
    <row r="170" spans="2:8" x14ac:dyDescent="0.15">
      <c r="B170" t="str">
        <f>IF(SUMIF(搜索词报告!$A$2:$A$22222,总体数据一览!A170,搜索词报告!$I$2:$I$22222)=0,"",SUMIF(搜索词报告!$A$2:$A$22222,总体数据一览!A170,搜索词报告!$I$2:$I$22222))</f>
        <v/>
      </c>
      <c r="C170" t="str">
        <f>IF(SUMIF(搜索词报告!$A$2:$A$22222,总体数据一览!A170,搜索词报告!$J$2:$J$22222)=0,"",SUMIF(搜索词报告!$A$2:$A$22222,总体数据一览!A170,搜索词报告!$J$2:$J$22222))</f>
        <v/>
      </c>
      <c r="D170" s="2" t="str">
        <f t="shared" si="9"/>
        <v/>
      </c>
      <c r="E170" t="str">
        <f t="shared" si="10"/>
        <v/>
      </c>
      <c r="F170" t="str">
        <f>IF(SUMIF(搜索词报告!$A$2:$A$22222,总体数据一览!A170,搜索词报告!$M$2:$M$22222)=0,"",SUMIF(搜索词报告!$A$2:$A$22222,总体数据一览!A170,搜索词报告!$M$2:$M$22222))</f>
        <v/>
      </c>
      <c r="G170" t="str">
        <f>IFERROR(IF(B170="","",SUMIF(搜索词报告!$A$2:$A$22222,总体数据一览!A170,搜索词报告!$V$2:$V$22222))+IF(B170="","",SUMIF(搜索词报告!$A$2:$A$22222,总体数据一览!A170,搜索词报告!$W$2:$W$22222)),"")</f>
        <v/>
      </c>
      <c r="H170" s="2" t="str">
        <f t="shared" si="11"/>
        <v/>
      </c>
    </row>
    <row r="171" spans="2:8" x14ac:dyDescent="0.15">
      <c r="B171" t="str">
        <f>IF(SUMIF(搜索词报告!$A$2:$A$22222,总体数据一览!A171,搜索词报告!$I$2:$I$22222)=0,"",SUMIF(搜索词报告!$A$2:$A$22222,总体数据一览!A171,搜索词报告!$I$2:$I$22222))</f>
        <v/>
      </c>
      <c r="C171" t="str">
        <f>IF(SUMIF(搜索词报告!$A$2:$A$22222,总体数据一览!A171,搜索词报告!$J$2:$J$22222)=0,"",SUMIF(搜索词报告!$A$2:$A$22222,总体数据一览!A171,搜索词报告!$J$2:$J$22222))</f>
        <v/>
      </c>
      <c r="D171" s="2" t="str">
        <f t="shared" si="9"/>
        <v/>
      </c>
      <c r="E171" t="str">
        <f t="shared" si="10"/>
        <v/>
      </c>
      <c r="F171" t="str">
        <f>IF(SUMIF(搜索词报告!$A$2:$A$22222,总体数据一览!A171,搜索词报告!$M$2:$M$22222)=0,"",SUMIF(搜索词报告!$A$2:$A$22222,总体数据一览!A171,搜索词报告!$M$2:$M$22222))</f>
        <v/>
      </c>
      <c r="G171" t="str">
        <f>IFERROR(IF(B171="","",SUMIF(搜索词报告!$A$2:$A$22222,总体数据一览!A171,搜索词报告!$V$2:$V$22222))+IF(B171="","",SUMIF(搜索词报告!$A$2:$A$22222,总体数据一览!A171,搜索词报告!$W$2:$W$22222)),"")</f>
        <v/>
      </c>
      <c r="H171" s="2" t="str">
        <f t="shared" si="11"/>
        <v/>
      </c>
    </row>
    <row r="172" spans="2:8" x14ac:dyDescent="0.15">
      <c r="B172" t="str">
        <f>IF(SUMIF(搜索词报告!$A$2:$A$22222,总体数据一览!A172,搜索词报告!$I$2:$I$22222)=0,"",SUMIF(搜索词报告!$A$2:$A$22222,总体数据一览!A172,搜索词报告!$I$2:$I$22222))</f>
        <v/>
      </c>
      <c r="C172" t="str">
        <f>IF(SUMIF(搜索词报告!$A$2:$A$22222,总体数据一览!A172,搜索词报告!$J$2:$J$22222)=0,"",SUMIF(搜索词报告!$A$2:$A$22222,总体数据一览!A172,搜索词报告!$J$2:$J$22222))</f>
        <v/>
      </c>
      <c r="D172" s="2" t="str">
        <f t="shared" si="9"/>
        <v/>
      </c>
      <c r="E172" t="str">
        <f t="shared" si="10"/>
        <v/>
      </c>
      <c r="F172" t="str">
        <f>IF(SUMIF(搜索词报告!$A$2:$A$22222,总体数据一览!A172,搜索词报告!$M$2:$M$22222)=0,"",SUMIF(搜索词报告!$A$2:$A$22222,总体数据一览!A172,搜索词报告!$M$2:$M$22222))</f>
        <v/>
      </c>
      <c r="G172" t="str">
        <f>IFERROR(IF(B172="","",SUMIF(搜索词报告!$A$2:$A$22222,总体数据一览!A172,搜索词报告!$V$2:$V$22222))+IF(B172="","",SUMIF(搜索词报告!$A$2:$A$22222,总体数据一览!A172,搜索词报告!$W$2:$W$22222)),"")</f>
        <v/>
      </c>
      <c r="H172" s="2" t="str">
        <f t="shared" si="11"/>
        <v/>
      </c>
    </row>
    <row r="173" spans="2:8" x14ac:dyDescent="0.15">
      <c r="B173" t="str">
        <f>IF(SUMIF(搜索词报告!$A$2:$A$22222,总体数据一览!A173,搜索词报告!$I$2:$I$22222)=0,"",SUMIF(搜索词报告!$A$2:$A$22222,总体数据一览!A173,搜索词报告!$I$2:$I$22222))</f>
        <v/>
      </c>
      <c r="C173" t="str">
        <f>IF(SUMIF(搜索词报告!$A$2:$A$22222,总体数据一览!A173,搜索词报告!$J$2:$J$22222)=0,"",SUMIF(搜索词报告!$A$2:$A$22222,总体数据一览!A173,搜索词报告!$J$2:$J$22222))</f>
        <v/>
      </c>
      <c r="D173" s="2" t="str">
        <f t="shared" si="9"/>
        <v/>
      </c>
      <c r="E173" t="str">
        <f t="shared" si="10"/>
        <v/>
      </c>
      <c r="F173" t="str">
        <f>IF(SUMIF(搜索词报告!$A$2:$A$22222,总体数据一览!A173,搜索词报告!$M$2:$M$22222)=0,"",SUMIF(搜索词报告!$A$2:$A$22222,总体数据一览!A173,搜索词报告!$M$2:$M$22222))</f>
        <v/>
      </c>
      <c r="G173" t="str">
        <f>IFERROR(IF(B173="","",SUMIF(搜索词报告!$A$2:$A$22222,总体数据一览!A173,搜索词报告!$V$2:$V$22222))+IF(B173="","",SUMIF(搜索词报告!$A$2:$A$22222,总体数据一览!A173,搜索词报告!$W$2:$W$22222)),"")</f>
        <v/>
      </c>
      <c r="H173" s="2" t="str">
        <f t="shared" si="11"/>
        <v/>
      </c>
    </row>
    <row r="174" spans="2:8" x14ac:dyDescent="0.15">
      <c r="B174" t="str">
        <f>IF(SUMIF(搜索词报告!$A$2:$A$22222,总体数据一览!A174,搜索词报告!$I$2:$I$22222)=0,"",SUMIF(搜索词报告!$A$2:$A$22222,总体数据一览!A174,搜索词报告!$I$2:$I$22222))</f>
        <v/>
      </c>
      <c r="C174" t="str">
        <f>IF(SUMIF(搜索词报告!$A$2:$A$22222,总体数据一览!A174,搜索词报告!$J$2:$J$22222)=0,"",SUMIF(搜索词报告!$A$2:$A$22222,总体数据一览!A174,搜索词报告!$J$2:$J$22222))</f>
        <v/>
      </c>
      <c r="D174" s="2" t="str">
        <f t="shared" si="9"/>
        <v/>
      </c>
      <c r="E174" t="str">
        <f t="shared" si="10"/>
        <v/>
      </c>
      <c r="F174" t="str">
        <f>IF(SUMIF(搜索词报告!$A$2:$A$22222,总体数据一览!A174,搜索词报告!$M$2:$M$22222)=0,"",SUMIF(搜索词报告!$A$2:$A$22222,总体数据一览!A174,搜索词报告!$M$2:$M$22222))</f>
        <v/>
      </c>
      <c r="G174" t="str">
        <f>IFERROR(IF(B174="","",SUMIF(搜索词报告!$A$2:$A$22222,总体数据一览!A174,搜索词报告!$V$2:$V$22222))+IF(B174="","",SUMIF(搜索词报告!$A$2:$A$22222,总体数据一览!A174,搜索词报告!$W$2:$W$22222)),"")</f>
        <v/>
      </c>
      <c r="H174" s="2" t="str">
        <f t="shared" si="11"/>
        <v/>
      </c>
    </row>
    <row r="175" spans="2:8" x14ac:dyDescent="0.15">
      <c r="B175" t="str">
        <f>IF(SUMIF(搜索词报告!$A$2:$A$22222,总体数据一览!A175,搜索词报告!$I$2:$I$22222)=0,"",SUMIF(搜索词报告!$A$2:$A$22222,总体数据一览!A175,搜索词报告!$I$2:$I$22222))</f>
        <v/>
      </c>
      <c r="C175" t="str">
        <f>IF(SUMIF(搜索词报告!$A$2:$A$22222,总体数据一览!A175,搜索词报告!$J$2:$J$22222)=0,"",SUMIF(搜索词报告!$A$2:$A$22222,总体数据一览!A175,搜索词报告!$J$2:$J$22222))</f>
        <v/>
      </c>
      <c r="D175" s="2" t="str">
        <f t="shared" si="9"/>
        <v/>
      </c>
      <c r="E175" t="str">
        <f t="shared" si="10"/>
        <v/>
      </c>
      <c r="F175" t="str">
        <f>IF(SUMIF(搜索词报告!$A$2:$A$22222,总体数据一览!A175,搜索词报告!$M$2:$M$22222)=0,"",SUMIF(搜索词报告!$A$2:$A$22222,总体数据一览!A175,搜索词报告!$M$2:$M$22222))</f>
        <v/>
      </c>
      <c r="G175" t="str">
        <f>IFERROR(IF(B175="","",SUMIF(搜索词报告!$A$2:$A$22222,总体数据一览!A175,搜索词报告!$V$2:$V$22222))+IF(B175="","",SUMIF(搜索词报告!$A$2:$A$22222,总体数据一览!A175,搜索词报告!$W$2:$W$22222)),"")</f>
        <v/>
      </c>
      <c r="H175" s="2" t="str">
        <f t="shared" si="11"/>
        <v/>
      </c>
    </row>
    <row r="176" spans="2:8" x14ac:dyDescent="0.15">
      <c r="B176" t="str">
        <f>IF(SUMIF(搜索词报告!$A$2:$A$22222,总体数据一览!A176,搜索词报告!$I$2:$I$22222)=0,"",SUMIF(搜索词报告!$A$2:$A$22222,总体数据一览!A176,搜索词报告!$I$2:$I$22222))</f>
        <v/>
      </c>
      <c r="C176" t="str">
        <f>IF(SUMIF(搜索词报告!$A$2:$A$22222,总体数据一览!A176,搜索词报告!$J$2:$J$22222)=0,"",SUMIF(搜索词报告!$A$2:$A$22222,总体数据一览!A176,搜索词报告!$J$2:$J$22222))</f>
        <v/>
      </c>
      <c r="D176" s="2" t="str">
        <f t="shared" si="9"/>
        <v/>
      </c>
      <c r="E176" t="str">
        <f t="shared" si="10"/>
        <v/>
      </c>
      <c r="F176" t="str">
        <f>IF(SUMIF(搜索词报告!$A$2:$A$22222,总体数据一览!A176,搜索词报告!$M$2:$M$22222)=0,"",SUMIF(搜索词报告!$A$2:$A$22222,总体数据一览!A176,搜索词报告!$M$2:$M$22222))</f>
        <v/>
      </c>
      <c r="G176" t="str">
        <f>IFERROR(IF(B176="","",SUMIF(搜索词报告!$A$2:$A$22222,总体数据一览!A176,搜索词报告!$V$2:$V$22222))+IF(B176="","",SUMIF(搜索词报告!$A$2:$A$22222,总体数据一览!A176,搜索词报告!$W$2:$W$22222)),"")</f>
        <v/>
      </c>
      <c r="H176" s="2" t="str">
        <f t="shared" si="11"/>
        <v/>
      </c>
    </row>
    <row r="177" spans="2:8" x14ac:dyDescent="0.15">
      <c r="B177" t="str">
        <f>IF(SUMIF(搜索词报告!$A$2:$A$22222,总体数据一览!A177,搜索词报告!$I$2:$I$22222)=0,"",SUMIF(搜索词报告!$A$2:$A$22222,总体数据一览!A177,搜索词报告!$I$2:$I$22222))</f>
        <v/>
      </c>
      <c r="C177" t="str">
        <f>IF(SUMIF(搜索词报告!$A$2:$A$22222,总体数据一览!A177,搜索词报告!$J$2:$J$22222)=0,"",SUMIF(搜索词报告!$A$2:$A$22222,总体数据一览!A177,搜索词报告!$J$2:$J$22222))</f>
        <v/>
      </c>
      <c r="D177" s="2" t="str">
        <f t="shared" si="9"/>
        <v/>
      </c>
      <c r="E177" t="str">
        <f t="shared" si="10"/>
        <v/>
      </c>
      <c r="F177" t="str">
        <f>IF(SUMIF(搜索词报告!$A$2:$A$22222,总体数据一览!A177,搜索词报告!$M$2:$M$22222)=0,"",SUMIF(搜索词报告!$A$2:$A$22222,总体数据一览!A177,搜索词报告!$M$2:$M$22222))</f>
        <v/>
      </c>
      <c r="G177" t="str">
        <f>IFERROR(IF(B177="","",SUMIF(搜索词报告!$A$2:$A$22222,总体数据一览!A177,搜索词报告!$V$2:$V$22222))+IF(B177="","",SUMIF(搜索词报告!$A$2:$A$22222,总体数据一览!A177,搜索词报告!$W$2:$W$22222)),"")</f>
        <v/>
      </c>
      <c r="H177" s="2" t="str">
        <f t="shared" si="11"/>
        <v/>
      </c>
    </row>
    <row r="178" spans="2:8" x14ac:dyDescent="0.15">
      <c r="B178" t="str">
        <f>IF(SUMIF(搜索词报告!$A$2:$A$22222,总体数据一览!A178,搜索词报告!$I$2:$I$22222)=0,"",SUMIF(搜索词报告!$A$2:$A$22222,总体数据一览!A178,搜索词报告!$I$2:$I$22222))</f>
        <v/>
      </c>
      <c r="C178" t="str">
        <f>IF(SUMIF(搜索词报告!$A$2:$A$22222,总体数据一览!A178,搜索词报告!$J$2:$J$22222)=0,"",SUMIF(搜索词报告!$A$2:$A$22222,总体数据一览!A178,搜索词报告!$J$2:$J$22222))</f>
        <v/>
      </c>
      <c r="D178" s="2" t="str">
        <f t="shared" si="9"/>
        <v/>
      </c>
      <c r="E178" t="str">
        <f t="shared" si="10"/>
        <v/>
      </c>
      <c r="F178" t="str">
        <f>IF(SUMIF(搜索词报告!$A$2:$A$22222,总体数据一览!A178,搜索词报告!$M$2:$M$22222)=0,"",SUMIF(搜索词报告!$A$2:$A$22222,总体数据一览!A178,搜索词报告!$M$2:$M$22222))</f>
        <v/>
      </c>
      <c r="G178" t="str">
        <f>IFERROR(IF(B178="","",SUMIF(搜索词报告!$A$2:$A$22222,总体数据一览!A178,搜索词报告!$V$2:$V$22222))+IF(B178="","",SUMIF(搜索词报告!$A$2:$A$22222,总体数据一览!A178,搜索词报告!$W$2:$W$22222)),"")</f>
        <v/>
      </c>
      <c r="H178" s="2" t="str">
        <f t="shared" si="11"/>
        <v/>
      </c>
    </row>
    <row r="179" spans="2:8" x14ac:dyDescent="0.15">
      <c r="B179" t="str">
        <f>IF(SUMIF(搜索词报告!$A$2:$A$22222,总体数据一览!A179,搜索词报告!$I$2:$I$22222)=0,"",SUMIF(搜索词报告!$A$2:$A$22222,总体数据一览!A179,搜索词报告!$I$2:$I$22222))</f>
        <v/>
      </c>
      <c r="C179" t="str">
        <f>IF(SUMIF(搜索词报告!$A$2:$A$22222,总体数据一览!A179,搜索词报告!$J$2:$J$22222)=0,"",SUMIF(搜索词报告!$A$2:$A$22222,总体数据一览!A179,搜索词报告!$J$2:$J$22222))</f>
        <v/>
      </c>
      <c r="D179" s="2" t="str">
        <f t="shared" si="9"/>
        <v/>
      </c>
      <c r="E179" t="str">
        <f t="shared" si="10"/>
        <v/>
      </c>
      <c r="F179" t="str">
        <f>IF(SUMIF(搜索词报告!$A$2:$A$22222,总体数据一览!A179,搜索词报告!$M$2:$M$22222)=0,"",SUMIF(搜索词报告!$A$2:$A$22222,总体数据一览!A179,搜索词报告!$M$2:$M$22222))</f>
        <v/>
      </c>
      <c r="G179" t="str">
        <f>IFERROR(IF(B179="","",SUMIF(搜索词报告!$A$2:$A$22222,总体数据一览!A179,搜索词报告!$V$2:$V$22222))+IF(B179="","",SUMIF(搜索词报告!$A$2:$A$22222,总体数据一览!A179,搜索词报告!$W$2:$W$22222)),"")</f>
        <v/>
      </c>
      <c r="H179" s="2" t="str">
        <f t="shared" si="11"/>
        <v/>
      </c>
    </row>
    <row r="180" spans="2:8" x14ac:dyDescent="0.15">
      <c r="B180" t="str">
        <f>IF(SUMIF(搜索词报告!$A$2:$A$22222,总体数据一览!A180,搜索词报告!$I$2:$I$22222)=0,"",SUMIF(搜索词报告!$A$2:$A$22222,总体数据一览!A180,搜索词报告!$I$2:$I$22222))</f>
        <v/>
      </c>
      <c r="C180" t="str">
        <f>IF(SUMIF(搜索词报告!$A$2:$A$22222,总体数据一览!A180,搜索词报告!$J$2:$J$22222)=0,"",SUMIF(搜索词报告!$A$2:$A$22222,总体数据一览!A180,搜索词报告!$J$2:$J$22222))</f>
        <v/>
      </c>
      <c r="D180" s="2" t="str">
        <f t="shared" si="9"/>
        <v/>
      </c>
      <c r="E180" t="str">
        <f t="shared" si="10"/>
        <v/>
      </c>
      <c r="F180" t="str">
        <f>IF(SUMIF(搜索词报告!$A$2:$A$22222,总体数据一览!A180,搜索词报告!$M$2:$M$22222)=0,"",SUMIF(搜索词报告!$A$2:$A$22222,总体数据一览!A180,搜索词报告!$M$2:$M$22222))</f>
        <v/>
      </c>
      <c r="G180" t="str">
        <f>IFERROR(IF(B180="","",SUMIF(搜索词报告!$A$2:$A$22222,总体数据一览!A180,搜索词报告!$V$2:$V$22222))+IF(B180="","",SUMIF(搜索词报告!$A$2:$A$22222,总体数据一览!A180,搜索词报告!$W$2:$W$22222)),"")</f>
        <v/>
      </c>
      <c r="H180" s="2" t="str">
        <f t="shared" si="11"/>
        <v/>
      </c>
    </row>
    <row r="181" spans="2:8" x14ac:dyDescent="0.15">
      <c r="B181" t="str">
        <f>IF(SUMIF(搜索词报告!$A$2:$A$22222,总体数据一览!A181,搜索词报告!$I$2:$I$22222)=0,"",SUMIF(搜索词报告!$A$2:$A$22222,总体数据一览!A181,搜索词报告!$I$2:$I$22222))</f>
        <v/>
      </c>
      <c r="C181" t="str">
        <f>IF(SUMIF(搜索词报告!$A$2:$A$22222,总体数据一览!A181,搜索词报告!$J$2:$J$22222)=0,"",SUMIF(搜索词报告!$A$2:$A$22222,总体数据一览!A181,搜索词报告!$J$2:$J$22222))</f>
        <v/>
      </c>
      <c r="D181" s="2" t="str">
        <f t="shared" si="9"/>
        <v/>
      </c>
      <c r="E181" t="str">
        <f t="shared" si="10"/>
        <v/>
      </c>
      <c r="F181" t="str">
        <f>IF(SUMIF(搜索词报告!$A$2:$A$22222,总体数据一览!A181,搜索词报告!$M$2:$M$22222)=0,"",SUMIF(搜索词报告!$A$2:$A$22222,总体数据一览!A181,搜索词报告!$M$2:$M$22222))</f>
        <v/>
      </c>
      <c r="G181" t="str">
        <f>IFERROR(IF(B181="","",SUMIF(搜索词报告!$A$2:$A$22222,总体数据一览!A181,搜索词报告!$V$2:$V$22222))+IF(B181="","",SUMIF(搜索词报告!$A$2:$A$22222,总体数据一览!A181,搜索词报告!$W$2:$W$22222)),"")</f>
        <v/>
      </c>
      <c r="H181" s="2" t="str">
        <f t="shared" si="11"/>
        <v/>
      </c>
    </row>
    <row r="182" spans="2:8" x14ac:dyDescent="0.15">
      <c r="B182" t="str">
        <f>IF(SUMIF(搜索词报告!$A$2:$A$22222,总体数据一览!A182,搜索词报告!$I$2:$I$22222)=0,"",SUMIF(搜索词报告!$A$2:$A$22222,总体数据一览!A182,搜索词报告!$I$2:$I$22222))</f>
        <v/>
      </c>
      <c r="C182" t="str">
        <f>IF(SUMIF(搜索词报告!$A$2:$A$22222,总体数据一览!A182,搜索词报告!$J$2:$J$22222)=0,"",SUMIF(搜索词报告!$A$2:$A$22222,总体数据一览!A182,搜索词报告!$J$2:$J$22222))</f>
        <v/>
      </c>
      <c r="D182" s="2" t="str">
        <f t="shared" si="9"/>
        <v/>
      </c>
      <c r="E182" t="str">
        <f t="shared" si="10"/>
        <v/>
      </c>
      <c r="F182" t="str">
        <f>IF(SUMIF(搜索词报告!$A$2:$A$22222,总体数据一览!A182,搜索词报告!$M$2:$M$22222)=0,"",SUMIF(搜索词报告!$A$2:$A$22222,总体数据一览!A182,搜索词报告!$M$2:$M$22222))</f>
        <v/>
      </c>
      <c r="G182" t="str">
        <f>IFERROR(IF(B182="","",SUMIF(搜索词报告!$A$2:$A$22222,总体数据一览!A182,搜索词报告!$V$2:$V$22222))+IF(B182="","",SUMIF(搜索词报告!$A$2:$A$22222,总体数据一览!A182,搜索词报告!$W$2:$W$22222)),"")</f>
        <v/>
      </c>
      <c r="H182" s="2" t="str">
        <f t="shared" si="11"/>
        <v/>
      </c>
    </row>
    <row r="183" spans="2:8" x14ac:dyDescent="0.15">
      <c r="B183" t="str">
        <f>IF(SUMIF(搜索词报告!$A$2:$A$22222,总体数据一览!A183,搜索词报告!$I$2:$I$22222)=0,"",SUMIF(搜索词报告!$A$2:$A$22222,总体数据一览!A183,搜索词报告!$I$2:$I$22222))</f>
        <v/>
      </c>
      <c r="C183" t="str">
        <f>IF(SUMIF(搜索词报告!$A$2:$A$22222,总体数据一览!A183,搜索词报告!$J$2:$J$22222)=0,"",SUMIF(搜索词报告!$A$2:$A$22222,总体数据一览!A183,搜索词报告!$J$2:$J$22222))</f>
        <v/>
      </c>
      <c r="D183" s="2" t="str">
        <f t="shared" si="9"/>
        <v/>
      </c>
      <c r="E183" t="str">
        <f t="shared" si="10"/>
        <v/>
      </c>
      <c r="F183" t="str">
        <f>IF(SUMIF(搜索词报告!$A$2:$A$22222,总体数据一览!A183,搜索词报告!$M$2:$M$22222)=0,"",SUMIF(搜索词报告!$A$2:$A$22222,总体数据一览!A183,搜索词报告!$M$2:$M$22222))</f>
        <v/>
      </c>
      <c r="G183" t="str">
        <f>IFERROR(IF(B183="","",SUMIF(搜索词报告!$A$2:$A$22222,总体数据一览!A183,搜索词报告!$V$2:$V$22222))+IF(B183="","",SUMIF(搜索词报告!$A$2:$A$22222,总体数据一览!A183,搜索词报告!$W$2:$W$22222)),"")</f>
        <v/>
      </c>
      <c r="H183" s="2" t="str">
        <f t="shared" si="11"/>
        <v/>
      </c>
    </row>
    <row r="184" spans="2:8" x14ac:dyDescent="0.15">
      <c r="B184" t="str">
        <f>IF(SUMIF(搜索词报告!$A$2:$A$22222,总体数据一览!A184,搜索词报告!$I$2:$I$22222)=0,"",SUMIF(搜索词报告!$A$2:$A$22222,总体数据一览!A184,搜索词报告!$I$2:$I$22222))</f>
        <v/>
      </c>
      <c r="C184" t="str">
        <f>IF(SUMIF(搜索词报告!$A$2:$A$22222,总体数据一览!A184,搜索词报告!$J$2:$J$22222)=0,"",SUMIF(搜索词报告!$A$2:$A$22222,总体数据一览!A184,搜索词报告!$J$2:$J$22222))</f>
        <v/>
      </c>
      <c r="D184" s="2" t="str">
        <f t="shared" si="9"/>
        <v/>
      </c>
      <c r="E184" t="str">
        <f t="shared" si="10"/>
        <v/>
      </c>
      <c r="F184" t="str">
        <f>IF(SUMIF(搜索词报告!$A$2:$A$22222,总体数据一览!A184,搜索词报告!$M$2:$M$22222)=0,"",SUMIF(搜索词报告!$A$2:$A$22222,总体数据一览!A184,搜索词报告!$M$2:$M$22222))</f>
        <v/>
      </c>
      <c r="G184" t="str">
        <f>IFERROR(IF(B184="","",SUMIF(搜索词报告!$A$2:$A$22222,总体数据一览!A184,搜索词报告!$V$2:$V$22222))+IF(B184="","",SUMIF(搜索词报告!$A$2:$A$22222,总体数据一览!A184,搜索词报告!$W$2:$W$22222)),"")</f>
        <v/>
      </c>
      <c r="H184" s="2" t="str">
        <f t="shared" si="11"/>
        <v/>
      </c>
    </row>
    <row r="185" spans="2:8" x14ac:dyDescent="0.15">
      <c r="B185" t="str">
        <f>IF(SUMIF(搜索词报告!$A$2:$A$22222,总体数据一览!A185,搜索词报告!$I$2:$I$22222)=0,"",SUMIF(搜索词报告!$A$2:$A$22222,总体数据一览!A185,搜索词报告!$I$2:$I$22222))</f>
        <v/>
      </c>
      <c r="C185" t="str">
        <f>IF(SUMIF(搜索词报告!$A$2:$A$22222,总体数据一览!A185,搜索词报告!$J$2:$J$22222)=0,"",SUMIF(搜索词报告!$A$2:$A$22222,总体数据一览!A185,搜索词报告!$J$2:$J$22222))</f>
        <v/>
      </c>
      <c r="D185" s="2" t="str">
        <f t="shared" si="9"/>
        <v/>
      </c>
      <c r="E185" t="str">
        <f t="shared" si="10"/>
        <v/>
      </c>
      <c r="F185" t="str">
        <f>IF(SUMIF(搜索词报告!$A$2:$A$22222,总体数据一览!A185,搜索词报告!$M$2:$M$22222)=0,"",SUMIF(搜索词报告!$A$2:$A$22222,总体数据一览!A185,搜索词报告!$M$2:$M$22222))</f>
        <v/>
      </c>
      <c r="G185" t="str">
        <f>IFERROR(IF(B185="","",SUMIF(搜索词报告!$A$2:$A$22222,总体数据一览!A185,搜索词报告!$V$2:$V$22222))+IF(B185="","",SUMIF(搜索词报告!$A$2:$A$22222,总体数据一览!A185,搜索词报告!$W$2:$W$22222)),"")</f>
        <v/>
      </c>
      <c r="H185" s="2" t="str">
        <f t="shared" si="11"/>
        <v/>
      </c>
    </row>
    <row r="186" spans="2:8" x14ac:dyDescent="0.15">
      <c r="B186" t="str">
        <f>IF(SUMIF(搜索词报告!$A$2:$A$22222,总体数据一览!A186,搜索词报告!$I$2:$I$22222)=0,"",SUMIF(搜索词报告!$A$2:$A$22222,总体数据一览!A186,搜索词报告!$I$2:$I$22222))</f>
        <v/>
      </c>
      <c r="C186" t="str">
        <f>IF(SUMIF(搜索词报告!$A$2:$A$22222,总体数据一览!A186,搜索词报告!$J$2:$J$22222)=0,"",SUMIF(搜索词报告!$A$2:$A$22222,总体数据一览!A186,搜索词报告!$J$2:$J$22222))</f>
        <v/>
      </c>
      <c r="D186" s="2" t="str">
        <f t="shared" si="9"/>
        <v/>
      </c>
      <c r="E186" t="str">
        <f t="shared" si="10"/>
        <v/>
      </c>
      <c r="F186" t="str">
        <f>IF(SUMIF(搜索词报告!$A$2:$A$22222,总体数据一览!A186,搜索词报告!$M$2:$M$22222)=0,"",SUMIF(搜索词报告!$A$2:$A$22222,总体数据一览!A186,搜索词报告!$M$2:$M$22222))</f>
        <v/>
      </c>
      <c r="G186" t="str">
        <f>IFERROR(IF(B186="","",SUMIF(搜索词报告!$A$2:$A$22222,总体数据一览!A186,搜索词报告!$V$2:$V$22222))+IF(B186="","",SUMIF(搜索词报告!$A$2:$A$22222,总体数据一览!A186,搜索词报告!$W$2:$W$22222)),"")</f>
        <v/>
      </c>
      <c r="H186" s="2" t="str">
        <f t="shared" si="11"/>
        <v/>
      </c>
    </row>
    <row r="187" spans="2:8" x14ac:dyDescent="0.15">
      <c r="B187" t="str">
        <f>IF(SUMIF(搜索词报告!$A$2:$A$22222,总体数据一览!A187,搜索词报告!$I$2:$I$22222)=0,"",SUMIF(搜索词报告!$A$2:$A$22222,总体数据一览!A187,搜索词报告!$I$2:$I$22222))</f>
        <v/>
      </c>
      <c r="C187" t="str">
        <f>IF(SUMIF(搜索词报告!$A$2:$A$22222,总体数据一览!A187,搜索词报告!$J$2:$J$22222)=0,"",SUMIF(搜索词报告!$A$2:$A$22222,总体数据一览!A187,搜索词报告!$J$2:$J$22222))</f>
        <v/>
      </c>
      <c r="D187" s="2" t="str">
        <f t="shared" si="9"/>
        <v/>
      </c>
      <c r="E187" t="str">
        <f t="shared" si="10"/>
        <v/>
      </c>
      <c r="F187" t="str">
        <f>IF(SUMIF(搜索词报告!$A$2:$A$22222,总体数据一览!A187,搜索词报告!$M$2:$M$22222)=0,"",SUMIF(搜索词报告!$A$2:$A$22222,总体数据一览!A187,搜索词报告!$M$2:$M$22222))</f>
        <v/>
      </c>
      <c r="G187" t="str">
        <f>IFERROR(IF(B187="","",SUMIF(搜索词报告!$A$2:$A$22222,总体数据一览!A187,搜索词报告!$V$2:$V$22222))+IF(B187="","",SUMIF(搜索词报告!$A$2:$A$22222,总体数据一览!A187,搜索词报告!$W$2:$W$22222)),"")</f>
        <v/>
      </c>
      <c r="H187" s="2" t="str">
        <f t="shared" si="11"/>
        <v/>
      </c>
    </row>
    <row r="188" spans="2:8" x14ac:dyDescent="0.15">
      <c r="B188" t="str">
        <f>IF(SUMIF(搜索词报告!$A$2:$A$22222,总体数据一览!A188,搜索词报告!$I$2:$I$22222)=0,"",SUMIF(搜索词报告!$A$2:$A$22222,总体数据一览!A188,搜索词报告!$I$2:$I$22222))</f>
        <v/>
      </c>
      <c r="C188" t="str">
        <f>IF(SUMIF(搜索词报告!$A$2:$A$22222,总体数据一览!A188,搜索词报告!$J$2:$J$22222)=0,"",SUMIF(搜索词报告!$A$2:$A$22222,总体数据一览!A188,搜索词报告!$J$2:$J$22222))</f>
        <v/>
      </c>
      <c r="D188" s="2" t="str">
        <f t="shared" si="9"/>
        <v/>
      </c>
      <c r="E188" t="str">
        <f t="shared" si="10"/>
        <v/>
      </c>
      <c r="F188" t="str">
        <f>IF(SUMIF(搜索词报告!$A$2:$A$22222,总体数据一览!A188,搜索词报告!$M$2:$M$22222)=0,"",SUMIF(搜索词报告!$A$2:$A$22222,总体数据一览!A188,搜索词报告!$M$2:$M$22222))</f>
        <v/>
      </c>
      <c r="G188" t="str">
        <f>IFERROR(IF(B188="","",SUMIF(搜索词报告!$A$2:$A$22222,总体数据一览!A188,搜索词报告!$V$2:$V$22222))+IF(B188="","",SUMIF(搜索词报告!$A$2:$A$22222,总体数据一览!A188,搜索词报告!$W$2:$W$22222)),"")</f>
        <v/>
      </c>
      <c r="H188" s="2" t="str">
        <f t="shared" si="11"/>
        <v/>
      </c>
    </row>
    <row r="189" spans="2:8" x14ac:dyDescent="0.15">
      <c r="B189" t="str">
        <f>IF(SUMIF(搜索词报告!$A$2:$A$22222,总体数据一览!A189,搜索词报告!$I$2:$I$22222)=0,"",SUMIF(搜索词报告!$A$2:$A$22222,总体数据一览!A189,搜索词报告!$I$2:$I$22222))</f>
        <v/>
      </c>
      <c r="C189" t="str">
        <f>IF(SUMIF(搜索词报告!$A$2:$A$22222,总体数据一览!A189,搜索词报告!$J$2:$J$22222)=0,"",SUMIF(搜索词报告!$A$2:$A$22222,总体数据一览!A189,搜索词报告!$J$2:$J$22222))</f>
        <v/>
      </c>
      <c r="D189" s="2" t="str">
        <f t="shared" si="9"/>
        <v/>
      </c>
      <c r="E189" t="str">
        <f t="shared" si="10"/>
        <v/>
      </c>
      <c r="F189" t="str">
        <f>IF(SUMIF(搜索词报告!$A$2:$A$22222,总体数据一览!A189,搜索词报告!$M$2:$M$22222)=0,"",SUMIF(搜索词报告!$A$2:$A$22222,总体数据一览!A189,搜索词报告!$M$2:$M$22222))</f>
        <v/>
      </c>
      <c r="G189" t="str">
        <f>IFERROR(IF(B189="","",SUMIF(搜索词报告!$A$2:$A$22222,总体数据一览!A189,搜索词报告!$V$2:$V$22222))+IF(B189="","",SUMIF(搜索词报告!$A$2:$A$22222,总体数据一览!A189,搜索词报告!$W$2:$W$22222)),"")</f>
        <v/>
      </c>
      <c r="H189" s="2" t="str">
        <f t="shared" si="11"/>
        <v/>
      </c>
    </row>
    <row r="190" spans="2:8" x14ac:dyDescent="0.15">
      <c r="B190" t="str">
        <f>IF(SUMIF(搜索词报告!$A$2:$A$22222,总体数据一览!A190,搜索词报告!$I$2:$I$22222)=0,"",SUMIF(搜索词报告!$A$2:$A$22222,总体数据一览!A190,搜索词报告!$I$2:$I$22222))</f>
        <v/>
      </c>
      <c r="C190" t="str">
        <f>IF(SUMIF(搜索词报告!$A$2:$A$22222,总体数据一览!A190,搜索词报告!$J$2:$J$22222)=0,"",SUMIF(搜索词报告!$A$2:$A$22222,总体数据一览!A190,搜索词报告!$J$2:$J$22222))</f>
        <v/>
      </c>
      <c r="D190" s="2" t="str">
        <f t="shared" si="9"/>
        <v/>
      </c>
      <c r="E190" t="str">
        <f t="shared" si="10"/>
        <v/>
      </c>
      <c r="F190" t="str">
        <f>IF(SUMIF(搜索词报告!$A$2:$A$22222,总体数据一览!A190,搜索词报告!$M$2:$M$22222)=0,"",SUMIF(搜索词报告!$A$2:$A$22222,总体数据一览!A190,搜索词报告!$M$2:$M$22222))</f>
        <v/>
      </c>
      <c r="G190" t="str">
        <f>IFERROR(IF(B190="","",SUMIF(搜索词报告!$A$2:$A$22222,总体数据一览!A190,搜索词报告!$V$2:$V$22222))+IF(B190="","",SUMIF(搜索词报告!$A$2:$A$22222,总体数据一览!A190,搜索词报告!$W$2:$W$22222)),"")</f>
        <v/>
      </c>
      <c r="H190" s="2" t="str">
        <f t="shared" si="11"/>
        <v/>
      </c>
    </row>
    <row r="191" spans="2:8" x14ac:dyDescent="0.15">
      <c r="B191" t="str">
        <f>IF(SUMIF(搜索词报告!$A$2:$A$22222,总体数据一览!A191,搜索词报告!$I$2:$I$22222)=0,"",SUMIF(搜索词报告!$A$2:$A$22222,总体数据一览!A191,搜索词报告!$I$2:$I$22222))</f>
        <v/>
      </c>
      <c r="C191" t="str">
        <f>IF(SUMIF(搜索词报告!$A$2:$A$22222,总体数据一览!A191,搜索词报告!$J$2:$J$22222)=0,"",SUMIF(搜索词报告!$A$2:$A$22222,总体数据一览!A191,搜索词报告!$J$2:$J$22222))</f>
        <v/>
      </c>
      <c r="D191" s="2" t="str">
        <f t="shared" si="9"/>
        <v/>
      </c>
      <c r="E191" t="str">
        <f t="shared" si="10"/>
        <v/>
      </c>
      <c r="F191" t="str">
        <f>IF(SUMIF(搜索词报告!$A$2:$A$22222,总体数据一览!A191,搜索词报告!$M$2:$M$22222)=0,"",SUMIF(搜索词报告!$A$2:$A$22222,总体数据一览!A191,搜索词报告!$M$2:$M$22222))</f>
        <v/>
      </c>
      <c r="G191" t="str">
        <f>IFERROR(IF(B191="","",SUMIF(搜索词报告!$A$2:$A$22222,总体数据一览!A191,搜索词报告!$V$2:$V$22222))+IF(B191="","",SUMIF(搜索词报告!$A$2:$A$22222,总体数据一览!A191,搜索词报告!$W$2:$W$22222)),"")</f>
        <v/>
      </c>
      <c r="H191" s="2" t="str">
        <f t="shared" si="11"/>
        <v/>
      </c>
    </row>
    <row r="192" spans="2:8" x14ac:dyDescent="0.15">
      <c r="B192" t="str">
        <f>IF(SUMIF(搜索词报告!$A$2:$A$22222,总体数据一览!A192,搜索词报告!$I$2:$I$22222)=0,"",SUMIF(搜索词报告!$A$2:$A$22222,总体数据一览!A192,搜索词报告!$I$2:$I$22222))</f>
        <v/>
      </c>
      <c r="C192" t="str">
        <f>IF(SUMIF(搜索词报告!$A$2:$A$22222,总体数据一览!A192,搜索词报告!$J$2:$J$22222)=0,"",SUMIF(搜索词报告!$A$2:$A$22222,总体数据一览!A192,搜索词报告!$J$2:$J$22222))</f>
        <v/>
      </c>
      <c r="D192" s="2" t="str">
        <f t="shared" si="9"/>
        <v/>
      </c>
      <c r="E192" t="str">
        <f t="shared" si="10"/>
        <v/>
      </c>
      <c r="F192" t="str">
        <f>IF(SUMIF(搜索词报告!$A$2:$A$22222,总体数据一览!A192,搜索词报告!$M$2:$M$22222)=0,"",SUMIF(搜索词报告!$A$2:$A$22222,总体数据一览!A192,搜索词报告!$M$2:$M$22222))</f>
        <v/>
      </c>
      <c r="G192" t="str">
        <f>IFERROR(IF(B192="","",SUMIF(搜索词报告!$A$2:$A$22222,总体数据一览!A192,搜索词报告!$V$2:$V$22222))+IF(B192="","",SUMIF(搜索词报告!$A$2:$A$22222,总体数据一览!A192,搜索词报告!$W$2:$W$22222)),"")</f>
        <v/>
      </c>
      <c r="H192" s="2" t="str">
        <f t="shared" si="11"/>
        <v/>
      </c>
    </row>
    <row r="193" spans="2:8" x14ac:dyDescent="0.15">
      <c r="B193" t="str">
        <f>IF(SUMIF(搜索词报告!$A$2:$A$22222,总体数据一览!A193,搜索词报告!$I$2:$I$22222)=0,"",SUMIF(搜索词报告!$A$2:$A$22222,总体数据一览!A193,搜索词报告!$I$2:$I$22222))</f>
        <v/>
      </c>
      <c r="C193" t="str">
        <f>IF(SUMIF(搜索词报告!$A$2:$A$22222,总体数据一览!A193,搜索词报告!$J$2:$J$22222)=0,"",SUMIF(搜索词报告!$A$2:$A$22222,总体数据一览!A193,搜索词报告!$J$2:$J$22222))</f>
        <v/>
      </c>
      <c r="D193" s="2" t="str">
        <f t="shared" si="9"/>
        <v/>
      </c>
      <c r="E193" t="str">
        <f t="shared" si="10"/>
        <v/>
      </c>
      <c r="F193" t="str">
        <f>IF(SUMIF(搜索词报告!$A$2:$A$22222,总体数据一览!A193,搜索词报告!$M$2:$M$22222)=0,"",SUMIF(搜索词报告!$A$2:$A$22222,总体数据一览!A193,搜索词报告!$M$2:$M$22222))</f>
        <v/>
      </c>
      <c r="G193" t="str">
        <f>IFERROR(IF(B193="","",SUMIF(搜索词报告!$A$2:$A$22222,总体数据一览!A193,搜索词报告!$V$2:$V$22222))+IF(B193="","",SUMIF(搜索词报告!$A$2:$A$22222,总体数据一览!A193,搜索词报告!$W$2:$W$22222)),"")</f>
        <v/>
      </c>
      <c r="H193" s="2" t="str">
        <f t="shared" si="11"/>
        <v/>
      </c>
    </row>
    <row r="194" spans="2:8" x14ac:dyDescent="0.15">
      <c r="B194" t="str">
        <f>IF(SUMIF(搜索词报告!$A$2:$A$22222,总体数据一览!A194,搜索词报告!$I$2:$I$22222)=0,"",SUMIF(搜索词报告!$A$2:$A$22222,总体数据一览!A194,搜索词报告!$I$2:$I$22222))</f>
        <v/>
      </c>
      <c r="C194" t="str">
        <f>IF(SUMIF(搜索词报告!$A$2:$A$22222,总体数据一览!A194,搜索词报告!$J$2:$J$22222)=0,"",SUMIF(搜索词报告!$A$2:$A$22222,总体数据一览!A194,搜索词报告!$J$2:$J$22222))</f>
        <v/>
      </c>
      <c r="D194" s="2" t="str">
        <f t="shared" si="9"/>
        <v/>
      </c>
      <c r="E194" t="str">
        <f t="shared" si="10"/>
        <v/>
      </c>
      <c r="F194" t="str">
        <f>IF(SUMIF(搜索词报告!$A$2:$A$22222,总体数据一览!A194,搜索词报告!$M$2:$M$22222)=0,"",SUMIF(搜索词报告!$A$2:$A$22222,总体数据一览!A194,搜索词报告!$M$2:$M$22222))</f>
        <v/>
      </c>
      <c r="G194" t="str">
        <f>IFERROR(IF(B194="","",SUMIF(搜索词报告!$A$2:$A$22222,总体数据一览!A194,搜索词报告!$V$2:$V$22222))+IF(B194="","",SUMIF(搜索词报告!$A$2:$A$22222,总体数据一览!A194,搜索词报告!$W$2:$W$22222)),"")</f>
        <v/>
      </c>
      <c r="H194" s="2" t="str">
        <f t="shared" si="11"/>
        <v/>
      </c>
    </row>
    <row r="195" spans="2:8" x14ac:dyDescent="0.15">
      <c r="B195" t="str">
        <f>IF(SUMIF(搜索词报告!$A$2:$A$22222,总体数据一览!A195,搜索词报告!$I$2:$I$22222)=0,"",SUMIF(搜索词报告!$A$2:$A$22222,总体数据一览!A195,搜索词报告!$I$2:$I$22222))</f>
        <v/>
      </c>
      <c r="C195" t="str">
        <f>IF(SUMIF(搜索词报告!$A$2:$A$22222,总体数据一览!A195,搜索词报告!$J$2:$J$22222)=0,"",SUMIF(搜索词报告!$A$2:$A$22222,总体数据一览!A195,搜索词报告!$J$2:$J$22222))</f>
        <v/>
      </c>
      <c r="D195" s="2" t="str">
        <f t="shared" si="9"/>
        <v/>
      </c>
      <c r="E195" t="str">
        <f t="shared" si="10"/>
        <v/>
      </c>
      <c r="F195" t="str">
        <f>IF(SUMIF(搜索词报告!$A$2:$A$22222,总体数据一览!A195,搜索词报告!$M$2:$M$22222)=0,"",SUMIF(搜索词报告!$A$2:$A$22222,总体数据一览!A195,搜索词报告!$M$2:$M$22222))</f>
        <v/>
      </c>
      <c r="G195" t="str">
        <f>IFERROR(IF(B195="","",SUMIF(搜索词报告!$A$2:$A$22222,总体数据一览!A195,搜索词报告!$V$2:$V$22222))+IF(B195="","",SUMIF(搜索词报告!$A$2:$A$22222,总体数据一览!A195,搜索词报告!$W$2:$W$22222)),"")</f>
        <v/>
      </c>
      <c r="H195" s="2" t="str">
        <f t="shared" si="11"/>
        <v/>
      </c>
    </row>
    <row r="196" spans="2:8" x14ac:dyDescent="0.15">
      <c r="B196" t="str">
        <f>IF(SUMIF(搜索词报告!$A$2:$A$22222,总体数据一览!A196,搜索词报告!$I$2:$I$22222)=0,"",SUMIF(搜索词报告!$A$2:$A$22222,总体数据一览!A196,搜索词报告!$I$2:$I$22222))</f>
        <v/>
      </c>
      <c r="C196" t="str">
        <f>IF(SUMIF(搜索词报告!$A$2:$A$22222,总体数据一览!A196,搜索词报告!$J$2:$J$22222)=0,"",SUMIF(搜索词报告!$A$2:$A$22222,总体数据一览!A196,搜索词报告!$J$2:$J$22222))</f>
        <v/>
      </c>
      <c r="D196" s="2" t="str">
        <f t="shared" si="9"/>
        <v/>
      </c>
      <c r="E196" t="str">
        <f t="shared" si="10"/>
        <v/>
      </c>
      <c r="F196" t="str">
        <f>IF(SUMIF(搜索词报告!$A$2:$A$22222,总体数据一览!A196,搜索词报告!$M$2:$M$22222)=0,"",SUMIF(搜索词报告!$A$2:$A$22222,总体数据一览!A196,搜索词报告!$M$2:$M$22222))</f>
        <v/>
      </c>
      <c r="G196" t="str">
        <f>IFERROR(IF(B196="","",SUMIF(搜索词报告!$A$2:$A$22222,总体数据一览!A196,搜索词报告!$V$2:$V$22222))+IF(B196="","",SUMIF(搜索词报告!$A$2:$A$22222,总体数据一览!A196,搜索词报告!$W$2:$W$22222)),"")</f>
        <v/>
      </c>
      <c r="H196" s="2" t="str">
        <f t="shared" si="11"/>
        <v/>
      </c>
    </row>
    <row r="197" spans="2:8" x14ac:dyDescent="0.15">
      <c r="B197" t="str">
        <f>IF(SUMIF(搜索词报告!$A$2:$A$22222,总体数据一览!A197,搜索词报告!$I$2:$I$22222)=0,"",SUMIF(搜索词报告!$A$2:$A$22222,总体数据一览!A197,搜索词报告!$I$2:$I$22222))</f>
        <v/>
      </c>
      <c r="C197" t="str">
        <f>IF(SUMIF(搜索词报告!$A$2:$A$22222,总体数据一览!A197,搜索词报告!$J$2:$J$22222)=0,"",SUMIF(搜索词报告!$A$2:$A$22222,总体数据一览!A197,搜索词报告!$J$2:$J$22222))</f>
        <v/>
      </c>
      <c r="D197" s="2" t="str">
        <f t="shared" si="9"/>
        <v/>
      </c>
      <c r="E197" t="str">
        <f t="shared" si="10"/>
        <v/>
      </c>
      <c r="F197" t="str">
        <f>IF(SUMIF(搜索词报告!$A$2:$A$22222,总体数据一览!A197,搜索词报告!$M$2:$M$22222)=0,"",SUMIF(搜索词报告!$A$2:$A$22222,总体数据一览!A197,搜索词报告!$M$2:$M$22222))</f>
        <v/>
      </c>
      <c r="G197" t="str">
        <f>IFERROR(IF(B197="","",SUMIF(搜索词报告!$A$2:$A$22222,总体数据一览!A197,搜索词报告!$V$2:$V$22222))+IF(B197="","",SUMIF(搜索词报告!$A$2:$A$22222,总体数据一览!A197,搜索词报告!$W$2:$W$22222)),"")</f>
        <v/>
      </c>
      <c r="H197" s="2" t="str">
        <f t="shared" si="11"/>
        <v/>
      </c>
    </row>
    <row r="198" spans="2:8" x14ac:dyDescent="0.15">
      <c r="B198" t="str">
        <f>IF(SUMIF(搜索词报告!$A$2:$A$22222,总体数据一览!A198,搜索词报告!$I$2:$I$22222)=0,"",SUMIF(搜索词报告!$A$2:$A$22222,总体数据一览!A198,搜索词报告!$I$2:$I$22222))</f>
        <v/>
      </c>
      <c r="C198" t="str">
        <f>IF(SUMIF(搜索词报告!$A$2:$A$22222,总体数据一览!A198,搜索词报告!$J$2:$J$22222)=0,"",SUMIF(搜索词报告!$A$2:$A$22222,总体数据一览!A198,搜索词报告!$J$2:$J$22222))</f>
        <v/>
      </c>
      <c r="D198" s="2" t="str">
        <f t="shared" si="9"/>
        <v/>
      </c>
      <c r="E198" t="str">
        <f t="shared" si="10"/>
        <v/>
      </c>
      <c r="F198" t="str">
        <f>IF(SUMIF(搜索词报告!$A$2:$A$22222,总体数据一览!A198,搜索词报告!$M$2:$M$22222)=0,"",SUMIF(搜索词报告!$A$2:$A$22222,总体数据一览!A198,搜索词报告!$M$2:$M$22222))</f>
        <v/>
      </c>
      <c r="G198" t="str">
        <f>IFERROR(IF(B198="","",SUMIF(搜索词报告!$A$2:$A$22222,总体数据一览!A198,搜索词报告!$V$2:$V$22222))+IF(B198="","",SUMIF(搜索词报告!$A$2:$A$22222,总体数据一览!A198,搜索词报告!$W$2:$W$22222)),"")</f>
        <v/>
      </c>
      <c r="H198" s="2" t="str">
        <f t="shared" si="11"/>
        <v/>
      </c>
    </row>
    <row r="199" spans="2:8" x14ac:dyDescent="0.15">
      <c r="B199" t="str">
        <f>IF(SUMIF(搜索词报告!$A$2:$A$22222,总体数据一览!A199,搜索词报告!$I$2:$I$22222)=0,"",SUMIF(搜索词报告!$A$2:$A$22222,总体数据一览!A199,搜索词报告!$I$2:$I$22222))</f>
        <v/>
      </c>
      <c r="C199" t="str">
        <f>IF(SUMIF(搜索词报告!$A$2:$A$22222,总体数据一览!A199,搜索词报告!$J$2:$J$22222)=0,"",SUMIF(搜索词报告!$A$2:$A$22222,总体数据一览!A199,搜索词报告!$J$2:$J$22222))</f>
        <v/>
      </c>
      <c r="D199" s="2" t="str">
        <f t="shared" si="9"/>
        <v/>
      </c>
      <c r="E199" t="str">
        <f t="shared" si="10"/>
        <v/>
      </c>
      <c r="F199" t="str">
        <f>IF(SUMIF(搜索词报告!$A$2:$A$22222,总体数据一览!A199,搜索词报告!$M$2:$M$22222)=0,"",SUMIF(搜索词报告!$A$2:$A$22222,总体数据一览!A199,搜索词报告!$M$2:$M$22222))</f>
        <v/>
      </c>
      <c r="G199" t="str">
        <f>IFERROR(IF(B199="","",SUMIF(搜索词报告!$A$2:$A$22222,总体数据一览!A199,搜索词报告!$V$2:$V$22222))+IF(B199="","",SUMIF(搜索词报告!$A$2:$A$22222,总体数据一览!A199,搜索词报告!$W$2:$W$22222)),"")</f>
        <v/>
      </c>
      <c r="H199" s="2" t="str">
        <f t="shared" si="11"/>
        <v/>
      </c>
    </row>
    <row r="200" spans="2:8" x14ac:dyDescent="0.15">
      <c r="B200" t="str">
        <f>IF(SUMIF(搜索词报告!$A$2:$A$22222,总体数据一览!A200,搜索词报告!$I$2:$I$22222)=0,"",SUMIF(搜索词报告!$A$2:$A$22222,总体数据一览!A200,搜索词报告!$I$2:$I$22222))</f>
        <v/>
      </c>
      <c r="C200" t="str">
        <f>IF(SUMIF(搜索词报告!$A$2:$A$22222,总体数据一览!A200,搜索词报告!$J$2:$J$22222)=0,"",SUMIF(搜索词报告!$A$2:$A$22222,总体数据一览!A200,搜索词报告!$J$2:$J$22222))</f>
        <v/>
      </c>
      <c r="D200" s="2" t="str">
        <f t="shared" si="9"/>
        <v/>
      </c>
      <c r="E200" t="str">
        <f t="shared" si="10"/>
        <v/>
      </c>
      <c r="F200" t="str">
        <f>IF(SUMIF(搜索词报告!$A$2:$A$22222,总体数据一览!A200,搜索词报告!$M$2:$M$22222)=0,"",SUMIF(搜索词报告!$A$2:$A$22222,总体数据一览!A200,搜索词报告!$M$2:$M$22222))</f>
        <v/>
      </c>
      <c r="G200" t="str">
        <f>IFERROR(IF(B200="","",SUMIF(搜索词报告!$A$2:$A$22222,总体数据一览!A200,搜索词报告!$V$2:$V$22222))+IF(B200="","",SUMIF(搜索词报告!$A$2:$A$22222,总体数据一览!A200,搜索词报告!$W$2:$W$22222)),"")</f>
        <v/>
      </c>
      <c r="H200" s="2" t="str">
        <f t="shared" si="11"/>
        <v/>
      </c>
    </row>
    <row r="201" spans="2:8" x14ac:dyDescent="0.15">
      <c r="B201" t="str">
        <f>IF(SUMIF(搜索词报告!$A$2:$A$22222,总体数据一览!A201,搜索词报告!$I$2:$I$22222)=0,"",SUMIF(搜索词报告!$A$2:$A$22222,总体数据一览!A201,搜索词报告!$I$2:$I$22222))</f>
        <v/>
      </c>
      <c r="C201" t="str">
        <f>IF(SUMIF(搜索词报告!$A$2:$A$22222,总体数据一览!A201,搜索词报告!$J$2:$J$22222)=0,"",SUMIF(搜索词报告!$A$2:$A$22222,总体数据一览!A201,搜索词报告!$J$2:$J$22222))</f>
        <v/>
      </c>
      <c r="D201" s="2" t="str">
        <f t="shared" si="9"/>
        <v/>
      </c>
      <c r="E201" t="str">
        <f t="shared" si="10"/>
        <v/>
      </c>
      <c r="F201" t="str">
        <f>IF(SUMIF(搜索词报告!$A$2:$A$22222,总体数据一览!A201,搜索词报告!$M$2:$M$22222)=0,"",SUMIF(搜索词报告!$A$2:$A$22222,总体数据一览!A201,搜索词报告!$M$2:$M$22222))</f>
        <v/>
      </c>
      <c r="G201" t="str">
        <f>IFERROR(IF(B201="","",SUMIF(搜索词报告!$A$2:$A$22222,总体数据一览!A201,搜索词报告!$V$2:$V$22222))+IF(B201="","",SUMIF(搜索词报告!$A$2:$A$22222,总体数据一览!A201,搜索词报告!$W$2:$W$22222)),"")</f>
        <v/>
      </c>
      <c r="H201" s="2" t="str">
        <f t="shared" si="11"/>
        <v/>
      </c>
    </row>
    <row r="202" spans="2:8" x14ac:dyDescent="0.15">
      <c r="B202" t="str">
        <f>IF(SUMIF(搜索词报告!$A$2:$A$22222,总体数据一览!A202,搜索词报告!$I$2:$I$22222)=0,"",SUMIF(搜索词报告!$A$2:$A$22222,总体数据一览!A202,搜索词报告!$I$2:$I$22222))</f>
        <v/>
      </c>
      <c r="C202" t="str">
        <f>IF(SUMIF(搜索词报告!$A$2:$A$22222,总体数据一览!A202,搜索词报告!$J$2:$J$22222)=0,"",SUMIF(搜索词报告!$A$2:$A$22222,总体数据一览!A202,搜索词报告!$J$2:$J$22222))</f>
        <v/>
      </c>
      <c r="D202" s="2" t="str">
        <f t="shared" si="9"/>
        <v/>
      </c>
      <c r="E202" t="str">
        <f t="shared" si="10"/>
        <v/>
      </c>
      <c r="F202" t="str">
        <f>IF(SUMIF(搜索词报告!$A$2:$A$22222,总体数据一览!A202,搜索词报告!$M$2:$M$22222)=0,"",SUMIF(搜索词报告!$A$2:$A$22222,总体数据一览!A202,搜索词报告!$M$2:$M$22222))</f>
        <v/>
      </c>
      <c r="G202" t="str">
        <f>IFERROR(IF(B202="","",SUMIF(搜索词报告!$A$2:$A$22222,总体数据一览!A202,搜索词报告!$V$2:$V$22222))+IF(B202="","",SUMIF(搜索词报告!$A$2:$A$22222,总体数据一览!A202,搜索词报告!$W$2:$W$22222)),"")</f>
        <v/>
      </c>
      <c r="H202" s="2" t="str">
        <f t="shared" si="11"/>
        <v/>
      </c>
    </row>
    <row r="203" spans="2:8" x14ac:dyDescent="0.15">
      <c r="B203" t="str">
        <f>IF(SUMIF(搜索词报告!$A$2:$A$22222,总体数据一览!A203,搜索词报告!$I$2:$I$22222)=0,"",SUMIF(搜索词报告!$A$2:$A$22222,总体数据一览!A203,搜索词报告!$I$2:$I$22222))</f>
        <v/>
      </c>
      <c r="C203" t="str">
        <f>IF(SUMIF(搜索词报告!$A$2:$A$22222,总体数据一览!A203,搜索词报告!$J$2:$J$22222)=0,"",SUMIF(搜索词报告!$A$2:$A$22222,总体数据一览!A203,搜索词报告!$J$2:$J$22222))</f>
        <v/>
      </c>
      <c r="D203" s="2" t="str">
        <f t="shared" si="9"/>
        <v/>
      </c>
      <c r="E203" t="str">
        <f t="shared" si="10"/>
        <v/>
      </c>
      <c r="F203" t="str">
        <f>IF(SUMIF(搜索词报告!$A$2:$A$22222,总体数据一览!A203,搜索词报告!$M$2:$M$22222)=0,"",SUMIF(搜索词报告!$A$2:$A$22222,总体数据一览!A203,搜索词报告!$M$2:$M$22222))</f>
        <v/>
      </c>
      <c r="G203" t="str">
        <f>IFERROR(IF(B203="","",SUMIF(搜索词报告!$A$2:$A$22222,总体数据一览!A203,搜索词报告!$V$2:$V$22222))+IF(B203="","",SUMIF(搜索词报告!$A$2:$A$22222,总体数据一览!A203,搜索词报告!$W$2:$W$22222)),"")</f>
        <v/>
      </c>
      <c r="H203" s="2" t="str">
        <f t="shared" si="11"/>
        <v/>
      </c>
    </row>
    <row r="204" spans="2:8" x14ac:dyDescent="0.15">
      <c r="B204" t="str">
        <f>IF(SUMIF(搜索词报告!$A$2:$A$22222,总体数据一览!A204,搜索词报告!$I$2:$I$22222)=0,"",SUMIF(搜索词报告!$A$2:$A$22222,总体数据一览!A204,搜索词报告!$I$2:$I$22222))</f>
        <v/>
      </c>
      <c r="C204" t="str">
        <f>IF(SUMIF(搜索词报告!$A$2:$A$22222,总体数据一览!A204,搜索词报告!$J$2:$J$22222)=0,"",SUMIF(搜索词报告!$A$2:$A$22222,总体数据一览!A204,搜索词报告!$J$2:$J$22222))</f>
        <v/>
      </c>
      <c r="D204" s="2" t="str">
        <f t="shared" si="9"/>
        <v/>
      </c>
      <c r="E204" t="str">
        <f t="shared" si="10"/>
        <v/>
      </c>
      <c r="F204" t="str">
        <f>IF(SUMIF(搜索词报告!$A$2:$A$22222,总体数据一览!A204,搜索词报告!$M$2:$M$22222)=0,"",SUMIF(搜索词报告!$A$2:$A$22222,总体数据一览!A204,搜索词报告!$M$2:$M$22222))</f>
        <v/>
      </c>
      <c r="G204" t="str">
        <f>IFERROR(IF(B204="","",SUMIF(搜索词报告!$A$2:$A$22222,总体数据一览!A204,搜索词报告!$V$2:$V$22222))+IF(B204="","",SUMIF(搜索词报告!$A$2:$A$22222,总体数据一览!A204,搜索词报告!$W$2:$W$22222)),"")</f>
        <v/>
      </c>
      <c r="H204" s="2" t="str">
        <f t="shared" si="11"/>
        <v/>
      </c>
    </row>
    <row r="205" spans="2:8" x14ac:dyDescent="0.15">
      <c r="B205" t="str">
        <f>IF(SUMIF(搜索词报告!$A$2:$A$22222,总体数据一览!A205,搜索词报告!$I$2:$I$22222)=0,"",SUMIF(搜索词报告!$A$2:$A$22222,总体数据一览!A205,搜索词报告!$I$2:$I$22222))</f>
        <v/>
      </c>
      <c r="C205" t="str">
        <f>IF(SUMIF(搜索词报告!$A$2:$A$22222,总体数据一览!A205,搜索词报告!$J$2:$J$22222)=0,"",SUMIF(搜索词报告!$A$2:$A$22222,总体数据一览!A205,搜索词报告!$J$2:$J$22222))</f>
        <v/>
      </c>
      <c r="D205" s="2" t="str">
        <f t="shared" si="9"/>
        <v/>
      </c>
      <c r="E205" t="str">
        <f t="shared" si="10"/>
        <v/>
      </c>
      <c r="F205" t="str">
        <f>IF(SUMIF(搜索词报告!$A$2:$A$22222,总体数据一览!A205,搜索词报告!$M$2:$M$22222)=0,"",SUMIF(搜索词报告!$A$2:$A$22222,总体数据一览!A205,搜索词报告!$M$2:$M$22222))</f>
        <v/>
      </c>
      <c r="G205" t="str">
        <f>IFERROR(IF(B205="","",SUMIF(搜索词报告!$A$2:$A$22222,总体数据一览!A205,搜索词报告!$V$2:$V$22222))+IF(B205="","",SUMIF(搜索词报告!$A$2:$A$22222,总体数据一览!A205,搜索词报告!$W$2:$W$22222)),"")</f>
        <v/>
      </c>
      <c r="H205" s="2" t="str">
        <f t="shared" si="11"/>
        <v/>
      </c>
    </row>
    <row r="206" spans="2:8" x14ac:dyDescent="0.15">
      <c r="B206" t="str">
        <f>IF(SUMIF(搜索词报告!$A$2:$A$22222,总体数据一览!A206,搜索词报告!$I$2:$I$22222)=0,"",SUMIF(搜索词报告!$A$2:$A$22222,总体数据一览!A206,搜索词报告!$I$2:$I$22222))</f>
        <v/>
      </c>
      <c r="C206" t="str">
        <f>IF(SUMIF(搜索词报告!$A$2:$A$22222,总体数据一览!A206,搜索词报告!$J$2:$J$22222)=0,"",SUMIF(搜索词报告!$A$2:$A$22222,总体数据一览!A206,搜索词报告!$J$2:$J$22222))</f>
        <v/>
      </c>
      <c r="D206" s="2" t="str">
        <f t="shared" si="9"/>
        <v/>
      </c>
      <c r="E206" t="str">
        <f t="shared" si="10"/>
        <v/>
      </c>
      <c r="F206" t="str">
        <f>IF(SUMIF(搜索词报告!$A$2:$A$22222,总体数据一览!A206,搜索词报告!$M$2:$M$22222)=0,"",SUMIF(搜索词报告!$A$2:$A$22222,总体数据一览!A206,搜索词报告!$M$2:$M$22222))</f>
        <v/>
      </c>
      <c r="G206" t="str">
        <f>IFERROR(IF(B206="","",SUMIF(搜索词报告!$A$2:$A$22222,总体数据一览!A206,搜索词报告!$V$2:$V$22222))+IF(B206="","",SUMIF(搜索词报告!$A$2:$A$22222,总体数据一览!A206,搜索词报告!$W$2:$W$22222)),"")</f>
        <v/>
      </c>
      <c r="H206" s="2" t="str">
        <f t="shared" si="11"/>
        <v/>
      </c>
    </row>
    <row r="207" spans="2:8" x14ac:dyDescent="0.15">
      <c r="B207" t="str">
        <f>IF(SUMIF(搜索词报告!$A$2:$A$22222,总体数据一览!A207,搜索词报告!$I$2:$I$22222)=0,"",SUMIF(搜索词报告!$A$2:$A$22222,总体数据一览!A207,搜索词报告!$I$2:$I$22222))</f>
        <v/>
      </c>
      <c r="C207" t="str">
        <f>IF(SUMIF(搜索词报告!$A$2:$A$22222,总体数据一览!A207,搜索词报告!$J$2:$J$22222)=0,"",SUMIF(搜索词报告!$A$2:$A$22222,总体数据一览!A207,搜索词报告!$J$2:$J$22222))</f>
        <v/>
      </c>
      <c r="D207" s="2" t="str">
        <f t="shared" si="9"/>
        <v/>
      </c>
      <c r="E207" t="str">
        <f t="shared" si="10"/>
        <v/>
      </c>
      <c r="F207" t="str">
        <f>IF(SUMIF(搜索词报告!$A$2:$A$22222,总体数据一览!A207,搜索词报告!$M$2:$M$22222)=0,"",SUMIF(搜索词报告!$A$2:$A$22222,总体数据一览!A207,搜索词报告!$M$2:$M$22222))</f>
        <v/>
      </c>
      <c r="G207" t="str">
        <f>IFERROR(IF(B207="","",SUMIF(搜索词报告!$A$2:$A$22222,总体数据一览!A207,搜索词报告!$V$2:$V$22222))+IF(B207="","",SUMIF(搜索词报告!$A$2:$A$22222,总体数据一览!A207,搜索词报告!$W$2:$W$22222)),"")</f>
        <v/>
      </c>
      <c r="H207" s="2" t="str">
        <f t="shared" si="11"/>
        <v/>
      </c>
    </row>
    <row r="208" spans="2:8" x14ac:dyDescent="0.15">
      <c r="B208" t="str">
        <f>IF(SUMIF(搜索词报告!$A$2:$A$22222,总体数据一览!A208,搜索词报告!$I$2:$I$22222)=0,"",SUMIF(搜索词报告!$A$2:$A$22222,总体数据一览!A208,搜索词报告!$I$2:$I$22222))</f>
        <v/>
      </c>
      <c r="C208" t="str">
        <f>IF(SUMIF(搜索词报告!$A$2:$A$22222,总体数据一览!A208,搜索词报告!$J$2:$J$22222)=0,"",SUMIF(搜索词报告!$A$2:$A$22222,总体数据一览!A208,搜索词报告!$J$2:$J$22222))</f>
        <v/>
      </c>
      <c r="D208" s="2" t="str">
        <f t="shared" si="9"/>
        <v/>
      </c>
      <c r="E208" t="str">
        <f t="shared" si="10"/>
        <v/>
      </c>
      <c r="F208" t="str">
        <f>IF(SUMIF(搜索词报告!$A$2:$A$22222,总体数据一览!A208,搜索词报告!$M$2:$M$22222)=0,"",SUMIF(搜索词报告!$A$2:$A$22222,总体数据一览!A208,搜索词报告!$M$2:$M$22222))</f>
        <v/>
      </c>
      <c r="G208" t="str">
        <f>IFERROR(IF(B208="","",SUMIF(搜索词报告!$A$2:$A$22222,总体数据一览!A208,搜索词报告!$V$2:$V$22222))+IF(B208="","",SUMIF(搜索词报告!$A$2:$A$22222,总体数据一览!A208,搜索词报告!$W$2:$W$22222)),"")</f>
        <v/>
      </c>
      <c r="H208" s="2" t="str">
        <f t="shared" si="11"/>
        <v/>
      </c>
    </row>
    <row r="209" spans="2:8" x14ac:dyDescent="0.15">
      <c r="B209" t="str">
        <f>IF(SUMIF(搜索词报告!$A$2:$A$22222,总体数据一览!A209,搜索词报告!$I$2:$I$22222)=0,"",SUMIF(搜索词报告!$A$2:$A$22222,总体数据一览!A209,搜索词报告!$I$2:$I$22222))</f>
        <v/>
      </c>
      <c r="C209" t="str">
        <f>IF(SUMIF(搜索词报告!$A$2:$A$22222,总体数据一览!A209,搜索词报告!$J$2:$J$22222)=0,"",SUMIF(搜索词报告!$A$2:$A$22222,总体数据一览!A209,搜索词报告!$J$2:$J$22222))</f>
        <v/>
      </c>
      <c r="D209" s="2" t="str">
        <f t="shared" si="9"/>
        <v/>
      </c>
      <c r="E209" t="str">
        <f t="shared" si="10"/>
        <v/>
      </c>
      <c r="F209" t="str">
        <f>IF(SUMIF(搜索词报告!$A$2:$A$22222,总体数据一览!A209,搜索词报告!$M$2:$M$22222)=0,"",SUMIF(搜索词报告!$A$2:$A$22222,总体数据一览!A209,搜索词报告!$M$2:$M$22222))</f>
        <v/>
      </c>
      <c r="G209" t="str">
        <f>IFERROR(IF(B209="","",SUMIF(搜索词报告!$A$2:$A$22222,总体数据一览!A209,搜索词报告!$V$2:$V$22222))+IF(B209="","",SUMIF(搜索词报告!$A$2:$A$22222,总体数据一览!A209,搜索词报告!$W$2:$W$22222)),"")</f>
        <v/>
      </c>
      <c r="H209" s="2" t="str">
        <f t="shared" si="11"/>
        <v/>
      </c>
    </row>
    <row r="210" spans="2:8" x14ac:dyDescent="0.15">
      <c r="B210" t="str">
        <f>IF(SUMIF(搜索词报告!$A$2:$A$22222,总体数据一览!A210,搜索词报告!$I$2:$I$22222)=0,"",SUMIF(搜索词报告!$A$2:$A$22222,总体数据一览!A210,搜索词报告!$I$2:$I$22222))</f>
        <v/>
      </c>
      <c r="C210" t="str">
        <f>IF(SUMIF(搜索词报告!$A$2:$A$22222,总体数据一览!A210,搜索词报告!$J$2:$J$22222)=0,"",SUMIF(搜索词报告!$A$2:$A$22222,总体数据一览!A210,搜索词报告!$J$2:$J$22222))</f>
        <v/>
      </c>
      <c r="D210" s="2" t="str">
        <f t="shared" si="9"/>
        <v/>
      </c>
      <c r="E210" t="str">
        <f t="shared" si="10"/>
        <v/>
      </c>
      <c r="F210" t="str">
        <f>IF(SUMIF(搜索词报告!$A$2:$A$22222,总体数据一览!A210,搜索词报告!$M$2:$M$22222)=0,"",SUMIF(搜索词报告!$A$2:$A$22222,总体数据一览!A210,搜索词报告!$M$2:$M$22222))</f>
        <v/>
      </c>
      <c r="G210" t="str">
        <f>IFERROR(IF(B210="","",SUMIF(搜索词报告!$A$2:$A$22222,总体数据一览!A210,搜索词报告!$V$2:$V$22222))+IF(B210="","",SUMIF(搜索词报告!$A$2:$A$22222,总体数据一览!A210,搜索词报告!$W$2:$W$22222)),"")</f>
        <v/>
      </c>
      <c r="H210" s="2" t="str">
        <f t="shared" si="11"/>
        <v/>
      </c>
    </row>
    <row r="211" spans="2:8" x14ac:dyDescent="0.15">
      <c r="B211" t="str">
        <f>IF(SUMIF(搜索词报告!$A$2:$A$22222,总体数据一览!A211,搜索词报告!$I$2:$I$22222)=0,"",SUMIF(搜索词报告!$A$2:$A$22222,总体数据一览!A211,搜索词报告!$I$2:$I$22222))</f>
        <v/>
      </c>
      <c r="C211" t="str">
        <f>IF(SUMIF(搜索词报告!$A$2:$A$22222,总体数据一览!A211,搜索词报告!$J$2:$J$22222)=0,"",SUMIF(搜索词报告!$A$2:$A$22222,总体数据一览!A211,搜索词报告!$J$2:$J$22222))</f>
        <v/>
      </c>
      <c r="D211" s="2" t="str">
        <f t="shared" si="9"/>
        <v/>
      </c>
      <c r="E211" t="str">
        <f t="shared" si="10"/>
        <v/>
      </c>
      <c r="F211" t="str">
        <f>IF(SUMIF(搜索词报告!$A$2:$A$22222,总体数据一览!A211,搜索词报告!$M$2:$M$22222)=0,"",SUMIF(搜索词报告!$A$2:$A$22222,总体数据一览!A211,搜索词报告!$M$2:$M$22222))</f>
        <v/>
      </c>
      <c r="G211" t="str">
        <f>IFERROR(IF(B211="","",SUMIF(搜索词报告!$A$2:$A$22222,总体数据一览!A211,搜索词报告!$V$2:$V$22222))+IF(B211="","",SUMIF(搜索词报告!$A$2:$A$22222,总体数据一览!A211,搜索词报告!$W$2:$W$22222)),"")</f>
        <v/>
      </c>
      <c r="H211" s="2" t="str">
        <f t="shared" si="11"/>
        <v/>
      </c>
    </row>
    <row r="212" spans="2:8" x14ac:dyDescent="0.15">
      <c r="B212" t="str">
        <f>IF(SUMIF(搜索词报告!$A$2:$A$22222,总体数据一览!A212,搜索词报告!$I$2:$I$22222)=0,"",SUMIF(搜索词报告!$A$2:$A$22222,总体数据一览!A212,搜索词报告!$I$2:$I$22222))</f>
        <v/>
      </c>
      <c r="C212" t="str">
        <f>IF(SUMIF(搜索词报告!$A$2:$A$22222,总体数据一览!A212,搜索词报告!$J$2:$J$22222)=0,"",SUMIF(搜索词报告!$A$2:$A$22222,总体数据一览!A212,搜索词报告!$J$2:$J$22222))</f>
        <v/>
      </c>
      <c r="D212" s="2" t="str">
        <f t="shared" ref="D212:D275" si="12">IFERROR(ROUND(C212/B212,4),"")</f>
        <v/>
      </c>
      <c r="E212" t="str">
        <f t="shared" ref="E212:E275" si="13">IFERROR(ROUND(F212/C212,2),"")</f>
        <v/>
      </c>
      <c r="F212" t="str">
        <f>IF(SUMIF(搜索词报告!$A$2:$A$22222,总体数据一览!A212,搜索词报告!$M$2:$M$22222)=0,"",SUMIF(搜索词报告!$A$2:$A$22222,总体数据一览!A212,搜索词报告!$M$2:$M$22222))</f>
        <v/>
      </c>
      <c r="G212" t="str">
        <f>IFERROR(IF(B212="","",SUMIF(搜索词报告!$A$2:$A$22222,总体数据一览!A212,搜索词报告!$V$2:$V$22222))+IF(B212="","",SUMIF(搜索词报告!$A$2:$A$22222,总体数据一览!A212,搜索词报告!$W$2:$W$22222)),"")</f>
        <v/>
      </c>
      <c r="H212" s="2" t="str">
        <f t="shared" ref="H212:H275" si="14">IFERROR(ROUND(F212/G212,2),"")</f>
        <v/>
      </c>
    </row>
    <row r="213" spans="2:8" x14ac:dyDescent="0.15">
      <c r="B213" t="str">
        <f>IF(SUMIF(搜索词报告!$A$2:$A$22222,总体数据一览!A213,搜索词报告!$I$2:$I$22222)=0,"",SUMIF(搜索词报告!$A$2:$A$22222,总体数据一览!A213,搜索词报告!$I$2:$I$22222))</f>
        <v/>
      </c>
      <c r="C213" t="str">
        <f>IF(SUMIF(搜索词报告!$A$2:$A$22222,总体数据一览!A213,搜索词报告!$J$2:$J$22222)=0,"",SUMIF(搜索词报告!$A$2:$A$22222,总体数据一览!A213,搜索词报告!$J$2:$J$22222))</f>
        <v/>
      </c>
      <c r="D213" s="2" t="str">
        <f t="shared" si="12"/>
        <v/>
      </c>
      <c r="E213" t="str">
        <f t="shared" si="13"/>
        <v/>
      </c>
      <c r="F213" t="str">
        <f>IF(SUMIF(搜索词报告!$A$2:$A$22222,总体数据一览!A213,搜索词报告!$M$2:$M$22222)=0,"",SUMIF(搜索词报告!$A$2:$A$22222,总体数据一览!A213,搜索词报告!$M$2:$M$22222))</f>
        <v/>
      </c>
      <c r="G213" t="str">
        <f>IFERROR(IF(B213="","",SUMIF(搜索词报告!$A$2:$A$22222,总体数据一览!A213,搜索词报告!$V$2:$V$22222))+IF(B213="","",SUMIF(搜索词报告!$A$2:$A$22222,总体数据一览!A213,搜索词报告!$W$2:$W$22222)),"")</f>
        <v/>
      </c>
      <c r="H213" s="2" t="str">
        <f t="shared" si="14"/>
        <v/>
      </c>
    </row>
    <row r="214" spans="2:8" x14ac:dyDescent="0.15">
      <c r="B214" t="str">
        <f>IF(SUMIF(搜索词报告!$A$2:$A$22222,总体数据一览!A214,搜索词报告!$I$2:$I$22222)=0,"",SUMIF(搜索词报告!$A$2:$A$22222,总体数据一览!A214,搜索词报告!$I$2:$I$22222))</f>
        <v/>
      </c>
      <c r="C214" t="str">
        <f>IF(SUMIF(搜索词报告!$A$2:$A$22222,总体数据一览!A214,搜索词报告!$J$2:$J$22222)=0,"",SUMIF(搜索词报告!$A$2:$A$22222,总体数据一览!A214,搜索词报告!$J$2:$J$22222))</f>
        <v/>
      </c>
      <c r="D214" s="2" t="str">
        <f t="shared" si="12"/>
        <v/>
      </c>
      <c r="E214" t="str">
        <f t="shared" si="13"/>
        <v/>
      </c>
      <c r="F214" t="str">
        <f>IF(SUMIF(搜索词报告!$A$2:$A$22222,总体数据一览!A214,搜索词报告!$M$2:$M$22222)=0,"",SUMIF(搜索词报告!$A$2:$A$22222,总体数据一览!A214,搜索词报告!$M$2:$M$22222))</f>
        <v/>
      </c>
      <c r="G214" t="str">
        <f>IFERROR(IF(B214="","",SUMIF(搜索词报告!$A$2:$A$22222,总体数据一览!A214,搜索词报告!$V$2:$V$22222))+IF(B214="","",SUMIF(搜索词报告!$A$2:$A$22222,总体数据一览!A214,搜索词报告!$W$2:$W$22222)),"")</f>
        <v/>
      </c>
      <c r="H214" s="2" t="str">
        <f t="shared" si="14"/>
        <v/>
      </c>
    </row>
    <row r="215" spans="2:8" x14ac:dyDescent="0.15">
      <c r="B215" t="str">
        <f>IF(SUMIF(搜索词报告!$A$2:$A$22222,总体数据一览!A215,搜索词报告!$I$2:$I$22222)=0,"",SUMIF(搜索词报告!$A$2:$A$22222,总体数据一览!A215,搜索词报告!$I$2:$I$22222))</f>
        <v/>
      </c>
      <c r="C215" t="str">
        <f>IF(SUMIF(搜索词报告!$A$2:$A$22222,总体数据一览!A215,搜索词报告!$J$2:$J$22222)=0,"",SUMIF(搜索词报告!$A$2:$A$22222,总体数据一览!A215,搜索词报告!$J$2:$J$22222))</f>
        <v/>
      </c>
      <c r="D215" s="2" t="str">
        <f t="shared" si="12"/>
        <v/>
      </c>
      <c r="E215" t="str">
        <f t="shared" si="13"/>
        <v/>
      </c>
      <c r="F215" t="str">
        <f>IF(SUMIF(搜索词报告!$A$2:$A$22222,总体数据一览!A215,搜索词报告!$M$2:$M$22222)=0,"",SUMIF(搜索词报告!$A$2:$A$22222,总体数据一览!A215,搜索词报告!$M$2:$M$22222))</f>
        <v/>
      </c>
      <c r="G215" t="str">
        <f>IFERROR(IF(B215="","",SUMIF(搜索词报告!$A$2:$A$22222,总体数据一览!A215,搜索词报告!$V$2:$V$22222))+IF(B215="","",SUMIF(搜索词报告!$A$2:$A$22222,总体数据一览!A215,搜索词报告!$W$2:$W$22222)),"")</f>
        <v/>
      </c>
      <c r="H215" s="2" t="str">
        <f t="shared" si="14"/>
        <v/>
      </c>
    </row>
    <row r="216" spans="2:8" x14ac:dyDescent="0.15">
      <c r="B216" t="str">
        <f>IF(SUMIF(搜索词报告!$A$2:$A$22222,总体数据一览!A216,搜索词报告!$I$2:$I$22222)=0,"",SUMIF(搜索词报告!$A$2:$A$22222,总体数据一览!A216,搜索词报告!$I$2:$I$22222))</f>
        <v/>
      </c>
      <c r="C216" t="str">
        <f>IF(SUMIF(搜索词报告!$A$2:$A$22222,总体数据一览!A216,搜索词报告!$J$2:$J$22222)=0,"",SUMIF(搜索词报告!$A$2:$A$22222,总体数据一览!A216,搜索词报告!$J$2:$J$22222))</f>
        <v/>
      </c>
      <c r="D216" s="2" t="str">
        <f t="shared" si="12"/>
        <v/>
      </c>
      <c r="E216" t="str">
        <f t="shared" si="13"/>
        <v/>
      </c>
      <c r="F216" t="str">
        <f>IF(SUMIF(搜索词报告!$A$2:$A$22222,总体数据一览!A216,搜索词报告!$M$2:$M$22222)=0,"",SUMIF(搜索词报告!$A$2:$A$22222,总体数据一览!A216,搜索词报告!$M$2:$M$22222))</f>
        <v/>
      </c>
      <c r="G216" t="str">
        <f>IFERROR(IF(B216="","",SUMIF(搜索词报告!$A$2:$A$22222,总体数据一览!A216,搜索词报告!$V$2:$V$22222))+IF(B216="","",SUMIF(搜索词报告!$A$2:$A$22222,总体数据一览!A216,搜索词报告!$W$2:$W$22222)),"")</f>
        <v/>
      </c>
      <c r="H216" s="2" t="str">
        <f t="shared" si="14"/>
        <v/>
      </c>
    </row>
    <row r="217" spans="2:8" x14ac:dyDescent="0.15">
      <c r="B217" t="str">
        <f>IF(SUMIF(搜索词报告!$A$2:$A$22222,总体数据一览!A217,搜索词报告!$I$2:$I$22222)=0,"",SUMIF(搜索词报告!$A$2:$A$22222,总体数据一览!A217,搜索词报告!$I$2:$I$22222))</f>
        <v/>
      </c>
      <c r="C217" t="str">
        <f>IF(SUMIF(搜索词报告!$A$2:$A$22222,总体数据一览!A217,搜索词报告!$J$2:$J$22222)=0,"",SUMIF(搜索词报告!$A$2:$A$22222,总体数据一览!A217,搜索词报告!$J$2:$J$22222))</f>
        <v/>
      </c>
      <c r="D217" s="2" t="str">
        <f t="shared" si="12"/>
        <v/>
      </c>
      <c r="E217" t="str">
        <f t="shared" si="13"/>
        <v/>
      </c>
      <c r="F217" t="str">
        <f>IF(SUMIF(搜索词报告!$A$2:$A$22222,总体数据一览!A217,搜索词报告!$M$2:$M$22222)=0,"",SUMIF(搜索词报告!$A$2:$A$22222,总体数据一览!A217,搜索词报告!$M$2:$M$22222))</f>
        <v/>
      </c>
      <c r="G217" t="str">
        <f>IFERROR(IF(B217="","",SUMIF(搜索词报告!$A$2:$A$22222,总体数据一览!A217,搜索词报告!$V$2:$V$22222))+IF(B217="","",SUMIF(搜索词报告!$A$2:$A$22222,总体数据一览!A217,搜索词报告!$W$2:$W$22222)),"")</f>
        <v/>
      </c>
      <c r="H217" s="2" t="str">
        <f t="shared" si="14"/>
        <v/>
      </c>
    </row>
    <row r="218" spans="2:8" x14ac:dyDescent="0.15">
      <c r="B218" t="str">
        <f>IF(SUMIF(搜索词报告!$A$2:$A$22222,总体数据一览!A218,搜索词报告!$I$2:$I$22222)=0,"",SUMIF(搜索词报告!$A$2:$A$22222,总体数据一览!A218,搜索词报告!$I$2:$I$22222))</f>
        <v/>
      </c>
      <c r="C218" t="str">
        <f>IF(SUMIF(搜索词报告!$A$2:$A$22222,总体数据一览!A218,搜索词报告!$J$2:$J$22222)=0,"",SUMIF(搜索词报告!$A$2:$A$22222,总体数据一览!A218,搜索词报告!$J$2:$J$22222))</f>
        <v/>
      </c>
      <c r="D218" s="2" t="str">
        <f t="shared" si="12"/>
        <v/>
      </c>
      <c r="E218" t="str">
        <f t="shared" si="13"/>
        <v/>
      </c>
      <c r="F218" t="str">
        <f>IF(SUMIF(搜索词报告!$A$2:$A$22222,总体数据一览!A218,搜索词报告!$M$2:$M$22222)=0,"",SUMIF(搜索词报告!$A$2:$A$22222,总体数据一览!A218,搜索词报告!$M$2:$M$22222))</f>
        <v/>
      </c>
      <c r="G218" t="str">
        <f>IFERROR(IF(B218="","",SUMIF(搜索词报告!$A$2:$A$22222,总体数据一览!A218,搜索词报告!$V$2:$V$22222))+IF(B218="","",SUMIF(搜索词报告!$A$2:$A$22222,总体数据一览!A218,搜索词报告!$W$2:$W$22222)),"")</f>
        <v/>
      </c>
      <c r="H218" s="2" t="str">
        <f t="shared" si="14"/>
        <v/>
      </c>
    </row>
    <row r="219" spans="2:8" x14ac:dyDescent="0.15">
      <c r="B219" t="str">
        <f>IF(SUMIF(搜索词报告!$A$2:$A$22222,总体数据一览!A219,搜索词报告!$I$2:$I$22222)=0,"",SUMIF(搜索词报告!$A$2:$A$22222,总体数据一览!A219,搜索词报告!$I$2:$I$22222))</f>
        <v/>
      </c>
      <c r="C219" t="str">
        <f>IF(SUMIF(搜索词报告!$A$2:$A$22222,总体数据一览!A219,搜索词报告!$J$2:$J$22222)=0,"",SUMIF(搜索词报告!$A$2:$A$22222,总体数据一览!A219,搜索词报告!$J$2:$J$22222))</f>
        <v/>
      </c>
      <c r="D219" s="2" t="str">
        <f t="shared" si="12"/>
        <v/>
      </c>
      <c r="E219" t="str">
        <f t="shared" si="13"/>
        <v/>
      </c>
      <c r="F219" t="str">
        <f>IF(SUMIF(搜索词报告!$A$2:$A$22222,总体数据一览!A219,搜索词报告!$M$2:$M$22222)=0,"",SUMIF(搜索词报告!$A$2:$A$22222,总体数据一览!A219,搜索词报告!$M$2:$M$22222))</f>
        <v/>
      </c>
      <c r="G219" t="str">
        <f>IFERROR(IF(B219="","",SUMIF(搜索词报告!$A$2:$A$22222,总体数据一览!A219,搜索词报告!$V$2:$V$22222))+IF(B219="","",SUMIF(搜索词报告!$A$2:$A$22222,总体数据一览!A219,搜索词报告!$W$2:$W$22222)),"")</f>
        <v/>
      </c>
      <c r="H219" s="2" t="str">
        <f t="shared" si="14"/>
        <v/>
      </c>
    </row>
    <row r="220" spans="2:8" x14ac:dyDescent="0.15">
      <c r="B220" t="str">
        <f>IF(SUMIF(搜索词报告!$A$2:$A$22222,总体数据一览!A220,搜索词报告!$I$2:$I$22222)=0,"",SUMIF(搜索词报告!$A$2:$A$22222,总体数据一览!A220,搜索词报告!$I$2:$I$22222))</f>
        <v/>
      </c>
      <c r="C220" t="str">
        <f>IF(SUMIF(搜索词报告!$A$2:$A$22222,总体数据一览!A220,搜索词报告!$J$2:$J$22222)=0,"",SUMIF(搜索词报告!$A$2:$A$22222,总体数据一览!A220,搜索词报告!$J$2:$J$22222))</f>
        <v/>
      </c>
      <c r="D220" s="2" t="str">
        <f t="shared" si="12"/>
        <v/>
      </c>
      <c r="E220" t="str">
        <f t="shared" si="13"/>
        <v/>
      </c>
      <c r="F220" t="str">
        <f>IF(SUMIF(搜索词报告!$A$2:$A$22222,总体数据一览!A220,搜索词报告!$M$2:$M$22222)=0,"",SUMIF(搜索词报告!$A$2:$A$22222,总体数据一览!A220,搜索词报告!$M$2:$M$22222))</f>
        <v/>
      </c>
      <c r="G220" t="str">
        <f>IFERROR(IF(B220="","",SUMIF(搜索词报告!$A$2:$A$22222,总体数据一览!A220,搜索词报告!$V$2:$V$22222))+IF(B220="","",SUMIF(搜索词报告!$A$2:$A$22222,总体数据一览!A220,搜索词报告!$W$2:$W$22222)),"")</f>
        <v/>
      </c>
      <c r="H220" s="2" t="str">
        <f t="shared" si="14"/>
        <v/>
      </c>
    </row>
    <row r="221" spans="2:8" x14ac:dyDescent="0.15">
      <c r="B221" t="str">
        <f>IF(SUMIF(搜索词报告!$A$2:$A$22222,总体数据一览!A221,搜索词报告!$I$2:$I$22222)=0,"",SUMIF(搜索词报告!$A$2:$A$22222,总体数据一览!A221,搜索词报告!$I$2:$I$22222))</f>
        <v/>
      </c>
      <c r="C221" t="str">
        <f>IF(SUMIF(搜索词报告!$A$2:$A$22222,总体数据一览!A221,搜索词报告!$J$2:$J$22222)=0,"",SUMIF(搜索词报告!$A$2:$A$22222,总体数据一览!A221,搜索词报告!$J$2:$J$22222))</f>
        <v/>
      </c>
      <c r="D221" s="2" t="str">
        <f t="shared" si="12"/>
        <v/>
      </c>
      <c r="E221" t="str">
        <f t="shared" si="13"/>
        <v/>
      </c>
      <c r="F221" t="str">
        <f>IF(SUMIF(搜索词报告!$A$2:$A$22222,总体数据一览!A221,搜索词报告!$M$2:$M$22222)=0,"",SUMIF(搜索词报告!$A$2:$A$22222,总体数据一览!A221,搜索词报告!$M$2:$M$22222))</f>
        <v/>
      </c>
      <c r="G221" t="str">
        <f>IFERROR(IF(B221="","",SUMIF(搜索词报告!$A$2:$A$22222,总体数据一览!A221,搜索词报告!$V$2:$V$22222))+IF(B221="","",SUMIF(搜索词报告!$A$2:$A$22222,总体数据一览!A221,搜索词报告!$W$2:$W$22222)),"")</f>
        <v/>
      </c>
      <c r="H221" s="2" t="str">
        <f t="shared" si="14"/>
        <v/>
      </c>
    </row>
    <row r="222" spans="2:8" x14ac:dyDescent="0.15">
      <c r="B222" t="str">
        <f>IF(SUMIF(搜索词报告!$A$2:$A$22222,总体数据一览!A222,搜索词报告!$I$2:$I$22222)=0,"",SUMIF(搜索词报告!$A$2:$A$22222,总体数据一览!A222,搜索词报告!$I$2:$I$22222))</f>
        <v/>
      </c>
      <c r="C222" t="str">
        <f>IF(SUMIF(搜索词报告!$A$2:$A$22222,总体数据一览!A222,搜索词报告!$J$2:$J$22222)=0,"",SUMIF(搜索词报告!$A$2:$A$22222,总体数据一览!A222,搜索词报告!$J$2:$J$22222))</f>
        <v/>
      </c>
      <c r="D222" s="2" t="str">
        <f t="shared" si="12"/>
        <v/>
      </c>
      <c r="E222" t="str">
        <f t="shared" si="13"/>
        <v/>
      </c>
      <c r="F222" t="str">
        <f>IF(SUMIF(搜索词报告!$A$2:$A$22222,总体数据一览!A222,搜索词报告!$M$2:$M$22222)=0,"",SUMIF(搜索词报告!$A$2:$A$22222,总体数据一览!A222,搜索词报告!$M$2:$M$22222))</f>
        <v/>
      </c>
      <c r="G222" t="str">
        <f>IFERROR(IF(B222="","",SUMIF(搜索词报告!$A$2:$A$22222,总体数据一览!A222,搜索词报告!$V$2:$V$22222))+IF(B222="","",SUMIF(搜索词报告!$A$2:$A$22222,总体数据一览!A222,搜索词报告!$W$2:$W$22222)),"")</f>
        <v/>
      </c>
      <c r="H222" s="2" t="str">
        <f t="shared" si="14"/>
        <v/>
      </c>
    </row>
    <row r="223" spans="2:8" x14ac:dyDescent="0.15">
      <c r="B223" t="str">
        <f>IF(SUMIF(搜索词报告!$A$2:$A$22222,总体数据一览!A223,搜索词报告!$I$2:$I$22222)=0,"",SUMIF(搜索词报告!$A$2:$A$22222,总体数据一览!A223,搜索词报告!$I$2:$I$22222))</f>
        <v/>
      </c>
      <c r="C223" t="str">
        <f>IF(SUMIF(搜索词报告!$A$2:$A$22222,总体数据一览!A223,搜索词报告!$J$2:$J$22222)=0,"",SUMIF(搜索词报告!$A$2:$A$22222,总体数据一览!A223,搜索词报告!$J$2:$J$22222))</f>
        <v/>
      </c>
      <c r="D223" s="2" t="str">
        <f t="shared" si="12"/>
        <v/>
      </c>
      <c r="E223" t="str">
        <f t="shared" si="13"/>
        <v/>
      </c>
      <c r="F223" t="str">
        <f>IF(SUMIF(搜索词报告!$A$2:$A$22222,总体数据一览!A223,搜索词报告!$M$2:$M$22222)=0,"",SUMIF(搜索词报告!$A$2:$A$22222,总体数据一览!A223,搜索词报告!$M$2:$M$22222))</f>
        <v/>
      </c>
      <c r="G223" t="str">
        <f>IFERROR(IF(B223="","",SUMIF(搜索词报告!$A$2:$A$22222,总体数据一览!A223,搜索词报告!$V$2:$V$22222))+IF(B223="","",SUMIF(搜索词报告!$A$2:$A$22222,总体数据一览!A223,搜索词报告!$W$2:$W$22222)),"")</f>
        <v/>
      </c>
      <c r="H223" s="2" t="str">
        <f t="shared" si="14"/>
        <v/>
      </c>
    </row>
    <row r="224" spans="2:8" x14ac:dyDescent="0.15">
      <c r="B224" t="str">
        <f>IF(SUMIF(搜索词报告!$A$2:$A$22222,总体数据一览!A224,搜索词报告!$I$2:$I$22222)=0,"",SUMIF(搜索词报告!$A$2:$A$22222,总体数据一览!A224,搜索词报告!$I$2:$I$22222))</f>
        <v/>
      </c>
      <c r="C224" t="str">
        <f>IF(SUMIF(搜索词报告!$A$2:$A$22222,总体数据一览!A224,搜索词报告!$J$2:$J$22222)=0,"",SUMIF(搜索词报告!$A$2:$A$22222,总体数据一览!A224,搜索词报告!$J$2:$J$22222))</f>
        <v/>
      </c>
      <c r="D224" s="2" t="str">
        <f t="shared" si="12"/>
        <v/>
      </c>
      <c r="E224" t="str">
        <f t="shared" si="13"/>
        <v/>
      </c>
      <c r="F224" t="str">
        <f>IF(SUMIF(搜索词报告!$A$2:$A$22222,总体数据一览!A224,搜索词报告!$M$2:$M$22222)=0,"",SUMIF(搜索词报告!$A$2:$A$22222,总体数据一览!A224,搜索词报告!$M$2:$M$22222))</f>
        <v/>
      </c>
      <c r="G224" t="str">
        <f>IFERROR(IF(B224="","",SUMIF(搜索词报告!$A$2:$A$22222,总体数据一览!A224,搜索词报告!$V$2:$V$22222))+IF(B224="","",SUMIF(搜索词报告!$A$2:$A$22222,总体数据一览!A224,搜索词报告!$W$2:$W$22222)),"")</f>
        <v/>
      </c>
      <c r="H224" s="2" t="str">
        <f t="shared" si="14"/>
        <v/>
      </c>
    </row>
    <row r="225" spans="2:8" x14ac:dyDescent="0.15">
      <c r="B225" t="str">
        <f>IF(SUMIF(搜索词报告!$A$2:$A$22222,总体数据一览!A225,搜索词报告!$I$2:$I$22222)=0,"",SUMIF(搜索词报告!$A$2:$A$22222,总体数据一览!A225,搜索词报告!$I$2:$I$22222))</f>
        <v/>
      </c>
      <c r="C225" t="str">
        <f>IF(SUMIF(搜索词报告!$A$2:$A$22222,总体数据一览!A225,搜索词报告!$J$2:$J$22222)=0,"",SUMIF(搜索词报告!$A$2:$A$22222,总体数据一览!A225,搜索词报告!$J$2:$J$22222))</f>
        <v/>
      </c>
      <c r="D225" s="2" t="str">
        <f t="shared" si="12"/>
        <v/>
      </c>
      <c r="E225" t="str">
        <f t="shared" si="13"/>
        <v/>
      </c>
      <c r="F225" t="str">
        <f>IF(SUMIF(搜索词报告!$A$2:$A$22222,总体数据一览!A225,搜索词报告!$M$2:$M$22222)=0,"",SUMIF(搜索词报告!$A$2:$A$22222,总体数据一览!A225,搜索词报告!$M$2:$M$22222))</f>
        <v/>
      </c>
      <c r="G225" t="str">
        <f>IFERROR(IF(B225="","",SUMIF(搜索词报告!$A$2:$A$22222,总体数据一览!A225,搜索词报告!$V$2:$V$22222))+IF(B225="","",SUMIF(搜索词报告!$A$2:$A$22222,总体数据一览!A225,搜索词报告!$W$2:$W$22222)),"")</f>
        <v/>
      </c>
      <c r="H225" s="2" t="str">
        <f t="shared" si="14"/>
        <v/>
      </c>
    </row>
    <row r="226" spans="2:8" x14ac:dyDescent="0.15">
      <c r="B226" t="str">
        <f>IF(SUMIF(搜索词报告!$A$2:$A$22222,总体数据一览!A226,搜索词报告!$I$2:$I$22222)=0,"",SUMIF(搜索词报告!$A$2:$A$22222,总体数据一览!A226,搜索词报告!$I$2:$I$22222))</f>
        <v/>
      </c>
      <c r="C226" t="str">
        <f>IF(SUMIF(搜索词报告!$A$2:$A$22222,总体数据一览!A226,搜索词报告!$J$2:$J$22222)=0,"",SUMIF(搜索词报告!$A$2:$A$22222,总体数据一览!A226,搜索词报告!$J$2:$J$22222))</f>
        <v/>
      </c>
      <c r="D226" s="2" t="str">
        <f t="shared" si="12"/>
        <v/>
      </c>
      <c r="E226" t="str">
        <f t="shared" si="13"/>
        <v/>
      </c>
      <c r="F226" t="str">
        <f>IF(SUMIF(搜索词报告!$A$2:$A$22222,总体数据一览!A226,搜索词报告!$M$2:$M$22222)=0,"",SUMIF(搜索词报告!$A$2:$A$22222,总体数据一览!A226,搜索词报告!$M$2:$M$22222))</f>
        <v/>
      </c>
      <c r="G226" t="str">
        <f>IFERROR(IF(B226="","",SUMIF(搜索词报告!$A$2:$A$22222,总体数据一览!A226,搜索词报告!$V$2:$V$22222))+IF(B226="","",SUMIF(搜索词报告!$A$2:$A$22222,总体数据一览!A226,搜索词报告!$W$2:$W$22222)),"")</f>
        <v/>
      </c>
      <c r="H226" s="2" t="str">
        <f t="shared" si="14"/>
        <v/>
      </c>
    </row>
    <row r="227" spans="2:8" x14ac:dyDescent="0.15">
      <c r="B227" t="str">
        <f>IF(SUMIF(搜索词报告!$A$2:$A$22222,总体数据一览!A227,搜索词报告!$I$2:$I$22222)=0,"",SUMIF(搜索词报告!$A$2:$A$22222,总体数据一览!A227,搜索词报告!$I$2:$I$22222))</f>
        <v/>
      </c>
      <c r="C227" t="str">
        <f>IF(SUMIF(搜索词报告!$A$2:$A$22222,总体数据一览!A227,搜索词报告!$J$2:$J$22222)=0,"",SUMIF(搜索词报告!$A$2:$A$22222,总体数据一览!A227,搜索词报告!$J$2:$J$22222))</f>
        <v/>
      </c>
      <c r="D227" s="2" t="str">
        <f t="shared" si="12"/>
        <v/>
      </c>
      <c r="E227" t="str">
        <f t="shared" si="13"/>
        <v/>
      </c>
      <c r="F227" t="str">
        <f>IF(SUMIF(搜索词报告!$A$2:$A$22222,总体数据一览!A227,搜索词报告!$M$2:$M$22222)=0,"",SUMIF(搜索词报告!$A$2:$A$22222,总体数据一览!A227,搜索词报告!$M$2:$M$22222))</f>
        <v/>
      </c>
      <c r="G227" t="str">
        <f>IFERROR(IF(B227="","",SUMIF(搜索词报告!$A$2:$A$22222,总体数据一览!A227,搜索词报告!$V$2:$V$22222))+IF(B227="","",SUMIF(搜索词报告!$A$2:$A$22222,总体数据一览!A227,搜索词报告!$W$2:$W$22222)),"")</f>
        <v/>
      </c>
      <c r="H227" s="2" t="str">
        <f t="shared" si="14"/>
        <v/>
      </c>
    </row>
    <row r="228" spans="2:8" x14ac:dyDescent="0.15">
      <c r="B228" t="str">
        <f>IF(SUMIF(搜索词报告!$A$2:$A$22222,总体数据一览!A228,搜索词报告!$I$2:$I$22222)=0,"",SUMIF(搜索词报告!$A$2:$A$22222,总体数据一览!A228,搜索词报告!$I$2:$I$22222))</f>
        <v/>
      </c>
      <c r="C228" t="str">
        <f>IF(SUMIF(搜索词报告!$A$2:$A$22222,总体数据一览!A228,搜索词报告!$J$2:$J$22222)=0,"",SUMIF(搜索词报告!$A$2:$A$22222,总体数据一览!A228,搜索词报告!$J$2:$J$22222))</f>
        <v/>
      </c>
      <c r="D228" s="2" t="str">
        <f t="shared" si="12"/>
        <v/>
      </c>
      <c r="E228" t="str">
        <f t="shared" si="13"/>
        <v/>
      </c>
      <c r="F228" t="str">
        <f>IF(SUMIF(搜索词报告!$A$2:$A$22222,总体数据一览!A228,搜索词报告!$M$2:$M$22222)=0,"",SUMIF(搜索词报告!$A$2:$A$22222,总体数据一览!A228,搜索词报告!$M$2:$M$22222))</f>
        <v/>
      </c>
      <c r="G228" t="str">
        <f>IFERROR(IF(B228="","",SUMIF(搜索词报告!$A$2:$A$22222,总体数据一览!A228,搜索词报告!$V$2:$V$22222))+IF(B228="","",SUMIF(搜索词报告!$A$2:$A$22222,总体数据一览!A228,搜索词报告!$W$2:$W$22222)),"")</f>
        <v/>
      </c>
      <c r="H228" s="2" t="str">
        <f t="shared" si="14"/>
        <v/>
      </c>
    </row>
    <row r="229" spans="2:8" x14ac:dyDescent="0.15">
      <c r="B229" t="str">
        <f>IF(SUMIF(搜索词报告!$A$2:$A$22222,总体数据一览!A229,搜索词报告!$I$2:$I$22222)=0,"",SUMIF(搜索词报告!$A$2:$A$22222,总体数据一览!A229,搜索词报告!$I$2:$I$22222))</f>
        <v/>
      </c>
      <c r="C229" t="str">
        <f>IF(SUMIF(搜索词报告!$A$2:$A$22222,总体数据一览!A229,搜索词报告!$J$2:$J$22222)=0,"",SUMIF(搜索词报告!$A$2:$A$22222,总体数据一览!A229,搜索词报告!$J$2:$J$22222))</f>
        <v/>
      </c>
      <c r="D229" s="2" t="str">
        <f t="shared" si="12"/>
        <v/>
      </c>
      <c r="E229" t="str">
        <f t="shared" si="13"/>
        <v/>
      </c>
      <c r="F229" t="str">
        <f>IF(SUMIF(搜索词报告!$A$2:$A$22222,总体数据一览!A229,搜索词报告!$M$2:$M$22222)=0,"",SUMIF(搜索词报告!$A$2:$A$22222,总体数据一览!A229,搜索词报告!$M$2:$M$22222))</f>
        <v/>
      </c>
      <c r="G229" t="str">
        <f>IFERROR(IF(B229="","",SUMIF(搜索词报告!$A$2:$A$22222,总体数据一览!A229,搜索词报告!$V$2:$V$22222))+IF(B229="","",SUMIF(搜索词报告!$A$2:$A$22222,总体数据一览!A229,搜索词报告!$W$2:$W$22222)),"")</f>
        <v/>
      </c>
      <c r="H229" s="2" t="str">
        <f t="shared" si="14"/>
        <v/>
      </c>
    </row>
    <row r="230" spans="2:8" x14ac:dyDescent="0.15">
      <c r="B230" t="str">
        <f>IF(SUMIF(搜索词报告!$A$2:$A$22222,总体数据一览!A230,搜索词报告!$I$2:$I$22222)=0,"",SUMIF(搜索词报告!$A$2:$A$22222,总体数据一览!A230,搜索词报告!$I$2:$I$22222))</f>
        <v/>
      </c>
      <c r="C230" t="str">
        <f>IF(SUMIF(搜索词报告!$A$2:$A$22222,总体数据一览!A230,搜索词报告!$J$2:$J$22222)=0,"",SUMIF(搜索词报告!$A$2:$A$22222,总体数据一览!A230,搜索词报告!$J$2:$J$22222))</f>
        <v/>
      </c>
      <c r="D230" s="2" t="str">
        <f t="shared" si="12"/>
        <v/>
      </c>
      <c r="E230" t="str">
        <f t="shared" si="13"/>
        <v/>
      </c>
      <c r="F230" t="str">
        <f>IF(SUMIF(搜索词报告!$A$2:$A$22222,总体数据一览!A230,搜索词报告!$M$2:$M$22222)=0,"",SUMIF(搜索词报告!$A$2:$A$22222,总体数据一览!A230,搜索词报告!$M$2:$M$22222))</f>
        <v/>
      </c>
      <c r="G230" t="str">
        <f>IFERROR(IF(B230="","",SUMIF(搜索词报告!$A$2:$A$22222,总体数据一览!A230,搜索词报告!$V$2:$V$22222))+IF(B230="","",SUMIF(搜索词报告!$A$2:$A$22222,总体数据一览!A230,搜索词报告!$W$2:$W$22222)),"")</f>
        <v/>
      </c>
      <c r="H230" s="2" t="str">
        <f t="shared" si="14"/>
        <v/>
      </c>
    </row>
    <row r="231" spans="2:8" x14ac:dyDescent="0.15">
      <c r="B231" t="str">
        <f>IF(SUMIF(搜索词报告!$A$2:$A$22222,总体数据一览!A231,搜索词报告!$I$2:$I$22222)=0,"",SUMIF(搜索词报告!$A$2:$A$22222,总体数据一览!A231,搜索词报告!$I$2:$I$22222))</f>
        <v/>
      </c>
      <c r="C231" t="str">
        <f>IF(SUMIF(搜索词报告!$A$2:$A$22222,总体数据一览!A231,搜索词报告!$J$2:$J$22222)=0,"",SUMIF(搜索词报告!$A$2:$A$22222,总体数据一览!A231,搜索词报告!$J$2:$J$22222))</f>
        <v/>
      </c>
      <c r="D231" s="2" t="str">
        <f t="shared" si="12"/>
        <v/>
      </c>
      <c r="E231" t="str">
        <f t="shared" si="13"/>
        <v/>
      </c>
      <c r="F231" t="str">
        <f>IF(SUMIF(搜索词报告!$A$2:$A$22222,总体数据一览!A231,搜索词报告!$M$2:$M$22222)=0,"",SUMIF(搜索词报告!$A$2:$A$22222,总体数据一览!A231,搜索词报告!$M$2:$M$22222))</f>
        <v/>
      </c>
      <c r="G231" t="str">
        <f>IFERROR(IF(B231="","",SUMIF(搜索词报告!$A$2:$A$22222,总体数据一览!A231,搜索词报告!$V$2:$V$22222))+IF(B231="","",SUMIF(搜索词报告!$A$2:$A$22222,总体数据一览!A231,搜索词报告!$W$2:$W$22222)),"")</f>
        <v/>
      </c>
      <c r="H231" s="2" t="str">
        <f t="shared" si="14"/>
        <v/>
      </c>
    </row>
    <row r="232" spans="2:8" x14ac:dyDescent="0.15">
      <c r="B232" t="str">
        <f>IF(SUMIF(搜索词报告!$A$2:$A$22222,总体数据一览!A232,搜索词报告!$I$2:$I$22222)=0,"",SUMIF(搜索词报告!$A$2:$A$22222,总体数据一览!A232,搜索词报告!$I$2:$I$22222))</f>
        <v/>
      </c>
      <c r="C232" t="str">
        <f>IF(SUMIF(搜索词报告!$A$2:$A$22222,总体数据一览!A232,搜索词报告!$J$2:$J$22222)=0,"",SUMIF(搜索词报告!$A$2:$A$22222,总体数据一览!A232,搜索词报告!$J$2:$J$22222))</f>
        <v/>
      </c>
      <c r="D232" s="2" t="str">
        <f t="shared" si="12"/>
        <v/>
      </c>
      <c r="E232" t="str">
        <f t="shared" si="13"/>
        <v/>
      </c>
      <c r="F232" t="str">
        <f>IF(SUMIF(搜索词报告!$A$2:$A$22222,总体数据一览!A232,搜索词报告!$M$2:$M$22222)=0,"",SUMIF(搜索词报告!$A$2:$A$22222,总体数据一览!A232,搜索词报告!$M$2:$M$22222))</f>
        <v/>
      </c>
      <c r="G232" t="str">
        <f>IFERROR(IF(B232="","",SUMIF(搜索词报告!$A$2:$A$22222,总体数据一览!A232,搜索词报告!$V$2:$V$22222))+IF(B232="","",SUMIF(搜索词报告!$A$2:$A$22222,总体数据一览!A232,搜索词报告!$W$2:$W$22222)),"")</f>
        <v/>
      </c>
      <c r="H232" s="2" t="str">
        <f t="shared" si="14"/>
        <v/>
      </c>
    </row>
    <row r="233" spans="2:8" x14ac:dyDescent="0.15">
      <c r="B233" t="str">
        <f>IF(SUMIF(搜索词报告!$A$2:$A$22222,总体数据一览!A233,搜索词报告!$I$2:$I$22222)=0,"",SUMIF(搜索词报告!$A$2:$A$22222,总体数据一览!A233,搜索词报告!$I$2:$I$22222))</f>
        <v/>
      </c>
      <c r="C233" t="str">
        <f>IF(SUMIF(搜索词报告!$A$2:$A$22222,总体数据一览!A233,搜索词报告!$J$2:$J$22222)=0,"",SUMIF(搜索词报告!$A$2:$A$22222,总体数据一览!A233,搜索词报告!$J$2:$J$22222))</f>
        <v/>
      </c>
      <c r="D233" s="2" t="str">
        <f t="shared" si="12"/>
        <v/>
      </c>
      <c r="E233" t="str">
        <f t="shared" si="13"/>
        <v/>
      </c>
      <c r="F233" t="str">
        <f>IF(SUMIF(搜索词报告!$A$2:$A$22222,总体数据一览!A233,搜索词报告!$M$2:$M$22222)=0,"",SUMIF(搜索词报告!$A$2:$A$22222,总体数据一览!A233,搜索词报告!$M$2:$M$22222))</f>
        <v/>
      </c>
      <c r="G233" t="str">
        <f>IFERROR(IF(B233="","",SUMIF(搜索词报告!$A$2:$A$22222,总体数据一览!A233,搜索词报告!$V$2:$V$22222))+IF(B233="","",SUMIF(搜索词报告!$A$2:$A$22222,总体数据一览!A233,搜索词报告!$W$2:$W$22222)),"")</f>
        <v/>
      </c>
      <c r="H233" s="2" t="str">
        <f t="shared" si="14"/>
        <v/>
      </c>
    </row>
    <row r="234" spans="2:8" x14ac:dyDescent="0.15">
      <c r="B234" t="str">
        <f>IF(SUMIF(搜索词报告!$A$2:$A$22222,总体数据一览!A234,搜索词报告!$I$2:$I$22222)=0,"",SUMIF(搜索词报告!$A$2:$A$22222,总体数据一览!A234,搜索词报告!$I$2:$I$22222))</f>
        <v/>
      </c>
      <c r="C234" t="str">
        <f>IF(SUMIF(搜索词报告!$A$2:$A$22222,总体数据一览!A234,搜索词报告!$J$2:$J$22222)=0,"",SUMIF(搜索词报告!$A$2:$A$22222,总体数据一览!A234,搜索词报告!$J$2:$J$22222))</f>
        <v/>
      </c>
      <c r="D234" s="2" t="str">
        <f t="shared" si="12"/>
        <v/>
      </c>
      <c r="E234" t="str">
        <f t="shared" si="13"/>
        <v/>
      </c>
      <c r="F234" t="str">
        <f>IF(SUMIF(搜索词报告!$A$2:$A$22222,总体数据一览!A234,搜索词报告!$M$2:$M$22222)=0,"",SUMIF(搜索词报告!$A$2:$A$22222,总体数据一览!A234,搜索词报告!$M$2:$M$22222))</f>
        <v/>
      </c>
      <c r="G234" t="str">
        <f>IFERROR(IF(B234="","",SUMIF(搜索词报告!$A$2:$A$22222,总体数据一览!A234,搜索词报告!$V$2:$V$22222))+IF(B234="","",SUMIF(搜索词报告!$A$2:$A$22222,总体数据一览!A234,搜索词报告!$W$2:$W$22222)),"")</f>
        <v/>
      </c>
      <c r="H234" s="2" t="str">
        <f t="shared" si="14"/>
        <v/>
      </c>
    </row>
    <row r="235" spans="2:8" x14ac:dyDescent="0.15">
      <c r="B235" t="str">
        <f>IF(SUMIF(搜索词报告!$A$2:$A$22222,总体数据一览!A235,搜索词报告!$I$2:$I$22222)=0,"",SUMIF(搜索词报告!$A$2:$A$22222,总体数据一览!A235,搜索词报告!$I$2:$I$22222))</f>
        <v/>
      </c>
      <c r="C235" t="str">
        <f>IF(SUMIF(搜索词报告!$A$2:$A$22222,总体数据一览!A235,搜索词报告!$J$2:$J$22222)=0,"",SUMIF(搜索词报告!$A$2:$A$22222,总体数据一览!A235,搜索词报告!$J$2:$J$22222))</f>
        <v/>
      </c>
      <c r="D235" s="2" t="str">
        <f t="shared" si="12"/>
        <v/>
      </c>
      <c r="E235" t="str">
        <f t="shared" si="13"/>
        <v/>
      </c>
      <c r="F235" t="str">
        <f>IF(SUMIF(搜索词报告!$A$2:$A$22222,总体数据一览!A235,搜索词报告!$M$2:$M$22222)=0,"",SUMIF(搜索词报告!$A$2:$A$22222,总体数据一览!A235,搜索词报告!$M$2:$M$22222))</f>
        <v/>
      </c>
      <c r="G235" t="str">
        <f>IFERROR(IF(B235="","",SUMIF(搜索词报告!$A$2:$A$22222,总体数据一览!A235,搜索词报告!$V$2:$V$22222))+IF(B235="","",SUMIF(搜索词报告!$A$2:$A$22222,总体数据一览!A235,搜索词报告!$W$2:$W$22222)),"")</f>
        <v/>
      </c>
      <c r="H235" s="2" t="str">
        <f t="shared" si="14"/>
        <v/>
      </c>
    </row>
    <row r="236" spans="2:8" x14ac:dyDescent="0.15">
      <c r="B236" t="str">
        <f>IF(SUMIF(搜索词报告!$A$2:$A$22222,总体数据一览!A236,搜索词报告!$I$2:$I$22222)=0,"",SUMIF(搜索词报告!$A$2:$A$22222,总体数据一览!A236,搜索词报告!$I$2:$I$22222))</f>
        <v/>
      </c>
      <c r="C236" t="str">
        <f>IF(SUMIF(搜索词报告!$A$2:$A$22222,总体数据一览!A236,搜索词报告!$J$2:$J$22222)=0,"",SUMIF(搜索词报告!$A$2:$A$22222,总体数据一览!A236,搜索词报告!$J$2:$J$22222))</f>
        <v/>
      </c>
      <c r="D236" s="2" t="str">
        <f t="shared" si="12"/>
        <v/>
      </c>
      <c r="E236" t="str">
        <f t="shared" si="13"/>
        <v/>
      </c>
      <c r="F236" t="str">
        <f>IF(SUMIF(搜索词报告!$A$2:$A$22222,总体数据一览!A236,搜索词报告!$M$2:$M$22222)=0,"",SUMIF(搜索词报告!$A$2:$A$22222,总体数据一览!A236,搜索词报告!$M$2:$M$22222))</f>
        <v/>
      </c>
      <c r="G236" t="str">
        <f>IFERROR(IF(B236="","",SUMIF(搜索词报告!$A$2:$A$22222,总体数据一览!A236,搜索词报告!$V$2:$V$22222))+IF(B236="","",SUMIF(搜索词报告!$A$2:$A$22222,总体数据一览!A236,搜索词报告!$W$2:$W$22222)),"")</f>
        <v/>
      </c>
      <c r="H236" s="2" t="str">
        <f t="shared" si="14"/>
        <v/>
      </c>
    </row>
    <row r="237" spans="2:8" x14ac:dyDescent="0.15">
      <c r="B237" t="str">
        <f>IF(SUMIF(搜索词报告!$A$2:$A$22222,总体数据一览!A237,搜索词报告!$I$2:$I$22222)=0,"",SUMIF(搜索词报告!$A$2:$A$22222,总体数据一览!A237,搜索词报告!$I$2:$I$22222))</f>
        <v/>
      </c>
      <c r="C237" t="str">
        <f>IF(SUMIF(搜索词报告!$A$2:$A$22222,总体数据一览!A237,搜索词报告!$J$2:$J$22222)=0,"",SUMIF(搜索词报告!$A$2:$A$22222,总体数据一览!A237,搜索词报告!$J$2:$J$22222))</f>
        <v/>
      </c>
      <c r="D237" s="2" t="str">
        <f t="shared" si="12"/>
        <v/>
      </c>
      <c r="E237" t="str">
        <f t="shared" si="13"/>
        <v/>
      </c>
      <c r="F237" t="str">
        <f>IF(SUMIF(搜索词报告!$A$2:$A$22222,总体数据一览!A237,搜索词报告!$M$2:$M$22222)=0,"",SUMIF(搜索词报告!$A$2:$A$22222,总体数据一览!A237,搜索词报告!$M$2:$M$22222))</f>
        <v/>
      </c>
      <c r="G237" t="str">
        <f>IFERROR(IF(B237="","",SUMIF(搜索词报告!$A$2:$A$22222,总体数据一览!A237,搜索词报告!$V$2:$V$22222))+IF(B237="","",SUMIF(搜索词报告!$A$2:$A$22222,总体数据一览!A237,搜索词报告!$W$2:$W$22222)),"")</f>
        <v/>
      </c>
      <c r="H237" s="2" t="str">
        <f t="shared" si="14"/>
        <v/>
      </c>
    </row>
    <row r="238" spans="2:8" x14ac:dyDescent="0.15">
      <c r="B238" t="str">
        <f>IF(SUMIF(搜索词报告!$A$2:$A$22222,总体数据一览!A238,搜索词报告!$I$2:$I$22222)=0,"",SUMIF(搜索词报告!$A$2:$A$22222,总体数据一览!A238,搜索词报告!$I$2:$I$22222))</f>
        <v/>
      </c>
      <c r="C238" t="str">
        <f>IF(SUMIF(搜索词报告!$A$2:$A$22222,总体数据一览!A238,搜索词报告!$J$2:$J$22222)=0,"",SUMIF(搜索词报告!$A$2:$A$22222,总体数据一览!A238,搜索词报告!$J$2:$J$22222))</f>
        <v/>
      </c>
      <c r="D238" s="2" t="str">
        <f t="shared" si="12"/>
        <v/>
      </c>
      <c r="E238" t="str">
        <f t="shared" si="13"/>
        <v/>
      </c>
      <c r="F238" t="str">
        <f>IF(SUMIF(搜索词报告!$A$2:$A$22222,总体数据一览!A238,搜索词报告!$M$2:$M$22222)=0,"",SUMIF(搜索词报告!$A$2:$A$22222,总体数据一览!A238,搜索词报告!$M$2:$M$22222))</f>
        <v/>
      </c>
      <c r="G238" t="str">
        <f>IFERROR(IF(B238="","",SUMIF(搜索词报告!$A$2:$A$22222,总体数据一览!A238,搜索词报告!$V$2:$V$22222))+IF(B238="","",SUMIF(搜索词报告!$A$2:$A$22222,总体数据一览!A238,搜索词报告!$W$2:$W$22222)),"")</f>
        <v/>
      </c>
      <c r="H238" s="2" t="str">
        <f t="shared" si="14"/>
        <v/>
      </c>
    </row>
    <row r="239" spans="2:8" x14ac:dyDescent="0.15">
      <c r="B239" t="str">
        <f>IF(SUMIF(搜索词报告!$A$2:$A$22222,总体数据一览!A239,搜索词报告!$I$2:$I$22222)=0,"",SUMIF(搜索词报告!$A$2:$A$22222,总体数据一览!A239,搜索词报告!$I$2:$I$22222))</f>
        <v/>
      </c>
      <c r="C239" t="str">
        <f>IF(SUMIF(搜索词报告!$A$2:$A$22222,总体数据一览!A239,搜索词报告!$J$2:$J$22222)=0,"",SUMIF(搜索词报告!$A$2:$A$22222,总体数据一览!A239,搜索词报告!$J$2:$J$22222))</f>
        <v/>
      </c>
      <c r="D239" s="2" t="str">
        <f t="shared" si="12"/>
        <v/>
      </c>
      <c r="E239" t="str">
        <f t="shared" si="13"/>
        <v/>
      </c>
      <c r="F239" t="str">
        <f>IF(SUMIF(搜索词报告!$A$2:$A$22222,总体数据一览!A239,搜索词报告!$M$2:$M$22222)=0,"",SUMIF(搜索词报告!$A$2:$A$22222,总体数据一览!A239,搜索词报告!$M$2:$M$22222))</f>
        <v/>
      </c>
      <c r="G239" t="str">
        <f>IFERROR(IF(B239="","",SUMIF(搜索词报告!$A$2:$A$22222,总体数据一览!A239,搜索词报告!$V$2:$V$22222))+IF(B239="","",SUMIF(搜索词报告!$A$2:$A$22222,总体数据一览!A239,搜索词报告!$W$2:$W$22222)),"")</f>
        <v/>
      </c>
      <c r="H239" s="2" t="str">
        <f t="shared" si="14"/>
        <v/>
      </c>
    </row>
    <row r="240" spans="2:8" x14ac:dyDescent="0.15">
      <c r="B240" t="str">
        <f>IF(SUMIF(搜索词报告!$A$2:$A$22222,总体数据一览!A240,搜索词报告!$I$2:$I$22222)=0,"",SUMIF(搜索词报告!$A$2:$A$22222,总体数据一览!A240,搜索词报告!$I$2:$I$22222))</f>
        <v/>
      </c>
      <c r="C240" t="str">
        <f>IF(SUMIF(搜索词报告!$A$2:$A$22222,总体数据一览!A240,搜索词报告!$J$2:$J$22222)=0,"",SUMIF(搜索词报告!$A$2:$A$22222,总体数据一览!A240,搜索词报告!$J$2:$J$22222))</f>
        <v/>
      </c>
      <c r="D240" s="2" t="str">
        <f t="shared" si="12"/>
        <v/>
      </c>
      <c r="E240" t="str">
        <f t="shared" si="13"/>
        <v/>
      </c>
      <c r="F240" t="str">
        <f>IF(SUMIF(搜索词报告!$A$2:$A$22222,总体数据一览!A240,搜索词报告!$M$2:$M$22222)=0,"",SUMIF(搜索词报告!$A$2:$A$22222,总体数据一览!A240,搜索词报告!$M$2:$M$22222))</f>
        <v/>
      </c>
      <c r="G240" t="str">
        <f>IFERROR(IF(B240="","",SUMIF(搜索词报告!$A$2:$A$22222,总体数据一览!A240,搜索词报告!$V$2:$V$22222))+IF(B240="","",SUMIF(搜索词报告!$A$2:$A$22222,总体数据一览!A240,搜索词报告!$W$2:$W$22222)),"")</f>
        <v/>
      </c>
      <c r="H240" s="2" t="str">
        <f t="shared" si="14"/>
        <v/>
      </c>
    </row>
    <row r="241" spans="2:8" x14ac:dyDescent="0.15">
      <c r="B241" t="str">
        <f>IF(SUMIF(搜索词报告!$A$2:$A$22222,总体数据一览!A241,搜索词报告!$I$2:$I$22222)=0,"",SUMIF(搜索词报告!$A$2:$A$22222,总体数据一览!A241,搜索词报告!$I$2:$I$22222))</f>
        <v/>
      </c>
      <c r="C241" t="str">
        <f>IF(SUMIF(搜索词报告!$A$2:$A$22222,总体数据一览!A241,搜索词报告!$J$2:$J$22222)=0,"",SUMIF(搜索词报告!$A$2:$A$22222,总体数据一览!A241,搜索词报告!$J$2:$J$22222))</f>
        <v/>
      </c>
      <c r="D241" s="2" t="str">
        <f t="shared" si="12"/>
        <v/>
      </c>
      <c r="E241" t="str">
        <f t="shared" si="13"/>
        <v/>
      </c>
      <c r="F241" t="str">
        <f>IF(SUMIF(搜索词报告!$A$2:$A$22222,总体数据一览!A241,搜索词报告!$M$2:$M$22222)=0,"",SUMIF(搜索词报告!$A$2:$A$22222,总体数据一览!A241,搜索词报告!$M$2:$M$22222))</f>
        <v/>
      </c>
      <c r="G241" t="str">
        <f>IFERROR(IF(B241="","",SUMIF(搜索词报告!$A$2:$A$22222,总体数据一览!A241,搜索词报告!$V$2:$V$22222))+IF(B241="","",SUMIF(搜索词报告!$A$2:$A$22222,总体数据一览!A241,搜索词报告!$W$2:$W$22222)),"")</f>
        <v/>
      </c>
      <c r="H241" s="2" t="str">
        <f t="shared" si="14"/>
        <v/>
      </c>
    </row>
    <row r="242" spans="2:8" x14ac:dyDescent="0.15">
      <c r="B242" t="str">
        <f>IF(SUMIF(搜索词报告!$A$2:$A$22222,总体数据一览!A242,搜索词报告!$I$2:$I$22222)=0,"",SUMIF(搜索词报告!$A$2:$A$22222,总体数据一览!A242,搜索词报告!$I$2:$I$22222))</f>
        <v/>
      </c>
      <c r="C242" t="str">
        <f>IF(SUMIF(搜索词报告!$A$2:$A$22222,总体数据一览!A242,搜索词报告!$J$2:$J$22222)=0,"",SUMIF(搜索词报告!$A$2:$A$22222,总体数据一览!A242,搜索词报告!$J$2:$J$22222))</f>
        <v/>
      </c>
      <c r="D242" s="2" t="str">
        <f t="shared" si="12"/>
        <v/>
      </c>
      <c r="E242" t="str">
        <f t="shared" si="13"/>
        <v/>
      </c>
      <c r="F242" t="str">
        <f>IF(SUMIF(搜索词报告!$A$2:$A$22222,总体数据一览!A242,搜索词报告!$M$2:$M$22222)=0,"",SUMIF(搜索词报告!$A$2:$A$22222,总体数据一览!A242,搜索词报告!$M$2:$M$22222))</f>
        <v/>
      </c>
      <c r="G242" t="str">
        <f>IFERROR(IF(B242="","",SUMIF(搜索词报告!$A$2:$A$22222,总体数据一览!A242,搜索词报告!$V$2:$V$22222))+IF(B242="","",SUMIF(搜索词报告!$A$2:$A$22222,总体数据一览!A242,搜索词报告!$W$2:$W$22222)),"")</f>
        <v/>
      </c>
      <c r="H242" s="2" t="str">
        <f t="shared" si="14"/>
        <v/>
      </c>
    </row>
    <row r="243" spans="2:8" x14ac:dyDescent="0.15">
      <c r="B243" t="str">
        <f>IF(SUMIF(搜索词报告!$A$2:$A$22222,总体数据一览!A243,搜索词报告!$I$2:$I$22222)=0,"",SUMIF(搜索词报告!$A$2:$A$22222,总体数据一览!A243,搜索词报告!$I$2:$I$22222))</f>
        <v/>
      </c>
      <c r="C243" t="str">
        <f>IF(SUMIF(搜索词报告!$A$2:$A$22222,总体数据一览!A243,搜索词报告!$J$2:$J$22222)=0,"",SUMIF(搜索词报告!$A$2:$A$22222,总体数据一览!A243,搜索词报告!$J$2:$J$22222))</f>
        <v/>
      </c>
      <c r="D243" s="2" t="str">
        <f t="shared" si="12"/>
        <v/>
      </c>
      <c r="E243" t="str">
        <f t="shared" si="13"/>
        <v/>
      </c>
      <c r="F243" t="str">
        <f>IF(SUMIF(搜索词报告!$A$2:$A$22222,总体数据一览!A243,搜索词报告!$M$2:$M$22222)=0,"",SUMIF(搜索词报告!$A$2:$A$22222,总体数据一览!A243,搜索词报告!$M$2:$M$22222))</f>
        <v/>
      </c>
      <c r="G243" t="str">
        <f>IFERROR(IF(B243="","",SUMIF(搜索词报告!$A$2:$A$22222,总体数据一览!A243,搜索词报告!$V$2:$V$22222))+IF(B243="","",SUMIF(搜索词报告!$A$2:$A$22222,总体数据一览!A243,搜索词报告!$W$2:$W$22222)),"")</f>
        <v/>
      </c>
      <c r="H243" s="2" t="str">
        <f t="shared" si="14"/>
        <v/>
      </c>
    </row>
    <row r="244" spans="2:8" x14ac:dyDescent="0.15">
      <c r="B244" t="str">
        <f>IF(SUMIF(搜索词报告!$A$2:$A$22222,总体数据一览!A244,搜索词报告!$I$2:$I$22222)=0,"",SUMIF(搜索词报告!$A$2:$A$22222,总体数据一览!A244,搜索词报告!$I$2:$I$22222))</f>
        <v/>
      </c>
      <c r="C244" t="str">
        <f>IF(SUMIF(搜索词报告!$A$2:$A$22222,总体数据一览!A244,搜索词报告!$J$2:$J$22222)=0,"",SUMIF(搜索词报告!$A$2:$A$22222,总体数据一览!A244,搜索词报告!$J$2:$J$22222))</f>
        <v/>
      </c>
      <c r="D244" s="2" t="str">
        <f t="shared" si="12"/>
        <v/>
      </c>
      <c r="E244" t="str">
        <f t="shared" si="13"/>
        <v/>
      </c>
      <c r="F244" t="str">
        <f>IF(SUMIF(搜索词报告!$A$2:$A$22222,总体数据一览!A244,搜索词报告!$M$2:$M$22222)=0,"",SUMIF(搜索词报告!$A$2:$A$22222,总体数据一览!A244,搜索词报告!$M$2:$M$22222))</f>
        <v/>
      </c>
      <c r="G244" t="str">
        <f>IFERROR(IF(B244="","",SUMIF(搜索词报告!$A$2:$A$22222,总体数据一览!A244,搜索词报告!$V$2:$V$22222))+IF(B244="","",SUMIF(搜索词报告!$A$2:$A$22222,总体数据一览!A244,搜索词报告!$W$2:$W$22222)),"")</f>
        <v/>
      </c>
      <c r="H244" s="2" t="str">
        <f t="shared" si="14"/>
        <v/>
      </c>
    </row>
    <row r="245" spans="2:8" x14ac:dyDescent="0.15">
      <c r="B245" t="str">
        <f>IF(SUMIF(搜索词报告!$A$2:$A$22222,总体数据一览!A245,搜索词报告!$I$2:$I$22222)=0,"",SUMIF(搜索词报告!$A$2:$A$22222,总体数据一览!A245,搜索词报告!$I$2:$I$22222))</f>
        <v/>
      </c>
      <c r="C245" t="str">
        <f>IF(SUMIF(搜索词报告!$A$2:$A$22222,总体数据一览!A245,搜索词报告!$J$2:$J$22222)=0,"",SUMIF(搜索词报告!$A$2:$A$22222,总体数据一览!A245,搜索词报告!$J$2:$J$22222))</f>
        <v/>
      </c>
      <c r="D245" s="2" t="str">
        <f t="shared" si="12"/>
        <v/>
      </c>
      <c r="E245" t="str">
        <f t="shared" si="13"/>
        <v/>
      </c>
      <c r="F245" t="str">
        <f>IF(SUMIF(搜索词报告!$A$2:$A$22222,总体数据一览!A245,搜索词报告!$M$2:$M$22222)=0,"",SUMIF(搜索词报告!$A$2:$A$22222,总体数据一览!A245,搜索词报告!$M$2:$M$22222))</f>
        <v/>
      </c>
      <c r="G245" t="str">
        <f>IFERROR(IF(B245="","",SUMIF(搜索词报告!$A$2:$A$22222,总体数据一览!A245,搜索词报告!$V$2:$V$22222))+IF(B245="","",SUMIF(搜索词报告!$A$2:$A$22222,总体数据一览!A245,搜索词报告!$W$2:$W$22222)),"")</f>
        <v/>
      </c>
      <c r="H245" s="2" t="str">
        <f t="shared" si="14"/>
        <v/>
      </c>
    </row>
    <row r="246" spans="2:8" x14ac:dyDescent="0.15">
      <c r="B246" t="str">
        <f>IF(SUMIF(搜索词报告!$A$2:$A$22222,总体数据一览!A246,搜索词报告!$I$2:$I$22222)=0,"",SUMIF(搜索词报告!$A$2:$A$22222,总体数据一览!A246,搜索词报告!$I$2:$I$22222))</f>
        <v/>
      </c>
      <c r="C246" t="str">
        <f>IF(SUMIF(搜索词报告!$A$2:$A$22222,总体数据一览!A246,搜索词报告!$J$2:$J$22222)=0,"",SUMIF(搜索词报告!$A$2:$A$22222,总体数据一览!A246,搜索词报告!$J$2:$J$22222))</f>
        <v/>
      </c>
      <c r="D246" s="2" t="str">
        <f t="shared" si="12"/>
        <v/>
      </c>
      <c r="E246" t="str">
        <f t="shared" si="13"/>
        <v/>
      </c>
      <c r="F246" t="str">
        <f>IF(SUMIF(搜索词报告!$A$2:$A$22222,总体数据一览!A246,搜索词报告!$M$2:$M$22222)=0,"",SUMIF(搜索词报告!$A$2:$A$22222,总体数据一览!A246,搜索词报告!$M$2:$M$22222))</f>
        <v/>
      </c>
      <c r="G246" t="str">
        <f>IFERROR(IF(B246="","",SUMIF(搜索词报告!$A$2:$A$22222,总体数据一览!A246,搜索词报告!$V$2:$V$22222))+IF(B246="","",SUMIF(搜索词报告!$A$2:$A$22222,总体数据一览!A246,搜索词报告!$W$2:$W$22222)),"")</f>
        <v/>
      </c>
      <c r="H246" s="2" t="str">
        <f t="shared" si="14"/>
        <v/>
      </c>
    </row>
    <row r="247" spans="2:8" x14ac:dyDescent="0.15">
      <c r="B247" t="str">
        <f>IF(SUMIF(搜索词报告!$A$2:$A$22222,总体数据一览!A247,搜索词报告!$I$2:$I$22222)=0,"",SUMIF(搜索词报告!$A$2:$A$22222,总体数据一览!A247,搜索词报告!$I$2:$I$22222))</f>
        <v/>
      </c>
      <c r="C247" t="str">
        <f>IF(SUMIF(搜索词报告!$A$2:$A$22222,总体数据一览!A247,搜索词报告!$J$2:$J$22222)=0,"",SUMIF(搜索词报告!$A$2:$A$22222,总体数据一览!A247,搜索词报告!$J$2:$J$22222))</f>
        <v/>
      </c>
      <c r="D247" s="2" t="str">
        <f t="shared" si="12"/>
        <v/>
      </c>
      <c r="E247" t="str">
        <f t="shared" si="13"/>
        <v/>
      </c>
      <c r="F247" t="str">
        <f>IF(SUMIF(搜索词报告!$A$2:$A$22222,总体数据一览!A247,搜索词报告!$M$2:$M$22222)=0,"",SUMIF(搜索词报告!$A$2:$A$22222,总体数据一览!A247,搜索词报告!$M$2:$M$22222))</f>
        <v/>
      </c>
      <c r="G247" t="str">
        <f>IFERROR(IF(B247="","",SUMIF(搜索词报告!$A$2:$A$22222,总体数据一览!A247,搜索词报告!$V$2:$V$22222))+IF(B247="","",SUMIF(搜索词报告!$A$2:$A$22222,总体数据一览!A247,搜索词报告!$W$2:$W$22222)),"")</f>
        <v/>
      </c>
      <c r="H247" s="2" t="str">
        <f t="shared" si="14"/>
        <v/>
      </c>
    </row>
    <row r="248" spans="2:8" x14ac:dyDescent="0.15">
      <c r="B248" t="str">
        <f>IF(SUMIF(搜索词报告!$A$2:$A$22222,总体数据一览!A248,搜索词报告!$I$2:$I$22222)=0,"",SUMIF(搜索词报告!$A$2:$A$22222,总体数据一览!A248,搜索词报告!$I$2:$I$22222))</f>
        <v/>
      </c>
      <c r="C248" t="str">
        <f>IF(SUMIF(搜索词报告!$A$2:$A$22222,总体数据一览!A248,搜索词报告!$J$2:$J$22222)=0,"",SUMIF(搜索词报告!$A$2:$A$22222,总体数据一览!A248,搜索词报告!$J$2:$J$22222))</f>
        <v/>
      </c>
      <c r="D248" s="2" t="str">
        <f t="shared" si="12"/>
        <v/>
      </c>
      <c r="E248" t="str">
        <f t="shared" si="13"/>
        <v/>
      </c>
      <c r="F248" t="str">
        <f>IF(SUMIF(搜索词报告!$A$2:$A$22222,总体数据一览!A248,搜索词报告!$M$2:$M$22222)=0,"",SUMIF(搜索词报告!$A$2:$A$22222,总体数据一览!A248,搜索词报告!$M$2:$M$22222))</f>
        <v/>
      </c>
      <c r="G248" t="str">
        <f>IFERROR(IF(B248="","",SUMIF(搜索词报告!$A$2:$A$22222,总体数据一览!A248,搜索词报告!$V$2:$V$22222))+IF(B248="","",SUMIF(搜索词报告!$A$2:$A$22222,总体数据一览!A248,搜索词报告!$W$2:$W$22222)),"")</f>
        <v/>
      </c>
      <c r="H248" s="2" t="str">
        <f t="shared" si="14"/>
        <v/>
      </c>
    </row>
    <row r="249" spans="2:8" x14ac:dyDescent="0.15">
      <c r="B249" t="str">
        <f>IF(SUMIF(搜索词报告!$A$2:$A$22222,总体数据一览!A249,搜索词报告!$I$2:$I$22222)=0,"",SUMIF(搜索词报告!$A$2:$A$22222,总体数据一览!A249,搜索词报告!$I$2:$I$22222))</f>
        <v/>
      </c>
      <c r="C249" t="str">
        <f>IF(SUMIF(搜索词报告!$A$2:$A$22222,总体数据一览!A249,搜索词报告!$J$2:$J$22222)=0,"",SUMIF(搜索词报告!$A$2:$A$22222,总体数据一览!A249,搜索词报告!$J$2:$J$22222))</f>
        <v/>
      </c>
      <c r="D249" s="2" t="str">
        <f t="shared" si="12"/>
        <v/>
      </c>
      <c r="E249" t="str">
        <f t="shared" si="13"/>
        <v/>
      </c>
      <c r="F249" t="str">
        <f>IF(SUMIF(搜索词报告!$A$2:$A$22222,总体数据一览!A249,搜索词报告!$M$2:$M$22222)=0,"",SUMIF(搜索词报告!$A$2:$A$22222,总体数据一览!A249,搜索词报告!$M$2:$M$22222))</f>
        <v/>
      </c>
      <c r="G249" t="str">
        <f>IFERROR(IF(B249="","",SUMIF(搜索词报告!$A$2:$A$22222,总体数据一览!A249,搜索词报告!$V$2:$V$22222))+IF(B249="","",SUMIF(搜索词报告!$A$2:$A$22222,总体数据一览!A249,搜索词报告!$W$2:$W$22222)),"")</f>
        <v/>
      </c>
      <c r="H249" s="2" t="str">
        <f t="shared" si="14"/>
        <v/>
      </c>
    </row>
    <row r="250" spans="2:8" x14ac:dyDescent="0.15">
      <c r="B250" t="str">
        <f>IF(SUMIF(搜索词报告!$A$2:$A$22222,总体数据一览!A250,搜索词报告!$I$2:$I$22222)=0,"",SUMIF(搜索词报告!$A$2:$A$22222,总体数据一览!A250,搜索词报告!$I$2:$I$22222))</f>
        <v/>
      </c>
      <c r="C250" t="str">
        <f>IF(SUMIF(搜索词报告!$A$2:$A$22222,总体数据一览!A250,搜索词报告!$J$2:$J$22222)=0,"",SUMIF(搜索词报告!$A$2:$A$22222,总体数据一览!A250,搜索词报告!$J$2:$J$22222))</f>
        <v/>
      </c>
      <c r="D250" s="2" t="str">
        <f t="shared" si="12"/>
        <v/>
      </c>
      <c r="E250" t="str">
        <f t="shared" si="13"/>
        <v/>
      </c>
      <c r="F250" t="str">
        <f>IF(SUMIF(搜索词报告!$A$2:$A$22222,总体数据一览!A250,搜索词报告!$M$2:$M$22222)=0,"",SUMIF(搜索词报告!$A$2:$A$22222,总体数据一览!A250,搜索词报告!$M$2:$M$22222))</f>
        <v/>
      </c>
      <c r="G250" t="str">
        <f>IFERROR(IF(B250="","",SUMIF(搜索词报告!$A$2:$A$22222,总体数据一览!A250,搜索词报告!$V$2:$V$22222))+IF(B250="","",SUMIF(搜索词报告!$A$2:$A$22222,总体数据一览!A250,搜索词报告!$W$2:$W$22222)),"")</f>
        <v/>
      </c>
      <c r="H250" s="2" t="str">
        <f t="shared" si="14"/>
        <v/>
      </c>
    </row>
    <row r="251" spans="2:8" x14ac:dyDescent="0.15">
      <c r="B251" t="str">
        <f>IF(SUMIF(搜索词报告!$A$2:$A$22222,总体数据一览!A251,搜索词报告!$I$2:$I$22222)=0,"",SUMIF(搜索词报告!$A$2:$A$22222,总体数据一览!A251,搜索词报告!$I$2:$I$22222))</f>
        <v/>
      </c>
      <c r="C251" t="str">
        <f>IF(SUMIF(搜索词报告!$A$2:$A$22222,总体数据一览!A251,搜索词报告!$J$2:$J$22222)=0,"",SUMIF(搜索词报告!$A$2:$A$22222,总体数据一览!A251,搜索词报告!$J$2:$J$22222))</f>
        <v/>
      </c>
      <c r="D251" s="2" t="str">
        <f t="shared" si="12"/>
        <v/>
      </c>
      <c r="E251" t="str">
        <f t="shared" si="13"/>
        <v/>
      </c>
      <c r="F251" t="str">
        <f>IF(SUMIF(搜索词报告!$A$2:$A$22222,总体数据一览!A251,搜索词报告!$M$2:$M$22222)=0,"",SUMIF(搜索词报告!$A$2:$A$22222,总体数据一览!A251,搜索词报告!$M$2:$M$22222))</f>
        <v/>
      </c>
      <c r="G251" t="str">
        <f>IFERROR(IF(B251="","",SUMIF(搜索词报告!$A$2:$A$22222,总体数据一览!A251,搜索词报告!$V$2:$V$22222))+IF(B251="","",SUMIF(搜索词报告!$A$2:$A$22222,总体数据一览!A251,搜索词报告!$W$2:$W$22222)),"")</f>
        <v/>
      </c>
      <c r="H251" s="2" t="str">
        <f t="shared" si="14"/>
        <v/>
      </c>
    </row>
    <row r="252" spans="2:8" x14ac:dyDescent="0.15">
      <c r="B252" t="str">
        <f>IF(SUMIF(搜索词报告!$A$2:$A$22222,总体数据一览!A252,搜索词报告!$I$2:$I$22222)=0,"",SUMIF(搜索词报告!$A$2:$A$22222,总体数据一览!A252,搜索词报告!$I$2:$I$22222))</f>
        <v/>
      </c>
      <c r="C252" t="str">
        <f>IF(SUMIF(搜索词报告!$A$2:$A$22222,总体数据一览!A252,搜索词报告!$J$2:$J$22222)=0,"",SUMIF(搜索词报告!$A$2:$A$22222,总体数据一览!A252,搜索词报告!$J$2:$J$22222))</f>
        <v/>
      </c>
      <c r="D252" s="2" t="str">
        <f t="shared" si="12"/>
        <v/>
      </c>
      <c r="E252" t="str">
        <f t="shared" si="13"/>
        <v/>
      </c>
      <c r="F252" t="str">
        <f>IF(SUMIF(搜索词报告!$A$2:$A$22222,总体数据一览!A252,搜索词报告!$M$2:$M$22222)=0,"",SUMIF(搜索词报告!$A$2:$A$22222,总体数据一览!A252,搜索词报告!$M$2:$M$22222))</f>
        <v/>
      </c>
      <c r="G252" t="str">
        <f>IFERROR(IF(B252="","",SUMIF(搜索词报告!$A$2:$A$22222,总体数据一览!A252,搜索词报告!$V$2:$V$22222))+IF(B252="","",SUMIF(搜索词报告!$A$2:$A$22222,总体数据一览!A252,搜索词报告!$W$2:$W$22222)),"")</f>
        <v/>
      </c>
      <c r="H252" s="2" t="str">
        <f t="shared" si="14"/>
        <v/>
      </c>
    </row>
    <row r="253" spans="2:8" x14ac:dyDescent="0.15">
      <c r="B253" t="str">
        <f>IF(SUMIF(搜索词报告!$A$2:$A$22222,总体数据一览!A253,搜索词报告!$I$2:$I$22222)=0,"",SUMIF(搜索词报告!$A$2:$A$22222,总体数据一览!A253,搜索词报告!$I$2:$I$22222))</f>
        <v/>
      </c>
      <c r="C253" t="str">
        <f>IF(SUMIF(搜索词报告!$A$2:$A$22222,总体数据一览!A253,搜索词报告!$J$2:$J$22222)=0,"",SUMIF(搜索词报告!$A$2:$A$22222,总体数据一览!A253,搜索词报告!$J$2:$J$22222))</f>
        <v/>
      </c>
      <c r="D253" s="2" t="str">
        <f t="shared" si="12"/>
        <v/>
      </c>
      <c r="E253" t="str">
        <f t="shared" si="13"/>
        <v/>
      </c>
      <c r="F253" t="str">
        <f>IF(SUMIF(搜索词报告!$A$2:$A$22222,总体数据一览!A253,搜索词报告!$M$2:$M$22222)=0,"",SUMIF(搜索词报告!$A$2:$A$22222,总体数据一览!A253,搜索词报告!$M$2:$M$22222))</f>
        <v/>
      </c>
      <c r="G253" t="str">
        <f>IFERROR(IF(B253="","",SUMIF(搜索词报告!$A$2:$A$22222,总体数据一览!A253,搜索词报告!$V$2:$V$22222))+IF(B253="","",SUMIF(搜索词报告!$A$2:$A$22222,总体数据一览!A253,搜索词报告!$W$2:$W$22222)),"")</f>
        <v/>
      </c>
      <c r="H253" s="2" t="str">
        <f t="shared" si="14"/>
        <v/>
      </c>
    </row>
    <row r="254" spans="2:8" x14ac:dyDescent="0.15">
      <c r="B254" t="str">
        <f>IF(SUMIF(搜索词报告!$A$2:$A$22222,总体数据一览!A254,搜索词报告!$I$2:$I$22222)=0,"",SUMIF(搜索词报告!$A$2:$A$22222,总体数据一览!A254,搜索词报告!$I$2:$I$22222))</f>
        <v/>
      </c>
      <c r="C254" t="str">
        <f>IF(SUMIF(搜索词报告!$A$2:$A$22222,总体数据一览!A254,搜索词报告!$J$2:$J$22222)=0,"",SUMIF(搜索词报告!$A$2:$A$22222,总体数据一览!A254,搜索词报告!$J$2:$J$22222))</f>
        <v/>
      </c>
      <c r="D254" s="2" t="str">
        <f t="shared" si="12"/>
        <v/>
      </c>
      <c r="E254" t="str">
        <f t="shared" si="13"/>
        <v/>
      </c>
      <c r="F254" t="str">
        <f>IF(SUMIF(搜索词报告!$A$2:$A$22222,总体数据一览!A254,搜索词报告!$M$2:$M$22222)=0,"",SUMIF(搜索词报告!$A$2:$A$22222,总体数据一览!A254,搜索词报告!$M$2:$M$22222))</f>
        <v/>
      </c>
      <c r="G254" t="str">
        <f>IFERROR(IF(B254="","",SUMIF(搜索词报告!$A$2:$A$22222,总体数据一览!A254,搜索词报告!$V$2:$V$22222))+IF(B254="","",SUMIF(搜索词报告!$A$2:$A$22222,总体数据一览!A254,搜索词报告!$W$2:$W$22222)),"")</f>
        <v/>
      </c>
      <c r="H254" s="2" t="str">
        <f t="shared" si="14"/>
        <v/>
      </c>
    </row>
    <row r="255" spans="2:8" x14ac:dyDescent="0.15">
      <c r="B255" t="str">
        <f>IF(SUMIF(搜索词报告!$A$2:$A$22222,总体数据一览!A255,搜索词报告!$I$2:$I$22222)=0,"",SUMIF(搜索词报告!$A$2:$A$22222,总体数据一览!A255,搜索词报告!$I$2:$I$22222))</f>
        <v/>
      </c>
      <c r="C255" t="str">
        <f>IF(SUMIF(搜索词报告!$A$2:$A$22222,总体数据一览!A255,搜索词报告!$J$2:$J$22222)=0,"",SUMIF(搜索词报告!$A$2:$A$22222,总体数据一览!A255,搜索词报告!$J$2:$J$22222))</f>
        <v/>
      </c>
      <c r="D255" s="2" t="str">
        <f t="shared" si="12"/>
        <v/>
      </c>
      <c r="E255" t="str">
        <f t="shared" si="13"/>
        <v/>
      </c>
      <c r="F255" t="str">
        <f>IF(SUMIF(搜索词报告!$A$2:$A$22222,总体数据一览!A255,搜索词报告!$M$2:$M$22222)=0,"",SUMIF(搜索词报告!$A$2:$A$22222,总体数据一览!A255,搜索词报告!$M$2:$M$22222))</f>
        <v/>
      </c>
      <c r="G255" t="str">
        <f>IFERROR(IF(B255="","",SUMIF(搜索词报告!$A$2:$A$22222,总体数据一览!A255,搜索词报告!$V$2:$V$22222))+IF(B255="","",SUMIF(搜索词报告!$A$2:$A$22222,总体数据一览!A255,搜索词报告!$W$2:$W$22222)),"")</f>
        <v/>
      </c>
      <c r="H255" s="2" t="str">
        <f t="shared" si="14"/>
        <v/>
      </c>
    </row>
    <row r="256" spans="2:8" x14ac:dyDescent="0.15">
      <c r="B256" t="str">
        <f>IF(SUMIF(搜索词报告!$A$2:$A$22222,总体数据一览!A256,搜索词报告!$I$2:$I$22222)=0,"",SUMIF(搜索词报告!$A$2:$A$22222,总体数据一览!A256,搜索词报告!$I$2:$I$22222))</f>
        <v/>
      </c>
      <c r="C256" t="str">
        <f>IF(SUMIF(搜索词报告!$A$2:$A$22222,总体数据一览!A256,搜索词报告!$J$2:$J$22222)=0,"",SUMIF(搜索词报告!$A$2:$A$22222,总体数据一览!A256,搜索词报告!$J$2:$J$22222))</f>
        <v/>
      </c>
      <c r="D256" s="2" t="str">
        <f t="shared" si="12"/>
        <v/>
      </c>
      <c r="E256" t="str">
        <f t="shared" si="13"/>
        <v/>
      </c>
      <c r="F256" t="str">
        <f>IF(SUMIF(搜索词报告!$A$2:$A$22222,总体数据一览!A256,搜索词报告!$M$2:$M$22222)=0,"",SUMIF(搜索词报告!$A$2:$A$22222,总体数据一览!A256,搜索词报告!$M$2:$M$22222))</f>
        <v/>
      </c>
      <c r="G256" t="str">
        <f>IFERROR(IF(B256="","",SUMIF(搜索词报告!$A$2:$A$22222,总体数据一览!A256,搜索词报告!$V$2:$V$22222))+IF(B256="","",SUMIF(搜索词报告!$A$2:$A$22222,总体数据一览!A256,搜索词报告!$W$2:$W$22222)),"")</f>
        <v/>
      </c>
      <c r="H256" s="2" t="str">
        <f t="shared" si="14"/>
        <v/>
      </c>
    </row>
    <row r="257" spans="2:8" x14ac:dyDescent="0.15">
      <c r="B257" t="str">
        <f>IF(SUMIF(搜索词报告!$A$2:$A$22222,总体数据一览!A257,搜索词报告!$I$2:$I$22222)=0,"",SUMIF(搜索词报告!$A$2:$A$22222,总体数据一览!A257,搜索词报告!$I$2:$I$22222))</f>
        <v/>
      </c>
      <c r="C257" t="str">
        <f>IF(SUMIF(搜索词报告!$A$2:$A$22222,总体数据一览!A257,搜索词报告!$J$2:$J$22222)=0,"",SUMIF(搜索词报告!$A$2:$A$22222,总体数据一览!A257,搜索词报告!$J$2:$J$22222))</f>
        <v/>
      </c>
      <c r="D257" s="2" t="str">
        <f t="shared" si="12"/>
        <v/>
      </c>
      <c r="E257" t="str">
        <f t="shared" si="13"/>
        <v/>
      </c>
      <c r="F257" t="str">
        <f>IF(SUMIF(搜索词报告!$A$2:$A$22222,总体数据一览!A257,搜索词报告!$M$2:$M$22222)=0,"",SUMIF(搜索词报告!$A$2:$A$22222,总体数据一览!A257,搜索词报告!$M$2:$M$22222))</f>
        <v/>
      </c>
      <c r="G257" t="str">
        <f>IFERROR(IF(B257="","",SUMIF(搜索词报告!$A$2:$A$22222,总体数据一览!A257,搜索词报告!$V$2:$V$22222))+IF(B257="","",SUMIF(搜索词报告!$A$2:$A$22222,总体数据一览!A257,搜索词报告!$W$2:$W$22222)),"")</f>
        <v/>
      </c>
      <c r="H257" s="2" t="str">
        <f t="shared" si="14"/>
        <v/>
      </c>
    </row>
    <row r="258" spans="2:8" x14ac:dyDescent="0.15">
      <c r="B258" t="str">
        <f>IF(SUMIF(搜索词报告!$A$2:$A$22222,总体数据一览!A258,搜索词报告!$I$2:$I$22222)=0,"",SUMIF(搜索词报告!$A$2:$A$22222,总体数据一览!A258,搜索词报告!$I$2:$I$22222))</f>
        <v/>
      </c>
      <c r="C258" t="str">
        <f>IF(SUMIF(搜索词报告!$A$2:$A$22222,总体数据一览!A258,搜索词报告!$J$2:$J$22222)=0,"",SUMIF(搜索词报告!$A$2:$A$22222,总体数据一览!A258,搜索词报告!$J$2:$J$22222))</f>
        <v/>
      </c>
      <c r="D258" s="2" t="str">
        <f t="shared" si="12"/>
        <v/>
      </c>
      <c r="E258" t="str">
        <f t="shared" si="13"/>
        <v/>
      </c>
      <c r="F258" t="str">
        <f>IF(SUMIF(搜索词报告!$A$2:$A$22222,总体数据一览!A258,搜索词报告!$M$2:$M$22222)=0,"",SUMIF(搜索词报告!$A$2:$A$22222,总体数据一览!A258,搜索词报告!$M$2:$M$22222))</f>
        <v/>
      </c>
      <c r="G258" t="str">
        <f>IFERROR(IF(B258="","",SUMIF(搜索词报告!$A$2:$A$22222,总体数据一览!A258,搜索词报告!$V$2:$V$22222))+IF(B258="","",SUMIF(搜索词报告!$A$2:$A$22222,总体数据一览!A258,搜索词报告!$W$2:$W$22222)),"")</f>
        <v/>
      </c>
      <c r="H258" s="2" t="str">
        <f t="shared" si="14"/>
        <v/>
      </c>
    </row>
    <row r="259" spans="2:8" x14ac:dyDescent="0.15">
      <c r="B259" t="str">
        <f>IF(SUMIF(搜索词报告!$A$2:$A$22222,总体数据一览!A259,搜索词报告!$I$2:$I$22222)=0,"",SUMIF(搜索词报告!$A$2:$A$22222,总体数据一览!A259,搜索词报告!$I$2:$I$22222))</f>
        <v/>
      </c>
      <c r="C259" t="str">
        <f>IF(SUMIF(搜索词报告!$A$2:$A$22222,总体数据一览!A259,搜索词报告!$J$2:$J$22222)=0,"",SUMIF(搜索词报告!$A$2:$A$22222,总体数据一览!A259,搜索词报告!$J$2:$J$22222))</f>
        <v/>
      </c>
      <c r="D259" s="2" t="str">
        <f t="shared" si="12"/>
        <v/>
      </c>
      <c r="E259" t="str">
        <f t="shared" si="13"/>
        <v/>
      </c>
      <c r="F259" t="str">
        <f>IF(SUMIF(搜索词报告!$A$2:$A$22222,总体数据一览!A259,搜索词报告!$M$2:$M$22222)=0,"",SUMIF(搜索词报告!$A$2:$A$22222,总体数据一览!A259,搜索词报告!$M$2:$M$22222))</f>
        <v/>
      </c>
      <c r="G259" t="str">
        <f>IFERROR(IF(B259="","",SUMIF(搜索词报告!$A$2:$A$22222,总体数据一览!A259,搜索词报告!$V$2:$V$22222))+IF(B259="","",SUMIF(搜索词报告!$A$2:$A$22222,总体数据一览!A259,搜索词报告!$W$2:$W$22222)),"")</f>
        <v/>
      </c>
      <c r="H259" s="2" t="str">
        <f t="shared" si="14"/>
        <v/>
      </c>
    </row>
    <row r="260" spans="2:8" x14ac:dyDescent="0.15">
      <c r="B260" t="str">
        <f>IF(SUMIF(搜索词报告!$A$2:$A$22222,总体数据一览!A260,搜索词报告!$I$2:$I$22222)=0,"",SUMIF(搜索词报告!$A$2:$A$22222,总体数据一览!A260,搜索词报告!$I$2:$I$22222))</f>
        <v/>
      </c>
      <c r="C260" t="str">
        <f>IF(SUMIF(搜索词报告!$A$2:$A$22222,总体数据一览!A260,搜索词报告!$J$2:$J$22222)=0,"",SUMIF(搜索词报告!$A$2:$A$22222,总体数据一览!A260,搜索词报告!$J$2:$J$22222))</f>
        <v/>
      </c>
      <c r="D260" s="2" t="str">
        <f t="shared" si="12"/>
        <v/>
      </c>
      <c r="E260" t="str">
        <f t="shared" si="13"/>
        <v/>
      </c>
      <c r="F260" t="str">
        <f>IF(SUMIF(搜索词报告!$A$2:$A$22222,总体数据一览!A260,搜索词报告!$M$2:$M$22222)=0,"",SUMIF(搜索词报告!$A$2:$A$22222,总体数据一览!A260,搜索词报告!$M$2:$M$22222))</f>
        <v/>
      </c>
      <c r="G260" t="str">
        <f>IFERROR(IF(B260="","",SUMIF(搜索词报告!$A$2:$A$22222,总体数据一览!A260,搜索词报告!$V$2:$V$22222))+IF(B260="","",SUMIF(搜索词报告!$A$2:$A$22222,总体数据一览!A260,搜索词报告!$W$2:$W$22222)),"")</f>
        <v/>
      </c>
      <c r="H260" s="2" t="str">
        <f t="shared" si="14"/>
        <v/>
      </c>
    </row>
    <row r="261" spans="2:8" x14ac:dyDescent="0.15">
      <c r="B261" t="str">
        <f>IF(SUMIF(搜索词报告!$A$2:$A$22222,总体数据一览!A261,搜索词报告!$I$2:$I$22222)=0,"",SUMIF(搜索词报告!$A$2:$A$22222,总体数据一览!A261,搜索词报告!$I$2:$I$22222))</f>
        <v/>
      </c>
      <c r="C261" t="str">
        <f>IF(SUMIF(搜索词报告!$A$2:$A$22222,总体数据一览!A261,搜索词报告!$J$2:$J$22222)=0,"",SUMIF(搜索词报告!$A$2:$A$22222,总体数据一览!A261,搜索词报告!$J$2:$J$22222))</f>
        <v/>
      </c>
      <c r="D261" s="2" t="str">
        <f t="shared" si="12"/>
        <v/>
      </c>
      <c r="E261" t="str">
        <f t="shared" si="13"/>
        <v/>
      </c>
      <c r="F261" t="str">
        <f>IF(SUMIF(搜索词报告!$A$2:$A$22222,总体数据一览!A261,搜索词报告!$M$2:$M$22222)=0,"",SUMIF(搜索词报告!$A$2:$A$22222,总体数据一览!A261,搜索词报告!$M$2:$M$22222))</f>
        <v/>
      </c>
      <c r="G261" t="str">
        <f>IFERROR(IF(B261="","",SUMIF(搜索词报告!$A$2:$A$22222,总体数据一览!A261,搜索词报告!$V$2:$V$22222))+IF(B261="","",SUMIF(搜索词报告!$A$2:$A$22222,总体数据一览!A261,搜索词报告!$W$2:$W$22222)),"")</f>
        <v/>
      </c>
      <c r="H261" s="2" t="str">
        <f t="shared" si="14"/>
        <v/>
      </c>
    </row>
    <row r="262" spans="2:8" x14ac:dyDescent="0.15">
      <c r="B262" t="str">
        <f>IF(SUMIF(搜索词报告!$A$2:$A$22222,总体数据一览!A262,搜索词报告!$I$2:$I$22222)=0,"",SUMIF(搜索词报告!$A$2:$A$22222,总体数据一览!A262,搜索词报告!$I$2:$I$22222))</f>
        <v/>
      </c>
      <c r="C262" t="str">
        <f>IF(SUMIF(搜索词报告!$A$2:$A$22222,总体数据一览!A262,搜索词报告!$J$2:$J$22222)=0,"",SUMIF(搜索词报告!$A$2:$A$22222,总体数据一览!A262,搜索词报告!$J$2:$J$22222))</f>
        <v/>
      </c>
      <c r="D262" s="2" t="str">
        <f t="shared" si="12"/>
        <v/>
      </c>
      <c r="E262" t="str">
        <f t="shared" si="13"/>
        <v/>
      </c>
      <c r="F262" t="str">
        <f>IF(SUMIF(搜索词报告!$A$2:$A$22222,总体数据一览!A262,搜索词报告!$M$2:$M$22222)=0,"",SUMIF(搜索词报告!$A$2:$A$22222,总体数据一览!A262,搜索词报告!$M$2:$M$22222))</f>
        <v/>
      </c>
      <c r="G262" t="str">
        <f>IFERROR(IF(B262="","",SUMIF(搜索词报告!$A$2:$A$22222,总体数据一览!A262,搜索词报告!$V$2:$V$22222))+IF(B262="","",SUMIF(搜索词报告!$A$2:$A$22222,总体数据一览!A262,搜索词报告!$W$2:$W$22222)),"")</f>
        <v/>
      </c>
      <c r="H262" s="2" t="str">
        <f t="shared" si="14"/>
        <v/>
      </c>
    </row>
    <row r="263" spans="2:8" x14ac:dyDescent="0.15">
      <c r="B263" t="str">
        <f>IF(SUMIF(搜索词报告!$A$2:$A$22222,总体数据一览!A263,搜索词报告!$I$2:$I$22222)=0,"",SUMIF(搜索词报告!$A$2:$A$22222,总体数据一览!A263,搜索词报告!$I$2:$I$22222))</f>
        <v/>
      </c>
      <c r="C263" t="str">
        <f>IF(SUMIF(搜索词报告!$A$2:$A$22222,总体数据一览!A263,搜索词报告!$J$2:$J$22222)=0,"",SUMIF(搜索词报告!$A$2:$A$22222,总体数据一览!A263,搜索词报告!$J$2:$J$22222))</f>
        <v/>
      </c>
      <c r="D263" s="2" t="str">
        <f t="shared" si="12"/>
        <v/>
      </c>
      <c r="E263" t="str">
        <f t="shared" si="13"/>
        <v/>
      </c>
      <c r="F263" t="str">
        <f>IF(SUMIF(搜索词报告!$A$2:$A$22222,总体数据一览!A263,搜索词报告!$M$2:$M$22222)=0,"",SUMIF(搜索词报告!$A$2:$A$22222,总体数据一览!A263,搜索词报告!$M$2:$M$22222))</f>
        <v/>
      </c>
      <c r="G263" t="str">
        <f>IFERROR(IF(B263="","",SUMIF(搜索词报告!$A$2:$A$22222,总体数据一览!A263,搜索词报告!$V$2:$V$22222))+IF(B263="","",SUMIF(搜索词报告!$A$2:$A$22222,总体数据一览!A263,搜索词报告!$W$2:$W$22222)),"")</f>
        <v/>
      </c>
      <c r="H263" s="2" t="str">
        <f t="shared" si="14"/>
        <v/>
      </c>
    </row>
    <row r="264" spans="2:8" x14ac:dyDescent="0.15">
      <c r="B264" t="str">
        <f>IF(SUMIF(搜索词报告!$A$2:$A$22222,总体数据一览!A264,搜索词报告!$I$2:$I$22222)=0,"",SUMIF(搜索词报告!$A$2:$A$22222,总体数据一览!A264,搜索词报告!$I$2:$I$22222))</f>
        <v/>
      </c>
      <c r="C264" t="str">
        <f>IF(SUMIF(搜索词报告!$A$2:$A$22222,总体数据一览!A264,搜索词报告!$J$2:$J$22222)=0,"",SUMIF(搜索词报告!$A$2:$A$22222,总体数据一览!A264,搜索词报告!$J$2:$J$22222))</f>
        <v/>
      </c>
      <c r="D264" s="2" t="str">
        <f t="shared" si="12"/>
        <v/>
      </c>
      <c r="E264" t="str">
        <f t="shared" si="13"/>
        <v/>
      </c>
      <c r="F264" t="str">
        <f>IF(SUMIF(搜索词报告!$A$2:$A$22222,总体数据一览!A264,搜索词报告!$M$2:$M$22222)=0,"",SUMIF(搜索词报告!$A$2:$A$22222,总体数据一览!A264,搜索词报告!$M$2:$M$22222))</f>
        <v/>
      </c>
      <c r="G264" t="str">
        <f>IFERROR(IF(B264="","",SUMIF(搜索词报告!$A$2:$A$22222,总体数据一览!A264,搜索词报告!$V$2:$V$22222))+IF(B264="","",SUMIF(搜索词报告!$A$2:$A$22222,总体数据一览!A264,搜索词报告!$W$2:$W$22222)),"")</f>
        <v/>
      </c>
      <c r="H264" s="2" t="str">
        <f t="shared" si="14"/>
        <v/>
      </c>
    </row>
    <row r="265" spans="2:8" x14ac:dyDescent="0.15">
      <c r="B265" t="str">
        <f>IF(SUMIF(搜索词报告!$A$2:$A$22222,总体数据一览!A265,搜索词报告!$I$2:$I$22222)=0,"",SUMIF(搜索词报告!$A$2:$A$22222,总体数据一览!A265,搜索词报告!$I$2:$I$22222))</f>
        <v/>
      </c>
      <c r="C265" t="str">
        <f>IF(SUMIF(搜索词报告!$A$2:$A$22222,总体数据一览!A265,搜索词报告!$J$2:$J$22222)=0,"",SUMIF(搜索词报告!$A$2:$A$22222,总体数据一览!A265,搜索词报告!$J$2:$J$22222))</f>
        <v/>
      </c>
      <c r="D265" s="2" t="str">
        <f t="shared" si="12"/>
        <v/>
      </c>
      <c r="E265" t="str">
        <f t="shared" si="13"/>
        <v/>
      </c>
      <c r="F265" t="str">
        <f>IF(SUMIF(搜索词报告!$A$2:$A$22222,总体数据一览!A265,搜索词报告!$M$2:$M$22222)=0,"",SUMIF(搜索词报告!$A$2:$A$22222,总体数据一览!A265,搜索词报告!$M$2:$M$22222))</f>
        <v/>
      </c>
      <c r="G265" t="str">
        <f>IFERROR(IF(B265="","",SUMIF(搜索词报告!$A$2:$A$22222,总体数据一览!A265,搜索词报告!$V$2:$V$22222))+IF(B265="","",SUMIF(搜索词报告!$A$2:$A$22222,总体数据一览!A265,搜索词报告!$W$2:$W$22222)),"")</f>
        <v/>
      </c>
      <c r="H265" s="2" t="str">
        <f t="shared" si="14"/>
        <v/>
      </c>
    </row>
    <row r="266" spans="2:8" x14ac:dyDescent="0.15">
      <c r="B266" t="str">
        <f>IF(SUMIF(搜索词报告!$A$2:$A$22222,总体数据一览!A266,搜索词报告!$I$2:$I$22222)=0,"",SUMIF(搜索词报告!$A$2:$A$22222,总体数据一览!A266,搜索词报告!$I$2:$I$22222))</f>
        <v/>
      </c>
      <c r="C266" t="str">
        <f>IF(SUMIF(搜索词报告!$A$2:$A$22222,总体数据一览!A266,搜索词报告!$J$2:$J$22222)=0,"",SUMIF(搜索词报告!$A$2:$A$22222,总体数据一览!A266,搜索词报告!$J$2:$J$22222))</f>
        <v/>
      </c>
      <c r="D266" s="2" t="str">
        <f t="shared" si="12"/>
        <v/>
      </c>
      <c r="E266" t="str">
        <f t="shared" si="13"/>
        <v/>
      </c>
      <c r="F266" t="str">
        <f>IF(SUMIF(搜索词报告!$A$2:$A$22222,总体数据一览!A266,搜索词报告!$M$2:$M$22222)=0,"",SUMIF(搜索词报告!$A$2:$A$22222,总体数据一览!A266,搜索词报告!$M$2:$M$22222))</f>
        <v/>
      </c>
      <c r="G266" t="str">
        <f>IFERROR(IF(B266="","",SUMIF(搜索词报告!$A$2:$A$22222,总体数据一览!A266,搜索词报告!$V$2:$V$22222))+IF(B266="","",SUMIF(搜索词报告!$A$2:$A$22222,总体数据一览!A266,搜索词报告!$W$2:$W$22222)),"")</f>
        <v/>
      </c>
      <c r="H266" s="2" t="str">
        <f t="shared" si="14"/>
        <v/>
      </c>
    </row>
    <row r="267" spans="2:8" x14ac:dyDescent="0.15">
      <c r="B267" t="str">
        <f>IF(SUMIF(搜索词报告!$A$2:$A$22222,总体数据一览!A267,搜索词报告!$I$2:$I$22222)=0,"",SUMIF(搜索词报告!$A$2:$A$22222,总体数据一览!A267,搜索词报告!$I$2:$I$22222))</f>
        <v/>
      </c>
      <c r="C267" t="str">
        <f>IF(SUMIF(搜索词报告!$A$2:$A$22222,总体数据一览!A267,搜索词报告!$J$2:$J$22222)=0,"",SUMIF(搜索词报告!$A$2:$A$22222,总体数据一览!A267,搜索词报告!$J$2:$J$22222))</f>
        <v/>
      </c>
      <c r="D267" s="2" t="str">
        <f t="shared" si="12"/>
        <v/>
      </c>
      <c r="E267" t="str">
        <f t="shared" si="13"/>
        <v/>
      </c>
      <c r="F267" t="str">
        <f>IF(SUMIF(搜索词报告!$A$2:$A$22222,总体数据一览!A267,搜索词报告!$M$2:$M$22222)=0,"",SUMIF(搜索词报告!$A$2:$A$22222,总体数据一览!A267,搜索词报告!$M$2:$M$22222))</f>
        <v/>
      </c>
      <c r="G267" t="str">
        <f>IFERROR(IF(B267="","",SUMIF(搜索词报告!$A$2:$A$22222,总体数据一览!A267,搜索词报告!$V$2:$V$22222))+IF(B267="","",SUMIF(搜索词报告!$A$2:$A$22222,总体数据一览!A267,搜索词报告!$W$2:$W$22222)),"")</f>
        <v/>
      </c>
      <c r="H267" s="2" t="str">
        <f t="shared" si="14"/>
        <v/>
      </c>
    </row>
    <row r="268" spans="2:8" x14ac:dyDescent="0.15">
      <c r="B268" t="str">
        <f>IF(SUMIF(搜索词报告!$A$2:$A$22222,总体数据一览!A268,搜索词报告!$I$2:$I$22222)=0,"",SUMIF(搜索词报告!$A$2:$A$22222,总体数据一览!A268,搜索词报告!$I$2:$I$22222))</f>
        <v/>
      </c>
      <c r="C268" t="str">
        <f>IF(SUMIF(搜索词报告!$A$2:$A$22222,总体数据一览!A268,搜索词报告!$J$2:$J$22222)=0,"",SUMIF(搜索词报告!$A$2:$A$22222,总体数据一览!A268,搜索词报告!$J$2:$J$22222))</f>
        <v/>
      </c>
      <c r="D268" s="2" t="str">
        <f t="shared" si="12"/>
        <v/>
      </c>
      <c r="E268" t="str">
        <f t="shared" si="13"/>
        <v/>
      </c>
      <c r="F268" t="str">
        <f>IF(SUMIF(搜索词报告!$A$2:$A$22222,总体数据一览!A268,搜索词报告!$M$2:$M$22222)=0,"",SUMIF(搜索词报告!$A$2:$A$22222,总体数据一览!A268,搜索词报告!$M$2:$M$22222))</f>
        <v/>
      </c>
      <c r="G268" t="str">
        <f>IFERROR(IF(B268="","",SUMIF(搜索词报告!$A$2:$A$22222,总体数据一览!A268,搜索词报告!$V$2:$V$22222))+IF(B268="","",SUMIF(搜索词报告!$A$2:$A$22222,总体数据一览!A268,搜索词报告!$W$2:$W$22222)),"")</f>
        <v/>
      </c>
      <c r="H268" s="2" t="str">
        <f t="shared" si="14"/>
        <v/>
      </c>
    </row>
    <row r="269" spans="2:8" x14ac:dyDescent="0.15">
      <c r="B269" t="str">
        <f>IF(SUMIF(搜索词报告!$A$2:$A$22222,总体数据一览!A269,搜索词报告!$I$2:$I$22222)=0,"",SUMIF(搜索词报告!$A$2:$A$22222,总体数据一览!A269,搜索词报告!$I$2:$I$22222))</f>
        <v/>
      </c>
      <c r="C269" t="str">
        <f>IF(SUMIF(搜索词报告!$A$2:$A$22222,总体数据一览!A269,搜索词报告!$J$2:$J$22222)=0,"",SUMIF(搜索词报告!$A$2:$A$22222,总体数据一览!A269,搜索词报告!$J$2:$J$22222))</f>
        <v/>
      </c>
      <c r="D269" s="2" t="str">
        <f t="shared" si="12"/>
        <v/>
      </c>
      <c r="E269" t="str">
        <f t="shared" si="13"/>
        <v/>
      </c>
      <c r="F269" t="str">
        <f>IF(SUMIF(搜索词报告!$A$2:$A$22222,总体数据一览!A269,搜索词报告!$M$2:$M$22222)=0,"",SUMIF(搜索词报告!$A$2:$A$22222,总体数据一览!A269,搜索词报告!$M$2:$M$22222))</f>
        <v/>
      </c>
      <c r="G269" t="str">
        <f>IFERROR(IF(B269="","",SUMIF(搜索词报告!$A$2:$A$22222,总体数据一览!A269,搜索词报告!$V$2:$V$22222))+IF(B269="","",SUMIF(搜索词报告!$A$2:$A$22222,总体数据一览!A269,搜索词报告!$W$2:$W$22222)),"")</f>
        <v/>
      </c>
      <c r="H269" s="2" t="str">
        <f t="shared" si="14"/>
        <v/>
      </c>
    </row>
    <row r="270" spans="2:8" x14ac:dyDescent="0.15">
      <c r="B270" t="str">
        <f>IF(SUMIF(搜索词报告!$A$2:$A$22222,总体数据一览!A270,搜索词报告!$I$2:$I$22222)=0,"",SUMIF(搜索词报告!$A$2:$A$22222,总体数据一览!A270,搜索词报告!$I$2:$I$22222))</f>
        <v/>
      </c>
      <c r="C270" t="str">
        <f>IF(SUMIF(搜索词报告!$A$2:$A$22222,总体数据一览!A270,搜索词报告!$J$2:$J$22222)=0,"",SUMIF(搜索词报告!$A$2:$A$22222,总体数据一览!A270,搜索词报告!$J$2:$J$22222))</f>
        <v/>
      </c>
      <c r="D270" s="2" t="str">
        <f t="shared" si="12"/>
        <v/>
      </c>
      <c r="E270" t="str">
        <f t="shared" si="13"/>
        <v/>
      </c>
      <c r="F270" t="str">
        <f>IF(SUMIF(搜索词报告!$A$2:$A$22222,总体数据一览!A270,搜索词报告!$M$2:$M$22222)=0,"",SUMIF(搜索词报告!$A$2:$A$22222,总体数据一览!A270,搜索词报告!$M$2:$M$22222))</f>
        <v/>
      </c>
      <c r="G270" t="str">
        <f>IFERROR(IF(B270="","",SUMIF(搜索词报告!$A$2:$A$22222,总体数据一览!A270,搜索词报告!$V$2:$V$22222))+IF(B270="","",SUMIF(搜索词报告!$A$2:$A$22222,总体数据一览!A270,搜索词报告!$W$2:$W$22222)),"")</f>
        <v/>
      </c>
      <c r="H270" s="2" t="str">
        <f t="shared" si="14"/>
        <v/>
      </c>
    </row>
    <row r="271" spans="2:8" x14ac:dyDescent="0.15">
      <c r="B271" t="str">
        <f>IF(SUMIF(搜索词报告!$A$2:$A$22222,总体数据一览!A271,搜索词报告!$I$2:$I$22222)=0,"",SUMIF(搜索词报告!$A$2:$A$22222,总体数据一览!A271,搜索词报告!$I$2:$I$22222))</f>
        <v/>
      </c>
      <c r="C271" t="str">
        <f>IF(SUMIF(搜索词报告!$A$2:$A$22222,总体数据一览!A271,搜索词报告!$J$2:$J$22222)=0,"",SUMIF(搜索词报告!$A$2:$A$22222,总体数据一览!A271,搜索词报告!$J$2:$J$22222))</f>
        <v/>
      </c>
      <c r="D271" s="2" t="str">
        <f t="shared" si="12"/>
        <v/>
      </c>
      <c r="E271" t="str">
        <f t="shared" si="13"/>
        <v/>
      </c>
      <c r="F271" t="str">
        <f>IF(SUMIF(搜索词报告!$A$2:$A$22222,总体数据一览!A271,搜索词报告!$M$2:$M$22222)=0,"",SUMIF(搜索词报告!$A$2:$A$22222,总体数据一览!A271,搜索词报告!$M$2:$M$22222))</f>
        <v/>
      </c>
      <c r="G271" t="str">
        <f>IFERROR(IF(B271="","",SUMIF(搜索词报告!$A$2:$A$22222,总体数据一览!A271,搜索词报告!$V$2:$V$22222))+IF(B271="","",SUMIF(搜索词报告!$A$2:$A$22222,总体数据一览!A271,搜索词报告!$W$2:$W$22222)),"")</f>
        <v/>
      </c>
      <c r="H271" s="2" t="str">
        <f t="shared" si="14"/>
        <v/>
      </c>
    </row>
    <row r="272" spans="2:8" x14ac:dyDescent="0.15">
      <c r="B272" t="str">
        <f>IF(SUMIF(搜索词报告!$A$2:$A$22222,总体数据一览!A272,搜索词报告!$I$2:$I$22222)=0,"",SUMIF(搜索词报告!$A$2:$A$22222,总体数据一览!A272,搜索词报告!$I$2:$I$22222))</f>
        <v/>
      </c>
      <c r="C272" t="str">
        <f>IF(SUMIF(搜索词报告!$A$2:$A$22222,总体数据一览!A272,搜索词报告!$J$2:$J$22222)=0,"",SUMIF(搜索词报告!$A$2:$A$22222,总体数据一览!A272,搜索词报告!$J$2:$J$22222))</f>
        <v/>
      </c>
      <c r="D272" s="2" t="str">
        <f t="shared" si="12"/>
        <v/>
      </c>
      <c r="E272" t="str">
        <f t="shared" si="13"/>
        <v/>
      </c>
      <c r="F272" t="str">
        <f>IF(SUMIF(搜索词报告!$A$2:$A$22222,总体数据一览!A272,搜索词报告!$M$2:$M$22222)=0,"",SUMIF(搜索词报告!$A$2:$A$22222,总体数据一览!A272,搜索词报告!$M$2:$M$22222))</f>
        <v/>
      </c>
      <c r="G272" t="str">
        <f>IFERROR(IF(B272="","",SUMIF(搜索词报告!$A$2:$A$22222,总体数据一览!A272,搜索词报告!$V$2:$V$22222))+IF(B272="","",SUMIF(搜索词报告!$A$2:$A$22222,总体数据一览!A272,搜索词报告!$W$2:$W$22222)),"")</f>
        <v/>
      </c>
      <c r="H272" s="2" t="str">
        <f t="shared" si="14"/>
        <v/>
      </c>
    </row>
    <row r="273" spans="2:8" x14ac:dyDescent="0.15">
      <c r="B273" t="str">
        <f>IF(SUMIF(搜索词报告!$A$2:$A$22222,总体数据一览!A273,搜索词报告!$I$2:$I$22222)=0,"",SUMIF(搜索词报告!$A$2:$A$22222,总体数据一览!A273,搜索词报告!$I$2:$I$22222))</f>
        <v/>
      </c>
      <c r="C273" t="str">
        <f>IF(SUMIF(搜索词报告!$A$2:$A$22222,总体数据一览!A273,搜索词报告!$J$2:$J$22222)=0,"",SUMIF(搜索词报告!$A$2:$A$22222,总体数据一览!A273,搜索词报告!$J$2:$J$22222))</f>
        <v/>
      </c>
      <c r="D273" s="2" t="str">
        <f t="shared" si="12"/>
        <v/>
      </c>
      <c r="E273" t="str">
        <f t="shared" si="13"/>
        <v/>
      </c>
      <c r="F273" t="str">
        <f>IF(SUMIF(搜索词报告!$A$2:$A$22222,总体数据一览!A273,搜索词报告!$M$2:$M$22222)=0,"",SUMIF(搜索词报告!$A$2:$A$22222,总体数据一览!A273,搜索词报告!$M$2:$M$22222))</f>
        <v/>
      </c>
      <c r="G273" t="str">
        <f>IFERROR(IF(B273="","",SUMIF(搜索词报告!$A$2:$A$22222,总体数据一览!A273,搜索词报告!$V$2:$V$22222))+IF(B273="","",SUMIF(搜索词报告!$A$2:$A$22222,总体数据一览!A273,搜索词报告!$W$2:$W$22222)),"")</f>
        <v/>
      </c>
      <c r="H273" s="2" t="str">
        <f t="shared" si="14"/>
        <v/>
      </c>
    </row>
    <row r="274" spans="2:8" x14ac:dyDescent="0.15">
      <c r="B274" t="str">
        <f>IF(SUMIF(搜索词报告!$A$2:$A$22222,总体数据一览!A274,搜索词报告!$I$2:$I$22222)=0,"",SUMIF(搜索词报告!$A$2:$A$22222,总体数据一览!A274,搜索词报告!$I$2:$I$22222))</f>
        <v/>
      </c>
      <c r="C274" t="str">
        <f>IF(SUMIF(搜索词报告!$A$2:$A$22222,总体数据一览!A274,搜索词报告!$J$2:$J$22222)=0,"",SUMIF(搜索词报告!$A$2:$A$22222,总体数据一览!A274,搜索词报告!$J$2:$J$22222))</f>
        <v/>
      </c>
      <c r="D274" s="2" t="str">
        <f t="shared" si="12"/>
        <v/>
      </c>
      <c r="E274" t="str">
        <f t="shared" si="13"/>
        <v/>
      </c>
      <c r="F274" t="str">
        <f>IF(SUMIF(搜索词报告!$A$2:$A$22222,总体数据一览!A274,搜索词报告!$M$2:$M$22222)=0,"",SUMIF(搜索词报告!$A$2:$A$22222,总体数据一览!A274,搜索词报告!$M$2:$M$22222))</f>
        <v/>
      </c>
      <c r="G274" t="str">
        <f>IFERROR(IF(B274="","",SUMIF(搜索词报告!$A$2:$A$22222,总体数据一览!A274,搜索词报告!$V$2:$V$22222))+IF(B274="","",SUMIF(搜索词报告!$A$2:$A$22222,总体数据一览!A274,搜索词报告!$W$2:$W$22222)),"")</f>
        <v/>
      </c>
      <c r="H274" s="2" t="str">
        <f t="shared" si="14"/>
        <v/>
      </c>
    </row>
    <row r="275" spans="2:8" x14ac:dyDescent="0.15">
      <c r="B275" t="str">
        <f>IF(SUMIF(搜索词报告!$A$2:$A$22222,总体数据一览!A275,搜索词报告!$I$2:$I$22222)=0,"",SUMIF(搜索词报告!$A$2:$A$22222,总体数据一览!A275,搜索词报告!$I$2:$I$22222))</f>
        <v/>
      </c>
      <c r="C275" t="str">
        <f>IF(SUMIF(搜索词报告!$A$2:$A$22222,总体数据一览!A275,搜索词报告!$J$2:$J$22222)=0,"",SUMIF(搜索词报告!$A$2:$A$22222,总体数据一览!A275,搜索词报告!$J$2:$J$22222))</f>
        <v/>
      </c>
      <c r="D275" s="2" t="str">
        <f t="shared" si="12"/>
        <v/>
      </c>
      <c r="E275" t="str">
        <f t="shared" si="13"/>
        <v/>
      </c>
      <c r="F275" t="str">
        <f>IF(SUMIF(搜索词报告!$A$2:$A$22222,总体数据一览!A275,搜索词报告!$M$2:$M$22222)=0,"",SUMIF(搜索词报告!$A$2:$A$22222,总体数据一览!A275,搜索词报告!$M$2:$M$22222))</f>
        <v/>
      </c>
      <c r="G275" t="str">
        <f>IFERROR(IF(B275="","",SUMIF(搜索词报告!$A$2:$A$22222,总体数据一览!A275,搜索词报告!$V$2:$V$22222))+IF(B275="","",SUMIF(搜索词报告!$A$2:$A$22222,总体数据一览!A275,搜索词报告!$W$2:$W$22222)),"")</f>
        <v/>
      </c>
      <c r="H275" s="2" t="str">
        <f t="shared" si="14"/>
        <v/>
      </c>
    </row>
    <row r="276" spans="2:8" x14ac:dyDescent="0.15">
      <c r="B276" t="str">
        <f>IF(SUMIF(搜索词报告!$A$2:$A$22222,总体数据一览!A276,搜索词报告!$I$2:$I$22222)=0,"",SUMIF(搜索词报告!$A$2:$A$22222,总体数据一览!A276,搜索词报告!$I$2:$I$22222))</f>
        <v/>
      </c>
      <c r="C276" t="str">
        <f>IF(SUMIF(搜索词报告!$A$2:$A$22222,总体数据一览!A276,搜索词报告!$J$2:$J$22222)=0,"",SUMIF(搜索词报告!$A$2:$A$22222,总体数据一览!A276,搜索词报告!$J$2:$J$22222))</f>
        <v/>
      </c>
      <c r="D276" s="2" t="str">
        <f t="shared" ref="D276:D339" si="15">IFERROR(ROUND(C276/B276,4),"")</f>
        <v/>
      </c>
      <c r="E276" t="str">
        <f t="shared" ref="E276:E339" si="16">IFERROR(ROUND(F276/C276,2),"")</f>
        <v/>
      </c>
      <c r="F276" t="str">
        <f>IF(SUMIF(搜索词报告!$A$2:$A$22222,总体数据一览!A276,搜索词报告!$M$2:$M$22222)=0,"",SUMIF(搜索词报告!$A$2:$A$22222,总体数据一览!A276,搜索词报告!$M$2:$M$22222))</f>
        <v/>
      </c>
      <c r="G276" t="str">
        <f>IFERROR(IF(B276="","",SUMIF(搜索词报告!$A$2:$A$22222,总体数据一览!A276,搜索词报告!$V$2:$V$22222))+IF(B276="","",SUMIF(搜索词报告!$A$2:$A$22222,总体数据一览!A276,搜索词报告!$W$2:$W$22222)),"")</f>
        <v/>
      </c>
      <c r="H276" s="2" t="str">
        <f t="shared" ref="H276:H339" si="17">IFERROR(ROUND(F276/G276,2),"")</f>
        <v/>
      </c>
    </row>
    <row r="277" spans="2:8" x14ac:dyDescent="0.15">
      <c r="B277" t="str">
        <f>IF(SUMIF(搜索词报告!$A$2:$A$22222,总体数据一览!A277,搜索词报告!$I$2:$I$22222)=0,"",SUMIF(搜索词报告!$A$2:$A$22222,总体数据一览!A277,搜索词报告!$I$2:$I$22222))</f>
        <v/>
      </c>
      <c r="C277" t="str">
        <f>IF(SUMIF(搜索词报告!$A$2:$A$22222,总体数据一览!A277,搜索词报告!$J$2:$J$22222)=0,"",SUMIF(搜索词报告!$A$2:$A$22222,总体数据一览!A277,搜索词报告!$J$2:$J$22222))</f>
        <v/>
      </c>
      <c r="D277" s="2" t="str">
        <f t="shared" si="15"/>
        <v/>
      </c>
      <c r="E277" t="str">
        <f t="shared" si="16"/>
        <v/>
      </c>
      <c r="F277" t="str">
        <f>IF(SUMIF(搜索词报告!$A$2:$A$22222,总体数据一览!A277,搜索词报告!$M$2:$M$22222)=0,"",SUMIF(搜索词报告!$A$2:$A$22222,总体数据一览!A277,搜索词报告!$M$2:$M$22222))</f>
        <v/>
      </c>
      <c r="G277" t="str">
        <f>IFERROR(IF(B277="","",SUMIF(搜索词报告!$A$2:$A$22222,总体数据一览!A277,搜索词报告!$V$2:$V$22222))+IF(B277="","",SUMIF(搜索词报告!$A$2:$A$22222,总体数据一览!A277,搜索词报告!$W$2:$W$22222)),"")</f>
        <v/>
      </c>
      <c r="H277" s="2" t="str">
        <f t="shared" si="17"/>
        <v/>
      </c>
    </row>
    <row r="278" spans="2:8" x14ac:dyDescent="0.15">
      <c r="B278" t="str">
        <f>IF(SUMIF(搜索词报告!$A$2:$A$22222,总体数据一览!A278,搜索词报告!$I$2:$I$22222)=0,"",SUMIF(搜索词报告!$A$2:$A$22222,总体数据一览!A278,搜索词报告!$I$2:$I$22222))</f>
        <v/>
      </c>
      <c r="C278" t="str">
        <f>IF(SUMIF(搜索词报告!$A$2:$A$22222,总体数据一览!A278,搜索词报告!$J$2:$J$22222)=0,"",SUMIF(搜索词报告!$A$2:$A$22222,总体数据一览!A278,搜索词报告!$J$2:$J$22222))</f>
        <v/>
      </c>
      <c r="D278" s="2" t="str">
        <f t="shared" si="15"/>
        <v/>
      </c>
      <c r="E278" t="str">
        <f t="shared" si="16"/>
        <v/>
      </c>
      <c r="F278" t="str">
        <f>IF(SUMIF(搜索词报告!$A$2:$A$22222,总体数据一览!A278,搜索词报告!$M$2:$M$22222)=0,"",SUMIF(搜索词报告!$A$2:$A$22222,总体数据一览!A278,搜索词报告!$M$2:$M$22222))</f>
        <v/>
      </c>
      <c r="G278" t="str">
        <f>IFERROR(IF(B278="","",SUMIF(搜索词报告!$A$2:$A$22222,总体数据一览!A278,搜索词报告!$V$2:$V$22222))+IF(B278="","",SUMIF(搜索词报告!$A$2:$A$22222,总体数据一览!A278,搜索词报告!$W$2:$W$22222)),"")</f>
        <v/>
      </c>
      <c r="H278" s="2" t="str">
        <f t="shared" si="17"/>
        <v/>
      </c>
    </row>
    <row r="279" spans="2:8" x14ac:dyDescent="0.15">
      <c r="B279" t="str">
        <f>IF(SUMIF(搜索词报告!$A$2:$A$22222,总体数据一览!A279,搜索词报告!$I$2:$I$22222)=0,"",SUMIF(搜索词报告!$A$2:$A$22222,总体数据一览!A279,搜索词报告!$I$2:$I$22222))</f>
        <v/>
      </c>
      <c r="C279" t="str">
        <f>IF(SUMIF(搜索词报告!$A$2:$A$22222,总体数据一览!A279,搜索词报告!$J$2:$J$22222)=0,"",SUMIF(搜索词报告!$A$2:$A$22222,总体数据一览!A279,搜索词报告!$J$2:$J$22222))</f>
        <v/>
      </c>
      <c r="D279" s="2" t="str">
        <f t="shared" si="15"/>
        <v/>
      </c>
      <c r="E279" t="str">
        <f t="shared" si="16"/>
        <v/>
      </c>
      <c r="F279" t="str">
        <f>IF(SUMIF(搜索词报告!$A$2:$A$22222,总体数据一览!A279,搜索词报告!$M$2:$M$22222)=0,"",SUMIF(搜索词报告!$A$2:$A$22222,总体数据一览!A279,搜索词报告!$M$2:$M$22222))</f>
        <v/>
      </c>
      <c r="G279" t="str">
        <f>IFERROR(IF(B279="","",SUMIF(搜索词报告!$A$2:$A$22222,总体数据一览!A279,搜索词报告!$V$2:$V$22222))+IF(B279="","",SUMIF(搜索词报告!$A$2:$A$22222,总体数据一览!A279,搜索词报告!$W$2:$W$22222)),"")</f>
        <v/>
      </c>
      <c r="H279" s="2" t="str">
        <f t="shared" si="17"/>
        <v/>
      </c>
    </row>
    <row r="280" spans="2:8" x14ac:dyDescent="0.15">
      <c r="B280" t="str">
        <f>IF(SUMIF(搜索词报告!$A$2:$A$22222,总体数据一览!A280,搜索词报告!$I$2:$I$22222)=0,"",SUMIF(搜索词报告!$A$2:$A$22222,总体数据一览!A280,搜索词报告!$I$2:$I$22222))</f>
        <v/>
      </c>
      <c r="C280" t="str">
        <f>IF(SUMIF(搜索词报告!$A$2:$A$22222,总体数据一览!A280,搜索词报告!$J$2:$J$22222)=0,"",SUMIF(搜索词报告!$A$2:$A$22222,总体数据一览!A280,搜索词报告!$J$2:$J$22222))</f>
        <v/>
      </c>
      <c r="D280" s="2" t="str">
        <f t="shared" si="15"/>
        <v/>
      </c>
      <c r="E280" t="str">
        <f t="shared" si="16"/>
        <v/>
      </c>
      <c r="F280" t="str">
        <f>IF(SUMIF(搜索词报告!$A$2:$A$22222,总体数据一览!A280,搜索词报告!$M$2:$M$22222)=0,"",SUMIF(搜索词报告!$A$2:$A$22222,总体数据一览!A280,搜索词报告!$M$2:$M$22222))</f>
        <v/>
      </c>
      <c r="G280" t="str">
        <f>IFERROR(IF(B280="","",SUMIF(搜索词报告!$A$2:$A$22222,总体数据一览!A280,搜索词报告!$V$2:$V$22222))+IF(B280="","",SUMIF(搜索词报告!$A$2:$A$22222,总体数据一览!A280,搜索词报告!$W$2:$W$22222)),"")</f>
        <v/>
      </c>
      <c r="H280" s="2" t="str">
        <f t="shared" si="17"/>
        <v/>
      </c>
    </row>
    <row r="281" spans="2:8" x14ac:dyDescent="0.15">
      <c r="B281" t="str">
        <f>IF(SUMIF(搜索词报告!$A$2:$A$22222,总体数据一览!A281,搜索词报告!$I$2:$I$22222)=0,"",SUMIF(搜索词报告!$A$2:$A$22222,总体数据一览!A281,搜索词报告!$I$2:$I$22222))</f>
        <v/>
      </c>
      <c r="C281" t="str">
        <f>IF(SUMIF(搜索词报告!$A$2:$A$22222,总体数据一览!A281,搜索词报告!$J$2:$J$22222)=0,"",SUMIF(搜索词报告!$A$2:$A$22222,总体数据一览!A281,搜索词报告!$J$2:$J$22222))</f>
        <v/>
      </c>
      <c r="D281" s="2" t="str">
        <f t="shared" si="15"/>
        <v/>
      </c>
      <c r="E281" t="str">
        <f t="shared" si="16"/>
        <v/>
      </c>
      <c r="F281" t="str">
        <f>IF(SUMIF(搜索词报告!$A$2:$A$22222,总体数据一览!A281,搜索词报告!$M$2:$M$22222)=0,"",SUMIF(搜索词报告!$A$2:$A$22222,总体数据一览!A281,搜索词报告!$M$2:$M$22222))</f>
        <v/>
      </c>
      <c r="G281" t="str">
        <f>IFERROR(IF(B281="","",SUMIF(搜索词报告!$A$2:$A$22222,总体数据一览!A281,搜索词报告!$V$2:$V$22222))+IF(B281="","",SUMIF(搜索词报告!$A$2:$A$22222,总体数据一览!A281,搜索词报告!$W$2:$W$22222)),"")</f>
        <v/>
      </c>
      <c r="H281" s="2" t="str">
        <f t="shared" si="17"/>
        <v/>
      </c>
    </row>
    <row r="282" spans="2:8" x14ac:dyDescent="0.15">
      <c r="B282" t="str">
        <f>IF(SUMIF(搜索词报告!$A$2:$A$22222,总体数据一览!A282,搜索词报告!$I$2:$I$22222)=0,"",SUMIF(搜索词报告!$A$2:$A$22222,总体数据一览!A282,搜索词报告!$I$2:$I$22222))</f>
        <v/>
      </c>
      <c r="C282" t="str">
        <f>IF(SUMIF(搜索词报告!$A$2:$A$22222,总体数据一览!A282,搜索词报告!$J$2:$J$22222)=0,"",SUMIF(搜索词报告!$A$2:$A$22222,总体数据一览!A282,搜索词报告!$J$2:$J$22222))</f>
        <v/>
      </c>
      <c r="D282" s="2" t="str">
        <f t="shared" si="15"/>
        <v/>
      </c>
      <c r="E282" t="str">
        <f t="shared" si="16"/>
        <v/>
      </c>
      <c r="F282" t="str">
        <f>IF(SUMIF(搜索词报告!$A$2:$A$22222,总体数据一览!A282,搜索词报告!$M$2:$M$22222)=0,"",SUMIF(搜索词报告!$A$2:$A$22222,总体数据一览!A282,搜索词报告!$M$2:$M$22222))</f>
        <v/>
      </c>
      <c r="G282" t="str">
        <f>IFERROR(IF(B282="","",SUMIF(搜索词报告!$A$2:$A$22222,总体数据一览!A282,搜索词报告!$V$2:$V$22222))+IF(B282="","",SUMIF(搜索词报告!$A$2:$A$22222,总体数据一览!A282,搜索词报告!$W$2:$W$22222)),"")</f>
        <v/>
      </c>
      <c r="H282" s="2" t="str">
        <f t="shared" si="17"/>
        <v/>
      </c>
    </row>
    <row r="283" spans="2:8" x14ac:dyDescent="0.15">
      <c r="B283" t="str">
        <f>IF(SUMIF(搜索词报告!$A$2:$A$22222,总体数据一览!A283,搜索词报告!$I$2:$I$22222)=0,"",SUMIF(搜索词报告!$A$2:$A$22222,总体数据一览!A283,搜索词报告!$I$2:$I$22222))</f>
        <v/>
      </c>
      <c r="C283" t="str">
        <f>IF(SUMIF(搜索词报告!$A$2:$A$22222,总体数据一览!A283,搜索词报告!$J$2:$J$22222)=0,"",SUMIF(搜索词报告!$A$2:$A$22222,总体数据一览!A283,搜索词报告!$J$2:$J$22222))</f>
        <v/>
      </c>
      <c r="D283" s="2" t="str">
        <f t="shared" si="15"/>
        <v/>
      </c>
      <c r="E283" t="str">
        <f t="shared" si="16"/>
        <v/>
      </c>
      <c r="F283" t="str">
        <f>IF(SUMIF(搜索词报告!$A$2:$A$22222,总体数据一览!A283,搜索词报告!$M$2:$M$22222)=0,"",SUMIF(搜索词报告!$A$2:$A$22222,总体数据一览!A283,搜索词报告!$M$2:$M$22222))</f>
        <v/>
      </c>
      <c r="G283" t="str">
        <f>IFERROR(IF(B283="","",SUMIF(搜索词报告!$A$2:$A$22222,总体数据一览!A283,搜索词报告!$V$2:$V$22222))+IF(B283="","",SUMIF(搜索词报告!$A$2:$A$22222,总体数据一览!A283,搜索词报告!$W$2:$W$22222)),"")</f>
        <v/>
      </c>
      <c r="H283" s="2" t="str">
        <f t="shared" si="17"/>
        <v/>
      </c>
    </row>
    <row r="284" spans="2:8" x14ac:dyDescent="0.15">
      <c r="B284" t="str">
        <f>IF(SUMIF(搜索词报告!$A$2:$A$22222,总体数据一览!A284,搜索词报告!$I$2:$I$22222)=0,"",SUMIF(搜索词报告!$A$2:$A$22222,总体数据一览!A284,搜索词报告!$I$2:$I$22222))</f>
        <v/>
      </c>
      <c r="C284" t="str">
        <f>IF(SUMIF(搜索词报告!$A$2:$A$22222,总体数据一览!A284,搜索词报告!$J$2:$J$22222)=0,"",SUMIF(搜索词报告!$A$2:$A$22222,总体数据一览!A284,搜索词报告!$J$2:$J$22222))</f>
        <v/>
      </c>
      <c r="D284" s="2" t="str">
        <f t="shared" si="15"/>
        <v/>
      </c>
      <c r="E284" t="str">
        <f t="shared" si="16"/>
        <v/>
      </c>
      <c r="F284" t="str">
        <f>IF(SUMIF(搜索词报告!$A$2:$A$22222,总体数据一览!A284,搜索词报告!$M$2:$M$22222)=0,"",SUMIF(搜索词报告!$A$2:$A$22222,总体数据一览!A284,搜索词报告!$M$2:$M$22222))</f>
        <v/>
      </c>
      <c r="G284" t="str">
        <f>IFERROR(IF(B284="","",SUMIF(搜索词报告!$A$2:$A$22222,总体数据一览!A284,搜索词报告!$V$2:$V$22222))+IF(B284="","",SUMIF(搜索词报告!$A$2:$A$22222,总体数据一览!A284,搜索词报告!$W$2:$W$22222)),"")</f>
        <v/>
      </c>
      <c r="H284" s="2" t="str">
        <f t="shared" si="17"/>
        <v/>
      </c>
    </row>
    <row r="285" spans="2:8" x14ac:dyDescent="0.15">
      <c r="B285" t="str">
        <f>IF(SUMIF(搜索词报告!$A$2:$A$22222,总体数据一览!A285,搜索词报告!$I$2:$I$22222)=0,"",SUMIF(搜索词报告!$A$2:$A$22222,总体数据一览!A285,搜索词报告!$I$2:$I$22222))</f>
        <v/>
      </c>
      <c r="C285" t="str">
        <f>IF(SUMIF(搜索词报告!$A$2:$A$22222,总体数据一览!A285,搜索词报告!$J$2:$J$22222)=0,"",SUMIF(搜索词报告!$A$2:$A$22222,总体数据一览!A285,搜索词报告!$J$2:$J$22222))</f>
        <v/>
      </c>
      <c r="D285" s="2" t="str">
        <f t="shared" si="15"/>
        <v/>
      </c>
      <c r="E285" t="str">
        <f t="shared" si="16"/>
        <v/>
      </c>
      <c r="F285" t="str">
        <f>IF(SUMIF(搜索词报告!$A$2:$A$22222,总体数据一览!A285,搜索词报告!$M$2:$M$22222)=0,"",SUMIF(搜索词报告!$A$2:$A$22222,总体数据一览!A285,搜索词报告!$M$2:$M$22222))</f>
        <v/>
      </c>
      <c r="G285" t="str">
        <f>IFERROR(IF(B285="","",SUMIF(搜索词报告!$A$2:$A$22222,总体数据一览!A285,搜索词报告!$V$2:$V$22222))+IF(B285="","",SUMIF(搜索词报告!$A$2:$A$22222,总体数据一览!A285,搜索词报告!$W$2:$W$22222)),"")</f>
        <v/>
      </c>
      <c r="H285" s="2" t="str">
        <f t="shared" si="17"/>
        <v/>
      </c>
    </row>
    <row r="286" spans="2:8" x14ac:dyDescent="0.15">
      <c r="B286" t="str">
        <f>IF(SUMIF(搜索词报告!$A$2:$A$22222,总体数据一览!A286,搜索词报告!$I$2:$I$22222)=0,"",SUMIF(搜索词报告!$A$2:$A$22222,总体数据一览!A286,搜索词报告!$I$2:$I$22222))</f>
        <v/>
      </c>
      <c r="C286" t="str">
        <f>IF(SUMIF(搜索词报告!$A$2:$A$22222,总体数据一览!A286,搜索词报告!$J$2:$J$22222)=0,"",SUMIF(搜索词报告!$A$2:$A$22222,总体数据一览!A286,搜索词报告!$J$2:$J$22222))</f>
        <v/>
      </c>
      <c r="D286" s="2" t="str">
        <f t="shared" si="15"/>
        <v/>
      </c>
      <c r="E286" t="str">
        <f t="shared" si="16"/>
        <v/>
      </c>
      <c r="F286" t="str">
        <f>IF(SUMIF(搜索词报告!$A$2:$A$22222,总体数据一览!A286,搜索词报告!$M$2:$M$22222)=0,"",SUMIF(搜索词报告!$A$2:$A$22222,总体数据一览!A286,搜索词报告!$M$2:$M$22222))</f>
        <v/>
      </c>
      <c r="G286" t="str">
        <f>IFERROR(IF(B286="","",SUMIF(搜索词报告!$A$2:$A$22222,总体数据一览!A286,搜索词报告!$V$2:$V$22222))+IF(B286="","",SUMIF(搜索词报告!$A$2:$A$22222,总体数据一览!A286,搜索词报告!$W$2:$W$22222)),"")</f>
        <v/>
      </c>
      <c r="H286" s="2" t="str">
        <f t="shared" si="17"/>
        <v/>
      </c>
    </row>
    <row r="287" spans="2:8" x14ac:dyDescent="0.15">
      <c r="B287" t="str">
        <f>IF(SUMIF(搜索词报告!$A$2:$A$22222,总体数据一览!A287,搜索词报告!$I$2:$I$22222)=0,"",SUMIF(搜索词报告!$A$2:$A$22222,总体数据一览!A287,搜索词报告!$I$2:$I$22222))</f>
        <v/>
      </c>
      <c r="C287" t="str">
        <f>IF(SUMIF(搜索词报告!$A$2:$A$22222,总体数据一览!A287,搜索词报告!$J$2:$J$22222)=0,"",SUMIF(搜索词报告!$A$2:$A$22222,总体数据一览!A287,搜索词报告!$J$2:$J$22222))</f>
        <v/>
      </c>
      <c r="D287" s="2" t="str">
        <f t="shared" si="15"/>
        <v/>
      </c>
      <c r="E287" t="str">
        <f t="shared" si="16"/>
        <v/>
      </c>
      <c r="F287" t="str">
        <f>IF(SUMIF(搜索词报告!$A$2:$A$22222,总体数据一览!A287,搜索词报告!$M$2:$M$22222)=0,"",SUMIF(搜索词报告!$A$2:$A$22222,总体数据一览!A287,搜索词报告!$M$2:$M$22222))</f>
        <v/>
      </c>
      <c r="G287" t="str">
        <f>IFERROR(IF(B287="","",SUMIF(搜索词报告!$A$2:$A$22222,总体数据一览!A287,搜索词报告!$V$2:$V$22222))+IF(B287="","",SUMIF(搜索词报告!$A$2:$A$22222,总体数据一览!A287,搜索词报告!$W$2:$W$22222)),"")</f>
        <v/>
      </c>
      <c r="H287" s="2" t="str">
        <f t="shared" si="17"/>
        <v/>
      </c>
    </row>
    <row r="288" spans="2:8" x14ac:dyDescent="0.15">
      <c r="B288" t="str">
        <f>IF(SUMIF(搜索词报告!$A$2:$A$22222,总体数据一览!A288,搜索词报告!$I$2:$I$22222)=0,"",SUMIF(搜索词报告!$A$2:$A$22222,总体数据一览!A288,搜索词报告!$I$2:$I$22222))</f>
        <v/>
      </c>
      <c r="C288" t="str">
        <f>IF(SUMIF(搜索词报告!$A$2:$A$22222,总体数据一览!A288,搜索词报告!$J$2:$J$22222)=0,"",SUMIF(搜索词报告!$A$2:$A$22222,总体数据一览!A288,搜索词报告!$J$2:$J$22222))</f>
        <v/>
      </c>
      <c r="D288" s="2" t="str">
        <f t="shared" si="15"/>
        <v/>
      </c>
      <c r="E288" t="str">
        <f t="shared" si="16"/>
        <v/>
      </c>
      <c r="F288" t="str">
        <f>IF(SUMIF(搜索词报告!$A$2:$A$22222,总体数据一览!A288,搜索词报告!$M$2:$M$22222)=0,"",SUMIF(搜索词报告!$A$2:$A$22222,总体数据一览!A288,搜索词报告!$M$2:$M$22222))</f>
        <v/>
      </c>
      <c r="G288" t="str">
        <f>IFERROR(IF(B288="","",SUMIF(搜索词报告!$A$2:$A$22222,总体数据一览!A288,搜索词报告!$V$2:$V$22222))+IF(B288="","",SUMIF(搜索词报告!$A$2:$A$22222,总体数据一览!A288,搜索词报告!$W$2:$W$22222)),"")</f>
        <v/>
      </c>
      <c r="H288" s="2" t="str">
        <f t="shared" si="17"/>
        <v/>
      </c>
    </row>
    <row r="289" spans="2:8" x14ac:dyDescent="0.15">
      <c r="B289" t="str">
        <f>IF(SUMIF(搜索词报告!$A$2:$A$22222,总体数据一览!A289,搜索词报告!$I$2:$I$22222)=0,"",SUMIF(搜索词报告!$A$2:$A$22222,总体数据一览!A289,搜索词报告!$I$2:$I$22222))</f>
        <v/>
      </c>
      <c r="C289" t="str">
        <f>IF(SUMIF(搜索词报告!$A$2:$A$22222,总体数据一览!A289,搜索词报告!$J$2:$J$22222)=0,"",SUMIF(搜索词报告!$A$2:$A$22222,总体数据一览!A289,搜索词报告!$J$2:$J$22222))</f>
        <v/>
      </c>
      <c r="D289" s="2" t="str">
        <f t="shared" si="15"/>
        <v/>
      </c>
      <c r="E289" t="str">
        <f t="shared" si="16"/>
        <v/>
      </c>
      <c r="F289" t="str">
        <f>IF(SUMIF(搜索词报告!$A$2:$A$22222,总体数据一览!A289,搜索词报告!$M$2:$M$22222)=0,"",SUMIF(搜索词报告!$A$2:$A$22222,总体数据一览!A289,搜索词报告!$M$2:$M$22222))</f>
        <v/>
      </c>
      <c r="G289" t="str">
        <f>IFERROR(IF(B289="","",SUMIF(搜索词报告!$A$2:$A$22222,总体数据一览!A289,搜索词报告!$V$2:$V$22222))+IF(B289="","",SUMIF(搜索词报告!$A$2:$A$22222,总体数据一览!A289,搜索词报告!$W$2:$W$22222)),"")</f>
        <v/>
      </c>
      <c r="H289" s="2" t="str">
        <f t="shared" si="17"/>
        <v/>
      </c>
    </row>
    <row r="290" spans="2:8" x14ac:dyDescent="0.15">
      <c r="B290" t="str">
        <f>IF(SUMIF(搜索词报告!$A$2:$A$22222,总体数据一览!A290,搜索词报告!$I$2:$I$22222)=0,"",SUMIF(搜索词报告!$A$2:$A$22222,总体数据一览!A290,搜索词报告!$I$2:$I$22222))</f>
        <v/>
      </c>
      <c r="C290" t="str">
        <f>IF(SUMIF(搜索词报告!$A$2:$A$22222,总体数据一览!A290,搜索词报告!$J$2:$J$22222)=0,"",SUMIF(搜索词报告!$A$2:$A$22222,总体数据一览!A290,搜索词报告!$J$2:$J$22222))</f>
        <v/>
      </c>
      <c r="D290" s="2" t="str">
        <f t="shared" si="15"/>
        <v/>
      </c>
      <c r="E290" t="str">
        <f t="shared" si="16"/>
        <v/>
      </c>
      <c r="F290" t="str">
        <f>IF(SUMIF(搜索词报告!$A$2:$A$22222,总体数据一览!A290,搜索词报告!$M$2:$M$22222)=0,"",SUMIF(搜索词报告!$A$2:$A$22222,总体数据一览!A290,搜索词报告!$M$2:$M$22222))</f>
        <v/>
      </c>
      <c r="G290" t="str">
        <f>IFERROR(IF(B290="","",SUMIF(搜索词报告!$A$2:$A$22222,总体数据一览!A290,搜索词报告!$V$2:$V$22222))+IF(B290="","",SUMIF(搜索词报告!$A$2:$A$22222,总体数据一览!A290,搜索词报告!$W$2:$W$22222)),"")</f>
        <v/>
      </c>
      <c r="H290" s="2" t="str">
        <f t="shared" si="17"/>
        <v/>
      </c>
    </row>
    <row r="291" spans="2:8" x14ac:dyDescent="0.15">
      <c r="B291" t="str">
        <f>IF(SUMIF(搜索词报告!$A$2:$A$22222,总体数据一览!A291,搜索词报告!$I$2:$I$22222)=0,"",SUMIF(搜索词报告!$A$2:$A$22222,总体数据一览!A291,搜索词报告!$I$2:$I$22222))</f>
        <v/>
      </c>
      <c r="C291" t="str">
        <f>IF(SUMIF(搜索词报告!$A$2:$A$22222,总体数据一览!A291,搜索词报告!$J$2:$J$22222)=0,"",SUMIF(搜索词报告!$A$2:$A$22222,总体数据一览!A291,搜索词报告!$J$2:$J$22222))</f>
        <v/>
      </c>
      <c r="D291" s="2" t="str">
        <f t="shared" si="15"/>
        <v/>
      </c>
      <c r="E291" t="str">
        <f t="shared" si="16"/>
        <v/>
      </c>
      <c r="F291" t="str">
        <f>IF(SUMIF(搜索词报告!$A$2:$A$22222,总体数据一览!A291,搜索词报告!$M$2:$M$22222)=0,"",SUMIF(搜索词报告!$A$2:$A$22222,总体数据一览!A291,搜索词报告!$M$2:$M$22222))</f>
        <v/>
      </c>
      <c r="G291" t="str">
        <f>IFERROR(IF(B291="","",SUMIF(搜索词报告!$A$2:$A$22222,总体数据一览!A291,搜索词报告!$V$2:$V$22222))+IF(B291="","",SUMIF(搜索词报告!$A$2:$A$22222,总体数据一览!A291,搜索词报告!$W$2:$W$22222)),"")</f>
        <v/>
      </c>
      <c r="H291" s="2" t="str">
        <f t="shared" si="17"/>
        <v/>
      </c>
    </row>
    <row r="292" spans="2:8" x14ac:dyDescent="0.15">
      <c r="B292" t="str">
        <f>IF(SUMIF(搜索词报告!$A$2:$A$22222,总体数据一览!A292,搜索词报告!$I$2:$I$22222)=0,"",SUMIF(搜索词报告!$A$2:$A$22222,总体数据一览!A292,搜索词报告!$I$2:$I$22222))</f>
        <v/>
      </c>
      <c r="C292" t="str">
        <f>IF(SUMIF(搜索词报告!$A$2:$A$22222,总体数据一览!A292,搜索词报告!$J$2:$J$22222)=0,"",SUMIF(搜索词报告!$A$2:$A$22222,总体数据一览!A292,搜索词报告!$J$2:$J$22222))</f>
        <v/>
      </c>
      <c r="D292" s="2" t="str">
        <f t="shared" si="15"/>
        <v/>
      </c>
      <c r="E292" t="str">
        <f t="shared" si="16"/>
        <v/>
      </c>
      <c r="F292" t="str">
        <f>IF(SUMIF(搜索词报告!$A$2:$A$22222,总体数据一览!A292,搜索词报告!$M$2:$M$22222)=0,"",SUMIF(搜索词报告!$A$2:$A$22222,总体数据一览!A292,搜索词报告!$M$2:$M$22222))</f>
        <v/>
      </c>
      <c r="G292" t="str">
        <f>IFERROR(IF(B292="","",SUMIF(搜索词报告!$A$2:$A$22222,总体数据一览!A292,搜索词报告!$V$2:$V$22222))+IF(B292="","",SUMIF(搜索词报告!$A$2:$A$22222,总体数据一览!A292,搜索词报告!$W$2:$W$22222)),"")</f>
        <v/>
      </c>
      <c r="H292" s="2" t="str">
        <f t="shared" si="17"/>
        <v/>
      </c>
    </row>
    <row r="293" spans="2:8" x14ac:dyDescent="0.15">
      <c r="B293" t="str">
        <f>IF(SUMIF(搜索词报告!$A$2:$A$22222,总体数据一览!A293,搜索词报告!$I$2:$I$22222)=0,"",SUMIF(搜索词报告!$A$2:$A$22222,总体数据一览!A293,搜索词报告!$I$2:$I$22222))</f>
        <v/>
      </c>
      <c r="C293" t="str">
        <f>IF(SUMIF(搜索词报告!$A$2:$A$22222,总体数据一览!A293,搜索词报告!$J$2:$J$22222)=0,"",SUMIF(搜索词报告!$A$2:$A$22222,总体数据一览!A293,搜索词报告!$J$2:$J$22222))</f>
        <v/>
      </c>
      <c r="D293" s="2" t="str">
        <f t="shared" si="15"/>
        <v/>
      </c>
      <c r="E293" t="str">
        <f t="shared" si="16"/>
        <v/>
      </c>
      <c r="F293" t="str">
        <f>IF(SUMIF(搜索词报告!$A$2:$A$22222,总体数据一览!A293,搜索词报告!$M$2:$M$22222)=0,"",SUMIF(搜索词报告!$A$2:$A$22222,总体数据一览!A293,搜索词报告!$M$2:$M$22222))</f>
        <v/>
      </c>
      <c r="G293" t="str">
        <f>IFERROR(IF(B293="","",SUMIF(搜索词报告!$A$2:$A$22222,总体数据一览!A293,搜索词报告!$V$2:$V$22222))+IF(B293="","",SUMIF(搜索词报告!$A$2:$A$22222,总体数据一览!A293,搜索词报告!$W$2:$W$22222)),"")</f>
        <v/>
      </c>
      <c r="H293" s="2" t="str">
        <f t="shared" si="17"/>
        <v/>
      </c>
    </row>
    <row r="294" spans="2:8" x14ac:dyDescent="0.15">
      <c r="B294" t="str">
        <f>IF(SUMIF(搜索词报告!$A$2:$A$22222,总体数据一览!A294,搜索词报告!$I$2:$I$22222)=0,"",SUMIF(搜索词报告!$A$2:$A$22222,总体数据一览!A294,搜索词报告!$I$2:$I$22222))</f>
        <v/>
      </c>
      <c r="C294" t="str">
        <f>IF(SUMIF(搜索词报告!$A$2:$A$22222,总体数据一览!A294,搜索词报告!$J$2:$J$22222)=0,"",SUMIF(搜索词报告!$A$2:$A$22222,总体数据一览!A294,搜索词报告!$J$2:$J$22222))</f>
        <v/>
      </c>
      <c r="D294" s="2" t="str">
        <f t="shared" si="15"/>
        <v/>
      </c>
      <c r="E294" t="str">
        <f t="shared" si="16"/>
        <v/>
      </c>
      <c r="F294" t="str">
        <f>IF(SUMIF(搜索词报告!$A$2:$A$22222,总体数据一览!A294,搜索词报告!$M$2:$M$22222)=0,"",SUMIF(搜索词报告!$A$2:$A$22222,总体数据一览!A294,搜索词报告!$M$2:$M$22222))</f>
        <v/>
      </c>
      <c r="G294" t="str">
        <f>IFERROR(IF(B294="","",SUMIF(搜索词报告!$A$2:$A$22222,总体数据一览!A294,搜索词报告!$V$2:$V$22222))+IF(B294="","",SUMIF(搜索词报告!$A$2:$A$22222,总体数据一览!A294,搜索词报告!$W$2:$W$22222)),"")</f>
        <v/>
      </c>
      <c r="H294" s="2" t="str">
        <f t="shared" si="17"/>
        <v/>
      </c>
    </row>
    <row r="295" spans="2:8" x14ac:dyDescent="0.15">
      <c r="B295" t="str">
        <f>IF(SUMIF(搜索词报告!$A$2:$A$22222,总体数据一览!A295,搜索词报告!$I$2:$I$22222)=0,"",SUMIF(搜索词报告!$A$2:$A$22222,总体数据一览!A295,搜索词报告!$I$2:$I$22222))</f>
        <v/>
      </c>
      <c r="C295" t="str">
        <f>IF(SUMIF(搜索词报告!$A$2:$A$22222,总体数据一览!A295,搜索词报告!$J$2:$J$22222)=0,"",SUMIF(搜索词报告!$A$2:$A$22222,总体数据一览!A295,搜索词报告!$J$2:$J$22222))</f>
        <v/>
      </c>
      <c r="D295" s="2" t="str">
        <f t="shared" si="15"/>
        <v/>
      </c>
      <c r="E295" t="str">
        <f t="shared" si="16"/>
        <v/>
      </c>
      <c r="F295" t="str">
        <f>IF(SUMIF(搜索词报告!$A$2:$A$22222,总体数据一览!A295,搜索词报告!$M$2:$M$22222)=0,"",SUMIF(搜索词报告!$A$2:$A$22222,总体数据一览!A295,搜索词报告!$M$2:$M$22222))</f>
        <v/>
      </c>
      <c r="G295" t="str">
        <f>IFERROR(IF(B295="","",SUMIF(搜索词报告!$A$2:$A$22222,总体数据一览!A295,搜索词报告!$V$2:$V$22222))+IF(B295="","",SUMIF(搜索词报告!$A$2:$A$22222,总体数据一览!A295,搜索词报告!$W$2:$W$22222)),"")</f>
        <v/>
      </c>
      <c r="H295" s="2" t="str">
        <f t="shared" si="17"/>
        <v/>
      </c>
    </row>
    <row r="296" spans="2:8" x14ac:dyDescent="0.15">
      <c r="B296" t="str">
        <f>IF(SUMIF(搜索词报告!$A$2:$A$22222,总体数据一览!A296,搜索词报告!$I$2:$I$22222)=0,"",SUMIF(搜索词报告!$A$2:$A$22222,总体数据一览!A296,搜索词报告!$I$2:$I$22222))</f>
        <v/>
      </c>
      <c r="C296" t="str">
        <f>IF(SUMIF(搜索词报告!$A$2:$A$22222,总体数据一览!A296,搜索词报告!$J$2:$J$22222)=0,"",SUMIF(搜索词报告!$A$2:$A$22222,总体数据一览!A296,搜索词报告!$J$2:$J$22222))</f>
        <v/>
      </c>
      <c r="D296" s="2" t="str">
        <f t="shared" si="15"/>
        <v/>
      </c>
      <c r="E296" t="str">
        <f t="shared" si="16"/>
        <v/>
      </c>
      <c r="F296" t="str">
        <f>IF(SUMIF(搜索词报告!$A$2:$A$22222,总体数据一览!A296,搜索词报告!$M$2:$M$22222)=0,"",SUMIF(搜索词报告!$A$2:$A$22222,总体数据一览!A296,搜索词报告!$M$2:$M$22222))</f>
        <v/>
      </c>
      <c r="G296" t="str">
        <f>IFERROR(IF(B296="","",SUMIF(搜索词报告!$A$2:$A$22222,总体数据一览!A296,搜索词报告!$V$2:$V$22222))+IF(B296="","",SUMIF(搜索词报告!$A$2:$A$22222,总体数据一览!A296,搜索词报告!$W$2:$W$22222)),"")</f>
        <v/>
      </c>
      <c r="H296" s="2" t="str">
        <f t="shared" si="17"/>
        <v/>
      </c>
    </row>
    <row r="297" spans="2:8" x14ac:dyDescent="0.15">
      <c r="B297" t="str">
        <f>IF(SUMIF(搜索词报告!$A$2:$A$22222,总体数据一览!A297,搜索词报告!$I$2:$I$22222)=0,"",SUMIF(搜索词报告!$A$2:$A$22222,总体数据一览!A297,搜索词报告!$I$2:$I$22222))</f>
        <v/>
      </c>
      <c r="C297" t="str">
        <f>IF(SUMIF(搜索词报告!$A$2:$A$22222,总体数据一览!A297,搜索词报告!$J$2:$J$22222)=0,"",SUMIF(搜索词报告!$A$2:$A$22222,总体数据一览!A297,搜索词报告!$J$2:$J$22222))</f>
        <v/>
      </c>
      <c r="D297" s="2" t="str">
        <f t="shared" si="15"/>
        <v/>
      </c>
      <c r="E297" t="str">
        <f t="shared" si="16"/>
        <v/>
      </c>
      <c r="F297" t="str">
        <f>IF(SUMIF(搜索词报告!$A$2:$A$22222,总体数据一览!A297,搜索词报告!$M$2:$M$22222)=0,"",SUMIF(搜索词报告!$A$2:$A$22222,总体数据一览!A297,搜索词报告!$M$2:$M$22222))</f>
        <v/>
      </c>
      <c r="G297" t="str">
        <f>IFERROR(IF(B297="","",SUMIF(搜索词报告!$A$2:$A$22222,总体数据一览!A297,搜索词报告!$V$2:$V$22222))+IF(B297="","",SUMIF(搜索词报告!$A$2:$A$22222,总体数据一览!A297,搜索词报告!$W$2:$W$22222)),"")</f>
        <v/>
      </c>
      <c r="H297" s="2" t="str">
        <f t="shared" si="17"/>
        <v/>
      </c>
    </row>
    <row r="298" spans="2:8" x14ac:dyDescent="0.15">
      <c r="B298" t="str">
        <f>IF(SUMIF(搜索词报告!$A$2:$A$22222,总体数据一览!A298,搜索词报告!$I$2:$I$22222)=0,"",SUMIF(搜索词报告!$A$2:$A$22222,总体数据一览!A298,搜索词报告!$I$2:$I$22222))</f>
        <v/>
      </c>
      <c r="C298" t="str">
        <f>IF(SUMIF(搜索词报告!$A$2:$A$22222,总体数据一览!A298,搜索词报告!$J$2:$J$22222)=0,"",SUMIF(搜索词报告!$A$2:$A$22222,总体数据一览!A298,搜索词报告!$J$2:$J$22222))</f>
        <v/>
      </c>
      <c r="D298" s="2" t="str">
        <f t="shared" si="15"/>
        <v/>
      </c>
      <c r="E298" t="str">
        <f t="shared" si="16"/>
        <v/>
      </c>
      <c r="F298" t="str">
        <f>IF(SUMIF(搜索词报告!$A$2:$A$22222,总体数据一览!A298,搜索词报告!$M$2:$M$22222)=0,"",SUMIF(搜索词报告!$A$2:$A$22222,总体数据一览!A298,搜索词报告!$M$2:$M$22222))</f>
        <v/>
      </c>
      <c r="G298" t="str">
        <f>IFERROR(IF(B298="","",SUMIF(搜索词报告!$A$2:$A$22222,总体数据一览!A298,搜索词报告!$V$2:$V$22222))+IF(B298="","",SUMIF(搜索词报告!$A$2:$A$22222,总体数据一览!A298,搜索词报告!$W$2:$W$22222)),"")</f>
        <v/>
      </c>
      <c r="H298" s="2" t="str">
        <f t="shared" si="17"/>
        <v/>
      </c>
    </row>
    <row r="299" spans="2:8" x14ac:dyDescent="0.15">
      <c r="B299" t="str">
        <f>IF(SUMIF(搜索词报告!$A$2:$A$22222,总体数据一览!A299,搜索词报告!$I$2:$I$22222)=0,"",SUMIF(搜索词报告!$A$2:$A$22222,总体数据一览!A299,搜索词报告!$I$2:$I$22222))</f>
        <v/>
      </c>
      <c r="C299" t="str">
        <f>IF(SUMIF(搜索词报告!$A$2:$A$22222,总体数据一览!A299,搜索词报告!$J$2:$J$22222)=0,"",SUMIF(搜索词报告!$A$2:$A$22222,总体数据一览!A299,搜索词报告!$J$2:$J$22222))</f>
        <v/>
      </c>
      <c r="D299" s="2" t="str">
        <f t="shared" si="15"/>
        <v/>
      </c>
      <c r="E299" t="str">
        <f t="shared" si="16"/>
        <v/>
      </c>
      <c r="F299" t="str">
        <f>IF(SUMIF(搜索词报告!$A$2:$A$22222,总体数据一览!A299,搜索词报告!$M$2:$M$22222)=0,"",SUMIF(搜索词报告!$A$2:$A$22222,总体数据一览!A299,搜索词报告!$M$2:$M$22222))</f>
        <v/>
      </c>
      <c r="G299" t="str">
        <f>IFERROR(IF(B299="","",SUMIF(搜索词报告!$A$2:$A$22222,总体数据一览!A299,搜索词报告!$V$2:$V$22222))+IF(B299="","",SUMIF(搜索词报告!$A$2:$A$22222,总体数据一览!A299,搜索词报告!$W$2:$W$22222)),"")</f>
        <v/>
      </c>
      <c r="H299" s="2" t="str">
        <f t="shared" si="17"/>
        <v/>
      </c>
    </row>
    <row r="300" spans="2:8" x14ac:dyDescent="0.15">
      <c r="B300" t="str">
        <f>IF(SUMIF(搜索词报告!$A$2:$A$22222,总体数据一览!A300,搜索词报告!$I$2:$I$22222)=0,"",SUMIF(搜索词报告!$A$2:$A$22222,总体数据一览!A300,搜索词报告!$I$2:$I$22222))</f>
        <v/>
      </c>
      <c r="C300" t="str">
        <f>IF(SUMIF(搜索词报告!$A$2:$A$22222,总体数据一览!A300,搜索词报告!$J$2:$J$22222)=0,"",SUMIF(搜索词报告!$A$2:$A$22222,总体数据一览!A300,搜索词报告!$J$2:$J$22222))</f>
        <v/>
      </c>
      <c r="D300" s="2" t="str">
        <f t="shared" si="15"/>
        <v/>
      </c>
      <c r="E300" t="str">
        <f t="shared" si="16"/>
        <v/>
      </c>
      <c r="F300" t="str">
        <f>IF(SUMIF(搜索词报告!$A$2:$A$22222,总体数据一览!A300,搜索词报告!$M$2:$M$22222)=0,"",SUMIF(搜索词报告!$A$2:$A$22222,总体数据一览!A300,搜索词报告!$M$2:$M$22222))</f>
        <v/>
      </c>
      <c r="G300" t="str">
        <f>IFERROR(IF(B300="","",SUMIF(搜索词报告!$A$2:$A$22222,总体数据一览!A300,搜索词报告!$V$2:$V$22222))+IF(B300="","",SUMIF(搜索词报告!$A$2:$A$22222,总体数据一览!A300,搜索词报告!$W$2:$W$22222)),"")</f>
        <v/>
      </c>
      <c r="H300" s="2" t="str">
        <f t="shared" si="17"/>
        <v/>
      </c>
    </row>
    <row r="301" spans="2:8" x14ac:dyDescent="0.15">
      <c r="B301" t="str">
        <f>IF(SUMIF(搜索词报告!$A$2:$A$22222,总体数据一览!A301,搜索词报告!$I$2:$I$22222)=0,"",SUMIF(搜索词报告!$A$2:$A$22222,总体数据一览!A301,搜索词报告!$I$2:$I$22222))</f>
        <v/>
      </c>
      <c r="C301" t="str">
        <f>IF(SUMIF(搜索词报告!$A$2:$A$22222,总体数据一览!A301,搜索词报告!$J$2:$J$22222)=0,"",SUMIF(搜索词报告!$A$2:$A$22222,总体数据一览!A301,搜索词报告!$J$2:$J$22222))</f>
        <v/>
      </c>
      <c r="D301" s="2" t="str">
        <f t="shared" si="15"/>
        <v/>
      </c>
      <c r="E301" t="str">
        <f t="shared" si="16"/>
        <v/>
      </c>
      <c r="F301" t="str">
        <f>IF(SUMIF(搜索词报告!$A$2:$A$22222,总体数据一览!A301,搜索词报告!$M$2:$M$22222)=0,"",SUMIF(搜索词报告!$A$2:$A$22222,总体数据一览!A301,搜索词报告!$M$2:$M$22222))</f>
        <v/>
      </c>
      <c r="G301" t="str">
        <f>IFERROR(IF(B301="","",SUMIF(搜索词报告!$A$2:$A$22222,总体数据一览!A301,搜索词报告!$V$2:$V$22222))+IF(B301="","",SUMIF(搜索词报告!$A$2:$A$22222,总体数据一览!A301,搜索词报告!$W$2:$W$22222)),"")</f>
        <v/>
      </c>
      <c r="H301" s="2" t="str">
        <f t="shared" si="17"/>
        <v/>
      </c>
    </row>
    <row r="302" spans="2:8" x14ac:dyDescent="0.15">
      <c r="B302" t="str">
        <f>IF(SUMIF(搜索词报告!$A$2:$A$22222,总体数据一览!A302,搜索词报告!$I$2:$I$22222)=0,"",SUMIF(搜索词报告!$A$2:$A$22222,总体数据一览!A302,搜索词报告!$I$2:$I$22222))</f>
        <v/>
      </c>
      <c r="C302" t="str">
        <f>IF(SUMIF(搜索词报告!$A$2:$A$22222,总体数据一览!A302,搜索词报告!$J$2:$J$22222)=0,"",SUMIF(搜索词报告!$A$2:$A$22222,总体数据一览!A302,搜索词报告!$J$2:$J$22222))</f>
        <v/>
      </c>
      <c r="D302" s="2" t="str">
        <f t="shared" si="15"/>
        <v/>
      </c>
      <c r="E302" t="str">
        <f t="shared" si="16"/>
        <v/>
      </c>
      <c r="F302" t="str">
        <f>IF(SUMIF(搜索词报告!$A$2:$A$22222,总体数据一览!A302,搜索词报告!$M$2:$M$22222)=0,"",SUMIF(搜索词报告!$A$2:$A$22222,总体数据一览!A302,搜索词报告!$M$2:$M$22222))</f>
        <v/>
      </c>
      <c r="G302" t="str">
        <f>IFERROR(IF(B302="","",SUMIF(搜索词报告!$A$2:$A$22222,总体数据一览!A302,搜索词报告!$V$2:$V$22222))+IF(B302="","",SUMIF(搜索词报告!$A$2:$A$22222,总体数据一览!A302,搜索词报告!$W$2:$W$22222)),"")</f>
        <v/>
      </c>
      <c r="H302" s="2" t="str">
        <f t="shared" si="17"/>
        <v/>
      </c>
    </row>
    <row r="303" spans="2:8" x14ac:dyDescent="0.15">
      <c r="B303" t="str">
        <f>IF(SUMIF(搜索词报告!$A$2:$A$22222,总体数据一览!A303,搜索词报告!$I$2:$I$22222)=0,"",SUMIF(搜索词报告!$A$2:$A$22222,总体数据一览!A303,搜索词报告!$I$2:$I$22222))</f>
        <v/>
      </c>
      <c r="C303" t="str">
        <f>IF(SUMIF(搜索词报告!$A$2:$A$22222,总体数据一览!A303,搜索词报告!$J$2:$J$22222)=0,"",SUMIF(搜索词报告!$A$2:$A$22222,总体数据一览!A303,搜索词报告!$J$2:$J$22222))</f>
        <v/>
      </c>
      <c r="D303" s="2" t="str">
        <f t="shared" si="15"/>
        <v/>
      </c>
      <c r="E303" t="str">
        <f t="shared" si="16"/>
        <v/>
      </c>
      <c r="F303" t="str">
        <f>IF(SUMIF(搜索词报告!$A$2:$A$22222,总体数据一览!A303,搜索词报告!$M$2:$M$22222)=0,"",SUMIF(搜索词报告!$A$2:$A$22222,总体数据一览!A303,搜索词报告!$M$2:$M$22222))</f>
        <v/>
      </c>
      <c r="G303" t="str">
        <f>IFERROR(IF(B303="","",SUMIF(搜索词报告!$A$2:$A$22222,总体数据一览!A303,搜索词报告!$V$2:$V$22222))+IF(B303="","",SUMIF(搜索词报告!$A$2:$A$22222,总体数据一览!A303,搜索词报告!$W$2:$W$22222)),"")</f>
        <v/>
      </c>
      <c r="H303" s="2" t="str">
        <f t="shared" si="17"/>
        <v/>
      </c>
    </row>
    <row r="304" spans="2:8" x14ac:dyDescent="0.15">
      <c r="B304" t="str">
        <f>IF(SUMIF(搜索词报告!$A$2:$A$22222,总体数据一览!A304,搜索词报告!$I$2:$I$22222)=0,"",SUMIF(搜索词报告!$A$2:$A$22222,总体数据一览!A304,搜索词报告!$I$2:$I$22222))</f>
        <v/>
      </c>
      <c r="C304" t="str">
        <f>IF(SUMIF(搜索词报告!$A$2:$A$22222,总体数据一览!A304,搜索词报告!$J$2:$J$22222)=0,"",SUMIF(搜索词报告!$A$2:$A$22222,总体数据一览!A304,搜索词报告!$J$2:$J$22222))</f>
        <v/>
      </c>
      <c r="D304" s="2" t="str">
        <f t="shared" si="15"/>
        <v/>
      </c>
      <c r="E304" t="str">
        <f t="shared" si="16"/>
        <v/>
      </c>
      <c r="F304" t="str">
        <f>IF(SUMIF(搜索词报告!$A$2:$A$22222,总体数据一览!A304,搜索词报告!$M$2:$M$22222)=0,"",SUMIF(搜索词报告!$A$2:$A$22222,总体数据一览!A304,搜索词报告!$M$2:$M$22222))</f>
        <v/>
      </c>
      <c r="G304" t="str">
        <f>IFERROR(IF(B304="","",SUMIF(搜索词报告!$A$2:$A$22222,总体数据一览!A304,搜索词报告!$V$2:$V$22222))+IF(B304="","",SUMIF(搜索词报告!$A$2:$A$22222,总体数据一览!A304,搜索词报告!$W$2:$W$22222)),"")</f>
        <v/>
      </c>
      <c r="H304" s="2" t="str">
        <f t="shared" si="17"/>
        <v/>
      </c>
    </row>
    <row r="305" spans="2:8" x14ac:dyDescent="0.15">
      <c r="B305" t="str">
        <f>IF(SUMIF(搜索词报告!$A$2:$A$22222,总体数据一览!A305,搜索词报告!$I$2:$I$22222)=0,"",SUMIF(搜索词报告!$A$2:$A$22222,总体数据一览!A305,搜索词报告!$I$2:$I$22222))</f>
        <v/>
      </c>
      <c r="C305" t="str">
        <f>IF(SUMIF(搜索词报告!$A$2:$A$22222,总体数据一览!A305,搜索词报告!$J$2:$J$22222)=0,"",SUMIF(搜索词报告!$A$2:$A$22222,总体数据一览!A305,搜索词报告!$J$2:$J$22222))</f>
        <v/>
      </c>
      <c r="D305" s="2" t="str">
        <f t="shared" si="15"/>
        <v/>
      </c>
      <c r="E305" t="str">
        <f t="shared" si="16"/>
        <v/>
      </c>
      <c r="F305" t="str">
        <f>IF(SUMIF(搜索词报告!$A$2:$A$22222,总体数据一览!A305,搜索词报告!$M$2:$M$22222)=0,"",SUMIF(搜索词报告!$A$2:$A$22222,总体数据一览!A305,搜索词报告!$M$2:$M$22222))</f>
        <v/>
      </c>
      <c r="G305" t="str">
        <f>IFERROR(IF(B305="","",SUMIF(搜索词报告!$A$2:$A$22222,总体数据一览!A305,搜索词报告!$V$2:$V$22222))+IF(B305="","",SUMIF(搜索词报告!$A$2:$A$22222,总体数据一览!A305,搜索词报告!$W$2:$W$22222)),"")</f>
        <v/>
      </c>
      <c r="H305" s="2" t="str">
        <f t="shared" si="17"/>
        <v/>
      </c>
    </row>
    <row r="306" spans="2:8" x14ac:dyDescent="0.15">
      <c r="B306" t="str">
        <f>IF(SUMIF(搜索词报告!$A$2:$A$22222,总体数据一览!A306,搜索词报告!$I$2:$I$22222)=0,"",SUMIF(搜索词报告!$A$2:$A$22222,总体数据一览!A306,搜索词报告!$I$2:$I$22222))</f>
        <v/>
      </c>
      <c r="C306" t="str">
        <f>IF(SUMIF(搜索词报告!$A$2:$A$22222,总体数据一览!A306,搜索词报告!$J$2:$J$22222)=0,"",SUMIF(搜索词报告!$A$2:$A$22222,总体数据一览!A306,搜索词报告!$J$2:$J$22222))</f>
        <v/>
      </c>
      <c r="D306" s="2" t="str">
        <f t="shared" si="15"/>
        <v/>
      </c>
      <c r="E306" t="str">
        <f t="shared" si="16"/>
        <v/>
      </c>
      <c r="F306" t="str">
        <f>IF(SUMIF(搜索词报告!$A$2:$A$22222,总体数据一览!A306,搜索词报告!$M$2:$M$22222)=0,"",SUMIF(搜索词报告!$A$2:$A$22222,总体数据一览!A306,搜索词报告!$M$2:$M$22222))</f>
        <v/>
      </c>
      <c r="G306" t="str">
        <f>IFERROR(IF(B306="","",SUMIF(搜索词报告!$A$2:$A$22222,总体数据一览!A306,搜索词报告!$V$2:$V$22222))+IF(B306="","",SUMIF(搜索词报告!$A$2:$A$22222,总体数据一览!A306,搜索词报告!$W$2:$W$22222)),"")</f>
        <v/>
      </c>
      <c r="H306" s="2" t="str">
        <f t="shared" si="17"/>
        <v/>
      </c>
    </row>
    <row r="307" spans="2:8" x14ac:dyDescent="0.15">
      <c r="B307" t="str">
        <f>IF(SUMIF(搜索词报告!$A$2:$A$22222,总体数据一览!A307,搜索词报告!$I$2:$I$22222)=0,"",SUMIF(搜索词报告!$A$2:$A$22222,总体数据一览!A307,搜索词报告!$I$2:$I$22222))</f>
        <v/>
      </c>
      <c r="C307" t="str">
        <f>IF(SUMIF(搜索词报告!$A$2:$A$22222,总体数据一览!A307,搜索词报告!$J$2:$J$22222)=0,"",SUMIF(搜索词报告!$A$2:$A$22222,总体数据一览!A307,搜索词报告!$J$2:$J$22222))</f>
        <v/>
      </c>
      <c r="D307" s="2" t="str">
        <f t="shared" si="15"/>
        <v/>
      </c>
      <c r="E307" t="str">
        <f t="shared" si="16"/>
        <v/>
      </c>
      <c r="F307" t="str">
        <f>IF(SUMIF(搜索词报告!$A$2:$A$22222,总体数据一览!A307,搜索词报告!$M$2:$M$22222)=0,"",SUMIF(搜索词报告!$A$2:$A$22222,总体数据一览!A307,搜索词报告!$M$2:$M$22222))</f>
        <v/>
      </c>
      <c r="G307" t="str">
        <f>IFERROR(IF(B307="","",SUMIF(搜索词报告!$A$2:$A$22222,总体数据一览!A307,搜索词报告!$V$2:$V$22222))+IF(B307="","",SUMIF(搜索词报告!$A$2:$A$22222,总体数据一览!A307,搜索词报告!$W$2:$W$22222)),"")</f>
        <v/>
      </c>
      <c r="H307" s="2" t="str">
        <f t="shared" si="17"/>
        <v/>
      </c>
    </row>
    <row r="308" spans="2:8" x14ac:dyDescent="0.15">
      <c r="B308" t="str">
        <f>IF(SUMIF(搜索词报告!$A$2:$A$22222,总体数据一览!A308,搜索词报告!$I$2:$I$22222)=0,"",SUMIF(搜索词报告!$A$2:$A$22222,总体数据一览!A308,搜索词报告!$I$2:$I$22222))</f>
        <v/>
      </c>
      <c r="C308" t="str">
        <f>IF(SUMIF(搜索词报告!$A$2:$A$22222,总体数据一览!A308,搜索词报告!$J$2:$J$22222)=0,"",SUMIF(搜索词报告!$A$2:$A$22222,总体数据一览!A308,搜索词报告!$J$2:$J$22222))</f>
        <v/>
      </c>
      <c r="D308" s="2" t="str">
        <f t="shared" si="15"/>
        <v/>
      </c>
      <c r="E308" t="str">
        <f t="shared" si="16"/>
        <v/>
      </c>
      <c r="F308" t="str">
        <f>IF(SUMIF(搜索词报告!$A$2:$A$22222,总体数据一览!A308,搜索词报告!$M$2:$M$22222)=0,"",SUMIF(搜索词报告!$A$2:$A$22222,总体数据一览!A308,搜索词报告!$M$2:$M$22222))</f>
        <v/>
      </c>
      <c r="G308" t="str">
        <f>IFERROR(IF(B308="","",SUMIF(搜索词报告!$A$2:$A$22222,总体数据一览!A308,搜索词报告!$V$2:$V$22222))+IF(B308="","",SUMIF(搜索词报告!$A$2:$A$22222,总体数据一览!A308,搜索词报告!$W$2:$W$22222)),"")</f>
        <v/>
      </c>
      <c r="H308" s="2" t="str">
        <f t="shared" si="17"/>
        <v/>
      </c>
    </row>
    <row r="309" spans="2:8" x14ac:dyDescent="0.15">
      <c r="B309" t="str">
        <f>IF(SUMIF(搜索词报告!$A$2:$A$22222,总体数据一览!A309,搜索词报告!$I$2:$I$22222)=0,"",SUMIF(搜索词报告!$A$2:$A$22222,总体数据一览!A309,搜索词报告!$I$2:$I$22222))</f>
        <v/>
      </c>
      <c r="C309" t="str">
        <f>IF(SUMIF(搜索词报告!$A$2:$A$22222,总体数据一览!A309,搜索词报告!$J$2:$J$22222)=0,"",SUMIF(搜索词报告!$A$2:$A$22222,总体数据一览!A309,搜索词报告!$J$2:$J$22222))</f>
        <v/>
      </c>
      <c r="D309" s="2" t="str">
        <f t="shared" si="15"/>
        <v/>
      </c>
      <c r="E309" t="str">
        <f t="shared" si="16"/>
        <v/>
      </c>
      <c r="F309" t="str">
        <f>IF(SUMIF(搜索词报告!$A$2:$A$22222,总体数据一览!A309,搜索词报告!$M$2:$M$22222)=0,"",SUMIF(搜索词报告!$A$2:$A$22222,总体数据一览!A309,搜索词报告!$M$2:$M$22222))</f>
        <v/>
      </c>
      <c r="G309" t="str">
        <f>IFERROR(IF(B309="","",SUMIF(搜索词报告!$A$2:$A$22222,总体数据一览!A309,搜索词报告!$V$2:$V$22222))+IF(B309="","",SUMIF(搜索词报告!$A$2:$A$22222,总体数据一览!A309,搜索词报告!$W$2:$W$22222)),"")</f>
        <v/>
      </c>
      <c r="H309" s="2" t="str">
        <f t="shared" si="17"/>
        <v/>
      </c>
    </row>
    <row r="310" spans="2:8" x14ac:dyDescent="0.15">
      <c r="B310" t="str">
        <f>IF(SUMIF(搜索词报告!$A$2:$A$22222,总体数据一览!A310,搜索词报告!$I$2:$I$22222)=0,"",SUMIF(搜索词报告!$A$2:$A$22222,总体数据一览!A310,搜索词报告!$I$2:$I$22222))</f>
        <v/>
      </c>
      <c r="C310" t="str">
        <f>IF(SUMIF(搜索词报告!$A$2:$A$22222,总体数据一览!A310,搜索词报告!$J$2:$J$22222)=0,"",SUMIF(搜索词报告!$A$2:$A$22222,总体数据一览!A310,搜索词报告!$J$2:$J$22222))</f>
        <v/>
      </c>
      <c r="D310" s="2" t="str">
        <f t="shared" si="15"/>
        <v/>
      </c>
      <c r="E310" t="str">
        <f t="shared" si="16"/>
        <v/>
      </c>
      <c r="F310" t="str">
        <f>IF(SUMIF(搜索词报告!$A$2:$A$22222,总体数据一览!A310,搜索词报告!$M$2:$M$22222)=0,"",SUMIF(搜索词报告!$A$2:$A$22222,总体数据一览!A310,搜索词报告!$M$2:$M$22222))</f>
        <v/>
      </c>
      <c r="G310" t="str">
        <f>IFERROR(IF(B310="","",SUMIF(搜索词报告!$A$2:$A$22222,总体数据一览!A310,搜索词报告!$V$2:$V$22222))+IF(B310="","",SUMIF(搜索词报告!$A$2:$A$22222,总体数据一览!A310,搜索词报告!$W$2:$W$22222)),"")</f>
        <v/>
      </c>
      <c r="H310" s="2" t="str">
        <f t="shared" si="17"/>
        <v/>
      </c>
    </row>
    <row r="311" spans="2:8" x14ac:dyDescent="0.15">
      <c r="B311" t="str">
        <f>IF(SUMIF(搜索词报告!$A$2:$A$22222,总体数据一览!A311,搜索词报告!$I$2:$I$22222)=0,"",SUMIF(搜索词报告!$A$2:$A$22222,总体数据一览!A311,搜索词报告!$I$2:$I$22222))</f>
        <v/>
      </c>
      <c r="C311" t="str">
        <f>IF(SUMIF(搜索词报告!$A$2:$A$22222,总体数据一览!A311,搜索词报告!$J$2:$J$22222)=0,"",SUMIF(搜索词报告!$A$2:$A$22222,总体数据一览!A311,搜索词报告!$J$2:$J$22222))</f>
        <v/>
      </c>
      <c r="D311" s="2" t="str">
        <f t="shared" si="15"/>
        <v/>
      </c>
      <c r="E311" t="str">
        <f t="shared" si="16"/>
        <v/>
      </c>
      <c r="F311" t="str">
        <f>IF(SUMIF(搜索词报告!$A$2:$A$22222,总体数据一览!A311,搜索词报告!$M$2:$M$22222)=0,"",SUMIF(搜索词报告!$A$2:$A$22222,总体数据一览!A311,搜索词报告!$M$2:$M$22222))</f>
        <v/>
      </c>
      <c r="G311" t="str">
        <f>IFERROR(IF(B311="","",SUMIF(搜索词报告!$A$2:$A$22222,总体数据一览!A311,搜索词报告!$V$2:$V$22222))+IF(B311="","",SUMIF(搜索词报告!$A$2:$A$22222,总体数据一览!A311,搜索词报告!$W$2:$W$22222)),"")</f>
        <v/>
      </c>
      <c r="H311" s="2" t="str">
        <f t="shared" si="17"/>
        <v/>
      </c>
    </row>
    <row r="312" spans="2:8" x14ac:dyDescent="0.15">
      <c r="B312" t="str">
        <f>IF(SUMIF(搜索词报告!$A$2:$A$22222,总体数据一览!A312,搜索词报告!$I$2:$I$22222)=0,"",SUMIF(搜索词报告!$A$2:$A$22222,总体数据一览!A312,搜索词报告!$I$2:$I$22222))</f>
        <v/>
      </c>
      <c r="C312" t="str">
        <f>IF(SUMIF(搜索词报告!$A$2:$A$22222,总体数据一览!A312,搜索词报告!$J$2:$J$22222)=0,"",SUMIF(搜索词报告!$A$2:$A$22222,总体数据一览!A312,搜索词报告!$J$2:$J$22222))</f>
        <v/>
      </c>
      <c r="D312" s="2" t="str">
        <f t="shared" si="15"/>
        <v/>
      </c>
      <c r="E312" t="str">
        <f t="shared" si="16"/>
        <v/>
      </c>
      <c r="F312" t="str">
        <f>IF(SUMIF(搜索词报告!$A$2:$A$22222,总体数据一览!A312,搜索词报告!$M$2:$M$22222)=0,"",SUMIF(搜索词报告!$A$2:$A$22222,总体数据一览!A312,搜索词报告!$M$2:$M$22222))</f>
        <v/>
      </c>
      <c r="G312" t="str">
        <f>IFERROR(IF(B312="","",SUMIF(搜索词报告!$A$2:$A$22222,总体数据一览!A312,搜索词报告!$V$2:$V$22222))+IF(B312="","",SUMIF(搜索词报告!$A$2:$A$22222,总体数据一览!A312,搜索词报告!$W$2:$W$22222)),"")</f>
        <v/>
      </c>
      <c r="H312" s="2" t="str">
        <f t="shared" si="17"/>
        <v/>
      </c>
    </row>
    <row r="313" spans="2:8" x14ac:dyDescent="0.15">
      <c r="B313" t="str">
        <f>IF(SUMIF(搜索词报告!$A$2:$A$22222,总体数据一览!A313,搜索词报告!$I$2:$I$22222)=0,"",SUMIF(搜索词报告!$A$2:$A$22222,总体数据一览!A313,搜索词报告!$I$2:$I$22222))</f>
        <v/>
      </c>
      <c r="C313" t="str">
        <f>IF(SUMIF(搜索词报告!$A$2:$A$22222,总体数据一览!A313,搜索词报告!$J$2:$J$22222)=0,"",SUMIF(搜索词报告!$A$2:$A$22222,总体数据一览!A313,搜索词报告!$J$2:$J$22222))</f>
        <v/>
      </c>
      <c r="D313" s="2" t="str">
        <f t="shared" si="15"/>
        <v/>
      </c>
      <c r="E313" t="str">
        <f t="shared" si="16"/>
        <v/>
      </c>
      <c r="F313" t="str">
        <f>IF(SUMIF(搜索词报告!$A$2:$A$22222,总体数据一览!A313,搜索词报告!$M$2:$M$22222)=0,"",SUMIF(搜索词报告!$A$2:$A$22222,总体数据一览!A313,搜索词报告!$M$2:$M$22222))</f>
        <v/>
      </c>
      <c r="G313" t="str">
        <f>IFERROR(IF(B313="","",SUMIF(搜索词报告!$A$2:$A$22222,总体数据一览!A313,搜索词报告!$V$2:$V$22222))+IF(B313="","",SUMIF(搜索词报告!$A$2:$A$22222,总体数据一览!A313,搜索词报告!$W$2:$W$22222)),"")</f>
        <v/>
      </c>
      <c r="H313" s="2" t="str">
        <f t="shared" si="17"/>
        <v/>
      </c>
    </row>
    <row r="314" spans="2:8" x14ac:dyDescent="0.15">
      <c r="B314" t="str">
        <f>IF(SUMIF(搜索词报告!$A$2:$A$22222,总体数据一览!A314,搜索词报告!$I$2:$I$22222)=0,"",SUMIF(搜索词报告!$A$2:$A$22222,总体数据一览!A314,搜索词报告!$I$2:$I$22222))</f>
        <v/>
      </c>
      <c r="C314" t="str">
        <f>IF(SUMIF(搜索词报告!$A$2:$A$22222,总体数据一览!A314,搜索词报告!$J$2:$J$22222)=0,"",SUMIF(搜索词报告!$A$2:$A$22222,总体数据一览!A314,搜索词报告!$J$2:$J$22222))</f>
        <v/>
      </c>
      <c r="D314" s="2" t="str">
        <f t="shared" si="15"/>
        <v/>
      </c>
      <c r="E314" t="str">
        <f t="shared" si="16"/>
        <v/>
      </c>
      <c r="F314" t="str">
        <f>IF(SUMIF(搜索词报告!$A$2:$A$22222,总体数据一览!A314,搜索词报告!$M$2:$M$22222)=0,"",SUMIF(搜索词报告!$A$2:$A$22222,总体数据一览!A314,搜索词报告!$M$2:$M$22222))</f>
        <v/>
      </c>
      <c r="G314" t="str">
        <f>IFERROR(IF(B314="","",SUMIF(搜索词报告!$A$2:$A$22222,总体数据一览!A314,搜索词报告!$V$2:$V$22222))+IF(B314="","",SUMIF(搜索词报告!$A$2:$A$22222,总体数据一览!A314,搜索词报告!$W$2:$W$22222)),"")</f>
        <v/>
      </c>
      <c r="H314" s="2" t="str">
        <f t="shared" si="17"/>
        <v/>
      </c>
    </row>
    <row r="315" spans="2:8" x14ac:dyDescent="0.15">
      <c r="B315" t="str">
        <f>IF(SUMIF(搜索词报告!$A$2:$A$22222,总体数据一览!A315,搜索词报告!$I$2:$I$22222)=0,"",SUMIF(搜索词报告!$A$2:$A$22222,总体数据一览!A315,搜索词报告!$I$2:$I$22222))</f>
        <v/>
      </c>
      <c r="C315" t="str">
        <f>IF(SUMIF(搜索词报告!$A$2:$A$22222,总体数据一览!A315,搜索词报告!$J$2:$J$22222)=0,"",SUMIF(搜索词报告!$A$2:$A$22222,总体数据一览!A315,搜索词报告!$J$2:$J$22222))</f>
        <v/>
      </c>
      <c r="D315" s="2" t="str">
        <f t="shared" si="15"/>
        <v/>
      </c>
      <c r="E315" t="str">
        <f t="shared" si="16"/>
        <v/>
      </c>
      <c r="F315" t="str">
        <f>IF(SUMIF(搜索词报告!$A$2:$A$22222,总体数据一览!A315,搜索词报告!$M$2:$M$22222)=0,"",SUMIF(搜索词报告!$A$2:$A$22222,总体数据一览!A315,搜索词报告!$M$2:$M$22222))</f>
        <v/>
      </c>
      <c r="G315" t="str">
        <f>IFERROR(IF(B315="","",SUMIF(搜索词报告!$A$2:$A$22222,总体数据一览!A315,搜索词报告!$V$2:$V$22222))+IF(B315="","",SUMIF(搜索词报告!$A$2:$A$22222,总体数据一览!A315,搜索词报告!$W$2:$W$22222)),"")</f>
        <v/>
      </c>
      <c r="H315" s="2" t="str">
        <f t="shared" si="17"/>
        <v/>
      </c>
    </row>
    <row r="316" spans="2:8" x14ac:dyDescent="0.15">
      <c r="B316" t="str">
        <f>IF(SUMIF(搜索词报告!$A$2:$A$22222,总体数据一览!A316,搜索词报告!$I$2:$I$22222)=0,"",SUMIF(搜索词报告!$A$2:$A$22222,总体数据一览!A316,搜索词报告!$I$2:$I$22222))</f>
        <v/>
      </c>
      <c r="C316" t="str">
        <f>IF(SUMIF(搜索词报告!$A$2:$A$22222,总体数据一览!A316,搜索词报告!$J$2:$J$22222)=0,"",SUMIF(搜索词报告!$A$2:$A$22222,总体数据一览!A316,搜索词报告!$J$2:$J$22222))</f>
        <v/>
      </c>
      <c r="D316" s="2" t="str">
        <f t="shared" si="15"/>
        <v/>
      </c>
      <c r="E316" t="str">
        <f t="shared" si="16"/>
        <v/>
      </c>
      <c r="F316" t="str">
        <f>IF(SUMIF(搜索词报告!$A$2:$A$22222,总体数据一览!A316,搜索词报告!$M$2:$M$22222)=0,"",SUMIF(搜索词报告!$A$2:$A$22222,总体数据一览!A316,搜索词报告!$M$2:$M$22222))</f>
        <v/>
      </c>
      <c r="G316" t="str">
        <f>IFERROR(IF(B316="","",SUMIF(搜索词报告!$A$2:$A$22222,总体数据一览!A316,搜索词报告!$V$2:$V$22222))+IF(B316="","",SUMIF(搜索词报告!$A$2:$A$22222,总体数据一览!A316,搜索词报告!$W$2:$W$22222)),"")</f>
        <v/>
      </c>
      <c r="H316" s="2" t="str">
        <f t="shared" si="17"/>
        <v/>
      </c>
    </row>
    <row r="317" spans="2:8" x14ac:dyDescent="0.15">
      <c r="B317" t="str">
        <f>IF(SUMIF(搜索词报告!$A$2:$A$22222,总体数据一览!A317,搜索词报告!$I$2:$I$22222)=0,"",SUMIF(搜索词报告!$A$2:$A$22222,总体数据一览!A317,搜索词报告!$I$2:$I$22222))</f>
        <v/>
      </c>
      <c r="C317" t="str">
        <f>IF(SUMIF(搜索词报告!$A$2:$A$22222,总体数据一览!A317,搜索词报告!$J$2:$J$22222)=0,"",SUMIF(搜索词报告!$A$2:$A$22222,总体数据一览!A317,搜索词报告!$J$2:$J$22222))</f>
        <v/>
      </c>
      <c r="D317" s="2" t="str">
        <f t="shared" si="15"/>
        <v/>
      </c>
      <c r="E317" t="str">
        <f t="shared" si="16"/>
        <v/>
      </c>
      <c r="F317" t="str">
        <f>IF(SUMIF(搜索词报告!$A$2:$A$22222,总体数据一览!A317,搜索词报告!$M$2:$M$22222)=0,"",SUMIF(搜索词报告!$A$2:$A$22222,总体数据一览!A317,搜索词报告!$M$2:$M$22222))</f>
        <v/>
      </c>
      <c r="G317" t="str">
        <f>IFERROR(IF(B317="","",SUMIF(搜索词报告!$A$2:$A$22222,总体数据一览!A317,搜索词报告!$V$2:$V$22222))+IF(B317="","",SUMIF(搜索词报告!$A$2:$A$22222,总体数据一览!A317,搜索词报告!$W$2:$W$22222)),"")</f>
        <v/>
      </c>
      <c r="H317" s="2" t="str">
        <f t="shared" si="17"/>
        <v/>
      </c>
    </row>
    <row r="318" spans="2:8" x14ac:dyDescent="0.15">
      <c r="B318" t="str">
        <f>IF(SUMIF(搜索词报告!$A$2:$A$22222,总体数据一览!A318,搜索词报告!$I$2:$I$22222)=0,"",SUMIF(搜索词报告!$A$2:$A$22222,总体数据一览!A318,搜索词报告!$I$2:$I$22222))</f>
        <v/>
      </c>
      <c r="C318" t="str">
        <f>IF(SUMIF(搜索词报告!$A$2:$A$22222,总体数据一览!A318,搜索词报告!$J$2:$J$22222)=0,"",SUMIF(搜索词报告!$A$2:$A$22222,总体数据一览!A318,搜索词报告!$J$2:$J$22222))</f>
        <v/>
      </c>
      <c r="D318" s="2" t="str">
        <f t="shared" si="15"/>
        <v/>
      </c>
      <c r="E318" t="str">
        <f t="shared" si="16"/>
        <v/>
      </c>
      <c r="F318" t="str">
        <f>IF(SUMIF(搜索词报告!$A$2:$A$22222,总体数据一览!A318,搜索词报告!$M$2:$M$22222)=0,"",SUMIF(搜索词报告!$A$2:$A$22222,总体数据一览!A318,搜索词报告!$M$2:$M$22222))</f>
        <v/>
      </c>
      <c r="G318" t="str">
        <f>IFERROR(IF(B318="","",SUMIF(搜索词报告!$A$2:$A$22222,总体数据一览!A318,搜索词报告!$V$2:$V$22222))+IF(B318="","",SUMIF(搜索词报告!$A$2:$A$22222,总体数据一览!A318,搜索词报告!$W$2:$W$22222)),"")</f>
        <v/>
      </c>
      <c r="H318" s="2" t="str">
        <f t="shared" si="17"/>
        <v/>
      </c>
    </row>
    <row r="319" spans="2:8" x14ac:dyDescent="0.15">
      <c r="B319" t="str">
        <f>IF(SUMIF(搜索词报告!$A$2:$A$22222,总体数据一览!A319,搜索词报告!$I$2:$I$22222)=0,"",SUMIF(搜索词报告!$A$2:$A$22222,总体数据一览!A319,搜索词报告!$I$2:$I$22222))</f>
        <v/>
      </c>
      <c r="C319" t="str">
        <f>IF(SUMIF(搜索词报告!$A$2:$A$22222,总体数据一览!A319,搜索词报告!$J$2:$J$22222)=0,"",SUMIF(搜索词报告!$A$2:$A$22222,总体数据一览!A319,搜索词报告!$J$2:$J$22222))</f>
        <v/>
      </c>
      <c r="D319" s="2" t="str">
        <f t="shared" si="15"/>
        <v/>
      </c>
      <c r="E319" t="str">
        <f t="shared" si="16"/>
        <v/>
      </c>
      <c r="F319" t="str">
        <f>IF(SUMIF(搜索词报告!$A$2:$A$22222,总体数据一览!A319,搜索词报告!$M$2:$M$22222)=0,"",SUMIF(搜索词报告!$A$2:$A$22222,总体数据一览!A319,搜索词报告!$M$2:$M$22222))</f>
        <v/>
      </c>
      <c r="G319" t="str">
        <f>IFERROR(IF(B319="","",SUMIF(搜索词报告!$A$2:$A$22222,总体数据一览!A319,搜索词报告!$V$2:$V$22222))+IF(B319="","",SUMIF(搜索词报告!$A$2:$A$22222,总体数据一览!A319,搜索词报告!$W$2:$W$22222)),"")</f>
        <v/>
      </c>
      <c r="H319" s="2" t="str">
        <f t="shared" si="17"/>
        <v/>
      </c>
    </row>
    <row r="320" spans="2:8" x14ac:dyDescent="0.15">
      <c r="B320" t="str">
        <f>IF(SUMIF(搜索词报告!$A$2:$A$22222,总体数据一览!A320,搜索词报告!$I$2:$I$22222)=0,"",SUMIF(搜索词报告!$A$2:$A$22222,总体数据一览!A320,搜索词报告!$I$2:$I$22222))</f>
        <v/>
      </c>
      <c r="C320" t="str">
        <f>IF(SUMIF(搜索词报告!$A$2:$A$22222,总体数据一览!A320,搜索词报告!$J$2:$J$22222)=0,"",SUMIF(搜索词报告!$A$2:$A$22222,总体数据一览!A320,搜索词报告!$J$2:$J$22222))</f>
        <v/>
      </c>
      <c r="D320" s="2" t="str">
        <f t="shared" si="15"/>
        <v/>
      </c>
      <c r="E320" t="str">
        <f t="shared" si="16"/>
        <v/>
      </c>
      <c r="F320" t="str">
        <f>IF(SUMIF(搜索词报告!$A$2:$A$22222,总体数据一览!A320,搜索词报告!$M$2:$M$22222)=0,"",SUMIF(搜索词报告!$A$2:$A$22222,总体数据一览!A320,搜索词报告!$M$2:$M$22222))</f>
        <v/>
      </c>
      <c r="G320" t="str">
        <f>IFERROR(IF(B320="","",SUMIF(搜索词报告!$A$2:$A$22222,总体数据一览!A320,搜索词报告!$V$2:$V$22222))+IF(B320="","",SUMIF(搜索词报告!$A$2:$A$22222,总体数据一览!A320,搜索词报告!$W$2:$W$22222)),"")</f>
        <v/>
      </c>
      <c r="H320" s="2" t="str">
        <f t="shared" si="17"/>
        <v/>
      </c>
    </row>
    <row r="321" spans="2:8" x14ac:dyDescent="0.15">
      <c r="B321" t="str">
        <f>IF(SUMIF(搜索词报告!$A$2:$A$22222,总体数据一览!A321,搜索词报告!$I$2:$I$22222)=0,"",SUMIF(搜索词报告!$A$2:$A$22222,总体数据一览!A321,搜索词报告!$I$2:$I$22222))</f>
        <v/>
      </c>
      <c r="C321" t="str">
        <f>IF(SUMIF(搜索词报告!$A$2:$A$22222,总体数据一览!A321,搜索词报告!$J$2:$J$22222)=0,"",SUMIF(搜索词报告!$A$2:$A$22222,总体数据一览!A321,搜索词报告!$J$2:$J$22222))</f>
        <v/>
      </c>
      <c r="D321" s="2" t="str">
        <f t="shared" si="15"/>
        <v/>
      </c>
      <c r="E321" t="str">
        <f t="shared" si="16"/>
        <v/>
      </c>
      <c r="F321" t="str">
        <f>IF(SUMIF(搜索词报告!$A$2:$A$22222,总体数据一览!A321,搜索词报告!$M$2:$M$22222)=0,"",SUMIF(搜索词报告!$A$2:$A$22222,总体数据一览!A321,搜索词报告!$M$2:$M$22222))</f>
        <v/>
      </c>
      <c r="G321" t="str">
        <f>IFERROR(IF(B321="","",SUMIF(搜索词报告!$A$2:$A$22222,总体数据一览!A321,搜索词报告!$V$2:$V$22222))+IF(B321="","",SUMIF(搜索词报告!$A$2:$A$22222,总体数据一览!A321,搜索词报告!$W$2:$W$22222)),"")</f>
        <v/>
      </c>
      <c r="H321" s="2" t="str">
        <f t="shared" si="17"/>
        <v/>
      </c>
    </row>
    <row r="322" spans="2:8" x14ac:dyDescent="0.15">
      <c r="B322" t="str">
        <f>IF(SUMIF(搜索词报告!$A$2:$A$22222,总体数据一览!A322,搜索词报告!$I$2:$I$22222)=0,"",SUMIF(搜索词报告!$A$2:$A$22222,总体数据一览!A322,搜索词报告!$I$2:$I$22222))</f>
        <v/>
      </c>
      <c r="C322" t="str">
        <f>IF(SUMIF(搜索词报告!$A$2:$A$22222,总体数据一览!A322,搜索词报告!$J$2:$J$22222)=0,"",SUMIF(搜索词报告!$A$2:$A$22222,总体数据一览!A322,搜索词报告!$J$2:$J$22222))</f>
        <v/>
      </c>
      <c r="D322" s="2" t="str">
        <f t="shared" si="15"/>
        <v/>
      </c>
      <c r="E322" t="str">
        <f t="shared" si="16"/>
        <v/>
      </c>
      <c r="F322" t="str">
        <f>IF(SUMIF(搜索词报告!$A$2:$A$22222,总体数据一览!A322,搜索词报告!$M$2:$M$22222)=0,"",SUMIF(搜索词报告!$A$2:$A$22222,总体数据一览!A322,搜索词报告!$M$2:$M$22222))</f>
        <v/>
      </c>
      <c r="G322" t="str">
        <f>IFERROR(IF(B322="","",SUMIF(搜索词报告!$A$2:$A$22222,总体数据一览!A322,搜索词报告!$V$2:$V$22222))+IF(B322="","",SUMIF(搜索词报告!$A$2:$A$22222,总体数据一览!A322,搜索词报告!$W$2:$W$22222)),"")</f>
        <v/>
      </c>
      <c r="H322" s="2" t="str">
        <f t="shared" si="17"/>
        <v/>
      </c>
    </row>
    <row r="323" spans="2:8" x14ac:dyDescent="0.15">
      <c r="B323" t="str">
        <f>IF(SUMIF(搜索词报告!$A$2:$A$22222,总体数据一览!A323,搜索词报告!$I$2:$I$22222)=0,"",SUMIF(搜索词报告!$A$2:$A$22222,总体数据一览!A323,搜索词报告!$I$2:$I$22222))</f>
        <v/>
      </c>
      <c r="C323" t="str">
        <f>IF(SUMIF(搜索词报告!$A$2:$A$22222,总体数据一览!A323,搜索词报告!$J$2:$J$22222)=0,"",SUMIF(搜索词报告!$A$2:$A$22222,总体数据一览!A323,搜索词报告!$J$2:$J$22222))</f>
        <v/>
      </c>
      <c r="D323" s="2" t="str">
        <f t="shared" si="15"/>
        <v/>
      </c>
      <c r="E323" t="str">
        <f t="shared" si="16"/>
        <v/>
      </c>
      <c r="F323" t="str">
        <f>IF(SUMIF(搜索词报告!$A$2:$A$22222,总体数据一览!A323,搜索词报告!$M$2:$M$22222)=0,"",SUMIF(搜索词报告!$A$2:$A$22222,总体数据一览!A323,搜索词报告!$M$2:$M$22222))</f>
        <v/>
      </c>
      <c r="G323" t="str">
        <f>IFERROR(IF(B323="","",SUMIF(搜索词报告!$A$2:$A$22222,总体数据一览!A323,搜索词报告!$V$2:$V$22222))+IF(B323="","",SUMIF(搜索词报告!$A$2:$A$22222,总体数据一览!A323,搜索词报告!$W$2:$W$22222)),"")</f>
        <v/>
      </c>
      <c r="H323" s="2" t="str">
        <f t="shared" si="17"/>
        <v/>
      </c>
    </row>
    <row r="324" spans="2:8" x14ac:dyDescent="0.15">
      <c r="B324" t="str">
        <f>IF(SUMIF(搜索词报告!$A$2:$A$22222,总体数据一览!A324,搜索词报告!$I$2:$I$22222)=0,"",SUMIF(搜索词报告!$A$2:$A$22222,总体数据一览!A324,搜索词报告!$I$2:$I$22222))</f>
        <v/>
      </c>
      <c r="C324" t="str">
        <f>IF(SUMIF(搜索词报告!$A$2:$A$22222,总体数据一览!A324,搜索词报告!$J$2:$J$22222)=0,"",SUMIF(搜索词报告!$A$2:$A$22222,总体数据一览!A324,搜索词报告!$J$2:$J$22222))</f>
        <v/>
      </c>
      <c r="D324" s="2" t="str">
        <f t="shared" si="15"/>
        <v/>
      </c>
      <c r="E324" t="str">
        <f t="shared" si="16"/>
        <v/>
      </c>
      <c r="F324" t="str">
        <f>IF(SUMIF(搜索词报告!$A$2:$A$22222,总体数据一览!A324,搜索词报告!$M$2:$M$22222)=0,"",SUMIF(搜索词报告!$A$2:$A$22222,总体数据一览!A324,搜索词报告!$M$2:$M$22222))</f>
        <v/>
      </c>
      <c r="G324" t="str">
        <f>IFERROR(IF(B324="","",SUMIF(搜索词报告!$A$2:$A$22222,总体数据一览!A324,搜索词报告!$V$2:$V$22222))+IF(B324="","",SUMIF(搜索词报告!$A$2:$A$22222,总体数据一览!A324,搜索词报告!$W$2:$W$22222)),"")</f>
        <v/>
      </c>
      <c r="H324" s="2" t="str">
        <f t="shared" si="17"/>
        <v/>
      </c>
    </row>
    <row r="325" spans="2:8" x14ac:dyDescent="0.15">
      <c r="B325" t="str">
        <f>IF(SUMIF(搜索词报告!$A$2:$A$22222,总体数据一览!A325,搜索词报告!$I$2:$I$22222)=0,"",SUMIF(搜索词报告!$A$2:$A$22222,总体数据一览!A325,搜索词报告!$I$2:$I$22222))</f>
        <v/>
      </c>
      <c r="C325" t="str">
        <f>IF(SUMIF(搜索词报告!$A$2:$A$22222,总体数据一览!A325,搜索词报告!$J$2:$J$22222)=0,"",SUMIF(搜索词报告!$A$2:$A$22222,总体数据一览!A325,搜索词报告!$J$2:$J$22222))</f>
        <v/>
      </c>
      <c r="D325" s="2" t="str">
        <f t="shared" si="15"/>
        <v/>
      </c>
      <c r="E325" t="str">
        <f t="shared" si="16"/>
        <v/>
      </c>
      <c r="F325" t="str">
        <f>IF(SUMIF(搜索词报告!$A$2:$A$22222,总体数据一览!A325,搜索词报告!$M$2:$M$22222)=0,"",SUMIF(搜索词报告!$A$2:$A$22222,总体数据一览!A325,搜索词报告!$M$2:$M$22222))</f>
        <v/>
      </c>
      <c r="G325" t="str">
        <f>IFERROR(IF(B325="","",SUMIF(搜索词报告!$A$2:$A$22222,总体数据一览!A325,搜索词报告!$V$2:$V$22222))+IF(B325="","",SUMIF(搜索词报告!$A$2:$A$22222,总体数据一览!A325,搜索词报告!$W$2:$W$22222)),"")</f>
        <v/>
      </c>
      <c r="H325" s="2" t="str">
        <f t="shared" si="17"/>
        <v/>
      </c>
    </row>
    <row r="326" spans="2:8" x14ac:dyDescent="0.15">
      <c r="B326" t="str">
        <f>IF(SUMIF(搜索词报告!$A$2:$A$22222,总体数据一览!A326,搜索词报告!$I$2:$I$22222)=0,"",SUMIF(搜索词报告!$A$2:$A$22222,总体数据一览!A326,搜索词报告!$I$2:$I$22222))</f>
        <v/>
      </c>
      <c r="C326" t="str">
        <f>IF(SUMIF(搜索词报告!$A$2:$A$22222,总体数据一览!A326,搜索词报告!$J$2:$J$22222)=0,"",SUMIF(搜索词报告!$A$2:$A$22222,总体数据一览!A326,搜索词报告!$J$2:$J$22222))</f>
        <v/>
      </c>
      <c r="D326" s="2" t="str">
        <f t="shared" si="15"/>
        <v/>
      </c>
      <c r="E326" t="str">
        <f t="shared" si="16"/>
        <v/>
      </c>
      <c r="F326" t="str">
        <f>IF(SUMIF(搜索词报告!$A$2:$A$22222,总体数据一览!A326,搜索词报告!$M$2:$M$22222)=0,"",SUMIF(搜索词报告!$A$2:$A$22222,总体数据一览!A326,搜索词报告!$M$2:$M$22222))</f>
        <v/>
      </c>
      <c r="G326" t="str">
        <f>IFERROR(IF(B326="","",SUMIF(搜索词报告!$A$2:$A$22222,总体数据一览!A326,搜索词报告!$V$2:$V$22222))+IF(B326="","",SUMIF(搜索词报告!$A$2:$A$22222,总体数据一览!A326,搜索词报告!$W$2:$W$22222)),"")</f>
        <v/>
      </c>
      <c r="H326" s="2" t="str">
        <f t="shared" si="17"/>
        <v/>
      </c>
    </row>
    <row r="327" spans="2:8" x14ac:dyDescent="0.15">
      <c r="B327" t="str">
        <f>IF(SUMIF(搜索词报告!$A$2:$A$22222,总体数据一览!A327,搜索词报告!$I$2:$I$22222)=0,"",SUMIF(搜索词报告!$A$2:$A$22222,总体数据一览!A327,搜索词报告!$I$2:$I$22222))</f>
        <v/>
      </c>
      <c r="C327" t="str">
        <f>IF(SUMIF(搜索词报告!$A$2:$A$22222,总体数据一览!A327,搜索词报告!$J$2:$J$22222)=0,"",SUMIF(搜索词报告!$A$2:$A$22222,总体数据一览!A327,搜索词报告!$J$2:$J$22222))</f>
        <v/>
      </c>
      <c r="D327" s="2" t="str">
        <f t="shared" si="15"/>
        <v/>
      </c>
      <c r="E327" t="str">
        <f t="shared" si="16"/>
        <v/>
      </c>
      <c r="F327" t="str">
        <f>IF(SUMIF(搜索词报告!$A$2:$A$22222,总体数据一览!A327,搜索词报告!$M$2:$M$22222)=0,"",SUMIF(搜索词报告!$A$2:$A$22222,总体数据一览!A327,搜索词报告!$M$2:$M$22222))</f>
        <v/>
      </c>
      <c r="G327" t="str">
        <f>IFERROR(IF(B327="","",SUMIF(搜索词报告!$A$2:$A$22222,总体数据一览!A327,搜索词报告!$V$2:$V$22222))+IF(B327="","",SUMIF(搜索词报告!$A$2:$A$22222,总体数据一览!A327,搜索词报告!$W$2:$W$22222)),"")</f>
        <v/>
      </c>
      <c r="H327" s="2" t="str">
        <f t="shared" si="17"/>
        <v/>
      </c>
    </row>
    <row r="328" spans="2:8" x14ac:dyDescent="0.15">
      <c r="B328" t="str">
        <f>IF(SUMIF(搜索词报告!$A$2:$A$22222,总体数据一览!A328,搜索词报告!$I$2:$I$22222)=0,"",SUMIF(搜索词报告!$A$2:$A$22222,总体数据一览!A328,搜索词报告!$I$2:$I$22222))</f>
        <v/>
      </c>
      <c r="C328" t="str">
        <f>IF(SUMIF(搜索词报告!$A$2:$A$22222,总体数据一览!A328,搜索词报告!$J$2:$J$22222)=0,"",SUMIF(搜索词报告!$A$2:$A$22222,总体数据一览!A328,搜索词报告!$J$2:$J$22222))</f>
        <v/>
      </c>
      <c r="D328" s="2" t="str">
        <f t="shared" si="15"/>
        <v/>
      </c>
      <c r="E328" t="str">
        <f t="shared" si="16"/>
        <v/>
      </c>
      <c r="F328" t="str">
        <f>IF(SUMIF(搜索词报告!$A$2:$A$22222,总体数据一览!A328,搜索词报告!$M$2:$M$22222)=0,"",SUMIF(搜索词报告!$A$2:$A$22222,总体数据一览!A328,搜索词报告!$M$2:$M$22222))</f>
        <v/>
      </c>
      <c r="G328" t="str">
        <f>IFERROR(IF(B328="","",SUMIF(搜索词报告!$A$2:$A$22222,总体数据一览!A328,搜索词报告!$V$2:$V$22222))+IF(B328="","",SUMIF(搜索词报告!$A$2:$A$22222,总体数据一览!A328,搜索词报告!$W$2:$W$22222)),"")</f>
        <v/>
      </c>
      <c r="H328" s="2" t="str">
        <f t="shared" si="17"/>
        <v/>
      </c>
    </row>
    <row r="329" spans="2:8" x14ac:dyDescent="0.15">
      <c r="B329" t="str">
        <f>IF(SUMIF(搜索词报告!$A$2:$A$22222,总体数据一览!A329,搜索词报告!$I$2:$I$22222)=0,"",SUMIF(搜索词报告!$A$2:$A$22222,总体数据一览!A329,搜索词报告!$I$2:$I$22222))</f>
        <v/>
      </c>
      <c r="C329" t="str">
        <f>IF(SUMIF(搜索词报告!$A$2:$A$22222,总体数据一览!A329,搜索词报告!$J$2:$J$22222)=0,"",SUMIF(搜索词报告!$A$2:$A$22222,总体数据一览!A329,搜索词报告!$J$2:$J$22222))</f>
        <v/>
      </c>
      <c r="D329" s="2" t="str">
        <f t="shared" si="15"/>
        <v/>
      </c>
      <c r="E329" t="str">
        <f t="shared" si="16"/>
        <v/>
      </c>
      <c r="F329" t="str">
        <f>IF(SUMIF(搜索词报告!$A$2:$A$22222,总体数据一览!A329,搜索词报告!$M$2:$M$22222)=0,"",SUMIF(搜索词报告!$A$2:$A$22222,总体数据一览!A329,搜索词报告!$M$2:$M$22222))</f>
        <v/>
      </c>
      <c r="G329" t="str">
        <f>IFERROR(IF(B329="","",SUMIF(搜索词报告!$A$2:$A$22222,总体数据一览!A329,搜索词报告!$V$2:$V$22222))+IF(B329="","",SUMIF(搜索词报告!$A$2:$A$22222,总体数据一览!A329,搜索词报告!$W$2:$W$22222)),"")</f>
        <v/>
      </c>
      <c r="H329" s="2" t="str">
        <f t="shared" si="17"/>
        <v/>
      </c>
    </row>
    <row r="330" spans="2:8" x14ac:dyDescent="0.15">
      <c r="B330" t="str">
        <f>IF(SUMIF(搜索词报告!$A$2:$A$22222,总体数据一览!A330,搜索词报告!$I$2:$I$22222)=0,"",SUMIF(搜索词报告!$A$2:$A$22222,总体数据一览!A330,搜索词报告!$I$2:$I$22222))</f>
        <v/>
      </c>
      <c r="C330" t="str">
        <f>IF(SUMIF(搜索词报告!$A$2:$A$22222,总体数据一览!A330,搜索词报告!$J$2:$J$22222)=0,"",SUMIF(搜索词报告!$A$2:$A$22222,总体数据一览!A330,搜索词报告!$J$2:$J$22222))</f>
        <v/>
      </c>
      <c r="D330" s="2" t="str">
        <f t="shared" si="15"/>
        <v/>
      </c>
      <c r="E330" t="str">
        <f t="shared" si="16"/>
        <v/>
      </c>
      <c r="F330" t="str">
        <f>IF(SUMIF(搜索词报告!$A$2:$A$22222,总体数据一览!A330,搜索词报告!$M$2:$M$22222)=0,"",SUMIF(搜索词报告!$A$2:$A$22222,总体数据一览!A330,搜索词报告!$M$2:$M$22222))</f>
        <v/>
      </c>
      <c r="G330" t="str">
        <f>IFERROR(IF(B330="","",SUMIF(搜索词报告!$A$2:$A$22222,总体数据一览!A330,搜索词报告!$V$2:$V$22222))+IF(B330="","",SUMIF(搜索词报告!$A$2:$A$22222,总体数据一览!A330,搜索词报告!$W$2:$W$22222)),"")</f>
        <v/>
      </c>
      <c r="H330" s="2" t="str">
        <f t="shared" si="17"/>
        <v/>
      </c>
    </row>
    <row r="331" spans="2:8" x14ac:dyDescent="0.15">
      <c r="B331" t="str">
        <f>IF(SUMIF(搜索词报告!$A$2:$A$22222,总体数据一览!A331,搜索词报告!$I$2:$I$22222)=0,"",SUMIF(搜索词报告!$A$2:$A$22222,总体数据一览!A331,搜索词报告!$I$2:$I$22222))</f>
        <v/>
      </c>
      <c r="C331" t="str">
        <f>IF(SUMIF(搜索词报告!$A$2:$A$22222,总体数据一览!A331,搜索词报告!$J$2:$J$22222)=0,"",SUMIF(搜索词报告!$A$2:$A$22222,总体数据一览!A331,搜索词报告!$J$2:$J$22222))</f>
        <v/>
      </c>
      <c r="D331" s="2" t="str">
        <f t="shared" si="15"/>
        <v/>
      </c>
      <c r="E331" t="str">
        <f t="shared" si="16"/>
        <v/>
      </c>
      <c r="F331" t="str">
        <f>IF(SUMIF(搜索词报告!$A$2:$A$22222,总体数据一览!A331,搜索词报告!$M$2:$M$22222)=0,"",SUMIF(搜索词报告!$A$2:$A$22222,总体数据一览!A331,搜索词报告!$M$2:$M$22222))</f>
        <v/>
      </c>
      <c r="G331" t="str">
        <f>IFERROR(IF(B331="","",SUMIF(搜索词报告!$A$2:$A$22222,总体数据一览!A331,搜索词报告!$V$2:$V$22222))+IF(B331="","",SUMIF(搜索词报告!$A$2:$A$22222,总体数据一览!A331,搜索词报告!$W$2:$W$22222)),"")</f>
        <v/>
      </c>
      <c r="H331" s="2" t="str">
        <f t="shared" si="17"/>
        <v/>
      </c>
    </row>
    <row r="332" spans="2:8" x14ac:dyDescent="0.15">
      <c r="B332" t="str">
        <f>IF(SUMIF(搜索词报告!$A$2:$A$22222,总体数据一览!A332,搜索词报告!$I$2:$I$22222)=0,"",SUMIF(搜索词报告!$A$2:$A$22222,总体数据一览!A332,搜索词报告!$I$2:$I$22222))</f>
        <v/>
      </c>
      <c r="C332" t="str">
        <f>IF(SUMIF(搜索词报告!$A$2:$A$22222,总体数据一览!A332,搜索词报告!$J$2:$J$22222)=0,"",SUMIF(搜索词报告!$A$2:$A$22222,总体数据一览!A332,搜索词报告!$J$2:$J$22222))</f>
        <v/>
      </c>
      <c r="D332" s="2" t="str">
        <f t="shared" si="15"/>
        <v/>
      </c>
      <c r="E332" t="str">
        <f t="shared" si="16"/>
        <v/>
      </c>
      <c r="F332" t="str">
        <f>IF(SUMIF(搜索词报告!$A$2:$A$22222,总体数据一览!A332,搜索词报告!$M$2:$M$22222)=0,"",SUMIF(搜索词报告!$A$2:$A$22222,总体数据一览!A332,搜索词报告!$M$2:$M$22222))</f>
        <v/>
      </c>
      <c r="G332" t="str">
        <f>IFERROR(IF(B332="","",SUMIF(搜索词报告!$A$2:$A$22222,总体数据一览!A332,搜索词报告!$V$2:$V$22222))+IF(B332="","",SUMIF(搜索词报告!$A$2:$A$22222,总体数据一览!A332,搜索词报告!$W$2:$W$22222)),"")</f>
        <v/>
      </c>
      <c r="H332" s="2" t="str">
        <f t="shared" si="17"/>
        <v/>
      </c>
    </row>
    <row r="333" spans="2:8" x14ac:dyDescent="0.15">
      <c r="B333" t="str">
        <f>IF(SUMIF(搜索词报告!$A$2:$A$22222,总体数据一览!A333,搜索词报告!$I$2:$I$22222)=0,"",SUMIF(搜索词报告!$A$2:$A$22222,总体数据一览!A333,搜索词报告!$I$2:$I$22222))</f>
        <v/>
      </c>
      <c r="C333" t="str">
        <f>IF(SUMIF(搜索词报告!$A$2:$A$22222,总体数据一览!A333,搜索词报告!$J$2:$J$22222)=0,"",SUMIF(搜索词报告!$A$2:$A$22222,总体数据一览!A333,搜索词报告!$J$2:$J$22222))</f>
        <v/>
      </c>
      <c r="D333" s="2" t="str">
        <f t="shared" si="15"/>
        <v/>
      </c>
      <c r="E333" t="str">
        <f t="shared" si="16"/>
        <v/>
      </c>
      <c r="F333" t="str">
        <f>IF(SUMIF(搜索词报告!$A$2:$A$22222,总体数据一览!A333,搜索词报告!$M$2:$M$22222)=0,"",SUMIF(搜索词报告!$A$2:$A$22222,总体数据一览!A333,搜索词报告!$M$2:$M$22222))</f>
        <v/>
      </c>
      <c r="G333" t="str">
        <f>IFERROR(IF(B333="","",SUMIF(搜索词报告!$A$2:$A$22222,总体数据一览!A333,搜索词报告!$V$2:$V$22222))+IF(B333="","",SUMIF(搜索词报告!$A$2:$A$22222,总体数据一览!A333,搜索词报告!$W$2:$W$22222)),"")</f>
        <v/>
      </c>
      <c r="H333" s="2" t="str">
        <f t="shared" si="17"/>
        <v/>
      </c>
    </row>
    <row r="334" spans="2:8" x14ac:dyDescent="0.15">
      <c r="B334" t="str">
        <f>IF(SUMIF(搜索词报告!$A$2:$A$22222,总体数据一览!A334,搜索词报告!$I$2:$I$22222)=0,"",SUMIF(搜索词报告!$A$2:$A$22222,总体数据一览!A334,搜索词报告!$I$2:$I$22222))</f>
        <v/>
      </c>
      <c r="C334" t="str">
        <f>IF(SUMIF(搜索词报告!$A$2:$A$22222,总体数据一览!A334,搜索词报告!$J$2:$J$22222)=0,"",SUMIF(搜索词报告!$A$2:$A$22222,总体数据一览!A334,搜索词报告!$J$2:$J$22222))</f>
        <v/>
      </c>
      <c r="D334" s="2" t="str">
        <f t="shared" si="15"/>
        <v/>
      </c>
      <c r="E334" t="str">
        <f t="shared" si="16"/>
        <v/>
      </c>
      <c r="F334" t="str">
        <f>IF(SUMIF(搜索词报告!$A$2:$A$22222,总体数据一览!A334,搜索词报告!$M$2:$M$22222)=0,"",SUMIF(搜索词报告!$A$2:$A$22222,总体数据一览!A334,搜索词报告!$M$2:$M$22222))</f>
        <v/>
      </c>
      <c r="G334" t="str">
        <f>IFERROR(IF(B334="","",SUMIF(搜索词报告!$A$2:$A$22222,总体数据一览!A334,搜索词报告!$V$2:$V$22222))+IF(B334="","",SUMIF(搜索词报告!$A$2:$A$22222,总体数据一览!A334,搜索词报告!$W$2:$W$22222)),"")</f>
        <v/>
      </c>
      <c r="H334" s="2" t="str">
        <f t="shared" si="17"/>
        <v/>
      </c>
    </row>
    <row r="335" spans="2:8" x14ac:dyDescent="0.15">
      <c r="B335" t="str">
        <f>IF(SUMIF(搜索词报告!$A$2:$A$22222,总体数据一览!A335,搜索词报告!$I$2:$I$22222)=0,"",SUMIF(搜索词报告!$A$2:$A$22222,总体数据一览!A335,搜索词报告!$I$2:$I$22222))</f>
        <v/>
      </c>
      <c r="C335" t="str">
        <f>IF(SUMIF(搜索词报告!$A$2:$A$22222,总体数据一览!A335,搜索词报告!$J$2:$J$22222)=0,"",SUMIF(搜索词报告!$A$2:$A$22222,总体数据一览!A335,搜索词报告!$J$2:$J$22222))</f>
        <v/>
      </c>
      <c r="D335" s="2" t="str">
        <f t="shared" si="15"/>
        <v/>
      </c>
      <c r="E335" t="str">
        <f t="shared" si="16"/>
        <v/>
      </c>
      <c r="F335" t="str">
        <f>IF(SUMIF(搜索词报告!$A$2:$A$22222,总体数据一览!A335,搜索词报告!$M$2:$M$22222)=0,"",SUMIF(搜索词报告!$A$2:$A$22222,总体数据一览!A335,搜索词报告!$M$2:$M$22222))</f>
        <v/>
      </c>
      <c r="G335" t="str">
        <f>IFERROR(IF(B335="","",SUMIF(搜索词报告!$A$2:$A$22222,总体数据一览!A335,搜索词报告!$V$2:$V$22222))+IF(B335="","",SUMIF(搜索词报告!$A$2:$A$22222,总体数据一览!A335,搜索词报告!$W$2:$W$22222)),"")</f>
        <v/>
      </c>
      <c r="H335" s="2" t="str">
        <f t="shared" si="17"/>
        <v/>
      </c>
    </row>
    <row r="336" spans="2:8" x14ac:dyDescent="0.15">
      <c r="B336" t="str">
        <f>IF(SUMIF(搜索词报告!$A$2:$A$22222,总体数据一览!A336,搜索词报告!$I$2:$I$22222)=0,"",SUMIF(搜索词报告!$A$2:$A$22222,总体数据一览!A336,搜索词报告!$I$2:$I$22222))</f>
        <v/>
      </c>
      <c r="C336" t="str">
        <f>IF(SUMIF(搜索词报告!$A$2:$A$22222,总体数据一览!A336,搜索词报告!$J$2:$J$22222)=0,"",SUMIF(搜索词报告!$A$2:$A$22222,总体数据一览!A336,搜索词报告!$J$2:$J$22222))</f>
        <v/>
      </c>
      <c r="D336" s="2" t="str">
        <f t="shared" si="15"/>
        <v/>
      </c>
      <c r="E336" t="str">
        <f t="shared" si="16"/>
        <v/>
      </c>
      <c r="F336" t="str">
        <f>IF(SUMIF(搜索词报告!$A$2:$A$22222,总体数据一览!A336,搜索词报告!$M$2:$M$22222)=0,"",SUMIF(搜索词报告!$A$2:$A$22222,总体数据一览!A336,搜索词报告!$M$2:$M$22222))</f>
        <v/>
      </c>
      <c r="G336" t="str">
        <f>IFERROR(IF(B336="","",SUMIF(搜索词报告!$A$2:$A$22222,总体数据一览!A336,搜索词报告!$V$2:$V$22222))+IF(B336="","",SUMIF(搜索词报告!$A$2:$A$22222,总体数据一览!A336,搜索词报告!$W$2:$W$22222)),"")</f>
        <v/>
      </c>
      <c r="H336" s="2" t="str">
        <f t="shared" si="17"/>
        <v/>
      </c>
    </row>
    <row r="337" spans="2:8" x14ac:dyDescent="0.15">
      <c r="B337" t="str">
        <f>IF(SUMIF(搜索词报告!$A$2:$A$22222,总体数据一览!A337,搜索词报告!$I$2:$I$22222)=0,"",SUMIF(搜索词报告!$A$2:$A$22222,总体数据一览!A337,搜索词报告!$I$2:$I$22222))</f>
        <v/>
      </c>
      <c r="C337" t="str">
        <f>IF(SUMIF(搜索词报告!$A$2:$A$22222,总体数据一览!A337,搜索词报告!$J$2:$J$22222)=0,"",SUMIF(搜索词报告!$A$2:$A$22222,总体数据一览!A337,搜索词报告!$J$2:$J$22222))</f>
        <v/>
      </c>
      <c r="D337" s="2" t="str">
        <f t="shared" si="15"/>
        <v/>
      </c>
      <c r="E337" t="str">
        <f t="shared" si="16"/>
        <v/>
      </c>
      <c r="F337" t="str">
        <f>IF(SUMIF(搜索词报告!$A$2:$A$22222,总体数据一览!A337,搜索词报告!$M$2:$M$22222)=0,"",SUMIF(搜索词报告!$A$2:$A$22222,总体数据一览!A337,搜索词报告!$M$2:$M$22222))</f>
        <v/>
      </c>
      <c r="G337" t="str">
        <f>IFERROR(IF(B337="","",SUMIF(搜索词报告!$A$2:$A$22222,总体数据一览!A337,搜索词报告!$V$2:$V$22222))+IF(B337="","",SUMIF(搜索词报告!$A$2:$A$22222,总体数据一览!A337,搜索词报告!$W$2:$W$22222)),"")</f>
        <v/>
      </c>
      <c r="H337" s="2" t="str">
        <f t="shared" si="17"/>
        <v/>
      </c>
    </row>
    <row r="338" spans="2:8" x14ac:dyDescent="0.15">
      <c r="B338" t="str">
        <f>IF(SUMIF(搜索词报告!$A$2:$A$22222,总体数据一览!A338,搜索词报告!$I$2:$I$22222)=0,"",SUMIF(搜索词报告!$A$2:$A$22222,总体数据一览!A338,搜索词报告!$I$2:$I$22222))</f>
        <v/>
      </c>
      <c r="C338" t="str">
        <f>IF(SUMIF(搜索词报告!$A$2:$A$22222,总体数据一览!A338,搜索词报告!$J$2:$J$22222)=0,"",SUMIF(搜索词报告!$A$2:$A$22222,总体数据一览!A338,搜索词报告!$J$2:$J$22222))</f>
        <v/>
      </c>
      <c r="D338" s="2" t="str">
        <f t="shared" si="15"/>
        <v/>
      </c>
      <c r="E338" t="str">
        <f t="shared" si="16"/>
        <v/>
      </c>
      <c r="F338" t="str">
        <f>IF(SUMIF(搜索词报告!$A$2:$A$22222,总体数据一览!A338,搜索词报告!$M$2:$M$22222)=0,"",SUMIF(搜索词报告!$A$2:$A$22222,总体数据一览!A338,搜索词报告!$M$2:$M$22222))</f>
        <v/>
      </c>
      <c r="G338" t="str">
        <f>IFERROR(IF(B338="","",SUMIF(搜索词报告!$A$2:$A$22222,总体数据一览!A338,搜索词报告!$V$2:$V$22222))+IF(B338="","",SUMIF(搜索词报告!$A$2:$A$22222,总体数据一览!A338,搜索词报告!$W$2:$W$22222)),"")</f>
        <v/>
      </c>
      <c r="H338" s="2" t="str">
        <f t="shared" si="17"/>
        <v/>
      </c>
    </row>
    <row r="339" spans="2:8" x14ac:dyDescent="0.15">
      <c r="B339" t="str">
        <f>IF(SUMIF(搜索词报告!$A$2:$A$22222,总体数据一览!A339,搜索词报告!$I$2:$I$22222)=0,"",SUMIF(搜索词报告!$A$2:$A$22222,总体数据一览!A339,搜索词报告!$I$2:$I$22222))</f>
        <v/>
      </c>
      <c r="C339" t="str">
        <f>IF(SUMIF(搜索词报告!$A$2:$A$22222,总体数据一览!A339,搜索词报告!$J$2:$J$22222)=0,"",SUMIF(搜索词报告!$A$2:$A$22222,总体数据一览!A339,搜索词报告!$J$2:$J$22222))</f>
        <v/>
      </c>
      <c r="D339" s="2" t="str">
        <f t="shared" si="15"/>
        <v/>
      </c>
      <c r="E339" t="str">
        <f t="shared" si="16"/>
        <v/>
      </c>
      <c r="F339" t="str">
        <f>IF(SUMIF(搜索词报告!$A$2:$A$22222,总体数据一览!A339,搜索词报告!$M$2:$M$22222)=0,"",SUMIF(搜索词报告!$A$2:$A$22222,总体数据一览!A339,搜索词报告!$M$2:$M$22222))</f>
        <v/>
      </c>
      <c r="G339" t="str">
        <f>IFERROR(IF(B339="","",SUMIF(搜索词报告!$A$2:$A$22222,总体数据一览!A339,搜索词报告!$V$2:$V$22222))+IF(B339="","",SUMIF(搜索词报告!$A$2:$A$22222,总体数据一览!A339,搜索词报告!$W$2:$W$22222)),"")</f>
        <v/>
      </c>
      <c r="H339" s="2" t="str">
        <f t="shared" si="17"/>
        <v/>
      </c>
    </row>
    <row r="340" spans="2:8" x14ac:dyDescent="0.15">
      <c r="B340" t="str">
        <f>IF(SUMIF(搜索词报告!$A$2:$A$22222,总体数据一览!A340,搜索词报告!$I$2:$I$22222)=0,"",SUMIF(搜索词报告!$A$2:$A$22222,总体数据一览!A340,搜索词报告!$I$2:$I$22222))</f>
        <v/>
      </c>
      <c r="C340" t="str">
        <f>IF(SUMIF(搜索词报告!$A$2:$A$22222,总体数据一览!A340,搜索词报告!$J$2:$J$22222)=0,"",SUMIF(搜索词报告!$A$2:$A$22222,总体数据一览!A340,搜索词报告!$J$2:$J$22222))</f>
        <v/>
      </c>
      <c r="D340" s="2" t="str">
        <f t="shared" ref="D340:D403" si="18">IFERROR(ROUND(C340/B340,4),"")</f>
        <v/>
      </c>
      <c r="E340" t="str">
        <f t="shared" ref="E340:E403" si="19">IFERROR(ROUND(F340/C340,2),"")</f>
        <v/>
      </c>
      <c r="F340" t="str">
        <f>IF(SUMIF(搜索词报告!$A$2:$A$22222,总体数据一览!A340,搜索词报告!$M$2:$M$22222)=0,"",SUMIF(搜索词报告!$A$2:$A$22222,总体数据一览!A340,搜索词报告!$M$2:$M$22222))</f>
        <v/>
      </c>
      <c r="G340" t="str">
        <f>IFERROR(IF(B340="","",SUMIF(搜索词报告!$A$2:$A$22222,总体数据一览!A340,搜索词报告!$V$2:$V$22222))+IF(B340="","",SUMIF(搜索词报告!$A$2:$A$22222,总体数据一览!A340,搜索词报告!$W$2:$W$22222)),"")</f>
        <v/>
      </c>
      <c r="H340" s="2" t="str">
        <f t="shared" ref="H340:H403" si="20">IFERROR(ROUND(F340/G340,2),"")</f>
        <v/>
      </c>
    </row>
    <row r="341" spans="2:8" x14ac:dyDescent="0.15">
      <c r="B341" t="str">
        <f>IF(SUMIF(搜索词报告!$A$2:$A$22222,总体数据一览!A341,搜索词报告!$I$2:$I$22222)=0,"",SUMIF(搜索词报告!$A$2:$A$22222,总体数据一览!A341,搜索词报告!$I$2:$I$22222))</f>
        <v/>
      </c>
      <c r="C341" t="str">
        <f>IF(SUMIF(搜索词报告!$A$2:$A$22222,总体数据一览!A341,搜索词报告!$J$2:$J$22222)=0,"",SUMIF(搜索词报告!$A$2:$A$22222,总体数据一览!A341,搜索词报告!$J$2:$J$22222))</f>
        <v/>
      </c>
      <c r="D341" s="2" t="str">
        <f t="shared" si="18"/>
        <v/>
      </c>
      <c r="E341" t="str">
        <f t="shared" si="19"/>
        <v/>
      </c>
      <c r="F341" t="str">
        <f>IF(SUMIF(搜索词报告!$A$2:$A$22222,总体数据一览!A341,搜索词报告!$M$2:$M$22222)=0,"",SUMIF(搜索词报告!$A$2:$A$22222,总体数据一览!A341,搜索词报告!$M$2:$M$22222))</f>
        <v/>
      </c>
      <c r="G341" t="str">
        <f>IFERROR(IF(B341="","",SUMIF(搜索词报告!$A$2:$A$22222,总体数据一览!A341,搜索词报告!$V$2:$V$22222))+IF(B341="","",SUMIF(搜索词报告!$A$2:$A$22222,总体数据一览!A341,搜索词报告!$W$2:$W$22222)),"")</f>
        <v/>
      </c>
      <c r="H341" s="2" t="str">
        <f t="shared" si="20"/>
        <v/>
      </c>
    </row>
    <row r="342" spans="2:8" x14ac:dyDescent="0.15">
      <c r="B342" t="str">
        <f>IF(SUMIF(搜索词报告!$A$2:$A$22222,总体数据一览!A342,搜索词报告!$I$2:$I$22222)=0,"",SUMIF(搜索词报告!$A$2:$A$22222,总体数据一览!A342,搜索词报告!$I$2:$I$22222))</f>
        <v/>
      </c>
      <c r="C342" t="str">
        <f>IF(SUMIF(搜索词报告!$A$2:$A$22222,总体数据一览!A342,搜索词报告!$J$2:$J$22222)=0,"",SUMIF(搜索词报告!$A$2:$A$22222,总体数据一览!A342,搜索词报告!$J$2:$J$22222))</f>
        <v/>
      </c>
      <c r="D342" s="2" t="str">
        <f t="shared" si="18"/>
        <v/>
      </c>
      <c r="E342" t="str">
        <f t="shared" si="19"/>
        <v/>
      </c>
      <c r="F342" t="str">
        <f>IF(SUMIF(搜索词报告!$A$2:$A$22222,总体数据一览!A342,搜索词报告!$M$2:$M$22222)=0,"",SUMIF(搜索词报告!$A$2:$A$22222,总体数据一览!A342,搜索词报告!$M$2:$M$22222))</f>
        <v/>
      </c>
      <c r="G342" t="str">
        <f>IFERROR(IF(B342="","",SUMIF(搜索词报告!$A$2:$A$22222,总体数据一览!A342,搜索词报告!$V$2:$V$22222))+IF(B342="","",SUMIF(搜索词报告!$A$2:$A$22222,总体数据一览!A342,搜索词报告!$W$2:$W$22222)),"")</f>
        <v/>
      </c>
      <c r="H342" s="2" t="str">
        <f t="shared" si="20"/>
        <v/>
      </c>
    </row>
    <row r="343" spans="2:8" x14ac:dyDescent="0.15">
      <c r="B343" t="str">
        <f>IF(SUMIF(搜索词报告!$A$2:$A$22222,总体数据一览!A343,搜索词报告!$I$2:$I$22222)=0,"",SUMIF(搜索词报告!$A$2:$A$22222,总体数据一览!A343,搜索词报告!$I$2:$I$22222))</f>
        <v/>
      </c>
      <c r="C343" t="str">
        <f>IF(SUMIF(搜索词报告!$A$2:$A$22222,总体数据一览!A343,搜索词报告!$J$2:$J$22222)=0,"",SUMIF(搜索词报告!$A$2:$A$22222,总体数据一览!A343,搜索词报告!$J$2:$J$22222))</f>
        <v/>
      </c>
      <c r="D343" s="2" t="str">
        <f t="shared" si="18"/>
        <v/>
      </c>
      <c r="E343" t="str">
        <f t="shared" si="19"/>
        <v/>
      </c>
      <c r="F343" t="str">
        <f>IF(SUMIF(搜索词报告!$A$2:$A$22222,总体数据一览!A343,搜索词报告!$M$2:$M$22222)=0,"",SUMIF(搜索词报告!$A$2:$A$22222,总体数据一览!A343,搜索词报告!$M$2:$M$22222))</f>
        <v/>
      </c>
      <c r="G343" t="str">
        <f>IFERROR(IF(B343="","",SUMIF(搜索词报告!$A$2:$A$22222,总体数据一览!A343,搜索词报告!$V$2:$V$22222))+IF(B343="","",SUMIF(搜索词报告!$A$2:$A$22222,总体数据一览!A343,搜索词报告!$W$2:$W$22222)),"")</f>
        <v/>
      </c>
      <c r="H343" s="2" t="str">
        <f t="shared" si="20"/>
        <v/>
      </c>
    </row>
    <row r="344" spans="2:8" x14ac:dyDescent="0.15">
      <c r="B344" t="str">
        <f>IF(SUMIF(搜索词报告!$A$2:$A$22222,总体数据一览!A344,搜索词报告!$I$2:$I$22222)=0,"",SUMIF(搜索词报告!$A$2:$A$22222,总体数据一览!A344,搜索词报告!$I$2:$I$22222))</f>
        <v/>
      </c>
      <c r="C344" t="str">
        <f>IF(SUMIF(搜索词报告!$A$2:$A$22222,总体数据一览!A344,搜索词报告!$J$2:$J$22222)=0,"",SUMIF(搜索词报告!$A$2:$A$22222,总体数据一览!A344,搜索词报告!$J$2:$J$22222))</f>
        <v/>
      </c>
      <c r="D344" s="2" t="str">
        <f t="shared" si="18"/>
        <v/>
      </c>
      <c r="E344" t="str">
        <f t="shared" si="19"/>
        <v/>
      </c>
      <c r="F344" t="str">
        <f>IF(SUMIF(搜索词报告!$A$2:$A$22222,总体数据一览!A344,搜索词报告!$M$2:$M$22222)=0,"",SUMIF(搜索词报告!$A$2:$A$22222,总体数据一览!A344,搜索词报告!$M$2:$M$22222))</f>
        <v/>
      </c>
      <c r="G344" t="str">
        <f>IFERROR(IF(B344="","",SUMIF(搜索词报告!$A$2:$A$22222,总体数据一览!A344,搜索词报告!$V$2:$V$22222))+IF(B344="","",SUMIF(搜索词报告!$A$2:$A$22222,总体数据一览!A344,搜索词报告!$W$2:$W$22222)),"")</f>
        <v/>
      </c>
      <c r="H344" s="2" t="str">
        <f t="shared" si="20"/>
        <v/>
      </c>
    </row>
    <row r="345" spans="2:8" x14ac:dyDescent="0.15">
      <c r="B345" t="str">
        <f>IF(SUMIF(搜索词报告!$A$2:$A$22222,总体数据一览!A345,搜索词报告!$I$2:$I$22222)=0,"",SUMIF(搜索词报告!$A$2:$A$22222,总体数据一览!A345,搜索词报告!$I$2:$I$22222))</f>
        <v/>
      </c>
      <c r="C345" t="str">
        <f>IF(SUMIF(搜索词报告!$A$2:$A$22222,总体数据一览!A345,搜索词报告!$J$2:$J$22222)=0,"",SUMIF(搜索词报告!$A$2:$A$22222,总体数据一览!A345,搜索词报告!$J$2:$J$22222))</f>
        <v/>
      </c>
      <c r="D345" s="2" t="str">
        <f t="shared" si="18"/>
        <v/>
      </c>
      <c r="E345" t="str">
        <f t="shared" si="19"/>
        <v/>
      </c>
      <c r="F345" t="str">
        <f>IF(SUMIF(搜索词报告!$A$2:$A$22222,总体数据一览!A345,搜索词报告!$M$2:$M$22222)=0,"",SUMIF(搜索词报告!$A$2:$A$22222,总体数据一览!A345,搜索词报告!$M$2:$M$22222))</f>
        <v/>
      </c>
      <c r="G345" t="str">
        <f>IFERROR(IF(B345="","",SUMIF(搜索词报告!$A$2:$A$22222,总体数据一览!A345,搜索词报告!$V$2:$V$22222))+IF(B345="","",SUMIF(搜索词报告!$A$2:$A$22222,总体数据一览!A345,搜索词报告!$W$2:$W$22222)),"")</f>
        <v/>
      </c>
      <c r="H345" s="2" t="str">
        <f t="shared" si="20"/>
        <v/>
      </c>
    </row>
    <row r="346" spans="2:8" x14ac:dyDescent="0.15">
      <c r="B346" t="str">
        <f>IF(SUMIF(搜索词报告!$A$2:$A$22222,总体数据一览!A346,搜索词报告!$I$2:$I$22222)=0,"",SUMIF(搜索词报告!$A$2:$A$22222,总体数据一览!A346,搜索词报告!$I$2:$I$22222))</f>
        <v/>
      </c>
      <c r="C346" t="str">
        <f>IF(SUMIF(搜索词报告!$A$2:$A$22222,总体数据一览!A346,搜索词报告!$J$2:$J$22222)=0,"",SUMIF(搜索词报告!$A$2:$A$22222,总体数据一览!A346,搜索词报告!$J$2:$J$22222))</f>
        <v/>
      </c>
      <c r="D346" s="2" t="str">
        <f t="shared" si="18"/>
        <v/>
      </c>
      <c r="E346" t="str">
        <f t="shared" si="19"/>
        <v/>
      </c>
      <c r="F346" t="str">
        <f>IF(SUMIF(搜索词报告!$A$2:$A$22222,总体数据一览!A346,搜索词报告!$M$2:$M$22222)=0,"",SUMIF(搜索词报告!$A$2:$A$22222,总体数据一览!A346,搜索词报告!$M$2:$M$22222))</f>
        <v/>
      </c>
      <c r="G346" t="str">
        <f>IFERROR(IF(B346="","",SUMIF(搜索词报告!$A$2:$A$22222,总体数据一览!A346,搜索词报告!$V$2:$V$22222))+IF(B346="","",SUMIF(搜索词报告!$A$2:$A$22222,总体数据一览!A346,搜索词报告!$W$2:$W$22222)),"")</f>
        <v/>
      </c>
      <c r="H346" s="2" t="str">
        <f t="shared" si="20"/>
        <v/>
      </c>
    </row>
    <row r="347" spans="2:8" x14ac:dyDescent="0.15">
      <c r="B347" t="str">
        <f>IF(SUMIF(搜索词报告!$A$2:$A$22222,总体数据一览!A347,搜索词报告!$I$2:$I$22222)=0,"",SUMIF(搜索词报告!$A$2:$A$22222,总体数据一览!A347,搜索词报告!$I$2:$I$22222))</f>
        <v/>
      </c>
      <c r="C347" t="str">
        <f>IF(SUMIF(搜索词报告!$A$2:$A$22222,总体数据一览!A347,搜索词报告!$J$2:$J$22222)=0,"",SUMIF(搜索词报告!$A$2:$A$22222,总体数据一览!A347,搜索词报告!$J$2:$J$22222))</f>
        <v/>
      </c>
      <c r="D347" s="2" t="str">
        <f t="shared" si="18"/>
        <v/>
      </c>
      <c r="E347" t="str">
        <f t="shared" si="19"/>
        <v/>
      </c>
      <c r="F347" t="str">
        <f>IF(SUMIF(搜索词报告!$A$2:$A$22222,总体数据一览!A347,搜索词报告!$M$2:$M$22222)=0,"",SUMIF(搜索词报告!$A$2:$A$22222,总体数据一览!A347,搜索词报告!$M$2:$M$22222))</f>
        <v/>
      </c>
      <c r="G347" t="str">
        <f>IFERROR(IF(B347="","",SUMIF(搜索词报告!$A$2:$A$22222,总体数据一览!A347,搜索词报告!$V$2:$V$22222))+IF(B347="","",SUMIF(搜索词报告!$A$2:$A$22222,总体数据一览!A347,搜索词报告!$W$2:$W$22222)),"")</f>
        <v/>
      </c>
      <c r="H347" s="2" t="str">
        <f t="shared" si="20"/>
        <v/>
      </c>
    </row>
    <row r="348" spans="2:8" x14ac:dyDescent="0.15">
      <c r="B348" t="str">
        <f>IF(SUMIF(搜索词报告!$A$2:$A$22222,总体数据一览!A348,搜索词报告!$I$2:$I$22222)=0,"",SUMIF(搜索词报告!$A$2:$A$22222,总体数据一览!A348,搜索词报告!$I$2:$I$22222))</f>
        <v/>
      </c>
      <c r="C348" t="str">
        <f>IF(SUMIF(搜索词报告!$A$2:$A$22222,总体数据一览!A348,搜索词报告!$J$2:$J$22222)=0,"",SUMIF(搜索词报告!$A$2:$A$22222,总体数据一览!A348,搜索词报告!$J$2:$J$22222))</f>
        <v/>
      </c>
      <c r="D348" s="2" t="str">
        <f t="shared" si="18"/>
        <v/>
      </c>
      <c r="E348" t="str">
        <f t="shared" si="19"/>
        <v/>
      </c>
      <c r="F348" t="str">
        <f>IF(SUMIF(搜索词报告!$A$2:$A$22222,总体数据一览!A348,搜索词报告!$M$2:$M$22222)=0,"",SUMIF(搜索词报告!$A$2:$A$22222,总体数据一览!A348,搜索词报告!$M$2:$M$22222))</f>
        <v/>
      </c>
      <c r="G348" t="str">
        <f>IFERROR(IF(B348="","",SUMIF(搜索词报告!$A$2:$A$22222,总体数据一览!A348,搜索词报告!$V$2:$V$22222))+IF(B348="","",SUMIF(搜索词报告!$A$2:$A$22222,总体数据一览!A348,搜索词报告!$W$2:$W$22222)),"")</f>
        <v/>
      </c>
      <c r="H348" s="2" t="str">
        <f t="shared" si="20"/>
        <v/>
      </c>
    </row>
    <row r="349" spans="2:8" x14ac:dyDescent="0.15">
      <c r="B349" t="str">
        <f>IF(SUMIF(搜索词报告!$A$2:$A$22222,总体数据一览!A349,搜索词报告!$I$2:$I$22222)=0,"",SUMIF(搜索词报告!$A$2:$A$22222,总体数据一览!A349,搜索词报告!$I$2:$I$22222))</f>
        <v/>
      </c>
      <c r="C349" t="str">
        <f>IF(SUMIF(搜索词报告!$A$2:$A$22222,总体数据一览!A349,搜索词报告!$J$2:$J$22222)=0,"",SUMIF(搜索词报告!$A$2:$A$22222,总体数据一览!A349,搜索词报告!$J$2:$J$22222))</f>
        <v/>
      </c>
      <c r="D349" s="2" t="str">
        <f t="shared" si="18"/>
        <v/>
      </c>
      <c r="E349" t="str">
        <f t="shared" si="19"/>
        <v/>
      </c>
      <c r="F349" t="str">
        <f>IF(SUMIF(搜索词报告!$A$2:$A$22222,总体数据一览!A349,搜索词报告!$M$2:$M$22222)=0,"",SUMIF(搜索词报告!$A$2:$A$22222,总体数据一览!A349,搜索词报告!$M$2:$M$22222))</f>
        <v/>
      </c>
      <c r="G349" t="str">
        <f>IFERROR(IF(B349="","",SUMIF(搜索词报告!$A$2:$A$22222,总体数据一览!A349,搜索词报告!$V$2:$V$22222))+IF(B349="","",SUMIF(搜索词报告!$A$2:$A$22222,总体数据一览!A349,搜索词报告!$W$2:$W$22222)),"")</f>
        <v/>
      </c>
      <c r="H349" s="2" t="str">
        <f t="shared" si="20"/>
        <v/>
      </c>
    </row>
    <row r="350" spans="2:8" x14ac:dyDescent="0.15">
      <c r="B350" t="str">
        <f>IF(SUMIF(搜索词报告!$A$2:$A$22222,总体数据一览!A350,搜索词报告!$I$2:$I$22222)=0,"",SUMIF(搜索词报告!$A$2:$A$22222,总体数据一览!A350,搜索词报告!$I$2:$I$22222))</f>
        <v/>
      </c>
      <c r="C350" t="str">
        <f>IF(SUMIF(搜索词报告!$A$2:$A$22222,总体数据一览!A350,搜索词报告!$J$2:$J$22222)=0,"",SUMIF(搜索词报告!$A$2:$A$22222,总体数据一览!A350,搜索词报告!$J$2:$J$22222))</f>
        <v/>
      </c>
      <c r="D350" s="2" t="str">
        <f t="shared" si="18"/>
        <v/>
      </c>
      <c r="E350" t="str">
        <f t="shared" si="19"/>
        <v/>
      </c>
      <c r="F350" t="str">
        <f>IF(SUMIF(搜索词报告!$A$2:$A$22222,总体数据一览!A350,搜索词报告!$M$2:$M$22222)=0,"",SUMIF(搜索词报告!$A$2:$A$22222,总体数据一览!A350,搜索词报告!$M$2:$M$22222))</f>
        <v/>
      </c>
      <c r="G350" t="str">
        <f>IFERROR(IF(B350="","",SUMIF(搜索词报告!$A$2:$A$22222,总体数据一览!A350,搜索词报告!$V$2:$V$22222))+IF(B350="","",SUMIF(搜索词报告!$A$2:$A$22222,总体数据一览!A350,搜索词报告!$W$2:$W$22222)),"")</f>
        <v/>
      </c>
      <c r="H350" s="2" t="str">
        <f t="shared" si="20"/>
        <v/>
      </c>
    </row>
    <row r="351" spans="2:8" x14ac:dyDescent="0.15">
      <c r="B351" t="str">
        <f>IF(SUMIF(搜索词报告!$A$2:$A$22222,总体数据一览!A351,搜索词报告!$I$2:$I$22222)=0,"",SUMIF(搜索词报告!$A$2:$A$22222,总体数据一览!A351,搜索词报告!$I$2:$I$22222))</f>
        <v/>
      </c>
      <c r="C351" t="str">
        <f>IF(SUMIF(搜索词报告!$A$2:$A$22222,总体数据一览!A351,搜索词报告!$J$2:$J$22222)=0,"",SUMIF(搜索词报告!$A$2:$A$22222,总体数据一览!A351,搜索词报告!$J$2:$J$22222))</f>
        <v/>
      </c>
      <c r="D351" s="2" t="str">
        <f t="shared" si="18"/>
        <v/>
      </c>
      <c r="E351" t="str">
        <f t="shared" si="19"/>
        <v/>
      </c>
      <c r="F351" t="str">
        <f>IF(SUMIF(搜索词报告!$A$2:$A$22222,总体数据一览!A351,搜索词报告!$M$2:$M$22222)=0,"",SUMIF(搜索词报告!$A$2:$A$22222,总体数据一览!A351,搜索词报告!$M$2:$M$22222))</f>
        <v/>
      </c>
      <c r="G351" t="str">
        <f>IFERROR(IF(B351="","",SUMIF(搜索词报告!$A$2:$A$22222,总体数据一览!A351,搜索词报告!$V$2:$V$22222))+IF(B351="","",SUMIF(搜索词报告!$A$2:$A$22222,总体数据一览!A351,搜索词报告!$W$2:$W$22222)),"")</f>
        <v/>
      </c>
      <c r="H351" s="2" t="str">
        <f t="shared" si="20"/>
        <v/>
      </c>
    </row>
    <row r="352" spans="2:8" x14ac:dyDescent="0.15">
      <c r="B352" t="str">
        <f>IF(SUMIF(搜索词报告!$A$2:$A$22222,总体数据一览!A352,搜索词报告!$I$2:$I$22222)=0,"",SUMIF(搜索词报告!$A$2:$A$22222,总体数据一览!A352,搜索词报告!$I$2:$I$22222))</f>
        <v/>
      </c>
      <c r="C352" t="str">
        <f>IF(SUMIF(搜索词报告!$A$2:$A$22222,总体数据一览!A352,搜索词报告!$J$2:$J$22222)=0,"",SUMIF(搜索词报告!$A$2:$A$22222,总体数据一览!A352,搜索词报告!$J$2:$J$22222))</f>
        <v/>
      </c>
      <c r="D352" s="2" t="str">
        <f t="shared" si="18"/>
        <v/>
      </c>
      <c r="E352" t="str">
        <f t="shared" si="19"/>
        <v/>
      </c>
      <c r="F352" t="str">
        <f>IF(SUMIF(搜索词报告!$A$2:$A$22222,总体数据一览!A352,搜索词报告!$M$2:$M$22222)=0,"",SUMIF(搜索词报告!$A$2:$A$22222,总体数据一览!A352,搜索词报告!$M$2:$M$22222))</f>
        <v/>
      </c>
      <c r="G352" t="str">
        <f>IFERROR(IF(B352="","",SUMIF(搜索词报告!$A$2:$A$22222,总体数据一览!A352,搜索词报告!$V$2:$V$22222))+IF(B352="","",SUMIF(搜索词报告!$A$2:$A$22222,总体数据一览!A352,搜索词报告!$W$2:$W$22222)),"")</f>
        <v/>
      </c>
      <c r="H352" s="2" t="str">
        <f t="shared" si="20"/>
        <v/>
      </c>
    </row>
    <row r="353" spans="2:8" x14ac:dyDescent="0.15">
      <c r="B353" t="str">
        <f>IF(SUMIF(搜索词报告!$A$2:$A$22222,总体数据一览!A353,搜索词报告!$I$2:$I$22222)=0,"",SUMIF(搜索词报告!$A$2:$A$22222,总体数据一览!A353,搜索词报告!$I$2:$I$22222))</f>
        <v/>
      </c>
      <c r="C353" t="str">
        <f>IF(SUMIF(搜索词报告!$A$2:$A$22222,总体数据一览!A353,搜索词报告!$J$2:$J$22222)=0,"",SUMIF(搜索词报告!$A$2:$A$22222,总体数据一览!A353,搜索词报告!$J$2:$J$22222))</f>
        <v/>
      </c>
      <c r="D353" s="2" t="str">
        <f t="shared" si="18"/>
        <v/>
      </c>
      <c r="E353" t="str">
        <f t="shared" si="19"/>
        <v/>
      </c>
      <c r="F353" t="str">
        <f>IF(SUMIF(搜索词报告!$A$2:$A$22222,总体数据一览!A353,搜索词报告!$M$2:$M$22222)=0,"",SUMIF(搜索词报告!$A$2:$A$22222,总体数据一览!A353,搜索词报告!$M$2:$M$22222))</f>
        <v/>
      </c>
      <c r="G353" t="str">
        <f>IFERROR(IF(B353="","",SUMIF(搜索词报告!$A$2:$A$22222,总体数据一览!A353,搜索词报告!$V$2:$V$22222))+IF(B353="","",SUMIF(搜索词报告!$A$2:$A$22222,总体数据一览!A353,搜索词报告!$W$2:$W$22222)),"")</f>
        <v/>
      </c>
      <c r="H353" s="2" t="str">
        <f t="shared" si="20"/>
        <v/>
      </c>
    </row>
    <row r="354" spans="2:8" x14ac:dyDescent="0.15">
      <c r="B354" t="str">
        <f>IF(SUMIF(搜索词报告!$A$2:$A$22222,总体数据一览!A354,搜索词报告!$I$2:$I$22222)=0,"",SUMIF(搜索词报告!$A$2:$A$22222,总体数据一览!A354,搜索词报告!$I$2:$I$22222))</f>
        <v/>
      </c>
      <c r="C354" t="str">
        <f>IF(SUMIF(搜索词报告!$A$2:$A$22222,总体数据一览!A354,搜索词报告!$J$2:$J$22222)=0,"",SUMIF(搜索词报告!$A$2:$A$22222,总体数据一览!A354,搜索词报告!$J$2:$J$22222))</f>
        <v/>
      </c>
      <c r="D354" s="2" t="str">
        <f t="shared" si="18"/>
        <v/>
      </c>
      <c r="E354" t="str">
        <f t="shared" si="19"/>
        <v/>
      </c>
      <c r="F354" t="str">
        <f>IF(SUMIF(搜索词报告!$A$2:$A$22222,总体数据一览!A354,搜索词报告!$M$2:$M$22222)=0,"",SUMIF(搜索词报告!$A$2:$A$22222,总体数据一览!A354,搜索词报告!$M$2:$M$22222))</f>
        <v/>
      </c>
      <c r="G354" t="str">
        <f>IFERROR(IF(B354="","",SUMIF(搜索词报告!$A$2:$A$22222,总体数据一览!A354,搜索词报告!$V$2:$V$22222))+IF(B354="","",SUMIF(搜索词报告!$A$2:$A$22222,总体数据一览!A354,搜索词报告!$W$2:$W$22222)),"")</f>
        <v/>
      </c>
      <c r="H354" s="2" t="str">
        <f t="shared" si="20"/>
        <v/>
      </c>
    </row>
    <row r="355" spans="2:8" x14ac:dyDescent="0.15">
      <c r="B355" t="str">
        <f>IF(SUMIF(搜索词报告!$A$2:$A$22222,总体数据一览!A355,搜索词报告!$I$2:$I$22222)=0,"",SUMIF(搜索词报告!$A$2:$A$22222,总体数据一览!A355,搜索词报告!$I$2:$I$22222))</f>
        <v/>
      </c>
      <c r="C355" t="str">
        <f>IF(SUMIF(搜索词报告!$A$2:$A$22222,总体数据一览!A355,搜索词报告!$J$2:$J$22222)=0,"",SUMIF(搜索词报告!$A$2:$A$22222,总体数据一览!A355,搜索词报告!$J$2:$J$22222))</f>
        <v/>
      </c>
      <c r="D355" s="2" t="str">
        <f t="shared" si="18"/>
        <v/>
      </c>
      <c r="E355" t="str">
        <f t="shared" si="19"/>
        <v/>
      </c>
      <c r="F355" t="str">
        <f>IF(SUMIF(搜索词报告!$A$2:$A$22222,总体数据一览!A355,搜索词报告!$M$2:$M$22222)=0,"",SUMIF(搜索词报告!$A$2:$A$22222,总体数据一览!A355,搜索词报告!$M$2:$M$22222))</f>
        <v/>
      </c>
      <c r="G355" t="str">
        <f>IFERROR(IF(B355="","",SUMIF(搜索词报告!$A$2:$A$22222,总体数据一览!A355,搜索词报告!$V$2:$V$22222))+IF(B355="","",SUMIF(搜索词报告!$A$2:$A$22222,总体数据一览!A355,搜索词报告!$W$2:$W$22222)),"")</f>
        <v/>
      </c>
      <c r="H355" s="2" t="str">
        <f t="shared" si="20"/>
        <v/>
      </c>
    </row>
    <row r="356" spans="2:8" x14ac:dyDescent="0.15">
      <c r="B356" t="str">
        <f>IF(SUMIF(搜索词报告!$A$2:$A$22222,总体数据一览!A356,搜索词报告!$I$2:$I$22222)=0,"",SUMIF(搜索词报告!$A$2:$A$22222,总体数据一览!A356,搜索词报告!$I$2:$I$22222))</f>
        <v/>
      </c>
      <c r="C356" t="str">
        <f>IF(SUMIF(搜索词报告!$A$2:$A$22222,总体数据一览!A356,搜索词报告!$J$2:$J$22222)=0,"",SUMIF(搜索词报告!$A$2:$A$22222,总体数据一览!A356,搜索词报告!$J$2:$J$22222))</f>
        <v/>
      </c>
      <c r="D356" s="2" t="str">
        <f t="shared" si="18"/>
        <v/>
      </c>
      <c r="E356" t="str">
        <f t="shared" si="19"/>
        <v/>
      </c>
      <c r="F356" t="str">
        <f>IF(SUMIF(搜索词报告!$A$2:$A$22222,总体数据一览!A356,搜索词报告!$M$2:$M$22222)=0,"",SUMIF(搜索词报告!$A$2:$A$22222,总体数据一览!A356,搜索词报告!$M$2:$M$22222))</f>
        <v/>
      </c>
      <c r="G356" t="str">
        <f>IFERROR(IF(B356="","",SUMIF(搜索词报告!$A$2:$A$22222,总体数据一览!A356,搜索词报告!$V$2:$V$22222))+IF(B356="","",SUMIF(搜索词报告!$A$2:$A$22222,总体数据一览!A356,搜索词报告!$W$2:$W$22222)),"")</f>
        <v/>
      </c>
      <c r="H356" s="2" t="str">
        <f t="shared" si="20"/>
        <v/>
      </c>
    </row>
    <row r="357" spans="2:8" x14ac:dyDescent="0.15">
      <c r="B357" t="str">
        <f>IF(SUMIF(搜索词报告!$A$2:$A$22222,总体数据一览!A357,搜索词报告!$I$2:$I$22222)=0,"",SUMIF(搜索词报告!$A$2:$A$22222,总体数据一览!A357,搜索词报告!$I$2:$I$22222))</f>
        <v/>
      </c>
      <c r="C357" t="str">
        <f>IF(SUMIF(搜索词报告!$A$2:$A$22222,总体数据一览!A357,搜索词报告!$J$2:$J$22222)=0,"",SUMIF(搜索词报告!$A$2:$A$22222,总体数据一览!A357,搜索词报告!$J$2:$J$22222))</f>
        <v/>
      </c>
      <c r="D357" s="2" t="str">
        <f t="shared" si="18"/>
        <v/>
      </c>
      <c r="E357" t="str">
        <f t="shared" si="19"/>
        <v/>
      </c>
      <c r="F357" t="str">
        <f>IF(SUMIF(搜索词报告!$A$2:$A$22222,总体数据一览!A357,搜索词报告!$M$2:$M$22222)=0,"",SUMIF(搜索词报告!$A$2:$A$22222,总体数据一览!A357,搜索词报告!$M$2:$M$22222))</f>
        <v/>
      </c>
      <c r="G357" t="str">
        <f>IFERROR(IF(B357="","",SUMIF(搜索词报告!$A$2:$A$22222,总体数据一览!A357,搜索词报告!$V$2:$V$22222))+IF(B357="","",SUMIF(搜索词报告!$A$2:$A$22222,总体数据一览!A357,搜索词报告!$W$2:$W$22222)),"")</f>
        <v/>
      </c>
      <c r="H357" s="2" t="str">
        <f t="shared" si="20"/>
        <v/>
      </c>
    </row>
    <row r="358" spans="2:8" x14ac:dyDescent="0.15">
      <c r="B358" t="str">
        <f>IF(SUMIF(搜索词报告!$A$2:$A$22222,总体数据一览!A358,搜索词报告!$I$2:$I$22222)=0,"",SUMIF(搜索词报告!$A$2:$A$22222,总体数据一览!A358,搜索词报告!$I$2:$I$22222))</f>
        <v/>
      </c>
      <c r="C358" t="str">
        <f>IF(SUMIF(搜索词报告!$A$2:$A$22222,总体数据一览!A358,搜索词报告!$J$2:$J$22222)=0,"",SUMIF(搜索词报告!$A$2:$A$22222,总体数据一览!A358,搜索词报告!$J$2:$J$22222))</f>
        <v/>
      </c>
      <c r="D358" s="2" t="str">
        <f t="shared" si="18"/>
        <v/>
      </c>
      <c r="E358" t="str">
        <f t="shared" si="19"/>
        <v/>
      </c>
      <c r="F358" t="str">
        <f>IF(SUMIF(搜索词报告!$A$2:$A$22222,总体数据一览!A358,搜索词报告!$M$2:$M$22222)=0,"",SUMIF(搜索词报告!$A$2:$A$22222,总体数据一览!A358,搜索词报告!$M$2:$M$22222))</f>
        <v/>
      </c>
      <c r="G358" t="str">
        <f>IFERROR(IF(B358="","",SUMIF(搜索词报告!$A$2:$A$22222,总体数据一览!A358,搜索词报告!$V$2:$V$22222))+IF(B358="","",SUMIF(搜索词报告!$A$2:$A$22222,总体数据一览!A358,搜索词报告!$W$2:$W$22222)),"")</f>
        <v/>
      </c>
      <c r="H358" s="2" t="str">
        <f t="shared" si="20"/>
        <v/>
      </c>
    </row>
    <row r="359" spans="2:8" x14ac:dyDescent="0.15">
      <c r="B359" t="str">
        <f>IF(SUMIF(搜索词报告!$A$2:$A$22222,总体数据一览!A359,搜索词报告!$I$2:$I$22222)=0,"",SUMIF(搜索词报告!$A$2:$A$22222,总体数据一览!A359,搜索词报告!$I$2:$I$22222))</f>
        <v/>
      </c>
      <c r="C359" t="str">
        <f>IF(SUMIF(搜索词报告!$A$2:$A$22222,总体数据一览!A359,搜索词报告!$J$2:$J$22222)=0,"",SUMIF(搜索词报告!$A$2:$A$22222,总体数据一览!A359,搜索词报告!$J$2:$J$22222))</f>
        <v/>
      </c>
      <c r="D359" s="2" t="str">
        <f t="shared" si="18"/>
        <v/>
      </c>
      <c r="E359" t="str">
        <f t="shared" si="19"/>
        <v/>
      </c>
      <c r="F359" t="str">
        <f>IF(SUMIF(搜索词报告!$A$2:$A$22222,总体数据一览!A359,搜索词报告!$M$2:$M$22222)=0,"",SUMIF(搜索词报告!$A$2:$A$22222,总体数据一览!A359,搜索词报告!$M$2:$M$22222))</f>
        <v/>
      </c>
      <c r="G359" t="str">
        <f>IFERROR(IF(B359="","",SUMIF(搜索词报告!$A$2:$A$22222,总体数据一览!A359,搜索词报告!$V$2:$V$22222))+IF(B359="","",SUMIF(搜索词报告!$A$2:$A$22222,总体数据一览!A359,搜索词报告!$W$2:$W$22222)),"")</f>
        <v/>
      </c>
      <c r="H359" s="2" t="str">
        <f t="shared" si="20"/>
        <v/>
      </c>
    </row>
    <row r="360" spans="2:8" x14ac:dyDescent="0.15">
      <c r="B360" t="str">
        <f>IF(SUMIF(搜索词报告!$A$2:$A$22222,总体数据一览!A360,搜索词报告!$I$2:$I$22222)=0,"",SUMIF(搜索词报告!$A$2:$A$22222,总体数据一览!A360,搜索词报告!$I$2:$I$22222))</f>
        <v/>
      </c>
      <c r="C360" t="str">
        <f>IF(SUMIF(搜索词报告!$A$2:$A$22222,总体数据一览!A360,搜索词报告!$J$2:$J$22222)=0,"",SUMIF(搜索词报告!$A$2:$A$22222,总体数据一览!A360,搜索词报告!$J$2:$J$22222))</f>
        <v/>
      </c>
      <c r="D360" s="2" t="str">
        <f t="shared" si="18"/>
        <v/>
      </c>
      <c r="E360" t="str">
        <f t="shared" si="19"/>
        <v/>
      </c>
      <c r="F360" t="str">
        <f>IF(SUMIF(搜索词报告!$A$2:$A$22222,总体数据一览!A360,搜索词报告!$M$2:$M$22222)=0,"",SUMIF(搜索词报告!$A$2:$A$22222,总体数据一览!A360,搜索词报告!$M$2:$M$22222))</f>
        <v/>
      </c>
      <c r="G360" t="str">
        <f>IFERROR(IF(B360="","",SUMIF(搜索词报告!$A$2:$A$22222,总体数据一览!A360,搜索词报告!$V$2:$V$22222))+IF(B360="","",SUMIF(搜索词报告!$A$2:$A$22222,总体数据一览!A360,搜索词报告!$W$2:$W$22222)),"")</f>
        <v/>
      </c>
      <c r="H360" s="2" t="str">
        <f t="shared" si="20"/>
        <v/>
      </c>
    </row>
    <row r="361" spans="2:8" x14ac:dyDescent="0.15">
      <c r="B361" t="str">
        <f>IF(SUMIF(搜索词报告!$A$2:$A$22222,总体数据一览!A361,搜索词报告!$I$2:$I$22222)=0,"",SUMIF(搜索词报告!$A$2:$A$22222,总体数据一览!A361,搜索词报告!$I$2:$I$22222))</f>
        <v/>
      </c>
      <c r="C361" t="str">
        <f>IF(SUMIF(搜索词报告!$A$2:$A$22222,总体数据一览!A361,搜索词报告!$J$2:$J$22222)=0,"",SUMIF(搜索词报告!$A$2:$A$22222,总体数据一览!A361,搜索词报告!$J$2:$J$22222))</f>
        <v/>
      </c>
      <c r="D361" s="2" t="str">
        <f t="shared" si="18"/>
        <v/>
      </c>
      <c r="E361" t="str">
        <f t="shared" si="19"/>
        <v/>
      </c>
      <c r="F361" t="str">
        <f>IF(SUMIF(搜索词报告!$A$2:$A$22222,总体数据一览!A361,搜索词报告!$M$2:$M$22222)=0,"",SUMIF(搜索词报告!$A$2:$A$22222,总体数据一览!A361,搜索词报告!$M$2:$M$22222))</f>
        <v/>
      </c>
      <c r="G361" t="str">
        <f>IFERROR(IF(B361="","",SUMIF(搜索词报告!$A$2:$A$22222,总体数据一览!A361,搜索词报告!$V$2:$V$22222))+IF(B361="","",SUMIF(搜索词报告!$A$2:$A$22222,总体数据一览!A361,搜索词报告!$W$2:$W$22222)),"")</f>
        <v/>
      </c>
      <c r="H361" s="2" t="str">
        <f t="shared" si="20"/>
        <v/>
      </c>
    </row>
    <row r="362" spans="2:8" x14ac:dyDescent="0.15">
      <c r="B362" t="str">
        <f>IF(SUMIF(搜索词报告!$A$2:$A$22222,总体数据一览!A362,搜索词报告!$I$2:$I$22222)=0,"",SUMIF(搜索词报告!$A$2:$A$22222,总体数据一览!A362,搜索词报告!$I$2:$I$22222))</f>
        <v/>
      </c>
      <c r="C362" t="str">
        <f>IF(SUMIF(搜索词报告!$A$2:$A$22222,总体数据一览!A362,搜索词报告!$J$2:$J$22222)=0,"",SUMIF(搜索词报告!$A$2:$A$22222,总体数据一览!A362,搜索词报告!$J$2:$J$22222))</f>
        <v/>
      </c>
      <c r="D362" s="2" t="str">
        <f t="shared" si="18"/>
        <v/>
      </c>
      <c r="E362" t="str">
        <f t="shared" si="19"/>
        <v/>
      </c>
      <c r="F362" t="str">
        <f>IF(SUMIF(搜索词报告!$A$2:$A$22222,总体数据一览!A362,搜索词报告!$M$2:$M$22222)=0,"",SUMIF(搜索词报告!$A$2:$A$22222,总体数据一览!A362,搜索词报告!$M$2:$M$22222))</f>
        <v/>
      </c>
      <c r="G362" t="str">
        <f>IFERROR(IF(B362="","",SUMIF(搜索词报告!$A$2:$A$22222,总体数据一览!A362,搜索词报告!$V$2:$V$22222))+IF(B362="","",SUMIF(搜索词报告!$A$2:$A$22222,总体数据一览!A362,搜索词报告!$W$2:$W$22222)),"")</f>
        <v/>
      </c>
      <c r="H362" s="2" t="str">
        <f t="shared" si="20"/>
        <v/>
      </c>
    </row>
    <row r="363" spans="2:8" x14ac:dyDescent="0.15">
      <c r="B363" t="str">
        <f>IF(SUMIF(搜索词报告!$A$2:$A$22222,总体数据一览!A363,搜索词报告!$I$2:$I$22222)=0,"",SUMIF(搜索词报告!$A$2:$A$22222,总体数据一览!A363,搜索词报告!$I$2:$I$22222))</f>
        <v/>
      </c>
      <c r="C363" t="str">
        <f>IF(SUMIF(搜索词报告!$A$2:$A$22222,总体数据一览!A363,搜索词报告!$J$2:$J$22222)=0,"",SUMIF(搜索词报告!$A$2:$A$22222,总体数据一览!A363,搜索词报告!$J$2:$J$22222))</f>
        <v/>
      </c>
      <c r="D363" s="2" t="str">
        <f t="shared" si="18"/>
        <v/>
      </c>
      <c r="E363" t="str">
        <f t="shared" si="19"/>
        <v/>
      </c>
      <c r="F363" t="str">
        <f>IF(SUMIF(搜索词报告!$A$2:$A$22222,总体数据一览!A363,搜索词报告!$M$2:$M$22222)=0,"",SUMIF(搜索词报告!$A$2:$A$22222,总体数据一览!A363,搜索词报告!$M$2:$M$22222))</f>
        <v/>
      </c>
      <c r="G363" t="str">
        <f>IFERROR(IF(B363="","",SUMIF(搜索词报告!$A$2:$A$22222,总体数据一览!A363,搜索词报告!$V$2:$V$22222))+IF(B363="","",SUMIF(搜索词报告!$A$2:$A$22222,总体数据一览!A363,搜索词报告!$W$2:$W$22222)),"")</f>
        <v/>
      </c>
      <c r="H363" s="2" t="str">
        <f t="shared" si="20"/>
        <v/>
      </c>
    </row>
    <row r="364" spans="2:8" x14ac:dyDescent="0.15">
      <c r="B364" t="str">
        <f>IF(SUMIF(搜索词报告!$A$2:$A$22222,总体数据一览!A364,搜索词报告!$I$2:$I$22222)=0,"",SUMIF(搜索词报告!$A$2:$A$22222,总体数据一览!A364,搜索词报告!$I$2:$I$22222))</f>
        <v/>
      </c>
      <c r="C364" t="str">
        <f>IF(SUMIF(搜索词报告!$A$2:$A$22222,总体数据一览!A364,搜索词报告!$J$2:$J$22222)=0,"",SUMIF(搜索词报告!$A$2:$A$22222,总体数据一览!A364,搜索词报告!$J$2:$J$22222))</f>
        <v/>
      </c>
      <c r="D364" s="2" t="str">
        <f t="shared" si="18"/>
        <v/>
      </c>
      <c r="E364" t="str">
        <f t="shared" si="19"/>
        <v/>
      </c>
      <c r="F364" t="str">
        <f>IF(SUMIF(搜索词报告!$A$2:$A$22222,总体数据一览!A364,搜索词报告!$M$2:$M$22222)=0,"",SUMIF(搜索词报告!$A$2:$A$22222,总体数据一览!A364,搜索词报告!$M$2:$M$22222))</f>
        <v/>
      </c>
      <c r="G364" t="str">
        <f>IFERROR(IF(B364="","",SUMIF(搜索词报告!$A$2:$A$22222,总体数据一览!A364,搜索词报告!$V$2:$V$22222))+IF(B364="","",SUMIF(搜索词报告!$A$2:$A$22222,总体数据一览!A364,搜索词报告!$W$2:$W$22222)),"")</f>
        <v/>
      </c>
      <c r="H364" s="2" t="str">
        <f t="shared" si="20"/>
        <v/>
      </c>
    </row>
    <row r="365" spans="2:8" x14ac:dyDescent="0.15">
      <c r="B365" t="str">
        <f>IF(SUMIF(搜索词报告!$A$2:$A$22222,总体数据一览!A365,搜索词报告!$I$2:$I$22222)=0,"",SUMIF(搜索词报告!$A$2:$A$22222,总体数据一览!A365,搜索词报告!$I$2:$I$22222))</f>
        <v/>
      </c>
      <c r="C365" t="str">
        <f>IF(SUMIF(搜索词报告!$A$2:$A$22222,总体数据一览!A365,搜索词报告!$J$2:$J$22222)=0,"",SUMIF(搜索词报告!$A$2:$A$22222,总体数据一览!A365,搜索词报告!$J$2:$J$22222))</f>
        <v/>
      </c>
      <c r="D365" s="2" t="str">
        <f t="shared" si="18"/>
        <v/>
      </c>
      <c r="E365" t="str">
        <f t="shared" si="19"/>
        <v/>
      </c>
      <c r="F365" t="str">
        <f>IF(SUMIF(搜索词报告!$A$2:$A$22222,总体数据一览!A365,搜索词报告!$M$2:$M$22222)=0,"",SUMIF(搜索词报告!$A$2:$A$22222,总体数据一览!A365,搜索词报告!$M$2:$M$22222))</f>
        <v/>
      </c>
      <c r="G365" t="str">
        <f>IFERROR(IF(B365="","",SUMIF(搜索词报告!$A$2:$A$22222,总体数据一览!A365,搜索词报告!$V$2:$V$22222))+IF(B365="","",SUMIF(搜索词报告!$A$2:$A$22222,总体数据一览!A365,搜索词报告!$W$2:$W$22222)),"")</f>
        <v/>
      </c>
      <c r="H365" s="2" t="str">
        <f t="shared" si="20"/>
        <v/>
      </c>
    </row>
    <row r="366" spans="2:8" x14ac:dyDescent="0.15">
      <c r="B366" t="str">
        <f>IF(SUMIF(搜索词报告!$A$2:$A$22222,总体数据一览!A366,搜索词报告!$I$2:$I$22222)=0,"",SUMIF(搜索词报告!$A$2:$A$22222,总体数据一览!A366,搜索词报告!$I$2:$I$22222))</f>
        <v/>
      </c>
      <c r="C366" t="str">
        <f>IF(SUMIF(搜索词报告!$A$2:$A$22222,总体数据一览!A366,搜索词报告!$J$2:$J$22222)=0,"",SUMIF(搜索词报告!$A$2:$A$22222,总体数据一览!A366,搜索词报告!$J$2:$J$22222))</f>
        <v/>
      </c>
      <c r="D366" s="2" t="str">
        <f t="shared" si="18"/>
        <v/>
      </c>
      <c r="E366" t="str">
        <f t="shared" si="19"/>
        <v/>
      </c>
      <c r="F366" t="str">
        <f>IF(SUMIF(搜索词报告!$A$2:$A$22222,总体数据一览!A366,搜索词报告!$M$2:$M$22222)=0,"",SUMIF(搜索词报告!$A$2:$A$22222,总体数据一览!A366,搜索词报告!$M$2:$M$22222))</f>
        <v/>
      </c>
      <c r="G366" t="str">
        <f>IFERROR(IF(B366="","",SUMIF(搜索词报告!$A$2:$A$22222,总体数据一览!A366,搜索词报告!$V$2:$V$22222))+IF(B366="","",SUMIF(搜索词报告!$A$2:$A$22222,总体数据一览!A366,搜索词报告!$W$2:$W$22222)),"")</f>
        <v/>
      </c>
      <c r="H366" s="2" t="str">
        <f t="shared" si="20"/>
        <v/>
      </c>
    </row>
    <row r="367" spans="2:8" x14ac:dyDescent="0.15">
      <c r="B367" t="str">
        <f>IF(SUMIF(搜索词报告!$A$2:$A$22222,总体数据一览!A367,搜索词报告!$I$2:$I$22222)=0,"",SUMIF(搜索词报告!$A$2:$A$22222,总体数据一览!A367,搜索词报告!$I$2:$I$22222))</f>
        <v/>
      </c>
      <c r="C367" t="str">
        <f>IF(SUMIF(搜索词报告!$A$2:$A$22222,总体数据一览!A367,搜索词报告!$J$2:$J$22222)=0,"",SUMIF(搜索词报告!$A$2:$A$22222,总体数据一览!A367,搜索词报告!$J$2:$J$22222))</f>
        <v/>
      </c>
      <c r="D367" s="2" t="str">
        <f t="shared" si="18"/>
        <v/>
      </c>
      <c r="E367" t="str">
        <f t="shared" si="19"/>
        <v/>
      </c>
      <c r="F367" t="str">
        <f>IF(SUMIF(搜索词报告!$A$2:$A$22222,总体数据一览!A367,搜索词报告!$M$2:$M$22222)=0,"",SUMIF(搜索词报告!$A$2:$A$22222,总体数据一览!A367,搜索词报告!$M$2:$M$22222))</f>
        <v/>
      </c>
      <c r="G367" t="str">
        <f>IFERROR(IF(B367="","",SUMIF(搜索词报告!$A$2:$A$22222,总体数据一览!A367,搜索词报告!$V$2:$V$22222))+IF(B367="","",SUMIF(搜索词报告!$A$2:$A$22222,总体数据一览!A367,搜索词报告!$W$2:$W$22222)),"")</f>
        <v/>
      </c>
      <c r="H367" s="2" t="str">
        <f t="shared" si="20"/>
        <v/>
      </c>
    </row>
    <row r="368" spans="2:8" x14ac:dyDescent="0.15">
      <c r="B368" t="str">
        <f>IF(SUMIF(搜索词报告!$A$2:$A$22222,总体数据一览!A368,搜索词报告!$I$2:$I$22222)=0,"",SUMIF(搜索词报告!$A$2:$A$22222,总体数据一览!A368,搜索词报告!$I$2:$I$22222))</f>
        <v/>
      </c>
      <c r="C368" t="str">
        <f>IF(SUMIF(搜索词报告!$A$2:$A$22222,总体数据一览!A368,搜索词报告!$J$2:$J$22222)=0,"",SUMIF(搜索词报告!$A$2:$A$22222,总体数据一览!A368,搜索词报告!$J$2:$J$22222))</f>
        <v/>
      </c>
      <c r="D368" s="2" t="str">
        <f t="shared" si="18"/>
        <v/>
      </c>
      <c r="E368" t="str">
        <f t="shared" si="19"/>
        <v/>
      </c>
      <c r="F368" t="str">
        <f>IF(SUMIF(搜索词报告!$A$2:$A$22222,总体数据一览!A368,搜索词报告!$M$2:$M$22222)=0,"",SUMIF(搜索词报告!$A$2:$A$22222,总体数据一览!A368,搜索词报告!$M$2:$M$22222))</f>
        <v/>
      </c>
      <c r="G368" t="str">
        <f>IFERROR(IF(B368="","",SUMIF(搜索词报告!$A$2:$A$22222,总体数据一览!A368,搜索词报告!$V$2:$V$22222))+IF(B368="","",SUMIF(搜索词报告!$A$2:$A$22222,总体数据一览!A368,搜索词报告!$W$2:$W$22222)),"")</f>
        <v/>
      </c>
      <c r="H368" s="2" t="str">
        <f t="shared" si="20"/>
        <v/>
      </c>
    </row>
    <row r="369" spans="2:8" x14ac:dyDescent="0.15">
      <c r="B369" t="str">
        <f>IF(SUMIF(搜索词报告!$A$2:$A$22222,总体数据一览!A369,搜索词报告!$I$2:$I$22222)=0,"",SUMIF(搜索词报告!$A$2:$A$22222,总体数据一览!A369,搜索词报告!$I$2:$I$22222))</f>
        <v/>
      </c>
      <c r="C369" t="str">
        <f>IF(SUMIF(搜索词报告!$A$2:$A$22222,总体数据一览!A369,搜索词报告!$J$2:$J$22222)=0,"",SUMIF(搜索词报告!$A$2:$A$22222,总体数据一览!A369,搜索词报告!$J$2:$J$22222))</f>
        <v/>
      </c>
      <c r="D369" s="2" t="str">
        <f t="shared" si="18"/>
        <v/>
      </c>
      <c r="E369" t="str">
        <f t="shared" si="19"/>
        <v/>
      </c>
      <c r="F369" t="str">
        <f>IF(SUMIF(搜索词报告!$A$2:$A$22222,总体数据一览!A369,搜索词报告!$M$2:$M$22222)=0,"",SUMIF(搜索词报告!$A$2:$A$22222,总体数据一览!A369,搜索词报告!$M$2:$M$22222))</f>
        <v/>
      </c>
      <c r="G369" t="str">
        <f>IFERROR(IF(B369="","",SUMIF(搜索词报告!$A$2:$A$22222,总体数据一览!A369,搜索词报告!$V$2:$V$22222))+IF(B369="","",SUMIF(搜索词报告!$A$2:$A$22222,总体数据一览!A369,搜索词报告!$W$2:$W$22222)),"")</f>
        <v/>
      </c>
      <c r="H369" s="2" t="str">
        <f t="shared" si="20"/>
        <v/>
      </c>
    </row>
    <row r="370" spans="2:8" x14ac:dyDescent="0.15">
      <c r="B370" t="str">
        <f>IF(SUMIF(搜索词报告!$A$2:$A$22222,总体数据一览!A370,搜索词报告!$I$2:$I$22222)=0,"",SUMIF(搜索词报告!$A$2:$A$22222,总体数据一览!A370,搜索词报告!$I$2:$I$22222))</f>
        <v/>
      </c>
      <c r="C370" t="str">
        <f>IF(SUMIF(搜索词报告!$A$2:$A$22222,总体数据一览!A370,搜索词报告!$J$2:$J$22222)=0,"",SUMIF(搜索词报告!$A$2:$A$22222,总体数据一览!A370,搜索词报告!$J$2:$J$22222))</f>
        <v/>
      </c>
      <c r="D370" s="2" t="str">
        <f t="shared" si="18"/>
        <v/>
      </c>
      <c r="E370" t="str">
        <f t="shared" si="19"/>
        <v/>
      </c>
      <c r="F370" t="str">
        <f>IF(SUMIF(搜索词报告!$A$2:$A$22222,总体数据一览!A370,搜索词报告!$M$2:$M$22222)=0,"",SUMIF(搜索词报告!$A$2:$A$22222,总体数据一览!A370,搜索词报告!$M$2:$M$22222))</f>
        <v/>
      </c>
      <c r="G370" t="str">
        <f>IFERROR(IF(B370="","",SUMIF(搜索词报告!$A$2:$A$22222,总体数据一览!A370,搜索词报告!$V$2:$V$22222))+IF(B370="","",SUMIF(搜索词报告!$A$2:$A$22222,总体数据一览!A370,搜索词报告!$W$2:$W$22222)),"")</f>
        <v/>
      </c>
      <c r="H370" s="2" t="str">
        <f t="shared" si="20"/>
        <v/>
      </c>
    </row>
    <row r="371" spans="2:8" x14ac:dyDescent="0.15">
      <c r="B371" t="str">
        <f>IF(SUMIF(搜索词报告!$A$2:$A$22222,总体数据一览!A371,搜索词报告!$I$2:$I$22222)=0,"",SUMIF(搜索词报告!$A$2:$A$22222,总体数据一览!A371,搜索词报告!$I$2:$I$22222))</f>
        <v/>
      </c>
      <c r="C371" t="str">
        <f>IF(SUMIF(搜索词报告!$A$2:$A$22222,总体数据一览!A371,搜索词报告!$J$2:$J$22222)=0,"",SUMIF(搜索词报告!$A$2:$A$22222,总体数据一览!A371,搜索词报告!$J$2:$J$22222))</f>
        <v/>
      </c>
      <c r="D371" s="2" t="str">
        <f t="shared" si="18"/>
        <v/>
      </c>
      <c r="E371" t="str">
        <f t="shared" si="19"/>
        <v/>
      </c>
      <c r="F371" t="str">
        <f>IF(SUMIF(搜索词报告!$A$2:$A$22222,总体数据一览!A371,搜索词报告!$M$2:$M$22222)=0,"",SUMIF(搜索词报告!$A$2:$A$22222,总体数据一览!A371,搜索词报告!$M$2:$M$22222))</f>
        <v/>
      </c>
      <c r="G371" t="str">
        <f>IFERROR(IF(B371="","",SUMIF(搜索词报告!$A$2:$A$22222,总体数据一览!A371,搜索词报告!$V$2:$V$22222))+IF(B371="","",SUMIF(搜索词报告!$A$2:$A$22222,总体数据一览!A371,搜索词报告!$W$2:$W$22222)),"")</f>
        <v/>
      </c>
      <c r="H371" s="2" t="str">
        <f t="shared" si="20"/>
        <v/>
      </c>
    </row>
    <row r="372" spans="2:8" x14ac:dyDescent="0.15">
      <c r="B372" t="str">
        <f>IF(SUMIF(搜索词报告!$A$2:$A$22222,总体数据一览!A372,搜索词报告!$I$2:$I$22222)=0,"",SUMIF(搜索词报告!$A$2:$A$22222,总体数据一览!A372,搜索词报告!$I$2:$I$22222))</f>
        <v/>
      </c>
      <c r="C372" t="str">
        <f>IF(SUMIF(搜索词报告!$A$2:$A$22222,总体数据一览!A372,搜索词报告!$J$2:$J$22222)=0,"",SUMIF(搜索词报告!$A$2:$A$22222,总体数据一览!A372,搜索词报告!$J$2:$J$22222))</f>
        <v/>
      </c>
      <c r="D372" s="2" t="str">
        <f t="shared" si="18"/>
        <v/>
      </c>
      <c r="E372" t="str">
        <f t="shared" si="19"/>
        <v/>
      </c>
      <c r="F372" t="str">
        <f>IF(SUMIF(搜索词报告!$A$2:$A$22222,总体数据一览!A372,搜索词报告!$M$2:$M$22222)=0,"",SUMIF(搜索词报告!$A$2:$A$22222,总体数据一览!A372,搜索词报告!$M$2:$M$22222))</f>
        <v/>
      </c>
      <c r="G372" t="str">
        <f>IFERROR(IF(B372="","",SUMIF(搜索词报告!$A$2:$A$22222,总体数据一览!A372,搜索词报告!$V$2:$V$22222))+IF(B372="","",SUMIF(搜索词报告!$A$2:$A$22222,总体数据一览!A372,搜索词报告!$W$2:$W$22222)),"")</f>
        <v/>
      </c>
      <c r="H372" s="2" t="str">
        <f t="shared" si="20"/>
        <v/>
      </c>
    </row>
    <row r="373" spans="2:8" x14ac:dyDescent="0.15">
      <c r="B373" t="str">
        <f>IF(SUMIF(搜索词报告!$A$2:$A$22222,总体数据一览!A373,搜索词报告!$I$2:$I$22222)=0,"",SUMIF(搜索词报告!$A$2:$A$22222,总体数据一览!A373,搜索词报告!$I$2:$I$22222))</f>
        <v/>
      </c>
      <c r="C373" t="str">
        <f>IF(SUMIF(搜索词报告!$A$2:$A$22222,总体数据一览!A373,搜索词报告!$J$2:$J$22222)=0,"",SUMIF(搜索词报告!$A$2:$A$22222,总体数据一览!A373,搜索词报告!$J$2:$J$22222))</f>
        <v/>
      </c>
      <c r="D373" s="2" t="str">
        <f t="shared" si="18"/>
        <v/>
      </c>
      <c r="E373" t="str">
        <f t="shared" si="19"/>
        <v/>
      </c>
      <c r="F373" t="str">
        <f>IF(SUMIF(搜索词报告!$A$2:$A$22222,总体数据一览!A373,搜索词报告!$M$2:$M$22222)=0,"",SUMIF(搜索词报告!$A$2:$A$22222,总体数据一览!A373,搜索词报告!$M$2:$M$22222))</f>
        <v/>
      </c>
      <c r="G373" t="str">
        <f>IFERROR(IF(B373="","",SUMIF(搜索词报告!$A$2:$A$22222,总体数据一览!A373,搜索词报告!$V$2:$V$22222))+IF(B373="","",SUMIF(搜索词报告!$A$2:$A$22222,总体数据一览!A373,搜索词报告!$W$2:$W$22222)),"")</f>
        <v/>
      </c>
      <c r="H373" s="2" t="str">
        <f t="shared" si="20"/>
        <v/>
      </c>
    </row>
    <row r="374" spans="2:8" x14ac:dyDescent="0.15">
      <c r="B374" t="str">
        <f>IF(SUMIF(搜索词报告!$A$2:$A$22222,总体数据一览!A374,搜索词报告!$I$2:$I$22222)=0,"",SUMIF(搜索词报告!$A$2:$A$22222,总体数据一览!A374,搜索词报告!$I$2:$I$22222))</f>
        <v/>
      </c>
      <c r="C374" t="str">
        <f>IF(SUMIF(搜索词报告!$A$2:$A$22222,总体数据一览!A374,搜索词报告!$J$2:$J$22222)=0,"",SUMIF(搜索词报告!$A$2:$A$22222,总体数据一览!A374,搜索词报告!$J$2:$J$22222))</f>
        <v/>
      </c>
      <c r="D374" s="2" t="str">
        <f t="shared" si="18"/>
        <v/>
      </c>
      <c r="E374" t="str">
        <f t="shared" si="19"/>
        <v/>
      </c>
      <c r="F374" t="str">
        <f>IF(SUMIF(搜索词报告!$A$2:$A$22222,总体数据一览!A374,搜索词报告!$M$2:$M$22222)=0,"",SUMIF(搜索词报告!$A$2:$A$22222,总体数据一览!A374,搜索词报告!$M$2:$M$22222))</f>
        <v/>
      </c>
      <c r="G374" t="str">
        <f>IFERROR(IF(B374="","",SUMIF(搜索词报告!$A$2:$A$22222,总体数据一览!A374,搜索词报告!$V$2:$V$22222))+IF(B374="","",SUMIF(搜索词报告!$A$2:$A$22222,总体数据一览!A374,搜索词报告!$W$2:$W$22222)),"")</f>
        <v/>
      </c>
      <c r="H374" s="2" t="str">
        <f t="shared" si="20"/>
        <v/>
      </c>
    </row>
    <row r="375" spans="2:8" x14ac:dyDescent="0.15">
      <c r="B375" t="str">
        <f>IF(SUMIF(搜索词报告!$A$2:$A$22222,总体数据一览!A375,搜索词报告!$I$2:$I$22222)=0,"",SUMIF(搜索词报告!$A$2:$A$22222,总体数据一览!A375,搜索词报告!$I$2:$I$22222))</f>
        <v/>
      </c>
      <c r="C375" t="str">
        <f>IF(SUMIF(搜索词报告!$A$2:$A$22222,总体数据一览!A375,搜索词报告!$J$2:$J$22222)=0,"",SUMIF(搜索词报告!$A$2:$A$22222,总体数据一览!A375,搜索词报告!$J$2:$J$22222))</f>
        <v/>
      </c>
      <c r="D375" s="2" t="str">
        <f t="shared" si="18"/>
        <v/>
      </c>
      <c r="E375" t="str">
        <f t="shared" si="19"/>
        <v/>
      </c>
      <c r="F375" t="str">
        <f>IF(SUMIF(搜索词报告!$A$2:$A$22222,总体数据一览!A375,搜索词报告!$M$2:$M$22222)=0,"",SUMIF(搜索词报告!$A$2:$A$22222,总体数据一览!A375,搜索词报告!$M$2:$M$22222))</f>
        <v/>
      </c>
      <c r="G375" t="str">
        <f>IFERROR(IF(B375="","",SUMIF(搜索词报告!$A$2:$A$22222,总体数据一览!A375,搜索词报告!$V$2:$V$22222))+IF(B375="","",SUMIF(搜索词报告!$A$2:$A$22222,总体数据一览!A375,搜索词报告!$W$2:$W$22222)),"")</f>
        <v/>
      </c>
      <c r="H375" s="2" t="str">
        <f t="shared" si="20"/>
        <v/>
      </c>
    </row>
    <row r="376" spans="2:8" x14ac:dyDescent="0.15">
      <c r="B376" t="str">
        <f>IF(SUMIF(搜索词报告!$A$2:$A$22222,总体数据一览!A376,搜索词报告!$I$2:$I$22222)=0,"",SUMIF(搜索词报告!$A$2:$A$22222,总体数据一览!A376,搜索词报告!$I$2:$I$22222))</f>
        <v/>
      </c>
      <c r="C376" t="str">
        <f>IF(SUMIF(搜索词报告!$A$2:$A$22222,总体数据一览!A376,搜索词报告!$J$2:$J$22222)=0,"",SUMIF(搜索词报告!$A$2:$A$22222,总体数据一览!A376,搜索词报告!$J$2:$J$22222))</f>
        <v/>
      </c>
      <c r="D376" s="2" t="str">
        <f t="shared" si="18"/>
        <v/>
      </c>
      <c r="E376" t="str">
        <f t="shared" si="19"/>
        <v/>
      </c>
      <c r="F376" t="str">
        <f>IF(SUMIF(搜索词报告!$A$2:$A$22222,总体数据一览!A376,搜索词报告!$M$2:$M$22222)=0,"",SUMIF(搜索词报告!$A$2:$A$22222,总体数据一览!A376,搜索词报告!$M$2:$M$22222))</f>
        <v/>
      </c>
      <c r="G376" t="str">
        <f>IFERROR(IF(B376="","",SUMIF(搜索词报告!$A$2:$A$22222,总体数据一览!A376,搜索词报告!$V$2:$V$22222))+IF(B376="","",SUMIF(搜索词报告!$A$2:$A$22222,总体数据一览!A376,搜索词报告!$W$2:$W$22222)),"")</f>
        <v/>
      </c>
      <c r="H376" s="2" t="str">
        <f t="shared" si="20"/>
        <v/>
      </c>
    </row>
    <row r="377" spans="2:8" x14ac:dyDescent="0.15">
      <c r="B377" t="str">
        <f>IF(SUMIF(搜索词报告!$A$2:$A$22222,总体数据一览!A377,搜索词报告!$I$2:$I$22222)=0,"",SUMIF(搜索词报告!$A$2:$A$22222,总体数据一览!A377,搜索词报告!$I$2:$I$22222))</f>
        <v/>
      </c>
      <c r="C377" t="str">
        <f>IF(SUMIF(搜索词报告!$A$2:$A$22222,总体数据一览!A377,搜索词报告!$J$2:$J$22222)=0,"",SUMIF(搜索词报告!$A$2:$A$22222,总体数据一览!A377,搜索词报告!$J$2:$J$22222))</f>
        <v/>
      </c>
      <c r="D377" s="2" t="str">
        <f t="shared" si="18"/>
        <v/>
      </c>
      <c r="E377" t="str">
        <f t="shared" si="19"/>
        <v/>
      </c>
      <c r="F377" t="str">
        <f>IF(SUMIF(搜索词报告!$A$2:$A$22222,总体数据一览!A377,搜索词报告!$M$2:$M$22222)=0,"",SUMIF(搜索词报告!$A$2:$A$22222,总体数据一览!A377,搜索词报告!$M$2:$M$22222))</f>
        <v/>
      </c>
      <c r="G377" t="str">
        <f>IFERROR(IF(B377="","",SUMIF(搜索词报告!$A$2:$A$22222,总体数据一览!A377,搜索词报告!$V$2:$V$22222))+IF(B377="","",SUMIF(搜索词报告!$A$2:$A$22222,总体数据一览!A377,搜索词报告!$W$2:$W$22222)),"")</f>
        <v/>
      </c>
      <c r="H377" s="2" t="str">
        <f t="shared" si="20"/>
        <v/>
      </c>
    </row>
    <row r="378" spans="2:8" x14ac:dyDescent="0.15">
      <c r="B378" t="str">
        <f>IF(SUMIF(搜索词报告!$A$2:$A$22222,总体数据一览!A378,搜索词报告!$I$2:$I$22222)=0,"",SUMIF(搜索词报告!$A$2:$A$22222,总体数据一览!A378,搜索词报告!$I$2:$I$22222))</f>
        <v/>
      </c>
      <c r="C378" t="str">
        <f>IF(SUMIF(搜索词报告!$A$2:$A$22222,总体数据一览!A378,搜索词报告!$J$2:$J$22222)=0,"",SUMIF(搜索词报告!$A$2:$A$22222,总体数据一览!A378,搜索词报告!$J$2:$J$22222))</f>
        <v/>
      </c>
      <c r="D378" s="2" t="str">
        <f t="shared" si="18"/>
        <v/>
      </c>
      <c r="E378" t="str">
        <f t="shared" si="19"/>
        <v/>
      </c>
      <c r="F378" t="str">
        <f>IF(SUMIF(搜索词报告!$A$2:$A$22222,总体数据一览!A378,搜索词报告!$M$2:$M$22222)=0,"",SUMIF(搜索词报告!$A$2:$A$22222,总体数据一览!A378,搜索词报告!$M$2:$M$22222))</f>
        <v/>
      </c>
      <c r="G378" t="str">
        <f>IFERROR(IF(B378="","",SUMIF(搜索词报告!$A$2:$A$22222,总体数据一览!A378,搜索词报告!$V$2:$V$22222))+IF(B378="","",SUMIF(搜索词报告!$A$2:$A$22222,总体数据一览!A378,搜索词报告!$W$2:$W$22222)),"")</f>
        <v/>
      </c>
      <c r="H378" s="2" t="str">
        <f t="shared" si="20"/>
        <v/>
      </c>
    </row>
    <row r="379" spans="2:8" x14ac:dyDescent="0.15">
      <c r="B379" t="str">
        <f>IF(SUMIF(搜索词报告!$A$2:$A$22222,总体数据一览!A379,搜索词报告!$I$2:$I$22222)=0,"",SUMIF(搜索词报告!$A$2:$A$22222,总体数据一览!A379,搜索词报告!$I$2:$I$22222))</f>
        <v/>
      </c>
      <c r="C379" t="str">
        <f>IF(SUMIF(搜索词报告!$A$2:$A$22222,总体数据一览!A379,搜索词报告!$J$2:$J$22222)=0,"",SUMIF(搜索词报告!$A$2:$A$22222,总体数据一览!A379,搜索词报告!$J$2:$J$22222))</f>
        <v/>
      </c>
      <c r="D379" s="2" t="str">
        <f t="shared" si="18"/>
        <v/>
      </c>
      <c r="E379" t="str">
        <f t="shared" si="19"/>
        <v/>
      </c>
      <c r="F379" t="str">
        <f>IF(SUMIF(搜索词报告!$A$2:$A$22222,总体数据一览!A379,搜索词报告!$M$2:$M$22222)=0,"",SUMIF(搜索词报告!$A$2:$A$22222,总体数据一览!A379,搜索词报告!$M$2:$M$22222))</f>
        <v/>
      </c>
      <c r="G379" t="str">
        <f>IFERROR(IF(B379="","",SUMIF(搜索词报告!$A$2:$A$22222,总体数据一览!A379,搜索词报告!$V$2:$V$22222))+IF(B379="","",SUMIF(搜索词报告!$A$2:$A$22222,总体数据一览!A379,搜索词报告!$W$2:$W$22222)),"")</f>
        <v/>
      </c>
      <c r="H379" s="2" t="str">
        <f t="shared" si="20"/>
        <v/>
      </c>
    </row>
    <row r="380" spans="2:8" x14ac:dyDescent="0.15">
      <c r="B380" t="str">
        <f>IF(SUMIF(搜索词报告!$A$2:$A$22222,总体数据一览!A380,搜索词报告!$I$2:$I$22222)=0,"",SUMIF(搜索词报告!$A$2:$A$22222,总体数据一览!A380,搜索词报告!$I$2:$I$22222))</f>
        <v/>
      </c>
      <c r="C380" t="str">
        <f>IF(SUMIF(搜索词报告!$A$2:$A$22222,总体数据一览!A380,搜索词报告!$J$2:$J$22222)=0,"",SUMIF(搜索词报告!$A$2:$A$22222,总体数据一览!A380,搜索词报告!$J$2:$J$22222))</f>
        <v/>
      </c>
      <c r="D380" s="2" t="str">
        <f t="shared" si="18"/>
        <v/>
      </c>
      <c r="E380" t="str">
        <f t="shared" si="19"/>
        <v/>
      </c>
      <c r="F380" t="str">
        <f>IF(SUMIF(搜索词报告!$A$2:$A$22222,总体数据一览!A380,搜索词报告!$M$2:$M$22222)=0,"",SUMIF(搜索词报告!$A$2:$A$22222,总体数据一览!A380,搜索词报告!$M$2:$M$22222))</f>
        <v/>
      </c>
      <c r="G380" t="str">
        <f>IFERROR(IF(B380="","",SUMIF(搜索词报告!$A$2:$A$22222,总体数据一览!A380,搜索词报告!$V$2:$V$22222))+IF(B380="","",SUMIF(搜索词报告!$A$2:$A$22222,总体数据一览!A380,搜索词报告!$W$2:$W$22222)),"")</f>
        <v/>
      </c>
      <c r="H380" s="2" t="str">
        <f t="shared" si="20"/>
        <v/>
      </c>
    </row>
    <row r="381" spans="2:8" x14ac:dyDescent="0.15">
      <c r="B381" t="str">
        <f>IF(SUMIF(搜索词报告!$A$2:$A$22222,总体数据一览!A381,搜索词报告!$I$2:$I$22222)=0,"",SUMIF(搜索词报告!$A$2:$A$22222,总体数据一览!A381,搜索词报告!$I$2:$I$22222))</f>
        <v/>
      </c>
      <c r="C381" t="str">
        <f>IF(SUMIF(搜索词报告!$A$2:$A$22222,总体数据一览!A381,搜索词报告!$J$2:$J$22222)=0,"",SUMIF(搜索词报告!$A$2:$A$22222,总体数据一览!A381,搜索词报告!$J$2:$J$22222))</f>
        <v/>
      </c>
      <c r="D381" s="2" t="str">
        <f t="shared" si="18"/>
        <v/>
      </c>
      <c r="E381" t="str">
        <f t="shared" si="19"/>
        <v/>
      </c>
      <c r="F381" t="str">
        <f>IF(SUMIF(搜索词报告!$A$2:$A$22222,总体数据一览!A381,搜索词报告!$M$2:$M$22222)=0,"",SUMIF(搜索词报告!$A$2:$A$22222,总体数据一览!A381,搜索词报告!$M$2:$M$22222))</f>
        <v/>
      </c>
      <c r="G381" t="str">
        <f>IFERROR(IF(B381="","",SUMIF(搜索词报告!$A$2:$A$22222,总体数据一览!A381,搜索词报告!$V$2:$V$22222))+IF(B381="","",SUMIF(搜索词报告!$A$2:$A$22222,总体数据一览!A381,搜索词报告!$W$2:$W$22222)),"")</f>
        <v/>
      </c>
      <c r="H381" s="2" t="str">
        <f t="shared" si="20"/>
        <v/>
      </c>
    </row>
    <row r="382" spans="2:8" x14ac:dyDescent="0.15">
      <c r="B382" t="str">
        <f>IF(SUMIF(搜索词报告!$A$2:$A$22222,总体数据一览!A382,搜索词报告!$I$2:$I$22222)=0,"",SUMIF(搜索词报告!$A$2:$A$22222,总体数据一览!A382,搜索词报告!$I$2:$I$22222))</f>
        <v/>
      </c>
      <c r="C382" t="str">
        <f>IF(SUMIF(搜索词报告!$A$2:$A$22222,总体数据一览!A382,搜索词报告!$J$2:$J$22222)=0,"",SUMIF(搜索词报告!$A$2:$A$22222,总体数据一览!A382,搜索词报告!$J$2:$J$22222))</f>
        <v/>
      </c>
      <c r="D382" s="2" t="str">
        <f t="shared" si="18"/>
        <v/>
      </c>
      <c r="E382" t="str">
        <f t="shared" si="19"/>
        <v/>
      </c>
      <c r="F382" t="str">
        <f>IF(SUMIF(搜索词报告!$A$2:$A$22222,总体数据一览!A382,搜索词报告!$M$2:$M$22222)=0,"",SUMIF(搜索词报告!$A$2:$A$22222,总体数据一览!A382,搜索词报告!$M$2:$M$22222))</f>
        <v/>
      </c>
      <c r="G382" t="str">
        <f>IFERROR(IF(B382="","",SUMIF(搜索词报告!$A$2:$A$22222,总体数据一览!A382,搜索词报告!$V$2:$V$22222))+IF(B382="","",SUMIF(搜索词报告!$A$2:$A$22222,总体数据一览!A382,搜索词报告!$W$2:$W$22222)),"")</f>
        <v/>
      </c>
      <c r="H382" s="2" t="str">
        <f t="shared" si="20"/>
        <v/>
      </c>
    </row>
    <row r="383" spans="2:8" x14ac:dyDescent="0.15">
      <c r="B383" t="str">
        <f>IF(SUMIF(搜索词报告!$A$2:$A$22222,总体数据一览!A383,搜索词报告!$I$2:$I$22222)=0,"",SUMIF(搜索词报告!$A$2:$A$22222,总体数据一览!A383,搜索词报告!$I$2:$I$22222))</f>
        <v/>
      </c>
      <c r="C383" t="str">
        <f>IF(SUMIF(搜索词报告!$A$2:$A$22222,总体数据一览!A383,搜索词报告!$J$2:$J$22222)=0,"",SUMIF(搜索词报告!$A$2:$A$22222,总体数据一览!A383,搜索词报告!$J$2:$J$22222))</f>
        <v/>
      </c>
      <c r="D383" s="2" t="str">
        <f t="shared" si="18"/>
        <v/>
      </c>
      <c r="E383" t="str">
        <f t="shared" si="19"/>
        <v/>
      </c>
      <c r="F383" t="str">
        <f>IF(SUMIF(搜索词报告!$A$2:$A$22222,总体数据一览!A383,搜索词报告!$M$2:$M$22222)=0,"",SUMIF(搜索词报告!$A$2:$A$22222,总体数据一览!A383,搜索词报告!$M$2:$M$22222))</f>
        <v/>
      </c>
      <c r="G383" t="str">
        <f>IFERROR(IF(B383="","",SUMIF(搜索词报告!$A$2:$A$22222,总体数据一览!A383,搜索词报告!$V$2:$V$22222))+IF(B383="","",SUMIF(搜索词报告!$A$2:$A$22222,总体数据一览!A383,搜索词报告!$W$2:$W$22222)),"")</f>
        <v/>
      </c>
      <c r="H383" s="2" t="str">
        <f t="shared" si="20"/>
        <v/>
      </c>
    </row>
    <row r="384" spans="2:8" x14ac:dyDescent="0.15">
      <c r="B384" t="str">
        <f>IF(SUMIF(搜索词报告!$A$2:$A$22222,总体数据一览!A384,搜索词报告!$I$2:$I$22222)=0,"",SUMIF(搜索词报告!$A$2:$A$22222,总体数据一览!A384,搜索词报告!$I$2:$I$22222))</f>
        <v/>
      </c>
      <c r="C384" t="str">
        <f>IF(SUMIF(搜索词报告!$A$2:$A$22222,总体数据一览!A384,搜索词报告!$J$2:$J$22222)=0,"",SUMIF(搜索词报告!$A$2:$A$22222,总体数据一览!A384,搜索词报告!$J$2:$J$22222))</f>
        <v/>
      </c>
      <c r="D384" s="2" t="str">
        <f t="shared" si="18"/>
        <v/>
      </c>
      <c r="E384" t="str">
        <f t="shared" si="19"/>
        <v/>
      </c>
      <c r="F384" t="str">
        <f>IF(SUMIF(搜索词报告!$A$2:$A$22222,总体数据一览!A384,搜索词报告!$M$2:$M$22222)=0,"",SUMIF(搜索词报告!$A$2:$A$22222,总体数据一览!A384,搜索词报告!$M$2:$M$22222))</f>
        <v/>
      </c>
      <c r="G384" t="str">
        <f>IFERROR(IF(B384="","",SUMIF(搜索词报告!$A$2:$A$22222,总体数据一览!A384,搜索词报告!$V$2:$V$22222))+IF(B384="","",SUMIF(搜索词报告!$A$2:$A$22222,总体数据一览!A384,搜索词报告!$W$2:$W$22222)),"")</f>
        <v/>
      </c>
      <c r="H384" s="2" t="str">
        <f t="shared" si="20"/>
        <v/>
      </c>
    </row>
    <row r="385" spans="2:8" x14ac:dyDescent="0.15">
      <c r="B385" t="str">
        <f>IF(SUMIF(搜索词报告!$A$2:$A$22222,总体数据一览!A385,搜索词报告!$I$2:$I$22222)=0,"",SUMIF(搜索词报告!$A$2:$A$22222,总体数据一览!A385,搜索词报告!$I$2:$I$22222))</f>
        <v/>
      </c>
      <c r="C385" t="str">
        <f>IF(SUMIF(搜索词报告!$A$2:$A$22222,总体数据一览!A385,搜索词报告!$J$2:$J$22222)=0,"",SUMIF(搜索词报告!$A$2:$A$22222,总体数据一览!A385,搜索词报告!$J$2:$J$22222))</f>
        <v/>
      </c>
      <c r="D385" s="2" t="str">
        <f t="shared" si="18"/>
        <v/>
      </c>
      <c r="E385" t="str">
        <f t="shared" si="19"/>
        <v/>
      </c>
      <c r="F385" t="str">
        <f>IF(SUMIF(搜索词报告!$A$2:$A$22222,总体数据一览!A385,搜索词报告!$M$2:$M$22222)=0,"",SUMIF(搜索词报告!$A$2:$A$22222,总体数据一览!A385,搜索词报告!$M$2:$M$22222))</f>
        <v/>
      </c>
      <c r="G385" t="str">
        <f>IFERROR(IF(B385="","",SUMIF(搜索词报告!$A$2:$A$22222,总体数据一览!A385,搜索词报告!$V$2:$V$22222))+IF(B385="","",SUMIF(搜索词报告!$A$2:$A$22222,总体数据一览!A385,搜索词报告!$W$2:$W$22222)),"")</f>
        <v/>
      </c>
      <c r="H385" s="2" t="str">
        <f t="shared" si="20"/>
        <v/>
      </c>
    </row>
    <row r="386" spans="2:8" x14ac:dyDescent="0.15">
      <c r="B386" t="str">
        <f>IF(SUMIF(搜索词报告!$A$2:$A$22222,总体数据一览!A386,搜索词报告!$I$2:$I$22222)=0,"",SUMIF(搜索词报告!$A$2:$A$22222,总体数据一览!A386,搜索词报告!$I$2:$I$22222))</f>
        <v/>
      </c>
      <c r="C386" t="str">
        <f>IF(SUMIF(搜索词报告!$A$2:$A$22222,总体数据一览!A386,搜索词报告!$J$2:$J$22222)=0,"",SUMIF(搜索词报告!$A$2:$A$22222,总体数据一览!A386,搜索词报告!$J$2:$J$22222))</f>
        <v/>
      </c>
      <c r="D386" s="2" t="str">
        <f t="shared" si="18"/>
        <v/>
      </c>
      <c r="E386" t="str">
        <f t="shared" si="19"/>
        <v/>
      </c>
      <c r="F386" t="str">
        <f>IF(SUMIF(搜索词报告!$A$2:$A$22222,总体数据一览!A386,搜索词报告!$M$2:$M$22222)=0,"",SUMIF(搜索词报告!$A$2:$A$22222,总体数据一览!A386,搜索词报告!$M$2:$M$22222))</f>
        <v/>
      </c>
      <c r="G386" t="str">
        <f>IFERROR(IF(B386="","",SUMIF(搜索词报告!$A$2:$A$22222,总体数据一览!A386,搜索词报告!$V$2:$V$22222))+IF(B386="","",SUMIF(搜索词报告!$A$2:$A$22222,总体数据一览!A386,搜索词报告!$W$2:$W$22222)),"")</f>
        <v/>
      </c>
      <c r="H386" s="2" t="str">
        <f t="shared" si="20"/>
        <v/>
      </c>
    </row>
    <row r="387" spans="2:8" x14ac:dyDescent="0.15">
      <c r="B387" t="str">
        <f>IF(SUMIF(搜索词报告!$A$2:$A$22222,总体数据一览!A387,搜索词报告!$I$2:$I$22222)=0,"",SUMIF(搜索词报告!$A$2:$A$22222,总体数据一览!A387,搜索词报告!$I$2:$I$22222))</f>
        <v/>
      </c>
      <c r="C387" t="str">
        <f>IF(SUMIF(搜索词报告!$A$2:$A$22222,总体数据一览!A387,搜索词报告!$J$2:$J$22222)=0,"",SUMIF(搜索词报告!$A$2:$A$22222,总体数据一览!A387,搜索词报告!$J$2:$J$22222))</f>
        <v/>
      </c>
      <c r="D387" s="2" t="str">
        <f t="shared" si="18"/>
        <v/>
      </c>
      <c r="E387" t="str">
        <f t="shared" si="19"/>
        <v/>
      </c>
      <c r="F387" t="str">
        <f>IF(SUMIF(搜索词报告!$A$2:$A$22222,总体数据一览!A387,搜索词报告!$M$2:$M$22222)=0,"",SUMIF(搜索词报告!$A$2:$A$22222,总体数据一览!A387,搜索词报告!$M$2:$M$22222))</f>
        <v/>
      </c>
      <c r="G387" t="str">
        <f>IFERROR(IF(B387="","",SUMIF(搜索词报告!$A$2:$A$22222,总体数据一览!A387,搜索词报告!$V$2:$V$22222))+IF(B387="","",SUMIF(搜索词报告!$A$2:$A$22222,总体数据一览!A387,搜索词报告!$W$2:$W$22222)),"")</f>
        <v/>
      </c>
      <c r="H387" s="2" t="str">
        <f t="shared" si="20"/>
        <v/>
      </c>
    </row>
    <row r="388" spans="2:8" x14ac:dyDescent="0.15">
      <c r="B388" t="str">
        <f>IF(SUMIF(搜索词报告!$A$2:$A$22222,总体数据一览!A388,搜索词报告!$I$2:$I$22222)=0,"",SUMIF(搜索词报告!$A$2:$A$22222,总体数据一览!A388,搜索词报告!$I$2:$I$22222))</f>
        <v/>
      </c>
      <c r="C388" t="str">
        <f>IF(SUMIF(搜索词报告!$A$2:$A$22222,总体数据一览!A388,搜索词报告!$J$2:$J$22222)=0,"",SUMIF(搜索词报告!$A$2:$A$22222,总体数据一览!A388,搜索词报告!$J$2:$J$22222))</f>
        <v/>
      </c>
      <c r="D388" s="2" t="str">
        <f t="shared" si="18"/>
        <v/>
      </c>
      <c r="E388" t="str">
        <f t="shared" si="19"/>
        <v/>
      </c>
      <c r="F388" t="str">
        <f>IF(SUMIF(搜索词报告!$A$2:$A$22222,总体数据一览!A388,搜索词报告!$M$2:$M$22222)=0,"",SUMIF(搜索词报告!$A$2:$A$22222,总体数据一览!A388,搜索词报告!$M$2:$M$22222))</f>
        <v/>
      </c>
      <c r="G388" t="str">
        <f>IFERROR(IF(B388="","",SUMIF(搜索词报告!$A$2:$A$22222,总体数据一览!A388,搜索词报告!$V$2:$V$22222))+IF(B388="","",SUMIF(搜索词报告!$A$2:$A$22222,总体数据一览!A388,搜索词报告!$W$2:$W$22222)),"")</f>
        <v/>
      </c>
      <c r="H388" s="2" t="str">
        <f t="shared" si="20"/>
        <v/>
      </c>
    </row>
    <row r="389" spans="2:8" x14ac:dyDescent="0.15">
      <c r="B389" t="str">
        <f>IF(SUMIF(搜索词报告!$A$2:$A$22222,总体数据一览!A389,搜索词报告!$I$2:$I$22222)=0,"",SUMIF(搜索词报告!$A$2:$A$22222,总体数据一览!A389,搜索词报告!$I$2:$I$22222))</f>
        <v/>
      </c>
      <c r="C389" t="str">
        <f>IF(SUMIF(搜索词报告!$A$2:$A$22222,总体数据一览!A389,搜索词报告!$J$2:$J$22222)=0,"",SUMIF(搜索词报告!$A$2:$A$22222,总体数据一览!A389,搜索词报告!$J$2:$J$22222))</f>
        <v/>
      </c>
      <c r="D389" s="2" t="str">
        <f t="shared" si="18"/>
        <v/>
      </c>
      <c r="E389" t="str">
        <f t="shared" si="19"/>
        <v/>
      </c>
      <c r="F389" t="str">
        <f>IF(SUMIF(搜索词报告!$A$2:$A$22222,总体数据一览!A389,搜索词报告!$M$2:$M$22222)=0,"",SUMIF(搜索词报告!$A$2:$A$22222,总体数据一览!A389,搜索词报告!$M$2:$M$22222))</f>
        <v/>
      </c>
      <c r="G389" t="str">
        <f>IFERROR(IF(B389="","",SUMIF(搜索词报告!$A$2:$A$22222,总体数据一览!A389,搜索词报告!$V$2:$V$22222))+IF(B389="","",SUMIF(搜索词报告!$A$2:$A$22222,总体数据一览!A389,搜索词报告!$W$2:$W$22222)),"")</f>
        <v/>
      </c>
      <c r="H389" s="2" t="str">
        <f t="shared" si="20"/>
        <v/>
      </c>
    </row>
    <row r="390" spans="2:8" x14ac:dyDescent="0.15">
      <c r="B390" t="str">
        <f>IF(SUMIF(搜索词报告!$A$2:$A$22222,总体数据一览!A390,搜索词报告!$I$2:$I$22222)=0,"",SUMIF(搜索词报告!$A$2:$A$22222,总体数据一览!A390,搜索词报告!$I$2:$I$22222))</f>
        <v/>
      </c>
      <c r="C390" t="str">
        <f>IF(SUMIF(搜索词报告!$A$2:$A$22222,总体数据一览!A390,搜索词报告!$J$2:$J$22222)=0,"",SUMIF(搜索词报告!$A$2:$A$22222,总体数据一览!A390,搜索词报告!$J$2:$J$22222))</f>
        <v/>
      </c>
      <c r="D390" s="2" t="str">
        <f t="shared" si="18"/>
        <v/>
      </c>
      <c r="E390" t="str">
        <f t="shared" si="19"/>
        <v/>
      </c>
      <c r="F390" t="str">
        <f>IF(SUMIF(搜索词报告!$A$2:$A$22222,总体数据一览!A390,搜索词报告!$M$2:$M$22222)=0,"",SUMIF(搜索词报告!$A$2:$A$22222,总体数据一览!A390,搜索词报告!$M$2:$M$22222))</f>
        <v/>
      </c>
      <c r="G390" t="str">
        <f>IFERROR(IF(B390="","",SUMIF(搜索词报告!$A$2:$A$22222,总体数据一览!A390,搜索词报告!$V$2:$V$22222))+IF(B390="","",SUMIF(搜索词报告!$A$2:$A$22222,总体数据一览!A390,搜索词报告!$W$2:$W$22222)),"")</f>
        <v/>
      </c>
      <c r="H390" s="2" t="str">
        <f t="shared" si="20"/>
        <v/>
      </c>
    </row>
    <row r="391" spans="2:8" x14ac:dyDescent="0.15">
      <c r="B391" t="str">
        <f>IF(SUMIF(搜索词报告!$A$2:$A$22222,总体数据一览!A391,搜索词报告!$I$2:$I$22222)=0,"",SUMIF(搜索词报告!$A$2:$A$22222,总体数据一览!A391,搜索词报告!$I$2:$I$22222))</f>
        <v/>
      </c>
      <c r="C391" t="str">
        <f>IF(SUMIF(搜索词报告!$A$2:$A$22222,总体数据一览!A391,搜索词报告!$J$2:$J$22222)=0,"",SUMIF(搜索词报告!$A$2:$A$22222,总体数据一览!A391,搜索词报告!$J$2:$J$22222))</f>
        <v/>
      </c>
      <c r="D391" s="2" t="str">
        <f t="shared" si="18"/>
        <v/>
      </c>
      <c r="E391" t="str">
        <f t="shared" si="19"/>
        <v/>
      </c>
      <c r="F391" t="str">
        <f>IF(SUMIF(搜索词报告!$A$2:$A$22222,总体数据一览!A391,搜索词报告!$M$2:$M$22222)=0,"",SUMIF(搜索词报告!$A$2:$A$22222,总体数据一览!A391,搜索词报告!$M$2:$M$22222))</f>
        <v/>
      </c>
      <c r="G391" t="str">
        <f>IFERROR(IF(B391="","",SUMIF(搜索词报告!$A$2:$A$22222,总体数据一览!A391,搜索词报告!$V$2:$V$22222))+IF(B391="","",SUMIF(搜索词报告!$A$2:$A$22222,总体数据一览!A391,搜索词报告!$W$2:$W$22222)),"")</f>
        <v/>
      </c>
      <c r="H391" s="2" t="str">
        <f t="shared" si="20"/>
        <v/>
      </c>
    </row>
    <row r="392" spans="2:8" x14ac:dyDescent="0.15">
      <c r="B392" t="str">
        <f>IF(SUMIF(搜索词报告!$A$2:$A$22222,总体数据一览!A392,搜索词报告!$I$2:$I$22222)=0,"",SUMIF(搜索词报告!$A$2:$A$22222,总体数据一览!A392,搜索词报告!$I$2:$I$22222))</f>
        <v/>
      </c>
      <c r="C392" t="str">
        <f>IF(SUMIF(搜索词报告!$A$2:$A$22222,总体数据一览!A392,搜索词报告!$J$2:$J$22222)=0,"",SUMIF(搜索词报告!$A$2:$A$22222,总体数据一览!A392,搜索词报告!$J$2:$J$22222))</f>
        <v/>
      </c>
      <c r="D392" s="2" t="str">
        <f t="shared" si="18"/>
        <v/>
      </c>
      <c r="E392" t="str">
        <f t="shared" si="19"/>
        <v/>
      </c>
      <c r="F392" t="str">
        <f>IF(SUMIF(搜索词报告!$A$2:$A$22222,总体数据一览!A392,搜索词报告!$M$2:$M$22222)=0,"",SUMIF(搜索词报告!$A$2:$A$22222,总体数据一览!A392,搜索词报告!$M$2:$M$22222))</f>
        <v/>
      </c>
      <c r="G392" t="str">
        <f>IFERROR(IF(B392="","",SUMIF(搜索词报告!$A$2:$A$22222,总体数据一览!A392,搜索词报告!$V$2:$V$22222))+IF(B392="","",SUMIF(搜索词报告!$A$2:$A$22222,总体数据一览!A392,搜索词报告!$W$2:$W$22222)),"")</f>
        <v/>
      </c>
      <c r="H392" s="2" t="str">
        <f t="shared" si="20"/>
        <v/>
      </c>
    </row>
    <row r="393" spans="2:8" x14ac:dyDescent="0.15">
      <c r="B393" t="str">
        <f>IF(SUMIF(搜索词报告!$A$2:$A$22222,总体数据一览!A393,搜索词报告!$I$2:$I$22222)=0,"",SUMIF(搜索词报告!$A$2:$A$22222,总体数据一览!A393,搜索词报告!$I$2:$I$22222))</f>
        <v/>
      </c>
      <c r="C393" t="str">
        <f>IF(SUMIF(搜索词报告!$A$2:$A$22222,总体数据一览!A393,搜索词报告!$J$2:$J$22222)=0,"",SUMIF(搜索词报告!$A$2:$A$22222,总体数据一览!A393,搜索词报告!$J$2:$J$22222))</f>
        <v/>
      </c>
      <c r="D393" s="2" t="str">
        <f t="shared" si="18"/>
        <v/>
      </c>
      <c r="E393" t="str">
        <f t="shared" si="19"/>
        <v/>
      </c>
      <c r="F393" t="str">
        <f>IF(SUMIF(搜索词报告!$A$2:$A$22222,总体数据一览!A393,搜索词报告!$M$2:$M$22222)=0,"",SUMIF(搜索词报告!$A$2:$A$22222,总体数据一览!A393,搜索词报告!$M$2:$M$22222))</f>
        <v/>
      </c>
      <c r="G393" t="str">
        <f>IFERROR(IF(B393="","",SUMIF(搜索词报告!$A$2:$A$22222,总体数据一览!A393,搜索词报告!$V$2:$V$22222))+IF(B393="","",SUMIF(搜索词报告!$A$2:$A$22222,总体数据一览!A393,搜索词报告!$W$2:$W$22222)),"")</f>
        <v/>
      </c>
      <c r="H393" s="2" t="str">
        <f t="shared" si="20"/>
        <v/>
      </c>
    </row>
    <row r="394" spans="2:8" x14ac:dyDescent="0.15">
      <c r="B394" t="str">
        <f>IF(SUMIF(搜索词报告!$A$2:$A$22222,总体数据一览!A394,搜索词报告!$I$2:$I$22222)=0,"",SUMIF(搜索词报告!$A$2:$A$22222,总体数据一览!A394,搜索词报告!$I$2:$I$22222))</f>
        <v/>
      </c>
      <c r="C394" t="str">
        <f>IF(SUMIF(搜索词报告!$A$2:$A$22222,总体数据一览!A394,搜索词报告!$J$2:$J$22222)=0,"",SUMIF(搜索词报告!$A$2:$A$22222,总体数据一览!A394,搜索词报告!$J$2:$J$22222))</f>
        <v/>
      </c>
      <c r="D394" s="2" t="str">
        <f t="shared" si="18"/>
        <v/>
      </c>
      <c r="E394" t="str">
        <f t="shared" si="19"/>
        <v/>
      </c>
      <c r="F394" t="str">
        <f>IF(SUMIF(搜索词报告!$A$2:$A$22222,总体数据一览!A394,搜索词报告!$M$2:$M$22222)=0,"",SUMIF(搜索词报告!$A$2:$A$22222,总体数据一览!A394,搜索词报告!$M$2:$M$22222))</f>
        <v/>
      </c>
      <c r="G394" t="str">
        <f>IFERROR(IF(B394="","",SUMIF(搜索词报告!$A$2:$A$22222,总体数据一览!A394,搜索词报告!$V$2:$V$22222))+IF(B394="","",SUMIF(搜索词报告!$A$2:$A$22222,总体数据一览!A394,搜索词报告!$W$2:$W$22222)),"")</f>
        <v/>
      </c>
      <c r="H394" s="2" t="str">
        <f t="shared" si="20"/>
        <v/>
      </c>
    </row>
    <row r="395" spans="2:8" x14ac:dyDescent="0.15">
      <c r="B395" t="str">
        <f>IF(SUMIF(搜索词报告!$A$2:$A$22222,总体数据一览!A395,搜索词报告!$I$2:$I$22222)=0,"",SUMIF(搜索词报告!$A$2:$A$22222,总体数据一览!A395,搜索词报告!$I$2:$I$22222))</f>
        <v/>
      </c>
      <c r="C395" t="str">
        <f>IF(SUMIF(搜索词报告!$A$2:$A$22222,总体数据一览!A395,搜索词报告!$J$2:$J$22222)=0,"",SUMIF(搜索词报告!$A$2:$A$22222,总体数据一览!A395,搜索词报告!$J$2:$J$22222))</f>
        <v/>
      </c>
      <c r="D395" s="2" t="str">
        <f t="shared" si="18"/>
        <v/>
      </c>
      <c r="E395" t="str">
        <f t="shared" si="19"/>
        <v/>
      </c>
      <c r="F395" t="str">
        <f>IF(SUMIF(搜索词报告!$A$2:$A$22222,总体数据一览!A395,搜索词报告!$M$2:$M$22222)=0,"",SUMIF(搜索词报告!$A$2:$A$22222,总体数据一览!A395,搜索词报告!$M$2:$M$22222))</f>
        <v/>
      </c>
      <c r="G395" t="str">
        <f>IFERROR(IF(B395="","",SUMIF(搜索词报告!$A$2:$A$22222,总体数据一览!A395,搜索词报告!$V$2:$V$22222))+IF(B395="","",SUMIF(搜索词报告!$A$2:$A$22222,总体数据一览!A395,搜索词报告!$W$2:$W$22222)),"")</f>
        <v/>
      </c>
      <c r="H395" s="2" t="str">
        <f t="shared" si="20"/>
        <v/>
      </c>
    </row>
    <row r="396" spans="2:8" x14ac:dyDescent="0.15">
      <c r="B396" t="str">
        <f>IF(SUMIF(搜索词报告!$A$2:$A$22222,总体数据一览!A396,搜索词报告!$I$2:$I$22222)=0,"",SUMIF(搜索词报告!$A$2:$A$22222,总体数据一览!A396,搜索词报告!$I$2:$I$22222))</f>
        <v/>
      </c>
      <c r="C396" t="str">
        <f>IF(SUMIF(搜索词报告!$A$2:$A$22222,总体数据一览!A396,搜索词报告!$J$2:$J$22222)=0,"",SUMIF(搜索词报告!$A$2:$A$22222,总体数据一览!A396,搜索词报告!$J$2:$J$22222))</f>
        <v/>
      </c>
      <c r="D396" s="2" t="str">
        <f t="shared" si="18"/>
        <v/>
      </c>
      <c r="E396" t="str">
        <f t="shared" si="19"/>
        <v/>
      </c>
      <c r="F396" t="str">
        <f>IF(SUMIF(搜索词报告!$A$2:$A$22222,总体数据一览!A396,搜索词报告!$M$2:$M$22222)=0,"",SUMIF(搜索词报告!$A$2:$A$22222,总体数据一览!A396,搜索词报告!$M$2:$M$22222))</f>
        <v/>
      </c>
      <c r="G396" t="str">
        <f>IFERROR(IF(B396="","",SUMIF(搜索词报告!$A$2:$A$22222,总体数据一览!A396,搜索词报告!$V$2:$V$22222))+IF(B396="","",SUMIF(搜索词报告!$A$2:$A$22222,总体数据一览!A396,搜索词报告!$W$2:$W$22222)),"")</f>
        <v/>
      </c>
      <c r="H396" s="2" t="str">
        <f t="shared" si="20"/>
        <v/>
      </c>
    </row>
    <row r="397" spans="2:8" x14ac:dyDescent="0.15">
      <c r="B397" t="str">
        <f>IF(SUMIF(搜索词报告!$A$2:$A$22222,总体数据一览!A397,搜索词报告!$I$2:$I$22222)=0,"",SUMIF(搜索词报告!$A$2:$A$22222,总体数据一览!A397,搜索词报告!$I$2:$I$22222))</f>
        <v/>
      </c>
      <c r="C397" t="str">
        <f>IF(SUMIF(搜索词报告!$A$2:$A$22222,总体数据一览!A397,搜索词报告!$J$2:$J$22222)=0,"",SUMIF(搜索词报告!$A$2:$A$22222,总体数据一览!A397,搜索词报告!$J$2:$J$22222))</f>
        <v/>
      </c>
      <c r="D397" s="2" t="str">
        <f t="shared" si="18"/>
        <v/>
      </c>
      <c r="E397" t="str">
        <f t="shared" si="19"/>
        <v/>
      </c>
      <c r="F397" t="str">
        <f>IF(SUMIF(搜索词报告!$A$2:$A$22222,总体数据一览!A397,搜索词报告!$M$2:$M$22222)=0,"",SUMIF(搜索词报告!$A$2:$A$22222,总体数据一览!A397,搜索词报告!$M$2:$M$22222))</f>
        <v/>
      </c>
      <c r="G397" t="str">
        <f>IFERROR(IF(B397="","",SUMIF(搜索词报告!$A$2:$A$22222,总体数据一览!A397,搜索词报告!$V$2:$V$22222))+IF(B397="","",SUMIF(搜索词报告!$A$2:$A$22222,总体数据一览!A397,搜索词报告!$W$2:$W$22222)),"")</f>
        <v/>
      </c>
      <c r="H397" s="2" t="str">
        <f t="shared" si="20"/>
        <v/>
      </c>
    </row>
    <row r="398" spans="2:8" x14ac:dyDescent="0.15">
      <c r="B398" t="str">
        <f>IF(SUMIF(搜索词报告!$A$2:$A$22222,总体数据一览!A398,搜索词报告!$I$2:$I$22222)=0,"",SUMIF(搜索词报告!$A$2:$A$22222,总体数据一览!A398,搜索词报告!$I$2:$I$22222))</f>
        <v/>
      </c>
      <c r="C398" t="str">
        <f>IF(SUMIF(搜索词报告!$A$2:$A$22222,总体数据一览!A398,搜索词报告!$J$2:$J$22222)=0,"",SUMIF(搜索词报告!$A$2:$A$22222,总体数据一览!A398,搜索词报告!$J$2:$J$22222))</f>
        <v/>
      </c>
      <c r="D398" s="2" t="str">
        <f t="shared" si="18"/>
        <v/>
      </c>
      <c r="E398" t="str">
        <f t="shared" si="19"/>
        <v/>
      </c>
      <c r="F398" t="str">
        <f>IF(SUMIF(搜索词报告!$A$2:$A$22222,总体数据一览!A398,搜索词报告!$M$2:$M$22222)=0,"",SUMIF(搜索词报告!$A$2:$A$22222,总体数据一览!A398,搜索词报告!$M$2:$M$22222))</f>
        <v/>
      </c>
      <c r="G398" t="str">
        <f>IFERROR(IF(B398="","",SUMIF(搜索词报告!$A$2:$A$22222,总体数据一览!A398,搜索词报告!$V$2:$V$22222))+IF(B398="","",SUMIF(搜索词报告!$A$2:$A$22222,总体数据一览!A398,搜索词报告!$W$2:$W$22222)),"")</f>
        <v/>
      </c>
      <c r="H398" s="2" t="str">
        <f t="shared" si="20"/>
        <v/>
      </c>
    </row>
    <row r="399" spans="2:8" x14ac:dyDescent="0.15">
      <c r="B399" t="str">
        <f>IF(SUMIF(搜索词报告!$A$2:$A$22222,总体数据一览!A399,搜索词报告!$I$2:$I$22222)=0,"",SUMIF(搜索词报告!$A$2:$A$22222,总体数据一览!A399,搜索词报告!$I$2:$I$22222))</f>
        <v/>
      </c>
      <c r="C399" t="str">
        <f>IF(SUMIF(搜索词报告!$A$2:$A$22222,总体数据一览!A399,搜索词报告!$J$2:$J$22222)=0,"",SUMIF(搜索词报告!$A$2:$A$22222,总体数据一览!A399,搜索词报告!$J$2:$J$22222))</f>
        <v/>
      </c>
      <c r="D399" s="2" t="str">
        <f t="shared" si="18"/>
        <v/>
      </c>
      <c r="E399" t="str">
        <f t="shared" si="19"/>
        <v/>
      </c>
      <c r="F399" t="str">
        <f>IF(SUMIF(搜索词报告!$A$2:$A$22222,总体数据一览!A399,搜索词报告!$M$2:$M$22222)=0,"",SUMIF(搜索词报告!$A$2:$A$22222,总体数据一览!A399,搜索词报告!$M$2:$M$22222))</f>
        <v/>
      </c>
      <c r="G399" t="str">
        <f>IFERROR(IF(B399="","",SUMIF(搜索词报告!$A$2:$A$22222,总体数据一览!A399,搜索词报告!$V$2:$V$22222))+IF(B399="","",SUMIF(搜索词报告!$A$2:$A$22222,总体数据一览!A399,搜索词报告!$W$2:$W$22222)),"")</f>
        <v/>
      </c>
      <c r="H399" s="2" t="str">
        <f t="shared" si="20"/>
        <v/>
      </c>
    </row>
    <row r="400" spans="2:8" x14ac:dyDescent="0.15">
      <c r="B400" t="str">
        <f>IF(SUMIF(搜索词报告!$A$2:$A$22222,总体数据一览!A400,搜索词报告!$I$2:$I$22222)=0,"",SUMIF(搜索词报告!$A$2:$A$22222,总体数据一览!A400,搜索词报告!$I$2:$I$22222))</f>
        <v/>
      </c>
      <c r="C400" t="str">
        <f>IF(SUMIF(搜索词报告!$A$2:$A$22222,总体数据一览!A400,搜索词报告!$J$2:$J$22222)=0,"",SUMIF(搜索词报告!$A$2:$A$22222,总体数据一览!A400,搜索词报告!$J$2:$J$22222))</f>
        <v/>
      </c>
      <c r="D400" s="2" t="str">
        <f t="shared" si="18"/>
        <v/>
      </c>
      <c r="E400" t="str">
        <f t="shared" si="19"/>
        <v/>
      </c>
      <c r="F400" t="str">
        <f>IF(SUMIF(搜索词报告!$A$2:$A$22222,总体数据一览!A400,搜索词报告!$M$2:$M$22222)=0,"",SUMIF(搜索词报告!$A$2:$A$22222,总体数据一览!A400,搜索词报告!$M$2:$M$22222))</f>
        <v/>
      </c>
      <c r="G400" t="str">
        <f>IFERROR(IF(B400="","",SUMIF(搜索词报告!$A$2:$A$22222,总体数据一览!A400,搜索词报告!$V$2:$V$22222))+IF(B400="","",SUMIF(搜索词报告!$A$2:$A$22222,总体数据一览!A400,搜索词报告!$W$2:$W$22222)),"")</f>
        <v/>
      </c>
      <c r="H400" s="2" t="str">
        <f t="shared" si="20"/>
        <v/>
      </c>
    </row>
    <row r="401" spans="2:8" x14ac:dyDescent="0.15">
      <c r="B401" t="str">
        <f>IF(SUMIF(搜索词报告!$A$2:$A$22222,总体数据一览!A401,搜索词报告!$I$2:$I$22222)=0,"",SUMIF(搜索词报告!$A$2:$A$22222,总体数据一览!A401,搜索词报告!$I$2:$I$22222))</f>
        <v/>
      </c>
      <c r="C401" t="str">
        <f>IF(SUMIF(搜索词报告!$A$2:$A$22222,总体数据一览!A401,搜索词报告!$J$2:$J$22222)=0,"",SUMIF(搜索词报告!$A$2:$A$22222,总体数据一览!A401,搜索词报告!$J$2:$J$22222))</f>
        <v/>
      </c>
      <c r="D401" s="2" t="str">
        <f t="shared" si="18"/>
        <v/>
      </c>
      <c r="E401" t="str">
        <f t="shared" si="19"/>
        <v/>
      </c>
      <c r="F401" t="str">
        <f>IF(SUMIF(搜索词报告!$A$2:$A$22222,总体数据一览!A401,搜索词报告!$M$2:$M$22222)=0,"",SUMIF(搜索词报告!$A$2:$A$22222,总体数据一览!A401,搜索词报告!$M$2:$M$22222))</f>
        <v/>
      </c>
      <c r="G401" t="str">
        <f>IFERROR(IF(B401="","",SUMIF(搜索词报告!$A$2:$A$22222,总体数据一览!A401,搜索词报告!$V$2:$V$22222))+IF(B401="","",SUMIF(搜索词报告!$A$2:$A$22222,总体数据一览!A401,搜索词报告!$W$2:$W$22222)),"")</f>
        <v/>
      </c>
      <c r="H401" s="2" t="str">
        <f t="shared" si="20"/>
        <v/>
      </c>
    </row>
    <row r="402" spans="2:8" x14ac:dyDescent="0.15">
      <c r="B402" t="str">
        <f>IF(SUMIF(搜索词报告!$A$2:$A$22222,总体数据一览!A402,搜索词报告!$I$2:$I$22222)=0,"",SUMIF(搜索词报告!$A$2:$A$22222,总体数据一览!A402,搜索词报告!$I$2:$I$22222))</f>
        <v/>
      </c>
      <c r="C402" t="str">
        <f>IF(SUMIF(搜索词报告!$A$2:$A$22222,总体数据一览!A402,搜索词报告!$J$2:$J$22222)=0,"",SUMIF(搜索词报告!$A$2:$A$22222,总体数据一览!A402,搜索词报告!$J$2:$J$22222))</f>
        <v/>
      </c>
      <c r="D402" s="2" t="str">
        <f t="shared" si="18"/>
        <v/>
      </c>
      <c r="E402" t="str">
        <f t="shared" si="19"/>
        <v/>
      </c>
      <c r="F402" t="str">
        <f>IF(SUMIF(搜索词报告!$A$2:$A$22222,总体数据一览!A402,搜索词报告!$M$2:$M$22222)=0,"",SUMIF(搜索词报告!$A$2:$A$22222,总体数据一览!A402,搜索词报告!$M$2:$M$22222))</f>
        <v/>
      </c>
      <c r="G402" t="str">
        <f>IFERROR(IF(B402="","",SUMIF(搜索词报告!$A$2:$A$22222,总体数据一览!A402,搜索词报告!$V$2:$V$22222))+IF(B402="","",SUMIF(搜索词报告!$A$2:$A$22222,总体数据一览!A402,搜索词报告!$W$2:$W$22222)),"")</f>
        <v/>
      </c>
      <c r="H402" s="2" t="str">
        <f t="shared" si="20"/>
        <v/>
      </c>
    </row>
    <row r="403" spans="2:8" x14ac:dyDescent="0.15">
      <c r="B403" t="str">
        <f>IF(SUMIF(搜索词报告!$A$2:$A$22222,总体数据一览!A403,搜索词报告!$I$2:$I$22222)=0,"",SUMIF(搜索词报告!$A$2:$A$22222,总体数据一览!A403,搜索词报告!$I$2:$I$22222))</f>
        <v/>
      </c>
      <c r="C403" t="str">
        <f>IF(SUMIF(搜索词报告!$A$2:$A$22222,总体数据一览!A403,搜索词报告!$J$2:$J$22222)=0,"",SUMIF(搜索词报告!$A$2:$A$22222,总体数据一览!A403,搜索词报告!$J$2:$J$22222))</f>
        <v/>
      </c>
      <c r="D403" s="2" t="str">
        <f t="shared" si="18"/>
        <v/>
      </c>
      <c r="E403" t="str">
        <f t="shared" si="19"/>
        <v/>
      </c>
      <c r="F403" t="str">
        <f>IF(SUMIF(搜索词报告!$A$2:$A$22222,总体数据一览!A403,搜索词报告!$M$2:$M$22222)=0,"",SUMIF(搜索词报告!$A$2:$A$22222,总体数据一览!A403,搜索词报告!$M$2:$M$22222))</f>
        <v/>
      </c>
      <c r="G403" t="str">
        <f>IFERROR(IF(B403="","",SUMIF(搜索词报告!$A$2:$A$22222,总体数据一览!A403,搜索词报告!$V$2:$V$22222))+IF(B403="","",SUMIF(搜索词报告!$A$2:$A$22222,总体数据一览!A403,搜索词报告!$W$2:$W$22222)),"")</f>
        <v/>
      </c>
      <c r="H403" s="2" t="str">
        <f t="shared" si="20"/>
        <v/>
      </c>
    </row>
    <row r="404" spans="2:8" x14ac:dyDescent="0.15">
      <c r="B404" t="str">
        <f>IF(SUMIF(搜索词报告!$A$2:$A$22222,总体数据一览!A404,搜索词报告!$I$2:$I$22222)=0,"",SUMIF(搜索词报告!$A$2:$A$22222,总体数据一览!A404,搜索词报告!$I$2:$I$22222))</f>
        <v/>
      </c>
      <c r="C404" t="str">
        <f>IF(SUMIF(搜索词报告!$A$2:$A$22222,总体数据一览!A404,搜索词报告!$J$2:$J$22222)=0,"",SUMIF(搜索词报告!$A$2:$A$22222,总体数据一览!A404,搜索词报告!$J$2:$J$22222))</f>
        <v/>
      </c>
      <c r="D404" s="2" t="str">
        <f t="shared" ref="D404:D467" si="21">IFERROR(ROUND(C404/B404,4),"")</f>
        <v/>
      </c>
      <c r="E404" t="str">
        <f t="shared" ref="E404:E467" si="22">IFERROR(ROUND(F404/C404,2),"")</f>
        <v/>
      </c>
      <c r="F404" t="str">
        <f>IF(SUMIF(搜索词报告!$A$2:$A$22222,总体数据一览!A404,搜索词报告!$M$2:$M$22222)=0,"",SUMIF(搜索词报告!$A$2:$A$22222,总体数据一览!A404,搜索词报告!$M$2:$M$22222))</f>
        <v/>
      </c>
      <c r="G404" t="str">
        <f>IFERROR(IF(B404="","",SUMIF(搜索词报告!$A$2:$A$22222,总体数据一览!A404,搜索词报告!$V$2:$V$22222))+IF(B404="","",SUMIF(搜索词报告!$A$2:$A$22222,总体数据一览!A404,搜索词报告!$W$2:$W$22222)),"")</f>
        <v/>
      </c>
      <c r="H404" s="2" t="str">
        <f t="shared" ref="H404:H467" si="23">IFERROR(ROUND(F404/G404,2),"")</f>
        <v/>
      </c>
    </row>
    <row r="405" spans="2:8" x14ac:dyDescent="0.15">
      <c r="B405" t="str">
        <f>IF(SUMIF(搜索词报告!$A$2:$A$22222,总体数据一览!A405,搜索词报告!$I$2:$I$22222)=0,"",SUMIF(搜索词报告!$A$2:$A$22222,总体数据一览!A405,搜索词报告!$I$2:$I$22222))</f>
        <v/>
      </c>
      <c r="C405" t="str">
        <f>IF(SUMIF(搜索词报告!$A$2:$A$22222,总体数据一览!A405,搜索词报告!$J$2:$J$22222)=0,"",SUMIF(搜索词报告!$A$2:$A$22222,总体数据一览!A405,搜索词报告!$J$2:$J$22222))</f>
        <v/>
      </c>
      <c r="D405" s="2" t="str">
        <f t="shared" si="21"/>
        <v/>
      </c>
      <c r="E405" t="str">
        <f t="shared" si="22"/>
        <v/>
      </c>
      <c r="F405" t="str">
        <f>IF(SUMIF(搜索词报告!$A$2:$A$22222,总体数据一览!A405,搜索词报告!$M$2:$M$22222)=0,"",SUMIF(搜索词报告!$A$2:$A$22222,总体数据一览!A405,搜索词报告!$M$2:$M$22222))</f>
        <v/>
      </c>
      <c r="G405" t="str">
        <f>IFERROR(IF(B405="","",SUMIF(搜索词报告!$A$2:$A$22222,总体数据一览!A405,搜索词报告!$V$2:$V$22222))+IF(B405="","",SUMIF(搜索词报告!$A$2:$A$22222,总体数据一览!A405,搜索词报告!$W$2:$W$22222)),"")</f>
        <v/>
      </c>
      <c r="H405" s="2" t="str">
        <f t="shared" si="23"/>
        <v/>
      </c>
    </row>
    <row r="406" spans="2:8" x14ac:dyDescent="0.15">
      <c r="B406" t="str">
        <f>IF(SUMIF(搜索词报告!$A$2:$A$22222,总体数据一览!A406,搜索词报告!$I$2:$I$22222)=0,"",SUMIF(搜索词报告!$A$2:$A$22222,总体数据一览!A406,搜索词报告!$I$2:$I$22222))</f>
        <v/>
      </c>
      <c r="C406" t="str">
        <f>IF(SUMIF(搜索词报告!$A$2:$A$22222,总体数据一览!A406,搜索词报告!$J$2:$J$22222)=0,"",SUMIF(搜索词报告!$A$2:$A$22222,总体数据一览!A406,搜索词报告!$J$2:$J$22222))</f>
        <v/>
      </c>
      <c r="D406" s="2" t="str">
        <f t="shared" si="21"/>
        <v/>
      </c>
      <c r="E406" t="str">
        <f t="shared" si="22"/>
        <v/>
      </c>
      <c r="F406" t="str">
        <f>IF(SUMIF(搜索词报告!$A$2:$A$22222,总体数据一览!A406,搜索词报告!$M$2:$M$22222)=0,"",SUMIF(搜索词报告!$A$2:$A$22222,总体数据一览!A406,搜索词报告!$M$2:$M$22222))</f>
        <v/>
      </c>
      <c r="G406" t="str">
        <f>IFERROR(IF(B406="","",SUMIF(搜索词报告!$A$2:$A$22222,总体数据一览!A406,搜索词报告!$V$2:$V$22222))+IF(B406="","",SUMIF(搜索词报告!$A$2:$A$22222,总体数据一览!A406,搜索词报告!$W$2:$W$22222)),"")</f>
        <v/>
      </c>
      <c r="H406" s="2" t="str">
        <f t="shared" si="23"/>
        <v/>
      </c>
    </row>
    <row r="407" spans="2:8" x14ac:dyDescent="0.15">
      <c r="B407" t="str">
        <f>IF(SUMIF(搜索词报告!$A$2:$A$22222,总体数据一览!A407,搜索词报告!$I$2:$I$22222)=0,"",SUMIF(搜索词报告!$A$2:$A$22222,总体数据一览!A407,搜索词报告!$I$2:$I$22222))</f>
        <v/>
      </c>
      <c r="C407" t="str">
        <f>IF(SUMIF(搜索词报告!$A$2:$A$22222,总体数据一览!A407,搜索词报告!$J$2:$J$22222)=0,"",SUMIF(搜索词报告!$A$2:$A$22222,总体数据一览!A407,搜索词报告!$J$2:$J$22222))</f>
        <v/>
      </c>
      <c r="D407" s="2" t="str">
        <f t="shared" si="21"/>
        <v/>
      </c>
      <c r="E407" t="str">
        <f t="shared" si="22"/>
        <v/>
      </c>
      <c r="F407" t="str">
        <f>IF(SUMIF(搜索词报告!$A$2:$A$22222,总体数据一览!A407,搜索词报告!$M$2:$M$22222)=0,"",SUMIF(搜索词报告!$A$2:$A$22222,总体数据一览!A407,搜索词报告!$M$2:$M$22222))</f>
        <v/>
      </c>
      <c r="G407" t="str">
        <f>IFERROR(IF(B407="","",SUMIF(搜索词报告!$A$2:$A$22222,总体数据一览!A407,搜索词报告!$V$2:$V$22222))+IF(B407="","",SUMIF(搜索词报告!$A$2:$A$22222,总体数据一览!A407,搜索词报告!$W$2:$W$22222)),"")</f>
        <v/>
      </c>
      <c r="H407" s="2" t="str">
        <f t="shared" si="23"/>
        <v/>
      </c>
    </row>
    <row r="408" spans="2:8" x14ac:dyDescent="0.15">
      <c r="B408" t="str">
        <f>IF(SUMIF(搜索词报告!$A$2:$A$22222,总体数据一览!A408,搜索词报告!$I$2:$I$22222)=0,"",SUMIF(搜索词报告!$A$2:$A$22222,总体数据一览!A408,搜索词报告!$I$2:$I$22222))</f>
        <v/>
      </c>
      <c r="C408" t="str">
        <f>IF(SUMIF(搜索词报告!$A$2:$A$22222,总体数据一览!A408,搜索词报告!$J$2:$J$22222)=0,"",SUMIF(搜索词报告!$A$2:$A$22222,总体数据一览!A408,搜索词报告!$J$2:$J$22222))</f>
        <v/>
      </c>
      <c r="D408" s="2" t="str">
        <f t="shared" si="21"/>
        <v/>
      </c>
      <c r="E408" t="str">
        <f t="shared" si="22"/>
        <v/>
      </c>
      <c r="F408" t="str">
        <f>IF(SUMIF(搜索词报告!$A$2:$A$22222,总体数据一览!A408,搜索词报告!$M$2:$M$22222)=0,"",SUMIF(搜索词报告!$A$2:$A$22222,总体数据一览!A408,搜索词报告!$M$2:$M$22222))</f>
        <v/>
      </c>
      <c r="G408" t="str">
        <f>IFERROR(IF(B408="","",SUMIF(搜索词报告!$A$2:$A$22222,总体数据一览!A408,搜索词报告!$V$2:$V$22222))+IF(B408="","",SUMIF(搜索词报告!$A$2:$A$22222,总体数据一览!A408,搜索词报告!$W$2:$W$22222)),"")</f>
        <v/>
      </c>
      <c r="H408" s="2" t="str">
        <f t="shared" si="23"/>
        <v/>
      </c>
    </row>
    <row r="409" spans="2:8" x14ac:dyDescent="0.15">
      <c r="B409" t="str">
        <f>IF(SUMIF(搜索词报告!$A$2:$A$22222,总体数据一览!A409,搜索词报告!$I$2:$I$22222)=0,"",SUMIF(搜索词报告!$A$2:$A$22222,总体数据一览!A409,搜索词报告!$I$2:$I$22222))</f>
        <v/>
      </c>
      <c r="C409" t="str">
        <f>IF(SUMIF(搜索词报告!$A$2:$A$22222,总体数据一览!A409,搜索词报告!$J$2:$J$22222)=0,"",SUMIF(搜索词报告!$A$2:$A$22222,总体数据一览!A409,搜索词报告!$J$2:$J$22222))</f>
        <v/>
      </c>
      <c r="D409" s="2" t="str">
        <f t="shared" si="21"/>
        <v/>
      </c>
      <c r="E409" t="str">
        <f t="shared" si="22"/>
        <v/>
      </c>
      <c r="F409" t="str">
        <f>IF(SUMIF(搜索词报告!$A$2:$A$22222,总体数据一览!A409,搜索词报告!$M$2:$M$22222)=0,"",SUMIF(搜索词报告!$A$2:$A$22222,总体数据一览!A409,搜索词报告!$M$2:$M$22222))</f>
        <v/>
      </c>
      <c r="G409" t="str">
        <f>IFERROR(IF(B409="","",SUMIF(搜索词报告!$A$2:$A$22222,总体数据一览!A409,搜索词报告!$V$2:$V$22222))+IF(B409="","",SUMIF(搜索词报告!$A$2:$A$22222,总体数据一览!A409,搜索词报告!$W$2:$W$22222)),"")</f>
        <v/>
      </c>
      <c r="H409" s="2" t="str">
        <f t="shared" si="23"/>
        <v/>
      </c>
    </row>
    <row r="410" spans="2:8" x14ac:dyDescent="0.15">
      <c r="B410" t="str">
        <f>IF(SUMIF(搜索词报告!$A$2:$A$22222,总体数据一览!A410,搜索词报告!$I$2:$I$22222)=0,"",SUMIF(搜索词报告!$A$2:$A$22222,总体数据一览!A410,搜索词报告!$I$2:$I$22222))</f>
        <v/>
      </c>
      <c r="C410" t="str">
        <f>IF(SUMIF(搜索词报告!$A$2:$A$22222,总体数据一览!A410,搜索词报告!$J$2:$J$22222)=0,"",SUMIF(搜索词报告!$A$2:$A$22222,总体数据一览!A410,搜索词报告!$J$2:$J$22222))</f>
        <v/>
      </c>
      <c r="D410" s="2" t="str">
        <f t="shared" si="21"/>
        <v/>
      </c>
      <c r="E410" t="str">
        <f t="shared" si="22"/>
        <v/>
      </c>
      <c r="F410" t="str">
        <f>IF(SUMIF(搜索词报告!$A$2:$A$22222,总体数据一览!A410,搜索词报告!$M$2:$M$22222)=0,"",SUMIF(搜索词报告!$A$2:$A$22222,总体数据一览!A410,搜索词报告!$M$2:$M$22222))</f>
        <v/>
      </c>
      <c r="G410" t="str">
        <f>IFERROR(IF(B410="","",SUMIF(搜索词报告!$A$2:$A$22222,总体数据一览!A410,搜索词报告!$V$2:$V$22222))+IF(B410="","",SUMIF(搜索词报告!$A$2:$A$22222,总体数据一览!A410,搜索词报告!$W$2:$W$22222)),"")</f>
        <v/>
      </c>
      <c r="H410" s="2" t="str">
        <f t="shared" si="23"/>
        <v/>
      </c>
    </row>
    <row r="411" spans="2:8" x14ac:dyDescent="0.15">
      <c r="B411" t="str">
        <f>IF(SUMIF(搜索词报告!$A$2:$A$22222,总体数据一览!A411,搜索词报告!$I$2:$I$22222)=0,"",SUMIF(搜索词报告!$A$2:$A$22222,总体数据一览!A411,搜索词报告!$I$2:$I$22222))</f>
        <v/>
      </c>
      <c r="C411" t="str">
        <f>IF(SUMIF(搜索词报告!$A$2:$A$22222,总体数据一览!A411,搜索词报告!$J$2:$J$22222)=0,"",SUMIF(搜索词报告!$A$2:$A$22222,总体数据一览!A411,搜索词报告!$J$2:$J$22222))</f>
        <v/>
      </c>
      <c r="D411" s="2" t="str">
        <f t="shared" si="21"/>
        <v/>
      </c>
      <c r="E411" t="str">
        <f t="shared" si="22"/>
        <v/>
      </c>
      <c r="F411" t="str">
        <f>IF(SUMIF(搜索词报告!$A$2:$A$22222,总体数据一览!A411,搜索词报告!$M$2:$M$22222)=0,"",SUMIF(搜索词报告!$A$2:$A$22222,总体数据一览!A411,搜索词报告!$M$2:$M$22222))</f>
        <v/>
      </c>
      <c r="G411" t="str">
        <f>IFERROR(IF(B411="","",SUMIF(搜索词报告!$A$2:$A$22222,总体数据一览!A411,搜索词报告!$V$2:$V$22222))+IF(B411="","",SUMIF(搜索词报告!$A$2:$A$22222,总体数据一览!A411,搜索词报告!$W$2:$W$22222)),"")</f>
        <v/>
      </c>
      <c r="H411" s="2" t="str">
        <f t="shared" si="23"/>
        <v/>
      </c>
    </row>
    <row r="412" spans="2:8" x14ac:dyDescent="0.15">
      <c r="B412" t="str">
        <f>IF(SUMIF(搜索词报告!$A$2:$A$22222,总体数据一览!A412,搜索词报告!$I$2:$I$22222)=0,"",SUMIF(搜索词报告!$A$2:$A$22222,总体数据一览!A412,搜索词报告!$I$2:$I$22222))</f>
        <v/>
      </c>
      <c r="C412" t="str">
        <f>IF(SUMIF(搜索词报告!$A$2:$A$22222,总体数据一览!A412,搜索词报告!$J$2:$J$22222)=0,"",SUMIF(搜索词报告!$A$2:$A$22222,总体数据一览!A412,搜索词报告!$J$2:$J$22222))</f>
        <v/>
      </c>
      <c r="D412" s="2" t="str">
        <f t="shared" si="21"/>
        <v/>
      </c>
      <c r="E412" t="str">
        <f t="shared" si="22"/>
        <v/>
      </c>
      <c r="F412" t="str">
        <f>IF(SUMIF(搜索词报告!$A$2:$A$22222,总体数据一览!A412,搜索词报告!$M$2:$M$22222)=0,"",SUMIF(搜索词报告!$A$2:$A$22222,总体数据一览!A412,搜索词报告!$M$2:$M$22222))</f>
        <v/>
      </c>
      <c r="G412" t="str">
        <f>IFERROR(IF(B412="","",SUMIF(搜索词报告!$A$2:$A$22222,总体数据一览!A412,搜索词报告!$V$2:$V$22222))+IF(B412="","",SUMIF(搜索词报告!$A$2:$A$22222,总体数据一览!A412,搜索词报告!$W$2:$W$22222)),"")</f>
        <v/>
      </c>
      <c r="H412" s="2" t="str">
        <f t="shared" si="23"/>
        <v/>
      </c>
    </row>
    <row r="413" spans="2:8" x14ac:dyDescent="0.15">
      <c r="B413" t="str">
        <f>IF(SUMIF(搜索词报告!$A$2:$A$22222,总体数据一览!A413,搜索词报告!$I$2:$I$22222)=0,"",SUMIF(搜索词报告!$A$2:$A$22222,总体数据一览!A413,搜索词报告!$I$2:$I$22222))</f>
        <v/>
      </c>
      <c r="C413" t="str">
        <f>IF(SUMIF(搜索词报告!$A$2:$A$22222,总体数据一览!A413,搜索词报告!$J$2:$J$22222)=0,"",SUMIF(搜索词报告!$A$2:$A$22222,总体数据一览!A413,搜索词报告!$J$2:$J$22222))</f>
        <v/>
      </c>
      <c r="D413" s="2" t="str">
        <f t="shared" si="21"/>
        <v/>
      </c>
      <c r="E413" t="str">
        <f t="shared" si="22"/>
        <v/>
      </c>
      <c r="F413" t="str">
        <f>IF(SUMIF(搜索词报告!$A$2:$A$22222,总体数据一览!A413,搜索词报告!$M$2:$M$22222)=0,"",SUMIF(搜索词报告!$A$2:$A$22222,总体数据一览!A413,搜索词报告!$M$2:$M$22222))</f>
        <v/>
      </c>
      <c r="G413" t="str">
        <f>IFERROR(IF(B413="","",SUMIF(搜索词报告!$A$2:$A$22222,总体数据一览!A413,搜索词报告!$V$2:$V$22222))+IF(B413="","",SUMIF(搜索词报告!$A$2:$A$22222,总体数据一览!A413,搜索词报告!$W$2:$W$22222)),"")</f>
        <v/>
      </c>
      <c r="H413" s="2" t="str">
        <f t="shared" si="23"/>
        <v/>
      </c>
    </row>
    <row r="414" spans="2:8" x14ac:dyDescent="0.15">
      <c r="B414" t="str">
        <f>IF(SUMIF(搜索词报告!$A$2:$A$22222,总体数据一览!A414,搜索词报告!$I$2:$I$22222)=0,"",SUMIF(搜索词报告!$A$2:$A$22222,总体数据一览!A414,搜索词报告!$I$2:$I$22222))</f>
        <v/>
      </c>
      <c r="C414" t="str">
        <f>IF(SUMIF(搜索词报告!$A$2:$A$22222,总体数据一览!A414,搜索词报告!$J$2:$J$22222)=0,"",SUMIF(搜索词报告!$A$2:$A$22222,总体数据一览!A414,搜索词报告!$J$2:$J$22222))</f>
        <v/>
      </c>
      <c r="D414" s="2" t="str">
        <f t="shared" si="21"/>
        <v/>
      </c>
      <c r="E414" t="str">
        <f t="shared" si="22"/>
        <v/>
      </c>
      <c r="F414" t="str">
        <f>IF(SUMIF(搜索词报告!$A$2:$A$22222,总体数据一览!A414,搜索词报告!$M$2:$M$22222)=0,"",SUMIF(搜索词报告!$A$2:$A$22222,总体数据一览!A414,搜索词报告!$M$2:$M$22222))</f>
        <v/>
      </c>
      <c r="G414" t="str">
        <f>IFERROR(IF(B414="","",SUMIF(搜索词报告!$A$2:$A$22222,总体数据一览!A414,搜索词报告!$V$2:$V$22222))+IF(B414="","",SUMIF(搜索词报告!$A$2:$A$22222,总体数据一览!A414,搜索词报告!$W$2:$W$22222)),"")</f>
        <v/>
      </c>
      <c r="H414" s="2" t="str">
        <f t="shared" si="23"/>
        <v/>
      </c>
    </row>
    <row r="415" spans="2:8" x14ac:dyDescent="0.15">
      <c r="B415" t="str">
        <f>IF(SUMIF(搜索词报告!$A$2:$A$22222,总体数据一览!A415,搜索词报告!$I$2:$I$22222)=0,"",SUMIF(搜索词报告!$A$2:$A$22222,总体数据一览!A415,搜索词报告!$I$2:$I$22222))</f>
        <v/>
      </c>
      <c r="C415" t="str">
        <f>IF(SUMIF(搜索词报告!$A$2:$A$22222,总体数据一览!A415,搜索词报告!$J$2:$J$22222)=0,"",SUMIF(搜索词报告!$A$2:$A$22222,总体数据一览!A415,搜索词报告!$J$2:$J$22222))</f>
        <v/>
      </c>
      <c r="D415" s="2" t="str">
        <f t="shared" si="21"/>
        <v/>
      </c>
      <c r="E415" t="str">
        <f t="shared" si="22"/>
        <v/>
      </c>
      <c r="F415" t="str">
        <f>IF(SUMIF(搜索词报告!$A$2:$A$22222,总体数据一览!A415,搜索词报告!$M$2:$M$22222)=0,"",SUMIF(搜索词报告!$A$2:$A$22222,总体数据一览!A415,搜索词报告!$M$2:$M$22222))</f>
        <v/>
      </c>
      <c r="G415" t="str">
        <f>IFERROR(IF(B415="","",SUMIF(搜索词报告!$A$2:$A$22222,总体数据一览!A415,搜索词报告!$V$2:$V$22222))+IF(B415="","",SUMIF(搜索词报告!$A$2:$A$22222,总体数据一览!A415,搜索词报告!$W$2:$W$22222)),"")</f>
        <v/>
      </c>
      <c r="H415" s="2" t="str">
        <f t="shared" si="23"/>
        <v/>
      </c>
    </row>
    <row r="416" spans="2:8" x14ac:dyDescent="0.15">
      <c r="B416" t="str">
        <f>IF(SUMIF(搜索词报告!$A$2:$A$22222,总体数据一览!A416,搜索词报告!$I$2:$I$22222)=0,"",SUMIF(搜索词报告!$A$2:$A$22222,总体数据一览!A416,搜索词报告!$I$2:$I$22222))</f>
        <v/>
      </c>
      <c r="C416" t="str">
        <f>IF(SUMIF(搜索词报告!$A$2:$A$22222,总体数据一览!A416,搜索词报告!$J$2:$J$22222)=0,"",SUMIF(搜索词报告!$A$2:$A$22222,总体数据一览!A416,搜索词报告!$J$2:$J$22222))</f>
        <v/>
      </c>
      <c r="D416" s="2" t="str">
        <f t="shared" si="21"/>
        <v/>
      </c>
      <c r="E416" t="str">
        <f t="shared" si="22"/>
        <v/>
      </c>
      <c r="F416" t="str">
        <f>IF(SUMIF(搜索词报告!$A$2:$A$22222,总体数据一览!A416,搜索词报告!$M$2:$M$22222)=0,"",SUMIF(搜索词报告!$A$2:$A$22222,总体数据一览!A416,搜索词报告!$M$2:$M$22222))</f>
        <v/>
      </c>
      <c r="G416" t="str">
        <f>IFERROR(IF(B416="","",SUMIF(搜索词报告!$A$2:$A$22222,总体数据一览!A416,搜索词报告!$V$2:$V$22222))+IF(B416="","",SUMIF(搜索词报告!$A$2:$A$22222,总体数据一览!A416,搜索词报告!$W$2:$W$22222)),"")</f>
        <v/>
      </c>
      <c r="H416" s="2" t="str">
        <f t="shared" si="23"/>
        <v/>
      </c>
    </row>
    <row r="417" spans="2:8" x14ac:dyDescent="0.15">
      <c r="B417" t="str">
        <f>IF(SUMIF(搜索词报告!$A$2:$A$22222,总体数据一览!A417,搜索词报告!$I$2:$I$22222)=0,"",SUMIF(搜索词报告!$A$2:$A$22222,总体数据一览!A417,搜索词报告!$I$2:$I$22222))</f>
        <v/>
      </c>
      <c r="C417" t="str">
        <f>IF(SUMIF(搜索词报告!$A$2:$A$22222,总体数据一览!A417,搜索词报告!$J$2:$J$22222)=0,"",SUMIF(搜索词报告!$A$2:$A$22222,总体数据一览!A417,搜索词报告!$J$2:$J$22222))</f>
        <v/>
      </c>
      <c r="D417" s="2" t="str">
        <f t="shared" si="21"/>
        <v/>
      </c>
      <c r="E417" t="str">
        <f t="shared" si="22"/>
        <v/>
      </c>
      <c r="F417" t="str">
        <f>IF(SUMIF(搜索词报告!$A$2:$A$22222,总体数据一览!A417,搜索词报告!$M$2:$M$22222)=0,"",SUMIF(搜索词报告!$A$2:$A$22222,总体数据一览!A417,搜索词报告!$M$2:$M$22222))</f>
        <v/>
      </c>
      <c r="G417" t="str">
        <f>IFERROR(IF(B417="","",SUMIF(搜索词报告!$A$2:$A$22222,总体数据一览!A417,搜索词报告!$V$2:$V$22222))+IF(B417="","",SUMIF(搜索词报告!$A$2:$A$22222,总体数据一览!A417,搜索词报告!$W$2:$W$22222)),"")</f>
        <v/>
      </c>
      <c r="H417" s="2" t="str">
        <f t="shared" si="23"/>
        <v/>
      </c>
    </row>
    <row r="418" spans="2:8" x14ac:dyDescent="0.15">
      <c r="B418" t="str">
        <f>IF(SUMIF(搜索词报告!$A$2:$A$22222,总体数据一览!A418,搜索词报告!$I$2:$I$22222)=0,"",SUMIF(搜索词报告!$A$2:$A$22222,总体数据一览!A418,搜索词报告!$I$2:$I$22222))</f>
        <v/>
      </c>
      <c r="C418" t="str">
        <f>IF(SUMIF(搜索词报告!$A$2:$A$22222,总体数据一览!A418,搜索词报告!$J$2:$J$22222)=0,"",SUMIF(搜索词报告!$A$2:$A$22222,总体数据一览!A418,搜索词报告!$J$2:$J$22222))</f>
        <v/>
      </c>
      <c r="D418" s="2" t="str">
        <f t="shared" si="21"/>
        <v/>
      </c>
      <c r="E418" t="str">
        <f t="shared" si="22"/>
        <v/>
      </c>
      <c r="F418" t="str">
        <f>IF(SUMIF(搜索词报告!$A$2:$A$22222,总体数据一览!A418,搜索词报告!$M$2:$M$22222)=0,"",SUMIF(搜索词报告!$A$2:$A$22222,总体数据一览!A418,搜索词报告!$M$2:$M$22222))</f>
        <v/>
      </c>
      <c r="G418" t="str">
        <f>IFERROR(IF(B418="","",SUMIF(搜索词报告!$A$2:$A$22222,总体数据一览!A418,搜索词报告!$V$2:$V$22222))+IF(B418="","",SUMIF(搜索词报告!$A$2:$A$22222,总体数据一览!A418,搜索词报告!$W$2:$W$22222)),"")</f>
        <v/>
      </c>
      <c r="H418" s="2" t="str">
        <f t="shared" si="23"/>
        <v/>
      </c>
    </row>
    <row r="419" spans="2:8" x14ac:dyDescent="0.15">
      <c r="B419" t="str">
        <f>IF(SUMIF(搜索词报告!$A$2:$A$22222,总体数据一览!A419,搜索词报告!$I$2:$I$22222)=0,"",SUMIF(搜索词报告!$A$2:$A$22222,总体数据一览!A419,搜索词报告!$I$2:$I$22222))</f>
        <v/>
      </c>
      <c r="C419" t="str">
        <f>IF(SUMIF(搜索词报告!$A$2:$A$22222,总体数据一览!A419,搜索词报告!$J$2:$J$22222)=0,"",SUMIF(搜索词报告!$A$2:$A$22222,总体数据一览!A419,搜索词报告!$J$2:$J$22222))</f>
        <v/>
      </c>
      <c r="D419" s="2" t="str">
        <f t="shared" si="21"/>
        <v/>
      </c>
      <c r="E419" t="str">
        <f t="shared" si="22"/>
        <v/>
      </c>
      <c r="F419" t="str">
        <f>IF(SUMIF(搜索词报告!$A$2:$A$22222,总体数据一览!A419,搜索词报告!$M$2:$M$22222)=0,"",SUMIF(搜索词报告!$A$2:$A$22222,总体数据一览!A419,搜索词报告!$M$2:$M$22222))</f>
        <v/>
      </c>
      <c r="G419" t="str">
        <f>IFERROR(IF(B419="","",SUMIF(搜索词报告!$A$2:$A$22222,总体数据一览!A419,搜索词报告!$V$2:$V$22222))+IF(B419="","",SUMIF(搜索词报告!$A$2:$A$22222,总体数据一览!A419,搜索词报告!$W$2:$W$22222)),"")</f>
        <v/>
      </c>
      <c r="H419" s="2" t="str">
        <f t="shared" si="23"/>
        <v/>
      </c>
    </row>
    <row r="420" spans="2:8" x14ac:dyDescent="0.15">
      <c r="B420" t="str">
        <f>IF(SUMIF(搜索词报告!$A$2:$A$22222,总体数据一览!A420,搜索词报告!$I$2:$I$22222)=0,"",SUMIF(搜索词报告!$A$2:$A$22222,总体数据一览!A420,搜索词报告!$I$2:$I$22222))</f>
        <v/>
      </c>
      <c r="C420" t="str">
        <f>IF(SUMIF(搜索词报告!$A$2:$A$22222,总体数据一览!A420,搜索词报告!$J$2:$J$22222)=0,"",SUMIF(搜索词报告!$A$2:$A$22222,总体数据一览!A420,搜索词报告!$J$2:$J$22222))</f>
        <v/>
      </c>
      <c r="D420" s="2" t="str">
        <f t="shared" si="21"/>
        <v/>
      </c>
      <c r="E420" t="str">
        <f t="shared" si="22"/>
        <v/>
      </c>
      <c r="F420" t="str">
        <f>IF(SUMIF(搜索词报告!$A$2:$A$22222,总体数据一览!A420,搜索词报告!$M$2:$M$22222)=0,"",SUMIF(搜索词报告!$A$2:$A$22222,总体数据一览!A420,搜索词报告!$M$2:$M$22222))</f>
        <v/>
      </c>
      <c r="G420" t="str">
        <f>IFERROR(IF(B420="","",SUMIF(搜索词报告!$A$2:$A$22222,总体数据一览!A420,搜索词报告!$V$2:$V$22222))+IF(B420="","",SUMIF(搜索词报告!$A$2:$A$22222,总体数据一览!A420,搜索词报告!$W$2:$W$22222)),"")</f>
        <v/>
      </c>
      <c r="H420" s="2" t="str">
        <f t="shared" si="23"/>
        <v/>
      </c>
    </row>
    <row r="421" spans="2:8" x14ac:dyDescent="0.15">
      <c r="B421" t="str">
        <f>IF(SUMIF(搜索词报告!$A$2:$A$22222,总体数据一览!A421,搜索词报告!$I$2:$I$22222)=0,"",SUMIF(搜索词报告!$A$2:$A$22222,总体数据一览!A421,搜索词报告!$I$2:$I$22222))</f>
        <v/>
      </c>
      <c r="C421" t="str">
        <f>IF(SUMIF(搜索词报告!$A$2:$A$22222,总体数据一览!A421,搜索词报告!$J$2:$J$22222)=0,"",SUMIF(搜索词报告!$A$2:$A$22222,总体数据一览!A421,搜索词报告!$J$2:$J$22222))</f>
        <v/>
      </c>
      <c r="D421" s="2" t="str">
        <f t="shared" si="21"/>
        <v/>
      </c>
      <c r="E421" t="str">
        <f t="shared" si="22"/>
        <v/>
      </c>
      <c r="F421" t="str">
        <f>IF(SUMIF(搜索词报告!$A$2:$A$22222,总体数据一览!A421,搜索词报告!$M$2:$M$22222)=0,"",SUMIF(搜索词报告!$A$2:$A$22222,总体数据一览!A421,搜索词报告!$M$2:$M$22222))</f>
        <v/>
      </c>
      <c r="G421" t="str">
        <f>IFERROR(IF(B421="","",SUMIF(搜索词报告!$A$2:$A$22222,总体数据一览!A421,搜索词报告!$V$2:$V$22222))+IF(B421="","",SUMIF(搜索词报告!$A$2:$A$22222,总体数据一览!A421,搜索词报告!$W$2:$W$22222)),"")</f>
        <v/>
      </c>
      <c r="H421" s="2" t="str">
        <f t="shared" si="23"/>
        <v/>
      </c>
    </row>
    <row r="422" spans="2:8" x14ac:dyDescent="0.15">
      <c r="B422" t="str">
        <f>IF(SUMIF(搜索词报告!$A$2:$A$22222,总体数据一览!A422,搜索词报告!$I$2:$I$22222)=0,"",SUMIF(搜索词报告!$A$2:$A$22222,总体数据一览!A422,搜索词报告!$I$2:$I$22222))</f>
        <v/>
      </c>
      <c r="C422" t="str">
        <f>IF(SUMIF(搜索词报告!$A$2:$A$22222,总体数据一览!A422,搜索词报告!$J$2:$J$22222)=0,"",SUMIF(搜索词报告!$A$2:$A$22222,总体数据一览!A422,搜索词报告!$J$2:$J$22222))</f>
        <v/>
      </c>
      <c r="D422" s="2" t="str">
        <f t="shared" si="21"/>
        <v/>
      </c>
      <c r="E422" t="str">
        <f t="shared" si="22"/>
        <v/>
      </c>
      <c r="F422" t="str">
        <f>IF(SUMIF(搜索词报告!$A$2:$A$22222,总体数据一览!A422,搜索词报告!$M$2:$M$22222)=0,"",SUMIF(搜索词报告!$A$2:$A$22222,总体数据一览!A422,搜索词报告!$M$2:$M$22222))</f>
        <v/>
      </c>
      <c r="G422" t="str">
        <f>IFERROR(IF(B422="","",SUMIF(搜索词报告!$A$2:$A$22222,总体数据一览!A422,搜索词报告!$V$2:$V$22222))+IF(B422="","",SUMIF(搜索词报告!$A$2:$A$22222,总体数据一览!A422,搜索词报告!$W$2:$W$22222)),"")</f>
        <v/>
      </c>
      <c r="H422" s="2" t="str">
        <f t="shared" si="23"/>
        <v/>
      </c>
    </row>
    <row r="423" spans="2:8" x14ac:dyDescent="0.15">
      <c r="B423" t="str">
        <f>IF(SUMIF(搜索词报告!$A$2:$A$22222,总体数据一览!A423,搜索词报告!$I$2:$I$22222)=0,"",SUMIF(搜索词报告!$A$2:$A$22222,总体数据一览!A423,搜索词报告!$I$2:$I$22222))</f>
        <v/>
      </c>
      <c r="C423" t="str">
        <f>IF(SUMIF(搜索词报告!$A$2:$A$22222,总体数据一览!A423,搜索词报告!$J$2:$J$22222)=0,"",SUMIF(搜索词报告!$A$2:$A$22222,总体数据一览!A423,搜索词报告!$J$2:$J$22222))</f>
        <v/>
      </c>
      <c r="D423" s="2" t="str">
        <f t="shared" si="21"/>
        <v/>
      </c>
      <c r="E423" t="str">
        <f t="shared" si="22"/>
        <v/>
      </c>
      <c r="F423" t="str">
        <f>IF(SUMIF(搜索词报告!$A$2:$A$22222,总体数据一览!A423,搜索词报告!$M$2:$M$22222)=0,"",SUMIF(搜索词报告!$A$2:$A$22222,总体数据一览!A423,搜索词报告!$M$2:$M$22222))</f>
        <v/>
      </c>
      <c r="G423" t="str">
        <f>IFERROR(IF(B423="","",SUMIF(搜索词报告!$A$2:$A$22222,总体数据一览!A423,搜索词报告!$V$2:$V$22222))+IF(B423="","",SUMIF(搜索词报告!$A$2:$A$22222,总体数据一览!A423,搜索词报告!$W$2:$W$22222)),"")</f>
        <v/>
      </c>
      <c r="H423" s="2" t="str">
        <f t="shared" si="23"/>
        <v/>
      </c>
    </row>
    <row r="424" spans="2:8" x14ac:dyDescent="0.15">
      <c r="B424" t="str">
        <f>IF(SUMIF(搜索词报告!$A$2:$A$22222,总体数据一览!A424,搜索词报告!$I$2:$I$22222)=0,"",SUMIF(搜索词报告!$A$2:$A$22222,总体数据一览!A424,搜索词报告!$I$2:$I$22222))</f>
        <v/>
      </c>
      <c r="C424" t="str">
        <f>IF(SUMIF(搜索词报告!$A$2:$A$22222,总体数据一览!A424,搜索词报告!$J$2:$J$22222)=0,"",SUMIF(搜索词报告!$A$2:$A$22222,总体数据一览!A424,搜索词报告!$J$2:$J$22222))</f>
        <v/>
      </c>
      <c r="D424" s="2" t="str">
        <f t="shared" si="21"/>
        <v/>
      </c>
      <c r="E424" t="str">
        <f t="shared" si="22"/>
        <v/>
      </c>
      <c r="F424" t="str">
        <f>IF(SUMIF(搜索词报告!$A$2:$A$22222,总体数据一览!A424,搜索词报告!$M$2:$M$22222)=0,"",SUMIF(搜索词报告!$A$2:$A$22222,总体数据一览!A424,搜索词报告!$M$2:$M$22222))</f>
        <v/>
      </c>
      <c r="G424" t="str">
        <f>IFERROR(IF(B424="","",SUMIF(搜索词报告!$A$2:$A$22222,总体数据一览!A424,搜索词报告!$V$2:$V$22222))+IF(B424="","",SUMIF(搜索词报告!$A$2:$A$22222,总体数据一览!A424,搜索词报告!$W$2:$W$22222)),"")</f>
        <v/>
      </c>
      <c r="H424" s="2" t="str">
        <f t="shared" si="23"/>
        <v/>
      </c>
    </row>
    <row r="425" spans="2:8" x14ac:dyDescent="0.15">
      <c r="B425" t="str">
        <f>IF(SUMIF(搜索词报告!$A$2:$A$22222,总体数据一览!A425,搜索词报告!$I$2:$I$22222)=0,"",SUMIF(搜索词报告!$A$2:$A$22222,总体数据一览!A425,搜索词报告!$I$2:$I$22222))</f>
        <v/>
      </c>
      <c r="C425" t="str">
        <f>IF(SUMIF(搜索词报告!$A$2:$A$22222,总体数据一览!A425,搜索词报告!$J$2:$J$22222)=0,"",SUMIF(搜索词报告!$A$2:$A$22222,总体数据一览!A425,搜索词报告!$J$2:$J$22222))</f>
        <v/>
      </c>
      <c r="D425" s="2" t="str">
        <f t="shared" si="21"/>
        <v/>
      </c>
      <c r="E425" t="str">
        <f t="shared" si="22"/>
        <v/>
      </c>
      <c r="F425" t="str">
        <f>IF(SUMIF(搜索词报告!$A$2:$A$22222,总体数据一览!A425,搜索词报告!$M$2:$M$22222)=0,"",SUMIF(搜索词报告!$A$2:$A$22222,总体数据一览!A425,搜索词报告!$M$2:$M$22222))</f>
        <v/>
      </c>
      <c r="G425" t="str">
        <f>IFERROR(IF(B425="","",SUMIF(搜索词报告!$A$2:$A$22222,总体数据一览!A425,搜索词报告!$V$2:$V$22222))+IF(B425="","",SUMIF(搜索词报告!$A$2:$A$22222,总体数据一览!A425,搜索词报告!$W$2:$W$22222)),"")</f>
        <v/>
      </c>
      <c r="H425" s="2" t="str">
        <f t="shared" si="23"/>
        <v/>
      </c>
    </row>
    <row r="426" spans="2:8" x14ac:dyDescent="0.15">
      <c r="B426" t="str">
        <f>IF(SUMIF(搜索词报告!$A$2:$A$22222,总体数据一览!A426,搜索词报告!$I$2:$I$22222)=0,"",SUMIF(搜索词报告!$A$2:$A$22222,总体数据一览!A426,搜索词报告!$I$2:$I$22222))</f>
        <v/>
      </c>
      <c r="C426" t="str">
        <f>IF(SUMIF(搜索词报告!$A$2:$A$22222,总体数据一览!A426,搜索词报告!$J$2:$J$22222)=0,"",SUMIF(搜索词报告!$A$2:$A$22222,总体数据一览!A426,搜索词报告!$J$2:$J$22222))</f>
        <v/>
      </c>
      <c r="D426" s="2" t="str">
        <f t="shared" si="21"/>
        <v/>
      </c>
      <c r="E426" t="str">
        <f t="shared" si="22"/>
        <v/>
      </c>
      <c r="F426" t="str">
        <f>IF(SUMIF(搜索词报告!$A$2:$A$22222,总体数据一览!A426,搜索词报告!$M$2:$M$22222)=0,"",SUMIF(搜索词报告!$A$2:$A$22222,总体数据一览!A426,搜索词报告!$M$2:$M$22222))</f>
        <v/>
      </c>
      <c r="G426" t="str">
        <f>IFERROR(IF(B426="","",SUMIF(搜索词报告!$A$2:$A$22222,总体数据一览!A426,搜索词报告!$V$2:$V$22222))+IF(B426="","",SUMIF(搜索词报告!$A$2:$A$22222,总体数据一览!A426,搜索词报告!$W$2:$W$22222)),"")</f>
        <v/>
      </c>
      <c r="H426" s="2" t="str">
        <f t="shared" si="23"/>
        <v/>
      </c>
    </row>
    <row r="427" spans="2:8" x14ac:dyDescent="0.15">
      <c r="B427" t="str">
        <f>IF(SUMIF(搜索词报告!$A$2:$A$22222,总体数据一览!A427,搜索词报告!$I$2:$I$22222)=0,"",SUMIF(搜索词报告!$A$2:$A$22222,总体数据一览!A427,搜索词报告!$I$2:$I$22222))</f>
        <v/>
      </c>
      <c r="C427" t="str">
        <f>IF(SUMIF(搜索词报告!$A$2:$A$22222,总体数据一览!A427,搜索词报告!$J$2:$J$22222)=0,"",SUMIF(搜索词报告!$A$2:$A$22222,总体数据一览!A427,搜索词报告!$J$2:$J$22222))</f>
        <v/>
      </c>
      <c r="D427" s="2" t="str">
        <f t="shared" si="21"/>
        <v/>
      </c>
      <c r="E427" t="str">
        <f t="shared" si="22"/>
        <v/>
      </c>
      <c r="F427" t="str">
        <f>IF(SUMIF(搜索词报告!$A$2:$A$22222,总体数据一览!A427,搜索词报告!$M$2:$M$22222)=0,"",SUMIF(搜索词报告!$A$2:$A$22222,总体数据一览!A427,搜索词报告!$M$2:$M$22222))</f>
        <v/>
      </c>
      <c r="G427" t="str">
        <f>IFERROR(IF(B427="","",SUMIF(搜索词报告!$A$2:$A$22222,总体数据一览!A427,搜索词报告!$V$2:$V$22222))+IF(B427="","",SUMIF(搜索词报告!$A$2:$A$22222,总体数据一览!A427,搜索词报告!$W$2:$W$22222)),"")</f>
        <v/>
      </c>
      <c r="H427" s="2" t="str">
        <f t="shared" si="23"/>
        <v/>
      </c>
    </row>
    <row r="428" spans="2:8" x14ac:dyDescent="0.15">
      <c r="B428" t="str">
        <f>IF(SUMIF(搜索词报告!$A$2:$A$22222,总体数据一览!A428,搜索词报告!$I$2:$I$22222)=0,"",SUMIF(搜索词报告!$A$2:$A$22222,总体数据一览!A428,搜索词报告!$I$2:$I$22222))</f>
        <v/>
      </c>
      <c r="C428" t="str">
        <f>IF(SUMIF(搜索词报告!$A$2:$A$22222,总体数据一览!A428,搜索词报告!$J$2:$J$22222)=0,"",SUMIF(搜索词报告!$A$2:$A$22222,总体数据一览!A428,搜索词报告!$J$2:$J$22222))</f>
        <v/>
      </c>
      <c r="D428" s="2" t="str">
        <f t="shared" si="21"/>
        <v/>
      </c>
      <c r="E428" t="str">
        <f t="shared" si="22"/>
        <v/>
      </c>
      <c r="F428" t="str">
        <f>IF(SUMIF(搜索词报告!$A$2:$A$22222,总体数据一览!A428,搜索词报告!$M$2:$M$22222)=0,"",SUMIF(搜索词报告!$A$2:$A$22222,总体数据一览!A428,搜索词报告!$M$2:$M$22222))</f>
        <v/>
      </c>
      <c r="G428" t="str">
        <f>IFERROR(IF(B428="","",SUMIF(搜索词报告!$A$2:$A$22222,总体数据一览!A428,搜索词报告!$V$2:$V$22222))+IF(B428="","",SUMIF(搜索词报告!$A$2:$A$22222,总体数据一览!A428,搜索词报告!$W$2:$W$22222)),"")</f>
        <v/>
      </c>
      <c r="H428" s="2" t="str">
        <f t="shared" si="23"/>
        <v/>
      </c>
    </row>
    <row r="429" spans="2:8" x14ac:dyDescent="0.15">
      <c r="B429" t="str">
        <f>IF(SUMIF(搜索词报告!$A$2:$A$22222,总体数据一览!A429,搜索词报告!$I$2:$I$22222)=0,"",SUMIF(搜索词报告!$A$2:$A$22222,总体数据一览!A429,搜索词报告!$I$2:$I$22222))</f>
        <v/>
      </c>
      <c r="C429" t="str">
        <f>IF(SUMIF(搜索词报告!$A$2:$A$22222,总体数据一览!A429,搜索词报告!$J$2:$J$22222)=0,"",SUMIF(搜索词报告!$A$2:$A$22222,总体数据一览!A429,搜索词报告!$J$2:$J$22222))</f>
        <v/>
      </c>
      <c r="D429" s="2" t="str">
        <f t="shared" si="21"/>
        <v/>
      </c>
      <c r="E429" t="str">
        <f t="shared" si="22"/>
        <v/>
      </c>
      <c r="F429" t="str">
        <f>IF(SUMIF(搜索词报告!$A$2:$A$22222,总体数据一览!A429,搜索词报告!$M$2:$M$22222)=0,"",SUMIF(搜索词报告!$A$2:$A$22222,总体数据一览!A429,搜索词报告!$M$2:$M$22222))</f>
        <v/>
      </c>
      <c r="G429" t="str">
        <f>IFERROR(IF(B429="","",SUMIF(搜索词报告!$A$2:$A$22222,总体数据一览!A429,搜索词报告!$V$2:$V$22222))+IF(B429="","",SUMIF(搜索词报告!$A$2:$A$22222,总体数据一览!A429,搜索词报告!$W$2:$W$22222)),"")</f>
        <v/>
      </c>
      <c r="H429" s="2" t="str">
        <f t="shared" si="23"/>
        <v/>
      </c>
    </row>
    <row r="430" spans="2:8" x14ac:dyDescent="0.15">
      <c r="B430" t="str">
        <f>IF(SUMIF(搜索词报告!$A$2:$A$22222,总体数据一览!A430,搜索词报告!$I$2:$I$22222)=0,"",SUMIF(搜索词报告!$A$2:$A$22222,总体数据一览!A430,搜索词报告!$I$2:$I$22222))</f>
        <v/>
      </c>
      <c r="C430" t="str">
        <f>IF(SUMIF(搜索词报告!$A$2:$A$22222,总体数据一览!A430,搜索词报告!$J$2:$J$22222)=0,"",SUMIF(搜索词报告!$A$2:$A$22222,总体数据一览!A430,搜索词报告!$J$2:$J$22222))</f>
        <v/>
      </c>
      <c r="D430" s="2" t="str">
        <f t="shared" si="21"/>
        <v/>
      </c>
      <c r="E430" t="str">
        <f t="shared" si="22"/>
        <v/>
      </c>
      <c r="F430" t="str">
        <f>IF(SUMIF(搜索词报告!$A$2:$A$22222,总体数据一览!A430,搜索词报告!$M$2:$M$22222)=0,"",SUMIF(搜索词报告!$A$2:$A$22222,总体数据一览!A430,搜索词报告!$M$2:$M$22222))</f>
        <v/>
      </c>
      <c r="G430" t="str">
        <f>IFERROR(IF(B430="","",SUMIF(搜索词报告!$A$2:$A$22222,总体数据一览!A430,搜索词报告!$V$2:$V$22222))+IF(B430="","",SUMIF(搜索词报告!$A$2:$A$22222,总体数据一览!A430,搜索词报告!$W$2:$W$22222)),"")</f>
        <v/>
      </c>
      <c r="H430" s="2" t="str">
        <f t="shared" si="23"/>
        <v/>
      </c>
    </row>
    <row r="431" spans="2:8" x14ac:dyDescent="0.15">
      <c r="B431" t="str">
        <f>IF(SUMIF(搜索词报告!$A$2:$A$22222,总体数据一览!A431,搜索词报告!$I$2:$I$22222)=0,"",SUMIF(搜索词报告!$A$2:$A$22222,总体数据一览!A431,搜索词报告!$I$2:$I$22222))</f>
        <v/>
      </c>
      <c r="C431" t="str">
        <f>IF(SUMIF(搜索词报告!$A$2:$A$22222,总体数据一览!A431,搜索词报告!$J$2:$J$22222)=0,"",SUMIF(搜索词报告!$A$2:$A$22222,总体数据一览!A431,搜索词报告!$J$2:$J$22222))</f>
        <v/>
      </c>
      <c r="D431" s="2" t="str">
        <f t="shared" si="21"/>
        <v/>
      </c>
      <c r="E431" t="str">
        <f t="shared" si="22"/>
        <v/>
      </c>
      <c r="F431" t="str">
        <f>IF(SUMIF(搜索词报告!$A$2:$A$22222,总体数据一览!A431,搜索词报告!$M$2:$M$22222)=0,"",SUMIF(搜索词报告!$A$2:$A$22222,总体数据一览!A431,搜索词报告!$M$2:$M$22222))</f>
        <v/>
      </c>
      <c r="G431" t="str">
        <f>IFERROR(IF(B431="","",SUMIF(搜索词报告!$A$2:$A$22222,总体数据一览!A431,搜索词报告!$V$2:$V$22222))+IF(B431="","",SUMIF(搜索词报告!$A$2:$A$22222,总体数据一览!A431,搜索词报告!$W$2:$W$22222)),"")</f>
        <v/>
      </c>
      <c r="H431" s="2" t="str">
        <f t="shared" si="23"/>
        <v/>
      </c>
    </row>
    <row r="432" spans="2:8" x14ac:dyDescent="0.15">
      <c r="B432" t="str">
        <f>IF(SUMIF(搜索词报告!$A$2:$A$22222,总体数据一览!A432,搜索词报告!$I$2:$I$22222)=0,"",SUMIF(搜索词报告!$A$2:$A$22222,总体数据一览!A432,搜索词报告!$I$2:$I$22222))</f>
        <v/>
      </c>
      <c r="C432" t="str">
        <f>IF(SUMIF(搜索词报告!$A$2:$A$22222,总体数据一览!A432,搜索词报告!$J$2:$J$22222)=0,"",SUMIF(搜索词报告!$A$2:$A$22222,总体数据一览!A432,搜索词报告!$J$2:$J$22222))</f>
        <v/>
      </c>
      <c r="D432" s="2" t="str">
        <f t="shared" si="21"/>
        <v/>
      </c>
      <c r="E432" t="str">
        <f t="shared" si="22"/>
        <v/>
      </c>
      <c r="F432" t="str">
        <f>IF(SUMIF(搜索词报告!$A$2:$A$22222,总体数据一览!A432,搜索词报告!$M$2:$M$22222)=0,"",SUMIF(搜索词报告!$A$2:$A$22222,总体数据一览!A432,搜索词报告!$M$2:$M$22222))</f>
        <v/>
      </c>
      <c r="G432" t="str">
        <f>IFERROR(IF(B432="","",SUMIF(搜索词报告!$A$2:$A$22222,总体数据一览!A432,搜索词报告!$V$2:$V$22222))+IF(B432="","",SUMIF(搜索词报告!$A$2:$A$22222,总体数据一览!A432,搜索词报告!$W$2:$W$22222)),"")</f>
        <v/>
      </c>
      <c r="H432" s="2" t="str">
        <f t="shared" si="23"/>
        <v/>
      </c>
    </row>
    <row r="433" spans="2:8" x14ac:dyDescent="0.15">
      <c r="B433" t="str">
        <f>IF(SUMIF(搜索词报告!$A$2:$A$22222,总体数据一览!A433,搜索词报告!$I$2:$I$22222)=0,"",SUMIF(搜索词报告!$A$2:$A$22222,总体数据一览!A433,搜索词报告!$I$2:$I$22222))</f>
        <v/>
      </c>
      <c r="C433" t="str">
        <f>IF(SUMIF(搜索词报告!$A$2:$A$22222,总体数据一览!A433,搜索词报告!$J$2:$J$22222)=0,"",SUMIF(搜索词报告!$A$2:$A$22222,总体数据一览!A433,搜索词报告!$J$2:$J$22222))</f>
        <v/>
      </c>
      <c r="D433" s="2" t="str">
        <f t="shared" si="21"/>
        <v/>
      </c>
      <c r="E433" t="str">
        <f t="shared" si="22"/>
        <v/>
      </c>
      <c r="F433" t="str">
        <f>IF(SUMIF(搜索词报告!$A$2:$A$22222,总体数据一览!A433,搜索词报告!$M$2:$M$22222)=0,"",SUMIF(搜索词报告!$A$2:$A$22222,总体数据一览!A433,搜索词报告!$M$2:$M$22222))</f>
        <v/>
      </c>
      <c r="G433" t="str">
        <f>IFERROR(IF(B433="","",SUMIF(搜索词报告!$A$2:$A$22222,总体数据一览!A433,搜索词报告!$V$2:$V$22222))+IF(B433="","",SUMIF(搜索词报告!$A$2:$A$22222,总体数据一览!A433,搜索词报告!$W$2:$W$22222)),"")</f>
        <v/>
      </c>
      <c r="H433" s="2" t="str">
        <f t="shared" si="23"/>
        <v/>
      </c>
    </row>
    <row r="434" spans="2:8" x14ac:dyDescent="0.15">
      <c r="B434" t="str">
        <f>IF(SUMIF(搜索词报告!$A$2:$A$22222,总体数据一览!A434,搜索词报告!$I$2:$I$22222)=0,"",SUMIF(搜索词报告!$A$2:$A$22222,总体数据一览!A434,搜索词报告!$I$2:$I$22222))</f>
        <v/>
      </c>
      <c r="C434" t="str">
        <f>IF(SUMIF(搜索词报告!$A$2:$A$22222,总体数据一览!A434,搜索词报告!$J$2:$J$22222)=0,"",SUMIF(搜索词报告!$A$2:$A$22222,总体数据一览!A434,搜索词报告!$J$2:$J$22222))</f>
        <v/>
      </c>
      <c r="D434" s="2" t="str">
        <f t="shared" si="21"/>
        <v/>
      </c>
      <c r="E434" t="str">
        <f t="shared" si="22"/>
        <v/>
      </c>
      <c r="F434" t="str">
        <f>IF(SUMIF(搜索词报告!$A$2:$A$22222,总体数据一览!A434,搜索词报告!$M$2:$M$22222)=0,"",SUMIF(搜索词报告!$A$2:$A$22222,总体数据一览!A434,搜索词报告!$M$2:$M$22222))</f>
        <v/>
      </c>
      <c r="G434" t="str">
        <f>IFERROR(IF(B434="","",SUMIF(搜索词报告!$A$2:$A$22222,总体数据一览!A434,搜索词报告!$V$2:$V$22222))+IF(B434="","",SUMIF(搜索词报告!$A$2:$A$22222,总体数据一览!A434,搜索词报告!$W$2:$W$22222)),"")</f>
        <v/>
      </c>
      <c r="H434" s="2" t="str">
        <f t="shared" si="23"/>
        <v/>
      </c>
    </row>
    <row r="435" spans="2:8" x14ac:dyDescent="0.15">
      <c r="B435" t="str">
        <f>IF(SUMIF(搜索词报告!$A$2:$A$22222,总体数据一览!A435,搜索词报告!$I$2:$I$22222)=0,"",SUMIF(搜索词报告!$A$2:$A$22222,总体数据一览!A435,搜索词报告!$I$2:$I$22222))</f>
        <v/>
      </c>
      <c r="C435" t="str">
        <f>IF(SUMIF(搜索词报告!$A$2:$A$22222,总体数据一览!A435,搜索词报告!$J$2:$J$22222)=0,"",SUMIF(搜索词报告!$A$2:$A$22222,总体数据一览!A435,搜索词报告!$J$2:$J$22222))</f>
        <v/>
      </c>
      <c r="D435" s="2" t="str">
        <f t="shared" si="21"/>
        <v/>
      </c>
      <c r="E435" t="str">
        <f t="shared" si="22"/>
        <v/>
      </c>
      <c r="F435" t="str">
        <f>IF(SUMIF(搜索词报告!$A$2:$A$22222,总体数据一览!A435,搜索词报告!$M$2:$M$22222)=0,"",SUMIF(搜索词报告!$A$2:$A$22222,总体数据一览!A435,搜索词报告!$M$2:$M$22222))</f>
        <v/>
      </c>
      <c r="G435" t="str">
        <f>IFERROR(IF(B435="","",SUMIF(搜索词报告!$A$2:$A$22222,总体数据一览!A435,搜索词报告!$V$2:$V$22222))+IF(B435="","",SUMIF(搜索词报告!$A$2:$A$22222,总体数据一览!A435,搜索词报告!$W$2:$W$22222)),"")</f>
        <v/>
      </c>
      <c r="H435" s="2" t="str">
        <f t="shared" si="23"/>
        <v/>
      </c>
    </row>
    <row r="436" spans="2:8" x14ac:dyDescent="0.15">
      <c r="B436" t="str">
        <f>IF(SUMIF(搜索词报告!$A$2:$A$22222,总体数据一览!A436,搜索词报告!$I$2:$I$22222)=0,"",SUMIF(搜索词报告!$A$2:$A$22222,总体数据一览!A436,搜索词报告!$I$2:$I$22222))</f>
        <v/>
      </c>
      <c r="C436" t="str">
        <f>IF(SUMIF(搜索词报告!$A$2:$A$22222,总体数据一览!A436,搜索词报告!$J$2:$J$22222)=0,"",SUMIF(搜索词报告!$A$2:$A$22222,总体数据一览!A436,搜索词报告!$J$2:$J$22222))</f>
        <v/>
      </c>
      <c r="D436" s="2" t="str">
        <f t="shared" si="21"/>
        <v/>
      </c>
      <c r="E436" t="str">
        <f t="shared" si="22"/>
        <v/>
      </c>
      <c r="F436" t="str">
        <f>IF(SUMIF(搜索词报告!$A$2:$A$22222,总体数据一览!A436,搜索词报告!$M$2:$M$22222)=0,"",SUMIF(搜索词报告!$A$2:$A$22222,总体数据一览!A436,搜索词报告!$M$2:$M$22222))</f>
        <v/>
      </c>
      <c r="G436" t="str">
        <f>IFERROR(IF(B436="","",SUMIF(搜索词报告!$A$2:$A$22222,总体数据一览!A436,搜索词报告!$V$2:$V$22222))+IF(B436="","",SUMIF(搜索词报告!$A$2:$A$22222,总体数据一览!A436,搜索词报告!$W$2:$W$22222)),"")</f>
        <v/>
      </c>
      <c r="H436" s="2" t="str">
        <f t="shared" si="23"/>
        <v/>
      </c>
    </row>
    <row r="437" spans="2:8" x14ac:dyDescent="0.15">
      <c r="B437" t="str">
        <f>IF(SUMIF(搜索词报告!$A$2:$A$22222,总体数据一览!A437,搜索词报告!$I$2:$I$22222)=0,"",SUMIF(搜索词报告!$A$2:$A$22222,总体数据一览!A437,搜索词报告!$I$2:$I$22222))</f>
        <v/>
      </c>
      <c r="C437" t="str">
        <f>IF(SUMIF(搜索词报告!$A$2:$A$22222,总体数据一览!A437,搜索词报告!$J$2:$J$22222)=0,"",SUMIF(搜索词报告!$A$2:$A$22222,总体数据一览!A437,搜索词报告!$J$2:$J$22222))</f>
        <v/>
      </c>
      <c r="D437" s="2" t="str">
        <f t="shared" si="21"/>
        <v/>
      </c>
      <c r="E437" t="str">
        <f t="shared" si="22"/>
        <v/>
      </c>
      <c r="F437" t="str">
        <f>IF(SUMIF(搜索词报告!$A$2:$A$22222,总体数据一览!A437,搜索词报告!$M$2:$M$22222)=0,"",SUMIF(搜索词报告!$A$2:$A$22222,总体数据一览!A437,搜索词报告!$M$2:$M$22222))</f>
        <v/>
      </c>
      <c r="G437" t="str">
        <f>IFERROR(IF(B437="","",SUMIF(搜索词报告!$A$2:$A$22222,总体数据一览!A437,搜索词报告!$V$2:$V$22222))+IF(B437="","",SUMIF(搜索词报告!$A$2:$A$22222,总体数据一览!A437,搜索词报告!$W$2:$W$22222)),"")</f>
        <v/>
      </c>
      <c r="H437" s="2" t="str">
        <f t="shared" si="23"/>
        <v/>
      </c>
    </row>
    <row r="438" spans="2:8" x14ac:dyDescent="0.15">
      <c r="B438" t="str">
        <f>IF(SUMIF(搜索词报告!$A$2:$A$22222,总体数据一览!A438,搜索词报告!$I$2:$I$22222)=0,"",SUMIF(搜索词报告!$A$2:$A$22222,总体数据一览!A438,搜索词报告!$I$2:$I$22222))</f>
        <v/>
      </c>
      <c r="C438" t="str">
        <f>IF(SUMIF(搜索词报告!$A$2:$A$22222,总体数据一览!A438,搜索词报告!$J$2:$J$22222)=0,"",SUMIF(搜索词报告!$A$2:$A$22222,总体数据一览!A438,搜索词报告!$J$2:$J$22222))</f>
        <v/>
      </c>
      <c r="D438" s="2" t="str">
        <f t="shared" si="21"/>
        <v/>
      </c>
      <c r="E438" t="str">
        <f t="shared" si="22"/>
        <v/>
      </c>
      <c r="F438" t="str">
        <f>IF(SUMIF(搜索词报告!$A$2:$A$22222,总体数据一览!A438,搜索词报告!$M$2:$M$22222)=0,"",SUMIF(搜索词报告!$A$2:$A$22222,总体数据一览!A438,搜索词报告!$M$2:$M$22222))</f>
        <v/>
      </c>
      <c r="G438" t="str">
        <f>IFERROR(IF(B438="","",SUMIF(搜索词报告!$A$2:$A$22222,总体数据一览!A438,搜索词报告!$V$2:$V$22222))+IF(B438="","",SUMIF(搜索词报告!$A$2:$A$22222,总体数据一览!A438,搜索词报告!$W$2:$W$22222)),"")</f>
        <v/>
      </c>
      <c r="H438" s="2" t="str">
        <f t="shared" si="23"/>
        <v/>
      </c>
    </row>
    <row r="439" spans="2:8" x14ac:dyDescent="0.15">
      <c r="B439" t="str">
        <f>IF(SUMIF(搜索词报告!$A$2:$A$22222,总体数据一览!A439,搜索词报告!$I$2:$I$22222)=0,"",SUMIF(搜索词报告!$A$2:$A$22222,总体数据一览!A439,搜索词报告!$I$2:$I$22222))</f>
        <v/>
      </c>
      <c r="C439" t="str">
        <f>IF(SUMIF(搜索词报告!$A$2:$A$22222,总体数据一览!A439,搜索词报告!$J$2:$J$22222)=0,"",SUMIF(搜索词报告!$A$2:$A$22222,总体数据一览!A439,搜索词报告!$J$2:$J$22222))</f>
        <v/>
      </c>
      <c r="D439" s="2" t="str">
        <f t="shared" si="21"/>
        <v/>
      </c>
      <c r="E439" t="str">
        <f t="shared" si="22"/>
        <v/>
      </c>
      <c r="F439" t="str">
        <f>IF(SUMIF(搜索词报告!$A$2:$A$22222,总体数据一览!A439,搜索词报告!$M$2:$M$22222)=0,"",SUMIF(搜索词报告!$A$2:$A$22222,总体数据一览!A439,搜索词报告!$M$2:$M$22222))</f>
        <v/>
      </c>
      <c r="G439" t="str">
        <f>IFERROR(IF(B439="","",SUMIF(搜索词报告!$A$2:$A$22222,总体数据一览!A439,搜索词报告!$V$2:$V$22222))+IF(B439="","",SUMIF(搜索词报告!$A$2:$A$22222,总体数据一览!A439,搜索词报告!$W$2:$W$22222)),"")</f>
        <v/>
      </c>
      <c r="H439" s="2" t="str">
        <f t="shared" si="23"/>
        <v/>
      </c>
    </row>
    <row r="440" spans="2:8" x14ac:dyDescent="0.15">
      <c r="B440" t="str">
        <f>IF(SUMIF(搜索词报告!$A$2:$A$22222,总体数据一览!A440,搜索词报告!$I$2:$I$22222)=0,"",SUMIF(搜索词报告!$A$2:$A$22222,总体数据一览!A440,搜索词报告!$I$2:$I$22222))</f>
        <v/>
      </c>
      <c r="C440" t="str">
        <f>IF(SUMIF(搜索词报告!$A$2:$A$22222,总体数据一览!A440,搜索词报告!$J$2:$J$22222)=0,"",SUMIF(搜索词报告!$A$2:$A$22222,总体数据一览!A440,搜索词报告!$J$2:$J$22222))</f>
        <v/>
      </c>
      <c r="D440" s="2" t="str">
        <f t="shared" si="21"/>
        <v/>
      </c>
      <c r="E440" t="str">
        <f t="shared" si="22"/>
        <v/>
      </c>
      <c r="F440" t="str">
        <f>IF(SUMIF(搜索词报告!$A$2:$A$22222,总体数据一览!A440,搜索词报告!$M$2:$M$22222)=0,"",SUMIF(搜索词报告!$A$2:$A$22222,总体数据一览!A440,搜索词报告!$M$2:$M$22222))</f>
        <v/>
      </c>
      <c r="G440" t="str">
        <f>IFERROR(IF(B440="","",SUMIF(搜索词报告!$A$2:$A$22222,总体数据一览!A440,搜索词报告!$V$2:$V$22222))+IF(B440="","",SUMIF(搜索词报告!$A$2:$A$22222,总体数据一览!A440,搜索词报告!$W$2:$W$22222)),"")</f>
        <v/>
      </c>
      <c r="H440" s="2" t="str">
        <f t="shared" si="23"/>
        <v/>
      </c>
    </row>
    <row r="441" spans="2:8" x14ac:dyDescent="0.15">
      <c r="B441" t="str">
        <f>IF(SUMIF(搜索词报告!$A$2:$A$22222,总体数据一览!A441,搜索词报告!$I$2:$I$22222)=0,"",SUMIF(搜索词报告!$A$2:$A$22222,总体数据一览!A441,搜索词报告!$I$2:$I$22222))</f>
        <v/>
      </c>
      <c r="C441" t="str">
        <f>IF(SUMIF(搜索词报告!$A$2:$A$22222,总体数据一览!A441,搜索词报告!$J$2:$J$22222)=0,"",SUMIF(搜索词报告!$A$2:$A$22222,总体数据一览!A441,搜索词报告!$J$2:$J$22222))</f>
        <v/>
      </c>
      <c r="D441" s="2" t="str">
        <f t="shared" si="21"/>
        <v/>
      </c>
      <c r="E441" t="str">
        <f t="shared" si="22"/>
        <v/>
      </c>
      <c r="F441" t="str">
        <f>IF(SUMIF(搜索词报告!$A$2:$A$22222,总体数据一览!A441,搜索词报告!$M$2:$M$22222)=0,"",SUMIF(搜索词报告!$A$2:$A$22222,总体数据一览!A441,搜索词报告!$M$2:$M$22222))</f>
        <v/>
      </c>
      <c r="G441" t="str">
        <f>IFERROR(IF(B441="","",SUMIF(搜索词报告!$A$2:$A$22222,总体数据一览!A441,搜索词报告!$V$2:$V$22222))+IF(B441="","",SUMIF(搜索词报告!$A$2:$A$22222,总体数据一览!A441,搜索词报告!$W$2:$W$22222)),"")</f>
        <v/>
      </c>
      <c r="H441" s="2" t="str">
        <f t="shared" si="23"/>
        <v/>
      </c>
    </row>
    <row r="442" spans="2:8" x14ac:dyDescent="0.15">
      <c r="B442" t="str">
        <f>IF(SUMIF(搜索词报告!$A$2:$A$22222,总体数据一览!A442,搜索词报告!$I$2:$I$22222)=0,"",SUMIF(搜索词报告!$A$2:$A$22222,总体数据一览!A442,搜索词报告!$I$2:$I$22222))</f>
        <v/>
      </c>
      <c r="C442" t="str">
        <f>IF(SUMIF(搜索词报告!$A$2:$A$22222,总体数据一览!A442,搜索词报告!$J$2:$J$22222)=0,"",SUMIF(搜索词报告!$A$2:$A$22222,总体数据一览!A442,搜索词报告!$J$2:$J$22222))</f>
        <v/>
      </c>
      <c r="D442" s="2" t="str">
        <f t="shared" si="21"/>
        <v/>
      </c>
      <c r="E442" t="str">
        <f t="shared" si="22"/>
        <v/>
      </c>
      <c r="F442" t="str">
        <f>IF(SUMIF(搜索词报告!$A$2:$A$22222,总体数据一览!A442,搜索词报告!$M$2:$M$22222)=0,"",SUMIF(搜索词报告!$A$2:$A$22222,总体数据一览!A442,搜索词报告!$M$2:$M$22222))</f>
        <v/>
      </c>
      <c r="G442" t="str">
        <f>IFERROR(IF(B442="","",SUMIF(搜索词报告!$A$2:$A$22222,总体数据一览!A442,搜索词报告!$V$2:$V$22222))+IF(B442="","",SUMIF(搜索词报告!$A$2:$A$22222,总体数据一览!A442,搜索词报告!$W$2:$W$22222)),"")</f>
        <v/>
      </c>
      <c r="H442" s="2" t="str">
        <f t="shared" si="23"/>
        <v/>
      </c>
    </row>
    <row r="443" spans="2:8" x14ac:dyDescent="0.15">
      <c r="B443" t="str">
        <f>IF(SUMIF(搜索词报告!$A$2:$A$22222,总体数据一览!A443,搜索词报告!$I$2:$I$22222)=0,"",SUMIF(搜索词报告!$A$2:$A$22222,总体数据一览!A443,搜索词报告!$I$2:$I$22222))</f>
        <v/>
      </c>
      <c r="C443" t="str">
        <f>IF(SUMIF(搜索词报告!$A$2:$A$22222,总体数据一览!A443,搜索词报告!$J$2:$J$22222)=0,"",SUMIF(搜索词报告!$A$2:$A$22222,总体数据一览!A443,搜索词报告!$J$2:$J$22222))</f>
        <v/>
      </c>
      <c r="D443" s="2" t="str">
        <f t="shared" si="21"/>
        <v/>
      </c>
      <c r="E443" t="str">
        <f t="shared" si="22"/>
        <v/>
      </c>
      <c r="F443" t="str">
        <f>IF(SUMIF(搜索词报告!$A$2:$A$22222,总体数据一览!A443,搜索词报告!$M$2:$M$22222)=0,"",SUMIF(搜索词报告!$A$2:$A$22222,总体数据一览!A443,搜索词报告!$M$2:$M$22222))</f>
        <v/>
      </c>
      <c r="G443" t="str">
        <f>IFERROR(IF(B443="","",SUMIF(搜索词报告!$A$2:$A$22222,总体数据一览!A443,搜索词报告!$V$2:$V$22222))+IF(B443="","",SUMIF(搜索词报告!$A$2:$A$22222,总体数据一览!A443,搜索词报告!$W$2:$W$22222)),"")</f>
        <v/>
      </c>
      <c r="H443" s="2" t="str">
        <f t="shared" si="23"/>
        <v/>
      </c>
    </row>
    <row r="444" spans="2:8" x14ac:dyDescent="0.15">
      <c r="B444" t="str">
        <f>IF(SUMIF(搜索词报告!$A$2:$A$22222,总体数据一览!A444,搜索词报告!$I$2:$I$22222)=0,"",SUMIF(搜索词报告!$A$2:$A$22222,总体数据一览!A444,搜索词报告!$I$2:$I$22222))</f>
        <v/>
      </c>
      <c r="C444" t="str">
        <f>IF(SUMIF(搜索词报告!$A$2:$A$22222,总体数据一览!A444,搜索词报告!$J$2:$J$22222)=0,"",SUMIF(搜索词报告!$A$2:$A$22222,总体数据一览!A444,搜索词报告!$J$2:$J$22222))</f>
        <v/>
      </c>
      <c r="D444" s="2" t="str">
        <f t="shared" si="21"/>
        <v/>
      </c>
      <c r="E444" t="str">
        <f t="shared" si="22"/>
        <v/>
      </c>
      <c r="F444" t="str">
        <f>IF(SUMIF(搜索词报告!$A$2:$A$22222,总体数据一览!A444,搜索词报告!$M$2:$M$22222)=0,"",SUMIF(搜索词报告!$A$2:$A$22222,总体数据一览!A444,搜索词报告!$M$2:$M$22222))</f>
        <v/>
      </c>
      <c r="G444" t="str">
        <f>IFERROR(IF(B444="","",SUMIF(搜索词报告!$A$2:$A$22222,总体数据一览!A444,搜索词报告!$V$2:$V$22222))+IF(B444="","",SUMIF(搜索词报告!$A$2:$A$22222,总体数据一览!A444,搜索词报告!$W$2:$W$22222)),"")</f>
        <v/>
      </c>
      <c r="H444" s="2" t="str">
        <f t="shared" si="23"/>
        <v/>
      </c>
    </row>
    <row r="445" spans="2:8" x14ac:dyDescent="0.15">
      <c r="B445" t="str">
        <f>IF(SUMIF(搜索词报告!$A$2:$A$22222,总体数据一览!A445,搜索词报告!$I$2:$I$22222)=0,"",SUMIF(搜索词报告!$A$2:$A$22222,总体数据一览!A445,搜索词报告!$I$2:$I$22222))</f>
        <v/>
      </c>
      <c r="C445" t="str">
        <f>IF(SUMIF(搜索词报告!$A$2:$A$22222,总体数据一览!A445,搜索词报告!$J$2:$J$22222)=0,"",SUMIF(搜索词报告!$A$2:$A$22222,总体数据一览!A445,搜索词报告!$J$2:$J$22222))</f>
        <v/>
      </c>
      <c r="D445" s="2" t="str">
        <f t="shared" si="21"/>
        <v/>
      </c>
      <c r="E445" t="str">
        <f t="shared" si="22"/>
        <v/>
      </c>
      <c r="F445" t="str">
        <f>IF(SUMIF(搜索词报告!$A$2:$A$22222,总体数据一览!A445,搜索词报告!$M$2:$M$22222)=0,"",SUMIF(搜索词报告!$A$2:$A$22222,总体数据一览!A445,搜索词报告!$M$2:$M$22222))</f>
        <v/>
      </c>
      <c r="G445" t="str">
        <f>IFERROR(IF(B445="","",SUMIF(搜索词报告!$A$2:$A$22222,总体数据一览!A445,搜索词报告!$V$2:$V$22222))+IF(B445="","",SUMIF(搜索词报告!$A$2:$A$22222,总体数据一览!A445,搜索词报告!$W$2:$W$22222)),"")</f>
        <v/>
      </c>
      <c r="H445" s="2" t="str">
        <f t="shared" si="23"/>
        <v/>
      </c>
    </row>
    <row r="446" spans="2:8" x14ac:dyDescent="0.15">
      <c r="B446" t="str">
        <f>IF(SUMIF(搜索词报告!$A$2:$A$22222,总体数据一览!A446,搜索词报告!$I$2:$I$22222)=0,"",SUMIF(搜索词报告!$A$2:$A$22222,总体数据一览!A446,搜索词报告!$I$2:$I$22222))</f>
        <v/>
      </c>
      <c r="C446" t="str">
        <f>IF(SUMIF(搜索词报告!$A$2:$A$22222,总体数据一览!A446,搜索词报告!$J$2:$J$22222)=0,"",SUMIF(搜索词报告!$A$2:$A$22222,总体数据一览!A446,搜索词报告!$J$2:$J$22222))</f>
        <v/>
      </c>
      <c r="D446" s="2" t="str">
        <f t="shared" si="21"/>
        <v/>
      </c>
      <c r="E446" t="str">
        <f t="shared" si="22"/>
        <v/>
      </c>
      <c r="F446" t="str">
        <f>IF(SUMIF(搜索词报告!$A$2:$A$22222,总体数据一览!A446,搜索词报告!$M$2:$M$22222)=0,"",SUMIF(搜索词报告!$A$2:$A$22222,总体数据一览!A446,搜索词报告!$M$2:$M$22222))</f>
        <v/>
      </c>
      <c r="G446" t="str">
        <f>IFERROR(IF(B446="","",SUMIF(搜索词报告!$A$2:$A$22222,总体数据一览!A446,搜索词报告!$V$2:$V$22222))+IF(B446="","",SUMIF(搜索词报告!$A$2:$A$22222,总体数据一览!A446,搜索词报告!$W$2:$W$22222)),"")</f>
        <v/>
      </c>
      <c r="H446" s="2" t="str">
        <f t="shared" si="23"/>
        <v/>
      </c>
    </row>
    <row r="447" spans="2:8" x14ac:dyDescent="0.15">
      <c r="B447" t="str">
        <f>IF(SUMIF(搜索词报告!$A$2:$A$22222,总体数据一览!A447,搜索词报告!$I$2:$I$22222)=0,"",SUMIF(搜索词报告!$A$2:$A$22222,总体数据一览!A447,搜索词报告!$I$2:$I$22222))</f>
        <v/>
      </c>
      <c r="C447" t="str">
        <f>IF(SUMIF(搜索词报告!$A$2:$A$22222,总体数据一览!A447,搜索词报告!$J$2:$J$22222)=0,"",SUMIF(搜索词报告!$A$2:$A$22222,总体数据一览!A447,搜索词报告!$J$2:$J$22222))</f>
        <v/>
      </c>
      <c r="D447" s="2" t="str">
        <f t="shared" si="21"/>
        <v/>
      </c>
      <c r="E447" t="str">
        <f t="shared" si="22"/>
        <v/>
      </c>
      <c r="F447" t="str">
        <f>IF(SUMIF(搜索词报告!$A$2:$A$22222,总体数据一览!A447,搜索词报告!$M$2:$M$22222)=0,"",SUMIF(搜索词报告!$A$2:$A$22222,总体数据一览!A447,搜索词报告!$M$2:$M$22222))</f>
        <v/>
      </c>
      <c r="G447" t="str">
        <f>IFERROR(IF(B447="","",SUMIF(搜索词报告!$A$2:$A$22222,总体数据一览!A447,搜索词报告!$V$2:$V$22222))+IF(B447="","",SUMIF(搜索词报告!$A$2:$A$22222,总体数据一览!A447,搜索词报告!$W$2:$W$22222)),"")</f>
        <v/>
      </c>
      <c r="H447" s="2" t="str">
        <f t="shared" si="23"/>
        <v/>
      </c>
    </row>
    <row r="448" spans="2:8" x14ac:dyDescent="0.15">
      <c r="B448" t="str">
        <f>IF(SUMIF(搜索词报告!$A$2:$A$22222,总体数据一览!A448,搜索词报告!$I$2:$I$22222)=0,"",SUMIF(搜索词报告!$A$2:$A$22222,总体数据一览!A448,搜索词报告!$I$2:$I$22222))</f>
        <v/>
      </c>
      <c r="C448" t="str">
        <f>IF(SUMIF(搜索词报告!$A$2:$A$22222,总体数据一览!A448,搜索词报告!$J$2:$J$22222)=0,"",SUMIF(搜索词报告!$A$2:$A$22222,总体数据一览!A448,搜索词报告!$J$2:$J$22222))</f>
        <v/>
      </c>
      <c r="D448" s="2" t="str">
        <f t="shared" si="21"/>
        <v/>
      </c>
      <c r="E448" t="str">
        <f t="shared" si="22"/>
        <v/>
      </c>
      <c r="F448" t="str">
        <f>IF(SUMIF(搜索词报告!$A$2:$A$22222,总体数据一览!A448,搜索词报告!$M$2:$M$22222)=0,"",SUMIF(搜索词报告!$A$2:$A$22222,总体数据一览!A448,搜索词报告!$M$2:$M$22222))</f>
        <v/>
      </c>
      <c r="G448" t="str">
        <f>IFERROR(IF(B448="","",SUMIF(搜索词报告!$A$2:$A$22222,总体数据一览!A448,搜索词报告!$V$2:$V$22222))+IF(B448="","",SUMIF(搜索词报告!$A$2:$A$22222,总体数据一览!A448,搜索词报告!$W$2:$W$22222)),"")</f>
        <v/>
      </c>
      <c r="H448" s="2" t="str">
        <f t="shared" si="23"/>
        <v/>
      </c>
    </row>
    <row r="449" spans="2:8" x14ac:dyDescent="0.15">
      <c r="B449" t="str">
        <f>IF(SUMIF(搜索词报告!$A$2:$A$22222,总体数据一览!A449,搜索词报告!$I$2:$I$22222)=0,"",SUMIF(搜索词报告!$A$2:$A$22222,总体数据一览!A449,搜索词报告!$I$2:$I$22222))</f>
        <v/>
      </c>
      <c r="C449" t="str">
        <f>IF(SUMIF(搜索词报告!$A$2:$A$22222,总体数据一览!A449,搜索词报告!$J$2:$J$22222)=0,"",SUMIF(搜索词报告!$A$2:$A$22222,总体数据一览!A449,搜索词报告!$J$2:$J$22222))</f>
        <v/>
      </c>
      <c r="D449" s="2" t="str">
        <f t="shared" si="21"/>
        <v/>
      </c>
      <c r="E449" t="str">
        <f t="shared" si="22"/>
        <v/>
      </c>
      <c r="F449" t="str">
        <f>IF(SUMIF(搜索词报告!$A$2:$A$22222,总体数据一览!A449,搜索词报告!$M$2:$M$22222)=0,"",SUMIF(搜索词报告!$A$2:$A$22222,总体数据一览!A449,搜索词报告!$M$2:$M$22222))</f>
        <v/>
      </c>
      <c r="G449" t="str">
        <f>IFERROR(IF(B449="","",SUMIF(搜索词报告!$A$2:$A$22222,总体数据一览!A449,搜索词报告!$V$2:$V$22222))+IF(B449="","",SUMIF(搜索词报告!$A$2:$A$22222,总体数据一览!A449,搜索词报告!$W$2:$W$22222)),"")</f>
        <v/>
      </c>
      <c r="H449" s="2" t="str">
        <f t="shared" si="23"/>
        <v/>
      </c>
    </row>
    <row r="450" spans="2:8" x14ac:dyDescent="0.15">
      <c r="B450" t="str">
        <f>IF(SUMIF(搜索词报告!$A$2:$A$22222,总体数据一览!A450,搜索词报告!$I$2:$I$22222)=0,"",SUMIF(搜索词报告!$A$2:$A$22222,总体数据一览!A450,搜索词报告!$I$2:$I$22222))</f>
        <v/>
      </c>
      <c r="C450" t="str">
        <f>IF(SUMIF(搜索词报告!$A$2:$A$22222,总体数据一览!A450,搜索词报告!$J$2:$J$22222)=0,"",SUMIF(搜索词报告!$A$2:$A$22222,总体数据一览!A450,搜索词报告!$J$2:$J$22222))</f>
        <v/>
      </c>
      <c r="D450" s="2" t="str">
        <f t="shared" si="21"/>
        <v/>
      </c>
      <c r="E450" t="str">
        <f t="shared" si="22"/>
        <v/>
      </c>
      <c r="F450" t="str">
        <f>IF(SUMIF(搜索词报告!$A$2:$A$22222,总体数据一览!A450,搜索词报告!$M$2:$M$22222)=0,"",SUMIF(搜索词报告!$A$2:$A$22222,总体数据一览!A450,搜索词报告!$M$2:$M$22222))</f>
        <v/>
      </c>
      <c r="G450" t="str">
        <f>IFERROR(IF(B450="","",SUMIF(搜索词报告!$A$2:$A$22222,总体数据一览!A450,搜索词报告!$V$2:$V$22222))+IF(B450="","",SUMIF(搜索词报告!$A$2:$A$22222,总体数据一览!A450,搜索词报告!$W$2:$W$22222)),"")</f>
        <v/>
      </c>
      <c r="H450" s="2" t="str">
        <f t="shared" si="23"/>
        <v/>
      </c>
    </row>
    <row r="451" spans="2:8" x14ac:dyDescent="0.15">
      <c r="B451" t="str">
        <f>IF(SUMIF(搜索词报告!$A$2:$A$22222,总体数据一览!A451,搜索词报告!$I$2:$I$22222)=0,"",SUMIF(搜索词报告!$A$2:$A$22222,总体数据一览!A451,搜索词报告!$I$2:$I$22222))</f>
        <v/>
      </c>
      <c r="C451" t="str">
        <f>IF(SUMIF(搜索词报告!$A$2:$A$22222,总体数据一览!A451,搜索词报告!$J$2:$J$22222)=0,"",SUMIF(搜索词报告!$A$2:$A$22222,总体数据一览!A451,搜索词报告!$J$2:$J$22222))</f>
        <v/>
      </c>
      <c r="D451" s="2" t="str">
        <f t="shared" si="21"/>
        <v/>
      </c>
      <c r="E451" t="str">
        <f t="shared" si="22"/>
        <v/>
      </c>
      <c r="F451" t="str">
        <f>IF(SUMIF(搜索词报告!$A$2:$A$22222,总体数据一览!A451,搜索词报告!$M$2:$M$22222)=0,"",SUMIF(搜索词报告!$A$2:$A$22222,总体数据一览!A451,搜索词报告!$M$2:$M$22222))</f>
        <v/>
      </c>
      <c r="G451" t="str">
        <f>IFERROR(IF(B451="","",SUMIF(搜索词报告!$A$2:$A$22222,总体数据一览!A451,搜索词报告!$V$2:$V$22222))+IF(B451="","",SUMIF(搜索词报告!$A$2:$A$22222,总体数据一览!A451,搜索词报告!$W$2:$W$22222)),"")</f>
        <v/>
      </c>
      <c r="H451" s="2" t="str">
        <f t="shared" si="23"/>
        <v/>
      </c>
    </row>
    <row r="452" spans="2:8" x14ac:dyDescent="0.15">
      <c r="B452" t="str">
        <f>IF(SUMIF(搜索词报告!$A$2:$A$22222,总体数据一览!A452,搜索词报告!$I$2:$I$22222)=0,"",SUMIF(搜索词报告!$A$2:$A$22222,总体数据一览!A452,搜索词报告!$I$2:$I$22222))</f>
        <v/>
      </c>
      <c r="C452" t="str">
        <f>IF(SUMIF(搜索词报告!$A$2:$A$22222,总体数据一览!A452,搜索词报告!$J$2:$J$22222)=0,"",SUMIF(搜索词报告!$A$2:$A$22222,总体数据一览!A452,搜索词报告!$J$2:$J$22222))</f>
        <v/>
      </c>
      <c r="D452" s="2" t="str">
        <f t="shared" si="21"/>
        <v/>
      </c>
      <c r="E452" t="str">
        <f t="shared" si="22"/>
        <v/>
      </c>
      <c r="F452" t="str">
        <f>IF(SUMIF(搜索词报告!$A$2:$A$22222,总体数据一览!A452,搜索词报告!$M$2:$M$22222)=0,"",SUMIF(搜索词报告!$A$2:$A$22222,总体数据一览!A452,搜索词报告!$M$2:$M$22222))</f>
        <v/>
      </c>
      <c r="G452" t="str">
        <f>IFERROR(IF(B452="","",SUMIF(搜索词报告!$A$2:$A$22222,总体数据一览!A452,搜索词报告!$V$2:$V$22222))+IF(B452="","",SUMIF(搜索词报告!$A$2:$A$22222,总体数据一览!A452,搜索词报告!$W$2:$W$22222)),"")</f>
        <v/>
      </c>
      <c r="H452" s="2" t="str">
        <f t="shared" si="23"/>
        <v/>
      </c>
    </row>
    <row r="453" spans="2:8" x14ac:dyDescent="0.15">
      <c r="B453" t="str">
        <f>IF(SUMIF(搜索词报告!$A$2:$A$22222,总体数据一览!A453,搜索词报告!$I$2:$I$22222)=0,"",SUMIF(搜索词报告!$A$2:$A$22222,总体数据一览!A453,搜索词报告!$I$2:$I$22222))</f>
        <v/>
      </c>
      <c r="C453" t="str">
        <f>IF(SUMIF(搜索词报告!$A$2:$A$22222,总体数据一览!A453,搜索词报告!$J$2:$J$22222)=0,"",SUMIF(搜索词报告!$A$2:$A$22222,总体数据一览!A453,搜索词报告!$J$2:$J$22222))</f>
        <v/>
      </c>
      <c r="D453" s="2" t="str">
        <f t="shared" si="21"/>
        <v/>
      </c>
      <c r="E453" t="str">
        <f t="shared" si="22"/>
        <v/>
      </c>
      <c r="F453" t="str">
        <f>IF(SUMIF(搜索词报告!$A$2:$A$22222,总体数据一览!A453,搜索词报告!$M$2:$M$22222)=0,"",SUMIF(搜索词报告!$A$2:$A$22222,总体数据一览!A453,搜索词报告!$M$2:$M$22222))</f>
        <v/>
      </c>
      <c r="G453" t="str">
        <f>IFERROR(IF(B453="","",SUMIF(搜索词报告!$A$2:$A$22222,总体数据一览!A453,搜索词报告!$V$2:$V$22222))+IF(B453="","",SUMIF(搜索词报告!$A$2:$A$22222,总体数据一览!A453,搜索词报告!$W$2:$W$22222)),"")</f>
        <v/>
      </c>
      <c r="H453" s="2" t="str">
        <f t="shared" si="23"/>
        <v/>
      </c>
    </row>
    <row r="454" spans="2:8" x14ac:dyDescent="0.15">
      <c r="B454" t="str">
        <f>IF(SUMIF(搜索词报告!$A$2:$A$22222,总体数据一览!A454,搜索词报告!$I$2:$I$22222)=0,"",SUMIF(搜索词报告!$A$2:$A$22222,总体数据一览!A454,搜索词报告!$I$2:$I$22222))</f>
        <v/>
      </c>
      <c r="C454" t="str">
        <f>IF(SUMIF(搜索词报告!$A$2:$A$22222,总体数据一览!A454,搜索词报告!$J$2:$J$22222)=0,"",SUMIF(搜索词报告!$A$2:$A$22222,总体数据一览!A454,搜索词报告!$J$2:$J$22222))</f>
        <v/>
      </c>
      <c r="D454" s="2" t="str">
        <f t="shared" si="21"/>
        <v/>
      </c>
      <c r="E454" t="str">
        <f t="shared" si="22"/>
        <v/>
      </c>
      <c r="F454" t="str">
        <f>IF(SUMIF(搜索词报告!$A$2:$A$22222,总体数据一览!A454,搜索词报告!$M$2:$M$22222)=0,"",SUMIF(搜索词报告!$A$2:$A$22222,总体数据一览!A454,搜索词报告!$M$2:$M$22222))</f>
        <v/>
      </c>
      <c r="G454" t="str">
        <f>IFERROR(IF(B454="","",SUMIF(搜索词报告!$A$2:$A$22222,总体数据一览!A454,搜索词报告!$V$2:$V$22222))+IF(B454="","",SUMIF(搜索词报告!$A$2:$A$22222,总体数据一览!A454,搜索词报告!$W$2:$W$22222)),"")</f>
        <v/>
      </c>
      <c r="H454" s="2" t="str">
        <f t="shared" si="23"/>
        <v/>
      </c>
    </row>
    <row r="455" spans="2:8" x14ac:dyDescent="0.15">
      <c r="B455" t="str">
        <f>IF(SUMIF(搜索词报告!$A$2:$A$22222,总体数据一览!A455,搜索词报告!$I$2:$I$22222)=0,"",SUMIF(搜索词报告!$A$2:$A$22222,总体数据一览!A455,搜索词报告!$I$2:$I$22222))</f>
        <v/>
      </c>
      <c r="C455" t="str">
        <f>IF(SUMIF(搜索词报告!$A$2:$A$22222,总体数据一览!A455,搜索词报告!$J$2:$J$22222)=0,"",SUMIF(搜索词报告!$A$2:$A$22222,总体数据一览!A455,搜索词报告!$J$2:$J$22222))</f>
        <v/>
      </c>
      <c r="D455" s="2" t="str">
        <f t="shared" si="21"/>
        <v/>
      </c>
      <c r="E455" t="str">
        <f t="shared" si="22"/>
        <v/>
      </c>
      <c r="F455" t="str">
        <f>IF(SUMIF(搜索词报告!$A$2:$A$22222,总体数据一览!A455,搜索词报告!$M$2:$M$22222)=0,"",SUMIF(搜索词报告!$A$2:$A$22222,总体数据一览!A455,搜索词报告!$M$2:$M$22222))</f>
        <v/>
      </c>
      <c r="G455" t="str">
        <f>IFERROR(IF(B455="","",SUMIF(搜索词报告!$A$2:$A$22222,总体数据一览!A455,搜索词报告!$V$2:$V$22222))+IF(B455="","",SUMIF(搜索词报告!$A$2:$A$22222,总体数据一览!A455,搜索词报告!$W$2:$W$22222)),"")</f>
        <v/>
      </c>
      <c r="H455" s="2" t="str">
        <f t="shared" si="23"/>
        <v/>
      </c>
    </row>
    <row r="456" spans="2:8" x14ac:dyDescent="0.15">
      <c r="B456" t="str">
        <f>IF(SUMIF(搜索词报告!$A$2:$A$22222,总体数据一览!A456,搜索词报告!$I$2:$I$22222)=0,"",SUMIF(搜索词报告!$A$2:$A$22222,总体数据一览!A456,搜索词报告!$I$2:$I$22222))</f>
        <v/>
      </c>
      <c r="C456" t="str">
        <f>IF(SUMIF(搜索词报告!$A$2:$A$22222,总体数据一览!A456,搜索词报告!$J$2:$J$22222)=0,"",SUMIF(搜索词报告!$A$2:$A$22222,总体数据一览!A456,搜索词报告!$J$2:$J$22222))</f>
        <v/>
      </c>
      <c r="D456" s="2" t="str">
        <f t="shared" si="21"/>
        <v/>
      </c>
      <c r="E456" t="str">
        <f t="shared" si="22"/>
        <v/>
      </c>
      <c r="F456" t="str">
        <f>IF(SUMIF(搜索词报告!$A$2:$A$22222,总体数据一览!A456,搜索词报告!$M$2:$M$22222)=0,"",SUMIF(搜索词报告!$A$2:$A$22222,总体数据一览!A456,搜索词报告!$M$2:$M$22222))</f>
        <v/>
      </c>
      <c r="G456" t="str">
        <f>IFERROR(IF(B456="","",SUMIF(搜索词报告!$A$2:$A$22222,总体数据一览!A456,搜索词报告!$V$2:$V$22222))+IF(B456="","",SUMIF(搜索词报告!$A$2:$A$22222,总体数据一览!A456,搜索词报告!$W$2:$W$22222)),"")</f>
        <v/>
      </c>
      <c r="H456" s="2" t="str">
        <f t="shared" si="23"/>
        <v/>
      </c>
    </row>
    <row r="457" spans="2:8" x14ac:dyDescent="0.15">
      <c r="B457" t="str">
        <f>IF(SUMIF(搜索词报告!$A$2:$A$22222,总体数据一览!A457,搜索词报告!$I$2:$I$22222)=0,"",SUMIF(搜索词报告!$A$2:$A$22222,总体数据一览!A457,搜索词报告!$I$2:$I$22222))</f>
        <v/>
      </c>
      <c r="C457" t="str">
        <f>IF(SUMIF(搜索词报告!$A$2:$A$22222,总体数据一览!A457,搜索词报告!$J$2:$J$22222)=0,"",SUMIF(搜索词报告!$A$2:$A$22222,总体数据一览!A457,搜索词报告!$J$2:$J$22222))</f>
        <v/>
      </c>
      <c r="D457" s="2" t="str">
        <f t="shared" si="21"/>
        <v/>
      </c>
      <c r="E457" t="str">
        <f t="shared" si="22"/>
        <v/>
      </c>
      <c r="F457" t="str">
        <f>IF(SUMIF(搜索词报告!$A$2:$A$22222,总体数据一览!A457,搜索词报告!$M$2:$M$22222)=0,"",SUMIF(搜索词报告!$A$2:$A$22222,总体数据一览!A457,搜索词报告!$M$2:$M$22222))</f>
        <v/>
      </c>
      <c r="G457" t="str">
        <f>IFERROR(IF(B457="","",SUMIF(搜索词报告!$A$2:$A$22222,总体数据一览!A457,搜索词报告!$V$2:$V$22222))+IF(B457="","",SUMIF(搜索词报告!$A$2:$A$22222,总体数据一览!A457,搜索词报告!$W$2:$W$22222)),"")</f>
        <v/>
      </c>
      <c r="H457" s="2" t="str">
        <f t="shared" si="23"/>
        <v/>
      </c>
    </row>
    <row r="458" spans="2:8" x14ac:dyDescent="0.15">
      <c r="B458" t="str">
        <f>IF(SUMIF(搜索词报告!$A$2:$A$22222,总体数据一览!A458,搜索词报告!$I$2:$I$22222)=0,"",SUMIF(搜索词报告!$A$2:$A$22222,总体数据一览!A458,搜索词报告!$I$2:$I$22222))</f>
        <v/>
      </c>
      <c r="C458" t="str">
        <f>IF(SUMIF(搜索词报告!$A$2:$A$22222,总体数据一览!A458,搜索词报告!$J$2:$J$22222)=0,"",SUMIF(搜索词报告!$A$2:$A$22222,总体数据一览!A458,搜索词报告!$J$2:$J$22222))</f>
        <v/>
      </c>
      <c r="D458" s="2" t="str">
        <f t="shared" si="21"/>
        <v/>
      </c>
      <c r="E458" t="str">
        <f t="shared" si="22"/>
        <v/>
      </c>
      <c r="F458" t="str">
        <f>IF(SUMIF(搜索词报告!$A$2:$A$22222,总体数据一览!A458,搜索词报告!$M$2:$M$22222)=0,"",SUMIF(搜索词报告!$A$2:$A$22222,总体数据一览!A458,搜索词报告!$M$2:$M$22222))</f>
        <v/>
      </c>
      <c r="G458" t="str">
        <f>IFERROR(IF(B458="","",SUMIF(搜索词报告!$A$2:$A$22222,总体数据一览!A458,搜索词报告!$V$2:$V$22222))+IF(B458="","",SUMIF(搜索词报告!$A$2:$A$22222,总体数据一览!A458,搜索词报告!$W$2:$W$22222)),"")</f>
        <v/>
      </c>
      <c r="H458" s="2" t="str">
        <f t="shared" si="23"/>
        <v/>
      </c>
    </row>
    <row r="459" spans="2:8" x14ac:dyDescent="0.15">
      <c r="B459" t="str">
        <f>IF(SUMIF(搜索词报告!$A$2:$A$22222,总体数据一览!A459,搜索词报告!$I$2:$I$22222)=0,"",SUMIF(搜索词报告!$A$2:$A$22222,总体数据一览!A459,搜索词报告!$I$2:$I$22222))</f>
        <v/>
      </c>
      <c r="C459" t="str">
        <f>IF(SUMIF(搜索词报告!$A$2:$A$22222,总体数据一览!A459,搜索词报告!$J$2:$J$22222)=0,"",SUMIF(搜索词报告!$A$2:$A$22222,总体数据一览!A459,搜索词报告!$J$2:$J$22222))</f>
        <v/>
      </c>
      <c r="D459" s="2" t="str">
        <f t="shared" si="21"/>
        <v/>
      </c>
      <c r="E459" t="str">
        <f t="shared" si="22"/>
        <v/>
      </c>
      <c r="F459" t="str">
        <f>IF(SUMIF(搜索词报告!$A$2:$A$22222,总体数据一览!A459,搜索词报告!$M$2:$M$22222)=0,"",SUMIF(搜索词报告!$A$2:$A$22222,总体数据一览!A459,搜索词报告!$M$2:$M$22222))</f>
        <v/>
      </c>
      <c r="G459" t="str">
        <f>IFERROR(IF(B459="","",SUMIF(搜索词报告!$A$2:$A$22222,总体数据一览!A459,搜索词报告!$V$2:$V$22222))+IF(B459="","",SUMIF(搜索词报告!$A$2:$A$22222,总体数据一览!A459,搜索词报告!$W$2:$W$22222)),"")</f>
        <v/>
      </c>
      <c r="H459" s="2" t="str">
        <f t="shared" si="23"/>
        <v/>
      </c>
    </row>
    <row r="460" spans="2:8" x14ac:dyDescent="0.15">
      <c r="B460" t="str">
        <f>IF(SUMIF(搜索词报告!$A$2:$A$22222,总体数据一览!A460,搜索词报告!$I$2:$I$22222)=0,"",SUMIF(搜索词报告!$A$2:$A$22222,总体数据一览!A460,搜索词报告!$I$2:$I$22222))</f>
        <v/>
      </c>
      <c r="C460" t="str">
        <f>IF(SUMIF(搜索词报告!$A$2:$A$22222,总体数据一览!A460,搜索词报告!$J$2:$J$22222)=0,"",SUMIF(搜索词报告!$A$2:$A$22222,总体数据一览!A460,搜索词报告!$J$2:$J$22222))</f>
        <v/>
      </c>
      <c r="D460" s="2" t="str">
        <f t="shared" si="21"/>
        <v/>
      </c>
      <c r="E460" t="str">
        <f t="shared" si="22"/>
        <v/>
      </c>
      <c r="F460" t="str">
        <f>IF(SUMIF(搜索词报告!$A$2:$A$22222,总体数据一览!A460,搜索词报告!$M$2:$M$22222)=0,"",SUMIF(搜索词报告!$A$2:$A$22222,总体数据一览!A460,搜索词报告!$M$2:$M$22222))</f>
        <v/>
      </c>
      <c r="G460" t="str">
        <f>IFERROR(IF(B460="","",SUMIF(搜索词报告!$A$2:$A$22222,总体数据一览!A460,搜索词报告!$V$2:$V$22222))+IF(B460="","",SUMIF(搜索词报告!$A$2:$A$22222,总体数据一览!A460,搜索词报告!$W$2:$W$22222)),"")</f>
        <v/>
      </c>
      <c r="H460" s="2" t="str">
        <f t="shared" si="23"/>
        <v/>
      </c>
    </row>
    <row r="461" spans="2:8" x14ac:dyDescent="0.15">
      <c r="B461" t="str">
        <f>IF(SUMIF(搜索词报告!$A$2:$A$22222,总体数据一览!A461,搜索词报告!$I$2:$I$22222)=0,"",SUMIF(搜索词报告!$A$2:$A$22222,总体数据一览!A461,搜索词报告!$I$2:$I$22222))</f>
        <v/>
      </c>
      <c r="C461" t="str">
        <f>IF(SUMIF(搜索词报告!$A$2:$A$22222,总体数据一览!A461,搜索词报告!$J$2:$J$22222)=0,"",SUMIF(搜索词报告!$A$2:$A$22222,总体数据一览!A461,搜索词报告!$J$2:$J$22222))</f>
        <v/>
      </c>
      <c r="D461" s="2" t="str">
        <f t="shared" si="21"/>
        <v/>
      </c>
      <c r="E461" t="str">
        <f t="shared" si="22"/>
        <v/>
      </c>
      <c r="F461" t="str">
        <f>IF(SUMIF(搜索词报告!$A$2:$A$22222,总体数据一览!A461,搜索词报告!$M$2:$M$22222)=0,"",SUMIF(搜索词报告!$A$2:$A$22222,总体数据一览!A461,搜索词报告!$M$2:$M$22222))</f>
        <v/>
      </c>
      <c r="G461" t="str">
        <f>IFERROR(IF(B461="","",SUMIF(搜索词报告!$A$2:$A$22222,总体数据一览!A461,搜索词报告!$V$2:$V$22222))+IF(B461="","",SUMIF(搜索词报告!$A$2:$A$22222,总体数据一览!A461,搜索词报告!$W$2:$W$22222)),"")</f>
        <v/>
      </c>
      <c r="H461" s="2" t="str">
        <f t="shared" si="23"/>
        <v/>
      </c>
    </row>
    <row r="462" spans="2:8" x14ac:dyDescent="0.15">
      <c r="B462" t="str">
        <f>IF(SUMIF(搜索词报告!$A$2:$A$22222,总体数据一览!A462,搜索词报告!$I$2:$I$22222)=0,"",SUMIF(搜索词报告!$A$2:$A$22222,总体数据一览!A462,搜索词报告!$I$2:$I$22222))</f>
        <v/>
      </c>
      <c r="C462" t="str">
        <f>IF(SUMIF(搜索词报告!$A$2:$A$22222,总体数据一览!A462,搜索词报告!$J$2:$J$22222)=0,"",SUMIF(搜索词报告!$A$2:$A$22222,总体数据一览!A462,搜索词报告!$J$2:$J$22222))</f>
        <v/>
      </c>
      <c r="D462" s="2" t="str">
        <f t="shared" si="21"/>
        <v/>
      </c>
      <c r="E462" t="str">
        <f t="shared" si="22"/>
        <v/>
      </c>
      <c r="F462" t="str">
        <f>IF(SUMIF(搜索词报告!$A$2:$A$22222,总体数据一览!A462,搜索词报告!$M$2:$M$22222)=0,"",SUMIF(搜索词报告!$A$2:$A$22222,总体数据一览!A462,搜索词报告!$M$2:$M$22222))</f>
        <v/>
      </c>
      <c r="G462" t="str">
        <f>IFERROR(IF(B462="","",SUMIF(搜索词报告!$A$2:$A$22222,总体数据一览!A462,搜索词报告!$V$2:$V$22222))+IF(B462="","",SUMIF(搜索词报告!$A$2:$A$22222,总体数据一览!A462,搜索词报告!$W$2:$W$22222)),"")</f>
        <v/>
      </c>
      <c r="H462" s="2" t="str">
        <f t="shared" si="23"/>
        <v/>
      </c>
    </row>
    <row r="463" spans="2:8" x14ac:dyDescent="0.15">
      <c r="B463" t="str">
        <f>IF(SUMIF(搜索词报告!$A$2:$A$22222,总体数据一览!A463,搜索词报告!$I$2:$I$22222)=0,"",SUMIF(搜索词报告!$A$2:$A$22222,总体数据一览!A463,搜索词报告!$I$2:$I$22222))</f>
        <v/>
      </c>
      <c r="C463" t="str">
        <f>IF(SUMIF(搜索词报告!$A$2:$A$22222,总体数据一览!A463,搜索词报告!$J$2:$J$22222)=0,"",SUMIF(搜索词报告!$A$2:$A$22222,总体数据一览!A463,搜索词报告!$J$2:$J$22222))</f>
        <v/>
      </c>
      <c r="D463" s="2" t="str">
        <f t="shared" si="21"/>
        <v/>
      </c>
      <c r="E463" t="str">
        <f t="shared" si="22"/>
        <v/>
      </c>
      <c r="F463" t="str">
        <f>IF(SUMIF(搜索词报告!$A$2:$A$22222,总体数据一览!A463,搜索词报告!$M$2:$M$22222)=0,"",SUMIF(搜索词报告!$A$2:$A$22222,总体数据一览!A463,搜索词报告!$M$2:$M$22222))</f>
        <v/>
      </c>
      <c r="G463" t="str">
        <f>IFERROR(IF(B463="","",SUMIF(搜索词报告!$A$2:$A$22222,总体数据一览!A463,搜索词报告!$V$2:$V$22222))+IF(B463="","",SUMIF(搜索词报告!$A$2:$A$22222,总体数据一览!A463,搜索词报告!$W$2:$W$22222)),"")</f>
        <v/>
      </c>
      <c r="H463" s="2" t="str">
        <f t="shared" si="23"/>
        <v/>
      </c>
    </row>
    <row r="464" spans="2:8" x14ac:dyDescent="0.15">
      <c r="B464" t="str">
        <f>IF(SUMIF(搜索词报告!$A$2:$A$22222,总体数据一览!A464,搜索词报告!$I$2:$I$22222)=0,"",SUMIF(搜索词报告!$A$2:$A$22222,总体数据一览!A464,搜索词报告!$I$2:$I$22222))</f>
        <v/>
      </c>
      <c r="C464" t="str">
        <f>IF(SUMIF(搜索词报告!$A$2:$A$22222,总体数据一览!A464,搜索词报告!$J$2:$J$22222)=0,"",SUMIF(搜索词报告!$A$2:$A$22222,总体数据一览!A464,搜索词报告!$J$2:$J$22222))</f>
        <v/>
      </c>
      <c r="D464" s="2" t="str">
        <f t="shared" si="21"/>
        <v/>
      </c>
      <c r="E464" t="str">
        <f t="shared" si="22"/>
        <v/>
      </c>
      <c r="F464" t="str">
        <f>IF(SUMIF(搜索词报告!$A$2:$A$22222,总体数据一览!A464,搜索词报告!$M$2:$M$22222)=0,"",SUMIF(搜索词报告!$A$2:$A$22222,总体数据一览!A464,搜索词报告!$M$2:$M$22222))</f>
        <v/>
      </c>
      <c r="G464" t="str">
        <f>IFERROR(IF(B464="","",SUMIF(搜索词报告!$A$2:$A$22222,总体数据一览!A464,搜索词报告!$V$2:$V$22222))+IF(B464="","",SUMIF(搜索词报告!$A$2:$A$22222,总体数据一览!A464,搜索词报告!$W$2:$W$22222)),"")</f>
        <v/>
      </c>
      <c r="H464" s="2" t="str">
        <f t="shared" si="23"/>
        <v/>
      </c>
    </row>
    <row r="465" spans="2:8" x14ac:dyDescent="0.15">
      <c r="B465" t="str">
        <f>IF(SUMIF(搜索词报告!$A$2:$A$22222,总体数据一览!A465,搜索词报告!$I$2:$I$22222)=0,"",SUMIF(搜索词报告!$A$2:$A$22222,总体数据一览!A465,搜索词报告!$I$2:$I$22222))</f>
        <v/>
      </c>
      <c r="C465" t="str">
        <f>IF(SUMIF(搜索词报告!$A$2:$A$22222,总体数据一览!A465,搜索词报告!$J$2:$J$22222)=0,"",SUMIF(搜索词报告!$A$2:$A$22222,总体数据一览!A465,搜索词报告!$J$2:$J$22222))</f>
        <v/>
      </c>
      <c r="D465" s="2" t="str">
        <f t="shared" si="21"/>
        <v/>
      </c>
      <c r="E465" t="str">
        <f t="shared" si="22"/>
        <v/>
      </c>
      <c r="F465" t="str">
        <f>IF(SUMIF(搜索词报告!$A$2:$A$22222,总体数据一览!A465,搜索词报告!$M$2:$M$22222)=0,"",SUMIF(搜索词报告!$A$2:$A$22222,总体数据一览!A465,搜索词报告!$M$2:$M$22222))</f>
        <v/>
      </c>
      <c r="G465" t="str">
        <f>IFERROR(IF(B465="","",SUMIF(搜索词报告!$A$2:$A$22222,总体数据一览!A465,搜索词报告!$V$2:$V$22222))+IF(B465="","",SUMIF(搜索词报告!$A$2:$A$22222,总体数据一览!A465,搜索词报告!$W$2:$W$22222)),"")</f>
        <v/>
      </c>
      <c r="H465" s="2" t="str">
        <f t="shared" si="23"/>
        <v/>
      </c>
    </row>
    <row r="466" spans="2:8" x14ac:dyDescent="0.15">
      <c r="B466" t="str">
        <f>IF(SUMIF(搜索词报告!$A$2:$A$22222,总体数据一览!A466,搜索词报告!$I$2:$I$22222)=0,"",SUMIF(搜索词报告!$A$2:$A$22222,总体数据一览!A466,搜索词报告!$I$2:$I$22222))</f>
        <v/>
      </c>
      <c r="C466" t="str">
        <f>IF(SUMIF(搜索词报告!$A$2:$A$22222,总体数据一览!A466,搜索词报告!$J$2:$J$22222)=0,"",SUMIF(搜索词报告!$A$2:$A$22222,总体数据一览!A466,搜索词报告!$J$2:$J$22222))</f>
        <v/>
      </c>
      <c r="D466" s="2" t="str">
        <f t="shared" si="21"/>
        <v/>
      </c>
      <c r="E466" t="str">
        <f t="shared" si="22"/>
        <v/>
      </c>
      <c r="F466" t="str">
        <f>IF(SUMIF(搜索词报告!$A$2:$A$22222,总体数据一览!A466,搜索词报告!$M$2:$M$22222)=0,"",SUMIF(搜索词报告!$A$2:$A$22222,总体数据一览!A466,搜索词报告!$M$2:$M$22222))</f>
        <v/>
      </c>
      <c r="G466" t="str">
        <f>IFERROR(IF(B466="","",SUMIF(搜索词报告!$A$2:$A$22222,总体数据一览!A466,搜索词报告!$V$2:$V$22222))+IF(B466="","",SUMIF(搜索词报告!$A$2:$A$22222,总体数据一览!A466,搜索词报告!$W$2:$W$22222)),"")</f>
        <v/>
      </c>
      <c r="H466" s="2" t="str">
        <f t="shared" si="23"/>
        <v/>
      </c>
    </row>
    <row r="467" spans="2:8" x14ac:dyDescent="0.15">
      <c r="B467" t="str">
        <f>IF(SUMIF(搜索词报告!$A$2:$A$22222,总体数据一览!A467,搜索词报告!$I$2:$I$22222)=0,"",SUMIF(搜索词报告!$A$2:$A$22222,总体数据一览!A467,搜索词报告!$I$2:$I$22222))</f>
        <v/>
      </c>
      <c r="C467" t="str">
        <f>IF(SUMIF(搜索词报告!$A$2:$A$22222,总体数据一览!A467,搜索词报告!$J$2:$J$22222)=0,"",SUMIF(搜索词报告!$A$2:$A$22222,总体数据一览!A467,搜索词报告!$J$2:$J$22222))</f>
        <v/>
      </c>
      <c r="D467" s="2" t="str">
        <f t="shared" si="21"/>
        <v/>
      </c>
      <c r="E467" t="str">
        <f t="shared" si="22"/>
        <v/>
      </c>
      <c r="F467" t="str">
        <f>IF(SUMIF(搜索词报告!$A$2:$A$22222,总体数据一览!A467,搜索词报告!$M$2:$M$22222)=0,"",SUMIF(搜索词报告!$A$2:$A$22222,总体数据一览!A467,搜索词报告!$M$2:$M$22222))</f>
        <v/>
      </c>
      <c r="G467" t="str">
        <f>IFERROR(IF(B467="","",SUMIF(搜索词报告!$A$2:$A$22222,总体数据一览!A467,搜索词报告!$V$2:$V$22222))+IF(B467="","",SUMIF(搜索词报告!$A$2:$A$22222,总体数据一览!A467,搜索词报告!$W$2:$W$22222)),"")</f>
        <v/>
      </c>
      <c r="H467" s="2" t="str">
        <f t="shared" si="23"/>
        <v/>
      </c>
    </row>
    <row r="468" spans="2:8" x14ac:dyDescent="0.15">
      <c r="B468" t="str">
        <f>IF(SUMIF(搜索词报告!$A$2:$A$22222,总体数据一览!A468,搜索词报告!$I$2:$I$22222)=0,"",SUMIF(搜索词报告!$A$2:$A$22222,总体数据一览!A468,搜索词报告!$I$2:$I$22222))</f>
        <v/>
      </c>
      <c r="C468" t="str">
        <f>IF(SUMIF(搜索词报告!$A$2:$A$22222,总体数据一览!A468,搜索词报告!$J$2:$J$22222)=0,"",SUMIF(搜索词报告!$A$2:$A$22222,总体数据一览!A468,搜索词报告!$J$2:$J$22222))</f>
        <v/>
      </c>
      <c r="D468" s="2" t="str">
        <f t="shared" ref="D468:D531" si="24">IFERROR(ROUND(C468/B468,4),"")</f>
        <v/>
      </c>
      <c r="E468" t="str">
        <f t="shared" ref="E468:E531" si="25">IFERROR(ROUND(F468/C468,2),"")</f>
        <v/>
      </c>
      <c r="F468" t="str">
        <f>IF(SUMIF(搜索词报告!$A$2:$A$22222,总体数据一览!A468,搜索词报告!$M$2:$M$22222)=0,"",SUMIF(搜索词报告!$A$2:$A$22222,总体数据一览!A468,搜索词报告!$M$2:$M$22222))</f>
        <v/>
      </c>
      <c r="G468" t="str">
        <f>IFERROR(IF(B468="","",SUMIF(搜索词报告!$A$2:$A$22222,总体数据一览!A468,搜索词报告!$V$2:$V$22222))+IF(B468="","",SUMIF(搜索词报告!$A$2:$A$22222,总体数据一览!A468,搜索词报告!$W$2:$W$22222)),"")</f>
        <v/>
      </c>
      <c r="H468" s="2" t="str">
        <f t="shared" ref="H468:H531" si="26">IFERROR(ROUND(F468/G468,2),"")</f>
        <v/>
      </c>
    </row>
    <row r="469" spans="2:8" x14ac:dyDescent="0.15">
      <c r="B469" t="str">
        <f>IF(SUMIF(搜索词报告!$A$2:$A$22222,总体数据一览!A469,搜索词报告!$I$2:$I$22222)=0,"",SUMIF(搜索词报告!$A$2:$A$22222,总体数据一览!A469,搜索词报告!$I$2:$I$22222))</f>
        <v/>
      </c>
      <c r="C469" t="str">
        <f>IF(SUMIF(搜索词报告!$A$2:$A$22222,总体数据一览!A469,搜索词报告!$J$2:$J$22222)=0,"",SUMIF(搜索词报告!$A$2:$A$22222,总体数据一览!A469,搜索词报告!$J$2:$J$22222))</f>
        <v/>
      </c>
      <c r="D469" s="2" t="str">
        <f t="shared" si="24"/>
        <v/>
      </c>
      <c r="E469" t="str">
        <f t="shared" si="25"/>
        <v/>
      </c>
      <c r="F469" t="str">
        <f>IF(SUMIF(搜索词报告!$A$2:$A$22222,总体数据一览!A469,搜索词报告!$M$2:$M$22222)=0,"",SUMIF(搜索词报告!$A$2:$A$22222,总体数据一览!A469,搜索词报告!$M$2:$M$22222))</f>
        <v/>
      </c>
      <c r="G469" t="str">
        <f>IFERROR(IF(B469="","",SUMIF(搜索词报告!$A$2:$A$22222,总体数据一览!A469,搜索词报告!$V$2:$V$22222))+IF(B469="","",SUMIF(搜索词报告!$A$2:$A$22222,总体数据一览!A469,搜索词报告!$W$2:$W$22222)),"")</f>
        <v/>
      </c>
      <c r="H469" s="2" t="str">
        <f t="shared" si="26"/>
        <v/>
      </c>
    </row>
    <row r="470" spans="2:8" x14ac:dyDescent="0.15">
      <c r="B470" t="str">
        <f>IF(SUMIF(搜索词报告!$A$2:$A$22222,总体数据一览!A470,搜索词报告!$I$2:$I$22222)=0,"",SUMIF(搜索词报告!$A$2:$A$22222,总体数据一览!A470,搜索词报告!$I$2:$I$22222))</f>
        <v/>
      </c>
      <c r="C470" t="str">
        <f>IF(SUMIF(搜索词报告!$A$2:$A$22222,总体数据一览!A470,搜索词报告!$J$2:$J$22222)=0,"",SUMIF(搜索词报告!$A$2:$A$22222,总体数据一览!A470,搜索词报告!$J$2:$J$22222))</f>
        <v/>
      </c>
      <c r="D470" s="2" t="str">
        <f t="shared" si="24"/>
        <v/>
      </c>
      <c r="E470" t="str">
        <f t="shared" si="25"/>
        <v/>
      </c>
      <c r="F470" t="str">
        <f>IF(SUMIF(搜索词报告!$A$2:$A$22222,总体数据一览!A470,搜索词报告!$M$2:$M$22222)=0,"",SUMIF(搜索词报告!$A$2:$A$22222,总体数据一览!A470,搜索词报告!$M$2:$M$22222))</f>
        <v/>
      </c>
      <c r="G470" t="str">
        <f>IFERROR(IF(B470="","",SUMIF(搜索词报告!$A$2:$A$22222,总体数据一览!A470,搜索词报告!$V$2:$V$22222))+IF(B470="","",SUMIF(搜索词报告!$A$2:$A$22222,总体数据一览!A470,搜索词报告!$W$2:$W$22222)),"")</f>
        <v/>
      </c>
      <c r="H470" s="2" t="str">
        <f t="shared" si="26"/>
        <v/>
      </c>
    </row>
    <row r="471" spans="2:8" x14ac:dyDescent="0.15">
      <c r="B471" t="str">
        <f>IF(SUMIF(搜索词报告!$A$2:$A$22222,总体数据一览!A471,搜索词报告!$I$2:$I$22222)=0,"",SUMIF(搜索词报告!$A$2:$A$22222,总体数据一览!A471,搜索词报告!$I$2:$I$22222))</f>
        <v/>
      </c>
      <c r="C471" t="str">
        <f>IF(SUMIF(搜索词报告!$A$2:$A$22222,总体数据一览!A471,搜索词报告!$J$2:$J$22222)=0,"",SUMIF(搜索词报告!$A$2:$A$22222,总体数据一览!A471,搜索词报告!$J$2:$J$22222))</f>
        <v/>
      </c>
      <c r="D471" s="2" t="str">
        <f t="shared" si="24"/>
        <v/>
      </c>
      <c r="E471" t="str">
        <f t="shared" si="25"/>
        <v/>
      </c>
      <c r="F471" t="str">
        <f>IF(SUMIF(搜索词报告!$A$2:$A$22222,总体数据一览!A471,搜索词报告!$M$2:$M$22222)=0,"",SUMIF(搜索词报告!$A$2:$A$22222,总体数据一览!A471,搜索词报告!$M$2:$M$22222))</f>
        <v/>
      </c>
      <c r="G471" t="str">
        <f>IFERROR(IF(B471="","",SUMIF(搜索词报告!$A$2:$A$22222,总体数据一览!A471,搜索词报告!$V$2:$V$22222))+IF(B471="","",SUMIF(搜索词报告!$A$2:$A$22222,总体数据一览!A471,搜索词报告!$W$2:$W$22222)),"")</f>
        <v/>
      </c>
      <c r="H471" s="2" t="str">
        <f t="shared" si="26"/>
        <v/>
      </c>
    </row>
    <row r="472" spans="2:8" x14ac:dyDescent="0.15">
      <c r="B472" t="str">
        <f>IF(SUMIF(搜索词报告!$A$2:$A$22222,总体数据一览!A472,搜索词报告!$I$2:$I$22222)=0,"",SUMIF(搜索词报告!$A$2:$A$22222,总体数据一览!A472,搜索词报告!$I$2:$I$22222))</f>
        <v/>
      </c>
      <c r="C472" t="str">
        <f>IF(SUMIF(搜索词报告!$A$2:$A$22222,总体数据一览!A472,搜索词报告!$J$2:$J$22222)=0,"",SUMIF(搜索词报告!$A$2:$A$22222,总体数据一览!A472,搜索词报告!$J$2:$J$22222))</f>
        <v/>
      </c>
      <c r="D472" s="2" t="str">
        <f t="shared" si="24"/>
        <v/>
      </c>
      <c r="E472" t="str">
        <f t="shared" si="25"/>
        <v/>
      </c>
      <c r="F472" t="str">
        <f>IF(SUMIF(搜索词报告!$A$2:$A$22222,总体数据一览!A472,搜索词报告!$M$2:$M$22222)=0,"",SUMIF(搜索词报告!$A$2:$A$22222,总体数据一览!A472,搜索词报告!$M$2:$M$22222))</f>
        <v/>
      </c>
      <c r="G472" t="str">
        <f>IFERROR(IF(B472="","",SUMIF(搜索词报告!$A$2:$A$22222,总体数据一览!A472,搜索词报告!$V$2:$V$22222))+IF(B472="","",SUMIF(搜索词报告!$A$2:$A$22222,总体数据一览!A472,搜索词报告!$W$2:$W$22222)),"")</f>
        <v/>
      </c>
      <c r="H472" s="2" t="str">
        <f t="shared" si="26"/>
        <v/>
      </c>
    </row>
    <row r="473" spans="2:8" x14ac:dyDescent="0.15">
      <c r="B473" t="str">
        <f>IF(SUMIF(搜索词报告!$A$2:$A$22222,总体数据一览!A473,搜索词报告!$I$2:$I$22222)=0,"",SUMIF(搜索词报告!$A$2:$A$22222,总体数据一览!A473,搜索词报告!$I$2:$I$22222))</f>
        <v/>
      </c>
      <c r="C473" t="str">
        <f>IF(SUMIF(搜索词报告!$A$2:$A$22222,总体数据一览!A473,搜索词报告!$J$2:$J$22222)=0,"",SUMIF(搜索词报告!$A$2:$A$22222,总体数据一览!A473,搜索词报告!$J$2:$J$22222))</f>
        <v/>
      </c>
      <c r="D473" s="2" t="str">
        <f t="shared" si="24"/>
        <v/>
      </c>
      <c r="E473" t="str">
        <f t="shared" si="25"/>
        <v/>
      </c>
      <c r="F473" t="str">
        <f>IF(SUMIF(搜索词报告!$A$2:$A$22222,总体数据一览!A473,搜索词报告!$M$2:$M$22222)=0,"",SUMIF(搜索词报告!$A$2:$A$22222,总体数据一览!A473,搜索词报告!$M$2:$M$22222))</f>
        <v/>
      </c>
      <c r="G473" t="str">
        <f>IFERROR(IF(B473="","",SUMIF(搜索词报告!$A$2:$A$22222,总体数据一览!A473,搜索词报告!$V$2:$V$22222))+IF(B473="","",SUMIF(搜索词报告!$A$2:$A$22222,总体数据一览!A473,搜索词报告!$W$2:$W$22222)),"")</f>
        <v/>
      </c>
      <c r="H473" s="2" t="str">
        <f t="shared" si="26"/>
        <v/>
      </c>
    </row>
    <row r="474" spans="2:8" x14ac:dyDescent="0.15">
      <c r="B474" t="str">
        <f>IF(SUMIF(搜索词报告!$A$2:$A$22222,总体数据一览!A474,搜索词报告!$I$2:$I$22222)=0,"",SUMIF(搜索词报告!$A$2:$A$22222,总体数据一览!A474,搜索词报告!$I$2:$I$22222))</f>
        <v/>
      </c>
      <c r="C474" t="str">
        <f>IF(SUMIF(搜索词报告!$A$2:$A$22222,总体数据一览!A474,搜索词报告!$J$2:$J$22222)=0,"",SUMIF(搜索词报告!$A$2:$A$22222,总体数据一览!A474,搜索词报告!$J$2:$J$22222))</f>
        <v/>
      </c>
      <c r="D474" s="2" t="str">
        <f t="shared" si="24"/>
        <v/>
      </c>
      <c r="E474" t="str">
        <f t="shared" si="25"/>
        <v/>
      </c>
      <c r="F474" t="str">
        <f>IF(SUMIF(搜索词报告!$A$2:$A$22222,总体数据一览!A474,搜索词报告!$M$2:$M$22222)=0,"",SUMIF(搜索词报告!$A$2:$A$22222,总体数据一览!A474,搜索词报告!$M$2:$M$22222))</f>
        <v/>
      </c>
      <c r="G474" t="str">
        <f>IFERROR(IF(B474="","",SUMIF(搜索词报告!$A$2:$A$22222,总体数据一览!A474,搜索词报告!$V$2:$V$22222))+IF(B474="","",SUMIF(搜索词报告!$A$2:$A$22222,总体数据一览!A474,搜索词报告!$W$2:$W$22222)),"")</f>
        <v/>
      </c>
      <c r="H474" s="2" t="str">
        <f t="shared" si="26"/>
        <v/>
      </c>
    </row>
    <row r="475" spans="2:8" x14ac:dyDescent="0.15">
      <c r="B475" t="str">
        <f>IF(SUMIF(搜索词报告!$A$2:$A$22222,总体数据一览!A475,搜索词报告!$I$2:$I$22222)=0,"",SUMIF(搜索词报告!$A$2:$A$22222,总体数据一览!A475,搜索词报告!$I$2:$I$22222))</f>
        <v/>
      </c>
      <c r="C475" t="str">
        <f>IF(SUMIF(搜索词报告!$A$2:$A$22222,总体数据一览!A475,搜索词报告!$J$2:$J$22222)=0,"",SUMIF(搜索词报告!$A$2:$A$22222,总体数据一览!A475,搜索词报告!$J$2:$J$22222))</f>
        <v/>
      </c>
      <c r="D475" s="2" t="str">
        <f t="shared" si="24"/>
        <v/>
      </c>
      <c r="E475" t="str">
        <f t="shared" si="25"/>
        <v/>
      </c>
      <c r="F475" t="str">
        <f>IF(SUMIF(搜索词报告!$A$2:$A$22222,总体数据一览!A475,搜索词报告!$M$2:$M$22222)=0,"",SUMIF(搜索词报告!$A$2:$A$22222,总体数据一览!A475,搜索词报告!$M$2:$M$22222))</f>
        <v/>
      </c>
      <c r="G475" t="str">
        <f>IFERROR(IF(B475="","",SUMIF(搜索词报告!$A$2:$A$22222,总体数据一览!A475,搜索词报告!$V$2:$V$22222))+IF(B475="","",SUMIF(搜索词报告!$A$2:$A$22222,总体数据一览!A475,搜索词报告!$W$2:$W$22222)),"")</f>
        <v/>
      </c>
      <c r="H475" s="2" t="str">
        <f t="shared" si="26"/>
        <v/>
      </c>
    </row>
    <row r="476" spans="2:8" x14ac:dyDescent="0.15">
      <c r="B476" t="str">
        <f>IF(SUMIF(搜索词报告!$A$2:$A$22222,总体数据一览!A476,搜索词报告!$I$2:$I$22222)=0,"",SUMIF(搜索词报告!$A$2:$A$22222,总体数据一览!A476,搜索词报告!$I$2:$I$22222))</f>
        <v/>
      </c>
      <c r="C476" t="str">
        <f>IF(SUMIF(搜索词报告!$A$2:$A$22222,总体数据一览!A476,搜索词报告!$J$2:$J$22222)=0,"",SUMIF(搜索词报告!$A$2:$A$22222,总体数据一览!A476,搜索词报告!$J$2:$J$22222))</f>
        <v/>
      </c>
      <c r="D476" s="2" t="str">
        <f t="shared" si="24"/>
        <v/>
      </c>
      <c r="E476" t="str">
        <f t="shared" si="25"/>
        <v/>
      </c>
      <c r="F476" t="str">
        <f>IF(SUMIF(搜索词报告!$A$2:$A$22222,总体数据一览!A476,搜索词报告!$M$2:$M$22222)=0,"",SUMIF(搜索词报告!$A$2:$A$22222,总体数据一览!A476,搜索词报告!$M$2:$M$22222))</f>
        <v/>
      </c>
      <c r="G476" t="str">
        <f>IFERROR(IF(B476="","",SUMIF(搜索词报告!$A$2:$A$22222,总体数据一览!A476,搜索词报告!$V$2:$V$22222))+IF(B476="","",SUMIF(搜索词报告!$A$2:$A$22222,总体数据一览!A476,搜索词报告!$W$2:$W$22222)),"")</f>
        <v/>
      </c>
      <c r="H476" s="2" t="str">
        <f t="shared" si="26"/>
        <v/>
      </c>
    </row>
    <row r="477" spans="2:8" x14ac:dyDescent="0.15">
      <c r="B477" t="str">
        <f>IF(SUMIF(搜索词报告!$A$2:$A$22222,总体数据一览!A477,搜索词报告!$I$2:$I$22222)=0,"",SUMIF(搜索词报告!$A$2:$A$22222,总体数据一览!A477,搜索词报告!$I$2:$I$22222))</f>
        <v/>
      </c>
      <c r="C477" t="str">
        <f>IF(SUMIF(搜索词报告!$A$2:$A$22222,总体数据一览!A477,搜索词报告!$J$2:$J$22222)=0,"",SUMIF(搜索词报告!$A$2:$A$22222,总体数据一览!A477,搜索词报告!$J$2:$J$22222))</f>
        <v/>
      </c>
      <c r="D477" s="2" t="str">
        <f t="shared" si="24"/>
        <v/>
      </c>
      <c r="E477" t="str">
        <f t="shared" si="25"/>
        <v/>
      </c>
      <c r="F477" t="str">
        <f>IF(SUMIF(搜索词报告!$A$2:$A$22222,总体数据一览!A477,搜索词报告!$M$2:$M$22222)=0,"",SUMIF(搜索词报告!$A$2:$A$22222,总体数据一览!A477,搜索词报告!$M$2:$M$22222))</f>
        <v/>
      </c>
      <c r="G477" t="str">
        <f>IFERROR(IF(B477="","",SUMIF(搜索词报告!$A$2:$A$22222,总体数据一览!A477,搜索词报告!$V$2:$V$22222))+IF(B477="","",SUMIF(搜索词报告!$A$2:$A$22222,总体数据一览!A477,搜索词报告!$W$2:$W$22222)),"")</f>
        <v/>
      </c>
      <c r="H477" s="2" t="str">
        <f t="shared" si="26"/>
        <v/>
      </c>
    </row>
    <row r="478" spans="2:8" x14ac:dyDescent="0.15">
      <c r="B478" t="str">
        <f>IF(SUMIF(搜索词报告!$A$2:$A$22222,总体数据一览!A478,搜索词报告!$I$2:$I$22222)=0,"",SUMIF(搜索词报告!$A$2:$A$22222,总体数据一览!A478,搜索词报告!$I$2:$I$22222))</f>
        <v/>
      </c>
      <c r="C478" t="str">
        <f>IF(SUMIF(搜索词报告!$A$2:$A$22222,总体数据一览!A478,搜索词报告!$J$2:$J$22222)=0,"",SUMIF(搜索词报告!$A$2:$A$22222,总体数据一览!A478,搜索词报告!$J$2:$J$22222))</f>
        <v/>
      </c>
      <c r="D478" s="2" t="str">
        <f t="shared" si="24"/>
        <v/>
      </c>
      <c r="E478" t="str">
        <f t="shared" si="25"/>
        <v/>
      </c>
      <c r="F478" t="str">
        <f>IF(SUMIF(搜索词报告!$A$2:$A$22222,总体数据一览!A478,搜索词报告!$M$2:$M$22222)=0,"",SUMIF(搜索词报告!$A$2:$A$22222,总体数据一览!A478,搜索词报告!$M$2:$M$22222))</f>
        <v/>
      </c>
      <c r="G478" t="str">
        <f>IFERROR(IF(B478="","",SUMIF(搜索词报告!$A$2:$A$22222,总体数据一览!A478,搜索词报告!$V$2:$V$22222))+IF(B478="","",SUMIF(搜索词报告!$A$2:$A$22222,总体数据一览!A478,搜索词报告!$W$2:$W$22222)),"")</f>
        <v/>
      </c>
      <c r="H478" s="2" t="str">
        <f t="shared" si="26"/>
        <v/>
      </c>
    </row>
    <row r="479" spans="2:8" x14ac:dyDescent="0.15">
      <c r="B479" t="str">
        <f>IF(SUMIF(搜索词报告!$A$2:$A$22222,总体数据一览!A479,搜索词报告!$I$2:$I$22222)=0,"",SUMIF(搜索词报告!$A$2:$A$22222,总体数据一览!A479,搜索词报告!$I$2:$I$22222))</f>
        <v/>
      </c>
      <c r="C479" t="str">
        <f>IF(SUMIF(搜索词报告!$A$2:$A$22222,总体数据一览!A479,搜索词报告!$J$2:$J$22222)=0,"",SUMIF(搜索词报告!$A$2:$A$22222,总体数据一览!A479,搜索词报告!$J$2:$J$22222))</f>
        <v/>
      </c>
      <c r="D479" s="2" t="str">
        <f t="shared" si="24"/>
        <v/>
      </c>
      <c r="E479" t="str">
        <f t="shared" si="25"/>
        <v/>
      </c>
      <c r="F479" t="str">
        <f>IF(SUMIF(搜索词报告!$A$2:$A$22222,总体数据一览!A479,搜索词报告!$M$2:$M$22222)=0,"",SUMIF(搜索词报告!$A$2:$A$22222,总体数据一览!A479,搜索词报告!$M$2:$M$22222))</f>
        <v/>
      </c>
      <c r="G479" t="str">
        <f>IFERROR(IF(B479="","",SUMIF(搜索词报告!$A$2:$A$22222,总体数据一览!A479,搜索词报告!$V$2:$V$22222))+IF(B479="","",SUMIF(搜索词报告!$A$2:$A$22222,总体数据一览!A479,搜索词报告!$W$2:$W$22222)),"")</f>
        <v/>
      </c>
      <c r="H479" s="2" t="str">
        <f t="shared" si="26"/>
        <v/>
      </c>
    </row>
    <row r="480" spans="2:8" x14ac:dyDescent="0.15">
      <c r="B480" t="str">
        <f>IF(SUMIF(搜索词报告!$A$2:$A$22222,总体数据一览!A480,搜索词报告!$I$2:$I$22222)=0,"",SUMIF(搜索词报告!$A$2:$A$22222,总体数据一览!A480,搜索词报告!$I$2:$I$22222))</f>
        <v/>
      </c>
      <c r="C480" t="str">
        <f>IF(SUMIF(搜索词报告!$A$2:$A$22222,总体数据一览!A480,搜索词报告!$J$2:$J$22222)=0,"",SUMIF(搜索词报告!$A$2:$A$22222,总体数据一览!A480,搜索词报告!$J$2:$J$22222))</f>
        <v/>
      </c>
      <c r="D480" s="2" t="str">
        <f t="shared" si="24"/>
        <v/>
      </c>
      <c r="E480" t="str">
        <f t="shared" si="25"/>
        <v/>
      </c>
      <c r="F480" t="str">
        <f>IF(SUMIF(搜索词报告!$A$2:$A$22222,总体数据一览!A480,搜索词报告!$M$2:$M$22222)=0,"",SUMIF(搜索词报告!$A$2:$A$22222,总体数据一览!A480,搜索词报告!$M$2:$M$22222))</f>
        <v/>
      </c>
      <c r="G480" t="str">
        <f>IFERROR(IF(B480="","",SUMIF(搜索词报告!$A$2:$A$22222,总体数据一览!A480,搜索词报告!$V$2:$V$22222))+IF(B480="","",SUMIF(搜索词报告!$A$2:$A$22222,总体数据一览!A480,搜索词报告!$W$2:$W$22222)),"")</f>
        <v/>
      </c>
      <c r="H480" s="2" t="str">
        <f t="shared" si="26"/>
        <v/>
      </c>
    </row>
    <row r="481" spans="2:8" x14ac:dyDescent="0.15">
      <c r="B481" t="str">
        <f>IF(SUMIF(搜索词报告!$A$2:$A$22222,总体数据一览!A481,搜索词报告!$I$2:$I$22222)=0,"",SUMIF(搜索词报告!$A$2:$A$22222,总体数据一览!A481,搜索词报告!$I$2:$I$22222))</f>
        <v/>
      </c>
      <c r="C481" t="str">
        <f>IF(SUMIF(搜索词报告!$A$2:$A$22222,总体数据一览!A481,搜索词报告!$J$2:$J$22222)=0,"",SUMIF(搜索词报告!$A$2:$A$22222,总体数据一览!A481,搜索词报告!$J$2:$J$22222))</f>
        <v/>
      </c>
      <c r="D481" s="2" t="str">
        <f t="shared" si="24"/>
        <v/>
      </c>
      <c r="E481" t="str">
        <f t="shared" si="25"/>
        <v/>
      </c>
      <c r="F481" t="str">
        <f>IF(SUMIF(搜索词报告!$A$2:$A$22222,总体数据一览!A481,搜索词报告!$M$2:$M$22222)=0,"",SUMIF(搜索词报告!$A$2:$A$22222,总体数据一览!A481,搜索词报告!$M$2:$M$22222))</f>
        <v/>
      </c>
      <c r="G481" t="str">
        <f>IFERROR(IF(B481="","",SUMIF(搜索词报告!$A$2:$A$22222,总体数据一览!A481,搜索词报告!$V$2:$V$22222))+IF(B481="","",SUMIF(搜索词报告!$A$2:$A$22222,总体数据一览!A481,搜索词报告!$W$2:$W$22222)),"")</f>
        <v/>
      </c>
      <c r="H481" s="2" t="str">
        <f t="shared" si="26"/>
        <v/>
      </c>
    </row>
    <row r="482" spans="2:8" x14ac:dyDescent="0.15">
      <c r="B482" t="str">
        <f>IF(SUMIF(搜索词报告!$A$2:$A$22222,总体数据一览!A482,搜索词报告!$I$2:$I$22222)=0,"",SUMIF(搜索词报告!$A$2:$A$22222,总体数据一览!A482,搜索词报告!$I$2:$I$22222))</f>
        <v/>
      </c>
      <c r="C482" t="str">
        <f>IF(SUMIF(搜索词报告!$A$2:$A$22222,总体数据一览!A482,搜索词报告!$J$2:$J$22222)=0,"",SUMIF(搜索词报告!$A$2:$A$22222,总体数据一览!A482,搜索词报告!$J$2:$J$22222))</f>
        <v/>
      </c>
      <c r="D482" s="2" t="str">
        <f t="shared" si="24"/>
        <v/>
      </c>
      <c r="E482" t="str">
        <f t="shared" si="25"/>
        <v/>
      </c>
      <c r="F482" t="str">
        <f>IF(SUMIF(搜索词报告!$A$2:$A$22222,总体数据一览!A482,搜索词报告!$M$2:$M$22222)=0,"",SUMIF(搜索词报告!$A$2:$A$22222,总体数据一览!A482,搜索词报告!$M$2:$M$22222))</f>
        <v/>
      </c>
      <c r="G482" t="str">
        <f>IFERROR(IF(B482="","",SUMIF(搜索词报告!$A$2:$A$22222,总体数据一览!A482,搜索词报告!$V$2:$V$22222))+IF(B482="","",SUMIF(搜索词报告!$A$2:$A$22222,总体数据一览!A482,搜索词报告!$W$2:$W$22222)),"")</f>
        <v/>
      </c>
      <c r="H482" s="2" t="str">
        <f t="shared" si="26"/>
        <v/>
      </c>
    </row>
    <row r="483" spans="2:8" x14ac:dyDescent="0.15">
      <c r="B483" t="str">
        <f>IF(SUMIF(搜索词报告!$A$2:$A$22222,总体数据一览!A483,搜索词报告!$I$2:$I$22222)=0,"",SUMIF(搜索词报告!$A$2:$A$22222,总体数据一览!A483,搜索词报告!$I$2:$I$22222))</f>
        <v/>
      </c>
      <c r="C483" t="str">
        <f>IF(SUMIF(搜索词报告!$A$2:$A$22222,总体数据一览!A483,搜索词报告!$J$2:$J$22222)=0,"",SUMIF(搜索词报告!$A$2:$A$22222,总体数据一览!A483,搜索词报告!$J$2:$J$22222))</f>
        <v/>
      </c>
      <c r="D483" s="2" t="str">
        <f t="shared" si="24"/>
        <v/>
      </c>
      <c r="E483" t="str">
        <f t="shared" si="25"/>
        <v/>
      </c>
      <c r="F483" t="str">
        <f>IF(SUMIF(搜索词报告!$A$2:$A$22222,总体数据一览!A483,搜索词报告!$M$2:$M$22222)=0,"",SUMIF(搜索词报告!$A$2:$A$22222,总体数据一览!A483,搜索词报告!$M$2:$M$22222))</f>
        <v/>
      </c>
      <c r="G483" t="str">
        <f>IFERROR(IF(B483="","",SUMIF(搜索词报告!$A$2:$A$22222,总体数据一览!A483,搜索词报告!$V$2:$V$22222))+IF(B483="","",SUMIF(搜索词报告!$A$2:$A$22222,总体数据一览!A483,搜索词报告!$W$2:$W$22222)),"")</f>
        <v/>
      </c>
      <c r="H483" s="2" t="str">
        <f t="shared" si="26"/>
        <v/>
      </c>
    </row>
    <row r="484" spans="2:8" x14ac:dyDescent="0.15">
      <c r="B484" t="str">
        <f>IF(SUMIF(搜索词报告!$A$2:$A$22222,总体数据一览!A484,搜索词报告!$I$2:$I$22222)=0,"",SUMIF(搜索词报告!$A$2:$A$22222,总体数据一览!A484,搜索词报告!$I$2:$I$22222))</f>
        <v/>
      </c>
      <c r="C484" t="str">
        <f>IF(SUMIF(搜索词报告!$A$2:$A$22222,总体数据一览!A484,搜索词报告!$J$2:$J$22222)=0,"",SUMIF(搜索词报告!$A$2:$A$22222,总体数据一览!A484,搜索词报告!$J$2:$J$22222))</f>
        <v/>
      </c>
      <c r="D484" s="2" t="str">
        <f t="shared" si="24"/>
        <v/>
      </c>
      <c r="E484" t="str">
        <f t="shared" si="25"/>
        <v/>
      </c>
      <c r="F484" t="str">
        <f>IF(SUMIF(搜索词报告!$A$2:$A$22222,总体数据一览!A484,搜索词报告!$M$2:$M$22222)=0,"",SUMIF(搜索词报告!$A$2:$A$22222,总体数据一览!A484,搜索词报告!$M$2:$M$22222))</f>
        <v/>
      </c>
      <c r="G484" t="str">
        <f>IFERROR(IF(B484="","",SUMIF(搜索词报告!$A$2:$A$22222,总体数据一览!A484,搜索词报告!$V$2:$V$22222))+IF(B484="","",SUMIF(搜索词报告!$A$2:$A$22222,总体数据一览!A484,搜索词报告!$W$2:$W$22222)),"")</f>
        <v/>
      </c>
      <c r="H484" s="2" t="str">
        <f t="shared" si="26"/>
        <v/>
      </c>
    </row>
    <row r="485" spans="2:8" x14ac:dyDescent="0.15">
      <c r="B485" t="str">
        <f>IF(SUMIF(搜索词报告!$A$2:$A$22222,总体数据一览!A485,搜索词报告!$I$2:$I$22222)=0,"",SUMIF(搜索词报告!$A$2:$A$22222,总体数据一览!A485,搜索词报告!$I$2:$I$22222))</f>
        <v/>
      </c>
      <c r="C485" t="str">
        <f>IF(SUMIF(搜索词报告!$A$2:$A$22222,总体数据一览!A485,搜索词报告!$J$2:$J$22222)=0,"",SUMIF(搜索词报告!$A$2:$A$22222,总体数据一览!A485,搜索词报告!$J$2:$J$22222))</f>
        <v/>
      </c>
      <c r="D485" s="2" t="str">
        <f t="shared" si="24"/>
        <v/>
      </c>
      <c r="E485" t="str">
        <f t="shared" si="25"/>
        <v/>
      </c>
      <c r="F485" t="str">
        <f>IF(SUMIF(搜索词报告!$A$2:$A$22222,总体数据一览!A485,搜索词报告!$M$2:$M$22222)=0,"",SUMIF(搜索词报告!$A$2:$A$22222,总体数据一览!A485,搜索词报告!$M$2:$M$22222))</f>
        <v/>
      </c>
      <c r="G485" t="str">
        <f>IFERROR(IF(B485="","",SUMIF(搜索词报告!$A$2:$A$22222,总体数据一览!A485,搜索词报告!$V$2:$V$22222))+IF(B485="","",SUMIF(搜索词报告!$A$2:$A$22222,总体数据一览!A485,搜索词报告!$W$2:$W$22222)),"")</f>
        <v/>
      </c>
      <c r="H485" s="2" t="str">
        <f t="shared" si="26"/>
        <v/>
      </c>
    </row>
    <row r="486" spans="2:8" x14ac:dyDescent="0.15">
      <c r="B486" t="str">
        <f>IF(SUMIF(搜索词报告!$A$2:$A$22222,总体数据一览!A486,搜索词报告!$I$2:$I$22222)=0,"",SUMIF(搜索词报告!$A$2:$A$22222,总体数据一览!A486,搜索词报告!$I$2:$I$22222))</f>
        <v/>
      </c>
      <c r="C486" t="str">
        <f>IF(SUMIF(搜索词报告!$A$2:$A$22222,总体数据一览!A486,搜索词报告!$J$2:$J$22222)=0,"",SUMIF(搜索词报告!$A$2:$A$22222,总体数据一览!A486,搜索词报告!$J$2:$J$22222))</f>
        <v/>
      </c>
      <c r="D486" s="2" t="str">
        <f t="shared" si="24"/>
        <v/>
      </c>
      <c r="E486" t="str">
        <f t="shared" si="25"/>
        <v/>
      </c>
      <c r="F486" t="str">
        <f>IF(SUMIF(搜索词报告!$A$2:$A$22222,总体数据一览!A486,搜索词报告!$M$2:$M$22222)=0,"",SUMIF(搜索词报告!$A$2:$A$22222,总体数据一览!A486,搜索词报告!$M$2:$M$22222))</f>
        <v/>
      </c>
      <c r="G486" t="str">
        <f>IFERROR(IF(B486="","",SUMIF(搜索词报告!$A$2:$A$22222,总体数据一览!A486,搜索词报告!$V$2:$V$22222))+IF(B486="","",SUMIF(搜索词报告!$A$2:$A$22222,总体数据一览!A486,搜索词报告!$W$2:$W$22222)),"")</f>
        <v/>
      </c>
      <c r="H486" s="2" t="str">
        <f t="shared" si="26"/>
        <v/>
      </c>
    </row>
    <row r="487" spans="2:8" x14ac:dyDescent="0.15">
      <c r="B487" t="str">
        <f>IF(SUMIF(搜索词报告!$A$2:$A$22222,总体数据一览!A487,搜索词报告!$I$2:$I$22222)=0,"",SUMIF(搜索词报告!$A$2:$A$22222,总体数据一览!A487,搜索词报告!$I$2:$I$22222))</f>
        <v/>
      </c>
      <c r="C487" t="str">
        <f>IF(SUMIF(搜索词报告!$A$2:$A$22222,总体数据一览!A487,搜索词报告!$J$2:$J$22222)=0,"",SUMIF(搜索词报告!$A$2:$A$22222,总体数据一览!A487,搜索词报告!$J$2:$J$22222))</f>
        <v/>
      </c>
      <c r="D487" s="2" t="str">
        <f t="shared" si="24"/>
        <v/>
      </c>
      <c r="E487" t="str">
        <f t="shared" si="25"/>
        <v/>
      </c>
      <c r="F487" t="str">
        <f>IF(SUMIF(搜索词报告!$A$2:$A$22222,总体数据一览!A487,搜索词报告!$M$2:$M$22222)=0,"",SUMIF(搜索词报告!$A$2:$A$22222,总体数据一览!A487,搜索词报告!$M$2:$M$22222))</f>
        <v/>
      </c>
      <c r="G487" t="str">
        <f>IFERROR(IF(B487="","",SUMIF(搜索词报告!$A$2:$A$22222,总体数据一览!A487,搜索词报告!$V$2:$V$22222))+IF(B487="","",SUMIF(搜索词报告!$A$2:$A$22222,总体数据一览!A487,搜索词报告!$W$2:$W$22222)),"")</f>
        <v/>
      </c>
      <c r="H487" s="2" t="str">
        <f t="shared" si="26"/>
        <v/>
      </c>
    </row>
    <row r="488" spans="2:8" x14ac:dyDescent="0.15">
      <c r="B488" t="str">
        <f>IF(SUMIF(搜索词报告!$A$2:$A$22222,总体数据一览!A488,搜索词报告!$I$2:$I$22222)=0,"",SUMIF(搜索词报告!$A$2:$A$22222,总体数据一览!A488,搜索词报告!$I$2:$I$22222))</f>
        <v/>
      </c>
      <c r="C488" t="str">
        <f>IF(SUMIF(搜索词报告!$A$2:$A$22222,总体数据一览!A488,搜索词报告!$J$2:$J$22222)=0,"",SUMIF(搜索词报告!$A$2:$A$22222,总体数据一览!A488,搜索词报告!$J$2:$J$22222))</f>
        <v/>
      </c>
      <c r="D488" s="2" t="str">
        <f t="shared" si="24"/>
        <v/>
      </c>
      <c r="E488" t="str">
        <f t="shared" si="25"/>
        <v/>
      </c>
      <c r="F488" t="str">
        <f>IF(SUMIF(搜索词报告!$A$2:$A$22222,总体数据一览!A488,搜索词报告!$M$2:$M$22222)=0,"",SUMIF(搜索词报告!$A$2:$A$22222,总体数据一览!A488,搜索词报告!$M$2:$M$22222))</f>
        <v/>
      </c>
      <c r="G488" t="str">
        <f>IFERROR(IF(B488="","",SUMIF(搜索词报告!$A$2:$A$22222,总体数据一览!A488,搜索词报告!$V$2:$V$22222))+IF(B488="","",SUMIF(搜索词报告!$A$2:$A$22222,总体数据一览!A488,搜索词报告!$W$2:$W$22222)),"")</f>
        <v/>
      </c>
      <c r="H488" s="2" t="str">
        <f t="shared" si="26"/>
        <v/>
      </c>
    </row>
    <row r="489" spans="2:8" x14ac:dyDescent="0.15">
      <c r="B489" t="str">
        <f>IF(SUMIF(搜索词报告!$A$2:$A$22222,总体数据一览!A489,搜索词报告!$I$2:$I$22222)=0,"",SUMIF(搜索词报告!$A$2:$A$22222,总体数据一览!A489,搜索词报告!$I$2:$I$22222))</f>
        <v/>
      </c>
      <c r="C489" t="str">
        <f>IF(SUMIF(搜索词报告!$A$2:$A$22222,总体数据一览!A489,搜索词报告!$J$2:$J$22222)=0,"",SUMIF(搜索词报告!$A$2:$A$22222,总体数据一览!A489,搜索词报告!$J$2:$J$22222))</f>
        <v/>
      </c>
      <c r="D489" s="2" t="str">
        <f t="shared" si="24"/>
        <v/>
      </c>
      <c r="E489" t="str">
        <f t="shared" si="25"/>
        <v/>
      </c>
      <c r="F489" t="str">
        <f>IF(SUMIF(搜索词报告!$A$2:$A$22222,总体数据一览!A489,搜索词报告!$M$2:$M$22222)=0,"",SUMIF(搜索词报告!$A$2:$A$22222,总体数据一览!A489,搜索词报告!$M$2:$M$22222))</f>
        <v/>
      </c>
      <c r="G489" t="str">
        <f>IFERROR(IF(B489="","",SUMIF(搜索词报告!$A$2:$A$22222,总体数据一览!A489,搜索词报告!$V$2:$V$22222))+IF(B489="","",SUMIF(搜索词报告!$A$2:$A$22222,总体数据一览!A489,搜索词报告!$W$2:$W$22222)),"")</f>
        <v/>
      </c>
      <c r="H489" s="2" t="str">
        <f t="shared" si="26"/>
        <v/>
      </c>
    </row>
    <row r="490" spans="2:8" x14ac:dyDescent="0.15">
      <c r="B490" t="str">
        <f>IF(SUMIF(搜索词报告!$A$2:$A$22222,总体数据一览!A490,搜索词报告!$I$2:$I$22222)=0,"",SUMIF(搜索词报告!$A$2:$A$22222,总体数据一览!A490,搜索词报告!$I$2:$I$22222))</f>
        <v/>
      </c>
      <c r="C490" t="str">
        <f>IF(SUMIF(搜索词报告!$A$2:$A$22222,总体数据一览!A490,搜索词报告!$J$2:$J$22222)=0,"",SUMIF(搜索词报告!$A$2:$A$22222,总体数据一览!A490,搜索词报告!$J$2:$J$22222))</f>
        <v/>
      </c>
      <c r="D490" s="2" t="str">
        <f t="shared" si="24"/>
        <v/>
      </c>
      <c r="E490" t="str">
        <f t="shared" si="25"/>
        <v/>
      </c>
      <c r="F490" t="str">
        <f>IF(SUMIF(搜索词报告!$A$2:$A$22222,总体数据一览!A490,搜索词报告!$M$2:$M$22222)=0,"",SUMIF(搜索词报告!$A$2:$A$22222,总体数据一览!A490,搜索词报告!$M$2:$M$22222))</f>
        <v/>
      </c>
      <c r="G490" t="str">
        <f>IFERROR(IF(B490="","",SUMIF(搜索词报告!$A$2:$A$22222,总体数据一览!A490,搜索词报告!$V$2:$V$22222))+IF(B490="","",SUMIF(搜索词报告!$A$2:$A$22222,总体数据一览!A490,搜索词报告!$W$2:$W$22222)),"")</f>
        <v/>
      </c>
      <c r="H490" s="2" t="str">
        <f t="shared" si="26"/>
        <v/>
      </c>
    </row>
    <row r="491" spans="2:8" x14ac:dyDescent="0.15">
      <c r="B491" t="str">
        <f>IF(SUMIF(搜索词报告!$A$2:$A$22222,总体数据一览!A491,搜索词报告!$I$2:$I$22222)=0,"",SUMIF(搜索词报告!$A$2:$A$22222,总体数据一览!A491,搜索词报告!$I$2:$I$22222))</f>
        <v/>
      </c>
      <c r="C491" t="str">
        <f>IF(SUMIF(搜索词报告!$A$2:$A$22222,总体数据一览!A491,搜索词报告!$J$2:$J$22222)=0,"",SUMIF(搜索词报告!$A$2:$A$22222,总体数据一览!A491,搜索词报告!$J$2:$J$22222))</f>
        <v/>
      </c>
      <c r="D491" s="2" t="str">
        <f t="shared" si="24"/>
        <v/>
      </c>
      <c r="E491" t="str">
        <f t="shared" si="25"/>
        <v/>
      </c>
      <c r="F491" t="str">
        <f>IF(SUMIF(搜索词报告!$A$2:$A$22222,总体数据一览!A491,搜索词报告!$M$2:$M$22222)=0,"",SUMIF(搜索词报告!$A$2:$A$22222,总体数据一览!A491,搜索词报告!$M$2:$M$22222))</f>
        <v/>
      </c>
      <c r="G491" t="str">
        <f>IFERROR(IF(B491="","",SUMIF(搜索词报告!$A$2:$A$22222,总体数据一览!A491,搜索词报告!$V$2:$V$22222))+IF(B491="","",SUMIF(搜索词报告!$A$2:$A$22222,总体数据一览!A491,搜索词报告!$W$2:$W$22222)),"")</f>
        <v/>
      </c>
      <c r="H491" s="2" t="str">
        <f t="shared" si="26"/>
        <v/>
      </c>
    </row>
    <row r="492" spans="2:8" x14ac:dyDescent="0.15">
      <c r="B492" t="str">
        <f>IF(SUMIF(搜索词报告!$A$2:$A$22222,总体数据一览!A492,搜索词报告!$I$2:$I$22222)=0,"",SUMIF(搜索词报告!$A$2:$A$22222,总体数据一览!A492,搜索词报告!$I$2:$I$22222))</f>
        <v/>
      </c>
      <c r="C492" t="str">
        <f>IF(SUMIF(搜索词报告!$A$2:$A$22222,总体数据一览!A492,搜索词报告!$J$2:$J$22222)=0,"",SUMIF(搜索词报告!$A$2:$A$22222,总体数据一览!A492,搜索词报告!$J$2:$J$22222))</f>
        <v/>
      </c>
      <c r="D492" s="2" t="str">
        <f t="shared" si="24"/>
        <v/>
      </c>
      <c r="E492" t="str">
        <f t="shared" si="25"/>
        <v/>
      </c>
      <c r="F492" t="str">
        <f>IF(SUMIF(搜索词报告!$A$2:$A$22222,总体数据一览!A492,搜索词报告!$M$2:$M$22222)=0,"",SUMIF(搜索词报告!$A$2:$A$22222,总体数据一览!A492,搜索词报告!$M$2:$M$22222))</f>
        <v/>
      </c>
      <c r="G492" t="str">
        <f>IFERROR(IF(B492="","",SUMIF(搜索词报告!$A$2:$A$22222,总体数据一览!A492,搜索词报告!$V$2:$V$22222))+IF(B492="","",SUMIF(搜索词报告!$A$2:$A$22222,总体数据一览!A492,搜索词报告!$W$2:$W$22222)),"")</f>
        <v/>
      </c>
      <c r="H492" s="2" t="str">
        <f t="shared" si="26"/>
        <v/>
      </c>
    </row>
    <row r="493" spans="2:8" x14ac:dyDescent="0.15">
      <c r="B493" t="str">
        <f>IF(SUMIF(搜索词报告!$A$2:$A$22222,总体数据一览!A493,搜索词报告!$I$2:$I$22222)=0,"",SUMIF(搜索词报告!$A$2:$A$22222,总体数据一览!A493,搜索词报告!$I$2:$I$22222))</f>
        <v/>
      </c>
      <c r="C493" t="str">
        <f>IF(SUMIF(搜索词报告!$A$2:$A$22222,总体数据一览!A493,搜索词报告!$J$2:$J$22222)=0,"",SUMIF(搜索词报告!$A$2:$A$22222,总体数据一览!A493,搜索词报告!$J$2:$J$22222))</f>
        <v/>
      </c>
      <c r="D493" s="2" t="str">
        <f t="shared" si="24"/>
        <v/>
      </c>
      <c r="E493" t="str">
        <f t="shared" si="25"/>
        <v/>
      </c>
      <c r="F493" t="str">
        <f>IF(SUMIF(搜索词报告!$A$2:$A$22222,总体数据一览!A493,搜索词报告!$M$2:$M$22222)=0,"",SUMIF(搜索词报告!$A$2:$A$22222,总体数据一览!A493,搜索词报告!$M$2:$M$22222))</f>
        <v/>
      </c>
      <c r="G493" t="str">
        <f>IFERROR(IF(B493="","",SUMIF(搜索词报告!$A$2:$A$22222,总体数据一览!A493,搜索词报告!$V$2:$V$22222))+IF(B493="","",SUMIF(搜索词报告!$A$2:$A$22222,总体数据一览!A493,搜索词报告!$W$2:$W$22222)),"")</f>
        <v/>
      </c>
      <c r="H493" s="2" t="str">
        <f t="shared" si="26"/>
        <v/>
      </c>
    </row>
    <row r="494" spans="2:8" x14ac:dyDescent="0.15">
      <c r="B494" t="str">
        <f>IF(SUMIF(搜索词报告!$A$2:$A$22222,总体数据一览!A494,搜索词报告!$I$2:$I$22222)=0,"",SUMIF(搜索词报告!$A$2:$A$22222,总体数据一览!A494,搜索词报告!$I$2:$I$22222))</f>
        <v/>
      </c>
      <c r="C494" t="str">
        <f>IF(SUMIF(搜索词报告!$A$2:$A$22222,总体数据一览!A494,搜索词报告!$J$2:$J$22222)=0,"",SUMIF(搜索词报告!$A$2:$A$22222,总体数据一览!A494,搜索词报告!$J$2:$J$22222))</f>
        <v/>
      </c>
      <c r="D494" s="2" t="str">
        <f t="shared" si="24"/>
        <v/>
      </c>
      <c r="E494" t="str">
        <f t="shared" si="25"/>
        <v/>
      </c>
      <c r="F494" t="str">
        <f>IF(SUMIF(搜索词报告!$A$2:$A$22222,总体数据一览!A494,搜索词报告!$M$2:$M$22222)=0,"",SUMIF(搜索词报告!$A$2:$A$22222,总体数据一览!A494,搜索词报告!$M$2:$M$22222))</f>
        <v/>
      </c>
      <c r="G494" t="str">
        <f>IFERROR(IF(B494="","",SUMIF(搜索词报告!$A$2:$A$22222,总体数据一览!A494,搜索词报告!$V$2:$V$22222))+IF(B494="","",SUMIF(搜索词报告!$A$2:$A$22222,总体数据一览!A494,搜索词报告!$W$2:$W$22222)),"")</f>
        <v/>
      </c>
      <c r="H494" s="2" t="str">
        <f t="shared" si="26"/>
        <v/>
      </c>
    </row>
    <row r="495" spans="2:8" x14ac:dyDescent="0.15">
      <c r="B495" t="str">
        <f>IF(SUMIF(搜索词报告!$A$2:$A$22222,总体数据一览!A495,搜索词报告!$I$2:$I$22222)=0,"",SUMIF(搜索词报告!$A$2:$A$22222,总体数据一览!A495,搜索词报告!$I$2:$I$22222))</f>
        <v/>
      </c>
      <c r="C495" t="str">
        <f>IF(SUMIF(搜索词报告!$A$2:$A$22222,总体数据一览!A495,搜索词报告!$J$2:$J$22222)=0,"",SUMIF(搜索词报告!$A$2:$A$22222,总体数据一览!A495,搜索词报告!$J$2:$J$22222))</f>
        <v/>
      </c>
      <c r="D495" s="2" t="str">
        <f t="shared" si="24"/>
        <v/>
      </c>
      <c r="E495" t="str">
        <f t="shared" si="25"/>
        <v/>
      </c>
      <c r="F495" t="str">
        <f>IF(SUMIF(搜索词报告!$A$2:$A$22222,总体数据一览!A495,搜索词报告!$M$2:$M$22222)=0,"",SUMIF(搜索词报告!$A$2:$A$22222,总体数据一览!A495,搜索词报告!$M$2:$M$22222))</f>
        <v/>
      </c>
      <c r="G495" t="str">
        <f>IFERROR(IF(B495="","",SUMIF(搜索词报告!$A$2:$A$22222,总体数据一览!A495,搜索词报告!$V$2:$V$22222))+IF(B495="","",SUMIF(搜索词报告!$A$2:$A$22222,总体数据一览!A495,搜索词报告!$W$2:$W$22222)),"")</f>
        <v/>
      </c>
      <c r="H495" s="2" t="str">
        <f t="shared" si="26"/>
        <v/>
      </c>
    </row>
    <row r="496" spans="2:8" x14ac:dyDescent="0.15">
      <c r="B496" t="str">
        <f>IF(SUMIF(搜索词报告!$A$2:$A$22222,总体数据一览!A496,搜索词报告!$I$2:$I$22222)=0,"",SUMIF(搜索词报告!$A$2:$A$22222,总体数据一览!A496,搜索词报告!$I$2:$I$22222))</f>
        <v/>
      </c>
      <c r="C496" t="str">
        <f>IF(SUMIF(搜索词报告!$A$2:$A$22222,总体数据一览!A496,搜索词报告!$J$2:$J$22222)=0,"",SUMIF(搜索词报告!$A$2:$A$22222,总体数据一览!A496,搜索词报告!$J$2:$J$22222))</f>
        <v/>
      </c>
      <c r="D496" s="2" t="str">
        <f t="shared" si="24"/>
        <v/>
      </c>
      <c r="E496" t="str">
        <f t="shared" si="25"/>
        <v/>
      </c>
      <c r="F496" t="str">
        <f>IF(SUMIF(搜索词报告!$A$2:$A$22222,总体数据一览!A496,搜索词报告!$M$2:$M$22222)=0,"",SUMIF(搜索词报告!$A$2:$A$22222,总体数据一览!A496,搜索词报告!$M$2:$M$22222))</f>
        <v/>
      </c>
      <c r="G496" t="str">
        <f>IFERROR(IF(B496="","",SUMIF(搜索词报告!$A$2:$A$22222,总体数据一览!A496,搜索词报告!$V$2:$V$22222))+IF(B496="","",SUMIF(搜索词报告!$A$2:$A$22222,总体数据一览!A496,搜索词报告!$W$2:$W$22222)),"")</f>
        <v/>
      </c>
      <c r="H496" s="2" t="str">
        <f t="shared" si="26"/>
        <v/>
      </c>
    </row>
    <row r="497" spans="2:8" x14ac:dyDescent="0.15">
      <c r="B497" t="str">
        <f>IF(SUMIF(搜索词报告!$A$2:$A$22222,总体数据一览!A497,搜索词报告!$I$2:$I$22222)=0,"",SUMIF(搜索词报告!$A$2:$A$22222,总体数据一览!A497,搜索词报告!$I$2:$I$22222))</f>
        <v/>
      </c>
      <c r="C497" t="str">
        <f>IF(SUMIF(搜索词报告!$A$2:$A$22222,总体数据一览!A497,搜索词报告!$J$2:$J$22222)=0,"",SUMIF(搜索词报告!$A$2:$A$22222,总体数据一览!A497,搜索词报告!$J$2:$J$22222))</f>
        <v/>
      </c>
      <c r="D497" s="2" t="str">
        <f t="shared" si="24"/>
        <v/>
      </c>
      <c r="E497" t="str">
        <f t="shared" si="25"/>
        <v/>
      </c>
      <c r="F497" t="str">
        <f>IF(SUMIF(搜索词报告!$A$2:$A$22222,总体数据一览!A497,搜索词报告!$M$2:$M$22222)=0,"",SUMIF(搜索词报告!$A$2:$A$22222,总体数据一览!A497,搜索词报告!$M$2:$M$22222))</f>
        <v/>
      </c>
      <c r="G497" t="str">
        <f>IFERROR(IF(B497="","",SUMIF(搜索词报告!$A$2:$A$22222,总体数据一览!A497,搜索词报告!$V$2:$V$22222))+IF(B497="","",SUMIF(搜索词报告!$A$2:$A$22222,总体数据一览!A497,搜索词报告!$W$2:$W$22222)),"")</f>
        <v/>
      </c>
      <c r="H497" s="2" t="str">
        <f t="shared" si="26"/>
        <v/>
      </c>
    </row>
    <row r="498" spans="2:8" x14ac:dyDescent="0.15">
      <c r="B498" t="str">
        <f>IF(SUMIF(搜索词报告!$A$2:$A$22222,总体数据一览!A498,搜索词报告!$I$2:$I$22222)=0,"",SUMIF(搜索词报告!$A$2:$A$22222,总体数据一览!A498,搜索词报告!$I$2:$I$22222))</f>
        <v/>
      </c>
      <c r="C498" t="str">
        <f>IF(SUMIF(搜索词报告!$A$2:$A$22222,总体数据一览!A498,搜索词报告!$J$2:$J$22222)=0,"",SUMIF(搜索词报告!$A$2:$A$22222,总体数据一览!A498,搜索词报告!$J$2:$J$22222))</f>
        <v/>
      </c>
      <c r="D498" s="2" t="str">
        <f t="shared" si="24"/>
        <v/>
      </c>
      <c r="E498" t="str">
        <f t="shared" si="25"/>
        <v/>
      </c>
      <c r="F498" t="str">
        <f>IF(SUMIF(搜索词报告!$A$2:$A$22222,总体数据一览!A498,搜索词报告!$M$2:$M$22222)=0,"",SUMIF(搜索词报告!$A$2:$A$22222,总体数据一览!A498,搜索词报告!$M$2:$M$22222))</f>
        <v/>
      </c>
      <c r="G498" t="str">
        <f>IFERROR(IF(B498="","",SUMIF(搜索词报告!$A$2:$A$22222,总体数据一览!A498,搜索词报告!$V$2:$V$22222))+IF(B498="","",SUMIF(搜索词报告!$A$2:$A$22222,总体数据一览!A498,搜索词报告!$W$2:$W$22222)),"")</f>
        <v/>
      </c>
      <c r="H498" s="2" t="str">
        <f t="shared" si="26"/>
        <v/>
      </c>
    </row>
    <row r="499" spans="2:8" x14ac:dyDescent="0.15">
      <c r="B499" t="str">
        <f>IF(SUMIF(搜索词报告!$A$2:$A$22222,总体数据一览!A499,搜索词报告!$I$2:$I$22222)=0,"",SUMIF(搜索词报告!$A$2:$A$22222,总体数据一览!A499,搜索词报告!$I$2:$I$22222))</f>
        <v/>
      </c>
      <c r="C499" t="str">
        <f>IF(SUMIF(搜索词报告!$A$2:$A$22222,总体数据一览!A499,搜索词报告!$J$2:$J$22222)=0,"",SUMIF(搜索词报告!$A$2:$A$22222,总体数据一览!A499,搜索词报告!$J$2:$J$22222))</f>
        <v/>
      </c>
      <c r="D499" s="2" t="str">
        <f t="shared" si="24"/>
        <v/>
      </c>
      <c r="E499" t="str">
        <f t="shared" si="25"/>
        <v/>
      </c>
      <c r="F499" t="str">
        <f>IF(SUMIF(搜索词报告!$A$2:$A$22222,总体数据一览!A499,搜索词报告!$M$2:$M$22222)=0,"",SUMIF(搜索词报告!$A$2:$A$22222,总体数据一览!A499,搜索词报告!$M$2:$M$22222))</f>
        <v/>
      </c>
      <c r="G499" t="str">
        <f>IFERROR(IF(B499="","",SUMIF(搜索词报告!$A$2:$A$22222,总体数据一览!A499,搜索词报告!$V$2:$V$22222))+IF(B499="","",SUMIF(搜索词报告!$A$2:$A$22222,总体数据一览!A499,搜索词报告!$W$2:$W$22222)),"")</f>
        <v/>
      </c>
      <c r="H499" s="2" t="str">
        <f t="shared" si="26"/>
        <v/>
      </c>
    </row>
    <row r="500" spans="2:8" x14ac:dyDescent="0.15">
      <c r="B500" t="str">
        <f>IF(SUMIF(搜索词报告!$A$2:$A$22222,总体数据一览!A500,搜索词报告!$I$2:$I$22222)=0,"",SUMIF(搜索词报告!$A$2:$A$22222,总体数据一览!A500,搜索词报告!$I$2:$I$22222))</f>
        <v/>
      </c>
      <c r="C500" t="str">
        <f>IF(SUMIF(搜索词报告!$A$2:$A$22222,总体数据一览!A500,搜索词报告!$J$2:$J$22222)=0,"",SUMIF(搜索词报告!$A$2:$A$22222,总体数据一览!A500,搜索词报告!$J$2:$J$22222))</f>
        <v/>
      </c>
      <c r="D500" s="2" t="str">
        <f t="shared" si="24"/>
        <v/>
      </c>
      <c r="E500" t="str">
        <f t="shared" si="25"/>
        <v/>
      </c>
      <c r="F500" t="str">
        <f>IF(SUMIF(搜索词报告!$A$2:$A$22222,总体数据一览!A500,搜索词报告!$M$2:$M$22222)=0,"",SUMIF(搜索词报告!$A$2:$A$22222,总体数据一览!A500,搜索词报告!$M$2:$M$22222))</f>
        <v/>
      </c>
      <c r="G500" t="str">
        <f>IFERROR(IF(B500="","",SUMIF(搜索词报告!$A$2:$A$22222,总体数据一览!A500,搜索词报告!$V$2:$V$22222))+IF(B500="","",SUMIF(搜索词报告!$A$2:$A$22222,总体数据一览!A500,搜索词报告!$W$2:$W$22222)),"")</f>
        <v/>
      </c>
      <c r="H500" s="2" t="str">
        <f t="shared" si="26"/>
        <v/>
      </c>
    </row>
    <row r="501" spans="2:8" x14ac:dyDescent="0.15">
      <c r="B501" t="str">
        <f>IF(SUMIF(搜索词报告!$A$2:$A$22222,总体数据一览!A501,搜索词报告!$I$2:$I$22222)=0,"",SUMIF(搜索词报告!$A$2:$A$22222,总体数据一览!A501,搜索词报告!$I$2:$I$22222))</f>
        <v/>
      </c>
      <c r="C501" t="str">
        <f>IF(SUMIF(搜索词报告!$A$2:$A$22222,总体数据一览!A501,搜索词报告!$J$2:$J$22222)=0,"",SUMIF(搜索词报告!$A$2:$A$22222,总体数据一览!A501,搜索词报告!$J$2:$J$22222))</f>
        <v/>
      </c>
      <c r="D501" s="2" t="str">
        <f t="shared" si="24"/>
        <v/>
      </c>
      <c r="E501" t="str">
        <f t="shared" si="25"/>
        <v/>
      </c>
      <c r="F501" t="str">
        <f>IF(SUMIF(搜索词报告!$A$2:$A$22222,总体数据一览!A501,搜索词报告!$M$2:$M$22222)=0,"",SUMIF(搜索词报告!$A$2:$A$22222,总体数据一览!A501,搜索词报告!$M$2:$M$22222))</f>
        <v/>
      </c>
      <c r="G501" t="str">
        <f>IFERROR(IF(B501="","",SUMIF(搜索词报告!$A$2:$A$22222,总体数据一览!A501,搜索词报告!$V$2:$V$22222))+IF(B501="","",SUMIF(搜索词报告!$A$2:$A$22222,总体数据一览!A501,搜索词报告!$W$2:$W$22222)),"")</f>
        <v/>
      </c>
      <c r="H501" s="2" t="str">
        <f t="shared" si="26"/>
        <v/>
      </c>
    </row>
    <row r="502" spans="2:8" x14ac:dyDescent="0.15">
      <c r="B502" t="str">
        <f>IF(SUMIF(搜索词报告!$A$2:$A$22222,总体数据一览!A502,搜索词报告!$I$2:$I$22222)=0,"",SUMIF(搜索词报告!$A$2:$A$22222,总体数据一览!A502,搜索词报告!$I$2:$I$22222))</f>
        <v/>
      </c>
      <c r="C502" t="str">
        <f>IF(SUMIF(搜索词报告!$A$2:$A$22222,总体数据一览!A502,搜索词报告!$J$2:$J$22222)=0,"",SUMIF(搜索词报告!$A$2:$A$22222,总体数据一览!A502,搜索词报告!$J$2:$J$22222))</f>
        <v/>
      </c>
      <c r="D502" s="2" t="str">
        <f t="shared" si="24"/>
        <v/>
      </c>
      <c r="E502" t="str">
        <f t="shared" si="25"/>
        <v/>
      </c>
      <c r="F502" t="str">
        <f>IF(SUMIF(搜索词报告!$A$2:$A$22222,总体数据一览!A502,搜索词报告!$M$2:$M$22222)=0,"",SUMIF(搜索词报告!$A$2:$A$22222,总体数据一览!A502,搜索词报告!$M$2:$M$22222))</f>
        <v/>
      </c>
      <c r="G502" t="str">
        <f>IFERROR(IF(B502="","",SUMIF(搜索词报告!$A$2:$A$22222,总体数据一览!A502,搜索词报告!$V$2:$V$22222))+IF(B502="","",SUMIF(搜索词报告!$A$2:$A$22222,总体数据一览!A502,搜索词报告!$W$2:$W$22222)),"")</f>
        <v/>
      </c>
      <c r="H502" s="2" t="str">
        <f t="shared" si="26"/>
        <v/>
      </c>
    </row>
    <row r="503" spans="2:8" x14ac:dyDescent="0.15">
      <c r="B503" t="str">
        <f>IF(SUMIF(搜索词报告!$A$2:$A$22222,总体数据一览!A503,搜索词报告!$I$2:$I$22222)=0,"",SUMIF(搜索词报告!$A$2:$A$22222,总体数据一览!A503,搜索词报告!$I$2:$I$22222))</f>
        <v/>
      </c>
      <c r="C503" t="str">
        <f>IF(SUMIF(搜索词报告!$A$2:$A$22222,总体数据一览!A503,搜索词报告!$J$2:$J$22222)=0,"",SUMIF(搜索词报告!$A$2:$A$22222,总体数据一览!A503,搜索词报告!$J$2:$J$22222))</f>
        <v/>
      </c>
      <c r="D503" s="2" t="str">
        <f t="shared" si="24"/>
        <v/>
      </c>
      <c r="E503" t="str">
        <f t="shared" si="25"/>
        <v/>
      </c>
      <c r="F503" t="str">
        <f>IF(SUMIF(搜索词报告!$A$2:$A$22222,总体数据一览!A503,搜索词报告!$M$2:$M$22222)=0,"",SUMIF(搜索词报告!$A$2:$A$22222,总体数据一览!A503,搜索词报告!$M$2:$M$22222))</f>
        <v/>
      </c>
      <c r="G503" t="str">
        <f>IFERROR(IF(B503="","",SUMIF(搜索词报告!$A$2:$A$22222,总体数据一览!A503,搜索词报告!$V$2:$V$22222))+IF(B503="","",SUMIF(搜索词报告!$A$2:$A$22222,总体数据一览!A503,搜索词报告!$W$2:$W$22222)),"")</f>
        <v/>
      </c>
      <c r="H503" s="2" t="str">
        <f t="shared" si="26"/>
        <v/>
      </c>
    </row>
    <row r="504" spans="2:8" x14ac:dyDescent="0.15">
      <c r="B504" t="str">
        <f>IF(SUMIF(搜索词报告!$A$2:$A$22222,总体数据一览!A504,搜索词报告!$I$2:$I$22222)=0,"",SUMIF(搜索词报告!$A$2:$A$22222,总体数据一览!A504,搜索词报告!$I$2:$I$22222))</f>
        <v/>
      </c>
      <c r="C504" t="str">
        <f>IF(SUMIF(搜索词报告!$A$2:$A$22222,总体数据一览!A504,搜索词报告!$J$2:$J$22222)=0,"",SUMIF(搜索词报告!$A$2:$A$22222,总体数据一览!A504,搜索词报告!$J$2:$J$22222))</f>
        <v/>
      </c>
      <c r="D504" s="2" t="str">
        <f t="shared" si="24"/>
        <v/>
      </c>
      <c r="E504" t="str">
        <f t="shared" si="25"/>
        <v/>
      </c>
      <c r="F504" t="str">
        <f>IF(SUMIF(搜索词报告!$A$2:$A$22222,总体数据一览!A504,搜索词报告!$M$2:$M$22222)=0,"",SUMIF(搜索词报告!$A$2:$A$22222,总体数据一览!A504,搜索词报告!$M$2:$M$22222))</f>
        <v/>
      </c>
      <c r="G504" t="str">
        <f>IFERROR(IF(B504="","",SUMIF(搜索词报告!$A$2:$A$22222,总体数据一览!A504,搜索词报告!$V$2:$V$22222))+IF(B504="","",SUMIF(搜索词报告!$A$2:$A$22222,总体数据一览!A504,搜索词报告!$W$2:$W$22222)),"")</f>
        <v/>
      </c>
      <c r="H504" s="2" t="str">
        <f t="shared" si="26"/>
        <v/>
      </c>
    </row>
    <row r="505" spans="2:8" x14ac:dyDescent="0.15">
      <c r="B505" t="str">
        <f>IF(SUMIF(搜索词报告!$A$2:$A$22222,总体数据一览!A505,搜索词报告!$I$2:$I$22222)=0,"",SUMIF(搜索词报告!$A$2:$A$22222,总体数据一览!A505,搜索词报告!$I$2:$I$22222))</f>
        <v/>
      </c>
      <c r="C505" t="str">
        <f>IF(SUMIF(搜索词报告!$A$2:$A$22222,总体数据一览!A505,搜索词报告!$J$2:$J$22222)=0,"",SUMIF(搜索词报告!$A$2:$A$22222,总体数据一览!A505,搜索词报告!$J$2:$J$22222))</f>
        <v/>
      </c>
      <c r="D505" s="2" t="str">
        <f t="shared" si="24"/>
        <v/>
      </c>
      <c r="E505" t="str">
        <f t="shared" si="25"/>
        <v/>
      </c>
      <c r="F505" t="str">
        <f>IF(SUMIF(搜索词报告!$A$2:$A$22222,总体数据一览!A505,搜索词报告!$M$2:$M$22222)=0,"",SUMIF(搜索词报告!$A$2:$A$22222,总体数据一览!A505,搜索词报告!$M$2:$M$22222))</f>
        <v/>
      </c>
      <c r="G505" t="str">
        <f>IFERROR(IF(B505="","",SUMIF(搜索词报告!$A$2:$A$22222,总体数据一览!A505,搜索词报告!$V$2:$V$22222))+IF(B505="","",SUMIF(搜索词报告!$A$2:$A$22222,总体数据一览!A505,搜索词报告!$W$2:$W$22222)),"")</f>
        <v/>
      </c>
      <c r="H505" s="2" t="str">
        <f t="shared" si="26"/>
        <v/>
      </c>
    </row>
    <row r="506" spans="2:8" x14ac:dyDescent="0.15">
      <c r="B506" t="str">
        <f>IF(SUMIF(搜索词报告!$A$2:$A$22222,总体数据一览!A506,搜索词报告!$I$2:$I$22222)=0,"",SUMIF(搜索词报告!$A$2:$A$22222,总体数据一览!A506,搜索词报告!$I$2:$I$22222))</f>
        <v/>
      </c>
      <c r="C506" t="str">
        <f>IF(SUMIF(搜索词报告!$A$2:$A$22222,总体数据一览!A506,搜索词报告!$J$2:$J$22222)=0,"",SUMIF(搜索词报告!$A$2:$A$22222,总体数据一览!A506,搜索词报告!$J$2:$J$22222))</f>
        <v/>
      </c>
      <c r="D506" s="2" t="str">
        <f t="shared" si="24"/>
        <v/>
      </c>
      <c r="E506" t="str">
        <f t="shared" si="25"/>
        <v/>
      </c>
      <c r="F506" t="str">
        <f>IF(SUMIF(搜索词报告!$A$2:$A$22222,总体数据一览!A506,搜索词报告!$M$2:$M$22222)=0,"",SUMIF(搜索词报告!$A$2:$A$22222,总体数据一览!A506,搜索词报告!$M$2:$M$22222))</f>
        <v/>
      </c>
      <c r="G506" t="str">
        <f>IFERROR(IF(B506="","",SUMIF(搜索词报告!$A$2:$A$22222,总体数据一览!A506,搜索词报告!$V$2:$V$22222))+IF(B506="","",SUMIF(搜索词报告!$A$2:$A$22222,总体数据一览!A506,搜索词报告!$W$2:$W$22222)),"")</f>
        <v/>
      </c>
      <c r="H506" s="2" t="str">
        <f t="shared" si="26"/>
        <v/>
      </c>
    </row>
    <row r="507" spans="2:8" x14ac:dyDescent="0.15">
      <c r="B507" t="str">
        <f>IF(SUMIF(搜索词报告!$A$2:$A$22222,总体数据一览!A507,搜索词报告!$I$2:$I$22222)=0,"",SUMIF(搜索词报告!$A$2:$A$22222,总体数据一览!A507,搜索词报告!$I$2:$I$22222))</f>
        <v/>
      </c>
      <c r="C507" t="str">
        <f>IF(SUMIF(搜索词报告!$A$2:$A$22222,总体数据一览!A507,搜索词报告!$J$2:$J$22222)=0,"",SUMIF(搜索词报告!$A$2:$A$22222,总体数据一览!A507,搜索词报告!$J$2:$J$22222))</f>
        <v/>
      </c>
      <c r="D507" s="2" t="str">
        <f t="shared" si="24"/>
        <v/>
      </c>
      <c r="E507" t="str">
        <f t="shared" si="25"/>
        <v/>
      </c>
      <c r="F507" t="str">
        <f>IF(SUMIF(搜索词报告!$A$2:$A$22222,总体数据一览!A507,搜索词报告!$M$2:$M$22222)=0,"",SUMIF(搜索词报告!$A$2:$A$22222,总体数据一览!A507,搜索词报告!$M$2:$M$22222))</f>
        <v/>
      </c>
      <c r="G507" t="str">
        <f>IFERROR(IF(B507="","",SUMIF(搜索词报告!$A$2:$A$22222,总体数据一览!A507,搜索词报告!$V$2:$V$22222))+IF(B507="","",SUMIF(搜索词报告!$A$2:$A$22222,总体数据一览!A507,搜索词报告!$W$2:$W$22222)),"")</f>
        <v/>
      </c>
      <c r="H507" s="2" t="str">
        <f t="shared" si="26"/>
        <v/>
      </c>
    </row>
    <row r="508" spans="2:8" x14ac:dyDescent="0.15">
      <c r="B508" t="str">
        <f>IF(SUMIF(搜索词报告!$A$2:$A$22222,总体数据一览!A508,搜索词报告!$I$2:$I$22222)=0,"",SUMIF(搜索词报告!$A$2:$A$22222,总体数据一览!A508,搜索词报告!$I$2:$I$22222))</f>
        <v/>
      </c>
      <c r="C508" t="str">
        <f>IF(SUMIF(搜索词报告!$A$2:$A$22222,总体数据一览!A508,搜索词报告!$J$2:$J$22222)=0,"",SUMIF(搜索词报告!$A$2:$A$22222,总体数据一览!A508,搜索词报告!$J$2:$J$22222))</f>
        <v/>
      </c>
      <c r="D508" s="2" t="str">
        <f t="shared" si="24"/>
        <v/>
      </c>
      <c r="E508" t="str">
        <f t="shared" si="25"/>
        <v/>
      </c>
      <c r="F508" t="str">
        <f>IF(SUMIF(搜索词报告!$A$2:$A$22222,总体数据一览!A508,搜索词报告!$M$2:$M$22222)=0,"",SUMIF(搜索词报告!$A$2:$A$22222,总体数据一览!A508,搜索词报告!$M$2:$M$22222))</f>
        <v/>
      </c>
      <c r="G508" t="str">
        <f>IFERROR(IF(B508="","",SUMIF(搜索词报告!$A$2:$A$22222,总体数据一览!A508,搜索词报告!$V$2:$V$22222))+IF(B508="","",SUMIF(搜索词报告!$A$2:$A$22222,总体数据一览!A508,搜索词报告!$W$2:$W$22222)),"")</f>
        <v/>
      </c>
      <c r="H508" s="2" t="str">
        <f t="shared" si="26"/>
        <v/>
      </c>
    </row>
    <row r="509" spans="2:8" x14ac:dyDescent="0.15">
      <c r="B509" t="str">
        <f>IF(SUMIF(搜索词报告!$A$2:$A$22222,总体数据一览!A509,搜索词报告!$I$2:$I$22222)=0,"",SUMIF(搜索词报告!$A$2:$A$22222,总体数据一览!A509,搜索词报告!$I$2:$I$22222))</f>
        <v/>
      </c>
      <c r="C509" t="str">
        <f>IF(SUMIF(搜索词报告!$A$2:$A$22222,总体数据一览!A509,搜索词报告!$J$2:$J$22222)=0,"",SUMIF(搜索词报告!$A$2:$A$22222,总体数据一览!A509,搜索词报告!$J$2:$J$22222))</f>
        <v/>
      </c>
      <c r="D509" s="2" t="str">
        <f t="shared" si="24"/>
        <v/>
      </c>
      <c r="E509" t="str">
        <f t="shared" si="25"/>
        <v/>
      </c>
      <c r="F509" t="str">
        <f>IF(SUMIF(搜索词报告!$A$2:$A$22222,总体数据一览!A509,搜索词报告!$M$2:$M$22222)=0,"",SUMIF(搜索词报告!$A$2:$A$22222,总体数据一览!A509,搜索词报告!$M$2:$M$22222))</f>
        <v/>
      </c>
      <c r="G509" t="str">
        <f>IFERROR(IF(B509="","",SUMIF(搜索词报告!$A$2:$A$22222,总体数据一览!A509,搜索词报告!$V$2:$V$22222))+IF(B509="","",SUMIF(搜索词报告!$A$2:$A$22222,总体数据一览!A509,搜索词报告!$W$2:$W$22222)),"")</f>
        <v/>
      </c>
      <c r="H509" s="2" t="str">
        <f t="shared" si="26"/>
        <v/>
      </c>
    </row>
    <row r="510" spans="2:8" x14ac:dyDescent="0.15">
      <c r="B510" t="str">
        <f>IF(SUMIF(搜索词报告!$A$2:$A$22222,总体数据一览!A510,搜索词报告!$I$2:$I$22222)=0,"",SUMIF(搜索词报告!$A$2:$A$22222,总体数据一览!A510,搜索词报告!$I$2:$I$22222))</f>
        <v/>
      </c>
      <c r="C510" t="str">
        <f>IF(SUMIF(搜索词报告!$A$2:$A$22222,总体数据一览!A510,搜索词报告!$J$2:$J$22222)=0,"",SUMIF(搜索词报告!$A$2:$A$22222,总体数据一览!A510,搜索词报告!$J$2:$J$22222))</f>
        <v/>
      </c>
      <c r="D510" s="2" t="str">
        <f t="shared" si="24"/>
        <v/>
      </c>
      <c r="E510" t="str">
        <f t="shared" si="25"/>
        <v/>
      </c>
      <c r="F510" t="str">
        <f>IF(SUMIF(搜索词报告!$A$2:$A$22222,总体数据一览!A510,搜索词报告!$M$2:$M$22222)=0,"",SUMIF(搜索词报告!$A$2:$A$22222,总体数据一览!A510,搜索词报告!$M$2:$M$22222))</f>
        <v/>
      </c>
      <c r="G510" t="str">
        <f>IFERROR(IF(B510="","",SUMIF(搜索词报告!$A$2:$A$22222,总体数据一览!A510,搜索词报告!$V$2:$V$22222))+IF(B510="","",SUMIF(搜索词报告!$A$2:$A$22222,总体数据一览!A510,搜索词报告!$W$2:$W$22222)),"")</f>
        <v/>
      </c>
      <c r="H510" s="2" t="str">
        <f t="shared" si="26"/>
        <v/>
      </c>
    </row>
    <row r="511" spans="2:8" x14ac:dyDescent="0.15">
      <c r="B511" t="str">
        <f>IF(SUMIF(搜索词报告!$A$2:$A$22222,总体数据一览!A511,搜索词报告!$I$2:$I$22222)=0,"",SUMIF(搜索词报告!$A$2:$A$22222,总体数据一览!A511,搜索词报告!$I$2:$I$22222))</f>
        <v/>
      </c>
      <c r="C511" t="str">
        <f>IF(SUMIF(搜索词报告!$A$2:$A$22222,总体数据一览!A511,搜索词报告!$J$2:$J$22222)=0,"",SUMIF(搜索词报告!$A$2:$A$22222,总体数据一览!A511,搜索词报告!$J$2:$J$22222))</f>
        <v/>
      </c>
      <c r="D511" s="2" t="str">
        <f t="shared" si="24"/>
        <v/>
      </c>
      <c r="E511" t="str">
        <f t="shared" si="25"/>
        <v/>
      </c>
      <c r="F511" t="str">
        <f>IF(SUMIF(搜索词报告!$A$2:$A$22222,总体数据一览!A511,搜索词报告!$M$2:$M$22222)=0,"",SUMIF(搜索词报告!$A$2:$A$22222,总体数据一览!A511,搜索词报告!$M$2:$M$22222))</f>
        <v/>
      </c>
      <c r="G511" t="str">
        <f>IFERROR(IF(B511="","",SUMIF(搜索词报告!$A$2:$A$22222,总体数据一览!A511,搜索词报告!$V$2:$V$22222))+IF(B511="","",SUMIF(搜索词报告!$A$2:$A$22222,总体数据一览!A511,搜索词报告!$W$2:$W$22222)),"")</f>
        <v/>
      </c>
      <c r="H511" s="2" t="str">
        <f t="shared" si="26"/>
        <v/>
      </c>
    </row>
    <row r="512" spans="2:8" x14ac:dyDescent="0.15">
      <c r="B512" t="str">
        <f>IF(SUMIF(搜索词报告!$A$2:$A$22222,总体数据一览!A512,搜索词报告!$I$2:$I$22222)=0,"",SUMIF(搜索词报告!$A$2:$A$22222,总体数据一览!A512,搜索词报告!$I$2:$I$22222))</f>
        <v/>
      </c>
      <c r="C512" t="str">
        <f>IF(SUMIF(搜索词报告!$A$2:$A$22222,总体数据一览!A512,搜索词报告!$J$2:$J$22222)=0,"",SUMIF(搜索词报告!$A$2:$A$22222,总体数据一览!A512,搜索词报告!$J$2:$J$22222))</f>
        <v/>
      </c>
      <c r="D512" s="2" t="str">
        <f t="shared" si="24"/>
        <v/>
      </c>
      <c r="E512" t="str">
        <f t="shared" si="25"/>
        <v/>
      </c>
      <c r="F512" t="str">
        <f>IF(SUMIF(搜索词报告!$A$2:$A$22222,总体数据一览!A512,搜索词报告!$M$2:$M$22222)=0,"",SUMIF(搜索词报告!$A$2:$A$22222,总体数据一览!A512,搜索词报告!$M$2:$M$22222))</f>
        <v/>
      </c>
      <c r="G512" t="str">
        <f>IFERROR(IF(B512="","",SUMIF(搜索词报告!$A$2:$A$22222,总体数据一览!A512,搜索词报告!$V$2:$V$22222))+IF(B512="","",SUMIF(搜索词报告!$A$2:$A$22222,总体数据一览!A512,搜索词报告!$W$2:$W$22222)),"")</f>
        <v/>
      </c>
      <c r="H512" s="2" t="str">
        <f t="shared" si="26"/>
        <v/>
      </c>
    </row>
    <row r="513" spans="2:8" x14ac:dyDescent="0.15">
      <c r="B513" t="str">
        <f>IF(SUMIF(搜索词报告!$A$2:$A$22222,总体数据一览!A513,搜索词报告!$I$2:$I$22222)=0,"",SUMIF(搜索词报告!$A$2:$A$22222,总体数据一览!A513,搜索词报告!$I$2:$I$22222))</f>
        <v/>
      </c>
      <c r="C513" t="str">
        <f>IF(SUMIF(搜索词报告!$A$2:$A$22222,总体数据一览!A513,搜索词报告!$J$2:$J$22222)=0,"",SUMIF(搜索词报告!$A$2:$A$22222,总体数据一览!A513,搜索词报告!$J$2:$J$22222))</f>
        <v/>
      </c>
      <c r="D513" s="2" t="str">
        <f t="shared" si="24"/>
        <v/>
      </c>
      <c r="E513" t="str">
        <f t="shared" si="25"/>
        <v/>
      </c>
      <c r="F513" t="str">
        <f>IF(SUMIF(搜索词报告!$A$2:$A$22222,总体数据一览!A513,搜索词报告!$M$2:$M$22222)=0,"",SUMIF(搜索词报告!$A$2:$A$22222,总体数据一览!A513,搜索词报告!$M$2:$M$22222))</f>
        <v/>
      </c>
      <c r="G513" t="str">
        <f>IFERROR(IF(B513="","",SUMIF(搜索词报告!$A$2:$A$22222,总体数据一览!A513,搜索词报告!$V$2:$V$22222))+IF(B513="","",SUMIF(搜索词报告!$A$2:$A$22222,总体数据一览!A513,搜索词报告!$W$2:$W$22222)),"")</f>
        <v/>
      </c>
      <c r="H513" s="2" t="str">
        <f t="shared" si="26"/>
        <v/>
      </c>
    </row>
    <row r="514" spans="2:8" x14ac:dyDescent="0.15">
      <c r="B514" t="str">
        <f>IF(SUMIF(搜索词报告!$A$2:$A$22222,总体数据一览!A514,搜索词报告!$I$2:$I$22222)=0,"",SUMIF(搜索词报告!$A$2:$A$22222,总体数据一览!A514,搜索词报告!$I$2:$I$22222))</f>
        <v/>
      </c>
      <c r="C514" t="str">
        <f>IF(SUMIF(搜索词报告!$A$2:$A$22222,总体数据一览!A514,搜索词报告!$J$2:$J$22222)=0,"",SUMIF(搜索词报告!$A$2:$A$22222,总体数据一览!A514,搜索词报告!$J$2:$J$22222))</f>
        <v/>
      </c>
      <c r="D514" s="2" t="str">
        <f t="shared" si="24"/>
        <v/>
      </c>
      <c r="E514" t="str">
        <f t="shared" si="25"/>
        <v/>
      </c>
      <c r="F514" t="str">
        <f>IF(SUMIF(搜索词报告!$A$2:$A$22222,总体数据一览!A514,搜索词报告!$M$2:$M$22222)=0,"",SUMIF(搜索词报告!$A$2:$A$22222,总体数据一览!A514,搜索词报告!$M$2:$M$22222))</f>
        <v/>
      </c>
      <c r="G514" t="str">
        <f>IFERROR(IF(B514="","",SUMIF(搜索词报告!$A$2:$A$22222,总体数据一览!A514,搜索词报告!$V$2:$V$22222))+IF(B514="","",SUMIF(搜索词报告!$A$2:$A$22222,总体数据一览!A514,搜索词报告!$W$2:$W$22222)),"")</f>
        <v/>
      </c>
      <c r="H514" s="2" t="str">
        <f t="shared" si="26"/>
        <v/>
      </c>
    </row>
    <row r="515" spans="2:8" x14ac:dyDescent="0.15">
      <c r="B515" t="str">
        <f>IF(SUMIF(搜索词报告!$A$2:$A$22222,总体数据一览!A515,搜索词报告!$I$2:$I$22222)=0,"",SUMIF(搜索词报告!$A$2:$A$22222,总体数据一览!A515,搜索词报告!$I$2:$I$22222))</f>
        <v/>
      </c>
      <c r="C515" t="str">
        <f>IF(SUMIF(搜索词报告!$A$2:$A$22222,总体数据一览!A515,搜索词报告!$J$2:$J$22222)=0,"",SUMIF(搜索词报告!$A$2:$A$22222,总体数据一览!A515,搜索词报告!$J$2:$J$22222))</f>
        <v/>
      </c>
      <c r="D515" s="2" t="str">
        <f t="shared" si="24"/>
        <v/>
      </c>
      <c r="E515" t="str">
        <f t="shared" si="25"/>
        <v/>
      </c>
      <c r="F515" t="str">
        <f>IF(SUMIF(搜索词报告!$A$2:$A$22222,总体数据一览!A515,搜索词报告!$M$2:$M$22222)=0,"",SUMIF(搜索词报告!$A$2:$A$22222,总体数据一览!A515,搜索词报告!$M$2:$M$22222))</f>
        <v/>
      </c>
      <c r="G515" t="str">
        <f>IFERROR(IF(B515="","",SUMIF(搜索词报告!$A$2:$A$22222,总体数据一览!A515,搜索词报告!$V$2:$V$22222))+IF(B515="","",SUMIF(搜索词报告!$A$2:$A$22222,总体数据一览!A515,搜索词报告!$W$2:$W$22222)),"")</f>
        <v/>
      </c>
      <c r="H515" s="2" t="str">
        <f t="shared" si="26"/>
        <v/>
      </c>
    </row>
    <row r="516" spans="2:8" x14ac:dyDescent="0.15">
      <c r="B516" t="str">
        <f>IF(SUMIF(搜索词报告!$A$2:$A$22222,总体数据一览!A516,搜索词报告!$I$2:$I$22222)=0,"",SUMIF(搜索词报告!$A$2:$A$22222,总体数据一览!A516,搜索词报告!$I$2:$I$22222))</f>
        <v/>
      </c>
      <c r="C516" t="str">
        <f>IF(SUMIF(搜索词报告!$A$2:$A$22222,总体数据一览!A516,搜索词报告!$J$2:$J$22222)=0,"",SUMIF(搜索词报告!$A$2:$A$22222,总体数据一览!A516,搜索词报告!$J$2:$J$22222))</f>
        <v/>
      </c>
      <c r="D516" s="2" t="str">
        <f t="shared" si="24"/>
        <v/>
      </c>
      <c r="E516" t="str">
        <f t="shared" si="25"/>
        <v/>
      </c>
      <c r="F516" t="str">
        <f>IF(SUMIF(搜索词报告!$A$2:$A$22222,总体数据一览!A516,搜索词报告!$M$2:$M$22222)=0,"",SUMIF(搜索词报告!$A$2:$A$22222,总体数据一览!A516,搜索词报告!$M$2:$M$22222))</f>
        <v/>
      </c>
      <c r="G516" t="str">
        <f>IFERROR(IF(B516="","",SUMIF(搜索词报告!$A$2:$A$22222,总体数据一览!A516,搜索词报告!$V$2:$V$22222))+IF(B516="","",SUMIF(搜索词报告!$A$2:$A$22222,总体数据一览!A516,搜索词报告!$W$2:$W$22222)),"")</f>
        <v/>
      </c>
      <c r="H516" s="2" t="str">
        <f t="shared" si="26"/>
        <v/>
      </c>
    </row>
    <row r="517" spans="2:8" x14ac:dyDescent="0.15">
      <c r="B517" t="str">
        <f>IF(SUMIF(搜索词报告!$A$2:$A$22222,总体数据一览!A517,搜索词报告!$I$2:$I$22222)=0,"",SUMIF(搜索词报告!$A$2:$A$22222,总体数据一览!A517,搜索词报告!$I$2:$I$22222))</f>
        <v/>
      </c>
      <c r="C517" t="str">
        <f>IF(SUMIF(搜索词报告!$A$2:$A$22222,总体数据一览!A517,搜索词报告!$J$2:$J$22222)=0,"",SUMIF(搜索词报告!$A$2:$A$22222,总体数据一览!A517,搜索词报告!$J$2:$J$22222))</f>
        <v/>
      </c>
      <c r="D517" s="2" t="str">
        <f t="shared" si="24"/>
        <v/>
      </c>
      <c r="E517" t="str">
        <f t="shared" si="25"/>
        <v/>
      </c>
      <c r="F517" t="str">
        <f>IF(SUMIF(搜索词报告!$A$2:$A$22222,总体数据一览!A517,搜索词报告!$M$2:$M$22222)=0,"",SUMIF(搜索词报告!$A$2:$A$22222,总体数据一览!A517,搜索词报告!$M$2:$M$22222))</f>
        <v/>
      </c>
      <c r="G517" t="str">
        <f>IFERROR(IF(B517="","",SUMIF(搜索词报告!$A$2:$A$22222,总体数据一览!A517,搜索词报告!$V$2:$V$22222))+IF(B517="","",SUMIF(搜索词报告!$A$2:$A$22222,总体数据一览!A517,搜索词报告!$W$2:$W$22222)),"")</f>
        <v/>
      </c>
      <c r="H517" s="2" t="str">
        <f t="shared" si="26"/>
        <v/>
      </c>
    </row>
    <row r="518" spans="2:8" x14ac:dyDescent="0.15">
      <c r="B518" t="str">
        <f>IF(SUMIF(搜索词报告!$A$2:$A$22222,总体数据一览!A518,搜索词报告!$I$2:$I$22222)=0,"",SUMIF(搜索词报告!$A$2:$A$22222,总体数据一览!A518,搜索词报告!$I$2:$I$22222))</f>
        <v/>
      </c>
      <c r="C518" t="str">
        <f>IF(SUMIF(搜索词报告!$A$2:$A$22222,总体数据一览!A518,搜索词报告!$J$2:$J$22222)=0,"",SUMIF(搜索词报告!$A$2:$A$22222,总体数据一览!A518,搜索词报告!$J$2:$J$22222))</f>
        <v/>
      </c>
      <c r="D518" s="2" t="str">
        <f t="shared" si="24"/>
        <v/>
      </c>
      <c r="E518" t="str">
        <f t="shared" si="25"/>
        <v/>
      </c>
      <c r="F518" t="str">
        <f>IF(SUMIF(搜索词报告!$A$2:$A$22222,总体数据一览!A518,搜索词报告!$M$2:$M$22222)=0,"",SUMIF(搜索词报告!$A$2:$A$22222,总体数据一览!A518,搜索词报告!$M$2:$M$22222))</f>
        <v/>
      </c>
      <c r="G518" t="str">
        <f>IFERROR(IF(B518="","",SUMIF(搜索词报告!$A$2:$A$22222,总体数据一览!A518,搜索词报告!$V$2:$V$22222))+IF(B518="","",SUMIF(搜索词报告!$A$2:$A$22222,总体数据一览!A518,搜索词报告!$W$2:$W$22222)),"")</f>
        <v/>
      </c>
      <c r="H518" s="2" t="str">
        <f t="shared" si="26"/>
        <v/>
      </c>
    </row>
    <row r="519" spans="2:8" x14ac:dyDescent="0.15">
      <c r="B519" t="str">
        <f>IF(SUMIF(搜索词报告!$A$2:$A$22222,总体数据一览!A519,搜索词报告!$I$2:$I$22222)=0,"",SUMIF(搜索词报告!$A$2:$A$22222,总体数据一览!A519,搜索词报告!$I$2:$I$22222))</f>
        <v/>
      </c>
      <c r="C519" t="str">
        <f>IF(SUMIF(搜索词报告!$A$2:$A$22222,总体数据一览!A519,搜索词报告!$J$2:$J$22222)=0,"",SUMIF(搜索词报告!$A$2:$A$22222,总体数据一览!A519,搜索词报告!$J$2:$J$22222))</f>
        <v/>
      </c>
      <c r="D519" s="2" t="str">
        <f t="shared" si="24"/>
        <v/>
      </c>
      <c r="E519" t="str">
        <f t="shared" si="25"/>
        <v/>
      </c>
      <c r="F519" t="str">
        <f>IF(SUMIF(搜索词报告!$A$2:$A$22222,总体数据一览!A519,搜索词报告!$M$2:$M$22222)=0,"",SUMIF(搜索词报告!$A$2:$A$22222,总体数据一览!A519,搜索词报告!$M$2:$M$22222))</f>
        <v/>
      </c>
      <c r="G519" t="str">
        <f>IFERROR(IF(B519="","",SUMIF(搜索词报告!$A$2:$A$22222,总体数据一览!A519,搜索词报告!$V$2:$V$22222))+IF(B519="","",SUMIF(搜索词报告!$A$2:$A$22222,总体数据一览!A519,搜索词报告!$W$2:$W$22222)),"")</f>
        <v/>
      </c>
      <c r="H519" s="2" t="str">
        <f t="shared" si="26"/>
        <v/>
      </c>
    </row>
    <row r="520" spans="2:8" x14ac:dyDescent="0.15">
      <c r="B520" t="str">
        <f>IF(SUMIF(搜索词报告!$A$2:$A$22222,总体数据一览!A520,搜索词报告!$I$2:$I$22222)=0,"",SUMIF(搜索词报告!$A$2:$A$22222,总体数据一览!A520,搜索词报告!$I$2:$I$22222))</f>
        <v/>
      </c>
      <c r="C520" t="str">
        <f>IF(SUMIF(搜索词报告!$A$2:$A$22222,总体数据一览!A520,搜索词报告!$J$2:$J$22222)=0,"",SUMIF(搜索词报告!$A$2:$A$22222,总体数据一览!A520,搜索词报告!$J$2:$J$22222))</f>
        <v/>
      </c>
      <c r="D520" s="2" t="str">
        <f t="shared" si="24"/>
        <v/>
      </c>
      <c r="E520" t="str">
        <f t="shared" si="25"/>
        <v/>
      </c>
      <c r="F520" t="str">
        <f>IF(SUMIF(搜索词报告!$A$2:$A$22222,总体数据一览!A520,搜索词报告!$M$2:$M$22222)=0,"",SUMIF(搜索词报告!$A$2:$A$22222,总体数据一览!A520,搜索词报告!$M$2:$M$22222))</f>
        <v/>
      </c>
      <c r="G520" t="str">
        <f>IFERROR(IF(B520="","",SUMIF(搜索词报告!$A$2:$A$22222,总体数据一览!A520,搜索词报告!$V$2:$V$22222))+IF(B520="","",SUMIF(搜索词报告!$A$2:$A$22222,总体数据一览!A520,搜索词报告!$W$2:$W$22222)),"")</f>
        <v/>
      </c>
      <c r="H520" s="2" t="str">
        <f t="shared" si="26"/>
        <v/>
      </c>
    </row>
    <row r="521" spans="2:8" x14ac:dyDescent="0.15">
      <c r="B521" t="str">
        <f>IF(SUMIF(搜索词报告!$A$2:$A$22222,总体数据一览!A521,搜索词报告!$I$2:$I$22222)=0,"",SUMIF(搜索词报告!$A$2:$A$22222,总体数据一览!A521,搜索词报告!$I$2:$I$22222))</f>
        <v/>
      </c>
      <c r="C521" t="str">
        <f>IF(SUMIF(搜索词报告!$A$2:$A$22222,总体数据一览!A521,搜索词报告!$J$2:$J$22222)=0,"",SUMIF(搜索词报告!$A$2:$A$22222,总体数据一览!A521,搜索词报告!$J$2:$J$22222))</f>
        <v/>
      </c>
      <c r="D521" s="2" t="str">
        <f t="shared" si="24"/>
        <v/>
      </c>
      <c r="E521" t="str">
        <f t="shared" si="25"/>
        <v/>
      </c>
      <c r="F521" t="str">
        <f>IF(SUMIF(搜索词报告!$A$2:$A$22222,总体数据一览!A521,搜索词报告!$M$2:$M$22222)=0,"",SUMIF(搜索词报告!$A$2:$A$22222,总体数据一览!A521,搜索词报告!$M$2:$M$22222))</f>
        <v/>
      </c>
      <c r="G521" t="str">
        <f>IFERROR(IF(B521="","",SUMIF(搜索词报告!$A$2:$A$22222,总体数据一览!A521,搜索词报告!$V$2:$V$22222))+IF(B521="","",SUMIF(搜索词报告!$A$2:$A$22222,总体数据一览!A521,搜索词报告!$W$2:$W$22222)),"")</f>
        <v/>
      </c>
      <c r="H521" s="2" t="str">
        <f t="shared" si="26"/>
        <v/>
      </c>
    </row>
    <row r="522" spans="2:8" x14ac:dyDescent="0.15">
      <c r="B522" t="str">
        <f>IF(SUMIF(搜索词报告!$A$2:$A$22222,总体数据一览!A522,搜索词报告!$I$2:$I$22222)=0,"",SUMIF(搜索词报告!$A$2:$A$22222,总体数据一览!A522,搜索词报告!$I$2:$I$22222))</f>
        <v/>
      </c>
      <c r="C522" t="str">
        <f>IF(SUMIF(搜索词报告!$A$2:$A$22222,总体数据一览!A522,搜索词报告!$J$2:$J$22222)=0,"",SUMIF(搜索词报告!$A$2:$A$22222,总体数据一览!A522,搜索词报告!$J$2:$J$22222))</f>
        <v/>
      </c>
      <c r="D522" s="2" t="str">
        <f t="shared" si="24"/>
        <v/>
      </c>
      <c r="E522" t="str">
        <f t="shared" si="25"/>
        <v/>
      </c>
      <c r="F522" t="str">
        <f>IF(SUMIF(搜索词报告!$A$2:$A$22222,总体数据一览!A522,搜索词报告!$M$2:$M$22222)=0,"",SUMIF(搜索词报告!$A$2:$A$22222,总体数据一览!A522,搜索词报告!$M$2:$M$22222))</f>
        <v/>
      </c>
      <c r="G522" t="str">
        <f>IFERROR(IF(B522="","",SUMIF(搜索词报告!$A$2:$A$22222,总体数据一览!A522,搜索词报告!$V$2:$V$22222))+IF(B522="","",SUMIF(搜索词报告!$A$2:$A$22222,总体数据一览!A522,搜索词报告!$W$2:$W$22222)),"")</f>
        <v/>
      </c>
      <c r="H522" s="2" t="str">
        <f t="shared" si="26"/>
        <v/>
      </c>
    </row>
    <row r="523" spans="2:8" x14ac:dyDescent="0.15">
      <c r="B523" t="str">
        <f>IF(SUMIF(搜索词报告!$A$2:$A$22222,总体数据一览!A523,搜索词报告!$I$2:$I$22222)=0,"",SUMIF(搜索词报告!$A$2:$A$22222,总体数据一览!A523,搜索词报告!$I$2:$I$22222))</f>
        <v/>
      </c>
      <c r="C523" t="str">
        <f>IF(SUMIF(搜索词报告!$A$2:$A$22222,总体数据一览!A523,搜索词报告!$J$2:$J$22222)=0,"",SUMIF(搜索词报告!$A$2:$A$22222,总体数据一览!A523,搜索词报告!$J$2:$J$22222))</f>
        <v/>
      </c>
      <c r="D523" s="2" t="str">
        <f t="shared" si="24"/>
        <v/>
      </c>
      <c r="E523" t="str">
        <f t="shared" si="25"/>
        <v/>
      </c>
      <c r="F523" t="str">
        <f>IF(SUMIF(搜索词报告!$A$2:$A$22222,总体数据一览!A523,搜索词报告!$M$2:$M$22222)=0,"",SUMIF(搜索词报告!$A$2:$A$22222,总体数据一览!A523,搜索词报告!$M$2:$M$22222))</f>
        <v/>
      </c>
      <c r="G523" t="str">
        <f>IFERROR(IF(B523="","",SUMIF(搜索词报告!$A$2:$A$22222,总体数据一览!A523,搜索词报告!$V$2:$V$22222))+IF(B523="","",SUMIF(搜索词报告!$A$2:$A$22222,总体数据一览!A523,搜索词报告!$W$2:$W$22222)),"")</f>
        <v/>
      </c>
      <c r="H523" s="2" t="str">
        <f t="shared" si="26"/>
        <v/>
      </c>
    </row>
    <row r="524" spans="2:8" x14ac:dyDescent="0.15">
      <c r="B524" t="str">
        <f>IF(SUMIF(搜索词报告!$A$2:$A$22222,总体数据一览!A524,搜索词报告!$I$2:$I$22222)=0,"",SUMIF(搜索词报告!$A$2:$A$22222,总体数据一览!A524,搜索词报告!$I$2:$I$22222))</f>
        <v/>
      </c>
      <c r="C524" t="str">
        <f>IF(SUMIF(搜索词报告!$A$2:$A$22222,总体数据一览!A524,搜索词报告!$J$2:$J$22222)=0,"",SUMIF(搜索词报告!$A$2:$A$22222,总体数据一览!A524,搜索词报告!$J$2:$J$22222))</f>
        <v/>
      </c>
      <c r="D524" s="2" t="str">
        <f t="shared" si="24"/>
        <v/>
      </c>
      <c r="E524" t="str">
        <f t="shared" si="25"/>
        <v/>
      </c>
      <c r="F524" t="str">
        <f>IF(SUMIF(搜索词报告!$A$2:$A$22222,总体数据一览!A524,搜索词报告!$M$2:$M$22222)=0,"",SUMIF(搜索词报告!$A$2:$A$22222,总体数据一览!A524,搜索词报告!$M$2:$M$22222))</f>
        <v/>
      </c>
      <c r="G524" t="str">
        <f>IFERROR(IF(B524="","",SUMIF(搜索词报告!$A$2:$A$22222,总体数据一览!A524,搜索词报告!$V$2:$V$22222))+IF(B524="","",SUMIF(搜索词报告!$A$2:$A$22222,总体数据一览!A524,搜索词报告!$W$2:$W$22222)),"")</f>
        <v/>
      </c>
      <c r="H524" s="2" t="str">
        <f t="shared" si="26"/>
        <v/>
      </c>
    </row>
    <row r="525" spans="2:8" x14ac:dyDescent="0.15">
      <c r="B525" t="str">
        <f>IF(SUMIF(搜索词报告!$A$2:$A$22222,总体数据一览!A525,搜索词报告!$I$2:$I$22222)=0,"",SUMIF(搜索词报告!$A$2:$A$22222,总体数据一览!A525,搜索词报告!$I$2:$I$22222))</f>
        <v/>
      </c>
      <c r="C525" t="str">
        <f>IF(SUMIF(搜索词报告!$A$2:$A$22222,总体数据一览!A525,搜索词报告!$J$2:$J$22222)=0,"",SUMIF(搜索词报告!$A$2:$A$22222,总体数据一览!A525,搜索词报告!$J$2:$J$22222))</f>
        <v/>
      </c>
      <c r="D525" s="2" t="str">
        <f t="shared" si="24"/>
        <v/>
      </c>
      <c r="E525" t="str">
        <f t="shared" si="25"/>
        <v/>
      </c>
      <c r="F525" t="str">
        <f>IF(SUMIF(搜索词报告!$A$2:$A$22222,总体数据一览!A525,搜索词报告!$M$2:$M$22222)=0,"",SUMIF(搜索词报告!$A$2:$A$22222,总体数据一览!A525,搜索词报告!$M$2:$M$22222))</f>
        <v/>
      </c>
      <c r="G525" t="str">
        <f>IFERROR(IF(B525="","",SUMIF(搜索词报告!$A$2:$A$22222,总体数据一览!A525,搜索词报告!$V$2:$V$22222))+IF(B525="","",SUMIF(搜索词报告!$A$2:$A$22222,总体数据一览!A525,搜索词报告!$W$2:$W$22222)),"")</f>
        <v/>
      </c>
      <c r="H525" s="2" t="str">
        <f t="shared" si="26"/>
        <v/>
      </c>
    </row>
    <row r="526" spans="2:8" x14ac:dyDescent="0.15">
      <c r="B526" t="str">
        <f>IF(SUMIF(搜索词报告!$A$2:$A$22222,总体数据一览!A526,搜索词报告!$I$2:$I$22222)=0,"",SUMIF(搜索词报告!$A$2:$A$22222,总体数据一览!A526,搜索词报告!$I$2:$I$22222))</f>
        <v/>
      </c>
      <c r="C526" t="str">
        <f>IF(SUMIF(搜索词报告!$A$2:$A$22222,总体数据一览!A526,搜索词报告!$J$2:$J$22222)=0,"",SUMIF(搜索词报告!$A$2:$A$22222,总体数据一览!A526,搜索词报告!$J$2:$J$22222))</f>
        <v/>
      </c>
      <c r="D526" s="2" t="str">
        <f t="shared" si="24"/>
        <v/>
      </c>
      <c r="E526" t="str">
        <f t="shared" si="25"/>
        <v/>
      </c>
      <c r="F526" t="str">
        <f>IF(SUMIF(搜索词报告!$A$2:$A$22222,总体数据一览!A526,搜索词报告!$M$2:$M$22222)=0,"",SUMIF(搜索词报告!$A$2:$A$22222,总体数据一览!A526,搜索词报告!$M$2:$M$22222))</f>
        <v/>
      </c>
      <c r="G526" t="str">
        <f>IFERROR(IF(B526="","",SUMIF(搜索词报告!$A$2:$A$22222,总体数据一览!A526,搜索词报告!$V$2:$V$22222))+IF(B526="","",SUMIF(搜索词报告!$A$2:$A$22222,总体数据一览!A526,搜索词报告!$W$2:$W$22222)),"")</f>
        <v/>
      </c>
      <c r="H526" s="2" t="str">
        <f t="shared" si="26"/>
        <v/>
      </c>
    </row>
    <row r="527" spans="2:8" x14ac:dyDescent="0.15">
      <c r="B527" t="str">
        <f>IF(SUMIF(搜索词报告!$A$2:$A$22222,总体数据一览!A527,搜索词报告!$I$2:$I$22222)=0,"",SUMIF(搜索词报告!$A$2:$A$22222,总体数据一览!A527,搜索词报告!$I$2:$I$22222))</f>
        <v/>
      </c>
      <c r="C527" t="str">
        <f>IF(SUMIF(搜索词报告!$A$2:$A$22222,总体数据一览!A527,搜索词报告!$J$2:$J$22222)=0,"",SUMIF(搜索词报告!$A$2:$A$22222,总体数据一览!A527,搜索词报告!$J$2:$J$22222))</f>
        <v/>
      </c>
      <c r="D527" s="2" t="str">
        <f t="shared" si="24"/>
        <v/>
      </c>
      <c r="E527" t="str">
        <f t="shared" si="25"/>
        <v/>
      </c>
      <c r="F527" t="str">
        <f>IF(SUMIF(搜索词报告!$A$2:$A$22222,总体数据一览!A527,搜索词报告!$M$2:$M$22222)=0,"",SUMIF(搜索词报告!$A$2:$A$22222,总体数据一览!A527,搜索词报告!$M$2:$M$22222))</f>
        <v/>
      </c>
      <c r="G527" t="str">
        <f>IFERROR(IF(B527="","",SUMIF(搜索词报告!$A$2:$A$22222,总体数据一览!A527,搜索词报告!$V$2:$V$22222))+IF(B527="","",SUMIF(搜索词报告!$A$2:$A$22222,总体数据一览!A527,搜索词报告!$W$2:$W$22222)),"")</f>
        <v/>
      </c>
      <c r="H527" s="2" t="str">
        <f t="shared" si="26"/>
        <v/>
      </c>
    </row>
    <row r="528" spans="2:8" x14ac:dyDescent="0.15">
      <c r="B528" t="str">
        <f>IF(SUMIF(搜索词报告!$A$2:$A$22222,总体数据一览!A528,搜索词报告!$I$2:$I$22222)=0,"",SUMIF(搜索词报告!$A$2:$A$22222,总体数据一览!A528,搜索词报告!$I$2:$I$22222))</f>
        <v/>
      </c>
      <c r="C528" t="str">
        <f>IF(SUMIF(搜索词报告!$A$2:$A$22222,总体数据一览!A528,搜索词报告!$J$2:$J$22222)=0,"",SUMIF(搜索词报告!$A$2:$A$22222,总体数据一览!A528,搜索词报告!$J$2:$J$22222))</f>
        <v/>
      </c>
      <c r="D528" s="2" t="str">
        <f t="shared" si="24"/>
        <v/>
      </c>
      <c r="E528" t="str">
        <f t="shared" si="25"/>
        <v/>
      </c>
      <c r="F528" t="str">
        <f>IF(SUMIF(搜索词报告!$A$2:$A$22222,总体数据一览!A528,搜索词报告!$M$2:$M$22222)=0,"",SUMIF(搜索词报告!$A$2:$A$22222,总体数据一览!A528,搜索词报告!$M$2:$M$22222))</f>
        <v/>
      </c>
      <c r="G528" t="str">
        <f>IFERROR(IF(B528="","",SUMIF(搜索词报告!$A$2:$A$22222,总体数据一览!A528,搜索词报告!$V$2:$V$22222))+IF(B528="","",SUMIF(搜索词报告!$A$2:$A$22222,总体数据一览!A528,搜索词报告!$W$2:$W$22222)),"")</f>
        <v/>
      </c>
      <c r="H528" s="2" t="str">
        <f t="shared" si="26"/>
        <v/>
      </c>
    </row>
    <row r="529" spans="2:8" x14ac:dyDescent="0.15">
      <c r="B529" t="str">
        <f>IF(SUMIF(搜索词报告!$A$2:$A$22222,总体数据一览!A529,搜索词报告!$I$2:$I$22222)=0,"",SUMIF(搜索词报告!$A$2:$A$22222,总体数据一览!A529,搜索词报告!$I$2:$I$22222))</f>
        <v/>
      </c>
      <c r="C529" t="str">
        <f>IF(SUMIF(搜索词报告!$A$2:$A$22222,总体数据一览!A529,搜索词报告!$J$2:$J$22222)=0,"",SUMIF(搜索词报告!$A$2:$A$22222,总体数据一览!A529,搜索词报告!$J$2:$J$22222))</f>
        <v/>
      </c>
      <c r="D529" s="2" t="str">
        <f t="shared" si="24"/>
        <v/>
      </c>
      <c r="E529" t="str">
        <f t="shared" si="25"/>
        <v/>
      </c>
      <c r="F529" t="str">
        <f>IF(SUMIF(搜索词报告!$A$2:$A$22222,总体数据一览!A529,搜索词报告!$M$2:$M$22222)=0,"",SUMIF(搜索词报告!$A$2:$A$22222,总体数据一览!A529,搜索词报告!$M$2:$M$22222))</f>
        <v/>
      </c>
      <c r="G529" t="str">
        <f>IFERROR(IF(B529="","",SUMIF(搜索词报告!$A$2:$A$22222,总体数据一览!A529,搜索词报告!$V$2:$V$22222))+IF(B529="","",SUMIF(搜索词报告!$A$2:$A$22222,总体数据一览!A529,搜索词报告!$W$2:$W$22222)),"")</f>
        <v/>
      </c>
      <c r="H529" s="2" t="str">
        <f t="shared" si="26"/>
        <v/>
      </c>
    </row>
    <row r="530" spans="2:8" x14ac:dyDescent="0.15">
      <c r="B530" t="str">
        <f>IF(SUMIF(搜索词报告!$A$2:$A$22222,总体数据一览!A530,搜索词报告!$I$2:$I$22222)=0,"",SUMIF(搜索词报告!$A$2:$A$22222,总体数据一览!A530,搜索词报告!$I$2:$I$22222))</f>
        <v/>
      </c>
      <c r="C530" t="str">
        <f>IF(SUMIF(搜索词报告!$A$2:$A$22222,总体数据一览!A530,搜索词报告!$J$2:$J$22222)=0,"",SUMIF(搜索词报告!$A$2:$A$22222,总体数据一览!A530,搜索词报告!$J$2:$J$22222))</f>
        <v/>
      </c>
      <c r="D530" s="2" t="str">
        <f t="shared" si="24"/>
        <v/>
      </c>
      <c r="E530" t="str">
        <f t="shared" si="25"/>
        <v/>
      </c>
      <c r="F530" t="str">
        <f>IF(SUMIF(搜索词报告!$A$2:$A$22222,总体数据一览!A530,搜索词报告!$M$2:$M$22222)=0,"",SUMIF(搜索词报告!$A$2:$A$22222,总体数据一览!A530,搜索词报告!$M$2:$M$22222))</f>
        <v/>
      </c>
      <c r="G530" t="str">
        <f>IFERROR(IF(B530="","",SUMIF(搜索词报告!$A$2:$A$22222,总体数据一览!A530,搜索词报告!$V$2:$V$22222))+IF(B530="","",SUMIF(搜索词报告!$A$2:$A$22222,总体数据一览!A530,搜索词报告!$W$2:$W$22222)),"")</f>
        <v/>
      </c>
      <c r="H530" s="2" t="str">
        <f t="shared" si="26"/>
        <v/>
      </c>
    </row>
    <row r="531" spans="2:8" x14ac:dyDescent="0.15">
      <c r="B531" t="str">
        <f>IF(SUMIF(搜索词报告!$A$2:$A$22222,总体数据一览!A531,搜索词报告!$I$2:$I$22222)=0,"",SUMIF(搜索词报告!$A$2:$A$22222,总体数据一览!A531,搜索词报告!$I$2:$I$22222))</f>
        <v/>
      </c>
      <c r="C531" t="str">
        <f>IF(SUMIF(搜索词报告!$A$2:$A$22222,总体数据一览!A531,搜索词报告!$J$2:$J$22222)=0,"",SUMIF(搜索词报告!$A$2:$A$22222,总体数据一览!A531,搜索词报告!$J$2:$J$22222))</f>
        <v/>
      </c>
      <c r="D531" s="2" t="str">
        <f t="shared" si="24"/>
        <v/>
      </c>
      <c r="E531" t="str">
        <f t="shared" si="25"/>
        <v/>
      </c>
      <c r="F531" t="str">
        <f>IF(SUMIF(搜索词报告!$A$2:$A$22222,总体数据一览!A531,搜索词报告!$M$2:$M$22222)=0,"",SUMIF(搜索词报告!$A$2:$A$22222,总体数据一览!A531,搜索词报告!$M$2:$M$22222))</f>
        <v/>
      </c>
      <c r="G531" t="str">
        <f>IFERROR(IF(B531="","",SUMIF(搜索词报告!$A$2:$A$22222,总体数据一览!A531,搜索词报告!$V$2:$V$22222))+IF(B531="","",SUMIF(搜索词报告!$A$2:$A$22222,总体数据一览!A531,搜索词报告!$W$2:$W$22222)),"")</f>
        <v/>
      </c>
      <c r="H531" s="2" t="str">
        <f t="shared" si="26"/>
        <v/>
      </c>
    </row>
    <row r="532" spans="2:8" x14ac:dyDescent="0.15">
      <c r="B532" t="str">
        <f>IF(SUMIF(搜索词报告!$A$2:$A$22222,总体数据一览!A532,搜索词报告!$I$2:$I$22222)=0,"",SUMIF(搜索词报告!$A$2:$A$22222,总体数据一览!A532,搜索词报告!$I$2:$I$22222))</f>
        <v/>
      </c>
      <c r="C532" t="str">
        <f>IF(SUMIF(搜索词报告!$A$2:$A$22222,总体数据一览!A532,搜索词报告!$J$2:$J$22222)=0,"",SUMIF(搜索词报告!$A$2:$A$22222,总体数据一览!A532,搜索词报告!$J$2:$J$22222))</f>
        <v/>
      </c>
      <c r="D532" s="2" t="str">
        <f t="shared" ref="D532:D595" si="27">IFERROR(ROUND(C532/B532,4),"")</f>
        <v/>
      </c>
      <c r="E532" t="str">
        <f t="shared" ref="E532:E595" si="28">IFERROR(ROUND(F532/C532,2),"")</f>
        <v/>
      </c>
      <c r="F532" t="str">
        <f>IF(SUMIF(搜索词报告!$A$2:$A$22222,总体数据一览!A532,搜索词报告!$M$2:$M$22222)=0,"",SUMIF(搜索词报告!$A$2:$A$22222,总体数据一览!A532,搜索词报告!$M$2:$M$22222))</f>
        <v/>
      </c>
      <c r="G532" t="str">
        <f>IFERROR(IF(B532="","",SUMIF(搜索词报告!$A$2:$A$22222,总体数据一览!A532,搜索词报告!$V$2:$V$22222))+IF(B532="","",SUMIF(搜索词报告!$A$2:$A$22222,总体数据一览!A532,搜索词报告!$W$2:$W$22222)),"")</f>
        <v/>
      </c>
      <c r="H532" s="2" t="str">
        <f t="shared" ref="H532:H595" si="29">IFERROR(ROUND(F532/G532,2),"")</f>
        <v/>
      </c>
    </row>
    <row r="533" spans="2:8" x14ac:dyDescent="0.15">
      <c r="B533" t="str">
        <f>IF(SUMIF(搜索词报告!$A$2:$A$22222,总体数据一览!A533,搜索词报告!$I$2:$I$22222)=0,"",SUMIF(搜索词报告!$A$2:$A$22222,总体数据一览!A533,搜索词报告!$I$2:$I$22222))</f>
        <v/>
      </c>
      <c r="C533" t="str">
        <f>IF(SUMIF(搜索词报告!$A$2:$A$22222,总体数据一览!A533,搜索词报告!$J$2:$J$22222)=0,"",SUMIF(搜索词报告!$A$2:$A$22222,总体数据一览!A533,搜索词报告!$J$2:$J$22222))</f>
        <v/>
      </c>
      <c r="D533" s="2" t="str">
        <f t="shared" si="27"/>
        <v/>
      </c>
      <c r="E533" t="str">
        <f t="shared" si="28"/>
        <v/>
      </c>
      <c r="F533" t="str">
        <f>IF(SUMIF(搜索词报告!$A$2:$A$22222,总体数据一览!A533,搜索词报告!$M$2:$M$22222)=0,"",SUMIF(搜索词报告!$A$2:$A$22222,总体数据一览!A533,搜索词报告!$M$2:$M$22222))</f>
        <v/>
      </c>
      <c r="G533" t="str">
        <f>IFERROR(IF(B533="","",SUMIF(搜索词报告!$A$2:$A$22222,总体数据一览!A533,搜索词报告!$V$2:$V$22222))+IF(B533="","",SUMIF(搜索词报告!$A$2:$A$22222,总体数据一览!A533,搜索词报告!$W$2:$W$22222)),"")</f>
        <v/>
      </c>
      <c r="H533" s="2" t="str">
        <f t="shared" si="29"/>
        <v/>
      </c>
    </row>
    <row r="534" spans="2:8" x14ac:dyDescent="0.15">
      <c r="B534" t="str">
        <f>IF(SUMIF(搜索词报告!$A$2:$A$22222,总体数据一览!A534,搜索词报告!$I$2:$I$22222)=0,"",SUMIF(搜索词报告!$A$2:$A$22222,总体数据一览!A534,搜索词报告!$I$2:$I$22222))</f>
        <v/>
      </c>
      <c r="C534" t="str">
        <f>IF(SUMIF(搜索词报告!$A$2:$A$22222,总体数据一览!A534,搜索词报告!$J$2:$J$22222)=0,"",SUMIF(搜索词报告!$A$2:$A$22222,总体数据一览!A534,搜索词报告!$J$2:$J$22222))</f>
        <v/>
      </c>
      <c r="D534" s="2" t="str">
        <f t="shared" si="27"/>
        <v/>
      </c>
      <c r="E534" t="str">
        <f t="shared" si="28"/>
        <v/>
      </c>
      <c r="F534" t="str">
        <f>IF(SUMIF(搜索词报告!$A$2:$A$22222,总体数据一览!A534,搜索词报告!$M$2:$M$22222)=0,"",SUMIF(搜索词报告!$A$2:$A$22222,总体数据一览!A534,搜索词报告!$M$2:$M$22222))</f>
        <v/>
      </c>
      <c r="G534" t="str">
        <f>IFERROR(IF(B534="","",SUMIF(搜索词报告!$A$2:$A$22222,总体数据一览!A534,搜索词报告!$V$2:$V$22222))+IF(B534="","",SUMIF(搜索词报告!$A$2:$A$22222,总体数据一览!A534,搜索词报告!$W$2:$W$22222)),"")</f>
        <v/>
      </c>
      <c r="H534" s="2" t="str">
        <f t="shared" si="29"/>
        <v/>
      </c>
    </row>
    <row r="535" spans="2:8" x14ac:dyDescent="0.15">
      <c r="B535" t="str">
        <f>IF(SUMIF(搜索词报告!$A$2:$A$22222,总体数据一览!A535,搜索词报告!$I$2:$I$22222)=0,"",SUMIF(搜索词报告!$A$2:$A$22222,总体数据一览!A535,搜索词报告!$I$2:$I$22222))</f>
        <v/>
      </c>
      <c r="C535" t="str">
        <f>IF(SUMIF(搜索词报告!$A$2:$A$22222,总体数据一览!A535,搜索词报告!$J$2:$J$22222)=0,"",SUMIF(搜索词报告!$A$2:$A$22222,总体数据一览!A535,搜索词报告!$J$2:$J$22222))</f>
        <v/>
      </c>
      <c r="D535" s="2" t="str">
        <f t="shared" si="27"/>
        <v/>
      </c>
      <c r="E535" t="str">
        <f t="shared" si="28"/>
        <v/>
      </c>
      <c r="F535" t="str">
        <f>IF(SUMIF(搜索词报告!$A$2:$A$22222,总体数据一览!A535,搜索词报告!$M$2:$M$22222)=0,"",SUMIF(搜索词报告!$A$2:$A$22222,总体数据一览!A535,搜索词报告!$M$2:$M$22222))</f>
        <v/>
      </c>
      <c r="G535" t="str">
        <f>IFERROR(IF(B535="","",SUMIF(搜索词报告!$A$2:$A$22222,总体数据一览!A535,搜索词报告!$V$2:$V$22222))+IF(B535="","",SUMIF(搜索词报告!$A$2:$A$22222,总体数据一览!A535,搜索词报告!$W$2:$W$22222)),"")</f>
        <v/>
      </c>
      <c r="H535" s="2" t="str">
        <f t="shared" si="29"/>
        <v/>
      </c>
    </row>
    <row r="536" spans="2:8" x14ac:dyDescent="0.15">
      <c r="B536" t="str">
        <f>IF(SUMIF(搜索词报告!$A$2:$A$22222,总体数据一览!A536,搜索词报告!$I$2:$I$22222)=0,"",SUMIF(搜索词报告!$A$2:$A$22222,总体数据一览!A536,搜索词报告!$I$2:$I$22222))</f>
        <v/>
      </c>
      <c r="C536" t="str">
        <f>IF(SUMIF(搜索词报告!$A$2:$A$22222,总体数据一览!A536,搜索词报告!$J$2:$J$22222)=0,"",SUMIF(搜索词报告!$A$2:$A$22222,总体数据一览!A536,搜索词报告!$J$2:$J$22222))</f>
        <v/>
      </c>
      <c r="D536" s="2" t="str">
        <f t="shared" si="27"/>
        <v/>
      </c>
      <c r="E536" t="str">
        <f t="shared" si="28"/>
        <v/>
      </c>
      <c r="F536" t="str">
        <f>IF(SUMIF(搜索词报告!$A$2:$A$22222,总体数据一览!A536,搜索词报告!$M$2:$M$22222)=0,"",SUMIF(搜索词报告!$A$2:$A$22222,总体数据一览!A536,搜索词报告!$M$2:$M$22222))</f>
        <v/>
      </c>
      <c r="G536" t="str">
        <f>IFERROR(IF(B536="","",SUMIF(搜索词报告!$A$2:$A$22222,总体数据一览!A536,搜索词报告!$V$2:$V$22222))+IF(B536="","",SUMIF(搜索词报告!$A$2:$A$22222,总体数据一览!A536,搜索词报告!$W$2:$W$22222)),"")</f>
        <v/>
      </c>
      <c r="H536" s="2" t="str">
        <f t="shared" si="29"/>
        <v/>
      </c>
    </row>
    <row r="537" spans="2:8" x14ac:dyDescent="0.15">
      <c r="B537" t="str">
        <f>IF(SUMIF(搜索词报告!$A$2:$A$22222,总体数据一览!A537,搜索词报告!$I$2:$I$22222)=0,"",SUMIF(搜索词报告!$A$2:$A$22222,总体数据一览!A537,搜索词报告!$I$2:$I$22222))</f>
        <v/>
      </c>
      <c r="C537" t="str">
        <f>IF(SUMIF(搜索词报告!$A$2:$A$22222,总体数据一览!A537,搜索词报告!$J$2:$J$22222)=0,"",SUMIF(搜索词报告!$A$2:$A$22222,总体数据一览!A537,搜索词报告!$J$2:$J$22222))</f>
        <v/>
      </c>
      <c r="D537" s="2" t="str">
        <f t="shared" si="27"/>
        <v/>
      </c>
      <c r="E537" t="str">
        <f t="shared" si="28"/>
        <v/>
      </c>
      <c r="F537" t="str">
        <f>IF(SUMIF(搜索词报告!$A$2:$A$22222,总体数据一览!A537,搜索词报告!$M$2:$M$22222)=0,"",SUMIF(搜索词报告!$A$2:$A$22222,总体数据一览!A537,搜索词报告!$M$2:$M$22222))</f>
        <v/>
      </c>
      <c r="G537" t="str">
        <f>IFERROR(IF(B537="","",SUMIF(搜索词报告!$A$2:$A$22222,总体数据一览!A537,搜索词报告!$V$2:$V$22222))+IF(B537="","",SUMIF(搜索词报告!$A$2:$A$22222,总体数据一览!A537,搜索词报告!$W$2:$W$22222)),"")</f>
        <v/>
      </c>
      <c r="H537" s="2" t="str">
        <f t="shared" si="29"/>
        <v/>
      </c>
    </row>
    <row r="538" spans="2:8" x14ac:dyDescent="0.15">
      <c r="B538" t="str">
        <f>IF(SUMIF(搜索词报告!$A$2:$A$22222,总体数据一览!A538,搜索词报告!$I$2:$I$22222)=0,"",SUMIF(搜索词报告!$A$2:$A$22222,总体数据一览!A538,搜索词报告!$I$2:$I$22222))</f>
        <v/>
      </c>
      <c r="C538" t="str">
        <f>IF(SUMIF(搜索词报告!$A$2:$A$22222,总体数据一览!A538,搜索词报告!$J$2:$J$22222)=0,"",SUMIF(搜索词报告!$A$2:$A$22222,总体数据一览!A538,搜索词报告!$J$2:$J$22222))</f>
        <v/>
      </c>
      <c r="D538" s="2" t="str">
        <f t="shared" si="27"/>
        <v/>
      </c>
      <c r="E538" t="str">
        <f t="shared" si="28"/>
        <v/>
      </c>
      <c r="F538" t="str">
        <f>IF(SUMIF(搜索词报告!$A$2:$A$22222,总体数据一览!A538,搜索词报告!$M$2:$M$22222)=0,"",SUMIF(搜索词报告!$A$2:$A$22222,总体数据一览!A538,搜索词报告!$M$2:$M$22222))</f>
        <v/>
      </c>
      <c r="G538" t="str">
        <f>IFERROR(IF(B538="","",SUMIF(搜索词报告!$A$2:$A$22222,总体数据一览!A538,搜索词报告!$V$2:$V$22222))+IF(B538="","",SUMIF(搜索词报告!$A$2:$A$22222,总体数据一览!A538,搜索词报告!$W$2:$W$22222)),"")</f>
        <v/>
      </c>
      <c r="H538" s="2" t="str">
        <f t="shared" si="29"/>
        <v/>
      </c>
    </row>
    <row r="539" spans="2:8" x14ac:dyDescent="0.15">
      <c r="B539" t="str">
        <f>IF(SUMIF(搜索词报告!$A$2:$A$22222,总体数据一览!A539,搜索词报告!$I$2:$I$22222)=0,"",SUMIF(搜索词报告!$A$2:$A$22222,总体数据一览!A539,搜索词报告!$I$2:$I$22222))</f>
        <v/>
      </c>
      <c r="C539" t="str">
        <f>IF(SUMIF(搜索词报告!$A$2:$A$22222,总体数据一览!A539,搜索词报告!$J$2:$J$22222)=0,"",SUMIF(搜索词报告!$A$2:$A$22222,总体数据一览!A539,搜索词报告!$J$2:$J$22222))</f>
        <v/>
      </c>
      <c r="D539" s="2" t="str">
        <f t="shared" si="27"/>
        <v/>
      </c>
      <c r="E539" t="str">
        <f t="shared" si="28"/>
        <v/>
      </c>
      <c r="F539" t="str">
        <f>IF(SUMIF(搜索词报告!$A$2:$A$22222,总体数据一览!A539,搜索词报告!$M$2:$M$22222)=0,"",SUMIF(搜索词报告!$A$2:$A$22222,总体数据一览!A539,搜索词报告!$M$2:$M$22222))</f>
        <v/>
      </c>
      <c r="G539" t="str">
        <f>IFERROR(IF(B539="","",SUMIF(搜索词报告!$A$2:$A$22222,总体数据一览!A539,搜索词报告!$V$2:$V$22222))+IF(B539="","",SUMIF(搜索词报告!$A$2:$A$22222,总体数据一览!A539,搜索词报告!$W$2:$W$22222)),"")</f>
        <v/>
      </c>
      <c r="H539" s="2" t="str">
        <f t="shared" si="29"/>
        <v/>
      </c>
    </row>
    <row r="540" spans="2:8" x14ac:dyDescent="0.15">
      <c r="B540" t="str">
        <f>IF(SUMIF(搜索词报告!$A$2:$A$22222,总体数据一览!A540,搜索词报告!$I$2:$I$22222)=0,"",SUMIF(搜索词报告!$A$2:$A$22222,总体数据一览!A540,搜索词报告!$I$2:$I$22222))</f>
        <v/>
      </c>
      <c r="C540" t="str">
        <f>IF(SUMIF(搜索词报告!$A$2:$A$22222,总体数据一览!A540,搜索词报告!$J$2:$J$22222)=0,"",SUMIF(搜索词报告!$A$2:$A$22222,总体数据一览!A540,搜索词报告!$J$2:$J$22222))</f>
        <v/>
      </c>
      <c r="D540" s="2" t="str">
        <f t="shared" si="27"/>
        <v/>
      </c>
      <c r="E540" t="str">
        <f t="shared" si="28"/>
        <v/>
      </c>
      <c r="F540" t="str">
        <f>IF(SUMIF(搜索词报告!$A$2:$A$22222,总体数据一览!A540,搜索词报告!$M$2:$M$22222)=0,"",SUMIF(搜索词报告!$A$2:$A$22222,总体数据一览!A540,搜索词报告!$M$2:$M$22222))</f>
        <v/>
      </c>
      <c r="G540" t="str">
        <f>IFERROR(IF(B540="","",SUMIF(搜索词报告!$A$2:$A$22222,总体数据一览!A540,搜索词报告!$V$2:$V$22222))+IF(B540="","",SUMIF(搜索词报告!$A$2:$A$22222,总体数据一览!A540,搜索词报告!$W$2:$W$22222)),"")</f>
        <v/>
      </c>
      <c r="H540" s="2" t="str">
        <f t="shared" si="29"/>
        <v/>
      </c>
    </row>
    <row r="541" spans="2:8" x14ac:dyDescent="0.15">
      <c r="B541" t="str">
        <f>IF(SUMIF(搜索词报告!$A$2:$A$22222,总体数据一览!A541,搜索词报告!$I$2:$I$22222)=0,"",SUMIF(搜索词报告!$A$2:$A$22222,总体数据一览!A541,搜索词报告!$I$2:$I$22222))</f>
        <v/>
      </c>
      <c r="C541" t="str">
        <f>IF(SUMIF(搜索词报告!$A$2:$A$22222,总体数据一览!A541,搜索词报告!$J$2:$J$22222)=0,"",SUMIF(搜索词报告!$A$2:$A$22222,总体数据一览!A541,搜索词报告!$J$2:$J$22222))</f>
        <v/>
      </c>
      <c r="D541" s="2" t="str">
        <f t="shared" si="27"/>
        <v/>
      </c>
      <c r="E541" t="str">
        <f t="shared" si="28"/>
        <v/>
      </c>
      <c r="F541" t="str">
        <f>IF(SUMIF(搜索词报告!$A$2:$A$22222,总体数据一览!A541,搜索词报告!$M$2:$M$22222)=0,"",SUMIF(搜索词报告!$A$2:$A$22222,总体数据一览!A541,搜索词报告!$M$2:$M$22222))</f>
        <v/>
      </c>
      <c r="G541" t="str">
        <f>IFERROR(IF(B541="","",SUMIF(搜索词报告!$A$2:$A$22222,总体数据一览!A541,搜索词报告!$V$2:$V$22222))+IF(B541="","",SUMIF(搜索词报告!$A$2:$A$22222,总体数据一览!A541,搜索词报告!$W$2:$W$22222)),"")</f>
        <v/>
      </c>
      <c r="H541" s="2" t="str">
        <f t="shared" si="29"/>
        <v/>
      </c>
    </row>
    <row r="542" spans="2:8" x14ac:dyDescent="0.15">
      <c r="B542" t="str">
        <f>IF(SUMIF(搜索词报告!$A$2:$A$22222,总体数据一览!A542,搜索词报告!$I$2:$I$22222)=0,"",SUMIF(搜索词报告!$A$2:$A$22222,总体数据一览!A542,搜索词报告!$I$2:$I$22222))</f>
        <v/>
      </c>
      <c r="C542" t="str">
        <f>IF(SUMIF(搜索词报告!$A$2:$A$22222,总体数据一览!A542,搜索词报告!$J$2:$J$22222)=0,"",SUMIF(搜索词报告!$A$2:$A$22222,总体数据一览!A542,搜索词报告!$J$2:$J$22222))</f>
        <v/>
      </c>
      <c r="D542" s="2" t="str">
        <f t="shared" si="27"/>
        <v/>
      </c>
      <c r="E542" t="str">
        <f t="shared" si="28"/>
        <v/>
      </c>
      <c r="F542" t="str">
        <f>IF(SUMIF(搜索词报告!$A$2:$A$22222,总体数据一览!A542,搜索词报告!$M$2:$M$22222)=0,"",SUMIF(搜索词报告!$A$2:$A$22222,总体数据一览!A542,搜索词报告!$M$2:$M$22222))</f>
        <v/>
      </c>
      <c r="G542" t="str">
        <f>IFERROR(IF(B542="","",SUMIF(搜索词报告!$A$2:$A$22222,总体数据一览!A542,搜索词报告!$V$2:$V$22222))+IF(B542="","",SUMIF(搜索词报告!$A$2:$A$22222,总体数据一览!A542,搜索词报告!$W$2:$W$22222)),"")</f>
        <v/>
      </c>
      <c r="H542" s="2" t="str">
        <f t="shared" si="29"/>
        <v/>
      </c>
    </row>
    <row r="543" spans="2:8" x14ac:dyDescent="0.15">
      <c r="B543" t="str">
        <f>IF(SUMIF(搜索词报告!$A$2:$A$22222,总体数据一览!A543,搜索词报告!$I$2:$I$22222)=0,"",SUMIF(搜索词报告!$A$2:$A$22222,总体数据一览!A543,搜索词报告!$I$2:$I$22222))</f>
        <v/>
      </c>
      <c r="C543" t="str">
        <f>IF(SUMIF(搜索词报告!$A$2:$A$22222,总体数据一览!A543,搜索词报告!$J$2:$J$22222)=0,"",SUMIF(搜索词报告!$A$2:$A$22222,总体数据一览!A543,搜索词报告!$J$2:$J$22222))</f>
        <v/>
      </c>
      <c r="D543" s="2" t="str">
        <f t="shared" si="27"/>
        <v/>
      </c>
      <c r="E543" t="str">
        <f t="shared" si="28"/>
        <v/>
      </c>
      <c r="F543" t="str">
        <f>IF(SUMIF(搜索词报告!$A$2:$A$22222,总体数据一览!A543,搜索词报告!$M$2:$M$22222)=0,"",SUMIF(搜索词报告!$A$2:$A$22222,总体数据一览!A543,搜索词报告!$M$2:$M$22222))</f>
        <v/>
      </c>
      <c r="G543" t="str">
        <f>IFERROR(IF(B543="","",SUMIF(搜索词报告!$A$2:$A$22222,总体数据一览!A543,搜索词报告!$V$2:$V$22222))+IF(B543="","",SUMIF(搜索词报告!$A$2:$A$22222,总体数据一览!A543,搜索词报告!$W$2:$W$22222)),"")</f>
        <v/>
      </c>
      <c r="H543" s="2" t="str">
        <f t="shared" si="29"/>
        <v/>
      </c>
    </row>
    <row r="544" spans="2:8" x14ac:dyDescent="0.15">
      <c r="B544" t="str">
        <f>IF(SUMIF(搜索词报告!$A$2:$A$22222,总体数据一览!A544,搜索词报告!$I$2:$I$22222)=0,"",SUMIF(搜索词报告!$A$2:$A$22222,总体数据一览!A544,搜索词报告!$I$2:$I$22222))</f>
        <v/>
      </c>
      <c r="C544" t="str">
        <f>IF(SUMIF(搜索词报告!$A$2:$A$22222,总体数据一览!A544,搜索词报告!$J$2:$J$22222)=0,"",SUMIF(搜索词报告!$A$2:$A$22222,总体数据一览!A544,搜索词报告!$J$2:$J$22222))</f>
        <v/>
      </c>
      <c r="D544" s="2" t="str">
        <f t="shared" si="27"/>
        <v/>
      </c>
      <c r="E544" t="str">
        <f t="shared" si="28"/>
        <v/>
      </c>
      <c r="F544" t="str">
        <f>IF(SUMIF(搜索词报告!$A$2:$A$22222,总体数据一览!A544,搜索词报告!$M$2:$M$22222)=0,"",SUMIF(搜索词报告!$A$2:$A$22222,总体数据一览!A544,搜索词报告!$M$2:$M$22222))</f>
        <v/>
      </c>
      <c r="G544" t="str">
        <f>IFERROR(IF(B544="","",SUMIF(搜索词报告!$A$2:$A$22222,总体数据一览!A544,搜索词报告!$V$2:$V$22222))+IF(B544="","",SUMIF(搜索词报告!$A$2:$A$22222,总体数据一览!A544,搜索词报告!$W$2:$W$22222)),"")</f>
        <v/>
      </c>
      <c r="H544" s="2" t="str">
        <f t="shared" si="29"/>
        <v/>
      </c>
    </row>
    <row r="545" spans="2:8" x14ac:dyDescent="0.15">
      <c r="B545" t="str">
        <f>IF(SUMIF(搜索词报告!$A$2:$A$22222,总体数据一览!A545,搜索词报告!$I$2:$I$22222)=0,"",SUMIF(搜索词报告!$A$2:$A$22222,总体数据一览!A545,搜索词报告!$I$2:$I$22222))</f>
        <v/>
      </c>
      <c r="C545" t="str">
        <f>IF(SUMIF(搜索词报告!$A$2:$A$22222,总体数据一览!A545,搜索词报告!$J$2:$J$22222)=0,"",SUMIF(搜索词报告!$A$2:$A$22222,总体数据一览!A545,搜索词报告!$J$2:$J$22222))</f>
        <v/>
      </c>
      <c r="D545" s="2" t="str">
        <f t="shared" si="27"/>
        <v/>
      </c>
      <c r="E545" t="str">
        <f t="shared" si="28"/>
        <v/>
      </c>
      <c r="F545" t="str">
        <f>IF(SUMIF(搜索词报告!$A$2:$A$22222,总体数据一览!A545,搜索词报告!$M$2:$M$22222)=0,"",SUMIF(搜索词报告!$A$2:$A$22222,总体数据一览!A545,搜索词报告!$M$2:$M$22222))</f>
        <v/>
      </c>
      <c r="G545" t="str">
        <f>IFERROR(IF(B545="","",SUMIF(搜索词报告!$A$2:$A$22222,总体数据一览!A545,搜索词报告!$V$2:$V$22222))+IF(B545="","",SUMIF(搜索词报告!$A$2:$A$22222,总体数据一览!A545,搜索词报告!$W$2:$W$22222)),"")</f>
        <v/>
      </c>
      <c r="H545" s="2" t="str">
        <f t="shared" si="29"/>
        <v/>
      </c>
    </row>
    <row r="546" spans="2:8" x14ac:dyDescent="0.15">
      <c r="B546" t="str">
        <f>IF(SUMIF(搜索词报告!$A$2:$A$22222,总体数据一览!A546,搜索词报告!$I$2:$I$22222)=0,"",SUMIF(搜索词报告!$A$2:$A$22222,总体数据一览!A546,搜索词报告!$I$2:$I$22222))</f>
        <v/>
      </c>
      <c r="C546" t="str">
        <f>IF(SUMIF(搜索词报告!$A$2:$A$22222,总体数据一览!A546,搜索词报告!$J$2:$J$22222)=0,"",SUMIF(搜索词报告!$A$2:$A$22222,总体数据一览!A546,搜索词报告!$J$2:$J$22222))</f>
        <v/>
      </c>
      <c r="D546" s="2" t="str">
        <f t="shared" si="27"/>
        <v/>
      </c>
      <c r="E546" t="str">
        <f t="shared" si="28"/>
        <v/>
      </c>
      <c r="F546" t="str">
        <f>IF(SUMIF(搜索词报告!$A$2:$A$22222,总体数据一览!A546,搜索词报告!$M$2:$M$22222)=0,"",SUMIF(搜索词报告!$A$2:$A$22222,总体数据一览!A546,搜索词报告!$M$2:$M$22222))</f>
        <v/>
      </c>
      <c r="G546" t="str">
        <f>IFERROR(IF(B546="","",SUMIF(搜索词报告!$A$2:$A$22222,总体数据一览!A546,搜索词报告!$V$2:$V$22222))+IF(B546="","",SUMIF(搜索词报告!$A$2:$A$22222,总体数据一览!A546,搜索词报告!$W$2:$W$22222)),"")</f>
        <v/>
      </c>
      <c r="H546" s="2" t="str">
        <f t="shared" si="29"/>
        <v/>
      </c>
    </row>
    <row r="547" spans="2:8" x14ac:dyDescent="0.15">
      <c r="B547" t="str">
        <f>IF(SUMIF(搜索词报告!$A$2:$A$22222,总体数据一览!A547,搜索词报告!$I$2:$I$22222)=0,"",SUMIF(搜索词报告!$A$2:$A$22222,总体数据一览!A547,搜索词报告!$I$2:$I$22222))</f>
        <v/>
      </c>
      <c r="C547" t="str">
        <f>IF(SUMIF(搜索词报告!$A$2:$A$22222,总体数据一览!A547,搜索词报告!$J$2:$J$22222)=0,"",SUMIF(搜索词报告!$A$2:$A$22222,总体数据一览!A547,搜索词报告!$J$2:$J$22222))</f>
        <v/>
      </c>
      <c r="D547" s="2" t="str">
        <f t="shared" si="27"/>
        <v/>
      </c>
      <c r="E547" t="str">
        <f t="shared" si="28"/>
        <v/>
      </c>
      <c r="F547" t="str">
        <f>IF(SUMIF(搜索词报告!$A$2:$A$22222,总体数据一览!A547,搜索词报告!$M$2:$M$22222)=0,"",SUMIF(搜索词报告!$A$2:$A$22222,总体数据一览!A547,搜索词报告!$M$2:$M$22222))</f>
        <v/>
      </c>
      <c r="G547" t="str">
        <f>IFERROR(IF(B547="","",SUMIF(搜索词报告!$A$2:$A$22222,总体数据一览!A547,搜索词报告!$V$2:$V$22222))+IF(B547="","",SUMIF(搜索词报告!$A$2:$A$22222,总体数据一览!A547,搜索词报告!$W$2:$W$22222)),"")</f>
        <v/>
      </c>
      <c r="H547" s="2" t="str">
        <f t="shared" si="29"/>
        <v/>
      </c>
    </row>
    <row r="548" spans="2:8" x14ac:dyDescent="0.15">
      <c r="B548" t="str">
        <f>IF(SUMIF(搜索词报告!$A$2:$A$22222,总体数据一览!A548,搜索词报告!$I$2:$I$22222)=0,"",SUMIF(搜索词报告!$A$2:$A$22222,总体数据一览!A548,搜索词报告!$I$2:$I$22222))</f>
        <v/>
      </c>
      <c r="C548" t="str">
        <f>IF(SUMIF(搜索词报告!$A$2:$A$22222,总体数据一览!A548,搜索词报告!$J$2:$J$22222)=0,"",SUMIF(搜索词报告!$A$2:$A$22222,总体数据一览!A548,搜索词报告!$J$2:$J$22222))</f>
        <v/>
      </c>
      <c r="D548" s="2" t="str">
        <f t="shared" si="27"/>
        <v/>
      </c>
      <c r="E548" t="str">
        <f t="shared" si="28"/>
        <v/>
      </c>
      <c r="F548" t="str">
        <f>IF(SUMIF(搜索词报告!$A$2:$A$22222,总体数据一览!A548,搜索词报告!$M$2:$M$22222)=0,"",SUMIF(搜索词报告!$A$2:$A$22222,总体数据一览!A548,搜索词报告!$M$2:$M$22222))</f>
        <v/>
      </c>
      <c r="G548" t="str">
        <f>IFERROR(IF(B548="","",SUMIF(搜索词报告!$A$2:$A$22222,总体数据一览!A548,搜索词报告!$V$2:$V$22222))+IF(B548="","",SUMIF(搜索词报告!$A$2:$A$22222,总体数据一览!A548,搜索词报告!$W$2:$W$22222)),"")</f>
        <v/>
      </c>
      <c r="H548" s="2" t="str">
        <f t="shared" si="29"/>
        <v/>
      </c>
    </row>
    <row r="549" spans="2:8" x14ac:dyDescent="0.15">
      <c r="B549" t="str">
        <f>IF(SUMIF(搜索词报告!$A$2:$A$22222,总体数据一览!A549,搜索词报告!$I$2:$I$22222)=0,"",SUMIF(搜索词报告!$A$2:$A$22222,总体数据一览!A549,搜索词报告!$I$2:$I$22222))</f>
        <v/>
      </c>
      <c r="C549" t="str">
        <f>IF(SUMIF(搜索词报告!$A$2:$A$22222,总体数据一览!A549,搜索词报告!$J$2:$J$22222)=0,"",SUMIF(搜索词报告!$A$2:$A$22222,总体数据一览!A549,搜索词报告!$J$2:$J$22222))</f>
        <v/>
      </c>
      <c r="D549" s="2" t="str">
        <f t="shared" si="27"/>
        <v/>
      </c>
      <c r="E549" t="str">
        <f t="shared" si="28"/>
        <v/>
      </c>
      <c r="F549" t="str">
        <f>IF(SUMIF(搜索词报告!$A$2:$A$22222,总体数据一览!A549,搜索词报告!$M$2:$M$22222)=0,"",SUMIF(搜索词报告!$A$2:$A$22222,总体数据一览!A549,搜索词报告!$M$2:$M$22222))</f>
        <v/>
      </c>
      <c r="G549" t="str">
        <f>IFERROR(IF(B549="","",SUMIF(搜索词报告!$A$2:$A$22222,总体数据一览!A549,搜索词报告!$V$2:$V$22222))+IF(B549="","",SUMIF(搜索词报告!$A$2:$A$22222,总体数据一览!A549,搜索词报告!$W$2:$W$22222)),"")</f>
        <v/>
      </c>
      <c r="H549" s="2" t="str">
        <f t="shared" si="29"/>
        <v/>
      </c>
    </row>
    <row r="550" spans="2:8" x14ac:dyDescent="0.15">
      <c r="B550" t="str">
        <f>IF(SUMIF(搜索词报告!$A$2:$A$22222,总体数据一览!A550,搜索词报告!$I$2:$I$22222)=0,"",SUMIF(搜索词报告!$A$2:$A$22222,总体数据一览!A550,搜索词报告!$I$2:$I$22222))</f>
        <v/>
      </c>
      <c r="C550" t="str">
        <f>IF(SUMIF(搜索词报告!$A$2:$A$22222,总体数据一览!A550,搜索词报告!$J$2:$J$22222)=0,"",SUMIF(搜索词报告!$A$2:$A$22222,总体数据一览!A550,搜索词报告!$J$2:$J$22222))</f>
        <v/>
      </c>
      <c r="D550" s="2" t="str">
        <f t="shared" si="27"/>
        <v/>
      </c>
      <c r="E550" t="str">
        <f t="shared" si="28"/>
        <v/>
      </c>
      <c r="F550" t="str">
        <f>IF(SUMIF(搜索词报告!$A$2:$A$22222,总体数据一览!A550,搜索词报告!$M$2:$M$22222)=0,"",SUMIF(搜索词报告!$A$2:$A$22222,总体数据一览!A550,搜索词报告!$M$2:$M$22222))</f>
        <v/>
      </c>
      <c r="G550" t="str">
        <f>IFERROR(IF(B550="","",SUMIF(搜索词报告!$A$2:$A$22222,总体数据一览!A550,搜索词报告!$V$2:$V$22222))+IF(B550="","",SUMIF(搜索词报告!$A$2:$A$22222,总体数据一览!A550,搜索词报告!$W$2:$W$22222)),"")</f>
        <v/>
      </c>
      <c r="H550" s="2" t="str">
        <f t="shared" si="29"/>
        <v/>
      </c>
    </row>
    <row r="551" spans="2:8" x14ac:dyDescent="0.15">
      <c r="B551" t="str">
        <f>IF(SUMIF(搜索词报告!$A$2:$A$22222,总体数据一览!A551,搜索词报告!$I$2:$I$22222)=0,"",SUMIF(搜索词报告!$A$2:$A$22222,总体数据一览!A551,搜索词报告!$I$2:$I$22222))</f>
        <v/>
      </c>
      <c r="C551" t="str">
        <f>IF(SUMIF(搜索词报告!$A$2:$A$22222,总体数据一览!A551,搜索词报告!$J$2:$J$22222)=0,"",SUMIF(搜索词报告!$A$2:$A$22222,总体数据一览!A551,搜索词报告!$J$2:$J$22222))</f>
        <v/>
      </c>
      <c r="D551" s="2" t="str">
        <f t="shared" si="27"/>
        <v/>
      </c>
      <c r="E551" t="str">
        <f t="shared" si="28"/>
        <v/>
      </c>
      <c r="F551" t="str">
        <f>IF(SUMIF(搜索词报告!$A$2:$A$22222,总体数据一览!A551,搜索词报告!$M$2:$M$22222)=0,"",SUMIF(搜索词报告!$A$2:$A$22222,总体数据一览!A551,搜索词报告!$M$2:$M$22222))</f>
        <v/>
      </c>
      <c r="G551" t="str">
        <f>IFERROR(IF(B551="","",SUMIF(搜索词报告!$A$2:$A$22222,总体数据一览!A551,搜索词报告!$V$2:$V$22222))+IF(B551="","",SUMIF(搜索词报告!$A$2:$A$22222,总体数据一览!A551,搜索词报告!$W$2:$W$22222)),"")</f>
        <v/>
      </c>
      <c r="H551" s="2" t="str">
        <f t="shared" si="29"/>
        <v/>
      </c>
    </row>
    <row r="552" spans="2:8" x14ac:dyDescent="0.15">
      <c r="B552" t="str">
        <f>IF(SUMIF(搜索词报告!$A$2:$A$22222,总体数据一览!A552,搜索词报告!$I$2:$I$22222)=0,"",SUMIF(搜索词报告!$A$2:$A$22222,总体数据一览!A552,搜索词报告!$I$2:$I$22222))</f>
        <v/>
      </c>
      <c r="C552" t="str">
        <f>IF(SUMIF(搜索词报告!$A$2:$A$22222,总体数据一览!A552,搜索词报告!$J$2:$J$22222)=0,"",SUMIF(搜索词报告!$A$2:$A$22222,总体数据一览!A552,搜索词报告!$J$2:$J$22222))</f>
        <v/>
      </c>
      <c r="D552" s="2" t="str">
        <f t="shared" si="27"/>
        <v/>
      </c>
      <c r="E552" t="str">
        <f t="shared" si="28"/>
        <v/>
      </c>
      <c r="F552" t="str">
        <f>IF(SUMIF(搜索词报告!$A$2:$A$22222,总体数据一览!A552,搜索词报告!$M$2:$M$22222)=0,"",SUMIF(搜索词报告!$A$2:$A$22222,总体数据一览!A552,搜索词报告!$M$2:$M$22222))</f>
        <v/>
      </c>
      <c r="G552" t="str">
        <f>IFERROR(IF(B552="","",SUMIF(搜索词报告!$A$2:$A$22222,总体数据一览!A552,搜索词报告!$V$2:$V$22222))+IF(B552="","",SUMIF(搜索词报告!$A$2:$A$22222,总体数据一览!A552,搜索词报告!$W$2:$W$22222)),"")</f>
        <v/>
      </c>
      <c r="H552" s="2" t="str">
        <f t="shared" si="29"/>
        <v/>
      </c>
    </row>
    <row r="553" spans="2:8" x14ac:dyDescent="0.15">
      <c r="B553" t="str">
        <f>IF(SUMIF(搜索词报告!$A$2:$A$22222,总体数据一览!A553,搜索词报告!$I$2:$I$22222)=0,"",SUMIF(搜索词报告!$A$2:$A$22222,总体数据一览!A553,搜索词报告!$I$2:$I$22222))</f>
        <v/>
      </c>
      <c r="C553" t="str">
        <f>IF(SUMIF(搜索词报告!$A$2:$A$22222,总体数据一览!A553,搜索词报告!$J$2:$J$22222)=0,"",SUMIF(搜索词报告!$A$2:$A$22222,总体数据一览!A553,搜索词报告!$J$2:$J$22222))</f>
        <v/>
      </c>
      <c r="D553" s="2" t="str">
        <f t="shared" si="27"/>
        <v/>
      </c>
      <c r="E553" t="str">
        <f t="shared" si="28"/>
        <v/>
      </c>
      <c r="F553" t="str">
        <f>IF(SUMIF(搜索词报告!$A$2:$A$22222,总体数据一览!A553,搜索词报告!$M$2:$M$22222)=0,"",SUMIF(搜索词报告!$A$2:$A$22222,总体数据一览!A553,搜索词报告!$M$2:$M$22222))</f>
        <v/>
      </c>
      <c r="G553" t="str">
        <f>IFERROR(IF(B553="","",SUMIF(搜索词报告!$A$2:$A$22222,总体数据一览!A553,搜索词报告!$V$2:$V$22222))+IF(B553="","",SUMIF(搜索词报告!$A$2:$A$22222,总体数据一览!A553,搜索词报告!$W$2:$W$22222)),"")</f>
        <v/>
      </c>
      <c r="H553" s="2" t="str">
        <f t="shared" si="29"/>
        <v/>
      </c>
    </row>
    <row r="554" spans="2:8" x14ac:dyDescent="0.15">
      <c r="B554" t="str">
        <f>IF(SUMIF(搜索词报告!$A$2:$A$22222,总体数据一览!A554,搜索词报告!$I$2:$I$22222)=0,"",SUMIF(搜索词报告!$A$2:$A$22222,总体数据一览!A554,搜索词报告!$I$2:$I$22222))</f>
        <v/>
      </c>
      <c r="C554" t="str">
        <f>IF(SUMIF(搜索词报告!$A$2:$A$22222,总体数据一览!A554,搜索词报告!$J$2:$J$22222)=0,"",SUMIF(搜索词报告!$A$2:$A$22222,总体数据一览!A554,搜索词报告!$J$2:$J$22222))</f>
        <v/>
      </c>
      <c r="D554" s="2" t="str">
        <f t="shared" si="27"/>
        <v/>
      </c>
      <c r="E554" t="str">
        <f t="shared" si="28"/>
        <v/>
      </c>
      <c r="F554" t="str">
        <f>IF(SUMIF(搜索词报告!$A$2:$A$22222,总体数据一览!A554,搜索词报告!$M$2:$M$22222)=0,"",SUMIF(搜索词报告!$A$2:$A$22222,总体数据一览!A554,搜索词报告!$M$2:$M$22222))</f>
        <v/>
      </c>
      <c r="G554" t="str">
        <f>IFERROR(IF(B554="","",SUMIF(搜索词报告!$A$2:$A$22222,总体数据一览!A554,搜索词报告!$V$2:$V$22222))+IF(B554="","",SUMIF(搜索词报告!$A$2:$A$22222,总体数据一览!A554,搜索词报告!$W$2:$W$22222)),"")</f>
        <v/>
      </c>
      <c r="H554" s="2" t="str">
        <f t="shared" si="29"/>
        <v/>
      </c>
    </row>
    <row r="555" spans="2:8" x14ac:dyDescent="0.15">
      <c r="B555" t="str">
        <f>IF(SUMIF(搜索词报告!$A$2:$A$22222,总体数据一览!A555,搜索词报告!$I$2:$I$22222)=0,"",SUMIF(搜索词报告!$A$2:$A$22222,总体数据一览!A555,搜索词报告!$I$2:$I$22222))</f>
        <v/>
      </c>
      <c r="C555" t="str">
        <f>IF(SUMIF(搜索词报告!$A$2:$A$22222,总体数据一览!A555,搜索词报告!$J$2:$J$22222)=0,"",SUMIF(搜索词报告!$A$2:$A$22222,总体数据一览!A555,搜索词报告!$J$2:$J$22222))</f>
        <v/>
      </c>
      <c r="D555" s="2" t="str">
        <f t="shared" si="27"/>
        <v/>
      </c>
      <c r="E555" t="str">
        <f t="shared" si="28"/>
        <v/>
      </c>
      <c r="F555" t="str">
        <f>IF(SUMIF(搜索词报告!$A$2:$A$22222,总体数据一览!A555,搜索词报告!$M$2:$M$22222)=0,"",SUMIF(搜索词报告!$A$2:$A$22222,总体数据一览!A555,搜索词报告!$M$2:$M$22222))</f>
        <v/>
      </c>
      <c r="G555" t="str">
        <f>IFERROR(IF(B555="","",SUMIF(搜索词报告!$A$2:$A$22222,总体数据一览!A555,搜索词报告!$V$2:$V$22222))+IF(B555="","",SUMIF(搜索词报告!$A$2:$A$22222,总体数据一览!A555,搜索词报告!$W$2:$W$22222)),"")</f>
        <v/>
      </c>
      <c r="H555" s="2" t="str">
        <f t="shared" si="29"/>
        <v/>
      </c>
    </row>
    <row r="556" spans="2:8" x14ac:dyDescent="0.15">
      <c r="B556" t="str">
        <f>IF(SUMIF(搜索词报告!$A$2:$A$22222,总体数据一览!A556,搜索词报告!$I$2:$I$22222)=0,"",SUMIF(搜索词报告!$A$2:$A$22222,总体数据一览!A556,搜索词报告!$I$2:$I$22222))</f>
        <v/>
      </c>
      <c r="C556" t="str">
        <f>IF(SUMIF(搜索词报告!$A$2:$A$22222,总体数据一览!A556,搜索词报告!$J$2:$J$22222)=0,"",SUMIF(搜索词报告!$A$2:$A$22222,总体数据一览!A556,搜索词报告!$J$2:$J$22222))</f>
        <v/>
      </c>
      <c r="D556" s="2" t="str">
        <f t="shared" si="27"/>
        <v/>
      </c>
      <c r="E556" t="str">
        <f t="shared" si="28"/>
        <v/>
      </c>
      <c r="F556" t="str">
        <f>IF(SUMIF(搜索词报告!$A$2:$A$22222,总体数据一览!A556,搜索词报告!$M$2:$M$22222)=0,"",SUMIF(搜索词报告!$A$2:$A$22222,总体数据一览!A556,搜索词报告!$M$2:$M$22222))</f>
        <v/>
      </c>
      <c r="G556" t="str">
        <f>IFERROR(IF(B556="","",SUMIF(搜索词报告!$A$2:$A$22222,总体数据一览!A556,搜索词报告!$V$2:$V$22222))+IF(B556="","",SUMIF(搜索词报告!$A$2:$A$22222,总体数据一览!A556,搜索词报告!$W$2:$W$22222)),"")</f>
        <v/>
      </c>
      <c r="H556" s="2" t="str">
        <f t="shared" si="29"/>
        <v/>
      </c>
    </row>
    <row r="557" spans="2:8" x14ac:dyDescent="0.15">
      <c r="B557" t="str">
        <f>IF(SUMIF(搜索词报告!$A$2:$A$22222,总体数据一览!A557,搜索词报告!$I$2:$I$22222)=0,"",SUMIF(搜索词报告!$A$2:$A$22222,总体数据一览!A557,搜索词报告!$I$2:$I$22222))</f>
        <v/>
      </c>
      <c r="C557" t="str">
        <f>IF(SUMIF(搜索词报告!$A$2:$A$22222,总体数据一览!A557,搜索词报告!$J$2:$J$22222)=0,"",SUMIF(搜索词报告!$A$2:$A$22222,总体数据一览!A557,搜索词报告!$J$2:$J$22222))</f>
        <v/>
      </c>
      <c r="D557" s="2" t="str">
        <f t="shared" si="27"/>
        <v/>
      </c>
      <c r="E557" t="str">
        <f t="shared" si="28"/>
        <v/>
      </c>
      <c r="F557" t="str">
        <f>IF(SUMIF(搜索词报告!$A$2:$A$22222,总体数据一览!A557,搜索词报告!$M$2:$M$22222)=0,"",SUMIF(搜索词报告!$A$2:$A$22222,总体数据一览!A557,搜索词报告!$M$2:$M$22222))</f>
        <v/>
      </c>
      <c r="G557" t="str">
        <f>IFERROR(IF(B557="","",SUMIF(搜索词报告!$A$2:$A$22222,总体数据一览!A557,搜索词报告!$V$2:$V$22222))+IF(B557="","",SUMIF(搜索词报告!$A$2:$A$22222,总体数据一览!A557,搜索词报告!$W$2:$W$22222)),"")</f>
        <v/>
      </c>
      <c r="H557" s="2" t="str">
        <f t="shared" si="29"/>
        <v/>
      </c>
    </row>
    <row r="558" spans="2:8" x14ac:dyDescent="0.15">
      <c r="B558" t="str">
        <f>IF(SUMIF(搜索词报告!$A$2:$A$22222,总体数据一览!A558,搜索词报告!$I$2:$I$22222)=0,"",SUMIF(搜索词报告!$A$2:$A$22222,总体数据一览!A558,搜索词报告!$I$2:$I$22222))</f>
        <v/>
      </c>
      <c r="C558" t="str">
        <f>IF(SUMIF(搜索词报告!$A$2:$A$22222,总体数据一览!A558,搜索词报告!$J$2:$J$22222)=0,"",SUMIF(搜索词报告!$A$2:$A$22222,总体数据一览!A558,搜索词报告!$J$2:$J$22222))</f>
        <v/>
      </c>
      <c r="D558" s="2" t="str">
        <f t="shared" si="27"/>
        <v/>
      </c>
      <c r="E558" t="str">
        <f t="shared" si="28"/>
        <v/>
      </c>
      <c r="F558" t="str">
        <f>IF(SUMIF(搜索词报告!$A$2:$A$22222,总体数据一览!A558,搜索词报告!$M$2:$M$22222)=0,"",SUMIF(搜索词报告!$A$2:$A$22222,总体数据一览!A558,搜索词报告!$M$2:$M$22222))</f>
        <v/>
      </c>
      <c r="G558" t="str">
        <f>IFERROR(IF(B558="","",SUMIF(搜索词报告!$A$2:$A$22222,总体数据一览!A558,搜索词报告!$V$2:$V$22222))+IF(B558="","",SUMIF(搜索词报告!$A$2:$A$22222,总体数据一览!A558,搜索词报告!$W$2:$W$22222)),"")</f>
        <v/>
      </c>
      <c r="H558" s="2" t="str">
        <f t="shared" si="29"/>
        <v/>
      </c>
    </row>
    <row r="559" spans="2:8" x14ac:dyDescent="0.15">
      <c r="B559" t="str">
        <f>IF(SUMIF(搜索词报告!$A$2:$A$22222,总体数据一览!A559,搜索词报告!$I$2:$I$22222)=0,"",SUMIF(搜索词报告!$A$2:$A$22222,总体数据一览!A559,搜索词报告!$I$2:$I$22222))</f>
        <v/>
      </c>
      <c r="C559" t="str">
        <f>IF(SUMIF(搜索词报告!$A$2:$A$22222,总体数据一览!A559,搜索词报告!$J$2:$J$22222)=0,"",SUMIF(搜索词报告!$A$2:$A$22222,总体数据一览!A559,搜索词报告!$J$2:$J$22222))</f>
        <v/>
      </c>
      <c r="D559" s="2" t="str">
        <f t="shared" si="27"/>
        <v/>
      </c>
      <c r="E559" t="str">
        <f t="shared" si="28"/>
        <v/>
      </c>
      <c r="F559" t="str">
        <f>IF(SUMIF(搜索词报告!$A$2:$A$22222,总体数据一览!A559,搜索词报告!$M$2:$M$22222)=0,"",SUMIF(搜索词报告!$A$2:$A$22222,总体数据一览!A559,搜索词报告!$M$2:$M$22222))</f>
        <v/>
      </c>
      <c r="G559" t="str">
        <f>IFERROR(IF(B559="","",SUMIF(搜索词报告!$A$2:$A$22222,总体数据一览!A559,搜索词报告!$V$2:$V$22222))+IF(B559="","",SUMIF(搜索词报告!$A$2:$A$22222,总体数据一览!A559,搜索词报告!$W$2:$W$22222)),"")</f>
        <v/>
      </c>
      <c r="H559" s="2" t="str">
        <f t="shared" si="29"/>
        <v/>
      </c>
    </row>
    <row r="560" spans="2:8" x14ac:dyDescent="0.15">
      <c r="B560" t="str">
        <f>IF(SUMIF(搜索词报告!$A$2:$A$22222,总体数据一览!A560,搜索词报告!$I$2:$I$22222)=0,"",SUMIF(搜索词报告!$A$2:$A$22222,总体数据一览!A560,搜索词报告!$I$2:$I$22222))</f>
        <v/>
      </c>
      <c r="C560" t="str">
        <f>IF(SUMIF(搜索词报告!$A$2:$A$22222,总体数据一览!A560,搜索词报告!$J$2:$J$22222)=0,"",SUMIF(搜索词报告!$A$2:$A$22222,总体数据一览!A560,搜索词报告!$J$2:$J$22222))</f>
        <v/>
      </c>
      <c r="D560" s="2" t="str">
        <f t="shared" si="27"/>
        <v/>
      </c>
      <c r="E560" t="str">
        <f t="shared" si="28"/>
        <v/>
      </c>
      <c r="F560" t="str">
        <f>IF(SUMIF(搜索词报告!$A$2:$A$22222,总体数据一览!A560,搜索词报告!$M$2:$M$22222)=0,"",SUMIF(搜索词报告!$A$2:$A$22222,总体数据一览!A560,搜索词报告!$M$2:$M$22222))</f>
        <v/>
      </c>
      <c r="G560" t="str">
        <f>IFERROR(IF(B560="","",SUMIF(搜索词报告!$A$2:$A$22222,总体数据一览!A560,搜索词报告!$V$2:$V$22222))+IF(B560="","",SUMIF(搜索词报告!$A$2:$A$22222,总体数据一览!A560,搜索词报告!$W$2:$W$22222)),"")</f>
        <v/>
      </c>
      <c r="H560" s="2" t="str">
        <f t="shared" si="29"/>
        <v/>
      </c>
    </row>
    <row r="561" spans="2:8" x14ac:dyDescent="0.15">
      <c r="B561" t="str">
        <f>IF(SUMIF(搜索词报告!$A$2:$A$22222,总体数据一览!A561,搜索词报告!$I$2:$I$22222)=0,"",SUMIF(搜索词报告!$A$2:$A$22222,总体数据一览!A561,搜索词报告!$I$2:$I$22222))</f>
        <v/>
      </c>
      <c r="C561" t="str">
        <f>IF(SUMIF(搜索词报告!$A$2:$A$22222,总体数据一览!A561,搜索词报告!$J$2:$J$22222)=0,"",SUMIF(搜索词报告!$A$2:$A$22222,总体数据一览!A561,搜索词报告!$J$2:$J$22222))</f>
        <v/>
      </c>
      <c r="D561" s="2" t="str">
        <f t="shared" si="27"/>
        <v/>
      </c>
      <c r="E561" t="str">
        <f t="shared" si="28"/>
        <v/>
      </c>
      <c r="F561" t="str">
        <f>IF(SUMIF(搜索词报告!$A$2:$A$22222,总体数据一览!A561,搜索词报告!$M$2:$M$22222)=0,"",SUMIF(搜索词报告!$A$2:$A$22222,总体数据一览!A561,搜索词报告!$M$2:$M$22222))</f>
        <v/>
      </c>
      <c r="G561" t="str">
        <f>IFERROR(IF(B561="","",SUMIF(搜索词报告!$A$2:$A$22222,总体数据一览!A561,搜索词报告!$V$2:$V$22222))+IF(B561="","",SUMIF(搜索词报告!$A$2:$A$22222,总体数据一览!A561,搜索词报告!$W$2:$W$22222)),"")</f>
        <v/>
      </c>
      <c r="H561" s="2" t="str">
        <f t="shared" si="29"/>
        <v/>
      </c>
    </row>
    <row r="562" spans="2:8" x14ac:dyDescent="0.15">
      <c r="B562" t="str">
        <f>IF(SUMIF(搜索词报告!$A$2:$A$22222,总体数据一览!A562,搜索词报告!$I$2:$I$22222)=0,"",SUMIF(搜索词报告!$A$2:$A$22222,总体数据一览!A562,搜索词报告!$I$2:$I$22222))</f>
        <v/>
      </c>
      <c r="C562" t="str">
        <f>IF(SUMIF(搜索词报告!$A$2:$A$22222,总体数据一览!A562,搜索词报告!$J$2:$J$22222)=0,"",SUMIF(搜索词报告!$A$2:$A$22222,总体数据一览!A562,搜索词报告!$J$2:$J$22222))</f>
        <v/>
      </c>
      <c r="D562" s="2" t="str">
        <f t="shared" si="27"/>
        <v/>
      </c>
      <c r="E562" t="str">
        <f t="shared" si="28"/>
        <v/>
      </c>
      <c r="F562" t="str">
        <f>IF(SUMIF(搜索词报告!$A$2:$A$22222,总体数据一览!A562,搜索词报告!$M$2:$M$22222)=0,"",SUMIF(搜索词报告!$A$2:$A$22222,总体数据一览!A562,搜索词报告!$M$2:$M$22222))</f>
        <v/>
      </c>
      <c r="G562" t="str">
        <f>IFERROR(IF(B562="","",SUMIF(搜索词报告!$A$2:$A$22222,总体数据一览!A562,搜索词报告!$V$2:$V$22222))+IF(B562="","",SUMIF(搜索词报告!$A$2:$A$22222,总体数据一览!A562,搜索词报告!$W$2:$W$22222)),"")</f>
        <v/>
      </c>
      <c r="H562" s="2" t="str">
        <f t="shared" si="29"/>
        <v/>
      </c>
    </row>
    <row r="563" spans="2:8" x14ac:dyDescent="0.15">
      <c r="B563" t="str">
        <f>IF(SUMIF(搜索词报告!$A$2:$A$22222,总体数据一览!A563,搜索词报告!$I$2:$I$22222)=0,"",SUMIF(搜索词报告!$A$2:$A$22222,总体数据一览!A563,搜索词报告!$I$2:$I$22222))</f>
        <v/>
      </c>
      <c r="C563" t="str">
        <f>IF(SUMIF(搜索词报告!$A$2:$A$22222,总体数据一览!A563,搜索词报告!$J$2:$J$22222)=0,"",SUMIF(搜索词报告!$A$2:$A$22222,总体数据一览!A563,搜索词报告!$J$2:$J$22222))</f>
        <v/>
      </c>
      <c r="D563" s="2" t="str">
        <f t="shared" si="27"/>
        <v/>
      </c>
      <c r="E563" t="str">
        <f t="shared" si="28"/>
        <v/>
      </c>
      <c r="F563" t="str">
        <f>IF(SUMIF(搜索词报告!$A$2:$A$22222,总体数据一览!A563,搜索词报告!$M$2:$M$22222)=0,"",SUMIF(搜索词报告!$A$2:$A$22222,总体数据一览!A563,搜索词报告!$M$2:$M$22222))</f>
        <v/>
      </c>
      <c r="G563" t="str">
        <f>IFERROR(IF(B563="","",SUMIF(搜索词报告!$A$2:$A$22222,总体数据一览!A563,搜索词报告!$V$2:$V$22222))+IF(B563="","",SUMIF(搜索词报告!$A$2:$A$22222,总体数据一览!A563,搜索词报告!$W$2:$W$22222)),"")</f>
        <v/>
      </c>
      <c r="H563" s="2" t="str">
        <f t="shared" si="29"/>
        <v/>
      </c>
    </row>
    <row r="564" spans="2:8" x14ac:dyDescent="0.15">
      <c r="B564" t="str">
        <f>IF(SUMIF(搜索词报告!$A$2:$A$22222,总体数据一览!A564,搜索词报告!$I$2:$I$22222)=0,"",SUMIF(搜索词报告!$A$2:$A$22222,总体数据一览!A564,搜索词报告!$I$2:$I$22222))</f>
        <v/>
      </c>
      <c r="C564" t="str">
        <f>IF(SUMIF(搜索词报告!$A$2:$A$22222,总体数据一览!A564,搜索词报告!$J$2:$J$22222)=0,"",SUMIF(搜索词报告!$A$2:$A$22222,总体数据一览!A564,搜索词报告!$J$2:$J$22222))</f>
        <v/>
      </c>
      <c r="D564" s="2" t="str">
        <f t="shared" si="27"/>
        <v/>
      </c>
      <c r="E564" t="str">
        <f t="shared" si="28"/>
        <v/>
      </c>
      <c r="F564" t="str">
        <f>IF(SUMIF(搜索词报告!$A$2:$A$22222,总体数据一览!A564,搜索词报告!$M$2:$M$22222)=0,"",SUMIF(搜索词报告!$A$2:$A$22222,总体数据一览!A564,搜索词报告!$M$2:$M$22222))</f>
        <v/>
      </c>
      <c r="G564" t="str">
        <f>IFERROR(IF(B564="","",SUMIF(搜索词报告!$A$2:$A$22222,总体数据一览!A564,搜索词报告!$V$2:$V$22222))+IF(B564="","",SUMIF(搜索词报告!$A$2:$A$22222,总体数据一览!A564,搜索词报告!$W$2:$W$22222)),"")</f>
        <v/>
      </c>
      <c r="H564" s="2" t="str">
        <f t="shared" si="29"/>
        <v/>
      </c>
    </row>
    <row r="565" spans="2:8" x14ac:dyDescent="0.15">
      <c r="B565" t="str">
        <f>IF(SUMIF(搜索词报告!$A$2:$A$22222,总体数据一览!A565,搜索词报告!$I$2:$I$22222)=0,"",SUMIF(搜索词报告!$A$2:$A$22222,总体数据一览!A565,搜索词报告!$I$2:$I$22222))</f>
        <v/>
      </c>
      <c r="C565" t="str">
        <f>IF(SUMIF(搜索词报告!$A$2:$A$22222,总体数据一览!A565,搜索词报告!$J$2:$J$22222)=0,"",SUMIF(搜索词报告!$A$2:$A$22222,总体数据一览!A565,搜索词报告!$J$2:$J$22222))</f>
        <v/>
      </c>
      <c r="D565" s="2" t="str">
        <f t="shared" si="27"/>
        <v/>
      </c>
      <c r="E565" t="str">
        <f t="shared" si="28"/>
        <v/>
      </c>
      <c r="F565" t="str">
        <f>IF(SUMIF(搜索词报告!$A$2:$A$22222,总体数据一览!A565,搜索词报告!$M$2:$M$22222)=0,"",SUMIF(搜索词报告!$A$2:$A$22222,总体数据一览!A565,搜索词报告!$M$2:$M$22222))</f>
        <v/>
      </c>
      <c r="G565" t="str">
        <f>IFERROR(IF(B565="","",SUMIF(搜索词报告!$A$2:$A$22222,总体数据一览!A565,搜索词报告!$V$2:$V$22222))+IF(B565="","",SUMIF(搜索词报告!$A$2:$A$22222,总体数据一览!A565,搜索词报告!$W$2:$W$22222)),"")</f>
        <v/>
      </c>
      <c r="H565" s="2" t="str">
        <f t="shared" si="29"/>
        <v/>
      </c>
    </row>
    <row r="566" spans="2:8" x14ac:dyDescent="0.15">
      <c r="B566" t="str">
        <f>IF(SUMIF(搜索词报告!$A$2:$A$22222,总体数据一览!A566,搜索词报告!$I$2:$I$22222)=0,"",SUMIF(搜索词报告!$A$2:$A$22222,总体数据一览!A566,搜索词报告!$I$2:$I$22222))</f>
        <v/>
      </c>
      <c r="C566" t="str">
        <f>IF(SUMIF(搜索词报告!$A$2:$A$22222,总体数据一览!A566,搜索词报告!$J$2:$J$22222)=0,"",SUMIF(搜索词报告!$A$2:$A$22222,总体数据一览!A566,搜索词报告!$J$2:$J$22222))</f>
        <v/>
      </c>
      <c r="D566" s="2" t="str">
        <f t="shared" si="27"/>
        <v/>
      </c>
      <c r="E566" t="str">
        <f t="shared" si="28"/>
        <v/>
      </c>
      <c r="F566" t="str">
        <f>IF(SUMIF(搜索词报告!$A$2:$A$22222,总体数据一览!A566,搜索词报告!$M$2:$M$22222)=0,"",SUMIF(搜索词报告!$A$2:$A$22222,总体数据一览!A566,搜索词报告!$M$2:$M$22222))</f>
        <v/>
      </c>
      <c r="G566" t="str">
        <f>IFERROR(IF(B566="","",SUMIF(搜索词报告!$A$2:$A$22222,总体数据一览!A566,搜索词报告!$V$2:$V$22222))+IF(B566="","",SUMIF(搜索词报告!$A$2:$A$22222,总体数据一览!A566,搜索词报告!$W$2:$W$22222)),"")</f>
        <v/>
      </c>
      <c r="H566" s="2" t="str">
        <f t="shared" si="29"/>
        <v/>
      </c>
    </row>
    <row r="567" spans="2:8" x14ac:dyDescent="0.15">
      <c r="B567" t="str">
        <f>IF(SUMIF(搜索词报告!$A$2:$A$22222,总体数据一览!A567,搜索词报告!$I$2:$I$22222)=0,"",SUMIF(搜索词报告!$A$2:$A$22222,总体数据一览!A567,搜索词报告!$I$2:$I$22222))</f>
        <v/>
      </c>
      <c r="C567" t="str">
        <f>IF(SUMIF(搜索词报告!$A$2:$A$22222,总体数据一览!A567,搜索词报告!$J$2:$J$22222)=0,"",SUMIF(搜索词报告!$A$2:$A$22222,总体数据一览!A567,搜索词报告!$J$2:$J$22222))</f>
        <v/>
      </c>
      <c r="D567" s="2" t="str">
        <f t="shared" si="27"/>
        <v/>
      </c>
      <c r="E567" t="str">
        <f t="shared" si="28"/>
        <v/>
      </c>
      <c r="F567" t="str">
        <f>IF(SUMIF(搜索词报告!$A$2:$A$22222,总体数据一览!A567,搜索词报告!$M$2:$M$22222)=0,"",SUMIF(搜索词报告!$A$2:$A$22222,总体数据一览!A567,搜索词报告!$M$2:$M$22222))</f>
        <v/>
      </c>
      <c r="G567" t="str">
        <f>IFERROR(IF(B567="","",SUMIF(搜索词报告!$A$2:$A$22222,总体数据一览!A567,搜索词报告!$V$2:$V$22222))+IF(B567="","",SUMIF(搜索词报告!$A$2:$A$22222,总体数据一览!A567,搜索词报告!$W$2:$W$22222)),"")</f>
        <v/>
      </c>
      <c r="H567" s="2" t="str">
        <f t="shared" si="29"/>
        <v/>
      </c>
    </row>
    <row r="568" spans="2:8" x14ac:dyDescent="0.15">
      <c r="B568" t="str">
        <f>IF(SUMIF(搜索词报告!$A$2:$A$22222,总体数据一览!A568,搜索词报告!$I$2:$I$22222)=0,"",SUMIF(搜索词报告!$A$2:$A$22222,总体数据一览!A568,搜索词报告!$I$2:$I$22222))</f>
        <v/>
      </c>
      <c r="C568" t="str">
        <f>IF(SUMIF(搜索词报告!$A$2:$A$22222,总体数据一览!A568,搜索词报告!$J$2:$J$22222)=0,"",SUMIF(搜索词报告!$A$2:$A$22222,总体数据一览!A568,搜索词报告!$J$2:$J$22222))</f>
        <v/>
      </c>
      <c r="D568" s="2" t="str">
        <f t="shared" si="27"/>
        <v/>
      </c>
      <c r="E568" t="str">
        <f t="shared" si="28"/>
        <v/>
      </c>
      <c r="F568" t="str">
        <f>IF(SUMIF(搜索词报告!$A$2:$A$22222,总体数据一览!A568,搜索词报告!$M$2:$M$22222)=0,"",SUMIF(搜索词报告!$A$2:$A$22222,总体数据一览!A568,搜索词报告!$M$2:$M$22222))</f>
        <v/>
      </c>
      <c r="G568" t="str">
        <f>IFERROR(IF(B568="","",SUMIF(搜索词报告!$A$2:$A$22222,总体数据一览!A568,搜索词报告!$V$2:$V$22222))+IF(B568="","",SUMIF(搜索词报告!$A$2:$A$22222,总体数据一览!A568,搜索词报告!$W$2:$W$22222)),"")</f>
        <v/>
      </c>
      <c r="H568" s="2" t="str">
        <f t="shared" si="29"/>
        <v/>
      </c>
    </row>
    <row r="569" spans="2:8" x14ac:dyDescent="0.15">
      <c r="B569" t="str">
        <f>IF(SUMIF(搜索词报告!$A$2:$A$22222,总体数据一览!A569,搜索词报告!$I$2:$I$22222)=0,"",SUMIF(搜索词报告!$A$2:$A$22222,总体数据一览!A569,搜索词报告!$I$2:$I$22222))</f>
        <v/>
      </c>
      <c r="C569" t="str">
        <f>IF(SUMIF(搜索词报告!$A$2:$A$22222,总体数据一览!A569,搜索词报告!$J$2:$J$22222)=0,"",SUMIF(搜索词报告!$A$2:$A$22222,总体数据一览!A569,搜索词报告!$J$2:$J$22222))</f>
        <v/>
      </c>
      <c r="D569" s="2" t="str">
        <f t="shared" si="27"/>
        <v/>
      </c>
      <c r="E569" t="str">
        <f t="shared" si="28"/>
        <v/>
      </c>
      <c r="F569" t="str">
        <f>IF(SUMIF(搜索词报告!$A$2:$A$22222,总体数据一览!A569,搜索词报告!$M$2:$M$22222)=0,"",SUMIF(搜索词报告!$A$2:$A$22222,总体数据一览!A569,搜索词报告!$M$2:$M$22222))</f>
        <v/>
      </c>
      <c r="G569" t="str">
        <f>IFERROR(IF(B569="","",SUMIF(搜索词报告!$A$2:$A$22222,总体数据一览!A569,搜索词报告!$V$2:$V$22222))+IF(B569="","",SUMIF(搜索词报告!$A$2:$A$22222,总体数据一览!A569,搜索词报告!$W$2:$W$22222)),"")</f>
        <v/>
      </c>
      <c r="H569" s="2" t="str">
        <f t="shared" si="29"/>
        <v/>
      </c>
    </row>
    <row r="570" spans="2:8" x14ac:dyDescent="0.15">
      <c r="B570" t="str">
        <f>IF(SUMIF(搜索词报告!$A$2:$A$22222,总体数据一览!A570,搜索词报告!$I$2:$I$22222)=0,"",SUMIF(搜索词报告!$A$2:$A$22222,总体数据一览!A570,搜索词报告!$I$2:$I$22222))</f>
        <v/>
      </c>
      <c r="C570" t="str">
        <f>IF(SUMIF(搜索词报告!$A$2:$A$22222,总体数据一览!A570,搜索词报告!$J$2:$J$22222)=0,"",SUMIF(搜索词报告!$A$2:$A$22222,总体数据一览!A570,搜索词报告!$J$2:$J$22222))</f>
        <v/>
      </c>
      <c r="D570" s="2" t="str">
        <f t="shared" si="27"/>
        <v/>
      </c>
      <c r="E570" t="str">
        <f t="shared" si="28"/>
        <v/>
      </c>
      <c r="F570" t="str">
        <f>IF(SUMIF(搜索词报告!$A$2:$A$22222,总体数据一览!A570,搜索词报告!$M$2:$M$22222)=0,"",SUMIF(搜索词报告!$A$2:$A$22222,总体数据一览!A570,搜索词报告!$M$2:$M$22222))</f>
        <v/>
      </c>
      <c r="G570" t="str">
        <f>IFERROR(IF(B570="","",SUMIF(搜索词报告!$A$2:$A$22222,总体数据一览!A570,搜索词报告!$V$2:$V$22222))+IF(B570="","",SUMIF(搜索词报告!$A$2:$A$22222,总体数据一览!A570,搜索词报告!$W$2:$W$22222)),"")</f>
        <v/>
      </c>
      <c r="H570" s="2" t="str">
        <f t="shared" si="29"/>
        <v/>
      </c>
    </row>
    <row r="571" spans="2:8" x14ac:dyDescent="0.15">
      <c r="B571" t="str">
        <f>IF(SUMIF(搜索词报告!$A$2:$A$22222,总体数据一览!A571,搜索词报告!$I$2:$I$22222)=0,"",SUMIF(搜索词报告!$A$2:$A$22222,总体数据一览!A571,搜索词报告!$I$2:$I$22222))</f>
        <v/>
      </c>
      <c r="C571" t="str">
        <f>IF(SUMIF(搜索词报告!$A$2:$A$22222,总体数据一览!A571,搜索词报告!$J$2:$J$22222)=0,"",SUMIF(搜索词报告!$A$2:$A$22222,总体数据一览!A571,搜索词报告!$J$2:$J$22222))</f>
        <v/>
      </c>
      <c r="D571" s="2" t="str">
        <f t="shared" si="27"/>
        <v/>
      </c>
      <c r="E571" t="str">
        <f t="shared" si="28"/>
        <v/>
      </c>
      <c r="F571" t="str">
        <f>IF(SUMIF(搜索词报告!$A$2:$A$22222,总体数据一览!A571,搜索词报告!$M$2:$M$22222)=0,"",SUMIF(搜索词报告!$A$2:$A$22222,总体数据一览!A571,搜索词报告!$M$2:$M$22222))</f>
        <v/>
      </c>
      <c r="G571" t="str">
        <f>IFERROR(IF(B571="","",SUMIF(搜索词报告!$A$2:$A$22222,总体数据一览!A571,搜索词报告!$V$2:$V$22222))+IF(B571="","",SUMIF(搜索词报告!$A$2:$A$22222,总体数据一览!A571,搜索词报告!$W$2:$W$22222)),"")</f>
        <v/>
      </c>
      <c r="H571" s="2" t="str">
        <f t="shared" si="29"/>
        <v/>
      </c>
    </row>
    <row r="572" spans="2:8" x14ac:dyDescent="0.15">
      <c r="B572" t="str">
        <f>IF(SUMIF(搜索词报告!$A$2:$A$22222,总体数据一览!A572,搜索词报告!$I$2:$I$22222)=0,"",SUMIF(搜索词报告!$A$2:$A$22222,总体数据一览!A572,搜索词报告!$I$2:$I$22222))</f>
        <v/>
      </c>
      <c r="C572" t="str">
        <f>IF(SUMIF(搜索词报告!$A$2:$A$22222,总体数据一览!A572,搜索词报告!$J$2:$J$22222)=0,"",SUMIF(搜索词报告!$A$2:$A$22222,总体数据一览!A572,搜索词报告!$J$2:$J$22222))</f>
        <v/>
      </c>
      <c r="D572" s="2" t="str">
        <f t="shared" si="27"/>
        <v/>
      </c>
      <c r="E572" t="str">
        <f t="shared" si="28"/>
        <v/>
      </c>
      <c r="F572" t="str">
        <f>IF(SUMIF(搜索词报告!$A$2:$A$22222,总体数据一览!A572,搜索词报告!$M$2:$M$22222)=0,"",SUMIF(搜索词报告!$A$2:$A$22222,总体数据一览!A572,搜索词报告!$M$2:$M$22222))</f>
        <v/>
      </c>
      <c r="G572" t="str">
        <f>IFERROR(IF(B572="","",SUMIF(搜索词报告!$A$2:$A$22222,总体数据一览!A572,搜索词报告!$V$2:$V$22222))+IF(B572="","",SUMIF(搜索词报告!$A$2:$A$22222,总体数据一览!A572,搜索词报告!$W$2:$W$22222)),"")</f>
        <v/>
      </c>
      <c r="H572" s="2" t="str">
        <f t="shared" si="29"/>
        <v/>
      </c>
    </row>
    <row r="573" spans="2:8" x14ac:dyDescent="0.15">
      <c r="B573" t="str">
        <f>IF(SUMIF(搜索词报告!$A$2:$A$22222,总体数据一览!A573,搜索词报告!$I$2:$I$22222)=0,"",SUMIF(搜索词报告!$A$2:$A$22222,总体数据一览!A573,搜索词报告!$I$2:$I$22222))</f>
        <v/>
      </c>
      <c r="C573" t="str">
        <f>IF(SUMIF(搜索词报告!$A$2:$A$22222,总体数据一览!A573,搜索词报告!$J$2:$J$22222)=0,"",SUMIF(搜索词报告!$A$2:$A$22222,总体数据一览!A573,搜索词报告!$J$2:$J$22222))</f>
        <v/>
      </c>
      <c r="D573" s="2" t="str">
        <f t="shared" si="27"/>
        <v/>
      </c>
      <c r="E573" t="str">
        <f t="shared" si="28"/>
        <v/>
      </c>
      <c r="F573" t="str">
        <f>IF(SUMIF(搜索词报告!$A$2:$A$22222,总体数据一览!A573,搜索词报告!$M$2:$M$22222)=0,"",SUMIF(搜索词报告!$A$2:$A$22222,总体数据一览!A573,搜索词报告!$M$2:$M$22222))</f>
        <v/>
      </c>
      <c r="G573" t="str">
        <f>IFERROR(IF(B573="","",SUMIF(搜索词报告!$A$2:$A$22222,总体数据一览!A573,搜索词报告!$V$2:$V$22222))+IF(B573="","",SUMIF(搜索词报告!$A$2:$A$22222,总体数据一览!A573,搜索词报告!$W$2:$W$22222)),"")</f>
        <v/>
      </c>
      <c r="H573" s="2" t="str">
        <f t="shared" si="29"/>
        <v/>
      </c>
    </row>
    <row r="574" spans="2:8" x14ac:dyDescent="0.15">
      <c r="B574" t="str">
        <f>IF(SUMIF(搜索词报告!$A$2:$A$22222,总体数据一览!A574,搜索词报告!$I$2:$I$22222)=0,"",SUMIF(搜索词报告!$A$2:$A$22222,总体数据一览!A574,搜索词报告!$I$2:$I$22222))</f>
        <v/>
      </c>
      <c r="C574" t="str">
        <f>IF(SUMIF(搜索词报告!$A$2:$A$22222,总体数据一览!A574,搜索词报告!$J$2:$J$22222)=0,"",SUMIF(搜索词报告!$A$2:$A$22222,总体数据一览!A574,搜索词报告!$J$2:$J$22222))</f>
        <v/>
      </c>
      <c r="D574" s="2" t="str">
        <f t="shared" si="27"/>
        <v/>
      </c>
      <c r="E574" t="str">
        <f t="shared" si="28"/>
        <v/>
      </c>
      <c r="F574" t="str">
        <f>IF(SUMIF(搜索词报告!$A$2:$A$22222,总体数据一览!A574,搜索词报告!$M$2:$M$22222)=0,"",SUMIF(搜索词报告!$A$2:$A$22222,总体数据一览!A574,搜索词报告!$M$2:$M$22222))</f>
        <v/>
      </c>
      <c r="G574" t="str">
        <f>IFERROR(IF(B574="","",SUMIF(搜索词报告!$A$2:$A$22222,总体数据一览!A574,搜索词报告!$V$2:$V$22222))+IF(B574="","",SUMIF(搜索词报告!$A$2:$A$22222,总体数据一览!A574,搜索词报告!$W$2:$W$22222)),"")</f>
        <v/>
      </c>
      <c r="H574" s="2" t="str">
        <f t="shared" si="29"/>
        <v/>
      </c>
    </row>
    <row r="575" spans="2:8" x14ac:dyDescent="0.15">
      <c r="B575" t="str">
        <f>IF(SUMIF(搜索词报告!$A$2:$A$22222,总体数据一览!A575,搜索词报告!$I$2:$I$22222)=0,"",SUMIF(搜索词报告!$A$2:$A$22222,总体数据一览!A575,搜索词报告!$I$2:$I$22222))</f>
        <v/>
      </c>
      <c r="C575" t="str">
        <f>IF(SUMIF(搜索词报告!$A$2:$A$22222,总体数据一览!A575,搜索词报告!$J$2:$J$22222)=0,"",SUMIF(搜索词报告!$A$2:$A$22222,总体数据一览!A575,搜索词报告!$J$2:$J$22222))</f>
        <v/>
      </c>
      <c r="D575" s="2" t="str">
        <f t="shared" si="27"/>
        <v/>
      </c>
      <c r="E575" t="str">
        <f t="shared" si="28"/>
        <v/>
      </c>
      <c r="F575" t="str">
        <f>IF(SUMIF(搜索词报告!$A$2:$A$22222,总体数据一览!A575,搜索词报告!$M$2:$M$22222)=0,"",SUMIF(搜索词报告!$A$2:$A$22222,总体数据一览!A575,搜索词报告!$M$2:$M$22222))</f>
        <v/>
      </c>
      <c r="G575" t="str">
        <f>IFERROR(IF(B575="","",SUMIF(搜索词报告!$A$2:$A$22222,总体数据一览!A575,搜索词报告!$V$2:$V$22222))+IF(B575="","",SUMIF(搜索词报告!$A$2:$A$22222,总体数据一览!A575,搜索词报告!$W$2:$W$22222)),"")</f>
        <v/>
      </c>
      <c r="H575" s="2" t="str">
        <f t="shared" si="29"/>
        <v/>
      </c>
    </row>
    <row r="576" spans="2:8" x14ac:dyDescent="0.15">
      <c r="B576" t="str">
        <f>IF(SUMIF(搜索词报告!$A$2:$A$22222,总体数据一览!A576,搜索词报告!$I$2:$I$22222)=0,"",SUMIF(搜索词报告!$A$2:$A$22222,总体数据一览!A576,搜索词报告!$I$2:$I$22222))</f>
        <v/>
      </c>
      <c r="C576" t="str">
        <f>IF(SUMIF(搜索词报告!$A$2:$A$22222,总体数据一览!A576,搜索词报告!$J$2:$J$22222)=0,"",SUMIF(搜索词报告!$A$2:$A$22222,总体数据一览!A576,搜索词报告!$J$2:$J$22222))</f>
        <v/>
      </c>
      <c r="D576" s="2" t="str">
        <f t="shared" si="27"/>
        <v/>
      </c>
      <c r="E576" t="str">
        <f t="shared" si="28"/>
        <v/>
      </c>
      <c r="F576" t="str">
        <f>IF(SUMIF(搜索词报告!$A$2:$A$22222,总体数据一览!A576,搜索词报告!$M$2:$M$22222)=0,"",SUMIF(搜索词报告!$A$2:$A$22222,总体数据一览!A576,搜索词报告!$M$2:$M$22222))</f>
        <v/>
      </c>
      <c r="G576" t="str">
        <f>IFERROR(IF(B576="","",SUMIF(搜索词报告!$A$2:$A$22222,总体数据一览!A576,搜索词报告!$V$2:$V$22222))+IF(B576="","",SUMIF(搜索词报告!$A$2:$A$22222,总体数据一览!A576,搜索词报告!$W$2:$W$22222)),"")</f>
        <v/>
      </c>
      <c r="H576" s="2" t="str">
        <f t="shared" si="29"/>
        <v/>
      </c>
    </row>
    <row r="577" spans="2:8" x14ac:dyDescent="0.15">
      <c r="B577" t="str">
        <f>IF(SUMIF(搜索词报告!$A$2:$A$22222,总体数据一览!A577,搜索词报告!$I$2:$I$22222)=0,"",SUMIF(搜索词报告!$A$2:$A$22222,总体数据一览!A577,搜索词报告!$I$2:$I$22222))</f>
        <v/>
      </c>
      <c r="C577" t="str">
        <f>IF(SUMIF(搜索词报告!$A$2:$A$22222,总体数据一览!A577,搜索词报告!$J$2:$J$22222)=0,"",SUMIF(搜索词报告!$A$2:$A$22222,总体数据一览!A577,搜索词报告!$J$2:$J$22222))</f>
        <v/>
      </c>
      <c r="D577" s="2" t="str">
        <f t="shared" si="27"/>
        <v/>
      </c>
      <c r="E577" t="str">
        <f t="shared" si="28"/>
        <v/>
      </c>
      <c r="F577" t="str">
        <f>IF(SUMIF(搜索词报告!$A$2:$A$22222,总体数据一览!A577,搜索词报告!$M$2:$M$22222)=0,"",SUMIF(搜索词报告!$A$2:$A$22222,总体数据一览!A577,搜索词报告!$M$2:$M$22222))</f>
        <v/>
      </c>
      <c r="G577" t="str">
        <f>IFERROR(IF(B577="","",SUMIF(搜索词报告!$A$2:$A$22222,总体数据一览!A577,搜索词报告!$V$2:$V$22222))+IF(B577="","",SUMIF(搜索词报告!$A$2:$A$22222,总体数据一览!A577,搜索词报告!$W$2:$W$22222)),"")</f>
        <v/>
      </c>
      <c r="H577" s="2" t="str">
        <f t="shared" si="29"/>
        <v/>
      </c>
    </row>
    <row r="578" spans="2:8" x14ac:dyDescent="0.15">
      <c r="B578" t="str">
        <f>IF(SUMIF(搜索词报告!$A$2:$A$22222,总体数据一览!A578,搜索词报告!$I$2:$I$22222)=0,"",SUMIF(搜索词报告!$A$2:$A$22222,总体数据一览!A578,搜索词报告!$I$2:$I$22222))</f>
        <v/>
      </c>
      <c r="C578" t="str">
        <f>IF(SUMIF(搜索词报告!$A$2:$A$22222,总体数据一览!A578,搜索词报告!$J$2:$J$22222)=0,"",SUMIF(搜索词报告!$A$2:$A$22222,总体数据一览!A578,搜索词报告!$J$2:$J$22222))</f>
        <v/>
      </c>
      <c r="D578" s="2" t="str">
        <f t="shared" si="27"/>
        <v/>
      </c>
      <c r="E578" t="str">
        <f t="shared" si="28"/>
        <v/>
      </c>
      <c r="F578" t="str">
        <f>IF(SUMIF(搜索词报告!$A$2:$A$22222,总体数据一览!A578,搜索词报告!$M$2:$M$22222)=0,"",SUMIF(搜索词报告!$A$2:$A$22222,总体数据一览!A578,搜索词报告!$M$2:$M$22222))</f>
        <v/>
      </c>
      <c r="G578" t="str">
        <f>IFERROR(IF(B578="","",SUMIF(搜索词报告!$A$2:$A$22222,总体数据一览!A578,搜索词报告!$V$2:$V$22222))+IF(B578="","",SUMIF(搜索词报告!$A$2:$A$22222,总体数据一览!A578,搜索词报告!$W$2:$W$22222)),"")</f>
        <v/>
      </c>
      <c r="H578" s="2" t="str">
        <f t="shared" si="29"/>
        <v/>
      </c>
    </row>
    <row r="579" spans="2:8" x14ac:dyDescent="0.15">
      <c r="B579" t="str">
        <f>IF(SUMIF(搜索词报告!$A$2:$A$22222,总体数据一览!A579,搜索词报告!$I$2:$I$22222)=0,"",SUMIF(搜索词报告!$A$2:$A$22222,总体数据一览!A579,搜索词报告!$I$2:$I$22222))</f>
        <v/>
      </c>
      <c r="C579" t="str">
        <f>IF(SUMIF(搜索词报告!$A$2:$A$22222,总体数据一览!A579,搜索词报告!$J$2:$J$22222)=0,"",SUMIF(搜索词报告!$A$2:$A$22222,总体数据一览!A579,搜索词报告!$J$2:$J$22222))</f>
        <v/>
      </c>
      <c r="D579" s="2" t="str">
        <f t="shared" si="27"/>
        <v/>
      </c>
      <c r="E579" t="str">
        <f t="shared" si="28"/>
        <v/>
      </c>
      <c r="F579" t="str">
        <f>IF(SUMIF(搜索词报告!$A$2:$A$22222,总体数据一览!A579,搜索词报告!$M$2:$M$22222)=0,"",SUMIF(搜索词报告!$A$2:$A$22222,总体数据一览!A579,搜索词报告!$M$2:$M$22222))</f>
        <v/>
      </c>
      <c r="G579" t="str">
        <f>IFERROR(IF(B579="","",SUMIF(搜索词报告!$A$2:$A$22222,总体数据一览!A579,搜索词报告!$V$2:$V$22222))+IF(B579="","",SUMIF(搜索词报告!$A$2:$A$22222,总体数据一览!A579,搜索词报告!$W$2:$W$22222)),"")</f>
        <v/>
      </c>
      <c r="H579" s="2" t="str">
        <f t="shared" si="29"/>
        <v/>
      </c>
    </row>
    <row r="580" spans="2:8" x14ac:dyDescent="0.15">
      <c r="B580" t="str">
        <f>IF(SUMIF(搜索词报告!$A$2:$A$22222,总体数据一览!A580,搜索词报告!$I$2:$I$22222)=0,"",SUMIF(搜索词报告!$A$2:$A$22222,总体数据一览!A580,搜索词报告!$I$2:$I$22222))</f>
        <v/>
      </c>
      <c r="C580" t="str">
        <f>IF(SUMIF(搜索词报告!$A$2:$A$22222,总体数据一览!A580,搜索词报告!$J$2:$J$22222)=0,"",SUMIF(搜索词报告!$A$2:$A$22222,总体数据一览!A580,搜索词报告!$J$2:$J$22222))</f>
        <v/>
      </c>
      <c r="D580" s="2" t="str">
        <f t="shared" si="27"/>
        <v/>
      </c>
      <c r="E580" t="str">
        <f t="shared" si="28"/>
        <v/>
      </c>
      <c r="F580" t="str">
        <f>IF(SUMIF(搜索词报告!$A$2:$A$22222,总体数据一览!A580,搜索词报告!$M$2:$M$22222)=0,"",SUMIF(搜索词报告!$A$2:$A$22222,总体数据一览!A580,搜索词报告!$M$2:$M$22222))</f>
        <v/>
      </c>
      <c r="G580" t="str">
        <f>IFERROR(IF(B580="","",SUMIF(搜索词报告!$A$2:$A$22222,总体数据一览!A580,搜索词报告!$V$2:$V$22222))+IF(B580="","",SUMIF(搜索词报告!$A$2:$A$22222,总体数据一览!A580,搜索词报告!$W$2:$W$22222)),"")</f>
        <v/>
      </c>
      <c r="H580" s="2" t="str">
        <f t="shared" si="29"/>
        <v/>
      </c>
    </row>
    <row r="581" spans="2:8" x14ac:dyDescent="0.15">
      <c r="B581" t="str">
        <f>IF(SUMIF(搜索词报告!$A$2:$A$22222,总体数据一览!A581,搜索词报告!$I$2:$I$22222)=0,"",SUMIF(搜索词报告!$A$2:$A$22222,总体数据一览!A581,搜索词报告!$I$2:$I$22222))</f>
        <v/>
      </c>
      <c r="C581" t="str">
        <f>IF(SUMIF(搜索词报告!$A$2:$A$22222,总体数据一览!A581,搜索词报告!$J$2:$J$22222)=0,"",SUMIF(搜索词报告!$A$2:$A$22222,总体数据一览!A581,搜索词报告!$J$2:$J$22222))</f>
        <v/>
      </c>
      <c r="D581" s="2" t="str">
        <f t="shared" si="27"/>
        <v/>
      </c>
      <c r="E581" t="str">
        <f t="shared" si="28"/>
        <v/>
      </c>
      <c r="F581" t="str">
        <f>IF(SUMIF(搜索词报告!$A$2:$A$22222,总体数据一览!A581,搜索词报告!$M$2:$M$22222)=0,"",SUMIF(搜索词报告!$A$2:$A$22222,总体数据一览!A581,搜索词报告!$M$2:$M$22222))</f>
        <v/>
      </c>
      <c r="G581" t="str">
        <f>IFERROR(IF(B581="","",SUMIF(搜索词报告!$A$2:$A$22222,总体数据一览!A581,搜索词报告!$V$2:$V$22222))+IF(B581="","",SUMIF(搜索词报告!$A$2:$A$22222,总体数据一览!A581,搜索词报告!$W$2:$W$22222)),"")</f>
        <v/>
      </c>
      <c r="H581" s="2" t="str">
        <f t="shared" si="29"/>
        <v/>
      </c>
    </row>
    <row r="582" spans="2:8" x14ac:dyDescent="0.15">
      <c r="B582" t="str">
        <f>IF(SUMIF(搜索词报告!$A$2:$A$22222,总体数据一览!A582,搜索词报告!$I$2:$I$22222)=0,"",SUMIF(搜索词报告!$A$2:$A$22222,总体数据一览!A582,搜索词报告!$I$2:$I$22222))</f>
        <v/>
      </c>
      <c r="C582" t="str">
        <f>IF(SUMIF(搜索词报告!$A$2:$A$22222,总体数据一览!A582,搜索词报告!$J$2:$J$22222)=0,"",SUMIF(搜索词报告!$A$2:$A$22222,总体数据一览!A582,搜索词报告!$J$2:$J$22222))</f>
        <v/>
      </c>
      <c r="D582" s="2" t="str">
        <f t="shared" si="27"/>
        <v/>
      </c>
      <c r="E582" t="str">
        <f t="shared" si="28"/>
        <v/>
      </c>
      <c r="F582" t="str">
        <f>IF(SUMIF(搜索词报告!$A$2:$A$22222,总体数据一览!A582,搜索词报告!$M$2:$M$22222)=0,"",SUMIF(搜索词报告!$A$2:$A$22222,总体数据一览!A582,搜索词报告!$M$2:$M$22222))</f>
        <v/>
      </c>
      <c r="G582" t="str">
        <f>IFERROR(IF(B582="","",SUMIF(搜索词报告!$A$2:$A$22222,总体数据一览!A582,搜索词报告!$V$2:$V$22222))+IF(B582="","",SUMIF(搜索词报告!$A$2:$A$22222,总体数据一览!A582,搜索词报告!$W$2:$W$22222)),"")</f>
        <v/>
      </c>
      <c r="H582" s="2" t="str">
        <f t="shared" si="29"/>
        <v/>
      </c>
    </row>
    <row r="583" spans="2:8" x14ac:dyDescent="0.15">
      <c r="B583" t="str">
        <f>IF(SUMIF(搜索词报告!$A$2:$A$22222,总体数据一览!A583,搜索词报告!$I$2:$I$22222)=0,"",SUMIF(搜索词报告!$A$2:$A$22222,总体数据一览!A583,搜索词报告!$I$2:$I$22222))</f>
        <v/>
      </c>
      <c r="C583" t="str">
        <f>IF(SUMIF(搜索词报告!$A$2:$A$22222,总体数据一览!A583,搜索词报告!$J$2:$J$22222)=0,"",SUMIF(搜索词报告!$A$2:$A$22222,总体数据一览!A583,搜索词报告!$J$2:$J$22222))</f>
        <v/>
      </c>
      <c r="D583" s="2" t="str">
        <f t="shared" si="27"/>
        <v/>
      </c>
      <c r="E583" t="str">
        <f t="shared" si="28"/>
        <v/>
      </c>
      <c r="F583" t="str">
        <f>IF(SUMIF(搜索词报告!$A$2:$A$22222,总体数据一览!A583,搜索词报告!$M$2:$M$22222)=0,"",SUMIF(搜索词报告!$A$2:$A$22222,总体数据一览!A583,搜索词报告!$M$2:$M$22222))</f>
        <v/>
      </c>
      <c r="G583" t="str">
        <f>IFERROR(IF(B583="","",SUMIF(搜索词报告!$A$2:$A$22222,总体数据一览!A583,搜索词报告!$V$2:$V$22222))+IF(B583="","",SUMIF(搜索词报告!$A$2:$A$22222,总体数据一览!A583,搜索词报告!$W$2:$W$22222)),"")</f>
        <v/>
      </c>
      <c r="H583" s="2" t="str">
        <f t="shared" si="29"/>
        <v/>
      </c>
    </row>
    <row r="584" spans="2:8" x14ac:dyDescent="0.15">
      <c r="B584" t="str">
        <f>IF(SUMIF(搜索词报告!$A$2:$A$22222,总体数据一览!A584,搜索词报告!$I$2:$I$22222)=0,"",SUMIF(搜索词报告!$A$2:$A$22222,总体数据一览!A584,搜索词报告!$I$2:$I$22222))</f>
        <v/>
      </c>
      <c r="C584" t="str">
        <f>IF(SUMIF(搜索词报告!$A$2:$A$22222,总体数据一览!A584,搜索词报告!$J$2:$J$22222)=0,"",SUMIF(搜索词报告!$A$2:$A$22222,总体数据一览!A584,搜索词报告!$J$2:$J$22222))</f>
        <v/>
      </c>
      <c r="D584" s="2" t="str">
        <f t="shared" si="27"/>
        <v/>
      </c>
      <c r="E584" t="str">
        <f t="shared" si="28"/>
        <v/>
      </c>
      <c r="F584" t="str">
        <f>IF(SUMIF(搜索词报告!$A$2:$A$22222,总体数据一览!A584,搜索词报告!$M$2:$M$22222)=0,"",SUMIF(搜索词报告!$A$2:$A$22222,总体数据一览!A584,搜索词报告!$M$2:$M$22222))</f>
        <v/>
      </c>
      <c r="G584" t="str">
        <f>IFERROR(IF(B584="","",SUMIF(搜索词报告!$A$2:$A$22222,总体数据一览!A584,搜索词报告!$V$2:$V$22222))+IF(B584="","",SUMIF(搜索词报告!$A$2:$A$22222,总体数据一览!A584,搜索词报告!$W$2:$W$22222)),"")</f>
        <v/>
      </c>
      <c r="H584" s="2" t="str">
        <f t="shared" si="29"/>
        <v/>
      </c>
    </row>
    <row r="585" spans="2:8" x14ac:dyDescent="0.15">
      <c r="B585" t="str">
        <f>IF(SUMIF(搜索词报告!$A$2:$A$22222,总体数据一览!A585,搜索词报告!$I$2:$I$22222)=0,"",SUMIF(搜索词报告!$A$2:$A$22222,总体数据一览!A585,搜索词报告!$I$2:$I$22222))</f>
        <v/>
      </c>
      <c r="C585" t="str">
        <f>IF(SUMIF(搜索词报告!$A$2:$A$22222,总体数据一览!A585,搜索词报告!$J$2:$J$22222)=0,"",SUMIF(搜索词报告!$A$2:$A$22222,总体数据一览!A585,搜索词报告!$J$2:$J$22222))</f>
        <v/>
      </c>
      <c r="D585" s="2" t="str">
        <f t="shared" si="27"/>
        <v/>
      </c>
      <c r="E585" t="str">
        <f t="shared" si="28"/>
        <v/>
      </c>
      <c r="F585" t="str">
        <f>IF(SUMIF(搜索词报告!$A$2:$A$22222,总体数据一览!A585,搜索词报告!$M$2:$M$22222)=0,"",SUMIF(搜索词报告!$A$2:$A$22222,总体数据一览!A585,搜索词报告!$M$2:$M$22222))</f>
        <v/>
      </c>
      <c r="G585" t="str">
        <f>IFERROR(IF(B585="","",SUMIF(搜索词报告!$A$2:$A$22222,总体数据一览!A585,搜索词报告!$V$2:$V$22222))+IF(B585="","",SUMIF(搜索词报告!$A$2:$A$22222,总体数据一览!A585,搜索词报告!$W$2:$W$22222)),"")</f>
        <v/>
      </c>
      <c r="H585" s="2" t="str">
        <f t="shared" si="29"/>
        <v/>
      </c>
    </row>
    <row r="586" spans="2:8" x14ac:dyDescent="0.15">
      <c r="B586" t="str">
        <f>IF(SUMIF(搜索词报告!$A$2:$A$22222,总体数据一览!A586,搜索词报告!$I$2:$I$22222)=0,"",SUMIF(搜索词报告!$A$2:$A$22222,总体数据一览!A586,搜索词报告!$I$2:$I$22222))</f>
        <v/>
      </c>
      <c r="C586" t="str">
        <f>IF(SUMIF(搜索词报告!$A$2:$A$22222,总体数据一览!A586,搜索词报告!$J$2:$J$22222)=0,"",SUMIF(搜索词报告!$A$2:$A$22222,总体数据一览!A586,搜索词报告!$J$2:$J$22222))</f>
        <v/>
      </c>
      <c r="D586" s="2" t="str">
        <f t="shared" si="27"/>
        <v/>
      </c>
      <c r="E586" t="str">
        <f t="shared" si="28"/>
        <v/>
      </c>
      <c r="F586" t="str">
        <f>IF(SUMIF(搜索词报告!$A$2:$A$22222,总体数据一览!A586,搜索词报告!$M$2:$M$22222)=0,"",SUMIF(搜索词报告!$A$2:$A$22222,总体数据一览!A586,搜索词报告!$M$2:$M$22222))</f>
        <v/>
      </c>
      <c r="G586" t="str">
        <f>IFERROR(IF(B586="","",SUMIF(搜索词报告!$A$2:$A$22222,总体数据一览!A586,搜索词报告!$V$2:$V$22222))+IF(B586="","",SUMIF(搜索词报告!$A$2:$A$22222,总体数据一览!A586,搜索词报告!$W$2:$W$22222)),"")</f>
        <v/>
      </c>
      <c r="H586" s="2" t="str">
        <f t="shared" si="29"/>
        <v/>
      </c>
    </row>
    <row r="587" spans="2:8" x14ac:dyDescent="0.15">
      <c r="B587" t="str">
        <f>IF(SUMIF(搜索词报告!$A$2:$A$22222,总体数据一览!A587,搜索词报告!$I$2:$I$22222)=0,"",SUMIF(搜索词报告!$A$2:$A$22222,总体数据一览!A587,搜索词报告!$I$2:$I$22222))</f>
        <v/>
      </c>
      <c r="C587" t="str">
        <f>IF(SUMIF(搜索词报告!$A$2:$A$22222,总体数据一览!A587,搜索词报告!$J$2:$J$22222)=0,"",SUMIF(搜索词报告!$A$2:$A$22222,总体数据一览!A587,搜索词报告!$J$2:$J$22222))</f>
        <v/>
      </c>
      <c r="D587" s="2" t="str">
        <f t="shared" si="27"/>
        <v/>
      </c>
      <c r="E587" t="str">
        <f t="shared" si="28"/>
        <v/>
      </c>
      <c r="F587" t="str">
        <f>IF(SUMIF(搜索词报告!$A$2:$A$22222,总体数据一览!A587,搜索词报告!$M$2:$M$22222)=0,"",SUMIF(搜索词报告!$A$2:$A$22222,总体数据一览!A587,搜索词报告!$M$2:$M$22222))</f>
        <v/>
      </c>
      <c r="G587" t="str">
        <f>IFERROR(IF(B587="","",SUMIF(搜索词报告!$A$2:$A$22222,总体数据一览!A587,搜索词报告!$V$2:$V$22222))+IF(B587="","",SUMIF(搜索词报告!$A$2:$A$22222,总体数据一览!A587,搜索词报告!$W$2:$W$22222)),"")</f>
        <v/>
      </c>
      <c r="H587" s="2" t="str">
        <f t="shared" si="29"/>
        <v/>
      </c>
    </row>
    <row r="588" spans="2:8" x14ac:dyDescent="0.15">
      <c r="B588" t="str">
        <f>IF(SUMIF(搜索词报告!$A$2:$A$22222,总体数据一览!A588,搜索词报告!$I$2:$I$22222)=0,"",SUMIF(搜索词报告!$A$2:$A$22222,总体数据一览!A588,搜索词报告!$I$2:$I$22222))</f>
        <v/>
      </c>
      <c r="C588" t="str">
        <f>IF(SUMIF(搜索词报告!$A$2:$A$22222,总体数据一览!A588,搜索词报告!$J$2:$J$22222)=0,"",SUMIF(搜索词报告!$A$2:$A$22222,总体数据一览!A588,搜索词报告!$J$2:$J$22222))</f>
        <v/>
      </c>
      <c r="D588" s="2" t="str">
        <f t="shared" si="27"/>
        <v/>
      </c>
      <c r="E588" t="str">
        <f t="shared" si="28"/>
        <v/>
      </c>
      <c r="F588" t="str">
        <f>IF(SUMIF(搜索词报告!$A$2:$A$22222,总体数据一览!A588,搜索词报告!$M$2:$M$22222)=0,"",SUMIF(搜索词报告!$A$2:$A$22222,总体数据一览!A588,搜索词报告!$M$2:$M$22222))</f>
        <v/>
      </c>
      <c r="G588" t="str">
        <f>IFERROR(IF(B588="","",SUMIF(搜索词报告!$A$2:$A$22222,总体数据一览!A588,搜索词报告!$V$2:$V$22222))+IF(B588="","",SUMIF(搜索词报告!$A$2:$A$22222,总体数据一览!A588,搜索词报告!$W$2:$W$22222)),"")</f>
        <v/>
      </c>
      <c r="H588" s="2" t="str">
        <f t="shared" si="29"/>
        <v/>
      </c>
    </row>
    <row r="589" spans="2:8" x14ac:dyDescent="0.15">
      <c r="B589" t="str">
        <f>IF(SUMIF(搜索词报告!$A$2:$A$22222,总体数据一览!A589,搜索词报告!$I$2:$I$22222)=0,"",SUMIF(搜索词报告!$A$2:$A$22222,总体数据一览!A589,搜索词报告!$I$2:$I$22222))</f>
        <v/>
      </c>
      <c r="C589" t="str">
        <f>IF(SUMIF(搜索词报告!$A$2:$A$22222,总体数据一览!A589,搜索词报告!$J$2:$J$22222)=0,"",SUMIF(搜索词报告!$A$2:$A$22222,总体数据一览!A589,搜索词报告!$J$2:$J$22222))</f>
        <v/>
      </c>
      <c r="D589" s="2" t="str">
        <f t="shared" si="27"/>
        <v/>
      </c>
      <c r="E589" t="str">
        <f t="shared" si="28"/>
        <v/>
      </c>
      <c r="F589" t="str">
        <f>IF(SUMIF(搜索词报告!$A$2:$A$22222,总体数据一览!A589,搜索词报告!$M$2:$M$22222)=0,"",SUMIF(搜索词报告!$A$2:$A$22222,总体数据一览!A589,搜索词报告!$M$2:$M$22222))</f>
        <v/>
      </c>
      <c r="G589" t="str">
        <f>IFERROR(IF(B589="","",SUMIF(搜索词报告!$A$2:$A$22222,总体数据一览!A589,搜索词报告!$V$2:$V$22222))+IF(B589="","",SUMIF(搜索词报告!$A$2:$A$22222,总体数据一览!A589,搜索词报告!$W$2:$W$22222)),"")</f>
        <v/>
      </c>
      <c r="H589" s="2" t="str">
        <f t="shared" si="29"/>
        <v/>
      </c>
    </row>
    <row r="590" spans="2:8" x14ac:dyDescent="0.15">
      <c r="B590" t="str">
        <f>IF(SUMIF(搜索词报告!$A$2:$A$22222,总体数据一览!A590,搜索词报告!$I$2:$I$22222)=0,"",SUMIF(搜索词报告!$A$2:$A$22222,总体数据一览!A590,搜索词报告!$I$2:$I$22222))</f>
        <v/>
      </c>
      <c r="C590" t="str">
        <f>IF(SUMIF(搜索词报告!$A$2:$A$22222,总体数据一览!A590,搜索词报告!$J$2:$J$22222)=0,"",SUMIF(搜索词报告!$A$2:$A$22222,总体数据一览!A590,搜索词报告!$J$2:$J$22222))</f>
        <v/>
      </c>
      <c r="D590" s="2" t="str">
        <f t="shared" si="27"/>
        <v/>
      </c>
      <c r="E590" t="str">
        <f t="shared" si="28"/>
        <v/>
      </c>
      <c r="F590" t="str">
        <f>IF(SUMIF(搜索词报告!$A$2:$A$22222,总体数据一览!A590,搜索词报告!$M$2:$M$22222)=0,"",SUMIF(搜索词报告!$A$2:$A$22222,总体数据一览!A590,搜索词报告!$M$2:$M$22222))</f>
        <v/>
      </c>
      <c r="G590" t="str">
        <f>IFERROR(IF(B590="","",SUMIF(搜索词报告!$A$2:$A$22222,总体数据一览!A590,搜索词报告!$V$2:$V$22222))+IF(B590="","",SUMIF(搜索词报告!$A$2:$A$22222,总体数据一览!A590,搜索词报告!$W$2:$W$22222)),"")</f>
        <v/>
      </c>
      <c r="H590" s="2" t="str">
        <f t="shared" si="29"/>
        <v/>
      </c>
    </row>
    <row r="591" spans="2:8" x14ac:dyDescent="0.15">
      <c r="B591" t="str">
        <f>IF(SUMIF(搜索词报告!$A$2:$A$22222,总体数据一览!A591,搜索词报告!$I$2:$I$22222)=0,"",SUMIF(搜索词报告!$A$2:$A$22222,总体数据一览!A591,搜索词报告!$I$2:$I$22222))</f>
        <v/>
      </c>
      <c r="C591" t="str">
        <f>IF(SUMIF(搜索词报告!$A$2:$A$22222,总体数据一览!A591,搜索词报告!$J$2:$J$22222)=0,"",SUMIF(搜索词报告!$A$2:$A$22222,总体数据一览!A591,搜索词报告!$J$2:$J$22222))</f>
        <v/>
      </c>
      <c r="D591" s="2" t="str">
        <f t="shared" si="27"/>
        <v/>
      </c>
      <c r="E591" t="str">
        <f t="shared" si="28"/>
        <v/>
      </c>
      <c r="F591" t="str">
        <f>IF(SUMIF(搜索词报告!$A$2:$A$22222,总体数据一览!A591,搜索词报告!$M$2:$M$22222)=0,"",SUMIF(搜索词报告!$A$2:$A$22222,总体数据一览!A591,搜索词报告!$M$2:$M$22222))</f>
        <v/>
      </c>
      <c r="G591" t="str">
        <f>IFERROR(IF(B591="","",SUMIF(搜索词报告!$A$2:$A$22222,总体数据一览!A591,搜索词报告!$V$2:$V$22222))+IF(B591="","",SUMIF(搜索词报告!$A$2:$A$22222,总体数据一览!A591,搜索词报告!$W$2:$W$22222)),"")</f>
        <v/>
      </c>
      <c r="H591" s="2" t="str">
        <f t="shared" si="29"/>
        <v/>
      </c>
    </row>
    <row r="592" spans="2:8" x14ac:dyDescent="0.15">
      <c r="B592" t="str">
        <f>IF(SUMIF(搜索词报告!$A$2:$A$22222,总体数据一览!A592,搜索词报告!$I$2:$I$22222)=0,"",SUMIF(搜索词报告!$A$2:$A$22222,总体数据一览!A592,搜索词报告!$I$2:$I$22222))</f>
        <v/>
      </c>
      <c r="C592" t="str">
        <f>IF(SUMIF(搜索词报告!$A$2:$A$22222,总体数据一览!A592,搜索词报告!$J$2:$J$22222)=0,"",SUMIF(搜索词报告!$A$2:$A$22222,总体数据一览!A592,搜索词报告!$J$2:$J$22222))</f>
        <v/>
      </c>
      <c r="D592" s="2" t="str">
        <f t="shared" si="27"/>
        <v/>
      </c>
      <c r="E592" t="str">
        <f t="shared" si="28"/>
        <v/>
      </c>
      <c r="F592" t="str">
        <f>IF(SUMIF(搜索词报告!$A$2:$A$22222,总体数据一览!A592,搜索词报告!$M$2:$M$22222)=0,"",SUMIF(搜索词报告!$A$2:$A$22222,总体数据一览!A592,搜索词报告!$M$2:$M$22222))</f>
        <v/>
      </c>
      <c r="G592" t="str">
        <f>IFERROR(IF(B592="","",SUMIF(搜索词报告!$A$2:$A$22222,总体数据一览!A592,搜索词报告!$V$2:$V$22222))+IF(B592="","",SUMIF(搜索词报告!$A$2:$A$22222,总体数据一览!A592,搜索词报告!$W$2:$W$22222)),"")</f>
        <v/>
      </c>
      <c r="H592" s="2" t="str">
        <f t="shared" si="29"/>
        <v/>
      </c>
    </row>
    <row r="593" spans="2:8" x14ac:dyDescent="0.15">
      <c r="B593" t="str">
        <f>IF(SUMIF(搜索词报告!$A$2:$A$22222,总体数据一览!A593,搜索词报告!$I$2:$I$22222)=0,"",SUMIF(搜索词报告!$A$2:$A$22222,总体数据一览!A593,搜索词报告!$I$2:$I$22222))</f>
        <v/>
      </c>
      <c r="C593" t="str">
        <f>IF(SUMIF(搜索词报告!$A$2:$A$22222,总体数据一览!A593,搜索词报告!$J$2:$J$22222)=0,"",SUMIF(搜索词报告!$A$2:$A$22222,总体数据一览!A593,搜索词报告!$J$2:$J$22222))</f>
        <v/>
      </c>
      <c r="D593" s="2" t="str">
        <f t="shared" si="27"/>
        <v/>
      </c>
      <c r="E593" t="str">
        <f t="shared" si="28"/>
        <v/>
      </c>
      <c r="F593" t="str">
        <f>IF(SUMIF(搜索词报告!$A$2:$A$22222,总体数据一览!A593,搜索词报告!$M$2:$M$22222)=0,"",SUMIF(搜索词报告!$A$2:$A$22222,总体数据一览!A593,搜索词报告!$M$2:$M$22222))</f>
        <v/>
      </c>
      <c r="G593" t="str">
        <f>IFERROR(IF(B593="","",SUMIF(搜索词报告!$A$2:$A$22222,总体数据一览!A593,搜索词报告!$V$2:$V$22222))+IF(B593="","",SUMIF(搜索词报告!$A$2:$A$22222,总体数据一览!A593,搜索词报告!$W$2:$W$22222)),"")</f>
        <v/>
      </c>
      <c r="H593" s="2" t="str">
        <f t="shared" si="29"/>
        <v/>
      </c>
    </row>
    <row r="594" spans="2:8" x14ac:dyDescent="0.15">
      <c r="B594" t="str">
        <f>IF(SUMIF(搜索词报告!$A$2:$A$22222,总体数据一览!A594,搜索词报告!$I$2:$I$22222)=0,"",SUMIF(搜索词报告!$A$2:$A$22222,总体数据一览!A594,搜索词报告!$I$2:$I$22222))</f>
        <v/>
      </c>
      <c r="C594" t="str">
        <f>IF(SUMIF(搜索词报告!$A$2:$A$22222,总体数据一览!A594,搜索词报告!$J$2:$J$22222)=0,"",SUMIF(搜索词报告!$A$2:$A$22222,总体数据一览!A594,搜索词报告!$J$2:$J$22222))</f>
        <v/>
      </c>
      <c r="D594" s="2" t="str">
        <f t="shared" si="27"/>
        <v/>
      </c>
      <c r="E594" t="str">
        <f t="shared" si="28"/>
        <v/>
      </c>
      <c r="F594" t="str">
        <f>IF(SUMIF(搜索词报告!$A$2:$A$22222,总体数据一览!A594,搜索词报告!$M$2:$M$22222)=0,"",SUMIF(搜索词报告!$A$2:$A$22222,总体数据一览!A594,搜索词报告!$M$2:$M$22222))</f>
        <v/>
      </c>
      <c r="G594" t="str">
        <f>IFERROR(IF(B594="","",SUMIF(搜索词报告!$A$2:$A$22222,总体数据一览!A594,搜索词报告!$V$2:$V$22222))+IF(B594="","",SUMIF(搜索词报告!$A$2:$A$22222,总体数据一览!A594,搜索词报告!$W$2:$W$22222)),"")</f>
        <v/>
      </c>
      <c r="H594" s="2" t="str">
        <f t="shared" si="29"/>
        <v/>
      </c>
    </row>
    <row r="595" spans="2:8" x14ac:dyDescent="0.15">
      <c r="B595" t="str">
        <f>IF(SUMIF(搜索词报告!$A$2:$A$22222,总体数据一览!A595,搜索词报告!$I$2:$I$22222)=0,"",SUMIF(搜索词报告!$A$2:$A$22222,总体数据一览!A595,搜索词报告!$I$2:$I$22222))</f>
        <v/>
      </c>
      <c r="C595" t="str">
        <f>IF(SUMIF(搜索词报告!$A$2:$A$22222,总体数据一览!A595,搜索词报告!$J$2:$J$22222)=0,"",SUMIF(搜索词报告!$A$2:$A$22222,总体数据一览!A595,搜索词报告!$J$2:$J$22222))</f>
        <v/>
      </c>
      <c r="D595" s="2" t="str">
        <f t="shared" si="27"/>
        <v/>
      </c>
      <c r="E595" t="str">
        <f t="shared" si="28"/>
        <v/>
      </c>
      <c r="F595" t="str">
        <f>IF(SUMIF(搜索词报告!$A$2:$A$22222,总体数据一览!A595,搜索词报告!$M$2:$M$22222)=0,"",SUMIF(搜索词报告!$A$2:$A$22222,总体数据一览!A595,搜索词报告!$M$2:$M$22222))</f>
        <v/>
      </c>
      <c r="G595" t="str">
        <f>IFERROR(IF(B595="","",SUMIF(搜索词报告!$A$2:$A$22222,总体数据一览!A595,搜索词报告!$V$2:$V$22222))+IF(B595="","",SUMIF(搜索词报告!$A$2:$A$22222,总体数据一览!A595,搜索词报告!$W$2:$W$22222)),"")</f>
        <v/>
      </c>
      <c r="H595" s="2" t="str">
        <f t="shared" si="29"/>
        <v/>
      </c>
    </row>
    <row r="596" spans="2:8" x14ac:dyDescent="0.15">
      <c r="B596" t="str">
        <f>IF(SUMIF(搜索词报告!$A$2:$A$22222,总体数据一览!A596,搜索词报告!$I$2:$I$22222)=0,"",SUMIF(搜索词报告!$A$2:$A$22222,总体数据一览!A596,搜索词报告!$I$2:$I$22222))</f>
        <v/>
      </c>
      <c r="C596" t="str">
        <f>IF(SUMIF(搜索词报告!$A$2:$A$22222,总体数据一览!A596,搜索词报告!$J$2:$J$22222)=0,"",SUMIF(搜索词报告!$A$2:$A$22222,总体数据一览!A596,搜索词报告!$J$2:$J$22222))</f>
        <v/>
      </c>
      <c r="D596" s="2" t="str">
        <f t="shared" ref="D596:D659" si="30">IFERROR(ROUND(C596/B596,4),"")</f>
        <v/>
      </c>
      <c r="E596" t="str">
        <f t="shared" ref="E596:E659" si="31">IFERROR(ROUND(F596/C596,2),"")</f>
        <v/>
      </c>
      <c r="F596" t="str">
        <f>IF(SUMIF(搜索词报告!$A$2:$A$22222,总体数据一览!A596,搜索词报告!$M$2:$M$22222)=0,"",SUMIF(搜索词报告!$A$2:$A$22222,总体数据一览!A596,搜索词报告!$M$2:$M$22222))</f>
        <v/>
      </c>
      <c r="G596" t="str">
        <f>IFERROR(IF(B596="","",SUMIF(搜索词报告!$A$2:$A$22222,总体数据一览!A596,搜索词报告!$V$2:$V$22222))+IF(B596="","",SUMIF(搜索词报告!$A$2:$A$22222,总体数据一览!A596,搜索词报告!$W$2:$W$22222)),"")</f>
        <v/>
      </c>
      <c r="H596" s="2" t="str">
        <f t="shared" ref="H596:H659" si="32">IFERROR(ROUND(F596/G596,2),"")</f>
        <v/>
      </c>
    </row>
    <row r="597" spans="2:8" x14ac:dyDescent="0.15">
      <c r="B597" t="str">
        <f>IF(SUMIF(搜索词报告!$A$2:$A$22222,总体数据一览!A597,搜索词报告!$I$2:$I$22222)=0,"",SUMIF(搜索词报告!$A$2:$A$22222,总体数据一览!A597,搜索词报告!$I$2:$I$22222))</f>
        <v/>
      </c>
      <c r="C597" t="str">
        <f>IF(SUMIF(搜索词报告!$A$2:$A$22222,总体数据一览!A597,搜索词报告!$J$2:$J$22222)=0,"",SUMIF(搜索词报告!$A$2:$A$22222,总体数据一览!A597,搜索词报告!$J$2:$J$22222))</f>
        <v/>
      </c>
      <c r="D597" s="2" t="str">
        <f t="shared" si="30"/>
        <v/>
      </c>
      <c r="E597" t="str">
        <f t="shared" si="31"/>
        <v/>
      </c>
      <c r="F597" t="str">
        <f>IF(SUMIF(搜索词报告!$A$2:$A$22222,总体数据一览!A597,搜索词报告!$M$2:$M$22222)=0,"",SUMIF(搜索词报告!$A$2:$A$22222,总体数据一览!A597,搜索词报告!$M$2:$M$22222))</f>
        <v/>
      </c>
      <c r="G597" t="str">
        <f>IFERROR(IF(B597="","",SUMIF(搜索词报告!$A$2:$A$22222,总体数据一览!A597,搜索词报告!$V$2:$V$22222))+IF(B597="","",SUMIF(搜索词报告!$A$2:$A$22222,总体数据一览!A597,搜索词报告!$W$2:$W$22222)),"")</f>
        <v/>
      </c>
      <c r="H597" s="2" t="str">
        <f t="shared" si="32"/>
        <v/>
      </c>
    </row>
    <row r="598" spans="2:8" x14ac:dyDescent="0.15">
      <c r="B598" t="str">
        <f>IF(SUMIF(搜索词报告!$A$2:$A$22222,总体数据一览!A598,搜索词报告!$I$2:$I$22222)=0,"",SUMIF(搜索词报告!$A$2:$A$22222,总体数据一览!A598,搜索词报告!$I$2:$I$22222))</f>
        <v/>
      </c>
      <c r="C598" t="str">
        <f>IF(SUMIF(搜索词报告!$A$2:$A$22222,总体数据一览!A598,搜索词报告!$J$2:$J$22222)=0,"",SUMIF(搜索词报告!$A$2:$A$22222,总体数据一览!A598,搜索词报告!$J$2:$J$22222))</f>
        <v/>
      </c>
      <c r="D598" s="2" t="str">
        <f t="shared" si="30"/>
        <v/>
      </c>
      <c r="E598" t="str">
        <f t="shared" si="31"/>
        <v/>
      </c>
      <c r="F598" t="str">
        <f>IF(SUMIF(搜索词报告!$A$2:$A$22222,总体数据一览!A598,搜索词报告!$M$2:$M$22222)=0,"",SUMIF(搜索词报告!$A$2:$A$22222,总体数据一览!A598,搜索词报告!$M$2:$M$22222))</f>
        <v/>
      </c>
      <c r="G598" t="str">
        <f>IFERROR(IF(B598="","",SUMIF(搜索词报告!$A$2:$A$22222,总体数据一览!A598,搜索词报告!$V$2:$V$22222))+IF(B598="","",SUMIF(搜索词报告!$A$2:$A$22222,总体数据一览!A598,搜索词报告!$W$2:$W$22222)),"")</f>
        <v/>
      </c>
      <c r="H598" s="2" t="str">
        <f t="shared" si="32"/>
        <v/>
      </c>
    </row>
    <row r="599" spans="2:8" x14ac:dyDescent="0.15">
      <c r="B599" t="str">
        <f>IF(SUMIF(搜索词报告!$A$2:$A$22222,总体数据一览!A599,搜索词报告!$I$2:$I$22222)=0,"",SUMIF(搜索词报告!$A$2:$A$22222,总体数据一览!A599,搜索词报告!$I$2:$I$22222))</f>
        <v/>
      </c>
      <c r="C599" t="str">
        <f>IF(SUMIF(搜索词报告!$A$2:$A$22222,总体数据一览!A599,搜索词报告!$J$2:$J$22222)=0,"",SUMIF(搜索词报告!$A$2:$A$22222,总体数据一览!A599,搜索词报告!$J$2:$J$22222))</f>
        <v/>
      </c>
      <c r="D599" s="2" t="str">
        <f t="shared" si="30"/>
        <v/>
      </c>
      <c r="E599" t="str">
        <f t="shared" si="31"/>
        <v/>
      </c>
      <c r="F599" t="str">
        <f>IF(SUMIF(搜索词报告!$A$2:$A$22222,总体数据一览!A599,搜索词报告!$M$2:$M$22222)=0,"",SUMIF(搜索词报告!$A$2:$A$22222,总体数据一览!A599,搜索词报告!$M$2:$M$22222))</f>
        <v/>
      </c>
      <c r="G599" t="str">
        <f>IFERROR(IF(B599="","",SUMIF(搜索词报告!$A$2:$A$22222,总体数据一览!A599,搜索词报告!$V$2:$V$22222))+IF(B599="","",SUMIF(搜索词报告!$A$2:$A$22222,总体数据一览!A599,搜索词报告!$W$2:$W$22222)),"")</f>
        <v/>
      </c>
      <c r="H599" s="2" t="str">
        <f t="shared" si="32"/>
        <v/>
      </c>
    </row>
    <row r="600" spans="2:8" x14ac:dyDescent="0.15">
      <c r="B600" t="str">
        <f>IF(SUMIF(搜索词报告!$A$2:$A$22222,总体数据一览!A600,搜索词报告!$I$2:$I$22222)=0,"",SUMIF(搜索词报告!$A$2:$A$22222,总体数据一览!A600,搜索词报告!$I$2:$I$22222))</f>
        <v/>
      </c>
      <c r="C600" t="str">
        <f>IF(SUMIF(搜索词报告!$A$2:$A$22222,总体数据一览!A600,搜索词报告!$J$2:$J$22222)=0,"",SUMIF(搜索词报告!$A$2:$A$22222,总体数据一览!A600,搜索词报告!$J$2:$J$22222))</f>
        <v/>
      </c>
      <c r="D600" s="2" t="str">
        <f t="shared" si="30"/>
        <v/>
      </c>
      <c r="E600" t="str">
        <f t="shared" si="31"/>
        <v/>
      </c>
      <c r="F600" t="str">
        <f>IF(SUMIF(搜索词报告!$A$2:$A$22222,总体数据一览!A600,搜索词报告!$M$2:$M$22222)=0,"",SUMIF(搜索词报告!$A$2:$A$22222,总体数据一览!A600,搜索词报告!$M$2:$M$22222))</f>
        <v/>
      </c>
      <c r="G600" t="str">
        <f>IFERROR(IF(B600="","",SUMIF(搜索词报告!$A$2:$A$22222,总体数据一览!A600,搜索词报告!$V$2:$V$22222))+IF(B600="","",SUMIF(搜索词报告!$A$2:$A$22222,总体数据一览!A600,搜索词报告!$W$2:$W$22222)),"")</f>
        <v/>
      </c>
      <c r="H600" s="2" t="str">
        <f t="shared" si="32"/>
        <v/>
      </c>
    </row>
    <row r="601" spans="2:8" x14ac:dyDescent="0.15">
      <c r="B601" t="str">
        <f>IF(SUMIF(搜索词报告!$A$2:$A$22222,总体数据一览!A601,搜索词报告!$I$2:$I$22222)=0,"",SUMIF(搜索词报告!$A$2:$A$22222,总体数据一览!A601,搜索词报告!$I$2:$I$22222))</f>
        <v/>
      </c>
      <c r="C601" t="str">
        <f>IF(SUMIF(搜索词报告!$A$2:$A$22222,总体数据一览!A601,搜索词报告!$J$2:$J$22222)=0,"",SUMIF(搜索词报告!$A$2:$A$22222,总体数据一览!A601,搜索词报告!$J$2:$J$22222))</f>
        <v/>
      </c>
      <c r="D601" s="2" t="str">
        <f t="shared" si="30"/>
        <v/>
      </c>
      <c r="E601" t="str">
        <f t="shared" si="31"/>
        <v/>
      </c>
      <c r="F601" t="str">
        <f>IF(SUMIF(搜索词报告!$A$2:$A$22222,总体数据一览!A601,搜索词报告!$M$2:$M$22222)=0,"",SUMIF(搜索词报告!$A$2:$A$22222,总体数据一览!A601,搜索词报告!$M$2:$M$22222))</f>
        <v/>
      </c>
      <c r="G601" t="str">
        <f>IFERROR(IF(B601="","",SUMIF(搜索词报告!$A$2:$A$22222,总体数据一览!A601,搜索词报告!$V$2:$V$22222))+IF(B601="","",SUMIF(搜索词报告!$A$2:$A$22222,总体数据一览!A601,搜索词报告!$W$2:$W$22222)),"")</f>
        <v/>
      </c>
      <c r="H601" s="2" t="str">
        <f t="shared" si="32"/>
        <v/>
      </c>
    </row>
    <row r="602" spans="2:8" x14ac:dyDescent="0.15">
      <c r="B602" t="str">
        <f>IF(SUMIF(搜索词报告!$A$2:$A$22222,总体数据一览!A602,搜索词报告!$I$2:$I$22222)=0,"",SUMIF(搜索词报告!$A$2:$A$22222,总体数据一览!A602,搜索词报告!$I$2:$I$22222))</f>
        <v/>
      </c>
      <c r="C602" t="str">
        <f>IF(SUMIF(搜索词报告!$A$2:$A$22222,总体数据一览!A602,搜索词报告!$J$2:$J$22222)=0,"",SUMIF(搜索词报告!$A$2:$A$22222,总体数据一览!A602,搜索词报告!$J$2:$J$22222))</f>
        <v/>
      </c>
      <c r="D602" s="2" t="str">
        <f t="shared" si="30"/>
        <v/>
      </c>
      <c r="E602" t="str">
        <f t="shared" si="31"/>
        <v/>
      </c>
      <c r="F602" t="str">
        <f>IF(SUMIF(搜索词报告!$A$2:$A$22222,总体数据一览!A602,搜索词报告!$M$2:$M$22222)=0,"",SUMIF(搜索词报告!$A$2:$A$22222,总体数据一览!A602,搜索词报告!$M$2:$M$22222))</f>
        <v/>
      </c>
      <c r="G602" t="str">
        <f>IFERROR(IF(B602="","",SUMIF(搜索词报告!$A$2:$A$22222,总体数据一览!A602,搜索词报告!$V$2:$V$22222))+IF(B602="","",SUMIF(搜索词报告!$A$2:$A$22222,总体数据一览!A602,搜索词报告!$W$2:$W$22222)),"")</f>
        <v/>
      </c>
      <c r="H602" s="2" t="str">
        <f t="shared" si="32"/>
        <v/>
      </c>
    </row>
    <row r="603" spans="2:8" x14ac:dyDescent="0.15">
      <c r="B603" t="str">
        <f>IF(SUMIF(搜索词报告!$A$2:$A$22222,总体数据一览!A603,搜索词报告!$I$2:$I$22222)=0,"",SUMIF(搜索词报告!$A$2:$A$22222,总体数据一览!A603,搜索词报告!$I$2:$I$22222))</f>
        <v/>
      </c>
      <c r="C603" t="str">
        <f>IF(SUMIF(搜索词报告!$A$2:$A$22222,总体数据一览!A603,搜索词报告!$J$2:$J$22222)=0,"",SUMIF(搜索词报告!$A$2:$A$22222,总体数据一览!A603,搜索词报告!$J$2:$J$22222))</f>
        <v/>
      </c>
      <c r="D603" s="2" t="str">
        <f t="shared" si="30"/>
        <v/>
      </c>
      <c r="E603" t="str">
        <f t="shared" si="31"/>
        <v/>
      </c>
      <c r="F603" t="str">
        <f>IF(SUMIF(搜索词报告!$A$2:$A$22222,总体数据一览!A603,搜索词报告!$M$2:$M$22222)=0,"",SUMIF(搜索词报告!$A$2:$A$22222,总体数据一览!A603,搜索词报告!$M$2:$M$22222))</f>
        <v/>
      </c>
      <c r="G603" t="str">
        <f>IFERROR(IF(B603="","",SUMIF(搜索词报告!$A$2:$A$22222,总体数据一览!A603,搜索词报告!$V$2:$V$22222))+IF(B603="","",SUMIF(搜索词报告!$A$2:$A$22222,总体数据一览!A603,搜索词报告!$W$2:$W$22222)),"")</f>
        <v/>
      </c>
      <c r="H603" s="2" t="str">
        <f t="shared" si="32"/>
        <v/>
      </c>
    </row>
    <row r="604" spans="2:8" x14ac:dyDescent="0.15">
      <c r="B604" t="str">
        <f>IF(SUMIF(搜索词报告!$A$2:$A$22222,总体数据一览!A604,搜索词报告!$I$2:$I$22222)=0,"",SUMIF(搜索词报告!$A$2:$A$22222,总体数据一览!A604,搜索词报告!$I$2:$I$22222))</f>
        <v/>
      </c>
      <c r="C604" t="str">
        <f>IF(SUMIF(搜索词报告!$A$2:$A$22222,总体数据一览!A604,搜索词报告!$J$2:$J$22222)=0,"",SUMIF(搜索词报告!$A$2:$A$22222,总体数据一览!A604,搜索词报告!$J$2:$J$22222))</f>
        <v/>
      </c>
      <c r="D604" s="2" t="str">
        <f t="shared" si="30"/>
        <v/>
      </c>
      <c r="E604" t="str">
        <f t="shared" si="31"/>
        <v/>
      </c>
      <c r="F604" t="str">
        <f>IF(SUMIF(搜索词报告!$A$2:$A$22222,总体数据一览!A604,搜索词报告!$M$2:$M$22222)=0,"",SUMIF(搜索词报告!$A$2:$A$22222,总体数据一览!A604,搜索词报告!$M$2:$M$22222))</f>
        <v/>
      </c>
      <c r="G604" t="str">
        <f>IFERROR(IF(B604="","",SUMIF(搜索词报告!$A$2:$A$22222,总体数据一览!A604,搜索词报告!$V$2:$V$22222))+IF(B604="","",SUMIF(搜索词报告!$A$2:$A$22222,总体数据一览!A604,搜索词报告!$W$2:$W$22222)),"")</f>
        <v/>
      </c>
      <c r="H604" s="2" t="str">
        <f t="shared" si="32"/>
        <v/>
      </c>
    </row>
    <row r="605" spans="2:8" x14ac:dyDescent="0.15">
      <c r="B605" t="str">
        <f>IF(SUMIF(搜索词报告!$A$2:$A$22222,总体数据一览!A605,搜索词报告!$I$2:$I$22222)=0,"",SUMIF(搜索词报告!$A$2:$A$22222,总体数据一览!A605,搜索词报告!$I$2:$I$22222))</f>
        <v/>
      </c>
      <c r="C605" t="str">
        <f>IF(SUMIF(搜索词报告!$A$2:$A$22222,总体数据一览!A605,搜索词报告!$J$2:$J$22222)=0,"",SUMIF(搜索词报告!$A$2:$A$22222,总体数据一览!A605,搜索词报告!$J$2:$J$22222))</f>
        <v/>
      </c>
      <c r="D605" s="2" t="str">
        <f t="shared" si="30"/>
        <v/>
      </c>
      <c r="E605" t="str">
        <f t="shared" si="31"/>
        <v/>
      </c>
      <c r="F605" t="str">
        <f>IF(SUMIF(搜索词报告!$A$2:$A$22222,总体数据一览!A605,搜索词报告!$M$2:$M$22222)=0,"",SUMIF(搜索词报告!$A$2:$A$22222,总体数据一览!A605,搜索词报告!$M$2:$M$22222))</f>
        <v/>
      </c>
      <c r="G605" t="str">
        <f>IFERROR(IF(B605="","",SUMIF(搜索词报告!$A$2:$A$22222,总体数据一览!A605,搜索词报告!$V$2:$V$22222))+IF(B605="","",SUMIF(搜索词报告!$A$2:$A$22222,总体数据一览!A605,搜索词报告!$W$2:$W$22222)),"")</f>
        <v/>
      </c>
      <c r="H605" s="2" t="str">
        <f t="shared" si="32"/>
        <v/>
      </c>
    </row>
    <row r="606" spans="2:8" x14ac:dyDescent="0.15">
      <c r="B606" t="str">
        <f>IF(SUMIF(搜索词报告!$A$2:$A$22222,总体数据一览!A606,搜索词报告!$I$2:$I$22222)=0,"",SUMIF(搜索词报告!$A$2:$A$22222,总体数据一览!A606,搜索词报告!$I$2:$I$22222))</f>
        <v/>
      </c>
      <c r="C606" t="str">
        <f>IF(SUMIF(搜索词报告!$A$2:$A$22222,总体数据一览!A606,搜索词报告!$J$2:$J$22222)=0,"",SUMIF(搜索词报告!$A$2:$A$22222,总体数据一览!A606,搜索词报告!$J$2:$J$22222))</f>
        <v/>
      </c>
      <c r="D606" s="2" t="str">
        <f t="shared" si="30"/>
        <v/>
      </c>
      <c r="E606" t="str">
        <f t="shared" si="31"/>
        <v/>
      </c>
      <c r="F606" t="str">
        <f>IF(SUMIF(搜索词报告!$A$2:$A$22222,总体数据一览!A606,搜索词报告!$M$2:$M$22222)=0,"",SUMIF(搜索词报告!$A$2:$A$22222,总体数据一览!A606,搜索词报告!$M$2:$M$22222))</f>
        <v/>
      </c>
      <c r="G606" t="str">
        <f>IFERROR(IF(B606="","",SUMIF(搜索词报告!$A$2:$A$22222,总体数据一览!A606,搜索词报告!$V$2:$V$22222))+IF(B606="","",SUMIF(搜索词报告!$A$2:$A$22222,总体数据一览!A606,搜索词报告!$W$2:$W$22222)),"")</f>
        <v/>
      </c>
      <c r="H606" s="2" t="str">
        <f t="shared" si="32"/>
        <v/>
      </c>
    </row>
    <row r="607" spans="2:8" x14ac:dyDescent="0.15">
      <c r="B607" t="str">
        <f>IF(SUMIF(搜索词报告!$A$2:$A$22222,总体数据一览!A607,搜索词报告!$I$2:$I$22222)=0,"",SUMIF(搜索词报告!$A$2:$A$22222,总体数据一览!A607,搜索词报告!$I$2:$I$22222))</f>
        <v/>
      </c>
      <c r="C607" t="str">
        <f>IF(SUMIF(搜索词报告!$A$2:$A$22222,总体数据一览!A607,搜索词报告!$J$2:$J$22222)=0,"",SUMIF(搜索词报告!$A$2:$A$22222,总体数据一览!A607,搜索词报告!$J$2:$J$22222))</f>
        <v/>
      </c>
      <c r="D607" s="2" t="str">
        <f t="shared" si="30"/>
        <v/>
      </c>
      <c r="E607" t="str">
        <f t="shared" si="31"/>
        <v/>
      </c>
      <c r="F607" t="str">
        <f>IF(SUMIF(搜索词报告!$A$2:$A$22222,总体数据一览!A607,搜索词报告!$M$2:$M$22222)=0,"",SUMIF(搜索词报告!$A$2:$A$22222,总体数据一览!A607,搜索词报告!$M$2:$M$22222))</f>
        <v/>
      </c>
      <c r="G607" t="str">
        <f>IFERROR(IF(B607="","",SUMIF(搜索词报告!$A$2:$A$22222,总体数据一览!A607,搜索词报告!$V$2:$V$22222))+IF(B607="","",SUMIF(搜索词报告!$A$2:$A$22222,总体数据一览!A607,搜索词报告!$W$2:$W$22222)),"")</f>
        <v/>
      </c>
      <c r="H607" s="2" t="str">
        <f t="shared" si="32"/>
        <v/>
      </c>
    </row>
    <row r="608" spans="2:8" x14ac:dyDescent="0.15">
      <c r="B608" t="str">
        <f>IF(SUMIF(搜索词报告!$A$2:$A$22222,总体数据一览!A608,搜索词报告!$I$2:$I$22222)=0,"",SUMIF(搜索词报告!$A$2:$A$22222,总体数据一览!A608,搜索词报告!$I$2:$I$22222))</f>
        <v/>
      </c>
      <c r="C608" t="str">
        <f>IF(SUMIF(搜索词报告!$A$2:$A$22222,总体数据一览!A608,搜索词报告!$J$2:$J$22222)=0,"",SUMIF(搜索词报告!$A$2:$A$22222,总体数据一览!A608,搜索词报告!$J$2:$J$22222))</f>
        <v/>
      </c>
      <c r="D608" s="2" t="str">
        <f t="shared" si="30"/>
        <v/>
      </c>
      <c r="E608" t="str">
        <f t="shared" si="31"/>
        <v/>
      </c>
      <c r="F608" t="str">
        <f>IF(SUMIF(搜索词报告!$A$2:$A$22222,总体数据一览!A608,搜索词报告!$M$2:$M$22222)=0,"",SUMIF(搜索词报告!$A$2:$A$22222,总体数据一览!A608,搜索词报告!$M$2:$M$22222))</f>
        <v/>
      </c>
      <c r="G608" t="str">
        <f>IFERROR(IF(B608="","",SUMIF(搜索词报告!$A$2:$A$22222,总体数据一览!A608,搜索词报告!$V$2:$V$22222))+IF(B608="","",SUMIF(搜索词报告!$A$2:$A$22222,总体数据一览!A608,搜索词报告!$W$2:$W$22222)),"")</f>
        <v/>
      </c>
      <c r="H608" s="2" t="str">
        <f t="shared" si="32"/>
        <v/>
      </c>
    </row>
    <row r="609" spans="2:8" x14ac:dyDescent="0.15">
      <c r="B609" t="str">
        <f>IF(SUMIF(搜索词报告!$A$2:$A$22222,总体数据一览!A609,搜索词报告!$I$2:$I$22222)=0,"",SUMIF(搜索词报告!$A$2:$A$22222,总体数据一览!A609,搜索词报告!$I$2:$I$22222))</f>
        <v/>
      </c>
      <c r="C609" t="str">
        <f>IF(SUMIF(搜索词报告!$A$2:$A$22222,总体数据一览!A609,搜索词报告!$J$2:$J$22222)=0,"",SUMIF(搜索词报告!$A$2:$A$22222,总体数据一览!A609,搜索词报告!$J$2:$J$22222))</f>
        <v/>
      </c>
      <c r="D609" s="2" t="str">
        <f t="shared" si="30"/>
        <v/>
      </c>
      <c r="E609" t="str">
        <f t="shared" si="31"/>
        <v/>
      </c>
      <c r="F609" t="str">
        <f>IF(SUMIF(搜索词报告!$A$2:$A$22222,总体数据一览!A609,搜索词报告!$M$2:$M$22222)=0,"",SUMIF(搜索词报告!$A$2:$A$22222,总体数据一览!A609,搜索词报告!$M$2:$M$22222))</f>
        <v/>
      </c>
      <c r="G609" t="str">
        <f>IFERROR(IF(B609="","",SUMIF(搜索词报告!$A$2:$A$22222,总体数据一览!A609,搜索词报告!$V$2:$V$22222))+IF(B609="","",SUMIF(搜索词报告!$A$2:$A$22222,总体数据一览!A609,搜索词报告!$W$2:$W$22222)),"")</f>
        <v/>
      </c>
      <c r="H609" s="2" t="str">
        <f t="shared" si="32"/>
        <v/>
      </c>
    </row>
    <row r="610" spans="2:8" x14ac:dyDescent="0.15">
      <c r="B610" t="str">
        <f>IF(SUMIF(搜索词报告!$A$2:$A$22222,总体数据一览!A610,搜索词报告!$I$2:$I$22222)=0,"",SUMIF(搜索词报告!$A$2:$A$22222,总体数据一览!A610,搜索词报告!$I$2:$I$22222))</f>
        <v/>
      </c>
      <c r="C610" t="str">
        <f>IF(SUMIF(搜索词报告!$A$2:$A$22222,总体数据一览!A610,搜索词报告!$J$2:$J$22222)=0,"",SUMIF(搜索词报告!$A$2:$A$22222,总体数据一览!A610,搜索词报告!$J$2:$J$22222))</f>
        <v/>
      </c>
      <c r="D610" s="2" t="str">
        <f t="shared" si="30"/>
        <v/>
      </c>
      <c r="E610" t="str">
        <f t="shared" si="31"/>
        <v/>
      </c>
      <c r="F610" t="str">
        <f>IF(SUMIF(搜索词报告!$A$2:$A$22222,总体数据一览!A610,搜索词报告!$M$2:$M$22222)=0,"",SUMIF(搜索词报告!$A$2:$A$22222,总体数据一览!A610,搜索词报告!$M$2:$M$22222))</f>
        <v/>
      </c>
      <c r="G610" t="str">
        <f>IFERROR(IF(B610="","",SUMIF(搜索词报告!$A$2:$A$22222,总体数据一览!A610,搜索词报告!$V$2:$V$22222))+IF(B610="","",SUMIF(搜索词报告!$A$2:$A$22222,总体数据一览!A610,搜索词报告!$W$2:$W$22222)),"")</f>
        <v/>
      </c>
      <c r="H610" s="2" t="str">
        <f t="shared" si="32"/>
        <v/>
      </c>
    </row>
    <row r="611" spans="2:8" x14ac:dyDescent="0.15">
      <c r="B611" t="str">
        <f>IF(SUMIF(搜索词报告!$A$2:$A$22222,总体数据一览!A611,搜索词报告!$I$2:$I$22222)=0,"",SUMIF(搜索词报告!$A$2:$A$22222,总体数据一览!A611,搜索词报告!$I$2:$I$22222))</f>
        <v/>
      </c>
      <c r="C611" t="str">
        <f>IF(SUMIF(搜索词报告!$A$2:$A$22222,总体数据一览!A611,搜索词报告!$J$2:$J$22222)=0,"",SUMIF(搜索词报告!$A$2:$A$22222,总体数据一览!A611,搜索词报告!$J$2:$J$22222))</f>
        <v/>
      </c>
      <c r="D611" s="2" t="str">
        <f t="shared" si="30"/>
        <v/>
      </c>
      <c r="E611" t="str">
        <f t="shared" si="31"/>
        <v/>
      </c>
      <c r="F611" t="str">
        <f>IF(SUMIF(搜索词报告!$A$2:$A$22222,总体数据一览!A611,搜索词报告!$M$2:$M$22222)=0,"",SUMIF(搜索词报告!$A$2:$A$22222,总体数据一览!A611,搜索词报告!$M$2:$M$22222))</f>
        <v/>
      </c>
      <c r="G611" t="str">
        <f>IFERROR(IF(B611="","",SUMIF(搜索词报告!$A$2:$A$22222,总体数据一览!A611,搜索词报告!$V$2:$V$22222))+IF(B611="","",SUMIF(搜索词报告!$A$2:$A$22222,总体数据一览!A611,搜索词报告!$W$2:$W$22222)),"")</f>
        <v/>
      </c>
      <c r="H611" s="2" t="str">
        <f t="shared" si="32"/>
        <v/>
      </c>
    </row>
    <row r="612" spans="2:8" x14ac:dyDescent="0.15">
      <c r="B612" t="str">
        <f>IF(SUMIF(搜索词报告!$A$2:$A$22222,总体数据一览!A612,搜索词报告!$I$2:$I$22222)=0,"",SUMIF(搜索词报告!$A$2:$A$22222,总体数据一览!A612,搜索词报告!$I$2:$I$22222))</f>
        <v/>
      </c>
      <c r="C612" t="str">
        <f>IF(SUMIF(搜索词报告!$A$2:$A$22222,总体数据一览!A612,搜索词报告!$J$2:$J$22222)=0,"",SUMIF(搜索词报告!$A$2:$A$22222,总体数据一览!A612,搜索词报告!$J$2:$J$22222))</f>
        <v/>
      </c>
      <c r="D612" s="2" t="str">
        <f t="shared" si="30"/>
        <v/>
      </c>
      <c r="E612" t="str">
        <f t="shared" si="31"/>
        <v/>
      </c>
      <c r="F612" t="str">
        <f>IF(SUMIF(搜索词报告!$A$2:$A$22222,总体数据一览!A612,搜索词报告!$M$2:$M$22222)=0,"",SUMIF(搜索词报告!$A$2:$A$22222,总体数据一览!A612,搜索词报告!$M$2:$M$22222))</f>
        <v/>
      </c>
      <c r="G612" t="str">
        <f>IFERROR(IF(B612="","",SUMIF(搜索词报告!$A$2:$A$22222,总体数据一览!A612,搜索词报告!$V$2:$V$22222))+IF(B612="","",SUMIF(搜索词报告!$A$2:$A$22222,总体数据一览!A612,搜索词报告!$W$2:$W$22222)),"")</f>
        <v/>
      </c>
      <c r="H612" s="2" t="str">
        <f t="shared" si="32"/>
        <v/>
      </c>
    </row>
    <row r="613" spans="2:8" x14ac:dyDescent="0.15">
      <c r="B613" t="str">
        <f>IF(SUMIF(搜索词报告!$A$2:$A$22222,总体数据一览!A613,搜索词报告!$I$2:$I$22222)=0,"",SUMIF(搜索词报告!$A$2:$A$22222,总体数据一览!A613,搜索词报告!$I$2:$I$22222))</f>
        <v/>
      </c>
      <c r="C613" t="str">
        <f>IF(SUMIF(搜索词报告!$A$2:$A$22222,总体数据一览!A613,搜索词报告!$J$2:$J$22222)=0,"",SUMIF(搜索词报告!$A$2:$A$22222,总体数据一览!A613,搜索词报告!$J$2:$J$22222))</f>
        <v/>
      </c>
      <c r="D613" s="2" t="str">
        <f t="shared" si="30"/>
        <v/>
      </c>
      <c r="E613" t="str">
        <f t="shared" si="31"/>
        <v/>
      </c>
      <c r="F613" t="str">
        <f>IF(SUMIF(搜索词报告!$A$2:$A$22222,总体数据一览!A613,搜索词报告!$M$2:$M$22222)=0,"",SUMIF(搜索词报告!$A$2:$A$22222,总体数据一览!A613,搜索词报告!$M$2:$M$22222))</f>
        <v/>
      </c>
      <c r="G613" t="str">
        <f>IFERROR(IF(B613="","",SUMIF(搜索词报告!$A$2:$A$22222,总体数据一览!A613,搜索词报告!$V$2:$V$22222))+IF(B613="","",SUMIF(搜索词报告!$A$2:$A$22222,总体数据一览!A613,搜索词报告!$W$2:$W$22222)),"")</f>
        <v/>
      </c>
      <c r="H613" s="2" t="str">
        <f t="shared" si="32"/>
        <v/>
      </c>
    </row>
    <row r="614" spans="2:8" x14ac:dyDescent="0.15">
      <c r="B614" t="str">
        <f>IF(SUMIF(搜索词报告!$A$2:$A$22222,总体数据一览!A614,搜索词报告!$I$2:$I$22222)=0,"",SUMIF(搜索词报告!$A$2:$A$22222,总体数据一览!A614,搜索词报告!$I$2:$I$22222))</f>
        <v/>
      </c>
      <c r="C614" t="str">
        <f>IF(SUMIF(搜索词报告!$A$2:$A$22222,总体数据一览!A614,搜索词报告!$J$2:$J$22222)=0,"",SUMIF(搜索词报告!$A$2:$A$22222,总体数据一览!A614,搜索词报告!$J$2:$J$22222))</f>
        <v/>
      </c>
      <c r="D614" s="2" t="str">
        <f t="shared" si="30"/>
        <v/>
      </c>
      <c r="E614" t="str">
        <f t="shared" si="31"/>
        <v/>
      </c>
      <c r="F614" t="str">
        <f>IF(SUMIF(搜索词报告!$A$2:$A$22222,总体数据一览!A614,搜索词报告!$M$2:$M$22222)=0,"",SUMIF(搜索词报告!$A$2:$A$22222,总体数据一览!A614,搜索词报告!$M$2:$M$22222))</f>
        <v/>
      </c>
      <c r="G614" t="str">
        <f>IFERROR(IF(B614="","",SUMIF(搜索词报告!$A$2:$A$22222,总体数据一览!A614,搜索词报告!$V$2:$V$22222))+IF(B614="","",SUMIF(搜索词报告!$A$2:$A$22222,总体数据一览!A614,搜索词报告!$W$2:$W$22222)),"")</f>
        <v/>
      </c>
      <c r="H614" s="2" t="str">
        <f t="shared" si="32"/>
        <v/>
      </c>
    </row>
    <row r="615" spans="2:8" x14ac:dyDescent="0.15">
      <c r="B615" t="str">
        <f>IF(SUMIF(搜索词报告!$A$2:$A$22222,总体数据一览!A615,搜索词报告!$I$2:$I$22222)=0,"",SUMIF(搜索词报告!$A$2:$A$22222,总体数据一览!A615,搜索词报告!$I$2:$I$22222))</f>
        <v/>
      </c>
      <c r="C615" t="str">
        <f>IF(SUMIF(搜索词报告!$A$2:$A$22222,总体数据一览!A615,搜索词报告!$J$2:$J$22222)=0,"",SUMIF(搜索词报告!$A$2:$A$22222,总体数据一览!A615,搜索词报告!$J$2:$J$22222))</f>
        <v/>
      </c>
      <c r="D615" s="2" t="str">
        <f t="shared" si="30"/>
        <v/>
      </c>
      <c r="E615" t="str">
        <f t="shared" si="31"/>
        <v/>
      </c>
      <c r="F615" t="str">
        <f>IF(SUMIF(搜索词报告!$A$2:$A$22222,总体数据一览!A615,搜索词报告!$M$2:$M$22222)=0,"",SUMIF(搜索词报告!$A$2:$A$22222,总体数据一览!A615,搜索词报告!$M$2:$M$22222))</f>
        <v/>
      </c>
      <c r="G615" t="str">
        <f>IFERROR(IF(B615="","",SUMIF(搜索词报告!$A$2:$A$22222,总体数据一览!A615,搜索词报告!$V$2:$V$22222))+IF(B615="","",SUMIF(搜索词报告!$A$2:$A$22222,总体数据一览!A615,搜索词报告!$W$2:$W$22222)),"")</f>
        <v/>
      </c>
      <c r="H615" s="2" t="str">
        <f t="shared" si="32"/>
        <v/>
      </c>
    </row>
    <row r="616" spans="2:8" x14ac:dyDescent="0.15">
      <c r="B616" t="str">
        <f>IF(SUMIF(搜索词报告!$A$2:$A$22222,总体数据一览!A616,搜索词报告!$I$2:$I$22222)=0,"",SUMIF(搜索词报告!$A$2:$A$22222,总体数据一览!A616,搜索词报告!$I$2:$I$22222))</f>
        <v/>
      </c>
      <c r="C616" t="str">
        <f>IF(SUMIF(搜索词报告!$A$2:$A$22222,总体数据一览!A616,搜索词报告!$J$2:$J$22222)=0,"",SUMIF(搜索词报告!$A$2:$A$22222,总体数据一览!A616,搜索词报告!$J$2:$J$22222))</f>
        <v/>
      </c>
      <c r="D616" s="2" t="str">
        <f t="shared" si="30"/>
        <v/>
      </c>
      <c r="E616" t="str">
        <f t="shared" si="31"/>
        <v/>
      </c>
      <c r="F616" t="str">
        <f>IF(SUMIF(搜索词报告!$A$2:$A$22222,总体数据一览!A616,搜索词报告!$M$2:$M$22222)=0,"",SUMIF(搜索词报告!$A$2:$A$22222,总体数据一览!A616,搜索词报告!$M$2:$M$22222))</f>
        <v/>
      </c>
      <c r="G616" t="str">
        <f>IFERROR(IF(B616="","",SUMIF(搜索词报告!$A$2:$A$22222,总体数据一览!A616,搜索词报告!$V$2:$V$22222))+IF(B616="","",SUMIF(搜索词报告!$A$2:$A$22222,总体数据一览!A616,搜索词报告!$W$2:$W$22222)),"")</f>
        <v/>
      </c>
      <c r="H616" s="2" t="str">
        <f t="shared" si="32"/>
        <v/>
      </c>
    </row>
    <row r="617" spans="2:8" x14ac:dyDescent="0.15">
      <c r="B617" t="str">
        <f>IF(SUMIF(搜索词报告!$A$2:$A$22222,总体数据一览!A617,搜索词报告!$I$2:$I$22222)=0,"",SUMIF(搜索词报告!$A$2:$A$22222,总体数据一览!A617,搜索词报告!$I$2:$I$22222))</f>
        <v/>
      </c>
      <c r="C617" t="str">
        <f>IF(SUMIF(搜索词报告!$A$2:$A$22222,总体数据一览!A617,搜索词报告!$J$2:$J$22222)=0,"",SUMIF(搜索词报告!$A$2:$A$22222,总体数据一览!A617,搜索词报告!$J$2:$J$22222))</f>
        <v/>
      </c>
      <c r="D617" s="2" t="str">
        <f t="shared" si="30"/>
        <v/>
      </c>
      <c r="E617" t="str">
        <f t="shared" si="31"/>
        <v/>
      </c>
      <c r="F617" t="str">
        <f>IF(SUMIF(搜索词报告!$A$2:$A$22222,总体数据一览!A617,搜索词报告!$M$2:$M$22222)=0,"",SUMIF(搜索词报告!$A$2:$A$22222,总体数据一览!A617,搜索词报告!$M$2:$M$22222))</f>
        <v/>
      </c>
      <c r="G617" t="str">
        <f>IFERROR(IF(B617="","",SUMIF(搜索词报告!$A$2:$A$22222,总体数据一览!A617,搜索词报告!$V$2:$V$22222))+IF(B617="","",SUMIF(搜索词报告!$A$2:$A$22222,总体数据一览!A617,搜索词报告!$W$2:$W$22222)),"")</f>
        <v/>
      </c>
      <c r="H617" s="2" t="str">
        <f t="shared" si="32"/>
        <v/>
      </c>
    </row>
    <row r="618" spans="2:8" x14ac:dyDescent="0.15">
      <c r="B618" t="str">
        <f>IF(SUMIF(搜索词报告!$A$2:$A$22222,总体数据一览!A618,搜索词报告!$I$2:$I$22222)=0,"",SUMIF(搜索词报告!$A$2:$A$22222,总体数据一览!A618,搜索词报告!$I$2:$I$22222))</f>
        <v/>
      </c>
      <c r="C618" t="str">
        <f>IF(SUMIF(搜索词报告!$A$2:$A$22222,总体数据一览!A618,搜索词报告!$J$2:$J$22222)=0,"",SUMIF(搜索词报告!$A$2:$A$22222,总体数据一览!A618,搜索词报告!$J$2:$J$22222))</f>
        <v/>
      </c>
      <c r="D618" s="2" t="str">
        <f t="shared" si="30"/>
        <v/>
      </c>
      <c r="E618" t="str">
        <f t="shared" si="31"/>
        <v/>
      </c>
      <c r="F618" t="str">
        <f>IF(SUMIF(搜索词报告!$A$2:$A$22222,总体数据一览!A618,搜索词报告!$M$2:$M$22222)=0,"",SUMIF(搜索词报告!$A$2:$A$22222,总体数据一览!A618,搜索词报告!$M$2:$M$22222))</f>
        <v/>
      </c>
      <c r="G618" t="str">
        <f>IFERROR(IF(B618="","",SUMIF(搜索词报告!$A$2:$A$22222,总体数据一览!A618,搜索词报告!$V$2:$V$22222))+IF(B618="","",SUMIF(搜索词报告!$A$2:$A$22222,总体数据一览!A618,搜索词报告!$W$2:$W$22222)),"")</f>
        <v/>
      </c>
      <c r="H618" s="2" t="str">
        <f t="shared" si="32"/>
        <v/>
      </c>
    </row>
    <row r="619" spans="2:8" x14ac:dyDescent="0.15">
      <c r="B619" t="str">
        <f>IF(SUMIF(搜索词报告!$A$2:$A$22222,总体数据一览!A619,搜索词报告!$I$2:$I$22222)=0,"",SUMIF(搜索词报告!$A$2:$A$22222,总体数据一览!A619,搜索词报告!$I$2:$I$22222))</f>
        <v/>
      </c>
      <c r="C619" t="str">
        <f>IF(SUMIF(搜索词报告!$A$2:$A$22222,总体数据一览!A619,搜索词报告!$J$2:$J$22222)=0,"",SUMIF(搜索词报告!$A$2:$A$22222,总体数据一览!A619,搜索词报告!$J$2:$J$22222))</f>
        <v/>
      </c>
      <c r="D619" s="2" t="str">
        <f t="shared" si="30"/>
        <v/>
      </c>
      <c r="E619" t="str">
        <f t="shared" si="31"/>
        <v/>
      </c>
      <c r="F619" t="str">
        <f>IF(SUMIF(搜索词报告!$A$2:$A$22222,总体数据一览!A619,搜索词报告!$M$2:$M$22222)=0,"",SUMIF(搜索词报告!$A$2:$A$22222,总体数据一览!A619,搜索词报告!$M$2:$M$22222))</f>
        <v/>
      </c>
      <c r="G619" t="str">
        <f>IFERROR(IF(B619="","",SUMIF(搜索词报告!$A$2:$A$22222,总体数据一览!A619,搜索词报告!$V$2:$V$22222))+IF(B619="","",SUMIF(搜索词报告!$A$2:$A$22222,总体数据一览!A619,搜索词报告!$W$2:$W$22222)),"")</f>
        <v/>
      </c>
      <c r="H619" s="2" t="str">
        <f t="shared" si="32"/>
        <v/>
      </c>
    </row>
    <row r="620" spans="2:8" x14ac:dyDescent="0.15">
      <c r="B620" t="str">
        <f>IF(SUMIF(搜索词报告!$A$2:$A$22222,总体数据一览!A620,搜索词报告!$I$2:$I$22222)=0,"",SUMIF(搜索词报告!$A$2:$A$22222,总体数据一览!A620,搜索词报告!$I$2:$I$22222))</f>
        <v/>
      </c>
      <c r="C620" t="str">
        <f>IF(SUMIF(搜索词报告!$A$2:$A$22222,总体数据一览!A620,搜索词报告!$J$2:$J$22222)=0,"",SUMIF(搜索词报告!$A$2:$A$22222,总体数据一览!A620,搜索词报告!$J$2:$J$22222))</f>
        <v/>
      </c>
      <c r="D620" s="2" t="str">
        <f t="shared" si="30"/>
        <v/>
      </c>
      <c r="E620" t="str">
        <f t="shared" si="31"/>
        <v/>
      </c>
      <c r="F620" t="str">
        <f>IF(SUMIF(搜索词报告!$A$2:$A$22222,总体数据一览!A620,搜索词报告!$M$2:$M$22222)=0,"",SUMIF(搜索词报告!$A$2:$A$22222,总体数据一览!A620,搜索词报告!$M$2:$M$22222))</f>
        <v/>
      </c>
      <c r="G620" t="str">
        <f>IFERROR(IF(B620="","",SUMIF(搜索词报告!$A$2:$A$22222,总体数据一览!A620,搜索词报告!$V$2:$V$22222))+IF(B620="","",SUMIF(搜索词报告!$A$2:$A$22222,总体数据一览!A620,搜索词报告!$W$2:$W$22222)),"")</f>
        <v/>
      </c>
      <c r="H620" s="2" t="str">
        <f t="shared" si="32"/>
        <v/>
      </c>
    </row>
    <row r="621" spans="2:8" x14ac:dyDescent="0.15">
      <c r="B621" t="str">
        <f>IF(SUMIF(搜索词报告!$A$2:$A$22222,总体数据一览!A621,搜索词报告!$I$2:$I$22222)=0,"",SUMIF(搜索词报告!$A$2:$A$22222,总体数据一览!A621,搜索词报告!$I$2:$I$22222))</f>
        <v/>
      </c>
      <c r="C621" t="str">
        <f>IF(SUMIF(搜索词报告!$A$2:$A$22222,总体数据一览!A621,搜索词报告!$J$2:$J$22222)=0,"",SUMIF(搜索词报告!$A$2:$A$22222,总体数据一览!A621,搜索词报告!$J$2:$J$22222))</f>
        <v/>
      </c>
      <c r="D621" s="2" t="str">
        <f t="shared" si="30"/>
        <v/>
      </c>
      <c r="E621" t="str">
        <f t="shared" si="31"/>
        <v/>
      </c>
      <c r="F621" t="str">
        <f>IF(SUMIF(搜索词报告!$A$2:$A$22222,总体数据一览!A621,搜索词报告!$M$2:$M$22222)=0,"",SUMIF(搜索词报告!$A$2:$A$22222,总体数据一览!A621,搜索词报告!$M$2:$M$22222))</f>
        <v/>
      </c>
      <c r="G621" t="str">
        <f>IFERROR(IF(B621="","",SUMIF(搜索词报告!$A$2:$A$22222,总体数据一览!A621,搜索词报告!$V$2:$V$22222))+IF(B621="","",SUMIF(搜索词报告!$A$2:$A$22222,总体数据一览!A621,搜索词报告!$W$2:$W$22222)),"")</f>
        <v/>
      </c>
      <c r="H621" s="2" t="str">
        <f t="shared" si="32"/>
        <v/>
      </c>
    </row>
    <row r="622" spans="2:8" x14ac:dyDescent="0.15">
      <c r="B622" t="str">
        <f>IF(SUMIF(搜索词报告!$A$2:$A$22222,总体数据一览!A622,搜索词报告!$I$2:$I$22222)=0,"",SUMIF(搜索词报告!$A$2:$A$22222,总体数据一览!A622,搜索词报告!$I$2:$I$22222))</f>
        <v/>
      </c>
      <c r="C622" t="str">
        <f>IF(SUMIF(搜索词报告!$A$2:$A$22222,总体数据一览!A622,搜索词报告!$J$2:$J$22222)=0,"",SUMIF(搜索词报告!$A$2:$A$22222,总体数据一览!A622,搜索词报告!$J$2:$J$22222))</f>
        <v/>
      </c>
      <c r="D622" s="2" t="str">
        <f t="shared" si="30"/>
        <v/>
      </c>
      <c r="E622" t="str">
        <f t="shared" si="31"/>
        <v/>
      </c>
      <c r="F622" t="str">
        <f>IF(SUMIF(搜索词报告!$A$2:$A$22222,总体数据一览!A622,搜索词报告!$M$2:$M$22222)=0,"",SUMIF(搜索词报告!$A$2:$A$22222,总体数据一览!A622,搜索词报告!$M$2:$M$22222))</f>
        <v/>
      </c>
      <c r="G622" t="str">
        <f>IFERROR(IF(B622="","",SUMIF(搜索词报告!$A$2:$A$22222,总体数据一览!A622,搜索词报告!$V$2:$V$22222))+IF(B622="","",SUMIF(搜索词报告!$A$2:$A$22222,总体数据一览!A622,搜索词报告!$W$2:$W$22222)),"")</f>
        <v/>
      </c>
      <c r="H622" s="2" t="str">
        <f t="shared" si="32"/>
        <v/>
      </c>
    </row>
    <row r="623" spans="2:8" x14ac:dyDescent="0.15">
      <c r="B623" t="str">
        <f>IF(SUMIF(搜索词报告!$A$2:$A$22222,总体数据一览!A623,搜索词报告!$I$2:$I$22222)=0,"",SUMIF(搜索词报告!$A$2:$A$22222,总体数据一览!A623,搜索词报告!$I$2:$I$22222))</f>
        <v/>
      </c>
      <c r="C623" t="str">
        <f>IF(SUMIF(搜索词报告!$A$2:$A$22222,总体数据一览!A623,搜索词报告!$J$2:$J$22222)=0,"",SUMIF(搜索词报告!$A$2:$A$22222,总体数据一览!A623,搜索词报告!$J$2:$J$22222))</f>
        <v/>
      </c>
      <c r="D623" s="2" t="str">
        <f t="shared" si="30"/>
        <v/>
      </c>
      <c r="E623" t="str">
        <f t="shared" si="31"/>
        <v/>
      </c>
      <c r="F623" t="str">
        <f>IF(SUMIF(搜索词报告!$A$2:$A$22222,总体数据一览!A623,搜索词报告!$M$2:$M$22222)=0,"",SUMIF(搜索词报告!$A$2:$A$22222,总体数据一览!A623,搜索词报告!$M$2:$M$22222))</f>
        <v/>
      </c>
      <c r="G623" t="str">
        <f>IFERROR(IF(B623="","",SUMIF(搜索词报告!$A$2:$A$22222,总体数据一览!A623,搜索词报告!$V$2:$V$22222))+IF(B623="","",SUMIF(搜索词报告!$A$2:$A$22222,总体数据一览!A623,搜索词报告!$W$2:$W$22222)),"")</f>
        <v/>
      </c>
      <c r="H623" s="2" t="str">
        <f t="shared" si="32"/>
        <v/>
      </c>
    </row>
    <row r="624" spans="2:8" x14ac:dyDescent="0.15">
      <c r="B624" t="str">
        <f>IF(SUMIF(搜索词报告!$A$2:$A$22222,总体数据一览!A624,搜索词报告!$I$2:$I$22222)=0,"",SUMIF(搜索词报告!$A$2:$A$22222,总体数据一览!A624,搜索词报告!$I$2:$I$22222))</f>
        <v/>
      </c>
      <c r="C624" t="str">
        <f>IF(SUMIF(搜索词报告!$A$2:$A$22222,总体数据一览!A624,搜索词报告!$J$2:$J$22222)=0,"",SUMIF(搜索词报告!$A$2:$A$22222,总体数据一览!A624,搜索词报告!$J$2:$J$22222))</f>
        <v/>
      </c>
      <c r="D624" s="2" t="str">
        <f t="shared" si="30"/>
        <v/>
      </c>
      <c r="E624" t="str">
        <f t="shared" si="31"/>
        <v/>
      </c>
      <c r="F624" t="str">
        <f>IF(SUMIF(搜索词报告!$A$2:$A$22222,总体数据一览!A624,搜索词报告!$M$2:$M$22222)=0,"",SUMIF(搜索词报告!$A$2:$A$22222,总体数据一览!A624,搜索词报告!$M$2:$M$22222))</f>
        <v/>
      </c>
      <c r="G624" t="str">
        <f>IFERROR(IF(B624="","",SUMIF(搜索词报告!$A$2:$A$22222,总体数据一览!A624,搜索词报告!$V$2:$V$22222))+IF(B624="","",SUMIF(搜索词报告!$A$2:$A$22222,总体数据一览!A624,搜索词报告!$W$2:$W$22222)),"")</f>
        <v/>
      </c>
      <c r="H624" s="2" t="str">
        <f t="shared" si="32"/>
        <v/>
      </c>
    </row>
    <row r="625" spans="2:8" x14ac:dyDescent="0.15">
      <c r="B625" t="str">
        <f>IF(SUMIF(搜索词报告!$A$2:$A$22222,总体数据一览!A625,搜索词报告!$I$2:$I$22222)=0,"",SUMIF(搜索词报告!$A$2:$A$22222,总体数据一览!A625,搜索词报告!$I$2:$I$22222))</f>
        <v/>
      </c>
      <c r="C625" t="str">
        <f>IF(SUMIF(搜索词报告!$A$2:$A$22222,总体数据一览!A625,搜索词报告!$J$2:$J$22222)=0,"",SUMIF(搜索词报告!$A$2:$A$22222,总体数据一览!A625,搜索词报告!$J$2:$J$22222))</f>
        <v/>
      </c>
      <c r="D625" s="2" t="str">
        <f t="shared" si="30"/>
        <v/>
      </c>
      <c r="E625" t="str">
        <f t="shared" si="31"/>
        <v/>
      </c>
      <c r="F625" t="str">
        <f>IF(SUMIF(搜索词报告!$A$2:$A$22222,总体数据一览!A625,搜索词报告!$M$2:$M$22222)=0,"",SUMIF(搜索词报告!$A$2:$A$22222,总体数据一览!A625,搜索词报告!$M$2:$M$22222))</f>
        <v/>
      </c>
      <c r="G625" t="str">
        <f>IFERROR(IF(B625="","",SUMIF(搜索词报告!$A$2:$A$22222,总体数据一览!A625,搜索词报告!$V$2:$V$22222))+IF(B625="","",SUMIF(搜索词报告!$A$2:$A$22222,总体数据一览!A625,搜索词报告!$W$2:$W$22222)),"")</f>
        <v/>
      </c>
      <c r="H625" s="2" t="str">
        <f t="shared" si="32"/>
        <v/>
      </c>
    </row>
    <row r="626" spans="2:8" x14ac:dyDescent="0.15">
      <c r="B626" t="str">
        <f>IF(SUMIF(搜索词报告!$A$2:$A$22222,总体数据一览!A626,搜索词报告!$I$2:$I$22222)=0,"",SUMIF(搜索词报告!$A$2:$A$22222,总体数据一览!A626,搜索词报告!$I$2:$I$22222))</f>
        <v/>
      </c>
      <c r="C626" t="str">
        <f>IF(SUMIF(搜索词报告!$A$2:$A$22222,总体数据一览!A626,搜索词报告!$J$2:$J$22222)=0,"",SUMIF(搜索词报告!$A$2:$A$22222,总体数据一览!A626,搜索词报告!$J$2:$J$22222))</f>
        <v/>
      </c>
      <c r="D626" s="2" t="str">
        <f t="shared" si="30"/>
        <v/>
      </c>
      <c r="E626" t="str">
        <f t="shared" si="31"/>
        <v/>
      </c>
      <c r="F626" t="str">
        <f>IF(SUMIF(搜索词报告!$A$2:$A$22222,总体数据一览!A626,搜索词报告!$M$2:$M$22222)=0,"",SUMIF(搜索词报告!$A$2:$A$22222,总体数据一览!A626,搜索词报告!$M$2:$M$22222))</f>
        <v/>
      </c>
      <c r="G626" t="str">
        <f>IFERROR(IF(B626="","",SUMIF(搜索词报告!$A$2:$A$22222,总体数据一览!A626,搜索词报告!$V$2:$V$22222))+IF(B626="","",SUMIF(搜索词报告!$A$2:$A$22222,总体数据一览!A626,搜索词报告!$W$2:$W$22222)),"")</f>
        <v/>
      </c>
      <c r="H626" s="2" t="str">
        <f t="shared" si="32"/>
        <v/>
      </c>
    </row>
    <row r="627" spans="2:8" x14ac:dyDescent="0.15">
      <c r="B627" t="str">
        <f>IF(SUMIF(搜索词报告!$A$2:$A$22222,总体数据一览!A627,搜索词报告!$I$2:$I$22222)=0,"",SUMIF(搜索词报告!$A$2:$A$22222,总体数据一览!A627,搜索词报告!$I$2:$I$22222))</f>
        <v/>
      </c>
      <c r="C627" t="str">
        <f>IF(SUMIF(搜索词报告!$A$2:$A$22222,总体数据一览!A627,搜索词报告!$J$2:$J$22222)=0,"",SUMIF(搜索词报告!$A$2:$A$22222,总体数据一览!A627,搜索词报告!$J$2:$J$22222))</f>
        <v/>
      </c>
      <c r="D627" s="2" t="str">
        <f t="shared" si="30"/>
        <v/>
      </c>
      <c r="E627" t="str">
        <f t="shared" si="31"/>
        <v/>
      </c>
      <c r="F627" t="str">
        <f>IF(SUMIF(搜索词报告!$A$2:$A$22222,总体数据一览!A627,搜索词报告!$M$2:$M$22222)=0,"",SUMIF(搜索词报告!$A$2:$A$22222,总体数据一览!A627,搜索词报告!$M$2:$M$22222))</f>
        <v/>
      </c>
      <c r="G627" t="str">
        <f>IFERROR(IF(B627="","",SUMIF(搜索词报告!$A$2:$A$22222,总体数据一览!A627,搜索词报告!$V$2:$V$22222))+IF(B627="","",SUMIF(搜索词报告!$A$2:$A$22222,总体数据一览!A627,搜索词报告!$W$2:$W$22222)),"")</f>
        <v/>
      </c>
      <c r="H627" s="2" t="str">
        <f t="shared" si="32"/>
        <v/>
      </c>
    </row>
    <row r="628" spans="2:8" x14ac:dyDescent="0.15">
      <c r="B628" t="str">
        <f>IF(SUMIF(搜索词报告!$A$2:$A$22222,总体数据一览!A628,搜索词报告!$I$2:$I$22222)=0,"",SUMIF(搜索词报告!$A$2:$A$22222,总体数据一览!A628,搜索词报告!$I$2:$I$22222))</f>
        <v/>
      </c>
      <c r="C628" t="str">
        <f>IF(SUMIF(搜索词报告!$A$2:$A$22222,总体数据一览!A628,搜索词报告!$J$2:$J$22222)=0,"",SUMIF(搜索词报告!$A$2:$A$22222,总体数据一览!A628,搜索词报告!$J$2:$J$22222))</f>
        <v/>
      </c>
      <c r="D628" s="2" t="str">
        <f t="shared" si="30"/>
        <v/>
      </c>
      <c r="E628" t="str">
        <f t="shared" si="31"/>
        <v/>
      </c>
      <c r="F628" t="str">
        <f>IF(SUMIF(搜索词报告!$A$2:$A$22222,总体数据一览!A628,搜索词报告!$M$2:$M$22222)=0,"",SUMIF(搜索词报告!$A$2:$A$22222,总体数据一览!A628,搜索词报告!$M$2:$M$22222))</f>
        <v/>
      </c>
      <c r="G628" t="str">
        <f>IFERROR(IF(B628="","",SUMIF(搜索词报告!$A$2:$A$22222,总体数据一览!A628,搜索词报告!$V$2:$V$22222))+IF(B628="","",SUMIF(搜索词报告!$A$2:$A$22222,总体数据一览!A628,搜索词报告!$W$2:$W$22222)),"")</f>
        <v/>
      </c>
      <c r="H628" s="2" t="str">
        <f t="shared" si="32"/>
        <v/>
      </c>
    </row>
    <row r="629" spans="2:8" x14ac:dyDescent="0.15">
      <c r="B629" t="str">
        <f>IF(SUMIF(搜索词报告!$A$2:$A$22222,总体数据一览!A629,搜索词报告!$I$2:$I$22222)=0,"",SUMIF(搜索词报告!$A$2:$A$22222,总体数据一览!A629,搜索词报告!$I$2:$I$22222))</f>
        <v/>
      </c>
      <c r="C629" t="str">
        <f>IF(SUMIF(搜索词报告!$A$2:$A$22222,总体数据一览!A629,搜索词报告!$J$2:$J$22222)=0,"",SUMIF(搜索词报告!$A$2:$A$22222,总体数据一览!A629,搜索词报告!$J$2:$J$22222))</f>
        <v/>
      </c>
      <c r="D629" s="2" t="str">
        <f t="shared" si="30"/>
        <v/>
      </c>
      <c r="E629" t="str">
        <f t="shared" si="31"/>
        <v/>
      </c>
      <c r="F629" t="str">
        <f>IF(SUMIF(搜索词报告!$A$2:$A$22222,总体数据一览!A629,搜索词报告!$M$2:$M$22222)=0,"",SUMIF(搜索词报告!$A$2:$A$22222,总体数据一览!A629,搜索词报告!$M$2:$M$22222))</f>
        <v/>
      </c>
      <c r="G629" t="str">
        <f>IFERROR(IF(B629="","",SUMIF(搜索词报告!$A$2:$A$22222,总体数据一览!A629,搜索词报告!$V$2:$V$22222))+IF(B629="","",SUMIF(搜索词报告!$A$2:$A$22222,总体数据一览!A629,搜索词报告!$W$2:$W$22222)),"")</f>
        <v/>
      </c>
      <c r="H629" s="2" t="str">
        <f t="shared" si="32"/>
        <v/>
      </c>
    </row>
    <row r="630" spans="2:8" x14ac:dyDescent="0.15">
      <c r="B630" t="str">
        <f>IF(SUMIF(搜索词报告!$A$2:$A$22222,总体数据一览!A630,搜索词报告!$I$2:$I$22222)=0,"",SUMIF(搜索词报告!$A$2:$A$22222,总体数据一览!A630,搜索词报告!$I$2:$I$22222))</f>
        <v/>
      </c>
      <c r="C630" t="str">
        <f>IF(SUMIF(搜索词报告!$A$2:$A$22222,总体数据一览!A630,搜索词报告!$J$2:$J$22222)=0,"",SUMIF(搜索词报告!$A$2:$A$22222,总体数据一览!A630,搜索词报告!$J$2:$J$22222))</f>
        <v/>
      </c>
      <c r="D630" s="2" t="str">
        <f t="shared" si="30"/>
        <v/>
      </c>
      <c r="E630" t="str">
        <f t="shared" si="31"/>
        <v/>
      </c>
      <c r="F630" t="str">
        <f>IF(SUMIF(搜索词报告!$A$2:$A$22222,总体数据一览!A630,搜索词报告!$M$2:$M$22222)=0,"",SUMIF(搜索词报告!$A$2:$A$22222,总体数据一览!A630,搜索词报告!$M$2:$M$22222))</f>
        <v/>
      </c>
      <c r="G630" t="str">
        <f>IFERROR(IF(B630="","",SUMIF(搜索词报告!$A$2:$A$22222,总体数据一览!A630,搜索词报告!$V$2:$V$22222))+IF(B630="","",SUMIF(搜索词报告!$A$2:$A$22222,总体数据一览!A630,搜索词报告!$W$2:$W$22222)),"")</f>
        <v/>
      </c>
      <c r="H630" s="2" t="str">
        <f t="shared" si="32"/>
        <v/>
      </c>
    </row>
    <row r="631" spans="2:8" x14ac:dyDescent="0.15">
      <c r="B631" t="str">
        <f>IF(SUMIF(搜索词报告!$A$2:$A$22222,总体数据一览!A631,搜索词报告!$I$2:$I$22222)=0,"",SUMIF(搜索词报告!$A$2:$A$22222,总体数据一览!A631,搜索词报告!$I$2:$I$22222))</f>
        <v/>
      </c>
      <c r="C631" t="str">
        <f>IF(SUMIF(搜索词报告!$A$2:$A$22222,总体数据一览!A631,搜索词报告!$J$2:$J$22222)=0,"",SUMIF(搜索词报告!$A$2:$A$22222,总体数据一览!A631,搜索词报告!$J$2:$J$22222))</f>
        <v/>
      </c>
      <c r="D631" s="2" t="str">
        <f t="shared" si="30"/>
        <v/>
      </c>
      <c r="E631" t="str">
        <f t="shared" si="31"/>
        <v/>
      </c>
      <c r="F631" t="str">
        <f>IF(SUMIF(搜索词报告!$A$2:$A$22222,总体数据一览!A631,搜索词报告!$M$2:$M$22222)=0,"",SUMIF(搜索词报告!$A$2:$A$22222,总体数据一览!A631,搜索词报告!$M$2:$M$22222))</f>
        <v/>
      </c>
      <c r="G631" t="str">
        <f>IFERROR(IF(B631="","",SUMIF(搜索词报告!$A$2:$A$22222,总体数据一览!A631,搜索词报告!$V$2:$V$22222))+IF(B631="","",SUMIF(搜索词报告!$A$2:$A$22222,总体数据一览!A631,搜索词报告!$W$2:$W$22222)),"")</f>
        <v/>
      </c>
      <c r="H631" s="2" t="str">
        <f t="shared" si="32"/>
        <v/>
      </c>
    </row>
    <row r="632" spans="2:8" x14ac:dyDescent="0.15">
      <c r="B632" t="str">
        <f>IF(SUMIF(搜索词报告!$A$2:$A$22222,总体数据一览!A632,搜索词报告!$I$2:$I$22222)=0,"",SUMIF(搜索词报告!$A$2:$A$22222,总体数据一览!A632,搜索词报告!$I$2:$I$22222))</f>
        <v/>
      </c>
      <c r="C632" t="str">
        <f>IF(SUMIF(搜索词报告!$A$2:$A$22222,总体数据一览!A632,搜索词报告!$J$2:$J$22222)=0,"",SUMIF(搜索词报告!$A$2:$A$22222,总体数据一览!A632,搜索词报告!$J$2:$J$22222))</f>
        <v/>
      </c>
      <c r="D632" s="2" t="str">
        <f t="shared" si="30"/>
        <v/>
      </c>
      <c r="E632" t="str">
        <f t="shared" si="31"/>
        <v/>
      </c>
      <c r="F632" t="str">
        <f>IF(SUMIF(搜索词报告!$A$2:$A$22222,总体数据一览!A632,搜索词报告!$M$2:$M$22222)=0,"",SUMIF(搜索词报告!$A$2:$A$22222,总体数据一览!A632,搜索词报告!$M$2:$M$22222))</f>
        <v/>
      </c>
      <c r="G632" t="str">
        <f>IFERROR(IF(B632="","",SUMIF(搜索词报告!$A$2:$A$22222,总体数据一览!A632,搜索词报告!$V$2:$V$22222))+IF(B632="","",SUMIF(搜索词报告!$A$2:$A$22222,总体数据一览!A632,搜索词报告!$W$2:$W$22222)),"")</f>
        <v/>
      </c>
      <c r="H632" s="2" t="str">
        <f t="shared" si="32"/>
        <v/>
      </c>
    </row>
    <row r="633" spans="2:8" x14ac:dyDescent="0.15">
      <c r="B633" t="str">
        <f>IF(SUMIF(搜索词报告!$A$2:$A$22222,总体数据一览!A633,搜索词报告!$I$2:$I$22222)=0,"",SUMIF(搜索词报告!$A$2:$A$22222,总体数据一览!A633,搜索词报告!$I$2:$I$22222))</f>
        <v/>
      </c>
      <c r="C633" t="str">
        <f>IF(SUMIF(搜索词报告!$A$2:$A$22222,总体数据一览!A633,搜索词报告!$J$2:$J$22222)=0,"",SUMIF(搜索词报告!$A$2:$A$22222,总体数据一览!A633,搜索词报告!$J$2:$J$22222))</f>
        <v/>
      </c>
      <c r="D633" s="2" t="str">
        <f t="shared" si="30"/>
        <v/>
      </c>
      <c r="E633" t="str">
        <f t="shared" si="31"/>
        <v/>
      </c>
      <c r="F633" t="str">
        <f>IF(SUMIF(搜索词报告!$A$2:$A$22222,总体数据一览!A633,搜索词报告!$M$2:$M$22222)=0,"",SUMIF(搜索词报告!$A$2:$A$22222,总体数据一览!A633,搜索词报告!$M$2:$M$22222))</f>
        <v/>
      </c>
      <c r="G633" t="str">
        <f>IFERROR(IF(B633="","",SUMIF(搜索词报告!$A$2:$A$22222,总体数据一览!A633,搜索词报告!$V$2:$V$22222))+IF(B633="","",SUMIF(搜索词报告!$A$2:$A$22222,总体数据一览!A633,搜索词报告!$W$2:$W$22222)),"")</f>
        <v/>
      </c>
      <c r="H633" s="2" t="str">
        <f t="shared" si="32"/>
        <v/>
      </c>
    </row>
    <row r="634" spans="2:8" x14ac:dyDescent="0.15">
      <c r="B634" t="str">
        <f>IF(SUMIF(搜索词报告!$A$2:$A$22222,总体数据一览!A634,搜索词报告!$I$2:$I$22222)=0,"",SUMIF(搜索词报告!$A$2:$A$22222,总体数据一览!A634,搜索词报告!$I$2:$I$22222))</f>
        <v/>
      </c>
      <c r="C634" t="str">
        <f>IF(SUMIF(搜索词报告!$A$2:$A$22222,总体数据一览!A634,搜索词报告!$J$2:$J$22222)=0,"",SUMIF(搜索词报告!$A$2:$A$22222,总体数据一览!A634,搜索词报告!$J$2:$J$22222))</f>
        <v/>
      </c>
      <c r="D634" s="2" t="str">
        <f t="shared" si="30"/>
        <v/>
      </c>
      <c r="E634" t="str">
        <f t="shared" si="31"/>
        <v/>
      </c>
      <c r="F634" t="str">
        <f>IF(SUMIF(搜索词报告!$A$2:$A$22222,总体数据一览!A634,搜索词报告!$M$2:$M$22222)=0,"",SUMIF(搜索词报告!$A$2:$A$22222,总体数据一览!A634,搜索词报告!$M$2:$M$22222))</f>
        <v/>
      </c>
      <c r="G634" t="str">
        <f>IFERROR(IF(B634="","",SUMIF(搜索词报告!$A$2:$A$22222,总体数据一览!A634,搜索词报告!$V$2:$V$22222))+IF(B634="","",SUMIF(搜索词报告!$A$2:$A$22222,总体数据一览!A634,搜索词报告!$W$2:$W$22222)),"")</f>
        <v/>
      </c>
      <c r="H634" s="2" t="str">
        <f t="shared" si="32"/>
        <v/>
      </c>
    </row>
    <row r="635" spans="2:8" x14ac:dyDescent="0.15">
      <c r="B635" t="str">
        <f>IF(SUMIF(搜索词报告!$A$2:$A$22222,总体数据一览!A635,搜索词报告!$I$2:$I$22222)=0,"",SUMIF(搜索词报告!$A$2:$A$22222,总体数据一览!A635,搜索词报告!$I$2:$I$22222))</f>
        <v/>
      </c>
      <c r="C635" t="str">
        <f>IF(SUMIF(搜索词报告!$A$2:$A$22222,总体数据一览!A635,搜索词报告!$J$2:$J$22222)=0,"",SUMIF(搜索词报告!$A$2:$A$22222,总体数据一览!A635,搜索词报告!$J$2:$J$22222))</f>
        <v/>
      </c>
      <c r="D635" s="2" t="str">
        <f t="shared" si="30"/>
        <v/>
      </c>
      <c r="E635" t="str">
        <f t="shared" si="31"/>
        <v/>
      </c>
      <c r="F635" t="str">
        <f>IF(SUMIF(搜索词报告!$A$2:$A$22222,总体数据一览!A635,搜索词报告!$M$2:$M$22222)=0,"",SUMIF(搜索词报告!$A$2:$A$22222,总体数据一览!A635,搜索词报告!$M$2:$M$22222))</f>
        <v/>
      </c>
      <c r="G635" t="str">
        <f>IFERROR(IF(B635="","",SUMIF(搜索词报告!$A$2:$A$22222,总体数据一览!A635,搜索词报告!$V$2:$V$22222))+IF(B635="","",SUMIF(搜索词报告!$A$2:$A$22222,总体数据一览!A635,搜索词报告!$W$2:$W$22222)),"")</f>
        <v/>
      </c>
      <c r="H635" s="2" t="str">
        <f t="shared" si="32"/>
        <v/>
      </c>
    </row>
    <row r="636" spans="2:8" x14ac:dyDescent="0.15">
      <c r="B636" t="str">
        <f>IF(SUMIF(搜索词报告!$A$2:$A$22222,总体数据一览!A636,搜索词报告!$I$2:$I$22222)=0,"",SUMIF(搜索词报告!$A$2:$A$22222,总体数据一览!A636,搜索词报告!$I$2:$I$22222))</f>
        <v/>
      </c>
      <c r="C636" t="str">
        <f>IF(SUMIF(搜索词报告!$A$2:$A$22222,总体数据一览!A636,搜索词报告!$J$2:$J$22222)=0,"",SUMIF(搜索词报告!$A$2:$A$22222,总体数据一览!A636,搜索词报告!$J$2:$J$22222))</f>
        <v/>
      </c>
      <c r="D636" s="2" t="str">
        <f t="shared" si="30"/>
        <v/>
      </c>
      <c r="E636" t="str">
        <f t="shared" si="31"/>
        <v/>
      </c>
      <c r="F636" t="str">
        <f>IF(SUMIF(搜索词报告!$A$2:$A$22222,总体数据一览!A636,搜索词报告!$M$2:$M$22222)=0,"",SUMIF(搜索词报告!$A$2:$A$22222,总体数据一览!A636,搜索词报告!$M$2:$M$22222))</f>
        <v/>
      </c>
      <c r="G636" t="str">
        <f>IFERROR(IF(B636="","",SUMIF(搜索词报告!$A$2:$A$22222,总体数据一览!A636,搜索词报告!$V$2:$V$22222))+IF(B636="","",SUMIF(搜索词报告!$A$2:$A$22222,总体数据一览!A636,搜索词报告!$W$2:$W$22222)),"")</f>
        <v/>
      </c>
      <c r="H636" s="2" t="str">
        <f t="shared" si="32"/>
        <v/>
      </c>
    </row>
    <row r="637" spans="2:8" x14ac:dyDescent="0.15">
      <c r="B637" t="str">
        <f>IF(SUMIF(搜索词报告!$A$2:$A$22222,总体数据一览!A637,搜索词报告!$I$2:$I$22222)=0,"",SUMIF(搜索词报告!$A$2:$A$22222,总体数据一览!A637,搜索词报告!$I$2:$I$22222))</f>
        <v/>
      </c>
      <c r="C637" t="str">
        <f>IF(SUMIF(搜索词报告!$A$2:$A$22222,总体数据一览!A637,搜索词报告!$J$2:$J$22222)=0,"",SUMIF(搜索词报告!$A$2:$A$22222,总体数据一览!A637,搜索词报告!$J$2:$J$22222))</f>
        <v/>
      </c>
      <c r="D637" s="2" t="str">
        <f t="shared" si="30"/>
        <v/>
      </c>
      <c r="E637" t="str">
        <f t="shared" si="31"/>
        <v/>
      </c>
      <c r="F637" t="str">
        <f>IF(SUMIF(搜索词报告!$A$2:$A$22222,总体数据一览!A637,搜索词报告!$M$2:$M$22222)=0,"",SUMIF(搜索词报告!$A$2:$A$22222,总体数据一览!A637,搜索词报告!$M$2:$M$22222))</f>
        <v/>
      </c>
      <c r="G637" t="str">
        <f>IFERROR(IF(B637="","",SUMIF(搜索词报告!$A$2:$A$22222,总体数据一览!A637,搜索词报告!$V$2:$V$22222))+IF(B637="","",SUMIF(搜索词报告!$A$2:$A$22222,总体数据一览!A637,搜索词报告!$W$2:$W$22222)),"")</f>
        <v/>
      </c>
      <c r="H637" s="2" t="str">
        <f t="shared" si="32"/>
        <v/>
      </c>
    </row>
    <row r="638" spans="2:8" x14ac:dyDescent="0.15">
      <c r="B638" t="str">
        <f>IF(SUMIF(搜索词报告!$A$2:$A$22222,总体数据一览!A638,搜索词报告!$I$2:$I$22222)=0,"",SUMIF(搜索词报告!$A$2:$A$22222,总体数据一览!A638,搜索词报告!$I$2:$I$22222))</f>
        <v/>
      </c>
      <c r="C638" t="str">
        <f>IF(SUMIF(搜索词报告!$A$2:$A$22222,总体数据一览!A638,搜索词报告!$J$2:$J$22222)=0,"",SUMIF(搜索词报告!$A$2:$A$22222,总体数据一览!A638,搜索词报告!$J$2:$J$22222))</f>
        <v/>
      </c>
      <c r="D638" s="2" t="str">
        <f t="shared" si="30"/>
        <v/>
      </c>
      <c r="E638" t="str">
        <f t="shared" si="31"/>
        <v/>
      </c>
      <c r="F638" t="str">
        <f>IF(SUMIF(搜索词报告!$A$2:$A$22222,总体数据一览!A638,搜索词报告!$M$2:$M$22222)=0,"",SUMIF(搜索词报告!$A$2:$A$22222,总体数据一览!A638,搜索词报告!$M$2:$M$22222))</f>
        <v/>
      </c>
      <c r="G638" t="str">
        <f>IFERROR(IF(B638="","",SUMIF(搜索词报告!$A$2:$A$22222,总体数据一览!A638,搜索词报告!$V$2:$V$22222))+IF(B638="","",SUMIF(搜索词报告!$A$2:$A$22222,总体数据一览!A638,搜索词报告!$W$2:$W$22222)),"")</f>
        <v/>
      </c>
      <c r="H638" s="2" t="str">
        <f t="shared" si="32"/>
        <v/>
      </c>
    </row>
    <row r="639" spans="2:8" x14ac:dyDescent="0.15">
      <c r="B639" t="str">
        <f>IF(SUMIF(搜索词报告!$A$2:$A$22222,总体数据一览!A639,搜索词报告!$I$2:$I$22222)=0,"",SUMIF(搜索词报告!$A$2:$A$22222,总体数据一览!A639,搜索词报告!$I$2:$I$22222))</f>
        <v/>
      </c>
      <c r="C639" t="str">
        <f>IF(SUMIF(搜索词报告!$A$2:$A$22222,总体数据一览!A639,搜索词报告!$J$2:$J$22222)=0,"",SUMIF(搜索词报告!$A$2:$A$22222,总体数据一览!A639,搜索词报告!$J$2:$J$22222))</f>
        <v/>
      </c>
      <c r="D639" s="2" t="str">
        <f t="shared" si="30"/>
        <v/>
      </c>
      <c r="E639" t="str">
        <f t="shared" si="31"/>
        <v/>
      </c>
      <c r="F639" t="str">
        <f>IF(SUMIF(搜索词报告!$A$2:$A$22222,总体数据一览!A639,搜索词报告!$M$2:$M$22222)=0,"",SUMIF(搜索词报告!$A$2:$A$22222,总体数据一览!A639,搜索词报告!$M$2:$M$22222))</f>
        <v/>
      </c>
      <c r="G639" t="str">
        <f>IFERROR(IF(B639="","",SUMIF(搜索词报告!$A$2:$A$22222,总体数据一览!A639,搜索词报告!$V$2:$V$22222))+IF(B639="","",SUMIF(搜索词报告!$A$2:$A$22222,总体数据一览!A639,搜索词报告!$W$2:$W$22222)),"")</f>
        <v/>
      </c>
      <c r="H639" s="2" t="str">
        <f t="shared" si="32"/>
        <v/>
      </c>
    </row>
    <row r="640" spans="2:8" x14ac:dyDescent="0.15">
      <c r="B640" t="str">
        <f>IF(SUMIF(搜索词报告!$A$2:$A$22222,总体数据一览!A640,搜索词报告!$I$2:$I$22222)=0,"",SUMIF(搜索词报告!$A$2:$A$22222,总体数据一览!A640,搜索词报告!$I$2:$I$22222))</f>
        <v/>
      </c>
      <c r="C640" t="str">
        <f>IF(SUMIF(搜索词报告!$A$2:$A$22222,总体数据一览!A640,搜索词报告!$J$2:$J$22222)=0,"",SUMIF(搜索词报告!$A$2:$A$22222,总体数据一览!A640,搜索词报告!$J$2:$J$22222))</f>
        <v/>
      </c>
      <c r="D640" s="2" t="str">
        <f t="shared" si="30"/>
        <v/>
      </c>
      <c r="E640" t="str">
        <f t="shared" si="31"/>
        <v/>
      </c>
      <c r="F640" t="str">
        <f>IF(SUMIF(搜索词报告!$A$2:$A$22222,总体数据一览!A640,搜索词报告!$M$2:$M$22222)=0,"",SUMIF(搜索词报告!$A$2:$A$22222,总体数据一览!A640,搜索词报告!$M$2:$M$22222))</f>
        <v/>
      </c>
      <c r="G640" t="str">
        <f>IFERROR(IF(B640="","",SUMIF(搜索词报告!$A$2:$A$22222,总体数据一览!A640,搜索词报告!$V$2:$V$22222))+IF(B640="","",SUMIF(搜索词报告!$A$2:$A$22222,总体数据一览!A640,搜索词报告!$W$2:$W$22222)),"")</f>
        <v/>
      </c>
      <c r="H640" s="2" t="str">
        <f t="shared" si="32"/>
        <v/>
      </c>
    </row>
    <row r="641" spans="2:8" x14ac:dyDescent="0.15">
      <c r="B641" t="str">
        <f>IF(SUMIF(搜索词报告!$A$2:$A$22222,总体数据一览!A641,搜索词报告!$I$2:$I$22222)=0,"",SUMIF(搜索词报告!$A$2:$A$22222,总体数据一览!A641,搜索词报告!$I$2:$I$22222))</f>
        <v/>
      </c>
      <c r="C641" t="str">
        <f>IF(SUMIF(搜索词报告!$A$2:$A$22222,总体数据一览!A641,搜索词报告!$J$2:$J$22222)=0,"",SUMIF(搜索词报告!$A$2:$A$22222,总体数据一览!A641,搜索词报告!$J$2:$J$22222))</f>
        <v/>
      </c>
      <c r="D641" s="2" t="str">
        <f t="shared" si="30"/>
        <v/>
      </c>
      <c r="E641" t="str">
        <f t="shared" si="31"/>
        <v/>
      </c>
      <c r="F641" t="str">
        <f>IF(SUMIF(搜索词报告!$A$2:$A$22222,总体数据一览!A641,搜索词报告!$M$2:$M$22222)=0,"",SUMIF(搜索词报告!$A$2:$A$22222,总体数据一览!A641,搜索词报告!$M$2:$M$22222))</f>
        <v/>
      </c>
      <c r="G641" t="str">
        <f>IFERROR(IF(B641="","",SUMIF(搜索词报告!$A$2:$A$22222,总体数据一览!A641,搜索词报告!$V$2:$V$22222))+IF(B641="","",SUMIF(搜索词报告!$A$2:$A$22222,总体数据一览!A641,搜索词报告!$W$2:$W$22222)),"")</f>
        <v/>
      </c>
      <c r="H641" s="2" t="str">
        <f t="shared" si="32"/>
        <v/>
      </c>
    </row>
    <row r="642" spans="2:8" x14ac:dyDescent="0.15">
      <c r="B642" t="str">
        <f>IF(SUMIF(搜索词报告!$A$2:$A$22222,总体数据一览!A642,搜索词报告!$I$2:$I$22222)=0,"",SUMIF(搜索词报告!$A$2:$A$22222,总体数据一览!A642,搜索词报告!$I$2:$I$22222))</f>
        <v/>
      </c>
      <c r="C642" t="str">
        <f>IF(SUMIF(搜索词报告!$A$2:$A$22222,总体数据一览!A642,搜索词报告!$J$2:$J$22222)=0,"",SUMIF(搜索词报告!$A$2:$A$22222,总体数据一览!A642,搜索词报告!$J$2:$J$22222))</f>
        <v/>
      </c>
      <c r="D642" s="2" t="str">
        <f t="shared" si="30"/>
        <v/>
      </c>
      <c r="E642" t="str">
        <f t="shared" si="31"/>
        <v/>
      </c>
      <c r="F642" t="str">
        <f>IF(SUMIF(搜索词报告!$A$2:$A$22222,总体数据一览!A642,搜索词报告!$M$2:$M$22222)=0,"",SUMIF(搜索词报告!$A$2:$A$22222,总体数据一览!A642,搜索词报告!$M$2:$M$22222))</f>
        <v/>
      </c>
      <c r="G642" t="str">
        <f>IFERROR(IF(B642="","",SUMIF(搜索词报告!$A$2:$A$22222,总体数据一览!A642,搜索词报告!$V$2:$V$22222))+IF(B642="","",SUMIF(搜索词报告!$A$2:$A$22222,总体数据一览!A642,搜索词报告!$W$2:$W$22222)),"")</f>
        <v/>
      </c>
      <c r="H642" s="2" t="str">
        <f t="shared" si="32"/>
        <v/>
      </c>
    </row>
    <row r="643" spans="2:8" x14ac:dyDescent="0.15">
      <c r="B643" t="str">
        <f>IF(SUMIF(搜索词报告!$A$2:$A$22222,总体数据一览!A643,搜索词报告!$I$2:$I$22222)=0,"",SUMIF(搜索词报告!$A$2:$A$22222,总体数据一览!A643,搜索词报告!$I$2:$I$22222))</f>
        <v/>
      </c>
      <c r="C643" t="str">
        <f>IF(SUMIF(搜索词报告!$A$2:$A$22222,总体数据一览!A643,搜索词报告!$J$2:$J$22222)=0,"",SUMIF(搜索词报告!$A$2:$A$22222,总体数据一览!A643,搜索词报告!$J$2:$J$22222))</f>
        <v/>
      </c>
      <c r="D643" s="2" t="str">
        <f t="shared" si="30"/>
        <v/>
      </c>
      <c r="E643" t="str">
        <f t="shared" si="31"/>
        <v/>
      </c>
      <c r="F643" t="str">
        <f>IF(SUMIF(搜索词报告!$A$2:$A$22222,总体数据一览!A643,搜索词报告!$M$2:$M$22222)=0,"",SUMIF(搜索词报告!$A$2:$A$22222,总体数据一览!A643,搜索词报告!$M$2:$M$22222))</f>
        <v/>
      </c>
      <c r="G643" t="str">
        <f>IFERROR(IF(B643="","",SUMIF(搜索词报告!$A$2:$A$22222,总体数据一览!A643,搜索词报告!$V$2:$V$22222))+IF(B643="","",SUMIF(搜索词报告!$A$2:$A$22222,总体数据一览!A643,搜索词报告!$W$2:$W$22222)),"")</f>
        <v/>
      </c>
      <c r="H643" s="2" t="str">
        <f t="shared" si="32"/>
        <v/>
      </c>
    </row>
    <row r="644" spans="2:8" x14ac:dyDescent="0.15">
      <c r="B644" t="str">
        <f>IF(SUMIF(搜索词报告!$A$2:$A$22222,总体数据一览!A644,搜索词报告!$I$2:$I$22222)=0,"",SUMIF(搜索词报告!$A$2:$A$22222,总体数据一览!A644,搜索词报告!$I$2:$I$22222))</f>
        <v/>
      </c>
      <c r="C644" t="str">
        <f>IF(SUMIF(搜索词报告!$A$2:$A$22222,总体数据一览!A644,搜索词报告!$J$2:$J$22222)=0,"",SUMIF(搜索词报告!$A$2:$A$22222,总体数据一览!A644,搜索词报告!$J$2:$J$22222))</f>
        <v/>
      </c>
      <c r="D644" s="2" t="str">
        <f t="shared" si="30"/>
        <v/>
      </c>
      <c r="E644" t="str">
        <f t="shared" si="31"/>
        <v/>
      </c>
      <c r="F644" t="str">
        <f>IF(SUMIF(搜索词报告!$A$2:$A$22222,总体数据一览!A644,搜索词报告!$M$2:$M$22222)=0,"",SUMIF(搜索词报告!$A$2:$A$22222,总体数据一览!A644,搜索词报告!$M$2:$M$22222))</f>
        <v/>
      </c>
      <c r="G644" t="str">
        <f>IFERROR(IF(B644="","",SUMIF(搜索词报告!$A$2:$A$22222,总体数据一览!A644,搜索词报告!$V$2:$V$22222))+IF(B644="","",SUMIF(搜索词报告!$A$2:$A$22222,总体数据一览!A644,搜索词报告!$W$2:$W$22222)),"")</f>
        <v/>
      </c>
      <c r="H644" s="2" t="str">
        <f t="shared" si="32"/>
        <v/>
      </c>
    </row>
    <row r="645" spans="2:8" x14ac:dyDescent="0.15">
      <c r="B645" t="str">
        <f>IF(SUMIF(搜索词报告!$A$2:$A$22222,总体数据一览!A645,搜索词报告!$I$2:$I$22222)=0,"",SUMIF(搜索词报告!$A$2:$A$22222,总体数据一览!A645,搜索词报告!$I$2:$I$22222))</f>
        <v/>
      </c>
      <c r="C645" t="str">
        <f>IF(SUMIF(搜索词报告!$A$2:$A$22222,总体数据一览!A645,搜索词报告!$J$2:$J$22222)=0,"",SUMIF(搜索词报告!$A$2:$A$22222,总体数据一览!A645,搜索词报告!$J$2:$J$22222))</f>
        <v/>
      </c>
      <c r="D645" s="2" t="str">
        <f t="shared" si="30"/>
        <v/>
      </c>
      <c r="E645" t="str">
        <f t="shared" si="31"/>
        <v/>
      </c>
      <c r="F645" t="str">
        <f>IF(SUMIF(搜索词报告!$A$2:$A$22222,总体数据一览!A645,搜索词报告!$M$2:$M$22222)=0,"",SUMIF(搜索词报告!$A$2:$A$22222,总体数据一览!A645,搜索词报告!$M$2:$M$22222))</f>
        <v/>
      </c>
      <c r="G645" t="str">
        <f>IFERROR(IF(B645="","",SUMIF(搜索词报告!$A$2:$A$22222,总体数据一览!A645,搜索词报告!$V$2:$V$22222))+IF(B645="","",SUMIF(搜索词报告!$A$2:$A$22222,总体数据一览!A645,搜索词报告!$W$2:$W$22222)),"")</f>
        <v/>
      </c>
      <c r="H645" s="2" t="str">
        <f t="shared" si="32"/>
        <v/>
      </c>
    </row>
    <row r="646" spans="2:8" x14ac:dyDescent="0.15">
      <c r="B646" t="str">
        <f>IF(SUMIF(搜索词报告!$A$2:$A$22222,总体数据一览!A646,搜索词报告!$I$2:$I$22222)=0,"",SUMIF(搜索词报告!$A$2:$A$22222,总体数据一览!A646,搜索词报告!$I$2:$I$22222))</f>
        <v/>
      </c>
      <c r="C646" t="str">
        <f>IF(SUMIF(搜索词报告!$A$2:$A$22222,总体数据一览!A646,搜索词报告!$J$2:$J$22222)=0,"",SUMIF(搜索词报告!$A$2:$A$22222,总体数据一览!A646,搜索词报告!$J$2:$J$22222))</f>
        <v/>
      </c>
      <c r="D646" s="2" t="str">
        <f t="shared" si="30"/>
        <v/>
      </c>
      <c r="E646" t="str">
        <f t="shared" si="31"/>
        <v/>
      </c>
      <c r="F646" t="str">
        <f>IF(SUMIF(搜索词报告!$A$2:$A$22222,总体数据一览!A646,搜索词报告!$M$2:$M$22222)=0,"",SUMIF(搜索词报告!$A$2:$A$22222,总体数据一览!A646,搜索词报告!$M$2:$M$22222))</f>
        <v/>
      </c>
      <c r="G646" t="str">
        <f>IFERROR(IF(B646="","",SUMIF(搜索词报告!$A$2:$A$22222,总体数据一览!A646,搜索词报告!$V$2:$V$22222))+IF(B646="","",SUMIF(搜索词报告!$A$2:$A$22222,总体数据一览!A646,搜索词报告!$W$2:$W$22222)),"")</f>
        <v/>
      </c>
      <c r="H646" s="2" t="str">
        <f t="shared" si="32"/>
        <v/>
      </c>
    </row>
    <row r="647" spans="2:8" x14ac:dyDescent="0.15">
      <c r="B647" t="str">
        <f>IF(SUMIF(搜索词报告!$A$2:$A$22222,总体数据一览!A647,搜索词报告!$I$2:$I$22222)=0,"",SUMIF(搜索词报告!$A$2:$A$22222,总体数据一览!A647,搜索词报告!$I$2:$I$22222))</f>
        <v/>
      </c>
      <c r="C647" t="str">
        <f>IF(SUMIF(搜索词报告!$A$2:$A$22222,总体数据一览!A647,搜索词报告!$J$2:$J$22222)=0,"",SUMIF(搜索词报告!$A$2:$A$22222,总体数据一览!A647,搜索词报告!$J$2:$J$22222))</f>
        <v/>
      </c>
      <c r="D647" s="2" t="str">
        <f t="shared" si="30"/>
        <v/>
      </c>
      <c r="E647" t="str">
        <f t="shared" si="31"/>
        <v/>
      </c>
      <c r="F647" t="str">
        <f>IF(SUMIF(搜索词报告!$A$2:$A$22222,总体数据一览!A647,搜索词报告!$M$2:$M$22222)=0,"",SUMIF(搜索词报告!$A$2:$A$22222,总体数据一览!A647,搜索词报告!$M$2:$M$22222))</f>
        <v/>
      </c>
      <c r="G647" t="str">
        <f>IFERROR(IF(B647="","",SUMIF(搜索词报告!$A$2:$A$22222,总体数据一览!A647,搜索词报告!$V$2:$V$22222))+IF(B647="","",SUMIF(搜索词报告!$A$2:$A$22222,总体数据一览!A647,搜索词报告!$W$2:$W$22222)),"")</f>
        <v/>
      </c>
      <c r="H647" s="2" t="str">
        <f t="shared" si="32"/>
        <v/>
      </c>
    </row>
    <row r="648" spans="2:8" x14ac:dyDescent="0.15">
      <c r="B648" t="str">
        <f>IF(SUMIF(搜索词报告!$A$2:$A$22222,总体数据一览!A648,搜索词报告!$I$2:$I$22222)=0,"",SUMIF(搜索词报告!$A$2:$A$22222,总体数据一览!A648,搜索词报告!$I$2:$I$22222))</f>
        <v/>
      </c>
      <c r="C648" t="str">
        <f>IF(SUMIF(搜索词报告!$A$2:$A$22222,总体数据一览!A648,搜索词报告!$J$2:$J$22222)=0,"",SUMIF(搜索词报告!$A$2:$A$22222,总体数据一览!A648,搜索词报告!$J$2:$J$22222))</f>
        <v/>
      </c>
      <c r="D648" s="2" t="str">
        <f t="shared" si="30"/>
        <v/>
      </c>
      <c r="E648" t="str">
        <f t="shared" si="31"/>
        <v/>
      </c>
      <c r="F648" t="str">
        <f>IF(SUMIF(搜索词报告!$A$2:$A$22222,总体数据一览!A648,搜索词报告!$M$2:$M$22222)=0,"",SUMIF(搜索词报告!$A$2:$A$22222,总体数据一览!A648,搜索词报告!$M$2:$M$22222))</f>
        <v/>
      </c>
      <c r="G648" t="str">
        <f>IFERROR(IF(B648="","",SUMIF(搜索词报告!$A$2:$A$22222,总体数据一览!A648,搜索词报告!$V$2:$V$22222))+IF(B648="","",SUMIF(搜索词报告!$A$2:$A$22222,总体数据一览!A648,搜索词报告!$W$2:$W$22222)),"")</f>
        <v/>
      </c>
      <c r="H648" s="2" t="str">
        <f t="shared" si="32"/>
        <v/>
      </c>
    </row>
    <row r="649" spans="2:8" x14ac:dyDescent="0.15">
      <c r="B649" t="str">
        <f>IF(SUMIF(搜索词报告!$A$2:$A$22222,总体数据一览!A649,搜索词报告!$I$2:$I$22222)=0,"",SUMIF(搜索词报告!$A$2:$A$22222,总体数据一览!A649,搜索词报告!$I$2:$I$22222))</f>
        <v/>
      </c>
      <c r="C649" t="str">
        <f>IF(SUMIF(搜索词报告!$A$2:$A$22222,总体数据一览!A649,搜索词报告!$J$2:$J$22222)=0,"",SUMIF(搜索词报告!$A$2:$A$22222,总体数据一览!A649,搜索词报告!$J$2:$J$22222))</f>
        <v/>
      </c>
      <c r="D649" s="2" t="str">
        <f t="shared" si="30"/>
        <v/>
      </c>
      <c r="E649" t="str">
        <f t="shared" si="31"/>
        <v/>
      </c>
      <c r="F649" t="str">
        <f>IF(SUMIF(搜索词报告!$A$2:$A$22222,总体数据一览!A649,搜索词报告!$M$2:$M$22222)=0,"",SUMIF(搜索词报告!$A$2:$A$22222,总体数据一览!A649,搜索词报告!$M$2:$M$22222))</f>
        <v/>
      </c>
      <c r="G649" t="str">
        <f>IFERROR(IF(B649="","",SUMIF(搜索词报告!$A$2:$A$22222,总体数据一览!A649,搜索词报告!$V$2:$V$22222))+IF(B649="","",SUMIF(搜索词报告!$A$2:$A$22222,总体数据一览!A649,搜索词报告!$W$2:$W$22222)),"")</f>
        <v/>
      </c>
      <c r="H649" s="2" t="str">
        <f t="shared" si="32"/>
        <v/>
      </c>
    </row>
    <row r="650" spans="2:8" x14ac:dyDescent="0.15">
      <c r="B650" t="str">
        <f>IF(SUMIF(搜索词报告!$A$2:$A$22222,总体数据一览!A650,搜索词报告!$I$2:$I$22222)=0,"",SUMIF(搜索词报告!$A$2:$A$22222,总体数据一览!A650,搜索词报告!$I$2:$I$22222))</f>
        <v/>
      </c>
      <c r="C650" t="str">
        <f>IF(SUMIF(搜索词报告!$A$2:$A$22222,总体数据一览!A650,搜索词报告!$J$2:$J$22222)=0,"",SUMIF(搜索词报告!$A$2:$A$22222,总体数据一览!A650,搜索词报告!$J$2:$J$22222))</f>
        <v/>
      </c>
      <c r="D650" s="2" t="str">
        <f t="shared" si="30"/>
        <v/>
      </c>
      <c r="E650" t="str">
        <f t="shared" si="31"/>
        <v/>
      </c>
      <c r="F650" t="str">
        <f>IF(SUMIF(搜索词报告!$A$2:$A$22222,总体数据一览!A650,搜索词报告!$M$2:$M$22222)=0,"",SUMIF(搜索词报告!$A$2:$A$22222,总体数据一览!A650,搜索词报告!$M$2:$M$22222))</f>
        <v/>
      </c>
      <c r="G650" t="str">
        <f>IFERROR(IF(B650="","",SUMIF(搜索词报告!$A$2:$A$22222,总体数据一览!A650,搜索词报告!$V$2:$V$22222))+IF(B650="","",SUMIF(搜索词报告!$A$2:$A$22222,总体数据一览!A650,搜索词报告!$W$2:$W$22222)),"")</f>
        <v/>
      </c>
      <c r="H650" s="2" t="str">
        <f t="shared" si="32"/>
        <v/>
      </c>
    </row>
    <row r="651" spans="2:8" x14ac:dyDescent="0.15">
      <c r="B651" t="str">
        <f>IF(SUMIF(搜索词报告!$A$2:$A$22222,总体数据一览!A651,搜索词报告!$I$2:$I$22222)=0,"",SUMIF(搜索词报告!$A$2:$A$22222,总体数据一览!A651,搜索词报告!$I$2:$I$22222))</f>
        <v/>
      </c>
      <c r="C651" t="str">
        <f>IF(SUMIF(搜索词报告!$A$2:$A$22222,总体数据一览!A651,搜索词报告!$J$2:$J$22222)=0,"",SUMIF(搜索词报告!$A$2:$A$22222,总体数据一览!A651,搜索词报告!$J$2:$J$22222))</f>
        <v/>
      </c>
      <c r="D651" s="2" t="str">
        <f t="shared" si="30"/>
        <v/>
      </c>
      <c r="E651" t="str">
        <f t="shared" si="31"/>
        <v/>
      </c>
      <c r="F651" t="str">
        <f>IF(SUMIF(搜索词报告!$A$2:$A$22222,总体数据一览!A651,搜索词报告!$M$2:$M$22222)=0,"",SUMIF(搜索词报告!$A$2:$A$22222,总体数据一览!A651,搜索词报告!$M$2:$M$22222))</f>
        <v/>
      </c>
      <c r="G651" t="str">
        <f>IFERROR(IF(B651="","",SUMIF(搜索词报告!$A$2:$A$22222,总体数据一览!A651,搜索词报告!$V$2:$V$22222))+IF(B651="","",SUMIF(搜索词报告!$A$2:$A$22222,总体数据一览!A651,搜索词报告!$W$2:$W$22222)),"")</f>
        <v/>
      </c>
      <c r="H651" s="2" t="str">
        <f t="shared" si="32"/>
        <v/>
      </c>
    </row>
    <row r="652" spans="2:8" x14ac:dyDescent="0.15">
      <c r="B652" t="str">
        <f>IF(SUMIF(搜索词报告!$A$2:$A$22222,总体数据一览!A652,搜索词报告!$I$2:$I$22222)=0,"",SUMIF(搜索词报告!$A$2:$A$22222,总体数据一览!A652,搜索词报告!$I$2:$I$22222))</f>
        <v/>
      </c>
      <c r="C652" t="str">
        <f>IF(SUMIF(搜索词报告!$A$2:$A$22222,总体数据一览!A652,搜索词报告!$J$2:$J$22222)=0,"",SUMIF(搜索词报告!$A$2:$A$22222,总体数据一览!A652,搜索词报告!$J$2:$J$22222))</f>
        <v/>
      </c>
      <c r="D652" s="2" t="str">
        <f t="shared" si="30"/>
        <v/>
      </c>
      <c r="E652" t="str">
        <f t="shared" si="31"/>
        <v/>
      </c>
      <c r="F652" t="str">
        <f>IF(SUMIF(搜索词报告!$A$2:$A$22222,总体数据一览!A652,搜索词报告!$M$2:$M$22222)=0,"",SUMIF(搜索词报告!$A$2:$A$22222,总体数据一览!A652,搜索词报告!$M$2:$M$22222))</f>
        <v/>
      </c>
      <c r="G652" t="str">
        <f>IFERROR(IF(B652="","",SUMIF(搜索词报告!$A$2:$A$22222,总体数据一览!A652,搜索词报告!$V$2:$V$22222))+IF(B652="","",SUMIF(搜索词报告!$A$2:$A$22222,总体数据一览!A652,搜索词报告!$W$2:$W$22222)),"")</f>
        <v/>
      </c>
      <c r="H652" s="2" t="str">
        <f t="shared" si="32"/>
        <v/>
      </c>
    </row>
    <row r="653" spans="2:8" x14ac:dyDescent="0.15">
      <c r="B653" t="str">
        <f>IF(SUMIF(搜索词报告!$A$2:$A$22222,总体数据一览!A653,搜索词报告!$I$2:$I$22222)=0,"",SUMIF(搜索词报告!$A$2:$A$22222,总体数据一览!A653,搜索词报告!$I$2:$I$22222))</f>
        <v/>
      </c>
      <c r="C653" t="str">
        <f>IF(SUMIF(搜索词报告!$A$2:$A$22222,总体数据一览!A653,搜索词报告!$J$2:$J$22222)=0,"",SUMIF(搜索词报告!$A$2:$A$22222,总体数据一览!A653,搜索词报告!$J$2:$J$22222))</f>
        <v/>
      </c>
      <c r="D653" s="2" t="str">
        <f t="shared" si="30"/>
        <v/>
      </c>
      <c r="E653" t="str">
        <f t="shared" si="31"/>
        <v/>
      </c>
      <c r="F653" t="str">
        <f>IF(SUMIF(搜索词报告!$A$2:$A$22222,总体数据一览!A653,搜索词报告!$M$2:$M$22222)=0,"",SUMIF(搜索词报告!$A$2:$A$22222,总体数据一览!A653,搜索词报告!$M$2:$M$22222))</f>
        <v/>
      </c>
      <c r="G653" t="str">
        <f>IFERROR(IF(B653="","",SUMIF(搜索词报告!$A$2:$A$22222,总体数据一览!A653,搜索词报告!$V$2:$V$22222))+IF(B653="","",SUMIF(搜索词报告!$A$2:$A$22222,总体数据一览!A653,搜索词报告!$W$2:$W$22222)),"")</f>
        <v/>
      </c>
      <c r="H653" s="2" t="str">
        <f t="shared" si="32"/>
        <v/>
      </c>
    </row>
    <row r="654" spans="2:8" x14ac:dyDescent="0.15">
      <c r="B654" t="str">
        <f>IF(SUMIF(搜索词报告!$A$2:$A$22222,总体数据一览!A654,搜索词报告!$I$2:$I$22222)=0,"",SUMIF(搜索词报告!$A$2:$A$22222,总体数据一览!A654,搜索词报告!$I$2:$I$22222))</f>
        <v/>
      </c>
      <c r="C654" t="str">
        <f>IF(SUMIF(搜索词报告!$A$2:$A$22222,总体数据一览!A654,搜索词报告!$J$2:$J$22222)=0,"",SUMIF(搜索词报告!$A$2:$A$22222,总体数据一览!A654,搜索词报告!$J$2:$J$22222))</f>
        <v/>
      </c>
      <c r="D654" s="2" t="str">
        <f t="shared" si="30"/>
        <v/>
      </c>
      <c r="E654" t="str">
        <f t="shared" si="31"/>
        <v/>
      </c>
      <c r="F654" t="str">
        <f>IF(SUMIF(搜索词报告!$A$2:$A$22222,总体数据一览!A654,搜索词报告!$M$2:$M$22222)=0,"",SUMIF(搜索词报告!$A$2:$A$22222,总体数据一览!A654,搜索词报告!$M$2:$M$22222))</f>
        <v/>
      </c>
      <c r="G654" t="str">
        <f>IFERROR(IF(B654="","",SUMIF(搜索词报告!$A$2:$A$22222,总体数据一览!A654,搜索词报告!$V$2:$V$22222))+IF(B654="","",SUMIF(搜索词报告!$A$2:$A$22222,总体数据一览!A654,搜索词报告!$W$2:$W$22222)),"")</f>
        <v/>
      </c>
      <c r="H654" s="2" t="str">
        <f t="shared" si="32"/>
        <v/>
      </c>
    </row>
    <row r="655" spans="2:8" x14ac:dyDescent="0.15">
      <c r="B655" t="str">
        <f>IF(SUMIF(搜索词报告!$A$2:$A$22222,总体数据一览!A655,搜索词报告!$I$2:$I$22222)=0,"",SUMIF(搜索词报告!$A$2:$A$22222,总体数据一览!A655,搜索词报告!$I$2:$I$22222))</f>
        <v/>
      </c>
      <c r="C655" t="str">
        <f>IF(SUMIF(搜索词报告!$A$2:$A$22222,总体数据一览!A655,搜索词报告!$J$2:$J$22222)=0,"",SUMIF(搜索词报告!$A$2:$A$22222,总体数据一览!A655,搜索词报告!$J$2:$J$22222))</f>
        <v/>
      </c>
      <c r="D655" s="2" t="str">
        <f t="shared" si="30"/>
        <v/>
      </c>
      <c r="E655" t="str">
        <f t="shared" si="31"/>
        <v/>
      </c>
      <c r="F655" t="str">
        <f>IF(SUMIF(搜索词报告!$A$2:$A$22222,总体数据一览!A655,搜索词报告!$M$2:$M$22222)=0,"",SUMIF(搜索词报告!$A$2:$A$22222,总体数据一览!A655,搜索词报告!$M$2:$M$22222))</f>
        <v/>
      </c>
      <c r="G655" t="str">
        <f>IFERROR(IF(B655="","",SUMIF(搜索词报告!$A$2:$A$22222,总体数据一览!A655,搜索词报告!$V$2:$V$22222))+IF(B655="","",SUMIF(搜索词报告!$A$2:$A$22222,总体数据一览!A655,搜索词报告!$W$2:$W$22222)),"")</f>
        <v/>
      </c>
      <c r="H655" s="2" t="str">
        <f t="shared" si="32"/>
        <v/>
      </c>
    </row>
    <row r="656" spans="2:8" x14ac:dyDescent="0.15">
      <c r="B656" t="str">
        <f>IF(SUMIF(搜索词报告!$A$2:$A$22222,总体数据一览!A656,搜索词报告!$I$2:$I$22222)=0,"",SUMIF(搜索词报告!$A$2:$A$22222,总体数据一览!A656,搜索词报告!$I$2:$I$22222))</f>
        <v/>
      </c>
      <c r="C656" t="str">
        <f>IF(SUMIF(搜索词报告!$A$2:$A$22222,总体数据一览!A656,搜索词报告!$J$2:$J$22222)=0,"",SUMIF(搜索词报告!$A$2:$A$22222,总体数据一览!A656,搜索词报告!$J$2:$J$22222))</f>
        <v/>
      </c>
      <c r="D656" s="2" t="str">
        <f t="shared" si="30"/>
        <v/>
      </c>
      <c r="E656" t="str">
        <f t="shared" si="31"/>
        <v/>
      </c>
      <c r="F656" t="str">
        <f>IF(SUMIF(搜索词报告!$A$2:$A$22222,总体数据一览!A656,搜索词报告!$M$2:$M$22222)=0,"",SUMIF(搜索词报告!$A$2:$A$22222,总体数据一览!A656,搜索词报告!$M$2:$M$22222))</f>
        <v/>
      </c>
      <c r="G656" t="str">
        <f>IFERROR(IF(B656="","",SUMIF(搜索词报告!$A$2:$A$22222,总体数据一览!A656,搜索词报告!$V$2:$V$22222))+IF(B656="","",SUMIF(搜索词报告!$A$2:$A$22222,总体数据一览!A656,搜索词报告!$W$2:$W$22222)),"")</f>
        <v/>
      </c>
      <c r="H656" s="2" t="str">
        <f t="shared" si="32"/>
        <v/>
      </c>
    </row>
    <row r="657" spans="2:8" x14ac:dyDescent="0.15">
      <c r="B657" t="str">
        <f>IF(SUMIF(搜索词报告!$A$2:$A$22222,总体数据一览!A657,搜索词报告!$I$2:$I$22222)=0,"",SUMIF(搜索词报告!$A$2:$A$22222,总体数据一览!A657,搜索词报告!$I$2:$I$22222))</f>
        <v/>
      </c>
      <c r="C657" t="str">
        <f>IF(SUMIF(搜索词报告!$A$2:$A$22222,总体数据一览!A657,搜索词报告!$J$2:$J$22222)=0,"",SUMIF(搜索词报告!$A$2:$A$22222,总体数据一览!A657,搜索词报告!$J$2:$J$22222))</f>
        <v/>
      </c>
      <c r="D657" s="2" t="str">
        <f t="shared" si="30"/>
        <v/>
      </c>
      <c r="E657" t="str">
        <f t="shared" si="31"/>
        <v/>
      </c>
      <c r="F657" t="str">
        <f>IF(SUMIF(搜索词报告!$A$2:$A$22222,总体数据一览!A657,搜索词报告!$M$2:$M$22222)=0,"",SUMIF(搜索词报告!$A$2:$A$22222,总体数据一览!A657,搜索词报告!$M$2:$M$22222))</f>
        <v/>
      </c>
      <c r="G657" t="str">
        <f>IFERROR(IF(B657="","",SUMIF(搜索词报告!$A$2:$A$22222,总体数据一览!A657,搜索词报告!$V$2:$V$22222))+IF(B657="","",SUMIF(搜索词报告!$A$2:$A$22222,总体数据一览!A657,搜索词报告!$W$2:$W$22222)),"")</f>
        <v/>
      </c>
      <c r="H657" s="2" t="str">
        <f t="shared" si="32"/>
        <v/>
      </c>
    </row>
    <row r="658" spans="2:8" x14ac:dyDescent="0.15">
      <c r="B658" t="str">
        <f>IF(SUMIF(搜索词报告!$A$2:$A$22222,总体数据一览!A658,搜索词报告!$I$2:$I$22222)=0,"",SUMIF(搜索词报告!$A$2:$A$22222,总体数据一览!A658,搜索词报告!$I$2:$I$22222))</f>
        <v/>
      </c>
      <c r="C658" t="str">
        <f>IF(SUMIF(搜索词报告!$A$2:$A$22222,总体数据一览!A658,搜索词报告!$J$2:$J$22222)=0,"",SUMIF(搜索词报告!$A$2:$A$22222,总体数据一览!A658,搜索词报告!$J$2:$J$22222))</f>
        <v/>
      </c>
      <c r="D658" s="2" t="str">
        <f t="shared" si="30"/>
        <v/>
      </c>
      <c r="E658" t="str">
        <f t="shared" si="31"/>
        <v/>
      </c>
      <c r="F658" t="str">
        <f>IF(SUMIF(搜索词报告!$A$2:$A$22222,总体数据一览!A658,搜索词报告!$M$2:$M$22222)=0,"",SUMIF(搜索词报告!$A$2:$A$22222,总体数据一览!A658,搜索词报告!$M$2:$M$22222))</f>
        <v/>
      </c>
      <c r="G658" t="str">
        <f>IFERROR(IF(B658="","",SUMIF(搜索词报告!$A$2:$A$22222,总体数据一览!A658,搜索词报告!$V$2:$V$22222))+IF(B658="","",SUMIF(搜索词报告!$A$2:$A$22222,总体数据一览!A658,搜索词报告!$W$2:$W$22222)),"")</f>
        <v/>
      </c>
      <c r="H658" s="2" t="str">
        <f t="shared" si="32"/>
        <v/>
      </c>
    </row>
    <row r="659" spans="2:8" x14ac:dyDescent="0.15">
      <c r="B659" t="str">
        <f>IF(SUMIF(搜索词报告!$A$2:$A$22222,总体数据一览!A659,搜索词报告!$I$2:$I$22222)=0,"",SUMIF(搜索词报告!$A$2:$A$22222,总体数据一览!A659,搜索词报告!$I$2:$I$22222))</f>
        <v/>
      </c>
      <c r="C659" t="str">
        <f>IF(SUMIF(搜索词报告!$A$2:$A$22222,总体数据一览!A659,搜索词报告!$J$2:$J$22222)=0,"",SUMIF(搜索词报告!$A$2:$A$22222,总体数据一览!A659,搜索词报告!$J$2:$J$22222))</f>
        <v/>
      </c>
      <c r="D659" s="2" t="str">
        <f t="shared" si="30"/>
        <v/>
      </c>
      <c r="E659" t="str">
        <f t="shared" si="31"/>
        <v/>
      </c>
      <c r="F659" t="str">
        <f>IF(SUMIF(搜索词报告!$A$2:$A$22222,总体数据一览!A659,搜索词报告!$M$2:$M$22222)=0,"",SUMIF(搜索词报告!$A$2:$A$22222,总体数据一览!A659,搜索词报告!$M$2:$M$22222))</f>
        <v/>
      </c>
      <c r="G659" t="str">
        <f>IFERROR(IF(B659="","",SUMIF(搜索词报告!$A$2:$A$22222,总体数据一览!A659,搜索词报告!$V$2:$V$22222))+IF(B659="","",SUMIF(搜索词报告!$A$2:$A$22222,总体数据一览!A659,搜索词报告!$W$2:$W$22222)),"")</f>
        <v/>
      </c>
      <c r="H659" s="2" t="str">
        <f t="shared" si="32"/>
        <v/>
      </c>
    </row>
    <row r="660" spans="2:8" x14ac:dyDescent="0.15">
      <c r="B660" t="str">
        <f>IF(SUMIF(搜索词报告!$A$2:$A$22222,总体数据一览!A660,搜索词报告!$I$2:$I$22222)=0,"",SUMIF(搜索词报告!$A$2:$A$22222,总体数据一览!A660,搜索词报告!$I$2:$I$22222))</f>
        <v/>
      </c>
      <c r="C660" t="str">
        <f>IF(SUMIF(搜索词报告!$A$2:$A$22222,总体数据一览!A660,搜索词报告!$J$2:$J$22222)=0,"",SUMIF(搜索词报告!$A$2:$A$22222,总体数据一览!A660,搜索词报告!$J$2:$J$22222))</f>
        <v/>
      </c>
      <c r="D660" s="2" t="str">
        <f t="shared" ref="D660:D723" si="33">IFERROR(ROUND(C660/B660,4),"")</f>
        <v/>
      </c>
      <c r="E660" t="str">
        <f t="shared" ref="E660:E723" si="34">IFERROR(ROUND(F660/C660,2),"")</f>
        <v/>
      </c>
      <c r="F660" t="str">
        <f>IF(SUMIF(搜索词报告!$A$2:$A$22222,总体数据一览!A660,搜索词报告!$M$2:$M$22222)=0,"",SUMIF(搜索词报告!$A$2:$A$22222,总体数据一览!A660,搜索词报告!$M$2:$M$22222))</f>
        <v/>
      </c>
      <c r="G660" t="str">
        <f>IFERROR(IF(B660="","",SUMIF(搜索词报告!$A$2:$A$22222,总体数据一览!A660,搜索词报告!$V$2:$V$22222))+IF(B660="","",SUMIF(搜索词报告!$A$2:$A$22222,总体数据一览!A660,搜索词报告!$W$2:$W$22222)),"")</f>
        <v/>
      </c>
      <c r="H660" s="2" t="str">
        <f t="shared" ref="H660:H723" si="35">IFERROR(ROUND(F660/G660,2),"")</f>
        <v/>
      </c>
    </row>
    <row r="661" spans="2:8" x14ac:dyDescent="0.15">
      <c r="B661" t="str">
        <f>IF(SUMIF(搜索词报告!$A$2:$A$22222,总体数据一览!A661,搜索词报告!$I$2:$I$22222)=0,"",SUMIF(搜索词报告!$A$2:$A$22222,总体数据一览!A661,搜索词报告!$I$2:$I$22222))</f>
        <v/>
      </c>
      <c r="C661" t="str">
        <f>IF(SUMIF(搜索词报告!$A$2:$A$22222,总体数据一览!A661,搜索词报告!$J$2:$J$22222)=0,"",SUMIF(搜索词报告!$A$2:$A$22222,总体数据一览!A661,搜索词报告!$J$2:$J$22222))</f>
        <v/>
      </c>
      <c r="D661" s="2" t="str">
        <f t="shared" si="33"/>
        <v/>
      </c>
      <c r="E661" t="str">
        <f t="shared" si="34"/>
        <v/>
      </c>
      <c r="F661" t="str">
        <f>IF(SUMIF(搜索词报告!$A$2:$A$22222,总体数据一览!A661,搜索词报告!$M$2:$M$22222)=0,"",SUMIF(搜索词报告!$A$2:$A$22222,总体数据一览!A661,搜索词报告!$M$2:$M$22222))</f>
        <v/>
      </c>
      <c r="G661" t="str">
        <f>IFERROR(IF(B661="","",SUMIF(搜索词报告!$A$2:$A$22222,总体数据一览!A661,搜索词报告!$V$2:$V$22222))+IF(B661="","",SUMIF(搜索词报告!$A$2:$A$22222,总体数据一览!A661,搜索词报告!$W$2:$W$22222)),"")</f>
        <v/>
      </c>
      <c r="H661" s="2" t="str">
        <f t="shared" si="35"/>
        <v/>
      </c>
    </row>
    <row r="662" spans="2:8" x14ac:dyDescent="0.15">
      <c r="B662" t="str">
        <f>IF(SUMIF(搜索词报告!$A$2:$A$22222,总体数据一览!A662,搜索词报告!$I$2:$I$22222)=0,"",SUMIF(搜索词报告!$A$2:$A$22222,总体数据一览!A662,搜索词报告!$I$2:$I$22222))</f>
        <v/>
      </c>
      <c r="C662" t="str">
        <f>IF(SUMIF(搜索词报告!$A$2:$A$22222,总体数据一览!A662,搜索词报告!$J$2:$J$22222)=0,"",SUMIF(搜索词报告!$A$2:$A$22222,总体数据一览!A662,搜索词报告!$J$2:$J$22222))</f>
        <v/>
      </c>
      <c r="D662" s="2" t="str">
        <f t="shared" si="33"/>
        <v/>
      </c>
      <c r="E662" t="str">
        <f t="shared" si="34"/>
        <v/>
      </c>
      <c r="F662" t="str">
        <f>IF(SUMIF(搜索词报告!$A$2:$A$22222,总体数据一览!A662,搜索词报告!$M$2:$M$22222)=0,"",SUMIF(搜索词报告!$A$2:$A$22222,总体数据一览!A662,搜索词报告!$M$2:$M$22222))</f>
        <v/>
      </c>
      <c r="G662" t="str">
        <f>IFERROR(IF(B662="","",SUMIF(搜索词报告!$A$2:$A$22222,总体数据一览!A662,搜索词报告!$V$2:$V$22222))+IF(B662="","",SUMIF(搜索词报告!$A$2:$A$22222,总体数据一览!A662,搜索词报告!$W$2:$W$22222)),"")</f>
        <v/>
      </c>
      <c r="H662" s="2" t="str">
        <f t="shared" si="35"/>
        <v/>
      </c>
    </row>
    <row r="663" spans="2:8" x14ac:dyDescent="0.15">
      <c r="B663" t="str">
        <f>IF(SUMIF(搜索词报告!$A$2:$A$22222,总体数据一览!A663,搜索词报告!$I$2:$I$22222)=0,"",SUMIF(搜索词报告!$A$2:$A$22222,总体数据一览!A663,搜索词报告!$I$2:$I$22222))</f>
        <v/>
      </c>
      <c r="C663" t="str">
        <f>IF(SUMIF(搜索词报告!$A$2:$A$22222,总体数据一览!A663,搜索词报告!$J$2:$J$22222)=0,"",SUMIF(搜索词报告!$A$2:$A$22222,总体数据一览!A663,搜索词报告!$J$2:$J$22222))</f>
        <v/>
      </c>
      <c r="D663" s="2" t="str">
        <f t="shared" si="33"/>
        <v/>
      </c>
      <c r="E663" t="str">
        <f t="shared" si="34"/>
        <v/>
      </c>
      <c r="F663" t="str">
        <f>IF(SUMIF(搜索词报告!$A$2:$A$22222,总体数据一览!A663,搜索词报告!$M$2:$M$22222)=0,"",SUMIF(搜索词报告!$A$2:$A$22222,总体数据一览!A663,搜索词报告!$M$2:$M$22222))</f>
        <v/>
      </c>
      <c r="G663" t="str">
        <f>IFERROR(IF(B663="","",SUMIF(搜索词报告!$A$2:$A$22222,总体数据一览!A663,搜索词报告!$V$2:$V$22222))+IF(B663="","",SUMIF(搜索词报告!$A$2:$A$22222,总体数据一览!A663,搜索词报告!$W$2:$W$22222)),"")</f>
        <v/>
      </c>
      <c r="H663" s="2" t="str">
        <f t="shared" si="35"/>
        <v/>
      </c>
    </row>
    <row r="664" spans="2:8" x14ac:dyDescent="0.15">
      <c r="B664" t="str">
        <f>IF(SUMIF(搜索词报告!$A$2:$A$22222,总体数据一览!A664,搜索词报告!$I$2:$I$22222)=0,"",SUMIF(搜索词报告!$A$2:$A$22222,总体数据一览!A664,搜索词报告!$I$2:$I$22222))</f>
        <v/>
      </c>
      <c r="C664" t="str">
        <f>IF(SUMIF(搜索词报告!$A$2:$A$22222,总体数据一览!A664,搜索词报告!$J$2:$J$22222)=0,"",SUMIF(搜索词报告!$A$2:$A$22222,总体数据一览!A664,搜索词报告!$J$2:$J$22222))</f>
        <v/>
      </c>
      <c r="D664" s="2" t="str">
        <f t="shared" si="33"/>
        <v/>
      </c>
      <c r="E664" t="str">
        <f t="shared" si="34"/>
        <v/>
      </c>
      <c r="F664" t="str">
        <f>IF(SUMIF(搜索词报告!$A$2:$A$22222,总体数据一览!A664,搜索词报告!$M$2:$M$22222)=0,"",SUMIF(搜索词报告!$A$2:$A$22222,总体数据一览!A664,搜索词报告!$M$2:$M$22222))</f>
        <v/>
      </c>
      <c r="G664" t="str">
        <f>IFERROR(IF(B664="","",SUMIF(搜索词报告!$A$2:$A$22222,总体数据一览!A664,搜索词报告!$V$2:$V$22222))+IF(B664="","",SUMIF(搜索词报告!$A$2:$A$22222,总体数据一览!A664,搜索词报告!$W$2:$W$22222)),"")</f>
        <v/>
      </c>
      <c r="H664" s="2" t="str">
        <f t="shared" si="35"/>
        <v/>
      </c>
    </row>
    <row r="665" spans="2:8" x14ac:dyDescent="0.15">
      <c r="B665" t="str">
        <f>IF(SUMIF(搜索词报告!$A$2:$A$22222,总体数据一览!A665,搜索词报告!$I$2:$I$22222)=0,"",SUMIF(搜索词报告!$A$2:$A$22222,总体数据一览!A665,搜索词报告!$I$2:$I$22222))</f>
        <v/>
      </c>
      <c r="C665" t="str">
        <f>IF(SUMIF(搜索词报告!$A$2:$A$22222,总体数据一览!A665,搜索词报告!$J$2:$J$22222)=0,"",SUMIF(搜索词报告!$A$2:$A$22222,总体数据一览!A665,搜索词报告!$J$2:$J$22222))</f>
        <v/>
      </c>
      <c r="D665" s="2" t="str">
        <f t="shared" si="33"/>
        <v/>
      </c>
      <c r="E665" t="str">
        <f t="shared" si="34"/>
        <v/>
      </c>
      <c r="F665" t="str">
        <f>IF(SUMIF(搜索词报告!$A$2:$A$22222,总体数据一览!A665,搜索词报告!$M$2:$M$22222)=0,"",SUMIF(搜索词报告!$A$2:$A$22222,总体数据一览!A665,搜索词报告!$M$2:$M$22222))</f>
        <v/>
      </c>
      <c r="G665" t="str">
        <f>IFERROR(IF(B665="","",SUMIF(搜索词报告!$A$2:$A$22222,总体数据一览!A665,搜索词报告!$V$2:$V$22222))+IF(B665="","",SUMIF(搜索词报告!$A$2:$A$22222,总体数据一览!A665,搜索词报告!$W$2:$W$22222)),"")</f>
        <v/>
      </c>
      <c r="H665" s="2" t="str">
        <f t="shared" si="35"/>
        <v/>
      </c>
    </row>
    <row r="666" spans="2:8" x14ac:dyDescent="0.15">
      <c r="B666" t="str">
        <f>IF(SUMIF(搜索词报告!$A$2:$A$22222,总体数据一览!A666,搜索词报告!$I$2:$I$22222)=0,"",SUMIF(搜索词报告!$A$2:$A$22222,总体数据一览!A666,搜索词报告!$I$2:$I$22222))</f>
        <v/>
      </c>
      <c r="C666" t="str">
        <f>IF(SUMIF(搜索词报告!$A$2:$A$22222,总体数据一览!A666,搜索词报告!$J$2:$J$22222)=0,"",SUMIF(搜索词报告!$A$2:$A$22222,总体数据一览!A666,搜索词报告!$J$2:$J$22222))</f>
        <v/>
      </c>
      <c r="D666" s="2" t="str">
        <f t="shared" si="33"/>
        <v/>
      </c>
      <c r="E666" t="str">
        <f t="shared" si="34"/>
        <v/>
      </c>
      <c r="F666" t="str">
        <f>IF(SUMIF(搜索词报告!$A$2:$A$22222,总体数据一览!A666,搜索词报告!$M$2:$M$22222)=0,"",SUMIF(搜索词报告!$A$2:$A$22222,总体数据一览!A666,搜索词报告!$M$2:$M$22222))</f>
        <v/>
      </c>
      <c r="G666" t="str">
        <f>IFERROR(IF(B666="","",SUMIF(搜索词报告!$A$2:$A$22222,总体数据一览!A666,搜索词报告!$V$2:$V$22222))+IF(B666="","",SUMIF(搜索词报告!$A$2:$A$22222,总体数据一览!A666,搜索词报告!$W$2:$W$22222)),"")</f>
        <v/>
      </c>
      <c r="H666" s="2" t="str">
        <f t="shared" si="35"/>
        <v/>
      </c>
    </row>
    <row r="667" spans="2:8" x14ac:dyDescent="0.15">
      <c r="B667" t="str">
        <f>IF(SUMIF(搜索词报告!$A$2:$A$22222,总体数据一览!A667,搜索词报告!$I$2:$I$22222)=0,"",SUMIF(搜索词报告!$A$2:$A$22222,总体数据一览!A667,搜索词报告!$I$2:$I$22222))</f>
        <v/>
      </c>
      <c r="C667" t="str">
        <f>IF(SUMIF(搜索词报告!$A$2:$A$22222,总体数据一览!A667,搜索词报告!$J$2:$J$22222)=0,"",SUMIF(搜索词报告!$A$2:$A$22222,总体数据一览!A667,搜索词报告!$J$2:$J$22222))</f>
        <v/>
      </c>
      <c r="D667" s="2" t="str">
        <f t="shared" si="33"/>
        <v/>
      </c>
      <c r="E667" t="str">
        <f t="shared" si="34"/>
        <v/>
      </c>
      <c r="F667" t="str">
        <f>IF(SUMIF(搜索词报告!$A$2:$A$22222,总体数据一览!A667,搜索词报告!$M$2:$M$22222)=0,"",SUMIF(搜索词报告!$A$2:$A$22222,总体数据一览!A667,搜索词报告!$M$2:$M$22222))</f>
        <v/>
      </c>
      <c r="G667" t="str">
        <f>IFERROR(IF(B667="","",SUMIF(搜索词报告!$A$2:$A$22222,总体数据一览!A667,搜索词报告!$V$2:$V$22222))+IF(B667="","",SUMIF(搜索词报告!$A$2:$A$22222,总体数据一览!A667,搜索词报告!$W$2:$W$22222)),"")</f>
        <v/>
      </c>
      <c r="H667" s="2" t="str">
        <f t="shared" si="35"/>
        <v/>
      </c>
    </row>
    <row r="668" spans="2:8" x14ac:dyDescent="0.15">
      <c r="B668" t="str">
        <f>IF(SUMIF(搜索词报告!$A$2:$A$22222,总体数据一览!A668,搜索词报告!$I$2:$I$22222)=0,"",SUMIF(搜索词报告!$A$2:$A$22222,总体数据一览!A668,搜索词报告!$I$2:$I$22222))</f>
        <v/>
      </c>
      <c r="C668" t="str">
        <f>IF(SUMIF(搜索词报告!$A$2:$A$22222,总体数据一览!A668,搜索词报告!$J$2:$J$22222)=0,"",SUMIF(搜索词报告!$A$2:$A$22222,总体数据一览!A668,搜索词报告!$J$2:$J$22222))</f>
        <v/>
      </c>
      <c r="D668" s="2" t="str">
        <f t="shared" si="33"/>
        <v/>
      </c>
      <c r="E668" t="str">
        <f t="shared" si="34"/>
        <v/>
      </c>
      <c r="F668" t="str">
        <f>IF(SUMIF(搜索词报告!$A$2:$A$22222,总体数据一览!A668,搜索词报告!$M$2:$M$22222)=0,"",SUMIF(搜索词报告!$A$2:$A$22222,总体数据一览!A668,搜索词报告!$M$2:$M$22222))</f>
        <v/>
      </c>
      <c r="G668" t="str">
        <f>IFERROR(IF(B668="","",SUMIF(搜索词报告!$A$2:$A$22222,总体数据一览!A668,搜索词报告!$V$2:$V$22222))+IF(B668="","",SUMIF(搜索词报告!$A$2:$A$22222,总体数据一览!A668,搜索词报告!$W$2:$W$22222)),"")</f>
        <v/>
      </c>
      <c r="H668" s="2" t="str">
        <f t="shared" si="35"/>
        <v/>
      </c>
    </row>
    <row r="669" spans="2:8" x14ac:dyDescent="0.15">
      <c r="B669" t="str">
        <f>IF(SUMIF(搜索词报告!$A$2:$A$22222,总体数据一览!A669,搜索词报告!$I$2:$I$22222)=0,"",SUMIF(搜索词报告!$A$2:$A$22222,总体数据一览!A669,搜索词报告!$I$2:$I$22222))</f>
        <v/>
      </c>
      <c r="C669" t="str">
        <f>IF(SUMIF(搜索词报告!$A$2:$A$22222,总体数据一览!A669,搜索词报告!$J$2:$J$22222)=0,"",SUMIF(搜索词报告!$A$2:$A$22222,总体数据一览!A669,搜索词报告!$J$2:$J$22222))</f>
        <v/>
      </c>
      <c r="D669" s="2" t="str">
        <f t="shared" si="33"/>
        <v/>
      </c>
      <c r="E669" t="str">
        <f t="shared" si="34"/>
        <v/>
      </c>
      <c r="F669" t="str">
        <f>IF(SUMIF(搜索词报告!$A$2:$A$22222,总体数据一览!A669,搜索词报告!$M$2:$M$22222)=0,"",SUMIF(搜索词报告!$A$2:$A$22222,总体数据一览!A669,搜索词报告!$M$2:$M$22222))</f>
        <v/>
      </c>
      <c r="G669" t="str">
        <f>IFERROR(IF(B669="","",SUMIF(搜索词报告!$A$2:$A$22222,总体数据一览!A669,搜索词报告!$V$2:$V$22222))+IF(B669="","",SUMIF(搜索词报告!$A$2:$A$22222,总体数据一览!A669,搜索词报告!$W$2:$W$22222)),"")</f>
        <v/>
      </c>
      <c r="H669" s="2" t="str">
        <f t="shared" si="35"/>
        <v/>
      </c>
    </row>
    <row r="670" spans="2:8" x14ac:dyDescent="0.15">
      <c r="B670" t="str">
        <f>IF(SUMIF(搜索词报告!$A$2:$A$22222,总体数据一览!A670,搜索词报告!$I$2:$I$22222)=0,"",SUMIF(搜索词报告!$A$2:$A$22222,总体数据一览!A670,搜索词报告!$I$2:$I$22222))</f>
        <v/>
      </c>
      <c r="C670" t="str">
        <f>IF(SUMIF(搜索词报告!$A$2:$A$22222,总体数据一览!A670,搜索词报告!$J$2:$J$22222)=0,"",SUMIF(搜索词报告!$A$2:$A$22222,总体数据一览!A670,搜索词报告!$J$2:$J$22222))</f>
        <v/>
      </c>
      <c r="D670" s="2" t="str">
        <f t="shared" si="33"/>
        <v/>
      </c>
      <c r="E670" t="str">
        <f t="shared" si="34"/>
        <v/>
      </c>
      <c r="F670" t="str">
        <f>IF(SUMIF(搜索词报告!$A$2:$A$22222,总体数据一览!A670,搜索词报告!$M$2:$M$22222)=0,"",SUMIF(搜索词报告!$A$2:$A$22222,总体数据一览!A670,搜索词报告!$M$2:$M$22222))</f>
        <v/>
      </c>
      <c r="G670" t="str">
        <f>IFERROR(IF(B670="","",SUMIF(搜索词报告!$A$2:$A$22222,总体数据一览!A670,搜索词报告!$V$2:$V$22222))+IF(B670="","",SUMIF(搜索词报告!$A$2:$A$22222,总体数据一览!A670,搜索词报告!$W$2:$W$22222)),"")</f>
        <v/>
      </c>
      <c r="H670" s="2" t="str">
        <f t="shared" si="35"/>
        <v/>
      </c>
    </row>
    <row r="671" spans="2:8" x14ac:dyDescent="0.15">
      <c r="B671" t="str">
        <f>IF(SUMIF(搜索词报告!$A$2:$A$22222,总体数据一览!A671,搜索词报告!$I$2:$I$22222)=0,"",SUMIF(搜索词报告!$A$2:$A$22222,总体数据一览!A671,搜索词报告!$I$2:$I$22222))</f>
        <v/>
      </c>
      <c r="C671" t="str">
        <f>IF(SUMIF(搜索词报告!$A$2:$A$22222,总体数据一览!A671,搜索词报告!$J$2:$J$22222)=0,"",SUMIF(搜索词报告!$A$2:$A$22222,总体数据一览!A671,搜索词报告!$J$2:$J$22222))</f>
        <v/>
      </c>
      <c r="D671" s="2" t="str">
        <f t="shared" si="33"/>
        <v/>
      </c>
      <c r="E671" t="str">
        <f t="shared" si="34"/>
        <v/>
      </c>
      <c r="F671" t="str">
        <f>IF(SUMIF(搜索词报告!$A$2:$A$22222,总体数据一览!A671,搜索词报告!$M$2:$M$22222)=0,"",SUMIF(搜索词报告!$A$2:$A$22222,总体数据一览!A671,搜索词报告!$M$2:$M$22222))</f>
        <v/>
      </c>
      <c r="G671" t="str">
        <f>IFERROR(IF(B671="","",SUMIF(搜索词报告!$A$2:$A$22222,总体数据一览!A671,搜索词报告!$V$2:$V$22222))+IF(B671="","",SUMIF(搜索词报告!$A$2:$A$22222,总体数据一览!A671,搜索词报告!$W$2:$W$22222)),"")</f>
        <v/>
      </c>
      <c r="H671" s="2" t="str">
        <f t="shared" si="35"/>
        <v/>
      </c>
    </row>
    <row r="672" spans="2:8" x14ac:dyDescent="0.15">
      <c r="B672" t="str">
        <f>IF(SUMIF(搜索词报告!$A$2:$A$22222,总体数据一览!A672,搜索词报告!$I$2:$I$22222)=0,"",SUMIF(搜索词报告!$A$2:$A$22222,总体数据一览!A672,搜索词报告!$I$2:$I$22222))</f>
        <v/>
      </c>
      <c r="C672" t="str">
        <f>IF(SUMIF(搜索词报告!$A$2:$A$22222,总体数据一览!A672,搜索词报告!$J$2:$J$22222)=0,"",SUMIF(搜索词报告!$A$2:$A$22222,总体数据一览!A672,搜索词报告!$J$2:$J$22222))</f>
        <v/>
      </c>
      <c r="D672" s="2" t="str">
        <f t="shared" si="33"/>
        <v/>
      </c>
      <c r="E672" t="str">
        <f t="shared" si="34"/>
        <v/>
      </c>
      <c r="F672" t="str">
        <f>IF(SUMIF(搜索词报告!$A$2:$A$22222,总体数据一览!A672,搜索词报告!$M$2:$M$22222)=0,"",SUMIF(搜索词报告!$A$2:$A$22222,总体数据一览!A672,搜索词报告!$M$2:$M$22222))</f>
        <v/>
      </c>
      <c r="G672" t="str">
        <f>IFERROR(IF(B672="","",SUMIF(搜索词报告!$A$2:$A$22222,总体数据一览!A672,搜索词报告!$V$2:$V$22222))+IF(B672="","",SUMIF(搜索词报告!$A$2:$A$22222,总体数据一览!A672,搜索词报告!$W$2:$W$22222)),"")</f>
        <v/>
      </c>
      <c r="H672" s="2" t="str">
        <f t="shared" si="35"/>
        <v/>
      </c>
    </row>
    <row r="673" spans="2:8" x14ac:dyDescent="0.15">
      <c r="B673" t="str">
        <f>IF(SUMIF(搜索词报告!$A$2:$A$22222,总体数据一览!A673,搜索词报告!$I$2:$I$22222)=0,"",SUMIF(搜索词报告!$A$2:$A$22222,总体数据一览!A673,搜索词报告!$I$2:$I$22222))</f>
        <v/>
      </c>
      <c r="C673" t="str">
        <f>IF(SUMIF(搜索词报告!$A$2:$A$22222,总体数据一览!A673,搜索词报告!$J$2:$J$22222)=0,"",SUMIF(搜索词报告!$A$2:$A$22222,总体数据一览!A673,搜索词报告!$J$2:$J$22222))</f>
        <v/>
      </c>
      <c r="D673" s="2" t="str">
        <f t="shared" si="33"/>
        <v/>
      </c>
      <c r="E673" t="str">
        <f t="shared" si="34"/>
        <v/>
      </c>
      <c r="F673" t="str">
        <f>IF(SUMIF(搜索词报告!$A$2:$A$22222,总体数据一览!A673,搜索词报告!$M$2:$M$22222)=0,"",SUMIF(搜索词报告!$A$2:$A$22222,总体数据一览!A673,搜索词报告!$M$2:$M$22222))</f>
        <v/>
      </c>
      <c r="G673" t="str">
        <f>IFERROR(IF(B673="","",SUMIF(搜索词报告!$A$2:$A$22222,总体数据一览!A673,搜索词报告!$V$2:$V$22222))+IF(B673="","",SUMIF(搜索词报告!$A$2:$A$22222,总体数据一览!A673,搜索词报告!$W$2:$W$22222)),"")</f>
        <v/>
      </c>
      <c r="H673" s="2" t="str">
        <f t="shared" si="35"/>
        <v/>
      </c>
    </row>
    <row r="674" spans="2:8" x14ac:dyDescent="0.15">
      <c r="B674" t="str">
        <f>IF(SUMIF(搜索词报告!$A$2:$A$22222,总体数据一览!A674,搜索词报告!$I$2:$I$22222)=0,"",SUMIF(搜索词报告!$A$2:$A$22222,总体数据一览!A674,搜索词报告!$I$2:$I$22222))</f>
        <v/>
      </c>
      <c r="C674" t="str">
        <f>IF(SUMIF(搜索词报告!$A$2:$A$22222,总体数据一览!A674,搜索词报告!$J$2:$J$22222)=0,"",SUMIF(搜索词报告!$A$2:$A$22222,总体数据一览!A674,搜索词报告!$J$2:$J$22222))</f>
        <v/>
      </c>
      <c r="D674" s="2" t="str">
        <f t="shared" si="33"/>
        <v/>
      </c>
      <c r="E674" t="str">
        <f t="shared" si="34"/>
        <v/>
      </c>
      <c r="F674" t="str">
        <f>IF(SUMIF(搜索词报告!$A$2:$A$22222,总体数据一览!A674,搜索词报告!$M$2:$M$22222)=0,"",SUMIF(搜索词报告!$A$2:$A$22222,总体数据一览!A674,搜索词报告!$M$2:$M$22222))</f>
        <v/>
      </c>
      <c r="G674" t="str">
        <f>IFERROR(IF(B674="","",SUMIF(搜索词报告!$A$2:$A$22222,总体数据一览!A674,搜索词报告!$V$2:$V$22222))+IF(B674="","",SUMIF(搜索词报告!$A$2:$A$22222,总体数据一览!A674,搜索词报告!$W$2:$W$22222)),"")</f>
        <v/>
      </c>
      <c r="H674" s="2" t="str">
        <f t="shared" si="35"/>
        <v/>
      </c>
    </row>
    <row r="675" spans="2:8" x14ac:dyDescent="0.15">
      <c r="B675" t="str">
        <f>IF(SUMIF(搜索词报告!$A$2:$A$22222,总体数据一览!A675,搜索词报告!$I$2:$I$22222)=0,"",SUMIF(搜索词报告!$A$2:$A$22222,总体数据一览!A675,搜索词报告!$I$2:$I$22222))</f>
        <v/>
      </c>
      <c r="C675" t="str">
        <f>IF(SUMIF(搜索词报告!$A$2:$A$22222,总体数据一览!A675,搜索词报告!$J$2:$J$22222)=0,"",SUMIF(搜索词报告!$A$2:$A$22222,总体数据一览!A675,搜索词报告!$J$2:$J$22222))</f>
        <v/>
      </c>
      <c r="D675" s="2" t="str">
        <f t="shared" si="33"/>
        <v/>
      </c>
      <c r="E675" t="str">
        <f t="shared" si="34"/>
        <v/>
      </c>
      <c r="F675" t="str">
        <f>IF(SUMIF(搜索词报告!$A$2:$A$22222,总体数据一览!A675,搜索词报告!$M$2:$M$22222)=0,"",SUMIF(搜索词报告!$A$2:$A$22222,总体数据一览!A675,搜索词报告!$M$2:$M$22222))</f>
        <v/>
      </c>
      <c r="G675" t="str">
        <f>IFERROR(IF(B675="","",SUMIF(搜索词报告!$A$2:$A$22222,总体数据一览!A675,搜索词报告!$V$2:$V$22222))+IF(B675="","",SUMIF(搜索词报告!$A$2:$A$22222,总体数据一览!A675,搜索词报告!$W$2:$W$22222)),"")</f>
        <v/>
      </c>
      <c r="H675" s="2" t="str">
        <f t="shared" si="35"/>
        <v/>
      </c>
    </row>
    <row r="676" spans="2:8" x14ac:dyDescent="0.15">
      <c r="B676" t="str">
        <f>IF(SUMIF(搜索词报告!$A$2:$A$22222,总体数据一览!A676,搜索词报告!$I$2:$I$22222)=0,"",SUMIF(搜索词报告!$A$2:$A$22222,总体数据一览!A676,搜索词报告!$I$2:$I$22222))</f>
        <v/>
      </c>
      <c r="C676" t="str">
        <f>IF(SUMIF(搜索词报告!$A$2:$A$22222,总体数据一览!A676,搜索词报告!$J$2:$J$22222)=0,"",SUMIF(搜索词报告!$A$2:$A$22222,总体数据一览!A676,搜索词报告!$J$2:$J$22222))</f>
        <v/>
      </c>
      <c r="D676" s="2" t="str">
        <f t="shared" si="33"/>
        <v/>
      </c>
      <c r="E676" t="str">
        <f t="shared" si="34"/>
        <v/>
      </c>
      <c r="F676" t="str">
        <f>IF(SUMIF(搜索词报告!$A$2:$A$22222,总体数据一览!A676,搜索词报告!$M$2:$M$22222)=0,"",SUMIF(搜索词报告!$A$2:$A$22222,总体数据一览!A676,搜索词报告!$M$2:$M$22222))</f>
        <v/>
      </c>
      <c r="G676" t="str">
        <f>IFERROR(IF(B676="","",SUMIF(搜索词报告!$A$2:$A$22222,总体数据一览!A676,搜索词报告!$V$2:$V$22222))+IF(B676="","",SUMIF(搜索词报告!$A$2:$A$22222,总体数据一览!A676,搜索词报告!$W$2:$W$22222)),"")</f>
        <v/>
      </c>
      <c r="H676" s="2" t="str">
        <f t="shared" si="35"/>
        <v/>
      </c>
    </row>
    <row r="677" spans="2:8" x14ac:dyDescent="0.15">
      <c r="B677" t="str">
        <f>IF(SUMIF(搜索词报告!$A$2:$A$22222,总体数据一览!A677,搜索词报告!$I$2:$I$22222)=0,"",SUMIF(搜索词报告!$A$2:$A$22222,总体数据一览!A677,搜索词报告!$I$2:$I$22222))</f>
        <v/>
      </c>
      <c r="C677" t="str">
        <f>IF(SUMIF(搜索词报告!$A$2:$A$22222,总体数据一览!A677,搜索词报告!$J$2:$J$22222)=0,"",SUMIF(搜索词报告!$A$2:$A$22222,总体数据一览!A677,搜索词报告!$J$2:$J$22222))</f>
        <v/>
      </c>
      <c r="D677" s="2" t="str">
        <f t="shared" si="33"/>
        <v/>
      </c>
      <c r="E677" t="str">
        <f t="shared" si="34"/>
        <v/>
      </c>
      <c r="F677" t="str">
        <f>IF(SUMIF(搜索词报告!$A$2:$A$22222,总体数据一览!A677,搜索词报告!$M$2:$M$22222)=0,"",SUMIF(搜索词报告!$A$2:$A$22222,总体数据一览!A677,搜索词报告!$M$2:$M$22222))</f>
        <v/>
      </c>
      <c r="G677" t="str">
        <f>IFERROR(IF(B677="","",SUMIF(搜索词报告!$A$2:$A$22222,总体数据一览!A677,搜索词报告!$V$2:$V$22222))+IF(B677="","",SUMIF(搜索词报告!$A$2:$A$22222,总体数据一览!A677,搜索词报告!$W$2:$W$22222)),"")</f>
        <v/>
      </c>
      <c r="H677" s="2" t="str">
        <f t="shared" si="35"/>
        <v/>
      </c>
    </row>
    <row r="678" spans="2:8" x14ac:dyDescent="0.15">
      <c r="B678" t="str">
        <f>IF(SUMIF(搜索词报告!$A$2:$A$22222,总体数据一览!A678,搜索词报告!$I$2:$I$22222)=0,"",SUMIF(搜索词报告!$A$2:$A$22222,总体数据一览!A678,搜索词报告!$I$2:$I$22222))</f>
        <v/>
      </c>
      <c r="C678" t="str">
        <f>IF(SUMIF(搜索词报告!$A$2:$A$22222,总体数据一览!A678,搜索词报告!$J$2:$J$22222)=0,"",SUMIF(搜索词报告!$A$2:$A$22222,总体数据一览!A678,搜索词报告!$J$2:$J$22222))</f>
        <v/>
      </c>
      <c r="D678" s="2" t="str">
        <f t="shared" si="33"/>
        <v/>
      </c>
      <c r="E678" t="str">
        <f t="shared" si="34"/>
        <v/>
      </c>
      <c r="F678" t="str">
        <f>IF(SUMIF(搜索词报告!$A$2:$A$22222,总体数据一览!A678,搜索词报告!$M$2:$M$22222)=0,"",SUMIF(搜索词报告!$A$2:$A$22222,总体数据一览!A678,搜索词报告!$M$2:$M$22222))</f>
        <v/>
      </c>
      <c r="G678" t="str">
        <f>IFERROR(IF(B678="","",SUMIF(搜索词报告!$A$2:$A$22222,总体数据一览!A678,搜索词报告!$V$2:$V$22222))+IF(B678="","",SUMIF(搜索词报告!$A$2:$A$22222,总体数据一览!A678,搜索词报告!$W$2:$W$22222)),"")</f>
        <v/>
      </c>
      <c r="H678" s="2" t="str">
        <f t="shared" si="35"/>
        <v/>
      </c>
    </row>
    <row r="679" spans="2:8" x14ac:dyDescent="0.15">
      <c r="B679" t="str">
        <f>IF(SUMIF(搜索词报告!$A$2:$A$22222,总体数据一览!A679,搜索词报告!$I$2:$I$22222)=0,"",SUMIF(搜索词报告!$A$2:$A$22222,总体数据一览!A679,搜索词报告!$I$2:$I$22222))</f>
        <v/>
      </c>
      <c r="C679" t="str">
        <f>IF(SUMIF(搜索词报告!$A$2:$A$22222,总体数据一览!A679,搜索词报告!$J$2:$J$22222)=0,"",SUMIF(搜索词报告!$A$2:$A$22222,总体数据一览!A679,搜索词报告!$J$2:$J$22222))</f>
        <v/>
      </c>
      <c r="D679" s="2" t="str">
        <f t="shared" si="33"/>
        <v/>
      </c>
      <c r="E679" t="str">
        <f t="shared" si="34"/>
        <v/>
      </c>
      <c r="F679" t="str">
        <f>IF(SUMIF(搜索词报告!$A$2:$A$22222,总体数据一览!A679,搜索词报告!$M$2:$M$22222)=0,"",SUMIF(搜索词报告!$A$2:$A$22222,总体数据一览!A679,搜索词报告!$M$2:$M$22222))</f>
        <v/>
      </c>
      <c r="G679" t="str">
        <f>IFERROR(IF(B679="","",SUMIF(搜索词报告!$A$2:$A$22222,总体数据一览!A679,搜索词报告!$V$2:$V$22222))+IF(B679="","",SUMIF(搜索词报告!$A$2:$A$22222,总体数据一览!A679,搜索词报告!$W$2:$W$22222)),"")</f>
        <v/>
      </c>
      <c r="H679" s="2" t="str">
        <f t="shared" si="35"/>
        <v/>
      </c>
    </row>
    <row r="680" spans="2:8" x14ac:dyDescent="0.15">
      <c r="B680" t="str">
        <f>IF(SUMIF(搜索词报告!$A$2:$A$22222,总体数据一览!A680,搜索词报告!$I$2:$I$22222)=0,"",SUMIF(搜索词报告!$A$2:$A$22222,总体数据一览!A680,搜索词报告!$I$2:$I$22222))</f>
        <v/>
      </c>
      <c r="C680" t="str">
        <f>IF(SUMIF(搜索词报告!$A$2:$A$22222,总体数据一览!A680,搜索词报告!$J$2:$J$22222)=0,"",SUMIF(搜索词报告!$A$2:$A$22222,总体数据一览!A680,搜索词报告!$J$2:$J$22222))</f>
        <v/>
      </c>
      <c r="D680" s="2" t="str">
        <f t="shared" si="33"/>
        <v/>
      </c>
      <c r="E680" t="str">
        <f t="shared" si="34"/>
        <v/>
      </c>
      <c r="F680" t="str">
        <f>IF(SUMIF(搜索词报告!$A$2:$A$22222,总体数据一览!A680,搜索词报告!$M$2:$M$22222)=0,"",SUMIF(搜索词报告!$A$2:$A$22222,总体数据一览!A680,搜索词报告!$M$2:$M$22222))</f>
        <v/>
      </c>
      <c r="G680" t="str">
        <f>IFERROR(IF(B680="","",SUMIF(搜索词报告!$A$2:$A$22222,总体数据一览!A680,搜索词报告!$V$2:$V$22222))+IF(B680="","",SUMIF(搜索词报告!$A$2:$A$22222,总体数据一览!A680,搜索词报告!$W$2:$W$22222)),"")</f>
        <v/>
      </c>
      <c r="H680" s="2" t="str">
        <f t="shared" si="35"/>
        <v/>
      </c>
    </row>
    <row r="681" spans="2:8" x14ac:dyDescent="0.15">
      <c r="B681" t="str">
        <f>IF(SUMIF(搜索词报告!$A$2:$A$22222,总体数据一览!A681,搜索词报告!$I$2:$I$22222)=0,"",SUMIF(搜索词报告!$A$2:$A$22222,总体数据一览!A681,搜索词报告!$I$2:$I$22222))</f>
        <v/>
      </c>
      <c r="C681" t="str">
        <f>IF(SUMIF(搜索词报告!$A$2:$A$22222,总体数据一览!A681,搜索词报告!$J$2:$J$22222)=0,"",SUMIF(搜索词报告!$A$2:$A$22222,总体数据一览!A681,搜索词报告!$J$2:$J$22222))</f>
        <v/>
      </c>
      <c r="D681" s="2" t="str">
        <f t="shared" si="33"/>
        <v/>
      </c>
      <c r="E681" t="str">
        <f t="shared" si="34"/>
        <v/>
      </c>
      <c r="F681" t="str">
        <f>IF(SUMIF(搜索词报告!$A$2:$A$22222,总体数据一览!A681,搜索词报告!$M$2:$M$22222)=0,"",SUMIF(搜索词报告!$A$2:$A$22222,总体数据一览!A681,搜索词报告!$M$2:$M$22222))</f>
        <v/>
      </c>
      <c r="G681" t="str">
        <f>IFERROR(IF(B681="","",SUMIF(搜索词报告!$A$2:$A$22222,总体数据一览!A681,搜索词报告!$V$2:$V$22222))+IF(B681="","",SUMIF(搜索词报告!$A$2:$A$22222,总体数据一览!A681,搜索词报告!$W$2:$W$22222)),"")</f>
        <v/>
      </c>
      <c r="H681" s="2" t="str">
        <f t="shared" si="35"/>
        <v/>
      </c>
    </row>
    <row r="682" spans="2:8" x14ac:dyDescent="0.15">
      <c r="B682" t="str">
        <f>IF(SUMIF(搜索词报告!$A$2:$A$22222,总体数据一览!A682,搜索词报告!$I$2:$I$22222)=0,"",SUMIF(搜索词报告!$A$2:$A$22222,总体数据一览!A682,搜索词报告!$I$2:$I$22222))</f>
        <v/>
      </c>
      <c r="C682" t="str">
        <f>IF(SUMIF(搜索词报告!$A$2:$A$22222,总体数据一览!A682,搜索词报告!$J$2:$J$22222)=0,"",SUMIF(搜索词报告!$A$2:$A$22222,总体数据一览!A682,搜索词报告!$J$2:$J$22222))</f>
        <v/>
      </c>
      <c r="D682" s="2" t="str">
        <f t="shared" si="33"/>
        <v/>
      </c>
      <c r="E682" t="str">
        <f t="shared" si="34"/>
        <v/>
      </c>
      <c r="F682" t="str">
        <f>IF(SUMIF(搜索词报告!$A$2:$A$22222,总体数据一览!A682,搜索词报告!$M$2:$M$22222)=0,"",SUMIF(搜索词报告!$A$2:$A$22222,总体数据一览!A682,搜索词报告!$M$2:$M$22222))</f>
        <v/>
      </c>
      <c r="G682" t="str">
        <f>IFERROR(IF(B682="","",SUMIF(搜索词报告!$A$2:$A$22222,总体数据一览!A682,搜索词报告!$V$2:$V$22222))+IF(B682="","",SUMIF(搜索词报告!$A$2:$A$22222,总体数据一览!A682,搜索词报告!$W$2:$W$22222)),"")</f>
        <v/>
      </c>
      <c r="H682" s="2" t="str">
        <f t="shared" si="35"/>
        <v/>
      </c>
    </row>
    <row r="683" spans="2:8" x14ac:dyDescent="0.15">
      <c r="B683" t="str">
        <f>IF(SUMIF(搜索词报告!$A$2:$A$22222,总体数据一览!A683,搜索词报告!$I$2:$I$22222)=0,"",SUMIF(搜索词报告!$A$2:$A$22222,总体数据一览!A683,搜索词报告!$I$2:$I$22222))</f>
        <v/>
      </c>
      <c r="C683" t="str">
        <f>IF(SUMIF(搜索词报告!$A$2:$A$22222,总体数据一览!A683,搜索词报告!$J$2:$J$22222)=0,"",SUMIF(搜索词报告!$A$2:$A$22222,总体数据一览!A683,搜索词报告!$J$2:$J$22222))</f>
        <v/>
      </c>
      <c r="D683" s="2" t="str">
        <f t="shared" si="33"/>
        <v/>
      </c>
      <c r="E683" t="str">
        <f t="shared" si="34"/>
        <v/>
      </c>
      <c r="F683" t="str">
        <f>IF(SUMIF(搜索词报告!$A$2:$A$22222,总体数据一览!A683,搜索词报告!$M$2:$M$22222)=0,"",SUMIF(搜索词报告!$A$2:$A$22222,总体数据一览!A683,搜索词报告!$M$2:$M$22222))</f>
        <v/>
      </c>
      <c r="G683" t="str">
        <f>IFERROR(IF(B683="","",SUMIF(搜索词报告!$A$2:$A$22222,总体数据一览!A683,搜索词报告!$V$2:$V$22222))+IF(B683="","",SUMIF(搜索词报告!$A$2:$A$22222,总体数据一览!A683,搜索词报告!$W$2:$W$22222)),"")</f>
        <v/>
      </c>
      <c r="H683" s="2" t="str">
        <f t="shared" si="35"/>
        <v/>
      </c>
    </row>
    <row r="684" spans="2:8" x14ac:dyDescent="0.15">
      <c r="B684" t="str">
        <f>IF(SUMIF(搜索词报告!$A$2:$A$22222,总体数据一览!A684,搜索词报告!$I$2:$I$22222)=0,"",SUMIF(搜索词报告!$A$2:$A$22222,总体数据一览!A684,搜索词报告!$I$2:$I$22222))</f>
        <v/>
      </c>
      <c r="C684" t="str">
        <f>IF(SUMIF(搜索词报告!$A$2:$A$22222,总体数据一览!A684,搜索词报告!$J$2:$J$22222)=0,"",SUMIF(搜索词报告!$A$2:$A$22222,总体数据一览!A684,搜索词报告!$J$2:$J$22222))</f>
        <v/>
      </c>
      <c r="D684" s="2" t="str">
        <f t="shared" si="33"/>
        <v/>
      </c>
      <c r="E684" t="str">
        <f t="shared" si="34"/>
        <v/>
      </c>
      <c r="F684" t="str">
        <f>IF(SUMIF(搜索词报告!$A$2:$A$22222,总体数据一览!A684,搜索词报告!$M$2:$M$22222)=0,"",SUMIF(搜索词报告!$A$2:$A$22222,总体数据一览!A684,搜索词报告!$M$2:$M$22222))</f>
        <v/>
      </c>
      <c r="G684" t="str">
        <f>IFERROR(IF(B684="","",SUMIF(搜索词报告!$A$2:$A$22222,总体数据一览!A684,搜索词报告!$V$2:$V$22222))+IF(B684="","",SUMIF(搜索词报告!$A$2:$A$22222,总体数据一览!A684,搜索词报告!$W$2:$W$22222)),"")</f>
        <v/>
      </c>
      <c r="H684" s="2" t="str">
        <f t="shared" si="35"/>
        <v/>
      </c>
    </row>
    <row r="685" spans="2:8" x14ac:dyDescent="0.15">
      <c r="B685" t="str">
        <f>IF(SUMIF(搜索词报告!$A$2:$A$22222,总体数据一览!A685,搜索词报告!$I$2:$I$22222)=0,"",SUMIF(搜索词报告!$A$2:$A$22222,总体数据一览!A685,搜索词报告!$I$2:$I$22222))</f>
        <v/>
      </c>
      <c r="C685" t="str">
        <f>IF(SUMIF(搜索词报告!$A$2:$A$22222,总体数据一览!A685,搜索词报告!$J$2:$J$22222)=0,"",SUMIF(搜索词报告!$A$2:$A$22222,总体数据一览!A685,搜索词报告!$J$2:$J$22222))</f>
        <v/>
      </c>
      <c r="D685" s="2" t="str">
        <f t="shared" si="33"/>
        <v/>
      </c>
      <c r="E685" t="str">
        <f t="shared" si="34"/>
        <v/>
      </c>
      <c r="F685" t="str">
        <f>IF(SUMIF(搜索词报告!$A$2:$A$22222,总体数据一览!A685,搜索词报告!$M$2:$M$22222)=0,"",SUMIF(搜索词报告!$A$2:$A$22222,总体数据一览!A685,搜索词报告!$M$2:$M$22222))</f>
        <v/>
      </c>
      <c r="G685" t="str">
        <f>IFERROR(IF(B685="","",SUMIF(搜索词报告!$A$2:$A$22222,总体数据一览!A685,搜索词报告!$V$2:$V$22222))+IF(B685="","",SUMIF(搜索词报告!$A$2:$A$22222,总体数据一览!A685,搜索词报告!$W$2:$W$22222)),"")</f>
        <v/>
      </c>
      <c r="H685" s="2" t="str">
        <f t="shared" si="35"/>
        <v/>
      </c>
    </row>
    <row r="686" spans="2:8" x14ac:dyDescent="0.15">
      <c r="B686" t="str">
        <f>IF(SUMIF(搜索词报告!$A$2:$A$22222,总体数据一览!A686,搜索词报告!$I$2:$I$22222)=0,"",SUMIF(搜索词报告!$A$2:$A$22222,总体数据一览!A686,搜索词报告!$I$2:$I$22222))</f>
        <v/>
      </c>
      <c r="C686" t="str">
        <f>IF(SUMIF(搜索词报告!$A$2:$A$22222,总体数据一览!A686,搜索词报告!$J$2:$J$22222)=0,"",SUMIF(搜索词报告!$A$2:$A$22222,总体数据一览!A686,搜索词报告!$J$2:$J$22222))</f>
        <v/>
      </c>
      <c r="D686" s="2" t="str">
        <f t="shared" si="33"/>
        <v/>
      </c>
      <c r="E686" t="str">
        <f t="shared" si="34"/>
        <v/>
      </c>
      <c r="F686" t="str">
        <f>IF(SUMIF(搜索词报告!$A$2:$A$22222,总体数据一览!A686,搜索词报告!$M$2:$M$22222)=0,"",SUMIF(搜索词报告!$A$2:$A$22222,总体数据一览!A686,搜索词报告!$M$2:$M$22222))</f>
        <v/>
      </c>
      <c r="G686" t="str">
        <f>IFERROR(IF(B686="","",SUMIF(搜索词报告!$A$2:$A$22222,总体数据一览!A686,搜索词报告!$V$2:$V$22222))+IF(B686="","",SUMIF(搜索词报告!$A$2:$A$22222,总体数据一览!A686,搜索词报告!$W$2:$W$22222)),"")</f>
        <v/>
      </c>
      <c r="H686" s="2" t="str">
        <f t="shared" si="35"/>
        <v/>
      </c>
    </row>
    <row r="687" spans="2:8" x14ac:dyDescent="0.15">
      <c r="B687" t="str">
        <f>IF(SUMIF(搜索词报告!$A$2:$A$22222,总体数据一览!A687,搜索词报告!$I$2:$I$22222)=0,"",SUMIF(搜索词报告!$A$2:$A$22222,总体数据一览!A687,搜索词报告!$I$2:$I$22222))</f>
        <v/>
      </c>
      <c r="C687" t="str">
        <f>IF(SUMIF(搜索词报告!$A$2:$A$22222,总体数据一览!A687,搜索词报告!$J$2:$J$22222)=0,"",SUMIF(搜索词报告!$A$2:$A$22222,总体数据一览!A687,搜索词报告!$J$2:$J$22222))</f>
        <v/>
      </c>
      <c r="D687" s="2" t="str">
        <f t="shared" si="33"/>
        <v/>
      </c>
      <c r="E687" t="str">
        <f t="shared" si="34"/>
        <v/>
      </c>
      <c r="F687" t="str">
        <f>IF(SUMIF(搜索词报告!$A$2:$A$22222,总体数据一览!A687,搜索词报告!$M$2:$M$22222)=0,"",SUMIF(搜索词报告!$A$2:$A$22222,总体数据一览!A687,搜索词报告!$M$2:$M$22222))</f>
        <v/>
      </c>
      <c r="G687" t="str">
        <f>IFERROR(IF(B687="","",SUMIF(搜索词报告!$A$2:$A$22222,总体数据一览!A687,搜索词报告!$V$2:$V$22222))+IF(B687="","",SUMIF(搜索词报告!$A$2:$A$22222,总体数据一览!A687,搜索词报告!$W$2:$W$22222)),"")</f>
        <v/>
      </c>
      <c r="H687" s="2" t="str">
        <f t="shared" si="35"/>
        <v/>
      </c>
    </row>
    <row r="688" spans="2:8" x14ac:dyDescent="0.15">
      <c r="B688" t="str">
        <f>IF(SUMIF(搜索词报告!$A$2:$A$22222,总体数据一览!A688,搜索词报告!$I$2:$I$22222)=0,"",SUMIF(搜索词报告!$A$2:$A$22222,总体数据一览!A688,搜索词报告!$I$2:$I$22222))</f>
        <v/>
      </c>
      <c r="C688" t="str">
        <f>IF(SUMIF(搜索词报告!$A$2:$A$22222,总体数据一览!A688,搜索词报告!$J$2:$J$22222)=0,"",SUMIF(搜索词报告!$A$2:$A$22222,总体数据一览!A688,搜索词报告!$J$2:$J$22222))</f>
        <v/>
      </c>
      <c r="D688" s="2" t="str">
        <f t="shared" si="33"/>
        <v/>
      </c>
      <c r="E688" t="str">
        <f t="shared" si="34"/>
        <v/>
      </c>
      <c r="F688" t="str">
        <f>IF(SUMIF(搜索词报告!$A$2:$A$22222,总体数据一览!A688,搜索词报告!$M$2:$M$22222)=0,"",SUMIF(搜索词报告!$A$2:$A$22222,总体数据一览!A688,搜索词报告!$M$2:$M$22222))</f>
        <v/>
      </c>
      <c r="G688" t="str">
        <f>IFERROR(IF(B688="","",SUMIF(搜索词报告!$A$2:$A$22222,总体数据一览!A688,搜索词报告!$V$2:$V$22222))+IF(B688="","",SUMIF(搜索词报告!$A$2:$A$22222,总体数据一览!A688,搜索词报告!$W$2:$W$22222)),"")</f>
        <v/>
      </c>
      <c r="H688" s="2" t="str">
        <f t="shared" si="35"/>
        <v/>
      </c>
    </row>
    <row r="689" spans="2:8" x14ac:dyDescent="0.15">
      <c r="B689" t="str">
        <f>IF(SUMIF(搜索词报告!$A$2:$A$22222,总体数据一览!A689,搜索词报告!$I$2:$I$22222)=0,"",SUMIF(搜索词报告!$A$2:$A$22222,总体数据一览!A689,搜索词报告!$I$2:$I$22222))</f>
        <v/>
      </c>
      <c r="C689" t="str">
        <f>IF(SUMIF(搜索词报告!$A$2:$A$22222,总体数据一览!A689,搜索词报告!$J$2:$J$22222)=0,"",SUMIF(搜索词报告!$A$2:$A$22222,总体数据一览!A689,搜索词报告!$J$2:$J$22222))</f>
        <v/>
      </c>
      <c r="D689" s="2" t="str">
        <f t="shared" si="33"/>
        <v/>
      </c>
      <c r="E689" t="str">
        <f t="shared" si="34"/>
        <v/>
      </c>
      <c r="F689" t="str">
        <f>IF(SUMIF(搜索词报告!$A$2:$A$22222,总体数据一览!A689,搜索词报告!$M$2:$M$22222)=0,"",SUMIF(搜索词报告!$A$2:$A$22222,总体数据一览!A689,搜索词报告!$M$2:$M$22222))</f>
        <v/>
      </c>
      <c r="G689" t="str">
        <f>IFERROR(IF(B689="","",SUMIF(搜索词报告!$A$2:$A$22222,总体数据一览!A689,搜索词报告!$V$2:$V$22222))+IF(B689="","",SUMIF(搜索词报告!$A$2:$A$22222,总体数据一览!A689,搜索词报告!$W$2:$W$22222)),"")</f>
        <v/>
      </c>
      <c r="H689" s="2" t="str">
        <f t="shared" si="35"/>
        <v/>
      </c>
    </row>
    <row r="690" spans="2:8" x14ac:dyDescent="0.15">
      <c r="B690" t="str">
        <f>IF(SUMIF(搜索词报告!$A$2:$A$22222,总体数据一览!A690,搜索词报告!$I$2:$I$22222)=0,"",SUMIF(搜索词报告!$A$2:$A$22222,总体数据一览!A690,搜索词报告!$I$2:$I$22222))</f>
        <v/>
      </c>
      <c r="C690" t="str">
        <f>IF(SUMIF(搜索词报告!$A$2:$A$22222,总体数据一览!A690,搜索词报告!$J$2:$J$22222)=0,"",SUMIF(搜索词报告!$A$2:$A$22222,总体数据一览!A690,搜索词报告!$J$2:$J$22222))</f>
        <v/>
      </c>
      <c r="D690" s="2" t="str">
        <f t="shared" si="33"/>
        <v/>
      </c>
      <c r="E690" t="str">
        <f t="shared" si="34"/>
        <v/>
      </c>
      <c r="F690" t="str">
        <f>IF(SUMIF(搜索词报告!$A$2:$A$22222,总体数据一览!A690,搜索词报告!$M$2:$M$22222)=0,"",SUMIF(搜索词报告!$A$2:$A$22222,总体数据一览!A690,搜索词报告!$M$2:$M$22222))</f>
        <v/>
      </c>
      <c r="G690" t="str">
        <f>IFERROR(IF(B690="","",SUMIF(搜索词报告!$A$2:$A$22222,总体数据一览!A690,搜索词报告!$V$2:$V$22222))+IF(B690="","",SUMIF(搜索词报告!$A$2:$A$22222,总体数据一览!A690,搜索词报告!$W$2:$W$22222)),"")</f>
        <v/>
      </c>
      <c r="H690" s="2" t="str">
        <f t="shared" si="35"/>
        <v/>
      </c>
    </row>
    <row r="691" spans="2:8" x14ac:dyDescent="0.15">
      <c r="B691" t="str">
        <f>IF(SUMIF(搜索词报告!$A$2:$A$22222,总体数据一览!A691,搜索词报告!$I$2:$I$22222)=0,"",SUMIF(搜索词报告!$A$2:$A$22222,总体数据一览!A691,搜索词报告!$I$2:$I$22222))</f>
        <v/>
      </c>
      <c r="C691" t="str">
        <f>IF(SUMIF(搜索词报告!$A$2:$A$22222,总体数据一览!A691,搜索词报告!$J$2:$J$22222)=0,"",SUMIF(搜索词报告!$A$2:$A$22222,总体数据一览!A691,搜索词报告!$J$2:$J$22222))</f>
        <v/>
      </c>
      <c r="D691" s="2" t="str">
        <f t="shared" si="33"/>
        <v/>
      </c>
      <c r="E691" t="str">
        <f t="shared" si="34"/>
        <v/>
      </c>
      <c r="F691" t="str">
        <f>IF(SUMIF(搜索词报告!$A$2:$A$22222,总体数据一览!A691,搜索词报告!$M$2:$M$22222)=0,"",SUMIF(搜索词报告!$A$2:$A$22222,总体数据一览!A691,搜索词报告!$M$2:$M$22222))</f>
        <v/>
      </c>
      <c r="G691" t="str">
        <f>IFERROR(IF(B691="","",SUMIF(搜索词报告!$A$2:$A$22222,总体数据一览!A691,搜索词报告!$V$2:$V$22222))+IF(B691="","",SUMIF(搜索词报告!$A$2:$A$22222,总体数据一览!A691,搜索词报告!$W$2:$W$22222)),"")</f>
        <v/>
      </c>
      <c r="H691" s="2" t="str">
        <f t="shared" si="35"/>
        <v/>
      </c>
    </row>
    <row r="692" spans="2:8" x14ac:dyDescent="0.15">
      <c r="B692" t="str">
        <f>IF(SUMIF(搜索词报告!$A$2:$A$22222,总体数据一览!A692,搜索词报告!$I$2:$I$22222)=0,"",SUMIF(搜索词报告!$A$2:$A$22222,总体数据一览!A692,搜索词报告!$I$2:$I$22222))</f>
        <v/>
      </c>
      <c r="C692" t="str">
        <f>IF(SUMIF(搜索词报告!$A$2:$A$22222,总体数据一览!A692,搜索词报告!$J$2:$J$22222)=0,"",SUMIF(搜索词报告!$A$2:$A$22222,总体数据一览!A692,搜索词报告!$J$2:$J$22222))</f>
        <v/>
      </c>
      <c r="D692" s="2" t="str">
        <f t="shared" si="33"/>
        <v/>
      </c>
      <c r="E692" t="str">
        <f t="shared" si="34"/>
        <v/>
      </c>
      <c r="F692" t="str">
        <f>IF(SUMIF(搜索词报告!$A$2:$A$22222,总体数据一览!A692,搜索词报告!$M$2:$M$22222)=0,"",SUMIF(搜索词报告!$A$2:$A$22222,总体数据一览!A692,搜索词报告!$M$2:$M$22222))</f>
        <v/>
      </c>
      <c r="G692" t="str">
        <f>IFERROR(IF(B692="","",SUMIF(搜索词报告!$A$2:$A$22222,总体数据一览!A692,搜索词报告!$V$2:$V$22222))+IF(B692="","",SUMIF(搜索词报告!$A$2:$A$22222,总体数据一览!A692,搜索词报告!$W$2:$W$22222)),"")</f>
        <v/>
      </c>
      <c r="H692" s="2" t="str">
        <f t="shared" si="35"/>
        <v/>
      </c>
    </row>
    <row r="693" spans="2:8" x14ac:dyDescent="0.15">
      <c r="B693" t="str">
        <f>IF(SUMIF(搜索词报告!$A$2:$A$22222,总体数据一览!A693,搜索词报告!$I$2:$I$22222)=0,"",SUMIF(搜索词报告!$A$2:$A$22222,总体数据一览!A693,搜索词报告!$I$2:$I$22222))</f>
        <v/>
      </c>
      <c r="C693" t="str">
        <f>IF(SUMIF(搜索词报告!$A$2:$A$22222,总体数据一览!A693,搜索词报告!$J$2:$J$22222)=0,"",SUMIF(搜索词报告!$A$2:$A$22222,总体数据一览!A693,搜索词报告!$J$2:$J$22222))</f>
        <v/>
      </c>
      <c r="D693" s="2" t="str">
        <f t="shared" si="33"/>
        <v/>
      </c>
      <c r="E693" t="str">
        <f t="shared" si="34"/>
        <v/>
      </c>
      <c r="F693" t="str">
        <f>IF(SUMIF(搜索词报告!$A$2:$A$22222,总体数据一览!A693,搜索词报告!$M$2:$M$22222)=0,"",SUMIF(搜索词报告!$A$2:$A$22222,总体数据一览!A693,搜索词报告!$M$2:$M$22222))</f>
        <v/>
      </c>
      <c r="G693" t="str">
        <f>IFERROR(IF(B693="","",SUMIF(搜索词报告!$A$2:$A$22222,总体数据一览!A693,搜索词报告!$V$2:$V$22222))+IF(B693="","",SUMIF(搜索词报告!$A$2:$A$22222,总体数据一览!A693,搜索词报告!$W$2:$W$22222)),"")</f>
        <v/>
      </c>
      <c r="H693" s="2" t="str">
        <f t="shared" si="35"/>
        <v/>
      </c>
    </row>
    <row r="694" spans="2:8" x14ac:dyDescent="0.15">
      <c r="B694" t="str">
        <f>IF(SUMIF(搜索词报告!$A$2:$A$22222,总体数据一览!A694,搜索词报告!$I$2:$I$22222)=0,"",SUMIF(搜索词报告!$A$2:$A$22222,总体数据一览!A694,搜索词报告!$I$2:$I$22222))</f>
        <v/>
      </c>
      <c r="C694" t="str">
        <f>IF(SUMIF(搜索词报告!$A$2:$A$22222,总体数据一览!A694,搜索词报告!$J$2:$J$22222)=0,"",SUMIF(搜索词报告!$A$2:$A$22222,总体数据一览!A694,搜索词报告!$J$2:$J$22222))</f>
        <v/>
      </c>
      <c r="D694" s="2" t="str">
        <f t="shared" si="33"/>
        <v/>
      </c>
      <c r="E694" t="str">
        <f t="shared" si="34"/>
        <v/>
      </c>
      <c r="F694" t="str">
        <f>IF(SUMIF(搜索词报告!$A$2:$A$22222,总体数据一览!A694,搜索词报告!$M$2:$M$22222)=0,"",SUMIF(搜索词报告!$A$2:$A$22222,总体数据一览!A694,搜索词报告!$M$2:$M$22222))</f>
        <v/>
      </c>
      <c r="G694" t="str">
        <f>IFERROR(IF(B694="","",SUMIF(搜索词报告!$A$2:$A$22222,总体数据一览!A694,搜索词报告!$V$2:$V$22222))+IF(B694="","",SUMIF(搜索词报告!$A$2:$A$22222,总体数据一览!A694,搜索词报告!$W$2:$W$22222)),"")</f>
        <v/>
      </c>
      <c r="H694" s="2" t="str">
        <f t="shared" si="35"/>
        <v/>
      </c>
    </row>
    <row r="695" spans="2:8" x14ac:dyDescent="0.15">
      <c r="B695" t="str">
        <f>IF(SUMIF(搜索词报告!$A$2:$A$22222,总体数据一览!A695,搜索词报告!$I$2:$I$22222)=0,"",SUMIF(搜索词报告!$A$2:$A$22222,总体数据一览!A695,搜索词报告!$I$2:$I$22222))</f>
        <v/>
      </c>
      <c r="C695" t="str">
        <f>IF(SUMIF(搜索词报告!$A$2:$A$22222,总体数据一览!A695,搜索词报告!$J$2:$J$22222)=0,"",SUMIF(搜索词报告!$A$2:$A$22222,总体数据一览!A695,搜索词报告!$J$2:$J$22222))</f>
        <v/>
      </c>
      <c r="D695" s="2" t="str">
        <f t="shared" si="33"/>
        <v/>
      </c>
      <c r="E695" t="str">
        <f t="shared" si="34"/>
        <v/>
      </c>
      <c r="F695" t="str">
        <f>IF(SUMIF(搜索词报告!$A$2:$A$22222,总体数据一览!A695,搜索词报告!$M$2:$M$22222)=0,"",SUMIF(搜索词报告!$A$2:$A$22222,总体数据一览!A695,搜索词报告!$M$2:$M$22222))</f>
        <v/>
      </c>
      <c r="G695" t="str">
        <f>IFERROR(IF(B695="","",SUMIF(搜索词报告!$A$2:$A$22222,总体数据一览!A695,搜索词报告!$V$2:$V$22222))+IF(B695="","",SUMIF(搜索词报告!$A$2:$A$22222,总体数据一览!A695,搜索词报告!$W$2:$W$22222)),"")</f>
        <v/>
      </c>
      <c r="H695" s="2" t="str">
        <f t="shared" si="35"/>
        <v/>
      </c>
    </row>
    <row r="696" spans="2:8" x14ac:dyDescent="0.15">
      <c r="B696" t="str">
        <f>IF(SUMIF(搜索词报告!$A$2:$A$22222,总体数据一览!A696,搜索词报告!$I$2:$I$22222)=0,"",SUMIF(搜索词报告!$A$2:$A$22222,总体数据一览!A696,搜索词报告!$I$2:$I$22222))</f>
        <v/>
      </c>
      <c r="C696" t="str">
        <f>IF(SUMIF(搜索词报告!$A$2:$A$22222,总体数据一览!A696,搜索词报告!$J$2:$J$22222)=0,"",SUMIF(搜索词报告!$A$2:$A$22222,总体数据一览!A696,搜索词报告!$J$2:$J$22222))</f>
        <v/>
      </c>
      <c r="D696" s="2" t="str">
        <f t="shared" si="33"/>
        <v/>
      </c>
      <c r="E696" t="str">
        <f t="shared" si="34"/>
        <v/>
      </c>
      <c r="F696" t="str">
        <f>IF(SUMIF(搜索词报告!$A$2:$A$22222,总体数据一览!A696,搜索词报告!$M$2:$M$22222)=0,"",SUMIF(搜索词报告!$A$2:$A$22222,总体数据一览!A696,搜索词报告!$M$2:$M$22222))</f>
        <v/>
      </c>
      <c r="G696" t="str">
        <f>IFERROR(IF(B696="","",SUMIF(搜索词报告!$A$2:$A$22222,总体数据一览!A696,搜索词报告!$V$2:$V$22222))+IF(B696="","",SUMIF(搜索词报告!$A$2:$A$22222,总体数据一览!A696,搜索词报告!$W$2:$W$22222)),"")</f>
        <v/>
      </c>
      <c r="H696" s="2" t="str">
        <f t="shared" si="35"/>
        <v/>
      </c>
    </row>
    <row r="697" spans="2:8" x14ac:dyDescent="0.15">
      <c r="B697" t="str">
        <f>IF(SUMIF(搜索词报告!$A$2:$A$22222,总体数据一览!A697,搜索词报告!$I$2:$I$22222)=0,"",SUMIF(搜索词报告!$A$2:$A$22222,总体数据一览!A697,搜索词报告!$I$2:$I$22222))</f>
        <v/>
      </c>
      <c r="C697" t="str">
        <f>IF(SUMIF(搜索词报告!$A$2:$A$22222,总体数据一览!A697,搜索词报告!$J$2:$J$22222)=0,"",SUMIF(搜索词报告!$A$2:$A$22222,总体数据一览!A697,搜索词报告!$J$2:$J$22222))</f>
        <v/>
      </c>
      <c r="D697" s="2" t="str">
        <f t="shared" si="33"/>
        <v/>
      </c>
      <c r="E697" t="str">
        <f t="shared" si="34"/>
        <v/>
      </c>
      <c r="F697" t="str">
        <f>IF(SUMIF(搜索词报告!$A$2:$A$22222,总体数据一览!A697,搜索词报告!$M$2:$M$22222)=0,"",SUMIF(搜索词报告!$A$2:$A$22222,总体数据一览!A697,搜索词报告!$M$2:$M$22222))</f>
        <v/>
      </c>
      <c r="G697" t="str">
        <f>IFERROR(IF(B697="","",SUMIF(搜索词报告!$A$2:$A$22222,总体数据一览!A697,搜索词报告!$V$2:$V$22222))+IF(B697="","",SUMIF(搜索词报告!$A$2:$A$22222,总体数据一览!A697,搜索词报告!$W$2:$W$22222)),"")</f>
        <v/>
      </c>
      <c r="H697" s="2" t="str">
        <f t="shared" si="35"/>
        <v/>
      </c>
    </row>
    <row r="698" spans="2:8" x14ac:dyDescent="0.15">
      <c r="B698" t="str">
        <f>IF(SUMIF(搜索词报告!$A$2:$A$22222,总体数据一览!A698,搜索词报告!$I$2:$I$22222)=0,"",SUMIF(搜索词报告!$A$2:$A$22222,总体数据一览!A698,搜索词报告!$I$2:$I$22222))</f>
        <v/>
      </c>
      <c r="C698" t="str">
        <f>IF(SUMIF(搜索词报告!$A$2:$A$22222,总体数据一览!A698,搜索词报告!$J$2:$J$22222)=0,"",SUMIF(搜索词报告!$A$2:$A$22222,总体数据一览!A698,搜索词报告!$J$2:$J$22222))</f>
        <v/>
      </c>
      <c r="D698" s="2" t="str">
        <f t="shared" si="33"/>
        <v/>
      </c>
      <c r="E698" t="str">
        <f t="shared" si="34"/>
        <v/>
      </c>
      <c r="F698" t="str">
        <f>IF(SUMIF(搜索词报告!$A$2:$A$22222,总体数据一览!A698,搜索词报告!$M$2:$M$22222)=0,"",SUMIF(搜索词报告!$A$2:$A$22222,总体数据一览!A698,搜索词报告!$M$2:$M$22222))</f>
        <v/>
      </c>
      <c r="G698" t="str">
        <f>IFERROR(IF(B698="","",SUMIF(搜索词报告!$A$2:$A$22222,总体数据一览!A698,搜索词报告!$V$2:$V$22222))+IF(B698="","",SUMIF(搜索词报告!$A$2:$A$22222,总体数据一览!A698,搜索词报告!$W$2:$W$22222)),"")</f>
        <v/>
      </c>
      <c r="H698" s="2" t="str">
        <f t="shared" si="35"/>
        <v/>
      </c>
    </row>
    <row r="699" spans="2:8" x14ac:dyDescent="0.15">
      <c r="B699" t="str">
        <f>IF(SUMIF(搜索词报告!$A$2:$A$22222,总体数据一览!A699,搜索词报告!$I$2:$I$22222)=0,"",SUMIF(搜索词报告!$A$2:$A$22222,总体数据一览!A699,搜索词报告!$I$2:$I$22222))</f>
        <v/>
      </c>
      <c r="C699" t="str">
        <f>IF(SUMIF(搜索词报告!$A$2:$A$22222,总体数据一览!A699,搜索词报告!$J$2:$J$22222)=0,"",SUMIF(搜索词报告!$A$2:$A$22222,总体数据一览!A699,搜索词报告!$J$2:$J$22222))</f>
        <v/>
      </c>
      <c r="D699" s="2" t="str">
        <f t="shared" si="33"/>
        <v/>
      </c>
      <c r="E699" t="str">
        <f t="shared" si="34"/>
        <v/>
      </c>
      <c r="F699" t="str">
        <f>IF(SUMIF(搜索词报告!$A$2:$A$22222,总体数据一览!A699,搜索词报告!$M$2:$M$22222)=0,"",SUMIF(搜索词报告!$A$2:$A$22222,总体数据一览!A699,搜索词报告!$M$2:$M$22222))</f>
        <v/>
      </c>
      <c r="G699" t="str">
        <f>IFERROR(IF(B699="","",SUMIF(搜索词报告!$A$2:$A$22222,总体数据一览!A699,搜索词报告!$V$2:$V$22222))+IF(B699="","",SUMIF(搜索词报告!$A$2:$A$22222,总体数据一览!A699,搜索词报告!$W$2:$W$22222)),"")</f>
        <v/>
      </c>
      <c r="H699" s="2" t="str">
        <f t="shared" si="35"/>
        <v/>
      </c>
    </row>
    <row r="700" spans="2:8" x14ac:dyDescent="0.15">
      <c r="B700" t="str">
        <f>IF(SUMIF(搜索词报告!$A$2:$A$22222,总体数据一览!A700,搜索词报告!$I$2:$I$22222)=0,"",SUMIF(搜索词报告!$A$2:$A$22222,总体数据一览!A700,搜索词报告!$I$2:$I$22222))</f>
        <v/>
      </c>
      <c r="C700" t="str">
        <f>IF(SUMIF(搜索词报告!$A$2:$A$22222,总体数据一览!A700,搜索词报告!$J$2:$J$22222)=0,"",SUMIF(搜索词报告!$A$2:$A$22222,总体数据一览!A700,搜索词报告!$J$2:$J$22222))</f>
        <v/>
      </c>
      <c r="D700" s="2" t="str">
        <f t="shared" si="33"/>
        <v/>
      </c>
      <c r="E700" t="str">
        <f t="shared" si="34"/>
        <v/>
      </c>
      <c r="F700" t="str">
        <f>IF(SUMIF(搜索词报告!$A$2:$A$22222,总体数据一览!A700,搜索词报告!$M$2:$M$22222)=0,"",SUMIF(搜索词报告!$A$2:$A$22222,总体数据一览!A700,搜索词报告!$M$2:$M$22222))</f>
        <v/>
      </c>
      <c r="G700" t="str">
        <f>IFERROR(IF(B700="","",SUMIF(搜索词报告!$A$2:$A$22222,总体数据一览!A700,搜索词报告!$V$2:$V$22222))+IF(B700="","",SUMIF(搜索词报告!$A$2:$A$22222,总体数据一览!A700,搜索词报告!$W$2:$W$22222)),"")</f>
        <v/>
      </c>
      <c r="H700" s="2" t="str">
        <f t="shared" si="35"/>
        <v/>
      </c>
    </row>
    <row r="701" spans="2:8" x14ac:dyDescent="0.15">
      <c r="B701" t="str">
        <f>IF(SUMIF(搜索词报告!$A$2:$A$22222,总体数据一览!A701,搜索词报告!$I$2:$I$22222)=0,"",SUMIF(搜索词报告!$A$2:$A$22222,总体数据一览!A701,搜索词报告!$I$2:$I$22222))</f>
        <v/>
      </c>
      <c r="C701" t="str">
        <f>IF(SUMIF(搜索词报告!$A$2:$A$22222,总体数据一览!A701,搜索词报告!$J$2:$J$22222)=0,"",SUMIF(搜索词报告!$A$2:$A$22222,总体数据一览!A701,搜索词报告!$J$2:$J$22222))</f>
        <v/>
      </c>
      <c r="D701" s="2" t="str">
        <f t="shared" si="33"/>
        <v/>
      </c>
      <c r="E701" t="str">
        <f t="shared" si="34"/>
        <v/>
      </c>
      <c r="F701" t="str">
        <f>IF(SUMIF(搜索词报告!$A$2:$A$22222,总体数据一览!A701,搜索词报告!$M$2:$M$22222)=0,"",SUMIF(搜索词报告!$A$2:$A$22222,总体数据一览!A701,搜索词报告!$M$2:$M$22222))</f>
        <v/>
      </c>
      <c r="G701" t="str">
        <f>IFERROR(IF(B701="","",SUMIF(搜索词报告!$A$2:$A$22222,总体数据一览!A701,搜索词报告!$V$2:$V$22222))+IF(B701="","",SUMIF(搜索词报告!$A$2:$A$22222,总体数据一览!A701,搜索词报告!$W$2:$W$22222)),"")</f>
        <v/>
      </c>
      <c r="H701" s="2" t="str">
        <f t="shared" si="35"/>
        <v/>
      </c>
    </row>
    <row r="702" spans="2:8" x14ac:dyDescent="0.15">
      <c r="B702" t="str">
        <f>IF(SUMIF(搜索词报告!$A$2:$A$22222,总体数据一览!A702,搜索词报告!$I$2:$I$22222)=0,"",SUMIF(搜索词报告!$A$2:$A$22222,总体数据一览!A702,搜索词报告!$I$2:$I$22222))</f>
        <v/>
      </c>
      <c r="C702" t="str">
        <f>IF(SUMIF(搜索词报告!$A$2:$A$22222,总体数据一览!A702,搜索词报告!$J$2:$J$22222)=0,"",SUMIF(搜索词报告!$A$2:$A$22222,总体数据一览!A702,搜索词报告!$J$2:$J$22222))</f>
        <v/>
      </c>
      <c r="D702" s="2" t="str">
        <f t="shared" si="33"/>
        <v/>
      </c>
      <c r="E702" t="str">
        <f t="shared" si="34"/>
        <v/>
      </c>
      <c r="F702" t="str">
        <f>IF(SUMIF(搜索词报告!$A$2:$A$22222,总体数据一览!A702,搜索词报告!$M$2:$M$22222)=0,"",SUMIF(搜索词报告!$A$2:$A$22222,总体数据一览!A702,搜索词报告!$M$2:$M$22222))</f>
        <v/>
      </c>
      <c r="G702" t="str">
        <f>IFERROR(IF(B702="","",SUMIF(搜索词报告!$A$2:$A$22222,总体数据一览!A702,搜索词报告!$V$2:$V$22222))+IF(B702="","",SUMIF(搜索词报告!$A$2:$A$22222,总体数据一览!A702,搜索词报告!$W$2:$W$22222)),"")</f>
        <v/>
      </c>
      <c r="H702" s="2" t="str">
        <f t="shared" si="35"/>
        <v/>
      </c>
    </row>
    <row r="703" spans="2:8" x14ac:dyDescent="0.15">
      <c r="B703" t="str">
        <f>IF(SUMIF(搜索词报告!$A$2:$A$22222,总体数据一览!A703,搜索词报告!$I$2:$I$22222)=0,"",SUMIF(搜索词报告!$A$2:$A$22222,总体数据一览!A703,搜索词报告!$I$2:$I$22222))</f>
        <v/>
      </c>
      <c r="C703" t="str">
        <f>IF(SUMIF(搜索词报告!$A$2:$A$22222,总体数据一览!A703,搜索词报告!$J$2:$J$22222)=0,"",SUMIF(搜索词报告!$A$2:$A$22222,总体数据一览!A703,搜索词报告!$J$2:$J$22222))</f>
        <v/>
      </c>
      <c r="D703" s="2" t="str">
        <f t="shared" si="33"/>
        <v/>
      </c>
      <c r="E703" t="str">
        <f t="shared" si="34"/>
        <v/>
      </c>
      <c r="F703" t="str">
        <f>IF(SUMIF(搜索词报告!$A$2:$A$22222,总体数据一览!A703,搜索词报告!$M$2:$M$22222)=0,"",SUMIF(搜索词报告!$A$2:$A$22222,总体数据一览!A703,搜索词报告!$M$2:$M$22222))</f>
        <v/>
      </c>
      <c r="G703" t="str">
        <f>IFERROR(IF(B703="","",SUMIF(搜索词报告!$A$2:$A$22222,总体数据一览!A703,搜索词报告!$V$2:$V$22222))+IF(B703="","",SUMIF(搜索词报告!$A$2:$A$22222,总体数据一览!A703,搜索词报告!$W$2:$W$22222)),"")</f>
        <v/>
      </c>
      <c r="H703" s="2" t="str">
        <f t="shared" si="35"/>
        <v/>
      </c>
    </row>
    <row r="704" spans="2:8" x14ac:dyDescent="0.15">
      <c r="B704" t="str">
        <f>IF(SUMIF(搜索词报告!$A$2:$A$22222,总体数据一览!A704,搜索词报告!$I$2:$I$22222)=0,"",SUMIF(搜索词报告!$A$2:$A$22222,总体数据一览!A704,搜索词报告!$I$2:$I$22222))</f>
        <v/>
      </c>
      <c r="C704" t="str">
        <f>IF(SUMIF(搜索词报告!$A$2:$A$22222,总体数据一览!A704,搜索词报告!$J$2:$J$22222)=0,"",SUMIF(搜索词报告!$A$2:$A$22222,总体数据一览!A704,搜索词报告!$J$2:$J$22222))</f>
        <v/>
      </c>
      <c r="D704" s="2" t="str">
        <f t="shared" si="33"/>
        <v/>
      </c>
      <c r="E704" t="str">
        <f t="shared" si="34"/>
        <v/>
      </c>
      <c r="F704" t="str">
        <f>IF(SUMIF(搜索词报告!$A$2:$A$22222,总体数据一览!A704,搜索词报告!$M$2:$M$22222)=0,"",SUMIF(搜索词报告!$A$2:$A$22222,总体数据一览!A704,搜索词报告!$M$2:$M$22222))</f>
        <v/>
      </c>
      <c r="G704" t="str">
        <f>IFERROR(IF(B704="","",SUMIF(搜索词报告!$A$2:$A$22222,总体数据一览!A704,搜索词报告!$V$2:$V$22222))+IF(B704="","",SUMIF(搜索词报告!$A$2:$A$22222,总体数据一览!A704,搜索词报告!$W$2:$W$22222)),"")</f>
        <v/>
      </c>
      <c r="H704" s="2" t="str">
        <f t="shared" si="35"/>
        <v/>
      </c>
    </row>
    <row r="705" spans="2:8" x14ac:dyDescent="0.15">
      <c r="B705" t="str">
        <f>IF(SUMIF(搜索词报告!$A$2:$A$22222,总体数据一览!A705,搜索词报告!$I$2:$I$22222)=0,"",SUMIF(搜索词报告!$A$2:$A$22222,总体数据一览!A705,搜索词报告!$I$2:$I$22222))</f>
        <v/>
      </c>
      <c r="C705" t="str">
        <f>IF(SUMIF(搜索词报告!$A$2:$A$22222,总体数据一览!A705,搜索词报告!$J$2:$J$22222)=0,"",SUMIF(搜索词报告!$A$2:$A$22222,总体数据一览!A705,搜索词报告!$J$2:$J$22222))</f>
        <v/>
      </c>
      <c r="D705" s="2" t="str">
        <f t="shared" si="33"/>
        <v/>
      </c>
      <c r="E705" t="str">
        <f t="shared" si="34"/>
        <v/>
      </c>
      <c r="F705" t="str">
        <f>IF(SUMIF(搜索词报告!$A$2:$A$22222,总体数据一览!A705,搜索词报告!$M$2:$M$22222)=0,"",SUMIF(搜索词报告!$A$2:$A$22222,总体数据一览!A705,搜索词报告!$M$2:$M$22222))</f>
        <v/>
      </c>
      <c r="G705" t="str">
        <f>IFERROR(IF(B705="","",SUMIF(搜索词报告!$A$2:$A$22222,总体数据一览!A705,搜索词报告!$V$2:$V$22222))+IF(B705="","",SUMIF(搜索词报告!$A$2:$A$22222,总体数据一览!A705,搜索词报告!$W$2:$W$22222)),"")</f>
        <v/>
      </c>
      <c r="H705" s="2" t="str">
        <f t="shared" si="35"/>
        <v/>
      </c>
    </row>
    <row r="706" spans="2:8" x14ac:dyDescent="0.15">
      <c r="B706" t="str">
        <f>IF(SUMIF(搜索词报告!$A$2:$A$22222,总体数据一览!A706,搜索词报告!$I$2:$I$22222)=0,"",SUMIF(搜索词报告!$A$2:$A$22222,总体数据一览!A706,搜索词报告!$I$2:$I$22222))</f>
        <v/>
      </c>
      <c r="C706" t="str">
        <f>IF(SUMIF(搜索词报告!$A$2:$A$22222,总体数据一览!A706,搜索词报告!$J$2:$J$22222)=0,"",SUMIF(搜索词报告!$A$2:$A$22222,总体数据一览!A706,搜索词报告!$J$2:$J$22222))</f>
        <v/>
      </c>
      <c r="D706" s="2" t="str">
        <f t="shared" si="33"/>
        <v/>
      </c>
      <c r="E706" t="str">
        <f t="shared" si="34"/>
        <v/>
      </c>
      <c r="F706" t="str">
        <f>IF(SUMIF(搜索词报告!$A$2:$A$22222,总体数据一览!A706,搜索词报告!$M$2:$M$22222)=0,"",SUMIF(搜索词报告!$A$2:$A$22222,总体数据一览!A706,搜索词报告!$M$2:$M$22222))</f>
        <v/>
      </c>
      <c r="G706" t="str">
        <f>IFERROR(IF(B706="","",SUMIF(搜索词报告!$A$2:$A$22222,总体数据一览!A706,搜索词报告!$V$2:$V$22222))+IF(B706="","",SUMIF(搜索词报告!$A$2:$A$22222,总体数据一览!A706,搜索词报告!$W$2:$W$22222)),"")</f>
        <v/>
      </c>
      <c r="H706" s="2" t="str">
        <f t="shared" si="35"/>
        <v/>
      </c>
    </row>
    <row r="707" spans="2:8" x14ac:dyDescent="0.15">
      <c r="B707" t="str">
        <f>IF(SUMIF(搜索词报告!$A$2:$A$22222,总体数据一览!A707,搜索词报告!$I$2:$I$22222)=0,"",SUMIF(搜索词报告!$A$2:$A$22222,总体数据一览!A707,搜索词报告!$I$2:$I$22222))</f>
        <v/>
      </c>
      <c r="C707" t="str">
        <f>IF(SUMIF(搜索词报告!$A$2:$A$22222,总体数据一览!A707,搜索词报告!$J$2:$J$22222)=0,"",SUMIF(搜索词报告!$A$2:$A$22222,总体数据一览!A707,搜索词报告!$J$2:$J$22222))</f>
        <v/>
      </c>
      <c r="D707" s="2" t="str">
        <f t="shared" si="33"/>
        <v/>
      </c>
      <c r="E707" t="str">
        <f t="shared" si="34"/>
        <v/>
      </c>
      <c r="F707" t="str">
        <f>IF(SUMIF(搜索词报告!$A$2:$A$22222,总体数据一览!A707,搜索词报告!$M$2:$M$22222)=0,"",SUMIF(搜索词报告!$A$2:$A$22222,总体数据一览!A707,搜索词报告!$M$2:$M$22222))</f>
        <v/>
      </c>
      <c r="G707" t="str">
        <f>IFERROR(IF(B707="","",SUMIF(搜索词报告!$A$2:$A$22222,总体数据一览!A707,搜索词报告!$V$2:$V$22222))+IF(B707="","",SUMIF(搜索词报告!$A$2:$A$22222,总体数据一览!A707,搜索词报告!$W$2:$W$22222)),"")</f>
        <v/>
      </c>
      <c r="H707" s="2" t="str">
        <f t="shared" si="35"/>
        <v/>
      </c>
    </row>
    <row r="708" spans="2:8" x14ac:dyDescent="0.15">
      <c r="B708" t="str">
        <f>IF(SUMIF(搜索词报告!$A$2:$A$22222,总体数据一览!A708,搜索词报告!$I$2:$I$22222)=0,"",SUMIF(搜索词报告!$A$2:$A$22222,总体数据一览!A708,搜索词报告!$I$2:$I$22222))</f>
        <v/>
      </c>
      <c r="C708" t="str">
        <f>IF(SUMIF(搜索词报告!$A$2:$A$22222,总体数据一览!A708,搜索词报告!$J$2:$J$22222)=0,"",SUMIF(搜索词报告!$A$2:$A$22222,总体数据一览!A708,搜索词报告!$J$2:$J$22222))</f>
        <v/>
      </c>
      <c r="D708" s="2" t="str">
        <f t="shared" si="33"/>
        <v/>
      </c>
      <c r="E708" t="str">
        <f t="shared" si="34"/>
        <v/>
      </c>
      <c r="F708" t="str">
        <f>IF(SUMIF(搜索词报告!$A$2:$A$22222,总体数据一览!A708,搜索词报告!$M$2:$M$22222)=0,"",SUMIF(搜索词报告!$A$2:$A$22222,总体数据一览!A708,搜索词报告!$M$2:$M$22222))</f>
        <v/>
      </c>
      <c r="G708" t="str">
        <f>IFERROR(IF(B708="","",SUMIF(搜索词报告!$A$2:$A$22222,总体数据一览!A708,搜索词报告!$V$2:$V$22222))+IF(B708="","",SUMIF(搜索词报告!$A$2:$A$22222,总体数据一览!A708,搜索词报告!$W$2:$W$22222)),"")</f>
        <v/>
      </c>
      <c r="H708" s="2" t="str">
        <f t="shared" si="35"/>
        <v/>
      </c>
    </row>
    <row r="709" spans="2:8" x14ac:dyDescent="0.15">
      <c r="B709" t="str">
        <f>IF(SUMIF(搜索词报告!$A$2:$A$22222,总体数据一览!A709,搜索词报告!$I$2:$I$22222)=0,"",SUMIF(搜索词报告!$A$2:$A$22222,总体数据一览!A709,搜索词报告!$I$2:$I$22222))</f>
        <v/>
      </c>
      <c r="C709" t="str">
        <f>IF(SUMIF(搜索词报告!$A$2:$A$22222,总体数据一览!A709,搜索词报告!$J$2:$J$22222)=0,"",SUMIF(搜索词报告!$A$2:$A$22222,总体数据一览!A709,搜索词报告!$J$2:$J$22222))</f>
        <v/>
      </c>
      <c r="D709" s="2" t="str">
        <f t="shared" si="33"/>
        <v/>
      </c>
      <c r="E709" t="str">
        <f t="shared" si="34"/>
        <v/>
      </c>
      <c r="F709" t="str">
        <f>IF(SUMIF(搜索词报告!$A$2:$A$22222,总体数据一览!A709,搜索词报告!$M$2:$M$22222)=0,"",SUMIF(搜索词报告!$A$2:$A$22222,总体数据一览!A709,搜索词报告!$M$2:$M$22222))</f>
        <v/>
      </c>
      <c r="G709" t="str">
        <f>IFERROR(IF(B709="","",SUMIF(搜索词报告!$A$2:$A$22222,总体数据一览!A709,搜索词报告!$V$2:$V$22222))+IF(B709="","",SUMIF(搜索词报告!$A$2:$A$22222,总体数据一览!A709,搜索词报告!$W$2:$W$22222)),"")</f>
        <v/>
      </c>
      <c r="H709" s="2" t="str">
        <f t="shared" si="35"/>
        <v/>
      </c>
    </row>
    <row r="710" spans="2:8" x14ac:dyDescent="0.15">
      <c r="B710" t="str">
        <f>IF(SUMIF(搜索词报告!$A$2:$A$22222,总体数据一览!A710,搜索词报告!$I$2:$I$22222)=0,"",SUMIF(搜索词报告!$A$2:$A$22222,总体数据一览!A710,搜索词报告!$I$2:$I$22222))</f>
        <v/>
      </c>
      <c r="C710" t="str">
        <f>IF(SUMIF(搜索词报告!$A$2:$A$22222,总体数据一览!A710,搜索词报告!$J$2:$J$22222)=0,"",SUMIF(搜索词报告!$A$2:$A$22222,总体数据一览!A710,搜索词报告!$J$2:$J$22222))</f>
        <v/>
      </c>
      <c r="D710" s="2" t="str">
        <f t="shared" si="33"/>
        <v/>
      </c>
      <c r="E710" t="str">
        <f t="shared" si="34"/>
        <v/>
      </c>
      <c r="F710" t="str">
        <f>IF(SUMIF(搜索词报告!$A$2:$A$22222,总体数据一览!A710,搜索词报告!$M$2:$M$22222)=0,"",SUMIF(搜索词报告!$A$2:$A$22222,总体数据一览!A710,搜索词报告!$M$2:$M$22222))</f>
        <v/>
      </c>
      <c r="G710" t="str">
        <f>IFERROR(IF(B710="","",SUMIF(搜索词报告!$A$2:$A$22222,总体数据一览!A710,搜索词报告!$V$2:$V$22222))+IF(B710="","",SUMIF(搜索词报告!$A$2:$A$22222,总体数据一览!A710,搜索词报告!$W$2:$W$22222)),"")</f>
        <v/>
      </c>
      <c r="H710" s="2" t="str">
        <f t="shared" si="35"/>
        <v/>
      </c>
    </row>
    <row r="711" spans="2:8" x14ac:dyDescent="0.15">
      <c r="B711" t="str">
        <f>IF(SUMIF(搜索词报告!$A$2:$A$22222,总体数据一览!A711,搜索词报告!$I$2:$I$22222)=0,"",SUMIF(搜索词报告!$A$2:$A$22222,总体数据一览!A711,搜索词报告!$I$2:$I$22222))</f>
        <v/>
      </c>
      <c r="C711" t="str">
        <f>IF(SUMIF(搜索词报告!$A$2:$A$22222,总体数据一览!A711,搜索词报告!$J$2:$J$22222)=0,"",SUMIF(搜索词报告!$A$2:$A$22222,总体数据一览!A711,搜索词报告!$J$2:$J$22222))</f>
        <v/>
      </c>
      <c r="D711" s="2" t="str">
        <f t="shared" si="33"/>
        <v/>
      </c>
      <c r="E711" t="str">
        <f t="shared" si="34"/>
        <v/>
      </c>
      <c r="F711" t="str">
        <f>IF(SUMIF(搜索词报告!$A$2:$A$22222,总体数据一览!A711,搜索词报告!$M$2:$M$22222)=0,"",SUMIF(搜索词报告!$A$2:$A$22222,总体数据一览!A711,搜索词报告!$M$2:$M$22222))</f>
        <v/>
      </c>
      <c r="G711" t="str">
        <f>IFERROR(IF(B711="","",SUMIF(搜索词报告!$A$2:$A$22222,总体数据一览!A711,搜索词报告!$V$2:$V$22222))+IF(B711="","",SUMIF(搜索词报告!$A$2:$A$22222,总体数据一览!A711,搜索词报告!$W$2:$W$22222)),"")</f>
        <v/>
      </c>
      <c r="H711" s="2" t="str">
        <f t="shared" si="35"/>
        <v/>
      </c>
    </row>
    <row r="712" spans="2:8" x14ac:dyDescent="0.15">
      <c r="B712" t="str">
        <f>IF(SUMIF(搜索词报告!$A$2:$A$22222,总体数据一览!A712,搜索词报告!$I$2:$I$22222)=0,"",SUMIF(搜索词报告!$A$2:$A$22222,总体数据一览!A712,搜索词报告!$I$2:$I$22222))</f>
        <v/>
      </c>
      <c r="C712" t="str">
        <f>IF(SUMIF(搜索词报告!$A$2:$A$22222,总体数据一览!A712,搜索词报告!$J$2:$J$22222)=0,"",SUMIF(搜索词报告!$A$2:$A$22222,总体数据一览!A712,搜索词报告!$J$2:$J$22222))</f>
        <v/>
      </c>
      <c r="D712" s="2" t="str">
        <f t="shared" si="33"/>
        <v/>
      </c>
      <c r="E712" t="str">
        <f t="shared" si="34"/>
        <v/>
      </c>
      <c r="F712" t="str">
        <f>IF(SUMIF(搜索词报告!$A$2:$A$22222,总体数据一览!A712,搜索词报告!$M$2:$M$22222)=0,"",SUMIF(搜索词报告!$A$2:$A$22222,总体数据一览!A712,搜索词报告!$M$2:$M$22222))</f>
        <v/>
      </c>
      <c r="G712" t="str">
        <f>IFERROR(IF(B712="","",SUMIF(搜索词报告!$A$2:$A$22222,总体数据一览!A712,搜索词报告!$V$2:$V$22222))+IF(B712="","",SUMIF(搜索词报告!$A$2:$A$22222,总体数据一览!A712,搜索词报告!$W$2:$W$22222)),"")</f>
        <v/>
      </c>
      <c r="H712" s="2" t="str">
        <f t="shared" si="35"/>
        <v/>
      </c>
    </row>
    <row r="713" spans="2:8" x14ac:dyDescent="0.15">
      <c r="B713" t="str">
        <f>IF(SUMIF(搜索词报告!$A$2:$A$22222,总体数据一览!A713,搜索词报告!$I$2:$I$22222)=0,"",SUMIF(搜索词报告!$A$2:$A$22222,总体数据一览!A713,搜索词报告!$I$2:$I$22222))</f>
        <v/>
      </c>
      <c r="C713" t="str">
        <f>IF(SUMIF(搜索词报告!$A$2:$A$22222,总体数据一览!A713,搜索词报告!$J$2:$J$22222)=0,"",SUMIF(搜索词报告!$A$2:$A$22222,总体数据一览!A713,搜索词报告!$J$2:$J$22222))</f>
        <v/>
      </c>
      <c r="D713" s="2" t="str">
        <f t="shared" si="33"/>
        <v/>
      </c>
      <c r="E713" t="str">
        <f t="shared" si="34"/>
        <v/>
      </c>
      <c r="F713" t="str">
        <f>IF(SUMIF(搜索词报告!$A$2:$A$22222,总体数据一览!A713,搜索词报告!$M$2:$M$22222)=0,"",SUMIF(搜索词报告!$A$2:$A$22222,总体数据一览!A713,搜索词报告!$M$2:$M$22222))</f>
        <v/>
      </c>
      <c r="G713" t="str">
        <f>IFERROR(IF(B713="","",SUMIF(搜索词报告!$A$2:$A$22222,总体数据一览!A713,搜索词报告!$V$2:$V$22222))+IF(B713="","",SUMIF(搜索词报告!$A$2:$A$22222,总体数据一览!A713,搜索词报告!$W$2:$W$22222)),"")</f>
        <v/>
      </c>
      <c r="H713" s="2" t="str">
        <f t="shared" si="35"/>
        <v/>
      </c>
    </row>
    <row r="714" spans="2:8" x14ac:dyDescent="0.15">
      <c r="B714" t="str">
        <f>IF(SUMIF(搜索词报告!$A$2:$A$22222,总体数据一览!A714,搜索词报告!$I$2:$I$22222)=0,"",SUMIF(搜索词报告!$A$2:$A$22222,总体数据一览!A714,搜索词报告!$I$2:$I$22222))</f>
        <v/>
      </c>
      <c r="C714" t="str">
        <f>IF(SUMIF(搜索词报告!$A$2:$A$22222,总体数据一览!A714,搜索词报告!$J$2:$J$22222)=0,"",SUMIF(搜索词报告!$A$2:$A$22222,总体数据一览!A714,搜索词报告!$J$2:$J$22222))</f>
        <v/>
      </c>
      <c r="D714" s="2" t="str">
        <f t="shared" si="33"/>
        <v/>
      </c>
      <c r="E714" t="str">
        <f t="shared" si="34"/>
        <v/>
      </c>
      <c r="F714" t="str">
        <f>IF(SUMIF(搜索词报告!$A$2:$A$22222,总体数据一览!A714,搜索词报告!$M$2:$M$22222)=0,"",SUMIF(搜索词报告!$A$2:$A$22222,总体数据一览!A714,搜索词报告!$M$2:$M$22222))</f>
        <v/>
      </c>
      <c r="G714" t="str">
        <f>IFERROR(IF(B714="","",SUMIF(搜索词报告!$A$2:$A$22222,总体数据一览!A714,搜索词报告!$V$2:$V$22222))+IF(B714="","",SUMIF(搜索词报告!$A$2:$A$22222,总体数据一览!A714,搜索词报告!$W$2:$W$22222)),"")</f>
        <v/>
      </c>
      <c r="H714" s="2" t="str">
        <f t="shared" si="35"/>
        <v/>
      </c>
    </row>
    <row r="715" spans="2:8" x14ac:dyDescent="0.15">
      <c r="B715" t="str">
        <f>IF(SUMIF(搜索词报告!$A$2:$A$22222,总体数据一览!A715,搜索词报告!$I$2:$I$22222)=0,"",SUMIF(搜索词报告!$A$2:$A$22222,总体数据一览!A715,搜索词报告!$I$2:$I$22222))</f>
        <v/>
      </c>
      <c r="C715" t="str">
        <f>IF(SUMIF(搜索词报告!$A$2:$A$22222,总体数据一览!A715,搜索词报告!$J$2:$J$22222)=0,"",SUMIF(搜索词报告!$A$2:$A$22222,总体数据一览!A715,搜索词报告!$J$2:$J$22222))</f>
        <v/>
      </c>
      <c r="D715" s="2" t="str">
        <f t="shared" si="33"/>
        <v/>
      </c>
      <c r="E715" t="str">
        <f t="shared" si="34"/>
        <v/>
      </c>
      <c r="F715" t="str">
        <f>IF(SUMIF(搜索词报告!$A$2:$A$22222,总体数据一览!A715,搜索词报告!$M$2:$M$22222)=0,"",SUMIF(搜索词报告!$A$2:$A$22222,总体数据一览!A715,搜索词报告!$M$2:$M$22222))</f>
        <v/>
      </c>
      <c r="G715" t="str">
        <f>IFERROR(IF(B715="","",SUMIF(搜索词报告!$A$2:$A$22222,总体数据一览!A715,搜索词报告!$V$2:$V$22222))+IF(B715="","",SUMIF(搜索词报告!$A$2:$A$22222,总体数据一览!A715,搜索词报告!$W$2:$W$22222)),"")</f>
        <v/>
      </c>
      <c r="H715" s="2" t="str">
        <f t="shared" si="35"/>
        <v/>
      </c>
    </row>
    <row r="716" spans="2:8" x14ac:dyDescent="0.15">
      <c r="B716" t="str">
        <f>IF(SUMIF(搜索词报告!$A$2:$A$22222,总体数据一览!A716,搜索词报告!$I$2:$I$22222)=0,"",SUMIF(搜索词报告!$A$2:$A$22222,总体数据一览!A716,搜索词报告!$I$2:$I$22222))</f>
        <v/>
      </c>
      <c r="C716" t="str">
        <f>IF(SUMIF(搜索词报告!$A$2:$A$22222,总体数据一览!A716,搜索词报告!$J$2:$J$22222)=0,"",SUMIF(搜索词报告!$A$2:$A$22222,总体数据一览!A716,搜索词报告!$J$2:$J$22222))</f>
        <v/>
      </c>
      <c r="D716" s="2" t="str">
        <f t="shared" si="33"/>
        <v/>
      </c>
      <c r="E716" t="str">
        <f t="shared" si="34"/>
        <v/>
      </c>
      <c r="F716" t="str">
        <f>IF(SUMIF(搜索词报告!$A$2:$A$22222,总体数据一览!A716,搜索词报告!$M$2:$M$22222)=0,"",SUMIF(搜索词报告!$A$2:$A$22222,总体数据一览!A716,搜索词报告!$M$2:$M$22222))</f>
        <v/>
      </c>
      <c r="G716" t="str">
        <f>IFERROR(IF(B716="","",SUMIF(搜索词报告!$A$2:$A$22222,总体数据一览!A716,搜索词报告!$V$2:$V$22222))+IF(B716="","",SUMIF(搜索词报告!$A$2:$A$22222,总体数据一览!A716,搜索词报告!$W$2:$W$22222)),"")</f>
        <v/>
      </c>
      <c r="H716" s="2" t="str">
        <f t="shared" si="35"/>
        <v/>
      </c>
    </row>
    <row r="717" spans="2:8" x14ac:dyDescent="0.15">
      <c r="B717" t="str">
        <f>IF(SUMIF(搜索词报告!$A$2:$A$22222,总体数据一览!A717,搜索词报告!$I$2:$I$22222)=0,"",SUMIF(搜索词报告!$A$2:$A$22222,总体数据一览!A717,搜索词报告!$I$2:$I$22222))</f>
        <v/>
      </c>
      <c r="C717" t="str">
        <f>IF(SUMIF(搜索词报告!$A$2:$A$22222,总体数据一览!A717,搜索词报告!$J$2:$J$22222)=0,"",SUMIF(搜索词报告!$A$2:$A$22222,总体数据一览!A717,搜索词报告!$J$2:$J$22222))</f>
        <v/>
      </c>
      <c r="D717" s="2" t="str">
        <f t="shared" si="33"/>
        <v/>
      </c>
      <c r="E717" t="str">
        <f t="shared" si="34"/>
        <v/>
      </c>
      <c r="F717" t="str">
        <f>IF(SUMIF(搜索词报告!$A$2:$A$22222,总体数据一览!A717,搜索词报告!$M$2:$M$22222)=0,"",SUMIF(搜索词报告!$A$2:$A$22222,总体数据一览!A717,搜索词报告!$M$2:$M$22222))</f>
        <v/>
      </c>
      <c r="G717" t="str">
        <f>IFERROR(IF(B717="","",SUMIF(搜索词报告!$A$2:$A$22222,总体数据一览!A717,搜索词报告!$V$2:$V$22222))+IF(B717="","",SUMIF(搜索词报告!$A$2:$A$22222,总体数据一览!A717,搜索词报告!$W$2:$W$22222)),"")</f>
        <v/>
      </c>
      <c r="H717" s="2" t="str">
        <f t="shared" si="35"/>
        <v/>
      </c>
    </row>
    <row r="718" spans="2:8" x14ac:dyDescent="0.15">
      <c r="B718" t="str">
        <f>IF(SUMIF(搜索词报告!$A$2:$A$22222,总体数据一览!A718,搜索词报告!$I$2:$I$22222)=0,"",SUMIF(搜索词报告!$A$2:$A$22222,总体数据一览!A718,搜索词报告!$I$2:$I$22222))</f>
        <v/>
      </c>
      <c r="C718" t="str">
        <f>IF(SUMIF(搜索词报告!$A$2:$A$22222,总体数据一览!A718,搜索词报告!$J$2:$J$22222)=0,"",SUMIF(搜索词报告!$A$2:$A$22222,总体数据一览!A718,搜索词报告!$J$2:$J$22222))</f>
        <v/>
      </c>
      <c r="D718" s="2" t="str">
        <f t="shared" si="33"/>
        <v/>
      </c>
      <c r="E718" t="str">
        <f t="shared" si="34"/>
        <v/>
      </c>
      <c r="F718" t="str">
        <f>IF(SUMIF(搜索词报告!$A$2:$A$22222,总体数据一览!A718,搜索词报告!$M$2:$M$22222)=0,"",SUMIF(搜索词报告!$A$2:$A$22222,总体数据一览!A718,搜索词报告!$M$2:$M$22222))</f>
        <v/>
      </c>
      <c r="G718" t="str">
        <f>IFERROR(IF(B718="","",SUMIF(搜索词报告!$A$2:$A$22222,总体数据一览!A718,搜索词报告!$V$2:$V$22222))+IF(B718="","",SUMIF(搜索词报告!$A$2:$A$22222,总体数据一览!A718,搜索词报告!$W$2:$W$22222)),"")</f>
        <v/>
      </c>
      <c r="H718" s="2" t="str">
        <f t="shared" si="35"/>
        <v/>
      </c>
    </row>
    <row r="719" spans="2:8" x14ac:dyDescent="0.15">
      <c r="B719" t="str">
        <f>IF(SUMIF(搜索词报告!$A$2:$A$22222,总体数据一览!A719,搜索词报告!$I$2:$I$22222)=0,"",SUMIF(搜索词报告!$A$2:$A$22222,总体数据一览!A719,搜索词报告!$I$2:$I$22222))</f>
        <v/>
      </c>
      <c r="C719" t="str">
        <f>IF(SUMIF(搜索词报告!$A$2:$A$22222,总体数据一览!A719,搜索词报告!$J$2:$J$22222)=0,"",SUMIF(搜索词报告!$A$2:$A$22222,总体数据一览!A719,搜索词报告!$J$2:$J$22222))</f>
        <v/>
      </c>
      <c r="D719" s="2" t="str">
        <f t="shared" si="33"/>
        <v/>
      </c>
      <c r="E719" t="str">
        <f t="shared" si="34"/>
        <v/>
      </c>
      <c r="F719" t="str">
        <f>IF(SUMIF(搜索词报告!$A$2:$A$22222,总体数据一览!A719,搜索词报告!$M$2:$M$22222)=0,"",SUMIF(搜索词报告!$A$2:$A$22222,总体数据一览!A719,搜索词报告!$M$2:$M$22222))</f>
        <v/>
      </c>
      <c r="G719" t="str">
        <f>IFERROR(IF(B719="","",SUMIF(搜索词报告!$A$2:$A$22222,总体数据一览!A719,搜索词报告!$V$2:$V$22222))+IF(B719="","",SUMIF(搜索词报告!$A$2:$A$22222,总体数据一览!A719,搜索词报告!$W$2:$W$22222)),"")</f>
        <v/>
      </c>
      <c r="H719" s="2" t="str">
        <f t="shared" si="35"/>
        <v/>
      </c>
    </row>
    <row r="720" spans="2:8" x14ac:dyDescent="0.15">
      <c r="B720" t="str">
        <f>IF(SUMIF(搜索词报告!$A$2:$A$22222,总体数据一览!A720,搜索词报告!$I$2:$I$22222)=0,"",SUMIF(搜索词报告!$A$2:$A$22222,总体数据一览!A720,搜索词报告!$I$2:$I$22222))</f>
        <v/>
      </c>
      <c r="C720" t="str">
        <f>IF(SUMIF(搜索词报告!$A$2:$A$22222,总体数据一览!A720,搜索词报告!$J$2:$J$22222)=0,"",SUMIF(搜索词报告!$A$2:$A$22222,总体数据一览!A720,搜索词报告!$J$2:$J$22222))</f>
        <v/>
      </c>
      <c r="D720" s="2" t="str">
        <f t="shared" si="33"/>
        <v/>
      </c>
      <c r="E720" t="str">
        <f t="shared" si="34"/>
        <v/>
      </c>
      <c r="F720" t="str">
        <f>IF(SUMIF(搜索词报告!$A$2:$A$22222,总体数据一览!A720,搜索词报告!$M$2:$M$22222)=0,"",SUMIF(搜索词报告!$A$2:$A$22222,总体数据一览!A720,搜索词报告!$M$2:$M$22222))</f>
        <v/>
      </c>
      <c r="G720" t="str">
        <f>IFERROR(IF(B720="","",SUMIF(搜索词报告!$A$2:$A$22222,总体数据一览!A720,搜索词报告!$V$2:$V$22222))+IF(B720="","",SUMIF(搜索词报告!$A$2:$A$22222,总体数据一览!A720,搜索词报告!$W$2:$W$22222)),"")</f>
        <v/>
      </c>
      <c r="H720" s="2" t="str">
        <f t="shared" si="35"/>
        <v/>
      </c>
    </row>
    <row r="721" spans="2:8" x14ac:dyDescent="0.15">
      <c r="B721" t="str">
        <f>IF(SUMIF(搜索词报告!$A$2:$A$22222,总体数据一览!A721,搜索词报告!$I$2:$I$22222)=0,"",SUMIF(搜索词报告!$A$2:$A$22222,总体数据一览!A721,搜索词报告!$I$2:$I$22222))</f>
        <v/>
      </c>
      <c r="C721" t="str">
        <f>IF(SUMIF(搜索词报告!$A$2:$A$22222,总体数据一览!A721,搜索词报告!$J$2:$J$22222)=0,"",SUMIF(搜索词报告!$A$2:$A$22222,总体数据一览!A721,搜索词报告!$J$2:$J$22222))</f>
        <v/>
      </c>
      <c r="D721" s="2" t="str">
        <f t="shared" si="33"/>
        <v/>
      </c>
      <c r="E721" t="str">
        <f t="shared" si="34"/>
        <v/>
      </c>
      <c r="F721" t="str">
        <f>IF(SUMIF(搜索词报告!$A$2:$A$22222,总体数据一览!A721,搜索词报告!$M$2:$M$22222)=0,"",SUMIF(搜索词报告!$A$2:$A$22222,总体数据一览!A721,搜索词报告!$M$2:$M$22222))</f>
        <v/>
      </c>
      <c r="G721" t="str">
        <f>IFERROR(IF(B721="","",SUMIF(搜索词报告!$A$2:$A$22222,总体数据一览!A721,搜索词报告!$V$2:$V$22222))+IF(B721="","",SUMIF(搜索词报告!$A$2:$A$22222,总体数据一览!A721,搜索词报告!$W$2:$W$22222)),"")</f>
        <v/>
      </c>
      <c r="H721" s="2" t="str">
        <f t="shared" si="35"/>
        <v/>
      </c>
    </row>
    <row r="722" spans="2:8" x14ac:dyDescent="0.15">
      <c r="B722" t="str">
        <f>IF(SUMIF(搜索词报告!$A$2:$A$22222,总体数据一览!A722,搜索词报告!$I$2:$I$22222)=0,"",SUMIF(搜索词报告!$A$2:$A$22222,总体数据一览!A722,搜索词报告!$I$2:$I$22222))</f>
        <v/>
      </c>
      <c r="C722" t="str">
        <f>IF(SUMIF(搜索词报告!$A$2:$A$22222,总体数据一览!A722,搜索词报告!$J$2:$J$22222)=0,"",SUMIF(搜索词报告!$A$2:$A$22222,总体数据一览!A722,搜索词报告!$J$2:$J$22222))</f>
        <v/>
      </c>
      <c r="D722" s="2" t="str">
        <f t="shared" si="33"/>
        <v/>
      </c>
      <c r="E722" t="str">
        <f t="shared" si="34"/>
        <v/>
      </c>
      <c r="F722" t="str">
        <f>IF(SUMIF(搜索词报告!$A$2:$A$22222,总体数据一览!A722,搜索词报告!$M$2:$M$22222)=0,"",SUMIF(搜索词报告!$A$2:$A$22222,总体数据一览!A722,搜索词报告!$M$2:$M$22222))</f>
        <v/>
      </c>
      <c r="G722" t="str">
        <f>IFERROR(IF(B722="","",SUMIF(搜索词报告!$A$2:$A$22222,总体数据一览!A722,搜索词报告!$V$2:$V$22222))+IF(B722="","",SUMIF(搜索词报告!$A$2:$A$22222,总体数据一览!A722,搜索词报告!$W$2:$W$22222)),"")</f>
        <v/>
      </c>
      <c r="H722" s="2" t="str">
        <f t="shared" si="35"/>
        <v/>
      </c>
    </row>
    <row r="723" spans="2:8" x14ac:dyDescent="0.15">
      <c r="B723" t="str">
        <f>IF(SUMIF(搜索词报告!$A$2:$A$22222,总体数据一览!A723,搜索词报告!$I$2:$I$22222)=0,"",SUMIF(搜索词报告!$A$2:$A$22222,总体数据一览!A723,搜索词报告!$I$2:$I$22222))</f>
        <v/>
      </c>
      <c r="C723" t="str">
        <f>IF(SUMIF(搜索词报告!$A$2:$A$22222,总体数据一览!A723,搜索词报告!$J$2:$J$22222)=0,"",SUMIF(搜索词报告!$A$2:$A$22222,总体数据一览!A723,搜索词报告!$J$2:$J$22222))</f>
        <v/>
      </c>
      <c r="D723" s="2" t="str">
        <f t="shared" si="33"/>
        <v/>
      </c>
      <c r="E723" t="str">
        <f t="shared" si="34"/>
        <v/>
      </c>
      <c r="F723" t="str">
        <f>IF(SUMIF(搜索词报告!$A$2:$A$22222,总体数据一览!A723,搜索词报告!$M$2:$M$22222)=0,"",SUMIF(搜索词报告!$A$2:$A$22222,总体数据一览!A723,搜索词报告!$M$2:$M$22222))</f>
        <v/>
      </c>
      <c r="G723" t="str">
        <f>IFERROR(IF(B723="","",SUMIF(搜索词报告!$A$2:$A$22222,总体数据一览!A723,搜索词报告!$V$2:$V$22222))+IF(B723="","",SUMIF(搜索词报告!$A$2:$A$22222,总体数据一览!A723,搜索词报告!$W$2:$W$22222)),"")</f>
        <v/>
      </c>
      <c r="H723" s="2" t="str">
        <f t="shared" si="35"/>
        <v/>
      </c>
    </row>
    <row r="724" spans="2:8" x14ac:dyDescent="0.15">
      <c r="B724" t="str">
        <f>IF(SUMIF(搜索词报告!$A$2:$A$22222,总体数据一览!A724,搜索词报告!$I$2:$I$22222)=0,"",SUMIF(搜索词报告!$A$2:$A$22222,总体数据一览!A724,搜索词报告!$I$2:$I$22222))</f>
        <v/>
      </c>
      <c r="C724" t="str">
        <f>IF(SUMIF(搜索词报告!$A$2:$A$22222,总体数据一览!A724,搜索词报告!$J$2:$J$22222)=0,"",SUMIF(搜索词报告!$A$2:$A$22222,总体数据一览!A724,搜索词报告!$J$2:$J$22222))</f>
        <v/>
      </c>
      <c r="D724" s="2" t="str">
        <f t="shared" ref="D724:D787" si="36">IFERROR(ROUND(C724/B724,4),"")</f>
        <v/>
      </c>
      <c r="E724" t="str">
        <f t="shared" ref="E724:E787" si="37">IFERROR(ROUND(F724/C724,2),"")</f>
        <v/>
      </c>
      <c r="F724" t="str">
        <f>IF(SUMIF(搜索词报告!$A$2:$A$22222,总体数据一览!A724,搜索词报告!$M$2:$M$22222)=0,"",SUMIF(搜索词报告!$A$2:$A$22222,总体数据一览!A724,搜索词报告!$M$2:$M$22222))</f>
        <v/>
      </c>
      <c r="G724" t="str">
        <f>IFERROR(IF(B724="","",SUMIF(搜索词报告!$A$2:$A$22222,总体数据一览!A724,搜索词报告!$V$2:$V$22222))+IF(B724="","",SUMIF(搜索词报告!$A$2:$A$22222,总体数据一览!A724,搜索词报告!$W$2:$W$22222)),"")</f>
        <v/>
      </c>
      <c r="H724" s="2" t="str">
        <f t="shared" ref="H724:H787" si="38">IFERROR(ROUND(F724/G724,2),"")</f>
        <v/>
      </c>
    </row>
    <row r="725" spans="2:8" x14ac:dyDescent="0.15">
      <c r="B725" t="str">
        <f>IF(SUMIF(搜索词报告!$A$2:$A$22222,总体数据一览!A725,搜索词报告!$I$2:$I$22222)=0,"",SUMIF(搜索词报告!$A$2:$A$22222,总体数据一览!A725,搜索词报告!$I$2:$I$22222))</f>
        <v/>
      </c>
      <c r="C725" t="str">
        <f>IF(SUMIF(搜索词报告!$A$2:$A$22222,总体数据一览!A725,搜索词报告!$J$2:$J$22222)=0,"",SUMIF(搜索词报告!$A$2:$A$22222,总体数据一览!A725,搜索词报告!$J$2:$J$22222))</f>
        <v/>
      </c>
      <c r="D725" s="2" t="str">
        <f t="shared" si="36"/>
        <v/>
      </c>
      <c r="E725" t="str">
        <f t="shared" si="37"/>
        <v/>
      </c>
      <c r="F725" t="str">
        <f>IF(SUMIF(搜索词报告!$A$2:$A$22222,总体数据一览!A725,搜索词报告!$M$2:$M$22222)=0,"",SUMIF(搜索词报告!$A$2:$A$22222,总体数据一览!A725,搜索词报告!$M$2:$M$22222))</f>
        <v/>
      </c>
      <c r="G725" t="str">
        <f>IFERROR(IF(B725="","",SUMIF(搜索词报告!$A$2:$A$22222,总体数据一览!A725,搜索词报告!$V$2:$V$22222))+IF(B725="","",SUMIF(搜索词报告!$A$2:$A$22222,总体数据一览!A725,搜索词报告!$W$2:$W$22222)),"")</f>
        <v/>
      </c>
      <c r="H725" s="2" t="str">
        <f t="shared" si="38"/>
        <v/>
      </c>
    </row>
    <row r="726" spans="2:8" x14ac:dyDescent="0.15">
      <c r="B726" t="str">
        <f>IF(SUMIF(搜索词报告!$A$2:$A$22222,总体数据一览!A726,搜索词报告!$I$2:$I$22222)=0,"",SUMIF(搜索词报告!$A$2:$A$22222,总体数据一览!A726,搜索词报告!$I$2:$I$22222))</f>
        <v/>
      </c>
      <c r="C726" t="str">
        <f>IF(SUMIF(搜索词报告!$A$2:$A$22222,总体数据一览!A726,搜索词报告!$J$2:$J$22222)=0,"",SUMIF(搜索词报告!$A$2:$A$22222,总体数据一览!A726,搜索词报告!$J$2:$J$22222))</f>
        <v/>
      </c>
      <c r="D726" s="2" t="str">
        <f t="shared" si="36"/>
        <v/>
      </c>
      <c r="E726" t="str">
        <f t="shared" si="37"/>
        <v/>
      </c>
      <c r="F726" t="str">
        <f>IF(SUMIF(搜索词报告!$A$2:$A$22222,总体数据一览!A726,搜索词报告!$M$2:$M$22222)=0,"",SUMIF(搜索词报告!$A$2:$A$22222,总体数据一览!A726,搜索词报告!$M$2:$M$22222))</f>
        <v/>
      </c>
      <c r="G726" t="str">
        <f>IFERROR(IF(B726="","",SUMIF(搜索词报告!$A$2:$A$22222,总体数据一览!A726,搜索词报告!$V$2:$V$22222))+IF(B726="","",SUMIF(搜索词报告!$A$2:$A$22222,总体数据一览!A726,搜索词报告!$W$2:$W$22222)),"")</f>
        <v/>
      </c>
      <c r="H726" s="2" t="str">
        <f t="shared" si="38"/>
        <v/>
      </c>
    </row>
    <row r="727" spans="2:8" x14ac:dyDescent="0.15">
      <c r="B727" t="str">
        <f>IF(SUMIF(搜索词报告!$A$2:$A$22222,总体数据一览!A727,搜索词报告!$I$2:$I$22222)=0,"",SUMIF(搜索词报告!$A$2:$A$22222,总体数据一览!A727,搜索词报告!$I$2:$I$22222))</f>
        <v/>
      </c>
      <c r="C727" t="str">
        <f>IF(SUMIF(搜索词报告!$A$2:$A$22222,总体数据一览!A727,搜索词报告!$J$2:$J$22222)=0,"",SUMIF(搜索词报告!$A$2:$A$22222,总体数据一览!A727,搜索词报告!$J$2:$J$22222))</f>
        <v/>
      </c>
      <c r="D727" s="2" t="str">
        <f t="shared" si="36"/>
        <v/>
      </c>
      <c r="E727" t="str">
        <f t="shared" si="37"/>
        <v/>
      </c>
      <c r="F727" t="str">
        <f>IF(SUMIF(搜索词报告!$A$2:$A$22222,总体数据一览!A727,搜索词报告!$M$2:$M$22222)=0,"",SUMIF(搜索词报告!$A$2:$A$22222,总体数据一览!A727,搜索词报告!$M$2:$M$22222))</f>
        <v/>
      </c>
      <c r="G727" t="str">
        <f>IFERROR(IF(B727="","",SUMIF(搜索词报告!$A$2:$A$22222,总体数据一览!A727,搜索词报告!$V$2:$V$22222))+IF(B727="","",SUMIF(搜索词报告!$A$2:$A$22222,总体数据一览!A727,搜索词报告!$W$2:$W$22222)),"")</f>
        <v/>
      </c>
      <c r="H727" s="2" t="str">
        <f t="shared" si="38"/>
        <v/>
      </c>
    </row>
    <row r="728" spans="2:8" x14ac:dyDescent="0.15">
      <c r="B728" t="str">
        <f>IF(SUMIF(搜索词报告!$A$2:$A$22222,总体数据一览!A728,搜索词报告!$I$2:$I$22222)=0,"",SUMIF(搜索词报告!$A$2:$A$22222,总体数据一览!A728,搜索词报告!$I$2:$I$22222))</f>
        <v/>
      </c>
      <c r="C728" t="str">
        <f>IF(SUMIF(搜索词报告!$A$2:$A$22222,总体数据一览!A728,搜索词报告!$J$2:$J$22222)=0,"",SUMIF(搜索词报告!$A$2:$A$22222,总体数据一览!A728,搜索词报告!$J$2:$J$22222))</f>
        <v/>
      </c>
      <c r="D728" s="2" t="str">
        <f t="shared" si="36"/>
        <v/>
      </c>
      <c r="E728" t="str">
        <f t="shared" si="37"/>
        <v/>
      </c>
      <c r="F728" t="str">
        <f>IF(SUMIF(搜索词报告!$A$2:$A$22222,总体数据一览!A728,搜索词报告!$M$2:$M$22222)=0,"",SUMIF(搜索词报告!$A$2:$A$22222,总体数据一览!A728,搜索词报告!$M$2:$M$22222))</f>
        <v/>
      </c>
      <c r="G728" t="str">
        <f>IFERROR(IF(B728="","",SUMIF(搜索词报告!$A$2:$A$22222,总体数据一览!A728,搜索词报告!$V$2:$V$22222))+IF(B728="","",SUMIF(搜索词报告!$A$2:$A$22222,总体数据一览!A728,搜索词报告!$W$2:$W$22222)),"")</f>
        <v/>
      </c>
      <c r="H728" s="2" t="str">
        <f t="shared" si="38"/>
        <v/>
      </c>
    </row>
    <row r="729" spans="2:8" x14ac:dyDescent="0.15">
      <c r="B729" t="str">
        <f>IF(SUMIF(搜索词报告!$A$2:$A$22222,总体数据一览!A729,搜索词报告!$I$2:$I$22222)=0,"",SUMIF(搜索词报告!$A$2:$A$22222,总体数据一览!A729,搜索词报告!$I$2:$I$22222))</f>
        <v/>
      </c>
      <c r="C729" t="str">
        <f>IF(SUMIF(搜索词报告!$A$2:$A$22222,总体数据一览!A729,搜索词报告!$J$2:$J$22222)=0,"",SUMIF(搜索词报告!$A$2:$A$22222,总体数据一览!A729,搜索词报告!$J$2:$J$22222))</f>
        <v/>
      </c>
      <c r="D729" s="2" t="str">
        <f t="shared" si="36"/>
        <v/>
      </c>
      <c r="E729" t="str">
        <f t="shared" si="37"/>
        <v/>
      </c>
      <c r="F729" t="str">
        <f>IF(SUMIF(搜索词报告!$A$2:$A$22222,总体数据一览!A729,搜索词报告!$M$2:$M$22222)=0,"",SUMIF(搜索词报告!$A$2:$A$22222,总体数据一览!A729,搜索词报告!$M$2:$M$22222))</f>
        <v/>
      </c>
      <c r="G729" t="str">
        <f>IFERROR(IF(B729="","",SUMIF(搜索词报告!$A$2:$A$22222,总体数据一览!A729,搜索词报告!$V$2:$V$22222))+IF(B729="","",SUMIF(搜索词报告!$A$2:$A$22222,总体数据一览!A729,搜索词报告!$W$2:$W$22222)),"")</f>
        <v/>
      </c>
      <c r="H729" s="2" t="str">
        <f t="shared" si="38"/>
        <v/>
      </c>
    </row>
    <row r="730" spans="2:8" x14ac:dyDescent="0.15">
      <c r="B730" t="str">
        <f>IF(SUMIF(搜索词报告!$A$2:$A$22222,总体数据一览!A730,搜索词报告!$I$2:$I$22222)=0,"",SUMIF(搜索词报告!$A$2:$A$22222,总体数据一览!A730,搜索词报告!$I$2:$I$22222))</f>
        <v/>
      </c>
      <c r="C730" t="str">
        <f>IF(SUMIF(搜索词报告!$A$2:$A$22222,总体数据一览!A730,搜索词报告!$J$2:$J$22222)=0,"",SUMIF(搜索词报告!$A$2:$A$22222,总体数据一览!A730,搜索词报告!$J$2:$J$22222))</f>
        <v/>
      </c>
      <c r="D730" s="2" t="str">
        <f t="shared" si="36"/>
        <v/>
      </c>
      <c r="E730" t="str">
        <f t="shared" si="37"/>
        <v/>
      </c>
      <c r="F730" t="str">
        <f>IF(SUMIF(搜索词报告!$A$2:$A$22222,总体数据一览!A730,搜索词报告!$M$2:$M$22222)=0,"",SUMIF(搜索词报告!$A$2:$A$22222,总体数据一览!A730,搜索词报告!$M$2:$M$22222))</f>
        <v/>
      </c>
      <c r="G730" t="str">
        <f>IFERROR(IF(B730="","",SUMIF(搜索词报告!$A$2:$A$22222,总体数据一览!A730,搜索词报告!$V$2:$V$22222))+IF(B730="","",SUMIF(搜索词报告!$A$2:$A$22222,总体数据一览!A730,搜索词报告!$W$2:$W$22222)),"")</f>
        <v/>
      </c>
      <c r="H730" s="2" t="str">
        <f t="shared" si="38"/>
        <v/>
      </c>
    </row>
    <row r="731" spans="2:8" x14ac:dyDescent="0.15">
      <c r="B731" t="str">
        <f>IF(SUMIF(搜索词报告!$A$2:$A$22222,总体数据一览!A731,搜索词报告!$I$2:$I$22222)=0,"",SUMIF(搜索词报告!$A$2:$A$22222,总体数据一览!A731,搜索词报告!$I$2:$I$22222))</f>
        <v/>
      </c>
      <c r="C731" t="str">
        <f>IF(SUMIF(搜索词报告!$A$2:$A$22222,总体数据一览!A731,搜索词报告!$J$2:$J$22222)=0,"",SUMIF(搜索词报告!$A$2:$A$22222,总体数据一览!A731,搜索词报告!$J$2:$J$22222))</f>
        <v/>
      </c>
      <c r="D731" s="2" t="str">
        <f t="shared" si="36"/>
        <v/>
      </c>
      <c r="E731" t="str">
        <f t="shared" si="37"/>
        <v/>
      </c>
      <c r="F731" t="str">
        <f>IF(SUMIF(搜索词报告!$A$2:$A$22222,总体数据一览!A731,搜索词报告!$M$2:$M$22222)=0,"",SUMIF(搜索词报告!$A$2:$A$22222,总体数据一览!A731,搜索词报告!$M$2:$M$22222))</f>
        <v/>
      </c>
      <c r="G731" t="str">
        <f>IFERROR(IF(B731="","",SUMIF(搜索词报告!$A$2:$A$22222,总体数据一览!A731,搜索词报告!$V$2:$V$22222))+IF(B731="","",SUMIF(搜索词报告!$A$2:$A$22222,总体数据一览!A731,搜索词报告!$W$2:$W$22222)),"")</f>
        <v/>
      </c>
      <c r="H731" s="2" t="str">
        <f t="shared" si="38"/>
        <v/>
      </c>
    </row>
    <row r="732" spans="2:8" x14ac:dyDescent="0.15">
      <c r="B732" t="str">
        <f>IF(SUMIF(搜索词报告!$A$2:$A$22222,总体数据一览!A732,搜索词报告!$I$2:$I$22222)=0,"",SUMIF(搜索词报告!$A$2:$A$22222,总体数据一览!A732,搜索词报告!$I$2:$I$22222))</f>
        <v/>
      </c>
      <c r="C732" t="str">
        <f>IF(SUMIF(搜索词报告!$A$2:$A$22222,总体数据一览!A732,搜索词报告!$J$2:$J$22222)=0,"",SUMIF(搜索词报告!$A$2:$A$22222,总体数据一览!A732,搜索词报告!$J$2:$J$22222))</f>
        <v/>
      </c>
      <c r="D732" s="2" t="str">
        <f t="shared" si="36"/>
        <v/>
      </c>
      <c r="E732" t="str">
        <f t="shared" si="37"/>
        <v/>
      </c>
      <c r="F732" t="str">
        <f>IF(SUMIF(搜索词报告!$A$2:$A$22222,总体数据一览!A732,搜索词报告!$M$2:$M$22222)=0,"",SUMIF(搜索词报告!$A$2:$A$22222,总体数据一览!A732,搜索词报告!$M$2:$M$22222))</f>
        <v/>
      </c>
      <c r="G732" t="str">
        <f>IFERROR(IF(B732="","",SUMIF(搜索词报告!$A$2:$A$22222,总体数据一览!A732,搜索词报告!$V$2:$V$22222))+IF(B732="","",SUMIF(搜索词报告!$A$2:$A$22222,总体数据一览!A732,搜索词报告!$W$2:$W$22222)),"")</f>
        <v/>
      </c>
      <c r="H732" s="2" t="str">
        <f t="shared" si="38"/>
        <v/>
      </c>
    </row>
    <row r="733" spans="2:8" x14ac:dyDescent="0.15">
      <c r="B733" t="str">
        <f>IF(SUMIF(搜索词报告!$A$2:$A$22222,总体数据一览!A733,搜索词报告!$I$2:$I$22222)=0,"",SUMIF(搜索词报告!$A$2:$A$22222,总体数据一览!A733,搜索词报告!$I$2:$I$22222))</f>
        <v/>
      </c>
      <c r="C733" t="str">
        <f>IF(SUMIF(搜索词报告!$A$2:$A$22222,总体数据一览!A733,搜索词报告!$J$2:$J$22222)=0,"",SUMIF(搜索词报告!$A$2:$A$22222,总体数据一览!A733,搜索词报告!$J$2:$J$22222))</f>
        <v/>
      </c>
      <c r="D733" s="2" t="str">
        <f t="shared" si="36"/>
        <v/>
      </c>
      <c r="E733" t="str">
        <f t="shared" si="37"/>
        <v/>
      </c>
      <c r="F733" t="str">
        <f>IF(SUMIF(搜索词报告!$A$2:$A$22222,总体数据一览!A733,搜索词报告!$M$2:$M$22222)=0,"",SUMIF(搜索词报告!$A$2:$A$22222,总体数据一览!A733,搜索词报告!$M$2:$M$22222))</f>
        <v/>
      </c>
      <c r="G733" t="str">
        <f>IFERROR(IF(B733="","",SUMIF(搜索词报告!$A$2:$A$22222,总体数据一览!A733,搜索词报告!$V$2:$V$22222))+IF(B733="","",SUMIF(搜索词报告!$A$2:$A$22222,总体数据一览!A733,搜索词报告!$W$2:$W$22222)),"")</f>
        <v/>
      </c>
      <c r="H733" s="2" t="str">
        <f t="shared" si="38"/>
        <v/>
      </c>
    </row>
    <row r="734" spans="2:8" x14ac:dyDescent="0.15">
      <c r="B734" t="str">
        <f>IF(SUMIF(搜索词报告!$A$2:$A$22222,总体数据一览!A734,搜索词报告!$I$2:$I$22222)=0,"",SUMIF(搜索词报告!$A$2:$A$22222,总体数据一览!A734,搜索词报告!$I$2:$I$22222))</f>
        <v/>
      </c>
      <c r="C734" t="str">
        <f>IF(SUMIF(搜索词报告!$A$2:$A$22222,总体数据一览!A734,搜索词报告!$J$2:$J$22222)=0,"",SUMIF(搜索词报告!$A$2:$A$22222,总体数据一览!A734,搜索词报告!$J$2:$J$22222))</f>
        <v/>
      </c>
      <c r="D734" s="2" t="str">
        <f t="shared" si="36"/>
        <v/>
      </c>
      <c r="E734" t="str">
        <f t="shared" si="37"/>
        <v/>
      </c>
      <c r="F734" t="str">
        <f>IF(SUMIF(搜索词报告!$A$2:$A$22222,总体数据一览!A734,搜索词报告!$M$2:$M$22222)=0,"",SUMIF(搜索词报告!$A$2:$A$22222,总体数据一览!A734,搜索词报告!$M$2:$M$22222))</f>
        <v/>
      </c>
      <c r="G734" t="str">
        <f>IFERROR(IF(B734="","",SUMIF(搜索词报告!$A$2:$A$22222,总体数据一览!A734,搜索词报告!$V$2:$V$22222))+IF(B734="","",SUMIF(搜索词报告!$A$2:$A$22222,总体数据一览!A734,搜索词报告!$W$2:$W$22222)),"")</f>
        <v/>
      </c>
      <c r="H734" s="2" t="str">
        <f t="shared" si="38"/>
        <v/>
      </c>
    </row>
    <row r="735" spans="2:8" x14ac:dyDescent="0.15">
      <c r="B735" t="str">
        <f>IF(SUMIF(搜索词报告!$A$2:$A$22222,总体数据一览!A735,搜索词报告!$I$2:$I$22222)=0,"",SUMIF(搜索词报告!$A$2:$A$22222,总体数据一览!A735,搜索词报告!$I$2:$I$22222))</f>
        <v/>
      </c>
      <c r="C735" t="str">
        <f>IF(SUMIF(搜索词报告!$A$2:$A$22222,总体数据一览!A735,搜索词报告!$J$2:$J$22222)=0,"",SUMIF(搜索词报告!$A$2:$A$22222,总体数据一览!A735,搜索词报告!$J$2:$J$22222))</f>
        <v/>
      </c>
      <c r="D735" s="2" t="str">
        <f t="shared" si="36"/>
        <v/>
      </c>
      <c r="E735" t="str">
        <f t="shared" si="37"/>
        <v/>
      </c>
      <c r="F735" t="str">
        <f>IF(SUMIF(搜索词报告!$A$2:$A$22222,总体数据一览!A735,搜索词报告!$M$2:$M$22222)=0,"",SUMIF(搜索词报告!$A$2:$A$22222,总体数据一览!A735,搜索词报告!$M$2:$M$22222))</f>
        <v/>
      </c>
      <c r="G735" t="str">
        <f>IFERROR(IF(B735="","",SUMIF(搜索词报告!$A$2:$A$22222,总体数据一览!A735,搜索词报告!$V$2:$V$22222))+IF(B735="","",SUMIF(搜索词报告!$A$2:$A$22222,总体数据一览!A735,搜索词报告!$W$2:$W$22222)),"")</f>
        <v/>
      </c>
      <c r="H735" s="2" t="str">
        <f t="shared" si="38"/>
        <v/>
      </c>
    </row>
    <row r="736" spans="2:8" x14ac:dyDescent="0.15">
      <c r="B736" t="str">
        <f>IF(SUMIF(搜索词报告!$A$2:$A$22222,总体数据一览!A736,搜索词报告!$I$2:$I$22222)=0,"",SUMIF(搜索词报告!$A$2:$A$22222,总体数据一览!A736,搜索词报告!$I$2:$I$22222))</f>
        <v/>
      </c>
      <c r="C736" t="str">
        <f>IF(SUMIF(搜索词报告!$A$2:$A$22222,总体数据一览!A736,搜索词报告!$J$2:$J$22222)=0,"",SUMIF(搜索词报告!$A$2:$A$22222,总体数据一览!A736,搜索词报告!$J$2:$J$22222))</f>
        <v/>
      </c>
      <c r="D736" s="2" t="str">
        <f t="shared" si="36"/>
        <v/>
      </c>
      <c r="E736" t="str">
        <f t="shared" si="37"/>
        <v/>
      </c>
      <c r="F736" t="str">
        <f>IF(SUMIF(搜索词报告!$A$2:$A$22222,总体数据一览!A736,搜索词报告!$M$2:$M$22222)=0,"",SUMIF(搜索词报告!$A$2:$A$22222,总体数据一览!A736,搜索词报告!$M$2:$M$22222))</f>
        <v/>
      </c>
      <c r="G736" t="str">
        <f>IFERROR(IF(B736="","",SUMIF(搜索词报告!$A$2:$A$22222,总体数据一览!A736,搜索词报告!$V$2:$V$22222))+IF(B736="","",SUMIF(搜索词报告!$A$2:$A$22222,总体数据一览!A736,搜索词报告!$W$2:$W$22222)),"")</f>
        <v/>
      </c>
      <c r="H736" s="2" t="str">
        <f t="shared" si="38"/>
        <v/>
      </c>
    </row>
    <row r="737" spans="2:8" x14ac:dyDescent="0.15">
      <c r="B737" t="str">
        <f>IF(SUMIF(搜索词报告!$A$2:$A$22222,总体数据一览!A737,搜索词报告!$I$2:$I$22222)=0,"",SUMIF(搜索词报告!$A$2:$A$22222,总体数据一览!A737,搜索词报告!$I$2:$I$22222))</f>
        <v/>
      </c>
      <c r="C737" t="str">
        <f>IF(SUMIF(搜索词报告!$A$2:$A$22222,总体数据一览!A737,搜索词报告!$J$2:$J$22222)=0,"",SUMIF(搜索词报告!$A$2:$A$22222,总体数据一览!A737,搜索词报告!$J$2:$J$22222))</f>
        <v/>
      </c>
      <c r="D737" s="2" t="str">
        <f t="shared" si="36"/>
        <v/>
      </c>
      <c r="E737" t="str">
        <f t="shared" si="37"/>
        <v/>
      </c>
      <c r="F737" t="str">
        <f>IF(SUMIF(搜索词报告!$A$2:$A$22222,总体数据一览!A737,搜索词报告!$M$2:$M$22222)=0,"",SUMIF(搜索词报告!$A$2:$A$22222,总体数据一览!A737,搜索词报告!$M$2:$M$22222))</f>
        <v/>
      </c>
      <c r="G737" t="str">
        <f>IFERROR(IF(B737="","",SUMIF(搜索词报告!$A$2:$A$22222,总体数据一览!A737,搜索词报告!$V$2:$V$22222))+IF(B737="","",SUMIF(搜索词报告!$A$2:$A$22222,总体数据一览!A737,搜索词报告!$W$2:$W$22222)),"")</f>
        <v/>
      </c>
      <c r="H737" s="2" t="str">
        <f t="shared" si="38"/>
        <v/>
      </c>
    </row>
    <row r="738" spans="2:8" x14ac:dyDescent="0.15">
      <c r="B738" t="str">
        <f>IF(SUMIF(搜索词报告!$A$2:$A$22222,总体数据一览!A738,搜索词报告!$I$2:$I$22222)=0,"",SUMIF(搜索词报告!$A$2:$A$22222,总体数据一览!A738,搜索词报告!$I$2:$I$22222))</f>
        <v/>
      </c>
      <c r="C738" t="str">
        <f>IF(SUMIF(搜索词报告!$A$2:$A$22222,总体数据一览!A738,搜索词报告!$J$2:$J$22222)=0,"",SUMIF(搜索词报告!$A$2:$A$22222,总体数据一览!A738,搜索词报告!$J$2:$J$22222))</f>
        <v/>
      </c>
      <c r="D738" s="2" t="str">
        <f t="shared" si="36"/>
        <v/>
      </c>
      <c r="E738" t="str">
        <f t="shared" si="37"/>
        <v/>
      </c>
      <c r="F738" t="str">
        <f>IF(SUMIF(搜索词报告!$A$2:$A$22222,总体数据一览!A738,搜索词报告!$M$2:$M$22222)=0,"",SUMIF(搜索词报告!$A$2:$A$22222,总体数据一览!A738,搜索词报告!$M$2:$M$22222))</f>
        <v/>
      </c>
      <c r="G738" t="str">
        <f>IFERROR(IF(B738="","",SUMIF(搜索词报告!$A$2:$A$22222,总体数据一览!A738,搜索词报告!$V$2:$V$22222))+IF(B738="","",SUMIF(搜索词报告!$A$2:$A$22222,总体数据一览!A738,搜索词报告!$W$2:$W$22222)),"")</f>
        <v/>
      </c>
      <c r="H738" s="2" t="str">
        <f t="shared" si="38"/>
        <v/>
      </c>
    </row>
    <row r="739" spans="2:8" x14ac:dyDescent="0.15">
      <c r="B739" t="str">
        <f>IF(SUMIF(搜索词报告!$A$2:$A$22222,总体数据一览!A739,搜索词报告!$I$2:$I$22222)=0,"",SUMIF(搜索词报告!$A$2:$A$22222,总体数据一览!A739,搜索词报告!$I$2:$I$22222))</f>
        <v/>
      </c>
      <c r="C739" t="str">
        <f>IF(SUMIF(搜索词报告!$A$2:$A$22222,总体数据一览!A739,搜索词报告!$J$2:$J$22222)=0,"",SUMIF(搜索词报告!$A$2:$A$22222,总体数据一览!A739,搜索词报告!$J$2:$J$22222))</f>
        <v/>
      </c>
      <c r="D739" s="2" t="str">
        <f t="shared" si="36"/>
        <v/>
      </c>
      <c r="E739" t="str">
        <f t="shared" si="37"/>
        <v/>
      </c>
      <c r="F739" t="str">
        <f>IF(SUMIF(搜索词报告!$A$2:$A$22222,总体数据一览!A739,搜索词报告!$M$2:$M$22222)=0,"",SUMIF(搜索词报告!$A$2:$A$22222,总体数据一览!A739,搜索词报告!$M$2:$M$22222))</f>
        <v/>
      </c>
      <c r="G739" t="str">
        <f>IFERROR(IF(B739="","",SUMIF(搜索词报告!$A$2:$A$22222,总体数据一览!A739,搜索词报告!$V$2:$V$22222))+IF(B739="","",SUMIF(搜索词报告!$A$2:$A$22222,总体数据一览!A739,搜索词报告!$W$2:$W$22222)),"")</f>
        <v/>
      </c>
      <c r="H739" s="2" t="str">
        <f t="shared" si="38"/>
        <v/>
      </c>
    </row>
    <row r="740" spans="2:8" x14ac:dyDescent="0.15">
      <c r="B740" t="str">
        <f>IF(SUMIF(搜索词报告!$A$2:$A$22222,总体数据一览!A740,搜索词报告!$I$2:$I$22222)=0,"",SUMIF(搜索词报告!$A$2:$A$22222,总体数据一览!A740,搜索词报告!$I$2:$I$22222))</f>
        <v/>
      </c>
      <c r="C740" t="str">
        <f>IF(SUMIF(搜索词报告!$A$2:$A$22222,总体数据一览!A740,搜索词报告!$J$2:$J$22222)=0,"",SUMIF(搜索词报告!$A$2:$A$22222,总体数据一览!A740,搜索词报告!$J$2:$J$22222))</f>
        <v/>
      </c>
      <c r="D740" s="2" t="str">
        <f t="shared" si="36"/>
        <v/>
      </c>
      <c r="E740" t="str">
        <f t="shared" si="37"/>
        <v/>
      </c>
      <c r="F740" t="str">
        <f>IF(SUMIF(搜索词报告!$A$2:$A$22222,总体数据一览!A740,搜索词报告!$M$2:$M$22222)=0,"",SUMIF(搜索词报告!$A$2:$A$22222,总体数据一览!A740,搜索词报告!$M$2:$M$22222))</f>
        <v/>
      </c>
      <c r="G740" t="str">
        <f>IFERROR(IF(B740="","",SUMIF(搜索词报告!$A$2:$A$22222,总体数据一览!A740,搜索词报告!$V$2:$V$22222))+IF(B740="","",SUMIF(搜索词报告!$A$2:$A$22222,总体数据一览!A740,搜索词报告!$W$2:$W$22222)),"")</f>
        <v/>
      </c>
      <c r="H740" s="2" t="str">
        <f t="shared" si="38"/>
        <v/>
      </c>
    </row>
    <row r="741" spans="2:8" x14ac:dyDescent="0.15">
      <c r="B741" t="str">
        <f>IF(SUMIF(搜索词报告!$A$2:$A$22222,总体数据一览!A741,搜索词报告!$I$2:$I$22222)=0,"",SUMIF(搜索词报告!$A$2:$A$22222,总体数据一览!A741,搜索词报告!$I$2:$I$22222))</f>
        <v/>
      </c>
      <c r="C741" t="str">
        <f>IF(SUMIF(搜索词报告!$A$2:$A$22222,总体数据一览!A741,搜索词报告!$J$2:$J$22222)=0,"",SUMIF(搜索词报告!$A$2:$A$22222,总体数据一览!A741,搜索词报告!$J$2:$J$22222))</f>
        <v/>
      </c>
      <c r="D741" s="2" t="str">
        <f t="shared" si="36"/>
        <v/>
      </c>
      <c r="E741" t="str">
        <f t="shared" si="37"/>
        <v/>
      </c>
      <c r="F741" t="str">
        <f>IF(SUMIF(搜索词报告!$A$2:$A$22222,总体数据一览!A741,搜索词报告!$M$2:$M$22222)=0,"",SUMIF(搜索词报告!$A$2:$A$22222,总体数据一览!A741,搜索词报告!$M$2:$M$22222))</f>
        <v/>
      </c>
      <c r="G741" t="str">
        <f>IFERROR(IF(B741="","",SUMIF(搜索词报告!$A$2:$A$22222,总体数据一览!A741,搜索词报告!$V$2:$V$22222))+IF(B741="","",SUMIF(搜索词报告!$A$2:$A$22222,总体数据一览!A741,搜索词报告!$W$2:$W$22222)),"")</f>
        <v/>
      </c>
      <c r="H741" s="2" t="str">
        <f t="shared" si="38"/>
        <v/>
      </c>
    </row>
    <row r="742" spans="2:8" x14ac:dyDescent="0.15">
      <c r="B742" t="str">
        <f>IF(SUMIF(搜索词报告!$A$2:$A$22222,总体数据一览!A742,搜索词报告!$I$2:$I$22222)=0,"",SUMIF(搜索词报告!$A$2:$A$22222,总体数据一览!A742,搜索词报告!$I$2:$I$22222))</f>
        <v/>
      </c>
      <c r="C742" t="str">
        <f>IF(SUMIF(搜索词报告!$A$2:$A$22222,总体数据一览!A742,搜索词报告!$J$2:$J$22222)=0,"",SUMIF(搜索词报告!$A$2:$A$22222,总体数据一览!A742,搜索词报告!$J$2:$J$22222))</f>
        <v/>
      </c>
      <c r="D742" s="2" t="str">
        <f t="shared" si="36"/>
        <v/>
      </c>
      <c r="E742" t="str">
        <f t="shared" si="37"/>
        <v/>
      </c>
      <c r="F742" t="str">
        <f>IF(SUMIF(搜索词报告!$A$2:$A$22222,总体数据一览!A742,搜索词报告!$M$2:$M$22222)=0,"",SUMIF(搜索词报告!$A$2:$A$22222,总体数据一览!A742,搜索词报告!$M$2:$M$22222))</f>
        <v/>
      </c>
      <c r="G742" t="str">
        <f>IFERROR(IF(B742="","",SUMIF(搜索词报告!$A$2:$A$22222,总体数据一览!A742,搜索词报告!$V$2:$V$22222))+IF(B742="","",SUMIF(搜索词报告!$A$2:$A$22222,总体数据一览!A742,搜索词报告!$W$2:$W$22222)),"")</f>
        <v/>
      </c>
      <c r="H742" s="2" t="str">
        <f t="shared" si="38"/>
        <v/>
      </c>
    </row>
    <row r="743" spans="2:8" x14ac:dyDescent="0.15">
      <c r="B743" t="str">
        <f>IF(SUMIF(搜索词报告!$A$2:$A$22222,总体数据一览!A743,搜索词报告!$I$2:$I$22222)=0,"",SUMIF(搜索词报告!$A$2:$A$22222,总体数据一览!A743,搜索词报告!$I$2:$I$22222))</f>
        <v/>
      </c>
      <c r="C743" t="str">
        <f>IF(SUMIF(搜索词报告!$A$2:$A$22222,总体数据一览!A743,搜索词报告!$J$2:$J$22222)=0,"",SUMIF(搜索词报告!$A$2:$A$22222,总体数据一览!A743,搜索词报告!$J$2:$J$22222))</f>
        <v/>
      </c>
      <c r="D743" s="2" t="str">
        <f t="shared" si="36"/>
        <v/>
      </c>
      <c r="E743" t="str">
        <f t="shared" si="37"/>
        <v/>
      </c>
      <c r="F743" t="str">
        <f>IF(SUMIF(搜索词报告!$A$2:$A$22222,总体数据一览!A743,搜索词报告!$M$2:$M$22222)=0,"",SUMIF(搜索词报告!$A$2:$A$22222,总体数据一览!A743,搜索词报告!$M$2:$M$22222))</f>
        <v/>
      </c>
      <c r="G743" t="str">
        <f>IFERROR(IF(B743="","",SUMIF(搜索词报告!$A$2:$A$22222,总体数据一览!A743,搜索词报告!$V$2:$V$22222))+IF(B743="","",SUMIF(搜索词报告!$A$2:$A$22222,总体数据一览!A743,搜索词报告!$W$2:$W$22222)),"")</f>
        <v/>
      </c>
      <c r="H743" s="2" t="str">
        <f t="shared" si="38"/>
        <v/>
      </c>
    </row>
    <row r="744" spans="2:8" x14ac:dyDescent="0.15">
      <c r="B744" t="str">
        <f>IF(SUMIF(搜索词报告!$A$2:$A$22222,总体数据一览!A744,搜索词报告!$I$2:$I$22222)=0,"",SUMIF(搜索词报告!$A$2:$A$22222,总体数据一览!A744,搜索词报告!$I$2:$I$22222))</f>
        <v/>
      </c>
      <c r="C744" t="str">
        <f>IF(SUMIF(搜索词报告!$A$2:$A$22222,总体数据一览!A744,搜索词报告!$J$2:$J$22222)=0,"",SUMIF(搜索词报告!$A$2:$A$22222,总体数据一览!A744,搜索词报告!$J$2:$J$22222))</f>
        <v/>
      </c>
      <c r="D744" s="2" t="str">
        <f t="shared" si="36"/>
        <v/>
      </c>
      <c r="E744" t="str">
        <f t="shared" si="37"/>
        <v/>
      </c>
      <c r="F744" t="str">
        <f>IF(SUMIF(搜索词报告!$A$2:$A$22222,总体数据一览!A744,搜索词报告!$M$2:$M$22222)=0,"",SUMIF(搜索词报告!$A$2:$A$22222,总体数据一览!A744,搜索词报告!$M$2:$M$22222))</f>
        <v/>
      </c>
      <c r="G744" t="str">
        <f>IFERROR(IF(B744="","",SUMIF(搜索词报告!$A$2:$A$22222,总体数据一览!A744,搜索词报告!$V$2:$V$22222))+IF(B744="","",SUMIF(搜索词报告!$A$2:$A$22222,总体数据一览!A744,搜索词报告!$W$2:$W$22222)),"")</f>
        <v/>
      </c>
      <c r="H744" s="2" t="str">
        <f t="shared" si="38"/>
        <v/>
      </c>
    </row>
    <row r="745" spans="2:8" x14ac:dyDescent="0.15">
      <c r="B745" t="str">
        <f>IF(SUMIF(搜索词报告!$A$2:$A$22222,总体数据一览!A745,搜索词报告!$I$2:$I$22222)=0,"",SUMIF(搜索词报告!$A$2:$A$22222,总体数据一览!A745,搜索词报告!$I$2:$I$22222))</f>
        <v/>
      </c>
      <c r="C745" t="str">
        <f>IF(SUMIF(搜索词报告!$A$2:$A$22222,总体数据一览!A745,搜索词报告!$J$2:$J$22222)=0,"",SUMIF(搜索词报告!$A$2:$A$22222,总体数据一览!A745,搜索词报告!$J$2:$J$22222))</f>
        <v/>
      </c>
      <c r="D745" s="2" t="str">
        <f t="shared" si="36"/>
        <v/>
      </c>
      <c r="E745" t="str">
        <f t="shared" si="37"/>
        <v/>
      </c>
      <c r="F745" t="str">
        <f>IF(SUMIF(搜索词报告!$A$2:$A$22222,总体数据一览!A745,搜索词报告!$M$2:$M$22222)=0,"",SUMIF(搜索词报告!$A$2:$A$22222,总体数据一览!A745,搜索词报告!$M$2:$M$22222))</f>
        <v/>
      </c>
      <c r="G745" t="str">
        <f>IFERROR(IF(B745="","",SUMIF(搜索词报告!$A$2:$A$22222,总体数据一览!A745,搜索词报告!$V$2:$V$22222))+IF(B745="","",SUMIF(搜索词报告!$A$2:$A$22222,总体数据一览!A745,搜索词报告!$W$2:$W$22222)),"")</f>
        <v/>
      </c>
      <c r="H745" s="2" t="str">
        <f t="shared" si="38"/>
        <v/>
      </c>
    </row>
    <row r="746" spans="2:8" x14ac:dyDescent="0.15">
      <c r="B746" t="str">
        <f>IF(SUMIF(搜索词报告!$A$2:$A$22222,总体数据一览!A746,搜索词报告!$I$2:$I$22222)=0,"",SUMIF(搜索词报告!$A$2:$A$22222,总体数据一览!A746,搜索词报告!$I$2:$I$22222))</f>
        <v/>
      </c>
      <c r="C746" t="str">
        <f>IF(SUMIF(搜索词报告!$A$2:$A$22222,总体数据一览!A746,搜索词报告!$J$2:$J$22222)=0,"",SUMIF(搜索词报告!$A$2:$A$22222,总体数据一览!A746,搜索词报告!$J$2:$J$22222))</f>
        <v/>
      </c>
      <c r="D746" s="2" t="str">
        <f t="shared" si="36"/>
        <v/>
      </c>
      <c r="E746" t="str">
        <f t="shared" si="37"/>
        <v/>
      </c>
      <c r="F746" t="str">
        <f>IF(SUMIF(搜索词报告!$A$2:$A$22222,总体数据一览!A746,搜索词报告!$M$2:$M$22222)=0,"",SUMIF(搜索词报告!$A$2:$A$22222,总体数据一览!A746,搜索词报告!$M$2:$M$22222))</f>
        <v/>
      </c>
      <c r="G746" t="str">
        <f>IFERROR(IF(B746="","",SUMIF(搜索词报告!$A$2:$A$22222,总体数据一览!A746,搜索词报告!$V$2:$V$22222))+IF(B746="","",SUMIF(搜索词报告!$A$2:$A$22222,总体数据一览!A746,搜索词报告!$W$2:$W$22222)),"")</f>
        <v/>
      </c>
      <c r="H746" s="2" t="str">
        <f t="shared" si="38"/>
        <v/>
      </c>
    </row>
    <row r="747" spans="2:8" x14ac:dyDescent="0.15">
      <c r="B747" t="str">
        <f>IF(SUMIF(搜索词报告!$A$2:$A$22222,总体数据一览!A747,搜索词报告!$I$2:$I$22222)=0,"",SUMIF(搜索词报告!$A$2:$A$22222,总体数据一览!A747,搜索词报告!$I$2:$I$22222))</f>
        <v/>
      </c>
      <c r="C747" t="str">
        <f>IF(SUMIF(搜索词报告!$A$2:$A$22222,总体数据一览!A747,搜索词报告!$J$2:$J$22222)=0,"",SUMIF(搜索词报告!$A$2:$A$22222,总体数据一览!A747,搜索词报告!$J$2:$J$22222))</f>
        <v/>
      </c>
      <c r="D747" s="2" t="str">
        <f t="shared" si="36"/>
        <v/>
      </c>
      <c r="E747" t="str">
        <f t="shared" si="37"/>
        <v/>
      </c>
      <c r="F747" t="str">
        <f>IF(SUMIF(搜索词报告!$A$2:$A$22222,总体数据一览!A747,搜索词报告!$M$2:$M$22222)=0,"",SUMIF(搜索词报告!$A$2:$A$22222,总体数据一览!A747,搜索词报告!$M$2:$M$22222))</f>
        <v/>
      </c>
      <c r="G747" t="str">
        <f>IFERROR(IF(B747="","",SUMIF(搜索词报告!$A$2:$A$22222,总体数据一览!A747,搜索词报告!$V$2:$V$22222))+IF(B747="","",SUMIF(搜索词报告!$A$2:$A$22222,总体数据一览!A747,搜索词报告!$W$2:$W$22222)),"")</f>
        <v/>
      </c>
      <c r="H747" s="2" t="str">
        <f t="shared" si="38"/>
        <v/>
      </c>
    </row>
    <row r="748" spans="2:8" x14ac:dyDescent="0.15">
      <c r="B748" t="str">
        <f>IF(SUMIF(搜索词报告!$A$2:$A$22222,总体数据一览!A748,搜索词报告!$I$2:$I$22222)=0,"",SUMIF(搜索词报告!$A$2:$A$22222,总体数据一览!A748,搜索词报告!$I$2:$I$22222))</f>
        <v/>
      </c>
      <c r="C748" t="str">
        <f>IF(SUMIF(搜索词报告!$A$2:$A$22222,总体数据一览!A748,搜索词报告!$J$2:$J$22222)=0,"",SUMIF(搜索词报告!$A$2:$A$22222,总体数据一览!A748,搜索词报告!$J$2:$J$22222))</f>
        <v/>
      </c>
      <c r="D748" s="2" t="str">
        <f t="shared" si="36"/>
        <v/>
      </c>
      <c r="E748" t="str">
        <f t="shared" si="37"/>
        <v/>
      </c>
      <c r="F748" t="str">
        <f>IF(SUMIF(搜索词报告!$A$2:$A$22222,总体数据一览!A748,搜索词报告!$M$2:$M$22222)=0,"",SUMIF(搜索词报告!$A$2:$A$22222,总体数据一览!A748,搜索词报告!$M$2:$M$22222))</f>
        <v/>
      </c>
      <c r="G748" t="str">
        <f>IFERROR(IF(B748="","",SUMIF(搜索词报告!$A$2:$A$22222,总体数据一览!A748,搜索词报告!$V$2:$V$22222))+IF(B748="","",SUMIF(搜索词报告!$A$2:$A$22222,总体数据一览!A748,搜索词报告!$W$2:$W$22222)),"")</f>
        <v/>
      </c>
      <c r="H748" s="2" t="str">
        <f t="shared" si="38"/>
        <v/>
      </c>
    </row>
    <row r="749" spans="2:8" x14ac:dyDescent="0.15">
      <c r="B749" t="str">
        <f>IF(SUMIF(搜索词报告!$A$2:$A$22222,总体数据一览!A749,搜索词报告!$I$2:$I$22222)=0,"",SUMIF(搜索词报告!$A$2:$A$22222,总体数据一览!A749,搜索词报告!$I$2:$I$22222))</f>
        <v/>
      </c>
      <c r="C749" t="str">
        <f>IF(SUMIF(搜索词报告!$A$2:$A$22222,总体数据一览!A749,搜索词报告!$J$2:$J$22222)=0,"",SUMIF(搜索词报告!$A$2:$A$22222,总体数据一览!A749,搜索词报告!$J$2:$J$22222))</f>
        <v/>
      </c>
      <c r="D749" s="2" t="str">
        <f t="shared" si="36"/>
        <v/>
      </c>
      <c r="E749" t="str">
        <f t="shared" si="37"/>
        <v/>
      </c>
      <c r="F749" t="str">
        <f>IF(SUMIF(搜索词报告!$A$2:$A$22222,总体数据一览!A749,搜索词报告!$M$2:$M$22222)=0,"",SUMIF(搜索词报告!$A$2:$A$22222,总体数据一览!A749,搜索词报告!$M$2:$M$22222))</f>
        <v/>
      </c>
      <c r="G749" t="str">
        <f>IFERROR(IF(B749="","",SUMIF(搜索词报告!$A$2:$A$22222,总体数据一览!A749,搜索词报告!$V$2:$V$22222))+IF(B749="","",SUMIF(搜索词报告!$A$2:$A$22222,总体数据一览!A749,搜索词报告!$W$2:$W$22222)),"")</f>
        <v/>
      </c>
      <c r="H749" s="2" t="str">
        <f t="shared" si="38"/>
        <v/>
      </c>
    </row>
    <row r="750" spans="2:8" x14ac:dyDescent="0.15">
      <c r="B750" t="str">
        <f>IF(SUMIF(搜索词报告!$A$2:$A$22222,总体数据一览!A750,搜索词报告!$I$2:$I$22222)=0,"",SUMIF(搜索词报告!$A$2:$A$22222,总体数据一览!A750,搜索词报告!$I$2:$I$22222))</f>
        <v/>
      </c>
      <c r="C750" t="str">
        <f>IF(SUMIF(搜索词报告!$A$2:$A$22222,总体数据一览!A750,搜索词报告!$J$2:$J$22222)=0,"",SUMIF(搜索词报告!$A$2:$A$22222,总体数据一览!A750,搜索词报告!$J$2:$J$22222))</f>
        <v/>
      </c>
      <c r="D750" s="2" t="str">
        <f t="shared" si="36"/>
        <v/>
      </c>
      <c r="E750" t="str">
        <f t="shared" si="37"/>
        <v/>
      </c>
      <c r="F750" t="str">
        <f>IF(SUMIF(搜索词报告!$A$2:$A$22222,总体数据一览!A750,搜索词报告!$M$2:$M$22222)=0,"",SUMIF(搜索词报告!$A$2:$A$22222,总体数据一览!A750,搜索词报告!$M$2:$M$22222))</f>
        <v/>
      </c>
      <c r="G750" t="str">
        <f>IFERROR(IF(B750="","",SUMIF(搜索词报告!$A$2:$A$22222,总体数据一览!A750,搜索词报告!$V$2:$V$22222))+IF(B750="","",SUMIF(搜索词报告!$A$2:$A$22222,总体数据一览!A750,搜索词报告!$W$2:$W$22222)),"")</f>
        <v/>
      </c>
      <c r="H750" s="2" t="str">
        <f t="shared" si="38"/>
        <v/>
      </c>
    </row>
    <row r="751" spans="2:8" x14ac:dyDescent="0.15">
      <c r="B751" t="str">
        <f>IF(SUMIF(搜索词报告!$A$2:$A$22222,总体数据一览!A751,搜索词报告!$I$2:$I$22222)=0,"",SUMIF(搜索词报告!$A$2:$A$22222,总体数据一览!A751,搜索词报告!$I$2:$I$22222))</f>
        <v/>
      </c>
      <c r="C751" t="str">
        <f>IF(SUMIF(搜索词报告!$A$2:$A$22222,总体数据一览!A751,搜索词报告!$J$2:$J$22222)=0,"",SUMIF(搜索词报告!$A$2:$A$22222,总体数据一览!A751,搜索词报告!$J$2:$J$22222))</f>
        <v/>
      </c>
      <c r="D751" s="2" t="str">
        <f t="shared" si="36"/>
        <v/>
      </c>
      <c r="E751" t="str">
        <f t="shared" si="37"/>
        <v/>
      </c>
      <c r="F751" t="str">
        <f>IF(SUMIF(搜索词报告!$A$2:$A$22222,总体数据一览!A751,搜索词报告!$M$2:$M$22222)=0,"",SUMIF(搜索词报告!$A$2:$A$22222,总体数据一览!A751,搜索词报告!$M$2:$M$22222))</f>
        <v/>
      </c>
      <c r="G751" t="str">
        <f>IFERROR(IF(B751="","",SUMIF(搜索词报告!$A$2:$A$22222,总体数据一览!A751,搜索词报告!$V$2:$V$22222))+IF(B751="","",SUMIF(搜索词报告!$A$2:$A$22222,总体数据一览!A751,搜索词报告!$W$2:$W$22222)),"")</f>
        <v/>
      </c>
      <c r="H751" s="2" t="str">
        <f t="shared" si="38"/>
        <v/>
      </c>
    </row>
    <row r="752" spans="2:8" x14ac:dyDescent="0.15">
      <c r="B752" t="str">
        <f>IF(SUMIF(搜索词报告!$A$2:$A$22222,总体数据一览!A752,搜索词报告!$I$2:$I$22222)=0,"",SUMIF(搜索词报告!$A$2:$A$22222,总体数据一览!A752,搜索词报告!$I$2:$I$22222))</f>
        <v/>
      </c>
      <c r="C752" t="str">
        <f>IF(SUMIF(搜索词报告!$A$2:$A$22222,总体数据一览!A752,搜索词报告!$J$2:$J$22222)=0,"",SUMIF(搜索词报告!$A$2:$A$22222,总体数据一览!A752,搜索词报告!$J$2:$J$22222))</f>
        <v/>
      </c>
      <c r="D752" s="2" t="str">
        <f t="shared" si="36"/>
        <v/>
      </c>
      <c r="E752" t="str">
        <f t="shared" si="37"/>
        <v/>
      </c>
      <c r="F752" t="str">
        <f>IF(SUMIF(搜索词报告!$A$2:$A$22222,总体数据一览!A752,搜索词报告!$M$2:$M$22222)=0,"",SUMIF(搜索词报告!$A$2:$A$22222,总体数据一览!A752,搜索词报告!$M$2:$M$22222))</f>
        <v/>
      </c>
      <c r="G752" t="str">
        <f>IFERROR(IF(B752="","",SUMIF(搜索词报告!$A$2:$A$22222,总体数据一览!A752,搜索词报告!$V$2:$V$22222))+IF(B752="","",SUMIF(搜索词报告!$A$2:$A$22222,总体数据一览!A752,搜索词报告!$W$2:$W$22222)),"")</f>
        <v/>
      </c>
      <c r="H752" s="2" t="str">
        <f t="shared" si="38"/>
        <v/>
      </c>
    </row>
    <row r="753" spans="2:8" x14ac:dyDescent="0.15">
      <c r="B753" t="str">
        <f>IF(SUMIF(搜索词报告!$A$2:$A$22222,总体数据一览!A753,搜索词报告!$I$2:$I$22222)=0,"",SUMIF(搜索词报告!$A$2:$A$22222,总体数据一览!A753,搜索词报告!$I$2:$I$22222))</f>
        <v/>
      </c>
      <c r="C753" t="str">
        <f>IF(SUMIF(搜索词报告!$A$2:$A$22222,总体数据一览!A753,搜索词报告!$J$2:$J$22222)=0,"",SUMIF(搜索词报告!$A$2:$A$22222,总体数据一览!A753,搜索词报告!$J$2:$J$22222))</f>
        <v/>
      </c>
      <c r="D753" s="2" t="str">
        <f t="shared" si="36"/>
        <v/>
      </c>
      <c r="E753" t="str">
        <f t="shared" si="37"/>
        <v/>
      </c>
      <c r="F753" t="str">
        <f>IF(SUMIF(搜索词报告!$A$2:$A$22222,总体数据一览!A753,搜索词报告!$M$2:$M$22222)=0,"",SUMIF(搜索词报告!$A$2:$A$22222,总体数据一览!A753,搜索词报告!$M$2:$M$22222))</f>
        <v/>
      </c>
      <c r="G753" t="str">
        <f>IFERROR(IF(B753="","",SUMIF(搜索词报告!$A$2:$A$22222,总体数据一览!A753,搜索词报告!$V$2:$V$22222))+IF(B753="","",SUMIF(搜索词报告!$A$2:$A$22222,总体数据一览!A753,搜索词报告!$W$2:$W$22222)),"")</f>
        <v/>
      </c>
      <c r="H753" s="2" t="str">
        <f t="shared" si="38"/>
        <v/>
      </c>
    </row>
    <row r="754" spans="2:8" x14ac:dyDescent="0.15">
      <c r="B754" t="str">
        <f>IF(SUMIF(搜索词报告!$A$2:$A$22222,总体数据一览!A754,搜索词报告!$I$2:$I$22222)=0,"",SUMIF(搜索词报告!$A$2:$A$22222,总体数据一览!A754,搜索词报告!$I$2:$I$22222))</f>
        <v/>
      </c>
      <c r="C754" t="str">
        <f>IF(SUMIF(搜索词报告!$A$2:$A$22222,总体数据一览!A754,搜索词报告!$J$2:$J$22222)=0,"",SUMIF(搜索词报告!$A$2:$A$22222,总体数据一览!A754,搜索词报告!$J$2:$J$22222))</f>
        <v/>
      </c>
      <c r="D754" s="2" t="str">
        <f t="shared" si="36"/>
        <v/>
      </c>
      <c r="E754" t="str">
        <f t="shared" si="37"/>
        <v/>
      </c>
      <c r="F754" t="str">
        <f>IF(SUMIF(搜索词报告!$A$2:$A$22222,总体数据一览!A754,搜索词报告!$M$2:$M$22222)=0,"",SUMIF(搜索词报告!$A$2:$A$22222,总体数据一览!A754,搜索词报告!$M$2:$M$22222))</f>
        <v/>
      </c>
      <c r="G754" t="str">
        <f>IFERROR(IF(B754="","",SUMIF(搜索词报告!$A$2:$A$22222,总体数据一览!A754,搜索词报告!$V$2:$V$22222))+IF(B754="","",SUMIF(搜索词报告!$A$2:$A$22222,总体数据一览!A754,搜索词报告!$W$2:$W$22222)),"")</f>
        <v/>
      </c>
      <c r="H754" s="2" t="str">
        <f t="shared" si="38"/>
        <v/>
      </c>
    </row>
    <row r="755" spans="2:8" x14ac:dyDescent="0.15">
      <c r="B755" t="str">
        <f>IF(SUMIF(搜索词报告!$A$2:$A$22222,总体数据一览!A755,搜索词报告!$I$2:$I$22222)=0,"",SUMIF(搜索词报告!$A$2:$A$22222,总体数据一览!A755,搜索词报告!$I$2:$I$22222))</f>
        <v/>
      </c>
      <c r="C755" t="str">
        <f>IF(SUMIF(搜索词报告!$A$2:$A$22222,总体数据一览!A755,搜索词报告!$J$2:$J$22222)=0,"",SUMIF(搜索词报告!$A$2:$A$22222,总体数据一览!A755,搜索词报告!$J$2:$J$22222))</f>
        <v/>
      </c>
      <c r="D755" s="2" t="str">
        <f t="shared" si="36"/>
        <v/>
      </c>
      <c r="E755" t="str">
        <f t="shared" si="37"/>
        <v/>
      </c>
      <c r="F755" t="str">
        <f>IF(SUMIF(搜索词报告!$A$2:$A$22222,总体数据一览!A755,搜索词报告!$M$2:$M$22222)=0,"",SUMIF(搜索词报告!$A$2:$A$22222,总体数据一览!A755,搜索词报告!$M$2:$M$22222))</f>
        <v/>
      </c>
      <c r="G755" t="str">
        <f>IFERROR(IF(B755="","",SUMIF(搜索词报告!$A$2:$A$22222,总体数据一览!A755,搜索词报告!$V$2:$V$22222))+IF(B755="","",SUMIF(搜索词报告!$A$2:$A$22222,总体数据一览!A755,搜索词报告!$W$2:$W$22222)),"")</f>
        <v/>
      </c>
      <c r="H755" s="2" t="str">
        <f t="shared" si="38"/>
        <v/>
      </c>
    </row>
    <row r="756" spans="2:8" x14ac:dyDescent="0.15">
      <c r="B756" t="str">
        <f>IF(SUMIF(搜索词报告!$A$2:$A$22222,总体数据一览!A756,搜索词报告!$I$2:$I$22222)=0,"",SUMIF(搜索词报告!$A$2:$A$22222,总体数据一览!A756,搜索词报告!$I$2:$I$22222))</f>
        <v/>
      </c>
      <c r="C756" t="str">
        <f>IF(SUMIF(搜索词报告!$A$2:$A$22222,总体数据一览!A756,搜索词报告!$J$2:$J$22222)=0,"",SUMIF(搜索词报告!$A$2:$A$22222,总体数据一览!A756,搜索词报告!$J$2:$J$22222))</f>
        <v/>
      </c>
      <c r="D756" s="2" t="str">
        <f t="shared" si="36"/>
        <v/>
      </c>
      <c r="E756" t="str">
        <f t="shared" si="37"/>
        <v/>
      </c>
      <c r="F756" t="str">
        <f>IF(SUMIF(搜索词报告!$A$2:$A$22222,总体数据一览!A756,搜索词报告!$M$2:$M$22222)=0,"",SUMIF(搜索词报告!$A$2:$A$22222,总体数据一览!A756,搜索词报告!$M$2:$M$22222))</f>
        <v/>
      </c>
      <c r="G756" t="str">
        <f>IFERROR(IF(B756="","",SUMIF(搜索词报告!$A$2:$A$22222,总体数据一览!A756,搜索词报告!$V$2:$V$22222))+IF(B756="","",SUMIF(搜索词报告!$A$2:$A$22222,总体数据一览!A756,搜索词报告!$W$2:$W$22222)),"")</f>
        <v/>
      </c>
      <c r="H756" s="2" t="str">
        <f t="shared" si="38"/>
        <v/>
      </c>
    </row>
    <row r="757" spans="2:8" x14ac:dyDescent="0.15">
      <c r="B757" t="str">
        <f>IF(SUMIF(搜索词报告!$A$2:$A$22222,总体数据一览!A757,搜索词报告!$I$2:$I$22222)=0,"",SUMIF(搜索词报告!$A$2:$A$22222,总体数据一览!A757,搜索词报告!$I$2:$I$22222))</f>
        <v/>
      </c>
      <c r="C757" t="str">
        <f>IF(SUMIF(搜索词报告!$A$2:$A$22222,总体数据一览!A757,搜索词报告!$J$2:$J$22222)=0,"",SUMIF(搜索词报告!$A$2:$A$22222,总体数据一览!A757,搜索词报告!$J$2:$J$22222))</f>
        <v/>
      </c>
      <c r="D757" s="2" t="str">
        <f t="shared" si="36"/>
        <v/>
      </c>
      <c r="E757" t="str">
        <f t="shared" si="37"/>
        <v/>
      </c>
      <c r="F757" t="str">
        <f>IF(SUMIF(搜索词报告!$A$2:$A$22222,总体数据一览!A757,搜索词报告!$M$2:$M$22222)=0,"",SUMIF(搜索词报告!$A$2:$A$22222,总体数据一览!A757,搜索词报告!$M$2:$M$22222))</f>
        <v/>
      </c>
      <c r="G757" t="str">
        <f>IFERROR(IF(B757="","",SUMIF(搜索词报告!$A$2:$A$22222,总体数据一览!A757,搜索词报告!$V$2:$V$22222))+IF(B757="","",SUMIF(搜索词报告!$A$2:$A$22222,总体数据一览!A757,搜索词报告!$W$2:$W$22222)),"")</f>
        <v/>
      </c>
      <c r="H757" s="2" t="str">
        <f t="shared" si="38"/>
        <v/>
      </c>
    </row>
    <row r="758" spans="2:8" x14ac:dyDescent="0.15">
      <c r="B758" t="str">
        <f>IF(SUMIF(搜索词报告!$A$2:$A$22222,总体数据一览!A758,搜索词报告!$I$2:$I$22222)=0,"",SUMIF(搜索词报告!$A$2:$A$22222,总体数据一览!A758,搜索词报告!$I$2:$I$22222))</f>
        <v/>
      </c>
      <c r="C758" t="str">
        <f>IF(SUMIF(搜索词报告!$A$2:$A$22222,总体数据一览!A758,搜索词报告!$J$2:$J$22222)=0,"",SUMIF(搜索词报告!$A$2:$A$22222,总体数据一览!A758,搜索词报告!$J$2:$J$22222))</f>
        <v/>
      </c>
      <c r="D758" s="2" t="str">
        <f t="shared" si="36"/>
        <v/>
      </c>
      <c r="E758" t="str">
        <f t="shared" si="37"/>
        <v/>
      </c>
      <c r="F758" t="str">
        <f>IF(SUMIF(搜索词报告!$A$2:$A$22222,总体数据一览!A758,搜索词报告!$M$2:$M$22222)=0,"",SUMIF(搜索词报告!$A$2:$A$22222,总体数据一览!A758,搜索词报告!$M$2:$M$22222))</f>
        <v/>
      </c>
      <c r="G758" t="str">
        <f>IFERROR(IF(B758="","",SUMIF(搜索词报告!$A$2:$A$22222,总体数据一览!A758,搜索词报告!$V$2:$V$22222))+IF(B758="","",SUMIF(搜索词报告!$A$2:$A$22222,总体数据一览!A758,搜索词报告!$W$2:$W$22222)),"")</f>
        <v/>
      </c>
      <c r="H758" s="2" t="str">
        <f t="shared" si="38"/>
        <v/>
      </c>
    </row>
    <row r="759" spans="2:8" x14ac:dyDescent="0.15">
      <c r="B759" t="str">
        <f>IF(SUMIF(搜索词报告!$A$2:$A$22222,总体数据一览!A759,搜索词报告!$I$2:$I$22222)=0,"",SUMIF(搜索词报告!$A$2:$A$22222,总体数据一览!A759,搜索词报告!$I$2:$I$22222))</f>
        <v/>
      </c>
      <c r="C759" t="str">
        <f>IF(SUMIF(搜索词报告!$A$2:$A$22222,总体数据一览!A759,搜索词报告!$J$2:$J$22222)=0,"",SUMIF(搜索词报告!$A$2:$A$22222,总体数据一览!A759,搜索词报告!$J$2:$J$22222))</f>
        <v/>
      </c>
      <c r="D759" s="2" t="str">
        <f t="shared" si="36"/>
        <v/>
      </c>
      <c r="E759" t="str">
        <f t="shared" si="37"/>
        <v/>
      </c>
      <c r="F759" t="str">
        <f>IF(SUMIF(搜索词报告!$A$2:$A$22222,总体数据一览!A759,搜索词报告!$M$2:$M$22222)=0,"",SUMIF(搜索词报告!$A$2:$A$22222,总体数据一览!A759,搜索词报告!$M$2:$M$22222))</f>
        <v/>
      </c>
      <c r="G759" t="str">
        <f>IFERROR(IF(B759="","",SUMIF(搜索词报告!$A$2:$A$22222,总体数据一览!A759,搜索词报告!$V$2:$V$22222))+IF(B759="","",SUMIF(搜索词报告!$A$2:$A$22222,总体数据一览!A759,搜索词报告!$W$2:$W$22222)),"")</f>
        <v/>
      </c>
      <c r="H759" s="2" t="str">
        <f t="shared" si="38"/>
        <v/>
      </c>
    </row>
    <row r="760" spans="2:8" x14ac:dyDescent="0.15">
      <c r="B760" t="str">
        <f>IF(SUMIF(搜索词报告!$A$2:$A$22222,总体数据一览!A760,搜索词报告!$I$2:$I$22222)=0,"",SUMIF(搜索词报告!$A$2:$A$22222,总体数据一览!A760,搜索词报告!$I$2:$I$22222))</f>
        <v/>
      </c>
      <c r="C760" t="str">
        <f>IF(SUMIF(搜索词报告!$A$2:$A$22222,总体数据一览!A760,搜索词报告!$J$2:$J$22222)=0,"",SUMIF(搜索词报告!$A$2:$A$22222,总体数据一览!A760,搜索词报告!$J$2:$J$22222))</f>
        <v/>
      </c>
      <c r="D760" s="2" t="str">
        <f t="shared" si="36"/>
        <v/>
      </c>
      <c r="E760" t="str">
        <f t="shared" si="37"/>
        <v/>
      </c>
      <c r="F760" t="str">
        <f>IF(SUMIF(搜索词报告!$A$2:$A$22222,总体数据一览!A760,搜索词报告!$M$2:$M$22222)=0,"",SUMIF(搜索词报告!$A$2:$A$22222,总体数据一览!A760,搜索词报告!$M$2:$M$22222))</f>
        <v/>
      </c>
      <c r="G760" t="str">
        <f>IFERROR(IF(B760="","",SUMIF(搜索词报告!$A$2:$A$22222,总体数据一览!A760,搜索词报告!$V$2:$V$22222))+IF(B760="","",SUMIF(搜索词报告!$A$2:$A$22222,总体数据一览!A760,搜索词报告!$W$2:$W$22222)),"")</f>
        <v/>
      </c>
      <c r="H760" s="2" t="str">
        <f t="shared" si="38"/>
        <v/>
      </c>
    </row>
    <row r="761" spans="2:8" x14ac:dyDescent="0.15">
      <c r="B761" t="str">
        <f>IF(SUMIF(搜索词报告!$A$2:$A$22222,总体数据一览!A761,搜索词报告!$I$2:$I$22222)=0,"",SUMIF(搜索词报告!$A$2:$A$22222,总体数据一览!A761,搜索词报告!$I$2:$I$22222))</f>
        <v/>
      </c>
      <c r="C761" t="str">
        <f>IF(SUMIF(搜索词报告!$A$2:$A$22222,总体数据一览!A761,搜索词报告!$J$2:$J$22222)=0,"",SUMIF(搜索词报告!$A$2:$A$22222,总体数据一览!A761,搜索词报告!$J$2:$J$22222))</f>
        <v/>
      </c>
      <c r="D761" s="2" t="str">
        <f t="shared" si="36"/>
        <v/>
      </c>
      <c r="E761" t="str">
        <f t="shared" si="37"/>
        <v/>
      </c>
      <c r="F761" t="str">
        <f>IF(SUMIF(搜索词报告!$A$2:$A$22222,总体数据一览!A761,搜索词报告!$M$2:$M$22222)=0,"",SUMIF(搜索词报告!$A$2:$A$22222,总体数据一览!A761,搜索词报告!$M$2:$M$22222))</f>
        <v/>
      </c>
      <c r="G761" t="str">
        <f>IFERROR(IF(B761="","",SUMIF(搜索词报告!$A$2:$A$22222,总体数据一览!A761,搜索词报告!$V$2:$V$22222))+IF(B761="","",SUMIF(搜索词报告!$A$2:$A$22222,总体数据一览!A761,搜索词报告!$W$2:$W$22222)),"")</f>
        <v/>
      </c>
      <c r="H761" s="2" t="str">
        <f t="shared" si="38"/>
        <v/>
      </c>
    </row>
    <row r="762" spans="2:8" x14ac:dyDescent="0.15">
      <c r="B762" t="str">
        <f>IF(SUMIF(搜索词报告!$A$2:$A$22222,总体数据一览!A762,搜索词报告!$I$2:$I$22222)=0,"",SUMIF(搜索词报告!$A$2:$A$22222,总体数据一览!A762,搜索词报告!$I$2:$I$22222))</f>
        <v/>
      </c>
      <c r="C762" t="str">
        <f>IF(SUMIF(搜索词报告!$A$2:$A$22222,总体数据一览!A762,搜索词报告!$J$2:$J$22222)=0,"",SUMIF(搜索词报告!$A$2:$A$22222,总体数据一览!A762,搜索词报告!$J$2:$J$22222))</f>
        <v/>
      </c>
      <c r="D762" s="2" t="str">
        <f t="shared" si="36"/>
        <v/>
      </c>
      <c r="E762" t="str">
        <f t="shared" si="37"/>
        <v/>
      </c>
      <c r="F762" t="str">
        <f>IF(SUMIF(搜索词报告!$A$2:$A$22222,总体数据一览!A762,搜索词报告!$M$2:$M$22222)=0,"",SUMIF(搜索词报告!$A$2:$A$22222,总体数据一览!A762,搜索词报告!$M$2:$M$22222))</f>
        <v/>
      </c>
      <c r="G762" t="str">
        <f>IFERROR(IF(B762="","",SUMIF(搜索词报告!$A$2:$A$22222,总体数据一览!A762,搜索词报告!$V$2:$V$22222))+IF(B762="","",SUMIF(搜索词报告!$A$2:$A$22222,总体数据一览!A762,搜索词报告!$W$2:$W$22222)),"")</f>
        <v/>
      </c>
      <c r="H762" s="2" t="str">
        <f t="shared" si="38"/>
        <v/>
      </c>
    </row>
    <row r="763" spans="2:8" x14ac:dyDescent="0.15">
      <c r="B763" t="str">
        <f>IF(SUMIF(搜索词报告!$A$2:$A$22222,总体数据一览!A763,搜索词报告!$I$2:$I$22222)=0,"",SUMIF(搜索词报告!$A$2:$A$22222,总体数据一览!A763,搜索词报告!$I$2:$I$22222))</f>
        <v/>
      </c>
      <c r="C763" t="str">
        <f>IF(SUMIF(搜索词报告!$A$2:$A$22222,总体数据一览!A763,搜索词报告!$J$2:$J$22222)=0,"",SUMIF(搜索词报告!$A$2:$A$22222,总体数据一览!A763,搜索词报告!$J$2:$J$22222))</f>
        <v/>
      </c>
      <c r="D763" s="2" t="str">
        <f t="shared" si="36"/>
        <v/>
      </c>
      <c r="E763" t="str">
        <f t="shared" si="37"/>
        <v/>
      </c>
      <c r="F763" t="str">
        <f>IF(SUMIF(搜索词报告!$A$2:$A$22222,总体数据一览!A763,搜索词报告!$M$2:$M$22222)=0,"",SUMIF(搜索词报告!$A$2:$A$22222,总体数据一览!A763,搜索词报告!$M$2:$M$22222))</f>
        <v/>
      </c>
      <c r="G763" t="str">
        <f>IFERROR(IF(B763="","",SUMIF(搜索词报告!$A$2:$A$22222,总体数据一览!A763,搜索词报告!$V$2:$V$22222))+IF(B763="","",SUMIF(搜索词报告!$A$2:$A$22222,总体数据一览!A763,搜索词报告!$W$2:$W$22222)),"")</f>
        <v/>
      </c>
      <c r="H763" s="2" t="str">
        <f t="shared" si="38"/>
        <v/>
      </c>
    </row>
    <row r="764" spans="2:8" x14ac:dyDescent="0.15">
      <c r="B764" t="str">
        <f>IF(SUMIF(搜索词报告!$A$2:$A$22222,总体数据一览!A764,搜索词报告!$I$2:$I$22222)=0,"",SUMIF(搜索词报告!$A$2:$A$22222,总体数据一览!A764,搜索词报告!$I$2:$I$22222))</f>
        <v/>
      </c>
      <c r="C764" t="str">
        <f>IF(SUMIF(搜索词报告!$A$2:$A$22222,总体数据一览!A764,搜索词报告!$J$2:$J$22222)=0,"",SUMIF(搜索词报告!$A$2:$A$22222,总体数据一览!A764,搜索词报告!$J$2:$J$22222))</f>
        <v/>
      </c>
      <c r="D764" s="2" t="str">
        <f t="shared" si="36"/>
        <v/>
      </c>
      <c r="E764" t="str">
        <f t="shared" si="37"/>
        <v/>
      </c>
      <c r="F764" t="str">
        <f>IF(SUMIF(搜索词报告!$A$2:$A$22222,总体数据一览!A764,搜索词报告!$M$2:$M$22222)=0,"",SUMIF(搜索词报告!$A$2:$A$22222,总体数据一览!A764,搜索词报告!$M$2:$M$22222))</f>
        <v/>
      </c>
      <c r="G764" t="str">
        <f>IFERROR(IF(B764="","",SUMIF(搜索词报告!$A$2:$A$22222,总体数据一览!A764,搜索词报告!$V$2:$V$22222))+IF(B764="","",SUMIF(搜索词报告!$A$2:$A$22222,总体数据一览!A764,搜索词报告!$W$2:$W$22222)),"")</f>
        <v/>
      </c>
      <c r="H764" s="2" t="str">
        <f t="shared" si="38"/>
        <v/>
      </c>
    </row>
    <row r="765" spans="2:8" x14ac:dyDescent="0.15">
      <c r="B765" t="str">
        <f>IF(SUMIF(搜索词报告!$A$2:$A$22222,总体数据一览!A765,搜索词报告!$I$2:$I$22222)=0,"",SUMIF(搜索词报告!$A$2:$A$22222,总体数据一览!A765,搜索词报告!$I$2:$I$22222))</f>
        <v/>
      </c>
      <c r="C765" t="str">
        <f>IF(SUMIF(搜索词报告!$A$2:$A$22222,总体数据一览!A765,搜索词报告!$J$2:$J$22222)=0,"",SUMIF(搜索词报告!$A$2:$A$22222,总体数据一览!A765,搜索词报告!$J$2:$J$22222))</f>
        <v/>
      </c>
      <c r="D765" s="2" t="str">
        <f t="shared" si="36"/>
        <v/>
      </c>
      <c r="E765" t="str">
        <f t="shared" si="37"/>
        <v/>
      </c>
      <c r="F765" t="str">
        <f>IF(SUMIF(搜索词报告!$A$2:$A$22222,总体数据一览!A765,搜索词报告!$M$2:$M$22222)=0,"",SUMIF(搜索词报告!$A$2:$A$22222,总体数据一览!A765,搜索词报告!$M$2:$M$22222))</f>
        <v/>
      </c>
      <c r="G765" t="str">
        <f>IFERROR(IF(B765="","",SUMIF(搜索词报告!$A$2:$A$22222,总体数据一览!A765,搜索词报告!$V$2:$V$22222))+IF(B765="","",SUMIF(搜索词报告!$A$2:$A$22222,总体数据一览!A765,搜索词报告!$W$2:$W$22222)),"")</f>
        <v/>
      </c>
      <c r="H765" s="2" t="str">
        <f t="shared" si="38"/>
        <v/>
      </c>
    </row>
    <row r="766" spans="2:8" x14ac:dyDescent="0.15">
      <c r="B766" t="str">
        <f>IF(SUMIF(搜索词报告!$A$2:$A$22222,总体数据一览!A766,搜索词报告!$I$2:$I$22222)=0,"",SUMIF(搜索词报告!$A$2:$A$22222,总体数据一览!A766,搜索词报告!$I$2:$I$22222))</f>
        <v/>
      </c>
      <c r="C766" t="str">
        <f>IF(SUMIF(搜索词报告!$A$2:$A$22222,总体数据一览!A766,搜索词报告!$J$2:$J$22222)=0,"",SUMIF(搜索词报告!$A$2:$A$22222,总体数据一览!A766,搜索词报告!$J$2:$J$22222))</f>
        <v/>
      </c>
      <c r="D766" s="2" t="str">
        <f t="shared" si="36"/>
        <v/>
      </c>
      <c r="E766" t="str">
        <f t="shared" si="37"/>
        <v/>
      </c>
      <c r="F766" t="str">
        <f>IF(SUMIF(搜索词报告!$A$2:$A$22222,总体数据一览!A766,搜索词报告!$M$2:$M$22222)=0,"",SUMIF(搜索词报告!$A$2:$A$22222,总体数据一览!A766,搜索词报告!$M$2:$M$22222))</f>
        <v/>
      </c>
      <c r="G766" t="str">
        <f>IFERROR(IF(B766="","",SUMIF(搜索词报告!$A$2:$A$22222,总体数据一览!A766,搜索词报告!$V$2:$V$22222))+IF(B766="","",SUMIF(搜索词报告!$A$2:$A$22222,总体数据一览!A766,搜索词报告!$W$2:$W$22222)),"")</f>
        <v/>
      </c>
      <c r="H766" s="2" t="str">
        <f t="shared" si="38"/>
        <v/>
      </c>
    </row>
    <row r="767" spans="2:8" x14ac:dyDescent="0.15">
      <c r="B767" t="str">
        <f>IF(SUMIF(搜索词报告!$A$2:$A$22222,总体数据一览!A767,搜索词报告!$I$2:$I$22222)=0,"",SUMIF(搜索词报告!$A$2:$A$22222,总体数据一览!A767,搜索词报告!$I$2:$I$22222))</f>
        <v/>
      </c>
      <c r="C767" t="str">
        <f>IF(SUMIF(搜索词报告!$A$2:$A$22222,总体数据一览!A767,搜索词报告!$J$2:$J$22222)=0,"",SUMIF(搜索词报告!$A$2:$A$22222,总体数据一览!A767,搜索词报告!$J$2:$J$22222))</f>
        <v/>
      </c>
      <c r="D767" s="2" t="str">
        <f t="shared" si="36"/>
        <v/>
      </c>
      <c r="E767" t="str">
        <f t="shared" si="37"/>
        <v/>
      </c>
      <c r="F767" t="str">
        <f>IF(SUMIF(搜索词报告!$A$2:$A$22222,总体数据一览!A767,搜索词报告!$M$2:$M$22222)=0,"",SUMIF(搜索词报告!$A$2:$A$22222,总体数据一览!A767,搜索词报告!$M$2:$M$22222))</f>
        <v/>
      </c>
      <c r="G767" t="str">
        <f>IFERROR(IF(B767="","",SUMIF(搜索词报告!$A$2:$A$22222,总体数据一览!A767,搜索词报告!$V$2:$V$22222))+IF(B767="","",SUMIF(搜索词报告!$A$2:$A$22222,总体数据一览!A767,搜索词报告!$W$2:$W$22222)),"")</f>
        <v/>
      </c>
      <c r="H767" s="2" t="str">
        <f t="shared" si="38"/>
        <v/>
      </c>
    </row>
    <row r="768" spans="2:8" x14ac:dyDescent="0.15">
      <c r="B768" t="str">
        <f>IF(SUMIF(搜索词报告!$A$2:$A$22222,总体数据一览!A768,搜索词报告!$I$2:$I$22222)=0,"",SUMIF(搜索词报告!$A$2:$A$22222,总体数据一览!A768,搜索词报告!$I$2:$I$22222))</f>
        <v/>
      </c>
      <c r="C768" t="str">
        <f>IF(SUMIF(搜索词报告!$A$2:$A$22222,总体数据一览!A768,搜索词报告!$J$2:$J$22222)=0,"",SUMIF(搜索词报告!$A$2:$A$22222,总体数据一览!A768,搜索词报告!$J$2:$J$22222))</f>
        <v/>
      </c>
      <c r="D768" s="2" t="str">
        <f t="shared" si="36"/>
        <v/>
      </c>
      <c r="E768" t="str">
        <f t="shared" si="37"/>
        <v/>
      </c>
      <c r="F768" t="str">
        <f>IF(SUMIF(搜索词报告!$A$2:$A$22222,总体数据一览!A768,搜索词报告!$M$2:$M$22222)=0,"",SUMIF(搜索词报告!$A$2:$A$22222,总体数据一览!A768,搜索词报告!$M$2:$M$22222))</f>
        <v/>
      </c>
      <c r="G768" t="str">
        <f>IFERROR(IF(B768="","",SUMIF(搜索词报告!$A$2:$A$22222,总体数据一览!A768,搜索词报告!$V$2:$V$22222))+IF(B768="","",SUMIF(搜索词报告!$A$2:$A$22222,总体数据一览!A768,搜索词报告!$W$2:$W$22222)),"")</f>
        <v/>
      </c>
      <c r="H768" s="2" t="str">
        <f t="shared" si="38"/>
        <v/>
      </c>
    </row>
    <row r="769" spans="2:8" x14ac:dyDescent="0.15">
      <c r="B769" t="str">
        <f>IF(SUMIF(搜索词报告!$A$2:$A$22222,总体数据一览!A769,搜索词报告!$I$2:$I$22222)=0,"",SUMIF(搜索词报告!$A$2:$A$22222,总体数据一览!A769,搜索词报告!$I$2:$I$22222))</f>
        <v/>
      </c>
      <c r="C769" t="str">
        <f>IF(SUMIF(搜索词报告!$A$2:$A$22222,总体数据一览!A769,搜索词报告!$J$2:$J$22222)=0,"",SUMIF(搜索词报告!$A$2:$A$22222,总体数据一览!A769,搜索词报告!$J$2:$J$22222))</f>
        <v/>
      </c>
      <c r="D769" s="2" t="str">
        <f t="shared" si="36"/>
        <v/>
      </c>
      <c r="E769" t="str">
        <f t="shared" si="37"/>
        <v/>
      </c>
      <c r="F769" t="str">
        <f>IF(SUMIF(搜索词报告!$A$2:$A$22222,总体数据一览!A769,搜索词报告!$M$2:$M$22222)=0,"",SUMIF(搜索词报告!$A$2:$A$22222,总体数据一览!A769,搜索词报告!$M$2:$M$22222))</f>
        <v/>
      </c>
      <c r="G769" t="str">
        <f>IFERROR(IF(B769="","",SUMIF(搜索词报告!$A$2:$A$22222,总体数据一览!A769,搜索词报告!$V$2:$V$22222))+IF(B769="","",SUMIF(搜索词报告!$A$2:$A$22222,总体数据一览!A769,搜索词报告!$W$2:$W$22222)),"")</f>
        <v/>
      </c>
      <c r="H769" s="2" t="str">
        <f t="shared" si="38"/>
        <v/>
      </c>
    </row>
    <row r="770" spans="2:8" x14ac:dyDescent="0.15">
      <c r="B770" t="str">
        <f>IF(SUMIF(搜索词报告!$A$2:$A$22222,总体数据一览!A770,搜索词报告!$I$2:$I$22222)=0,"",SUMIF(搜索词报告!$A$2:$A$22222,总体数据一览!A770,搜索词报告!$I$2:$I$22222))</f>
        <v/>
      </c>
      <c r="C770" t="str">
        <f>IF(SUMIF(搜索词报告!$A$2:$A$22222,总体数据一览!A770,搜索词报告!$J$2:$J$22222)=0,"",SUMIF(搜索词报告!$A$2:$A$22222,总体数据一览!A770,搜索词报告!$J$2:$J$22222))</f>
        <v/>
      </c>
      <c r="D770" s="2" t="str">
        <f t="shared" si="36"/>
        <v/>
      </c>
      <c r="E770" t="str">
        <f t="shared" si="37"/>
        <v/>
      </c>
      <c r="F770" t="str">
        <f>IF(SUMIF(搜索词报告!$A$2:$A$22222,总体数据一览!A770,搜索词报告!$M$2:$M$22222)=0,"",SUMIF(搜索词报告!$A$2:$A$22222,总体数据一览!A770,搜索词报告!$M$2:$M$22222))</f>
        <v/>
      </c>
      <c r="G770" t="str">
        <f>IFERROR(IF(B770="","",SUMIF(搜索词报告!$A$2:$A$22222,总体数据一览!A770,搜索词报告!$V$2:$V$22222))+IF(B770="","",SUMIF(搜索词报告!$A$2:$A$22222,总体数据一览!A770,搜索词报告!$W$2:$W$22222)),"")</f>
        <v/>
      </c>
      <c r="H770" s="2" t="str">
        <f t="shared" si="38"/>
        <v/>
      </c>
    </row>
    <row r="771" spans="2:8" x14ac:dyDescent="0.15">
      <c r="B771" t="str">
        <f>IF(SUMIF(搜索词报告!$A$2:$A$22222,总体数据一览!A771,搜索词报告!$I$2:$I$22222)=0,"",SUMIF(搜索词报告!$A$2:$A$22222,总体数据一览!A771,搜索词报告!$I$2:$I$22222))</f>
        <v/>
      </c>
      <c r="C771" t="str">
        <f>IF(SUMIF(搜索词报告!$A$2:$A$22222,总体数据一览!A771,搜索词报告!$J$2:$J$22222)=0,"",SUMIF(搜索词报告!$A$2:$A$22222,总体数据一览!A771,搜索词报告!$J$2:$J$22222))</f>
        <v/>
      </c>
      <c r="D771" s="2" t="str">
        <f t="shared" si="36"/>
        <v/>
      </c>
      <c r="E771" t="str">
        <f t="shared" si="37"/>
        <v/>
      </c>
      <c r="F771" t="str">
        <f>IF(SUMIF(搜索词报告!$A$2:$A$22222,总体数据一览!A771,搜索词报告!$M$2:$M$22222)=0,"",SUMIF(搜索词报告!$A$2:$A$22222,总体数据一览!A771,搜索词报告!$M$2:$M$22222))</f>
        <v/>
      </c>
      <c r="G771" t="str">
        <f>IFERROR(IF(B771="","",SUMIF(搜索词报告!$A$2:$A$22222,总体数据一览!A771,搜索词报告!$V$2:$V$22222))+IF(B771="","",SUMIF(搜索词报告!$A$2:$A$22222,总体数据一览!A771,搜索词报告!$W$2:$W$22222)),"")</f>
        <v/>
      </c>
      <c r="H771" s="2" t="str">
        <f t="shared" si="38"/>
        <v/>
      </c>
    </row>
    <row r="772" spans="2:8" x14ac:dyDescent="0.15">
      <c r="B772" t="str">
        <f>IF(SUMIF(搜索词报告!$A$2:$A$22222,总体数据一览!A772,搜索词报告!$I$2:$I$22222)=0,"",SUMIF(搜索词报告!$A$2:$A$22222,总体数据一览!A772,搜索词报告!$I$2:$I$22222))</f>
        <v/>
      </c>
      <c r="C772" t="str">
        <f>IF(SUMIF(搜索词报告!$A$2:$A$22222,总体数据一览!A772,搜索词报告!$J$2:$J$22222)=0,"",SUMIF(搜索词报告!$A$2:$A$22222,总体数据一览!A772,搜索词报告!$J$2:$J$22222))</f>
        <v/>
      </c>
      <c r="D772" s="2" t="str">
        <f t="shared" si="36"/>
        <v/>
      </c>
      <c r="E772" t="str">
        <f t="shared" si="37"/>
        <v/>
      </c>
      <c r="F772" t="str">
        <f>IF(SUMIF(搜索词报告!$A$2:$A$22222,总体数据一览!A772,搜索词报告!$M$2:$M$22222)=0,"",SUMIF(搜索词报告!$A$2:$A$22222,总体数据一览!A772,搜索词报告!$M$2:$M$22222))</f>
        <v/>
      </c>
      <c r="G772" t="str">
        <f>IFERROR(IF(B772="","",SUMIF(搜索词报告!$A$2:$A$22222,总体数据一览!A772,搜索词报告!$V$2:$V$22222))+IF(B772="","",SUMIF(搜索词报告!$A$2:$A$22222,总体数据一览!A772,搜索词报告!$W$2:$W$22222)),"")</f>
        <v/>
      </c>
      <c r="H772" s="2" t="str">
        <f t="shared" si="38"/>
        <v/>
      </c>
    </row>
    <row r="773" spans="2:8" x14ac:dyDescent="0.15">
      <c r="B773" t="str">
        <f>IF(SUMIF(搜索词报告!$A$2:$A$22222,总体数据一览!A773,搜索词报告!$I$2:$I$22222)=0,"",SUMIF(搜索词报告!$A$2:$A$22222,总体数据一览!A773,搜索词报告!$I$2:$I$22222))</f>
        <v/>
      </c>
      <c r="C773" t="str">
        <f>IF(SUMIF(搜索词报告!$A$2:$A$22222,总体数据一览!A773,搜索词报告!$J$2:$J$22222)=0,"",SUMIF(搜索词报告!$A$2:$A$22222,总体数据一览!A773,搜索词报告!$J$2:$J$22222))</f>
        <v/>
      </c>
      <c r="D773" s="2" t="str">
        <f t="shared" si="36"/>
        <v/>
      </c>
      <c r="E773" t="str">
        <f t="shared" si="37"/>
        <v/>
      </c>
      <c r="F773" t="str">
        <f>IF(SUMIF(搜索词报告!$A$2:$A$22222,总体数据一览!A773,搜索词报告!$M$2:$M$22222)=0,"",SUMIF(搜索词报告!$A$2:$A$22222,总体数据一览!A773,搜索词报告!$M$2:$M$22222))</f>
        <v/>
      </c>
      <c r="G773" t="str">
        <f>IFERROR(IF(B773="","",SUMIF(搜索词报告!$A$2:$A$22222,总体数据一览!A773,搜索词报告!$V$2:$V$22222))+IF(B773="","",SUMIF(搜索词报告!$A$2:$A$22222,总体数据一览!A773,搜索词报告!$W$2:$W$22222)),"")</f>
        <v/>
      </c>
      <c r="H773" s="2" t="str">
        <f t="shared" si="38"/>
        <v/>
      </c>
    </row>
    <row r="774" spans="2:8" x14ac:dyDescent="0.15">
      <c r="B774" t="str">
        <f>IF(SUMIF(搜索词报告!$A$2:$A$22222,总体数据一览!A774,搜索词报告!$I$2:$I$22222)=0,"",SUMIF(搜索词报告!$A$2:$A$22222,总体数据一览!A774,搜索词报告!$I$2:$I$22222))</f>
        <v/>
      </c>
      <c r="C774" t="str">
        <f>IF(SUMIF(搜索词报告!$A$2:$A$22222,总体数据一览!A774,搜索词报告!$J$2:$J$22222)=0,"",SUMIF(搜索词报告!$A$2:$A$22222,总体数据一览!A774,搜索词报告!$J$2:$J$22222))</f>
        <v/>
      </c>
      <c r="D774" s="2" t="str">
        <f t="shared" si="36"/>
        <v/>
      </c>
      <c r="E774" t="str">
        <f t="shared" si="37"/>
        <v/>
      </c>
      <c r="F774" t="str">
        <f>IF(SUMIF(搜索词报告!$A$2:$A$22222,总体数据一览!A774,搜索词报告!$M$2:$M$22222)=0,"",SUMIF(搜索词报告!$A$2:$A$22222,总体数据一览!A774,搜索词报告!$M$2:$M$22222))</f>
        <v/>
      </c>
      <c r="G774" t="str">
        <f>IFERROR(IF(B774="","",SUMIF(搜索词报告!$A$2:$A$22222,总体数据一览!A774,搜索词报告!$V$2:$V$22222))+IF(B774="","",SUMIF(搜索词报告!$A$2:$A$22222,总体数据一览!A774,搜索词报告!$W$2:$W$22222)),"")</f>
        <v/>
      </c>
      <c r="H774" s="2" t="str">
        <f t="shared" si="38"/>
        <v/>
      </c>
    </row>
    <row r="775" spans="2:8" x14ac:dyDescent="0.15">
      <c r="B775" t="str">
        <f>IF(SUMIF(搜索词报告!$A$2:$A$22222,总体数据一览!A775,搜索词报告!$I$2:$I$22222)=0,"",SUMIF(搜索词报告!$A$2:$A$22222,总体数据一览!A775,搜索词报告!$I$2:$I$22222))</f>
        <v/>
      </c>
      <c r="C775" t="str">
        <f>IF(SUMIF(搜索词报告!$A$2:$A$22222,总体数据一览!A775,搜索词报告!$J$2:$J$22222)=0,"",SUMIF(搜索词报告!$A$2:$A$22222,总体数据一览!A775,搜索词报告!$J$2:$J$22222))</f>
        <v/>
      </c>
      <c r="D775" s="2" t="str">
        <f t="shared" si="36"/>
        <v/>
      </c>
      <c r="E775" t="str">
        <f t="shared" si="37"/>
        <v/>
      </c>
      <c r="F775" t="str">
        <f>IF(SUMIF(搜索词报告!$A$2:$A$22222,总体数据一览!A775,搜索词报告!$M$2:$M$22222)=0,"",SUMIF(搜索词报告!$A$2:$A$22222,总体数据一览!A775,搜索词报告!$M$2:$M$22222))</f>
        <v/>
      </c>
      <c r="G775" t="str">
        <f>IFERROR(IF(B775="","",SUMIF(搜索词报告!$A$2:$A$22222,总体数据一览!A775,搜索词报告!$V$2:$V$22222))+IF(B775="","",SUMIF(搜索词报告!$A$2:$A$22222,总体数据一览!A775,搜索词报告!$W$2:$W$22222)),"")</f>
        <v/>
      </c>
      <c r="H775" s="2" t="str">
        <f t="shared" si="38"/>
        <v/>
      </c>
    </row>
    <row r="776" spans="2:8" x14ac:dyDescent="0.15">
      <c r="B776" t="str">
        <f>IF(SUMIF(搜索词报告!$A$2:$A$22222,总体数据一览!A776,搜索词报告!$I$2:$I$22222)=0,"",SUMIF(搜索词报告!$A$2:$A$22222,总体数据一览!A776,搜索词报告!$I$2:$I$22222))</f>
        <v/>
      </c>
      <c r="C776" t="str">
        <f>IF(SUMIF(搜索词报告!$A$2:$A$22222,总体数据一览!A776,搜索词报告!$J$2:$J$22222)=0,"",SUMIF(搜索词报告!$A$2:$A$22222,总体数据一览!A776,搜索词报告!$J$2:$J$22222))</f>
        <v/>
      </c>
      <c r="D776" s="2" t="str">
        <f t="shared" si="36"/>
        <v/>
      </c>
      <c r="E776" t="str">
        <f t="shared" si="37"/>
        <v/>
      </c>
      <c r="F776" t="str">
        <f>IF(SUMIF(搜索词报告!$A$2:$A$22222,总体数据一览!A776,搜索词报告!$M$2:$M$22222)=0,"",SUMIF(搜索词报告!$A$2:$A$22222,总体数据一览!A776,搜索词报告!$M$2:$M$22222))</f>
        <v/>
      </c>
      <c r="G776" t="str">
        <f>IFERROR(IF(B776="","",SUMIF(搜索词报告!$A$2:$A$22222,总体数据一览!A776,搜索词报告!$V$2:$V$22222))+IF(B776="","",SUMIF(搜索词报告!$A$2:$A$22222,总体数据一览!A776,搜索词报告!$W$2:$W$22222)),"")</f>
        <v/>
      </c>
      <c r="H776" s="2" t="str">
        <f t="shared" si="38"/>
        <v/>
      </c>
    </row>
    <row r="777" spans="2:8" x14ac:dyDescent="0.15">
      <c r="B777" t="str">
        <f>IF(SUMIF(搜索词报告!$A$2:$A$22222,总体数据一览!A777,搜索词报告!$I$2:$I$22222)=0,"",SUMIF(搜索词报告!$A$2:$A$22222,总体数据一览!A777,搜索词报告!$I$2:$I$22222))</f>
        <v/>
      </c>
      <c r="C777" t="str">
        <f>IF(SUMIF(搜索词报告!$A$2:$A$22222,总体数据一览!A777,搜索词报告!$J$2:$J$22222)=0,"",SUMIF(搜索词报告!$A$2:$A$22222,总体数据一览!A777,搜索词报告!$J$2:$J$22222))</f>
        <v/>
      </c>
      <c r="D777" s="2" t="str">
        <f t="shared" si="36"/>
        <v/>
      </c>
      <c r="E777" t="str">
        <f t="shared" si="37"/>
        <v/>
      </c>
      <c r="F777" t="str">
        <f>IF(SUMIF(搜索词报告!$A$2:$A$22222,总体数据一览!A777,搜索词报告!$M$2:$M$22222)=0,"",SUMIF(搜索词报告!$A$2:$A$22222,总体数据一览!A777,搜索词报告!$M$2:$M$22222))</f>
        <v/>
      </c>
      <c r="G777" t="str">
        <f>IFERROR(IF(B777="","",SUMIF(搜索词报告!$A$2:$A$22222,总体数据一览!A777,搜索词报告!$V$2:$V$22222))+IF(B777="","",SUMIF(搜索词报告!$A$2:$A$22222,总体数据一览!A777,搜索词报告!$W$2:$W$22222)),"")</f>
        <v/>
      </c>
      <c r="H777" s="2" t="str">
        <f t="shared" si="38"/>
        <v/>
      </c>
    </row>
    <row r="778" spans="2:8" x14ac:dyDescent="0.15">
      <c r="B778" t="str">
        <f>IF(SUMIF(搜索词报告!$A$2:$A$22222,总体数据一览!A778,搜索词报告!$I$2:$I$22222)=0,"",SUMIF(搜索词报告!$A$2:$A$22222,总体数据一览!A778,搜索词报告!$I$2:$I$22222))</f>
        <v/>
      </c>
      <c r="C778" t="str">
        <f>IF(SUMIF(搜索词报告!$A$2:$A$22222,总体数据一览!A778,搜索词报告!$J$2:$J$22222)=0,"",SUMIF(搜索词报告!$A$2:$A$22222,总体数据一览!A778,搜索词报告!$J$2:$J$22222))</f>
        <v/>
      </c>
      <c r="D778" s="2" t="str">
        <f t="shared" si="36"/>
        <v/>
      </c>
      <c r="E778" t="str">
        <f t="shared" si="37"/>
        <v/>
      </c>
      <c r="F778" t="str">
        <f>IF(SUMIF(搜索词报告!$A$2:$A$22222,总体数据一览!A778,搜索词报告!$M$2:$M$22222)=0,"",SUMIF(搜索词报告!$A$2:$A$22222,总体数据一览!A778,搜索词报告!$M$2:$M$22222))</f>
        <v/>
      </c>
      <c r="G778" t="str">
        <f>IFERROR(IF(B778="","",SUMIF(搜索词报告!$A$2:$A$22222,总体数据一览!A778,搜索词报告!$V$2:$V$22222))+IF(B778="","",SUMIF(搜索词报告!$A$2:$A$22222,总体数据一览!A778,搜索词报告!$W$2:$W$22222)),"")</f>
        <v/>
      </c>
      <c r="H778" s="2" t="str">
        <f t="shared" si="38"/>
        <v/>
      </c>
    </row>
    <row r="779" spans="2:8" x14ac:dyDescent="0.15">
      <c r="B779" t="str">
        <f>IF(SUMIF(搜索词报告!$A$2:$A$22222,总体数据一览!A779,搜索词报告!$I$2:$I$22222)=0,"",SUMIF(搜索词报告!$A$2:$A$22222,总体数据一览!A779,搜索词报告!$I$2:$I$22222))</f>
        <v/>
      </c>
      <c r="C779" t="str">
        <f>IF(SUMIF(搜索词报告!$A$2:$A$22222,总体数据一览!A779,搜索词报告!$J$2:$J$22222)=0,"",SUMIF(搜索词报告!$A$2:$A$22222,总体数据一览!A779,搜索词报告!$J$2:$J$22222))</f>
        <v/>
      </c>
      <c r="D779" s="2" t="str">
        <f t="shared" si="36"/>
        <v/>
      </c>
      <c r="E779" t="str">
        <f t="shared" si="37"/>
        <v/>
      </c>
      <c r="F779" t="str">
        <f>IF(SUMIF(搜索词报告!$A$2:$A$22222,总体数据一览!A779,搜索词报告!$M$2:$M$22222)=0,"",SUMIF(搜索词报告!$A$2:$A$22222,总体数据一览!A779,搜索词报告!$M$2:$M$22222))</f>
        <v/>
      </c>
      <c r="G779" t="str">
        <f>IFERROR(IF(B779="","",SUMIF(搜索词报告!$A$2:$A$22222,总体数据一览!A779,搜索词报告!$V$2:$V$22222))+IF(B779="","",SUMIF(搜索词报告!$A$2:$A$22222,总体数据一览!A779,搜索词报告!$W$2:$W$22222)),"")</f>
        <v/>
      </c>
      <c r="H779" s="2" t="str">
        <f t="shared" si="38"/>
        <v/>
      </c>
    </row>
    <row r="780" spans="2:8" x14ac:dyDescent="0.15">
      <c r="B780" t="str">
        <f>IF(SUMIF(搜索词报告!$A$2:$A$22222,总体数据一览!A780,搜索词报告!$I$2:$I$22222)=0,"",SUMIF(搜索词报告!$A$2:$A$22222,总体数据一览!A780,搜索词报告!$I$2:$I$22222))</f>
        <v/>
      </c>
      <c r="C780" t="str">
        <f>IF(SUMIF(搜索词报告!$A$2:$A$22222,总体数据一览!A780,搜索词报告!$J$2:$J$22222)=0,"",SUMIF(搜索词报告!$A$2:$A$22222,总体数据一览!A780,搜索词报告!$J$2:$J$22222))</f>
        <v/>
      </c>
      <c r="D780" s="2" t="str">
        <f t="shared" si="36"/>
        <v/>
      </c>
      <c r="E780" t="str">
        <f t="shared" si="37"/>
        <v/>
      </c>
      <c r="F780" t="str">
        <f>IF(SUMIF(搜索词报告!$A$2:$A$22222,总体数据一览!A780,搜索词报告!$M$2:$M$22222)=0,"",SUMIF(搜索词报告!$A$2:$A$22222,总体数据一览!A780,搜索词报告!$M$2:$M$22222))</f>
        <v/>
      </c>
      <c r="G780" t="str">
        <f>IFERROR(IF(B780="","",SUMIF(搜索词报告!$A$2:$A$22222,总体数据一览!A780,搜索词报告!$V$2:$V$22222))+IF(B780="","",SUMIF(搜索词报告!$A$2:$A$22222,总体数据一览!A780,搜索词报告!$W$2:$W$22222)),"")</f>
        <v/>
      </c>
      <c r="H780" s="2" t="str">
        <f t="shared" si="38"/>
        <v/>
      </c>
    </row>
    <row r="781" spans="2:8" x14ac:dyDescent="0.15">
      <c r="B781" t="str">
        <f>IF(SUMIF(搜索词报告!$A$2:$A$22222,总体数据一览!A781,搜索词报告!$I$2:$I$22222)=0,"",SUMIF(搜索词报告!$A$2:$A$22222,总体数据一览!A781,搜索词报告!$I$2:$I$22222))</f>
        <v/>
      </c>
      <c r="C781" t="str">
        <f>IF(SUMIF(搜索词报告!$A$2:$A$22222,总体数据一览!A781,搜索词报告!$J$2:$J$22222)=0,"",SUMIF(搜索词报告!$A$2:$A$22222,总体数据一览!A781,搜索词报告!$J$2:$J$22222))</f>
        <v/>
      </c>
      <c r="D781" s="2" t="str">
        <f t="shared" si="36"/>
        <v/>
      </c>
      <c r="E781" t="str">
        <f t="shared" si="37"/>
        <v/>
      </c>
      <c r="F781" t="str">
        <f>IF(SUMIF(搜索词报告!$A$2:$A$22222,总体数据一览!A781,搜索词报告!$M$2:$M$22222)=0,"",SUMIF(搜索词报告!$A$2:$A$22222,总体数据一览!A781,搜索词报告!$M$2:$M$22222))</f>
        <v/>
      </c>
      <c r="G781" t="str">
        <f>IFERROR(IF(B781="","",SUMIF(搜索词报告!$A$2:$A$22222,总体数据一览!A781,搜索词报告!$V$2:$V$22222))+IF(B781="","",SUMIF(搜索词报告!$A$2:$A$22222,总体数据一览!A781,搜索词报告!$W$2:$W$22222)),"")</f>
        <v/>
      </c>
      <c r="H781" s="2" t="str">
        <f t="shared" si="38"/>
        <v/>
      </c>
    </row>
    <row r="782" spans="2:8" x14ac:dyDescent="0.15">
      <c r="B782" t="str">
        <f>IF(SUMIF(搜索词报告!$A$2:$A$22222,总体数据一览!A782,搜索词报告!$I$2:$I$22222)=0,"",SUMIF(搜索词报告!$A$2:$A$22222,总体数据一览!A782,搜索词报告!$I$2:$I$22222))</f>
        <v/>
      </c>
      <c r="C782" t="str">
        <f>IF(SUMIF(搜索词报告!$A$2:$A$22222,总体数据一览!A782,搜索词报告!$J$2:$J$22222)=0,"",SUMIF(搜索词报告!$A$2:$A$22222,总体数据一览!A782,搜索词报告!$J$2:$J$22222))</f>
        <v/>
      </c>
      <c r="D782" s="2" t="str">
        <f t="shared" si="36"/>
        <v/>
      </c>
      <c r="E782" t="str">
        <f t="shared" si="37"/>
        <v/>
      </c>
      <c r="F782" t="str">
        <f>IF(SUMIF(搜索词报告!$A$2:$A$22222,总体数据一览!A782,搜索词报告!$M$2:$M$22222)=0,"",SUMIF(搜索词报告!$A$2:$A$22222,总体数据一览!A782,搜索词报告!$M$2:$M$22222))</f>
        <v/>
      </c>
      <c r="G782" t="str">
        <f>IFERROR(IF(B782="","",SUMIF(搜索词报告!$A$2:$A$22222,总体数据一览!A782,搜索词报告!$V$2:$V$22222))+IF(B782="","",SUMIF(搜索词报告!$A$2:$A$22222,总体数据一览!A782,搜索词报告!$W$2:$W$22222)),"")</f>
        <v/>
      </c>
      <c r="H782" s="2" t="str">
        <f t="shared" si="38"/>
        <v/>
      </c>
    </row>
    <row r="783" spans="2:8" x14ac:dyDescent="0.15">
      <c r="B783" t="str">
        <f>IF(SUMIF(搜索词报告!$A$2:$A$22222,总体数据一览!A783,搜索词报告!$I$2:$I$22222)=0,"",SUMIF(搜索词报告!$A$2:$A$22222,总体数据一览!A783,搜索词报告!$I$2:$I$22222))</f>
        <v/>
      </c>
      <c r="C783" t="str">
        <f>IF(SUMIF(搜索词报告!$A$2:$A$22222,总体数据一览!A783,搜索词报告!$J$2:$J$22222)=0,"",SUMIF(搜索词报告!$A$2:$A$22222,总体数据一览!A783,搜索词报告!$J$2:$J$22222))</f>
        <v/>
      </c>
      <c r="D783" s="2" t="str">
        <f t="shared" si="36"/>
        <v/>
      </c>
      <c r="E783" t="str">
        <f t="shared" si="37"/>
        <v/>
      </c>
      <c r="F783" t="str">
        <f>IF(SUMIF(搜索词报告!$A$2:$A$22222,总体数据一览!A783,搜索词报告!$M$2:$M$22222)=0,"",SUMIF(搜索词报告!$A$2:$A$22222,总体数据一览!A783,搜索词报告!$M$2:$M$22222))</f>
        <v/>
      </c>
      <c r="G783" t="str">
        <f>IFERROR(IF(B783="","",SUMIF(搜索词报告!$A$2:$A$22222,总体数据一览!A783,搜索词报告!$V$2:$V$22222))+IF(B783="","",SUMIF(搜索词报告!$A$2:$A$22222,总体数据一览!A783,搜索词报告!$W$2:$W$22222)),"")</f>
        <v/>
      </c>
      <c r="H783" s="2" t="str">
        <f t="shared" si="38"/>
        <v/>
      </c>
    </row>
    <row r="784" spans="2:8" x14ac:dyDescent="0.15">
      <c r="B784" t="str">
        <f>IF(SUMIF(搜索词报告!$A$2:$A$22222,总体数据一览!A784,搜索词报告!$I$2:$I$22222)=0,"",SUMIF(搜索词报告!$A$2:$A$22222,总体数据一览!A784,搜索词报告!$I$2:$I$22222))</f>
        <v/>
      </c>
      <c r="C784" t="str">
        <f>IF(SUMIF(搜索词报告!$A$2:$A$22222,总体数据一览!A784,搜索词报告!$J$2:$J$22222)=0,"",SUMIF(搜索词报告!$A$2:$A$22222,总体数据一览!A784,搜索词报告!$J$2:$J$22222))</f>
        <v/>
      </c>
      <c r="D784" s="2" t="str">
        <f t="shared" si="36"/>
        <v/>
      </c>
      <c r="E784" t="str">
        <f t="shared" si="37"/>
        <v/>
      </c>
      <c r="F784" t="str">
        <f>IF(SUMIF(搜索词报告!$A$2:$A$22222,总体数据一览!A784,搜索词报告!$M$2:$M$22222)=0,"",SUMIF(搜索词报告!$A$2:$A$22222,总体数据一览!A784,搜索词报告!$M$2:$M$22222))</f>
        <v/>
      </c>
      <c r="G784" t="str">
        <f>IFERROR(IF(B784="","",SUMIF(搜索词报告!$A$2:$A$22222,总体数据一览!A784,搜索词报告!$V$2:$V$22222))+IF(B784="","",SUMIF(搜索词报告!$A$2:$A$22222,总体数据一览!A784,搜索词报告!$W$2:$W$22222)),"")</f>
        <v/>
      </c>
      <c r="H784" s="2" t="str">
        <f t="shared" si="38"/>
        <v/>
      </c>
    </row>
    <row r="785" spans="2:8" x14ac:dyDescent="0.15">
      <c r="B785" t="str">
        <f>IF(SUMIF(搜索词报告!$A$2:$A$22222,总体数据一览!A785,搜索词报告!$I$2:$I$22222)=0,"",SUMIF(搜索词报告!$A$2:$A$22222,总体数据一览!A785,搜索词报告!$I$2:$I$22222))</f>
        <v/>
      </c>
      <c r="C785" t="str">
        <f>IF(SUMIF(搜索词报告!$A$2:$A$22222,总体数据一览!A785,搜索词报告!$J$2:$J$22222)=0,"",SUMIF(搜索词报告!$A$2:$A$22222,总体数据一览!A785,搜索词报告!$J$2:$J$22222))</f>
        <v/>
      </c>
      <c r="D785" s="2" t="str">
        <f t="shared" si="36"/>
        <v/>
      </c>
      <c r="E785" t="str">
        <f t="shared" si="37"/>
        <v/>
      </c>
      <c r="F785" t="str">
        <f>IF(SUMIF(搜索词报告!$A$2:$A$22222,总体数据一览!A785,搜索词报告!$M$2:$M$22222)=0,"",SUMIF(搜索词报告!$A$2:$A$22222,总体数据一览!A785,搜索词报告!$M$2:$M$22222))</f>
        <v/>
      </c>
      <c r="G785" t="str">
        <f>IFERROR(IF(B785="","",SUMIF(搜索词报告!$A$2:$A$22222,总体数据一览!A785,搜索词报告!$V$2:$V$22222))+IF(B785="","",SUMIF(搜索词报告!$A$2:$A$22222,总体数据一览!A785,搜索词报告!$W$2:$W$22222)),"")</f>
        <v/>
      </c>
      <c r="H785" s="2" t="str">
        <f t="shared" si="38"/>
        <v/>
      </c>
    </row>
    <row r="786" spans="2:8" x14ac:dyDescent="0.15">
      <c r="B786" t="str">
        <f>IF(SUMIF(搜索词报告!$A$2:$A$22222,总体数据一览!A786,搜索词报告!$I$2:$I$22222)=0,"",SUMIF(搜索词报告!$A$2:$A$22222,总体数据一览!A786,搜索词报告!$I$2:$I$22222))</f>
        <v/>
      </c>
      <c r="C786" t="str">
        <f>IF(SUMIF(搜索词报告!$A$2:$A$22222,总体数据一览!A786,搜索词报告!$J$2:$J$22222)=0,"",SUMIF(搜索词报告!$A$2:$A$22222,总体数据一览!A786,搜索词报告!$J$2:$J$22222))</f>
        <v/>
      </c>
      <c r="D786" s="2" t="str">
        <f t="shared" si="36"/>
        <v/>
      </c>
      <c r="E786" t="str">
        <f t="shared" si="37"/>
        <v/>
      </c>
      <c r="F786" t="str">
        <f>IF(SUMIF(搜索词报告!$A$2:$A$22222,总体数据一览!A786,搜索词报告!$M$2:$M$22222)=0,"",SUMIF(搜索词报告!$A$2:$A$22222,总体数据一览!A786,搜索词报告!$M$2:$M$22222))</f>
        <v/>
      </c>
      <c r="G786" t="str">
        <f>IFERROR(IF(B786="","",SUMIF(搜索词报告!$A$2:$A$22222,总体数据一览!A786,搜索词报告!$V$2:$V$22222))+IF(B786="","",SUMIF(搜索词报告!$A$2:$A$22222,总体数据一览!A786,搜索词报告!$W$2:$W$22222)),"")</f>
        <v/>
      </c>
      <c r="H786" s="2" t="str">
        <f t="shared" si="38"/>
        <v/>
      </c>
    </row>
    <row r="787" spans="2:8" x14ac:dyDescent="0.15">
      <c r="B787" t="str">
        <f>IF(SUMIF(搜索词报告!$A$2:$A$22222,总体数据一览!A787,搜索词报告!$I$2:$I$22222)=0,"",SUMIF(搜索词报告!$A$2:$A$22222,总体数据一览!A787,搜索词报告!$I$2:$I$22222))</f>
        <v/>
      </c>
      <c r="C787" t="str">
        <f>IF(SUMIF(搜索词报告!$A$2:$A$22222,总体数据一览!A787,搜索词报告!$J$2:$J$22222)=0,"",SUMIF(搜索词报告!$A$2:$A$22222,总体数据一览!A787,搜索词报告!$J$2:$J$22222))</f>
        <v/>
      </c>
      <c r="D787" s="2" t="str">
        <f t="shared" si="36"/>
        <v/>
      </c>
      <c r="E787" t="str">
        <f t="shared" si="37"/>
        <v/>
      </c>
      <c r="F787" t="str">
        <f>IF(SUMIF(搜索词报告!$A$2:$A$22222,总体数据一览!A787,搜索词报告!$M$2:$M$22222)=0,"",SUMIF(搜索词报告!$A$2:$A$22222,总体数据一览!A787,搜索词报告!$M$2:$M$22222))</f>
        <v/>
      </c>
      <c r="G787" t="str">
        <f>IFERROR(IF(B787="","",SUMIF(搜索词报告!$A$2:$A$22222,总体数据一览!A787,搜索词报告!$V$2:$V$22222))+IF(B787="","",SUMIF(搜索词报告!$A$2:$A$22222,总体数据一览!A787,搜索词报告!$W$2:$W$22222)),"")</f>
        <v/>
      </c>
      <c r="H787" s="2" t="str">
        <f t="shared" si="38"/>
        <v/>
      </c>
    </row>
    <row r="788" spans="2:8" x14ac:dyDescent="0.15">
      <c r="B788" t="str">
        <f>IF(SUMIF(搜索词报告!$A$2:$A$22222,总体数据一览!A788,搜索词报告!$I$2:$I$22222)=0,"",SUMIF(搜索词报告!$A$2:$A$22222,总体数据一览!A788,搜索词报告!$I$2:$I$22222))</f>
        <v/>
      </c>
      <c r="C788" t="str">
        <f>IF(SUMIF(搜索词报告!$A$2:$A$22222,总体数据一览!A788,搜索词报告!$J$2:$J$22222)=0,"",SUMIF(搜索词报告!$A$2:$A$22222,总体数据一览!A788,搜索词报告!$J$2:$J$22222))</f>
        <v/>
      </c>
      <c r="D788" s="2" t="str">
        <f t="shared" ref="D788:D851" si="39">IFERROR(ROUND(C788/B788,4),"")</f>
        <v/>
      </c>
      <c r="E788" t="str">
        <f t="shared" ref="E788:E851" si="40">IFERROR(ROUND(F788/C788,2),"")</f>
        <v/>
      </c>
      <c r="F788" t="str">
        <f>IF(SUMIF(搜索词报告!$A$2:$A$22222,总体数据一览!A788,搜索词报告!$M$2:$M$22222)=0,"",SUMIF(搜索词报告!$A$2:$A$22222,总体数据一览!A788,搜索词报告!$M$2:$M$22222))</f>
        <v/>
      </c>
      <c r="G788" t="str">
        <f>IFERROR(IF(B788="","",SUMIF(搜索词报告!$A$2:$A$22222,总体数据一览!A788,搜索词报告!$V$2:$V$22222))+IF(B788="","",SUMIF(搜索词报告!$A$2:$A$22222,总体数据一览!A788,搜索词报告!$W$2:$W$22222)),"")</f>
        <v/>
      </c>
      <c r="H788" s="2" t="str">
        <f t="shared" ref="H788:H851" si="41">IFERROR(ROUND(F788/G788,2),"")</f>
        <v/>
      </c>
    </row>
    <row r="789" spans="2:8" x14ac:dyDescent="0.15">
      <c r="B789" t="str">
        <f>IF(SUMIF(搜索词报告!$A$2:$A$22222,总体数据一览!A789,搜索词报告!$I$2:$I$22222)=0,"",SUMIF(搜索词报告!$A$2:$A$22222,总体数据一览!A789,搜索词报告!$I$2:$I$22222))</f>
        <v/>
      </c>
      <c r="C789" t="str">
        <f>IF(SUMIF(搜索词报告!$A$2:$A$22222,总体数据一览!A789,搜索词报告!$J$2:$J$22222)=0,"",SUMIF(搜索词报告!$A$2:$A$22222,总体数据一览!A789,搜索词报告!$J$2:$J$22222))</f>
        <v/>
      </c>
      <c r="D789" s="2" t="str">
        <f t="shared" si="39"/>
        <v/>
      </c>
      <c r="E789" t="str">
        <f t="shared" si="40"/>
        <v/>
      </c>
      <c r="F789" t="str">
        <f>IF(SUMIF(搜索词报告!$A$2:$A$22222,总体数据一览!A789,搜索词报告!$M$2:$M$22222)=0,"",SUMIF(搜索词报告!$A$2:$A$22222,总体数据一览!A789,搜索词报告!$M$2:$M$22222))</f>
        <v/>
      </c>
      <c r="G789" t="str">
        <f>IFERROR(IF(B789="","",SUMIF(搜索词报告!$A$2:$A$22222,总体数据一览!A789,搜索词报告!$V$2:$V$22222))+IF(B789="","",SUMIF(搜索词报告!$A$2:$A$22222,总体数据一览!A789,搜索词报告!$W$2:$W$22222)),"")</f>
        <v/>
      </c>
      <c r="H789" s="2" t="str">
        <f t="shared" si="41"/>
        <v/>
      </c>
    </row>
    <row r="790" spans="2:8" x14ac:dyDescent="0.15">
      <c r="B790" t="str">
        <f>IF(SUMIF(搜索词报告!$A$2:$A$22222,总体数据一览!A790,搜索词报告!$I$2:$I$22222)=0,"",SUMIF(搜索词报告!$A$2:$A$22222,总体数据一览!A790,搜索词报告!$I$2:$I$22222))</f>
        <v/>
      </c>
      <c r="C790" t="str">
        <f>IF(SUMIF(搜索词报告!$A$2:$A$22222,总体数据一览!A790,搜索词报告!$J$2:$J$22222)=0,"",SUMIF(搜索词报告!$A$2:$A$22222,总体数据一览!A790,搜索词报告!$J$2:$J$22222))</f>
        <v/>
      </c>
      <c r="D790" s="2" t="str">
        <f t="shared" si="39"/>
        <v/>
      </c>
      <c r="E790" t="str">
        <f t="shared" si="40"/>
        <v/>
      </c>
      <c r="F790" t="str">
        <f>IF(SUMIF(搜索词报告!$A$2:$A$22222,总体数据一览!A790,搜索词报告!$M$2:$M$22222)=0,"",SUMIF(搜索词报告!$A$2:$A$22222,总体数据一览!A790,搜索词报告!$M$2:$M$22222))</f>
        <v/>
      </c>
      <c r="G790" t="str">
        <f>IFERROR(IF(B790="","",SUMIF(搜索词报告!$A$2:$A$22222,总体数据一览!A790,搜索词报告!$V$2:$V$22222))+IF(B790="","",SUMIF(搜索词报告!$A$2:$A$22222,总体数据一览!A790,搜索词报告!$W$2:$W$22222)),"")</f>
        <v/>
      </c>
      <c r="H790" s="2" t="str">
        <f t="shared" si="41"/>
        <v/>
      </c>
    </row>
    <row r="791" spans="2:8" x14ac:dyDescent="0.15">
      <c r="B791" t="str">
        <f>IF(SUMIF(搜索词报告!$A$2:$A$22222,总体数据一览!A791,搜索词报告!$I$2:$I$22222)=0,"",SUMIF(搜索词报告!$A$2:$A$22222,总体数据一览!A791,搜索词报告!$I$2:$I$22222))</f>
        <v/>
      </c>
      <c r="C791" t="str">
        <f>IF(SUMIF(搜索词报告!$A$2:$A$22222,总体数据一览!A791,搜索词报告!$J$2:$J$22222)=0,"",SUMIF(搜索词报告!$A$2:$A$22222,总体数据一览!A791,搜索词报告!$J$2:$J$22222))</f>
        <v/>
      </c>
      <c r="D791" s="2" t="str">
        <f t="shared" si="39"/>
        <v/>
      </c>
      <c r="E791" t="str">
        <f t="shared" si="40"/>
        <v/>
      </c>
      <c r="F791" t="str">
        <f>IF(SUMIF(搜索词报告!$A$2:$A$22222,总体数据一览!A791,搜索词报告!$M$2:$M$22222)=0,"",SUMIF(搜索词报告!$A$2:$A$22222,总体数据一览!A791,搜索词报告!$M$2:$M$22222))</f>
        <v/>
      </c>
      <c r="G791" t="str">
        <f>IFERROR(IF(B791="","",SUMIF(搜索词报告!$A$2:$A$22222,总体数据一览!A791,搜索词报告!$V$2:$V$22222))+IF(B791="","",SUMIF(搜索词报告!$A$2:$A$22222,总体数据一览!A791,搜索词报告!$W$2:$W$22222)),"")</f>
        <v/>
      </c>
      <c r="H791" s="2" t="str">
        <f t="shared" si="41"/>
        <v/>
      </c>
    </row>
    <row r="792" spans="2:8" x14ac:dyDescent="0.15">
      <c r="B792" t="str">
        <f>IF(SUMIF(搜索词报告!$A$2:$A$22222,总体数据一览!A792,搜索词报告!$I$2:$I$22222)=0,"",SUMIF(搜索词报告!$A$2:$A$22222,总体数据一览!A792,搜索词报告!$I$2:$I$22222))</f>
        <v/>
      </c>
      <c r="C792" t="str">
        <f>IF(SUMIF(搜索词报告!$A$2:$A$22222,总体数据一览!A792,搜索词报告!$J$2:$J$22222)=0,"",SUMIF(搜索词报告!$A$2:$A$22222,总体数据一览!A792,搜索词报告!$J$2:$J$22222))</f>
        <v/>
      </c>
      <c r="D792" s="2" t="str">
        <f t="shared" si="39"/>
        <v/>
      </c>
      <c r="E792" t="str">
        <f t="shared" si="40"/>
        <v/>
      </c>
      <c r="F792" t="str">
        <f>IF(SUMIF(搜索词报告!$A$2:$A$22222,总体数据一览!A792,搜索词报告!$M$2:$M$22222)=0,"",SUMIF(搜索词报告!$A$2:$A$22222,总体数据一览!A792,搜索词报告!$M$2:$M$22222))</f>
        <v/>
      </c>
      <c r="G792" t="str">
        <f>IFERROR(IF(B792="","",SUMIF(搜索词报告!$A$2:$A$22222,总体数据一览!A792,搜索词报告!$V$2:$V$22222))+IF(B792="","",SUMIF(搜索词报告!$A$2:$A$22222,总体数据一览!A792,搜索词报告!$W$2:$W$22222)),"")</f>
        <v/>
      </c>
      <c r="H792" s="2" t="str">
        <f t="shared" si="41"/>
        <v/>
      </c>
    </row>
    <row r="793" spans="2:8" x14ac:dyDescent="0.15">
      <c r="B793" t="str">
        <f>IF(SUMIF(搜索词报告!$A$2:$A$22222,总体数据一览!A793,搜索词报告!$I$2:$I$22222)=0,"",SUMIF(搜索词报告!$A$2:$A$22222,总体数据一览!A793,搜索词报告!$I$2:$I$22222))</f>
        <v/>
      </c>
      <c r="C793" t="str">
        <f>IF(SUMIF(搜索词报告!$A$2:$A$22222,总体数据一览!A793,搜索词报告!$J$2:$J$22222)=0,"",SUMIF(搜索词报告!$A$2:$A$22222,总体数据一览!A793,搜索词报告!$J$2:$J$22222))</f>
        <v/>
      </c>
      <c r="D793" s="2" t="str">
        <f t="shared" si="39"/>
        <v/>
      </c>
      <c r="E793" t="str">
        <f t="shared" si="40"/>
        <v/>
      </c>
      <c r="F793" t="str">
        <f>IF(SUMIF(搜索词报告!$A$2:$A$22222,总体数据一览!A793,搜索词报告!$M$2:$M$22222)=0,"",SUMIF(搜索词报告!$A$2:$A$22222,总体数据一览!A793,搜索词报告!$M$2:$M$22222))</f>
        <v/>
      </c>
      <c r="G793" t="str">
        <f>IFERROR(IF(B793="","",SUMIF(搜索词报告!$A$2:$A$22222,总体数据一览!A793,搜索词报告!$V$2:$V$22222))+IF(B793="","",SUMIF(搜索词报告!$A$2:$A$22222,总体数据一览!A793,搜索词报告!$W$2:$W$22222)),"")</f>
        <v/>
      </c>
      <c r="H793" s="2" t="str">
        <f t="shared" si="41"/>
        <v/>
      </c>
    </row>
    <row r="794" spans="2:8" x14ac:dyDescent="0.15">
      <c r="B794" t="str">
        <f>IF(SUMIF(搜索词报告!$A$2:$A$22222,总体数据一览!A794,搜索词报告!$I$2:$I$22222)=0,"",SUMIF(搜索词报告!$A$2:$A$22222,总体数据一览!A794,搜索词报告!$I$2:$I$22222))</f>
        <v/>
      </c>
      <c r="C794" t="str">
        <f>IF(SUMIF(搜索词报告!$A$2:$A$22222,总体数据一览!A794,搜索词报告!$J$2:$J$22222)=0,"",SUMIF(搜索词报告!$A$2:$A$22222,总体数据一览!A794,搜索词报告!$J$2:$J$22222))</f>
        <v/>
      </c>
      <c r="D794" s="2" t="str">
        <f t="shared" si="39"/>
        <v/>
      </c>
      <c r="E794" t="str">
        <f t="shared" si="40"/>
        <v/>
      </c>
      <c r="F794" t="str">
        <f>IF(SUMIF(搜索词报告!$A$2:$A$22222,总体数据一览!A794,搜索词报告!$M$2:$M$22222)=0,"",SUMIF(搜索词报告!$A$2:$A$22222,总体数据一览!A794,搜索词报告!$M$2:$M$22222))</f>
        <v/>
      </c>
      <c r="G794" t="str">
        <f>IFERROR(IF(B794="","",SUMIF(搜索词报告!$A$2:$A$22222,总体数据一览!A794,搜索词报告!$V$2:$V$22222))+IF(B794="","",SUMIF(搜索词报告!$A$2:$A$22222,总体数据一览!A794,搜索词报告!$W$2:$W$22222)),"")</f>
        <v/>
      </c>
      <c r="H794" s="2" t="str">
        <f t="shared" si="41"/>
        <v/>
      </c>
    </row>
    <row r="795" spans="2:8" x14ac:dyDescent="0.15">
      <c r="B795" t="str">
        <f>IF(SUMIF(搜索词报告!$A$2:$A$22222,总体数据一览!A795,搜索词报告!$I$2:$I$22222)=0,"",SUMIF(搜索词报告!$A$2:$A$22222,总体数据一览!A795,搜索词报告!$I$2:$I$22222))</f>
        <v/>
      </c>
      <c r="C795" t="str">
        <f>IF(SUMIF(搜索词报告!$A$2:$A$22222,总体数据一览!A795,搜索词报告!$J$2:$J$22222)=0,"",SUMIF(搜索词报告!$A$2:$A$22222,总体数据一览!A795,搜索词报告!$J$2:$J$22222))</f>
        <v/>
      </c>
      <c r="D795" s="2" t="str">
        <f t="shared" si="39"/>
        <v/>
      </c>
      <c r="E795" t="str">
        <f t="shared" si="40"/>
        <v/>
      </c>
      <c r="F795" t="str">
        <f>IF(SUMIF(搜索词报告!$A$2:$A$22222,总体数据一览!A795,搜索词报告!$M$2:$M$22222)=0,"",SUMIF(搜索词报告!$A$2:$A$22222,总体数据一览!A795,搜索词报告!$M$2:$M$22222))</f>
        <v/>
      </c>
      <c r="G795" t="str">
        <f>IFERROR(IF(B795="","",SUMIF(搜索词报告!$A$2:$A$22222,总体数据一览!A795,搜索词报告!$V$2:$V$22222))+IF(B795="","",SUMIF(搜索词报告!$A$2:$A$22222,总体数据一览!A795,搜索词报告!$W$2:$W$22222)),"")</f>
        <v/>
      </c>
      <c r="H795" s="2" t="str">
        <f t="shared" si="41"/>
        <v/>
      </c>
    </row>
    <row r="796" spans="2:8" x14ac:dyDescent="0.15">
      <c r="B796" t="str">
        <f>IF(SUMIF(搜索词报告!$A$2:$A$22222,总体数据一览!A796,搜索词报告!$I$2:$I$22222)=0,"",SUMIF(搜索词报告!$A$2:$A$22222,总体数据一览!A796,搜索词报告!$I$2:$I$22222))</f>
        <v/>
      </c>
      <c r="C796" t="str">
        <f>IF(SUMIF(搜索词报告!$A$2:$A$22222,总体数据一览!A796,搜索词报告!$J$2:$J$22222)=0,"",SUMIF(搜索词报告!$A$2:$A$22222,总体数据一览!A796,搜索词报告!$J$2:$J$22222))</f>
        <v/>
      </c>
      <c r="D796" s="2" t="str">
        <f t="shared" si="39"/>
        <v/>
      </c>
      <c r="E796" t="str">
        <f t="shared" si="40"/>
        <v/>
      </c>
      <c r="F796" t="str">
        <f>IF(SUMIF(搜索词报告!$A$2:$A$22222,总体数据一览!A796,搜索词报告!$M$2:$M$22222)=0,"",SUMIF(搜索词报告!$A$2:$A$22222,总体数据一览!A796,搜索词报告!$M$2:$M$22222))</f>
        <v/>
      </c>
      <c r="G796" t="str">
        <f>IFERROR(IF(B796="","",SUMIF(搜索词报告!$A$2:$A$22222,总体数据一览!A796,搜索词报告!$V$2:$V$22222))+IF(B796="","",SUMIF(搜索词报告!$A$2:$A$22222,总体数据一览!A796,搜索词报告!$W$2:$W$22222)),"")</f>
        <v/>
      </c>
      <c r="H796" s="2" t="str">
        <f t="shared" si="41"/>
        <v/>
      </c>
    </row>
    <row r="797" spans="2:8" x14ac:dyDescent="0.15">
      <c r="B797" t="str">
        <f>IF(SUMIF(搜索词报告!$A$2:$A$22222,总体数据一览!A797,搜索词报告!$I$2:$I$22222)=0,"",SUMIF(搜索词报告!$A$2:$A$22222,总体数据一览!A797,搜索词报告!$I$2:$I$22222))</f>
        <v/>
      </c>
      <c r="C797" t="str">
        <f>IF(SUMIF(搜索词报告!$A$2:$A$22222,总体数据一览!A797,搜索词报告!$J$2:$J$22222)=0,"",SUMIF(搜索词报告!$A$2:$A$22222,总体数据一览!A797,搜索词报告!$J$2:$J$22222))</f>
        <v/>
      </c>
      <c r="D797" s="2" t="str">
        <f t="shared" si="39"/>
        <v/>
      </c>
      <c r="E797" t="str">
        <f t="shared" si="40"/>
        <v/>
      </c>
      <c r="F797" t="str">
        <f>IF(SUMIF(搜索词报告!$A$2:$A$22222,总体数据一览!A797,搜索词报告!$M$2:$M$22222)=0,"",SUMIF(搜索词报告!$A$2:$A$22222,总体数据一览!A797,搜索词报告!$M$2:$M$22222))</f>
        <v/>
      </c>
      <c r="G797" t="str">
        <f>IFERROR(IF(B797="","",SUMIF(搜索词报告!$A$2:$A$22222,总体数据一览!A797,搜索词报告!$V$2:$V$22222))+IF(B797="","",SUMIF(搜索词报告!$A$2:$A$22222,总体数据一览!A797,搜索词报告!$W$2:$W$22222)),"")</f>
        <v/>
      </c>
      <c r="H797" s="2" t="str">
        <f t="shared" si="41"/>
        <v/>
      </c>
    </row>
    <row r="798" spans="2:8" x14ac:dyDescent="0.15">
      <c r="B798" t="str">
        <f>IF(SUMIF(搜索词报告!$A$2:$A$22222,总体数据一览!A798,搜索词报告!$I$2:$I$22222)=0,"",SUMIF(搜索词报告!$A$2:$A$22222,总体数据一览!A798,搜索词报告!$I$2:$I$22222))</f>
        <v/>
      </c>
      <c r="C798" t="str">
        <f>IF(SUMIF(搜索词报告!$A$2:$A$22222,总体数据一览!A798,搜索词报告!$J$2:$J$22222)=0,"",SUMIF(搜索词报告!$A$2:$A$22222,总体数据一览!A798,搜索词报告!$J$2:$J$22222))</f>
        <v/>
      </c>
      <c r="D798" s="2" t="str">
        <f t="shared" si="39"/>
        <v/>
      </c>
      <c r="E798" t="str">
        <f t="shared" si="40"/>
        <v/>
      </c>
      <c r="F798" t="str">
        <f>IF(SUMIF(搜索词报告!$A$2:$A$22222,总体数据一览!A798,搜索词报告!$M$2:$M$22222)=0,"",SUMIF(搜索词报告!$A$2:$A$22222,总体数据一览!A798,搜索词报告!$M$2:$M$22222))</f>
        <v/>
      </c>
      <c r="G798" t="str">
        <f>IFERROR(IF(B798="","",SUMIF(搜索词报告!$A$2:$A$22222,总体数据一览!A798,搜索词报告!$V$2:$V$22222))+IF(B798="","",SUMIF(搜索词报告!$A$2:$A$22222,总体数据一览!A798,搜索词报告!$W$2:$W$22222)),"")</f>
        <v/>
      </c>
      <c r="H798" s="2" t="str">
        <f t="shared" si="41"/>
        <v/>
      </c>
    </row>
    <row r="799" spans="2:8" x14ac:dyDescent="0.15">
      <c r="B799" t="str">
        <f>IF(SUMIF(搜索词报告!$A$2:$A$22222,总体数据一览!A799,搜索词报告!$I$2:$I$22222)=0,"",SUMIF(搜索词报告!$A$2:$A$22222,总体数据一览!A799,搜索词报告!$I$2:$I$22222))</f>
        <v/>
      </c>
      <c r="C799" t="str">
        <f>IF(SUMIF(搜索词报告!$A$2:$A$22222,总体数据一览!A799,搜索词报告!$J$2:$J$22222)=0,"",SUMIF(搜索词报告!$A$2:$A$22222,总体数据一览!A799,搜索词报告!$J$2:$J$22222))</f>
        <v/>
      </c>
      <c r="D799" s="2" t="str">
        <f t="shared" si="39"/>
        <v/>
      </c>
      <c r="E799" t="str">
        <f t="shared" si="40"/>
        <v/>
      </c>
      <c r="F799" t="str">
        <f>IF(SUMIF(搜索词报告!$A$2:$A$22222,总体数据一览!A799,搜索词报告!$M$2:$M$22222)=0,"",SUMIF(搜索词报告!$A$2:$A$22222,总体数据一览!A799,搜索词报告!$M$2:$M$22222))</f>
        <v/>
      </c>
      <c r="G799" t="str">
        <f>IFERROR(IF(B799="","",SUMIF(搜索词报告!$A$2:$A$22222,总体数据一览!A799,搜索词报告!$V$2:$V$22222))+IF(B799="","",SUMIF(搜索词报告!$A$2:$A$22222,总体数据一览!A799,搜索词报告!$W$2:$W$22222)),"")</f>
        <v/>
      </c>
      <c r="H799" s="2" t="str">
        <f t="shared" si="41"/>
        <v/>
      </c>
    </row>
    <row r="800" spans="2:8" x14ac:dyDescent="0.15">
      <c r="B800" t="str">
        <f>IF(SUMIF(搜索词报告!$A$2:$A$22222,总体数据一览!A800,搜索词报告!$I$2:$I$22222)=0,"",SUMIF(搜索词报告!$A$2:$A$22222,总体数据一览!A800,搜索词报告!$I$2:$I$22222))</f>
        <v/>
      </c>
      <c r="C800" t="str">
        <f>IF(SUMIF(搜索词报告!$A$2:$A$22222,总体数据一览!A800,搜索词报告!$J$2:$J$22222)=0,"",SUMIF(搜索词报告!$A$2:$A$22222,总体数据一览!A800,搜索词报告!$J$2:$J$22222))</f>
        <v/>
      </c>
      <c r="D800" s="2" t="str">
        <f t="shared" si="39"/>
        <v/>
      </c>
      <c r="E800" t="str">
        <f t="shared" si="40"/>
        <v/>
      </c>
      <c r="F800" t="str">
        <f>IF(SUMIF(搜索词报告!$A$2:$A$22222,总体数据一览!A800,搜索词报告!$M$2:$M$22222)=0,"",SUMIF(搜索词报告!$A$2:$A$22222,总体数据一览!A800,搜索词报告!$M$2:$M$22222))</f>
        <v/>
      </c>
      <c r="G800" t="str">
        <f>IFERROR(IF(B800="","",SUMIF(搜索词报告!$A$2:$A$22222,总体数据一览!A800,搜索词报告!$V$2:$V$22222))+IF(B800="","",SUMIF(搜索词报告!$A$2:$A$22222,总体数据一览!A800,搜索词报告!$W$2:$W$22222)),"")</f>
        <v/>
      </c>
      <c r="H800" s="2" t="str">
        <f t="shared" si="41"/>
        <v/>
      </c>
    </row>
    <row r="801" spans="2:8" x14ac:dyDescent="0.15">
      <c r="B801" t="str">
        <f>IF(SUMIF(搜索词报告!$A$2:$A$22222,总体数据一览!A801,搜索词报告!$I$2:$I$22222)=0,"",SUMIF(搜索词报告!$A$2:$A$22222,总体数据一览!A801,搜索词报告!$I$2:$I$22222))</f>
        <v/>
      </c>
      <c r="C801" t="str">
        <f>IF(SUMIF(搜索词报告!$A$2:$A$22222,总体数据一览!A801,搜索词报告!$J$2:$J$22222)=0,"",SUMIF(搜索词报告!$A$2:$A$22222,总体数据一览!A801,搜索词报告!$J$2:$J$22222))</f>
        <v/>
      </c>
      <c r="D801" s="2" t="str">
        <f t="shared" si="39"/>
        <v/>
      </c>
      <c r="E801" t="str">
        <f t="shared" si="40"/>
        <v/>
      </c>
      <c r="F801" t="str">
        <f>IF(SUMIF(搜索词报告!$A$2:$A$22222,总体数据一览!A801,搜索词报告!$M$2:$M$22222)=0,"",SUMIF(搜索词报告!$A$2:$A$22222,总体数据一览!A801,搜索词报告!$M$2:$M$22222))</f>
        <v/>
      </c>
      <c r="G801" t="str">
        <f>IFERROR(IF(B801="","",SUMIF(搜索词报告!$A$2:$A$22222,总体数据一览!A801,搜索词报告!$V$2:$V$22222))+IF(B801="","",SUMIF(搜索词报告!$A$2:$A$22222,总体数据一览!A801,搜索词报告!$W$2:$W$22222)),"")</f>
        <v/>
      </c>
      <c r="H801" s="2" t="str">
        <f t="shared" si="41"/>
        <v/>
      </c>
    </row>
    <row r="802" spans="2:8" x14ac:dyDescent="0.15">
      <c r="B802" t="str">
        <f>IF(SUMIF(搜索词报告!$A$2:$A$22222,总体数据一览!A802,搜索词报告!$I$2:$I$22222)=0,"",SUMIF(搜索词报告!$A$2:$A$22222,总体数据一览!A802,搜索词报告!$I$2:$I$22222))</f>
        <v/>
      </c>
      <c r="C802" t="str">
        <f>IF(SUMIF(搜索词报告!$A$2:$A$22222,总体数据一览!A802,搜索词报告!$J$2:$J$22222)=0,"",SUMIF(搜索词报告!$A$2:$A$22222,总体数据一览!A802,搜索词报告!$J$2:$J$22222))</f>
        <v/>
      </c>
      <c r="D802" s="2" t="str">
        <f t="shared" si="39"/>
        <v/>
      </c>
      <c r="E802" t="str">
        <f t="shared" si="40"/>
        <v/>
      </c>
      <c r="F802" t="str">
        <f>IF(SUMIF(搜索词报告!$A$2:$A$22222,总体数据一览!A802,搜索词报告!$M$2:$M$22222)=0,"",SUMIF(搜索词报告!$A$2:$A$22222,总体数据一览!A802,搜索词报告!$M$2:$M$22222))</f>
        <v/>
      </c>
      <c r="G802" t="str">
        <f>IFERROR(IF(B802="","",SUMIF(搜索词报告!$A$2:$A$22222,总体数据一览!A802,搜索词报告!$V$2:$V$22222))+IF(B802="","",SUMIF(搜索词报告!$A$2:$A$22222,总体数据一览!A802,搜索词报告!$W$2:$W$22222)),"")</f>
        <v/>
      </c>
      <c r="H802" s="2" t="str">
        <f t="shared" si="41"/>
        <v/>
      </c>
    </row>
    <row r="803" spans="2:8" x14ac:dyDescent="0.15">
      <c r="B803" t="str">
        <f>IF(SUMIF(搜索词报告!$A$2:$A$22222,总体数据一览!A803,搜索词报告!$I$2:$I$22222)=0,"",SUMIF(搜索词报告!$A$2:$A$22222,总体数据一览!A803,搜索词报告!$I$2:$I$22222))</f>
        <v/>
      </c>
      <c r="C803" t="str">
        <f>IF(SUMIF(搜索词报告!$A$2:$A$22222,总体数据一览!A803,搜索词报告!$J$2:$J$22222)=0,"",SUMIF(搜索词报告!$A$2:$A$22222,总体数据一览!A803,搜索词报告!$J$2:$J$22222))</f>
        <v/>
      </c>
      <c r="D803" s="2" t="str">
        <f t="shared" si="39"/>
        <v/>
      </c>
      <c r="E803" t="str">
        <f t="shared" si="40"/>
        <v/>
      </c>
      <c r="F803" t="str">
        <f>IF(SUMIF(搜索词报告!$A$2:$A$22222,总体数据一览!A803,搜索词报告!$M$2:$M$22222)=0,"",SUMIF(搜索词报告!$A$2:$A$22222,总体数据一览!A803,搜索词报告!$M$2:$M$22222))</f>
        <v/>
      </c>
      <c r="G803" t="str">
        <f>IFERROR(IF(B803="","",SUMIF(搜索词报告!$A$2:$A$22222,总体数据一览!A803,搜索词报告!$V$2:$V$22222))+IF(B803="","",SUMIF(搜索词报告!$A$2:$A$22222,总体数据一览!A803,搜索词报告!$W$2:$W$22222)),"")</f>
        <v/>
      </c>
      <c r="H803" s="2" t="str">
        <f t="shared" si="41"/>
        <v/>
      </c>
    </row>
    <row r="804" spans="2:8" x14ac:dyDescent="0.15">
      <c r="B804" t="str">
        <f>IF(SUMIF(搜索词报告!$A$2:$A$22222,总体数据一览!A804,搜索词报告!$I$2:$I$22222)=0,"",SUMIF(搜索词报告!$A$2:$A$22222,总体数据一览!A804,搜索词报告!$I$2:$I$22222))</f>
        <v/>
      </c>
      <c r="C804" t="str">
        <f>IF(SUMIF(搜索词报告!$A$2:$A$22222,总体数据一览!A804,搜索词报告!$J$2:$J$22222)=0,"",SUMIF(搜索词报告!$A$2:$A$22222,总体数据一览!A804,搜索词报告!$J$2:$J$22222))</f>
        <v/>
      </c>
      <c r="D804" s="2" t="str">
        <f t="shared" si="39"/>
        <v/>
      </c>
      <c r="E804" t="str">
        <f t="shared" si="40"/>
        <v/>
      </c>
      <c r="F804" t="str">
        <f>IF(SUMIF(搜索词报告!$A$2:$A$22222,总体数据一览!A804,搜索词报告!$M$2:$M$22222)=0,"",SUMIF(搜索词报告!$A$2:$A$22222,总体数据一览!A804,搜索词报告!$M$2:$M$22222))</f>
        <v/>
      </c>
      <c r="G804" t="str">
        <f>IFERROR(IF(B804="","",SUMIF(搜索词报告!$A$2:$A$22222,总体数据一览!A804,搜索词报告!$V$2:$V$22222))+IF(B804="","",SUMIF(搜索词报告!$A$2:$A$22222,总体数据一览!A804,搜索词报告!$W$2:$W$22222)),"")</f>
        <v/>
      </c>
      <c r="H804" s="2" t="str">
        <f t="shared" si="41"/>
        <v/>
      </c>
    </row>
    <row r="805" spans="2:8" x14ac:dyDescent="0.15">
      <c r="B805" t="str">
        <f>IF(SUMIF(搜索词报告!$A$2:$A$22222,总体数据一览!A805,搜索词报告!$I$2:$I$22222)=0,"",SUMIF(搜索词报告!$A$2:$A$22222,总体数据一览!A805,搜索词报告!$I$2:$I$22222))</f>
        <v/>
      </c>
      <c r="C805" t="str">
        <f>IF(SUMIF(搜索词报告!$A$2:$A$22222,总体数据一览!A805,搜索词报告!$J$2:$J$22222)=0,"",SUMIF(搜索词报告!$A$2:$A$22222,总体数据一览!A805,搜索词报告!$J$2:$J$22222))</f>
        <v/>
      </c>
      <c r="D805" s="2" t="str">
        <f t="shared" si="39"/>
        <v/>
      </c>
      <c r="E805" t="str">
        <f t="shared" si="40"/>
        <v/>
      </c>
      <c r="F805" t="str">
        <f>IF(SUMIF(搜索词报告!$A$2:$A$22222,总体数据一览!A805,搜索词报告!$M$2:$M$22222)=0,"",SUMIF(搜索词报告!$A$2:$A$22222,总体数据一览!A805,搜索词报告!$M$2:$M$22222))</f>
        <v/>
      </c>
      <c r="G805" t="str">
        <f>IFERROR(IF(B805="","",SUMIF(搜索词报告!$A$2:$A$22222,总体数据一览!A805,搜索词报告!$V$2:$V$22222))+IF(B805="","",SUMIF(搜索词报告!$A$2:$A$22222,总体数据一览!A805,搜索词报告!$W$2:$W$22222)),"")</f>
        <v/>
      </c>
      <c r="H805" s="2" t="str">
        <f t="shared" si="41"/>
        <v/>
      </c>
    </row>
    <row r="806" spans="2:8" x14ac:dyDescent="0.15">
      <c r="B806" t="str">
        <f>IF(SUMIF(搜索词报告!$A$2:$A$22222,总体数据一览!A806,搜索词报告!$I$2:$I$22222)=0,"",SUMIF(搜索词报告!$A$2:$A$22222,总体数据一览!A806,搜索词报告!$I$2:$I$22222))</f>
        <v/>
      </c>
      <c r="C806" t="str">
        <f>IF(SUMIF(搜索词报告!$A$2:$A$22222,总体数据一览!A806,搜索词报告!$J$2:$J$22222)=0,"",SUMIF(搜索词报告!$A$2:$A$22222,总体数据一览!A806,搜索词报告!$J$2:$J$22222))</f>
        <v/>
      </c>
      <c r="D806" s="2" t="str">
        <f t="shared" si="39"/>
        <v/>
      </c>
      <c r="E806" t="str">
        <f t="shared" si="40"/>
        <v/>
      </c>
      <c r="F806" t="str">
        <f>IF(SUMIF(搜索词报告!$A$2:$A$22222,总体数据一览!A806,搜索词报告!$M$2:$M$22222)=0,"",SUMIF(搜索词报告!$A$2:$A$22222,总体数据一览!A806,搜索词报告!$M$2:$M$22222))</f>
        <v/>
      </c>
      <c r="G806" t="str">
        <f>IFERROR(IF(B806="","",SUMIF(搜索词报告!$A$2:$A$22222,总体数据一览!A806,搜索词报告!$V$2:$V$22222))+IF(B806="","",SUMIF(搜索词报告!$A$2:$A$22222,总体数据一览!A806,搜索词报告!$W$2:$W$22222)),"")</f>
        <v/>
      </c>
      <c r="H806" s="2" t="str">
        <f t="shared" si="41"/>
        <v/>
      </c>
    </row>
    <row r="807" spans="2:8" x14ac:dyDescent="0.15">
      <c r="B807" t="str">
        <f>IF(SUMIF(搜索词报告!$A$2:$A$22222,总体数据一览!A807,搜索词报告!$I$2:$I$22222)=0,"",SUMIF(搜索词报告!$A$2:$A$22222,总体数据一览!A807,搜索词报告!$I$2:$I$22222))</f>
        <v/>
      </c>
      <c r="C807" t="str">
        <f>IF(SUMIF(搜索词报告!$A$2:$A$22222,总体数据一览!A807,搜索词报告!$J$2:$J$22222)=0,"",SUMIF(搜索词报告!$A$2:$A$22222,总体数据一览!A807,搜索词报告!$J$2:$J$22222))</f>
        <v/>
      </c>
      <c r="D807" s="2" t="str">
        <f t="shared" si="39"/>
        <v/>
      </c>
      <c r="E807" t="str">
        <f t="shared" si="40"/>
        <v/>
      </c>
      <c r="F807" t="str">
        <f>IF(SUMIF(搜索词报告!$A$2:$A$22222,总体数据一览!A807,搜索词报告!$M$2:$M$22222)=0,"",SUMIF(搜索词报告!$A$2:$A$22222,总体数据一览!A807,搜索词报告!$M$2:$M$22222))</f>
        <v/>
      </c>
      <c r="G807" t="str">
        <f>IFERROR(IF(B807="","",SUMIF(搜索词报告!$A$2:$A$22222,总体数据一览!A807,搜索词报告!$V$2:$V$22222))+IF(B807="","",SUMIF(搜索词报告!$A$2:$A$22222,总体数据一览!A807,搜索词报告!$W$2:$W$22222)),"")</f>
        <v/>
      </c>
      <c r="H807" s="2" t="str">
        <f t="shared" si="41"/>
        <v/>
      </c>
    </row>
    <row r="808" spans="2:8" x14ac:dyDescent="0.15">
      <c r="B808" t="str">
        <f>IF(SUMIF(搜索词报告!$A$2:$A$22222,总体数据一览!A808,搜索词报告!$I$2:$I$22222)=0,"",SUMIF(搜索词报告!$A$2:$A$22222,总体数据一览!A808,搜索词报告!$I$2:$I$22222))</f>
        <v/>
      </c>
      <c r="C808" t="str">
        <f>IF(SUMIF(搜索词报告!$A$2:$A$22222,总体数据一览!A808,搜索词报告!$J$2:$J$22222)=0,"",SUMIF(搜索词报告!$A$2:$A$22222,总体数据一览!A808,搜索词报告!$J$2:$J$22222))</f>
        <v/>
      </c>
      <c r="D808" s="2" t="str">
        <f t="shared" si="39"/>
        <v/>
      </c>
      <c r="E808" t="str">
        <f t="shared" si="40"/>
        <v/>
      </c>
      <c r="F808" t="str">
        <f>IF(SUMIF(搜索词报告!$A$2:$A$22222,总体数据一览!A808,搜索词报告!$M$2:$M$22222)=0,"",SUMIF(搜索词报告!$A$2:$A$22222,总体数据一览!A808,搜索词报告!$M$2:$M$22222))</f>
        <v/>
      </c>
      <c r="G808" t="str">
        <f>IFERROR(IF(B808="","",SUMIF(搜索词报告!$A$2:$A$22222,总体数据一览!A808,搜索词报告!$V$2:$V$22222))+IF(B808="","",SUMIF(搜索词报告!$A$2:$A$22222,总体数据一览!A808,搜索词报告!$W$2:$W$22222)),"")</f>
        <v/>
      </c>
      <c r="H808" s="2" t="str">
        <f t="shared" si="41"/>
        <v/>
      </c>
    </row>
    <row r="809" spans="2:8" x14ac:dyDescent="0.15">
      <c r="B809" t="str">
        <f>IF(SUMIF(搜索词报告!$A$2:$A$22222,总体数据一览!A809,搜索词报告!$I$2:$I$22222)=0,"",SUMIF(搜索词报告!$A$2:$A$22222,总体数据一览!A809,搜索词报告!$I$2:$I$22222))</f>
        <v/>
      </c>
      <c r="C809" t="str">
        <f>IF(SUMIF(搜索词报告!$A$2:$A$22222,总体数据一览!A809,搜索词报告!$J$2:$J$22222)=0,"",SUMIF(搜索词报告!$A$2:$A$22222,总体数据一览!A809,搜索词报告!$J$2:$J$22222))</f>
        <v/>
      </c>
      <c r="D809" s="2" t="str">
        <f t="shared" si="39"/>
        <v/>
      </c>
      <c r="E809" t="str">
        <f t="shared" si="40"/>
        <v/>
      </c>
      <c r="F809" t="str">
        <f>IF(SUMIF(搜索词报告!$A$2:$A$22222,总体数据一览!A809,搜索词报告!$M$2:$M$22222)=0,"",SUMIF(搜索词报告!$A$2:$A$22222,总体数据一览!A809,搜索词报告!$M$2:$M$22222))</f>
        <v/>
      </c>
      <c r="G809" t="str">
        <f>IFERROR(IF(B809="","",SUMIF(搜索词报告!$A$2:$A$22222,总体数据一览!A809,搜索词报告!$V$2:$V$22222))+IF(B809="","",SUMIF(搜索词报告!$A$2:$A$22222,总体数据一览!A809,搜索词报告!$W$2:$W$22222)),"")</f>
        <v/>
      </c>
      <c r="H809" s="2" t="str">
        <f t="shared" si="41"/>
        <v/>
      </c>
    </row>
    <row r="810" spans="2:8" x14ac:dyDescent="0.15">
      <c r="B810" t="str">
        <f>IF(SUMIF(搜索词报告!$A$2:$A$22222,总体数据一览!A810,搜索词报告!$I$2:$I$22222)=0,"",SUMIF(搜索词报告!$A$2:$A$22222,总体数据一览!A810,搜索词报告!$I$2:$I$22222))</f>
        <v/>
      </c>
      <c r="C810" t="str">
        <f>IF(SUMIF(搜索词报告!$A$2:$A$22222,总体数据一览!A810,搜索词报告!$J$2:$J$22222)=0,"",SUMIF(搜索词报告!$A$2:$A$22222,总体数据一览!A810,搜索词报告!$J$2:$J$22222))</f>
        <v/>
      </c>
      <c r="D810" s="2" t="str">
        <f t="shared" si="39"/>
        <v/>
      </c>
      <c r="E810" t="str">
        <f t="shared" si="40"/>
        <v/>
      </c>
      <c r="F810" t="str">
        <f>IF(SUMIF(搜索词报告!$A$2:$A$22222,总体数据一览!A810,搜索词报告!$M$2:$M$22222)=0,"",SUMIF(搜索词报告!$A$2:$A$22222,总体数据一览!A810,搜索词报告!$M$2:$M$22222))</f>
        <v/>
      </c>
      <c r="G810" t="str">
        <f>IFERROR(IF(B810="","",SUMIF(搜索词报告!$A$2:$A$22222,总体数据一览!A810,搜索词报告!$V$2:$V$22222))+IF(B810="","",SUMIF(搜索词报告!$A$2:$A$22222,总体数据一览!A810,搜索词报告!$W$2:$W$22222)),"")</f>
        <v/>
      </c>
      <c r="H810" s="2" t="str">
        <f t="shared" si="41"/>
        <v/>
      </c>
    </row>
    <row r="811" spans="2:8" x14ac:dyDescent="0.15">
      <c r="B811" t="str">
        <f>IF(SUMIF(搜索词报告!$A$2:$A$22222,总体数据一览!A811,搜索词报告!$I$2:$I$22222)=0,"",SUMIF(搜索词报告!$A$2:$A$22222,总体数据一览!A811,搜索词报告!$I$2:$I$22222))</f>
        <v/>
      </c>
      <c r="C811" t="str">
        <f>IF(SUMIF(搜索词报告!$A$2:$A$22222,总体数据一览!A811,搜索词报告!$J$2:$J$22222)=0,"",SUMIF(搜索词报告!$A$2:$A$22222,总体数据一览!A811,搜索词报告!$J$2:$J$22222))</f>
        <v/>
      </c>
      <c r="D811" s="2" t="str">
        <f t="shared" si="39"/>
        <v/>
      </c>
      <c r="E811" t="str">
        <f t="shared" si="40"/>
        <v/>
      </c>
      <c r="F811" t="str">
        <f>IF(SUMIF(搜索词报告!$A$2:$A$22222,总体数据一览!A811,搜索词报告!$M$2:$M$22222)=0,"",SUMIF(搜索词报告!$A$2:$A$22222,总体数据一览!A811,搜索词报告!$M$2:$M$22222))</f>
        <v/>
      </c>
      <c r="G811" t="str">
        <f>IFERROR(IF(B811="","",SUMIF(搜索词报告!$A$2:$A$22222,总体数据一览!A811,搜索词报告!$V$2:$V$22222))+IF(B811="","",SUMIF(搜索词报告!$A$2:$A$22222,总体数据一览!A811,搜索词报告!$W$2:$W$22222)),"")</f>
        <v/>
      </c>
      <c r="H811" s="2" t="str">
        <f t="shared" si="41"/>
        <v/>
      </c>
    </row>
    <row r="812" spans="2:8" x14ac:dyDescent="0.15">
      <c r="B812" t="str">
        <f>IF(SUMIF(搜索词报告!$A$2:$A$22222,总体数据一览!A812,搜索词报告!$I$2:$I$22222)=0,"",SUMIF(搜索词报告!$A$2:$A$22222,总体数据一览!A812,搜索词报告!$I$2:$I$22222))</f>
        <v/>
      </c>
      <c r="C812" t="str">
        <f>IF(SUMIF(搜索词报告!$A$2:$A$22222,总体数据一览!A812,搜索词报告!$J$2:$J$22222)=0,"",SUMIF(搜索词报告!$A$2:$A$22222,总体数据一览!A812,搜索词报告!$J$2:$J$22222))</f>
        <v/>
      </c>
      <c r="D812" s="2" t="str">
        <f t="shared" si="39"/>
        <v/>
      </c>
      <c r="E812" t="str">
        <f t="shared" si="40"/>
        <v/>
      </c>
      <c r="F812" t="str">
        <f>IF(SUMIF(搜索词报告!$A$2:$A$22222,总体数据一览!A812,搜索词报告!$M$2:$M$22222)=0,"",SUMIF(搜索词报告!$A$2:$A$22222,总体数据一览!A812,搜索词报告!$M$2:$M$22222))</f>
        <v/>
      </c>
      <c r="G812" t="str">
        <f>IFERROR(IF(B812="","",SUMIF(搜索词报告!$A$2:$A$22222,总体数据一览!A812,搜索词报告!$V$2:$V$22222))+IF(B812="","",SUMIF(搜索词报告!$A$2:$A$22222,总体数据一览!A812,搜索词报告!$W$2:$W$22222)),"")</f>
        <v/>
      </c>
      <c r="H812" s="2" t="str">
        <f t="shared" si="41"/>
        <v/>
      </c>
    </row>
    <row r="813" spans="2:8" x14ac:dyDescent="0.15">
      <c r="B813" t="str">
        <f>IF(SUMIF(搜索词报告!$A$2:$A$22222,总体数据一览!A813,搜索词报告!$I$2:$I$22222)=0,"",SUMIF(搜索词报告!$A$2:$A$22222,总体数据一览!A813,搜索词报告!$I$2:$I$22222))</f>
        <v/>
      </c>
      <c r="C813" t="str">
        <f>IF(SUMIF(搜索词报告!$A$2:$A$22222,总体数据一览!A813,搜索词报告!$J$2:$J$22222)=0,"",SUMIF(搜索词报告!$A$2:$A$22222,总体数据一览!A813,搜索词报告!$J$2:$J$22222))</f>
        <v/>
      </c>
      <c r="D813" s="2" t="str">
        <f t="shared" si="39"/>
        <v/>
      </c>
      <c r="E813" t="str">
        <f t="shared" si="40"/>
        <v/>
      </c>
      <c r="F813" t="str">
        <f>IF(SUMIF(搜索词报告!$A$2:$A$22222,总体数据一览!A813,搜索词报告!$M$2:$M$22222)=0,"",SUMIF(搜索词报告!$A$2:$A$22222,总体数据一览!A813,搜索词报告!$M$2:$M$22222))</f>
        <v/>
      </c>
      <c r="G813" t="str">
        <f>IFERROR(IF(B813="","",SUMIF(搜索词报告!$A$2:$A$22222,总体数据一览!A813,搜索词报告!$V$2:$V$22222))+IF(B813="","",SUMIF(搜索词报告!$A$2:$A$22222,总体数据一览!A813,搜索词报告!$W$2:$W$22222)),"")</f>
        <v/>
      </c>
      <c r="H813" s="2" t="str">
        <f t="shared" si="41"/>
        <v/>
      </c>
    </row>
    <row r="814" spans="2:8" x14ac:dyDescent="0.15">
      <c r="B814" t="str">
        <f>IF(SUMIF(搜索词报告!$A$2:$A$22222,总体数据一览!A814,搜索词报告!$I$2:$I$22222)=0,"",SUMIF(搜索词报告!$A$2:$A$22222,总体数据一览!A814,搜索词报告!$I$2:$I$22222))</f>
        <v/>
      </c>
      <c r="C814" t="str">
        <f>IF(SUMIF(搜索词报告!$A$2:$A$22222,总体数据一览!A814,搜索词报告!$J$2:$J$22222)=0,"",SUMIF(搜索词报告!$A$2:$A$22222,总体数据一览!A814,搜索词报告!$J$2:$J$22222))</f>
        <v/>
      </c>
      <c r="D814" s="2" t="str">
        <f t="shared" si="39"/>
        <v/>
      </c>
      <c r="E814" t="str">
        <f t="shared" si="40"/>
        <v/>
      </c>
      <c r="F814" t="str">
        <f>IF(SUMIF(搜索词报告!$A$2:$A$22222,总体数据一览!A814,搜索词报告!$M$2:$M$22222)=0,"",SUMIF(搜索词报告!$A$2:$A$22222,总体数据一览!A814,搜索词报告!$M$2:$M$22222))</f>
        <v/>
      </c>
      <c r="G814" t="str">
        <f>IFERROR(IF(B814="","",SUMIF(搜索词报告!$A$2:$A$22222,总体数据一览!A814,搜索词报告!$V$2:$V$22222))+IF(B814="","",SUMIF(搜索词报告!$A$2:$A$22222,总体数据一览!A814,搜索词报告!$W$2:$W$22222)),"")</f>
        <v/>
      </c>
      <c r="H814" s="2" t="str">
        <f t="shared" si="41"/>
        <v/>
      </c>
    </row>
    <row r="815" spans="2:8" x14ac:dyDescent="0.15">
      <c r="B815" t="str">
        <f>IF(SUMIF(搜索词报告!$A$2:$A$22222,总体数据一览!A815,搜索词报告!$I$2:$I$22222)=0,"",SUMIF(搜索词报告!$A$2:$A$22222,总体数据一览!A815,搜索词报告!$I$2:$I$22222))</f>
        <v/>
      </c>
      <c r="C815" t="str">
        <f>IF(SUMIF(搜索词报告!$A$2:$A$22222,总体数据一览!A815,搜索词报告!$J$2:$J$22222)=0,"",SUMIF(搜索词报告!$A$2:$A$22222,总体数据一览!A815,搜索词报告!$J$2:$J$22222))</f>
        <v/>
      </c>
      <c r="D815" s="2" t="str">
        <f t="shared" si="39"/>
        <v/>
      </c>
      <c r="E815" t="str">
        <f t="shared" si="40"/>
        <v/>
      </c>
      <c r="F815" t="str">
        <f>IF(SUMIF(搜索词报告!$A$2:$A$22222,总体数据一览!A815,搜索词报告!$M$2:$M$22222)=0,"",SUMIF(搜索词报告!$A$2:$A$22222,总体数据一览!A815,搜索词报告!$M$2:$M$22222))</f>
        <v/>
      </c>
      <c r="G815" t="str">
        <f>IFERROR(IF(B815="","",SUMIF(搜索词报告!$A$2:$A$22222,总体数据一览!A815,搜索词报告!$V$2:$V$22222))+IF(B815="","",SUMIF(搜索词报告!$A$2:$A$22222,总体数据一览!A815,搜索词报告!$W$2:$W$22222)),"")</f>
        <v/>
      </c>
      <c r="H815" s="2" t="str">
        <f t="shared" si="41"/>
        <v/>
      </c>
    </row>
    <row r="816" spans="2:8" x14ac:dyDescent="0.15">
      <c r="B816" t="str">
        <f>IF(SUMIF(搜索词报告!$A$2:$A$22222,总体数据一览!A816,搜索词报告!$I$2:$I$22222)=0,"",SUMIF(搜索词报告!$A$2:$A$22222,总体数据一览!A816,搜索词报告!$I$2:$I$22222))</f>
        <v/>
      </c>
      <c r="C816" t="str">
        <f>IF(SUMIF(搜索词报告!$A$2:$A$22222,总体数据一览!A816,搜索词报告!$J$2:$J$22222)=0,"",SUMIF(搜索词报告!$A$2:$A$22222,总体数据一览!A816,搜索词报告!$J$2:$J$22222))</f>
        <v/>
      </c>
      <c r="D816" s="2" t="str">
        <f t="shared" si="39"/>
        <v/>
      </c>
      <c r="E816" t="str">
        <f t="shared" si="40"/>
        <v/>
      </c>
      <c r="F816" t="str">
        <f>IF(SUMIF(搜索词报告!$A$2:$A$22222,总体数据一览!A816,搜索词报告!$M$2:$M$22222)=0,"",SUMIF(搜索词报告!$A$2:$A$22222,总体数据一览!A816,搜索词报告!$M$2:$M$22222))</f>
        <v/>
      </c>
      <c r="G816" t="str">
        <f>IFERROR(IF(B816="","",SUMIF(搜索词报告!$A$2:$A$22222,总体数据一览!A816,搜索词报告!$V$2:$V$22222))+IF(B816="","",SUMIF(搜索词报告!$A$2:$A$22222,总体数据一览!A816,搜索词报告!$W$2:$W$22222)),"")</f>
        <v/>
      </c>
      <c r="H816" s="2" t="str">
        <f t="shared" si="41"/>
        <v/>
      </c>
    </row>
    <row r="817" spans="2:8" x14ac:dyDescent="0.15">
      <c r="B817" t="str">
        <f>IF(SUMIF(搜索词报告!$A$2:$A$22222,总体数据一览!A817,搜索词报告!$I$2:$I$22222)=0,"",SUMIF(搜索词报告!$A$2:$A$22222,总体数据一览!A817,搜索词报告!$I$2:$I$22222))</f>
        <v/>
      </c>
      <c r="C817" t="str">
        <f>IF(SUMIF(搜索词报告!$A$2:$A$22222,总体数据一览!A817,搜索词报告!$J$2:$J$22222)=0,"",SUMIF(搜索词报告!$A$2:$A$22222,总体数据一览!A817,搜索词报告!$J$2:$J$22222))</f>
        <v/>
      </c>
      <c r="D817" s="2" t="str">
        <f t="shared" si="39"/>
        <v/>
      </c>
      <c r="E817" t="str">
        <f t="shared" si="40"/>
        <v/>
      </c>
      <c r="F817" t="str">
        <f>IF(SUMIF(搜索词报告!$A$2:$A$22222,总体数据一览!A817,搜索词报告!$M$2:$M$22222)=0,"",SUMIF(搜索词报告!$A$2:$A$22222,总体数据一览!A817,搜索词报告!$M$2:$M$22222))</f>
        <v/>
      </c>
      <c r="G817" t="str">
        <f>IFERROR(IF(B817="","",SUMIF(搜索词报告!$A$2:$A$22222,总体数据一览!A817,搜索词报告!$V$2:$V$22222))+IF(B817="","",SUMIF(搜索词报告!$A$2:$A$22222,总体数据一览!A817,搜索词报告!$W$2:$W$22222)),"")</f>
        <v/>
      </c>
      <c r="H817" s="2" t="str">
        <f t="shared" si="41"/>
        <v/>
      </c>
    </row>
    <row r="818" spans="2:8" x14ac:dyDescent="0.15">
      <c r="B818" t="str">
        <f>IF(SUMIF(搜索词报告!$A$2:$A$22222,总体数据一览!A818,搜索词报告!$I$2:$I$22222)=0,"",SUMIF(搜索词报告!$A$2:$A$22222,总体数据一览!A818,搜索词报告!$I$2:$I$22222))</f>
        <v/>
      </c>
      <c r="C818" t="str">
        <f>IF(SUMIF(搜索词报告!$A$2:$A$22222,总体数据一览!A818,搜索词报告!$J$2:$J$22222)=0,"",SUMIF(搜索词报告!$A$2:$A$22222,总体数据一览!A818,搜索词报告!$J$2:$J$22222))</f>
        <v/>
      </c>
      <c r="D818" s="2" t="str">
        <f t="shared" si="39"/>
        <v/>
      </c>
      <c r="E818" t="str">
        <f t="shared" si="40"/>
        <v/>
      </c>
      <c r="F818" t="str">
        <f>IF(SUMIF(搜索词报告!$A$2:$A$22222,总体数据一览!A818,搜索词报告!$M$2:$M$22222)=0,"",SUMIF(搜索词报告!$A$2:$A$22222,总体数据一览!A818,搜索词报告!$M$2:$M$22222))</f>
        <v/>
      </c>
      <c r="G818" t="str">
        <f>IFERROR(IF(B818="","",SUMIF(搜索词报告!$A$2:$A$22222,总体数据一览!A818,搜索词报告!$V$2:$V$22222))+IF(B818="","",SUMIF(搜索词报告!$A$2:$A$22222,总体数据一览!A818,搜索词报告!$W$2:$W$22222)),"")</f>
        <v/>
      </c>
      <c r="H818" s="2" t="str">
        <f t="shared" si="41"/>
        <v/>
      </c>
    </row>
    <row r="819" spans="2:8" x14ac:dyDescent="0.15">
      <c r="B819" t="str">
        <f>IF(SUMIF(搜索词报告!$A$2:$A$22222,总体数据一览!A819,搜索词报告!$I$2:$I$22222)=0,"",SUMIF(搜索词报告!$A$2:$A$22222,总体数据一览!A819,搜索词报告!$I$2:$I$22222))</f>
        <v/>
      </c>
      <c r="C819" t="str">
        <f>IF(SUMIF(搜索词报告!$A$2:$A$22222,总体数据一览!A819,搜索词报告!$J$2:$J$22222)=0,"",SUMIF(搜索词报告!$A$2:$A$22222,总体数据一览!A819,搜索词报告!$J$2:$J$22222))</f>
        <v/>
      </c>
      <c r="D819" s="2" t="str">
        <f t="shared" si="39"/>
        <v/>
      </c>
      <c r="E819" t="str">
        <f t="shared" si="40"/>
        <v/>
      </c>
      <c r="F819" t="str">
        <f>IF(SUMIF(搜索词报告!$A$2:$A$22222,总体数据一览!A819,搜索词报告!$M$2:$M$22222)=0,"",SUMIF(搜索词报告!$A$2:$A$22222,总体数据一览!A819,搜索词报告!$M$2:$M$22222))</f>
        <v/>
      </c>
      <c r="G819" t="str">
        <f>IFERROR(IF(B819="","",SUMIF(搜索词报告!$A$2:$A$22222,总体数据一览!A819,搜索词报告!$V$2:$V$22222))+IF(B819="","",SUMIF(搜索词报告!$A$2:$A$22222,总体数据一览!A819,搜索词报告!$W$2:$W$22222)),"")</f>
        <v/>
      </c>
      <c r="H819" s="2" t="str">
        <f t="shared" si="41"/>
        <v/>
      </c>
    </row>
    <row r="820" spans="2:8" x14ac:dyDescent="0.15">
      <c r="B820" t="str">
        <f>IF(SUMIF(搜索词报告!$A$2:$A$22222,总体数据一览!A820,搜索词报告!$I$2:$I$22222)=0,"",SUMIF(搜索词报告!$A$2:$A$22222,总体数据一览!A820,搜索词报告!$I$2:$I$22222))</f>
        <v/>
      </c>
      <c r="C820" t="str">
        <f>IF(SUMIF(搜索词报告!$A$2:$A$22222,总体数据一览!A820,搜索词报告!$J$2:$J$22222)=0,"",SUMIF(搜索词报告!$A$2:$A$22222,总体数据一览!A820,搜索词报告!$J$2:$J$22222))</f>
        <v/>
      </c>
      <c r="D820" s="2" t="str">
        <f t="shared" si="39"/>
        <v/>
      </c>
      <c r="E820" t="str">
        <f t="shared" si="40"/>
        <v/>
      </c>
      <c r="F820" t="str">
        <f>IF(SUMIF(搜索词报告!$A$2:$A$22222,总体数据一览!A820,搜索词报告!$M$2:$M$22222)=0,"",SUMIF(搜索词报告!$A$2:$A$22222,总体数据一览!A820,搜索词报告!$M$2:$M$22222))</f>
        <v/>
      </c>
      <c r="G820" t="str">
        <f>IFERROR(IF(B820="","",SUMIF(搜索词报告!$A$2:$A$22222,总体数据一览!A820,搜索词报告!$V$2:$V$22222))+IF(B820="","",SUMIF(搜索词报告!$A$2:$A$22222,总体数据一览!A820,搜索词报告!$W$2:$W$22222)),"")</f>
        <v/>
      </c>
      <c r="H820" s="2" t="str">
        <f t="shared" si="41"/>
        <v/>
      </c>
    </row>
    <row r="821" spans="2:8" x14ac:dyDescent="0.15">
      <c r="B821" t="str">
        <f>IF(SUMIF(搜索词报告!$A$2:$A$22222,总体数据一览!A821,搜索词报告!$I$2:$I$22222)=0,"",SUMIF(搜索词报告!$A$2:$A$22222,总体数据一览!A821,搜索词报告!$I$2:$I$22222))</f>
        <v/>
      </c>
      <c r="C821" t="str">
        <f>IF(SUMIF(搜索词报告!$A$2:$A$22222,总体数据一览!A821,搜索词报告!$J$2:$J$22222)=0,"",SUMIF(搜索词报告!$A$2:$A$22222,总体数据一览!A821,搜索词报告!$J$2:$J$22222))</f>
        <v/>
      </c>
      <c r="D821" s="2" t="str">
        <f t="shared" si="39"/>
        <v/>
      </c>
      <c r="E821" t="str">
        <f t="shared" si="40"/>
        <v/>
      </c>
      <c r="F821" t="str">
        <f>IF(SUMIF(搜索词报告!$A$2:$A$22222,总体数据一览!A821,搜索词报告!$M$2:$M$22222)=0,"",SUMIF(搜索词报告!$A$2:$A$22222,总体数据一览!A821,搜索词报告!$M$2:$M$22222))</f>
        <v/>
      </c>
      <c r="G821" t="str">
        <f>IFERROR(IF(B821="","",SUMIF(搜索词报告!$A$2:$A$22222,总体数据一览!A821,搜索词报告!$V$2:$V$22222))+IF(B821="","",SUMIF(搜索词报告!$A$2:$A$22222,总体数据一览!A821,搜索词报告!$W$2:$W$22222)),"")</f>
        <v/>
      </c>
      <c r="H821" s="2" t="str">
        <f t="shared" si="41"/>
        <v/>
      </c>
    </row>
    <row r="822" spans="2:8" x14ac:dyDescent="0.15">
      <c r="B822" t="str">
        <f>IF(SUMIF(搜索词报告!$A$2:$A$22222,总体数据一览!A822,搜索词报告!$I$2:$I$22222)=0,"",SUMIF(搜索词报告!$A$2:$A$22222,总体数据一览!A822,搜索词报告!$I$2:$I$22222))</f>
        <v/>
      </c>
      <c r="C822" t="str">
        <f>IF(SUMIF(搜索词报告!$A$2:$A$22222,总体数据一览!A822,搜索词报告!$J$2:$J$22222)=0,"",SUMIF(搜索词报告!$A$2:$A$22222,总体数据一览!A822,搜索词报告!$J$2:$J$22222))</f>
        <v/>
      </c>
      <c r="D822" s="2" t="str">
        <f t="shared" si="39"/>
        <v/>
      </c>
      <c r="E822" t="str">
        <f t="shared" si="40"/>
        <v/>
      </c>
      <c r="F822" t="str">
        <f>IF(SUMIF(搜索词报告!$A$2:$A$22222,总体数据一览!A822,搜索词报告!$M$2:$M$22222)=0,"",SUMIF(搜索词报告!$A$2:$A$22222,总体数据一览!A822,搜索词报告!$M$2:$M$22222))</f>
        <v/>
      </c>
      <c r="G822" t="str">
        <f>IFERROR(IF(B822="","",SUMIF(搜索词报告!$A$2:$A$22222,总体数据一览!A822,搜索词报告!$V$2:$V$22222))+IF(B822="","",SUMIF(搜索词报告!$A$2:$A$22222,总体数据一览!A822,搜索词报告!$W$2:$W$22222)),"")</f>
        <v/>
      </c>
      <c r="H822" s="2" t="str">
        <f t="shared" si="41"/>
        <v/>
      </c>
    </row>
    <row r="823" spans="2:8" x14ac:dyDescent="0.15">
      <c r="B823" t="str">
        <f>IF(SUMIF(搜索词报告!$A$2:$A$22222,总体数据一览!A823,搜索词报告!$I$2:$I$22222)=0,"",SUMIF(搜索词报告!$A$2:$A$22222,总体数据一览!A823,搜索词报告!$I$2:$I$22222))</f>
        <v/>
      </c>
      <c r="C823" t="str">
        <f>IF(SUMIF(搜索词报告!$A$2:$A$22222,总体数据一览!A823,搜索词报告!$J$2:$J$22222)=0,"",SUMIF(搜索词报告!$A$2:$A$22222,总体数据一览!A823,搜索词报告!$J$2:$J$22222))</f>
        <v/>
      </c>
      <c r="D823" s="2" t="str">
        <f t="shared" si="39"/>
        <v/>
      </c>
      <c r="E823" t="str">
        <f t="shared" si="40"/>
        <v/>
      </c>
      <c r="F823" t="str">
        <f>IF(SUMIF(搜索词报告!$A$2:$A$22222,总体数据一览!A823,搜索词报告!$M$2:$M$22222)=0,"",SUMIF(搜索词报告!$A$2:$A$22222,总体数据一览!A823,搜索词报告!$M$2:$M$22222))</f>
        <v/>
      </c>
      <c r="G823" t="str">
        <f>IFERROR(IF(B823="","",SUMIF(搜索词报告!$A$2:$A$22222,总体数据一览!A823,搜索词报告!$V$2:$V$22222))+IF(B823="","",SUMIF(搜索词报告!$A$2:$A$22222,总体数据一览!A823,搜索词报告!$W$2:$W$22222)),"")</f>
        <v/>
      </c>
      <c r="H823" s="2" t="str">
        <f t="shared" si="41"/>
        <v/>
      </c>
    </row>
    <row r="824" spans="2:8" x14ac:dyDescent="0.15">
      <c r="B824" t="str">
        <f>IF(SUMIF(搜索词报告!$A$2:$A$22222,总体数据一览!A824,搜索词报告!$I$2:$I$22222)=0,"",SUMIF(搜索词报告!$A$2:$A$22222,总体数据一览!A824,搜索词报告!$I$2:$I$22222))</f>
        <v/>
      </c>
      <c r="C824" t="str">
        <f>IF(SUMIF(搜索词报告!$A$2:$A$22222,总体数据一览!A824,搜索词报告!$J$2:$J$22222)=0,"",SUMIF(搜索词报告!$A$2:$A$22222,总体数据一览!A824,搜索词报告!$J$2:$J$22222))</f>
        <v/>
      </c>
      <c r="D824" s="2" t="str">
        <f t="shared" si="39"/>
        <v/>
      </c>
      <c r="E824" t="str">
        <f t="shared" si="40"/>
        <v/>
      </c>
      <c r="F824" t="str">
        <f>IF(SUMIF(搜索词报告!$A$2:$A$22222,总体数据一览!A824,搜索词报告!$M$2:$M$22222)=0,"",SUMIF(搜索词报告!$A$2:$A$22222,总体数据一览!A824,搜索词报告!$M$2:$M$22222))</f>
        <v/>
      </c>
      <c r="G824" t="str">
        <f>IFERROR(IF(B824="","",SUMIF(搜索词报告!$A$2:$A$22222,总体数据一览!A824,搜索词报告!$V$2:$V$22222))+IF(B824="","",SUMIF(搜索词报告!$A$2:$A$22222,总体数据一览!A824,搜索词报告!$W$2:$W$22222)),"")</f>
        <v/>
      </c>
      <c r="H824" s="2" t="str">
        <f t="shared" si="41"/>
        <v/>
      </c>
    </row>
    <row r="825" spans="2:8" x14ac:dyDescent="0.15">
      <c r="B825" t="str">
        <f>IF(SUMIF(搜索词报告!$A$2:$A$22222,总体数据一览!A825,搜索词报告!$I$2:$I$22222)=0,"",SUMIF(搜索词报告!$A$2:$A$22222,总体数据一览!A825,搜索词报告!$I$2:$I$22222))</f>
        <v/>
      </c>
      <c r="C825" t="str">
        <f>IF(SUMIF(搜索词报告!$A$2:$A$22222,总体数据一览!A825,搜索词报告!$J$2:$J$22222)=0,"",SUMIF(搜索词报告!$A$2:$A$22222,总体数据一览!A825,搜索词报告!$J$2:$J$22222))</f>
        <v/>
      </c>
      <c r="D825" s="2" t="str">
        <f t="shared" si="39"/>
        <v/>
      </c>
      <c r="E825" t="str">
        <f t="shared" si="40"/>
        <v/>
      </c>
      <c r="F825" t="str">
        <f>IF(SUMIF(搜索词报告!$A$2:$A$22222,总体数据一览!A825,搜索词报告!$M$2:$M$22222)=0,"",SUMIF(搜索词报告!$A$2:$A$22222,总体数据一览!A825,搜索词报告!$M$2:$M$22222))</f>
        <v/>
      </c>
      <c r="G825" t="str">
        <f>IFERROR(IF(B825="","",SUMIF(搜索词报告!$A$2:$A$22222,总体数据一览!A825,搜索词报告!$V$2:$V$22222))+IF(B825="","",SUMIF(搜索词报告!$A$2:$A$22222,总体数据一览!A825,搜索词报告!$W$2:$W$22222)),"")</f>
        <v/>
      </c>
      <c r="H825" s="2" t="str">
        <f t="shared" si="41"/>
        <v/>
      </c>
    </row>
    <row r="826" spans="2:8" x14ac:dyDescent="0.15">
      <c r="B826" t="str">
        <f>IF(SUMIF(搜索词报告!$A$2:$A$22222,总体数据一览!A826,搜索词报告!$I$2:$I$22222)=0,"",SUMIF(搜索词报告!$A$2:$A$22222,总体数据一览!A826,搜索词报告!$I$2:$I$22222))</f>
        <v/>
      </c>
      <c r="C826" t="str">
        <f>IF(SUMIF(搜索词报告!$A$2:$A$22222,总体数据一览!A826,搜索词报告!$J$2:$J$22222)=0,"",SUMIF(搜索词报告!$A$2:$A$22222,总体数据一览!A826,搜索词报告!$J$2:$J$22222))</f>
        <v/>
      </c>
      <c r="D826" s="2" t="str">
        <f t="shared" si="39"/>
        <v/>
      </c>
      <c r="E826" t="str">
        <f t="shared" si="40"/>
        <v/>
      </c>
      <c r="F826" t="str">
        <f>IF(SUMIF(搜索词报告!$A$2:$A$22222,总体数据一览!A826,搜索词报告!$M$2:$M$22222)=0,"",SUMIF(搜索词报告!$A$2:$A$22222,总体数据一览!A826,搜索词报告!$M$2:$M$22222))</f>
        <v/>
      </c>
      <c r="G826" t="str">
        <f>IFERROR(IF(B826="","",SUMIF(搜索词报告!$A$2:$A$22222,总体数据一览!A826,搜索词报告!$V$2:$V$22222))+IF(B826="","",SUMIF(搜索词报告!$A$2:$A$22222,总体数据一览!A826,搜索词报告!$W$2:$W$22222)),"")</f>
        <v/>
      </c>
      <c r="H826" s="2" t="str">
        <f t="shared" si="41"/>
        <v/>
      </c>
    </row>
    <row r="827" spans="2:8" x14ac:dyDescent="0.15">
      <c r="B827" t="str">
        <f>IF(SUMIF(搜索词报告!$A$2:$A$22222,总体数据一览!A827,搜索词报告!$I$2:$I$22222)=0,"",SUMIF(搜索词报告!$A$2:$A$22222,总体数据一览!A827,搜索词报告!$I$2:$I$22222))</f>
        <v/>
      </c>
      <c r="C827" t="str">
        <f>IF(SUMIF(搜索词报告!$A$2:$A$22222,总体数据一览!A827,搜索词报告!$J$2:$J$22222)=0,"",SUMIF(搜索词报告!$A$2:$A$22222,总体数据一览!A827,搜索词报告!$J$2:$J$22222))</f>
        <v/>
      </c>
      <c r="D827" s="2" t="str">
        <f t="shared" si="39"/>
        <v/>
      </c>
      <c r="E827" t="str">
        <f t="shared" si="40"/>
        <v/>
      </c>
      <c r="F827" t="str">
        <f>IF(SUMIF(搜索词报告!$A$2:$A$22222,总体数据一览!A827,搜索词报告!$M$2:$M$22222)=0,"",SUMIF(搜索词报告!$A$2:$A$22222,总体数据一览!A827,搜索词报告!$M$2:$M$22222))</f>
        <v/>
      </c>
      <c r="G827" t="str">
        <f>IFERROR(IF(B827="","",SUMIF(搜索词报告!$A$2:$A$22222,总体数据一览!A827,搜索词报告!$V$2:$V$22222))+IF(B827="","",SUMIF(搜索词报告!$A$2:$A$22222,总体数据一览!A827,搜索词报告!$W$2:$W$22222)),"")</f>
        <v/>
      </c>
      <c r="H827" s="2" t="str">
        <f t="shared" si="41"/>
        <v/>
      </c>
    </row>
    <row r="828" spans="2:8" x14ac:dyDescent="0.15">
      <c r="B828" t="str">
        <f>IF(SUMIF(搜索词报告!$A$2:$A$22222,总体数据一览!A828,搜索词报告!$I$2:$I$22222)=0,"",SUMIF(搜索词报告!$A$2:$A$22222,总体数据一览!A828,搜索词报告!$I$2:$I$22222))</f>
        <v/>
      </c>
      <c r="C828" t="str">
        <f>IF(SUMIF(搜索词报告!$A$2:$A$22222,总体数据一览!A828,搜索词报告!$J$2:$J$22222)=0,"",SUMIF(搜索词报告!$A$2:$A$22222,总体数据一览!A828,搜索词报告!$J$2:$J$22222))</f>
        <v/>
      </c>
      <c r="D828" s="2" t="str">
        <f t="shared" si="39"/>
        <v/>
      </c>
      <c r="E828" t="str">
        <f t="shared" si="40"/>
        <v/>
      </c>
      <c r="F828" t="str">
        <f>IF(SUMIF(搜索词报告!$A$2:$A$22222,总体数据一览!A828,搜索词报告!$M$2:$M$22222)=0,"",SUMIF(搜索词报告!$A$2:$A$22222,总体数据一览!A828,搜索词报告!$M$2:$M$22222))</f>
        <v/>
      </c>
      <c r="G828" t="str">
        <f>IFERROR(IF(B828="","",SUMIF(搜索词报告!$A$2:$A$22222,总体数据一览!A828,搜索词报告!$V$2:$V$22222))+IF(B828="","",SUMIF(搜索词报告!$A$2:$A$22222,总体数据一览!A828,搜索词报告!$W$2:$W$22222)),"")</f>
        <v/>
      </c>
      <c r="H828" s="2" t="str">
        <f t="shared" si="41"/>
        <v/>
      </c>
    </row>
    <row r="829" spans="2:8" x14ac:dyDescent="0.15">
      <c r="B829" t="str">
        <f>IF(SUMIF(搜索词报告!$A$2:$A$22222,总体数据一览!A829,搜索词报告!$I$2:$I$22222)=0,"",SUMIF(搜索词报告!$A$2:$A$22222,总体数据一览!A829,搜索词报告!$I$2:$I$22222))</f>
        <v/>
      </c>
      <c r="C829" t="str">
        <f>IF(SUMIF(搜索词报告!$A$2:$A$22222,总体数据一览!A829,搜索词报告!$J$2:$J$22222)=0,"",SUMIF(搜索词报告!$A$2:$A$22222,总体数据一览!A829,搜索词报告!$J$2:$J$22222))</f>
        <v/>
      </c>
      <c r="D829" s="2" t="str">
        <f t="shared" si="39"/>
        <v/>
      </c>
      <c r="E829" t="str">
        <f t="shared" si="40"/>
        <v/>
      </c>
      <c r="F829" t="str">
        <f>IF(SUMIF(搜索词报告!$A$2:$A$22222,总体数据一览!A829,搜索词报告!$M$2:$M$22222)=0,"",SUMIF(搜索词报告!$A$2:$A$22222,总体数据一览!A829,搜索词报告!$M$2:$M$22222))</f>
        <v/>
      </c>
      <c r="G829" t="str">
        <f>IFERROR(IF(B829="","",SUMIF(搜索词报告!$A$2:$A$22222,总体数据一览!A829,搜索词报告!$V$2:$V$22222))+IF(B829="","",SUMIF(搜索词报告!$A$2:$A$22222,总体数据一览!A829,搜索词报告!$W$2:$W$22222)),"")</f>
        <v/>
      </c>
      <c r="H829" s="2" t="str">
        <f t="shared" si="41"/>
        <v/>
      </c>
    </row>
    <row r="830" spans="2:8" x14ac:dyDescent="0.15">
      <c r="B830" t="str">
        <f>IF(SUMIF(搜索词报告!$A$2:$A$22222,总体数据一览!A830,搜索词报告!$I$2:$I$22222)=0,"",SUMIF(搜索词报告!$A$2:$A$22222,总体数据一览!A830,搜索词报告!$I$2:$I$22222))</f>
        <v/>
      </c>
      <c r="C830" t="str">
        <f>IF(SUMIF(搜索词报告!$A$2:$A$22222,总体数据一览!A830,搜索词报告!$J$2:$J$22222)=0,"",SUMIF(搜索词报告!$A$2:$A$22222,总体数据一览!A830,搜索词报告!$J$2:$J$22222))</f>
        <v/>
      </c>
      <c r="D830" s="2" t="str">
        <f t="shared" si="39"/>
        <v/>
      </c>
      <c r="E830" t="str">
        <f t="shared" si="40"/>
        <v/>
      </c>
      <c r="F830" t="str">
        <f>IF(SUMIF(搜索词报告!$A$2:$A$22222,总体数据一览!A830,搜索词报告!$M$2:$M$22222)=0,"",SUMIF(搜索词报告!$A$2:$A$22222,总体数据一览!A830,搜索词报告!$M$2:$M$22222))</f>
        <v/>
      </c>
      <c r="G830" t="str">
        <f>IFERROR(IF(B830="","",SUMIF(搜索词报告!$A$2:$A$22222,总体数据一览!A830,搜索词报告!$V$2:$V$22222))+IF(B830="","",SUMIF(搜索词报告!$A$2:$A$22222,总体数据一览!A830,搜索词报告!$W$2:$W$22222)),"")</f>
        <v/>
      </c>
      <c r="H830" s="2" t="str">
        <f t="shared" si="41"/>
        <v/>
      </c>
    </row>
    <row r="831" spans="2:8" x14ac:dyDescent="0.15">
      <c r="B831" t="str">
        <f>IF(SUMIF(搜索词报告!$A$2:$A$22222,总体数据一览!A831,搜索词报告!$I$2:$I$22222)=0,"",SUMIF(搜索词报告!$A$2:$A$22222,总体数据一览!A831,搜索词报告!$I$2:$I$22222))</f>
        <v/>
      </c>
      <c r="C831" t="str">
        <f>IF(SUMIF(搜索词报告!$A$2:$A$22222,总体数据一览!A831,搜索词报告!$J$2:$J$22222)=0,"",SUMIF(搜索词报告!$A$2:$A$22222,总体数据一览!A831,搜索词报告!$J$2:$J$22222))</f>
        <v/>
      </c>
      <c r="D831" s="2" t="str">
        <f t="shared" si="39"/>
        <v/>
      </c>
      <c r="E831" t="str">
        <f t="shared" si="40"/>
        <v/>
      </c>
      <c r="F831" t="str">
        <f>IF(SUMIF(搜索词报告!$A$2:$A$22222,总体数据一览!A831,搜索词报告!$M$2:$M$22222)=0,"",SUMIF(搜索词报告!$A$2:$A$22222,总体数据一览!A831,搜索词报告!$M$2:$M$22222))</f>
        <v/>
      </c>
      <c r="G831" t="str">
        <f>IFERROR(IF(B831="","",SUMIF(搜索词报告!$A$2:$A$22222,总体数据一览!A831,搜索词报告!$V$2:$V$22222))+IF(B831="","",SUMIF(搜索词报告!$A$2:$A$22222,总体数据一览!A831,搜索词报告!$W$2:$W$22222)),"")</f>
        <v/>
      </c>
      <c r="H831" s="2" t="str">
        <f t="shared" si="41"/>
        <v/>
      </c>
    </row>
    <row r="832" spans="2:8" x14ac:dyDescent="0.15">
      <c r="B832" t="str">
        <f>IF(SUMIF(搜索词报告!$A$2:$A$22222,总体数据一览!A832,搜索词报告!$I$2:$I$22222)=0,"",SUMIF(搜索词报告!$A$2:$A$22222,总体数据一览!A832,搜索词报告!$I$2:$I$22222))</f>
        <v/>
      </c>
      <c r="C832" t="str">
        <f>IF(SUMIF(搜索词报告!$A$2:$A$22222,总体数据一览!A832,搜索词报告!$J$2:$J$22222)=0,"",SUMIF(搜索词报告!$A$2:$A$22222,总体数据一览!A832,搜索词报告!$J$2:$J$22222))</f>
        <v/>
      </c>
      <c r="D832" s="2" t="str">
        <f t="shared" si="39"/>
        <v/>
      </c>
      <c r="E832" t="str">
        <f t="shared" si="40"/>
        <v/>
      </c>
      <c r="F832" t="str">
        <f>IF(SUMIF(搜索词报告!$A$2:$A$22222,总体数据一览!A832,搜索词报告!$M$2:$M$22222)=0,"",SUMIF(搜索词报告!$A$2:$A$22222,总体数据一览!A832,搜索词报告!$M$2:$M$22222))</f>
        <v/>
      </c>
      <c r="G832" t="str">
        <f>IFERROR(IF(B832="","",SUMIF(搜索词报告!$A$2:$A$22222,总体数据一览!A832,搜索词报告!$V$2:$V$22222))+IF(B832="","",SUMIF(搜索词报告!$A$2:$A$22222,总体数据一览!A832,搜索词报告!$W$2:$W$22222)),"")</f>
        <v/>
      </c>
      <c r="H832" s="2" t="str">
        <f t="shared" si="41"/>
        <v/>
      </c>
    </row>
    <row r="833" spans="2:8" x14ac:dyDescent="0.15">
      <c r="B833" t="str">
        <f>IF(SUMIF(搜索词报告!$A$2:$A$22222,总体数据一览!A833,搜索词报告!$I$2:$I$22222)=0,"",SUMIF(搜索词报告!$A$2:$A$22222,总体数据一览!A833,搜索词报告!$I$2:$I$22222))</f>
        <v/>
      </c>
      <c r="C833" t="str">
        <f>IF(SUMIF(搜索词报告!$A$2:$A$22222,总体数据一览!A833,搜索词报告!$J$2:$J$22222)=0,"",SUMIF(搜索词报告!$A$2:$A$22222,总体数据一览!A833,搜索词报告!$J$2:$J$22222))</f>
        <v/>
      </c>
      <c r="D833" s="2" t="str">
        <f t="shared" si="39"/>
        <v/>
      </c>
      <c r="E833" t="str">
        <f t="shared" si="40"/>
        <v/>
      </c>
      <c r="F833" t="str">
        <f>IF(SUMIF(搜索词报告!$A$2:$A$22222,总体数据一览!A833,搜索词报告!$M$2:$M$22222)=0,"",SUMIF(搜索词报告!$A$2:$A$22222,总体数据一览!A833,搜索词报告!$M$2:$M$22222))</f>
        <v/>
      </c>
      <c r="G833" t="str">
        <f>IFERROR(IF(B833="","",SUMIF(搜索词报告!$A$2:$A$22222,总体数据一览!A833,搜索词报告!$V$2:$V$22222))+IF(B833="","",SUMIF(搜索词报告!$A$2:$A$22222,总体数据一览!A833,搜索词报告!$W$2:$W$22222)),"")</f>
        <v/>
      </c>
      <c r="H833" s="2" t="str">
        <f t="shared" si="41"/>
        <v/>
      </c>
    </row>
    <row r="834" spans="2:8" x14ac:dyDescent="0.15">
      <c r="B834" t="str">
        <f>IF(SUMIF(搜索词报告!$A$2:$A$22222,总体数据一览!A834,搜索词报告!$I$2:$I$22222)=0,"",SUMIF(搜索词报告!$A$2:$A$22222,总体数据一览!A834,搜索词报告!$I$2:$I$22222))</f>
        <v/>
      </c>
      <c r="C834" t="str">
        <f>IF(SUMIF(搜索词报告!$A$2:$A$22222,总体数据一览!A834,搜索词报告!$J$2:$J$22222)=0,"",SUMIF(搜索词报告!$A$2:$A$22222,总体数据一览!A834,搜索词报告!$J$2:$J$22222))</f>
        <v/>
      </c>
      <c r="D834" s="2" t="str">
        <f t="shared" si="39"/>
        <v/>
      </c>
      <c r="E834" t="str">
        <f t="shared" si="40"/>
        <v/>
      </c>
      <c r="F834" t="str">
        <f>IF(SUMIF(搜索词报告!$A$2:$A$22222,总体数据一览!A834,搜索词报告!$M$2:$M$22222)=0,"",SUMIF(搜索词报告!$A$2:$A$22222,总体数据一览!A834,搜索词报告!$M$2:$M$22222))</f>
        <v/>
      </c>
      <c r="G834" t="str">
        <f>IFERROR(IF(B834="","",SUMIF(搜索词报告!$A$2:$A$22222,总体数据一览!A834,搜索词报告!$V$2:$V$22222))+IF(B834="","",SUMIF(搜索词报告!$A$2:$A$22222,总体数据一览!A834,搜索词报告!$W$2:$W$22222)),"")</f>
        <v/>
      </c>
      <c r="H834" s="2" t="str">
        <f t="shared" si="41"/>
        <v/>
      </c>
    </row>
    <row r="835" spans="2:8" x14ac:dyDescent="0.15">
      <c r="B835" t="str">
        <f>IF(SUMIF(搜索词报告!$A$2:$A$22222,总体数据一览!A835,搜索词报告!$I$2:$I$22222)=0,"",SUMIF(搜索词报告!$A$2:$A$22222,总体数据一览!A835,搜索词报告!$I$2:$I$22222))</f>
        <v/>
      </c>
      <c r="C835" t="str">
        <f>IF(SUMIF(搜索词报告!$A$2:$A$22222,总体数据一览!A835,搜索词报告!$J$2:$J$22222)=0,"",SUMIF(搜索词报告!$A$2:$A$22222,总体数据一览!A835,搜索词报告!$J$2:$J$22222))</f>
        <v/>
      </c>
      <c r="D835" s="2" t="str">
        <f t="shared" si="39"/>
        <v/>
      </c>
      <c r="E835" t="str">
        <f t="shared" si="40"/>
        <v/>
      </c>
      <c r="F835" t="str">
        <f>IF(SUMIF(搜索词报告!$A$2:$A$22222,总体数据一览!A835,搜索词报告!$M$2:$M$22222)=0,"",SUMIF(搜索词报告!$A$2:$A$22222,总体数据一览!A835,搜索词报告!$M$2:$M$22222))</f>
        <v/>
      </c>
      <c r="G835" t="str">
        <f>IFERROR(IF(B835="","",SUMIF(搜索词报告!$A$2:$A$22222,总体数据一览!A835,搜索词报告!$V$2:$V$22222))+IF(B835="","",SUMIF(搜索词报告!$A$2:$A$22222,总体数据一览!A835,搜索词报告!$W$2:$W$22222)),"")</f>
        <v/>
      </c>
      <c r="H835" s="2" t="str">
        <f t="shared" si="41"/>
        <v/>
      </c>
    </row>
    <row r="836" spans="2:8" x14ac:dyDescent="0.15">
      <c r="B836" t="str">
        <f>IF(SUMIF(搜索词报告!$A$2:$A$22222,总体数据一览!A836,搜索词报告!$I$2:$I$22222)=0,"",SUMIF(搜索词报告!$A$2:$A$22222,总体数据一览!A836,搜索词报告!$I$2:$I$22222))</f>
        <v/>
      </c>
      <c r="C836" t="str">
        <f>IF(SUMIF(搜索词报告!$A$2:$A$22222,总体数据一览!A836,搜索词报告!$J$2:$J$22222)=0,"",SUMIF(搜索词报告!$A$2:$A$22222,总体数据一览!A836,搜索词报告!$J$2:$J$22222))</f>
        <v/>
      </c>
      <c r="D836" s="2" t="str">
        <f t="shared" si="39"/>
        <v/>
      </c>
      <c r="E836" t="str">
        <f t="shared" si="40"/>
        <v/>
      </c>
      <c r="F836" t="str">
        <f>IF(SUMIF(搜索词报告!$A$2:$A$22222,总体数据一览!A836,搜索词报告!$M$2:$M$22222)=0,"",SUMIF(搜索词报告!$A$2:$A$22222,总体数据一览!A836,搜索词报告!$M$2:$M$22222))</f>
        <v/>
      </c>
      <c r="G836" t="str">
        <f>IFERROR(IF(B836="","",SUMIF(搜索词报告!$A$2:$A$22222,总体数据一览!A836,搜索词报告!$V$2:$V$22222))+IF(B836="","",SUMIF(搜索词报告!$A$2:$A$22222,总体数据一览!A836,搜索词报告!$W$2:$W$22222)),"")</f>
        <v/>
      </c>
      <c r="H836" s="2" t="str">
        <f t="shared" si="41"/>
        <v/>
      </c>
    </row>
    <row r="837" spans="2:8" x14ac:dyDescent="0.15">
      <c r="B837" t="str">
        <f>IF(SUMIF(搜索词报告!$A$2:$A$22222,总体数据一览!A837,搜索词报告!$I$2:$I$22222)=0,"",SUMIF(搜索词报告!$A$2:$A$22222,总体数据一览!A837,搜索词报告!$I$2:$I$22222))</f>
        <v/>
      </c>
      <c r="C837" t="str">
        <f>IF(SUMIF(搜索词报告!$A$2:$A$22222,总体数据一览!A837,搜索词报告!$J$2:$J$22222)=0,"",SUMIF(搜索词报告!$A$2:$A$22222,总体数据一览!A837,搜索词报告!$J$2:$J$22222))</f>
        <v/>
      </c>
      <c r="D837" s="2" t="str">
        <f t="shared" si="39"/>
        <v/>
      </c>
      <c r="E837" t="str">
        <f t="shared" si="40"/>
        <v/>
      </c>
      <c r="F837" t="str">
        <f>IF(SUMIF(搜索词报告!$A$2:$A$22222,总体数据一览!A837,搜索词报告!$M$2:$M$22222)=0,"",SUMIF(搜索词报告!$A$2:$A$22222,总体数据一览!A837,搜索词报告!$M$2:$M$22222))</f>
        <v/>
      </c>
      <c r="G837" t="str">
        <f>IFERROR(IF(B837="","",SUMIF(搜索词报告!$A$2:$A$22222,总体数据一览!A837,搜索词报告!$V$2:$V$22222))+IF(B837="","",SUMIF(搜索词报告!$A$2:$A$22222,总体数据一览!A837,搜索词报告!$W$2:$W$22222)),"")</f>
        <v/>
      </c>
      <c r="H837" s="2" t="str">
        <f t="shared" si="41"/>
        <v/>
      </c>
    </row>
    <row r="838" spans="2:8" x14ac:dyDescent="0.15">
      <c r="B838" t="str">
        <f>IF(SUMIF(搜索词报告!$A$2:$A$22222,总体数据一览!A838,搜索词报告!$I$2:$I$22222)=0,"",SUMIF(搜索词报告!$A$2:$A$22222,总体数据一览!A838,搜索词报告!$I$2:$I$22222))</f>
        <v/>
      </c>
      <c r="C838" t="str">
        <f>IF(SUMIF(搜索词报告!$A$2:$A$22222,总体数据一览!A838,搜索词报告!$J$2:$J$22222)=0,"",SUMIF(搜索词报告!$A$2:$A$22222,总体数据一览!A838,搜索词报告!$J$2:$J$22222))</f>
        <v/>
      </c>
      <c r="D838" s="2" t="str">
        <f t="shared" si="39"/>
        <v/>
      </c>
      <c r="E838" t="str">
        <f t="shared" si="40"/>
        <v/>
      </c>
      <c r="F838" t="str">
        <f>IF(SUMIF(搜索词报告!$A$2:$A$22222,总体数据一览!A838,搜索词报告!$M$2:$M$22222)=0,"",SUMIF(搜索词报告!$A$2:$A$22222,总体数据一览!A838,搜索词报告!$M$2:$M$22222))</f>
        <v/>
      </c>
      <c r="G838" t="str">
        <f>IFERROR(IF(B838="","",SUMIF(搜索词报告!$A$2:$A$22222,总体数据一览!A838,搜索词报告!$V$2:$V$22222))+IF(B838="","",SUMIF(搜索词报告!$A$2:$A$22222,总体数据一览!A838,搜索词报告!$W$2:$W$22222)),"")</f>
        <v/>
      </c>
      <c r="H838" s="2" t="str">
        <f t="shared" si="41"/>
        <v/>
      </c>
    </row>
    <row r="839" spans="2:8" x14ac:dyDescent="0.15">
      <c r="B839" t="str">
        <f>IF(SUMIF(搜索词报告!$A$2:$A$22222,总体数据一览!A839,搜索词报告!$I$2:$I$22222)=0,"",SUMIF(搜索词报告!$A$2:$A$22222,总体数据一览!A839,搜索词报告!$I$2:$I$22222))</f>
        <v/>
      </c>
      <c r="C839" t="str">
        <f>IF(SUMIF(搜索词报告!$A$2:$A$22222,总体数据一览!A839,搜索词报告!$J$2:$J$22222)=0,"",SUMIF(搜索词报告!$A$2:$A$22222,总体数据一览!A839,搜索词报告!$J$2:$J$22222))</f>
        <v/>
      </c>
      <c r="D839" s="2" t="str">
        <f t="shared" si="39"/>
        <v/>
      </c>
      <c r="E839" t="str">
        <f t="shared" si="40"/>
        <v/>
      </c>
      <c r="F839" t="str">
        <f>IF(SUMIF(搜索词报告!$A$2:$A$22222,总体数据一览!A839,搜索词报告!$M$2:$M$22222)=0,"",SUMIF(搜索词报告!$A$2:$A$22222,总体数据一览!A839,搜索词报告!$M$2:$M$22222))</f>
        <v/>
      </c>
      <c r="G839" t="str">
        <f>IFERROR(IF(B839="","",SUMIF(搜索词报告!$A$2:$A$22222,总体数据一览!A839,搜索词报告!$V$2:$V$22222))+IF(B839="","",SUMIF(搜索词报告!$A$2:$A$22222,总体数据一览!A839,搜索词报告!$W$2:$W$22222)),"")</f>
        <v/>
      </c>
      <c r="H839" s="2" t="str">
        <f t="shared" si="41"/>
        <v/>
      </c>
    </row>
    <row r="840" spans="2:8" x14ac:dyDescent="0.15">
      <c r="B840" t="str">
        <f>IF(SUMIF(搜索词报告!$A$2:$A$22222,总体数据一览!A840,搜索词报告!$I$2:$I$22222)=0,"",SUMIF(搜索词报告!$A$2:$A$22222,总体数据一览!A840,搜索词报告!$I$2:$I$22222))</f>
        <v/>
      </c>
      <c r="C840" t="str">
        <f>IF(SUMIF(搜索词报告!$A$2:$A$22222,总体数据一览!A840,搜索词报告!$J$2:$J$22222)=0,"",SUMIF(搜索词报告!$A$2:$A$22222,总体数据一览!A840,搜索词报告!$J$2:$J$22222))</f>
        <v/>
      </c>
      <c r="D840" s="2" t="str">
        <f t="shared" si="39"/>
        <v/>
      </c>
      <c r="E840" t="str">
        <f t="shared" si="40"/>
        <v/>
      </c>
      <c r="F840" t="str">
        <f>IF(SUMIF(搜索词报告!$A$2:$A$22222,总体数据一览!A840,搜索词报告!$M$2:$M$22222)=0,"",SUMIF(搜索词报告!$A$2:$A$22222,总体数据一览!A840,搜索词报告!$M$2:$M$22222))</f>
        <v/>
      </c>
      <c r="G840" t="str">
        <f>IFERROR(IF(B840="","",SUMIF(搜索词报告!$A$2:$A$22222,总体数据一览!A840,搜索词报告!$V$2:$V$22222))+IF(B840="","",SUMIF(搜索词报告!$A$2:$A$22222,总体数据一览!A840,搜索词报告!$W$2:$W$22222)),"")</f>
        <v/>
      </c>
      <c r="H840" s="2" t="str">
        <f t="shared" si="41"/>
        <v/>
      </c>
    </row>
    <row r="841" spans="2:8" x14ac:dyDescent="0.15">
      <c r="B841" t="str">
        <f>IF(SUMIF(搜索词报告!$A$2:$A$22222,总体数据一览!A841,搜索词报告!$I$2:$I$22222)=0,"",SUMIF(搜索词报告!$A$2:$A$22222,总体数据一览!A841,搜索词报告!$I$2:$I$22222))</f>
        <v/>
      </c>
      <c r="C841" t="str">
        <f>IF(SUMIF(搜索词报告!$A$2:$A$22222,总体数据一览!A841,搜索词报告!$J$2:$J$22222)=0,"",SUMIF(搜索词报告!$A$2:$A$22222,总体数据一览!A841,搜索词报告!$J$2:$J$22222))</f>
        <v/>
      </c>
      <c r="D841" s="2" t="str">
        <f t="shared" si="39"/>
        <v/>
      </c>
      <c r="E841" t="str">
        <f t="shared" si="40"/>
        <v/>
      </c>
      <c r="F841" t="str">
        <f>IF(SUMIF(搜索词报告!$A$2:$A$22222,总体数据一览!A841,搜索词报告!$M$2:$M$22222)=0,"",SUMIF(搜索词报告!$A$2:$A$22222,总体数据一览!A841,搜索词报告!$M$2:$M$22222))</f>
        <v/>
      </c>
      <c r="G841" t="str">
        <f>IFERROR(IF(B841="","",SUMIF(搜索词报告!$A$2:$A$22222,总体数据一览!A841,搜索词报告!$V$2:$V$22222))+IF(B841="","",SUMIF(搜索词报告!$A$2:$A$22222,总体数据一览!A841,搜索词报告!$W$2:$W$22222)),"")</f>
        <v/>
      </c>
      <c r="H841" s="2" t="str">
        <f t="shared" si="41"/>
        <v/>
      </c>
    </row>
    <row r="842" spans="2:8" x14ac:dyDescent="0.15">
      <c r="B842" t="str">
        <f>IF(SUMIF(搜索词报告!$A$2:$A$22222,总体数据一览!A842,搜索词报告!$I$2:$I$22222)=0,"",SUMIF(搜索词报告!$A$2:$A$22222,总体数据一览!A842,搜索词报告!$I$2:$I$22222))</f>
        <v/>
      </c>
      <c r="C842" t="str">
        <f>IF(SUMIF(搜索词报告!$A$2:$A$22222,总体数据一览!A842,搜索词报告!$J$2:$J$22222)=0,"",SUMIF(搜索词报告!$A$2:$A$22222,总体数据一览!A842,搜索词报告!$J$2:$J$22222))</f>
        <v/>
      </c>
      <c r="D842" s="2" t="str">
        <f t="shared" si="39"/>
        <v/>
      </c>
      <c r="E842" t="str">
        <f t="shared" si="40"/>
        <v/>
      </c>
      <c r="F842" t="str">
        <f>IF(SUMIF(搜索词报告!$A$2:$A$22222,总体数据一览!A842,搜索词报告!$M$2:$M$22222)=0,"",SUMIF(搜索词报告!$A$2:$A$22222,总体数据一览!A842,搜索词报告!$M$2:$M$22222))</f>
        <v/>
      </c>
      <c r="G842" t="str">
        <f>IFERROR(IF(B842="","",SUMIF(搜索词报告!$A$2:$A$22222,总体数据一览!A842,搜索词报告!$V$2:$V$22222))+IF(B842="","",SUMIF(搜索词报告!$A$2:$A$22222,总体数据一览!A842,搜索词报告!$W$2:$W$22222)),"")</f>
        <v/>
      </c>
      <c r="H842" s="2" t="str">
        <f t="shared" si="41"/>
        <v/>
      </c>
    </row>
    <row r="843" spans="2:8" x14ac:dyDescent="0.15">
      <c r="B843" t="str">
        <f>IF(SUMIF(搜索词报告!$A$2:$A$22222,总体数据一览!A843,搜索词报告!$I$2:$I$22222)=0,"",SUMIF(搜索词报告!$A$2:$A$22222,总体数据一览!A843,搜索词报告!$I$2:$I$22222))</f>
        <v/>
      </c>
      <c r="C843" t="str">
        <f>IF(SUMIF(搜索词报告!$A$2:$A$22222,总体数据一览!A843,搜索词报告!$J$2:$J$22222)=0,"",SUMIF(搜索词报告!$A$2:$A$22222,总体数据一览!A843,搜索词报告!$J$2:$J$22222))</f>
        <v/>
      </c>
      <c r="D843" s="2" t="str">
        <f t="shared" si="39"/>
        <v/>
      </c>
      <c r="E843" t="str">
        <f t="shared" si="40"/>
        <v/>
      </c>
      <c r="F843" t="str">
        <f>IF(SUMIF(搜索词报告!$A$2:$A$22222,总体数据一览!A843,搜索词报告!$M$2:$M$22222)=0,"",SUMIF(搜索词报告!$A$2:$A$22222,总体数据一览!A843,搜索词报告!$M$2:$M$22222))</f>
        <v/>
      </c>
      <c r="G843" t="str">
        <f>IFERROR(IF(B843="","",SUMIF(搜索词报告!$A$2:$A$22222,总体数据一览!A843,搜索词报告!$V$2:$V$22222))+IF(B843="","",SUMIF(搜索词报告!$A$2:$A$22222,总体数据一览!A843,搜索词报告!$W$2:$W$22222)),"")</f>
        <v/>
      </c>
      <c r="H843" s="2" t="str">
        <f t="shared" si="41"/>
        <v/>
      </c>
    </row>
    <row r="844" spans="2:8" x14ac:dyDescent="0.15">
      <c r="B844" t="str">
        <f>IF(SUMIF(搜索词报告!$A$2:$A$22222,总体数据一览!A844,搜索词报告!$I$2:$I$22222)=0,"",SUMIF(搜索词报告!$A$2:$A$22222,总体数据一览!A844,搜索词报告!$I$2:$I$22222))</f>
        <v/>
      </c>
      <c r="C844" t="str">
        <f>IF(SUMIF(搜索词报告!$A$2:$A$22222,总体数据一览!A844,搜索词报告!$J$2:$J$22222)=0,"",SUMIF(搜索词报告!$A$2:$A$22222,总体数据一览!A844,搜索词报告!$J$2:$J$22222))</f>
        <v/>
      </c>
      <c r="D844" s="2" t="str">
        <f t="shared" si="39"/>
        <v/>
      </c>
      <c r="E844" t="str">
        <f t="shared" si="40"/>
        <v/>
      </c>
      <c r="F844" t="str">
        <f>IF(SUMIF(搜索词报告!$A$2:$A$22222,总体数据一览!A844,搜索词报告!$M$2:$M$22222)=0,"",SUMIF(搜索词报告!$A$2:$A$22222,总体数据一览!A844,搜索词报告!$M$2:$M$22222))</f>
        <v/>
      </c>
      <c r="G844" t="str">
        <f>IFERROR(IF(B844="","",SUMIF(搜索词报告!$A$2:$A$22222,总体数据一览!A844,搜索词报告!$V$2:$V$22222))+IF(B844="","",SUMIF(搜索词报告!$A$2:$A$22222,总体数据一览!A844,搜索词报告!$W$2:$W$22222)),"")</f>
        <v/>
      </c>
      <c r="H844" s="2" t="str">
        <f t="shared" si="41"/>
        <v/>
      </c>
    </row>
    <row r="845" spans="2:8" x14ac:dyDescent="0.15">
      <c r="B845" t="str">
        <f>IF(SUMIF(搜索词报告!$A$2:$A$22222,总体数据一览!A845,搜索词报告!$I$2:$I$22222)=0,"",SUMIF(搜索词报告!$A$2:$A$22222,总体数据一览!A845,搜索词报告!$I$2:$I$22222))</f>
        <v/>
      </c>
      <c r="C845" t="str">
        <f>IF(SUMIF(搜索词报告!$A$2:$A$22222,总体数据一览!A845,搜索词报告!$J$2:$J$22222)=0,"",SUMIF(搜索词报告!$A$2:$A$22222,总体数据一览!A845,搜索词报告!$J$2:$J$22222))</f>
        <v/>
      </c>
      <c r="D845" s="2" t="str">
        <f t="shared" si="39"/>
        <v/>
      </c>
      <c r="E845" t="str">
        <f t="shared" si="40"/>
        <v/>
      </c>
      <c r="F845" t="str">
        <f>IF(SUMIF(搜索词报告!$A$2:$A$22222,总体数据一览!A845,搜索词报告!$M$2:$M$22222)=0,"",SUMIF(搜索词报告!$A$2:$A$22222,总体数据一览!A845,搜索词报告!$M$2:$M$22222))</f>
        <v/>
      </c>
      <c r="G845" t="str">
        <f>IFERROR(IF(B845="","",SUMIF(搜索词报告!$A$2:$A$22222,总体数据一览!A845,搜索词报告!$V$2:$V$22222))+IF(B845="","",SUMIF(搜索词报告!$A$2:$A$22222,总体数据一览!A845,搜索词报告!$W$2:$W$22222)),"")</f>
        <v/>
      </c>
      <c r="H845" s="2" t="str">
        <f t="shared" si="41"/>
        <v/>
      </c>
    </row>
    <row r="846" spans="2:8" x14ac:dyDescent="0.15">
      <c r="B846" t="str">
        <f>IF(SUMIF(搜索词报告!$A$2:$A$22222,总体数据一览!A846,搜索词报告!$I$2:$I$22222)=0,"",SUMIF(搜索词报告!$A$2:$A$22222,总体数据一览!A846,搜索词报告!$I$2:$I$22222))</f>
        <v/>
      </c>
      <c r="C846" t="str">
        <f>IF(SUMIF(搜索词报告!$A$2:$A$22222,总体数据一览!A846,搜索词报告!$J$2:$J$22222)=0,"",SUMIF(搜索词报告!$A$2:$A$22222,总体数据一览!A846,搜索词报告!$J$2:$J$22222))</f>
        <v/>
      </c>
      <c r="D846" s="2" t="str">
        <f t="shared" si="39"/>
        <v/>
      </c>
      <c r="E846" t="str">
        <f t="shared" si="40"/>
        <v/>
      </c>
      <c r="F846" t="str">
        <f>IF(SUMIF(搜索词报告!$A$2:$A$22222,总体数据一览!A846,搜索词报告!$M$2:$M$22222)=0,"",SUMIF(搜索词报告!$A$2:$A$22222,总体数据一览!A846,搜索词报告!$M$2:$M$22222))</f>
        <v/>
      </c>
      <c r="G846" t="str">
        <f>IFERROR(IF(B846="","",SUMIF(搜索词报告!$A$2:$A$22222,总体数据一览!A846,搜索词报告!$V$2:$V$22222))+IF(B846="","",SUMIF(搜索词报告!$A$2:$A$22222,总体数据一览!A846,搜索词报告!$W$2:$W$22222)),"")</f>
        <v/>
      </c>
      <c r="H846" s="2" t="str">
        <f t="shared" si="41"/>
        <v/>
      </c>
    </row>
    <row r="847" spans="2:8" x14ac:dyDescent="0.15">
      <c r="B847" t="str">
        <f>IF(SUMIF(搜索词报告!$A$2:$A$22222,总体数据一览!A847,搜索词报告!$I$2:$I$22222)=0,"",SUMIF(搜索词报告!$A$2:$A$22222,总体数据一览!A847,搜索词报告!$I$2:$I$22222))</f>
        <v/>
      </c>
      <c r="C847" t="str">
        <f>IF(SUMIF(搜索词报告!$A$2:$A$22222,总体数据一览!A847,搜索词报告!$J$2:$J$22222)=0,"",SUMIF(搜索词报告!$A$2:$A$22222,总体数据一览!A847,搜索词报告!$J$2:$J$22222))</f>
        <v/>
      </c>
      <c r="D847" s="2" t="str">
        <f t="shared" si="39"/>
        <v/>
      </c>
      <c r="E847" t="str">
        <f t="shared" si="40"/>
        <v/>
      </c>
      <c r="F847" t="str">
        <f>IF(SUMIF(搜索词报告!$A$2:$A$22222,总体数据一览!A847,搜索词报告!$M$2:$M$22222)=0,"",SUMIF(搜索词报告!$A$2:$A$22222,总体数据一览!A847,搜索词报告!$M$2:$M$22222))</f>
        <v/>
      </c>
      <c r="G847" t="str">
        <f>IFERROR(IF(B847="","",SUMIF(搜索词报告!$A$2:$A$22222,总体数据一览!A847,搜索词报告!$V$2:$V$22222))+IF(B847="","",SUMIF(搜索词报告!$A$2:$A$22222,总体数据一览!A847,搜索词报告!$W$2:$W$22222)),"")</f>
        <v/>
      </c>
      <c r="H847" s="2" t="str">
        <f t="shared" si="41"/>
        <v/>
      </c>
    </row>
    <row r="848" spans="2:8" x14ac:dyDescent="0.15">
      <c r="B848" t="str">
        <f>IF(SUMIF(搜索词报告!$A$2:$A$22222,总体数据一览!A848,搜索词报告!$I$2:$I$22222)=0,"",SUMIF(搜索词报告!$A$2:$A$22222,总体数据一览!A848,搜索词报告!$I$2:$I$22222))</f>
        <v/>
      </c>
      <c r="C848" t="str">
        <f>IF(SUMIF(搜索词报告!$A$2:$A$22222,总体数据一览!A848,搜索词报告!$J$2:$J$22222)=0,"",SUMIF(搜索词报告!$A$2:$A$22222,总体数据一览!A848,搜索词报告!$J$2:$J$22222))</f>
        <v/>
      </c>
      <c r="D848" s="2" t="str">
        <f t="shared" si="39"/>
        <v/>
      </c>
      <c r="E848" t="str">
        <f t="shared" si="40"/>
        <v/>
      </c>
      <c r="F848" t="str">
        <f>IF(SUMIF(搜索词报告!$A$2:$A$22222,总体数据一览!A848,搜索词报告!$M$2:$M$22222)=0,"",SUMIF(搜索词报告!$A$2:$A$22222,总体数据一览!A848,搜索词报告!$M$2:$M$22222))</f>
        <v/>
      </c>
      <c r="G848" t="str">
        <f>IFERROR(IF(B848="","",SUMIF(搜索词报告!$A$2:$A$22222,总体数据一览!A848,搜索词报告!$V$2:$V$22222))+IF(B848="","",SUMIF(搜索词报告!$A$2:$A$22222,总体数据一览!A848,搜索词报告!$W$2:$W$22222)),"")</f>
        <v/>
      </c>
      <c r="H848" s="2" t="str">
        <f t="shared" si="41"/>
        <v/>
      </c>
    </row>
    <row r="849" spans="2:8" x14ac:dyDescent="0.15">
      <c r="B849" t="str">
        <f>IF(SUMIF(搜索词报告!$A$2:$A$22222,总体数据一览!A849,搜索词报告!$I$2:$I$22222)=0,"",SUMIF(搜索词报告!$A$2:$A$22222,总体数据一览!A849,搜索词报告!$I$2:$I$22222))</f>
        <v/>
      </c>
      <c r="C849" t="str">
        <f>IF(SUMIF(搜索词报告!$A$2:$A$22222,总体数据一览!A849,搜索词报告!$J$2:$J$22222)=0,"",SUMIF(搜索词报告!$A$2:$A$22222,总体数据一览!A849,搜索词报告!$J$2:$J$22222))</f>
        <v/>
      </c>
      <c r="D849" s="2" t="str">
        <f t="shared" si="39"/>
        <v/>
      </c>
      <c r="E849" t="str">
        <f t="shared" si="40"/>
        <v/>
      </c>
      <c r="F849" t="str">
        <f>IF(SUMIF(搜索词报告!$A$2:$A$22222,总体数据一览!A849,搜索词报告!$M$2:$M$22222)=0,"",SUMIF(搜索词报告!$A$2:$A$22222,总体数据一览!A849,搜索词报告!$M$2:$M$22222))</f>
        <v/>
      </c>
      <c r="G849" t="str">
        <f>IFERROR(IF(B849="","",SUMIF(搜索词报告!$A$2:$A$22222,总体数据一览!A849,搜索词报告!$V$2:$V$22222))+IF(B849="","",SUMIF(搜索词报告!$A$2:$A$22222,总体数据一览!A849,搜索词报告!$W$2:$W$22222)),"")</f>
        <v/>
      </c>
      <c r="H849" s="2" t="str">
        <f t="shared" si="41"/>
        <v/>
      </c>
    </row>
    <row r="850" spans="2:8" x14ac:dyDescent="0.15">
      <c r="B850" t="str">
        <f>IF(SUMIF(搜索词报告!$A$2:$A$22222,总体数据一览!A850,搜索词报告!$I$2:$I$22222)=0,"",SUMIF(搜索词报告!$A$2:$A$22222,总体数据一览!A850,搜索词报告!$I$2:$I$22222))</f>
        <v/>
      </c>
      <c r="C850" t="str">
        <f>IF(SUMIF(搜索词报告!$A$2:$A$22222,总体数据一览!A850,搜索词报告!$J$2:$J$22222)=0,"",SUMIF(搜索词报告!$A$2:$A$22222,总体数据一览!A850,搜索词报告!$J$2:$J$22222))</f>
        <v/>
      </c>
      <c r="D850" s="2" t="str">
        <f t="shared" si="39"/>
        <v/>
      </c>
      <c r="E850" t="str">
        <f t="shared" si="40"/>
        <v/>
      </c>
      <c r="F850" t="str">
        <f>IF(SUMIF(搜索词报告!$A$2:$A$22222,总体数据一览!A850,搜索词报告!$M$2:$M$22222)=0,"",SUMIF(搜索词报告!$A$2:$A$22222,总体数据一览!A850,搜索词报告!$M$2:$M$22222))</f>
        <v/>
      </c>
      <c r="G850" t="str">
        <f>IFERROR(IF(B850="","",SUMIF(搜索词报告!$A$2:$A$22222,总体数据一览!A850,搜索词报告!$V$2:$V$22222))+IF(B850="","",SUMIF(搜索词报告!$A$2:$A$22222,总体数据一览!A850,搜索词报告!$W$2:$W$22222)),"")</f>
        <v/>
      </c>
      <c r="H850" s="2" t="str">
        <f t="shared" si="41"/>
        <v/>
      </c>
    </row>
    <row r="851" spans="2:8" x14ac:dyDescent="0.15">
      <c r="B851" t="str">
        <f>IF(SUMIF(搜索词报告!$A$2:$A$22222,总体数据一览!A851,搜索词报告!$I$2:$I$22222)=0,"",SUMIF(搜索词报告!$A$2:$A$22222,总体数据一览!A851,搜索词报告!$I$2:$I$22222))</f>
        <v/>
      </c>
      <c r="C851" t="str">
        <f>IF(SUMIF(搜索词报告!$A$2:$A$22222,总体数据一览!A851,搜索词报告!$J$2:$J$22222)=0,"",SUMIF(搜索词报告!$A$2:$A$22222,总体数据一览!A851,搜索词报告!$J$2:$J$22222))</f>
        <v/>
      </c>
      <c r="D851" s="2" t="str">
        <f t="shared" si="39"/>
        <v/>
      </c>
      <c r="E851" t="str">
        <f t="shared" si="40"/>
        <v/>
      </c>
      <c r="F851" t="str">
        <f>IF(SUMIF(搜索词报告!$A$2:$A$22222,总体数据一览!A851,搜索词报告!$M$2:$M$22222)=0,"",SUMIF(搜索词报告!$A$2:$A$22222,总体数据一览!A851,搜索词报告!$M$2:$M$22222))</f>
        <v/>
      </c>
      <c r="G851" t="str">
        <f>IFERROR(IF(B851="","",SUMIF(搜索词报告!$A$2:$A$22222,总体数据一览!A851,搜索词报告!$V$2:$V$22222))+IF(B851="","",SUMIF(搜索词报告!$A$2:$A$22222,总体数据一览!A851,搜索词报告!$W$2:$W$22222)),"")</f>
        <v/>
      </c>
      <c r="H851" s="2" t="str">
        <f t="shared" si="41"/>
        <v/>
      </c>
    </row>
    <row r="852" spans="2:8" x14ac:dyDescent="0.15">
      <c r="B852" t="str">
        <f>IF(SUMIF(搜索词报告!$A$2:$A$22222,总体数据一览!A852,搜索词报告!$I$2:$I$22222)=0,"",SUMIF(搜索词报告!$A$2:$A$22222,总体数据一览!A852,搜索词报告!$I$2:$I$22222))</f>
        <v/>
      </c>
      <c r="C852" t="str">
        <f>IF(SUMIF(搜索词报告!$A$2:$A$22222,总体数据一览!A852,搜索词报告!$J$2:$J$22222)=0,"",SUMIF(搜索词报告!$A$2:$A$22222,总体数据一览!A852,搜索词报告!$J$2:$J$22222))</f>
        <v/>
      </c>
      <c r="D852" s="2" t="str">
        <f t="shared" ref="D852:D913" si="42">IFERROR(ROUND(C852/B852,4),"")</f>
        <v/>
      </c>
      <c r="E852" t="str">
        <f t="shared" ref="E852:E913" si="43">IFERROR(ROUND(F852/C852,2),"")</f>
        <v/>
      </c>
      <c r="F852" t="str">
        <f>IF(SUMIF(搜索词报告!$A$2:$A$22222,总体数据一览!A852,搜索词报告!$M$2:$M$22222)=0,"",SUMIF(搜索词报告!$A$2:$A$22222,总体数据一览!A852,搜索词报告!$M$2:$M$22222))</f>
        <v/>
      </c>
      <c r="G852" t="str">
        <f>IFERROR(IF(B852="","",SUMIF(搜索词报告!$A$2:$A$22222,总体数据一览!A852,搜索词报告!$V$2:$V$22222))+IF(B852="","",SUMIF(搜索词报告!$A$2:$A$22222,总体数据一览!A852,搜索词报告!$W$2:$W$22222)),"")</f>
        <v/>
      </c>
      <c r="H852" s="2" t="str">
        <f t="shared" ref="H852:H913" si="44">IFERROR(ROUND(F852/G852,2),"")</f>
        <v/>
      </c>
    </row>
    <row r="853" spans="2:8" x14ac:dyDescent="0.15">
      <c r="B853" t="str">
        <f>IF(SUMIF(搜索词报告!$A$2:$A$22222,总体数据一览!A853,搜索词报告!$I$2:$I$22222)=0,"",SUMIF(搜索词报告!$A$2:$A$22222,总体数据一览!A853,搜索词报告!$I$2:$I$22222))</f>
        <v/>
      </c>
      <c r="C853" t="str">
        <f>IF(SUMIF(搜索词报告!$A$2:$A$22222,总体数据一览!A853,搜索词报告!$J$2:$J$22222)=0,"",SUMIF(搜索词报告!$A$2:$A$22222,总体数据一览!A853,搜索词报告!$J$2:$J$22222))</f>
        <v/>
      </c>
      <c r="D853" s="2" t="str">
        <f t="shared" si="42"/>
        <v/>
      </c>
      <c r="E853" t="str">
        <f t="shared" si="43"/>
        <v/>
      </c>
      <c r="F853" t="str">
        <f>IF(SUMIF(搜索词报告!$A$2:$A$22222,总体数据一览!A853,搜索词报告!$M$2:$M$22222)=0,"",SUMIF(搜索词报告!$A$2:$A$22222,总体数据一览!A853,搜索词报告!$M$2:$M$22222))</f>
        <v/>
      </c>
      <c r="G853" t="str">
        <f>IFERROR(IF(B853="","",SUMIF(搜索词报告!$A$2:$A$22222,总体数据一览!A853,搜索词报告!$V$2:$V$22222))+IF(B853="","",SUMIF(搜索词报告!$A$2:$A$22222,总体数据一览!A853,搜索词报告!$W$2:$W$22222)),"")</f>
        <v/>
      </c>
      <c r="H853" s="2" t="str">
        <f t="shared" si="44"/>
        <v/>
      </c>
    </row>
    <row r="854" spans="2:8" x14ac:dyDescent="0.15">
      <c r="B854" t="str">
        <f>IF(SUMIF(搜索词报告!$A$2:$A$22222,总体数据一览!A854,搜索词报告!$I$2:$I$22222)=0,"",SUMIF(搜索词报告!$A$2:$A$22222,总体数据一览!A854,搜索词报告!$I$2:$I$22222))</f>
        <v/>
      </c>
      <c r="C854" t="str">
        <f>IF(SUMIF(搜索词报告!$A$2:$A$22222,总体数据一览!A854,搜索词报告!$J$2:$J$22222)=0,"",SUMIF(搜索词报告!$A$2:$A$22222,总体数据一览!A854,搜索词报告!$J$2:$J$22222))</f>
        <v/>
      </c>
      <c r="D854" s="2" t="str">
        <f t="shared" si="42"/>
        <v/>
      </c>
      <c r="E854" t="str">
        <f t="shared" si="43"/>
        <v/>
      </c>
      <c r="F854" t="str">
        <f>IF(SUMIF(搜索词报告!$A$2:$A$22222,总体数据一览!A854,搜索词报告!$M$2:$M$22222)=0,"",SUMIF(搜索词报告!$A$2:$A$22222,总体数据一览!A854,搜索词报告!$M$2:$M$22222))</f>
        <v/>
      </c>
      <c r="G854" t="str">
        <f>IFERROR(IF(B854="","",SUMIF(搜索词报告!$A$2:$A$22222,总体数据一览!A854,搜索词报告!$V$2:$V$22222))+IF(B854="","",SUMIF(搜索词报告!$A$2:$A$22222,总体数据一览!A854,搜索词报告!$W$2:$W$22222)),"")</f>
        <v/>
      </c>
      <c r="H854" s="2" t="str">
        <f t="shared" si="44"/>
        <v/>
      </c>
    </row>
    <row r="855" spans="2:8" x14ac:dyDescent="0.15">
      <c r="B855" t="str">
        <f>IF(SUMIF(搜索词报告!$A$2:$A$22222,总体数据一览!A855,搜索词报告!$I$2:$I$22222)=0,"",SUMIF(搜索词报告!$A$2:$A$22222,总体数据一览!A855,搜索词报告!$I$2:$I$22222))</f>
        <v/>
      </c>
      <c r="C855" t="str">
        <f>IF(SUMIF(搜索词报告!$A$2:$A$22222,总体数据一览!A855,搜索词报告!$J$2:$J$22222)=0,"",SUMIF(搜索词报告!$A$2:$A$22222,总体数据一览!A855,搜索词报告!$J$2:$J$22222))</f>
        <v/>
      </c>
      <c r="D855" s="2" t="str">
        <f t="shared" si="42"/>
        <v/>
      </c>
      <c r="E855" t="str">
        <f t="shared" si="43"/>
        <v/>
      </c>
      <c r="F855" t="str">
        <f>IF(SUMIF(搜索词报告!$A$2:$A$22222,总体数据一览!A855,搜索词报告!$M$2:$M$22222)=0,"",SUMIF(搜索词报告!$A$2:$A$22222,总体数据一览!A855,搜索词报告!$M$2:$M$22222))</f>
        <v/>
      </c>
      <c r="G855" t="str">
        <f>IFERROR(IF(B855="","",SUMIF(搜索词报告!$A$2:$A$22222,总体数据一览!A855,搜索词报告!$V$2:$V$22222))+IF(B855="","",SUMIF(搜索词报告!$A$2:$A$22222,总体数据一览!A855,搜索词报告!$W$2:$W$22222)),"")</f>
        <v/>
      </c>
      <c r="H855" s="2" t="str">
        <f t="shared" si="44"/>
        <v/>
      </c>
    </row>
    <row r="856" spans="2:8" x14ac:dyDescent="0.15">
      <c r="B856" t="str">
        <f>IF(SUMIF(搜索词报告!$A$2:$A$22222,总体数据一览!A856,搜索词报告!$I$2:$I$22222)=0,"",SUMIF(搜索词报告!$A$2:$A$22222,总体数据一览!A856,搜索词报告!$I$2:$I$22222))</f>
        <v/>
      </c>
      <c r="C856" t="str">
        <f>IF(SUMIF(搜索词报告!$A$2:$A$22222,总体数据一览!A856,搜索词报告!$J$2:$J$22222)=0,"",SUMIF(搜索词报告!$A$2:$A$22222,总体数据一览!A856,搜索词报告!$J$2:$J$22222))</f>
        <v/>
      </c>
      <c r="D856" s="2" t="str">
        <f t="shared" si="42"/>
        <v/>
      </c>
      <c r="E856" t="str">
        <f t="shared" si="43"/>
        <v/>
      </c>
      <c r="F856" t="str">
        <f>IF(SUMIF(搜索词报告!$A$2:$A$22222,总体数据一览!A856,搜索词报告!$M$2:$M$22222)=0,"",SUMIF(搜索词报告!$A$2:$A$22222,总体数据一览!A856,搜索词报告!$M$2:$M$22222))</f>
        <v/>
      </c>
      <c r="G856" t="str">
        <f>IFERROR(IF(B856="","",SUMIF(搜索词报告!$A$2:$A$22222,总体数据一览!A856,搜索词报告!$V$2:$V$22222))+IF(B856="","",SUMIF(搜索词报告!$A$2:$A$22222,总体数据一览!A856,搜索词报告!$W$2:$W$22222)),"")</f>
        <v/>
      </c>
      <c r="H856" s="2" t="str">
        <f t="shared" si="44"/>
        <v/>
      </c>
    </row>
    <row r="857" spans="2:8" x14ac:dyDescent="0.15">
      <c r="B857" t="str">
        <f>IF(SUMIF(搜索词报告!$A$2:$A$22222,总体数据一览!A857,搜索词报告!$I$2:$I$22222)=0,"",SUMIF(搜索词报告!$A$2:$A$22222,总体数据一览!A857,搜索词报告!$I$2:$I$22222))</f>
        <v/>
      </c>
      <c r="C857" t="str">
        <f>IF(SUMIF(搜索词报告!$A$2:$A$22222,总体数据一览!A857,搜索词报告!$J$2:$J$22222)=0,"",SUMIF(搜索词报告!$A$2:$A$22222,总体数据一览!A857,搜索词报告!$J$2:$J$22222))</f>
        <v/>
      </c>
      <c r="D857" s="2" t="str">
        <f t="shared" si="42"/>
        <v/>
      </c>
      <c r="E857" t="str">
        <f t="shared" si="43"/>
        <v/>
      </c>
      <c r="F857" t="str">
        <f>IF(SUMIF(搜索词报告!$A$2:$A$22222,总体数据一览!A857,搜索词报告!$M$2:$M$22222)=0,"",SUMIF(搜索词报告!$A$2:$A$22222,总体数据一览!A857,搜索词报告!$M$2:$M$22222))</f>
        <v/>
      </c>
      <c r="G857" t="str">
        <f>IFERROR(IF(B857="","",SUMIF(搜索词报告!$A$2:$A$22222,总体数据一览!A857,搜索词报告!$V$2:$V$22222))+IF(B857="","",SUMIF(搜索词报告!$A$2:$A$22222,总体数据一览!A857,搜索词报告!$W$2:$W$22222)),"")</f>
        <v/>
      </c>
      <c r="H857" s="2" t="str">
        <f t="shared" si="44"/>
        <v/>
      </c>
    </row>
    <row r="858" spans="2:8" x14ac:dyDescent="0.15">
      <c r="B858" t="str">
        <f>IF(SUMIF(搜索词报告!$A$2:$A$22222,总体数据一览!A858,搜索词报告!$I$2:$I$22222)=0,"",SUMIF(搜索词报告!$A$2:$A$22222,总体数据一览!A858,搜索词报告!$I$2:$I$22222))</f>
        <v/>
      </c>
      <c r="C858" t="str">
        <f>IF(SUMIF(搜索词报告!$A$2:$A$22222,总体数据一览!A858,搜索词报告!$J$2:$J$22222)=0,"",SUMIF(搜索词报告!$A$2:$A$22222,总体数据一览!A858,搜索词报告!$J$2:$J$22222))</f>
        <v/>
      </c>
      <c r="D858" s="2" t="str">
        <f t="shared" si="42"/>
        <v/>
      </c>
      <c r="E858" t="str">
        <f t="shared" si="43"/>
        <v/>
      </c>
      <c r="F858" t="str">
        <f>IF(SUMIF(搜索词报告!$A$2:$A$22222,总体数据一览!A858,搜索词报告!$M$2:$M$22222)=0,"",SUMIF(搜索词报告!$A$2:$A$22222,总体数据一览!A858,搜索词报告!$M$2:$M$22222))</f>
        <v/>
      </c>
      <c r="G858" t="str">
        <f>IFERROR(IF(B858="","",SUMIF(搜索词报告!$A$2:$A$22222,总体数据一览!A858,搜索词报告!$V$2:$V$22222))+IF(B858="","",SUMIF(搜索词报告!$A$2:$A$22222,总体数据一览!A858,搜索词报告!$W$2:$W$22222)),"")</f>
        <v/>
      </c>
      <c r="H858" s="2" t="str">
        <f t="shared" si="44"/>
        <v/>
      </c>
    </row>
    <row r="859" spans="2:8" x14ac:dyDescent="0.15">
      <c r="B859" t="str">
        <f>IF(SUMIF(搜索词报告!$A$2:$A$22222,总体数据一览!A859,搜索词报告!$I$2:$I$22222)=0,"",SUMIF(搜索词报告!$A$2:$A$22222,总体数据一览!A859,搜索词报告!$I$2:$I$22222))</f>
        <v/>
      </c>
      <c r="C859" t="str">
        <f>IF(SUMIF(搜索词报告!$A$2:$A$22222,总体数据一览!A859,搜索词报告!$J$2:$J$22222)=0,"",SUMIF(搜索词报告!$A$2:$A$22222,总体数据一览!A859,搜索词报告!$J$2:$J$22222))</f>
        <v/>
      </c>
      <c r="D859" s="2" t="str">
        <f t="shared" si="42"/>
        <v/>
      </c>
      <c r="E859" t="str">
        <f t="shared" si="43"/>
        <v/>
      </c>
      <c r="F859" t="str">
        <f>IF(SUMIF(搜索词报告!$A$2:$A$22222,总体数据一览!A859,搜索词报告!$M$2:$M$22222)=0,"",SUMIF(搜索词报告!$A$2:$A$22222,总体数据一览!A859,搜索词报告!$M$2:$M$22222))</f>
        <v/>
      </c>
      <c r="G859" t="str">
        <f>IFERROR(IF(B859="","",SUMIF(搜索词报告!$A$2:$A$22222,总体数据一览!A859,搜索词报告!$V$2:$V$22222))+IF(B859="","",SUMIF(搜索词报告!$A$2:$A$22222,总体数据一览!A859,搜索词报告!$W$2:$W$22222)),"")</f>
        <v/>
      </c>
      <c r="H859" s="2" t="str">
        <f t="shared" si="44"/>
        <v/>
      </c>
    </row>
    <row r="860" spans="2:8" x14ac:dyDescent="0.15">
      <c r="B860" t="str">
        <f>IF(SUMIF(搜索词报告!$A$2:$A$22222,总体数据一览!A860,搜索词报告!$I$2:$I$22222)=0,"",SUMIF(搜索词报告!$A$2:$A$22222,总体数据一览!A860,搜索词报告!$I$2:$I$22222))</f>
        <v/>
      </c>
      <c r="C860" t="str">
        <f>IF(SUMIF(搜索词报告!$A$2:$A$22222,总体数据一览!A860,搜索词报告!$J$2:$J$22222)=0,"",SUMIF(搜索词报告!$A$2:$A$22222,总体数据一览!A860,搜索词报告!$J$2:$J$22222))</f>
        <v/>
      </c>
      <c r="D860" s="2" t="str">
        <f t="shared" si="42"/>
        <v/>
      </c>
      <c r="E860" t="str">
        <f t="shared" si="43"/>
        <v/>
      </c>
      <c r="F860" t="str">
        <f>IF(SUMIF(搜索词报告!$A$2:$A$22222,总体数据一览!A860,搜索词报告!$M$2:$M$22222)=0,"",SUMIF(搜索词报告!$A$2:$A$22222,总体数据一览!A860,搜索词报告!$M$2:$M$22222))</f>
        <v/>
      </c>
      <c r="G860" t="str">
        <f>IFERROR(IF(B860="","",SUMIF(搜索词报告!$A$2:$A$22222,总体数据一览!A860,搜索词报告!$V$2:$V$22222))+IF(B860="","",SUMIF(搜索词报告!$A$2:$A$22222,总体数据一览!A860,搜索词报告!$W$2:$W$22222)),"")</f>
        <v/>
      </c>
      <c r="H860" s="2" t="str">
        <f t="shared" si="44"/>
        <v/>
      </c>
    </row>
    <row r="861" spans="2:8" x14ac:dyDescent="0.15">
      <c r="B861" t="str">
        <f>IF(SUMIF(搜索词报告!$A$2:$A$22222,总体数据一览!A861,搜索词报告!$I$2:$I$22222)=0,"",SUMIF(搜索词报告!$A$2:$A$22222,总体数据一览!A861,搜索词报告!$I$2:$I$22222))</f>
        <v/>
      </c>
      <c r="C861" t="str">
        <f>IF(SUMIF(搜索词报告!$A$2:$A$22222,总体数据一览!A861,搜索词报告!$J$2:$J$22222)=0,"",SUMIF(搜索词报告!$A$2:$A$22222,总体数据一览!A861,搜索词报告!$J$2:$J$22222))</f>
        <v/>
      </c>
      <c r="D861" s="2" t="str">
        <f t="shared" si="42"/>
        <v/>
      </c>
      <c r="E861" t="str">
        <f t="shared" si="43"/>
        <v/>
      </c>
      <c r="F861" t="str">
        <f>IF(SUMIF(搜索词报告!$A$2:$A$22222,总体数据一览!A861,搜索词报告!$M$2:$M$22222)=0,"",SUMIF(搜索词报告!$A$2:$A$22222,总体数据一览!A861,搜索词报告!$M$2:$M$22222))</f>
        <v/>
      </c>
      <c r="G861" t="str">
        <f>IFERROR(IF(B861="","",SUMIF(搜索词报告!$A$2:$A$22222,总体数据一览!A861,搜索词报告!$V$2:$V$22222))+IF(B861="","",SUMIF(搜索词报告!$A$2:$A$22222,总体数据一览!A861,搜索词报告!$W$2:$W$22222)),"")</f>
        <v/>
      </c>
      <c r="H861" s="2" t="str">
        <f t="shared" si="44"/>
        <v/>
      </c>
    </row>
    <row r="862" spans="2:8" x14ac:dyDescent="0.15">
      <c r="B862" t="str">
        <f>IF(SUMIF(搜索词报告!$A$2:$A$22222,总体数据一览!A862,搜索词报告!$I$2:$I$22222)=0,"",SUMIF(搜索词报告!$A$2:$A$22222,总体数据一览!A862,搜索词报告!$I$2:$I$22222))</f>
        <v/>
      </c>
      <c r="C862" t="str">
        <f>IF(SUMIF(搜索词报告!$A$2:$A$22222,总体数据一览!A862,搜索词报告!$J$2:$J$22222)=0,"",SUMIF(搜索词报告!$A$2:$A$22222,总体数据一览!A862,搜索词报告!$J$2:$J$22222))</f>
        <v/>
      </c>
      <c r="D862" s="2" t="str">
        <f t="shared" si="42"/>
        <v/>
      </c>
      <c r="E862" t="str">
        <f t="shared" si="43"/>
        <v/>
      </c>
      <c r="F862" t="str">
        <f>IF(SUMIF(搜索词报告!$A$2:$A$22222,总体数据一览!A862,搜索词报告!$M$2:$M$22222)=0,"",SUMIF(搜索词报告!$A$2:$A$22222,总体数据一览!A862,搜索词报告!$M$2:$M$22222))</f>
        <v/>
      </c>
      <c r="G862" t="str">
        <f>IFERROR(IF(B862="","",SUMIF(搜索词报告!$A$2:$A$22222,总体数据一览!A862,搜索词报告!$V$2:$V$22222))+IF(B862="","",SUMIF(搜索词报告!$A$2:$A$22222,总体数据一览!A862,搜索词报告!$W$2:$W$22222)),"")</f>
        <v/>
      </c>
      <c r="H862" s="2" t="str">
        <f t="shared" si="44"/>
        <v/>
      </c>
    </row>
    <row r="863" spans="2:8" x14ac:dyDescent="0.15">
      <c r="B863" t="str">
        <f>IF(SUMIF(搜索词报告!$A$2:$A$22222,总体数据一览!A863,搜索词报告!$I$2:$I$22222)=0,"",SUMIF(搜索词报告!$A$2:$A$22222,总体数据一览!A863,搜索词报告!$I$2:$I$22222))</f>
        <v/>
      </c>
      <c r="C863" t="str">
        <f>IF(SUMIF(搜索词报告!$A$2:$A$22222,总体数据一览!A863,搜索词报告!$J$2:$J$22222)=0,"",SUMIF(搜索词报告!$A$2:$A$22222,总体数据一览!A863,搜索词报告!$J$2:$J$22222))</f>
        <v/>
      </c>
      <c r="D863" s="2" t="str">
        <f t="shared" si="42"/>
        <v/>
      </c>
      <c r="E863" t="str">
        <f t="shared" si="43"/>
        <v/>
      </c>
      <c r="F863" t="str">
        <f>IF(SUMIF(搜索词报告!$A$2:$A$22222,总体数据一览!A863,搜索词报告!$M$2:$M$22222)=0,"",SUMIF(搜索词报告!$A$2:$A$22222,总体数据一览!A863,搜索词报告!$M$2:$M$22222))</f>
        <v/>
      </c>
      <c r="G863" t="str">
        <f>IFERROR(IF(B863="","",SUMIF(搜索词报告!$A$2:$A$22222,总体数据一览!A863,搜索词报告!$V$2:$V$22222))+IF(B863="","",SUMIF(搜索词报告!$A$2:$A$22222,总体数据一览!A863,搜索词报告!$W$2:$W$22222)),"")</f>
        <v/>
      </c>
      <c r="H863" s="2" t="str">
        <f t="shared" si="44"/>
        <v/>
      </c>
    </row>
    <row r="864" spans="2:8" x14ac:dyDescent="0.15">
      <c r="B864" t="str">
        <f>IF(SUMIF(搜索词报告!$A$2:$A$22222,总体数据一览!A864,搜索词报告!$I$2:$I$22222)=0,"",SUMIF(搜索词报告!$A$2:$A$22222,总体数据一览!A864,搜索词报告!$I$2:$I$22222))</f>
        <v/>
      </c>
      <c r="C864" t="str">
        <f>IF(SUMIF(搜索词报告!$A$2:$A$22222,总体数据一览!A864,搜索词报告!$J$2:$J$22222)=0,"",SUMIF(搜索词报告!$A$2:$A$22222,总体数据一览!A864,搜索词报告!$J$2:$J$22222))</f>
        <v/>
      </c>
      <c r="D864" s="2" t="str">
        <f t="shared" si="42"/>
        <v/>
      </c>
      <c r="E864" t="str">
        <f t="shared" si="43"/>
        <v/>
      </c>
      <c r="F864" t="str">
        <f>IF(SUMIF(搜索词报告!$A$2:$A$22222,总体数据一览!A864,搜索词报告!$M$2:$M$22222)=0,"",SUMIF(搜索词报告!$A$2:$A$22222,总体数据一览!A864,搜索词报告!$M$2:$M$22222))</f>
        <v/>
      </c>
      <c r="G864" t="str">
        <f>IFERROR(IF(B864="","",SUMIF(搜索词报告!$A$2:$A$22222,总体数据一览!A864,搜索词报告!$V$2:$V$22222))+IF(B864="","",SUMIF(搜索词报告!$A$2:$A$22222,总体数据一览!A864,搜索词报告!$W$2:$W$22222)),"")</f>
        <v/>
      </c>
      <c r="H864" s="2" t="str">
        <f t="shared" si="44"/>
        <v/>
      </c>
    </row>
    <row r="865" spans="2:8" x14ac:dyDescent="0.15">
      <c r="B865" t="str">
        <f>IF(SUMIF(搜索词报告!$A$2:$A$22222,总体数据一览!A865,搜索词报告!$I$2:$I$22222)=0,"",SUMIF(搜索词报告!$A$2:$A$22222,总体数据一览!A865,搜索词报告!$I$2:$I$22222))</f>
        <v/>
      </c>
      <c r="C865" t="str">
        <f>IF(SUMIF(搜索词报告!$A$2:$A$22222,总体数据一览!A865,搜索词报告!$J$2:$J$22222)=0,"",SUMIF(搜索词报告!$A$2:$A$22222,总体数据一览!A865,搜索词报告!$J$2:$J$22222))</f>
        <v/>
      </c>
      <c r="D865" s="2" t="str">
        <f t="shared" si="42"/>
        <v/>
      </c>
      <c r="E865" t="str">
        <f t="shared" si="43"/>
        <v/>
      </c>
      <c r="F865" t="str">
        <f>IF(SUMIF(搜索词报告!$A$2:$A$22222,总体数据一览!A865,搜索词报告!$M$2:$M$22222)=0,"",SUMIF(搜索词报告!$A$2:$A$22222,总体数据一览!A865,搜索词报告!$M$2:$M$22222))</f>
        <v/>
      </c>
      <c r="G865" t="str">
        <f>IFERROR(IF(B865="","",SUMIF(搜索词报告!$A$2:$A$22222,总体数据一览!A865,搜索词报告!$V$2:$V$22222))+IF(B865="","",SUMIF(搜索词报告!$A$2:$A$22222,总体数据一览!A865,搜索词报告!$W$2:$W$22222)),"")</f>
        <v/>
      </c>
      <c r="H865" s="2" t="str">
        <f t="shared" si="44"/>
        <v/>
      </c>
    </row>
    <row r="866" spans="2:8" x14ac:dyDescent="0.15">
      <c r="B866" t="str">
        <f>IF(SUMIF(搜索词报告!$A$2:$A$22222,总体数据一览!A866,搜索词报告!$I$2:$I$22222)=0,"",SUMIF(搜索词报告!$A$2:$A$22222,总体数据一览!A866,搜索词报告!$I$2:$I$22222))</f>
        <v/>
      </c>
      <c r="C866" t="str">
        <f>IF(SUMIF(搜索词报告!$A$2:$A$22222,总体数据一览!A866,搜索词报告!$J$2:$J$22222)=0,"",SUMIF(搜索词报告!$A$2:$A$22222,总体数据一览!A866,搜索词报告!$J$2:$J$22222))</f>
        <v/>
      </c>
      <c r="D866" s="2" t="str">
        <f t="shared" si="42"/>
        <v/>
      </c>
      <c r="E866" t="str">
        <f t="shared" si="43"/>
        <v/>
      </c>
      <c r="F866" t="str">
        <f>IF(SUMIF(搜索词报告!$A$2:$A$22222,总体数据一览!A866,搜索词报告!$M$2:$M$22222)=0,"",SUMIF(搜索词报告!$A$2:$A$22222,总体数据一览!A866,搜索词报告!$M$2:$M$22222))</f>
        <v/>
      </c>
      <c r="G866" t="str">
        <f>IFERROR(IF(B866="","",SUMIF(搜索词报告!$A$2:$A$22222,总体数据一览!A866,搜索词报告!$V$2:$V$22222))+IF(B866="","",SUMIF(搜索词报告!$A$2:$A$22222,总体数据一览!A866,搜索词报告!$W$2:$W$22222)),"")</f>
        <v/>
      </c>
      <c r="H866" s="2" t="str">
        <f t="shared" si="44"/>
        <v/>
      </c>
    </row>
    <row r="867" spans="2:8" x14ac:dyDescent="0.15">
      <c r="B867" t="str">
        <f>IF(SUMIF(搜索词报告!$A$2:$A$22222,总体数据一览!A867,搜索词报告!$I$2:$I$22222)=0,"",SUMIF(搜索词报告!$A$2:$A$22222,总体数据一览!A867,搜索词报告!$I$2:$I$22222))</f>
        <v/>
      </c>
      <c r="C867" t="str">
        <f>IF(SUMIF(搜索词报告!$A$2:$A$22222,总体数据一览!A867,搜索词报告!$J$2:$J$22222)=0,"",SUMIF(搜索词报告!$A$2:$A$22222,总体数据一览!A867,搜索词报告!$J$2:$J$22222))</f>
        <v/>
      </c>
      <c r="D867" s="2" t="str">
        <f t="shared" si="42"/>
        <v/>
      </c>
      <c r="E867" t="str">
        <f t="shared" si="43"/>
        <v/>
      </c>
      <c r="F867" t="str">
        <f>IF(SUMIF(搜索词报告!$A$2:$A$22222,总体数据一览!A867,搜索词报告!$M$2:$M$22222)=0,"",SUMIF(搜索词报告!$A$2:$A$22222,总体数据一览!A867,搜索词报告!$M$2:$M$22222))</f>
        <v/>
      </c>
      <c r="G867" t="str">
        <f>IFERROR(IF(B867="","",SUMIF(搜索词报告!$A$2:$A$22222,总体数据一览!A867,搜索词报告!$V$2:$V$22222))+IF(B867="","",SUMIF(搜索词报告!$A$2:$A$22222,总体数据一览!A867,搜索词报告!$W$2:$W$22222)),"")</f>
        <v/>
      </c>
      <c r="H867" s="2" t="str">
        <f t="shared" si="44"/>
        <v/>
      </c>
    </row>
    <row r="868" spans="2:8" x14ac:dyDescent="0.15">
      <c r="B868" t="str">
        <f>IF(SUMIF(搜索词报告!$A$2:$A$22222,总体数据一览!A868,搜索词报告!$I$2:$I$22222)=0,"",SUMIF(搜索词报告!$A$2:$A$22222,总体数据一览!A868,搜索词报告!$I$2:$I$22222))</f>
        <v/>
      </c>
      <c r="C868" t="str">
        <f>IF(SUMIF(搜索词报告!$A$2:$A$22222,总体数据一览!A868,搜索词报告!$J$2:$J$22222)=0,"",SUMIF(搜索词报告!$A$2:$A$22222,总体数据一览!A868,搜索词报告!$J$2:$J$22222))</f>
        <v/>
      </c>
      <c r="D868" s="2" t="str">
        <f t="shared" si="42"/>
        <v/>
      </c>
      <c r="E868" t="str">
        <f t="shared" si="43"/>
        <v/>
      </c>
      <c r="F868" t="str">
        <f>IF(SUMIF(搜索词报告!$A$2:$A$22222,总体数据一览!A868,搜索词报告!$M$2:$M$22222)=0,"",SUMIF(搜索词报告!$A$2:$A$22222,总体数据一览!A868,搜索词报告!$M$2:$M$22222))</f>
        <v/>
      </c>
      <c r="G868" t="str">
        <f>IFERROR(IF(B868="","",SUMIF(搜索词报告!$A$2:$A$22222,总体数据一览!A868,搜索词报告!$V$2:$V$22222))+IF(B868="","",SUMIF(搜索词报告!$A$2:$A$22222,总体数据一览!A868,搜索词报告!$W$2:$W$22222)),"")</f>
        <v/>
      </c>
      <c r="H868" s="2" t="str">
        <f t="shared" si="44"/>
        <v/>
      </c>
    </row>
    <row r="869" spans="2:8" x14ac:dyDescent="0.15">
      <c r="B869" t="str">
        <f>IF(SUMIF(搜索词报告!$A$2:$A$22222,总体数据一览!A869,搜索词报告!$I$2:$I$22222)=0,"",SUMIF(搜索词报告!$A$2:$A$22222,总体数据一览!A869,搜索词报告!$I$2:$I$22222))</f>
        <v/>
      </c>
      <c r="C869" t="str">
        <f>IF(SUMIF(搜索词报告!$A$2:$A$22222,总体数据一览!A869,搜索词报告!$J$2:$J$22222)=0,"",SUMIF(搜索词报告!$A$2:$A$22222,总体数据一览!A869,搜索词报告!$J$2:$J$22222))</f>
        <v/>
      </c>
      <c r="D869" s="2" t="str">
        <f t="shared" si="42"/>
        <v/>
      </c>
      <c r="E869" t="str">
        <f t="shared" si="43"/>
        <v/>
      </c>
      <c r="F869" t="str">
        <f>IF(SUMIF(搜索词报告!$A$2:$A$22222,总体数据一览!A869,搜索词报告!$M$2:$M$22222)=0,"",SUMIF(搜索词报告!$A$2:$A$22222,总体数据一览!A869,搜索词报告!$M$2:$M$22222))</f>
        <v/>
      </c>
      <c r="G869" t="str">
        <f>IFERROR(IF(B869="","",SUMIF(搜索词报告!$A$2:$A$22222,总体数据一览!A869,搜索词报告!$V$2:$V$22222))+IF(B869="","",SUMIF(搜索词报告!$A$2:$A$22222,总体数据一览!A869,搜索词报告!$W$2:$W$22222)),"")</f>
        <v/>
      </c>
      <c r="H869" s="2" t="str">
        <f t="shared" si="44"/>
        <v/>
      </c>
    </row>
    <row r="870" spans="2:8" x14ac:dyDescent="0.15">
      <c r="B870" t="str">
        <f>IF(SUMIF(搜索词报告!$A$2:$A$22222,总体数据一览!A870,搜索词报告!$I$2:$I$22222)=0,"",SUMIF(搜索词报告!$A$2:$A$22222,总体数据一览!A870,搜索词报告!$I$2:$I$22222))</f>
        <v/>
      </c>
      <c r="C870" t="str">
        <f>IF(SUMIF(搜索词报告!$A$2:$A$22222,总体数据一览!A870,搜索词报告!$J$2:$J$22222)=0,"",SUMIF(搜索词报告!$A$2:$A$22222,总体数据一览!A870,搜索词报告!$J$2:$J$22222))</f>
        <v/>
      </c>
      <c r="D870" s="2" t="str">
        <f t="shared" si="42"/>
        <v/>
      </c>
      <c r="E870" t="str">
        <f t="shared" si="43"/>
        <v/>
      </c>
      <c r="F870" t="str">
        <f>IF(SUMIF(搜索词报告!$A$2:$A$22222,总体数据一览!A870,搜索词报告!$M$2:$M$22222)=0,"",SUMIF(搜索词报告!$A$2:$A$22222,总体数据一览!A870,搜索词报告!$M$2:$M$22222))</f>
        <v/>
      </c>
      <c r="G870" t="str">
        <f>IFERROR(IF(B870="","",SUMIF(搜索词报告!$A$2:$A$22222,总体数据一览!A870,搜索词报告!$V$2:$V$22222))+IF(B870="","",SUMIF(搜索词报告!$A$2:$A$22222,总体数据一览!A870,搜索词报告!$W$2:$W$22222)),"")</f>
        <v/>
      </c>
      <c r="H870" s="2" t="str">
        <f t="shared" si="44"/>
        <v/>
      </c>
    </row>
    <row r="871" spans="2:8" x14ac:dyDescent="0.15">
      <c r="B871" t="str">
        <f>IF(SUMIF(搜索词报告!$A$2:$A$22222,总体数据一览!A871,搜索词报告!$I$2:$I$22222)=0,"",SUMIF(搜索词报告!$A$2:$A$22222,总体数据一览!A871,搜索词报告!$I$2:$I$22222))</f>
        <v/>
      </c>
      <c r="C871" t="str">
        <f>IF(SUMIF(搜索词报告!$A$2:$A$22222,总体数据一览!A871,搜索词报告!$J$2:$J$22222)=0,"",SUMIF(搜索词报告!$A$2:$A$22222,总体数据一览!A871,搜索词报告!$J$2:$J$22222))</f>
        <v/>
      </c>
      <c r="D871" s="2" t="str">
        <f t="shared" si="42"/>
        <v/>
      </c>
      <c r="E871" t="str">
        <f t="shared" si="43"/>
        <v/>
      </c>
      <c r="F871" t="str">
        <f>IF(SUMIF(搜索词报告!$A$2:$A$22222,总体数据一览!A871,搜索词报告!$M$2:$M$22222)=0,"",SUMIF(搜索词报告!$A$2:$A$22222,总体数据一览!A871,搜索词报告!$M$2:$M$22222))</f>
        <v/>
      </c>
      <c r="G871" t="str">
        <f>IFERROR(IF(B871="","",SUMIF(搜索词报告!$A$2:$A$22222,总体数据一览!A871,搜索词报告!$V$2:$V$22222))+IF(B871="","",SUMIF(搜索词报告!$A$2:$A$22222,总体数据一览!A871,搜索词报告!$W$2:$W$22222)),"")</f>
        <v/>
      </c>
      <c r="H871" s="2" t="str">
        <f t="shared" si="44"/>
        <v/>
      </c>
    </row>
    <row r="872" spans="2:8" x14ac:dyDescent="0.15">
      <c r="B872" t="str">
        <f>IF(SUMIF(搜索词报告!$A$2:$A$22222,总体数据一览!A872,搜索词报告!$I$2:$I$22222)=0,"",SUMIF(搜索词报告!$A$2:$A$22222,总体数据一览!A872,搜索词报告!$I$2:$I$22222))</f>
        <v/>
      </c>
      <c r="C872" t="str">
        <f>IF(SUMIF(搜索词报告!$A$2:$A$22222,总体数据一览!A872,搜索词报告!$J$2:$J$22222)=0,"",SUMIF(搜索词报告!$A$2:$A$22222,总体数据一览!A872,搜索词报告!$J$2:$J$22222))</f>
        <v/>
      </c>
      <c r="D872" s="2" t="str">
        <f t="shared" si="42"/>
        <v/>
      </c>
      <c r="E872" t="str">
        <f t="shared" si="43"/>
        <v/>
      </c>
      <c r="F872" t="str">
        <f>IF(SUMIF(搜索词报告!$A$2:$A$22222,总体数据一览!A872,搜索词报告!$M$2:$M$22222)=0,"",SUMIF(搜索词报告!$A$2:$A$22222,总体数据一览!A872,搜索词报告!$M$2:$M$22222))</f>
        <v/>
      </c>
      <c r="G872" t="str">
        <f>IFERROR(IF(B872="","",SUMIF(搜索词报告!$A$2:$A$22222,总体数据一览!A872,搜索词报告!$V$2:$V$22222))+IF(B872="","",SUMIF(搜索词报告!$A$2:$A$22222,总体数据一览!A872,搜索词报告!$W$2:$W$22222)),"")</f>
        <v/>
      </c>
      <c r="H872" s="2" t="str">
        <f t="shared" si="44"/>
        <v/>
      </c>
    </row>
    <row r="873" spans="2:8" x14ac:dyDescent="0.15">
      <c r="B873" t="str">
        <f>IF(SUMIF(搜索词报告!$A$2:$A$22222,总体数据一览!A873,搜索词报告!$I$2:$I$22222)=0,"",SUMIF(搜索词报告!$A$2:$A$22222,总体数据一览!A873,搜索词报告!$I$2:$I$22222))</f>
        <v/>
      </c>
      <c r="C873" t="str">
        <f>IF(SUMIF(搜索词报告!$A$2:$A$22222,总体数据一览!A873,搜索词报告!$J$2:$J$22222)=0,"",SUMIF(搜索词报告!$A$2:$A$22222,总体数据一览!A873,搜索词报告!$J$2:$J$22222))</f>
        <v/>
      </c>
      <c r="D873" s="2" t="str">
        <f t="shared" si="42"/>
        <v/>
      </c>
      <c r="E873" t="str">
        <f t="shared" si="43"/>
        <v/>
      </c>
      <c r="F873" t="str">
        <f>IF(SUMIF(搜索词报告!$A$2:$A$22222,总体数据一览!A873,搜索词报告!$M$2:$M$22222)=0,"",SUMIF(搜索词报告!$A$2:$A$22222,总体数据一览!A873,搜索词报告!$M$2:$M$22222))</f>
        <v/>
      </c>
      <c r="G873" t="str">
        <f>IFERROR(IF(B873="","",SUMIF(搜索词报告!$A$2:$A$22222,总体数据一览!A873,搜索词报告!$V$2:$V$22222))+IF(B873="","",SUMIF(搜索词报告!$A$2:$A$22222,总体数据一览!A873,搜索词报告!$W$2:$W$22222)),"")</f>
        <v/>
      </c>
      <c r="H873" s="2" t="str">
        <f t="shared" si="44"/>
        <v/>
      </c>
    </row>
    <row r="874" spans="2:8" x14ac:dyDescent="0.15">
      <c r="B874" t="str">
        <f>IF(SUMIF(搜索词报告!$A$2:$A$22222,总体数据一览!A874,搜索词报告!$I$2:$I$22222)=0,"",SUMIF(搜索词报告!$A$2:$A$22222,总体数据一览!A874,搜索词报告!$I$2:$I$22222))</f>
        <v/>
      </c>
      <c r="C874" t="str">
        <f>IF(SUMIF(搜索词报告!$A$2:$A$22222,总体数据一览!A874,搜索词报告!$J$2:$J$22222)=0,"",SUMIF(搜索词报告!$A$2:$A$22222,总体数据一览!A874,搜索词报告!$J$2:$J$22222))</f>
        <v/>
      </c>
      <c r="D874" s="2" t="str">
        <f t="shared" si="42"/>
        <v/>
      </c>
      <c r="E874" t="str">
        <f t="shared" si="43"/>
        <v/>
      </c>
      <c r="F874" t="str">
        <f>IF(SUMIF(搜索词报告!$A$2:$A$22222,总体数据一览!A874,搜索词报告!$M$2:$M$22222)=0,"",SUMIF(搜索词报告!$A$2:$A$22222,总体数据一览!A874,搜索词报告!$M$2:$M$22222))</f>
        <v/>
      </c>
      <c r="G874" t="str">
        <f>IFERROR(IF(B874="","",SUMIF(搜索词报告!$A$2:$A$22222,总体数据一览!A874,搜索词报告!$V$2:$V$22222))+IF(B874="","",SUMIF(搜索词报告!$A$2:$A$22222,总体数据一览!A874,搜索词报告!$W$2:$W$22222)),"")</f>
        <v/>
      </c>
      <c r="H874" s="2" t="str">
        <f t="shared" si="44"/>
        <v/>
      </c>
    </row>
    <row r="875" spans="2:8" x14ac:dyDescent="0.15">
      <c r="B875" t="str">
        <f>IF(SUMIF(搜索词报告!$A$2:$A$22222,总体数据一览!A875,搜索词报告!$I$2:$I$22222)=0,"",SUMIF(搜索词报告!$A$2:$A$22222,总体数据一览!A875,搜索词报告!$I$2:$I$22222))</f>
        <v/>
      </c>
      <c r="C875" t="str">
        <f>IF(SUMIF(搜索词报告!$A$2:$A$22222,总体数据一览!A875,搜索词报告!$J$2:$J$22222)=0,"",SUMIF(搜索词报告!$A$2:$A$22222,总体数据一览!A875,搜索词报告!$J$2:$J$22222))</f>
        <v/>
      </c>
      <c r="D875" s="2" t="str">
        <f t="shared" si="42"/>
        <v/>
      </c>
      <c r="E875" t="str">
        <f t="shared" si="43"/>
        <v/>
      </c>
      <c r="F875" t="str">
        <f>IF(SUMIF(搜索词报告!$A$2:$A$22222,总体数据一览!A875,搜索词报告!$M$2:$M$22222)=0,"",SUMIF(搜索词报告!$A$2:$A$22222,总体数据一览!A875,搜索词报告!$M$2:$M$22222))</f>
        <v/>
      </c>
      <c r="G875" t="str">
        <f>IFERROR(IF(B875="","",SUMIF(搜索词报告!$A$2:$A$22222,总体数据一览!A875,搜索词报告!$V$2:$V$22222))+IF(B875="","",SUMIF(搜索词报告!$A$2:$A$22222,总体数据一览!A875,搜索词报告!$W$2:$W$22222)),"")</f>
        <v/>
      </c>
      <c r="H875" s="2" t="str">
        <f t="shared" si="44"/>
        <v/>
      </c>
    </row>
    <row r="876" spans="2:8" x14ac:dyDescent="0.15">
      <c r="B876" t="str">
        <f>IF(SUMIF(搜索词报告!$A$2:$A$22222,总体数据一览!A876,搜索词报告!$I$2:$I$22222)=0,"",SUMIF(搜索词报告!$A$2:$A$22222,总体数据一览!A876,搜索词报告!$I$2:$I$22222))</f>
        <v/>
      </c>
      <c r="C876" t="str">
        <f>IF(SUMIF(搜索词报告!$A$2:$A$22222,总体数据一览!A876,搜索词报告!$J$2:$J$22222)=0,"",SUMIF(搜索词报告!$A$2:$A$22222,总体数据一览!A876,搜索词报告!$J$2:$J$22222))</f>
        <v/>
      </c>
      <c r="D876" s="2" t="str">
        <f t="shared" si="42"/>
        <v/>
      </c>
      <c r="E876" t="str">
        <f t="shared" si="43"/>
        <v/>
      </c>
      <c r="F876" t="str">
        <f>IF(SUMIF(搜索词报告!$A$2:$A$22222,总体数据一览!A876,搜索词报告!$M$2:$M$22222)=0,"",SUMIF(搜索词报告!$A$2:$A$22222,总体数据一览!A876,搜索词报告!$M$2:$M$22222))</f>
        <v/>
      </c>
      <c r="G876" t="str">
        <f>IFERROR(IF(B876="","",SUMIF(搜索词报告!$A$2:$A$22222,总体数据一览!A876,搜索词报告!$V$2:$V$22222))+IF(B876="","",SUMIF(搜索词报告!$A$2:$A$22222,总体数据一览!A876,搜索词报告!$W$2:$W$22222)),"")</f>
        <v/>
      </c>
      <c r="H876" s="2" t="str">
        <f t="shared" si="44"/>
        <v/>
      </c>
    </row>
    <row r="877" spans="2:8" x14ac:dyDescent="0.15">
      <c r="B877" t="str">
        <f>IF(SUMIF(搜索词报告!$A$2:$A$22222,总体数据一览!A877,搜索词报告!$I$2:$I$22222)=0,"",SUMIF(搜索词报告!$A$2:$A$22222,总体数据一览!A877,搜索词报告!$I$2:$I$22222))</f>
        <v/>
      </c>
      <c r="C877" t="str">
        <f>IF(SUMIF(搜索词报告!$A$2:$A$22222,总体数据一览!A877,搜索词报告!$J$2:$J$22222)=0,"",SUMIF(搜索词报告!$A$2:$A$22222,总体数据一览!A877,搜索词报告!$J$2:$J$22222))</f>
        <v/>
      </c>
      <c r="D877" s="2" t="str">
        <f t="shared" si="42"/>
        <v/>
      </c>
      <c r="E877" t="str">
        <f t="shared" si="43"/>
        <v/>
      </c>
      <c r="F877" t="str">
        <f>IF(SUMIF(搜索词报告!$A$2:$A$22222,总体数据一览!A877,搜索词报告!$M$2:$M$22222)=0,"",SUMIF(搜索词报告!$A$2:$A$22222,总体数据一览!A877,搜索词报告!$M$2:$M$22222))</f>
        <v/>
      </c>
      <c r="G877" t="str">
        <f>IFERROR(IF(B877="","",SUMIF(搜索词报告!$A$2:$A$22222,总体数据一览!A877,搜索词报告!$V$2:$V$22222))+IF(B877="","",SUMIF(搜索词报告!$A$2:$A$22222,总体数据一览!A877,搜索词报告!$W$2:$W$22222)),"")</f>
        <v/>
      </c>
      <c r="H877" s="2" t="str">
        <f t="shared" si="44"/>
        <v/>
      </c>
    </row>
    <row r="878" spans="2:8" x14ac:dyDescent="0.15">
      <c r="B878" t="str">
        <f>IF(SUMIF(搜索词报告!$A$2:$A$22222,总体数据一览!A878,搜索词报告!$I$2:$I$22222)=0,"",SUMIF(搜索词报告!$A$2:$A$22222,总体数据一览!A878,搜索词报告!$I$2:$I$22222))</f>
        <v/>
      </c>
      <c r="C878" t="str">
        <f>IF(SUMIF(搜索词报告!$A$2:$A$22222,总体数据一览!A878,搜索词报告!$J$2:$J$22222)=0,"",SUMIF(搜索词报告!$A$2:$A$22222,总体数据一览!A878,搜索词报告!$J$2:$J$22222))</f>
        <v/>
      </c>
      <c r="D878" s="2" t="str">
        <f t="shared" si="42"/>
        <v/>
      </c>
      <c r="E878" t="str">
        <f t="shared" si="43"/>
        <v/>
      </c>
      <c r="F878" t="str">
        <f>IF(SUMIF(搜索词报告!$A$2:$A$22222,总体数据一览!A878,搜索词报告!$M$2:$M$22222)=0,"",SUMIF(搜索词报告!$A$2:$A$22222,总体数据一览!A878,搜索词报告!$M$2:$M$22222))</f>
        <v/>
      </c>
      <c r="G878" t="str">
        <f>IFERROR(IF(B878="","",SUMIF(搜索词报告!$A$2:$A$22222,总体数据一览!A878,搜索词报告!$V$2:$V$22222))+IF(B878="","",SUMIF(搜索词报告!$A$2:$A$22222,总体数据一览!A878,搜索词报告!$W$2:$W$22222)),"")</f>
        <v/>
      </c>
      <c r="H878" s="2" t="str">
        <f t="shared" si="44"/>
        <v/>
      </c>
    </row>
    <row r="879" spans="2:8" x14ac:dyDescent="0.15">
      <c r="B879" t="str">
        <f>IF(SUMIF(搜索词报告!$A$2:$A$22222,总体数据一览!A879,搜索词报告!$I$2:$I$22222)=0,"",SUMIF(搜索词报告!$A$2:$A$22222,总体数据一览!A879,搜索词报告!$I$2:$I$22222))</f>
        <v/>
      </c>
      <c r="C879" t="str">
        <f>IF(SUMIF(搜索词报告!$A$2:$A$22222,总体数据一览!A879,搜索词报告!$J$2:$J$22222)=0,"",SUMIF(搜索词报告!$A$2:$A$22222,总体数据一览!A879,搜索词报告!$J$2:$J$22222))</f>
        <v/>
      </c>
      <c r="D879" s="2" t="str">
        <f t="shared" si="42"/>
        <v/>
      </c>
      <c r="E879" t="str">
        <f t="shared" si="43"/>
        <v/>
      </c>
      <c r="F879" t="str">
        <f>IF(SUMIF(搜索词报告!$A$2:$A$22222,总体数据一览!A879,搜索词报告!$M$2:$M$22222)=0,"",SUMIF(搜索词报告!$A$2:$A$22222,总体数据一览!A879,搜索词报告!$M$2:$M$22222))</f>
        <v/>
      </c>
      <c r="G879" t="str">
        <f>IFERROR(IF(B879="","",SUMIF(搜索词报告!$A$2:$A$22222,总体数据一览!A879,搜索词报告!$V$2:$V$22222))+IF(B879="","",SUMIF(搜索词报告!$A$2:$A$22222,总体数据一览!A879,搜索词报告!$W$2:$W$22222)),"")</f>
        <v/>
      </c>
      <c r="H879" s="2" t="str">
        <f t="shared" si="44"/>
        <v/>
      </c>
    </row>
    <row r="880" spans="2:8" x14ac:dyDescent="0.15">
      <c r="B880" t="str">
        <f>IF(SUMIF(搜索词报告!$A$2:$A$22222,总体数据一览!A880,搜索词报告!$I$2:$I$22222)=0,"",SUMIF(搜索词报告!$A$2:$A$22222,总体数据一览!A880,搜索词报告!$I$2:$I$22222))</f>
        <v/>
      </c>
      <c r="C880" t="str">
        <f>IF(SUMIF(搜索词报告!$A$2:$A$22222,总体数据一览!A880,搜索词报告!$J$2:$J$22222)=0,"",SUMIF(搜索词报告!$A$2:$A$22222,总体数据一览!A880,搜索词报告!$J$2:$J$22222))</f>
        <v/>
      </c>
      <c r="D880" s="2" t="str">
        <f t="shared" si="42"/>
        <v/>
      </c>
      <c r="E880" t="str">
        <f t="shared" si="43"/>
        <v/>
      </c>
      <c r="F880" t="str">
        <f>IF(SUMIF(搜索词报告!$A$2:$A$22222,总体数据一览!A880,搜索词报告!$M$2:$M$22222)=0,"",SUMIF(搜索词报告!$A$2:$A$22222,总体数据一览!A880,搜索词报告!$M$2:$M$22222))</f>
        <v/>
      </c>
      <c r="G880" t="str">
        <f>IFERROR(IF(B880="","",SUMIF(搜索词报告!$A$2:$A$22222,总体数据一览!A880,搜索词报告!$V$2:$V$22222))+IF(B880="","",SUMIF(搜索词报告!$A$2:$A$22222,总体数据一览!A880,搜索词报告!$W$2:$W$22222)),"")</f>
        <v/>
      </c>
      <c r="H880" s="2" t="str">
        <f t="shared" si="44"/>
        <v/>
      </c>
    </row>
    <row r="881" spans="2:8" x14ac:dyDescent="0.15">
      <c r="B881" t="str">
        <f>IF(SUMIF(搜索词报告!$A$2:$A$22222,总体数据一览!A881,搜索词报告!$I$2:$I$22222)=0,"",SUMIF(搜索词报告!$A$2:$A$22222,总体数据一览!A881,搜索词报告!$I$2:$I$22222))</f>
        <v/>
      </c>
      <c r="C881" t="str">
        <f>IF(SUMIF(搜索词报告!$A$2:$A$22222,总体数据一览!A881,搜索词报告!$J$2:$J$22222)=0,"",SUMIF(搜索词报告!$A$2:$A$22222,总体数据一览!A881,搜索词报告!$J$2:$J$22222))</f>
        <v/>
      </c>
      <c r="D881" s="2" t="str">
        <f t="shared" si="42"/>
        <v/>
      </c>
      <c r="E881" t="str">
        <f t="shared" si="43"/>
        <v/>
      </c>
      <c r="F881" t="str">
        <f>IF(SUMIF(搜索词报告!$A$2:$A$22222,总体数据一览!A881,搜索词报告!$M$2:$M$22222)=0,"",SUMIF(搜索词报告!$A$2:$A$22222,总体数据一览!A881,搜索词报告!$M$2:$M$22222))</f>
        <v/>
      </c>
      <c r="G881" t="str">
        <f>IFERROR(IF(B881="","",SUMIF(搜索词报告!$A$2:$A$22222,总体数据一览!A881,搜索词报告!$V$2:$V$22222))+IF(B881="","",SUMIF(搜索词报告!$A$2:$A$22222,总体数据一览!A881,搜索词报告!$W$2:$W$22222)),"")</f>
        <v/>
      </c>
      <c r="H881" s="2" t="str">
        <f t="shared" si="44"/>
        <v/>
      </c>
    </row>
    <row r="882" spans="2:8" x14ac:dyDescent="0.15">
      <c r="B882" t="str">
        <f>IF(SUMIF(搜索词报告!$A$2:$A$22222,总体数据一览!A882,搜索词报告!$I$2:$I$22222)=0,"",SUMIF(搜索词报告!$A$2:$A$22222,总体数据一览!A882,搜索词报告!$I$2:$I$22222))</f>
        <v/>
      </c>
      <c r="C882" t="str">
        <f>IF(SUMIF(搜索词报告!$A$2:$A$22222,总体数据一览!A882,搜索词报告!$J$2:$J$22222)=0,"",SUMIF(搜索词报告!$A$2:$A$22222,总体数据一览!A882,搜索词报告!$J$2:$J$22222))</f>
        <v/>
      </c>
      <c r="D882" s="2" t="str">
        <f t="shared" si="42"/>
        <v/>
      </c>
      <c r="E882" t="str">
        <f t="shared" si="43"/>
        <v/>
      </c>
      <c r="F882" t="str">
        <f>IF(SUMIF(搜索词报告!$A$2:$A$22222,总体数据一览!A882,搜索词报告!$M$2:$M$22222)=0,"",SUMIF(搜索词报告!$A$2:$A$22222,总体数据一览!A882,搜索词报告!$M$2:$M$22222))</f>
        <v/>
      </c>
      <c r="G882" t="str">
        <f>IFERROR(IF(B882="","",SUMIF(搜索词报告!$A$2:$A$22222,总体数据一览!A882,搜索词报告!$V$2:$V$22222))+IF(B882="","",SUMIF(搜索词报告!$A$2:$A$22222,总体数据一览!A882,搜索词报告!$W$2:$W$22222)),"")</f>
        <v/>
      </c>
      <c r="H882" s="2" t="str">
        <f t="shared" si="44"/>
        <v/>
      </c>
    </row>
    <row r="883" spans="2:8" x14ac:dyDescent="0.15">
      <c r="B883" t="str">
        <f>IF(SUMIF(搜索词报告!$A$2:$A$22222,总体数据一览!A883,搜索词报告!$I$2:$I$22222)=0,"",SUMIF(搜索词报告!$A$2:$A$22222,总体数据一览!A883,搜索词报告!$I$2:$I$22222))</f>
        <v/>
      </c>
      <c r="C883" t="str">
        <f>IF(SUMIF(搜索词报告!$A$2:$A$22222,总体数据一览!A883,搜索词报告!$J$2:$J$22222)=0,"",SUMIF(搜索词报告!$A$2:$A$22222,总体数据一览!A883,搜索词报告!$J$2:$J$22222))</f>
        <v/>
      </c>
      <c r="D883" s="2" t="str">
        <f t="shared" si="42"/>
        <v/>
      </c>
      <c r="E883" t="str">
        <f t="shared" si="43"/>
        <v/>
      </c>
      <c r="F883" t="str">
        <f>IF(SUMIF(搜索词报告!$A$2:$A$22222,总体数据一览!A883,搜索词报告!$M$2:$M$22222)=0,"",SUMIF(搜索词报告!$A$2:$A$22222,总体数据一览!A883,搜索词报告!$M$2:$M$22222))</f>
        <v/>
      </c>
      <c r="G883" t="str">
        <f>IFERROR(IF(B883="","",SUMIF(搜索词报告!$A$2:$A$22222,总体数据一览!A883,搜索词报告!$V$2:$V$22222))+IF(B883="","",SUMIF(搜索词报告!$A$2:$A$22222,总体数据一览!A883,搜索词报告!$W$2:$W$22222)),"")</f>
        <v/>
      </c>
      <c r="H883" s="2" t="str">
        <f t="shared" si="44"/>
        <v/>
      </c>
    </row>
    <row r="884" spans="2:8" x14ac:dyDescent="0.15">
      <c r="B884" t="str">
        <f>IF(SUMIF(搜索词报告!$A$2:$A$22222,总体数据一览!A884,搜索词报告!$I$2:$I$22222)=0,"",SUMIF(搜索词报告!$A$2:$A$22222,总体数据一览!A884,搜索词报告!$I$2:$I$22222))</f>
        <v/>
      </c>
      <c r="C884" t="str">
        <f>IF(SUMIF(搜索词报告!$A$2:$A$22222,总体数据一览!A884,搜索词报告!$J$2:$J$22222)=0,"",SUMIF(搜索词报告!$A$2:$A$22222,总体数据一览!A884,搜索词报告!$J$2:$J$22222))</f>
        <v/>
      </c>
      <c r="D884" s="2" t="str">
        <f t="shared" si="42"/>
        <v/>
      </c>
      <c r="E884" t="str">
        <f t="shared" si="43"/>
        <v/>
      </c>
      <c r="F884" t="str">
        <f>IF(SUMIF(搜索词报告!$A$2:$A$22222,总体数据一览!A884,搜索词报告!$M$2:$M$22222)=0,"",SUMIF(搜索词报告!$A$2:$A$22222,总体数据一览!A884,搜索词报告!$M$2:$M$22222))</f>
        <v/>
      </c>
      <c r="G884" t="str">
        <f>IFERROR(IF(B884="","",SUMIF(搜索词报告!$A$2:$A$22222,总体数据一览!A884,搜索词报告!$V$2:$V$22222))+IF(B884="","",SUMIF(搜索词报告!$A$2:$A$22222,总体数据一览!A884,搜索词报告!$W$2:$W$22222)),"")</f>
        <v/>
      </c>
      <c r="H884" s="2" t="str">
        <f t="shared" si="44"/>
        <v/>
      </c>
    </row>
    <row r="885" spans="2:8" x14ac:dyDescent="0.15">
      <c r="B885" t="str">
        <f>IF(SUMIF(搜索词报告!$A$2:$A$22222,总体数据一览!A885,搜索词报告!$I$2:$I$22222)=0,"",SUMIF(搜索词报告!$A$2:$A$22222,总体数据一览!A885,搜索词报告!$I$2:$I$22222))</f>
        <v/>
      </c>
      <c r="C885" t="str">
        <f>IF(SUMIF(搜索词报告!$A$2:$A$22222,总体数据一览!A885,搜索词报告!$J$2:$J$22222)=0,"",SUMIF(搜索词报告!$A$2:$A$22222,总体数据一览!A885,搜索词报告!$J$2:$J$22222))</f>
        <v/>
      </c>
      <c r="D885" s="2" t="str">
        <f t="shared" si="42"/>
        <v/>
      </c>
      <c r="E885" t="str">
        <f t="shared" si="43"/>
        <v/>
      </c>
      <c r="F885" t="str">
        <f>IF(SUMIF(搜索词报告!$A$2:$A$22222,总体数据一览!A885,搜索词报告!$M$2:$M$22222)=0,"",SUMIF(搜索词报告!$A$2:$A$22222,总体数据一览!A885,搜索词报告!$M$2:$M$22222))</f>
        <v/>
      </c>
      <c r="G885" t="str">
        <f>IFERROR(IF(B885="","",SUMIF(搜索词报告!$A$2:$A$22222,总体数据一览!A885,搜索词报告!$V$2:$V$22222))+IF(B885="","",SUMIF(搜索词报告!$A$2:$A$22222,总体数据一览!A885,搜索词报告!$W$2:$W$22222)),"")</f>
        <v/>
      </c>
      <c r="H885" s="2" t="str">
        <f t="shared" si="44"/>
        <v/>
      </c>
    </row>
    <row r="886" spans="2:8" x14ac:dyDescent="0.15">
      <c r="B886" t="str">
        <f>IF(SUMIF(搜索词报告!$A$2:$A$22222,总体数据一览!A886,搜索词报告!$I$2:$I$22222)=0,"",SUMIF(搜索词报告!$A$2:$A$22222,总体数据一览!A886,搜索词报告!$I$2:$I$22222))</f>
        <v/>
      </c>
      <c r="C886" t="str">
        <f>IF(SUMIF(搜索词报告!$A$2:$A$22222,总体数据一览!A886,搜索词报告!$J$2:$J$22222)=0,"",SUMIF(搜索词报告!$A$2:$A$22222,总体数据一览!A886,搜索词报告!$J$2:$J$22222))</f>
        <v/>
      </c>
      <c r="D886" s="2" t="str">
        <f t="shared" si="42"/>
        <v/>
      </c>
      <c r="E886" t="str">
        <f t="shared" si="43"/>
        <v/>
      </c>
      <c r="F886" t="str">
        <f>IF(SUMIF(搜索词报告!$A$2:$A$22222,总体数据一览!A886,搜索词报告!$M$2:$M$22222)=0,"",SUMIF(搜索词报告!$A$2:$A$22222,总体数据一览!A886,搜索词报告!$M$2:$M$22222))</f>
        <v/>
      </c>
      <c r="G886" t="str">
        <f>IFERROR(IF(B886="","",SUMIF(搜索词报告!$A$2:$A$22222,总体数据一览!A886,搜索词报告!$V$2:$V$22222))+IF(B886="","",SUMIF(搜索词报告!$A$2:$A$22222,总体数据一览!A886,搜索词报告!$W$2:$W$22222)),"")</f>
        <v/>
      </c>
      <c r="H886" s="2" t="str">
        <f t="shared" si="44"/>
        <v/>
      </c>
    </row>
    <row r="887" spans="2:8" x14ac:dyDescent="0.15">
      <c r="B887" t="str">
        <f>IF(SUMIF(搜索词报告!$A$2:$A$22222,总体数据一览!A887,搜索词报告!$I$2:$I$22222)=0,"",SUMIF(搜索词报告!$A$2:$A$22222,总体数据一览!A887,搜索词报告!$I$2:$I$22222))</f>
        <v/>
      </c>
      <c r="C887" t="str">
        <f>IF(SUMIF(搜索词报告!$A$2:$A$22222,总体数据一览!A887,搜索词报告!$J$2:$J$22222)=0,"",SUMIF(搜索词报告!$A$2:$A$22222,总体数据一览!A887,搜索词报告!$J$2:$J$22222))</f>
        <v/>
      </c>
      <c r="D887" s="2" t="str">
        <f t="shared" si="42"/>
        <v/>
      </c>
      <c r="E887" t="str">
        <f t="shared" si="43"/>
        <v/>
      </c>
      <c r="F887" t="str">
        <f>IF(SUMIF(搜索词报告!$A$2:$A$22222,总体数据一览!A887,搜索词报告!$M$2:$M$22222)=0,"",SUMIF(搜索词报告!$A$2:$A$22222,总体数据一览!A887,搜索词报告!$M$2:$M$22222))</f>
        <v/>
      </c>
      <c r="G887" t="str">
        <f>IFERROR(IF(B887="","",SUMIF(搜索词报告!$A$2:$A$22222,总体数据一览!A887,搜索词报告!$V$2:$V$22222))+IF(B887="","",SUMIF(搜索词报告!$A$2:$A$22222,总体数据一览!A887,搜索词报告!$W$2:$W$22222)),"")</f>
        <v/>
      </c>
      <c r="H887" s="2" t="str">
        <f t="shared" si="44"/>
        <v/>
      </c>
    </row>
    <row r="888" spans="2:8" x14ac:dyDescent="0.15">
      <c r="B888" t="str">
        <f>IF(SUMIF(搜索词报告!$A$2:$A$22222,总体数据一览!A888,搜索词报告!$I$2:$I$22222)=0,"",SUMIF(搜索词报告!$A$2:$A$22222,总体数据一览!A888,搜索词报告!$I$2:$I$22222))</f>
        <v/>
      </c>
      <c r="C888" t="str">
        <f>IF(SUMIF(搜索词报告!$A$2:$A$22222,总体数据一览!A888,搜索词报告!$J$2:$J$22222)=0,"",SUMIF(搜索词报告!$A$2:$A$22222,总体数据一览!A888,搜索词报告!$J$2:$J$22222))</f>
        <v/>
      </c>
      <c r="D888" s="2" t="str">
        <f t="shared" si="42"/>
        <v/>
      </c>
      <c r="E888" t="str">
        <f t="shared" si="43"/>
        <v/>
      </c>
      <c r="F888" t="str">
        <f>IF(SUMIF(搜索词报告!$A$2:$A$22222,总体数据一览!A888,搜索词报告!$M$2:$M$22222)=0,"",SUMIF(搜索词报告!$A$2:$A$22222,总体数据一览!A888,搜索词报告!$M$2:$M$22222))</f>
        <v/>
      </c>
      <c r="G888" t="str">
        <f>IFERROR(IF(B888="","",SUMIF(搜索词报告!$A$2:$A$22222,总体数据一览!A888,搜索词报告!$V$2:$V$22222))+IF(B888="","",SUMIF(搜索词报告!$A$2:$A$22222,总体数据一览!A888,搜索词报告!$W$2:$W$22222)),"")</f>
        <v/>
      </c>
      <c r="H888" s="2" t="str">
        <f t="shared" si="44"/>
        <v/>
      </c>
    </row>
    <row r="889" spans="2:8" x14ac:dyDescent="0.15">
      <c r="B889" t="str">
        <f>IF(SUMIF(搜索词报告!$A$2:$A$22222,总体数据一览!A889,搜索词报告!$I$2:$I$22222)=0,"",SUMIF(搜索词报告!$A$2:$A$22222,总体数据一览!A889,搜索词报告!$I$2:$I$22222))</f>
        <v/>
      </c>
      <c r="C889" t="str">
        <f>IF(SUMIF(搜索词报告!$A$2:$A$22222,总体数据一览!A889,搜索词报告!$J$2:$J$22222)=0,"",SUMIF(搜索词报告!$A$2:$A$22222,总体数据一览!A889,搜索词报告!$J$2:$J$22222))</f>
        <v/>
      </c>
      <c r="D889" s="2" t="str">
        <f t="shared" si="42"/>
        <v/>
      </c>
      <c r="E889" t="str">
        <f t="shared" si="43"/>
        <v/>
      </c>
      <c r="F889" t="str">
        <f>IF(SUMIF(搜索词报告!$A$2:$A$22222,总体数据一览!A889,搜索词报告!$M$2:$M$22222)=0,"",SUMIF(搜索词报告!$A$2:$A$22222,总体数据一览!A889,搜索词报告!$M$2:$M$22222))</f>
        <v/>
      </c>
      <c r="G889" t="str">
        <f>IFERROR(IF(B889="","",SUMIF(搜索词报告!$A$2:$A$22222,总体数据一览!A889,搜索词报告!$V$2:$V$22222))+IF(B889="","",SUMIF(搜索词报告!$A$2:$A$22222,总体数据一览!A889,搜索词报告!$W$2:$W$22222)),"")</f>
        <v/>
      </c>
      <c r="H889" s="2" t="str">
        <f t="shared" si="44"/>
        <v/>
      </c>
    </row>
    <row r="890" spans="2:8" x14ac:dyDescent="0.15">
      <c r="B890" t="str">
        <f>IF(SUMIF(搜索词报告!$A$2:$A$22222,总体数据一览!A890,搜索词报告!$I$2:$I$22222)=0,"",SUMIF(搜索词报告!$A$2:$A$22222,总体数据一览!A890,搜索词报告!$I$2:$I$22222))</f>
        <v/>
      </c>
      <c r="C890" t="str">
        <f>IF(SUMIF(搜索词报告!$A$2:$A$22222,总体数据一览!A890,搜索词报告!$J$2:$J$22222)=0,"",SUMIF(搜索词报告!$A$2:$A$22222,总体数据一览!A890,搜索词报告!$J$2:$J$22222))</f>
        <v/>
      </c>
      <c r="D890" s="2" t="str">
        <f t="shared" si="42"/>
        <v/>
      </c>
      <c r="E890" t="str">
        <f t="shared" si="43"/>
        <v/>
      </c>
      <c r="F890" t="str">
        <f>IF(SUMIF(搜索词报告!$A$2:$A$22222,总体数据一览!A890,搜索词报告!$M$2:$M$22222)=0,"",SUMIF(搜索词报告!$A$2:$A$22222,总体数据一览!A890,搜索词报告!$M$2:$M$22222))</f>
        <v/>
      </c>
      <c r="G890" t="str">
        <f>IFERROR(IF(B890="","",SUMIF(搜索词报告!$A$2:$A$22222,总体数据一览!A890,搜索词报告!$V$2:$V$22222))+IF(B890="","",SUMIF(搜索词报告!$A$2:$A$22222,总体数据一览!A890,搜索词报告!$W$2:$W$22222)),"")</f>
        <v/>
      </c>
      <c r="H890" s="2" t="str">
        <f t="shared" si="44"/>
        <v/>
      </c>
    </row>
    <row r="891" spans="2:8" x14ac:dyDescent="0.15">
      <c r="B891" t="str">
        <f>IF(SUMIF(搜索词报告!$A$2:$A$22222,总体数据一览!A891,搜索词报告!$I$2:$I$22222)=0,"",SUMIF(搜索词报告!$A$2:$A$22222,总体数据一览!A891,搜索词报告!$I$2:$I$22222))</f>
        <v/>
      </c>
      <c r="C891" t="str">
        <f>IF(SUMIF(搜索词报告!$A$2:$A$22222,总体数据一览!A891,搜索词报告!$J$2:$J$22222)=0,"",SUMIF(搜索词报告!$A$2:$A$22222,总体数据一览!A891,搜索词报告!$J$2:$J$22222))</f>
        <v/>
      </c>
      <c r="D891" s="2" t="str">
        <f t="shared" si="42"/>
        <v/>
      </c>
      <c r="E891" t="str">
        <f t="shared" si="43"/>
        <v/>
      </c>
      <c r="F891" t="str">
        <f>IF(SUMIF(搜索词报告!$A$2:$A$22222,总体数据一览!A891,搜索词报告!$M$2:$M$22222)=0,"",SUMIF(搜索词报告!$A$2:$A$22222,总体数据一览!A891,搜索词报告!$M$2:$M$22222))</f>
        <v/>
      </c>
      <c r="G891" t="str">
        <f>IFERROR(IF(B891="","",SUMIF(搜索词报告!$A$2:$A$22222,总体数据一览!A891,搜索词报告!$V$2:$V$22222))+IF(B891="","",SUMIF(搜索词报告!$A$2:$A$22222,总体数据一览!A891,搜索词报告!$W$2:$W$22222)),"")</f>
        <v/>
      </c>
      <c r="H891" s="2" t="str">
        <f t="shared" si="44"/>
        <v/>
      </c>
    </row>
    <row r="892" spans="2:8" x14ac:dyDescent="0.15">
      <c r="B892" t="str">
        <f>IF(SUMIF(搜索词报告!$A$2:$A$22222,总体数据一览!A892,搜索词报告!$I$2:$I$22222)=0,"",SUMIF(搜索词报告!$A$2:$A$22222,总体数据一览!A892,搜索词报告!$I$2:$I$22222))</f>
        <v/>
      </c>
      <c r="C892" t="str">
        <f>IF(SUMIF(搜索词报告!$A$2:$A$22222,总体数据一览!A892,搜索词报告!$J$2:$J$22222)=0,"",SUMIF(搜索词报告!$A$2:$A$22222,总体数据一览!A892,搜索词报告!$J$2:$J$22222))</f>
        <v/>
      </c>
      <c r="D892" s="2" t="str">
        <f t="shared" si="42"/>
        <v/>
      </c>
      <c r="E892" t="str">
        <f t="shared" si="43"/>
        <v/>
      </c>
      <c r="F892" t="str">
        <f>IF(SUMIF(搜索词报告!$A$2:$A$22222,总体数据一览!A892,搜索词报告!$M$2:$M$22222)=0,"",SUMIF(搜索词报告!$A$2:$A$22222,总体数据一览!A892,搜索词报告!$M$2:$M$22222))</f>
        <v/>
      </c>
      <c r="G892" t="str">
        <f>IFERROR(IF(B892="","",SUMIF(搜索词报告!$A$2:$A$22222,总体数据一览!A892,搜索词报告!$V$2:$V$22222))+IF(B892="","",SUMIF(搜索词报告!$A$2:$A$22222,总体数据一览!A892,搜索词报告!$W$2:$W$22222)),"")</f>
        <v/>
      </c>
      <c r="H892" s="2" t="str">
        <f t="shared" si="44"/>
        <v/>
      </c>
    </row>
    <row r="893" spans="2:8" x14ac:dyDescent="0.15">
      <c r="B893" t="str">
        <f>IF(SUMIF(搜索词报告!$A$2:$A$22222,总体数据一览!A893,搜索词报告!$I$2:$I$22222)=0,"",SUMIF(搜索词报告!$A$2:$A$22222,总体数据一览!A893,搜索词报告!$I$2:$I$22222))</f>
        <v/>
      </c>
      <c r="C893" t="str">
        <f>IF(SUMIF(搜索词报告!$A$2:$A$22222,总体数据一览!A893,搜索词报告!$J$2:$J$22222)=0,"",SUMIF(搜索词报告!$A$2:$A$22222,总体数据一览!A893,搜索词报告!$J$2:$J$22222))</f>
        <v/>
      </c>
      <c r="D893" s="2" t="str">
        <f t="shared" si="42"/>
        <v/>
      </c>
      <c r="E893" t="str">
        <f t="shared" si="43"/>
        <v/>
      </c>
      <c r="F893" t="str">
        <f>IF(SUMIF(搜索词报告!$A$2:$A$22222,总体数据一览!A893,搜索词报告!$M$2:$M$22222)=0,"",SUMIF(搜索词报告!$A$2:$A$22222,总体数据一览!A893,搜索词报告!$M$2:$M$22222))</f>
        <v/>
      </c>
      <c r="G893" t="str">
        <f>IFERROR(IF(B893="","",SUMIF(搜索词报告!$A$2:$A$22222,总体数据一览!A893,搜索词报告!$V$2:$V$22222))+IF(B893="","",SUMIF(搜索词报告!$A$2:$A$22222,总体数据一览!A893,搜索词报告!$W$2:$W$22222)),"")</f>
        <v/>
      </c>
      <c r="H893" s="2" t="str">
        <f t="shared" si="44"/>
        <v/>
      </c>
    </row>
    <row r="894" spans="2:8" x14ac:dyDescent="0.15">
      <c r="B894" t="str">
        <f>IF(SUMIF(搜索词报告!$A$2:$A$22222,总体数据一览!A894,搜索词报告!$I$2:$I$22222)=0,"",SUMIF(搜索词报告!$A$2:$A$22222,总体数据一览!A894,搜索词报告!$I$2:$I$22222))</f>
        <v/>
      </c>
      <c r="C894" t="str">
        <f>IF(SUMIF(搜索词报告!$A$2:$A$22222,总体数据一览!A894,搜索词报告!$J$2:$J$22222)=0,"",SUMIF(搜索词报告!$A$2:$A$22222,总体数据一览!A894,搜索词报告!$J$2:$J$22222))</f>
        <v/>
      </c>
      <c r="D894" s="2" t="str">
        <f t="shared" si="42"/>
        <v/>
      </c>
      <c r="E894" t="str">
        <f t="shared" si="43"/>
        <v/>
      </c>
      <c r="F894" t="str">
        <f>IF(SUMIF(搜索词报告!$A$2:$A$22222,总体数据一览!A894,搜索词报告!$M$2:$M$22222)=0,"",SUMIF(搜索词报告!$A$2:$A$22222,总体数据一览!A894,搜索词报告!$M$2:$M$22222))</f>
        <v/>
      </c>
      <c r="G894" t="str">
        <f>IFERROR(IF(B894="","",SUMIF(搜索词报告!$A$2:$A$22222,总体数据一览!A894,搜索词报告!$V$2:$V$22222))+IF(B894="","",SUMIF(搜索词报告!$A$2:$A$22222,总体数据一览!A894,搜索词报告!$W$2:$W$22222)),"")</f>
        <v/>
      </c>
      <c r="H894" s="2" t="str">
        <f t="shared" si="44"/>
        <v/>
      </c>
    </row>
    <row r="895" spans="2:8" x14ac:dyDescent="0.15">
      <c r="B895" t="str">
        <f>IF(SUMIF(搜索词报告!$A$2:$A$22222,总体数据一览!A895,搜索词报告!$I$2:$I$22222)=0,"",SUMIF(搜索词报告!$A$2:$A$22222,总体数据一览!A895,搜索词报告!$I$2:$I$22222))</f>
        <v/>
      </c>
      <c r="C895" t="str">
        <f>IF(SUMIF(搜索词报告!$A$2:$A$22222,总体数据一览!A895,搜索词报告!$J$2:$J$22222)=0,"",SUMIF(搜索词报告!$A$2:$A$22222,总体数据一览!A895,搜索词报告!$J$2:$J$22222))</f>
        <v/>
      </c>
      <c r="D895" s="2" t="str">
        <f t="shared" si="42"/>
        <v/>
      </c>
      <c r="E895" t="str">
        <f t="shared" si="43"/>
        <v/>
      </c>
      <c r="F895" t="str">
        <f>IF(SUMIF(搜索词报告!$A$2:$A$22222,总体数据一览!A895,搜索词报告!$M$2:$M$22222)=0,"",SUMIF(搜索词报告!$A$2:$A$22222,总体数据一览!A895,搜索词报告!$M$2:$M$22222))</f>
        <v/>
      </c>
      <c r="G895" t="str">
        <f>IFERROR(IF(B895="","",SUMIF(搜索词报告!$A$2:$A$22222,总体数据一览!A895,搜索词报告!$V$2:$V$22222))+IF(B895="","",SUMIF(搜索词报告!$A$2:$A$22222,总体数据一览!A895,搜索词报告!$W$2:$W$22222)),"")</f>
        <v/>
      </c>
      <c r="H895" s="2" t="str">
        <f t="shared" si="44"/>
        <v/>
      </c>
    </row>
    <row r="896" spans="2:8" x14ac:dyDescent="0.15">
      <c r="B896" t="str">
        <f>IF(SUMIF(搜索词报告!$A$2:$A$22222,总体数据一览!A896,搜索词报告!$I$2:$I$22222)=0,"",SUMIF(搜索词报告!$A$2:$A$22222,总体数据一览!A896,搜索词报告!$I$2:$I$22222))</f>
        <v/>
      </c>
      <c r="C896" t="str">
        <f>IF(SUMIF(搜索词报告!$A$2:$A$22222,总体数据一览!A896,搜索词报告!$J$2:$J$22222)=0,"",SUMIF(搜索词报告!$A$2:$A$22222,总体数据一览!A896,搜索词报告!$J$2:$J$22222))</f>
        <v/>
      </c>
      <c r="D896" s="2" t="str">
        <f t="shared" si="42"/>
        <v/>
      </c>
      <c r="E896" t="str">
        <f t="shared" si="43"/>
        <v/>
      </c>
      <c r="F896" t="str">
        <f>IF(SUMIF(搜索词报告!$A$2:$A$22222,总体数据一览!A896,搜索词报告!$M$2:$M$22222)=0,"",SUMIF(搜索词报告!$A$2:$A$22222,总体数据一览!A896,搜索词报告!$M$2:$M$22222))</f>
        <v/>
      </c>
      <c r="G896" t="str">
        <f>IFERROR(IF(B896="","",SUMIF(搜索词报告!$A$2:$A$22222,总体数据一览!A896,搜索词报告!$V$2:$V$22222))+IF(B896="","",SUMIF(搜索词报告!$A$2:$A$22222,总体数据一览!A896,搜索词报告!$W$2:$W$22222)),"")</f>
        <v/>
      </c>
      <c r="H896" s="2" t="str">
        <f t="shared" si="44"/>
        <v/>
      </c>
    </row>
    <row r="897" spans="2:8" x14ac:dyDescent="0.15">
      <c r="B897" t="str">
        <f>IF(SUMIF(搜索词报告!$A$2:$A$22222,总体数据一览!A897,搜索词报告!$I$2:$I$22222)=0,"",SUMIF(搜索词报告!$A$2:$A$22222,总体数据一览!A897,搜索词报告!$I$2:$I$22222))</f>
        <v/>
      </c>
      <c r="C897" t="str">
        <f>IF(SUMIF(搜索词报告!$A$2:$A$22222,总体数据一览!A897,搜索词报告!$J$2:$J$22222)=0,"",SUMIF(搜索词报告!$A$2:$A$22222,总体数据一览!A897,搜索词报告!$J$2:$J$22222))</f>
        <v/>
      </c>
      <c r="D897" s="2" t="str">
        <f t="shared" si="42"/>
        <v/>
      </c>
      <c r="E897" t="str">
        <f t="shared" si="43"/>
        <v/>
      </c>
      <c r="F897" t="str">
        <f>IF(SUMIF(搜索词报告!$A$2:$A$22222,总体数据一览!A897,搜索词报告!$M$2:$M$22222)=0,"",SUMIF(搜索词报告!$A$2:$A$22222,总体数据一览!A897,搜索词报告!$M$2:$M$22222))</f>
        <v/>
      </c>
      <c r="G897" t="str">
        <f>IFERROR(IF(B897="","",SUMIF(搜索词报告!$A$2:$A$22222,总体数据一览!A897,搜索词报告!$V$2:$V$22222))+IF(B897="","",SUMIF(搜索词报告!$A$2:$A$22222,总体数据一览!A897,搜索词报告!$W$2:$W$22222)),"")</f>
        <v/>
      </c>
      <c r="H897" s="2" t="str">
        <f t="shared" si="44"/>
        <v/>
      </c>
    </row>
    <row r="898" spans="2:8" x14ac:dyDescent="0.15">
      <c r="B898" t="str">
        <f>IF(SUMIF(搜索词报告!$A$2:$A$22222,总体数据一览!A898,搜索词报告!$I$2:$I$22222)=0,"",SUMIF(搜索词报告!$A$2:$A$22222,总体数据一览!A898,搜索词报告!$I$2:$I$22222))</f>
        <v/>
      </c>
      <c r="C898" t="str">
        <f>IF(SUMIF(搜索词报告!$A$2:$A$22222,总体数据一览!A898,搜索词报告!$J$2:$J$22222)=0,"",SUMIF(搜索词报告!$A$2:$A$22222,总体数据一览!A898,搜索词报告!$J$2:$J$22222))</f>
        <v/>
      </c>
      <c r="D898" s="2" t="str">
        <f t="shared" si="42"/>
        <v/>
      </c>
      <c r="E898" t="str">
        <f t="shared" si="43"/>
        <v/>
      </c>
      <c r="F898" t="str">
        <f>IF(SUMIF(搜索词报告!$A$2:$A$22222,总体数据一览!A898,搜索词报告!$M$2:$M$22222)=0,"",SUMIF(搜索词报告!$A$2:$A$22222,总体数据一览!A898,搜索词报告!$M$2:$M$22222))</f>
        <v/>
      </c>
      <c r="G898" t="str">
        <f>IFERROR(IF(B898="","",SUMIF(搜索词报告!$A$2:$A$22222,总体数据一览!A898,搜索词报告!$V$2:$V$22222))+IF(B898="","",SUMIF(搜索词报告!$A$2:$A$22222,总体数据一览!A898,搜索词报告!$W$2:$W$22222)),"")</f>
        <v/>
      </c>
      <c r="H898" s="2" t="str">
        <f t="shared" si="44"/>
        <v/>
      </c>
    </row>
    <row r="899" spans="2:8" x14ac:dyDescent="0.15">
      <c r="B899" t="str">
        <f>IF(SUMIF(搜索词报告!$A$2:$A$22222,总体数据一览!A899,搜索词报告!$I$2:$I$22222)=0,"",SUMIF(搜索词报告!$A$2:$A$22222,总体数据一览!A899,搜索词报告!$I$2:$I$22222))</f>
        <v/>
      </c>
      <c r="C899" t="str">
        <f>IF(SUMIF(搜索词报告!$A$2:$A$22222,总体数据一览!A899,搜索词报告!$J$2:$J$22222)=0,"",SUMIF(搜索词报告!$A$2:$A$22222,总体数据一览!A899,搜索词报告!$J$2:$J$22222))</f>
        <v/>
      </c>
      <c r="D899" s="2" t="str">
        <f t="shared" si="42"/>
        <v/>
      </c>
      <c r="E899" t="str">
        <f t="shared" si="43"/>
        <v/>
      </c>
      <c r="F899" t="str">
        <f>IF(SUMIF(搜索词报告!$A$2:$A$22222,总体数据一览!A899,搜索词报告!$M$2:$M$22222)=0,"",SUMIF(搜索词报告!$A$2:$A$22222,总体数据一览!A899,搜索词报告!$M$2:$M$22222))</f>
        <v/>
      </c>
      <c r="G899" t="str">
        <f>IFERROR(IF(B899="","",SUMIF(搜索词报告!$A$2:$A$22222,总体数据一览!A899,搜索词报告!$V$2:$V$22222))+IF(B899="","",SUMIF(搜索词报告!$A$2:$A$22222,总体数据一览!A899,搜索词报告!$W$2:$W$22222)),"")</f>
        <v/>
      </c>
      <c r="H899" s="2" t="str">
        <f t="shared" si="44"/>
        <v/>
      </c>
    </row>
    <row r="900" spans="2:8" x14ac:dyDescent="0.15">
      <c r="B900" t="str">
        <f>IF(SUMIF(搜索词报告!$A$2:$A$22222,总体数据一览!A900,搜索词报告!$I$2:$I$22222)=0,"",SUMIF(搜索词报告!$A$2:$A$22222,总体数据一览!A900,搜索词报告!$I$2:$I$22222))</f>
        <v/>
      </c>
      <c r="C900" t="str">
        <f>IF(SUMIF(搜索词报告!$A$2:$A$22222,总体数据一览!A900,搜索词报告!$J$2:$J$22222)=0,"",SUMIF(搜索词报告!$A$2:$A$22222,总体数据一览!A900,搜索词报告!$J$2:$J$22222))</f>
        <v/>
      </c>
      <c r="D900" s="2" t="str">
        <f t="shared" si="42"/>
        <v/>
      </c>
      <c r="E900" t="str">
        <f t="shared" si="43"/>
        <v/>
      </c>
      <c r="F900" t="str">
        <f>IF(SUMIF(搜索词报告!$A$2:$A$22222,总体数据一览!A900,搜索词报告!$M$2:$M$22222)=0,"",SUMIF(搜索词报告!$A$2:$A$22222,总体数据一览!A900,搜索词报告!$M$2:$M$22222))</f>
        <v/>
      </c>
      <c r="G900" t="str">
        <f>IFERROR(IF(B900="","",SUMIF(搜索词报告!$A$2:$A$22222,总体数据一览!A900,搜索词报告!$V$2:$V$22222))+IF(B900="","",SUMIF(搜索词报告!$A$2:$A$22222,总体数据一览!A900,搜索词报告!$W$2:$W$22222)),"")</f>
        <v/>
      </c>
      <c r="H900" s="2" t="str">
        <f t="shared" si="44"/>
        <v/>
      </c>
    </row>
    <row r="901" spans="2:8" x14ac:dyDescent="0.15">
      <c r="B901" t="str">
        <f>IF(SUMIF(搜索词报告!$A$2:$A$22222,总体数据一览!A901,搜索词报告!$I$2:$I$22222)=0,"",SUMIF(搜索词报告!$A$2:$A$22222,总体数据一览!A901,搜索词报告!$I$2:$I$22222))</f>
        <v/>
      </c>
      <c r="C901" t="str">
        <f>IF(SUMIF(搜索词报告!$A$2:$A$22222,总体数据一览!A901,搜索词报告!$J$2:$J$22222)=0,"",SUMIF(搜索词报告!$A$2:$A$22222,总体数据一览!A901,搜索词报告!$J$2:$J$22222))</f>
        <v/>
      </c>
      <c r="D901" s="2" t="str">
        <f t="shared" si="42"/>
        <v/>
      </c>
      <c r="E901" t="str">
        <f t="shared" si="43"/>
        <v/>
      </c>
      <c r="F901" t="str">
        <f>IF(SUMIF(搜索词报告!$A$2:$A$22222,总体数据一览!A901,搜索词报告!$M$2:$M$22222)=0,"",SUMIF(搜索词报告!$A$2:$A$22222,总体数据一览!A901,搜索词报告!$M$2:$M$22222))</f>
        <v/>
      </c>
      <c r="G901" t="str">
        <f>IFERROR(IF(B901="","",SUMIF(搜索词报告!$A$2:$A$22222,总体数据一览!A901,搜索词报告!$V$2:$V$22222))+IF(B901="","",SUMIF(搜索词报告!$A$2:$A$22222,总体数据一览!A901,搜索词报告!$W$2:$W$22222)),"")</f>
        <v/>
      </c>
      <c r="H901" s="2" t="str">
        <f t="shared" si="44"/>
        <v/>
      </c>
    </row>
    <row r="902" spans="2:8" x14ac:dyDescent="0.15">
      <c r="B902" t="str">
        <f>IF(SUMIF(搜索词报告!$A$2:$A$22222,总体数据一览!A902,搜索词报告!$I$2:$I$22222)=0,"",SUMIF(搜索词报告!$A$2:$A$22222,总体数据一览!A902,搜索词报告!$I$2:$I$22222))</f>
        <v/>
      </c>
      <c r="C902" t="str">
        <f>IF(SUMIF(搜索词报告!$A$2:$A$22222,总体数据一览!A902,搜索词报告!$J$2:$J$22222)=0,"",SUMIF(搜索词报告!$A$2:$A$22222,总体数据一览!A902,搜索词报告!$J$2:$J$22222))</f>
        <v/>
      </c>
      <c r="D902" s="2" t="str">
        <f t="shared" si="42"/>
        <v/>
      </c>
      <c r="E902" t="str">
        <f t="shared" si="43"/>
        <v/>
      </c>
      <c r="F902" t="str">
        <f>IF(SUMIF(搜索词报告!$A$2:$A$22222,总体数据一览!A902,搜索词报告!$M$2:$M$22222)=0,"",SUMIF(搜索词报告!$A$2:$A$22222,总体数据一览!A902,搜索词报告!$M$2:$M$22222))</f>
        <v/>
      </c>
      <c r="G902" t="str">
        <f>IFERROR(IF(B902="","",SUMIF(搜索词报告!$A$2:$A$22222,总体数据一览!A902,搜索词报告!$V$2:$V$22222))+IF(B902="","",SUMIF(搜索词报告!$A$2:$A$22222,总体数据一览!A902,搜索词报告!$W$2:$W$22222)),"")</f>
        <v/>
      </c>
      <c r="H902" s="2" t="str">
        <f t="shared" si="44"/>
        <v/>
      </c>
    </row>
    <row r="903" spans="2:8" x14ac:dyDescent="0.15">
      <c r="B903" t="str">
        <f>IF(SUMIF(搜索词报告!$A$2:$A$22222,总体数据一览!A903,搜索词报告!$I$2:$I$22222)=0,"",SUMIF(搜索词报告!$A$2:$A$22222,总体数据一览!A903,搜索词报告!$I$2:$I$22222))</f>
        <v/>
      </c>
      <c r="C903" t="str">
        <f>IF(SUMIF(搜索词报告!$A$2:$A$22222,总体数据一览!A903,搜索词报告!$J$2:$J$22222)=0,"",SUMIF(搜索词报告!$A$2:$A$22222,总体数据一览!A903,搜索词报告!$J$2:$J$22222))</f>
        <v/>
      </c>
      <c r="D903" s="2" t="str">
        <f t="shared" si="42"/>
        <v/>
      </c>
      <c r="E903" t="str">
        <f t="shared" si="43"/>
        <v/>
      </c>
      <c r="F903" t="str">
        <f>IF(SUMIF(搜索词报告!$A$2:$A$22222,总体数据一览!A903,搜索词报告!$M$2:$M$22222)=0,"",SUMIF(搜索词报告!$A$2:$A$22222,总体数据一览!A903,搜索词报告!$M$2:$M$22222))</f>
        <v/>
      </c>
      <c r="G903" t="str">
        <f>IFERROR(IF(B903="","",SUMIF(搜索词报告!$A$2:$A$22222,总体数据一览!A903,搜索词报告!$V$2:$V$22222))+IF(B903="","",SUMIF(搜索词报告!$A$2:$A$22222,总体数据一览!A903,搜索词报告!$W$2:$W$22222)),"")</f>
        <v/>
      </c>
      <c r="H903" s="2" t="str">
        <f t="shared" si="44"/>
        <v/>
      </c>
    </row>
    <row r="904" spans="2:8" x14ac:dyDescent="0.15">
      <c r="B904" t="str">
        <f>IF(SUMIF(搜索词报告!$A$2:$A$22222,总体数据一览!A904,搜索词报告!$I$2:$I$22222)=0,"",SUMIF(搜索词报告!$A$2:$A$22222,总体数据一览!A904,搜索词报告!$I$2:$I$22222))</f>
        <v/>
      </c>
      <c r="C904" t="str">
        <f>IF(SUMIF(搜索词报告!$A$2:$A$22222,总体数据一览!A904,搜索词报告!$J$2:$J$22222)=0,"",SUMIF(搜索词报告!$A$2:$A$22222,总体数据一览!A904,搜索词报告!$J$2:$J$22222))</f>
        <v/>
      </c>
      <c r="D904" s="2" t="str">
        <f t="shared" si="42"/>
        <v/>
      </c>
      <c r="E904" t="str">
        <f t="shared" si="43"/>
        <v/>
      </c>
      <c r="F904" t="str">
        <f>IF(SUMIF(搜索词报告!$A$2:$A$22222,总体数据一览!A904,搜索词报告!$M$2:$M$22222)=0,"",SUMIF(搜索词报告!$A$2:$A$22222,总体数据一览!A904,搜索词报告!$M$2:$M$22222))</f>
        <v/>
      </c>
      <c r="G904" t="str">
        <f>IFERROR(IF(B904="","",SUMIF(搜索词报告!$A$2:$A$22222,总体数据一览!A904,搜索词报告!$V$2:$V$22222))+IF(B904="","",SUMIF(搜索词报告!$A$2:$A$22222,总体数据一览!A904,搜索词报告!$W$2:$W$22222)),"")</f>
        <v/>
      </c>
      <c r="H904" s="2" t="str">
        <f t="shared" si="44"/>
        <v/>
      </c>
    </row>
    <row r="905" spans="2:8" x14ac:dyDescent="0.15">
      <c r="B905" t="str">
        <f>IF(SUMIF(搜索词报告!$A$2:$A$22222,总体数据一览!A905,搜索词报告!$I$2:$I$22222)=0,"",SUMIF(搜索词报告!$A$2:$A$22222,总体数据一览!A905,搜索词报告!$I$2:$I$22222))</f>
        <v/>
      </c>
      <c r="C905" t="str">
        <f>IF(SUMIF(搜索词报告!$A$2:$A$22222,总体数据一览!A905,搜索词报告!$J$2:$J$22222)=0,"",SUMIF(搜索词报告!$A$2:$A$22222,总体数据一览!A905,搜索词报告!$J$2:$J$22222))</f>
        <v/>
      </c>
      <c r="D905" s="2" t="str">
        <f t="shared" si="42"/>
        <v/>
      </c>
      <c r="E905" t="str">
        <f t="shared" si="43"/>
        <v/>
      </c>
      <c r="F905" t="str">
        <f>IF(SUMIF(搜索词报告!$A$2:$A$22222,总体数据一览!A905,搜索词报告!$M$2:$M$22222)=0,"",SUMIF(搜索词报告!$A$2:$A$22222,总体数据一览!A905,搜索词报告!$M$2:$M$22222))</f>
        <v/>
      </c>
      <c r="G905" t="str">
        <f>IFERROR(IF(B905="","",SUMIF(搜索词报告!$A$2:$A$22222,总体数据一览!A905,搜索词报告!$V$2:$V$22222))+IF(B905="","",SUMIF(搜索词报告!$A$2:$A$22222,总体数据一览!A905,搜索词报告!$W$2:$W$22222)),"")</f>
        <v/>
      </c>
      <c r="H905" s="2" t="str">
        <f t="shared" si="44"/>
        <v/>
      </c>
    </row>
    <row r="906" spans="2:8" x14ac:dyDescent="0.15">
      <c r="B906" t="str">
        <f>IF(SUMIF(搜索词报告!$A$2:$A$22222,总体数据一览!A906,搜索词报告!$I$2:$I$22222)=0,"",SUMIF(搜索词报告!$A$2:$A$22222,总体数据一览!A906,搜索词报告!$I$2:$I$22222))</f>
        <v/>
      </c>
      <c r="C906" t="str">
        <f>IF(SUMIF(搜索词报告!$A$2:$A$22222,总体数据一览!A906,搜索词报告!$J$2:$J$22222)=0,"",SUMIF(搜索词报告!$A$2:$A$22222,总体数据一览!A906,搜索词报告!$J$2:$J$22222))</f>
        <v/>
      </c>
      <c r="D906" s="2" t="str">
        <f t="shared" si="42"/>
        <v/>
      </c>
      <c r="E906" t="str">
        <f t="shared" si="43"/>
        <v/>
      </c>
      <c r="F906" t="str">
        <f>IF(SUMIF(搜索词报告!$A$2:$A$22222,总体数据一览!A906,搜索词报告!$M$2:$M$22222)=0,"",SUMIF(搜索词报告!$A$2:$A$22222,总体数据一览!A906,搜索词报告!$M$2:$M$22222))</f>
        <v/>
      </c>
      <c r="G906" t="str">
        <f>IFERROR(IF(B906="","",SUMIF(搜索词报告!$A$2:$A$22222,总体数据一览!A906,搜索词报告!$V$2:$V$22222))+IF(B906="","",SUMIF(搜索词报告!$A$2:$A$22222,总体数据一览!A906,搜索词报告!$W$2:$W$22222)),"")</f>
        <v/>
      </c>
      <c r="H906" s="2" t="str">
        <f t="shared" si="44"/>
        <v/>
      </c>
    </row>
    <row r="907" spans="2:8" x14ac:dyDescent="0.15">
      <c r="B907" t="str">
        <f>IF(SUMIF(搜索词报告!$A$2:$A$22222,总体数据一览!A907,搜索词报告!$I$2:$I$22222)=0,"",SUMIF(搜索词报告!$A$2:$A$22222,总体数据一览!A907,搜索词报告!$I$2:$I$22222))</f>
        <v/>
      </c>
      <c r="C907" t="str">
        <f>IF(SUMIF(搜索词报告!$A$2:$A$22222,总体数据一览!A907,搜索词报告!$J$2:$J$22222)=0,"",SUMIF(搜索词报告!$A$2:$A$22222,总体数据一览!A907,搜索词报告!$J$2:$J$22222))</f>
        <v/>
      </c>
      <c r="D907" s="2" t="str">
        <f t="shared" si="42"/>
        <v/>
      </c>
      <c r="E907" t="str">
        <f t="shared" si="43"/>
        <v/>
      </c>
      <c r="F907" t="str">
        <f>IF(SUMIF(搜索词报告!$A$2:$A$22222,总体数据一览!A907,搜索词报告!$M$2:$M$22222)=0,"",SUMIF(搜索词报告!$A$2:$A$22222,总体数据一览!A907,搜索词报告!$M$2:$M$22222))</f>
        <v/>
      </c>
      <c r="G907" t="str">
        <f>IFERROR(IF(B907="","",SUMIF(搜索词报告!$A$2:$A$22222,总体数据一览!A907,搜索词报告!$V$2:$V$22222))+IF(B907="","",SUMIF(搜索词报告!$A$2:$A$22222,总体数据一览!A907,搜索词报告!$W$2:$W$22222)),"")</f>
        <v/>
      </c>
      <c r="H907" s="2" t="str">
        <f t="shared" si="44"/>
        <v/>
      </c>
    </row>
    <row r="908" spans="2:8" x14ac:dyDescent="0.15">
      <c r="B908" t="str">
        <f>IF(SUMIF(搜索词报告!$A$2:$A$22222,总体数据一览!A908,搜索词报告!$I$2:$I$22222)=0,"",SUMIF(搜索词报告!$A$2:$A$22222,总体数据一览!A908,搜索词报告!$I$2:$I$22222))</f>
        <v/>
      </c>
      <c r="C908" t="str">
        <f>IF(SUMIF(搜索词报告!$A$2:$A$22222,总体数据一览!A908,搜索词报告!$J$2:$J$22222)=0,"",SUMIF(搜索词报告!$A$2:$A$22222,总体数据一览!A908,搜索词报告!$J$2:$J$22222))</f>
        <v/>
      </c>
      <c r="D908" s="2" t="str">
        <f t="shared" si="42"/>
        <v/>
      </c>
      <c r="E908" t="str">
        <f t="shared" si="43"/>
        <v/>
      </c>
      <c r="F908" t="str">
        <f>IF(SUMIF(搜索词报告!$A$2:$A$22222,总体数据一览!A908,搜索词报告!$M$2:$M$22222)=0,"",SUMIF(搜索词报告!$A$2:$A$22222,总体数据一览!A908,搜索词报告!$M$2:$M$22222))</f>
        <v/>
      </c>
      <c r="G908" t="str">
        <f>IFERROR(IF(B908="","",SUMIF(搜索词报告!$A$2:$A$22222,总体数据一览!A908,搜索词报告!$V$2:$V$22222))+IF(B908="","",SUMIF(搜索词报告!$A$2:$A$22222,总体数据一览!A908,搜索词报告!$W$2:$W$22222)),"")</f>
        <v/>
      </c>
      <c r="H908" s="2" t="str">
        <f t="shared" si="44"/>
        <v/>
      </c>
    </row>
    <row r="909" spans="2:8" x14ac:dyDescent="0.15">
      <c r="B909" t="str">
        <f>IF(SUMIF(搜索词报告!$A$2:$A$22222,总体数据一览!A909,搜索词报告!$I$2:$I$22222)=0,"",SUMIF(搜索词报告!$A$2:$A$22222,总体数据一览!A909,搜索词报告!$I$2:$I$22222))</f>
        <v/>
      </c>
      <c r="C909" t="str">
        <f>IF(SUMIF(搜索词报告!$A$2:$A$22222,总体数据一览!A909,搜索词报告!$J$2:$J$22222)=0,"",SUMIF(搜索词报告!$A$2:$A$22222,总体数据一览!A909,搜索词报告!$J$2:$J$22222))</f>
        <v/>
      </c>
      <c r="D909" s="2" t="str">
        <f t="shared" si="42"/>
        <v/>
      </c>
      <c r="E909" t="str">
        <f t="shared" si="43"/>
        <v/>
      </c>
      <c r="F909" t="str">
        <f>IF(SUMIF(搜索词报告!$A$2:$A$22222,总体数据一览!A909,搜索词报告!$M$2:$M$22222)=0,"",SUMIF(搜索词报告!$A$2:$A$22222,总体数据一览!A909,搜索词报告!$M$2:$M$22222))</f>
        <v/>
      </c>
      <c r="G909" t="str">
        <f>IFERROR(IF(B909="","",SUMIF(搜索词报告!$A$2:$A$22222,总体数据一览!A909,搜索词报告!$V$2:$V$22222))+IF(B909="","",SUMIF(搜索词报告!$A$2:$A$22222,总体数据一览!A909,搜索词报告!$W$2:$W$22222)),"")</f>
        <v/>
      </c>
      <c r="H909" s="2" t="str">
        <f t="shared" si="44"/>
        <v/>
      </c>
    </row>
    <row r="910" spans="2:8" x14ac:dyDescent="0.15">
      <c r="B910" t="str">
        <f>IF(SUMIF(搜索词报告!$A$2:$A$22222,总体数据一览!A910,搜索词报告!$I$2:$I$22222)=0,"",SUMIF(搜索词报告!$A$2:$A$22222,总体数据一览!A910,搜索词报告!$I$2:$I$22222))</f>
        <v/>
      </c>
      <c r="C910" t="str">
        <f>IF(SUMIF(搜索词报告!$A$2:$A$22222,总体数据一览!A910,搜索词报告!$J$2:$J$22222)=0,"",SUMIF(搜索词报告!$A$2:$A$22222,总体数据一览!A910,搜索词报告!$J$2:$J$22222))</f>
        <v/>
      </c>
      <c r="D910" s="2" t="str">
        <f t="shared" si="42"/>
        <v/>
      </c>
      <c r="E910" t="str">
        <f t="shared" si="43"/>
        <v/>
      </c>
      <c r="F910" t="str">
        <f>IF(SUMIF(搜索词报告!$A$2:$A$22222,总体数据一览!A910,搜索词报告!$M$2:$M$22222)=0,"",SUMIF(搜索词报告!$A$2:$A$22222,总体数据一览!A910,搜索词报告!$M$2:$M$22222))</f>
        <v/>
      </c>
      <c r="G910" t="str">
        <f>IFERROR(IF(B910="","",SUMIF(搜索词报告!$A$2:$A$22222,总体数据一览!A910,搜索词报告!$V$2:$V$22222))+IF(B910="","",SUMIF(搜索词报告!$A$2:$A$22222,总体数据一览!A910,搜索词报告!$W$2:$W$22222)),"")</f>
        <v/>
      </c>
      <c r="H910" s="2" t="str">
        <f t="shared" si="44"/>
        <v/>
      </c>
    </row>
    <row r="911" spans="2:8" x14ac:dyDescent="0.15">
      <c r="B911" t="str">
        <f>IF(SUMIF(搜索词报告!$A$2:$A$22222,总体数据一览!A911,搜索词报告!$I$2:$I$22222)=0,"",SUMIF(搜索词报告!$A$2:$A$22222,总体数据一览!A911,搜索词报告!$I$2:$I$22222))</f>
        <v/>
      </c>
      <c r="C911" t="str">
        <f>IF(SUMIF(搜索词报告!$A$2:$A$22222,总体数据一览!A911,搜索词报告!$J$2:$J$22222)=0,"",SUMIF(搜索词报告!$A$2:$A$22222,总体数据一览!A911,搜索词报告!$J$2:$J$22222))</f>
        <v/>
      </c>
      <c r="D911" s="2" t="str">
        <f t="shared" si="42"/>
        <v/>
      </c>
      <c r="E911" t="str">
        <f t="shared" si="43"/>
        <v/>
      </c>
      <c r="F911" t="str">
        <f>IF(SUMIF(搜索词报告!$A$2:$A$22222,总体数据一览!A911,搜索词报告!$M$2:$M$22222)=0,"",SUMIF(搜索词报告!$A$2:$A$22222,总体数据一览!A911,搜索词报告!$M$2:$M$22222))</f>
        <v/>
      </c>
      <c r="G911" t="str">
        <f>IFERROR(IF(B911="","",SUMIF(搜索词报告!$A$2:$A$22222,总体数据一览!A911,搜索词报告!$V$2:$V$22222))+IF(B911="","",SUMIF(搜索词报告!$A$2:$A$22222,总体数据一览!A911,搜索词报告!$W$2:$W$22222)),"")</f>
        <v/>
      </c>
      <c r="H911" s="2" t="str">
        <f t="shared" si="44"/>
        <v/>
      </c>
    </row>
    <row r="912" spans="2:8" x14ac:dyDescent="0.15">
      <c r="B912" t="str">
        <f>IF(SUMIF(搜索词报告!$A$2:$A$22222,总体数据一览!A912,搜索词报告!$I$2:$I$22222)=0,"",SUMIF(搜索词报告!$A$2:$A$22222,总体数据一览!A912,搜索词报告!$I$2:$I$22222))</f>
        <v/>
      </c>
      <c r="C912" t="str">
        <f>IF(SUMIF(搜索词报告!$A$2:$A$22222,总体数据一览!A912,搜索词报告!$J$2:$J$22222)=0,"",SUMIF(搜索词报告!$A$2:$A$22222,总体数据一览!A912,搜索词报告!$J$2:$J$22222))</f>
        <v/>
      </c>
      <c r="D912" s="2" t="str">
        <f t="shared" si="42"/>
        <v/>
      </c>
      <c r="E912" t="str">
        <f t="shared" si="43"/>
        <v/>
      </c>
      <c r="F912" t="str">
        <f>IF(SUMIF(搜索词报告!$A$2:$A$22222,总体数据一览!A912,搜索词报告!$M$2:$M$22222)=0,"",SUMIF(搜索词报告!$A$2:$A$22222,总体数据一览!A912,搜索词报告!$M$2:$M$22222))</f>
        <v/>
      </c>
      <c r="G912" t="str">
        <f>IFERROR(IF(B912="","",SUMIF(搜索词报告!$A$2:$A$22222,总体数据一览!A912,搜索词报告!$V$2:$V$22222))+IF(B912="","",SUMIF(搜索词报告!$A$2:$A$22222,总体数据一览!A912,搜索词报告!$W$2:$W$22222)),"")</f>
        <v/>
      </c>
      <c r="H912" s="2" t="str">
        <f t="shared" si="44"/>
        <v/>
      </c>
    </row>
    <row r="913" spans="2:8" x14ac:dyDescent="0.15">
      <c r="B913" t="str">
        <f>IF(SUMIF(搜索词报告!$A$2:$A$22222,总体数据一览!A913,搜索词报告!$I$2:$I$22222)=0,"",SUMIF(搜索词报告!$A$2:$A$22222,总体数据一览!A913,搜索词报告!$I$2:$I$22222))</f>
        <v/>
      </c>
      <c r="C913" t="str">
        <f>IF(SUMIF(搜索词报告!$A$2:$A$22222,总体数据一览!A913,搜索词报告!$J$2:$J$22222)=0,"",SUMIF(搜索词报告!$A$2:$A$22222,总体数据一览!A913,搜索词报告!$J$2:$J$22222))</f>
        <v/>
      </c>
      <c r="D913" s="2" t="str">
        <f t="shared" si="42"/>
        <v/>
      </c>
      <c r="E913" t="str">
        <f t="shared" si="43"/>
        <v/>
      </c>
      <c r="F913" t="str">
        <f>IF(SUMIF(搜索词报告!$A$2:$A$22222,总体数据一览!A913,搜索词报告!$M$2:$M$22222)=0,"",SUMIF(搜索词报告!$A$2:$A$22222,总体数据一览!A913,搜索词报告!$M$2:$M$22222))</f>
        <v/>
      </c>
      <c r="G913" t="str">
        <f>IFERROR(IF(B913="","",SUMIF(搜索词报告!$A$2:$A$22222,总体数据一览!A913,搜索词报告!$V$2:$V$22222))+IF(B913="","",SUMIF(搜索词报告!$A$2:$A$22222,总体数据一览!A913,搜索词报告!$W$2:$W$22222)),"")</f>
        <v/>
      </c>
      <c r="H913" s="2" t="str">
        <f t="shared" si="44"/>
        <v/>
      </c>
    </row>
    <row r="914" spans="2:8" x14ac:dyDescent="0.15">
      <c r="B914" t="str">
        <f>IF(SUMIF(搜索词报告!$A$2:$A$22222,总体数据一览!A914,搜索词报告!$I$2:$I$22222)=0,"",SUMIF(搜索词报告!$A$2:$A$22222,总体数据一览!A914,搜索词报告!$I$2:$I$22222))</f>
        <v/>
      </c>
      <c r="C914" t="str">
        <f>IF(SUMIF(搜索词报告!$A$2:$A$22222,总体数据一览!A914,搜索词报告!$J$2:$J$22222)=0,"",SUMIF(搜索词报告!$A$2:$A$22222,总体数据一览!A914,搜索词报告!$J$2:$J$22222))</f>
        <v/>
      </c>
      <c r="D914" s="2" t="str">
        <f t="shared" ref="D914:D917" si="45">IFERROR(ROUND(C914/B914,4),"")</f>
        <v/>
      </c>
      <c r="E914" t="str">
        <f t="shared" ref="E914:E917" si="46">IFERROR(ROUND(F914/C914,2),"")</f>
        <v/>
      </c>
      <c r="F914" t="str">
        <f>IF(SUMIF(搜索词报告!$A$2:$A$22222,总体数据一览!A914,搜索词报告!$M$2:$M$22222)=0,"",SUMIF(搜索词报告!$A$2:$A$22222,总体数据一览!A914,搜索词报告!$M$2:$M$22222))</f>
        <v/>
      </c>
      <c r="G914" t="str">
        <f>IFERROR(IF(B914="","",SUMIF(搜索词报告!$A$2:$A$22222,总体数据一览!A914,搜索词报告!$V$2:$V$22222))+IF(B914="","",SUMIF(搜索词报告!$A$2:$A$22222,总体数据一览!A914,搜索词报告!$W$2:$W$22222)),"")</f>
        <v/>
      </c>
      <c r="H914" s="2" t="str">
        <f t="shared" ref="H914:H921" si="47">IFERROR(ROUND(F914/G914,2),"")</f>
        <v/>
      </c>
    </row>
    <row r="915" spans="2:8" x14ac:dyDescent="0.15">
      <c r="B915" t="str">
        <f>IF(SUMIF(搜索词报告!$A$2:$A$22222,总体数据一览!A915,搜索词报告!$I$2:$I$22222)=0,"",SUMIF(搜索词报告!$A$2:$A$22222,总体数据一览!A915,搜索词报告!$I$2:$I$22222))</f>
        <v/>
      </c>
      <c r="C915" t="str">
        <f>IF(SUMIF(搜索词报告!$A$2:$A$22222,总体数据一览!A915,搜索词报告!$J$2:$J$22222)=0,"",SUMIF(搜索词报告!$A$2:$A$22222,总体数据一览!A915,搜索词报告!$J$2:$J$22222))</f>
        <v/>
      </c>
      <c r="D915" s="2" t="str">
        <f t="shared" si="45"/>
        <v/>
      </c>
      <c r="E915" t="str">
        <f t="shared" si="46"/>
        <v/>
      </c>
      <c r="F915" t="str">
        <f>IF(SUMIF(搜索词报告!$A$2:$A$22222,总体数据一览!A915,搜索词报告!$M$2:$M$22222)=0,"",SUMIF(搜索词报告!$A$2:$A$22222,总体数据一览!A915,搜索词报告!$M$2:$M$22222))</f>
        <v/>
      </c>
      <c r="G915" t="str">
        <f>IFERROR(IF(B915="","",SUMIF(搜索词报告!$A$2:$A$22222,总体数据一览!A915,搜索词报告!$V$2:$V$22222))+IF(B915="","",SUMIF(搜索词报告!$A$2:$A$22222,总体数据一览!A915,搜索词报告!$W$2:$W$22222)),"")</f>
        <v/>
      </c>
      <c r="H915" s="2" t="str">
        <f t="shared" si="47"/>
        <v/>
      </c>
    </row>
    <row r="916" spans="2:8" x14ac:dyDescent="0.15">
      <c r="B916" t="str">
        <f>IF(SUMIF(搜索词报告!$A$2:$A$22222,总体数据一览!A916,搜索词报告!$I$2:$I$22222)=0,"",SUMIF(搜索词报告!$A$2:$A$22222,总体数据一览!A916,搜索词报告!$I$2:$I$22222))</f>
        <v/>
      </c>
      <c r="C916" t="str">
        <f>IF(SUMIF(搜索词报告!$A$2:$A$22222,总体数据一览!A916,搜索词报告!$J$2:$J$22222)=0,"",SUMIF(搜索词报告!$A$2:$A$22222,总体数据一览!A916,搜索词报告!$J$2:$J$22222))</f>
        <v/>
      </c>
      <c r="D916" s="2" t="str">
        <f t="shared" si="45"/>
        <v/>
      </c>
      <c r="E916" t="str">
        <f t="shared" si="46"/>
        <v/>
      </c>
      <c r="F916" t="str">
        <f>IF(SUMIF(搜索词报告!$A$2:$A$22222,总体数据一览!A916,搜索词报告!$M$2:$M$22222)=0,"",SUMIF(搜索词报告!$A$2:$A$22222,总体数据一览!A916,搜索词报告!$M$2:$M$22222))</f>
        <v/>
      </c>
      <c r="G916" t="str">
        <f>IFERROR(IF(B916="","",SUMIF(搜索词报告!$A$2:$A$22222,总体数据一览!A916,搜索词报告!$V$2:$V$22222))+IF(B916="","",SUMIF(搜索词报告!$A$2:$A$22222,总体数据一览!A916,搜索词报告!$W$2:$W$22222)),"")</f>
        <v/>
      </c>
      <c r="H916" s="2" t="str">
        <f t="shared" si="47"/>
        <v/>
      </c>
    </row>
    <row r="917" spans="2:8" x14ac:dyDescent="0.15">
      <c r="B917" t="str">
        <f>IF(SUMIF(搜索词报告!$A$2:$A$22222,总体数据一览!A917,搜索词报告!$I$2:$I$22222)=0,"",SUMIF(搜索词报告!$A$2:$A$22222,总体数据一览!A917,搜索词报告!$I$2:$I$22222))</f>
        <v/>
      </c>
      <c r="C917" t="str">
        <f>IF(SUMIF(搜索词报告!$A$2:$A$22222,总体数据一览!A917,搜索词报告!$J$2:$J$22222)=0,"",SUMIF(搜索词报告!$A$2:$A$22222,总体数据一览!A917,搜索词报告!$J$2:$J$22222))</f>
        <v/>
      </c>
      <c r="D917" s="2" t="str">
        <f t="shared" si="45"/>
        <v/>
      </c>
      <c r="E917" t="str">
        <f t="shared" si="46"/>
        <v/>
      </c>
      <c r="F917" t="str">
        <f>IF(SUMIF(搜索词报告!$A$2:$A$22222,总体数据一览!A917,搜索词报告!$M$2:$M$22222)=0,"",SUMIF(搜索词报告!$A$2:$A$22222,总体数据一览!A917,搜索词报告!$M$2:$M$22222))</f>
        <v/>
      </c>
      <c r="G917" t="str">
        <f>IFERROR(IF(B917="","",SUMIF(搜索词报告!$A$2:$A$22222,总体数据一览!A917,搜索词报告!$V$2:$V$22222))+IF(B917="","",SUMIF(搜索词报告!$A$2:$A$22222,总体数据一览!A917,搜索词报告!$W$2:$W$22222)),"")</f>
        <v/>
      </c>
      <c r="H917" s="2" t="str">
        <f t="shared" si="47"/>
        <v/>
      </c>
    </row>
    <row r="918" spans="2:8" x14ac:dyDescent="0.15">
      <c r="B918" t="str">
        <f>IF(SUMIF(搜索词报告!$A$2:$A$22222,总体数据一览!A918,搜索词报告!$I$2:$I$22222)=0,"",SUMIF(搜索词报告!$A$2:$A$22222,总体数据一览!A918,搜索词报告!$I$2:$I$22222))</f>
        <v/>
      </c>
      <c r="C918" t="str">
        <f>IF(SUMIF(搜索词报告!$A$2:$A$22222,总体数据一览!A918,搜索词报告!$J$2:$J$22222)=0,"",SUMIF(搜索词报告!$A$2:$A$22222,总体数据一览!A918,搜索词报告!$J$2:$J$22222))</f>
        <v/>
      </c>
      <c r="D918" s="2" t="str">
        <f t="shared" ref="D918:D921" si="48">IFERROR(ROUND(C918/B918,4),"")</f>
        <v/>
      </c>
      <c r="E918" t="str">
        <f t="shared" ref="E918:E921" si="49">IFERROR(ROUND(F918/C918,2),"")</f>
        <v/>
      </c>
      <c r="F918" t="str">
        <f>IF(SUMIF(搜索词报告!$A$2:$A$22222,总体数据一览!A918,搜索词报告!$M$2:$M$22222)=0,"",SUMIF(搜索词报告!$A$2:$A$22222,总体数据一览!A918,搜索词报告!$M$2:$M$22222))</f>
        <v/>
      </c>
      <c r="G918" t="str">
        <f>IFERROR(IF(B918="","",SUMIF(搜索词报告!$A$2:$A$22222,总体数据一览!A918,搜索词报告!$V$2:$V$22222))+IF(B918="","",SUMIF(搜索词报告!$A$2:$A$22222,总体数据一览!A918,搜索词报告!$W$2:$W$22222)),"")</f>
        <v/>
      </c>
      <c r="H918" s="2" t="str">
        <f t="shared" si="47"/>
        <v/>
      </c>
    </row>
    <row r="919" spans="2:8" x14ac:dyDescent="0.15">
      <c r="B919" t="str">
        <f>IF(SUMIF(搜索词报告!$A$2:$A$22222,总体数据一览!A919,搜索词报告!$I$2:$I$22222)=0,"",SUMIF(搜索词报告!$A$2:$A$22222,总体数据一览!A919,搜索词报告!$I$2:$I$22222))</f>
        <v/>
      </c>
      <c r="C919" t="str">
        <f>IF(SUMIF(搜索词报告!$A$2:$A$22222,总体数据一览!A919,搜索词报告!$J$2:$J$22222)=0,"",SUMIF(搜索词报告!$A$2:$A$22222,总体数据一览!A919,搜索词报告!$J$2:$J$22222))</f>
        <v/>
      </c>
      <c r="D919" s="2" t="str">
        <f t="shared" si="48"/>
        <v/>
      </c>
      <c r="E919" t="str">
        <f t="shared" si="49"/>
        <v/>
      </c>
      <c r="F919" t="str">
        <f>IF(SUMIF(搜索词报告!$A$2:$A$22222,总体数据一览!A919,搜索词报告!$M$2:$M$22222)=0,"",SUMIF(搜索词报告!$A$2:$A$22222,总体数据一览!A919,搜索词报告!$M$2:$M$22222))</f>
        <v/>
      </c>
      <c r="G919" t="str">
        <f>IFERROR(IF(B919="","",SUMIF(搜索词报告!$A$2:$A$22222,总体数据一览!A919,搜索词报告!$V$2:$V$22222))+IF(B919="","",SUMIF(搜索词报告!$A$2:$A$22222,总体数据一览!A919,搜索词报告!$W$2:$W$22222)),"")</f>
        <v/>
      </c>
      <c r="H919" s="2" t="str">
        <f t="shared" si="47"/>
        <v/>
      </c>
    </row>
    <row r="920" spans="2:8" x14ac:dyDescent="0.15">
      <c r="B920" t="str">
        <f>IF(SUMIF(搜索词报告!$A$2:$A$22222,总体数据一览!A920,搜索词报告!$I$2:$I$22222)=0,"",SUMIF(搜索词报告!$A$2:$A$22222,总体数据一览!A920,搜索词报告!$I$2:$I$22222))</f>
        <v/>
      </c>
      <c r="C920" t="str">
        <f>IF(SUMIF(搜索词报告!$A$2:$A$22222,总体数据一览!A920,搜索词报告!$J$2:$J$22222)=0,"",SUMIF(搜索词报告!$A$2:$A$22222,总体数据一览!A920,搜索词报告!$J$2:$J$22222))</f>
        <v/>
      </c>
      <c r="D920" s="2" t="str">
        <f t="shared" si="48"/>
        <v/>
      </c>
      <c r="E920" t="str">
        <f t="shared" si="49"/>
        <v/>
      </c>
      <c r="F920" t="str">
        <f>IF(SUMIF(搜索词报告!$A$2:$A$22222,总体数据一览!A920,搜索词报告!$M$2:$M$22222)=0,"",SUMIF(搜索词报告!$A$2:$A$22222,总体数据一览!A920,搜索词报告!$M$2:$M$22222))</f>
        <v/>
      </c>
      <c r="G920" t="str">
        <f>IFERROR(IF(B920="","",SUMIF(搜索词报告!$A$2:$A$22222,总体数据一览!A920,搜索词报告!$V$2:$V$22222))+IF(B920="","",SUMIF(搜索词报告!$A$2:$A$22222,总体数据一览!A920,搜索词报告!$W$2:$W$22222)),"")</f>
        <v/>
      </c>
      <c r="H920" s="2" t="str">
        <f t="shared" si="47"/>
        <v/>
      </c>
    </row>
    <row r="921" spans="2:8" x14ac:dyDescent="0.15">
      <c r="B921" t="str">
        <f>IF(SUMIF(搜索词报告!$A$2:$A$22222,总体数据一览!A921,搜索词报告!$I$2:$I$22222)=0,"",SUMIF(搜索词报告!$A$2:$A$22222,总体数据一览!A921,搜索词报告!$I$2:$I$22222))</f>
        <v/>
      </c>
      <c r="C921" t="str">
        <f>IF(SUMIF(搜索词报告!$A$2:$A$22222,总体数据一览!A921,搜索词报告!$J$2:$J$22222)=0,"",SUMIF(搜索词报告!$A$2:$A$22222,总体数据一览!A921,搜索词报告!$J$2:$J$22222))</f>
        <v/>
      </c>
      <c r="D921" s="2" t="str">
        <f t="shared" si="48"/>
        <v/>
      </c>
      <c r="E921" t="str">
        <f t="shared" si="49"/>
        <v/>
      </c>
      <c r="F921" t="str">
        <f>IF(SUMIF(搜索词报告!$A$2:$A$22222,总体数据一览!A921,搜索词报告!$M$2:$M$22222)=0,"",SUMIF(搜索词报告!$A$2:$A$22222,总体数据一览!A921,搜索词报告!$M$2:$M$22222))</f>
        <v/>
      </c>
      <c r="G921" t="str">
        <f>IFERROR(IF(B921="","",SUMIF(搜索词报告!$A$2:$A$22222,总体数据一览!A921,搜索词报告!$V$2:$V$22222))+IF(B921="","",SUMIF(搜索词报告!$A$2:$A$22222,总体数据一览!A921,搜索词报告!$W$2:$W$22222)),"")</f>
        <v/>
      </c>
      <c r="H921" s="2" t="str">
        <f t="shared" si="47"/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41"/>
  <sheetViews>
    <sheetView workbookViewId="0">
      <selection activeCell="A12" sqref="A12"/>
    </sheetView>
  </sheetViews>
  <sheetFormatPr defaultRowHeight="13.5" x14ac:dyDescent="0.15"/>
  <cols>
    <col min="1" max="1" width="54.625" customWidth="1"/>
    <col min="2" max="3" width="17.125" customWidth="1"/>
    <col min="4" max="5" width="17.125" style="2" customWidth="1"/>
    <col min="6" max="8" width="17.125" customWidth="1"/>
    <col min="9" max="9" width="17.125" style="2" customWidth="1"/>
    <col min="10" max="10" width="27.25" customWidth="1"/>
    <col min="11" max="11" width="27.625" style="4" customWidth="1"/>
    <col min="12" max="12" width="39.5" customWidth="1"/>
    <col min="13" max="20" width="24.75" customWidth="1"/>
    <col min="21" max="21" width="25.25" customWidth="1"/>
    <col min="22" max="22" width="29.25" style="4" customWidth="1"/>
  </cols>
  <sheetData>
    <row r="1" spans="1:22" x14ac:dyDescent="0.15">
      <c r="A1" s="3" t="s">
        <v>12</v>
      </c>
      <c r="L1" s="3" t="s">
        <v>12</v>
      </c>
    </row>
    <row r="2" spans="1:22" x14ac:dyDescent="0.15">
      <c r="A2" s="1">
        <v>43770</v>
      </c>
      <c r="L2" s="1">
        <v>43770</v>
      </c>
    </row>
    <row r="3" spans="1:22" x14ac:dyDescent="0.15">
      <c r="A3" s="3" t="s">
        <v>13</v>
      </c>
      <c r="L3" s="3" t="s">
        <v>13</v>
      </c>
    </row>
    <row r="4" spans="1:22" x14ac:dyDescent="0.15">
      <c r="A4" s="1">
        <v>43802</v>
      </c>
      <c r="L4" s="1">
        <v>43802</v>
      </c>
    </row>
    <row r="5" spans="1:22" x14ac:dyDescent="0.15">
      <c r="A5" s="3" t="s">
        <v>14</v>
      </c>
      <c r="B5" s="3" t="s">
        <v>4</v>
      </c>
      <c r="C5" s="3" t="s">
        <v>9</v>
      </c>
      <c r="D5" s="5" t="s">
        <v>10</v>
      </c>
      <c r="E5" s="5" t="s">
        <v>11</v>
      </c>
      <c r="F5" s="3" t="s">
        <v>19</v>
      </c>
      <c r="G5" s="3" t="s">
        <v>15</v>
      </c>
      <c r="H5" s="3" t="s">
        <v>16</v>
      </c>
      <c r="I5" s="5" t="s">
        <v>17</v>
      </c>
      <c r="J5" s="3" t="s">
        <v>18</v>
      </c>
      <c r="K5" s="4" t="s">
        <v>20</v>
      </c>
      <c r="L5" s="3" t="s">
        <v>14</v>
      </c>
      <c r="M5" s="3" t="s">
        <v>4</v>
      </c>
      <c r="N5" s="3" t="s">
        <v>9</v>
      </c>
      <c r="O5" s="3" t="s">
        <v>10</v>
      </c>
      <c r="P5" s="3" t="s">
        <v>11</v>
      </c>
      <c r="Q5" s="3" t="s">
        <v>19</v>
      </c>
      <c r="R5" s="3" t="s">
        <v>15</v>
      </c>
      <c r="S5" s="3" t="s">
        <v>16</v>
      </c>
      <c r="T5" s="3" t="s">
        <v>17</v>
      </c>
      <c r="U5" s="3" t="s">
        <v>18</v>
      </c>
      <c r="V5" s="4" t="s">
        <v>20</v>
      </c>
    </row>
    <row r="6" spans="1:22" x14ac:dyDescent="0.15">
      <c r="B6">
        <f t="array" ref="B6">SUM(IF(搜索词报告!$H$2:$H$22222=A6,IF(搜索词报告!$A$2:$A$22222&gt;=关键词词频统计!$A$2,IF(搜索词报告!$A$2:$A$22222&lt;=关键词词频统计!$A$4,搜索词报告!$I$2:$I$22222,0),0),0))</f>
        <v>0</v>
      </c>
      <c r="C6">
        <f t="array" ref="C6">SUM(IF(搜索词报告!$H$2:$H$22222=A6,IF(搜索词报告!$A$2:$A$22222&gt;=关键词词频统计!$A$2,IF(搜索词报告!$A$2:$A$22222&lt;=关键词词频统计!$A$4,搜索词报告!$J$2:$J$22222,0),0),0))</f>
        <v>0</v>
      </c>
      <c r="D6" s="2">
        <f>IFERROR(C6/B6,0)</f>
        <v>0</v>
      </c>
      <c r="E6" s="2">
        <f>IFERROR(F6/C6,0)</f>
        <v>0</v>
      </c>
      <c r="F6">
        <f t="array" ref="F6">SUM(IF(搜索词报告!$H$2:$H$22222=A6,IF(搜索词报告!$A$2:$A$22222&gt;=关键词词频统计!$A$2,IF(搜索词报告!$A$2:$A$22222&lt;=关键词词频统计!$A$4,搜索词报告!$Q$2:$Q$22222,0),0),0))</f>
        <v>0</v>
      </c>
      <c r="G6">
        <f t="array" ref="G6">SUM(IF(搜索词报告!$H$2:$H$22222=A6,IF(搜索词报告!$A$2:$A$22222&gt;=关键词词频统计!$A$2,IF(搜索词报告!$A$2:$A$22222&lt;=关键词词频统计!$A$4,搜索词报告!$N$2:$N$22222,0),0),0))</f>
        <v>0</v>
      </c>
      <c r="H6">
        <f t="array" ref="H6">SUM(IF(搜索词报告!$H$2:$H$22222=A6,IF(搜索词报告!$A$2:$A$22222&gt;=关键词词频统计!$A$2,IF(搜索词报告!$A$2:$A$22222&lt;=关键词词频统计!$A$4,搜索词报告!$M$2:$M$22222,0),0),0))</f>
        <v>0</v>
      </c>
      <c r="I6" s="2" t="str">
        <f>IF(IFERROR(H6/G6,0)=0,"",IFERROR(H6/G6,0))</f>
        <v/>
      </c>
      <c r="J6" t="str">
        <f>IF(AND(C6&gt;=10,E6&lt;=0.05),"极差",IF(AND(C6&gt;=10,0.05&lt;E6,E6&lt;=0.1),"差",IF(AND(C6&gt;=10,0.1&lt;E6,E6&lt;=0.15),"良",IF(AND(C6&gt;=10,E6&gt;0.15),"优","点击次数少于10次没有参考性"))))</f>
        <v>点击次数少于10次没有参考性</v>
      </c>
      <c r="K6" s="4" t="str">
        <f>IFERROR(INDEX(搜索词报告!$D$2:$D$22222,MATCH(关键词词频统计!A6,搜索词报告!$H$2:$H$22222,0)),"")</f>
        <v/>
      </c>
      <c r="M6">
        <f t="array" ref="M6">SUM(IF(搜索词报告!$H$2:$H$22222=L6,IF(搜索词报告!$A$2:$A$22222&gt;=$L$2,IF(搜索词报告!$A$2:$A$22222&lt;=$L$4,搜索词报告!$I$2:$I$22222,0),0),0))</f>
        <v>0</v>
      </c>
      <c r="N6">
        <f t="array" ref="N6">SUM(IF(搜索词报告!$H$2:$H$22222=L6,IF(搜索词报告!$A$2:$A$22222&gt;=$L$2,IF(搜索词报告!$A$2:$A$22222&lt;=$L$4,搜索词报告!$J$2:$J$22222,0),0),0))</f>
        <v>0</v>
      </c>
      <c r="O6" s="2">
        <f>IFERROR(N6/M6,0)</f>
        <v>0</v>
      </c>
      <c r="P6" s="2">
        <f>IFERROR(Q6/N6,0)</f>
        <v>0</v>
      </c>
      <c r="Q6">
        <f t="array" ref="Q6">SUM(IF(搜索词报告!$H$2:$H$22222=L6,IF(搜索词报告!$A$2:$A$22222&gt;=$L$2,IF(搜索词报告!$A$2:$A$22222&lt;=$L$4,搜索词报告!$Q$2:$Q$22222,0),0),0))</f>
        <v>0</v>
      </c>
      <c r="R6">
        <f t="array" ref="R6">SUM(IF(搜索词报告!$H$2:$H$22222=L6,IF(搜索词报告!$A$2:$A$22222&gt;=$L$2,IF(搜索词报告!$A$2:$A$22222&lt;=$L$4,搜索词报告!$N$2:$N$22222,0),0),0))</f>
        <v>0</v>
      </c>
      <c r="S6">
        <f t="array" ref="S6">SUM(IF(搜索词报告!$H$2:$H$22222=L6,IF(搜索词报告!$A$2:$A$22222&gt;=$L$2,IF(搜索词报告!$A$2:$A$22222&lt;=$L$4,搜索词报告!$M$2:$M$22222,0),0),0))</f>
        <v>0</v>
      </c>
      <c r="T6" s="2" t="str">
        <f>IF(IFERROR(S6/R6,0)=0,"",IFERROR(S6/R6,0))</f>
        <v/>
      </c>
      <c r="U6" t="str">
        <f>IF(AND(N6&gt;=10,P6&lt;=0.05),"极差",IF(AND(N6&gt;=10,0.05&lt;P6,P6&lt;=0.1),"差",IF(AND(N6&gt;=10,0.1&lt;P6,P6&lt;=0.15),"良",IF(AND(N6&gt;=10,P6&gt;0.15),"优","点击次数少于10次没有参考性"))))</f>
        <v>点击次数少于10次没有参考性</v>
      </c>
      <c r="V6" s="4" t="str">
        <f>IFERROR(INDEX(搜索词报告!$D$2:$D$22222,MATCH(关键词词频统计!L6,搜索词报告!$H$2:$H$22222,0)),"")</f>
        <v/>
      </c>
    </row>
    <row r="7" spans="1:22" x14ac:dyDescent="0.15">
      <c r="B7">
        <f t="array" ref="B7">SUM(IF(搜索词报告!$H$2:$H$22222=A7,IF(搜索词报告!$A$2:$A$22222&gt;=关键词词频统计!$A$2,IF(搜索词报告!$A$2:$A$22222&lt;=关键词词频统计!$A$4,搜索词报告!$I$2:$I$22222,0),0),0))</f>
        <v>0</v>
      </c>
      <c r="C7">
        <f t="array" ref="C7">SUM(IF(搜索词报告!$H$2:$H$22222=A7,IF(搜索词报告!$A$2:$A$22222&gt;=关键词词频统计!$A$2,IF(搜索词报告!$A$2:$A$22222&lt;=关键词词频统计!$A$4,搜索词报告!$J$2:$J$22222,0),0),0))</f>
        <v>0</v>
      </c>
      <c r="D7" s="2">
        <f t="shared" ref="D7:D70" si="0">IFERROR(C7/B7,0)</f>
        <v>0</v>
      </c>
      <c r="E7" s="2">
        <f t="shared" ref="E7:E70" si="1">IFERROR(F7/C7,0)</f>
        <v>0</v>
      </c>
      <c r="F7">
        <f t="array" ref="F7">SUM(IF(搜索词报告!$H$2:$H$22222=A7,IF(搜索词报告!$A$2:$A$22222&gt;=关键词词频统计!$A$2,IF(搜索词报告!$A$2:$A$22222&lt;=关键词词频统计!$A$4,搜索词报告!$Q$2:$Q$22222,0),0),0))</f>
        <v>0</v>
      </c>
      <c r="G7">
        <f t="array" ref="G7">SUM(IF(搜索词报告!$H$2:$H$22222=A7,IF(搜索词报告!$A$2:$A$22222&gt;=关键词词频统计!$A$2,IF(搜索词报告!$A$2:$A$22222&lt;=关键词词频统计!$A$4,搜索词报告!$N$2:$N$22222,0),0),0))</f>
        <v>0</v>
      </c>
      <c r="H7">
        <f t="array" ref="H7">SUM(IF(搜索词报告!$H$2:$H$22222=A7,IF(搜索词报告!$A$2:$A$22222&gt;=关键词词频统计!$A$2,IF(搜索词报告!$A$2:$A$22222&lt;=关键词词频统计!$A$4,搜索词报告!$M$2:$M$22222,0),0),0))</f>
        <v>0</v>
      </c>
      <c r="I7" s="2" t="str">
        <f t="shared" ref="I7:I70" si="2">IF(IFERROR(H7/G7,0)=0,"",IFERROR(H7/G7,0))</f>
        <v/>
      </c>
      <c r="J7" t="str">
        <f t="shared" ref="J7:J70" si="3">IF(AND(C7&gt;=10,E7&lt;=0.05),"极差",IF(AND(C7&gt;=10,0.05&lt;E7,E7&lt;=0.1),"差",IF(AND(C7&gt;=10,0.1&lt;E7,E7&lt;=0.15),"良",IF(AND(C7&gt;=10,E7&gt;0.15),"优","点击次数少于10次没有参考性"))))</f>
        <v>点击次数少于10次没有参考性</v>
      </c>
      <c r="K7" s="4" t="str">
        <f>IFERROR(INDEX(搜索词报告!$D$2:$D$22222,MATCH(关键词词频统计!A7,搜索词报告!$H$2:$H$22222,0)),"")</f>
        <v/>
      </c>
      <c r="M7">
        <f t="array" ref="M7">SUM(IF(搜索词报告!$H$2:$H$22222=L7,IF(搜索词报告!$A$2:$A$22222&gt;=$L$2,IF(搜索词报告!$A$2:$A$22222&lt;=$L$4,搜索词报告!$I$2:$I$22222,0),0),0))</f>
        <v>0</v>
      </c>
      <c r="N7">
        <f t="array" ref="N7">SUM(IF(搜索词报告!$H$2:$H$22222=L7,IF(搜索词报告!$A$2:$A$22222&gt;=$L$2,IF(搜索词报告!$A$2:$A$22222&lt;=$L$4,搜索词报告!$J$2:$J$22222,0),0),0))</f>
        <v>0</v>
      </c>
      <c r="O7" s="2">
        <f t="shared" ref="O7:O70" si="4">IFERROR(N7/M7,0)</f>
        <v>0</v>
      </c>
      <c r="P7" s="2">
        <f t="shared" ref="P7:P70" si="5">IFERROR(Q7/N7,0)</f>
        <v>0</v>
      </c>
      <c r="Q7">
        <f t="array" ref="Q7">SUM(IF(搜索词报告!$H$2:$H$22222=L7,IF(搜索词报告!$A$2:$A$22222&gt;=$L$2,IF(搜索词报告!$A$2:$A$22222&lt;=$L$4,搜索词报告!$Q$2:$Q$22222,0),0),0))</f>
        <v>0</v>
      </c>
      <c r="R7">
        <f t="array" ref="R7">SUM(IF(搜索词报告!$H$2:$H$22222=L7,IF(搜索词报告!$A$2:$A$22222&gt;=$L$2,IF(搜索词报告!$A$2:$A$22222&lt;=$L$4,搜索词报告!$N$2:$N$22222,0),0),0))</f>
        <v>0</v>
      </c>
      <c r="S7">
        <f t="array" ref="S7">SUM(IF(搜索词报告!$H$2:$H$22222=L7,IF(搜索词报告!$A$2:$A$22222&gt;=$L$2,IF(搜索词报告!$A$2:$A$22222&lt;=$L$4,搜索词报告!$M$2:$M$22222,0),0),0))</f>
        <v>0</v>
      </c>
      <c r="T7" s="2" t="str">
        <f t="shared" ref="T7:T70" si="6">IF(IFERROR(S7/R7,0)=0,"",IFERROR(S7/R7,0))</f>
        <v/>
      </c>
      <c r="U7" t="str">
        <f t="shared" ref="U7:U70" si="7">IF(AND(N7&gt;=10,P7&lt;=0.05),"极差",IF(AND(N7&gt;=10,0.05&lt;P7,P7&lt;=0.1),"差",IF(AND(N7&gt;=10,0.1&lt;P7,P7&lt;=0.15),"良",IF(AND(N7&gt;=10,P7&gt;0.15),"优","点击次数少于10次没有参考性"))))</f>
        <v>点击次数少于10次没有参考性</v>
      </c>
      <c r="V7" s="4" t="str">
        <f>IFERROR(INDEX(搜索词报告!$D$2:$D$22222,MATCH(关键词词频统计!L7,搜索词报告!$H$2:$H$22222,0)),"")</f>
        <v/>
      </c>
    </row>
    <row r="8" spans="1:22" x14ac:dyDescent="0.15">
      <c r="B8">
        <f t="array" ref="B8">SUM(IF(搜索词报告!$H$2:$H$22222=A8,IF(搜索词报告!$A$2:$A$22222&gt;=关键词词频统计!$A$2,IF(搜索词报告!$A$2:$A$22222&lt;=关键词词频统计!$A$4,搜索词报告!$I$2:$I$22222,0),0),0))</f>
        <v>0</v>
      </c>
      <c r="C8">
        <f t="array" ref="C8">SUM(IF(搜索词报告!$H$2:$H$22222=A8,IF(搜索词报告!$A$2:$A$22222&gt;=关键词词频统计!$A$2,IF(搜索词报告!$A$2:$A$22222&lt;=关键词词频统计!$A$4,搜索词报告!$J$2:$J$22222,0),0),0))</f>
        <v>0</v>
      </c>
      <c r="D8" s="2">
        <f t="shared" si="0"/>
        <v>0</v>
      </c>
      <c r="E8" s="2">
        <f t="shared" si="1"/>
        <v>0</v>
      </c>
      <c r="F8">
        <f t="array" ref="F8">SUM(IF(搜索词报告!$H$2:$H$22222=A8,IF(搜索词报告!$A$2:$A$22222&gt;=关键词词频统计!$A$2,IF(搜索词报告!$A$2:$A$22222&lt;=关键词词频统计!$A$4,搜索词报告!$Q$2:$Q$22222,0),0),0))</f>
        <v>0</v>
      </c>
      <c r="G8">
        <f t="array" ref="G8">SUM(IF(搜索词报告!$H$2:$H$22222=A8,IF(搜索词报告!$A$2:$A$22222&gt;=关键词词频统计!$A$2,IF(搜索词报告!$A$2:$A$22222&lt;=关键词词频统计!$A$4,搜索词报告!$N$2:$N$22222,0),0),0))</f>
        <v>0</v>
      </c>
      <c r="H8">
        <f t="array" ref="H8">SUM(IF(搜索词报告!$H$2:$H$22222=A8,IF(搜索词报告!$A$2:$A$22222&gt;=关键词词频统计!$A$2,IF(搜索词报告!$A$2:$A$22222&lt;=关键词词频统计!$A$4,搜索词报告!$M$2:$M$22222,0),0),0))</f>
        <v>0</v>
      </c>
      <c r="I8" s="2" t="str">
        <f t="shared" si="2"/>
        <v/>
      </c>
      <c r="J8" t="str">
        <f t="shared" si="3"/>
        <v>点击次数少于10次没有参考性</v>
      </c>
      <c r="K8" s="4" t="str">
        <f>IFERROR(INDEX(搜索词报告!$D$2:$D$22222,MATCH(关键词词频统计!A8,搜索词报告!$H$2:$H$22222,0)),"")</f>
        <v/>
      </c>
      <c r="M8">
        <f t="array" ref="M8">SUM(IF(搜索词报告!$H$2:$H$22222=L8,IF(搜索词报告!$A$2:$A$22222&gt;=$L$2,IF(搜索词报告!$A$2:$A$22222&lt;=$L$4,搜索词报告!$I$2:$I$22222,0),0),0))</f>
        <v>0</v>
      </c>
      <c r="N8">
        <f t="array" ref="N8">SUM(IF(搜索词报告!$H$2:$H$22222=L8,IF(搜索词报告!$A$2:$A$22222&gt;=$L$2,IF(搜索词报告!$A$2:$A$22222&lt;=$L$4,搜索词报告!$J$2:$J$22222,0),0),0))</f>
        <v>0</v>
      </c>
      <c r="O8" s="2">
        <f t="shared" si="4"/>
        <v>0</v>
      </c>
      <c r="P8" s="2">
        <f t="shared" si="5"/>
        <v>0</v>
      </c>
      <c r="Q8">
        <f t="array" ref="Q8">SUM(IF(搜索词报告!$H$2:$H$22222=L8,IF(搜索词报告!$A$2:$A$22222&gt;=$L$2,IF(搜索词报告!$A$2:$A$22222&lt;=$L$4,搜索词报告!$Q$2:$Q$22222,0),0),0))</f>
        <v>0</v>
      </c>
      <c r="R8">
        <f t="array" ref="R8">SUM(IF(搜索词报告!$H$2:$H$22222=L8,IF(搜索词报告!$A$2:$A$22222&gt;=$L$2,IF(搜索词报告!$A$2:$A$22222&lt;=$L$4,搜索词报告!$N$2:$N$22222,0),0),0))</f>
        <v>0</v>
      </c>
      <c r="S8">
        <f t="array" ref="S8">SUM(IF(搜索词报告!$H$2:$H$22222=L8,IF(搜索词报告!$A$2:$A$22222&gt;=$L$2,IF(搜索词报告!$A$2:$A$22222&lt;=$L$4,搜索词报告!$M$2:$M$22222,0),0),0))</f>
        <v>0</v>
      </c>
      <c r="T8" s="2" t="str">
        <f t="shared" si="6"/>
        <v/>
      </c>
      <c r="U8" t="str">
        <f t="shared" si="7"/>
        <v>点击次数少于10次没有参考性</v>
      </c>
      <c r="V8" s="4" t="str">
        <f>IFERROR(INDEX(搜索词报告!$D$2:$D$22222,MATCH(关键词词频统计!L8,搜索词报告!$H$2:$H$22222,0)),"")</f>
        <v/>
      </c>
    </row>
    <row r="9" spans="1:22" x14ac:dyDescent="0.15">
      <c r="B9">
        <f t="array" ref="B9">SUM(IF(搜索词报告!$H$2:$H$22222=A9,IF(搜索词报告!$A$2:$A$22222&gt;=关键词词频统计!$A$2,IF(搜索词报告!$A$2:$A$22222&lt;=关键词词频统计!$A$4,搜索词报告!$I$2:$I$22222,0),0),0))</f>
        <v>0</v>
      </c>
      <c r="C9">
        <f t="array" ref="C9">SUM(IF(搜索词报告!$H$2:$H$22222=A9,IF(搜索词报告!$A$2:$A$22222&gt;=关键词词频统计!$A$2,IF(搜索词报告!$A$2:$A$22222&lt;=关键词词频统计!$A$4,搜索词报告!$J$2:$J$22222,0),0),0))</f>
        <v>0</v>
      </c>
      <c r="D9" s="2">
        <f t="shared" si="0"/>
        <v>0</v>
      </c>
      <c r="E9" s="2">
        <f t="shared" si="1"/>
        <v>0</v>
      </c>
      <c r="F9">
        <f t="array" ref="F9">SUM(IF(搜索词报告!$H$2:$H$22222=A9,IF(搜索词报告!$A$2:$A$22222&gt;=关键词词频统计!$A$2,IF(搜索词报告!$A$2:$A$22222&lt;=关键词词频统计!$A$4,搜索词报告!$Q$2:$Q$22222,0),0),0))</f>
        <v>0</v>
      </c>
      <c r="G9">
        <f t="array" ref="G9">SUM(IF(搜索词报告!$H$2:$H$22222=A9,IF(搜索词报告!$A$2:$A$22222&gt;=关键词词频统计!$A$2,IF(搜索词报告!$A$2:$A$22222&lt;=关键词词频统计!$A$4,搜索词报告!$N$2:$N$22222,0),0),0))</f>
        <v>0</v>
      </c>
      <c r="H9">
        <f t="array" ref="H9">SUM(IF(搜索词报告!$H$2:$H$22222=A9,IF(搜索词报告!$A$2:$A$22222&gt;=关键词词频统计!$A$2,IF(搜索词报告!$A$2:$A$22222&lt;=关键词词频统计!$A$4,搜索词报告!$M$2:$M$22222,0),0),0))</f>
        <v>0</v>
      </c>
      <c r="I9" s="2" t="str">
        <f t="shared" si="2"/>
        <v/>
      </c>
      <c r="J9" t="str">
        <f t="shared" si="3"/>
        <v>点击次数少于10次没有参考性</v>
      </c>
      <c r="K9" s="4" t="str">
        <f>IFERROR(INDEX(搜索词报告!$D$2:$D$22222,MATCH(关键词词频统计!A9,搜索词报告!$H$2:$H$22222,0)),"")</f>
        <v/>
      </c>
      <c r="M9">
        <f t="array" ref="M9">SUM(IF(搜索词报告!$H$2:$H$22222=L9,IF(搜索词报告!$A$2:$A$22222&gt;=$L$2,IF(搜索词报告!$A$2:$A$22222&lt;=$L$4,搜索词报告!$I$2:$I$22222,0),0),0))</f>
        <v>0</v>
      </c>
      <c r="N9">
        <f t="array" ref="N9">SUM(IF(搜索词报告!$H$2:$H$22222=L9,IF(搜索词报告!$A$2:$A$22222&gt;=$L$2,IF(搜索词报告!$A$2:$A$22222&lt;=$L$4,搜索词报告!$J$2:$J$22222,0),0),0))</f>
        <v>0</v>
      </c>
      <c r="O9" s="2">
        <f t="shared" si="4"/>
        <v>0</v>
      </c>
      <c r="P9" s="2">
        <f t="shared" si="5"/>
        <v>0</v>
      </c>
      <c r="Q9">
        <f t="array" ref="Q9">SUM(IF(搜索词报告!$H$2:$H$22222=L9,IF(搜索词报告!$A$2:$A$22222&gt;=$L$2,IF(搜索词报告!$A$2:$A$22222&lt;=$L$4,搜索词报告!$Q$2:$Q$22222,0),0),0))</f>
        <v>0</v>
      </c>
      <c r="R9">
        <f t="array" ref="R9">SUM(IF(搜索词报告!$H$2:$H$22222=L9,IF(搜索词报告!$A$2:$A$22222&gt;=$L$2,IF(搜索词报告!$A$2:$A$22222&lt;=$L$4,搜索词报告!$N$2:$N$22222,0),0),0))</f>
        <v>0</v>
      </c>
      <c r="S9">
        <f t="array" ref="S9">SUM(IF(搜索词报告!$H$2:$H$22222=L9,IF(搜索词报告!$A$2:$A$22222&gt;=$L$2,IF(搜索词报告!$A$2:$A$22222&lt;=$L$4,搜索词报告!$M$2:$M$22222,0),0),0))</f>
        <v>0</v>
      </c>
      <c r="T9" s="2" t="str">
        <f t="shared" si="6"/>
        <v/>
      </c>
      <c r="U9" t="str">
        <f t="shared" si="7"/>
        <v>点击次数少于10次没有参考性</v>
      </c>
      <c r="V9" s="4" t="str">
        <f>IFERROR(INDEX(搜索词报告!$D$2:$D$22222,MATCH(关键词词频统计!L9,搜索词报告!$H$2:$H$22222,0)),"")</f>
        <v/>
      </c>
    </row>
    <row r="10" spans="1:22" x14ac:dyDescent="0.15">
      <c r="B10">
        <f t="array" ref="B10">SUM(IF(搜索词报告!$H$2:$H$22222=A10,IF(搜索词报告!$A$2:$A$22222&gt;=关键词词频统计!$A$2,IF(搜索词报告!$A$2:$A$22222&lt;=关键词词频统计!$A$4,搜索词报告!$I$2:$I$22222,0),0),0))</f>
        <v>0</v>
      </c>
      <c r="C10">
        <f t="array" ref="C10">SUM(IF(搜索词报告!$H$2:$H$22222=A10,IF(搜索词报告!$A$2:$A$22222&gt;=关键词词频统计!$A$2,IF(搜索词报告!$A$2:$A$22222&lt;=关键词词频统计!$A$4,搜索词报告!$J$2:$J$22222,0),0),0))</f>
        <v>0</v>
      </c>
      <c r="D10" s="2">
        <f t="shared" si="0"/>
        <v>0</v>
      </c>
      <c r="E10" s="2">
        <f t="shared" si="1"/>
        <v>0</v>
      </c>
      <c r="F10">
        <f t="array" ref="F10">SUM(IF(搜索词报告!$H$2:$H$22222=A10,IF(搜索词报告!$A$2:$A$22222&gt;=关键词词频统计!$A$2,IF(搜索词报告!$A$2:$A$22222&lt;=关键词词频统计!$A$4,搜索词报告!$Q$2:$Q$22222,0),0),0))</f>
        <v>0</v>
      </c>
      <c r="G10">
        <f t="array" ref="G10">SUM(IF(搜索词报告!$H$2:$H$22222=A10,IF(搜索词报告!$A$2:$A$22222&gt;=关键词词频统计!$A$2,IF(搜索词报告!$A$2:$A$22222&lt;=关键词词频统计!$A$4,搜索词报告!$N$2:$N$22222,0),0),0))</f>
        <v>0</v>
      </c>
      <c r="H10">
        <f t="array" ref="H10">SUM(IF(搜索词报告!$H$2:$H$22222=A10,IF(搜索词报告!$A$2:$A$22222&gt;=关键词词频统计!$A$2,IF(搜索词报告!$A$2:$A$22222&lt;=关键词词频统计!$A$4,搜索词报告!$M$2:$M$22222,0),0),0))</f>
        <v>0</v>
      </c>
      <c r="I10" s="2" t="str">
        <f t="shared" si="2"/>
        <v/>
      </c>
      <c r="J10" t="str">
        <f t="shared" si="3"/>
        <v>点击次数少于10次没有参考性</v>
      </c>
      <c r="K10" s="4" t="str">
        <f>IFERROR(INDEX(搜索词报告!$D$2:$D$22222,MATCH(关键词词频统计!A10,搜索词报告!$H$2:$H$22222,0)),"")</f>
        <v/>
      </c>
      <c r="M10">
        <f t="array" ref="M10">SUM(IF(搜索词报告!$H$2:$H$22222=L10,IF(搜索词报告!$A$2:$A$22222&gt;=$L$2,IF(搜索词报告!$A$2:$A$22222&lt;=$L$4,搜索词报告!$I$2:$I$22222,0),0),0))</f>
        <v>0</v>
      </c>
      <c r="N10">
        <f t="array" ref="N10">SUM(IF(搜索词报告!$H$2:$H$22222=L10,IF(搜索词报告!$A$2:$A$22222&gt;=$L$2,IF(搜索词报告!$A$2:$A$22222&lt;=$L$4,搜索词报告!$J$2:$J$22222,0),0),0))</f>
        <v>0</v>
      </c>
      <c r="O10" s="2">
        <f t="shared" si="4"/>
        <v>0</v>
      </c>
      <c r="P10" s="2">
        <f t="shared" si="5"/>
        <v>0</v>
      </c>
      <c r="Q10">
        <f t="array" ref="Q10">SUM(IF(搜索词报告!$H$2:$H$22222=L10,IF(搜索词报告!$A$2:$A$22222&gt;=$L$2,IF(搜索词报告!$A$2:$A$22222&lt;=$L$4,搜索词报告!$Q$2:$Q$22222,0),0),0))</f>
        <v>0</v>
      </c>
      <c r="R10">
        <f t="array" ref="R10">SUM(IF(搜索词报告!$H$2:$H$22222=L10,IF(搜索词报告!$A$2:$A$22222&gt;=$L$2,IF(搜索词报告!$A$2:$A$22222&lt;=$L$4,搜索词报告!$N$2:$N$22222,0),0),0))</f>
        <v>0</v>
      </c>
      <c r="S10">
        <f t="array" ref="S10">SUM(IF(搜索词报告!$H$2:$H$22222=L10,IF(搜索词报告!$A$2:$A$22222&gt;=$L$2,IF(搜索词报告!$A$2:$A$22222&lt;=$L$4,搜索词报告!$M$2:$M$22222,0),0),0))</f>
        <v>0</v>
      </c>
      <c r="T10" s="2" t="str">
        <f t="shared" si="6"/>
        <v/>
      </c>
      <c r="U10" t="str">
        <f t="shared" si="7"/>
        <v>点击次数少于10次没有参考性</v>
      </c>
      <c r="V10" s="4" t="str">
        <f>IFERROR(INDEX(搜索词报告!$D$2:$D$22222,MATCH(关键词词频统计!L10,搜索词报告!$H$2:$H$22222,0)),"")</f>
        <v/>
      </c>
    </row>
    <row r="11" spans="1:22" x14ac:dyDescent="0.15">
      <c r="B11">
        <f t="array" ref="B11">SUM(IF(搜索词报告!$H$2:$H$22222=A11,IF(搜索词报告!$A$2:$A$22222&gt;=关键词词频统计!$A$2,IF(搜索词报告!$A$2:$A$22222&lt;=关键词词频统计!$A$4,搜索词报告!$I$2:$I$22222,0),0),0))</f>
        <v>0</v>
      </c>
      <c r="C11">
        <f t="array" ref="C11">SUM(IF(搜索词报告!$H$2:$H$22222=A11,IF(搜索词报告!$A$2:$A$22222&gt;=关键词词频统计!$A$2,IF(搜索词报告!$A$2:$A$22222&lt;=关键词词频统计!$A$4,搜索词报告!$J$2:$J$22222,0),0),0))</f>
        <v>0</v>
      </c>
      <c r="D11" s="2">
        <f t="shared" si="0"/>
        <v>0</v>
      </c>
      <c r="E11" s="2">
        <f t="shared" si="1"/>
        <v>0</v>
      </c>
      <c r="F11">
        <f t="array" ref="F11">SUM(IF(搜索词报告!$H$2:$H$22222=A11,IF(搜索词报告!$A$2:$A$22222&gt;=关键词词频统计!$A$2,IF(搜索词报告!$A$2:$A$22222&lt;=关键词词频统计!$A$4,搜索词报告!$Q$2:$Q$22222,0),0),0))</f>
        <v>0</v>
      </c>
      <c r="G11">
        <f t="array" ref="G11">SUM(IF(搜索词报告!$H$2:$H$22222=A11,IF(搜索词报告!$A$2:$A$22222&gt;=关键词词频统计!$A$2,IF(搜索词报告!$A$2:$A$22222&lt;=关键词词频统计!$A$4,搜索词报告!$N$2:$N$22222,0),0),0))</f>
        <v>0</v>
      </c>
      <c r="H11">
        <f t="array" ref="H11">SUM(IF(搜索词报告!$H$2:$H$22222=A11,IF(搜索词报告!$A$2:$A$22222&gt;=关键词词频统计!$A$2,IF(搜索词报告!$A$2:$A$22222&lt;=关键词词频统计!$A$4,搜索词报告!$M$2:$M$22222,0),0),0))</f>
        <v>0</v>
      </c>
      <c r="I11" s="2" t="str">
        <f t="shared" si="2"/>
        <v/>
      </c>
      <c r="J11" t="str">
        <f t="shared" si="3"/>
        <v>点击次数少于10次没有参考性</v>
      </c>
      <c r="K11" s="4" t="str">
        <f>IFERROR(INDEX(搜索词报告!$D$2:$D$22222,MATCH(关键词词频统计!A11,搜索词报告!$H$2:$H$22222,0)),"")</f>
        <v/>
      </c>
      <c r="M11">
        <f t="array" ref="M11">SUM(IF(搜索词报告!$H$2:$H$22222=L11,IF(搜索词报告!$A$2:$A$22222&gt;=$L$2,IF(搜索词报告!$A$2:$A$22222&lt;=$L$4,搜索词报告!$I$2:$I$22222,0),0),0))</f>
        <v>0</v>
      </c>
      <c r="N11">
        <f t="array" ref="N11">SUM(IF(搜索词报告!$H$2:$H$22222=L11,IF(搜索词报告!$A$2:$A$22222&gt;=$L$2,IF(搜索词报告!$A$2:$A$22222&lt;=$L$4,搜索词报告!$J$2:$J$22222,0),0),0))</f>
        <v>0</v>
      </c>
      <c r="O11" s="2">
        <f t="shared" si="4"/>
        <v>0</v>
      </c>
      <c r="P11" s="2">
        <f t="shared" si="5"/>
        <v>0</v>
      </c>
      <c r="Q11">
        <f t="array" ref="Q11">SUM(IF(搜索词报告!$H$2:$H$22222=L11,IF(搜索词报告!$A$2:$A$22222&gt;=$L$2,IF(搜索词报告!$A$2:$A$22222&lt;=$L$4,搜索词报告!$Q$2:$Q$22222,0),0),0))</f>
        <v>0</v>
      </c>
      <c r="R11">
        <f t="array" ref="R11">SUM(IF(搜索词报告!$H$2:$H$22222=L11,IF(搜索词报告!$A$2:$A$22222&gt;=$L$2,IF(搜索词报告!$A$2:$A$22222&lt;=$L$4,搜索词报告!$N$2:$N$22222,0),0),0))</f>
        <v>0</v>
      </c>
      <c r="S11">
        <f t="array" ref="S11">SUM(IF(搜索词报告!$H$2:$H$22222=L11,IF(搜索词报告!$A$2:$A$22222&gt;=$L$2,IF(搜索词报告!$A$2:$A$22222&lt;=$L$4,搜索词报告!$M$2:$M$22222,0),0),0))</f>
        <v>0</v>
      </c>
      <c r="T11" s="2" t="str">
        <f t="shared" si="6"/>
        <v/>
      </c>
      <c r="U11" t="str">
        <f t="shared" si="7"/>
        <v>点击次数少于10次没有参考性</v>
      </c>
      <c r="V11" s="4" t="str">
        <f>IFERROR(INDEX(搜索词报告!$D$2:$D$22222,MATCH(关键词词频统计!L11,搜索词报告!$H$2:$H$22222,0)),"")</f>
        <v/>
      </c>
    </row>
    <row r="12" spans="1:22" x14ac:dyDescent="0.15">
      <c r="B12">
        <f t="array" ref="B12">SUM(IF(搜索词报告!$H$2:$H$22222=A12,IF(搜索词报告!$A$2:$A$22222&gt;=关键词词频统计!$A$2,IF(搜索词报告!$A$2:$A$22222&lt;=关键词词频统计!$A$4,搜索词报告!$I$2:$I$22222,0),0),0))</f>
        <v>0</v>
      </c>
      <c r="C12">
        <f t="array" ref="C12">SUM(IF(搜索词报告!$H$2:$H$22222=A12,IF(搜索词报告!$A$2:$A$22222&gt;=关键词词频统计!$A$2,IF(搜索词报告!$A$2:$A$22222&lt;=关键词词频统计!$A$4,搜索词报告!$J$2:$J$22222,0),0),0))</f>
        <v>0</v>
      </c>
      <c r="D12" s="2">
        <f t="shared" si="0"/>
        <v>0</v>
      </c>
      <c r="E12" s="2">
        <f t="shared" si="1"/>
        <v>0</v>
      </c>
      <c r="F12">
        <f t="array" ref="F12">SUM(IF(搜索词报告!$H$2:$H$22222=A12,IF(搜索词报告!$A$2:$A$22222&gt;=关键词词频统计!$A$2,IF(搜索词报告!$A$2:$A$22222&lt;=关键词词频统计!$A$4,搜索词报告!$Q$2:$Q$22222,0),0),0))</f>
        <v>0</v>
      </c>
      <c r="G12">
        <f t="array" ref="G12">SUM(IF(搜索词报告!$H$2:$H$22222=A12,IF(搜索词报告!$A$2:$A$22222&gt;=关键词词频统计!$A$2,IF(搜索词报告!$A$2:$A$22222&lt;=关键词词频统计!$A$4,搜索词报告!$N$2:$N$22222,0),0),0))</f>
        <v>0</v>
      </c>
      <c r="H12">
        <f t="array" ref="H12">SUM(IF(搜索词报告!$H$2:$H$22222=A12,IF(搜索词报告!$A$2:$A$22222&gt;=关键词词频统计!$A$2,IF(搜索词报告!$A$2:$A$22222&lt;=关键词词频统计!$A$4,搜索词报告!$M$2:$M$22222,0),0),0))</f>
        <v>0</v>
      </c>
      <c r="I12" s="2" t="str">
        <f t="shared" si="2"/>
        <v/>
      </c>
      <c r="J12" t="str">
        <f t="shared" si="3"/>
        <v>点击次数少于10次没有参考性</v>
      </c>
      <c r="K12" s="4" t="str">
        <f>IFERROR(INDEX(搜索词报告!$D$2:$D$22222,MATCH(关键词词频统计!A12,搜索词报告!$H$2:$H$22222,0)),"")</f>
        <v/>
      </c>
      <c r="M12">
        <f t="array" ref="M12">SUM(IF(搜索词报告!$H$2:$H$22222=L12,IF(搜索词报告!$A$2:$A$22222&gt;=$L$2,IF(搜索词报告!$A$2:$A$22222&lt;=$L$4,搜索词报告!$I$2:$I$22222,0),0),0))</f>
        <v>0</v>
      </c>
      <c r="N12">
        <f t="array" ref="N12">SUM(IF(搜索词报告!$H$2:$H$22222=L12,IF(搜索词报告!$A$2:$A$22222&gt;=$L$2,IF(搜索词报告!$A$2:$A$22222&lt;=$L$4,搜索词报告!$J$2:$J$22222,0),0),0))</f>
        <v>0</v>
      </c>
      <c r="O12" s="2">
        <f t="shared" si="4"/>
        <v>0</v>
      </c>
      <c r="P12" s="2">
        <f t="shared" si="5"/>
        <v>0</v>
      </c>
      <c r="Q12">
        <f t="array" ref="Q12">SUM(IF(搜索词报告!$H$2:$H$22222=L12,IF(搜索词报告!$A$2:$A$22222&gt;=$L$2,IF(搜索词报告!$A$2:$A$22222&lt;=$L$4,搜索词报告!$Q$2:$Q$22222,0),0),0))</f>
        <v>0</v>
      </c>
      <c r="R12">
        <f t="array" ref="R12">SUM(IF(搜索词报告!$H$2:$H$22222=L12,IF(搜索词报告!$A$2:$A$22222&gt;=$L$2,IF(搜索词报告!$A$2:$A$22222&lt;=$L$4,搜索词报告!$N$2:$N$22222,0),0),0))</f>
        <v>0</v>
      </c>
      <c r="S12">
        <f t="array" ref="S12">SUM(IF(搜索词报告!$H$2:$H$22222=L12,IF(搜索词报告!$A$2:$A$22222&gt;=$L$2,IF(搜索词报告!$A$2:$A$22222&lt;=$L$4,搜索词报告!$M$2:$M$22222,0),0),0))</f>
        <v>0</v>
      </c>
      <c r="T12" s="2" t="str">
        <f t="shared" si="6"/>
        <v/>
      </c>
      <c r="U12" t="str">
        <f t="shared" si="7"/>
        <v>点击次数少于10次没有参考性</v>
      </c>
      <c r="V12" s="4" t="str">
        <f>IFERROR(INDEX(搜索词报告!$D$2:$D$22222,MATCH(关键词词频统计!L12,搜索词报告!$H$2:$H$22222,0)),"")</f>
        <v/>
      </c>
    </row>
    <row r="13" spans="1:22" x14ac:dyDescent="0.15">
      <c r="B13">
        <f t="array" ref="B13">SUM(IF(搜索词报告!$H$2:$H$22222=A13,IF(搜索词报告!$A$2:$A$22222&gt;=关键词词频统计!$A$2,IF(搜索词报告!$A$2:$A$22222&lt;=关键词词频统计!$A$4,搜索词报告!$I$2:$I$22222,0),0),0))</f>
        <v>0</v>
      </c>
      <c r="C13">
        <f t="array" ref="C13">SUM(IF(搜索词报告!$H$2:$H$22222=A13,IF(搜索词报告!$A$2:$A$22222&gt;=关键词词频统计!$A$2,IF(搜索词报告!$A$2:$A$22222&lt;=关键词词频统计!$A$4,搜索词报告!$J$2:$J$22222,0),0),0))</f>
        <v>0</v>
      </c>
      <c r="D13" s="2">
        <f t="shared" si="0"/>
        <v>0</v>
      </c>
      <c r="E13" s="2">
        <f t="shared" si="1"/>
        <v>0</v>
      </c>
      <c r="F13">
        <f t="array" ref="F13">SUM(IF(搜索词报告!$H$2:$H$22222=A13,IF(搜索词报告!$A$2:$A$22222&gt;=关键词词频统计!$A$2,IF(搜索词报告!$A$2:$A$22222&lt;=关键词词频统计!$A$4,搜索词报告!$Q$2:$Q$22222,0),0),0))</f>
        <v>0</v>
      </c>
      <c r="G13">
        <f t="array" ref="G13">SUM(IF(搜索词报告!$H$2:$H$22222=A13,IF(搜索词报告!$A$2:$A$22222&gt;=关键词词频统计!$A$2,IF(搜索词报告!$A$2:$A$22222&lt;=关键词词频统计!$A$4,搜索词报告!$N$2:$N$22222,0),0),0))</f>
        <v>0</v>
      </c>
      <c r="H13">
        <f t="array" ref="H13">SUM(IF(搜索词报告!$H$2:$H$22222=A13,IF(搜索词报告!$A$2:$A$22222&gt;=关键词词频统计!$A$2,IF(搜索词报告!$A$2:$A$22222&lt;=关键词词频统计!$A$4,搜索词报告!$M$2:$M$22222,0),0),0))</f>
        <v>0</v>
      </c>
      <c r="I13" s="2" t="str">
        <f t="shared" si="2"/>
        <v/>
      </c>
      <c r="J13" t="str">
        <f t="shared" si="3"/>
        <v>点击次数少于10次没有参考性</v>
      </c>
      <c r="K13" s="4" t="str">
        <f>IFERROR(INDEX(搜索词报告!$D$2:$D$22222,MATCH(关键词词频统计!A13,搜索词报告!$H$2:$H$22222,0)),"")</f>
        <v/>
      </c>
      <c r="M13">
        <f t="array" ref="M13">SUM(IF(搜索词报告!$H$2:$H$22222=L13,IF(搜索词报告!$A$2:$A$22222&gt;=$L$2,IF(搜索词报告!$A$2:$A$22222&lt;=$L$4,搜索词报告!$I$2:$I$22222,0),0),0))</f>
        <v>0</v>
      </c>
      <c r="N13">
        <f t="array" ref="N13">SUM(IF(搜索词报告!$H$2:$H$22222=L13,IF(搜索词报告!$A$2:$A$22222&gt;=$L$2,IF(搜索词报告!$A$2:$A$22222&lt;=$L$4,搜索词报告!$J$2:$J$22222,0),0),0))</f>
        <v>0</v>
      </c>
      <c r="O13" s="2">
        <f t="shared" si="4"/>
        <v>0</v>
      </c>
      <c r="P13" s="2">
        <f t="shared" si="5"/>
        <v>0</v>
      </c>
      <c r="Q13">
        <f t="array" ref="Q13">SUM(IF(搜索词报告!$H$2:$H$22222=L13,IF(搜索词报告!$A$2:$A$22222&gt;=$L$2,IF(搜索词报告!$A$2:$A$22222&lt;=$L$4,搜索词报告!$Q$2:$Q$22222,0),0),0))</f>
        <v>0</v>
      </c>
      <c r="R13">
        <f t="array" ref="R13">SUM(IF(搜索词报告!$H$2:$H$22222=L13,IF(搜索词报告!$A$2:$A$22222&gt;=$L$2,IF(搜索词报告!$A$2:$A$22222&lt;=$L$4,搜索词报告!$N$2:$N$22222,0),0),0))</f>
        <v>0</v>
      </c>
      <c r="S13">
        <f t="array" ref="S13">SUM(IF(搜索词报告!$H$2:$H$22222=L13,IF(搜索词报告!$A$2:$A$22222&gt;=$L$2,IF(搜索词报告!$A$2:$A$22222&lt;=$L$4,搜索词报告!$M$2:$M$22222,0),0),0))</f>
        <v>0</v>
      </c>
      <c r="T13" s="2" t="str">
        <f t="shared" si="6"/>
        <v/>
      </c>
      <c r="U13" t="str">
        <f t="shared" si="7"/>
        <v>点击次数少于10次没有参考性</v>
      </c>
      <c r="V13" s="4" t="str">
        <f>IFERROR(INDEX(搜索词报告!$D$2:$D$22222,MATCH(关键词词频统计!L13,搜索词报告!$H$2:$H$22222,0)),"")</f>
        <v/>
      </c>
    </row>
    <row r="14" spans="1:22" x14ac:dyDescent="0.15">
      <c r="B14">
        <f t="array" ref="B14">SUM(IF(搜索词报告!$H$2:$H$22222=A14,IF(搜索词报告!$A$2:$A$22222&gt;=关键词词频统计!$A$2,IF(搜索词报告!$A$2:$A$22222&lt;=关键词词频统计!$A$4,搜索词报告!$I$2:$I$22222,0),0),0))</f>
        <v>0</v>
      </c>
      <c r="C14">
        <f t="array" ref="C14">SUM(IF(搜索词报告!$H$2:$H$22222=A14,IF(搜索词报告!$A$2:$A$22222&gt;=关键词词频统计!$A$2,IF(搜索词报告!$A$2:$A$22222&lt;=关键词词频统计!$A$4,搜索词报告!$J$2:$J$22222,0),0),0))</f>
        <v>0</v>
      </c>
      <c r="D14" s="2">
        <f t="shared" si="0"/>
        <v>0</v>
      </c>
      <c r="E14" s="2">
        <f t="shared" si="1"/>
        <v>0</v>
      </c>
      <c r="F14">
        <f t="array" ref="F14">SUM(IF(搜索词报告!$H$2:$H$22222=A14,IF(搜索词报告!$A$2:$A$22222&gt;=关键词词频统计!$A$2,IF(搜索词报告!$A$2:$A$22222&lt;=关键词词频统计!$A$4,搜索词报告!$Q$2:$Q$22222,0),0),0))</f>
        <v>0</v>
      </c>
      <c r="G14">
        <f t="array" ref="G14">SUM(IF(搜索词报告!$H$2:$H$22222=A14,IF(搜索词报告!$A$2:$A$22222&gt;=关键词词频统计!$A$2,IF(搜索词报告!$A$2:$A$22222&lt;=关键词词频统计!$A$4,搜索词报告!$N$2:$N$22222,0),0),0))</f>
        <v>0</v>
      </c>
      <c r="H14">
        <f>SUM(IF(搜索词报告!$H$2:$H$22222=A14,IF(搜索词报告!$A$2:$A$22222&gt;=关键词词频统计!$A$2,IF(搜索词报告!$A$2:$A$22222&lt;=关键词词频统计!$A$4,搜索词报告!$M$2:$M$22222,0),0),0))</f>
        <v>0</v>
      </c>
      <c r="I14" s="2" t="str">
        <f t="shared" si="2"/>
        <v/>
      </c>
      <c r="J14" t="str">
        <f t="shared" si="3"/>
        <v>点击次数少于10次没有参考性</v>
      </c>
      <c r="K14" s="4" t="str">
        <f>IFERROR(INDEX(搜索词报告!$D$2:$D$22222,MATCH(关键词词频统计!A14,搜索词报告!$H$2:$H$22222,0)),"")</f>
        <v/>
      </c>
      <c r="M14">
        <f t="array" ref="M14">SUM(IF(搜索词报告!$H$2:$H$22222=L14,IF(搜索词报告!$A$2:$A$22222&gt;=$L$2,IF(搜索词报告!$A$2:$A$22222&lt;=$L$4,搜索词报告!$I$2:$I$22222,0),0),0))</f>
        <v>0</v>
      </c>
      <c r="N14">
        <f t="array" ref="N14">SUM(IF(搜索词报告!$H$2:$H$22222=L14,IF(搜索词报告!$A$2:$A$22222&gt;=$L$2,IF(搜索词报告!$A$2:$A$22222&lt;=$L$4,搜索词报告!$J$2:$J$22222,0),0),0))</f>
        <v>0</v>
      </c>
      <c r="O14" s="2">
        <f t="shared" si="4"/>
        <v>0</v>
      </c>
      <c r="P14" s="2">
        <f t="shared" si="5"/>
        <v>0</v>
      </c>
      <c r="Q14">
        <f t="array" ref="Q14">SUM(IF(搜索词报告!$H$2:$H$22222=L14,IF(搜索词报告!$A$2:$A$22222&gt;=$L$2,IF(搜索词报告!$A$2:$A$22222&lt;=$L$4,搜索词报告!$Q$2:$Q$22222,0),0),0))</f>
        <v>0</v>
      </c>
      <c r="R14">
        <f t="array" ref="R14">SUM(IF(搜索词报告!$H$2:$H$22222=L14,IF(搜索词报告!$A$2:$A$22222&gt;=$L$2,IF(搜索词报告!$A$2:$A$22222&lt;=$L$4,搜索词报告!$N$2:$N$22222,0),0),0))</f>
        <v>0</v>
      </c>
      <c r="S14">
        <f t="array" ref="S14">SUM(IF(搜索词报告!$H$2:$H$22222=L14,IF(搜索词报告!$A$2:$A$22222&gt;=$L$2,IF(搜索词报告!$A$2:$A$22222&lt;=$L$4,搜索词报告!$M$2:$M$22222,0),0),0))</f>
        <v>0</v>
      </c>
      <c r="T14" s="2" t="str">
        <f t="shared" si="6"/>
        <v/>
      </c>
      <c r="U14" t="str">
        <f t="shared" si="7"/>
        <v>点击次数少于10次没有参考性</v>
      </c>
      <c r="V14" s="4" t="str">
        <f>IFERROR(INDEX(搜索词报告!$D$2:$D$22222,MATCH(关键词词频统计!L14,搜索词报告!$H$2:$H$22222,0)),"")</f>
        <v/>
      </c>
    </row>
    <row r="15" spans="1:22" x14ac:dyDescent="0.15">
      <c r="B15">
        <f t="array" ref="B15">SUM(IF(搜索词报告!$H$2:$H$22222=A15,IF(搜索词报告!$A$2:$A$22222&gt;=关键词词频统计!$A$2,IF(搜索词报告!$A$2:$A$22222&lt;=关键词词频统计!$A$4,搜索词报告!$I$2:$I$22222,0),0),0))</f>
        <v>0</v>
      </c>
      <c r="C15">
        <f t="array" ref="C15">SUM(IF(搜索词报告!$H$2:$H$22222=A15,IF(搜索词报告!$A$2:$A$22222&gt;=关键词词频统计!$A$2,IF(搜索词报告!$A$2:$A$22222&lt;=关键词词频统计!$A$4,搜索词报告!$J$2:$J$22222,0),0),0))</f>
        <v>0</v>
      </c>
      <c r="D15" s="2">
        <f t="shared" si="0"/>
        <v>0</v>
      </c>
      <c r="E15" s="2">
        <f t="shared" si="1"/>
        <v>0</v>
      </c>
      <c r="F15">
        <f t="array" ref="F15">SUM(IF(搜索词报告!$H$2:$H$22222=A15,IF(搜索词报告!$A$2:$A$22222&gt;=关键词词频统计!$A$2,IF(搜索词报告!$A$2:$A$22222&lt;=关键词词频统计!$A$4,搜索词报告!$Q$2:$Q$22222,0),0),0))</f>
        <v>0</v>
      </c>
      <c r="G15">
        <f t="array" ref="G15">SUM(IF(搜索词报告!$H$2:$H$22222=A15,IF(搜索词报告!$A$2:$A$22222&gt;=关键词词频统计!$A$2,IF(搜索词报告!$A$2:$A$22222&lt;=关键词词频统计!$A$4,搜索词报告!$N$2:$N$22222,0),0),0))</f>
        <v>0</v>
      </c>
      <c r="H15">
        <f t="array" ref="H15">SUM(IF(搜索词报告!$H$2:$H$22222=A15,IF(搜索词报告!$A$2:$A$22222&gt;=关键词词频统计!$A$2,IF(搜索词报告!$A$2:$A$22222&lt;=关键词词频统计!$A$4,搜索词报告!$M$2:$M$22222,0),0),0))</f>
        <v>0</v>
      </c>
      <c r="I15" s="2" t="str">
        <f t="shared" si="2"/>
        <v/>
      </c>
      <c r="J15" t="str">
        <f t="shared" si="3"/>
        <v>点击次数少于10次没有参考性</v>
      </c>
      <c r="K15" s="4" t="str">
        <f>IFERROR(INDEX(搜索词报告!$D$2:$D$22222,MATCH(关键词词频统计!A15,搜索词报告!$H$2:$H$22222,0)),"")</f>
        <v/>
      </c>
      <c r="M15">
        <f t="array" ref="M15">SUM(IF(搜索词报告!$H$2:$H$22222=L15,IF(搜索词报告!$A$2:$A$22222&gt;=$L$2,IF(搜索词报告!$A$2:$A$22222&lt;=$L$4,搜索词报告!$I$2:$I$22222,0),0),0))</f>
        <v>0</v>
      </c>
      <c r="N15">
        <f t="array" ref="N15">SUM(IF(搜索词报告!$H$2:$H$22222=L15,IF(搜索词报告!$A$2:$A$22222&gt;=$L$2,IF(搜索词报告!$A$2:$A$22222&lt;=$L$4,搜索词报告!$J$2:$J$22222,0),0),0))</f>
        <v>0</v>
      </c>
      <c r="O15" s="2">
        <f t="shared" si="4"/>
        <v>0</v>
      </c>
      <c r="P15" s="2">
        <f t="shared" si="5"/>
        <v>0</v>
      </c>
      <c r="Q15">
        <f t="array" ref="Q15">SUM(IF(搜索词报告!$H$2:$H$22222=L15,IF(搜索词报告!$A$2:$A$22222&gt;=$L$2,IF(搜索词报告!$A$2:$A$22222&lt;=$L$4,搜索词报告!$Q$2:$Q$22222,0),0),0))</f>
        <v>0</v>
      </c>
      <c r="R15">
        <f t="array" ref="R15">SUM(IF(搜索词报告!$H$2:$H$22222=L15,IF(搜索词报告!$A$2:$A$22222&gt;=$L$2,IF(搜索词报告!$A$2:$A$22222&lt;=$L$4,搜索词报告!$N$2:$N$22222,0),0),0))</f>
        <v>0</v>
      </c>
      <c r="S15">
        <f t="array" ref="S15">SUM(IF(搜索词报告!$H$2:$H$22222=L15,IF(搜索词报告!$A$2:$A$22222&gt;=$L$2,IF(搜索词报告!$A$2:$A$22222&lt;=$L$4,搜索词报告!$M$2:$M$22222,0),0),0))</f>
        <v>0</v>
      </c>
      <c r="T15" s="2" t="str">
        <f t="shared" si="6"/>
        <v/>
      </c>
      <c r="U15" t="str">
        <f t="shared" si="7"/>
        <v>点击次数少于10次没有参考性</v>
      </c>
      <c r="V15" s="4" t="str">
        <f>IFERROR(INDEX(搜索词报告!$D$2:$D$22222,MATCH(关键词词频统计!L15,搜索词报告!$H$2:$H$22222,0)),"")</f>
        <v/>
      </c>
    </row>
    <row r="16" spans="1:22" x14ac:dyDescent="0.15">
      <c r="B16">
        <f t="array" ref="B16">SUM(IF(搜索词报告!$H$2:$H$22222=A16,IF(搜索词报告!$A$2:$A$22222&gt;=关键词词频统计!$A$2,IF(搜索词报告!$A$2:$A$22222&lt;=关键词词频统计!$A$4,搜索词报告!$I$2:$I$22222,0),0),0))</f>
        <v>0</v>
      </c>
      <c r="C16">
        <f t="array" ref="C16">SUM(IF(搜索词报告!$H$2:$H$22222=A16,IF(搜索词报告!$A$2:$A$22222&gt;=关键词词频统计!$A$2,IF(搜索词报告!$A$2:$A$22222&lt;=关键词词频统计!$A$4,搜索词报告!$J$2:$J$22222,0),0),0))</f>
        <v>0</v>
      </c>
      <c r="D16" s="2">
        <f t="shared" si="0"/>
        <v>0</v>
      </c>
      <c r="E16" s="2">
        <f t="shared" si="1"/>
        <v>0</v>
      </c>
      <c r="F16">
        <f t="array" ref="F16">SUM(IF(搜索词报告!$H$2:$H$22222=A16,IF(搜索词报告!$A$2:$A$22222&gt;=关键词词频统计!$A$2,IF(搜索词报告!$A$2:$A$22222&lt;=关键词词频统计!$A$4,搜索词报告!$Q$2:$Q$22222,0),0),0))</f>
        <v>0</v>
      </c>
      <c r="G16">
        <f t="array" ref="G16">SUM(IF(搜索词报告!$H$2:$H$22222=A16,IF(搜索词报告!$A$2:$A$22222&gt;=关键词词频统计!$A$2,IF(搜索词报告!$A$2:$A$22222&lt;=关键词词频统计!$A$4,搜索词报告!$N$2:$N$22222,0),0),0))</f>
        <v>0</v>
      </c>
      <c r="H16">
        <f t="array" ref="H16">SUM(IF(搜索词报告!$H$2:$H$22222=A16,IF(搜索词报告!$A$2:$A$22222&gt;=关键词词频统计!$A$2,IF(搜索词报告!$A$2:$A$22222&lt;=关键词词频统计!$A$4,搜索词报告!$M$2:$M$22222,0),0),0))</f>
        <v>0</v>
      </c>
      <c r="I16" s="2" t="str">
        <f t="shared" si="2"/>
        <v/>
      </c>
      <c r="J16" t="str">
        <f t="shared" si="3"/>
        <v>点击次数少于10次没有参考性</v>
      </c>
      <c r="K16" s="4" t="str">
        <f>IFERROR(INDEX(搜索词报告!$D$2:$D$22222,MATCH(关键词词频统计!A16,搜索词报告!$H$2:$H$22222,0)),"")</f>
        <v/>
      </c>
      <c r="M16">
        <f t="array" ref="M16">SUM(IF(搜索词报告!$H$2:$H$22222=L16,IF(搜索词报告!$A$2:$A$22222&gt;=$L$2,IF(搜索词报告!$A$2:$A$22222&lt;=$L$4,搜索词报告!$I$2:$I$22222,0),0),0))</f>
        <v>0</v>
      </c>
      <c r="N16">
        <f t="array" ref="N16">SUM(IF(搜索词报告!$H$2:$H$22222=L16,IF(搜索词报告!$A$2:$A$22222&gt;=$L$2,IF(搜索词报告!$A$2:$A$22222&lt;=$L$4,搜索词报告!$J$2:$J$22222,0),0),0))</f>
        <v>0</v>
      </c>
      <c r="O16" s="2">
        <f t="shared" si="4"/>
        <v>0</v>
      </c>
      <c r="P16" s="2">
        <f t="shared" si="5"/>
        <v>0</v>
      </c>
      <c r="Q16">
        <f t="array" ref="Q16">SUM(IF(搜索词报告!$H$2:$H$22222=L16,IF(搜索词报告!$A$2:$A$22222&gt;=$L$2,IF(搜索词报告!$A$2:$A$22222&lt;=$L$4,搜索词报告!$Q$2:$Q$22222,0),0),0))</f>
        <v>0</v>
      </c>
      <c r="R16">
        <f t="array" ref="R16">SUM(IF(搜索词报告!$H$2:$H$22222=L16,IF(搜索词报告!$A$2:$A$22222&gt;=$L$2,IF(搜索词报告!$A$2:$A$22222&lt;=$L$4,搜索词报告!$N$2:$N$22222,0),0),0))</f>
        <v>0</v>
      </c>
      <c r="S16">
        <f t="array" ref="S16">SUM(IF(搜索词报告!$H$2:$H$22222=L16,IF(搜索词报告!$A$2:$A$22222&gt;=$L$2,IF(搜索词报告!$A$2:$A$22222&lt;=$L$4,搜索词报告!$M$2:$M$22222,0),0),0))</f>
        <v>0</v>
      </c>
      <c r="T16" s="2" t="str">
        <f t="shared" si="6"/>
        <v/>
      </c>
      <c r="U16" t="str">
        <f t="shared" si="7"/>
        <v>点击次数少于10次没有参考性</v>
      </c>
      <c r="V16" s="4" t="str">
        <f>IFERROR(INDEX(搜索词报告!$D$2:$D$22222,MATCH(关键词词频统计!L16,搜索词报告!$H$2:$H$22222,0)),"")</f>
        <v/>
      </c>
    </row>
    <row r="17" spans="2:22" x14ac:dyDescent="0.15">
      <c r="B17">
        <f t="array" ref="B17">SUM(IF(搜索词报告!$H$2:$H$22222=A17,IF(搜索词报告!$A$2:$A$22222&gt;=关键词词频统计!$A$2,IF(搜索词报告!$A$2:$A$22222&lt;=关键词词频统计!$A$4,搜索词报告!$I$2:$I$22222,0),0),0))</f>
        <v>0</v>
      </c>
      <c r="C17">
        <f t="array" ref="C17">SUM(IF(搜索词报告!$H$2:$H$22222=A17,IF(搜索词报告!$A$2:$A$22222&gt;=关键词词频统计!$A$2,IF(搜索词报告!$A$2:$A$22222&lt;=关键词词频统计!$A$4,搜索词报告!$J$2:$J$22222,0),0),0))</f>
        <v>0</v>
      </c>
      <c r="D17" s="2">
        <f t="shared" si="0"/>
        <v>0</v>
      </c>
      <c r="E17" s="2">
        <f t="shared" si="1"/>
        <v>0</v>
      </c>
      <c r="F17">
        <f t="array" ref="F17">SUM(IF(搜索词报告!$H$2:$H$22222=A17,IF(搜索词报告!$A$2:$A$22222&gt;=关键词词频统计!$A$2,IF(搜索词报告!$A$2:$A$22222&lt;=关键词词频统计!$A$4,搜索词报告!$Q$2:$Q$22222,0),0),0))</f>
        <v>0</v>
      </c>
      <c r="G17">
        <f t="array" ref="G17">SUM(IF(搜索词报告!$H$2:$H$22222=A17,IF(搜索词报告!$A$2:$A$22222&gt;=关键词词频统计!$A$2,IF(搜索词报告!$A$2:$A$22222&lt;=关键词词频统计!$A$4,搜索词报告!$N$2:$N$22222,0),0),0))</f>
        <v>0</v>
      </c>
      <c r="H17">
        <f t="array" ref="H17">SUM(IF(搜索词报告!$H$2:$H$22222=A17,IF(搜索词报告!$A$2:$A$22222&gt;=关键词词频统计!$A$2,IF(搜索词报告!$A$2:$A$22222&lt;=关键词词频统计!$A$4,搜索词报告!$M$2:$M$22222,0),0),0))</f>
        <v>0</v>
      </c>
      <c r="I17" s="2" t="str">
        <f t="shared" si="2"/>
        <v/>
      </c>
      <c r="J17" t="str">
        <f t="shared" si="3"/>
        <v>点击次数少于10次没有参考性</v>
      </c>
      <c r="K17" s="4" t="str">
        <f>IFERROR(INDEX(搜索词报告!$D$2:$D$22222,MATCH(关键词词频统计!A17,搜索词报告!$H$2:$H$22222,0)),"")</f>
        <v/>
      </c>
      <c r="M17">
        <f t="array" ref="M17">SUM(IF(搜索词报告!$H$2:$H$22222=L17,IF(搜索词报告!$A$2:$A$22222&gt;=$L$2,IF(搜索词报告!$A$2:$A$22222&lt;=$L$4,搜索词报告!$I$2:$I$22222,0),0),0))</f>
        <v>0</v>
      </c>
      <c r="N17">
        <f t="array" ref="N17">SUM(IF(搜索词报告!$H$2:$H$22222=L17,IF(搜索词报告!$A$2:$A$22222&gt;=$L$2,IF(搜索词报告!$A$2:$A$22222&lt;=$L$4,搜索词报告!$J$2:$J$22222,0),0),0))</f>
        <v>0</v>
      </c>
      <c r="O17" s="2">
        <f t="shared" si="4"/>
        <v>0</v>
      </c>
      <c r="P17" s="2">
        <f t="shared" si="5"/>
        <v>0</v>
      </c>
      <c r="Q17">
        <f t="array" ref="Q17">SUM(IF(搜索词报告!$H$2:$H$22222=L17,IF(搜索词报告!$A$2:$A$22222&gt;=$L$2,IF(搜索词报告!$A$2:$A$22222&lt;=$L$4,搜索词报告!$Q$2:$Q$22222,0),0),0))</f>
        <v>0</v>
      </c>
      <c r="R17">
        <f t="array" ref="R17">SUM(IF(搜索词报告!$H$2:$H$22222=L17,IF(搜索词报告!$A$2:$A$22222&gt;=$L$2,IF(搜索词报告!$A$2:$A$22222&lt;=$L$4,搜索词报告!$N$2:$N$22222,0),0),0))</f>
        <v>0</v>
      </c>
      <c r="S17">
        <f t="array" ref="S17">SUM(IF(搜索词报告!$H$2:$H$22222=L17,IF(搜索词报告!$A$2:$A$22222&gt;=$L$2,IF(搜索词报告!$A$2:$A$22222&lt;=$L$4,搜索词报告!$M$2:$M$22222,0),0),0))</f>
        <v>0</v>
      </c>
      <c r="T17" s="2" t="str">
        <f t="shared" si="6"/>
        <v/>
      </c>
      <c r="U17" t="str">
        <f t="shared" si="7"/>
        <v>点击次数少于10次没有参考性</v>
      </c>
      <c r="V17" s="4" t="str">
        <f>IFERROR(INDEX(搜索词报告!$D$2:$D$22222,MATCH(关键词词频统计!L17,搜索词报告!$H$2:$H$22222,0)),"")</f>
        <v/>
      </c>
    </row>
    <row r="18" spans="2:22" x14ac:dyDescent="0.15">
      <c r="B18">
        <f t="array" ref="B18">SUM(IF(搜索词报告!$H$2:$H$22222=A18,IF(搜索词报告!$A$2:$A$22222&gt;=关键词词频统计!$A$2,IF(搜索词报告!$A$2:$A$22222&lt;=关键词词频统计!$A$4,搜索词报告!$I$2:$I$22222,0),0),0))</f>
        <v>0</v>
      </c>
      <c r="C18">
        <f t="array" ref="C18">SUM(IF(搜索词报告!$H$2:$H$22222=A18,IF(搜索词报告!$A$2:$A$22222&gt;=关键词词频统计!$A$2,IF(搜索词报告!$A$2:$A$22222&lt;=关键词词频统计!$A$4,搜索词报告!$J$2:$J$22222,0),0),0))</f>
        <v>0</v>
      </c>
      <c r="D18" s="2">
        <f t="shared" si="0"/>
        <v>0</v>
      </c>
      <c r="E18" s="2">
        <f t="shared" si="1"/>
        <v>0</v>
      </c>
      <c r="F18">
        <f t="array" ref="F18">SUM(IF(搜索词报告!$H$2:$H$22222=A18,IF(搜索词报告!$A$2:$A$22222&gt;=关键词词频统计!$A$2,IF(搜索词报告!$A$2:$A$22222&lt;=关键词词频统计!$A$4,搜索词报告!$Q$2:$Q$22222,0),0),0))</f>
        <v>0</v>
      </c>
      <c r="G18">
        <f t="array" ref="G18">SUM(IF(搜索词报告!$H$2:$H$22222=A18,IF(搜索词报告!$A$2:$A$22222&gt;=关键词词频统计!$A$2,IF(搜索词报告!$A$2:$A$22222&lt;=关键词词频统计!$A$4,搜索词报告!$N$2:$N$22222,0),0),0))</f>
        <v>0</v>
      </c>
      <c r="H18">
        <f t="array" ref="H18">SUM(IF(搜索词报告!$H$2:$H$22222=A18,IF(搜索词报告!$A$2:$A$22222&gt;=关键词词频统计!$A$2,IF(搜索词报告!$A$2:$A$22222&lt;=关键词词频统计!$A$4,搜索词报告!$M$2:$M$22222,0),0),0))</f>
        <v>0</v>
      </c>
      <c r="I18" s="2" t="str">
        <f t="shared" si="2"/>
        <v/>
      </c>
      <c r="J18" t="str">
        <f t="shared" si="3"/>
        <v>点击次数少于10次没有参考性</v>
      </c>
      <c r="K18" s="4" t="str">
        <f>IFERROR(INDEX(搜索词报告!$D$2:$D$22222,MATCH(关键词词频统计!A18,搜索词报告!$H$2:$H$22222,0)),"")</f>
        <v/>
      </c>
      <c r="M18">
        <f t="array" ref="M18">SUM(IF(搜索词报告!$H$2:$H$22222=L18,IF(搜索词报告!$A$2:$A$22222&gt;=$L$2,IF(搜索词报告!$A$2:$A$22222&lt;=$L$4,搜索词报告!$I$2:$I$22222,0),0),0))</f>
        <v>0</v>
      </c>
      <c r="N18">
        <f t="array" ref="N18">SUM(IF(搜索词报告!$H$2:$H$22222=L18,IF(搜索词报告!$A$2:$A$22222&gt;=$L$2,IF(搜索词报告!$A$2:$A$22222&lt;=$L$4,搜索词报告!$J$2:$J$22222,0),0),0))</f>
        <v>0</v>
      </c>
      <c r="O18" s="2">
        <f t="shared" si="4"/>
        <v>0</v>
      </c>
      <c r="P18" s="2">
        <f t="shared" si="5"/>
        <v>0</v>
      </c>
      <c r="Q18">
        <f t="array" ref="Q18">SUM(IF(搜索词报告!$H$2:$H$22222=L18,IF(搜索词报告!$A$2:$A$22222&gt;=$L$2,IF(搜索词报告!$A$2:$A$22222&lt;=$L$4,搜索词报告!$Q$2:$Q$22222,0),0),0))</f>
        <v>0</v>
      </c>
      <c r="R18">
        <f t="array" ref="R18">SUM(IF(搜索词报告!$H$2:$H$22222=L18,IF(搜索词报告!$A$2:$A$22222&gt;=$L$2,IF(搜索词报告!$A$2:$A$22222&lt;=$L$4,搜索词报告!$N$2:$N$22222,0),0),0))</f>
        <v>0</v>
      </c>
      <c r="S18">
        <f t="array" ref="S18">SUM(IF(搜索词报告!$H$2:$H$22222=L18,IF(搜索词报告!$A$2:$A$22222&gt;=$L$2,IF(搜索词报告!$A$2:$A$22222&lt;=$L$4,搜索词报告!$M$2:$M$22222,0),0),0))</f>
        <v>0</v>
      </c>
      <c r="T18" s="2" t="str">
        <f t="shared" si="6"/>
        <v/>
      </c>
      <c r="U18" t="str">
        <f t="shared" si="7"/>
        <v>点击次数少于10次没有参考性</v>
      </c>
      <c r="V18" s="4" t="str">
        <f>IFERROR(INDEX(搜索词报告!$D$2:$D$22222,MATCH(关键词词频统计!L18,搜索词报告!$H$2:$H$22222,0)),"")</f>
        <v/>
      </c>
    </row>
    <row r="19" spans="2:22" x14ac:dyDescent="0.15">
      <c r="B19">
        <f t="array" ref="B19">SUM(IF(搜索词报告!$H$2:$H$22222=A19,IF(搜索词报告!$A$2:$A$22222&gt;=关键词词频统计!$A$2,IF(搜索词报告!$A$2:$A$22222&lt;=关键词词频统计!$A$4,搜索词报告!$I$2:$I$22222,0),0),0))</f>
        <v>0</v>
      </c>
      <c r="C19">
        <f t="array" ref="C19">SUM(IF(搜索词报告!$H$2:$H$22222=A19,IF(搜索词报告!$A$2:$A$22222&gt;=关键词词频统计!$A$2,IF(搜索词报告!$A$2:$A$22222&lt;=关键词词频统计!$A$4,搜索词报告!$J$2:$J$22222,0),0),0))</f>
        <v>0</v>
      </c>
      <c r="D19" s="2">
        <f t="shared" si="0"/>
        <v>0</v>
      </c>
      <c r="E19" s="2">
        <f t="shared" si="1"/>
        <v>0</v>
      </c>
      <c r="F19">
        <f t="array" ref="F19">SUM(IF(搜索词报告!$H$2:$H$22222=A19,IF(搜索词报告!$A$2:$A$22222&gt;=关键词词频统计!$A$2,IF(搜索词报告!$A$2:$A$22222&lt;=关键词词频统计!$A$4,搜索词报告!$Q$2:$Q$22222,0),0),0))</f>
        <v>0</v>
      </c>
      <c r="G19">
        <f t="array" ref="G19">SUM(IF(搜索词报告!$H$2:$H$22222=A19,IF(搜索词报告!$A$2:$A$22222&gt;=关键词词频统计!$A$2,IF(搜索词报告!$A$2:$A$22222&lt;=关键词词频统计!$A$4,搜索词报告!$N$2:$N$22222,0),0),0))</f>
        <v>0</v>
      </c>
      <c r="H19">
        <f t="array" ref="H19">SUM(IF(搜索词报告!$H$2:$H$22222=A19,IF(搜索词报告!$A$2:$A$22222&gt;=关键词词频统计!$A$2,IF(搜索词报告!$A$2:$A$22222&lt;=关键词词频统计!$A$4,搜索词报告!$M$2:$M$22222,0),0),0))</f>
        <v>0</v>
      </c>
      <c r="I19" s="2" t="str">
        <f t="shared" si="2"/>
        <v/>
      </c>
      <c r="J19" t="str">
        <f t="shared" si="3"/>
        <v>点击次数少于10次没有参考性</v>
      </c>
      <c r="K19" s="4" t="str">
        <f>IFERROR(INDEX(搜索词报告!$D$2:$D$22222,MATCH(关键词词频统计!A19,搜索词报告!$H$2:$H$22222,0)),"")</f>
        <v/>
      </c>
      <c r="M19">
        <f t="array" ref="M19">SUM(IF(搜索词报告!$H$2:$H$22222=L19,IF(搜索词报告!$A$2:$A$22222&gt;=$L$2,IF(搜索词报告!$A$2:$A$22222&lt;=$L$4,搜索词报告!$I$2:$I$22222,0),0),0))</f>
        <v>0</v>
      </c>
      <c r="N19">
        <f t="array" ref="N19">SUM(IF(搜索词报告!$H$2:$H$22222=L19,IF(搜索词报告!$A$2:$A$22222&gt;=$L$2,IF(搜索词报告!$A$2:$A$22222&lt;=$L$4,搜索词报告!$J$2:$J$22222,0),0),0))</f>
        <v>0</v>
      </c>
      <c r="O19" s="2">
        <f t="shared" si="4"/>
        <v>0</v>
      </c>
      <c r="P19" s="2">
        <f t="shared" si="5"/>
        <v>0</v>
      </c>
      <c r="Q19">
        <f t="array" ref="Q19">SUM(IF(搜索词报告!$H$2:$H$22222=L19,IF(搜索词报告!$A$2:$A$22222&gt;=$L$2,IF(搜索词报告!$A$2:$A$22222&lt;=$L$4,搜索词报告!$Q$2:$Q$22222,0),0),0))</f>
        <v>0</v>
      </c>
      <c r="R19">
        <f t="array" ref="R19">SUM(IF(搜索词报告!$H$2:$H$22222=L19,IF(搜索词报告!$A$2:$A$22222&gt;=$L$2,IF(搜索词报告!$A$2:$A$22222&lt;=$L$4,搜索词报告!$N$2:$N$22222,0),0),0))</f>
        <v>0</v>
      </c>
      <c r="S19">
        <f t="array" ref="S19">SUM(IF(搜索词报告!$H$2:$H$22222=L19,IF(搜索词报告!$A$2:$A$22222&gt;=$L$2,IF(搜索词报告!$A$2:$A$22222&lt;=$L$4,搜索词报告!$M$2:$M$22222,0),0),0))</f>
        <v>0</v>
      </c>
      <c r="T19" s="2" t="str">
        <f t="shared" si="6"/>
        <v/>
      </c>
      <c r="U19" t="str">
        <f t="shared" si="7"/>
        <v>点击次数少于10次没有参考性</v>
      </c>
      <c r="V19" s="4" t="str">
        <f>IFERROR(INDEX(搜索词报告!$D$2:$D$22222,MATCH(关键词词频统计!L19,搜索词报告!$H$2:$H$22222,0)),"")</f>
        <v/>
      </c>
    </row>
    <row r="20" spans="2:22" x14ac:dyDescent="0.15">
      <c r="B20">
        <f t="array" ref="B20">SUM(IF(搜索词报告!$H$2:$H$22222=A20,IF(搜索词报告!$A$2:$A$22222&gt;=关键词词频统计!$A$2,IF(搜索词报告!$A$2:$A$22222&lt;=关键词词频统计!$A$4,搜索词报告!$I$2:$I$22222,0),0),0))</f>
        <v>0</v>
      </c>
      <c r="C20">
        <f t="array" ref="C20">SUM(IF(搜索词报告!$H$2:$H$22222=A20,IF(搜索词报告!$A$2:$A$22222&gt;=关键词词频统计!$A$2,IF(搜索词报告!$A$2:$A$22222&lt;=关键词词频统计!$A$4,搜索词报告!$J$2:$J$22222,0),0),0))</f>
        <v>0</v>
      </c>
      <c r="D20" s="2">
        <f t="shared" si="0"/>
        <v>0</v>
      </c>
      <c r="E20" s="2">
        <f t="shared" si="1"/>
        <v>0</v>
      </c>
      <c r="F20">
        <f t="array" ref="F20">SUM(IF(搜索词报告!$H$2:$H$22222=A20,IF(搜索词报告!$A$2:$A$22222&gt;=关键词词频统计!$A$2,IF(搜索词报告!$A$2:$A$22222&lt;=关键词词频统计!$A$4,搜索词报告!$Q$2:$Q$22222,0),0),0))</f>
        <v>0</v>
      </c>
      <c r="G20">
        <f t="array" ref="G20">SUM(IF(搜索词报告!$H$2:$H$22222=A20,IF(搜索词报告!$A$2:$A$22222&gt;=关键词词频统计!$A$2,IF(搜索词报告!$A$2:$A$22222&lt;=关键词词频统计!$A$4,搜索词报告!$N$2:$N$22222,0),0),0))</f>
        <v>0</v>
      </c>
      <c r="H20">
        <f t="array" ref="H20">SUM(IF(搜索词报告!$H$2:$H$22222=A20,IF(搜索词报告!$A$2:$A$22222&gt;=关键词词频统计!$A$2,IF(搜索词报告!$A$2:$A$22222&lt;=关键词词频统计!$A$4,搜索词报告!$M$2:$M$22222,0),0),0))</f>
        <v>0</v>
      </c>
      <c r="I20" s="2" t="str">
        <f t="shared" si="2"/>
        <v/>
      </c>
      <c r="J20" t="str">
        <f t="shared" si="3"/>
        <v>点击次数少于10次没有参考性</v>
      </c>
      <c r="K20" s="4" t="str">
        <f>IFERROR(INDEX(搜索词报告!$D$2:$D$22222,MATCH(关键词词频统计!A20,搜索词报告!$H$2:$H$22222,0)),"")</f>
        <v/>
      </c>
      <c r="M20">
        <f t="array" ref="M20">SUM(IF(搜索词报告!$H$2:$H$22222=L20,IF(搜索词报告!$A$2:$A$22222&gt;=$L$2,IF(搜索词报告!$A$2:$A$22222&lt;=$L$4,搜索词报告!$I$2:$I$22222,0),0),0))</f>
        <v>0</v>
      </c>
      <c r="N20">
        <f t="array" ref="N20">SUM(IF(搜索词报告!$H$2:$H$22222=L20,IF(搜索词报告!$A$2:$A$22222&gt;=$L$2,IF(搜索词报告!$A$2:$A$22222&lt;=$L$4,搜索词报告!$J$2:$J$22222,0),0),0))</f>
        <v>0</v>
      </c>
      <c r="O20" s="2">
        <f t="shared" si="4"/>
        <v>0</v>
      </c>
      <c r="P20" s="2">
        <f t="shared" si="5"/>
        <v>0</v>
      </c>
      <c r="Q20">
        <f t="array" ref="Q20">SUM(IF(搜索词报告!$H$2:$H$22222=L20,IF(搜索词报告!$A$2:$A$22222&gt;=$L$2,IF(搜索词报告!$A$2:$A$22222&lt;=$L$4,搜索词报告!$Q$2:$Q$22222,0),0),0))</f>
        <v>0</v>
      </c>
      <c r="R20">
        <f t="array" ref="R20">SUM(IF(搜索词报告!$H$2:$H$22222=L20,IF(搜索词报告!$A$2:$A$22222&gt;=$L$2,IF(搜索词报告!$A$2:$A$22222&lt;=$L$4,搜索词报告!$N$2:$N$22222,0),0),0))</f>
        <v>0</v>
      </c>
      <c r="S20">
        <f t="array" ref="S20">SUM(IF(搜索词报告!$H$2:$H$22222=L20,IF(搜索词报告!$A$2:$A$22222&gt;=$L$2,IF(搜索词报告!$A$2:$A$22222&lt;=$L$4,搜索词报告!$M$2:$M$22222,0),0),0))</f>
        <v>0</v>
      </c>
      <c r="T20" s="2" t="str">
        <f t="shared" si="6"/>
        <v/>
      </c>
      <c r="U20" t="str">
        <f t="shared" si="7"/>
        <v>点击次数少于10次没有参考性</v>
      </c>
      <c r="V20" s="4" t="str">
        <f>IFERROR(INDEX(搜索词报告!$D$2:$D$22222,MATCH(关键词词频统计!L20,搜索词报告!$H$2:$H$22222,0)),"")</f>
        <v/>
      </c>
    </row>
    <row r="21" spans="2:22" x14ac:dyDescent="0.15">
      <c r="B21">
        <f t="array" ref="B21">SUM(IF(搜索词报告!$H$2:$H$22222=A21,IF(搜索词报告!$A$2:$A$22222&gt;=关键词词频统计!$A$2,IF(搜索词报告!$A$2:$A$22222&lt;=关键词词频统计!$A$4,搜索词报告!$I$2:$I$22222,0),0),0))</f>
        <v>0</v>
      </c>
      <c r="C21">
        <f t="array" ref="C21">SUM(IF(搜索词报告!$H$2:$H$22222=A21,IF(搜索词报告!$A$2:$A$22222&gt;=关键词词频统计!$A$2,IF(搜索词报告!$A$2:$A$22222&lt;=关键词词频统计!$A$4,搜索词报告!$J$2:$J$22222,0),0),0))</f>
        <v>0</v>
      </c>
      <c r="D21" s="2">
        <f t="shared" si="0"/>
        <v>0</v>
      </c>
      <c r="E21" s="2">
        <f t="shared" si="1"/>
        <v>0</v>
      </c>
      <c r="F21">
        <f t="array" ref="F21">SUM(IF(搜索词报告!$H$2:$H$22222=A21,IF(搜索词报告!$A$2:$A$22222&gt;=关键词词频统计!$A$2,IF(搜索词报告!$A$2:$A$22222&lt;=关键词词频统计!$A$4,搜索词报告!$Q$2:$Q$22222,0),0),0))</f>
        <v>0</v>
      </c>
      <c r="G21">
        <f t="array" ref="G21">SUM(IF(搜索词报告!$H$2:$H$22222=A21,IF(搜索词报告!$A$2:$A$22222&gt;=关键词词频统计!$A$2,IF(搜索词报告!$A$2:$A$22222&lt;=关键词词频统计!$A$4,搜索词报告!$N$2:$N$22222,0),0),0))</f>
        <v>0</v>
      </c>
      <c r="H21">
        <f t="array" ref="H21">SUM(IF(搜索词报告!$H$2:$H$22222=A21,IF(搜索词报告!$A$2:$A$22222&gt;=关键词词频统计!$A$2,IF(搜索词报告!$A$2:$A$22222&lt;=关键词词频统计!$A$4,搜索词报告!$M$2:$M$22222,0),0),0))</f>
        <v>0</v>
      </c>
      <c r="I21" s="2" t="str">
        <f t="shared" si="2"/>
        <v/>
      </c>
      <c r="J21" t="str">
        <f t="shared" si="3"/>
        <v>点击次数少于10次没有参考性</v>
      </c>
      <c r="K21" s="4" t="str">
        <f>IFERROR(INDEX(搜索词报告!$D$2:$D$22222,MATCH(关键词词频统计!A21,搜索词报告!$H$2:$H$22222,0)),"")</f>
        <v/>
      </c>
      <c r="M21">
        <f t="array" ref="M21">SUM(IF(搜索词报告!$H$2:$H$22222=L21,IF(搜索词报告!$A$2:$A$22222&gt;=$L$2,IF(搜索词报告!$A$2:$A$22222&lt;=$L$4,搜索词报告!$I$2:$I$22222,0),0),0))</f>
        <v>0</v>
      </c>
      <c r="N21">
        <f t="array" ref="N21">SUM(IF(搜索词报告!$H$2:$H$22222=L21,IF(搜索词报告!$A$2:$A$22222&gt;=$L$2,IF(搜索词报告!$A$2:$A$22222&lt;=$L$4,搜索词报告!$J$2:$J$22222,0),0),0))</f>
        <v>0</v>
      </c>
      <c r="O21" s="2">
        <f t="shared" si="4"/>
        <v>0</v>
      </c>
      <c r="P21" s="2">
        <f t="shared" si="5"/>
        <v>0</v>
      </c>
      <c r="Q21">
        <f t="array" ref="Q21">SUM(IF(搜索词报告!$H$2:$H$22222=L21,IF(搜索词报告!$A$2:$A$22222&gt;=$L$2,IF(搜索词报告!$A$2:$A$22222&lt;=$L$4,搜索词报告!$Q$2:$Q$22222,0),0),0))</f>
        <v>0</v>
      </c>
      <c r="R21">
        <f t="array" ref="R21">SUM(IF(搜索词报告!$H$2:$H$22222=L21,IF(搜索词报告!$A$2:$A$22222&gt;=$L$2,IF(搜索词报告!$A$2:$A$22222&lt;=$L$4,搜索词报告!$N$2:$N$22222,0),0),0))</f>
        <v>0</v>
      </c>
      <c r="S21">
        <f t="array" ref="S21">SUM(IF(搜索词报告!$H$2:$H$22222=L21,IF(搜索词报告!$A$2:$A$22222&gt;=$L$2,IF(搜索词报告!$A$2:$A$22222&lt;=$L$4,搜索词报告!$M$2:$M$22222,0),0),0))</f>
        <v>0</v>
      </c>
      <c r="T21" s="2" t="str">
        <f t="shared" si="6"/>
        <v/>
      </c>
      <c r="U21" t="str">
        <f t="shared" si="7"/>
        <v>点击次数少于10次没有参考性</v>
      </c>
      <c r="V21" s="4" t="str">
        <f>IFERROR(INDEX(搜索词报告!$D$2:$D$22222,MATCH(关键词词频统计!L21,搜索词报告!$H$2:$H$22222,0)),"")</f>
        <v/>
      </c>
    </row>
    <row r="22" spans="2:22" x14ac:dyDescent="0.15">
      <c r="B22">
        <f t="array" ref="B22">SUM(IF(搜索词报告!$H$2:$H$22222=A22,IF(搜索词报告!$A$2:$A$22222&gt;=关键词词频统计!$A$2,IF(搜索词报告!$A$2:$A$22222&lt;=关键词词频统计!$A$4,搜索词报告!$I$2:$I$22222,0),0),0))</f>
        <v>0</v>
      </c>
      <c r="C22">
        <f t="array" ref="C22">SUM(IF(搜索词报告!$H$2:$H$22222=A22,IF(搜索词报告!$A$2:$A$22222&gt;=关键词词频统计!$A$2,IF(搜索词报告!$A$2:$A$22222&lt;=关键词词频统计!$A$4,搜索词报告!$J$2:$J$22222,0),0),0))</f>
        <v>0</v>
      </c>
      <c r="D22" s="2">
        <f t="shared" si="0"/>
        <v>0</v>
      </c>
      <c r="E22" s="2">
        <f t="shared" si="1"/>
        <v>0</v>
      </c>
      <c r="F22">
        <f t="array" ref="F22">SUM(IF(搜索词报告!$H$2:$H$22222=A22,IF(搜索词报告!$A$2:$A$22222&gt;=关键词词频统计!$A$2,IF(搜索词报告!$A$2:$A$22222&lt;=关键词词频统计!$A$4,搜索词报告!$Q$2:$Q$22222,0),0),0))</f>
        <v>0</v>
      </c>
      <c r="G22">
        <f t="array" ref="G22">SUM(IF(搜索词报告!$H$2:$H$22222=A22,IF(搜索词报告!$A$2:$A$22222&gt;=关键词词频统计!$A$2,IF(搜索词报告!$A$2:$A$22222&lt;=关键词词频统计!$A$4,搜索词报告!$N$2:$N$22222,0),0),0))</f>
        <v>0</v>
      </c>
      <c r="H22">
        <f t="array" ref="H22">SUM(IF(搜索词报告!$H$2:$H$22222=A22,IF(搜索词报告!$A$2:$A$22222&gt;=关键词词频统计!$A$2,IF(搜索词报告!$A$2:$A$22222&lt;=关键词词频统计!$A$4,搜索词报告!$M$2:$M$22222,0),0),0))</f>
        <v>0</v>
      </c>
      <c r="I22" s="2" t="str">
        <f t="shared" si="2"/>
        <v/>
      </c>
      <c r="J22" t="str">
        <f t="shared" si="3"/>
        <v>点击次数少于10次没有参考性</v>
      </c>
      <c r="K22" s="4" t="str">
        <f>IFERROR(INDEX(搜索词报告!$D$2:$D$22222,MATCH(关键词词频统计!A22,搜索词报告!$H$2:$H$22222,0)),"")</f>
        <v/>
      </c>
      <c r="M22">
        <f t="array" ref="M22">SUM(IF(搜索词报告!$H$2:$H$22222=L22,IF(搜索词报告!$A$2:$A$22222&gt;=$L$2,IF(搜索词报告!$A$2:$A$22222&lt;=$L$4,搜索词报告!$I$2:$I$22222,0),0),0))</f>
        <v>0</v>
      </c>
      <c r="N22">
        <f t="array" ref="N22">SUM(IF(搜索词报告!$H$2:$H$22222=L22,IF(搜索词报告!$A$2:$A$22222&gt;=$L$2,IF(搜索词报告!$A$2:$A$22222&lt;=$L$4,搜索词报告!$J$2:$J$22222,0),0),0))</f>
        <v>0</v>
      </c>
      <c r="O22" s="2">
        <f t="shared" si="4"/>
        <v>0</v>
      </c>
      <c r="P22" s="2">
        <f t="shared" si="5"/>
        <v>0</v>
      </c>
      <c r="Q22">
        <f t="array" ref="Q22">SUM(IF(搜索词报告!$H$2:$H$22222=L22,IF(搜索词报告!$A$2:$A$22222&gt;=$L$2,IF(搜索词报告!$A$2:$A$22222&lt;=$L$4,搜索词报告!$Q$2:$Q$22222,0),0),0))</f>
        <v>0</v>
      </c>
      <c r="R22">
        <f t="array" ref="R22">SUM(IF(搜索词报告!$H$2:$H$22222=L22,IF(搜索词报告!$A$2:$A$22222&gt;=$L$2,IF(搜索词报告!$A$2:$A$22222&lt;=$L$4,搜索词报告!$N$2:$N$22222,0),0),0))</f>
        <v>0</v>
      </c>
      <c r="S22">
        <f t="array" ref="S22">SUM(IF(搜索词报告!$H$2:$H$22222=L22,IF(搜索词报告!$A$2:$A$22222&gt;=$L$2,IF(搜索词报告!$A$2:$A$22222&lt;=$L$4,搜索词报告!$M$2:$M$22222,0),0),0))</f>
        <v>0</v>
      </c>
      <c r="T22" s="2" t="str">
        <f t="shared" si="6"/>
        <v/>
      </c>
      <c r="U22" t="str">
        <f t="shared" si="7"/>
        <v>点击次数少于10次没有参考性</v>
      </c>
      <c r="V22" s="4" t="str">
        <f>IFERROR(INDEX(搜索词报告!$D$2:$D$22222,MATCH(关键词词频统计!L22,搜索词报告!$H$2:$H$22222,0)),"")</f>
        <v/>
      </c>
    </row>
    <row r="23" spans="2:22" x14ac:dyDescent="0.15">
      <c r="B23">
        <f t="array" ref="B23">SUM(IF(搜索词报告!$H$2:$H$22222=A23,IF(搜索词报告!$A$2:$A$22222&gt;=关键词词频统计!$A$2,IF(搜索词报告!$A$2:$A$22222&lt;=关键词词频统计!$A$4,搜索词报告!$I$2:$I$22222,0),0),0))</f>
        <v>0</v>
      </c>
      <c r="C23">
        <f t="array" ref="C23">SUM(IF(搜索词报告!$H$2:$H$22222=A23,IF(搜索词报告!$A$2:$A$22222&gt;=关键词词频统计!$A$2,IF(搜索词报告!$A$2:$A$22222&lt;=关键词词频统计!$A$4,搜索词报告!$J$2:$J$22222,0),0),0))</f>
        <v>0</v>
      </c>
      <c r="D23" s="2">
        <f t="shared" si="0"/>
        <v>0</v>
      </c>
      <c r="E23" s="2">
        <f t="shared" si="1"/>
        <v>0</v>
      </c>
      <c r="F23">
        <f t="array" ref="F23">SUM(IF(搜索词报告!$H$2:$H$22222=A23,IF(搜索词报告!$A$2:$A$22222&gt;=关键词词频统计!$A$2,IF(搜索词报告!$A$2:$A$22222&lt;=关键词词频统计!$A$4,搜索词报告!$Q$2:$Q$22222,0),0),0))</f>
        <v>0</v>
      </c>
      <c r="G23">
        <f t="array" ref="G23">SUM(IF(搜索词报告!$H$2:$H$22222=A23,IF(搜索词报告!$A$2:$A$22222&gt;=关键词词频统计!$A$2,IF(搜索词报告!$A$2:$A$22222&lt;=关键词词频统计!$A$4,搜索词报告!$N$2:$N$22222,0),0),0))</f>
        <v>0</v>
      </c>
      <c r="H23">
        <f t="array" ref="H23">SUM(IF(搜索词报告!$H$2:$H$22222=A23,IF(搜索词报告!$A$2:$A$22222&gt;=关键词词频统计!$A$2,IF(搜索词报告!$A$2:$A$22222&lt;=关键词词频统计!$A$4,搜索词报告!$M$2:$M$22222,0),0),0))</f>
        <v>0</v>
      </c>
      <c r="I23" s="2" t="str">
        <f t="shared" si="2"/>
        <v/>
      </c>
      <c r="J23" t="str">
        <f t="shared" si="3"/>
        <v>点击次数少于10次没有参考性</v>
      </c>
      <c r="K23" s="4" t="str">
        <f>IFERROR(INDEX(搜索词报告!$D$2:$D$22222,MATCH(关键词词频统计!A23,搜索词报告!$H$2:$H$22222,0)),"")</f>
        <v/>
      </c>
      <c r="M23">
        <f t="array" ref="M23">SUM(IF(搜索词报告!$H$2:$H$22222=L23,IF(搜索词报告!$A$2:$A$22222&gt;=$L$2,IF(搜索词报告!$A$2:$A$22222&lt;=$L$4,搜索词报告!$I$2:$I$22222,0),0),0))</f>
        <v>0</v>
      </c>
      <c r="N23">
        <f t="array" ref="N23">SUM(IF(搜索词报告!$H$2:$H$22222=L23,IF(搜索词报告!$A$2:$A$22222&gt;=$L$2,IF(搜索词报告!$A$2:$A$22222&lt;=$L$4,搜索词报告!$J$2:$J$22222,0),0),0))</f>
        <v>0</v>
      </c>
      <c r="O23" s="2">
        <f t="shared" si="4"/>
        <v>0</v>
      </c>
      <c r="P23" s="2">
        <f t="shared" si="5"/>
        <v>0</v>
      </c>
      <c r="Q23">
        <f t="array" ref="Q23">SUM(IF(搜索词报告!$H$2:$H$22222=L23,IF(搜索词报告!$A$2:$A$22222&gt;=$L$2,IF(搜索词报告!$A$2:$A$22222&lt;=$L$4,搜索词报告!$Q$2:$Q$22222,0),0),0))</f>
        <v>0</v>
      </c>
      <c r="R23">
        <f t="array" ref="R23">SUM(IF(搜索词报告!$H$2:$H$22222=L23,IF(搜索词报告!$A$2:$A$22222&gt;=$L$2,IF(搜索词报告!$A$2:$A$22222&lt;=$L$4,搜索词报告!$N$2:$N$22222,0),0),0))</f>
        <v>0</v>
      </c>
      <c r="S23">
        <f t="array" ref="S23">SUM(IF(搜索词报告!$H$2:$H$22222=L23,IF(搜索词报告!$A$2:$A$22222&gt;=$L$2,IF(搜索词报告!$A$2:$A$22222&lt;=$L$4,搜索词报告!$M$2:$M$22222,0),0),0))</f>
        <v>0</v>
      </c>
      <c r="T23" s="2" t="str">
        <f t="shared" si="6"/>
        <v/>
      </c>
      <c r="U23" t="str">
        <f t="shared" si="7"/>
        <v>点击次数少于10次没有参考性</v>
      </c>
      <c r="V23" s="4" t="str">
        <f>IFERROR(INDEX(搜索词报告!$D$2:$D$22222,MATCH(关键词词频统计!L23,搜索词报告!$H$2:$H$22222,0)),"")</f>
        <v/>
      </c>
    </row>
    <row r="24" spans="2:22" x14ac:dyDescent="0.15">
      <c r="B24">
        <f t="array" ref="B24">SUM(IF(搜索词报告!$H$2:$H$22222=A24,IF(搜索词报告!$A$2:$A$22222&gt;=关键词词频统计!$A$2,IF(搜索词报告!$A$2:$A$22222&lt;=关键词词频统计!$A$4,搜索词报告!$I$2:$I$22222,0),0),0))</f>
        <v>0</v>
      </c>
      <c r="C24">
        <f t="array" ref="C24">SUM(IF(搜索词报告!$H$2:$H$22222=A24,IF(搜索词报告!$A$2:$A$22222&gt;=关键词词频统计!$A$2,IF(搜索词报告!$A$2:$A$22222&lt;=关键词词频统计!$A$4,搜索词报告!$J$2:$J$22222,0),0),0))</f>
        <v>0</v>
      </c>
      <c r="D24" s="2">
        <f t="shared" si="0"/>
        <v>0</v>
      </c>
      <c r="E24" s="2">
        <f t="shared" si="1"/>
        <v>0</v>
      </c>
      <c r="F24">
        <f t="array" ref="F24">SUM(IF(搜索词报告!$H$2:$H$22222=A24,IF(搜索词报告!$A$2:$A$22222&gt;=关键词词频统计!$A$2,IF(搜索词报告!$A$2:$A$22222&lt;=关键词词频统计!$A$4,搜索词报告!$Q$2:$Q$22222,0),0),0))</f>
        <v>0</v>
      </c>
      <c r="G24">
        <f t="array" ref="G24">SUM(IF(搜索词报告!$H$2:$H$22222=A24,IF(搜索词报告!$A$2:$A$22222&gt;=关键词词频统计!$A$2,IF(搜索词报告!$A$2:$A$22222&lt;=关键词词频统计!$A$4,搜索词报告!$N$2:$N$22222,0),0),0))</f>
        <v>0</v>
      </c>
      <c r="H24">
        <f t="array" ref="H24">SUM(IF(搜索词报告!$H$2:$H$22222=A24,IF(搜索词报告!$A$2:$A$22222&gt;=关键词词频统计!$A$2,IF(搜索词报告!$A$2:$A$22222&lt;=关键词词频统计!$A$4,搜索词报告!$M$2:$M$22222,0),0),0))</f>
        <v>0</v>
      </c>
      <c r="I24" s="2" t="str">
        <f t="shared" si="2"/>
        <v/>
      </c>
      <c r="J24" t="str">
        <f t="shared" si="3"/>
        <v>点击次数少于10次没有参考性</v>
      </c>
      <c r="K24" s="4" t="str">
        <f>IFERROR(INDEX(搜索词报告!$D$2:$D$22222,MATCH(关键词词频统计!A24,搜索词报告!$H$2:$H$22222,0)),"")</f>
        <v/>
      </c>
      <c r="M24">
        <f t="array" ref="M24">SUM(IF(搜索词报告!$H$2:$H$22222=L24,IF(搜索词报告!$A$2:$A$22222&gt;=$L$2,IF(搜索词报告!$A$2:$A$22222&lt;=$L$4,搜索词报告!$I$2:$I$22222,0),0),0))</f>
        <v>0</v>
      </c>
      <c r="N24">
        <f t="array" ref="N24">SUM(IF(搜索词报告!$H$2:$H$22222=L24,IF(搜索词报告!$A$2:$A$22222&gt;=$L$2,IF(搜索词报告!$A$2:$A$22222&lt;=$L$4,搜索词报告!$J$2:$J$22222,0),0),0))</f>
        <v>0</v>
      </c>
      <c r="O24" s="2">
        <f t="shared" si="4"/>
        <v>0</v>
      </c>
      <c r="P24" s="2">
        <f t="shared" si="5"/>
        <v>0</v>
      </c>
      <c r="Q24">
        <f t="array" ref="Q24">SUM(IF(搜索词报告!$H$2:$H$22222=L24,IF(搜索词报告!$A$2:$A$22222&gt;=$L$2,IF(搜索词报告!$A$2:$A$22222&lt;=$L$4,搜索词报告!$Q$2:$Q$22222,0),0),0))</f>
        <v>0</v>
      </c>
      <c r="R24">
        <f t="array" ref="R24">SUM(IF(搜索词报告!$H$2:$H$22222=L24,IF(搜索词报告!$A$2:$A$22222&gt;=$L$2,IF(搜索词报告!$A$2:$A$22222&lt;=$L$4,搜索词报告!$N$2:$N$22222,0),0),0))</f>
        <v>0</v>
      </c>
      <c r="S24">
        <f t="array" ref="S24">SUM(IF(搜索词报告!$H$2:$H$22222=L24,IF(搜索词报告!$A$2:$A$22222&gt;=$L$2,IF(搜索词报告!$A$2:$A$22222&lt;=$L$4,搜索词报告!$M$2:$M$22222,0),0),0))</f>
        <v>0</v>
      </c>
      <c r="T24" s="2" t="str">
        <f t="shared" si="6"/>
        <v/>
      </c>
      <c r="U24" t="str">
        <f t="shared" si="7"/>
        <v>点击次数少于10次没有参考性</v>
      </c>
      <c r="V24" s="4" t="str">
        <f>IFERROR(INDEX(搜索词报告!$D$2:$D$22222,MATCH(关键词词频统计!L24,搜索词报告!$H$2:$H$22222,0)),"")</f>
        <v/>
      </c>
    </row>
    <row r="25" spans="2:22" x14ac:dyDescent="0.15">
      <c r="B25">
        <f t="array" ref="B25">SUM(IF(搜索词报告!$H$2:$H$22222=A25,IF(搜索词报告!$A$2:$A$22222&gt;=关键词词频统计!$A$2,IF(搜索词报告!$A$2:$A$22222&lt;=关键词词频统计!$A$4,搜索词报告!$I$2:$I$22222,0),0),0))</f>
        <v>0</v>
      </c>
      <c r="C25">
        <f t="array" ref="C25">SUM(IF(搜索词报告!$H$2:$H$22222=A25,IF(搜索词报告!$A$2:$A$22222&gt;=关键词词频统计!$A$2,IF(搜索词报告!$A$2:$A$22222&lt;=关键词词频统计!$A$4,搜索词报告!$J$2:$J$22222,0),0),0))</f>
        <v>0</v>
      </c>
      <c r="D25" s="2">
        <f t="shared" si="0"/>
        <v>0</v>
      </c>
      <c r="E25" s="2">
        <f t="shared" si="1"/>
        <v>0</v>
      </c>
      <c r="F25">
        <f t="array" ref="F25">SUM(IF(搜索词报告!$H$2:$H$22222=A25,IF(搜索词报告!$A$2:$A$22222&gt;=关键词词频统计!$A$2,IF(搜索词报告!$A$2:$A$22222&lt;=关键词词频统计!$A$4,搜索词报告!$Q$2:$Q$22222,0),0),0))</f>
        <v>0</v>
      </c>
      <c r="G25">
        <f t="array" ref="G25">SUM(IF(搜索词报告!$H$2:$H$22222=A25,IF(搜索词报告!$A$2:$A$22222&gt;=关键词词频统计!$A$2,IF(搜索词报告!$A$2:$A$22222&lt;=关键词词频统计!$A$4,搜索词报告!$N$2:$N$22222,0),0),0))</f>
        <v>0</v>
      </c>
      <c r="H25">
        <f t="array" ref="H25">SUM(IF(搜索词报告!$H$2:$H$22222=A25,IF(搜索词报告!$A$2:$A$22222&gt;=关键词词频统计!$A$2,IF(搜索词报告!$A$2:$A$22222&lt;=关键词词频统计!$A$4,搜索词报告!$M$2:$M$22222,0),0),0))</f>
        <v>0</v>
      </c>
      <c r="I25" s="2" t="str">
        <f t="shared" si="2"/>
        <v/>
      </c>
      <c r="J25" t="str">
        <f t="shared" si="3"/>
        <v>点击次数少于10次没有参考性</v>
      </c>
      <c r="K25" s="4" t="str">
        <f>IFERROR(INDEX(搜索词报告!$D$2:$D$22222,MATCH(关键词词频统计!A25,搜索词报告!$H$2:$H$22222,0)),"")</f>
        <v/>
      </c>
      <c r="M25">
        <f t="array" ref="M25">SUM(IF(搜索词报告!$H$2:$H$22222=L25,IF(搜索词报告!$A$2:$A$22222&gt;=$L$2,IF(搜索词报告!$A$2:$A$22222&lt;=$L$4,搜索词报告!$I$2:$I$22222,0),0),0))</f>
        <v>0</v>
      </c>
      <c r="N25">
        <f t="array" ref="N25">SUM(IF(搜索词报告!$H$2:$H$22222=L25,IF(搜索词报告!$A$2:$A$22222&gt;=$L$2,IF(搜索词报告!$A$2:$A$22222&lt;=$L$4,搜索词报告!$J$2:$J$22222,0),0),0))</f>
        <v>0</v>
      </c>
      <c r="O25" s="2">
        <f t="shared" si="4"/>
        <v>0</v>
      </c>
      <c r="P25" s="2">
        <f t="shared" si="5"/>
        <v>0</v>
      </c>
      <c r="Q25">
        <f t="array" ref="Q25">SUM(IF(搜索词报告!$H$2:$H$22222=L25,IF(搜索词报告!$A$2:$A$22222&gt;=$L$2,IF(搜索词报告!$A$2:$A$22222&lt;=$L$4,搜索词报告!$Q$2:$Q$22222,0),0),0))</f>
        <v>0</v>
      </c>
      <c r="R25">
        <f t="array" ref="R25">SUM(IF(搜索词报告!$H$2:$H$22222=L25,IF(搜索词报告!$A$2:$A$22222&gt;=$L$2,IF(搜索词报告!$A$2:$A$22222&lt;=$L$4,搜索词报告!$N$2:$N$22222,0),0),0))</f>
        <v>0</v>
      </c>
      <c r="S25">
        <f t="array" ref="S25">SUM(IF(搜索词报告!$H$2:$H$22222=L25,IF(搜索词报告!$A$2:$A$22222&gt;=$L$2,IF(搜索词报告!$A$2:$A$22222&lt;=$L$4,搜索词报告!$M$2:$M$22222,0),0),0))</f>
        <v>0</v>
      </c>
      <c r="T25" s="2" t="str">
        <f t="shared" si="6"/>
        <v/>
      </c>
      <c r="U25" t="str">
        <f t="shared" si="7"/>
        <v>点击次数少于10次没有参考性</v>
      </c>
      <c r="V25" s="4" t="str">
        <f>IFERROR(INDEX(搜索词报告!$D$2:$D$22222,MATCH(关键词词频统计!L25,搜索词报告!$H$2:$H$22222,0)),"")</f>
        <v/>
      </c>
    </row>
    <row r="26" spans="2:22" x14ac:dyDescent="0.15">
      <c r="B26">
        <f t="array" ref="B26">SUM(IF(搜索词报告!$H$2:$H$22222=A26,IF(搜索词报告!$A$2:$A$22222&gt;=关键词词频统计!$A$2,IF(搜索词报告!$A$2:$A$22222&lt;=关键词词频统计!$A$4,搜索词报告!$I$2:$I$22222,0),0),0))</f>
        <v>0</v>
      </c>
      <c r="C26">
        <f t="array" ref="C26">SUM(IF(搜索词报告!$H$2:$H$22222=A26,IF(搜索词报告!$A$2:$A$22222&gt;=关键词词频统计!$A$2,IF(搜索词报告!$A$2:$A$22222&lt;=关键词词频统计!$A$4,搜索词报告!$J$2:$J$22222,0),0),0))</f>
        <v>0</v>
      </c>
      <c r="D26" s="2">
        <f t="shared" si="0"/>
        <v>0</v>
      </c>
      <c r="E26" s="2">
        <f t="shared" si="1"/>
        <v>0</v>
      </c>
      <c r="F26">
        <f t="array" ref="F26">SUM(IF(搜索词报告!$H$2:$H$22222=A26,IF(搜索词报告!$A$2:$A$22222&gt;=关键词词频统计!$A$2,IF(搜索词报告!$A$2:$A$22222&lt;=关键词词频统计!$A$4,搜索词报告!$Q$2:$Q$22222,0),0),0))</f>
        <v>0</v>
      </c>
      <c r="G26">
        <f t="array" ref="G26">SUM(IF(搜索词报告!$H$2:$H$22222=A26,IF(搜索词报告!$A$2:$A$22222&gt;=关键词词频统计!$A$2,IF(搜索词报告!$A$2:$A$22222&lt;=关键词词频统计!$A$4,搜索词报告!$N$2:$N$22222,0),0),0))</f>
        <v>0</v>
      </c>
      <c r="H26">
        <f t="array" ref="H26">SUM(IF(搜索词报告!$H$2:$H$22222=A26,IF(搜索词报告!$A$2:$A$22222&gt;=关键词词频统计!$A$2,IF(搜索词报告!$A$2:$A$22222&lt;=关键词词频统计!$A$4,搜索词报告!$M$2:$M$22222,0),0),0))</f>
        <v>0</v>
      </c>
      <c r="I26" s="2" t="str">
        <f t="shared" si="2"/>
        <v/>
      </c>
      <c r="J26" t="str">
        <f t="shared" si="3"/>
        <v>点击次数少于10次没有参考性</v>
      </c>
      <c r="K26" s="4" t="str">
        <f>IFERROR(INDEX(搜索词报告!$D$2:$D$22222,MATCH(关键词词频统计!A26,搜索词报告!$H$2:$H$22222,0)),"")</f>
        <v/>
      </c>
      <c r="M26">
        <f t="array" ref="M26">SUM(IF(搜索词报告!$H$2:$H$22222=L26,IF(搜索词报告!$A$2:$A$22222&gt;=$L$2,IF(搜索词报告!$A$2:$A$22222&lt;=$L$4,搜索词报告!$I$2:$I$22222,0),0),0))</f>
        <v>0</v>
      </c>
      <c r="N26">
        <f t="array" ref="N26">SUM(IF(搜索词报告!$H$2:$H$22222=L26,IF(搜索词报告!$A$2:$A$22222&gt;=$L$2,IF(搜索词报告!$A$2:$A$22222&lt;=$L$4,搜索词报告!$J$2:$J$22222,0),0),0))</f>
        <v>0</v>
      </c>
      <c r="O26" s="2">
        <f t="shared" si="4"/>
        <v>0</v>
      </c>
      <c r="P26" s="2">
        <f t="shared" si="5"/>
        <v>0</v>
      </c>
      <c r="Q26">
        <f t="array" ref="Q26">SUM(IF(搜索词报告!$H$2:$H$22222=L26,IF(搜索词报告!$A$2:$A$22222&gt;=$L$2,IF(搜索词报告!$A$2:$A$22222&lt;=$L$4,搜索词报告!$Q$2:$Q$22222,0),0),0))</f>
        <v>0</v>
      </c>
      <c r="R26">
        <f t="array" ref="R26">SUM(IF(搜索词报告!$H$2:$H$22222=L26,IF(搜索词报告!$A$2:$A$22222&gt;=$L$2,IF(搜索词报告!$A$2:$A$22222&lt;=$L$4,搜索词报告!$N$2:$N$22222,0),0),0))</f>
        <v>0</v>
      </c>
      <c r="S26">
        <f t="array" ref="S26">SUM(IF(搜索词报告!$H$2:$H$22222=L26,IF(搜索词报告!$A$2:$A$22222&gt;=$L$2,IF(搜索词报告!$A$2:$A$22222&lt;=$L$4,搜索词报告!$M$2:$M$22222,0),0),0))</f>
        <v>0</v>
      </c>
      <c r="T26" s="2" t="str">
        <f t="shared" si="6"/>
        <v/>
      </c>
      <c r="U26" t="str">
        <f t="shared" si="7"/>
        <v>点击次数少于10次没有参考性</v>
      </c>
      <c r="V26" s="4" t="str">
        <f>IFERROR(INDEX(搜索词报告!$D$2:$D$22222,MATCH(关键词词频统计!L26,搜索词报告!$H$2:$H$22222,0)),"")</f>
        <v/>
      </c>
    </row>
    <row r="27" spans="2:22" x14ac:dyDescent="0.15">
      <c r="B27">
        <f t="array" ref="B27">SUM(IF(搜索词报告!$H$2:$H$22222=A27,IF(搜索词报告!$A$2:$A$22222&gt;=关键词词频统计!$A$2,IF(搜索词报告!$A$2:$A$22222&lt;=关键词词频统计!$A$4,搜索词报告!$I$2:$I$22222,0),0),0))</f>
        <v>0</v>
      </c>
      <c r="C27">
        <f t="array" ref="C27">SUM(IF(搜索词报告!$H$2:$H$22222=A27,IF(搜索词报告!$A$2:$A$22222&gt;=关键词词频统计!$A$2,IF(搜索词报告!$A$2:$A$22222&lt;=关键词词频统计!$A$4,搜索词报告!$J$2:$J$22222,0),0),0))</f>
        <v>0</v>
      </c>
      <c r="D27" s="2">
        <f t="shared" si="0"/>
        <v>0</v>
      </c>
      <c r="E27" s="2">
        <f t="shared" si="1"/>
        <v>0</v>
      </c>
      <c r="F27">
        <f t="array" ref="F27">SUM(IF(搜索词报告!$H$2:$H$22222=A27,IF(搜索词报告!$A$2:$A$22222&gt;=关键词词频统计!$A$2,IF(搜索词报告!$A$2:$A$22222&lt;=关键词词频统计!$A$4,搜索词报告!$Q$2:$Q$22222,0),0),0))</f>
        <v>0</v>
      </c>
      <c r="G27">
        <f t="array" ref="G27">SUM(IF(搜索词报告!$H$2:$H$22222=A27,IF(搜索词报告!$A$2:$A$22222&gt;=关键词词频统计!$A$2,IF(搜索词报告!$A$2:$A$22222&lt;=关键词词频统计!$A$4,搜索词报告!$N$2:$N$22222,0),0),0))</f>
        <v>0</v>
      </c>
      <c r="H27">
        <f t="array" ref="H27">SUM(IF(搜索词报告!$H$2:$H$22222=A27,IF(搜索词报告!$A$2:$A$22222&gt;=关键词词频统计!$A$2,IF(搜索词报告!$A$2:$A$22222&lt;=关键词词频统计!$A$4,搜索词报告!$M$2:$M$22222,0),0),0))</f>
        <v>0</v>
      </c>
      <c r="I27" s="2" t="str">
        <f t="shared" si="2"/>
        <v/>
      </c>
      <c r="J27" t="str">
        <f t="shared" si="3"/>
        <v>点击次数少于10次没有参考性</v>
      </c>
      <c r="K27" s="4" t="str">
        <f>IFERROR(INDEX(搜索词报告!$D$2:$D$22222,MATCH(关键词词频统计!A27,搜索词报告!$H$2:$H$22222,0)),"")</f>
        <v/>
      </c>
      <c r="M27">
        <f t="array" ref="M27">SUM(IF(搜索词报告!$H$2:$H$22222=L27,IF(搜索词报告!$A$2:$A$22222&gt;=$L$2,IF(搜索词报告!$A$2:$A$22222&lt;=$L$4,搜索词报告!$I$2:$I$22222,0),0),0))</f>
        <v>0</v>
      </c>
      <c r="N27">
        <f t="array" ref="N27">SUM(IF(搜索词报告!$H$2:$H$22222=L27,IF(搜索词报告!$A$2:$A$22222&gt;=$L$2,IF(搜索词报告!$A$2:$A$22222&lt;=$L$4,搜索词报告!$J$2:$J$22222,0),0),0))</f>
        <v>0</v>
      </c>
      <c r="O27" s="2">
        <f t="shared" si="4"/>
        <v>0</v>
      </c>
      <c r="P27" s="2">
        <f t="shared" si="5"/>
        <v>0</v>
      </c>
      <c r="Q27">
        <f t="array" ref="Q27">SUM(IF(搜索词报告!$H$2:$H$22222=L27,IF(搜索词报告!$A$2:$A$22222&gt;=$L$2,IF(搜索词报告!$A$2:$A$22222&lt;=$L$4,搜索词报告!$Q$2:$Q$22222,0),0),0))</f>
        <v>0</v>
      </c>
      <c r="R27">
        <f t="array" ref="R27">SUM(IF(搜索词报告!$H$2:$H$22222=L27,IF(搜索词报告!$A$2:$A$22222&gt;=$L$2,IF(搜索词报告!$A$2:$A$22222&lt;=$L$4,搜索词报告!$N$2:$N$22222,0),0),0))</f>
        <v>0</v>
      </c>
      <c r="S27">
        <f t="array" ref="S27">SUM(IF(搜索词报告!$H$2:$H$22222=L27,IF(搜索词报告!$A$2:$A$22222&gt;=$L$2,IF(搜索词报告!$A$2:$A$22222&lt;=$L$4,搜索词报告!$M$2:$M$22222,0),0),0))</f>
        <v>0</v>
      </c>
      <c r="T27" s="2" t="str">
        <f t="shared" si="6"/>
        <v/>
      </c>
      <c r="U27" t="str">
        <f t="shared" si="7"/>
        <v>点击次数少于10次没有参考性</v>
      </c>
      <c r="V27" s="4" t="str">
        <f>IFERROR(INDEX(搜索词报告!$D$2:$D$22222,MATCH(关键词词频统计!L27,搜索词报告!$H$2:$H$22222,0)),"")</f>
        <v/>
      </c>
    </row>
    <row r="28" spans="2:22" x14ac:dyDescent="0.15">
      <c r="B28">
        <f t="array" ref="B28">SUM(IF(搜索词报告!$H$2:$H$22222=A28,IF(搜索词报告!$A$2:$A$22222&gt;=关键词词频统计!$A$2,IF(搜索词报告!$A$2:$A$22222&lt;=关键词词频统计!$A$4,搜索词报告!$I$2:$I$22222,0),0),0))</f>
        <v>0</v>
      </c>
      <c r="C28">
        <f t="array" ref="C28">SUM(IF(搜索词报告!$H$2:$H$22222=A28,IF(搜索词报告!$A$2:$A$22222&gt;=关键词词频统计!$A$2,IF(搜索词报告!$A$2:$A$22222&lt;=关键词词频统计!$A$4,搜索词报告!$J$2:$J$22222,0),0),0))</f>
        <v>0</v>
      </c>
      <c r="D28" s="2">
        <f t="shared" si="0"/>
        <v>0</v>
      </c>
      <c r="E28" s="2">
        <f t="shared" si="1"/>
        <v>0</v>
      </c>
      <c r="F28">
        <f t="array" ref="F28">SUM(IF(搜索词报告!$H$2:$H$22222=A28,IF(搜索词报告!$A$2:$A$22222&gt;=关键词词频统计!$A$2,IF(搜索词报告!$A$2:$A$22222&lt;=关键词词频统计!$A$4,搜索词报告!$Q$2:$Q$22222,0),0),0))</f>
        <v>0</v>
      </c>
      <c r="G28">
        <f t="array" ref="G28">SUM(IF(搜索词报告!$H$2:$H$22222=A28,IF(搜索词报告!$A$2:$A$22222&gt;=关键词词频统计!$A$2,IF(搜索词报告!$A$2:$A$22222&lt;=关键词词频统计!$A$4,搜索词报告!$N$2:$N$22222,0),0),0))</f>
        <v>0</v>
      </c>
      <c r="H28">
        <f t="array" ref="H28">SUM(IF(搜索词报告!$H$2:$H$22222=A28,IF(搜索词报告!$A$2:$A$22222&gt;=关键词词频统计!$A$2,IF(搜索词报告!$A$2:$A$22222&lt;=关键词词频统计!$A$4,搜索词报告!$M$2:$M$22222,0),0),0))</f>
        <v>0</v>
      </c>
      <c r="I28" s="2" t="str">
        <f t="shared" si="2"/>
        <v/>
      </c>
      <c r="J28" t="str">
        <f t="shared" si="3"/>
        <v>点击次数少于10次没有参考性</v>
      </c>
      <c r="K28" s="4" t="str">
        <f>IFERROR(INDEX(搜索词报告!$D$2:$D$22222,MATCH(关键词词频统计!A28,搜索词报告!$H$2:$H$22222,0)),"")</f>
        <v/>
      </c>
      <c r="M28">
        <f t="array" ref="M28">SUM(IF(搜索词报告!$H$2:$H$22222=L28,IF(搜索词报告!$A$2:$A$22222&gt;=$L$2,IF(搜索词报告!$A$2:$A$22222&lt;=$L$4,搜索词报告!$I$2:$I$22222,0),0),0))</f>
        <v>0</v>
      </c>
      <c r="N28">
        <f t="array" ref="N28">SUM(IF(搜索词报告!$H$2:$H$22222=L28,IF(搜索词报告!$A$2:$A$22222&gt;=$L$2,IF(搜索词报告!$A$2:$A$22222&lt;=$L$4,搜索词报告!$J$2:$J$22222,0),0),0))</f>
        <v>0</v>
      </c>
      <c r="O28" s="2">
        <f t="shared" si="4"/>
        <v>0</v>
      </c>
      <c r="P28" s="2">
        <f t="shared" si="5"/>
        <v>0</v>
      </c>
      <c r="Q28">
        <f t="array" ref="Q28">SUM(IF(搜索词报告!$H$2:$H$22222=L28,IF(搜索词报告!$A$2:$A$22222&gt;=$L$2,IF(搜索词报告!$A$2:$A$22222&lt;=$L$4,搜索词报告!$Q$2:$Q$22222,0),0),0))</f>
        <v>0</v>
      </c>
      <c r="R28">
        <f t="array" ref="R28">SUM(IF(搜索词报告!$H$2:$H$22222=L28,IF(搜索词报告!$A$2:$A$22222&gt;=$L$2,IF(搜索词报告!$A$2:$A$22222&lt;=$L$4,搜索词报告!$N$2:$N$22222,0),0),0))</f>
        <v>0</v>
      </c>
      <c r="S28">
        <f t="array" ref="S28">SUM(IF(搜索词报告!$H$2:$H$22222=L28,IF(搜索词报告!$A$2:$A$22222&gt;=$L$2,IF(搜索词报告!$A$2:$A$22222&lt;=$L$4,搜索词报告!$M$2:$M$22222,0),0),0))</f>
        <v>0</v>
      </c>
      <c r="T28" s="2" t="str">
        <f t="shared" si="6"/>
        <v/>
      </c>
      <c r="U28" t="str">
        <f t="shared" si="7"/>
        <v>点击次数少于10次没有参考性</v>
      </c>
      <c r="V28" s="4" t="str">
        <f>IFERROR(INDEX(搜索词报告!$D$2:$D$22222,MATCH(关键词词频统计!L28,搜索词报告!$H$2:$H$22222,0)),"")</f>
        <v/>
      </c>
    </row>
    <row r="29" spans="2:22" x14ac:dyDescent="0.15">
      <c r="B29">
        <f t="array" ref="B29">SUM(IF(搜索词报告!$H$2:$H$22222=A29,IF(搜索词报告!$A$2:$A$22222&gt;=关键词词频统计!$A$2,IF(搜索词报告!$A$2:$A$22222&lt;=关键词词频统计!$A$4,搜索词报告!$I$2:$I$22222,0),0),0))</f>
        <v>0</v>
      </c>
      <c r="C29">
        <f t="array" ref="C29">SUM(IF(搜索词报告!$H$2:$H$22222=A29,IF(搜索词报告!$A$2:$A$22222&gt;=关键词词频统计!$A$2,IF(搜索词报告!$A$2:$A$22222&lt;=关键词词频统计!$A$4,搜索词报告!$J$2:$J$22222,0),0),0))</f>
        <v>0</v>
      </c>
      <c r="D29" s="2">
        <f t="shared" si="0"/>
        <v>0</v>
      </c>
      <c r="E29" s="2">
        <f t="shared" si="1"/>
        <v>0</v>
      </c>
      <c r="F29">
        <f t="array" ref="F29">SUM(IF(搜索词报告!$H$2:$H$22222=A29,IF(搜索词报告!$A$2:$A$22222&gt;=关键词词频统计!$A$2,IF(搜索词报告!$A$2:$A$22222&lt;=关键词词频统计!$A$4,搜索词报告!$Q$2:$Q$22222,0),0),0))</f>
        <v>0</v>
      </c>
      <c r="G29">
        <f t="array" ref="G29">SUM(IF(搜索词报告!$H$2:$H$22222=A29,IF(搜索词报告!$A$2:$A$22222&gt;=关键词词频统计!$A$2,IF(搜索词报告!$A$2:$A$22222&lt;=关键词词频统计!$A$4,搜索词报告!$N$2:$N$22222,0),0),0))</f>
        <v>0</v>
      </c>
      <c r="H29">
        <f t="array" ref="H29">SUM(IF(搜索词报告!$H$2:$H$22222=A29,IF(搜索词报告!$A$2:$A$22222&gt;=关键词词频统计!$A$2,IF(搜索词报告!$A$2:$A$22222&lt;=关键词词频统计!$A$4,搜索词报告!$M$2:$M$22222,0),0),0))</f>
        <v>0</v>
      </c>
      <c r="I29" s="2" t="str">
        <f t="shared" si="2"/>
        <v/>
      </c>
      <c r="J29" t="str">
        <f t="shared" si="3"/>
        <v>点击次数少于10次没有参考性</v>
      </c>
      <c r="K29" s="4" t="str">
        <f>IFERROR(INDEX(搜索词报告!$D$2:$D$22222,MATCH(关键词词频统计!A29,搜索词报告!$H$2:$H$22222,0)),"")</f>
        <v/>
      </c>
      <c r="M29">
        <f t="array" ref="M29">SUM(IF(搜索词报告!$H$2:$H$22222=L29,IF(搜索词报告!$A$2:$A$22222&gt;=$L$2,IF(搜索词报告!$A$2:$A$22222&lt;=$L$4,搜索词报告!$I$2:$I$22222,0),0),0))</f>
        <v>0</v>
      </c>
      <c r="N29">
        <f t="array" ref="N29">SUM(IF(搜索词报告!$H$2:$H$22222=L29,IF(搜索词报告!$A$2:$A$22222&gt;=$L$2,IF(搜索词报告!$A$2:$A$22222&lt;=$L$4,搜索词报告!$J$2:$J$22222,0),0),0))</f>
        <v>0</v>
      </c>
      <c r="O29" s="2">
        <f t="shared" si="4"/>
        <v>0</v>
      </c>
      <c r="P29" s="2">
        <f t="shared" si="5"/>
        <v>0</v>
      </c>
      <c r="Q29">
        <f t="array" ref="Q29">SUM(IF(搜索词报告!$H$2:$H$22222=L29,IF(搜索词报告!$A$2:$A$22222&gt;=$L$2,IF(搜索词报告!$A$2:$A$22222&lt;=$L$4,搜索词报告!$Q$2:$Q$22222,0),0),0))</f>
        <v>0</v>
      </c>
      <c r="R29">
        <f t="array" ref="R29">SUM(IF(搜索词报告!$H$2:$H$22222=L29,IF(搜索词报告!$A$2:$A$22222&gt;=$L$2,IF(搜索词报告!$A$2:$A$22222&lt;=$L$4,搜索词报告!$N$2:$N$22222,0),0),0))</f>
        <v>0</v>
      </c>
      <c r="S29">
        <f t="array" ref="S29">SUM(IF(搜索词报告!$H$2:$H$22222=L29,IF(搜索词报告!$A$2:$A$22222&gt;=$L$2,IF(搜索词报告!$A$2:$A$22222&lt;=$L$4,搜索词报告!$M$2:$M$22222,0),0),0))</f>
        <v>0</v>
      </c>
      <c r="T29" s="2" t="str">
        <f t="shared" si="6"/>
        <v/>
      </c>
      <c r="U29" t="str">
        <f t="shared" si="7"/>
        <v>点击次数少于10次没有参考性</v>
      </c>
      <c r="V29" s="4" t="str">
        <f>IFERROR(INDEX(搜索词报告!$D$2:$D$22222,MATCH(关键词词频统计!L29,搜索词报告!$H$2:$H$22222,0)),"")</f>
        <v/>
      </c>
    </row>
    <row r="30" spans="2:22" x14ac:dyDescent="0.15">
      <c r="B30">
        <f t="array" ref="B30">SUM(IF(搜索词报告!$H$2:$H$22222=A30,IF(搜索词报告!$A$2:$A$22222&gt;=关键词词频统计!$A$2,IF(搜索词报告!$A$2:$A$22222&lt;=关键词词频统计!$A$4,搜索词报告!$I$2:$I$22222,0),0),0))</f>
        <v>0</v>
      </c>
      <c r="C30">
        <f t="array" ref="C30">SUM(IF(搜索词报告!$H$2:$H$22222=A30,IF(搜索词报告!$A$2:$A$22222&gt;=关键词词频统计!$A$2,IF(搜索词报告!$A$2:$A$22222&lt;=关键词词频统计!$A$4,搜索词报告!$J$2:$J$22222,0),0),0))</f>
        <v>0</v>
      </c>
      <c r="D30" s="2">
        <f t="shared" si="0"/>
        <v>0</v>
      </c>
      <c r="E30" s="2">
        <f t="shared" si="1"/>
        <v>0</v>
      </c>
      <c r="F30">
        <f t="array" ref="F30">SUM(IF(搜索词报告!$H$2:$H$22222=A30,IF(搜索词报告!$A$2:$A$22222&gt;=关键词词频统计!$A$2,IF(搜索词报告!$A$2:$A$22222&lt;=关键词词频统计!$A$4,搜索词报告!$Q$2:$Q$22222,0),0),0))</f>
        <v>0</v>
      </c>
      <c r="G30">
        <f t="array" ref="G30">SUM(IF(搜索词报告!$H$2:$H$22222=A30,IF(搜索词报告!$A$2:$A$22222&gt;=关键词词频统计!$A$2,IF(搜索词报告!$A$2:$A$22222&lt;=关键词词频统计!$A$4,搜索词报告!$N$2:$N$22222,0),0),0))</f>
        <v>0</v>
      </c>
      <c r="H30">
        <f t="array" ref="H30">SUM(IF(搜索词报告!$H$2:$H$22222=A30,IF(搜索词报告!$A$2:$A$22222&gt;=关键词词频统计!$A$2,IF(搜索词报告!$A$2:$A$22222&lt;=关键词词频统计!$A$4,搜索词报告!$M$2:$M$22222,0),0),0))</f>
        <v>0</v>
      </c>
      <c r="I30" s="2" t="str">
        <f t="shared" si="2"/>
        <v/>
      </c>
      <c r="J30" t="str">
        <f t="shared" si="3"/>
        <v>点击次数少于10次没有参考性</v>
      </c>
      <c r="K30" s="4" t="str">
        <f>IFERROR(INDEX(搜索词报告!$D$2:$D$22222,MATCH(关键词词频统计!A30,搜索词报告!$H$2:$H$22222,0)),"")</f>
        <v/>
      </c>
      <c r="M30">
        <f t="array" ref="M30">SUM(IF(搜索词报告!$H$2:$H$22222=L30,IF(搜索词报告!$A$2:$A$22222&gt;=$L$2,IF(搜索词报告!$A$2:$A$22222&lt;=$L$4,搜索词报告!$I$2:$I$22222,0),0),0))</f>
        <v>0</v>
      </c>
      <c r="N30">
        <f t="array" ref="N30">SUM(IF(搜索词报告!$H$2:$H$22222=L30,IF(搜索词报告!$A$2:$A$22222&gt;=$L$2,IF(搜索词报告!$A$2:$A$22222&lt;=$L$4,搜索词报告!$J$2:$J$22222,0),0),0))</f>
        <v>0</v>
      </c>
      <c r="O30" s="2">
        <f t="shared" si="4"/>
        <v>0</v>
      </c>
      <c r="P30" s="2">
        <f t="shared" si="5"/>
        <v>0</v>
      </c>
      <c r="Q30">
        <f t="array" ref="Q30">SUM(IF(搜索词报告!$H$2:$H$22222=L30,IF(搜索词报告!$A$2:$A$22222&gt;=$L$2,IF(搜索词报告!$A$2:$A$22222&lt;=$L$4,搜索词报告!$Q$2:$Q$22222,0),0),0))</f>
        <v>0</v>
      </c>
      <c r="R30">
        <f t="array" ref="R30">SUM(IF(搜索词报告!$H$2:$H$22222=L30,IF(搜索词报告!$A$2:$A$22222&gt;=$L$2,IF(搜索词报告!$A$2:$A$22222&lt;=$L$4,搜索词报告!$N$2:$N$22222,0),0),0))</f>
        <v>0</v>
      </c>
      <c r="S30">
        <f t="array" ref="S30">SUM(IF(搜索词报告!$H$2:$H$22222=L30,IF(搜索词报告!$A$2:$A$22222&gt;=$L$2,IF(搜索词报告!$A$2:$A$22222&lt;=$L$4,搜索词报告!$M$2:$M$22222,0),0),0))</f>
        <v>0</v>
      </c>
      <c r="T30" s="2" t="str">
        <f t="shared" si="6"/>
        <v/>
      </c>
      <c r="U30" t="str">
        <f t="shared" si="7"/>
        <v>点击次数少于10次没有参考性</v>
      </c>
      <c r="V30" s="4" t="str">
        <f>IFERROR(INDEX(搜索词报告!$D$2:$D$22222,MATCH(关键词词频统计!L30,搜索词报告!$H$2:$H$22222,0)),"")</f>
        <v/>
      </c>
    </row>
    <row r="31" spans="2:22" x14ac:dyDescent="0.15">
      <c r="B31">
        <f t="array" ref="B31">SUM(IF(搜索词报告!$H$2:$H$22222=A31,IF(搜索词报告!$A$2:$A$22222&gt;=关键词词频统计!$A$2,IF(搜索词报告!$A$2:$A$22222&lt;=关键词词频统计!$A$4,搜索词报告!$I$2:$I$22222,0),0),0))</f>
        <v>0</v>
      </c>
      <c r="C31">
        <f t="array" ref="C31">SUM(IF(搜索词报告!$H$2:$H$22222=A31,IF(搜索词报告!$A$2:$A$22222&gt;=关键词词频统计!$A$2,IF(搜索词报告!$A$2:$A$22222&lt;=关键词词频统计!$A$4,搜索词报告!$J$2:$J$22222,0),0),0))</f>
        <v>0</v>
      </c>
      <c r="D31" s="2">
        <f t="shared" si="0"/>
        <v>0</v>
      </c>
      <c r="E31" s="2">
        <f t="shared" si="1"/>
        <v>0</v>
      </c>
      <c r="F31">
        <f t="array" ref="F31">SUM(IF(搜索词报告!$H$2:$H$22222=A31,IF(搜索词报告!$A$2:$A$22222&gt;=关键词词频统计!$A$2,IF(搜索词报告!$A$2:$A$22222&lt;=关键词词频统计!$A$4,搜索词报告!$Q$2:$Q$22222,0),0),0))</f>
        <v>0</v>
      </c>
      <c r="G31">
        <f t="array" ref="G31">SUM(IF(搜索词报告!$H$2:$H$22222=A31,IF(搜索词报告!$A$2:$A$22222&gt;=关键词词频统计!$A$2,IF(搜索词报告!$A$2:$A$22222&lt;=关键词词频统计!$A$4,搜索词报告!$N$2:$N$22222,0),0),0))</f>
        <v>0</v>
      </c>
      <c r="H31">
        <f t="array" ref="H31">SUM(IF(搜索词报告!$H$2:$H$22222=A31,IF(搜索词报告!$A$2:$A$22222&gt;=关键词词频统计!$A$2,IF(搜索词报告!$A$2:$A$22222&lt;=关键词词频统计!$A$4,搜索词报告!$M$2:$M$22222,0),0),0))</f>
        <v>0</v>
      </c>
      <c r="I31" s="2" t="str">
        <f t="shared" si="2"/>
        <v/>
      </c>
      <c r="J31" t="str">
        <f t="shared" si="3"/>
        <v>点击次数少于10次没有参考性</v>
      </c>
      <c r="K31" s="4" t="str">
        <f>IFERROR(INDEX(搜索词报告!$D$2:$D$22222,MATCH(关键词词频统计!A31,搜索词报告!$H$2:$H$22222,0)),"")</f>
        <v/>
      </c>
      <c r="M31">
        <f t="array" ref="M31">SUM(IF(搜索词报告!$H$2:$H$22222=L31,IF(搜索词报告!$A$2:$A$22222&gt;=$L$2,IF(搜索词报告!$A$2:$A$22222&lt;=$L$4,搜索词报告!$I$2:$I$22222,0),0),0))</f>
        <v>0</v>
      </c>
      <c r="N31">
        <f t="array" ref="N31">SUM(IF(搜索词报告!$H$2:$H$22222=L31,IF(搜索词报告!$A$2:$A$22222&gt;=$L$2,IF(搜索词报告!$A$2:$A$22222&lt;=$L$4,搜索词报告!$J$2:$J$22222,0),0),0))</f>
        <v>0</v>
      </c>
      <c r="O31" s="2">
        <f t="shared" si="4"/>
        <v>0</v>
      </c>
      <c r="P31" s="2">
        <f t="shared" si="5"/>
        <v>0</v>
      </c>
      <c r="Q31">
        <f t="array" ref="Q31">SUM(IF(搜索词报告!$H$2:$H$22222=L31,IF(搜索词报告!$A$2:$A$22222&gt;=$L$2,IF(搜索词报告!$A$2:$A$22222&lt;=$L$4,搜索词报告!$Q$2:$Q$22222,0),0),0))</f>
        <v>0</v>
      </c>
      <c r="R31">
        <f t="array" ref="R31">SUM(IF(搜索词报告!$H$2:$H$22222=L31,IF(搜索词报告!$A$2:$A$22222&gt;=$L$2,IF(搜索词报告!$A$2:$A$22222&lt;=$L$4,搜索词报告!$N$2:$N$22222,0),0),0))</f>
        <v>0</v>
      </c>
      <c r="S31">
        <f t="array" ref="S31">SUM(IF(搜索词报告!$H$2:$H$22222=L31,IF(搜索词报告!$A$2:$A$22222&gt;=$L$2,IF(搜索词报告!$A$2:$A$22222&lt;=$L$4,搜索词报告!$M$2:$M$22222,0),0),0))</f>
        <v>0</v>
      </c>
      <c r="T31" s="2" t="str">
        <f t="shared" si="6"/>
        <v/>
      </c>
      <c r="U31" t="str">
        <f t="shared" si="7"/>
        <v>点击次数少于10次没有参考性</v>
      </c>
      <c r="V31" s="4" t="str">
        <f>IFERROR(INDEX(搜索词报告!$D$2:$D$22222,MATCH(关键词词频统计!L31,搜索词报告!$H$2:$H$22222,0)),"")</f>
        <v/>
      </c>
    </row>
    <row r="32" spans="2:22" x14ac:dyDescent="0.15">
      <c r="B32">
        <f t="array" ref="B32">SUM(IF(搜索词报告!$H$2:$H$22222=A32,IF(搜索词报告!$A$2:$A$22222&gt;=关键词词频统计!$A$2,IF(搜索词报告!$A$2:$A$22222&lt;=关键词词频统计!$A$4,搜索词报告!$I$2:$I$22222,0),0),0))</f>
        <v>0</v>
      </c>
      <c r="C32">
        <f t="array" ref="C32">SUM(IF(搜索词报告!$H$2:$H$22222=A32,IF(搜索词报告!$A$2:$A$22222&gt;=关键词词频统计!$A$2,IF(搜索词报告!$A$2:$A$22222&lt;=关键词词频统计!$A$4,搜索词报告!$J$2:$J$22222,0),0),0))</f>
        <v>0</v>
      </c>
      <c r="D32" s="2">
        <f t="shared" si="0"/>
        <v>0</v>
      </c>
      <c r="E32" s="2">
        <f t="shared" si="1"/>
        <v>0</v>
      </c>
      <c r="F32">
        <f t="array" ref="F32">SUM(IF(搜索词报告!$H$2:$H$22222=A32,IF(搜索词报告!$A$2:$A$22222&gt;=关键词词频统计!$A$2,IF(搜索词报告!$A$2:$A$22222&lt;=关键词词频统计!$A$4,搜索词报告!$Q$2:$Q$22222,0),0),0))</f>
        <v>0</v>
      </c>
      <c r="G32">
        <f t="array" ref="G32">SUM(IF(搜索词报告!$H$2:$H$22222=A32,IF(搜索词报告!$A$2:$A$22222&gt;=关键词词频统计!$A$2,IF(搜索词报告!$A$2:$A$22222&lt;=关键词词频统计!$A$4,搜索词报告!$N$2:$N$22222,0),0),0))</f>
        <v>0</v>
      </c>
      <c r="H32">
        <f t="array" ref="H32">SUM(IF(搜索词报告!$H$2:$H$22222=A32,IF(搜索词报告!$A$2:$A$22222&gt;=关键词词频统计!$A$2,IF(搜索词报告!$A$2:$A$22222&lt;=关键词词频统计!$A$4,搜索词报告!$M$2:$M$22222,0),0),0))</f>
        <v>0</v>
      </c>
      <c r="I32" s="2" t="str">
        <f t="shared" si="2"/>
        <v/>
      </c>
      <c r="J32" t="str">
        <f t="shared" si="3"/>
        <v>点击次数少于10次没有参考性</v>
      </c>
      <c r="K32" s="4" t="str">
        <f>IFERROR(INDEX(搜索词报告!$D$2:$D$22222,MATCH(关键词词频统计!A32,搜索词报告!$H$2:$H$22222,0)),"")</f>
        <v/>
      </c>
      <c r="M32">
        <f t="array" ref="M32">SUM(IF(搜索词报告!$H$2:$H$22222=L32,IF(搜索词报告!$A$2:$A$22222&gt;=$L$2,IF(搜索词报告!$A$2:$A$22222&lt;=$L$4,搜索词报告!$I$2:$I$22222,0),0),0))</f>
        <v>0</v>
      </c>
      <c r="N32">
        <f t="array" ref="N32">SUM(IF(搜索词报告!$H$2:$H$22222=L32,IF(搜索词报告!$A$2:$A$22222&gt;=$L$2,IF(搜索词报告!$A$2:$A$22222&lt;=$L$4,搜索词报告!$J$2:$J$22222,0),0),0))</f>
        <v>0</v>
      </c>
      <c r="O32" s="2">
        <f t="shared" si="4"/>
        <v>0</v>
      </c>
      <c r="P32" s="2">
        <f t="shared" si="5"/>
        <v>0</v>
      </c>
      <c r="Q32">
        <f t="array" ref="Q32">SUM(IF(搜索词报告!$H$2:$H$22222=L32,IF(搜索词报告!$A$2:$A$22222&gt;=$L$2,IF(搜索词报告!$A$2:$A$22222&lt;=$L$4,搜索词报告!$Q$2:$Q$22222,0),0),0))</f>
        <v>0</v>
      </c>
      <c r="R32">
        <f t="array" ref="R32">SUM(IF(搜索词报告!$H$2:$H$22222=L32,IF(搜索词报告!$A$2:$A$22222&gt;=$L$2,IF(搜索词报告!$A$2:$A$22222&lt;=$L$4,搜索词报告!$N$2:$N$22222,0),0),0))</f>
        <v>0</v>
      </c>
      <c r="S32">
        <f t="array" ref="S32">SUM(IF(搜索词报告!$H$2:$H$22222=L32,IF(搜索词报告!$A$2:$A$22222&gt;=$L$2,IF(搜索词报告!$A$2:$A$22222&lt;=$L$4,搜索词报告!$M$2:$M$22222,0),0),0))</f>
        <v>0</v>
      </c>
      <c r="T32" s="2" t="str">
        <f t="shared" si="6"/>
        <v/>
      </c>
      <c r="U32" t="str">
        <f t="shared" si="7"/>
        <v>点击次数少于10次没有参考性</v>
      </c>
      <c r="V32" s="4" t="str">
        <f>IFERROR(INDEX(搜索词报告!$D$2:$D$22222,MATCH(关键词词频统计!L32,搜索词报告!$H$2:$H$22222,0)),"")</f>
        <v/>
      </c>
    </row>
    <row r="33" spans="2:22" x14ac:dyDescent="0.15">
      <c r="B33">
        <f t="array" ref="B33">SUM(IF(搜索词报告!$H$2:$H$22222=A33,IF(搜索词报告!$A$2:$A$22222&gt;=关键词词频统计!$A$2,IF(搜索词报告!$A$2:$A$22222&lt;=关键词词频统计!$A$4,搜索词报告!$I$2:$I$22222,0),0),0))</f>
        <v>0</v>
      </c>
      <c r="C33">
        <f t="array" ref="C33">SUM(IF(搜索词报告!$H$2:$H$22222=A33,IF(搜索词报告!$A$2:$A$22222&gt;=关键词词频统计!$A$2,IF(搜索词报告!$A$2:$A$22222&lt;=关键词词频统计!$A$4,搜索词报告!$J$2:$J$22222,0),0),0))</f>
        <v>0</v>
      </c>
      <c r="D33" s="2">
        <f t="shared" si="0"/>
        <v>0</v>
      </c>
      <c r="E33" s="2">
        <f t="shared" si="1"/>
        <v>0</v>
      </c>
      <c r="F33">
        <f t="array" ref="F33">SUM(IF(搜索词报告!$H$2:$H$22222=A33,IF(搜索词报告!$A$2:$A$22222&gt;=关键词词频统计!$A$2,IF(搜索词报告!$A$2:$A$22222&lt;=关键词词频统计!$A$4,搜索词报告!$Q$2:$Q$22222,0),0),0))</f>
        <v>0</v>
      </c>
      <c r="G33">
        <f t="array" ref="G33">SUM(IF(搜索词报告!$H$2:$H$22222=A33,IF(搜索词报告!$A$2:$A$22222&gt;=关键词词频统计!$A$2,IF(搜索词报告!$A$2:$A$22222&lt;=关键词词频统计!$A$4,搜索词报告!$N$2:$N$22222,0),0),0))</f>
        <v>0</v>
      </c>
      <c r="H33">
        <f t="array" ref="H33">SUM(IF(搜索词报告!$H$2:$H$22222=A33,IF(搜索词报告!$A$2:$A$22222&gt;=关键词词频统计!$A$2,IF(搜索词报告!$A$2:$A$22222&lt;=关键词词频统计!$A$4,搜索词报告!$M$2:$M$22222,0),0),0))</f>
        <v>0</v>
      </c>
      <c r="I33" s="2" t="str">
        <f t="shared" si="2"/>
        <v/>
      </c>
      <c r="J33" t="str">
        <f t="shared" si="3"/>
        <v>点击次数少于10次没有参考性</v>
      </c>
      <c r="K33" s="4" t="str">
        <f>IFERROR(INDEX(搜索词报告!$D$2:$D$22222,MATCH(关键词词频统计!A33,搜索词报告!$H$2:$H$22222,0)),"")</f>
        <v/>
      </c>
      <c r="M33">
        <f t="array" ref="M33">SUM(IF(搜索词报告!$H$2:$H$22222=L33,IF(搜索词报告!$A$2:$A$22222&gt;=$L$2,IF(搜索词报告!$A$2:$A$22222&lt;=$L$4,搜索词报告!$I$2:$I$22222,0),0),0))</f>
        <v>0</v>
      </c>
      <c r="N33">
        <f t="array" ref="N33">SUM(IF(搜索词报告!$H$2:$H$22222=L33,IF(搜索词报告!$A$2:$A$22222&gt;=$L$2,IF(搜索词报告!$A$2:$A$22222&lt;=$L$4,搜索词报告!$J$2:$J$22222,0),0),0))</f>
        <v>0</v>
      </c>
      <c r="O33" s="2">
        <f t="shared" si="4"/>
        <v>0</v>
      </c>
      <c r="P33" s="2">
        <f t="shared" si="5"/>
        <v>0</v>
      </c>
      <c r="Q33">
        <f t="array" ref="Q33">SUM(IF(搜索词报告!$H$2:$H$22222=L33,IF(搜索词报告!$A$2:$A$22222&gt;=$L$2,IF(搜索词报告!$A$2:$A$22222&lt;=$L$4,搜索词报告!$Q$2:$Q$22222,0),0),0))</f>
        <v>0</v>
      </c>
      <c r="R33">
        <f t="array" ref="R33">SUM(IF(搜索词报告!$H$2:$H$22222=L33,IF(搜索词报告!$A$2:$A$22222&gt;=$L$2,IF(搜索词报告!$A$2:$A$22222&lt;=$L$4,搜索词报告!$N$2:$N$22222,0),0),0))</f>
        <v>0</v>
      </c>
      <c r="S33">
        <f t="array" ref="S33">SUM(IF(搜索词报告!$H$2:$H$22222=L33,IF(搜索词报告!$A$2:$A$22222&gt;=$L$2,IF(搜索词报告!$A$2:$A$22222&lt;=$L$4,搜索词报告!$M$2:$M$22222,0),0),0))</f>
        <v>0</v>
      </c>
      <c r="T33" s="2" t="str">
        <f t="shared" si="6"/>
        <v/>
      </c>
      <c r="U33" t="str">
        <f t="shared" si="7"/>
        <v>点击次数少于10次没有参考性</v>
      </c>
      <c r="V33" s="4" t="str">
        <f>IFERROR(INDEX(搜索词报告!$D$2:$D$22222,MATCH(关键词词频统计!L33,搜索词报告!$H$2:$H$22222,0)),"")</f>
        <v/>
      </c>
    </row>
    <row r="34" spans="2:22" x14ac:dyDescent="0.15">
      <c r="B34">
        <f t="array" ref="B34">SUM(IF(搜索词报告!$H$2:$H$22222=A34,IF(搜索词报告!$A$2:$A$22222&gt;=关键词词频统计!$A$2,IF(搜索词报告!$A$2:$A$22222&lt;=关键词词频统计!$A$4,搜索词报告!$I$2:$I$22222,0),0),0))</f>
        <v>0</v>
      </c>
      <c r="C34">
        <f t="array" ref="C34">SUM(IF(搜索词报告!$H$2:$H$22222=A34,IF(搜索词报告!$A$2:$A$22222&gt;=关键词词频统计!$A$2,IF(搜索词报告!$A$2:$A$22222&lt;=关键词词频统计!$A$4,搜索词报告!$J$2:$J$22222,0),0),0))</f>
        <v>0</v>
      </c>
      <c r="D34" s="2">
        <f t="shared" si="0"/>
        <v>0</v>
      </c>
      <c r="E34" s="2">
        <f t="shared" si="1"/>
        <v>0</v>
      </c>
      <c r="F34">
        <f t="array" ref="F34">SUM(IF(搜索词报告!$H$2:$H$22222=A34,IF(搜索词报告!$A$2:$A$22222&gt;=关键词词频统计!$A$2,IF(搜索词报告!$A$2:$A$22222&lt;=关键词词频统计!$A$4,搜索词报告!$Q$2:$Q$22222,0),0),0))</f>
        <v>0</v>
      </c>
      <c r="G34">
        <f t="array" ref="G34">SUM(IF(搜索词报告!$H$2:$H$22222=A34,IF(搜索词报告!$A$2:$A$22222&gt;=关键词词频统计!$A$2,IF(搜索词报告!$A$2:$A$22222&lt;=关键词词频统计!$A$4,搜索词报告!$N$2:$N$22222,0),0),0))</f>
        <v>0</v>
      </c>
      <c r="H34">
        <f t="array" ref="H34">SUM(IF(搜索词报告!$H$2:$H$22222=A34,IF(搜索词报告!$A$2:$A$22222&gt;=关键词词频统计!$A$2,IF(搜索词报告!$A$2:$A$22222&lt;=关键词词频统计!$A$4,搜索词报告!$M$2:$M$22222,0),0),0))</f>
        <v>0</v>
      </c>
      <c r="I34" s="2" t="str">
        <f t="shared" si="2"/>
        <v/>
      </c>
      <c r="J34" t="str">
        <f t="shared" si="3"/>
        <v>点击次数少于10次没有参考性</v>
      </c>
      <c r="K34" s="4" t="str">
        <f>IFERROR(INDEX(搜索词报告!$D$2:$D$22222,MATCH(关键词词频统计!A34,搜索词报告!$H$2:$H$22222,0)),"")</f>
        <v/>
      </c>
      <c r="M34">
        <f t="array" ref="M34">SUM(IF(搜索词报告!$H$2:$H$22222=L34,IF(搜索词报告!$A$2:$A$22222&gt;=$L$2,IF(搜索词报告!$A$2:$A$22222&lt;=$L$4,搜索词报告!$I$2:$I$22222,0),0),0))</f>
        <v>0</v>
      </c>
      <c r="N34">
        <f t="array" ref="N34">SUM(IF(搜索词报告!$H$2:$H$22222=L34,IF(搜索词报告!$A$2:$A$22222&gt;=$L$2,IF(搜索词报告!$A$2:$A$22222&lt;=$L$4,搜索词报告!$J$2:$J$22222,0),0),0))</f>
        <v>0</v>
      </c>
      <c r="O34" s="2">
        <f t="shared" si="4"/>
        <v>0</v>
      </c>
      <c r="P34" s="2">
        <f t="shared" si="5"/>
        <v>0</v>
      </c>
      <c r="Q34">
        <f t="array" ref="Q34">SUM(IF(搜索词报告!$H$2:$H$22222=L34,IF(搜索词报告!$A$2:$A$22222&gt;=$L$2,IF(搜索词报告!$A$2:$A$22222&lt;=$L$4,搜索词报告!$Q$2:$Q$22222,0),0),0))</f>
        <v>0</v>
      </c>
      <c r="R34">
        <f t="array" ref="R34">SUM(IF(搜索词报告!$H$2:$H$22222=L34,IF(搜索词报告!$A$2:$A$22222&gt;=$L$2,IF(搜索词报告!$A$2:$A$22222&lt;=$L$4,搜索词报告!$N$2:$N$22222,0),0),0))</f>
        <v>0</v>
      </c>
      <c r="S34">
        <f t="array" ref="S34">SUM(IF(搜索词报告!$H$2:$H$22222=L34,IF(搜索词报告!$A$2:$A$22222&gt;=$L$2,IF(搜索词报告!$A$2:$A$22222&lt;=$L$4,搜索词报告!$M$2:$M$22222,0),0),0))</f>
        <v>0</v>
      </c>
      <c r="T34" s="2" t="str">
        <f t="shared" si="6"/>
        <v/>
      </c>
      <c r="U34" t="str">
        <f t="shared" si="7"/>
        <v>点击次数少于10次没有参考性</v>
      </c>
      <c r="V34" s="4" t="str">
        <f>IFERROR(INDEX(搜索词报告!$D$2:$D$22222,MATCH(关键词词频统计!L34,搜索词报告!$H$2:$H$22222,0)),"")</f>
        <v/>
      </c>
    </row>
    <row r="35" spans="2:22" x14ac:dyDescent="0.15">
      <c r="B35">
        <f t="array" ref="B35">SUM(IF(搜索词报告!$H$2:$H$22222=A35,IF(搜索词报告!$A$2:$A$22222&gt;=关键词词频统计!$A$2,IF(搜索词报告!$A$2:$A$22222&lt;=关键词词频统计!$A$4,搜索词报告!$I$2:$I$22222,0),0),0))</f>
        <v>0</v>
      </c>
      <c r="C35">
        <f t="array" ref="C35">SUM(IF(搜索词报告!$H$2:$H$22222=A35,IF(搜索词报告!$A$2:$A$22222&gt;=关键词词频统计!$A$2,IF(搜索词报告!$A$2:$A$22222&lt;=关键词词频统计!$A$4,搜索词报告!$J$2:$J$22222,0),0),0))</f>
        <v>0</v>
      </c>
      <c r="D35" s="2">
        <f t="shared" si="0"/>
        <v>0</v>
      </c>
      <c r="E35" s="2">
        <f t="shared" si="1"/>
        <v>0</v>
      </c>
      <c r="F35">
        <f t="array" ref="F35">SUM(IF(搜索词报告!$H$2:$H$22222=A35,IF(搜索词报告!$A$2:$A$22222&gt;=关键词词频统计!$A$2,IF(搜索词报告!$A$2:$A$22222&lt;=关键词词频统计!$A$4,搜索词报告!$Q$2:$Q$22222,0),0),0))</f>
        <v>0</v>
      </c>
      <c r="G35">
        <f t="array" ref="G35">SUM(IF(搜索词报告!$H$2:$H$22222=A35,IF(搜索词报告!$A$2:$A$22222&gt;=关键词词频统计!$A$2,IF(搜索词报告!$A$2:$A$22222&lt;=关键词词频统计!$A$4,搜索词报告!$N$2:$N$22222,0),0),0))</f>
        <v>0</v>
      </c>
      <c r="H35">
        <f t="array" ref="H35">SUM(IF(搜索词报告!$H$2:$H$22222=A35,IF(搜索词报告!$A$2:$A$22222&gt;=关键词词频统计!$A$2,IF(搜索词报告!$A$2:$A$22222&lt;=关键词词频统计!$A$4,搜索词报告!$M$2:$M$22222,0),0),0))</f>
        <v>0</v>
      </c>
      <c r="I35" s="2" t="str">
        <f t="shared" si="2"/>
        <v/>
      </c>
      <c r="J35" t="str">
        <f t="shared" si="3"/>
        <v>点击次数少于10次没有参考性</v>
      </c>
      <c r="K35" s="4" t="str">
        <f>IFERROR(INDEX(搜索词报告!$D$2:$D$22222,MATCH(关键词词频统计!A35,搜索词报告!$H$2:$H$22222,0)),"")</f>
        <v/>
      </c>
      <c r="M35">
        <f t="array" ref="M35">SUM(IF(搜索词报告!$H$2:$H$22222=L35,IF(搜索词报告!$A$2:$A$22222&gt;=$L$2,IF(搜索词报告!$A$2:$A$22222&lt;=$L$4,搜索词报告!$I$2:$I$22222,0),0),0))</f>
        <v>0</v>
      </c>
      <c r="N35">
        <f t="array" ref="N35">SUM(IF(搜索词报告!$H$2:$H$22222=L35,IF(搜索词报告!$A$2:$A$22222&gt;=$L$2,IF(搜索词报告!$A$2:$A$22222&lt;=$L$4,搜索词报告!$J$2:$J$22222,0),0),0))</f>
        <v>0</v>
      </c>
      <c r="O35" s="2">
        <f t="shared" si="4"/>
        <v>0</v>
      </c>
      <c r="P35" s="2">
        <f t="shared" si="5"/>
        <v>0</v>
      </c>
      <c r="Q35">
        <f t="array" ref="Q35">SUM(IF(搜索词报告!$H$2:$H$22222=L35,IF(搜索词报告!$A$2:$A$22222&gt;=$L$2,IF(搜索词报告!$A$2:$A$22222&lt;=$L$4,搜索词报告!$Q$2:$Q$22222,0),0),0))</f>
        <v>0</v>
      </c>
      <c r="R35">
        <f t="array" ref="R35">SUM(IF(搜索词报告!$H$2:$H$22222=L35,IF(搜索词报告!$A$2:$A$22222&gt;=$L$2,IF(搜索词报告!$A$2:$A$22222&lt;=$L$4,搜索词报告!$N$2:$N$22222,0),0),0))</f>
        <v>0</v>
      </c>
      <c r="S35">
        <f t="array" ref="S35">SUM(IF(搜索词报告!$H$2:$H$22222=L35,IF(搜索词报告!$A$2:$A$22222&gt;=$L$2,IF(搜索词报告!$A$2:$A$22222&lt;=$L$4,搜索词报告!$M$2:$M$22222,0),0),0))</f>
        <v>0</v>
      </c>
      <c r="T35" s="2" t="str">
        <f t="shared" si="6"/>
        <v/>
      </c>
      <c r="U35" t="str">
        <f t="shared" si="7"/>
        <v>点击次数少于10次没有参考性</v>
      </c>
      <c r="V35" s="4" t="str">
        <f>IFERROR(INDEX(搜索词报告!$D$2:$D$22222,MATCH(关键词词频统计!L35,搜索词报告!$H$2:$H$22222,0)),"")</f>
        <v/>
      </c>
    </row>
    <row r="36" spans="2:22" x14ac:dyDescent="0.15">
      <c r="B36">
        <f t="array" ref="B36">SUM(IF(搜索词报告!$H$2:$H$22222=A36,IF(搜索词报告!$A$2:$A$22222&gt;=关键词词频统计!$A$2,IF(搜索词报告!$A$2:$A$22222&lt;=关键词词频统计!$A$4,搜索词报告!$I$2:$I$22222,0),0),0))</f>
        <v>0</v>
      </c>
      <c r="C36">
        <f t="array" ref="C36">SUM(IF(搜索词报告!$H$2:$H$22222=A36,IF(搜索词报告!$A$2:$A$22222&gt;=关键词词频统计!$A$2,IF(搜索词报告!$A$2:$A$22222&lt;=关键词词频统计!$A$4,搜索词报告!$J$2:$J$22222,0),0),0))</f>
        <v>0</v>
      </c>
      <c r="D36" s="2">
        <f t="shared" si="0"/>
        <v>0</v>
      </c>
      <c r="E36" s="2">
        <f t="shared" si="1"/>
        <v>0</v>
      </c>
      <c r="F36">
        <f t="array" ref="F36">SUM(IF(搜索词报告!$H$2:$H$22222=A36,IF(搜索词报告!$A$2:$A$22222&gt;=关键词词频统计!$A$2,IF(搜索词报告!$A$2:$A$22222&lt;=关键词词频统计!$A$4,搜索词报告!$Q$2:$Q$22222,0),0),0))</f>
        <v>0</v>
      </c>
      <c r="G36">
        <f t="array" ref="G36">SUM(IF(搜索词报告!$H$2:$H$22222=A36,IF(搜索词报告!$A$2:$A$22222&gt;=关键词词频统计!$A$2,IF(搜索词报告!$A$2:$A$22222&lt;=关键词词频统计!$A$4,搜索词报告!$N$2:$N$22222,0),0),0))</f>
        <v>0</v>
      </c>
      <c r="H36">
        <f t="array" ref="H36">SUM(IF(搜索词报告!$H$2:$H$22222=A36,IF(搜索词报告!$A$2:$A$22222&gt;=关键词词频统计!$A$2,IF(搜索词报告!$A$2:$A$22222&lt;=关键词词频统计!$A$4,搜索词报告!$M$2:$M$22222,0),0),0))</f>
        <v>0</v>
      </c>
      <c r="I36" s="2" t="str">
        <f t="shared" si="2"/>
        <v/>
      </c>
      <c r="J36" t="str">
        <f t="shared" si="3"/>
        <v>点击次数少于10次没有参考性</v>
      </c>
      <c r="K36" s="4" t="str">
        <f>IFERROR(INDEX(搜索词报告!$D$2:$D$22222,MATCH(关键词词频统计!A36,搜索词报告!$H$2:$H$22222,0)),"")</f>
        <v/>
      </c>
      <c r="M36">
        <f t="array" ref="M36">SUM(IF(搜索词报告!$H$2:$H$22222=L36,IF(搜索词报告!$A$2:$A$22222&gt;=$L$2,IF(搜索词报告!$A$2:$A$22222&lt;=$L$4,搜索词报告!$I$2:$I$22222,0),0),0))</f>
        <v>0</v>
      </c>
      <c r="N36">
        <f t="array" ref="N36">SUM(IF(搜索词报告!$H$2:$H$22222=L36,IF(搜索词报告!$A$2:$A$22222&gt;=$L$2,IF(搜索词报告!$A$2:$A$22222&lt;=$L$4,搜索词报告!$J$2:$J$22222,0),0),0))</f>
        <v>0</v>
      </c>
      <c r="O36" s="2">
        <f t="shared" si="4"/>
        <v>0</v>
      </c>
      <c r="P36" s="2">
        <f t="shared" si="5"/>
        <v>0</v>
      </c>
      <c r="Q36">
        <f t="array" ref="Q36">SUM(IF(搜索词报告!$H$2:$H$22222=L36,IF(搜索词报告!$A$2:$A$22222&gt;=$L$2,IF(搜索词报告!$A$2:$A$22222&lt;=$L$4,搜索词报告!$Q$2:$Q$22222,0),0),0))</f>
        <v>0</v>
      </c>
      <c r="R36">
        <f t="array" ref="R36">SUM(IF(搜索词报告!$H$2:$H$22222=L36,IF(搜索词报告!$A$2:$A$22222&gt;=$L$2,IF(搜索词报告!$A$2:$A$22222&lt;=$L$4,搜索词报告!$N$2:$N$22222,0),0),0))</f>
        <v>0</v>
      </c>
      <c r="S36">
        <f t="array" ref="S36">SUM(IF(搜索词报告!$H$2:$H$22222=L36,IF(搜索词报告!$A$2:$A$22222&gt;=$L$2,IF(搜索词报告!$A$2:$A$22222&lt;=$L$4,搜索词报告!$M$2:$M$22222,0),0),0))</f>
        <v>0</v>
      </c>
      <c r="T36" s="2" t="str">
        <f t="shared" si="6"/>
        <v/>
      </c>
      <c r="U36" t="str">
        <f t="shared" si="7"/>
        <v>点击次数少于10次没有参考性</v>
      </c>
      <c r="V36" s="4" t="str">
        <f>IFERROR(INDEX(搜索词报告!$D$2:$D$22222,MATCH(关键词词频统计!L36,搜索词报告!$H$2:$H$22222,0)),"")</f>
        <v/>
      </c>
    </row>
    <row r="37" spans="2:22" x14ac:dyDescent="0.15">
      <c r="B37">
        <f t="array" ref="B37">SUM(IF(搜索词报告!$H$2:$H$22222=A37,IF(搜索词报告!$A$2:$A$22222&gt;=关键词词频统计!$A$2,IF(搜索词报告!$A$2:$A$22222&lt;=关键词词频统计!$A$4,搜索词报告!$I$2:$I$22222,0),0),0))</f>
        <v>0</v>
      </c>
      <c r="C37">
        <f t="array" ref="C37">SUM(IF(搜索词报告!$H$2:$H$22222=A37,IF(搜索词报告!$A$2:$A$22222&gt;=关键词词频统计!$A$2,IF(搜索词报告!$A$2:$A$22222&lt;=关键词词频统计!$A$4,搜索词报告!$J$2:$J$22222,0),0),0))</f>
        <v>0</v>
      </c>
      <c r="D37" s="2">
        <f t="shared" si="0"/>
        <v>0</v>
      </c>
      <c r="E37" s="2">
        <f t="shared" si="1"/>
        <v>0</v>
      </c>
      <c r="F37">
        <f t="array" ref="F37">SUM(IF(搜索词报告!$H$2:$H$22222=A37,IF(搜索词报告!$A$2:$A$22222&gt;=关键词词频统计!$A$2,IF(搜索词报告!$A$2:$A$22222&lt;=关键词词频统计!$A$4,搜索词报告!$Q$2:$Q$22222,0),0),0))</f>
        <v>0</v>
      </c>
      <c r="G37">
        <f t="array" ref="G37">SUM(IF(搜索词报告!$H$2:$H$22222=A37,IF(搜索词报告!$A$2:$A$22222&gt;=关键词词频统计!$A$2,IF(搜索词报告!$A$2:$A$22222&lt;=关键词词频统计!$A$4,搜索词报告!$N$2:$N$22222,0),0),0))</f>
        <v>0</v>
      </c>
      <c r="H37">
        <f t="array" ref="H37">SUM(IF(搜索词报告!$H$2:$H$22222=A37,IF(搜索词报告!$A$2:$A$22222&gt;=关键词词频统计!$A$2,IF(搜索词报告!$A$2:$A$22222&lt;=关键词词频统计!$A$4,搜索词报告!$M$2:$M$22222,0),0),0))</f>
        <v>0</v>
      </c>
      <c r="I37" s="2" t="str">
        <f t="shared" si="2"/>
        <v/>
      </c>
      <c r="J37" t="str">
        <f t="shared" si="3"/>
        <v>点击次数少于10次没有参考性</v>
      </c>
      <c r="K37" s="4" t="str">
        <f>IFERROR(INDEX(搜索词报告!$D$2:$D$22222,MATCH(关键词词频统计!A37,搜索词报告!$H$2:$H$22222,0)),"")</f>
        <v/>
      </c>
      <c r="M37">
        <f t="array" ref="M37">SUM(IF(搜索词报告!$H$2:$H$22222=L37,IF(搜索词报告!$A$2:$A$22222&gt;=$L$2,IF(搜索词报告!$A$2:$A$22222&lt;=$L$4,搜索词报告!$I$2:$I$22222,0),0),0))</f>
        <v>0</v>
      </c>
      <c r="N37">
        <f t="array" ref="N37">SUM(IF(搜索词报告!$H$2:$H$22222=L37,IF(搜索词报告!$A$2:$A$22222&gt;=$L$2,IF(搜索词报告!$A$2:$A$22222&lt;=$L$4,搜索词报告!$J$2:$J$22222,0),0),0))</f>
        <v>0</v>
      </c>
      <c r="O37" s="2">
        <f t="shared" si="4"/>
        <v>0</v>
      </c>
      <c r="P37" s="2">
        <f t="shared" si="5"/>
        <v>0</v>
      </c>
      <c r="Q37">
        <f t="array" ref="Q37">SUM(IF(搜索词报告!$H$2:$H$22222=L37,IF(搜索词报告!$A$2:$A$22222&gt;=$L$2,IF(搜索词报告!$A$2:$A$22222&lt;=$L$4,搜索词报告!$Q$2:$Q$22222,0),0),0))</f>
        <v>0</v>
      </c>
      <c r="R37">
        <f t="array" ref="R37">SUM(IF(搜索词报告!$H$2:$H$22222=L37,IF(搜索词报告!$A$2:$A$22222&gt;=$L$2,IF(搜索词报告!$A$2:$A$22222&lt;=$L$4,搜索词报告!$N$2:$N$22222,0),0),0))</f>
        <v>0</v>
      </c>
      <c r="S37">
        <f t="array" ref="S37">SUM(IF(搜索词报告!$H$2:$H$22222=L37,IF(搜索词报告!$A$2:$A$22222&gt;=$L$2,IF(搜索词报告!$A$2:$A$22222&lt;=$L$4,搜索词报告!$M$2:$M$22222,0),0),0))</f>
        <v>0</v>
      </c>
      <c r="T37" s="2" t="str">
        <f t="shared" si="6"/>
        <v/>
      </c>
      <c r="U37" t="str">
        <f t="shared" si="7"/>
        <v>点击次数少于10次没有参考性</v>
      </c>
      <c r="V37" s="4" t="str">
        <f>IFERROR(INDEX(搜索词报告!$D$2:$D$22222,MATCH(关键词词频统计!L37,搜索词报告!$H$2:$H$22222,0)),"")</f>
        <v/>
      </c>
    </row>
    <row r="38" spans="2:22" x14ac:dyDescent="0.15">
      <c r="B38">
        <f t="array" ref="B38">SUM(IF(搜索词报告!$H$2:$H$22222=A38,IF(搜索词报告!$A$2:$A$22222&gt;=关键词词频统计!$A$2,IF(搜索词报告!$A$2:$A$22222&lt;=关键词词频统计!$A$4,搜索词报告!$I$2:$I$22222,0),0),0))</f>
        <v>0</v>
      </c>
      <c r="C38">
        <f t="array" ref="C38">SUM(IF(搜索词报告!$H$2:$H$22222=A38,IF(搜索词报告!$A$2:$A$22222&gt;=关键词词频统计!$A$2,IF(搜索词报告!$A$2:$A$22222&lt;=关键词词频统计!$A$4,搜索词报告!$J$2:$J$22222,0),0),0))</f>
        <v>0</v>
      </c>
      <c r="D38" s="2">
        <f t="shared" si="0"/>
        <v>0</v>
      </c>
      <c r="E38" s="2">
        <f t="shared" si="1"/>
        <v>0</v>
      </c>
      <c r="F38">
        <f t="array" ref="F38">SUM(IF(搜索词报告!$H$2:$H$22222=A38,IF(搜索词报告!$A$2:$A$22222&gt;=关键词词频统计!$A$2,IF(搜索词报告!$A$2:$A$22222&lt;=关键词词频统计!$A$4,搜索词报告!$Q$2:$Q$22222,0),0),0))</f>
        <v>0</v>
      </c>
      <c r="G38">
        <f t="array" ref="G38">SUM(IF(搜索词报告!$H$2:$H$22222=A38,IF(搜索词报告!$A$2:$A$22222&gt;=关键词词频统计!$A$2,IF(搜索词报告!$A$2:$A$22222&lt;=关键词词频统计!$A$4,搜索词报告!$N$2:$N$22222,0),0),0))</f>
        <v>0</v>
      </c>
      <c r="H38">
        <f t="array" ref="H38">SUM(IF(搜索词报告!$H$2:$H$22222=A38,IF(搜索词报告!$A$2:$A$22222&gt;=关键词词频统计!$A$2,IF(搜索词报告!$A$2:$A$22222&lt;=关键词词频统计!$A$4,搜索词报告!$M$2:$M$22222,0),0),0))</f>
        <v>0</v>
      </c>
      <c r="I38" s="2" t="str">
        <f t="shared" si="2"/>
        <v/>
      </c>
      <c r="J38" t="str">
        <f t="shared" si="3"/>
        <v>点击次数少于10次没有参考性</v>
      </c>
      <c r="K38" s="4" t="str">
        <f>IFERROR(INDEX(搜索词报告!$D$2:$D$22222,MATCH(关键词词频统计!A38,搜索词报告!$H$2:$H$22222,0)),"")</f>
        <v/>
      </c>
      <c r="M38">
        <f t="array" ref="M38">SUM(IF(搜索词报告!$H$2:$H$22222=L38,IF(搜索词报告!$A$2:$A$22222&gt;=$L$2,IF(搜索词报告!$A$2:$A$22222&lt;=$L$4,搜索词报告!$I$2:$I$22222,0),0),0))</f>
        <v>0</v>
      </c>
      <c r="N38">
        <f t="array" ref="N38">SUM(IF(搜索词报告!$H$2:$H$22222=L38,IF(搜索词报告!$A$2:$A$22222&gt;=$L$2,IF(搜索词报告!$A$2:$A$22222&lt;=$L$4,搜索词报告!$J$2:$J$22222,0),0),0))</f>
        <v>0</v>
      </c>
      <c r="O38" s="2">
        <f t="shared" si="4"/>
        <v>0</v>
      </c>
      <c r="P38" s="2">
        <f t="shared" si="5"/>
        <v>0</v>
      </c>
      <c r="Q38">
        <f t="array" ref="Q38">SUM(IF(搜索词报告!$H$2:$H$22222=L38,IF(搜索词报告!$A$2:$A$22222&gt;=$L$2,IF(搜索词报告!$A$2:$A$22222&lt;=$L$4,搜索词报告!$Q$2:$Q$22222,0),0),0))</f>
        <v>0</v>
      </c>
      <c r="R38">
        <f t="array" ref="R38">SUM(IF(搜索词报告!$H$2:$H$22222=L38,IF(搜索词报告!$A$2:$A$22222&gt;=$L$2,IF(搜索词报告!$A$2:$A$22222&lt;=$L$4,搜索词报告!$N$2:$N$22222,0),0),0))</f>
        <v>0</v>
      </c>
      <c r="S38">
        <f t="array" ref="S38">SUM(IF(搜索词报告!$H$2:$H$22222=L38,IF(搜索词报告!$A$2:$A$22222&gt;=$L$2,IF(搜索词报告!$A$2:$A$22222&lt;=$L$4,搜索词报告!$M$2:$M$22222,0),0),0))</f>
        <v>0</v>
      </c>
      <c r="T38" s="2" t="str">
        <f t="shared" si="6"/>
        <v/>
      </c>
      <c r="U38" t="str">
        <f t="shared" si="7"/>
        <v>点击次数少于10次没有参考性</v>
      </c>
      <c r="V38" s="4" t="str">
        <f>IFERROR(INDEX(搜索词报告!$D$2:$D$22222,MATCH(关键词词频统计!L38,搜索词报告!$H$2:$H$22222,0)),"")</f>
        <v/>
      </c>
    </row>
    <row r="39" spans="2:22" x14ac:dyDescent="0.15">
      <c r="B39">
        <f t="array" ref="B39">SUM(IF(搜索词报告!$H$2:$H$22222=A39,IF(搜索词报告!$A$2:$A$22222&gt;=关键词词频统计!$A$2,IF(搜索词报告!$A$2:$A$22222&lt;=关键词词频统计!$A$4,搜索词报告!$I$2:$I$22222,0),0),0))</f>
        <v>0</v>
      </c>
      <c r="C39">
        <f t="array" ref="C39">SUM(IF(搜索词报告!$H$2:$H$22222=A39,IF(搜索词报告!$A$2:$A$22222&gt;=关键词词频统计!$A$2,IF(搜索词报告!$A$2:$A$22222&lt;=关键词词频统计!$A$4,搜索词报告!$J$2:$J$22222,0),0),0))</f>
        <v>0</v>
      </c>
      <c r="D39" s="2">
        <f t="shared" si="0"/>
        <v>0</v>
      </c>
      <c r="E39" s="2">
        <f t="shared" si="1"/>
        <v>0</v>
      </c>
      <c r="F39">
        <f t="array" ref="F39">SUM(IF(搜索词报告!$H$2:$H$22222=A39,IF(搜索词报告!$A$2:$A$22222&gt;=关键词词频统计!$A$2,IF(搜索词报告!$A$2:$A$22222&lt;=关键词词频统计!$A$4,搜索词报告!$Q$2:$Q$22222,0),0),0))</f>
        <v>0</v>
      </c>
      <c r="G39">
        <f t="array" ref="G39">SUM(IF(搜索词报告!$H$2:$H$22222=A39,IF(搜索词报告!$A$2:$A$22222&gt;=关键词词频统计!$A$2,IF(搜索词报告!$A$2:$A$22222&lt;=关键词词频统计!$A$4,搜索词报告!$N$2:$N$22222,0),0),0))</f>
        <v>0</v>
      </c>
      <c r="H39">
        <f t="array" ref="H39">SUM(IF(搜索词报告!$H$2:$H$22222=A39,IF(搜索词报告!$A$2:$A$22222&gt;=关键词词频统计!$A$2,IF(搜索词报告!$A$2:$A$22222&lt;=关键词词频统计!$A$4,搜索词报告!$M$2:$M$22222,0),0),0))</f>
        <v>0</v>
      </c>
      <c r="I39" s="2" t="str">
        <f t="shared" si="2"/>
        <v/>
      </c>
      <c r="J39" t="str">
        <f t="shared" si="3"/>
        <v>点击次数少于10次没有参考性</v>
      </c>
      <c r="K39" s="4" t="str">
        <f>IFERROR(INDEX(搜索词报告!$D$2:$D$22222,MATCH(关键词词频统计!A39,搜索词报告!$H$2:$H$22222,0)),"")</f>
        <v/>
      </c>
      <c r="M39">
        <f t="array" ref="M39">SUM(IF(搜索词报告!$H$2:$H$22222=L39,IF(搜索词报告!$A$2:$A$22222&gt;=$L$2,IF(搜索词报告!$A$2:$A$22222&lt;=$L$4,搜索词报告!$I$2:$I$22222,0),0),0))</f>
        <v>0</v>
      </c>
      <c r="N39">
        <f t="array" ref="N39">SUM(IF(搜索词报告!$H$2:$H$22222=L39,IF(搜索词报告!$A$2:$A$22222&gt;=$L$2,IF(搜索词报告!$A$2:$A$22222&lt;=$L$4,搜索词报告!$J$2:$J$22222,0),0),0))</f>
        <v>0</v>
      </c>
      <c r="O39" s="2">
        <f t="shared" si="4"/>
        <v>0</v>
      </c>
      <c r="P39" s="2">
        <f t="shared" si="5"/>
        <v>0</v>
      </c>
      <c r="Q39">
        <f t="array" ref="Q39">SUM(IF(搜索词报告!$H$2:$H$22222=L39,IF(搜索词报告!$A$2:$A$22222&gt;=$L$2,IF(搜索词报告!$A$2:$A$22222&lt;=$L$4,搜索词报告!$Q$2:$Q$22222,0),0),0))</f>
        <v>0</v>
      </c>
      <c r="R39">
        <f t="array" ref="R39">SUM(IF(搜索词报告!$H$2:$H$22222=L39,IF(搜索词报告!$A$2:$A$22222&gt;=$L$2,IF(搜索词报告!$A$2:$A$22222&lt;=$L$4,搜索词报告!$N$2:$N$22222,0),0),0))</f>
        <v>0</v>
      </c>
      <c r="S39">
        <f t="array" ref="S39">SUM(IF(搜索词报告!$H$2:$H$22222=L39,IF(搜索词报告!$A$2:$A$22222&gt;=$L$2,IF(搜索词报告!$A$2:$A$22222&lt;=$L$4,搜索词报告!$M$2:$M$22222,0),0),0))</f>
        <v>0</v>
      </c>
      <c r="T39" s="2" t="str">
        <f t="shared" si="6"/>
        <v/>
      </c>
      <c r="U39" t="str">
        <f t="shared" si="7"/>
        <v>点击次数少于10次没有参考性</v>
      </c>
      <c r="V39" s="4" t="str">
        <f>IFERROR(INDEX(搜索词报告!$D$2:$D$22222,MATCH(关键词词频统计!L39,搜索词报告!$H$2:$H$22222,0)),"")</f>
        <v/>
      </c>
    </row>
    <row r="40" spans="2:22" x14ac:dyDescent="0.15">
      <c r="B40">
        <f t="array" ref="B40">SUM(IF(搜索词报告!$H$2:$H$22222=A40,IF(搜索词报告!$A$2:$A$22222&gt;=关键词词频统计!$A$2,IF(搜索词报告!$A$2:$A$22222&lt;=关键词词频统计!$A$4,搜索词报告!$I$2:$I$22222,0),0),0))</f>
        <v>0</v>
      </c>
      <c r="C40">
        <f t="array" ref="C40">SUM(IF(搜索词报告!$H$2:$H$22222=A40,IF(搜索词报告!$A$2:$A$22222&gt;=关键词词频统计!$A$2,IF(搜索词报告!$A$2:$A$22222&lt;=关键词词频统计!$A$4,搜索词报告!$J$2:$J$22222,0),0),0))</f>
        <v>0</v>
      </c>
      <c r="D40" s="2">
        <f t="shared" si="0"/>
        <v>0</v>
      </c>
      <c r="E40" s="2">
        <f t="shared" si="1"/>
        <v>0</v>
      </c>
      <c r="F40">
        <f t="array" ref="F40">SUM(IF(搜索词报告!$H$2:$H$22222=A40,IF(搜索词报告!$A$2:$A$22222&gt;=关键词词频统计!$A$2,IF(搜索词报告!$A$2:$A$22222&lt;=关键词词频统计!$A$4,搜索词报告!$Q$2:$Q$22222,0),0),0))</f>
        <v>0</v>
      </c>
      <c r="G40">
        <f t="array" ref="G40">SUM(IF(搜索词报告!$H$2:$H$22222=A40,IF(搜索词报告!$A$2:$A$22222&gt;=关键词词频统计!$A$2,IF(搜索词报告!$A$2:$A$22222&lt;=关键词词频统计!$A$4,搜索词报告!$N$2:$N$22222,0),0),0))</f>
        <v>0</v>
      </c>
      <c r="H40">
        <f t="array" ref="H40">SUM(IF(搜索词报告!$H$2:$H$22222=A40,IF(搜索词报告!$A$2:$A$22222&gt;=关键词词频统计!$A$2,IF(搜索词报告!$A$2:$A$22222&lt;=关键词词频统计!$A$4,搜索词报告!$M$2:$M$22222,0),0),0))</f>
        <v>0</v>
      </c>
      <c r="I40" s="2" t="str">
        <f t="shared" si="2"/>
        <v/>
      </c>
      <c r="J40" t="str">
        <f t="shared" si="3"/>
        <v>点击次数少于10次没有参考性</v>
      </c>
      <c r="K40" s="4" t="str">
        <f>IFERROR(INDEX(搜索词报告!$D$2:$D$22222,MATCH(关键词词频统计!A40,搜索词报告!$H$2:$H$22222,0)),"")</f>
        <v/>
      </c>
      <c r="M40">
        <f t="array" ref="M40">SUM(IF(搜索词报告!$H$2:$H$22222=L40,IF(搜索词报告!$A$2:$A$22222&gt;=$L$2,IF(搜索词报告!$A$2:$A$22222&lt;=$L$4,搜索词报告!$I$2:$I$22222,0),0),0))</f>
        <v>0</v>
      </c>
      <c r="N40">
        <f t="array" ref="N40">SUM(IF(搜索词报告!$H$2:$H$22222=L40,IF(搜索词报告!$A$2:$A$22222&gt;=$L$2,IF(搜索词报告!$A$2:$A$22222&lt;=$L$4,搜索词报告!$J$2:$J$22222,0),0),0))</f>
        <v>0</v>
      </c>
      <c r="O40" s="2">
        <f t="shared" si="4"/>
        <v>0</v>
      </c>
      <c r="P40" s="2">
        <f t="shared" si="5"/>
        <v>0</v>
      </c>
      <c r="Q40">
        <f t="array" ref="Q40">SUM(IF(搜索词报告!$H$2:$H$22222=L40,IF(搜索词报告!$A$2:$A$22222&gt;=$L$2,IF(搜索词报告!$A$2:$A$22222&lt;=$L$4,搜索词报告!$Q$2:$Q$22222,0),0),0))</f>
        <v>0</v>
      </c>
      <c r="R40">
        <f t="array" ref="R40">SUM(IF(搜索词报告!$H$2:$H$22222=L40,IF(搜索词报告!$A$2:$A$22222&gt;=$L$2,IF(搜索词报告!$A$2:$A$22222&lt;=$L$4,搜索词报告!$N$2:$N$22222,0),0),0))</f>
        <v>0</v>
      </c>
      <c r="S40">
        <f t="array" ref="S40">SUM(IF(搜索词报告!$H$2:$H$22222=L40,IF(搜索词报告!$A$2:$A$22222&gt;=$L$2,IF(搜索词报告!$A$2:$A$22222&lt;=$L$4,搜索词报告!$M$2:$M$22222,0),0),0))</f>
        <v>0</v>
      </c>
      <c r="T40" s="2" t="str">
        <f t="shared" si="6"/>
        <v/>
      </c>
      <c r="U40" t="str">
        <f t="shared" si="7"/>
        <v>点击次数少于10次没有参考性</v>
      </c>
      <c r="V40" s="4" t="str">
        <f>IFERROR(INDEX(搜索词报告!$D$2:$D$22222,MATCH(关键词词频统计!L40,搜索词报告!$H$2:$H$22222,0)),"")</f>
        <v/>
      </c>
    </row>
    <row r="41" spans="2:22" x14ac:dyDescent="0.15">
      <c r="B41">
        <f t="array" ref="B41">SUM(IF(搜索词报告!$H$2:$H$22222=A41,IF(搜索词报告!$A$2:$A$22222&gt;=关键词词频统计!$A$2,IF(搜索词报告!$A$2:$A$22222&lt;=关键词词频统计!$A$4,搜索词报告!$I$2:$I$22222,0),0),0))</f>
        <v>0</v>
      </c>
      <c r="C41">
        <f t="array" ref="C41">SUM(IF(搜索词报告!$H$2:$H$22222=A41,IF(搜索词报告!$A$2:$A$22222&gt;=关键词词频统计!$A$2,IF(搜索词报告!$A$2:$A$22222&lt;=关键词词频统计!$A$4,搜索词报告!$J$2:$J$22222,0),0),0))</f>
        <v>0</v>
      </c>
      <c r="D41" s="2">
        <f t="shared" si="0"/>
        <v>0</v>
      </c>
      <c r="E41" s="2">
        <f t="shared" si="1"/>
        <v>0</v>
      </c>
      <c r="F41">
        <f t="array" ref="F41">SUM(IF(搜索词报告!$H$2:$H$22222=A41,IF(搜索词报告!$A$2:$A$22222&gt;=关键词词频统计!$A$2,IF(搜索词报告!$A$2:$A$22222&lt;=关键词词频统计!$A$4,搜索词报告!$Q$2:$Q$22222,0),0),0))</f>
        <v>0</v>
      </c>
      <c r="G41">
        <f t="array" ref="G41">SUM(IF(搜索词报告!$H$2:$H$22222=A41,IF(搜索词报告!$A$2:$A$22222&gt;=关键词词频统计!$A$2,IF(搜索词报告!$A$2:$A$22222&lt;=关键词词频统计!$A$4,搜索词报告!$N$2:$N$22222,0),0),0))</f>
        <v>0</v>
      </c>
      <c r="H41">
        <f t="array" ref="H41">SUM(IF(搜索词报告!$H$2:$H$22222=A41,IF(搜索词报告!$A$2:$A$22222&gt;=关键词词频统计!$A$2,IF(搜索词报告!$A$2:$A$22222&lt;=关键词词频统计!$A$4,搜索词报告!$M$2:$M$22222,0),0),0))</f>
        <v>0</v>
      </c>
      <c r="I41" s="2" t="str">
        <f t="shared" si="2"/>
        <v/>
      </c>
      <c r="J41" t="str">
        <f t="shared" si="3"/>
        <v>点击次数少于10次没有参考性</v>
      </c>
      <c r="K41" s="4" t="str">
        <f>IFERROR(INDEX(搜索词报告!$D$2:$D$22222,MATCH(关键词词频统计!A41,搜索词报告!$H$2:$H$22222,0)),"")</f>
        <v/>
      </c>
      <c r="M41">
        <f t="array" ref="M41">SUM(IF(搜索词报告!$H$2:$H$22222=L41,IF(搜索词报告!$A$2:$A$22222&gt;=$L$2,IF(搜索词报告!$A$2:$A$22222&lt;=$L$4,搜索词报告!$I$2:$I$22222,0),0),0))</f>
        <v>0</v>
      </c>
      <c r="N41">
        <f t="array" ref="N41">SUM(IF(搜索词报告!$H$2:$H$22222=L41,IF(搜索词报告!$A$2:$A$22222&gt;=$L$2,IF(搜索词报告!$A$2:$A$22222&lt;=$L$4,搜索词报告!$J$2:$J$22222,0),0),0))</f>
        <v>0</v>
      </c>
      <c r="O41" s="2">
        <f t="shared" si="4"/>
        <v>0</v>
      </c>
      <c r="P41" s="2">
        <f t="shared" si="5"/>
        <v>0</v>
      </c>
      <c r="Q41">
        <f t="array" ref="Q41">SUM(IF(搜索词报告!$H$2:$H$22222=L41,IF(搜索词报告!$A$2:$A$22222&gt;=$L$2,IF(搜索词报告!$A$2:$A$22222&lt;=$L$4,搜索词报告!$Q$2:$Q$22222,0),0),0))</f>
        <v>0</v>
      </c>
      <c r="R41">
        <f t="array" ref="R41">SUM(IF(搜索词报告!$H$2:$H$22222=L41,IF(搜索词报告!$A$2:$A$22222&gt;=$L$2,IF(搜索词报告!$A$2:$A$22222&lt;=$L$4,搜索词报告!$N$2:$N$22222,0),0),0))</f>
        <v>0</v>
      </c>
      <c r="S41">
        <f t="array" ref="S41">SUM(IF(搜索词报告!$H$2:$H$22222=L41,IF(搜索词报告!$A$2:$A$22222&gt;=$L$2,IF(搜索词报告!$A$2:$A$22222&lt;=$L$4,搜索词报告!$M$2:$M$22222,0),0),0))</f>
        <v>0</v>
      </c>
      <c r="T41" s="2" t="str">
        <f t="shared" si="6"/>
        <v/>
      </c>
      <c r="U41" t="str">
        <f t="shared" si="7"/>
        <v>点击次数少于10次没有参考性</v>
      </c>
      <c r="V41" s="4" t="str">
        <f>IFERROR(INDEX(搜索词报告!$D$2:$D$22222,MATCH(关键词词频统计!L41,搜索词报告!$H$2:$H$22222,0)),"")</f>
        <v/>
      </c>
    </row>
    <row r="42" spans="2:22" x14ac:dyDescent="0.15">
      <c r="B42">
        <f t="array" ref="B42">SUM(IF(搜索词报告!$H$2:$H$22222=A42,IF(搜索词报告!$A$2:$A$22222&gt;=关键词词频统计!$A$2,IF(搜索词报告!$A$2:$A$22222&lt;=关键词词频统计!$A$4,搜索词报告!$I$2:$I$22222,0),0),0))</f>
        <v>0</v>
      </c>
      <c r="C42">
        <f t="array" ref="C42">SUM(IF(搜索词报告!$H$2:$H$22222=A42,IF(搜索词报告!$A$2:$A$22222&gt;=关键词词频统计!$A$2,IF(搜索词报告!$A$2:$A$22222&lt;=关键词词频统计!$A$4,搜索词报告!$J$2:$J$22222,0),0),0))</f>
        <v>0</v>
      </c>
      <c r="D42" s="2">
        <f t="shared" si="0"/>
        <v>0</v>
      </c>
      <c r="E42" s="2">
        <f t="shared" si="1"/>
        <v>0</v>
      </c>
      <c r="F42">
        <f t="array" ref="F42">SUM(IF(搜索词报告!$H$2:$H$22222=A42,IF(搜索词报告!$A$2:$A$22222&gt;=关键词词频统计!$A$2,IF(搜索词报告!$A$2:$A$22222&lt;=关键词词频统计!$A$4,搜索词报告!$Q$2:$Q$22222,0),0),0))</f>
        <v>0</v>
      </c>
      <c r="G42">
        <f t="array" ref="G42">SUM(IF(搜索词报告!$H$2:$H$22222=A42,IF(搜索词报告!$A$2:$A$22222&gt;=关键词词频统计!$A$2,IF(搜索词报告!$A$2:$A$22222&lt;=关键词词频统计!$A$4,搜索词报告!$N$2:$N$22222,0),0),0))</f>
        <v>0</v>
      </c>
      <c r="H42">
        <f t="array" ref="H42">SUM(IF(搜索词报告!$H$2:$H$22222=A42,IF(搜索词报告!$A$2:$A$22222&gt;=关键词词频统计!$A$2,IF(搜索词报告!$A$2:$A$22222&lt;=关键词词频统计!$A$4,搜索词报告!$M$2:$M$22222,0),0),0))</f>
        <v>0</v>
      </c>
      <c r="I42" s="2" t="str">
        <f t="shared" si="2"/>
        <v/>
      </c>
      <c r="J42" t="str">
        <f t="shared" si="3"/>
        <v>点击次数少于10次没有参考性</v>
      </c>
      <c r="K42" s="4" t="str">
        <f>IFERROR(INDEX(搜索词报告!$D$2:$D$22222,MATCH(关键词词频统计!A42,搜索词报告!$H$2:$H$22222,0)),"")</f>
        <v/>
      </c>
      <c r="M42">
        <f t="array" ref="M42">SUM(IF(搜索词报告!$H$2:$H$22222=L42,IF(搜索词报告!$A$2:$A$22222&gt;=$L$2,IF(搜索词报告!$A$2:$A$22222&lt;=$L$4,搜索词报告!$I$2:$I$22222,0),0),0))</f>
        <v>0</v>
      </c>
      <c r="N42">
        <f t="array" ref="N42">SUM(IF(搜索词报告!$H$2:$H$22222=L42,IF(搜索词报告!$A$2:$A$22222&gt;=$L$2,IF(搜索词报告!$A$2:$A$22222&lt;=$L$4,搜索词报告!$J$2:$J$22222,0),0),0))</f>
        <v>0</v>
      </c>
      <c r="O42" s="2">
        <f t="shared" si="4"/>
        <v>0</v>
      </c>
      <c r="P42" s="2">
        <f t="shared" si="5"/>
        <v>0</v>
      </c>
      <c r="Q42">
        <f t="array" ref="Q42">SUM(IF(搜索词报告!$H$2:$H$22222=L42,IF(搜索词报告!$A$2:$A$22222&gt;=$L$2,IF(搜索词报告!$A$2:$A$22222&lt;=$L$4,搜索词报告!$Q$2:$Q$22222,0),0),0))</f>
        <v>0</v>
      </c>
      <c r="R42">
        <f t="array" ref="R42">SUM(IF(搜索词报告!$H$2:$H$22222=L42,IF(搜索词报告!$A$2:$A$22222&gt;=$L$2,IF(搜索词报告!$A$2:$A$22222&lt;=$L$4,搜索词报告!$N$2:$N$22222,0),0),0))</f>
        <v>0</v>
      </c>
      <c r="S42">
        <f t="array" ref="S42">SUM(IF(搜索词报告!$H$2:$H$22222=L42,IF(搜索词报告!$A$2:$A$22222&gt;=$L$2,IF(搜索词报告!$A$2:$A$22222&lt;=$L$4,搜索词报告!$M$2:$M$22222,0),0),0))</f>
        <v>0</v>
      </c>
      <c r="T42" s="2" t="str">
        <f t="shared" si="6"/>
        <v/>
      </c>
      <c r="U42" t="str">
        <f t="shared" si="7"/>
        <v>点击次数少于10次没有参考性</v>
      </c>
      <c r="V42" s="4" t="str">
        <f>IFERROR(INDEX(搜索词报告!$D$2:$D$22222,MATCH(关键词词频统计!L42,搜索词报告!$H$2:$H$22222,0)),"")</f>
        <v/>
      </c>
    </row>
    <row r="43" spans="2:22" x14ac:dyDescent="0.15">
      <c r="B43">
        <f t="array" ref="B43">SUM(IF(搜索词报告!$H$2:$H$22222=A43,IF(搜索词报告!$A$2:$A$22222&gt;=关键词词频统计!$A$2,IF(搜索词报告!$A$2:$A$22222&lt;=关键词词频统计!$A$4,搜索词报告!$I$2:$I$22222,0),0),0))</f>
        <v>0</v>
      </c>
      <c r="C43">
        <f t="array" ref="C43">SUM(IF(搜索词报告!$H$2:$H$22222=A43,IF(搜索词报告!$A$2:$A$22222&gt;=关键词词频统计!$A$2,IF(搜索词报告!$A$2:$A$22222&lt;=关键词词频统计!$A$4,搜索词报告!$J$2:$J$22222,0),0),0))</f>
        <v>0</v>
      </c>
      <c r="D43" s="2">
        <f t="shared" si="0"/>
        <v>0</v>
      </c>
      <c r="E43" s="2">
        <f t="shared" si="1"/>
        <v>0</v>
      </c>
      <c r="F43">
        <f t="array" ref="F43">SUM(IF(搜索词报告!$H$2:$H$22222=A43,IF(搜索词报告!$A$2:$A$22222&gt;=关键词词频统计!$A$2,IF(搜索词报告!$A$2:$A$22222&lt;=关键词词频统计!$A$4,搜索词报告!$Q$2:$Q$22222,0),0),0))</f>
        <v>0</v>
      </c>
      <c r="G43">
        <f t="array" ref="G43">SUM(IF(搜索词报告!$H$2:$H$22222=A43,IF(搜索词报告!$A$2:$A$22222&gt;=关键词词频统计!$A$2,IF(搜索词报告!$A$2:$A$22222&lt;=关键词词频统计!$A$4,搜索词报告!$N$2:$N$22222,0),0),0))</f>
        <v>0</v>
      </c>
      <c r="H43">
        <f t="array" ref="H43">SUM(IF(搜索词报告!$H$2:$H$22222=A43,IF(搜索词报告!$A$2:$A$22222&gt;=关键词词频统计!$A$2,IF(搜索词报告!$A$2:$A$22222&lt;=关键词词频统计!$A$4,搜索词报告!$M$2:$M$22222,0),0),0))</f>
        <v>0</v>
      </c>
      <c r="I43" s="2" t="str">
        <f t="shared" si="2"/>
        <v/>
      </c>
      <c r="J43" t="str">
        <f t="shared" si="3"/>
        <v>点击次数少于10次没有参考性</v>
      </c>
      <c r="K43" s="4" t="str">
        <f>IFERROR(INDEX(搜索词报告!$D$2:$D$22222,MATCH(关键词词频统计!A43,搜索词报告!$H$2:$H$22222,0)),"")</f>
        <v/>
      </c>
      <c r="M43">
        <f t="array" ref="M43">SUM(IF(搜索词报告!$H$2:$H$22222=L43,IF(搜索词报告!$A$2:$A$22222&gt;=$L$2,IF(搜索词报告!$A$2:$A$22222&lt;=$L$4,搜索词报告!$I$2:$I$22222,0),0),0))</f>
        <v>0</v>
      </c>
      <c r="N43">
        <f t="array" ref="N43">SUM(IF(搜索词报告!$H$2:$H$22222=L43,IF(搜索词报告!$A$2:$A$22222&gt;=$L$2,IF(搜索词报告!$A$2:$A$22222&lt;=$L$4,搜索词报告!$J$2:$J$22222,0),0),0))</f>
        <v>0</v>
      </c>
      <c r="O43" s="2">
        <f t="shared" si="4"/>
        <v>0</v>
      </c>
      <c r="P43" s="2">
        <f t="shared" si="5"/>
        <v>0</v>
      </c>
      <c r="Q43">
        <f t="array" ref="Q43">SUM(IF(搜索词报告!$H$2:$H$22222=L43,IF(搜索词报告!$A$2:$A$22222&gt;=$L$2,IF(搜索词报告!$A$2:$A$22222&lt;=$L$4,搜索词报告!$Q$2:$Q$22222,0),0),0))</f>
        <v>0</v>
      </c>
      <c r="R43">
        <f t="array" ref="R43">SUM(IF(搜索词报告!$H$2:$H$22222=L43,IF(搜索词报告!$A$2:$A$22222&gt;=$L$2,IF(搜索词报告!$A$2:$A$22222&lt;=$L$4,搜索词报告!$N$2:$N$22222,0),0),0))</f>
        <v>0</v>
      </c>
      <c r="S43">
        <f t="array" ref="S43">SUM(IF(搜索词报告!$H$2:$H$22222=L43,IF(搜索词报告!$A$2:$A$22222&gt;=$L$2,IF(搜索词报告!$A$2:$A$22222&lt;=$L$4,搜索词报告!$M$2:$M$22222,0),0),0))</f>
        <v>0</v>
      </c>
      <c r="T43" s="2" t="str">
        <f t="shared" si="6"/>
        <v/>
      </c>
      <c r="U43" t="str">
        <f t="shared" si="7"/>
        <v>点击次数少于10次没有参考性</v>
      </c>
      <c r="V43" s="4" t="str">
        <f>IFERROR(INDEX(搜索词报告!$D$2:$D$22222,MATCH(关键词词频统计!L43,搜索词报告!$H$2:$H$22222,0)),"")</f>
        <v/>
      </c>
    </row>
    <row r="44" spans="2:22" x14ac:dyDescent="0.15">
      <c r="B44">
        <f t="array" ref="B44">SUM(IF(搜索词报告!$H$2:$H$22222=A44,IF(搜索词报告!$A$2:$A$22222&gt;=关键词词频统计!$A$2,IF(搜索词报告!$A$2:$A$22222&lt;=关键词词频统计!$A$4,搜索词报告!$I$2:$I$22222,0),0),0))</f>
        <v>0</v>
      </c>
      <c r="C44">
        <f t="array" ref="C44">SUM(IF(搜索词报告!$H$2:$H$22222=A44,IF(搜索词报告!$A$2:$A$22222&gt;=关键词词频统计!$A$2,IF(搜索词报告!$A$2:$A$22222&lt;=关键词词频统计!$A$4,搜索词报告!$J$2:$J$22222,0),0),0))</f>
        <v>0</v>
      </c>
      <c r="D44" s="2">
        <f t="shared" si="0"/>
        <v>0</v>
      </c>
      <c r="E44" s="2">
        <f t="shared" si="1"/>
        <v>0</v>
      </c>
      <c r="F44">
        <f t="array" ref="F44">SUM(IF(搜索词报告!$H$2:$H$22222=A44,IF(搜索词报告!$A$2:$A$22222&gt;=关键词词频统计!$A$2,IF(搜索词报告!$A$2:$A$22222&lt;=关键词词频统计!$A$4,搜索词报告!$Q$2:$Q$22222,0),0),0))</f>
        <v>0</v>
      </c>
      <c r="G44">
        <f t="array" ref="G44">SUM(IF(搜索词报告!$H$2:$H$22222=A44,IF(搜索词报告!$A$2:$A$22222&gt;=关键词词频统计!$A$2,IF(搜索词报告!$A$2:$A$22222&lt;=关键词词频统计!$A$4,搜索词报告!$N$2:$N$22222,0),0),0))</f>
        <v>0</v>
      </c>
      <c r="H44">
        <f t="array" ref="H44">SUM(IF(搜索词报告!$H$2:$H$22222=A44,IF(搜索词报告!$A$2:$A$22222&gt;=关键词词频统计!$A$2,IF(搜索词报告!$A$2:$A$22222&lt;=关键词词频统计!$A$4,搜索词报告!$M$2:$M$22222,0),0),0))</f>
        <v>0</v>
      </c>
      <c r="I44" s="2" t="str">
        <f t="shared" si="2"/>
        <v/>
      </c>
      <c r="J44" t="str">
        <f t="shared" si="3"/>
        <v>点击次数少于10次没有参考性</v>
      </c>
      <c r="K44" s="4" t="str">
        <f>IFERROR(INDEX(搜索词报告!$D$2:$D$22222,MATCH(关键词词频统计!A44,搜索词报告!$H$2:$H$22222,0)),"")</f>
        <v/>
      </c>
      <c r="M44">
        <f t="array" ref="M44">SUM(IF(搜索词报告!$H$2:$H$22222=L44,IF(搜索词报告!$A$2:$A$22222&gt;=$L$2,IF(搜索词报告!$A$2:$A$22222&lt;=$L$4,搜索词报告!$I$2:$I$22222,0),0),0))</f>
        <v>0</v>
      </c>
      <c r="N44">
        <f t="array" ref="N44">SUM(IF(搜索词报告!$H$2:$H$22222=L44,IF(搜索词报告!$A$2:$A$22222&gt;=$L$2,IF(搜索词报告!$A$2:$A$22222&lt;=$L$4,搜索词报告!$J$2:$J$22222,0),0),0))</f>
        <v>0</v>
      </c>
      <c r="O44" s="2">
        <f t="shared" si="4"/>
        <v>0</v>
      </c>
      <c r="P44" s="2">
        <f t="shared" si="5"/>
        <v>0</v>
      </c>
      <c r="Q44">
        <f t="array" ref="Q44">SUM(IF(搜索词报告!$H$2:$H$22222=L44,IF(搜索词报告!$A$2:$A$22222&gt;=$L$2,IF(搜索词报告!$A$2:$A$22222&lt;=$L$4,搜索词报告!$Q$2:$Q$22222,0),0),0))</f>
        <v>0</v>
      </c>
      <c r="R44">
        <f t="array" ref="R44">SUM(IF(搜索词报告!$H$2:$H$22222=L44,IF(搜索词报告!$A$2:$A$22222&gt;=$L$2,IF(搜索词报告!$A$2:$A$22222&lt;=$L$4,搜索词报告!$N$2:$N$22222,0),0),0))</f>
        <v>0</v>
      </c>
      <c r="S44">
        <f t="array" ref="S44">SUM(IF(搜索词报告!$H$2:$H$22222=L44,IF(搜索词报告!$A$2:$A$22222&gt;=$L$2,IF(搜索词报告!$A$2:$A$22222&lt;=$L$4,搜索词报告!$M$2:$M$22222,0),0),0))</f>
        <v>0</v>
      </c>
      <c r="T44" s="2" t="str">
        <f t="shared" si="6"/>
        <v/>
      </c>
      <c r="U44" t="str">
        <f t="shared" si="7"/>
        <v>点击次数少于10次没有参考性</v>
      </c>
      <c r="V44" s="4" t="str">
        <f>IFERROR(INDEX(搜索词报告!$D$2:$D$22222,MATCH(关键词词频统计!L44,搜索词报告!$H$2:$H$22222,0)),"")</f>
        <v/>
      </c>
    </row>
    <row r="45" spans="2:22" x14ac:dyDescent="0.15">
      <c r="B45">
        <f t="array" ref="B45">SUM(IF(搜索词报告!$H$2:$H$22222=A45,IF(搜索词报告!$A$2:$A$22222&gt;=关键词词频统计!$A$2,IF(搜索词报告!$A$2:$A$22222&lt;=关键词词频统计!$A$4,搜索词报告!$I$2:$I$22222,0),0),0))</f>
        <v>0</v>
      </c>
      <c r="C45">
        <f t="array" ref="C45">SUM(IF(搜索词报告!$H$2:$H$22222=A45,IF(搜索词报告!$A$2:$A$22222&gt;=关键词词频统计!$A$2,IF(搜索词报告!$A$2:$A$22222&lt;=关键词词频统计!$A$4,搜索词报告!$J$2:$J$22222,0),0),0))</f>
        <v>0</v>
      </c>
      <c r="D45" s="2">
        <f t="shared" si="0"/>
        <v>0</v>
      </c>
      <c r="E45" s="2">
        <f t="shared" si="1"/>
        <v>0</v>
      </c>
      <c r="F45">
        <f t="array" ref="F45">SUM(IF(搜索词报告!$H$2:$H$22222=A45,IF(搜索词报告!$A$2:$A$22222&gt;=关键词词频统计!$A$2,IF(搜索词报告!$A$2:$A$22222&lt;=关键词词频统计!$A$4,搜索词报告!$Q$2:$Q$22222,0),0),0))</f>
        <v>0</v>
      </c>
      <c r="G45">
        <f t="array" ref="G45">SUM(IF(搜索词报告!$H$2:$H$22222=A45,IF(搜索词报告!$A$2:$A$22222&gt;=关键词词频统计!$A$2,IF(搜索词报告!$A$2:$A$22222&lt;=关键词词频统计!$A$4,搜索词报告!$N$2:$N$22222,0),0),0))</f>
        <v>0</v>
      </c>
      <c r="H45">
        <f t="array" ref="H45">SUM(IF(搜索词报告!$H$2:$H$22222=A45,IF(搜索词报告!$A$2:$A$22222&gt;=关键词词频统计!$A$2,IF(搜索词报告!$A$2:$A$22222&lt;=关键词词频统计!$A$4,搜索词报告!$M$2:$M$22222,0),0),0))</f>
        <v>0</v>
      </c>
      <c r="I45" s="2" t="str">
        <f t="shared" si="2"/>
        <v/>
      </c>
      <c r="J45" t="str">
        <f t="shared" si="3"/>
        <v>点击次数少于10次没有参考性</v>
      </c>
      <c r="K45" s="4" t="str">
        <f>IFERROR(INDEX(搜索词报告!$D$2:$D$22222,MATCH(关键词词频统计!A45,搜索词报告!$H$2:$H$22222,0)),"")</f>
        <v/>
      </c>
      <c r="M45">
        <f t="array" ref="M45">SUM(IF(搜索词报告!$H$2:$H$22222=L45,IF(搜索词报告!$A$2:$A$22222&gt;=$L$2,IF(搜索词报告!$A$2:$A$22222&lt;=$L$4,搜索词报告!$I$2:$I$22222,0),0),0))</f>
        <v>0</v>
      </c>
      <c r="N45">
        <f t="array" ref="N45">SUM(IF(搜索词报告!$H$2:$H$22222=L45,IF(搜索词报告!$A$2:$A$22222&gt;=$L$2,IF(搜索词报告!$A$2:$A$22222&lt;=$L$4,搜索词报告!$J$2:$J$22222,0),0),0))</f>
        <v>0</v>
      </c>
      <c r="O45" s="2">
        <f t="shared" si="4"/>
        <v>0</v>
      </c>
      <c r="P45" s="2">
        <f t="shared" si="5"/>
        <v>0</v>
      </c>
      <c r="Q45">
        <f t="array" ref="Q45">SUM(IF(搜索词报告!$H$2:$H$22222=L45,IF(搜索词报告!$A$2:$A$22222&gt;=$L$2,IF(搜索词报告!$A$2:$A$22222&lt;=$L$4,搜索词报告!$Q$2:$Q$22222,0),0),0))</f>
        <v>0</v>
      </c>
      <c r="R45">
        <f t="array" ref="R45">SUM(IF(搜索词报告!$H$2:$H$22222=L45,IF(搜索词报告!$A$2:$A$22222&gt;=$L$2,IF(搜索词报告!$A$2:$A$22222&lt;=$L$4,搜索词报告!$N$2:$N$22222,0),0),0))</f>
        <v>0</v>
      </c>
      <c r="S45">
        <f t="array" ref="S45">SUM(IF(搜索词报告!$H$2:$H$22222=L45,IF(搜索词报告!$A$2:$A$22222&gt;=$L$2,IF(搜索词报告!$A$2:$A$22222&lt;=$L$4,搜索词报告!$M$2:$M$22222,0),0),0))</f>
        <v>0</v>
      </c>
      <c r="T45" s="2" t="str">
        <f t="shared" si="6"/>
        <v/>
      </c>
      <c r="U45" t="str">
        <f t="shared" si="7"/>
        <v>点击次数少于10次没有参考性</v>
      </c>
      <c r="V45" s="4" t="str">
        <f>IFERROR(INDEX(搜索词报告!$D$2:$D$22222,MATCH(关键词词频统计!L45,搜索词报告!$H$2:$H$22222,0)),"")</f>
        <v/>
      </c>
    </row>
    <row r="46" spans="2:22" x14ac:dyDescent="0.15">
      <c r="B46">
        <f t="array" ref="B46">SUM(IF(搜索词报告!$H$2:$H$22222=A46,IF(搜索词报告!$A$2:$A$22222&gt;=关键词词频统计!$A$2,IF(搜索词报告!$A$2:$A$22222&lt;=关键词词频统计!$A$4,搜索词报告!$I$2:$I$22222,0),0),0))</f>
        <v>0</v>
      </c>
      <c r="C46">
        <f t="array" ref="C46">SUM(IF(搜索词报告!$H$2:$H$22222=A46,IF(搜索词报告!$A$2:$A$22222&gt;=关键词词频统计!$A$2,IF(搜索词报告!$A$2:$A$22222&lt;=关键词词频统计!$A$4,搜索词报告!$J$2:$J$22222,0),0),0))</f>
        <v>0</v>
      </c>
      <c r="D46" s="2">
        <f t="shared" si="0"/>
        <v>0</v>
      </c>
      <c r="E46" s="2">
        <f t="shared" si="1"/>
        <v>0</v>
      </c>
      <c r="F46">
        <f t="array" ref="F46">SUM(IF(搜索词报告!$H$2:$H$22222=A46,IF(搜索词报告!$A$2:$A$22222&gt;=关键词词频统计!$A$2,IF(搜索词报告!$A$2:$A$22222&lt;=关键词词频统计!$A$4,搜索词报告!$Q$2:$Q$22222,0),0),0))</f>
        <v>0</v>
      </c>
      <c r="G46">
        <f t="array" ref="G46">SUM(IF(搜索词报告!$H$2:$H$22222=A46,IF(搜索词报告!$A$2:$A$22222&gt;=关键词词频统计!$A$2,IF(搜索词报告!$A$2:$A$22222&lt;=关键词词频统计!$A$4,搜索词报告!$N$2:$N$22222,0),0),0))</f>
        <v>0</v>
      </c>
      <c r="H46">
        <f t="array" ref="H46">SUM(IF(搜索词报告!$H$2:$H$22222=A46,IF(搜索词报告!$A$2:$A$22222&gt;=关键词词频统计!$A$2,IF(搜索词报告!$A$2:$A$22222&lt;=关键词词频统计!$A$4,搜索词报告!$M$2:$M$22222,0),0),0))</f>
        <v>0</v>
      </c>
      <c r="I46" s="2" t="str">
        <f t="shared" si="2"/>
        <v/>
      </c>
      <c r="J46" t="str">
        <f t="shared" si="3"/>
        <v>点击次数少于10次没有参考性</v>
      </c>
      <c r="K46" s="4" t="str">
        <f>IFERROR(INDEX(搜索词报告!$D$2:$D$22222,MATCH(关键词词频统计!A46,搜索词报告!$H$2:$H$22222,0)),"")</f>
        <v/>
      </c>
      <c r="M46">
        <f t="array" ref="M46">SUM(IF(搜索词报告!$H$2:$H$22222=L46,IF(搜索词报告!$A$2:$A$22222&gt;=$L$2,IF(搜索词报告!$A$2:$A$22222&lt;=$L$4,搜索词报告!$I$2:$I$22222,0),0),0))</f>
        <v>0</v>
      </c>
      <c r="N46">
        <f t="array" ref="N46">SUM(IF(搜索词报告!$H$2:$H$22222=L46,IF(搜索词报告!$A$2:$A$22222&gt;=$L$2,IF(搜索词报告!$A$2:$A$22222&lt;=$L$4,搜索词报告!$J$2:$J$22222,0),0),0))</f>
        <v>0</v>
      </c>
      <c r="O46" s="2">
        <f t="shared" si="4"/>
        <v>0</v>
      </c>
      <c r="P46" s="2">
        <f t="shared" si="5"/>
        <v>0</v>
      </c>
      <c r="Q46">
        <f t="array" ref="Q46">SUM(IF(搜索词报告!$H$2:$H$22222=L46,IF(搜索词报告!$A$2:$A$22222&gt;=$L$2,IF(搜索词报告!$A$2:$A$22222&lt;=$L$4,搜索词报告!$Q$2:$Q$22222,0),0),0))</f>
        <v>0</v>
      </c>
      <c r="R46">
        <f t="array" ref="R46">SUM(IF(搜索词报告!$H$2:$H$22222=L46,IF(搜索词报告!$A$2:$A$22222&gt;=$L$2,IF(搜索词报告!$A$2:$A$22222&lt;=$L$4,搜索词报告!$N$2:$N$22222,0),0),0))</f>
        <v>0</v>
      </c>
      <c r="S46">
        <f t="array" ref="S46">SUM(IF(搜索词报告!$H$2:$H$22222=L46,IF(搜索词报告!$A$2:$A$22222&gt;=$L$2,IF(搜索词报告!$A$2:$A$22222&lt;=$L$4,搜索词报告!$M$2:$M$22222,0),0),0))</f>
        <v>0</v>
      </c>
      <c r="T46" s="2" t="str">
        <f t="shared" si="6"/>
        <v/>
      </c>
      <c r="U46" t="str">
        <f t="shared" si="7"/>
        <v>点击次数少于10次没有参考性</v>
      </c>
      <c r="V46" s="4" t="str">
        <f>IFERROR(INDEX(搜索词报告!$D$2:$D$22222,MATCH(关键词词频统计!L46,搜索词报告!$H$2:$H$22222,0)),"")</f>
        <v/>
      </c>
    </row>
    <row r="47" spans="2:22" x14ac:dyDescent="0.15">
      <c r="B47">
        <f t="array" ref="B47">SUM(IF(搜索词报告!$H$2:$H$22222=A47,IF(搜索词报告!$A$2:$A$22222&gt;=关键词词频统计!$A$2,IF(搜索词报告!$A$2:$A$22222&lt;=关键词词频统计!$A$4,搜索词报告!$I$2:$I$22222,0),0),0))</f>
        <v>0</v>
      </c>
      <c r="C47">
        <f t="array" ref="C47">SUM(IF(搜索词报告!$H$2:$H$22222=A47,IF(搜索词报告!$A$2:$A$22222&gt;=关键词词频统计!$A$2,IF(搜索词报告!$A$2:$A$22222&lt;=关键词词频统计!$A$4,搜索词报告!$J$2:$J$22222,0),0),0))</f>
        <v>0</v>
      </c>
      <c r="D47" s="2">
        <f t="shared" si="0"/>
        <v>0</v>
      </c>
      <c r="E47" s="2">
        <f t="shared" si="1"/>
        <v>0</v>
      </c>
      <c r="F47">
        <f t="array" ref="F47">SUM(IF(搜索词报告!$H$2:$H$22222=A47,IF(搜索词报告!$A$2:$A$22222&gt;=关键词词频统计!$A$2,IF(搜索词报告!$A$2:$A$22222&lt;=关键词词频统计!$A$4,搜索词报告!$Q$2:$Q$22222,0),0),0))</f>
        <v>0</v>
      </c>
      <c r="G47">
        <f t="array" ref="G47">SUM(IF(搜索词报告!$H$2:$H$22222=A47,IF(搜索词报告!$A$2:$A$22222&gt;=关键词词频统计!$A$2,IF(搜索词报告!$A$2:$A$22222&lt;=关键词词频统计!$A$4,搜索词报告!$N$2:$N$22222,0),0),0))</f>
        <v>0</v>
      </c>
      <c r="H47">
        <f t="array" ref="H47">SUM(IF(搜索词报告!$H$2:$H$22222=A47,IF(搜索词报告!$A$2:$A$22222&gt;=关键词词频统计!$A$2,IF(搜索词报告!$A$2:$A$22222&lt;=关键词词频统计!$A$4,搜索词报告!$M$2:$M$22222,0),0),0))</f>
        <v>0</v>
      </c>
      <c r="I47" s="2" t="str">
        <f t="shared" si="2"/>
        <v/>
      </c>
      <c r="J47" t="str">
        <f t="shared" si="3"/>
        <v>点击次数少于10次没有参考性</v>
      </c>
      <c r="K47" s="4" t="str">
        <f>IFERROR(INDEX(搜索词报告!$D$2:$D$22222,MATCH(关键词词频统计!A47,搜索词报告!$H$2:$H$22222,0)),"")</f>
        <v/>
      </c>
      <c r="M47">
        <f t="array" ref="M47">SUM(IF(搜索词报告!$H$2:$H$22222=L47,IF(搜索词报告!$A$2:$A$22222&gt;=$L$2,IF(搜索词报告!$A$2:$A$22222&lt;=$L$4,搜索词报告!$I$2:$I$22222,0),0),0))</f>
        <v>0</v>
      </c>
      <c r="N47">
        <f t="array" ref="N47">SUM(IF(搜索词报告!$H$2:$H$22222=L47,IF(搜索词报告!$A$2:$A$22222&gt;=$L$2,IF(搜索词报告!$A$2:$A$22222&lt;=$L$4,搜索词报告!$J$2:$J$22222,0),0),0))</f>
        <v>0</v>
      </c>
      <c r="O47" s="2">
        <f t="shared" si="4"/>
        <v>0</v>
      </c>
      <c r="P47" s="2">
        <f t="shared" si="5"/>
        <v>0</v>
      </c>
      <c r="Q47">
        <f t="array" ref="Q47">SUM(IF(搜索词报告!$H$2:$H$22222=L47,IF(搜索词报告!$A$2:$A$22222&gt;=$L$2,IF(搜索词报告!$A$2:$A$22222&lt;=$L$4,搜索词报告!$Q$2:$Q$22222,0),0),0))</f>
        <v>0</v>
      </c>
      <c r="R47">
        <f t="array" ref="R47">SUM(IF(搜索词报告!$H$2:$H$22222=L47,IF(搜索词报告!$A$2:$A$22222&gt;=$L$2,IF(搜索词报告!$A$2:$A$22222&lt;=$L$4,搜索词报告!$N$2:$N$22222,0),0),0))</f>
        <v>0</v>
      </c>
      <c r="S47">
        <f t="array" ref="S47">SUM(IF(搜索词报告!$H$2:$H$22222=L47,IF(搜索词报告!$A$2:$A$22222&gt;=$L$2,IF(搜索词报告!$A$2:$A$22222&lt;=$L$4,搜索词报告!$M$2:$M$22222,0),0),0))</f>
        <v>0</v>
      </c>
      <c r="T47" s="2" t="str">
        <f t="shared" si="6"/>
        <v/>
      </c>
      <c r="U47" t="str">
        <f t="shared" si="7"/>
        <v>点击次数少于10次没有参考性</v>
      </c>
      <c r="V47" s="4" t="str">
        <f>IFERROR(INDEX(搜索词报告!$D$2:$D$22222,MATCH(关键词词频统计!L47,搜索词报告!$H$2:$H$22222,0)),"")</f>
        <v/>
      </c>
    </row>
    <row r="48" spans="2:22" x14ac:dyDescent="0.15">
      <c r="B48">
        <f t="array" ref="B48">SUM(IF(搜索词报告!$H$2:$H$22222=A48,IF(搜索词报告!$A$2:$A$22222&gt;=关键词词频统计!$A$2,IF(搜索词报告!$A$2:$A$22222&lt;=关键词词频统计!$A$4,搜索词报告!$I$2:$I$22222,0),0),0))</f>
        <v>0</v>
      </c>
      <c r="C48">
        <f t="array" ref="C48">SUM(IF(搜索词报告!$H$2:$H$22222=A48,IF(搜索词报告!$A$2:$A$22222&gt;=关键词词频统计!$A$2,IF(搜索词报告!$A$2:$A$22222&lt;=关键词词频统计!$A$4,搜索词报告!$J$2:$J$22222,0),0),0))</f>
        <v>0</v>
      </c>
      <c r="D48" s="2">
        <f t="shared" si="0"/>
        <v>0</v>
      </c>
      <c r="E48" s="2">
        <f t="shared" si="1"/>
        <v>0</v>
      </c>
      <c r="F48">
        <f t="array" ref="F48">SUM(IF(搜索词报告!$H$2:$H$22222=A48,IF(搜索词报告!$A$2:$A$22222&gt;=关键词词频统计!$A$2,IF(搜索词报告!$A$2:$A$22222&lt;=关键词词频统计!$A$4,搜索词报告!$Q$2:$Q$22222,0),0),0))</f>
        <v>0</v>
      </c>
      <c r="G48">
        <f t="array" ref="G48">SUM(IF(搜索词报告!$H$2:$H$22222=A48,IF(搜索词报告!$A$2:$A$22222&gt;=关键词词频统计!$A$2,IF(搜索词报告!$A$2:$A$22222&lt;=关键词词频统计!$A$4,搜索词报告!$N$2:$N$22222,0),0),0))</f>
        <v>0</v>
      </c>
      <c r="H48">
        <f t="array" ref="H48">SUM(IF(搜索词报告!$H$2:$H$22222=A48,IF(搜索词报告!$A$2:$A$22222&gt;=关键词词频统计!$A$2,IF(搜索词报告!$A$2:$A$22222&lt;=关键词词频统计!$A$4,搜索词报告!$M$2:$M$22222,0),0),0))</f>
        <v>0</v>
      </c>
      <c r="I48" s="2" t="str">
        <f t="shared" si="2"/>
        <v/>
      </c>
      <c r="J48" t="str">
        <f t="shared" si="3"/>
        <v>点击次数少于10次没有参考性</v>
      </c>
      <c r="K48" s="4" t="str">
        <f>IFERROR(INDEX(搜索词报告!$D$2:$D$22222,MATCH(关键词词频统计!A48,搜索词报告!$H$2:$H$22222,0)),"")</f>
        <v/>
      </c>
      <c r="M48">
        <f t="array" ref="M48">SUM(IF(搜索词报告!$H$2:$H$22222=L48,IF(搜索词报告!$A$2:$A$22222&gt;=$L$2,IF(搜索词报告!$A$2:$A$22222&lt;=$L$4,搜索词报告!$I$2:$I$22222,0),0),0))</f>
        <v>0</v>
      </c>
      <c r="N48">
        <f t="array" ref="N48">SUM(IF(搜索词报告!$H$2:$H$22222=L48,IF(搜索词报告!$A$2:$A$22222&gt;=$L$2,IF(搜索词报告!$A$2:$A$22222&lt;=$L$4,搜索词报告!$J$2:$J$22222,0),0),0))</f>
        <v>0</v>
      </c>
      <c r="O48" s="2">
        <f t="shared" si="4"/>
        <v>0</v>
      </c>
      <c r="P48" s="2">
        <f t="shared" si="5"/>
        <v>0</v>
      </c>
      <c r="Q48">
        <f t="array" ref="Q48">SUM(IF(搜索词报告!$H$2:$H$22222=L48,IF(搜索词报告!$A$2:$A$22222&gt;=$L$2,IF(搜索词报告!$A$2:$A$22222&lt;=$L$4,搜索词报告!$Q$2:$Q$22222,0),0),0))</f>
        <v>0</v>
      </c>
      <c r="R48">
        <f t="array" ref="R48">SUM(IF(搜索词报告!$H$2:$H$22222=L48,IF(搜索词报告!$A$2:$A$22222&gt;=$L$2,IF(搜索词报告!$A$2:$A$22222&lt;=$L$4,搜索词报告!$N$2:$N$22222,0),0),0))</f>
        <v>0</v>
      </c>
      <c r="S48">
        <f t="array" ref="S48">SUM(IF(搜索词报告!$H$2:$H$22222=L48,IF(搜索词报告!$A$2:$A$22222&gt;=$L$2,IF(搜索词报告!$A$2:$A$22222&lt;=$L$4,搜索词报告!$M$2:$M$22222,0),0),0))</f>
        <v>0</v>
      </c>
      <c r="T48" s="2" t="str">
        <f t="shared" si="6"/>
        <v/>
      </c>
      <c r="U48" t="str">
        <f t="shared" si="7"/>
        <v>点击次数少于10次没有参考性</v>
      </c>
      <c r="V48" s="4" t="str">
        <f>IFERROR(INDEX(搜索词报告!$D$2:$D$22222,MATCH(关键词词频统计!L48,搜索词报告!$H$2:$H$22222,0)),"")</f>
        <v/>
      </c>
    </row>
    <row r="49" spans="2:22" x14ac:dyDescent="0.15">
      <c r="B49">
        <f t="array" ref="B49">SUM(IF(搜索词报告!$H$2:$H$22222=A49,IF(搜索词报告!$A$2:$A$22222&gt;=关键词词频统计!$A$2,IF(搜索词报告!$A$2:$A$22222&lt;=关键词词频统计!$A$4,搜索词报告!$I$2:$I$22222,0),0),0))</f>
        <v>0</v>
      </c>
      <c r="C49">
        <f t="array" ref="C49">SUM(IF(搜索词报告!$H$2:$H$22222=A49,IF(搜索词报告!$A$2:$A$22222&gt;=关键词词频统计!$A$2,IF(搜索词报告!$A$2:$A$22222&lt;=关键词词频统计!$A$4,搜索词报告!$J$2:$J$22222,0),0),0))</f>
        <v>0</v>
      </c>
      <c r="D49" s="2">
        <f t="shared" si="0"/>
        <v>0</v>
      </c>
      <c r="E49" s="2">
        <f t="shared" si="1"/>
        <v>0</v>
      </c>
      <c r="F49">
        <f t="array" ref="F49">SUM(IF(搜索词报告!$H$2:$H$22222=A49,IF(搜索词报告!$A$2:$A$22222&gt;=关键词词频统计!$A$2,IF(搜索词报告!$A$2:$A$22222&lt;=关键词词频统计!$A$4,搜索词报告!$Q$2:$Q$22222,0),0),0))</f>
        <v>0</v>
      </c>
      <c r="G49">
        <f t="array" ref="G49">SUM(IF(搜索词报告!$H$2:$H$22222=A49,IF(搜索词报告!$A$2:$A$22222&gt;=关键词词频统计!$A$2,IF(搜索词报告!$A$2:$A$22222&lt;=关键词词频统计!$A$4,搜索词报告!$N$2:$N$22222,0),0),0))</f>
        <v>0</v>
      </c>
      <c r="H49">
        <f t="array" ref="H49">SUM(IF(搜索词报告!$H$2:$H$22222=A49,IF(搜索词报告!$A$2:$A$22222&gt;=关键词词频统计!$A$2,IF(搜索词报告!$A$2:$A$22222&lt;=关键词词频统计!$A$4,搜索词报告!$M$2:$M$22222,0),0),0))</f>
        <v>0</v>
      </c>
      <c r="I49" s="2" t="str">
        <f t="shared" si="2"/>
        <v/>
      </c>
      <c r="J49" t="str">
        <f t="shared" si="3"/>
        <v>点击次数少于10次没有参考性</v>
      </c>
      <c r="K49" s="4" t="str">
        <f>IFERROR(INDEX(搜索词报告!$D$2:$D$22222,MATCH(关键词词频统计!A49,搜索词报告!$H$2:$H$22222,0)),"")</f>
        <v/>
      </c>
      <c r="M49">
        <f t="array" ref="M49">SUM(IF(搜索词报告!$H$2:$H$22222=L49,IF(搜索词报告!$A$2:$A$22222&gt;=$L$2,IF(搜索词报告!$A$2:$A$22222&lt;=$L$4,搜索词报告!$I$2:$I$22222,0),0),0))</f>
        <v>0</v>
      </c>
      <c r="N49">
        <f t="array" ref="N49">SUM(IF(搜索词报告!$H$2:$H$22222=L49,IF(搜索词报告!$A$2:$A$22222&gt;=$L$2,IF(搜索词报告!$A$2:$A$22222&lt;=$L$4,搜索词报告!$J$2:$J$22222,0),0),0))</f>
        <v>0</v>
      </c>
      <c r="O49" s="2">
        <f t="shared" si="4"/>
        <v>0</v>
      </c>
      <c r="P49" s="2">
        <f t="shared" si="5"/>
        <v>0</v>
      </c>
      <c r="Q49">
        <f t="array" ref="Q49">SUM(IF(搜索词报告!$H$2:$H$22222=L49,IF(搜索词报告!$A$2:$A$22222&gt;=$L$2,IF(搜索词报告!$A$2:$A$22222&lt;=$L$4,搜索词报告!$Q$2:$Q$22222,0),0),0))</f>
        <v>0</v>
      </c>
      <c r="R49">
        <f t="array" ref="R49">SUM(IF(搜索词报告!$H$2:$H$22222=L49,IF(搜索词报告!$A$2:$A$22222&gt;=$L$2,IF(搜索词报告!$A$2:$A$22222&lt;=$L$4,搜索词报告!$N$2:$N$22222,0),0),0))</f>
        <v>0</v>
      </c>
      <c r="S49">
        <f t="array" ref="S49">SUM(IF(搜索词报告!$H$2:$H$22222=L49,IF(搜索词报告!$A$2:$A$22222&gt;=$L$2,IF(搜索词报告!$A$2:$A$22222&lt;=$L$4,搜索词报告!$M$2:$M$22222,0),0),0))</f>
        <v>0</v>
      </c>
      <c r="T49" s="2" t="str">
        <f t="shared" si="6"/>
        <v/>
      </c>
      <c r="U49" t="str">
        <f t="shared" si="7"/>
        <v>点击次数少于10次没有参考性</v>
      </c>
      <c r="V49" s="4" t="str">
        <f>IFERROR(INDEX(搜索词报告!$D$2:$D$22222,MATCH(关键词词频统计!L49,搜索词报告!$H$2:$H$22222,0)),"")</f>
        <v/>
      </c>
    </row>
    <row r="50" spans="2:22" x14ac:dyDescent="0.15">
      <c r="B50">
        <f t="array" ref="B50">SUM(IF(搜索词报告!$H$2:$H$22222=A50,IF(搜索词报告!$A$2:$A$22222&gt;=关键词词频统计!$A$2,IF(搜索词报告!$A$2:$A$22222&lt;=关键词词频统计!$A$4,搜索词报告!$I$2:$I$22222,0),0),0))</f>
        <v>0</v>
      </c>
      <c r="C50">
        <f t="array" ref="C50">SUM(IF(搜索词报告!$H$2:$H$22222=A50,IF(搜索词报告!$A$2:$A$22222&gt;=关键词词频统计!$A$2,IF(搜索词报告!$A$2:$A$22222&lt;=关键词词频统计!$A$4,搜索词报告!$J$2:$J$22222,0),0),0))</f>
        <v>0</v>
      </c>
      <c r="D50" s="2">
        <f t="shared" si="0"/>
        <v>0</v>
      </c>
      <c r="E50" s="2">
        <f t="shared" si="1"/>
        <v>0</v>
      </c>
      <c r="F50">
        <f t="array" ref="F50">SUM(IF(搜索词报告!$H$2:$H$22222=A50,IF(搜索词报告!$A$2:$A$22222&gt;=关键词词频统计!$A$2,IF(搜索词报告!$A$2:$A$22222&lt;=关键词词频统计!$A$4,搜索词报告!$Q$2:$Q$22222,0),0),0))</f>
        <v>0</v>
      </c>
      <c r="G50">
        <f t="array" ref="G50">SUM(IF(搜索词报告!$H$2:$H$22222=A50,IF(搜索词报告!$A$2:$A$22222&gt;=关键词词频统计!$A$2,IF(搜索词报告!$A$2:$A$22222&lt;=关键词词频统计!$A$4,搜索词报告!$N$2:$N$22222,0),0),0))</f>
        <v>0</v>
      </c>
      <c r="H50">
        <f t="array" ref="H50">SUM(IF(搜索词报告!$H$2:$H$22222=A50,IF(搜索词报告!$A$2:$A$22222&gt;=关键词词频统计!$A$2,IF(搜索词报告!$A$2:$A$22222&lt;=关键词词频统计!$A$4,搜索词报告!$M$2:$M$22222,0),0),0))</f>
        <v>0</v>
      </c>
      <c r="I50" s="2" t="str">
        <f t="shared" si="2"/>
        <v/>
      </c>
      <c r="J50" t="str">
        <f t="shared" si="3"/>
        <v>点击次数少于10次没有参考性</v>
      </c>
      <c r="K50" s="4" t="str">
        <f>IFERROR(INDEX(搜索词报告!$D$2:$D$22222,MATCH(关键词词频统计!A50,搜索词报告!$H$2:$H$22222,0)),"")</f>
        <v/>
      </c>
      <c r="M50">
        <f t="array" ref="M50">SUM(IF(搜索词报告!$H$2:$H$22222=L50,IF(搜索词报告!$A$2:$A$22222&gt;=$L$2,IF(搜索词报告!$A$2:$A$22222&lt;=$L$4,搜索词报告!$I$2:$I$22222,0),0),0))</f>
        <v>0</v>
      </c>
      <c r="N50">
        <f t="array" ref="N50">SUM(IF(搜索词报告!$H$2:$H$22222=L50,IF(搜索词报告!$A$2:$A$22222&gt;=$L$2,IF(搜索词报告!$A$2:$A$22222&lt;=$L$4,搜索词报告!$J$2:$J$22222,0),0),0))</f>
        <v>0</v>
      </c>
      <c r="O50" s="2">
        <f t="shared" si="4"/>
        <v>0</v>
      </c>
      <c r="P50" s="2">
        <f t="shared" si="5"/>
        <v>0</v>
      </c>
      <c r="Q50">
        <f t="array" ref="Q50">SUM(IF(搜索词报告!$H$2:$H$22222=L50,IF(搜索词报告!$A$2:$A$22222&gt;=$L$2,IF(搜索词报告!$A$2:$A$22222&lt;=$L$4,搜索词报告!$Q$2:$Q$22222,0),0),0))</f>
        <v>0</v>
      </c>
      <c r="R50">
        <f t="array" ref="R50">SUM(IF(搜索词报告!$H$2:$H$22222=L50,IF(搜索词报告!$A$2:$A$22222&gt;=$L$2,IF(搜索词报告!$A$2:$A$22222&lt;=$L$4,搜索词报告!$N$2:$N$22222,0),0),0))</f>
        <v>0</v>
      </c>
      <c r="S50">
        <f t="array" ref="S50">SUM(IF(搜索词报告!$H$2:$H$22222=L50,IF(搜索词报告!$A$2:$A$22222&gt;=$L$2,IF(搜索词报告!$A$2:$A$22222&lt;=$L$4,搜索词报告!$M$2:$M$22222,0),0),0))</f>
        <v>0</v>
      </c>
      <c r="T50" s="2" t="str">
        <f t="shared" si="6"/>
        <v/>
      </c>
      <c r="U50" t="str">
        <f t="shared" si="7"/>
        <v>点击次数少于10次没有参考性</v>
      </c>
      <c r="V50" s="4" t="str">
        <f>IFERROR(INDEX(搜索词报告!$D$2:$D$22222,MATCH(关键词词频统计!L50,搜索词报告!$H$2:$H$22222,0)),"")</f>
        <v/>
      </c>
    </row>
    <row r="51" spans="2:22" x14ac:dyDescent="0.15">
      <c r="B51">
        <f t="array" ref="B51">SUM(IF(搜索词报告!$H$2:$H$22222=A51,IF(搜索词报告!$A$2:$A$22222&gt;=关键词词频统计!$A$2,IF(搜索词报告!$A$2:$A$22222&lt;=关键词词频统计!$A$4,搜索词报告!$I$2:$I$22222,0),0),0))</f>
        <v>0</v>
      </c>
      <c r="C51">
        <f t="array" ref="C51">SUM(IF(搜索词报告!$H$2:$H$22222=A51,IF(搜索词报告!$A$2:$A$22222&gt;=关键词词频统计!$A$2,IF(搜索词报告!$A$2:$A$22222&lt;=关键词词频统计!$A$4,搜索词报告!$J$2:$J$22222,0),0),0))</f>
        <v>0</v>
      </c>
      <c r="D51" s="2">
        <f t="shared" si="0"/>
        <v>0</v>
      </c>
      <c r="E51" s="2">
        <f t="shared" si="1"/>
        <v>0</v>
      </c>
      <c r="F51">
        <f t="array" ref="F51">SUM(IF(搜索词报告!$H$2:$H$22222=A51,IF(搜索词报告!$A$2:$A$22222&gt;=关键词词频统计!$A$2,IF(搜索词报告!$A$2:$A$22222&lt;=关键词词频统计!$A$4,搜索词报告!$Q$2:$Q$22222,0),0),0))</f>
        <v>0</v>
      </c>
      <c r="G51">
        <f t="array" ref="G51">SUM(IF(搜索词报告!$H$2:$H$22222=A51,IF(搜索词报告!$A$2:$A$22222&gt;=关键词词频统计!$A$2,IF(搜索词报告!$A$2:$A$22222&lt;=关键词词频统计!$A$4,搜索词报告!$N$2:$N$22222,0),0),0))</f>
        <v>0</v>
      </c>
      <c r="H51">
        <f t="array" ref="H51">SUM(IF(搜索词报告!$H$2:$H$22222=A51,IF(搜索词报告!$A$2:$A$22222&gt;=关键词词频统计!$A$2,IF(搜索词报告!$A$2:$A$22222&lt;=关键词词频统计!$A$4,搜索词报告!$M$2:$M$22222,0),0),0))</f>
        <v>0</v>
      </c>
      <c r="I51" s="2" t="str">
        <f t="shared" si="2"/>
        <v/>
      </c>
      <c r="J51" t="str">
        <f t="shared" si="3"/>
        <v>点击次数少于10次没有参考性</v>
      </c>
      <c r="K51" s="4" t="str">
        <f>IFERROR(INDEX(搜索词报告!$D$2:$D$22222,MATCH(关键词词频统计!A51,搜索词报告!$H$2:$H$22222,0)),"")</f>
        <v/>
      </c>
      <c r="M51">
        <f t="array" ref="M51">SUM(IF(搜索词报告!$H$2:$H$22222=L51,IF(搜索词报告!$A$2:$A$22222&gt;=$L$2,IF(搜索词报告!$A$2:$A$22222&lt;=$L$4,搜索词报告!$I$2:$I$22222,0),0),0))</f>
        <v>0</v>
      </c>
      <c r="N51">
        <f t="array" ref="N51">SUM(IF(搜索词报告!$H$2:$H$22222=L51,IF(搜索词报告!$A$2:$A$22222&gt;=$L$2,IF(搜索词报告!$A$2:$A$22222&lt;=$L$4,搜索词报告!$J$2:$J$22222,0),0),0))</f>
        <v>0</v>
      </c>
      <c r="O51" s="2">
        <f t="shared" si="4"/>
        <v>0</v>
      </c>
      <c r="P51" s="2">
        <f t="shared" si="5"/>
        <v>0</v>
      </c>
      <c r="Q51">
        <f t="array" ref="Q51">SUM(IF(搜索词报告!$H$2:$H$22222=L51,IF(搜索词报告!$A$2:$A$22222&gt;=$L$2,IF(搜索词报告!$A$2:$A$22222&lt;=$L$4,搜索词报告!$Q$2:$Q$22222,0),0),0))</f>
        <v>0</v>
      </c>
      <c r="R51">
        <f t="array" ref="R51">SUM(IF(搜索词报告!$H$2:$H$22222=L51,IF(搜索词报告!$A$2:$A$22222&gt;=$L$2,IF(搜索词报告!$A$2:$A$22222&lt;=$L$4,搜索词报告!$N$2:$N$22222,0),0),0))</f>
        <v>0</v>
      </c>
      <c r="S51">
        <f t="array" ref="S51">SUM(IF(搜索词报告!$H$2:$H$22222=L51,IF(搜索词报告!$A$2:$A$22222&gt;=$L$2,IF(搜索词报告!$A$2:$A$22222&lt;=$L$4,搜索词报告!$M$2:$M$22222,0),0),0))</f>
        <v>0</v>
      </c>
      <c r="T51" s="2" t="str">
        <f t="shared" si="6"/>
        <v/>
      </c>
      <c r="U51" t="str">
        <f t="shared" si="7"/>
        <v>点击次数少于10次没有参考性</v>
      </c>
      <c r="V51" s="4" t="str">
        <f>IFERROR(INDEX(搜索词报告!$D$2:$D$22222,MATCH(关键词词频统计!L51,搜索词报告!$H$2:$H$22222,0)),"")</f>
        <v/>
      </c>
    </row>
    <row r="52" spans="2:22" x14ac:dyDescent="0.15">
      <c r="B52">
        <f t="array" ref="B52">SUM(IF(搜索词报告!$H$2:$H$22222=A52,IF(搜索词报告!$A$2:$A$22222&gt;=关键词词频统计!$A$2,IF(搜索词报告!$A$2:$A$22222&lt;=关键词词频统计!$A$4,搜索词报告!$I$2:$I$22222,0),0),0))</f>
        <v>0</v>
      </c>
      <c r="C52">
        <f t="array" ref="C52">SUM(IF(搜索词报告!$H$2:$H$22222=A52,IF(搜索词报告!$A$2:$A$22222&gt;=关键词词频统计!$A$2,IF(搜索词报告!$A$2:$A$22222&lt;=关键词词频统计!$A$4,搜索词报告!$J$2:$J$22222,0),0),0))</f>
        <v>0</v>
      </c>
      <c r="D52" s="2">
        <f t="shared" si="0"/>
        <v>0</v>
      </c>
      <c r="E52" s="2">
        <f t="shared" si="1"/>
        <v>0</v>
      </c>
      <c r="F52">
        <f t="array" ref="F52">SUM(IF(搜索词报告!$H$2:$H$22222=A52,IF(搜索词报告!$A$2:$A$22222&gt;=关键词词频统计!$A$2,IF(搜索词报告!$A$2:$A$22222&lt;=关键词词频统计!$A$4,搜索词报告!$Q$2:$Q$22222,0),0),0))</f>
        <v>0</v>
      </c>
      <c r="G52">
        <f t="array" ref="G52">SUM(IF(搜索词报告!$H$2:$H$22222=A52,IF(搜索词报告!$A$2:$A$22222&gt;=关键词词频统计!$A$2,IF(搜索词报告!$A$2:$A$22222&lt;=关键词词频统计!$A$4,搜索词报告!$N$2:$N$22222,0),0),0))</f>
        <v>0</v>
      </c>
      <c r="H52">
        <f t="array" ref="H52">SUM(IF(搜索词报告!$H$2:$H$22222=A52,IF(搜索词报告!$A$2:$A$22222&gt;=关键词词频统计!$A$2,IF(搜索词报告!$A$2:$A$22222&lt;=关键词词频统计!$A$4,搜索词报告!$M$2:$M$22222,0),0),0))</f>
        <v>0</v>
      </c>
      <c r="I52" s="2" t="str">
        <f t="shared" si="2"/>
        <v/>
      </c>
      <c r="J52" t="str">
        <f t="shared" si="3"/>
        <v>点击次数少于10次没有参考性</v>
      </c>
      <c r="K52" s="4" t="str">
        <f>IFERROR(INDEX(搜索词报告!$D$2:$D$22222,MATCH(关键词词频统计!A52,搜索词报告!$H$2:$H$22222,0)),"")</f>
        <v/>
      </c>
      <c r="M52">
        <f t="array" ref="M52">SUM(IF(搜索词报告!$H$2:$H$22222=L52,IF(搜索词报告!$A$2:$A$22222&gt;=$L$2,IF(搜索词报告!$A$2:$A$22222&lt;=$L$4,搜索词报告!$I$2:$I$22222,0),0),0))</f>
        <v>0</v>
      </c>
      <c r="N52">
        <f t="array" ref="N52">SUM(IF(搜索词报告!$H$2:$H$22222=L52,IF(搜索词报告!$A$2:$A$22222&gt;=$L$2,IF(搜索词报告!$A$2:$A$22222&lt;=$L$4,搜索词报告!$J$2:$J$22222,0),0),0))</f>
        <v>0</v>
      </c>
      <c r="O52" s="2">
        <f t="shared" si="4"/>
        <v>0</v>
      </c>
      <c r="P52" s="2">
        <f t="shared" si="5"/>
        <v>0</v>
      </c>
      <c r="Q52">
        <f t="array" ref="Q52">SUM(IF(搜索词报告!$H$2:$H$22222=L52,IF(搜索词报告!$A$2:$A$22222&gt;=$L$2,IF(搜索词报告!$A$2:$A$22222&lt;=$L$4,搜索词报告!$Q$2:$Q$22222,0),0),0))</f>
        <v>0</v>
      </c>
      <c r="R52">
        <f t="array" ref="R52">SUM(IF(搜索词报告!$H$2:$H$22222=L52,IF(搜索词报告!$A$2:$A$22222&gt;=$L$2,IF(搜索词报告!$A$2:$A$22222&lt;=$L$4,搜索词报告!$N$2:$N$22222,0),0),0))</f>
        <v>0</v>
      </c>
      <c r="S52">
        <f t="array" ref="S52">SUM(IF(搜索词报告!$H$2:$H$22222=L52,IF(搜索词报告!$A$2:$A$22222&gt;=$L$2,IF(搜索词报告!$A$2:$A$22222&lt;=$L$4,搜索词报告!$M$2:$M$22222,0),0),0))</f>
        <v>0</v>
      </c>
      <c r="T52" s="2" t="str">
        <f t="shared" si="6"/>
        <v/>
      </c>
      <c r="U52" t="str">
        <f t="shared" si="7"/>
        <v>点击次数少于10次没有参考性</v>
      </c>
      <c r="V52" s="4" t="str">
        <f>IFERROR(INDEX(搜索词报告!$D$2:$D$22222,MATCH(关键词词频统计!L52,搜索词报告!$H$2:$H$22222,0)),"")</f>
        <v/>
      </c>
    </row>
    <row r="53" spans="2:22" x14ac:dyDescent="0.15">
      <c r="B53">
        <f t="array" ref="B53">SUM(IF(搜索词报告!$H$2:$H$22222=A53,IF(搜索词报告!$A$2:$A$22222&gt;=关键词词频统计!$A$2,IF(搜索词报告!$A$2:$A$22222&lt;=关键词词频统计!$A$4,搜索词报告!$I$2:$I$22222,0),0),0))</f>
        <v>0</v>
      </c>
      <c r="C53">
        <f t="array" ref="C53">SUM(IF(搜索词报告!$H$2:$H$22222=A53,IF(搜索词报告!$A$2:$A$22222&gt;=关键词词频统计!$A$2,IF(搜索词报告!$A$2:$A$22222&lt;=关键词词频统计!$A$4,搜索词报告!$J$2:$J$22222,0),0),0))</f>
        <v>0</v>
      </c>
      <c r="D53" s="2">
        <f t="shared" si="0"/>
        <v>0</v>
      </c>
      <c r="E53" s="2">
        <f t="shared" si="1"/>
        <v>0</v>
      </c>
      <c r="F53">
        <f t="array" ref="F53">SUM(IF(搜索词报告!$H$2:$H$22222=A53,IF(搜索词报告!$A$2:$A$22222&gt;=关键词词频统计!$A$2,IF(搜索词报告!$A$2:$A$22222&lt;=关键词词频统计!$A$4,搜索词报告!$Q$2:$Q$22222,0),0),0))</f>
        <v>0</v>
      </c>
      <c r="G53">
        <f t="array" ref="G53">SUM(IF(搜索词报告!$H$2:$H$22222=A53,IF(搜索词报告!$A$2:$A$22222&gt;=关键词词频统计!$A$2,IF(搜索词报告!$A$2:$A$22222&lt;=关键词词频统计!$A$4,搜索词报告!$N$2:$N$22222,0),0),0))</f>
        <v>0</v>
      </c>
      <c r="H53">
        <f t="array" ref="H53">SUM(IF(搜索词报告!$H$2:$H$22222=A53,IF(搜索词报告!$A$2:$A$22222&gt;=关键词词频统计!$A$2,IF(搜索词报告!$A$2:$A$22222&lt;=关键词词频统计!$A$4,搜索词报告!$M$2:$M$22222,0),0),0))</f>
        <v>0</v>
      </c>
      <c r="I53" s="2" t="str">
        <f t="shared" si="2"/>
        <v/>
      </c>
      <c r="J53" t="str">
        <f t="shared" si="3"/>
        <v>点击次数少于10次没有参考性</v>
      </c>
      <c r="K53" s="4" t="str">
        <f>IFERROR(INDEX(搜索词报告!$D$2:$D$22222,MATCH(关键词词频统计!A53,搜索词报告!$H$2:$H$22222,0)),"")</f>
        <v/>
      </c>
      <c r="M53">
        <f t="array" ref="M53">SUM(IF(搜索词报告!$H$2:$H$22222=L53,IF(搜索词报告!$A$2:$A$22222&gt;=$L$2,IF(搜索词报告!$A$2:$A$22222&lt;=$L$4,搜索词报告!$I$2:$I$22222,0),0),0))</f>
        <v>0</v>
      </c>
      <c r="N53">
        <f t="array" ref="N53">SUM(IF(搜索词报告!$H$2:$H$22222=L53,IF(搜索词报告!$A$2:$A$22222&gt;=$L$2,IF(搜索词报告!$A$2:$A$22222&lt;=$L$4,搜索词报告!$J$2:$J$22222,0),0),0))</f>
        <v>0</v>
      </c>
      <c r="O53" s="2">
        <f t="shared" si="4"/>
        <v>0</v>
      </c>
      <c r="P53" s="2">
        <f t="shared" si="5"/>
        <v>0</v>
      </c>
      <c r="Q53">
        <f t="array" ref="Q53">SUM(IF(搜索词报告!$H$2:$H$22222=L53,IF(搜索词报告!$A$2:$A$22222&gt;=$L$2,IF(搜索词报告!$A$2:$A$22222&lt;=$L$4,搜索词报告!$Q$2:$Q$22222,0),0),0))</f>
        <v>0</v>
      </c>
      <c r="R53">
        <f t="array" ref="R53">SUM(IF(搜索词报告!$H$2:$H$22222=L53,IF(搜索词报告!$A$2:$A$22222&gt;=$L$2,IF(搜索词报告!$A$2:$A$22222&lt;=$L$4,搜索词报告!$N$2:$N$22222,0),0),0))</f>
        <v>0</v>
      </c>
      <c r="S53">
        <f t="array" ref="S53">SUM(IF(搜索词报告!$H$2:$H$22222=L53,IF(搜索词报告!$A$2:$A$22222&gt;=$L$2,IF(搜索词报告!$A$2:$A$22222&lt;=$L$4,搜索词报告!$M$2:$M$22222,0),0),0))</f>
        <v>0</v>
      </c>
      <c r="T53" s="2" t="str">
        <f t="shared" si="6"/>
        <v/>
      </c>
      <c r="U53" t="str">
        <f t="shared" si="7"/>
        <v>点击次数少于10次没有参考性</v>
      </c>
      <c r="V53" s="4" t="str">
        <f>IFERROR(INDEX(搜索词报告!$D$2:$D$22222,MATCH(关键词词频统计!L53,搜索词报告!$H$2:$H$22222,0)),"")</f>
        <v/>
      </c>
    </row>
    <row r="54" spans="2:22" x14ac:dyDescent="0.15">
      <c r="B54">
        <f t="array" ref="B54">SUM(IF(搜索词报告!$H$2:$H$22222=A54,IF(搜索词报告!$A$2:$A$22222&gt;=关键词词频统计!$A$2,IF(搜索词报告!$A$2:$A$22222&lt;=关键词词频统计!$A$4,搜索词报告!$I$2:$I$22222,0),0),0))</f>
        <v>0</v>
      </c>
      <c r="C54">
        <f t="array" ref="C54">SUM(IF(搜索词报告!$H$2:$H$22222=A54,IF(搜索词报告!$A$2:$A$22222&gt;=关键词词频统计!$A$2,IF(搜索词报告!$A$2:$A$22222&lt;=关键词词频统计!$A$4,搜索词报告!$J$2:$J$22222,0),0),0))</f>
        <v>0</v>
      </c>
      <c r="D54" s="2">
        <f t="shared" si="0"/>
        <v>0</v>
      </c>
      <c r="E54" s="2">
        <f t="shared" si="1"/>
        <v>0</v>
      </c>
      <c r="F54">
        <f t="array" ref="F54">SUM(IF(搜索词报告!$H$2:$H$22222=A54,IF(搜索词报告!$A$2:$A$22222&gt;=关键词词频统计!$A$2,IF(搜索词报告!$A$2:$A$22222&lt;=关键词词频统计!$A$4,搜索词报告!$Q$2:$Q$22222,0),0),0))</f>
        <v>0</v>
      </c>
      <c r="G54">
        <f t="array" ref="G54">SUM(IF(搜索词报告!$H$2:$H$22222=A54,IF(搜索词报告!$A$2:$A$22222&gt;=关键词词频统计!$A$2,IF(搜索词报告!$A$2:$A$22222&lt;=关键词词频统计!$A$4,搜索词报告!$N$2:$N$22222,0),0),0))</f>
        <v>0</v>
      </c>
      <c r="H54">
        <f t="array" ref="H54">SUM(IF(搜索词报告!$H$2:$H$22222=A54,IF(搜索词报告!$A$2:$A$22222&gt;=关键词词频统计!$A$2,IF(搜索词报告!$A$2:$A$22222&lt;=关键词词频统计!$A$4,搜索词报告!$M$2:$M$22222,0),0),0))</f>
        <v>0</v>
      </c>
      <c r="I54" s="2" t="str">
        <f t="shared" si="2"/>
        <v/>
      </c>
      <c r="J54" t="str">
        <f t="shared" si="3"/>
        <v>点击次数少于10次没有参考性</v>
      </c>
      <c r="K54" s="4" t="str">
        <f>IFERROR(INDEX(搜索词报告!$D$2:$D$22222,MATCH(关键词词频统计!A54,搜索词报告!$H$2:$H$22222,0)),"")</f>
        <v/>
      </c>
      <c r="M54">
        <f t="array" ref="M54">SUM(IF(搜索词报告!$H$2:$H$22222=L54,IF(搜索词报告!$A$2:$A$22222&gt;=$L$2,IF(搜索词报告!$A$2:$A$22222&lt;=$L$4,搜索词报告!$I$2:$I$22222,0),0),0))</f>
        <v>0</v>
      </c>
      <c r="N54">
        <f t="array" ref="N54">SUM(IF(搜索词报告!$H$2:$H$22222=L54,IF(搜索词报告!$A$2:$A$22222&gt;=$L$2,IF(搜索词报告!$A$2:$A$22222&lt;=$L$4,搜索词报告!$J$2:$J$22222,0),0),0))</f>
        <v>0</v>
      </c>
      <c r="O54" s="2">
        <f t="shared" si="4"/>
        <v>0</v>
      </c>
      <c r="P54" s="2">
        <f t="shared" si="5"/>
        <v>0</v>
      </c>
      <c r="Q54">
        <f t="array" ref="Q54">SUM(IF(搜索词报告!$H$2:$H$22222=L54,IF(搜索词报告!$A$2:$A$22222&gt;=$L$2,IF(搜索词报告!$A$2:$A$22222&lt;=$L$4,搜索词报告!$Q$2:$Q$22222,0),0),0))</f>
        <v>0</v>
      </c>
      <c r="R54">
        <f t="array" ref="R54">SUM(IF(搜索词报告!$H$2:$H$22222=L54,IF(搜索词报告!$A$2:$A$22222&gt;=$L$2,IF(搜索词报告!$A$2:$A$22222&lt;=$L$4,搜索词报告!$N$2:$N$22222,0),0),0))</f>
        <v>0</v>
      </c>
      <c r="S54">
        <f t="array" ref="S54">SUM(IF(搜索词报告!$H$2:$H$22222=L54,IF(搜索词报告!$A$2:$A$22222&gt;=$L$2,IF(搜索词报告!$A$2:$A$22222&lt;=$L$4,搜索词报告!$M$2:$M$22222,0),0),0))</f>
        <v>0</v>
      </c>
      <c r="T54" s="2" t="str">
        <f t="shared" si="6"/>
        <v/>
      </c>
      <c r="U54" t="str">
        <f t="shared" si="7"/>
        <v>点击次数少于10次没有参考性</v>
      </c>
      <c r="V54" s="4" t="str">
        <f>IFERROR(INDEX(搜索词报告!$D$2:$D$22222,MATCH(关键词词频统计!L54,搜索词报告!$H$2:$H$22222,0)),"")</f>
        <v/>
      </c>
    </row>
    <row r="55" spans="2:22" x14ac:dyDescent="0.15">
      <c r="B55">
        <f t="array" ref="B55">SUM(IF(搜索词报告!$H$2:$H$22222=A55,IF(搜索词报告!$A$2:$A$22222&gt;=关键词词频统计!$A$2,IF(搜索词报告!$A$2:$A$22222&lt;=关键词词频统计!$A$4,搜索词报告!$I$2:$I$22222,0),0),0))</f>
        <v>0</v>
      </c>
      <c r="C55">
        <f t="array" ref="C55">SUM(IF(搜索词报告!$H$2:$H$22222=A55,IF(搜索词报告!$A$2:$A$22222&gt;=关键词词频统计!$A$2,IF(搜索词报告!$A$2:$A$22222&lt;=关键词词频统计!$A$4,搜索词报告!$J$2:$J$22222,0),0),0))</f>
        <v>0</v>
      </c>
      <c r="D55" s="2">
        <f t="shared" si="0"/>
        <v>0</v>
      </c>
      <c r="E55" s="2">
        <f t="shared" si="1"/>
        <v>0</v>
      </c>
      <c r="F55">
        <f t="array" ref="F55">SUM(IF(搜索词报告!$H$2:$H$22222=A55,IF(搜索词报告!$A$2:$A$22222&gt;=关键词词频统计!$A$2,IF(搜索词报告!$A$2:$A$22222&lt;=关键词词频统计!$A$4,搜索词报告!$Q$2:$Q$22222,0),0),0))</f>
        <v>0</v>
      </c>
      <c r="G55">
        <f t="array" ref="G55">SUM(IF(搜索词报告!$H$2:$H$22222=A55,IF(搜索词报告!$A$2:$A$22222&gt;=关键词词频统计!$A$2,IF(搜索词报告!$A$2:$A$22222&lt;=关键词词频统计!$A$4,搜索词报告!$N$2:$N$22222,0),0),0))</f>
        <v>0</v>
      </c>
      <c r="H55">
        <f t="array" ref="H55">SUM(IF(搜索词报告!$H$2:$H$22222=A55,IF(搜索词报告!$A$2:$A$22222&gt;=关键词词频统计!$A$2,IF(搜索词报告!$A$2:$A$22222&lt;=关键词词频统计!$A$4,搜索词报告!$M$2:$M$22222,0),0),0))</f>
        <v>0</v>
      </c>
      <c r="I55" s="2" t="str">
        <f t="shared" si="2"/>
        <v/>
      </c>
      <c r="J55" t="str">
        <f t="shared" si="3"/>
        <v>点击次数少于10次没有参考性</v>
      </c>
      <c r="K55" s="4" t="str">
        <f>IFERROR(INDEX(搜索词报告!$D$2:$D$22222,MATCH(关键词词频统计!A55,搜索词报告!$H$2:$H$22222,0)),"")</f>
        <v/>
      </c>
      <c r="M55">
        <f t="array" ref="M55">SUM(IF(搜索词报告!$H$2:$H$22222=L55,IF(搜索词报告!$A$2:$A$22222&gt;=$L$2,IF(搜索词报告!$A$2:$A$22222&lt;=$L$4,搜索词报告!$I$2:$I$22222,0),0),0))</f>
        <v>0</v>
      </c>
      <c r="N55">
        <f t="array" ref="N55">SUM(IF(搜索词报告!$H$2:$H$22222=L55,IF(搜索词报告!$A$2:$A$22222&gt;=$L$2,IF(搜索词报告!$A$2:$A$22222&lt;=$L$4,搜索词报告!$J$2:$J$22222,0),0),0))</f>
        <v>0</v>
      </c>
      <c r="O55" s="2">
        <f t="shared" si="4"/>
        <v>0</v>
      </c>
      <c r="P55" s="2">
        <f t="shared" si="5"/>
        <v>0</v>
      </c>
      <c r="Q55">
        <f t="array" ref="Q55">SUM(IF(搜索词报告!$H$2:$H$22222=L55,IF(搜索词报告!$A$2:$A$22222&gt;=$L$2,IF(搜索词报告!$A$2:$A$22222&lt;=$L$4,搜索词报告!$Q$2:$Q$22222,0),0),0))</f>
        <v>0</v>
      </c>
      <c r="R55">
        <f t="array" ref="R55">SUM(IF(搜索词报告!$H$2:$H$22222=L55,IF(搜索词报告!$A$2:$A$22222&gt;=$L$2,IF(搜索词报告!$A$2:$A$22222&lt;=$L$4,搜索词报告!$N$2:$N$22222,0),0),0))</f>
        <v>0</v>
      </c>
      <c r="S55">
        <f t="array" ref="S55">SUM(IF(搜索词报告!$H$2:$H$22222=L55,IF(搜索词报告!$A$2:$A$22222&gt;=$L$2,IF(搜索词报告!$A$2:$A$22222&lt;=$L$4,搜索词报告!$M$2:$M$22222,0),0),0))</f>
        <v>0</v>
      </c>
      <c r="T55" s="2" t="str">
        <f t="shared" si="6"/>
        <v/>
      </c>
      <c r="U55" t="str">
        <f t="shared" si="7"/>
        <v>点击次数少于10次没有参考性</v>
      </c>
      <c r="V55" s="4" t="str">
        <f>IFERROR(INDEX(搜索词报告!$D$2:$D$22222,MATCH(关键词词频统计!L55,搜索词报告!$H$2:$H$22222,0)),"")</f>
        <v/>
      </c>
    </row>
    <row r="56" spans="2:22" x14ac:dyDescent="0.15">
      <c r="B56">
        <f t="array" ref="B56">SUM(IF(搜索词报告!$H$2:$H$22222=A56,IF(搜索词报告!$A$2:$A$22222&gt;=关键词词频统计!$A$2,IF(搜索词报告!$A$2:$A$22222&lt;=关键词词频统计!$A$4,搜索词报告!$I$2:$I$22222,0),0),0))</f>
        <v>0</v>
      </c>
      <c r="C56">
        <f t="array" ref="C56">SUM(IF(搜索词报告!$H$2:$H$22222=A56,IF(搜索词报告!$A$2:$A$22222&gt;=关键词词频统计!$A$2,IF(搜索词报告!$A$2:$A$22222&lt;=关键词词频统计!$A$4,搜索词报告!$J$2:$J$22222,0),0),0))</f>
        <v>0</v>
      </c>
      <c r="D56" s="2">
        <f t="shared" si="0"/>
        <v>0</v>
      </c>
      <c r="E56" s="2">
        <f t="shared" si="1"/>
        <v>0</v>
      </c>
      <c r="F56">
        <f t="array" ref="F56">SUM(IF(搜索词报告!$H$2:$H$22222=A56,IF(搜索词报告!$A$2:$A$22222&gt;=关键词词频统计!$A$2,IF(搜索词报告!$A$2:$A$22222&lt;=关键词词频统计!$A$4,搜索词报告!$Q$2:$Q$22222,0),0),0))</f>
        <v>0</v>
      </c>
      <c r="G56">
        <f t="array" ref="G56">SUM(IF(搜索词报告!$H$2:$H$22222=A56,IF(搜索词报告!$A$2:$A$22222&gt;=关键词词频统计!$A$2,IF(搜索词报告!$A$2:$A$22222&lt;=关键词词频统计!$A$4,搜索词报告!$N$2:$N$22222,0),0),0))</f>
        <v>0</v>
      </c>
      <c r="H56">
        <f t="array" ref="H56">SUM(IF(搜索词报告!$H$2:$H$22222=A56,IF(搜索词报告!$A$2:$A$22222&gt;=关键词词频统计!$A$2,IF(搜索词报告!$A$2:$A$22222&lt;=关键词词频统计!$A$4,搜索词报告!$M$2:$M$22222,0),0),0))</f>
        <v>0</v>
      </c>
      <c r="I56" s="2" t="str">
        <f t="shared" si="2"/>
        <v/>
      </c>
      <c r="J56" t="str">
        <f t="shared" si="3"/>
        <v>点击次数少于10次没有参考性</v>
      </c>
      <c r="K56" s="4" t="str">
        <f>IFERROR(INDEX(搜索词报告!$D$2:$D$22222,MATCH(关键词词频统计!A56,搜索词报告!$H$2:$H$22222,0)),"")</f>
        <v/>
      </c>
      <c r="M56">
        <f t="array" ref="M56">SUM(IF(搜索词报告!$H$2:$H$22222=L56,IF(搜索词报告!$A$2:$A$22222&gt;=$L$2,IF(搜索词报告!$A$2:$A$22222&lt;=$L$4,搜索词报告!$I$2:$I$22222,0),0),0))</f>
        <v>0</v>
      </c>
      <c r="N56">
        <f t="array" ref="N56">SUM(IF(搜索词报告!$H$2:$H$22222=L56,IF(搜索词报告!$A$2:$A$22222&gt;=$L$2,IF(搜索词报告!$A$2:$A$22222&lt;=$L$4,搜索词报告!$J$2:$J$22222,0),0),0))</f>
        <v>0</v>
      </c>
      <c r="O56" s="2">
        <f t="shared" si="4"/>
        <v>0</v>
      </c>
      <c r="P56" s="2">
        <f t="shared" si="5"/>
        <v>0</v>
      </c>
      <c r="Q56">
        <f t="array" ref="Q56">SUM(IF(搜索词报告!$H$2:$H$22222=L56,IF(搜索词报告!$A$2:$A$22222&gt;=$L$2,IF(搜索词报告!$A$2:$A$22222&lt;=$L$4,搜索词报告!$Q$2:$Q$22222,0),0),0))</f>
        <v>0</v>
      </c>
      <c r="R56">
        <f t="array" ref="R56">SUM(IF(搜索词报告!$H$2:$H$22222=L56,IF(搜索词报告!$A$2:$A$22222&gt;=$L$2,IF(搜索词报告!$A$2:$A$22222&lt;=$L$4,搜索词报告!$N$2:$N$22222,0),0),0))</f>
        <v>0</v>
      </c>
      <c r="S56">
        <f t="array" ref="S56">SUM(IF(搜索词报告!$H$2:$H$22222=L56,IF(搜索词报告!$A$2:$A$22222&gt;=$L$2,IF(搜索词报告!$A$2:$A$22222&lt;=$L$4,搜索词报告!$M$2:$M$22222,0),0),0))</f>
        <v>0</v>
      </c>
      <c r="T56" s="2" t="str">
        <f t="shared" si="6"/>
        <v/>
      </c>
      <c r="U56" t="str">
        <f t="shared" si="7"/>
        <v>点击次数少于10次没有参考性</v>
      </c>
      <c r="V56" s="4" t="str">
        <f>IFERROR(INDEX(搜索词报告!$D$2:$D$22222,MATCH(关键词词频统计!L56,搜索词报告!$H$2:$H$22222,0)),"")</f>
        <v/>
      </c>
    </row>
    <row r="57" spans="2:22" x14ac:dyDescent="0.15">
      <c r="B57">
        <f t="array" ref="B57">SUM(IF(搜索词报告!$H$2:$H$22222=A57,IF(搜索词报告!$A$2:$A$22222&gt;=关键词词频统计!$A$2,IF(搜索词报告!$A$2:$A$22222&lt;=关键词词频统计!$A$4,搜索词报告!$I$2:$I$22222,0),0),0))</f>
        <v>0</v>
      </c>
      <c r="C57">
        <f t="array" ref="C57">SUM(IF(搜索词报告!$H$2:$H$22222=A57,IF(搜索词报告!$A$2:$A$22222&gt;=关键词词频统计!$A$2,IF(搜索词报告!$A$2:$A$22222&lt;=关键词词频统计!$A$4,搜索词报告!$J$2:$J$22222,0),0),0))</f>
        <v>0</v>
      </c>
      <c r="D57" s="2">
        <f t="shared" si="0"/>
        <v>0</v>
      </c>
      <c r="E57" s="2">
        <f t="shared" si="1"/>
        <v>0</v>
      </c>
      <c r="F57">
        <f t="array" ref="F57">SUM(IF(搜索词报告!$H$2:$H$22222=A57,IF(搜索词报告!$A$2:$A$22222&gt;=关键词词频统计!$A$2,IF(搜索词报告!$A$2:$A$22222&lt;=关键词词频统计!$A$4,搜索词报告!$Q$2:$Q$22222,0),0),0))</f>
        <v>0</v>
      </c>
      <c r="G57">
        <f t="array" ref="G57">SUM(IF(搜索词报告!$H$2:$H$22222=A57,IF(搜索词报告!$A$2:$A$22222&gt;=关键词词频统计!$A$2,IF(搜索词报告!$A$2:$A$22222&lt;=关键词词频统计!$A$4,搜索词报告!$N$2:$N$22222,0),0),0))</f>
        <v>0</v>
      </c>
      <c r="H57">
        <f t="array" ref="H57">SUM(IF(搜索词报告!$H$2:$H$22222=A57,IF(搜索词报告!$A$2:$A$22222&gt;=关键词词频统计!$A$2,IF(搜索词报告!$A$2:$A$22222&lt;=关键词词频统计!$A$4,搜索词报告!$M$2:$M$22222,0),0),0))</f>
        <v>0</v>
      </c>
      <c r="I57" s="2" t="str">
        <f t="shared" si="2"/>
        <v/>
      </c>
      <c r="J57" t="str">
        <f t="shared" si="3"/>
        <v>点击次数少于10次没有参考性</v>
      </c>
      <c r="K57" s="4" t="str">
        <f>IFERROR(INDEX(搜索词报告!$D$2:$D$22222,MATCH(关键词词频统计!A57,搜索词报告!$H$2:$H$22222,0)),"")</f>
        <v/>
      </c>
      <c r="M57">
        <f t="array" ref="M57">SUM(IF(搜索词报告!$H$2:$H$22222=L57,IF(搜索词报告!$A$2:$A$22222&gt;=$L$2,IF(搜索词报告!$A$2:$A$22222&lt;=$L$4,搜索词报告!$I$2:$I$22222,0),0),0))</f>
        <v>0</v>
      </c>
      <c r="N57">
        <f t="array" ref="N57">SUM(IF(搜索词报告!$H$2:$H$22222=L57,IF(搜索词报告!$A$2:$A$22222&gt;=$L$2,IF(搜索词报告!$A$2:$A$22222&lt;=$L$4,搜索词报告!$J$2:$J$22222,0),0),0))</f>
        <v>0</v>
      </c>
      <c r="O57" s="2">
        <f t="shared" si="4"/>
        <v>0</v>
      </c>
      <c r="P57" s="2">
        <f t="shared" si="5"/>
        <v>0</v>
      </c>
      <c r="Q57">
        <f t="array" ref="Q57">SUM(IF(搜索词报告!$H$2:$H$22222=L57,IF(搜索词报告!$A$2:$A$22222&gt;=$L$2,IF(搜索词报告!$A$2:$A$22222&lt;=$L$4,搜索词报告!$Q$2:$Q$22222,0),0),0))</f>
        <v>0</v>
      </c>
      <c r="R57">
        <f t="array" ref="R57">SUM(IF(搜索词报告!$H$2:$H$22222=L57,IF(搜索词报告!$A$2:$A$22222&gt;=$L$2,IF(搜索词报告!$A$2:$A$22222&lt;=$L$4,搜索词报告!$N$2:$N$22222,0),0),0))</f>
        <v>0</v>
      </c>
      <c r="S57">
        <f t="array" ref="S57">SUM(IF(搜索词报告!$H$2:$H$22222=L57,IF(搜索词报告!$A$2:$A$22222&gt;=$L$2,IF(搜索词报告!$A$2:$A$22222&lt;=$L$4,搜索词报告!$M$2:$M$22222,0),0),0))</f>
        <v>0</v>
      </c>
      <c r="T57" s="2" t="str">
        <f t="shared" si="6"/>
        <v/>
      </c>
      <c r="U57" t="str">
        <f t="shared" si="7"/>
        <v>点击次数少于10次没有参考性</v>
      </c>
      <c r="V57" s="4" t="str">
        <f>IFERROR(INDEX(搜索词报告!$D$2:$D$22222,MATCH(关键词词频统计!L57,搜索词报告!$H$2:$H$22222,0)),"")</f>
        <v/>
      </c>
    </row>
    <row r="58" spans="2:22" x14ac:dyDescent="0.15">
      <c r="B58">
        <f t="array" ref="B58">SUM(IF(搜索词报告!$H$2:$H$22222=A58,IF(搜索词报告!$A$2:$A$22222&gt;=关键词词频统计!$A$2,IF(搜索词报告!$A$2:$A$22222&lt;=关键词词频统计!$A$4,搜索词报告!$I$2:$I$22222,0),0),0))</f>
        <v>0</v>
      </c>
      <c r="C58">
        <f t="array" ref="C58">SUM(IF(搜索词报告!$H$2:$H$22222=A58,IF(搜索词报告!$A$2:$A$22222&gt;=关键词词频统计!$A$2,IF(搜索词报告!$A$2:$A$22222&lt;=关键词词频统计!$A$4,搜索词报告!$J$2:$J$22222,0),0),0))</f>
        <v>0</v>
      </c>
      <c r="D58" s="2">
        <f t="shared" si="0"/>
        <v>0</v>
      </c>
      <c r="E58" s="2">
        <f t="shared" si="1"/>
        <v>0</v>
      </c>
      <c r="F58">
        <f t="array" ref="F58">SUM(IF(搜索词报告!$H$2:$H$22222=A58,IF(搜索词报告!$A$2:$A$22222&gt;=关键词词频统计!$A$2,IF(搜索词报告!$A$2:$A$22222&lt;=关键词词频统计!$A$4,搜索词报告!$Q$2:$Q$22222,0),0),0))</f>
        <v>0</v>
      </c>
      <c r="G58">
        <f t="array" ref="G58">SUM(IF(搜索词报告!$H$2:$H$22222=A58,IF(搜索词报告!$A$2:$A$22222&gt;=关键词词频统计!$A$2,IF(搜索词报告!$A$2:$A$22222&lt;=关键词词频统计!$A$4,搜索词报告!$N$2:$N$22222,0),0),0))</f>
        <v>0</v>
      </c>
      <c r="H58">
        <f t="array" ref="H58">SUM(IF(搜索词报告!$H$2:$H$22222=A58,IF(搜索词报告!$A$2:$A$22222&gt;=关键词词频统计!$A$2,IF(搜索词报告!$A$2:$A$22222&lt;=关键词词频统计!$A$4,搜索词报告!$M$2:$M$22222,0),0),0))</f>
        <v>0</v>
      </c>
      <c r="I58" s="2" t="str">
        <f t="shared" si="2"/>
        <v/>
      </c>
      <c r="J58" t="str">
        <f t="shared" si="3"/>
        <v>点击次数少于10次没有参考性</v>
      </c>
      <c r="K58" s="4" t="str">
        <f>IFERROR(INDEX(搜索词报告!$D$2:$D$22222,MATCH(关键词词频统计!A58,搜索词报告!$H$2:$H$22222,0)),"")</f>
        <v/>
      </c>
      <c r="M58">
        <f t="array" ref="M58">SUM(IF(搜索词报告!$H$2:$H$22222=L58,IF(搜索词报告!$A$2:$A$22222&gt;=$L$2,IF(搜索词报告!$A$2:$A$22222&lt;=$L$4,搜索词报告!$I$2:$I$22222,0),0),0))</f>
        <v>0</v>
      </c>
      <c r="N58">
        <f t="array" ref="N58">SUM(IF(搜索词报告!$H$2:$H$22222=L58,IF(搜索词报告!$A$2:$A$22222&gt;=$L$2,IF(搜索词报告!$A$2:$A$22222&lt;=$L$4,搜索词报告!$J$2:$J$22222,0),0),0))</f>
        <v>0</v>
      </c>
      <c r="O58" s="2">
        <f t="shared" si="4"/>
        <v>0</v>
      </c>
      <c r="P58" s="2">
        <f t="shared" si="5"/>
        <v>0</v>
      </c>
      <c r="Q58">
        <f t="array" ref="Q58">SUM(IF(搜索词报告!$H$2:$H$22222=L58,IF(搜索词报告!$A$2:$A$22222&gt;=$L$2,IF(搜索词报告!$A$2:$A$22222&lt;=$L$4,搜索词报告!$Q$2:$Q$22222,0),0),0))</f>
        <v>0</v>
      </c>
      <c r="R58">
        <f t="array" ref="R58">SUM(IF(搜索词报告!$H$2:$H$22222=L58,IF(搜索词报告!$A$2:$A$22222&gt;=$L$2,IF(搜索词报告!$A$2:$A$22222&lt;=$L$4,搜索词报告!$N$2:$N$22222,0),0),0))</f>
        <v>0</v>
      </c>
      <c r="S58">
        <f t="array" ref="S58">SUM(IF(搜索词报告!$H$2:$H$22222=L58,IF(搜索词报告!$A$2:$A$22222&gt;=$L$2,IF(搜索词报告!$A$2:$A$22222&lt;=$L$4,搜索词报告!$M$2:$M$22222,0),0),0))</f>
        <v>0</v>
      </c>
      <c r="T58" s="2" t="str">
        <f t="shared" si="6"/>
        <v/>
      </c>
      <c r="U58" t="str">
        <f t="shared" si="7"/>
        <v>点击次数少于10次没有参考性</v>
      </c>
      <c r="V58" s="4" t="str">
        <f>IFERROR(INDEX(搜索词报告!$D$2:$D$22222,MATCH(关键词词频统计!L58,搜索词报告!$H$2:$H$22222,0)),"")</f>
        <v/>
      </c>
    </row>
    <row r="59" spans="2:22" x14ac:dyDescent="0.15">
      <c r="B59">
        <f t="array" ref="B59">SUM(IF(搜索词报告!$H$2:$H$22222=A59,IF(搜索词报告!$A$2:$A$22222&gt;=关键词词频统计!$A$2,IF(搜索词报告!$A$2:$A$22222&lt;=关键词词频统计!$A$4,搜索词报告!$I$2:$I$22222,0),0),0))</f>
        <v>0</v>
      </c>
      <c r="C59">
        <f t="array" ref="C59">SUM(IF(搜索词报告!$H$2:$H$22222=A59,IF(搜索词报告!$A$2:$A$22222&gt;=关键词词频统计!$A$2,IF(搜索词报告!$A$2:$A$22222&lt;=关键词词频统计!$A$4,搜索词报告!$J$2:$J$22222,0),0),0))</f>
        <v>0</v>
      </c>
      <c r="D59" s="2">
        <f t="shared" si="0"/>
        <v>0</v>
      </c>
      <c r="E59" s="2">
        <f t="shared" si="1"/>
        <v>0</v>
      </c>
      <c r="F59">
        <f t="array" ref="F59">SUM(IF(搜索词报告!$H$2:$H$22222=A59,IF(搜索词报告!$A$2:$A$22222&gt;=关键词词频统计!$A$2,IF(搜索词报告!$A$2:$A$22222&lt;=关键词词频统计!$A$4,搜索词报告!$Q$2:$Q$22222,0),0),0))</f>
        <v>0</v>
      </c>
      <c r="G59">
        <f t="array" ref="G59">SUM(IF(搜索词报告!$H$2:$H$22222=A59,IF(搜索词报告!$A$2:$A$22222&gt;=关键词词频统计!$A$2,IF(搜索词报告!$A$2:$A$22222&lt;=关键词词频统计!$A$4,搜索词报告!$N$2:$N$22222,0),0),0))</f>
        <v>0</v>
      </c>
      <c r="H59">
        <f t="array" ref="H59">SUM(IF(搜索词报告!$H$2:$H$22222=A59,IF(搜索词报告!$A$2:$A$22222&gt;=关键词词频统计!$A$2,IF(搜索词报告!$A$2:$A$22222&lt;=关键词词频统计!$A$4,搜索词报告!$M$2:$M$22222,0),0),0))</f>
        <v>0</v>
      </c>
      <c r="I59" s="2" t="str">
        <f t="shared" si="2"/>
        <v/>
      </c>
      <c r="J59" t="str">
        <f t="shared" si="3"/>
        <v>点击次数少于10次没有参考性</v>
      </c>
      <c r="K59" s="4" t="str">
        <f>IFERROR(INDEX(搜索词报告!$D$2:$D$22222,MATCH(关键词词频统计!A59,搜索词报告!$H$2:$H$22222,0)),"")</f>
        <v/>
      </c>
      <c r="M59">
        <f t="array" ref="M59">SUM(IF(搜索词报告!$H$2:$H$22222=L59,IF(搜索词报告!$A$2:$A$22222&gt;=$L$2,IF(搜索词报告!$A$2:$A$22222&lt;=$L$4,搜索词报告!$I$2:$I$22222,0),0),0))</f>
        <v>0</v>
      </c>
      <c r="N59">
        <f t="array" ref="N59">SUM(IF(搜索词报告!$H$2:$H$22222=L59,IF(搜索词报告!$A$2:$A$22222&gt;=$L$2,IF(搜索词报告!$A$2:$A$22222&lt;=$L$4,搜索词报告!$J$2:$J$22222,0),0),0))</f>
        <v>0</v>
      </c>
      <c r="O59" s="2">
        <f t="shared" si="4"/>
        <v>0</v>
      </c>
      <c r="P59" s="2">
        <f t="shared" si="5"/>
        <v>0</v>
      </c>
      <c r="Q59">
        <f t="array" ref="Q59">SUM(IF(搜索词报告!$H$2:$H$22222=L59,IF(搜索词报告!$A$2:$A$22222&gt;=$L$2,IF(搜索词报告!$A$2:$A$22222&lt;=$L$4,搜索词报告!$Q$2:$Q$22222,0),0),0))</f>
        <v>0</v>
      </c>
      <c r="R59">
        <f t="array" ref="R59">SUM(IF(搜索词报告!$H$2:$H$22222=L59,IF(搜索词报告!$A$2:$A$22222&gt;=$L$2,IF(搜索词报告!$A$2:$A$22222&lt;=$L$4,搜索词报告!$N$2:$N$22222,0),0),0))</f>
        <v>0</v>
      </c>
      <c r="S59">
        <f t="array" ref="S59">SUM(IF(搜索词报告!$H$2:$H$22222=L59,IF(搜索词报告!$A$2:$A$22222&gt;=$L$2,IF(搜索词报告!$A$2:$A$22222&lt;=$L$4,搜索词报告!$M$2:$M$22222,0),0),0))</f>
        <v>0</v>
      </c>
      <c r="T59" s="2" t="str">
        <f t="shared" si="6"/>
        <v/>
      </c>
      <c r="U59" t="str">
        <f t="shared" si="7"/>
        <v>点击次数少于10次没有参考性</v>
      </c>
      <c r="V59" s="4" t="str">
        <f>IFERROR(INDEX(搜索词报告!$D$2:$D$22222,MATCH(关键词词频统计!L59,搜索词报告!$H$2:$H$22222,0)),"")</f>
        <v/>
      </c>
    </row>
    <row r="60" spans="2:22" x14ac:dyDescent="0.15">
      <c r="B60">
        <f t="array" ref="B60">SUM(IF(搜索词报告!$H$2:$H$22222=A60,IF(搜索词报告!$A$2:$A$22222&gt;=关键词词频统计!$A$2,IF(搜索词报告!$A$2:$A$22222&lt;=关键词词频统计!$A$4,搜索词报告!$I$2:$I$22222,0),0),0))</f>
        <v>0</v>
      </c>
      <c r="C60">
        <f t="array" ref="C60">SUM(IF(搜索词报告!$H$2:$H$22222=A60,IF(搜索词报告!$A$2:$A$22222&gt;=关键词词频统计!$A$2,IF(搜索词报告!$A$2:$A$22222&lt;=关键词词频统计!$A$4,搜索词报告!$J$2:$J$22222,0),0),0))</f>
        <v>0</v>
      </c>
      <c r="D60" s="2">
        <f t="shared" si="0"/>
        <v>0</v>
      </c>
      <c r="E60" s="2">
        <f t="shared" si="1"/>
        <v>0</v>
      </c>
      <c r="F60">
        <f t="array" ref="F60">SUM(IF(搜索词报告!$H$2:$H$22222=A60,IF(搜索词报告!$A$2:$A$22222&gt;=关键词词频统计!$A$2,IF(搜索词报告!$A$2:$A$22222&lt;=关键词词频统计!$A$4,搜索词报告!$Q$2:$Q$22222,0),0),0))</f>
        <v>0</v>
      </c>
      <c r="G60">
        <f t="array" ref="G60">SUM(IF(搜索词报告!$H$2:$H$22222=A60,IF(搜索词报告!$A$2:$A$22222&gt;=关键词词频统计!$A$2,IF(搜索词报告!$A$2:$A$22222&lt;=关键词词频统计!$A$4,搜索词报告!$N$2:$N$22222,0),0),0))</f>
        <v>0</v>
      </c>
      <c r="H60">
        <f t="array" ref="H60">SUM(IF(搜索词报告!$H$2:$H$22222=A60,IF(搜索词报告!$A$2:$A$22222&gt;=关键词词频统计!$A$2,IF(搜索词报告!$A$2:$A$22222&lt;=关键词词频统计!$A$4,搜索词报告!$M$2:$M$22222,0),0),0))</f>
        <v>0</v>
      </c>
      <c r="I60" s="2" t="str">
        <f t="shared" si="2"/>
        <v/>
      </c>
      <c r="J60" t="str">
        <f t="shared" si="3"/>
        <v>点击次数少于10次没有参考性</v>
      </c>
      <c r="K60" s="4" t="str">
        <f>IFERROR(INDEX(搜索词报告!$D$2:$D$22222,MATCH(关键词词频统计!A60,搜索词报告!$H$2:$H$22222,0)),"")</f>
        <v/>
      </c>
      <c r="M60">
        <f t="array" ref="M60">SUM(IF(搜索词报告!$H$2:$H$22222=L60,IF(搜索词报告!$A$2:$A$22222&gt;=$L$2,IF(搜索词报告!$A$2:$A$22222&lt;=$L$4,搜索词报告!$I$2:$I$22222,0),0),0))</f>
        <v>0</v>
      </c>
      <c r="N60">
        <f t="array" ref="N60">SUM(IF(搜索词报告!$H$2:$H$22222=L60,IF(搜索词报告!$A$2:$A$22222&gt;=$L$2,IF(搜索词报告!$A$2:$A$22222&lt;=$L$4,搜索词报告!$J$2:$J$22222,0),0),0))</f>
        <v>0</v>
      </c>
      <c r="O60" s="2">
        <f t="shared" si="4"/>
        <v>0</v>
      </c>
      <c r="P60" s="2">
        <f t="shared" si="5"/>
        <v>0</v>
      </c>
      <c r="Q60">
        <f t="array" ref="Q60">SUM(IF(搜索词报告!$H$2:$H$22222=L60,IF(搜索词报告!$A$2:$A$22222&gt;=$L$2,IF(搜索词报告!$A$2:$A$22222&lt;=$L$4,搜索词报告!$Q$2:$Q$22222,0),0),0))</f>
        <v>0</v>
      </c>
      <c r="R60">
        <f t="array" ref="R60">SUM(IF(搜索词报告!$H$2:$H$22222=L60,IF(搜索词报告!$A$2:$A$22222&gt;=$L$2,IF(搜索词报告!$A$2:$A$22222&lt;=$L$4,搜索词报告!$N$2:$N$22222,0),0),0))</f>
        <v>0</v>
      </c>
      <c r="S60">
        <f t="array" ref="S60">SUM(IF(搜索词报告!$H$2:$H$22222=L60,IF(搜索词报告!$A$2:$A$22222&gt;=$L$2,IF(搜索词报告!$A$2:$A$22222&lt;=$L$4,搜索词报告!$M$2:$M$22222,0),0),0))</f>
        <v>0</v>
      </c>
      <c r="T60" s="2" t="str">
        <f t="shared" si="6"/>
        <v/>
      </c>
      <c r="U60" t="str">
        <f t="shared" si="7"/>
        <v>点击次数少于10次没有参考性</v>
      </c>
      <c r="V60" s="4" t="str">
        <f>IFERROR(INDEX(搜索词报告!$D$2:$D$22222,MATCH(关键词词频统计!L60,搜索词报告!$H$2:$H$22222,0)),"")</f>
        <v/>
      </c>
    </row>
    <row r="61" spans="2:22" x14ac:dyDescent="0.15">
      <c r="B61">
        <f t="array" ref="B61">SUM(IF(搜索词报告!$H$2:$H$22222=A61,IF(搜索词报告!$A$2:$A$22222&gt;=关键词词频统计!$A$2,IF(搜索词报告!$A$2:$A$22222&lt;=关键词词频统计!$A$4,搜索词报告!$I$2:$I$22222,0),0),0))</f>
        <v>0</v>
      </c>
      <c r="C61">
        <f t="array" ref="C61">SUM(IF(搜索词报告!$H$2:$H$22222=A61,IF(搜索词报告!$A$2:$A$22222&gt;=关键词词频统计!$A$2,IF(搜索词报告!$A$2:$A$22222&lt;=关键词词频统计!$A$4,搜索词报告!$J$2:$J$22222,0),0),0))</f>
        <v>0</v>
      </c>
      <c r="D61" s="2">
        <f t="shared" si="0"/>
        <v>0</v>
      </c>
      <c r="E61" s="2">
        <f t="shared" si="1"/>
        <v>0</v>
      </c>
      <c r="F61">
        <f t="array" ref="F61">SUM(IF(搜索词报告!$H$2:$H$22222=A61,IF(搜索词报告!$A$2:$A$22222&gt;=关键词词频统计!$A$2,IF(搜索词报告!$A$2:$A$22222&lt;=关键词词频统计!$A$4,搜索词报告!$Q$2:$Q$22222,0),0),0))</f>
        <v>0</v>
      </c>
      <c r="G61">
        <f t="array" ref="G61">SUM(IF(搜索词报告!$H$2:$H$22222=A61,IF(搜索词报告!$A$2:$A$22222&gt;=关键词词频统计!$A$2,IF(搜索词报告!$A$2:$A$22222&lt;=关键词词频统计!$A$4,搜索词报告!$N$2:$N$22222,0),0),0))</f>
        <v>0</v>
      </c>
      <c r="H61">
        <f t="array" ref="H61">SUM(IF(搜索词报告!$H$2:$H$22222=A61,IF(搜索词报告!$A$2:$A$22222&gt;=关键词词频统计!$A$2,IF(搜索词报告!$A$2:$A$22222&lt;=关键词词频统计!$A$4,搜索词报告!$M$2:$M$22222,0),0),0))</f>
        <v>0</v>
      </c>
      <c r="I61" s="2" t="str">
        <f t="shared" si="2"/>
        <v/>
      </c>
      <c r="J61" t="str">
        <f t="shared" si="3"/>
        <v>点击次数少于10次没有参考性</v>
      </c>
      <c r="K61" s="4" t="str">
        <f>IFERROR(INDEX(搜索词报告!$D$2:$D$22222,MATCH(关键词词频统计!A61,搜索词报告!$H$2:$H$22222,0)),"")</f>
        <v/>
      </c>
      <c r="M61">
        <f t="array" ref="M61">SUM(IF(搜索词报告!$H$2:$H$22222=L61,IF(搜索词报告!$A$2:$A$22222&gt;=$L$2,IF(搜索词报告!$A$2:$A$22222&lt;=$L$4,搜索词报告!$I$2:$I$22222,0),0),0))</f>
        <v>0</v>
      </c>
      <c r="N61">
        <f t="array" ref="N61">SUM(IF(搜索词报告!$H$2:$H$22222=L61,IF(搜索词报告!$A$2:$A$22222&gt;=$L$2,IF(搜索词报告!$A$2:$A$22222&lt;=$L$4,搜索词报告!$J$2:$J$22222,0),0),0))</f>
        <v>0</v>
      </c>
      <c r="O61" s="2">
        <f t="shared" si="4"/>
        <v>0</v>
      </c>
      <c r="P61" s="2">
        <f t="shared" si="5"/>
        <v>0</v>
      </c>
      <c r="Q61">
        <f t="array" ref="Q61">SUM(IF(搜索词报告!$H$2:$H$22222=L61,IF(搜索词报告!$A$2:$A$22222&gt;=$L$2,IF(搜索词报告!$A$2:$A$22222&lt;=$L$4,搜索词报告!$Q$2:$Q$22222,0),0),0))</f>
        <v>0</v>
      </c>
      <c r="R61">
        <f t="array" ref="R61">SUM(IF(搜索词报告!$H$2:$H$22222=L61,IF(搜索词报告!$A$2:$A$22222&gt;=$L$2,IF(搜索词报告!$A$2:$A$22222&lt;=$L$4,搜索词报告!$N$2:$N$22222,0),0),0))</f>
        <v>0</v>
      </c>
      <c r="S61">
        <f t="array" ref="S61">SUM(IF(搜索词报告!$H$2:$H$22222=L61,IF(搜索词报告!$A$2:$A$22222&gt;=$L$2,IF(搜索词报告!$A$2:$A$22222&lt;=$L$4,搜索词报告!$M$2:$M$22222,0),0),0))</f>
        <v>0</v>
      </c>
      <c r="T61" s="2" t="str">
        <f t="shared" si="6"/>
        <v/>
      </c>
      <c r="U61" t="str">
        <f t="shared" si="7"/>
        <v>点击次数少于10次没有参考性</v>
      </c>
      <c r="V61" s="4" t="str">
        <f>IFERROR(INDEX(搜索词报告!$D$2:$D$22222,MATCH(关键词词频统计!L61,搜索词报告!$H$2:$H$22222,0)),"")</f>
        <v/>
      </c>
    </row>
    <row r="62" spans="2:22" x14ac:dyDescent="0.15">
      <c r="B62">
        <f t="array" ref="B62">SUM(IF(搜索词报告!$H$2:$H$22222=A62,IF(搜索词报告!$A$2:$A$22222&gt;=关键词词频统计!$A$2,IF(搜索词报告!$A$2:$A$22222&lt;=关键词词频统计!$A$4,搜索词报告!$I$2:$I$22222,0),0),0))</f>
        <v>0</v>
      </c>
      <c r="C62">
        <f t="array" ref="C62">SUM(IF(搜索词报告!$H$2:$H$22222=A62,IF(搜索词报告!$A$2:$A$22222&gt;=关键词词频统计!$A$2,IF(搜索词报告!$A$2:$A$22222&lt;=关键词词频统计!$A$4,搜索词报告!$J$2:$J$22222,0),0),0))</f>
        <v>0</v>
      </c>
      <c r="D62" s="2">
        <f t="shared" si="0"/>
        <v>0</v>
      </c>
      <c r="E62" s="2">
        <f t="shared" si="1"/>
        <v>0</v>
      </c>
      <c r="F62">
        <f t="array" ref="F62">SUM(IF(搜索词报告!$H$2:$H$22222=A62,IF(搜索词报告!$A$2:$A$22222&gt;=关键词词频统计!$A$2,IF(搜索词报告!$A$2:$A$22222&lt;=关键词词频统计!$A$4,搜索词报告!$Q$2:$Q$22222,0),0),0))</f>
        <v>0</v>
      </c>
      <c r="G62">
        <f t="array" ref="G62">SUM(IF(搜索词报告!$H$2:$H$22222=A62,IF(搜索词报告!$A$2:$A$22222&gt;=关键词词频统计!$A$2,IF(搜索词报告!$A$2:$A$22222&lt;=关键词词频统计!$A$4,搜索词报告!$N$2:$N$22222,0),0),0))</f>
        <v>0</v>
      </c>
      <c r="H62">
        <f t="array" ref="H62">SUM(IF(搜索词报告!$H$2:$H$22222=A62,IF(搜索词报告!$A$2:$A$22222&gt;=关键词词频统计!$A$2,IF(搜索词报告!$A$2:$A$22222&lt;=关键词词频统计!$A$4,搜索词报告!$M$2:$M$22222,0),0),0))</f>
        <v>0</v>
      </c>
      <c r="I62" s="2" t="str">
        <f t="shared" si="2"/>
        <v/>
      </c>
      <c r="J62" t="str">
        <f t="shared" si="3"/>
        <v>点击次数少于10次没有参考性</v>
      </c>
      <c r="K62" s="4" t="str">
        <f>IFERROR(INDEX(搜索词报告!$D$2:$D$22222,MATCH(关键词词频统计!A62,搜索词报告!$H$2:$H$22222,0)),"")</f>
        <v/>
      </c>
      <c r="M62">
        <f t="array" ref="M62">SUM(IF(搜索词报告!$H$2:$H$22222=L62,IF(搜索词报告!$A$2:$A$22222&gt;=$L$2,IF(搜索词报告!$A$2:$A$22222&lt;=$L$4,搜索词报告!$I$2:$I$22222,0),0),0))</f>
        <v>0</v>
      </c>
      <c r="N62">
        <f t="array" ref="N62">SUM(IF(搜索词报告!$H$2:$H$22222=L62,IF(搜索词报告!$A$2:$A$22222&gt;=$L$2,IF(搜索词报告!$A$2:$A$22222&lt;=$L$4,搜索词报告!$J$2:$J$22222,0),0),0))</f>
        <v>0</v>
      </c>
      <c r="O62" s="2">
        <f t="shared" si="4"/>
        <v>0</v>
      </c>
      <c r="P62" s="2">
        <f t="shared" si="5"/>
        <v>0</v>
      </c>
      <c r="Q62">
        <f t="array" ref="Q62">SUM(IF(搜索词报告!$H$2:$H$22222=L62,IF(搜索词报告!$A$2:$A$22222&gt;=$L$2,IF(搜索词报告!$A$2:$A$22222&lt;=$L$4,搜索词报告!$Q$2:$Q$22222,0),0),0))</f>
        <v>0</v>
      </c>
      <c r="R62">
        <f t="array" ref="R62">SUM(IF(搜索词报告!$H$2:$H$22222=L62,IF(搜索词报告!$A$2:$A$22222&gt;=$L$2,IF(搜索词报告!$A$2:$A$22222&lt;=$L$4,搜索词报告!$N$2:$N$22222,0),0),0))</f>
        <v>0</v>
      </c>
      <c r="S62">
        <f t="array" ref="S62">SUM(IF(搜索词报告!$H$2:$H$22222=L62,IF(搜索词报告!$A$2:$A$22222&gt;=$L$2,IF(搜索词报告!$A$2:$A$22222&lt;=$L$4,搜索词报告!$M$2:$M$22222,0),0),0))</f>
        <v>0</v>
      </c>
      <c r="T62" s="2" t="str">
        <f t="shared" si="6"/>
        <v/>
      </c>
      <c r="U62" t="str">
        <f t="shared" si="7"/>
        <v>点击次数少于10次没有参考性</v>
      </c>
      <c r="V62" s="4" t="str">
        <f>IFERROR(INDEX(搜索词报告!$D$2:$D$22222,MATCH(关键词词频统计!L62,搜索词报告!$H$2:$H$22222,0)),"")</f>
        <v/>
      </c>
    </row>
    <row r="63" spans="2:22" x14ac:dyDescent="0.15">
      <c r="B63">
        <f t="array" ref="B63">SUM(IF(搜索词报告!$H$2:$H$22222=A63,IF(搜索词报告!$A$2:$A$22222&gt;=关键词词频统计!$A$2,IF(搜索词报告!$A$2:$A$22222&lt;=关键词词频统计!$A$4,搜索词报告!$I$2:$I$22222,0),0),0))</f>
        <v>0</v>
      </c>
      <c r="C63">
        <f t="array" ref="C63">SUM(IF(搜索词报告!$H$2:$H$22222=A63,IF(搜索词报告!$A$2:$A$22222&gt;=关键词词频统计!$A$2,IF(搜索词报告!$A$2:$A$22222&lt;=关键词词频统计!$A$4,搜索词报告!$J$2:$J$22222,0),0),0))</f>
        <v>0</v>
      </c>
      <c r="D63" s="2">
        <f t="shared" si="0"/>
        <v>0</v>
      </c>
      <c r="E63" s="2">
        <f t="shared" si="1"/>
        <v>0</v>
      </c>
      <c r="F63">
        <f t="array" ref="F63">SUM(IF(搜索词报告!$H$2:$H$22222=A63,IF(搜索词报告!$A$2:$A$22222&gt;=关键词词频统计!$A$2,IF(搜索词报告!$A$2:$A$22222&lt;=关键词词频统计!$A$4,搜索词报告!$Q$2:$Q$22222,0),0),0))</f>
        <v>0</v>
      </c>
      <c r="G63">
        <f t="array" ref="G63">SUM(IF(搜索词报告!$H$2:$H$22222=A63,IF(搜索词报告!$A$2:$A$22222&gt;=关键词词频统计!$A$2,IF(搜索词报告!$A$2:$A$22222&lt;=关键词词频统计!$A$4,搜索词报告!$N$2:$N$22222,0),0),0))</f>
        <v>0</v>
      </c>
      <c r="H63">
        <f t="array" ref="H63">SUM(IF(搜索词报告!$H$2:$H$22222=A63,IF(搜索词报告!$A$2:$A$22222&gt;=关键词词频统计!$A$2,IF(搜索词报告!$A$2:$A$22222&lt;=关键词词频统计!$A$4,搜索词报告!$M$2:$M$22222,0),0),0))</f>
        <v>0</v>
      </c>
      <c r="I63" s="2" t="str">
        <f t="shared" si="2"/>
        <v/>
      </c>
      <c r="J63" t="str">
        <f t="shared" si="3"/>
        <v>点击次数少于10次没有参考性</v>
      </c>
      <c r="K63" s="4" t="str">
        <f>IFERROR(INDEX(搜索词报告!$D$2:$D$22222,MATCH(关键词词频统计!A63,搜索词报告!$H$2:$H$22222,0)),"")</f>
        <v/>
      </c>
      <c r="M63">
        <f t="array" ref="M63">SUM(IF(搜索词报告!$H$2:$H$22222=L63,IF(搜索词报告!$A$2:$A$22222&gt;=$L$2,IF(搜索词报告!$A$2:$A$22222&lt;=$L$4,搜索词报告!$I$2:$I$22222,0),0),0))</f>
        <v>0</v>
      </c>
      <c r="N63">
        <f t="array" ref="N63">SUM(IF(搜索词报告!$H$2:$H$22222=L63,IF(搜索词报告!$A$2:$A$22222&gt;=$L$2,IF(搜索词报告!$A$2:$A$22222&lt;=$L$4,搜索词报告!$J$2:$J$22222,0),0),0))</f>
        <v>0</v>
      </c>
      <c r="O63" s="2">
        <f t="shared" si="4"/>
        <v>0</v>
      </c>
      <c r="P63" s="2">
        <f t="shared" si="5"/>
        <v>0</v>
      </c>
      <c r="Q63">
        <f t="array" ref="Q63">SUM(IF(搜索词报告!$H$2:$H$22222=L63,IF(搜索词报告!$A$2:$A$22222&gt;=$L$2,IF(搜索词报告!$A$2:$A$22222&lt;=$L$4,搜索词报告!$Q$2:$Q$22222,0),0),0))</f>
        <v>0</v>
      </c>
      <c r="R63">
        <f t="array" ref="R63">SUM(IF(搜索词报告!$H$2:$H$22222=L63,IF(搜索词报告!$A$2:$A$22222&gt;=$L$2,IF(搜索词报告!$A$2:$A$22222&lt;=$L$4,搜索词报告!$N$2:$N$22222,0),0),0))</f>
        <v>0</v>
      </c>
      <c r="S63">
        <f t="array" ref="S63">SUM(IF(搜索词报告!$H$2:$H$22222=L63,IF(搜索词报告!$A$2:$A$22222&gt;=$L$2,IF(搜索词报告!$A$2:$A$22222&lt;=$L$4,搜索词报告!$M$2:$M$22222,0),0),0))</f>
        <v>0</v>
      </c>
      <c r="T63" s="2" t="str">
        <f t="shared" si="6"/>
        <v/>
      </c>
      <c r="U63" t="str">
        <f t="shared" si="7"/>
        <v>点击次数少于10次没有参考性</v>
      </c>
      <c r="V63" s="4" t="str">
        <f>IFERROR(INDEX(搜索词报告!$D$2:$D$22222,MATCH(关键词词频统计!L63,搜索词报告!$H$2:$H$22222,0)),"")</f>
        <v/>
      </c>
    </row>
    <row r="64" spans="2:22" x14ac:dyDescent="0.15">
      <c r="B64">
        <f t="array" ref="B64">SUM(IF(搜索词报告!$H$2:$H$22222=A64,IF(搜索词报告!$A$2:$A$22222&gt;=关键词词频统计!$A$2,IF(搜索词报告!$A$2:$A$22222&lt;=关键词词频统计!$A$4,搜索词报告!$I$2:$I$22222,0),0),0))</f>
        <v>0</v>
      </c>
      <c r="C64">
        <f t="array" ref="C64">SUM(IF(搜索词报告!$H$2:$H$22222=A64,IF(搜索词报告!$A$2:$A$22222&gt;=关键词词频统计!$A$2,IF(搜索词报告!$A$2:$A$22222&lt;=关键词词频统计!$A$4,搜索词报告!$J$2:$J$22222,0),0),0))</f>
        <v>0</v>
      </c>
      <c r="D64" s="2">
        <f t="shared" si="0"/>
        <v>0</v>
      </c>
      <c r="E64" s="2">
        <f t="shared" si="1"/>
        <v>0</v>
      </c>
      <c r="F64">
        <f t="array" ref="F64">SUM(IF(搜索词报告!$H$2:$H$22222=A64,IF(搜索词报告!$A$2:$A$22222&gt;=关键词词频统计!$A$2,IF(搜索词报告!$A$2:$A$22222&lt;=关键词词频统计!$A$4,搜索词报告!$Q$2:$Q$22222,0),0),0))</f>
        <v>0</v>
      </c>
      <c r="G64">
        <f t="array" ref="G64">SUM(IF(搜索词报告!$H$2:$H$22222=A64,IF(搜索词报告!$A$2:$A$22222&gt;=关键词词频统计!$A$2,IF(搜索词报告!$A$2:$A$22222&lt;=关键词词频统计!$A$4,搜索词报告!$N$2:$N$22222,0),0),0))</f>
        <v>0</v>
      </c>
      <c r="H64">
        <f t="array" ref="H64">SUM(IF(搜索词报告!$H$2:$H$22222=A64,IF(搜索词报告!$A$2:$A$22222&gt;=关键词词频统计!$A$2,IF(搜索词报告!$A$2:$A$22222&lt;=关键词词频统计!$A$4,搜索词报告!$M$2:$M$22222,0),0),0))</f>
        <v>0</v>
      </c>
      <c r="I64" s="2" t="str">
        <f t="shared" si="2"/>
        <v/>
      </c>
      <c r="J64" t="str">
        <f t="shared" si="3"/>
        <v>点击次数少于10次没有参考性</v>
      </c>
      <c r="K64" s="4" t="str">
        <f>IFERROR(INDEX(搜索词报告!$D$2:$D$22222,MATCH(关键词词频统计!A64,搜索词报告!$H$2:$H$22222,0)),"")</f>
        <v/>
      </c>
      <c r="M64">
        <f t="array" ref="M64">SUM(IF(搜索词报告!$H$2:$H$22222=L64,IF(搜索词报告!$A$2:$A$22222&gt;=$L$2,IF(搜索词报告!$A$2:$A$22222&lt;=$L$4,搜索词报告!$I$2:$I$22222,0),0),0))</f>
        <v>0</v>
      </c>
      <c r="N64">
        <f t="array" ref="N64">SUM(IF(搜索词报告!$H$2:$H$22222=L64,IF(搜索词报告!$A$2:$A$22222&gt;=$L$2,IF(搜索词报告!$A$2:$A$22222&lt;=$L$4,搜索词报告!$J$2:$J$22222,0),0),0))</f>
        <v>0</v>
      </c>
      <c r="O64" s="2">
        <f t="shared" si="4"/>
        <v>0</v>
      </c>
      <c r="P64" s="2">
        <f t="shared" si="5"/>
        <v>0</v>
      </c>
      <c r="Q64">
        <f t="array" ref="Q64">SUM(IF(搜索词报告!$H$2:$H$22222=L64,IF(搜索词报告!$A$2:$A$22222&gt;=$L$2,IF(搜索词报告!$A$2:$A$22222&lt;=$L$4,搜索词报告!$Q$2:$Q$22222,0),0),0))</f>
        <v>0</v>
      </c>
      <c r="R64">
        <f t="array" ref="R64">SUM(IF(搜索词报告!$H$2:$H$22222=L64,IF(搜索词报告!$A$2:$A$22222&gt;=$L$2,IF(搜索词报告!$A$2:$A$22222&lt;=$L$4,搜索词报告!$N$2:$N$22222,0),0),0))</f>
        <v>0</v>
      </c>
      <c r="S64">
        <f t="array" ref="S64">SUM(IF(搜索词报告!$H$2:$H$22222=L64,IF(搜索词报告!$A$2:$A$22222&gt;=$L$2,IF(搜索词报告!$A$2:$A$22222&lt;=$L$4,搜索词报告!$M$2:$M$22222,0),0),0))</f>
        <v>0</v>
      </c>
      <c r="T64" s="2" t="str">
        <f t="shared" si="6"/>
        <v/>
      </c>
      <c r="U64" t="str">
        <f t="shared" si="7"/>
        <v>点击次数少于10次没有参考性</v>
      </c>
      <c r="V64" s="4" t="str">
        <f>IFERROR(INDEX(搜索词报告!$D$2:$D$22222,MATCH(关键词词频统计!L64,搜索词报告!$H$2:$H$22222,0)),"")</f>
        <v/>
      </c>
    </row>
    <row r="65" spans="2:22" x14ac:dyDescent="0.15">
      <c r="B65">
        <f t="array" ref="B65">SUM(IF(搜索词报告!$H$2:$H$22222=A65,IF(搜索词报告!$A$2:$A$22222&gt;=关键词词频统计!$A$2,IF(搜索词报告!$A$2:$A$22222&lt;=关键词词频统计!$A$4,搜索词报告!$I$2:$I$22222,0),0),0))</f>
        <v>0</v>
      </c>
      <c r="C65">
        <f t="array" ref="C65">SUM(IF(搜索词报告!$H$2:$H$22222=A65,IF(搜索词报告!$A$2:$A$22222&gt;=关键词词频统计!$A$2,IF(搜索词报告!$A$2:$A$22222&lt;=关键词词频统计!$A$4,搜索词报告!$J$2:$J$22222,0),0),0))</f>
        <v>0</v>
      </c>
      <c r="D65" s="2">
        <f t="shared" si="0"/>
        <v>0</v>
      </c>
      <c r="E65" s="2">
        <f t="shared" si="1"/>
        <v>0</v>
      </c>
      <c r="F65">
        <f t="array" ref="F65">SUM(IF(搜索词报告!$H$2:$H$22222=A65,IF(搜索词报告!$A$2:$A$22222&gt;=关键词词频统计!$A$2,IF(搜索词报告!$A$2:$A$22222&lt;=关键词词频统计!$A$4,搜索词报告!$Q$2:$Q$22222,0),0),0))</f>
        <v>0</v>
      </c>
      <c r="G65">
        <f t="array" ref="G65">SUM(IF(搜索词报告!$H$2:$H$22222=A65,IF(搜索词报告!$A$2:$A$22222&gt;=关键词词频统计!$A$2,IF(搜索词报告!$A$2:$A$22222&lt;=关键词词频统计!$A$4,搜索词报告!$N$2:$N$22222,0),0),0))</f>
        <v>0</v>
      </c>
      <c r="H65">
        <f t="array" ref="H65">SUM(IF(搜索词报告!$H$2:$H$22222=A65,IF(搜索词报告!$A$2:$A$22222&gt;=关键词词频统计!$A$2,IF(搜索词报告!$A$2:$A$22222&lt;=关键词词频统计!$A$4,搜索词报告!$M$2:$M$22222,0),0),0))</f>
        <v>0</v>
      </c>
      <c r="I65" s="2" t="str">
        <f t="shared" si="2"/>
        <v/>
      </c>
      <c r="J65" t="str">
        <f t="shared" si="3"/>
        <v>点击次数少于10次没有参考性</v>
      </c>
      <c r="K65" s="4" t="str">
        <f>IFERROR(INDEX(搜索词报告!$D$2:$D$22222,MATCH(关键词词频统计!A65,搜索词报告!$H$2:$H$22222,0)),"")</f>
        <v/>
      </c>
      <c r="M65">
        <f t="array" ref="M65">SUM(IF(搜索词报告!$H$2:$H$22222=L65,IF(搜索词报告!$A$2:$A$22222&gt;=$L$2,IF(搜索词报告!$A$2:$A$22222&lt;=$L$4,搜索词报告!$I$2:$I$22222,0),0),0))</f>
        <v>0</v>
      </c>
      <c r="N65">
        <f t="array" ref="N65">SUM(IF(搜索词报告!$H$2:$H$22222=L65,IF(搜索词报告!$A$2:$A$22222&gt;=$L$2,IF(搜索词报告!$A$2:$A$22222&lt;=$L$4,搜索词报告!$J$2:$J$22222,0),0),0))</f>
        <v>0</v>
      </c>
      <c r="O65" s="2">
        <f t="shared" si="4"/>
        <v>0</v>
      </c>
      <c r="P65" s="2">
        <f t="shared" si="5"/>
        <v>0</v>
      </c>
      <c r="Q65">
        <f t="array" ref="Q65">SUM(IF(搜索词报告!$H$2:$H$22222=L65,IF(搜索词报告!$A$2:$A$22222&gt;=$L$2,IF(搜索词报告!$A$2:$A$22222&lt;=$L$4,搜索词报告!$Q$2:$Q$22222,0),0),0))</f>
        <v>0</v>
      </c>
      <c r="R65">
        <f t="array" ref="R65">SUM(IF(搜索词报告!$H$2:$H$22222=L65,IF(搜索词报告!$A$2:$A$22222&gt;=$L$2,IF(搜索词报告!$A$2:$A$22222&lt;=$L$4,搜索词报告!$N$2:$N$22222,0),0),0))</f>
        <v>0</v>
      </c>
      <c r="S65">
        <f t="array" ref="S65">SUM(IF(搜索词报告!$H$2:$H$22222=L65,IF(搜索词报告!$A$2:$A$22222&gt;=$L$2,IF(搜索词报告!$A$2:$A$22222&lt;=$L$4,搜索词报告!$M$2:$M$22222,0),0),0))</f>
        <v>0</v>
      </c>
      <c r="T65" s="2" t="str">
        <f t="shared" si="6"/>
        <v/>
      </c>
      <c r="U65" t="str">
        <f t="shared" si="7"/>
        <v>点击次数少于10次没有参考性</v>
      </c>
      <c r="V65" s="4" t="str">
        <f>IFERROR(INDEX(搜索词报告!$D$2:$D$22222,MATCH(关键词词频统计!L65,搜索词报告!$H$2:$H$22222,0)),"")</f>
        <v/>
      </c>
    </row>
    <row r="66" spans="2:22" x14ac:dyDescent="0.15">
      <c r="B66">
        <f t="array" ref="B66">SUM(IF(搜索词报告!$H$2:$H$22222=A66,IF(搜索词报告!$A$2:$A$22222&gt;=关键词词频统计!$A$2,IF(搜索词报告!$A$2:$A$22222&lt;=关键词词频统计!$A$4,搜索词报告!$I$2:$I$22222,0),0),0))</f>
        <v>0</v>
      </c>
      <c r="C66">
        <f t="array" ref="C66">SUM(IF(搜索词报告!$H$2:$H$22222=A66,IF(搜索词报告!$A$2:$A$22222&gt;=关键词词频统计!$A$2,IF(搜索词报告!$A$2:$A$22222&lt;=关键词词频统计!$A$4,搜索词报告!$J$2:$J$22222,0),0),0))</f>
        <v>0</v>
      </c>
      <c r="D66" s="2">
        <f t="shared" si="0"/>
        <v>0</v>
      </c>
      <c r="E66" s="2">
        <f t="shared" si="1"/>
        <v>0</v>
      </c>
      <c r="F66">
        <f t="array" ref="F66">SUM(IF(搜索词报告!$H$2:$H$22222=A66,IF(搜索词报告!$A$2:$A$22222&gt;=关键词词频统计!$A$2,IF(搜索词报告!$A$2:$A$22222&lt;=关键词词频统计!$A$4,搜索词报告!$Q$2:$Q$22222,0),0),0))</f>
        <v>0</v>
      </c>
      <c r="G66">
        <f t="array" ref="G66">SUM(IF(搜索词报告!$H$2:$H$22222=A66,IF(搜索词报告!$A$2:$A$22222&gt;=关键词词频统计!$A$2,IF(搜索词报告!$A$2:$A$22222&lt;=关键词词频统计!$A$4,搜索词报告!$N$2:$N$22222,0),0),0))</f>
        <v>0</v>
      </c>
      <c r="H66">
        <f t="array" ref="H66">SUM(IF(搜索词报告!$H$2:$H$22222=A66,IF(搜索词报告!$A$2:$A$22222&gt;=关键词词频统计!$A$2,IF(搜索词报告!$A$2:$A$22222&lt;=关键词词频统计!$A$4,搜索词报告!$M$2:$M$22222,0),0),0))</f>
        <v>0</v>
      </c>
      <c r="I66" s="2" t="str">
        <f t="shared" si="2"/>
        <v/>
      </c>
      <c r="J66" t="str">
        <f t="shared" si="3"/>
        <v>点击次数少于10次没有参考性</v>
      </c>
      <c r="K66" s="4" t="str">
        <f>IFERROR(INDEX(搜索词报告!$D$2:$D$22222,MATCH(关键词词频统计!A66,搜索词报告!$H$2:$H$22222,0)),"")</f>
        <v/>
      </c>
      <c r="M66">
        <f t="array" ref="M66">SUM(IF(搜索词报告!$H$2:$H$22222=L66,IF(搜索词报告!$A$2:$A$22222&gt;=$L$2,IF(搜索词报告!$A$2:$A$22222&lt;=$L$4,搜索词报告!$I$2:$I$22222,0),0),0))</f>
        <v>0</v>
      </c>
      <c r="N66">
        <f t="array" ref="N66">SUM(IF(搜索词报告!$H$2:$H$22222=L66,IF(搜索词报告!$A$2:$A$22222&gt;=$L$2,IF(搜索词报告!$A$2:$A$22222&lt;=$L$4,搜索词报告!$J$2:$J$22222,0),0),0))</f>
        <v>0</v>
      </c>
      <c r="O66" s="2">
        <f t="shared" si="4"/>
        <v>0</v>
      </c>
      <c r="P66" s="2">
        <f t="shared" si="5"/>
        <v>0</v>
      </c>
      <c r="Q66">
        <f t="array" ref="Q66">SUM(IF(搜索词报告!$H$2:$H$22222=L66,IF(搜索词报告!$A$2:$A$22222&gt;=$L$2,IF(搜索词报告!$A$2:$A$22222&lt;=$L$4,搜索词报告!$Q$2:$Q$22222,0),0),0))</f>
        <v>0</v>
      </c>
      <c r="R66">
        <f t="array" ref="R66">SUM(IF(搜索词报告!$H$2:$H$22222=L66,IF(搜索词报告!$A$2:$A$22222&gt;=$L$2,IF(搜索词报告!$A$2:$A$22222&lt;=$L$4,搜索词报告!$N$2:$N$22222,0),0),0))</f>
        <v>0</v>
      </c>
      <c r="S66">
        <f t="array" ref="S66">SUM(IF(搜索词报告!$H$2:$H$22222=L66,IF(搜索词报告!$A$2:$A$22222&gt;=$L$2,IF(搜索词报告!$A$2:$A$22222&lt;=$L$4,搜索词报告!$M$2:$M$22222,0),0),0))</f>
        <v>0</v>
      </c>
      <c r="T66" s="2" t="str">
        <f t="shared" si="6"/>
        <v/>
      </c>
      <c r="U66" t="str">
        <f t="shared" si="7"/>
        <v>点击次数少于10次没有参考性</v>
      </c>
      <c r="V66" s="4" t="str">
        <f>IFERROR(INDEX(搜索词报告!$D$2:$D$22222,MATCH(关键词词频统计!L66,搜索词报告!$H$2:$H$22222,0)),"")</f>
        <v/>
      </c>
    </row>
    <row r="67" spans="2:22" x14ac:dyDescent="0.15">
      <c r="B67">
        <f t="array" ref="B67">SUM(IF(搜索词报告!$H$2:$H$22222=A67,IF(搜索词报告!$A$2:$A$22222&gt;=关键词词频统计!$A$2,IF(搜索词报告!$A$2:$A$22222&lt;=关键词词频统计!$A$4,搜索词报告!$I$2:$I$22222,0),0),0))</f>
        <v>0</v>
      </c>
      <c r="C67">
        <f t="array" ref="C67">SUM(IF(搜索词报告!$H$2:$H$22222=A67,IF(搜索词报告!$A$2:$A$22222&gt;=关键词词频统计!$A$2,IF(搜索词报告!$A$2:$A$22222&lt;=关键词词频统计!$A$4,搜索词报告!$J$2:$J$22222,0),0),0))</f>
        <v>0</v>
      </c>
      <c r="D67" s="2">
        <f t="shared" si="0"/>
        <v>0</v>
      </c>
      <c r="E67" s="2">
        <f t="shared" si="1"/>
        <v>0</v>
      </c>
      <c r="F67">
        <f t="array" ref="F67">SUM(IF(搜索词报告!$H$2:$H$22222=A67,IF(搜索词报告!$A$2:$A$22222&gt;=关键词词频统计!$A$2,IF(搜索词报告!$A$2:$A$22222&lt;=关键词词频统计!$A$4,搜索词报告!$Q$2:$Q$22222,0),0),0))</f>
        <v>0</v>
      </c>
      <c r="G67">
        <f t="array" ref="G67">SUM(IF(搜索词报告!$H$2:$H$22222=A67,IF(搜索词报告!$A$2:$A$22222&gt;=关键词词频统计!$A$2,IF(搜索词报告!$A$2:$A$22222&lt;=关键词词频统计!$A$4,搜索词报告!$N$2:$N$22222,0),0),0))</f>
        <v>0</v>
      </c>
      <c r="H67">
        <f t="array" ref="H67">SUM(IF(搜索词报告!$H$2:$H$22222=A67,IF(搜索词报告!$A$2:$A$22222&gt;=关键词词频统计!$A$2,IF(搜索词报告!$A$2:$A$22222&lt;=关键词词频统计!$A$4,搜索词报告!$M$2:$M$22222,0),0),0))</f>
        <v>0</v>
      </c>
      <c r="I67" s="2" t="str">
        <f t="shared" si="2"/>
        <v/>
      </c>
      <c r="J67" t="str">
        <f t="shared" si="3"/>
        <v>点击次数少于10次没有参考性</v>
      </c>
      <c r="K67" s="4" t="str">
        <f>IFERROR(INDEX(搜索词报告!$D$2:$D$22222,MATCH(关键词词频统计!A67,搜索词报告!$H$2:$H$22222,0)),"")</f>
        <v/>
      </c>
      <c r="M67">
        <f t="array" ref="M67">SUM(IF(搜索词报告!$H$2:$H$22222=L67,IF(搜索词报告!$A$2:$A$22222&gt;=$L$2,IF(搜索词报告!$A$2:$A$22222&lt;=$L$4,搜索词报告!$I$2:$I$22222,0),0),0))</f>
        <v>0</v>
      </c>
      <c r="N67">
        <f t="array" ref="N67">SUM(IF(搜索词报告!$H$2:$H$22222=L67,IF(搜索词报告!$A$2:$A$22222&gt;=$L$2,IF(搜索词报告!$A$2:$A$22222&lt;=$L$4,搜索词报告!$J$2:$J$22222,0),0),0))</f>
        <v>0</v>
      </c>
      <c r="O67" s="2">
        <f t="shared" si="4"/>
        <v>0</v>
      </c>
      <c r="P67" s="2">
        <f t="shared" si="5"/>
        <v>0</v>
      </c>
      <c r="Q67">
        <f t="array" ref="Q67">SUM(IF(搜索词报告!$H$2:$H$22222=L67,IF(搜索词报告!$A$2:$A$22222&gt;=$L$2,IF(搜索词报告!$A$2:$A$22222&lt;=$L$4,搜索词报告!$Q$2:$Q$22222,0),0),0))</f>
        <v>0</v>
      </c>
      <c r="R67">
        <f t="array" ref="R67">SUM(IF(搜索词报告!$H$2:$H$22222=L67,IF(搜索词报告!$A$2:$A$22222&gt;=$L$2,IF(搜索词报告!$A$2:$A$22222&lt;=$L$4,搜索词报告!$N$2:$N$22222,0),0),0))</f>
        <v>0</v>
      </c>
      <c r="S67">
        <f t="array" ref="S67">SUM(IF(搜索词报告!$H$2:$H$22222=L67,IF(搜索词报告!$A$2:$A$22222&gt;=$L$2,IF(搜索词报告!$A$2:$A$22222&lt;=$L$4,搜索词报告!$M$2:$M$22222,0),0),0))</f>
        <v>0</v>
      </c>
      <c r="T67" s="2" t="str">
        <f t="shared" si="6"/>
        <v/>
      </c>
      <c r="U67" t="str">
        <f t="shared" si="7"/>
        <v>点击次数少于10次没有参考性</v>
      </c>
      <c r="V67" s="4" t="str">
        <f>IFERROR(INDEX(搜索词报告!$D$2:$D$22222,MATCH(关键词词频统计!L67,搜索词报告!$H$2:$H$22222,0)),"")</f>
        <v/>
      </c>
    </row>
    <row r="68" spans="2:22" x14ac:dyDescent="0.15">
      <c r="B68">
        <f t="array" ref="B68">SUM(IF(搜索词报告!$H$2:$H$22222=A68,IF(搜索词报告!$A$2:$A$22222&gt;=关键词词频统计!$A$2,IF(搜索词报告!$A$2:$A$22222&lt;=关键词词频统计!$A$4,搜索词报告!$I$2:$I$22222,0),0),0))</f>
        <v>0</v>
      </c>
      <c r="C68">
        <f t="array" ref="C68">SUM(IF(搜索词报告!$H$2:$H$22222=A68,IF(搜索词报告!$A$2:$A$22222&gt;=关键词词频统计!$A$2,IF(搜索词报告!$A$2:$A$22222&lt;=关键词词频统计!$A$4,搜索词报告!$J$2:$J$22222,0),0),0))</f>
        <v>0</v>
      </c>
      <c r="D68" s="2">
        <f t="shared" si="0"/>
        <v>0</v>
      </c>
      <c r="E68" s="2">
        <f t="shared" si="1"/>
        <v>0</v>
      </c>
      <c r="F68">
        <f t="array" ref="F68">SUM(IF(搜索词报告!$H$2:$H$22222=A68,IF(搜索词报告!$A$2:$A$22222&gt;=关键词词频统计!$A$2,IF(搜索词报告!$A$2:$A$22222&lt;=关键词词频统计!$A$4,搜索词报告!$Q$2:$Q$22222,0),0),0))</f>
        <v>0</v>
      </c>
      <c r="G68">
        <f t="array" ref="G68">SUM(IF(搜索词报告!$H$2:$H$22222=A68,IF(搜索词报告!$A$2:$A$22222&gt;=关键词词频统计!$A$2,IF(搜索词报告!$A$2:$A$22222&lt;=关键词词频统计!$A$4,搜索词报告!$N$2:$N$22222,0),0),0))</f>
        <v>0</v>
      </c>
      <c r="H68">
        <f t="array" ref="H68">SUM(IF(搜索词报告!$H$2:$H$22222=A68,IF(搜索词报告!$A$2:$A$22222&gt;=关键词词频统计!$A$2,IF(搜索词报告!$A$2:$A$22222&lt;=关键词词频统计!$A$4,搜索词报告!$M$2:$M$22222,0),0),0))</f>
        <v>0</v>
      </c>
      <c r="I68" s="2" t="str">
        <f t="shared" si="2"/>
        <v/>
      </c>
      <c r="J68" t="str">
        <f t="shared" si="3"/>
        <v>点击次数少于10次没有参考性</v>
      </c>
      <c r="K68" s="4" t="str">
        <f>IFERROR(INDEX(搜索词报告!$D$2:$D$22222,MATCH(关键词词频统计!A68,搜索词报告!$H$2:$H$22222,0)),"")</f>
        <v/>
      </c>
      <c r="M68">
        <f t="array" ref="M68">SUM(IF(搜索词报告!$H$2:$H$22222=L68,IF(搜索词报告!$A$2:$A$22222&gt;=$L$2,IF(搜索词报告!$A$2:$A$22222&lt;=$L$4,搜索词报告!$I$2:$I$22222,0),0),0))</f>
        <v>0</v>
      </c>
      <c r="N68">
        <f t="array" ref="N68">SUM(IF(搜索词报告!$H$2:$H$22222=L68,IF(搜索词报告!$A$2:$A$22222&gt;=$L$2,IF(搜索词报告!$A$2:$A$22222&lt;=$L$4,搜索词报告!$J$2:$J$22222,0),0),0))</f>
        <v>0</v>
      </c>
      <c r="O68" s="2">
        <f t="shared" si="4"/>
        <v>0</v>
      </c>
      <c r="P68" s="2">
        <f t="shared" si="5"/>
        <v>0</v>
      </c>
      <c r="Q68">
        <f t="array" ref="Q68">SUM(IF(搜索词报告!$H$2:$H$22222=L68,IF(搜索词报告!$A$2:$A$22222&gt;=$L$2,IF(搜索词报告!$A$2:$A$22222&lt;=$L$4,搜索词报告!$Q$2:$Q$22222,0),0),0))</f>
        <v>0</v>
      </c>
      <c r="R68">
        <f t="array" ref="R68">SUM(IF(搜索词报告!$H$2:$H$22222=L68,IF(搜索词报告!$A$2:$A$22222&gt;=$L$2,IF(搜索词报告!$A$2:$A$22222&lt;=$L$4,搜索词报告!$N$2:$N$22222,0),0),0))</f>
        <v>0</v>
      </c>
      <c r="S68">
        <f t="array" ref="S68">SUM(IF(搜索词报告!$H$2:$H$22222=L68,IF(搜索词报告!$A$2:$A$22222&gt;=$L$2,IF(搜索词报告!$A$2:$A$22222&lt;=$L$4,搜索词报告!$M$2:$M$22222,0),0),0))</f>
        <v>0</v>
      </c>
      <c r="T68" s="2" t="str">
        <f t="shared" si="6"/>
        <v/>
      </c>
      <c r="U68" t="str">
        <f t="shared" si="7"/>
        <v>点击次数少于10次没有参考性</v>
      </c>
      <c r="V68" s="4" t="str">
        <f>IFERROR(INDEX(搜索词报告!$D$2:$D$22222,MATCH(关键词词频统计!L68,搜索词报告!$H$2:$H$22222,0)),"")</f>
        <v/>
      </c>
    </row>
    <row r="69" spans="2:22" x14ac:dyDescent="0.15">
      <c r="B69">
        <f t="array" ref="B69">SUM(IF(搜索词报告!$H$2:$H$22222=A69,IF(搜索词报告!$A$2:$A$22222&gt;=关键词词频统计!$A$2,IF(搜索词报告!$A$2:$A$22222&lt;=关键词词频统计!$A$4,搜索词报告!$I$2:$I$22222,0),0),0))</f>
        <v>0</v>
      </c>
      <c r="C69">
        <f t="array" ref="C69">SUM(IF(搜索词报告!$H$2:$H$22222=A69,IF(搜索词报告!$A$2:$A$22222&gt;=关键词词频统计!$A$2,IF(搜索词报告!$A$2:$A$22222&lt;=关键词词频统计!$A$4,搜索词报告!$J$2:$J$22222,0),0),0))</f>
        <v>0</v>
      </c>
      <c r="D69" s="2">
        <f t="shared" si="0"/>
        <v>0</v>
      </c>
      <c r="E69" s="2">
        <f t="shared" si="1"/>
        <v>0</v>
      </c>
      <c r="F69">
        <f t="array" ref="F69">SUM(IF(搜索词报告!$H$2:$H$22222=A69,IF(搜索词报告!$A$2:$A$22222&gt;=关键词词频统计!$A$2,IF(搜索词报告!$A$2:$A$22222&lt;=关键词词频统计!$A$4,搜索词报告!$Q$2:$Q$22222,0),0),0))</f>
        <v>0</v>
      </c>
      <c r="G69">
        <f t="array" ref="G69">SUM(IF(搜索词报告!$H$2:$H$22222=A69,IF(搜索词报告!$A$2:$A$22222&gt;=关键词词频统计!$A$2,IF(搜索词报告!$A$2:$A$22222&lt;=关键词词频统计!$A$4,搜索词报告!$N$2:$N$22222,0),0),0))</f>
        <v>0</v>
      </c>
      <c r="H69">
        <f t="array" ref="H69">SUM(IF(搜索词报告!$H$2:$H$22222=A69,IF(搜索词报告!$A$2:$A$22222&gt;=关键词词频统计!$A$2,IF(搜索词报告!$A$2:$A$22222&lt;=关键词词频统计!$A$4,搜索词报告!$M$2:$M$22222,0),0),0))</f>
        <v>0</v>
      </c>
      <c r="I69" s="2" t="str">
        <f t="shared" si="2"/>
        <v/>
      </c>
      <c r="J69" t="str">
        <f t="shared" si="3"/>
        <v>点击次数少于10次没有参考性</v>
      </c>
      <c r="K69" s="4" t="str">
        <f>IFERROR(INDEX(搜索词报告!$D$2:$D$22222,MATCH(关键词词频统计!A69,搜索词报告!$H$2:$H$22222,0)),"")</f>
        <v/>
      </c>
      <c r="M69">
        <f t="array" ref="M69">SUM(IF(搜索词报告!$H$2:$H$22222=L69,IF(搜索词报告!$A$2:$A$22222&gt;=$L$2,IF(搜索词报告!$A$2:$A$22222&lt;=$L$4,搜索词报告!$I$2:$I$22222,0),0),0))</f>
        <v>0</v>
      </c>
      <c r="N69">
        <f t="array" ref="N69">SUM(IF(搜索词报告!$H$2:$H$22222=L69,IF(搜索词报告!$A$2:$A$22222&gt;=$L$2,IF(搜索词报告!$A$2:$A$22222&lt;=$L$4,搜索词报告!$J$2:$J$22222,0),0),0))</f>
        <v>0</v>
      </c>
      <c r="O69" s="2">
        <f t="shared" si="4"/>
        <v>0</v>
      </c>
      <c r="P69" s="2">
        <f t="shared" si="5"/>
        <v>0</v>
      </c>
      <c r="Q69">
        <f t="array" ref="Q69">SUM(IF(搜索词报告!$H$2:$H$22222=L69,IF(搜索词报告!$A$2:$A$22222&gt;=$L$2,IF(搜索词报告!$A$2:$A$22222&lt;=$L$4,搜索词报告!$Q$2:$Q$22222,0),0),0))</f>
        <v>0</v>
      </c>
      <c r="R69">
        <f t="array" ref="R69">SUM(IF(搜索词报告!$H$2:$H$22222=L69,IF(搜索词报告!$A$2:$A$22222&gt;=$L$2,IF(搜索词报告!$A$2:$A$22222&lt;=$L$4,搜索词报告!$N$2:$N$22222,0),0),0))</f>
        <v>0</v>
      </c>
      <c r="S69">
        <f t="array" ref="S69">SUM(IF(搜索词报告!$H$2:$H$22222=L69,IF(搜索词报告!$A$2:$A$22222&gt;=$L$2,IF(搜索词报告!$A$2:$A$22222&lt;=$L$4,搜索词报告!$M$2:$M$22222,0),0),0))</f>
        <v>0</v>
      </c>
      <c r="T69" s="2" t="str">
        <f t="shared" si="6"/>
        <v/>
      </c>
      <c r="U69" t="str">
        <f t="shared" si="7"/>
        <v>点击次数少于10次没有参考性</v>
      </c>
      <c r="V69" s="4" t="str">
        <f>IFERROR(INDEX(搜索词报告!$D$2:$D$22222,MATCH(关键词词频统计!L69,搜索词报告!$H$2:$H$22222,0)),"")</f>
        <v/>
      </c>
    </row>
    <row r="70" spans="2:22" x14ac:dyDescent="0.15">
      <c r="B70">
        <f t="array" ref="B70">SUM(IF(搜索词报告!$H$2:$H$22222=A70,IF(搜索词报告!$A$2:$A$22222&gt;=关键词词频统计!$A$2,IF(搜索词报告!$A$2:$A$22222&lt;=关键词词频统计!$A$4,搜索词报告!$I$2:$I$22222,0),0),0))</f>
        <v>0</v>
      </c>
      <c r="C70">
        <f t="array" ref="C70">SUM(IF(搜索词报告!$H$2:$H$22222=A70,IF(搜索词报告!$A$2:$A$22222&gt;=关键词词频统计!$A$2,IF(搜索词报告!$A$2:$A$22222&lt;=关键词词频统计!$A$4,搜索词报告!$J$2:$J$22222,0),0),0))</f>
        <v>0</v>
      </c>
      <c r="D70" s="2">
        <f t="shared" si="0"/>
        <v>0</v>
      </c>
      <c r="E70" s="2">
        <f t="shared" si="1"/>
        <v>0</v>
      </c>
      <c r="F70">
        <f t="array" ref="F70">SUM(IF(搜索词报告!$H$2:$H$22222=A70,IF(搜索词报告!$A$2:$A$22222&gt;=关键词词频统计!$A$2,IF(搜索词报告!$A$2:$A$22222&lt;=关键词词频统计!$A$4,搜索词报告!$Q$2:$Q$22222,0),0),0))</f>
        <v>0</v>
      </c>
      <c r="G70">
        <f t="array" ref="G70">SUM(IF(搜索词报告!$H$2:$H$22222=A70,IF(搜索词报告!$A$2:$A$22222&gt;=关键词词频统计!$A$2,IF(搜索词报告!$A$2:$A$22222&lt;=关键词词频统计!$A$4,搜索词报告!$N$2:$N$22222,0),0),0))</f>
        <v>0</v>
      </c>
      <c r="H70">
        <f t="array" ref="H70">SUM(IF(搜索词报告!$H$2:$H$22222=A70,IF(搜索词报告!$A$2:$A$22222&gt;=关键词词频统计!$A$2,IF(搜索词报告!$A$2:$A$22222&lt;=关键词词频统计!$A$4,搜索词报告!$M$2:$M$22222,0),0),0))</f>
        <v>0</v>
      </c>
      <c r="I70" s="2" t="str">
        <f t="shared" si="2"/>
        <v/>
      </c>
      <c r="J70" t="str">
        <f t="shared" si="3"/>
        <v>点击次数少于10次没有参考性</v>
      </c>
      <c r="K70" s="4" t="str">
        <f>IFERROR(INDEX(搜索词报告!$D$2:$D$22222,MATCH(关键词词频统计!A70,搜索词报告!$H$2:$H$22222,0)),"")</f>
        <v/>
      </c>
      <c r="M70">
        <f t="array" ref="M70">SUM(IF(搜索词报告!$H$2:$H$22222=L70,IF(搜索词报告!$A$2:$A$22222&gt;=$L$2,IF(搜索词报告!$A$2:$A$22222&lt;=$L$4,搜索词报告!$I$2:$I$22222,0),0),0))</f>
        <v>0</v>
      </c>
      <c r="N70">
        <f t="array" ref="N70">SUM(IF(搜索词报告!$H$2:$H$22222=L70,IF(搜索词报告!$A$2:$A$22222&gt;=$L$2,IF(搜索词报告!$A$2:$A$22222&lt;=$L$4,搜索词报告!$J$2:$J$22222,0),0),0))</f>
        <v>0</v>
      </c>
      <c r="O70" s="2">
        <f t="shared" si="4"/>
        <v>0</v>
      </c>
      <c r="P70" s="2">
        <f t="shared" si="5"/>
        <v>0</v>
      </c>
      <c r="Q70">
        <f t="array" ref="Q70">SUM(IF(搜索词报告!$H$2:$H$22222=L70,IF(搜索词报告!$A$2:$A$22222&gt;=$L$2,IF(搜索词报告!$A$2:$A$22222&lt;=$L$4,搜索词报告!$Q$2:$Q$22222,0),0),0))</f>
        <v>0</v>
      </c>
      <c r="R70">
        <f t="array" ref="R70">SUM(IF(搜索词报告!$H$2:$H$22222=L70,IF(搜索词报告!$A$2:$A$22222&gt;=$L$2,IF(搜索词报告!$A$2:$A$22222&lt;=$L$4,搜索词报告!$N$2:$N$22222,0),0),0))</f>
        <v>0</v>
      </c>
      <c r="S70">
        <f t="array" ref="S70">SUM(IF(搜索词报告!$H$2:$H$22222=L70,IF(搜索词报告!$A$2:$A$22222&gt;=$L$2,IF(搜索词报告!$A$2:$A$22222&lt;=$L$4,搜索词报告!$M$2:$M$22222,0),0),0))</f>
        <v>0</v>
      </c>
      <c r="T70" s="2" t="str">
        <f t="shared" si="6"/>
        <v/>
      </c>
      <c r="U70" t="str">
        <f t="shared" si="7"/>
        <v>点击次数少于10次没有参考性</v>
      </c>
      <c r="V70" s="4" t="str">
        <f>IFERROR(INDEX(搜索词报告!$D$2:$D$22222,MATCH(关键词词频统计!L70,搜索词报告!$H$2:$H$22222,0)),"")</f>
        <v/>
      </c>
    </row>
    <row r="71" spans="2:22" x14ac:dyDescent="0.15">
      <c r="B71">
        <f t="array" ref="B71">SUM(IF(搜索词报告!$H$2:$H$22222=A71,IF(搜索词报告!$A$2:$A$22222&gt;=关键词词频统计!$A$2,IF(搜索词报告!$A$2:$A$22222&lt;=关键词词频统计!$A$4,搜索词报告!$I$2:$I$22222,0),0),0))</f>
        <v>0</v>
      </c>
      <c r="C71">
        <f t="array" ref="C71">SUM(IF(搜索词报告!$H$2:$H$22222=A71,IF(搜索词报告!$A$2:$A$22222&gt;=关键词词频统计!$A$2,IF(搜索词报告!$A$2:$A$22222&lt;=关键词词频统计!$A$4,搜索词报告!$J$2:$J$22222,0),0),0))</f>
        <v>0</v>
      </c>
      <c r="D71" s="2">
        <f t="shared" ref="D71:D134" si="8">IFERROR(C71/B71,0)</f>
        <v>0</v>
      </c>
      <c r="E71" s="2">
        <f t="shared" ref="E71:E134" si="9">IFERROR(F71/C71,0)</f>
        <v>0</v>
      </c>
      <c r="F71">
        <f t="array" ref="F71">SUM(IF(搜索词报告!$H$2:$H$22222=A71,IF(搜索词报告!$A$2:$A$22222&gt;=关键词词频统计!$A$2,IF(搜索词报告!$A$2:$A$22222&lt;=关键词词频统计!$A$4,搜索词报告!$Q$2:$Q$22222,0),0),0))</f>
        <v>0</v>
      </c>
      <c r="G71">
        <f t="array" ref="G71">SUM(IF(搜索词报告!$H$2:$H$22222=A71,IF(搜索词报告!$A$2:$A$22222&gt;=关键词词频统计!$A$2,IF(搜索词报告!$A$2:$A$22222&lt;=关键词词频统计!$A$4,搜索词报告!$N$2:$N$22222,0),0),0))</f>
        <v>0</v>
      </c>
      <c r="H71">
        <f t="array" ref="H71">SUM(IF(搜索词报告!$H$2:$H$22222=A71,IF(搜索词报告!$A$2:$A$22222&gt;=关键词词频统计!$A$2,IF(搜索词报告!$A$2:$A$22222&lt;=关键词词频统计!$A$4,搜索词报告!$M$2:$M$22222,0),0),0))</f>
        <v>0</v>
      </c>
      <c r="I71" s="2" t="str">
        <f t="shared" ref="I71:I134" si="10">IF(IFERROR(H71/G71,0)=0,"",IFERROR(H71/G71,0))</f>
        <v/>
      </c>
      <c r="J71" t="str">
        <f t="shared" ref="J71:J134" si="11">IF(AND(C71&gt;=10,E71&lt;=0.05),"极差",IF(AND(C71&gt;=10,0.05&lt;E71,E71&lt;=0.1),"差",IF(AND(C71&gt;=10,0.1&lt;E71,E71&lt;=0.15),"良",IF(AND(C71&gt;=10,E71&gt;0.15),"优","点击次数少于10次没有参考性"))))</f>
        <v>点击次数少于10次没有参考性</v>
      </c>
      <c r="K71" s="4" t="str">
        <f>IFERROR(INDEX(搜索词报告!$D$2:$D$22222,MATCH(关键词词频统计!A71,搜索词报告!$H$2:$H$22222,0)),"")</f>
        <v/>
      </c>
      <c r="M71">
        <f t="array" ref="M71">SUM(IF(搜索词报告!$H$2:$H$22222=L71,IF(搜索词报告!$A$2:$A$22222&gt;=$L$2,IF(搜索词报告!$A$2:$A$22222&lt;=$L$4,搜索词报告!$I$2:$I$22222,0),0),0))</f>
        <v>0</v>
      </c>
      <c r="N71">
        <f t="array" ref="N71">SUM(IF(搜索词报告!$H$2:$H$22222=L71,IF(搜索词报告!$A$2:$A$22222&gt;=$L$2,IF(搜索词报告!$A$2:$A$22222&lt;=$L$4,搜索词报告!$J$2:$J$22222,0),0),0))</f>
        <v>0</v>
      </c>
      <c r="O71" s="2">
        <f t="shared" ref="O71:O134" si="12">IFERROR(N71/M71,0)</f>
        <v>0</v>
      </c>
      <c r="P71" s="2">
        <f t="shared" ref="P71:P134" si="13">IFERROR(Q71/N71,0)</f>
        <v>0</v>
      </c>
      <c r="Q71">
        <f t="array" ref="Q71">SUM(IF(搜索词报告!$H$2:$H$22222=L71,IF(搜索词报告!$A$2:$A$22222&gt;=$L$2,IF(搜索词报告!$A$2:$A$22222&lt;=$L$4,搜索词报告!$Q$2:$Q$22222,0),0),0))</f>
        <v>0</v>
      </c>
      <c r="R71">
        <f t="array" ref="R71">SUM(IF(搜索词报告!$H$2:$H$22222=L71,IF(搜索词报告!$A$2:$A$22222&gt;=$L$2,IF(搜索词报告!$A$2:$A$22222&lt;=$L$4,搜索词报告!$N$2:$N$22222,0),0),0))</f>
        <v>0</v>
      </c>
      <c r="S71">
        <f t="array" ref="S71">SUM(IF(搜索词报告!$H$2:$H$22222=L71,IF(搜索词报告!$A$2:$A$22222&gt;=$L$2,IF(搜索词报告!$A$2:$A$22222&lt;=$L$4,搜索词报告!$M$2:$M$22222,0),0),0))</f>
        <v>0</v>
      </c>
      <c r="T71" s="2" t="str">
        <f t="shared" ref="T71:T134" si="14">IF(IFERROR(S71/R71,0)=0,"",IFERROR(S71/R71,0))</f>
        <v/>
      </c>
      <c r="U71" t="str">
        <f t="shared" ref="U71:U134" si="15">IF(AND(N71&gt;=10,P71&lt;=0.05),"极差",IF(AND(N71&gt;=10,0.05&lt;P71,P71&lt;=0.1),"差",IF(AND(N71&gt;=10,0.1&lt;P71,P71&lt;=0.15),"良",IF(AND(N71&gt;=10,P71&gt;0.15),"优","点击次数少于10次没有参考性"))))</f>
        <v>点击次数少于10次没有参考性</v>
      </c>
      <c r="V71" s="4" t="str">
        <f>IFERROR(INDEX(搜索词报告!$D$2:$D$22222,MATCH(关键词词频统计!L71,搜索词报告!$H$2:$H$22222,0)),"")</f>
        <v/>
      </c>
    </row>
    <row r="72" spans="2:22" x14ac:dyDescent="0.15">
      <c r="B72">
        <f t="array" ref="B72">SUM(IF(搜索词报告!$H$2:$H$22222=A72,IF(搜索词报告!$A$2:$A$22222&gt;=关键词词频统计!$A$2,IF(搜索词报告!$A$2:$A$22222&lt;=关键词词频统计!$A$4,搜索词报告!$I$2:$I$22222,0),0),0))</f>
        <v>0</v>
      </c>
      <c r="C72">
        <f t="array" ref="C72">SUM(IF(搜索词报告!$H$2:$H$22222=A72,IF(搜索词报告!$A$2:$A$22222&gt;=关键词词频统计!$A$2,IF(搜索词报告!$A$2:$A$22222&lt;=关键词词频统计!$A$4,搜索词报告!$J$2:$J$22222,0),0),0))</f>
        <v>0</v>
      </c>
      <c r="D72" s="2">
        <f t="shared" si="8"/>
        <v>0</v>
      </c>
      <c r="E72" s="2">
        <f t="shared" si="9"/>
        <v>0</v>
      </c>
      <c r="F72">
        <f t="array" ref="F72">SUM(IF(搜索词报告!$H$2:$H$22222=A72,IF(搜索词报告!$A$2:$A$22222&gt;=关键词词频统计!$A$2,IF(搜索词报告!$A$2:$A$22222&lt;=关键词词频统计!$A$4,搜索词报告!$Q$2:$Q$22222,0),0),0))</f>
        <v>0</v>
      </c>
      <c r="G72">
        <f t="array" ref="G72">SUM(IF(搜索词报告!$H$2:$H$22222=A72,IF(搜索词报告!$A$2:$A$22222&gt;=关键词词频统计!$A$2,IF(搜索词报告!$A$2:$A$22222&lt;=关键词词频统计!$A$4,搜索词报告!$N$2:$N$22222,0),0),0))</f>
        <v>0</v>
      </c>
      <c r="H72">
        <f t="array" ref="H72">SUM(IF(搜索词报告!$H$2:$H$22222=A72,IF(搜索词报告!$A$2:$A$22222&gt;=关键词词频统计!$A$2,IF(搜索词报告!$A$2:$A$22222&lt;=关键词词频统计!$A$4,搜索词报告!$M$2:$M$22222,0),0),0))</f>
        <v>0</v>
      </c>
      <c r="I72" s="2" t="str">
        <f t="shared" si="10"/>
        <v/>
      </c>
      <c r="J72" t="str">
        <f t="shared" si="11"/>
        <v>点击次数少于10次没有参考性</v>
      </c>
      <c r="K72" s="4" t="str">
        <f>IFERROR(INDEX(搜索词报告!$D$2:$D$22222,MATCH(关键词词频统计!A72,搜索词报告!$H$2:$H$22222,0)),"")</f>
        <v/>
      </c>
      <c r="M72">
        <f t="array" ref="M72">SUM(IF(搜索词报告!$H$2:$H$22222=L72,IF(搜索词报告!$A$2:$A$22222&gt;=$L$2,IF(搜索词报告!$A$2:$A$22222&lt;=$L$4,搜索词报告!$I$2:$I$22222,0),0),0))</f>
        <v>0</v>
      </c>
      <c r="N72">
        <f t="array" ref="N72">SUM(IF(搜索词报告!$H$2:$H$22222=L72,IF(搜索词报告!$A$2:$A$22222&gt;=$L$2,IF(搜索词报告!$A$2:$A$22222&lt;=$L$4,搜索词报告!$J$2:$J$22222,0),0),0))</f>
        <v>0</v>
      </c>
      <c r="O72" s="2">
        <f t="shared" si="12"/>
        <v>0</v>
      </c>
      <c r="P72" s="2">
        <f t="shared" si="13"/>
        <v>0</v>
      </c>
      <c r="Q72">
        <f t="array" ref="Q72">SUM(IF(搜索词报告!$H$2:$H$22222=L72,IF(搜索词报告!$A$2:$A$22222&gt;=$L$2,IF(搜索词报告!$A$2:$A$22222&lt;=$L$4,搜索词报告!$Q$2:$Q$22222,0),0),0))</f>
        <v>0</v>
      </c>
      <c r="R72">
        <f t="array" ref="R72">SUM(IF(搜索词报告!$H$2:$H$22222=L72,IF(搜索词报告!$A$2:$A$22222&gt;=$L$2,IF(搜索词报告!$A$2:$A$22222&lt;=$L$4,搜索词报告!$N$2:$N$22222,0),0),0))</f>
        <v>0</v>
      </c>
      <c r="S72">
        <f t="array" ref="S72">SUM(IF(搜索词报告!$H$2:$H$22222=L72,IF(搜索词报告!$A$2:$A$22222&gt;=$L$2,IF(搜索词报告!$A$2:$A$22222&lt;=$L$4,搜索词报告!$M$2:$M$22222,0),0),0))</f>
        <v>0</v>
      </c>
      <c r="T72" s="2" t="str">
        <f t="shared" si="14"/>
        <v/>
      </c>
      <c r="U72" t="str">
        <f t="shared" si="15"/>
        <v>点击次数少于10次没有参考性</v>
      </c>
      <c r="V72" s="4" t="str">
        <f>IFERROR(INDEX(搜索词报告!$D$2:$D$22222,MATCH(关键词词频统计!L72,搜索词报告!$H$2:$H$22222,0)),"")</f>
        <v/>
      </c>
    </row>
    <row r="73" spans="2:22" x14ac:dyDescent="0.15">
      <c r="B73">
        <f t="array" ref="B73">SUM(IF(搜索词报告!$H$2:$H$22222=A73,IF(搜索词报告!$A$2:$A$22222&gt;=关键词词频统计!$A$2,IF(搜索词报告!$A$2:$A$22222&lt;=关键词词频统计!$A$4,搜索词报告!$I$2:$I$22222,0),0),0))</f>
        <v>0</v>
      </c>
      <c r="C73">
        <f t="array" ref="C73">SUM(IF(搜索词报告!$H$2:$H$22222=A73,IF(搜索词报告!$A$2:$A$22222&gt;=关键词词频统计!$A$2,IF(搜索词报告!$A$2:$A$22222&lt;=关键词词频统计!$A$4,搜索词报告!$J$2:$J$22222,0),0),0))</f>
        <v>0</v>
      </c>
      <c r="D73" s="2">
        <f t="shared" si="8"/>
        <v>0</v>
      </c>
      <c r="E73" s="2">
        <f t="shared" si="9"/>
        <v>0</v>
      </c>
      <c r="F73">
        <f t="array" ref="F73">SUM(IF(搜索词报告!$H$2:$H$22222=A73,IF(搜索词报告!$A$2:$A$22222&gt;=关键词词频统计!$A$2,IF(搜索词报告!$A$2:$A$22222&lt;=关键词词频统计!$A$4,搜索词报告!$Q$2:$Q$22222,0),0),0))</f>
        <v>0</v>
      </c>
      <c r="G73">
        <f t="array" ref="G73">SUM(IF(搜索词报告!$H$2:$H$22222=A73,IF(搜索词报告!$A$2:$A$22222&gt;=关键词词频统计!$A$2,IF(搜索词报告!$A$2:$A$22222&lt;=关键词词频统计!$A$4,搜索词报告!$N$2:$N$22222,0),0),0))</f>
        <v>0</v>
      </c>
      <c r="H73">
        <f t="array" ref="H73">SUM(IF(搜索词报告!$H$2:$H$22222=A73,IF(搜索词报告!$A$2:$A$22222&gt;=关键词词频统计!$A$2,IF(搜索词报告!$A$2:$A$22222&lt;=关键词词频统计!$A$4,搜索词报告!$M$2:$M$22222,0),0),0))</f>
        <v>0</v>
      </c>
      <c r="I73" s="2" t="str">
        <f t="shared" si="10"/>
        <v/>
      </c>
      <c r="J73" t="str">
        <f t="shared" si="11"/>
        <v>点击次数少于10次没有参考性</v>
      </c>
      <c r="K73" s="4" t="str">
        <f>IFERROR(INDEX(搜索词报告!$D$2:$D$22222,MATCH(关键词词频统计!A73,搜索词报告!$H$2:$H$22222,0)),"")</f>
        <v/>
      </c>
      <c r="M73">
        <f t="array" ref="M73">SUM(IF(搜索词报告!$H$2:$H$22222=L73,IF(搜索词报告!$A$2:$A$22222&gt;=$L$2,IF(搜索词报告!$A$2:$A$22222&lt;=$L$4,搜索词报告!$I$2:$I$22222,0),0),0))</f>
        <v>0</v>
      </c>
      <c r="N73">
        <f t="array" ref="N73">SUM(IF(搜索词报告!$H$2:$H$22222=L73,IF(搜索词报告!$A$2:$A$22222&gt;=$L$2,IF(搜索词报告!$A$2:$A$22222&lt;=$L$4,搜索词报告!$J$2:$J$22222,0),0),0))</f>
        <v>0</v>
      </c>
      <c r="O73" s="2">
        <f t="shared" si="12"/>
        <v>0</v>
      </c>
      <c r="P73" s="2">
        <f t="shared" si="13"/>
        <v>0</v>
      </c>
      <c r="Q73">
        <f t="array" ref="Q73">SUM(IF(搜索词报告!$H$2:$H$22222=L73,IF(搜索词报告!$A$2:$A$22222&gt;=$L$2,IF(搜索词报告!$A$2:$A$22222&lt;=$L$4,搜索词报告!$Q$2:$Q$22222,0),0),0))</f>
        <v>0</v>
      </c>
      <c r="R73">
        <f t="array" ref="R73">SUM(IF(搜索词报告!$H$2:$H$22222=L73,IF(搜索词报告!$A$2:$A$22222&gt;=$L$2,IF(搜索词报告!$A$2:$A$22222&lt;=$L$4,搜索词报告!$N$2:$N$22222,0),0),0))</f>
        <v>0</v>
      </c>
      <c r="S73">
        <f t="array" ref="S73">SUM(IF(搜索词报告!$H$2:$H$22222=L73,IF(搜索词报告!$A$2:$A$22222&gt;=$L$2,IF(搜索词报告!$A$2:$A$22222&lt;=$L$4,搜索词报告!$M$2:$M$22222,0),0),0))</f>
        <v>0</v>
      </c>
      <c r="T73" s="2" t="str">
        <f t="shared" si="14"/>
        <v/>
      </c>
      <c r="U73" t="str">
        <f t="shared" si="15"/>
        <v>点击次数少于10次没有参考性</v>
      </c>
      <c r="V73" s="4" t="str">
        <f>IFERROR(INDEX(搜索词报告!$D$2:$D$22222,MATCH(关键词词频统计!L73,搜索词报告!$H$2:$H$22222,0)),"")</f>
        <v/>
      </c>
    </row>
    <row r="74" spans="2:22" x14ac:dyDescent="0.15">
      <c r="B74">
        <f t="array" ref="B74">SUM(IF(搜索词报告!$H$2:$H$22222=A74,IF(搜索词报告!$A$2:$A$22222&gt;=关键词词频统计!$A$2,IF(搜索词报告!$A$2:$A$22222&lt;=关键词词频统计!$A$4,搜索词报告!$I$2:$I$22222,0),0),0))</f>
        <v>0</v>
      </c>
      <c r="C74">
        <f t="array" ref="C74">SUM(IF(搜索词报告!$H$2:$H$22222=A74,IF(搜索词报告!$A$2:$A$22222&gt;=关键词词频统计!$A$2,IF(搜索词报告!$A$2:$A$22222&lt;=关键词词频统计!$A$4,搜索词报告!$J$2:$J$22222,0),0),0))</f>
        <v>0</v>
      </c>
      <c r="D74" s="2">
        <f t="shared" si="8"/>
        <v>0</v>
      </c>
      <c r="E74" s="2">
        <f t="shared" si="9"/>
        <v>0</v>
      </c>
      <c r="F74">
        <f t="array" ref="F74">SUM(IF(搜索词报告!$H$2:$H$22222=A74,IF(搜索词报告!$A$2:$A$22222&gt;=关键词词频统计!$A$2,IF(搜索词报告!$A$2:$A$22222&lt;=关键词词频统计!$A$4,搜索词报告!$Q$2:$Q$22222,0),0),0))</f>
        <v>0</v>
      </c>
      <c r="G74">
        <f t="array" ref="G74">SUM(IF(搜索词报告!$H$2:$H$22222=A74,IF(搜索词报告!$A$2:$A$22222&gt;=关键词词频统计!$A$2,IF(搜索词报告!$A$2:$A$22222&lt;=关键词词频统计!$A$4,搜索词报告!$N$2:$N$22222,0),0),0))</f>
        <v>0</v>
      </c>
      <c r="H74">
        <f t="array" ref="H74">SUM(IF(搜索词报告!$H$2:$H$22222=A74,IF(搜索词报告!$A$2:$A$22222&gt;=关键词词频统计!$A$2,IF(搜索词报告!$A$2:$A$22222&lt;=关键词词频统计!$A$4,搜索词报告!$M$2:$M$22222,0),0),0))</f>
        <v>0</v>
      </c>
      <c r="I74" s="2" t="str">
        <f t="shared" si="10"/>
        <v/>
      </c>
      <c r="J74" t="str">
        <f t="shared" si="11"/>
        <v>点击次数少于10次没有参考性</v>
      </c>
      <c r="K74" s="4" t="str">
        <f>IFERROR(INDEX(搜索词报告!$D$2:$D$22222,MATCH(关键词词频统计!A74,搜索词报告!$H$2:$H$22222,0)),"")</f>
        <v/>
      </c>
      <c r="M74">
        <f t="array" ref="M74">SUM(IF(搜索词报告!$H$2:$H$22222=L74,IF(搜索词报告!$A$2:$A$22222&gt;=$L$2,IF(搜索词报告!$A$2:$A$22222&lt;=$L$4,搜索词报告!$I$2:$I$22222,0),0),0))</f>
        <v>0</v>
      </c>
      <c r="N74">
        <f t="array" ref="N74">SUM(IF(搜索词报告!$H$2:$H$22222=L74,IF(搜索词报告!$A$2:$A$22222&gt;=$L$2,IF(搜索词报告!$A$2:$A$22222&lt;=$L$4,搜索词报告!$J$2:$J$22222,0),0),0))</f>
        <v>0</v>
      </c>
      <c r="O74" s="2">
        <f t="shared" si="12"/>
        <v>0</v>
      </c>
      <c r="P74" s="2">
        <f t="shared" si="13"/>
        <v>0</v>
      </c>
      <c r="Q74">
        <f t="array" ref="Q74">SUM(IF(搜索词报告!$H$2:$H$22222=L74,IF(搜索词报告!$A$2:$A$22222&gt;=$L$2,IF(搜索词报告!$A$2:$A$22222&lt;=$L$4,搜索词报告!$Q$2:$Q$22222,0),0),0))</f>
        <v>0</v>
      </c>
      <c r="R74">
        <f t="array" ref="R74">SUM(IF(搜索词报告!$H$2:$H$22222=L74,IF(搜索词报告!$A$2:$A$22222&gt;=$L$2,IF(搜索词报告!$A$2:$A$22222&lt;=$L$4,搜索词报告!$N$2:$N$22222,0),0),0))</f>
        <v>0</v>
      </c>
      <c r="S74">
        <f t="array" ref="S74">SUM(IF(搜索词报告!$H$2:$H$22222=L74,IF(搜索词报告!$A$2:$A$22222&gt;=$L$2,IF(搜索词报告!$A$2:$A$22222&lt;=$L$4,搜索词报告!$M$2:$M$22222,0),0),0))</f>
        <v>0</v>
      </c>
      <c r="T74" s="2" t="str">
        <f t="shared" si="14"/>
        <v/>
      </c>
      <c r="U74" t="str">
        <f t="shared" si="15"/>
        <v>点击次数少于10次没有参考性</v>
      </c>
      <c r="V74" s="4" t="str">
        <f>IFERROR(INDEX(搜索词报告!$D$2:$D$22222,MATCH(关键词词频统计!L74,搜索词报告!$H$2:$H$22222,0)),"")</f>
        <v/>
      </c>
    </row>
    <row r="75" spans="2:22" x14ac:dyDescent="0.15">
      <c r="B75">
        <f t="array" ref="B75">SUM(IF(搜索词报告!$H$2:$H$22222=A75,IF(搜索词报告!$A$2:$A$22222&gt;=关键词词频统计!$A$2,IF(搜索词报告!$A$2:$A$22222&lt;=关键词词频统计!$A$4,搜索词报告!$I$2:$I$22222,0),0),0))</f>
        <v>0</v>
      </c>
      <c r="C75">
        <f t="array" ref="C75">SUM(IF(搜索词报告!$H$2:$H$22222=A75,IF(搜索词报告!$A$2:$A$22222&gt;=关键词词频统计!$A$2,IF(搜索词报告!$A$2:$A$22222&lt;=关键词词频统计!$A$4,搜索词报告!$J$2:$J$22222,0),0),0))</f>
        <v>0</v>
      </c>
      <c r="D75" s="2">
        <f t="shared" si="8"/>
        <v>0</v>
      </c>
      <c r="E75" s="2">
        <f t="shared" si="9"/>
        <v>0</v>
      </c>
      <c r="F75">
        <f t="array" ref="F75">SUM(IF(搜索词报告!$H$2:$H$22222=A75,IF(搜索词报告!$A$2:$A$22222&gt;=关键词词频统计!$A$2,IF(搜索词报告!$A$2:$A$22222&lt;=关键词词频统计!$A$4,搜索词报告!$Q$2:$Q$22222,0),0),0))</f>
        <v>0</v>
      </c>
      <c r="G75">
        <f t="array" ref="G75">SUM(IF(搜索词报告!$H$2:$H$22222=A75,IF(搜索词报告!$A$2:$A$22222&gt;=关键词词频统计!$A$2,IF(搜索词报告!$A$2:$A$22222&lt;=关键词词频统计!$A$4,搜索词报告!$N$2:$N$22222,0),0),0))</f>
        <v>0</v>
      </c>
      <c r="H75">
        <f t="array" ref="H75">SUM(IF(搜索词报告!$H$2:$H$22222=A75,IF(搜索词报告!$A$2:$A$22222&gt;=关键词词频统计!$A$2,IF(搜索词报告!$A$2:$A$22222&lt;=关键词词频统计!$A$4,搜索词报告!$M$2:$M$22222,0),0),0))</f>
        <v>0</v>
      </c>
      <c r="I75" s="2" t="str">
        <f t="shared" si="10"/>
        <v/>
      </c>
      <c r="J75" t="str">
        <f t="shared" si="11"/>
        <v>点击次数少于10次没有参考性</v>
      </c>
      <c r="K75" s="4" t="str">
        <f>IFERROR(INDEX(搜索词报告!$D$2:$D$22222,MATCH(关键词词频统计!A75,搜索词报告!$H$2:$H$22222,0)),"")</f>
        <v/>
      </c>
      <c r="M75">
        <f t="array" ref="M75">SUM(IF(搜索词报告!$H$2:$H$22222=L75,IF(搜索词报告!$A$2:$A$22222&gt;=$L$2,IF(搜索词报告!$A$2:$A$22222&lt;=$L$4,搜索词报告!$I$2:$I$22222,0),0),0))</f>
        <v>0</v>
      </c>
      <c r="N75">
        <f t="array" ref="N75">SUM(IF(搜索词报告!$H$2:$H$22222=L75,IF(搜索词报告!$A$2:$A$22222&gt;=$L$2,IF(搜索词报告!$A$2:$A$22222&lt;=$L$4,搜索词报告!$J$2:$J$22222,0),0),0))</f>
        <v>0</v>
      </c>
      <c r="O75" s="2">
        <f t="shared" si="12"/>
        <v>0</v>
      </c>
      <c r="P75" s="2">
        <f t="shared" si="13"/>
        <v>0</v>
      </c>
      <c r="Q75">
        <f t="array" ref="Q75">SUM(IF(搜索词报告!$H$2:$H$22222=L75,IF(搜索词报告!$A$2:$A$22222&gt;=$L$2,IF(搜索词报告!$A$2:$A$22222&lt;=$L$4,搜索词报告!$Q$2:$Q$22222,0),0),0))</f>
        <v>0</v>
      </c>
      <c r="R75">
        <f t="array" ref="R75">SUM(IF(搜索词报告!$H$2:$H$22222=L75,IF(搜索词报告!$A$2:$A$22222&gt;=$L$2,IF(搜索词报告!$A$2:$A$22222&lt;=$L$4,搜索词报告!$N$2:$N$22222,0),0),0))</f>
        <v>0</v>
      </c>
      <c r="S75">
        <f t="array" ref="S75">SUM(IF(搜索词报告!$H$2:$H$22222=L75,IF(搜索词报告!$A$2:$A$22222&gt;=$L$2,IF(搜索词报告!$A$2:$A$22222&lt;=$L$4,搜索词报告!$M$2:$M$22222,0),0),0))</f>
        <v>0</v>
      </c>
      <c r="T75" s="2" t="str">
        <f t="shared" si="14"/>
        <v/>
      </c>
      <c r="U75" t="str">
        <f t="shared" si="15"/>
        <v>点击次数少于10次没有参考性</v>
      </c>
      <c r="V75" s="4" t="str">
        <f>IFERROR(INDEX(搜索词报告!$D$2:$D$22222,MATCH(关键词词频统计!L75,搜索词报告!$H$2:$H$22222,0)),"")</f>
        <v/>
      </c>
    </row>
    <row r="76" spans="2:22" x14ac:dyDescent="0.15">
      <c r="B76">
        <f t="array" ref="B76">SUM(IF(搜索词报告!$H$2:$H$22222=A76,IF(搜索词报告!$A$2:$A$22222&gt;=关键词词频统计!$A$2,IF(搜索词报告!$A$2:$A$22222&lt;=关键词词频统计!$A$4,搜索词报告!$I$2:$I$22222,0),0),0))</f>
        <v>0</v>
      </c>
      <c r="C76">
        <f t="array" ref="C76">SUM(IF(搜索词报告!$H$2:$H$22222=A76,IF(搜索词报告!$A$2:$A$22222&gt;=关键词词频统计!$A$2,IF(搜索词报告!$A$2:$A$22222&lt;=关键词词频统计!$A$4,搜索词报告!$J$2:$J$22222,0),0),0))</f>
        <v>0</v>
      </c>
      <c r="D76" s="2">
        <f t="shared" si="8"/>
        <v>0</v>
      </c>
      <c r="E76" s="2">
        <f t="shared" si="9"/>
        <v>0</v>
      </c>
      <c r="F76">
        <f t="array" ref="F76">SUM(IF(搜索词报告!$H$2:$H$22222=A76,IF(搜索词报告!$A$2:$A$22222&gt;=关键词词频统计!$A$2,IF(搜索词报告!$A$2:$A$22222&lt;=关键词词频统计!$A$4,搜索词报告!$Q$2:$Q$22222,0),0),0))</f>
        <v>0</v>
      </c>
      <c r="G76">
        <f t="array" ref="G76">SUM(IF(搜索词报告!$H$2:$H$22222=A76,IF(搜索词报告!$A$2:$A$22222&gt;=关键词词频统计!$A$2,IF(搜索词报告!$A$2:$A$22222&lt;=关键词词频统计!$A$4,搜索词报告!$N$2:$N$22222,0),0),0))</f>
        <v>0</v>
      </c>
      <c r="H76">
        <f t="array" ref="H76">SUM(IF(搜索词报告!$H$2:$H$22222=A76,IF(搜索词报告!$A$2:$A$22222&gt;=关键词词频统计!$A$2,IF(搜索词报告!$A$2:$A$22222&lt;=关键词词频统计!$A$4,搜索词报告!$M$2:$M$22222,0),0),0))</f>
        <v>0</v>
      </c>
      <c r="I76" s="2" t="str">
        <f t="shared" si="10"/>
        <v/>
      </c>
      <c r="J76" t="str">
        <f t="shared" si="11"/>
        <v>点击次数少于10次没有参考性</v>
      </c>
      <c r="K76" s="4" t="str">
        <f>IFERROR(INDEX(搜索词报告!$D$2:$D$22222,MATCH(关键词词频统计!A76,搜索词报告!$H$2:$H$22222,0)),"")</f>
        <v/>
      </c>
      <c r="M76">
        <f t="array" ref="M76">SUM(IF(搜索词报告!$H$2:$H$22222=L76,IF(搜索词报告!$A$2:$A$22222&gt;=$L$2,IF(搜索词报告!$A$2:$A$22222&lt;=$L$4,搜索词报告!$I$2:$I$22222,0),0),0))</f>
        <v>0</v>
      </c>
      <c r="N76">
        <f t="array" ref="N76">SUM(IF(搜索词报告!$H$2:$H$22222=L76,IF(搜索词报告!$A$2:$A$22222&gt;=$L$2,IF(搜索词报告!$A$2:$A$22222&lt;=$L$4,搜索词报告!$J$2:$J$22222,0),0),0))</f>
        <v>0</v>
      </c>
      <c r="O76" s="2">
        <f t="shared" si="12"/>
        <v>0</v>
      </c>
      <c r="P76" s="2">
        <f t="shared" si="13"/>
        <v>0</v>
      </c>
      <c r="Q76">
        <f t="array" ref="Q76">SUM(IF(搜索词报告!$H$2:$H$22222=L76,IF(搜索词报告!$A$2:$A$22222&gt;=$L$2,IF(搜索词报告!$A$2:$A$22222&lt;=$L$4,搜索词报告!$Q$2:$Q$22222,0),0),0))</f>
        <v>0</v>
      </c>
      <c r="R76">
        <f t="array" ref="R76">SUM(IF(搜索词报告!$H$2:$H$22222=L76,IF(搜索词报告!$A$2:$A$22222&gt;=$L$2,IF(搜索词报告!$A$2:$A$22222&lt;=$L$4,搜索词报告!$N$2:$N$22222,0),0),0))</f>
        <v>0</v>
      </c>
      <c r="S76">
        <f t="array" ref="S76">SUM(IF(搜索词报告!$H$2:$H$22222=L76,IF(搜索词报告!$A$2:$A$22222&gt;=$L$2,IF(搜索词报告!$A$2:$A$22222&lt;=$L$4,搜索词报告!$M$2:$M$22222,0),0),0))</f>
        <v>0</v>
      </c>
      <c r="T76" s="2" t="str">
        <f t="shared" si="14"/>
        <v/>
      </c>
      <c r="U76" t="str">
        <f t="shared" si="15"/>
        <v>点击次数少于10次没有参考性</v>
      </c>
      <c r="V76" s="4" t="str">
        <f>IFERROR(INDEX(搜索词报告!$D$2:$D$22222,MATCH(关键词词频统计!L76,搜索词报告!$H$2:$H$22222,0)),"")</f>
        <v/>
      </c>
    </row>
    <row r="77" spans="2:22" x14ac:dyDescent="0.15">
      <c r="B77">
        <f t="array" ref="B77">SUM(IF(搜索词报告!$H$2:$H$22222=A77,IF(搜索词报告!$A$2:$A$22222&gt;=关键词词频统计!$A$2,IF(搜索词报告!$A$2:$A$22222&lt;=关键词词频统计!$A$4,搜索词报告!$I$2:$I$22222,0),0),0))</f>
        <v>0</v>
      </c>
      <c r="C77">
        <f t="array" ref="C77">SUM(IF(搜索词报告!$H$2:$H$22222=A77,IF(搜索词报告!$A$2:$A$22222&gt;=关键词词频统计!$A$2,IF(搜索词报告!$A$2:$A$22222&lt;=关键词词频统计!$A$4,搜索词报告!$J$2:$J$22222,0),0),0))</f>
        <v>0</v>
      </c>
      <c r="D77" s="2">
        <f t="shared" si="8"/>
        <v>0</v>
      </c>
      <c r="E77" s="2">
        <f t="shared" si="9"/>
        <v>0</v>
      </c>
      <c r="F77">
        <f t="array" ref="F77">SUM(IF(搜索词报告!$H$2:$H$22222=A77,IF(搜索词报告!$A$2:$A$22222&gt;=关键词词频统计!$A$2,IF(搜索词报告!$A$2:$A$22222&lt;=关键词词频统计!$A$4,搜索词报告!$Q$2:$Q$22222,0),0),0))</f>
        <v>0</v>
      </c>
      <c r="G77">
        <f t="array" ref="G77">SUM(IF(搜索词报告!$H$2:$H$22222=A77,IF(搜索词报告!$A$2:$A$22222&gt;=关键词词频统计!$A$2,IF(搜索词报告!$A$2:$A$22222&lt;=关键词词频统计!$A$4,搜索词报告!$N$2:$N$22222,0),0),0))</f>
        <v>0</v>
      </c>
      <c r="H77">
        <f t="array" ref="H77">SUM(IF(搜索词报告!$H$2:$H$22222=A77,IF(搜索词报告!$A$2:$A$22222&gt;=关键词词频统计!$A$2,IF(搜索词报告!$A$2:$A$22222&lt;=关键词词频统计!$A$4,搜索词报告!$M$2:$M$22222,0),0),0))</f>
        <v>0</v>
      </c>
      <c r="I77" s="2" t="str">
        <f t="shared" si="10"/>
        <v/>
      </c>
      <c r="J77" t="str">
        <f t="shared" si="11"/>
        <v>点击次数少于10次没有参考性</v>
      </c>
      <c r="K77" s="4" t="str">
        <f>IFERROR(INDEX(搜索词报告!$D$2:$D$22222,MATCH(关键词词频统计!A77,搜索词报告!$H$2:$H$22222,0)),"")</f>
        <v/>
      </c>
      <c r="M77">
        <f t="array" ref="M77">SUM(IF(搜索词报告!$H$2:$H$22222=L77,IF(搜索词报告!$A$2:$A$22222&gt;=$L$2,IF(搜索词报告!$A$2:$A$22222&lt;=$L$4,搜索词报告!$I$2:$I$22222,0),0),0))</f>
        <v>0</v>
      </c>
      <c r="N77">
        <f t="array" ref="N77">SUM(IF(搜索词报告!$H$2:$H$22222=L77,IF(搜索词报告!$A$2:$A$22222&gt;=$L$2,IF(搜索词报告!$A$2:$A$22222&lt;=$L$4,搜索词报告!$J$2:$J$22222,0),0),0))</f>
        <v>0</v>
      </c>
      <c r="O77" s="2">
        <f t="shared" si="12"/>
        <v>0</v>
      </c>
      <c r="P77" s="2">
        <f t="shared" si="13"/>
        <v>0</v>
      </c>
      <c r="Q77">
        <f t="array" ref="Q77">SUM(IF(搜索词报告!$H$2:$H$22222=L77,IF(搜索词报告!$A$2:$A$22222&gt;=$L$2,IF(搜索词报告!$A$2:$A$22222&lt;=$L$4,搜索词报告!$Q$2:$Q$22222,0),0),0))</f>
        <v>0</v>
      </c>
      <c r="R77">
        <f t="array" ref="R77">SUM(IF(搜索词报告!$H$2:$H$22222=L77,IF(搜索词报告!$A$2:$A$22222&gt;=$L$2,IF(搜索词报告!$A$2:$A$22222&lt;=$L$4,搜索词报告!$N$2:$N$22222,0),0),0))</f>
        <v>0</v>
      </c>
      <c r="S77">
        <f t="array" ref="S77">SUM(IF(搜索词报告!$H$2:$H$22222=L77,IF(搜索词报告!$A$2:$A$22222&gt;=$L$2,IF(搜索词报告!$A$2:$A$22222&lt;=$L$4,搜索词报告!$M$2:$M$22222,0),0),0))</f>
        <v>0</v>
      </c>
      <c r="T77" s="2" t="str">
        <f t="shared" si="14"/>
        <v/>
      </c>
      <c r="U77" t="str">
        <f t="shared" si="15"/>
        <v>点击次数少于10次没有参考性</v>
      </c>
      <c r="V77" s="4" t="str">
        <f>IFERROR(INDEX(搜索词报告!$D$2:$D$22222,MATCH(关键词词频统计!L77,搜索词报告!$H$2:$H$22222,0)),"")</f>
        <v/>
      </c>
    </row>
    <row r="78" spans="2:22" x14ac:dyDescent="0.15">
      <c r="B78">
        <f t="array" ref="B78">SUM(IF(搜索词报告!$H$2:$H$22222=A78,IF(搜索词报告!$A$2:$A$22222&gt;=关键词词频统计!$A$2,IF(搜索词报告!$A$2:$A$22222&lt;=关键词词频统计!$A$4,搜索词报告!$I$2:$I$22222,0),0),0))</f>
        <v>0</v>
      </c>
      <c r="C78">
        <f t="array" ref="C78">SUM(IF(搜索词报告!$H$2:$H$22222=A78,IF(搜索词报告!$A$2:$A$22222&gt;=关键词词频统计!$A$2,IF(搜索词报告!$A$2:$A$22222&lt;=关键词词频统计!$A$4,搜索词报告!$J$2:$J$22222,0),0),0))</f>
        <v>0</v>
      </c>
      <c r="D78" s="2">
        <f t="shared" si="8"/>
        <v>0</v>
      </c>
      <c r="E78" s="2">
        <f t="shared" si="9"/>
        <v>0</v>
      </c>
      <c r="F78">
        <f t="array" ref="F78">SUM(IF(搜索词报告!$H$2:$H$22222=A78,IF(搜索词报告!$A$2:$A$22222&gt;=关键词词频统计!$A$2,IF(搜索词报告!$A$2:$A$22222&lt;=关键词词频统计!$A$4,搜索词报告!$Q$2:$Q$22222,0),0),0))</f>
        <v>0</v>
      </c>
      <c r="G78">
        <f t="array" ref="G78">SUM(IF(搜索词报告!$H$2:$H$22222=A78,IF(搜索词报告!$A$2:$A$22222&gt;=关键词词频统计!$A$2,IF(搜索词报告!$A$2:$A$22222&lt;=关键词词频统计!$A$4,搜索词报告!$N$2:$N$22222,0),0),0))</f>
        <v>0</v>
      </c>
      <c r="H78">
        <f t="array" ref="H78">SUM(IF(搜索词报告!$H$2:$H$22222=A78,IF(搜索词报告!$A$2:$A$22222&gt;=关键词词频统计!$A$2,IF(搜索词报告!$A$2:$A$22222&lt;=关键词词频统计!$A$4,搜索词报告!$M$2:$M$22222,0),0),0))</f>
        <v>0</v>
      </c>
      <c r="I78" s="2" t="str">
        <f t="shared" si="10"/>
        <v/>
      </c>
      <c r="J78" t="str">
        <f t="shared" si="11"/>
        <v>点击次数少于10次没有参考性</v>
      </c>
      <c r="K78" s="4" t="str">
        <f>IFERROR(INDEX(搜索词报告!$D$2:$D$22222,MATCH(关键词词频统计!A78,搜索词报告!$H$2:$H$22222,0)),"")</f>
        <v/>
      </c>
      <c r="M78">
        <f t="array" ref="M78">SUM(IF(搜索词报告!$H$2:$H$22222=L78,IF(搜索词报告!$A$2:$A$22222&gt;=$L$2,IF(搜索词报告!$A$2:$A$22222&lt;=$L$4,搜索词报告!$I$2:$I$22222,0),0),0))</f>
        <v>0</v>
      </c>
      <c r="N78">
        <f t="array" ref="N78">SUM(IF(搜索词报告!$H$2:$H$22222=L78,IF(搜索词报告!$A$2:$A$22222&gt;=$L$2,IF(搜索词报告!$A$2:$A$22222&lt;=$L$4,搜索词报告!$J$2:$J$22222,0),0),0))</f>
        <v>0</v>
      </c>
      <c r="O78" s="2">
        <f t="shared" si="12"/>
        <v>0</v>
      </c>
      <c r="P78" s="2">
        <f t="shared" si="13"/>
        <v>0</v>
      </c>
      <c r="Q78">
        <f t="array" ref="Q78">SUM(IF(搜索词报告!$H$2:$H$22222=L78,IF(搜索词报告!$A$2:$A$22222&gt;=$L$2,IF(搜索词报告!$A$2:$A$22222&lt;=$L$4,搜索词报告!$Q$2:$Q$22222,0),0),0))</f>
        <v>0</v>
      </c>
      <c r="R78">
        <f t="array" ref="R78">SUM(IF(搜索词报告!$H$2:$H$22222=L78,IF(搜索词报告!$A$2:$A$22222&gt;=$L$2,IF(搜索词报告!$A$2:$A$22222&lt;=$L$4,搜索词报告!$N$2:$N$22222,0),0),0))</f>
        <v>0</v>
      </c>
      <c r="S78">
        <f t="array" ref="S78">SUM(IF(搜索词报告!$H$2:$H$22222=L78,IF(搜索词报告!$A$2:$A$22222&gt;=$L$2,IF(搜索词报告!$A$2:$A$22222&lt;=$L$4,搜索词报告!$M$2:$M$22222,0),0),0))</f>
        <v>0</v>
      </c>
      <c r="T78" s="2" t="str">
        <f t="shared" si="14"/>
        <v/>
      </c>
      <c r="U78" t="str">
        <f t="shared" si="15"/>
        <v>点击次数少于10次没有参考性</v>
      </c>
      <c r="V78" s="4" t="str">
        <f>IFERROR(INDEX(搜索词报告!$D$2:$D$22222,MATCH(关键词词频统计!L78,搜索词报告!$H$2:$H$22222,0)),"")</f>
        <v/>
      </c>
    </row>
    <row r="79" spans="2:22" x14ac:dyDescent="0.15">
      <c r="B79">
        <f t="array" ref="B79">SUM(IF(搜索词报告!$H$2:$H$22222=A79,IF(搜索词报告!$A$2:$A$22222&gt;=关键词词频统计!$A$2,IF(搜索词报告!$A$2:$A$22222&lt;=关键词词频统计!$A$4,搜索词报告!$I$2:$I$22222,0),0),0))</f>
        <v>0</v>
      </c>
      <c r="C79">
        <f t="array" ref="C79">SUM(IF(搜索词报告!$H$2:$H$22222=A79,IF(搜索词报告!$A$2:$A$22222&gt;=关键词词频统计!$A$2,IF(搜索词报告!$A$2:$A$22222&lt;=关键词词频统计!$A$4,搜索词报告!$J$2:$J$22222,0),0),0))</f>
        <v>0</v>
      </c>
      <c r="D79" s="2">
        <f t="shared" si="8"/>
        <v>0</v>
      </c>
      <c r="E79" s="2">
        <f t="shared" si="9"/>
        <v>0</v>
      </c>
      <c r="F79">
        <f t="array" ref="F79">SUM(IF(搜索词报告!$H$2:$H$22222=A79,IF(搜索词报告!$A$2:$A$22222&gt;=关键词词频统计!$A$2,IF(搜索词报告!$A$2:$A$22222&lt;=关键词词频统计!$A$4,搜索词报告!$Q$2:$Q$22222,0),0),0))</f>
        <v>0</v>
      </c>
      <c r="G79">
        <f t="array" ref="G79">SUM(IF(搜索词报告!$H$2:$H$22222=A79,IF(搜索词报告!$A$2:$A$22222&gt;=关键词词频统计!$A$2,IF(搜索词报告!$A$2:$A$22222&lt;=关键词词频统计!$A$4,搜索词报告!$N$2:$N$22222,0),0),0))</f>
        <v>0</v>
      </c>
      <c r="H79">
        <f t="array" ref="H79">SUM(IF(搜索词报告!$H$2:$H$22222=A79,IF(搜索词报告!$A$2:$A$22222&gt;=关键词词频统计!$A$2,IF(搜索词报告!$A$2:$A$22222&lt;=关键词词频统计!$A$4,搜索词报告!$M$2:$M$22222,0),0),0))</f>
        <v>0</v>
      </c>
      <c r="I79" s="2" t="str">
        <f t="shared" si="10"/>
        <v/>
      </c>
      <c r="J79" t="str">
        <f t="shared" si="11"/>
        <v>点击次数少于10次没有参考性</v>
      </c>
      <c r="K79" s="4" t="str">
        <f>IFERROR(INDEX(搜索词报告!$D$2:$D$22222,MATCH(关键词词频统计!A79,搜索词报告!$H$2:$H$22222,0)),"")</f>
        <v/>
      </c>
      <c r="M79">
        <f t="array" ref="M79">SUM(IF(搜索词报告!$H$2:$H$22222=L79,IF(搜索词报告!$A$2:$A$22222&gt;=$L$2,IF(搜索词报告!$A$2:$A$22222&lt;=$L$4,搜索词报告!$I$2:$I$22222,0),0),0))</f>
        <v>0</v>
      </c>
      <c r="N79">
        <f t="array" ref="N79">SUM(IF(搜索词报告!$H$2:$H$22222=L79,IF(搜索词报告!$A$2:$A$22222&gt;=$L$2,IF(搜索词报告!$A$2:$A$22222&lt;=$L$4,搜索词报告!$J$2:$J$22222,0),0),0))</f>
        <v>0</v>
      </c>
      <c r="O79" s="2">
        <f t="shared" si="12"/>
        <v>0</v>
      </c>
      <c r="P79" s="2">
        <f t="shared" si="13"/>
        <v>0</v>
      </c>
      <c r="Q79">
        <f t="array" ref="Q79">SUM(IF(搜索词报告!$H$2:$H$22222=L79,IF(搜索词报告!$A$2:$A$22222&gt;=$L$2,IF(搜索词报告!$A$2:$A$22222&lt;=$L$4,搜索词报告!$Q$2:$Q$22222,0),0),0))</f>
        <v>0</v>
      </c>
      <c r="R79">
        <f t="array" ref="R79">SUM(IF(搜索词报告!$H$2:$H$22222=L79,IF(搜索词报告!$A$2:$A$22222&gt;=$L$2,IF(搜索词报告!$A$2:$A$22222&lt;=$L$4,搜索词报告!$N$2:$N$22222,0),0),0))</f>
        <v>0</v>
      </c>
      <c r="S79">
        <f t="array" ref="S79">SUM(IF(搜索词报告!$H$2:$H$22222=L79,IF(搜索词报告!$A$2:$A$22222&gt;=$L$2,IF(搜索词报告!$A$2:$A$22222&lt;=$L$4,搜索词报告!$M$2:$M$22222,0),0),0))</f>
        <v>0</v>
      </c>
      <c r="T79" s="2" t="str">
        <f t="shared" si="14"/>
        <v/>
      </c>
      <c r="U79" t="str">
        <f t="shared" si="15"/>
        <v>点击次数少于10次没有参考性</v>
      </c>
      <c r="V79" s="4" t="str">
        <f>IFERROR(INDEX(搜索词报告!$D$2:$D$22222,MATCH(关键词词频统计!L79,搜索词报告!$H$2:$H$22222,0)),"")</f>
        <v/>
      </c>
    </row>
    <row r="80" spans="2:22" x14ac:dyDescent="0.15">
      <c r="B80">
        <f t="array" ref="B80">SUM(IF(搜索词报告!$H$2:$H$22222=A80,IF(搜索词报告!$A$2:$A$22222&gt;=关键词词频统计!$A$2,IF(搜索词报告!$A$2:$A$22222&lt;=关键词词频统计!$A$4,搜索词报告!$I$2:$I$22222,0),0),0))</f>
        <v>0</v>
      </c>
      <c r="C80">
        <f t="array" ref="C80">SUM(IF(搜索词报告!$H$2:$H$22222=A80,IF(搜索词报告!$A$2:$A$22222&gt;=关键词词频统计!$A$2,IF(搜索词报告!$A$2:$A$22222&lt;=关键词词频统计!$A$4,搜索词报告!$J$2:$J$22222,0),0),0))</f>
        <v>0</v>
      </c>
      <c r="D80" s="2">
        <f t="shared" si="8"/>
        <v>0</v>
      </c>
      <c r="E80" s="2">
        <f t="shared" si="9"/>
        <v>0</v>
      </c>
      <c r="F80">
        <f t="array" ref="F80">SUM(IF(搜索词报告!$H$2:$H$22222=A80,IF(搜索词报告!$A$2:$A$22222&gt;=关键词词频统计!$A$2,IF(搜索词报告!$A$2:$A$22222&lt;=关键词词频统计!$A$4,搜索词报告!$Q$2:$Q$22222,0),0),0))</f>
        <v>0</v>
      </c>
      <c r="G80">
        <f t="array" ref="G80">SUM(IF(搜索词报告!$H$2:$H$22222=A80,IF(搜索词报告!$A$2:$A$22222&gt;=关键词词频统计!$A$2,IF(搜索词报告!$A$2:$A$22222&lt;=关键词词频统计!$A$4,搜索词报告!$N$2:$N$22222,0),0),0))</f>
        <v>0</v>
      </c>
      <c r="H80">
        <f t="array" ref="H80">SUM(IF(搜索词报告!$H$2:$H$22222=A80,IF(搜索词报告!$A$2:$A$22222&gt;=关键词词频统计!$A$2,IF(搜索词报告!$A$2:$A$22222&lt;=关键词词频统计!$A$4,搜索词报告!$M$2:$M$22222,0),0),0))</f>
        <v>0</v>
      </c>
      <c r="I80" s="2" t="str">
        <f t="shared" si="10"/>
        <v/>
      </c>
      <c r="J80" t="str">
        <f t="shared" si="11"/>
        <v>点击次数少于10次没有参考性</v>
      </c>
      <c r="K80" s="4" t="str">
        <f>IFERROR(INDEX(搜索词报告!$D$2:$D$22222,MATCH(关键词词频统计!A80,搜索词报告!$H$2:$H$22222,0)),"")</f>
        <v/>
      </c>
      <c r="M80">
        <f t="array" ref="M80">SUM(IF(搜索词报告!$H$2:$H$22222=L80,IF(搜索词报告!$A$2:$A$22222&gt;=$L$2,IF(搜索词报告!$A$2:$A$22222&lt;=$L$4,搜索词报告!$I$2:$I$22222,0),0),0))</f>
        <v>0</v>
      </c>
      <c r="N80">
        <f t="array" ref="N80">SUM(IF(搜索词报告!$H$2:$H$22222=L80,IF(搜索词报告!$A$2:$A$22222&gt;=$L$2,IF(搜索词报告!$A$2:$A$22222&lt;=$L$4,搜索词报告!$J$2:$J$22222,0),0),0))</f>
        <v>0</v>
      </c>
      <c r="O80" s="2">
        <f t="shared" si="12"/>
        <v>0</v>
      </c>
      <c r="P80" s="2">
        <f t="shared" si="13"/>
        <v>0</v>
      </c>
      <c r="Q80">
        <f t="array" ref="Q80">SUM(IF(搜索词报告!$H$2:$H$22222=L80,IF(搜索词报告!$A$2:$A$22222&gt;=$L$2,IF(搜索词报告!$A$2:$A$22222&lt;=$L$4,搜索词报告!$Q$2:$Q$22222,0),0),0))</f>
        <v>0</v>
      </c>
      <c r="R80">
        <f t="array" ref="R80">SUM(IF(搜索词报告!$H$2:$H$22222=L80,IF(搜索词报告!$A$2:$A$22222&gt;=$L$2,IF(搜索词报告!$A$2:$A$22222&lt;=$L$4,搜索词报告!$N$2:$N$22222,0),0),0))</f>
        <v>0</v>
      </c>
      <c r="S80">
        <f t="array" ref="S80">SUM(IF(搜索词报告!$H$2:$H$22222=L80,IF(搜索词报告!$A$2:$A$22222&gt;=$L$2,IF(搜索词报告!$A$2:$A$22222&lt;=$L$4,搜索词报告!$M$2:$M$22222,0),0),0))</f>
        <v>0</v>
      </c>
      <c r="T80" s="2" t="str">
        <f t="shared" si="14"/>
        <v/>
      </c>
      <c r="U80" t="str">
        <f t="shared" si="15"/>
        <v>点击次数少于10次没有参考性</v>
      </c>
      <c r="V80" s="4" t="str">
        <f>IFERROR(INDEX(搜索词报告!$D$2:$D$22222,MATCH(关键词词频统计!L80,搜索词报告!$H$2:$H$22222,0)),"")</f>
        <v/>
      </c>
    </row>
    <row r="81" spans="2:22" x14ac:dyDescent="0.15">
      <c r="B81">
        <f t="array" ref="B81">SUM(IF(搜索词报告!$H$2:$H$22222=A81,IF(搜索词报告!$A$2:$A$22222&gt;=关键词词频统计!$A$2,IF(搜索词报告!$A$2:$A$22222&lt;=关键词词频统计!$A$4,搜索词报告!$I$2:$I$22222,0),0),0))</f>
        <v>0</v>
      </c>
      <c r="C81">
        <f t="array" ref="C81">SUM(IF(搜索词报告!$H$2:$H$22222=A81,IF(搜索词报告!$A$2:$A$22222&gt;=关键词词频统计!$A$2,IF(搜索词报告!$A$2:$A$22222&lt;=关键词词频统计!$A$4,搜索词报告!$J$2:$J$22222,0),0),0))</f>
        <v>0</v>
      </c>
      <c r="D81" s="2">
        <f t="shared" si="8"/>
        <v>0</v>
      </c>
      <c r="E81" s="2">
        <f t="shared" si="9"/>
        <v>0</v>
      </c>
      <c r="F81">
        <f t="array" ref="F81">SUM(IF(搜索词报告!$H$2:$H$22222=A81,IF(搜索词报告!$A$2:$A$22222&gt;=关键词词频统计!$A$2,IF(搜索词报告!$A$2:$A$22222&lt;=关键词词频统计!$A$4,搜索词报告!$Q$2:$Q$22222,0),0),0))</f>
        <v>0</v>
      </c>
      <c r="G81">
        <f t="array" ref="G81">SUM(IF(搜索词报告!$H$2:$H$22222=A81,IF(搜索词报告!$A$2:$A$22222&gt;=关键词词频统计!$A$2,IF(搜索词报告!$A$2:$A$22222&lt;=关键词词频统计!$A$4,搜索词报告!$N$2:$N$22222,0),0),0))</f>
        <v>0</v>
      </c>
      <c r="H81">
        <f t="array" ref="H81">SUM(IF(搜索词报告!$H$2:$H$22222=A81,IF(搜索词报告!$A$2:$A$22222&gt;=关键词词频统计!$A$2,IF(搜索词报告!$A$2:$A$22222&lt;=关键词词频统计!$A$4,搜索词报告!$M$2:$M$22222,0),0),0))</f>
        <v>0</v>
      </c>
      <c r="I81" s="2" t="str">
        <f t="shared" si="10"/>
        <v/>
      </c>
      <c r="J81" t="str">
        <f t="shared" si="11"/>
        <v>点击次数少于10次没有参考性</v>
      </c>
      <c r="K81" s="4" t="str">
        <f>IFERROR(INDEX(搜索词报告!$D$2:$D$22222,MATCH(关键词词频统计!A81,搜索词报告!$H$2:$H$22222,0)),"")</f>
        <v/>
      </c>
      <c r="M81">
        <f t="array" ref="M81">SUM(IF(搜索词报告!$H$2:$H$22222=L81,IF(搜索词报告!$A$2:$A$22222&gt;=$L$2,IF(搜索词报告!$A$2:$A$22222&lt;=$L$4,搜索词报告!$I$2:$I$22222,0),0),0))</f>
        <v>0</v>
      </c>
      <c r="N81">
        <f t="array" ref="N81">SUM(IF(搜索词报告!$H$2:$H$22222=L81,IF(搜索词报告!$A$2:$A$22222&gt;=$L$2,IF(搜索词报告!$A$2:$A$22222&lt;=$L$4,搜索词报告!$J$2:$J$22222,0),0),0))</f>
        <v>0</v>
      </c>
      <c r="O81" s="2">
        <f t="shared" si="12"/>
        <v>0</v>
      </c>
      <c r="P81" s="2">
        <f t="shared" si="13"/>
        <v>0</v>
      </c>
      <c r="Q81">
        <f t="array" ref="Q81">SUM(IF(搜索词报告!$H$2:$H$22222=L81,IF(搜索词报告!$A$2:$A$22222&gt;=$L$2,IF(搜索词报告!$A$2:$A$22222&lt;=$L$4,搜索词报告!$Q$2:$Q$22222,0),0),0))</f>
        <v>0</v>
      </c>
      <c r="R81">
        <f t="array" ref="R81">SUM(IF(搜索词报告!$H$2:$H$22222=L81,IF(搜索词报告!$A$2:$A$22222&gt;=$L$2,IF(搜索词报告!$A$2:$A$22222&lt;=$L$4,搜索词报告!$N$2:$N$22222,0),0),0))</f>
        <v>0</v>
      </c>
      <c r="S81">
        <f t="array" ref="S81">SUM(IF(搜索词报告!$H$2:$H$22222=L81,IF(搜索词报告!$A$2:$A$22222&gt;=$L$2,IF(搜索词报告!$A$2:$A$22222&lt;=$L$4,搜索词报告!$M$2:$M$22222,0),0),0))</f>
        <v>0</v>
      </c>
      <c r="T81" s="2" t="str">
        <f t="shared" si="14"/>
        <v/>
      </c>
      <c r="U81" t="str">
        <f t="shared" si="15"/>
        <v>点击次数少于10次没有参考性</v>
      </c>
      <c r="V81" s="4" t="str">
        <f>IFERROR(INDEX(搜索词报告!$D$2:$D$22222,MATCH(关键词词频统计!L81,搜索词报告!$H$2:$H$22222,0)),"")</f>
        <v/>
      </c>
    </row>
    <row r="82" spans="2:22" x14ac:dyDescent="0.15">
      <c r="B82">
        <f t="array" ref="B82">SUM(IF(搜索词报告!$H$2:$H$22222=A82,IF(搜索词报告!$A$2:$A$22222&gt;=关键词词频统计!$A$2,IF(搜索词报告!$A$2:$A$22222&lt;=关键词词频统计!$A$4,搜索词报告!$I$2:$I$22222,0),0),0))</f>
        <v>0</v>
      </c>
      <c r="C82">
        <f t="array" ref="C82">SUM(IF(搜索词报告!$H$2:$H$22222=A82,IF(搜索词报告!$A$2:$A$22222&gt;=关键词词频统计!$A$2,IF(搜索词报告!$A$2:$A$22222&lt;=关键词词频统计!$A$4,搜索词报告!$J$2:$J$22222,0),0),0))</f>
        <v>0</v>
      </c>
      <c r="D82" s="2">
        <f t="shared" si="8"/>
        <v>0</v>
      </c>
      <c r="E82" s="2">
        <f t="shared" si="9"/>
        <v>0</v>
      </c>
      <c r="F82">
        <f t="array" ref="F82">SUM(IF(搜索词报告!$H$2:$H$22222=A82,IF(搜索词报告!$A$2:$A$22222&gt;=关键词词频统计!$A$2,IF(搜索词报告!$A$2:$A$22222&lt;=关键词词频统计!$A$4,搜索词报告!$Q$2:$Q$22222,0),0),0))</f>
        <v>0</v>
      </c>
      <c r="G82">
        <f t="array" ref="G82">SUM(IF(搜索词报告!$H$2:$H$22222=A82,IF(搜索词报告!$A$2:$A$22222&gt;=关键词词频统计!$A$2,IF(搜索词报告!$A$2:$A$22222&lt;=关键词词频统计!$A$4,搜索词报告!$N$2:$N$22222,0),0),0))</f>
        <v>0</v>
      </c>
      <c r="H82">
        <f t="array" ref="H82">SUM(IF(搜索词报告!$H$2:$H$22222=A82,IF(搜索词报告!$A$2:$A$22222&gt;=关键词词频统计!$A$2,IF(搜索词报告!$A$2:$A$22222&lt;=关键词词频统计!$A$4,搜索词报告!$M$2:$M$22222,0),0),0))</f>
        <v>0</v>
      </c>
      <c r="I82" s="2" t="str">
        <f t="shared" si="10"/>
        <v/>
      </c>
      <c r="J82" t="str">
        <f t="shared" si="11"/>
        <v>点击次数少于10次没有参考性</v>
      </c>
      <c r="K82" s="4" t="str">
        <f>IFERROR(INDEX(搜索词报告!$D$2:$D$22222,MATCH(关键词词频统计!A82,搜索词报告!$H$2:$H$22222,0)),"")</f>
        <v/>
      </c>
      <c r="M82">
        <f t="array" ref="M82">SUM(IF(搜索词报告!$H$2:$H$22222=L82,IF(搜索词报告!$A$2:$A$22222&gt;=$L$2,IF(搜索词报告!$A$2:$A$22222&lt;=$L$4,搜索词报告!$I$2:$I$22222,0),0),0))</f>
        <v>0</v>
      </c>
      <c r="N82">
        <f t="array" ref="N82">SUM(IF(搜索词报告!$H$2:$H$22222=L82,IF(搜索词报告!$A$2:$A$22222&gt;=$L$2,IF(搜索词报告!$A$2:$A$22222&lt;=$L$4,搜索词报告!$J$2:$J$22222,0),0),0))</f>
        <v>0</v>
      </c>
      <c r="O82" s="2">
        <f t="shared" si="12"/>
        <v>0</v>
      </c>
      <c r="P82" s="2">
        <f t="shared" si="13"/>
        <v>0</v>
      </c>
      <c r="Q82">
        <f t="array" ref="Q82">SUM(IF(搜索词报告!$H$2:$H$22222=L82,IF(搜索词报告!$A$2:$A$22222&gt;=$L$2,IF(搜索词报告!$A$2:$A$22222&lt;=$L$4,搜索词报告!$Q$2:$Q$22222,0),0),0))</f>
        <v>0</v>
      </c>
      <c r="R82">
        <f t="array" ref="R82">SUM(IF(搜索词报告!$H$2:$H$22222=L82,IF(搜索词报告!$A$2:$A$22222&gt;=$L$2,IF(搜索词报告!$A$2:$A$22222&lt;=$L$4,搜索词报告!$N$2:$N$22222,0),0),0))</f>
        <v>0</v>
      </c>
      <c r="S82">
        <f t="array" ref="S82">SUM(IF(搜索词报告!$H$2:$H$22222=L82,IF(搜索词报告!$A$2:$A$22222&gt;=$L$2,IF(搜索词报告!$A$2:$A$22222&lt;=$L$4,搜索词报告!$M$2:$M$22222,0),0),0))</f>
        <v>0</v>
      </c>
      <c r="T82" s="2" t="str">
        <f t="shared" si="14"/>
        <v/>
      </c>
      <c r="U82" t="str">
        <f t="shared" si="15"/>
        <v>点击次数少于10次没有参考性</v>
      </c>
      <c r="V82" s="4" t="str">
        <f>IFERROR(INDEX(搜索词报告!$D$2:$D$22222,MATCH(关键词词频统计!L82,搜索词报告!$H$2:$H$22222,0)),"")</f>
        <v/>
      </c>
    </row>
    <row r="83" spans="2:22" x14ac:dyDescent="0.15">
      <c r="B83">
        <f t="array" ref="B83">SUM(IF(搜索词报告!$H$2:$H$22222=A83,IF(搜索词报告!$A$2:$A$22222&gt;=关键词词频统计!$A$2,IF(搜索词报告!$A$2:$A$22222&lt;=关键词词频统计!$A$4,搜索词报告!$I$2:$I$22222,0),0),0))</f>
        <v>0</v>
      </c>
      <c r="C83">
        <f t="array" ref="C83">SUM(IF(搜索词报告!$H$2:$H$22222=A83,IF(搜索词报告!$A$2:$A$22222&gt;=关键词词频统计!$A$2,IF(搜索词报告!$A$2:$A$22222&lt;=关键词词频统计!$A$4,搜索词报告!$J$2:$J$22222,0),0),0))</f>
        <v>0</v>
      </c>
      <c r="D83" s="2">
        <f t="shared" si="8"/>
        <v>0</v>
      </c>
      <c r="E83" s="2">
        <f t="shared" si="9"/>
        <v>0</v>
      </c>
      <c r="F83">
        <f t="array" ref="F83">SUM(IF(搜索词报告!$H$2:$H$22222=A83,IF(搜索词报告!$A$2:$A$22222&gt;=关键词词频统计!$A$2,IF(搜索词报告!$A$2:$A$22222&lt;=关键词词频统计!$A$4,搜索词报告!$Q$2:$Q$22222,0),0),0))</f>
        <v>0</v>
      </c>
      <c r="G83">
        <f t="array" ref="G83">SUM(IF(搜索词报告!$H$2:$H$22222=A83,IF(搜索词报告!$A$2:$A$22222&gt;=关键词词频统计!$A$2,IF(搜索词报告!$A$2:$A$22222&lt;=关键词词频统计!$A$4,搜索词报告!$N$2:$N$22222,0),0),0))</f>
        <v>0</v>
      </c>
      <c r="H83">
        <f t="array" ref="H83">SUM(IF(搜索词报告!$H$2:$H$22222=A83,IF(搜索词报告!$A$2:$A$22222&gt;=关键词词频统计!$A$2,IF(搜索词报告!$A$2:$A$22222&lt;=关键词词频统计!$A$4,搜索词报告!$M$2:$M$22222,0),0),0))</f>
        <v>0</v>
      </c>
      <c r="I83" s="2" t="str">
        <f t="shared" si="10"/>
        <v/>
      </c>
      <c r="J83" t="str">
        <f t="shared" si="11"/>
        <v>点击次数少于10次没有参考性</v>
      </c>
      <c r="K83" s="4" t="str">
        <f>IFERROR(INDEX(搜索词报告!$D$2:$D$22222,MATCH(关键词词频统计!A83,搜索词报告!$H$2:$H$22222,0)),"")</f>
        <v/>
      </c>
      <c r="M83">
        <f t="array" ref="M83">SUM(IF(搜索词报告!$H$2:$H$22222=L83,IF(搜索词报告!$A$2:$A$22222&gt;=$L$2,IF(搜索词报告!$A$2:$A$22222&lt;=$L$4,搜索词报告!$I$2:$I$22222,0),0),0))</f>
        <v>0</v>
      </c>
      <c r="N83">
        <f t="array" ref="N83">SUM(IF(搜索词报告!$H$2:$H$22222=L83,IF(搜索词报告!$A$2:$A$22222&gt;=$L$2,IF(搜索词报告!$A$2:$A$22222&lt;=$L$4,搜索词报告!$J$2:$J$22222,0),0),0))</f>
        <v>0</v>
      </c>
      <c r="O83" s="2">
        <f t="shared" si="12"/>
        <v>0</v>
      </c>
      <c r="P83" s="2">
        <f t="shared" si="13"/>
        <v>0</v>
      </c>
      <c r="Q83">
        <f t="array" ref="Q83">SUM(IF(搜索词报告!$H$2:$H$22222=L83,IF(搜索词报告!$A$2:$A$22222&gt;=$L$2,IF(搜索词报告!$A$2:$A$22222&lt;=$L$4,搜索词报告!$Q$2:$Q$22222,0),0),0))</f>
        <v>0</v>
      </c>
      <c r="R83">
        <f t="array" ref="R83">SUM(IF(搜索词报告!$H$2:$H$22222=L83,IF(搜索词报告!$A$2:$A$22222&gt;=$L$2,IF(搜索词报告!$A$2:$A$22222&lt;=$L$4,搜索词报告!$N$2:$N$22222,0),0),0))</f>
        <v>0</v>
      </c>
      <c r="S83">
        <f t="array" ref="S83">SUM(IF(搜索词报告!$H$2:$H$22222=L83,IF(搜索词报告!$A$2:$A$22222&gt;=$L$2,IF(搜索词报告!$A$2:$A$22222&lt;=$L$4,搜索词报告!$M$2:$M$22222,0),0),0))</f>
        <v>0</v>
      </c>
      <c r="T83" s="2" t="str">
        <f t="shared" si="14"/>
        <v/>
      </c>
      <c r="U83" t="str">
        <f t="shared" si="15"/>
        <v>点击次数少于10次没有参考性</v>
      </c>
      <c r="V83" s="4" t="str">
        <f>IFERROR(INDEX(搜索词报告!$D$2:$D$22222,MATCH(关键词词频统计!L83,搜索词报告!$H$2:$H$22222,0)),"")</f>
        <v/>
      </c>
    </row>
    <row r="84" spans="2:22" x14ac:dyDescent="0.15">
      <c r="B84">
        <f t="array" ref="B84">SUM(IF(搜索词报告!$H$2:$H$22222=A84,IF(搜索词报告!$A$2:$A$22222&gt;=关键词词频统计!$A$2,IF(搜索词报告!$A$2:$A$22222&lt;=关键词词频统计!$A$4,搜索词报告!$I$2:$I$22222,0),0),0))</f>
        <v>0</v>
      </c>
      <c r="C84">
        <f t="array" ref="C84">SUM(IF(搜索词报告!$H$2:$H$22222=A84,IF(搜索词报告!$A$2:$A$22222&gt;=关键词词频统计!$A$2,IF(搜索词报告!$A$2:$A$22222&lt;=关键词词频统计!$A$4,搜索词报告!$J$2:$J$22222,0),0),0))</f>
        <v>0</v>
      </c>
      <c r="D84" s="2">
        <f t="shared" si="8"/>
        <v>0</v>
      </c>
      <c r="E84" s="2">
        <f t="shared" si="9"/>
        <v>0</v>
      </c>
      <c r="F84">
        <f t="array" ref="F84">SUM(IF(搜索词报告!$H$2:$H$22222=A84,IF(搜索词报告!$A$2:$A$22222&gt;=关键词词频统计!$A$2,IF(搜索词报告!$A$2:$A$22222&lt;=关键词词频统计!$A$4,搜索词报告!$Q$2:$Q$22222,0),0),0))</f>
        <v>0</v>
      </c>
      <c r="G84">
        <f t="array" ref="G84">SUM(IF(搜索词报告!$H$2:$H$22222=A84,IF(搜索词报告!$A$2:$A$22222&gt;=关键词词频统计!$A$2,IF(搜索词报告!$A$2:$A$22222&lt;=关键词词频统计!$A$4,搜索词报告!$N$2:$N$22222,0),0),0))</f>
        <v>0</v>
      </c>
      <c r="H84">
        <f t="array" ref="H84">SUM(IF(搜索词报告!$H$2:$H$22222=A84,IF(搜索词报告!$A$2:$A$22222&gt;=关键词词频统计!$A$2,IF(搜索词报告!$A$2:$A$22222&lt;=关键词词频统计!$A$4,搜索词报告!$M$2:$M$22222,0),0),0))</f>
        <v>0</v>
      </c>
      <c r="I84" s="2" t="str">
        <f t="shared" si="10"/>
        <v/>
      </c>
      <c r="J84" t="str">
        <f t="shared" si="11"/>
        <v>点击次数少于10次没有参考性</v>
      </c>
      <c r="K84" s="4" t="str">
        <f>IFERROR(INDEX(搜索词报告!$D$2:$D$22222,MATCH(关键词词频统计!A84,搜索词报告!$H$2:$H$22222,0)),"")</f>
        <v/>
      </c>
      <c r="M84">
        <f t="array" ref="M84">SUM(IF(搜索词报告!$H$2:$H$22222=L84,IF(搜索词报告!$A$2:$A$22222&gt;=$L$2,IF(搜索词报告!$A$2:$A$22222&lt;=$L$4,搜索词报告!$I$2:$I$22222,0),0),0))</f>
        <v>0</v>
      </c>
      <c r="N84">
        <f t="array" ref="N84">SUM(IF(搜索词报告!$H$2:$H$22222=L84,IF(搜索词报告!$A$2:$A$22222&gt;=$L$2,IF(搜索词报告!$A$2:$A$22222&lt;=$L$4,搜索词报告!$J$2:$J$22222,0),0),0))</f>
        <v>0</v>
      </c>
      <c r="O84" s="2">
        <f t="shared" si="12"/>
        <v>0</v>
      </c>
      <c r="P84" s="2">
        <f t="shared" si="13"/>
        <v>0</v>
      </c>
      <c r="Q84">
        <f t="array" ref="Q84">SUM(IF(搜索词报告!$H$2:$H$22222=L84,IF(搜索词报告!$A$2:$A$22222&gt;=$L$2,IF(搜索词报告!$A$2:$A$22222&lt;=$L$4,搜索词报告!$Q$2:$Q$22222,0),0),0))</f>
        <v>0</v>
      </c>
      <c r="R84">
        <f t="array" ref="R84">SUM(IF(搜索词报告!$H$2:$H$22222=L84,IF(搜索词报告!$A$2:$A$22222&gt;=$L$2,IF(搜索词报告!$A$2:$A$22222&lt;=$L$4,搜索词报告!$N$2:$N$22222,0),0),0))</f>
        <v>0</v>
      </c>
      <c r="S84">
        <f t="array" ref="S84">SUM(IF(搜索词报告!$H$2:$H$22222=L84,IF(搜索词报告!$A$2:$A$22222&gt;=$L$2,IF(搜索词报告!$A$2:$A$22222&lt;=$L$4,搜索词报告!$M$2:$M$22222,0),0),0))</f>
        <v>0</v>
      </c>
      <c r="T84" s="2" t="str">
        <f t="shared" si="14"/>
        <v/>
      </c>
      <c r="U84" t="str">
        <f t="shared" si="15"/>
        <v>点击次数少于10次没有参考性</v>
      </c>
      <c r="V84" s="4" t="str">
        <f>IFERROR(INDEX(搜索词报告!$D$2:$D$22222,MATCH(关键词词频统计!L84,搜索词报告!$H$2:$H$22222,0)),"")</f>
        <v/>
      </c>
    </row>
    <row r="85" spans="2:22" x14ac:dyDescent="0.15">
      <c r="B85">
        <f t="array" ref="B85">SUM(IF(搜索词报告!$H$2:$H$22222=A85,IF(搜索词报告!$A$2:$A$22222&gt;=关键词词频统计!$A$2,IF(搜索词报告!$A$2:$A$22222&lt;=关键词词频统计!$A$4,搜索词报告!$I$2:$I$22222,0),0),0))</f>
        <v>0</v>
      </c>
      <c r="C85">
        <f t="array" ref="C85">SUM(IF(搜索词报告!$H$2:$H$22222=A85,IF(搜索词报告!$A$2:$A$22222&gt;=关键词词频统计!$A$2,IF(搜索词报告!$A$2:$A$22222&lt;=关键词词频统计!$A$4,搜索词报告!$J$2:$J$22222,0),0),0))</f>
        <v>0</v>
      </c>
      <c r="D85" s="2">
        <f t="shared" si="8"/>
        <v>0</v>
      </c>
      <c r="E85" s="2">
        <f t="shared" si="9"/>
        <v>0</v>
      </c>
      <c r="F85">
        <f t="array" ref="F85">SUM(IF(搜索词报告!$H$2:$H$22222=A85,IF(搜索词报告!$A$2:$A$22222&gt;=关键词词频统计!$A$2,IF(搜索词报告!$A$2:$A$22222&lt;=关键词词频统计!$A$4,搜索词报告!$Q$2:$Q$22222,0),0),0))</f>
        <v>0</v>
      </c>
      <c r="G85">
        <f t="array" ref="G85">SUM(IF(搜索词报告!$H$2:$H$22222=A85,IF(搜索词报告!$A$2:$A$22222&gt;=关键词词频统计!$A$2,IF(搜索词报告!$A$2:$A$22222&lt;=关键词词频统计!$A$4,搜索词报告!$N$2:$N$22222,0),0),0))</f>
        <v>0</v>
      </c>
      <c r="H85">
        <f t="array" ref="H85">SUM(IF(搜索词报告!$H$2:$H$22222=A85,IF(搜索词报告!$A$2:$A$22222&gt;=关键词词频统计!$A$2,IF(搜索词报告!$A$2:$A$22222&lt;=关键词词频统计!$A$4,搜索词报告!$M$2:$M$22222,0),0),0))</f>
        <v>0</v>
      </c>
      <c r="I85" s="2" t="str">
        <f t="shared" si="10"/>
        <v/>
      </c>
      <c r="J85" t="str">
        <f t="shared" si="11"/>
        <v>点击次数少于10次没有参考性</v>
      </c>
      <c r="K85" s="4" t="str">
        <f>IFERROR(INDEX(搜索词报告!$D$2:$D$22222,MATCH(关键词词频统计!A85,搜索词报告!$H$2:$H$22222,0)),"")</f>
        <v/>
      </c>
      <c r="M85">
        <f t="array" ref="M85">SUM(IF(搜索词报告!$H$2:$H$22222=L85,IF(搜索词报告!$A$2:$A$22222&gt;=$L$2,IF(搜索词报告!$A$2:$A$22222&lt;=$L$4,搜索词报告!$I$2:$I$22222,0),0),0))</f>
        <v>0</v>
      </c>
      <c r="N85">
        <f t="array" ref="N85">SUM(IF(搜索词报告!$H$2:$H$22222=L85,IF(搜索词报告!$A$2:$A$22222&gt;=$L$2,IF(搜索词报告!$A$2:$A$22222&lt;=$L$4,搜索词报告!$J$2:$J$22222,0),0),0))</f>
        <v>0</v>
      </c>
      <c r="O85" s="2">
        <f t="shared" si="12"/>
        <v>0</v>
      </c>
      <c r="P85" s="2">
        <f t="shared" si="13"/>
        <v>0</v>
      </c>
      <c r="Q85">
        <f t="array" ref="Q85">SUM(IF(搜索词报告!$H$2:$H$22222=L85,IF(搜索词报告!$A$2:$A$22222&gt;=$L$2,IF(搜索词报告!$A$2:$A$22222&lt;=$L$4,搜索词报告!$Q$2:$Q$22222,0),0),0))</f>
        <v>0</v>
      </c>
      <c r="R85">
        <f t="array" ref="R85">SUM(IF(搜索词报告!$H$2:$H$22222=L85,IF(搜索词报告!$A$2:$A$22222&gt;=$L$2,IF(搜索词报告!$A$2:$A$22222&lt;=$L$4,搜索词报告!$N$2:$N$22222,0),0),0))</f>
        <v>0</v>
      </c>
      <c r="S85">
        <f t="array" ref="S85">SUM(IF(搜索词报告!$H$2:$H$22222=L85,IF(搜索词报告!$A$2:$A$22222&gt;=$L$2,IF(搜索词报告!$A$2:$A$22222&lt;=$L$4,搜索词报告!$M$2:$M$22222,0),0),0))</f>
        <v>0</v>
      </c>
      <c r="T85" s="2" t="str">
        <f t="shared" si="14"/>
        <v/>
      </c>
      <c r="U85" t="str">
        <f t="shared" si="15"/>
        <v>点击次数少于10次没有参考性</v>
      </c>
      <c r="V85" s="4" t="str">
        <f>IFERROR(INDEX(搜索词报告!$D$2:$D$22222,MATCH(关键词词频统计!L85,搜索词报告!$H$2:$H$22222,0)),"")</f>
        <v/>
      </c>
    </row>
    <row r="86" spans="2:22" x14ac:dyDescent="0.15">
      <c r="B86">
        <f t="array" ref="B86">SUM(IF(搜索词报告!$H$2:$H$22222=A86,IF(搜索词报告!$A$2:$A$22222&gt;=关键词词频统计!$A$2,IF(搜索词报告!$A$2:$A$22222&lt;=关键词词频统计!$A$4,搜索词报告!$I$2:$I$22222,0),0),0))</f>
        <v>0</v>
      </c>
      <c r="C86">
        <f t="array" ref="C86">SUM(IF(搜索词报告!$H$2:$H$22222=A86,IF(搜索词报告!$A$2:$A$22222&gt;=关键词词频统计!$A$2,IF(搜索词报告!$A$2:$A$22222&lt;=关键词词频统计!$A$4,搜索词报告!$J$2:$J$22222,0),0),0))</f>
        <v>0</v>
      </c>
      <c r="D86" s="2">
        <f t="shared" si="8"/>
        <v>0</v>
      </c>
      <c r="E86" s="2">
        <f t="shared" si="9"/>
        <v>0</v>
      </c>
      <c r="F86">
        <f t="array" ref="F86">SUM(IF(搜索词报告!$H$2:$H$22222=A86,IF(搜索词报告!$A$2:$A$22222&gt;=关键词词频统计!$A$2,IF(搜索词报告!$A$2:$A$22222&lt;=关键词词频统计!$A$4,搜索词报告!$Q$2:$Q$22222,0),0),0))</f>
        <v>0</v>
      </c>
      <c r="G86">
        <f t="array" ref="G86">SUM(IF(搜索词报告!$H$2:$H$22222=A86,IF(搜索词报告!$A$2:$A$22222&gt;=关键词词频统计!$A$2,IF(搜索词报告!$A$2:$A$22222&lt;=关键词词频统计!$A$4,搜索词报告!$N$2:$N$22222,0),0),0))</f>
        <v>0</v>
      </c>
      <c r="H86">
        <f t="array" ref="H86">SUM(IF(搜索词报告!$H$2:$H$22222=A86,IF(搜索词报告!$A$2:$A$22222&gt;=关键词词频统计!$A$2,IF(搜索词报告!$A$2:$A$22222&lt;=关键词词频统计!$A$4,搜索词报告!$M$2:$M$22222,0),0),0))</f>
        <v>0</v>
      </c>
      <c r="I86" s="2" t="str">
        <f t="shared" si="10"/>
        <v/>
      </c>
      <c r="J86" t="str">
        <f t="shared" si="11"/>
        <v>点击次数少于10次没有参考性</v>
      </c>
      <c r="K86" s="4" t="str">
        <f>IFERROR(INDEX(搜索词报告!$D$2:$D$22222,MATCH(关键词词频统计!A86,搜索词报告!$H$2:$H$22222,0)),"")</f>
        <v/>
      </c>
      <c r="M86">
        <f t="array" ref="M86">SUM(IF(搜索词报告!$H$2:$H$22222=L86,IF(搜索词报告!$A$2:$A$22222&gt;=$L$2,IF(搜索词报告!$A$2:$A$22222&lt;=$L$4,搜索词报告!$I$2:$I$22222,0),0),0))</f>
        <v>0</v>
      </c>
      <c r="N86">
        <f t="array" ref="N86">SUM(IF(搜索词报告!$H$2:$H$22222=L86,IF(搜索词报告!$A$2:$A$22222&gt;=$L$2,IF(搜索词报告!$A$2:$A$22222&lt;=$L$4,搜索词报告!$J$2:$J$22222,0),0),0))</f>
        <v>0</v>
      </c>
      <c r="O86" s="2">
        <f t="shared" si="12"/>
        <v>0</v>
      </c>
      <c r="P86" s="2">
        <f t="shared" si="13"/>
        <v>0</v>
      </c>
      <c r="Q86">
        <f t="array" ref="Q86">SUM(IF(搜索词报告!$H$2:$H$22222=L86,IF(搜索词报告!$A$2:$A$22222&gt;=$L$2,IF(搜索词报告!$A$2:$A$22222&lt;=$L$4,搜索词报告!$Q$2:$Q$22222,0),0),0))</f>
        <v>0</v>
      </c>
      <c r="R86">
        <f t="array" ref="R86">SUM(IF(搜索词报告!$H$2:$H$22222=L86,IF(搜索词报告!$A$2:$A$22222&gt;=$L$2,IF(搜索词报告!$A$2:$A$22222&lt;=$L$4,搜索词报告!$N$2:$N$22222,0),0),0))</f>
        <v>0</v>
      </c>
      <c r="S86">
        <f t="array" ref="S86">SUM(IF(搜索词报告!$H$2:$H$22222=L86,IF(搜索词报告!$A$2:$A$22222&gt;=$L$2,IF(搜索词报告!$A$2:$A$22222&lt;=$L$4,搜索词报告!$M$2:$M$22222,0),0),0))</f>
        <v>0</v>
      </c>
      <c r="T86" s="2" t="str">
        <f t="shared" si="14"/>
        <v/>
      </c>
      <c r="U86" t="str">
        <f t="shared" si="15"/>
        <v>点击次数少于10次没有参考性</v>
      </c>
      <c r="V86" s="4" t="str">
        <f>IFERROR(INDEX(搜索词报告!$D$2:$D$22222,MATCH(关键词词频统计!L86,搜索词报告!$H$2:$H$22222,0)),"")</f>
        <v/>
      </c>
    </row>
    <row r="87" spans="2:22" x14ac:dyDescent="0.15">
      <c r="B87">
        <f t="array" ref="B87">SUM(IF(搜索词报告!$H$2:$H$22222=A87,IF(搜索词报告!$A$2:$A$22222&gt;=关键词词频统计!$A$2,IF(搜索词报告!$A$2:$A$22222&lt;=关键词词频统计!$A$4,搜索词报告!$I$2:$I$22222,0),0),0))</f>
        <v>0</v>
      </c>
      <c r="C87">
        <f t="array" ref="C87">SUM(IF(搜索词报告!$H$2:$H$22222=A87,IF(搜索词报告!$A$2:$A$22222&gt;=关键词词频统计!$A$2,IF(搜索词报告!$A$2:$A$22222&lt;=关键词词频统计!$A$4,搜索词报告!$J$2:$J$22222,0),0),0))</f>
        <v>0</v>
      </c>
      <c r="D87" s="2">
        <f t="shared" si="8"/>
        <v>0</v>
      </c>
      <c r="E87" s="2">
        <f t="shared" si="9"/>
        <v>0</v>
      </c>
      <c r="F87">
        <f t="array" ref="F87">SUM(IF(搜索词报告!$H$2:$H$22222=A87,IF(搜索词报告!$A$2:$A$22222&gt;=关键词词频统计!$A$2,IF(搜索词报告!$A$2:$A$22222&lt;=关键词词频统计!$A$4,搜索词报告!$Q$2:$Q$22222,0),0),0))</f>
        <v>0</v>
      </c>
      <c r="G87">
        <f t="array" ref="G87">SUM(IF(搜索词报告!$H$2:$H$22222=A87,IF(搜索词报告!$A$2:$A$22222&gt;=关键词词频统计!$A$2,IF(搜索词报告!$A$2:$A$22222&lt;=关键词词频统计!$A$4,搜索词报告!$N$2:$N$22222,0),0),0))</f>
        <v>0</v>
      </c>
      <c r="H87">
        <f t="array" ref="H87">SUM(IF(搜索词报告!$H$2:$H$22222=A87,IF(搜索词报告!$A$2:$A$22222&gt;=关键词词频统计!$A$2,IF(搜索词报告!$A$2:$A$22222&lt;=关键词词频统计!$A$4,搜索词报告!$M$2:$M$22222,0),0),0))</f>
        <v>0</v>
      </c>
      <c r="I87" s="2" t="str">
        <f t="shared" si="10"/>
        <v/>
      </c>
      <c r="J87" t="str">
        <f t="shared" si="11"/>
        <v>点击次数少于10次没有参考性</v>
      </c>
      <c r="K87" s="4" t="str">
        <f>IFERROR(INDEX(搜索词报告!$D$2:$D$22222,MATCH(关键词词频统计!A87,搜索词报告!$H$2:$H$22222,0)),"")</f>
        <v/>
      </c>
      <c r="M87">
        <f t="array" ref="M87">SUM(IF(搜索词报告!$H$2:$H$22222=L87,IF(搜索词报告!$A$2:$A$22222&gt;=$L$2,IF(搜索词报告!$A$2:$A$22222&lt;=$L$4,搜索词报告!$I$2:$I$22222,0),0),0))</f>
        <v>0</v>
      </c>
      <c r="N87">
        <f t="array" ref="N87">SUM(IF(搜索词报告!$H$2:$H$22222=L87,IF(搜索词报告!$A$2:$A$22222&gt;=$L$2,IF(搜索词报告!$A$2:$A$22222&lt;=$L$4,搜索词报告!$J$2:$J$22222,0),0),0))</f>
        <v>0</v>
      </c>
      <c r="O87" s="2">
        <f t="shared" si="12"/>
        <v>0</v>
      </c>
      <c r="P87" s="2">
        <f t="shared" si="13"/>
        <v>0</v>
      </c>
      <c r="Q87">
        <f t="array" ref="Q87">SUM(IF(搜索词报告!$H$2:$H$22222=L87,IF(搜索词报告!$A$2:$A$22222&gt;=$L$2,IF(搜索词报告!$A$2:$A$22222&lt;=$L$4,搜索词报告!$Q$2:$Q$22222,0),0),0))</f>
        <v>0</v>
      </c>
      <c r="R87">
        <f t="array" ref="R87">SUM(IF(搜索词报告!$H$2:$H$22222=L87,IF(搜索词报告!$A$2:$A$22222&gt;=$L$2,IF(搜索词报告!$A$2:$A$22222&lt;=$L$4,搜索词报告!$N$2:$N$22222,0),0),0))</f>
        <v>0</v>
      </c>
      <c r="S87">
        <f t="array" ref="S87">SUM(IF(搜索词报告!$H$2:$H$22222=L87,IF(搜索词报告!$A$2:$A$22222&gt;=$L$2,IF(搜索词报告!$A$2:$A$22222&lt;=$L$4,搜索词报告!$M$2:$M$22222,0),0),0))</f>
        <v>0</v>
      </c>
      <c r="T87" s="2" t="str">
        <f t="shared" si="14"/>
        <v/>
      </c>
      <c r="U87" t="str">
        <f t="shared" si="15"/>
        <v>点击次数少于10次没有参考性</v>
      </c>
      <c r="V87" s="4" t="str">
        <f>IFERROR(INDEX(搜索词报告!$D$2:$D$22222,MATCH(关键词词频统计!L87,搜索词报告!$H$2:$H$22222,0)),"")</f>
        <v/>
      </c>
    </row>
    <row r="88" spans="2:22" x14ac:dyDescent="0.15">
      <c r="B88">
        <f t="array" ref="B88">SUM(IF(搜索词报告!$H$2:$H$22222=A88,IF(搜索词报告!$A$2:$A$22222&gt;=关键词词频统计!$A$2,IF(搜索词报告!$A$2:$A$22222&lt;=关键词词频统计!$A$4,搜索词报告!$I$2:$I$22222,0),0),0))</f>
        <v>0</v>
      </c>
      <c r="C88">
        <f t="array" ref="C88">SUM(IF(搜索词报告!$H$2:$H$22222=A88,IF(搜索词报告!$A$2:$A$22222&gt;=关键词词频统计!$A$2,IF(搜索词报告!$A$2:$A$22222&lt;=关键词词频统计!$A$4,搜索词报告!$J$2:$J$22222,0),0),0))</f>
        <v>0</v>
      </c>
      <c r="D88" s="2">
        <f t="shared" si="8"/>
        <v>0</v>
      </c>
      <c r="E88" s="2">
        <f t="shared" si="9"/>
        <v>0</v>
      </c>
      <c r="F88">
        <f t="array" ref="F88">SUM(IF(搜索词报告!$H$2:$H$22222=A88,IF(搜索词报告!$A$2:$A$22222&gt;=关键词词频统计!$A$2,IF(搜索词报告!$A$2:$A$22222&lt;=关键词词频统计!$A$4,搜索词报告!$Q$2:$Q$22222,0),0),0))</f>
        <v>0</v>
      </c>
      <c r="G88">
        <f t="array" ref="G88">SUM(IF(搜索词报告!$H$2:$H$22222=A88,IF(搜索词报告!$A$2:$A$22222&gt;=关键词词频统计!$A$2,IF(搜索词报告!$A$2:$A$22222&lt;=关键词词频统计!$A$4,搜索词报告!$N$2:$N$22222,0),0),0))</f>
        <v>0</v>
      </c>
      <c r="H88">
        <f t="array" ref="H88">SUM(IF(搜索词报告!$H$2:$H$22222=A88,IF(搜索词报告!$A$2:$A$22222&gt;=关键词词频统计!$A$2,IF(搜索词报告!$A$2:$A$22222&lt;=关键词词频统计!$A$4,搜索词报告!$M$2:$M$22222,0),0),0))</f>
        <v>0</v>
      </c>
      <c r="I88" s="2" t="str">
        <f t="shared" si="10"/>
        <v/>
      </c>
      <c r="J88" t="str">
        <f t="shared" si="11"/>
        <v>点击次数少于10次没有参考性</v>
      </c>
      <c r="K88" s="4" t="str">
        <f>IFERROR(INDEX(搜索词报告!$D$2:$D$22222,MATCH(关键词词频统计!A88,搜索词报告!$H$2:$H$22222,0)),"")</f>
        <v/>
      </c>
      <c r="M88">
        <f t="array" ref="M88">SUM(IF(搜索词报告!$H$2:$H$22222=L88,IF(搜索词报告!$A$2:$A$22222&gt;=$L$2,IF(搜索词报告!$A$2:$A$22222&lt;=$L$4,搜索词报告!$I$2:$I$22222,0),0),0))</f>
        <v>0</v>
      </c>
      <c r="N88">
        <f t="array" ref="N88">SUM(IF(搜索词报告!$H$2:$H$22222=L88,IF(搜索词报告!$A$2:$A$22222&gt;=$L$2,IF(搜索词报告!$A$2:$A$22222&lt;=$L$4,搜索词报告!$J$2:$J$22222,0),0),0))</f>
        <v>0</v>
      </c>
      <c r="O88" s="2">
        <f t="shared" si="12"/>
        <v>0</v>
      </c>
      <c r="P88" s="2">
        <f t="shared" si="13"/>
        <v>0</v>
      </c>
      <c r="Q88">
        <f t="array" ref="Q88">SUM(IF(搜索词报告!$H$2:$H$22222=L88,IF(搜索词报告!$A$2:$A$22222&gt;=$L$2,IF(搜索词报告!$A$2:$A$22222&lt;=$L$4,搜索词报告!$Q$2:$Q$22222,0),0),0))</f>
        <v>0</v>
      </c>
      <c r="R88">
        <f t="array" ref="R88">SUM(IF(搜索词报告!$H$2:$H$22222=L88,IF(搜索词报告!$A$2:$A$22222&gt;=$L$2,IF(搜索词报告!$A$2:$A$22222&lt;=$L$4,搜索词报告!$N$2:$N$22222,0),0),0))</f>
        <v>0</v>
      </c>
      <c r="S88">
        <f t="array" ref="S88">SUM(IF(搜索词报告!$H$2:$H$22222=L88,IF(搜索词报告!$A$2:$A$22222&gt;=$L$2,IF(搜索词报告!$A$2:$A$22222&lt;=$L$4,搜索词报告!$M$2:$M$22222,0),0),0))</f>
        <v>0</v>
      </c>
      <c r="T88" s="2" t="str">
        <f t="shared" si="14"/>
        <v/>
      </c>
      <c r="U88" t="str">
        <f t="shared" si="15"/>
        <v>点击次数少于10次没有参考性</v>
      </c>
      <c r="V88" s="4" t="str">
        <f>IFERROR(INDEX(搜索词报告!$D$2:$D$22222,MATCH(关键词词频统计!L88,搜索词报告!$H$2:$H$22222,0)),"")</f>
        <v/>
      </c>
    </row>
    <row r="89" spans="2:22" x14ac:dyDescent="0.15">
      <c r="B89">
        <f t="array" ref="B89">SUM(IF(搜索词报告!$H$2:$H$22222=A89,IF(搜索词报告!$A$2:$A$22222&gt;=关键词词频统计!$A$2,IF(搜索词报告!$A$2:$A$22222&lt;=关键词词频统计!$A$4,搜索词报告!$I$2:$I$22222,0),0),0))</f>
        <v>0</v>
      </c>
      <c r="C89">
        <f t="array" ref="C89">SUM(IF(搜索词报告!$H$2:$H$22222=A89,IF(搜索词报告!$A$2:$A$22222&gt;=关键词词频统计!$A$2,IF(搜索词报告!$A$2:$A$22222&lt;=关键词词频统计!$A$4,搜索词报告!$J$2:$J$22222,0),0),0))</f>
        <v>0</v>
      </c>
      <c r="D89" s="2">
        <f t="shared" si="8"/>
        <v>0</v>
      </c>
      <c r="E89" s="2">
        <f t="shared" si="9"/>
        <v>0</v>
      </c>
      <c r="F89">
        <f t="array" ref="F89">SUM(IF(搜索词报告!$H$2:$H$22222=A89,IF(搜索词报告!$A$2:$A$22222&gt;=关键词词频统计!$A$2,IF(搜索词报告!$A$2:$A$22222&lt;=关键词词频统计!$A$4,搜索词报告!$Q$2:$Q$22222,0),0),0))</f>
        <v>0</v>
      </c>
      <c r="G89">
        <f t="array" ref="G89">SUM(IF(搜索词报告!$H$2:$H$22222=A89,IF(搜索词报告!$A$2:$A$22222&gt;=关键词词频统计!$A$2,IF(搜索词报告!$A$2:$A$22222&lt;=关键词词频统计!$A$4,搜索词报告!$N$2:$N$22222,0),0),0))</f>
        <v>0</v>
      </c>
      <c r="H89">
        <f t="array" ref="H89">SUM(IF(搜索词报告!$H$2:$H$22222=A89,IF(搜索词报告!$A$2:$A$22222&gt;=关键词词频统计!$A$2,IF(搜索词报告!$A$2:$A$22222&lt;=关键词词频统计!$A$4,搜索词报告!$M$2:$M$22222,0),0),0))</f>
        <v>0</v>
      </c>
      <c r="I89" s="2" t="str">
        <f t="shared" si="10"/>
        <v/>
      </c>
      <c r="J89" t="str">
        <f t="shared" si="11"/>
        <v>点击次数少于10次没有参考性</v>
      </c>
      <c r="K89" s="4" t="str">
        <f>IFERROR(INDEX(搜索词报告!$D$2:$D$22222,MATCH(关键词词频统计!A89,搜索词报告!$H$2:$H$22222,0)),"")</f>
        <v/>
      </c>
      <c r="M89">
        <f t="array" ref="M89">SUM(IF(搜索词报告!$H$2:$H$22222=L89,IF(搜索词报告!$A$2:$A$22222&gt;=$L$2,IF(搜索词报告!$A$2:$A$22222&lt;=$L$4,搜索词报告!$I$2:$I$22222,0),0),0))</f>
        <v>0</v>
      </c>
      <c r="N89">
        <f t="array" ref="N89">SUM(IF(搜索词报告!$H$2:$H$22222=L89,IF(搜索词报告!$A$2:$A$22222&gt;=$L$2,IF(搜索词报告!$A$2:$A$22222&lt;=$L$4,搜索词报告!$J$2:$J$22222,0),0),0))</f>
        <v>0</v>
      </c>
      <c r="O89" s="2">
        <f t="shared" si="12"/>
        <v>0</v>
      </c>
      <c r="P89" s="2">
        <f t="shared" si="13"/>
        <v>0</v>
      </c>
      <c r="Q89">
        <f t="array" ref="Q89">SUM(IF(搜索词报告!$H$2:$H$22222=L89,IF(搜索词报告!$A$2:$A$22222&gt;=$L$2,IF(搜索词报告!$A$2:$A$22222&lt;=$L$4,搜索词报告!$Q$2:$Q$22222,0),0),0))</f>
        <v>0</v>
      </c>
      <c r="R89">
        <f t="array" ref="R89">SUM(IF(搜索词报告!$H$2:$H$22222=L89,IF(搜索词报告!$A$2:$A$22222&gt;=$L$2,IF(搜索词报告!$A$2:$A$22222&lt;=$L$4,搜索词报告!$N$2:$N$22222,0),0),0))</f>
        <v>0</v>
      </c>
      <c r="S89">
        <f t="array" ref="S89">SUM(IF(搜索词报告!$H$2:$H$22222=L89,IF(搜索词报告!$A$2:$A$22222&gt;=$L$2,IF(搜索词报告!$A$2:$A$22222&lt;=$L$4,搜索词报告!$M$2:$M$22222,0),0),0))</f>
        <v>0</v>
      </c>
      <c r="T89" s="2" t="str">
        <f t="shared" si="14"/>
        <v/>
      </c>
      <c r="U89" t="str">
        <f t="shared" si="15"/>
        <v>点击次数少于10次没有参考性</v>
      </c>
      <c r="V89" s="4" t="str">
        <f>IFERROR(INDEX(搜索词报告!$D$2:$D$22222,MATCH(关键词词频统计!L89,搜索词报告!$H$2:$H$22222,0)),"")</f>
        <v/>
      </c>
    </row>
    <row r="90" spans="2:22" x14ac:dyDescent="0.15">
      <c r="B90">
        <f t="array" ref="B90">SUM(IF(搜索词报告!$H$2:$H$22222=A90,IF(搜索词报告!$A$2:$A$22222&gt;=关键词词频统计!$A$2,IF(搜索词报告!$A$2:$A$22222&lt;=关键词词频统计!$A$4,搜索词报告!$I$2:$I$22222,0),0),0))</f>
        <v>0</v>
      </c>
      <c r="C90">
        <f t="array" ref="C90">SUM(IF(搜索词报告!$H$2:$H$22222=A90,IF(搜索词报告!$A$2:$A$22222&gt;=关键词词频统计!$A$2,IF(搜索词报告!$A$2:$A$22222&lt;=关键词词频统计!$A$4,搜索词报告!$J$2:$J$22222,0),0),0))</f>
        <v>0</v>
      </c>
      <c r="D90" s="2">
        <f t="shared" si="8"/>
        <v>0</v>
      </c>
      <c r="E90" s="2">
        <f t="shared" si="9"/>
        <v>0</v>
      </c>
      <c r="F90">
        <f t="array" ref="F90">SUM(IF(搜索词报告!$H$2:$H$22222=A90,IF(搜索词报告!$A$2:$A$22222&gt;=关键词词频统计!$A$2,IF(搜索词报告!$A$2:$A$22222&lt;=关键词词频统计!$A$4,搜索词报告!$Q$2:$Q$22222,0),0),0))</f>
        <v>0</v>
      </c>
      <c r="G90">
        <f t="array" ref="G90">SUM(IF(搜索词报告!$H$2:$H$22222=A90,IF(搜索词报告!$A$2:$A$22222&gt;=关键词词频统计!$A$2,IF(搜索词报告!$A$2:$A$22222&lt;=关键词词频统计!$A$4,搜索词报告!$N$2:$N$22222,0),0),0))</f>
        <v>0</v>
      </c>
      <c r="H90">
        <f t="array" ref="H90">SUM(IF(搜索词报告!$H$2:$H$22222=A90,IF(搜索词报告!$A$2:$A$22222&gt;=关键词词频统计!$A$2,IF(搜索词报告!$A$2:$A$22222&lt;=关键词词频统计!$A$4,搜索词报告!$M$2:$M$22222,0),0),0))</f>
        <v>0</v>
      </c>
      <c r="I90" s="2" t="str">
        <f t="shared" si="10"/>
        <v/>
      </c>
      <c r="J90" t="str">
        <f t="shared" si="11"/>
        <v>点击次数少于10次没有参考性</v>
      </c>
      <c r="K90" s="4" t="str">
        <f>IFERROR(INDEX(搜索词报告!$D$2:$D$22222,MATCH(关键词词频统计!A90,搜索词报告!$H$2:$H$22222,0)),"")</f>
        <v/>
      </c>
      <c r="M90">
        <f t="array" ref="M90">SUM(IF(搜索词报告!$H$2:$H$22222=L90,IF(搜索词报告!$A$2:$A$22222&gt;=$L$2,IF(搜索词报告!$A$2:$A$22222&lt;=$L$4,搜索词报告!$I$2:$I$22222,0),0),0))</f>
        <v>0</v>
      </c>
      <c r="N90">
        <f t="array" ref="N90">SUM(IF(搜索词报告!$H$2:$H$22222=L90,IF(搜索词报告!$A$2:$A$22222&gt;=$L$2,IF(搜索词报告!$A$2:$A$22222&lt;=$L$4,搜索词报告!$J$2:$J$22222,0),0),0))</f>
        <v>0</v>
      </c>
      <c r="O90" s="2">
        <f t="shared" si="12"/>
        <v>0</v>
      </c>
      <c r="P90" s="2">
        <f t="shared" si="13"/>
        <v>0</v>
      </c>
      <c r="Q90">
        <f t="array" ref="Q90">SUM(IF(搜索词报告!$H$2:$H$22222=L90,IF(搜索词报告!$A$2:$A$22222&gt;=$L$2,IF(搜索词报告!$A$2:$A$22222&lt;=$L$4,搜索词报告!$Q$2:$Q$22222,0),0),0))</f>
        <v>0</v>
      </c>
      <c r="R90">
        <f t="array" ref="R90">SUM(IF(搜索词报告!$H$2:$H$22222=L90,IF(搜索词报告!$A$2:$A$22222&gt;=$L$2,IF(搜索词报告!$A$2:$A$22222&lt;=$L$4,搜索词报告!$N$2:$N$22222,0),0),0))</f>
        <v>0</v>
      </c>
      <c r="S90">
        <f t="array" ref="S90">SUM(IF(搜索词报告!$H$2:$H$22222=L90,IF(搜索词报告!$A$2:$A$22222&gt;=$L$2,IF(搜索词报告!$A$2:$A$22222&lt;=$L$4,搜索词报告!$M$2:$M$22222,0),0),0))</f>
        <v>0</v>
      </c>
      <c r="T90" s="2" t="str">
        <f t="shared" si="14"/>
        <v/>
      </c>
      <c r="U90" t="str">
        <f t="shared" si="15"/>
        <v>点击次数少于10次没有参考性</v>
      </c>
      <c r="V90" s="4" t="str">
        <f>IFERROR(INDEX(搜索词报告!$D$2:$D$22222,MATCH(关键词词频统计!L90,搜索词报告!$H$2:$H$22222,0)),"")</f>
        <v/>
      </c>
    </row>
    <row r="91" spans="2:22" x14ac:dyDescent="0.15">
      <c r="B91">
        <f t="array" ref="B91">SUM(IF(搜索词报告!$H$2:$H$22222=A91,IF(搜索词报告!$A$2:$A$22222&gt;=关键词词频统计!$A$2,IF(搜索词报告!$A$2:$A$22222&lt;=关键词词频统计!$A$4,搜索词报告!$I$2:$I$22222,0),0),0))</f>
        <v>0</v>
      </c>
      <c r="C91">
        <f t="array" ref="C91">SUM(IF(搜索词报告!$H$2:$H$22222=A91,IF(搜索词报告!$A$2:$A$22222&gt;=关键词词频统计!$A$2,IF(搜索词报告!$A$2:$A$22222&lt;=关键词词频统计!$A$4,搜索词报告!$J$2:$J$22222,0),0),0))</f>
        <v>0</v>
      </c>
      <c r="D91" s="2">
        <f t="shared" si="8"/>
        <v>0</v>
      </c>
      <c r="E91" s="2">
        <f t="shared" si="9"/>
        <v>0</v>
      </c>
      <c r="F91">
        <f t="array" ref="F91">SUM(IF(搜索词报告!$H$2:$H$22222=A91,IF(搜索词报告!$A$2:$A$22222&gt;=关键词词频统计!$A$2,IF(搜索词报告!$A$2:$A$22222&lt;=关键词词频统计!$A$4,搜索词报告!$Q$2:$Q$22222,0),0),0))</f>
        <v>0</v>
      </c>
      <c r="G91">
        <f t="array" ref="G91">SUM(IF(搜索词报告!$H$2:$H$22222=A91,IF(搜索词报告!$A$2:$A$22222&gt;=关键词词频统计!$A$2,IF(搜索词报告!$A$2:$A$22222&lt;=关键词词频统计!$A$4,搜索词报告!$N$2:$N$22222,0),0),0))</f>
        <v>0</v>
      </c>
      <c r="H91">
        <f t="array" ref="H91">SUM(IF(搜索词报告!$H$2:$H$22222=A91,IF(搜索词报告!$A$2:$A$22222&gt;=关键词词频统计!$A$2,IF(搜索词报告!$A$2:$A$22222&lt;=关键词词频统计!$A$4,搜索词报告!$M$2:$M$22222,0),0),0))</f>
        <v>0</v>
      </c>
      <c r="I91" s="2" t="str">
        <f t="shared" si="10"/>
        <v/>
      </c>
      <c r="J91" t="str">
        <f t="shared" si="11"/>
        <v>点击次数少于10次没有参考性</v>
      </c>
      <c r="K91" s="4" t="str">
        <f>IFERROR(INDEX(搜索词报告!$D$2:$D$22222,MATCH(关键词词频统计!A91,搜索词报告!$H$2:$H$22222,0)),"")</f>
        <v/>
      </c>
      <c r="M91">
        <f t="array" ref="M91">SUM(IF(搜索词报告!$H$2:$H$22222=L91,IF(搜索词报告!$A$2:$A$22222&gt;=$L$2,IF(搜索词报告!$A$2:$A$22222&lt;=$L$4,搜索词报告!$I$2:$I$22222,0),0),0))</f>
        <v>0</v>
      </c>
      <c r="N91">
        <f t="array" ref="N91">SUM(IF(搜索词报告!$H$2:$H$22222=L91,IF(搜索词报告!$A$2:$A$22222&gt;=$L$2,IF(搜索词报告!$A$2:$A$22222&lt;=$L$4,搜索词报告!$J$2:$J$22222,0),0),0))</f>
        <v>0</v>
      </c>
      <c r="O91" s="2">
        <f t="shared" si="12"/>
        <v>0</v>
      </c>
      <c r="P91" s="2">
        <f t="shared" si="13"/>
        <v>0</v>
      </c>
      <c r="Q91">
        <f t="array" ref="Q91">SUM(IF(搜索词报告!$H$2:$H$22222=L91,IF(搜索词报告!$A$2:$A$22222&gt;=$L$2,IF(搜索词报告!$A$2:$A$22222&lt;=$L$4,搜索词报告!$Q$2:$Q$22222,0),0),0))</f>
        <v>0</v>
      </c>
      <c r="R91">
        <f t="array" ref="R91">SUM(IF(搜索词报告!$H$2:$H$22222=L91,IF(搜索词报告!$A$2:$A$22222&gt;=$L$2,IF(搜索词报告!$A$2:$A$22222&lt;=$L$4,搜索词报告!$N$2:$N$22222,0),0),0))</f>
        <v>0</v>
      </c>
      <c r="S91">
        <f t="array" ref="S91">SUM(IF(搜索词报告!$H$2:$H$22222=L91,IF(搜索词报告!$A$2:$A$22222&gt;=$L$2,IF(搜索词报告!$A$2:$A$22222&lt;=$L$4,搜索词报告!$M$2:$M$22222,0),0),0))</f>
        <v>0</v>
      </c>
      <c r="T91" s="2" t="str">
        <f t="shared" si="14"/>
        <v/>
      </c>
      <c r="U91" t="str">
        <f t="shared" si="15"/>
        <v>点击次数少于10次没有参考性</v>
      </c>
      <c r="V91" s="4" t="str">
        <f>IFERROR(INDEX(搜索词报告!$D$2:$D$22222,MATCH(关键词词频统计!L91,搜索词报告!$H$2:$H$22222,0)),"")</f>
        <v/>
      </c>
    </row>
    <row r="92" spans="2:22" x14ac:dyDescent="0.15">
      <c r="B92">
        <f t="array" ref="B92">SUM(IF(搜索词报告!$H$2:$H$22222=A92,IF(搜索词报告!$A$2:$A$22222&gt;=关键词词频统计!$A$2,IF(搜索词报告!$A$2:$A$22222&lt;=关键词词频统计!$A$4,搜索词报告!$I$2:$I$22222,0),0),0))</f>
        <v>0</v>
      </c>
      <c r="C92">
        <f t="array" ref="C92">SUM(IF(搜索词报告!$H$2:$H$22222=A92,IF(搜索词报告!$A$2:$A$22222&gt;=关键词词频统计!$A$2,IF(搜索词报告!$A$2:$A$22222&lt;=关键词词频统计!$A$4,搜索词报告!$J$2:$J$22222,0),0),0))</f>
        <v>0</v>
      </c>
      <c r="D92" s="2">
        <f t="shared" si="8"/>
        <v>0</v>
      </c>
      <c r="E92" s="2">
        <f t="shared" si="9"/>
        <v>0</v>
      </c>
      <c r="F92">
        <f t="array" ref="F92">SUM(IF(搜索词报告!$H$2:$H$22222=A92,IF(搜索词报告!$A$2:$A$22222&gt;=关键词词频统计!$A$2,IF(搜索词报告!$A$2:$A$22222&lt;=关键词词频统计!$A$4,搜索词报告!$Q$2:$Q$22222,0),0),0))</f>
        <v>0</v>
      </c>
      <c r="G92">
        <f t="array" ref="G92">SUM(IF(搜索词报告!$H$2:$H$22222=A92,IF(搜索词报告!$A$2:$A$22222&gt;=关键词词频统计!$A$2,IF(搜索词报告!$A$2:$A$22222&lt;=关键词词频统计!$A$4,搜索词报告!$N$2:$N$22222,0),0),0))</f>
        <v>0</v>
      </c>
      <c r="H92">
        <f t="array" ref="H92">SUM(IF(搜索词报告!$H$2:$H$22222=A92,IF(搜索词报告!$A$2:$A$22222&gt;=关键词词频统计!$A$2,IF(搜索词报告!$A$2:$A$22222&lt;=关键词词频统计!$A$4,搜索词报告!$M$2:$M$22222,0),0),0))</f>
        <v>0</v>
      </c>
      <c r="I92" s="2" t="str">
        <f t="shared" si="10"/>
        <v/>
      </c>
      <c r="J92" t="str">
        <f t="shared" si="11"/>
        <v>点击次数少于10次没有参考性</v>
      </c>
      <c r="K92" s="4" t="str">
        <f>IFERROR(INDEX(搜索词报告!$D$2:$D$22222,MATCH(关键词词频统计!A92,搜索词报告!$H$2:$H$22222,0)),"")</f>
        <v/>
      </c>
      <c r="M92">
        <f t="array" ref="M92">SUM(IF(搜索词报告!$H$2:$H$22222=L92,IF(搜索词报告!$A$2:$A$22222&gt;=$L$2,IF(搜索词报告!$A$2:$A$22222&lt;=$L$4,搜索词报告!$I$2:$I$22222,0),0),0))</f>
        <v>0</v>
      </c>
      <c r="N92">
        <f t="array" ref="N92">SUM(IF(搜索词报告!$H$2:$H$22222=L92,IF(搜索词报告!$A$2:$A$22222&gt;=$L$2,IF(搜索词报告!$A$2:$A$22222&lt;=$L$4,搜索词报告!$J$2:$J$22222,0),0),0))</f>
        <v>0</v>
      </c>
      <c r="O92" s="2">
        <f t="shared" si="12"/>
        <v>0</v>
      </c>
      <c r="P92" s="2">
        <f t="shared" si="13"/>
        <v>0</v>
      </c>
      <c r="Q92">
        <f t="array" ref="Q92">SUM(IF(搜索词报告!$H$2:$H$22222=L92,IF(搜索词报告!$A$2:$A$22222&gt;=$L$2,IF(搜索词报告!$A$2:$A$22222&lt;=$L$4,搜索词报告!$Q$2:$Q$22222,0),0),0))</f>
        <v>0</v>
      </c>
      <c r="R92">
        <f t="array" ref="R92">SUM(IF(搜索词报告!$H$2:$H$22222=L92,IF(搜索词报告!$A$2:$A$22222&gt;=$L$2,IF(搜索词报告!$A$2:$A$22222&lt;=$L$4,搜索词报告!$N$2:$N$22222,0),0),0))</f>
        <v>0</v>
      </c>
      <c r="S92">
        <f t="array" ref="S92">SUM(IF(搜索词报告!$H$2:$H$22222=L92,IF(搜索词报告!$A$2:$A$22222&gt;=$L$2,IF(搜索词报告!$A$2:$A$22222&lt;=$L$4,搜索词报告!$M$2:$M$22222,0),0),0))</f>
        <v>0</v>
      </c>
      <c r="T92" s="2" t="str">
        <f t="shared" si="14"/>
        <v/>
      </c>
      <c r="U92" t="str">
        <f t="shared" si="15"/>
        <v>点击次数少于10次没有参考性</v>
      </c>
      <c r="V92" s="4" t="str">
        <f>IFERROR(INDEX(搜索词报告!$D$2:$D$22222,MATCH(关键词词频统计!L92,搜索词报告!$H$2:$H$22222,0)),"")</f>
        <v/>
      </c>
    </row>
    <row r="93" spans="2:22" x14ac:dyDescent="0.15">
      <c r="B93">
        <f t="array" ref="B93">SUM(IF(搜索词报告!$H$2:$H$22222=A93,IF(搜索词报告!$A$2:$A$22222&gt;=关键词词频统计!$A$2,IF(搜索词报告!$A$2:$A$22222&lt;=关键词词频统计!$A$4,搜索词报告!$I$2:$I$22222,0),0),0))</f>
        <v>0</v>
      </c>
      <c r="C93">
        <f t="array" ref="C93">SUM(IF(搜索词报告!$H$2:$H$22222=A93,IF(搜索词报告!$A$2:$A$22222&gt;=关键词词频统计!$A$2,IF(搜索词报告!$A$2:$A$22222&lt;=关键词词频统计!$A$4,搜索词报告!$J$2:$J$22222,0),0),0))</f>
        <v>0</v>
      </c>
      <c r="D93" s="2">
        <f t="shared" si="8"/>
        <v>0</v>
      </c>
      <c r="E93" s="2">
        <f t="shared" si="9"/>
        <v>0</v>
      </c>
      <c r="F93">
        <f t="array" ref="F93">SUM(IF(搜索词报告!$H$2:$H$22222=A93,IF(搜索词报告!$A$2:$A$22222&gt;=关键词词频统计!$A$2,IF(搜索词报告!$A$2:$A$22222&lt;=关键词词频统计!$A$4,搜索词报告!$Q$2:$Q$22222,0),0),0))</f>
        <v>0</v>
      </c>
      <c r="G93">
        <f t="array" ref="G93">SUM(IF(搜索词报告!$H$2:$H$22222=A93,IF(搜索词报告!$A$2:$A$22222&gt;=关键词词频统计!$A$2,IF(搜索词报告!$A$2:$A$22222&lt;=关键词词频统计!$A$4,搜索词报告!$N$2:$N$22222,0),0),0))</f>
        <v>0</v>
      </c>
      <c r="H93">
        <f t="array" ref="H93">SUM(IF(搜索词报告!$H$2:$H$22222=A93,IF(搜索词报告!$A$2:$A$22222&gt;=关键词词频统计!$A$2,IF(搜索词报告!$A$2:$A$22222&lt;=关键词词频统计!$A$4,搜索词报告!$M$2:$M$22222,0),0),0))</f>
        <v>0</v>
      </c>
      <c r="I93" s="2" t="str">
        <f t="shared" si="10"/>
        <v/>
      </c>
      <c r="J93" t="str">
        <f t="shared" si="11"/>
        <v>点击次数少于10次没有参考性</v>
      </c>
      <c r="K93" s="4" t="str">
        <f>IFERROR(INDEX(搜索词报告!$D$2:$D$22222,MATCH(关键词词频统计!A93,搜索词报告!$H$2:$H$22222,0)),"")</f>
        <v/>
      </c>
      <c r="M93">
        <f t="array" ref="M93">SUM(IF(搜索词报告!$H$2:$H$22222=L93,IF(搜索词报告!$A$2:$A$22222&gt;=$L$2,IF(搜索词报告!$A$2:$A$22222&lt;=$L$4,搜索词报告!$I$2:$I$22222,0),0),0))</f>
        <v>0</v>
      </c>
      <c r="N93">
        <f t="array" ref="N93">SUM(IF(搜索词报告!$H$2:$H$22222=L93,IF(搜索词报告!$A$2:$A$22222&gt;=$L$2,IF(搜索词报告!$A$2:$A$22222&lt;=$L$4,搜索词报告!$J$2:$J$22222,0),0),0))</f>
        <v>0</v>
      </c>
      <c r="O93" s="2">
        <f t="shared" si="12"/>
        <v>0</v>
      </c>
      <c r="P93" s="2">
        <f t="shared" si="13"/>
        <v>0</v>
      </c>
      <c r="Q93">
        <f t="array" ref="Q93">SUM(IF(搜索词报告!$H$2:$H$22222=L93,IF(搜索词报告!$A$2:$A$22222&gt;=$L$2,IF(搜索词报告!$A$2:$A$22222&lt;=$L$4,搜索词报告!$Q$2:$Q$22222,0),0),0))</f>
        <v>0</v>
      </c>
      <c r="R93">
        <f t="array" ref="R93">SUM(IF(搜索词报告!$H$2:$H$22222=L93,IF(搜索词报告!$A$2:$A$22222&gt;=$L$2,IF(搜索词报告!$A$2:$A$22222&lt;=$L$4,搜索词报告!$N$2:$N$22222,0),0),0))</f>
        <v>0</v>
      </c>
      <c r="S93">
        <f t="array" ref="S93">SUM(IF(搜索词报告!$H$2:$H$22222=L93,IF(搜索词报告!$A$2:$A$22222&gt;=$L$2,IF(搜索词报告!$A$2:$A$22222&lt;=$L$4,搜索词报告!$M$2:$M$22222,0),0),0))</f>
        <v>0</v>
      </c>
      <c r="T93" s="2" t="str">
        <f t="shared" si="14"/>
        <v/>
      </c>
      <c r="U93" t="str">
        <f t="shared" si="15"/>
        <v>点击次数少于10次没有参考性</v>
      </c>
      <c r="V93" s="4" t="str">
        <f>IFERROR(INDEX(搜索词报告!$D$2:$D$22222,MATCH(关键词词频统计!L93,搜索词报告!$H$2:$H$22222,0)),"")</f>
        <v/>
      </c>
    </row>
    <row r="94" spans="2:22" x14ac:dyDescent="0.15">
      <c r="B94">
        <f t="array" ref="B94">SUM(IF(搜索词报告!$H$2:$H$22222=A94,IF(搜索词报告!$A$2:$A$22222&gt;=关键词词频统计!$A$2,IF(搜索词报告!$A$2:$A$22222&lt;=关键词词频统计!$A$4,搜索词报告!$I$2:$I$22222,0),0),0))</f>
        <v>0</v>
      </c>
      <c r="C94">
        <f t="array" ref="C94">SUM(IF(搜索词报告!$H$2:$H$22222=A94,IF(搜索词报告!$A$2:$A$22222&gt;=关键词词频统计!$A$2,IF(搜索词报告!$A$2:$A$22222&lt;=关键词词频统计!$A$4,搜索词报告!$J$2:$J$22222,0),0),0))</f>
        <v>0</v>
      </c>
      <c r="D94" s="2">
        <f t="shared" si="8"/>
        <v>0</v>
      </c>
      <c r="E94" s="2">
        <f t="shared" si="9"/>
        <v>0</v>
      </c>
      <c r="F94">
        <f t="array" ref="F94">SUM(IF(搜索词报告!$H$2:$H$22222=A94,IF(搜索词报告!$A$2:$A$22222&gt;=关键词词频统计!$A$2,IF(搜索词报告!$A$2:$A$22222&lt;=关键词词频统计!$A$4,搜索词报告!$Q$2:$Q$22222,0),0),0))</f>
        <v>0</v>
      </c>
      <c r="G94">
        <f t="array" ref="G94">SUM(IF(搜索词报告!$H$2:$H$22222=A94,IF(搜索词报告!$A$2:$A$22222&gt;=关键词词频统计!$A$2,IF(搜索词报告!$A$2:$A$22222&lt;=关键词词频统计!$A$4,搜索词报告!$N$2:$N$22222,0),0),0))</f>
        <v>0</v>
      </c>
      <c r="H94">
        <f t="array" ref="H94">SUM(IF(搜索词报告!$H$2:$H$22222=A94,IF(搜索词报告!$A$2:$A$22222&gt;=关键词词频统计!$A$2,IF(搜索词报告!$A$2:$A$22222&lt;=关键词词频统计!$A$4,搜索词报告!$M$2:$M$22222,0),0),0))</f>
        <v>0</v>
      </c>
      <c r="I94" s="2" t="str">
        <f t="shared" si="10"/>
        <v/>
      </c>
      <c r="J94" t="str">
        <f t="shared" si="11"/>
        <v>点击次数少于10次没有参考性</v>
      </c>
      <c r="K94" s="4" t="str">
        <f>IFERROR(INDEX(搜索词报告!$D$2:$D$22222,MATCH(关键词词频统计!A94,搜索词报告!$H$2:$H$22222,0)),"")</f>
        <v/>
      </c>
      <c r="M94">
        <f t="array" ref="M94">SUM(IF(搜索词报告!$H$2:$H$22222=L94,IF(搜索词报告!$A$2:$A$22222&gt;=$L$2,IF(搜索词报告!$A$2:$A$22222&lt;=$L$4,搜索词报告!$I$2:$I$22222,0),0),0))</f>
        <v>0</v>
      </c>
      <c r="N94">
        <f t="array" ref="N94">SUM(IF(搜索词报告!$H$2:$H$22222=L94,IF(搜索词报告!$A$2:$A$22222&gt;=$L$2,IF(搜索词报告!$A$2:$A$22222&lt;=$L$4,搜索词报告!$J$2:$J$22222,0),0),0))</f>
        <v>0</v>
      </c>
      <c r="O94" s="2">
        <f t="shared" si="12"/>
        <v>0</v>
      </c>
      <c r="P94" s="2">
        <f t="shared" si="13"/>
        <v>0</v>
      </c>
      <c r="Q94">
        <f t="array" ref="Q94">SUM(IF(搜索词报告!$H$2:$H$22222=L94,IF(搜索词报告!$A$2:$A$22222&gt;=$L$2,IF(搜索词报告!$A$2:$A$22222&lt;=$L$4,搜索词报告!$Q$2:$Q$22222,0),0),0))</f>
        <v>0</v>
      </c>
      <c r="R94">
        <f t="array" ref="R94">SUM(IF(搜索词报告!$H$2:$H$22222=L94,IF(搜索词报告!$A$2:$A$22222&gt;=$L$2,IF(搜索词报告!$A$2:$A$22222&lt;=$L$4,搜索词报告!$N$2:$N$22222,0),0),0))</f>
        <v>0</v>
      </c>
      <c r="S94">
        <f t="array" ref="S94">SUM(IF(搜索词报告!$H$2:$H$22222=L94,IF(搜索词报告!$A$2:$A$22222&gt;=$L$2,IF(搜索词报告!$A$2:$A$22222&lt;=$L$4,搜索词报告!$M$2:$M$22222,0),0),0))</f>
        <v>0</v>
      </c>
      <c r="T94" s="2" t="str">
        <f t="shared" si="14"/>
        <v/>
      </c>
      <c r="U94" t="str">
        <f t="shared" si="15"/>
        <v>点击次数少于10次没有参考性</v>
      </c>
      <c r="V94" s="4" t="str">
        <f>IFERROR(INDEX(搜索词报告!$D$2:$D$22222,MATCH(关键词词频统计!L94,搜索词报告!$H$2:$H$22222,0)),"")</f>
        <v/>
      </c>
    </row>
    <row r="95" spans="2:22" x14ac:dyDescent="0.15">
      <c r="B95">
        <f t="array" ref="B95">SUM(IF(搜索词报告!$H$2:$H$22222=A95,IF(搜索词报告!$A$2:$A$22222&gt;=关键词词频统计!$A$2,IF(搜索词报告!$A$2:$A$22222&lt;=关键词词频统计!$A$4,搜索词报告!$I$2:$I$22222,0),0),0))</f>
        <v>0</v>
      </c>
      <c r="C95">
        <f t="array" ref="C95">SUM(IF(搜索词报告!$H$2:$H$22222=A95,IF(搜索词报告!$A$2:$A$22222&gt;=关键词词频统计!$A$2,IF(搜索词报告!$A$2:$A$22222&lt;=关键词词频统计!$A$4,搜索词报告!$J$2:$J$22222,0),0),0))</f>
        <v>0</v>
      </c>
      <c r="D95" s="2">
        <f t="shared" si="8"/>
        <v>0</v>
      </c>
      <c r="E95" s="2">
        <f t="shared" si="9"/>
        <v>0</v>
      </c>
      <c r="F95">
        <f t="array" ref="F95">SUM(IF(搜索词报告!$H$2:$H$22222=A95,IF(搜索词报告!$A$2:$A$22222&gt;=关键词词频统计!$A$2,IF(搜索词报告!$A$2:$A$22222&lt;=关键词词频统计!$A$4,搜索词报告!$Q$2:$Q$22222,0),0),0))</f>
        <v>0</v>
      </c>
      <c r="G95">
        <f t="array" ref="G95">SUM(IF(搜索词报告!$H$2:$H$22222=A95,IF(搜索词报告!$A$2:$A$22222&gt;=关键词词频统计!$A$2,IF(搜索词报告!$A$2:$A$22222&lt;=关键词词频统计!$A$4,搜索词报告!$N$2:$N$22222,0),0),0))</f>
        <v>0</v>
      </c>
      <c r="H95">
        <f t="array" ref="H95">SUM(IF(搜索词报告!$H$2:$H$22222=A95,IF(搜索词报告!$A$2:$A$22222&gt;=关键词词频统计!$A$2,IF(搜索词报告!$A$2:$A$22222&lt;=关键词词频统计!$A$4,搜索词报告!$M$2:$M$22222,0),0),0))</f>
        <v>0</v>
      </c>
      <c r="I95" s="2" t="str">
        <f t="shared" si="10"/>
        <v/>
      </c>
      <c r="J95" t="str">
        <f t="shared" si="11"/>
        <v>点击次数少于10次没有参考性</v>
      </c>
      <c r="K95" s="4" t="str">
        <f>IFERROR(INDEX(搜索词报告!$D$2:$D$22222,MATCH(关键词词频统计!A95,搜索词报告!$H$2:$H$22222,0)),"")</f>
        <v/>
      </c>
      <c r="M95">
        <f t="array" ref="M95">SUM(IF(搜索词报告!$H$2:$H$22222=L95,IF(搜索词报告!$A$2:$A$22222&gt;=$L$2,IF(搜索词报告!$A$2:$A$22222&lt;=$L$4,搜索词报告!$I$2:$I$22222,0),0),0))</f>
        <v>0</v>
      </c>
      <c r="N95">
        <f t="array" ref="N95">SUM(IF(搜索词报告!$H$2:$H$22222=L95,IF(搜索词报告!$A$2:$A$22222&gt;=$L$2,IF(搜索词报告!$A$2:$A$22222&lt;=$L$4,搜索词报告!$J$2:$J$22222,0),0),0))</f>
        <v>0</v>
      </c>
      <c r="O95" s="2">
        <f t="shared" si="12"/>
        <v>0</v>
      </c>
      <c r="P95" s="2">
        <f t="shared" si="13"/>
        <v>0</v>
      </c>
      <c r="Q95">
        <f t="array" ref="Q95">SUM(IF(搜索词报告!$H$2:$H$22222=L95,IF(搜索词报告!$A$2:$A$22222&gt;=$L$2,IF(搜索词报告!$A$2:$A$22222&lt;=$L$4,搜索词报告!$Q$2:$Q$22222,0),0),0))</f>
        <v>0</v>
      </c>
      <c r="R95">
        <f t="array" ref="R95">SUM(IF(搜索词报告!$H$2:$H$22222=L95,IF(搜索词报告!$A$2:$A$22222&gt;=$L$2,IF(搜索词报告!$A$2:$A$22222&lt;=$L$4,搜索词报告!$N$2:$N$22222,0),0),0))</f>
        <v>0</v>
      </c>
      <c r="S95">
        <f t="array" ref="S95">SUM(IF(搜索词报告!$H$2:$H$22222=L95,IF(搜索词报告!$A$2:$A$22222&gt;=$L$2,IF(搜索词报告!$A$2:$A$22222&lt;=$L$4,搜索词报告!$M$2:$M$22222,0),0),0))</f>
        <v>0</v>
      </c>
      <c r="T95" s="2" t="str">
        <f t="shared" si="14"/>
        <v/>
      </c>
      <c r="U95" t="str">
        <f t="shared" si="15"/>
        <v>点击次数少于10次没有参考性</v>
      </c>
      <c r="V95" s="4" t="str">
        <f>IFERROR(INDEX(搜索词报告!$D$2:$D$22222,MATCH(关键词词频统计!L95,搜索词报告!$H$2:$H$22222,0)),"")</f>
        <v/>
      </c>
    </row>
    <row r="96" spans="2:22" x14ac:dyDescent="0.15">
      <c r="B96">
        <f t="array" ref="B96">SUM(IF(搜索词报告!$H$2:$H$22222=A96,IF(搜索词报告!$A$2:$A$22222&gt;=关键词词频统计!$A$2,IF(搜索词报告!$A$2:$A$22222&lt;=关键词词频统计!$A$4,搜索词报告!$I$2:$I$22222,0),0),0))</f>
        <v>0</v>
      </c>
      <c r="C96">
        <f t="array" ref="C96">SUM(IF(搜索词报告!$H$2:$H$22222=A96,IF(搜索词报告!$A$2:$A$22222&gt;=关键词词频统计!$A$2,IF(搜索词报告!$A$2:$A$22222&lt;=关键词词频统计!$A$4,搜索词报告!$J$2:$J$22222,0),0),0))</f>
        <v>0</v>
      </c>
      <c r="D96" s="2">
        <f t="shared" si="8"/>
        <v>0</v>
      </c>
      <c r="E96" s="2">
        <f t="shared" si="9"/>
        <v>0</v>
      </c>
      <c r="F96">
        <f t="array" ref="F96">SUM(IF(搜索词报告!$H$2:$H$22222=A96,IF(搜索词报告!$A$2:$A$22222&gt;=关键词词频统计!$A$2,IF(搜索词报告!$A$2:$A$22222&lt;=关键词词频统计!$A$4,搜索词报告!$Q$2:$Q$22222,0),0),0))</f>
        <v>0</v>
      </c>
      <c r="G96">
        <f t="array" ref="G96">SUM(IF(搜索词报告!$H$2:$H$22222=A96,IF(搜索词报告!$A$2:$A$22222&gt;=关键词词频统计!$A$2,IF(搜索词报告!$A$2:$A$22222&lt;=关键词词频统计!$A$4,搜索词报告!$N$2:$N$22222,0),0),0))</f>
        <v>0</v>
      </c>
      <c r="H96">
        <f t="array" ref="H96">SUM(IF(搜索词报告!$H$2:$H$22222=A96,IF(搜索词报告!$A$2:$A$22222&gt;=关键词词频统计!$A$2,IF(搜索词报告!$A$2:$A$22222&lt;=关键词词频统计!$A$4,搜索词报告!$M$2:$M$22222,0),0),0))</f>
        <v>0</v>
      </c>
      <c r="I96" s="2" t="str">
        <f t="shared" si="10"/>
        <v/>
      </c>
      <c r="J96" t="str">
        <f t="shared" si="11"/>
        <v>点击次数少于10次没有参考性</v>
      </c>
      <c r="K96" s="4" t="str">
        <f>IFERROR(INDEX(搜索词报告!$D$2:$D$22222,MATCH(关键词词频统计!A96,搜索词报告!$H$2:$H$22222,0)),"")</f>
        <v/>
      </c>
      <c r="M96">
        <f t="array" ref="M96">SUM(IF(搜索词报告!$H$2:$H$22222=L96,IF(搜索词报告!$A$2:$A$22222&gt;=$L$2,IF(搜索词报告!$A$2:$A$22222&lt;=$L$4,搜索词报告!$I$2:$I$22222,0),0),0))</f>
        <v>0</v>
      </c>
      <c r="N96">
        <f t="array" ref="N96">SUM(IF(搜索词报告!$H$2:$H$22222=L96,IF(搜索词报告!$A$2:$A$22222&gt;=$L$2,IF(搜索词报告!$A$2:$A$22222&lt;=$L$4,搜索词报告!$J$2:$J$22222,0),0),0))</f>
        <v>0</v>
      </c>
      <c r="O96" s="2">
        <f t="shared" si="12"/>
        <v>0</v>
      </c>
      <c r="P96" s="2">
        <f t="shared" si="13"/>
        <v>0</v>
      </c>
      <c r="Q96">
        <f t="array" ref="Q96">SUM(IF(搜索词报告!$H$2:$H$22222=L96,IF(搜索词报告!$A$2:$A$22222&gt;=$L$2,IF(搜索词报告!$A$2:$A$22222&lt;=$L$4,搜索词报告!$Q$2:$Q$22222,0),0),0))</f>
        <v>0</v>
      </c>
      <c r="R96">
        <f t="array" ref="R96">SUM(IF(搜索词报告!$H$2:$H$22222=L96,IF(搜索词报告!$A$2:$A$22222&gt;=$L$2,IF(搜索词报告!$A$2:$A$22222&lt;=$L$4,搜索词报告!$N$2:$N$22222,0),0),0))</f>
        <v>0</v>
      </c>
      <c r="S96">
        <f t="array" ref="S96">SUM(IF(搜索词报告!$H$2:$H$22222=L96,IF(搜索词报告!$A$2:$A$22222&gt;=$L$2,IF(搜索词报告!$A$2:$A$22222&lt;=$L$4,搜索词报告!$M$2:$M$22222,0),0),0))</f>
        <v>0</v>
      </c>
      <c r="T96" s="2" t="str">
        <f t="shared" si="14"/>
        <v/>
      </c>
      <c r="U96" t="str">
        <f t="shared" si="15"/>
        <v>点击次数少于10次没有参考性</v>
      </c>
      <c r="V96" s="4" t="str">
        <f>IFERROR(INDEX(搜索词报告!$D$2:$D$22222,MATCH(关键词词频统计!L96,搜索词报告!$H$2:$H$22222,0)),"")</f>
        <v/>
      </c>
    </row>
    <row r="97" spans="2:22" x14ac:dyDescent="0.15">
      <c r="B97">
        <f t="array" ref="B97">SUM(IF(搜索词报告!$H$2:$H$22222=A97,IF(搜索词报告!$A$2:$A$22222&gt;=关键词词频统计!$A$2,IF(搜索词报告!$A$2:$A$22222&lt;=关键词词频统计!$A$4,搜索词报告!$I$2:$I$22222,0),0),0))</f>
        <v>0</v>
      </c>
      <c r="C97">
        <f t="array" ref="C97">SUM(IF(搜索词报告!$H$2:$H$22222=A97,IF(搜索词报告!$A$2:$A$22222&gt;=关键词词频统计!$A$2,IF(搜索词报告!$A$2:$A$22222&lt;=关键词词频统计!$A$4,搜索词报告!$J$2:$J$22222,0),0),0))</f>
        <v>0</v>
      </c>
      <c r="D97" s="2">
        <f t="shared" si="8"/>
        <v>0</v>
      </c>
      <c r="E97" s="2">
        <f t="shared" si="9"/>
        <v>0</v>
      </c>
      <c r="F97">
        <f t="array" ref="F97">SUM(IF(搜索词报告!$H$2:$H$22222=A97,IF(搜索词报告!$A$2:$A$22222&gt;=关键词词频统计!$A$2,IF(搜索词报告!$A$2:$A$22222&lt;=关键词词频统计!$A$4,搜索词报告!$Q$2:$Q$22222,0),0),0))</f>
        <v>0</v>
      </c>
      <c r="G97">
        <f t="array" ref="G97">SUM(IF(搜索词报告!$H$2:$H$22222=A97,IF(搜索词报告!$A$2:$A$22222&gt;=关键词词频统计!$A$2,IF(搜索词报告!$A$2:$A$22222&lt;=关键词词频统计!$A$4,搜索词报告!$N$2:$N$22222,0),0),0))</f>
        <v>0</v>
      </c>
      <c r="H97">
        <f t="array" ref="H97">SUM(IF(搜索词报告!$H$2:$H$22222=A97,IF(搜索词报告!$A$2:$A$22222&gt;=关键词词频统计!$A$2,IF(搜索词报告!$A$2:$A$22222&lt;=关键词词频统计!$A$4,搜索词报告!$M$2:$M$22222,0),0),0))</f>
        <v>0</v>
      </c>
      <c r="I97" s="2" t="str">
        <f t="shared" si="10"/>
        <v/>
      </c>
      <c r="J97" t="str">
        <f t="shared" si="11"/>
        <v>点击次数少于10次没有参考性</v>
      </c>
      <c r="K97" s="4" t="str">
        <f>IFERROR(INDEX(搜索词报告!$D$2:$D$22222,MATCH(关键词词频统计!A97,搜索词报告!$H$2:$H$22222,0)),"")</f>
        <v/>
      </c>
      <c r="M97">
        <f t="array" ref="M97">SUM(IF(搜索词报告!$H$2:$H$22222=L97,IF(搜索词报告!$A$2:$A$22222&gt;=$L$2,IF(搜索词报告!$A$2:$A$22222&lt;=$L$4,搜索词报告!$I$2:$I$22222,0),0),0))</f>
        <v>0</v>
      </c>
      <c r="N97">
        <f t="array" ref="N97">SUM(IF(搜索词报告!$H$2:$H$22222=L97,IF(搜索词报告!$A$2:$A$22222&gt;=$L$2,IF(搜索词报告!$A$2:$A$22222&lt;=$L$4,搜索词报告!$J$2:$J$22222,0),0),0))</f>
        <v>0</v>
      </c>
      <c r="O97" s="2">
        <f t="shared" si="12"/>
        <v>0</v>
      </c>
      <c r="P97" s="2">
        <f t="shared" si="13"/>
        <v>0</v>
      </c>
      <c r="Q97">
        <f t="array" ref="Q97">SUM(IF(搜索词报告!$H$2:$H$22222=L97,IF(搜索词报告!$A$2:$A$22222&gt;=$L$2,IF(搜索词报告!$A$2:$A$22222&lt;=$L$4,搜索词报告!$Q$2:$Q$22222,0),0),0))</f>
        <v>0</v>
      </c>
      <c r="R97">
        <f t="array" ref="R97">SUM(IF(搜索词报告!$H$2:$H$22222=L97,IF(搜索词报告!$A$2:$A$22222&gt;=$L$2,IF(搜索词报告!$A$2:$A$22222&lt;=$L$4,搜索词报告!$N$2:$N$22222,0),0),0))</f>
        <v>0</v>
      </c>
      <c r="S97">
        <f t="array" ref="S97">SUM(IF(搜索词报告!$H$2:$H$22222=L97,IF(搜索词报告!$A$2:$A$22222&gt;=$L$2,IF(搜索词报告!$A$2:$A$22222&lt;=$L$4,搜索词报告!$M$2:$M$22222,0),0),0))</f>
        <v>0</v>
      </c>
      <c r="T97" s="2" t="str">
        <f t="shared" si="14"/>
        <v/>
      </c>
      <c r="U97" t="str">
        <f t="shared" si="15"/>
        <v>点击次数少于10次没有参考性</v>
      </c>
      <c r="V97" s="4" t="str">
        <f>IFERROR(INDEX(搜索词报告!$D$2:$D$22222,MATCH(关键词词频统计!L97,搜索词报告!$H$2:$H$22222,0)),"")</f>
        <v/>
      </c>
    </row>
    <row r="98" spans="2:22" x14ac:dyDescent="0.15">
      <c r="B98">
        <f t="array" ref="B98">SUM(IF(搜索词报告!$H$2:$H$22222=A98,IF(搜索词报告!$A$2:$A$22222&gt;=关键词词频统计!$A$2,IF(搜索词报告!$A$2:$A$22222&lt;=关键词词频统计!$A$4,搜索词报告!$I$2:$I$22222,0),0),0))</f>
        <v>0</v>
      </c>
      <c r="C98">
        <f t="array" ref="C98">SUM(IF(搜索词报告!$H$2:$H$22222=A98,IF(搜索词报告!$A$2:$A$22222&gt;=关键词词频统计!$A$2,IF(搜索词报告!$A$2:$A$22222&lt;=关键词词频统计!$A$4,搜索词报告!$J$2:$J$22222,0),0),0))</f>
        <v>0</v>
      </c>
      <c r="D98" s="2">
        <f t="shared" si="8"/>
        <v>0</v>
      </c>
      <c r="E98" s="2">
        <f t="shared" si="9"/>
        <v>0</v>
      </c>
      <c r="F98">
        <f t="array" ref="F98">SUM(IF(搜索词报告!$H$2:$H$22222=A98,IF(搜索词报告!$A$2:$A$22222&gt;=关键词词频统计!$A$2,IF(搜索词报告!$A$2:$A$22222&lt;=关键词词频统计!$A$4,搜索词报告!$Q$2:$Q$22222,0),0),0))</f>
        <v>0</v>
      </c>
      <c r="G98">
        <f t="array" ref="G98">SUM(IF(搜索词报告!$H$2:$H$22222=A98,IF(搜索词报告!$A$2:$A$22222&gt;=关键词词频统计!$A$2,IF(搜索词报告!$A$2:$A$22222&lt;=关键词词频统计!$A$4,搜索词报告!$N$2:$N$22222,0),0),0))</f>
        <v>0</v>
      </c>
      <c r="H98">
        <f t="array" ref="H98">SUM(IF(搜索词报告!$H$2:$H$22222=A98,IF(搜索词报告!$A$2:$A$22222&gt;=关键词词频统计!$A$2,IF(搜索词报告!$A$2:$A$22222&lt;=关键词词频统计!$A$4,搜索词报告!$M$2:$M$22222,0),0),0))</f>
        <v>0</v>
      </c>
      <c r="I98" s="2" t="str">
        <f t="shared" si="10"/>
        <v/>
      </c>
      <c r="J98" t="str">
        <f t="shared" si="11"/>
        <v>点击次数少于10次没有参考性</v>
      </c>
      <c r="K98" s="4" t="str">
        <f>IFERROR(INDEX(搜索词报告!$D$2:$D$22222,MATCH(关键词词频统计!A98,搜索词报告!$H$2:$H$22222,0)),"")</f>
        <v/>
      </c>
      <c r="M98">
        <f t="array" ref="M98">SUM(IF(搜索词报告!$H$2:$H$22222=L98,IF(搜索词报告!$A$2:$A$22222&gt;=$L$2,IF(搜索词报告!$A$2:$A$22222&lt;=$L$4,搜索词报告!$I$2:$I$22222,0),0),0))</f>
        <v>0</v>
      </c>
      <c r="N98">
        <f t="array" ref="N98">SUM(IF(搜索词报告!$H$2:$H$22222=L98,IF(搜索词报告!$A$2:$A$22222&gt;=$L$2,IF(搜索词报告!$A$2:$A$22222&lt;=$L$4,搜索词报告!$J$2:$J$22222,0),0),0))</f>
        <v>0</v>
      </c>
      <c r="O98" s="2">
        <f t="shared" si="12"/>
        <v>0</v>
      </c>
      <c r="P98" s="2">
        <f t="shared" si="13"/>
        <v>0</v>
      </c>
      <c r="Q98">
        <f t="array" ref="Q98">SUM(IF(搜索词报告!$H$2:$H$22222=L98,IF(搜索词报告!$A$2:$A$22222&gt;=$L$2,IF(搜索词报告!$A$2:$A$22222&lt;=$L$4,搜索词报告!$Q$2:$Q$22222,0),0),0))</f>
        <v>0</v>
      </c>
      <c r="R98">
        <f t="array" ref="R98">SUM(IF(搜索词报告!$H$2:$H$22222=L98,IF(搜索词报告!$A$2:$A$22222&gt;=$L$2,IF(搜索词报告!$A$2:$A$22222&lt;=$L$4,搜索词报告!$N$2:$N$22222,0),0),0))</f>
        <v>0</v>
      </c>
      <c r="S98">
        <f t="array" ref="S98">SUM(IF(搜索词报告!$H$2:$H$22222=L98,IF(搜索词报告!$A$2:$A$22222&gt;=$L$2,IF(搜索词报告!$A$2:$A$22222&lt;=$L$4,搜索词报告!$M$2:$M$22222,0),0),0))</f>
        <v>0</v>
      </c>
      <c r="T98" s="2" t="str">
        <f t="shared" si="14"/>
        <v/>
      </c>
      <c r="U98" t="str">
        <f t="shared" si="15"/>
        <v>点击次数少于10次没有参考性</v>
      </c>
      <c r="V98" s="4" t="str">
        <f>IFERROR(INDEX(搜索词报告!$D$2:$D$22222,MATCH(关键词词频统计!L98,搜索词报告!$H$2:$H$22222,0)),"")</f>
        <v/>
      </c>
    </row>
    <row r="99" spans="2:22" x14ac:dyDescent="0.15">
      <c r="B99">
        <f t="array" ref="B99">SUM(IF(搜索词报告!$H$2:$H$22222=A99,IF(搜索词报告!$A$2:$A$22222&gt;=关键词词频统计!$A$2,IF(搜索词报告!$A$2:$A$22222&lt;=关键词词频统计!$A$4,搜索词报告!$I$2:$I$22222,0),0),0))</f>
        <v>0</v>
      </c>
      <c r="C99">
        <f t="array" ref="C99">SUM(IF(搜索词报告!$H$2:$H$22222=A99,IF(搜索词报告!$A$2:$A$22222&gt;=关键词词频统计!$A$2,IF(搜索词报告!$A$2:$A$22222&lt;=关键词词频统计!$A$4,搜索词报告!$J$2:$J$22222,0),0),0))</f>
        <v>0</v>
      </c>
      <c r="D99" s="2">
        <f t="shared" si="8"/>
        <v>0</v>
      </c>
      <c r="E99" s="2">
        <f t="shared" si="9"/>
        <v>0</v>
      </c>
      <c r="F99">
        <f t="array" ref="F99">SUM(IF(搜索词报告!$H$2:$H$22222=A99,IF(搜索词报告!$A$2:$A$22222&gt;=关键词词频统计!$A$2,IF(搜索词报告!$A$2:$A$22222&lt;=关键词词频统计!$A$4,搜索词报告!$Q$2:$Q$22222,0),0),0))</f>
        <v>0</v>
      </c>
      <c r="G99">
        <f t="array" ref="G99">SUM(IF(搜索词报告!$H$2:$H$22222=A99,IF(搜索词报告!$A$2:$A$22222&gt;=关键词词频统计!$A$2,IF(搜索词报告!$A$2:$A$22222&lt;=关键词词频统计!$A$4,搜索词报告!$N$2:$N$22222,0),0),0))</f>
        <v>0</v>
      </c>
      <c r="H99">
        <f t="array" ref="H99">SUM(IF(搜索词报告!$H$2:$H$22222=A99,IF(搜索词报告!$A$2:$A$22222&gt;=关键词词频统计!$A$2,IF(搜索词报告!$A$2:$A$22222&lt;=关键词词频统计!$A$4,搜索词报告!$M$2:$M$22222,0),0),0))</f>
        <v>0</v>
      </c>
      <c r="I99" s="2" t="str">
        <f t="shared" si="10"/>
        <v/>
      </c>
      <c r="J99" t="str">
        <f t="shared" si="11"/>
        <v>点击次数少于10次没有参考性</v>
      </c>
      <c r="K99" s="4" t="str">
        <f>IFERROR(INDEX(搜索词报告!$D$2:$D$22222,MATCH(关键词词频统计!A99,搜索词报告!$H$2:$H$22222,0)),"")</f>
        <v/>
      </c>
      <c r="M99">
        <f t="array" ref="M99">SUM(IF(搜索词报告!$H$2:$H$22222=L99,IF(搜索词报告!$A$2:$A$22222&gt;=$L$2,IF(搜索词报告!$A$2:$A$22222&lt;=$L$4,搜索词报告!$I$2:$I$22222,0),0),0))</f>
        <v>0</v>
      </c>
      <c r="N99">
        <f t="array" ref="N99">SUM(IF(搜索词报告!$H$2:$H$22222=L99,IF(搜索词报告!$A$2:$A$22222&gt;=$L$2,IF(搜索词报告!$A$2:$A$22222&lt;=$L$4,搜索词报告!$J$2:$J$22222,0),0),0))</f>
        <v>0</v>
      </c>
      <c r="O99" s="2">
        <f t="shared" si="12"/>
        <v>0</v>
      </c>
      <c r="P99" s="2">
        <f t="shared" si="13"/>
        <v>0</v>
      </c>
      <c r="Q99">
        <f t="array" ref="Q99">SUM(IF(搜索词报告!$H$2:$H$22222=L99,IF(搜索词报告!$A$2:$A$22222&gt;=$L$2,IF(搜索词报告!$A$2:$A$22222&lt;=$L$4,搜索词报告!$Q$2:$Q$22222,0),0),0))</f>
        <v>0</v>
      </c>
      <c r="R99">
        <f t="array" ref="R99">SUM(IF(搜索词报告!$H$2:$H$22222=L99,IF(搜索词报告!$A$2:$A$22222&gt;=$L$2,IF(搜索词报告!$A$2:$A$22222&lt;=$L$4,搜索词报告!$N$2:$N$22222,0),0),0))</f>
        <v>0</v>
      </c>
      <c r="S99">
        <f t="array" ref="S99">SUM(IF(搜索词报告!$H$2:$H$22222=L99,IF(搜索词报告!$A$2:$A$22222&gt;=$L$2,IF(搜索词报告!$A$2:$A$22222&lt;=$L$4,搜索词报告!$M$2:$M$22222,0),0),0))</f>
        <v>0</v>
      </c>
      <c r="T99" s="2" t="str">
        <f t="shared" si="14"/>
        <v/>
      </c>
      <c r="U99" t="str">
        <f t="shared" si="15"/>
        <v>点击次数少于10次没有参考性</v>
      </c>
      <c r="V99" s="4" t="str">
        <f>IFERROR(INDEX(搜索词报告!$D$2:$D$22222,MATCH(关键词词频统计!L99,搜索词报告!$H$2:$H$22222,0)),"")</f>
        <v/>
      </c>
    </row>
    <row r="100" spans="2:22" x14ac:dyDescent="0.15">
      <c r="B100">
        <f t="array" ref="B100">SUM(IF(搜索词报告!$H$2:$H$22222=A100,IF(搜索词报告!$A$2:$A$22222&gt;=关键词词频统计!$A$2,IF(搜索词报告!$A$2:$A$22222&lt;=关键词词频统计!$A$4,搜索词报告!$I$2:$I$22222,0),0),0))</f>
        <v>0</v>
      </c>
      <c r="C100">
        <f t="array" ref="C100">SUM(IF(搜索词报告!$H$2:$H$22222=A100,IF(搜索词报告!$A$2:$A$22222&gt;=关键词词频统计!$A$2,IF(搜索词报告!$A$2:$A$22222&lt;=关键词词频统计!$A$4,搜索词报告!$J$2:$J$22222,0),0),0))</f>
        <v>0</v>
      </c>
      <c r="D100" s="2">
        <f t="shared" si="8"/>
        <v>0</v>
      </c>
      <c r="E100" s="2">
        <f t="shared" si="9"/>
        <v>0</v>
      </c>
      <c r="F100">
        <f t="array" ref="F100">SUM(IF(搜索词报告!$H$2:$H$22222=A100,IF(搜索词报告!$A$2:$A$22222&gt;=关键词词频统计!$A$2,IF(搜索词报告!$A$2:$A$22222&lt;=关键词词频统计!$A$4,搜索词报告!$Q$2:$Q$22222,0),0),0))</f>
        <v>0</v>
      </c>
      <c r="G100">
        <f t="array" ref="G100">SUM(IF(搜索词报告!$H$2:$H$22222=A100,IF(搜索词报告!$A$2:$A$22222&gt;=关键词词频统计!$A$2,IF(搜索词报告!$A$2:$A$22222&lt;=关键词词频统计!$A$4,搜索词报告!$N$2:$N$22222,0),0),0))</f>
        <v>0</v>
      </c>
      <c r="H100">
        <f t="array" ref="H100">SUM(IF(搜索词报告!$H$2:$H$22222=A100,IF(搜索词报告!$A$2:$A$22222&gt;=关键词词频统计!$A$2,IF(搜索词报告!$A$2:$A$22222&lt;=关键词词频统计!$A$4,搜索词报告!$M$2:$M$22222,0),0),0))</f>
        <v>0</v>
      </c>
      <c r="I100" s="2" t="str">
        <f t="shared" si="10"/>
        <v/>
      </c>
      <c r="J100" t="str">
        <f t="shared" si="11"/>
        <v>点击次数少于10次没有参考性</v>
      </c>
      <c r="K100" s="4" t="str">
        <f>IFERROR(INDEX(搜索词报告!$D$2:$D$22222,MATCH(关键词词频统计!A100,搜索词报告!$H$2:$H$22222,0)),"")</f>
        <v/>
      </c>
      <c r="M100">
        <f t="array" ref="M100">SUM(IF(搜索词报告!$H$2:$H$22222=L100,IF(搜索词报告!$A$2:$A$22222&gt;=$L$2,IF(搜索词报告!$A$2:$A$22222&lt;=$L$4,搜索词报告!$I$2:$I$22222,0),0),0))</f>
        <v>0</v>
      </c>
      <c r="N100">
        <f t="array" ref="N100">SUM(IF(搜索词报告!$H$2:$H$22222=L100,IF(搜索词报告!$A$2:$A$22222&gt;=$L$2,IF(搜索词报告!$A$2:$A$22222&lt;=$L$4,搜索词报告!$J$2:$J$22222,0),0),0))</f>
        <v>0</v>
      </c>
      <c r="O100" s="2">
        <f t="shared" si="12"/>
        <v>0</v>
      </c>
      <c r="P100" s="2">
        <f t="shared" si="13"/>
        <v>0</v>
      </c>
      <c r="Q100">
        <f t="array" ref="Q100">SUM(IF(搜索词报告!$H$2:$H$22222=L100,IF(搜索词报告!$A$2:$A$22222&gt;=$L$2,IF(搜索词报告!$A$2:$A$22222&lt;=$L$4,搜索词报告!$Q$2:$Q$22222,0),0),0))</f>
        <v>0</v>
      </c>
      <c r="R100">
        <f t="array" ref="R100">SUM(IF(搜索词报告!$H$2:$H$22222=L100,IF(搜索词报告!$A$2:$A$22222&gt;=$L$2,IF(搜索词报告!$A$2:$A$22222&lt;=$L$4,搜索词报告!$N$2:$N$22222,0),0),0))</f>
        <v>0</v>
      </c>
      <c r="S100">
        <f t="array" ref="S100">SUM(IF(搜索词报告!$H$2:$H$22222=L100,IF(搜索词报告!$A$2:$A$22222&gt;=$L$2,IF(搜索词报告!$A$2:$A$22222&lt;=$L$4,搜索词报告!$M$2:$M$22222,0),0),0))</f>
        <v>0</v>
      </c>
      <c r="T100" s="2" t="str">
        <f t="shared" si="14"/>
        <v/>
      </c>
      <c r="U100" t="str">
        <f t="shared" si="15"/>
        <v>点击次数少于10次没有参考性</v>
      </c>
      <c r="V100" s="4" t="str">
        <f>IFERROR(INDEX(搜索词报告!$D$2:$D$22222,MATCH(关键词词频统计!L100,搜索词报告!$H$2:$H$22222,0)),"")</f>
        <v/>
      </c>
    </row>
    <row r="101" spans="2:22" x14ac:dyDescent="0.15">
      <c r="B101">
        <f t="array" ref="B101">SUM(IF(搜索词报告!$H$2:$H$22222=A101,IF(搜索词报告!$A$2:$A$22222&gt;=关键词词频统计!$A$2,IF(搜索词报告!$A$2:$A$22222&lt;=关键词词频统计!$A$4,搜索词报告!$I$2:$I$22222,0),0),0))</f>
        <v>0</v>
      </c>
      <c r="C101">
        <f t="array" ref="C101">SUM(IF(搜索词报告!$H$2:$H$22222=A101,IF(搜索词报告!$A$2:$A$22222&gt;=关键词词频统计!$A$2,IF(搜索词报告!$A$2:$A$22222&lt;=关键词词频统计!$A$4,搜索词报告!$J$2:$J$22222,0),0),0))</f>
        <v>0</v>
      </c>
      <c r="D101" s="2">
        <f t="shared" si="8"/>
        <v>0</v>
      </c>
      <c r="E101" s="2">
        <f t="shared" si="9"/>
        <v>0</v>
      </c>
      <c r="F101">
        <f t="array" ref="F101">SUM(IF(搜索词报告!$H$2:$H$22222=A101,IF(搜索词报告!$A$2:$A$22222&gt;=关键词词频统计!$A$2,IF(搜索词报告!$A$2:$A$22222&lt;=关键词词频统计!$A$4,搜索词报告!$Q$2:$Q$22222,0),0),0))</f>
        <v>0</v>
      </c>
      <c r="G101">
        <f t="array" ref="G101">SUM(IF(搜索词报告!$H$2:$H$22222=A101,IF(搜索词报告!$A$2:$A$22222&gt;=关键词词频统计!$A$2,IF(搜索词报告!$A$2:$A$22222&lt;=关键词词频统计!$A$4,搜索词报告!$N$2:$N$22222,0),0),0))</f>
        <v>0</v>
      </c>
      <c r="H101">
        <f t="array" ref="H101">SUM(IF(搜索词报告!$H$2:$H$22222=A101,IF(搜索词报告!$A$2:$A$22222&gt;=关键词词频统计!$A$2,IF(搜索词报告!$A$2:$A$22222&lt;=关键词词频统计!$A$4,搜索词报告!$M$2:$M$22222,0),0),0))</f>
        <v>0</v>
      </c>
      <c r="I101" s="2" t="str">
        <f t="shared" si="10"/>
        <v/>
      </c>
      <c r="J101" t="str">
        <f t="shared" si="11"/>
        <v>点击次数少于10次没有参考性</v>
      </c>
      <c r="K101" s="4" t="str">
        <f>IFERROR(INDEX(搜索词报告!$D$2:$D$22222,MATCH(关键词词频统计!A101,搜索词报告!$H$2:$H$22222,0)),"")</f>
        <v/>
      </c>
      <c r="M101">
        <f t="array" ref="M101">SUM(IF(搜索词报告!$H$2:$H$22222=L101,IF(搜索词报告!$A$2:$A$22222&gt;=$L$2,IF(搜索词报告!$A$2:$A$22222&lt;=$L$4,搜索词报告!$I$2:$I$22222,0),0),0))</f>
        <v>0</v>
      </c>
      <c r="N101">
        <f t="array" ref="N101">SUM(IF(搜索词报告!$H$2:$H$22222=L101,IF(搜索词报告!$A$2:$A$22222&gt;=$L$2,IF(搜索词报告!$A$2:$A$22222&lt;=$L$4,搜索词报告!$J$2:$J$22222,0),0),0))</f>
        <v>0</v>
      </c>
      <c r="O101" s="2">
        <f t="shared" si="12"/>
        <v>0</v>
      </c>
      <c r="P101" s="2">
        <f t="shared" si="13"/>
        <v>0</v>
      </c>
      <c r="Q101">
        <f t="array" ref="Q101">SUM(IF(搜索词报告!$H$2:$H$22222=L101,IF(搜索词报告!$A$2:$A$22222&gt;=$L$2,IF(搜索词报告!$A$2:$A$22222&lt;=$L$4,搜索词报告!$Q$2:$Q$22222,0),0),0))</f>
        <v>0</v>
      </c>
      <c r="R101">
        <f t="array" ref="R101">SUM(IF(搜索词报告!$H$2:$H$22222=L101,IF(搜索词报告!$A$2:$A$22222&gt;=$L$2,IF(搜索词报告!$A$2:$A$22222&lt;=$L$4,搜索词报告!$N$2:$N$22222,0),0),0))</f>
        <v>0</v>
      </c>
      <c r="S101">
        <f t="array" ref="S101">SUM(IF(搜索词报告!$H$2:$H$22222=L101,IF(搜索词报告!$A$2:$A$22222&gt;=$L$2,IF(搜索词报告!$A$2:$A$22222&lt;=$L$4,搜索词报告!$M$2:$M$22222,0),0),0))</f>
        <v>0</v>
      </c>
      <c r="T101" s="2" t="str">
        <f t="shared" si="14"/>
        <v/>
      </c>
      <c r="U101" t="str">
        <f t="shared" si="15"/>
        <v>点击次数少于10次没有参考性</v>
      </c>
      <c r="V101" s="4" t="str">
        <f>IFERROR(INDEX(搜索词报告!$D$2:$D$22222,MATCH(关键词词频统计!L101,搜索词报告!$H$2:$H$22222,0)),"")</f>
        <v/>
      </c>
    </row>
    <row r="102" spans="2:22" x14ac:dyDescent="0.15">
      <c r="B102">
        <f t="array" ref="B102">SUM(IF(搜索词报告!$H$2:$H$22222=A102,IF(搜索词报告!$A$2:$A$22222&gt;=关键词词频统计!$A$2,IF(搜索词报告!$A$2:$A$22222&lt;=关键词词频统计!$A$4,搜索词报告!$I$2:$I$22222,0),0),0))</f>
        <v>0</v>
      </c>
      <c r="C102">
        <f t="array" ref="C102">SUM(IF(搜索词报告!$H$2:$H$22222=A102,IF(搜索词报告!$A$2:$A$22222&gt;=关键词词频统计!$A$2,IF(搜索词报告!$A$2:$A$22222&lt;=关键词词频统计!$A$4,搜索词报告!$J$2:$J$22222,0),0),0))</f>
        <v>0</v>
      </c>
      <c r="D102" s="2">
        <f t="shared" si="8"/>
        <v>0</v>
      </c>
      <c r="E102" s="2">
        <f t="shared" si="9"/>
        <v>0</v>
      </c>
      <c r="F102">
        <f t="array" ref="F102">SUM(IF(搜索词报告!$H$2:$H$22222=A102,IF(搜索词报告!$A$2:$A$22222&gt;=关键词词频统计!$A$2,IF(搜索词报告!$A$2:$A$22222&lt;=关键词词频统计!$A$4,搜索词报告!$Q$2:$Q$22222,0),0),0))</f>
        <v>0</v>
      </c>
      <c r="G102">
        <f t="array" ref="G102">SUM(IF(搜索词报告!$H$2:$H$22222=A102,IF(搜索词报告!$A$2:$A$22222&gt;=关键词词频统计!$A$2,IF(搜索词报告!$A$2:$A$22222&lt;=关键词词频统计!$A$4,搜索词报告!$N$2:$N$22222,0),0),0))</f>
        <v>0</v>
      </c>
      <c r="H102">
        <f t="array" ref="H102">SUM(IF(搜索词报告!$H$2:$H$22222=A102,IF(搜索词报告!$A$2:$A$22222&gt;=关键词词频统计!$A$2,IF(搜索词报告!$A$2:$A$22222&lt;=关键词词频统计!$A$4,搜索词报告!$M$2:$M$22222,0),0),0))</f>
        <v>0</v>
      </c>
      <c r="I102" s="2" t="str">
        <f t="shared" si="10"/>
        <v/>
      </c>
      <c r="J102" t="str">
        <f t="shared" si="11"/>
        <v>点击次数少于10次没有参考性</v>
      </c>
      <c r="K102" s="4" t="str">
        <f>IFERROR(INDEX(搜索词报告!$D$2:$D$22222,MATCH(关键词词频统计!A102,搜索词报告!$H$2:$H$22222,0)),"")</f>
        <v/>
      </c>
      <c r="M102">
        <f t="array" ref="M102">SUM(IF(搜索词报告!$H$2:$H$22222=L102,IF(搜索词报告!$A$2:$A$22222&gt;=$L$2,IF(搜索词报告!$A$2:$A$22222&lt;=$L$4,搜索词报告!$I$2:$I$22222,0),0),0))</f>
        <v>0</v>
      </c>
      <c r="N102">
        <f t="array" ref="N102">SUM(IF(搜索词报告!$H$2:$H$22222=L102,IF(搜索词报告!$A$2:$A$22222&gt;=$L$2,IF(搜索词报告!$A$2:$A$22222&lt;=$L$4,搜索词报告!$J$2:$J$22222,0),0),0))</f>
        <v>0</v>
      </c>
      <c r="O102" s="2">
        <f t="shared" si="12"/>
        <v>0</v>
      </c>
      <c r="P102" s="2">
        <f t="shared" si="13"/>
        <v>0</v>
      </c>
      <c r="Q102">
        <f t="array" ref="Q102">SUM(IF(搜索词报告!$H$2:$H$22222=L102,IF(搜索词报告!$A$2:$A$22222&gt;=$L$2,IF(搜索词报告!$A$2:$A$22222&lt;=$L$4,搜索词报告!$Q$2:$Q$22222,0),0),0))</f>
        <v>0</v>
      </c>
      <c r="R102">
        <f t="array" ref="R102">SUM(IF(搜索词报告!$H$2:$H$22222=L102,IF(搜索词报告!$A$2:$A$22222&gt;=$L$2,IF(搜索词报告!$A$2:$A$22222&lt;=$L$4,搜索词报告!$N$2:$N$22222,0),0),0))</f>
        <v>0</v>
      </c>
      <c r="S102">
        <f t="array" ref="S102">SUM(IF(搜索词报告!$H$2:$H$22222=L102,IF(搜索词报告!$A$2:$A$22222&gt;=$L$2,IF(搜索词报告!$A$2:$A$22222&lt;=$L$4,搜索词报告!$M$2:$M$22222,0),0),0))</f>
        <v>0</v>
      </c>
      <c r="T102" s="2" t="str">
        <f t="shared" si="14"/>
        <v/>
      </c>
      <c r="U102" t="str">
        <f t="shared" si="15"/>
        <v>点击次数少于10次没有参考性</v>
      </c>
      <c r="V102" s="4" t="str">
        <f>IFERROR(INDEX(搜索词报告!$D$2:$D$22222,MATCH(关键词词频统计!L102,搜索词报告!$H$2:$H$22222,0)),"")</f>
        <v/>
      </c>
    </row>
    <row r="103" spans="2:22" x14ac:dyDescent="0.15">
      <c r="B103">
        <f t="array" ref="B103">SUM(IF(搜索词报告!$H$2:$H$22222=A103,IF(搜索词报告!$A$2:$A$22222&gt;=关键词词频统计!$A$2,IF(搜索词报告!$A$2:$A$22222&lt;=关键词词频统计!$A$4,搜索词报告!$I$2:$I$22222,0),0),0))</f>
        <v>0</v>
      </c>
      <c r="C103">
        <f t="array" ref="C103">SUM(IF(搜索词报告!$H$2:$H$22222=A103,IF(搜索词报告!$A$2:$A$22222&gt;=关键词词频统计!$A$2,IF(搜索词报告!$A$2:$A$22222&lt;=关键词词频统计!$A$4,搜索词报告!$J$2:$J$22222,0),0),0))</f>
        <v>0</v>
      </c>
      <c r="D103" s="2">
        <f t="shared" si="8"/>
        <v>0</v>
      </c>
      <c r="E103" s="2">
        <f t="shared" si="9"/>
        <v>0</v>
      </c>
      <c r="F103">
        <f t="array" ref="F103">SUM(IF(搜索词报告!$H$2:$H$22222=A103,IF(搜索词报告!$A$2:$A$22222&gt;=关键词词频统计!$A$2,IF(搜索词报告!$A$2:$A$22222&lt;=关键词词频统计!$A$4,搜索词报告!$Q$2:$Q$22222,0),0),0))</f>
        <v>0</v>
      </c>
      <c r="G103">
        <f t="array" ref="G103">SUM(IF(搜索词报告!$H$2:$H$22222=A103,IF(搜索词报告!$A$2:$A$22222&gt;=关键词词频统计!$A$2,IF(搜索词报告!$A$2:$A$22222&lt;=关键词词频统计!$A$4,搜索词报告!$N$2:$N$22222,0),0),0))</f>
        <v>0</v>
      </c>
      <c r="H103">
        <f t="array" ref="H103">SUM(IF(搜索词报告!$H$2:$H$22222=A103,IF(搜索词报告!$A$2:$A$22222&gt;=关键词词频统计!$A$2,IF(搜索词报告!$A$2:$A$22222&lt;=关键词词频统计!$A$4,搜索词报告!$M$2:$M$22222,0),0),0))</f>
        <v>0</v>
      </c>
      <c r="I103" s="2" t="str">
        <f t="shared" si="10"/>
        <v/>
      </c>
      <c r="J103" t="str">
        <f t="shared" si="11"/>
        <v>点击次数少于10次没有参考性</v>
      </c>
      <c r="K103" s="4" t="str">
        <f>IFERROR(INDEX(搜索词报告!$D$2:$D$22222,MATCH(关键词词频统计!A103,搜索词报告!$H$2:$H$22222,0)),"")</f>
        <v/>
      </c>
      <c r="M103">
        <f t="array" ref="M103">SUM(IF(搜索词报告!$H$2:$H$22222=L103,IF(搜索词报告!$A$2:$A$22222&gt;=$L$2,IF(搜索词报告!$A$2:$A$22222&lt;=$L$4,搜索词报告!$I$2:$I$22222,0),0),0))</f>
        <v>0</v>
      </c>
      <c r="N103">
        <f t="array" ref="N103">SUM(IF(搜索词报告!$H$2:$H$22222=L103,IF(搜索词报告!$A$2:$A$22222&gt;=$L$2,IF(搜索词报告!$A$2:$A$22222&lt;=$L$4,搜索词报告!$J$2:$J$22222,0),0),0))</f>
        <v>0</v>
      </c>
      <c r="O103" s="2">
        <f t="shared" si="12"/>
        <v>0</v>
      </c>
      <c r="P103" s="2">
        <f t="shared" si="13"/>
        <v>0</v>
      </c>
      <c r="Q103">
        <f t="array" ref="Q103">SUM(IF(搜索词报告!$H$2:$H$22222=L103,IF(搜索词报告!$A$2:$A$22222&gt;=$L$2,IF(搜索词报告!$A$2:$A$22222&lt;=$L$4,搜索词报告!$Q$2:$Q$22222,0),0),0))</f>
        <v>0</v>
      </c>
      <c r="R103">
        <f t="array" ref="R103">SUM(IF(搜索词报告!$H$2:$H$22222=L103,IF(搜索词报告!$A$2:$A$22222&gt;=$L$2,IF(搜索词报告!$A$2:$A$22222&lt;=$L$4,搜索词报告!$N$2:$N$22222,0),0),0))</f>
        <v>0</v>
      </c>
      <c r="S103">
        <f t="array" ref="S103">SUM(IF(搜索词报告!$H$2:$H$22222=L103,IF(搜索词报告!$A$2:$A$22222&gt;=$L$2,IF(搜索词报告!$A$2:$A$22222&lt;=$L$4,搜索词报告!$M$2:$M$22222,0),0),0))</f>
        <v>0</v>
      </c>
      <c r="T103" s="2" t="str">
        <f t="shared" si="14"/>
        <v/>
      </c>
      <c r="U103" t="str">
        <f t="shared" si="15"/>
        <v>点击次数少于10次没有参考性</v>
      </c>
      <c r="V103" s="4" t="str">
        <f>IFERROR(INDEX(搜索词报告!$D$2:$D$22222,MATCH(关键词词频统计!L103,搜索词报告!$H$2:$H$22222,0)),"")</f>
        <v/>
      </c>
    </row>
    <row r="104" spans="2:22" x14ac:dyDescent="0.15">
      <c r="B104">
        <f t="array" ref="B104">SUM(IF(搜索词报告!$H$2:$H$22222=A104,IF(搜索词报告!$A$2:$A$22222&gt;=关键词词频统计!$A$2,IF(搜索词报告!$A$2:$A$22222&lt;=关键词词频统计!$A$4,搜索词报告!$I$2:$I$22222,0),0),0))</f>
        <v>0</v>
      </c>
      <c r="C104">
        <f t="array" ref="C104">SUM(IF(搜索词报告!$H$2:$H$22222=A104,IF(搜索词报告!$A$2:$A$22222&gt;=关键词词频统计!$A$2,IF(搜索词报告!$A$2:$A$22222&lt;=关键词词频统计!$A$4,搜索词报告!$J$2:$J$22222,0),0),0))</f>
        <v>0</v>
      </c>
      <c r="D104" s="2">
        <f t="shared" si="8"/>
        <v>0</v>
      </c>
      <c r="E104" s="2">
        <f t="shared" si="9"/>
        <v>0</v>
      </c>
      <c r="F104">
        <f t="array" ref="F104">SUM(IF(搜索词报告!$H$2:$H$22222=A104,IF(搜索词报告!$A$2:$A$22222&gt;=关键词词频统计!$A$2,IF(搜索词报告!$A$2:$A$22222&lt;=关键词词频统计!$A$4,搜索词报告!$Q$2:$Q$22222,0),0),0))</f>
        <v>0</v>
      </c>
      <c r="G104">
        <f t="array" ref="G104">SUM(IF(搜索词报告!$H$2:$H$22222=A104,IF(搜索词报告!$A$2:$A$22222&gt;=关键词词频统计!$A$2,IF(搜索词报告!$A$2:$A$22222&lt;=关键词词频统计!$A$4,搜索词报告!$N$2:$N$22222,0),0),0))</f>
        <v>0</v>
      </c>
      <c r="H104">
        <f t="array" ref="H104">SUM(IF(搜索词报告!$H$2:$H$22222=A104,IF(搜索词报告!$A$2:$A$22222&gt;=关键词词频统计!$A$2,IF(搜索词报告!$A$2:$A$22222&lt;=关键词词频统计!$A$4,搜索词报告!$M$2:$M$22222,0),0),0))</f>
        <v>0</v>
      </c>
      <c r="I104" s="2" t="str">
        <f t="shared" si="10"/>
        <v/>
      </c>
      <c r="J104" t="str">
        <f t="shared" si="11"/>
        <v>点击次数少于10次没有参考性</v>
      </c>
      <c r="K104" s="4" t="str">
        <f>IFERROR(INDEX(搜索词报告!$D$2:$D$22222,MATCH(关键词词频统计!A104,搜索词报告!$H$2:$H$22222,0)),"")</f>
        <v/>
      </c>
      <c r="M104">
        <f t="array" ref="M104">SUM(IF(搜索词报告!$H$2:$H$22222=L104,IF(搜索词报告!$A$2:$A$22222&gt;=$L$2,IF(搜索词报告!$A$2:$A$22222&lt;=$L$4,搜索词报告!$I$2:$I$22222,0),0),0))</f>
        <v>0</v>
      </c>
      <c r="N104">
        <f t="array" ref="N104">SUM(IF(搜索词报告!$H$2:$H$22222=L104,IF(搜索词报告!$A$2:$A$22222&gt;=$L$2,IF(搜索词报告!$A$2:$A$22222&lt;=$L$4,搜索词报告!$J$2:$J$22222,0),0),0))</f>
        <v>0</v>
      </c>
      <c r="O104" s="2">
        <f t="shared" si="12"/>
        <v>0</v>
      </c>
      <c r="P104" s="2">
        <f t="shared" si="13"/>
        <v>0</v>
      </c>
      <c r="Q104">
        <f t="array" ref="Q104">SUM(IF(搜索词报告!$H$2:$H$22222=L104,IF(搜索词报告!$A$2:$A$22222&gt;=$L$2,IF(搜索词报告!$A$2:$A$22222&lt;=$L$4,搜索词报告!$Q$2:$Q$22222,0),0),0))</f>
        <v>0</v>
      </c>
      <c r="R104">
        <f t="array" ref="R104">SUM(IF(搜索词报告!$H$2:$H$22222=L104,IF(搜索词报告!$A$2:$A$22222&gt;=$L$2,IF(搜索词报告!$A$2:$A$22222&lt;=$L$4,搜索词报告!$N$2:$N$22222,0),0),0))</f>
        <v>0</v>
      </c>
      <c r="S104">
        <f t="array" ref="S104">SUM(IF(搜索词报告!$H$2:$H$22222=L104,IF(搜索词报告!$A$2:$A$22222&gt;=$L$2,IF(搜索词报告!$A$2:$A$22222&lt;=$L$4,搜索词报告!$M$2:$M$22222,0),0),0))</f>
        <v>0</v>
      </c>
      <c r="T104" s="2" t="str">
        <f t="shared" si="14"/>
        <v/>
      </c>
      <c r="U104" t="str">
        <f t="shared" si="15"/>
        <v>点击次数少于10次没有参考性</v>
      </c>
      <c r="V104" s="4" t="str">
        <f>IFERROR(INDEX(搜索词报告!$D$2:$D$22222,MATCH(关键词词频统计!L104,搜索词报告!$H$2:$H$22222,0)),"")</f>
        <v/>
      </c>
    </row>
    <row r="105" spans="2:22" x14ac:dyDescent="0.15">
      <c r="B105">
        <f t="array" ref="B105">SUM(IF(搜索词报告!$H$2:$H$22222=A105,IF(搜索词报告!$A$2:$A$22222&gt;=关键词词频统计!$A$2,IF(搜索词报告!$A$2:$A$22222&lt;=关键词词频统计!$A$4,搜索词报告!$I$2:$I$22222,0),0),0))</f>
        <v>0</v>
      </c>
      <c r="C105">
        <f t="array" ref="C105">SUM(IF(搜索词报告!$H$2:$H$22222=A105,IF(搜索词报告!$A$2:$A$22222&gt;=关键词词频统计!$A$2,IF(搜索词报告!$A$2:$A$22222&lt;=关键词词频统计!$A$4,搜索词报告!$J$2:$J$22222,0),0),0))</f>
        <v>0</v>
      </c>
      <c r="D105" s="2">
        <f t="shared" si="8"/>
        <v>0</v>
      </c>
      <c r="E105" s="2">
        <f t="shared" si="9"/>
        <v>0</v>
      </c>
      <c r="F105">
        <f t="array" ref="F105">SUM(IF(搜索词报告!$H$2:$H$22222=A105,IF(搜索词报告!$A$2:$A$22222&gt;=关键词词频统计!$A$2,IF(搜索词报告!$A$2:$A$22222&lt;=关键词词频统计!$A$4,搜索词报告!$Q$2:$Q$22222,0),0),0))</f>
        <v>0</v>
      </c>
      <c r="G105">
        <f t="array" ref="G105">SUM(IF(搜索词报告!$H$2:$H$22222=A105,IF(搜索词报告!$A$2:$A$22222&gt;=关键词词频统计!$A$2,IF(搜索词报告!$A$2:$A$22222&lt;=关键词词频统计!$A$4,搜索词报告!$N$2:$N$22222,0),0),0))</f>
        <v>0</v>
      </c>
      <c r="H105">
        <f t="array" ref="H105">SUM(IF(搜索词报告!$H$2:$H$22222=A105,IF(搜索词报告!$A$2:$A$22222&gt;=关键词词频统计!$A$2,IF(搜索词报告!$A$2:$A$22222&lt;=关键词词频统计!$A$4,搜索词报告!$M$2:$M$22222,0),0),0))</f>
        <v>0</v>
      </c>
      <c r="I105" s="2" t="str">
        <f t="shared" si="10"/>
        <v/>
      </c>
      <c r="J105" t="str">
        <f t="shared" si="11"/>
        <v>点击次数少于10次没有参考性</v>
      </c>
      <c r="K105" s="4" t="str">
        <f>IFERROR(INDEX(搜索词报告!$D$2:$D$22222,MATCH(关键词词频统计!A105,搜索词报告!$H$2:$H$22222,0)),"")</f>
        <v/>
      </c>
      <c r="M105">
        <f t="array" ref="M105">SUM(IF(搜索词报告!$H$2:$H$22222=L105,IF(搜索词报告!$A$2:$A$22222&gt;=$L$2,IF(搜索词报告!$A$2:$A$22222&lt;=$L$4,搜索词报告!$I$2:$I$22222,0),0),0))</f>
        <v>0</v>
      </c>
      <c r="N105">
        <f t="array" ref="N105">SUM(IF(搜索词报告!$H$2:$H$22222=L105,IF(搜索词报告!$A$2:$A$22222&gt;=$L$2,IF(搜索词报告!$A$2:$A$22222&lt;=$L$4,搜索词报告!$J$2:$J$22222,0),0),0))</f>
        <v>0</v>
      </c>
      <c r="O105" s="2">
        <f t="shared" si="12"/>
        <v>0</v>
      </c>
      <c r="P105" s="2">
        <f t="shared" si="13"/>
        <v>0</v>
      </c>
      <c r="Q105">
        <f t="array" ref="Q105">SUM(IF(搜索词报告!$H$2:$H$22222=L105,IF(搜索词报告!$A$2:$A$22222&gt;=$L$2,IF(搜索词报告!$A$2:$A$22222&lt;=$L$4,搜索词报告!$Q$2:$Q$22222,0),0),0))</f>
        <v>0</v>
      </c>
      <c r="R105">
        <f t="array" ref="R105">SUM(IF(搜索词报告!$H$2:$H$22222=L105,IF(搜索词报告!$A$2:$A$22222&gt;=$L$2,IF(搜索词报告!$A$2:$A$22222&lt;=$L$4,搜索词报告!$N$2:$N$22222,0),0),0))</f>
        <v>0</v>
      </c>
      <c r="S105">
        <f t="array" ref="S105">SUM(IF(搜索词报告!$H$2:$H$22222=L105,IF(搜索词报告!$A$2:$A$22222&gt;=$L$2,IF(搜索词报告!$A$2:$A$22222&lt;=$L$4,搜索词报告!$M$2:$M$22222,0),0),0))</f>
        <v>0</v>
      </c>
      <c r="T105" s="2" t="str">
        <f t="shared" si="14"/>
        <v/>
      </c>
      <c r="U105" t="str">
        <f t="shared" si="15"/>
        <v>点击次数少于10次没有参考性</v>
      </c>
      <c r="V105" s="4" t="str">
        <f>IFERROR(INDEX(搜索词报告!$D$2:$D$22222,MATCH(关键词词频统计!L105,搜索词报告!$H$2:$H$22222,0)),"")</f>
        <v/>
      </c>
    </row>
    <row r="106" spans="2:22" x14ac:dyDescent="0.15">
      <c r="B106">
        <f t="array" ref="B106">SUM(IF(搜索词报告!$H$2:$H$22222=A106,IF(搜索词报告!$A$2:$A$22222&gt;=关键词词频统计!$A$2,IF(搜索词报告!$A$2:$A$22222&lt;=关键词词频统计!$A$4,搜索词报告!$I$2:$I$22222,0),0),0))</f>
        <v>0</v>
      </c>
      <c r="C106">
        <f t="array" ref="C106">SUM(IF(搜索词报告!$H$2:$H$22222=A106,IF(搜索词报告!$A$2:$A$22222&gt;=关键词词频统计!$A$2,IF(搜索词报告!$A$2:$A$22222&lt;=关键词词频统计!$A$4,搜索词报告!$J$2:$J$22222,0),0),0))</f>
        <v>0</v>
      </c>
      <c r="D106" s="2">
        <f t="shared" si="8"/>
        <v>0</v>
      </c>
      <c r="E106" s="2">
        <f t="shared" si="9"/>
        <v>0</v>
      </c>
      <c r="F106">
        <f t="array" ref="F106">SUM(IF(搜索词报告!$H$2:$H$22222=A106,IF(搜索词报告!$A$2:$A$22222&gt;=关键词词频统计!$A$2,IF(搜索词报告!$A$2:$A$22222&lt;=关键词词频统计!$A$4,搜索词报告!$Q$2:$Q$22222,0),0),0))</f>
        <v>0</v>
      </c>
      <c r="G106">
        <f t="array" ref="G106">SUM(IF(搜索词报告!$H$2:$H$22222=A106,IF(搜索词报告!$A$2:$A$22222&gt;=关键词词频统计!$A$2,IF(搜索词报告!$A$2:$A$22222&lt;=关键词词频统计!$A$4,搜索词报告!$N$2:$N$22222,0),0),0))</f>
        <v>0</v>
      </c>
      <c r="H106">
        <f t="array" ref="H106">SUM(IF(搜索词报告!$H$2:$H$22222=A106,IF(搜索词报告!$A$2:$A$22222&gt;=关键词词频统计!$A$2,IF(搜索词报告!$A$2:$A$22222&lt;=关键词词频统计!$A$4,搜索词报告!$M$2:$M$22222,0),0),0))</f>
        <v>0</v>
      </c>
      <c r="I106" s="2" t="str">
        <f t="shared" si="10"/>
        <v/>
      </c>
      <c r="J106" t="str">
        <f t="shared" si="11"/>
        <v>点击次数少于10次没有参考性</v>
      </c>
      <c r="K106" s="4" t="str">
        <f>IFERROR(INDEX(搜索词报告!$D$2:$D$22222,MATCH(关键词词频统计!A106,搜索词报告!$H$2:$H$22222,0)),"")</f>
        <v/>
      </c>
      <c r="M106">
        <f t="array" ref="M106">SUM(IF(搜索词报告!$H$2:$H$22222=L106,IF(搜索词报告!$A$2:$A$22222&gt;=$L$2,IF(搜索词报告!$A$2:$A$22222&lt;=$L$4,搜索词报告!$I$2:$I$22222,0),0),0))</f>
        <v>0</v>
      </c>
      <c r="N106">
        <f t="array" ref="N106">SUM(IF(搜索词报告!$H$2:$H$22222=L106,IF(搜索词报告!$A$2:$A$22222&gt;=$L$2,IF(搜索词报告!$A$2:$A$22222&lt;=$L$4,搜索词报告!$J$2:$J$22222,0),0),0))</f>
        <v>0</v>
      </c>
      <c r="O106" s="2">
        <f t="shared" si="12"/>
        <v>0</v>
      </c>
      <c r="P106" s="2">
        <f t="shared" si="13"/>
        <v>0</v>
      </c>
      <c r="Q106">
        <f t="array" ref="Q106">SUM(IF(搜索词报告!$H$2:$H$22222=L106,IF(搜索词报告!$A$2:$A$22222&gt;=$L$2,IF(搜索词报告!$A$2:$A$22222&lt;=$L$4,搜索词报告!$Q$2:$Q$22222,0),0),0))</f>
        <v>0</v>
      </c>
      <c r="R106">
        <f t="array" ref="R106">SUM(IF(搜索词报告!$H$2:$H$22222=L106,IF(搜索词报告!$A$2:$A$22222&gt;=$L$2,IF(搜索词报告!$A$2:$A$22222&lt;=$L$4,搜索词报告!$N$2:$N$22222,0),0),0))</f>
        <v>0</v>
      </c>
      <c r="S106">
        <f t="array" ref="S106">SUM(IF(搜索词报告!$H$2:$H$22222=L106,IF(搜索词报告!$A$2:$A$22222&gt;=$L$2,IF(搜索词报告!$A$2:$A$22222&lt;=$L$4,搜索词报告!$M$2:$M$22222,0),0),0))</f>
        <v>0</v>
      </c>
      <c r="T106" s="2" t="str">
        <f t="shared" si="14"/>
        <v/>
      </c>
      <c r="U106" t="str">
        <f t="shared" si="15"/>
        <v>点击次数少于10次没有参考性</v>
      </c>
      <c r="V106" s="4" t="str">
        <f>IFERROR(INDEX(搜索词报告!$D$2:$D$22222,MATCH(关键词词频统计!L106,搜索词报告!$H$2:$H$22222,0)),"")</f>
        <v/>
      </c>
    </row>
    <row r="107" spans="2:22" x14ac:dyDescent="0.15">
      <c r="B107">
        <f t="array" ref="B107">SUM(IF(搜索词报告!$H$2:$H$22222=A107,IF(搜索词报告!$A$2:$A$22222&gt;=关键词词频统计!$A$2,IF(搜索词报告!$A$2:$A$22222&lt;=关键词词频统计!$A$4,搜索词报告!$I$2:$I$22222,0),0),0))</f>
        <v>0</v>
      </c>
      <c r="C107">
        <f t="array" ref="C107">SUM(IF(搜索词报告!$H$2:$H$22222=A107,IF(搜索词报告!$A$2:$A$22222&gt;=关键词词频统计!$A$2,IF(搜索词报告!$A$2:$A$22222&lt;=关键词词频统计!$A$4,搜索词报告!$J$2:$J$22222,0),0),0))</f>
        <v>0</v>
      </c>
      <c r="D107" s="2">
        <f t="shared" si="8"/>
        <v>0</v>
      </c>
      <c r="E107" s="2">
        <f t="shared" si="9"/>
        <v>0</v>
      </c>
      <c r="F107">
        <f t="array" ref="F107">SUM(IF(搜索词报告!$H$2:$H$22222=A107,IF(搜索词报告!$A$2:$A$22222&gt;=关键词词频统计!$A$2,IF(搜索词报告!$A$2:$A$22222&lt;=关键词词频统计!$A$4,搜索词报告!$Q$2:$Q$22222,0),0),0))</f>
        <v>0</v>
      </c>
      <c r="G107">
        <f t="array" ref="G107">SUM(IF(搜索词报告!$H$2:$H$22222=A107,IF(搜索词报告!$A$2:$A$22222&gt;=关键词词频统计!$A$2,IF(搜索词报告!$A$2:$A$22222&lt;=关键词词频统计!$A$4,搜索词报告!$N$2:$N$22222,0),0),0))</f>
        <v>0</v>
      </c>
      <c r="H107">
        <f t="array" ref="H107">SUM(IF(搜索词报告!$H$2:$H$22222=A107,IF(搜索词报告!$A$2:$A$22222&gt;=关键词词频统计!$A$2,IF(搜索词报告!$A$2:$A$22222&lt;=关键词词频统计!$A$4,搜索词报告!$M$2:$M$22222,0),0),0))</f>
        <v>0</v>
      </c>
      <c r="I107" s="2" t="str">
        <f t="shared" si="10"/>
        <v/>
      </c>
      <c r="J107" t="str">
        <f t="shared" si="11"/>
        <v>点击次数少于10次没有参考性</v>
      </c>
      <c r="K107" s="4" t="str">
        <f>IFERROR(INDEX(搜索词报告!$D$2:$D$22222,MATCH(关键词词频统计!A107,搜索词报告!$H$2:$H$22222,0)),"")</f>
        <v/>
      </c>
      <c r="M107">
        <f t="array" ref="M107">SUM(IF(搜索词报告!$H$2:$H$22222=L107,IF(搜索词报告!$A$2:$A$22222&gt;=$L$2,IF(搜索词报告!$A$2:$A$22222&lt;=$L$4,搜索词报告!$I$2:$I$22222,0),0),0))</f>
        <v>0</v>
      </c>
      <c r="N107">
        <f t="array" ref="N107">SUM(IF(搜索词报告!$H$2:$H$22222=L107,IF(搜索词报告!$A$2:$A$22222&gt;=$L$2,IF(搜索词报告!$A$2:$A$22222&lt;=$L$4,搜索词报告!$J$2:$J$22222,0),0),0))</f>
        <v>0</v>
      </c>
      <c r="O107" s="2">
        <f t="shared" si="12"/>
        <v>0</v>
      </c>
      <c r="P107" s="2">
        <f t="shared" si="13"/>
        <v>0</v>
      </c>
      <c r="Q107">
        <f t="array" ref="Q107">SUM(IF(搜索词报告!$H$2:$H$22222=L107,IF(搜索词报告!$A$2:$A$22222&gt;=$L$2,IF(搜索词报告!$A$2:$A$22222&lt;=$L$4,搜索词报告!$Q$2:$Q$22222,0),0),0))</f>
        <v>0</v>
      </c>
      <c r="R107">
        <f t="array" ref="R107">SUM(IF(搜索词报告!$H$2:$H$22222=L107,IF(搜索词报告!$A$2:$A$22222&gt;=$L$2,IF(搜索词报告!$A$2:$A$22222&lt;=$L$4,搜索词报告!$N$2:$N$22222,0),0),0))</f>
        <v>0</v>
      </c>
      <c r="S107">
        <f t="array" ref="S107">SUM(IF(搜索词报告!$H$2:$H$22222=L107,IF(搜索词报告!$A$2:$A$22222&gt;=$L$2,IF(搜索词报告!$A$2:$A$22222&lt;=$L$4,搜索词报告!$M$2:$M$22222,0),0),0))</f>
        <v>0</v>
      </c>
      <c r="T107" s="2" t="str">
        <f t="shared" si="14"/>
        <v/>
      </c>
      <c r="U107" t="str">
        <f t="shared" si="15"/>
        <v>点击次数少于10次没有参考性</v>
      </c>
      <c r="V107" s="4" t="str">
        <f>IFERROR(INDEX(搜索词报告!$D$2:$D$22222,MATCH(关键词词频统计!L107,搜索词报告!$H$2:$H$22222,0)),"")</f>
        <v/>
      </c>
    </row>
    <row r="108" spans="2:22" x14ac:dyDescent="0.15">
      <c r="B108">
        <f t="array" ref="B108">SUM(IF(搜索词报告!$H$2:$H$22222=A108,IF(搜索词报告!$A$2:$A$22222&gt;=关键词词频统计!$A$2,IF(搜索词报告!$A$2:$A$22222&lt;=关键词词频统计!$A$4,搜索词报告!$I$2:$I$22222,0),0),0))</f>
        <v>0</v>
      </c>
      <c r="C108">
        <f t="array" ref="C108">SUM(IF(搜索词报告!$H$2:$H$22222=A108,IF(搜索词报告!$A$2:$A$22222&gt;=关键词词频统计!$A$2,IF(搜索词报告!$A$2:$A$22222&lt;=关键词词频统计!$A$4,搜索词报告!$J$2:$J$22222,0),0),0))</f>
        <v>0</v>
      </c>
      <c r="D108" s="2">
        <f t="shared" si="8"/>
        <v>0</v>
      </c>
      <c r="E108" s="2">
        <f t="shared" si="9"/>
        <v>0</v>
      </c>
      <c r="F108">
        <f t="array" ref="F108">SUM(IF(搜索词报告!$H$2:$H$22222=A108,IF(搜索词报告!$A$2:$A$22222&gt;=关键词词频统计!$A$2,IF(搜索词报告!$A$2:$A$22222&lt;=关键词词频统计!$A$4,搜索词报告!$Q$2:$Q$22222,0),0),0))</f>
        <v>0</v>
      </c>
      <c r="G108">
        <f t="array" ref="G108">SUM(IF(搜索词报告!$H$2:$H$22222=A108,IF(搜索词报告!$A$2:$A$22222&gt;=关键词词频统计!$A$2,IF(搜索词报告!$A$2:$A$22222&lt;=关键词词频统计!$A$4,搜索词报告!$N$2:$N$22222,0),0),0))</f>
        <v>0</v>
      </c>
      <c r="H108">
        <f t="array" ref="H108">SUM(IF(搜索词报告!$H$2:$H$22222=A108,IF(搜索词报告!$A$2:$A$22222&gt;=关键词词频统计!$A$2,IF(搜索词报告!$A$2:$A$22222&lt;=关键词词频统计!$A$4,搜索词报告!$M$2:$M$22222,0),0),0))</f>
        <v>0</v>
      </c>
      <c r="I108" s="2" t="str">
        <f t="shared" si="10"/>
        <v/>
      </c>
      <c r="J108" t="str">
        <f t="shared" si="11"/>
        <v>点击次数少于10次没有参考性</v>
      </c>
      <c r="K108" s="4" t="str">
        <f>IFERROR(INDEX(搜索词报告!$D$2:$D$22222,MATCH(关键词词频统计!A108,搜索词报告!$H$2:$H$22222,0)),"")</f>
        <v/>
      </c>
      <c r="M108">
        <f t="array" ref="M108">SUM(IF(搜索词报告!$H$2:$H$22222=L108,IF(搜索词报告!$A$2:$A$22222&gt;=$L$2,IF(搜索词报告!$A$2:$A$22222&lt;=$L$4,搜索词报告!$I$2:$I$22222,0),0),0))</f>
        <v>0</v>
      </c>
      <c r="N108">
        <f t="array" ref="N108">SUM(IF(搜索词报告!$H$2:$H$22222=L108,IF(搜索词报告!$A$2:$A$22222&gt;=$L$2,IF(搜索词报告!$A$2:$A$22222&lt;=$L$4,搜索词报告!$J$2:$J$22222,0),0),0))</f>
        <v>0</v>
      </c>
      <c r="O108" s="2">
        <f t="shared" si="12"/>
        <v>0</v>
      </c>
      <c r="P108" s="2">
        <f t="shared" si="13"/>
        <v>0</v>
      </c>
      <c r="Q108">
        <f t="array" ref="Q108">SUM(IF(搜索词报告!$H$2:$H$22222=L108,IF(搜索词报告!$A$2:$A$22222&gt;=$L$2,IF(搜索词报告!$A$2:$A$22222&lt;=$L$4,搜索词报告!$Q$2:$Q$22222,0),0),0))</f>
        <v>0</v>
      </c>
      <c r="R108">
        <f t="array" ref="R108">SUM(IF(搜索词报告!$H$2:$H$22222=L108,IF(搜索词报告!$A$2:$A$22222&gt;=$L$2,IF(搜索词报告!$A$2:$A$22222&lt;=$L$4,搜索词报告!$N$2:$N$22222,0),0),0))</f>
        <v>0</v>
      </c>
      <c r="S108">
        <f t="array" ref="S108">SUM(IF(搜索词报告!$H$2:$H$22222=L108,IF(搜索词报告!$A$2:$A$22222&gt;=$L$2,IF(搜索词报告!$A$2:$A$22222&lt;=$L$4,搜索词报告!$M$2:$M$22222,0),0),0))</f>
        <v>0</v>
      </c>
      <c r="T108" s="2" t="str">
        <f t="shared" si="14"/>
        <v/>
      </c>
      <c r="U108" t="str">
        <f t="shared" si="15"/>
        <v>点击次数少于10次没有参考性</v>
      </c>
      <c r="V108" s="4" t="str">
        <f>IFERROR(INDEX(搜索词报告!$D$2:$D$22222,MATCH(关键词词频统计!L108,搜索词报告!$H$2:$H$22222,0)),"")</f>
        <v/>
      </c>
    </row>
    <row r="109" spans="2:22" x14ac:dyDescent="0.15">
      <c r="B109">
        <f t="array" ref="B109">SUM(IF(搜索词报告!$H$2:$H$22222=A109,IF(搜索词报告!$A$2:$A$22222&gt;=关键词词频统计!$A$2,IF(搜索词报告!$A$2:$A$22222&lt;=关键词词频统计!$A$4,搜索词报告!$I$2:$I$22222,0),0),0))</f>
        <v>0</v>
      </c>
      <c r="C109">
        <f t="array" ref="C109">SUM(IF(搜索词报告!$H$2:$H$22222=A109,IF(搜索词报告!$A$2:$A$22222&gt;=关键词词频统计!$A$2,IF(搜索词报告!$A$2:$A$22222&lt;=关键词词频统计!$A$4,搜索词报告!$J$2:$J$22222,0),0),0))</f>
        <v>0</v>
      </c>
      <c r="D109" s="2">
        <f t="shared" si="8"/>
        <v>0</v>
      </c>
      <c r="E109" s="2">
        <f t="shared" si="9"/>
        <v>0</v>
      </c>
      <c r="F109">
        <f t="array" ref="F109">SUM(IF(搜索词报告!$H$2:$H$22222=A109,IF(搜索词报告!$A$2:$A$22222&gt;=关键词词频统计!$A$2,IF(搜索词报告!$A$2:$A$22222&lt;=关键词词频统计!$A$4,搜索词报告!$Q$2:$Q$22222,0),0),0))</f>
        <v>0</v>
      </c>
      <c r="G109">
        <f t="array" ref="G109">SUM(IF(搜索词报告!$H$2:$H$22222=A109,IF(搜索词报告!$A$2:$A$22222&gt;=关键词词频统计!$A$2,IF(搜索词报告!$A$2:$A$22222&lt;=关键词词频统计!$A$4,搜索词报告!$N$2:$N$22222,0),0),0))</f>
        <v>0</v>
      </c>
      <c r="H109">
        <f t="array" ref="H109">SUM(IF(搜索词报告!$H$2:$H$22222=A109,IF(搜索词报告!$A$2:$A$22222&gt;=关键词词频统计!$A$2,IF(搜索词报告!$A$2:$A$22222&lt;=关键词词频统计!$A$4,搜索词报告!$M$2:$M$22222,0),0),0))</f>
        <v>0</v>
      </c>
      <c r="I109" s="2" t="str">
        <f t="shared" si="10"/>
        <v/>
      </c>
      <c r="J109" t="str">
        <f t="shared" si="11"/>
        <v>点击次数少于10次没有参考性</v>
      </c>
      <c r="K109" s="4" t="str">
        <f>IFERROR(INDEX(搜索词报告!$D$2:$D$22222,MATCH(关键词词频统计!A109,搜索词报告!$H$2:$H$22222,0)),"")</f>
        <v/>
      </c>
      <c r="M109">
        <f t="array" ref="M109">SUM(IF(搜索词报告!$H$2:$H$22222=L109,IF(搜索词报告!$A$2:$A$22222&gt;=$L$2,IF(搜索词报告!$A$2:$A$22222&lt;=$L$4,搜索词报告!$I$2:$I$22222,0),0),0))</f>
        <v>0</v>
      </c>
      <c r="N109">
        <f t="array" ref="N109">SUM(IF(搜索词报告!$H$2:$H$22222=L109,IF(搜索词报告!$A$2:$A$22222&gt;=$L$2,IF(搜索词报告!$A$2:$A$22222&lt;=$L$4,搜索词报告!$J$2:$J$22222,0),0),0))</f>
        <v>0</v>
      </c>
      <c r="O109" s="2">
        <f t="shared" si="12"/>
        <v>0</v>
      </c>
      <c r="P109" s="2">
        <f t="shared" si="13"/>
        <v>0</v>
      </c>
      <c r="Q109">
        <f t="array" ref="Q109">SUM(IF(搜索词报告!$H$2:$H$22222=L109,IF(搜索词报告!$A$2:$A$22222&gt;=$L$2,IF(搜索词报告!$A$2:$A$22222&lt;=$L$4,搜索词报告!$Q$2:$Q$22222,0),0),0))</f>
        <v>0</v>
      </c>
      <c r="R109">
        <f t="array" ref="R109">SUM(IF(搜索词报告!$H$2:$H$22222=L109,IF(搜索词报告!$A$2:$A$22222&gt;=$L$2,IF(搜索词报告!$A$2:$A$22222&lt;=$L$4,搜索词报告!$N$2:$N$22222,0),0),0))</f>
        <v>0</v>
      </c>
      <c r="S109">
        <f t="array" ref="S109">SUM(IF(搜索词报告!$H$2:$H$22222=L109,IF(搜索词报告!$A$2:$A$22222&gt;=$L$2,IF(搜索词报告!$A$2:$A$22222&lt;=$L$4,搜索词报告!$M$2:$M$22222,0),0),0))</f>
        <v>0</v>
      </c>
      <c r="T109" s="2" t="str">
        <f t="shared" si="14"/>
        <v/>
      </c>
      <c r="U109" t="str">
        <f t="shared" si="15"/>
        <v>点击次数少于10次没有参考性</v>
      </c>
      <c r="V109" s="4" t="str">
        <f>IFERROR(INDEX(搜索词报告!$D$2:$D$22222,MATCH(关键词词频统计!L109,搜索词报告!$H$2:$H$22222,0)),"")</f>
        <v/>
      </c>
    </row>
    <row r="110" spans="2:22" x14ac:dyDescent="0.15">
      <c r="B110">
        <f t="array" ref="B110">SUM(IF(搜索词报告!$H$2:$H$22222=A110,IF(搜索词报告!$A$2:$A$22222&gt;=关键词词频统计!$A$2,IF(搜索词报告!$A$2:$A$22222&lt;=关键词词频统计!$A$4,搜索词报告!$I$2:$I$22222,0),0),0))</f>
        <v>0</v>
      </c>
      <c r="C110">
        <f t="array" ref="C110">SUM(IF(搜索词报告!$H$2:$H$22222=A110,IF(搜索词报告!$A$2:$A$22222&gt;=关键词词频统计!$A$2,IF(搜索词报告!$A$2:$A$22222&lt;=关键词词频统计!$A$4,搜索词报告!$J$2:$J$22222,0),0),0))</f>
        <v>0</v>
      </c>
      <c r="D110" s="2">
        <f t="shared" si="8"/>
        <v>0</v>
      </c>
      <c r="E110" s="2">
        <f t="shared" si="9"/>
        <v>0</v>
      </c>
      <c r="F110">
        <f t="array" ref="F110">SUM(IF(搜索词报告!$H$2:$H$22222=A110,IF(搜索词报告!$A$2:$A$22222&gt;=关键词词频统计!$A$2,IF(搜索词报告!$A$2:$A$22222&lt;=关键词词频统计!$A$4,搜索词报告!$Q$2:$Q$22222,0),0),0))</f>
        <v>0</v>
      </c>
      <c r="G110">
        <f t="array" ref="G110">SUM(IF(搜索词报告!$H$2:$H$22222=A110,IF(搜索词报告!$A$2:$A$22222&gt;=关键词词频统计!$A$2,IF(搜索词报告!$A$2:$A$22222&lt;=关键词词频统计!$A$4,搜索词报告!$N$2:$N$22222,0),0),0))</f>
        <v>0</v>
      </c>
      <c r="H110">
        <f t="array" ref="H110">SUM(IF(搜索词报告!$H$2:$H$22222=A110,IF(搜索词报告!$A$2:$A$22222&gt;=关键词词频统计!$A$2,IF(搜索词报告!$A$2:$A$22222&lt;=关键词词频统计!$A$4,搜索词报告!$M$2:$M$22222,0),0),0))</f>
        <v>0</v>
      </c>
      <c r="I110" s="2" t="str">
        <f t="shared" si="10"/>
        <v/>
      </c>
      <c r="J110" t="str">
        <f t="shared" si="11"/>
        <v>点击次数少于10次没有参考性</v>
      </c>
      <c r="K110" s="4" t="str">
        <f>IFERROR(INDEX(搜索词报告!$D$2:$D$22222,MATCH(关键词词频统计!A110,搜索词报告!$H$2:$H$22222,0)),"")</f>
        <v/>
      </c>
      <c r="M110">
        <f t="array" ref="M110">SUM(IF(搜索词报告!$H$2:$H$22222=L110,IF(搜索词报告!$A$2:$A$22222&gt;=$L$2,IF(搜索词报告!$A$2:$A$22222&lt;=$L$4,搜索词报告!$I$2:$I$22222,0),0),0))</f>
        <v>0</v>
      </c>
      <c r="N110">
        <f t="array" ref="N110">SUM(IF(搜索词报告!$H$2:$H$22222=L110,IF(搜索词报告!$A$2:$A$22222&gt;=$L$2,IF(搜索词报告!$A$2:$A$22222&lt;=$L$4,搜索词报告!$J$2:$J$22222,0),0),0))</f>
        <v>0</v>
      </c>
      <c r="O110" s="2">
        <f t="shared" si="12"/>
        <v>0</v>
      </c>
      <c r="P110" s="2">
        <f t="shared" si="13"/>
        <v>0</v>
      </c>
      <c r="Q110">
        <f t="array" ref="Q110">SUM(IF(搜索词报告!$H$2:$H$22222=L110,IF(搜索词报告!$A$2:$A$22222&gt;=$L$2,IF(搜索词报告!$A$2:$A$22222&lt;=$L$4,搜索词报告!$Q$2:$Q$22222,0),0),0))</f>
        <v>0</v>
      </c>
      <c r="R110">
        <f t="array" ref="R110">SUM(IF(搜索词报告!$H$2:$H$22222=L110,IF(搜索词报告!$A$2:$A$22222&gt;=$L$2,IF(搜索词报告!$A$2:$A$22222&lt;=$L$4,搜索词报告!$N$2:$N$22222,0),0),0))</f>
        <v>0</v>
      </c>
      <c r="S110">
        <f t="array" ref="S110">SUM(IF(搜索词报告!$H$2:$H$22222=L110,IF(搜索词报告!$A$2:$A$22222&gt;=$L$2,IF(搜索词报告!$A$2:$A$22222&lt;=$L$4,搜索词报告!$M$2:$M$22222,0),0),0))</f>
        <v>0</v>
      </c>
      <c r="T110" s="2" t="str">
        <f t="shared" si="14"/>
        <v/>
      </c>
      <c r="U110" t="str">
        <f t="shared" si="15"/>
        <v>点击次数少于10次没有参考性</v>
      </c>
      <c r="V110" s="4" t="str">
        <f>IFERROR(INDEX(搜索词报告!$D$2:$D$22222,MATCH(关键词词频统计!L110,搜索词报告!$H$2:$H$22222,0)),"")</f>
        <v/>
      </c>
    </row>
    <row r="111" spans="2:22" x14ac:dyDescent="0.15">
      <c r="B111">
        <f t="array" ref="B111">SUM(IF(搜索词报告!$H$2:$H$22222=A111,IF(搜索词报告!$A$2:$A$22222&gt;=关键词词频统计!$A$2,IF(搜索词报告!$A$2:$A$22222&lt;=关键词词频统计!$A$4,搜索词报告!$I$2:$I$22222,0),0),0))</f>
        <v>0</v>
      </c>
      <c r="C111">
        <f t="array" ref="C111">SUM(IF(搜索词报告!$H$2:$H$22222=A111,IF(搜索词报告!$A$2:$A$22222&gt;=关键词词频统计!$A$2,IF(搜索词报告!$A$2:$A$22222&lt;=关键词词频统计!$A$4,搜索词报告!$J$2:$J$22222,0),0),0))</f>
        <v>0</v>
      </c>
      <c r="D111" s="2">
        <f t="shared" si="8"/>
        <v>0</v>
      </c>
      <c r="E111" s="2">
        <f t="shared" si="9"/>
        <v>0</v>
      </c>
      <c r="F111">
        <f t="array" ref="F111">SUM(IF(搜索词报告!$H$2:$H$22222=A111,IF(搜索词报告!$A$2:$A$22222&gt;=关键词词频统计!$A$2,IF(搜索词报告!$A$2:$A$22222&lt;=关键词词频统计!$A$4,搜索词报告!$Q$2:$Q$22222,0),0),0))</f>
        <v>0</v>
      </c>
      <c r="G111">
        <f t="array" ref="G111">SUM(IF(搜索词报告!$H$2:$H$22222=A111,IF(搜索词报告!$A$2:$A$22222&gt;=关键词词频统计!$A$2,IF(搜索词报告!$A$2:$A$22222&lt;=关键词词频统计!$A$4,搜索词报告!$N$2:$N$22222,0),0),0))</f>
        <v>0</v>
      </c>
      <c r="H111">
        <f t="array" ref="H111">SUM(IF(搜索词报告!$H$2:$H$22222=A111,IF(搜索词报告!$A$2:$A$22222&gt;=关键词词频统计!$A$2,IF(搜索词报告!$A$2:$A$22222&lt;=关键词词频统计!$A$4,搜索词报告!$M$2:$M$22222,0),0),0))</f>
        <v>0</v>
      </c>
      <c r="I111" s="2" t="str">
        <f t="shared" si="10"/>
        <v/>
      </c>
      <c r="J111" t="str">
        <f t="shared" si="11"/>
        <v>点击次数少于10次没有参考性</v>
      </c>
      <c r="K111" s="4" t="str">
        <f>IFERROR(INDEX(搜索词报告!$D$2:$D$22222,MATCH(关键词词频统计!A111,搜索词报告!$H$2:$H$22222,0)),"")</f>
        <v/>
      </c>
      <c r="M111">
        <f t="array" ref="M111">SUM(IF(搜索词报告!$H$2:$H$22222=L111,IF(搜索词报告!$A$2:$A$22222&gt;=$L$2,IF(搜索词报告!$A$2:$A$22222&lt;=$L$4,搜索词报告!$I$2:$I$22222,0),0),0))</f>
        <v>0</v>
      </c>
      <c r="N111">
        <f t="array" ref="N111">SUM(IF(搜索词报告!$H$2:$H$22222=L111,IF(搜索词报告!$A$2:$A$22222&gt;=$L$2,IF(搜索词报告!$A$2:$A$22222&lt;=$L$4,搜索词报告!$J$2:$J$22222,0),0),0))</f>
        <v>0</v>
      </c>
      <c r="O111" s="2">
        <f t="shared" si="12"/>
        <v>0</v>
      </c>
      <c r="P111" s="2">
        <f t="shared" si="13"/>
        <v>0</v>
      </c>
      <c r="Q111">
        <f t="array" ref="Q111">SUM(IF(搜索词报告!$H$2:$H$22222=L111,IF(搜索词报告!$A$2:$A$22222&gt;=$L$2,IF(搜索词报告!$A$2:$A$22222&lt;=$L$4,搜索词报告!$Q$2:$Q$22222,0),0),0))</f>
        <v>0</v>
      </c>
      <c r="R111">
        <f t="array" ref="R111">SUM(IF(搜索词报告!$H$2:$H$22222=L111,IF(搜索词报告!$A$2:$A$22222&gt;=$L$2,IF(搜索词报告!$A$2:$A$22222&lt;=$L$4,搜索词报告!$N$2:$N$22222,0),0),0))</f>
        <v>0</v>
      </c>
      <c r="S111">
        <f t="array" ref="S111">SUM(IF(搜索词报告!$H$2:$H$22222=L111,IF(搜索词报告!$A$2:$A$22222&gt;=$L$2,IF(搜索词报告!$A$2:$A$22222&lt;=$L$4,搜索词报告!$M$2:$M$22222,0),0),0))</f>
        <v>0</v>
      </c>
      <c r="T111" s="2" t="str">
        <f t="shared" si="14"/>
        <v/>
      </c>
      <c r="U111" t="str">
        <f t="shared" si="15"/>
        <v>点击次数少于10次没有参考性</v>
      </c>
      <c r="V111" s="4" t="str">
        <f>IFERROR(INDEX(搜索词报告!$D$2:$D$22222,MATCH(关键词词频统计!L111,搜索词报告!$H$2:$H$22222,0)),"")</f>
        <v/>
      </c>
    </row>
    <row r="112" spans="2:22" x14ac:dyDescent="0.15">
      <c r="B112">
        <f t="array" ref="B112">SUM(IF(搜索词报告!$H$2:$H$22222=A112,IF(搜索词报告!$A$2:$A$22222&gt;=关键词词频统计!$A$2,IF(搜索词报告!$A$2:$A$22222&lt;=关键词词频统计!$A$4,搜索词报告!$I$2:$I$22222,0),0),0))</f>
        <v>0</v>
      </c>
      <c r="C112">
        <f t="array" ref="C112">SUM(IF(搜索词报告!$H$2:$H$22222=A112,IF(搜索词报告!$A$2:$A$22222&gt;=关键词词频统计!$A$2,IF(搜索词报告!$A$2:$A$22222&lt;=关键词词频统计!$A$4,搜索词报告!$J$2:$J$22222,0),0),0))</f>
        <v>0</v>
      </c>
      <c r="D112" s="2">
        <f t="shared" si="8"/>
        <v>0</v>
      </c>
      <c r="E112" s="2">
        <f t="shared" si="9"/>
        <v>0</v>
      </c>
      <c r="F112">
        <f t="array" ref="F112">SUM(IF(搜索词报告!$H$2:$H$22222=A112,IF(搜索词报告!$A$2:$A$22222&gt;=关键词词频统计!$A$2,IF(搜索词报告!$A$2:$A$22222&lt;=关键词词频统计!$A$4,搜索词报告!$Q$2:$Q$22222,0),0),0))</f>
        <v>0</v>
      </c>
      <c r="G112">
        <f t="array" ref="G112">SUM(IF(搜索词报告!$H$2:$H$22222=A112,IF(搜索词报告!$A$2:$A$22222&gt;=关键词词频统计!$A$2,IF(搜索词报告!$A$2:$A$22222&lt;=关键词词频统计!$A$4,搜索词报告!$N$2:$N$22222,0),0),0))</f>
        <v>0</v>
      </c>
      <c r="H112">
        <f t="array" ref="H112">SUM(IF(搜索词报告!$H$2:$H$22222=A112,IF(搜索词报告!$A$2:$A$22222&gt;=关键词词频统计!$A$2,IF(搜索词报告!$A$2:$A$22222&lt;=关键词词频统计!$A$4,搜索词报告!$M$2:$M$22222,0),0),0))</f>
        <v>0</v>
      </c>
      <c r="I112" s="2" t="str">
        <f t="shared" si="10"/>
        <v/>
      </c>
      <c r="J112" t="str">
        <f t="shared" si="11"/>
        <v>点击次数少于10次没有参考性</v>
      </c>
      <c r="K112" s="4" t="str">
        <f>IFERROR(INDEX(搜索词报告!$D$2:$D$22222,MATCH(关键词词频统计!A112,搜索词报告!$H$2:$H$22222,0)),"")</f>
        <v/>
      </c>
      <c r="M112">
        <f t="array" ref="M112">SUM(IF(搜索词报告!$H$2:$H$22222=L112,IF(搜索词报告!$A$2:$A$22222&gt;=$L$2,IF(搜索词报告!$A$2:$A$22222&lt;=$L$4,搜索词报告!$I$2:$I$22222,0),0),0))</f>
        <v>0</v>
      </c>
      <c r="N112">
        <f t="array" ref="N112">SUM(IF(搜索词报告!$H$2:$H$22222=L112,IF(搜索词报告!$A$2:$A$22222&gt;=$L$2,IF(搜索词报告!$A$2:$A$22222&lt;=$L$4,搜索词报告!$J$2:$J$22222,0),0),0))</f>
        <v>0</v>
      </c>
      <c r="O112" s="2">
        <f t="shared" si="12"/>
        <v>0</v>
      </c>
      <c r="P112" s="2">
        <f t="shared" si="13"/>
        <v>0</v>
      </c>
      <c r="Q112">
        <f t="array" ref="Q112">SUM(IF(搜索词报告!$H$2:$H$22222=L112,IF(搜索词报告!$A$2:$A$22222&gt;=$L$2,IF(搜索词报告!$A$2:$A$22222&lt;=$L$4,搜索词报告!$Q$2:$Q$22222,0),0),0))</f>
        <v>0</v>
      </c>
      <c r="R112">
        <f t="array" ref="R112">SUM(IF(搜索词报告!$H$2:$H$22222=L112,IF(搜索词报告!$A$2:$A$22222&gt;=$L$2,IF(搜索词报告!$A$2:$A$22222&lt;=$L$4,搜索词报告!$N$2:$N$22222,0),0),0))</f>
        <v>0</v>
      </c>
      <c r="S112">
        <f t="array" ref="S112">SUM(IF(搜索词报告!$H$2:$H$22222=L112,IF(搜索词报告!$A$2:$A$22222&gt;=$L$2,IF(搜索词报告!$A$2:$A$22222&lt;=$L$4,搜索词报告!$M$2:$M$22222,0),0),0))</f>
        <v>0</v>
      </c>
      <c r="T112" s="2" t="str">
        <f t="shared" si="14"/>
        <v/>
      </c>
      <c r="U112" t="str">
        <f t="shared" si="15"/>
        <v>点击次数少于10次没有参考性</v>
      </c>
      <c r="V112" s="4" t="str">
        <f>IFERROR(INDEX(搜索词报告!$D$2:$D$22222,MATCH(关键词词频统计!L112,搜索词报告!$H$2:$H$22222,0)),"")</f>
        <v/>
      </c>
    </row>
    <row r="113" spans="2:22" x14ac:dyDescent="0.15">
      <c r="B113">
        <f t="array" ref="B113">SUM(IF(搜索词报告!$H$2:$H$22222=A113,IF(搜索词报告!$A$2:$A$22222&gt;=关键词词频统计!$A$2,IF(搜索词报告!$A$2:$A$22222&lt;=关键词词频统计!$A$4,搜索词报告!$I$2:$I$22222,0),0),0))</f>
        <v>0</v>
      </c>
      <c r="C113">
        <f t="array" ref="C113">SUM(IF(搜索词报告!$H$2:$H$22222=A113,IF(搜索词报告!$A$2:$A$22222&gt;=关键词词频统计!$A$2,IF(搜索词报告!$A$2:$A$22222&lt;=关键词词频统计!$A$4,搜索词报告!$J$2:$J$22222,0),0),0))</f>
        <v>0</v>
      </c>
      <c r="D113" s="2">
        <f t="shared" si="8"/>
        <v>0</v>
      </c>
      <c r="E113" s="2">
        <f t="shared" si="9"/>
        <v>0</v>
      </c>
      <c r="F113">
        <f t="array" ref="F113">SUM(IF(搜索词报告!$H$2:$H$22222=A113,IF(搜索词报告!$A$2:$A$22222&gt;=关键词词频统计!$A$2,IF(搜索词报告!$A$2:$A$22222&lt;=关键词词频统计!$A$4,搜索词报告!$Q$2:$Q$22222,0),0),0))</f>
        <v>0</v>
      </c>
      <c r="G113">
        <f t="array" ref="G113">SUM(IF(搜索词报告!$H$2:$H$22222=A113,IF(搜索词报告!$A$2:$A$22222&gt;=关键词词频统计!$A$2,IF(搜索词报告!$A$2:$A$22222&lt;=关键词词频统计!$A$4,搜索词报告!$N$2:$N$22222,0),0),0))</f>
        <v>0</v>
      </c>
      <c r="H113">
        <f t="array" ref="H113">SUM(IF(搜索词报告!$H$2:$H$22222=A113,IF(搜索词报告!$A$2:$A$22222&gt;=关键词词频统计!$A$2,IF(搜索词报告!$A$2:$A$22222&lt;=关键词词频统计!$A$4,搜索词报告!$M$2:$M$22222,0),0),0))</f>
        <v>0</v>
      </c>
      <c r="I113" s="2" t="str">
        <f t="shared" si="10"/>
        <v/>
      </c>
      <c r="J113" t="str">
        <f t="shared" si="11"/>
        <v>点击次数少于10次没有参考性</v>
      </c>
      <c r="K113" s="4" t="str">
        <f>IFERROR(INDEX(搜索词报告!$D$2:$D$22222,MATCH(关键词词频统计!A113,搜索词报告!$H$2:$H$22222,0)),"")</f>
        <v/>
      </c>
      <c r="M113">
        <f t="array" ref="M113">SUM(IF(搜索词报告!$H$2:$H$22222=L113,IF(搜索词报告!$A$2:$A$22222&gt;=$L$2,IF(搜索词报告!$A$2:$A$22222&lt;=$L$4,搜索词报告!$I$2:$I$22222,0),0),0))</f>
        <v>0</v>
      </c>
      <c r="N113">
        <f t="array" ref="N113">SUM(IF(搜索词报告!$H$2:$H$22222=L113,IF(搜索词报告!$A$2:$A$22222&gt;=$L$2,IF(搜索词报告!$A$2:$A$22222&lt;=$L$4,搜索词报告!$J$2:$J$22222,0),0),0))</f>
        <v>0</v>
      </c>
      <c r="O113" s="2">
        <f t="shared" si="12"/>
        <v>0</v>
      </c>
      <c r="P113" s="2">
        <f t="shared" si="13"/>
        <v>0</v>
      </c>
      <c r="Q113">
        <f t="array" ref="Q113">SUM(IF(搜索词报告!$H$2:$H$22222=L113,IF(搜索词报告!$A$2:$A$22222&gt;=$L$2,IF(搜索词报告!$A$2:$A$22222&lt;=$L$4,搜索词报告!$Q$2:$Q$22222,0),0),0))</f>
        <v>0</v>
      </c>
      <c r="R113">
        <f t="array" ref="R113">SUM(IF(搜索词报告!$H$2:$H$22222=L113,IF(搜索词报告!$A$2:$A$22222&gt;=$L$2,IF(搜索词报告!$A$2:$A$22222&lt;=$L$4,搜索词报告!$N$2:$N$22222,0),0),0))</f>
        <v>0</v>
      </c>
      <c r="S113">
        <f t="array" ref="S113">SUM(IF(搜索词报告!$H$2:$H$22222=L113,IF(搜索词报告!$A$2:$A$22222&gt;=$L$2,IF(搜索词报告!$A$2:$A$22222&lt;=$L$4,搜索词报告!$M$2:$M$22222,0),0),0))</f>
        <v>0</v>
      </c>
      <c r="T113" s="2" t="str">
        <f t="shared" si="14"/>
        <v/>
      </c>
      <c r="U113" t="str">
        <f t="shared" si="15"/>
        <v>点击次数少于10次没有参考性</v>
      </c>
      <c r="V113" s="4" t="str">
        <f>IFERROR(INDEX(搜索词报告!$D$2:$D$22222,MATCH(关键词词频统计!L113,搜索词报告!$H$2:$H$22222,0)),"")</f>
        <v/>
      </c>
    </row>
    <row r="114" spans="2:22" x14ac:dyDescent="0.15">
      <c r="B114">
        <f t="array" ref="B114">SUM(IF(搜索词报告!$H$2:$H$22222=A114,IF(搜索词报告!$A$2:$A$22222&gt;=关键词词频统计!$A$2,IF(搜索词报告!$A$2:$A$22222&lt;=关键词词频统计!$A$4,搜索词报告!$I$2:$I$22222,0),0),0))</f>
        <v>0</v>
      </c>
      <c r="C114">
        <f t="array" ref="C114">SUM(IF(搜索词报告!$H$2:$H$22222=A114,IF(搜索词报告!$A$2:$A$22222&gt;=关键词词频统计!$A$2,IF(搜索词报告!$A$2:$A$22222&lt;=关键词词频统计!$A$4,搜索词报告!$J$2:$J$22222,0),0),0))</f>
        <v>0</v>
      </c>
      <c r="D114" s="2">
        <f t="shared" si="8"/>
        <v>0</v>
      </c>
      <c r="E114" s="2">
        <f t="shared" si="9"/>
        <v>0</v>
      </c>
      <c r="F114">
        <f t="array" ref="F114">SUM(IF(搜索词报告!$H$2:$H$22222=A114,IF(搜索词报告!$A$2:$A$22222&gt;=关键词词频统计!$A$2,IF(搜索词报告!$A$2:$A$22222&lt;=关键词词频统计!$A$4,搜索词报告!$Q$2:$Q$22222,0),0),0))</f>
        <v>0</v>
      </c>
      <c r="G114">
        <f t="array" ref="G114">SUM(IF(搜索词报告!$H$2:$H$22222=A114,IF(搜索词报告!$A$2:$A$22222&gt;=关键词词频统计!$A$2,IF(搜索词报告!$A$2:$A$22222&lt;=关键词词频统计!$A$4,搜索词报告!$N$2:$N$22222,0),0),0))</f>
        <v>0</v>
      </c>
      <c r="H114">
        <f t="array" ref="H114">SUM(IF(搜索词报告!$H$2:$H$22222=A114,IF(搜索词报告!$A$2:$A$22222&gt;=关键词词频统计!$A$2,IF(搜索词报告!$A$2:$A$22222&lt;=关键词词频统计!$A$4,搜索词报告!$M$2:$M$22222,0),0),0))</f>
        <v>0</v>
      </c>
      <c r="I114" s="2" t="str">
        <f t="shared" si="10"/>
        <v/>
      </c>
      <c r="J114" t="str">
        <f t="shared" si="11"/>
        <v>点击次数少于10次没有参考性</v>
      </c>
      <c r="K114" s="4" t="str">
        <f>IFERROR(INDEX(搜索词报告!$D$2:$D$22222,MATCH(关键词词频统计!A114,搜索词报告!$H$2:$H$22222,0)),"")</f>
        <v/>
      </c>
      <c r="M114">
        <f t="array" ref="M114">SUM(IF(搜索词报告!$H$2:$H$22222=L114,IF(搜索词报告!$A$2:$A$22222&gt;=$L$2,IF(搜索词报告!$A$2:$A$22222&lt;=$L$4,搜索词报告!$I$2:$I$22222,0),0),0))</f>
        <v>0</v>
      </c>
      <c r="N114">
        <f t="array" ref="N114">SUM(IF(搜索词报告!$H$2:$H$22222=L114,IF(搜索词报告!$A$2:$A$22222&gt;=$L$2,IF(搜索词报告!$A$2:$A$22222&lt;=$L$4,搜索词报告!$J$2:$J$22222,0),0),0))</f>
        <v>0</v>
      </c>
      <c r="O114" s="2">
        <f t="shared" si="12"/>
        <v>0</v>
      </c>
      <c r="P114" s="2">
        <f t="shared" si="13"/>
        <v>0</v>
      </c>
      <c r="Q114">
        <f t="array" ref="Q114">SUM(IF(搜索词报告!$H$2:$H$22222=L114,IF(搜索词报告!$A$2:$A$22222&gt;=$L$2,IF(搜索词报告!$A$2:$A$22222&lt;=$L$4,搜索词报告!$Q$2:$Q$22222,0),0),0))</f>
        <v>0</v>
      </c>
      <c r="R114">
        <f t="array" ref="R114">SUM(IF(搜索词报告!$H$2:$H$22222=L114,IF(搜索词报告!$A$2:$A$22222&gt;=$L$2,IF(搜索词报告!$A$2:$A$22222&lt;=$L$4,搜索词报告!$N$2:$N$22222,0),0),0))</f>
        <v>0</v>
      </c>
      <c r="S114">
        <f t="array" ref="S114">SUM(IF(搜索词报告!$H$2:$H$22222=L114,IF(搜索词报告!$A$2:$A$22222&gt;=$L$2,IF(搜索词报告!$A$2:$A$22222&lt;=$L$4,搜索词报告!$M$2:$M$22222,0),0),0))</f>
        <v>0</v>
      </c>
      <c r="T114" s="2" t="str">
        <f t="shared" si="14"/>
        <v/>
      </c>
      <c r="U114" t="str">
        <f t="shared" si="15"/>
        <v>点击次数少于10次没有参考性</v>
      </c>
      <c r="V114" s="4" t="str">
        <f>IFERROR(INDEX(搜索词报告!$D$2:$D$22222,MATCH(关键词词频统计!L114,搜索词报告!$H$2:$H$22222,0)),"")</f>
        <v/>
      </c>
    </row>
    <row r="115" spans="2:22" x14ac:dyDescent="0.15">
      <c r="B115">
        <f t="array" ref="B115">SUM(IF(搜索词报告!$H$2:$H$22222=A115,IF(搜索词报告!$A$2:$A$22222&gt;=关键词词频统计!$A$2,IF(搜索词报告!$A$2:$A$22222&lt;=关键词词频统计!$A$4,搜索词报告!$I$2:$I$22222,0),0),0))</f>
        <v>0</v>
      </c>
      <c r="C115">
        <f t="array" ref="C115">SUM(IF(搜索词报告!$H$2:$H$22222=A115,IF(搜索词报告!$A$2:$A$22222&gt;=关键词词频统计!$A$2,IF(搜索词报告!$A$2:$A$22222&lt;=关键词词频统计!$A$4,搜索词报告!$J$2:$J$22222,0),0),0))</f>
        <v>0</v>
      </c>
      <c r="D115" s="2">
        <f t="shared" si="8"/>
        <v>0</v>
      </c>
      <c r="E115" s="2">
        <f t="shared" si="9"/>
        <v>0</v>
      </c>
      <c r="F115">
        <f t="array" ref="F115">SUM(IF(搜索词报告!$H$2:$H$22222=A115,IF(搜索词报告!$A$2:$A$22222&gt;=关键词词频统计!$A$2,IF(搜索词报告!$A$2:$A$22222&lt;=关键词词频统计!$A$4,搜索词报告!$Q$2:$Q$22222,0),0),0))</f>
        <v>0</v>
      </c>
      <c r="G115">
        <f t="array" ref="G115">SUM(IF(搜索词报告!$H$2:$H$22222=A115,IF(搜索词报告!$A$2:$A$22222&gt;=关键词词频统计!$A$2,IF(搜索词报告!$A$2:$A$22222&lt;=关键词词频统计!$A$4,搜索词报告!$N$2:$N$22222,0),0),0))</f>
        <v>0</v>
      </c>
      <c r="H115">
        <f t="array" ref="H115">SUM(IF(搜索词报告!$H$2:$H$22222=A115,IF(搜索词报告!$A$2:$A$22222&gt;=关键词词频统计!$A$2,IF(搜索词报告!$A$2:$A$22222&lt;=关键词词频统计!$A$4,搜索词报告!$M$2:$M$22222,0),0),0))</f>
        <v>0</v>
      </c>
      <c r="I115" s="2" t="str">
        <f t="shared" si="10"/>
        <v/>
      </c>
      <c r="J115" t="str">
        <f t="shared" si="11"/>
        <v>点击次数少于10次没有参考性</v>
      </c>
      <c r="K115" s="4" t="str">
        <f>IFERROR(INDEX(搜索词报告!$D$2:$D$22222,MATCH(关键词词频统计!A115,搜索词报告!$H$2:$H$22222,0)),"")</f>
        <v/>
      </c>
      <c r="M115">
        <f t="array" ref="M115">SUM(IF(搜索词报告!$H$2:$H$22222=L115,IF(搜索词报告!$A$2:$A$22222&gt;=$L$2,IF(搜索词报告!$A$2:$A$22222&lt;=$L$4,搜索词报告!$I$2:$I$22222,0),0),0))</f>
        <v>0</v>
      </c>
      <c r="N115">
        <f t="array" ref="N115">SUM(IF(搜索词报告!$H$2:$H$22222=L115,IF(搜索词报告!$A$2:$A$22222&gt;=$L$2,IF(搜索词报告!$A$2:$A$22222&lt;=$L$4,搜索词报告!$J$2:$J$22222,0),0),0))</f>
        <v>0</v>
      </c>
      <c r="O115" s="2">
        <f t="shared" si="12"/>
        <v>0</v>
      </c>
      <c r="P115" s="2">
        <f t="shared" si="13"/>
        <v>0</v>
      </c>
      <c r="Q115">
        <f t="array" ref="Q115">SUM(IF(搜索词报告!$H$2:$H$22222=L115,IF(搜索词报告!$A$2:$A$22222&gt;=$L$2,IF(搜索词报告!$A$2:$A$22222&lt;=$L$4,搜索词报告!$Q$2:$Q$22222,0),0),0))</f>
        <v>0</v>
      </c>
      <c r="R115">
        <f t="array" ref="R115">SUM(IF(搜索词报告!$H$2:$H$22222=L115,IF(搜索词报告!$A$2:$A$22222&gt;=$L$2,IF(搜索词报告!$A$2:$A$22222&lt;=$L$4,搜索词报告!$N$2:$N$22222,0),0),0))</f>
        <v>0</v>
      </c>
      <c r="S115">
        <f t="array" ref="S115">SUM(IF(搜索词报告!$H$2:$H$22222=L115,IF(搜索词报告!$A$2:$A$22222&gt;=$L$2,IF(搜索词报告!$A$2:$A$22222&lt;=$L$4,搜索词报告!$M$2:$M$22222,0),0),0))</f>
        <v>0</v>
      </c>
      <c r="T115" s="2" t="str">
        <f t="shared" si="14"/>
        <v/>
      </c>
      <c r="U115" t="str">
        <f t="shared" si="15"/>
        <v>点击次数少于10次没有参考性</v>
      </c>
      <c r="V115" s="4" t="str">
        <f>IFERROR(INDEX(搜索词报告!$D$2:$D$22222,MATCH(关键词词频统计!L115,搜索词报告!$H$2:$H$22222,0)),"")</f>
        <v/>
      </c>
    </row>
    <row r="116" spans="2:22" x14ac:dyDescent="0.15">
      <c r="B116">
        <f t="array" ref="B116">SUM(IF(搜索词报告!$H$2:$H$22222=A116,IF(搜索词报告!$A$2:$A$22222&gt;=关键词词频统计!$A$2,IF(搜索词报告!$A$2:$A$22222&lt;=关键词词频统计!$A$4,搜索词报告!$I$2:$I$22222,0),0),0))</f>
        <v>0</v>
      </c>
      <c r="C116">
        <f t="array" ref="C116">SUM(IF(搜索词报告!$H$2:$H$22222=A116,IF(搜索词报告!$A$2:$A$22222&gt;=关键词词频统计!$A$2,IF(搜索词报告!$A$2:$A$22222&lt;=关键词词频统计!$A$4,搜索词报告!$J$2:$J$22222,0),0),0))</f>
        <v>0</v>
      </c>
      <c r="D116" s="2">
        <f t="shared" si="8"/>
        <v>0</v>
      </c>
      <c r="E116" s="2">
        <f t="shared" si="9"/>
        <v>0</v>
      </c>
      <c r="F116">
        <f t="array" ref="F116">SUM(IF(搜索词报告!$H$2:$H$22222=A116,IF(搜索词报告!$A$2:$A$22222&gt;=关键词词频统计!$A$2,IF(搜索词报告!$A$2:$A$22222&lt;=关键词词频统计!$A$4,搜索词报告!$Q$2:$Q$22222,0),0),0))</f>
        <v>0</v>
      </c>
      <c r="G116">
        <f t="array" ref="G116">SUM(IF(搜索词报告!$H$2:$H$22222=A116,IF(搜索词报告!$A$2:$A$22222&gt;=关键词词频统计!$A$2,IF(搜索词报告!$A$2:$A$22222&lt;=关键词词频统计!$A$4,搜索词报告!$N$2:$N$22222,0),0),0))</f>
        <v>0</v>
      </c>
      <c r="H116">
        <f t="array" ref="H116">SUM(IF(搜索词报告!$H$2:$H$22222=A116,IF(搜索词报告!$A$2:$A$22222&gt;=关键词词频统计!$A$2,IF(搜索词报告!$A$2:$A$22222&lt;=关键词词频统计!$A$4,搜索词报告!$M$2:$M$22222,0),0),0))</f>
        <v>0</v>
      </c>
      <c r="I116" s="2" t="str">
        <f t="shared" si="10"/>
        <v/>
      </c>
      <c r="J116" t="str">
        <f t="shared" si="11"/>
        <v>点击次数少于10次没有参考性</v>
      </c>
      <c r="K116" s="4" t="str">
        <f>IFERROR(INDEX(搜索词报告!$D$2:$D$22222,MATCH(关键词词频统计!A116,搜索词报告!$H$2:$H$22222,0)),"")</f>
        <v/>
      </c>
      <c r="M116">
        <f t="array" ref="M116">SUM(IF(搜索词报告!$H$2:$H$22222=L116,IF(搜索词报告!$A$2:$A$22222&gt;=$L$2,IF(搜索词报告!$A$2:$A$22222&lt;=$L$4,搜索词报告!$I$2:$I$22222,0),0),0))</f>
        <v>0</v>
      </c>
      <c r="N116">
        <f t="array" ref="N116">SUM(IF(搜索词报告!$H$2:$H$22222=L116,IF(搜索词报告!$A$2:$A$22222&gt;=$L$2,IF(搜索词报告!$A$2:$A$22222&lt;=$L$4,搜索词报告!$J$2:$J$22222,0),0),0))</f>
        <v>0</v>
      </c>
      <c r="O116" s="2">
        <f t="shared" si="12"/>
        <v>0</v>
      </c>
      <c r="P116" s="2">
        <f t="shared" si="13"/>
        <v>0</v>
      </c>
      <c r="Q116">
        <f t="array" ref="Q116">SUM(IF(搜索词报告!$H$2:$H$22222=L116,IF(搜索词报告!$A$2:$A$22222&gt;=$L$2,IF(搜索词报告!$A$2:$A$22222&lt;=$L$4,搜索词报告!$Q$2:$Q$22222,0),0),0))</f>
        <v>0</v>
      </c>
      <c r="R116">
        <f t="array" ref="R116">SUM(IF(搜索词报告!$H$2:$H$22222=L116,IF(搜索词报告!$A$2:$A$22222&gt;=$L$2,IF(搜索词报告!$A$2:$A$22222&lt;=$L$4,搜索词报告!$N$2:$N$22222,0),0),0))</f>
        <v>0</v>
      </c>
      <c r="S116">
        <f t="array" ref="S116">SUM(IF(搜索词报告!$H$2:$H$22222=L116,IF(搜索词报告!$A$2:$A$22222&gt;=$L$2,IF(搜索词报告!$A$2:$A$22222&lt;=$L$4,搜索词报告!$M$2:$M$22222,0),0),0))</f>
        <v>0</v>
      </c>
      <c r="T116" s="2" t="str">
        <f t="shared" si="14"/>
        <v/>
      </c>
      <c r="U116" t="str">
        <f t="shared" si="15"/>
        <v>点击次数少于10次没有参考性</v>
      </c>
      <c r="V116" s="4" t="str">
        <f>IFERROR(INDEX(搜索词报告!$D$2:$D$22222,MATCH(关键词词频统计!L116,搜索词报告!$H$2:$H$22222,0)),"")</f>
        <v/>
      </c>
    </row>
    <row r="117" spans="2:22" x14ac:dyDescent="0.15">
      <c r="B117">
        <f t="array" ref="B117">SUM(IF(搜索词报告!$H$2:$H$22222=A117,IF(搜索词报告!$A$2:$A$22222&gt;=关键词词频统计!$A$2,IF(搜索词报告!$A$2:$A$22222&lt;=关键词词频统计!$A$4,搜索词报告!$I$2:$I$22222,0),0),0))</f>
        <v>0</v>
      </c>
      <c r="C117">
        <f t="array" ref="C117">SUM(IF(搜索词报告!$H$2:$H$22222=A117,IF(搜索词报告!$A$2:$A$22222&gt;=关键词词频统计!$A$2,IF(搜索词报告!$A$2:$A$22222&lt;=关键词词频统计!$A$4,搜索词报告!$J$2:$J$22222,0),0),0))</f>
        <v>0</v>
      </c>
      <c r="D117" s="2">
        <f t="shared" si="8"/>
        <v>0</v>
      </c>
      <c r="E117" s="2">
        <f t="shared" si="9"/>
        <v>0</v>
      </c>
      <c r="F117">
        <f t="array" ref="F117">SUM(IF(搜索词报告!$H$2:$H$22222=A117,IF(搜索词报告!$A$2:$A$22222&gt;=关键词词频统计!$A$2,IF(搜索词报告!$A$2:$A$22222&lt;=关键词词频统计!$A$4,搜索词报告!$Q$2:$Q$22222,0),0),0))</f>
        <v>0</v>
      </c>
      <c r="G117">
        <f t="array" ref="G117">SUM(IF(搜索词报告!$H$2:$H$22222=A117,IF(搜索词报告!$A$2:$A$22222&gt;=关键词词频统计!$A$2,IF(搜索词报告!$A$2:$A$22222&lt;=关键词词频统计!$A$4,搜索词报告!$N$2:$N$22222,0),0),0))</f>
        <v>0</v>
      </c>
      <c r="H117">
        <f t="array" ref="H117">SUM(IF(搜索词报告!$H$2:$H$22222=A117,IF(搜索词报告!$A$2:$A$22222&gt;=关键词词频统计!$A$2,IF(搜索词报告!$A$2:$A$22222&lt;=关键词词频统计!$A$4,搜索词报告!$M$2:$M$22222,0),0),0))</f>
        <v>0</v>
      </c>
      <c r="I117" s="2" t="str">
        <f t="shared" si="10"/>
        <v/>
      </c>
      <c r="J117" t="str">
        <f t="shared" si="11"/>
        <v>点击次数少于10次没有参考性</v>
      </c>
      <c r="K117" s="4" t="str">
        <f>IFERROR(INDEX(搜索词报告!$D$2:$D$22222,MATCH(关键词词频统计!A117,搜索词报告!$H$2:$H$22222,0)),"")</f>
        <v/>
      </c>
      <c r="M117">
        <f t="array" ref="M117">SUM(IF(搜索词报告!$H$2:$H$22222=L117,IF(搜索词报告!$A$2:$A$22222&gt;=$L$2,IF(搜索词报告!$A$2:$A$22222&lt;=$L$4,搜索词报告!$I$2:$I$22222,0),0),0))</f>
        <v>0</v>
      </c>
      <c r="N117">
        <f t="array" ref="N117">SUM(IF(搜索词报告!$H$2:$H$22222=L117,IF(搜索词报告!$A$2:$A$22222&gt;=$L$2,IF(搜索词报告!$A$2:$A$22222&lt;=$L$4,搜索词报告!$J$2:$J$22222,0),0),0))</f>
        <v>0</v>
      </c>
      <c r="O117" s="2">
        <f t="shared" si="12"/>
        <v>0</v>
      </c>
      <c r="P117" s="2">
        <f t="shared" si="13"/>
        <v>0</v>
      </c>
      <c r="Q117">
        <f t="array" ref="Q117">SUM(IF(搜索词报告!$H$2:$H$22222=L117,IF(搜索词报告!$A$2:$A$22222&gt;=$L$2,IF(搜索词报告!$A$2:$A$22222&lt;=$L$4,搜索词报告!$Q$2:$Q$22222,0),0),0))</f>
        <v>0</v>
      </c>
      <c r="R117">
        <f t="array" ref="R117">SUM(IF(搜索词报告!$H$2:$H$22222=L117,IF(搜索词报告!$A$2:$A$22222&gt;=$L$2,IF(搜索词报告!$A$2:$A$22222&lt;=$L$4,搜索词报告!$N$2:$N$22222,0),0),0))</f>
        <v>0</v>
      </c>
      <c r="S117">
        <f t="array" ref="S117">SUM(IF(搜索词报告!$H$2:$H$22222=L117,IF(搜索词报告!$A$2:$A$22222&gt;=$L$2,IF(搜索词报告!$A$2:$A$22222&lt;=$L$4,搜索词报告!$M$2:$M$22222,0),0),0))</f>
        <v>0</v>
      </c>
      <c r="T117" s="2" t="str">
        <f t="shared" si="14"/>
        <v/>
      </c>
      <c r="U117" t="str">
        <f t="shared" si="15"/>
        <v>点击次数少于10次没有参考性</v>
      </c>
      <c r="V117" s="4" t="str">
        <f>IFERROR(INDEX(搜索词报告!$D$2:$D$22222,MATCH(关键词词频统计!L117,搜索词报告!$H$2:$H$22222,0)),"")</f>
        <v/>
      </c>
    </row>
    <row r="118" spans="2:22" x14ac:dyDescent="0.15">
      <c r="B118">
        <f t="array" ref="B118">SUM(IF(搜索词报告!$H$2:$H$22222=A118,IF(搜索词报告!$A$2:$A$22222&gt;=关键词词频统计!$A$2,IF(搜索词报告!$A$2:$A$22222&lt;=关键词词频统计!$A$4,搜索词报告!$I$2:$I$22222,0),0),0))</f>
        <v>0</v>
      </c>
      <c r="C118">
        <f t="array" ref="C118">SUM(IF(搜索词报告!$H$2:$H$22222=A118,IF(搜索词报告!$A$2:$A$22222&gt;=关键词词频统计!$A$2,IF(搜索词报告!$A$2:$A$22222&lt;=关键词词频统计!$A$4,搜索词报告!$J$2:$J$22222,0),0),0))</f>
        <v>0</v>
      </c>
      <c r="D118" s="2">
        <f t="shared" si="8"/>
        <v>0</v>
      </c>
      <c r="E118" s="2">
        <f t="shared" si="9"/>
        <v>0</v>
      </c>
      <c r="F118">
        <f t="array" ref="F118">SUM(IF(搜索词报告!$H$2:$H$22222=A118,IF(搜索词报告!$A$2:$A$22222&gt;=关键词词频统计!$A$2,IF(搜索词报告!$A$2:$A$22222&lt;=关键词词频统计!$A$4,搜索词报告!$Q$2:$Q$22222,0),0),0))</f>
        <v>0</v>
      </c>
      <c r="G118">
        <f t="array" ref="G118">SUM(IF(搜索词报告!$H$2:$H$22222=A118,IF(搜索词报告!$A$2:$A$22222&gt;=关键词词频统计!$A$2,IF(搜索词报告!$A$2:$A$22222&lt;=关键词词频统计!$A$4,搜索词报告!$N$2:$N$22222,0),0),0))</f>
        <v>0</v>
      </c>
      <c r="H118">
        <f t="array" ref="H118">SUM(IF(搜索词报告!$H$2:$H$22222=A118,IF(搜索词报告!$A$2:$A$22222&gt;=关键词词频统计!$A$2,IF(搜索词报告!$A$2:$A$22222&lt;=关键词词频统计!$A$4,搜索词报告!$M$2:$M$22222,0),0),0))</f>
        <v>0</v>
      </c>
      <c r="I118" s="2" t="str">
        <f t="shared" si="10"/>
        <v/>
      </c>
      <c r="J118" t="str">
        <f t="shared" si="11"/>
        <v>点击次数少于10次没有参考性</v>
      </c>
      <c r="K118" s="4" t="str">
        <f>IFERROR(INDEX(搜索词报告!$D$2:$D$22222,MATCH(关键词词频统计!A118,搜索词报告!$H$2:$H$22222,0)),"")</f>
        <v/>
      </c>
      <c r="M118">
        <f t="array" ref="M118">SUM(IF(搜索词报告!$H$2:$H$22222=L118,IF(搜索词报告!$A$2:$A$22222&gt;=$L$2,IF(搜索词报告!$A$2:$A$22222&lt;=$L$4,搜索词报告!$I$2:$I$22222,0),0),0))</f>
        <v>0</v>
      </c>
      <c r="N118">
        <f t="array" ref="N118">SUM(IF(搜索词报告!$H$2:$H$22222=L118,IF(搜索词报告!$A$2:$A$22222&gt;=$L$2,IF(搜索词报告!$A$2:$A$22222&lt;=$L$4,搜索词报告!$J$2:$J$22222,0),0),0))</f>
        <v>0</v>
      </c>
      <c r="O118" s="2">
        <f t="shared" si="12"/>
        <v>0</v>
      </c>
      <c r="P118" s="2">
        <f t="shared" si="13"/>
        <v>0</v>
      </c>
      <c r="Q118">
        <f t="array" ref="Q118">SUM(IF(搜索词报告!$H$2:$H$22222=L118,IF(搜索词报告!$A$2:$A$22222&gt;=$L$2,IF(搜索词报告!$A$2:$A$22222&lt;=$L$4,搜索词报告!$Q$2:$Q$22222,0),0),0))</f>
        <v>0</v>
      </c>
      <c r="R118">
        <f t="array" ref="R118">SUM(IF(搜索词报告!$H$2:$H$22222=L118,IF(搜索词报告!$A$2:$A$22222&gt;=$L$2,IF(搜索词报告!$A$2:$A$22222&lt;=$L$4,搜索词报告!$N$2:$N$22222,0),0),0))</f>
        <v>0</v>
      </c>
      <c r="S118">
        <f t="array" ref="S118">SUM(IF(搜索词报告!$H$2:$H$22222=L118,IF(搜索词报告!$A$2:$A$22222&gt;=$L$2,IF(搜索词报告!$A$2:$A$22222&lt;=$L$4,搜索词报告!$M$2:$M$22222,0),0),0))</f>
        <v>0</v>
      </c>
      <c r="T118" s="2" t="str">
        <f t="shared" si="14"/>
        <v/>
      </c>
      <c r="U118" t="str">
        <f t="shared" si="15"/>
        <v>点击次数少于10次没有参考性</v>
      </c>
      <c r="V118" s="4" t="str">
        <f>IFERROR(INDEX(搜索词报告!$D$2:$D$22222,MATCH(关键词词频统计!L118,搜索词报告!$H$2:$H$22222,0)),"")</f>
        <v/>
      </c>
    </row>
    <row r="119" spans="2:22" x14ac:dyDescent="0.15">
      <c r="B119">
        <f t="array" ref="B119">SUM(IF(搜索词报告!$H$2:$H$22222=A119,IF(搜索词报告!$A$2:$A$22222&gt;=关键词词频统计!$A$2,IF(搜索词报告!$A$2:$A$22222&lt;=关键词词频统计!$A$4,搜索词报告!$I$2:$I$22222,0),0),0))</f>
        <v>0</v>
      </c>
      <c r="C119">
        <f t="array" ref="C119">SUM(IF(搜索词报告!$H$2:$H$22222=A119,IF(搜索词报告!$A$2:$A$22222&gt;=关键词词频统计!$A$2,IF(搜索词报告!$A$2:$A$22222&lt;=关键词词频统计!$A$4,搜索词报告!$J$2:$J$22222,0),0),0))</f>
        <v>0</v>
      </c>
      <c r="D119" s="2">
        <f t="shared" si="8"/>
        <v>0</v>
      </c>
      <c r="E119" s="2">
        <f t="shared" si="9"/>
        <v>0</v>
      </c>
      <c r="F119">
        <f t="array" ref="F119">SUM(IF(搜索词报告!$H$2:$H$22222=A119,IF(搜索词报告!$A$2:$A$22222&gt;=关键词词频统计!$A$2,IF(搜索词报告!$A$2:$A$22222&lt;=关键词词频统计!$A$4,搜索词报告!$Q$2:$Q$22222,0),0),0))</f>
        <v>0</v>
      </c>
      <c r="G119">
        <f t="array" ref="G119">SUM(IF(搜索词报告!$H$2:$H$22222=A119,IF(搜索词报告!$A$2:$A$22222&gt;=关键词词频统计!$A$2,IF(搜索词报告!$A$2:$A$22222&lt;=关键词词频统计!$A$4,搜索词报告!$N$2:$N$22222,0),0),0))</f>
        <v>0</v>
      </c>
      <c r="H119">
        <f t="array" ref="H119">SUM(IF(搜索词报告!$H$2:$H$22222=A119,IF(搜索词报告!$A$2:$A$22222&gt;=关键词词频统计!$A$2,IF(搜索词报告!$A$2:$A$22222&lt;=关键词词频统计!$A$4,搜索词报告!$M$2:$M$22222,0),0),0))</f>
        <v>0</v>
      </c>
      <c r="I119" s="2" t="str">
        <f t="shared" si="10"/>
        <v/>
      </c>
      <c r="J119" t="str">
        <f t="shared" si="11"/>
        <v>点击次数少于10次没有参考性</v>
      </c>
      <c r="K119" s="4" t="str">
        <f>IFERROR(INDEX(搜索词报告!$D$2:$D$22222,MATCH(关键词词频统计!A119,搜索词报告!$H$2:$H$22222,0)),"")</f>
        <v/>
      </c>
      <c r="M119">
        <f t="array" ref="M119">SUM(IF(搜索词报告!$H$2:$H$22222=L119,IF(搜索词报告!$A$2:$A$22222&gt;=$L$2,IF(搜索词报告!$A$2:$A$22222&lt;=$L$4,搜索词报告!$I$2:$I$22222,0),0),0))</f>
        <v>0</v>
      </c>
      <c r="N119">
        <f t="array" ref="N119">SUM(IF(搜索词报告!$H$2:$H$22222=L119,IF(搜索词报告!$A$2:$A$22222&gt;=$L$2,IF(搜索词报告!$A$2:$A$22222&lt;=$L$4,搜索词报告!$J$2:$J$22222,0),0),0))</f>
        <v>0</v>
      </c>
      <c r="O119" s="2">
        <f t="shared" si="12"/>
        <v>0</v>
      </c>
      <c r="P119" s="2">
        <f t="shared" si="13"/>
        <v>0</v>
      </c>
      <c r="Q119">
        <f t="array" ref="Q119">SUM(IF(搜索词报告!$H$2:$H$22222=L119,IF(搜索词报告!$A$2:$A$22222&gt;=$L$2,IF(搜索词报告!$A$2:$A$22222&lt;=$L$4,搜索词报告!$Q$2:$Q$22222,0),0),0))</f>
        <v>0</v>
      </c>
      <c r="R119">
        <f t="array" ref="R119">SUM(IF(搜索词报告!$H$2:$H$22222=L119,IF(搜索词报告!$A$2:$A$22222&gt;=$L$2,IF(搜索词报告!$A$2:$A$22222&lt;=$L$4,搜索词报告!$N$2:$N$22222,0),0),0))</f>
        <v>0</v>
      </c>
      <c r="S119">
        <f t="array" ref="S119">SUM(IF(搜索词报告!$H$2:$H$22222=L119,IF(搜索词报告!$A$2:$A$22222&gt;=$L$2,IF(搜索词报告!$A$2:$A$22222&lt;=$L$4,搜索词报告!$M$2:$M$22222,0),0),0))</f>
        <v>0</v>
      </c>
      <c r="T119" s="2" t="str">
        <f t="shared" si="14"/>
        <v/>
      </c>
      <c r="U119" t="str">
        <f t="shared" si="15"/>
        <v>点击次数少于10次没有参考性</v>
      </c>
      <c r="V119" s="4" t="str">
        <f>IFERROR(INDEX(搜索词报告!$D$2:$D$22222,MATCH(关键词词频统计!L119,搜索词报告!$H$2:$H$22222,0)),"")</f>
        <v/>
      </c>
    </row>
    <row r="120" spans="2:22" x14ac:dyDescent="0.15">
      <c r="B120">
        <f t="array" ref="B120">SUM(IF(搜索词报告!$H$2:$H$22222=A120,IF(搜索词报告!$A$2:$A$22222&gt;=关键词词频统计!$A$2,IF(搜索词报告!$A$2:$A$22222&lt;=关键词词频统计!$A$4,搜索词报告!$I$2:$I$22222,0),0),0))</f>
        <v>0</v>
      </c>
      <c r="C120">
        <f t="array" ref="C120">SUM(IF(搜索词报告!$H$2:$H$22222=A120,IF(搜索词报告!$A$2:$A$22222&gt;=关键词词频统计!$A$2,IF(搜索词报告!$A$2:$A$22222&lt;=关键词词频统计!$A$4,搜索词报告!$J$2:$J$22222,0),0),0))</f>
        <v>0</v>
      </c>
      <c r="D120" s="2">
        <f t="shared" si="8"/>
        <v>0</v>
      </c>
      <c r="E120" s="2">
        <f t="shared" si="9"/>
        <v>0</v>
      </c>
      <c r="F120">
        <f t="array" ref="F120">SUM(IF(搜索词报告!$H$2:$H$22222=A120,IF(搜索词报告!$A$2:$A$22222&gt;=关键词词频统计!$A$2,IF(搜索词报告!$A$2:$A$22222&lt;=关键词词频统计!$A$4,搜索词报告!$Q$2:$Q$22222,0),0),0))</f>
        <v>0</v>
      </c>
      <c r="G120">
        <f t="array" ref="G120">SUM(IF(搜索词报告!$H$2:$H$22222=A120,IF(搜索词报告!$A$2:$A$22222&gt;=关键词词频统计!$A$2,IF(搜索词报告!$A$2:$A$22222&lt;=关键词词频统计!$A$4,搜索词报告!$N$2:$N$22222,0),0),0))</f>
        <v>0</v>
      </c>
      <c r="H120">
        <f t="array" ref="H120">SUM(IF(搜索词报告!$H$2:$H$22222=A120,IF(搜索词报告!$A$2:$A$22222&gt;=关键词词频统计!$A$2,IF(搜索词报告!$A$2:$A$22222&lt;=关键词词频统计!$A$4,搜索词报告!$M$2:$M$22222,0),0),0))</f>
        <v>0</v>
      </c>
      <c r="I120" s="2" t="str">
        <f t="shared" si="10"/>
        <v/>
      </c>
      <c r="J120" t="str">
        <f t="shared" si="11"/>
        <v>点击次数少于10次没有参考性</v>
      </c>
      <c r="K120" s="4" t="str">
        <f>IFERROR(INDEX(搜索词报告!$D$2:$D$22222,MATCH(关键词词频统计!A120,搜索词报告!$H$2:$H$22222,0)),"")</f>
        <v/>
      </c>
      <c r="M120">
        <f t="array" ref="M120">SUM(IF(搜索词报告!$H$2:$H$22222=L120,IF(搜索词报告!$A$2:$A$22222&gt;=$L$2,IF(搜索词报告!$A$2:$A$22222&lt;=$L$4,搜索词报告!$I$2:$I$22222,0),0),0))</f>
        <v>0</v>
      </c>
      <c r="N120">
        <f t="array" ref="N120">SUM(IF(搜索词报告!$H$2:$H$22222=L120,IF(搜索词报告!$A$2:$A$22222&gt;=$L$2,IF(搜索词报告!$A$2:$A$22222&lt;=$L$4,搜索词报告!$J$2:$J$22222,0),0),0))</f>
        <v>0</v>
      </c>
      <c r="O120" s="2">
        <f t="shared" si="12"/>
        <v>0</v>
      </c>
      <c r="P120" s="2">
        <f t="shared" si="13"/>
        <v>0</v>
      </c>
      <c r="Q120">
        <f t="array" ref="Q120">SUM(IF(搜索词报告!$H$2:$H$22222=L120,IF(搜索词报告!$A$2:$A$22222&gt;=$L$2,IF(搜索词报告!$A$2:$A$22222&lt;=$L$4,搜索词报告!$Q$2:$Q$22222,0),0),0))</f>
        <v>0</v>
      </c>
      <c r="R120">
        <f t="array" ref="R120">SUM(IF(搜索词报告!$H$2:$H$22222=L120,IF(搜索词报告!$A$2:$A$22222&gt;=$L$2,IF(搜索词报告!$A$2:$A$22222&lt;=$L$4,搜索词报告!$N$2:$N$22222,0),0),0))</f>
        <v>0</v>
      </c>
      <c r="S120">
        <f t="array" ref="S120">SUM(IF(搜索词报告!$H$2:$H$22222=L120,IF(搜索词报告!$A$2:$A$22222&gt;=$L$2,IF(搜索词报告!$A$2:$A$22222&lt;=$L$4,搜索词报告!$M$2:$M$22222,0),0),0))</f>
        <v>0</v>
      </c>
      <c r="T120" s="2" t="str">
        <f t="shared" si="14"/>
        <v/>
      </c>
      <c r="U120" t="str">
        <f t="shared" si="15"/>
        <v>点击次数少于10次没有参考性</v>
      </c>
      <c r="V120" s="4" t="str">
        <f>IFERROR(INDEX(搜索词报告!$D$2:$D$22222,MATCH(关键词词频统计!L120,搜索词报告!$H$2:$H$22222,0)),"")</f>
        <v/>
      </c>
    </row>
    <row r="121" spans="2:22" x14ac:dyDescent="0.15">
      <c r="B121">
        <f t="array" ref="B121">SUM(IF(搜索词报告!$H$2:$H$22222=A121,IF(搜索词报告!$A$2:$A$22222&gt;=关键词词频统计!$A$2,IF(搜索词报告!$A$2:$A$22222&lt;=关键词词频统计!$A$4,搜索词报告!$I$2:$I$22222,0),0),0))</f>
        <v>0</v>
      </c>
      <c r="C121">
        <f t="array" ref="C121">SUM(IF(搜索词报告!$H$2:$H$22222=A121,IF(搜索词报告!$A$2:$A$22222&gt;=关键词词频统计!$A$2,IF(搜索词报告!$A$2:$A$22222&lt;=关键词词频统计!$A$4,搜索词报告!$J$2:$J$22222,0),0),0))</f>
        <v>0</v>
      </c>
      <c r="D121" s="2">
        <f t="shared" si="8"/>
        <v>0</v>
      </c>
      <c r="E121" s="2">
        <f t="shared" si="9"/>
        <v>0</v>
      </c>
      <c r="F121">
        <f t="array" ref="F121">SUM(IF(搜索词报告!$H$2:$H$22222=A121,IF(搜索词报告!$A$2:$A$22222&gt;=关键词词频统计!$A$2,IF(搜索词报告!$A$2:$A$22222&lt;=关键词词频统计!$A$4,搜索词报告!$Q$2:$Q$22222,0),0),0))</f>
        <v>0</v>
      </c>
      <c r="G121">
        <f t="array" ref="G121">SUM(IF(搜索词报告!$H$2:$H$22222=A121,IF(搜索词报告!$A$2:$A$22222&gt;=关键词词频统计!$A$2,IF(搜索词报告!$A$2:$A$22222&lt;=关键词词频统计!$A$4,搜索词报告!$N$2:$N$22222,0),0),0))</f>
        <v>0</v>
      </c>
      <c r="H121">
        <f t="array" ref="H121">SUM(IF(搜索词报告!$H$2:$H$22222=A121,IF(搜索词报告!$A$2:$A$22222&gt;=关键词词频统计!$A$2,IF(搜索词报告!$A$2:$A$22222&lt;=关键词词频统计!$A$4,搜索词报告!$M$2:$M$22222,0),0),0))</f>
        <v>0</v>
      </c>
      <c r="I121" s="2" t="str">
        <f t="shared" si="10"/>
        <v/>
      </c>
      <c r="J121" t="str">
        <f t="shared" si="11"/>
        <v>点击次数少于10次没有参考性</v>
      </c>
      <c r="K121" s="4" t="str">
        <f>IFERROR(INDEX(搜索词报告!$D$2:$D$22222,MATCH(关键词词频统计!A121,搜索词报告!$H$2:$H$22222,0)),"")</f>
        <v/>
      </c>
      <c r="M121">
        <f t="array" ref="M121">SUM(IF(搜索词报告!$H$2:$H$22222=L121,IF(搜索词报告!$A$2:$A$22222&gt;=$L$2,IF(搜索词报告!$A$2:$A$22222&lt;=$L$4,搜索词报告!$I$2:$I$22222,0),0),0))</f>
        <v>0</v>
      </c>
      <c r="N121">
        <f t="array" ref="N121">SUM(IF(搜索词报告!$H$2:$H$22222=L121,IF(搜索词报告!$A$2:$A$22222&gt;=$L$2,IF(搜索词报告!$A$2:$A$22222&lt;=$L$4,搜索词报告!$J$2:$J$22222,0),0),0))</f>
        <v>0</v>
      </c>
      <c r="O121" s="2">
        <f t="shared" si="12"/>
        <v>0</v>
      </c>
      <c r="P121" s="2">
        <f t="shared" si="13"/>
        <v>0</v>
      </c>
      <c r="Q121">
        <f t="array" ref="Q121">SUM(IF(搜索词报告!$H$2:$H$22222=L121,IF(搜索词报告!$A$2:$A$22222&gt;=$L$2,IF(搜索词报告!$A$2:$A$22222&lt;=$L$4,搜索词报告!$Q$2:$Q$22222,0),0),0))</f>
        <v>0</v>
      </c>
      <c r="R121">
        <f t="array" ref="R121">SUM(IF(搜索词报告!$H$2:$H$22222=L121,IF(搜索词报告!$A$2:$A$22222&gt;=$L$2,IF(搜索词报告!$A$2:$A$22222&lt;=$L$4,搜索词报告!$N$2:$N$22222,0),0),0))</f>
        <v>0</v>
      </c>
      <c r="S121">
        <f t="array" ref="S121">SUM(IF(搜索词报告!$H$2:$H$22222=L121,IF(搜索词报告!$A$2:$A$22222&gt;=$L$2,IF(搜索词报告!$A$2:$A$22222&lt;=$L$4,搜索词报告!$M$2:$M$22222,0),0),0))</f>
        <v>0</v>
      </c>
      <c r="T121" s="2" t="str">
        <f t="shared" si="14"/>
        <v/>
      </c>
      <c r="U121" t="str">
        <f t="shared" si="15"/>
        <v>点击次数少于10次没有参考性</v>
      </c>
      <c r="V121" s="4" t="str">
        <f>IFERROR(INDEX(搜索词报告!$D$2:$D$22222,MATCH(关键词词频统计!L121,搜索词报告!$H$2:$H$22222,0)),"")</f>
        <v/>
      </c>
    </row>
    <row r="122" spans="2:22" x14ac:dyDescent="0.15">
      <c r="B122">
        <f t="array" ref="B122">SUM(IF(搜索词报告!$H$2:$H$22222=A122,IF(搜索词报告!$A$2:$A$22222&gt;=关键词词频统计!$A$2,IF(搜索词报告!$A$2:$A$22222&lt;=关键词词频统计!$A$4,搜索词报告!$I$2:$I$22222,0),0),0))</f>
        <v>0</v>
      </c>
      <c r="C122">
        <f t="array" ref="C122">SUM(IF(搜索词报告!$H$2:$H$22222=A122,IF(搜索词报告!$A$2:$A$22222&gt;=关键词词频统计!$A$2,IF(搜索词报告!$A$2:$A$22222&lt;=关键词词频统计!$A$4,搜索词报告!$J$2:$J$22222,0),0),0))</f>
        <v>0</v>
      </c>
      <c r="D122" s="2">
        <f t="shared" si="8"/>
        <v>0</v>
      </c>
      <c r="E122" s="2">
        <f t="shared" si="9"/>
        <v>0</v>
      </c>
      <c r="F122">
        <f t="array" ref="F122">SUM(IF(搜索词报告!$H$2:$H$22222=A122,IF(搜索词报告!$A$2:$A$22222&gt;=关键词词频统计!$A$2,IF(搜索词报告!$A$2:$A$22222&lt;=关键词词频统计!$A$4,搜索词报告!$Q$2:$Q$22222,0),0),0))</f>
        <v>0</v>
      </c>
      <c r="G122">
        <f t="array" ref="G122">SUM(IF(搜索词报告!$H$2:$H$22222=A122,IF(搜索词报告!$A$2:$A$22222&gt;=关键词词频统计!$A$2,IF(搜索词报告!$A$2:$A$22222&lt;=关键词词频统计!$A$4,搜索词报告!$N$2:$N$22222,0),0),0))</f>
        <v>0</v>
      </c>
      <c r="H122">
        <f t="array" ref="H122">SUM(IF(搜索词报告!$H$2:$H$22222=A122,IF(搜索词报告!$A$2:$A$22222&gt;=关键词词频统计!$A$2,IF(搜索词报告!$A$2:$A$22222&lt;=关键词词频统计!$A$4,搜索词报告!$M$2:$M$22222,0),0),0))</f>
        <v>0</v>
      </c>
      <c r="I122" s="2" t="str">
        <f t="shared" si="10"/>
        <v/>
      </c>
      <c r="J122" t="str">
        <f t="shared" si="11"/>
        <v>点击次数少于10次没有参考性</v>
      </c>
      <c r="K122" s="4" t="str">
        <f>IFERROR(INDEX(搜索词报告!$D$2:$D$22222,MATCH(关键词词频统计!A122,搜索词报告!$H$2:$H$22222,0)),"")</f>
        <v/>
      </c>
      <c r="M122">
        <f t="array" ref="M122">SUM(IF(搜索词报告!$H$2:$H$22222=L122,IF(搜索词报告!$A$2:$A$22222&gt;=$L$2,IF(搜索词报告!$A$2:$A$22222&lt;=$L$4,搜索词报告!$I$2:$I$22222,0),0),0))</f>
        <v>0</v>
      </c>
      <c r="N122">
        <f t="array" ref="N122">SUM(IF(搜索词报告!$H$2:$H$22222=L122,IF(搜索词报告!$A$2:$A$22222&gt;=$L$2,IF(搜索词报告!$A$2:$A$22222&lt;=$L$4,搜索词报告!$J$2:$J$22222,0),0),0))</f>
        <v>0</v>
      </c>
      <c r="O122" s="2">
        <f t="shared" si="12"/>
        <v>0</v>
      </c>
      <c r="P122" s="2">
        <f t="shared" si="13"/>
        <v>0</v>
      </c>
      <c r="Q122">
        <f t="array" ref="Q122">SUM(IF(搜索词报告!$H$2:$H$22222=L122,IF(搜索词报告!$A$2:$A$22222&gt;=$L$2,IF(搜索词报告!$A$2:$A$22222&lt;=$L$4,搜索词报告!$Q$2:$Q$22222,0),0),0))</f>
        <v>0</v>
      </c>
      <c r="R122">
        <f t="array" ref="R122">SUM(IF(搜索词报告!$H$2:$H$22222=L122,IF(搜索词报告!$A$2:$A$22222&gt;=$L$2,IF(搜索词报告!$A$2:$A$22222&lt;=$L$4,搜索词报告!$N$2:$N$22222,0),0),0))</f>
        <v>0</v>
      </c>
      <c r="S122">
        <f t="array" ref="S122">SUM(IF(搜索词报告!$H$2:$H$22222=L122,IF(搜索词报告!$A$2:$A$22222&gt;=$L$2,IF(搜索词报告!$A$2:$A$22222&lt;=$L$4,搜索词报告!$M$2:$M$22222,0),0),0))</f>
        <v>0</v>
      </c>
      <c r="T122" s="2" t="str">
        <f t="shared" si="14"/>
        <v/>
      </c>
      <c r="U122" t="str">
        <f t="shared" si="15"/>
        <v>点击次数少于10次没有参考性</v>
      </c>
      <c r="V122" s="4" t="str">
        <f>IFERROR(INDEX(搜索词报告!$D$2:$D$22222,MATCH(关键词词频统计!L122,搜索词报告!$H$2:$H$22222,0)),"")</f>
        <v/>
      </c>
    </row>
    <row r="123" spans="2:22" x14ac:dyDescent="0.15">
      <c r="B123">
        <f t="array" ref="B123">SUM(IF(搜索词报告!$H$2:$H$22222=A123,IF(搜索词报告!$A$2:$A$22222&gt;=关键词词频统计!$A$2,IF(搜索词报告!$A$2:$A$22222&lt;=关键词词频统计!$A$4,搜索词报告!$I$2:$I$22222,0),0),0))</f>
        <v>0</v>
      </c>
      <c r="C123">
        <f t="array" ref="C123">SUM(IF(搜索词报告!$H$2:$H$22222=A123,IF(搜索词报告!$A$2:$A$22222&gt;=关键词词频统计!$A$2,IF(搜索词报告!$A$2:$A$22222&lt;=关键词词频统计!$A$4,搜索词报告!$J$2:$J$22222,0),0),0))</f>
        <v>0</v>
      </c>
      <c r="D123" s="2">
        <f t="shared" si="8"/>
        <v>0</v>
      </c>
      <c r="E123" s="2">
        <f t="shared" si="9"/>
        <v>0</v>
      </c>
      <c r="F123">
        <f t="array" ref="F123">SUM(IF(搜索词报告!$H$2:$H$22222=A123,IF(搜索词报告!$A$2:$A$22222&gt;=关键词词频统计!$A$2,IF(搜索词报告!$A$2:$A$22222&lt;=关键词词频统计!$A$4,搜索词报告!$Q$2:$Q$22222,0),0),0))</f>
        <v>0</v>
      </c>
      <c r="G123">
        <f t="array" ref="G123">SUM(IF(搜索词报告!$H$2:$H$22222=A123,IF(搜索词报告!$A$2:$A$22222&gt;=关键词词频统计!$A$2,IF(搜索词报告!$A$2:$A$22222&lt;=关键词词频统计!$A$4,搜索词报告!$N$2:$N$22222,0),0),0))</f>
        <v>0</v>
      </c>
      <c r="H123">
        <f t="array" ref="H123">SUM(IF(搜索词报告!$H$2:$H$22222=A123,IF(搜索词报告!$A$2:$A$22222&gt;=关键词词频统计!$A$2,IF(搜索词报告!$A$2:$A$22222&lt;=关键词词频统计!$A$4,搜索词报告!$M$2:$M$22222,0),0),0))</f>
        <v>0</v>
      </c>
      <c r="I123" s="2" t="str">
        <f t="shared" si="10"/>
        <v/>
      </c>
      <c r="J123" t="str">
        <f t="shared" si="11"/>
        <v>点击次数少于10次没有参考性</v>
      </c>
      <c r="K123" s="4" t="str">
        <f>IFERROR(INDEX(搜索词报告!$D$2:$D$22222,MATCH(关键词词频统计!A123,搜索词报告!$H$2:$H$22222,0)),"")</f>
        <v/>
      </c>
      <c r="M123">
        <f t="array" ref="M123">SUM(IF(搜索词报告!$H$2:$H$22222=L123,IF(搜索词报告!$A$2:$A$22222&gt;=$L$2,IF(搜索词报告!$A$2:$A$22222&lt;=$L$4,搜索词报告!$I$2:$I$22222,0),0),0))</f>
        <v>0</v>
      </c>
      <c r="N123">
        <f t="array" ref="N123">SUM(IF(搜索词报告!$H$2:$H$22222=L123,IF(搜索词报告!$A$2:$A$22222&gt;=$L$2,IF(搜索词报告!$A$2:$A$22222&lt;=$L$4,搜索词报告!$J$2:$J$22222,0),0),0))</f>
        <v>0</v>
      </c>
      <c r="O123" s="2">
        <f t="shared" si="12"/>
        <v>0</v>
      </c>
      <c r="P123" s="2">
        <f t="shared" si="13"/>
        <v>0</v>
      </c>
      <c r="Q123">
        <f t="array" ref="Q123">SUM(IF(搜索词报告!$H$2:$H$22222=L123,IF(搜索词报告!$A$2:$A$22222&gt;=$L$2,IF(搜索词报告!$A$2:$A$22222&lt;=$L$4,搜索词报告!$Q$2:$Q$22222,0),0),0))</f>
        <v>0</v>
      </c>
      <c r="R123">
        <f t="array" ref="R123">SUM(IF(搜索词报告!$H$2:$H$22222=L123,IF(搜索词报告!$A$2:$A$22222&gt;=$L$2,IF(搜索词报告!$A$2:$A$22222&lt;=$L$4,搜索词报告!$N$2:$N$22222,0),0),0))</f>
        <v>0</v>
      </c>
      <c r="S123">
        <f t="array" ref="S123">SUM(IF(搜索词报告!$H$2:$H$22222=L123,IF(搜索词报告!$A$2:$A$22222&gt;=$L$2,IF(搜索词报告!$A$2:$A$22222&lt;=$L$4,搜索词报告!$M$2:$M$22222,0),0),0))</f>
        <v>0</v>
      </c>
      <c r="T123" s="2" t="str">
        <f t="shared" si="14"/>
        <v/>
      </c>
      <c r="U123" t="str">
        <f t="shared" si="15"/>
        <v>点击次数少于10次没有参考性</v>
      </c>
      <c r="V123" s="4" t="str">
        <f>IFERROR(INDEX(搜索词报告!$D$2:$D$22222,MATCH(关键词词频统计!L123,搜索词报告!$H$2:$H$22222,0)),"")</f>
        <v/>
      </c>
    </row>
    <row r="124" spans="2:22" x14ac:dyDescent="0.15">
      <c r="B124">
        <f t="array" ref="B124">SUM(IF(搜索词报告!$H$2:$H$22222=A124,IF(搜索词报告!$A$2:$A$22222&gt;=关键词词频统计!$A$2,IF(搜索词报告!$A$2:$A$22222&lt;=关键词词频统计!$A$4,搜索词报告!$I$2:$I$22222,0),0),0))</f>
        <v>0</v>
      </c>
      <c r="C124">
        <f t="array" ref="C124">SUM(IF(搜索词报告!$H$2:$H$22222=A124,IF(搜索词报告!$A$2:$A$22222&gt;=关键词词频统计!$A$2,IF(搜索词报告!$A$2:$A$22222&lt;=关键词词频统计!$A$4,搜索词报告!$J$2:$J$22222,0),0),0))</f>
        <v>0</v>
      </c>
      <c r="D124" s="2">
        <f t="shared" si="8"/>
        <v>0</v>
      </c>
      <c r="E124" s="2">
        <f t="shared" si="9"/>
        <v>0</v>
      </c>
      <c r="F124">
        <f t="array" ref="F124">SUM(IF(搜索词报告!$H$2:$H$22222=A124,IF(搜索词报告!$A$2:$A$22222&gt;=关键词词频统计!$A$2,IF(搜索词报告!$A$2:$A$22222&lt;=关键词词频统计!$A$4,搜索词报告!$Q$2:$Q$22222,0),0),0))</f>
        <v>0</v>
      </c>
      <c r="G124">
        <f t="array" ref="G124">SUM(IF(搜索词报告!$H$2:$H$22222=A124,IF(搜索词报告!$A$2:$A$22222&gt;=关键词词频统计!$A$2,IF(搜索词报告!$A$2:$A$22222&lt;=关键词词频统计!$A$4,搜索词报告!$N$2:$N$22222,0),0),0))</f>
        <v>0</v>
      </c>
      <c r="H124">
        <f t="array" ref="H124">SUM(IF(搜索词报告!$H$2:$H$22222=A124,IF(搜索词报告!$A$2:$A$22222&gt;=关键词词频统计!$A$2,IF(搜索词报告!$A$2:$A$22222&lt;=关键词词频统计!$A$4,搜索词报告!$M$2:$M$22222,0),0),0))</f>
        <v>0</v>
      </c>
      <c r="I124" s="2" t="str">
        <f t="shared" si="10"/>
        <v/>
      </c>
      <c r="J124" t="str">
        <f t="shared" si="11"/>
        <v>点击次数少于10次没有参考性</v>
      </c>
      <c r="K124" s="4" t="str">
        <f>IFERROR(INDEX(搜索词报告!$D$2:$D$22222,MATCH(关键词词频统计!A124,搜索词报告!$H$2:$H$22222,0)),"")</f>
        <v/>
      </c>
      <c r="M124">
        <f t="array" ref="M124">SUM(IF(搜索词报告!$H$2:$H$22222=L124,IF(搜索词报告!$A$2:$A$22222&gt;=$L$2,IF(搜索词报告!$A$2:$A$22222&lt;=$L$4,搜索词报告!$I$2:$I$22222,0),0),0))</f>
        <v>0</v>
      </c>
      <c r="N124">
        <f t="array" ref="N124">SUM(IF(搜索词报告!$H$2:$H$22222=L124,IF(搜索词报告!$A$2:$A$22222&gt;=$L$2,IF(搜索词报告!$A$2:$A$22222&lt;=$L$4,搜索词报告!$J$2:$J$22222,0),0),0))</f>
        <v>0</v>
      </c>
      <c r="O124" s="2">
        <f t="shared" si="12"/>
        <v>0</v>
      </c>
      <c r="P124" s="2">
        <f t="shared" si="13"/>
        <v>0</v>
      </c>
      <c r="Q124">
        <f t="array" ref="Q124">SUM(IF(搜索词报告!$H$2:$H$22222=L124,IF(搜索词报告!$A$2:$A$22222&gt;=$L$2,IF(搜索词报告!$A$2:$A$22222&lt;=$L$4,搜索词报告!$Q$2:$Q$22222,0),0),0))</f>
        <v>0</v>
      </c>
      <c r="R124">
        <f t="array" ref="R124">SUM(IF(搜索词报告!$H$2:$H$22222=L124,IF(搜索词报告!$A$2:$A$22222&gt;=$L$2,IF(搜索词报告!$A$2:$A$22222&lt;=$L$4,搜索词报告!$N$2:$N$22222,0),0),0))</f>
        <v>0</v>
      </c>
      <c r="S124">
        <f t="array" ref="S124">SUM(IF(搜索词报告!$H$2:$H$22222=L124,IF(搜索词报告!$A$2:$A$22222&gt;=$L$2,IF(搜索词报告!$A$2:$A$22222&lt;=$L$4,搜索词报告!$M$2:$M$22222,0),0),0))</f>
        <v>0</v>
      </c>
      <c r="T124" s="2" t="str">
        <f t="shared" si="14"/>
        <v/>
      </c>
      <c r="U124" t="str">
        <f t="shared" si="15"/>
        <v>点击次数少于10次没有参考性</v>
      </c>
      <c r="V124" s="4" t="str">
        <f>IFERROR(INDEX(搜索词报告!$D$2:$D$22222,MATCH(关键词词频统计!L124,搜索词报告!$H$2:$H$22222,0)),"")</f>
        <v/>
      </c>
    </row>
    <row r="125" spans="2:22" x14ac:dyDescent="0.15">
      <c r="B125">
        <f t="array" ref="B125">SUM(IF(搜索词报告!$H$2:$H$22222=A125,IF(搜索词报告!$A$2:$A$22222&gt;=关键词词频统计!$A$2,IF(搜索词报告!$A$2:$A$22222&lt;=关键词词频统计!$A$4,搜索词报告!$I$2:$I$22222,0),0),0))</f>
        <v>0</v>
      </c>
      <c r="C125">
        <f t="array" ref="C125">SUM(IF(搜索词报告!$H$2:$H$22222=A125,IF(搜索词报告!$A$2:$A$22222&gt;=关键词词频统计!$A$2,IF(搜索词报告!$A$2:$A$22222&lt;=关键词词频统计!$A$4,搜索词报告!$J$2:$J$22222,0),0),0))</f>
        <v>0</v>
      </c>
      <c r="D125" s="2">
        <f t="shared" si="8"/>
        <v>0</v>
      </c>
      <c r="E125" s="2">
        <f t="shared" si="9"/>
        <v>0</v>
      </c>
      <c r="F125">
        <f t="array" ref="F125">SUM(IF(搜索词报告!$H$2:$H$22222=A125,IF(搜索词报告!$A$2:$A$22222&gt;=关键词词频统计!$A$2,IF(搜索词报告!$A$2:$A$22222&lt;=关键词词频统计!$A$4,搜索词报告!$Q$2:$Q$22222,0),0),0))</f>
        <v>0</v>
      </c>
      <c r="G125">
        <f t="array" ref="G125">SUM(IF(搜索词报告!$H$2:$H$22222=A125,IF(搜索词报告!$A$2:$A$22222&gt;=关键词词频统计!$A$2,IF(搜索词报告!$A$2:$A$22222&lt;=关键词词频统计!$A$4,搜索词报告!$N$2:$N$22222,0),0),0))</f>
        <v>0</v>
      </c>
      <c r="H125">
        <f t="array" ref="H125">SUM(IF(搜索词报告!$H$2:$H$22222=A125,IF(搜索词报告!$A$2:$A$22222&gt;=关键词词频统计!$A$2,IF(搜索词报告!$A$2:$A$22222&lt;=关键词词频统计!$A$4,搜索词报告!$M$2:$M$22222,0),0),0))</f>
        <v>0</v>
      </c>
      <c r="I125" s="2" t="str">
        <f t="shared" si="10"/>
        <v/>
      </c>
      <c r="J125" t="str">
        <f t="shared" si="11"/>
        <v>点击次数少于10次没有参考性</v>
      </c>
      <c r="K125" s="4" t="str">
        <f>IFERROR(INDEX(搜索词报告!$D$2:$D$22222,MATCH(关键词词频统计!A125,搜索词报告!$H$2:$H$22222,0)),"")</f>
        <v/>
      </c>
      <c r="M125">
        <f t="array" ref="M125">SUM(IF(搜索词报告!$H$2:$H$22222=L125,IF(搜索词报告!$A$2:$A$22222&gt;=$L$2,IF(搜索词报告!$A$2:$A$22222&lt;=$L$4,搜索词报告!$I$2:$I$22222,0),0),0))</f>
        <v>0</v>
      </c>
      <c r="N125">
        <f t="array" ref="N125">SUM(IF(搜索词报告!$H$2:$H$22222=L125,IF(搜索词报告!$A$2:$A$22222&gt;=$L$2,IF(搜索词报告!$A$2:$A$22222&lt;=$L$4,搜索词报告!$J$2:$J$22222,0),0),0))</f>
        <v>0</v>
      </c>
      <c r="O125" s="2">
        <f t="shared" si="12"/>
        <v>0</v>
      </c>
      <c r="P125" s="2">
        <f t="shared" si="13"/>
        <v>0</v>
      </c>
      <c r="Q125">
        <f t="array" ref="Q125">SUM(IF(搜索词报告!$H$2:$H$22222=L125,IF(搜索词报告!$A$2:$A$22222&gt;=$L$2,IF(搜索词报告!$A$2:$A$22222&lt;=$L$4,搜索词报告!$Q$2:$Q$22222,0),0),0))</f>
        <v>0</v>
      </c>
      <c r="R125">
        <f t="array" ref="R125">SUM(IF(搜索词报告!$H$2:$H$22222=L125,IF(搜索词报告!$A$2:$A$22222&gt;=$L$2,IF(搜索词报告!$A$2:$A$22222&lt;=$L$4,搜索词报告!$N$2:$N$22222,0),0),0))</f>
        <v>0</v>
      </c>
      <c r="S125">
        <f t="array" ref="S125">SUM(IF(搜索词报告!$H$2:$H$22222=L125,IF(搜索词报告!$A$2:$A$22222&gt;=$L$2,IF(搜索词报告!$A$2:$A$22222&lt;=$L$4,搜索词报告!$M$2:$M$22222,0),0),0))</f>
        <v>0</v>
      </c>
      <c r="T125" s="2" t="str">
        <f t="shared" si="14"/>
        <v/>
      </c>
      <c r="U125" t="str">
        <f t="shared" si="15"/>
        <v>点击次数少于10次没有参考性</v>
      </c>
      <c r="V125" s="4" t="str">
        <f>IFERROR(INDEX(搜索词报告!$D$2:$D$22222,MATCH(关键词词频统计!L125,搜索词报告!$H$2:$H$22222,0)),"")</f>
        <v/>
      </c>
    </row>
    <row r="126" spans="2:22" x14ac:dyDescent="0.15">
      <c r="B126">
        <f t="array" ref="B126">SUM(IF(搜索词报告!$H$2:$H$22222=A126,IF(搜索词报告!$A$2:$A$22222&gt;=关键词词频统计!$A$2,IF(搜索词报告!$A$2:$A$22222&lt;=关键词词频统计!$A$4,搜索词报告!$I$2:$I$22222,0),0),0))</f>
        <v>0</v>
      </c>
      <c r="C126">
        <f t="array" ref="C126">SUM(IF(搜索词报告!$H$2:$H$22222=A126,IF(搜索词报告!$A$2:$A$22222&gt;=关键词词频统计!$A$2,IF(搜索词报告!$A$2:$A$22222&lt;=关键词词频统计!$A$4,搜索词报告!$J$2:$J$22222,0),0),0))</f>
        <v>0</v>
      </c>
      <c r="D126" s="2">
        <f t="shared" si="8"/>
        <v>0</v>
      </c>
      <c r="E126" s="2">
        <f t="shared" si="9"/>
        <v>0</v>
      </c>
      <c r="F126">
        <f t="array" ref="F126">SUM(IF(搜索词报告!$H$2:$H$22222=A126,IF(搜索词报告!$A$2:$A$22222&gt;=关键词词频统计!$A$2,IF(搜索词报告!$A$2:$A$22222&lt;=关键词词频统计!$A$4,搜索词报告!$Q$2:$Q$22222,0),0),0))</f>
        <v>0</v>
      </c>
      <c r="G126">
        <f t="array" ref="G126">SUM(IF(搜索词报告!$H$2:$H$22222=A126,IF(搜索词报告!$A$2:$A$22222&gt;=关键词词频统计!$A$2,IF(搜索词报告!$A$2:$A$22222&lt;=关键词词频统计!$A$4,搜索词报告!$N$2:$N$22222,0),0),0))</f>
        <v>0</v>
      </c>
      <c r="H126">
        <f t="array" ref="H126">SUM(IF(搜索词报告!$H$2:$H$22222=A126,IF(搜索词报告!$A$2:$A$22222&gt;=关键词词频统计!$A$2,IF(搜索词报告!$A$2:$A$22222&lt;=关键词词频统计!$A$4,搜索词报告!$M$2:$M$22222,0),0),0))</f>
        <v>0</v>
      </c>
      <c r="I126" s="2" t="str">
        <f t="shared" si="10"/>
        <v/>
      </c>
      <c r="J126" t="str">
        <f t="shared" si="11"/>
        <v>点击次数少于10次没有参考性</v>
      </c>
      <c r="K126" s="4" t="str">
        <f>IFERROR(INDEX(搜索词报告!$D$2:$D$22222,MATCH(关键词词频统计!A126,搜索词报告!$H$2:$H$22222,0)),"")</f>
        <v/>
      </c>
      <c r="M126">
        <f t="array" ref="M126">SUM(IF(搜索词报告!$H$2:$H$22222=L126,IF(搜索词报告!$A$2:$A$22222&gt;=$L$2,IF(搜索词报告!$A$2:$A$22222&lt;=$L$4,搜索词报告!$I$2:$I$22222,0),0),0))</f>
        <v>0</v>
      </c>
      <c r="N126">
        <f t="array" ref="N126">SUM(IF(搜索词报告!$H$2:$H$22222=L126,IF(搜索词报告!$A$2:$A$22222&gt;=$L$2,IF(搜索词报告!$A$2:$A$22222&lt;=$L$4,搜索词报告!$J$2:$J$22222,0),0),0))</f>
        <v>0</v>
      </c>
      <c r="O126" s="2">
        <f t="shared" si="12"/>
        <v>0</v>
      </c>
      <c r="P126" s="2">
        <f t="shared" si="13"/>
        <v>0</v>
      </c>
      <c r="Q126">
        <f t="array" ref="Q126">SUM(IF(搜索词报告!$H$2:$H$22222=L126,IF(搜索词报告!$A$2:$A$22222&gt;=$L$2,IF(搜索词报告!$A$2:$A$22222&lt;=$L$4,搜索词报告!$Q$2:$Q$22222,0),0),0))</f>
        <v>0</v>
      </c>
      <c r="R126">
        <f t="array" ref="R126">SUM(IF(搜索词报告!$H$2:$H$22222=L126,IF(搜索词报告!$A$2:$A$22222&gt;=$L$2,IF(搜索词报告!$A$2:$A$22222&lt;=$L$4,搜索词报告!$N$2:$N$22222,0),0),0))</f>
        <v>0</v>
      </c>
      <c r="S126">
        <f t="array" ref="S126">SUM(IF(搜索词报告!$H$2:$H$22222=L126,IF(搜索词报告!$A$2:$A$22222&gt;=$L$2,IF(搜索词报告!$A$2:$A$22222&lt;=$L$4,搜索词报告!$M$2:$M$22222,0),0),0))</f>
        <v>0</v>
      </c>
      <c r="T126" s="2" t="str">
        <f t="shared" si="14"/>
        <v/>
      </c>
      <c r="U126" t="str">
        <f t="shared" si="15"/>
        <v>点击次数少于10次没有参考性</v>
      </c>
      <c r="V126" s="4" t="str">
        <f>IFERROR(INDEX(搜索词报告!$D$2:$D$22222,MATCH(关键词词频统计!L126,搜索词报告!$H$2:$H$22222,0)),"")</f>
        <v/>
      </c>
    </row>
    <row r="127" spans="2:22" x14ac:dyDescent="0.15">
      <c r="B127">
        <f t="array" ref="B127">SUM(IF(搜索词报告!$H$2:$H$22222=A127,IF(搜索词报告!$A$2:$A$22222&gt;=关键词词频统计!$A$2,IF(搜索词报告!$A$2:$A$22222&lt;=关键词词频统计!$A$4,搜索词报告!$I$2:$I$22222,0),0),0))</f>
        <v>0</v>
      </c>
      <c r="C127">
        <f t="array" ref="C127">SUM(IF(搜索词报告!$H$2:$H$22222=A127,IF(搜索词报告!$A$2:$A$22222&gt;=关键词词频统计!$A$2,IF(搜索词报告!$A$2:$A$22222&lt;=关键词词频统计!$A$4,搜索词报告!$J$2:$J$22222,0),0),0))</f>
        <v>0</v>
      </c>
      <c r="D127" s="2">
        <f t="shared" si="8"/>
        <v>0</v>
      </c>
      <c r="E127" s="2">
        <f t="shared" si="9"/>
        <v>0</v>
      </c>
      <c r="F127">
        <f t="array" ref="F127">SUM(IF(搜索词报告!$H$2:$H$22222=A127,IF(搜索词报告!$A$2:$A$22222&gt;=关键词词频统计!$A$2,IF(搜索词报告!$A$2:$A$22222&lt;=关键词词频统计!$A$4,搜索词报告!$Q$2:$Q$22222,0),0),0))</f>
        <v>0</v>
      </c>
      <c r="G127">
        <f t="array" ref="G127">SUM(IF(搜索词报告!$H$2:$H$22222=A127,IF(搜索词报告!$A$2:$A$22222&gt;=关键词词频统计!$A$2,IF(搜索词报告!$A$2:$A$22222&lt;=关键词词频统计!$A$4,搜索词报告!$N$2:$N$22222,0),0),0))</f>
        <v>0</v>
      </c>
      <c r="H127">
        <f t="array" ref="H127">SUM(IF(搜索词报告!$H$2:$H$22222=A127,IF(搜索词报告!$A$2:$A$22222&gt;=关键词词频统计!$A$2,IF(搜索词报告!$A$2:$A$22222&lt;=关键词词频统计!$A$4,搜索词报告!$M$2:$M$22222,0),0),0))</f>
        <v>0</v>
      </c>
      <c r="I127" s="2" t="str">
        <f t="shared" si="10"/>
        <v/>
      </c>
      <c r="J127" t="str">
        <f t="shared" si="11"/>
        <v>点击次数少于10次没有参考性</v>
      </c>
      <c r="K127" s="4" t="str">
        <f>IFERROR(INDEX(搜索词报告!$D$2:$D$22222,MATCH(关键词词频统计!A127,搜索词报告!$H$2:$H$22222,0)),"")</f>
        <v/>
      </c>
      <c r="M127">
        <f t="array" ref="M127">SUM(IF(搜索词报告!$H$2:$H$22222=L127,IF(搜索词报告!$A$2:$A$22222&gt;=$L$2,IF(搜索词报告!$A$2:$A$22222&lt;=$L$4,搜索词报告!$I$2:$I$22222,0),0),0))</f>
        <v>0</v>
      </c>
      <c r="N127">
        <f t="array" ref="N127">SUM(IF(搜索词报告!$H$2:$H$22222=L127,IF(搜索词报告!$A$2:$A$22222&gt;=$L$2,IF(搜索词报告!$A$2:$A$22222&lt;=$L$4,搜索词报告!$J$2:$J$22222,0),0),0))</f>
        <v>0</v>
      </c>
      <c r="O127" s="2">
        <f t="shared" si="12"/>
        <v>0</v>
      </c>
      <c r="P127" s="2">
        <f t="shared" si="13"/>
        <v>0</v>
      </c>
      <c r="Q127">
        <f t="array" ref="Q127">SUM(IF(搜索词报告!$H$2:$H$22222=L127,IF(搜索词报告!$A$2:$A$22222&gt;=$L$2,IF(搜索词报告!$A$2:$A$22222&lt;=$L$4,搜索词报告!$Q$2:$Q$22222,0),0),0))</f>
        <v>0</v>
      </c>
      <c r="R127">
        <f t="array" ref="R127">SUM(IF(搜索词报告!$H$2:$H$22222=L127,IF(搜索词报告!$A$2:$A$22222&gt;=$L$2,IF(搜索词报告!$A$2:$A$22222&lt;=$L$4,搜索词报告!$N$2:$N$22222,0),0),0))</f>
        <v>0</v>
      </c>
      <c r="S127">
        <f t="array" ref="S127">SUM(IF(搜索词报告!$H$2:$H$22222=L127,IF(搜索词报告!$A$2:$A$22222&gt;=$L$2,IF(搜索词报告!$A$2:$A$22222&lt;=$L$4,搜索词报告!$M$2:$M$22222,0),0),0))</f>
        <v>0</v>
      </c>
      <c r="T127" s="2" t="str">
        <f t="shared" si="14"/>
        <v/>
      </c>
      <c r="U127" t="str">
        <f t="shared" si="15"/>
        <v>点击次数少于10次没有参考性</v>
      </c>
      <c r="V127" s="4" t="str">
        <f>IFERROR(INDEX(搜索词报告!$D$2:$D$22222,MATCH(关键词词频统计!L127,搜索词报告!$H$2:$H$22222,0)),"")</f>
        <v/>
      </c>
    </row>
    <row r="128" spans="2:22" x14ac:dyDescent="0.15">
      <c r="B128">
        <f t="array" ref="B128">SUM(IF(搜索词报告!$H$2:$H$22222=A128,IF(搜索词报告!$A$2:$A$22222&gt;=关键词词频统计!$A$2,IF(搜索词报告!$A$2:$A$22222&lt;=关键词词频统计!$A$4,搜索词报告!$I$2:$I$22222,0),0),0))</f>
        <v>0</v>
      </c>
      <c r="C128">
        <f t="array" ref="C128">SUM(IF(搜索词报告!$H$2:$H$22222=A128,IF(搜索词报告!$A$2:$A$22222&gt;=关键词词频统计!$A$2,IF(搜索词报告!$A$2:$A$22222&lt;=关键词词频统计!$A$4,搜索词报告!$J$2:$J$22222,0),0),0))</f>
        <v>0</v>
      </c>
      <c r="D128" s="2">
        <f t="shared" si="8"/>
        <v>0</v>
      </c>
      <c r="E128" s="2">
        <f t="shared" si="9"/>
        <v>0</v>
      </c>
      <c r="F128">
        <f t="array" ref="F128">SUM(IF(搜索词报告!$H$2:$H$22222=A128,IF(搜索词报告!$A$2:$A$22222&gt;=关键词词频统计!$A$2,IF(搜索词报告!$A$2:$A$22222&lt;=关键词词频统计!$A$4,搜索词报告!$Q$2:$Q$22222,0),0),0))</f>
        <v>0</v>
      </c>
      <c r="G128">
        <f t="array" ref="G128">SUM(IF(搜索词报告!$H$2:$H$22222=A128,IF(搜索词报告!$A$2:$A$22222&gt;=关键词词频统计!$A$2,IF(搜索词报告!$A$2:$A$22222&lt;=关键词词频统计!$A$4,搜索词报告!$N$2:$N$22222,0),0),0))</f>
        <v>0</v>
      </c>
      <c r="H128">
        <f t="array" ref="H128">SUM(IF(搜索词报告!$H$2:$H$22222=A128,IF(搜索词报告!$A$2:$A$22222&gt;=关键词词频统计!$A$2,IF(搜索词报告!$A$2:$A$22222&lt;=关键词词频统计!$A$4,搜索词报告!$M$2:$M$22222,0),0),0))</f>
        <v>0</v>
      </c>
      <c r="I128" s="2" t="str">
        <f t="shared" si="10"/>
        <v/>
      </c>
      <c r="J128" t="str">
        <f t="shared" si="11"/>
        <v>点击次数少于10次没有参考性</v>
      </c>
      <c r="K128" s="4" t="str">
        <f>IFERROR(INDEX(搜索词报告!$D$2:$D$22222,MATCH(关键词词频统计!A128,搜索词报告!$H$2:$H$22222,0)),"")</f>
        <v/>
      </c>
      <c r="M128">
        <f t="array" ref="M128">SUM(IF(搜索词报告!$H$2:$H$22222=L128,IF(搜索词报告!$A$2:$A$22222&gt;=$L$2,IF(搜索词报告!$A$2:$A$22222&lt;=$L$4,搜索词报告!$I$2:$I$22222,0),0),0))</f>
        <v>0</v>
      </c>
      <c r="N128">
        <f t="array" ref="N128">SUM(IF(搜索词报告!$H$2:$H$22222=L128,IF(搜索词报告!$A$2:$A$22222&gt;=$L$2,IF(搜索词报告!$A$2:$A$22222&lt;=$L$4,搜索词报告!$J$2:$J$22222,0),0),0))</f>
        <v>0</v>
      </c>
      <c r="O128" s="2">
        <f t="shared" si="12"/>
        <v>0</v>
      </c>
      <c r="P128" s="2">
        <f t="shared" si="13"/>
        <v>0</v>
      </c>
      <c r="Q128">
        <f t="array" ref="Q128">SUM(IF(搜索词报告!$H$2:$H$22222=L128,IF(搜索词报告!$A$2:$A$22222&gt;=$L$2,IF(搜索词报告!$A$2:$A$22222&lt;=$L$4,搜索词报告!$Q$2:$Q$22222,0),0),0))</f>
        <v>0</v>
      </c>
      <c r="R128">
        <f t="array" ref="R128">SUM(IF(搜索词报告!$H$2:$H$22222=L128,IF(搜索词报告!$A$2:$A$22222&gt;=$L$2,IF(搜索词报告!$A$2:$A$22222&lt;=$L$4,搜索词报告!$N$2:$N$22222,0),0),0))</f>
        <v>0</v>
      </c>
      <c r="S128">
        <f t="array" ref="S128">SUM(IF(搜索词报告!$H$2:$H$22222=L128,IF(搜索词报告!$A$2:$A$22222&gt;=$L$2,IF(搜索词报告!$A$2:$A$22222&lt;=$L$4,搜索词报告!$M$2:$M$22222,0),0),0))</f>
        <v>0</v>
      </c>
      <c r="T128" s="2" t="str">
        <f t="shared" si="14"/>
        <v/>
      </c>
      <c r="U128" t="str">
        <f t="shared" si="15"/>
        <v>点击次数少于10次没有参考性</v>
      </c>
      <c r="V128" s="4" t="str">
        <f>IFERROR(INDEX(搜索词报告!$D$2:$D$22222,MATCH(关键词词频统计!L128,搜索词报告!$H$2:$H$22222,0)),"")</f>
        <v/>
      </c>
    </row>
    <row r="129" spans="2:22" x14ac:dyDescent="0.15">
      <c r="B129">
        <f t="array" ref="B129">SUM(IF(搜索词报告!$H$2:$H$22222=A129,IF(搜索词报告!$A$2:$A$22222&gt;=关键词词频统计!$A$2,IF(搜索词报告!$A$2:$A$22222&lt;=关键词词频统计!$A$4,搜索词报告!$I$2:$I$22222,0),0),0))</f>
        <v>0</v>
      </c>
      <c r="C129">
        <f t="array" ref="C129">SUM(IF(搜索词报告!$H$2:$H$22222=A129,IF(搜索词报告!$A$2:$A$22222&gt;=关键词词频统计!$A$2,IF(搜索词报告!$A$2:$A$22222&lt;=关键词词频统计!$A$4,搜索词报告!$J$2:$J$22222,0),0),0))</f>
        <v>0</v>
      </c>
      <c r="D129" s="2">
        <f t="shared" si="8"/>
        <v>0</v>
      </c>
      <c r="E129" s="2">
        <f t="shared" si="9"/>
        <v>0</v>
      </c>
      <c r="F129">
        <f t="array" ref="F129">SUM(IF(搜索词报告!$H$2:$H$22222=A129,IF(搜索词报告!$A$2:$A$22222&gt;=关键词词频统计!$A$2,IF(搜索词报告!$A$2:$A$22222&lt;=关键词词频统计!$A$4,搜索词报告!$Q$2:$Q$22222,0),0),0))</f>
        <v>0</v>
      </c>
      <c r="G129">
        <f t="array" ref="G129">SUM(IF(搜索词报告!$H$2:$H$22222=A129,IF(搜索词报告!$A$2:$A$22222&gt;=关键词词频统计!$A$2,IF(搜索词报告!$A$2:$A$22222&lt;=关键词词频统计!$A$4,搜索词报告!$N$2:$N$22222,0),0),0))</f>
        <v>0</v>
      </c>
      <c r="H129">
        <f t="array" ref="H129">SUM(IF(搜索词报告!$H$2:$H$22222=A129,IF(搜索词报告!$A$2:$A$22222&gt;=关键词词频统计!$A$2,IF(搜索词报告!$A$2:$A$22222&lt;=关键词词频统计!$A$4,搜索词报告!$M$2:$M$22222,0),0),0))</f>
        <v>0</v>
      </c>
      <c r="I129" s="2" t="str">
        <f t="shared" si="10"/>
        <v/>
      </c>
      <c r="J129" t="str">
        <f t="shared" si="11"/>
        <v>点击次数少于10次没有参考性</v>
      </c>
      <c r="K129" s="4" t="str">
        <f>IFERROR(INDEX(搜索词报告!$D$2:$D$22222,MATCH(关键词词频统计!A129,搜索词报告!$H$2:$H$22222,0)),"")</f>
        <v/>
      </c>
      <c r="M129">
        <f t="array" ref="M129">SUM(IF(搜索词报告!$H$2:$H$22222=L129,IF(搜索词报告!$A$2:$A$22222&gt;=$L$2,IF(搜索词报告!$A$2:$A$22222&lt;=$L$4,搜索词报告!$I$2:$I$22222,0),0),0))</f>
        <v>0</v>
      </c>
      <c r="N129">
        <f t="array" ref="N129">SUM(IF(搜索词报告!$H$2:$H$22222=L129,IF(搜索词报告!$A$2:$A$22222&gt;=$L$2,IF(搜索词报告!$A$2:$A$22222&lt;=$L$4,搜索词报告!$J$2:$J$22222,0),0),0))</f>
        <v>0</v>
      </c>
      <c r="O129" s="2">
        <f t="shared" si="12"/>
        <v>0</v>
      </c>
      <c r="P129" s="2">
        <f t="shared" si="13"/>
        <v>0</v>
      </c>
      <c r="Q129">
        <f t="array" ref="Q129">SUM(IF(搜索词报告!$H$2:$H$22222=L129,IF(搜索词报告!$A$2:$A$22222&gt;=$L$2,IF(搜索词报告!$A$2:$A$22222&lt;=$L$4,搜索词报告!$Q$2:$Q$22222,0),0),0))</f>
        <v>0</v>
      </c>
      <c r="R129">
        <f t="array" ref="R129">SUM(IF(搜索词报告!$H$2:$H$22222=L129,IF(搜索词报告!$A$2:$A$22222&gt;=$L$2,IF(搜索词报告!$A$2:$A$22222&lt;=$L$4,搜索词报告!$N$2:$N$22222,0),0),0))</f>
        <v>0</v>
      </c>
      <c r="S129">
        <f t="array" ref="S129">SUM(IF(搜索词报告!$H$2:$H$22222=L129,IF(搜索词报告!$A$2:$A$22222&gt;=$L$2,IF(搜索词报告!$A$2:$A$22222&lt;=$L$4,搜索词报告!$M$2:$M$22222,0),0),0))</f>
        <v>0</v>
      </c>
      <c r="T129" s="2" t="str">
        <f t="shared" si="14"/>
        <v/>
      </c>
      <c r="U129" t="str">
        <f t="shared" si="15"/>
        <v>点击次数少于10次没有参考性</v>
      </c>
      <c r="V129" s="4" t="str">
        <f>IFERROR(INDEX(搜索词报告!$D$2:$D$22222,MATCH(关键词词频统计!L129,搜索词报告!$H$2:$H$22222,0)),"")</f>
        <v/>
      </c>
    </row>
    <row r="130" spans="2:22" x14ac:dyDescent="0.15">
      <c r="B130">
        <f t="array" ref="B130">SUM(IF(搜索词报告!$H$2:$H$22222=A130,IF(搜索词报告!$A$2:$A$22222&gt;=关键词词频统计!$A$2,IF(搜索词报告!$A$2:$A$22222&lt;=关键词词频统计!$A$4,搜索词报告!$I$2:$I$22222,0),0),0))</f>
        <v>0</v>
      </c>
      <c r="C130">
        <f t="array" ref="C130">SUM(IF(搜索词报告!$H$2:$H$22222=A130,IF(搜索词报告!$A$2:$A$22222&gt;=关键词词频统计!$A$2,IF(搜索词报告!$A$2:$A$22222&lt;=关键词词频统计!$A$4,搜索词报告!$J$2:$J$22222,0),0),0))</f>
        <v>0</v>
      </c>
      <c r="D130" s="2">
        <f t="shared" si="8"/>
        <v>0</v>
      </c>
      <c r="E130" s="2">
        <f t="shared" si="9"/>
        <v>0</v>
      </c>
      <c r="F130">
        <f t="array" ref="F130">SUM(IF(搜索词报告!$H$2:$H$22222=A130,IF(搜索词报告!$A$2:$A$22222&gt;=关键词词频统计!$A$2,IF(搜索词报告!$A$2:$A$22222&lt;=关键词词频统计!$A$4,搜索词报告!$Q$2:$Q$22222,0),0),0))</f>
        <v>0</v>
      </c>
      <c r="G130">
        <f t="array" ref="G130">SUM(IF(搜索词报告!$H$2:$H$22222=A130,IF(搜索词报告!$A$2:$A$22222&gt;=关键词词频统计!$A$2,IF(搜索词报告!$A$2:$A$22222&lt;=关键词词频统计!$A$4,搜索词报告!$N$2:$N$22222,0),0),0))</f>
        <v>0</v>
      </c>
      <c r="H130">
        <f t="array" ref="H130">SUM(IF(搜索词报告!$H$2:$H$22222=A130,IF(搜索词报告!$A$2:$A$22222&gt;=关键词词频统计!$A$2,IF(搜索词报告!$A$2:$A$22222&lt;=关键词词频统计!$A$4,搜索词报告!$M$2:$M$22222,0),0),0))</f>
        <v>0</v>
      </c>
      <c r="I130" s="2" t="str">
        <f t="shared" si="10"/>
        <v/>
      </c>
      <c r="J130" t="str">
        <f t="shared" si="11"/>
        <v>点击次数少于10次没有参考性</v>
      </c>
      <c r="K130" s="4" t="str">
        <f>IFERROR(INDEX(搜索词报告!$D$2:$D$22222,MATCH(关键词词频统计!A130,搜索词报告!$H$2:$H$22222,0)),"")</f>
        <v/>
      </c>
      <c r="M130">
        <f t="array" ref="M130">SUM(IF(搜索词报告!$H$2:$H$22222=L130,IF(搜索词报告!$A$2:$A$22222&gt;=$L$2,IF(搜索词报告!$A$2:$A$22222&lt;=$L$4,搜索词报告!$I$2:$I$22222,0),0),0))</f>
        <v>0</v>
      </c>
      <c r="N130">
        <f t="array" ref="N130">SUM(IF(搜索词报告!$H$2:$H$22222=L130,IF(搜索词报告!$A$2:$A$22222&gt;=$L$2,IF(搜索词报告!$A$2:$A$22222&lt;=$L$4,搜索词报告!$J$2:$J$22222,0),0),0))</f>
        <v>0</v>
      </c>
      <c r="O130" s="2">
        <f t="shared" si="12"/>
        <v>0</v>
      </c>
      <c r="P130" s="2">
        <f t="shared" si="13"/>
        <v>0</v>
      </c>
      <c r="Q130">
        <f t="array" ref="Q130">SUM(IF(搜索词报告!$H$2:$H$22222=L130,IF(搜索词报告!$A$2:$A$22222&gt;=$L$2,IF(搜索词报告!$A$2:$A$22222&lt;=$L$4,搜索词报告!$Q$2:$Q$22222,0),0),0))</f>
        <v>0</v>
      </c>
      <c r="R130">
        <f t="array" ref="R130">SUM(IF(搜索词报告!$H$2:$H$22222=L130,IF(搜索词报告!$A$2:$A$22222&gt;=$L$2,IF(搜索词报告!$A$2:$A$22222&lt;=$L$4,搜索词报告!$N$2:$N$22222,0),0),0))</f>
        <v>0</v>
      </c>
      <c r="S130">
        <f t="array" ref="S130">SUM(IF(搜索词报告!$H$2:$H$22222=L130,IF(搜索词报告!$A$2:$A$22222&gt;=$L$2,IF(搜索词报告!$A$2:$A$22222&lt;=$L$4,搜索词报告!$M$2:$M$22222,0),0),0))</f>
        <v>0</v>
      </c>
      <c r="T130" s="2" t="str">
        <f t="shared" si="14"/>
        <v/>
      </c>
      <c r="U130" t="str">
        <f t="shared" si="15"/>
        <v>点击次数少于10次没有参考性</v>
      </c>
      <c r="V130" s="4" t="str">
        <f>IFERROR(INDEX(搜索词报告!$D$2:$D$22222,MATCH(关键词词频统计!L130,搜索词报告!$H$2:$H$22222,0)),"")</f>
        <v/>
      </c>
    </row>
    <row r="131" spans="2:22" x14ac:dyDescent="0.15">
      <c r="B131">
        <f t="array" ref="B131">SUM(IF(搜索词报告!$H$2:$H$22222=A131,IF(搜索词报告!$A$2:$A$22222&gt;=关键词词频统计!$A$2,IF(搜索词报告!$A$2:$A$22222&lt;=关键词词频统计!$A$4,搜索词报告!$I$2:$I$22222,0),0),0))</f>
        <v>0</v>
      </c>
      <c r="C131">
        <f t="array" ref="C131">SUM(IF(搜索词报告!$H$2:$H$22222=A131,IF(搜索词报告!$A$2:$A$22222&gt;=关键词词频统计!$A$2,IF(搜索词报告!$A$2:$A$22222&lt;=关键词词频统计!$A$4,搜索词报告!$J$2:$J$22222,0),0),0))</f>
        <v>0</v>
      </c>
      <c r="D131" s="2">
        <f t="shared" si="8"/>
        <v>0</v>
      </c>
      <c r="E131" s="2">
        <f t="shared" si="9"/>
        <v>0</v>
      </c>
      <c r="F131">
        <f t="array" ref="F131">SUM(IF(搜索词报告!$H$2:$H$22222=A131,IF(搜索词报告!$A$2:$A$22222&gt;=关键词词频统计!$A$2,IF(搜索词报告!$A$2:$A$22222&lt;=关键词词频统计!$A$4,搜索词报告!$Q$2:$Q$22222,0),0),0))</f>
        <v>0</v>
      </c>
      <c r="G131">
        <f t="array" ref="G131">SUM(IF(搜索词报告!$H$2:$H$22222=A131,IF(搜索词报告!$A$2:$A$22222&gt;=关键词词频统计!$A$2,IF(搜索词报告!$A$2:$A$22222&lt;=关键词词频统计!$A$4,搜索词报告!$N$2:$N$22222,0),0),0))</f>
        <v>0</v>
      </c>
      <c r="H131">
        <f t="array" ref="H131">SUM(IF(搜索词报告!$H$2:$H$22222=A131,IF(搜索词报告!$A$2:$A$22222&gt;=关键词词频统计!$A$2,IF(搜索词报告!$A$2:$A$22222&lt;=关键词词频统计!$A$4,搜索词报告!$M$2:$M$22222,0),0),0))</f>
        <v>0</v>
      </c>
      <c r="I131" s="2" t="str">
        <f t="shared" si="10"/>
        <v/>
      </c>
      <c r="J131" t="str">
        <f t="shared" si="11"/>
        <v>点击次数少于10次没有参考性</v>
      </c>
      <c r="K131" s="4" t="str">
        <f>IFERROR(INDEX(搜索词报告!$D$2:$D$22222,MATCH(关键词词频统计!A131,搜索词报告!$H$2:$H$22222,0)),"")</f>
        <v/>
      </c>
      <c r="M131">
        <f t="array" ref="M131">SUM(IF(搜索词报告!$H$2:$H$22222=L131,IF(搜索词报告!$A$2:$A$22222&gt;=$L$2,IF(搜索词报告!$A$2:$A$22222&lt;=$L$4,搜索词报告!$I$2:$I$22222,0),0),0))</f>
        <v>0</v>
      </c>
      <c r="N131">
        <f t="array" ref="N131">SUM(IF(搜索词报告!$H$2:$H$22222=L131,IF(搜索词报告!$A$2:$A$22222&gt;=$L$2,IF(搜索词报告!$A$2:$A$22222&lt;=$L$4,搜索词报告!$J$2:$J$22222,0),0),0))</f>
        <v>0</v>
      </c>
      <c r="O131" s="2">
        <f t="shared" si="12"/>
        <v>0</v>
      </c>
      <c r="P131" s="2">
        <f t="shared" si="13"/>
        <v>0</v>
      </c>
      <c r="Q131">
        <f t="array" ref="Q131">SUM(IF(搜索词报告!$H$2:$H$22222=L131,IF(搜索词报告!$A$2:$A$22222&gt;=$L$2,IF(搜索词报告!$A$2:$A$22222&lt;=$L$4,搜索词报告!$Q$2:$Q$22222,0),0),0))</f>
        <v>0</v>
      </c>
      <c r="R131">
        <f t="array" ref="R131">SUM(IF(搜索词报告!$H$2:$H$22222=L131,IF(搜索词报告!$A$2:$A$22222&gt;=$L$2,IF(搜索词报告!$A$2:$A$22222&lt;=$L$4,搜索词报告!$N$2:$N$22222,0),0),0))</f>
        <v>0</v>
      </c>
      <c r="S131">
        <f t="array" ref="S131">SUM(IF(搜索词报告!$H$2:$H$22222=L131,IF(搜索词报告!$A$2:$A$22222&gt;=$L$2,IF(搜索词报告!$A$2:$A$22222&lt;=$L$4,搜索词报告!$M$2:$M$22222,0),0),0))</f>
        <v>0</v>
      </c>
      <c r="T131" s="2" t="str">
        <f t="shared" si="14"/>
        <v/>
      </c>
      <c r="U131" t="str">
        <f t="shared" si="15"/>
        <v>点击次数少于10次没有参考性</v>
      </c>
      <c r="V131" s="4" t="str">
        <f>IFERROR(INDEX(搜索词报告!$D$2:$D$22222,MATCH(关键词词频统计!L131,搜索词报告!$H$2:$H$22222,0)),"")</f>
        <v/>
      </c>
    </row>
    <row r="132" spans="2:22" x14ac:dyDescent="0.15">
      <c r="B132">
        <f t="array" ref="B132">SUM(IF(搜索词报告!$H$2:$H$22222=A132,IF(搜索词报告!$A$2:$A$22222&gt;=关键词词频统计!$A$2,IF(搜索词报告!$A$2:$A$22222&lt;=关键词词频统计!$A$4,搜索词报告!$I$2:$I$22222,0),0),0))</f>
        <v>0</v>
      </c>
      <c r="C132">
        <f t="array" ref="C132">SUM(IF(搜索词报告!$H$2:$H$22222=A132,IF(搜索词报告!$A$2:$A$22222&gt;=关键词词频统计!$A$2,IF(搜索词报告!$A$2:$A$22222&lt;=关键词词频统计!$A$4,搜索词报告!$J$2:$J$22222,0),0),0))</f>
        <v>0</v>
      </c>
      <c r="D132" s="2">
        <f t="shared" si="8"/>
        <v>0</v>
      </c>
      <c r="E132" s="2">
        <f t="shared" si="9"/>
        <v>0</v>
      </c>
      <c r="F132">
        <f t="array" ref="F132">SUM(IF(搜索词报告!$H$2:$H$22222=A132,IF(搜索词报告!$A$2:$A$22222&gt;=关键词词频统计!$A$2,IF(搜索词报告!$A$2:$A$22222&lt;=关键词词频统计!$A$4,搜索词报告!$Q$2:$Q$22222,0),0),0))</f>
        <v>0</v>
      </c>
      <c r="G132">
        <f t="array" ref="G132">SUM(IF(搜索词报告!$H$2:$H$22222=A132,IF(搜索词报告!$A$2:$A$22222&gt;=关键词词频统计!$A$2,IF(搜索词报告!$A$2:$A$22222&lt;=关键词词频统计!$A$4,搜索词报告!$N$2:$N$22222,0),0),0))</f>
        <v>0</v>
      </c>
      <c r="H132">
        <f t="array" ref="H132">SUM(IF(搜索词报告!$H$2:$H$22222=A132,IF(搜索词报告!$A$2:$A$22222&gt;=关键词词频统计!$A$2,IF(搜索词报告!$A$2:$A$22222&lt;=关键词词频统计!$A$4,搜索词报告!$M$2:$M$22222,0),0),0))</f>
        <v>0</v>
      </c>
      <c r="I132" s="2" t="str">
        <f t="shared" si="10"/>
        <v/>
      </c>
      <c r="J132" t="str">
        <f t="shared" si="11"/>
        <v>点击次数少于10次没有参考性</v>
      </c>
      <c r="K132" s="4" t="str">
        <f>IFERROR(INDEX(搜索词报告!$D$2:$D$22222,MATCH(关键词词频统计!A132,搜索词报告!$H$2:$H$22222,0)),"")</f>
        <v/>
      </c>
      <c r="M132">
        <f t="array" ref="M132">SUM(IF(搜索词报告!$H$2:$H$22222=L132,IF(搜索词报告!$A$2:$A$22222&gt;=$L$2,IF(搜索词报告!$A$2:$A$22222&lt;=$L$4,搜索词报告!$I$2:$I$22222,0),0),0))</f>
        <v>0</v>
      </c>
      <c r="N132">
        <f t="array" ref="N132">SUM(IF(搜索词报告!$H$2:$H$22222=L132,IF(搜索词报告!$A$2:$A$22222&gt;=$L$2,IF(搜索词报告!$A$2:$A$22222&lt;=$L$4,搜索词报告!$J$2:$J$22222,0),0),0))</f>
        <v>0</v>
      </c>
      <c r="O132" s="2">
        <f t="shared" si="12"/>
        <v>0</v>
      </c>
      <c r="P132" s="2">
        <f t="shared" si="13"/>
        <v>0</v>
      </c>
      <c r="Q132">
        <f t="array" ref="Q132">SUM(IF(搜索词报告!$H$2:$H$22222=L132,IF(搜索词报告!$A$2:$A$22222&gt;=$L$2,IF(搜索词报告!$A$2:$A$22222&lt;=$L$4,搜索词报告!$Q$2:$Q$22222,0),0),0))</f>
        <v>0</v>
      </c>
      <c r="R132">
        <f t="array" ref="R132">SUM(IF(搜索词报告!$H$2:$H$22222=L132,IF(搜索词报告!$A$2:$A$22222&gt;=$L$2,IF(搜索词报告!$A$2:$A$22222&lt;=$L$4,搜索词报告!$N$2:$N$22222,0),0),0))</f>
        <v>0</v>
      </c>
      <c r="S132">
        <f t="array" ref="S132">SUM(IF(搜索词报告!$H$2:$H$22222=L132,IF(搜索词报告!$A$2:$A$22222&gt;=$L$2,IF(搜索词报告!$A$2:$A$22222&lt;=$L$4,搜索词报告!$M$2:$M$22222,0),0),0))</f>
        <v>0</v>
      </c>
      <c r="T132" s="2" t="str">
        <f t="shared" si="14"/>
        <v/>
      </c>
      <c r="U132" t="str">
        <f t="shared" si="15"/>
        <v>点击次数少于10次没有参考性</v>
      </c>
      <c r="V132" s="4" t="str">
        <f>IFERROR(INDEX(搜索词报告!$D$2:$D$22222,MATCH(关键词词频统计!L132,搜索词报告!$H$2:$H$22222,0)),"")</f>
        <v/>
      </c>
    </row>
    <row r="133" spans="2:22" x14ac:dyDescent="0.15">
      <c r="B133">
        <f t="array" ref="B133">SUM(IF(搜索词报告!$H$2:$H$22222=A133,IF(搜索词报告!$A$2:$A$22222&gt;=关键词词频统计!$A$2,IF(搜索词报告!$A$2:$A$22222&lt;=关键词词频统计!$A$4,搜索词报告!$I$2:$I$22222,0),0),0))</f>
        <v>0</v>
      </c>
      <c r="C133">
        <f t="array" ref="C133">SUM(IF(搜索词报告!$H$2:$H$22222=A133,IF(搜索词报告!$A$2:$A$22222&gt;=关键词词频统计!$A$2,IF(搜索词报告!$A$2:$A$22222&lt;=关键词词频统计!$A$4,搜索词报告!$J$2:$J$22222,0),0),0))</f>
        <v>0</v>
      </c>
      <c r="D133" s="2">
        <f t="shared" si="8"/>
        <v>0</v>
      </c>
      <c r="E133" s="2">
        <f t="shared" si="9"/>
        <v>0</v>
      </c>
      <c r="F133">
        <f t="array" ref="F133">SUM(IF(搜索词报告!$H$2:$H$22222=A133,IF(搜索词报告!$A$2:$A$22222&gt;=关键词词频统计!$A$2,IF(搜索词报告!$A$2:$A$22222&lt;=关键词词频统计!$A$4,搜索词报告!$Q$2:$Q$22222,0),0),0))</f>
        <v>0</v>
      </c>
      <c r="G133">
        <f t="array" ref="G133">SUM(IF(搜索词报告!$H$2:$H$22222=A133,IF(搜索词报告!$A$2:$A$22222&gt;=关键词词频统计!$A$2,IF(搜索词报告!$A$2:$A$22222&lt;=关键词词频统计!$A$4,搜索词报告!$N$2:$N$22222,0),0),0))</f>
        <v>0</v>
      </c>
      <c r="H133">
        <f t="array" ref="H133">SUM(IF(搜索词报告!$H$2:$H$22222=A133,IF(搜索词报告!$A$2:$A$22222&gt;=关键词词频统计!$A$2,IF(搜索词报告!$A$2:$A$22222&lt;=关键词词频统计!$A$4,搜索词报告!$M$2:$M$22222,0),0),0))</f>
        <v>0</v>
      </c>
      <c r="I133" s="2" t="str">
        <f t="shared" si="10"/>
        <v/>
      </c>
      <c r="J133" t="str">
        <f t="shared" si="11"/>
        <v>点击次数少于10次没有参考性</v>
      </c>
      <c r="K133" s="4" t="str">
        <f>IFERROR(INDEX(搜索词报告!$D$2:$D$22222,MATCH(关键词词频统计!A133,搜索词报告!$H$2:$H$22222,0)),"")</f>
        <v/>
      </c>
      <c r="M133">
        <f t="array" ref="M133">SUM(IF(搜索词报告!$H$2:$H$22222=L133,IF(搜索词报告!$A$2:$A$22222&gt;=$L$2,IF(搜索词报告!$A$2:$A$22222&lt;=$L$4,搜索词报告!$I$2:$I$22222,0),0),0))</f>
        <v>0</v>
      </c>
      <c r="N133">
        <f t="array" ref="N133">SUM(IF(搜索词报告!$H$2:$H$22222=L133,IF(搜索词报告!$A$2:$A$22222&gt;=$L$2,IF(搜索词报告!$A$2:$A$22222&lt;=$L$4,搜索词报告!$J$2:$J$22222,0),0),0))</f>
        <v>0</v>
      </c>
      <c r="O133" s="2">
        <f t="shared" si="12"/>
        <v>0</v>
      </c>
      <c r="P133" s="2">
        <f t="shared" si="13"/>
        <v>0</v>
      </c>
      <c r="Q133">
        <f t="array" ref="Q133">SUM(IF(搜索词报告!$H$2:$H$22222=L133,IF(搜索词报告!$A$2:$A$22222&gt;=$L$2,IF(搜索词报告!$A$2:$A$22222&lt;=$L$4,搜索词报告!$Q$2:$Q$22222,0),0),0))</f>
        <v>0</v>
      </c>
      <c r="R133">
        <f t="array" ref="R133">SUM(IF(搜索词报告!$H$2:$H$22222=L133,IF(搜索词报告!$A$2:$A$22222&gt;=$L$2,IF(搜索词报告!$A$2:$A$22222&lt;=$L$4,搜索词报告!$N$2:$N$22222,0),0),0))</f>
        <v>0</v>
      </c>
      <c r="S133">
        <f t="array" ref="S133">SUM(IF(搜索词报告!$H$2:$H$22222=L133,IF(搜索词报告!$A$2:$A$22222&gt;=$L$2,IF(搜索词报告!$A$2:$A$22222&lt;=$L$4,搜索词报告!$M$2:$M$22222,0),0),0))</f>
        <v>0</v>
      </c>
      <c r="T133" s="2" t="str">
        <f t="shared" si="14"/>
        <v/>
      </c>
      <c r="U133" t="str">
        <f t="shared" si="15"/>
        <v>点击次数少于10次没有参考性</v>
      </c>
      <c r="V133" s="4" t="str">
        <f>IFERROR(INDEX(搜索词报告!$D$2:$D$22222,MATCH(关键词词频统计!L133,搜索词报告!$H$2:$H$22222,0)),"")</f>
        <v/>
      </c>
    </row>
    <row r="134" spans="2:22" x14ac:dyDescent="0.15">
      <c r="B134">
        <f t="array" ref="B134">SUM(IF(搜索词报告!$H$2:$H$22222=A134,IF(搜索词报告!$A$2:$A$22222&gt;=关键词词频统计!$A$2,IF(搜索词报告!$A$2:$A$22222&lt;=关键词词频统计!$A$4,搜索词报告!$I$2:$I$22222,0),0),0))</f>
        <v>0</v>
      </c>
      <c r="C134">
        <f t="array" ref="C134">SUM(IF(搜索词报告!$H$2:$H$22222=A134,IF(搜索词报告!$A$2:$A$22222&gt;=关键词词频统计!$A$2,IF(搜索词报告!$A$2:$A$22222&lt;=关键词词频统计!$A$4,搜索词报告!$J$2:$J$22222,0),0),0))</f>
        <v>0</v>
      </c>
      <c r="D134" s="2">
        <f t="shared" si="8"/>
        <v>0</v>
      </c>
      <c r="E134" s="2">
        <f t="shared" si="9"/>
        <v>0</v>
      </c>
      <c r="F134">
        <f t="array" ref="F134">SUM(IF(搜索词报告!$H$2:$H$22222=A134,IF(搜索词报告!$A$2:$A$22222&gt;=关键词词频统计!$A$2,IF(搜索词报告!$A$2:$A$22222&lt;=关键词词频统计!$A$4,搜索词报告!$Q$2:$Q$22222,0),0),0))</f>
        <v>0</v>
      </c>
      <c r="G134">
        <f t="array" ref="G134">SUM(IF(搜索词报告!$H$2:$H$22222=A134,IF(搜索词报告!$A$2:$A$22222&gt;=关键词词频统计!$A$2,IF(搜索词报告!$A$2:$A$22222&lt;=关键词词频统计!$A$4,搜索词报告!$N$2:$N$22222,0),0),0))</f>
        <v>0</v>
      </c>
      <c r="H134">
        <f t="array" ref="H134">SUM(IF(搜索词报告!$H$2:$H$22222=A134,IF(搜索词报告!$A$2:$A$22222&gt;=关键词词频统计!$A$2,IF(搜索词报告!$A$2:$A$22222&lt;=关键词词频统计!$A$4,搜索词报告!$M$2:$M$22222,0),0),0))</f>
        <v>0</v>
      </c>
      <c r="I134" s="2" t="str">
        <f t="shared" si="10"/>
        <v/>
      </c>
      <c r="J134" t="str">
        <f t="shared" si="11"/>
        <v>点击次数少于10次没有参考性</v>
      </c>
      <c r="K134" s="4" t="str">
        <f>IFERROR(INDEX(搜索词报告!$D$2:$D$22222,MATCH(关键词词频统计!A134,搜索词报告!$H$2:$H$22222,0)),"")</f>
        <v/>
      </c>
      <c r="M134">
        <f t="array" ref="M134">SUM(IF(搜索词报告!$H$2:$H$22222=L134,IF(搜索词报告!$A$2:$A$22222&gt;=$L$2,IF(搜索词报告!$A$2:$A$22222&lt;=$L$4,搜索词报告!$I$2:$I$22222,0),0),0))</f>
        <v>0</v>
      </c>
      <c r="N134">
        <f t="array" ref="N134">SUM(IF(搜索词报告!$H$2:$H$22222=L134,IF(搜索词报告!$A$2:$A$22222&gt;=$L$2,IF(搜索词报告!$A$2:$A$22222&lt;=$L$4,搜索词报告!$J$2:$J$22222,0),0),0))</f>
        <v>0</v>
      </c>
      <c r="O134" s="2">
        <f t="shared" si="12"/>
        <v>0</v>
      </c>
      <c r="P134" s="2">
        <f t="shared" si="13"/>
        <v>0</v>
      </c>
      <c r="Q134">
        <f t="array" ref="Q134">SUM(IF(搜索词报告!$H$2:$H$22222=L134,IF(搜索词报告!$A$2:$A$22222&gt;=$L$2,IF(搜索词报告!$A$2:$A$22222&lt;=$L$4,搜索词报告!$Q$2:$Q$22222,0),0),0))</f>
        <v>0</v>
      </c>
      <c r="R134">
        <f t="array" ref="R134">SUM(IF(搜索词报告!$H$2:$H$22222=L134,IF(搜索词报告!$A$2:$A$22222&gt;=$L$2,IF(搜索词报告!$A$2:$A$22222&lt;=$L$4,搜索词报告!$N$2:$N$22222,0),0),0))</f>
        <v>0</v>
      </c>
      <c r="S134">
        <f t="array" ref="S134">SUM(IF(搜索词报告!$H$2:$H$22222=L134,IF(搜索词报告!$A$2:$A$22222&gt;=$L$2,IF(搜索词报告!$A$2:$A$22222&lt;=$L$4,搜索词报告!$M$2:$M$22222,0),0),0))</f>
        <v>0</v>
      </c>
      <c r="T134" s="2" t="str">
        <f t="shared" si="14"/>
        <v/>
      </c>
      <c r="U134" t="str">
        <f t="shared" si="15"/>
        <v>点击次数少于10次没有参考性</v>
      </c>
      <c r="V134" s="4" t="str">
        <f>IFERROR(INDEX(搜索词报告!$D$2:$D$22222,MATCH(关键词词频统计!L134,搜索词报告!$H$2:$H$22222,0)),"")</f>
        <v/>
      </c>
    </row>
    <row r="135" spans="2:22" x14ac:dyDescent="0.15">
      <c r="B135">
        <f t="array" ref="B135">SUM(IF(搜索词报告!$H$2:$H$22222=A135,IF(搜索词报告!$A$2:$A$22222&gt;=关键词词频统计!$A$2,IF(搜索词报告!$A$2:$A$22222&lt;=关键词词频统计!$A$4,搜索词报告!$I$2:$I$22222,0),0),0))</f>
        <v>0</v>
      </c>
      <c r="C135">
        <f t="array" ref="C135">SUM(IF(搜索词报告!$H$2:$H$22222=A135,IF(搜索词报告!$A$2:$A$22222&gt;=关键词词频统计!$A$2,IF(搜索词报告!$A$2:$A$22222&lt;=关键词词频统计!$A$4,搜索词报告!$J$2:$J$22222,0),0),0))</f>
        <v>0</v>
      </c>
      <c r="D135" s="2">
        <f t="shared" ref="D135:D198" si="16">IFERROR(C135/B135,0)</f>
        <v>0</v>
      </c>
      <c r="E135" s="2">
        <f t="shared" ref="E135:E198" si="17">IFERROR(F135/C135,0)</f>
        <v>0</v>
      </c>
      <c r="F135">
        <f t="array" ref="F135">SUM(IF(搜索词报告!$H$2:$H$22222=A135,IF(搜索词报告!$A$2:$A$22222&gt;=关键词词频统计!$A$2,IF(搜索词报告!$A$2:$A$22222&lt;=关键词词频统计!$A$4,搜索词报告!$Q$2:$Q$22222,0),0),0))</f>
        <v>0</v>
      </c>
      <c r="G135">
        <f t="array" ref="G135">SUM(IF(搜索词报告!$H$2:$H$22222=A135,IF(搜索词报告!$A$2:$A$22222&gt;=关键词词频统计!$A$2,IF(搜索词报告!$A$2:$A$22222&lt;=关键词词频统计!$A$4,搜索词报告!$N$2:$N$22222,0),0),0))</f>
        <v>0</v>
      </c>
      <c r="H135">
        <f t="array" ref="H135">SUM(IF(搜索词报告!$H$2:$H$22222=A135,IF(搜索词报告!$A$2:$A$22222&gt;=关键词词频统计!$A$2,IF(搜索词报告!$A$2:$A$22222&lt;=关键词词频统计!$A$4,搜索词报告!$M$2:$M$22222,0),0),0))</f>
        <v>0</v>
      </c>
      <c r="I135" s="2" t="str">
        <f t="shared" ref="I135:I198" si="18">IF(IFERROR(H135/G135,0)=0,"",IFERROR(H135/G135,0))</f>
        <v/>
      </c>
      <c r="J135" t="str">
        <f t="shared" ref="J135:J198" si="19">IF(AND(C135&gt;=10,E135&lt;=0.05),"极差",IF(AND(C135&gt;=10,0.05&lt;E135,E135&lt;=0.1),"差",IF(AND(C135&gt;=10,0.1&lt;E135,E135&lt;=0.15),"良",IF(AND(C135&gt;=10,E135&gt;0.15),"优","点击次数少于10次没有参考性"))))</f>
        <v>点击次数少于10次没有参考性</v>
      </c>
      <c r="K135" s="4" t="str">
        <f>IFERROR(INDEX(搜索词报告!$D$2:$D$22222,MATCH(关键词词频统计!A135,搜索词报告!$H$2:$H$22222,0)),"")</f>
        <v/>
      </c>
      <c r="M135">
        <f t="array" ref="M135">SUM(IF(搜索词报告!$H$2:$H$22222=L135,IF(搜索词报告!$A$2:$A$22222&gt;=$L$2,IF(搜索词报告!$A$2:$A$22222&lt;=$L$4,搜索词报告!$I$2:$I$22222,0),0),0))</f>
        <v>0</v>
      </c>
      <c r="N135">
        <f t="array" ref="N135">SUM(IF(搜索词报告!$H$2:$H$22222=L135,IF(搜索词报告!$A$2:$A$22222&gt;=$L$2,IF(搜索词报告!$A$2:$A$22222&lt;=$L$4,搜索词报告!$J$2:$J$22222,0),0),0))</f>
        <v>0</v>
      </c>
      <c r="O135" s="2">
        <f t="shared" ref="O135:O198" si="20">IFERROR(N135/M135,0)</f>
        <v>0</v>
      </c>
      <c r="P135" s="2">
        <f t="shared" ref="P135:P198" si="21">IFERROR(Q135/N135,0)</f>
        <v>0</v>
      </c>
      <c r="Q135">
        <f t="array" ref="Q135">SUM(IF(搜索词报告!$H$2:$H$22222=L135,IF(搜索词报告!$A$2:$A$22222&gt;=$L$2,IF(搜索词报告!$A$2:$A$22222&lt;=$L$4,搜索词报告!$Q$2:$Q$22222,0),0),0))</f>
        <v>0</v>
      </c>
      <c r="R135">
        <f t="array" ref="R135">SUM(IF(搜索词报告!$H$2:$H$22222=L135,IF(搜索词报告!$A$2:$A$22222&gt;=$L$2,IF(搜索词报告!$A$2:$A$22222&lt;=$L$4,搜索词报告!$N$2:$N$22222,0),0),0))</f>
        <v>0</v>
      </c>
      <c r="S135">
        <f t="array" ref="S135">SUM(IF(搜索词报告!$H$2:$H$22222=L135,IF(搜索词报告!$A$2:$A$22222&gt;=$L$2,IF(搜索词报告!$A$2:$A$22222&lt;=$L$4,搜索词报告!$M$2:$M$22222,0),0),0))</f>
        <v>0</v>
      </c>
      <c r="T135" s="2" t="str">
        <f t="shared" ref="T135:T198" si="22">IF(IFERROR(S135/R135,0)=0,"",IFERROR(S135/R135,0))</f>
        <v/>
      </c>
      <c r="U135" t="str">
        <f t="shared" ref="U135:U198" si="23">IF(AND(N135&gt;=10,P135&lt;=0.05),"极差",IF(AND(N135&gt;=10,0.05&lt;P135,P135&lt;=0.1),"差",IF(AND(N135&gt;=10,0.1&lt;P135,P135&lt;=0.15),"良",IF(AND(N135&gt;=10,P135&gt;0.15),"优","点击次数少于10次没有参考性"))))</f>
        <v>点击次数少于10次没有参考性</v>
      </c>
      <c r="V135" s="4" t="str">
        <f>IFERROR(INDEX(搜索词报告!$D$2:$D$22222,MATCH(关键词词频统计!L135,搜索词报告!$H$2:$H$22222,0)),"")</f>
        <v/>
      </c>
    </row>
    <row r="136" spans="2:22" x14ac:dyDescent="0.15">
      <c r="B136">
        <f t="array" ref="B136">SUM(IF(搜索词报告!$H$2:$H$22222=A136,IF(搜索词报告!$A$2:$A$22222&gt;=关键词词频统计!$A$2,IF(搜索词报告!$A$2:$A$22222&lt;=关键词词频统计!$A$4,搜索词报告!$I$2:$I$22222,0),0),0))</f>
        <v>0</v>
      </c>
      <c r="C136">
        <f t="array" ref="C136">SUM(IF(搜索词报告!$H$2:$H$22222=A136,IF(搜索词报告!$A$2:$A$22222&gt;=关键词词频统计!$A$2,IF(搜索词报告!$A$2:$A$22222&lt;=关键词词频统计!$A$4,搜索词报告!$J$2:$J$22222,0),0),0))</f>
        <v>0</v>
      </c>
      <c r="D136" s="2">
        <f t="shared" si="16"/>
        <v>0</v>
      </c>
      <c r="E136" s="2">
        <f t="shared" si="17"/>
        <v>0</v>
      </c>
      <c r="F136">
        <f t="array" ref="F136">SUM(IF(搜索词报告!$H$2:$H$22222=A136,IF(搜索词报告!$A$2:$A$22222&gt;=关键词词频统计!$A$2,IF(搜索词报告!$A$2:$A$22222&lt;=关键词词频统计!$A$4,搜索词报告!$Q$2:$Q$22222,0),0),0))</f>
        <v>0</v>
      </c>
      <c r="G136">
        <f t="array" ref="G136">SUM(IF(搜索词报告!$H$2:$H$22222=A136,IF(搜索词报告!$A$2:$A$22222&gt;=关键词词频统计!$A$2,IF(搜索词报告!$A$2:$A$22222&lt;=关键词词频统计!$A$4,搜索词报告!$N$2:$N$22222,0),0),0))</f>
        <v>0</v>
      </c>
      <c r="H136">
        <f t="array" ref="H136">SUM(IF(搜索词报告!$H$2:$H$22222=A136,IF(搜索词报告!$A$2:$A$22222&gt;=关键词词频统计!$A$2,IF(搜索词报告!$A$2:$A$22222&lt;=关键词词频统计!$A$4,搜索词报告!$M$2:$M$22222,0),0),0))</f>
        <v>0</v>
      </c>
      <c r="I136" s="2" t="str">
        <f t="shared" si="18"/>
        <v/>
      </c>
      <c r="J136" t="str">
        <f t="shared" si="19"/>
        <v>点击次数少于10次没有参考性</v>
      </c>
      <c r="K136" s="4" t="str">
        <f>IFERROR(INDEX(搜索词报告!$D$2:$D$22222,MATCH(关键词词频统计!A136,搜索词报告!$H$2:$H$22222,0)),"")</f>
        <v/>
      </c>
      <c r="M136">
        <f t="array" ref="M136">SUM(IF(搜索词报告!$H$2:$H$22222=L136,IF(搜索词报告!$A$2:$A$22222&gt;=$L$2,IF(搜索词报告!$A$2:$A$22222&lt;=$L$4,搜索词报告!$I$2:$I$22222,0),0),0))</f>
        <v>0</v>
      </c>
      <c r="N136">
        <f t="array" ref="N136">SUM(IF(搜索词报告!$H$2:$H$22222=L136,IF(搜索词报告!$A$2:$A$22222&gt;=$L$2,IF(搜索词报告!$A$2:$A$22222&lt;=$L$4,搜索词报告!$J$2:$J$22222,0),0),0))</f>
        <v>0</v>
      </c>
      <c r="O136" s="2">
        <f t="shared" si="20"/>
        <v>0</v>
      </c>
      <c r="P136" s="2">
        <f t="shared" si="21"/>
        <v>0</v>
      </c>
      <c r="Q136">
        <f t="array" ref="Q136">SUM(IF(搜索词报告!$H$2:$H$22222=L136,IF(搜索词报告!$A$2:$A$22222&gt;=$L$2,IF(搜索词报告!$A$2:$A$22222&lt;=$L$4,搜索词报告!$Q$2:$Q$22222,0),0),0))</f>
        <v>0</v>
      </c>
      <c r="R136">
        <f t="array" ref="R136">SUM(IF(搜索词报告!$H$2:$H$22222=L136,IF(搜索词报告!$A$2:$A$22222&gt;=$L$2,IF(搜索词报告!$A$2:$A$22222&lt;=$L$4,搜索词报告!$N$2:$N$22222,0),0),0))</f>
        <v>0</v>
      </c>
      <c r="S136">
        <f t="array" ref="S136">SUM(IF(搜索词报告!$H$2:$H$22222=L136,IF(搜索词报告!$A$2:$A$22222&gt;=$L$2,IF(搜索词报告!$A$2:$A$22222&lt;=$L$4,搜索词报告!$M$2:$M$22222,0),0),0))</f>
        <v>0</v>
      </c>
      <c r="T136" s="2" t="str">
        <f t="shared" si="22"/>
        <v/>
      </c>
      <c r="U136" t="str">
        <f t="shared" si="23"/>
        <v>点击次数少于10次没有参考性</v>
      </c>
      <c r="V136" s="4" t="str">
        <f>IFERROR(INDEX(搜索词报告!$D$2:$D$22222,MATCH(关键词词频统计!L136,搜索词报告!$H$2:$H$22222,0)),"")</f>
        <v/>
      </c>
    </row>
    <row r="137" spans="2:22" x14ac:dyDescent="0.15">
      <c r="B137">
        <f t="array" ref="B137">SUM(IF(搜索词报告!$H$2:$H$22222=A137,IF(搜索词报告!$A$2:$A$22222&gt;=关键词词频统计!$A$2,IF(搜索词报告!$A$2:$A$22222&lt;=关键词词频统计!$A$4,搜索词报告!$I$2:$I$22222,0),0),0))</f>
        <v>0</v>
      </c>
      <c r="C137">
        <f t="array" ref="C137">SUM(IF(搜索词报告!$H$2:$H$22222=A137,IF(搜索词报告!$A$2:$A$22222&gt;=关键词词频统计!$A$2,IF(搜索词报告!$A$2:$A$22222&lt;=关键词词频统计!$A$4,搜索词报告!$J$2:$J$22222,0),0),0))</f>
        <v>0</v>
      </c>
      <c r="D137" s="2">
        <f t="shared" si="16"/>
        <v>0</v>
      </c>
      <c r="E137" s="2">
        <f t="shared" si="17"/>
        <v>0</v>
      </c>
      <c r="F137">
        <f t="array" ref="F137">SUM(IF(搜索词报告!$H$2:$H$22222=A137,IF(搜索词报告!$A$2:$A$22222&gt;=关键词词频统计!$A$2,IF(搜索词报告!$A$2:$A$22222&lt;=关键词词频统计!$A$4,搜索词报告!$Q$2:$Q$22222,0),0),0))</f>
        <v>0</v>
      </c>
      <c r="G137">
        <f t="array" ref="G137">SUM(IF(搜索词报告!$H$2:$H$22222=A137,IF(搜索词报告!$A$2:$A$22222&gt;=关键词词频统计!$A$2,IF(搜索词报告!$A$2:$A$22222&lt;=关键词词频统计!$A$4,搜索词报告!$N$2:$N$22222,0),0),0))</f>
        <v>0</v>
      </c>
      <c r="H137">
        <f t="array" ref="H137">SUM(IF(搜索词报告!$H$2:$H$22222=A137,IF(搜索词报告!$A$2:$A$22222&gt;=关键词词频统计!$A$2,IF(搜索词报告!$A$2:$A$22222&lt;=关键词词频统计!$A$4,搜索词报告!$M$2:$M$22222,0),0),0))</f>
        <v>0</v>
      </c>
      <c r="I137" s="2" t="str">
        <f t="shared" si="18"/>
        <v/>
      </c>
      <c r="J137" t="str">
        <f t="shared" si="19"/>
        <v>点击次数少于10次没有参考性</v>
      </c>
      <c r="K137" s="4" t="str">
        <f>IFERROR(INDEX(搜索词报告!$D$2:$D$22222,MATCH(关键词词频统计!A137,搜索词报告!$H$2:$H$22222,0)),"")</f>
        <v/>
      </c>
      <c r="M137">
        <f t="array" ref="M137">SUM(IF(搜索词报告!$H$2:$H$22222=L137,IF(搜索词报告!$A$2:$A$22222&gt;=$L$2,IF(搜索词报告!$A$2:$A$22222&lt;=$L$4,搜索词报告!$I$2:$I$22222,0),0),0))</f>
        <v>0</v>
      </c>
      <c r="N137">
        <f t="array" ref="N137">SUM(IF(搜索词报告!$H$2:$H$22222=L137,IF(搜索词报告!$A$2:$A$22222&gt;=$L$2,IF(搜索词报告!$A$2:$A$22222&lt;=$L$4,搜索词报告!$J$2:$J$22222,0),0),0))</f>
        <v>0</v>
      </c>
      <c r="O137" s="2">
        <f t="shared" si="20"/>
        <v>0</v>
      </c>
      <c r="P137" s="2">
        <f t="shared" si="21"/>
        <v>0</v>
      </c>
      <c r="Q137">
        <f t="array" ref="Q137">SUM(IF(搜索词报告!$H$2:$H$22222=L137,IF(搜索词报告!$A$2:$A$22222&gt;=$L$2,IF(搜索词报告!$A$2:$A$22222&lt;=$L$4,搜索词报告!$Q$2:$Q$22222,0),0),0))</f>
        <v>0</v>
      </c>
      <c r="R137">
        <f t="array" ref="R137">SUM(IF(搜索词报告!$H$2:$H$22222=L137,IF(搜索词报告!$A$2:$A$22222&gt;=$L$2,IF(搜索词报告!$A$2:$A$22222&lt;=$L$4,搜索词报告!$N$2:$N$22222,0),0),0))</f>
        <v>0</v>
      </c>
      <c r="S137">
        <f t="array" ref="S137">SUM(IF(搜索词报告!$H$2:$H$22222=L137,IF(搜索词报告!$A$2:$A$22222&gt;=$L$2,IF(搜索词报告!$A$2:$A$22222&lt;=$L$4,搜索词报告!$M$2:$M$22222,0),0),0))</f>
        <v>0</v>
      </c>
      <c r="T137" s="2" t="str">
        <f t="shared" si="22"/>
        <v/>
      </c>
      <c r="U137" t="str">
        <f t="shared" si="23"/>
        <v>点击次数少于10次没有参考性</v>
      </c>
      <c r="V137" s="4" t="str">
        <f>IFERROR(INDEX(搜索词报告!$D$2:$D$22222,MATCH(关键词词频统计!L137,搜索词报告!$H$2:$H$22222,0)),"")</f>
        <v/>
      </c>
    </row>
    <row r="138" spans="2:22" x14ac:dyDescent="0.15">
      <c r="B138">
        <f t="array" ref="B138">SUM(IF(搜索词报告!$H$2:$H$22222=A138,IF(搜索词报告!$A$2:$A$22222&gt;=关键词词频统计!$A$2,IF(搜索词报告!$A$2:$A$22222&lt;=关键词词频统计!$A$4,搜索词报告!$I$2:$I$22222,0),0),0))</f>
        <v>0</v>
      </c>
      <c r="C138">
        <f t="array" ref="C138">SUM(IF(搜索词报告!$H$2:$H$22222=A138,IF(搜索词报告!$A$2:$A$22222&gt;=关键词词频统计!$A$2,IF(搜索词报告!$A$2:$A$22222&lt;=关键词词频统计!$A$4,搜索词报告!$J$2:$J$22222,0),0),0))</f>
        <v>0</v>
      </c>
      <c r="D138" s="2">
        <f t="shared" si="16"/>
        <v>0</v>
      </c>
      <c r="E138" s="2">
        <f t="shared" si="17"/>
        <v>0</v>
      </c>
      <c r="F138">
        <f t="array" ref="F138">SUM(IF(搜索词报告!$H$2:$H$22222=A138,IF(搜索词报告!$A$2:$A$22222&gt;=关键词词频统计!$A$2,IF(搜索词报告!$A$2:$A$22222&lt;=关键词词频统计!$A$4,搜索词报告!$Q$2:$Q$22222,0),0),0))</f>
        <v>0</v>
      </c>
      <c r="G138">
        <f t="array" ref="G138">SUM(IF(搜索词报告!$H$2:$H$22222=A138,IF(搜索词报告!$A$2:$A$22222&gt;=关键词词频统计!$A$2,IF(搜索词报告!$A$2:$A$22222&lt;=关键词词频统计!$A$4,搜索词报告!$N$2:$N$22222,0),0),0))</f>
        <v>0</v>
      </c>
      <c r="H138">
        <f t="array" ref="H138">SUM(IF(搜索词报告!$H$2:$H$22222=A138,IF(搜索词报告!$A$2:$A$22222&gt;=关键词词频统计!$A$2,IF(搜索词报告!$A$2:$A$22222&lt;=关键词词频统计!$A$4,搜索词报告!$M$2:$M$22222,0),0),0))</f>
        <v>0</v>
      </c>
      <c r="I138" s="2" t="str">
        <f t="shared" si="18"/>
        <v/>
      </c>
      <c r="J138" t="str">
        <f t="shared" si="19"/>
        <v>点击次数少于10次没有参考性</v>
      </c>
      <c r="K138" s="4" t="str">
        <f>IFERROR(INDEX(搜索词报告!$D$2:$D$22222,MATCH(关键词词频统计!A138,搜索词报告!$H$2:$H$22222,0)),"")</f>
        <v/>
      </c>
      <c r="M138">
        <f t="array" ref="M138">SUM(IF(搜索词报告!$H$2:$H$22222=L138,IF(搜索词报告!$A$2:$A$22222&gt;=$L$2,IF(搜索词报告!$A$2:$A$22222&lt;=$L$4,搜索词报告!$I$2:$I$22222,0),0),0))</f>
        <v>0</v>
      </c>
      <c r="N138">
        <f t="array" ref="N138">SUM(IF(搜索词报告!$H$2:$H$22222=L138,IF(搜索词报告!$A$2:$A$22222&gt;=$L$2,IF(搜索词报告!$A$2:$A$22222&lt;=$L$4,搜索词报告!$J$2:$J$22222,0),0),0))</f>
        <v>0</v>
      </c>
      <c r="O138" s="2">
        <f t="shared" si="20"/>
        <v>0</v>
      </c>
      <c r="P138" s="2">
        <f t="shared" si="21"/>
        <v>0</v>
      </c>
      <c r="Q138">
        <f t="array" ref="Q138">SUM(IF(搜索词报告!$H$2:$H$22222=L138,IF(搜索词报告!$A$2:$A$22222&gt;=$L$2,IF(搜索词报告!$A$2:$A$22222&lt;=$L$4,搜索词报告!$Q$2:$Q$22222,0),0),0))</f>
        <v>0</v>
      </c>
      <c r="R138">
        <f t="array" ref="R138">SUM(IF(搜索词报告!$H$2:$H$22222=L138,IF(搜索词报告!$A$2:$A$22222&gt;=$L$2,IF(搜索词报告!$A$2:$A$22222&lt;=$L$4,搜索词报告!$N$2:$N$22222,0),0),0))</f>
        <v>0</v>
      </c>
      <c r="S138">
        <f t="array" ref="S138">SUM(IF(搜索词报告!$H$2:$H$22222=L138,IF(搜索词报告!$A$2:$A$22222&gt;=$L$2,IF(搜索词报告!$A$2:$A$22222&lt;=$L$4,搜索词报告!$M$2:$M$22222,0),0),0))</f>
        <v>0</v>
      </c>
      <c r="T138" s="2" t="str">
        <f t="shared" si="22"/>
        <v/>
      </c>
      <c r="U138" t="str">
        <f t="shared" si="23"/>
        <v>点击次数少于10次没有参考性</v>
      </c>
      <c r="V138" s="4" t="str">
        <f>IFERROR(INDEX(搜索词报告!$D$2:$D$22222,MATCH(关键词词频统计!L138,搜索词报告!$H$2:$H$22222,0)),"")</f>
        <v/>
      </c>
    </row>
    <row r="139" spans="2:22" x14ac:dyDescent="0.15">
      <c r="B139">
        <f t="array" ref="B139">SUM(IF(搜索词报告!$H$2:$H$22222=A139,IF(搜索词报告!$A$2:$A$22222&gt;=关键词词频统计!$A$2,IF(搜索词报告!$A$2:$A$22222&lt;=关键词词频统计!$A$4,搜索词报告!$I$2:$I$22222,0),0),0))</f>
        <v>0</v>
      </c>
      <c r="C139">
        <f t="array" ref="C139">SUM(IF(搜索词报告!$H$2:$H$22222=A139,IF(搜索词报告!$A$2:$A$22222&gt;=关键词词频统计!$A$2,IF(搜索词报告!$A$2:$A$22222&lt;=关键词词频统计!$A$4,搜索词报告!$J$2:$J$22222,0),0),0))</f>
        <v>0</v>
      </c>
      <c r="D139" s="2">
        <f t="shared" si="16"/>
        <v>0</v>
      </c>
      <c r="E139" s="2">
        <f t="shared" si="17"/>
        <v>0</v>
      </c>
      <c r="F139">
        <f t="array" ref="F139">SUM(IF(搜索词报告!$H$2:$H$22222=A139,IF(搜索词报告!$A$2:$A$22222&gt;=关键词词频统计!$A$2,IF(搜索词报告!$A$2:$A$22222&lt;=关键词词频统计!$A$4,搜索词报告!$Q$2:$Q$22222,0),0),0))</f>
        <v>0</v>
      </c>
      <c r="G139">
        <f t="array" ref="G139">SUM(IF(搜索词报告!$H$2:$H$22222=A139,IF(搜索词报告!$A$2:$A$22222&gt;=关键词词频统计!$A$2,IF(搜索词报告!$A$2:$A$22222&lt;=关键词词频统计!$A$4,搜索词报告!$N$2:$N$22222,0),0),0))</f>
        <v>0</v>
      </c>
      <c r="H139">
        <f t="array" ref="H139">SUM(IF(搜索词报告!$H$2:$H$22222=A139,IF(搜索词报告!$A$2:$A$22222&gt;=关键词词频统计!$A$2,IF(搜索词报告!$A$2:$A$22222&lt;=关键词词频统计!$A$4,搜索词报告!$M$2:$M$22222,0),0),0))</f>
        <v>0</v>
      </c>
      <c r="I139" s="2" t="str">
        <f t="shared" si="18"/>
        <v/>
      </c>
      <c r="J139" t="str">
        <f t="shared" si="19"/>
        <v>点击次数少于10次没有参考性</v>
      </c>
      <c r="K139" s="4" t="str">
        <f>IFERROR(INDEX(搜索词报告!$D$2:$D$22222,MATCH(关键词词频统计!A139,搜索词报告!$H$2:$H$22222,0)),"")</f>
        <v/>
      </c>
      <c r="M139">
        <f t="array" ref="M139">SUM(IF(搜索词报告!$H$2:$H$22222=L139,IF(搜索词报告!$A$2:$A$22222&gt;=$L$2,IF(搜索词报告!$A$2:$A$22222&lt;=$L$4,搜索词报告!$I$2:$I$22222,0),0),0))</f>
        <v>0</v>
      </c>
      <c r="N139">
        <f t="array" ref="N139">SUM(IF(搜索词报告!$H$2:$H$22222=L139,IF(搜索词报告!$A$2:$A$22222&gt;=$L$2,IF(搜索词报告!$A$2:$A$22222&lt;=$L$4,搜索词报告!$J$2:$J$22222,0),0),0))</f>
        <v>0</v>
      </c>
      <c r="O139" s="2">
        <f t="shared" si="20"/>
        <v>0</v>
      </c>
      <c r="P139" s="2">
        <f t="shared" si="21"/>
        <v>0</v>
      </c>
      <c r="Q139">
        <f t="array" ref="Q139">SUM(IF(搜索词报告!$H$2:$H$22222=L139,IF(搜索词报告!$A$2:$A$22222&gt;=$L$2,IF(搜索词报告!$A$2:$A$22222&lt;=$L$4,搜索词报告!$Q$2:$Q$22222,0),0),0))</f>
        <v>0</v>
      </c>
      <c r="R139">
        <f t="array" ref="R139">SUM(IF(搜索词报告!$H$2:$H$22222=L139,IF(搜索词报告!$A$2:$A$22222&gt;=$L$2,IF(搜索词报告!$A$2:$A$22222&lt;=$L$4,搜索词报告!$N$2:$N$22222,0),0),0))</f>
        <v>0</v>
      </c>
      <c r="S139">
        <f t="array" ref="S139">SUM(IF(搜索词报告!$H$2:$H$22222=L139,IF(搜索词报告!$A$2:$A$22222&gt;=$L$2,IF(搜索词报告!$A$2:$A$22222&lt;=$L$4,搜索词报告!$M$2:$M$22222,0),0),0))</f>
        <v>0</v>
      </c>
      <c r="T139" s="2" t="str">
        <f t="shared" si="22"/>
        <v/>
      </c>
      <c r="U139" t="str">
        <f t="shared" si="23"/>
        <v>点击次数少于10次没有参考性</v>
      </c>
      <c r="V139" s="4" t="str">
        <f>IFERROR(INDEX(搜索词报告!$D$2:$D$22222,MATCH(关键词词频统计!L139,搜索词报告!$H$2:$H$22222,0)),"")</f>
        <v/>
      </c>
    </row>
    <row r="140" spans="2:22" x14ac:dyDescent="0.15">
      <c r="B140">
        <f t="array" ref="B140">SUM(IF(搜索词报告!$H$2:$H$22222=A140,IF(搜索词报告!$A$2:$A$22222&gt;=关键词词频统计!$A$2,IF(搜索词报告!$A$2:$A$22222&lt;=关键词词频统计!$A$4,搜索词报告!$I$2:$I$22222,0),0),0))</f>
        <v>0</v>
      </c>
      <c r="C140">
        <f t="array" ref="C140">SUM(IF(搜索词报告!$H$2:$H$22222=A140,IF(搜索词报告!$A$2:$A$22222&gt;=关键词词频统计!$A$2,IF(搜索词报告!$A$2:$A$22222&lt;=关键词词频统计!$A$4,搜索词报告!$J$2:$J$22222,0),0),0))</f>
        <v>0</v>
      </c>
      <c r="D140" s="2">
        <f t="shared" si="16"/>
        <v>0</v>
      </c>
      <c r="E140" s="2">
        <f t="shared" si="17"/>
        <v>0</v>
      </c>
      <c r="F140">
        <f t="array" ref="F140">SUM(IF(搜索词报告!$H$2:$H$22222=A140,IF(搜索词报告!$A$2:$A$22222&gt;=关键词词频统计!$A$2,IF(搜索词报告!$A$2:$A$22222&lt;=关键词词频统计!$A$4,搜索词报告!$Q$2:$Q$22222,0),0),0))</f>
        <v>0</v>
      </c>
      <c r="G140">
        <f t="array" ref="G140">SUM(IF(搜索词报告!$H$2:$H$22222=A140,IF(搜索词报告!$A$2:$A$22222&gt;=关键词词频统计!$A$2,IF(搜索词报告!$A$2:$A$22222&lt;=关键词词频统计!$A$4,搜索词报告!$N$2:$N$22222,0),0),0))</f>
        <v>0</v>
      </c>
      <c r="H140">
        <f t="array" ref="H140">SUM(IF(搜索词报告!$H$2:$H$22222=A140,IF(搜索词报告!$A$2:$A$22222&gt;=关键词词频统计!$A$2,IF(搜索词报告!$A$2:$A$22222&lt;=关键词词频统计!$A$4,搜索词报告!$M$2:$M$22222,0),0),0))</f>
        <v>0</v>
      </c>
      <c r="I140" s="2" t="str">
        <f t="shared" si="18"/>
        <v/>
      </c>
      <c r="J140" t="str">
        <f t="shared" si="19"/>
        <v>点击次数少于10次没有参考性</v>
      </c>
      <c r="K140" s="4" t="str">
        <f>IFERROR(INDEX(搜索词报告!$D$2:$D$22222,MATCH(关键词词频统计!A140,搜索词报告!$H$2:$H$22222,0)),"")</f>
        <v/>
      </c>
      <c r="M140">
        <f t="array" ref="M140">SUM(IF(搜索词报告!$H$2:$H$22222=L140,IF(搜索词报告!$A$2:$A$22222&gt;=$L$2,IF(搜索词报告!$A$2:$A$22222&lt;=$L$4,搜索词报告!$I$2:$I$22222,0),0),0))</f>
        <v>0</v>
      </c>
      <c r="N140">
        <f t="array" ref="N140">SUM(IF(搜索词报告!$H$2:$H$22222=L140,IF(搜索词报告!$A$2:$A$22222&gt;=$L$2,IF(搜索词报告!$A$2:$A$22222&lt;=$L$4,搜索词报告!$J$2:$J$22222,0),0),0))</f>
        <v>0</v>
      </c>
      <c r="O140" s="2">
        <f t="shared" si="20"/>
        <v>0</v>
      </c>
      <c r="P140" s="2">
        <f t="shared" si="21"/>
        <v>0</v>
      </c>
      <c r="Q140">
        <f t="array" ref="Q140">SUM(IF(搜索词报告!$H$2:$H$22222=L140,IF(搜索词报告!$A$2:$A$22222&gt;=$L$2,IF(搜索词报告!$A$2:$A$22222&lt;=$L$4,搜索词报告!$Q$2:$Q$22222,0),0),0))</f>
        <v>0</v>
      </c>
      <c r="R140">
        <f t="array" ref="R140">SUM(IF(搜索词报告!$H$2:$H$22222=L140,IF(搜索词报告!$A$2:$A$22222&gt;=$L$2,IF(搜索词报告!$A$2:$A$22222&lt;=$L$4,搜索词报告!$N$2:$N$22222,0),0),0))</f>
        <v>0</v>
      </c>
      <c r="S140">
        <f t="array" ref="S140">SUM(IF(搜索词报告!$H$2:$H$22222=L140,IF(搜索词报告!$A$2:$A$22222&gt;=$L$2,IF(搜索词报告!$A$2:$A$22222&lt;=$L$4,搜索词报告!$M$2:$M$22222,0),0),0))</f>
        <v>0</v>
      </c>
      <c r="T140" s="2" t="str">
        <f t="shared" si="22"/>
        <v/>
      </c>
      <c r="U140" t="str">
        <f t="shared" si="23"/>
        <v>点击次数少于10次没有参考性</v>
      </c>
      <c r="V140" s="4" t="str">
        <f>IFERROR(INDEX(搜索词报告!$D$2:$D$22222,MATCH(关键词词频统计!L140,搜索词报告!$H$2:$H$22222,0)),"")</f>
        <v/>
      </c>
    </row>
    <row r="141" spans="2:22" x14ac:dyDescent="0.15">
      <c r="B141">
        <f t="array" ref="B141">SUM(IF(搜索词报告!$H$2:$H$22222=A141,IF(搜索词报告!$A$2:$A$22222&gt;=关键词词频统计!$A$2,IF(搜索词报告!$A$2:$A$22222&lt;=关键词词频统计!$A$4,搜索词报告!$I$2:$I$22222,0),0),0))</f>
        <v>0</v>
      </c>
      <c r="C141">
        <f t="array" ref="C141">SUM(IF(搜索词报告!$H$2:$H$22222=A141,IF(搜索词报告!$A$2:$A$22222&gt;=关键词词频统计!$A$2,IF(搜索词报告!$A$2:$A$22222&lt;=关键词词频统计!$A$4,搜索词报告!$J$2:$J$22222,0),0),0))</f>
        <v>0</v>
      </c>
      <c r="D141" s="2">
        <f t="shared" si="16"/>
        <v>0</v>
      </c>
      <c r="E141" s="2">
        <f t="shared" si="17"/>
        <v>0</v>
      </c>
      <c r="F141">
        <f t="array" ref="F141">SUM(IF(搜索词报告!$H$2:$H$22222=A141,IF(搜索词报告!$A$2:$A$22222&gt;=关键词词频统计!$A$2,IF(搜索词报告!$A$2:$A$22222&lt;=关键词词频统计!$A$4,搜索词报告!$Q$2:$Q$22222,0),0),0))</f>
        <v>0</v>
      </c>
      <c r="G141">
        <f t="array" ref="G141">SUM(IF(搜索词报告!$H$2:$H$22222=A141,IF(搜索词报告!$A$2:$A$22222&gt;=关键词词频统计!$A$2,IF(搜索词报告!$A$2:$A$22222&lt;=关键词词频统计!$A$4,搜索词报告!$N$2:$N$22222,0),0),0))</f>
        <v>0</v>
      </c>
      <c r="H141">
        <f t="array" ref="H141">SUM(IF(搜索词报告!$H$2:$H$22222=A141,IF(搜索词报告!$A$2:$A$22222&gt;=关键词词频统计!$A$2,IF(搜索词报告!$A$2:$A$22222&lt;=关键词词频统计!$A$4,搜索词报告!$M$2:$M$22222,0),0),0))</f>
        <v>0</v>
      </c>
      <c r="I141" s="2" t="str">
        <f t="shared" si="18"/>
        <v/>
      </c>
      <c r="J141" t="str">
        <f t="shared" si="19"/>
        <v>点击次数少于10次没有参考性</v>
      </c>
      <c r="K141" s="4" t="str">
        <f>IFERROR(INDEX(搜索词报告!$D$2:$D$22222,MATCH(关键词词频统计!A141,搜索词报告!$H$2:$H$22222,0)),"")</f>
        <v/>
      </c>
      <c r="M141">
        <f t="array" ref="M141">SUM(IF(搜索词报告!$H$2:$H$22222=L141,IF(搜索词报告!$A$2:$A$22222&gt;=$L$2,IF(搜索词报告!$A$2:$A$22222&lt;=$L$4,搜索词报告!$I$2:$I$22222,0),0),0))</f>
        <v>0</v>
      </c>
      <c r="N141">
        <f t="array" ref="N141">SUM(IF(搜索词报告!$H$2:$H$22222=L141,IF(搜索词报告!$A$2:$A$22222&gt;=$L$2,IF(搜索词报告!$A$2:$A$22222&lt;=$L$4,搜索词报告!$J$2:$J$22222,0),0),0))</f>
        <v>0</v>
      </c>
      <c r="O141" s="2">
        <f t="shared" si="20"/>
        <v>0</v>
      </c>
      <c r="P141" s="2">
        <f t="shared" si="21"/>
        <v>0</v>
      </c>
      <c r="Q141">
        <f t="array" ref="Q141">SUM(IF(搜索词报告!$H$2:$H$22222=L141,IF(搜索词报告!$A$2:$A$22222&gt;=$L$2,IF(搜索词报告!$A$2:$A$22222&lt;=$L$4,搜索词报告!$Q$2:$Q$22222,0),0),0))</f>
        <v>0</v>
      </c>
      <c r="R141">
        <f t="array" ref="R141">SUM(IF(搜索词报告!$H$2:$H$22222=L141,IF(搜索词报告!$A$2:$A$22222&gt;=$L$2,IF(搜索词报告!$A$2:$A$22222&lt;=$L$4,搜索词报告!$N$2:$N$22222,0),0),0))</f>
        <v>0</v>
      </c>
      <c r="S141">
        <f t="array" ref="S141">SUM(IF(搜索词报告!$H$2:$H$22222=L141,IF(搜索词报告!$A$2:$A$22222&gt;=$L$2,IF(搜索词报告!$A$2:$A$22222&lt;=$L$4,搜索词报告!$M$2:$M$22222,0),0),0))</f>
        <v>0</v>
      </c>
      <c r="T141" s="2" t="str">
        <f t="shared" si="22"/>
        <v/>
      </c>
      <c r="U141" t="str">
        <f t="shared" si="23"/>
        <v>点击次数少于10次没有参考性</v>
      </c>
      <c r="V141" s="4" t="str">
        <f>IFERROR(INDEX(搜索词报告!$D$2:$D$22222,MATCH(关键词词频统计!L141,搜索词报告!$H$2:$H$22222,0)),"")</f>
        <v/>
      </c>
    </row>
    <row r="142" spans="2:22" x14ac:dyDescent="0.15">
      <c r="B142">
        <f t="array" ref="B142">SUM(IF(搜索词报告!$H$2:$H$22222=A142,IF(搜索词报告!$A$2:$A$22222&gt;=关键词词频统计!$A$2,IF(搜索词报告!$A$2:$A$22222&lt;=关键词词频统计!$A$4,搜索词报告!$I$2:$I$22222,0),0),0))</f>
        <v>0</v>
      </c>
      <c r="C142">
        <f t="array" ref="C142">SUM(IF(搜索词报告!$H$2:$H$22222=A142,IF(搜索词报告!$A$2:$A$22222&gt;=关键词词频统计!$A$2,IF(搜索词报告!$A$2:$A$22222&lt;=关键词词频统计!$A$4,搜索词报告!$J$2:$J$22222,0),0),0))</f>
        <v>0</v>
      </c>
      <c r="D142" s="2">
        <f t="shared" si="16"/>
        <v>0</v>
      </c>
      <c r="E142" s="2">
        <f t="shared" si="17"/>
        <v>0</v>
      </c>
      <c r="F142">
        <f t="array" ref="F142">SUM(IF(搜索词报告!$H$2:$H$22222=A142,IF(搜索词报告!$A$2:$A$22222&gt;=关键词词频统计!$A$2,IF(搜索词报告!$A$2:$A$22222&lt;=关键词词频统计!$A$4,搜索词报告!$Q$2:$Q$22222,0),0),0))</f>
        <v>0</v>
      </c>
      <c r="G142">
        <f t="array" ref="G142">SUM(IF(搜索词报告!$H$2:$H$22222=A142,IF(搜索词报告!$A$2:$A$22222&gt;=关键词词频统计!$A$2,IF(搜索词报告!$A$2:$A$22222&lt;=关键词词频统计!$A$4,搜索词报告!$N$2:$N$22222,0),0),0))</f>
        <v>0</v>
      </c>
      <c r="H142">
        <f t="array" ref="H142">SUM(IF(搜索词报告!$H$2:$H$22222=A142,IF(搜索词报告!$A$2:$A$22222&gt;=关键词词频统计!$A$2,IF(搜索词报告!$A$2:$A$22222&lt;=关键词词频统计!$A$4,搜索词报告!$M$2:$M$22222,0),0),0))</f>
        <v>0</v>
      </c>
      <c r="I142" s="2" t="str">
        <f t="shared" si="18"/>
        <v/>
      </c>
      <c r="J142" t="str">
        <f t="shared" si="19"/>
        <v>点击次数少于10次没有参考性</v>
      </c>
      <c r="K142" s="4" t="str">
        <f>IFERROR(INDEX(搜索词报告!$D$2:$D$22222,MATCH(关键词词频统计!A142,搜索词报告!$H$2:$H$22222,0)),"")</f>
        <v/>
      </c>
      <c r="M142">
        <f t="array" ref="M142">SUM(IF(搜索词报告!$H$2:$H$22222=L142,IF(搜索词报告!$A$2:$A$22222&gt;=$L$2,IF(搜索词报告!$A$2:$A$22222&lt;=$L$4,搜索词报告!$I$2:$I$22222,0),0),0))</f>
        <v>0</v>
      </c>
      <c r="N142">
        <f t="array" ref="N142">SUM(IF(搜索词报告!$H$2:$H$22222=L142,IF(搜索词报告!$A$2:$A$22222&gt;=$L$2,IF(搜索词报告!$A$2:$A$22222&lt;=$L$4,搜索词报告!$J$2:$J$22222,0),0),0))</f>
        <v>0</v>
      </c>
      <c r="O142" s="2">
        <f t="shared" si="20"/>
        <v>0</v>
      </c>
      <c r="P142" s="2">
        <f t="shared" si="21"/>
        <v>0</v>
      </c>
      <c r="Q142">
        <f t="array" ref="Q142">SUM(IF(搜索词报告!$H$2:$H$22222=L142,IF(搜索词报告!$A$2:$A$22222&gt;=$L$2,IF(搜索词报告!$A$2:$A$22222&lt;=$L$4,搜索词报告!$Q$2:$Q$22222,0),0),0))</f>
        <v>0</v>
      </c>
      <c r="R142">
        <f t="array" ref="R142">SUM(IF(搜索词报告!$H$2:$H$22222=L142,IF(搜索词报告!$A$2:$A$22222&gt;=$L$2,IF(搜索词报告!$A$2:$A$22222&lt;=$L$4,搜索词报告!$N$2:$N$22222,0),0),0))</f>
        <v>0</v>
      </c>
      <c r="S142">
        <f t="array" ref="S142">SUM(IF(搜索词报告!$H$2:$H$22222=L142,IF(搜索词报告!$A$2:$A$22222&gt;=$L$2,IF(搜索词报告!$A$2:$A$22222&lt;=$L$4,搜索词报告!$M$2:$M$22222,0),0),0))</f>
        <v>0</v>
      </c>
      <c r="T142" s="2" t="str">
        <f t="shared" si="22"/>
        <v/>
      </c>
      <c r="U142" t="str">
        <f t="shared" si="23"/>
        <v>点击次数少于10次没有参考性</v>
      </c>
      <c r="V142" s="4" t="str">
        <f>IFERROR(INDEX(搜索词报告!$D$2:$D$22222,MATCH(关键词词频统计!L142,搜索词报告!$H$2:$H$22222,0)),"")</f>
        <v/>
      </c>
    </row>
    <row r="143" spans="2:22" x14ac:dyDescent="0.15">
      <c r="B143">
        <f t="array" ref="B143">SUM(IF(搜索词报告!$H$2:$H$22222=A143,IF(搜索词报告!$A$2:$A$22222&gt;=关键词词频统计!$A$2,IF(搜索词报告!$A$2:$A$22222&lt;=关键词词频统计!$A$4,搜索词报告!$I$2:$I$22222,0),0),0))</f>
        <v>0</v>
      </c>
      <c r="C143">
        <f t="array" ref="C143">SUM(IF(搜索词报告!$H$2:$H$22222=A143,IF(搜索词报告!$A$2:$A$22222&gt;=关键词词频统计!$A$2,IF(搜索词报告!$A$2:$A$22222&lt;=关键词词频统计!$A$4,搜索词报告!$J$2:$J$22222,0),0),0))</f>
        <v>0</v>
      </c>
      <c r="D143" s="2">
        <f t="shared" si="16"/>
        <v>0</v>
      </c>
      <c r="E143" s="2">
        <f t="shared" si="17"/>
        <v>0</v>
      </c>
      <c r="F143">
        <f t="array" ref="F143">SUM(IF(搜索词报告!$H$2:$H$22222=A143,IF(搜索词报告!$A$2:$A$22222&gt;=关键词词频统计!$A$2,IF(搜索词报告!$A$2:$A$22222&lt;=关键词词频统计!$A$4,搜索词报告!$Q$2:$Q$22222,0),0),0))</f>
        <v>0</v>
      </c>
      <c r="G143">
        <f t="array" ref="G143">SUM(IF(搜索词报告!$H$2:$H$22222=A143,IF(搜索词报告!$A$2:$A$22222&gt;=关键词词频统计!$A$2,IF(搜索词报告!$A$2:$A$22222&lt;=关键词词频统计!$A$4,搜索词报告!$N$2:$N$22222,0),0),0))</f>
        <v>0</v>
      </c>
      <c r="H143">
        <f t="array" ref="H143">SUM(IF(搜索词报告!$H$2:$H$22222=A143,IF(搜索词报告!$A$2:$A$22222&gt;=关键词词频统计!$A$2,IF(搜索词报告!$A$2:$A$22222&lt;=关键词词频统计!$A$4,搜索词报告!$M$2:$M$22222,0),0),0))</f>
        <v>0</v>
      </c>
      <c r="I143" s="2" t="str">
        <f t="shared" si="18"/>
        <v/>
      </c>
      <c r="J143" t="str">
        <f t="shared" si="19"/>
        <v>点击次数少于10次没有参考性</v>
      </c>
      <c r="K143" s="4" t="str">
        <f>IFERROR(INDEX(搜索词报告!$D$2:$D$22222,MATCH(关键词词频统计!A143,搜索词报告!$H$2:$H$22222,0)),"")</f>
        <v/>
      </c>
      <c r="M143">
        <f t="array" ref="M143">SUM(IF(搜索词报告!$H$2:$H$22222=L143,IF(搜索词报告!$A$2:$A$22222&gt;=$L$2,IF(搜索词报告!$A$2:$A$22222&lt;=$L$4,搜索词报告!$I$2:$I$22222,0),0),0))</f>
        <v>0</v>
      </c>
      <c r="N143">
        <f t="array" ref="N143">SUM(IF(搜索词报告!$H$2:$H$22222=L143,IF(搜索词报告!$A$2:$A$22222&gt;=$L$2,IF(搜索词报告!$A$2:$A$22222&lt;=$L$4,搜索词报告!$J$2:$J$22222,0),0),0))</f>
        <v>0</v>
      </c>
      <c r="O143" s="2">
        <f t="shared" si="20"/>
        <v>0</v>
      </c>
      <c r="P143" s="2">
        <f t="shared" si="21"/>
        <v>0</v>
      </c>
      <c r="Q143">
        <f t="array" ref="Q143">SUM(IF(搜索词报告!$H$2:$H$22222=L143,IF(搜索词报告!$A$2:$A$22222&gt;=$L$2,IF(搜索词报告!$A$2:$A$22222&lt;=$L$4,搜索词报告!$Q$2:$Q$22222,0),0),0))</f>
        <v>0</v>
      </c>
      <c r="R143">
        <f t="array" ref="R143">SUM(IF(搜索词报告!$H$2:$H$22222=L143,IF(搜索词报告!$A$2:$A$22222&gt;=$L$2,IF(搜索词报告!$A$2:$A$22222&lt;=$L$4,搜索词报告!$N$2:$N$22222,0),0),0))</f>
        <v>0</v>
      </c>
      <c r="S143">
        <f t="array" ref="S143">SUM(IF(搜索词报告!$H$2:$H$22222=L143,IF(搜索词报告!$A$2:$A$22222&gt;=$L$2,IF(搜索词报告!$A$2:$A$22222&lt;=$L$4,搜索词报告!$M$2:$M$22222,0),0),0))</f>
        <v>0</v>
      </c>
      <c r="T143" s="2" t="str">
        <f t="shared" si="22"/>
        <v/>
      </c>
      <c r="U143" t="str">
        <f t="shared" si="23"/>
        <v>点击次数少于10次没有参考性</v>
      </c>
      <c r="V143" s="4" t="str">
        <f>IFERROR(INDEX(搜索词报告!$D$2:$D$22222,MATCH(关键词词频统计!L143,搜索词报告!$H$2:$H$22222,0)),"")</f>
        <v/>
      </c>
    </row>
    <row r="144" spans="2:22" x14ac:dyDescent="0.15">
      <c r="B144">
        <f t="array" ref="B144">SUM(IF(搜索词报告!$H$2:$H$22222=A144,IF(搜索词报告!$A$2:$A$22222&gt;=关键词词频统计!$A$2,IF(搜索词报告!$A$2:$A$22222&lt;=关键词词频统计!$A$4,搜索词报告!$I$2:$I$22222,0),0),0))</f>
        <v>0</v>
      </c>
      <c r="C144">
        <f t="array" ref="C144">SUM(IF(搜索词报告!$H$2:$H$22222=A144,IF(搜索词报告!$A$2:$A$22222&gt;=关键词词频统计!$A$2,IF(搜索词报告!$A$2:$A$22222&lt;=关键词词频统计!$A$4,搜索词报告!$J$2:$J$22222,0),0),0))</f>
        <v>0</v>
      </c>
      <c r="D144" s="2">
        <f t="shared" si="16"/>
        <v>0</v>
      </c>
      <c r="E144" s="2">
        <f t="shared" si="17"/>
        <v>0</v>
      </c>
      <c r="F144">
        <f t="array" ref="F144">SUM(IF(搜索词报告!$H$2:$H$22222=A144,IF(搜索词报告!$A$2:$A$22222&gt;=关键词词频统计!$A$2,IF(搜索词报告!$A$2:$A$22222&lt;=关键词词频统计!$A$4,搜索词报告!$Q$2:$Q$22222,0),0),0))</f>
        <v>0</v>
      </c>
      <c r="G144">
        <f t="array" ref="G144">SUM(IF(搜索词报告!$H$2:$H$22222=A144,IF(搜索词报告!$A$2:$A$22222&gt;=关键词词频统计!$A$2,IF(搜索词报告!$A$2:$A$22222&lt;=关键词词频统计!$A$4,搜索词报告!$N$2:$N$22222,0),0),0))</f>
        <v>0</v>
      </c>
      <c r="H144">
        <f t="array" ref="H144">SUM(IF(搜索词报告!$H$2:$H$22222=A144,IF(搜索词报告!$A$2:$A$22222&gt;=关键词词频统计!$A$2,IF(搜索词报告!$A$2:$A$22222&lt;=关键词词频统计!$A$4,搜索词报告!$M$2:$M$22222,0),0),0))</f>
        <v>0</v>
      </c>
      <c r="I144" s="2" t="str">
        <f t="shared" si="18"/>
        <v/>
      </c>
      <c r="J144" t="str">
        <f t="shared" si="19"/>
        <v>点击次数少于10次没有参考性</v>
      </c>
      <c r="K144" s="4" t="str">
        <f>IFERROR(INDEX(搜索词报告!$D$2:$D$22222,MATCH(关键词词频统计!A144,搜索词报告!$H$2:$H$22222,0)),"")</f>
        <v/>
      </c>
      <c r="M144">
        <f t="array" ref="M144">SUM(IF(搜索词报告!$H$2:$H$22222=L144,IF(搜索词报告!$A$2:$A$22222&gt;=$L$2,IF(搜索词报告!$A$2:$A$22222&lt;=$L$4,搜索词报告!$I$2:$I$22222,0),0),0))</f>
        <v>0</v>
      </c>
      <c r="N144">
        <f t="array" ref="N144">SUM(IF(搜索词报告!$H$2:$H$22222=L144,IF(搜索词报告!$A$2:$A$22222&gt;=$L$2,IF(搜索词报告!$A$2:$A$22222&lt;=$L$4,搜索词报告!$J$2:$J$22222,0),0),0))</f>
        <v>0</v>
      </c>
      <c r="O144" s="2">
        <f t="shared" si="20"/>
        <v>0</v>
      </c>
      <c r="P144" s="2">
        <f t="shared" si="21"/>
        <v>0</v>
      </c>
      <c r="Q144">
        <f t="array" ref="Q144">SUM(IF(搜索词报告!$H$2:$H$22222=L144,IF(搜索词报告!$A$2:$A$22222&gt;=$L$2,IF(搜索词报告!$A$2:$A$22222&lt;=$L$4,搜索词报告!$Q$2:$Q$22222,0),0),0))</f>
        <v>0</v>
      </c>
      <c r="R144">
        <f t="array" ref="R144">SUM(IF(搜索词报告!$H$2:$H$22222=L144,IF(搜索词报告!$A$2:$A$22222&gt;=$L$2,IF(搜索词报告!$A$2:$A$22222&lt;=$L$4,搜索词报告!$N$2:$N$22222,0),0),0))</f>
        <v>0</v>
      </c>
      <c r="S144">
        <f t="array" ref="S144">SUM(IF(搜索词报告!$H$2:$H$22222=L144,IF(搜索词报告!$A$2:$A$22222&gt;=$L$2,IF(搜索词报告!$A$2:$A$22222&lt;=$L$4,搜索词报告!$M$2:$M$22222,0),0),0))</f>
        <v>0</v>
      </c>
      <c r="T144" s="2" t="str">
        <f t="shared" si="22"/>
        <v/>
      </c>
      <c r="U144" t="str">
        <f t="shared" si="23"/>
        <v>点击次数少于10次没有参考性</v>
      </c>
      <c r="V144" s="4" t="str">
        <f>IFERROR(INDEX(搜索词报告!$D$2:$D$22222,MATCH(关键词词频统计!L144,搜索词报告!$H$2:$H$22222,0)),"")</f>
        <v/>
      </c>
    </row>
    <row r="145" spans="2:22" x14ac:dyDescent="0.15">
      <c r="B145">
        <f t="array" ref="B145">SUM(IF(搜索词报告!$H$2:$H$22222=A145,IF(搜索词报告!$A$2:$A$22222&gt;=关键词词频统计!$A$2,IF(搜索词报告!$A$2:$A$22222&lt;=关键词词频统计!$A$4,搜索词报告!$I$2:$I$22222,0),0),0))</f>
        <v>0</v>
      </c>
      <c r="C145">
        <f t="array" ref="C145">SUM(IF(搜索词报告!$H$2:$H$22222=A145,IF(搜索词报告!$A$2:$A$22222&gt;=关键词词频统计!$A$2,IF(搜索词报告!$A$2:$A$22222&lt;=关键词词频统计!$A$4,搜索词报告!$J$2:$J$22222,0),0),0))</f>
        <v>0</v>
      </c>
      <c r="D145" s="2">
        <f t="shared" si="16"/>
        <v>0</v>
      </c>
      <c r="E145" s="2">
        <f t="shared" si="17"/>
        <v>0</v>
      </c>
      <c r="F145">
        <f t="array" ref="F145">SUM(IF(搜索词报告!$H$2:$H$22222=A145,IF(搜索词报告!$A$2:$A$22222&gt;=关键词词频统计!$A$2,IF(搜索词报告!$A$2:$A$22222&lt;=关键词词频统计!$A$4,搜索词报告!$Q$2:$Q$22222,0),0),0))</f>
        <v>0</v>
      </c>
      <c r="G145">
        <f t="array" ref="G145">SUM(IF(搜索词报告!$H$2:$H$22222=A145,IF(搜索词报告!$A$2:$A$22222&gt;=关键词词频统计!$A$2,IF(搜索词报告!$A$2:$A$22222&lt;=关键词词频统计!$A$4,搜索词报告!$N$2:$N$22222,0),0),0))</f>
        <v>0</v>
      </c>
      <c r="H145">
        <f t="array" ref="H145">SUM(IF(搜索词报告!$H$2:$H$22222=A145,IF(搜索词报告!$A$2:$A$22222&gt;=关键词词频统计!$A$2,IF(搜索词报告!$A$2:$A$22222&lt;=关键词词频统计!$A$4,搜索词报告!$M$2:$M$22222,0),0),0))</f>
        <v>0</v>
      </c>
      <c r="I145" s="2" t="str">
        <f t="shared" si="18"/>
        <v/>
      </c>
      <c r="J145" t="str">
        <f t="shared" si="19"/>
        <v>点击次数少于10次没有参考性</v>
      </c>
      <c r="K145" s="4" t="str">
        <f>IFERROR(INDEX(搜索词报告!$D$2:$D$22222,MATCH(关键词词频统计!A145,搜索词报告!$H$2:$H$22222,0)),"")</f>
        <v/>
      </c>
      <c r="M145">
        <f t="array" ref="M145">SUM(IF(搜索词报告!$H$2:$H$22222=L145,IF(搜索词报告!$A$2:$A$22222&gt;=$L$2,IF(搜索词报告!$A$2:$A$22222&lt;=$L$4,搜索词报告!$I$2:$I$22222,0),0),0))</f>
        <v>0</v>
      </c>
      <c r="N145">
        <f t="array" ref="N145">SUM(IF(搜索词报告!$H$2:$H$22222=L145,IF(搜索词报告!$A$2:$A$22222&gt;=$L$2,IF(搜索词报告!$A$2:$A$22222&lt;=$L$4,搜索词报告!$J$2:$J$22222,0),0),0))</f>
        <v>0</v>
      </c>
      <c r="O145" s="2">
        <f t="shared" si="20"/>
        <v>0</v>
      </c>
      <c r="P145" s="2">
        <f t="shared" si="21"/>
        <v>0</v>
      </c>
      <c r="Q145">
        <f t="array" ref="Q145">SUM(IF(搜索词报告!$H$2:$H$22222=L145,IF(搜索词报告!$A$2:$A$22222&gt;=$L$2,IF(搜索词报告!$A$2:$A$22222&lt;=$L$4,搜索词报告!$Q$2:$Q$22222,0),0),0))</f>
        <v>0</v>
      </c>
      <c r="R145">
        <f t="array" ref="R145">SUM(IF(搜索词报告!$H$2:$H$22222=L145,IF(搜索词报告!$A$2:$A$22222&gt;=$L$2,IF(搜索词报告!$A$2:$A$22222&lt;=$L$4,搜索词报告!$N$2:$N$22222,0),0),0))</f>
        <v>0</v>
      </c>
      <c r="S145">
        <f t="array" ref="S145">SUM(IF(搜索词报告!$H$2:$H$22222=L145,IF(搜索词报告!$A$2:$A$22222&gt;=$L$2,IF(搜索词报告!$A$2:$A$22222&lt;=$L$4,搜索词报告!$M$2:$M$22222,0),0),0))</f>
        <v>0</v>
      </c>
      <c r="T145" s="2" t="str">
        <f t="shared" si="22"/>
        <v/>
      </c>
      <c r="U145" t="str">
        <f t="shared" si="23"/>
        <v>点击次数少于10次没有参考性</v>
      </c>
      <c r="V145" s="4" t="str">
        <f>IFERROR(INDEX(搜索词报告!$D$2:$D$22222,MATCH(关键词词频统计!L145,搜索词报告!$H$2:$H$22222,0)),"")</f>
        <v/>
      </c>
    </row>
    <row r="146" spans="2:22" x14ac:dyDescent="0.15">
      <c r="B146">
        <f t="array" ref="B146">SUM(IF(搜索词报告!$H$2:$H$22222=A146,IF(搜索词报告!$A$2:$A$22222&gt;=关键词词频统计!$A$2,IF(搜索词报告!$A$2:$A$22222&lt;=关键词词频统计!$A$4,搜索词报告!$I$2:$I$22222,0),0),0))</f>
        <v>0</v>
      </c>
      <c r="C146">
        <f t="array" ref="C146">SUM(IF(搜索词报告!$H$2:$H$22222=A146,IF(搜索词报告!$A$2:$A$22222&gt;=关键词词频统计!$A$2,IF(搜索词报告!$A$2:$A$22222&lt;=关键词词频统计!$A$4,搜索词报告!$J$2:$J$22222,0),0),0))</f>
        <v>0</v>
      </c>
      <c r="D146" s="2">
        <f t="shared" si="16"/>
        <v>0</v>
      </c>
      <c r="E146" s="2">
        <f t="shared" si="17"/>
        <v>0</v>
      </c>
      <c r="F146">
        <f t="array" ref="F146">SUM(IF(搜索词报告!$H$2:$H$22222=A146,IF(搜索词报告!$A$2:$A$22222&gt;=关键词词频统计!$A$2,IF(搜索词报告!$A$2:$A$22222&lt;=关键词词频统计!$A$4,搜索词报告!$Q$2:$Q$22222,0),0),0))</f>
        <v>0</v>
      </c>
      <c r="G146">
        <f t="array" ref="G146">SUM(IF(搜索词报告!$H$2:$H$22222=A146,IF(搜索词报告!$A$2:$A$22222&gt;=关键词词频统计!$A$2,IF(搜索词报告!$A$2:$A$22222&lt;=关键词词频统计!$A$4,搜索词报告!$N$2:$N$22222,0),0),0))</f>
        <v>0</v>
      </c>
      <c r="H146">
        <f t="array" ref="H146">SUM(IF(搜索词报告!$H$2:$H$22222=A146,IF(搜索词报告!$A$2:$A$22222&gt;=关键词词频统计!$A$2,IF(搜索词报告!$A$2:$A$22222&lt;=关键词词频统计!$A$4,搜索词报告!$M$2:$M$22222,0),0),0))</f>
        <v>0</v>
      </c>
      <c r="I146" s="2" t="str">
        <f t="shared" si="18"/>
        <v/>
      </c>
      <c r="J146" t="str">
        <f t="shared" si="19"/>
        <v>点击次数少于10次没有参考性</v>
      </c>
      <c r="K146" s="4" t="str">
        <f>IFERROR(INDEX(搜索词报告!$D$2:$D$22222,MATCH(关键词词频统计!A146,搜索词报告!$H$2:$H$22222,0)),"")</f>
        <v/>
      </c>
      <c r="M146">
        <f t="array" ref="M146">SUM(IF(搜索词报告!$H$2:$H$22222=L146,IF(搜索词报告!$A$2:$A$22222&gt;=$L$2,IF(搜索词报告!$A$2:$A$22222&lt;=$L$4,搜索词报告!$I$2:$I$22222,0),0),0))</f>
        <v>0</v>
      </c>
      <c r="N146">
        <f t="array" ref="N146">SUM(IF(搜索词报告!$H$2:$H$22222=L146,IF(搜索词报告!$A$2:$A$22222&gt;=$L$2,IF(搜索词报告!$A$2:$A$22222&lt;=$L$4,搜索词报告!$J$2:$J$22222,0),0),0))</f>
        <v>0</v>
      </c>
      <c r="O146" s="2">
        <f t="shared" si="20"/>
        <v>0</v>
      </c>
      <c r="P146" s="2">
        <f t="shared" si="21"/>
        <v>0</v>
      </c>
      <c r="Q146">
        <f t="array" ref="Q146">SUM(IF(搜索词报告!$H$2:$H$22222=L146,IF(搜索词报告!$A$2:$A$22222&gt;=$L$2,IF(搜索词报告!$A$2:$A$22222&lt;=$L$4,搜索词报告!$Q$2:$Q$22222,0),0),0))</f>
        <v>0</v>
      </c>
      <c r="R146">
        <f t="array" ref="R146">SUM(IF(搜索词报告!$H$2:$H$22222=L146,IF(搜索词报告!$A$2:$A$22222&gt;=$L$2,IF(搜索词报告!$A$2:$A$22222&lt;=$L$4,搜索词报告!$N$2:$N$22222,0),0),0))</f>
        <v>0</v>
      </c>
      <c r="S146">
        <f t="array" ref="S146">SUM(IF(搜索词报告!$H$2:$H$22222=L146,IF(搜索词报告!$A$2:$A$22222&gt;=$L$2,IF(搜索词报告!$A$2:$A$22222&lt;=$L$4,搜索词报告!$M$2:$M$22222,0),0),0))</f>
        <v>0</v>
      </c>
      <c r="T146" s="2" t="str">
        <f t="shared" si="22"/>
        <v/>
      </c>
      <c r="U146" t="str">
        <f t="shared" si="23"/>
        <v>点击次数少于10次没有参考性</v>
      </c>
      <c r="V146" s="4" t="str">
        <f>IFERROR(INDEX(搜索词报告!$D$2:$D$22222,MATCH(关键词词频统计!L146,搜索词报告!$H$2:$H$22222,0)),"")</f>
        <v/>
      </c>
    </row>
    <row r="147" spans="2:22" x14ac:dyDescent="0.15">
      <c r="B147">
        <f t="array" ref="B147">SUM(IF(搜索词报告!$H$2:$H$22222=A147,IF(搜索词报告!$A$2:$A$22222&gt;=关键词词频统计!$A$2,IF(搜索词报告!$A$2:$A$22222&lt;=关键词词频统计!$A$4,搜索词报告!$I$2:$I$22222,0),0),0))</f>
        <v>0</v>
      </c>
      <c r="C147">
        <f t="array" ref="C147">SUM(IF(搜索词报告!$H$2:$H$22222=A147,IF(搜索词报告!$A$2:$A$22222&gt;=关键词词频统计!$A$2,IF(搜索词报告!$A$2:$A$22222&lt;=关键词词频统计!$A$4,搜索词报告!$J$2:$J$22222,0),0),0))</f>
        <v>0</v>
      </c>
      <c r="D147" s="2">
        <f t="shared" si="16"/>
        <v>0</v>
      </c>
      <c r="E147" s="2">
        <f t="shared" si="17"/>
        <v>0</v>
      </c>
      <c r="F147">
        <f t="array" ref="F147">SUM(IF(搜索词报告!$H$2:$H$22222=A147,IF(搜索词报告!$A$2:$A$22222&gt;=关键词词频统计!$A$2,IF(搜索词报告!$A$2:$A$22222&lt;=关键词词频统计!$A$4,搜索词报告!$Q$2:$Q$22222,0),0),0))</f>
        <v>0</v>
      </c>
      <c r="G147">
        <f t="array" ref="G147">SUM(IF(搜索词报告!$H$2:$H$22222=A147,IF(搜索词报告!$A$2:$A$22222&gt;=关键词词频统计!$A$2,IF(搜索词报告!$A$2:$A$22222&lt;=关键词词频统计!$A$4,搜索词报告!$N$2:$N$22222,0),0),0))</f>
        <v>0</v>
      </c>
      <c r="H147">
        <f t="array" ref="H147">SUM(IF(搜索词报告!$H$2:$H$22222=A147,IF(搜索词报告!$A$2:$A$22222&gt;=关键词词频统计!$A$2,IF(搜索词报告!$A$2:$A$22222&lt;=关键词词频统计!$A$4,搜索词报告!$M$2:$M$22222,0),0),0))</f>
        <v>0</v>
      </c>
      <c r="I147" s="2" t="str">
        <f t="shared" si="18"/>
        <v/>
      </c>
      <c r="J147" t="str">
        <f t="shared" si="19"/>
        <v>点击次数少于10次没有参考性</v>
      </c>
      <c r="K147" s="4" t="str">
        <f>IFERROR(INDEX(搜索词报告!$D$2:$D$22222,MATCH(关键词词频统计!A147,搜索词报告!$H$2:$H$22222,0)),"")</f>
        <v/>
      </c>
      <c r="M147">
        <f t="array" ref="M147">SUM(IF(搜索词报告!$H$2:$H$22222=L147,IF(搜索词报告!$A$2:$A$22222&gt;=$L$2,IF(搜索词报告!$A$2:$A$22222&lt;=$L$4,搜索词报告!$I$2:$I$22222,0),0),0))</f>
        <v>0</v>
      </c>
      <c r="N147">
        <f t="array" ref="N147">SUM(IF(搜索词报告!$H$2:$H$22222=L147,IF(搜索词报告!$A$2:$A$22222&gt;=$L$2,IF(搜索词报告!$A$2:$A$22222&lt;=$L$4,搜索词报告!$J$2:$J$22222,0),0),0))</f>
        <v>0</v>
      </c>
      <c r="O147" s="2">
        <f t="shared" si="20"/>
        <v>0</v>
      </c>
      <c r="P147" s="2">
        <f t="shared" si="21"/>
        <v>0</v>
      </c>
      <c r="Q147">
        <f t="array" ref="Q147">SUM(IF(搜索词报告!$H$2:$H$22222=L147,IF(搜索词报告!$A$2:$A$22222&gt;=$L$2,IF(搜索词报告!$A$2:$A$22222&lt;=$L$4,搜索词报告!$Q$2:$Q$22222,0),0),0))</f>
        <v>0</v>
      </c>
      <c r="R147">
        <f t="array" ref="R147">SUM(IF(搜索词报告!$H$2:$H$22222=L147,IF(搜索词报告!$A$2:$A$22222&gt;=$L$2,IF(搜索词报告!$A$2:$A$22222&lt;=$L$4,搜索词报告!$N$2:$N$22222,0),0),0))</f>
        <v>0</v>
      </c>
      <c r="S147">
        <f t="array" ref="S147">SUM(IF(搜索词报告!$H$2:$H$22222=L147,IF(搜索词报告!$A$2:$A$22222&gt;=$L$2,IF(搜索词报告!$A$2:$A$22222&lt;=$L$4,搜索词报告!$M$2:$M$22222,0),0),0))</f>
        <v>0</v>
      </c>
      <c r="T147" s="2" t="str">
        <f t="shared" si="22"/>
        <v/>
      </c>
      <c r="U147" t="str">
        <f t="shared" si="23"/>
        <v>点击次数少于10次没有参考性</v>
      </c>
      <c r="V147" s="4" t="str">
        <f>IFERROR(INDEX(搜索词报告!$D$2:$D$22222,MATCH(关键词词频统计!L147,搜索词报告!$H$2:$H$22222,0)),"")</f>
        <v/>
      </c>
    </row>
    <row r="148" spans="2:22" x14ac:dyDescent="0.15">
      <c r="B148">
        <f t="array" ref="B148">SUM(IF(搜索词报告!$H$2:$H$22222=A148,IF(搜索词报告!$A$2:$A$22222&gt;=关键词词频统计!$A$2,IF(搜索词报告!$A$2:$A$22222&lt;=关键词词频统计!$A$4,搜索词报告!$I$2:$I$22222,0),0),0))</f>
        <v>0</v>
      </c>
      <c r="C148">
        <f t="array" ref="C148">SUM(IF(搜索词报告!$H$2:$H$22222=A148,IF(搜索词报告!$A$2:$A$22222&gt;=关键词词频统计!$A$2,IF(搜索词报告!$A$2:$A$22222&lt;=关键词词频统计!$A$4,搜索词报告!$J$2:$J$22222,0),0),0))</f>
        <v>0</v>
      </c>
      <c r="D148" s="2">
        <f t="shared" si="16"/>
        <v>0</v>
      </c>
      <c r="E148" s="2">
        <f t="shared" si="17"/>
        <v>0</v>
      </c>
      <c r="F148">
        <f t="array" ref="F148">SUM(IF(搜索词报告!$H$2:$H$22222=A148,IF(搜索词报告!$A$2:$A$22222&gt;=关键词词频统计!$A$2,IF(搜索词报告!$A$2:$A$22222&lt;=关键词词频统计!$A$4,搜索词报告!$Q$2:$Q$22222,0),0),0))</f>
        <v>0</v>
      </c>
      <c r="G148">
        <f t="array" ref="G148">SUM(IF(搜索词报告!$H$2:$H$22222=A148,IF(搜索词报告!$A$2:$A$22222&gt;=关键词词频统计!$A$2,IF(搜索词报告!$A$2:$A$22222&lt;=关键词词频统计!$A$4,搜索词报告!$N$2:$N$22222,0),0),0))</f>
        <v>0</v>
      </c>
      <c r="H148">
        <f t="array" ref="H148">SUM(IF(搜索词报告!$H$2:$H$22222=A148,IF(搜索词报告!$A$2:$A$22222&gt;=关键词词频统计!$A$2,IF(搜索词报告!$A$2:$A$22222&lt;=关键词词频统计!$A$4,搜索词报告!$M$2:$M$22222,0),0),0))</f>
        <v>0</v>
      </c>
      <c r="I148" s="2" t="str">
        <f t="shared" si="18"/>
        <v/>
      </c>
      <c r="J148" t="str">
        <f t="shared" si="19"/>
        <v>点击次数少于10次没有参考性</v>
      </c>
      <c r="K148" s="4" t="str">
        <f>IFERROR(INDEX(搜索词报告!$D$2:$D$22222,MATCH(关键词词频统计!A148,搜索词报告!$H$2:$H$22222,0)),"")</f>
        <v/>
      </c>
      <c r="M148">
        <f t="array" ref="M148">SUM(IF(搜索词报告!$H$2:$H$22222=L148,IF(搜索词报告!$A$2:$A$22222&gt;=$L$2,IF(搜索词报告!$A$2:$A$22222&lt;=$L$4,搜索词报告!$I$2:$I$22222,0),0),0))</f>
        <v>0</v>
      </c>
      <c r="N148">
        <f t="array" ref="N148">SUM(IF(搜索词报告!$H$2:$H$22222=L148,IF(搜索词报告!$A$2:$A$22222&gt;=$L$2,IF(搜索词报告!$A$2:$A$22222&lt;=$L$4,搜索词报告!$J$2:$J$22222,0),0),0))</f>
        <v>0</v>
      </c>
      <c r="O148" s="2">
        <f t="shared" si="20"/>
        <v>0</v>
      </c>
      <c r="P148" s="2">
        <f t="shared" si="21"/>
        <v>0</v>
      </c>
      <c r="Q148">
        <f t="array" ref="Q148">SUM(IF(搜索词报告!$H$2:$H$22222=L148,IF(搜索词报告!$A$2:$A$22222&gt;=$L$2,IF(搜索词报告!$A$2:$A$22222&lt;=$L$4,搜索词报告!$Q$2:$Q$22222,0),0),0))</f>
        <v>0</v>
      </c>
      <c r="R148">
        <f t="array" ref="R148">SUM(IF(搜索词报告!$H$2:$H$22222=L148,IF(搜索词报告!$A$2:$A$22222&gt;=$L$2,IF(搜索词报告!$A$2:$A$22222&lt;=$L$4,搜索词报告!$N$2:$N$22222,0),0),0))</f>
        <v>0</v>
      </c>
      <c r="S148">
        <f t="array" ref="S148">SUM(IF(搜索词报告!$H$2:$H$22222=L148,IF(搜索词报告!$A$2:$A$22222&gt;=$L$2,IF(搜索词报告!$A$2:$A$22222&lt;=$L$4,搜索词报告!$M$2:$M$22222,0),0),0))</f>
        <v>0</v>
      </c>
      <c r="T148" s="2" t="str">
        <f t="shared" si="22"/>
        <v/>
      </c>
      <c r="U148" t="str">
        <f t="shared" si="23"/>
        <v>点击次数少于10次没有参考性</v>
      </c>
      <c r="V148" s="4" t="str">
        <f>IFERROR(INDEX(搜索词报告!$D$2:$D$22222,MATCH(关键词词频统计!L148,搜索词报告!$H$2:$H$22222,0)),"")</f>
        <v/>
      </c>
    </row>
    <row r="149" spans="2:22" x14ac:dyDescent="0.15">
      <c r="B149">
        <f t="array" ref="B149">SUM(IF(搜索词报告!$H$2:$H$22222=A149,IF(搜索词报告!$A$2:$A$22222&gt;=关键词词频统计!$A$2,IF(搜索词报告!$A$2:$A$22222&lt;=关键词词频统计!$A$4,搜索词报告!$I$2:$I$22222,0),0),0))</f>
        <v>0</v>
      </c>
      <c r="C149">
        <f t="array" ref="C149">SUM(IF(搜索词报告!$H$2:$H$22222=A149,IF(搜索词报告!$A$2:$A$22222&gt;=关键词词频统计!$A$2,IF(搜索词报告!$A$2:$A$22222&lt;=关键词词频统计!$A$4,搜索词报告!$J$2:$J$22222,0),0),0))</f>
        <v>0</v>
      </c>
      <c r="D149" s="2">
        <f t="shared" si="16"/>
        <v>0</v>
      </c>
      <c r="E149" s="2">
        <f t="shared" si="17"/>
        <v>0</v>
      </c>
      <c r="F149">
        <f t="array" ref="F149">SUM(IF(搜索词报告!$H$2:$H$22222=A149,IF(搜索词报告!$A$2:$A$22222&gt;=关键词词频统计!$A$2,IF(搜索词报告!$A$2:$A$22222&lt;=关键词词频统计!$A$4,搜索词报告!$Q$2:$Q$22222,0),0),0))</f>
        <v>0</v>
      </c>
      <c r="G149">
        <f t="array" ref="G149">SUM(IF(搜索词报告!$H$2:$H$22222=A149,IF(搜索词报告!$A$2:$A$22222&gt;=关键词词频统计!$A$2,IF(搜索词报告!$A$2:$A$22222&lt;=关键词词频统计!$A$4,搜索词报告!$N$2:$N$22222,0),0),0))</f>
        <v>0</v>
      </c>
      <c r="H149">
        <f t="array" ref="H149">SUM(IF(搜索词报告!$H$2:$H$22222=A149,IF(搜索词报告!$A$2:$A$22222&gt;=关键词词频统计!$A$2,IF(搜索词报告!$A$2:$A$22222&lt;=关键词词频统计!$A$4,搜索词报告!$M$2:$M$22222,0),0),0))</f>
        <v>0</v>
      </c>
      <c r="I149" s="2" t="str">
        <f t="shared" si="18"/>
        <v/>
      </c>
      <c r="J149" t="str">
        <f t="shared" si="19"/>
        <v>点击次数少于10次没有参考性</v>
      </c>
      <c r="K149" s="4" t="str">
        <f>IFERROR(INDEX(搜索词报告!$D$2:$D$22222,MATCH(关键词词频统计!A149,搜索词报告!$H$2:$H$22222,0)),"")</f>
        <v/>
      </c>
      <c r="M149">
        <f t="array" ref="M149">SUM(IF(搜索词报告!$H$2:$H$22222=L149,IF(搜索词报告!$A$2:$A$22222&gt;=$L$2,IF(搜索词报告!$A$2:$A$22222&lt;=$L$4,搜索词报告!$I$2:$I$22222,0),0),0))</f>
        <v>0</v>
      </c>
      <c r="N149">
        <f t="array" ref="N149">SUM(IF(搜索词报告!$H$2:$H$22222=L149,IF(搜索词报告!$A$2:$A$22222&gt;=$L$2,IF(搜索词报告!$A$2:$A$22222&lt;=$L$4,搜索词报告!$J$2:$J$22222,0),0),0))</f>
        <v>0</v>
      </c>
      <c r="O149" s="2">
        <f t="shared" si="20"/>
        <v>0</v>
      </c>
      <c r="P149" s="2">
        <f t="shared" si="21"/>
        <v>0</v>
      </c>
      <c r="Q149">
        <f t="array" ref="Q149">SUM(IF(搜索词报告!$H$2:$H$22222=L149,IF(搜索词报告!$A$2:$A$22222&gt;=$L$2,IF(搜索词报告!$A$2:$A$22222&lt;=$L$4,搜索词报告!$Q$2:$Q$22222,0),0),0))</f>
        <v>0</v>
      </c>
      <c r="R149">
        <f t="array" ref="R149">SUM(IF(搜索词报告!$H$2:$H$22222=L149,IF(搜索词报告!$A$2:$A$22222&gt;=$L$2,IF(搜索词报告!$A$2:$A$22222&lt;=$L$4,搜索词报告!$N$2:$N$22222,0),0),0))</f>
        <v>0</v>
      </c>
      <c r="S149">
        <f t="array" ref="S149">SUM(IF(搜索词报告!$H$2:$H$22222=L149,IF(搜索词报告!$A$2:$A$22222&gt;=$L$2,IF(搜索词报告!$A$2:$A$22222&lt;=$L$4,搜索词报告!$M$2:$M$22222,0),0),0))</f>
        <v>0</v>
      </c>
      <c r="T149" s="2" t="str">
        <f t="shared" si="22"/>
        <v/>
      </c>
      <c r="U149" t="str">
        <f t="shared" si="23"/>
        <v>点击次数少于10次没有参考性</v>
      </c>
      <c r="V149" s="4" t="str">
        <f>IFERROR(INDEX(搜索词报告!$D$2:$D$22222,MATCH(关键词词频统计!L149,搜索词报告!$H$2:$H$22222,0)),"")</f>
        <v/>
      </c>
    </row>
    <row r="150" spans="2:22" x14ac:dyDescent="0.15">
      <c r="B150">
        <f t="array" ref="B150">SUM(IF(搜索词报告!$H$2:$H$22222=A150,IF(搜索词报告!$A$2:$A$22222&gt;=关键词词频统计!$A$2,IF(搜索词报告!$A$2:$A$22222&lt;=关键词词频统计!$A$4,搜索词报告!$I$2:$I$22222,0),0),0))</f>
        <v>0</v>
      </c>
      <c r="C150">
        <f t="array" ref="C150">SUM(IF(搜索词报告!$H$2:$H$22222=A150,IF(搜索词报告!$A$2:$A$22222&gt;=关键词词频统计!$A$2,IF(搜索词报告!$A$2:$A$22222&lt;=关键词词频统计!$A$4,搜索词报告!$J$2:$J$22222,0),0),0))</f>
        <v>0</v>
      </c>
      <c r="D150" s="2">
        <f t="shared" si="16"/>
        <v>0</v>
      </c>
      <c r="E150" s="2">
        <f t="shared" si="17"/>
        <v>0</v>
      </c>
      <c r="F150">
        <f t="array" ref="F150">SUM(IF(搜索词报告!$H$2:$H$22222=A150,IF(搜索词报告!$A$2:$A$22222&gt;=关键词词频统计!$A$2,IF(搜索词报告!$A$2:$A$22222&lt;=关键词词频统计!$A$4,搜索词报告!$Q$2:$Q$22222,0),0),0))</f>
        <v>0</v>
      </c>
      <c r="G150">
        <f t="array" ref="G150">SUM(IF(搜索词报告!$H$2:$H$22222=A150,IF(搜索词报告!$A$2:$A$22222&gt;=关键词词频统计!$A$2,IF(搜索词报告!$A$2:$A$22222&lt;=关键词词频统计!$A$4,搜索词报告!$N$2:$N$22222,0),0),0))</f>
        <v>0</v>
      </c>
      <c r="H150">
        <f t="array" ref="H150">SUM(IF(搜索词报告!$H$2:$H$22222=A150,IF(搜索词报告!$A$2:$A$22222&gt;=关键词词频统计!$A$2,IF(搜索词报告!$A$2:$A$22222&lt;=关键词词频统计!$A$4,搜索词报告!$M$2:$M$22222,0),0),0))</f>
        <v>0</v>
      </c>
      <c r="I150" s="2" t="str">
        <f t="shared" si="18"/>
        <v/>
      </c>
      <c r="J150" t="str">
        <f t="shared" si="19"/>
        <v>点击次数少于10次没有参考性</v>
      </c>
      <c r="K150" s="4" t="str">
        <f>IFERROR(INDEX(搜索词报告!$D$2:$D$22222,MATCH(关键词词频统计!A150,搜索词报告!$H$2:$H$22222,0)),"")</f>
        <v/>
      </c>
      <c r="M150">
        <f t="array" ref="M150">SUM(IF(搜索词报告!$H$2:$H$22222=L150,IF(搜索词报告!$A$2:$A$22222&gt;=$L$2,IF(搜索词报告!$A$2:$A$22222&lt;=$L$4,搜索词报告!$I$2:$I$22222,0),0),0))</f>
        <v>0</v>
      </c>
      <c r="N150">
        <f t="array" ref="N150">SUM(IF(搜索词报告!$H$2:$H$22222=L150,IF(搜索词报告!$A$2:$A$22222&gt;=$L$2,IF(搜索词报告!$A$2:$A$22222&lt;=$L$4,搜索词报告!$J$2:$J$22222,0),0),0))</f>
        <v>0</v>
      </c>
      <c r="O150" s="2">
        <f t="shared" si="20"/>
        <v>0</v>
      </c>
      <c r="P150" s="2">
        <f t="shared" si="21"/>
        <v>0</v>
      </c>
      <c r="Q150">
        <f t="array" ref="Q150">SUM(IF(搜索词报告!$H$2:$H$22222=L150,IF(搜索词报告!$A$2:$A$22222&gt;=$L$2,IF(搜索词报告!$A$2:$A$22222&lt;=$L$4,搜索词报告!$Q$2:$Q$22222,0),0),0))</f>
        <v>0</v>
      </c>
      <c r="R150">
        <f t="array" ref="R150">SUM(IF(搜索词报告!$H$2:$H$22222=L150,IF(搜索词报告!$A$2:$A$22222&gt;=$L$2,IF(搜索词报告!$A$2:$A$22222&lt;=$L$4,搜索词报告!$N$2:$N$22222,0),0),0))</f>
        <v>0</v>
      </c>
      <c r="S150">
        <f t="array" ref="S150">SUM(IF(搜索词报告!$H$2:$H$22222=L150,IF(搜索词报告!$A$2:$A$22222&gt;=$L$2,IF(搜索词报告!$A$2:$A$22222&lt;=$L$4,搜索词报告!$M$2:$M$22222,0),0),0))</f>
        <v>0</v>
      </c>
      <c r="T150" s="2" t="str">
        <f t="shared" si="22"/>
        <v/>
      </c>
      <c r="U150" t="str">
        <f t="shared" si="23"/>
        <v>点击次数少于10次没有参考性</v>
      </c>
      <c r="V150" s="4" t="str">
        <f>IFERROR(INDEX(搜索词报告!$D$2:$D$22222,MATCH(关键词词频统计!L150,搜索词报告!$H$2:$H$22222,0)),"")</f>
        <v/>
      </c>
    </row>
    <row r="151" spans="2:22" x14ac:dyDescent="0.15">
      <c r="B151">
        <f t="array" ref="B151">SUM(IF(搜索词报告!$H$2:$H$22222=A151,IF(搜索词报告!$A$2:$A$22222&gt;=关键词词频统计!$A$2,IF(搜索词报告!$A$2:$A$22222&lt;=关键词词频统计!$A$4,搜索词报告!$I$2:$I$22222,0),0),0))</f>
        <v>0</v>
      </c>
      <c r="C151">
        <f t="array" ref="C151">SUM(IF(搜索词报告!$H$2:$H$22222=A151,IF(搜索词报告!$A$2:$A$22222&gt;=关键词词频统计!$A$2,IF(搜索词报告!$A$2:$A$22222&lt;=关键词词频统计!$A$4,搜索词报告!$J$2:$J$22222,0),0),0))</f>
        <v>0</v>
      </c>
      <c r="D151" s="2">
        <f t="shared" si="16"/>
        <v>0</v>
      </c>
      <c r="E151" s="2">
        <f t="shared" si="17"/>
        <v>0</v>
      </c>
      <c r="F151">
        <f t="array" ref="F151">SUM(IF(搜索词报告!$H$2:$H$22222=A151,IF(搜索词报告!$A$2:$A$22222&gt;=关键词词频统计!$A$2,IF(搜索词报告!$A$2:$A$22222&lt;=关键词词频统计!$A$4,搜索词报告!$Q$2:$Q$22222,0),0),0))</f>
        <v>0</v>
      </c>
      <c r="G151">
        <f t="array" ref="G151">SUM(IF(搜索词报告!$H$2:$H$22222=A151,IF(搜索词报告!$A$2:$A$22222&gt;=关键词词频统计!$A$2,IF(搜索词报告!$A$2:$A$22222&lt;=关键词词频统计!$A$4,搜索词报告!$N$2:$N$22222,0),0),0))</f>
        <v>0</v>
      </c>
      <c r="H151">
        <f t="array" ref="H151">SUM(IF(搜索词报告!$H$2:$H$22222=A151,IF(搜索词报告!$A$2:$A$22222&gt;=关键词词频统计!$A$2,IF(搜索词报告!$A$2:$A$22222&lt;=关键词词频统计!$A$4,搜索词报告!$M$2:$M$22222,0),0),0))</f>
        <v>0</v>
      </c>
      <c r="I151" s="2" t="str">
        <f t="shared" si="18"/>
        <v/>
      </c>
      <c r="J151" t="str">
        <f t="shared" si="19"/>
        <v>点击次数少于10次没有参考性</v>
      </c>
      <c r="K151" s="4" t="str">
        <f>IFERROR(INDEX(搜索词报告!$D$2:$D$22222,MATCH(关键词词频统计!A151,搜索词报告!$H$2:$H$22222,0)),"")</f>
        <v/>
      </c>
      <c r="M151">
        <f t="array" ref="M151">SUM(IF(搜索词报告!$H$2:$H$22222=L151,IF(搜索词报告!$A$2:$A$22222&gt;=$L$2,IF(搜索词报告!$A$2:$A$22222&lt;=$L$4,搜索词报告!$I$2:$I$22222,0),0),0))</f>
        <v>0</v>
      </c>
      <c r="N151">
        <f t="array" ref="N151">SUM(IF(搜索词报告!$H$2:$H$22222=L151,IF(搜索词报告!$A$2:$A$22222&gt;=$L$2,IF(搜索词报告!$A$2:$A$22222&lt;=$L$4,搜索词报告!$J$2:$J$22222,0),0),0))</f>
        <v>0</v>
      </c>
      <c r="O151" s="2">
        <f t="shared" si="20"/>
        <v>0</v>
      </c>
      <c r="P151" s="2">
        <f t="shared" si="21"/>
        <v>0</v>
      </c>
      <c r="Q151">
        <f t="array" ref="Q151">SUM(IF(搜索词报告!$H$2:$H$22222=L151,IF(搜索词报告!$A$2:$A$22222&gt;=$L$2,IF(搜索词报告!$A$2:$A$22222&lt;=$L$4,搜索词报告!$Q$2:$Q$22222,0),0),0))</f>
        <v>0</v>
      </c>
      <c r="R151">
        <f t="array" ref="R151">SUM(IF(搜索词报告!$H$2:$H$22222=L151,IF(搜索词报告!$A$2:$A$22222&gt;=$L$2,IF(搜索词报告!$A$2:$A$22222&lt;=$L$4,搜索词报告!$N$2:$N$22222,0),0),0))</f>
        <v>0</v>
      </c>
      <c r="S151">
        <f t="array" ref="S151">SUM(IF(搜索词报告!$H$2:$H$22222=L151,IF(搜索词报告!$A$2:$A$22222&gt;=$L$2,IF(搜索词报告!$A$2:$A$22222&lt;=$L$4,搜索词报告!$M$2:$M$22222,0),0),0))</f>
        <v>0</v>
      </c>
      <c r="T151" s="2" t="str">
        <f t="shared" si="22"/>
        <v/>
      </c>
      <c r="U151" t="str">
        <f t="shared" si="23"/>
        <v>点击次数少于10次没有参考性</v>
      </c>
      <c r="V151" s="4" t="str">
        <f>IFERROR(INDEX(搜索词报告!$D$2:$D$22222,MATCH(关键词词频统计!L151,搜索词报告!$H$2:$H$22222,0)),"")</f>
        <v/>
      </c>
    </row>
    <row r="152" spans="2:22" x14ac:dyDescent="0.15">
      <c r="B152">
        <f t="array" ref="B152">SUM(IF(搜索词报告!$H$2:$H$22222=A152,IF(搜索词报告!$A$2:$A$22222&gt;=关键词词频统计!$A$2,IF(搜索词报告!$A$2:$A$22222&lt;=关键词词频统计!$A$4,搜索词报告!$I$2:$I$22222,0),0),0))</f>
        <v>0</v>
      </c>
      <c r="C152">
        <f t="array" ref="C152">SUM(IF(搜索词报告!$H$2:$H$22222=A152,IF(搜索词报告!$A$2:$A$22222&gt;=关键词词频统计!$A$2,IF(搜索词报告!$A$2:$A$22222&lt;=关键词词频统计!$A$4,搜索词报告!$J$2:$J$22222,0),0),0))</f>
        <v>0</v>
      </c>
      <c r="D152" s="2">
        <f t="shared" si="16"/>
        <v>0</v>
      </c>
      <c r="E152" s="2">
        <f t="shared" si="17"/>
        <v>0</v>
      </c>
      <c r="F152">
        <f t="array" ref="F152">SUM(IF(搜索词报告!$H$2:$H$22222=A152,IF(搜索词报告!$A$2:$A$22222&gt;=关键词词频统计!$A$2,IF(搜索词报告!$A$2:$A$22222&lt;=关键词词频统计!$A$4,搜索词报告!$Q$2:$Q$22222,0),0),0))</f>
        <v>0</v>
      </c>
      <c r="G152">
        <f t="array" ref="G152">SUM(IF(搜索词报告!$H$2:$H$22222=A152,IF(搜索词报告!$A$2:$A$22222&gt;=关键词词频统计!$A$2,IF(搜索词报告!$A$2:$A$22222&lt;=关键词词频统计!$A$4,搜索词报告!$N$2:$N$22222,0),0),0))</f>
        <v>0</v>
      </c>
      <c r="H152">
        <f t="array" ref="H152">SUM(IF(搜索词报告!$H$2:$H$22222=A152,IF(搜索词报告!$A$2:$A$22222&gt;=关键词词频统计!$A$2,IF(搜索词报告!$A$2:$A$22222&lt;=关键词词频统计!$A$4,搜索词报告!$M$2:$M$22222,0),0),0))</f>
        <v>0</v>
      </c>
      <c r="I152" s="2" t="str">
        <f t="shared" si="18"/>
        <v/>
      </c>
      <c r="J152" t="str">
        <f t="shared" si="19"/>
        <v>点击次数少于10次没有参考性</v>
      </c>
      <c r="K152" s="4" t="str">
        <f>IFERROR(INDEX(搜索词报告!$D$2:$D$22222,MATCH(关键词词频统计!A152,搜索词报告!$H$2:$H$22222,0)),"")</f>
        <v/>
      </c>
      <c r="M152">
        <f t="array" ref="M152">SUM(IF(搜索词报告!$H$2:$H$22222=L152,IF(搜索词报告!$A$2:$A$22222&gt;=$L$2,IF(搜索词报告!$A$2:$A$22222&lt;=$L$4,搜索词报告!$I$2:$I$22222,0),0),0))</f>
        <v>0</v>
      </c>
      <c r="N152">
        <f t="array" ref="N152">SUM(IF(搜索词报告!$H$2:$H$22222=L152,IF(搜索词报告!$A$2:$A$22222&gt;=$L$2,IF(搜索词报告!$A$2:$A$22222&lt;=$L$4,搜索词报告!$J$2:$J$22222,0),0),0))</f>
        <v>0</v>
      </c>
      <c r="O152" s="2">
        <f t="shared" si="20"/>
        <v>0</v>
      </c>
      <c r="P152" s="2">
        <f t="shared" si="21"/>
        <v>0</v>
      </c>
      <c r="Q152">
        <f t="array" ref="Q152">SUM(IF(搜索词报告!$H$2:$H$22222=L152,IF(搜索词报告!$A$2:$A$22222&gt;=$L$2,IF(搜索词报告!$A$2:$A$22222&lt;=$L$4,搜索词报告!$Q$2:$Q$22222,0),0),0))</f>
        <v>0</v>
      </c>
      <c r="R152">
        <f t="array" ref="R152">SUM(IF(搜索词报告!$H$2:$H$22222=L152,IF(搜索词报告!$A$2:$A$22222&gt;=$L$2,IF(搜索词报告!$A$2:$A$22222&lt;=$L$4,搜索词报告!$N$2:$N$22222,0),0),0))</f>
        <v>0</v>
      </c>
      <c r="S152">
        <f t="array" ref="S152">SUM(IF(搜索词报告!$H$2:$H$22222=L152,IF(搜索词报告!$A$2:$A$22222&gt;=$L$2,IF(搜索词报告!$A$2:$A$22222&lt;=$L$4,搜索词报告!$M$2:$M$22222,0),0),0))</f>
        <v>0</v>
      </c>
      <c r="T152" s="2" t="str">
        <f t="shared" si="22"/>
        <v/>
      </c>
      <c r="U152" t="str">
        <f t="shared" si="23"/>
        <v>点击次数少于10次没有参考性</v>
      </c>
      <c r="V152" s="4" t="str">
        <f>IFERROR(INDEX(搜索词报告!$D$2:$D$22222,MATCH(关键词词频统计!L152,搜索词报告!$H$2:$H$22222,0)),"")</f>
        <v/>
      </c>
    </row>
    <row r="153" spans="2:22" x14ac:dyDescent="0.15">
      <c r="B153">
        <f t="array" ref="B153">SUM(IF(搜索词报告!$H$2:$H$22222=A153,IF(搜索词报告!$A$2:$A$22222&gt;=关键词词频统计!$A$2,IF(搜索词报告!$A$2:$A$22222&lt;=关键词词频统计!$A$4,搜索词报告!$I$2:$I$22222,0),0),0))</f>
        <v>0</v>
      </c>
      <c r="C153">
        <f t="array" ref="C153">SUM(IF(搜索词报告!$H$2:$H$22222=A153,IF(搜索词报告!$A$2:$A$22222&gt;=关键词词频统计!$A$2,IF(搜索词报告!$A$2:$A$22222&lt;=关键词词频统计!$A$4,搜索词报告!$J$2:$J$22222,0),0),0))</f>
        <v>0</v>
      </c>
      <c r="D153" s="2">
        <f t="shared" si="16"/>
        <v>0</v>
      </c>
      <c r="E153" s="2">
        <f t="shared" si="17"/>
        <v>0</v>
      </c>
      <c r="F153">
        <f t="array" ref="F153">SUM(IF(搜索词报告!$H$2:$H$22222=A153,IF(搜索词报告!$A$2:$A$22222&gt;=关键词词频统计!$A$2,IF(搜索词报告!$A$2:$A$22222&lt;=关键词词频统计!$A$4,搜索词报告!$Q$2:$Q$22222,0),0),0))</f>
        <v>0</v>
      </c>
      <c r="G153">
        <f t="array" ref="G153">SUM(IF(搜索词报告!$H$2:$H$22222=A153,IF(搜索词报告!$A$2:$A$22222&gt;=关键词词频统计!$A$2,IF(搜索词报告!$A$2:$A$22222&lt;=关键词词频统计!$A$4,搜索词报告!$N$2:$N$22222,0),0),0))</f>
        <v>0</v>
      </c>
      <c r="H153">
        <f t="array" ref="H153">SUM(IF(搜索词报告!$H$2:$H$22222=A153,IF(搜索词报告!$A$2:$A$22222&gt;=关键词词频统计!$A$2,IF(搜索词报告!$A$2:$A$22222&lt;=关键词词频统计!$A$4,搜索词报告!$M$2:$M$22222,0),0),0))</f>
        <v>0</v>
      </c>
      <c r="I153" s="2" t="str">
        <f t="shared" si="18"/>
        <v/>
      </c>
      <c r="J153" t="str">
        <f t="shared" si="19"/>
        <v>点击次数少于10次没有参考性</v>
      </c>
      <c r="K153" s="4" t="str">
        <f>IFERROR(INDEX(搜索词报告!$D$2:$D$22222,MATCH(关键词词频统计!A153,搜索词报告!$H$2:$H$22222,0)),"")</f>
        <v/>
      </c>
      <c r="M153">
        <f t="array" ref="M153">SUM(IF(搜索词报告!$H$2:$H$22222=L153,IF(搜索词报告!$A$2:$A$22222&gt;=$L$2,IF(搜索词报告!$A$2:$A$22222&lt;=$L$4,搜索词报告!$I$2:$I$22222,0),0),0))</f>
        <v>0</v>
      </c>
      <c r="N153">
        <f t="array" ref="N153">SUM(IF(搜索词报告!$H$2:$H$22222=L153,IF(搜索词报告!$A$2:$A$22222&gt;=$L$2,IF(搜索词报告!$A$2:$A$22222&lt;=$L$4,搜索词报告!$J$2:$J$22222,0),0),0))</f>
        <v>0</v>
      </c>
      <c r="O153" s="2">
        <f t="shared" si="20"/>
        <v>0</v>
      </c>
      <c r="P153" s="2">
        <f t="shared" si="21"/>
        <v>0</v>
      </c>
      <c r="Q153">
        <f t="array" ref="Q153">SUM(IF(搜索词报告!$H$2:$H$22222=L153,IF(搜索词报告!$A$2:$A$22222&gt;=$L$2,IF(搜索词报告!$A$2:$A$22222&lt;=$L$4,搜索词报告!$Q$2:$Q$22222,0),0),0))</f>
        <v>0</v>
      </c>
      <c r="R153">
        <f t="array" ref="R153">SUM(IF(搜索词报告!$H$2:$H$22222=L153,IF(搜索词报告!$A$2:$A$22222&gt;=$L$2,IF(搜索词报告!$A$2:$A$22222&lt;=$L$4,搜索词报告!$N$2:$N$22222,0),0),0))</f>
        <v>0</v>
      </c>
      <c r="S153">
        <f t="array" ref="S153">SUM(IF(搜索词报告!$H$2:$H$22222=L153,IF(搜索词报告!$A$2:$A$22222&gt;=$L$2,IF(搜索词报告!$A$2:$A$22222&lt;=$L$4,搜索词报告!$M$2:$M$22222,0),0),0))</f>
        <v>0</v>
      </c>
      <c r="T153" s="2" t="str">
        <f t="shared" si="22"/>
        <v/>
      </c>
      <c r="U153" t="str">
        <f t="shared" si="23"/>
        <v>点击次数少于10次没有参考性</v>
      </c>
      <c r="V153" s="4" t="str">
        <f>IFERROR(INDEX(搜索词报告!$D$2:$D$22222,MATCH(关键词词频统计!L153,搜索词报告!$H$2:$H$22222,0)),"")</f>
        <v/>
      </c>
    </row>
    <row r="154" spans="2:22" x14ac:dyDescent="0.15">
      <c r="B154">
        <f t="array" ref="B154">SUM(IF(搜索词报告!$H$2:$H$22222=A154,IF(搜索词报告!$A$2:$A$22222&gt;=关键词词频统计!$A$2,IF(搜索词报告!$A$2:$A$22222&lt;=关键词词频统计!$A$4,搜索词报告!$I$2:$I$22222,0),0),0))</f>
        <v>0</v>
      </c>
      <c r="C154">
        <f t="array" ref="C154">SUM(IF(搜索词报告!$H$2:$H$22222=A154,IF(搜索词报告!$A$2:$A$22222&gt;=关键词词频统计!$A$2,IF(搜索词报告!$A$2:$A$22222&lt;=关键词词频统计!$A$4,搜索词报告!$J$2:$J$22222,0),0),0))</f>
        <v>0</v>
      </c>
      <c r="D154" s="2">
        <f t="shared" si="16"/>
        <v>0</v>
      </c>
      <c r="E154" s="2">
        <f t="shared" si="17"/>
        <v>0</v>
      </c>
      <c r="F154">
        <f t="array" ref="F154">SUM(IF(搜索词报告!$H$2:$H$22222=A154,IF(搜索词报告!$A$2:$A$22222&gt;=关键词词频统计!$A$2,IF(搜索词报告!$A$2:$A$22222&lt;=关键词词频统计!$A$4,搜索词报告!$Q$2:$Q$22222,0),0),0))</f>
        <v>0</v>
      </c>
      <c r="G154">
        <f t="array" ref="G154">SUM(IF(搜索词报告!$H$2:$H$22222=A154,IF(搜索词报告!$A$2:$A$22222&gt;=关键词词频统计!$A$2,IF(搜索词报告!$A$2:$A$22222&lt;=关键词词频统计!$A$4,搜索词报告!$N$2:$N$22222,0),0),0))</f>
        <v>0</v>
      </c>
      <c r="H154">
        <f t="array" ref="H154">SUM(IF(搜索词报告!$H$2:$H$22222=A154,IF(搜索词报告!$A$2:$A$22222&gt;=关键词词频统计!$A$2,IF(搜索词报告!$A$2:$A$22222&lt;=关键词词频统计!$A$4,搜索词报告!$M$2:$M$22222,0),0),0))</f>
        <v>0</v>
      </c>
      <c r="I154" s="2" t="str">
        <f t="shared" si="18"/>
        <v/>
      </c>
      <c r="J154" t="str">
        <f t="shared" si="19"/>
        <v>点击次数少于10次没有参考性</v>
      </c>
      <c r="K154" s="4" t="str">
        <f>IFERROR(INDEX(搜索词报告!$D$2:$D$22222,MATCH(关键词词频统计!A154,搜索词报告!$H$2:$H$22222,0)),"")</f>
        <v/>
      </c>
      <c r="M154">
        <f t="array" ref="M154">SUM(IF(搜索词报告!$H$2:$H$22222=L154,IF(搜索词报告!$A$2:$A$22222&gt;=$L$2,IF(搜索词报告!$A$2:$A$22222&lt;=$L$4,搜索词报告!$I$2:$I$22222,0),0),0))</f>
        <v>0</v>
      </c>
      <c r="N154">
        <f t="array" ref="N154">SUM(IF(搜索词报告!$H$2:$H$22222=L154,IF(搜索词报告!$A$2:$A$22222&gt;=$L$2,IF(搜索词报告!$A$2:$A$22222&lt;=$L$4,搜索词报告!$J$2:$J$22222,0),0),0))</f>
        <v>0</v>
      </c>
      <c r="O154" s="2">
        <f t="shared" si="20"/>
        <v>0</v>
      </c>
      <c r="P154" s="2">
        <f t="shared" si="21"/>
        <v>0</v>
      </c>
      <c r="Q154">
        <f t="array" ref="Q154">SUM(IF(搜索词报告!$H$2:$H$22222=L154,IF(搜索词报告!$A$2:$A$22222&gt;=$L$2,IF(搜索词报告!$A$2:$A$22222&lt;=$L$4,搜索词报告!$Q$2:$Q$22222,0),0),0))</f>
        <v>0</v>
      </c>
      <c r="R154">
        <f t="array" ref="R154">SUM(IF(搜索词报告!$H$2:$H$22222=L154,IF(搜索词报告!$A$2:$A$22222&gt;=$L$2,IF(搜索词报告!$A$2:$A$22222&lt;=$L$4,搜索词报告!$N$2:$N$22222,0),0),0))</f>
        <v>0</v>
      </c>
      <c r="S154">
        <f t="array" ref="S154">SUM(IF(搜索词报告!$H$2:$H$22222=L154,IF(搜索词报告!$A$2:$A$22222&gt;=$L$2,IF(搜索词报告!$A$2:$A$22222&lt;=$L$4,搜索词报告!$M$2:$M$22222,0),0),0))</f>
        <v>0</v>
      </c>
      <c r="T154" s="2" t="str">
        <f t="shared" si="22"/>
        <v/>
      </c>
      <c r="U154" t="str">
        <f t="shared" si="23"/>
        <v>点击次数少于10次没有参考性</v>
      </c>
      <c r="V154" s="4" t="str">
        <f>IFERROR(INDEX(搜索词报告!$D$2:$D$22222,MATCH(关键词词频统计!L154,搜索词报告!$H$2:$H$22222,0)),"")</f>
        <v/>
      </c>
    </row>
    <row r="155" spans="2:22" x14ac:dyDescent="0.15">
      <c r="B155">
        <f t="array" ref="B155">SUM(IF(搜索词报告!$H$2:$H$22222=A155,IF(搜索词报告!$A$2:$A$22222&gt;=关键词词频统计!$A$2,IF(搜索词报告!$A$2:$A$22222&lt;=关键词词频统计!$A$4,搜索词报告!$I$2:$I$22222,0),0),0))</f>
        <v>0</v>
      </c>
      <c r="C155">
        <f t="array" ref="C155">SUM(IF(搜索词报告!$H$2:$H$22222=A155,IF(搜索词报告!$A$2:$A$22222&gt;=关键词词频统计!$A$2,IF(搜索词报告!$A$2:$A$22222&lt;=关键词词频统计!$A$4,搜索词报告!$J$2:$J$22222,0),0),0))</f>
        <v>0</v>
      </c>
      <c r="D155" s="2">
        <f t="shared" si="16"/>
        <v>0</v>
      </c>
      <c r="E155" s="2">
        <f t="shared" si="17"/>
        <v>0</v>
      </c>
      <c r="F155">
        <f t="array" ref="F155">SUM(IF(搜索词报告!$H$2:$H$22222=A155,IF(搜索词报告!$A$2:$A$22222&gt;=关键词词频统计!$A$2,IF(搜索词报告!$A$2:$A$22222&lt;=关键词词频统计!$A$4,搜索词报告!$Q$2:$Q$22222,0),0),0))</f>
        <v>0</v>
      </c>
      <c r="G155">
        <f t="array" ref="G155">SUM(IF(搜索词报告!$H$2:$H$22222=A155,IF(搜索词报告!$A$2:$A$22222&gt;=关键词词频统计!$A$2,IF(搜索词报告!$A$2:$A$22222&lt;=关键词词频统计!$A$4,搜索词报告!$N$2:$N$22222,0),0),0))</f>
        <v>0</v>
      </c>
      <c r="H155">
        <f t="array" ref="H155">SUM(IF(搜索词报告!$H$2:$H$22222=A155,IF(搜索词报告!$A$2:$A$22222&gt;=关键词词频统计!$A$2,IF(搜索词报告!$A$2:$A$22222&lt;=关键词词频统计!$A$4,搜索词报告!$M$2:$M$22222,0),0),0))</f>
        <v>0</v>
      </c>
      <c r="I155" s="2" t="str">
        <f t="shared" si="18"/>
        <v/>
      </c>
      <c r="J155" t="str">
        <f t="shared" si="19"/>
        <v>点击次数少于10次没有参考性</v>
      </c>
      <c r="K155" s="4" t="str">
        <f>IFERROR(INDEX(搜索词报告!$D$2:$D$22222,MATCH(关键词词频统计!A155,搜索词报告!$H$2:$H$22222,0)),"")</f>
        <v/>
      </c>
      <c r="M155">
        <f t="array" ref="M155">SUM(IF(搜索词报告!$H$2:$H$22222=L155,IF(搜索词报告!$A$2:$A$22222&gt;=$L$2,IF(搜索词报告!$A$2:$A$22222&lt;=$L$4,搜索词报告!$I$2:$I$22222,0),0),0))</f>
        <v>0</v>
      </c>
      <c r="N155">
        <f t="array" ref="N155">SUM(IF(搜索词报告!$H$2:$H$22222=L155,IF(搜索词报告!$A$2:$A$22222&gt;=$L$2,IF(搜索词报告!$A$2:$A$22222&lt;=$L$4,搜索词报告!$J$2:$J$22222,0),0),0))</f>
        <v>0</v>
      </c>
      <c r="O155" s="2">
        <f t="shared" si="20"/>
        <v>0</v>
      </c>
      <c r="P155" s="2">
        <f t="shared" si="21"/>
        <v>0</v>
      </c>
      <c r="Q155">
        <f t="array" ref="Q155">SUM(IF(搜索词报告!$H$2:$H$22222=L155,IF(搜索词报告!$A$2:$A$22222&gt;=$L$2,IF(搜索词报告!$A$2:$A$22222&lt;=$L$4,搜索词报告!$Q$2:$Q$22222,0),0),0))</f>
        <v>0</v>
      </c>
      <c r="R155">
        <f t="array" ref="R155">SUM(IF(搜索词报告!$H$2:$H$22222=L155,IF(搜索词报告!$A$2:$A$22222&gt;=$L$2,IF(搜索词报告!$A$2:$A$22222&lt;=$L$4,搜索词报告!$N$2:$N$22222,0),0),0))</f>
        <v>0</v>
      </c>
      <c r="S155">
        <f t="array" ref="S155">SUM(IF(搜索词报告!$H$2:$H$22222=L155,IF(搜索词报告!$A$2:$A$22222&gt;=$L$2,IF(搜索词报告!$A$2:$A$22222&lt;=$L$4,搜索词报告!$M$2:$M$22222,0),0),0))</f>
        <v>0</v>
      </c>
      <c r="T155" s="2" t="str">
        <f t="shared" si="22"/>
        <v/>
      </c>
      <c r="U155" t="str">
        <f t="shared" si="23"/>
        <v>点击次数少于10次没有参考性</v>
      </c>
      <c r="V155" s="4" t="str">
        <f>IFERROR(INDEX(搜索词报告!$D$2:$D$22222,MATCH(关键词词频统计!L155,搜索词报告!$H$2:$H$22222,0)),"")</f>
        <v/>
      </c>
    </row>
    <row r="156" spans="2:22" x14ac:dyDescent="0.15">
      <c r="B156">
        <f t="array" ref="B156">SUM(IF(搜索词报告!$H$2:$H$22222=A156,IF(搜索词报告!$A$2:$A$22222&gt;=关键词词频统计!$A$2,IF(搜索词报告!$A$2:$A$22222&lt;=关键词词频统计!$A$4,搜索词报告!$I$2:$I$22222,0),0),0))</f>
        <v>0</v>
      </c>
      <c r="C156">
        <f t="array" ref="C156">SUM(IF(搜索词报告!$H$2:$H$22222=A156,IF(搜索词报告!$A$2:$A$22222&gt;=关键词词频统计!$A$2,IF(搜索词报告!$A$2:$A$22222&lt;=关键词词频统计!$A$4,搜索词报告!$J$2:$J$22222,0),0),0))</f>
        <v>0</v>
      </c>
      <c r="D156" s="2">
        <f t="shared" si="16"/>
        <v>0</v>
      </c>
      <c r="E156" s="2">
        <f t="shared" si="17"/>
        <v>0</v>
      </c>
      <c r="F156">
        <f t="array" ref="F156">SUM(IF(搜索词报告!$H$2:$H$22222=A156,IF(搜索词报告!$A$2:$A$22222&gt;=关键词词频统计!$A$2,IF(搜索词报告!$A$2:$A$22222&lt;=关键词词频统计!$A$4,搜索词报告!$Q$2:$Q$22222,0),0),0))</f>
        <v>0</v>
      </c>
      <c r="G156">
        <f t="array" ref="G156">SUM(IF(搜索词报告!$H$2:$H$22222=A156,IF(搜索词报告!$A$2:$A$22222&gt;=关键词词频统计!$A$2,IF(搜索词报告!$A$2:$A$22222&lt;=关键词词频统计!$A$4,搜索词报告!$N$2:$N$22222,0),0),0))</f>
        <v>0</v>
      </c>
      <c r="H156">
        <f t="array" ref="H156">SUM(IF(搜索词报告!$H$2:$H$22222=A156,IF(搜索词报告!$A$2:$A$22222&gt;=关键词词频统计!$A$2,IF(搜索词报告!$A$2:$A$22222&lt;=关键词词频统计!$A$4,搜索词报告!$M$2:$M$22222,0),0),0))</f>
        <v>0</v>
      </c>
      <c r="I156" s="2" t="str">
        <f t="shared" si="18"/>
        <v/>
      </c>
      <c r="J156" t="str">
        <f t="shared" si="19"/>
        <v>点击次数少于10次没有参考性</v>
      </c>
      <c r="K156" s="4" t="str">
        <f>IFERROR(INDEX(搜索词报告!$D$2:$D$22222,MATCH(关键词词频统计!A156,搜索词报告!$H$2:$H$22222,0)),"")</f>
        <v/>
      </c>
      <c r="M156">
        <f t="array" ref="M156">SUM(IF(搜索词报告!$H$2:$H$22222=L156,IF(搜索词报告!$A$2:$A$22222&gt;=$L$2,IF(搜索词报告!$A$2:$A$22222&lt;=$L$4,搜索词报告!$I$2:$I$22222,0),0),0))</f>
        <v>0</v>
      </c>
      <c r="N156">
        <f t="array" ref="N156">SUM(IF(搜索词报告!$H$2:$H$22222=L156,IF(搜索词报告!$A$2:$A$22222&gt;=$L$2,IF(搜索词报告!$A$2:$A$22222&lt;=$L$4,搜索词报告!$J$2:$J$22222,0),0),0))</f>
        <v>0</v>
      </c>
      <c r="O156" s="2">
        <f t="shared" si="20"/>
        <v>0</v>
      </c>
      <c r="P156" s="2">
        <f t="shared" si="21"/>
        <v>0</v>
      </c>
      <c r="Q156">
        <f t="array" ref="Q156">SUM(IF(搜索词报告!$H$2:$H$22222=L156,IF(搜索词报告!$A$2:$A$22222&gt;=$L$2,IF(搜索词报告!$A$2:$A$22222&lt;=$L$4,搜索词报告!$Q$2:$Q$22222,0),0),0))</f>
        <v>0</v>
      </c>
      <c r="R156">
        <f t="array" ref="R156">SUM(IF(搜索词报告!$H$2:$H$22222=L156,IF(搜索词报告!$A$2:$A$22222&gt;=$L$2,IF(搜索词报告!$A$2:$A$22222&lt;=$L$4,搜索词报告!$N$2:$N$22222,0),0),0))</f>
        <v>0</v>
      </c>
      <c r="S156">
        <f t="array" ref="S156">SUM(IF(搜索词报告!$H$2:$H$22222=L156,IF(搜索词报告!$A$2:$A$22222&gt;=$L$2,IF(搜索词报告!$A$2:$A$22222&lt;=$L$4,搜索词报告!$M$2:$M$22222,0),0),0))</f>
        <v>0</v>
      </c>
      <c r="T156" s="2" t="str">
        <f t="shared" si="22"/>
        <v/>
      </c>
      <c r="U156" t="str">
        <f t="shared" si="23"/>
        <v>点击次数少于10次没有参考性</v>
      </c>
      <c r="V156" s="4" t="str">
        <f>IFERROR(INDEX(搜索词报告!$D$2:$D$22222,MATCH(关键词词频统计!L156,搜索词报告!$H$2:$H$22222,0)),"")</f>
        <v/>
      </c>
    </row>
    <row r="157" spans="2:22" x14ac:dyDescent="0.15">
      <c r="B157">
        <f t="array" ref="B157">SUM(IF(搜索词报告!$H$2:$H$22222=A157,IF(搜索词报告!$A$2:$A$22222&gt;=关键词词频统计!$A$2,IF(搜索词报告!$A$2:$A$22222&lt;=关键词词频统计!$A$4,搜索词报告!$I$2:$I$22222,0),0),0))</f>
        <v>0</v>
      </c>
      <c r="C157">
        <f t="array" ref="C157">SUM(IF(搜索词报告!$H$2:$H$22222=A157,IF(搜索词报告!$A$2:$A$22222&gt;=关键词词频统计!$A$2,IF(搜索词报告!$A$2:$A$22222&lt;=关键词词频统计!$A$4,搜索词报告!$J$2:$J$22222,0),0),0))</f>
        <v>0</v>
      </c>
      <c r="D157" s="2">
        <f t="shared" si="16"/>
        <v>0</v>
      </c>
      <c r="E157" s="2">
        <f t="shared" si="17"/>
        <v>0</v>
      </c>
      <c r="F157">
        <f t="array" ref="F157">SUM(IF(搜索词报告!$H$2:$H$22222=A157,IF(搜索词报告!$A$2:$A$22222&gt;=关键词词频统计!$A$2,IF(搜索词报告!$A$2:$A$22222&lt;=关键词词频统计!$A$4,搜索词报告!$Q$2:$Q$22222,0),0),0))</f>
        <v>0</v>
      </c>
      <c r="G157">
        <f t="array" ref="G157">SUM(IF(搜索词报告!$H$2:$H$22222=A157,IF(搜索词报告!$A$2:$A$22222&gt;=关键词词频统计!$A$2,IF(搜索词报告!$A$2:$A$22222&lt;=关键词词频统计!$A$4,搜索词报告!$N$2:$N$22222,0),0),0))</f>
        <v>0</v>
      </c>
      <c r="H157">
        <f t="array" ref="H157">SUM(IF(搜索词报告!$H$2:$H$22222=A157,IF(搜索词报告!$A$2:$A$22222&gt;=关键词词频统计!$A$2,IF(搜索词报告!$A$2:$A$22222&lt;=关键词词频统计!$A$4,搜索词报告!$M$2:$M$22222,0),0),0))</f>
        <v>0</v>
      </c>
      <c r="I157" s="2" t="str">
        <f t="shared" si="18"/>
        <v/>
      </c>
      <c r="J157" t="str">
        <f t="shared" si="19"/>
        <v>点击次数少于10次没有参考性</v>
      </c>
      <c r="K157" s="4" t="str">
        <f>IFERROR(INDEX(搜索词报告!$D$2:$D$22222,MATCH(关键词词频统计!A157,搜索词报告!$H$2:$H$22222,0)),"")</f>
        <v/>
      </c>
      <c r="M157">
        <f t="array" ref="M157">SUM(IF(搜索词报告!$H$2:$H$22222=L157,IF(搜索词报告!$A$2:$A$22222&gt;=$L$2,IF(搜索词报告!$A$2:$A$22222&lt;=$L$4,搜索词报告!$I$2:$I$22222,0),0),0))</f>
        <v>0</v>
      </c>
      <c r="N157">
        <f t="array" ref="N157">SUM(IF(搜索词报告!$H$2:$H$22222=L157,IF(搜索词报告!$A$2:$A$22222&gt;=$L$2,IF(搜索词报告!$A$2:$A$22222&lt;=$L$4,搜索词报告!$J$2:$J$22222,0),0),0))</f>
        <v>0</v>
      </c>
      <c r="O157" s="2">
        <f t="shared" si="20"/>
        <v>0</v>
      </c>
      <c r="P157" s="2">
        <f t="shared" si="21"/>
        <v>0</v>
      </c>
      <c r="Q157">
        <f t="array" ref="Q157">SUM(IF(搜索词报告!$H$2:$H$22222=L157,IF(搜索词报告!$A$2:$A$22222&gt;=$L$2,IF(搜索词报告!$A$2:$A$22222&lt;=$L$4,搜索词报告!$Q$2:$Q$22222,0),0),0))</f>
        <v>0</v>
      </c>
      <c r="R157">
        <f t="array" ref="R157">SUM(IF(搜索词报告!$H$2:$H$22222=L157,IF(搜索词报告!$A$2:$A$22222&gt;=$L$2,IF(搜索词报告!$A$2:$A$22222&lt;=$L$4,搜索词报告!$N$2:$N$22222,0),0),0))</f>
        <v>0</v>
      </c>
      <c r="S157">
        <f t="array" ref="S157">SUM(IF(搜索词报告!$H$2:$H$22222=L157,IF(搜索词报告!$A$2:$A$22222&gt;=$L$2,IF(搜索词报告!$A$2:$A$22222&lt;=$L$4,搜索词报告!$M$2:$M$22222,0),0),0))</f>
        <v>0</v>
      </c>
      <c r="T157" s="2" t="str">
        <f t="shared" si="22"/>
        <v/>
      </c>
      <c r="U157" t="str">
        <f t="shared" si="23"/>
        <v>点击次数少于10次没有参考性</v>
      </c>
      <c r="V157" s="4" t="str">
        <f>IFERROR(INDEX(搜索词报告!$D$2:$D$22222,MATCH(关键词词频统计!L157,搜索词报告!$H$2:$H$22222,0)),"")</f>
        <v/>
      </c>
    </row>
    <row r="158" spans="2:22" x14ac:dyDescent="0.15">
      <c r="B158">
        <f t="array" ref="B158">SUM(IF(搜索词报告!$H$2:$H$22222=A158,IF(搜索词报告!$A$2:$A$22222&gt;=关键词词频统计!$A$2,IF(搜索词报告!$A$2:$A$22222&lt;=关键词词频统计!$A$4,搜索词报告!$I$2:$I$22222,0),0),0))</f>
        <v>0</v>
      </c>
      <c r="C158">
        <f t="array" ref="C158">SUM(IF(搜索词报告!$H$2:$H$22222=A158,IF(搜索词报告!$A$2:$A$22222&gt;=关键词词频统计!$A$2,IF(搜索词报告!$A$2:$A$22222&lt;=关键词词频统计!$A$4,搜索词报告!$J$2:$J$22222,0),0),0))</f>
        <v>0</v>
      </c>
      <c r="D158" s="2">
        <f t="shared" si="16"/>
        <v>0</v>
      </c>
      <c r="E158" s="2">
        <f t="shared" si="17"/>
        <v>0</v>
      </c>
      <c r="F158">
        <f t="array" ref="F158">SUM(IF(搜索词报告!$H$2:$H$22222=A158,IF(搜索词报告!$A$2:$A$22222&gt;=关键词词频统计!$A$2,IF(搜索词报告!$A$2:$A$22222&lt;=关键词词频统计!$A$4,搜索词报告!$Q$2:$Q$22222,0),0),0))</f>
        <v>0</v>
      </c>
      <c r="G158">
        <f t="array" ref="G158">SUM(IF(搜索词报告!$H$2:$H$22222=A158,IF(搜索词报告!$A$2:$A$22222&gt;=关键词词频统计!$A$2,IF(搜索词报告!$A$2:$A$22222&lt;=关键词词频统计!$A$4,搜索词报告!$N$2:$N$22222,0),0),0))</f>
        <v>0</v>
      </c>
      <c r="H158">
        <f t="array" ref="H158">SUM(IF(搜索词报告!$H$2:$H$22222=A158,IF(搜索词报告!$A$2:$A$22222&gt;=关键词词频统计!$A$2,IF(搜索词报告!$A$2:$A$22222&lt;=关键词词频统计!$A$4,搜索词报告!$M$2:$M$22222,0),0),0))</f>
        <v>0</v>
      </c>
      <c r="I158" s="2" t="str">
        <f t="shared" si="18"/>
        <v/>
      </c>
      <c r="J158" t="str">
        <f t="shared" si="19"/>
        <v>点击次数少于10次没有参考性</v>
      </c>
      <c r="K158" s="4" t="str">
        <f>IFERROR(INDEX(搜索词报告!$D$2:$D$22222,MATCH(关键词词频统计!A158,搜索词报告!$H$2:$H$22222,0)),"")</f>
        <v/>
      </c>
      <c r="M158">
        <f t="array" ref="M158">SUM(IF(搜索词报告!$H$2:$H$22222=L158,IF(搜索词报告!$A$2:$A$22222&gt;=$L$2,IF(搜索词报告!$A$2:$A$22222&lt;=$L$4,搜索词报告!$I$2:$I$22222,0),0),0))</f>
        <v>0</v>
      </c>
      <c r="N158">
        <f t="array" ref="N158">SUM(IF(搜索词报告!$H$2:$H$22222=L158,IF(搜索词报告!$A$2:$A$22222&gt;=$L$2,IF(搜索词报告!$A$2:$A$22222&lt;=$L$4,搜索词报告!$J$2:$J$22222,0),0),0))</f>
        <v>0</v>
      </c>
      <c r="O158" s="2">
        <f t="shared" si="20"/>
        <v>0</v>
      </c>
      <c r="P158" s="2">
        <f t="shared" si="21"/>
        <v>0</v>
      </c>
      <c r="Q158">
        <f t="array" ref="Q158">SUM(IF(搜索词报告!$H$2:$H$22222=L158,IF(搜索词报告!$A$2:$A$22222&gt;=$L$2,IF(搜索词报告!$A$2:$A$22222&lt;=$L$4,搜索词报告!$Q$2:$Q$22222,0),0),0))</f>
        <v>0</v>
      </c>
      <c r="R158">
        <f t="array" ref="R158">SUM(IF(搜索词报告!$H$2:$H$22222=L158,IF(搜索词报告!$A$2:$A$22222&gt;=$L$2,IF(搜索词报告!$A$2:$A$22222&lt;=$L$4,搜索词报告!$N$2:$N$22222,0),0),0))</f>
        <v>0</v>
      </c>
      <c r="S158">
        <f t="array" ref="S158">SUM(IF(搜索词报告!$H$2:$H$22222=L158,IF(搜索词报告!$A$2:$A$22222&gt;=$L$2,IF(搜索词报告!$A$2:$A$22222&lt;=$L$4,搜索词报告!$M$2:$M$22222,0),0),0))</f>
        <v>0</v>
      </c>
      <c r="T158" s="2" t="str">
        <f t="shared" si="22"/>
        <v/>
      </c>
      <c r="U158" t="str">
        <f t="shared" si="23"/>
        <v>点击次数少于10次没有参考性</v>
      </c>
      <c r="V158" s="4" t="str">
        <f>IFERROR(INDEX(搜索词报告!$D$2:$D$22222,MATCH(关键词词频统计!L158,搜索词报告!$H$2:$H$22222,0)),"")</f>
        <v/>
      </c>
    </row>
    <row r="159" spans="2:22" x14ac:dyDescent="0.15">
      <c r="B159">
        <f t="array" ref="B159">SUM(IF(搜索词报告!$H$2:$H$22222=A159,IF(搜索词报告!$A$2:$A$22222&gt;=关键词词频统计!$A$2,IF(搜索词报告!$A$2:$A$22222&lt;=关键词词频统计!$A$4,搜索词报告!$I$2:$I$22222,0),0),0))</f>
        <v>0</v>
      </c>
      <c r="C159">
        <f t="array" ref="C159">SUM(IF(搜索词报告!$H$2:$H$22222=A159,IF(搜索词报告!$A$2:$A$22222&gt;=关键词词频统计!$A$2,IF(搜索词报告!$A$2:$A$22222&lt;=关键词词频统计!$A$4,搜索词报告!$J$2:$J$22222,0),0),0))</f>
        <v>0</v>
      </c>
      <c r="D159" s="2">
        <f t="shared" si="16"/>
        <v>0</v>
      </c>
      <c r="E159" s="2">
        <f t="shared" si="17"/>
        <v>0</v>
      </c>
      <c r="F159">
        <f t="array" ref="F159">SUM(IF(搜索词报告!$H$2:$H$22222=A159,IF(搜索词报告!$A$2:$A$22222&gt;=关键词词频统计!$A$2,IF(搜索词报告!$A$2:$A$22222&lt;=关键词词频统计!$A$4,搜索词报告!$Q$2:$Q$22222,0),0),0))</f>
        <v>0</v>
      </c>
      <c r="G159">
        <f t="array" ref="G159">SUM(IF(搜索词报告!$H$2:$H$22222=A159,IF(搜索词报告!$A$2:$A$22222&gt;=关键词词频统计!$A$2,IF(搜索词报告!$A$2:$A$22222&lt;=关键词词频统计!$A$4,搜索词报告!$N$2:$N$22222,0),0),0))</f>
        <v>0</v>
      </c>
      <c r="H159">
        <f t="array" ref="H159">SUM(IF(搜索词报告!$H$2:$H$22222=A159,IF(搜索词报告!$A$2:$A$22222&gt;=关键词词频统计!$A$2,IF(搜索词报告!$A$2:$A$22222&lt;=关键词词频统计!$A$4,搜索词报告!$M$2:$M$22222,0),0),0))</f>
        <v>0</v>
      </c>
      <c r="I159" s="2" t="str">
        <f t="shared" si="18"/>
        <v/>
      </c>
      <c r="J159" t="str">
        <f t="shared" si="19"/>
        <v>点击次数少于10次没有参考性</v>
      </c>
      <c r="K159" s="4" t="str">
        <f>IFERROR(INDEX(搜索词报告!$D$2:$D$22222,MATCH(关键词词频统计!A159,搜索词报告!$H$2:$H$22222,0)),"")</f>
        <v/>
      </c>
      <c r="M159">
        <f t="array" ref="M159">SUM(IF(搜索词报告!$H$2:$H$22222=L159,IF(搜索词报告!$A$2:$A$22222&gt;=$L$2,IF(搜索词报告!$A$2:$A$22222&lt;=$L$4,搜索词报告!$I$2:$I$22222,0),0),0))</f>
        <v>0</v>
      </c>
      <c r="N159">
        <f t="array" ref="N159">SUM(IF(搜索词报告!$H$2:$H$22222=L159,IF(搜索词报告!$A$2:$A$22222&gt;=$L$2,IF(搜索词报告!$A$2:$A$22222&lt;=$L$4,搜索词报告!$J$2:$J$22222,0),0),0))</f>
        <v>0</v>
      </c>
      <c r="O159" s="2">
        <f t="shared" si="20"/>
        <v>0</v>
      </c>
      <c r="P159" s="2">
        <f t="shared" si="21"/>
        <v>0</v>
      </c>
      <c r="Q159">
        <f t="array" ref="Q159">SUM(IF(搜索词报告!$H$2:$H$22222=L159,IF(搜索词报告!$A$2:$A$22222&gt;=$L$2,IF(搜索词报告!$A$2:$A$22222&lt;=$L$4,搜索词报告!$Q$2:$Q$22222,0),0),0))</f>
        <v>0</v>
      </c>
      <c r="R159">
        <f t="array" ref="R159">SUM(IF(搜索词报告!$H$2:$H$22222=L159,IF(搜索词报告!$A$2:$A$22222&gt;=$L$2,IF(搜索词报告!$A$2:$A$22222&lt;=$L$4,搜索词报告!$N$2:$N$22222,0),0),0))</f>
        <v>0</v>
      </c>
      <c r="S159">
        <f t="array" ref="S159">SUM(IF(搜索词报告!$H$2:$H$22222=L159,IF(搜索词报告!$A$2:$A$22222&gt;=$L$2,IF(搜索词报告!$A$2:$A$22222&lt;=$L$4,搜索词报告!$M$2:$M$22222,0),0),0))</f>
        <v>0</v>
      </c>
      <c r="T159" s="2" t="str">
        <f t="shared" si="22"/>
        <v/>
      </c>
      <c r="U159" t="str">
        <f t="shared" si="23"/>
        <v>点击次数少于10次没有参考性</v>
      </c>
      <c r="V159" s="4" t="str">
        <f>IFERROR(INDEX(搜索词报告!$D$2:$D$22222,MATCH(关键词词频统计!L159,搜索词报告!$H$2:$H$22222,0)),"")</f>
        <v/>
      </c>
    </row>
    <row r="160" spans="2:22" x14ac:dyDescent="0.15">
      <c r="B160">
        <f t="array" ref="B160">SUM(IF(搜索词报告!$H$2:$H$22222=A160,IF(搜索词报告!$A$2:$A$22222&gt;=关键词词频统计!$A$2,IF(搜索词报告!$A$2:$A$22222&lt;=关键词词频统计!$A$4,搜索词报告!$I$2:$I$22222,0),0),0))</f>
        <v>0</v>
      </c>
      <c r="C160">
        <f t="array" ref="C160">SUM(IF(搜索词报告!$H$2:$H$22222=A160,IF(搜索词报告!$A$2:$A$22222&gt;=关键词词频统计!$A$2,IF(搜索词报告!$A$2:$A$22222&lt;=关键词词频统计!$A$4,搜索词报告!$J$2:$J$22222,0),0),0))</f>
        <v>0</v>
      </c>
      <c r="D160" s="2">
        <f t="shared" si="16"/>
        <v>0</v>
      </c>
      <c r="E160" s="2">
        <f t="shared" si="17"/>
        <v>0</v>
      </c>
      <c r="F160">
        <f t="array" ref="F160">SUM(IF(搜索词报告!$H$2:$H$22222=A160,IF(搜索词报告!$A$2:$A$22222&gt;=关键词词频统计!$A$2,IF(搜索词报告!$A$2:$A$22222&lt;=关键词词频统计!$A$4,搜索词报告!$Q$2:$Q$22222,0),0),0))</f>
        <v>0</v>
      </c>
      <c r="G160">
        <f t="array" ref="G160">SUM(IF(搜索词报告!$H$2:$H$22222=A160,IF(搜索词报告!$A$2:$A$22222&gt;=关键词词频统计!$A$2,IF(搜索词报告!$A$2:$A$22222&lt;=关键词词频统计!$A$4,搜索词报告!$N$2:$N$22222,0),0),0))</f>
        <v>0</v>
      </c>
      <c r="H160">
        <f t="array" ref="H160">SUM(IF(搜索词报告!$H$2:$H$22222=A160,IF(搜索词报告!$A$2:$A$22222&gt;=关键词词频统计!$A$2,IF(搜索词报告!$A$2:$A$22222&lt;=关键词词频统计!$A$4,搜索词报告!$M$2:$M$22222,0),0),0))</f>
        <v>0</v>
      </c>
      <c r="I160" s="2" t="str">
        <f t="shared" si="18"/>
        <v/>
      </c>
      <c r="J160" t="str">
        <f t="shared" si="19"/>
        <v>点击次数少于10次没有参考性</v>
      </c>
      <c r="K160" s="4" t="str">
        <f>IFERROR(INDEX(搜索词报告!$D$2:$D$22222,MATCH(关键词词频统计!A160,搜索词报告!$H$2:$H$22222,0)),"")</f>
        <v/>
      </c>
      <c r="M160">
        <f t="array" ref="M160">SUM(IF(搜索词报告!$H$2:$H$22222=L160,IF(搜索词报告!$A$2:$A$22222&gt;=$L$2,IF(搜索词报告!$A$2:$A$22222&lt;=$L$4,搜索词报告!$I$2:$I$22222,0),0),0))</f>
        <v>0</v>
      </c>
      <c r="N160">
        <f t="array" ref="N160">SUM(IF(搜索词报告!$H$2:$H$22222=L160,IF(搜索词报告!$A$2:$A$22222&gt;=$L$2,IF(搜索词报告!$A$2:$A$22222&lt;=$L$4,搜索词报告!$J$2:$J$22222,0),0),0))</f>
        <v>0</v>
      </c>
      <c r="O160" s="2">
        <f t="shared" si="20"/>
        <v>0</v>
      </c>
      <c r="P160" s="2">
        <f t="shared" si="21"/>
        <v>0</v>
      </c>
      <c r="Q160">
        <f t="array" ref="Q160">SUM(IF(搜索词报告!$H$2:$H$22222=L160,IF(搜索词报告!$A$2:$A$22222&gt;=$L$2,IF(搜索词报告!$A$2:$A$22222&lt;=$L$4,搜索词报告!$Q$2:$Q$22222,0),0),0))</f>
        <v>0</v>
      </c>
      <c r="R160">
        <f t="array" ref="R160">SUM(IF(搜索词报告!$H$2:$H$22222=L160,IF(搜索词报告!$A$2:$A$22222&gt;=$L$2,IF(搜索词报告!$A$2:$A$22222&lt;=$L$4,搜索词报告!$N$2:$N$22222,0),0),0))</f>
        <v>0</v>
      </c>
      <c r="S160">
        <f t="array" ref="S160">SUM(IF(搜索词报告!$H$2:$H$22222=L160,IF(搜索词报告!$A$2:$A$22222&gt;=$L$2,IF(搜索词报告!$A$2:$A$22222&lt;=$L$4,搜索词报告!$M$2:$M$22222,0),0),0))</f>
        <v>0</v>
      </c>
      <c r="T160" s="2" t="str">
        <f t="shared" si="22"/>
        <v/>
      </c>
      <c r="U160" t="str">
        <f t="shared" si="23"/>
        <v>点击次数少于10次没有参考性</v>
      </c>
      <c r="V160" s="4" t="str">
        <f>IFERROR(INDEX(搜索词报告!$D$2:$D$22222,MATCH(关键词词频统计!L160,搜索词报告!$H$2:$H$22222,0)),"")</f>
        <v/>
      </c>
    </row>
    <row r="161" spans="2:22" x14ac:dyDescent="0.15">
      <c r="B161">
        <f t="array" ref="B161">SUM(IF(搜索词报告!$H$2:$H$22222=A161,IF(搜索词报告!$A$2:$A$22222&gt;=关键词词频统计!$A$2,IF(搜索词报告!$A$2:$A$22222&lt;=关键词词频统计!$A$4,搜索词报告!$I$2:$I$22222,0),0),0))</f>
        <v>0</v>
      </c>
      <c r="C161">
        <f t="array" ref="C161">SUM(IF(搜索词报告!$H$2:$H$22222=A161,IF(搜索词报告!$A$2:$A$22222&gt;=关键词词频统计!$A$2,IF(搜索词报告!$A$2:$A$22222&lt;=关键词词频统计!$A$4,搜索词报告!$J$2:$J$22222,0),0),0))</f>
        <v>0</v>
      </c>
      <c r="D161" s="2">
        <f t="shared" si="16"/>
        <v>0</v>
      </c>
      <c r="E161" s="2">
        <f t="shared" si="17"/>
        <v>0</v>
      </c>
      <c r="F161">
        <f t="array" ref="F161">SUM(IF(搜索词报告!$H$2:$H$22222=A161,IF(搜索词报告!$A$2:$A$22222&gt;=关键词词频统计!$A$2,IF(搜索词报告!$A$2:$A$22222&lt;=关键词词频统计!$A$4,搜索词报告!$Q$2:$Q$22222,0),0),0))</f>
        <v>0</v>
      </c>
      <c r="G161">
        <f t="array" ref="G161">SUM(IF(搜索词报告!$H$2:$H$22222=A161,IF(搜索词报告!$A$2:$A$22222&gt;=关键词词频统计!$A$2,IF(搜索词报告!$A$2:$A$22222&lt;=关键词词频统计!$A$4,搜索词报告!$N$2:$N$22222,0),0),0))</f>
        <v>0</v>
      </c>
      <c r="H161">
        <f t="array" ref="H161">SUM(IF(搜索词报告!$H$2:$H$22222=A161,IF(搜索词报告!$A$2:$A$22222&gt;=关键词词频统计!$A$2,IF(搜索词报告!$A$2:$A$22222&lt;=关键词词频统计!$A$4,搜索词报告!$M$2:$M$22222,0),0),0))</f>
        <v>0</v>
      </c>
      <c r="I161" s="2" t="str">
        <f t="shared" si="18"/>
        <v/>
      </c>
      <c r="J161" t="str">
        <f t="shared" si="19"/>
        <v>点击次数少于10次没有参考性</v>
      </c>
      <c r="K161" s="4" t="str">
        <f>IFERROR(INDEX(搜索词报告!$D$2:$D$22222,MATCH(关键词词频统计!A161,搜索词报告!$H$2:$H$22222,0)),"")</f>
        <v/>
      </c>
      <c r="M161">
        <f t="array" ref="M161">SUM(IF(搜索词报告!$H$2:$H$22222=L161,IF(搜索词报告!$A$2:$A$22222&gt;=$L$2,IF(搜索词报告!$A$2:$A$22222&lt;=$L$4,搜索词报告!$I$2:$I$22222,0),0),0))</f>
        <v>0</v>
      </c>
      <c r="N161">
        <f t="array" ref="N161">SUM(IF(搜索词报告!$H$2:$H$22222=L161,IF(搜索词报告!$A$2:$A$22222&gt;=$L$2,IF(搜索词报告!$A$2:$A$22222&lt;=$L$4,搜索词报告!$J$2:$J$22222,0),0),0))</f>
        <v>0</v>
      </c>
      <c r="O161" s="2">
        <f t="shared" si="20"/>
        <v>0</v>
      </c>
      <c r="P161" s="2">
        <f t="shared" si="21"/>
        <v>0</v>
      </c>
      <c r="Q161">
        <f t="array" ref="Q161">SUM(IF(搜索词报告!$H$2:$H$22222=L161,IF(搜索词报告!$A$2:$A$22222&gt;=$L$2,IF(搜索词报告!$A$2:$A$22222&lt;=$L$4,搜索词报告!$Q$2:$Q$22222,0),0),0))</f>
        <v>0</v>
      </c>
      <c r="R161">
        <f t="array" ref="R161">SUM(IF(搜索词报告!$H$2:$H$22222=L161,IF(搜索词报告!$A$2:$A$22222&gt;=$L$2,IF(搜索词报告!$A$2:$A$22222&lt;=$L$4,搜索词报告!$N$2:$N$22222,0),0),0))</f>
        <v>0</v>
      </c>
      <c r="S161">
        <f t="array" ref="S161">SUM(IF(搜索词报告!$H$2:$H$22222=L161,IF(搜索词报告!$A$2:$A$22222&gt;=$L$2,IF(搜索词报告!$A$2:$A$22222&lt;=$L$4,搜索词报告!$M$2:$M$22222,0),0),0))</f>
        <v>0</v>
      </c>
      <c r="T161" s="2" t="str">
        <f t="shared" si="22"/>
        <v/>
      </c>
      <c r="U161" t="str">
        <f t="shared" si="23"/>
        <v>点击次数少于10次没有参考性</v>
      </c>
      <c r="V161" s="4" t="str">
        <f>IFERROR(INDEX(搜索词报告!$D$2:$D$22222,MATCH(关键词词频统计!L161,搜索词报告!$H$2:$H$22222,0)),"")</f>
        <v/>
      </c>
    </row>
    <row r="162" spans="2:22" x14ac:dyDescent="0.15">
      <c r="B162">
        <f t="array" ref="B162">SUM(IF(搜索词报告!$H$2:$H$22222=A162,IF(搜索词报告!$A$2:$A$22222&gt;=关键词词频统计!$A$2,IF(搜索词报告!$A$2:$A$22222&lt;=关键词词频统计!$A$4,搜索词报告!$I$2:$I$22222,0),0),0))</f>
        <v>0</v>
      </c>
      <c r="C162">
        <f t="array" ref="C162">SUM(IF(搜索词报告!$H$2:$H$22222=A162,IF(搜索词报告!$A$2:$A$22222&gt;=关键词词频统计!$A$2,IF(搜索词报告!$A$2:$A$22222&lt;=关键词词频统计!$A$4,搜索词报告!$J$2:$J$22222,0),0),0))</f>
        <v>0</v>
      </c>
      <c r="D162" s="2">
        <f t="shared" si="16"/>
        <v>0</v>
      </c>
      <c r="E162" s="2">
        <f t="shared" si="17"/>
        <v>0</v>
      </c>
      <c r="F162">
        <f t="array" ref="F162">SUM(IF(搜索词报告!$H$2:$H$22222=A162,IF(搜索词报告!$A$2:$A$22222&gt;=关键词词频统计!$A$2,IF(搜索词报告!$A$2:$A$22222&lt;=关键词词频统计!$A$4,搜索词报告!$Q$2:$Q$22222,0),0),0))</f>
        <v>0</v>
      </c>
      <c r="G162">
        <f t="array" ref="G162">SUM(IF(搜索词报告!$H$2:$H$22222=A162,IF(搜索词报告!$A$2:$A$22222&gt;=关键词词频统计!$A$2,IF(搜索词报告!$A$2:$A$22222&lt;=关键词词频统计!$A$4,搜索词报告!$N$2:$N$22222,0),0),0))</f>
        <v>0</v>
      </c>
      <c r="H162">
        <f t="array" ref="H162">SUM(IF(搜索词报告!$H$2:$H$22222=A162,IF(搜索词报告!$A$2:$A$22222&gt;=关键词词频统计!$A$2,IF(搜索词报告!$A$2:$A$22222&lt;=关键词词频统计!$A$4,搜索词报告!$M$2:$M$22222,0),0),0))</f>
        <v>0</v>
      </c>
      <c r="I162" s="2" t="str">
        <f t="shared" si="18"/>
        <v/>
      </c>
      <c r="J162" t="str">
        <f t="shared" si="19"/>
        <v>点击次数少于10次没有参考性</v>
      </c>
      <c r="K162" s="4" t="str">
        <f>IFERROR(INDEX(搜索词报告!$D$2:$D$22222,MATCH(关键词词频统计!A162,搜索词报告!$H$2:$H$22222,0)),"")</f>
        <v/>
      </c>
      <c r="M162">
        <f t="array" ref="M162">SUM(IF(搜索词报告!$H$2:$H$22222=L162,IF(搜索词报告!$A$2:$A$22222&gt;=$L$2,IF(搜索词报告!$A$2:$A$22222&lt;=$L$4,搜索词报告!$I$2:$I$22222,0),0),0))</f>
        <v>0</v>
      </c>
      <c r="N162">
        <f t="array" ref="N162">SUM(IF(搜索词报告!$H$2:$H$22222=L162,IF(搜索词报告!$A$2:$A$22222&gt;=$L$2,IF(搜索词报告!$A$2:$A$22222&lt;=$L$4,搜索词报告!$J$2:$J$22222,0),0),0))</f>
        <v>0</v>
      </c>
      <c r="O162" s="2">
        <f t="shared" si="20"/>
        <v>0</v>
      </c>
      <c r="P162" s="2">
        <f t="shared" si="21"/>
        <v>0</v>
      </c>
      <c r="Q162">
        <f t="array" ref="Q162">SUM(IF(搜索词报告!$H$2:$H$22222=L162,IF(搜索词报告!$A$2:$A$22222&gt;=$L$2,IF(搜索词报告!$A$2:$A$22222&lt;=$L$4,搜索词报告!$Q$2:$Q$22222,0),0),0))</f>
        <v>0</v>
      </c>
      <c r="R162">
        <f t="array" ref="R162">SUM(IF(搜索词报告!$H$2:$H$22222=L162,IF(搜索词报告!$A$2:$A$22222&gt;=$L$2,IF(搜索词报告!$A$2:$A$22222&lt;=$L$4,搜索词报告!$N$2:$N$22222,0),0),0))</f>
        <v>0</v>
      </c>
      <c r="S162">
        <f t="array" ref="S162">SUM(IF(搜索词报告!$H$2:$H$22222=L162,IF(搜索词报告!$A$2:$A$22222&gt;=$L$2,IF(搜索词报告!$A$2:$A$22222&lt;=$L$4,搜索词报告!$M$2:$M$22222,0),0),0))</f>
        <v>0</v>
      </c>
      <c r="T162" s="2" t="str">
        <f t="shared" si="22"/>
        <v/>
      </c>
      <c r="U162" t="str">
        <f t="shared" si="23"/>
        <v>点击次数少于10次没有参考性</v>
      </c>
      <c r="V162" s="4" t="str">
        <f>IFERROR(INDEX(搜索词报告!$D$2:$D$22222,MATCH(关键词词频统计!L162,搜索词报告!$H$2:$H$22222,0)),"")</f>
        <v/>
      </c>
    </row>
    <row r="163" spans="2:22" x14ac:dyDescent="0.15">
      <c r="B163">
        <f t="array" ref="B163">SUM(IF(搜索词报告!$H$2:$H$22222=A163,IF(搜索词报告!$A$2:$A$22222&gt;=关键词词频统计!$A$2,IF(搜索词报告!$A$2:$A$22222&lt;=关键词词频统计!$A$4,搜索词报告!$I$2:$I$22222,0),0),0))</f>
        <v>0</v>
      </c>
      <c r="C163">
        <f t="array" ref="C163">SUM(IF(搜索词报告!$H$2:$H$22222=A163,IF(搜索词报告!$A$2:$A$22222&gt;=关键词词频统计!$A$2,IF(搜索词报告!$A$2:$A$22222&lt;=关键词词频统计!$A$4,搜索词报告!$J$2:$J$22222,0),0),0))</f>
        <v>0</v>
      </c>
      <c r="D163" s="2">
        <f t="shared" si="16"/>
        <v>0</v>
      </c>
      <c r="E163" s="2">
        <f t="shared" si="17"/>
        <v>0</v>
      </c>
      <c r="F163">
        <f t="array" ref="F163">SUM(IF(搜索词报告!$H$2:$H$22222=A163,IF(搜索词报告!$A$2:$A$22222&gt;=关键词词频统计!$A$2,IF(搜索词报告!$A$2:$A$22222&lt;=关键词词频统计!$A$4,搜索词报告!$Q$2:$Q$22222,0),0),0))</f>
        <v>0</v>
      </c>
      <c r="G163">
        <f t="array" ref="G163">SUM(IF(搜索词报告!$H$2:$H$22222=A163,IF(搜索词报告!$A$2:$A$22222&gt;=关键词词频统计!$A$2,IF(搜索词报告!$A$2:$A$22222&lt;=关键词词频统计!$A$4,搜索词报告!$N$2:$N$22222,0),0),0))</f>
        <v>0</v>
      </c>
      <c r="H163">
        <f t="array" ref="H163">SUM(IF(搜索词报告!$H$2:$H$22222=A163,IF(搜索词报告!$A$2:$A$22222&gt;=关键词词频统计!$A$2,IF(搜索词报告!$A$2:$A$22222&lt;=关键词词频统计!$A$4,搜索词报告!$M$2:$M$22222,0),0),0))</f>
        <v>0</v>
      </c>
      <c r="I163" s="2" t="str">
        <f t="shared" si="18"/>
        <v/>
      </c>
      <c r="J163" t="str">
        <f t="shared" si="19"/>
        <v>点击次数少于10次没有参考性</v>
      </c>
      <c r="K163" s="4" t="str">
        <f>IFERROR(INDEX(搜索词报告!$D$2:$D$22222,MATCH(关键词词频统计!A163,搜索词报告!$H$2:$H$22222,0)),"")</f>
        <v/>
      </c>
      <c r="M163">
        <f t="array" ref="M163">SUM(IF(搜索词报告!$H$2:$H$22222=L163,IF(搜索词报告!$A$2:$A$22222&gt;=$L$2,IF(搜索词报告!$A$2:$A$22222&lt;=$L$4,搜索词报告!$I$2:$I$22222,0),0),0))</f>
        <v>0</v>
      </c>
      <c r="N163">
        <f t="array" ref="N163">SUM(IF(搜索词报告!$H$2:$H$22222=L163,IF(搜索词报告!$A$2:$A$22222&gt;=$L$2,IF(搜索词报告!$A$2:$A$22222&lt;=$L$4,搜索词报告!$J$2:$J$22222,0),0),0))</f>
        <v>0</v>
      </c>
      <c r="O163" s="2">
        <f t="shared" si="20"/>
        <v>0</v>
      </c>
      <c r="P163" s="2">
        <f t="shared" si="21"/>
        <v>0</v>
      </c>
      <c r="Q163">
        <f t="array" ref="Q163">SUM(IF(搜索词报告!$H$2:$H$22222=L163,IF(搜索词报告!$A$2:$A$22222&gt;=$L$2,IF(搜索词报告!$A$2:$A$22222&lt;=$L$4,搜索词报告!$Q$2:$Q$22222,0),0),0))</f>
        <v>0</v>
      </c>
      <c r="R163">
        <f t="array" ref="R163">SUM(IF(搜索词报告!$H$2:$H$22222=L163,IF(搜索词报告!$A$2:$A$22222&gt;=$L$2,IF(搜索词报告!$A$2:$A$22222&lt;=$L$4,搜索词报告!$N$2:$N$22222,0),0),0))</f>
        <v>0</v>
      </c>
      <c r="S163">
        <f t="array" ref="S163">SUM(IF(搜索词报告!$H$2:$H$22222=L163,IF(搜索词报告!$A$2:$A$22222&gt;=$L$2,IF(搜索词报告!$A$2:$A$22222&lt;=$L$4,搜索词报告!$M$2:$M$22222,0),0),0))</f>
        <v>0</v>
      </c>
      <c r="T163" s="2" t="str">
        <f t="shared" si="22"/>
        <v/>
      </c>
      <c r="U163" t="str">
        <f t="shared" si="23"/>
        <v>点击次数少于10次没有参考性</v>
      </c>
      <c r="V163" s="4" t="str">
        <f>IFERROR(INDEX(搜索词报告!$D$2:$D$22222,MATCH(关键词词频统计!L163,搜索词报告!$H$2:$H$22222,0)),"")</f>
        <v/>
      </c>
    </row>
    <row r="164" spans="2:22" x14ac:dyDescent="0.15">
      <c r="B164">
        <f t="array" ref="B164">SUM(IF(搜索词报告!$H$2:$H$22222=A164,IF(搜索词报告!$A$2:$A$22222&gt;=关键词词频统计!$A$2,IF(搜索词报告!$A$2:$A$22222&lt;=关键词词频统计!$A$4,搜索词报告!$I$2:$I$22222,0),0),0))</f>
        <v>0</v>
      </c>
      <c r="C164">
        <f t="array" ref="C164">SUM(IF(搜索词报告!$H$2:$H$22222=A164,IF(搜索词报告!$A$2:$A$22222&gt;=关键词词频统计!$A$2,IF(搜索词报告!$A$2:$A$22222&lt;=关键词词频统计!$A$4,搜索词报告!$J$2:$J$22222,0),0),0))</f>
        <v>0</v>
      </c>
      <c r="D164" s="2">
        <f t="shared" si="16"/>
        <v>0</v>
      </c>
      <c r="E164" s="2">
        <f t="shared" si="17"/>
        <v>0</v>
      </c>
      <c r="F164">
        <f t="array" ref="F164">SUM(IF(搜索词报告!$H$2:$H$22222=A164,IF(搜索词报告!$A$2:$A$22222&gt;=关键词词频统计!$A$2,IF(搜索词报告!$A$2:$A$22222&lt;=关键词词频统计!$A$4,搜索词报告!$Q$2:$Q$22222,0),0),0))</f>
        <v>0</v>
      </c>
      <c r="G164">
        <f t="array" ref="G164">SUM(IF(搜索词报告!$H$2:$H$22222=A164,IF(搜索词报告!$A$2:$A$22222&gt;=关键词词频统计!$A$2,IF(搜索词报告!$A$2:$A$22222&lt;=关键词词频统计!$A$4,搜索词报告!$N$2:$N$22222,0),0),0))</f>
        <v>0</v>
      </c>
      <c r="H164">
        <f t="array" ref="H164">SUM(IF(搜索词报告!$H$2:$H$22222=A164,IF(搜索词报告!$A$2:$A$22222&gt;=关键词词频统计!$A$2,IF(搜索词报告!$A$2:$A$22222&lt;=关键词词频统计!$A$4,搜索词报告!$M$2:$M$22222,0),0),0))</f>
        <v>0</v>
      </c>
      <c r="I164" s="2" t="str">
        <f t="shared" si="18"/>
        <v/>
      </c>
      <c r="J164" t="str">
        <f t="shared" si="19"/>
        <v>点击次数少于10次没有参考性</v>
      </c>
      <c r="K164" s="4" t="str">
        <f>IFERROR(INDEX(搜索词报告!$D$2:$D$22222,MATCH(关键词词频统计!A164,搜索词报告!$H$2:$H$22222,0)),"")</f>
        <v/>
      </c>
      <c r="M164">
        <f t="array" ref="M164">SUM(IF(搜索词报告!$H$2:$H$22222=L164,IF(搜索词报告!$A$2:$A$22222&gt;=$L$2,IF(搜索词报告!$A$2:$A$22222&lt;=$L$4,搜索词报告!$I$2:$I$22222,0),0),0))</f>
        <v>0</v>
      </c>
      <c r="N164">
        <f t="array" ref="N164">SUM(IF(搜索词报告!$H$2:$H$22222=L164,IF(搜索词报告!$A$2:$A$22222&gt;=$L$2,IF(搜索词报告!$A$2:$A$22222&lt;=$L$4,搜索词报告!$J$2:$J$22222,0),0),0))</f>
        <v>0</v>
      </c>
      <c r="O164" s="2">
        <f t="shared" si="20"/>
        <v>0</v>
      </c>
      <c r="P164" s="2">
        <f t="shared" si="21"/>
        <v>0</v>
      </c>
      <c r="Q164">
        <f t="array" ref="Q164">SUM(IF(搜索词报告!$H$2:$H$22222=L164,IF(搜索词报告!$A$2:$A$22222&gt;=$L$2,IF(搜索词报告!$A$2:$A$22222&lt;=$L$4,搜索词报告!$Q$2:$Q$22222,0),0),0))</f>
        <v>0</v>
      </c>
      <c r="R164">
        <f t="array" ref="R164">SUM(IF(搜索词报告!$H$2:$H$22222=L164,IF(搜索词报告!$A$2:$A$22222&gt;=$L$2,IF(搜索词报告!$A$2:$A$22222&lt;=$L$4,搜索词报告!$N$2:$N$22222,0),0),0))</f>
        <v>0</v>
      </c>
      <c r="S164">
        <f t="array" ref="S164">SUM(IF(搜索词报告!$H$2:$H$22222=L164,IF(搜索词报告!$A$2:$A$22222&gt;=$L$2,IF(搜索词报告!$A$2:$A$22222&lt;=$L$4,搜索词报告!$M$2:$M$22222,0),0),0))</f>
        <v>0</v>
      </c>
      <c r="T164" s="2" t="str">
        <f t="shared" si="22"/>
        <v/>
      </c>
      <c r="U164" t="str">
        <f t="shared" si="23"/>
        <v>点击次数少于10次没有参考性</v>
      </c>
      <c r="V164" s="4" t="str">
        <f>IFERROR(INDEX(搜索词报告!$D$2:$D$22222,MATCH(关键词词频统计!L164,搜索词报告!$H$2:$H$22222,0)),"")</f>
        <v/>
      </c>
    </row>
    <row r="165" spans="2:22" x14ac:dyDescent="0.15">
      <c r="B165">
        <f t="array" ref="B165">SUM(IF(搜索词报告!$H$2:$H$22222=A165,IF(搜索词报告!$A$2:$A$22222&gt;=关键词词频统计!$A$2,IF(搜索词报告!$A$2:$A$22222&lt;=关键词词频统计!$A$4,搜索词报告!$I$2:$I$22222,0),0),0))</f>
        <v>0</v>
      </c>
      <c r="C165">
        <f t="array" ref="C165">SUM(IF(搜索词报告!$H$2:$H$22222=A165,IF(搜索词报告!$A$2:$A$22222&gt;=关键词词频统计!$A$2,IF(搜索词报告!$A$2:$A$22222&lt;=关键词词频统计!$A$4,搜索词报告!$J$2:$J$22222,0),0),0))</f>
        <v>0</v>
      </c>
      <c r="D165" s="2">
        <f t="shared" si="16"/>
        <v>0</v>
      </c>
      <c r="E165" s="2">
        <f t="shared" si="17"/>
        <v>0</v>
      </c>
      <c r="F165">
        <f t="array" ref="F165">SUM(IF(搜索词报告!$H$2:$H$22222=A165,IF(搜索词报告!$A$2:$A$22222&gt;=关键词词频统计!$A$2,IF(搜索词报告!$A$2:$A$22222&lt;=关键词词频统计!$A$4,搜索词报告!$Q$2:$Q$22222,0),0),0))</f>
        <v>0</v>
      </c>
      <c r="G165">
        <f t="array" ref="G165">SUM(IF(搜索词报告!$H$2:$H$22222=A165,IF(搜索词报告!$A$2:$A$22222&gt;=关键词词频统计!$A$2,IF(搜索词报告!$A$2:$A$22222&lt;=关键词词频统计!$A$4,搜索词报告!$N$2:$N$22222,0),0),0))</f>
        <v>0</v>
      </c>
      <c r="H165">
        <f t="array" ref="H165">SUM(IF(搜索词报告!$H$2:$H$22222=A165,IF(搜索词报告!$A$2:$A$22222&gt;=关键词词频统计!$A$2,IF(搜索词报告!$A$2:$A$22222&lt;=关键词词频统计!$A$4,搜索词报告!$M$2:$M$22222,0),0),0))</f>
        <v>0</v>
      </c>
      <c r="I165" s="2" t="str">
        <f t="shared" si="18"/>
        <v/>
      </c>
      <c r="J165" t="str">
        <f t="shared" si="19"/>
        <v>点击次数少于10次没有参考性</v>
      </c>
      <c r="K165" s="4" t="str">
        <f>IFERROR(INDEX(搜索词报告!$D$2:$D$22222,MATCH(关键词词频统计!A165,搜索词报告!$H$2:$H$22222,0)),"")</f>
        <v/>
      </c>
      <c r="M165">
        <f t="array" ref="M165">SUM(IF(搜索词报告!$H$2:$H$22222=L165,IF(搜索词报告!$A$2:$A$22222&gt;=$L$2,IF(搜索词报告!$A$2:$A$22222&lt;=$L$4,搜索词报告!$I$2:$I$22222,0),0),0))</f>
        <v>0</v>
      </c>
      <c r="N165">
        <f t="array" ref="N165">SUM(IF(搜索词报告!$H$2:$H$22222=L165,IF(搜索词报告!$A$2:$A$22222&gt;=$L$2,IF(搜索词报告!$A$2:$A$22222&lt;=$L$4,搜索词报告!$J$2:$J$22222,0),0),0))</f>
        <v>0</v>
      </c>
      <c r="O165" s="2">
        <f t="shared" si="20"/>
        <v>0</v>
      </c>
      <c r="P165" s="2">
        <f t="shared" si="21"/>
        <v>0</v>
      </c>
      <c r="Q165">
        <f t="array" ref="Q165">SUM(IF(搜索词报告!$H$2:$H$22222=L165,IF(搜索词报告!$A$2:$A$22222&gt;=$L$2,IF(搜索词报告!$A$2:$A$22222&lt;=$L$4,搜索词报告!$Q$2:$Q$22222,0),0),0))</f>
        <v>0</v>
      </c>
      <c r="R165">
        <f t="array" ref="R165">SUM(IF(搜索词报告!$H$2:$H$22222=L165,IF(搜索词报告!$A$2:$A$22222&gt;=$L$2,IF(搜索词报告!$A$2:$A$22222&lt;=$L$4,搜索词报告!$N$2:$N$22222,0),0),0))</f>
        <v>0</v>
      </c>
      <c r="S165">
        <f t="array" ref="S165">SUM(IF(搜索词报告!$H$2:$H$22222=L165,IF(搜索词报告!$A$2:$A$22222&gt;=$L$2,IF(搜索词报告!$A$2:$A$22222&lt;=$L$4,搜索词报告!$M$2:$M$22222,0),0),0))</f>
        <v>0</v>
      </c>
      <c r="T165" s="2" t="str">
        <f t="shared" si="22"/>
        <v/>
      </c>
      <c r="U165" t="str">
        <f t="shared" si="23"/>
        <v>点击次数少于10次没有参考性</v>
      </c>
      <c r="V165" s="4" t="str">
        <f>IFERROR(INDEX(搜索词报告!$D$2:$D$22222,MATCH(关键词词频统计!L165,搜索词报告!$H$2:$H$22222,0)),"")</f>
        <v/>
      </c>
    </row>
    <row r="166" spans="2:22" x14ac:dyDescent="0.15">
      <c r="B166">
        <f t="array" ref="B166">SUM(IF(搜索词报告!$H$2:$H$22222=A166,IF(搜索词报告!$A$2:$A$22222&gt;=关键词词频统计!$A$2,IF(搜索词报告!$A$2:$A$22222&lt;=关键词词频统计!$A$4,搜索词报告!$I$2:$I$22222,0),0),0))</f>
        <v>0</v>
      </c>
      <c r="C166">
        <f t="array" ref="C166">SUM(IF(搜索词报告!$H$2:$H$22222=A166,IF(搜索词报告!$A$2:$A$22222&gt;=关键词词频统计!$A$2,IF(搜索词报告!$A$2:$A$22222&lt;=关键词词频统计!$A$4,搜索词报告!$J$2:$J$22222,0),0),0))</f>
        <v>0</v>
      </c>
      <c r="D166" s="2">
        <f t="shared" si="16"/>
        <v>0</v>
      </c>
      <c r="E166" s="2">
        <f t="shared" si="17"/>
        <v>0</v>
      </c>
      <c r="F166">
        <f t="array" ref="F166">SUM(IF(搜索词报告!$H$2:$H$22222=A166,IF(搜索词报告!$A$2:$A$22222&gt;=关键词词频统计!$A$2,IF(搜索词报告!$A$2:$A$22222&lt;=关键词词频统计!$A$4,搜索词报告!$Q$2:$Q$22222,0),0),0))</f>
        <v>0</v>
      </c>
      <c r="G166">
        <f t="array" ref="G166">SUM(IF(搜索词报告!$H$2:$H$22222=A166,IF(搜索词报告!$A$2:$A$22222&gt;=关键词词频统计!$A$2,IF(搜索词报告!$A$2:$A$22222&lt;=关键词词频统计!$A$4,搜索词报告!$N$2:$N$22222,0),0),0))</f>
        <v>0</v>
      </c>
      <c r="H166">
        <f t="array" ref="H166">SUM(IF(搜索词报告!$H$2:$H$22222=A166,IF(搜索词报告!$A$2:$A$22222&gt;=关键词词频统计!$A$2,IF(搜索词报告!$A$2:$A$22222&lt;=关键词词频统计!$A$4,搜索词报告!$M$2:$M$22222,0),0),0))</f>
        <v>0</v>
      </c>
      <c r="I166" s="2" t="str">
        <f t="shared" si="18"/>
        <v/>
      </c>
      <c r="J166" t="str">
        <f t="shared" si="19"/>
        <v>点击次数少于10次没有参考性</v>
      </c>
      <c r="K166" s="4" t="str">
        <f>IFERROR(INDEX(搜索词报告!$D$2:$D$22222,MATCH(关键词词频统计!A166,搜索词报告!$H$2:$H$22222,0)),"")</f>
        <v/>
      </c>
      <c r="M166">
        <f t="array" ref="M166">SUM(IF(搜索词报告!$H$2:$H$22222=L166,IF(搜索词报告!$A$2:$A$22222&gt;=$L$2,IF(搜索词报告!$A$2:$A$22222&lt;=$L$4,搜索词报告!$I$2:$I$22222,0),0),0))</f>
        <v>0</v>
      </c>
      <c r="N166">
        <f t="array" ref="N166">SUM(IF(搜索词报告!$H$2:$H$22222=L166,IF(搜索词报告!$A$2:$A$22222&gt;=$L$2,IF(搜索词报告!$A$2:$A$22222&lt;=$L$4,搜索词报告!$J$2:$J$22222,0),0),0))</f>
        <v>0</v>
      </c>
      <c r="O166" s="2">
        <f t="shared" si="20"/>
        <v>0</v>
      </c>
      <c r="P166" s="2">
        <f t="shared" si="21"/>
        <v>0</v>
      </c>
      <c r="Q166">
        <f t="array" ref="Q166">SUM(IF(搜索词报告!$H$2:$H$22222=L166,IF(搜索词报告!$A$2:$A$22222&gt;=$L$2,IF(搜索词报告!$A$2:$A$22222&lt;=$L$4,搜索词报告!$Q$2:$Q$22222,0),0),0))</f>
        <v>0</v>
      </c>
      <c r="R166">
        <f t="array" ref="R166">SUM(IF(搜索词报告!$H$2:$H$22222=L166,IF(搜索词报告!$A$2:$A$22222&gt;=$L$2,IF(搜索词报告!$A$2:$A$22222&lt;=$L$4,搜索词报告!$N$2:$N$22222,0),0),0))</f>
        <v>0</v>
      </c>
      <c r="S166">
        <f t="array" ref="S166">SUM(IF(搜索词报告!$H$2:$H$22222=L166,IF(搜索词报告!$A$2:$A$22222&gt;=$L$2,IF(搜索词报告!$A$2:$A$22222&lt;=$L$4,搜索词报告!$M$2:$M$22222,0),0),0))</f>
        <v>0</v>
      </c>
      <c r="T166" s="2" t="str">
        <f t="shared" si="22"/>
        <v/>
      </c>
      <c r="U166" t="str">
        <f t="shared" si="23"/>
        <v>点击次数少于10次没有参考性</v>
      </c>
      <c r="V166" s="4" t="str">
        <f>IFERROR(INDEX(搜索词报告!$D$2:$D$22222,MATCH(关键词词频统计!L166,搜索词报告!$H$2:$H$22222,0)),"")</f>
        <v/>
      </c>
    </row>
    <row r="167" spans="2:22" x14ac:dyDescent="0.15">
      <c r="B167">
        <f t="array" ref="B167">SUM(IF(搜索词报告!$H$2:$H$22222=A167,IF(搜索词报告!$A$2:$A$22222&gt;=关键词词频统计!$A$2,IF(搜索词报告!$A$2:$A$22222&lt;=关键词词频统计!$A$4,搜索词报告!$I$2:$I$22222,0),0),0))</f>
        <v>0</v>
      </c>
      <c r="C167">
        <f t="array" ref="C167">SUM(IF(搜索词报告!$H$2:$H$22222=A167,IF(搜索词报告!$A$2:$A$22222&gt;=关键词词频统计!$A$2,IF(搜索词报告!$A$2:$A$22222&lt;=关键词词频统计!$A$4,搜索词报告!$J$2:$J$22222,0),0),0))</f>
        <v>0</v>
      </c>
      <c r="D167" s="2">
        <f t="shared" si="16"/>
        <v>0</v>
      </c>
      <c r="E167" s="2">
        <f t="shared" si="17"/>
        <v>0</v>
      </c>
      <c r="F167">
        <f t="array" ref="F167">SUM(IF(搜索词报告!$H$2:$H$22222=A167,IF(搜索词报告!$A$2:$A$22222&gt;=关键词词频统计!$A$2,IF(搜索词报告!$A$2:$A$22222&lt;=关键词词频统计!$A$4,搜索词报告!$Q$2:$Q$22222,0),0),0))</f>
        <v>0</v>
      </c>
      <c r="G167">
        <f t="array" ref="G167">SUM(IF(搜索词报告!$H$2:$H$22222=A167,IF(搜索词报告!$A$2:$A$22222&gt;=关键词词频统计!$A$2,IF(搜索词报告!$A$2:$A$22222&lt;=关键词词频统计!$A$4,搜索词报告!$N$2:$N$22222,0),0),0))</f>
        <v>0</v>
      </c>
      <c r="H167">
        <f t="array" ref="H167">SUM(IF(搜索词报告!$H$2:$H$22222=A167,IF(搜索词报告!$A$2:$A$22222&gt;=关键词词频统计!$A$2,IF(搜索词报告!$A$2:$A$22222&lt;=关键词词频统计!$A$4,搜索词报告!$M$2:$M$22222,0),0),0))</f>
        <v>0</v>
      </c>
      <c r="I167" s="2" t="str">
        <f t="shared" si="18"/>
        <v/>
      </c>
      <c r="J167" t="str">
        <f t="shared" si="19"/>
        <v>点击次数少于10次没有参考性</v>
      </c>
      <c r="K167" s="4" t="str">
        <f>IFERROR(INDEX(搜索词报告!$D$2:$D$22222,MATCH(关键词词频统计!A167,搜索词报告!$H$2:$H$22222,0)),"")</f>
        <v/>
      </c>
      <c r="M167">
        <f t="array" ref="M167">SUM(IF(搜索词报告!$H$2:$H$22222=L167,IF(搜索词报告!$A$2:$A$22222&gt;=$L$2,IF(搜索词报告!$A$2:$A$22222&lt;=$L$4,搜索词报告!$I$2:$I$22222,0),0),0))</f>
        <v>0</v>
      </c>
      <c r="N167">
        <f t="array" ref="N167">SUM(IF(搜索词报告!$H$2:$H$22222=L167,IF(搜索词报告!$A$2:$A$22222&gt;=$L$2,IF(搜索词报告!$A$2:$A$22222&lt;=$L$4,搜索词报告!$J$2:$J$22222,0),0),0))</f>
        <v>0</v>
      </c>
      <c r="O167" s="2">
        <f t="shared" si="20"/>
        <v>0</v>
      </c>
      <c r="P167" s="2">
        <f t="shared" si="21"/>
        <v>0</v>
      </c>
      <c r="Q167">
        <f t="array" ref="Q167">SUM(IF(搜索词报告!$H$2:$H$22222=L167,IF(搜索词报告!$A$2:$A$22222&gt;=$L$2,IF(搜索词报告!$A$2:$A$22222&lt;=$L$4,搜索词报告!$Q$2:$Q$22222,0),0),0))</f>
        <v>0</v>
      </c>
      <c r="R167">
        <f t="array" ref="R167">SUM(IF(搜索词报告!$H$2:$H$22222=L167,IF(搜索词报告!$A$2:$A$22222&gt;=$L$2,IF(搜索词报告!$A$2:$A$22222&lt;=$L$4,搜索词报告!$N$2:$N$22222,0),0),0))</f>
        <v>0</v>
      </c>
      <c r="S167">
        <f t="array" ref="S167">SUM(IF(搜索词报告!$H$2:$H$22222=L167,IF(搜索词报告!$A$2:$A$22222&gt;=$L$2,IF(搜索词报告!$A$2:$A$22222&lt;=$L$4,搜索词报告!$M$2:$M$22222,0),0),0))</f>
        <v>0</v>
      </c>
      <c r="T167" s="2" t="str">
        <f t="shared" si="22"/>
        <v/>
      </c>
      <c r="U167" t="str">
        <f t="shared" si="23"/>
        <v>点击次数少于10次没有参考性</v>
      </c>
      <c r="V167" s="4" t="str">
        <f>IFERROR(INDEX(搜索词报告!$D$2:$D$22222,MATCH(关键词词频统计!L167,搜索词报告!$H$2:$H$22222,0)),"")</f>
        <v/>
      </c>
    </row>
    <row r="168" spans="2:22" x14ac:dyDescent="0.15">
      <c r="B168">
        <f t="array" ref="B168">SUM(IF(搜索词报告!$H$2:$H$22222=A168,IF(搜索词报告!$A$2:$A$22222&gt;=关键词词频统计!$A$2,IF(搜索词报告!$A$2:$A$22222&lt;=关键词词频统计!$A$4,搜索词报告!$I$2:$I$22222,0),0),0))</f>
        <v>0</v>
      </c>
      <c r="C168">
        <f t="array" ref="C168">SUM(IF(搜索词报告!$H$2:$H$22222=A168,IF(搜索词报告!$A$2:$A$22222&gt;=关键词词频统计!$A$2,IF(搜索词报告!$A$2:$A$22222&lt;=关键词词频统计!$A$4,搜索词报告!$J$2:$J$22222,0),0),0))</f>
        <v>0</v>
      </c>
      <c r="D168" s="2">
        <f t="shared" si="16"/>
        <v>0</v>
      </c>
      <c r="E168" s="2">
        <f t="shared" si="17"/>
        <v>0</v>
      </c>
      <c r="F168">
        <f t="array" ref="F168">SUM(IF(搜索词报告!$H$2:$H$22222=A168,IF(搜索词报告!$A$2:$A$22222&gt;=关键词词频统计!$A$2,IF(搜索词报告!$A$2:$A$22222&lt;=关键词词频统计!$A$4,搜索词报告!$Q$2:$Q$22222,0),0),0))</f>
        <v>0</v>
      </c>
      <c r="G168">
        <f t="array" ref="G168">SUM(IF(搜索词报告!$H$2:$H$22222=A168,IF(搜索词报告!$A$2:$A$22222&gt;=关键词词频统计!$A$2,IF(搜索词报告!$A$2:$A$22222&lt;=关键词词频统计!$A$4,搜索词报告!$N$2:$N$22222,0),0),0))</f>
        <v>0</v>
      </c>
      <c r="H168">
        <f t="array" ref="H168">SUM(IF(搜索词报告!$H$2:$H$22222=A168,IF(搜索词报告!$A$2:$A$22222&gt;=关键词词频统计!$A$2,IF(搜索词报告!$A$2:$A$22222&lt;=关键词词频统计!$A$4,搜索词报告!$M$2:$M$22222,0),0),0))</f>
        <v>0</v>
      </c>
      <c r="I168" s="2" t="str">
        <f t="shared" si="18"/>
        <v/>
      </c>
      <c r="J168" t="str">
        <f t="shared" si="19"/>
        <v>点击次数少于10次没有参考性</v>
      </c>
      <c r="K168" s="4" t="str">
        <f>IFERROR(INDEX(搜索词报告!$D$2:$D$22222,MATCH(关键词词频统计!A168,搜索词报告!$H$2:$H$22222,0)),"")</f>
        <v/>
      </c>
      <c r="M168">
        <f t="array" ref="M168">SUM(IF(搜索词报告!$H$2:$H$22222=L168,IF(搜索词报告!$A$2:$A$22222&gt;=$L$2,IF(搜索词报告!$A$2:$A$22222&lt;=$L$4,搜索词报告!$I$2:$I$22222,0),0),0))</f>
        <v>0</v>
      </c>
      <c r="N168">
        <f t="array" ref="N168">SUM(IF(搜索词报告!$H$2:$H$22222=L168,IF(搜索词报告!$A$2:$A$22222&gt;=$L$2,IF(搜索词报告!$A$2:$A$22222&lt;=$L$4,搜索词报告!$J$2:$J$22222,0),0),0))</f>
        <v>0</v>
      </c>
      <c r="O168" s="2">
        <f t="shared" si="20"/>
        <v>0</v>
      </c>
      <c r="P168" s="2">
        <f t="shared" si="21"/>
        <v>0</v>
      </c>
      <c r="Q168">
        <f t="array" ref="Q168">SUM(IF(搜索词报告!$H$2:$H$22222=L168,IF(搜索词报告!$A$2:$A$22222&gt;=$L$2,IF(搜索词报告!$A$2:$A$22222&lt;=$L$4,搜索词报告!$Q$2:$Q$22222,0),0),0))</f>
        <v>0</v>
      </c>
      <c r="R168">
        <f t="array" ref="R168">SUM(IF(搜索词报告!$H$2:$H$22222=L168,IF(搜索词报告!$A$2:$A$22222&gt;=$L$2,IF(搜索词报告!$A$2:$A$22222&lt;=$L$4,搜索词报告!$N$2:$N$22222,0),0),0))</f>
        <v>0</v>
      </c>
      <c r="S168">
        <f t="array" ref="S168">SUM(IF(搜索词报告!$H$2:$H$22222=L168,IF(搜索词报告!$A$2:$A$22222&gt;=$L$2,IF(搜索词报告!$A$2:$A$22222&lt;=$L$4,搜索词报告!$M$2:$M$22222,0),0),0))</f>
        <v>0</v>
      </c>
      <c r="T168" s="2" t="str">
        <f t="shared" si="22"/>
        <v/>
      </c>
      <c r="U168" t="str">
        <f t="shared" si="23"/>
        <v>点击次数少于10次没有参考性</v>
      </c>
      <c r="V168" s="4" t="str">
        <f>IFERROR(INDEX(搜索词报告!$D$2:$D$22222,MATCH(关键词词频统计!L168,搜索词报告!$H$2:$H$22222,0)),"")</f>
        <v/>
      </c>
    </row>
    <row r="169" spans="2:22" x14ac:dyDescent="0.15">
      <c r="B169">
        <f t="array" ref="B169">SUM(IF(搜索词报告!$H$2:$H$22222=A169,IF(搜索词报告!$A$2:$A$22222&gt;=关键词词频统计!$A$2,IF(搜索词报告!$A$2:$A$22222&lt;=关键词词频统计!$A$4,搜索词报告!$I$2:$I$22222,0),0),0))</f>
        <v>0</v>
      </c>
      <c r="C169">
        <f t="array" ref="C169">SUM(IF(搜索词报告!$H$2:$H$22222=A169,IF(搜索词报告!$A$2:$A$22222&gt;=关键词词频统计!$A$2,IF(搜索词报告!$A$2:$A$22222&lt;=关键词词频统计!$A$4,搜索词报告!$J$2:$J$22222,0),0),0))</f>
        <v>0</v>
      </c>
      <c r="D169" s="2">
        <f t="shared" si="16"/>
        <v>0</v>
      </c>
      <c r="E169" s="2">
        <f t="shared" si="17"/>
        <v>0</v>
      </c>
      <c r="F169">
        <f t="array" ref="F169">SUM(IF(搜索词报告!$H$2:$H$22222=A169,IF(搜索词报告!$A$2:$A$22222&gt;=关键词词频统计!$A$2,IF(搜索词报告!$A$2:$A$22222&lt;=关键词词频统计!$A$4,搜索词报告!$Q$2:$Q$22222,0),0),0))</f>
        <v>0</v>
      </c>
      <c r="G169">
        <f t="array" ref="G169">SUM(IF(搜索词报告!$H$2:$H$22222=A169,IF(搜索词报告!$A$2:$A$22222&gt;=关键词词频统计!$A$2,IF(搜索词报告!$A$2:$A$22222&lt;=关键词词频统计!$A$4,搜索词报告!$N$2:$N$22222,0),0),0))</f>
        <v>0</v>
      </c>
      <c r="H169">
        <f t="array" ref="H169">SUM(IF(搜索词报告!$H$2:$H$22222=A169,IF(搜索词报告!$A$2:$A$22222&gt;=关键词词频统计!$A$2,IF(搜索词报告!$A$2:$A$22222&lt;=关键词词频统计!$A$4,搜索词报告!$M$2:$M$22222,0),0),0))</f>
        <v>0</v>
      </c>
      <c r="I169" s="2" t="str">
        <f t="shared" si="18"/>
        <v/>
      </c>
      <c r="J169" t="str">
        <f t="shared" si="19"/>
        <v>点击次数少于10次没有参考性</v>
      </c>
      <c r="K169" s="4" t="str">
        <f>IFERROR(INDEX(搜索词报告!$D$2:$D$22222,MATCH(关键词词频统计!A169,搜索词报告!$H$2:$H$22222,0)),"")</f>
        <v/>
      </c>
      <c r="M169">
        <f t="array" ref="M169">SUM(IF(搜索词报告!$H$2:$H$22222=L169,IF(搜索词报告!$A$2:$A$22222&gt;=$L$2,IF(搜索词报告!$A$2:$A$22222&lt;=$L$4,搜索词报告!$I$2:$I$22222,0),0),0))</f>
        <v>0</v>
      </c>
      <c r="N169">
        <f t="array" ref="N169">SUM(IF(搜索词报告!$H$2:$H$22222=L169,IF(搜索词报告!$A$2:$A$22222&gt;=$L$2,IF(搜索词报告!$A$2:$A$22222&lt;=$L$4,搜索词报告!$J$2:$J$22222,0),0),0))</f>
        <v>0</v>
      </c>
      <c r="O169" s="2">
        <f t="shared" si="20"/>
        <v>0</v>
      </c>
      <c r="P169" s="2">
        <f t="shared" si="21"/>
        <v>0</v>
      </c>
      <c r="Q169">
        <f t="array" ref="Q169">SUM(IF(搜索词报告!$H$2:$H$22222=L169,IF(搜索词报告!$A$2:$A$22222&gt;=$L$2,IF(搜索词报告!$A$2:$A$22222&lt;=$L$4,搜索词报告!$Q$2:$Q$22222,0),0),0))</f>
        <v>0</v>
      </c>
      <c r="R169">
        <f t="array" ref="R169">SUM(IF(搜索词报告!$H$2:$H$22222=L169,IF(搜索词报告!$A$2:$A$22222&gt;=$L$2,IF(搜索词报告!$A$2:$A$22222&lt;=$L$4,搜索词报告!$N$2:$N$22222,0),0),0))</f>
        <v>0</v>
      </c>
      <c r="S169">
        <f t="array" ref="S169">SUM(IF(搜索词报告!$H$2:$H$22222=L169,IF(搜索词报告!$A$2:$A$22222&gt;=$L$2,IF(搜索词报告!$A$2:$A$22222&lt;=$L$4,搜索词报告!$M$2:$M$22222,0),0),0))</f>
        <v>0</v>
      </c>
      <c r="T169" s="2" t="str">
        <f t="shared" si="22"/>
        <v/>
      </c>
      <c r="U169" t="str">
        <f t="shared" si="23"/>
        <v>点击次数少于10次没有参考性</v>
      </c>
      <c r="V169" s="4" t="str">
        <f>IFERROR(INDEX(搜索词报告!$D$2:$D$22222,MATCH(关键词词频统计!L169,搜索词报告!$H$2:$H$22222,0)),"")</f>
        <v/>
      </c>
    </row>
    <row r="170" spans="2:22" x14ac:dyDescent="0.15">
      <c r="B170">
        <f t="array" ref="B170">SUM(IF(搜索词报告!$H$2:$H$22222=A170,IF(搜索词报告!$A$2:$A$22222&gt;=关键词词频统计!$A$2,IF(搜索词报告!$A$2:$A$22222&lt;=关键词词频统计!$A$4,搜索词报告!$I$2:$I$22222,0),0),0))</f>
        <v>0</v>
      </c>
      <c r="C170">
        <f t="array" ref="C170">SUM(IF(搜索词报告!$H$2:$H$22222=A170,IF(搜索词报告!$A$2:$A$22222&gt;=关键词词频统计!$A$2,IF(搜索词报告!$A$2:$A$22222&lt;=关键词词频统计!$A$4,搜索词报告!$J$2:$J$22222,0),0),0))</f>
        <v>0</v>
      </c>
      <c r="D170" s="2">
        <f t="shared" si="16"/>
        <v>0</v>
      </c>
      <c r="E170" s="2">
        <f t="shared" si="17"/>
        <v>0</v>
      </c>
      <c r="F170">
        <f t="array" ref="F170">SUM(IF(搜索词报告!$H$2:$H$22222=A170,IF(搜索词报告!$A$2:$A$22222&gt;=关键词词频统计!$A$2,IF(搜索词报告!$A$2:$A$22222&lt;=关键词词频统计!$A$4,搜索词报告!$Q$2:$Q$22222,0),0),0))</f>
        <v>0</v>
      </c>
      <c r="G170">
        <f t="array" ref="G170">SUM(IF(搜索词报告!$H$2:$H$22222=A170,IF(搜索词报告!$A$2:$A$22222&gt;=关键词词频统计!$A$2,IF(搜索词报告!$A$2:$A$22222&lt;=关键词词频统计!$A$4,搜索词报告!$N$2:$N$22222,0),0),0))</f>
        <v>0</v>
      </c>
      <c r="H170">
        <f t="array" ref="H170">SUM(IF(搜索词报告!$H$2:$H$22222=A170,IF(搜索词报告!$A$2:$A$22222&gt;=关键词词频统计!$A$2,IF(搜索词报告!$A$2:$A$22222&lt;=关键词词频统计!$A$4,搜索词报告!$M$2:$M$22222,0),0),0))</f>
        <v>0</v>
      </c>
      <c r="I170" s="2" t="str">
        <f t="shared" si="18"/>
        <v/>
      </c>
      <c r="J170" t="str">
        <f t="shared" si="19"/>
        <v>点击次数少于10次没有参考性</v>
      </c>
      <c r="K170" s="4" t="str">
        <f>IFERROR(INDEX(搜索词报告!$D$2:$D$22222,MATCH(关键词词频统计!A170,搜索词报告!$H$2:$H$22222,0)),"")</f>
        <v/>
      </c>
      <c r="M170">
        <f t="array" ref="M170">SUM(IF(搜索词报告!$H$2:$H$22222=L170,IF(搜索词报告!$A$2:$A$22222&gt;=$L$2,IF(搜索词报告!$A$2:$A$22222&lt;=$L$4,搜索词报告!$I$2:$I$22222,0),0),0))</f>
        <v>0</v>
      </c>
      <c r="N170">
        <f t="array" ref="N170">SUM(IF(搜索词报告!$H$2:$H$22222=L170,IF(搜索词报告!$A$2:$A$22222&gt;=$L$2,IF(搜索词报告!$A$2:$A$22222&lt;=$L$4,搜索词报告!$J$2:$J$22222,0),0),0))</f>
        <v>0</v>
      </c>
      <c r="O170" s="2">
        <f t="shared" si="20"/>
        <v>0</v>
      </c>
      <c r="P170" s="2">
        <f t="shared" si="21"/>
        <v>0</v>
      </c>
      <c r="Q170">
        <f t="array" ref="Q170">SUM(IF(搜索词报告!$H$2:$H$22222=L170,IF(搜索词报告!$A$2:$A$22222&gt;=$L$2,IF(搜索词报告!$A$2:$A$22222&lt;=$L$4,搜索词报告!$Q$2:$Q$22222,0),0),0))</f>
        <v>0</v>
      </c>
      <c r="R170">
        <f t="array" ref="R170">SUM(IF(搜索词报告!$H$2:$H$22222=L170,IF(搜索词报告!$A$2:$A$22222&gt;=$L$2,IF(搜索词报告!$A$2:$A$22222&lt;=$L$4,搜索词报告!$N$2:$N$22222,0),0),0))</f>
        <v>0</v>
      </c>
      <c r="S170">
        <f t="array" ref="S170">SUM(IF(搜索词报告!$H$2:$H$22222=L170,IF(搜索词报告!$A$2:$A$22222&gt;=$L$2,IF(搜索词报告!$A$2:$A$22222&lt;=$L$4,搜索词报告!$M$2:$M$22222,0),0),0))</f>
        <v>0</v>
      </c>
      <c r="T170" s="2" t="str">
        <f t="shared" si="22"/>
        <v/>
      </c>
      <c r="U170" t="str">
        <f t="shared" si="23"/>
        <v>点击次数少于10次没有参考性</v>
      </c>
      <c r="V170" s="4" t="str">
        <f>IFERROR(INDEX(搜索词报告!$D$2:$D$22222,MATCH(关键词词频统计!L170,搜索词报告!$H$2:$H$22222,0)),"")</f>
        <v/>
      </c>
    </row>
    <row r="171" spans="2:22" x14ac:dyDescent="0.15">
      <c r="B171">
        <f t="array" ref="B171">SUM(IF(搜索词报告!$H$2:$H$22222=A171,IF(搜索词报告!$A$2:$A$22222&gt;=关键词词频统计!$A$2,IF(搜索词报告!$A$2:$A$22222&lt;=关键词词频统计!$A$4,搜索词报告!$I$2:$I$22222,0),0),0))</f>
        <v>0</v>
      </c>
      <c r="C171">
        <f t="array" ref="C171">SUM(IF(搜索词报告!$H$2:$H$22222=A171,IF(搜索词报告!$A$2:$A$22222&gt;=关键词词频统计!$A$2,IF(搜索词报告!$A$2:$A$22222&lt;=关键词词频统计!$A$4,搜索词报告!$J$2:$J$22222,0),0),0))</f>
        <v>0</v>
      </c>
      <c r="D171" s="2">
        <f t="shared" si="16"/>
        <v>0</v>
      </c>
      <c r="E171" s="2">
        <f t="shared" si="17"/>
        <v>0</v>
      </c>
      <c r="F171">
        <f t="array" ref="F171">SUM(IF(搜索词报告!$H$2:$H$22222=A171,IF(搜索词报告!$A$2:$A$22222&gt;=关键词词频统计!$A$2,IF(搜索词报告!$A$2:$A$22222&lt;=关键词词频统计!$A$4,搜索词报告!$Q$2:$Q$22222,0),0),0))</f>
        <v>0</v>
      </c>
      <c r="G171">
        <f t="array" ref="G171">SUM(IF(搜索词报告!$H$2:$H$22222=A171,IF(搜索词报告!$A$2:$A$22222&gt;=关键词词频统计!$A$2,IF(搜索词报告!$A$2:$A$22222&lt;=关键词词频统计!$A$4,搜索词报告!$N$2:$N$22222,0),0),0))</f>
        <v>0</v>
      </c>
      <c r="H171">
        <f t="array" ref="H171">SUM(IF(搜索词报告!$H$2:$H$22222=A171,IF(搜索词报告!$A$2:$A$22222&gt;=关键词词频统计!$A$2,IF(搜索词报告!$A$2:$A$22222&lt;=关键词词频统计!$A$4,搜索词报告!$M$2:$M$22222,0),0),0))</f>
        <v>0</v>
      </c>
      <c r="I171" s="2" t="str">
        <f t="shared" si="18"/>
        <v/>
      </c>
      <c r="J171" t="str">
        <f t="shared" si="19"/>
        <v>点击次数少于10次没有参考性</v>
      </c>
      <c r="K171" s="4" t="str">
        <f>IFERROR(INDEX(搜索词报告!$D$2:$D$22222,MATCH(关键词词频统计!A171,搜索词报告!$H$2:$H$22222,0)),"")</f>
        <v/>
      </c>
      <c r="M171">
        <f t="array" ref="M171">SUM(IF(搜索词报告!$H$2:$H$22222=L171,IF(搜索词报告!$A$2:$A$22222&gt;=$L$2,IF(搜索词报告!$A$2:$A$22222&lt;=$L$4,搜索词报告!$I$2:$I$22222,0),0),0))</f>
        <v>0</v>
      </c>
      <c r="N171">
        <f t="array" ref="N171">SUM(IF(搜索词报告!$H$2:$H$22222=L171,IF(搜索词报告!$A$2:$A$22222&gt;=$L$2,IF(搜索词报告!$A$2:$A$22222&lt;=$L$4,搜索词报告!$J$2:$J$22222,0),0),0))</f>
        <v>0</v>
      </c>
      <c r="O171" s="2">
        <f t="shared" si="20"/>
        <v>0</v>
      </c>
      <c r="P171" s="2">
        <f t="shared" si="21"/>
        <v>0</v>
      </c>
      <c r="Q171">
        <f t="array" ref="Q171">SUM(IF(搜索词报告!$H$2:$H$22222=L171,IF(搜索词报告!$A$2:$A$22222&gt;=$L$2,IF(搜索词报告!$A$2:$A$22222&lt;=$L$4,搜索词报告!$Q$2:$Q$22222,0),0),0))</f>
        <v>0</v>
      </c>
      <c r="R171">
        <f t="array" ref="R171">SUM(IF(搜索词报告!$H$2:$H$22222=L171,IF(搜索词报告!$A$2:$A$22222&gt;=$L$2,IF(搜索词报告!$A$2:$A$22222&lt;=$L$4,搜索词报告!$N$2:$N$22222,0),0),0))</f>
        <v>0</v>
      </c>
      <c r="S171">
        <f t="array" ref="S171">SUM(IF(搜索词报告!$H$2:$H$22222=L171,IF(搜索词报告!$A$2:$A$22222&gt;=$L$2,IF(搜索词报告!$A$2:$A$22222&lt;=$L$4,搜索词报告!$M$2:$M$22222,0),0),0))</f>
        <v>0</v>
      </c>
      <c r="T171" s="2" t="str">
        <f t="shared" si="22"/>
        <v/>
      </c>
      <c r="U171" t="str">
        <f t="shared" si="23"/>
        <v>点击次数少于10次没有参考性</v>
      </c>
      <c r="V171" s="4" t="str">
        <f>IFERROR(INDEX(搜索词报告!$D$2:$D$22222,MATCH(关键词词频统计!L171,搜索词报告!$H$2:$H$22222,0)),"")</f>
        <v/>
      </c>
    </row>
    <row r="172" spans="2:22" x14ac:dyDescent="0.15">
      <c r="B172">
        <f t="array" ref="B172">SUM(IF(搜索词报告!$H$2:$H$22222=A172,IF(搜索词报告!$A$2:$A$22222&gt;=关键词词频统计!$A$2,IF(搜索词报告!$A$2:$A$22222&lt;=关键词词频统计!$A$4,搜索词报告!$I$2:$I$22222,0),0),0))</f>
        <v>0</v>
      </c>
      <c r="C172">
        <f t="array" ref="C172">SUM(IF(搜索词报告!$H$2:$H$22222=A172,IF(搜索词报告!$A$2:$A$22222&gt;=关键词词频统计!$A$2,IF(搜索词报告!$A$2:$A$22222&lt;=关键词词频统计!$A$4,搜索词报告!$J$2:$J$22222,0),0),0))</f>
        <v>0</v>
      </c>
      <c r="D172" s="2">
        <f t="shared" si="16"/>
        <v>0</v>
      </c>
      <c r="E172" s="2">
        <f t="shared" si="17"/>
        <v>0</v>
      </c>
      <c r="F172">
        <f t="array" ref="F172">SUM(IF(搜索词报告!$H$2:$H$22222=A172,IF(搜索词报告!$A$2:$A$22222&gt;=关键词词频统计!$A$2,IF(搜索词报告!$A$2:$A$22222&lt;=关键词词频统计!$A$4,搜索词报告!$Q$2:$Q$22222,0),0),0))</f>
        <v>0</v>
      </c>
      <c r="G172">
        <f t="array" ref="G172">SUM(IF(搜索词报告!$H$2:$H$22222=A172,IF(搜索词报告!$A$2:$A$22222&gt;=关键词词频统计!$A$2,IF(搜索词报告!$A$2:$A$22222&lt;=关键词词频统计!$A$4,搜索词报告!$N$2:$N$22222,0),0),0))</f>
        <v>0</v>
      </c>
      <c r="H172">
        <f t="array" ref="H172">SUM(IF(搜索词报告!$H$2:$H$22222=A172,IF(搜索词报告!$A$2:$A$22222&gt;=关键词词频统计!$A$2,IF(搜索词报告!$A$2:$A$22222&lt;=关键词词频统计!$A$4,搜索词报告!$M$2:$M$22222,0),0),0))</f>
        <v>0</v>
      </c>
      <c r="I172" s="2" t="str">
        <f t="shared" si="18"/>
        <v/>
      </c>
      <c r="J172" t="str">
        <f t="shared" si="19"/>
        <v>点击次数少于10次没有参考性</v>
      </c>
      <c r="K172" s="4" t="str">
        <f>IFERROR(INDEX(搜索词报告!$D$2:$D$22222,MATCH(关键词词频统计!A172,搜索词报告!$H$2:$H$22222,0)),"")</f>
        <v/>
      </c>
      <c r="M172">
        <f t="array" ref="M172">SUM(IF(搜索词报告!$H$2:$H$22222=L172,IF(搜索词报告!$A$2:$A$22222&gt;=$L$2,IF(搜索词报告!$A$2:$A$22222&lt;=$L$4,搜索词报告!$I$2:$I$22222,0),0),0))</f>
        <v>0</v>
      </c>
      <c r="N172">
        <f t="array" ref="N172">SUM(IF(搜索词报告!$H$2:$H$22222=L172,IF(搜索词报告!$A$2:$A$22222&gt;=$L$2,IF(搜索词报告!$A$2:$A$22222&lt;=$L$4,搜索词报告!$J$2:$J$22222,0),0),0))</f>
        <v>0</v>
      </c>
      <c r="O172" s="2">
        <f t="shared" si="20"/>
        <v>0</v>
      </c>
      <c r="P172" s="2">
        <f t="shared" si="21"/>
        <v>0</v>
      </c>
      <c r="Q172">
        <f t="array" ref="Q172">SUM(IF(搜索词报告!$H$2:$H$22222=L172,IF(搜索词报告!$A$2:$A$22222&gt;=$L$2,IF(搜索词报告!$A$2:$A$22222&lt;=$L$4,搜索词报告!$Q$2:$Q$22222,0),0),0))</f>
        <v>0</v>
      </c>
      <c r="R172">
        <f t="array" ref="R172">SUM(IF(搜索词报告!$H$2:$H$22222=L172,IF(搜索词报告!$A$2:$A$22222&gt;=$L$2,IF(搜索词报告!$A$2:$A$22222&lt;=$L$4,搜索词报告!$N$2:$N$22222,0),0),0))</f>
        <v>0</v>
      </c>
      <c r="S172">
        <f t="array" ref="S172">SUM(IF(搜索词报告!$H$2:$H$22222=L172,IF(搜索词报告!$A$2:$A$22222&gt;=$L$2,IF(搜索词报告!$A$2:$A$22222&lt;=$L$4,搜索词报告!$M$2:$M$22222,0),0),0))</f>
        <v>0</v>
      </c>
      <c r="T172" s="2" t="str">
        <f t="shared" si="22"/>
        <v/>
      </c>
      <c r="U172" t="str">
        <f t="shared" si="23"/>
        <v>点击次数少于10次没有参考性</v>
      </c>
      <c r="V172" s="4" t="str">
        <f>IFERROR(INDEX(搜索词报告!$D$2:$D$22222,MATCH(关键词词频统计!L172,搜索词报告!$H$2:$H$22222,0)),"")</f>
        <v/>
      </c>
    </row>
    <row r="173" spans="2:22" x14ac:dyDescent="0.15">
      <c r="B173">
        <f t="array" ref="B173">SUM(IF(搜索词报告!$H$2:$H$22222=A173,IF(搜索词报告!$A$2:$A$22222&gt;=关键词词频统计!$A$2,IF(搜索词报告!$A$2:$A$22222&lt;=关键词词频统计!$A$4,搜索词报告!$I$2:$I$22222,0),0),0))</f>
        <v>0</v>
      </c>
      <c r="C173">
        <f t="array" ref="C173">SUM(IF(搜索词报告!$H$2:$H$22222=A173,IF(搜索词报告!$A$2:$A$22222&gt;=关键词词频统计!$A$2,IF(搜索词报告!$A$2:$A$22222&lt;=关键词词频统计!$A$4,搜索词报告!$J$2:$J$22222,0),0),0))</f>
        <v>0</v>
      </c>
      <c r="D173" s="2">
        <f t="shared" si="16"/>
        <v>0</v>
      </c>
      <c r="E173" s="2">
        <f t="shared" si="17"/>
        <v>0</v>
      </c>
      <c r="F173">
        <f t="array" ref="F173">SUM(IF(搜索词报告!$H$2:$H$22222=A173,IF(搜索词报告!$A$2:$A$22222&gt;=关键词词频统计!$A$2,IF(搜索词报告!$A$2:$A$22222&lt;=关键词词频统计!$A$4,搜索词报告!$Q$2:$Q$22222,0),0),0))</f>
        <v>0</v>
      </c>
      <c r="G173">
        <f t="array" ref="G173">SUM(IF(搜索词报告!$H$2:$H$22222=A173,IF(搜索词报告!$A$2:$A$22222&gt;=关键词词频统计!$A$2,IF(搜索词报告!$A$2:$A$22222&lt;=关键词词频统计!$A$4,搜索词报告!$N$2:$N$22222,0),0),0))</f>
        <v>0</v>
      </c>
      <c r="H173">
        <f t="array" ref="H173">SUM(IF(搜索词报告!$H$2:$H$22222=A173,IF(搜索词报告!$A$2:$A$22222&gt;=关键词词频统计!$A$2,IF(搜索词报告!$A$2:$A$22222&lt;=关键词词频统计!$A$4,搜索词报告!$M$2:$M$22222,0),0),0))</f>
        <v>0</v>
      </c>
      <c r="I173" s="2" t="str">
        <f t="shared" si="18"/>
        <v/>
      </c>
      <c r="J173" t="str">
        <f t="shared" si="19"/>
        <v>点击次数少于10次没有参考性</v>
      </c>
      <c r="K173" s="4" t="str">
        <f>IFERROR(INDEX(搜索词报告!$D$2:$D$22222,MATCH(关键词词频统计!A173,搜索词报告!$H$2:$H$22222,0)),"")</f>
        <v/>
      </c>
      <c r="M173">
        <f t="array" ref="M173">SUM(IF(搜索词报告!$H$2:$H$22222=L173,IF(搜索词报告!$A$2:$A$22222&gt;=$L$2,IF(搜索词报告!$A$2:$A$22222&lt;=$L$4,搜索词报告!$I$2:$I$22222,0),0),0))</f>
        <v>0</v>
      </c>
      <c r="N173">
        <f t="array" ref="N173">SUM(IF(搜索词报告!$H$2:$H$22222=L173,IF(搜索词报告!$A$2:$A$22222&gt;=$L$2,IF(搜索词报告!$A$2:$A$22222&lt;=$L$4,搜索词报告!$J$2:$J$22222,0),0),0))</f>
        <v>0</v>
      </c>
      <c r="O173" s="2">
        <f t="shared" si="20"/>
        <v>0</v>
      </c>
      <c r="P173" s="2">
        <f t="shared" si="21"/>
        <v>0</v>
      </c>
      <c r="Q173">
        <f t="array" ref="Q173">SUM(IF(搜索词报告!$H$2:$H$22222=L173,IF(搜索词报告!$A$2:$A$22222&gt;=$L$2,IF(搜索词报告!$A$2:$A$22222&lt;=$L$4,搜索词报告!$Q$2:$Q$22222,0),0),0))</f>
        <v>0</v>
      </c>
      <c r="R173">
        <f t="array" ref="R173">SUM(IF(搜索词报告!$H$2:$H$22222=L173,IF(搜索词报告!$A$2:$A$22222&gt;=$L$2,IF(搜索词报告!$A$2:$A$22222&lt;=$L$4,搜索词报告!$N$2:$N$22222,0),0),0))</f>
        <v>0</v>
      </c>
      <c r="S173">
        <f t="array" ref="S173">SUM(IF(搜索词报告!$H$2:$H$22222=L173,IF(搜索词报告!$A$2:$A$22222&gt;=$L$2,IF(搜索词报告!$A$2:$A$22222&lt;=$L$4,搜索词报告!$M$2:$M$22222,0),0),0))</f>
        <v>0</v>
      </c>
      <c r="T173" s="2" t="str">
        <f t="shared" si="22"/>
        <v/>
      </c>
      <c r="U173" t="str">
        <f t="shared" si="23"/>
        <v>点击次数少于10次没有参考性</v>
      </c>
      <c r="V173" s="4" t="str">
        <f>IFERROR(INDEX(搜索词报告!$D$2:$D$22222,MATCH(关键词词频统计!L173,搜索词报告!$H$2:$H$22222,0)),"")</f>
        <v/>
      </c>
    </row>
    <row r="174" spans="2:22" x14ac:dyDescent="0.15">
      <c r="B174">
        <f t="array" ref="B174">SUM(IF(搜索词报告!$H$2:$H$22222=A174,IF(搜索词报告!$A$2:$A$22222&gt;=关键词词频统计!$A$2,IF(搜索词报告!$A$2:$A$22222&lt;=关键词词频统计!$A$4,搜索词报告!$I$2:$I$22222,0),0),0))</f>
        <v>0</v>
      </c>
      <c r="C174">
        <f t="array" ref="C174">SUM(IF(搜索词报告!$H$2:$H$22222=A174,IF(搜索词报告!$A$2:$A$22222&gt;=关键词词频统计!$A$2,IF(搜索词报告!$A$2:$A$22222&lt;=关键词词频统计!$A$4,搜索词报告!$J$2:$J$22222,0),0),0))</f>
        <v>0</v>
      </c>
      <c r="D174" s="2">
        <f t="shared" si="16"/>
        <v>0</v>
      </c>
      <c r="E174" s="2">
        <f t="shared" si="17"/>
        <v>0</v>
      </c>
      <c r="F174">
        <f t="array" ref="F174">SUM(IF(搜索词报告!$H$2:$H$22222=A174,IF(搜索词报告!$A$2:$A$22222&gt;=关键词词频统计!$A$2,IF(搜索词报告!$A$2:$A$22222&lt;=关键词词频统计!$A$4,搜索词报告!$Q$2:$Q$22222,0),0),0))</f>
        <v>0</v>
      </c>
      <c r="G174">
        <f t="array" ref="G174">SUM(IF(搜索词报告!$H$2:$H$22222=A174,IF(搜索词报告!$A$2:$A$22222&gt;=关键词词频统计!$A$2,IF(搜索词报告!$A$2:$A$22222&lt;=关键词词频统计!$A$4,搜索词报告!$N$2:$N$22222,0),0),0))</f>
        <v>0</v>
      </c>
      <c r="H174">
        <f t="array" ref="H174">SUM(IF(搜索词报告!$H$2:$H$22222=A174,IF(搜索词报告!$A$2:$A$22222&gt;=关键词词频统计!$A$2,IF(搜索词报告!$A$2:$A$22222&lt;=关键词词频统计!$A$4,搜索词报告!$M$2:$M$22222,0),0),0))</f>
        <v>0</v>
      </c>
      <c r="I174" s="2" t="str">
        <f t="shared" si="18"/>
        <v/>
      </c>
      <c r="J174" t="str">
        <f t="shared" si="19"/>
        <v>点击次数少于10次没有参考性</v>
      </c>
      <c r="K174" s="4" t="str">
        <f>IFERROR(INDEX(搜索词报告!$D$2:$D$22222,MATCH(关键词词频统计!A174,搜索词报告!$H$2:$H$22222,0)),"")</f>
        <v/>
      </c>
      <c r="M174">
        <f t="array" ref="M174">SUM(IF(搜索词报告!$H$2:$H$22222=L174,IF(搜索词报告!$A$2:$A$22222&gt;=$L$2,IF(搜索词报告!$A$2:$A$22222&lt;=$L$4,搜索词报告!$I$2:$I$22222,0),0),0))</f>
        <v>0</v>
      </c>
      <c r="N174">
        <f t="array" ref="N174">SUM(IF(搜索词报告!$H$2:$H$22222=L174,IF(搜索词报告!$A$2:$A$22222&gt;=$L$2,IF(搜索词报告!$A$2:$A$22222&lt;=$L$4,搜索词报告!$J$2:$J$22222,0),0),0))</f>
        <v>0</v>
      </c>
      <c r="O174" s="2">
        <f t="shared" si="20"/>
        <v>0</v>
      </c>
      <c r="P174" s="2">
        <f t="shared" si="21"/>
        <v>0</v>
      </c>
      <c r="Q174">
        <f t="array" ref="Q174">SUM(IF(搜索词报告!$H$2:$H$22222=L174,IF(搜索词报告!$A$2:$A$22222&gt;=$L$2,IF(搜索词报告!$A$2:$A$22222&lt;=$L$4,搜索词报告!$Q$2:$Q$22222,0),0),0))</f>
        <v>0</v>
      </c>
      <c r="R174">
        <f t="array" ref="R174">SUM(IF(搜索词报告!$H$2:$H$22222=L174,IF(搜索词报告!$A$2:$A$22222&gt;=$L$2,IF(搜索词报告!$A$2:$A$22222&lt;=$L$4,搜索词报告!$N$2:$N$22222,0),0),0))</f>
        <v>0</v>
      </c>
      <c r="S174">
        <f t="array" ref="S174">SUM(IF(搜索词报告!$H$2:$H$22222=L174,IF(搜索词报告!$A$2:$A$22222&gt;=$L$2,IF(搜索词报告!$A$2:$A$22222&lt;=$L$4,搜索词报告!$M$2:$M$22222,0),0),0))</f>
        <v>0</v>
      </c>
      <c r="T174" s="2" t="str">
        <f t="shared" si="22"/>
        <v/>
      </c>
      <c r="U174" t="str">
        <f t="shared" si="23"/>
        <v>点击次数少于10次没有参考性</v>
      </c>
      <c r="V174" s="4" t="str">
        <f>IFERROR(INDEX(搜索词报告!$D$2:$D$22222,MATCH(关键词词频统计!L174,搜索词报告!$H$2:$H$22222,0)),"")</f>
        <v/>
      </c>
    </row>
    <row r="175" spans="2:22" x14ac:dyDescent="0.15">
      <c r="B175">
        <f t="array" ref="B175">SUM(IF(搜索词报告!$H$2:$H$22222=A175,IF(搜索词报告!$A$2:$A$22222&gt;=关键词词频统计!$A$2,IF(搜索词报告!$A$2:$A$22222&lt;=关键词词频统计!$A$4,搜索词报告!$I$2:$I$22222,0),0),0))</f>
        <v>0</v>
      </c>
      <c r="C175">
        <f t="array" ref="C175">SUM(IF(搜索词报告!$H$2:$H$22222=A175,IF(搜索词报告!$A$2:$A$22222&gt;=关键词词频统计!$A$2,IF(搜索词报告!$A$2:$A$22222&lt;=关键词词频统计!$A$4,搜索词报告!$J$2:$J$22222,0),0),0))</f>
        <v>0</v>
      </c>
      <c r="D175" s="2">
        <f t="shared" si="16"/>
        <v>0</v>
      </c>
      <c r="E175" s="2">
        <f t="shared" si="17"/>
        <v>0</v>
      </c>
      <c r="F175">
        <f t="array" ref="F175">SUM(IF(搜索词报告!$H$2:$H$22222=A175,IF(搜索词报告!$A$2:$A$22222&gt;=关键词词频统计!$A$2,IF(搜索词报告!$A$2:$A$22222&lt;=关键词词频统计!$A$4,搜索词报告!$Q$2:$Q$22222,0),0),0))</f>
        <v>0</v>
      </c>
      <c r="G175">
        <f t="array" ref="G175">SUM(IF(搜索词报告!$H$2:$H$22222=A175,IF(搜索词报告!$A$2:$A$22222&gt;=关键词词频统计!$A$2,IF(搜索词报告!$A$2:$A$22222&lt;=关键词词频统计!$A$4,搜索词报告!$N$2:$N$22222,0),0),0))</f>
        <v>0</v>
      </c>
      <c r="H175">
        <f t="array" ref="H175">SUM(IF(搜索词报告!$H$2:$H$22222=A175,IF(搜索词报告!$A$2:$A$22222&gt;=关键词词频统计!$A$2,IF(搜索词报告!$A$2:$A$22222&lt;=关键词词频统计!$A$4,搜索词报告!$M$2:$M$22222,0),0),0))</f>
        <v>0</v>
      </c>
      <c r="I175" s="2" t="str">
        <f t="shared" si="18"/>
        <v/>
      </c>
      <c r="J175" t="str">
        <f t="shared" si="19"/>
        <v>点击次数少于10次没有参考性</v>
      </c>
      <c r="K175" s="4" t="str">
        <f>IFERROR(INDEX(搜索词报告!$D$2:$D$22222,MATCH(关键词词频统计!A175,搜索词报告!$H$2:$H$22222,0)),"")</f>
        <v/>
      </c>
      <c r="M175">
        <f t="array" ref="M175">SUM(IF(搜索词报告!$H$2:$H$22222=L175,IF(搜索词报告!$A$2:$A$22222&gt;=$L$2,IF(搜索词报告!$A$2:$A$22222&lt;=$L$4,搜索词报告!$I$2:$I$22222,0),0),0))</f>
        <v>0</v>
      </c>
      <c r="N175">
        <f t="array" ref="N175">SUM(IF(搜索词报告!$H$2:$H$22222=L175,IF(搜索词报告!$A$2:$A$22222&gt;=$L$2,IF(搜索词报告!$A$2:$A$22222&lt;=$L$4,搜索词报告!$J$2:$J$22222,0),0),0))</f>
        <v>0</v>
      </c>
      <c r="O175" s="2">
        <f t="shared" si="20"/>
        <v>0</v>
      </c>
      <c r="P175" s="2">
        <f t="shared" si="21"/>
        <v>0</v>
      </c>
      <c r="Q175">
        <f t="array" ref="Q175">SUM(IF(搜索词报告!$H$2:$H$22222=L175,IF(搜索词报告!$A$2:$A$22222&gt;=$L$2,IF(搜索词报告!$A$2:$A$22222&lt;=$L$4,搜索词报告!$Q$2:$Q$22222,0),0),0))</f>
        <v>0</v>
      </c>
      <c r="R175">
        <f t="array" ref="R175">SUM(IF(搜索词报告!$H$2:$H$22222=L175,IF(搜索词报告!$A$2:$A$22222&gt;=$L$2,IF(搜索词报告!$A$2:$A$22222&lt;=$L$4,搜索词报告!$N$2:$N$22222,0),0),0))</f>
        <v>0</v>
      </c>
      <c r="S175">
        <f t="array" ref="S175">SUM(IF(搜索词报告!$H$2:$H$22222=L175,IF(搜索词报告!$A$2:$A$22222&gt;=$L$2,IF(搜索词报告!$A$2:$A$22222&lt;=$L$4,搜索词报告!$M$2:$M$22222,0),0),0))</f>
        <v>0</v>
      </c>
      <c r="T175" s="2" t="str">
        <f t="shared" si="22"/>
        <v/>
      </c>
      <c r="U175" t="str">
        <f t="shared" si="23"/>
        <v>点击次数少于10次没有参考性</v>
      </c>
      <c r="V175" s="4" t="str">
        <f>IFERROR(INDEX(搜索词报告!$D$2:$D$22222,MATCH(关键词词频统计!L175,搜索词报告!$H$2:$H$22222,0)),"")</f>
        <v/>
      </c>
    </row>
    <row r="176" spans="2:22" x14ac:dyDescent="0.15">
      <c r="B176">
        <f t="array" ref="B176">SUM(IF(搜索词报告!$H$2:$H$22222=A176,IF(搜索词报告!$A$2:$A$22222&gt;=关键词词频统计!$A$2,IF(搜索词报告!$A$2:$A$22222&lt;=关键词词频统计!$A$4,搜索词报告!$I$2:$I$22222,0),0),0))</f>
        <v>0</v>
      </c>
      <c r="C176">
        <f t="array" ref="C176">SUM(IF(搜索词报告!$H$2:$H$22222=A176,IF(搜索词报告!$A$2:$A$22222&gt;=关键词词频统计!$A$2,IF(搜索词报告!$A$2:$A$22222&lt;=关键词词频统计!$A$4,搜索词报告!$J$2:$J$22222,0),0),0))</f>
        <v>0</v>
      </c>
      <c r="D176" s="2">
        <f t="shared" si="16"/>
        <v>0</v>
      </c>
      <c r="E176" s="2">
        <f t="shared" si="17"/>
        <v>0</v>
      </c>
      <c r="F176">
        <f t="array" ref="F176">SUM(IF(搜索词报告!$H$2:$H$22222=A176,IF(搜索词报告!$A$2:$A$22222&gt;=关键词词频统计!$A$2,IF(搜索词报告!$A$2:$A$22222&lt;=关键词词频统计!$A$4,搜索词报告!$Q$2:$Q$22222,0),0),0))</f>
        <v>0</v>
      </c>
      <c r="G176">
        <f t="array" ref="G176">SUM(IF(搜索词报告!$H$2:$H$22222=A176,IF(搜索词报告!$A$2:$A$22222&gt;=关键词词频统计!$A$2,IF(搜索词报告!$A$2:$A$22222&lt;=关键词词频统计!$A$4,搜索词报告!$N$2:$N$22222,0),0),0))</f>
        <v>0</v>
      </c>
      <c r="H176">
        <f t="array" ref="H176">SUM(IF(搜索词报告!$H$2:$H$22222=A176,IF(搜索词报告!$A$2:$A$22222&gt;=关键词词频统计!$A$2,IF(搜索词报告!$A$2:$A$22222&lt;=关键词词频统计!$A$4,搜索词报告!$M$2:$M$22222,0),0),0))</f>
        <v>0</v>
      </c>
      <c r="I176" s="2" t="str">
        <f t="shared" si="18"/>
        <v/>
      </c>
      <c r="J176" t="str">
        <f t="shared" si="19"/>
        <v>点击次数少于10次没有参考性</v>
      </c>
      <c r="K176" s="4" t="str">
        <f>IFERROR(INDEX(搜索词报告!$D$2:$D$22222,MATCH(关键词词频统计!A176,搜索词报告!$H$2:$H$22222,0)),"")</f>
        <v/>
      </c>
      <c r="M176">
        <f t="array" ref="M176">SUM(IF(搜索词报告!$H$2:$H$22222=L176,IF(搜索词报告!$A$2:$A$22222&gt;=$L$2,IF(搜索词报告!$A$2:$A$22222&lt;=$L$4,搜索词报告!$I$2:$I$22222,0),0),0))</f>
        <v>0</v>
      </c>
      <c r="N176">
        <f t="array" ref="N176">SUM(IF(搜索词报告!$H$2:$H$22222=L176,IF(搜索词报告!$A$2:$A$22222&gt;=$L$2,IF(搜索词报告!$A$2:$A$22222&lt;=$L$4,搜索词报告!$J$2:$J$22222,0),0),0))</f>
        <v>0</v>
      </c>
      <c r="O176" s="2">
        <f t="shared" si="20"/>
        <v>0</v>
      </c>
      <c r="P176" s="2">
        <f t="shared" si="21"/>
        <v>0</v>
      </c>
      <c r="Q176">
        <f t="array" ref="Q176">SUM(IF(搜索词报告!$H$2:$H$22222=L176,IF(搜索词报告!$A$2:$A$22222&gt;=$L$2,IF(搜索词报告!$A$2:$A$22222&lt;=$L$4,搜索词报告!$Q$2:$Q$22222,0),0),0))</f>
        <v>0</v>
      </c>
      <c r="R176">
        <f t="array" ref="R176">SUM(IF(搜索词报告!$H$2:$H$22222=L176,IF(搜索词报告!$A$2:$A$22222&gt;=$L$2,IF(搜索词报告!$A$2:$A$22222&lt;=$L$4,搜索词报告!$N$2:$N$22222,0),0),0))</f>
        <v>0</v>
      </c>
      <c r="S176">
        <f t="array" ref="S176">SUM(IF(搜索词报告!$H$2:$H$22222=L176,IF(搜索词报告!$A$2:$A$22222&gt;=$L$2,IF(搜索词报告!$A$2:$A$22222&lt;=$L$4,搜索词报告!$M$2:$M$22222,0),0),0))</f>
        <v>0</v>
      </c>
      <c r="T176" s="2" t="str">
        <f t="shared" si="22"/>
        <v/>
      </c>
      <c r="U176" t="str">
        <f t="shared" si="23"/>
        <v>点击次数少于10次没有参考性</v>
      </c>
      <c r="V176" s="4" t="str">
        <f>IFERROR(INDEX(搜索词报告!$D$2:$D$22222,MATCH(关键词词频统计!L176,搜索词报告!$H$2:$H$22222,0)),"")</f>
        <v/>
      </c>
    </row>
    <row r="177" spans="2:22" x14ac:dyDescent="0.15">
      <c r="B177">
        <f t="array" ref="B177">SUM(IF(搜索词报告!$H$2:$H$22222=A177,IF(搜索词报告!$A$2:$A$22222&gt;=关键词词频统计!$A$2,IF(搜索词报告!$A$2:$A$22222&lt;=关键词词频统计!$A$4,搜索词报告!$I$2:$I$22222,0),0),0))</f>
        <v>0</v>
      </c>
      <c r="C177">
        <f t="array" ref="C177">SUM(IF(搜索词报告!$H$2:$H$22222=A177,IF(搜索词报告!$A$2:$A$22222&gt;=关键词词频统计!$A$2,IF(搜索词报告!$A$2:$A$22222&lt;=关键词词频统计!$A$4,搜索词报告!$J$2:$J$22222,0),0),0))</f>
        <v>0</v>
      </c>
      <c r="D177" s="2">
        <f t="shared" si="16"/>
        <v>0</v>
      </c>
      <c r="E177" s="2">
        <f t="shared" si="17"/>
        <v>0</v>
      </c>
      <c r="F177">
        <f t="array" ref="F177">SUM(IF(搜索词报告!$H$2:$H$22222=A177,IF(搜索词报告!$A$2:$A$22222&gt;=关键词词频统计!$A$2,IF(搜索词报告!$A$2:$A$22222&lt;=关键词词频统计!$A$4,搜索词报告!$Q$2:$Q$22222,0),0),0))</f>
        <v>0</v>
      </c>
      <c r="G177">
        <f t="array" ref="G177">SUM(IF(搜索词报告!$H$2:$H$22222=A177,IF(搜索词报告!$A$2:$A$22222&gt;=关键词词频统计!$A$2,IF(搜索词报告!$A$2:$A$22222&lt;=关键词词频统计!$A$4,搜索词报告!$N$2:$N$22222,0),0),0))</f>
        <v>0</v>
      </c>
      <c r="H177">
        <f t="array" ref="H177">SUM(IF(搜索词报告!$H$2:$H$22222=A177,IF(搜索词报告!$A$2:$A$22222&gt;=关键词词频统计!$A$2,IF(搜索词报告!$A$2:$A$22222&lt;=关键词词频统计!$A$4,搜索词报告!$M$2:$M$22222,0),0),0))</f>
        <v>0</v>
      </c>
      <c r="I177" s="2" t="str">
        <f t="shared" si="18"/>
        <v/>
      </c>
      <c r="J177" t="str">
        <f t="shared" si="19"/>
        <v>点击次数少于10次没有参考性</v>
      </c>
      <c r="K177" s="4" t="str">
        <f>IFERROR(INDEX(搜索词报告!$D$2:$D$22222,MATCH(关键词词频统计!A177,搜索词报告!$H$2:$H$22222,0)),"")</f>
        <v/>
      </c>
      <c r="M177">
        <f t="array" ref="M177">SUM(IF(搜索词报告!$H$2:$H$22222=L177,IF(搜索词报告!$A$2:$A$22222&gt;=$L$2,IF(搜索词报告!$A$2:$A$22222&lt;=$L$4,搜索词报告!$I$2:$I$22222,0),0),0))</f>
        <v>0</v>
      </c>
      <c r="N177">
        <f t="array" ref="N177">SUM(IF(搜索词报告!$H$2:$H$22222=L177,IF(搜索词报告!$A$2:$A$22222&gt;=$L$2,IF(搜索词报告!$A$2:$A$22222&lt;=$L$4,搜索词报告!$J$2:$J$22222,0),0),0))</f>
        <v>0</v>
      </c>
      <c r="O177" s="2">
        <f t="shared" si="20"/>
        <v>0</v>
      </c>
      <c r="P177" s="2">
        <f t="shared" si="21"/>
        <v>0</v>
      </c>
      <c r="Q177">
        <f t="array" ref="Q177">SUM(IF(搜索词报告!$H$2:$H$22222=L177,IF(搜索词报告!$A$2:$A$22222&gt;=$L$2,IF(搜索词报告!$A$2:$A$22222&lt;=$L$4,搜索词报告!$Q$2:$Q$22222,0),0),0))</f>
        <v>0</v>
      </c>
      <c r="R177">
        <f t="array" ref="R177">SUM(IF(搜索词报告!$H$2:$H$22222=L177,IF(搜索词报告!$A$2:$A$22222&gt;=$L$2,IF(搜索词报告!$A$2:$A$22222&lt;=$L$4,搜索词报告!$N$2:$N$22222,0),0),0))</f>
        <v>0</v>
      </c>
      <c r="S177">
        <f t="array" ref="S177">SUM(IF(搜索词报告!$H$2:$H$22222=L177,IF(搜索词报告!$A$2:$A$22222&gt;=$L$2,IF(搜索词报告!$A$2:$A$22222&lt;=$L$4,搜索词报告!$M$2:$M$22222,0),0),0))</f>
        <v>0</v>
      </c>
      <c r="T177" s="2" t="str">
        <f t="shared" si="22"/>
        <v/>
      </c>
      <c r="U177" t="str">
        <f t="shared" si="23"/>
        <v>点击次数少于10次没有参考性</v>
      </c>
      <c r="V177" s="4" t="str">
        <f>IFERROR(INDEX(搜索词报告!$D$2:$D$22222,MATCH(关键词词频统计!L177,搜索词报告!$H$2:$H$22222,0)),"")</f>
        <v/>
      </c>
    </row>
    <row r="178" spans="2:22" x14ac:dyDescent="0.15">
      <c r="B178">
        <f t="array" ref="B178">SUM(IF(搜索词报告!$H$2:$H$22222=A178,IF(搜索词报告!$A$2:$A$22222&gt;=关键词词频统计!$A$2,IF(搜索词报告!$A$2:$A$22222&lt;=关键词词频统计!$A$4,搜索词报告!$I$2:$I$22222,0),0),0))</f>
        <v>0</v>
      </c>
      <c r="C178">
        <f t="array" ref="C178">SUM(IF(搜索词报告!$H$2:$H$22222=A178,IF(搜索词报告!$A$2:$A$22222&gt;=关键词词频统计!$A$2,IF(搜索词报告!$A$2:$A$22222&lt;=关键词词频统计!$A$4,搜索词报告!$J$2:$J$22222,0),0),0))</f>
        <v>0</v>
      </c>
      <c r="D178" s="2">
        <f t="shared" si="16"/>
        <v>0</v>
      </c>
      <c r="E178" s="2">
        <f t="shared" si="17"/>
        <v>0</v>
      </c>
      <c r="F178">
        <f t="array" ref="F178">SUM(IF(搜索词报告!$H$2:$H$22222=A178,IF(搜索词报告!$A$2:$A$22222&gt;=关键词词频统计!$A$2,IF(搜索词报告!$A$2:$A$22222&lt;=关键词词频统计!$A$4,搜索词报告!$Q$2:$Q$22222,0),0),0))</f>
        <v>0</v>
      </c>
      <c r="G178">
        <f t="array" ref="G178">SUM(IF(搜索词报告!$H$2:$H$22222=A178,IF(搜索词报告!$A$2:$A$22222&gt;=关键词词频统计!$A$2,IF(搜索词报告!$A$2:$A$22222&lt;=关键词词频统计!$A$4,搜索词报告!$N$2:$N$22222,0),0),0))</f>
        <v>0</v>
      </c>
      <c r="H178">
        <f t="array" ref="H178">SUM(IF(搜索词报告!$H$2:$H$22222=A178,IF(搜索词报告!$A$2:$A$22222&gt;=关键词词频统计!$A$2,IF(搜索词报告!$A$2:$A$22222&lt;=关键词词频统计!$A$4,搜索词报告!$M$2:$M$22222,0),0),0))</f>
        <v>0</v>
      </c>
      <c r="I178" s="2" t="str">
        <f t="shared" si="18"/>
        <v/>
      </c>
      <c r="J178" t="str">
        <f t="shared" si="19"/>
        <v>点击次数少于10次没有参考性</v>
      </c>
      <c r="K178" s="4" t="str">
        <f>IFERROR(INDEX(搜索词报告!$D$2:$D$22222,MATCH(关键词词频统计!A178,搜索词报告!$H$2:$H$22222,0)),"")</f>
        <v/>
      </c>
      <c r="M178">
        <f t="array" ref="M178">SUM(IF(搜索词报告!$H$2:$H$22222=L178,IF(搜索词报告!$A$2:$A$22222&gt;=$L$2,IF(搜索词报告!$A$2:$A$22222&lt;=$L$4,搜索词报告!$I$2:$I$22222,0),0),0))</f>
        <v>0</v>
      </c>
      <c r="N178">
        <f t="array" ref="N178">SUM(IF(搜索词报告!$H$2:$H$22222=L178,IF(搜索词报告!$A$2:$A$22222&gt;=$L$2,IF(搜索词报告!$A$2:$A$22222&lt;=$L$4,搜索词报告!$J$2:$J$22222,0),0),0))</f>
        <v>0</v>
      </c>
      <c r="O178" s="2">
        <f t="shared" si="20"/>
        <v>0</v>
      </c>
      <c r="P178" s="2">
        <f t="shared" si="21"/>
        <v>0</v>
      </c>
      <c r="Q178">
        <f t="array" ref="Q178">SUM(IF(搜索词报告!$H$2:$H$22222=L178,IF(搜索词报告!$A$2:$A$22222&gt;=$L$2,IF(搜索词报告!$A$2:$A$22222&lt;=$L$4,搜索词报告!$Q$2:$Q$22222,0),0),0))</f>
        <v>0</v>
      </c>
      <c r="R178">
        <f t="array" ref="R178">SUM(IF(搜索词报告!$H$2:$H$22222=L178,IF(搜索词报告!$A$2:$A$22222&gt;=$L$2,IF(搜索词报告!$A$2:$A$22222&lt;=$L$4,搜索词报告!$N$2:$N$22222,0),0),0))</f>
        <v>0</v>
      </c>
      <c r="S178">
        <f t="array" ref="S178">SUM(IF(搜索词报告!$H$2:$H$22222=L178,IF(搜索词报告!$A$2:$A$22222&gt;=$L$2,IF(搜索词报告!$A$2:$A$22222&lt;=$L$4,搜索词报告!$M$2:$M$22222,0),0),0))</f>
        <v>0</v>
      </c>
      <c r="T178" s="2" t="str">
        <f t="shared" si="22"/>
        <v/>
      </c>
      <c r="U178" t="str">
        <f t="shared" si="23"/>
        <v>点击次数少于10次没有参考性</v>
      </c>
      <c r="V178" s="4" t="str">
        <f>IFERROR(INDEX(搜索词报告!$D$2:$D$22222,MATCH(关键词词频统计!L178,搜索词报告!$H$2:$H$22222,0)),"")</f>
        <v/>
      </c>
    </row>
    <row r="179" spans="2:22" x14ac:dyDescent="0.15">
      <c r="B179">
        <f t="array" ref="B179">SUM(IF(搜索词报告!$H$2:$H$22222=A179,IF(搜索词报告!$A$2:$A$22222&gt;=关键词词频统计!$A$2,IF(搜索词报告!$A$2:$A$22222&lt;=关键词词频统计!$A$4,搜索词报告!$I$2:$I$22222,0),0),0))</f>
        <v>0</v>
      </c>
      <c r="C179">
        <f t="array" ref="C179">SUM(IF(搜索词报告!$H$2:$H$22222=A179,IF(搜索词报告!$A$2:$A$22222&gt;=关键词词频统计!$A$2,IF(搜索词报告!$A$2:$A$22222&lt;=关键词词频统计!$A$4,搜索词报告!$J$2:$J$22222,0),0),0))</f>
        <v>0</v>
      </c>
      <c r="D179" s="2">
        <f t="shared" si="16"/>
        <v>0</v>
      </c>
      <c r="E179" s="2">
        <f t="shared" si="17"/>
        <v>0</v>
      </c>
      <c r="F179">
        <f t="array" ref="F179">SUM(IF(搜索词报告!$H$2:$H$22222=A179,IF(搜索词报告!$A$2:$A$22222&gt;=关键词词频统计!$A$2,IF(搜索词报告!$A$2:$A$22222&lt;=关键词词频统计!$A$4,搜索词报告!$Q$2:$Q$22222,0),0),0))</f>
        <v>0</v>
      </c>
      <c r="G179">
        <f t="array" ref="G179">SUM(IF(搜索词报告!$H$2:$H$22222=A179,IF(搜索词报告!$A$2:$A$22222&gt;=关键词词频统计!$A$2,IF(搜索词报告!$A$2:$A$22222&lt;=关键词词频统计!$A$4,搜索词报告!$N$2:$N$22222,0),0),0))</f>
        <v>0</v>
      </c>
      <c r="H179">
        <f t="array" ref="H179">SUM(IF(搜索词报告!$H$2:$H$22222=A179,IF(搜索词报告!$A$2:$A$22222&gt;=关键词词频统计!$A$2,IF(搜索词报告!$A$2:$A$22222&lt;=关键词词频统计!$A$4,搜索词报告!$M$2:$M$22222,0),0),0))</f>
        <v>0</v>
      </c>
      <c r="I179" s="2" t="str">
        <f t="shared" si="18"/>
        <v/>
      </c>
      <c r="J179" t="str">
        <f t="shared" si="19"/>
        <v>点击次数少于10次没有参考性</v>
      </c>
      <c r="K179" s="4" t="str">
        <f>IFERROR(INDEX(搜索词报告!$D$2:$D$22222,MATCH(关键词词频统计!A179,搜索词报告!$H$2:$H$22222,0)),"")</f>
        <v/>
      </c>
      <c r="M179">
        <f t="array" ref="M179">SUM(IF(搜索词报告!$H$2:$H$22222=L179,IF(搜索词报告!$A$2:$A$22222&gt;=$L$2,IF(搜索词报告!$A$2:$A$22222&lt;=$L$4,搜索词报告!$I$2:$I$22222,0),0),0))</f>
        <v>0</v>
      </c>
      <c r="N179">
        <f t="array" ref="N179">SUM(IF(搜索词报告!$H$2:$H$22222=L179,IF(搜索词报告!$A$2:$A$22222&gt;=$L$2,IF(搜索词报告!$A$2:$A$22222&lt;=$L$4,搜索词报告!$J$2:$J$22222,0),0),0))</f>
        <v>0</v>
      </c>
      <c r="O179" s="2">
        <f t="shared" si="20"/>
        <v>0</v>
      </c>
      <c r="P179" s="2">
        <f t="shared" si="21"/>
        <v>0</v>
      </c>
      <c r="Q179">
        <f t="array" ref="Q179">SUM(IF(搜索词报告!$H$2:$H$22222=L179,IF(搜索词报告!$A$2:$A$22222&gt;=$L$2,IF(搜索词报告!$A$2:$A$22222&lt;=$L$4,搜索词报告!$Q$2:$Q$22222,0),0),0))</f>
        <v>0</v>
      </c>
      <c r="R179">
        <f t="array" ref="R179">SUM(IF(搜索词报告!$H$2:$H$22222=L179,IF(搜索词报告!$A$2:$A$22222&gt;=$L$2,IF(搜索词报告!$A$2:$A$22222&lt;=$L$4,搜索词报告!$N$2:$N$22222,0),0),0))</f>
        <v>0</v>
      </c>
      <c r="S179">
        <f t="array" ref="S179">SUM(IF(搜索词报告!$H$2:$H$22222=L179,IF(搜索词报告!$A$2:$A$22222&gt;=$L$2,IF(搜索词报告!$A$2:$A$22222&lt;=$L$4,搜索词报告!$M$2:$M$22222,0),0),0))</f>
        <v>0</v>
      </c>
      <c r="T179" s="2" t="str">
        <f t="shared" si="22"/>
        <v/>
      </c>
      <c r="U179" t="str">
        <f t="shared" si="23"/>
        <v>点击次数少于10次没有参考性</v>
      </c>
      <c r="V179" s="4" t="str">
        <f>IFERROR(INDEX(搜索词报告!$D$2:$D$22222,MATCH(关键词词频统计!L179,搜索词报告!$H$2:$H$22222,0)),"")</f>
        <v/>
      </c>
    </row>
    <row r="180" spans="2:22" x14ac:dyDescent="0.15">
      <c r="B180">
        <f t="array" ref="B180">SUM(IF(搜索词报告!$H$2:$H$22222=A180,IF(搜索词报告!$A$2:$A$22222&gt;=关键词词频统计!$A$2,IF(搜索词报告!$A$2:$A$22222&lt;=关键词词频统计!$A$4,搜索词报告!$I$2:$I$22222,0),0),0))</f>
        <v>0</v>
      </c>
      <c r="C180">
        <f t="array" ref="C180">SUM(IF(搜索词报告!$H$2:$H$22222=A180,IF(搜索词报告!$A$2:$A$22222&gt;=关键词词频统计!$A$2,IF(搜索词报告!$A$2:$A$22222&lt;=关键词词频统计!$A$4,搜索词报告!$J$2:$J$22222,0),0),0))</f>
        <v>0</v>
      </c>
      <c r="D180" s="2">
        <f t="shared" si="16"/>
        <v>0</v>
      </c>
      <c r="E180" s="2">
        <f t="shared" si="17"/>
        <v>0</v>
      </c>
      <c r="F180">
        <f t="array" ref="F180">SUM(IF(搜索词报告!$H$2:$H$22222=A180,IF(搜索词报告!$A$2:$A$22222&gt;=关键词词频统计!$A$2,IF(搜索词报告!$A$2:$A$22222&lt;=关键词词频统计!$A$4,搜索词报告!$Q$2:$Q$22222,0),0),0))</f>
        <v>0</v>
      </c>
      <c r="G180">
        <f t="array" ref="G180">SUM(IF(搜索词报告!$H$2:$H$22222=A180,IF(搜索词报告!$A$2:$A$22222&gt;=关键词词频统计!$A$2,IF(搜索词报告!$A$2:$A$22222&lt;=关键词词频统计!$A$4,搜索词报告!$N$2:$N$22222,0),0),0))</f>
        <v>0</v>
      </c>
      <c r="H180">
        <f t="array" ref="H180">SUM(IF(搜索词报告!$H$2:$H$22222=A180,IF(搜索词报告!$A$2:$A$22222&gt;=关键词词频统计!$A$2,IF(搜索词报告!$A$2:$A$22222&lt;=关键词词频统计!$A$4,搜索词报告!$M$2:$M$22222,0),0),0))</f>
        <v>0</v>
      </c>
      <c r="I180" s="2" t="str">
        <f t="shared" si="18"/>
        <v/>
      </c>
      <c r="J180" t="str">
        <f t="shared" si="19"/>
        <v>点击次数少于10次没有参考性</v>
      </c>
      <c r="K180" s="4" t="str">
        <f>IFERROR(INDEX(搜索词报告!$D$2:$D$22222,MATCH(关键词词频统计!A180,搜索词报告!$H$2:$H$22222,0)),"")</f>
        <v/>
      </c>
      <c r="M180">
        <f t="array" ref="M180">SUM(IF(搜索词报告!$H$2:$H$22222=L180,IF(搜索词报告!$A$2:$A$22222&gt;=$L$2,IF(搜索词报告!$A$2:$A$22222&lt;=$L$4,搜索词报告!$I$2:$I$22222,0),0),0))</f>
        <v>0</v>
      </c>
      <c r="N180">
        <f t="array" ref="N180">SUM(IF(搜索词报告!$H$2:$H$22222=L180,IF(搜索词报告!$A$2:$A$22222&gt;=$L$2,IF(搜索词报告!$A$2:$A$22222&lt;=$L$4,搜索词报告!$J$2:$J$22222,0),0),0))</f>
        <v>0</v>
      </c>
      <c r="O180" s="2">
        <f t="shared" si="20"/>
        <v>0</v>
      </c>
      <c r="P180" s="2">
        <f t="shared" si="21"/>
        <v>0</v>
      </c>
      <c r="Q180">
        <f t="array" ref="Q180">SUM(IF(搜索词报告!$H$2:$H$22222=L180,IF(搜索词报告!$A$2:$A$22222&gt;=$L$2,IF(搜索词报告!$A$2:$A$22222&lt;=$L$4,搜索词报告!$Q$2:$Q$22222,0),0),0))</f>
        <v>0</v>
      </c>
      <c r="R180">
        <f t="array" ref="R180">SUM(IF(搜索词报告!$H$2:$H$22222=L180,IF(搜索词报告!$A$2:$A$22222&gt;=$L$2,IF(搜索词报告!$A$2:$A$22222&lt;=$L$4,搜索词报告!$N$2:$N$22222,0),0),0))</f>
        <v>0</v>
      </c>
      <c r="S180">
        <f t="array" ref="S180">SUM(IF(搜索词报告!$H$2:$H$22222=L180,IF(搜索词报告!$A$2:$A$22222&gt;=$L$2,IF(搜索词报告!$A$2:$A$22222&lt;=$L$4,搜索词报告!$M$2:$M$22222,0),0),0))</f>
        <v>0</v>
      </c>
      <c r="T180" s="2" t="str">
        <f t="shared" si="22"/>
        <v/>
      </c>
      <c r="U180" t="str">
        <f t="shared" si="23"/>
        <v>点击次数少于10次没有参考性</v>
      </c>
      <c r="V180" s="4" t="str">
        <f>IFERROR(INDEX(搜索词报告!$D$2:$D$22222,MATCH(关键词词频统计!L180,搜索词报告!$H$2:$H$22222,0)),"")</f>
        <v/>
      </c>
    </row>
    <row r="181" spans="2:22" x14ac:dyDescent="0.15">
      <c r="B181">
        <f t="array" ref="B181">SUM(IF(搜索词报告!$H$2:$H$22222=A181,IF(搜索词报告!$A$2:$A$22222&gt;=关键词词频统计!$A$2,IF(搜索词报告!$A$2:$A$22222&lt;=关键词词频统计!$A$4,搜索词报告!$I$2:$I$22222,0),0),0))</f>
        <v>0</v>
      </c>
      <c r="C181">
        <f t="array" ref="C181">SUM(IF(搜索词报告!$H$2:$H$22222=A181,IF(搜索词报告!$A$2:$A$22222&gt;=关键词词频统计!$A$2,IF(搜索词报告!$A$2:$A$22222&lt;=关键词词频统计!$A$4,搜索词报告!$J$2:$J$22222,0),0),0))</f>
        <v>0</v>
      </c>
      <c r="D181" s="2">
        <f t="shared" si="16"/>
        <v>0</v>
      </c>
      <c r="E181" s="2">
        <f t="shared" si="17"/>
        <v>0</v>
      </c>
      <c r="F181">
        <f t="array" ref="F181">SUM(IF(搜索词报告!$H$2:$H$22222=A181,IF(搜索词报告!$A$2:$A$22222&gt;=关键词词频统计!$A$2,IF(搜索词报告!$A$2:$A$22222&lt;=关键词词频统计!$A$4,搜索词报告!$Q$2:$Q$22222,0),0),0))</f>
        <v>0</v>
      </c>
      <c r="G181">
        <f t="array" ref="G181">SUM(IF(搜索词报告!$H$2:$H$22222=A181,IF(搜索词报告!$A$2:$A$22222&gt;=关键词词频统计!$A$2,IF(搜索词报告!$A$2:$A$22222&lt;=关键词词频统计!$A$4,搜索词报告!$N$2:$N$22222,0),0),0))</f>
        <v>0</v>
      </c>
      <c r="H181">
        <f t="array" ref="H181">SUM(IF(搜索词报告!$H$2:$H$22222=A181,IF(搜索词报告!$A$2:$A$22222&gt;=关键词词频统计!$A$2,IF(搜索词报告!$A$2:$A$22222&lt;=关键词词频统计!$A$4,搜索词报告!$M$2:$M$22222,0),0),0))</f>
        <v>0</v>
      </c>
      <c r="I181" s="2" t="str">
        <f t="shared" si="18"/>
        <v/>
      </c>
      <c r="J181" t="str">
        <f t="shared" si="19"/>
        <v>点击次数少于10次没有参考性</v>
      </c>
      <c r="K181" s="4" t="str">
        <f>IFERROR(INDEX(搜索词报告!$D$2:$D$22222,MATCH(关键词词频统计!A181,搜索词报告!$H$2:$H$22222,0)),"")</f>
        <v/>
      </c>
      <c r="M181">
        <f t="array" ref="M181">SUM(IF(搜索词报告!$H$2:$H$22222=L181,IF(搜索词报告!$A$2:$A$22222&gt;=$L$2,IF(搜索词报告!$A$2:$A$22222&lt;=$L$4,搜索词报告!$I$2:$I$22222,0),0),0))</f>
        <v>0</v>
      </c>
      <c r="N181">
        <f t="array" ref="N181">SUM(IF(搜索词报告!$H$2:$H$22222=L181,IF(搜索词报告!$A$2:$A$22222&gt;=$L$2,IF(搜索词报告!$A$2:$A$22222&lt;=$L$4,搜索词报告!$J$2:$J$22222,0),0),0))</f>
        <v>0</v>
      </c>
      <c r="O181" s="2">
        <f t="shared" si="20"/>
        <v>0</v>
      </c>
      <c r="P181" s="2">
        <f t="shared" si="21"/>
        <v>0</v>
      </c>
      <c r="Q181">
        <f t="array" ref="Q181">SUM(IF(搜索词报告!$H$2:$H$22222=L181,IF(搜索词报告!$A$2:$A$22222&gt;=$L$2,IF(搜索词报告!$A$2:$A$22222&lt;=$L$4,搜索词报告!$Q$2:$Q$22222,0),0),0))</f>
        <v>0</v>
      </c>
      <c r="R181">
        <f t="array" ref="R181">SUM(IF(搜索词报告!$H$2:$H$22222=L181,IF(搜索词报告!$A$2:$A$22222&gt;=$L$2,IF(搜索词报告!$A$2:$A$22222&lt;=$L$4,搜索词报告!$N$2:$N$22222,0),0),0))</f>
        <v>0</v>
      </c>
      <c r="S181">
        <f t="array" ref="S181">SUM(IF(搜索词报告!$H$2:$H$22222=L181,IF(搜索词报告!$A$2:$A$22222&gt;=$L$2,IF(搜索词报告!$A$2:$A$22222&lt;=$L$4,搜索词报告!$M$2:$M$22222,0),0),0))</f>
        <v>0</v>
      </c>
      <c r="T181" s="2" t="str">
        <f t="shared" si="22"/>
        <v/>
      </c>
      <c r="U181" t="str">
        <f t="shared" si="23"/>
        <v>点击次数少于10次没有参考性</v>
      </c>
      <c r="V181" s="4" t="str">
        <f>IFERROR(INDEX(搜索词报告!$D$2:$D$22222,MATCH(关键词词频统计!L181,搜索词报告!$H$2:$H$22222,0)),"")</f>
        <v/>
      </c>
    </row>
    <row r="182" spans="2:22" x14ac:dyDescent="0.15">
      <c r="B182">
        <f t="array" ref="B182">SUM(IF(搜索词报告!$H$2:$H$22222=A182,IF(搜索词报告!$A$2:$A$22222&gt;=关键词词频统计!$A$2,IF(搜索词报告!$A$2:$A$22222&lt;=关键词词频统计!$A$4,搜索词报告!$I$2:$I$22222,0),0),0))</f>
        <v>0</v>
      </c>
      <c r="C182">
        <f t="array" ref="C182">SUM(IF(搜索词报告!$H$2:$H$22222=A182,IF(搜索词报告!$A$2:$A$22222&gt;=关键词词频统计!$A$2,IF(搜索词报告!$A$2:$A$22222&lt;=关键词词频统计!$A$4,搜索词报告!$J$2:$J$22222,0),0),0))</f>
        <v>0</v>
      </c>
      <c r="D182" s="2">
        <f t="shared" si="16"/>
        <v>0</v>
      </c>
      <c r="E182" s="2">
        <f t="shared" si="17"/>
        <v>0</v>
      </c>
      <c r="F182">
        <f t="array" ref="F182">SUM(IF(搜索词报告!$H$2:$H$22222=A182,IF(搜索词报告!$A$2:$A$22222&gt;=关键词词频统计!$A$2,IF(搜索词报告!$A$2:$A$22222&lt;=关键词词频统计!$A$4,搜索词报告!$Q$2:$Q$22222,0),0),0))</f>
        <v>0</v>
      </c>
      <c r="G182">
        <f t="array" ref="G182">SUM(IF(搜索词报告!$H$2:$H$22222=A182,IF(搜索词报告!$A$2:$A$22222&gt;=关键词词频统计!$A$2,IF(搜索词报告!$A$2:$A$22222&lt;=关键词词频统计!$A$4,搜索词报告!$N$2:$N$22222,0),0),0))</f>
        <v>0</v>
      </c>
      <c r="H182">
        <f t="array" ref="H182">SUM(IF(搜索词报告!$H$2:$H$22222=A182,IF(搜索词报告!$A$2:$A$22222&gt;=关键词词频统计!$A$2,IF(搜索词报告!$A$2:$A$22222&lt;=关键词词频统计!$A$4,搜索词报告!$M$2:$M$22222,0),0),0))</f>
        <v>0</v>
      </c>
      <c r="I182" s="2" t="str">
        <f t="shared" si="18"/>
        <v/>
      </c>
      <c r="J182" t="str">
        <f t="shared" si="19"/>
        <v>点击次数少于10次没有参考性</v>
      </c>
      <c r="K182" s="4" t="str">
        <f>IFERROR(INDEX(搜索词报告!$D$2:$D$22222,MATCH(关键词词频统计!A182,搜索词报告!$H$2:$H$22222,0)),"")</f>
        <v/>
      </c>
      <c r="M182">
        <f t="array" ref="M182">SUM(IF(搜索词报告!$H$2:$H$22222=L182,IF(搜索词报告!$A$2:$A$22222&gt;=$L$2,IF(搜索词报告!$A$2:$A$22222&lt;=$L$4,搜索词报告!$I$2:$I$22222,0),0),0))</f>
        <v>0</v>
      </c>
      <c r="N182">
        <f t="array" ref="N182">SUM(IF(搜索词报告!$H$2:$H$22222=L182,IF(搜索词报告!$A$2:$A$22222&gt;=$L$2,IF(搜索词报告!$A$2:$A$22222&lt;=$L$4,搜索词报告!$J$2:$J$22222,0),0),0))</f>
        <v>0</v>
      </c>
      <c r="O182" s="2">
        <f t="shared" si="20"/>
        <v>0</v>
      </c>
      <c r="P182" s="2">
        <f t="shared" si="21"/>
        <v>0</v>
      </c>
      <c r="Q182">
        <f t="array" ref="Q182">SUM(IF(搜索词报告!$H$2:$H$22222=L182,IF(搜索词报告!$A$2:$A$22222&gt;=$L$2,IF(搜索词报告!$A$2:$A$22222&lt;=$L$4,搜索词报告!$Q$2:$Q$22222,0),0),0))</f>
        <v>0</v>
      </c>
      <c r="R182">
        <f t="array" ref="R182">SUM(IF(搜索词报告!$H$2:$H$22222=L182,IF(搜索词报告!$A$2:$A$22222&gt;=$L$2,IF(搜索词报告!$A$2:$A$22222&lt;=$L$4,搜索词报告!$N$2:$N$22222,0),0),0))</f>
        <v>0</v>
      </c>
      <c r="S182">
        <f t="array" ref="S182">SUM(IF(搜索词报告!$H$2:$H$22222=L182,IF(搜索词报告!$A$2:$A$22222&gt;=$L$2,IF(搜索词报告!$A$2:$A$22222&lt;=$L$4,搜索词报告!$M$2:$M$22222,0),0),0))</f>
        <v>0</v>
      </c>
      <c r="T182" s="2" t="str">
        <f t="shared" si="22"/>
        <v/>
      </c>
      <c r="U182" t="str">
        <f t="shared" si="23"/>
        <v>点击次数少于10次没有参考性</v>
      </c>
      <c r="V182" s="4" t="str">
        <f>IFERROR(INDEX(搜索词报告!$D$2:$D$22222,MATCH(关键词词频统计!L182,搜索词报告!$H$2:$H$22222,0)),"")</f>
        <v/>
      </c>
    </row>
    <row r="183" spans="2:22" x14ac:dyDescent="0.15">
      <c r="B183">
        <f t="array" ref="B183">SUM(IF(搜索词报告!$H$2:$H$22222=A183,IF(搜索词报告!$A$2:$A$22222&gt;=关键词词频统计!$A$2,IF(搜索词报告!$A$2:$A$22222&lt;=关键词词频统计!$A$4,搜索词报告!$I$2:$I$22222,0),0),0))</f>
        <v>0</v>
      </c>
      <c r="C183">
        <f t="array" ref="C183">SUM(IF(搜索词报告!$H$2:$H$22222=A183,IF(搜索词报告!$A$2:$A$22222&gt;=关键词词频统计!$A$2,IF(搜索词报告!$A$2:$A$22222&lt;=关键词词频统计!$A$4,搜索词报告!$J$2:$J$22222,0),0),0))</f>
        <v>0</v>
      </c>
      <c r="D183" s="2">
        <f t="shared" si="16"/>
        <v>0</v>
      </c>
      <c r="E183" s="2">
        <f t="shared" si="17"/>
        <v>0</v>
      </c>
      <c r="F183">
        <f t="array" ref="F183">SUM(IF(搜索词报告!$H$2:$H$22222=A183,IF(搜索词报告!$A$2:$A$22222&gt;=关键词词频统计!$A$2,IF(搜索词报告!$A$2:$A$22222&lt;=关键词词频统计!$A$4,搜索词报告!$Q$2:$Q$22222,0),0),0))</f>
        <v>0</v>
      </c>
      <c r="G183">
        <f t="array" ref="G183">SUM(IF(搜索词报告!$H$2:$H$22222=A183,IF(搜索词报告!$A$2:$A$22222&gt;=关键词词频统计!$A$2,IF(搜索词报告!$A$2:$A$22222&lt;=关键词词频统计!$A$4,搜索词报告!$N$2:$N$22222,0),0),0))</f>
        <v>0</v>
      </c>
      <c r="H183">
        <f t="array" ref="H183">SUM(IF(搜索词报告!$H$2:$H$22222=A183,IF(搜索词报告!$A$2:$A$22222&gt;=关键词词频统计!$A$2,IF(搜索词报告!$A$2:$A$22222&lt;=关键词词频统计!$A$4,搜索词报告!$M$2:$M$22222,0),0),0))</f>
        <v>0</v>
      </c>
      <c r="I183" s="2" t="str">
        <f t="shared" si="18"/>
        <v/>
      </c>
      <c r="J183" t="str">
        <f t="shared" si="19"/>
        <v>点击次数少于10次没有参考性</v>
      </c>
      <c r="K183" s="4" t="str">
        <f>IFERROR(INDEX(搜索词报告!$D$2:$D$22222,MATCH(关键词词频统计!A183,搜索词报告!$H$2:$H$22222,0)),"")</f>
        <v/>
      </c>
      <c r="M183">
        <f t="array" ref="M183">SUM(IF(搜索词报告!$H$2:$H$22222=L183,IF(搜索词报告!$A$2:$A$22222&gt;=$L$2,IF(搜索词报告!$A$2:$A$22222&lt;=$L$4,搜索词报告!$I$2:$I$22222,0),0),0))</f>
        <v>0</v>
      </c>
      <c r="N183">
        <f t="array" ref="N183">SUM(IF(搜索词报告!$H$2:$H$22222=L183,IF(搜索词报告!$A$2:$A$22222&gt;=$L$2,IF(搜索词报告!$A$2:$A$22222&lt;=$L$4,搜索词报告!$J$2:$J$22222,0),0),0))</f>
        <v>0</v>
      </c>
      <c r="O183" s="2">
        <f t="shared" si="20"/>
        <v>0</v>
      </c>
      <c r="P183" s="2">
        <f t="shared" si="21"/>
        <v>0</v>
      </c>
      <c r="Q183">
        <f t="array" ref="Q183">SUM(IF(搜索词报告!$H$2:$H$22222=L183,IF(搜索词报告!$A$2:$A$22222&gt;=$L$2,IF(搜索词报告!$A$2:$A$22222&lt;=$L$4,搜索词报告!$Q$2:$Q$22222,0),0),0))</f>
        <v>0</v>
      </c>
      <c r="R183">
        <f t="array" ref="R183">SUM(IF(搜索词报告!$H$2:$H$22222=L183,IF(搜索词报告!$A$2:$A$22222&gt;=$L$2,IF(搜索词报告!$A$2:$A$22222&lt;=$L$4,搜索词报告!$N$2:$N$22222,0),0),0))</f>
        <v>0</v>
      </c>
      <c r="S183">
        <f t="array" ref="S183">SUM(IF(搜索词报告!$H$2:$H$22222=L183,IF(搜索词报告!$A$2:$A$22222&gt;=$L$2,IF(搜索词报告!$A$2:$A$22222&lt;=$L$4,搜索词报告!$M$2:$M$22222,0),0),0))</f>
        <v>0</v>
      </c>
      <c r="T183" s="2" t="str">
        <f t="shared" si="22"/>
        <v/>
      </c>
      <c r="U183" t="str">
        <f t="shared" si="23"/>
        <v>点击次数少于10次没有参考性</v>
      </c>
      <c r="V183" s="4" t="str">
        <f>IFERROR(INDEX(搜索词报告!$D$2:$D$22222,MATCH(关键词词频统计!L183,搜索词报告!$H$2:$H$22222,0)),"")</f>
        <v/>
      </c>
    </row>
    <row r="184" spans="2:22" x14ac:dyDescent="0.15">
      <c r="B184">
        <f t="array" ref="B184">SUM(IF(搜索词报告!$H$2:$H$22222=A184,IF(搜索词报告!$A$2:$A$22222&gt;=关键词词频统计!$A$2,IF(搜索词报告!$A$2:$A$22222&lt;=关键词词频统计!$A$4,搜索词报告!$I$2:$I$22222,0),0),0))</f>
        <v>0</v>
      </c>
      <c r="C184">
        <f t="array" ref="C184">SUM(IF(搜索词报告!$H$2:$H$22222=A184,IF(搜索词报告!$A$2:$A$22222&gt;=关键词词频统计!$A$2,IF(搜索词报告!$A$2:$A$22222&lt;=关键词词频统计!$A$4,搜索词报告!$J$2:$J$22222,0),0),0))</f>
        <v>0</v>
      </c>
      <c r="D184" s="2">
        <f t="shared" si="16"/>
        <v>0</v>
      </c>
      <c r="E184" s="2">
        <f t="shared" si="17"/>
        <v>0</v>
      </c>
      <c r="F184">
        <f t="array" ref="F184">SUM(IF(搜索词报告!$H$2:$H$22222=A184,IF(搜索词报告!$A$2:$A$22222&gt;=关键词词频统计!$A$2,IF(搜索词报告!$A$2:$A$22222&lt;=关键词词频统计!$A$4,搜索词报告!$Q$2:$Q$22222,0),0),0))</f>
        <v>0</v>
      </c>
      <c r="G184">
        <f t="array" ref="G184">SUM(IF(搜索词报告!$H$2:$H$22222=A184,IF(搜索词报告!$A$2:$A$22222&gt;=关键词词频统计!$A$2,IF(搜索词报告!$A$2:$A$22222&lt;=关键词词频统计!$A$4,搜索词报告!$N$2:$N$22222,0),0),0))</f>
        <v>0</v>
      </c>
      <c r="H184">
        <f t="array" ref="H184">SUM(IF(搜索词报告!$H$2:$H$22222=A184,IF(搜索词报告!$A$2:$A$22222&gt;=关键词词频统计!$A$2,IF(搜索词报告!$A$2:$A$22222&lt;=关键词词频统计!$A$4,搜索词报告!$M$2:$M$22222,0),0),0))</f>
        <v>0</v>
      </c>
      <c r="I184" s="2" t="str">
        <f t="shared" si="18"/>
        <v/>
      </c>
      <c r="J184" t="str">
        <f t="shared" si="19"/>
        <v>点击次数少于10次没有参考性</v>
      </c>
      <c r="K184" s="4" t="str">
        <f>IFERROR(INDEX(搜索词报告!$D$2:$D$22222,MATCH(关键词词频统计!A184,搜索词报告!$H$2:$H$22222,0)),"")</f>
        <v/>
      </c>
      <c r="M184">
        <f t="array" ref="M184">SUM(IF(搜索词报告!$H$2:$H$22222=L184,IF(搜索词报告!$A$2:$A$22222&gt;=$L$2,IF(搜索词报告!$A$2:$A$22222&lt;=$L$4,搜索词报告!$I$2:$I$22222,0),0),0))</f>
        <v>0</v>
      </c>
      <c r="N184">
        <f t="array" ref="N184">SUM(IF(搜索词报告!$H$2:$H$22222=L184,IF(搜索词报告!$A$2:$A$22222&gt;=$L$2,IF(搜索词报告!$A$2:$A$22222&lt;=$L$4,搜索词报告!$J$2:$J$22222,0),0),0))</f>
        <v>0</v>
      </c>
      <c r="O184" s="2">
        <f t="shared" si="20"/>
        <v>0</v>
      </c>
      <c r="P184" s="2">
        <f t="shared" si="21"/>
        <v>0</v>
      </c>
      <c r="Q184">
        <f t="array" ref="Q184">SUM(IF(搜索词报告!$H$2:$H$22222=L184,IF(搜索词报告!$A$2:$A$22222&gt;=$L$2,IF(搜索词报告!$A$2:$A$22222&lt;=$L$4,搜索词报告!$Q$2:$Q$22222,0),0),0))</f>
        <v>0</v>
      </c>
      <c r="R184">
        <f t="array" ref="R184">SUM(IF(搜索词报告!$H$2:$H$22222=L184,IF(搜索词报告!$A$2:$A$22222&gt;=$L$2,IF(搜索词报告!$A$2:$A$22222&lt;=$L$4,搜索词报告!$N$2:$N$22222,0),0),0))</f>
        <v>0</v>
      </c>
      <c r="S184">
        <f t="array" ref="S184">SUM(IF(搜索词报告!$H$2:$H$22222=L184,IF(搜索词报告!$A$2:$A$22222&gt;=$L$2,IF(搜索词报告!$A$2:$A$22222&lt;=$L$4,搜索词报告!$M$2:$M$22222,0),0),0))</f>
        <v>0</v>
      </c>
      <c r="T184" s="2" t="str">
        <f t="shared" si="22"/>
        <v/>
      </c>
      <c r="U184" t="str">
        <f t="shared" si="23"/>
        <v>点击次数少于10次没有参考性</v>
      </c>
      <c r="V184" s="4" t="str">
        <f>IFERROR(INDEX(搜索词报告!$D$2:$D$22222,MATCH(关键词词频统计!L184,搜索词报告!$H$2:$H$22222,0)),"")</f>
        <v/>
      </c>
    </row>
    <row r="185" spans="2:22" x14ac:dyDescent="0.15">
      <c r="B185">
        <f t="array" ref="B185">SUM(IF(搜索词报告!$H$2:$H$22222=A185,IF(搜索词报告!$A$2:$A$22222&gt;=关键词词频统计!$A$2,IF(搜索词报告!$A$2:$A$22222&lt;=关键词词频统计!$A$4,搜索词报告!$I$2:$I$22222,0),0),0))</f>
        <v>0</v>
      </c>
      <c r="C185">
        <f t="array" ref="C185">SUM(IF(搜索词报告!$H$2:$H$22222=A185,IF(搜索词报告!$A$2:$A$22222&gt;=关键词词频统计!$A$2,IF(搜索词报告!$A$2:$A$22222&lt;=关键词词频统计!$A$4,搜索词报告!$J$2:$J$22222,0),0),0))</f>
        <v>0</v>
      </c>
      <c r="D185" s="2">
        <f t="shared" si="16"/>
        <v>0</v>
      </c>
      <c r="E185" s="2">
        <f t="shared" si="17"/>
        <v>0</v>
      </c>
      <c r="F185">
        <f t="array" ref="F185">SUM(IF(搜索词报告!$H$2:$H$22222=A185,IF(搜索词报告!$A$2:$A$22222&gt;=关键词词频统计!$A$2,IF(搜索词报告!$A$2:$A$22222&lt;=关键词词频统计!$A$4,搜索词报告!$Q$2:$Q$22222,0),0),0))</f>
        <v>0</v>
      </c>
      <c r="G185">
        <f t="array" ref="G185">SUM(IF(搜索词报告!$H$2:$H$22222=A185,IF(搜索词报告!$A$2:$A$22222&gt;=关键词词频统计!$A$2,IF(搜索词报告!$A$2:$A$22222&lt;=关键词词频统计!$A$4,搜索词报告!$N$2:$N$22222,0),0),0))</f>
        <v>0</v>
      </c>
      <c r="H185">
        <f t="array" ref="H185">SUM(IF(搜索词报告!$H$2:$H$22222=A185,IF(搜索词报告!$A$2:$A$22222&gt;=关键词词频统计!$A$2,IF(搜索词报告!$A$2:$A$22222&lt;=关键词词频统计!$A$4,搜索词报告!$M$2:$M$22222,0),0),0))</f>
        <v>0</v>
      </c>
      <c r="I185" s="2" t="str">
        <f t="shared" si="18"/>
        <v/>
      </c>
      <c r="J185" t="str">
        <f t="shared" si="19"/>
        <v>点击次数少于10次没有参考性</v>
      </c>
      <c r="K185" s="4" t="str">
        <f>IFERROR(INDEX(搜索词报告!$D$2:$D$22222,MATCH(关键词词频统计!A185,搜索词报告!$H$2:$H$22222,0)),"")</f>
        <v/>
      </c>
      <c r="M185">
        <f t="array" ref="M185">SUM(IF(搜索词报告!$H$2:$H$22222=L185,IF(搜索词报告!$A$2:$A$22222&gt;=$L$2,IF(搜索词报告!$A$2:$A$22222&lt;=$L$4,搜索词报告!$I$2:$I$22222,0),0),0))</f>
        <v>0</v>
      </c>
      <c r="N185">
        <f t="array" ref="N185">SUM(IF(搜索词报告!$H$2:$H$22222=L185,IF(搜索词报告!$A$2:$A$22222&gt;=$L$2,IF(搜索词报告!$A$2:$A$22222&lt;=$L$4,搜索词报告!$J$2:$J$22222,0),0),0))</f>
        <v>0</v>
      </c>
      <c r="O185" s="2">
        <f t="shared" si="20"/>
        <v>0</v>
      </c>
      <c r="P185" s="2">
        <f t="shared" si="21"/>
        <v>0</v>
      </c>
      <c r="Q185">
        <f t="array" ref="Q185">SUM(IF(搜索词报告!$H$2:$H$22222=L185,IF(搜索词报告!$A$2:$A$22222&gt;=$L$2,IF(搜索词报告!$A$2:$A$22222&lt;=$L$4,搜索词报告!$Q$2:$Q$22222,0),0),0))</f>
        <v>0</v>
      </c>
      <c r="R185">
        <f t="array" ref="R185">SUM(IF(搜索词报告!$H$2:$H$22222=L185,IF(搜索词报告!$A$2:$A$22222&gt;=$L$2,IF(搜索词报告!$A$2:$A$22222&lt;=$L$4,搜索词报告!$N$2:$N$22222,0),0),0))</f>
        <v>0</v>
      </c>
      <c r="S185">
        <f t="array" ref="S185">SUM(IF(搜索词报告!$H$2:$H$22222=L185,IF(搜索词报告!$A$2:$A$22222&gt;=$L$2,IF(搜索词报告!$A$2:$A$22222&lt;=$L$4,搜索词报告!$M$2:$M$22222,0),0),0))</f>
        <v>0</v>
      </c>
      <c r="T185" s="2" t="str">
        <f t="shared" si="22"/>
        <v/>
      </c>
      <c r="U185" t="str">
        <f t="shared" si="23"/>
        <v>点击次数少于10次没有参考性</v>
      </c>
      <c r="V185" s="4" t="str">
        <f>IFERROR(INDEX(搜索词报告!$D$2:$D$22222,MATCH(关键词词频统计!L185,搜索词报告!$H$2:$H$22222,0)),"")</f>
        <v/>
      </c>
    </row>
    <row r="186" spans="2:22" x14ac:dyDescent="0.15">
      <c r="B186">
        <f t="array" ref="B186">SUM(IF(搜索词报告!$H$2:$H$22222=A186,IF(搜索词报告!$A$2:$A$22222&gt;=关键词词频统计!$A$2,IF(搜索词报告!$A$2:$A$22222&lt;=关键词词频统计!$A$4,搜索词报告!$I$2:$I$22222,0),0),0))</f>
        <v>0</v>
      </c>
      <c r="C186">
        <f t="array" ref="C186">SUM(IF(搜索词报告!$H$2:$H$22222=A186,IF(搜索词报告!$A$2:$A$22222&gt;=关键词词频统计!$A$2,IF(搜索词报告!$A$2:$A$22222&lt;=关键词词频统计!$A$4,搜索词报告!$J$2:$J$22222,0),0),0))</f>
        <v>0</v>
      </c>
      <c r="D186" s="2">
        <f t="shared" si="16"/>
        <v>0</v>
      </c>
      <c r="E186" s="2">
        <f t="shared" si="17"/>
        <v>0</v>
      </c>
      <c r="F186">
        <f t="array" ref="F186">SUM(IF(搜索词报告!$H$2:$H$22222=A186,IF(搜索词报告!$A$2:$A$22222&gt;=关键词词频统计!$A$2,IF(搜索词报告!$A$2:$A$22222&lt;=关键词词频统计!$A$4,搜索词报告!$Q$2:$Q$22222,0),0),0))</f>
        <v>0</v>
      </c>
      <c r="G186">
        <f t="array" ref="G186">SUM(IF(搜索词报告!$H$2:$H$22222=A186,IF(搜索词报告!$A$2:$A$22222&gt;=关键词词频统计!$A$2,IF(搜索词报告!$A$2:$A$22222&lt;=关键词词频统计!$A$4,搜索词报告!$N$2:$N$22222,0),0),0))</f>
        <v>0</v>
      </c>
      <c r="H186">
        <f t="array" ref="H186">SUM(IF(搜索词报告!$H$2:$H$22222=A186,IF(搜索词报告!$A$2:$A$22222&gt;=关键词词频统计!$A$2,IF(搜索词报告!$A$2:$A$22222&lt;=关键词词频统计!$A$4,搜索词报告!$M$2:$M$22222,0),0),0))</f>
        <v>0</v>
      </c>
      <c r="I186" s="2" t="str">
        <f t="shared" si="18"/>
        <v/>
      </c>
      <c r="J186" t="str">
        <f t="shared" si="19"/>
        <v>点击次数少于10次没有参考性</v>
      </c>
      <c r="K186" s="4" t="str">
        <f>IFERROR(INDEX(搜索词报告!$D$2:$D$22222,MATCH(关键词词频统计!A186,搜索词报告!$H$2:$H$22222,0)),"")</f>
        <v/>
      </c>
      <c r="M186">
        <f t="array" ref="M186">SUM(IF(搜索词报告!$H$2:$H$22222=L186,IF(搜索词报告!$A$2:$A$22222&gt;=$L$2,IF(搜索词报告!$A$2:$A$22222&lt;=$L$4,搜索词报告!$I$2:$I$22222,0),0),0))</f>
        <v>0</v>
      </c>
      <c r="N186">
        <f t="array" ref="N186">SUM(IF(搜索词报告!$H$2:$H$22222=L186,IF(搜索词报告!$A$2:$A$22222&gt;=$L$2,IF(搜索词报告!$A$2:$A$22222&lt;=$L$4,搜索词报告!$J$2:$J$22222,0),0),0))</f>
        <v>0</v>
      </c>
      <c r="O186" s="2">
        <f t="shared" si="20"/>
        <v>0</v>
      </c>
      <c r="P186" s="2">
        <f t="shared" si="21"/>
        <v>0</v>
      </c>
      <c r="Q186">
        <f t="array" ref="Q186">SUM(IF(搜索词报告!$H$2:$H$22222=L186,IF(搜索词报告!$A$2:$A$22222&gt;=$L$2,IF(搜索词报告!$A$2:$A$22222&lt;=$L$4,搜索词报告!$Q$2:$Q$22222,0),0),0))</f>
        <v>0</v>
      </c>
      <c r="R186">
        <f t="array" ref="R186">SUM(IF(搜索词报告!$H$2:$H$22222=L186,IF(搜索词报告!$A$2:$A$22222&gt;=$L$2,IF(搜索词报告!$A$2:$A$22222&lt;=$L$4,搜索词报告!$N$2:$N$22222,0),0),0))</f>
        <v>0</v>
      </c>
      <c r="S186">
        <f t="array" ref="S186">SUM(IF(搜索词报告!$H$2:$H$22222=L186,IF(搜索词报告!$A$2:$A$22222&gt;=$L$2,IF(搜索词报告!$A$2:$A$22222&lt;=$L$4,搜索词报告!$M$2:$M$22222,0),0),0))</f>
        <v>0</v>
      </c>
      <c r="T186" s="2" t="str">
        <f t="shared" si="22"/>
        <v/>
      </c>
      <c r="U186" t="str">
        <f t="shared" si="23"/>
        <v>点击次数少于10次没有参考性</v>
      </c>
      <c r="V186" s="4" t="str">
        <f>IFERROR(INDEX(搜索词报告!$D$2:$D$22222,MATCH(关键词词频统计!L186,搜索词报告!$H$2:$H$22222,0)),"")</f>
        <v/>
      </c>
    </row>
    <row r="187" spans="2:22" x14ac:dyDescent="0.15">
      <c r="B187">
        <f t="array" ref="B187">SUM(IF(搜索词报告!$H$2:$H$22222=A187,IF(搜索词报告!$A$2:$A$22222&gt;=关键词词频统计!$A$2,IF(搜索词报告!$A$2:$A$22222&lt;=关键词词频统计!$A$4,搜索词报告!$I$2:$I$22222,0),0),0))</f>
        <v>0</v>
      </c>
      <c r="C187">
        <f t="array" ref="C187">SUM(IF(搜索词报告!$H$2:$H$22222=A187,IF(搜索词报告!$A$2:$A$22222&gt;=关键词词频统计!$A$2,IF(搜索词报告!$A$2:$A$22222&lt;=关键词词频统计!$A$4,搜索词报告!$J$2:$J$22222,0),0),0))</f>
        <v>0</v>
      </c>
      <c r="D187" s="2">
        <f t="shared" si="16"/>
        <v>0</v>
      </c>
      <c r="E187" s="2">
        <f t="shared" si="17"/>
        <v>0</v>
      </c>
      <c r="F187">
        <f t="array" ref="F187">SUM(IF(搜索词报告!$H$2:$H$22222=A187,IF(搜索词报告!$A$2:$A$22222&gt;=关键词词频统计!$A$2,IF(搜索词报告!$A$2:$A$22222&lt;=关键词词频统计!$A$4,搜索词报告!$Q$2:$Q$22222,0),0),0))</f>
        <v>0</v>
      </c>
      <c r="G187">
        <f t="array" ref="G187">SUM(IF(搜索词报告!$H$2:$H$22222=A187,IF(搜索词报告!$A$2:$A$22222&gt;=关键词词频统计!$A$2,IF(搜索词报告!$A$2:$A$22222&lt;=关键词词频统计!$A$4,搜索词报告!$N$2:$N$22222,0),0),0))</f>
        <v>0</v>
      </c>
      <c r="H187">
        <f t="array" ref="H187">SUM(IF(搜索词报告!$H$2:$H$22222=A187,IF(搜索词报告!$A$2:$A$22222&gt;=关键词词频统计!$A$2,IF(搜索词报告!$A$2:$A$22222&lt;=关键词词频统计!$A$4,搜索词报告!$M$2:$M$22222,0),0),0))</f>
        <v>0</v>
      </c>
      <c r="I187" s="2" t="str">
        <f t="shared" si="18"/>
        <v/>
      </c>
      <c r="J187" t="str">
        <f t="shared" si="19"/>
        <v>点击次数少于10次没有参考性</v>
      </c>
      <c r="K187" s="4" t="str">
        <f>IFERROR(INDEX(搜索词报告!$D$2:$D$22222,MATCH(关键词词频统计!A187,搜索词报告!$H$2:$H$22222,0)),"")</f>
        <v/>
      </c>
      <c r="M187">
        <f t="array" ref="M187">SUM(IF(搜索词报告!$H$2:$H$22222=L187,IF(搜索词报告!$A$2:$A$22222&gt;=$L$2,IF(搜索词报告!$A$2:$A$22222&lt;=$L$4,搜索词报告!$I$2:$I$22222,0),0),0))</f>
        <v>0</v>
      </c>
      <c r="N187">
        <f t="array" ref="N187">SUM(IF(搜索词报告!$H$2:$H$22222=L187,IF(搜索词报告!$A$2:$A$22222&gt;=$L$2,IF(搜索词报告!$A$2:$A$22222&lt;=$L$4,搜索词报告!$J$2:$J$22222,0),0),0))</f>
        <v>0</v>
      </c>
      <c r="O187" s="2">
        <f t="shared" si="20"/>
        <v>0</v>
      </c>
      <c r="P187" s="2">
        <f t="shared" si="21"/>
        <v>0</v>
      </c>
      <c r="Q187">
        <f t="array" ref="Q187">SUM(IF(搜索词报告!$H$2:$H$22222=L187,IF(搜索词报告!$A$2:$A$22222&gt;=$L$2,IF(搜索词报告!$A$2:$A$22222&lt;=$L$4,搜索词报告!$Q$2:$Q$22222,0),0),0))</f>
        <v>0</v>
      </c>
      <c r="R187">
        <f t="array" ref="R187">SUM(IF(搜索词报告!$H$2:$H$22222=L187,IF(搜索词报告!$A$2:$A$22222&gt;=$L$2,IF(搜索词报告!$A$2:$A$22222&lt;=$L$4,搜索词报告!$N$2:$N$22222,0),0),0))</f>
        <v>0</v>
      </c>
      <c r="S187">
        <f t="array" ref="S187">SUM(IF(搜索词报告!$H$2:$H$22222=L187,IF(搜索词报告!$A$2:$A$22222&gt;=$L$2,IF(搜索词报告!$A$2:$A$22222&lt;=$L$4,搜索词报告!$M$2:$M$22222,0),0),0))</f>
        <v>0</v>
      </c>
      <c r="T187" s="2" t="str">
        <f t="shared" si="22"/>
        <v/>
      </c>
      <c r="U187" t="str">
        <f t="shared" si="23"/>
        <v>点击次数少于10次没有参考性</v>
      </c>
      <c r="V187" s="4" t="str">
        <f>IFERROR(INDEX(搜索词报告!$D$2:$D$22222,MATCH(关键词词频统计!L187,搜索词报告!$H$2:$H$22222,0)),"")</f>
        <v/>
      </c>
    </row>
    <row r="188" spans="2:22" x14ac:dyDescent="0.15">
      <c r="B188">
        <f t="array" ref="B188">SUM(IF(搜索词报告!$H$2:$H$22222=A188,IF(搜索词报告!$A$2:$A$22222&gt;=关键词词频统计!$A$2,IF(搜索词报告!$A$2:$A$22222&lt;=关键词词频统计!$A$4,搜索词报告!$I$2:$I$22222,0),0),0))</f>
        <v>0</v>
      </c>
      <c r="C188">
        <f t="array" ref="C188">SUM(IF(搜索词报告!$H$2:$H$22222=A188,IF(搜索词报告!$A$2:$A$22222&gt;=关键词词频统计!$A$2,IF(搜索词报告!$A$2:$A$22222&lt;=关键词词频统计!$A$4,搜索词报告!$J$2:$J$22222,0),0),0))</f>
        <v>0</v>
      </c>
      <c r="D188" s="2">
        <f t="shared" si="16"/>
        <v>0</v>
      </c>
      <c r="E188" s="2">
        <f t="shared" si="17"/>
        <v>0</v>
      </c>
      <c r="F188">
        <f t="array" ref="F188">SUM(IF(搜索词报告!$H$2:$H$22222=A188,IF(搜索词报告!$A$2:$A$22222&gt;=关键词词频统计!$A$2,IF(搜索词报告!$A$2:$A$22222&lt;=关键词词频统计!$A$4,搜索词报告!$Q$2:$Q$22222,0),0),0))</f>
        <v>0</v>
      </c>
      <c r="G188">
        <f t="array" ref="G188">SUM(IF(搜索词报告!$H$2:$H$22222=A188,IF(搜索词报告!$A$2:$A$22222&gt;=关键词词频统计!$A$2,IF(搜索词报告!$A$2:$A$22222&lt;=关键词词频统计!$A$4,搜索词报告!$N$2:$N$22222,0),0),0))</f>
        <v>0</v>
      </c>
      <c r="H188">
        <f t="array" ref="H188">SUM(IF(搜索词报告!$H$2:$H$22222=A188,IF(搜索词报告!$A$2:$A$22222&gt;=关键词词频统计!$A$2,IF(搜索词报告!$A$2:$A$22222&lt;=关键词词频统计!$A$4,搜索词报告!$M$2:$M$22222,0),0),0))</f>
        <v>0</v>
      </c>
      <c r="I188" s="2" t="str">
        <f t="shared" si="18"/>
        <v/>
      </c>
      <c r="J188" t="str">
        <f t="shared" si="19"/>
        <v>点击次数少于10次没有参考性</v>
      </c>
      <c r="K188" s="4" t="str">
        <f>IFERROR(INDEX(搜索词报告!$D$2:$D$22222,MATCH(关键词词频统计!A188,搜索词报告!$H$2:$H$22222,0)),"")</f>
        <v/>
      </c>
      <c r="M188">
        <f t="array" ref="M188">SUM(IF(搜索词报告!$H$2:$H$22222=L188,IF(搜索词报告!$A$2:$A$22222&gt;=$L$2,IF(搜索词报告!$A$2:$A$22222&lt;=$L$4,搜索词报告!$I$2:$I$22222,0),0),0))</f>
        <v>0</v>
      </c>
      <c r="N188">
        <f t="array" ref="N188">SUM(IF(搜索词报告!$H$2:$H$22222=L188,IF(搜索词报告!$A$2:$A$22222&gt;=$L$2,IF(搜索词报告!$A$2:$A$22222&lt;=$L$4,搜索词报告!$J$2:$J$22222,0),0),0))</f>
        <v>0</v>
      </c>
      <c r="O188" s="2">
        <f t="shared" si="20"/>
        <v>0</v>
      </c>
      <c r="P188" s="2">
        <f t="shared" si="21"/>
        <v>0</v>
      </c>
      <c r="Q188">
        <f t="array" ref="Q188">SUM(IF(搜索词报告!$H$2:$H$22222=L188,IF(搜索词报告!$A$2:$A$22222&gt;=$L$2,IF(搜索词报告!$A$2:$A$22222&lt;=$L$4,搜索词报告!$Q$2:$Q$22222,0),0),0))</f>
        <v>0</v>
      </c>
      <c r="R188">
        <f t="array" ref="R188">SUM(IF(搜索词报告!$H$2:$H$22222=L188,IF(搜索词报告!$A$2:$A$22222&gt;=$L$2,IF(搜索词报告!$A$2:$A$22222&lt;=$L$4,搜索词报告!$N$2:$N$22222,0),0),0))</f>
        <v>0</v>
      </c>
      <c r="S188">
        <f t="array" ref="S188">SUM(IF(搜索词报告!$H$2:$H$22222=L188,IF(搜索词报告!$A$2:$A$22222&gt;=$L$2,IF(搜索词报告!$A$2:$A$22222&lt;=$L$4,搜索词报告!$M$2:$M$22222,0),0),0))</f>
        <v>0</v>
      </c>
      <c r="T188" s="2" t="str">
        <f t="shared" si="22"/>
        <v/>
      </c>
      <c r="U188" t="str">
        <f t="shared" si="23"/>
        <v>点击次数少于10次没有参考性</v>
      </c>
      <c r="V188" s="4" t="str">
        <f>IFERROR(INDEX(搜索词报告!$D$2:$D$22222,MATCH(关键词词频统计!L188,搜索词报告!$H$2:$H$22222,0)),"")</f>
        <v/>
      </c>
    </row>
    <row r="189" spans="2:22" x14ac:dyDescent="0.15">
      <c r="B189">
        <f t="array" ref="B189">SUM(IF(搜索词报告!$H$2:$H$22222=A189,IF(搜索词报告!$A$2:$A$22222&gt;=关键词词频统计!$A$2,IF(搜索词报告!$A$2:$A$22222&lt;=关键词词频统计!$A$4,搜索词报告!$I$2:$I$22222,0),0),0))</f>
        <v>0</v>
      </c>
      <c r="C189">
        <f t="array" ref="C189">SUM(IF(搜索词报告!$H$2:$H$22222=A189,IF(搜索词报告!$A$2:$A$22222&gt;=关键词词频统计!$A$2,IF(搜索词报告!$A$2:$A$22222&lt;=关键词词频统计!$A$4,搜索词报告!$J$2:$J$22222,0),0),0))</f>
        <v>0</v>
      </c>
      <c r="D189" s="2">
        <f t="shared" si="16"/>
        <v>0</v>
      </c>
      <c r="E189" s="2">
        <f t="shared" si="17"/>
        <v>0</v>
      </c>
      <c r="F189">
        <f t="array" ref="F189">SUM(IF(搜索词报告!$H$2:$H$22222=A189,IF(搜索词报告!$A$2:$A$22222&gt;=关键词词频统计!$A$2,IF(搜索词报告!$A$2:$A$22222&lt;=关键词词频统计!$A$4,搜索词报告!$Q$2:$Q$22222,0),0),0))</f>
        <v>0</v>
      </c>
      <c r="G189">
        <f t="array" ref="G189">SUM(IF(搜索词报告!$H$2:$H$22222=A189,IF(搜索词报告!$A$2:$A$22222&gt;=关键词词频统计!$A$2,IF(搜索词报告!$A$2:$A$22222&lt;=关键词词频统计!$A$4,搜索词报告!$N$2:$N$22222,0),0),0))</f>
        <v>0</v>
      </c>
      <c r="H189">
        <f t="array" ref="H189">SUM(IF(搜索词报告!$H$2:$H$22222=A189,IF(搜索词报告!$A$2:$A$22222&gt;=关键词词频统计!$A$2,IF(搜索词报告!$A$2:$A$22222&lt;=关键词词频统计!$A$4,搜索词报告!$M$2:$M$22222,0),0),0))</f>
        <v>0</v>
      </c>
      <c r="I189" s="2" t="str">
        <f t="shared" si="18"/>
        <v/>
      </c>
      <c r="J189" t="str">
        <f t="shared" si="19"/>
        <v>点击次数少于10次没有参考性</v>
      </c>
      <c r="K189" s="4" t="str">
        <f>IFERROR(INDEX(搜索词报告!$D$2:$D$22222,MATCH(关键词词频统计!A189,搜索词报告!$H$2:$H$22222,0)),"")</f>
        <v/>
      </c>
      <c r="M189">
        <f t="array" ref="M189">SUM(IF(搜索词报告!$H$2:$H$22222=L189,IF(搜索词报告!$A$2:$A$22222&gt;=$L$2,IF(搜索词报告!$A$2:$A$22222&lt;=$L$4,搜索词报告!$I$2:$I$22222,0),0),0))</f>
        <v>0</v>
      </c>
      <c r="N189">
        <f t="array" ref="N189">SUM(IF(搜索词报告!$H$2:$H$22222=L189,IF(搜索词报告!$A$2:$A$22222&gt;=$L$2,IF(搜索词报告!$A$2:$A$22222&lt;=$L$4,搜索词报告!$J$2:$J$22222,0),0),0))</f>
        <v>0</v>
      </c>
      <c r="O189" s="2">
        <f t="shared" si="20"/>
        <v>0</v>
      </c>
      <c r="P189" s="2">
        <f t="shared" si="21"/>
        <v>0</v>
      </c>
      <c r="Q189">
        <f t="array" ref="Q189">SUM(IF(搜索词报告!$H$2:$H$22222=L189,IF(搜索词报告!$A$2:$A$22222&gt;=$L$2,IF(搜索词报告!$A$2:$A$22222&lt;=$L$4,搜索词报告!$Q$2:$Q$22222,0),0),0))</f>
        <v>0</v>
      </c>
      <c r="R189">
        <f t="array" ref="R189">SUM(IF(搜索词报告!$H$2:$H$22222=L189,IF(搜索词报告!$A$2:$A$22222&gt;=$L$2,IF(搜索词报告!$A$2:$A$22222&lt;=$L$4,搜索词报告!$N$2:$N$22222,0),0),0))</f>
        <v>0</v>
      </c>
      <c r="S189">
        <f t="array" ref="S189">SUM(IF(搜索词报告!$H$2:$H$22222=L189,IF(搜索词报告!$A$2:$A$22222&gt;=$L$2,IF(搜索词报告!$A$2:$A$22222&lt;=$L$4,搜索词报告!$M$2:$M$22222,0),0),0))</f>
        <v>0</v>
      </c>
      <c r="T189" s="2" t="str">
        <f t="shared" si="22"/>
        <v/>
      </c>
      <c r="U189" t="str">
        <f t="shared" si="23"/>
        <v>点击次数少于10次没有参考性</v>
      </c>
      <c r="V189" s="4" t="str">
        <f>IFERROR(INDEX(搜索词报告!$D$2:$D$22222,MATCH(关键词词频统计!L189,搜索词报告!$H$2:$H$22222,0)),"")</f>
        <v/>
      </c>
    </row>
    <row r="190" spans="2:22" x14ac:dyDescent="0.15">
      <c r="B190">
        <f t="array" ref="B190">SUM(IF(搜索词报告!$H$2:$H$22222=A190,IF(搜索词报告!$A$2:$A$22222&gt;=关键词词频统计!$A$2,IF(搜索词报告!$A$2:$A$22222&lt;=关键词词频统计!$A$4,搜索词报告!$I$2:$I$22222,0),0),0))</f>
        <v>0</v>
      </c>
      <c r="C190">
        <f t="array" ref="C190">SUM(IF(搜索词报告!$H$2:$H$22222=A190,IF(搜索词报告!$A$2:$A$22222&gt;=关键词词频统计!$A$2,IF(搜索词报告!$A$2:$A$22222&lt;=关键词词频统计!$A$4,搜索词报告!$J$2:$J$22222,0),0),0))</f>
        <v>0</v>
      </c>
      <c r="D190" s="2">
        <f t="shared" si="16"/>
        <v>0</v>
      </c>
      <c r="E190" s="2">
        <f t="shared" si="17"/>
        <v>0</v>
      </c>
      <c r="F190">
        <f t="array" ref="F190">SUM(IF(搜索词报告!$H$2:$H$22222=A190,IF(搜索词报告!$A$2:$A$22222&gt;=关键词词频统计!$A$2,IF(搜索词报告!$A$2:$A$22222&lt;=关键词词频统计!$A$4,搜索词报告!$Q$2:$Q$22222,0),0),0))</f>
        <v>0</v>
      </c>
      <c r="G190">
        <f t="array" ref="G190">SUM(IF(搜索词报告!$H$2:$H$22222=A190,IF(搜索词报告!$A$2:$A$22222&gt;=关键词词频统计!$A$2,IF(搜索词报告!$A$2:$A$22222&lt;=关键词词频统计!$A$4,搜索词报告!$N$2:$N$22222,0),0),0))</f>
        <v>0</v>
      </c>
      <c r="H190">
        <f t="array" ref="H190">SUM(IF(搜索词报告!$H$2:$H$22222=A190,IF(搜索词报告!$A$2:$A$22222&gt;=关键词词频统计!$A$2,IF(搜索词报告!$A$2:$A$22222&lt;=关键词词频统计!$A$4,搜索词报告!$M$2:$M$22222,0),0),0))</f>
        <v>0</v>
      </c>
      <c r="I190" s="2" t="str">
        <f t="shared" si="18"/>
        <v/>
      </c>
      <c r="J190" t="str">
        <f t="shared" si="19"/>
        <v>点击次数少于10次没有参考性</v>
      </c>
      <c r="K190" s="4" t="str">
        <f>IFERROR(INDEX(搜索词报告!$D$2:$D$22222,MATCH(关键词词频统计!A190,搜索词报告!$H$2:$H$22222,0)),"")</f>
        <v/>
      </c>
      <c r="M190">
        <f t="array" ref="M190">SUM(IF(搜索词报告!$H$2:$H$22222=L190,IF(搜索词报告!$A$2:$A$22222&gt;=$L$2,IF(搜索词报告!$A$2:$A$22222&lt;=$L$4,搜索词报告!$I$2:$I$22222,0),0),0))</f>
        <v>0</v>
      </c>
      <c r="N190">
        <f t="array" ref="N190">SUM(IF(搜索词报告!$H$2:$H$22222=L190,IF(搜索词报告!$A$2:$A$22222&gt;=$L$2,IF(搜索词报告!$A$2:$A$22222&lt;=$L$4,搜索词报告!$J$2:$J$22222,0),0),0))</f>
        <v>0</v>
      </c>
      <c r="O190" s="2">
        <f t="shared" si="20"/>
        <v>0</v>
      </c>
      <c r="P190" s="2">
        <f t="shared" si="21"/>
        <v>0</v>
      </c>
      <c r="Q190">
        <f t="array" ref="Q190">SUM(IF(搜索词报告!$H$2:$H$22222=L190,IF(搜索词报告!$A$2:$A$22222&gt;=$L$2,IF(搜索词报告!$A$2:$A$22222&lt;=$L$4,搜索词报告!$Q$2:$Q$22222,0),0),0))</f>
        <v>0</v>
      </c>
      <c r="R190">
        <f t="array" ref="R190">SUM(IF(搜索词报告!$H$2:$H$22222=L190,IF(搜索词报告!$A$2:$A$22222&gt;=$L$2,IF(搜索词报告!$A$2:$A$22222&lt;=$L$4,搜索词报告!$N$2:$N$22222,0),0),0))</f>
        <v>0</v>
      </c>
      <c r="S190">
        <f t="array" ref="S190">SUM(IF(搜索词报告!$H$2:$H$22222=L190,IF(搜索词报告!$A$2:$A$22222&gt;=$L$2,IF(搜索词报告!$A$2:$A$22222&lt;=$L$4,搜索词报告!$M$2:$M$22222,0),0),0))</f>
        <v>0</v>
      </c>
      <c r="T190" s="2" t="str">
        <f t="shared" si="22"/>
        <v/>
      </c>
      <c r="U190" t="str">
        <f t="shared" si="23"/>
        <v>点击次数少于10次没有参考性</v>
      </c>
      <c r="V190" s="4" t="str">
        <f>IFERROR(INDEX(搜索词报告!$D$2:$D$22222,MATCH(关键词词频统计!L190,搜索词报告!$H$2:$H$22222,0)),"")</f>
        <v/>
      </c>
    </row>
    <row r="191" spans="2:22" x14ac:dyDescent="0.15">
      <c r="B191">
        <f t="array" ref="B191">SUM(IF(搜索词报告!$H$2:$H$22222=A191,IF(搜索词报告!$A$2:$A$22222&gt;=关键词词频统计!$A$2,IF(搜索词报告!$A$2:$A$22222&lt;=关键词词频统计!$A$4,搜索词报告!$I$2:$I$22222,0),0),0))</f>
        <v>0</v>
      </c>
      <c r="C191">
        <f t="array" ref="C191">SUM(IF(搜索词报告!$H$2:$H$22222=A191,IF(搜索词报告!$A$2:$A$22222&gt;=关键词词频统计!$A$2,IF(搜索词报告!$A$2:$A$22222&lt;=关键词词频统计!$A$4,搜索词报告!$J$2:$J$22222,0),0),0))</f>
        <v>0</v>
      </c>
      <c r="D191" s="2">
        <f t="shared" si="16"/>
        <v>0</v>
      </c>
      <c r="E191" s="2">
        <f t="shared" si="17"/>
        <v>0</v>
      </c>
      <c r="F191">
        <f t="array" ref="F191">SUM(IF(搜索词报告!$H$2:$H$22222=A191,IF(搜索词报告!$A$2:$A$22222&gt;=关键词词频统计!$A$2,IF(搜索词报告!$A$2:$A$22222&lt;=关键词词频统计!$A$4,搜索词报告!$Q$2:$Q$22222,0),0),0))</f>
        <v>0</v>
      </c>
      <c r="G191">
        <f t="array" ref="G191">SUM(IF(搜索词报告!$H$2:$H$22222=A191,IF(搜索词报告!$A$2:$A$22222&gt;=关键词词频统计!$A$2,IF(搜索词报告!$A$2:$A$22222&lt;=关键词词频统计!$A$4,搜索词报告!$N$2:$N$22222,0),0),0))</f>
        <v>0</v>
      </c>
      <c r="H191">
        <f t="array" ref="H191">SUM(IF(搜索词报告!$H$2:$H$22222=A191,IF(搜索词报告!$A$2:$A$22222&gt;=关键词词频统计!$A$2,IF(搜索词报告!$A$2:$A$22222&lt;=关键词词频统计!$A$4,搜索词报告!$M$2:$M$22222,0),0),0))</f>
        <v>0</v>
      </c>
      <c r="I191" s="2" t="str">
        <f t="shared" si="18"/>
        <v/>
      </c>
      <c r="J191" t="str">
        <f t="shared" si="19"/>
        <v>点击次数少于10次没有参考性</v>
      </c>
      <c r="K191" s="4" t="str">
        <f>IFERROR(INDEX(搜索词报告!$D$2:$D$22222,MATCH(关键词词频统计!A191,搜索词报告!$H$2:$H$22222,0)),"")</f>
        <v/>
      </c>
      <c r="M191">
        <f t="array" ref="M191">SUM(IF(搜索词报告!$H$2:$H$22222=L191,IF(搜索词报告!$A$2:$A$22222&gt;=$L$2,IF(搜索词报告!$A$2:$A$22222&lt;=$L$4,搜索词报告!$I$2:$I$22222,0),0),0))</f>
        <v>0</v>
      </c>
      <c r="N191">
        <f t="array" ref="N191">SUM(IF(搜索词报告!$H$2:$H$22222=L191,IF(搜索词报告!$A$2:$A$22222&gt;=$L$2,IF(搜索词报告!$A$2:$A$22222&lt;=$L$4,搜索词报告!$J$2:$J$22222,0),0),0))</f>
        <v>0</v>
      </c>
      <c r="O191" s="2">
        <f t="shared" si="20"/>
        <v>0</v>
      </c>
      <c r="P191" s="2">
        <f t="shared" si="21"/>
        <v>0</v>
      </c>
      <c r="Q191">
        <f t="array" ref="Q191">SUM(IF(搜索词报告!$H$2:$H$22222=L191,IF(搜索词报告!$A$2:$A$22222&gt;=$L$2,IF(搜索词报告!$A$2:$A$22222&lt;=$L$4,搜索词报告!$Q$2:$Q$22222,0),0),0))</f>
        <v>0</v>
      </c>
      <c r="R191">
        <f t="array" ref="R191">SUM(IF(搜索词报告!$H$2:$H$22222=L191,IF(搜索词报告!$A$2:$A$22222&gt;=$L$2,IF(搜索词报告!$A$2:$A$22222&lt;=$L$4,搜索词报告!$N$2:$N$22222,0),0),0))</f>
        <v>0</v>
      </c>
      <c r="S191">
        <f t="array" ref="S191">SUM(IF(搜索词报告!$H$2:$H$22222=L191,IF(搜索词报告!$A$2:$A$22222&gt;=$L$2,IF(搜索词报告!$A$2:$A$22222&lt;=$L$4,搜索词报告!$M$2:$M$22222,0),0),0))</f>
        <v>0</v>
      </c>
      <c r="T191" s="2" t="str">
        <f t="shared" si="22"/>
        <v/>
      </c>
      <c r="U191" t="str">
        <f t="shared" si="23"/>
        <v>点击次数少于10次没有参考性</v>
      </c>
      <c r="V191" s="4" t="str">
        <f>IFERROR(INDEX(搜索词报告!$D$2:$D$22222,MATCH(关键词词频统计!L191,搜索词报告!$H$2:$H$22222,0)),"")</f>
        <v/>
      </c>
    </row>
    <row r="192" spans="2:22" x14ac:dyDescent="0.15">
      <c r="B192">
        <f t="array" ref="B192">SUM(IF(搜索词报告!$H$2:$H$22222=A192,IF(搜索词报告!$A$2:$A$22222&gt;=关键词词频统计!$A$2,IF(搜索词报告!$A$2:$A$22222&lt;=关键词词频统计!$A$4,搜索词报告!$I$2:$I$22222,0),0),0))</f>
        <v>0</v>
      </c>
      <c r="C192">
        <f t="array" ref="C192">SUM(IF(搜索词报告!$H$2:$H$22222=A192,IF(搜索词报告!$A$2:$A$22222&gt;=关键词词频统计!$A$2,IF(搜索词报告!$A$2:$A$22222&lt;=关键词词频统计!$A$4,搜索词报告!$J$2:$J$22222,0),0),0))</f>
        <v>0</v>
      </c>
      <c r="D192" s="2">
        <f t="shared" si="16"/>
        <v>0</v>
      </c>
      <c r="E192" s="2">
        <f t="shared" si="17"/>
        <v>0</v>
      </c>
      <c r="F192">
        <f t="array" ref="F192">SUM(IF(搜索词报告!$H$2:$H$22222=A192,IF(搜索词报告!$A$2:$A$22222&gt;=关键词词频统计!$A$2,IF(搜索词报告!$A$2:$A$22222&lt;=关键词词频统计!$A$4,搜索词报告!$Q$2:$Q$22222,0),0),0))</f>
        <v>0</v>
      </c>
      <c r="G192">
        <f t="array" ref="G192">SUM(IF(搜索词报告!$H$2:$H$22222=A192,IF(搜索词报告!$A$2:$A$22222&gt;=关键词词频统计!$A$2,IF(搜索词报告!$A$2:$A$22222&lt;=关键词词频统计!$A$4,搜索词报告!$N$2:$N$22222,0),0),0))</f>
        <v>0</v>
      </c>
      <c r="H192">
        <f t="array" ref="H192">SUM(IF(搜索词报告!$H$2:$H$22222=A192,IF(搜索词报告!$A$2:$A$22222&gt;=关键词词频统计!$A$2,IF(搜索词报告!$A$2:$A$22222&lt;=关键词词频统计!$A$4,搜索词报告!$M$2:$M$22222,0),0),0))</f>
        <v>0</v>
      </c>
      <c r="I192" s="2" t="str">
        <f t="shared" si="18"/>
        <v/>
      </c>
      <c r="J192" t="str">
        <f t="shared" si="19"/>
        <v>点击次数少于10次没有参考性</v>
      </c>
      <c r="K192" s="4" t="str">
        <f>IFERROR(INDEX(搜索词报告!$D$2:$D$22222,MATCH(关键词词频统计!A192,搜索词报告!$H$2:$H$22222,0)),"")</f>
        <v/>
      </c>
      <c r="M192">
        <f t="array" ref="M192">SUM(IF(搜索词报告!$H$2:$H$22222=L192,IF(搜索词报告!$A$2:$A$22222&gt;=$L$2,IF(搜索词报告!$A$2:$A$22222&lt;=$L$4,搜索词报告!$I$2:$I$22222,0),0),0))</f>
        <v>0</v>
      </c>
      <c r="N192">
        <f t="array" ref="N192">SUM(IF(搜索词报告!$H$2:$H$22222=L192,IF(搜索词报告!$A$2:$A$22222&gt;=$L$2,IF(搜索词报告!$A$2:$A$22222&lt;=$L$4,搜索词报告!$J$2:$J$22222,0),0),0))</f>
        <v>0</v>
      </c>
      <c r="O192" s="2">
        <f t="shared" si="20"/>
        <v>0</v>
      </c>
      <c r="P192" s="2">
        <f t="shared" si="21"/>
        <v>0</v>
      </c>
      <c r="Q192">
        <f t="array" ref="Q192">SUM(IF(搜索词报告!$H$2:$H$22222=L192,IF(搜索词报告!$A$2:$A$22222&gt;=$L$2,IF(搜索词报告!$A$2:$A$22222&lt;=$L$4,搜索词报告!$Q$2:$Q$22222,0),0),0))</f>
        <v>0</v>
      </c>
      <c r="R192">
        <f t="array" ref="R192">SUM(IF(搜索词报告!$H$2:$H$22222=L192,IF(搜索词报告!$A$2:$A$22222&gt;=$L$2,IF(搜索词报告!$A$2:$A$22222&lt;=$L$4,搜索词报告!$N$2:$N$22222,0),0),0))</f>
        <v>0</v>
      </c>
      <c r="S192">
        <f t="array" ref="S192">SUM(IF(搜索词报告!$H$2:$H$22222=L192,IF(搜索词报告!$A$2:$A$22222&gt;=$L$2,IF(搜索词报告!$A$2:$A$22222&lt;=$L$4,搜索词报告!$M$2:$M$22222,0),0),0))</f>
        <v>0</v>
      </c>
      <c r="T192" s="2" t="str">
        <f t="shared" si="22"/>
        <v/>
      </c>
      <c r="U192" t="str">
        <f t="shared" si="23"/>
        <v>点击次数少于10次没有参考性</v>
      </c>
      <c r="V192" s="4" t="str">
        <f>IFERROR(INDEX(搜索词报告!$D$2:$D$22222,MATCH(关键词词频统计!L192,搜索词报告!$H$2:$H$22222,0)),"")</f>
        <v/>
      </c>
    </row>
    <row r="193" spans="2:22" x14ac:dyDescent="0.15">
      <c r="B193">
        <f t="array" ref="B193">SUM(IF(搜索词报告!$H$2:$H$22222=A193,IF(搜索词报告!$A$2:$A$22222&gt;=关键词词频统计!$A$2,IF(搜索词报告!$A$2:$A$22222&lt;=关键词词频统计!$A$4,搜索词报告!$I$2:$I$22222,0),0),0))</f>
        <v>0</v>
      </c>
      <c r="C193">
        <f t="array" ref="C193">SUM(IF(搜索词报告!$H$2:$H$22222=A193,IF(搜索词报告!$A$2:$A$22222&gt;=关键词词频统计!$A$2,IF(搜索词报告!$A$2:$A$22222&lt;=关键词词频统计!$A$4,搜索词报告!$J$2:$J$22222,0),0),0))</f>
        <v>0</v>
      </c>
      <c r="D193" s="2">
        <f t="shared" si="16"/>
        <v>0</v>
      </c>
      <c r="E193" s="2">
        <f t="shared" si="17"/>
        <v>0</v>
      </c>
      <c r="F193">
        <f t="array" ref="F193">SUM(IF(搜索词报告!$H$2:$H$22222=A193,IF(搜索词报告!$A$2:$A$22222&gt;=关键词词频统计!$A$2,IF(搜索词报告!$A$2:$A$22222&lt;=关键词词频统计!$A$4,搜索词报告!$Q$2:$Q$22222,0),0),0))</f>
        <v>0</v>
      </c>
      <c r="G193">
        <f t="array" ref="G193">SUM(IF(搜索词报告!$H$2:$H$22222=A193,IF(搜索词报告!$A$2:$A$22222&gt;=关键词词频统计!$A$2,IF(搜索词报告!$A$2:$A$22222&lt;=关键词词频统计!$A$4,搜索词报告!$N$2:$N$22222,0),0),0))</f>
        <v>0</v>
      </c>
      <c r="H193">
        <f t="array" ref="H193">SUM(IF(搜索词报告!$H$2:$H$22222=A193,IF(搜索词报告!$A$2:$A$22222&gt;=关键词词频统计!$A$2,IF(搜索词报告!$A$2:$A$22222&lt;=关键词词频统计!$A$4,搜索词报告!$M$2:$M$22222,0),0),0))</f>
        <v>0</v>
      </c>
      <c r="I193" s="2" t="str">
        <f t="shared" si="18"/>
        <v/>
      </c>
      <c r="J193" t="str">
        <f t="shared" si="19"/>
        <v>点击次数少于10次没有参考性</v>
      </c>
      <c r="K193" s="4" t="str">
        <f>IFERROR(INDEX(搜索词报告!$D$2:$D$22222,MATCH(关键词词频统计!A193,搜索词报告!$H$2:$H$22222,0)),"")</f>
        <v/>
      </c>
      <c r="M193">
        <f t="array" ref="M193">SUM(IF(搜索词报告!$H$2:$H$22222=L193,IF(搜索词报告!$A$2:$A$22222&gt;=$L$2,IF(搜索词报告!$A$2:$A$22222&lt;=$L$4,搜索词报告!$I$2:$I$22222,0),0),0))</f>
        <v>0</v>
      </c>
      <c r="N193">
        <f t="array" ref="N193">SUM(IF(搜索词报告!$H$2:$H$22222=L193,IF(搜索词报告!$A$2:$A$22222&gt;=$L$2,IF(搜索词报告!$A$2:$A$22222&lt;=$L$4,搜索词报告!$J$2:$J$22222,0),0),0))</f>
        <v>0</v>
      </c>
      <c r="O193" s="2">
        <f t="shared" si="20"/>
        <v>0</v>
      </c>
      <c r="P193" s="2">
        <f t="shared" si="21"/>
        <v>0</v>
      </c>
      <c r="Q193">
        <f t="array" ref="Q193">SUM(IF(搜索词报告!$H$2:$H$22222=L193,IF(搜索词报告!$A$2:$A$22222&gt;=$L$2,IF(搜索词报告!$A$2:$A$22222&lt;=$L$4,搜索词报告!$Q$2:$Q$22222,0),0),0))</f>
        <v>0</v>
      </c>
      <c r="R193">
        <f t="array" ref="R193">SUM(IF(搜索词报告!$H$2:$H$22222=L193,IF(搜索词报告!$A$2:$A$22222&gt;=$L$2,IF(搜索词报告!$A$2:$A$22222&lt;=$L$4,搜索词报告!$N$2:$N$22222,0),0),0))</f>
        <v>0</v>
      </c>
      <c r="S193">
        <f t="array" ref="S193">SUM(IF(搜索词报告!$H$2:$H$22222=L193,IF(搜索词报告!$A$2:$A$22222&gt;=$L$2,IF(搜索词报告!$A$2:$A$22222&lt;=$L$4,搜索词报告!$M$2:$M$22222,0),0),0))</f>
        <v>0</v>
      </c>
      <c r="T193" s="2" t="str">
        <f t="shared" si="22"/>
        <v/>
      </c>
      <c r="U193" t="str">
        <f t="shared" si="23"/>
        <v>点击次数少于10次没有参考性</v>
      </c>
      <c r="V193" s="4" t="str">
        <f>IFERROR(INDEX(搜索词报告!$D$2:$D$22222,MATCH(关键词词频统计!L193,搜索词报告!$H$2:$H$22222,0)),"")</f>
        <v/>
      </c>
    </row>
    <row r="194" spans="2:22" x14ac:dyDescent="0.15">
      <c r="B194">
        <f t="array" ref="B194">SUM(IF(搜索词报告!$H$2:$H$22222=A194,IF(搜索词报告!$A$2:$A$22222&gt;=关键词词频统计!$A$2,IF(搜索词报告!$A$2:$A$22222&lt;=关键词词频统计!$A$4,搜索词报告!$I$2:$I$22222,0),0),0))</f>
        <v>0</v>
      </c>
      <c r="C194">
        <f t="array" ref="C194">SUM(IF(搜索词报告!$H$2:$H$22222=A194,IF(搜索词报告!$A$2:$A$22222&gt;=关键词词频统计!$A$2,IF(搜索词报告!$A$2:$A$22222&lt;=关键词词频统计!$A$4,搜索词报告!$J$2:$J$22222,0),0),0))</f>
        <v>0</v>
      </c>
      <c r="D194" s="2">
        <f t="shared" si="16"/>
        <v>0</v>
      </c>
      <c r="E194" s="2">
        <f t="shared" si="17"/>
        <v>0</v>
      </c>
      <c r="F194">
        <f t="array" ref="F194">SUM(IF(搜索词报告!$H$2:$H$22222=A194,IF(搜索词报告!$A$2:$A$22222&gt;=关键词词频统计!$A$2,IF(搜索词报告!$A$2:$A$22222&lt;=关键词词频统计!$A$4,搜索词报告!$Q$2:$Q$22222,0),0),0))</f>
        <v>0</v>
      </c>
      <c r="G194">
        <f t="array" ref="G194">SUM(IF(搜索词报告!$H$2:$H$22222=A194,IF(搜索词报告!$A$2:$A$22222&gt;=关键词词频统计!$A$2,IF(搜索词报告!$A$2:$A$22222&lt;=关键词词频统计!$A$4,搜索词报告!$N$2:$N$22222,0),0),0))</f>
        <v>0</v>
      </c>
      <c r="H194">
        <f t="array" ref="H194">SUM(IF(搜索词报告!$H$2:$H$22222=A194,IF(搜索词报告!$A$2:$A$22222&gt;=关键词词频统计!$A$2,IF(搜索词报告!$A$2:$A$22222&lt;=关键词词频统计!$A$4,搜索词报告!$M$2:$M$22222,0),0),0))</f>
        <v>0</v>
      </c>
      <c r="I194" s="2" t="str">
        <f t="shared" si="18"/>
        <v/>
      </c>
      <c r="J194" t="str">
        <f t="shared" si="19"/>
        <v>点击次数少于10次没有参考性</v>
      </c>
      <c r="K194" s="4" t="str">
        <f>IFERROR(INDEX(搜索词报告!$D$2:$D$22222,MATCH(关键词词频统计!A194,搜索词报告!$H$2:$H$22222,0)),"")</f>
        <v/>
      </c>
      <c r="M194">
        <f t="array" ref="M194">SUM(IF(搜索词报告!$H$2:$H$22222=L194,IF(搜索词报告!$A$2:$A$22222&gt;=$L$2,IF(搜索词报告!$A$2:$A$22222&lt;=$L$4,搜索词报告!$I$2:$I$22222,0),0),0))</f>
        <v>0</v>
      </c>
      <c r="N194">
        <f t="array" ref="N194">SUM(IF(搜索词报告!$H$2:$H$22222=L194,IF(搜索词报告!$A$2:$A$22222&gt;=$L$2,IF(搜索词报告!$A$2:$A$22222&lt;=$L$4,搜索词报告!$J$2:$J$22222,0),0),0))</f>
        <v>0</v>
      </c>
      <c r="O194" s="2">
        <f t="shared" si="20"/>
        <v>0</v>
      </c>
      <c r="P194" s="2">
        <f t="shared" si="21"/>
        <v>0</v>
      </c>
      <c r="Q194">
        <f t="array" ref="Q194">SUM(IF(搜索词报告!$H$2:$H$22222=L194,IF(搜索词报告!$A$2:$A$22222&gt;=$L$2,IF(搜索词报告!$A$2:$A$22222&lt;=$L$4,搜索词报告!$Q$2:$Q$22222,0),0),0))</f>
        <v>0</v>
      </c>
      <c r="R194">
        <f t="array" ref="R194">SUM(IF(搜索词报告!$H$2:$H$22222=L194,IF(搜索词报告!$A$2:$A$22222&gt;=$L$2,IF(搜索词报告!$A$2:$A$22222&lt;=$L$4,搜索词报告!$N$2:$N$22222,0),0),0))</f>
        <v>0</v>
      </c>
      <c r="S194">
        <f t="array" ref="S194">SUM(IF(搜索词报告!$H$2:$H$22222=L194,IF(搜索词报告!$A$2:$A$22222&gt;=$L$2,IF(搜索词报告!$A$2:$A$22222&lt;=$L$4,搜索词报告!$M$2:$M$22222,0),0),0))</f>
        <v>0</v>
      </c>
      <c r="T194" s="2" t="str">
        <f t="shared" si="22"/>
        <v/>
      </c>
      <c r="U194" t="str">
        <f t="shared" si="23"/>
        <v>点击次数少于10次没有参考性</v>
      </c>
      <c r="V194" s="4" t="str">
        <f>IFERROR(INDEX(搜索词报告!$D$2:$D$22222,MATCH(关键词词频统计!L194,搜索词报告!$H$2:$H$22222,0)),"")</f>
        <v/>
      </c>
    </row>
    <row r="195" spans="2:22" x14ac:dyDescent="0.15">
      <c r="B195">
        <f t="array" ref="B195">SUM(IF(搜索词报告!$H$2:$H$22222=A195,IF(搜索词报告!$A$2:$A$22222&gt;=关键词词频统计!$A$2,IF(搜索词报告!$A$2:$A$22222&lt;=关键词词频统计!$A$4,搜索词报告!$I$2:$I$22222,0),0),0))</f>
        <v>0</v>
      </c>
      <c r="C195">
        <f t="array" ref="C195">SUM(IF(搜索词报告!$H$2:$H$22222=A195,IF(搜索词报告!$A$2:$A$22222&gt;=关键词词频统计!$A$2,IF(搜索词报告!$A$2:$A$22222&lt;=关键词词频统计!$A$4,搜索词报告!$J$2:$J$22222,0),0),0))</f>
        <v>0</v>
      </c>
      <c r="D195" s="2">
        <f t="shared" si="16"/>
        <v>0</v>
      </c>
      <c r="E195" s="2">
        <f t="shared" si="17"/>
        <v>0</v>
      </c>
      <c r="F195">
        <f t="array" ref="F195">SUM(IF(搜索词报告!$H$2:$H$22222=A195,IF(搜索词报告!$A$2:$A$22222&gt;=关键词词频统计!$A$2,IF(搜索词报告!$A$2:$A$22222&lt;=关键词词频统计!$A$4,搜索词报告!$Q$2:$Q$22222,0),0),0))</f>
        <v>0</v>
      </c>
      <c r="G195">
        <f t="array" ref="G195">SUM(IF(搜索词报告!$H$2:$H$22222=A195,IF(搜索词报告!$A$2:$A$22222&gt;=关键词词频统计!$A$2,IF(搜索词报告!$A$2:$A$22222&lt;=关键词词频统计!$A$4,搜索词报告!$N$2:$N$22222,0),0),0))</f>
        <v>0</v>
      </c>
      <c r="H195">
        <f t="array" ref="H195">SUM(IF(搜索词报告!$H$2:$H$22222=A195,IF(搜索词报告!$A$2:$A$22222&gt;=关键词词频统计!$A$2,IF(搜索词报告!$A$2:$A$22222&lt;=关键词词频统计!$A$4,搜索词报告!$M$2:$M$22222,0),0),0))</f>
        <v>0</v>
      </c>
      <c r="I195" s="2" t="str">
        <f t="shared" si="18"/>
        <v/>
      </c>
      <c r="J195" t="str">
        <f t="shared" si="19"/>
        <v>点击次数少于10次没有参考性</v>
      </c>
      <c r="K195" s="4" t="str">
        <f>IFERROR(INDEX(搜索词报告!$D$2:$D$22222,MATCH(关键词词频统计!A195,搜索词报告!$H$2:$H$22222,0)),"")</f>
        <v/>
      </c>
      <c r="M195">
        <f t="array" ref="M195">SUM(IF(搜索词报告!$H$2:$H$22222=L195,IF(搜索词报告!$A$2:$A$22222&gt;=$L$2,IF(搜索词报告!$A$2:$A$22222&lt;=$L$4,搜索词报告!$I$2:$I$22222,0),0),0))</f>
        <v>0</v>
      </c>
      <c r="N195">
        <f t="array" ref="N195">SUM(IF(搜索词报告!$H$2:$H$22222=L195,IF(搜索词报告!$A$2:$A$22222&gt;=$L$2,IF(搜索词报告!$A$2:$A$22222&lt;=$L$4,搜索词报告!$J$2:$J$22222,0),0),0))</f>
        <v>0</v>
      </c>
      <c r="O195" s="2">
        <f t="shared" si="20"/>
        <v>0</v>
      </c>
      <c r="P195" s="2">
        <f t="shared" si="21"/>
        <v>0</v>
      </c>
      <c r="Q195">
        <f t="array" ref="Q195">SUM(IF(搜索词报告!$H$2:$H$22222=L195,IF(搜索词报告!$A$2:$A$22222&gt;=$L$2,IF(搜索词报告!$A$2:$A$22222&lt;=$L$4,搜索词报告!$Q$2:$Q$22222,0),0),0))</f>
        <v>0</v>
      </c>
      <c r="R195">
        <f t="array" ref="R195">SUM(IF(搜索词报告!$H$2:$H$22222=L195,IF(搜索词报告!$A$2:$A$22222&gt;=$L$2,IF(搜索词报告!$A$2:$A$22222&lt;=$L$4,搜索词报告!$N$2:$N$22222,0),0),0))</f>
        <v>0</v>
      </c>
      <c r="S195">
        <f t="array" ref="S195">SUM(IF(搜索词报告!$H$2:$H$22222=L195,IF(搜索词报告!$A$2:$A$22222&gt;=$L$2,IF(搜索词报告!$A$2:$A$22222&lt;=$L$4,搜索词报告!$M$2:$M$22222,0),0),0))</f>
        <v>0</v>
      </c>
      <c r="T195" s="2" t="str">
        <f t="shared" si="22"/>
        <v/>
      </c>
      <c r="U195" t="str">
        <f t="shared" si="23"/>
        <v>点击次数少于10次没有参考性</v>
      </c>
      <c r="V195" s="4" t="str">
        <f>IFERROR(INDEX(搜索词报告!$D$2:$D$22222,MATCH(关键词词频统计!L195,搜索词报告!$H$2:$H$22222,0)),"")</f>
        <v/>
      </c>
    </row>
    <row r="196" spans="2:22" x14ac:dyDescent="0.15">
      <c r="B196">
        <f t="array" ref="B196">SUM(IF(搜索词报告!$H$2:$H$22222=A196,IF(搜索词报告!$A$2:$A$22222&gt;=关键词词频统计!$A$2,IF(搜索词报告!$A$2:$A$22222&lt;=关键词词频统计!$A$4,搜索词报告!$I$2:$I$22222,0),0),0))</f>
        <v>0</v>
      </c>
      <c r="C196">
        <f t="array" ref="C196">SUM(IF(搜索词报告!$H$2:$H$22222=A196,IF(搜索词报告!$A$2:$A$22222&gt;=关键词词频统计!$A$2,IF(搜索词报告!$A$2:$A$22222&lt;=关键词词频统计!$A$4,搜索词报告!$J$2:$J$22222,0),0),0))</f>
        <v>0</v>
      </c>
      <c r="D196" s="2">
        <f t="shared" si="16"/>
        <v>0</v>
      </c>
      <c r="E196" s="2">
        <f t="shared" si="17"/>
        <v>0</v>
      </c>
      <c r="F196">
        <f t="array" ref="F196">SUM(IF(搜索词报告!$H$2:$H$22222=A196,IF(搜索词报告!$A$2:$A$22222&gt;=关键词词频统计!$A$2,IF(搜索词报告!$A$2:$A$22222&lt;=关键词词频统计!$A$4,搜索词报告!$Q$2:$Q$22222,0),0),0))</f>
        <v>0</v>
      </c>
      <c r="G196">
        <f t="array" ref="G196">SUM(IF(搜索词报告!$H$2:$H$22222=A196,IF(搜索词报告!$A$2:$A$22222&gt;=关键词词频统计!$A$2,IF(搜索词报告!$A$2:$A$22222&lt;=关键词词频统计!$A$4,搜索词报告!$N$2:$N$22222,0),0),0))</f>
        <v>0</v>
      </c>
      <c r="H196">
        <f t="array" ref="H196">SUM(IF(搜索词报告!$H$2:$H$22222=A196,IF(搜索词报告!$A$2:$A$22222&gt;=关键词词频统计!$A$2,IF(搜索词报告!$A$2:$A$22222&lt;=关键词词频统计!$A$4,搜索词报告!$M$2:$M$22222,0),0),0))</f>
        <v>0</v>
      </c>
      <c r="I196" s="2" t="str">
        <f t="shared" si="18"/>
        <v/>
      </c>
      <c r="J196" t="str">
        <f t="shared" si="19"/>
        <v>点击次数少于10次没有参考性</v>
      </c>
      <c r="K196" s="4" t="str">
        <f>IFERROR(INDEX(搜索词报告!$D$2:$D$22222,MATCH(关键词词频统计!A196,搜索词报告!$H$2:$H$22222,0)),"")</f>
        <v/>
      </c>
      <c r="M196">
        <f t="array" ref="M196">SUM(IF(搜索词报告!$H$2:$H$22222=L196,IF(搜索词报告!$A$2:$A$22222&gt;=$L$2,IF(搜索词报告!$A$2:$A$22222&lt;=$L$4,搜索词报告!$I$2:$I$22222,0),0),0))</f>
        <v>0</v>
      </c>
      <c r="N196">
        <f t="array" ref="N196">SUM(IF(搜索词报告!$H$2:$H$22222=L196,IF(搜索词报告!$A$2:$A$22222&gt;=$L$2,IF(搜索词报告!$A$2:$A$22222&lt;=$L$4,搜索词报告!$J$2:$J$22222,0),0),0))</f>
        <v>0</v>
      </c>
      <c r="O196" s="2">
        <f t="shared" si="20"/>
        <v>0</v>
      </c>
      <c r="P196" s="2">
        <f t="shared" si="21"/>
        <v>0</v>
      </c>
      <c r="Q196">
        <f t="array" ref="Q196">SUM(IF(搜索词报告!$H$2:$H$22222=L196,IF(搜索词报告!$A$2:$A$22222&gt;=$L$2,IF(搜索词报告!$A$2:$A$22222&lt;=$L$4,搜索词报告!$Q$2:$Q$22222,0),0),0))</f>
        <v>0</v>
      </c>
      <c r="R196">
        <f t="array" ref="R196">SUM(IF(搜索词报告!$H$2:$H$22222=L196,IF(搜索词报告!$A$2:$A$22222&gt;=$L$2,IF(搜索词报告!$A$2:$A$22222&lt;=$L$4,搜索词报告!$N$2:$N$22222,0),0),0))</f>
        <v>0</v>
      </c>
      <c r="S196">
        <f t="array" ref="S196">SUM(IF(搜索词报告!$H$2:$H$22222=L196,IF(搜索词报告!$A$2:$A$22222&gt;=$L$2,IF(搜索词报告!$A$2:$A$22222&lt;=$L$4,搜索词报告!$M$2:$M$22222,0),0),0))</f>
        <v>0</v>
      </c>
      <c r="T196" s="2" t="str">
        <f t="shared" si="22"/>
        <v/>
      </c>
      <c r="U196" t="str">
        <f t="shared" si="23"/>
        <v>点击次数少于10次没有参考性</v>
      </c>
      <c r="V196" s="4" t="str">
        <f>IFERROR(INDEX(搜索词报告!$D$2:$D$22222,MATCH(关键词词频统计!L196,搜索词报告!$H$2:$H$22222,0)),"")</f>
        <v/>
      </c>
    </row>
    <row r="197" spans="2:22" x14ac:dyDescent="0.15">
      <c r="B197">
        <f t="array" ref="B197">SUM(IF(搜索词报告!$H$2:$H$22222=A197,IF(搜索词报告!$A$2:$A$22222&gt;=关键词词频统计!$A$2,IF(搜索词报告!$A$2:$A$22222&lt;=关键词词频统计!$A$4,搜索词报告!$I$2:$I$22222,0),0),0))</f>
        <v>0</v>
      </c>
      <c r="C197">
        <f t="array" ref="C197">SUM(IF(搜索词报告!$H$2:$H$22222=A197,IF(搜索词报告!$A$2:$A$22222&gt;=关键词词频统计!$A$2,IF(搜索词报告!$A$2:$A$22222&lt;=关键词词频统计!$A$4,搜索词报告!$J$2:$J$22222,0),0),0))</f>
        <v>0</v>
      </c>
      <c r="D197" s="2">
        <f t="shared" si="16"/>
        <v>0</v>
      </c>
      <c r="E197" s="2">
        <f t="shared" si="17"/>
        <v>0</v>
      </c>
      <c r="F197">
        <f t="array" ref="F197">SUM(IF(搜索词报告!$H$2:$H$22222=A197,IF(搜索词报告!$A$2:$A$22222&gt;=关键词词频统计!$A$2,IF(搜索词报告!$A$2:$A$22222&lt;=关键词词频统计!$A$4,搜索词报告!$Q$2:$Q$22222,0),0),0))</f>
        <v>0</v>
      </c>
      <c r="G197">
        <f t="array" ref="G197">SUM(IF(搜索词报告!$H$2:$H$22222=A197,IF(搜索词报告!$A$2:$A$22222&gt;=关键词词频统计!$A$2,IF(搜索词报告!$A$2:$A$22222&lt;=关键词词频统计!$A$4,搜索词报告!$N$2:$N$22222,0),0),0))</f>
        <v>0</v>
      </c>
      <c r="H197">
        <f t="array" ref="H197">SUM(IF(搜索词报告!$H$2:$H$22222=A197,IF(搜索词报告!$A$2:$A$22222&gt;=关键词词频统计!$A$2,IF(搜索词报告!$A$2:$A$22222&lt;=关键词词频统计!$A$4,搜索词报告!$M$2:$M$22222,0),0),0))</f>
        <v>0</v>
      </c>
      <c r="I197" s="2" t="str">
        <f t="shared" si="18"/>
        <v/>
      </c>
      <c r="J197" t="str">
        <f t="shared" si="19"/>
        <v>点击次数少于10次没有参考性</v>
      </c>
      <c r="K197" s="4" t="str">
        <f>IFERROR(INDEX(搜索词报告!$D$2:$D$22222,MATCH(关键词词频统计!A197,搜索词报告!$H$2:$H$22222,0)),"")</f>
        <v/>
      </c>
      <c r="M197">
        <f t="array" ref="M197">SUM(IF(搜索词报告!$H$2:$H$22222=L197,IF(搜索词报告!$A$2:$A$22222&gt;=$L$2,IF(搜索词报告!$A$2:$A$22222&lt;=$L$4,搜索词报告!$I$2:$I$22222,0),0),0))</f>
        <v>0</v>
      </c>
      <c r="N197">
        <f t="array" ref="N197">SUM(IF(搜索词报告!$H$2:$H$22222=L197,IF(搜索词报告!$A$2:$A$22222&gt;=$L$2,IF(搜索词报告!$A$2:$A$22222&lt;=$L$4,搜索词报告!$J$2:$J$22222,0),0),0))</f>
        <v>0</v>
      </c>
      <c r="O197" s="2">
        <f t="shared" si="20"/>
        <v>0</v>
      </c>
      <c r="P197" s="2">
        <f t="shared" si="21"/>
        <v>0</v>
      </c>
      <c r="Q197">
        <f t="array" ref="Q197">SUM(IF(搜索词报告!$H$2:$H$22222=L197,IF(搜索词报告!$A$2:$A$22222&gt;=$L$2,IF(搜索词报告!$A$2:$A$22222&lt;=$L$4,搜索词报告!$Q$2:$Q$22222,0),0),0))</f>
        <v>0</v>
      </c>
      <c r="R197">
        <f t="array" ref="R197">SUM(IF(搜索词报告!$H$2:$H$22222=L197,IF(搜索词报告!$A$2:$A$22222&gt;=$L$2,IF(搜索词报告!$A$2:$A$22222&lt;=$L$4,搜索词报告!$N$2:$N$22222,0),0),0))</f>
        <v>0</v>
      </c>
      <c r="S197">
        <f t="array" ref="S197">SUM(IF(搜索词报告!$H$2:$H$22222=L197,IF(搜索词报告!$A$2:$A$22222&gt;=$L$2,IF(搜索词报告!$A$2:$A$22222&lt;=$L$4,搜索词报告!$M$2:$M$22222,0),0),0))</f>
        <v>0</v>
      </c>
      <c r="T197" s="2" t="str">
        <f t="shared" si="22"/>
        <v/>
      </c>
      <c r="U197" t="str">
        <f t="shared" si="23"/>
        <v>点击次数少于10次没有参考性</v>
      </c>
      <c r="V197" s="4" t="str">
        <f>IFERROR(INDEX(搜索词报告!$D$2:$D$22222,MATCH(关键词词频统计!L197,搜索词报告!$H$2:$H$22222,0)),"")</f>
        <v/>
      </c>
    </row>
    <row r="198" spans="2:22" x14ac:dyDescent="0.15">
      <c r="B198">
        <f t="array" ref="B198">SUM(IF(搜索词报告!$H$2:$H$22222=A198,IF(搜索词报告!$A$2:$A$22222&gt;=关键词词频统计!$A$2,IF(搜索词报告!$A$2:$A$22222&lt;=关键词词频统计!$A$4,搜索词报告!$I$2:$I$22222,0),0),0))</f>
        <v>0</v>
      </c>
      <c r="C198">
        <f t="array" ref="C198">SUM(IF(搜索词报告!$H$2:$H$22222=A198,IF(搜索词报告!$A$2:$A$22222&gt;=关键词词频统计!$A$2,IF(搜索词报告!$A$2:$A$22222&lt;=关键词词频统计!$A$4,搜索词报告!$J$2:$J$22222,0),0),0))</f>
        <v>0</v>
      </c>
      <c r="D198" s="2">
        <f t="shared" si="16"/>
        <v>0</v>
      </c>
      <c r="E198" s="2">
        <f t="shared" si="17"/>
        <v>0</v>
      </c>
      <c r="F198">
        <f t="array" ref="F198">SUM(IF(搜索词报告!$H$2:$H$22222=A198,IF(搜索词报告!$A$2:$A$22222&gt;=关键词词频统计!$A$2,IF(搜索词报告!$A$2:$A$22222&lt;=关键词词频统计!$A$4,搜索词报告!$Q$2:$Q$22222,0),0),0))</f>
        <v>0</v>
      </c>
      <c r="G198">
        <f t="array" ref="G198">SUM(IF(搜索词报告!$H$2:$H$22222=A198,IF(搜索词报告!$A$2:$A$22222&gt;=关键词词频统计!$A$2,IF(搜索词报告!$A$2:$A$22222&lt;=关键词词频统计!$A$4,搜索词报告!$N$2:$N$22222,0),0),0))</f>
        <v>0</v>
      </c>
      <c r="H198">
        <f t="array" ref="H198">SUM(IF(搜索词报告!$H$2:$H$22222=A198,IF(搜索词报告!$A$2:$A$22222&gt;=关键词词频统计!$A$2,IF(搜索词报告!$A$2:$A$22222&lt;=关键词词频统计!$A$4,搜索词报告!$M$2:$M$22222,0),0),0))</f>
        <v>0</v>
      </c>
      <c r="I198" s="2" t="str">
        <f t="shared" si="18"/>
        <v/>
      </c>
      <c r="J198" t="str">
        <f t="shared" si="19"/>
        <v>点击次数少于10次没有参考性</v>
      </c>
      <c r="K198" s="4" t="str">
        <f>IFERROR(INDEX(搜索词报告!$D$2:$D$22222,MATCH(关键词词频统计!A198,搜索词报告!$H$2:$H$22222,0)),"")</f>
        <v/>
      </c>
      <c r="M198">
        <f t="array" ref="M198">SUM(IF(搜索词报告!$H$2:$H$22222=L198,IF(搜索词报告!$A$2:$A$22222&gt;=$L$2,IF(搜索词报告!$A$2:$A$22222&lt;=$L$4,搜索词报告!$I$2:$I$22222,0),0),0))</f>
        <v>0</v>
      </c>
      <c r="N198">
        <f t="array" ref="N198">SUM(IF(搜索词报告!$H$2:$H$22222=L198,IF(搜索词报告!$A$2:$A$22222&gt;=$L$2,IF(搜索词报告!$A$2:$A$22222&lt;=$L$4,搜索词报告!$J$2:$J$22222,0),0),0))</f>
        <v>0</v>
      </c>
      <c r="O198" s="2">
        <f t="shared" si="20"/>
        <v>0</v>
      </c>
      <c r="P198" s="2">
        <f t="shared" si="21"/>
        <v>0</v>
      </c>
      <c r="Q198">
        <f t="array" ref="Q198">SUM(IF(搜索词报告!$H$2:$H$22222=L198,IF(搜索词报告!$A$2:$A$22222&gt;=$L$2,IF(搜索词报告!$A$2:$A$22222&lt;=$L$4,搜索词报告!$Q$2:$Q$22222,0),0),0))</f>
        <v>0</v>
      </c>
      <c r="R198">
        <f t="array" ref="R198">SUM(IF(搜索词报告!$H$2:$H$22222=L198,IF(搜索词报告!$A$2:$A$22222&gt;=$L$2,IF(搜索词报告!$A$2:$A$22222&lt;=$L$4,搜索词报告!$N$2:$N$22222,0),0),0))</f>
        <v>0</v>
      </c>
      <c r="S198">
        <f t="array" ref="S198">SUM(IF(搜索词报告!$H$2:$H$22222=L198,IF(搜索词报告!$A$2:$A$22222&gt;=$L$2,IF(搜索词报告!$A$2:$A$22222&lt;=$L$4,搜索词报告!$M$2:$M$22222,0),0),0))</f>
        <v>0</v>
      </c>
      <c r="T198" s="2" t="str">
        <f t="shared" si="22"/>
        <v/>
      </c>
      <c r="U198" t="str">
        <f t="shared" si="23"/>
        <v>点击次数少于10次没有参考性</v>
      </c>
      <c r="V198" s="4" t="str">
        <f>IFERROR(INDEX(搜索词报告!$D$2:$D$22222,MATCH(关键词词频统计!L198,搜索词报告!$H$2:$H$22222,0)),"")</f>
        <v/>
      </c>
    </row>
    <row r="199" spans="2:22" x14ac:dyDescent="0.15">
      <c r="B199">
        <f t="array" ref="B199">SUM(IF(搜索词报告!$H$2:$H$22222=A199,IF(搜索词报告!$A$2:$A$22222&gt;=关键词词频统计!$A$2,IF(搜索词报告!$A$2:$A$22222&lt;=关键词词频统计!$A$4,搜索词报告!$I$2:$I$22222,0),0),0))</f>
        <v>0</v>
      </c>
      <c r="C199">
        <f t="array" ref="C199">SUM(IF(搜索词报告!$H$2:$H$22222=A199,IF(搜索词报告!$A$2:$A$22222&gt;=关键词词频统计!$A$2,IF(搜索词报告!$A$2:$A$22222&lt;=关键词词频统计!$A$4,搜索词报告!$J$2:$J$22222,0),0),0))</f>
        <v>0</v>
      </c>
      <c r="D199" s="2">
        <f t="shared" ref="D199:D262" si="24">IFERROR(C199/B199,0)</f>
        <v>0</v>
      </c>
      <c r="E199" s="2">
        <f t="shared" ref="E199:E262" si="25">IFERROR(F199/C199,0)</f>
        <v>0</v>
      </c>
      <c r="F199">
        <f t="array" ref="F199">SUM(IF(搜索词报告!$H$2:$H$22222=A199,IF(搜索词报告!$A$2:$A$22222&gt;=关键词词频统计!$A$2,IF(搜索词报告!$A$2:$A$22222&lt;=关键词词频统计!$A$4,搜索词报告!$Q$2:$Q$22222,0),0),0))</f>
        <v>0</v>
      </c>
      <c r="G199">
        <f t="array" ref="G199">SUM(IF(搜索词报告!$H$2:$H$22222=A199,IF(搜索词报告!$A$2:$A$22222&gt;=关键词词频统计!$A$2,IF(搜索词报告!$A$2:$A$22222&lt;=关键词词频统计!$A$4,搜索词报告!$N$2:$N$22222,0),0),0))</f>
        <v>0</v>
      </c>
      <c r="H199">
        <f t="array" ref="H199">SUM(IF(搜索词报告!$H$2:$H$22222=A199,IF(搜索词报告!$A$2:$A$22222&gt;=关键词词频统计!$A$2,IF(搜索词报告!$A$2:$A$22222&lt;=关键词词频统计!$A$4,搜索词报告!$M$2:$M$22222,0),0),0))</f>
        <v>0</v>
      </c>
      <c r="I199" s="2" t="str">
        <f t="shared" ref="I199:I262" si="26">IF(IFERROR(H199/G199,0)=0,"",IFERROR(H199/G199,0))</f>
        <v/>
      </c>
      <c r="J199" t="str">
        <f t="shared" ref="J199:J262" si="27">IF(AND(C199&gt;=10,E199&lt;=0.05),"极差",IF(AND(C199&gt;=10,0.05&lt;E199,E199&lt;=0.1),"差",IF(AND(C199&gt;=10,0.1&lt;E199,E199&lt;=0.15),"良",IF(AND(C199&gt;=10,E199&gt;0.15),"优","点击次数少于10次没有参考性"))))</f>
        <v>点击次数少于10次没有参考性</v>
      </c>
      <c r="K199" s="4" t="str">
        <f>IFERROR(INDEX(搜索词报告!$D$2:$D$22222,MATCH(关键词词频统计!A199,搜索词报告!$H$2:$H$22222,0)),"")</f>
        <v/>
      </c>
      <c r="M199">
        <f t="array" ref="M199">SUM(IF(搜索词报告!$H$2:$H$22222=L199,IF(搜索词报告!$A$2:$A$22222&gt;=$L$2,IF(搜索词报告!$A$2:$A$22222&lt;=$L$4,搜索词报告!$I$2:$I$22222,0),0),0))</f>
        <v>0</v>
      </c>
      <c r="N199">
        <f t="array" ref="N199">SUM(IF(搜索词报告!$H$2:$H$22222=L199,IF(搜索词报告!$A$2:$A$22222&gt;=$L$2,IF(搜索词报告!$A$2:$A$22222&lt;=$L$4,搜索词报告!$J$2:$J$22222,0),0),0))</f>
        <v>0</v>
      </c>
      <c r="O199" s="2">
        <f t="shared" ref="O199:O262" si="28">IFERROR(N199/M199,0)</f>
        <v>0</v>
      </c>
      <c r="P199" s="2">
        <f t="shared" ref="P199:P262" si="29">IFERROR(Q199/N199,0)</f>
        <v>0</v>
      </c>
      <c r="Q199">
        <f t="array" ref="Q199">SUM(IF(搜索词报告!$H$2:$H$22222=L199,IF(搜索词报告!$A$2:$A$22222&gt;=$L$2,IF(搜索词报告!$A$2:$A$22222&lt;=$L$4,搜索词报告!$Q$2:$Q$22222,0),0),0))</f>
        <v>0</v>
      </c>
      <c r="R199">
        <f t="array" ref="R199">SUM(IF(搜索词报告!$H$2:$H$22222=L199,IF(搜索词报告!$A$2:$A$22222&gt;=$L$2,IF(搜索词报告!$A$2:$A$22222&lt;=$L$4,搜索词报告!$N$2:$N$22222,0),0),0))</f>
        <v>0</v>
      </c>
      <c r="S199">
        <f t="array" ref="S199">SUM(IF(搜索词报告!$H$2:$H$22222=L199,IF(搜索词报告!$A$2:$A$22222&gt;=$L$2,IF(搜索词报告!$A$2:$A$22222&lt;=$L$4,搜索词报告!$M$2:$M$22222,0),0),0))</f>
        <v>0</v>
      </c>
      <c r="T199" s="2" t="str">
        <f t="shared" ref="T199:T262" si="30">IF(IFERROR(S199/R199,0)=0,"",IFERROR(S199/R199,0))</f>
        <v/>
      </c>
      <c r="U199" t="str">
        <f t="shared" ref="U199:U262" si="31">IF(AND(N199&gt;=10,P199&lt;=0.05),"极差",IF(AND(N199&gt;=10,0.05&lt;P199,P199&lt;=0.1),"差",IF(AND(N199&gt;=10,0.1&lt;P199,P199&lt;=0.15),"良",IF(AND(N199&gt;=10,P199&gt;0.15),"优","点击次数少于10次没有参考性"))))</f>
        <v>点击次数少于10次没有参考性</v>
      </c>
      <c r="V199" s="4" t="str">
        <f>IFERROR(INDEX(搜索词报告!$D$2:$D$22222,MATCH(关键词词频统计!L199,搜索词报告!$H$2:$H$22222,0)),"")</f>
        <v/>
      </c>
    </row>
    <row r="200" spans="2:22" x14ac:dyDescent="0.15">
      <c r="B200">
        <f t="array" ref="B200">SUM(IF(搜索词报告!$H$2:$H$22222=A200,IF(搜索词报告!$A$2:$A$22222&gt;=关键词词频统计!$A$2,IF(搜索词报告!$A$2:$A$22222&lt;=关键词词频统计!$A$4,搜索词报告!$I$2:$I$22222,0),0),0))</f>
        <v>0</v>
      </c>
      <c r="C200">
        <f t="array" ref="C200">SUM(IF(搜索词报告!$H$2:$H$22222=A200,IF(搜索词报告!$A$2:$A$22222&gt;=关键词词频统计!$A$2,IF(搜索词报告!$A$2:$A$22222&lt;=关键词词频统计!$A$4,搜索词报告!$J$2:$J$22222,0),0),0))</f>
        <v>0</v>
      </c>
      <c r="D200" s="2">
        <f t="shared" si="24"/>
        <v>0</v>
      </c>
      <c r="E200" s="2">
        <f t="shared" si="25"/>
        <v>0</v>
      </c>
      <c r="F200">
        <f t="array" ref="F200">SUM(IF(搜索词报告!$H$2:$H$22222=A200,IF(搜索词报告!$A$2:$A$22222&gt;=关键词词频统计!$A$2,IF(搜索词报告!$A$2:$A$22222&lt;=关键词词频统计!$A$4,搜索词报告!$Q$2:$Q$22222,0),0),0))</f>
        <v>0</v>
      </c>
      <c r="G200">
        <f t="array" ref="G200">SUM(IF(搜索词报告!$H$2:$H$22222=A200,IF(搜索词报告!$A$2:$A$22222&gt;=关键词词频统计!$A$2,IF(搜索词报告!$A$2:$A$22222&lt;=关键词词频统计!$A$4,搜索词报告!$N$2:$N$22222,0),0),0))</f>
        <v>0</v>
      </c>
      <c r="H200">
        <f t="array" ref="H200">SUM(IF(搜索词报告!$H$2:$H$22222=A200,IF(搜索词报告!$A$2:$A$22222&gt;=关键词词频统计!$A$2,IF(搜索词报告!$A$2:$A$22222&lt;=关键词词频统计!$A$4,搜索词报告!$M$2:$M$22222,0),0),0))</f>
        <v>0</v>
      </c>
      <c r="I200" s="2" t="str">
        <f t="shared" si="26"/>
        <v/>
      </c>
      <c r="J200" t="str">
        <f t="shared" si="27"/>
        <v>点击次数少于10次没有参考性</v>
      </c>
      <c r="K200" s="4" t="str">
        <f>IFERROR(INDEX(搜索词报告!$D$2:$D$22222,MATCH(关键词词频统计!A200,搜索词报告!$H$2:$H$22222,0)),"")</f>
        <v/>
      </c>
      <c r="M200">
        <f t="array" ref="M200">SUM(IF(搜索词报告!$H$2:$H$22222=L200,IF(搜索词报告!$A$2:$A$22222&gt;=$L$2,IF(搜索词报告!$A$2:$A$22222&lt;=$L$4,搜索词报告!$I$2:$I$22222,0),0),0))</f>
        <v>0</v>
      </c>
      <c r="N200">
        <f t="array" ref="N200">SUM(IF(搜索词报告!$H$2:$H$22222=L200,IF(搜索词报告!$A$2:$A$22222&gt;=$L$2,IF(搜索词报告!$A$2:$A$22222&lt;=$L$4,搜索词报告!$J$2:$J$22222,0),0),0))</f>
        <v>0</v>
      </c>
      <c r="O200" s="2">
        <f t="shared" si="28"/>
        <v>0</v>
      </c>
      <c r="P200" s="2">
        <f t="shared" si="29"/>
        <v>0</v>
      </c>
      <c r="Q200">
        <f t="array" ref="Q200">SUM(IF(搜索词报告!$H$2:$H$22222=L200,IF(搜索词报告!$A$2:$A$22222&gt;=$L$2,IF(搜索词报告!$A$2:$A$22222&lt;=$L$4,搜索词报告!$Q$2:$Q$22222,0),0),0))</f>
        <v>0</v>
      </c>
      <c r="R200">
        <f t="array" ref="R200">SUM(IF(搜索词报告!$H$2:$H$22222=L200,IF(搜索词报告!$A$2:$A$22222&gt;=$L$2,IF(搜索词报告!$A$2:$A$22222&lt;=$L$4,搜索词报告!$N$2:$N$22222,0),0),0))</f>
        <v>0</v>
      </c>
      <c r="S200">
        <f t="array" ref="S200">SUM(IF(搜索词报告!$H$2:$H$22222=L200,IF(搜索词报告!$A$2:$A$22222&gt;=$L$2,IF(搜索词报告!$A$2:$A$22222&lt;=$L$4,搜索词报告!$M$2:$M$22222,0),0),0))</f>
        <v>0</v>
      </c>
      <c r="T200" s="2" t="str">
        <f t="shared" si="30"/>
        <v/>
      </c>
      <c r="U200" t="str">
        <f t="shared" si="31"/>
        <v>点击次数少于10次没有参考性</v>
      </c>
      <c r="V200" s="4" t="str">
        <f>IFERROR(INDEX(搜索词报告!$D$2:$D$22222,MATCH(关键词词频统计!L200,搜索词报告!$H$2:$H$22222,0)),"")</f>
        <v/>
      </c>
    </row>
    <row r="201" spans="2:22" x14ac:dyDescent="0.15">
      <c r="B201">
        <f t="array" ref="B201">SUM(IF(搜索词报告!$H$2:$H$22222=A201,IF(搜索词报告!$A$2:$A$22222&gt;=关键词词频统计!$A$2,IF(搜索词报告!$A$2:$A$22222&lt;=关键词词频统计!$A$4,搜索词报告!$I$2:$I$22222,0),0),0))</f>
        <v>0</v>
      </c>
      <c r="C201">
        <f t="array" ref="C201">SUM(IF(搜索词报告!$H$2:$H$22222=A201,IF(搜索词报告!$A$2:$A$22222&gt;=关键词词频统计!$A$2,IF(搜索词报告!$A$2:$A$22222&lt;=关键词词频统计!$A$4,搜索词报告!$J$2:$J$22222,0),0),0))</f>
        <v>0</v>
      </c>
      <c r="D201" s="2">
        <f t="shared" si="24"/>
        <v>0</v>
      </c>
      <c r="E201" s="2">
        <f t="shared" si="25"/>
        <v>0</v>
      </c>
      <c r="F201">
        <f t="array" ref="F201">SUM(IF(搜索词报告!$H$2:$H$22222=A201,IF(搜索词报告!$A$2:$A$22222&gt;=关键词词频统计!$A$2,IF(搜索词报告!$A$2:$A$22222&lt;=关键词词频统计!$A$4,搜索词报告!$Q$2:$Q$22222,0),0),0))</f>
        <v>0</v>
      </c>
      <c r="G201">
        <f t="array" ref="G201">SUM(IF(搜索词报告!$H$2:$H$22222=A201,IF(搜索词报告!$A$2:$A$22222&gt;=关键词词频统计!$A$2,IF(搜索词报告!$A$2:$A$22222&lt;=关键词词频统计!$A$4,搜索词报告!$N$2:$N$22222,0),0),0))</f>
        <v>0</v>
      </c>
      <c r="H201">
        <f t="array" ref="H201">SUM(IF(搜索词报告!$H$2:$H$22222=A201,IF(搜索词报告!$A$2:$A$22222&gt;=关键词词频统计!$A$2,IF(搜索词报告!$A$2:$A$22222&lt;=关键词词频统计!$A$4,搜索词报告!$M$2:$M$22222,0),0),0))</f>
        <v>0</v>
      </c>
      <c r="I201" s="2" t="str">
        <f t="shared" si="26"/>
        <v/>
      </c>
      <c r="J201" t="str">
        <f t="shared" si="27"/>
        <v>点击次数少于10次没有参考性</v>
      </c>
      <c r="K201" s="4" t="str">
        <f>IFERROR(INDEX(搜索词报告!$D$2:$D$22222,MATCH(关键词词频统计!A201,搜索词报告!$H$2:$H$22222,0)),"")</f>
        <v/>
      </c>
      <c r="M201">
        <f t="array" ref="M201">SUM(IF(搜索词报告!$H$2:$H$22222=L201,IF(搜索词报告!$A$2:$A$22222&gt;=$L$2,IF(搜索词报告!$A$2:$A$22222&lt;=$L$4,搜索词报告!$I$2:$I$22222,0),0),0))</f>
        <v>0</v>
      </c>
      <c r="N201">
        <f t="array" ref="N201">SUM(IF(搜索词报告!$H$2:$H$22222=L201,IF(搜索词报告!$A$2:$A$22222&gt;=$L$2,IF(搜索词报告!$A$2:$A$22222&lt;=$L$4,搜索词报告!$J$2:$J$22222,0),0),0))</f>
        <v>0</v>
      </c>
      <c r="O201" s="2">
        <f t="shared" si="28"/>
        <v>0</v>
      </c>
      <c r="P201" s="2">
        <f t="shared" si="29"/>
        <v>0</v>
      </c>
      <c r="Q201">
        <f t="array" ref="Q201">SUM(IF(搜索词报告!$H$2:$H$22222=L201,IF(搜索词报告!$A$2:$A$22222&gt;=$L$2,IF(搜索词报告!$A$2:$A$22222&lt;=$L$4,搜索词报告!$Q$2:$Q$22222,0),0),0))</f>
        <v>0</v>
      </c>
      <c r="R201">
        <f t="array" ref="R201">SUM(IF(搜索词报告!$H$2:$H$22222=L201,IF(搜索词报告!$A$2:$A$22222&gt;=$L$2,IF(搜索词报告!$A$2:$A$22222&lt;=$L$4,搜索词报告!$N$2:$N$22222,0),0),0))</f>
        <v>0</v>
      </c>
      <c r="S201">
        <f t="array" ref="S201">SUM(IF(搜索词报告!$H$2:$H$22222=L201,IF(搜索词报告!$A$2:$A$22222&gt;=$L$2,IF(搜索词报告!$A$2:$A$22222&lt;=$L$4,搜索词报告!$M$2:$M$22222,0),0),0))</f>
        <v>0</v>
      </c>
      <c r="T201" s="2" t="str">
        <f t="shared" si="30"/>
        <v/>
      </c>
      <c r="U201" t="str">
        <f t="shared" si="31"/>
        <v>点击次数少于10次没有参考性</v>
      </c>
      <c r="V201" s="4" t="str">
        <f>IFERROR(INDEX(搜索词报告!$D$2:$D$22222,MATCH(关键词词频统计!L201,搜索词报告!$H$2:$H$22222,0)),"")</f>
        <v/>
      </c>
    </row>
    <row r="202" spans="2:22" x14ac:dyDescent="0.15">
      <c r="B202">
        <f t="array" ref="B202">SUM(IF(搜索词报告!$H$2:$H$22222=A202,IF(搜索词报告!$A$2:$A$22222&gt;=关键词词频统计!$A$2,IF(搜索词报告!$A$2:$A$22222&lt;=关键词词频统计!$A$4,搜索词报告!$I$2:$I$22222,0),0),0))</f>
        <v>0</v>
      </c>
      <c r="C202">
        <f t="array" ref="C202">SUM(IF(搜索词报告!$H$2:$H$22222=A202,IF(搜索词报告!$A$2:$A$22222&gt;=关键词词频统计!$A$2,IF(搜索词报告!$A$2:$A$22222&lt;=关键词词频统计!$A$4,搜索词报告!$J$2:$J$22222,0),0),0))</f>
        <v>0</v>
      </c>
      <c r="D202" s="2">
        <f t="shared" si="24"/>
        <v>0</v>
      </c>
      <c r="E202" s="2">
        <f t="shared" si="25"/>
        <v>0</v>
      </c>
      <c r="F202">
        <f t="array" ref="F202">SUM(IF(搜索词报告!$H$2:$H$22222=A202,IF(搜索词报告!$A$2:$A$22222&gt;=关键词词频统计!$A$2,IF(搜索词报告!$A$2:$A$22222&lt;=关键词词频统计!$A$4,搜索词报告!$Q$2:$Q$22222,0),0),0))</f>
        <v>0</v>
      </c>
      <c r="G202">
        <f t="array" ref="G202">SUM(IF(搜索词报告!$H$2:$H$22222=A202,IF(搜索词报告!$A$2:$A$22222&gt;=关键词词频统计!$A$2,IF(搜索词报告!$A$2:$A$22222&lt;=关键词词频统计!$A$4,搜索词报告!$N$2:$N$22222,0),0),0))</f>
        <v>0</v>
      </c>
      <c r="H202">
        <f t="array" ref="H202">SUM(IF(搜索词报告!$H$2:$H$22222=A202,IF(搜索词报告!$A$2:$A$22222&gt;=关键词词频统计!$A$2,IF(搜索词报告!$A$2:$A$22222&lt;=关键词词频统计!$A$4,搜索词报告!$M$2:$M$22222,0),0),0))</f>
        <v>0</v>
      </c>
      <c r="I202" s="2" t="str">
        <f t="shared" si="26"/>
        <v/>
      </c>
      <c r="J202" t="str">
        <f t="shared" si="27"/>
        <v>点击次数少于10次没有参考性</v>
      </c>
      <c r="K202" s="4" t="str">
        <f>IFERROR(INDEX(搜索词报告!$D$2:$D$22222,MATCH(关键词词频统计!A202,搜索词报告!$H$2:$H$22222,0)),"")</f>
        <v/>
      </c>
      <c r="M202">
        <f t="array" ref="M202">SUM(IF(搜索词报告!$H$2:$H$22222=L202,IF(搜索词报告!$A$2:$A$22222&gt;=$L$2,IF(搜索词报告!$A$2:$A$22222&lt;=$L$4,搜索词报告!$I$2:$I$22222,0),0),0))</f>
        <v>0</v>
      </c>
      <c r="N202">
        <f t="array" ref="N202">SUM(IF(搜索词报告!$H$2:$H$22222=L202,IF(搜索词报告!$A$2:$A$22222&gt;=$L$2,IF(搜索词报告!$A$2:$A$22222&lt;=$L$4,搜索词报告!$J$2:$J$22222,0),0),0))</f>
        <v>0</v>
      </c>
      <c r="O202" s="2">
        <f t="shared" si="28"/>
        <v>0</v>
      </c>
      <c r="P202" s="2">
        <f t="shared" si="29"/>
        <v>0</v>
      </c>
      <c r="Q202">
        <f t="array" ref="Q202">SUM(IF(搜索词报告!$H$2:$H$22222=L202,IF(搜索词报告!$A$2:$A$22222&gt;=$L$2,IF(搜索词报告!$A$2:$A$22222&lt;=$L$4,搜索词报告!$Q$2:$Q$22222,0),0),0))</f>
        <v>0</v>
      </c>
      <c r="R202">
        <f t="array" ref="R202">SUM(IF(搜索词报告!$H$2:$H$22222=L202,IF(搜索词报告!$A$2:$A$22222&gt;=$L$2,IF(搜索词报告!$A$2:$A$22222&lt;=$L$4,搜索词报告!$N$2:$N$22222,0),0),0))</f>
        <v>0</v>
      </c>
      <c r="S202">
        <f t="array" ref="S202">SUM(IF(搜索词报告!$H$2:$H$22222=L202,IF(搜索词报告!$A$2:$A$22222&gt;=$L$2,IF(搜索词报告!$A$2:$A$22222&lt;=$L$4,搜索词报告!$M$2:$M$22222,0),0),0))</f>
        <v>0</v>
      </c>
      <c r="T202" s="2" t="str">
        <f t="shared" si="30"/>
        <v/>
      </c>
      <c r="U202" t="str">
        <f t="shared" si="31"/>
        <v>点击次数少于10次没有参考性</v>
      </c>
      <c r="V202" s="4" t="str">
        <f>IFERROR(INDEX(搜索词报告!$D$2:$D$22222,MATCH(关键词词频统计!L202,搜索词报告!$H$2:$H$22222,0)),"")</f>
        <v/>
      </c>
    </row>
    <row r="203" spans="2:22" x14ac:dyDescent="0.15">
      <c r="B203">
        <f t="array" ref="B203">SUM(IF(搜索词报告!$H$2:$H$22222=A203,IF(搜索词报告!$A$2:$A$22222&gt;=关键词词频统计!$A$2,IF(搜索词报告!$A$2:$A$22222&lt;=关键词词频统计!$A$4,搜索词报告!$I$2:$I$22222,0),0),0))</f>
        <v>0</v>
      </c>
      <c r="C203">
        <f t="array" ref="C203">SUM(IF(搜索词报告!$H$2:$H$22222=A203,IF(搜索词报告!$A$2:$A$22222&gt;=关键词词频统计!$A$2,IF(搜索词报告!$A$2:$A$22222&lt;=关键词词频统计!$A$4,搜索词报告!$J$2:$J$22222,0),0),0))</f>
        <v>0</v>
      </c>
      <c r="D203" s="2">
        <f t="shared" si="24"/>
        <v>0</v>
      </c>
      <c r="E203" s="2">
        <f t="shared" si="25"/>
        <v>0</v>
      </c>
      <c r="F203">
        <f t="array" ref="F203">SUM(IF(搜索词报告!$H$2:$H$22222=A203,IF(搜索词报告!$A$2:$A$22222&gt;=关键词词频统计!$A$2,IF(搜索词报告!$A$2:$A$22222&lt;=关键词词频统计!$A$4,搜索词报告!$Q$2:$Q$22222,0),0),0))</f>
        <v>0</v>
      </c>
      <c r="G203">
        <f t="array" ref="G203">SUM(IF(搜索词报告!$H$2:$H$22222=A203,IF(搜索词报告!$A$2:$A$22222&gt;=关键词词频统计!$A$2,IF(搜索词报告!$A$2:$A$22222&lt;=关键词词频统计!$A$4,搜索词报告!$N$2:$N$22222,0),0),0))</f>
        <v>0</v>
      </c>
      <c r="H203">
        <f t="array" ref="H203">SUM(IF(搜索词报告!$H$2:$H$22222=A203,IF(搜索词报告!$A$2:$A$22222&gt;=关键词词频统计!$A$2,IF(搜索词报告!$A$2:$A$22222&lt;=关键词词频统计!$A$4,搜索词报告!$M$2:$M$22222,0),0),0))</f>
        <v>0</v>
      </c>
      <c r="I203" s="2" t="str">
        <f t="shared" si="26"/>
        <v/>
      </c>
      <c r="J203" t="str">
        <f t="shared" si="27"/>
        <v>点击次数少于10次没有参考性</v>
      </c>
      <c r="K203" s="4" t="str">
        <f>IFERROR(INDEX(搜索词报告!$D$2:$D$22222,MATCH(关键词词频统计!A203,搜索词报告!$H$2:$H$22222,0)),"")</f>
        <v/>
      </c>
      <c r="M203">
        <f t="array" ref="M203">SUM(IF(搜索词报告!$H$2:$H$22222=L203,IF(搜索词报告!$A$2:$A$22222&gt;=$L$2,IF(搜索词报告!$A$2:$A$22222&lt;=$L$4,搜索词报告!$I$2:$I$22222,0),0),0))</f>
        <v>0</v>
      </c>
      <c r="N203">
        <f t="array" ref="N203">SUM(IF(搜索词报告!$H$2:$H$22222=L203,IF(搜索词报告!$A$2:$A$22222&gt;=$L$2,IF(搜索词报告!$A$2:$A$22222&lt;=$L$4,搜索词报告!$J$2:$J$22222,0),0),0))</f>
        <v>0</v>
      </c>
      <c r="O203" s="2">
        <f t="shared" si="28"/>
        <v>0</v>
      </c>
      <c r="P203" s="2">
        <f t="shared" si="29"/>
        <v>0</v>
      </c>
      <c r="Q203">
        <f t="array" ref="Q203">SUM(IF(搜索词报告!$H$2:$H$22222=L203,IF(搜索词报告!$A$2:$A$22222&gt;=$L$2,IF(搜索词报告!$A$2:$A$22222&lt;=$L$4,搜索词报告!$Q$2:$Q$22222,0),0),0))</f>
        <v>0</v>
      </c>
      <c r="R203">
        <f t="array" ref="R203">SUM(IF(搜索词报告!$H$2:$H$22222=L203,IF(搜索词报告!$A$2:$A$22222&gt;=$L$2,IF(搜索词报告!$A$2:$A$22222&lt;=$L$4,搜索词报告!$N$2:$N$22222,0),0),0))</f>
        <v>0</v>
      </c>
      <c r="S203">
        <f t="array" ref="S203">SUM(IF(搜索词报告!$H$2:$H$22222=L203,IF(搜索词报告!$A$2:$A$22222&gt;=$L$2,IF(搜索词报告!$A$2:$A$22222&lt;=$L$4,搜索词报告!$M$2:$M$22222,0),0),0))</f>
        <v>0</v>
      </c>
      <c r="T203" s="2" t="str">
        <f t="shared" si="30"/>
        <v/>
      </c>
      <c r="U203" t="str">
        <f t="shared" si="31"/>
        <v>点击次数少于10次没有参考性</v>
      </c>
      <c r="V203" s="4" t="str">
        <f>IFERROR(INDEX(搜索词报告!$D$2:$D$22222,MATCH(关键词词频统计!L203,搜索词报告!$H$2:$H$22222,0)),"")</f>
        <v/>
      </c>
    </row>
    <row r="204" spans="2:22" x14ac:dyDescent="0.15">
      <c r="B204">
        <f t="array" ref="B204">SUM(IF(搜索词报告!$H$2:$H$22222=A204,IF(搜索词报告!$A$2:$A$22222&gt;=关键词词频统计!$A$2,IF(搜索词报告!$A$2:$A$22222&lt;=关键词词频统计!$A$4,搜索词报告!$I$2:$I$22222,0),0),0))</f>
        <v>0</v>
      </c>
      <c r="C204">
        <f t="array" ref="C204">SUM(IF(搜索词报告!$H$2:$H$22222=A204,IF(搜索词报告!$A$2:$A$22222&gt;=关键词词频统计!$A$2,IF(搜索词报告!$A$2:$A$22222&lt;=关键词词频统计!$A$4,搜索词报告!$J$2:$J$22222,0),0),0))</f>
        <v>0</v>
      </c>
      <c r="D204" s="2">
        <f t="shared" si="24"/>
        <v>0</v>
      </c>
      <c r="E204" s="2">
        <f t="shared" si="25"/>
        <v>0</v>
      </c>
      <c r="F204">
        <f t="array" ref="F204">SUM(IF(搜索词报告!$H$2:$H$22222=A204,IF(搜索词报告!$A$2:$A$22222&gt;=关键词词频统计!$A$2,IF(搜索词报告!$A$2:$A$22222&lt;=关键词词频统计!$A$4,搜索词报告!$Q$2:$Q$22222,0),0),0))</f>
        <v>0</v>
      </c>
      <c r="G204">
        <f t="array" ref="G204">SUM(IF(搜索词报告!$H$2:$H$22222=A204,IF(搜索词报告!$A$2:$A$22222&gt;=关键词词频统计!$A$2,IF(搜索词报告!$A$2:$A$22222&lt;=关键词词频统计!$A$4,搜索词报告!$N$2:$N$22222,0),0),0))</f>
        <v>0</v>
      </c>
      <c r="H204">
        <f t="array" ref="H204">SUM(IF(搜索词报告!$H$2:$H$22222=A204,IF(搜索词报告!$A$2:$A$22222&gt;=关键词词频统计!$A$2,IF(搜索词报告!$A$2:$A$22222&lt;=关键词词频统计!$A$4,搜索词报告!$M$2:$M$22222,0),0),0))</f>
        <v>0</v>
      </c>
      <c r="I204" s="2" t="str">
        <f t="shared" si="26"/>
        <v/>
      </c>
      <c r="J204" t="str">
        <f t="shared" si="27"/>
        <v>点击次数少于10次没有参考性</v>
      </c>
      <c r="K204" s="4" t="str">
        <f>IFERROR(INDEX(搜索词报告!$D$2:$D$22222,MATCH(关键词词频统计!A204,搜索词报告!$H$2:$H$22222,0)),"")</f>
        <v/>
      </c>
      <c r="M204">
        <f t="array" ref="M204">SUM(IF(搜索词报告!$H$2:$H$22222=L204,IF(搜索词报告!$A$2:$A$22222&gt;=$L$2,IF(搜索词报告!$A$2:$A$22222&lt;=$L$4,搜索词报告!$I$2:$I$22222,0),0),0))</f>
        <v>0</v>
      </c>
      <c r="N204">
        <f t="array" ref="N204">SUM(IF(搜索词报告!$H$2:$H$22222=L204,IF(搜索词报告!$A$2:$A$22222&gt;=$L$2,IF(搜索词报告!$A$2:$A$22222&lt;=$L$4,搜索词报告!$J$2:$J$22222,0),0),0))</f>
        <v>0</v>
      </c>
      <c r="O204" s="2">
        <f t="shared" si="28"/>
        <v>0</v>
      </c>
      <c r="P204" s="2">
        <f t="shared" si="29"/>
        <v>0</v>
      </c>
      <c r="Q204">
        <f t="array" ref="Q204">SUM(IF(搜索词报告!$H$2:$H$22222=L204,IF(搜索词报告!$A$2:$A$22222&gt;=$L$2,IF(搜索词报告!$A$2:$A$22222&lt;=$L$4,搜索词报告!$Q$2:$Q$22222,0),0),0))</f>
        <v>0</v>
      </c>
      <c r="R204">
        <f t="array" ref="R204">SUM(IF(搜索词报告!$H$2:$H$22222=L204,IF(搜索词报告!$A$2:$A$22222&gt;=$L$2,IF(搜索词报告!$A$2:$A$22222&lt;=$L$4,搜索词报告!$N$2:$N$22222,0),0),0))</f>
        <v>0</v>
      </c>
      <c r="S204">
        <f t="array" ref="S204">SUM(IF(搜索词报告!$H$2:$H$22222=L204,IF(搜索词报告!$A$2:$A$22222&gt;=$L$2,IF(搜索词报告!$A$2:$A$22222&lt;=$L$4,搜索词报告!$M$2:$M$22222,0),0),0))</f>
        <v>0</v>
      </c>
      <c r="T204" s="2" t="str">
        <f t="shared" si="30"/>
        <v/>
      </c>
      <c r="U204" t="str">
        <f t="shared" si="31"/>
        <v>点击次数少于10次没有参考性</v>
      </c>
      <c r="V204" s="4" t="str">
        <f>IFERROR(INDEX(搜索词报告!$D$2:$D$22222,MATCH(关键词词频统计!L204,搜索词报告!$H$2:$H$22222,0)),"")</f>
        <v/>
      </c>
    </row>
    <row r="205" spans="2:22" x14ac:dyDescent="0.15">
      <c r="B205">
        <f t="array" ref="B205">SUM(IF(搜索词报告!$H$2:$H$22222=A205,IF(搜索词报告!$A$2:$A$22222&gt;=关键词词频统计!$A$2,IF(搜索词报告!$A$2:$A$22222&lt;=关键词词频统计!$A$4,搜索词报告!$I$2:$I$22222,0),0),0))</f>
        <v>0</v>
      </c>
      <c r="C205">
        <f t="array" ref="C205">SUM(IF(搜索词报告!$H$2:$H$22222=A205,IF(搜索词报告!$A$2:$A$22222&gt;=关键词词频统计!$A$2,IF(搜索词报告!$A$2:$A$22222&lt;=关键词词频统计!$A$4,搜索词报告!$J$2:$J$22222,0),0),0))</f>
        <v>0</v>
      </c>
      <c r="D205" s="2">
        <f t="shared" si="24"/>
        <v>0</v>
      </c>
      <c r="E205" s="2">
        <f t="shared" si="25"/>
        <v>0</v>
      </c>
      <c r="F205">
        <f t="array" ref="F205">SUM(IF(搜索词报告!$H$2:$H$22222=A205,IF(搜索词报告!$A$2:$A$22222&gt;=关键词词频统计!$A$2,IF(搜索词报告!$A$2:$A$22222&lt;=关键词词频统计!$A$4,搜索词报告!$Q$2:$Q$22222,0),0),0))</f>
        <v>0</v>
      </c>
      <c r="G205">
        <f t="array" ref="G205">SUM(IF(搜索词报告!$H$2:$H$22222=A205,IF(搜索词报告!$A$2:$A$22222&gt;=关键词词频统计!$A$2,IF(搜索词报告!$A$2:$A$22222&lt;=关键词词频统计!$A$4,搜索词报告!$N$2:$N$22222,0),0),0))</f>
        <v>0</v>
      </c>
      <c r="H205">
        <f t="array" ref="H205">SUM(IF(搜索词报告!$H$2:$H$22222=A205,IF(搜索词报告!$A$2:$A$22222&gt;=关键词词频统计!$A$2,IF(搜索词报告!$A$2:$A$22222&lt;=关键词词频统计!$A$4,搜索词报告!$M$2:$M$22222,0),0),0))</f>
        <v>0</v>
      </c>
      <c r="I205" s="2" t="str">
        <f t="shared" si="26"/>
        <v/>
      </c>
      <c r="J205" t="str">
        <f t="shared" si="27"/>
        <v>点击次数少于10次没有参考性</v>
      </c>
      <c r="K205" s="4" t="str">
        <f>IFERROR(INDEX(搜索词报告!$D$2:$D$22222,MATCH(关键词词频统计!A205,搜索词报告!$H$2:$H$22222,0)),"")</f>
        <v/>
      </c>
      <c r="M205">
        <f t="array" ref="M205">SUM(IF(搜索词报告!$H$2:$H$22222=L205,IF(搜索词报告!$A$2:$A$22222&gt;=$L$2,IF(搜索词报告!$A$2:$A$22222&lt;=$L$4,搜索词报告!$I$2:$I$22222,0),0),0))</f>
        <v>0</v>
      </c>
      <c r="N205">
        <f t="array" ref="N205">SUM(IF(搜索词报告!$H$2:$H$22222=L205,IF(搜索词报告!$A$2:$A$22222&gt;=$L$2,IF(搜索词报告!$A$2:$A$22222&lt;=$L$4,搜索词报告!$J$2:$J$22222,0),0),0))</f>
        <v>0</v>
      </c>
      <c r="O205" s="2">
        <f t="shared" si="28"/>
        <v>0</v>
      </c>
      <c r="P205" s="2">
        <f t="shared" si="29"/>
        <v>0</v>
      </c>
      <c r="Q205">
        <f t="array" ref="Q205">SUM(IF(搜索词报告!$H$2:$H$22222=L205,IF(搜索词报告!$A$2:$A$22222&gt;=$L$2,IF(搜索词报告!$A$2:$A$22222&lt;=$L$4,搜索词报告!$Q$2:$Q$22222,0),0),0))</f>
        <v>0</v>
      </c>
      <c r="R205">
        <f t="array" ref="R205">SUM(IF(搜索词报告!$H$2:$H$22222=L205,IF(搜索词报告!$A$2:$A$22222&gt;=$L$2,IF(搜索词报告!$A$2:$A$22222&lt;=$L$4,搜索词报告!$N$2:$N$22222,0),0),0))</f>
        <v>0</v>
      </c>
      <c r="S205">
        <f t="array" ref="S205">SUM(IF(搜索词报告!$H$2:$H$22222=L205,IF(搜索词报告!$A$2:$A$22222&gt;=$L$2,IF(搜索词报告!$A$2:$A$22222&lt;=$L$4,搜索词报告!$M$2:$M$22222,0),0),0))</f>
        <v>0</v>
      </c>
      <c r="T205" s="2" t="str">
        <f t="shared" si="30"/>
        <v/>
      </c>
      <c r="U205" t="str">
        <f t="shared" si="31"/>
        <v>点击次数少于10次没有参考性</v>
      </c>
      <c r="V205" s="4" t="str">
        <f>IFERROR(INDEX(搜索词报告!$D$2:$D$22222,MATCH(关键词词频统计!L205,搜索词报告!$H$2:$H$22222,0)),"")</f>
        <v/>
      </c>
    </row>
    <row r="206" spans="2:22" x14ac:dyDescent="0.15">
      <c r="B206">
        <f t="array" ref="B206">SUM(IF(搜索词报告!$H$2:$H$22222=A206,IF(搜索词报告!$A$2:$A$22222&gt;=关键词词频统计!$A$2,IF(搜索词报告!$A$2:$A$22222&lt;=关键词词频统计!$A$4,搜索词报告!$I$2:$I$22222,0),0),0))</f>
        <v>0</v>
      </c>
      <c r="C206">
        <f t="array" ref="C206">SUM(IF(搜索词报告!$H$2:$H$22222=A206,IF(搜索词报告!$A$2:$A$22222&gt;=关键词词频统计!$A$2,IF(搜索词报告!$A$2:$A$22222&lt;=关键词词频统计!$A$4,搜索词报告!$J$2:$J$22222,0),0),0))</f>
        <v>0</v>
      </c>
      <c r="D206" s="2">
        <f t="shared" si="24"/>
        <v>0</v>
      </c>
      <c r="E206" s="2">
        <f t="shared" si="25"/>
        <v>0</v>
      </c>
      <c r="F206">
        <f t="array" ref="F206">SUM(IF(搜索词报告!$H$2:$H$22222=A206,IF(搜索词报告!$A$2:$A$22222&gt;=关键词词频统计!$A$2,IF(搜索词报告!$A$2:$A$22222&lt;=关键词词频统计!$A$4,搜索词报告!$Q$2:$Q$22222,0),0),0))</f>
        <v>0</v>
      </c>
      <c r="G206">
        <f t="array" ref="G206">SUM(IF(搜索词报告!$H$2:$H$22222=A206,IF(搜索词报告!$A$2:$A$22222&gt;=关键词词频统计!$A$2,IF(搜索词报告!$A$2:$A$22222&lt;=关键词词频统计!$A$4,搜索词报告!$N$2:$N$22222,0),0),0))</f>
        <v>0</v>
      </c>
      <c r="H206">
        <f t="array" ref="H206">SUM(IF(搜索词报告!$H$2:$H$22222=A206,IF(搜索词报告!$A$2:$A$22222&gt;=关键词词频统计!$A$2,IF(搜索词报告!$A$2:$A$22222&lt;=关键词词频统计!$A$4,搜索词报告!$M$2:$M$22222,0),0),0))</f>
        <v>0</v>
      </c>
      <c r="I206" s="2" t="str">
        <f t="shared" si="26"/>
        <v/>
      </c>
      <c r="J206" t="str">
        <f t="shared" si="27"/>
        <v>点击次数少于10次没有参考性</v>
      </c>
      <c r="K206" s="4" t="str">
        <f>IFERROR(INDEX(搜索词报告!$D$2:$D$22222,MATCH(关键词词频统计!A206,搜索词报告!$H$2:$H$22222,0)),"")</f>
        <v/>
      </c>
      <c r="M206">
        <f t="array" ref="M206">SUM(IF(搜索词报告!$H$2:$H$22222=L206,IF(搜索词报告!$A$2:$A$22222&gt;=$L$2,IF(搜索词报告!$A$2:$A$22222&lt;=$L$4,搜索词报告!$I$2:$I$22222,0),0),0))</f>
        <v>0</v>
      </c>
      <c r="N206">
        <f t="array" ref="N206">SUM(IF(搜索词报告!$H$2:$H$22222=L206,IF(搜索词报告!$A$2:$A$22222&gt;=$L$2,IF(搜索词报告!$A$2:$A$22222&lt;=$L$4,搜索词报告!$J$2:$J$22222,0),0),0))</f>
        <v>0</v>
      </c>
      <c r="O206" s="2">
        <f t="shared" si="28"/>
        <v>0</v>
      </c>
      <c r="P206" s="2">
        <f t="shared" si="29"/>
        <v>0</v>
      </c>
      <c r="Q206">
        <f t="array" ref="Q206">SUM(IF(搜索词报告!$H$2:$H$22222=L206,IF(搜索词报告!$A$2:$A$22222&gt;=$L$2,IF(搜索词报告!$A$2:$A$22222&lt;=$L$4,搜索词报告!$Q$2:$Q$22222,0),0),0))</f>
        <v>0</v>
      </c>
      <c r="R206">
        <f t="array" ref="R206">SUM(IF(搜索词报告!$H$2:$H$22222=L206,IF(搜索词报告!$A$2:$A$22222&gt;=$L$2,IF(搜索词报告!$A$2:$A$22222&lt;=$L$4,搜索词报告!$N$2:$N$22222,0),0),0))</f>
        <v>0</v>
      </c>
      <c r="S206">
        <f t="array" ref="S206">SUM(IF(搜索词报告!$H$2:$H$22222=L206,IF(搜索词报告!$A$2:$A$22222&gt;=$L$2,IF(搜索词报告!$A$2:$A$22222&lt;=$L$4,搜索词报告!$M$2:$M$22222,0),0),0))</f>
        <v>0</v>
      </c>
      <c r="T206" s="2" t="str">
        <f t="shared" si="30"/>
        <v/>
      </c>
      <c r="U206" t="str">
        <f t="shared" si="31"/>
        <v>点击次数少于10次没有参考性</v>
      </c>
      <c r="V206" s="4" t="str">
        <f>IFERROR(INDEX(搜索词报告!$D$2:$D$22222,MATCH(关键词词频统计!L206,搜索词报告!$H$2:$H$22222,0)),"")</f>
        <v/>
      </c>
    </row>
    <row r="207" spans="2:22" x14ac:dyDescent="0.15">
      <c r="B207">
        <f t="array" ref="B207">SUM(IF(搜索词报告!$H$2:$H$22222=A207,IF(搜索词报告!$A$2:$A$22222&gt;=关键词词频统计!$A$2,IF(搜索词报告!$A$2:$A$22222&lt;=关键词词频统计!$A$4,搜索词报告!$I$2:$I$22222,0),0),0))</f>
        <v>0</v>
      </c>
      <c r="C207">
        <f t="array" ref="C207">SUM(IF(搜索词报告!$H$2:$H$22222=A207,IF(搜索词报告!$A$2:$A$22222&gt;=关键词词频统计!$A$2,IF(搜索词报告!$A$2:$A$22222&lt;=关键词词频统计!$A$4,搜索词报告!$J$2:$J$22222,0),0),0))</f>
        <v>0</v>
      </c>
      <c r="D207" s="2">
        <f t="shared" si="24"/>
        <v>0</v>
      </c>
      <c r="E207" s="2">
        <f t="shared" si="25"/>
        <v>0</v>
      </c>
      <c r="F207">
        <f t="array" ref="F207">SUM(IF(搜索词报告!$H$2:$H$22222=A207,IF(搜索词报告!$A$2:$A$22222&gt;=关键词词频统计!$A$2,IF(搜索词报告!$A$2:$A$22222&lt;=关键词词频统计!$A$4,搜索词报告!$Q$2:$Q$22222,0),0),0))</f>
        <v>0</v>
      </c>
      <c r="G207">
        <f t="array" ref="G207">SUM(IF(搜索词报告!$H$2:$H$22222=A207,IF(搜索词报告!$A$2:$A$22222&gt;=关键词词频统计!$A$2,IF(搜索词报告!$A$2:$A$22222&lt;=关键词词频统计!$A$4,搜索词报告!$N$2:$N$22222,0),0),0))</f>
        <v>0</v>
      </c>
      <c r="H207">
        <f t="array" ref="H207">SUM(IF(搜索词报告!$H$2:$H$22222=A207,IF(搜索词报告!$A$2:$A$22222&gt;=关键词词频统计!$A$2,IF(搜索词报告!$A$2:$A$22222&lt;=关键词词频统计!$A$4,搜索词报告!$M$2:$M$22222,0),0),0))</f>
        <v>0</v>
      </c>
      <c r="I207" s="2" t="str">
        <f t="shared" si="26"/>
        <v/>
      </c>
      <c r="J207" t="str">
        <f t="shared" si="27"/>
        <v>点击次数少于10次没有参考性</v>
      </c>
      <c r="K207" s="4" t="str">
        <f>IFERROR(INDEX(搜索词报告!$D$2:$D$22222,MATCH(关键词词频统计!A207,搜索词报告!$H$2:$H$22222,0)),"")</f>
        <v/>
      </c>
      <c r="M207">
        <f t="array" ref="M207">SUM(IF(搜索词报告!$H$2:$H$22222=L207,IF(搜索词报告!$A$2:$A$22222&gt;=$L$2,IF(搜索词报告!$A$2:$A$22222&lt;=$L$4,搜索词报告!$I$2:$I$22222,0),0),0))</f>
        <v>0</v>
      </c>
      <c r="N207">
        <f t="array" ref="N207">SUM(IF(搜索词报告!$H$2:$H$22222=L207,IF(搜索词报告!$A$2:$A$22222&gt;=$L$2,IF(搜索词报告!$A$2:$A$22222&lt;=$L$4,搜索词报告!$J$2:$J$22222,0),0),0))</f>
        <v>0</v>
      </c>
      <c r="O207" s="2">
        <f t="shared" si="28"/>
        <v>0</v>
      </c>
      <c r="P207" s="2">
        <f t="shared" si="29"/>
        <v>0</v>
      </c>
      <c r="Q207">
        <f t="array" ref="Q207">SUM(IF(搜索词报告!$H$2:$H$22222=L207,IF(搜索词报告!$A$2:$A$22222&gt;=$L$2,IF(搜索词报告!$A$2:$A$22222&lt;=$L$4,搜索词报告!$Q$2:$Q$22222,0),0),0))</f>
        <v>0</v>
      </c>
      <c r="R207">
        <f t="array" ref="R207">SUM(IF(搜索词报告!$H$2:$H$22222=L207,IF(搜索词报告!$A$2:$A$22222&gt;=$L$2,IF(搜索词报告!$A$2:$A$22222&lt;=$L$4,搜索词报告!$N$2:$N$22222,0),0),0))</f>
        <v>0</v>
      </c>
      <c r="S207">
        <f t="array" ref="S207">SUM(IF(搜索词报告!$H$2:$H$22222=L207,IF(搜索词报告!$A$2:$A$22222&gt;=$L$2,IF(搜索词报告!$A$2:$A$22222&lt;=$L$4,搜索词报告!$M$2:$M$22222,0),0),0))</f>
        <v>0</v>
      </c>
      <c r="T207" s="2" t="str">
        <f t="shared" si="30"/>
        <v/>
      </c>
      <c r="U207" t="str">
        <f t="shared" si="31"/>
        <v>点击次数少于10次没有参考性</v>
      </c>
      <c r="V207" s="4" t="str">
        <f>IFERROR(INDEX(搜索词报告!$D$2:$D$22222,MATCH(关键词词频统计!L207,搜索词报告!$H$2:$H$22222,0)),"")</f>
        <v/>
      </c>
    </row>
    <row r="208" spans="2:22" x14ac:dyDescent="0.15">
      <c r="B208">
        <f t="array" ref="B208">SUM(IF(搜索词报告!$H$2:$H$22222=A208,IF(搜索词报告!$A$2:$A$22222&gt;=关键词词频统计!$A$2,IF(搜索词报告!$A$2:$A$22222&lt;=关键词词频统计!$A$4,搜索词报告!$I$2:$I$22222,0),0),0))</f>
        <v>0</v>
      </c>
      <c r="C208">
        <f t="array" ref="C208">SUM(IF(搜索词报告!$H$2:$H$22222=A208,IF(搜索词报告!$A$2:$A$22222&gt;=关键词词频统计!$A$2,IF(搜索词报告!$A$2:$A$22222&lt;=关键词词频统计!$A$4,搜索词报告!$J$2:$J$22222,0),0),0))</f>
        <v>0</v>
      </c>
      <c r="D208" s="2">
        <f t="shared" si="24"/>
        <v>0</v>
      </c>
      <c r="E208" s="2">
        <f t="shared" si="25"/>
        <v>0</v>
      </c>
      <c r="F208">
        <f t="array" ref="F208">SUM(IF(搜索词报告!$H$2:$H$22222=A208,IF(搜索词报告!$A$2:$A$22222&gt;=关键词词频统计!$A$2,IF(搜索词报告!$A$2:$A$22222&lt;=关键词词频统计!$A$4,搜索词报告!$Q$2:$Q$22222,0),0),0))</f>
        <v>0</v>
      </c>
      <c r="G208">
        <f t="array" ref="G208">SUM(IF(搜索词报告!$H$2:$H$22222=A208,IF(搜索词报告!$A$2:$A$22222&gt;=关键词词频统计!$A$2,IF(搜索词报告!$A$2:$A$22222&lt;=关键词词频统计!$A$4,搜索词报告!$N$2:$N$22222,0),0),0))</f>
        <v>0</v>
      </c>
      <c r="H208">
        <f t="array" ref="H208">SUM(IF(搜索词报告!$H$2:$H$22222=A208,IF(搜索词报告!$A$2:$A$22222&gt;=关键词词频统计!$A$2,IF(搜索词报告!$A$2:$A$22222&lt;=关键词词频统计!$A$4,搜索词报告!$M$2:$M$22222,0),0),0))</f>
        <v>0</v>
      </c>
      <c r="I208" s="2" t="str">
        <f t="shared" si="26"/>
        <v/>
      </c>
      <c r="J208" t="str">
        <f t="shared" si="27"/>
        <v>点击次数少于10次没有参考性</v>
      </c>
      <c r="K208" s="4" t="str">
        <f>IFERROR(INDEX(搜索词报告!$D$2:$D$22222,MATCH(关键词词频统计!A208,搜索词报告!$H$2:$H$22222,0)),"")</f>
        <v/>
      </c>
      <c r="M208">
        <f t="array" ref="M208">SUM(IF(搜索词报告!$H$2:$H$22222=L208,IF(搜索词报告!$A$2:$A$22222&gt;=$L$2,IF(搜索词报告!$A$2:$A$22222&lt;=$L$4,搜索词报告!$I$2:$I$22222,0),0),0))</f>
        <v>0</v>
      </c>
      <c r="N208">
        <f t="array" ref="N208">SUM(IF(搜索词报告!$H$2:$H$22222=L208,IF(搜索词报告!$A$2:$A$22222&gt;=$L$2,IF(搜索词报告!$A$2:$A$22222&lt;=$L$4,搜索词报告!$J$2:$J$22222,0),0),0))</f>
        <v>0</v>
      </c>
      <c r="O208" s="2">
        <f t="shared" si="28"/>
        <v>0</v>
      </c>
      <c r="P208" s="2">
        <f t="shared" si="29"/>
        <v>0</v>
      </c>
      <c r="Q208">
        <f t="array" ref="Q208">SUM(IF(搜索词报告!$H$2:$H$22222=L208,IF(搜索词报告!$A$2:$A$22222&gt;=$L$2,IF(搜索词报告!$A$2:$A$22222&lt;=$L$4,搜索词报告!$Q$2:$Q$22222,0),0),0))</f>
        <v>0</v>
      </c>
      <c r="R208">
        <f t="array" ref="R208">SUM(IF(搜索词报告!$H$2:$H$22222=L208,IF(搜索词报告!$A$2:$A$22222&gt;=$L$2,IF(搜索词报告!$A$2:$A$22222&lt;=$L$4,搜索词报告!$N$2:$N$22222,0),0),0))</f>
        <v>0</v>
      </c>
      <c r="S208">
        <f t="array" ref="S208">SUM(IF(搜索词报告!$H$2:$H$22222=L208,IF(搜索词报告!$A$2:$A$22222&gt;=$L$2,IF(搜索词报告!$A$2:$A$22222&lt;=$L$4,搜索词报告!$M$2:$M$22222,0),0),0))</f>
        <v>0</v>
      </c>
      <c r="T208" s="2" t="str">
        <f t="shared" si="30"/>
        <v/>
      </c>
      <c r="U208" t="str">
        <f t="shared" si="31"/>
        <v>点击次数少于10次没有参考性</v>
      </c>
      <c r="V208" s="4" t="str">
        <f>IFERROR(INDEX(搜索词报告!$D$2:$D$22222,MATCH(关键词词频统计!L208,搜索词报告!$H$2:$H$22222,0)),"")</f>
        <v/>
      </c>
    </row>
    <row r="209" spans="2:22" x14ac:dyDescent="0.15">
      <c r="B209">
        <f t="array" ref="B209">SUM(IF(搜索词报告!$H$2:$H$22222=A209,IF(搜索词报告!$A$2:$A$22222&gt;=关键词词频统计!$A$2,IF(搜索词报告!$A$2:$A$22222&lt;=关键词词频统计!$A$4,搜索词报告!$I$2:$I$22222,0),0),0))</f>
        <v>0</v>
      </c>
      <c r="C209">
        <f t="array" ref="C209">SUM(IF(搜索词报告!$H$2:$H$22222=A209,IF(搜索词报告!$A$2:$A$22222&gt;=关键词词频统计!$A$2,IF(搜索词报告!$A$2:$A$22222&lt;=关键词词频统计!$A$4,搜索词报告!$J$2:$J$22222,0),0),0))</f>
        <v>0</v>
      </c>
      <c r="D209" s="2">
        <f t="shared" si="24"/>
        <v>0</v>
      </c>
      <c r="E209" s="2">
        <f t="shared" si="25"/>
        <v>0</v>
      </c>
      <c r="F209">
        <f t="array" ref="F209">SUM(IF(搜索词报告!$H$2:$H$22222=A209,IF(搜索词报告!$A$2:$A$22222&gt;=关键词词频统计!$A$2,IF(搜索词报告!$A$2:$A$22222&lt;=关键词词频统计!$A$4,搜索词报告!$Q$2:$Q$22222,0),0),0))</f>
        <v>0</v>
      </c>
      <c r="G209">
        <f t="array" ref="G209">SUM(IF(搜索词报告!$H$2:$H$22222=A209,IF(搜索词报告!$A$2:$A$22222&gt;=关键词词频统计!$A$2,IF(搜索词报告!$A$2:$A$22222&lt;=关键词词频统计!$A$4,搜索词报告!$N$2:$N$22222,0),0),0))</f>
        <v>0</v>
      </c>
      <c r="H209">
        <f t="array" ref="H209">SUM(IF(搜索词报告!$H$2:$H$22222=A209,IF(搜索词报告!$A$2:$A$22222&gt;=关键词词频统计!$A$2,IF(搜索词报告!$A$2:$A$22222&lt;=关键词词频统计!$A$4,搜索词报告!$M$2:$M$22222,0),0),0))</f>
        <v>0</v>
      </c>
      <c r="I209" s="2" t="str">
        <f t="shared" si="26"/>
        <v/>
      </c>
      <c r="J209" t="str">
        <f t="shared" si="27"/>
        <v>点击次数少于10次没有参考性</v>
      </c>
      <c r="K209" s="4" t="str">
        <f>IFERROR(INDEX(搜索词报告!$D$2:$D$22222,MATCH(关键词词频统计!A209,搜索词报告!$H$2:$H$22222,0)),"")</f>
        <v/>
      </c>
      <c r="M209">
        <f t="array" ref="M209">SUM(IF(搜索词报告!$H$2:$H$22222=L209,IF(搜索词报告!$A$2:$A$22222&gt;=$L$2,IF(搜索词报告!$A$2:$A$22222&lt;=$L$4,搜索词报告!$I$2:$I$22222,0),0),0))</f>
        <v>0</v>
      </c>
      <c r="N209">
        <f t="array" ref="N209">SUM(IF(搜索词报告!$H$2:$H$22222=L209,IF(搜索词报告!$A$2:$A$22222&gt;=$L$2,IF(搜索词报告!$A$2:$A$22222&lt;=$L$4,搜索词报告!$J$2:$J$22222,0),0),0))</f>
        <v>0</v>
      </c>
      <c r="O209" s="2">
        <f t="shared" si="28"/>
        <v>0</v>
      </c>
      <c r="P209" s="2">
        <f t="shared" si="29"/>
        <v>0</v>
      </c>
      <c r="Q209">
        <f t="array" ref="Q209">SUM(IF(搜索词报告!$H$2:$H$22222=L209,IF(搜索词报告!$A$2:$A$22222&gt;=$L$2,IF(搜索词报告!$A$2:$A$22222&lt;=$L$4,搜索词报告!$Q$2:$Q$22222,0),0),0))</f>
        <v>0</v>
      </c>
      <c r="R209">
        <f t="array" ref="R209">SUM(IF(搜索词报告!$H$2:$H$22222=L209,IF(搜索词报告!$A$2:$A$22222&gt;=$L$2,IF(搜索词报告!$A$2:$A$22222&lt;=$L$4,搜索词报告!$N$2:$N$22222,0),0),0))</f>
        <v>0</v>
      </c>
      <c r="S209">
        <f t="array" ref="S209">SUM(IF(搜索词报告!$H$2:$H$22222=L209,IF(搜索词报告!$A$2:$A$22222&gt;=$L$2,IF(搜索词报告!$A$2:$A$22222&lt;=$L$4,搜索词报告!$M$2:$M$22222,0),0),0))</f>
        <v>0</v>
      </c>
      <c r="T209" s="2" t="str">
        <f t="shared" si="30"/>
        <v/>
      </c>
      <c r="U209" t="str">
        <f t="shared" si="31"/>
        <v>点击次数少于10次没有参考性</v>
      </c>
      <c r="V209" s="4" t="str">
        <f>IFERROR(INDEX(搜索词报告!$D$2:$D$22222,MATCH(关键词词频统计!L209,搜索词报告!$H$2:$H$22222,0)),"")</f>
        <v/>
      </c>
    </row>
    <row r="210" spans="2:22" x14ac:dyDescent="0.15">
      <c r="B210">
        <f t="array" ref="B210">SUM(IF(搜索词报告!$H$2:$H$22222=A210,IF(搜索词报告!$A$2:$A$22222&gt;=关键词词频统计!$A$2,IF(搜索词报告!$A$2:$A$22222&lt;=关键词词频统计!$A$4,搜索词报告!$I$2:$I$22222,0),0),0))</f>
        <v>0</v>
      </c>
      <c r="C210">
        <f t="array" ref="C210">SUM(IF(搜索词报告!$H$2:$H$22222=A210,IF(搜索词报告!$A$2:$A$22222&gt;=关键词词频统计!$A$2,IF(搜索词报告!$A$2:$A$22222&lt;=关键词词频统计!$A$4,搜索词报告!$J$2:$J$22222,0),0),0))</f>
        <v>0</v>
      </c>
      <c r="D210" s="2">
        <f t="shared" si="24"/>
        <v>0</v>
      </c>
      <c r="E210" s="2">
        <f t="shared" si="25"/>
        <v>0</v>
      </c>
      <c r="F210">
        <f t="array" ref="F210">SUM(IF(搜索词报告!$H$2:$H$22222=A210,IF(搜索词报告!$A$2:$A$22222&gt;=关键词词频统计!$A$2,IF(搜索词报告!$A$2:$A$22222&lt;=关键词词频统计!$A$4,搜索词报告!$Q$2:$Q$22222,0),0),0))</f>
        <v>0</v>
      </c>
      <c r="G210">
        <f t="array" ref="G210">SUM(IF(搜索词报告!$H$2:$H$22222=A210,IF(搜索词报告!$A$2:$A$22222&gt;=关键词词频统计!$A$2,IF(搜索词报告!$A$2:$A$22222&lt;=关键词词频统计!$A$4,搜索词报告!$N$2:$N$22222,0),0),0))</f>
        <v>0</v>
      </c>
      <c r="H210">
        <f t="array" ref="H210">SUM(IF(搜索词报告!$H$2:$H$22222=A210,IF(搜索词报告!$A$2:$A$22222&gt;=关键词词频统计!$A$2,IF(搜索词报告!$A$2:$A$22222&lt;=关键词词频统计!$A$4,搜索词报告!$M$2:$M$22222,0),0),0))</f>
        <v>0</v>
      </c>
      <c r="I210" s="2" t="str">
        <f t="shared" si="26"/>
        <v/>
      </c>
      <c r="J210" t="str">
        <f t="shared" si="27"/>
        <v>点击次数少于10次没有参考性</v>
      </c>
      <c r="K210" s="4" t="str">
        <f>IFERROR(INDEX(搜索词报告!$D$2:$D$22222,MATCH(关键词词频统计!A210,搜索词报告!$H$2:$H$22222,0)),"")</f>
        <v/>
      </c>
      <c r="M210">
        <f t="array" ref="M210">SUM(IF(搜索词报告!$H$2:$H$22222=L210,IF(搜索词报告!$A$2:$A$22222&gt;=$L$2,IF(搜索词报告!$A$2:$A$22222&lt;=$L$4,搜索词报告!$I$2:$I$22222,0),0),0))</f>
        <v>0</v>
      </c>
      <c r="N210">
        <f t="array" ref="N210">SUM(IF(搜索词报告!$H$2:$H$22222=L210,IF(搜索词报告!$A$2:$A$22222&gt;=$L$2,IF(搜索词报告!$A$2:$A$22222&lt;=$L$4,搜索词报告!$J$2:$J$22222,0),0),0))</f>
        <v>0</v>
      </c>
      <c r="O210" s="2">
        <f t="shared" si="28"/>
        <v>0</v>
      </c>
      <c r="P210" s="2">
        <f t="shared" si="29"/>
        <v>0</v>
      </c>
      <c r="Q210">
        <f t="array" ref="Q210">SUM(IF(搜索词报告!$H$2:$H$22222=L210,IF(搜索词报告!$A$2:$A$22222&gt;=$L$2,IF(搜索词报告!$A$2:$A$22222&lt;=$L$4,搜索词报告!$Q$2:$Q$22222,0),0),0))</f>
        <v>0</v>
      </c>
      <c r="R210">
        <f t="array" ref="R210">SUM(IF(搜索词报告!$H$2:$H$22222=L210,IF(搜索词报告!$A$2:$A$22222&gt;=$L$2,IF(搜索词报告!$A$2:$A$22222&lt;=$L$4,搜索词报告!$N$2:$N$22222,0),0),0))</f>
        <v>0</v>
      </c>
      <c r="S210">
        <f t="array" ref="S210">SUM(IF(搜索词报告!$H$2:$H$22222=L210,IF(搜索词报告!$A$2:$A$22222&gt;=$L$2,IF(搜索词报告!$A$2:$A$22222&lt;=$L$4,搜索词报告!$M$2:$M$22222,0),0),0))</f>
        <v>0</v>
      </c>
      <c r="T210" s="2" t="str">
        <f t="shared" si="30"/>
        <v/>
      </c>
      <c r="U210" t="str">
        <f t="shared" si="31"/>
        <v>点击次数少于10次没有参考性</v>
      </c>
      <c r="V210" s="4" t="str">
        <f>IFERROR(INDEX(搜索词报告!$D$2:$D$22222,MATCH(关键词词频统计!L210,搜索词报告!$H$2:$H$22222,0)),"")</f>
        <v/>
      </c>
    </row>
    <row r="211" spans="2:22" x14ac:dyDescent="0.15">
      <c r="B211">
        <f t="array" ref="B211">SUM(IF(搜索词报告!$H$2:$H$22222=A211,IF(搜索词报告!$A$2:$A$22222&gt;=关键词词频统计!$A$2,IF(搜索词报告!$A$2:$A$22222&lt;=关键词词频统计!$A$4,搜索词报告!$I$2:$I$22222,0),0),0))</f>
        <v>0</v>
      </c>
      <c r="C211">
        <f t="array" ref="C211">SUM(IF(搜索词报告!$H$2:$H$22222=A211,IF(搜索词报告!$A$2:$A$22222&gt;=关键词词频统计!$A$2,IF(搜索词报告!$A$2:$A$22222&lt;=关键词词频统计!$A$4,搜索词报告!$J$2:$J$22222,0),0),0))</f>
        <v>0</v>
      </c>
      <c r="D211" s="2">
        <f t="shared" si="24"/>
        <v>0</v>
      </c>
      <c r="E211" s="2">
        <f t="shared" si="25"/>
        <v>0</v>
      </c>
      <c r="F211">
        <f t="array" ref="F211">SUM(IF(搜索词报告!$H$2:$H$22222=A211,IF(搜索词报告!$A$2:$A$22222&gt;=关键词词频统计!$A$2,IF(搜索词报告!$A$2:$A$22222&lt;=关键词词频统计!$A$4,搜索词报告!$Q$2:$Q$22222,0),0),0))</f>
        <v>0</v>
      </c>
      <c r="G211">
        <f t="array" ref="G211">SUM(IF(搜索词报告!$H$2:$H$22222=A211,IF(搜索词报告!$A$2:$A$22222&gt;=关键词词频统计!$A$2,IF(搜索词报告!$A$2:$A$22222&lt;=关键词词频统计!$A$4,搜索词报告!$N$2:$N$22222,0),0),0))</f>
        <v>0</v>
      </c>
      <c r="H211">
        <f t="array" ref="H211">SUM(IF(搜索词报告!$H$2:$H$22222=A211,IF(搜索词报告!$A$2:$A$22222&gt;=关键词词频统计!$A$2,IF(搜索词报告!$A$2:$A$22222&lt;=关键词词频统计!$A$4,搜索词报告!$M$2:$M$22222,0),0),0))</f>
        <v>0</v>
      </c>
      <c r="I211" s="2" t="str">
        <f t="shared" si="26"/>
        <v/>
      </c>
      <c r="J211" t="str">
        <f t="shared" si="27"/>
        <v>点击次数少于10次没有参考性</v>
      </c>
      <c r="K211" s="4" t="str">
        <f>IFERROR(INDEX(搜索词报告!$D$2:$D$22222,MATCH(关键词词频统计!A211,搜索词报告!$H$2:$H$22222,0)),"")</f>
        <v/>
      </c>
      <c r="M211">
        <f t="array" ref="M211">SUM(IF(搜索词报告!$H$2:$H$22222=L211,IF(搜索词报告!$A$2:$A$22222&gt;=$L$2,IF(搜索词报告!$A$2:$A$22222&lt;=$L$4,搜索词报告!$I$2:$I$22222,0),0),0))</f>
        <v>0</v>
      </c>
      <c r="N211">
        <f t="array" ref="N211">SUM(IF(搜索词报告!$H$2:$H$22222=L211,IF(搜索词报告!$A$2:$A$22222&gt;=$L$2,IF(搜索词报告!$A$2:$A$22222&lt;=$L$4,搜索词报告!$J$2:$J$22222,0),0),0))</f>
        <v>0</v>
      </c>
      <c r="O211" s="2">
        <f t="shared" si="28"/>
        <v>0</v>
      </c>
      <c r="P211" s="2">
        <f t="shared" si="29"/>
        <v>0</v>
      </c>
      <c r="Q211">
        <f t="array" ref="Q211">SUM(IF(搜索词报告!$H$2:$H$22222=L211,IF(搜索词报告!$A$2:$A$22222&gt;=$L$2,IF(搜索词报告!$A$2:$A$22222&lt;=$L$4,搜索词报告!$Q$2:$Q$22222,0),0),0))</f>
        <v>0</v>
      </c>
      <c r="R211">
        <f t="array" ref="R211">SUM(IF(搜索词报告!$H$2:$H$22222=L211,IF(搜索词报告!$A$2:$A$22222&gt;=$L$2,IF(搜索词报告!$A$2:$A$22222&lt;=$L$4,搜索词报告!$N$2:$N$22222,0),0),0))</f>
        <v>0</v>
      </c>
      <c r="S211">
        <f t="array" ref="S211">SUM(IF(搜索词报告!$H$2:$H$22222=L211,IF(搜索词报告!$A$2:$A$22222&gt;=$L$2,IF(搜索词报告!$A$2:$A$22222&lt;=$L$4,搜索词报告!$M$2:$M$22222,0),0),0))</f>
        <v>0</v>
      </c>
      <c r="T211" s="2" t="str">
        <f t="shared" si="30"/>
        <v/>
      </c>
      <c r="U211" t="str">
        <f t="shared" si="31"/>
        <v>点击次数少于10次没有参考性</v>
      </c>
      <c r="V211" s="4" t="str">
        <f>IFERROR(INDEX(搜索词报告!$D$2:$D$22222,MATCH(关键词词频统计!L211,搜索词报告!$H$2:$H$22222,0)),"")</f>
        <v/>
      </c>
    </row>
    <row r="212" spans="2:22" x14ac:dyDescent="0.15">
      <c r="B212">
        <f t="array" ref="B212">SUM(IF(搜索词报告!$H$2:$H$22222=A212,IF(搜索词报告!$A$2:$A$22222&gt;=关键词词频统计!$A$2,IF(搜索词报告!$A$2:$A$22222&lt;=关键词词频统计!$A$4,搜索词报告!$I$2:$I$22222,0),0),0))</f>
        <v>0</v>
      </c>
      <c r="C212">
        <f t="array" ref="C212">SUM(IF(搜索词报告!$H$2:$H$22222=A212,IF(搜索词报告!$A$2:$A$22222&gt;=关键词词频统计!$A$2,IF(搜索词报告!$A$2:$A$22222&lt;=关键词词频统计!$A$4,搜索词报告!$J$2:$J$22222,0),0),0))</f>
        <v>0</v>
      </c>
      <c r="D212" s="2">
        <f t="shared" si="24"/>
        <v>0</v>
      </c>
      <c r="E212" s="2">
        <f t="shared" si="25"/>
        <v>0</v>
      </c>
      <c r="F212">
        <f t="array" ref="F212">SUM(IF(搜索词报告!$H$2:$H$22222=A212,IF(搜索词报告!$A$2:$A$22222&gt;=关键词词频统计!$A$2,IF(搜索词报告!$A$2:$A$22222&lt;=关键词词频统计!$A$4,搜索词报告!$Q$2:$Q$22222,0),0),0))</f>
        <v>0</v>
      </c>
      <c r="G212">
        <f t="array" ref="G212">SUM(IF(搜索词报告!$H$2:$H$22222=A212,IF(搜索词报告!$A$2:$A$22222&gt;=关键词词频统计!$A$2,IF(搜索词报告!$A$2:$A$22222&lt;=关键词词频统计!$A$4,搜索词报告!$N$2:$N$22222,0),0),0))</f>
        <v>0</v>
      </c>
      <c r="H212">
        <f t="array" ref="H212">SUM(IF(搜索词报告!$H$2:$H$22222=A212,IF(搜索词报告!$A$2:$A$22222&gt;=关键词词频统计!$A$2,IF(搜索词报告!$A$2:$A$22222&lt;=关键词词频统计!$A$4,搜索词报告!$M$2:$M$22222,0),0),0))</f>
        <v>0</v>
      </c>
      <c r="I212" s="2" t="str">
        <f t="shared" si="26"/>
        <v/>
      </c>
      <c r="J212" t="str">
        <f t="shared" si="27"/>
        <v>点击次数少于10次没有参考性</v>
      </c>
      <c r="K212" s="4" t="str">
        <f>IFERROR(INDEX(搜索词报告!$D$2:$D$22222,MATCH(关键词词频统计!A212,搜索词报告!$H$2:$H$22222,0)),"")</f>
        <v/>
      </c>
      <c r="M212">
        <f t="array" ref="M212">SUM(IF(搜索词报告!$H$2:$H$22222=L212,IF(搜索词报告!$A$2:$A$22222&gt;=$L$2,IF(搜索词报告!$A$2:$A$22222&lt;=$L$4,搜索词报告!$I$2:$I$22222,0),0),0))</f>
        <v>0</v>
      </c>
      <c r="N212">
        <f t="array" ref="N212">SUM(IF(搜索词报告!$H$2:$H$22222=L212,IF(搜索词报告!$A$2:$A$22222&gt;=$L$2,IF(搜索词报告!$A$2:$A$22222&lt;=$L$4,搜索词报告!$J$2:$J$22222,0),0),0))</f>
        <v>0</v>
      </c>
      <c r="O212" s="2">
        <f t="shared" si="28"/>
        <v>0</v>
      </c>
      <c r="P212" s="2">
        <f t="shared" si="29"/>
        <v>0</v>
      </c>
      <c r="Q212">
        <f t="array" ref="Q212">SUM(IF(搜索词报告!$H$2:$H$22222=L212,IF(搜索词报告!$A$2:$A$22222&gt;=$L$2,IF(搜索词报告!$A$2:$A$22222&lt;=$L$4,搜索词报告!$Q$2:$Q$22222,0),0),0))</f>
        <v>0</v>
      </c>
      <c r="R212">
        <f t="array" ref="R212">SUM(IF(搜索词报告!$H$2:$H$22222=L212,IF(搜索词报告!$A$2:$A$22222&gt;=$L$2,IF(搜索词报告!$A$2:$A$22222&lt;=$L$4,搜索词报告!$N$2:$N$22222,0),0),0))</f>
        <v>0</v>
      </c>
      <c r="S212">
        <f t="array" ref="S212">SUM(IF(搜索词报告!$H$2:$H$22222=L212,IF(搜索词报告!$A$2:$A$22222&gt;=$L$2,IF(搜索词报告!$A$2:$A$22222&lt;=$L$4,搜索词报告!$M$2:$M$22222,0),0),0))</f>
        <v>0</v>
      </c>
      <c r="T212" s="2" t="str">
        <f t="shared" si="30"/>
        <v/>
      </c>
      <c r="U212" t="str">
        <f t="shared" si="31"/>
        <v>点击次数少于10次没有参考性</v>
      </c>
      <c r="V212" s="4" t="str">
        <f>IFERROR(INDEX(搜索词报告!$D$2:$D$22222,MATCH(关键词词频统计!L212,搜索词报告!$H$2:$H$22222,0)),"")</f>
        <v/>
      </c>
    </row>
    <row r="213" spans="2:22" x14ac:dyDescent="0.15">
      <c r="B213">
        <f t="array" ref="B213">SUM(IF(搜索词报告!$H$2:$H$22222=A213,IF(搜索词报告!$A$2:$A$22222&gt;=关键词词频统计!$A$2,IF(搜索词报告!$A$2:$A$22222&lt;=关键词词频统计!$A$4,搜索词报告!$I$2:$I$22222,0),0),0))</f>
        <v>0</v>
      </c>
      <c r="C213">
        <f t="array" ref="C213">SUM(IF(搜索词报告!$H$2:$H$22222=A213,IF(搜索词报告!$A$2:$A$22222&gt;=关键词词频统计!$A$2,IF(搜索词报告!$A$2:$A$22222&lt;=关键词词频统计!$A$4,搜索词报告!$J$2:$J$22222,0),0),0))</f>
        <v>0</v>
      </c>
      <c r="D213" s="2">
        <f t="shared" si="24"/>
        <v>0</v>
      </c>
      <c r="E213" s="2">
        <f t="shared" si="25"/>
        <v>0</v>
      </c>
      <c r="F213">
        <f t="array" ref="F213">SUM(IF(搜索词报告!$H$2:$H$22222=A213,IF(搜索词报告!$A$2:$A$22222&gt;=关键词词频统计!$A$2,IF(搜索词报告!$A$2:$A$22222&lt;=关键词词频统计!$A$4,搜索词报告!$Q$2:$Q$22222,0),0),0))</f>
        <v>0</v>
      </c>
      <c r="G213">
        <f t="array" ref="G213">SUM(IF(搜索词报告!$H$2:$H$22222=A213,IF(搜索词报告!$A$2:$A$22222&gt;=关键词词频统计!$A$2,IF(搜索词报告!$A$2:$A$22222&lt;=关键词词频统计!$A$4,搜索词报告!$N$2:$N$22222,0),0),0))</f>
        <v>0</v>
      </c>
      <c r="H213">
        <f t="array" ref="H213">SUM(IF(搜索词报告!$H$2:$H$22222=A213,IF(搜索词报告!$A$2:$A$22222&gt;=关键词词频统计!$A$2,IF(搜索词报告!$A$2:$A$22222&lt;=关键词词频统计!$A$4,搜索词报告!$M$2:$M$22222,0),0),0))</f>
        <v>0</v>
      </c>
      <c r="I213" s="2" t="str">
        <f t="shared" si="26"/>
        <v/>
      </c>
      <c r="J213" t="str">
        <f t="shared" si="27"/>
        <v>点击次数少于10次没有参考性</v>
      </c>
      <c r="K213" s="4" t="str">
        <f>IFERROR(INDEX(搜索词报告!$D$2:$D$22222,MATCH(关键词词频统计!A213,搜索词报告!$H$2:$H$22222,0)),"")</f>
        <v/>
      </c>
      <c r="M213">
        <f t="array" ref="M213">SUM(IF(搜索词报告!$H$2:$H$22222=L213,IF(搜索词报告!$A$2:$A$22222&gt;=$L$2,IF(搜索词报告!$A$2:$A$22222&lt;=$L$4,搜索词报告!$I$2:$I$22222,0),0),0))</f>
        <v>0</v>
      </c>
      <c r="N213">
        <f t="array" ref="N213">SUM(IF(搜索词报告!$H$2:$H$22222=L213,IF(搜索词报告!$A$2:$A$22222&gt;=$L$2,IF(搜索词报告!$A$2:$A$22222&lt;=$L$4,搜索词报告!$J$2:$J$22222,0),0),0))</f>
        <v>0</v>
      </c>
      <c r="O213" s="2">
        <f t="shared" si="28"/>
        <v>0</v>
      </c>
      <c r="P213" s="2">
        <f t="shared" si="29"/>
        <v>0</v>
      </c>
      <c r="Q213">
        <f t="array" ref="Q213">SUM(IF(搜索词报告!$H$2:$H$22222=L213,IF(搜索词报告!$A$2:$A$22222&gt;=$L$2,IF(搜索词报告!$A$2:$A$22222&lt;=$L$4,搜索词报告!$Q$2:$Q$22222,0),0),0))</f>
        <v>0</v>
      </c>
      <c r="R213">
        <f t="array" ref="R213">SUM(IF(搜索词报告!$H$2:$H$22222=L213,IF(搜索词报告!$A$2:$A$22222&gt;=$L$2,IF(搜索词报告!$A$2:$A$22222&lt;=$L$4,搜索词报告!$N$2:$N$22222,0),0),0))</f>
        <v>0</v>
      </c>
      <c r="S213">
        <f t="array" ref="S213">SUM(IF(搜索词报告!$H$2:$H$22222=L213,IF(搜索词报告!$A$2:$A$22222&gt;=$L$2,IF(搜索词报告!$A$2:$A$22222&lt;=$L$4,搜索词报告!$M$2:$M$22222,0),0),0))</f>
        <v>0</v>
      </c>
      <c r="T213" s="2" t="str">
        <f t="shared" si="30"/>
        <v/>
      </c>
      <c r="U213" t="str">
        <f t="shared" si="31"/>
        <v>点击次数少于10次没有参考性</v>
      </c>
      <c r="V213" s="4" t="str">
        <f>IFERROR(INDEX(搜索词报告!$D$2:$D$22222,MATCH(关键词词频统计!L213,搜索词报告!$H$2:$H$22222,0)),"")</f>
        <v/>
      </c>
    </row>
    <row r="214" spans="2:22" x14ac:dyDescent="0.15">
      <c r="B214">
        <f t="array" ref="B214">SUM(IF(搜索词报告!$H$2:$H$22222=A214,IF(搜索词报告!$A$2:$A$22222&gt;=关键词词频统计!$A$2,IF(搜索词报告!$A$2:$A$22222&lt;=关键词词频统计!$A$4,搜索词报告!$I$2:$I$22222,0),0),0))</f>
        <v>0</v>
      </c>
      <c r="C214">
        <f t="array" ref="C214">SUM(IF(搜索词报告!$H$2:$H$22222=A214,IF(搜索词报告!$A$2:$A$22222&gt;=关键词词频统计!$A$2,IF(搜索词报告!$A$2:$A$22222&lt;=关键词词频统计!$A$4,搜索词报告!$J$2:$J$22222,0),0),0))</f>
        <v>0</v>
      </c>
      <c r="D214" s="2">
        <f t="shared" si="24"/>
        <v>0</v>
      </c>
      <c r="E214" s="2">
        <f t="shared" si="25"/>
        <v>0</v>
      </c>
      <c r="F214">
        <f t="array" ref="F214">SUM(IF(搜索词报告!$H$2:$H$22222=A214,IF(搜索词报告!$A$2:$A$22222&gt;=关键词词频统计!$A$2,IF(搜索词报告!$A$2:$A$22222&lt;=关键词词频统计!$A$4,搜索词报告!$Q$2:$Q$22222,0),0),0))</f>
        <v>0</v>
      </c>
      <c r="G214">
        <f t="array" ref="G214">SUM(IF(搜索词报告!$H$2:$H$22222=A214,IF(搜索词报告!$A$2:$A$22222&gt;=关键词词频统计!$A$2,IF(搜索词报告!$A$2:$A$22222&lt;=关键词词频统计!$A$4,搜索词报告!$N$2:$N$22222,0),0),0))</f>
        <v>0</v>
      </c>
      <c r="H214">
        <f t="array" ref="H214">SUM(IF(搜索词报告!$H$2:$H$22222=A214,IF(搜索词报告!$A$2:$A$22222&gt;=关键词词频统计!$A$2,IF(搜索词报告!$A$2:$A$22222&lt;=关键词词频统计!$A$4,搜索词报告!$M$2:$M$22222,0),0),0))</f>
        <v>0</v>
      </c>
      <c r="I214" s="2" t="str">
        <f t="shared" si="26"/>
        <v/>
      </c>
      <c r="J214" t="str">
        <f t="shared" si="27"/>
        <v>点击次数少于10次没有参考性</v>
      </c>
      <c r="K214" s="4" t="str">
        <f>IFERROR(INDEX(搜索词报告!$D$2:$D$22222,MATCH(关键词词频统计!A214,搜索词报告!$H$2:$H$22222,0)),"")</f>
        <v/>
      </c>
      <c r="M214">
        <f t="array" ref="M214">SUM(IF(搜索词报告!$H$2:$H$22222=L214,IF(搜索词报告!$A$2:$A$22222&gt;=$L$2,IF(搜索词报告!$A$2:$A$22222&lt;=$L$4,搜索词报告!$I$2:$I$22222,0),0),0))</f>
        <v>0</v>
      </c>
      <c r="N214">
        <f t="array" ref="N214">SUM(IF(搜索词报告!$H$2:$H$22222=L214,IF(搜索词报告!$A$2:$A$22222&gt;=$L$2,IF(搜索词报告!$A$2:$A$22222&lt;=$L$4,搜索词报告!$J$2:$J$22222,0),0),0))</f>
        <v>0</v>
      </c>
      <c r="O214" s="2">
        <f t="shared" si="28"/>
        <v>0</v>
      </c>
      <c r="P214" s="2">
        <f t="shared" si="29"/>
        <v>0</v>
      </c>
      <c r="Q214">
        <f t="array" ref="Q214">SUM(IF(搜索词报告!$H$2:$H$22222=L214,IF(搜索词报告!$A$2:$A$22222&gt;=$L$2,IF(搜索词报告!$A$2:$A$22222&lt;=$L$4,搜索词报告!$Q$2:$Q$22222,0),0),0))</f>
        <v>0</v>
      </c>
      <c r="R214">
        <f t="array" ref="R214">SUM(IF(搜索词报告!$H$2:$H$22222=L214,IF(搜索词报告!$A$2:$A$22222&gt;=$L$2,IF(搜索词报告!$A$2:$A$22222&lt;=$L$4,搜索词报告!$N$2:$N$22222,0),0),0))</f>
        <v>0</v>
      </c>
      <c r="S214">
        <f t="array" ref="S214">SUM(IF(搜索词报告!$H$2:$H$22222=L214,IF(搜索词报告!$A$2:$A$22222&gt;=$L$2,IF(搜索词报告!$A$2:$A$22222&lt;=$L$4,搜索词报告!$M$2:$M$22222,0),0),0))</f>
        <v>0</v>
      </c>
      <c r="T214" s="2" t="str">
        <f t="shared" si="30"/>
        <v/>
      </c>
      <c r="U214" t="str">
        <f t="shared" si="31"/>
        <v>点击次数少于10次没有参考性</v>
      </c>
      <c r="V214" s="4" t="str">
        <f>IFERROR(INDEX(搜索词报告!$D$2:$D$22222,MATCH(关键词词频统计!L214,搜索词报告!$H$2:$H$22222,0)),"")</f>
        <v/>
      </c>
    </row>
    <row r="215" spans="2:22" x14ac:dyDescent="0.15">
      <c r="B215">
        <f t="array" ref="B215">SUM(IF(搜索词报告!$H$2:$H$22222=A215,IF(搜索词报告!$A$2:$A$22222&gt;=关键词词频统计!$A$2,IF(搜索词报告!$A$2:$A$22222&lt;=关键词词频统计!$A$4,搜索词报告!$I$2:$I$22222,0),0),0))</f>
        <v>0</v>
      </c>
      <c r="C215">
        <f t="array" ref="C215">SUM(IF(搜索词报告!$H$2:$H$22222=A215,IF(搜索词报告!$A$2:$A$22222&gt;=关键词词频统计!$A$2,IF(搜索词报告!$A$2:$A$22222&lt;=关键词词频统计!$A$4,搜索词报告!$J$2:$J$22222,0),0),0))</f>
        <v>0</v>
      </c>
      <c r="D215" s="2">
        <f t="shared" si="24"/>
        <v>0</v>
      </c>
      <c r="E215" s="2">
        <f t="shared" si="25"/>
        <v>0</v>
      </c>
      <c r="F215">
        <f t="array" ref="F215">SUM(IF(搜索词报告!$H$2:$H$22222=A215,IF(搜索词报告!$A$2:$A$22222&gt;=关键词词频统计!$A$2,IF(搜索词报告!$A$2:$A$22222&lt;=关键词词频统计!$A$4,搜索词报告!$Q$2:$Q$22222,0),0),0))</f>
        <v>0</v>
      </c>
      <c r="G215">
        <f t="array" ref="G215">SUM(IF(搜索词报告!$H$2:$H$22222=A215,IF(搜索词报告!$A$2:$A$22222&gt;=关键词词频统计!$A$2,IF(搜索词报告!$A$2:$A$22222&lt;=关键词词频统计!$A$4,搜索词报告!$N$2:$N$22222,0),0),0))</f>
        <v>0</v>
      </c>
      <c r="H215">
        <f t="array" ref="H215">SUM(IF(搜索词报告!$H$2:$H$22222=A215,IF(搜索词报告!$A$2:$A$22222&gt;=关键词词频统计!$A$2,IF(搜索词报告!$A$2:$A$22222&lt;=关键词词频统计!$A$4,搜索词报告!$M$2:$M$22222,0),0),0))</f>
        <v>0</v>
      </c>
      <c r="I215" s="2" t="str">
        <f t="shared" si="26"/>
        <v/>
      </c>
      <c r="J215" t="str">
        <f t="shared" si="27"/>
        <v>点击次数少于10次没有参考性</v>
      </c>
      <c r="K215" s="4" t="str">
        <f>IFERROR(INDEX(搜索词报告!$D$2:$D$22222,MATCH(关键词词频统计!A215,搜索词报告!$H$2:$H$22222,0)),"")</f>
        <v/>
      </c>
      <c r="M215">
        <f t="array" ref="M215">SUM(IF(搜索词报告!$H$2:$H$22222=L215,IF(搜索词报告!$A$2:$A$22222&gt;=$L$2,IF(搜索词报告!$A$2:$A$22222&lt;=$L$4,搜索词报告!$I$2:$I$22222,0),0),0))</f>
        <v>0</v>
      </c>
      <c r="N215">
        <f t="array" ref="N215">SUM(IF(搜索词报告!$H$2:$H$22222=L215,IF(搜索词报告!$A$2:$A$22222&gt;=$L$2,IF(搜索词报告!$A$2:$A$22222&lt;=$L$4,搜索词报告!$J$2:$J$22222,0),0),0))</f>
        <v>0</v>
      </c>
      <c r="O215" s="2">
        <f t="shared" si="28"/>
        <v>0</v>
      </c>
      <c r="P215" s="2">
        <f t="shared" si="29"/>
        <v>0</v>
      </c>
      <c r="Q215">
        <f t="array" ref="Q215">SUM(IF(搜索词报告!$H$2:$H$22222=L215,IF(搜索词报告!$A$2:$A$22222&gt;=$L$2,IF(搜索词报告!$A$2:$A$22222&lt;=$L$4,搜索词报告!$Q$2:$Q$22222,0),0),0))</f>
        <v>0</v>
      </c>
      <c r="R215">
        <f t="array" ref="R215">SUM(IF(搜索词报告!$H$2:$H$22222=L215,IF(搜索词报告!$A$2:$A$22222&gt;=$L$2,IF(搜索词报告!$A$2:$A$22222&lt;=$L$4,搜索词报告!$N$2:$N$22222,0),0),0))</f>
        <v>0</v>
      </c>
      <c r="S215">
        <f t="array" ref="S215">SUM(IF(搜索词报告!$H$2:$H$22222=L215,IF(搜索词报告!$A$2:$A$22222&gt;=$L$2,IF(搜索词报告!$A$2:$A$22222&lt;=$L$4,搜索词报告!$M$2:$M$22222,0),0),0))</f>
        <v>0</v>
      </c>
      <c r="T215" s="2" t="str">
        <f t="shared" si="30"/>
        <v/>
      </c>
      <c r="U215" t="str">
        <f t="shared" si="31"/>
        <v>点击次数少于10次没有参考性</v>
      </c>
      <c r="V215" s="4" t="str">
        <f>IFERROR(INDEX(搜索词报告!$D$2:$D$22222,MATCH(关键词词频统计!L215,搜索词报告!$H$2:$H$22222,0)),"")</f>
        <v/>
      </c>
    </row>
    <row r="216" spans="2:22" x14ac:dyDescent="0.15">
      <c r="B216">
        <f t="array" ref="B216">SUM(IF(搜索词报告!$H$2:$H$22222=A216,IF(搜索词报告!$A$2:$A$22222&gt;=关键词词频统计!$A$2,IF(搜索词报告!$A$2:$A$22222&lt;=关键词词频统计!$A$4,搜索词报告!$I$2:$I$22222,0),0),0))</f>
        <v>0</v>
      </c>
      <c r="C216">
        <f t="array" ref="C216">SUM(IF(搜索词报告!$H$2:$H$22222=A216,IF(搜索词报告!$A$2:$A$22222&gt;=关键词词频统计!$A$2,IF(搜索词报告!$A$2:$A$22222&lt;=关键词词频统计!$A$4,搜索词报告!$J$2:$J$22222,0),0),0))</f>
        <v>0</v>
      </c>
      <c r="D216" s="2">
        <f t="shared" si="24"/>
        <v>0</v>
      </c>
      <c r="E216" s="2">
        <f t="shared" si="25"/>
        <v>0</v>
      </c>
      <c r="F216">
        <f t="array" ref="F216">SUM(IF(搜索词报告!$H$2:$H$22222=A216,IF(搜索词报告!$A$2:$A$22222&gt;=关键词词频统计!$A$2,IF(搜索词报告!$A$2:$A$22222&lt;=关键词词频统计!$A$4,搜索词报告!$Q$2:$Q$22222,0),0),0))</f>
        <v>0</v>
      </c>
      <c r="G216">
        <f t="array" ref="G216">SUM(IF(搜索词报告!$H$2:$H$22222=A216,IF(搜索词报告!$A$2:$A$22222&gt;=关键词词频统计!$A$2,IF(搜索词报告!$A$2:$A$22222&lt;=关键词词频统计!$A$4,搜索词报告!$N$2:$N$22222,0),0),0))</f>
        <v>0</v>
      </c>
      <c r="H216">
        <f t="array" ref="H216">SUM(IF(搜索词报告!$H$2:$H$22222=A216,IF(搜索词报告!$A$2:$A$22222&gt;=关键词词频统计!$A$2,IF(搜索词报告!$A$2:$A$22222&lt;=关键词词频统计!$A$4,搜索词报告!$M$2:$M$22222,0),0),0))</f>
        <v>0</v>
      </c>
      <c r="I216" s="2" t="str">
        <f t="shared" si="26"/>
        <v/>
      </c>
      <c r="J216" t="str">
        <f t="shared" si="27"/>
        <v>点击次数少于10次没有参考性</v>
      </c>
      <c r="K216" s="4" t="str">
        <f>IFERROR(INDEX(搜索词报告!$D$2:$D$22222,MATCH(关键词词频统计!A216,搜索词报告!$H$2:$H$22222,0)),"")</f>
        <v/>
      </c>
      <c r="M216">
        <f t="array" ref="M216">SUM(IF(搜索词报告!$H$2:$H$22222=L216,IF(搜索词报告!$A$2:$A$22222&gt;=$L$2,IF(搜索词报告!$A$2:$A$22222&lt;=$L$4,搜索词报告!$I$2:$I$22222,0),0),0))</f>
        <v>0</v>
      </c>
      <c r="N216">
        <f t="array" ref="N216">SUM(IF(搜索词报告!$H$2:$H$22222=L216,IF(搜索词报告!$A$2:$A$22222&gt;=$L$2,IF(搜索词报告!$A$2:$A$22222&lt;=$L$4,搜索词报告!$J$2:$J$22222,0),0),0))</f>
        <v>0</v>
      </c>
      <c r="O216" s="2">
        <f t="shared" si="28"/>
        <v>0</v>
      </c>
      <c r="P216" s="2">
        <f t="shared" si="29"/>
        <v>0</v>
      </c>
      <c r="Q216">
        <f t="array" ref="Q216">SUM(IF(搜索词报告!$H$2:$H$22222=L216,IF(搜索词报告!$A$2:$A$22222&gt;=$L$2,IF(搜索词报告!$A$2:$A$22222&lt;=$L$4,搜索词报告!$Q$2:$Q$22222,0),0),0))</f>
        <v>0</v>
      </c>
      <c r="R216">
        <f t="array" ref="R216">SUM(IF(搜索词报告!$H$2:$H$22222=L216,IF(搜索词报告!$A$2:$A$22222&gt;=$L$2,IF(搜索词报告!$A$2:$A$22222&lt;=$L$4,搜索词报告!$N$2:$N$22222,0),0),0))</f>
        <v>0</v>
      </c>
      <c r="S216">
        <f t="array" ref="S216">SUM(IF(搜索词报告!$H$2:$H$22222=L216,IF(搜索词报告!$A$2:$A$22222&gt;=$L$2,IF(搜索词报告!$A$2:$A$22222&lt;=$L$4,搜索词报告!$M$2:$M$22222,0),0),0))</f>
        <v>0</v>
      </c>
      <c r="T216" s="2" t="str">
        <f t="shared" si="30"/>
        <v/>
      </c>
      <c r="U216" t="str">
        <f t="shared" si="31"/>
        <v>点击次数少于10次没有参考性</v>
      </c>
      <c r="V216" s="4" t="str">
        <f>IFERROR(INDEX(搜索词报告!$D$2:$D$22222,MATCH(关键词词频统计!L216,搜索词报告!$H$2:$H$22222,0)),"")</f>
        <v/>
      </c>
    </row>
    <row r="217" spans="2:22" x14ac:dyDescent="0.15">
      <c r="B217">
        <f t="array" ref="B217">SUM(IF(搜索词报告!$H$2:$H$22222=A217,IF(搜索词报告!$A$2:$A$22222&gt;=关键词词频统计!$A$2,IF(搜索词报告!$A$2:$A$22222&lt;=关键词词频统计!$A$4,搜索词报告!$I$2:$I$22222,0),0),0))</f>
        <v>0</v>
      </c>
      <c r="C217">
        <f t="array" ref="C217">SUM(IF(搜索词报告!$H$2:$H$22222=A217,IF(搜索词报告!$A$2:$A$22222&gt;=关键词词频统计!$A$2,IF(搜索词报告!$A$2:$A$22222&lt;=关键词词频统计!$A$4,搜索词报告!$J$2:$J$22222,0),0),0))</f>
        <v>0</v>
      </c>
      <c r="D217" s="2">
        <f t="shared" si="24"/>
        <v>0</v>
      </c>
      <c r="E217" s="2">
        <f t="shared" si="25"/>
        <v>0</v>
      </c>
      <c r="F217">
        <f t="array" ref="F217">SUM(IF(搜索词报告!$H$2:$H$22222=A217,IF(搜索词报告!$A$2:$A$22222&gt;=关键词词频统计!$A$2,IF(搜索词报告!$A$2:$A$22222&lt;=关键词词频统计!$A$4,搜索词报告!$Q$2:$Q$22222,0),0),0))</f>
        <v>0</v>
      </c>
      <c r="G217">
        <f t="array" ref="G217">SUM(IF(搜索词报告!$H$2:$H$22222=A217,IF(搜索词报告!$A$2:$A$22222&gt;=关键词词频统计!$A$2,IF(搜索词报告!$A$2:$A$22222&lt;=关键词词频统计!$A$4,搜索词报告!$N$2:$N$22222,0),0),0))</f>
        <v>0</v>
      </c>
      <c r="H217">
        <f t="array" ref="H217">SUM(IF(搜索词报告!$H$2:$H$22222=A217,IF(搜索词报告!$A$2:$A$22222&gt;=关键词词频统计!$A$2,IF(搜索词报告!$A$2:$A$22222&lt;=关键词词频统计!$A$4,搜索词报告!$M$2:$M$22222,0),0),0))</f>
        <v>0</v>
      </c>
      <c r="I217" s="2" t="str">
        <f t="shared" si="26"/>
        <v/>
      </c>
      <c r="J217" t="str">
        <f t="shared" si="27"/>
        <v>点击次数少于10次没有参考性</v>
      </c>
      <c r="K217" s="4" t="str">
        <f>IFERROR(INDEX(搜索词报告!$D$2:$D$22222,MATCH(关键词词频统计!A217,搜索词报告!$H$2:$H$22222,0)),"")</f>
        <v/>
      </c>
      <c r="M217">
        <f t="array" ref="M217">SUM(IF(搜索词报告!$H$2:$H$22222=L217,IF(搜索词报告!$A$2:$A$22222&gt;=$L$2,IF(搜索词报告!$A$2:$A$22222&lt;=$L$4,搜索词报告!$I$2:$I$22222,0),0),0))</f>
        <v>0</v>
      </c>
      <c r="N217">
        <f t="array" ref="N217">SUM(IF(搜索词报告!$H$2:$H$22222=L217,IF(搜索词报告!$A$2:$A$22222&gt;=$L$2,IF(搜索词报告!$A$2:$A$22222&lt;=$L$4,搜索词报告!$J$2:$J$22222,0),0),0))</f>
        <v>0</v>
      </c>
      <c r="O217" s="2">
        <f t="shared" si="28"/>
        <v>0</v>
      </c>
      <c r="P217" s="2">
        <f t="shared" si="29"/>
        <v>0</v>
      </c>
      <c r="Q217">
        <f t="array" ref="Q217">SUM(IF(搜索词报告!$H$2:$H$22222=L217,IF(搜索词报告!$A$2:$A$22222&gt;=$L$2,IF(搜索词报告!$A$2:$A$22222&lt;=$L$4,搜索词报告!$Q$2:$Q$22222,0),0),0))</f>
        <v>0</v>
      </c>
      <c r="R217">
        <f t="array" ref="R217">SUM(IF(搜索词报告!$H$2:$H$22222=L217,IF(搜索词报告!$A$2:$A$22222&gt;=$L$2,IF(搜索词报告!$A$2:$A$22222&lt;=$L$4,搜索词报告!$N$2:$N$22222,0),0),0))</f>
        <v>0</v>
      </c>
      <c r="S217">
        <f t="array" ref="S217">SUM(IF(搜索词报告!$H$2:$H$22222=L217,IF(搜索词报告!$A$2:$A$22222&gt;=$L$2,IF(搜索词报告!$A$2:$A$22222&lt;=$L$4,搜索词报告!$M$2:$M$22222,0),0),0))</f>
        <v>0</v>
      </c>
      <c r="T217" s="2" t="str">
        <f t="shared" si="30"/>
        <v/>
      </c>
      <c r="U217" t="str">
        <f t="shared" si="31"/>
        <v>点击次数少于10次没有参考性</v>
      </c>
      <c r="V217" s="4" t="str">
        <f>IFERROR(INDEX(搜索词报告!$D$2:$D$22222,MATCH(关键词词频统计!L217,搜索词报告!$H$2:$H$22222,0)),"")</f>
        <v/>
      </c>
    </row>
    <row r="218" spans="2:22" x14ac:dyDescent="0.15">
      <c r="B218">
        <f t="array" ref="B218">SUM(IF(搜索词报告!$H$2:$H$22222=A218,IF(搜索词报告!$A$2:$A$22222&gt;=关键词词频统计!$A$2,IF(搜索词报告!$A$2:$A$22222&lt;=关键词词频统计!$A$4,搜索词报告!$I$2:$I$22222,0),0),0))</f>
        <v>0</v>
      </c>
      <c r="C218">
        <f t="array" ref="C218">SUM(IF(搜索词报告!$H$2:$H$22222=A218,IF(搜索词报告!$A$2:$A$22222&gt;=关键词词频统计!$A$2,IF(搜索词报告!$A$2:$A$22222&lt;=关键词词频统计!$A$4,搜索词报告!$J$2:$J$22222,0),0),0))</f>
        <v>0</v>
      </c>
      <c r="D218" s="2">
        <f t="shared" si="24"/>
        <v>0</v>
      </c>
      <c r="E218" s="2">
        <f t="shared" si="25"/>
        <v>0</v>
      </c>
      <c r="F218">
        <f t="array" ref="F218">SUM(IF(搜索词报告!$H$2:$H$22222=A218,IF(搜索词报告!$A$2:$A$22222&gt;=关键词词频统计!$A$2,IF(搜索词报告!$A$2:$A$22222&lt;=关键词词频统计!$A$4,搜索词报告!$Q$2:$Q$22222,0),0),0))</f>
        <v>0</v>
      </c>
      <c r="G218">
        <f t="array" ref="G218">SUM(IF(搜索词报告!$H$2:$H$22222=A218,IF(搜索词报告!$A$2:$A$22222&gt;=关键词词频统计!$A$2,IF(搜索词报告!$A$2:$A$22222&lt;=关键词词频统计!$A$4,搜索词报告!$N$2:$N$22222,0),0),0))</f>
        <v>0</v>
      </c>
      <c r="H218">
        <f t="array" ref="H218">SUM(IF(搜索词报告!$H$2:$H$22222=A218,IF(搜索词报告!$A$2:$A$22222&gt;=关键词词频统计!$A$2,IF(搜索词报告!$A$2:$A$22222&lt;=关键词词频统计!$A$4,搜索词报告!$M$2:$M$22222,0),0),0))</f>
        <v>0</v>
      </c>
      <c r="I218" s="2" t="str">
        <f t="shared" si="26"/>
        <v/>
      </c>
      <c r="J218" t="str">
        <f t="shared" si="27"/>
        <v>点击次数少于10次没有参考性</v>
      </c>
      <c r="K218" s="4" t="str">
        <f>IFERROR(INDEX(搜索词报告!$D$2:$D$22222,MATCH(关键词词频统计!A218,搜索词报告!$H$2:$H$22222,0)),"")</f>
        <v/>
      </c>
      <c r="M218">
        <f t="array" ref="M218">SUM(IF(搜索词报告!$H$2:$H$22222=L218,IF(搜索词报告!$A$2:$A$22222&gt;=$L$2,IF(搜索词报告!$A$2:$A$22222&lt;=$L$4,搜索词报告!$I$2:$I$22222,0),0),0))</f>
        <v>0</v>
      </c>
      <c r="N218">
        <f t="array" ref="N218">SUM(IF(搜索词报告!$H$2:$H$22222=L218,IF(搜索词报告!$A$2:$A$22222&gt;=$L$2,IF(搜索词报告!$A$2:$A$22222&lt;=$L$4,搜索词报告!$J$2:$J$22222,0),0),0))</f>
        <v>0</v>
      </c>
      <c r="O218" s="2">
        <f t="shared" si="28"/>
        <v>0</v>
      </c>
      <c r="P218" s="2">
        <f t="shared" si="29"/>
        <v>0</v>
      </c>
      <c r="Q218">
        <f t="array" ref="Q218">SUM(IF(搜索词报告!$H$2:$H$22222=L218,IF(搜索词报告!$A$2:$A$22222&gt;=$L$2,IF(搜索词报告!$A$2:$A$22222&lt;=$L$4,搜索词报告!$Q$2:$Q$22222,0),0),0))</f>
        <v>0</v>
      </c>
      <c r="R218">
        <f t="array" ref="R218">SUM(IF(搜索词报告!$H$2:$H$22222=L218,IF(搜索词报告!$A$2:$A$22222&gt;=$L$2,IF(搜索词报告!$A$2:$A$22222&lt;=$L$4,搜索词报告!$N$2:$N$22222,0),0),0))</f>
        <v>0</v>
      </c>
      <c r="S218">
        <f t="array" ref="S218">SUM(IF(搜索词报告!$H$2:$H$22222=L218,IF(搜索词报告!$A$2:$A$22222&gt;=$L$2,IF(搜索词报告!$A$2:$A$22222&lt;=$L$4,搜索词报告!$M$2:$M$22222,0),0),0))</f>
        <v>0</v>
      </c>
      <c r="T218" s="2" t="str">
        <f t="shared" si="30"/>
        <v/>
      </c>
      <c r="U218" t="str">
        <f t="shared" si="31"/>
        <v>点击次数少于10次没有参考性</v>
      </c>
      <c r="V218" s="4" t="str">
        <f>IFERROR(INDEX(搜索词报告!$D$2:$D$22222,MATCH(关键词词频统计!L218,搜索词报告!$H$2:$H$22222,0)),"")</f>
        <v/>
      </c>
    </row>
    <row r="219" spans="2:22" x14ac:dyDescent="0.15">
      <c r="B219">
        <f t="array" ref="B219">SUM(IF(搜索词报告!$H$2:$H$22222=A219,IF(搜索词报告!$A$2:$A$22222&gt;=关键词词频统计!$A$2,IF(搜索词报告!$A$2:$A$22222&lt;=关键词词频统计!$A$4,搜索词报告!$I$2:$I$22222,0),0),0))</f>
        <v>0</v>
      </c>
      <c r="C219">
        <f t="array" ref="C219">SUM(IF(搜索词报告!$H$2:$H$22222=A219,IF(搜索词报告!$A$2:$A$22222&gt;=关键词词频统计!$A$2,IF(搜索词报告!$A$2:$A$22222&lt;=关键词词频统计!$A$4,搜索词报告!$J$2:$J$22222,0),0),0))</f>
        <v>0</v>
      </c>
      <c r="D219" s="2">
        <f t="shared" si="24"/>
        <v>0</v>
      </c>
      <c r="E219" s="2">
        <f t="shared" si="25"/>
        <v>0</v>
      </c>
      <c r="F219">
        <f t="array" ref="F219">SUM(IF(搜索词报告!$H$2:$H$22222=A219,IF(搜索词报告!$A$2:$A$22222&gt;=关键词词频统计!$A$2,IF(搜索词报告!$A$2:$A$22222&lt;=关键词词频统计!$A$4,搜索词报告!$Q$2:$Q$22222,0),0),0))</f>
        <v>0</v>
      </c>
      <c r="G219">
        <f t="array" ref="G219">SUM(IF(搜索词报告!$H$2:$H$22222=A219,IF(搜索词报告!$A$2:$A$22222&gt;=关键词词频统计!$A$2,IF(搜索词报告!$A$2:$A$22222&lt;=关键词词频统计!$A$4,搜索词报告!$N$2:$N$22222,0),0),0))</f>
        <v>0</v>
      </c>
      <c r="H219">
        <f t="array" ref="H219">SUM(IF(搜索词报告!$H$2:$H$22222=A219,IF(搜索词报告!$A$2:$A$22222&gt;=关键词词频统计!$A$2,IF(搜索词报告!$A$2:$A$22222&lt;=关键词词频统计!$A$4,搜索词报告!$M$2:$M$22222,0),0),0))</f>
        <v>0</v>
      </c>
      <c r="I219" s="2" t="str">
        <f t="shared" si="26"/>
        <v/>
      </c>
      <c r="J219" t="str">
        <f t="shared" si="27"/>
        <v>点击次数少于10次没有参考性</v>
      </c>
      <c r="K219" s="4" t="str">
        <f>IFERROR(INDEX(搜索词报告!$D$2:$D$22222,MATCH(关键词词频统计!A219,搜索词报告!$H$2:$H$22222,0)),"")</f>
        <v/>
      </c>
      <c r="M219">
        <f t="array" ref="M219">SUM(IF(搜索词报告!$H$2:$H$22222=L219,IF(搜索词报告!$A$2:$A$22222&gt;=$L$2,IF(搜索词报告!$A$2:$A$22222&lt;=$L$4,搜索词报告!$I$2:$I$22222,0),0),0))</f>
        <v>0</v>
      </c>
      <c r="N219">
        <f t="array" ref="N219">SUM(IF(搜索词报告!$H$2:$H$22222=L219,IF(搜索词报告!$A$2:$A$22222&gt;=$L$2,IF(搜索词报告!$A$2:$A$22222&lt;=$L$4,搜索词报告!$J$2:$J$22222,0),0),0))</f>
        <v>0</v>
      </c>
      <c r="O219" s="2">
        <f t="shared" si="28"/>
        <v>0</v>
      </c>
      <c r="P219" s="2">
        <f t="shared" si="29"/>
        <v>0</v>
      </c>
      <c r="Q219">
        <f t="array" ref="Q219">SUM(IF(搜索词报告!$H$2:$H$22222=L219,IF(搜索词报告!$A$2:$A$22222&gt;=$L$2,IF(搜索词报告!$A$2:$A$22222&lt;=$L$4,搜索词报告!$Q$2:$Q$22222,0),0),0))</f>
        <v>0</v>
      </c>
      <c r="R219">
        <f t="array" ref="R219">SUM(IF(搜索词报告!$H$2:$H$22222=L219,IF(搜索词报告!$A$2:$A$22222&gt;=$L$2,IF(搜索词报告!$A$2:$A$22222&lt;=$L$4,搜索词报告!$N$2:$N$22222,0),0),0))</f>
        <v>0</v>
      </c>
      <c r="S219">
        <f t="array" ref="S219">SUM(IF(搜索词报告!$H$2:$H$22222=L219,IF(搜索词报告!$A$2:$A$22222&gt;=$L$2,IF(搜索词报告!$A$2:$A$22222&lt;=$L$4,搜索词报告!$M$2:$M$22222,0),0),0))</f>
        <v>0</v>
      </c>
      <c r="T219" s="2" t="str">
        <f t="shared" si="30"/>
        <v/>
      </c>
      <c r="U219" t="str">
        <f t="shared" si="31"/>
        <v>点击次数少于10次没有参考性</v>
      </c>
      <c r="V219" s="4" t="str">
        <f>IFERROR(INDEX(搜索词报告!$D$2:$D$22222,MATCH(关键词词频统计!L219,搜索词报告!$H$2:$H$22222,0)),"")</f>
        <v/>
      </c>
    </row>
    <row r="220" spans="2:22" x14ac:dyDescent="0.15">
      <c r="B220">
        <f t="array" ref="B220">SUM(IF(搜索词报告!$H$2:$H$22222=A220,IF(搜索词报告!$A$2:$A$22222&gt;=关键词词频统计!$A$2,IF(搜索词报告!$A$2:$A$22222&lt;=关键词词频统计!$A$4,搜索词报告!$I$2:$I$22222,0),0),0))</f>
        <v>0</v>
      </c>
      <c r="C220">
        <f t="array" ref="C220">SUM(IF(搜索词报告!$H$2:$H$22222=A220,IF(搜索词报告!$A$2:$A$22222&gt;=关键词词频统计!$A$2,IF(搜索词报告!$A$2:$A$22222&lt;=关键词词频统计!$A$4,搜索词报告!$J$2:$J$22222,0),0),0))</f>
        <v>0</v>
      </c>
      <c r="D220" s="2">
        <f t="shared" si="24"/>
        <v>0</v>
      </c>
      <c r="E220" s="2">
        <f t="shared" si="25"/>
        <v>0</v>
      </c>
      <c r="F220">
        <f t="array" ref="F220">SUM(IF(搜索词报告!$H$2:$H$22222=A220,IF(搜索词报告!$A$2:$A$22222&gt;=关键词词频统计!$A$2,IF(搜索词报告!$A$2:$A$22222&lt;=关键词词频统计!$A$4,搜索词报告!$Q$2:$Q$22222,0),0),0))</f>
        <v>0</v>
      </c>
      <c r="G220">
        <f t="array" ref="G220">SUM(IF(搜索词报告!$H$2:$H$22222=A220,IF(搜索词报告!$A$2:$A$22222&gt;=关键词词频统计!$A$2,IF(搜索词报告!$A$2:$A$22222&lt;=关键词词频统计!$A$4,搜索词报告!$N$2:$N$22222,0),0),0))</f>
        <v>0</v>
      </c>
      <c r="H220">
        <f t="array" ref="H220">SUM(IF(搜索词报告!$H$2:$H$22222=A220,IF(搜索词报告!$A$2:$A$22222&gt;=关键词词频统计!$A$2,IF(搜索词报告!$A$2:$A$22222&lt;=关键词词频统计!$A$4,搜索词报告!$M$2:$M$22222,0),0),0))</f>
        <v>0</v>
      </c>
      <c r="I220" s="2" t="str">
        <f t="shared" si="26"/>
        <v/>
      </c>
      <c r="J220" t="str">
        <f t="shared" si="27"/>
        <v>点击次数少于10次没有参考性</v>
      </c>
      <c r="K220" s="4" t="str">
        <f>IFERROR(INDEX(搜索词报告!$D$2:$D$22222,MATCH(关键词词频统计!A220,搜索词报告!$H$2:$H$22222,0)),"")</f>
        <v/>
      </c>
      <c r="M220">
        <f t="array" ref="M220">SUM(IF(搜索词报告!$H$2:$H$22222=L220,IF(搜索词报告!$A$2:$A$22222&gt;=$L$2,IF(搜索词报告!$A$2:$A$22222&lt;=$L$4,搜索词报告!$I$2:$I$22222,0),0),0))</f>
        <v>0</v>
      </c>
      <c r="N220">
        <f t="array" ref="N220">SUM(IF(搜索词报告!$H$2:$H$22222=L220,IF(搜索词报告!$A$2:$A$22222&gt;=$L$2,IF(搜索词报告!$A$2:$A$22222&lt;=$L$4,搜索词报告!$J$2:$J$22222,0),0),0))</f>
        <v>0</v>
      </c>
      <c r="O220" s="2">
        <f t="shared" si="28"/>
        <v>0</v>
      </c>
      <c r="P220" s="2">
        <f t="shared" si="29"/>
        <v>0</v>
      </c>
      <c r="Q220">
        <f t="array" ref="Q220">SUM(IF(搜索词报告!$H$2:$H$22222=L220,IF(搜索词报告!$A$2:$A$22222&gt;=$L$2,IF(搜索词报告!$A$2:$A$22222&lt;=$L$4,搜索词报告!$Q$2:$Q$22222,0),0),0))</f>
        <v>0</v>
      </c>
      <c r="R220">
        <f t="array" ref="R220">SUM(IF(搜索词报告!$H$2:$H$22222=L220,IF(搜索词报告!$A$2:$A$22222&gt;=$L$2,IF(搜索词报告!$A$2:$A$22222&lt;=$L$4,搜索词报告!$N$2:$N$22222,0),0),0))</f>
        <v>0</v>
      </c>
      <c r="S220">
        <f t="array" ref="S220">SUM(IF(搜索词报告!$H$2:$H$22222=L220,IF(搜索词报告!$A$2:$A$22222&gt;=$L$2,IF(搜索词报告!$A$2:$A$22222&lt;=$L$4,搜索词报告!$M$2:$M$22222,0),0),0))</f>
        <v>0</v>
      </c>
      <c r="T220" s="2" t="str">
        <f t="shared" si="30"/>
        <v/>
      </c>
      <c r="U220" t="str">
        <f t="shared" si="31"/>
        <v>点击次数少于10次没有参考性</v>
      </c>
      <c r="V220" s="4" t="str">
        <f>IFERROR(INDEX(搜索词报告!$D$2:$D$22222,MATCH(关键词词频统计!L220,搜索词报告!$H$2:$H$22222,0)),"")</f>
        <v/>
      </c>
    </row>
    <row r="221" spans="2:22" x14ac:dyDescent="0.15">
      <c r="B221">
        <f t="array" ref="B221">SUM(IF(搜索词报告!$H$2:$H$22222=A221,IF(搜索词报告!$A$2:$A$22222&gt;=关键词词频统计!$A$2,IF(搜索词报告!$A$2:$A$22222&lt;=关键词词频统计!$A$4,搜索词报告!$I$2:$I$22222,0),0),0))</f>
        <v>0</v>
      </c>
      <c r="C221">
        <f t="array" ref="C221">SUM(IF(搜索词报告!$H$2:$H$22222=A221,IF(搜索词报告!$A$2:$A$22222&gt;=关键词词频统计!$A$2,IF(搜索词报告!$A$2:$A$22222&lt;=关键词词频统计!$A$4,搜索词报告!$J$2:$J$22222,0),0),0))</f>
        <v>0</v>
      </c>
      <c r="D221" s="2">
        <f t="shared" si="24"/>
        <v>0</v>
      </c>
      <c r="E221" s="2">
        <f t="shared" si="25"/>
        <v>0</v>
      </c>
      <c r="F221">
        <f t="array" ref="F221">SUM(IF(搜索词报告!$H$2:$H$22222=A221,IF(搜索词报告!$A$2:$A$22222&gt;=关键词词频统计!$A$2,IF(搜索词报告!$A$2:$A$22222&lt;=关键词词频统计!$A$4,搜索词报告!$Q$2:$Q$22222,0),0),0))</f>
        <v>0</v>
      </c>
      <c r="G221">
        <f t="array" ref="G221">SUM(IF(搜索词报告!$H$2:$H$22222=A221,IF(搜索词报告!$A$2:$A$22222&gt;=关键词词频统计!$A$2,IF(搜索词报告!$A$2:$A$22222&lt;=关键词词频统计!$A$4,搜索词报告!$N$2:$N$22222,0),0),0))</f>
        <v>0</v>
      </c>
      <c r="H221">
        <f t="array" ref="H221">SUM(IF(搜索词报告!$H$2:$H$22222=A221,IF(搜索词报告!$A$2:$A$22222&gt;=关键词词频统计!$A$2,IF(搜索词报告!$A$2:$A$22222&lt;=关键词词频统计!$A$4,搜索词报告!$M$2:$M$22222,0),0),0))</f>
        <v>0</v>
      </c>
      <c r="I221" s="2" t="str">
        <f t="shared" si="26"/>
        <v/>
      </c>
      <c r="J221" t="str">
        <f t="shared" si="27"/>
        <v>点击次数少于10次没有参考性</v>
      </c>
      <c r="K221" s="4" t="str">
        <f>IFERROR(INDEX(搜索词报告!$D$2:$D$22222,MATCH(关键词词频统计!A221,搜索词报告!$H$2:$H$22222,0)),"")</f>
        <v/>
      </c>
      <c r="M221">
        <f t="array" ref="M221">SUM(IF(搜索词报告!$H$2:$H$22222=L221,IF(搜索词报告!$A$2:$A$22222&gt;=$L$2,IF(搜索词报告!$A$2:$A$22222&lt;=$L$4,搜索词报告!$I$2:$I$22222,0),0),0))</f>
        <v>0</v>
      </c>
      <c r="N221">
        <f t="array" ref="N221">SUM(IF(搜索词报告!$H$2:$H$22222=L221,IF(搜索词报告!$A$2:$A$22222&gt;=$L$2,IF(搜索词报告!$A$2:$A$22222&lt;=$L$4,搜索词报告!$J$2:$J$22222,0),0),0))</f>
        <v>0</v>
      </c>
      <c r="O221" s="2">
        <f t="shared" si="28"/>
        <v>0</v>
      </c>
      <c r="P221" s="2">
        <f t="shared" si="29"/>
        <v>0</v>
      </c>
      <c r="Q221">
        <f t="array" ref="Q221">SUM(IF(搜索词报告!$H$2:$H$22222=L221,IF(搜索词报告!$A$2:$A$22222&gt;=$L$2,IF(搜索词报告!$A$2:$A$22222&lt;=$L$4,搜索词报告!$Q$2:$Q$22222,0),0),0))</f>
        <v>0</v>
      </c>
      <c r="R221">
        <f t="array" ref="R221">SUM(IF(搜索词报告!$H$2:$H$22222=L221,IF(搜索词报告!$A$2:$A$22222&gt;=$L$2,IF(搜索词报告!$A$2:$A$22222&lt;=$L$4,搜索词报告!$N$2:$N$22222,0),0),0))</f>
        <v>0</v>
      </c>
      <c r="S221">
        <f t="array" ref="S221">SUM(IF(搜索词报告!$H$2:$H$22222=L221,IF(搜索词报告!$A$2:$A$22222&gt;=$L$2,IF(搜索词报告!$A$2:$A$22222&lt;=$L$4,搜索词报告!$M$2:$M$22222,0),0),0))</f>
        <v>0</v>
      </c>
      <c r="T221" s="2" t="str">
        <f t="shared" si="30"/>
        <v/>
      </c>
      <c r="U221" t="str">
        <f t="shared" si="31"/>
        <v>点击次数少于10次没有参考性</v>
      </c>
      <c r="V221" s="4" t="str">
        <f>IFERROR(INDEX(搜索词报告!$D$2:$D$22222,MATCH(关键词词频统计!L221,搜索词报告!$H$2:$H$22222,0)),"")</f>
        <v/>
      </c>
    </row>
    <row r="222" spans="2:22" x14ac:dyDescent="0.15">
      <c r="B222">
        <f t="array" ref="B222">SUM(IF(搜索词报告!$H$2:$H$22222=A222,IF(搜索词报告!$A$2:$A$22222&gt;=关键词词频统计!$A$2,IF(搜索词报告!$A$2:$A$22222&lt;=关键词词频统计!$A$4,搜索词报告!$I$2:$I$22222,0),0),0))</f>
        <v>0</v>
      </c>
      <c r="C222">
        <f t="array" ref="C222">SUM(IF(搜索词报告!$H$2:$H$22222=A222,IF(搜索词报告!$A$2:$A$22222&gt;=关键词词频统计!$A$2,IF(搜索词报告!$A$2:$A$22222&lt;=关键词词频统计!$A$4,搜索词报告!$J$2:$J$22222,0),0),0))</f>
        <v>0</v>
      </c>
      <c r="D222" s="2">
        <f t="shared" si="24"/>
        <v>0</v>
      </c>
      <c r="E222" s="2">
        <f t="shared" si="25"/>
        <v>0</v>
      </c>
      <c r="F222">
        <f t="array" ref="F222">SUM(IF(搜索词报告!$H$2:$H$22222=A222,IF(搜索词报告!$A$2:$A$22222&gt;=关键词词频统计!$A$2,IF(搜索词报告!$A$2:$A$22222&lt;=关键词词频统计!$A$4,搜索词报告!$Q$2:$Q$22222,0),0),0))</f>
        <v>0</v>
      </c>
      <c r="G222">
        <f t="array" ref="G222">SUM(IF(搜索词报告!$H$2:$H$22222=A222,IF(搜索词报告!$A$2:$A$22222&gt;=关键词词频统计!$A$2,IF(搜索词报告!$A$2:$A$22222&lt;=关键词词频统计!$A$4,搜索词报告!$N$2:$N$22222,0),0),0))</f>
        <v>0</v>
      </c>
      <c r="H222">
        <f t="array" ref="H222">SUM(IF(搜索词报告!$H$2:$H$22222=A222,IF(搜索词报告!$A$2:$A$22222&gt;=关键词词频统计!$A$2,IF(搜索词报告!$A$2:$A$22222&lt;=关键词词频统计!$A$4,搜索词报告!$M$2:$M$22222,0),0),0))</f>
        <v>0</v>
      </c>
      <c r="I222" s="2" t="str">
        <f t="shared" si="26"/>
        <v/>
      </c>
      <c r="J222" t="str">
        <f t="shared" si="27"/>
        <v>点击次数少于10次没有参考性</v>
      </c>
      <c r="K222" s="4" t="str">
        <f>IFERROR(INDEX(搜索词报告!$D$2:$D$22222,MATCH(关键词词频统计!A222,搜索词报告!$H$2:$H$22222,0)),"")</f>
        <v/>
      </c>
      <c r="M222">
        <f t="array" ref="M222">SUM(IF(搜索词报告!$H$2:$H$22222=L222,IF(搜索词报告!$A$2:$A$22222&gt;=$L$2,IF(搜索词报告!$A$2:$A$22222&lt;=$L$4,搜索词报告!$I$2:$I$22222,0),0),0))</f>
        <v>0</v>
      </c>
      <c r="N222">
        <f t="array" ref="N222">SUM(IF(搜索词报告!$H$2:$H$22222=L222,IF(搜索词报告!$A$2:$A$22222&gt;=$L$2,IF(搜索词报告!$A$2:$A$22222&lt;=$L$4,搜索词报告!$J$2:$J$22222,0),0),0))</f>
        <v>0</v>
      </c>
      <c r="O222" s="2">
        <f t="shared" si="28"/>
        <v>0</v>
      </c>
      <c r="P222" s="2">
        <f t="shared" si="29"/>
        <v>0</v>
      </c>
      <c r="Q222">
        <f t="array" ref="Q222">SUM(IF(搜索词报告!$H$2:$H$22222=L222,IF(搜索词报告!$A$2:$A$22222&gt;=$L$2,IF(搜索词报告!$A$2:$A$22222&lt;=$L$4,搜索词报告!$Q$2:$Q$22222,0),0),0))</f>
        <v>0</v>
      </c>
      <c r="R222">
        <f t="array" ref="R222">SUM(IF(搜索词报告!$H$2:$H$22222=L222,IF(搜索词报告!$A$2:$A$22222&gt;=$L$2,IF(搜索词报告!$A$2:$A$22222&lt;=$L$4,搜索词报告!$N$2:$N$22222,0),0),0))</f>
        <v>0</v>
      </c>
      <c r="S222">
        <f t="array" ref="S222">SUM(IF(搜索词报告!$H$2:$H$22222=L222,IF(搜索词报告!$A$2:$A$22222&gt;=$L$2,IF(搜索词报告!$A$2:$A$22222&lt;=$L$4,搜索词报告!$M$2:$M$22222,0),0),0))</f>
        <v>0</v>
      </c>
      <c r="T222" s="2" t="str">
        <f t="shared" si="30"/>
        <v/>
      </c>
      <c r="U222" t="str">
        <f t="shared" si="31"/>
        <v>点击次数少于10次没有参考性</v>
      </c>
      <c r="V222" s="4" t="str">
        <f>IFERROR(INDEX(搜索词报告!$D$2:$D$22222,MATCH(关键词词频统计!L222,搜索词报告!$H$2:$H$22222,0)),"")</f>
        <v/>
      </c>
    </row>
    <row r="223" spans="2:22" x14ac:dyDescent="0.15">
      <c r="B223">
        <f t="array" ref="B223">SUM(IF(搜索词报告!$H$2:$H$22222=A223,IF(搜索词报告!$A$2:$A$22222&gt;=关键词词频统计!$A$2,IF(搜索词报告!$A$2:$A$22222&lt;=关键词词频统计!$A$4,搜索词报告!$I$2:$I$22222,0),0),0))</f>
        <v>0</v>
      </c>
      <c r="C223">
        <f t="array" ref="C223">SUM(IF(搜索词报告!$H$2:$H$22222=A223,IF(搜索词报告!$A$2:$A$22222&gt;=关键词词频统计!$A$2,IF(搜索词报告!$A$2:$A$22222&lt;=关键词词频统计!$A$4,搜索词报告!$J$2:$J$22222,0),0),0))</f>
        <v>0</v>
      </c>
      <c r="D223" s="2">
        <f t="shared" si="24"/>
        <v>0</v>
      </c>
      <c r="E223" s="2">
        <f t="shared" si="25"/>
        <v>0</v>
      </c>
      <c r="F223">
        <f t="array" ref="F223">SUM(IF(搜索词报告!$H$2:$H$22222=A223,IF(搜索词报告!$A$2:$A$22222&gt;=关键词词频统计!$A$2,IF(搜索词报告!$A$2:$A$22222&lt;=关键词词频统计!$A$4,搜索词报告!$Q$2:$Q$22222,0),0),0))</f>
        <v>0</v>
      </c>
      <c r="G223">
        <f t="array" ref="G223">SUM(IF(搜索词报告!$H$2:$H$22222=A223,IF(搜索词报告!$A$2:$A$22222&gt;=关键词词频统计!$A$2,IF(搜索词报告!$A$2:$A$22222&lt;=关键词词频统计!$A$4,搜索词报告!$N$2:$N$22222,0),0),0))</f>
        <v>0</v>
      </c>
      <c r="H223">
        <f t="array" ref="H223">SUM(IF(搜索词报告!$H$2:$H$22222=A223,IF(搜索词报告!$A$2:$A$22222&gt;=关键词词频统计!$A$2,IF(搜索词报告!$A$2:$A$22222&lt;=关键词词频统计!$A$4,搜索词报告!$M$2:$M$22222,0),0),0))</f>
        <v>0</v>
      </c>
      <c r="I223" s="2" t="str">
        <f t="shared" si="26"/>
        <v/>
      </c>
      <c r="J223" t="str">
        <f t="shared" si="27"/>
        <v>点击次数少于10次没有参考性</v>
      </c>
      <c r="K223" s="4" t="str">
        <f>IFERROR(INDEX(搜索词报告!$D$2:$D$22222,MATCH(关键词词频统计!A223,搜索词报告!$H$2:$H$22222,0)),"")</f>
        <v/>
      </c>
      <c r="M223">
        <f t="array" ref="M223">SUM(IF(搜索词报告!$H$2:$H$22222=L223,IF(搜索词报告!$A$2:$A$22222&gt;=$L$2,IF(搜索词报告!$A$2:$A$22222&lt;=$L$4,搜索词报告!$I$2:$I$22222,0),0),0))</f>
        <v>0</v>
      </c>
      <c r="N223">
        <f t="array" ref="N223">SUM(IF(搜索词报告!$H$2:$H$22222=L223,IF(搜索词报告!$A$2:$A$22222&gt;=$L$2,IF(搜索词报告!$A$2:$A$22222&lt;=$L$4,搜索词报告!$J$2:$J$22222,0),0),0))</f>
        <v>0</v>
      </c>
      <c r="O223" s="2">
        <f t="shared" si="28"/>
        <v>0</v>
      </c>
      <c r="P223" s="2">
        <f t="shared" si="29"/>
        <v>0</v>
      </c>
      <c r="Q223">
        <f t="array" ref="Q223">SUM(IF(搜索词报告!$H$2:$H$22222=L223,IF(搜索词报告!$A$2:$A$22222&gt;=$L$2,IF(搜索词报告!$A$2:$A$22222&lt;=$L$4,搜索词报告!$Q$2:$Q$22222,0),0),0))</f>
        <v>0</v>
      </c>
      <c r="R223">
        <f t="array" ref="R223">SUM(IF(搜索词报告!$H$2:$H$22222=L223,IF(搜索词报告!$A$2:$A$22222&gt;=$L$2,IF(搜索词报告!$A$2:$A$22222&lt;=$L$4,搜索词报告!$N$2:$N$22222,0),0),0))</f>
        <v>0</v>
      </c>
      <c r="S223">
        <f t="array" ref="S223">SUM(IF(搜索词报告!$H$2:$H$22222=L223,IF(搜索词报告!$A$2:$A$22222&gt;=$L$2,IF(搜索词报告!$A$2:$A$22222&lt;=$L$4,搜索词报告!$M$2:$M$22222,0),0),0))</f>
        <v>0</v>
      </c>
      <c r="T223" s="2" t="str">
        <f t="shared" si="30"/>
        <v/>
      </c>
      <c r="U223" t="str">
        <f t="shared" si="31"/>
        <v>点击次数少于10次没有参考性</v>
      </c>
      <c r="V223" s="4" t="str">
        <f>IFERROR(INDEX(搜索词报告!$D$2:$D$22222,MATCH(关键词词频统计!L223,搜索词报告!$H$2:$H$22222,0)),"")</f>
        <v/>
      </c>
    </row>
    <row r="224" spans="2:22" x14ac:dyDescent="0.15">
      <c r="B224">
        <f t="array" ref="B224">SUM(IF(搜索词报告!$H$2:$H$22222=A224,IF(搜索词报告!$A$2:$A$22222&gt;=关键词词频统计!$A$2,IF(搜索词报告!$A$2:$A$22222&lt;=关键词词频统计!$A$4,搜索词报告!$I$2:$I$22222,0),0),0))</f>
        <v>0</v>
      </c>
      <c r="C224">
        <f t="array" ref="C224">SUM(IF(搜索词报告!$H$2:$H$22222=A224,IF(搜索词报告!$A$2:$A$22222&gt;=关键词词频统计!$A$2,IF(搜索词报告!$A$2:$A$22222&lt;=关键词词频统计!$A$4,搜索词报告!$J$2:$J$22222,0),0),0))</f>
        <v>0</v>
      </c>
      <c r="D224" s="2">
        <f t="shared" si="24"/>
        <v>0</v>
      </c>
      <c r="E224" s="2">
        <f t="shared" si="25"/>
        <v>0</v>
      </c>
      <c r="F224">
        <f t="array" ref="F224">SUM(IF(搜索词报告!$H$2:$H$22222=A224,IF(搜索词报告!$A$2:$A$22222&gt;=关键词词频统计!$A$2,IF(搜索词报告!$A$2:$A$22222&lt;=关键词词频统计!$A$4,搜索词报告!$Q$2:$Q$22222,0),0),0))</f>
        <v>0</v>
      </c>
      <c r="G224">
        <f t="array" ref="G224">SUM(IF(搜索词报告!$H$2:$H$22222=A224,IF(搜索词报告!$A$2:$A$22222&gt;=关键词词频统计!$A$2,IF(搜索词报告!$A$2:$A$22222&lt;=关键词词频统计!$A$4,搜索词报告!$N$2:$N$22222,0),0),0))</f>
        <v>0</v>
      </c>
      <c r="H224">
        <f t="array" ref="H224">SUM(IF(搜索词报告!$H$2:$H$22222=A224,IF(搜索词报告!$A$2:$A$22222&gt;=关键词词频统计!$A$2,IF(搜索词报告!$A$2:$A$22222&lt;=关键词词频统计!$A$4,搜索词报告!$M$2:$M$22222,0),0),0))</f>
        <v>0</v>
      </c>
      <c r="I224" s="2" t="str">
        <f t="shared" si="26"/>
        <v/>
      </c>
      <c r="J224" t="str">
        <f t="shared" si="27"/>
        <v>点击次数少于10次没有参考性</v>
      </c>
      <c r="K224" s="4" t="str">
        <f>IFERROR(INDEX(搜索词报告!$D$2:$D$22222,MATCH(关键词词频统计!A224,搜索词报告!$H$2:$H$22222,0)),"")</f>
        <v/>
      </c>
      <c r="M224">
        <f t="array" ref="M224">SUM(IF(搜索词报告!$H$2:$H$22222=L224,IF(搜索词报告!$A$2:$A$22222&gt;=$L$2,IF(搜索词报告!$A$2:$A$22222&lt;=$L$4,搜索词报告!$I$2:$I$22222,0),0),0))</f>
        <v>0</v>
      </c>
      <c r="N224">
        <f t="array" ref="N224">SUM(IF(搜索词报告!$H$2:$H$22222=L224,IF(搜索词报告!$A$2:$A$22222&gt;=$L$2,IF(搜索词报告!$A$2:$A$22222&lt;=$L$4,搜索词报告!$J$2:$J$22222,0),0),0))</f>
        <v>0</v>
      </c>
      <c r="O224" s="2">
        <f t="shared" si="28"/>
        <v>0</v>
      </c>
      <c r="P224" s="2">
        <f t="shared" si="29"/>
        <v>0</v>
      </c>
      <c r="Q224">
        <f t="array" ref="Q224">SUM(IF(搜索词报告!$H$2:$H$22222=L224,IF(搜索词报告!$A$2:$A$22222&gt;=$L$2,IF(搜索词报告!$A$2:$A$22222&lt;=$L$4,搜索词报告!$Q$2:$Q$22222,0),0),0))</f>
        <v>0</v>
      </c>
      <c r="R224">
        <f t="array" ref="R224">SUM(IF(搜索词报告!$H$2:$H$22222=L224,IF(搜索词报告!$A$2:$A$22222&gt;=$L$2,IF(搜索词报告!$A$2:$A$22222&lt;=$L$4,搜索词报告!$N$2:$N$22222,0),0),0))</f>
        <v>0</v>
      </c>
      <c r="S224">
        <f t="array" ref="S224">SUM(IF(搜索词报告!$H$2:$H$22222=L224,IF(搜索词报告!$A$2:$A$22222&gt;=$L$2,IF(搜索词报告!$A$2:$A$22222&lt;=$L$4,搜索词报告!$M$2:$M$22222,0),0),0))</f>
        <v>0</v>
      </c>
      <c r="T224" s="2" t="str">
        <f t="shared" si="30"/>
        <v/>
      </c>
      <c r="U224" t="str">
        <f t="shared" si="31"/>
        <v>点击次数少于10次没有参考性</v>
      </c>
      <c r="V224" s="4" t="str">
        <f>IFERROR(INDEX(搜索词报告!$D$2:$D$22222,MATCH(关键词词频统计!L224,搜索词报告!$H$2:$H$22222,0)),"")</f>
        <v/>
      </c>
    </row>
    <row r="225" spans="2:22" x14ac:dyDescent="0.15">
      <c r="B225">
        <f t="array" ref="B225">SUM(IF(搜索词报告!$H$2:$H$22222=A225,IF(搜索词报告!$A$2:$A$22222&gt;=关键词词频统计!$A$2,IF(搜索词报告!$A$2:$A$22222&lt;=关键词词频统计!$A$4,搜索词报告!$I$2:$I$22222,0),0),0))</f>
        <v>0</v>
      </c>
      <c r="C225">
        <f t="array" ref="C225">SUM(IF(搜索词报告!$H$2:$H$22222=A225,IF(搜索词报告!$A$2:$A$22222&gt;=关键词词频统计!$A$2,IF(搜索词报告!$A$2:$A$22222&lt;=关键词词频统计!$A$4,搜索词报告!$J$2:$J$22222,0),0),0))</f>
        <v>0</v>
      </c>
      <c r="D225" s="2">
        <f t="shared" si="24"/>
        <v>0</v>
      </c>
      <c r="E225" s="2">
        <f t="shared" si="25"/>
        <v>0</v>
      </c>
      <c r="F225">
        <f t="array" ref="F225">SUM(IF(搜索词报告!$H$2:$H$22222=A225,IF(搜索词报告!$A$2:$A$22222&gt;=关键词词频统计!$A$2,IF(搜索词报告!$A$2:$A$22222&lt;=关键词词频统计!$A$4,搜索词报告!$Q$2:$Q$22222,0),0),0))</f>
        <v>0</v>
      </c>
      <c r="G225">
        <f t="array" ref="G225">SUM(IF(搜索词报告!$H$2:$H$22222=A225,IF(搜索词报告!$A$2:$A$22222&gt;=关键词词频统计!$A$2,IF(搜索词报告!$A$2:$A$22222&lt;=关键词词频统计!$A$4,搜索词报告!$N$2:$N$22222,0),0),0))</f>
        <v>0</v>
      </c>
      <c r="H225">
        <f t="array" ref="H225">SUM(IF(搜索词报告!$H$2:$H$22222=A225,IF(搜索词报告!$A$2:$A$22222&gt;=关键词词频统计!$A$2,IF(搜索词报告!$A$2:$A$22222&lt;=关键词词频统计!$A$4,搜索词报告!$M$2:$M$22222,0),0),0))</f>
        <v>0</v>
      </c>
      <c r="I225" s="2" t="str">
        <f t="shared" si="26"/>
        <v/>
      </c>
      <c r="J225" t="str">
        <f t="shared" si="27"/>
        <v>点击次数少于10次没有参考性</v>
      </c>
      <c r="K225" s="4" t="str">
        <f>IFERROR(INDEX(搜索词报告!$D$2:$D$22222,MATCH(关键词词频统计!A225,搜索词报告!$H$2:$H$22222,0)),"")</f>
        <v/>
      </c>
      <c r="M225">
        <f t="array" ref="M225">SUM(IF(搜索词报告!$H$2:$H$22222=L225,IF(搜索词报告!$A$2:$A$22222&gt;=$L$2,IF(搜索词报告!$A$2:$A$22222&lt;=$L$4,搜索词报告!$I$2:$I$22222,0),0),0))</f>
        <v>0</v>
      </c>
      <c r="N225">
        <f t="array" ref="N225">SUM(IF(搜索词报告!$H$2:$H$22222=L225,IF(搜索词报告!$A$2:$A$22222&gt;=$L$2,IF(搜索词报告!$A$2:$A$22222&lt;=$L$4,搜索词报告!$J$2:$J$22222,0),0),0))</f>
        <v>0</v>
      </c>
      <c r="O225" s="2">
        <f t="shared" si="28"/>
        <v>0</v>
      </c>
      <c r="P225" s="2">
        <f t="shared" si="29"/>
        <v>0</v>
      </c>
      <c r="Q225">
        <f t="array" ref="Q225">SUM(IF(搜索词报告!$H$2:$H$22222=L225,IF(搜索词报告!$A$2:$A$22222&gt;=$L$2,IF(搜索词报告!$A$2:$A$22222&lt;=$L$4,搜索词报告!$Q$2:$Q$22222,0),0),0))</f>
        <v>0</v>
      </c>
      <c r="R225">
        <f t="array" ref="R225">SUM(IF(搜索词报告!$H$2:$H$22222=L225,IF(搜索词报告!$A$2:$A$22222&gt;=$L$2,IF(搜索词报告!$A$2:$A$22222&lt;=$L$4,搜索词报告!$N$2:$N$22222,0),0),0))</f>
        <v>0</v>
      </c>
      <c r="S225">
        <f t="array" ref="S225">SUM(IF(搜索词报告!$H$2:$H$22222=L225,IF(搜索词报告!$A$2:$A$22222&gt;=$L$2,IF(搜索词报告!$A$2:$A$22222&lt;=$L$4,搜索词报告!$M$2:$M$22222,0),0),0))</f>
        <v>0</v>
      </c>
      <c r="T225" s="2" t="str">
        <f t="shared" si="30"/>
        <v/>
      </c>
      <c r="U225" t="str">
        <f t="shared" si="31"/>
        <v>点击次数少于10次没有参考性</v>
      </c>
      <c r="V225" s="4" t="str">
        <f>IFERROR(INDEX(搜索词报告!$D$2:$D$22222,MATCH(关键词词频统计!L225,搜索词报告!$H$2:$H$22222,0)),"")</f>
        <v/>
      </c>
    </row>
    <row r="226" spans="2:22" x14ac:dyDescent="0.15">
      <c r="B226">
        <f t="array" ref="B226">SUM(IF(搜索词报告!$H$2:$H$22222=A226,IF(搜索词报告!$A$2:$A$22222&gt;=关键词词频统计!$A$2,IF(搜索词报告!$A$2:$A$22222&lt;=关键词词频统计!$A$4,搜索词报告!$I$2:$I$22222,0),0),0))</f>
        <v>0</v>
      </c>
      <c r="C226">
        <f t="array" ref="C226">SUM(IF(搜索词报告!$H$2:$H$22222=A226,IF(搜索词报告!$A$2:$A$22222&gt;=关键词词频统计!$A$2,IF(搜索词报告!$A$2:$A$22222&lt;=关键词词频统计!$A$4,搜索词报告!$J$2:$J$22222,0),0),0))</f>
        <v>0</v>
      </c>
      <c r="D226" s="2">
        <f t="shared" si="24"/>
        <v>0</v>
      </c>
      <c r="E226" s="2">
        <f t="shared" si="25"/>
        <v>0</v>
      </c>
      <c r="F226">
        <f t="array" ref="F226">SUM(IF(搜索词报告!$H$2:$H$22222=A226,IF(搜索词报告!$A$2:$A$22222&gt;=关键词词频统计!$A$2,IF(搜索词报告!$A$2:$A$22222&lt;=关键词词频统计!$A$4,搜索词报告!$Q$2:$Q$22222,0),0),0))</f>
        <v>0</v>
      </c>
      <c r="G226">
        <f t="array" ref="G226">SUM(IF(搜索词报告!$H$2:$H$22222=A226,IF(搜索词报告!$A$2:$A$22222&gt;=关键词词频统计!$A$2,IF(搜索词报告!$A$2:$A$22222&lt;=关键词词频统计!$A$4,搜索词报告!$N$2:$N$22222,0),0),0))</f>
        <v>0</v>
      </c>
      <c r="H226">
        <f t="array" ref="H226">SUM(IF(搜索词报告!$H$2:$H$22222=A226,IF(搜索词报告!$A$2:$A$22222&gt;=关键词词频统计!$A$2,IF(搜索词报告!$A$2:$A$22222&lt;=关键词词频统计!$A$4,搜索词报告!$M$2:$M$22222,0),0),0))</f>
        <v>0</v>
      </c>
      <c r="I226" s="2" t="str">
        <f t="shared" si="26"/>
        <v/>
      </c>
      <c r="J226" t="str">
        <f t="shared" si="27"/>
        <v>点击次数少于10次没有参考性</v>
      </c>
      <c r="K226" s="4" t="str">
        <f>IFERROR(INDEX(搜索词报告!$D$2:$D$22222,MATCH(关键词词频统计!A226,搜索词报告!$H$2:$H$22222,0)),"")</f>
        <v/>
      </c>
      <c r="M226">
        <f t="array" ref="M226">SUM(IF(搜索词报告!$H$2:$H$22222=L226,IF(搜索词报告!$A$2:$A$22222&gt;=$L$2,IF(搜索词报告!$A$2:$A$22222&lt;=$L$4,搜索词报告!$I$2:$I$22222,0),0),0))</f>
        <v>0</v>
      </c>
      <c r="N226">
        <f t="array" ref="N226">SUM(IF(搜索词报告!$H$2:$H$22222=L226,IF(搜索词报告!$A$2:$A$22222&gt;=$L$2,IF(搜索词报告!$A$2:$A$22222&lt;=$L$4,搜索词报告!$J$2:$J$22222,0),0),0))</f>
        <v>0</v>
      </c>
      <c r="O226" s="2">
        <f t="shared" si="28"/>
        <v>0</v>
      </c>
      <c r="P226" s="2">
        <f t="shared" si="29"/>
        <v>0</v>
      </c>
      <c r="Q226">
        <f t="array" ref="Q226">SUM(IF(搜索词报告!$H$2:$H$22222=L226,IF(搜索词报告!$A$2:$A$22222&gt;=$L$2,IF(搜索词报告!$A$2:$A$22222&lt;=$L$4,搜索词报告!$Q$2:$Q$22222,0),0),0))</f>
        <v>0</v>
      </c>
      <c r="R226">
        <f t="array" ref="R226">SUM(IF(搜索词报告!$H$2:$H$22222=L226,IF(搜索词报告!$A$2:$A$22222&gt;=$L$2,IF(搜索词报告!$A$2:$A$22222&lt;=$L$4,搜索词报告!$N$2:$N$22222,0),0),0))</f>
        <v>0</v>
      </c>
      <c r="S226">
        <f t="array" ref="S226">SUM(IF(搜索词报告!$H$2:$H$22222=L226,IF(搜索词报告!$A$2:$A$22222&gt;=$L$2,IF(搜索词报告!$A$2:$A$22222&lt;=$L$4,搜索词报告!$M$2:$M$22222,0),0),0))</f>
        <v>0</v>
      </c>
      <c r="T226" s="2" t="str">
        <f t="shared" si="30"/>
        <v/>
      </c>
      <c r="U226" t="str">
        <f t="shared" si="31"/>
        <v>点击次数少于10次没有参考性</v>
      </c>
      <c r="V226" s="4" t="str">
        <f>IFERROR(INDEX(搜索词报告!$D$2:$D$22222,MATCH(关键词词频统计!L226,搜索词报告!$H$2:$H$22222,0)),"")</f>
        <v/>
      </c>
    </row>
    <row r="227" spans="2:22" x14ac:dyDescent="0.15">
      <c r="B227">
        <f t="array" ref="B227">SUM(IF(搜索词报告!$H$2:$H$22222=A227,IF(搜索词报告!$A$2:$A$22222&gt;=关键词词频统计!$A$2,IF(搜索词报告!$A$2:$A$22222&lt;=关键词词频统计!$A$4,搜索词报告!$I$2:$I$22222,0),0),0))</f>
        <v>0</v>
      </c>
      <c r="C227">
        <f t="array" ref="C227">SUM(IF(搜索词报告!$H$2:$H$22222=A227,IF(搜索词报告!$A$2:$A$22222&gt;=关键词词频统计!$A$2,IF(搜索词报告!$A$2:$A$22222&lt;=关键词词频统计!$A$4,搜索词报告!$J$2:$J$22222,0),0),0))</f>
        <v>0</v>
      </c>
      <c r="D227" s="2">
        <f t="shared" si="24"/>
        <v>0</v>
      </c>
      <c r="E227" s="2">
        <f t="shared" si="25"/>
        <v>0</v>
      </c>
      <c r="F227">
        <f t="array" ref="F227">SUM(IF(搜索词报告!$H$2:$H$22222=A227,IF(搜索词报告!$A$2:$A$22222&gt;=关键词词频统计!$A$2,IF(搜索词报告!$A$2:$A$22222&lt;=关键词词频统计!$A$4,搜索词报告!$Q$2:$Q$22222,0),0),0))</f>
        <v>0</v>
      </c>
      <c r="G227">
        <f t="array" ref="G227">SUM(IF(搜索词报告!$H$2:$H$22222=A227,IF(搜索词报告!$A$2:$A$22222&gt;=关键词词频统计!$A$2,IF(搜索词报告!$A$2:$A$22222&lt;=关键词词频统计!$A$4,搜索词报告!$N$2:$N$22222,0),0),0))</f>
        <v>0</v>
      </c>
      <c r="H227">
        <f t="array" ref="H227">SUM(IF(搜索词报告!$H$2:$H$22222=A227,IF(搜索词报告!$A$2:$A$22222&gt;=关键词词频统计!$A$2,IF(搜索词报告!$A$2:$A$22222&lt;=关键词词频统计!$A$4,搜索词报告!$M$2:$M$22222,0),0),0))</f>
        <v>0</v>
      </c>
      <c r="I227" s="2" t="str">
        <f t="shared" si="26"/>
        <v/>
      </c>
      <c r="J227" t="str">
        <f t="shared" si="27"/>
        <v>点击次数少于10次没有参考性</v>
      </c>
      <c r="K227" s="4" t="str">
        <f>IFERROR(INDEX(搜索词报告!$D$2:$D$22222,MATCH(关键词词频统计!A227,搜索词报告!$H$2:$H$22222,0)),"")</f>
        <v/>
      </c>
      <c r="M227">
        <f t="array" ref="M227">SUM(IF(搜索词报告!$H$2:$H$22222=L227,IF(搜索词报告!$A$2:$A$22222&gt;=$L$2,IF(搜索词报告!$A$2:$A$22222&lt;=$L$4,搜索词报告!$I$2:$I$22222,0),0),0))</f>
        <v>0</v>
      </c>
      <c r="N227">
        <f t="array" ref="N227">SUM(IF(搜索词报告!$H$2:$H$22222=L227,IF(搜索词报告!$A$2:$A$22222&gt;=$L$2,IF(搜索词报告!$A$2:$A$22222&lt;=$L$4,搜索词报告!$J$2:$J$22222,0),0),0))</f>
        <v>0</v>
      </c>
      <c r="O227" s="2">
        <f t="shared" si="28"/>
        <v>0</v>
      </c>
      <c r="P227" s="2">
        <f t="shared" si="29"/>
        <v>0</v>
      </c>
      <c r="Q227">
        <f t="array" ref="Q227">SUM(IF(搜索词报告!$H$2:$H$22222=L227,IF(搜索词报告!$A$2:$A$22222&gt;=$L$2,IF(搜索词报告!$A$2:$A$22222&lt;=$L$4,搜索词报告!$Q$2:$Q$22222,0),0),0))</f>
        <v>0</v>
      </c>
      <c r="R227">
        <f t="array" ref="R227">SUM(IF(搜索词报告!$H$2:$H$22222=L227,IF(搜索词报告!$A$2:$A$22222&gt;=$L$2,IF(搜索词报告!$A$2:$A$22222&lt;=$L$4,搜索词报告!$N$2:$N$22222,0),0),0))</f>
        <v>0</v>
      </c>
      <c r="S227">
        <f t="array" ref="S227">SUM(IF(搜索词报告!$H$2:$H$22222=L227,IF(搜索词报告!$A$2:$A$22222&gt;=$L$2,IF(搜索词报告!$A$2:$A$22222&lt;=$L$4,搜索词报告!$M$2:$M$22222,0),0),0))</f>
        <v>0</v>
      </c>
      <c r="T227" s="2" t="str">
        <f t="shared" si="30"/>
        <v/>
      </c>
      <c r="U227" t="str">
        <f t="shared" si="31"/>
        <v>点击次数少于10次没有参考性</v>
      </c>
      <c r="V227" s="4" t="str">
        <f>IFERROR(INDEX(搜索词报告!$D$2:$D$22222,MATCH(关键词词频统计!L227,搜索词报告!$H$2:$H$22222,0)),"")</f>
        <v/>
      </c>
    </row>
    <row r="228" spans="2:22" x14ac:dyDescent="0.15">
      <c r="B228">
        <f t="array" ref="B228">SUM(IF(搜索词报告!$H$2:$H$22222=A228,IF(搜索词报告!$A$2:$A$22222&gt;=关键词词频统计!$A$2,IF(搜索词报告!$A$2:$A$22222&lt;=关键词词频统计!$A$4,搜索词报告!$I$2:$I$22222,0),0),0))</f>
        <v>0</v>
      </c>
      <c r="C228">
        <f t="array" ref="C228">SUM(IF(搜索词报告!$H$2:$H$22222=A228,IF(搜索词报告!$A$2:$A$22222&gt;=关键词词频统计!$A$2,IF(搜索词报告!$A$2:$A$22222&lt;=关键词词频统计!$A$4,搜索词报告!$J$2:$J$22222,0),0),0))</f>
        <v>0</v>
      </c>
      <c r="D228" s="2">
        <f t="shared" si="24"/>
        <v>0</v>
      </c>
      <c r="E228" s="2">
        <f t="shared" si="25"/>
        <v>0</v>
      </c>
      <c r="F228">
        <f t="array" ref="F228">SUM(IF(搜索词报告!$H$2:$H$22222=A228,IF(搜索词报告!$A$2:$A$22222&gt;=关键词词频统计!$A$2,IF(搜索词报告!$A$2:$A$22222&lt;=关键词词频统计!$A$4,搜索词报告!$Q$2:$Q$22222,0),0),0))</f>
        <v>0</v>
      </c>
      <c r="G228">
        <f t="array" ref="G228">SUM(IF(搜索词报告!$H$2:$H$22222=A228,IF(搜索词报告!$A$2:$A$22222&gt;=关键词词频统计!$A$2,IF(搜索词报告!$A$2:$A$22222&lt;=关键词词频统计!$A$4,搜索词报告!$N$2:$N$22222,0),0),0))</f>
        <v>0</v>
      </c>
      <c r="H228">
        <f t="array" ref="H228">SUM(IF(搜索词报告!$H$2:$H$22222=A228,IF(搜索词报告!$A$2:$A$22222&gt;=关键词词频统计!$A$2,IF(搜索词报告!$A$2:$A$22222&lt;=关键词词频统计!$A$4,搜索词报告!$M$2:$M$22222,0),0),0))</f>
        <v>0</v>
      </c>
      <c r="I228" s="2" t="str">
        <f t="shared" si="26"/>
        <v/>
      </c>
      <c r="J228" t="str">
        <f t="shared" si="27"/>
        <v>点击次数少于10次没有参考性</v>
      </c>
      <c r="K228" s="4" t="str">
        <f>IFERROR(INDEX(搜索词报告!$D$2:$D$22222,MATCH(关键词词频统计!A228,搜索词报告!$H$2:$H$22222,0)),"")</f>
        <v/>
      </c>
      <c r="M228">
        <f t="array" ref="M228">SUM(IF(搜索词报告!$H$2:$H$22222=L228,IF(搜索词报告!$A$2:$A$22222&gt;=$L$2,IF(搜索词报告!$A$2:$A$22222&lt;=$L$4,搜索词报告!$I$2:$I$22222,0),0),0))</f>
        <v>0</v>
      </c>
      <c r="N228">
        <f t="array" ref="N228">SUM(IF(搜索词报告!$H$2:$H$22222=L228,IF(搜索词报告!$A$2:$A$22222&gt;=$L$2,IF(搜索词报告!$A$2:$A$22222&lt;=$L$4,搜索词报告!$J$2:$J$22222,0),0),0))</f>
        <v>0</v>
      </c>
      <c r="O228" s="2">
        <f t="shared" si="28"/>
        <v>0</v>
      </c>
      <c r="P228" s="2">
        <f t="shared" si="29"/>
        <v>0</v>
      </c>
      <c r="Q228">
        <f t="array" ref="Q228">SUM(IF(搜索词报告!$H$2:$H$22222=L228,IF(搜索词报告!$A$2:$A$22222&gt;=$L$2,IF(搜索词报告!$A$2:$A$22222&lt;=$L$4,搜索词报告!$Q$2:$Q$22222,0),0),0))</f>
        <v>0</v>
      </c>
      <c r="R228">
        <f t="array" ref="R228">SUM(IF(搜索词报告!$H$2:$H$22222=L228,IF(搜索词报告!$A$2:$A$22222&gt;=$L$2,IF(搜索词报告!$A$2:$A$22222&lt;=$L$4,搜索词报告!$N$2:$N$22222,0),0),0))</f>
        <v>0</v>
      </c>
      <c r="S228">
        <f t="array" ref="S228">SUM(IF(搜索词报告!$H$2:$H$22222=L228,IF(搜索词报告!$A$2:$A$22222&gt;=$L$2,IF(搜索词报告!$A$2:$A$22222&lt;=$L$4,搜索词报告!$M$2:$M$22222,0),0),0))</f>
        <v>0</v>
      </c>
      <c r="T228" s="2" t="str">
        <f t="shared" si="30"/>
        <v/>
      </c>
      <c r="U228" t="str">
        <f t="shared" si="31"/>
        <v>点击次数少于10次没有参考性</v>
      </c>
      <c r="V228" s="4" t="str">
        <f>IFERROR(INDEX(搜索词报告!$D$2:$D$22222,MATCH(关键词词频统计!L228,搜索词报告!$H$2:$H$22222,0)),"")</f>
        <v/>
      </c>
    </row>
    <row r="229" spans="2:22" x14ac:dyDescent="0.15">
      <c r="B229">
        <f t="array" ref="B229">SUM(IF(搜索词报告!$H$2:$H$22222=A229,IF(搜索词报告!$A$2:$A$22222&gt;=关键词词频统计!$A$2,IF(搜索词报告!$A$2:$A$22222&lt;=关键词词频统计!$A$4,搜索词报告!$I$2:$I$22222,0),0),0))</f>
        <v>0</v>
      </c>
      <c r="C229">
        <f t="array" ref="C229">SUM(IF(搜索词报告!$H$2:$H$22222=A229,IF(搜索词报告!$A$2:$A$22222&gt;=关键词词频统计!$A$2,IF(搜索词报告!$A$2:$A$22222&lt;=关键词词频统计!$A$4,搜索词报告!$J$2:$J$22222,0),0),0))</f>
        <v>0</v>
      </c>
      <c r="D229" s="2">
        <f t="shared" si="24"/>
        <v>0</v>
      </c>
      <c r="E229" s="2">
        <f t="shared" si="25"/>
        <v>0</v>
      </c>
      <c r="F229">
        <f t="array" ref="F229">SUM(IF(搜索词报告!$H$2:$H$22222=A229,IF(搜索词报告!$A$2:$A$22222&gt;=关键词词频统计!$A$2,IF(搜索词报告!$A$2:$A$22222&lt;=关键词词频统计!$A$4,搜索词报告!$Q$2:$Q$22222,0),0),0))</f>
        <v>0</v>
      </c>
      <c r="G229">
        <f t="array" ref="G229">SUM(IF(搜索词报告!$H$2:$H$22222=A229,IF(搜索词报告!$A$2:$A$22222&gt;=关键词词频统计!$A$2,IF(搜索词报告!$A$2:$A$22222&lt;=关键词词频统计!$A$4,搜索词报告!$N$2:$N$22222,0),0),0))</f>
        <v>0</v>
      </c>
      <c r="H229">
        <f t="array" ref="H229">SUM(IF(搜索词报告!$H$2:$H$22222=A229,IF(搜索词报告!$A$2:$A$22222&gt;=关键词词频统计!$A$2,IF(搜索词报告!$A$2:$A$22222&lt;=关键词词频统计!$A$4,搜索词报告!$M$2:$M$22222,0),0),0))</f>
        <v>0</v>
      </c>
      <c r="I229" s="2" t="str">
        <f t="shared" si="26"/>
        <v/>
      </c>
      <c r="J229" t="str">
        <f t="shared" si="27"/>
        <v>点击次数少于10次没有参考性</v>
      </c>
      <c r="K229" s="4" t="str">
        <f>IFERROR(INDEX(搜索词报告!$D$2:$D$22222,MATCH(关键词词频统计!A229,搜索词报告!$H$2:$H$22222,0)),"")</f>
        <v/>
      </c>
      <c r="M229">
        <f t="array" ref="M229">SUM(IF(搜索词报告!$H$2:$H$22222=L229,IF(搜索词报告!$A$2:$A$22222&gt;=$L$2,IF(搜索词报告!$A$2:$A$22222&lt;=$L$4,搜索词报告!$I$2:$I$22222,0),0),0))</f>
        <v>0</v>
      </c>
      <c r="N229">
        <f t="array" ref="N229">SUM(IF(搜索词报告!$H$2:$H$22222=L229,IF(搜索词报告!$A$2:$A$22222&gt;=$L$2,IF(搜索词报告!$A$2:$A$22222&lt;=$L$4,搜索词报告!$J$2:$J$22222,0),0),0))</f>
        <v>0</v>
      </c>
      <c r="O229" s="2">
        <f t="shared" si="28"/>
        <v>0</v>
      </c>
      <c r="P229" s="2">
        <f t="shared" si="29"/>
        <v>0</v>
      </c>
      <c r="Q229">
        <f t="array" ref="Q229">SUM(IF(搜索词报告!$H$2:$H$22222=L229,IF(搜索词报告!$A$2:$A$22222&gt;=$L$2,IF(搜索词报告!$A$2:$A$22222&lt;=$L$4,搜索词报告!$Q$2:$Q$22222,0),0),0))</f>
        <v>0</v>
      </c>
      <c r="R229">
        <f t="array" ref="R229">SUM(IF(搜索词报告!$H$2:$H$22222=L229,IF(搜索词报告!$A$2:$A$22222&gt;=$L$2,IF(搜索词报告!$A$2:$A$22222&lt;=$L$4,搜索词报告!$N$2:$N$22222,0),0),0))</f>
        <v>0</v>
      </c>
      <c r="S229">
        <f t="array" ref="S229">SUM(IF(搜索词报告!$H$2:$H$22222=L229,IF(搜索词报告!$A$2:$A$22222&gt;=$L$2,IF(搜索词报告!$A$2:$A$22222&lt;=$L$4,搜索词报告!$M$2:$M$22222,0),0),0))</f>
        <v>0</v>
      </c>
      <c r="T229" s="2" t="str">
        <f t="shared" si="30"/>
        <v/>
      </c>
      <c r="U229" t="str">
        <f t="shared" si="31"/>
        <v>点击次数少于10次没有参考性</v>
      </c>
      <c r="V229" s="4" t="str">
        <f>IFERROR(INDEX(搜索词报告!$D$2:$D$22222,MATCH(关键词词频统计!L229,搜索词报告!$H$2:$H$22222,0)),"")</f>
        <v/>
      </c>
    </row>
    <row r="230" spans="2:22" x14ac:dyDescent="0.15">
      <c r="B230">
        <f t="array" ref="B230">SUM(IF(搜索词报告!$H$2:$H$22222=A230,IF(搜索词报告!$A$2:$A$22222&gt;=关键词词频统计!$A$2,IF(搜索词报告!$A$2:$A$22222&lt;=关键词词频统计!$A$4,搜索词报告!$I$2:$I$22222,0),0),0))</f>
        <v>0</v>
      </c>
      <c r="C230">
        <f t="array" ref="C230">SUM(IF(搜索词报告!$H$2:$H$22222=A230,IF(搜索词报告!$A$2:$A$22222&gt;=关键词词频统计!$A$2,IF(搜索词报告!$A$2:$A$22222&lt;=关键词词频统计!$A$4,搜索词报告!$J$2:$J$22222,0),0),0))</f>
        <v>0</v>
      </c>
      <c r="D230" s="2">
        <f t="shared" si="24"/>
        <v>0</v>
      </c>
      <c r="E230" s="2">
        <f t="shared" si="25"/>
        <v>0</v>
      </c>
      <c r="F230">
        <f t="array" ref="F230">SUM(IF(搜索词报告!$H$2:$H$22222=A230,IF(搜索词报告!$A$2:$A$22222&gt;=关键词词频统计!$A$2,IF(搜索词报告!$A$2:$A$22222&lt;=关键词词频统计!$A$4,搜索词报告!$Q$2:$Q$22222,0),0),0))</f>
        <v>0</v>
      </c>
      <c r="G230">
        <f t="array" ref="G230">SUM(IF(搜索词报告!$H$2:$H$22222=A230,IF(搜索词报告!$A$2:$A$22222&gt;=关键词词频统计!$A$2,IF(搜索词报告!$A$2:$A$22222&lt;=关键词词频统计!$A$4,搜索词报告!$N$2:$N$22222,0),0),0))</f>
        <v>0</v>
      </c>
      <c r="H230">
        <f t="array" ref="H230">SUM(IF(搜索词报告!$H$2:$H$22222=A230,IF(搜索词报告!$A$2:$A$22222&gt;=关键词词频统计!$A$2,IF(搜索词报告!$A$2:$A$22222&lt;=关键词词频统计!$A$4,搜索词报告!$M$2:$M$22222,0),0),0))</f>
        <v>0</v>
      </c>
      <c r="I230" s="2" t="str">
        <f t="shared" si="26"/>
        <v/>
      </c>
      <c r="J230" t="str">
        <f t="shared" si="27"/>
        <v>点击次数少于10次没有参考性</v>
      </c>
      <c r="K230" s="4" t="str">
        <f>IFERROR(INDEX(搜索词报告!$D$2:$D$22222,MATCH(关键词词频统计!A230,搜索词报告!$H$2:$H$22222,0)),"")</f>
        <v/>
      </c>
      <c r="M230">
        <f t="array" ref="M230">SUM(IF(搜索词报告!$H$2:$H$22222=L230,IF(搜索词报告!$A$2:$A$22222&gt;=$L$2,IF(搜索词报告!$A$2:$A$22222&lt;=$L$4,搜索词报告!$I$2:$I$22222,0),0),0))</f>
        <v>0</v>
      </c>
      <c r="N230">
        <f t="array" ref="N230">SUM(IF(搜索词报告!$H$2:$H$22222=L230,IF(搜索词报告!$A$2:$A$22222&gt;=$L$2,IF(搜索词报告!$A$2:$A$22222&lt;=$L$4,搜索词报告!$J$2:$J$22222,0),0),0))</f>
        <v>0</v>
      </c>
      <c r="O230" s="2">
        <f t="shared" si="28"/>
        <v>0</v>
      </c>
      <c r="P230" s="2">
        <f t="shared" si="29"/>
        <v>0</v>
      </c>
      <c r="Q230">
        <f t="array" ref="Q230">SUM(IF(搜索词报告!$H$2:$H$22222=L230,IF(搜索词报告!$A$2:$A$22222&gt;=$L$2,IF(搜索词报告!$A$2:$A$22222&lt;=$L$4,搜索词报告!$Q$2:$Q$22222,0),0),0))</f>
        <v>0</v>
      </c>
      <c r="R230">
        <f t="array" ref="R230">SUM(IF(搜索词报告!$H$2:$H$22222=L230,IF(搜索词报告!$A$2:$A$22222&gt;=$L$2,IF(搜索词报告!$A$2:$A$22222&lt;=$L$4,搜索词报告!$N$2:$N$22222,0),0),0))</f>
        <v>0</v>
      </c>
      <c r="S230">
        <f t="array" ref="S230">SUM(IF(搜索词报告!$H$2:$H$22222=L230,IF(搜索词报告!$A$2:$A$22222&gt;=$L$2,IF(搜索词报告!$A$2:$A$22222&lt;=$L$4,搜索词报告!$M$2:$M$22222,0),0),0))</f>
        <v>0</v>
      </c>
      <c r="T230" s="2" t="str">
        <f t="shared" si="30"/>
        <v/>
      </c>
      <c r="U230" t="str">
        <f t="shared" si="31"/>
        <v>点击次数少于10次没有参考性</v>
      </c>
      <c r="V230" s="4" t="str">
        <f>IFERROR(INDEX(搜索词报告!$D$2:$D$22222,MATCH(关键词词频统计!L230,搜索词报告!$H$2:$H$22222,0)),"")</f>
        <v/>
      </c>
    </row>
    <row r="231" spans="2:22" x14ac:dyDescent="0.15">
      <c r="B231">
        <f t="array" ref="B231">SUM(IF(搜索词报告!$H$2:$H$22222=A231,IF(搜索词报告!$A$2:$A$22222&gt;=关键词词频统计!$A$2,IF(搜索词报告!$A$2:$A$22222&lt;=关键词词频统计!$A$4,搜索词报告!$I$2:$I$22222,0),0),0))</f>
        <v>0</v>
      </c>
      <c r="C231">
        <f t="array" ref="C231">SUM(IF(搜索词报告!$H$2:$H$22222=A231,IF(搜索词报告!$A$2:$A$22222&gt;=关键词词频统计!$A$2,IF(搜索词报告!$A$2:$A$22222&lt;=关键词词频统计!$A$4,搜索词报告!$J$2:$J$22222,0),0),0))</f>
        <v>0</v>
      </c>
      <c r="D231" s="2">
        <f t="shared" si="24"/>
        <v>0</v>
      </c>
      <c r="E231" s="2">
        <f t="shared" si="25"/>
        <v>0</v>
      </c>
      <c r="F231">
        <f t="array" ref="F231">SUM(IF(搜索词报告!$H$2:$H$22222=A231,IF(搜索词报告!$A$2:$A$22222&gt;=关键词词频统计!$A$2,IF(搜索词报告!$A$2:$A$22222&lt;=关键词词频统计!$A$4,搜索词报告!$Q$2:$Q$22222,0),0),0))</f>
        <v>0</v>
      </c>
      <c r="G231">
        <f t="array" ref="G231">SUM(IF(搜索词报告!$H$2:$H$22222=A231,IF(搜索词报告!$A$2:$A$22222&gt;=关键词词频统计!$A$2,IF(搜索词报告!$A$2:$A$22222&lt;=关键词词频统计!$A$4,搜索词报告!$N$2:$N$22222,0),0),0))</f>
        <v>0</v>
      </c>
      <c r="H231">
        <f t="array" ref="H231">SUM(IF(搜索词报告!$H$2:$H$22222=A231,IF(搜索词报告!$A$2:$A$22222&gt;=关键词词频统计!$A$2,IF(搜索词报告!$A$2:$A$22222&lt;=关键词词频统计!$A$4,搜索词报告!$M$2:$M$22222,0),0),0))</f>
        <v>0</v>
      </c>
      <c r="I231" s="2" t="str">
        <f t="shared" si="26"/>
        <v/>
      </c>
      <c r="J231" t="str">
        <f t="shared" si="27"/>
        <v>点击次数少于10次没有参考性</v>
      </c>
      <c r="K231" s="4" t="str">
        <f>IFERROR(INDEX(搜索词报告!$D$2:$D$22222,MATCH(关键词词频统计!A231,搜索词报告!$H$2:$H$22222,0)),"")</f>
        <v/>
      </c>
      <c r="M231">
        <f t="array" ref="M231">SUM(IF(搜索词报告!$H$2:$H$22222=L231,IF(搜索词报告!$A$2:$A$22222&gt;=$L$2,IF(搜索词报告!$A$2:$A$22222&lt;=$L$4,搜索词报告!$I$2:$I$22222,0),0),0))</f>
        <v>0</v>
      </c>
      <c r="N231">
        <f t="array" ref="N231">SUM(IF(搜索词报告!$H$2:$H$22222=L231,IF(搜索词报告!$A$2:$A$22222&gt;=$L$2,IF(搜索词报告!$A$2:$A$22222&lt;=$L$4,搜索词报告!$J$2:$J$22222,0),0),0))</f>
        <v>0</v>
      </c>
      <c r="O231" s="2">
        <f t="shared" si="28"/>
        <v>0</v>
      </c>
      <c r="P231" s="2">
        <f t="shared" si="29"/>
        <v>0</v>
      </c>
      <c r="Q231">
        <f t="array" ref="Q231">SUM(IF(搜索词报告!$H$2:$H$22222=L231,IF(搜索词报告!$A$2:$A$22222&gt;=$L$2,IF(搜索词报告!$A$2:$A$22222&lt;=$L$4,搜索词报告!$Q$2:$Q$22222,0),0),0))</f>
        <v>0</v>
      </c>
      <c r="R231">
        <f t="array" ref="R231">SUM(IF(搜索词报告!$H$2:$H$22222=L231,IF(搜索词报告!$A$2:$A$22222&gt;=$L$2,IF(搜索词报告!$A$2:$A$22222&lt;=$L$4,搜索词报告!$N$2:$N$22222,0),0),0))</f>
        <v>0</v>
      </c>
      <c r="S231">
        <f t="array" ref="S231">SUM(IF(搜索词报告!$H$2:$H$22222=L231,IF(搜索词报告!$A$2:$A$22222&gt;=$L$2,IF(搜索词报告!$A$2:$A$22222&lt;=$L$4,搜索词报告!$M$2:$M$22222,0),0),0))</f>
        <v>0</v>
      </c>
      <c r="T231" s="2" t="str">
        <f t="shared" si="30"/>
        <v/>
      </c>
      <c r="U231" t="str">
        <f t="shared" si="31"/>
        <v>点击次数少于10次没有参考性</v>
      </c>
      <c r="V231" s="4" t="str">
        <f>IFERROR(INDEX(搜索词报告!$D$2:$D$22222,MATCH(关键词词频统计!L231,搜索词报告!$H$2:$H$22222,0)),"")</f>
        <v/>
      </c>
    </row>
    <row r="232" spans="2:22" x14ac:dyDescent="0.15">
      <c r="B232">
        <f t="array" ref="B232">SUM(IF(搜索词报告!$H$2:$H$22222=A232,IF(搜索词报告!$A$2:$A$22222&gt;=关键词词频统计!$A$2,IF(搜索词报告!$A$2:$A$22222&lt;=关键词词频统计!$A$4,搜索词报告!$I$2:$I$22222,0),0),0))</f>
        <v>0</v>
      </c>
      <c r="C232">
        <f t="array" ref="C232">SUM(IF(搜索词报告!$H$2:$H$22222=A232,IF(搜索词报告!$A$2:$A$22222&gt;=关键词词频统计!$A$2,IF(搜索词报告!$A$2:$A$22222&lt;=关键词词频统计!$A$4,搜索词报告!$J$2:$J$22222,0),0),0))</f>
        <v>0</v>
      </c>
      <c r="D232" s="2">
        <f t="shared" si="24"/>
        <v>0</v>
      </c>
      <c r="E232" s="2">
        <f t="shared" si="25"/>
        <v>0</v>
      </c>
      <c r="F232">
        <f t="array" ref="F232">SUM(IF(搜索词报告!$H$2:$H$22222=A232,IF(搜索词报告!$A$2:$A$22222&gt;=关键词词频统计!$A$2,IF(搜索词报告!$A$2:$A$22222&lt;=关键词词频统计!$A$4,搜索词报告!$Q$2:$Q$22222,0),0),0))</f>
        <v>0</v>
      </c>
      <c r="G232">
        <f t="array" ref="G232">SUM(IF(搜索词报告!$H$2:$H$22222=A232,IF(搜索词报告!$A$2:$A$22222&gt;=关键词词频统计!$A$2,IF(搜索词报告!$A$2:$A$22222&lt;=关键词词频统计!$A$4,搜索词报告!$N$2:$N$22222,0),0),0))</f>
        <v>0</v>
      </c>
      <c r="H232">
        <f t="array" ref="H232">SUM(IF(搜索词报告!$H$2:$H$22222=A232,IF(搜索词报告!$A$2:$A$22222&gt;=关键词词频统计!$A$2,IF(搜索词报告!$A$2:$A$22222&lt;=关键词词频统计!$A$4,搜索词报告!$M$2:$M$22222,0),0),0))</f>
        <v>0</v>
      </c>
      <c r="I232" s="2" t="str">
        <f t="shared" si="26"/>
        <v/>
      </c>
      <c r="J232" t="str">
        <f t="shared" si="27"/>
        <v>点击次数少于10次没有参考性</v>
      </c>
      <c r="K232" s="4" t="str">
        <f>IFERROR(INDEX(搜索词报告!$D$2:$D$22222,MATCH(关键词词频统计!A232,搜索词报告!$H$2:$H$22222,0)),"")</f>
        <v/>
      </c>
      <c r="M232">
        <f t="array" ref="M232">SUM(IF(搜索词报告!$H$2:$H$22222=L232,IF(搜索词报告!$A$2:$A$22222&gt;=$L$2,IF(搜索词报告!$A$2:$A$22222&lt;=$L$4,搜索词报告!$I$2:$I$22222,0),0),0))</f>
        <v>0</v>
      </c>
      <c r="N232">
        <f t="array" ref="N232">SUM(IF(搜索词报告!$H$2:$H$22222=L232,IF(搜索词报告!$A$2:$A$22222&gt;=$L$2,IF(搜索词报告!$A$2:$A$22222&lt;=$L$4,搜索词报告!$J$2:$J$22222,0),0),0))</f>
        <v>0</v>
      </c>
      <c r="O232" s="2">
        <f t="shared" si="28"/>
        <v>0</v>
      </c>
      <c r="P232" s="2">
        <f t="shared" si="29"/>
        <v>0</v>
      </c>
      <c r="Q232">
        <f t="array" ref="Q232">SUM(IF(搜索词报告!$H$2:$H$22222=L232,IF(搜索词报告!$A$2:$A$22222&gt;=$L$2,IF(搜索词报告!$A$2:$A$22222&lt;=$L$4,搜索词报告!$Q$2:$Q$22222,0),0),0))</f>
        <v>0</v>
      </c>
      <c r="R232">
        <f t="array" ref="R232">SUM(IF(搜索词报告!$H$2:$H$22222=L232,IF(搜索词报告!$A$2:$A$22222&gt;=$L$2,IF(搜索词报告!$A$2:$A$22222&lt;=$L$4,搜索词报告!$N$2:$N$22222,0),0),0))</f>
        <v>0</v>
      </c>
      <c r="S232">
        <f t="array" ref="S232">SUM(IF(搜索词报告!$H$2:$H$22222=L232,IF(搜索词报告!$A$2:$A$22222&gt;=$L$2,IF(搜索词报告!$A$2:$A$22222&lt;=$L$4,搜索词报告!$M$2:$M$22222,0),0),0))</f>
        <v>0</v>
      </c>
      <c r="T232" s="2" t="str">
        <f t="shared" si="30"/>
        <v/>
      </c>
      <c r="U232" t="str">
        <f t="shared" si="31"/>
        <v>点击次数少于10次没有参考性</v>
      </c>
      <c r="V232" s="4" t="str">
        <f>IFERROR(INDEX(搜索词报告!$D$2:$D$22222,MATCH(关键词词频统计!L232,搜索词报告!$H$2:$H$22222,0)),"")</f>
        <v/>
      </c>
    </row>
    <row r="233" spans="2:22" x14ac:dyDescent="0.15">
      <c r="B233">
        <f t="array" ref="B233">SUM(IF(搜索词报告!$H$2:$H$22222=A233,IF(搜索词报告!$A$2:$A$22222&gt;=关键词词频统计!$A$2,IF(搜索词报告!$A$2:$A$22222&lt;=关键词词频统计!$A$4,搜索词报告!$I$2:$I$22222,0),0),0))</f>
        <v>0</v>
      </c>
      <c r="C233">
        <f t="array" ref="C233">SUM(IF(搜索词报告!$H$2:$H$22222=A233,IF(搜索词报告!$A$2:$A$22222&gt;=关键词词频统计!$A$2,IF(搜索词报告!$A$2:$A$22222&lt;=关键词词频统计!$A$4,搜索词报告!$J$2:$J$22222,0),0),0))</f>
        <v>0</v>
      </c>
      <c r="D233" s="2">
        <f t="shared" si="24"/>
        <v>0</v>
      </c>
      <c r="E233" s="2">
        <f t="shared" si="25"/>
        <v>0</v>
      </c>
      <c r="F233">
        <f t="array" ref="F233">SUM(IF(搜索词报告!$H$2:$H$22222=A233,IF(搜索词报告!$A$2:$A$22222&gt;=关键词词频统计!$A$2,IF(搜索词报告!$A$2:$A$22222&lt;=关键词词频统计!$A$4,搜索词报告!$Q$2:$Q$22222,0),0),0))</f>
        <v>0</v>
      </c>
      <c r="G233">
        <f t="array" ref="G233">SUM(IF(搜索词报告!$H$2:$H$22222=A233,IF(搜索词报告!$A$2:$A$22222&gt;=关键词词频统计!$A$2,IF(搜索词报告!$A$2:$A$22222&lt;=关键词词频统计!$A$4,搜索词报告!$N$2:$N$22222,0),0),0))</f>
        <v>0</v>
      </c>
      <c r="H233">
        <f t="array" ref="H233">SUM(IF(搜索词报告!$H$2:$H$22222=A233,IF(搜索词报告!$A$2:$A$22222&gt;=关键词词频统计!$A$2,IF(搜索词报告!$A$2:$A$22222&lt;=关键词词频统计!$A$4,搜索词报告!$M$2:$M$22222,0),0),0))</f>
        <v>0</v>
      </c>
      <c r="I233" s="2" t="str">
        <f t="shared" si="26"/>
        <v/>
      </c>
      <c r="J233" t="str">
        <f t="shared" si="27"/>
        <v>点击次数少于10次没有参考性</v>
      </c>
      <c r="K233" s="4" t="str">
        <f>IFERROR(INDEX(搜索词报告!$D$2:$D$22222,MATCH(关键词词频统计!A233,搜索词报告!$H$2:$H$22222,0)),"")</f>
        <v/>
      </c>
      <c r="M233">
        <f t="array" ref="M233">SUM(IF(搜索词报告!$H$2:$H$22222=L233,IF(搜索词报告!$A$2:$A$22222&gt;=$L$2,IF(搜索词报告!$A$2:$A$22222&lt;=$L$4,搜索词报告!$I$2:$I$22222,0),0),0))</f>
        <v>0</v>
      </c>
      <c r="N233">
        <f t="array" ref="N233">SUM(IF(搜索词报告!$H$2:$H$22222=L233,IF(搜索词报告!$A$2:$A$22222&gt;=$L$2,IF(搜索词报告!$A$2:$A$22222&lt;=$L$4,搜索词报告!$J$2:$J$22222,0),0),0))</f>
        <v>0</v>
      </c>
      <c r="O233" s="2">
        <f t="shared" si="28"/>
        <v>0</v>
      </c>
      <c r="P233" s="2">
        <f t="shared" si="29"/>
        <v>0</v>
      </c>
      <c r="Q233">
        <f t="array" ref="Q233">SUM(IF(搜索词报告!$H$2:$H$22222=L233,IF(搜索词报告!$A$2:$A$22222&gt;=$L$2,IF(搜索词报告!$A$2:$A$22222&lt;=$L$4,搜索词报告!$Q$2:$Q$22222,0),0),0))</f>
        <v>0</v>
      </c>
      <c r="R233">
        <f t="array" ref="R233">SUM(IF(搜索词报告!$H$2:$H$22222=L233,IF(搜索词报告!$A$2:$A$22222&gt;=$L$2,IF(搜索词报告!$A$2:$A$22222&lt;=$L$4,搜索词报告!$N$2:$N$22222,0),0),0))</f>
        <v>0</v>
      </c>
      <c r="S233">
        <f t="array" ref="S233">SUM(IF(搜索词报告!$H$2:$H$22222=L233,IF(搜索词报告!$A$2:$A$22222&gt;=$L$2,IF(搜索词报告!$A$2:$A$22222&lt;=$L$4,搜索词报告!$M$2:$M$22222,0),0),0))</f>
        <v>0</v>
      </c>
      <c r="T233" s="2" t="str">
        <f t="shared" si="30"/>
        <v/>
      </c>
      <c r="U233" t="str">
        <f t="shared" si="31"/>
        <v>点击次数少于10次没有参考性</v>
      </c>
      <c r="V233" s="4" t="str">
        <f>IFERROR(INDEX(搜索词报告!$D$2:$D$22222,MATCH(关键词词频统计!L233,搜索词报告!$H$2:$H$22222,0)),"")</f>
        <v/>
      </c>
    </row>
    <row r="234" spans="2:22" x14ac:dyDescent="0.15">
      <c r="B234">
        <f t="array" ref="B234">SUM(IF(搜索词报告!$H$2:$H$22222=A234,IF(搜索词报告!$A$2:$A$22222&gt;=关键词词频统计!$A$2,IF(搜索词报告!$A$2:$A$22222&lt;=关键词词频统计!$A$4,搜索词报告!$I$2:$I$22222,0),0),0))</f>
        <v>0</v>
      </c>
      <c r="C234">
        <f t="array" ref="C234">SUM(IF(搜索词报告!$H$2:$H$22222=A234,IF(搜索词报告!$A$2:$A$22222&gt;=关键词词频统计!$A$2,IF(搜索词报告!$A$2:$A$22222&lt;=关键词词频统计!$A$4,搜索词报告!$J$2:$J$22222,0),0),0))</f>
        <v>0</v>
      </c>
      <c r="D234" s="2">
        <f t="shared" si="24"/>
        <v>0</v>
      </c>
      <c r="E234" s="2">
        <f t="shared" si="25"/>
        <v>0</v>
      </c>
      <c r="F234">
        <f t="array" ref="F234">SUM(IF(搜索词报告!$H$2:$H$22222=A234,IF(搜索词报告!$A$2:$A$22222&gt;=关键词词频统计!$A$2,IF(搜索词报告!$A$2:$A$22222&lt;=关键词词频统计!$A$4,搜索词报告!$Q$2:$Q$22222,0),0),0))</f>
        <v>0</v>
      </c>
      <c r="G234">
        <f t="array" ref="G234">SUM(IF(搜索词报告!$H$2:$H$22222=A234,IF(搜索词报告!$A$2:$A$22222&gt;=关键词词频统计!$A$2,IF(搜索词报告!$A$2:$A$22222&lt;=关键词词频统计!$A$4,搜索词报告!$N$2:$N$22222,0),0),0))</f>
        <v>0</v>
      </c>
      <c r="H234">
        <f t="array" ref="H234">SUM(IF(搜索词报告!$H$2:$H$22222=A234,IF(搜索词报告!$A$2:$A$22222&gt;=关键词词频统计!$A$2,IF(搜索词报告!$A$2:$A$22222&lt;=关键词词频统计!$A$4,搜索词报告!$M$2:$M$22222,0),0),0))</f>
        <v>0</v>
      </c>
      <c r="I234" s="2" t="str">
        <f t="shared" si="26"/>
        <v/>
      </c>
      <c r="J234" t="str">
        <f t="shared" si="27"/>
        <v>点击次数少于10次没有参考性</v>
      </c>
      <c r="K234" s="4" t="str">
        <f>IFERROR(INDEX(搜索词报告!$D$2:$D$22222,MATCH(关键词词频统计!A234,搜索词报告!$H$2:$H$22222,0)),"")</f>
        <v/>
      </c>
      <c r="M234">
        <f t="array" ref="M234">SUM(IF(搜索词报告!$H$2:$H$22222=L234,IF(搜索词报告!$A$2:$A$22222&gt;=$L$2,IF(搜索词报告!$A$2:$A$22222&lt;=$L$4,搜索词报告!$I$2:$I$22222,0),0),0))</f>
        <v>0</v>
      </c>
      <c r="N234">
        <f t="array" ref="N234">SUM(IF(搜索词报告!$H$2:$H$22222=L234,IF(搜索词报告!$A$2:$A$22222&gt;=$L$2,IF(搜索词报告!$A$2:$A$22222&lt;=$L$4,搜索词报告!$J$2:$J$22222,0),0),0))</f>
        <v>0</v>
      </c>
      <c r="O234" s="2">
        <f t="shared" si="28"/>
        <v>0</v>
      </c>
      <c r="P234" s="2">
        <f t="shared" si="29"/>
        <v>0</v>
      </c>
      <c r="Q234">
        <f t="array" ref="Q234">SUM(IF(搜索词报告!$H$2:$H$22222=L234,IF(搜索词报告!$A$2:$A$22222&gt;=$L$2,IF(搜索词报告!$A$2:$A$22222&lt;=$L$4,搜索词报告!$Q$2:$Q$22222,0),0),0))</f>
        <v>0</v>
      </c>
      <c r="R234">
        <f t="array" ref="R234">SUM(IF(搜索词报告!$H$2:$H$22222=L234,IF(搜索词报告!$A$2:$A$22222&gt;=$L$2,IF(搜索词报告!$A$2:$A$22222&lt;=$L$4,搜索词报告!$N$2:$N$22222,0),0),0))</f>
        <v>0</v>
      </c>
      <c r="S234">
        <f t="array" ref="S234">SUM(IF(搜索词报告!$H$2:$H$22222=L234,IF(搜索词报告!$A$2:$A$22222&gt;=$L$2,IF(搜索词报告!$A$2:$A$22222&lt;=$L$4,搜索词报告!$M$2:$M$22222,0),0),0))</f>
        <v>0</v>
      </c>
      <c r="T234" s="2" t="str">
        <f t="shared" si="30"/>
        <v/>
      </c>
      <c r="U234" t="str">
        <f t="shared" si="31"/>
        <v>点击次数少于10次没有参考性</v>
      </c>
      <c r="V234" s="4" t="str">
        <f>IFERROR(INDEX(搜索词报告!$D$2:$D$22222,MATCH(关键词词频统计!L234,搜索词报告!$H$2:$H$22222,0)),"")</f>
        <v/>
      </c>
    </row>
    <row r="235" spans="2:22" x14ac:dyDescent="0.15">
      <c r="B235">
        <f t="array" ref="B235">SUM(IF(搜索词报告!$H$2:$H$22222=A235,IF(搜索词报告!$A$2:$A$22222&gt;=关键词词频统计!$A$2,IF(搜索词报告!$A$2:$A$22222&lt;=关键词词频统计!$A$4,搜索词报告!$I$2:$I$22222,0),0),0))</f>
        <v>0</v>
      </c>
      <c r="C235">
        <f t="array" ref="C235">SUM(IF(搜索词报告!$H$2:$H$22222=A235,IF(搜索词报告!$A$2:$A$22222&gt;=关键词词频统计!$A$2,IF(搜索词报告!$A$2:$A$22222&lt;=关键词词频统计!$A$4,搜索词报告!$J$2:$J$22222,0),0),0))</f>
        <v>0</v>
      </c>
      <c r="D235" s="2">
        <f t="shared" si="24"/>
        <v>0</v>
      </c>
      <c r="E235" s="2">
        <f t="shared" si="25"/>
        <v>0</v>
      </c>
      <c r="F235">
        <f t="array" ref="F235">SUM(IF(搜索词报告!$H$2:$H$22222=A235,IF(搜索词报告!$A$2:$A$22222&gt;=关键词词频统计!$A$2,IF(搜索词报告!$A$2:$A$22222&lt;=关键词词频统计!$A$4,搜索词报告!$Q$2:$Q$22222,0),0),0))</f>
        <v>0</v>
      </c>
      <c r="G235">
        <f t="array" ref="G235">SUM(IF(搜索词报告!$H$2:$H$22222=A235,IF(搜索词报告!$A$2:$A$22222&gt;=关键词词频统计!$A$2,IF(搜索词报告!$A$2:$A$22222&lt;=关键词词频统计!$A$4,搜索词报告!$N$2:$N$22222,0),0),0))</f>
        <v>0</v>
      </c>
      <c r="H235">
        <f t="array" ref="H235">SUM(IF(搜索词报告!$H$2:$H$22222=A235,IF(搜索词报告!$A$2:$A$22222&gt;=关键词词频统计!$A$2,IF(搜索词报告!$A$2:$A$22222&lt;=关键词词频统计!$A$4,搜索词报告!$M$2:$M$22222,0),0),0))</f>
        <v>0</v>
      </c>
      <c r="I235" s="2" t="str">
        <f t="shared" si="26"/>
        <v/>
      </c>
      <c r="J235" t="str">
        <f t="shared" si="27"/>
        <v>点击次数少于10次没有参考性</v>
      </c>
      <c r="K235" s="4" t="str">
        <f>IFERROR(INDEX(搜索词报告!$D$2:$D$22222,MATCH(关键词词频统计!A235,搜索词报告!$H$2:$H$22222,0)),"")</f>
        <v/>
      </c>
      <c r="M235">
        <f t="array" ref="M235">SUM(IF(搜索词报告!$H$2:$H$22222=L235,IF(搜索词报告!$A$2:$A$22222&gt;=$L$2,IF(搜索词报告!$A$2:$A$22222&lt;=$L$4,搜索词报告!$I$2:$I$22222,0),0),0))</f>
        <v>0</v>
      </c>
      <c r="N235">
        <f t="array" ref="N235">SUM(IF(搜索词报告!$H$2:$H$22222=L235,IF(搜索词报告!$A$2:$A$22222&gt;=$L$2,IF(搜索词报告!$A$2:$A$22222&lt;=$L$4,搜索词报告!$J$2:$J$22222,0),0),0))</f>
        <v>0</v>
      </c>
      <c r="O235" s="2">
        <f t="shared" si="28"/>
        <v>0</v>
      </c>
      <c r="P235" s="2">
        <f t="shared" si="29"/>
        <v>0</v>
      </c>
      <c r="Q235">
        <f t="array" ref="Q235">SUM(IF(搜索词报告!$H$2:$H$22222=L235,IF(搜索词报告!$A$2:$A$22222&gt;=$L$2,IF(搜索词报告!$A$2:$A$22222&lt;=$L$4,搜索词报告!$Q$2:$Q$22222,0),0),0))</f>
        <v>0</v>
      </c>
      <c r="R235">
        <f t="array" ref="R235">SUM(IF(搜索词报告!$H$2:$H$22222=L235,IF(搜索词报告!$A$2:$A$22222&gt;=$L$2,IF(搜索词报告!$A$2:$A$22222&lt;=$L$4,搜索词报告!$N$2:$N$22222,0),0),0))</f>
        <v>0</v>
      </c>
      <c r="S235">
        <f t="array" ref="S235">SUM(IF(搜索词报告!$H$2:$H$22222=L235,IF(搜索词报告!$A$2:$A$22222&gt;=$L$2,IF(搜索词报告!$A$2:$A$22222&lt;=$L$4,搜索词报告!$M$2:$M$22222,0),0),0))</f>
        <v>0</v>
      </c>
      <c r="T235" s="2" t="str">
        <f t="shared" si="30"/>
        <v/>
      </c>
      <c r="U235" t="str">
        <f t="shared" si="31"/>
        <v>点击次数少于10次没有参考性</v>
      </c>
      <c r="V235" s="4" t="str">
        <f>IFERROR(INDEX(搜索词报告!$D$2:$D$22222,MATCH(关键词词频统计!L235,搜索词报告!$H$2:$H$22222,0)),"")</f>
        <v/>
      </c>
    </row>
    <row r="236" spans="2:22" x14ac:dyDescent="0.15">
      <c r="B236">
        <f t="array" ref="B236">SUM(IF(搜索词报告!$H$2:$H$22222=A236,IF(搜索词报告!$A$2:$A$22222&gt;=关键词词频统计!$A$2,IF(搜索词报告!$A$2:$A$22222&lt;=关键词词频统计!$A$4,搜索词报告!$I$2:$I$22222,0),0),0))</f>
        <v>0</v>
      </c>
      <c r="C236">
        <f t="array" ref="C236">SUM(IF(搜索词报告!$H$2:$H$22222=A236,IF(搜索词报告!$A$2:$A$22222&gt;=关键词词频统计!$A$2,IF(搜索词报告!$A$2:$A$22222&lt;=关键词词频统计!$A$4,搜索词报告!$J$2:$J$22222,0),0),0))</f>
        <v>0</v>
      </c>
      <c r="D236" s="2">
        <f t="shared" si="24"/>
        <v>0</v>
      </c>
      <c r="E236" s="2">
        <f t="shared" si="25"/>
        <v>0</v>
      </c>
      <c r="F236">
        <f t="array" ref="F236">SUM(IF(搜索词报告!$H$2:$H$22222=A236,IF(搜索词报告!$A$2:$A$22222&gt;=关键词词频统计!$A$2,IF(搜索词报告!$A$2:$A$22222&lt;=关键词词频统计!$A$4,搜索词报告!$Q$2:$Q$22222,0),0),0))</f>
        <v>0</v>
      </c>
      <c r="G236">
        <f t="array" ref="G236">SUM(IF(搜索词报告!$H$2:$H$22222=A236,IF(搜索词报告!$A$2:$A$22222&gt;=关键词词频统计!$A$2,IF(搜索词报告!$A$2:$A$22222&lt;=关键词词频统计!$A$4,搜索词报告!$N$2:$N$22222,0),0),0))</f>
        <v>0</v>
      </c>
      <c r="H236">
        <f t="array" ref="H236">SUM(IF(搜索词报告!$H$2:$H$22222=A236,IF(搜索词报告!$A$2:$A$22222&gt;=关键词词频统计!$A$2,IF(搜索词报告!$A$2:$A$22222&lt;=关键词词频统计!$A$4,搜索词报告!$M$2:$M$22222,0),0),0))</f>
        <v>0</v>
      </c>
      <c r="I236" s="2" t="str">
        <f t="shared" si="26"/>
        <v/>
      </c>
      <c r="J236" t="str">
        <f t="shared" si="27"/>
        <v>点击次数少于10次没有参考性</v>
      </c>
      <c r="K236" s="4" t="str">
        <f>IFERROR(INDEX(搜索词报告!$D$2:$D$22222,MATCH(关键词词频统计!A236,搜索词报告!$H$2:$H$22222,0)),"")</f>
        <v/>
      </c>
      <c r="M236">
        <f t="array" ref="M236">SUM(IF(搜索词报告!$H$2:$H$22222=L236,IF(搜索词报告!$A$2:$A$22222&gt;=$L$2,IF(搜索词报告!$A$2:$A$22222&lt;=$L$4,搜索词报告!$I$2:$I$22222,0),0),0))</f>
        <v>0</v>
      </c>
      <c r="N236">
        <f t="array" ref="N236">SUM(IF(搜索词报告!$H$2:$H$22222=L236,IF(搜索词报告!$A$2:$A$22222&gt;=$L$2,IF(搜索词报告!$A$2:$A$22222&lt;=$L$4,搜索词报告!$J$2:$J$22222,0),0),0))</f>
        <v>0</v>
      </c>
      <c r="O236" s="2">
        <f t="shared" si="28"/>
        <v>0</v>
      </c>
      <c r="P236" s="2">
        <f t="shared" si="29"/>
        <v>0</v>
      </c>
      <c r="Q236">
        <f t="array" ref="Q236">SUM(IF(搜索词报告!$H$2:$H$22222=L236,IF(搜索词报告!$A$2:$A$22222&gt;=$L$2,IF(搜索词报告!$A$2:$A$22222&lt;=$L$4,搜索词报告!$Q$2:$Q$22222,0),0),0))</f>
        <v>0</v>
      </c>
      <c r="R236">
        <f t="array" ref="R236">SUM(IF(搜索词报告!$H$2:$H$22222=L236,IF(搜索词报告!$A$2:$A$22222&gt;=$L$2,IF(搜索词报告!$A$2:$A$22222&lt;=$L$4,搜索词报告!$N$2:$N$22222,0),0),0))</f>
        <v>0</v>
      </c>
      <c r="S236">
        <f t="array" ref="S236">SUM(IF(搜索词报告!$H$2:$H$22222=L236,IF(搜索词报告!$A$2:$A$22222&gt;=$L$2,IF(搜索词报告!$A$2:$A$22222&lt;=$L$4,搜索词报告!$M$2:$M$22222,0),0),0))</f>
        <v>0</v>
      </c>
      <c r="T236" s="2" t="str">
        <f t="shared" si="30"/>
        <v/>
      </c>
      <c r="U236" t="str">
        <f t="shared" si="31"/>
        <v>点击次数少于10次没有参考性</v>
      </c>
      <c r="V236" s="4" t="str">
        <f>IFERROR(INDEX(搜索词报告!$D$2:$D$22222,MATCH(关键词词频统计!L236,搜索词报告!$H$2:$H$22222,0)),"")</f>
        <v/>
      </c>
    </row>
    <row r="237" spans="2:22" x14ac:dyDescent="0.15">
      <c r="B237">
        <f t="array" ref="B237">SUM(IF(搜索词报告!$H$2:$H$22222=A237,IF(搜索词报告!$A$2:$A$22222&gt;=关键词词频统计!$A$2,IF(搜索词报告!$A$2:$A$22222&lt;=关键词词频统计!$A$4,搜索词报告!$I$2:$I$22222,0),0),0))</f>
        <v>0</v>
      </c>
      <c r="C237">
        <f t="array" ref="C237">SUM(IF(搜索词报告!$H$2:$H$22222=A237,IF(搜索词报告!$A$2:$A$22222&gt;=关键词词频统计!$A$2,IF(搜索词报告!$A$2:$A$22222&lt;=关键词词频统计!$A$4,搜索词报告!$J$2:$J$22222,0),0),0))</f>
        <v>0</v>
      </c>
      <c r="D237" s="2">
        <f t="shared" si="24"/>
        <v>0</v>
      </c>
      <c r="E237" s="2">
        <f t="shared" si="25"/>
        <v>0</v>
      </c>
      <c r="F237">
        <f t="array" ref="F237">SUM(IF(搜索词报告!$H$2:$H$22222=A237,IF(搜索词报告!$A$2:$A$22222&gt;=关键词词频统计!$A$2,IF(搜索词报告!$A$2:$A$22222&lt;=关键词词频统计!$A$4,搜索词报告!$Q$2:$Q$22222,0),0),0))</f>
        <v>0</v>
      </c>
      <c r="G237">
        <f t="array" ref="G237">SUM(IF(搜索词报告!$H$2:$H$22222=A237,IF(搜索词报告!$A$2:$A$22222&gt;=关键词词频统计!$A$2,IF(搜索词报告!$A$2:$A$22222&lt;=关键词词频统计!$A$4,搜索词报告!$N$2:$N$22222,0),0),0))</f>
        <v>0</v>
      </c>
      <c r="H237">
        <f t="array" ref="H237">SUM(IF(搜索词报告!$H$2:$H$22222=A237,IF(搜索词报告!$A$2:$A$22222&gt;=关键词词频统计!$A$2,IF(搜索词报告!$A$2:$A$22222&lt;=关键词词频统计!$A$4,搜索词报告!$M$2:$M$22222,0),0),0))</f>
        <v>0</v>
      </c>
      <c r="I237" s="2" t="str">
        <f t="shared" si="26"/>
        <v/>
      </c>
      <c r="J237" t="str">
        <f t="shared" si="27"/>
        <v>点击次数少于10次没有参考性</v>
      </c>
      <c r="K237" s="4" t="str">
        <f>IFERROR(INDEX(搜索词报告!$D$2:$D$22222,MATCH(关键词词频统计!A237,搜索词报告!$H$2:$H$22222,0)),"")</f>
        <v/>
      </c>
      <c r="M237">
        <f t="array" ref="M237">SUM(IF(搜索词报告!$H$2:$H$22222=L237,IF(搜索词报告!$A$2:$A$22222&gt;=$L$2,IF(搜索词报告!$A$2:$A$22222&lt;=$L$4,搜索词报告!$I$2:$I$22222,0),0),0))</f>
        <v>0</v>
      </c>
      <c r="N237">
        <f t="array" ref="N237">SUM(IF(搜索词报告!$H$2:$H$22222=L237,IF(搜索词报告!$A$2:$A$22222&gt;=$L$2,IF(搜索词报告!$A$2:$A$22222&lt;=$L$4,搜索词报告!$J$2:$J$22222,0),0),0))</f>
        <v>0</v>
      </c>
      <c r="O237" s="2">
        <f t="shared" si="28"/>
        <v>0</v>
      </c>
      <c r="P237" s="2">
        <f t="shared" si="29"/>
        <v>0</v>
      </c>
      <c r="Q237">
        <f t="array" ref="Q237">SUM(IF(搜索词报告!$H$2:$H$22222=L237,IF(搜索词报告!$A$2:$A$22222&gt;=$L$2,IF(搜索词报告!$A$2:$A$22222&lt;=$L$4,搜索词报告!$Q$2:$Q$22222,0),0),0))</f>
        <v>0</v>
      </c>
      <c r="R237">
        <f t="array" ref="R237">SUM(IF(搜索词报告!$H$2:$H$22222=L237,IF(搜索词报告!$A$2:$A$22222&gt;=$L$2,IF(搜索词报告!$A$2:$A$22222&lt;=$L$4,搜索词报告!$N$2:$N$22222,0),0),0))</f>
        <v>0</v>
      </c>
      <c r="S237">
        <f t="array" ref="S237">SUM(IF(搜索词报告!$H$2:$H$22222=L237,IF(搜索词报告!$A$2:$A$22222&gt;=$L$2,IF(搜索词报告!$A$2:$A$22222&lt;=$L$4,搜索词报告!$M$2:$M$22222,0),0),0))</f>
        <v>0</v>
      </c>
      <c r="T237" s="2" t="str">
        <f t="shared" si="30"/>
        <v/>
      </c>
      <c r="U237" t="str">
        <f t="shared" si="31"/>
        <v>点击次数少于10次没有参考性</v>
      </c>
      <c r="V237" s="4" t="str">
        <f>IFERROR(INDEX(搜索词报告!$D$2:$D$22222,MATCH(关键词词频统计!L237,搜索词报告!$H$2:$H$22222,0)),"")</f>
        <v/>
      </c>
    </row>
    <row r="238" spans="2:22" x14ac:dyDescent="0.15">
      <c r="B238">
        <f t="array" ref="B238">SUM(IF(搜索词报告!$H$2:$H$22222=A238,IF(搜索词报告!$A$2:$A$22222&gt;=关键词词频统计!$A$2,IF(搜索词报告!$A$2:$A$22222&lt;=关键词词频统计!$A$4,搜索词报告!$I$2:$I$22222,0),0),0))</f>
        <v>0</v>
      </c>
      <c r="C238">
        <f t="array" ref="C238">SUM(IF(搜索词报告!$H$2:$H$22222=A238,IF(搜索词报告!$A$2:$A$22222&gt;=关键词词频统计!$A$2,IF(搜索词报告!$A$2:$A$22222&lt;=关键词词频统计!$A$4,搜索词报告!$J$2:$J$22222,0),0),0))</f>
        <v>0</v>
      </c>
      <c r="D238" s="2">
        <f t="shared" si="24"/>
        <v>0</v>
      </c>
      <c r="E238" s="2">
        <f t="shared" si="25"/>
        <v>0</v>
      </c>
      <c r="F238">
        <f t="array" ref="F238">SUM(IF(搜索词报告!$H$2:$H$22222=A238,IF(搜索词报告!$A$2:$A$22222&gt;=关键词词频统计!$A$2,IF(搜索词报告!$A$2:$A$22222&lt;=关键词词频统计!$A$4,搜索词报告!$Q$2:$Q$22222,0),0),0))</f>
        <v>0</v>
      </c>
      <c r="G238">
        <f t="array" ref="G238">SUM(IF(搜索词报告!$H$2:$H$22222=A238,IF(搜索词报告!$A$2:$A$22222&gt;=关键词词频统计!$A$2,IF(搜索词报告!$A$2:$A$22222&lt;=关键词词频统计!$A$4,搜索词报告!$N$2:$N$22222,0),0),0))</f>
        <v>0</v>
      </c>
      <c r="H238">
        <f t="array" ref="H238">SUM(IF(搜索词报告!$H$2:$H$22222=A238,IF(搜索词报告!$A$2:$A$22222&gt;=关键词词频统计!$A$2,IF(搜索词报告!$A$2:$A$22222&lt;=关键词词频统计!$A$4,搜索词报告!$M$2:$M$22222,0),0),0))</f>
        <v>0</v>
      </c>
      <c r="I238" s="2" t="str">
        <f t="shared" si="26"/>
        <v/>
      </c>
      <c r="J238" t="str">
        <f t="shared" si="27"/>
        <v>点击次数少于10次没有参考性</v>
      </c>
      <c r="K238" s="4" t="str">
        <f>IFERROR(INDEX(搜索词报告!$D$2:$D$22222,MATCH(关键词词频统计!A238,搜索词报告!$H$2:$H$22222,0)),"")</f>
        <v/>
      </c>
      <c r="M238">
        <f t="array" ref="M238">SUM(IF(搜索词报告!$H$2:$H$22222=L238,IF(搜索词报告!$A$2:$A$22222&gt;=$L$2,IF(搜索词报告!$A$2:$A$22222&lt;=$L$4,搜索词报告!$I$2:$I$22222,0),0),0))</f>
        <v>0</v>
      </c>
      <c r="N238">
        <f t="array" ref="N238">SUM(IF(搜索词报告!$H$2:$H$22222=L238,IF(搜索词报告!$A$2:$A$22222&gt;=$L$2,IF(搜索词报告!$A$2:$A$22222&lt;=$L$4,搜索词报告!$J$2:$J$22222,0),0),0))</f>
        <v>0</v>
      </c>
      <c r="O238" s="2">
        <f t="shared" si="28"/>
        <v>0</v>
      </c>
      <c r="P238" s="2">
        <f t="shared" si="29"/>
        <v>0</v>
      </c>
      <c r="Q238">
        <f t="array" ref="Q238">SUM(IF(搜索词报告!$H$2:$H$22222=L238,IF(搜索词报告!$A$2:$A$22222&gt;=$L$2,IF(搜索词报告!$A$2:$A$22222&lt;=$L$4,搜索词报告!$Q$2:$Q$22222,0),0),0))</f>
        <v>0</v>
      </c>
      <c r="R238">
        <f t="array" ref="R238">SUM(IF(搜索词报告!$H$2:$H$22222=L238,IF(搜索词报告!$A$2:$A$22222&gt;=$L$2,IF(搜索词报告!$A$2:$A$22222&lt;=$L$4,搜索词报告!$N$2:$N$22222,0),0),0))</f>
        <v>0</v>
      </c>
      <c r="S238">
        <f t="array" ref="S238">SUM(IF(搜索词报告!$H$2:$H$22222=L238,IF(搜索词报告!$A$2:$A$22222&gt;=$L$2,IF(搜索词报告!$A$2:$A$22222&lt;=$L$4,搜索词报告!$M$2:$M$22222,0),0),0))</f>
        <v>0</v>
      </c>
      <c r="T238" s="2" t="str">
        <f t="shared" si="30"/>
        <v/>
      </c>
      <c r="U238" t="str">
        <f t="shared" si="31"/>
        <v>点击次数少于10次没有参考性</v>
      </c>
      <c r="V238" s="4" t="str">
        <f>IFERROR(INDEX(搜索词报告!$D$2:$D$22222,MATCH(关键词词频统计!L238,搜索词报告!$H$2:$H$22222,0)),"")</f>
        <v/>
      </c>
    </row>
    <row r="239" spans="2:22" x14ac:dyDescent="0.15">
      <c r="B239">
        <f t="array" ref="B239">SUM(IF(搜索词报告!$H$2:$H$22222=A239,IF(搜索词报告!$A$2:$A$22222&gt;=关键词词频统计!$A$2,IF(搜索词报告!$A$2:$A$22222&lt;=关键词词频统计!$A$4,搜索词报告!$I$2:$I$22222,0),0),0))</f>
        <v>0</v>
      </c>
      <c r="C239">
        <f t="array" ref="C239">SUM(IF(搜索词报告!$H$2:$H$22222=A239,IF(搜索词报告!$A$2:$A$22222&gt;=关键词词频统计!$A$2,IF(搜索词报告!$A$2:$A$22222&lt;=关键词词频统计!$A$4,搜索词报告!$J$2:$J$22222,0),0),0))</f>
        <v>0</v>
      </c>
      <c r="D239" s="2">
        <f t="shared" si="24"/>
        <v>0</v>
      </c>
      <c r="E239" s="2">
        <f t="shared" si="25"/>
        <v>0</v>
      </c>
      <c r="F239">
        <f t="array" ref="F239">SUM(IF(搜索词报告!$H$2:$H$22222=A239,IF(搜索词报告!$A$2:$A$22222&gt;=关键词词频统计!$A$2,IF(搜索词报告!$A$2:$A$22222&lt;=关键词词频统计!$A$4,搜索词报告!$Q$2:$Q$22222,0),0),0))</f>
        <v>0</v>
      </c>
      <c r="G239">
        <f t="array" ref="G239">SUM(IF(搜索词报告!$H$2:$H$22222=A239,IF(搜索词报告!$A$2:$A$22222&gt;=关键词词频统计!$A$2,IF(搜索词报告!$A$2:$A$22222&lt;=关键词词频统计!$A$4,搜索词报告!$N$2:$N$22222,0),0),0))</f>
        <v>0</v>
      </c>
      <c r="H239">
        <f t="array" ref="H239">SUM(IF(搜索词报告!$H$2:$H$22222=A239,IF(搜索词报告!$A$2:$A$22222&gt;=关键词词频统计!$A$2,IF(搜索词报告!$A$2:$A$22222&lt;=关键词词频统计!$A$4,搜索词报告!$M$2:$M$22222,0),0),0))</f>
        <v>0</v>
      </c>
      <c r="I239" s="2" t="str">
        <f t="shared" si="26"/>
        <v/>
      </c>
      <c r="J239" t="str">
        <f t="shared" si="27"/>
        <v>点击次数少于10次没有参考性</v>
      </c>
      <c r="K239" s="4" t="str">
        <f>IFERROR(INDEX(搜索词报告!$D$2:$D$22222,MATCH(关键词词频统计!A239,搜索词报告!$H$2:$H$22222,0)),"")</f>
        <v/>
      </c>
      <c r="M239">
        <f t="array" ref="M239">SUM(IF(搜索词报告!$H$2:$H$22222=L239,IF(搜索词报告!$A$2:$A$22222&gt;=$L$2,IF(搜索词报告!$A$2:$A$22222&lt;=$L$4,搜索词报告!$I$2:$I$22222,0),0),0))</f>
        <v>0</v>
      </c>
      <c r="N239">
        <f t="array" ref="N239">SUM(IF(搜索词报告!$H$2:$H$22222=L239,IF(搜索词报告!$A$2:$A$22222&gt;=$L$2,IF(搜索词报告!$A$2:$A$22222&lt;=$L$4,搜索词报告!$J$2:$J$22222,0),0),0))</f>
        <v>0</v>
      </c>
      <c r="O239" s="2">
        <f t="shared" si="28"/>
        <v>0</v>
      </c>
      <c r="P239" s="2">
        <f t="shared" si="29"/>
        <v>0</v>
      </c>
      <c r="Q239">
        <f t="array" ref="Q239">SUM(IF(搜索词报告!$H$2:$H$22222=L239,IF(搜索词报告!$A$2:$A$22222&gt;=$L$2,IF(搜索词报告!$A$2:$A$22222&lt;=$L$4,搜索词报告!$Q$2:$Q$22222,0),0),0))</f>
        <v>0</v>
      </c>
      <c r="R239">
        <f t="array" ref="R239">SUM(IF(搜索词报告!$H$2:$H$22222=L239,IF(搜索词报告!$A$2:$A$22222&gt;=$L$2,IF(搜索词报告!$A$2:$A$22222&lt;=$L$4,搜索词报告!$N$2:$N$22222,0),0),0))</f>
        <v>0</v>
      </c>
      <c r="S239">
        <f t="array" ref="S239">SUM(IF(搜索词报告!$H$2:$H$22222=L239,IF(搜索词报告!$A$2:$A$22222&gt;=$L$2,IF(搜索词报告!$A$2:$A$22222&lt;=$L$4,搜索词报告!$M$2:$M$22222,0),0),0))</f>
        <v>0</v>
      </c>
      <c r="T239" s="2" t="str">
        <f t="shared" si="30"/>
        <v/>
      </c>
      <c r="U239" t="str">
        <f t="shared" si="31"/>
        <v>点击次数少于10次没有参考性</v>
      </c>
      <c r="V239" s="4" t="str">
        <f>IFERROR(INDEX(搜索词报告!$D$2:$D$22222,MATCH(关键词词频统计!L239,搜索词报告!$H$2:$H$22222,0)),"")</f>
        <v/>
      </c>
    </row>
    <row r="240" spans="2:22" x14ac:dyDescent="0.15">
      <c r="B240">
        <f t="array" ref="B240">SUM(IF(搜索词报告!$H$2:$H$22222=A240,IF(搜索词报告!$A$2:$A$22222&gt;=关键词词频统计!$A$2,IF(搜索词报告!$A$2:$A$22222&lt;=关键词词频统计!$A$4,搜索词报告!$I$2:$I$22222,0),0),0))</f>
        <v>0</v>
      </c>
      <c r="C240">
        <f t="array" ref="C240">SUM(IF(搜索词报告!$H$2:$H$22222=A240,IF(搜索词报告!$A$2:$A$22222&gt;=关键词词频统计!$A$2,IF(搜索词报告!$A$2:$A$22222&lt;=关键词词频统计!$A$4,搜索词报告!$J$2:$J$22222,0),0),0))</f>
        <v>0</v>
      </c>
      <c r="D240" s="2">
        <f t="shared" si="24"/>
        <v>0</v>
      </c>
      <c r="E240" s="2">
        <f t="shared" si="25"/>
        <v>0</v>
      </c>
      <c r="F240">
        <f t="array" ref="F240">SUM(IF(搜索词报告!$H$2:$H$22222=A240,IF(搜索词报告!$A$2:$A$22222&gt;=关键词词频统计!$A$2,IF(搜索词报告!$A$2:$A$22222&lt;=关键词词频统计!$A$4,搜索词报告!$Q$2:$Q$22222,0),0),0))</f>
        <v>0</v>
      </c>
      <c r="G240">
        <f t="array" ref="G240">SUM(IF(搜索词报告!$H$2:$H$22222=A240,IF(搜索词报告!$A$2:$A$22222&gt;=关键词词频统计!$A$2,IF(搜索词报告!$A$2:$A$22222&lt;=关键词词频统计!$A$4,搜索词报告!$N$2:$N$22222,0),0),0))</f>
        <v>0</v>
      </c>
      <c r="H240">
        <f t="array" ref="H240">SUM(IF(搜索词报告!$H$2:$H$22222=A240,IF(搜索词报告!$A$2:$A$22222&gt;=关键词词频统计!$A$2,IF(搜索词报告!$A$2:$A$22222&lt;=关键词词频统计!$A$4,搜索词报告!$M$2:$M$22222,0),0),0))</f>
        <v>0</v>
      </c>
      <c r="I240" s="2" t="str">
        <f t="shared" si="26"/>
        <v/>
      </c>
      <c r="J240" t="str">
        <f t="shared" si="27"/>
        <v>点击次数少于10次没有参考性</v>
      </c>
      <c r="K240" s="4" t="str">
        <f>IFERROR(INDEX(搜索词报告!$D$2:$D$22222,MATCH(关键词词频统计!A240,搜索词报告!$H$2:$H$22222,0)),"")</f>
        <v/>
      </c>
      <c r="M240">
        <f t="array" ref="M240">SUM(IF(搜索词报告!$H$2:$H$22222=L240,IF(搜索词报告!$A$2:$A$22222&gt;=$L$2,IF(搜索词报告!$A$2:$A$22222&lt;=$L$4,搜索词报告!$I$2:$I$22222,0),0),0))</f>
        <v>0</v>
      </c>
      <c r="N240">
        <f t="array" ref="N240">SUM(IF(搜索词报告!$H$2:$H$22222=L240,IF(搜索词报告!$A$2:$A$22222&gt;=$L$2,IF(搜索词报告!$A$2:$A$22222&lt;=$L$4,搜索词报告!$J$2:$J$22222,0),0),0))</f>
        <v>0</v>
      </c>
      <c r="O240" s="2">
        <f t="shared" si="28"/>
        <v>0</v>
      </c>
      <c r="P240" s="2">
        <f t="shared" si="29"/>
        <v>0</v>
      </c>
      <c r="Q240">
        <f t="array" ref="Q240">SUM(IF(搜索词报告!$H$2:$H$22222=L240,IF(搜索词报告!$A$2:$A$22222&gt;=$L$2,IF(搜索词报告!$A$2:$A$22222&lt;=$L$4,搜索词报告!$Q$2:$Q$22222,0),0),0))</f>
        <v>0</v>
      </c>
      <c r="R240">
        <f t="array" ref="R240">SUM(IF(搜索词报告!$H$2:$H$22222=L240,IF(搜索词报告!$A$2:$A$22222&gt;=$L$2,IF(搜索词报告!$A$2:$A$22222&lt;=$L$4,搜索词报告!$N$2:$N$22222,0),0),0))</f>
        <v>0</v>
      </c>
      <c r="S240">
        <f t="array" ref="S240">SUM(IF(搜索词报告!$H$2:$H$22222=L240,IF(搜索词报告!$A$2:$A$22222&gt;=$L$2,IF(搜索词报告!$A$2:$A$22222&lt;=$L$4,搜索词报告!$M$2:$M$22222,0),0),0))</f>
        <v>0</v>
      </c>
      <c r="T240" s="2" t="str">
        <f t="shared" si="30"/>
        <v/>
      </c>
      <c r="U240" t="str">
        <f t="shared" si="31"/>
        <v>点击次数少于10次没有参考性</v>
      </c>
      <c r="V240" s="4" t="str">
        <f>IFERROR(INDEX(搜索词报告!$D$2:$D$22222,MATCH(关键词词频统计!L240,搜索词报告!$H$2:$H$22222,0)),"")</f>
        <v/>
      </c>
    </row>
    <row r="241" spans="2:22" x14ac:dyDescent="0.15">
      <c r="B241">
        <f t="array" ref="B241">SUM(IF(搜索词报告!$H$2:$H$22222=A241,IF(搜索词报告!$A$2:$A$22222&gt;=关键词词频统计!$A$2,IF(搜索词报告!$A$2:$A$22222&lt;=关键词词频统计!$A$4,搜索词报告!$I$2:$I$22222,0),0),0))</f>
        <v>0</v>
      </c>
      <c r="C241">
        <f t="array" ref="C241">SUM(IF(搜索词报告!$H$2:$H$22222=A241,IF(搜索词报告!$A$2:$A$22222&gt;=关键词词频统计!$A$2,IF(搜索词报告!$A$2:$A$22222&lt;=关键词词频统计!$A$4,搜索词报告!$J$2:$J$22222,0),0),0))</f>
        <v>0</v>
      </c>
      <c r="D241" s="2">
        <f t="shared" si="24"/>
        <v>0</v>
      </c>
      <c r="E241" s="2">
        <f t="shared" si="25"/>
        <v>0</v>
      </c>
      <c r="F241">
        <f t="array" ref="F241">SUM(IF(搜索词报告!$H$2:$H$22222=A241,IF(搜索词报告!$A$2:$A$22222&gt;=关键词词频统计!$A$2,IF(搜索词报告!$A$2:$A$22222&lt;=关键词词频统计!$A$4,搜索词报告!$Q$2:$Q$22222,0),0),0))</f>
        <v>0</v>
      </c>
      <c r="G241">
        <f t="array" ref="G241">SUM(IF(搜索词报告!$H$2:$H$22222=A241,IF(搜索词报告!$A$2:$A$22222&gt;=关键词词频统计!$A$2,IF(搜索词报告!$A$2:$A$22222&lt;=关键词词频统计!$A$4,搜索词报告!$N$2:$N$22222,0),0),0))</f>
        <v>0</v>
      </c>
      <c r="H241">
        <f t="array" ref="H241">SUM(IF(搜索词报告!$H$2:$H$22222=A241,IF(搜索词报告!$A$2:$A$22222&gt;=关键词词频统计!$A$2,IF(搜索词报告!$A$2:$A$22222&lt;=关键词词频统计!$A$4,搜索词报告!$M$2:$M$22222,0),0),0))</f>
        <v>0</v>
      </c>
      <c r="I241" s="2" t="str">
        <f t="shared" si="26"/>
        <v/>
      </c>
      <c r="J241" t="str">
        <f t="shared" si="27"/>
        <v>点击次数少于10次没有参考性</v>
      </c>
      <c r="K241" s="4" t="str">
        <f>IFERROR(INDEX(搜索词报告!$D$2:$D$22222,MATCH(关键词词频统计!A241,搜索词报告!$H$2:$H$22222,0)),"")</f>
        <v/>
      </c>
      <c r="M241">
        <f t="array" ref="M241">SUM(IF(搜索词报告!$H$2:$H$22222=L241,IF(搜索词报告!$A$2:$A$22222&gt;=$L$2,IF(搜索词报告!$A$2:$A$22222&lt;=$L$4,搜索词报告!$I$2:$I$22222,0),0),0))</f>
        <v>0</v>
      </c>
      <c r="N241">
        <f t="array" ref="N241">SUM(IF(搜索词报告!$H$2:$H$22222=L241,IF(搜索词报告!$A$2:$A$22222&gt;=$L$2,IF(搜索词报告!$A$2:$A$22222&lt;=$L$4,搜索词报告!$J$2:$J$22222,0),0),0))</f>
        <v>0</v>
      </c>
      <c r="O241" s="2">
        <f t="shared" si="28"/>
        <v>0</v>
      </c>
      <c r="P241" s="2">
        <f t="shared" si="29"/>
        <v>0</v>
      </c>
      <c r="Q241">
        <f t="array" ref="Q241">SUM(IF(搜索词报告!$H$2:$H$22222=L241,IF(搜索词报告!$A$2:$A$22222&gt;=$L$2,IF(搜索词报告!$A$2:$A$22222&lt;=$L$4,搜索词报告!$Q$2:$Q$22222,0),0),0))</f>
        <v>0</v>
      </c>
      <c r="R241">
        <f t="array" ref="R241">SUM(IF(搜索词报告!$H$2:$H$22222=L241,IF(搜索词报告!$A$2:$A$22222&gt;=$L$2,IF(搜索词报告!$A$2:$A$22222&lt;=$L$4,搜索词报告!$N$2:$N$22222,0),0),0))</f>
        <v>0</v>
      </c>
      <c r="S241">
        <f t="array" ref="S241">SUM(IF(搜索词报告!$H$2:$H$22222=L241,IF(搜索词报告!$A$2:$A$22222&gt;=$L$2,IF(搜索词报告!$A$2:$A$22222&lt;=$L$4,搜索词报告!$M$2:$M$22222,0),0),0))</f>
        <v>0</v>
      </c>
      <c r="T241" s="2" t="str">
        <f t="shared" si="30"/>
        <v/>
      </c>
      <c r="U241" t="str">
        <f t="shared" si="31"/>
        <v>点击次数少于10次没有参考性</v>
      </c>
      <c r="V241" s="4" t="str">
        <f>IFERROR(INDEX(搜索词报告!$D$2:$D$22222,MATCH(关键词词频统计!L241,搜索词报告!$H$2:$H$22222,0)),"")</f>
        <v/>
      </c>
    </row>
    <row r="242" spans="2:22" x14ac:dyDescent="0.15">
      <c r="B242">
        <f t="array" ref="B242">SUM(IF(搜索词报告!$H$2:$H$22222=A242,IF(搜索词报告!$A$2:$A$22222&gt;=关键词词频统计!$A$2,IF(搜索词报告!$A$2:$A$22222&lt;=关键词词频统计!$A$4,搜索词报告!$I$2:$I$22222,0),0),0))</f>
        <v>0</v>
      </c>
      <c r="C242">
        <f t="array" ref="C242">SUM(IF(搜索词报告!$H$2:$H$22222=A242,IF(搜索词报告!$A$2:$A$22222&gt;=关键词词频统计!$A$2,IF(搜索词报告!$A$2:$A$22222&lt;=关键词词频统计!$A$4,搜索词报告!$J$2:$J$22222,0),0),0))</f>
        <v>0</v>
      </c>
      <c r="D242" s="2">
        <f t="shared" si="24"/>
        <v>0</v>
      </c>
      <c r="E242" s="2">
        <f t="shared" si="25"/>
        <v>0</v>
      </c>
      <c r="F242">
        <f t="array" ref="F242">SUM(IF(搜索词报告!$H$2:$H$22222=A242,IF(搜索词报告!$A$2:$A$22222&gt;=关键词词频统计!$A$2,IF(搜索词报告!$A$2:$A$22222&lt;=关键词词频统计!$A$4,搜索词报告!$Q$2:$Q$22222,0),0),0))</f>
        <v>0</v>
      </c>
      <c r="G242">
        <f t="array" ref="G242">SUM(IF(搜索词报告!$H$2:$H$22222=A242,IF(搜索词报告!$A$2:$A$22222&gt;=关键词词频统计!$A$2,IF(搜索词报告!$A$2:$A$22222&lt;=关键词词频统计!$A$4,搜索词报告!$N$2:$N$22222,0),0),0))</f>
        <v>0</v>
      </c>
      <c r="H242">
        <f t="array" ref="H242">SUM(IF(搜索词报告!$H$2:$H$22222=A242,IF(搜索词报告!$A$2:$A$22222&gt;=关键词词频统计!$A$2,IF(搜索词报告!$A$2:$A$22222&lt;=关键词词频统计!$A$4,搜索词报告!$M$2:$M$22222,0),0),0))</f>
        <v>0</v>
      </c>
      <c r="I242" s="2" t="str">
        <f t="shared" si="26"/>
        <v/>
      </c>
      <c r="J242" t="str">
        <f t="shared" si="27"/>
        <v>点击次数少于10次没有参考性</v>
      </c>
      <c r="K242" s="4" t="str">
        <f>IFERROR(INDEX(搜索词报告!$D$2:$D$22222,MATCH(关键词词频统计!A242,搜索词报告!$H$2:$H$22222,0)),"")</f>
        <v/>
      </c>
      <c r="M242">
        <f t="array" ref="M242">SUM(IF(搜索词报告!$H$2:$H$22222=L242,IF(搜索词报告!$A$2:$A$22222&gt;=$L$2,IF(搜索词报告!$A$2:$A$22222&lt;=$L$4,搜索词报告!$I$2:$I$22222,0),0),0))</f>
        <v>0</v>
      </c>
      <c r="N242">
        <f t="array" ref="N242">SUM(IF(搜索词报告!$H$2:$H$22222=L242,IF(搜索词报告!$A$2:$A$22222&gt;=$L$2,IF(搜索词报告!$A$2:$A$22222&lt;=$L$4,搜索词报告!$J$2:$J$22222,0),0),0))</f>
        <v>0</v>
      </c>
      <c r="O242" s="2">
        <f t="shared" si="28"/>
        <v>0</v>
      </c>
      <c r="P242" s="2">
        <f t="shared" si="29"/>
        <v>0</v>
      </c>
      <c r="Q242">
        <f t="array" ref="Q242">SUM(IF(搜索词报告!$H$2:$H$22222=L242,IF(搜索词报告!$A$2:$A$22222&gt;=$L$2,IF(搜索词报告!$A$2:$A$22222&lt;=$L$4,搜索词报告!$Q$2:$Q$22222,0),0),0))</f>
        <v>0</v>
      </c>
      <c r="R242">
        <f t="array" ref="R242">SUM(IF(搜索词报告!$H$2:$H$22222=L242,IF(搜索词报告!$A$2:$A$22222&gt;=$L$2,IF(搜索词报告!$A$2:$A$22222&lt;=$L$4,搜索词报告!$N$2:$N$22222,0),0),0))</f>
        <v>0</v>
      </c>
      <c r="S242">
        <f t="array" ref="S242">SUM(IF(搜索词报告!$H$2:$H$22222=L242,IF(搜索词报告!$A$2:$A$22222&gt;=$L$2,IF(搜索词报告!$A$2:$A$22222&lt;=$L$4,搜索词报告!$M$2:$M$22222,0),0),0))</f>
        <v>0</v>
      </c>
      <c r="T242" s="2" t="str">
        <f t="shared" si="30"/>
        <v/>
      </c>
      <c r="U242" t="str">
        <f t="shared" si="31"/>
        <v>点击次数少于10次没有参考性</v>
      </c>
      <c r="V242" s="4" t="str">
        <f>IFERROR(INDEX(搜索词报告!$D$2:$D$22222,MATCH(关键词词频统计!L242,搜索词报告!$H$2:$H$22222,0)),"")</f>
        <v/>
      </c>
    </row>
    <row r="243" spans="2:22" x14ac:dyDescent="0.15">
      <c r="B243">
        <f t="array" ref="B243">SUM(IF(搜索词报告!$H$2:$H$22222=A243,IF(搜索词报告!$A$2:$A$22222&gt;=关键词词频统计!$A$2,IF(搜索词报告!$A$2:$A$22222&lt;=关键词词频统计!$A$4,搜索词报告!$I$2:$I$22222,0),0),0))</f>
        <v>0</v>
      </c>
      <c r="C243">
        <f t="array" ref="C243">SUM(IF(搜索词报告!$H$2:$H$22222=A243,IF(搜索词报告!$A$2:$A$22222&gt;=关键词词频统计!$A$2,IF(搜索词报告!$A$2:$A$22222&lt;=关键词词频统计!$A$4,搜索词报告!$J$2:$J$22222,0),0),0))</f>
        <v>0</v>
      </c>
      <c r="D243" s="2">
        <f t="shared" si="24"/>
        <v>0</v>
      </c>
      <c r="E243" s="2">
        <f t="shared" si="25"/>
        <v>0</v>
      </c>
      <c r="F243">
        <f t="array" ref="F243">SUM(IF(搜索词报告!$H$2:$H$22222=A243,IF(搜索词报告!$A$2:$A$22222&gt;=关键词词频统计!$A$2,IF(搜索词报告!$A$2:$A$22222&lt;=关键词词频统计!$A$4,搜索词报告!$Q$2:$Q$22222,0),0),0))</f>
        <v>0</v>
      </c>
      <c r="G243">
        <f t="array" ref="G243">SUM(IF(搜索词报告!$H$2:$H$22222=A243,IF(搜索词报告!$A$2:$A$22222&gt;=关键词词频统计!$A$2,IF(搜索词报告!$A$2:$A$22222&lt;=关键词词频统计!$A$4,搜索词报告!$N$2:$N$22222,0),0),0))</f>
        <v>0</v>
      </c>
      <c r="H243">
        <f t="array" ref="H243">SUM(IF(搜索词报告!$H$2:$H$22222=A243,IF(搜索词报告!$A$2:$A$22222&gt;=关键词词频统计!$A$2,IF(搜索词报告!$A$2:$A$22222&lt;=关键词词频统计!$A$4,搜索词报告!$M$2:$M$22222,0),0),0))</f>
        <v>0</v>
      </c>
      <c r="I243" s="2" t="str">
        <f t="shared" si="26"/>
        <v/>
      </c>
      <c r="J243" t="str">
        <f t="shared" si="27"/>
        <v>点击次数少于10次没有参考性</v>
      </c>
      <c r="K243" s="4" t="str">
        <f>IFERROR(INDEX(搜索词报告!$D$2:$D$22222,MATCH(关键词词频统计!A243,搜索词报告!$H$2:$H$22222,0)),"")</f>
        <v/>
      </c>
      <c r="M243">
        <f t="array" ref="M243">SUM(IF(搜索词报告!$H$2:$H$22222=L243,IF(搜索词报告!$A$2:$A$22222&gt;=$L$2,IF(搜索词报告!$A$2:$A$22222&lt;=$L$4,搜索词报告!$I$2:$I$22222,0),0),0))</f>
        <v>0</v>
      </c>
      <c r="N243">
        <f t="array" ref="N243">SUM(IF(搜索词报告!$H$2:$H$22222=L243,IF(搜索词报告!$A$2:$A$22222&gt;=$L$2,IF(搜索词报告!$A$2:$A$22222&lt;=$L$4,搜索词报告!$J$2:$J$22222,0),0),0))</f>
        <v>0</v>
      </c>
      <c r="O243" s="2">
        <f t="shared" si="28"/>
        <v>0</v>
      </c>
      <c r="P243" s="2">
        <f t="shared" si="29"/>
        <v>0</v>
      </c>
      <c r="Q243">
        <f t="array" ref="Q243">SUM(IF(搜索词报告!$H$2:$H$22222=L243,IF(搜索词报告!$A$2:$A$22222&gt;=$L$2,IF(搜索词报告!$A$2:$A$22222&lt;=$L$4,搜索词报告!$Q$2:$Q$22222,0),0),0))</f>
        <v>0</v>
      </c>
      <c r="R243">
        <f t="array" ref="R243">SUM(IF(搜索词报告!$H$2:$H$22222=L243,IF(搜索词报告!$A$2:$A$22222&gt;=$L$2,IF(搜索词报告!$A$2:$A$22222&lt;=$L$4,搜索词报告!$N$2:$N$22222,0),0),0))</f>
        <v>0</v>
      </c>
      <c r="S243">
        <f t="array" ref="S243">SUM(IF(搜索词报告!$H$2:$H$22222=L243,IF(搜索词报告!$A$2:$A$22222&gt;=$L$2,IF(搜索词报告!$A$2:$A$22222&lt;=$L$4,搜索词报告!$M$2:$M$22222,0),0),0))</f>
        <v>0</v>
      </c>
      <c r="T243" s="2" t="str">
        <f t="shared" si="30"/>
        <v/>
      </c>
      <c r="U243" t="str">
        <f t="shared" si="31"/>
        <v>点击次数少于10次没有参考性</v>
      </c>
      <c r="V243" s="4" t="str">
        <f>IFERROR(INDEX(搜索词报告!$D$2:$D$22222,MATCH(关键词词频统计!L243,搜索词报告!$H$2:$H$22222,0)),"")</f>
        <v/>
      </c>
    </row>
    <row r="244" spans="2:22" x14ac:dyDescent="0.15">
      <c r="B244">
        <f t="array" ref="B244">SUM(IF(搜索词报告!$H$2:$H$22222=A244,IF(搜索词报告!$A$2:$A$22222&gt;=关键词词频统计!$A$2,IF(搜索词报告!$A$2:$A$22222&lt;=关键词词频统计!$A$4,搜索词报告!$I$2:$I$22222,0),0),0))</f>
        <v>0</v>
      </c>
      <c r="C244">
        <f t="array" ref="C244">SUM(IF(搜索词报告!$H$2:$H$22222=A244,IF(搜索词报告!$A$2:$A$22222&gt;=关键词词频统计!$A$2,IF(搜索词报告!$A$2:$A$22222&lt;=关键词词频统计!$A$4,搜索词报告!$J$2:$J$22222,0),0),0))</f>
        <v>0</v>
      </c>
      <c r="D244" s="2">
        <f t="shared" si="24"/>
        <v>0</v>
      </c>
      <c r="E244" s="2">
        <f t="shared" si="25"/>
        <v>0</v>
      </c>
      <c r="F244">
        <f t="array" ref="F244">SUM(IF(搜索词报告!$H$2:$H$22222=A244,IF(搜索词报告!$A$2:$A$22222&gt;=关键词词频统计!$A$2,IF(搜索词报告!$A$2:$A$22222&lt;=关键词词频统计!$A$4,搜索词报告!$Q$2:$Q$22222,0),0),0))</f>
        <v>0</v>
      </c>
      <c r="G244">
        <f t="array" ref="G244">SUM(IF(搜索词报告!$H$2:$H$22222=A244,IF(搜索词报告!$A$2:$A$22222&gt;=关键词词频统计!$A$2,IF(搜索词报告!$A$2:$A$22222&lt;=关键词词频统计!$A$4,搜索词报告!$N$2:$N$22222,0),0),0))</f>
        <v>0</v>
      </c>
      <c r="H244">
        <f t="array" ref="H244">SUM(IF(搜索词报告!$H$2:$H$22222=A244,IF(搜索词报告!$A$2:$A$22222&gt;=关键词词频统计!$A$2,IF(搜索词报告!$A$2:$A$22222&lt;=关键词词频统计!$A$4,搜索词报告!$M$2:$M$22222,0),0),0))</f>
        <v>0</v>
      </c>
      <c r="I244" s="2" t="str">
        <f t="shared" si="26"/>
        <v/>
      </c>
      <c r="J244" t="str">
        <f t="shared" si="27"/>
        <v>点击次数少于10次没有参考性</v>
      </c>
      <c r="K244" s="4" t="str">
        <f>IFERROR(INDEX(搜索词报告!$D$2:$D$22222,MATCH(关键词词频统计!A244,搜索词报告!$H$2:$H$22222,0)),"")</f>
        <v/>
      </c>
      <c r="M244">
        <f t="array" ref="M244">SUM(IF(搜索词报告!$H$2:$H$22222=L244,IF(搜索词报告!$A$2:$A$22222&gt;=$L$2,IF(搜索词报告!$A$2:$A$22222&lt;=$L$4,搜索词报告!$I$2:$I$22222,0),0),0))</f>
        <v>0</v>
      </c>
      <c r="N244">
        <f t="array" ref="N244">SUM(IF(搜索词报告!$H$2:$H$22222=L244,IF(搜索词报告!$A$2:$A$22222&gt;=$L$2,IF(搜索词报告!$A$2:$A$22222&lt;=$L$4,搜索词报告!$J$2:$J$22222,0),0),0))</f>
        <v>0</v>
      </c>
      <c r="O244" s="2">
        <f t="shared" si="28"/>
        <v>0</v>
      </c>
      <c r="P244" s="2">
        <f t="shared" si="29"/>
        <v>0</v>
      </c>
      <c r="Q244">
        <f t="array" ref="Q244">SUM(IF(搜索词报告!$H$2:$H$22222=L244,IF(搜索词报告!$A$2:$A$22222&gt;=$L$2,IF(搜索词报告!$A$2:$A$22222&lt;=$L$4,搜索词报告!$Q$2:$Q$22222,0),0),0))</f>
        <v>0</v>
      </c>
      <c r="R244">
        <f t="array" ref="R244">SUM(IF(搜索词报告!$H$2:$H$22222=L244,IF(搜索词报告!$A$2:$A$22222&gt;=$L$2,IF(搜索词报告!$A$2:$A$22222&lt;=$L$4,搜索词报告!$N$2:$N$22222,0),0),0))</f>
        <v>0</v>
      </c>
      <c r="S244">
        <f t="array" ref="S244">SUM(IF(搜索词报告!$H$2:$H$22222=L244,IF(搜索词报告!$A$2:$A$22222&gt;=$L$2,IF(搜索词报告!$A$2:$A$22222&lt;=$L$4,搜索词报告!$M$2:$M$22222,0),0),0))</f>
        <v>0</v>
      </c>
      <c r="T244" s="2" t="str">
        <f t="shared" si="30"/>
        <v/>
      </c>
      <c r="U244" t="str">
        <f t="shared" si="31"/>
        <v>点击次数少于10次没有参考性</v>
      </c>
      <c r="V244" s="4" t="str">
        <f>IFERROR(INDEX(搜索词报告!$D$2:$D$22222,MATCH(关键词词频统计!L244,搜索词报告!$H$2:$H$22222,0)),"")</f>
        <v/>
      </c>
    </row>
    <row r="245" spans="2:22" x14ac:dyDescent="0.15">
      <c r="B245">
        <f t="array" ref="B245">SUM(IF(搜索词报告!$H$2:$H$22222=A245,IF(搜索词报告!$A$2:$A$22222&gt;=关键词词频统计!$A$2,IF(搜索词报告!$A$2:$A$22222&lt;=关键词词频统计!$A$4,搜索词报告!$I$2:$I$22222,0),0),0))</f>
        <v>0</v>
      </c>
      <c r="C245">
        <f t="array" ref="C245">SUM(IF(搜索词报告!$H$2:$H$22222=A245,IF(搜索词报告!$A$2:$A$22222&gt;=关键词词频统计!$A$2,IF(搜索词报告!$A$2:$A$22222&lt;=关键词词频统计!$A$4,搜索词报告!$J$2:$J$22222,0),0),0))</f>
        <v>0</v>
      </c>
      <c r="D245" s="2">
        <f t="shared" si="24"/>
        <v>0</v>
      </c>
      <c r="E245" s="2">
        <f t="shared" si="25"/>
        <v>0</v>
      </c>
      <c r="F245">
        <f t="array" ref="F245">SUM(IF(搜索词报告!$H$2:$H$22222=A245,IF(搜索词报告!$A$2:$A$22222&gt;=关键词词频统计!$A$2,IF(搜索词报告!$A$2:$A$22222&lt;=关键词词频统计!$A$4,搜索词报告!$Q$2:$Q$22222,0),0),0))</f>
        <v>0</v>
      </c>
      <c r="G245">
        <f t="array" ref="G245">SUM(IF(搜索词报告!$H$2:$H$22222=A245,IF(搜索词报告!$A$2:$A$22222&gt;=关键词词频统计!$A$2,IF(搜索词报告!$A$2:$A$22222&lt;=关键词词频统计!$A$4,搜索词报告!$N$2:$N$22222,0),0),0))</f>
        <v>0</v>
      </c>
      <c r="H245">
        <f t="array" ref="H245">SUM(IF(搜索词报告!$H$2:$H$22222=A245,IF(搜索词报告!$A$2:$A$22222&gt;=关键词词频统计!$A$2,IF(搜索词报告!$A$2:$A$22222&lt;=关键词词频统计!$A$4,搜索词报告!$M$2:$M$22222,0),0),0))</f>
        <v>0</v>
      </c>
      <c r="I245" s="2" t="str">
        <f t="shared" si="26"/>
        <v/>
      </c>
      <c r="J245" t="str">
        <f t="shared" si="27"/>
        <v>点击次数少于10次没有参考性</v>
      </c>
      <c r="K245" s="4" t="str">
        <f>IFERROR(INDEX(搜索词报告!$D$2:$D$22222,MATCH(关键词词频统计!A245,搜索词报告!$H$2:$H$22222,0)),"")</f>
        <v/>
      </c>
      <c r="M245">
        <f t="array" ref="M245">SUM(IF(搜索词报告!$H$2:$H$22222=L245,IF(搜索词报告!$A$2:$A$22222&gt;=$L$2,IF(搜索词报告!$A$2:$A$22222&lt;=$L$4,搜索词报告!$I$2:$I$22222,0),0),0))</f>
        <v>0</v>
      </c>
      <c r="N245">
        <f t="array" ref="N245">SUM(IF(搜索词报告!$H$2:$H$22222=L245,IF(搜索词报告!$A$2:$A$22222&gt;=$L$2,IF(搜索词报告!$A$2:$A$22222&lt;=$L$4,搜索词报告!$J$2:$J$22222,0),0),0))</f>
        <v>0</v>
      </c>
      <c r="O245" s="2">
        <f t="shared" si="28"/>
        <v>0</v>
      </c>
      <c r="P245" s="2">
        <f t="shared" si="29"/>
        <v>0</v>
      </c>
      <c r="Q245">
        <f t="array" ref="Q245">SUM(IF(搜索词报告!$H$2:$H$22222=L245,IF(搜索词报告!$A$2:$A$22222&gt;=$L$2,IF(搜索词报告!$A$2:$A$22222&lt;=$L$4,搜索词报告!$Q$2:$Q$22222,0),0),0))</f>
        <v>0</v>
      </c>
      <c r="R245">
        <f t="array" ref="R245">SUM(IF(搜索词报告!$H$2:$H$22222=L245,IF(搜索词报告!$A$2:$A$22222&gt;=$L$2,IF(搜索词报告!$A$2:$A$22222&lt;=$L$4,搜索词报告!$N$2:$N$22222,0),0),0))</f>
        <v>0</v>
      </c>
      <c r="S245">
        <f t="array" ref="S245">SUM(IF(搜索词报告!$H$2:$H$22222=L245,IF(搜索词报告!$A$2:$A$22222&gt;=$L$2,IF(搜索词报告!$A$2:$A$22222&lt;=$L$4,搜索词报告!$M$2:$M$22222,0),0),0))</f>
        <v>0</v>
      </c>
      <c r="T245" s="2" t="str">
        <f t="shared" si="30"/>
        <v/>
      </c>
      <c r="U245" t="str">
        <f t="shared" si="31"/>
        <v>点击次数少于10次没有参考性</v>
      </c>
      <c r="V245" s="4" t="str">
        <f>IFERROR(INDEX(搜索词报告!$D$2:$D$22222,MATCH(关键词词频统计!L245,搜索词报告!$H$2:$H$22222,0)),"")</f>
        <v/>
      </c>
    </row>
    <row r="246" spans="2:22" x14ac:dyDescent="0.15">
      <c r="B246">
        <f t="array" ref="B246">SUM(IF(搜索词报告!$H$2:$H$22222=A246,IF(搜索词报告!$A$2:$A$22222&gt;=关键词词频统计!$A$2,IF(搜索词报告!$A$2:$A$22222&lt;=关键词词频统计!$A$4,搜索词报告!$I$2:$I$22222,0),0),0))</f>
        <v>0</v>
      </c>
      <c r="C246">
        <f t="array" ref="C246">SUM(IF(搜索词报告!$H$2:$H$22222=A246,IF(搜索词报告!$A$2:$A$22222&gt;=关键词词频统计!$A$2,IF(搜索词报告!$A$2:$A$22222&lt;=关键词词频统计!$A$4,搜索词报告!$J$2:$J$22222,0),0),0))</f>
        <v>0</v>
      </c>
      <c r="D246" s="2">
        <f t="shared" si="24"/>
        <v>0</v>
      </c>
      <c r="E246" s="2">
        <f t="shared" si="25"/>
        <v>0</v>
      </c>
      <c r="F246">
        <f t="array" ref="F246">SUM(IF(搜索词报告!$H$2:$H$22222=A246,IF(搜索词报告!$A$2:$A$22222&gt;=关键词词频统计!$A$2,IF(搜索词报告!$A$2:$A$22222&lt;=关键词词频统计!$A$4,搜索词报告!$Q$2:$Q$22222,0),0),0))</f>
        <v>0</v>
      </c>
      <c r="G246">
        <f t="array" ref="G246">SUM(IF(搜索词报告!$H$2:$H$22222=A246,IF(搜索词报告!$A$2:$A$22222&gt;=关键词词频统计!$A$2,IF(搜索词报告!$A$2:$A$22222&lt;=关键词词频统计!$A$4,搜索词报告!$N$2:$N$22222,0),0),0))</f>
        <v>0</v>
      </c>
      <c r="H246">
        <f t="array" ref="H246">SUM(IF(搜索词报告!$H$2:$H$22222=A246,IF(搜索词报告!$A$2:$A$22222&gt;=关键词词频统计!$A$2,IF(搜索词报告!$A$2:$A$22222&lt;=关键词词频统计!$A$4,搜索词报告!$M$2:$M$22222,0),0),0))</f>
        <v>0</v>
      </c>
      <c r="I246" s="2" t="str">
        <f t="shared" si="26"/>
        <v/>
      </c>
      <c r="J246" t="str">
        <f t="shared" si="27"/>
        <v>点击次数少于10次没有参考性</v>
      </c>
      <c r="K246" s="4" t="str">
        <f>IFERROR(INDEX(搜索词报告!$D$2:$D$22222,MATCH(关键词词频统计!A246,搜索词报告!$H$2:$H$22222,0)),"")</f>
        <v/>
      </c>
      <c r="M246">
        <f t="array" ref="M246">SUM(IF(搜索词报告!$H$2:$H$22222=L246,IF(搜索词报告!$A$2:$A$22222&gt;=$L$2,IF(搜索词报告!$A$2:$A$22222&lt;=$L$4,搜索词报告!$I$2:$I$22222,0),0),0))</f>
        <v>0</v>
      </c>
      <c r="N246">
        <f t="array" ref="N246">SUM(IF(搜索词报告!$H$2:$H$22222=L246,IF(搜索词报告!$A$2:$A$22222&gt;=$L$2,IF(搜索词报告!$A$2:$A$22222&lt;=$L$4,搜索词报告!$J$2:$J$22222,0),0),0))</f>
        <v>0</v>
      </c>
      <c r="O246" s="2">
        <f t="shared" si="28"/>
        <v>0</v>
      </c>
      <c r="P246" s="2">
        <f t="shared" si="29"/>
        <v>0</v>
      </c>
      <c r="Q246">
        <f t="array" ref="Q246">SUM(IF(搜索词报告!$H$2:$H$22222=L246,IF(搜索词报告!$A$2:$A$22222&gt;=$L$2,IF(搜索词报告!$A$2:$A$22222&lt;=$L$4,搜索词报告!$Q$2:$Q$22222,0),0),0))</f>
        <v>0</v>
      </c>
      <c r="R246">
        <f t="array" ref="R246">SUM(IF(搜索词报告!$H$2:$H$22222=L246,IF(搜索词报告!$A$2:$A$22222&gt;=$L$2,IF(搜索词报告!$A$2:$A$22222&lt;=$L$4,搜索词报告!$N$2:$N$22222,0),0),0))</f>
        <v>0</v>
      </c>
      <c r="S246">
        <f t="array" ref="S246">SUM(IF(搜索词报告!$H$2:$H$22222=L246,IF(搜索词报告!$A$2:$A$22222&gt;=$L$2,IF(搜索词报告!$A$2:$A$22222&lt;=$L$4,搜索词报告!$M$2:$M$22222,0),0),0))</f>
        <v>0</v>
      </c>
      <c r="T246" s="2" t="str">
        <f t="shared" si="30"/>
        <v/>
      </c>
      <c r="U246" t="str">
        <f t="shared" si="31"/>
        <v>点击次数少于10次没有参考性</v>
      </c>
      <c r="V246" s="4" t="str">
        <f>IFERROR(INDEX(搜索词报告!$D$2:$D$22222,MATCH(关键词词频统计!L246,搜索词报告!$H$2:$H$22222,0)),"")</f>
        <v/>
      </c>
    </row>
    <row r="247" spans="2:22" x14ac:dyDescent="0.15">
      <c r="B247">
        <f t="array" ref="B247">SUM(IF(搜索词报告!$H$2:$H$22222=A247,IF(搜索词报告!$A$2:$A$22222&gt;=关键词词频统计!$A$2,IF(搜索词报告!$A$2:$A$22222&lt;=关键词词频统计!$A$4,搜索词报告!$I$2:$I$22222,0),0),0))</f>
        <v>0</v>
      </c>
      <c r="C247">
        <f t="array" ref="C247">SUM(IF(搜索词报告!$H$2:$H$22222=A247,IF(搜索词报告!$A$2:$A$22222&gt;=关键词词频统计!$A$2,IF(搜索词报告!$A$2:$A$22222&lt;=关键词词频统计!$A$4,搜索词报告!$J$2:$J$22222,0),0),0))</f>
        <v>0</v>
      </c>
      <c r="D247" s="2">
        <f t="shared" si="24"/>
        <v>0</v>
      </c>
      <c r="E247" s="2">
        <f t="shared" si="25"/>
        <v>0</v>
      </c>
      <c r="F247">
        <f t="array" ref="F247">SUM(IF(搜索词报告!$H$2:$H$22222=A247,IF(搜索词报告!$A$2:$A$22222&gt;=关键词词频统计!$A$2,IF(搜索词报告!$A$2:$A$22222&lt;=关键词词频统计!$A$4,搜索词报告!$Q$2:$Q$22222,0),0),0))</f>
        <v>0</v>
      </c>
      <c r="G247">
        <f t="array" ref="G247">SUM(IF(搜索词报告!$H$2:$H$22222=A247,IF(搜索词报告!$A$2:$A$22222&gt;=关键词词频统计!$A$2,IF(搜索词报告!$A$2:$A$22222&lt;=关键词词频统计!$A$4,搜索词报告!$N$2:$N$22222,0),0),0))</f>
        <v>0</v>
      </c>
      <c r="H247">
        <f t="array" ref="H247">SUM(IF(搜索词报告!$H$2:$H$22222=A247,IF(搜索词报告!$A$2:$A$22222&gt;=关键词词频统计!$A$2,IF(搜索词报告!$A$2:$A$22222&lt;=关键词词频统计!$A$4,搜索词报告!$M$2:$M$22222,0),0),0))</f>
        <v>0</v>
      </c>
      <c r="I247" s="2" t="str">
        <f t="shared" si="26"/>
        <v/>
      </c>
      <c r="J247" t="str">
        <f t="shared" si="27"/>
        <v>点击次数少于10次没有参考性</v>
      </c>
      <c r="K247" s="4" t="str">
        <f>IFERROR(INDEX(搜索词报告!$D$2:$D$22222,MATCH(关键词词频统计!A247,搜索词报告!$H$2:$H$22222,0)),"")</f>
        <v/>
      </c>
      <c r="M247">
        <f t="array" ref="M247">SUM(IF(搜索词报告!$H$2:$H$22222=L247,IF(搜索词报告!$A$2:$A$22222&gt;=$L$2,IF(搜索词报告!$A$2:$A$22222&lt;=$L$4,搜索词报告!$I$2:$I$22222,0),0),0))</f>
        <v>0</v>
      </c>
      <c r="N247">
        <f t="array" ref="N247">SUM(IF(搜索词报告!$H$2:$H$22222=L247,IF(搜索词报告!$A$2:$A$22222&gt;=$L$2,IF(搜索词报告!$A$2:$A$22222&lt;=$L$4,搜索词报告!$J$2:$J$22222,0),0),0))</f>
        <v>0</v>
      </c>
      <c r="O247" s="2">
        <f t="shared" si="28"/>
        <v>0</v>
      </c>
      <c r="P247" s="2">
        <f t="shared" si="29"/>
        <v>0</v>
      </c>
      <c r="Q247">
        <f t="array" ref="Q247">SUM(IF(搜索词报告!$H$2:$H$22222=L247,IF(搜索词报告!$A$2:$A$22222&gt;=$L$2,IF(搜索词报告!$A$2:$A$22222&lt;=$L$4,搜索词报告!$Q$2:$Q$22222,0),0),0))</f>
        <v>0</v>
      </c>
      <c r="R247">
        <f t="array" ref="R247">SUM(IF(搜索词报告!$H$2:$H$22222=L247,IF(搜索词报告!$A$2:$A$22222&gt;=$L$2,IF(搜索词报告!$A$2:$A$22222&lt;=$L$4,搜索词报告!$N$2:$N$22222,0),0),0))</f>
        <v>0</v>
      </c>
      <c r="S247">
        <f t="array" ref="S247">SUM(IF(搜索词报告!$H$2:$H$22222=L247,IF(搜索词报告!$A$2:$A$22222&gt;=$L$2,IF(搜索词报告!$A$2:$A$22222&lt;=$L$4,搜索词报告!$M$2:$M$22222,0),0),0))</f>
        <v>0</v>
      </c>
      <c r="T247" s="2" t="str">
        <f t="shared" si="30"/>
        <v/>
      </c>
      <c r="U247" t="str">
        <f t="shared" si="31"/>
        <v>点击次数少于10次没有参考性</v>
      </c>
      <c r="V247" s="4" t="str">
        <f>IFERROR(INDEX(搜索词报告!$D$2:$D$22222,MATCH(关键词词频统计!L247,搜索词报告!$H$2:$H$22222,0)),"")</f>
        <v/>
      </c>
    </row>
    <row r="248" spans="2:22" x14ac:dyDescent="0.15">
      <c r="B248">
        <f t="array" ref="B248">SUM(IF(搜索词报告!$H$2:$H$22222=A248,IF(搜索词报告!$A$2:$A$22222&gt;=关键词词频统计!$A$2,IF(搜索词报告!$A$2:$A$22222&lt;=关键词词频统计!$A$4,搜索词报告!$I$2:$I$22222,0),0),0))</f>
        <v>0</v>
      </c>
      <c r="C248">
        <f t="array" ref="C248">SUM(IF(搜索词报告!$H$2:$H$22222=A248,IF(搜索词报告!$A$2:$A$22222&gt;=关键词词频统计!$A$2,IF(搜索词报告!$A$2:$A$22222&lt;=关键词词频统计!$A$4,搜索词报告!$J$2:$J$22222,0),0),0))</f>
        <v>0</v>
      </c>
      <c r="D248" s="2">
        <f t="shared" si="24"/>
        <v>0</v>
      </c>
      <c r="E248" s="2">
        <f t="shared" si="25"/>
        <v>0</v>
      </c>
      <c r="F248">
        <f t="array" ref="F248">SUM(IF(搜索词报告!$H$2:$H$22222=A248,IF(搜索词报告!$A$2:$A$22222&gt;=关键词词频统计!$A$2,IF(搜索词报告!$A$2:$A$22222&lt;=关键词词频统计!$A$4,搜索词报告!$Q$2:$Q$22222,0),0),0))</f>
        <v>0</v>
      </c>
      <c r="G248">
        <f t="array" ref="G248">SUM(IF(搜索词报告!$H$2:$H$22222=A248,IF(搜索词报告!$A$2:$A$22222&gt;=关键词词频统计!$A$2,IF(搜索词报告!$A$2:$A$22222&lt;=关键词词频统计!$A$4,搜索词报告!$N$2:$N$22222,0),0),0))</f>
        <v>0</v>
      </c>
      <c r="H248">
        <f t="array" ref="H248">SUM(IF(搜索词报告!$H$2:$H$22222=A248,IF(搜索词报告!$A$2:$A$22222&gt;=关键词词频统计!$A$2,IF(搜索词报告!$A$2:$A$22222&lt;=关键词词频统计!$A$4,搜索词报告!$M$2:$M$22222,0),0),0))</f>
        <v>0</v>
      </c>
      <c r="I248" s="2" t="str">
        <f t="shared" si="26"/>
        <v/>
      </c>
      <c r="J248" t="str">
        <f t="shared" si="27"/>
        <v>点击次数少于10次没有参考性</v>
      </c>
      <c r="K248" s="4" t="str">
        <f>IFERROR(INDEX(搜索词报告!$D$2:$D$22222,MATCH(关键词词频统计!A248,搜索词报告!$H$2:$H$22222,0)),"")</f>
        <v/>
      </c>
      <c r="M248">
        <f t="array" ref="M248">SUM(IF(搜索词报告!$H$2:$H$22222=L248,IF(搜索词报告!$A$2:$A$22222&gt;=$L$2,IF(搜索词报告!$A$2:$A$22222&lt;=$L$4,搜索词报告!$I$2:$I$22222,0),0),0))</f>
        <v>0</v>
      </c>
      <c r="N248">
        <f t="array" ref="N248">SUM(IF(搜索词报告!$H$2:$H$22222=L248,IF(搜索词报告!$A$2:$A$22222&gt;=$L$2,IF(搜索词报告!$A$2:$A$22222&lt;=$L$4,搜索词报告!$J$2:$J$22222,0),0),0))</f>
        <v>0</v>
      </c>
      <c r="O248" s="2">
        <f t="shared" si="28"/>
        <v>0</v>
      </c>
      <c r="P248" s="2">
        <f t="shared" si="29"/>
        <v>0</v>
      </c>
      <c r="Q248">
        <f t="array" ref="Q248">SUM(IF(搜索词报告!$H$2:$H$22222=L248,IF(搜索词报告!$A$2:$A$22222&gt;=$L$2,IF(搜索词报告!$A$2:$A$22222&lt;=$L$4,搜索词报告!$Q$2:$Q$22222,0),0),0))</f>
        <v>0</v>
      </c>
      <c r="R248">
        <f t="array" ref="R248">SUM(IF(搜索词报告!$H$2:$H$22222=L248,IF(搜索词报告!$A$2:$A$22222&gt;=$L$2,IF(搜索词报告!$A$2:$A$22222&lt;=$L$4,搜索词报告!$N$2:$N$22222,0),0),0))</f>
        <v>0</v>
      </c>
      <c r="S248">
        <f t="array" ref="S248">SUM(IF(搜索词报告!$H$2:$H$22222=L248,IF(搜索词报告!$A$2:$A$22222&gt;=$L$2,IF(搜索词报告!$A$2:$A$22222&lt;=$L$4,搜索词报告!$M$2:$M$22222,0),0),0))</f>
        <v>0</v>
      </c>
      <c r="T248" s="2" t="str">
        <f t="shared" si="30"/>
        <v/>
      </c>
      <c r="U248" t="str">
        <f t="shared" si="31"/>
        <v>点击次数少于10次没有参考性</v>
      </c>
      <c r="V248" s="4" t="str">
        <f>IFERROR(INDEX(搜索词报告!$D$2:$D$22222,MATCH(关键词词频统计!L248,搜索词报告!$H$2:$H$22222,0)),"")</f>
        <v/>
      </c>
    </row>
    <row r="249" spans="2:22" x14ac:dyDescent="0.15">
      <c r="B249">
        <f t="array" ref="B249">SUM(IF(搜索词报告!$H$2:$H$22222=A249,IF(搜索词报告!$A$2:$A$22222&gt;=关键词词频统计!$A$2,IF(搜索词报告!$A$2:$A$22222&lt;=关键词词频统计!$A$4,搜索词报告!$I$2:$I$22222,0),0),0))</f>
        <v>0</v>
      </c>
      <c r="C249">
        <f t="array" ref="C249">SUM(IF(搜索词报告!$H$2:$H$22222=A249,IF(搜索词报告!$A$2:$A$22222&gt;=关键词词频统计!$A$2,IF(搜索词报告!$A$2:$A$22222&lt;=关键词词频统计!$A$4,搜索词报告!$J$2:$J$22222,0),0),0))</f>
        <v>0</v>
      </c>
      <c r="D249" s="2">
        <f t="shared" si="24"/>
        <v>0</v>
      </c>
      <c r="E249" s="2">
        <f t="shared" si="25"/>
        <v>0</v>
      </c>
      <c r="F249">
        <f t="array" ref="F249">SUM(IF(搜索词报告!$H$2:$H$22222=A249,IF(搜索词报告!$A$2:$A$22222&gt;=关键词词频统计!$A$2,IF(搜索词报告!$A$2:$A$22222&lt;=关键词词频统计!$A$4,搜索词报告!$Q$2:$Q$22222,0),0),0))</f>
        <v>0</v>
      </c>
      <c r="G249">
        <f t="array" ref="G249">SUM(IF(搜索词报告!$H$2:$H$22222=A249,IF(搜索词报告!$A$2:$A$22222&gt;=关键词词频统计!$A$2,IF(搜索词报告!$A$2:$A$22222&lt;=关键词词频统计!$A$4,搜索词报告!$N$2:$N$22222,0),0),0))</f>
        <v>0</v>
      </c>
      <c r="H249">
        <f t="array" ref="H249">SUM(IF(搜索词报告!$H$2:$H$22222=A249,IF(搜索词报告!$A$2:$A$22222&gt;=关键词词频统计!$A$2,IF(搜索词报告!$A$2:$A$22222&lt;=关键词词频统计!$A$4,搜索词报告!$M$2:$M$22222,0),0),0))</f>
        <v>0</v>
      </c>
      <c r="I249" s="2" t="str">
        <f t="shared" si="26"/>
        <v/>
      </c>
      <c r="J249" t="str">
        <f t="shared" si="27"/>
        <v>点击次数少于10次没有参考性</v>
      </c>
      <c r="K249" s="4" t="str">
        <f>IFERROR(INDEX(搜索词报告!$D$2:$D$22222,MATCH(关键词词频统计!A249,搜索词报告!$H$2:$H$22222,0)),"")</f>
        <v/>
      </c>
      <c r="M249">
        <f t="array" ref="M249">SUM(IF(搜索词报告!$H$2:$H$22222=L249,IF(搜索词报告!$A$2:$A$22222&gt;=$L$2,IF(搜索词报告!$A$2:$A$22222&lt;=$L$4,搜索词报告!$I$2:$I$22222,0),0),0))</f>
        <v>0</v>
      </c>
      <c r="N249">
        <f t="array" ref="N249">SUM(IF(搜索词报告!$H$2:$H$22222=L249,IF(搜索词报告!$A$2:$A$22222&gt;=$L$2,IF(搜索词报告!$A$2:$A$22222&lt;=$L$4,搜索词报告!$J$2:$J$22222,0),0),0))</f>
        <v>0</v>
      </c>
      <c r="O249" s="2">
        <f t="shared" si="28"/>
        <v>0</v>
      </c>
      <c r="P249" s="2">
        <f t="shared" si="29"/>
        <v>0</v>
      </c>
      <c r="Q249">
        <f t="array" ref="Q249">SUM(IF(搜索词报告!$H$2:$H$22222=L249,IF(搜索词报告!$A$2:$A$22222&gt;=$L$2,IF(搜索词报告!$A$2:$A$22222&lt;=$L$4,搜索词报告!$Q$2:$Q$22222,0),0),0))</f>
        <v>0</v>
      </c>
      <c r="R249">
        <f t="array" ref="R249">SUM(IF(搜索词报告!$H$2:$H$22222=L249,IF(搜索词报告!$A$2:$A$22222&gt;=$L$2,IF(搜索词报告!$A$2:$A$22222&lt;=$L$4,搜索词报告!$N$2:$N$22222,0),0),0))</f>
        <v>0</v>
      </c>
      <c r="S249">
        <f t="array" ref="S249">SUM(IF(搜索词报告!$H$2:$H$22222=L249,IF(搜索词报告!$A$2:$A$22222&gt;=$L$2,IF(搜索词报告!$A$2:$A$22222&lt;=$L$4,搜索词报告!$M$2:$M$22222,0),0),0))</f>
        <v>0</v>
      </c>
      <c r="T249" s="2" t="str">
        <f t="shared" si="30"/>
        <v/>
      </c>
      <c r="U249" t="str">
        <f t="shared" si="31"/>
        <v>点击次数少于10次没有参考性</v>
      </c>
      <c r="V249" s="4" t="str">
        <f>IFERROR(INDEX(搜索词报告!$D$2:$D$22222,MATCH(关键词词频统计!L249,搜索词报告!$H$2:$H$22222,0)),"")</f>
        <v/>
      </c>
    </row>
    <row r="250" spans="2:22" x14ac:dyDescent="0.15">
      <c r="B250">
        <f t="array" ref="B250">SUM(IF(搜索词报告!$H$2:$H$22222=A250,IF(搜索词报告!$A$2:$A$22222&gt;=关键词词频统计!$A$2,IF(搜索词报告!$A$2:$A$22222&lt;=关键词词频统计!$A$4,搜索词报告!$I$2:$I$22222,0),0),0))</f>
        <v>0</v>
      </c>
      <c r="C250">
        <f t="array" ref="C250">SUM(IF(搜索词报告!$H$2:$H$22222=A250,IF(搜索词报告!$A$2:$A$22222&gt;=关键词词频统计!$A$2,IF(搜索词报告!$A$2:$A$22222&lt;=关键词词频统计!$A$4,搜索词报告!$J$2:$J$22222,0),0),0))</f>
        <v>0</v>
      </c>
      <c r="D250" s="2">
        <f t="shared" si="24"/>
        <v>0</v>
      </c>
      <c r="E250" s="2">
        <f t="shared" si="25"/>
        <v>0</v>
      </c>
      <c r="F250">
        <f t="array" ref="F250">SUM(IF(搜索词报告!$H$2:$H$22222=A250,IF(搜索词报告!$A$2:$A$22222&gt;=关键词词频统计!$A$2,IF(搜索词报告!$A$2:$A$22222&lt;=关键词词频统计!$A$4,搜索词报告!$Q$2:$Q$22222,0),0),0))</f>
        <v>0</v>
      </c>
      <c r="G250">
        <f t="array" ref="G250">SUM(IF(搜索词报告!$H$2:$H$22222=A250,IF(搜索词报告!$A$2:$A$22222&gt;=关键词词频统计!$A$2,IF(搜索词报告!$A$2:$A$22222&lt;=关键词词频统计!$A$4,搜索词报告!$N$2:$N$22222,0),0),0))</f>
        <v>0</v>
      </c>
      <c r="H250">
        <f t="array" ref="H250">SUM(IF(搜索词报告!$H$2:$H$22222=A250,IF(搜索词报告!$A$2:$A$22222&gt;=关键词词频统计!$A$2,IF(搜索词报告!$A$2:$A$22222&lt;=关键词词频统计!$A$4,搜索词报告!$M$2:$M$22222,0),0),0))</f>
        <v>0</v>
      </c>
      <c r="I250" s="2" t="str">
        <f t="shared" si="26"/>
        <v/>
      </c>
      <c r="J250" t="str">
        <f t="shared" si="27"/>
        <v>点击次数少于10次没有参考性</v>
      </c>
      <c r="K250" s="4" t="str">
        <f>IFERROR(INDEX(搜索词报告!$D$2:$D$22222,MATCH(关键词词频统计!A250,搜索词报告!$H$2:$H$22222,0)),"")</f>
        <v/>
      </c>
      <c r="M250">
        <f t="array" ref="M250">SUM(IF(搜索词报告!$H$2:$H$22222=L250,IF(搜索词报告!$A$2:$A$22222&gt;=$L$2,IF(搜索词报告!$A$2:$A$22222&lt;=$L$4,搜索词报告!$I$2:$I$22222,0),0),0))</f>
        <v>0</v>
      </c>
      <c r="N250">
        <f t="array" ref="N250">SUM(IF(搜索词报告!$H$2:$H$22222=L250,IF(搜索词报告!$A$2:$A$22222&gt;=$L$2,IF(搜索词报告!$A$2:$A$22222&lt;=$L$4,搜索词报告!$J$2:$J$22222,0),0),0))</f>
        <v>0</v>
      </c>
      <c r="O250" s="2">
        <f t="shared" si="28"/>
        <v>0</v>
      </c>
      <c r="P250" s="2">
        <f t="shared" si="29"/>
        <v>0</v>
      </c>
      <c r="Q250">
        <f t="array" ref="Q250">SUM(IF(搜索词报告!$H$2:$H$22222=L250,IF(搜索词报告!$A$2:$A$22222&gt;=$L$2,IF(搜索词报告!$A$2:$A$22222&lt;=$L$4,搜索词报告!$Q$2:$Q$22222,0),0),0))</f>
        <v>0</v>
      </c>
      <c r="R250">
        <f t="array" ref="R250">SUM(IF(搜索词报告!$H$2:$H$22222=L250,IF(搜索词报告!$A$2:$A$22222&gt;=$L$2,IF(搜索词报告!$A$2:$A$22222&lt;=$L$4,搜索词报告!$N$2:$N$22222,0),0),0))</f>
        <v>0</v>
      </c>
      <c r="S250">
        <f t="array" ref="S250">SUM(IF(搜索词报告!$H$2:$H$22222=L250,IF(搜索词报告!$A$2:$A$22222&gt;=$L$2,IF(搜索词报告!$A$2:$A$22222&lt;=$L$4,搜索词报告!$M$2:$M$22222,0),0),0))</f>
        <v>0</v>
      </c>
      <c r="T250" s="2" t="str">
        <f t="shared" si="30"/>
        <v/>
      </c>
      <c r="U250" t="str">
        <f t="shared" si="31"/>
        <v>点击次数少于10次没有参考性</v>
      </c>
      <c r="V250" s="4" t="str">
        <f>IFERROR(INDEX(搜索词报告!$D$2:$D$22222,MATCH(关键词词频统计!L250,搜索词报告!$H$2:$H$22222,0)),"")</f>
        <v/>
      </c>
    </row>
    <row r="251" spans="2:22" x14ac:dyDescent="0.15">
      <c r="B251">
        <f t="array" ref="B251">SUM(IF(搜索词报告!$H$2:$H$22222=A251,IF(搜索词报告!$A$2:$A$22222&gt;=关键词词频统计!$A$2,IF(搜索词报告!$A$2:$A$22222&lt;=关键词词频统计!$A$4,搜索词报告!$I$2:$I$22222,0),0),0))</f>
        <v>0</v>
      </c>
      <c r="C251">
        <f t="array" ref="C251">SUM(IF(搜索词报告!$H$2:$H$22222=A251,IF(搜索词报告!$A$2:$A$22222&gt;=关键词词频统计!$A$2,IF(搜索词报告!$A$2:$A$22222&lt;=关键词词频统计!$A$4,搜索词报告!$J$2:$J$22222,0),0),0))</f>
        <v>0</v>
      </c>
      <c r="D251" s="2">
        <f t="shared" si="24"/>
        <v>0</v>
      </c>
      <c r="E251" s="2">
        <f t="shared" si="25"/>
        <v>0</v>
      </c>
      <c r="F251">
        <f t="array" ref="F251">SUM(IF(搜索词报告!$H$2:$H$22222=A251,IF(搜索词报告!$A$2:$A$22222&gt;=关键词词频统计!$A$2,IF(搜索词报告!$A$2:$A$22222&lt;=关键词词频统计!$A$4,搜索词报告!$Q$2:$Q$22222,0),0),0))</f>
        <v>0</v>
      </c>
      <c r="G251">
        <f t="array" ref="G251">SUM(IF(搜索词报告!$H$2:$H$22222=A251,IF(搜索词报告!$A$2:$A$22222&gt;=关键词词频统计!$A$2,IF(搜索词报告!$A$2:$A$22222&lt;=关键词词频统计!$A$4,搜索词报告!$N$2:$N$22222,0),0),0))</f>
        <v>0</v>
      </c>
      <c r="H251">
        <f t="array" ref="H251">SUM(IF(搜索词报告!$H$2:$H$22222=A251,IF(搜索词报告!$A$2:$A$22222&gt;=关键词词频统计!$A$2,IF(搜索词报告!$A$2:$A$22222&lt;=关键词词频统计!$A$4,搜索词报告!$M$2:$M$22222,0),0),0))</f>
        <v>0</v>
      </c>
      <c r="I251" s="2" t="str">
        <f t="shared" si="26"/>
        <v/>
      </c>
      <c r="J251" t="str">
        <f t="shared" si="27"/>
        <v>点击次数少于10次没有参考性</v>
      </c>
      <c r="K251" s="4" t="str">
        <f>IFERROR(INDEX(搜索词报告!$D$2:$D$22222,MATCH(关键词词频统计!A251,搜索词报告!$H$2:$H$22222,0)),"")</f>
        <v/>
      </c>
      <c r="M251">
        <f t="array" ref="M251">SUM(IF(搜索词报告!$H$2:$H$22222=L251,IF(搜索词报告!$A$2:$A$22222&gt;=$L$2,IF(搜索词报告!$A$2:$A$22222&lt;=$L$4,搜索词报告!$I$2:$I$22222,0),0),0))</f>
        <v>0</v>
      </c>
      <c r="N251">
        <f t="array" ref="N251">SUM(IF(搜索词报告!$H$2:$H$22222=L251,IF(搜索词报告!$A$2:$A$22222&gt;=$L$2,IF(搜索词报告!$A$2:$A$22222&lt;=$L$4,搜索词报告!$J$2:$J$22222,0),0),0))</f>
        <v>0</v>
      </c>
      <c r="O251" s="2">
        <f t="shared" si="28"/>
        <v>0</v>
      </c>
      <c r="P251" s="2">
        <f t="shared" si="29"/>
        <v>0</v>
      </c>
      <c r="Q251">
        <f t="array" ref="Q251">SUM(IF(搜索词报告!$H$2:$H$22222=L251,IF(搜索词报告!$A$2:$A$22222&gt;=$L$2,IF(搜索词报告!$A$2:$A$22222&lt;=$L$4,搜索词报告!$Q$2:$Q$22222,0),0),0))</f>
        <v>0</v>
      </c>
      <c r="R251">
        <f t="array" ref="R251">SUM(IF(搜索词报告!$H$2:$H$22222=L251,IF(搜索词报告!$A$2:$A$22222&gt;=$L$2,IF(搜索词报告!$A$2:$A$22222&lt;=$L$4,搜索词报告!$N$2:$N$22222,0),0),0))</f>
        <v>0</v>
      </c>
      <c r="S251">
        <f t="array" ref="S251">SUM(IF(搜索词报告!$H$2:$H$22222=L251,IF(搜索词报告!$A$2:$A$22222&gt;=$L$2,IF(搜索词报告!$A$2:$A$22222&lt;=$L$4,搜索词报告!$M$2:$M$22222,0),0),0))</f>
        <v>0</v>
      </c>
      <c r="T251" s="2" t="str">
        <f t="shared" si="30"/>
        <v/>
      </c>
      <c r="U251" t="str">
        <f t="shared" si="31"/>
        <v>点击次数少于10次没有参考性</v>
      </c>
      <c r="V251" s="4" t="str">
        <f>IFERROR(INDEX(搜索词报告!$D$2:$D$22222,MATCH(关键词词频统计!L251,搜索词报告!$H$2:$H$22222,0)),"")</f>
        <v/>
      </c>
    </row>
    <row r="252" spans="2:22" x14ac:dyDescent="0.15">
      <c r="B252">
        <f t="array" ref="B252">SUM(IF(搜索词报告!$H$2:$H$22222=A252,IF(搜索词报告!$A$2:$A$22222&gt;=关键词词频统计!$A$2,IF(搜索词报告!$A$2:$A$22222&lt;=关键词词频统计!$A$4,搜索词报告!$I$2:$I$22222,0),0),0))</f>
        <v>0</v>
      </c>
      <c r="C252">
        <f t="array" ref="C252">SUM(IF(搜索词报告!$H$2:$H$22222=A252,IF(搜索词报告!$A$2:$A$22222&gt;=关键词词频统计!$A$2,IF(搜索词报告!$A$2:$A$22222&lt;=关键词词频统计!$A$4,搜索词报告!$J$2:$J$22222,0),0),0))</f>
        <v>0</v>
      </c>
      <c r="D252" s="2">
        <f t="shared" si="24"/>
        <v>0</v>
      </c>
      <c r="E252" s="2">
        <f t="shared" si="25"/>
        <v>0</v>
      </c>
      <c r="F252">
        <f t="array" ref="F252">SUM(IF(搜索词报告!$H$2:$H$22222=A252,IF(搜索词报告!$A$2:$A$22222&gt;=关键词词频统计!$A$2,IF(搜索词报告!$A$2:$A$22222&lt;=关键词词频统计!$A$4,搜索词报告!$Q$2:$Q$22222,0),0),0))</f>
        <v>0</v>
      </c>
      <c r="G252">
        <f t="array" ref="G252">SUM(IF(搜索词报告!$H$2:$H$22222=A252,IF(搜索词报告!$A$2:$A$22222&gt;=关键词词频统计!$A$2,IF(搜索词报告!$A$2:$A$22222&lt;=关键词词频统计!$A$4,搜索词报告!$N$2:$N$22222,0),0),0))</f>
        <v>0</v>
      </c>
      <c r="H252">
        <f t="array" ref="H252">SUM(IF(搜索词报告!$H$2:$H$22222=A252,IF(搜索词报告!$A$2:$A$22222&gt;=关键词词频统计!$A$2,IF(搜索词报告!$A$2:$A$22222&lt;=关键词词频统计!$A$4,搜索词报告!$M$2:$M$22222,0),0),0))</f>
        <v>0</v>
      </c>
      <c r="I252" s="2" t="str">
        <f t="shared" si="26"/>
        <v/>
      </c>
      <c r="J252" t="str">
        <f t="shared" si="27"/>
        <v>点击次数少于10次没有参考性</v>
      </c>
      <c r="K252" s="4" t="str">
        <f>IFERROR(INDEX(搜索词报告!$D$2:$D$22222,MATCH(关键词词频统计!A252,搜索词报告!$H$2:$H$22222,0)),"")</f>
        <v/>
      </c>
      <c r="M252">
        <f t="array" ref="M252">SUM(IF(搜索词报告!$H$2:$H$22222=L252,IF(搜索词报告!$A$2:$A$22222&gt;=$L$2,IF(搜索词报告!$A$2:$A$22222&lt;=$L$4,搜索词报告!$I$2:$I$22222,0),0),0))</f>
        <v>0</v>
      </c>
      <c r="N252">
        <f t="array" ref="N252">SUM(IF(搜索词报告!$H$2:$H$22222=L252,IF(搜索词报告!$A$2:$A$22222&gt;=$L$2,IF(搜索词报告!$A$2:$A$22222&lt;=$L$4,搜索词报告!$J$2:$J$22222,0),0),0))</f>
        <v>0</v>
      </c>
      <c r="O252" s="2">
        <f t="shared" si="28"/>
        <v>0</v>
      </c>
      <c r="P252" s="2">
        <f t="shared" si="29"/>
        <v>0</v>
      </c>
      <c r="Q252">
        <f t="array" ref="Q252">SUM(IF(搜索词报告!$H$2:$H$22222=L252,IF(搜索词报告!$A$2:$A$22222&gt;=$L$2,IF(搜索词报告!$A$2:$A$22222&lt;=$L$4,搜索词报告!$Q$2:$Q$22222,0),0),0))</f>
        <v>0</v>
      </c>
      <c r="R252">
        <f t="array" ref="R252">SUM(IF(搜索词报告!$H$2:$H$22222=L252,IF(搜索词报告!$A$2:$A$22222&gt;=$L$2,IF(搜索词报告!$A$2:$A$22222&lt;=$L$4,搜索词报告!$N$2:$N$22222,0),0),0))</f>
        <v>0</v>
      </c>
      <c r="S252">
        <f t="array" ref="S252">SUM(IF(搜索词报告!$H$2:$H$22222=L252,IF(搜索词报告!$A$2:$A$22222&gt;=$L$2,IF(搜索词报告!$A$2:$A$22222&lt;=$L$4,搜索词报告!$M$2:$M$22222,0),0),0))</f>
        <v>0</v>
      </c>
      <c r="T252" s="2" t="str">
        <f t="shared" si="30"/>
        <v/>
      </c>
      <c r="U252" t="str">
        <f t="shared" si="31"/>
        <v>点击次数少于10次没有参考性</v>
      </c>
      <c r="V252" s="4" t="str">
        <f>IFERROR(INDEX(搜索词报告!$D$2:$D$22222,MATCH(关键词词频统计!L252,搜索词报告!$H$2:$H$22222,0)),"")</f>
        <v/>
      </c>
    </row>
    <row r="253" spans="2:22" x14ac:dyDescent="0.15">
      <c r="B253">
        <f t="array" ref="B253">SUM(IF(搜索词报告!$H$2:$H$22222=A253,IF(搜索词报告!$A$2:$A$22222&gt;=关键词词频统计!$A$2,IF(搜索词报告!$A$2:$A$22222&lt;=关键词词频统计!$A$4,搜索词报告!$I$2:$I$22222,0),0),0))</f>
        <v>0</v>
      </c>
      <c r="C253">
        <f t="array" ref="C253">SUM(IF(搜索词报告!$H$2:$H$22222=A253,IF(搜索词报告!$A$2:$A$22222&gt;=关键词词频统计!$A$2,IF(搜索词报告!$A$2:$A$22222&lt;=关键词词频统计!$A$4,搜索词报告!$J$2:$J$22222,0),0),0))</f>
        <v>0</v>
      </c>
      <c r="D253" s="2">
        <f t="shared" si="24"/>
        <v>0</v>
      </c>
      <c r="E253" s="2">
        <f t="shared" si="25"/>
        <v>0</v>
      </c>
      <c r="F253">
        <f t="array" ref="F253">SUM(IF(搜索词报告!$H$2:$H$22222=A253,IF(搜索词报告!$A$2:$A$22222&gt;=关键词词频统计!$A$2,IF(搜索词报告!$A$2:$A$22222&lt;=关键词词频统计!$A$4,搜索词报告!$Q$2:$Q$22222,0),0),0))</f>
        <v>0</v>
      </c>
      <c r="G253">
        <f t="array" ref="G253">SUM(IF(搜索词报告!$H$2:$H$22222=A253,IF(搜索词报告!$A$2:$A$22222&gt;=关键词词频统计!$A$2,IF(搜索词报告!$A$2:$A$22222&lt;=关键词词频统计!$A$4,搜索词报告!$N$2:$N$22222,0),0),0))</f>
        <v>0</v>
      </c>
      <c r="H253">
        <f t="array" ref="H253">SUM(IF(搜索词报告!$H$2:$H$22222=A253,IF(搜索词报告!$A$2:$A$22222&gt;=关键词词频统计!$A$2,IF(搜索词报告!$A$2:$A$22222&lt;=关键词词频统计!$A$4,搜索词报告!$M$2:$M$22222,0),0),0))</f>
        <v>0</v>
      </c>
      <c r="I253" s="2" t="str">
        <f t="shared" si="26"/>
        <v/>
      </c>
      <c r="J253" t="str">
        <f t="shared" si="27"/>
        <v>点击次数少于10次没有参考性</v>
      </c>
      <c r="K253" s="4" t="str">
        <f>IFERROR(INDEX(搜索词报告!$D$2:$D$22222,MATCH(关键词词频统计!A253,搜索词报告!$H$2:$H$22222,0)),"")</f>
        <v/>
      </c>
      <c r="M253">
        <f t="array" ref="M253">SUM(IF(搜索词报告!$H$2:$H$22222=L253,IF(搜索词报告!$A$2:$A$22222&gt;=$L$2,IF(搜索词报告!$A$2:$A$22222&lt;=$L$4,搜索词报告!$I$2:$I$22222,0),0),0))</f>
        <v>0</v>
      </c>
      <c r="N253">
        <f t="array" ref="N253">SUM(IF(搜索词报告!$H$2:$H$22222=L253,IF(搜索词报告!$A$2:$A$22222&gt;=$L$2,IF(搜索词报告!$A$2:$A$22222&lt;=$L$4,搜索词报告!$J$2:$J$22222,0),0),0))</f>
        <v>0</v>
      </c>
      <c r="O253" s="2">
        <f t="shared" si="28"/>
        <v>0</v>
      </c>
      <c r="P253" s="2">
        <f t="shared" si="29"/>
        <v>0</v>
      </c>
      <c r="Q253">
        <f t="array" ref="Q253">SUM(IF(搜索词报告!$H$2:$H$22222=L253,IF(搜索词报告!$A$2:$A$22222&gt;=$L$2,IF(搜索词报告!$A$2:$A$22222&lt;=$L$4,搜索词报告!$Q$2:$Q$22222,0),0),0))</f>
        <v>0</v>
      </c>
      <c r="R253">
        <f t="array" ref="R253">SUM(IF(搜索词报告!$H$2:$H$22222=L253,IF(搜索词报告!$A$2:$A$22222&gt;=$L$2,IF(搜索词报告!$A$2:$A$22222&lt;=$L$4,搜索词报告!$N$2:$N$22222,0),0),0))</f>
        <v>0</v>
      </c>
      <c r="S253">
        <f t="array" ref="S253">SUM(IF(搜索词报告!$H$2:$H$22222=L253,IF(搜索词报告!$A$2:$A$22222&gt;=$L$2,IF(搜索词报告!$A$2:$A$22222&lt;=$L$4,搜索词报告!$M$2:$M$22222,0),0),0))</f>
        <v>0</v>
      </c>
      <c r="T253" s="2" t="str">
        <f t="shared" si="30"/>
        <v/>
      </c>
      <c r="U253" t="str">
        <f t="shared" si="31"/>
        <v>点击次数少于10次没有参考性</v>
      </c>
      <c r="V253" s="4" t="str">
        <f>IFERROR(INDEX(搜索词报告!$D$2:$D$22222,MATCH(关键词词频统计!L253,搜索词报告!$H$2:$H$22222,0)),"")</f>
        <v/>
      </c>
    </row>
    <row r="254" spans="2:22" x14ac:dyDescent="0.15">
      <c r="B254">
        <f t="array" ref="B254">SUM(IF(搜索词报告!$H$2:$H$22222=A254,IF(搜索词报告!$A$2:$A$22222&gt;=关键词词频统计!$A$2,IF(搜索词报告!$A$2:$A$22222&lt;=关键词词频统计!$A$4,搜索词报告!$I$2:$I$22222,0),0),0))</f>
        <v>0</v>
      </c>
      <c r="C254">
        <f t="array" ref="C254">SUM(IF(搜索词报告!$H$2:$H$22222=A254,IF(搜索词报告!$A$2:$A$22222&gt;=关键词词频统计!$A$2,IF(搜索词报告!$A$2:$A$22222&lt;=关键词词频统计!$A$4,搜索词报告!$J$2:$J$22222,0),0),0))</f>
        <v>0</v>
      </c>
      <c r="D254" s="2">
        <f t="shared" si="24"/>
        <v>0</v>
      </c>
      <c r="E254" s="2">
        <f t="shared" si="25"/>
        <v>0</v>
      </c>
      <c r="F254">
        <f t="array" ref="F254">SUM(IF(搜索词报告!$H$2:$H$22222=A254,IF(搜索词报告!$A$2:$A$22222&gt;=关键词词频统计!$A$2,IF(搜索词报告!$A$2:$A$22222&lt;=关键词词频统计!$A$4,搜索词报告!$Q$2:$Q$22222,0),0),0))</f>
        <v>0</v>
      </c>
      <c r="G254">
        <f t="array" ref="G254">SUM(IF(搜索词报告!$H$2:$H$22222=A254,IF(搜索词报告!$A$2:$A$22222&gt;=关键词词频统计!$A$2,IF(搜索词报告!$A$2:$A$22222&lt;=关键词词频统计!$A$4,搜索词报告!$N$2:$N$22222,0),0),0))</f>
        <v>0</v>
      </c>
      <c r="H254">
        <f t="array" ref="H254">SUM(IF(搜索词报告!$H$2:$H$22222=A254,IF(搜索词报告!$A$2:$A$22222&gt;=关键词词频统计!$A$2,IF(搜索词报告!$A$2:$A$22222&lt;=关键词词频统计!$A$4,搜索词报告!$M$2:$M$22222,0),0),0))</f>
        <v>0</v>
      </c>
      <c r="I254" s="2" t="str">
        <f t="shared" si="26"/>
        <v/>
      </c>
      <c r="J254" t="str">
        <f t="shared" si="27"/>
        <v>点击次数少于10次没有参考性</v>
      </c>
      <c r="K254" s="4" t="str">
        <f>IFERROR(INDEX(搜索词报告!$D$2:$D$22222,MATCH(关键词词频统计!A254,搜索词报告!$H$2:$H$22222,0)),"")</f>
        <v/>
      </c>
      <c r="M254">
        <f t="array" ref="M254">SUM(IF(搜索词报告!$H$2:$H$22222=L254,IF(搜索词报告!$A$2:$A$22222&gt;=$L$2,IF(搜索词报告!$A$2:$A$22222&lt;=$L$4,搜索词报告!$I$2:$I$22222,0),0),0))</f>
        <v>0</v>
      </c>
      <c r="N254">
        <f t="array" ref="N254">SUM(IF(搜索词报告!$H$2:$H$22222=L254,IF(搜索词报告!$A$2:$A$22222&gt;=$L$2,IF(搜索词报告!$A$2:$A$22222&lt;=$L$4,搜索词报告!$J$2:$J$22222,0),0),0))</f>
        <v>0</v>
      </c>
      <c r="O254" s="2">
        <f t="shared" si="28"/>
        <v>0</v>
      </c>
      <c r="P254" s="2">
        <f t="shared" si="29"/>
        <v>0</v>
      </c>
      <c r="Q254">
        <f t="array" ref="Q254">SUM(IF(搜索词报告!$H$2:$H$22222=L254,IF(搜索词报告!$A$2:$A$22222&gt;=$L$2,IF(搜索词报告!$A$2:$A$22222&lt;=$L$4,搜索词报告!$Q$2:$Q$22222,0),0),0))</f>
        <v>0</v>
      </c>
      <c r="R254">
        <f t="array" ref="R254">SUM(IF(搜索词报告!$H$2:$H$22222=L254,IF(搜索词报告!$A$2:$A$22222&gt;=$L$2,IF(搜索词报告!$A$2:$A$22222&lt;=$L$4,搜索词报告!$N$2:$N$22222,0),0),0))</f>
        <v>0</v>
      </c>
      <c r="S254">
        <f t="array" ref="S254">SUM(IF(搜索词报告!$H$2:$H$22222=L254,IF(搜索词报告!$A$2:$A$22222&gt;=$L$2,IF(搜索词报告!$A$2:$A$22222&lt;=$L$4,搜索词报告!$M$2:$M$22222,0),0),0))</f>
        <v>0</v>
      </c>
      <c r="T254" s="2" t="str">
        <f t="shared" si="30"/>
        <v/>
      </c>
      <c r="U254" t="str">
        <f t="shared" si="31"/>
        <v>点击次数少于10次没有参考性</v>
      </c>
      <c r="V254" s="4" t="str">
        <f>IFERROR(INDEX(搜索词报告!$D$2:$D$22222,MATCH(关键词词频统计!L254,搜索词报告!$H$2:$H$22222,0)),"")</f>
        <v/>
      </c>
    </row>
    <row r="255" spans="2:22" x14ac:dyDescent="0.15">
      <c r="B255">
        <f t="array" ref="B255">SUM(IF(搜索词报告!$H$2:$H$22222=A255,IF(搜索词报告!$A$2:$A$22222&gt;=关键词词频统计!$A$2,IF(搜索词报告!$A$2:$A$22222&lt;=关键词词频统计!$A$4,搜索词报告!$I$2:$I$22222,0),0),0))</f>
        <v>0</v>
      </c>
      <c r="C255">
        <f t="array" ref="C255">SUM(IF(搜索词报告!$H$2:$H$22222=A255,IF(搜索词报告!$A$2:$A$22222&gt;=关键词词频统计!$A$2,IF(搜索词报告!$A$2:$A$22222&lt;=关键词词频统计!$A$4,搜索词报告!$J$2:$J$22222,0),0),0))</f>
        <v>0</v>
      </c>
      <c r="D255" s="2">
        <f t="shared" si="24"/>
        <v>0</v>
      </c>
      <c r="E255" s="2">
        <f t="shared" si="25"/>
        <v>0</v>
      </c>
      <c r="F255">
        <f t="array" ref="F255">SUM(IF(搜索词报告!$H$2:$H$22222=A255,IF(搜索词报告!$A$2:$A$22222&gt;=关键词词频统计!$A$2,IF(搜索词报告!$A$2:$A$22222&lt;=关键词词频统计!$A$4,搜索词报告!$Q$2:$Q$22222,0),0),0))</f>
        <v>0</v>
      </c>
      <c r="G255">
        <f t="array" ref="G255">SUM(IF(搜索词报告!$H$2:$H$22222=A255,IF(搜索词报告!$A$2:$A$22222&gt;=关键词词频统计!$A$2,IF(搜索词报告!$A$2:$A$22222&lt;=关键词词频统计!$A$4,搜索词报告!$N$2:$N$22222,0),0),0))</f>
        <v>0</v>
      </c>
      <c r="H255">
        <f t="array" ref="H255">SUM(IF(搜索词报告!$H$2:$H$22222=A255,IF(搜索词报告!$A$2:$A$22222&gt;=关键词词频统计!$A$2,IF(搜索词报告!$A$2:$A$22222&lt;=关键词词频统计!$A$4,搜索词报告!$M$2:$M$22222,0),0),0))</f>
        <v>0</v>
      </c>
      <c r="I255" s="2" t="str">
        <f t="shared" si="26"/>
        <v/>
      </c>
      <c r="J255" t="str">
        <f t="shared" si="27"/>
        <v>点击次数少于10次没有参考性</v>
      </c>
      <c r="K255" s="4" t="str">
        <f>IFERROR(INDEX(搜索词报告!$D$2:$D$22222,MATCH(关键词词频统计!A255,搜索词报告!$H$2:$H$22222,0)),"")</f>
        <v/>
      </c>
      <c r="M255">
        <f t="array" ref="M255">SUM(IF(搜索词报告!$H$2:$H$22222=L255,IF(搜索词报告!$A$2:$A$22222&gt;=$L$2,IF(搜索词报告!$A$2:$A$22222&lt;=$L$4,搜索词报告!$I$2:$I$22222,0),0),0))</f>
        <v>0</v>
      </c>
      <c r="N255">
        <f t="array" ref="N255">SUM(IF(搜索词报告!$H$2:$H$22222=L255,IF(搜索词报告!$A$2:$A$22222&gt;=$L$2,IF(搜索词报告!$A$2:$A$22222&lt;=$L$4,搜索词报告!$J$2:$J$22222,0),0),0))</f>
        <v>0</v>
      </c>
      <c r="O255" s="2">
        <f t="shared" si="28"/>
        <v>0</v>
      </c>
      <c r="P255" s="2">
        <f t="shared" si="29"/>
        <v>0</v>
      </c>
      <c r="Q255">
        <f t="array" ref="Q255">SUM(IF(搜索词报告!$H$2:$H$22222=L255,IF(搜索词报告!$A$2:$A$22222&gt;=$L$2,IF(搜索词报告!$A$2:$A$22222&lt;=$L$4,搜索词报告!$Q$2:$Q$22222,0),0),0))</f>
        <v>0</v>
      </c>
      <c r="R255">
        <f t="array" ref="R255">SUM(IF(搜索词报告!$H$2:$H$22222=L255,IF(搜索词报告!$A$2:$A$22222&gt;=$L$2,IF(搜索词报告!$A$2:$A$22222&lt;=$L$4,搜索词报告!$N$2:$N$22222,0),0),0))</f>
        <v>0</v>
      </c>
      <c r="S255">
        <f t="array" ref="S255">SUM(IF(搜索词报告!$H$2:$H$22222=L255,IF(搜索词报告!$A$2:$A$22222&gt;=$L$2,IF(搜索词报告!$A$2:$A$22222&lt;=$L$4,搜索词报告!$M$2:$M$22222,0),0),0))</f>
        <v>0</v>
      </c>
      <c r="T255" s="2" t="str">
        <f t="shared" si="30"/>
        <v/>
      </c>
      <c r="U255" t="str">
        <f t="shared" si="31"/>
        <v>点击次数少于10次没有参考性</v>
      </c>
      <c r="V255" s="4" t="str">
        <f>IFERROR(INDEX(搜索词报告!$D$2:$D$22222,MATCH(关键词词频统计!L255,搜索词报告!$H$2:$H$22222,0)),"")</f>
        <v/>
      </c>
    </row>
    <row r="256" spans="2:22" x14ac:dyDescent="0.15">
      <c r="B256">
        <f t="array" ref="B256">SUM(IF(搜索词报告!$H$2:$H$22222=A256,IF(搜索词报告!$A$2:$A$22222&gt;=关键词词频统计!$A$2,IF(搜索词报告!$A$2:$A$22222&lt;=关键词词频统计!$A$4,搜索词报告!$I$2:$I$22222,0),0),0))</f>
        <v>0</v>
      </c>
      <c r="C256">
        <f t="array" ref="C256">SUM(IF(搜索词报告!$H$2:$H$22222=A256,IF(搜索词报告!$A$2:$A$22222&gt;=关键词词频统计!$A$2,IF(搜索词报告!$A$2:$A$22222&lt;=关键词词频统计!$A$4,搜索词报告!$J$2:$J$22222,0),0),0))</f>
        <v>0</v>
      </c>
      <c r="D256" s="2">
        <f t="shared" si="24"/>
        <v>0</v>
      </c>
      <c r="E256" s="2">
        <f t="shared" si="25"/>
        <v>0</v>
      </c>
      <c r="F256">
        <f t="array" ref="F256">SUM(IF(搜索词报告!$H$2:$H$22222=A256,IF(搜索词报告!$A$2:$A$22222&gt;=关键词词频统计!$A$2,IF(搜索词报告!$A$2:$A$22222&lt;=关键词词频统计!$A$4,搜索词报告!$Q$2:$Q$22222,0),0),0))</f>
        <v>0</v>
      </c>
      <c r="G256">
        <f t="array" ref="G256">SUM(IF(搜索词报告!$H$2:$H$22222=A256,IF(搜索词报告!$A$2:$A$22222&gt;=关键词词频统计!$A$2,IF(搜索词报告!$A$2:$A$22222&lt;=关键词词频统计!$A$4,搜索词报告!$N$2:$N$22222,0),0),0))</f>
        <v>0</v>
      </c>
      <c r="H256">
        <f t="array" ref="H256">SUM(IF(搜索词报告!$H$2:$H$22222=A256,IF(搜索词报告!$A$2:$A$22222&gt;=关键词词频统计!$A$2,IF(搜索词报告!$A$2:$A$22222&lt;=关键词词频统计!$A$4,搜索词报告!$M$2:$M$22222,0),0),0))</f>
        <v>0</v>
      </c>
      <c r="I256" s="2" t="str">
        <f t="shared" si="26"/>
        <v/>
      </c>
      <c r="J256" t="str">
        <f t="shared" si="27"/>
        <v>点击次数少于10次没有参考性</v>
      </c>
      <c r="K256" s="4" t="str">
        <f>IFERROR(INDEX(搜索词报告!$D$2:$D$22222,MATCH(关键词词频统计!A256,搜索词报告!$H$2:$H$22222,0)),"")</f>
        <v/>
      </c>
      <c r="M256">
        <f t="array" ref="M256">SUM(IF(搜索词报告!$H$2:$H$22222=L256,IF(搜索词报告!$A$2:$A$22222&gt;=$L$2,IF(搜索词报告!$A$2:$A$22222&lt;=$L$4,搜索词报告!$I$2:$I$22222,0),0),0))</f>
        <v>0</v>
      </c>
      <c r="N256">
        <f t="array" ref="N256">SUM(IF(搜索词报告!$H$2:$H$22222=L256,IF(搜索词报告!$A$2:$A$22222&gt;=$L$2,IF(搜索词报告!$A$2:$A$22222&lt;=$L$4,搜索词报告!$J$2:$J$22222,0),0),0))</f>
        <v>0</v>
      </c>
      <c r="O256" s="2">
        <f t="shared" si="28"/>
        <v>0</v>
      </c>
      <c r="P256" s="2">
        <f t="shared" si="29"/>
        <v>0</v>
      </c>
      <c r="Q256">
        <f t="array" ref="Q256">SUM(IF(搜索词报告!$H$2:$H$22222=L256,IF(搜索词报告!$A$2:$A$22222&gt;=$L$2,IF(搜索词报告!$A$2:$A$22222&lt;=$L$4,搜索词报告!$Q$2:$Q$22222,0),0),0))</f>
        <v>0</v>
      </c>
      <c r="R256">
        <f t="array" ref="R256">SUM(IF(搜索词报告!$H$2:$H$22222=L256,IF(搜索词报告!$A$2:$A$22222&gt;=$L$2,IF(搜索词报告!$A$2:$A$22222&lt;=$L$4,搜索词报告!$N$2:$N$22222,0),0),0))</f>
        <v>0</v>
      </c>
      <c r="S256">
        <f t="array" ref="S256">SUM(IF(搜索词报告!$H$2:$H$22222=L256,IF(搜索词报告!$A$2:$A$22222&gt;=$L$2,IF(搜索词报告!$A$2:$A$22222&lt;=$L$4,搜索词报告!$M$2:$M$22222,0),0),0))</f>
        <v>0</v>
      </c>
      <c r="T256" s="2" t="str">
        <f t="shared" si="30"/>
        <v/>
      </c>
      <c r="U256" t="str">
        <f t="shared" si="31"/>
        <v>点击次数少于10次没有参考性</v>
      </c>
      <c r="V256" s="4" t="str">
        <f>IFERROR(INDEX(搜索词报告!$D$2:$D$22222,MATCH(关键词词频统计!L256,搜索词报告!$H$2:$H$22222,0)),"")</f>
        <v/>
      </c>
    </row>
    <row r="257" spans="2:22" x14ac:dyDescent="0.15">
      <c r="B257">
        <f t="array" ref="B257">SUM(IF(搜索词报告!$H$2:$H$22222=A257,IF(搜索词报告!$A$2:$A$22222&gt;=关键词词频统计!$A$2,IF(搜索词报告!$A$2:$A$22222&lt;=关键词词频统计!$A$4,搜索词报告!$I$2:$I$22222,0),0),0))</f>
        <v>0</v>
      </c>
      <c r="C257">
        <f t="array" ref="C257">SUM(IF(搜索词报告!$H$2:$H$22222=A257,IF(搜索词报告!$A$2:$A$22222&gt;=关键词词频统计!$A$2,IF(搜索词报告!$A$2:$A$22222&lt;=关键词词频统计!$A$4,搜索词报告!$J$2:$J$22222,0),0),0))</f>
        <v>0</v>
      </c>
      <c r="D257" s="2">
        <f t="shared" si="24"/>
        <v>0</v>
      </c>
      <c r="E257" s="2">
        <f t="shared" si="25"/>
        <v>0</v>
      </c>
      <c r="F257">
        <f t="array" ref="F257">SUM(IF(搜索词报告!$H$2:$H$22222=A257,IF(搜索词报告!$A$2:$A$22222&gt;=关键词词频统计!$A$2,IF(搜索词报告!$A$2:$A$22222&lt;=关键词词频统计!$A$4,搜索词报告!$Q$2:$Q$22222,0),0),0))</f>
        <v>0</v>
      </c>
      <c r="G257">
        <f t="array" ref="G257">SUM(IF(搜索词报告!$H$2:$H$22222=A257,IF(搜索词报告!$A$2:$A$22222&gt;=关键词词频统计!$A$2,IF(搜索词报告!$A$2:$A$22222&lt;=关键词词频统计!$A$4,搜索词报告!$N$2:$N$22222,0),0),0))</f>
        <v>0</v>
      </c>
      <c r="H257">
        <f t="array" ref="H257">SUM(IF(搜索词报告!$H$2:$H$22222=A257,IF(搜索词报告!$A$2:$A$22222&gt;=关键词词频统计!$A$2,IF(搜索词报告!$A$2:$A$22222&lt;=关键词词频统计!$A$4,搜索词报告!$M$2:$M$22222,0),0),0))</f>
        <v>0</v>
      </c>
      <c r="I257" s="2" t="str">
        <f t="shared" si="26"/>
        <v/>
      </c>
      <c r="J257" t="str">
        <f t="shared" si="27"/>
        <v>点击次数少于10次没有参考性</v>
      </c>
      <c r="K257" s="4" t="str">
        <f>IFERROR(INDEX(搜索词报告!$D$2:$D$22222,MATCH(关键词词频统计!A257,搜索词报告!$H$2:$H$22222,0)),"")</f>
        <v/>
      </c>
      <c r="M257">
        <f t="array" ref="M257">SUM(IF(搜索词报告!$H$2:$H$22222=L257,IF(搜索词报告!$A$2:$A$22222&gt;=$L$2,IF(搜索词报告!$A$2:$A$22222&lt;=$L$4,搜索词报告!$I$2:$I$22222,0),0),0))</f>
        <v>0</v>
      </c>
      <c r="N257">
        <f t="array" ref="N257">SUM(IF(搜索词报告!$H$2:$H$22222=L257,IF(搜索词报告!$A$2:$A$22222&gt;=$L$2,IF(搜索词报告!$A$2:$A$22222&lt;=$L$4,搜索词报告!$J$2:$J$22222,0),0),0))</f>
        <v>0</v>
      </c>
      <c r="O257" s="2">
        <f t="shared" si="28"/>
        <v>0</v>
      </c>
      <c r="P257" s="2">
        <f t="shared" si="29"/>
        <v>0</v>
      </c>
      <c r="Q257">
        <f t="array" ref="Q257">SUM(IF(搜索词报告!$H$2:$H$22222=L257,IF(搜索词报告!$A$2:$A$22222&gt;=$L$2,IF(搜索词报告!$A$2:$A$22222&lt;=$L$4,搜索词报告!$Q$2:$Q$22222,0),0),0))</f>
        <v>0</v>
      </c>
      <c r="R257">
        <f t="array" ref="R257">SUM(IF(搜索词报告!$H$2:$H$22222=L257,IF(搜索词报告!$A$2:$A$22222&gt;=$L$2,IF(搜索词报告!$A$2:$A$22222&lt;=$L$4,搜索词报告!$N$2:$N$22222,0),0),0))</f>
        <v>0</v>
      </c>
      <c r="S257">
        <f t="array" ref="S257">SUM(IF(搜索词报告!$H$2:$H$22222=L257,IF(搜索词报告!$A$2:$A$22222&gt;=$L$2,IF(搜索词报告!$A$2:$A$22222&lt;=$L$4,搜索词报告!$M$2:$M$22222,0),0),0))</f>
        <v>0</v>
      </c>
      <c r="T257" s="2" t="str">
        <f t="shared" si="30"/>
        <v/>
      </c>
      <c r="U257" t="str">
        <f t="shared" si="31"/>
        <v>点击次数少于10次没有参考性</v>
      </c>
      <c r="V257" s="4" t="str">
        <f>IFERROR(INDEX(搜索词报告!$D$2:$D$22222,MATCH(关键词词频统计!L257,搜索词报告!$H$2:$H$22222,0)),"")</f>
        <v/>
      </c>
    </row>
    <row r="258" spans="2:22" x14ac:dyDescent="0.15">
      <c r="B258">
        <f t="array" ref="B258">SUM(IF(搜索词报告!$H$2:$H$22222=A258,IF(搜索词报告!$A$2:$A$22222&gt;=关键词词频统计!$A$2,IF(搜索词报告!$A$2:$A$22222&lt;=关键词词频统计!$A$4,搜索词报告!$I$2:$I$22222,0),0),0))</f>
        <v>0</v>
      </c>
      <c r="C258">
        <f t="array" ref="C258">SUM(IF(搜索词报告!$H$2:$H$22222=A258,IF(搜索词报告!$A$2:$A$22222&gt;=关键词词频统计!$A$2,IF(搜索词报告!$A$2:$A$22222&lt;=关键词词频统计!$A$4,搜索词报告!$J$2:$J$22222,0),0),0))</f>
        <v>0</v>
      </c>
      <c r="D258" s="2">
        <f t="shared" si="24"/>
        <v>0</v>
      </c>
      <c r="E258" s="2">
        <f t="shared" si="25"/>
        <v>0</v>
      </c>
      <c r="F258">
        <f t="array" ref="F258">SUM(IF(搜索词报告!$H$2:$H$22222=A258,IF(搜索词报告!$A$2:$A$22222&gt;=关键词词频统计!$A$2,IF(搜索词报告!$A$2:$A$22222&lt;=关键词词频统计!$A$4,搜索词报告!$Q$2:$Q$22222,0),0),0))</f>
        <v>0</v>
      </c>
      <c r="G258">
        <f t="array" ref="G258">SUM(IF(搜索词报告!$H$2:$H$22222=A258,IF(搜索词报告!$A$2:$A$22222&gt;=关键词词频统计!$A$2,IF(搜索词报告!$A$2:$A$22222&lt;=关键词词频统计!$A$4,搜索词报告!$N$2:$N$22222,0),0),0))</f>
        <v>0</v>
      </c>
      <c r="H258">
        <f t="array" ref="H258">SUM(IF(搜索词报告!$H$2:$H$22222=A258,IF(搜索词报告!$A$2:$A$22222&gt;=关键词词频统计!$A$2,IF(搜索词报告!$A$2:$A$22222&lt;=关键词词频统计!$A$4,搜索词报告!$M$2:$M$22222,0),0),0))</f>
        <v>0</v>
      </c>
      <c r="I258" s="2" t="str">
        <f t="shared" si="26"/>
        <v/>
      </c>
      <c r="J258" t="str">
        <f t="shared" si="27"/>
        <v>点击次数少于10次没有参考性</v>
      </c>
      <c r="K258" s="4" t="str">
        <f>IFERROR(INDEX(搜索词报告!$D$2:$D$22222,MATCH(关键词词频统计!A258,搜索词报告!$H$2:$H$22222,0)),"")</f>
        <v/>
      </c>
      <c r="M258">
        <f t="array" ref="M258">SUM(IF(搜索词报告!$H$2:$H$22222=L258,IF(搜索词报告!$A$2:$A$22222&gt;=$L$2,IF(搜索词报告!$A$2:$A$22222&lt;=$L$4,搜索词报告!$I$2:$I$22222,0),0),0))</f>
        <v>0</v>
      </c>
      <c r="N258">
        <f t="array" ref="N258">SUM(IF(搜索词报告!$H$2:$H$22222=L258,IF(搜索词报告!$A$2:$A$22222&gt;=$L$2,IF(搜索词报告!$A$2:$A$22222&lt;=$L$4,搜索词报告!$J$2:$J$22222,0),0),0))</f>
        <v>0</v>
      </c>
      <c r="O258" s="2">
        <f t="shared" si="28"/>
        <v>0</v>
      </c>
      <c r="P258" s="2">
        <f t="shared" si="29"/>
        <v>0</v>
      </c>
      <c r="Q258">
        <f t="array" ref="Q258">SUM(IF(搜索词报告!$H$2:$H$22222=L258,IF(搜索词报告!$A$2:$A$22222&gt;=$L$2,IF(搜索词报告!$A$2:$A$22222&lt;=$L$4,搜索词报告!$Q$2:$Q$22222,0),0),0))</f>
        <v>0</v>
      </c>
      <c r="R258">
        <f t="array" ref="R258">SUM(IF(搜索词报告!$H$2:$H$22222=L258,IF(搜索词报告!$A$2:$A$22222&gt;=$L$2,IF(搜索词报告!$A$2:$A$22222&lt;=$L$4,搜索词报告!$N$2:$N$22222,0),0),0))</f>
        <v>0</v>
      </c>
      <c r="S258">
        <f t="array" ref="S258">SUM(IF(搜索词报告!$H$2:$H$22222=L258,IF(搜索词报告!$A$2:$A$22222&gt;=$L$2,IF(搜索词报告!$A$2:$A$22222&lt;=$L$4,搜索词报告!$M$2:$M$22222,0),0),0))</f>
        <v>0</v>
      </c>
      <c r="T258" s="2" t="str">
        <f t="shared" si="30"/>
        <v/>
      </c>
      <c r="U258" t="str">
        <f t="shared" si="31"/>
        <v>点击次数少于10次没有参考性</v>
      </c>
      <c r="V258" s="4" t="str">
        <f>IFERROR(INDEX(搜索词报告!$D$2:$D$22222,MATCH(关键词词频统计!L258,搜索词报告!$H$2:$H$22222,0)),"")</f>
        <v/>
      </c>
    </row>
    <row r="259" spans="2:22" x14ac:dyDescent="0.15">
      <c r="B259">
        <f t="array" ref="B259">SUM(IF(搜索词报告!$H$2:$H$22222=A259,IF(搜索词报告!$A$2:$A$22222&gt;=关键词词频统计!$A$2,IF(搜索词报告!$A$2:$A$22222&lt;=关键词词频统计!$A$4,搜索词报告!$I$2:$I$22222,0),0),0))</f>
        <v>0</v>
      </c>
      <c r="C259">
        <f t="array" ref="C259">SUM(IF(搜索词报告!$H$2:$H$22222=A259,IF(搜索词报告!$A$2:$A$22222&gt;=关键词词频统计!$A$2,IF(搜索词报告!$A$2:$A$22222&lt;=关键词词频统计!$A$4,搜索词报告!$J$2:$J$22222,0),0),0))</f>
        <v>0</v>
      </c>
      <c r="D259" s="2">
        <f t="shared" si="24"/>
        <v>0</v>
      </c>
      <c r="E259" s="2">
        <f t="shared" si="25"/>
        <v>0</v>
      </c>
      <c r="F259">
        <f t="array" ref="F259">SUM(IF(搜索词报告!$H$2:$H$22222=A259,IF(搜索词报告!$A$2:$A$22222&gt;=关键词词频统计!$A$2,IF(搜索词报告!$A$2:$A$22222&lt;=关键词词频统计!$A$4,搜索词报告!$Q$2:$Q$22222,0),0),0))</f>
        <v>0</v>
      </c>
      <c r="G259">
        <f t="array" ref="G259">SUM(IF(搜索词报告!$H$2:$H$22222=A259,IF(搜索词报告!$A$2:$A$22222&gt;=关键词词频统计!$A$2,IF(搜索词报告!$A$2:$A$22222&lt;=关键词词频统计!$A$4,搜索词报告!$N$2:$N$22222,0),0),0))</f>
        <v>0</v>
      </c>
      <c r="H259">
        <f t="array" ref="H259">SUM(IF(搜索词报告!$H$2:$H$22222=A259,IF(搜索词报告!$A$2:$A$22222&gt;=关键词词频统计!$A$2,IF(搜索词报告!$A$2:$A$22222&lt;=关键词词频统计!$A$4,搜索词报告!$M$2:$M$22222,0),0),0))</f>
        <v>0</v>
      </c>
      <c r="I259" s="2" t="str">
        <f t="shared" si="26"/>
        <v/>
      </c>
      <c r="J259" t="str">
        <f t="shared" si="27"/>
        <v>点击次数少于10次没有参考性</v>
      </c>
      <c r="K259" s="4" t="str">
        <f>IFERROR(INDEX(搜索词报告!$D$2:$D$22222,MATCH(关键词词频统计!A259,搜索词报告!$H$2:$H$22222,0)),"")</f>
        <v/>
      </c>
      <c r="M259">
        <f t="array" ref="M259">SUM(IF(搜索词报告!$H$2:$H$22222=L259,IF(搜索词报告!$A$2:$A$22222&gt;=$L$2,IF(搜索词报告!$A$2:$A$22222&lt;=$L$4,搜索词报告!$I$2:$I$22222,0),0),0))</f>
        <v>0</v>
      </c>
      <c r="N259">
        <f t="array" ref="N259">SUM(IF(搜索词报告!$H$2:$H$22222=L259,IF(搜索词报告!$A$2:$A$22222&gt;=$L$2,IF(搜索词报告!$A$2:$A$22222&lt;=$L$4,搜索词报告!$J$2:$J$22222,0),0),0))</f>
        <v>0</v>
      </c>
      <c r="O259" s="2">
        <f t="shared" si="28"/>
        <v>0</v>
      </c>
      <c r="P259" s="2">
        <f t="shared" si="29"/>
        <v>0</v>
      </c>
      <c r="Q259">
        <f t="array" ref="Q259">SUM(IF(搜索词报告!$H$2:$H$22222=L259,IF(搜索词报告!$A$2:$A$22222&gt;=$L$2,IF(搜索词报告!$A$2:$A$22222&lt;=$L$4,搜索词报告!$Q$2:$Q$22222,0),0),0))</f>
        <v>0</v>
      </c>
      <c r="R259">
        <f t="array" ref="R259">SUM(IF(搜索词报告!$H$2:$H$22222=L259,IF(搜索词报告!$A$2:$A$22222&gt;=$L$2,IF(搜索词报告!$A$2:$A$22222&lt;=$L$4,搜索词报告!$N$2:$N$22222,0),0),0))</f>
        <v>0</v>
      </c>
      <c r="S259">
        <f t="array" ref="S259">SUM(IF(搜索词报告!$H$2:$H$22222=L259,IF(搜索词报告!$A$2:$A$22222&gt;=$L$2,IF(搜索词报告!$A$2:$A$22222&lt;=$L$4,搜索词报告!$M$2:$M$22222,0),0),0))</f>
        <v>0</v>
      </c>
      <c r="T259" s="2" t="str">
        <f t="shared" si="30"/>
        <v/>
      </c>
      <c r="U259" t="str">
        <f t="shared" si="31"/>
        <v>点击次数少于10次没有参考性</v>
      </c>
      <c r="V259" s="4" t="str">
        <f>IFERROR(INDEX(搜索词报告!$D$2:$D$22222,MATCH(关键词词频统计!L259,搜索词报告!$H$2:$H$22222,0)),"")</f>
        <v/>
      </c>
    </row>
    <row r="260" spans="2:22" x14ac:dyDescent="0.15">
      <c r="B260">
        <f t="array" ref="B260">SUM(IF(搜索词报告!$H$2:$H$22222=A260,IF(搜索词报告!$A$2:$A$22222&gt;=关键词词频统计!$A$2,IF(搜索词报告!$A$2:$A$22222&lt;=关键词词频统计!$A$4,搜索词报告!$I$2:$I$22222,0),0),0))</f>
        <v>0</v>
      </c>
      <c r="C260">
        <f t="array" ref="C260">SUM(IF(搜索词报告!$H$2:$H$22222=A260,IF(搜索词报告!$A$2:$A$22222&gt;=关键词词频统计!$A$2,IF(搜索词报告!$A$2:$A$22222&lt;=关键词词频统计!$A$4,搜索词报告!$J$2:$J$22222,0),0),0))</f>
        <v>0</v>
      </c>
      <c r="D260" s="2">
        <f t="shared" si="24"/>
        <v>0</v>
      </c>
      <c r="E260" s="2">
        <f t="shared" si="25"/>
        <v>0</v>
      </c>
      <c r="F260">
        <f t="array" ref="F260">SUM(IF(搜索词报告!$H$2:$H$22222=A260,IF(搜索词报告!$A$2:$A$22222&gt;=关键词词频统计!$A$2,IF(搜索词报告!$A$2:$A$22222&lt;=关键词词频统计!$A$4,搜索词报告!$Q$2:$Q$22222,0),0),0))</f>
        <v>0</v>
      </c>
      <c r="G260">
        <f t="array" ref="G260">SUM(IF(搜索词报告!$H$2:$H$22222=A260,IF(搜索词报告!$A$2:$A$22222&gt;=关键词词频统计!$A$2,IF(搜索词报告!$A$2:$A$22222&lt;=关键词词频统计!$A$4,搜索词报告!$N$2:$N$22222,0),0),0))</f>
        <v>0</v>
      </c>
      <c r="H260">
        <f t="array" ref="H260">SUM(IF(搜索词报告!$H$2:$H$22222=A260,IF(搜索词报告!$A$2:$A$22222&gt;=关键词词频统计!$A$2,IF(搜索词报告!$A$2:$A$22222&lt;=关键词词频统计!$A$4,搜索词报告!$M$2:$M$22222,0),0),0))</f>
        <v>0</v>
      </c>
      <c r="I260" s="2" t="str">
        <f t="shared" si="26"/>
        <v/>
      </c>
      <c r="J260" t="str">
        <f t="shared" si="27"/>
        <v>点击次数少于10次没有参考性</v>
      </c>
      <c r="K260" s="4" t="str">
        <f>IFERROR(INDEX(搜索词报告!$D$2:$D$22222,MATCH(关键词词频统计!A260,搜索词报告!$H$2:$H$22222,0)),"")</f>
        <v/>
      </c>
      <c r="M260">
        <f t="array" ref="M260">SUM(IF(搜索词报告!$H$2:$H$22222=L260,IF(搜索词报告!$A$2:$A$22222&gt;=$L$2,IF(搜索词报告!$A$2:$A$22222&lt;=$L$4,搜索词报告!$I$2:$I$22222,0),0),0))</f>
        <v>0</v>
      </c>
      <c r="N260">
        <f t="array" ref="N260">SUM(IF(搜索词报告!$H$2:$H$22222=L260,IF(搜索词报告!$A$2:$A$22222&gt;=$L$2,IF(搜索词报告!$A$2:$A$22222&lt;=$L$4,搜索词报告!$J$2:$J$22222,0),0),0))</f>
        <v>0</v>
      </c>
      <c r="O260" s="2">
        <f t="shared" si="28"/>
        <v>0</v>
      </c>
      <c r="P260" s="2">
        <f t="shared" si="29"/>
        <v>0</v>
      </c>
      <c r="Q260">
        <f t="array" ref="Q260">SUM(IF(搜索词报告!$H$2:$H$22222=L260,IF(搜索词报告!$A$2:$A$22222&gt;=$L$2,IF(搜索词报告!$A$2:$A$22222&lt;=$L$4,搜索词报告!$Q$2:$Q$22222,0),0),0))</f>
        <v>0</v>
      </c>
      <c r="R260">
        <f t="array" ref="R260">SUM(IF(搜索词报告!$H$2:$H$22222=L260,IF(搜索词报告!$A$2:$A$22222&gt;=$L$2,IF(搜索词报告!$A$2:$A$22222&lt;=$L$4,搜索词报告!$N$2:$N$22222,0),0),0))</f>
        <v>0</v>
      </c>
      <c r="S260">
        <f t="array" ref="S260">SUM(IF(搜索词报告!$H$2:$H$22222=L260,IF(搜索词报告!$A$2:$A$22222&gt;=$L$2,IF(搜索词报告!$A$2:$A$22222&lt;=$L$4,搜索词报告!$M$2:$M$22222,0),0),0))</f>
        <v>0</v>
      </c>
      <c r="T260" s="2" t="str">
        <f t="shared" si="30"/>
        <v/>
      </c>
      <c r="U260" t="str">
        <f t="shared" si="31"/>
        <v>点击次数少于10次没有参考性</v>
      </c>
      <c r="V260" s="4" t="str">
        <f>IFERROR(INDEX(搜索词报告!$D$2:$D$22222,MATCH(关键词词频统计!L260,搜索词报告!$H$2:$H$22222,0)),"")</f>
        <v/>
      </c>
    </row>
    <row r="261" spans="2:22" x14ac:dyDescent="0.15">
      <c r="B261">
        <f t="array" ref="B261">SUM(IF(搜索词报告!$H$2:$H$22222=A261,IF(搜索词报告!$A$2:$A$22222&gt;=关键词词频统计!$A$2,IF(搜索词报告!$A$2:$A$22222&lt;=关键词词频统计!$A$4,搜索词报告!$I$2:$I$22222,0),0),0))</f>
        <v>0</v>
      </c>
      <c r="C261">
        <f t="array" ref="C261">SUM(IF(搜索词报告!$H$2:$H$22222=A261,IF(搜索词报告!$A$2:$A$22222&gt;=关键词词频统计!$A$2,IF(搜索词报告!$A$2:$A$22222&lt;=关键词词频统计!$A$4,搜索词报告!$J$2:$J$22222,0),0),0))</f>
        <v>0</v>
      </c>
      <c r="D261" s="2">
        <f t="shared" si="24"/>
        <v>0</v>
      </c>
      <c r="E261" s="2">
        <f t="shared" si="25"/>
        <v>0</v>
      </c>
      <c r="F261">
        <f t="array" ref="F261">SUM(IF(搜索词报告!$H$2:$H$22222=A261,IF(搜索词报告!$A$2:$A$22222&gt;=关键词词频统计!$A$2,IF(搜索词报告!$A$2:$A$22222&lt;=关键词词频统计!$A$4,搜索词报告!$Q$2:$Q$22222,0),0),0))</f>
        <v>0</v>
      </c>
      <c r="G261">
        <f t="array" ref="G261">SUM(IF(搜索词报告!$H$2:$H$22222=A261,IF(搜索词报告!$A$2:$A$22222&gt;=关键词词频统计!$A$2,IF(搜索词报告!$A$2:$A$22222&lt;=关键词词频统计!$A$4,搜索词报告!$N$2:$N$22222,0),0),0))</f>
        <v>0</v>
      </c>
      <c r="H261">
        <f t="array" ref="H261">SUM(IF(搜索词报告!$H$2:$H$22222=A261,IF(搜索词报告!$A$2:$A$22222&gt;=关键词词频统计!$A$2,IF(搜索词报告!$A$2:$A$22222&lt;=关键词词频统计!$A$4,搜索词报告!$M$2:$M$22222,0),0),0))</f>
        <v>0</v>
      </c>
      <c r="I261" s="2" t="str">
        <f t="shared" si="26"/>
        <v/>
      </c>
      <c r="J261" t="str">
        <f t="shared" si="27"/>
        <v>点击次数少于10次没有参考性</v>
      </c>
      <c r="K261" s="4" t="str">
        <f>IFERROR(INDEX(搜索词报告!$D$2:$D$22222,MATCH(关键词词频统计!A261,搜索词报告!$H$2:$H$22222,0)),"")</f>
        <v/>
      </c>
      <c r="M261">
        <f t="array" ref="M261">SUM(IF(搜索词报告!$H$2:$H$22222=L261,IF(搜索词报告!$A$2:$A$22222&gt;=$L$2,IF(搜索词报告!$A$2:$A$22222&lt;=$L$4,搜索词报告!$I$2:$I$22222,0),0),0))</f>
        <v>0</v>
      </c>
      <c r="N261">
        <f t="array" ref="N261">SUM(IF(搜索词报告!$H$2:$H$22222=L261,IF(搜索词报告!$A$2:$A$22222&gt;=$L$2,IF(搜索词报告!$A$2:$A$22222&lt;=$L$4,搜索词报告!$J$2:$J$22222,0),0),0))</f>
        <v>0</v>
      </c>
      <c r="O261" s="2">
        <f t="shared" si="28"/>
        <v>0</v>
      </c>
      <c r="P261" s="2">
        <f t="shared" si="29"/>
        <v>0</v>
      </c>
      <c r="Q261">
        <f t="array" ref="Q261">SUM(IF(搜索词报告!$H$2:$H$22222=L261,IF(搜索词报告!$A$2:$A$22222&gt;=$L$2,IF(搜索词报告!$A$2:$A$22222&lt;=$L$4,搜索词报告!$Q$2:$Q$22222,0),0),0))</f>
        <v>0</v>
      </c>
      <c r="R261">
        <f t="array" ref="R261">SUM(IF(搜索词报告!$H$2:$H$22222=L261,IF(搜索词报告!$A$2:$A$22222&gt;=$L$2,IF(搜索词报告!$A$2:$A$22222&lt;=$L$4,搜索词报告!$N$2:$N$22222,0),0),0))</f>
        <v>0</v>
      </c>
      <c r="S261">
        <f t="array" ref="S261">SUM(IF(搜索词报告!$H$2:$H$22222=L261,IF(搜索词报告!$A$2:$A$22222&gt;=$L$2,IF(搜索词报告!$A$2:$A$22222&lt;=$L$4,搜索词报告!$M$2:$M$22222,0),0),0))</f>
        <v>0</v>
      </c>
      <c r="T261" s="2" t="str">
        <f t="shared" si="30"/>
        <v/>
      </c>
      <c r="U261" t="str">
        <f t="shared" si="31"/>
        <v>点击次数少于10次没有参考性</v>
      </c>
      <c r="V261" s="4" t="str">
        <f>IFERROR(INDEX(搜索词报告!$D$2:$D$22222,MATCH(关键词词频统计!L261,搜索词报告!$H$2:$H$22222,0)),"")</f>
        <v/>
      </c>
    </row>
    <row r="262" spans="2:22" x14ac:dyDescent="0.15">
      <c r="B262">
        <f t="array" ref="B262">SUM(IF(搜索词报告!$H$2:$H$22222=A262,IF(搜索词报告!$A$2:$A$22222&gt;=关键词词频统计!$A$2,IF(搜索词报告!$A$2:$A$22222&lt;=关键词词频统计!$A$4,搜索词报告!$I$2:$I$22222,0),0),0))</f>
        <v>0</v>
      </c>
      <c r="C262">
        <f t="array" ref="C262">SUM(IF(搜索词报告!$H$2:$H$22222=A262,IF(搜索词报告!$A$2:$A$22222&gt;=关键词词频统计!$A$2,IF(搜索词报告!$A$2:$A$22222&lt;=关键词词频统计!$A$4,搜索词报告!$J$2:$J$22222,0),0),0))</f>
        <v>0</v>
      </c>
      <c r="D262" s="2">
        <f t="shared" si="24"/>
        <v>0</v>
      </c>
      <c r="E262" s="2">
        <f t="shared" si="25"/>
        <v>0</v>
      </c>
      <c r="F262">
        <f t="array" ref="F262">SUM(IF(搜索词报告!$H$2:$H$22222=A262,IF(搜索词报告!$A$2:$A$22222&gt;=关键词词频统计!$A$2,IF(搜索词报告!$A$2:$A$22222&lt;=关键词词频统计!$A$4,搜索词报告!$Q$2:$Q$22222,0),0),0))</f>
        <v>0</v>
      </c>
      <c r="G262">
        <f t="array" ref="G262">SUM(IF(搜索词报告!$H$2:$H$22222=A262,IF(搜索词报告!$A$2:$A$22222&gt;=关键词词频统计!$A$2,IF(搜索词报告!$A$2:$A$22222&lt;=关键词词频统计!$A$4,搜索词报告!$N$2:$N$22222,0),0),0))</f>
        <v>0</v>
      </c>
      <c r="H262">
        <f t="array" ref="H262">SUM(IF(搜索词报告!$H$2:$H$22222=A262,IF(搜索词报告!$A$2:$A$22222&gt;=关键词词频统计!$A$2,IF(搜索词报告!$A$2:$A$22222&lt;=关键词词频统计!$A$4,搜索词报告!$M$2:$M$22222,0),0),0))</f>
        <v>0</v>
      </c>
      <c r="I262" s="2" t="str">
        <f t="shared" si="26"/>
        <v/>
      </c>
      <c r="J262" t="str">
        <f t="shared" si="27"/>
        <v>点击次数少于10次没有参考性</v>
      </c>
      <c r="K262" s="4" t="str">
        <f>IFERROR(INDEX(搜索词报告!$D$2:$D$22222,MATCH(关键词词频统计!A262,搜索词报告!$H$2:$H$22222,0)),"")</f>
        <v/>
      </c>
      <c r="M262">
        <f t="array" ref="M262">SUM(IF(搜索词报告!$H$2:$H$22222=L262,IF(搜索词报告!$A$2:$A$22222&gt;=$L$2,IF(搜索词报告!$A$2:$A$22222&lt;=$L$4,搜索词报告!$I$2:$I$22222,0),0),0))</f>
        <v>0</v>
      </c>
      <c r="N262">
        <f t="array" ref="N262">SUM(IF(搜索词报告!$H$2:$H$22222=L262,IF(搜索词报告!$A$2:$A$22222&gt;=$L$2,IF(搜索词报告!$A$2:$A$22222&lt;=$L$4,搜索词报告!$J$2:$J$22222,0),0),0))</f>
        <v>0</v>
      </c>
      <c r="O262" s="2">
        <f t="shared" si="28"/>
        <v>0</v>
      </c>
      <c r="P262" s="2">
        <f t="shared" si="29"/>
        <v>0</v>
      </c>
      <c r="Q262">
        <f t="array" ref="Q262">SUM(IF(搜索词报告!$H$2:$H$22222=L262,IF(搜索词报告!$A$2:$A$22222&gt;=$L$2,IF(搜索词报告!$A$2:$A$22222&lt;=$L$4,搜索词报告!$Q$2:$Q$22222,0),0),0))</f>
        <v>0</v>
      </c>
      <c r="R262">
        <f t="array" ref="R262">SUM(IF(搜索词报告!$H$2:$H$22222=L262,IF(搜索词报告!$A$2:$A$22222&gt;=$L$2,IF(搜索词报告!$A$2:$A$22222&lt;=$L$4,搜索词报告!$N$2:$N$22222,0),0),0))</f>
        <v>0</v>
      </c>
      <c r="S262">
        <f t="array" ref="S262">SUM(IF(搜索词报告!$H$2:$H$22222=L262,IF(搜索词报告!$A$2:$A$22222&gt;=$L$2,IF(搜索词报告!$A$2:$A$22222&lt;=$L$4,搜索词报告!$M$2:$M$22222,0),0),0))</f>
        <v>0</v>
      </c>
      <c r="T262" s="2" t="str">
        <f t="shared" si="30"/>
        <v/>
      </c>
      <c r="U262" t="str">
        <f t="shared" si="31"/>
        <v>点击次数少于10次没有参考性</v>
      </c>
      <c r="V262" s="4" t="str">
        <f>IFERROR(INDEX(搜索词报告!$D$2:$D$22222,MATCH(关键词词频统计!L262,搜索词报告!$H$2:$H$22222,0)),"")</f>
        <v/>
      </c>
    </row>
    <row r="263" spans="2:22" x14ac:dyDescent="0.15">
      <c r="B263">
        <f t="array" ref="B263">SUM(IF(搜索词报告!$H$2:$H$22222=A263,IF(搜索词报告!$A$2:$A$22222&gt;=关键词词频统计!$A$2,IF(搜索词报告!$A$2:$A$22222&lt;=关键词词频统计!$A$4,搜索词报告!$I$2:$I$22222,0),0),0))</f>
        <v>0</v>
      </c>
      <c r="C263">
        <f t="array" ref="C263">SUM(IF(搜索词报告!$H$2:$H$22222=A263,IF(搜索词报告!$A$2:$A$22222&gt;=关键词词频统计!$A$2,IF(搜索词报告!$A$2:$A$22222&lt;=关键词词频统计!$A$4,搜索词报告!$J$2:$J$22222,0),0),0))</f>
        <v>0</v>
      </c>
      <c r="D263" s="2">
        <f t="shared" ref="D263:D326" si="32">IFERROR(C263/B263,0)</f>
        <v>0</v>
      </c>
      <c r="E263" s="2">
        <f t="shared" ref="E263:E326" si="33">IFERROR(F263/C263,0)</f>
        <v>0</v>
      </c>
      <c r="F263">
        <f t="array" ref="F263">SUM(IF(搜索词报告!$H$2:$H$22222=A263,IF(搜索词报告!$A$2:$A$22222&gt;=关键词词频统计!$A$2,IF(搜索词报告!$A$2:$A$22222&lt;=关键词词频统计!$A$4,搜索词报告!$Q$2:$Q$22222,0),0),0))</f>
        <v>0</v>
      </c>
      <c r="G263">
        <f t="array" ref="G263">SUM(IF(搜索词报告!$H$2:$H$22222=A263,IF(搜索词报告!$A$2:$A$22222&gt;=关键词词频统计!$A$2,IF(搜索词报告!$A$2:$A$22222&lt;=关键词词频统计!$A$4,搜索词报告!$N$2:$N$22222,0),0),0))</f>
        <v>0</v>
      </c>
      <c r="H263">
        <f t="array" ref="H263">SUM(IF(搜索词报告!$H$2:$H$22222=A263,IF(搜索词报告!$A$2:$A$22222&gt;=关键词词频统计!$A$2,IF(搜索词报告!$A$2:$A$22222&lt;=关键词词频统计!$A$4,搜索词报告!$M$2:$M$22222,0),0),0))</f>
        <v>0</v>
      </c>
      <c r="I263" s="2" t="str">
        <f t="shared" ref="I263:I326" si="34">IF(IFERROR(H263/G263,0)=0,"",IFERROR(H263/G263,0))</f>
        <v/>
      </c>
      <c r="J263" t="str">
        <f t="shared" ref="J263:J326" si="35">IF(AND(C263&gt;=10,E263&lt;=0.05),"极差",IF(AND(C263&gt;=10,0.05&lt;E263,E263&lt;=0.1),"差",IF(AND(C263&gt;=10,0.1&lt;E263,E263&lt;=0.15),"良",IF(AND(C263&gt;=10,E263&gt;0.15),"优","点击次数少于10次没有参考性"))))</f>
        <v>点击次数少于10次没有参考性</v>
      </c>
      <c r="K263" s="4" t="str">
        <f>IFERROR(INDEX(搜索词报告!$D$2:$D$22222,MATCH(关键词词频统计!A263,搜索词报告!$H$2:$H$22222,0)),"")</f>
        <v/>
      </c>
      <c r="M263">
        <f t="array" ref="M263">SUM(IF(搜索词报告!$H$2:$H$22222=L263,IF(搜索词报告!$A$2:$A$22222&gt;=$L$2,IF(搜索词报告!$A$2:$A$22222&lt;=$L$4,搜索词报告!$I$2:$I$22222,0),0),0))</f>
        <v>0</v>
      </c>
      <c r="N263">
        <f t="array" ref="N263">SUM(IF(搜索词报告!$H$2:$H$22222=L263,IF(搜索词报告!$A$2:$A$22222&gt;=$L$2,IF(搜索词报告!$A$2:$A$22222&lt;=$L$4,搜索词报告!$J$2:$J$22222,0),0),0))</f>
        <v>0</v>
      </c>
      <c r="O263" s="2">
        <f t="shared" ref="O263:O326" si="36">IFERROR(N263/M263,0)</f>
        <v>0</v>
      </c>
      <c r="P263" s="2">
        <f t="shared" ref="P263:P326" si="37">IFERROR(Q263/N263,0)</f>
        <v>0</v>
      </c>
      <c r="Q263">
        <f t="array" ref="Q263">SUM(IF(搜索词报告!$H$2:$H$22222=L263,IF(搜索词报告!$A$2:$A$22222&gt;=$L$2,IF(搜索词报告!$A$2:$A$22222&lt;=$L$4,搜索词报告!$Q$2:$Q$22222,0),0),0))</f>
        <v>0</v>
      </c>
      <c r="R263">
        <f t="array" ref="R263">SUM(IF(搜索词报告!$H$2:$H$22222=L263,IF(搜索词报告!$A$2:$A$22222&gt;=$L$2,IF(搜索词报告!$A$2:$A$22222&lt;=$L$4,搜索词报告!$N$2:$N$22222,0),0),0))</f>
        <v>0</v>
      </c>
      <c r="S263">
        <f t="array" ref="S263">SUM(IF(搜索词报告!$H$2:$H$22222=L263,IF(搜索词报告!$A$2:$A$22222&gt;=$L$2,IF(搜索词报告!$A$2:$A$22222&lt;=$L$4,搜索词报告!$M$2:$M$22222,0),0),0))</f>
        <v>0</v>
      </c>
      <c r="T263" s="2" t="str">
        <f t="shared" ref="T263:T326" si="38">IF(IFERROR(S263/R263,0)=0,"",IFERROR(S263/R263,0))</f>
        <v/>
      </c>
      <c r="U263" t="str">
        <f t="shared" ref="U263:U326" si="39">IF(AND(N263&gt;=10,P263&lt;=0.05),"极差",IF(AND(N263&gt;=10,0.05&lt;P263,P263&lt;=0.1),"差",IF(AND(N263&gt;=10,0.1&lt;P263,P263&lt;=0.15),"良",IF(AND(N263&gt;=10,P263&gt;0.15),"优","点击次数少于10次没有参考性"))))</f>
        <v>点击次数少于10次没有参考性</v>
      </c>
      <c r="V263" s="4" t="str">
        <f>IFERROR(INDEX(搜索词报告!$D$2:$D$22222,MATCH(关键词词频统计!L263,搜索词报告!$H$2:$H$22222,0)),"")</f>
        <v/>
      </c>
    </row>
    <row r="264" spans="2:22" x14ac:dyDescent="0.15">
      <c r="B264">
        <f t="array" ref="B264">SUM(IF(搜索词报告!$H$2:$H$22222=A264,IF(搜索词报告!$A$2:$A$22222&gt;=关键词词频统计!$A$2,IF(搜索词报告!$A$2:$A$22222&lt;=关键词词频统计!$A$4,搜索词报告!$I$2:$I$22222,0),0),0))</f>
        <v>0</v>
      </c>
      <c r="C264">
        <f t="array" ref="C264">SUM(IF(搜索词报告!$H$2:$H$22222=A264,IF(搜索词报告!$A$2:$A$22222&gt;=关键词词频统计!$A$2,IF(搜索词报告!$A$2:$A$22222&lt;=关键词词频统计!$A$4,搜索词报告!$J$2:$J$22222,0),0),0))</f>
        <v>0</v>
      </c>
      <c r="D264" s="2">
        <f t="shared" si="32"/>
        <v>0</v>
      </c>
      <c r="E264" s="2">
        <f t="shared" si="33"/>
        <v>0</v>
      </c>
      <c r="F264">
        <f t="array" ref="F264">SUM(IF(搜索词报告!$H$2:$H$22222=A264,IF(搜索词报告!$A$2:$A$22222&gt;=关键词词频统计!$A$2,IF(搜索词报告!$A$2:$A$22222&lt;=关键词词频统计!$A$4,搜索词报告!$Q$2:$Q$22222,0),0),0))</f>
        <v>0</v>
      </c>
      <c r="G264">
        <f t="array" ref="G264">SUM(IF(搜索词报告!$H$2:$H$22222=A264,IF(搜索词报告!$A$2:$A$22222&gt;=关键词词频统计!$A$2,IF(搜索词报告!$A$2:$A$22222&lt;=关键词词频统计!$A$4,搜索词报告!$N$2:$N$22222,0),0),0))</f>
        <v>0</v>
      </c>
      <c r="H264">
        <f t="array" ref="H264">SUM(IF(搜索词报告!$H$2:$H$22222=A264,IF(搜索词报告!$A$2:$A$22222&gt;=关键词词频统计!$A$2,IF(搜索词报告!$A$2:$A$22222&lt;=关键词词频统计!$A$4,搜索词报告!$M$2:$M$22222,0),0),0))</f>
        <v>0</v>
      </c>
      <c r="I264" s="2" t="str">
        <f t="shared" si="34"/>
        <v/>
      </c>
      <c r="J264" t="str">
        <f t="shared" si="35"/>
        <v>点击次数少于10次没有参考性</v>
      </c>
      <c r="K264" s="4" t="str">
        <f>IFERROR(INDEX(搜索词报告!$D$2:$D$22222,MATCH(关键词词频统计!A264,搜索词报告!$H$2:$H$22222,0)),"")</f>
        <v/>
      </c>
      <c r="M264">
        <f t="array" ref="M264">SUM(IF(搜索词报告!$H$2:$H$22222=L264,IF(搜索词报告!$A$2:$A$22222&gt;=$L$2,IF(搜索词报告!$A$2:$A$22222&lt;=$L$4,搜索词报告!$I$2:$I$22222,0),0),0))</f>
        <v>0</v>
      </c>
      <c r="N264">
        <f t="array" ref="N264">SUM(IF(搜索词报告!$H$2:$H$22222=L264,IF(搜索词报告!$A$2:$A$22222&gt;=$L$2,IF(搜索词报告!$A$2:$A$22222&lt;=$L$4,搜索词报告!$J$2:$J$22222,0),0),0))</f>
        <v>0</v>
      </c>
      <c r="O264" s="2">
        <f t="shared" si="36"/>
        <v>0</v>
      </c>
      <c r="P264" s="2">
        <f t="shared" si="37"/>
        <v>0</v>
      </c>
      <c r="Q264">
        <f t="array" ref="Q264">SUM(IF(搜索词报告!$H$2:$H$22222=L264,IF(搜索词报告!$A$2:$A$22222&gt;=$L$2,IF(搜索词报告!$A$2:$A$22222&lt;=$L$4,搜索词报告!$Q$2:$Q$22222,0),0),0))</f>
        <v>0</v>
      </c>
      <c r="R264">
        <f t="array" ref="R264">SUM(IF(搜索词报告!$H$2:$H$22222=L264,IF(搜索词报告!$A$2:$A$22222&gt;=$L$2,IF(搜索词报告!$A$2:$A$22222&lt;=$L$4,搜索词报告!$N$2:$N$22222,0),0),0))</f>
        <v>0</v>
      </c>
      <c r="S264">
        <f t="array" ref="S264">SUM(IF(搜索词报告!$H$2:$H$22222=L264,IF(搜索词报告!$A$2:$A$22222&gt;=$L$2,IF(搜索词报告!$A$2:$A$22222&lt;=$L$4,搜索词报告!$M$2:$M$22222,0),0),0))</f>
        <v>0</v>
      </c>
      <c r="T264" s="2" t="str">
        <f t="shared" si="38"/>
        <v/>
      </c>
      <c r="U264" t="str">
        <f t="shared" si="39"/>
        <v>点击次数少于10次没有参考性</v>
      </c>
      <c r="V264" s="4" t="str">
        <f>IFERROR(INDEX(搜索词报告!$D$2:$D$22222,MATCH(关键词词频统计!L264,搜索词报告!$H$2:$H$22222,0)),"")</f>
        <v/>
      </c>
    </row>
    <row r="265" spans="2:22" x14ac:dyDescent="0.15">
      <c r="B265">
        <f t="array" ref="B265">SUM(IF(搜索词报告!$H$2:$H$22222=A265,IF(搜索词报告!$A$2:$A$22222&gt;=关键词词频统计!$A$2,IF(搜索词报告!$A$2:$A$22222&lt;=关键词词频统计!$A$4,搜索词报告!$I$2:$I$22222,0),0),0))</f>
        <v>0</v>
      </c>
      <c r="C265">
        <f t="array" ref="C265">SUM(IF(搜索词报告!$H$2:$H$22222=A265,IF(搜索词报告!$A$2:$A$22222&gt;=关键词词频统计!$A$2,IF(搜索词报告!$A$2:$A$22222&lt;=关键词词频统计!$A$4,搜索词报告!$J$2:$J$22222,0),0),0))</f>
        <v>0</v>
      </c>
      <c r="D265" s="2">
        <f t="shared" si="32"/>
        <v>0</v>
      </c>
      <c r="E265" s="2">
        <f t="shared" si="33"/>
        <v>0</v>
      </c>
      <c r="F265">
        <f t="array" ref="F265">SUM(IF(搜索词报告!$H$2:$H$22222=A265,IF(搜索词报告!$A$2:$A$22222&gt;=关键词词频统计!$A$2,IF(搜索词报告!$A$2:$A$22222&lt;=关键词词频统计!$A$4,搜索词报告!$Q$2:$Q$22222,0),0),0))</f>
        <v>0</v>
      </c>
      <c r="G265">
        <f t="array" ref="G265">SUM(IF(搜索词报告!$H$2:$H$22222=A265,IF(搜索词报告!$A$2:$A$22222&gt;=关键词词频统计!$A$2,IF(搜索词报告!$A$2:$A$22222&lt;=关键词词频统计!$A$4,搜索词报告!$N$2:$N$22222,0),0),0))</f>
        <v>0</v>
      </c>
      <c r="H265">
        <f t="array" ref="H265">SUM(IF(搜索词报告!$H$2:$H$22222=A265,IF(搜索词报告!$A$2:$A$22222&gt;=关键词词频统计!$A$2,IF(搜索词报告!$A$2:$A$22222&lt;=关键词词频统计!$A$4,搜索词报告!$M$2:$M$22222,0),0),0))</f>
        <v>0</v>
      </c>
      <c r="I265" s="2" t="str">
        <f t="shared" si="34"/>
        <v/>
      </c>
      <c r="J265" t="str">
        <f t="shared" si="35"/>
        <v>点击次数少于10次没有参考性</v>
      </c>
      <c r="K265" s="4" t="str">
        <f>IFERROR(INDEX(搜索词报告!$D$2:$D$22222,MATCH(关键词词频统计!A265,搜索词报告!$H$2:$H$22222,0)),"")</f>
        <v/>
      </c>
      <c r="M265">
        <f t="array" ref="M265">SUM(IF(搜索词报告!$H$2:$H$22222=L265,IF(搜索词报告!$A$2:$A$22222&gt;=$L$2,IF(搜索词报告!$A$2:$A$22222&lt;=$L$4,搜索词报告!$I$2:$I$22222,0),0),0))</f>
        <v>0</v>
      </c>
      <c r="N265">
        <f t="array" ref="N265">SUM(IF(搜索词报告!$H$2:$H$22222=L265,IF(搜索词报告!$A$2:$A$22222&gt;=$L$2,IF(搜索词报告!$A$2:$A$22222&lt;=$L$4,搜索词报告!$J$2:$J$22222,0),0),0))</f>
        <v>0</v>
      </c>
      <c r="O265" s="2">
        <f t="shared" si="36"/>
        <v>0</v>
      </c>
      <c r="P265" s="2">
        <f t="shared" si="37"/>
        <v>0</v>
      </c>
      <c r="Q265">
        <f t="array" ref="Q265">SUM(IF(搜索词报告!$H$2:$H$22222=L265,IF(搜索词报告!$A$2:$A$22222&gt;=$L$2,IF(搜索词报告!$A$2:$A$22222&lt;=$L$4,搜索词报告!$Q$2:$Q$22222,0),0),0))</f>
        <v>0</v>
      </c>
      <c r="R265">
        <f t="array" ref="R265">SUM(IF(搜索词报告!$H$2:$H$22222=L265,IF(搜索词报告!$A$2:$A$22222&gt;=$L$2,IF(搜索词报告!$A$2:$A$22222&lt;=$L$4,搜索词报告!$N$2:$N$22222,0),0),0))</f>
        <v>0</v>
      </c>
      <c r="S265">
        <f t="array" ref="S265">SUM(IF(搜索词报告!$H$2:$H$22222=L265,IF(搜索词报告!$A$2:$A$22222&gt;=$L$2,IF(搜索词报告!$A$2:$A$22222&lt;=$L$4,搜索词报告!$M$2:$M$22222,0),0),0))</f>
        <v>0</v>
      </c>
      <c r="T265" s="2" t="str">
        <f t="shared" si="38"/>
        <v/>
      </c>
      <c r="U265" t="str">
        <f t="shared" si="39"/>
        <v>点击次数少于10次没有参考性</v>
      </c>
      <c r="V265" s="4" t="str">
        <f>IFERROR(INDEX(搜索词报告!$D$2:$D$22222,MATCH(关键词词频统计!L265,搜索词报告!$H$2:$H$22222,0)),"")</f>
        <v/>
      </c>
    </row>
    <row r="266" spans="2:22" x14ac:dyDescent="0.15">
      <c r="B266">
        <f t="array" ref="B266">SUM(IF(搜索词报告!$H$2:$H$22222=A266,IF(搜索词报告!$A$2:$A$22222&gt;=关键词词频统计!$A$2,IF(搜索词报告!$A$2:$A$22222&lt;=关键词词频统计!$A$4,搜索词报告!$I$2:$I$22222,0),0),0))</f>
        <v>0</v>
      </c>
      <c r="C266">
        <f t="array" ref="C266">SUM(IF(搜索词报告!$H$2:$H$22222=A266,IF(搜索词报告!$A$2:$A$22222&gt;=关键词词频统计!$A$2,IF(搜索词报告!$A$2:$A$22222&lt;=关键词词频统计!$A$4,搜索词报告!$J$2:$J$22222,0),0),0))</f>
        <v>0</v>
      </c>
      <c r="D266" s="2">
        <f t="shared" si="32"/>
        <v>0</v>
      </c>
      <c r="E266" s="2">
        <f t="shared" si="33"/>
        <v>0</v>
      </c>
      <c r="F266">
        <f t="array" ref="F266">SUM(IF(搜索词报告!$H$2:$H$22222=A266,IF(搜索词报告!$A$2:$A$22222&gt;=关键词词频统计!$A$2,IF(搜索词报告!$A$2:$A$22222&lt;=关键词词频统计!$A$4,搜索词报告!$Q$2:$Q$22222,0),0),0))</f>
        <v>0</v>
      </c>
      <c r="G266">
        <f t="array" ref="G266">SUM(IF(搜索词报告!$H$2:$H$22222=A266,IF(搜索词报告!$A$2:$A$22222&gt;=关键词词频统计!$A$2,IF(搜索词报告!$A$2:$A$22222&lt;=关键词词频统计!$A$4,搜索词报告!$N$2:$N$22222,0),0),0))</f>
        <v>0</v>
      </c>
      <c r="H266">
        <f t="array" ref="H266">SUM(IF(搜索词报告!$H$2:$H$22222=A266,IF(搜索词报告!$A$2:$A$22222&gt;=关键词词频统计!$A$2,IF(搜索词报告!$A$2:$A$22222&lt;=关键词词频统计!$A$4,搜索词报告!$M$2:$M$22222,0),0),0))</f>
        <v>0</v>
      </c>
      <c r="I266" s="2" t="str">
        <f t="shared" si="34"/>
        <v/>
      </c>
      <c r="J266" t="str">
        <f t="shared" si="35"/>
        <v>点击次数少于10次没有参考性</v>
      </c>
      <c r="K266" s="4" t="str">
        <f>IFERROR(INDEX(搜索词报告!$D$2:$D$22222,MATCH(关键词词频统计!A266,搜索词报告!$H$2:$H$22222,0)),"")</f>
        <v/>
      </c>
      <c r="M266">
        <f t="array" ref="M266">SUM(IF(搜索词报告!$H$2:$H$22222=L266,IF(搜索词报告!$A$2:$A$22222&gt;=$L$2,IF(搜索词报告!$A$2:$A$22222&lt;=$L$4,搜索词报告!$I$2:$I$22222,0),0),0))</f>
        <v>0</v>
      </c>
      <c r="N266">
        <f t="array" ref="N266">SUM(IF(搜索词报告!$H$2:$H$22222=L266,IF(搜索词报告!$A$2:$A$22222&gt;=$L$2,IF(搜索词报告!$A$2:$A$22222&lt;=$L$4,搜索词报告!$J$2:$J$22222,0),0),0))</f>
        <v>0</v>
      </c>
      <c r="O266" s="2">
        <f t="shared" si="36"/>
        <v>0</v>
      </c>
      <c r="P266" s="2">
        <f t="shared" si="37"/>
        <v>0</v>
      </c>
      <c r="Q266">
        <f t="array" ref="Q266">SUM(IF(搜索词报告!$H$2:$H$22222=L266,IF(搜索词报告!$A$2:$A$22222&gt;=$L$2,IF(搜索词报告!$A$2:$A$22222&lt;=$L$4,搜索词报告!$Q$2:$Q$22222,0),0),0))</f>
        <v>0</v>
      </c>
      <c r="R266">
        <f t="array" ref="R266">SUM(IF(搜索词报告!$H$2:$H$22222=L266,IF(搜索词报告!$A$2:$A$22222&gt;=$L$2,IF(搜索词报告!$A$2:$A$22222&lt;=$L$4,搜索词报告!$N$2:$N$22222,0),0),0))</f>
        <v>0</v>
      </c>
      <c r="S266">
        <f t="array" ref="S266">SUM(IF(搜索词报告!$H$2:$H$22222=L266,IF(搜索词报告!$A$2:$A$22222&gt;=$L$2,IF(搜索词报告!$A$2:$A$22222&lt;=$L$4,搜索词报告!$M$2:$M$22222,0),0),0))</f>
        <v>0</v>
      </c>
      <c r="T266" s="2" t="str">
        <f t="shared" si="38"/>
        <v/>
      </c>
      <c r="U266" t="str">
        <f t="shared" si="39"/>
        <v>点击次数少于10次没有参考性</v>
      </c>
      <c r="V266" s="4" t="str">
        <f>IFERROR(INDEX(搜索词报告!$D$2:$D$22222,MATCH(关键词词频统计!L266,搜索词报告!$H$2:$H$22222,0)),"")</f>
        <v/>
      </c>
    </row>
    <row r="267" spans="2:22" x14ac:dyDescent="0.15">
      <c r="B267">
        <f t="array" ref="B267">SUM(IF(搜索词报告!$H$2:$H$22222=A267,IF(搜索词报告!$A$2:$A$22222&gt;=关键词词频统计!$A$2,IF(搜索词报告!$A$2:$A$22222&lt;=关键词词频统计!$A$4,搜索词报告!$I$2:$I$22222,0),0),0))</f>
        <v>0</v>
      </c>
      <c r="C267">
        <f t="array" ref="C267">SUM(IF(搜索词报告!$H$2:$H$22222=A267,IF(搜索词报告!$A$2:$A$22222&gt;=关键词词频统计!$A$2,IF(搜索词报告!$A$2:$A$22222&lt;=关键词词频统计!$A$4,搜索词报告!$J$2:$J$22222,0),0),0))</f>
        <v>0</v>
      </c>
      <c r="D267" s="2">
        <f t="shared" si="32"/>
        <v>0</v>
      </c>
      <c r="E267" s="2">
        <f t="shared" si="33"/>
        <v>0</v>
      </c>
      <c r="F267">
        <f t="array" ref="F267">SUM(IF(搜索词报告!$H$2:$H$22222=A267,IF(搜索词报告!$A$2:$A$22222&gt;=关键词词频统计!$A$2,IF(搜索词报告!$A$2:$A$22222&lt;=关键词词频统计!$A$4,搜索词报告!$Q$2:$Q$22222,0),0),0))</f>
        <v>0</v>
      </c>
      <c r="G267">
        <f t="array" ref="G267">SUM(IF(搜索词报告!$H$2:$H$22222=A267,IF(搜索词报告!$A$2:$A$22222&gt;=关键词词频统计!$A$2,IF(搜索词报告!$A$2:$A$22222&lt;=关键词词频统计!$A$4,搜索词报告!$N$2:$N$22222,0),0),0))</f>
        <v>0</v>
      </c>
      <c r="H267">
        <f t="array" ref="H267">SUM(IF(搜索词报告!$H$2:$H$22222=A267,IF(搜索词报告!$A$2:$A$22222&gt;=关键词词频统计!$A$2,IF(搜索词报告!$A$2:$A$22222&lt;=关键词词频统计!$A$4,搜索词报告!$M$2:$M$22222,0),0),0))</f>
        <v>0</v>
      </c>
      <c r="I267" s="2" t="str">
        <f t="shared" si="34"/>
        <v/>
      </c>
      <c r="J267" t="str">
        <f t="shared" si="35"/>
        <v>点击次数少于10次没有参考性</v>
      </c>
      <c r="K267" s="4" t="str">
        <f>IFERROR(INDEX(搜索词报告!$D$2:$D$22222,MATCH(关键词词频统计!A267,搜索词报告!$H$2:$H$22222,0)),"")</f>
        <v/>
      </c>
      <c r="M267">
        <f t="array" ref="M267">SUM(IF(搜索词报告!$H$2:$H$22222=L267,IF(搜索词报告!$A$2:$A$22222&gt;=$L$2,IF(搜索词报告!$A$2:$A$22222&lt;=$L$4,搜索词报告!$I$2:$I$22222,0),0),0))</f>
        <v>0</v>
      </c>
      <c r="N267">
        <f t="array" ref="N267">SUM(IF(搜索词报告!$H$2:$H$22222=L267,IF(搜索词报告!$A$2:$A$22222&gt;=$L$2,IF(搜索词报告!$A$2:$A$22222&lt;=$L$4,搜索词报告!$J$2:$J$22222,0),0),0))</f>
        <v>0</v>
      </c>
      <c r="O267" s="2">
        <f t="shared" si="36"/>
        <v>0</v>
      </c>
      <c r="P267" s="2">
        <f t="shared" si="37"/>
        <v>0</v>
      </c>
      <c r="Q267">
        <f t="array" ref="Q267">SUM(IF(搜索词报告!$H$2:$H$22222=L267,IF(搜索词报告!$A$2:$A$22222&gt;=$L$2,IF(搜索词报告!$A$2:$A$22222&lt;=$L$4,搜索词报告!$Q$2:$Q$22222,0),0),0))</f>
        <v>0</v>
      </c>
      <c r="R267">
        <f t="array" ref="R267">SUM(IF(搜索词报告!$H$2:$H$22222=L267,IF(搜索词报告!$A$2:$A$22222&gt;=$L$2,IF(搜索词报告!$A$2:$A$22222&lt;=$L$4,搜索词报告!$N$2:$N$22222,0),0),0))</f>
        <v>0</v>
      </c>
      <c r="S267">
        <f t="array" ref="S267">SUM(IF(搜索词报告!$H$2:$H$22222=L267,IF(搜索词报告!$A$2:$A$22222&gt;=$L$2,IF(搜索词报告!$A$2:$A$22222&lt;=$L$4,搜索词报告!$M$2:$M$22222,0),0),0))</f>
        <v>0</v>
      </c>
      <c r="T267" s="2" t="str">
        <f t="shared" si="38"/>
        <v/>
      </c>
      <c r="U267" t="str">
        <f t="shared" si="39"/>
        <v>点击次数少于10次没有参考性</v>
      </c>
      <c r="V267" s="4" t="str">
        <f>IFERROR(INDEX(搜索词报告!$D$2:$D$22222,MATCH(关键词词频统计!L267,搜索词报告!$H$2:$H$22222,0)),"")</f>
        <v/>
      </c>
    </row>
    <row r="268" spans="2:22" x14ac:dyDescent="0.15">
      <c r="B268">
        <f t="array" ref="B268">SUM(IF(搜索词报告!$H$2:$H$22222=A268,IF(搜索词报告!$A$2:$A$22222&gt;=关键词词频统计!$A$2,IF(搜索词报告!$A$2:$A$22222&lt;=关键词词频统计!$A$4,搜索词报告!$I$2:$I$22222,0),0),0))</f>
        <v>0</v>
      </c>
      <c r="C268">
        <f t="array" ref="C268">SUM(IF(搜索词报告!$H$2:$H$22222=A268,IF(搜索词报告!$A$2:$A$22222&gt;=关键词词频统计!$A$2,IF(搜索词报告!$A$2:$A$22222&lt;=关键词词频统计!$A$4,搜索词报告!$J$2:$J$22222,0),0),0))</f>
        <v>0</v>
      </c>
      <c r="D268" s="2">
        <f t="shared" si="32"/>
        <v>0</v>
      </c>
      <c r="E268" s="2">
        <f t="shared" si="33"/>
        <v>0</v>
      </c>
      <c r="F268">
        <f t="array" ref="F268">SUM(IF(搜索词报告!$H$2:$H$22222=A268,IF(搜索词报告!$A$2:$A$22222&gt;=关键词词频统计!$A$2,IF(搜索词报告!$A$2:$A$22222&lt;=关键词词频统计!$A$4,搜索词报告!$Q$2:$Q$22222,0),0),0))</f>
        <v>0</v>
      </c>
      <c r="G268">
        <f t="array" ref="G268">SUM(IF(搜索词报告!$H$2:$H$22222=A268,IF(搜索词报告!$A$2:$A$22222&gt;=关键词词频统计!$A$2,IF(搜索词报告!$A$2:$A$22222&lt;=关键词词频统计!$A$4,搜索词报告!$N$2:$N$22222,0),0),0))</f>
        <v>0</v>
      </c>
      <c r="H268">
        <f t="array" ref="H268">SUM(IF(搜索词报告!$H$2:$H$22222=A268,IF(搜索词报告!$A$2:$A$22222&gt;=关键词词频统计!$A$2,IF(搜索词报告!$A$2:$A$22222&lt;=关键词词频统计!$A$4,搜索词报告!$M$2:$M$22222,0),0),0))</f>
        <v>0</v>
      </c>
      <c r="I268" s="2" t="str">
        <f t="shared" si="34"/>
        <v/>
      </c>
      <c r="J268" t="str">
        <f t="shared" si="35"/>
        <v>点击次数少于10次没有参考性</v>
      </c>
      <c r="K268" s="4" t="str">
        <f>IFERROR(INDEX(搜索词报告!$D$2:$D$22222,MATCH(关键词词频统计!A268,搜索词报告!$H$2:$H$22222,0)),"")</f>
        <v/>
      </c>
      <c r="M268">
        <f t="array" ref="M268">SUM(IF(搜索词报告!$H$2:$H$22222=L268,IF(搜索词报告!$A$2:$A$22222&gt;=$L$2,IF(搜索词报告!$A$2:$A$22222&lt;=$L$4,搜索词报告!$I$2:$I$22222,0),0),0))</f>
        <v>0</v>
      </c>
      <c r="N268">
        <f t="array" ref="N268">SUM(IF(搜索词报告!$H$2:$H$22222=L268,IF(搜索词报告!$A$2:$A$22222&gt;=$L$2,IF(搜索词报告!$A$2:$A$22222&lt;=$L$4,搜索词报告!$J$2:$J$22222,0),0),0))</f>
        <v>0</v>
      </c>
      <c r="O268" s="2">
        <f t="shared" si="36"/>
        <v>0</v>
      </c>
      <c r="P268" s="2">
        <f t="shared" si="37"/>
        <v>0</v>
      </c>
      <c r="Q268">
        <f t="array" ref="Q268">SUM(IF(搜索词报告!$H$2:$H$22222=L268,IF(搜索词报告!$A$2:$A$22222&gt;=$L$2,IF(搜索词报告!$A$2:$A$22222&lt;=$L$4,搜索词报告!$Q$2:$Q$22222,0),0),0))</f>
        <v>0</v>
      </c>
      <c r="R268">
        <f t="array" ref="R268">SUM(IF(搜索词报告!$H$2:$H$22222=L268,IF(搜索词报告!$A$2:$A$22222&gt;=$L$2,IF(搜索词报告!$A$2:$A$22222&lt;=$L$4,搜索词报告!$N$2:$N$22222,0),0),0))</f>
        <v>0</v>
      </c>
      <c r="S268">
        <f t="array" ref="S268">SUM(IF(搜索词报告!$H$2:$H$22222=L268,IF(搜索词报告!$A$2:$A$22222&gt;=$L$2,IF(搜索词报告!$A$2:$A$22222&lt;=$L$4,搜索词报告!$M$2:$M$22222,0),0),0))</f>
        <v>0</v>
      </c>
      <c r="T268" s="2" t="str">
        <f t="shared" si="38"/>
        <v/>
      </c>
      <c r="U268" t="str">
        <f t="shared" si="39"/>
        <v>点击次数少于10次没有参考性</v>
      </c>
      <c r="V268" s="4" t="str">
        <f>IFERROR(INDEX(搜索词报告!$D$2:$D$22222,MATCH(关键词词频统计!L268,搜索词报告!$H$2:$H$22222,0)),"")</f>
        <v/>
      </c>
    </row>
    <row r="269" spans="2:22" x14ac:dyDescent="0.15">
      <c r="B269">
        <f t="array" ref="B269">SUM(IF(搜索词报告!$H$2:$H$22222=A269,IF(搜索词报告!$A$2:$A$22222&gt;=关键词词频统计!$A$2,IF(搜索词报告!$A$2:$A$22222&lt;=关键词词频统计!$A$4,搜索词报告!$I$2:$I$22222,0),0),0))</f>
        <v>0</v>
      </c>
      <c r="C269">
        <f t="array" ref="C269">SUM(IF(搜索词报告!$H$2:$H$22222=A269,IF(搜索词报告!$A$2:$A$22222&gt;=关键词词频统计!$A$2,IF(搜索词报告!$A$2:$A$22222&lt;=关键词词频统计!$A$4,搜索词报告!$J$2:$J$22222,0),0),0))</f>
        <v>0</v>
      </c>
      <c r="D269" s="2">
        <f t="shared" si="32"/>
        <v>0</v>
      </c>
      <c r="E269" s="2">
        <f t="shared" si="33"/>
        <v>0</v>
      </c>
      <c r="F269">
        <f t="array" ref="F269">SUM(IF(搜索词报告!$H$2:$H$22222=A269,IF(搜索词报告!$A$2:$A$22222&gt;=关键词词频统计!$A$2,IF(搜索词报告!$A$2:$A$22222&lt;=关键词词频统计!$A$4,搜索词报告!$Q$2:$Q$22222,0),0),0))</f>
        <v>0</v>
      </c>
      <c r="G269">
        <f t="array" ref="G269">SUM(IF(搜索词报告!$H$2:$H$22222=A269,IF(搜索词报告!$A$2:$A$22222&gt;=关键词词频统计!$A$2,IF(搜索词报告!$A$2:$A$22222&lt;=关键词词频统计!$A$4,搜索词报告!$N$2:$N$22222,0),0),0))</f>
        <v>0</v>
      </c>
      <c r="H269">
        <f t="array" ref="H269">SUM(IF(搜索词报告!$H$2:$H$22222=A269,IF(搜索词报告!$A$2:$A$22222&gt;=关键词词频统计!$A$2,IF(搜索词报告!$A$2:$A$22222&lt;=关键词词频统计!$A$4,搜索词报告!$M$2:$M$22222,0),0),0))</f>
        <v>0</v>
      </c>
      <c r="I269" s="2" t="str">
        <f t="shared" si="34"/>
        <v/>
      </c>
      <c r="J269" t="str">
        <f t="shared" si="35"/>
        <v>点击次数少于10次没有参考性</v>
      </c>
      <c r="K269" s="4" t="str">
        <f>IFERROR(INDEX(搜索词报告!$D$2:$D$22222,MATCH(关键词词频统计!A269,搜索词报告!$H$2:$H$22222,0)),"")</f>
        <v/>
      </c>
      <c r="M269">
        <f t="array" ref="M269">SUM(IF(搜索词报告!$H$2:$H$22222=L269,IF(搜索词报告!$A$2:$A$22222&gt;=$L$2,IF(搜索词报告!$A$2:$A$22222&lt;=$L$4,搜索词报告!$I$2:$I$22222,0),0),0))</f>
        <v>0</v>
      </c>
      <c r="N269">
        <f t="array" ref="N269">SUM(IF(搜索词报告!$H$2:$H$22222=L269,IF(搜索词报告!$A$2:$A$22222&gt;=$L$2,IF(搜索词报告!$A$2:$A$22222&lt;=$L$4,搜索词报告!$J$2:$J$22222,0),0),0))</f>
        <v>0</v>
      </c>
      <c r="O269" s="2">
        <f t="shared" si="36"/>
        <v>0</v>
      </c>
      <c r="P269" s="2">
        <f t="shared" si="37"/>
        <v>0</v>
      </c>
      <c r="Q269">
        <f t="array" ref="Q269">SUM(IF(搜索词报告!$H$2:$H$22222=L269,IF(搜索词报告!$A$2:$A$22222&gt;=$L$2,IF(搜索词报告!$A$2:$A$22222&lt;=$L$4,搜索词报告!$Q$2:$Q$22222,0),0),0))</f>
        <v>0</v>
      </c>
      <c r="R269">
        <f t="array" ref="R269">SUM(IF(搜索词报告!$H$2:$H$22222=L269,IF(搜索词报告!$A$2:$A$22222&gt;=$L$2,IF(搜索词报告!$A$2:$A$22222&lt;=$L$4,搜索词报告!$N$2:$N$22222,0),0),0))</f>
        <v>0</v>
      </c>
      <c r="S269">
        <f t="array" ref="S269">SUM(IF(搜索词报告!$H$2:$H$22222=L269,IF(搜索词报告!$A$2:$A$22222&gt;=$L$2,IF(搜索词报告!$A$2:$A$22222&lt;=$L$4,搜索词报告!$M$2:$M$22222,0),0),0))</f>
        <v>0</v>
      </c>
      <c r="T269" s="2" t="str">
        <f t="shared" si="38"/>
        <v/>
      </c>
      <c r="U269" t="str">
        <f t="shared" si="39"/>
        <v>点击次数少于10次没有参考性</v>
      </c>
      <c r="V269" s="4" t="str">
        <f>IFERROR(INDEX(搜索词报告!$D$2:$D$22222,MATCH(关键词词频统计!L269,搜索词报告!$H$2:$H$22222,0)),"")</f>
        <v/>
      </c>
    </row>
    <row r="270" spans="2:22" x14ac:dyDescent="0.15">
      <c r="B270">
        <f t="array" ref="B270">SUM(IF(搜索词报告!$H$2:$H$22222=A270,IF(搜索词报告!$A$2:$A$22222&gt;=关键词词频统计!$A$2,IF(搜索词报告!$A$2:$A$22222&lt;=关键词词频统计!$A$4,搜索词报告!$I$2:$I$22222,0),0),0))</f>
        <v>0</v>
      </c>
      <c r="C270">
        <f t="array" ref="C270">SUM(IF(搜索词报告!$H$2:$H$22222=A270,IF(搜索词报告!$A$2:$A$22222&gt;=关键词词频统计!$A$2,IF(搜索词报告!$A$2:$A$22222&lt;=关键词词频统计!$A$4,搜索词报告!$J$2:$J$22222,0),0),0))</f>
        <v>0</v>
      </c>
      <c r="D270" s="2">
        <f t="shared" si="32"/>
        <v>0</v>
      </c>
      <c r="E270" s="2">
        <f t="shared" si="33"/>
        <v>0</v>
      </c>
      <c r="F270">
        <f t="array" ref="F270">SUM(IF(搜索词报告!$H$2:$H$22222=A270,IF(搜索词报告!$A$2:$A$22222&gt;=关键词词频统计!$A$2,IF(搜索词报告!$A$2:$A$22222&lt;=关键词词频统计!$A$4,搜索词报告!$Q$2:$Q$22222,0),0),0))</f>
        <v>0</v>
      </c>
      <c r="G270">
        <f t="array" ref="G270">SUM(IF(搜索词报告!$H$2:$H$22222=A270,IF(搜索词报告!$A$2:$A$22222&gt;=关键词词频统计!$A$2,IF(搜索词报告!$A$2:$A$22222&lt;=关键词词频统计!$A$4,搜索词报告!$N$2:$N$22222,0),0),0))</f>
        <v>0</v>
      </c>
      <c r="H270">
        <f t="array" ref="H270">SUM(IF(搜索词报告!$H$2:$H$22222=A270,IF(搜索词报告!$A$2:$A$22222&gt;=关键词词频统计!$A$2,IF(搜索词报告!$A$2:$A$22222&lt;=关键词词频统计!$A$4,搜索词报告!$M$2:$M$22222,0),0),0))</f>
        <v>0</v>
      </c>
      <c r="I270" s="2" t="str">
        <f t="shared" si="34"/>
        <v/>
      </c>
      <c r="J270" t="str">
        <f t="shared" si="35"/>
        <v>点击次数少于10次没有参考性</v>
      </c>
      <c r="K270" s="4" t="str">
        <f>IFERROR(INDEX(搜索词报告!$D$2:$D$22222,MATCH(关键词词频统计!A270,搜索词报告!$H$2:$H$22222,0)),"")</f>
        <v/>
      </c>
      <c r="M270">
        <f t="array" ref="M270">SUM(IF(搜索词报告!$H$2:$H$22222=L270,IF(搜索词报告!$A$2:$A$22222&gt;=$L$2,IF(搜索词报告!$A$2:$A$22222&lt;=$L$4,搜索词报告!$I$2:$I$22222,0),0),0))</f>
        <v>0</v>
      </c>
      <c r="N270">
        <f t="array" ref="N270">SUM(IF(搜索词报告!$H$2:$H$22222=L270,IF(搜索词报告!$A$2:$A$22222&gt;=$L$2,IF(搜索词报告!$A$2:$A$22222&lt;=$L$4,搜索词报告!$J$2:$J$22222,0),0),0))</f>
        <v>0</v>
      </c>
      <c r="O270" s="2">
        <f t="shared" si="36"/>
        <v>0</v>
      </c>
      <c r="P270" s="2">
        <f t="shared" si="37"/>
        <v>0</v>
      </c>
      <c r="Q270">
        <f t="array" ref="Q270">SUM(IF(搜索词报告!$H$2:$H$22222=L270,IF(搜索词报告!$A$2:$A$22222&gt;=$L$2,IF(搜索词报告!$A$2:$A$22222&lt;=$L$4,搜索词报告!$Q$2:$Q$22222,0),0),0))</f>
        <v>0</v>
      </c>
      <c r="R270">
        <f t="array" ref="R270">SUM(IF(搜索词报告!$H$2:$H$22222=L270,IF(搜索词报告!$A$2:$A$22222&gt;=$L$2,IF(搜索词报告!$A$2:$A$22222&lt;=$L$4,搜索词报告!$N$2:$N$22222,0),0),0))</f>
        <v>0</v>
      </c>
      <c r="S270">
        <f t="array" ref="S270">SUM(IF(搜索词报告!$H$2:$H$22222=L270,IF(搜索词报告!$A$2:$A$22222&gt;=$L$2,IF(搜索词报告!$A$2:$A$22222&lt;=$L$4,搜索词报告!$M$2:$M$22222,0),0),0))</f>
        <v>0</v>
      </c>
      <c r="T270" s="2" t="str">
        <f t="shared" si="38"/>
        <v/>
      </c>
      <c r="U270" t="str">
        <f t="shared" si="39"/>
        <v>点击次数少于10次没有参考性</v>
      </c>
      <c r="V270" s="4" t="str">
        <f>IFERROR(INDEX(搜索词报告!$D$2:$D$22222,MATCH(关键词词频统计!L270,搜索词报告!$H$2:$H$22222,0)),"")</f>
        <v/>
      </c>
    </row>
    <row r="271" spans="2:22" x14ac:dyDescent="0.15">
      <c r="B271">
        <f t="array" ref="B271">SUM(IF(搜索词报告!$H$2:$H$22222=A271,IF(搜索词报告!$A$2:$A$22222&gt;=关键词词频统计!$A$2,IF(搜索词报告!$A$2:$A$22222&lt;=关键词词频统计!$A$4,搜索词报告!$I$2:$I$22222,0),0),0))</f>
        <v>0</v>
      </c>
      <c r="C271">
        <f t="array" ref="C271">SUM(IF(搜索词报告!$H$2:$H$22222=A271,IF(搜索词报告!$A$2:$A$22222&gt;=关键词词频统计!$A$2,IF(搜索词报告!$A$2:$A$22222&lt;=关键词词频统计!$A$4,搜索词报告!$J$2:$J$22222,0),0),0))</f>
        <v>0</v>
      </c>
      <c r="D271" s="2">
        <f t="shared" si="32"/>
        <v>0</v>
      </c>
      <c r="E271" s="2">
        <f t="shared" si="33"/>
        <v>0</v>
      </c>
      <c r="F271">
        <f t="array" ref="F271">SUM(IF(搜索词报告!$H$2:$H$22222=A271,IF(搜索词报告!$A$2:$A$22222&gt;=关键词词频统计!$A$2,IF(搜索词报告!$A$2:$A$22222&lt;=关键词词频统计!$A$4,搜索词报告!$Q$2:$Q$22222,0),0),0))</f>
        <v>0</v>
      </c>
      <c r="G271">
        <f t="array" ref="G271">SUM(IF(搜索词报告!$H$2:$H$22222=A271,IF(搜索词报告!$A$2:$A$22222&gt;=关键词词频统计!$A$2,IF(搜索词报告!$A$2:$A$22222&lt;=关键词词频统计!$A$4,搜索词报告!$N$2:$N$22222,0),0),0))</f>
        <v>0</v>
      </c>
      <c r="H271">
        <f t="array" ref="H271">SUM(IF(搜索词报告!$H$2:$H$22222=A271,IF(搜索词报告!$A$2:$A$22222&gt;=关键词词频统计!$A$2,IF(搜索词报告!$A$2:$A$22222&lt;=关键词词频统计!$A$4,搜索词报告!$M$2:$M$22222,0),0),0))</f>
        <v>0</v>
      </c>
      <c r="I271" s="2" t="str">
        <f t="shared" si="34"/>
        <v/>
      </c>
      <c r="J271" t="str">
        <f t="shared" si="35"/>
        <v>点击次数少于10次没有参考性</v>
      </c>
      <c r="K271" s="4" t="str">
        <f>IFERROR(INDEX(搜索词报告!$D$2:$D$22222,MATCH(关键词词频统计!A271,搜索词报告!$H$2:$H$22222,0)),"")</f>
        <v/>
      </c>
      <c r="M271">
        <f t="array" ref="M271">SUM(IF(搜索词报告!$H$2:$H$22222=L271,IF(搜索词报告!$A$2:$A$22222&gt;=$L$2,IF(搜索词报告!$A$2:$A$22222&lt;=$L$4,搜索词报告!$I$2:$I$22222,0),0),0))</f>
        <v>0</v>
      </c>
      <c r="N271">
        <f t="array" ref="N271">SUM(IF(搜索词报告!$H$2:$H$22222=L271,IF(搜索词报告!$A$2:$A$22222&gt;=$L$2,IF(搜索词报告!$A$2:$A$22222&lt;=$L$4,搜索词报告!$J$2:$J$22222,0),0),0))</f>
        <v>0</v>
      </c>
      <c r="O271" s="2">
        <f t="shared" si="36"/>
        <v>0</v>
      </c>
      <c r="P271" s="2">
        <f t="shared" si="37"/>
        <v>0</v>
      </c>
      <c r="Q271">
        <f t="array" ref="Q271">SUM(IF(搜索词报告!$H$2:$H$22222=L271,IF(搜索词报告!$A$2:$A$22222&gt;=$L$2,IF(搜索词报告!$A$2:$A$22222&lt;=$L$4,搜索词报告!$Q$2:$Q$22222,0),0),0))</f>
        <v>0</v>
      </c>
      <c r="R271">
        <f t="array" ref="R271">SUM(IF(搜索词报告!$H$2:$H$22222=L271,IF(搜索词报告!$A$2:$A$22222&gt;=$L$2,IF(搜索词报告!$A$2:$A$22222&lt;=$L$4,搜索词报告!$N$2:$N$22222,0),0),0))</f>
        <v>0</v>
      </c>
      <c r="S271">
        <f t="array" ref="S271">SUM(IF(搜索词报告!$H$2:$H$22222=L271,IF(搜索词报告!$A$2:$A$22222&gt;=$L$2,IF(搜索词报告!$A$2:$A$22222&lt;=$L$4,搜索词报告!$M$2:$M$22222,0),0),0))</f>
        <v>0</v>
      </c>
      <c r="T271" s="2" t="str">
        <f t="shared" si="38"/>
        <v/>
      </c>
      <c r="U271" t="str">
        <f t="shared" si="39"/>
        <v>点击次数少于10次没有参考性</v>
      </c>
      <c r="V271" s="4" t="str">
        <f>IFERROR(INDEX(搜索词报告!$D$2:$D$22222,MATCH(关键词词频统计!L271,搜索词报告!$H$2:$H$22222,0)),"")</f>
        <v/>
      </c>
    </row>
    <row r="272" spans="2:22" x14ac:dyDescent="0.15">
      <c r="B272">
        <f t="array" ref="B272">SUM(IF(搜索词报告!$H$2:$H$22222=A272,IF(搜索词报告!$A$2:$A$22222&gt;=关键词词频统计!$A$2,IF(搜索词报告!$A$2:$A$22222&lt;=关键词词频统计!$A$4,搜索词报告!$I$2:$I$22222,0),0),0))</f>
        <v>0</v>
      </c>
      <c r="C272">
        <f t="array" ref="C272">SUM(IF(搜索词报告!$H$2:$H$22222=A272,IF(搜索词报告!$A$2:$A$22222&gt;=关键词词频统计!$A$2,IF(搜索词报告!$A$2:$A$22222&lt;=关键词词频统计!$A$4,搜索词报告!$J$2:$J$22222,0),0),0))</f>
        <v>0</v>
      </c>
      <c r="D272" s="2">
        <f t="shared" si="32"/>
        <v>0</v>
      </c>
      <c r="E272" s="2">
        <f t="shared" si="33"/>
        <v>0</v>
      </c>
      <c r="F272">
        <f t="array" ref="F272">SUM(IF(搜索词报告!$H$2:$H$22222=A272,IF(搜索词报告!$A$2:$A$22222&gt;=关键词词频统计!$A$2,IF(搜索词报告!$A$2:$A$22222&lt;=关键词词频统计!$A$4,搜索词报告!$Q$2:$Q$22222,0),0),0))</f>
        <v>0</v>
      </c>
      <c r="G272">
        <f t="array" ref="G272">SUM(IF(搜索词报告!$H$2:$H$22222=A272,IF(搜索词报告!$A$2:$A$22222&gt;=关键词词频统计!$A$2,IF(搜索词报告!$A$2:$A$22222&lt;=关键词词频统计!$A$4,搜索词报告!$N$2:$N$22222,0),0),0))</f>
        <v>0</v>
      </c>
      <c r="H272">
        <f t="array" ref="H272">SUM(IF(搜索词报告!$H$2:$H$22222=A272,IF(搜索词报告!$A$2:$A$22222&gt;=关键词词频统计!$A$2,IF(搜索词报告!$A$2:$A$22222&lt;=关键词词频统计!$A$4,搜索词报告!$M$2:$M$22222,0),0),0))</f>
        <v>0</v>
      </c>
      <c r="I272" s="2" t="str">
        <f t="shared" si="34"/>
        <v/>
      </c>
      <c r="J272" t="str">
        <f t="shared" si="35"/>
        <v>点击次数少于10次没有参考性</v>
      </c>
      <c r="K272" s="4" t="str">
        <f>IFERROR(INDEX(搜索词报告!$D$2:$D$22222,MATCH(关键词词频统计!A272,搜索词报告!$H$2:$H$22222,0)),"")</f>
        <v/>
      </c>
      <c r="M272">
        <f t="array" ref="M272">SUM(IF(搜索词报告!$H$2:$H$22222=L272,IF(搜索词报告!$A$2:$A$22222&gt;=$L$2,IF(搜索词报告!$A$2:$A$22222&lt;=$L$4,搜索词报告!$I$2:$I$22222,0),0),0))</f>
        <v>0</v>
      </c>
      <c r="N272">
        <f t="array" ref="N272">SUM(IF(搜索词报告!$H$2:$H$22222=L272,IF(搜索词报告!$A$2:$A$22222&gt;=$L$2,IF(搜索词报告!$A$2:$A$22222&lt;=$L$4,搜索词报告!$J$2:$J$22222,0),0),0))</f>
        <v>0</v>
      </c>
      <c r="O272" s="2">
        <f t="shared" si="36"/>
        <v>0</v>
      </c>
      <c r="P272" s="2">
        <f t="shared" si="37"/>
        <v>0</v>
      </c>
      <c r="Q272">
        <f t="array" ref="Q272">SUM(IF(搜索词报告!$H$2:$H$22222=L272,IF(搜索词报告!$A$2:$A$22222&gt;=$L$2,IF(搜索词报告!$A$2:$A$22222&lt;=$L$4,搜索词报告!$Q$2:$Q$22222,0),0),0))</f>
        <v>0</v>
      </c>
      <c r="R272">
        <f t="array" ref="R272">SUM(IF(搜索词报告!$H$2:$H$22222=L272,IF(搜索词报告!$A$2:$A$22222&gt;=$L$2,IF(搜索词报告!$A$2:$A$22222&lt;=$L$4,搜索词报告!$N$2:$N$22222,0),0),0))</f>
        <v>0</v>
      </c>
      <c r="S272">
        <f t="array" ref="S272">SUM(IF(搜索词报告!$H$2:$H$22222=L272,IF(搜索词报告!$A$2:$A$22222&gt;=$L$2,IF(搜索词报告!$A$2:$A$22222&lt;=$L$4,搜索词报告!$M$2:$M$22222,0),0),0))</f>
        <v>0</v>
      </c>
      <c r="T272" s="2" t="str">
        <f t="shared" si="38"/>
        <v/>
      </c>
      <c r="U272" t="str">
        <f t="shared" si="39"/>
        <v>点击次数少于10次没有参考性</v>
      </c>
      <c r="V272" s="4" t="str">
        <f>IFERROR(INDEX(搜索词报告!$D$2:$D$22222,MATCH(关键词词频统计!L272,搜索词报告!$H$2:$H$22222,0)),"")</f>
        <v/>
      </c>
    </row>
    <row r="273" spans="2:22" x14ac:dyDescent="0.15">
      <c r="B273">
        <f t="array" ref="B273">SUM(IF(搜索词报告!$H$2:$H$22222=A273,IF(搜索词报告!$A$2:$A$22222&gt;=关键词词频统计!$A$2,IF(搜索词报告!$A$2:$A$22222&lt;=关键词词频统计!$A$4,搜索词报告!$I$2:$I$22222,0),0),0))</f>
        <v>0</v>
      </c>
      <c r="C273">
        <f t="array" ref="C273">SUM(IF(搜索词报告!$H$2:$H$22222=A273,IF(搜索词报告!$A$2:$A$22222&gt;=关键词词频统计!$A$2,IF(搜索词报告!$A$2:$A$22222&lt;=关键词词频统计!$A$4,搜索词报告!$J$2:$J$22222,0),0),0))</f>
        <v>0</v>
      </c>
      <c r="D273" s="2">
        <f t="shared" si="32"/>
        <v>0</v>
      </c>
      <c r="E273" s="2">
        <f t="shared" si="33"/>
        <v>0</v>
      </c>
      <c r="F273">
        <f t="array" ref="F273">SUM(IF(搜索词报告!$H$2:$H$22222=A273,IF(搜索词报告!$A$2:$A$22222&gt;=关键词词频统计!$A$2,IF(搜索词报告!$A$2:$A$22222&lt;=关键词词频统计!$A$4,搜索词报告!$Q$2:$Q$22222,0),0),0))</f>
        <v>0</v>
      </c>
      <c r="G273">
        <f t="array" ref="G273">SUM(IF(搜索词报告!$H$2:$H$22222=A273,IF(搜索词报告!$A$2:$A$22222&gt;=关键词词频统计!$A$2,IF(搜索词报告!$A$2:$A$22222&lt;=关键词词频统计!$A$4,搜索词报告!$N$2:$N$22222,0),0),0))</f>
        <v>0</v>
      </c>
      <c r="H273">
        <f t="array" ref="H273">SUM(IF(搜索词报告!$H$2:$H$22222=A273,IF(搜索词报告!$A$2:$A$22222&gt;=关键词词频统计!$A$2,IF(搜索词报告!$A$2:$A$22222&lt;=关键词词频统计!$A$4,搜索词报告!$M$2:$M$22222,0),0),0))</f>
        <v>0</v>
      </c>
      <c r="I273" s="2" t="str">
        <f t="shared" si="34"/>
        <v/>
      </c>
      <c r="J273" t="str">
        <f t="shared" si="35"/>
        <v>点击次数少于10次没有参考性</v>
      </c>
      <c r="K273" s="4" t="str">
        <f>IFERROR(INDEX(搜索词报告!$D$2:$D$22222,MATCH(关键词词频统计!A273,搜索词报告!$H$2:$H$22222,0)),"")</f>
        <v/>
      </c>
      <c r="M273">
        <f t="array" ref="M273">SUM(IF(搜索词报告!$H$2:$H$22222=L273,IF(搜索词报告!$A$2:$A$22222&gt;=$L$2,IF(搜索词报告!$A$2:$A$22222&lt;=$L$4,搜索词报告!$I$2:$I$22222,0),0),0))</f>
        <v>0</v>
      </c>
      <c r="N273">
        <f t="array" ref="N273">SUM(IF(搜索词报告!$H$2:$H$22222=L273,IF(搜索词报告!$A$2:$A$22222&gt;=$L$2,IF(搜索词报告!$A$2:$A$22222&lt;=$L$4,搜索词报告!$J$2:$J$22222,0),0),0))</f>
        <v>0</v>
      </c>
      <c r="O273" s="2">
        <f t="shared" si="36"/>
        <v>0</v>
      </c>
      <c r="P273" s="2">
        <f t="shared" si="37"/>
        <v>0</v>
      </c>
      <c r="Q273">
        <f t="array" ref="Q273">SUM(IF(搜索词报告!$H$2:$H$22222=L273,IF(搜索词报告!$A$2:$A$22222&gt;=$L$2,IF(搜索词报告!$A$2:$A$22222&lt;=$L$4,搜索词报告!$Q$2:$Q$22222,0),0),0))</f>
        <v>0</v>
      </c>
      <c r="R273">
        <f t="array" ref="R273">SUM(IF(搜索词报告!$H$2:$H$22222=L273,IF(搜索词报告!$A$2:$A$22222&gt;=$L$2,IF(搜索词报告!$A$2:$A$22222&lt;=$L$4,搜索词报告!$N$2:$N$22222,0),0),0))</f>
        <v>0</v>
      </c>
      <c r="S273">
        <f t="array" ref="S273">SUM(IF(搜索词报告!$H$2:$H$22222=L273,IF(搜索词报告!$A$2:$A$22222&gt;=$L$2,IF(搜索词报告!$A$2:$A$22222&lt;=$L$4,搜索词报告!$M$2:$M$22222,0),0),0))</f>
        <v>0</v>
      </c>
      <c r="T273" s="2" t="str">
        <f t="shared" si="38"/>
        <v/>
      </c>
      <c r="U273" t="str">
        <f t="shared" si="39"/>
        <v>点击次数少于10次没有参考性</v>
      </c>
      <c r="V273" s="4" t="str">
        <f>IFERROR(INDEX(搜索词报告!$D$2:$D$22222,MATCH(关键词词频统计!L273,搜索词报告!$H$2:$H$22222,0)),"")</f>
        <v/>
      </c>
    </row>
    <row r="274" spans="2:22" x14ac:dyDescent="0.15">
      <c r="B274">
        <f t="array" ref="B274">SUM(IF(搜索词报告!$H$2:$H$22222=A274,IF(搜索词报告!$A$2:$A$22222&gt;=关键词词频统计!$A$2,IF(搜索词报告!$A$2:$A$22222&lt;=关键词词频统计!$A$4,搜索词报告!$I$2:$I$22222,0),0),0))</f>
        <v>0</v>
      </c>
      <c r="C274">
        <f t="array" ref="C274">SUM(IF(搜索词报告!$H$2:$H$22222=A274,IF(搜索词报告!$A$2:$A$22222&gt;=关键词词频统计!$A$2,IF(搜索词报告!$A$2:$A$22222&lt;=关键词词频统计!$A$4,搜索词报告!$J$2:$J$22222,0),0),0))</f>
        <v>0</v>
      </c>
      <c r="D274" s="2">
        <f t="shared" si="32"/>
        <v>0</v>
      </c>
      <c r="E274" s="2">
        <f t="shared" si="33"/>
        <v>0</v>
      </c>
      <c r="F274">
        <f t="array" ref="F274">SUM(IF(搜索词报告!$H$2:$H$22222=A274,IF(搜索词报告!$A$2:$A$22222&gt;=关键词词频统计!$A$2,IF(搜索词报告!$A$2:$A$22222&lt;=关键词词频统计!$A$4,搜索词报告!$Q$2:$Q$22222,0),0),0))</f>
        <v>0</v>
      </c>
      <c r="G274">
        <f t="array" ref="G274">SUM(IF(搜索词报告!$H$2:$H$22222=A274,IF(搜索词报告!$A$2:$A$22222&gt;=关键词词频统计!$A$2,IF(搜索词报告!$A$2:$A$22222&lt;=关键词词频统计!$A$4,搜索词报告!$N$2:$N$22222,0),0),0))</f>
        <v>0</v>
      </c>
      <c r="H274">
        <f t="array" ref="H274">SUM(IF(搜索词报告!$H$2:$H$22222=A274,IF(搜索词报告!$A$2:$A$22222&gt;=关键词词频统计!$A$2,IF(搜索词报告!$A$2:$A$22222&lt;=关键词词频统计!$A$4,搜索词报告!$M$2:$M$22222,0),0),0))</f>
        <v>0</v>
      </c>
      <c r="I274" s="2" t="str">
        <f t="shared" si="34"/>
        <v/>
      </c>
      <c r="J274" t="str">
        <f t="shared" si="35"/>
        <v>点击次数少于10次没有参考性</v>
      </c>
      <c r="K274" s="4" t="str">
        <f>IFERROR(INDEX(搜索词报告!$D$2:$D$22222,MATCH(关键词词频统计!A274,搜索词报告!$H$2:$H$22222,0)),"")</f>
        <v/>
      </c>
      <c r="M274">
        <f t="array" ref="M274">SUM(IF(搜索词报告!$H$2:$H$22222=L274,IF(搜索词报告!$A$2:$A$22222&gt;=$L$2,IF(搜索词报告!$A$2:$A$22222&lt;=$L$4,搜索词报告!$I$2:$I$22222,0),0),0))</f>
        <v>0</v>
      </c>
      <c r="N274">
        <f t="array" ref="N274">SUM(IF(搜索词报告!$H$2:$H$22222=L274,IF(搜索词报告!$A$2:$A$22222&gt;=$L$2,IF(搜索词报告!$A$2:$A$22222&lt;=$L$4,搜索词报告!$J$2:$J$22222,0),0),0))</f>
        <v>0</v>
      </c>
      <c r="O274" s="2">
        <f t="shared" si="36"/>
        <v>0</v>
      </c>
      <c r="P274" s="2">
        <f t="shared" si="37"/>
        <v>0</v>
      </c>
      <c r="Q274">
        <f t="array" ref="Q274">SUM(IF(搜索词报告!$H$2:$H$22222=L274,IF(搜索词报告!$A$2:$A$22222&gt;=$L$2,IF(搜索词报告!$A$2:$A$22222&lt;=$L$4,搜索词报告!$Q$2:$Q$22222,0),0),0))</f>
        <v>0</v>
      </c>
      <c r="R274">
        <f t="array" ref="R274">SUM(IF(搜索词报告!$H$2:$H$22222=L274,IF(搜索词报告!$A$2:$A$22222&gt;=$L$2,IF(搜索词报告!$A$2:$A$22222&lt;=$L$4,搜索词报告!$N$2:$N$22222,0),0),0))</f>
        <v>0</v>
      </c>
      <c r="S274">
        <f t="array" ref="S274">SUM(IF(搜索词报告!$H$2:$H$22222=L274,IF(搜索词报告!$A$2:$A$22222&gt;=$L$2,IF(搜索词报告!$A$2:$A$22222&lt;=$L$4,搜索词报告!$M$2:$M$22222,0),0),0))</f>
        <v>0</v>
      </c>
      <c r="T274" s="2" t="str">
        <f t="shared" si="38"/>
        <v/>
      </c>
      <c r="U274" t="str">
        <f t="shared" si="39"/>
        <v>点击次数少于10次没有参考性</v>
      </c>
      <c r="V274" s="4" t="str">
        <f>IFERROR(INDEX(搜索词报告!$D$2:$D$22222,MATCH(关键词词频统计!L274,搜索词报告!$H$2:$H$22222,0)),"")</f>
        <v/>
      </c>
    </row>
    <row r="275" spans="2:22" x14ac:dyDescent="0.15">
      <c r="B275">
        <f t="array" ref="B275">SUM(IF(搜索词报告!$H$2:$H$22222=A275,IF(搜索词报告!$A$2:$A$22222&gt;=关键词词频统计!$A$2,IF(搜索词报告!$A$2:$A$22222&lt;=关键词词频统计!$A$4,搜索词报告!$I$2:$I$22222,0),0),0))</f>
        <v>0</v>
      </c>
      <c r="C275">
        <f t="array" ref="C275">SUM(IF(搜索词报告!$H$2:$H$22222=A275,IF(搜索词报告!$A$2:$A$22222&gt;=关键词词频统计!$A$2,IF(搜索词报告!$A$2:$A$22222&lt;=关键词词频统计!$A$4,搜索词报告!$J$2:$J$22222,0),0),0))</f>
        <v>0</v>
      </c>
      <c r="D275" s="2">
        <f t="shared" si="32"/>
        <v>0</v>
      </c>
      <c r="E275" s="2">
        <f t="shared" si="33"/>
        <v>0</v>
      </c>
      <c r="F275">
        <f t="array" ref="F275">SUM(IF(搜索词报告!$H$2:$H$22222=A275,IF(搜索词报告!$A$2:$A$22222&gt;=关键词词频统计!$A$2,IF(搜索词报告!$A$2:$A$22222&lt;=关键词词频统计!$A$4,搜索词报告!$Q$2:$Q$22222,0),0),0))</f>
        <v>0</v>
      </c>
      <c r="G275">
        <f t="array" ref="G275">SUM(IF(搜索词报告!$H$2:$H$22222=A275,IF(搜索词报告!$A$2:$A$22222&gt;=关键词词频统计!$A$2,IF(搜索词报告!$A$2:$A$22222&lt;=关键词词频统计!$A$4,搜索词报告!$N$2:$N$22222,0),0),0))</f>
        <v>0</v>
      </c>
      <c r="H275">
        <f t="array" ref="H275">SUM(IF(搜索词报告!$H$2:$H$22222=A275,IF(搜索词报告!$A$2:$A$22222&gt;=关键词词频统计!$A$2,IF(搜索词报告!$A$2:$A$22222&lt;=关键词词频统计!$A$4,搜索词报告!$M$2:$M$22222,0),0),0))</f>
        <v>0</v>
      </c>
      <c r="I275" s="2" t="str">
        <f t="shared" si="34"/>
        <v/>
      </c>
      <c r="J275" t="str">
        <f t="shared" si="35"/>
        <v>点击次数少于10次没有参考性</v>
      </c>
      <c r="K275" s="4" t="str">
        <f>IFERROR(INDEX(搜索词报告!$D$2:$D$22222,MATCH(关键词词频统计!A275,搜索词报告!$H$2:$H$22222,0)),"")</f>
        <v/>
      </c>
      <c r="M275">
        <f t="array" ref="M275">SUM(IF(搜索词报告!$H$2:$H$22222=L275,IF(搜索词报告!$A$2:$A$22222&gt;=$L$2,IF(搜索词报告!$A$2:$A$22222&lt;=$L$4,搜索词报告!$I$2:$I$22222,0),0),0))</f>
        <v>0</v>
      </c>
      <c r="N275">
        <f t="array" ref="N275">SUM(IF(搜索词报告!$H$2:$H$22222=L275,IF(搜索词报告!$A$2:$A$22222&gt;=$L$2,IF(搜索词报告!$A$2:$A$22222&lt;=$L$4,搜索词报告!$J$2:$J$22222,0),0),0))</f>
        <v>0</v>
      </c>
      <c r="O275" s="2">
        <f t="shared" si="36"/>
        <v>0</v>
      </c>
      <c r="P275" s="2">
        <f t="shared" si="37"/>
        <v>0</v>
      </c>
      <c r="Q275">
        <f t="array" ref="Q275">SUM(IF(搜索词报告!$H$2:$H$22222=L275,IF(搜索词报告!$A$2:$A$22222&gt;=$L$2,IF(搜索词报告!$A$2:$A$22222&lt;=$L$4,搜索词报告!$Q$2:$Q$22222,0),0),0))</f>
        <v>0</v>
      </c>
      <c r="R275">
        <f t="array" ref="R275">SUM(IF(搜索词报告!$H$2:$H$22222=L275,IF(搜索词报告!$A$2:$A$22222&gt;=$L$2,IF(搜索词报告!$A$2:$A$22222&lt;=$L$4,搜索词报告!$N$2:$N$22222,0),0),0))</f>
        <v>0</v>
      </c>
      <c r="S275">
        <f t="array" ref="S275">SUM(IF(搜索词报告!$H$2:$H$22222=L275,IF(搜索词报告!$A$2:$A$22222&gt;=$L$2,IF(搜索词报告!$A$2:$A$22222&lt;=$L$4,搜索词报告!$M$2:$M$22222,0),0),0))</f>
        <v>0</v>
      </c>
      <c r="T275" s="2" t="str">
        <f t="shared" si="38"/>
        <v/>
      </c>
      <c r="U275" t="str">
        <f t="shared" si="39"/>
        <v>点击次数少于10次没有参考性</v>
      </c>
      <c r="V275" s="4" t="str">
        <f>IFERROR(INDEX(搜索词报告!$D$2:$D$22222,MATCH(关键词词频统计!L275,搜索词报告!$H$2:$H$22222,0)),"")</f>
        <v/>
      </c>
    </row>
    <row r="276" spans="2:22" x14ac:dyDescent="0.15">
      <c r="B276">
        <f t="array" ref="B276">SUM(IF(搜索词报告!$H$2:$H$22222=A276,IF(搜索词报告!$A$2:$A$22222&gt;=关键词词频统计!$A$2,IF(搜索词报告!$A$2:$A$22222&lt;=关键词词频统计!$A$4,搜索词报告!$I$2:$I$22222,0),0),0))</f>
        <v>0</v>
      </c>
      <c r="C276">
        <f t="array" ref="C276">SUM(IF(搜索词报告!$H$2:$H$22222=A276,IF(搜索词报告!$A$2:$A$22222&gt;=关键词词频统计!$A$2,IF(搜索词报告!$A$2:$A$22222&lt;=关键词词频统计!$A$4,搜索词报告!$J$2:$J$22222,0),0),0))</f>
        <v>0</v>
      </c>
      <c r="D276" s="2">
        <f t="shared" si="32"/>
        <v>0</v>
      </c>
      <c r="E276" s="2">
        <f t="shared" si="33"/>
        <v>0</v>
      </c>
      <c r="F276">
        <f t="array" ref="F276">SUM(IF(搜索词报告!$H$2:$H$22222=A276,IF(搜索词报告!$A$2:$A$22222&gt;=关键词词频统计!$A$2,IF(搜索词报告!$A$2:$A$22222&lt;=关键词词频统计!$A$4,搜索词报告!$Q$2:$Q$22222,0),0),0))</f>
        <v>0</v>
      </c>
      <c r="G276">
        <f t="array" ref="G276">SUM(IF(搜索词报告!$H$2:$H$22222=A276,IF(搜索词报告!$A$2:$A$22222&gt;=关键词词频统计!$A$2,IF(搜索词报告!$A$2:$A$22222&lt;=关键词词频统计!$A$4,搜索词报告!$N$2:$N$22222,0),0),0))</f>
        <v>0</v>
      </c>
      <c r="H276">
        <f t="array" ref="H276">SUM(IF(搜索词报告!$H$2:$H$22222=A276,IF(搜索词报告!$A$2:$A$22222&gt;=关键词词频统计!$A$2,IF(搜索词报告!$A$2:$A$22222&lt;=关键词词频统计!$A$4,搜索词报告!$M$2:$M$22222,0),0),0))</f>
        <v>0</v>
      </c>
      <c r="I276" s="2" t="str">
        <f t="shared" si="34"/>
        <v/>
      </c>
      <c r="J276" t="str">
        <f t="shared" si="35"/>
        <v>点击次数少于10次没有参考性</v>
      </c>
      <c r="K276" s="4" t="str">
        <f>IFERROR(INDEX(搜索词报告!$D$2:$D$22222,MATCH(关键词词频统计!A276,搜索词报告!$H$2:$H$22222,0)),"")</f>
        <v/>
      </c>
      <c r="M276">
        <f t="array" ref="M276">SUM(IF(搜索词报告!$H$2:$H$22222=L276,IF(搜索词报告!$A$2:$A$22222&gt;=$L$2,IF(搜索词报告!$A$2:$A$22222&lt;=$L$4,搜索词报告!$I$2:$I$22222,0),0),0))</f>
        <v>0</v>
      </c>
      <c r="N276">
        <f t="array" ref="N276">SUM(IF(搜索词报告!$H$2:$H$22222=L276,IF(搜索词报告!$A$2:$A$22222&gt;=$L$2,IF(搜索词报告!$A$2:$A$22222&lt;=$L$4,搜索词报告!$J$2:$J$22222,0),0),0))</f>
        <v>0</v>
      </c>
      <c r="O276" s="2">
        <f t="shared" si="36"/>
        <v>0</v>
      </c>
      <c r="P276" s="2">
        <f t="shared" si="37"/>
        <v>0</v>
      </c>
      <c r="Q276">
        <f t="array" ref="Q276">SUM(IF(搜索词报告!$H$2:$H$22222=L276,IF(搜索词报告!$A$2:$A$22222&gt;=$L$2,IF(搜索词报告!$A$2:$A$22222&lt;=$L$4,搜索词报告!$Q$2:$Q$22222,0),0),0))</f>
        <v>0</v>
      </c>
      <c r="R276">
        <f t="array" ref="R276">SUM(IF(搜索词报告!$H$2:$H$22222=L276,IF(搜索词报告!$A$2:$A$22222&gt;=$L$2,IF(搜索词报告!$A$2:$A$22222&lt;=$L$4,搜索词报告!$N$2:$N$22222,0),0),0))</f>
        <v>0</v>
      </c>
      <c r="S276">
        <f t="array" ref="S276">SUM(IF(搜索词报告!$H$2:$H$22222=L276,IF(搜索词报告!$A$2:$A$22222&gt;=$L$2,IF(搜索词报告!$A$2:$A$22222&lt;=$L$4,搜索词报告!$M$2:$M$22222,0),0),0))</f>
        <v>0</v>
      </c>
      <c r="T276" s="2" t="str">
        <f t="shared" si="38"/>
        <v/>
      </c>
      <c r="U276" t="str">
        <f t="shared" si="39"/>
        <v>点击次数少于10次没有参考性</v>
      </c>
      <c r="V276" s="4" t="str">
        <f>IFERROR(INDEX(搜索词报告!$D$2:$D$22222,MATCH(关键词词频统计!L276,搜索词报告!$H$2:$H$22222,0)),"")</f>
        <v/>
      </c>
    </row>
    <row r="277" spans="2:22" x14ac:dyDescent="0.15">
      <c r="B277">
        <f t="array" ref="B277">SUM(IF(搜索词报告!$H$2:$H$22222=A277,IF(搜索词报告!$A$2:$A$22222&gt;=关键词词频统计!$A$2,IF(搜索词报告!$A$2:$A$22222&lt;=关键词词频统计!$A$4,搜索词报告!$I$2:$I$22222,0),0),0))</f>
        <v>0</v>
      </c>
      <c r="C277">
        <f t="array" ref="C277">SUM(IF(搜索词报告!$H$2:$H$22222=A277,IF(搜索词报告!$A$2:$A$22222&gt;=关键词词频统计!$A$2,IF(搜索词报告!$A$2:$A$22222&lt;=关键词词频统计!$A$4,搜索词报告!$J$2:$J$22222,0),0),0))</f>
        <v>0</v>
      </c>
      <c r="D277" s="2">
        <f t="shared" si="32"/>
        <v>0</v>
      </c>
      <c r="E277" s="2">
        <f t="shared" si="33"/>
        <v>0</v>
      </c>
      <c r="F277">
        <f t="array" ref="F277">SUM(IF(搜索词报告!$H$2:$H$22222=A277,IF(搜索词报告!$A$2:$A$22222&gt;=关键词词频统计!$A$2,IF(搜索词报告!$A$2:$A$22222&lt;=关键词词频统计!$A$4,搜索词报告!$Q$2:$Q$22222,0),0),0))</f>
        <v>0</v>
      </c>
      <c r="G277">
        <f t="array" ref="G277">SUM(IF(搜索词报告!$H$2:$H$22222=A277,IF(搜索词报告!$A$2:$A$22222&gt;=关键词词频统计!$A$2,IF(搜索词报告!$A$2:$A$22222&lt;=关键词词频统计!$A$4,搜索词报告!$N$2:$N$22222,0),0),0))</f>
        <v>0</v>
      </c>
      <c r="H277">
        <f t="array" ref="H277">SUM(IF(搜索词报告!$H$2:$H$22222=A277,IF(搜索词报告!$A$2:$A$22222&gt;=关键词词频统计!$A$2,IF(搜索词报告!$A$2:$A$22222&lt;=关键词词频统计!$A$4,搜索词报告!$M$2:$M$22222,0),0),0))</f>
        <v>0</v>
      </c>
      <c r="I277" s="2" t="str">
        <f t="shared" si="34"/>
        <v/>
      </c>
      <c r="J277" t="str">
        <f t="shared" si="35"/>
        <v>点击次数少于10次没有参考性</v>
      </c>
      <c r="K277" s="4" t="str">
        <f>IFERROR(INDEX(搜索词报告!$D$2:$D$22222,MATCH(关键词词频统计!A277,搜索词报告!$H$2:$H$22222,0)),"")</f>
        <v/>
      </c>
      <c r="M277">
        <f t="array" ref="M277">SUM(IF(搜索词报告!$H$2:$H$22222=L277,IF(搜索词报告!$A$2:$A$22222&gt;=$L$2,IF(搜索词报告!$A$2:$A$22222&lt;=$L$4,搜索词报告!$I$2:$I$22222,0),0),0))</f>
        <v>0</v>
      </c>
      <c r="N277">
        <f t="array" ref="N277">SUM(IF(搜索词报告!$H$2:$H$22222=L277,IF(搜索词报告!$A$2:$A$22222&gt;=$L$2,IF(搜索词报告!$A$2:$A$22222&lt;=$L$4,搜索词报告!$J$2:$J$22222,0),0),0))</f>
        <v>0</v>
      </c>
      <c r="O277" s="2">
        <f t="shared" si="36"/>
        <v>0</v>
      </c>
      <c r="P277" s="2">
        <f t="shared" si="37"/>
        <v>0</v>
      </c>
      <c r="Q277">
        <f t="array" ref="Q277">SUM(IF(搜索词报告!$H$2:$H$22222=L277,IF(搜索词报告!$A$2:$A$22222&gt;=$L$2,IF(搜索词报告!$A$2:$A$22222&lt;=$L$4,搜索词报告!$Q$2:$Q$22222,0),0),0))</f>
        <v>0</v>
      </c>
      <c r="R277">
        <f t="array" ref="R277">SUM(IF(搜索词报告!$H$2:$H$22222=L277,IF(搜索词报告!$A$2:$A$22222&gt;=$L$2,IF(搜索词报告!$A$2:$A$22222&lt;=$L$4,搜索词报告!$N$2:$N$22222,0),0),0))</f>
        <v>0</v>
      </c>
      <c r="S277">
        <f t="array" ref="S277">SUM(IF(搜索词报告!$H$2:$H$22222=L277,IF(搜索词报告!$A$2:$A$22222&gt;=$L$2,IF(搜索词报告!$A$2:$A$22222&lt;=$L$4,搜索词报告!$M$2:$M$22222,0),0),0))</f>
        <v>0</v>
      </c>
      <c r="T277" s="2" t="str">
        <f t="shared" si="38"/>
        <v/>
      </c>
      <c r="U277" t="str">
        <f t="shared" si="39"/>
        <v>点击次数少于10次没有参考性</v>
      </c>
      <c r="V277" s="4" t="str">
        <f>IFERROR(INDEX(搜索词报告!$D$2:$D$22222,MATCH(关键词词频统计!L277,搜索词报告!$H$2:$H$22222,0)),"")</f>
        <v/>
      </c>
    </row>
    <row r="278" spans="2:22" x14ac:dyDescent="0.15">
      <c r="B278">
        <f t="array" ref="B278">SUM(IF(搜索词报告!$H$2:$H$22222=A278,IF(搜索词报告!$A$2:$A$22222&gt;=关键词词频统计!$A$2,IF(搜索词报告!$A$2:$A$22222&lt;=关键词词频统计!$A$4,搜索词报告!$I$2:$I$22222,0),0),0))</f>
        <v>0</v>
      </c>
      <c r="C278">
        <f t="array" ref="C278">SUM(IF(搜索词报告!$H$2:$H$22222=A278,IF(搜索词报告!$A$2:$A$22222&gt;=关键词词频统计!$A$2,IF(搜索词报告!$A$2:$A$22222&lt;=关键词词频统计!$A$4,搜索词报告!$J$2:$J$22222,0),0),0))</f>
        <v>0</v>
      </c>
      <c r="D278" s="2">
        <f t="shared" si="32"/>
        <v>0</v>
      </c>
      <c r="E278" s="2">
        <f t="shared" si="33"/>
        <v>0</v>
      </c>
      <c r="F278">
        <f t="array" ref="F278">SUM(IF(搜索词报告!$H$2:$H$22222=A278,IF(搜索词报告!$A$2:$A$22222&gt;=关键词词频统计!$A$2,IF(搜索词报告!$A$2:$A$22222&lt;=关键词词频统计!$A$4,搜索词报告!$Q$2:$Q$22222,0),0),0))</f>
        <v>0</v>
      </c>
      <c r="G278">
        <f t="array" ref="G278">SUM(IF(搜索词报告!$H$2:$H$22222=A278,IF(搜索词报告!$A$2:$A$22222&gt;=关键词词频统计!$A$2,IF(搜索词报告!$A$2:$A$22222&lt;=关键词词频统计!$A$4,搜索词报告!$N$2:$N$22222,0),0),0))</f>
        <v>0</v>
      </c>
      <c r="H278">
        <f t="array" ref="H278">SUM(IF(搜索词报告!$H$2:$H$22222=A278,IF(搜索词报告!$A$2:$A$22222&gt;=关键词词频统计!$A$2,IF(搜索词报告!$A$2:$A$22222&lt;=关键词词频统计!$A$4,搜索词报告!$M$2:$M$22222,0),0),0))</f>
        <v>0</v>
      </c>
      <c r="I278" s="2" t="str">
        <f t="shared" si="34"/>
        <v/>
      </c>
      <c r="J278" t="str">
        <f t="shared" si="35"/>
        <v>点击次数少于10次没有参考性</v>
      </c>
      <c r="K278" s="4" t="str">
        <f>IFERROR(INDEX(搜索词报告!$D$2:$D$22222,MATCH(关键词词频统计!A278,搜索词报告!$H$2:$H$22222,0)),"")</f>
        <v/>
      </c>
      <c r="M278">
        <f t="array" ref="M278">SUM(IF(搜索词报告!$H$2:$H$22222=L278,IF(搜索词报告!$A$2:$A$22222&gt;=$L$2,IF(搜索词报告!$A$2:$A$22222&lt;=$L$4,搜索词报告!$I$2:$I$22222,0),0),0))</f>
        <v>0</v>
      </c>
      <c r="N278">
        <f t="array" ref="N278">SUM(IF(搜索词报告!$H$2:$H$22222=L278,IF(搜索词报告!$A$2:$A$22222&gt;=$L$2,IF(搜索词报告!$A$2:$A$22222&lt;=$L$4,搜索词报告!$J$2:$J$22222,0),0),0))</f>
        <v>0</v>
      </c>
      <c r="O278" s="2">
        <f t="shared" si="36"/>
        <v>0</v>
      </c>
      <c r="P278" s="2">
        <f t="shared" si="37"/>
        <v>0</v>
      </c>
      <c r="Q278">
        <f t="array" ref="Q278">SUM(IF(搜索词报告!$H$2:$H$22222=L278,IF(搜索词报告!$A$2:$A$22222&gt;=$L$2,IF(搜索词报告!$A$2:$A$22222&lt;=$L$4,搜索词报告!$Q$2:$Q$22222,0),0),0))</f>
        <v>0</v>
      </c>
      <c r="R278">
        <f t="array" ref="R278">SUM(IF(搜索词报告!$H$2:$H$22222=L278,IF(搜索词报告!$A$2:$A$22222&gt;=$L$2,IF(搜索词报告!$A$2:$A$22222&lt;=$L$4,搜索词报告!$N$2:$N$22222,0),0),0))</f>
        <v>0</v>
      </c>
      <c r="S278">
        <f t="array" ref="S278">SUM(IF(搜索词报告!$H$2:$H$22222=L278,IF(搜索词报告!$A$2:$A$22222&gt;=$L$2,IF(搜索词报告!$A$2:$A$22222&lt;=$L$4,搜索词报告!$M$2:$M$22222,0),0),0))</f>
        <v>0</v>
      </c>
      <c r="T278" s="2" t="str">
        <f t="shared" si="38"/>
        <v/>
      </c>
      <c r="U278" t="str">
        <f t="shared" si="39"/>
        <v>点击次数少于10次没有参考性</v>
      </c>
      <c r="V278" s="4" t="str">
        <f>IFERROR(INDEX(搜索词报告!$D$2:$D$22222,MATCH(关键词词频统计!L278,搜索词报告!$H$2:$H$22222,0)),"")</f>
        <v/>
      </c>
    </row>
    <row r="279" spans="2:22" x14ac:dyDescent="0.15">
      <c r="B279">
        <f t="array" ref="B279">SUM(IF(搜索词报告!$H$2:$H$22222=A279,IF(搜索词报告!$A$2:$A$22222&gt;=关键词词频统计!$A$2,IF(搜索词报告!$A$2:$A$22222&lt;=关键词词频统计!$A$4,搜索词报告!$I$2:$I$22222,0),0),0))</f>
        <v>0</v>
      </c>
      <c r="C279">
        <f t="array" ref="C279">SUM(IF(搜索词报告!$H$2:$H$22222=A279,IF(搜索词报告!$A$2:$A$22222&gt;=关键词词频统计!$A$2,IF(搜索词报告!$A$2:$A$22222&lt;=关键词词频统计!$A$4,搜索词报告!$J$2:$J$22222,0),0),0))</f>
        <v>0</v>
      </c>
      <c r="D279" s="2">
        <f t="shared" si="32"/>
        <v>0</v>
      </c>
      <c r="E279" s="2">
        <f t="shared" si="33"/>
        <v>0</v>
      </c>
      <c r="F279">
        <f t="array" ref="F279">SUM(IF(搜索词报告!$H$2:$H$22222=A279,IF(搜索词报告!$A$2:$A$22222&gt;=关键词词频统计!$A$2,IF(搜索词报告!$A$2:$A$22222&lt;=关键词词频统计!$A$4,搜索词报告!$Q$2:$Q$22222,0),0),0))</f>
        <v>0</v>
      </c>
      <c r="G279">
        <f t="array" ref="G279">SUM(IF(搜索词报告!$H$2:$H$22222=A279,IF(搜索词报告!$A$2:$A$22222&gt;=关键词词频统计!$A$2,IF(搜索词报告!$A$2:$A$22222&lt;=关键词词频统计!$A$4,搜索词报告!$N$2:$N$22222,0),0),0))</f>
        <v>0</v>
      </c>
      <c r="H279">
        <f t="array" ref="H279">SUM(IF(搜索词报告!$H$2:$H$22222=A279,IF(搜索词报告!$A$2:$A$22222&gt;=关键词词频统计!$A$2,IF(搜索词报告!$A$2:$A$22222&lt;=关键词词频统计!$A$4,搜索词报告!$M$2:$M$22222,0),0),0))</f>
        <v>0</v>
      </c>
      <c r="I279" s="2" t="str">
        <f t="shared" si="34"/>
        <v/>
      </c>
      <c r="J279" t="str">
        <f t="shared" si="35"/>
        <v>点击次数少于10次没有参考性</v>
      </c>
      <c r="K279" s="4" t="str">
        <f>IFERROR(INDEX(搜索词报告!$D$2:$D$22222,MATCH(关键词词频统计!A279,搜索词报告!$H$2:$H$22222,0)),"")</f>
        <v/>
      </c>
      <c r="M279">
        <f t="array" ref="M279">SUM(IF(搜索词报告!$H$2:$H$22222=L279,IF(搜索词报告!$A$2:$A$22222&gt;=$L$2,IF(搜索词报告!$A$2:$A$22222&lt;=$L$4,搜索词报告!$I$2:$I$22222,0),0),0))</f>
        <v>0</v>
      </c>
      <c r="N279">
        <f t="array" ref="N279">SUM(IF(搜索词报告!$H$2:$H$22222=L279,IF(搜索词报告!$A$2:$A$22222&gt;=$L$2,IF(搜索词报告!$A$2:$A$22222&lt;=$L$4,搜索词报告!$J$2:$J$22222,0),0),0))</f>
        <v>0</v>
      </c>
      <c r="O279" s="2">
        <f t="shared" si="36"/>
        <v>0</v>
      </c>
      <c r="P279" s="2">
        <f t="shared" si="37"/>
        <v>0</v>
      </c>
      <c r="Q279">
        <f t="array" ref="Q279">SUM(IF(搜索词报告!$H$2:$H$22222=L279,IF(搜索词报告!$A$2:$A$22222&gt;=$L$2,IF(搜索词报告!$A$2:$A$22222&lt;=$L$4,搜索词报告!$Q$2:$Q$22222,0),0),0))</f>
        <v>0</v>
      </c>
      <c r="R279">
        <f t="array" ref="R279">SUM(IF(搜索词报告!$H$2:$H$22222=L279,IF(搜索词报告!$A$2:$A$22222&gt;=$L$2,IF(搜索词报告!$A$2:$A$22222&lt;=$L$4,搜索词报告!$N$2:$N$22222,0),0),0))</f>
        <v>0</v>
      </c>
      <c r="S279">
        <f t="array" ref="S279">SUM(IF(搜索词报告!$H$2:$H$22222=L279,IF(搜索词报告!$A$2:$A$22222&gt;=$L$2,IF(搜索词报告!$A$2:$A$22222&lt;=$L$4,搜索词报告!$M$2:$M$22222,0),0),0))</f>
        <v>0</v>
      </c>
      <c r="T279" s="2" t="str">
        <f t="shared" si="38"/>
        <v/>
      </c>
      <c r="U279" t="str">
        <f t="shared" si="39"/>
        <v>点击次数少于10次没有参考性</v>
      </c>
      <c r="V279" s="4" t="str">
        <f>IFERROR(INDEX(搜索词报告!$D$2:$D$22222,MATCH(关键词词频统计!L279,搜索词报告!$H$2:$H$22222,0)),"")</f>
        <v/>
      </c>
    </row>
    <row r="280" spans="2:22" x14ac:dyDescent="0.15">
      <c r="B280">
        <f t="array" ref="B280">SUM(IF(搜索词报告!$H$2:$H$22222=A280,IF(搜索词报告!$A$2:$A$22222&gt;=关键词词频统计!$A$2,IF(搜索词报告!$A$2:$A$22222&lt;=关键词词频统计!$A$4,搜索词报告!$I$2:$I$22222,0),0),0))</f>
        <v>0</v>
      </c>
      <c r="C280">
        <f t="array" ref="C280">SUM(IF(搜索词报告!$H$2:$H$22222=A280,IF(搜索词报告!$A$2:$A$22222&gt;=关键词词频统计!$A$2,IF(搜索词报告!$A$2:$A$22222&lt;=关键词词频统计!$A$4,搜索词报告!$J$2:$J$22222,0),0),0))</f>
        <v>0</v>
      </c>
      <c r="D280" s="2">
        <f t="shared" si="32"/>
        <v>0</v>
      </c>
      <c r="E280" s="2">
        <f t="shared" si="33"/>
        <v>0</v>
      </c>
      <c r="F280">
        <f t="array" ref="F280">SUM(IF(搜索词报告!$H$2:$H$22222=A280,IF(搜索词报告!$A$2:$A$22222&gt;=关键词词频统计!$A$2,IF(搜索词报告!$A$2:$A$22222&lt;=关键词词频统计!$A$4,搜索词报告!$Q$2:$Q$22222,0),0),0))</f>
        <v>0</v>
      </c>
      <c r="G280">
        <f t="array" ref="G280">SUM(IF(搜索词报告!$H$2:$H$22222=A280,IF(搜索词报告!$A$2:$A$22222&gt;=关键词词频统计!$A$2,IF(搜索词报告!$A$2:$A$22222&lt;=关键词词频统计!$A$4,搜索词报告!$N$2:$N$22222,0),0),0))</f>
        <v>0</v>
      </c>
      <c r="H280">
        <f t="array" ref="H280">SUM(IF(搜索词报告!$H$2:$H$22222=A280,IF(搜索词报告!$A$2:$A$22222&gt;=关键词词频统计!$A$2,IF(搜索词报告!$A$2:$A$22222&lt;=关键词词频统计!$A$4,搜索词报告!$M$2:$M$22222,0),0),0))</f>
        <v>0</v>
      </c>
      <c r="I280" s="2" t="str">
        <f t="shared" si="34"/>
        <v/>
      </c>
      <c r="J280" t="str">
        <f t="shared" si="35"/>
        <v>点击次数少于10次没有参考性</v>
      </c>
      <c r="K280" s="4" t="str">
        <f>IFERROR(INDEX(搜索词报告!$D$2:$D$22222,MATCH(关键词词频统计!A280,搜索词报告!$H$2:$H$22222,0)),"")</f>
        <v/>
      </c>
      <c r="M280">
        <f t="array" ref="M280">SUM(IF(搜索词报告!$H$2:$H$22222=L280,IF(搜索词报告!$A$2:$A$22222&gt;=$L$2,IF(搜索词报告!$A$2:$A$22222&lt;=$L$4,搜索词报告!$I$2:$I$22222,0),0),0))</f>
        <v>0</v>
      </c>
      <c r="N280">
        <f t="array" ref="N280">SUM(IF(搜索词报告!$H$2:$H$22222=L280,IF(搜索词报告!$A$2:$A$22222&gt;=$L$2,IF(搜索词报告!$A$2:$A$22222&lt;=$L$4,搜索词报告!$J$2:$J$22222,0),0),0))</f>
        <v>0</v>
      </c>
      <c r="O280" s="2">
        <f t="shared" si="36"/>
        <v>0</v>
      </c>
      <c r="P280" s="2">
        <f t="shared" si="37"/>
        <v>0</v>
      </c>
      <c r="Q280">
        <f t="array" ref="Q280">SUM(IF(搜索词报告!$H$2:$H$22222=L280,IF(搜索词报告!$A$2:$A$22222&gt;=$L$2,IF(搜索词报告!$A$2:$A$22222&lt;=$L$4,搜索词报告!$Q$2:$Q$22222,0),0),0))</f>
        <v>0</v>
      </c>
      <c r="R280">
        <f t="array" ref="R280">SUM(IF(搜索词报告!$H$2:$H$22222=L280,IF(搜索词报告!$A$2:$A$22222&gt;=$L$2,IF(搜索词报告!$A$2:$A$22222&lt;=$L$4,搜索词报告!$N$2:$N$22222,0),0),0))</f>
        <v>0</v>
      </c>
      <c r="S280">
        <f t="array" ref="S280">SUM(IF(搜索词报告!$H$2:$H$22222=L280,IF(搜索词报告!$A$2:$A$22222&gt;=$L$2,IF(搜索词报告!$A$2:$A$22222&lt;=$L$4,搜索词报告!$M$2:$M$22222,0),0),0))</f>
        <v>0</v>
      </c>
      <c r="T280" s="2" t="str">
        <f t="shared" si="38"/>
        <v/>
      </c>
      <c r="U280" t="str">
        <f t="shared" si="39"/>
        <v>点击次数少于10次没有参考性</v>
      </c>
      <c r="V280" s="4" t="str">
        <f>IFERROR(INDEX(搜索词报告!$D$2:$D$22222,MATCH(关键词词频统计!L280,搜索词报告!$H$2:$H$22222,0)),"")</f>
        <v/>
      </c>
    </row>
    <row r="281" spans="2:22" x14ac:dyDescent="0.15">
      <c r="B281">
        <f t="array" ref="B281">SUM(IF(搜索词报告!$H$2:$H$22222=A281,IF(搜索词报告!$A$2:$A$22222&gt;=关键词词频统计!$A$2,IF(搜索词报告!$A$2:$A$22222&lt;=关键词词频统计!$A$4,搜索词报告!$I$2:$I$22222,0),0),0))</f>
        <v>0</v>
      </c>
      <c r="C281">
        <f t="array" ref="C281">SUM(IF(搜索词报告!$H$2:$H$22222=A281,IF(搜索词报告!$A$2:$A$22222&gt;=关键词词频统计!$A$2,IF(搜索词报告!$A$2:$A$22222&lt;=关键词词频统计!$A$4,搜索词报告!$J$2:$J$22222,0),0),0))</f>
        <v>0</v>
      </c>
      <c r="D281" s="2">
        <f t="shared" si="32"/>
        <v>0</v>
      </c>
      <c r="E281" s="2">
        <f t="shared" si="33"/>
        <v>0</v>
      </c>
      <c r="F281">
        <f t="array" ref="F281">SUM(IF(搜索词报告!$H$2:$H$22222=A281,IF(搜索词报告!$A$2:$A$22222&gt;=关键词词频统计!$A$2,IF(搜索词报告!$A$2:$A$22222&lt;=关键词词频统计!$A$4,搜索词报告!$Q$2:$Q$22222,0),0),0))</f>
        <v>0</v>
      </c>
      <c r="G281">
        <f t="array" ref="G281">SUM(IF(搜索词报告!$H$2:$H$22222=A281,IF(搜索词报告!$A$2:$A$22222&gt;=关键词词频统计!$A$2,IF(搜索词报告!$A$2:$A$22222&lt;=关键词词频统计!$A$4,搜索词报告!$N$2:$N$22222,0),0),0))</f>
        <v>0</v>
      </c>
      <c r="H281">
        <f t="array" ref="H281">SUM(IF(搜索词报告!$H$2:$H$22222=A281,IF(搜索词报告!$A$2:$A$22222&gt;=关键词词频统计!$A$2,IF(搜索词报告!$A$2:$A$22222&lt;=关键词词频统计!$A$4,搜索词报告!$M$2:$M$22222,0),0),0))</f>
        <v>0</v>
      </c>
      <c r="I281" s="2" t="str">
        <f t="shared" si="34"/>
        <v/>
      </c>
      <c r="J281" t="str">
        <f t="shared" si="35"/>
        <v>点击次数少于10次没有参考性</v>
      </c>
      <c r="K281" s="4" t="str">
        <f>IFERROR(INDEX(搜索词报告!$D$2:$D$22222,MATCH(关键词词频统计!A281,搜索词报告!$H$2:$H$22222,0)),"")</f>
        <v/>
      </c>
      <c r="M281">
        <f t="array" ref="M281">SUM(IF(搜索词报告!$H$2:$H$22222=L281,IF(搜索词报告!$A$2:$A$22222&gt;=$L$2,IF(搜索词报告!$A$2:$A$22222&lt;=$L$4,搜索词报告!$I$2:$I$22222,0),0),0))</f>
        <v>0</v>
      </c>
      <c r="N281">
        <f t="array" ref="N281">SUM(IF(搜索词报告!$H$2:$H$22222=L281,IF(搜索词报告!$A$2:$A$22222&gt;=$L$2,IF(搜索词报告!$A$2:$A$22222&lt;=$L$4,搜索词报告!$J$2:$J$22222,0),0),0))</f>
        <v>0</v>
      </c>
      <c r="O281" s="2">
        <f t="shared" si="36"/>
        <v>0</v>
      </c>
      <c r="P281" s="2">
        <f t="shared" si="37"/>
        <v>0</v>
      </c>
      <c r="Q281">
        <f t="array" ref="Q281">SUM(IF(搜索词报告!$H$2:$H$22222=L281,IF(搜索词报告!$A$2:$A$22222&gt;=$L$2,IF(搜索词报告!$A$2:$A$22222&lt;=$L$4,搜索词报告!$Q$2:$Q$22222,0),0),0))</f>
        <v>0</v>
      </c>
      <c r="R281">
        <f t="array" ref="R281">SUM(IF(搜索词报告!$H$2:$H$22222=L281,IF(搜索词报告!$A$2:$A$22222&gt;=$L$2,IF(搜索词报告!$A$2:$A$22222&lt;=$L$4,搜索词报告!$N$2:$N$22222,0),0),0))</f>
        <v>0</v>
      </c>
      <c r="S281">
        <f t="array" ref="S281">SUM(IF(搜索词报告!$H$2:$H$22222=L281,IF(搜索词报告!$A$2:$A$22222&gt;=$L$2,IF(搜索词报告!$A$2:$A$22222&lt;=$L$4,搜索词报告!$M$2:$M$22222,0),0),0))</f>
        <v>0</v>
      </c>
      <c r="T281" s="2" t="str">
        <f t="shared" si="38"/>
        <v/>
      </c>
      <c r="U281" t="str">
        <f t="shared" si="39"/>
        <v>点击次数少于10次没有参考性</v>
      </c>
      <c r="V281" s="4" t="str">
        <f>IFERROR(INDEX(搜索词报告!$D$2:$D$22222,MATCH(关键词词频统计!L281,搜索词报告!$H$2:$H$22222,0)),"")</f>
        <v/>
      </c>
    </row>
    <row r="282" spans="2:22" x14ac:dyDescent="0.15">
      <c r="B282">
        <f t="array" ref="B282">SUM(IF(搜索词报告!$H$2:$H$22222=A282,IF(搜索词报告!$A$2:$A$22222&gt;=关键词词频统计!$A$2,IF(搜索词报告!$A$2:$A$22222&lt;=关键词词频统计!$A$4,搜索词报告!$I$2:$I$22222,0),0),0))</f>
        <v>0</v>
      </c>
      <c r="C282">
        <f t="array" ref="C282">SUM(IF(搜索词报告!$H$2:$H$22222=A282,IF(搜索词报告!$A$2:$A$22222&gt;=关键词词频统计!$A$2,IF(搜索词报告!$A$2:$A$22222&lt;=关键词词频统计!$A$4,搜索词报告!$J$2:$J$22222,0),0),0))</f>
        <v>0</v>
      </c>
      <c r="D282" s="2">
        <f t="shared" si="32"/>
        <v>0</v>
      </c>
      <c r="E282" s="2">
        <f t="shared" si="33"/>
        <v>0</v>
      </c>
      <c r="F282">
        <f t="array" ref="F282">SUM(IF(搜索词报告!$H$2:$H$22222=A282,IF(搜索词报告!$A$2:$A$22222&gt;=关键词词频统计!$A$2,IF(搜索词报告!$A$2:$A$22222&lt;=关键词词频统计!$A$4,搜索词报告!$Q$2:$Q$22222,0),0),0))</f>
        <v>0</v>
      </c>
      <c r="G282">
        <f t="array" ref="G282">SUM(IF(搜索词报告!$H$2:$H$22222=A282,IF(搜索词报告!$A$2:$A$22222&gt;=关键词词频统计!$A$2,IF(搜索词报告!$A$2:$A$22222&lt;=关键词词频统计!$A$4,搜索词报告!$N$2:$N$22222,0),0),0))</f>
        <v>0</v>
      </c>
      <c r="H282">
        <f t="array" ref="H282">SUM(IF(搜索词报告!$H$2:$H$22222=A282,IF(搜索词报告!$A$2:$A$22222&gt;=关键词词频统计!$A$2,IF(搜索词报告!$A$2:$A$22222&lt;=关键词词频统计!$A$4,搜索词报告!$M$2:$M$22222,0),0),0))</f>
        <v>0</v>
      </c>
      <c r="I282" s="2" t="str">
        <f t="shared" si="34"/>
        <v/>
      </c>
      <c r="J282" t="str">
        <f t="shared" si="35"/>
        <v>点击次数少于10次没有参考性</v>
      </c>
      <c r="K282" s="4" t="str">
        <f>IFERROR(INDEX(搜索词报告!$D$2:$D$22222,MATCH(关键词词频统计!A282,搜索词报告!$H$2:$H$22222,0)),"")</f>
        <v/>
      </c>
      <c r="M282">
        <f t="array" ref="M282">SUM(IF(搜索词报告!$H$2:$H$22222=L282,IF(搜索词报告!$A$2:$A$22222&gt;=$L$2,IF(搜索词报告!$A$2:$A$22222&lt;=$L$4,搜索词报告!$I$2:$I$22222,0),0),0))</f>
        <v>0</v>
      </c>
      <c r="N282">
        <f t="array" ref="N282">SUM(IF(搜索词报告!$H$2:$H$22222=L282,IF(搜索词报告!$A$2:$A$22222&gt;=$L$2,IF(搜索词报告!$A$2:$A$22222&lt;=$L$4,搜索词报告!$J$2:$J$22222,0),0),0))</f>
        <v>0</v>
      </c>
      <c r="O282" s="2">
        <f t="shared" si="36"/>
        <v>0</v>
      </c>
      <c r="P282" s="2">
        <f t="shared" si="37"/>
        <v>0</v>
      </c>
      <c r="Q282">
        <f t="array" ref="Q282">SUM(IF(搜索词报告!$H$2:$H$22222=L282,IF(搜索词报告!$A$2:$A$22222&gt;=$L$2,IF(搜索词报告!$A$2:$A$22222&lt;=$L$4,搜索词报告!$Q$2:$Q$22222,0),0),0))</f>
        <v>0</v>
      </c>
      <c r="R282">
        <f t="array" ref="R282">SUM(IF(搜索词报告!$H$2:$H$22222=L282,IF(搜索词报告!$A$2:$A$22222&gt;=$L$2,IF(搜索词报告!$A$2:$A$22222&lt;=$L$4,搜索词报告!$N$2:$N$22222,0),0),0))</f>
        <v>0</v>
      </c>
      <c r="S282">
        <f t="array" ref="S282">SUM(IF(搜索词报告!$H$2:$H$22222=L282,IF(搜索词报告!$A$2:$A$22222&gt;=$L$2,IF(搜索词报告!$A$2:$A$22222&lt;=$L$4,搜索词报告!$M$2:$M$22222,0),0),0))</f>
        <v>0</v>
      </c>
      <c r="T282" s="2" t="str">
        <f t="shared" si="38"/>
        <v/>
      </c>
      <c r="U282" t="str">
        <f t="shared" si="39"/>
        <v>点击次数少于10次没有参考性</v>
      </c>
      <c r="V282" s="4" t="str">
        <f>IFERROR(INDEX(搜索词报告!$D$2:$D$22222,MATCH(关键词词频统计!L282,搜索词报告!$H$2:$H$22222,0)),"")</f>
        <v/>
      </c>
    </row>
    <row r="283" spans="2:22" x14ac:dyDescent="0.15">
      <c r="B283">
        <f t="array" ref="B283">SUM(IF(搜索词报告!$H$2:$H$22222=A283,IF(搜索词报告!$A$2:$A$22222&gt;=关键词词频统计!$A$2,IF(搜索词报告!$A$2:$A$22222&lt;=关键词词频统计!$A$4,搜索词报告!$I$2:$I$22222,0),0),0))</f>
        <v>0</v>
      </c>
      <c r="C283">
        <f t="array" ref="C283">SUM(IF(搜索词报告!$H$2:$H$22222=A283,IF(搜索词报告!$A$2:$A$22222&gt;=关键词词频统计!$A$2,IF(搜索词报告!$A$2:$A$22222&lt;=关键词词频统计!$A$4,搜索词报告!$J$2:$J$22222,0),0),0))</f>
        <v>0</v>
      </c>
      <c r="D283" s="2">
        <f t="shared" si="32"/>
        <v>0</v>
      </c>
      <c r="E283" s="2">
        <f t="shared" si="33"/>
        <v>0</v>
      </c>
      <c r="F283">
        <f t="array" ref="F283">SUM(IF(搜索词报告!$H$2:$H$22222=A283,IF(搜索词报告!$A$2:$A$22222&gt;=关键词词频统计!$A$2,IF(搜索词报告!$A$2:$A$22222&lt;=关键词词频统计!$A$4,搜索词报告!$Q$2:$Q$22222,0),0),0))</f>
        <v>0</v>
      </c>
      <c r="G283">
        <f t="array" ref="G283">SUM(IF(搜索词报告!$H$2:$H$22222=A283,IF(搜索词报告!$A$2:$A$22222&gt;=关键词词频统计!$A$2,IF(搜索词报告!$A$2:$A$22222&lt;=关键词词频统计!$A$4,搜索词报告!$N$2:$N$22222,0),0),0))</f>
        <v>0</v>
      </c>
      <c r="H283">
        <f t="array" ref="H283">SUM(IF(搜索词报告!$H$2:$H$22222=A283,IF(搜索词报告!$A$2:$A$22222&gt;=关键词词频统计!$A$2,IF(搜索词报告!$A$2:$A$22222&lt;=关键词词频统计!$A$4,搜索词报告!$M$2:$M$22222,0),0),0))</f>
        <v>0</v>
      </c>
      <c r="I283" s="2" t="str">
        <f t="shared" si="34"/>
        <v/>
      </c>
      <c r="J283" t="str">
        <f t="shared" si="35"/>
        <v>点击次数少于10次没有参考性</v>
      </c>
      <c r="K283" s="4" t="str">
        <f>IFERROR(INDEX(搜索词报告!$D$2:$D$22222,MATCH(关键词词频统计!A283,搜索词报告!$H$2:$H$22222,0)),"")</f>
        <v/>
      </c>
      <c r="M283">
        <f t="array" ref="M283">SUM(IF(搜索词报告!$H$2:$H$22222=L283,IF(搜索词报告!$A$2:$A$22222&gt;=$L$2,IF(搜索词报告!$A$2:$A$22222&lt;=$L$4,搜索词报告!$I$2:$I$22222,0),0),0))</f>
        <v>0</v>
      </c>
      <c r="N283">
        <f t="array" ref="N283">SUM(IF(搜索词报告!$H$2:$H$22222=L283,IF(搜索词报告!$A$2:$A$22222&gt;=$L$2,IF(搜索词报告!$A$2:$A$22222&lt;=$L$4,搜索词报告!$J$2:$J$22222,0),0),0))</f>
        <v>0</v>
      </c>
      <c r="O283" s="2">
        <f t="shared" si="36"/>
        <v>0</v>
      </c>
      <c r="P283" s="2">
        <f t="shared" si="37"/>
        <v>0</v>
      </c>
      <c r="Q283">
        <f t="array" ref="Q283">SUM(IF(搜索词报告!$H$2:$H$22222=L283,IF(搜索词报告!$A$2:$A$22222&gt;=$L$2,IF(搜索词报告!$A$2:$A$22222&lt;=$L$4,搜索词报告!$Q$2:$Q$22222,0),0),0))</f>
        <v>0</v>
      </c>
      <c r="R283">
        <f t="array" ref="R283">SUM(IF(搜索词报告!$H$2:$H$22222=L283,IF(搜索词报告!$A$2:$A$22222&gt;=$L$2,IF(搜索词报告!$A$2:$A$22222&lt;=$L$4,搜索词报告!$N$2:$N$22222,0),0),0))</f>
        <v>0</v>
      </c>
      <c r="S283">
        <f t="array" ref="S283">SUM(IF(搜索词报告!$H$2:$H$22222=L283,IF(搜索词报告!$A$2:$A$22222&gt;=$L$2,IF(搜索词报告!$A$2:$A$22222&lt;=$L$4,搜索词报告!$M$2:$M$22222,0),0),0))</f>
        <v>0</v>
      </c>
      <c r="T283" s="2" t="str">
        <f t="shared" si="38"/>
        <v/>
      </c>
      <c r="U283" t="str">
        <f t="shared" si="39"/>
        <v>点击次数少于10次没有参考性</v>
      </c>
      <c r="V283" s="4" t="str">
        <f>IFERROR(INDEX(搜索词报告!$D$2:$D$22222,MATCH(关键词词频统计!L283,搜索词报告!$H$2:$H$22222,0)),"")</f>
        <v/>
      </c>
    </row>
    <row r="284" spans="2:22" x14ac:dyDescent="0.15">
      <c r="B284">
        <f t="array" ref="B284">SUM(IF(搜索词报告!$H$2:$H$22222=A284,IF(搜索词报告!$A$2:$A$22222&gt;=关键词词频统计!$A$2,IF(搜索词报告!$A$2:$A$22222&lt;=关键词词频统计!$A$4,搜索词报告!$I$2:$I$22222,0),0),0))</f>
        <v>0</v>
      </c>
      <c r="C284">
        <f t="array" ref="C284">SUM(IF(搜索词报告!$H$2:$H$22222=A284,IF(搜索词报告!$A$2:$A$22222&gt;=关键词词频统计!$A$2,IF(搜索词报告!$A$2:$A$22222&lt;=关键词词频统计!$A$4,搜索词报告!$J$2:$J$22222,0),0),0))</f>
        <v>0</v>
      </c>
      <c r="D284" s="2">
        <f t="shared" si="32"/>
        <v>0</v>
      </c>
      <c r="E284" s="2">
        <f t="shared" si="33"/>
        <v>0</v>
      </c>
      <c r="F284">
        <f t="array" ref="F284">SUM(IF(搜索词报告!$H$2:$H$22222=A284,IF(搜索词报告!$A$2:$A$22222&gt;=关键词词频统计!$A$2,IF(搜索词报告!$A$2:$A$22222&lt;=关键词词频统计!$A$4,搜索词报告!$Q$2:$Q$22222,0),0),0))</f>
        <v>0</v>
      </c>
      <c r="G284">
        <f t="array" ref="G284">SUM(IF(搜索词报告!$H$2:$H$22222=A284,IF(搜索词报告!$A$2:$A$22222&gt;=关键词词频统计!$A$2,IF(搜索词报告!$A$2:$A$22222&lt;=关键词词频统计!$A$4,搜索词报告!$N$2:$N$22222,0),0),0))</f>
        <v>0</v>
      </c>
      <c r="H284">
        <f t="array" ref="H284">SUM(IF(搜索词报告!$H$2:$H$22222=A284,IF(搜索词报告!$A$2:$A$22222&gt;=关键词词频统计!$A$2,IF(搜索词报告!$A$2:$A$22222&lt;=关键词词频统计!$A$4,搜索词报告!$M$2:$M$22222,0),0),0))</f>
        <v>0</v>
      </c>
      <c r="I284" s="2" t="str">
        <f t="shared" si="34"/>
        <v/>
      </c>
      <c r="J284" t="str">
        <f t="shared" si="35"/>
        <v>点击次数少于10次没有参考性</v>
      </c>
      <c r="K284" s="4" t="str">
        <f>IFERROR(INDEX(搜索词报告!$D$2:$D$22222,MATCH(关键词词频统计!A284,搜索词报告!$H$2:$H$22222,0)),"")</f>
        <v/>
      </c>
      <c r="M284">
        <f t="array" ref="M284">SUM(IF(搜索词报告!$H$2:$H$22222=L284,IF(搜索词报告!$A$2:$A$22222&gt;=$L$2,IF(搜索词报告!$A$2:$A$22222&lt;=$L$4,搜索词报告!$I$2:$I$22222,0),0),0))</f>
        <v>0</v>
      </c>
      <c r="N284">
        <f t="array" ref="N284">SUM(IF(搜索词报告!$H$2:$H$22222=L284,IF(搜索词报告!$A$2:$A$22222&gt;=$L$2,IF(搜索词报告!$A$2:$A$22222&lt;=$L$4,搜索词报告!$J$2:$J$22222,0),0),0))</f>
        <v>0</v>
      </c>
      <c r="O284" s="2">
        <f t="shared" si="36"/>
        <v>0</v>
      </c>
      <c r="P284" s="2">
        <f t="shared" si="37"/>
        <v>0</v>
      </c>
      <c r="Q284">
        <f t="array" ref="Q284">SUM(IF(搜索词报告!$H$2:$H$22222=L284,IF(搜索词报告!$A$2:$A$22222&gt;=$L$2,IF(搜索词报告!$A$2:$A$22222&lt;=$L$4,搜索词报告!$Q$2:$Q$22222,0),0),0))</f>
        <v>0</v>
      </c>
      <c r="R284">
        <f t="array" ref="R284">SUM(IF(搜索词报告!$H$2:$H$22222=L284,IF(搜索词报告!$A$2:$A$22222&gt;=$L$2,IF(搜索词报告!$A$2:$A$22222&lt;=$L$4,搜索词报告!$N$2:$N$22222,0),0),0))</f>
        <v>0</v>
      </c>
      <c r="S284">
        <f t="array" ref="S284">SUM(IF(搜索词报告!$H$2:$H$22222=L284,IF(搜索词报告!$A$2:$A$22222&gt;=$L$2,IF(搜索词报告!$A$2:$A$22222&lt;=$L$4,搜索词报告!$M$2:$M$22222,0),0),0))</f>
        <v>0</v>
      </c>
      <c r="T284" s="2" t="str">
        <f t="shared" si="38"/>
        <v/>
      </c>
      <c r="U284" t="str">
        <f t="shared" si="39"/>
        <v>点击次数少于10次没有参考性</v>
      </c>
      <c r="V284" s="4" t="str">
        <f>IFERROR(INDEX(搜索词报告!$D$2:$D$22222,MATCH(关键词词频统计!L284,搜索词报告!$H$2:$H$22222,0)),"")</f>
        <v/>
      </c>
    </row>
    <row r="285" spans="2:22" x14ac:dyDescent="0.15">
      <c r="B285">
        <f t="array" ref="B285">SUM(IF(搜索词报告!$H$2:$H$22222=A285,IF(搜索词报告!$A$2:$A$22222&gt;=关键词词频统计!$A$2,IF(搜索词报告!$A$2:$A$22222&lt;=关键词词频统计!$A$4,搜索词报告!$I$2:$I$22222,0),0),0))</f>
        <v>0</v>
      </c>
      <c r="C285">
        <f t="array" ref="C285">SUM(IF(搜索词报告!$H$2:$H$22222=A285,IF(搜索词报告!$A$2:$A$22222&gt;=关键词词频统计!$A$2,IF(搜索词报告!$A$2:$A$22222&lt;=关键词词频统计!$A$4,搜索词报告!$J$2:$J$22222,0),0),0))</f>
        <v>0</v>
      </c>
      <c r="D285" s="2">
        <f t="shared" si="32"/>
        <v>0</v>
      </c>
      <c r="E285" s="2">
        <f t="shared" si="33"/>
        <v>0</v>
      </c>
      <c r="F285">
        <f t="array" ref="F285">SUM(IF(搜索词报告!$H$2:$H$22222=A285,IF(搜索词报告!$A$2:$A$22222&gt;=关键词词频统计!$A$2,IF(搜索词报告!$A$2:$A$22222&lt;=关键词词频统计!$A$4,搜索词报告!$Q$2:$Q$22222,0),0),0))</f>
        <v>0</v>
      </c>
      <c r="G285">
        <f t="array" ref="G285">SUM(IF(搜索词报告!$H$2:$H$22222=A285,IF(搜索词报告!$A$2:$A$22222&gt;=关键词词频统计!$A$2,IF(搜索词报告!$A$2:$A$22222&lt;=关键词词频统计!$A$4,搜索词报告!$N$2:$N$22222,0),0),0))</f>
        <v>0</v>
      </c>
      <c r="H285">
        <f t="array" ref="H285">SUM(IF(搜索词报告!$H$2:$H$22222=A285,IF(搜索词报告!$A$2:$A$22222&gt;=关键词词频统计!$A$2,IF(搜索词报告!$A$2:$A$22222&lt;=关键词词频统计!$A$4,搜索词报告!$M$2:$M$22222,0),0),0))</f>
        <v>0</v>
      </c>
      <c r="I285" s="2" t="str">
        <f t="shared" si="34"/>
        <v/>
      </c>
      <c r="J285" t="str">
        <f t="shared" si="35"/>
        <v>点击次数少于10次没有参考性</v>
      </c>
      <c r="K285" s="4" t="str">
        <f>IFERROR(INDEX(搜索词报告!$D$2:$D$22222,MATCH(关键词词频统计!A285,搜索词报告!$H$2:$H$22222,0)),"")</f>
        <v/>
      </c>
      <c r="M285">
        <f t="array" ref="M285">SUM(IF(搜索词报告!$H$2:$H$22222=L285,IF(搜索词报告!$A$2:$A$22222&gt;=$L$2,IF(搜索词报告!$A$2:$A$22222&lt;=$L$4,搜索词报告!$I$2:$I$22222,0),0),0))</f>
        <v>0</v>
      </c>
      <c r="N285">
        <f t="array" ref="N285">SUM(IF(搜索词报告!$H$2:$H$22222=L285,IF(搜索词报告!$A$2:$A$22222&gt;=$L$2,IF(搜索词报告!$A$2:$A$22222&lt;=$L$4,搜索词报告!$J$2:$J$22222,0),0),0))</f>
        <v>0</v>
      </c>
      <c r="O285" s="2">
        <f t="shared" si="36"/>
        <v>0</v>
      </c>
      <c r="P285" s="2">
        <f t="shared" si="37"/>
        <v>0</v>
      </c>
      <c r="Q285">
        <f t="array" ref="Q285">SUM(IF(搜索词报告!$H$2:$H$22222=L285,IF(搜索词报告!$A$2:$A$22222&gt;=$L$2,IF(搜索词报告!$A$2:$A$22222&lt;=$L$4,搜索词报告!$Q$2:$Q$22222,0),0),0))</f>
        <v>0</v>
      </c>
      <c r="R285">
        <f t="array" ref="R285">SUM(IF(搜索词报告!$H$2:$H$22222=L285,IF(搜索词报告!$A$2:$A$22222&gt;=$L$2,IF(搜索词报告!$A$2:$A$22222&lt;=$L$4,搜索词报告!$N$2:$N$22222,0),0),0))</f>
        <v>0</v>
      </c>
      <c r="S285">
        <f t="array" ref="S285">SUM(IF(搜索词报告!$H$2:$H$22222=L285,IF(搜索词报告!$A$2:$A$22222&gt;=$L$2,IF(搜索词报告!$A$2:$A$22222&lt;=$L$4,搜索词报告!$M$2:$M$22222,0),0),0))</f>
        <v>0</v>
      </c>
      <c r="T285" s="2" t="str">
        <f t="shared" si="38"/>
        <v/>
      </c>
      <c r="U285" t="str">
        <f t="shared" si="39"/>
        <v>点击次数少于10次没有参考性</v>
      </c>
      <c r="V285" s="4" t="str">
        <f>IFERROR(INDEX(搜索词报告!$D$2:$D$22222,MATCH(关键词词频统计!L285,搜索词报告!$H$2:$H$22222,0)),"")</f>
        <v/>
      </c>
    </row>
    <row r="286" spans="2:22" x14ac:dyDescent="0.15">
      <c r="B286">
        <f t="array" ref="B286">SUM(IF(搜索词报告!$H$2:$H$22222=A286,IF(搜索词报告!$A$2:$A$22222&gt;=关键词词频统计!$A$2,IF(搜索词报告!$A$2:$A$22222&lt;=关键词词频统计!$A$4,搜索词报告!$I$2:$I$22222,0),0),0))</f>
        <v>0</v>
      </c>
      <c r="C286">
        <f t="array" ref="C286">SUM(IF(搜索词报告!$H$2:$H$22222=A286,IF(搜索词报告!$A$2:$A$22222&gt;=关键词词频统计!$A$2,IF(搜索词报告!$A$2:$A$22222&lt;=关键词词频统计!$A$4,搜索词报告!$J$2:$J$22222,0),0),0))</f>
        <v>0</v>
      </c>
      <c r="D286" s="2">
        <f t="shared" si="32"/>
        <v>0</v>
      </c>
      <c r="E286" s="2">
        <f t="shared" si="33"/>
        <v>0</v>
      </c>
      <c r="F286">
        <f t="array" ref="F286">SUM(IF(搜索词报告!$H$2:$H$22222=A286,IF(搜索词报告!$A$2:$A$22222&gt;=关键词词频统计!$A$2,IF(搜索词报告!$A$2:$A$22222&lt;=关键词词频统计!$A$4,搜索词报告!$Q$2:$Q$22222,0),0),0))</f>
        <v>0</v>
      </c>
      <c r="G286">
        <f t="array" ref="G286">SUM(IF(搜索词报告!$H$2:$H$22222=A286,IF(搜索词报告!$A$2:$A$22222&gt;=关键词词频统计!$A$2,IF(搜索词报告!$A$2:$A$22222&lt;=关键词词频统计!$A$4,搜索词报告!$N$2:$N$22222,0),0),0))</f>
        <v>0</v>
      </c>
      <c r="H286">
        <f t="array" ref="H286">SUM(IF(搜索词报告!$H$2:$H$22222=A286,IF(搜索词报告!$A$2:$A$22222&gt;=关键词词频统计!$A$2,IF(搜索词报告!$A$2:$A$22222&lt;=关键词词频统计!$A$4,搜索词报告!$M$2:$M$22222,0),0),0))</f>
        <v>0</v>
      </c>
      <c r="I286" s="2" t="str">
        <f t="shared" si="34"/>
        <v/>
      </c>
      <c r="J286" t="str">
        <f t="shared" si="35"/>
        <v>点击次数少于10次没有参考性</v>
      </c>
      <c r="K286" s="4" t="str">
        <f>IFERROR(INDEX(搜索词报告!$D$2:$D$22222,MATCH(关键词词频统计!A286,搜索词报告!$H$2:$H$22222,0)),"")</f>
        <v/>
      </c>
      <c r="M286">
        <f t="array" ref="M286">SUM(IF(搜索词报告!$H$2:$H$22222=L286,IF(搜索词报告!$A$2:$A$22222&gt;=$L$2,IF(搜索词报告!$A$2:$A$22222&lt;=$L$4,搜索词报告!$I$2:$I$22222,0),0),0))</f>
        <v>0</v>
      </c>
      <c r="N286">
        <f t="array" ref="N286">SUM(IF(搜索词报告!$H$2:$H$22222=L286,IF(搜索词报告!$A$2:$A$22222&gt;=$L$2,IF(搜索词报告!$A$2:$A$22222&lt;=$L$4,搜索词报告!$J$2:$J$22222,0),0),0))</f>
        <v>0</v>
      </c>
      <c r="O286" s="2">
        <f t="shared" si="36"/>
        <v>0</v>
      </c>
      <c r="P286" s="2">
        <f t="shared" si="37"/>
        <v>0</v>
      </c>
      <c r="Q286">
        <f t="array" ref="Q286">SUM(IF(搜索词报告!$H$2:$H$22222=L286,IF(搜索词报告!$A$2:$A$22222&gt;=$L$2,IF(搜索词报告!$A$2:$A$22222&lt;=$L$4,搜索词报告!$Q$2:$Q$22222,0),0),0))</f>
        <v>0</v>
      </c>
      <c r="R286">
        <f t="array" ref="R286">SUM(IF(搜索词报告!$H$2:$H$22222=L286,IF(搜索词报告!$A$2:$A$22222&gt;=$L$2,IF(搜索词报告!$A$2:$A$22222&lt;=$L$4,搜索词报告!$N$2:$N$22222,0),0),0))</f>
        <v>0</v>
      </c>
      <c r="S286">
        <f t="array" ref="S286">SUM(IF(搜索词报告!$H$2:$H$22222=L286,IF(搜索词报告!$A$2:$A$22222&gt;=$L$2,IF(搜索词报告!$A$2:$A$22222&lt;=$L$4,搜索词报告!$M$2:$M$22222,0),0),0))</f>
        <v>0</v>
      </c>
      <c r="T286" s="2" t="str">
        <f t="shared" si="38"/>
        <v/>
      </c>
      <c r="U286" t="str">
        <f t="shared" si="39"/>
        <v>点击次数少于10次没有参考性</v>
      </c>
      <c r="V286" s="4" t="str">
        <f>IFERROR(INDEX(搜索词报告!$D$2:$D$22222,MATCH(关键词词频统计!L286,搜索词报告!$H$2:$H$22222,0)),"")</f>
        <v/>
      </c>
    </row>
    <row r="287" spans="2:22" x14ac:dyDescent="0.15">
      <c r="B287">
        <f t="array" ref="B287">SUM(IF(搜索词报告!$H$2:$H$22222=A287,IF(搜索词报告!$A$2:$A$22222&gt;=关键词词频统计!$A$2,IF(搜索词报告!$A$2:$A$22222&lt;=关键词词频统计!$A$4,搜索词报告!$I$2:$I$22222,0),0),0))</f>
        <v>0</v>
      </c>
      <c r="C287">
        <f t="array" ref="C287">SUM(IF(搜索词报告!$H$2:$H$22222=A287,IF(搜索词报告!$A$2:$A$22222&gt;=关键词词频统计!$A$2,IF(搜索词报告!$A$2:$A$22222&lt;=关键词词频统计!$A$4,搜索词报告!$J$2:$J$22222,0),0),0))</f>
        <v>0</v>
      </c>
      <c r="D287" s="2">
        <f t="shared" si="32"/>
        <v>0</v>
      </c>
      <c r="E287" s="2">
        <f t="shared" si="33"/>
        <v>0</v>
      </c>
      <c r="F287">
        <f t="array" ref="F287">SUM(IF(搜索词报告!$H$2:$H$22222=A287,IF(搜索词报告!$A$2:$A$22222&gt;=关键词词频统计!$A$2,IF(搜索词报告!$A$2:$A$22222&lt;=关键词词频统计!$A$4,搜索词报告!$Q$2:$Q$22222,0),0),0))</f>
        <v>0</v>
      </c>
      <c r="G287">
        <f t="array" ref="G287">SUM(IF(搜索词报告!$H$2:$H$22222=A287,IF(搜索词报告!$A$2:$A$22222&gt;=关键词词频统计!$A$2,IF(搜索词报告!$A$2:$A$22222&lt;=关键词词频统计!$A$4,搜索词报告!$N$2:$N$22222,0),0),0))</f>
        <v>0</v>
      </c>
      <c r="H287">
        <f t="array" ref="H287">SUM(IF(搜索词报告!$H$2:$H$22222=A287,IF(搜索词报告!$A$2:$A$22222&gt;=关键词词频统计!$A$2,IF(搜索词报告!$A$2:$A$22222&lt;=关键词词频统计!$A$4,搜索词报告!$M$2:$M$22222,0),0),0))</f>
        <v>0</v>
      </c>
      <c r="I287" s="2" t="str">
        <f t="shared" si="34"/>
        <v/>
      </c>
      <c r="J287" t="str">
        <f t="shared" si="35"/>
        <v>点击次数少于10次没有参考性</v>
      </c>
      <c r="K287" s="4" t="str">
        <f>IFERROR(INDEX(搜索词报告!$D$2:$D$22222,MATCH(关键词词频统计!A287,搜索词报告!$H$2:$H$22222,0)),"")</f>
        <v/>
      </c>
      <c r="M287">
        <f t="array" ref="M287">SUM(IF(搜索词报告!$H$2:$H$22222=L287,IF(搜索词报告!$A$2:$A$22222&gt;=$L$2,IF(搜索词报告!$A$2:$A$22222&lt;=$L$4,搜索词报告!$I$2:$I$22222,0),0),0))</f>
        <v>0</v>
      </c>
      <c r="N287">
        <f t="array" ref="N287">SUM(IF(搜索词报告!$H$2:$H$22222=L287,IF(搜索词报告!$A$2:$A$22222&gt;=$L$2,IF(搜索词报告!$A$2:$A$22222&lt;=$L$4,搜索词报告!$J$2:$J$22222,0),0),0))</f>
        <v>0</v>
      </c>
      <c r="O287" s="2">
        <f t="shared" si="36"/>
        <v>0</v>
      </c>
      <c r="P287" s="2">
        <f t="shared" si="37"/>
        <v>0</v>
      </c>
      <c r="Q287">
        <f t="array" ref="Q287">SUM(IF(搜索词报告!$H$2:$H$22222=L287,IF(搜索词报告!$A$2:$A$22222&gt;=$L$2,IF(搜索词报告!$A$2:$A$22222&lt;=$L$4,搜索词报告!$Q$2:$Q$22222,0),0),0))</f>
        <v>0</v>
      </c>
      <c r="R287">
        <f t="array" ref="R287">SUM(IF(搜索词报告!$H$2:$H$22222=L287,IF(搜索词报告!$A$2:$A$22222&gt;=$L$2,IF(搜索词报告!$A$2:$A$22222&lt;=$L$4,搜索词报告!$N$2:$N$22222,0),0),0))</f>
        <v>0</v>
      </c>
      <c r="S287">
        <f t="array" ref="S287">SUM(IF(搜索词报告!$H$2:$H$22222=L287,IF(搜索词报告!$A$2:$A$22222&gt;=$L$2,IF(搜索词报告!$A$2:$A$22222&lt;=$L$4,搜索词报告!$M$2:$M$22222,0),0),0))</f>
        <v>0</v>
      </c>
      <c r="T287" s="2" t="str">
        <f t="shared" si="38"/>
        <v/>
      </c>
      <c r="U287" t="str">
        <f t="shared" si="39"/>
        <v>点击次数少于10次没有参考性</v>
      </c>
      <c r="V287" s="4" t="str">
        <f>IFERROR(INDEX(搜索词报告!$D$2:$D$22222,MATCH(关键词词频统计!L287,搜索词报告!$H$2:$H$22222,0)),"")</f>
        <v/>
      </c>
    </row>
    <row r="288" spans="2:22" x14ac:dyDescent="0.15">
      <c r="B288">
        <f t="array" ref="B288">SUM(IF(搜索词报告!$H$2:$H$22222=A288,IF(搜索词报告!$A$2:$A$22222&gt;=关键词词频统计!$A$2,IF(搜索词报告!$A$2:$A$22222&lt;=关键词词频统计!$A$4,搜索词报告!$I$2:$I$22222,0),0),0))</f>
        <v>0</v>
      </c>
      <c r="C288">
        <f t="array" ref="C288">SUM(IF(搜索词报告!$H$2:$H$22222=A288,IF(搜索词报告!$A$2:$A$22222&gt;=关键词词频统计!$A$2,IF(搜索词报告!$A$2:$A$22222&lt;=关键词词频统计!$A$4,搜索词报告!$J$2:$J$22222,0),0),0))</f>
        <v>0</v>
      </c>
      <c r="D288" s="2">
        <f t="shared" si="32"/>
        <v>0</v>
      </c>
      <c r="E288" s="2">
        <f t="shared" si="33"/>
        <v>0</v>
      </c>
      <c r="F288">
        <f t="array" ref="F288">SUM(IF(搜索词报告!$H$2:$H$22222=A288,IF(搜索词报告!$A$2:$A$22222&gt;=关键词词频统计!$A$2,IF(搜索词报告!$A$2:$A$22222&lt;=关键词词频统计!$A$4,搜索词报告!$Q$2:$Q$22222,0),0),0))</f>
        <v>0</v>
      </c>
      <c r="G288">
        <f t="array" ref="G288">SUM(IF(搜索词报告!$H$2:$H$22222=A288,IF(搜索词报告!$A$2:$A$22222&gt;=关键词词频统计!$A$2,IF(搜索词报告!$A$2:$A$22222&lt;=关键词词频统计!$A$4,搜索词报告!$N$2:$N$22222,0),0),0))</f>
        <v>0</v>
      </c>
      <c r="H288">
        <f t="array" ref="H288">SUM(IF(搜索词报告!$H$2:$H$22222=A288,IF(搜索词报告!$A$2:$A$22222&gt;=关键词词频统计!$A$2,IF(搜索词报告!$A$2:$A$22222&lt;=关键词词频统计!$A$4,搜索词报告!$M$2:$M$22222,0),0),0))</f>
        <v>0</v>
      </c>
      <c r="I288" s="2" t="str">
        <f t="shared" si="34"/>
        <v/>
      </c>
      <c r="J288" t="str">
        <f t="shared" si="35"/>
        <v>点击次数少于10次没有参考性</v>
      </c>
      <c r="K288" s="4" t="str">
        <f>IFERROR(INDEX(搜索词报告!$D$2:$D$22222,MATCH(关键词词频统计!A288,搜索词报告!$H$2:$H$22222,0)),"")</f>
        <v/>
      </c>
      <c r="M288">
        <f t="array" ref="M288">SUM(IF(搜索词报告!$H$2:$H$22222=L288,IF(搜索词报告!$A$2:$A$22222&gt;=$L$2,IF(搜索词报告!$A$2:$A$22222&lt;=$L$4,搜索词报告!$I$2:$I$22222,0),0),0))</f>
        <v>0</v>
      </c>
      <c r="N288">
        <f t="array" ref="N288">SUM(IF(搜索词报告!$H$2:$H$22222=L288,IF(搜索词报告!$A$2:$A$22222&gt;=$L$2,IF(搜索词报告!$A$2:$A$22222&lt;=$L$4,搜索词报告!$J$2:$J$22222,0),0),0))</f>
        <v>0</v>
      </c>
      <c r="O288" s="2">
        <f t="shared" si="36"/>
        <v>0</v>
      </c>
      <c r="P288" s="2">
        <f t="shared" si="37"/>
        <v>0</v>
      </c>
      <c r="Q288">
        <f t="array" ref="Q288">SUM(IF(搜索词报告!$H$2:$H$22222=L288,IF(搜索词报告!$A$2:$A$22222&gt;=$L$2,IF(搜索词报告!$A$2:$A$22222&lt;=$L$4,搜索词报告!$Q$2:$Q$22222,0),0),0))</f>
        <v>0</v>
      </c>
      <c r="R288">
        <f t="array" ref="R288">SUM(IF(搜索词报告!$H$2:$H$22222=L288,IF(搜索词报告!$A$2:$A$22222&gt;=$L$2,IF(搜索词报告!$A$2:$A$22222&lt;=$L$4,搜索词报告!$N$2:$N$22222,0),0),0))</f>
        <v>0</v>
      </c>
      <c r="S288">
        <f t="array" ref="S288">SUM(IF(搜索词报告!$H$2:$H$22222=L288,IF(搜索词报告!$A$2:$A$22222&gt;=$L$2,IF(搜索词报告!$A$2:$A$22222&lt;=$L$4,搜索词报告!$M$2:$M$22222,0),0),0))</f>
        <v>0</v>
      </c>
      <c r="T288" s="2" t="str">
        <f t="shared" si="38"/>
        <v/>
      </c>
      <c r="U288" t="str">
        <f t="shared" si="39"/>
        <v>点击次数少于10次没有参考性</v>
      </c>
      <c r="V288" s="4" t="str">
        <f>IFERROR(INDEX(搜索词报告!$D$2:$D$22222,MATCH(关键词词频统计!L288,搜索词报告!$H$2:$H$22222,0)),"")</f>
        <v/>
      </c>
    </row>
    <row r="289" spans="2:22" x14ac:dyDescent="0.15">
      <c r="B289">
        <f t="array" ref="B289">SUM(IF(搜索词报告!$H$2:$H$22222=A289,IF(搜索词报告!$A$2:$A$22222&gt;=关键词词频统计!$A$2,IF(搜索词报告!$A$2:$A$22222&lt;=关键词词频统计!$A$4,搜索词报告!$I$2:$I$22222,0),0),0))</f>
        <v>0</v>
      </c>
      <c r="C289">
        <f t="array" ref="C289">SUM(IF(搜索词报告!$H$2:$H$22222=A289,IF(搜索词报告!$A$2:$A$22222&gt;=关键词词频统计!$A$2,IF(搜索词报告!$A$2:$A$22222&lt;=关键词词频统计!$A$4,搜索词报告!$J$2:$J$22222,0),0),0))</f>
        <v>0</v>
      </c>
      <c r="D289" s="2">
        <f t="shared" si="32"/>
        <v>0</v>
      </c>
      <c r="E289" s="2">
        <f t="shared" si="33"/>
        <v>0</v>
      </c>
      <c r="F289">
        <f t="array" ref="F289">SUM(IF(搜索词报告!$H$2:$H$22222=A289,IF(搜索词报告!$A$2:$A$22222&gt;=关键词词频统计!$A$2,IF(搜索词报告!$A$2:$A$22222&lt;=关键词词频统计!$A$4,搜索词报告!$Q$2:$Q$22222,0),0),0))</f>
        <v>0</v>
      </c>
      <c r="G289">
        <f t="array" ref="G289">SUM(IF(搜索词报告!$H$2:$H$22222=A289,IF(搜索词报告!$A$2:$A$22222&gt;=关键词词频统计!$A$2,IF(搜索词报告!$A$2:$A$22222&lt;=关键词词频统计!$A$4,搜索词报告!$N$2:$N$22222,0),0),0))</f>
        <v>0</v>
      </c>
      <c r="H289">
        <f t="array" ref="H289">SUM(IF(搜索词报告!$H$2:$H$22222=A289,IF(搜索词报告!$A$2:$A$22222&gt;=关键词词频统计!$A$2,IF(搜索词报告!$A$2:$A$22222&lt;=关键词词频统计!$A$4,搜索词报告!$M$2:$M$22222,0),0),0))</f>
        <v>0</v>
      </c>
      <c r="I289" s="2" t="str">
        <f t="shared" si="34"/>
        <v/>
      </c>
      <c r="J289" t="str">
        <f t="shared" si="35"/>
        <v>点击次数少于10次没有参考性</v>
      </c>
      <c r="K289" s="4" t="str">
        <f>IFERROR(INDEX(搜索词报告!$D$2:$D$22222,MATCH(关键词词频统计!A289,搜索词报告!$H$2:$H$22222,0)),"")</f>
        <v/>
      </c>
      <c r="M289">
        <f t="array" ref="M289">SUM(IF(搜索词报告!$H$2:$H$22222=L289,IF(搜索词报告!$A$2:$A$22222&gt;=$L$2,IF(搜索词报告!$A$2:$A$22222&lt;=$L$4,搜索词报告!$I$2:$I$22222,0),0),0))</f>
        <v>0</v>
      </c>
      <c r="N289">
        <f t="array" ref="N289">SUM(IF(搜索词报告!$H$2:$H$22222=L289,IF(搜索词报告!$A$2:$A$22222&gt;=$L$2,IF(搜索词报告!$A$2:$A$22222&lt;=$L$4,搜索词报告!$J$2:$J$22222,0),0),0))</f>
        <v>0</v>
      </c>
      <c r="O289" s="2">
        <f t="shared" si="36"/>
        <v>0</v>
      </c>
      <c r="P289" s="2">
        <f t="shared" si="37"/>
        <v>0</v>
      </c>
      <c r="Q289">
        <f t="array" ref="Q289">SUM(IF(搜索词报告!$H$2:$H$22222=L289,IF(搜索词报告!$A$2:$A$22222&gt;=$L$2,IF(搜索词报告!$A$2:$A$22222&lt;=$L$4,搜索词报告!$Q$2:$Q$22222,0),0),0))</f>
        <v>0</v>
      </c>
      <c r="R289">
        <f t="array" ref="R289">SUM(IF(搜索词报告!$H$2:$H$22222=L289,IF(搜索词报告!$A$2:$A$22222&gt;=$L$2,IF(搜索词报告!$A$2:$A$22222&lt;=$L$4,搜索词报告!$N$2:$N$22222,0),0),0))</f>
        <v>0</v>
      </c>
      <c r="S289">
        <f t="array" ref="S289">SUM(IF(搜索词报告!$H$2:$H$22222=L289,IF(搜索词报告!$A$2:$A$22222&gt;=$L$2,IF(搜索词报告!$A$2:$A$22222&lt;=$L$4,搜索词报告!$M$2:$M$22222,0),0),0))</f>
        <v>0</v>
      </c>
      <c r="T289" s="2" t="str">
        <f t="shared" si="38"/>
        <v/>
      </c>
      <c r="U289" t="str">
        <f t="shared" si="39"/>
        <v>点击次数少于10次没有参考性</v>
      </c>
      <c r="V289" s="4" t="str">
        <f>IFERROR(INDEX(搜索词报告!$D$2:$D$22222,MATCH(关键词词频统计!L289,搜索词报告!$H$2:$H$22222,0)),"")</f>
        <v/>
      </c>
    </row>
    <row r="290" spans="2:22" x14ac:dyDescent="0.15">
      <c r="B290">
        <f t="array" ref="B290">SUM(IF(搜索词报告!$H$2:$H$22222=A290,IF(搜索词报告!$A$2:$A$22222&gt;=关键词词频统计!$A$2,IF(搜索词报告!$A$2:$A$22222&lt;=关键词词频统计!$A$4,搜索词报告!$I$2:$I$22222,0),0),0))</f>
        <v>0</v>
      </c>
      <c r="C290">
        <f t="array" ref="C290">SUM(IF(搜索词报告!$H$2:$H$22222=A290,IF(搜索词报告!$A$2:$A$22222&gt;=关键词词频统计!$A$2,IF(搜索词报告!$A$2:$A$22222&lt;=关键词词频统计!$A$4,搜索词报告!$J$2:$J$22222,0),0),0))</f>
        <v>0</v>
      </c>
      <c r="D290" s="2">
        <f t="shared" si="32"/>
        <v>0</v>
      </c>
      <c r="E290" s="2">
        <f t="shared" si="33"/>
        <v>0</v>
      </c>
      <c r="F290">
        <f t="array" ref="F290">SUM(IF(搜索词报告!$H$2:$H$22222=A290,IF(搜索词报告!$A$2:$A$22222&gt;=关键词词频统计!$A$2,IF(搜索词报告!$A$2:$A$22222&lt;=关键词词频统计!$A$4,搜索词报告!$Q$2:$Q$22222,0),0),0))</f>
        <v>0</v>
      </c>
      <c r="G290">
        <f t="array" ref="G290">SUM(IF(搜索词报告!$H$2:$H$22222=A290,IF(搜索词报告!$A$2:$A$22222&gt;=关键词词频统计!$A$2,IF(搜索词报告!$A$2:$A$22222&lt;=关键词词频统计!$A$4,搜索词报告!$N$2:$N$22222,0),0),0))</f>
        <v>0</v>
      </c>
      <c r="H290">
        <f t="array" ref="H290">SUM(IF(搜索词报告!$H$2:$H$22222=A290,IF(搜索词报告!$A$2:$A$22222&gt;=关键词词频统计!$A$2,IF(搜索词报告!$A$2:$A$22222&lt;=关键词词频统计!$A$4,搜索词报告!$M$2:$M$22222,0),0),0))</f>
        <v>0</v>
      </c>
      <c r="I290" s="2" t="str">
        <f t="shared" si="34"/>
        <v/>
      </c>
      <c r="J290" t="str">
        <f t="shared" si="35"/>
        <v>点击次数少于10次没有参考性</v>
      </c>
      <c r="K290" s="4" t="str">
        <f>IFERROR(INDEX(搜索词报告!$D$2:$D$22222,MATCH(关键词词频统计!A290,搜索词报告!$H$2:$H$22222,0)),"")</f>
        <v/>
      </c>
      <c r="M290">
        <f t="array" ref="M290">SUM(IF(搜索词报告!$H$2:$H$22222=L290,IF(搜索词报告!$A$2:$A$22222&gt;=$L$2,IF(搜索词报告!$A$2:$A$22222&lt;=$L$4,搜索词报告!$I$2:$I$22222,0),0),0))</f>
        <v>0</v>
      </c>
      <c r="N290">
        <f t="array" ref="N290">SUM(IF(搜索词报告!$H$2:$H$22222=L290,IF(搜索词报告!$A$2:$A$22222&gt;=$L$2,IF(搜索词报告!$A$2:$A$22222&lt;=$L$4,搜索词报告!$J$2:$J$22222,0),0),0))</f>
        <v>0</v>
      </c>
      <c r="O290" s="2">
        <f t="shared" si="36"/>
        <v>0</v>
      </c>
      <c r="P290" s="2">
        <f t="shared" si="37"/>
        <v>0</v>
      </c>
      <c r="Q290">
        <f t="array" ref="Q290">SUM(IF(搜索词报告!$H$2:$H$22222=L290,IF(搜索词报告!$A$2:$A$22222&gt;=$L$2,IF(搜索词报告!$A$2:$A$22222&lt;=$L$4,搜索词报告!$Q$2:$Q$22222,0),0),0))</f>
        <v>0</v>
      </c>
      <c r="R290">
        <f t="array" ref="R290">SUM(IF(搜索词报告!$H$2:$H$22222=L290,IF(搜索词报告!$A$2:$A$22222&gt;=$L$2,IF(搜索词报告!$A$2:$A$22222&lt;=$L$4,搜索词报告!$N$2:$N$22222,0),0),0))</f>
        <v>0</v>
      </c>
      <c r="S290">
        <f t="array" ref="S290">SUM(IF(搜索词报告!$H$2:$H$22222=L290,IF(搜索词报告!$A$2:$A$22222&gt;=$L$2,IF(搜索词报告!$A$2:$A$22222&lt;=$L$4,搜索词报告!$M$2:$M$22222,0),0),0))</f>
        <v>0</v>
      </c>
      <c r="T290" s="2" t="str">
        <f t="shared" si="38"/>
        <v/>
      </c>
      <c r="U290" t="str">
        <f t="shared" si="39"/>
        <v>点击次数少于10次没有参考性</v>
      </c>
      <c r="V290" s="4" t="str">
        <f>IFERROR(INDEX(搜索词报告!$D$2:$D$22222,MATCH(关键词词频统计!L290,搜索词报告!$H$2:$H$22222,0)),"")</f>
        <v/>
      </c>
    </row>
    <row r="291" spans="2:22" x14ac:dyDescent="0.15">
      <c r="B291">
        <f t="array" ref="B291">SUM(IF(搜索词报告!$H$2:$H$22222=A291,IF(搜索词报告!$A$2:$A$22222&gt;=关键词词频统计!$A$2,IF(搜索词报告!$A$2:$A$22222&lt;=关键词词频统计!$A$4,搜索词报告!$I$2:$I$22222,0),0),0))</f>
        <v>0</v>
      </c>
      <c r="C291">
        <f t="array" ref="C291">SUM(IF(搜索词报告!$H$2:$H$22222=A291,IF(搜索词报告!$A$2:$A$22222&gt;=关键词词频统计!$A$2,IF(搜索词报告!$A$2:$A$22222&lt;=关键词词频统计!$A$4,搜索词报告!$J$2:$J$22222,0),0),0))</f>
        <v>0</v>
      </c>
      <c r="D291" s="2">
        <f t="shared" si="32"/>
        <v>0</v>
      </c>
      <c r="E291" s="2">
        <f t="shared" si="33"/>
        <v>0</v>
      </c>
      <c r="F291">
        <f t="array" ref="F291">SUM(IF(搜索词报告!$H$2:$H$22222=A291,IF(搜索词报告!$A$2:$A$22222&gt;=关键词词频统计!$A$2,IF(搜索词报告!$A$2:$A$22222&lt;=关键词词频统计!$A$4,搜索词报告!$Q$2:$Q$22222,0),0),0))</f>
        <v>0</v>
      </c>
      <c r="G291">
        <f t="array" ref="G291">SUM(IF(搜索词报告!$H$2:$H$22222=A291,IF(搜索词报告!$A$2:$A$22222&gt;=关键词词频统计!$A$2,IF(搜索词报告!$A$2:$A$22222&lt;=关键词词频统计!$A$4,搜索词报告!$N$2:$N$22222,0),0),0))</f>
        <v>0</v>
      </c>
      <c r="H291">
        <f t="array" ref="H291">SUM(IF(搜索词报告!$H$2:$H$22222=A291,IF(搜索词报告!$A$2:$A$22222&gt;=关键词词频统计!$A$2,IF(搜索词报告!$A$2:$A$22222&lt;=关键词词频统计!$A$4,搜索词报告!$M$2:$M$22222,0),0),0))</f>
        <v>0</v>
      </c>
      <c r="I291" s="2" t="str">
        <f t="shared" si="34"/>
        <v/>
      </c>
      <c r="J291" t="str">
        <f t="shared" si="35"/>
        <v>点击次数少于10次没有参考性</v>
      </c>
      <c r="K291" s="4" t="str">
        <f>IFERROR(INDEX(搜索词报告!$D$2:$D$22222,MATCH(关键词词频统计!A291,搜索词报告!$H$2:$H$22222,0)),"")</f>
        <v/>
      </c>
      <c r="M291">
        <f t="array" ref="M291">SUM(IF(搜索词报告!$H$2:$H$22222=L291,IF(搜索词报告!$A$2:$A$22222&gt;=$L$2,IF(搜索词报告!$A$2:$A$22222&lt;=$L$4,搜索词报告!$I$2:$I$22222,0),0),0))</f>
        <v>0</v>
      </c>
      <c r="N291">
        <f t="array" ref="N291">SUM(IF(搜索词报告!$H$2:$H$22222=L291,IF(搜索词报告!$A$2:$A$22222&gt;=$L$2,IF(搜索词报告!$A$2:$A$22222&lt;=$L$4,搜索词报告!$J$2:$J$22222,0),0),0))</f>
        <v>0</v>
      </c>
      <c r="O291" s="2">
        <f t="shared" si="36"/>
        <v>0</v>
      </c>
      <c r="P291" s="2">
        <f t="shared" si="37"/>
        <v>0</v>
      </c>
      <c r="Q291">
        <f t="array" ref="Q291">SUM(IF(搜索词报告!$H$2:$H$22222=L291,IF(搜索词报告!$A$2:$A$22222&gt;=$L$2,IF(搜索词报告!$A$2:$A$22222&lt;=$L$4,搜索词报告!$Q$2:$Q$22222,0),0),0))</f>
        <v>0</v>
      </c>
      <c r="R291">
        <f t="array" ref="R291">SUM(IF(搜索词报告!$H$2:$H$22222=L291,IF(搜索词报告!$A$2:$A$22222&gt;=$L$2,IF(搜索词报告!$A$2:$A$22222&lt;=$L$4,搜索词报告!$N$2:$N$22222,0),0),0))</f>
        <v>0</v>
      </c>
      <c r="S291">
        <f t="array" ref="S291">SUM(IF(搜索词报告!$H$2:$H$22222=L291,IF(搜索词报告!$A$2:$A$22222&gt;=$L$2,IF(搜索词报告!$A$2:$A$22222&lt;=$L$4,搜索词报告!$M$2:$M$22222,0),0),0))</f>
        <v>0</v>
      </c>
      <c r="T291" s="2" t="str">
        <f t="shared" si="38"/>
        <v/>
      </c>
      <c r="U291" t="str">
        <f t="shared" si="39"/>
        <v>点击次数少于10次没有参考性</v>
      </c>
      <c r="V291" s="4" t="str">
        <f>IFERROR(INDEX(搜索词报告!$D$2:$D$22222,MATCH(关键词词频统计!L291,搜索词报告!$H$2:$H$22222,0)),"")</f>
        <v/>
      </c>
    </row>
    <row r="292" spans="2:22" x14ac:dyDescent="0.15">
      <c r="B292">
        <f t="array" ref="B292">SUM(IF(搜索词报告!$H$2:$H$22222=A292,IF(搜索词报告!$A$2:$A$22222&gt;=关键词词频统计!$A$2,IF(搜索词报告!$A$2:$A$22222&lt;=关键词词频统计!$A$4,搜索词报告!$I$2:$I$22222,0),0),0))</f>
        <v>0</v>
      </c>
      <c r="C292">
        <f t="array" ref="C292">SUM(IF(搜索词报告!$H$2:$H$22222=A292,IF(搜索词报告!$A$2:$A$22222&gt;=关键词词频统计!$A$2,IF(搜索词报告!$A$2:$A$22222&lt;=关键词词频统计!$A$4,搜索词报告!$J$2:$J$22222,0),0),0))</f>
        <v>0</v>
      </c>
      <c r="D292" s="2">
        <f t="shared" si="32"/>
        <v>0</v>
      </c>
      <c r="E292" s="2">
        <f t="shared" si="33"/>
        <v>0</v>
      </c>
      <c r="F292">
        <f t="array" ref="F292">SUM(IF(搜索词报告!$H$2:$H$22222=A292,IF(搜索词报告!$A$2:$A$22222&gt;=关键词词频统计!$A$2,IF(搜索词报告!$A$2:$A$22222&lt;=关键词词频统计!$A$4,搜索词报告!$Q$2:$Q$22222,0),0),0))</f>
        <v>0</v>
      </c>
      <c r="G292">
        <f t="array" ref="G292">SUM(IF(搜索词报告!$H$2:$H$22222=A292,IF(搜索词报告!$A$2:$A$22222&gt;=关键词词频统计!$A$2,IF(搜索词报告!$A$2:$A$22222&lt;=关键词词频统计!$A$4,搜索词报告!$N$2:$N$22222,0),0),0))</f>
        <v>0</v>
      </c>
      <c r="H292">
        <f t="array" ref="H292">SUM(IF(搜索词报告!$H$2:$H$22222=A292,IF(搜索词报告!$A$2:$A$22222&gt;=关键词词频统计!$A$2,IF(搜索词报告!$A$2:$A$22222&lt;=关键词词频统计!$A$4,搜索词报告!$M$2:$M$22222,0),0),0))</f>
        <v>0</v>
      </c>
      <c r="I292" s="2" t="str">
        <f t="shared" si="34"/>
        <v/>
      </c>
      <c r="J292" t="str">
        <f t="shared" si="35"/>
        <v>点击次数少于10次没有参考性</v>
      </c>
      <c r="K292" s="4" t="str">
        <f>IFERROR(INDEX(搜索词报告!$D$2:$D$22222,MATCH(关键词词频统计!A292,搜索词报告!$H$2:$H$22222,0)),"")</f>
        <v/>
      </c>
      <c r="M292">
        <f t="array" ref="M292">SUM(IF(搜索词报告!$H$2:$H$22222=L292,IF(搜索词报告!$A$2:$A$22222&gt;=$L$2,IF(搜索词报告!$A$2:$A$22222&lt;=$L$4,搜索词报告!$I$2:$I$22222,0),0),0))</f>
        <v>0</v>
      </c>
      <c r="N292">
        <f t="array" ref="N292">SUM(IF(搜索词报告!$H$2:$H$22222=L292,IF(搜索词报告!$A$2:$A$22222&gt;=$L$2,IF(搜索词报告!$A$2:$A$22222&lt;=$L$4,搜索词报告!$J$2:$J$22222,0),0),0))</f>
        <v>0</v>
      </c>
      <c r="O292" s="2">
        <f t="shared" si="36"/>
        <v>0</v>
      </c>
      <c r="P292" s="2">
        <f t="shared" si="37"/>
        <v>0</v>
      </c>
      <c r="Q292">
        <f t="array" ref="Q292">SUM(IF(搜索词报告!$H$2:$H$22222=L292,IF(搜索词报告!$A$2:$A$22222&gt;=$L$2,IF(搜索词报告!$A$2:$A$22222&lt;=$L$4,搜索词报告!$Q$2:$Q$22222,0),0),0))</f>
        <v>0</v>
      </c>
      <c r="R292">
        <f t="array" ref="R292">SUM(IF(搜索词报告!$H$2:$H$22222=L292,IF(搜索词报告!$A$2:$A$22222&gt;=$L$2,IF(搜索词报告!$A$2:$A$22222&lt;=$L$4,搜索词报告!$N$2:$N$22222,0),0),0))</f>
        <v>0</v>
      </c>
      <c r="S292">
        <f t="array" ref="S292">SUM(IF(搜索词报告!$H$2:$H$22222=L292,IF(搜索词报告!$A$2:$A$22222&gt;=$L$2,IF(搜索词报告!$A$2:$A$22222&lt;=$L$4,搜索词报告!$M$2:$M$22222,0),0),0))</f>
        <v>0</v>
      </c>
      <c r="T292" s="2" t="str">
        <f t="shared" si="38"/>
        <v/>
      </c>
      <c r="U292" t="str">
        <f t="shared" si="39"/>
        <v>点击次数少于10次没有参考性</v>
      </c>
      <c r="V292" s="4" t="str">
        <f>IFERROR(INDEX(搜索词报告!$D$2:$D$22222,MATCH(关键词词频统计!L292,搜索词报告!$H$2:$H$22222,0)),"")</f>
        <v/>
      </c>
    </row>
    <row r="293" spans="2:22" x14ac:dyDescent="0.15">
      <c r="B293">
        <f t="array" ref="B293">SUM(IF(搜索词报告!$H$2:$H$22222=A293,IF(搜索词报告!$A$2:$A$22222&gt;=关键词词频统计!$A$2,IF(搜索词报告!$A$2:$A$22222&lt;=关键词词频统计!$A$4,搜索词报告!$I$2:$I$22222,0),0),0))</f>
        <v>0</v>
      </c>
      <c r="C293">
        <f t="array" ref="C293">SUM(IF(搜索词报告!$H$2:$H$22222=A293,IF(搜索词报告!$A$2:$A$22222&gt;=关键词词频统计!$A$2,IF(搜索词报告!$A$2:$A$22222&lt;=关键词词频统计!$A$4,搜索词报告!$J$2:$J$22222,0),0),0))</f>
        <v>0</v>
      </c>
      <c r="D293" s="2">
        <f t="shared" si="32"/>
        <v>0</v>
      </c>
      <c r="E293" s="2">
        <f t="shared" si="33"/>
        <v>0</v>
      </c>
      <c r="F293">
        <f t="array" ref="F293">SUM(IF(搜索词报告!$H$2:$H$22222=A293,IF(搜索词报告!$A$2:$A$22222&gt;=关键词词频统计!$A$2,IF(搜索词报告!$A$2:$A$22222&lt;=关键词词频统计!$A$4,搜索词报告!$Q$2:$Q$22222,0),0),0))</f>
        <v>0</v>
      </c>
      <c r="G293">
        <f t="array" ref="G293">SUM(IF(搜索词报告!$H$2:$H$22222=A293,IF(搜索词报告!$A$2:$A$22222&gt;=关键词词频统计!$A$2,IF(搜索词报告!$A$2:$A$22222&lt;=关键词词频统计!$A$4,搜索词报告!$N$2:$N$22222,0),0),0))</f>
        <v>0</v>
      </c>
      <c r="H293">
        <f t="array" ref="H293">SUM(IF(搜索词报告!$H$2:$H$22222=A293,IF(搜索词报告!$A$2:$A$22222&gt;=关键词词频统计!$A$2,IF(搜索词报告!$A$2:$A$22222&lt;=关键词词频统计!$A$4,搜索词报告!$M$2:$M$22222,0),0),0))</f>
        <v>0</v>
      </c>
      <c r="I293" s="2" t="str">
        <f t="shared" si="34"/>
        <v/>
      </c>
      <c r="J293" t="str">
        <f t="shared" si="35"/>
        <v>点击次数少于10次没有参考性</v>
      </c>
      <c r="K293" s="4" t="str">
        <f>IFERROR(INDEX(搜索词报告!$D$2:$D$22222,MATCH(关键词词频统计!A293,搜索词报告!$H$2:$H$22222,0)),"")</f>
        <v/>
      </c>
      <c r="M293">
        <f t="array" ref="M293">SUM(IF(搜索词报告!$H$2:$H$22222=L293,IF(搜索词报告!$A$2:$A$22222&gt;=$L$2,IF(搜索词报告!$A$2:$A$22222&lt;=$L$4,搜索词报告!$I$2:$I$22222,0),0),0))</f>
        <v>0</v>
      </c>
      <c r="N293">
        <f t="array" ref="N293">SUM(IF(搜索词报告!$H$2:$H$22222=L293,IF(搜索词报告!$A$2:$A$22222&gt;=$L$2,IF(搜索词报告!$A$2:$A$22222&lt;=$L$4,搜索词报告!$J$2:$J$22222,0),0),0))</f>
        <v>0</v>
      </c>
      <c r="O293" s="2">
        <f t="shared" si="36"/>
        <v>0</v>
      </c>
      <c r="P293" s="2">
        <f t="shared" si="37"/>
        <v>0</v>
      </c>
      <c r="Q293">
        <f t="array" ref="Q293">SUM(IF(搜索词报告!$H$2:$H$22222=L293,IF(搜索词报告!$A$2:$A$22222&gt;=$L$2,IF(搜索词报告!$A$2:$A$22222&lt;=$L$4,搜索词报告!$Q$2:$Q$22222,0),0),0))</f>
        <v>0</v>
      </c>
      <c r="R293">
        <f t="array" ref="R293">SUM(IF(搜索词报告!$H$2:$H$22222=L293,IF(搜索词报告!$A$2:$A$22222&gt;=$L$2,IF(搜索词报告!$A$2:$A$22222&lt;=$L$4,搜索词报告!$N$2:$N$22222,0),0),0))</f>
        <v>0</v>
      </c>
      <c r="S293">
        <f t="array" ref="S293">SUM(IF(搜索词报告!$H$2:$H$22222=L293,IF(搜索词报告!$A$2:$A$22222&gt;=$L$2,IF(搜索词报告!$A$2:$A$22222&lt;=$L$4,搜索词报告!$M$2:$M$22222,0),0),0))</f>
        <v>0</v>
      </c>
      <c r="T293" s="2" t="str">
        <f t="shared" si="38"/>
        <v/>
      </c>
      <c r="U293" t="str">
        <f t="shared" si="39"/>
        <v>点击次数少于10次没有参考性</v>
      </c>
      <c r="V293" s="4" t="str">
        <f>IFERROR(INDEX(搜索词报告!$D$2:$D$22222,MATCH(关键词词频统计!L293,搜索词报告!$H$2:$H$22222,0)),"")</f>
        <v/>
      </c>
    </row>
    <row r="294" spans="2:22" x14ac:dyDescent="0.15">
      <c r="B294">
        <f t="array" ref="B294">SUM(IF(搜索词报告!$H$2:$H$22222=A294,IF(搜索词报告!$A$2:$A$22222&gt;=关键词词频统计!$A$2,IF(搜索词报告!$A$2:$A$22222&lt;=关键词词频统计!$A$4,搜索词报告!$I$2:$I$22222,0),0),0))</f>
        <v>0</v>
      </c>
      <c r="C294">
        <f t="array" ref="C294">SUM(IF(搜索词报告!$H$2:$H$22222=A294,IF(搜索词报告!$A$2:$A$22222&gt;=关键词词频统计!$A$2,IF(搜索词报告!$A$2:$A$22222&lt;=关键词词频统计!$A$4,搜索词报告!$J$2:$J$22222,0),0),0))</f>
        <v>0</v>
      </c>
      <c r="D294" s="2">
        <f t="shared" si="32"/>
        <v>0</v>
      </c>
      <c r="E294" s="2">
        <f t="shared" si="33"/>
        <v>0</v>
      </c>
      <c r="F294">
        <f t="array" ref="F294">SUM(IF(搜索词报告!$H$2:$H$22222=A294,IF(搜索词报告!$A$2:$A$22222&gt;=关键词词频统计!$A$2,IF(搜索词报告!$A$2:$A$22222&lt;=关键词词频统计!$A$4,搜索词报告!$Q$2:$Q$22222,0),0),0))</f>
        <v>0</v>
      </c>
      <c r="G294">
        <f t="array" ref="G294">SUM(IF(搜索词报告!$H$2:$H$22222=A294,IF(搜索词报告!$A$2:$A$22222&gt;=关键词词频统计!$A$2,IF(搜索词报告!$A$2:$A$22222&lt;=关键词词频统计!$A$4,搜索词报告!$N$2:$N$22222,0),0),0))</f>
        <v>0</v>
      </c>
      <c r="H294">
        <f t="array" ref="H294">SUM(IF(搜索词报告!$H$2:$H$22222=A294,IF(搜索词报告!$A$2:$A$22222&gt;=关键词词频统计!$A$2,IF(搜索词报告!$A$2:$A$22222&lt;=关键词词频统计!$A$4,搜索词报告!$M$2:$M$22222,0),0),0))</f>
        <v>0</v>
      </c>
      <c r="I294" s="2" t="str">
        <f t="shared" si="34"/>
        <v/>
      </c>
      <c r="J294" t="str">
        <f t="shared" si="35"/>
        <v>点击次数少于10次没有参考性</v>
      </c>
      <c r="K294" s="4" t="str">
        <f>IFERROR(INDEX(搜索词报告!$D$2:$D$22222,MATCH(关键词词频统计!A294,搜索词报告!$H$2:$H$22222,0)),"")</f>
        <v/>
      </c>
      <c r="M294">
        <f t="array" ref="M294">SUM(IF(搜索词报告!$H$2:$H$22222=L294,IF(搜索词报告!$A$2:$A$22222&gt;=$L$2,IF(搜索词报告!$A$2:$A$22222&lt;=$L$4,搜索词报告!$I$2:$I$22222,0),0),0))</f>
        <v>0</v>
      </c>
      <c r="N294">
        <f t="array" ref="N294">SUM(IF(搜索词报告!$H$2:$H$22222=L294,IF(搜索词报告!$A$2:$A$22222&gt;=$L$2,IF(搜索词报告!$A$2:$A$22222&lt;=$L$4,搜索词报告!$J$2:$J$22222,0),0),0))</f>
        <v>0</v>
      </c>
      <c r="O294" s="2">
        <f t="shared" si="36"/>
        <v>0</v>
      </c>
      <c r="P294" s="2">
        <f t="shared" si="37"/>
        <v>0</v>
      </c>
      <c r="Q294">
        <f t="array" ref="Q294">SUM(IF(搜索词报告!$H$2:$H$22222=L294,IF(搜索词报告!$A$2:$A$22222&gt;=$L$2,IF(搜索词报告!$A$2:$A$22222&lt;=$L$4,搜索词报告!$Q$2:$Q$22222,0),0),0))</f>
        <v>0</v>
      </c>
      <c r="R294">
        <f t="array" ref="R294">SUM(IF(搜索词报告!$H$2:$H$22222=L294,IF(搜索词报告!$A$2:$A$22222&gt;=$L$2,IF(搜索词报告!$A$2:$A$22222&lt;=$L$4,搜索词报告!$N$2:$N$22222,0),0),0))</f>
        <v>0</v>
      </c>
      <c r="S294">
        <f t="array" ref="S294">SUM(IF(搜索词报告!$H$2:$H$22222=L294,IF(搜索词报告!$A$2:$A$22222&gt;=$L$2,IF(搜索词报告!$A$2:$A$22222&lt;=$L$4,搜索词报告!$M$2:$M$22222,0),0),0))</f>
        <v>0</v>
      </c>
      <c r="T294" s="2" t="str">
        <f t="shared" si="38"/>
        <v/>
      </c>
      <c r="U294" t="str">
        <f t="shared" si="39"/>
        <v>点击次数少于10次没有参考性</v>
      </c>
      <c r="V294" s="4" t="str">
        <f>IFERROR(INDEX(搜索词报告!$D$2:$D$22222,MATCH(关键词词频统计!L294,搜索词报告!$H$2:$H$22222,0)),"")</f>
        <v/>
      </c>
    </row>
    <row r="295" spans="2:22" x14ac:dyDescent="0.15">
      <c r="B295">
        <f t="array" ref="B295">SUM(IF(搜索词报告!$H$2:$H$22222=A295,IF(搜索词报告!$A$2:$A$22222&gt;=关键词词频统计!$A$2,IF(搜索词报告!$A$2:$A$22222&lt;=关键词词频统计!$A$4,搜索词报告!$I$2:$I$22222,0),0),0))</f>
        <v>0</v>
      </c>
      <c r="C295">
        <f t="array" ref="C295">SUM(IF(搜索词报告!$H$2:$H$22222=A295,IF(搜索词报告!$A$2:$A$22222&gt;=关键词词频统计!$A$2,IF(搜索词报告!$A$2:$A$22222&lt;=关键词词频统计!$A$4,搜索词报告!$J$2:$J$22222,0),0),0))</f>
        <v>0</v>
      </c>
      <c r="D295" s="2">
        <f t="shared" si="32"/>
        <v>0</v>
      </c>
      <c r="E295" s="2">
        <f t="shared" si="33"/>
        <v>0</v>
      </c>
      <c r="F295">
        <f t="array" ref="F295">SUM(IF(搜索词报告!$H$2:$H$22222=A295,IF(搜索词报告!$A$2:$A$22222&gt;=关键词词频统计!$A$2,IF(搜索词报告!$A$2:$A$22222&lt;=关键词词频统计!$A$4,搜索词报告!$Q$2:$Q$22222,0),0),0))</f>
        <v>0</v>
      </c>
      <c r="G295">
        <f t="array" ref="G295">SUM(IF(搜索词报告!$H$2:$H$22222=A295,IF(搜索词报告!$A$2:$A$22222&gt;=关键词词频统计!$A$2,IF(搜索词报告!$A$2:$A$22222&lt;=关键词词频统计!$A$4,搜索词报告!$N$2:$N$22222,0),0),0))</f>
        <v>0</v>
      </c>
      <c r="H295">
        <f t="array" ref="H295">SUM(IF(搜索词报告!$H$2:$H$22222=A295,IF(搜索词报告!$A$2:$A$22222&gt;=关键词词频统计!$A$2,IF(搜索词报告!$A$2:$A$22222&lt;=关键词词频统计!$A$4,搜索词报告!$M$2:$M$22222,0),0),0))</f>
        <v>0</v>
      </c>
      <c r="I295" s="2" t="str">
        <f t="shared" si="34"/>
        <v/>
      </c>
      <c r="J295" t="str">
        <f t="shared" si="35"/>
        <v>点击次数少于10次没有参考性</v>
      </c>
      <c r="K295" s="4" t="str">
        <f>IFERROR(INDEX(搜索词报告!$D$2:$D$22222,MATCH(关键词词频统计!A295,搜索词报告!$H$2:$H$22222,0)),"")</f>
        <v/>
      </c>
      <c r="M295">
        <f t="array" ref="M295">SUM(IF(搜索词报告!$H$2:$H$22222=L295,IF(搜索词报告!$A$2:$A$22222&gt;=$L$2,IF(搜索词报告!$A$2:$A$22222&lt;=$L$4,搜索词报告!$I$2:$I$22222,0),0),0))</f>
        <v>0</v>
      </c>
      <c r="N295">
        <f t="array" ref="N295">SUM(IF(搜索词报告!$H$2:$H$22222=L295,IF(搜索词报告!$A$2:$A$22222&gt;=$L$2,IF(搜索词报告!$A$2:$A$22222&lt;=$L$4,搜索词报告!$J$2:$J$22222,0),0),0))</f>
        <v>0</v>
      </c>
      <c r="O295" s="2">
        <f t="shared" si="36"/>
        <v>0</v>
      </c>
      <c r="P295" s="2">
        <f t="shared" si="37"/>
        <v>0</v>
      </c>
      <c r="Q295">
        <f t="array" ref="Q295">SUM(IF(搜索词报告!$H$2:$H$22222=L295,IF(搜索词报告!$A$2:$A$22222&gt;=$L$2,IF(搜索词报告!$A$2:$A$22222&lt;=$L$4,搜索词报告!$Q$2:$Q$22222,0),0),0))</f>
        <v>0</v>
      </c>
      <c r="R295">
        <f t="array" ref="R295">SUM(IF(搜索词报告!$H$2:$H$22222=L295,IF(搜索词报告!$A$2:$A$22222&gt;=$L$2,IF(搜索词报告!$A$2:$A$22222&lt;=$L$4,搜索词报告!$N$2:$N$22222,0),0),0))</f>
        <v>0</v>
      </c>
      <c r="S295">
        <f t="array" ref="S295">SUM(IF(搜索词报告!$H$2:$H$22222=L295,IF(搜索词报告!$A$2:$A$22222&gt;=$L$2,IF(搜索词报告!$A$2:$A$22222&lt;=$L$4,搜索词报告!$M$2:$M$22222,0),0),0))</f>
        <v>0</v>
      </c>
      <c r="T295" s="2" t="str">
        <f t="shared" si="38"/>
        <v/>
      </c>
      <c r="U295" t="str">
        <f t="shared" si="39"/>
        <v>点击次数少于10次没有参考性</v>
      </c>
      <c r="V295" s="4" t="str">
        <f>IFERROR(INDEX(搜索词报告!$D$2:$D$22222,MATCH(关键词词频统计!L295,搜索词报告!$H$2:$H$22222,0)),"")</f>
        <v/>
      </c>
    </row>
    <row r="296" spans="2:22" x14ac:dyDescent="0.15">
      <c r="B296">
        <f t="array" ref="B296">SUM(IF(搜索词报告!$H$2:$H$22222=A296,IF(搜索词报告!$A$2:$A$22222&gt;=关键词词频统计!$A$2,IF(搜索词报告!$A$2:$A$22222&lt;=关键词词频统计!$A$4,搜索词报告!$I$2:$I$22222,0),0),0))</f>
        <v>0</v>
      </c>
      <c r="C296">
        <f t="array" ref="C296">SUM(IF(搜索词报告!$H$2:$H$22222=A296,IF(搜索词报告!$A$2:$A$22222&gt;=关键词词频统计!$A$2,IF(搜索词报告!$A$2:$A$22222&lt;=关键词词频统计!$A$4,搜索词报告!$J$2:$J$22222,0),0),0))</f>
        <v>0</v>
      </c>
      <c r="D296" s="2">
        <f t="shared" si="32"/>
        <v>0</v>
      </c>
      <c r="E296" s="2">
        <f t="shared" si="33"/>
        <v>0</v>
      </c>
      <c r="F296">
        <f t="array" ref="F296">SUM(IF(搜索词报告!$H$2:$H$22222=A296,IF(搜索词报告!$A$2:$A$22222&gt;=关键词词频统计!$A$2,IF(搜索词报告!$A$2:$A$22222&lt;=关键词词频统计!$A$4,搜索词报告!$Q$2:$Q$22222,0),0),0))</f>
        <v>0</v>
      </c>
      <c r="G296">
        <f t="array" ref="G296">SUM(IF(搜索词报告!$H$2:$H$22222=A296,IF(搜索词报告!$A$2:$A$22222&gt;=关键词词频统计!$A$2,IF(搜索词报告!$A$2:$A$22222&lt;=关键词词频统计!$A$4,搜索词报告!$N$2:$N$22222,0),0),0))</f>
        <v>0</v>
      </c>
      <c r="H296">
        <f t="array" ref="H296">SUM(IF(搜索词报告!$H$2:$H$22222=A296,IF(搜索词报告!$A$2:$A$22222&gt;=关键词词频统计!$A$2,IF(搜索词报告!$A$2:$A$22222&lt;=关键词词频统计!$A$4,搜索词报告!$M$2:$M$22222,0),0),0))</f>
        <v>0</v>
      </c>
      <c r="I296" s="2" t="str">
        <f t="shared" si="34"/>
        <v/>
      </c>
      <c r="J296" t="str">
        <f t="shared" si="35"/>
        <v>点击次数少于10次没有参考性</v>
      </c>
      <c r="K296" s="4" t="str">
        <f>IFERROR(INDEX(搜索词报告!$D$2:$D$22222,MATCH(关键词词频统计!A296,搜索词报告!$H$2:$H$22222,0)),"")</f>
        <v/>
      </c>
      <c r="M296">
        <f t="array" ref="M296">SUM(IF(搜索词报告!$H$2:$H$22222=L296,IF(搜索词报告!$A$2:$A$22222&gt;=$L$2,IF(搜索词报告!$A$2:$A$22222&lt;=$L$4,搜索词报告!$I$2:$I$22222,0),0),0))</f>
        <v>0</v>
      </c>
      <c r="N296">
        <f t="array" ref="N296">SUM(IF(搜索词报告!$H$2:$H$22222=L296,IF(搜索词报告!$A$2:$A$22222&gt;=$L$2,IF(搜索词报告!$A$2:$A$22222&lt;=$L$4,搜索词报告!$J$2:$J$22222,0),0),0))</f>
        <v>0</v>
      </c>
      <c r="O296" s="2">
        <f t="shared" si="36"/>
        <v>0</v>
      </c>
      <c r="P296" s="2">
        <f t="shared" si="37"/>
        <v>0</v>
      </c>
      <c r="Q296">
        <f t="array" ref="Q296">SUM(IF(搜索词报告!$H$2:$H$22222=L296,IF(搜索词报告!$A$2:$A$22222&gt;=$L$2,IF(搜索词报告!$A$2:$A$22222&lt;=$L$4,搜索词报告!$Q$2:$Q$22222,0),0),0))</f>
        <v>0</v>
      </c>
      <c r="R296">
        <f t="array" ref="R296">SUM(IF(搜索词报告!$H$2:$H$22222=L296,IF(搜索词报告!$A$2:$A$22222&gt;=$L$2,IF(搜索词报告!$A$2:$A$22222&lt;=$L$4,搜索词报告!$N$2:$N$22222,0),0),0))</f>
        <v>0</v>
      </c>
      <c r="S296">
        <f t="array" ref="S296">SUM(IF(搜索词报告!$H$2:$H$22222=L296,IF(搜索词报告!$A$2:$A$22222&gt;=$L$2,IF(搜索词报告!$A$2:$A$22222&lt;=$L$4,搜索词报告!$M$2:$M$22222,0),0),0))</f>
        <v>0</v>
      </c>
      <c r="T296" s="2" t="str">
        <f t="shared" si="38"/>
        <v/>
      </c>
      <c r="U296" t="str">
        <f t="shared" si="39"/>
        <v>点击次数少于10次没有参考性</v>
      </c>
      <c r="V296" s="4" t="str">
        <f>IFERROR(INDEX(搜索词报告!$D$2:$D$22222,MATCH(关键词词频统计!L296,搜索词报告!$H$2:$H$22222,0)),"")</f>
        <v/>
      </c>
    </row>
    <row r="297" spans="2:22" x14ac:dyDescent="0.15">
      <c r="B297">
        <f t="array" ref="B297">SUM(IF(搜索词报告!$H$2:$H$22222=A297,IF(搜索词报告!$A$2:$A$22222&gt;=关键词词频统计!$A$2,IF(搜索词报告!$A$2:$A$22222&lt;=关键词词频统计!$A$4,搜索词报告!$I$2:$I$22222,0),0),0))</f>
        <v>0</v>
      </c>
      <c r="C297">
        <f t="array" ref="C297">SUM(IF(搜索词报告!$H$2:$H$22222=A297,IF(搜索词报告!$A$2:$A$22222&gt;=关键词词频统计!$A$2,IF(搜索词报告!$A$2:$A$22222&lt;=关键词词频统计!$A$4,搜索词报告!$J$2:$J$22222,0),0),0))</f>
        <v>0</v>
      </c>
      <c r="D297" s="2">
        <f t="shared" si="32"/>
        <v>0</v>
      </c>
      <c r="E297" s="2">
        <f t="shared" si="33"/>
        <v>0</v>
      </c>
      <c r="F297">
        <f t="array" ref="F297">SUM(IF(搜索词报告!$H$2:$H$22222=A297,IF(搜索词报告!$A$2:$A$22222&gt;=关键词词频统计!$A$2,IF(搜索词报告!$A$2:$A$22222&lt;=关键词词频统计!$A$4,搜索词报告!$Q$2:$Q$22222,0),0),0))</f>
        <v>0</v>
      </c>
      <c r="G297">
        <f t="array" ref="G297">SUM(IF(搜索词报告!$H$2:$H$22222=A297,IF(搜索词报告!$A$2:$A$22222&gt;=关键词词频统计!$A$2,IF(搜索词报告!$A$2:$A$22222&lt;=关键词词频统计!$A$4,搜索词报告!$N$2:$N$22222,0),0),0))</f>
        <v>0</v>
      </c>
      <c r="H297">
        <f t="array" ref="H297">SUM(IF(搜索词报告!$H$2:$H$22222=A297,IF(搜索词报告!$A$2:$A$22222&gt;=关键词词频统计!$A$2,IF(搜索词报告!$A$2:$A$22222&lt;=关键词词频统计!$A$4,搜索词报告!$M$2:$M$22222,0),0),0))</f>
        <v>0</v>
      </c>
      <c r="I297" s="2" t="str">
        <f t="shared" si="34"/>
        <v/>
      </c>
      <c r="J297" t="str">
        <f t="shared" si="35"/>
        <v>点击次数少于10次没有参考性</v>
      </c>
      <c r="K297" s="4" t="str">
        <f>IFERROR(INDEX(搜索词报告!$D$2:$D$22222,MATCH(关键词词频统计!A297,搜索词报告!$H$2:$H$22222,0)),"")</f>
        <v/>
      </c>
      <c r="M297">
        <f t="array" ref="M297">SUM(IF(搜索词报告!$H$2:$H$22222=L297,IF(搜索词报告!$A$2:$A$22222&gt;=$L$2,IF(搜索词报告!$A$2:$A$22222&lt;=$L$4,搜索词报告!$I$2:$I$22222,0),0),0))</f>
        <v>0</v>
      </c>
      <c r="N297">
        <f t="array" ref="N297">SUM(IF(搜索词报告!$H$2:$H$22222=L297,IF(搜索词报告!$A$2:$A$22222&gt;=$L$2,IF(搜索词报告!$A$2:$A$22222&lt;=$L$4,搜索词报告!$J$2:$J$22222,0),0),0))</f>
        <v>0</v>
      </c>
      <c r="O297" s="2">
        <f t="shared" si="36"/>
        <v>0</v>
      </c>
      <c r="P297" s="2">
        <f t="shared" si="37"/>
        <v>0</v>
      </c>
      <c r="Q297">
        <f t="array" ref="Q297">SUM(IF(搜索词报告!$H$2:$H$22222=L297,IF(搜索词报告!$A$2:$A$22222&gt;=$L$2,IF(搜索词报告!$A$2:$A$22222&lt;=$L$4,搜索词报告!$Q$2:$Q$22222,0),0),0))</f>
        <v>0</v>
      </c>
      <c r="R297">
        <f t="array" ref="R297">SUM(IF(搜索词报告!$H$2:$H$22222=L297,IF(搜索词报告!$A$2:$A$22222&gt;=$L$2,IF(搜索词报告!$A$2:$A$22222&lt;=$L$4,搜索词报告!$N$2:$N$22222,0),0),0))</f>
        <v>0</v>
      </c>
      <c r="S297">
        <f t="array" ref="S297">SUM(IF(搜索词报告!$H$2:$H$22222=L297,IF(搜索词报告!$A$2:$A$22222&gt;=$L$2,IF(搜索词报告!$A$2:$A$22222&lt;=$L$4,搜索词报告!$M$2:$M$22222,0),0),0))</f>
        <v>0</v>
      </c>
      <c r="T297" s="2" t="str">
        <f t="shared" si="38"/>
        <v/>
      </c>
      <c r="U297" t="str">
        <f t="shared" si="39"/>
        <v>点击次数少于10次没有参考性</v>
      </c>
      <c r="V297" s="4" t="str">
        <f>IFERROR(INDEX(搜索词报告!$D$2:$D$22222,MATCH(关键词词频统计!L297,搜索词报告!$H$2:$H$22222,0)),"")</f>
        <v/>
      </c>
    </row>
    <row r="298" spans="2:22" x14ac:dyDescent="0.15">
      <c r="B298">
        <f t="array" ref="B298">SUM(IF(搜索词报告!$H$2:$H$22222=A298,IF(搜索词报告!$A$2:$A$22222&gt;=关键词词频统计!$A$2,IF(搜索词报告!$A$2:$A$22222&lt;=关键词词频统计!$A$4,搜索词报告!$I$2:$I$22222,0),0),0))</f>
        <v>0</v>
      </c>
      <c r="C298">
        <f t="array" ref="C298">SUM(IF(搜索词报告!$H$2:$H$22222=A298,IF(搜索词报告!$A$2:$A$22222&gt;=关键词词频统计!$A$2,IF(搜索词报告!$A$2:$A$22222&lt;=关键词词频统计!$A$4,搜索词报告!$J$2:$J$22222,0),0),0))</f>
        <v>0</v>
      </c>
      <c r="D298" s="2">
        <f t="shared" si="32"/>
        <v>0</v>
      </c>
      <c r="E298" s="2">
        <f t="shared" si="33"/>
        <v>0</v>
      </c>
      <c r="F298">
        <f t="array" ref="F298">SUM(IF(搜索词报告!$H$2:$H$22222=A298,IF(搜索词报告!$A$2:$A$22222&gt;=关键词词频统计!$A$2,IF(搜索词报告!$A$2:$A$22222&lt;=关键词词频统计!$A$4,搜索词报告!$Q$2:$Q$22222,0),0),0))</f>
        <v>0</v>
      </c>
      <c r="G298">
        <f t="array" ref="G298">SUM(IF(搜索词报告!$H$2:$H$22222=A298,IF(搜索词报告!$A$2:$A$22222&gt;=关键词词频统计!$A$2,IF(搜索词报告!$A$2:$A$22222&lt;=关键词词频统计!$A$4,搜索词报告!$N$2:$N$22222,0),0),0))</f>
        <v>0</v>
      </c>
      <c r="H298">
        <f t="array" ref="H298">SUM(IF(搜索词报告!$H$2:$H$22222=A298,IF(搜索词报告!$A$2:$A$22222&gt;=关键词词频统计!$A$2,IF(搜索词报告!$A$2:$A$22222&lt;=关键词词频统计!$A$4,搜索词报告!$M$2:$M$22222,0),0),0))</f>
        <v>0</v>
      </c>
      <c r="I298" s="2" t="str">
        <f t="shared" si="34"/>
        <v/>
      </c>
      <c r="J298" t="str">
        <f t="shared" si="35"/>
        <v>点击次数少于10次没有参考性</v>
      </c>
      <c r="K298" s="4" t="str">
        <f>IFERROR(INDEX(搜索词报告!$D$2:$D$22222,MATCH(关键词词频统计!A298,搜索词报告!$H$2:$H$22222,0)),"")</f>
        <v/>
      </c>
      <c r="M298">
        <f t="array" ref="M298">SUM(IF(搜索词报告!$H$2:$H$22222=L298,IF(搜索词报告!$A$2:$A$22222&gt;=$L$2,IF(搜索词报告!$A$2:$A$22222&lt;=$L$4,搜索词报告!$I$2:$I$22222,0),0),0))</f>
        <v>0</v>
      </c>
      <c r="N298">
        <f t="array" ref="N298">SUM(IF(搜索词报告!$H$2:$H$22222=L298,IF(搜索词报告!$A$2:$A$22222&gt;=$L$2,IF(搜索词报告!$A$2:$A$22222&lt;=$L$4,搜索词报告!$J$2:$J$22222,0),0),0))</f>
        <v>0</v>
      </c>
      <c r="O298" s="2">
        <f t="shared" si="36"/>
        <v>0</v>
      </c>
      <c r="P298" s="2">
        <f t="shared" si="37"/>
        <v>0</v>
      </c>
      <c r="Q298">
        <f t="array" ref="Q298">SUM(IF(搜索词报告!$H$2:$H$22222=L298,IF(搜索词报告!$A$2:$A$22222&gt;=$L$2,IF(搜索词报告!$A$2:$A$22222&lt;=$L$4,搜索词报告!$Q$2:$Q$22222,0),0),0))</f>
        <v>0</v>
      </c>
      <c r="R298">
        <f t="array" ref="R298">SUM(IF(搜索词报告!$H$2:$H$22222=L298,IF(搜索词报告!$A$2:$A$22222&gt;=$L$2,IF(搜索词报告!$A$2:$A$22222&lt;=$L$4,搜索词报告!$N$2:$N$22222,0),0),0))</f>
        <v>0</v>
      </c>
      <c r="S298">
        <f t="array" ref="S298">SUM(IF(搜索词报告!$H$2:$H$22222=L298,IF(搜索词报告!$A$2:$A$22222&gt;=$L$2,IF(搜索词报告!$A$2:$A$22222&lt;=$L$4,搜索词报告!$M$2:$M$22222,0),0),0))</f>
        <v>0</v>
      </c>
      <c r="T298" s="2" t="str">
        <f t="shared" si="38"/>
        <v/>
      </c>
      <c r="U298" t="str">
        <f t="shared" si="39"/>
        <v>点击次数少于10次没有参考性</v>
      </c>
      <c r="V298" s="4" t="str">
        <f>IFERROR(INDEX(搜索词报告!$D$2:$D$22222,MATCH(关键词词频统计!L298,搜索词报告!$H$2:$H$22222,0)),"")</f>
        <v/>
      </c>
    </row>
    <row r="299" spans="2:22" x14ac:dyDescent="0.15">
      <c r="B299">
        <f t="array" ref="B299">SUM(IF(搜索词报告!$H$2:$H$22222=A299,IF(搜索词报告!$A$2:$A$22222&gt;=关键词词频统计!$A$2,IF(搜索词报告!$A$2:$A$22222&lt;=关键词词频统计!$A$4,搜索词报告!$I$2:$I$22222,0),0),0))</f>
        <v>0</v>
      </c>
      <c r="C299">
        <f t="array" ref="C299">SUM(IF(搜索词报告!$H$2:$H$22222=A299,IF(搜索词报告!$A$2:$A$22222&gt;=关键词词频统计!$A$2,IF(搜索词报告!$A$2:$A$22222&lt;=关键词词频统计!$A$4,搜索词报告!$J$2:$J$22222,0),0),0))</f>
        <v>0</v>
      </c>
      <c r="D299" s="2">
        <f t="shared" si="32"/>
        <v>0</v>
      </c>
      <c r="E299" s="2">
        <f t="shared" si="33"/>
        <v>0</v>
      </c>
      <c r="F299">
        <f t="array" ref="F299">SUM(IF(搜索词报告!$H$2:$H$22222=A299,IF(搜索词报告!$A$2:$A$22222&gt;=关键词词频统计!$A$2,IF(搜索词报告!$A$2:$A$22222&lt;=关键词词频统计!$A$4,搜索词报告!$Q$2:$Q$22222,0),0),0))</f>
        <v>0</v>
      </c>
      <c r="G299">
        <f t="array" ref="G299">SUM(IF(搜索词报告!$H$2:$H$22222=A299,IF(搜索词报告!$A$2:$A$22222&gt;=关键词词频统计!$A$2,IF(搜索词报告!$A$2:$A$22222&lt;=关键词词频统计!$A$4,搜索词报告!$N$2:$N$22222,0),0),0))</f>
        <v>0</v>
      </c>
      <c r="H299">
        <f t="array" ref="H299">SUM(IF(搜索词报告!$H$2:$H$22222=A299,IF(搜索词报告!$A$2:$A$22222&gt;=关键词词频统计!$A$2,IF(搜索词报告!$A$2:$A$22222&lt;=关键词词频统计!$A$4,搜索词报告!$M$2:$M$22222,0),0),0))</f>
        <v>0</v>
      </c>
      <c r="I299" s="2" t="str">
        <f t="shared" si="34"/>
        <v/>
      </c>
      <c r="J299" t="str">
        <f t="shared" si="35"/>
        <v>点击次数少于10次没有参考性</v>
      </c>
      <c r="K299" s="4" t="str">
        <f>IFERROR(INDEX(搜索词报告!$D$2:$D$22222,MATCH(关键词词频统计!A299,搜索词报告!$H$2:$H$22222,0)),"")</f>
        <v/>
      </c>
      <c r="M299">
        <f t="array" ref="M299">SUM(IF(搜索词报告!$H$2:$H$22222=L299,IF(搜索词报告!$A$2:$A$22222&gt;=$L$2,IF(搜索词报告!$A$2:$A$22222&lt;=$L$4,搜索词报告!$I$2:$I$22222,0),0),0))</f>
        <v>0</v>
      </c>
      <c r="N299">
        <f t="array" ref="N299">SUM(IF(搜索词报告!$H$2:$H$22222=L299,IF(搜索词报告!$A$2:$A$22222&gt;=$L$2,IF(搜索词报告!$A$2:$A$22222&lt;=$L$4,搜索词报告!$J$2:$J$22222,0),0),0))</f>
        <v>0</v>
      </c>
      <c r="O299" s="2">
        <f t="shared" si="36"/>
        <v>0</v>
      </c>
      <c r="P299" s="2">
        <f t="shared" si="37"/>
        <v>0</v>
      </c>
      <c r="Q299">
        <f t="array" ref="Q299">SUM(IF(搜索词报告!$H$2:$H$22222=L299,IF(搜索词报告!$A$2:$A$22222&gt;=$L$2,IF(搜索词报告!$A$2:$A$22222&lt;=$L$4,搜索词报告!$Q$2:$Q$22222,0),0),0))</f>
        <v>0</v>
      </c>
      <c r="R299">
        <f t="array" ref="R299">SUM(IF(搜索词报告!$H$2:$H$22222=L299,IF(搜索词报告!$A$2:$A$22222&gt;=$L$2,IF(搜索词报告!$A$2:$A$22222&lt;=$L$4,搜索词报告!$N$2:$N$22222,0),0),0))</f>
        <v>0</v>
      </c>
      <c r="S299">
        <f t="array" ref="S299">SUM(IF(搜索词报告!$H$2:$H$22222=L299,IF(搜索词报告!$A$2:$A$22222&gt;=$L$2,IF(搜索词报告!$A$2:$A$22222&lt;=$L$4,搜索词报告!$M$2:$M$22222,0),0),0))</f>
        <v>0</v>
      </c>
      <c r="T299" s="2" t="str">
        <f t="shared" si="38"/>
        <v/>
      </c>
      <c r="U299" t="str">
        <f t="shared" si="39"/>
        <v>点击次数少于10次没有参考性</v>
      </c>
      <c r="V299" s="4" t="str">
        <f>IFERROR(INDEX(搜索词报告!$D$2:$D$22222,MATCH(关键词词频统计!L299,搜索词报告!$H$2:$H$22222,0)),"")</f>
        <v/>
      </c>
    </row>
    <row r="300" spans="2:22" x14ac:dyDescent="0.15">
      <c r="B300">
        <f t="array" ref="B300">SUM(IF(搜索词报告!$H$2:$H$22222=A300,IF(搜索词报告!$A$2:$A$22222&gt;=关键词词频统计!$A$2,IF(搜索词报告!$A$2:$A$22222&lt;=关键词词频统计!$A$4,搜索词报告!$I$2:$I$22222,0),0),0))</f>
        <v>0</v>
      </c>
      <c r="C300">
        <f t="array" ref="C300">SUM(IF(搜索词报告!$H$2:$H$22222=A300,IF(搜索词报告!$A$2:$A$22222&gt;=关键词词频统计!$A$2,IF(搜索词报告!$A$2:$A$22222&lt;=关键词词频统计!$A$4,搜索词报告!$J$2:$J$22222,0),0),0))</f>
        <v>0</v>
      </c>
      <c r="D300" s="2">
        <f t="shared" si="32"/>
        <v>0</v>
      </c>
      <c r="E300" s="2">
        <f t="shared" si="33"/>
        <v>0</v>
      </c>
      <c r="F300">
        <f t="array" ref="F300">SUM(IF(搜索词报告!$H$2:$H$22222=A300,IF(搜索词报告!$A$2:$A$22222&gt;=关键词词频统计!$A$2,IF(搜索词报告!$A$2:$A$22222&lt;=关键词词频统计!$A$4,搜索词报告!$Q$2:$Q$22222,0),0),0))</f>
        <v>0</v>
      </c>
      <c r="G300">
        <f t="array" ref="G300">SUM(IF(搜索词报告!$H$2:$H$22222=A300,IF(搜索词报告!$A$2:$A$22222&gt;=关键词词频统计!$A$2,IF(搜索词报告!$A$2:$A$22222&lt;=关键词词频统计!$A$4,搜索词报告!$N$2:$N$22222,0),0),0))</f>
        <v>0</v>
      </c>
      <c r="H300">
        <f t="array" ref="H300">SUM(IF(搜索词报告!$H$2:$H$22222=A300,IF(搜索词报告!$A$2:$A$22222&gt;=关键词词频统计!$A$2,IF(搜索词报告!$A$2:$A$22222&lt;=关键词词频统计!$A$4,搜索词报告!$M$2:$M$22222,0),0),0))</f>
        <v>0</v>
      </c>
      <c r="I300" s="2" t="str">
        <f t="shared" si="34"/>
        <v/>
      </c>
      <c r="J300" t="str">
        <f t="shared" si="35"/>
        <v>点击次数少于10次没有参考性</v>
      </c>
      <c r="K300" s="4" t="str">
        <f>IFERROR(INDEX(搜索词报告!$D$2:$D$22222,MATCH(关键词词频统计!A300,搜索词报告!$H$2:$H$22222,0)),"")</f>
        <v/>
      </c>
      <c r="M300">
        <f t="array" ref="M300">SUM(IF(搜索词报告!$H$2:$H$22222=L300,IF(搜索词报告!$A$2:$A$22222&gt;=$L$2,IF(搜索词报告!$A$2:$A$22222&lt;=$L$4,搜索词报告!$I$2:$I$22222,0),0),0))</f>
        <v>0</v>
      </c>
      <c r="N300">
        <f t="array" ref="N300">SUM(IF(搜索词报告!$H$2:$H$22222=L300,IF(搜索词报告!$A$2:$A$22222&gt;=$L$2,IF(搜索词报告!$A$2:$A$22222&lt;=$L$4,搜索词报告!$J$2:$J$22222,0),0),0))</f>
        <v>0</v>
      </c>
      <c r="O300" s="2">
        <f t="shared" si="36"/>
        <v>0</v>
      </c>
      <c r="P300" s="2">
        <f t="shared" si="37"/>
        <v>0</v>
      </c>
      <c r="Q300">
        <f t="array" ref="Q300">SUM(IF(搜索词报告!$H$2:$H$22222=L300,IF(搜索词报告!$A$2:$A$22222&gt;=$L$2,IF(搜索词报告!$A$2:$A$22222&lt;=$L$4,搜索词报告!$Q$2:$Q$22222,0),0),0))</f>
        <v>0</v>
      </c>
      <c r="R300">
        <f t="array" ref="R300">SUM(IF(搜索词报告!$H$2:$H$22222=L300,IF(搜索词报告!$A$2:$A$22222&gt;=$L$2,IF(搜索词报告!$A$2:$A$22222&lt;=$L$4,搜索词报告!$N$2:$N$22222,0),0),0))</f>
        <v>0</v>
      </c>
      <c r="S300">
        <f t="array" ref="S300">SUM(IF(搜索词报告!$H$2:$H$22222=L300,IF(搜索词报告!$A$2:$A$22222&gt;=$L$2,IF(搜索词报告!$A$2:$A$22222&lt;=$L$4,搜索词报告!$M$2:$M$22222,0),0),0))</f>
        <v>0</v>
      </c>
      <c r="T300" s="2" t="str">
        <f t="shared" si="38"/>
        <v/>
      </c>
      <c r="U300" t="str">
        <f t="shared" si="39"/>
        <v>点击次数少于10次没有参考性</v>
      </c>
      <c r="V300" s="4" t="str">
        <f>IFERROR(INDEX(搜索词报告!$D$2:$D$22222,MATCH(关键词词频统计!L300,搜索词报告!$H$2:$H$22222,0)),"")</f>
        <v/>
      </c>
    </row>
    <row r="301" spans="2:22" x14ac:dyDescent="0.15">
      <c r="B301">
        <f t="array" ref="B301">SUM(IF(搜索词报告!$H$2:$H$22222=A301,IF(搜索词报告!$A$2:$A$22222&gt;=关键词词频统计!$A$2,IF(搜索词报告!$A$2:$A$22222&lt;=关键词词频统计!$A$4,搜索词报告!$I$2:$I$22222,0),0),0))</f>
        <v>0</v>
      </c>
      <c r="C301">
        <f t="array" ref="C301">SUM(IF(搜索词报告!$H$2:$H$22222=A301,IF(搜索词报告!$A$2:$A$22222&gt;=关键词词频统计!$A$2,IF(搜索词报告!$A$2:$A$22222&lt;=关键词词频统计!$A$4,搜索词报告!$J$2:$J$22222,0),0),0))</f>
        <v>0</v>
      </c>
      <c r="D301" s="2">
        <f t="shared" si="32"/>
        <v>0</v>
      </c>
      <c r="E301" s="2">
        <f t="shared" si="33"/>
        <v>0</v>
      </c>
      <c r="F301">
        <f t="array" ref="F301">SUM(IF(搜索词报告!$H$2:$H$22222=A301,IF(搜索词报告!$A$2:$A$22222&gt;=关键词词频统计!$A$2,IF(搜索词报告!$A$2:$A$22222&lt;=关键词词频统计!$A$4,搜索词报告!$Q$2:$Q$22222,0),0),0))</f>
        <v>0</v>
      </c>
      <c r="G301">
        <f t="array" ref="G301">SUM(IF(搜索词报告!$H$2:$H$22222=A301,IF(搜索词报告!$A$2:$A$22222&gt;=关键词词频统计!$A$2,IF(搜索词报告!$A$2:$A$22222&lt;=关键词词频统计!$A$4,搜索词报告!$N$2:$N$22222,0),0),0))</f>
        <v>0</v>
      </c>
      <c r="H301">
        <f t="array" ref="H301">SUM(IF(搜索词报告!$H$2:$H$22222=A301,IF(搜索词报告!$A$2:$A$22222&gt;=关键词词频统计!$A$2,IF(搜索词报告!$A$2:$A$22222&lt;=关键词词频统计!$A$4,搜索词报告!$M$2:$M$22222,0),0),0))</f>
        <v>0</v>
      </c>
      <c r="I301" s="2" t="str">
        <f t="shared" si="34"/>
        <v/>
      </c>
      <c r="J301" t="str">
        <f t="shared" si="35"/>
        <v>点击次数少于10次没有参考性</v>
      </c>
      <c r="K301" s="4" t="str">
        <f>IFERROR(INDEX(搜索词报告!$D$2:$D$22222,MATCH(关键词词频统计!A301,搜索词报告!$H$2:$H$22222,0)),"")</f>
        <v/>
      </c>
      <c r="M301">
        <f t="array" ref="M301">SUM(IF(搜索词报告!$H$2:$H$22222=L301,IF(搜索词报告!$A$2:$A$22222&gt;=$L$2,IF(搜索词报告!$A$2:$A$22222&lt;=$L$4,搜索词报告!$I$2:$I$22222,0),0),0))</f>
        <v>0</v>
      </c>
      <c r="N301">
        <f t="array" ref="N301">SUM(IF(搜索词报告!$H$2:$H$22222=L301,IF(搜索词报告!$A$2:$A$22222&gt;=$L$2,IF(搜索词报告!$A$2:$A$22222&lt;=$L$4,搜索词报告!$J$2:$J$22222,0),0),0))</f>
        <v>0</v>
      </c>
      <c r="O301" s="2">
        <f t="shared" si="36"/>
        <v>0</v>
      </c>
      <c r="P301" s="2">
        <f t="shared" si="37"/>
        <v>0</v>
      </c>
      <c r="Q301">
        <f t="array" ref="Q301">SUM(IF(搜索词报告!$H$2:$H$22222=L301,IF(搜索词报告!$A$2:$A$22222&gt;=$L$2,IF(搜索词报告!$A$2:$A$22222&lt;=$L$4,搜索词报告!$Q$2:$Q$22222,0),0),0))</f>
        <v>0</v>
      </c>
      <c r="R301">
        <f t="array" ref="R301">SUM(IF(搜索词报告!$H$2:$H$22222=L301,IF(搜索词报告!$A$2:$A$22222&gt;=$L$2,IF(搜索词报告!$A$2:$A$22222&lt;=$L$4,搜索词报告!$N$2:$N$22222,0),0),0))</f>
        <v>0</v>
      </c>
      <c r="S301">
        <f t="array" ref="S301">SUM(IF(搜索词报告!$H$2:$H$22222=L301,IF(搜索词报告!$A$2:$A$22222&gt;=$L$2,IF(搜索词报告!$A$2:$A$22222&lt;=$L$4,搜索词报告!$M$2:$M$22222,0),0),0))</f>
        <v>0</v>
      </c>
      <c r="T301" s="2" t="str">
        <f t="shared" si="38"/>
        <v/>
      </c>
      <c r="U301" t="str">
        <f t="shared" si="39"/>
        <v>点击次数少于10次没有参考性</v>
      </c>
      <c r="V301" s="4" t="str">
        <f>IFERROR(INDEX(搜索词报告!$D$2:$D$22222,MATCH(关键词词频统计!L301,搜索词报告!$H$2:$H$22222,0)),"")</f>
        <v/>
      </c>
    </row>
    <row r="302" spans="2:22" x14ac:dyDescent="0.15">
      <c r="B302">
        <f t="array" ref="B302">SUM(IF(搜索词报告!$H$2:$H$22222=A302,IF(搜索词报告!$A$2:$A$22222&gt;=关键词词频统计!$A$2,IF(搜索词报告!$A$2:$A$22222&lt;=关键词词频统计!$A$4,搜索词报告!$I$2:$I$22222,0),0),0))</f>
        <v>0</v>
      </c>
      <c r="C302">
        <f t="array" ref="C302">SUM(IF(搜索词报告!$H$2:$H$22222=A302,IF(搜索词报告!$A$2:$A$22222&gt;=关键词词频统计!$A$2,IF(搜索词报告!$A$2:$A$22222&lt;=关键词词频统计!$A$4,搜索词报告!$J$2:$J$22222,0),0),0))</f>
        <v>0</v>
      </c>
      <c r="D302" s="2">
        <f t="shared" si="32"/>
        <v>0</v>
      </c>
      <c r="E302" s="2">
        <f t="shared" si="33"/>
        <v>0</v>
      </c>
      <c r="F302">
        <f t="array" ref="F302">SUM(IF(搜索词报告!$H$2:$H$22222=A302,IF(搜索词报告!$A$2:$A$22222&gt;=关键词词频统计!$A$2,IF(搜索词报告!$A$2:$A$22222&lt;=关键词词频统计!$A$4,搜索词报告!$Q$2:$Q$22222,0),0),0))</f>
        <v>0</v>
      </c>
      <c r="G302">
        <f t="array" ref="G302">SUM(IF(搜索词报告!$H$2:$H$22222=A302,IF(搜索词报告!$A$2:$A$22222&gt;=关键词词频统计!$A$2,IF(搜索词报告!$A$2:$A$22222&lt;=关键词词频统计!$A$4,搜索词报告!$N$2:$N$22222,0),0),0))</f>
        <v>0</v>
      </c>
      <c r="H302">
        <f t="array" ref="H302">SUM(IF(搜索词报告!$H$2:$H$22222=A302,IF(搜索词报告!$A$2:$A$22222&gt;=关键词词频统计!$A$2,IF(搜索词报告!$A$2:$A$22222&lt;=关键词词频统计!$A$4,搜索词报告!$M$2:$M$22222,0),0),0))</f>
        <v>0</v>
      </c>
      <c r="I302" s="2" t="str">
        <f t="shared" si="34"/>
        <v/>
      </c>
      <c r="J302" t="str">
        <f t="shared" si="35"/>
        <v>点击次数少于10次没有参考性</v>
      </c>
      <c r="K302" s="4" t="str">
        <f>IFERROR(INDEX(搜索词报告!$D$2:$D$22222,MATCH(关键词词频统计!A302,搜索词报告!$H$2:$H$22222,0)),"")</f>
        <v/>
      </c>
      <c r="M302">
        <f t="array" ref="M302">SUM(IF(搜索词报告!$H$2:$H$22222=L302,IF(搜索词报告!$A$2:$A$22222&gt;=$L$2,IF(搜索词报告!$A$2:$A$22222&lt;=$L$4,搜索词报告!$I$2:$I$22222,0),0),0))</f>
        <v>0</v>
      </c>
      <c r="N302">
        <f t="array" ref="N302">SUM(IF(搜索词报告!$H$2:$H$22222=L302,IF(搜索词报告!$A$2:$A$22222&gt;=$L$2,IF(搜索词报告!$A$2:$A$22222&lt;=$L$4,搜索词报告!$J$2:$J$22222,0),0),0))</f>
        <v>0</v>
      </c>
      <c r="O302" s="2">
        <f t="shared" si="36"/>
        <v>0</v>
      </c>
      <c r="P302" s="2">
        <f t="shared" si="37"/>
        <v>0</v>
      </c>
      <c r="Q302">
        <f t="array" ref="Q302">SUM(IF(搜索词报告!$H$2:$H$22222=L302,IF(搜索词报告!$A$2:$A$22222&gt;=$L$2,IF(搜索词报告!$A$2:$A$22222&lt;=$L$4,搜索词报告!$Q$2:$Q$22222,0),0),0))</f>
        <v>0</v>
      </c>
      <c r="R302">
        <f t="array" ref="R302">SUM(IF(搜索词报告!$H$2:$H$22222=L302,IF(搜索词报告!$A$2:$A$22222&gt;=$L$2,IF(搜索词报告!$A$2:$A$22222&lt;=$L$4,搜索词报告!$N$2:$N$22222,0),0),0))</f>
        <v>0</v>
      </c>
      <c r="S302">
        <f t="array" ref="S302">SUM(IF(搜索词报告!$H$2:$H$22222=L302,IF(搜索词报告!$A$2:$A$22222&gt;=$L$2,IF(搜索词报告!$A$2:$A$22222&lt;=$L$4,搜索词报告!$M$2:$M$22222,0),0),0))</f>
        <v>0</v>
      </c>
      <c r="T302" s="2" t="str">
        <f t="shared" si="38"/>
        <v/>
      </c>
      <c r="U302" t="str">
        <f t="shared" si="39"/>
        <v>点击次数少于10次没有参考性</v>
      </c>
      <c r="V302" s="4" t="str">
        <f>IFERROR(INDEX(搜索词报告!$D$2:$D$22222,MATCH(关键词词频统计!L302,搜索词报告!$H$2:$H$22222,0)),"")</f>
        <v/>
      </c>
    </row>
    <row r="303" spans="2:22" x14ac:dyDescent="0.15">
      <c r="B303">
        <f t="array" ref="B303">SUM(IF(搜索词报告!$H$2:$H$22222=A303,IF(搜索词报告!$A$2:$A$22222&gt;=关键词词频统计!$A$2,IF(搜索词报告!$A$2:$A$22222&lt;=关键词词频统计!$A$4,搜索词报告!$I$2:$I$22222,0),0),0))</f>
        <v>0</v>
      </c>
      <c r="C303">
        <f t="array" ref="C303">SUM(IF(搜索词报告!$H$2:$H$22222=A303,IF(搜索词报告!$A$2:$A$22222&gt;=关键词词频统计!$A$2,IF(搜索词报告!$A$2:$A$22222&lt;=关键词词频统计!$A$4,搜索词报告!$J$2:$J$22222,0),0),0))</f>
        <v>0</v>
      </c>
      <c r="D303" s="2">
        <f t="shared" si="32"/>
        <v>0</v>
      </c>
      <c r="E303" s="2">
        <f t="shared" si="33"/>
        <v>0</v>
      </c>
      <c r="F303">
        <f t="array" ref="F303">SUM(IF(搜索词报告!$H$2:$H$22222=A303,IF(搜索词报告!$A$2:$A$22222&gt;=关键词词频统计!$A$2,IF(搜索词报告!$A$2:$A$22222&lt;=关键词词频统计!$A$4,搜索词报告!$Q$2:$Q$22222,0),0),0))</f>
        <v>0</v>
      </c>
      <c r="G303">
        <f t="array" ref="G303">SUM(IF(搜索词报告!$H$2:$H$22222=A303,IF(搜索词报告!$A$2:$A$22222&gt;=关键词词频统计!$A$2,IF(搜索词报告!$A$2:$A$22222&lt;=关键词词频统计!$A$4,搜索词报告!$N$2:$N$22222,0),0),0))</f>
        <v>0</v>
      </c>
      <c r="H303">
        <f t="array" ref="H303">SUM(IF(搜索词报告!$H$2:$H$22222=A303,IF(搜索词报告!$A$2:$A$22222&gt;=关键词词频统计!$A$2,IF(搜索词报告!$A$2:$A$22222&lt;=关键词词频统计!$A$4,搜索词报告!$M$2:$M$22222,0),0),0))</f>
        <v>0</v>
      </c>
      <c r="I303" s="2" t="str">
        <f t="shared" si="34"/>
        <v/>
      </c>
      <c r="J303" t="str">
        <f t="shared" si="35"/>
        <v>点击次数少于10次没有参考性</v>
      </c>
      <c r="K303" s="4" t="str">
        <f>IFERROR(INDEX(搜索词报告!$D$2:$D$22222,MATCH(关键词词频统计!A303,搜索词报告!$H$2:$H$22222,0)),"")</f>
        <v/>
      </c>
      <c r="M303">
        <f t="array" ref="M303">SUM(IF(搜索词报告!$H$2:$H$22222=L303,IF(搜索词报告!$A$2:$A$22222&gt;=$L$2,IF(搜索词报告!$A$2:$A$22222&lt;=$L$4,搜索词报告!$I$2:$I$22222,0),0),0))</f>
        <v>0</v>
      </c>
      <c r="N303">
        <f t="array" ref="N303">SUM(IF(搜索词报告!$H$2:$H$22222=L303,IF(搜索词报告!$A$2:$A$22222&gt;=$L$2,IF(搜索词报告!$A$2:$A$22222&lt;=$L$4,搜索词报告!$J$2:$J$22222,0),0),0))</f>
        <v>0</v>
      </c>
      <c r="O303" s="2">
        <f t="shared" si="36"/>
        <v>0</v>
      </c>
      <c r="P303" s="2">
        <f t="shared" si="37"/>
        <v>0</v>
      </c>
      <c r="Q303">
        <f t="array" ref="Q303">SUM(IF(搜索词报告!$H$2:$H$22222=L303,IF(搜索词报告!$A$2:$A$22222&gt;=$L$2,IF(搜索词报告!$A$2:$A$22222&lt;=$L$4,搜索词报告!$Q$2:$Q$22222,0),0),0))</f>
        <v>0</v>
      </c>
      <c r="R303">
        <f t="array" ref="R303">SUM(IF(搜索词报告!$H$2:$H$22222=L303,IF(搜索词报告!$A$2:$A$22222&gt;=$L$2,IF(搜索词报告!$A$2:$A$22222&lt;=$L$4,搜索词报告!$N$2:$N$22222,0),0),0))</f>
        <v>0</v>
      </c>
      <c r="S303">
        <f t="array" ref="S303">SUM(IF(搜索词报告!$H$2:$H$22222=L303,IF(搜索词报告!$A$2:$A$22222&gt;=$L$2,IF(搜索词报告!$A$2:$A$22222&lt;=$L$4,搜索词报告!$M$2:$M$22222,0),0),0))</f>
        <v>0</v>
      </c>
      <c r="T303" s="2" t="str">
        <f t="shared" si="38"/>
        <v/>
      </c>
      <c r="U303" t="str">
        <f t="shared" si="39"/>
        <v>点击次数少于10次没有参考性</v>
      </c>
      <c r="V303" s="4" t="str">
        <f>IFERROR(INDEX(搜索词报告!$D$2:$D$22222,MATCH(关键词词频统计!L303,搜索词报告!$H$2:$H$22222,0)),"")</f>
        <v/>
      </c>
    </row>
    <row r="304" spans="2:22" x14ac:dyDescent="0.15">
      <c r="B304">
        <f t="array" ref="B304">SUM(IF(搜索词报告!$H$2:$H$22222=A304,IF(搜索词报告!$A$2:$A$22222&gt;=关键词词频统计!$A$2,IF(搜索词报告!$A$2:$A$22222&lt;=关键词词频统计!$A$4,搜索词报告!$I$2:$I$22222,0),0),0))</f>
        <v>0</v>
      </c>
      <c r="C304">
        <f t="array" ref="C304">SUM(IF(搜索词报告!$H$2:$H$22222=A304,IF(搜索词报告!$A$2:$A$22222&gt;=关键词词频统计!$A$2,IF(搜索词报告!$A$2:$A$22222&lt;=关键词词频统计!$A$4,搜索词报告!$J$2:$J$22222,0),0),0))</f>
        <v>0</v>
      </c>
      <c r="D304" s="2">
        <f t="shared" si="32"/>
        <v>0</v>
      </c>
      <c r="E304" s="2">
        <f t="shared" si="33"/>
        <v>0</v>
      </c>
      <c r="F304">
        <f t="array" ref="F304">SUM(IF(搜索词报告!$H$2:$H$22222=A304,IF(搜索词报告!$A$2:$A$22222&gt;=关键词词频统计!$A$2,IF(搜索词报告!$A$2:$A$22222&lt;=关键词词频统计!$A$4,搜索词报告!$Q$2:$Q$22222,0),0),0))</f>
        <v>0</v>
      </c>
      <c r="G304">
        <f t="array" ref="G304">SUM(IF(搜索词报告!$H$2:$H$22222=A304,IF(搜索词报告!$A$2:$A$22222&gt;=关键词词频统计!$A$2,IF(搜索词报告!$A$2:$A$22222&lt;=关键词词频统计!$A$4,搜索词报告!$N$2:$N$22222,0),0),0))</f>
        <v>0</v>
      </c>
      <c r="H304">
        <f t="array" ref="H304">SUM(IF(搜索词报告!$H$2:$H$22222=A304,IF(搜索词报告!$A$2:$A$22222&gt;=关键词词频统计!$A$2,IF(搜索词报告!$A$2:$A$22222&lt;=关键词词频统计!$A$4,搜索词报告!$M$2:$M$22222,0),0),0))</f>
        <v>0</v>
      </c>
      <c r="I304" s="2" t="str">
        <f t="shared" si="34"/>
        <v/>
      </c>
      <c r="J304" t="str">
        <f t="shared" si="35"/>
        <v>点击次数少于10次没有参考性</v>
      </c>
      <c r="K304" s="4" t="str">
        <f>IFERROR(INDEX(搜索词报告!$D$2:$D$22222,MATCH(关键词词频统计!A304,搜索词报告!$H$2:$H$22222,0)),"")</f>
        <v/>
      </c>
      <c r="M304">
        <f t="array" ref="M304">SUM(IF(搜索词报告!$H$2:$H$22222=L304,IF(搜索词报告!$A$2:$A$22222&gt;=$L$2,IF(搜索词报告!$A$2:$A$22222&lt;=$L$4,搜索词报告!$I$2:$I$22222,0),0),0))</f>
        <v>0</v>
      </c>
      <c r="N304">
        <f t="array" ref="N304">SUM(IF(搜索词报告!$H$2:$H$22222=L304,IF(搜索词报告!$A$2:$A$22222&gt;=$L$2,IF(搜索词报告!$A$2:$A$22222&lt;=$L$4,搜索词报告!$J$2:$J$22222,0),0),0))</f>
        <v>0</v>
      </c>
      <c r="O304" s="2">
        <f t="shared" si="36"/>
        <v>0</v>
      </c>
      <c r="P304" s="2">
        <f t="shared" si="37"/>
        <v>0</v>
      </c>
      <c r="Q304">
        <f t="array" ref="Q304">SUM(IF(搜索词报告!$H$2:$H$22222=L304,IF(搜索词报告!$A$2:$A$22222&gt;=$L$2,IF(搜索词报告!$A$2:$A$22222&lt;=$L$4,搜索词报告!$Q$2:$Q$22222,0),0),0))</f>
        <v>0</v>
      </c>
      <c r="R304">
        <f t="array" ref="R304">SUM(IF(搜索词报告!$H$2:$H$22222=L304,IF(搜索词报告!$A$2:$A$22222&gt;=$L$2,IF(搜索词报告!$A$2:$A$22222&lt;=$L$4,搜索词报告!$N$2:$N$22222,0),0),0))</f>
        <v>0</v>
      </c>
      <c r="S304">
        <f t="array" ref="S304">SUM(IF(搜索词报告!$H$2:$H$22222=L304,IF(搜索词报告!$A$2:$A$22222&gt;=$L$2,IF(搜索词报告!$A$2:$A$22222&lt;=$L$4,搜索词报告!$M$2:$M$22222,0),0),0))</f>
        <v>0</v>
      </c>
      <c r="T304" s="2" t="str">
        <f t="shared" si="38"/>
        <v/>
      </c>
      <c r="U304" t="str">
        <f t="shared" si="39"/>
        <v>点击次数少于10次没有参考性</v>
      </c>
      <c r="V304" s="4" t="str">
        <f>IFERROR(INDEX(搜索词报告!$D$2:$D$22222,MATCH(关键词词频统计!L304,搜索词报告!$H$2:$H$22222,0)),"")</f>
        <v/>
      </c>
    </row>
    <row r="305" spans="2:22" x14ac:dyDescent="0.15">
      <c r="B305">
        <f t="array" ref="B305">SUM(IF(搜索词报告!$H$2:$H$22222=A305,IF(搜索词报告!$A$2:$A$22222&gt;=关键词词频统计!$A$2,IF(搜索词报告!$A$2:$A$22222&lt;=关键词词频统计!$A$4,搜索词报告!$I$2:$I$22222,0),0),0))</f>
        <v>0</v>
      </c>
      <c r="C305">
        <f t="array" ref="C305">SUM(IF(搜索词报告!$H$2:$H$22222=A305,IF(搜索词报告!$A$2:$A$22222&gt;=关键词词频统计!$A$2,IF(搜索词报告!$A$2:$A$22222&lt;=关键词词频统计!$A$4,搜索词报告!$J$2:$J$22222,0),0),0))</f>
        <v>0</v>
      </c>
      <c r="D305" s="2">
        <f t="shared" si="32"/>
        <v>0</v>
      </c>
      <c r="E305" s="2">
        <f t="shared" si="33"/>
        <v>0</v>
      </c>
      <c r="F305">
        <f t="array" ref="F305">SUM(IF(搜索词报告!$H$2:$H$22222=A305,IF(搜索词报告!$A$2:$A$22222&gt;=关键词词频统计!$A$2,IF(搜索词报告!$A$2:$A$22222&lt;=关键词词频统计!$A$4,搜索词报告!$Q$2:$Q$22222,0),0),0))</f>
        <v>0</v>
      </c>
      <c r="G305">
        <f t="array" ref="G305">SUM(IF(搜索词报告!$H$2:$H$22222=A305,IF(搜索词报告!$A$2:$A$22222&gt;=关键词词频统计!$A$2,IF(搜索词报告!$A$2:$A$22222&lt;=关键词词频统计!$A$4,搜索词报告!$N$2:$N$22222,0),0),0))</f>
        <v>0</v>
      </c>
      <c r="H305">
        <f t="array" ref="H305">SUM(IF(搜索词报告!$H$2:$H$22222=A305,IF(搜索词报告!$A$2:$A$22222&gt;=关键词词频统计!$A$2,IF(搜索词报告!$A$2:$A$22222&lt;=关键词词频统计!$A$4,搜索词报告!$M$2:$M$22222,0),0),0))</f>
        <v>0</v>
      </c>
      <c r="I305" s="2" t="str">
        <f t="shared" si="34"/>
        <v/>
      </c>
      <c r="J305" t="str">
        <f t="shared" si="35"/>
        <v>点击次数少于10次没有参考性</v>
      </c>
      <c r="K305" s="4" t="str">
        <f>IFERROR(INDEX(搜索词报告!$D$2:$D$22222,MATCH(关键词词频统计!A305,搜索词报告!$H$2:$H$22222,0)),"")</f>
        <v/>
      </c>
      <c r="M305">
        <f t="array" ref="M305">SUM(IF(搜索词报告!$H$2:$H$22222=L305,IF(搜索词报告!$A$2:$A$22222&gt;=$L$2,IF(搜索词报告!$A$2:$A$22222&lt;=$L$4,搜索词报告!$I$2:$I$22222,0),0),0))</f>
        <v>0</v>
      </c>
      <c r="N305">
        <f t="array" ref="N305">SUM(IF(搜索词报告!$H$2:$H$22222=L305,IF(搜索词报告!$A$2:$A$22222&gt;=$L$2,IF(搜索词报告!$A$2:$A$22222&lt;=$L$4,搜索词报告!$J$2:$J$22222,0),0),0))</f>
        <v>0</v>
      </c>
      <c r="O305" s="2">
        <f t="shared" si="36"/>
        <v>0</v>
      </c>
      <c r="P305" s="2">
        <f t="shared" si="37"/>
        <v>0</v>
      </c>
      <c r="Q305">
        <f t="array" ref="Q305">SUM(IF(搜索词报告!$H$2:$H$22222=L305,IF(搜索词报告!$A$2:$A$22222&gt;=$L$2,IF(搜索词报告!$A$2:$A$22222&lt;=$L$4,搜索词报告!$Q$2:$Q$22222,0),0),0))</f>
        <v>0</v>
      </c>
      <c r="R305">
        <f t="array" ref="R305">SUM(IF(搜索词报告!$H$2:$H$22222=L305,IF(搜索词报告!$A$2:$A$22222&gt;=$L$2,IF(搜索词报告!$A$2:$A$22222&lt;=$L$4,搜索词报告!$N$2:$N$22222,0),0),0))</f>
        <v>0</v>
      </c>
      <c r="S305">
        <f t="array" ref="S305">SUM(IF(搜索词报告!$H$2:$H$22222=L305,IF(搜索词报告!$A$2:$A$22222&gt;=$L$2,IF(搜索词报告!$A$2:$A$22222&lt;=$L$4,搜索词报告!$M$2:$M$22222,0),0),0))</f>
        <v>0</v>
      </c>
      <c r="T305" s="2" t="str">
        <f t="shared" si="38"/>
        <v/>
      </c>
      <c r="U305" t="str">
        <f t="shared" si="39"/>
        <v>点击次数少于10次没有参考性</v>
      </c>
      <c r="V305" s="4" t="str">
        <f>IFERROR(INDEX(搜索词报告!$D$2:$D$22222,MATCH(关键词词频统计!L305,搜索词报告!$H$2:$H$22222,0)),"")</f>
        <v/>
      </c>
    </row>
    <row r="306" spans="2:22" x14ac:dyDescent="0.15">
      <c r="B306">
        <f t="array" ref="B306">SUM(IF(搜索词报告!$H$2:$H$22222=A306,IF(搜索词报告!$A$2:$A$22222&gt;=关键词词频统计!$A$2,IF(搜索词报告!$A$2:$A$22222&lt;=关键词词频统计!$A$4,搜索词报告!$I$2:$I$22222,0),0),0))</f>
        <v>0</v>
      </c>
      <c r="C306">
        <f t="array" ref="C306">SUM(IF(搜索词报告!$H$2:$H$22222=A306,IF(搜索词报告!$A$2:$A$22222&gt;=关键词词频统计!$A$2,IF(搜索词报告!$A$2:$A$22222&lt;=关键词词频统计!$A$4,搜索词报告!$J$2:$J$22222,0),0),0))</f>
        <v>0</v>
      </c>
      <c r="D306" s="2">
        <f t="shared" si="32"/>
        <v>0</v>
      </c>
      <c r="E306" s="2">
        <f t="shared" si="33"/>
        <v>0</v>
      </c>
      <c r="F306">
        <f t="array" ref="F306">SUM(IF(搜索词报告!$H$2:$H$22222=A306,IF(搜索词报告!$A$2:$A$22222&gt;=关键词词频统计!$A$2,IF(搜索词报告!$A$2:$A$22222&lt;=关键词词频统计!$A$4,搜索词报告!$Q$2:$Q$22222,0),0),0))</f>
        <v>0</v>
      </c>
      <c r="G306">
        <f t="array" ref="G306">SUM(IF(搜索词报告!$H$2:$H$22222=A306,IF(搜索词报告!$A$2:$A$22222&gt;=关键词词频统计!$A$2,IF(搜索词报告!$A$2:$A$22222&lt;=关键词词频统计!$A$4,搜索词报告!$N$2:$N$22222,0),0),0))</f>
        <v>0</v>
      </c>
      <c r="H306">
        <f t="array" ref="H306">SUM(IF(搜索词报告!$H$2:$H$22222=A306,IF(搜索词报告!$A$2:$A$22222&gt;=关键词词频统计!$A$2,IF(搜索词报告!$A$2:$A$22222&lt;=关键词词频统计!$A$4,搜索词报告!$M$2:$M$22222,0),0),0))</f>
        <v>0</v>
      </c>
      <c r="I306" s="2" t="str">
        <f t="shared" si="34"/>
        <v/>
      </c>
      <c r="J306" t="str">
        <f t="shared" si="35"/>
        <v>点击次数少于10次没有参考性</v>
      </c>
      <c r="K306" s="4" t="str">
        <f>IFERROR(INDEX(搜索词报告!$D$2:$D$22222,MATCH(关键词词频统计!A306,搜索词报告!$H$2:$H$22222,0)),"")</f>
        <v/>
      </c>
      <c r="M306">
        <f t="array" ref="M306">SUM(IF(搜索词报告!$H$2:$H$22222=L306,IF(搜索词报告!$A$2:$A$22222&gt;=$L$2,IF(搜索词报告!$A$2:$A$22222&lt;=$L$4,搜索词报告!$I$2:$I$22222,0),0),0))</f>
        <v>0</v>
      </c>
      <c r="N306">
        <f t="array" ref="N306">SUM(IF(搜索词报告!$H$2:$H$22222=L306,IF(搜索词报告!$A$2:$A$22222&gt;=$L$2,IF(搜索词报告!$A$2:$A$22222&lt;=$L$4,搜索词报告!$J$2:$J$22222,0),0),0))</f>
        <v>0</v>
      </c>
      <c r="O306" s="2">
        <f t="shared" si="36"/>
        <v>0</v>
      </c>
      <c r="P306" s="2">
        <f t="shared" si="37"/>
        <v>0</v>
      </c>
      <c r="Q306">
        <f t="array" ref="Q306">SUM(IF(搜索词报告!$H$2:$H$22222=L306,IF(搜索词报告!$A$2:$A$22222&gt;=$L$2,IF(搜索词报告!$A$2:$A$22222&lt;=$L$4,搜索词报告!$Q$2:$Q$22222,0),0),0))</f>
        <v>0</v>
      </c>
      <c r="R306">
        <f t="array" ref="R306">SUM(IF(搜索词报告!$H$2:$H$22222=L306,IF(搜索词报告!$A$2:$A$22222&gt;=$L$2,IF(搜索词报告!$A$2:$A$22222&lt;=$L$4,搜索词报告!$N$2:$N$22222,0),0),0))</f>
        <v>0</v>
      </c>
      <c r="S306">
        <f t="array" ref="S306">SUM(IF(搜索词报告!$H$2:$H$22222=L306,IF(搜索词报告!$A$2:$A$22222&gt;=$L$2,IF(搜索词报告!$A$2:$A$22222&lt;=$L$4,搜索词报告!$M$2:$M$22222,0),0),0))</f>
        <v>0</v>
      </c>
      <c r="T306" s="2" t="str">
        <f t="shared" si="38"/>
        <v/>
      </c>
      <c r="U306" t="str">
        <f t="shared" si="39"/>
        <v>点击次数少于10次没有参考性</v>
      </c>
      <c r="V306" s="4" t="str">
        <f>IFERROR(INDEX(搜索词报告!$D$2:$D$22222,MATCH(关键词词频统计!L306,搜索词报告!$H$2:$H$22222,0)),"")</f>
        <v/>
      </c>
    </row>
    <row r="307" spans="2:22" x14ac:dyDescent="0.15">
      <c r="B307">
        <f t="array" ref="B307">SUM(IF(搜索词报告!$H$2:$H$22222=A307,IF(搜索词报告!$A$2:$A$22222&gt;=关键词词频统计!$A$2,IF(搜索词报告!$A$2:$A$22222&lt;=关键词词频统计!$A$4,搜索词报告!$I$2:$I$22222,0),0),0))</f>
        <v>0</v>
      </c>
      <c r="C307">
        <f t="array" ref="C307">SUM(IF(搜索词报告!$H$2:$H$22222=A307,IF(搜索词报告!$A$2:$A$22222&gt;=关键词词频统计!$A$2,IF(搜索词报告!$A$2:$A$22222&lt;=关键词词频统计!$A$4,搜索词报告!$J$2:$J$22222,0),0),0))</f>
        <v>0</v>
      </c>
      <c r="D307" s="2">
        <f t="shared" si="32"/>
        <v>0</v>
      </c>
      <c r="E307" s="2">
        <f t="shared" si="33"/>
        <v>0</v>
      </c>
      <c r="F307">
        <f t="array" ref="F307">SUM(IF(搜索词报告!$H$2:$H$22222=A307,IF(搜索词报告!$A$2:$A$22222&gt;=关键词词频统计!$A$2,IF(搜索词报告!$A$2:$A$22222&lt;=关键词词频统计!$A$4,搜索词报告!$Q$2:$Q$22222,0),0),0))</f>
        <v>0</v>
      </c>
      <c r="G307">
        <f t="array" ref="G307">SUM(IF(搜索词报告!$H$2:$H$22222=A307,IF(搜索词报告!$A$2:$A$22222&gt;=关键词词频统计!$A$2,IF(搜索词报告!$A$2:$A$22222&lt;=关键词词频统计!$A$4,搜索词报告!$N$2:$N$22222,0),0),0))</f>
        <v>0</v>
      </c>
      <c r="H307">
        <f t="array" ref="H307">SUM(IF(搜索词报告!$H$2:$H$22222=A307,IF(搜索词报告!$A$2:$A$22222&gt;=关键词词频统计!$A$2,IF(搜索词报告!$A$2:$A$22222&lt;=关键词词频统计!$A$4,搜索词报告!$M$2:$M$22222,0),0),0))</f>
        <v>0</v>
      </c>
      <c r="I307" s="2" t="str">
        <f t="shared" si="34"/>
        <v/>
      </c>
      <c r="J307" t="str">
        <f t="shared" si="35"/>
        <v>点击次数少于10次没有参考性</v>
      </c>
      <c r="K307" s="4" t="str">
        <f>IFERROR(INDEX(搜索词报告!$D$2:$D$22222,MATCH(关键词词频统计!A307,搜索词报告!$H$2:$H$22222,0)),"")</f>
        <v/>
      </c>
      <c r="M307">
        <f t="array" ref="M307">SUM(IF(搜索词报告!$H$2:$H$22222=L307,IF(搜索词报告!$A$2:$A$22222&gt;=$L$2,IF(搜索词报告!$A$2:$A$22222&lt;=$L$4,搜索词报告!$I$2:$I$22222,0),0),0))</f>
        <v>0</v>
      </c>
      <c r="N307">
        <f t="array" ref="N307">SUM(IF(搜索词报告!$H$2:$H$22222=L307,IF(搜索词报告!$A$2:$A$22222&gt;=$L$2,IF(搜索词报告!$A$2:$A$22222&lt;=$L$4,搜索词报告!$J$2:$J$22222,0),0),0))</f>
        <v>0</v>
      </c>
      <c r="O307" s="2">
        <f t="shared" si="36"/>
        <v>0</v>
      </c>
      <c r="P307" s="2">
        <f t="shared" si="37"/>
        <v>0</v>
      </c>
      <c r="Q307">
        <f t="array" ref="Q307">SUM(IF(搜索词报告!$H$2:$H$22222=L307,IF(搜索词报告!$A$2:$A$22222&gt;=$L$2,IF(搜索词报告!$A$2:$A$22222&lt;=$L$4,搜索词报告!$Q$2:$Q$22222,0),0),0))</f>
        <v>0</v>
      </c>
      <c r="R307">
        <f t="array" ref="R307">SUM(IF(搜索词报告!$H$2:$H$22222=L307,IF(搜索词报告!$A$2:$A$22222&gt;=$L$2,IF(搜索词报告!$A$2:$A$22222&lt;=$L$4,搜索词报告!$N$2:$N$22222,0),0),0))</f>
        <v>0</v>
      </c>
      <c r="S307">
        <f t="array" ref="S307">SUM(IF(搜索词报告!$H$2:$H$22222=L307,IF(搜索词报告!$A$2:$A$22222&gt;=$L$2,IF(搜索词报告!$A$2:$A$22222&lt;=$L$4,搜索词报告!$M$2:$M$22222,0),0),0))</f>
        <v>0</v>
      </c>
      <c r="T307" s="2" t="str">
        <f t="shared" si="38"/>
        <v/>
      </c>
      <c r="U307" t="str">
        <f t="shared" si="39"/>
        <v>点击次数少于10次没有参考性</v>
      </c>
      <c r="V307" s="4" t="str">
        <f>IFERROR(INDEX(搜索词报告!$D$2:$D$22222,MATCH(关键词词频统计!L307,搜索词报告!$H$2:$H$22222,0)),"")</f>
        <v/>
      </c>
    </row>
    <row r="308" spans="2:22" x14ac:dyDescent="0.15">
      <c r="B308">
        <f t="array" ref="B308">SUM(IF(搜索词报告!$H$2:$H$22222=A308,IF(搜索词报告!$A$2:$A$22222&gt;=关键词词频统计!$A$2,IF(搜索词报告!$A$2:$A$22222&lt;=关键词词频统计!$A$4,搜索词报告!$I$2:$I$22222,0),0),0))</f>
        <v>0</v>
      </c>
      <c r="C308">
        <f t="array" ref="C308">SUM(IF(搜索词报告!$H$2:$H$22222=A308,IF(搜索词报告!$A$2:$A$22222&gt;=关键词词频统计!$A$2,IF(搜索词报告!$A$2:$A$22222&lt;=关键词词频统计!$A$4,搜索词报告!$J$2:$J$22222,0),0),0))</f>
        <v>0</v>
      </c>
      <c r="D308" s="2">
        <f t="shared" si="32"/>
        <v>0</v>
      </c>
      <c r="E308" s="2">
        <f t="shared" si="33"/>
        <v>0</v>
      </c>
      <c r="F308">
        <f t="array" ref="F308">SUM(IF(搜索词报告!$H$2:$H$22222=A308,IF(搜索词报告!$A$2:$A$22222&gt;=关键词词频统计!$A$2,IF(搜索词报告!$A$2:$A$22222&lt;=关键词词频统计!$A$4,搜索词报告!$Q$2:$Q$22222,0),0),0))</f>
        <v>0</v>
      </c>
      <c r="G308">
        <f t="array" ref="G308">SUM(IF(搜索词报告!$H$2:$H$22222=A308,IF(搜索词报告!$A$2:$A$22222&gt;=关键词词频统计!$A$2,IF(搜索词报告!$A$2:$A$22222&lt;=关键词词频统计!$A$4,搜索词报告!$N$2:$N$22222,0),0),0))</f>
        <v>0</v>
      </c>
      <c r="H308">
        <f t="array" ref="H308">SUM(IF(搜索词报告!$H$2:$H$22222=A308,IF(搜索词报告!$A$2:$A$22222&gt;=关键词词频统计!$A$2,IF(搜索词报告!$A$2:$A$22222&lt;=关键词词频统计!$A$4,搜索词报告!$M$2:$M$22222,0),0),0))</f>
        <v>0</v>
      </c>
      <c r="I308" s="2" t="str">
        <f t="shared" si="34"/>
        <v/>
      </c>
      <c r="J308" t="str">
        <f t="shared" si="35"/>
        <v>点击次数少于10次没有参考性</v>
      </c>
      <c r="K308" s="4" t="str">
        <f>IFERROR(INDEX(搜索词报告!$D$2:$D$22222,MATCH(关键词词频统计!A308,搜索词报告!$H$2:$H$22222,0)),"")</f>
        <v/>
      </c>
      <c r="M308">
        <f t="array" ref="M308">SUM(IF(搜索词报告!$H$2:$H$22222=L308,IF(搜索词报告!$A$2:$A$22222&gt;=$L$2,IF(搜索词报告!$A$2:$A$22222&lt;=$L$4,搜索词报告!$I$2:$I$22222,0),0),0))</f>
        <v>0</v>
      </c>
      <c r="N308">
        <f t="array" ref="N308">SUM(IF(搜索词报告!$H$2:$H$22222=L308,IF(搜索词报告!$A$2:$A$22222&gt;=$L$2,IF(搜索词报告!$A$2:$A$22222&lt;=$L$4,搜索词报告!$J$2:$J$22222,0),0),0))</f>
        <v>0</v>
      </c>
      <c r="O308" s="2">
        <f t="shared" si="36"/>
        <v>0</v>
      </c>
      <c r="P308" s="2">
        <f t="shared" si="37"/>
        <v>0</v>
      </c>
      <c r="Q308">
        <f t="array" ref="Q308">SUM(IF(搜索词报告!$H$2:$H$22222=L308,IF(搜索词报告!$A$2:$A$22222&gt;=$L$2,IF(搜索词报告!$A$2:$A$22222&lt;=$L$4,搜索词报告!$Q$2:$Q$22222,0),0),0))</f>
        <v>0</v>
      </c>
      <c r="R308">
        <f t="array" ref="R308">SUM(IF(搜索词报告!$H$2:$H$22222=L308,IF(搜索词报告!$A$2:$A$22222&gt;=$L$2,IF(搜索词报告!$A$2:$A$22222&lt;=$L$4,搜索词报告!$N$2:$N$22222,0),0),0))</f>
        <v>0</v>
      </c>
      <c r="S308">
        <f t="array" ref="S308">SUM(IF(搜索词报告!$H$2:$H$22222=L308,IF(搜索词报告!$A$2:$A$22222&gt;=$L$2,IF(搜索词报告!$A$2:$A$22222&lt;=$L$4,搜索词报告!$M$2:$M$22222,0),0),0))</f>
        <v>0</v>
      </c>
      <c r="T308" s="2" t="str">
        <f t="shared" si="38"/>
        <v/>
      </c>
      <c r="U308" t="str">
        <f t="shared" si="39"/>
        <v>点击次数少于10次没有参考性</v>
      </c>
      <c r="V308" s="4" t="str">
        <f>IFERROR(INDEX(搜索词报告!$D$2:$D$22222,MATCH(关键词词频统计!L308,搜索词报告!$H$2:$H$22222,0)),"")</f>
        <v/>
      </c>
    </row>
    <row r="309" spans="2:22" x14ac:dyDescent="0.15">
      <c r="B309">
        <f t="array" ref="B309">SUM(IF(搜索词报告!$H$2:$H$22222=A309,IF(搜索词报告!$A$2:$A$22222&gt;=关键词词频统计!$A$2,IF(搜索词报告!$A$2:$A$22222&lt;=关键词词频统计!$A$4,搜索词报告!$I$2:$I$22222,0),0),0))</f>
        <v>0</v>
      </c>
      <c r="C309">
        <f t="array" ref="C309">SUM(IF(搜索词报告!$H$2:$H$22222=A309,IF(搜索词报告!$A$2:$A$22222&gt;=关键词词频统计!$A$2,IF(搜索词报告!$A$2:$A$22222&lt;=关键词词频统计!$A$4,搜索词报告!$J$2:$J$22222,0),0),0))</f>
        <v>0</v>
      </c>
      <c r="D309" s="2">
        <f t="shared" si="32"/>
        <v>0</v>
      </c>
      <c r="E309" s="2">
        <f t="shared" si="33"/>
        <v>0</v>
      </c>
      <c r="F309">
        <f t="array" ref="F309">SUM(IF(搜索词报告!$H$2:$H$22222=A309,IF(搜索词报告!$A$2:$A$22222&gt;=关键词词频统计!$A$2,IF(搜索词报告!$A$2:$A$22222&lt;=关键词词频统计!$A$4,搜索词报告!$Q$2:$Q$22222,0),0),0))</f>
        <v>0</v>
      </c>
      <c r="G309">
        <f t="array" ref="G309">SUM(IF(搜索词报告!$H$2:$H$22222=A309,IF(搜索词报告!$A$2:$A$22222&gt;=关键词词频统计!$A$2,IF(搜索词报告!$A$2:$A$22222&lt;=关键词词频统计!$A$4,搜索词报告!$N$2:$N$22222,0),0),0))</f>
        <v>0</v>
      </c>
      <c r="H309">
        <f t="array" ref="H309">SUM(IF(搜索词报告!$H$2:$H$22222=A309,IF(搜索词报告!$A$2:$A$22222&gt;=关键词词频统计!$A$2,IF(搜索词报告!$A$2:$A$22222&lt;=关键词词频统计!$A$4,搜索词报告!$M$2:$M$22222,0),0),0))</f>
        <v>0</v>
      </c>
      <c r="I309" s="2" t="str">
        <f t="shared" si="34"/>
        <v/>
      </c>
      <c r="J309" t="str">
        <f t="shared" si="35"/>
        <v>点击次数少于10次没有参考性</v>
      </c>
      <c r="K309" s="4" t="str">
        <f>IFERROR(INDEX(搜索词报告!$D$2:$D$22222,MATCH(关键词词频统计!A309,搜索词报告!$H$2:$H$22222,0)),"")</f>
        <v/>
      </c>
      <c r="M309">
        <f t="array" ref="M309">SUM(IF(搜索词报告!$H$2:$H$22222=L309,IF(搜索词报告!$A$2:$A$22222&gt;=$L$2,IF(搜索词报告!$A$2:$A$22222&lt;=$L$4,搜索词报告!$I$2:$I$22222,0),0),0))</f>
        <v>0</v>
      </c>
      <c r="N309">
        <f t="array" ref="N309">SUM(IF(搜索词报告!$H$2:$H$22222=L309,IF(搜索词报告!$A$2:$A$22222&gt;=$L$2,IF(搜索词报告!$A$2:$A$22222&lt;=$L$4,搜索词报告!$J$2:$J$22222,0),0),0))</f>
        <v>0</v>
      </c>
      <c r="O309" s="2">
        <f t="shared" si="36"/>
        <v>0</v>
      </c>
      <c r="P309" s="2">
        <f t="shared" si="37"/>
        <v>0</v>
      </c>
      <c r="Q309">
        <f t="array" ref="Q309">SUM(IF(搜索词报告!$H$2:$H$22222=L309,IF(搜索词报告!$A$2:$A$22222&gt;=$L$2,IF(搜索词报告!$A$2:$A$22222&lt;=$L$4,搜索词报告!$Q$2:$Q$22222,0),0),0))</f>
        <v>0</v>
      </c>
      <c r="R309">
        <f t="array" ref="R309">SUM(IF(搜索词报告!$H$2:$H$22222=L309,IF(搜索词报告!$A$2:$A$22222&gt;=$L$2,IF(搜索词报告!$A$2:$A$22222&lt;=$L$4,搜索词报告!$N$2:$N$22222,0),0),0))</f>
        <v>0</v>
      </c>
      <c r="S309">
        <f t="array" ref="S309">SUM(IF(搜索词报告!$H$2:$H$22222=L309,IF(搜索词报告!$A$2:$A$22222&gt;=$L$2,IF(搜索词报告!$A$2:$A$22222&lt;=$L$4,搜索词报告!$M$2:$M$22222,0),0),0))</f>
        <v>0</v>
      </c>
      <c r="T309" s="2" t="str">
        <f t="shared" si="38"/>
        <v/>
      </c>
      <c r="U309" t="str">
        <f t="shared" si="39"/>
        <v>点击次数少于10次没有参考性</v>
      </c>
      <c r="V309" s="4" t="str">
        <f>IFERROR(INDEX(搜索词报告!$D$2:$D$22222,MATCH(关键词词频统计!L309,搜索词报告!$H$2:$H$22222,0)),"")</f>
        <v/>
      </c>
    </row>
    <row r="310" spans="2:22" x14ac:dyDescent="0.15">
      <c r="B310">
        <f t="array" ref="B310">SUM(IF(搜索词报告!$H$2:$H$22222=A310,IF(搜索词报告!$A$2:$A$22222&gt;=关键词词频统计!$A$2,IF(搜索词报告!$A$2:$A$22222&lt;=关键词词频统计!$A$4,搜索词报告!$I$2:$I$22222,0),0),0))</f>
        <v>0</v>
      </c>
      <c r="C310">
        <f t="array" ref="C310">SUM(IF(搜索词报告!$H$2:$H$22222=A310,IF(搜索词报告!$A$2:$A$22222&gt;=关键词词频统计!$A$2,IF(搜索词报告!$A$2:$A$22222&lt;=关键词词频统计!$A$4,搜索词报告!$J$2:$J$22222,0),0),0))</f>
        <v>0</v>
      </c>
      <c r="D310" s="2">
        <f t="shared" si="32"/>
        <v>0</v>
      </c>
      <c r="E310" s="2">
        <f t="shared" si="33"/>
        <v>0</v>
      </c>
      <c r="F310">
        <f t="array" ref="F310">SUM(IF(搜索词报告!$H$2:$H$22222=A310,IF(搜索词报告!$A$2:$A$22222&gt;=关键词词频统计!$A$2,IF(搜索词报告!$A$2:$A$22222&lt;=关键词词频统计!$A$4,搜索词报告!$Q$2:$Q$22222,0),0),0))</f>
        <v>0</v>
      </c>
      <c r="G310">
        <f t="array" ref="G310">SUM(IF(搜索词报告!$H$2:$H$22222=A310,IF(搜索词报告!$A$2:$A$22222&gt;=关键词词频统计!$A$2,IF(搜索词报告!$A$2:$A$22222&lt;=关键词词频统计!$A$4,搜索词报告!$N$2:$N$22222,0),0),0))</f>
        <v>0</v>
      </c>
      <c r="H310">
        <f t="array" ref="H310">SUM(IF(搜索词报告!$H$2:$H$22222=A310,IF(搜索词报告!$A$2:$A$22222&gt;=关键词词频统计!$A$2,IF(搜索词报告!$A$2:$A$22222&lt;=关键词词频统计!$A$4,搜索词报告!$M$2:$M$22222,0),0),0))</f>
        <v>0</v>
      </c>
      <c r="I310" s="2" t="str">
        <f t="shared" si="34"/>
        <v/>
      </c>
      <c r="J310" t="str">
        <f t="shared" si="35"/>
        <v>点击次数少于10次没有参考性</v>
      </c>
      <c r="K310" s="4" t="str">
        <f>IFERROR(INDEX(搜索词报告!$D$2:$D$22222,MATCH(关键词词频统计!A310,搜索词报告!$H$2:$H$22222,0)),"")</f>
        <v/>
      </c>
      <c r="M310">
        <f t="array" ref="M310">SUM(IF(搜索词报告!$H$2:$H$22222=L310,IF(搜索词报告!$A$2:$A$22222&gt;=$L$2,IF(搜索词报告!$A$2:$A$22222&lt;=$L$4,搜索词报告!$I$2:$I$22222,0),0),0))</f>
        <v>0</v>
      </c>
      <c r="N310">
        <f t="array" ref="N310">SUM(IF(搜索词报告!$H$2:$H$22222=L310,IF(搜索词报告!$A$2:$A$22222&gt;=$L$2,IF(搜索词报告!$A$2:$A$22222&lt;=$L$4,搜索词报告!$J$2:$J$22222,0),0),0))</f>
        <v>0</v>
      </c>
      <c r="O310" s="2">
        <f t="shared" si="36"/>
        <v>0</v>
      </c>
      <c r="P310" s="2">
        <f t="shared" si="37"/>
        <v>0</v>
      </c>
      <c r="Q310">
        <f t="array" ref="Q310">SUM(IF(搜索词报告!$H$2:$H$22222=L310,IF(搜索词报告!$A$2:$A$22222&gt;=$L$2,IF(搜索词报告!$A$2:$A$22222&lt;=$L$4,搜索词报告!$Q$2:$Q$22222,0),0),0))</f>
        <v>0</v>
      </c>
      <c r="R310">
        <f t="array" ref="R310">SUM(IF(搜索词报告!$H$2:$H$22222=L310,IF(搜索词报告!$A$2:$A$22222&gt;=$L$2,IF(搜索词报告!$A$2:$A$22222&lt;=$L$4,搜索词报告!$N$2:$N$22222,0),0),0))</f>
        <v>0</v>
      </c>
      <c r="S310">
        <f t="array" ref="S310">SUM(IF(搜索词报告!$H$2:$H$22222=L310,IF(搜索词报告!$A$2:$A$22222&gt;=$L$2,IF(搜索词报告!$A$2:$A$22222&lt;=$L$4,搜索词报告!$M$2:$M$22222,0),0),0))</f>
        <v>0</v>
      </c>
      <c r="T310" s="2" t="str">
        <f t="shared" si="38"/>
        <v/>
      </c>
      <c r="U310" t="str">
        <f t="shared" si="39"/>
        <v>点击次数少于10次没有参考性</v>
      </c>
      <c r="V310" s="4" t="str">
        <f>IFERROR(INDEX(搜索词报告!$D$2:$D$22222,MATCH(关键词词频统计!L310,搜索词报告!$H$2:$H$22222,0)),"")</f>
        <v/>
      </c>
    </row>
    <row r="311" spans="2:22" x14ac:dyDescent="0.15">
      <c r="B311">
        <f t="array" ref="B311">SUM(IF(搜索词报告!$H$2:$H$22222=A311,IF(搜索词报告!$A$2:$A$22222&gt;=关键词词频统计!$A$2,IF(搜索词报告!$A$2:$A$22222&lt;=关键词词频统计!$A$4,搜索词报告!$I$2:$I$22222,0),0),0))</f>
        <v>0</v>
      </c>
      <c r="C311">
        <f t="array" ref="C311">SUM(IF(搜索词报告!$H$2:$H$22222=A311,IF(搜索词报告!$A$2:$A$22222&gt;=关键词词频统计!$A$2,IF(搜索词报告!$A$2:$A$22222&lt;=关键词词频统计!$A$4,搜索词报告!$J$2:$J$22222,0),0),0))</f>
        <v>0</v>
      </c>
      <c r="D311" s="2">
        <f t="shared" si="32"/>
        <v>0</v>
      </c>
      <c r="E311" s="2">
        <f t="shared" si="33"/>
        <v>0</v>
      </c>
      <c r="F311">
        <f t="array" ref="F311">SUM(IF(搜索词报告!$H$2:$H$22222=A311,IF(搜索词报告!$A$2:$A$22222&gt;=关键词词频统计!$A$2,IF(搜索词报告!$A$2:$A$22222&lt;=关键词词频统计!$A$4,搜索词报告!$Q$2:$Q$22222,0),0),0))</f>
        <v>0</v>
      </c>
      <c r="G311">
        <f t="array" ref="G311">SUM(IF(搜索词报告!$H$2:$H$22222=A311,IF(搜索词报告!$A$2:$A$22222&gt;=关键词词频统计!$A$2,IF(搜索词报告!$A$2:$A$22222&lt;=关键词词频统计!$A$4,搜索词报告!$N$2:$N$22222,0),0),0))</f>
        <v>0</v>
      </c>
      <c r="H311">
        <f t="array" ref="H311">SUM(IF(搜索词报告!$H$2:$H$22222=A311,IF(搜索词报告!$A$2:$A$22222&gt;=关键词词频统计!$A$2,IF(搜索词报告!$A$2:$A$22222&lt;=关键词词频统计!$A$4,搜索词报告!$M$2:$M$22222,0),0),0))</f>
        <v>0</v>
      </c>
      <c r="I311" s="2" t="str">
        <f t="shared" si="34"/>
        <v/>
      </c>
      <c r="J311" t="str">
        <f t="shared" si="35"/>
        <v>点击次数少于10次没有参考性</v>
      </c>
      <c r="K311" s="4" t="str">
        <f>IFERROR(INDEX(搜索词报告!$D$2:$D$22222,MATCH(关键词词频统计!A311,搜索词报告!$H$2:$H$22222,0)),"")</f>
        <v/>
      </c>
      <c r="M311">
        <f t="array" ref="M311">SUM(IF(搜索词报告!$H$2:$H$22222=L311,IF(搜索词报告!$A$2:$A$22222&gt;=$L$2,IF(搜索词报告!$A$2:$A$22222&lt;=$L$4,搜索词报告!$I$2:$I$22222,0),0),0))</f>
        <v>0</v>
      </c>
      <c r="N311">
        <f t="array" ref="N311">SUM(IF(搜索词报告!$H$2:$H$22222=L311,IF(搜索词报告!$A$2:$A$22222&gt;=$L$2,IF(搜索词报告!$A$2:$A$22222&lt;=$L$4,搜索词报告!$J$2:$J$22222,0),0),0))</f>
        <v>0</v>
      </c>
      <c r="O311" s="2">
        <f t="shared" si="36"/>
        <v>0</v>
      </c>
      <c r="P311" s="2">
        <f t="shared" si="37"/>
        <v>0</v>
      </c>
      <c r="Q311">
        <f t="array" ref="Q311">SUM(IF(搜索词报告!$H$2:$H$22222=L311,IF(搜索词报告!$A$2:$A$22222&gt;=$L$2,IF(搜索词报告!$A$2:$A$22222&lt;=$L$4,搜索词报告!$Q$2:$Q$22222,0),0),0))</f>
        <v>0</v>
      </c>
      <c r="R311">
        <f t="array" ref="R311">SUM(IF(搜索词报告!$H$2:$H$22222=L311,IF(搜索词报告!$A$2:$A$22222&gt;=$L$2,IF(搜索词报告!$A$2:$A$22222&lt;=$L$4,搜索词报告!$N$2:$N$22222,0),0),0))</f>
        <v>0</v>
      </c>
      <c r="S311">
        <f t="array" ref="S311">SUM(IF(搜索词报告!$H$2:$H$22222=L311,IF(搜索词报告!$A$2:$A$22222&gt;=$L$2,IF(搜索词报告!$A$2:$A$22222&lt;=$L$4,搜索词报告!$M$2:$M$22222,0),0),0))</f>
        <v>0</v>
      </c>
      <c r="T311" s="2" t="str">
        <f t="shared" si="38"/>
        <v/>
      </c>
      <c r="U311" t="str">
        <f t="shared" si="39"/>
        <v>点击次数少于10次没有参考性</v>
      </c>
      <c r="V311" s="4" t="str">
        <f>IFERROR(INDEX(搜索词报告!$D$2:$D$22222,MATCH(关键词词频统计!L311,搜索词报告!$H$2:$H$22222,0)),"")</f>
        <v/>
      </c>
    </row>
    <row r="312" spans="2:22" x14ac:dyDescent="0.15">
      <c r="B312">
        <f t="array" ref="B312">SUM(IF(搜索词报告!$H$2:$H$22222=A312,IF(搜索词报告!$A$2:$A$22222&gt;=关键词词频统计!$A$2,IF(搜索词报告!$A$2:$A$22222&lt;=关键词词频统计!$A$4,搜索词报告!$I$2:$I$22222,0),0),0))</f>
        <v>0</v>
      </c>
      <c r="C312">
        <f t="array" ref="C312">SUM(IF(搜索词报告!$H$2:$H$22222=A312,IF(搜索词报告!$A$2:$A$22222&gt;=关键词词频统计!$A$2,IF(搜索词报告!$A$2:$A$22222&lt;=关键词词频统计!$A$4,搜索词报告!$J$2:$J$22222,0),0),0))</f>
        <v>0</v>
      </c>
      <c r="D312" s="2">
        <f t="shared" si="32"/>
        <v>0</v>
      </c>
      <c r="E312" s="2">
        <f t="shared" si="33"/>
        <v>0</v>
      </c>
      <c r="F312">
        <f t="array" ref="F312">SUM(IF(搜索词报告!$H$2:$H$22222=A312,IF(搜索词报告!$A$2:$A$22222&gt;=关键词词频统计!$A$2,IF(搜索词报告!$A$2:$A$22222&lt;=关键词词频统计!$A$4,搜索词报告!$Q$2:$Q$22222,0),0),0))</f>
        <v>0</v>
      </c>
      <c r="G312">
        <f t="array" ref="G312">SUM(IF(搜索词报告!$H$2:$H$22222=A312,IF(搜索词报告!$A$2:$A$22222&gt;=关键词词频统计!$A$2,IF(搜索词报告!$A$2:$A$22222&lt;=关键词词频统计!$A$4,搜索词报告!$N$2:$N$22222,0),0),0))</f>
        <v>0</v>
      </c>
      <c r="H312">
        <f t="array" ref="H312">SUM(IF(搜索词报告!$H$2:$H$22222=A312,IF(搜索词报告!$A$2:$A$22222&gt;=关键词词频统计!$A$2,IF(搜索词报告!$A$2:$A$22222&lt;=关键词词频统计!$A$4,搜索词报告!$M$2:$M$22222,0),0),0))</f>
        <v>0</v>
      </c>
      <c r="I312" s="2" t="str">
        <f t="shared" si="34"/>
        <v/>
      </c>
      <c r="J312" t="str">
        <f t="shared" si="35"/>
        <v>点击次数少于10次没有参考性</v>
      </c>
      <c r="K312" s="4" t="str">
        <f>IFERROR(INDEX(搜索词报告!$D$2:$D$22222,MATCH(关键词词频统计!A312,搜索词报告!$H$2:$H$22222,0)),"")</f>
        <v/>
      </c>
      <c r="M312">
        <f t="array" ref="M312">SUM(IF(搜索词报告!$H$2:$H$22222=L312,IF(搜索词报告!$A$2:$A$22222&gt;=$L$2,IF(搜索词报告!$A$2:$A$22222&lt;=$L$4,搜索词报告!$I$2:$I$22222,0),0),0))</f>
        <v>0</v>
      </c>
      <c r="N312">
        <f t="array" ref="N312">SUM(IF(搜索词报告!$H$2:$H$22222=L312,IF(搜索词报告!$A$2:$A$22222&gt;=$L$2,IF(搜索词报告!$A$2:$A$22222&lt;=$L$4,搜索词报告!$J$2:$J$22222,0),0),0))</f>
        <v>0</v>
      </c>
      <c r="O312" s="2">
        <f t="shared" si="36"/>
        <v>0</v>
      </c>
      <c r="P312" s="2">
        <f t="shared" si="37"/>
        <v>0</v>
      </c>
      <c r="Q312">
        <f t="array" ref="Q312">SUM(IF(搜索词报告!$H$2:$H$22222=L312,IF(搜索词报告!$A$2:$A$22222&gt;=$L$2,IF(搜索词报告!$A$2:$A$22222&lt;=$L$4,搜索词报告!$Q$2:$Q$22222,0),0),0))</f>
        <v>0</v>
      </c>
      <c r="R312">
        <f t="array" ref="R312">SUM(IF(搜索词报告!$H$2:$H$22222=L312,IF(搜索词报告!$A$2:$A$22222&gt;=$L$2,IF(搜索词报告!$A$2:$A$22222&lt;=$L$4,搜索词报告!$N$2:$N$22222,0),0),0))</f>
        <v>0</v>
      </c>
      <c r="S312">
        <f t="array" ref="S312">SUM(IF(搜索词报告!$H$2:$H$22222=L312,IF(搜索词报告!$A$2:$A$22222&gt;=$L$2,IF(搜索词报告!$A$2:$A$22222&lt;=$L$4,搜索词报告!$M$2:$M$22222,0),0),0))</f>
        <v>0</v>
      </c>
      <c r="T312" s="2" t="str">
        <f t="shared" si="38"/>
        <v/>
      </c>
      <c r="U312" t="str">
        <f t="shared" si="39"/>
        <v>点击次数少于10次没有参考性</v>
      </c>
      <c r="V312" s="4" t="str">
        <f>IFERROR(INDEX(搜索词报告!$D$2:$D$22222,MATCH(关键词词频统计!L312,搜索词报告!$H$2:$H$22222,0)),"")</f>
        <v/>
      </c>
    </row>
    <row r="313" spans="2:22" x14ac:dyDescent="0.15">
      <c r="B313">
        <f t="array" ref="B313">SUM(IF(搜索词报告!$H$2:$H$22222=A313,IF(搜索词报告!$A$2:$A$22222&gt;=关键词词频统计!$A$2,IF(搜索词报告!$A$2:$A$22222&lt;=关键词词频统计!$A$4,搜索词报告!$I$2:$I$22222,0),0),0))</f>
        <v>0</v>
      </c>
      <c r="C313">
        <f t="array" ref="C313">SUM(IF(搜索词报告!$H$2:$H$22222=A313,IF(搜索词报告!$A$2:$A$22222&gt;=关键词词频统计!$A$2,IF(搜索词报告!$A$2:$A$22222&lt;=关键词词频统计!$A$4,搜索词报告!$J$2:$J$22222,0),0),0))</f>
        <v>0</v>
      </c>
      <c r="D313" s="2">
        <f t="shared" si="32"/>
        <v>0</v>
      </c>
      <c r="E313" s="2">
        <f t="shared" si="33"/>
        <v>0</v>
      </c>
      <c r="F313">
        <f t="array" ref="F313">SUM(IF(搜索词报告!$H$2:$H$22222=A313,IF(搜索词报告!$A$2:$A$22222&gt;=关键词词频统计!$A$2,IF(搜索词报告!$A$2:$A$22222&lt;=关键词词频统计!$A$4,搜索词报告!$Q$2:$Q$22222,0),0),0))</f>
        <v>0</v>
      </c>
      <c r="G313">
        <f t="array" ref="G313">SUM(IF(搜索词报告!$H$2:$H$22222=A313,IF(搜索词报告!$A$2:$A$22222&gt;=关键词词频统计!$A$2,IF(搜索词报告!$A$2:$A$22222&lt;=关键词词频统计!$A$4,搜索词报告!$N$2:$N$22222,0),0),0))</f>
        <v>0</v>
      </c>
      <c r="H313">
        <f t="array" ref="H313">SUM(IF(搜索词报告!$H$2:$H$22222=A313,IF(搜索词报告!$A$2:$A$22222&gt;=关键词词频统计!$A$2,IF(搜索词报告!$A$2:$A$22222&lt;=关键词词频统计!$A$4,搜索词报告!$M$2:$M$22222,0),0),0))</f>
        <v>0</v>
      </c>
      <c r="I313" s="2" t="str">
        <f t="shared" si="34"/>
        <v/>
      </c>
      <c r="J313" t="str">
        <f t="shared" si="35"/>
        <v>点击次数少于10次没有参考性</v>
      </c>
      <c r="K313" s="4" t="str">
        <f>IFERROR(INDEX(搜索词报告!$D$2:$D$22222,MATCH(关键词词频统计!A313,搜索词报告!$H$2:$H$22222,0)),"")</f>
        <v/>
      </c>
      <c r="M313">
        <f t="array" ref="M313">SUM(IF(搜索词报告!$H$2:$H$22222=L313,IF(搜索词报告!$A$2:$A$22222&gt;=$L$2,IF(搜索词报告!$A$2:$A$22222&lt;=$L$4,搜索词报告!$I$2:$I$22222,0),0),0))</f>
        <v>0</v>
      </c>
      <c r="N313">
        <f t="array" ref="N313">SUM(IF(搜索词报告!$H$2:$H$22222=L313,IF(搜索词报告!$A$2:$A$22222&gt;=$L$2,IF(搜索词报告!$A$2:$A$22222&lt;=$L$4,搜索词报告!$J$2:$J$22222,0),0),0))</f>
        <v>0</v>
      </c>
      <c r="O313" s="2">
        <f t="shared" si="36"/>
        <v>0</v>
      </c>
      <c r="P313" s="2">
        <f t="shared" si="37"/>
        <v>0</v>
      </c>
      <c r="Q313">
        <f t="array" ref="Q313">SUM(IF(搜索词报告!$H$2:$H$22222=L313,IF(搜索词报告!$A$2:$A$22222&gt;=$L$2,IF(搜索词报告!$A$2:$A$22222&lt;=$L$4,搜索词报告!$Q$2:$Q$22222,0),0),0))</f>
        <v>0</v>
      </c>
      <c r="R313">
        <f t="array" ref="R313">SUM(IF(搜索词报告!$H$2:$H$22222=L313,IF(搜索词报告!$A$2:$A$22222&gt;=$L$2,IF(搜索词报告!$A$2:$A$22222&lt;=$L$4,搜索词报告!$N$2:$N$22222,0),0),0))</f>
        <v>0</v>
      </c>
      <c r="S313">
        <f t="array" ref="S313">SUM(IF(搜索词报告!$H$2:$H$22222=L313,IF(搜索词报告!$A$2:$A$22222&gt;=$L$2,IF(搜索词报告!$A$2:$A$22222&lt;=$L$4,搜索词报告!$M$2:$M$22222,0),0),0))</f>
        <v>0</v>
      </c>
      <c r="T313" s="2" t="str">
        <f t="shared" si="38"/>
        <v/>
      </c>
      <c r="U313" t="str">
        <f t="shared" si="39"/>
        <v>点击次数少于10次没有参考性</v>
      </c>
      <c r="V313" s="4" t="str">
        <f>IFERROR(INDEX(搜索词报告!$D$2:$D$22222,MATCH(关键词词频统计!L313,搜索词报告!$H$2:$H$22222,0)),"")</f>
        <v/>
      </c>
    </row>
    <row r="314" spans="2:22" x14ac:dyDescent="0.15">
      <c r="B314">
        <f t="array" ref="B314">SUM(IF(搜索词报告!$H$2:$H$22222=A314,IF(搜索词报告!$A$2:$A$22222&gt;=关键词词频统计!$A$2,IF(搜索词报告!$A$2:$A$22222&lt;=关键词词频统计!$A$4,搜索词报告!$I$2:$I$22222,0),0),0))</f>
        <v>0</v>
      </c>
      <c r="C314">
        <f t="array" ref="C314">SUM(IF(搜索词报告!$H$2:$H$22222=A314,IF(搜索词报告!$A$2:$A$22222&gt;=关键词词频统计!$A$2,IF(搜索词报告!$A$2:$A$22222&lt;=关键词词频统计!$A$4,搜索词报告!$J$2:$J$22222,0),0),0))</f>
        <v>0</v>
      </c>
      <c r="D314" s="2">
        <f t="shared" si="32"/>
        <v>0</v>
      </c>
      <c r="E314" s="2">
        <f t="shared" si="33"/>
        <v>0</v>
      </c>
      <c r="F314">
        <f t="array" ref="F314">SUM(IF(搜索词报告!$H$2:$H$22222=A314,IF(搜索词报告!$A$2:$A$22222&gt;=关键词词频统计!$A$2,IF(搜索词报告!$A$2:$A$22222&lt;=关键词词频统计!$A$4,搜索词报告!$Q$2:$Q$22222,0),0),0))</f>
        <v>0</v>
      </c>
      <c r="G314">
        <f t="array" ref="G314">SUM(IF(搜索词报告!$H$2:$H$22222=A314,IF(搜索词报告!$A$2:$A$22222&gt;=关键词词频统计!$A$2,IF(搜索词报告!$A$2:$A$22222&lt;=关键词词频统计!$A$4,搜索词报告!$N$2:$N$22222,0),0),0))</f>
        <v>0</v>
      </c>
      <c r="H314">
        <f t="array" ref="H314">SUM(IF(搜索词报告!$H$2:$H$22222=A314,IF(搜索词报告!$A$2:$A$22222&gt;=关键词词频统计!$A$2,IF(搜索词报告!$A$2:$A$22222&lt;=关键词词频统计!$A$4,搜索词报告!$M$2:$M$22222,0),0),0))</f>
        <v>0</v>
      </c>
      <c r="I314" s="2" t="str">
        <f t="shared" si="34"/>
        <v/>
      </c>
      <c r="J314" t="str">
        <f t="shared" si="35"/>
        <v>点击次数少于10次没有参考性</v>
      </c>
      <c r="K314" s="4" t="str">
        <f>IFERROR(INDEX(搜索词报告!$D$2:$D$22222,MATCH(关键词词频统计!A314,搜索词报告!$H$2:$H$22222,0)),"")</f>
        <v/>
      </c>
      <c r="M314">
        <f t="array" ref="M314">SUM(IF(搜索词报告!$H$2:$H$22222=L314,IF(搜索词报告!$A$2:$A$22222&gt;=$L$2,IF(搜索词报告!$A$2:$A$22222&lt;=$L$4,搜索词报告!$I$2:$I$22222,0),0),0))</f>
        <v>0</v>
      </c>
      <c r="N314">
        <f t="array" ref="N314">SUM(IF(搜索词报告!$H$2:$H$22222=L314,IF(搜索词报告!$A$2:$A$22222&gt;=$L$2,IF(搜索词报告!$A$2:$A$22222&lt;=$L$4,搜索词报告!$J$2:$J$22222,0),0),0))</f>
        <v>0</v>
      </c>
      <c r="O314" s="2">
        <f t="shared" si="36"/>
        <v>0</v>
      </c>
      <c r="P314" s="2">
        <f t="shared" si="37"/>
        <v>0</v>
      </c>
      <c r="Q314">
        <f t="array" ref="Q314">SUM(IF(搜索词报告!$H$2:$H$22222=L314,IF(搜索词报告!$A$2:$A$22222&gt;=$L$2,IF(搜索词报告!$A$2:$A$22222&lt;=$L$4,搜索词报告!$Q$2:$Q$22222,0),0),0))</f>
        <v>0</v>
      </c>
      <c r="R314">
        <f t="array" ref="R314">SUM(IF(搜索词报告!$H$2:$H$22222=L314,IF(搜索词报告!$A$2:$A$22222&gt;=$L$2,IF(搜索词报告!$A$2:$A$22222&lt;=$L$4,搜索词报告!$N$2:$N$22222,0),0),0))</f>
        <v>0</v>
      </c>
      <c r="S314">
        <f t="array" ref="S314">SUM(IF(搜索词报告!$H$2:$H$22222=L314,IF(搜索词报告!$A$2:$A$22222&gt;=$L$2,IF(搜索词报告!$A$2:$A$22222&lt;=$L$4,搜索词报告!$M$2:$M$22222,0),0),0))</f>
        <v>0</v>
      </c>
      <c r="T314" s="2" t="str">
        <f t="shared" si="38"/>
        <v/>
      </c>
      <c r="U314" t="str">
        <f t="shared" si="39"/>
        <v>点击次数少于10次没有参考性</v>
      </c>
      <c r="V314" s="4" t="str">
        <f>IFERROR(INDEX(搜索词报告!$D$2:$D$22222,MATCH(关键词词频统计!L314,搜索词报告!$H$2:$H$22222,0)),"")</f>
        <v/>
      </c>
    </row>
    <row r="315" spans="2:22" x14ac:dyDescent="0.15">
      <c r="B315">
        <f t="array" ref="B315">SUM(IF(搜索词报告!$H$2:$H$22222=A315,IF(搜索词报告!$A$2:$A$22222&gt;=关键词词频统计!$A$2,IF(搜索词报告!$A$2:$A$22222&lt;=关键词词频统计!$A$4,搜索词报告!$I$2:$I$22222,0),0),0))</f>
        <v>0</v>
      </c>
      <c r="C315">
        <f t="array" ref="C315">SUM(IF(搜索词报告!$H$2:$H$22222=A315,IF(搜索词报告!$A$2:$A$22222&gt;=关键词词频统计!$A$2,IF(搜索词报告!$A$2:$A$22222&lt;=关键词词频统计!$A$4,搜索词报告!$J$2:$J$22222,0),0),0))</f>
        <v>0</v>
      </c>
      <c r="D315" s="2">
        <f t="shared" si="32"/>
        <v>0</v>
      </c>
      <c r="E315" s="2">
        <f t="shared" si="33"/>
        <v>0</v>
      </c>
      <c r="F315">
        <f t="array" ref="F315">SUM(IF(搜索词报告!$H$2:$H$22222=A315,IF(搜索词报告!$A$2:$A$22222&gt;=关键词词频统计!$A$2,IF(搜索词报告!$A$2:$A$22222&lt;=关键词词频统计!$A$4,搜索词报告!$Q$2:$Q$22222,0),0),0))</f>
        <v>0</v>
      </c>
      <c r="G315">
        <f t="array" ref="G315">SUM(IF(搜索词报告!$H$2:$H$22222=A315,IF(搜索词报告!$A$2:$A$22222&gt;=关键词词频统计!$A$2,IF(搜索词报告!$A$2:$A$22222&lt;=关键词词频统计!$A$4,搜索词报告!$N$2:$N$22222,0),0),0))</f>
        <v>0</v>
      </c>
      <c r="H315">
        <f t="array" ref="H315">SUM(IF(搜索词报告!$H$2:$H$22222=A315,IF(搜索词报告!$A$2:$A$22222&gt;=关键词词频统计!$A$2,IF(搜索词报告!$A$2:$A$22222&lt;=关键词词频统计!$A$4,搜索词报告!$M$2:$M$22222,0),0),0))</f>
        <v>0</v>
      </c>
      <c r="I315" s="2" t="str">
        <f t="shared" si="34"/>
        <v/>
      </c>
      <c r="J315" t="str">
        <f t="shared" si="35"/>
        <v>点击次数少于10次没有参考性</v>
      </c>
      <c r="K315" s="4" t="str">
        <f>IFERROR(INDEX(搜索词报告!$D$2:$D$22222,MATCH(关键词词频统计!A315,搜索词报告!$H$2:$H$22222,0)),"")</f>
        <v/>
      </c>
      <c r="M315">
        <f t="array" ref="M315">SUM(IF(搜索词报告!$H$2:$H$22222=L315,IF(搜索词报告!$A$2:$A$22222&gt;=$L$2,IF(搜索词报告!$A$2:$A$22222&lt;=$L$4,搜索词报告!$I$2:$I$22222,0),0),0))</f>
        <v>0</v>
      </c>
      <c r="N315">
        <f t="array" ref="N315">SUM(IF(搜索词报告!$H$2:$H$22222=L315,IF(搜索词报告!$A$2:$A$22222&gt;=$L$2,IF(搜索词报告!$A$2:$A$22222&lt;=$L$4,搜索词报告!$J$2:$J$22222,0),0),0))</f>
        <v>0</v>
      </c>
      <c r="O315" s="2">
        <f t="shared" si="36"/>
        <v>0</v>
      </c>
      <c r="P315" s="2">
        <f t="shared" si="37"/>
        <v>0</v>
      </c>
      <c r="Q315">
        <f t="array" ref="Q315">SUM(IF(搜索词报告!$H$2:$H$22222=L315,IF(搜索词报告!$A$2:$A$22222&gt;=$L$2,IF(搜索词报告!$A$2:$A$22222&lt;=$L$4,搜索词报告!$Q$2:$Q$22222,0),0),0))</f>
        <v>0</v>
      </c>
      <c r="R315">
        <f t="array" ref="R315">SUM(IF(搜索词报告!$H$2:$H$22222=L315,IF(搜索词报告!$A$2:$A$22222&gt;=$L$2,IF(搜索词报告!$A$2:$A$22222&lt;=$L$4,搜索词报告!$N$2:$N$22222,0),0),0))</f>
        <v>0</v>
      </c>
      <c r="S315">
        <f t="array" ref="S315">SUM(IF(搜索词报告!$H$2:$H$22222=L315,IF(搜索词报告!$A$2:$A$22222&gt;=$L$2,IF(搜索词报告!$A$2:$A$22222&lt;=$L$4,搜索词报告!$M$2:$M$22222,0),0),0))</f>
        <v>0</v>
      </c>
      <c r="T315" s="2" t="str">
        <f t="shared" si="38"/>
        <v/>
      </c>
      <c r="U315" t="str">
        <f t="shared" si="39"/>
        <v>点击次数少于10次没有参考性</v>
      </c>
      <c r="V315" s="4" t="str">
        <f>IFERROR(INDEX(搜索词报告!$D$2:$D$22222,MATCH(关键词词频统计!L315,搜索词报告!$H$2:$H$22222,0)),"")</f>
        <v/>
      </c>
    </row>
    <row r="316" spans="2:22" x14ac:dyDescent="0.15">
      <c r="B316">
        <f t="array" ref="B316">SUM(IF(搜索词报告!$H$2:$H$22222=A316,IF(搜索词报告!$A$2:$A$22222&gt;=关键词词频统计!$A$2,IF(搜索词报告!$A$2:$A$22222&lt;=关键词词频统计!$A$4,搜索词报告!$I$2:$I$22222,0),0),0))</f>
        <v>0</v>
      </c>
      <c r="C316">
        <f t="array" ref="C316">SUM(IF(搜索词报告!$H$2:$H$22222=A316,IF(搜索词报告!$A$2:$A$22222&gt;=关键词词频统计!$A$2,IF(搜索词报告!$A$2:$A$22222&lt;=关键词词频统计!$A$4,搜索词报告!$J$2:$J$22222,0),0),0))</f>
        <v>0</v>
      </c>
      <c r="D316" s="2">
        <f t="shared" si="32"/>
        <v>0</v>
      </c>
      <c r="E316" s="2">
        <f t="shared" si="33"/>
        <v>0</v>
      </c>
      <c r="F316">
        <f t="array" ref="F316">SUM(IF(搜索词报告!$H$2:$H$22222=A316,IF(搜索词报告!$A$2:$A$22222&gt;=关键词词频统计!$A$2,IF(搜索词报告!$A$2:$A$22222&lt;=关键词词频统计!$A$4,搜索词报告!$Q$2:$Q$22222,0),0),0))</f>
        <v>0</v>
      </c>
      <c r="G316">
        <f t="array" ref="G316">SUM(IF(搜索词报告!$H$2:$H$22222=A316,IF(搜索词报告!$A$2:$A$22222&gt;=关键词词频统计!$A$2,IF(搜索词报告!$A$2:$A$22222&lt;=关键词词频统计!$A$4,搜索词报告!$N$2:$N$22222,0),0),0))</f>
        <v>0</v>
      </c>
      <c r="H316">
        <f t="array" ref="H316">SUM(IF(搜索词报告!$H$2:$H$22222=A316,IF(搜索词报告!$A$2:$A$22222&gt;=关键词词频统计!$A$2,IF(搜索词报告!$A$2:$A$22222&lt;=关键词词频统计!$A$4,搜索词报告!$M$2:$M$22222,0),0),0))</f>
        <v>0</v>
      </c>
      <c r="I316" s="2" t="str">
        <f t="shared" si="34"/>
        <v/>
      </c>
      <c r="J316" t="str">
        <f t="shared" si="35"/>
        <v>点击次数少于10次没有参考性</v>
      </c>
      <c r="K316" s="4" t="str">
        <f>IFERROR(INDEX(搜索词报告!$D$2:$D$22222,MATCH(关键词词频统计!A316,搜索词报告!$H$2:$H$22222,0)),"")</f>
        <v/>
      </c>
      <c r="M316">
        <f t="array" ref="M316">SUM(IF(搜索词报告!$H$2:$H$22222=L316,IF(搜索词报告!$A$2:$A$22222&gt;=$L$2,IF(搜索词报告!$A$2:$A$22222&lt;=$L$4,搜索词报告!$I$2:$I$22222,0),0),0))</f>
        <v>0</v>
      </c>
      <c r="N316">
        <f t="array" ref="N316">SUM(IF(搜索词报告!$H$2:$H$22222=L316,IF(搜索词报告!$A$2:$A$22222&gt;=$L$2,IF(搜索词报告!$A$2:$A$22222&lt;=$L$4,搜索词报告!$J$2:$J$22222,0),0),0))</f>
        <v>0</v>
      </c>
      <c r="O316" s="2">
        <f t="shared" si="36"/>
        <v>0</v>
      </c>
      <c r="P316" s="2">
        <f t="shared" si="37"/>
        <v>0</v>
      </c>
      <c r="Q316">
        <f t="array" ref="Q316">SUM(IF(搜索词报告!$H$2:$H$22222=L316,IF(搜索词报告!$A$2:$A$22222&gt;=$L$2,IF(搜索词报告!$A$2:$A$22222&lt;=$L$4,搜索词报告!$Q$2:$Q$22222,0),0),0))</f>
        <v>0</v>
      </c>
      <c r="R316">
        <f t="array" ref="R316">SUM(IF(搜索词报告!$H$2:$H$22222=L316,IF(搜索词报告!$A$2:$A$22222&gt;=$L$2,IF(搜索词报告!$A$2:$A$22222&lt;=$L$4,搜索词报告!$N$2:$N$22222,0),0),0))</f>
        <v>0</v>
      </c>
      <c r="S316">
        <f t="array" ref="S316">SUM(IF(搜索词报告!$H$2:$H$22222=L316,IF(搜索词报告!$A$2:$A$22222&gt;=$L$2,IF(搜索词报告!$A$2:$A$22222&lt;=$L$4,搜索词报告!$M$2:$M$22222,0),0),0))</f>
        <v>0</v>
      </c>
      <c r="T316" s="2" t="str">
        <f t="shared" si="38"/>
        <v/>
      </c>
      <c r="U316" t="str">
        <f t="shared" si="39"/>
        <v>点击次数少于10次没有参考性</v>
      </c>
      <c r="V316" s="4" t="str">
        <f>IFERROR(INDEX(搜索词报告!$D$2:$D$22222,MATCH(关键词词频统计!L316,搜索词报告!$H$2:$H$22222,0)),"")</f>
        <v/>
      </c>
    </row>
    <row r="317" spans="2:22" x14ac:dyDescent="0.15">
      <c r="B317">
        <f t="array" ref="B317">SUM(IF(搜索词报告!$H$2:$H$22222=A317,IF(搜索词报告!$A$2:$A$22222&gt;=关键词词频统计!$A$2,IF(搜索词报告!$A$2:$A$22222&lt;=关键词词频统计!$A$4,搜索词报告!$I$2:$I$22222,0),0),0))</f>
        <v>0</v>
      </c>
      <c r="C317">
        <f t="array" ref="C317">SUM(IF(搜索词报告!$H$2:$H$22222=A317,IF(搜索词报告!$A$2:$A$22222&gt;=关键词词频统计!$A$2,IF(搜索词报告!$A$2:$A$22222&lt;=关键词词频统计!$A$4,搜索词报告!$J$2:$J$22222,0),0),0))</f>
        <v>0</v>
      </c>
      <c r="D317" s="2">
        <f t="shared" si="32"/>
        <v>0</v>
      </c>
      <c r="E317" s="2">
        <f t="shared" si="33"/>
        <v>0</v>
      </c>
      <c r="F317">
        <f t="array" ref="F317">SUM(IF(搜索词报告!$H$2:$H$22222=A317,IF(搜索词报告!$A$2:$A$22222&gt;=关键词词频统计!$A$2,IF(搜索词报告!$A$2:$A$22222&lt;=关键词词频统计!$A$4,搜索词报告!$Q$2:$Q$22222,0),0),0))</f>
        <v>0</v>
      </c>
      <c r="G317">
        <f t="array" ref="G317">SUM(IF(搜索词报告!$H$2:$H$22222=A317,IF(搜索词报告!$A$2:$A$22222&gt;=关键词词频统计!$A$2,IF(搜索词报告!$A$2:$A$22222&lt;=关键词词频统计!$A$4,搜索词报告!$N$2:$N$22222,0),0),0))</f>
        <v>0</v>
      </c>
      <c r="H317">
        <f t="array" ref="H317">SUM(IF(搜索词报告!$H$2:$H$22222=A317,IF(搜索词报告!$A$2:$A$22222&gt;=关键词词频统计!$A$2,IF(搜索词报告!$A$2:$A$22222&lt;=关键词词频统计!$A$4,搜索词报告!$M$2:$M$22222,0),0),0))</f>
        <v>0</v>
      </c>
      <c r="I317" s="2" t="str">
        <f t="shared" si="34"/>
        <v/>
      </c>
      <c r="J317" t="str">
        <f t="shared" si="35"/>
        <v>点击次数少于10次没有参考性</v>
      </c>
      <c r="K317" s="4" t="str">
        <f>IFERROR(INDEX(搜索词报告!$D$2:$D$22222,MATCH(关键词词频统计!A317,搜索词报告!$H$2:$H$22222,0)),"")</f>
        <v/>
      </c>
      <c r="M317">
        <f t="array" ref="M317">SUM(IF(搜索词报告!$H$2:$H$22222=L317,IF(搜索词报告!$A$2:$A$22222&gt;=$L$2,IF(搜索词报告!$A$2:$A$22222&lt;=$L$4,搜索词报告!$I$2:$I$22222,0),0),0))</f>
        <v>0</v>
      </c>
      <c r="N317">
        <f t="array" ref="N317">SUM(IF(搜索词报告!$H$2:$H$22222=L317,IF(搜索词报告!$A$2:$A$22222&gt;=$L$2,IF(搜索词报告!$A$2:$A$22222&lt;=$L$4,搜索词报告!$J$2:$J$22222,0),0),0))</f>
        <v>0</v>
      </c>
      <c r="O317" s="2">
        <f t="shared" si="36"/>
        <v>0</v>
      </c>
      <c r="P317" s="2">
        <f t="shared" si="37"/>
        <v>0</v>
      </c>
      <c r="Q317">
        <f t="array" ref="Q317">SUM(IF(搜索词报告!$H$2:$H$22222=L317,IF(搜索词报告!$A$2:$A$22222&gt;=$L$2,IF(搜索词报告!$A$2:$A$22222&lt;=$L$4,搜索词报告!$Q$2:$Q$22222,0),0),0))</f>
        <v>0</v>
      </c>
      <c r="R317">
        <f t="array" ref="R317">SUM(IF(搜索词报告!$H$2:$H$22222=L317,IF(搜索词报告!$A$2:$A$22222&gt;=$L$2,IF(搜索词报告!$A$2:$A$22222&lt;=$L$4,搜索词报告!$N$2:$N$22222,0),0),0))</f>
        <v>0</v>
      </c>
      <c r="S317">
        <f t="array" ref="S317">SUM(IF(搜索词报告!$H$2:$H$22222=L317,IF(搜索词报告!$A$2:$A$22222&gt;=$L$2,IF(搜索词报告!$A$2:$A$22222&lt;=$L$4,搜索词报告!$M$2:$M$22222,0),0),0))</f>
        <v>0</v>
      </c>
      <c r="T317" s="2" t="str">
        <f t="shared" si="38"/>
        <v/>
      </c>
      <c r="U317" t="str">
        <f t="shared" si="39"/>
        <v>点击次数少于10次没有参考性</v>
      </c>
      <c r="V317" s="4" t="str">
        <f>IFERROR(INDEX(搜索词报告!$D$2:$D$22222,MATCH(关键词词频统计!L317,搜索词报告!$H$2:$H$22222,0)),"")</f>
        <v/>
      </c>
    </row>
    <row r="318" spans="2:22" x14ac:dyDescent="0.15">
      <c r="B318">
        <f t="array" ref="B318">SUM(IF(搜索词报告!$H$2:$H$22222=A318,IF(搜索词报告!$A$2:$A$22222&gt;=关键词词频统计!$A$2,IF(搜索词报告!$A$2:$A$22222&lt;=关键词词频统计!$A$4,搜索词报告!$I$2:$I$22222,0),0),0))</f>
        <v>0</v>
      </c>
      <c r="C318">
        <f t="array" ref="C318">SUM(IF(搜索词报告!$H$2:$H$22222=A318,IF(搜索词报告!$A$2:$A$22222&gt;=关键词词频统计!$A$2,IF(搜索词报告!$A$2:$A$22222&lt;=关键词词频统计!$A$4,搜索词报告!$J$2:$J$22222,0),0),0))</f>
        <v>0</v>
      </c>
      <c r="D318" s="2">
        <f t="shared" si="32"/>
        <v>0</v>
      </c>
      <c r="E318" s="2">
        <f t="shared" si="33"/>
        <v>0</v>
      </c>
      <c r="F318">
        <f t="array" ref="F318">SUM(IF(搜索词报告!$H$2:$H$22222=A318,IF(搜索词报告!$A$2:$A$22222&gt;=关键词词频统计!$A$2,IF(搜索词报告!$A$2:$A$22222&lt;=关键词词频统计!$A$4,搜索词报告!$Q$2:$Q$22222,0),0),0))</f>
        <v>0</v>
      </c>
      <c r="G318">
        <f t="array" ref="G318">SUM(IF(搜索词报告!$H$2:$H$22222=A318,IF(搜索词报告!$A$2:$A$22222&gt;=关键词词频统计!$A$2,IF(搜索词报告!$A$2:$A$22222&lt;=关键词词频统计!$A$4,搜索词报告!$N$2:$N$22222,0),0),0))</f>
        <v>0</v>
      </c>
      <c r="H318">
        <f t="array" ref="H318">SUM(IF(搜索词报告!$H$2:$H$22222=A318,IF(搜索词报告!$A$2:$A$22222&gt;=关键词词频统计!$A$2,IF(搜索词报告!$A$2:$A$22222&lt;=关键词词频统计!$A$4,搜索词报告!$M$2:$M$22222,0),0),0))</f>
        <v>0</v>
      </c>
      <c r="I318" s="2" t="str">
        <f t="shared" si="34"/>
        <v/>
      </c>
      <c r="J318" t="str">
        <f t="shared" si="35"/>
        <v>点击次数少于10次没有参考性</v>
      </c>
      <c r="K318" s="4" t="str">
        <f>IFERROR(INDEX(搜索词报告!$D$2:$D$22222,MATCH(关键词词频统计!A318,搜索词报告!$H$2:$H$22222,0)),"")</f>
        <v/>
      </c>
      <c r="M318">
        <f t="array" ref="M318">SUM(IF(搜索词报告!$H$2:$H$22222=L318,IF(搜索词报告!$A$2:$A$22222&gt;=$L$2,IF(搜索词报告!$A$2:$A$22222&lt;=$L$4,搜索词报告!$I$2:$I$22222,0),0),0))</f>
        <v>0</v>
      </c>
      <c r="N318">
        <f t="array" ref="N318">SUM(IF(搜索词报告!$H$2:$H$22222=L318,IF(搜索词报告!$A$2:$A$22222&gt;=$L$2,IF(搜索词报告!$A$2:$A$22222&lt;=$L$4,搜索词报告!$J$2:$J$22222,0),0),0))</f>
        <v>0</v>
      </c>
      <c r="O318" s="2">
        <f t="shared" si="36"/>
        <v>0</v>
      </c>
      <c r="P318" s="2">
        <f t="shared" si="37"/>
        <v>0</v>
      </c>
      <c r="Q318">
        <f t="array" ref="Q318">SUM(IF(搜索词报告!$H$2:$H$22222=L318,IF(搜索词报告!$A$2:$A$22222&gt;=$L$2,IF(搜索词报告!$A$2:$A$22222&lt;=$L$4,搜索词报告!$Q$2:$Q$22222,0),0),0))</f>
        <v>0</v>
      </c>
      <c r="R318">
        <f t="array" ref="R318">SUM(IF(搜索词报告!$H$2:$H$22222=L318,IF(搜索词报告!$A$2:$A$22222&gt;=$L$2,IF(搜索词报告!$A$2:$A$22222&lt;=$L$4,搜索词报告!$N$2:$N$22222,0),0),0))</f>
        <v>0</v>
      </c>
      <c r="S318">
        <f t="array" ref="S318">SUM(IF(搜索词报告!$H$2:$H$22222=L318,IF(搜索词报告!$A$2:$A$22222&gt;=$L$2,IF(搜索词报告!$A$2:$A$22222&lt;=$L$4,搜索词报告!$M$2:$M$22222,0),0),0))</f>
        <v>0</v>
      </c>
      <c r="T318" s="2" t="str">
        <f t="shared" si="38"/>
        <v/>
      </c>
      <c r="U318" t="str">
        <f t="shared" si="39"/>
        <v>点击次数少于10次没有参考性</v>
      </c>
      <c r="V318" s="4" t="str">
        <f>IFERROR(INDEX(搜索词报告!$D$2:$D$22222,MATCH(关键词词频统计!L318,搜索词报告!$H$2:$H$22222,0)),"")</f>
        <v/>
      </c>
    </row>
    <row r="319" spans="2:22" x14ac:dyDescent="0.15">
      <c r="B319">
        <f t="array" ref="B319">SUM(IF(搜索词报告!$H$2:$H$22222=A319,IF(搜索词报告!$A$2:$A$22222&gt;=关键词词频统计!$A$2,IF(搜索词报告!$A$2:$A$22222&lt;=关键词词频统计!$A$4,搜索词报告!$I$2:$I$22222,0),0),0))</f>
        <v>0</v>
      </c>
      <c r="C319">
        <f t="array" ref="C319">SUM(IF(搜索词报告!$H$2:$H$22222=A319,IF(搜索词报告!$A$2:$A$22222&gt;=关键词词频统计!$A$2,IF(搜索词报告!$A$2:$A$22222&lt;=关键词词频统计!$A$4,搜索词报告!$J$2:$J$22222,0),0),0))</f>
        <v>0</v>
      </c>
      <c r="D319" s="2">
        <f t="shared" si="32"/>
        <v>0</v>
      </c>
      <c r="E319" s="2">
        <f t="shared" si="33"/>
        <v>0</v>
      </c>
      <c r="F319">
        <f t="array" ref="F319">SUM(IF(搜索词报告!$H$2:$H$22222=A319,IF(搜索词报告!$A$2:$A$22222&gt;=关键词词频统计!$A$2,IF(搜索词报告!$A$2:$A$22222&lt;=关键词词频统计!$A$4,搜索词报告!$Q$2:$Q$22222,0),0),0))</f>
        <v>0</v>
      </c>
      <c r="G319">
        <f t="array" ref="G319">SUM(IF(搜索词报告!$H$2:$H$22222=A319,IF(搜索词报告!$A$2:$A$22222&gt;=关键词词频统计!$A$2,IF(搜索词报告!$A$2:$A$22222&lt;=关键词词频统计!$A$4,搜索词报告!$N$2:$N$22222,0),0),0))</f>
        <v>0</v>
      </c>
      <c r="H319">
        <f t="array" ref="H319">SUM(IF(搜索词报告!$H$2:$H$22222=A319,IF(搜索词报告!$A$2:$A$22222&gt;=关键词词频统计!$A$2,IF(搜索词报告!$A$2:$A$22222&lt;=关键词词频统计!$A$4,搜索词报告!$M$2:$M$22222,0),0),0))</f>
        <v>0</v>
      </c>
      <c r="I319" s="2" t="str">
        <f t="shared" si="34"/>
        <v/>
      </c>
      <c r="J319" t="str">
        <f t="shared" si="35"/>
        <v>点击次数少于10次没有参考性</v>
      </c>
      <c r="K319" s="4" t="str">
        <f>IFERROR(INDEX(搜索词报告!$D$2:$D$22222,MATCH(关键词词频统计!A319,搜索词报告!$H$2:$H$22222,0)),"")</f>
        <v/>
      </c>
      <c r="M319">
        <f t="array" ref="M319">SUM(IF(搜索词报告!$H$2:$H$22222=L319,IF(搜索词报告!$A$2:$A$22222&gt;=$L$2,IF(搜索词报告!$A$2:$A$22222&lt;=$L$4,搜索词报告!$I$2:$I$22222,0),0),0))</f>
        <v>0</v>
      </c>
      <c r="N319">
        <f t="array" ref="N319">SUM(IF(搜索词报告!$H$2:$H$22222=L319,IF(搜索词报告!$A$2:$A$22222&gt;=$L$2,IF(搜索词报告!$A$2:$A$22222&lt;=$L$4,搜索词报告!$J$2:$J$22222,0),0),0))</f>
        <v>0</v>
      </c>
      <c r="O319" s="2">
        <f t="shared" si="36"/>
        <v>0</v>
      </c>
      <c r="P319" s="2">
        <f t="shared" si="37"/>
        <v>0</v>
      </c>
      <c r="Q319">
        <f t="array" ref="Q319">SUM(IF(搜索词报告!$H$2:$H$22222=L319,IF(搜索词报告!$A$2:$A$22222&gt;=$L$2,IF(搜索词报告!$A$2:$A$22222&lt;=$L$4,搜索词报告!$Q$2:$Q$22222,0),0),0))</f>
        <v>0</v>
      </c>
      <c r="R319">
        <f t="array" ref="R319">SUM(IF(搜索词报告!$H$2:$H$22222=L319,IF(搜索词报告!$A$2:$A$22222&gt;=$L$2,IF(搜索词报告!$A$2:$A$22222&lt;=$L$4,搜索词报告!$N$2:$N$22222,0),0),0))</f>
        <v>0</v>
      </c>
      <c r="S319">
        <f t="array" ref="S319">SUM(IF(搜索词报告!$H$2:$H$22222=L319,IF(搜索词报告!$A$2:$A$22222&gt;=$L$2,IF(搜索词报告!$A$2:$A$22222&lt;=$L$4,搜索词报告!$M$2:$M$22222,0),0),0))</f>
        <v>0</v>
      </c>
      <c r="T319" s="2" t="str">
        <f t="shared" si="38"/>
        <v/>
      </c>
      <c r="U319" t="str">
        <f t="shared" si="39"/>
        <v>点击次数少于10次没有参考性</v>
      </c>
      <c r="V319" s="4" t="str">
        <f>IFERROR(INDEX(搜索词报告!$D$2:$D$22222,MATCH(关键词词频统计!L319,搜索词报告!$H$2:$H$22222,0)),"")</f>
        <v/>
      </c>
    </row>
    <row r="320" spans="2:22" x14ac:dyDescent="0.15">
      <c r="B320">
        <f t="array" ref="B320">SUM(IF(搜索词报告!$H$2:$H$22222=A320,IF(搜索词报告!$A$2:$A$22222&gt;=关键词词频统计!$A$2,IF(搜索词报告!$A$2:$A$22222&lt;=关键词词频统计!$A$4,搜索词报告!$I$2:$I$22222,0),0),0))</f>
        <v>0</v>
      </c>
      <c r="C320">
        <f t="array" ref="C320">SUM(IF(搜索词报告!$H$2:$H$22222=A320,IF(搜索词报告!$A$2:$A$22222&gt;=关键词词频统计!$A$2,IF(搜索词报告!$A$2:$A$22222&lt;=关键词词频统计!$A$4,搜索词报告!$J$2:$J$22222,0),0),0))</f>
        <v>0</v>
      </c>
      <c r="D320" s="2">
        <f t="shared" si="32"/>
        <v>0</v>
      </c>
      <c r="E320" s="2">
        <f t="shared" si="33"/>
        <v>0</v>
      </c>
      <c r="F320">
        <f t="array" ref="F320">SUM(IF(搜索词报告!$H$2:$H$22222=A320,IF(搜索词报告!$A$2:$A$22222&gt;=关键词词频统计!$A$2,IF(搜索词报告!$A$2:$A$22222&lt;=关键词词频统计!$A$4,搜索词报告!$Q$2:$Q$22222,0),0),0))</f>
        <v>0</v>
      </c>
      <c r="G320">
        <f t="array" ref="G320">SUM(IF(搜索词报告!$H$2:$H$22222=A320,IF(搜索词报告!$A$2:$A$22222&gt;=关键词词频统计!$A$2,IF(搜索词报告!$A$2:$A$22222&lt;=关键词词频统计!$A$4,搜索词报告!$N$2:$N$22222,0),0),0))</f>
        <v>0</v>
      </c>
      <c r="H320">
        <f t="array" ref="H320">SUM(IF(搜索词报告!$H$2:$H$22222=A320,IF(搜索词报告!$A$2:$A$22222&gt;=关键词词频统计!$A$2,IF(搜索词报告!$A$2:$A$22222&lt;=关键词词频统计!$A$4,搜索词报告!$M$2:$M$22222,0),0),0))</f>
        <v>0</v>
      </c>
      <c r="I320" s="2" t="str">
        <f t="shared" si="34"/>
        <v/>
      </c>
      <c r="J320" t="str">
        <f t="shared" si="35"/>
        <v>点击次数少于10次没有参考性</v>
      </c>
      <c r="K320" s="4" t="str">
        <f>IFERROR(INDEX(搜索词报告!$D$2:$D$22222,MATCH(关键词词频统计!A320,搜索词报告!$H$2:$H$22222,0)),"")</f>
        <v/>
      </c>
      <c r="M320">
        <f t="array" ref="M320">SUM(IF(搜索词报告!$H$2:$H$22222=L320,IF(搜索词报告!$A$2:$A$22222&gt;=$L$2,IF(搜索词报告!$A$2:$A$22222&lt;=$L$4,搜索词报告!$I$2:$I$22222,0),0),0))</f>
        <v>0</v>
      </c>
      <c r="N320">
        <f t="array" ref="N320">SUM(IF(搜索词报告!$H$2:$H$22222=L320,IF(搜索词报告!$A$2:$A$22222&gt;=$L$2,IF(搜索词报告!$A$2:$A$22222&lt;=$L$4,搜索词报告!$J$2:$J$22222,0),0),0))</f>
        <v>0</v>
      </c>
      <c r="O320" s="2">
        <f t="shared" si="36"/>
        <v>0</v>
      </c>
      <c r="P320" s="2">
        <f t="shared" si="37"/>
        <v>0</v>
      </c>
      <c r="Q320">
        <f t="array" ref="Q320">SUM(IF(搜索词报告!$H$2:$H$22222=L320,IF(搜索词报告!$A$2:$A$22222&gt;=$L$2,IF(搜索词报告!$A$2:$A$22222&lt;=$L$4,搜索词报告!$Q$2:$Q$22222,0),0),0))</f>
        <v>0</v>
      </c>
      <c r="R320">
        <f t="array" ref="R320">SUM(IF(搜索词报告!$H$2:$H$22222=L320,IF(搜索词报告!$A$2:$A$22222&gt;=$L$2,IF(搜索词报告!$A$2:$A$22222&lt;=$L$4,搜索词报告!$N$2:$N$22222,0),0),0))</f>
        <v>0</v>
      </c>
      <c r="S320">
        <f t="array" ref="S320">SUM(IF(搜索词报告!$H$2:$H$22222=L320,IF(搜索词报告!$A$2:$A$22222&gt;=$L$2,IF(搜索词报告!$A$2:$A$22222&lt;=$L$4,搜索词报告!$M$2:$M$22222,0),0),0))</f>
        <v>0</v>
      </c>
      <c r="T320" s="2" t="str">
        <f t="shared" si="38"/>
        <v/>
      </c>
      <c r="U320" t="str">
        <f t="shared" si="39"/>
        <v>点击次数少于10次没有参考性</v>
      </c>
      <c r="V320" s="4" t="str">
        <f>IFERROR(INDEX(搜索词报告!$D$2:$D$22222,MATCH(关键词词频统计!L320,搜索词报告!$H$2:$H$22222,0)),"")</f>
        <v/>
      </c>
    </row>
    <row r="321" spans="2:22" x14ac:dyDescent="0.15">
      <c r="B321">
        <f t="array" ref="B321">SUM(IF(搜索词报告!$H$2:$H$22222=A321,IF(搜索词报告!$A$2:$A$22222&gt;=关键词词频统计!$A$2,IF(搜索词报告!$A$2:$A$22222&lt;=关键词词频统计!$A$4,搜索词报告!$I$2:$I$22222,0),0),0))</f>
        <v>0</v>
      </c>
      <c r="C321">
        <f t="array" ref="C321">SUM(IF(搜索词报告!$H$2:$H$22222=A321,IF(搜索词报告!$A$2:$A$22222&gt;=关键词词频统计!$A$2,IF(搜索词报告!$A$2:$A$22222&lt;=关键词词频统计!$A$4,搜索词报告!$J$2:$J$22222,0),0),0))</f>
        <v>0</v>
      </c>
      <c r="D321" s="2">
        <f t="shared" si="32"/>
        <v>0</v>
      </c>
      <c r="E321" s="2">
        <f t="shared" si="33"/>
        <v>0</v>
      </c>
      <c r="F321">
        <f t="array" ref="F321">SUM(IF(搜索词报告!$H$2:$H$22222=A321,IF(搜索词报告!$A$2:$A$22222&gt;=关键词词频统计!$A$2,IF(搜索词报告!$A$2:$A$22222&lt;=关键词词频统计!$A$4,搜索词报告!$Q$2:$Q$22222,0),0),0))</f>
        <v>0</v>
      </c>
      <c r="G321">
        <f t="array" ref="G321">SUM(IF(搜索词报告!$H$2:$H$22222=A321,IF(搜索词报告!$A$2:$A$22222&gt;=关键词词频统计!$A$2,IF(搜索词报告!$A$2:$A$22222&lt;=关键词词频统计!$A$4,搜索词报告!$N$2:$N$22222,0),0),0))</f>
        <v>0</v>
      </c>
      <c r="H321">
        <f t="array" ref="H321">SUM(IF(搜索词报告!$H$2:$H$22222=A321,IF(搜索词报告!$A$2:$A$22222&gt;=关键词词频统计!$A$2,IF(搜索词报告!$A$2:$A$22222&lt;=关键词词频统计!$A$4,搜索词报告!$M$2:$M$22222,0),0),0))</f>
        <v>0</v>
      </c>
      <c r="I321" s="2" t="str">
        <f t="shared" si="34"/>
        <v/>
      </c>
      <c r="J321" t="str">
        <f t="shared" si="35"/>
        <v>点击次数少于10次没有参考性</v>
      </c>
      <c r="K321" s="4" t="str">
        <f>IFERROR(INDEX(搜索词报告!$D$2:$D$22222,MATCH(关键词词频统计!A321,搜索词报告!$H$2:$H$22222,0)),"")</f>
        <v/>
      </c>
      <c r="M321">
        <f t="array" ref="M321">SUM(IF(搜索词报告!$H$2:$H$22222=L321,IF(搜索词报告!$A$2:$A$22222&gt;=$L$2,IF(搜索词报告!$A$2:$A$22222&lt;=$L$4,搜索词报告!$I$2:$I$22222,0),0),0))</f>
        <v>0</v>
      </c>
      <c r="N321">
        <f t="array" ref="N321">SUM(IF(搜索词报告!$H$2:$H$22222=L321,IF(搜索词报告!$A$2:$A$22222&gt;=$L$2,IF(搜索词报告!$A$2:$A$22222&lt;=$L$4,搜索词报告!$J$2:$J$22222,0),0),0))</f>
        <v>0</v>
      </c>
      <c r="O321" s="2">
        <f t="shared" si="36"/>
        <v>0</v>
      </c>
      <c r="P321" s="2">
        <f t="shared" si="37"/>
        <v>0</v>
      </c>
      <c r="Q321">
        <f t="array" ref="Q321">SUM(IF(搜索词报告!$H$2:$H$22222=L321,IF(搜索词报告!$A$2:$A$22222&gt;=$L$2,IF(搜索词报告!$A$2:$A$22222&lt;=$L$4,搜索词报告!$Q$2:$Q$22222,0),0),0))</f>
        <v>0</v>
      </c>
      <c r="R321">
        <f t="array" ref="R321">SUM(IF(搜索词报告!$H$2:$H$22222=L321,IF(搜索词报告!$A$2:$A$22222&gt;=$L$2,IF(搜索词报告!$A$2:$A$22222&lt;=$L$4,搜索词报告!$N$2:$N$22222,0),0),0))</f>
        <v>0</v>
      </c>
      <c r="S321">
        <f t="array" ref="S321">SUM(IF(搜索词报告!$H$2:$H$22222=L321,IF(搜索词报告!$A$2:$A$22222&gt;=$L$2,IF(搜索词报告!$A$2:$A$22222&lt;=$L$4,搜索词报告!$M$2:$M$22222,0),0),0))</f>
        <v>0</v>
      </c>
      <c r="T321" s="2" t="str">
        <f t="shared" si="38"/>
        <v/>
      </c>
      <c r="U321" t="str">
        <f t="shared" si="39"/>
        <v>点击次数少于10次没有参考性</v>
      </c>
      <c r="V321" s="4" t="str">
        <f>IFERROR(INDEX(搜索词报告!$D$2:$D$22222,MATCH(关键词词频统计!L321,搜索词报告!$H$2:$H$22222,0)),"")</f>
        <v/>
      </c>
    </row>
    <row r="322" spans="2:22" x14ac:dyDescent="0.15">
      <c r="B322">
        <f t="array" ref="B322">SUM(IF(搜索词报告!$H$2:$H$22222=A322,IF(搜索词报告!$A$2:$A$22222&gt;=关键词词频统计!$A$2,IF(搜索词报告!$A$2:$A$22222&lt;=关键词词频统计!$A$4,搜索词报告!$I$2:$I$22222,0),0),0))</f>
        <v>0</v>
      </c>
      <c r="C322">
        <f t="array" ref="C322">SUM(IF(搜索词报告!$H$2:$H$22222=A322,IF(搜索词报告!$A$2:$A$22222&gt;=关键词词频统计!$A$2,IF(搜索词报告!$A$2:$A$22222&lt;=关键词词频统计!$A$4,搜索词报告!$J$2:$J$22222,0),0),0))</f>
        <v>0</v>
      </c>
      <c r="D322" s="2">
        <f t="shared" si="32"/>
        <v>0</v>
      </c>
      <c r="E322" s="2">
        <f t="shared" si="33"/>
        <v>0</v>
      </c>
      <c r="F322">
        <f t="array" ref="F322">SUM(IF(搜索词报告!$H$2:$H$22222=A322,IF(搜索词报告!$A$2:$A$22222&gt;=关键词词频统计!$A$2,IF(搜索词报告!$A$2:$A$22222&lt;=关键词词频统计!$A$4,搜索词报告!$Q$2:$Q$22222,0),0),0))</f>
        <v>0</v>
      </c>
      <c r="G322">
        <f t="array" ref="G322">SUM(IF(搜索词报告!$H$2:$H$22222=A322,IF(搜索词报告!$A$2:$A$22222&gt;=关键词词频统计!$A$2,IF(搜索词报告!$A$2:$A$22222&lt;=关键词词频统计!$A$4,搜索词报告!$N$2:$N$22222,0),0),0))</f>
        <v>0</v>
      </c>
      <c r="H322">
        <f t="array" ref="H322">SUM(IF(搜索词报告!$H$2:$H$22222=A322,IF(搜索词报告!$A$2:$A$22222&gt;=关键词词频统计!$A$2,IF(搜索词报告!$A$2:$A$22222&lt;=关键词词频统计!$A$4,搜索词报告!$M$2:$M$22222,0),0),0))</f>
        <v>0</v>
      </c>
      <c r="I322" s="2" t="str">
        <f t="shared" si="34"/>
        <v/>
      </c>
      <c r="J322" t="str">
        <f t="shared" si="35"/>
        <v>点击次数少于10次没有参考性</v>
      </c>
      <c r="K322" s="4" t="str">
        <f>IFERROR(INDEX(搜索词报告!$D$2:$D$22222,MATCH(关键词词频统计!A322,搜索词报告!$H$2:$H$22222,0)),"")</f>
        <v/>
      </c>
      <c r="M322">
        <f t="array" ref="M322">SUM(IF(搜索词报告!$H$2:$H$22222=L322,IF(搜索词报告!$A$2:$A$22222&gt;=$L$2,IF(搜索词报告!$A$2:$A$22222&lt;=$L$4,搜索词报告!$I$2:$I$22222,0),0),0))</f>
        <v>0</v>
      </c>
      <c r="N322">
        <f t="array" ref="N322">SUM(IF(搜索词报告!$H$2:$H$22222=L322,IF(搜索词报告!$A$2:$A$22222&gt;=$L$2,IF(搜索词报告!$A$2:$A$22222&lt;=$L$4,搜索词报告!$J$2:$J$22222,0),0),0))</f>
        <v>0</v>
      </c>
      <c r="O322" s="2">
        <f t="shared" si="36"/>
        <v>0</v>
      </c>
      <c r="P322" s="2">
        <f t="shared" si="37"/>
        <v>0</v>
      </c>
      <c r="Q322">
        <f t="array" ref="Q322">SUM(IF(搜索词报告!$H$2:$H$22222=L322,IF(搜索词报告!$A$2:$A$22222&gt;=$L$2,IF(搜索词报告!$A$2:$A$22222&lt;=$L$4,搜索词报告!$Q$2:$Q$22222,0),0),0))</f>
        <v>0</v>
      </c>
      <c r="R322">
        <f t="array" ref="R322">SUM(IF(搜索词报告!$H$2:$H$22222=L322,IF(搜索词报告!$A$2:$A$22222&gt;=$L$2,IF(搜索词报告!$A$2:$A$22222&lt;=$L$4,搜索词报告!$N$2:$N$22222,0),0),0))</f>
        <v>0</v>
      </c>
      <c r="S322">
        <f t="array" ref="S322">SUM(IF(搜索词报告!$H$2:$H$22222=L322,IF(搜索词报告!$A$2:$A$22222&gt;=$L$2,IF(搜索词报告!$A$2:$A$22222&lt;=$L$4,搜索词报告!$M$2:$M$22222,0),0),0))</f>
        <v>0</v>
      </c>
      <c r="T322" s="2" t="str">
        <f t="shared" si="38"/>
        <v/>
      </c>
      <c r="U322" t="str">
        <f t="shared" si="39"/>
        <v>点击次数少于10次没有参考性</v>
      </c>
      <c r="V322" s="4" t="str">
        <f>IFERROR(INDEX(搜索词报告!$D$2:$D$22222,MATCH(关键词词频统计!L322,搜索词报告!$H$2:$H$22222,0)),"")</f>
        <v/>
      </c>
    </row>
    <row r="323" spans="2:22" x14ac:dyDescent="0.15">
      <c r="B323">
        <f t="array" ref="B323">SUM(IF(搜索词报告!$H$2:$H$22222=A323,IF(搜索词报告!$A$2:$A$22222&gt;=关键词词频统计!$A$2,IF(搜索词报告!$A$2:$A$22222&lt;=关键词词频统计!$A$4,搜索词报告!$I$2:$I$22222,0),0),0))</f>
        <v>0</v>
      </c>
      <c r="C323">
        <f t="array" ref="C323">SUM(IF(搜索词报告!$H$2:$H$22222=A323,IF(搜索词报告!$A$2:$A$22222&gt;=关键词词频统计!$A$2,IF(搜索词报告!$A$2:$A$22222&lt;=关键词词频统计!$A$4,搜索词报告!$J$2:$J$22222,0),0),0))</f>
        <v>0</v>
      </c>
      <c r="D323" s="2">
        <f t="shared" si="32"/>
        <v>0</v>
      </c>
      <c r="E323" s="2">
        <f t="shared" si="33"/>
        <v>0</v>
      </c>
      <c r="F323">
        <f t="array" ref="F323">SUM(IF(搜索词报告!$H$2:$H$22222=A323,IF(搜索词报告!$A$2:$A$22222&gt;=关键词词频统计!$A$2,IF(搜索词报告!$A$2:$A$22222&lt;=关键词词频统计!$A$4,搜索词报告!$Q$2:$Q$22222,0),0),0))</f>
        <v>0</v>
      </c>
      <c r="G323">
        <f t="array" ref="G323">SUM(IF(搜索词报告!$H$2:$H$22222=A323,IF(搜索词报告!$A$2:$A$22222&gt;=关键词词频统计!$A$2,IF(搜索词报告!$A$2:$A$22222&lt;=关键词词频统计!$A$4,搜索词报告!$N$2:$N$22222,0),0),0))</f>
        <v>0</v>
      </c>
      <c r="H323">
        <f t="array" ref="H323">SUM(IF(搜索词报告!$H$2:$H$22222=A323,IF(搜索词报告!$A$2:$A$22222&gt;=关键词词频统计!$A$2,IF(搜索词报告!$A$2:$A$22222&lt;=关键词词频统计!$A$4,搜索词报告!$M$2:$M$22222,0),0),0))</f>
        <v>0</v>
      </c>
      <c r="I323" s="2" t="str">
        <f t="shared" si="34"/>
        <v/>
      </c>
      <c r="J323" t="str">
        <f t="shared" si="35"/>
        <v>点击次数少于10次没有参考性</v>
      </c>
      <c r="K323" s="4" t="str">
        <f>IFERROR(INDEX(搜索词报告!$D$2:$D$22222,MATCH(关键词词频统计!A323,搜索词报告!$H$2:$H$22222,0)),"")</f>
        <v/>
      </c>
      <c r="M323">
        <f t="array" ref="M323">SUM(IF(搜索词报告!$H$2:$H$22222=L323,IF(搜索词报告!$A$2:$A$22222&gt;=$L$2,IF(搜索词报告!$A$2:$A$22222&lt;=$L$4,搜索词报告!$I$2:$I$22222,0),0),0))</f>
        <v>0</v>
      </c>
      <c r="N323">
        <f t="array" ref="N323">SUM(IF(搜索词报告!$H$2:$H$22222=L323,IF(搜索词报告!$A$2:$A$22222&gt;=$L$2,IF(搜索词报告!$A$2:$A$22222&lt;=$L$4,搜索词报告!$J$2:$J$22222,0),0),0))</f>
        <v>0</v>
      </c>
      <c r="O323" s="2">
        <f t="shared" si="36"/>
        <v>0</v>
      </c>
      <c r="P323" s="2">
        <f t="shared" si="37"/>
        <v>0</v>
      </c>
      <c r="Q323">
        <f t="array" ref="Q323">SUM(IF(搜索词报告!$H$2:$H$22222=L323,IF(搜索词报告!$A$2:$A$22222&gt;=$L$2,IF(搜索词报告!$A$2:$A$22222&lt;=$L$4,搜索词报告!$Q$2:$Q$22222,0),0),0))</f>
        <v>0</v>
      </c>
      <c r="R323">
        <f t="array" ref="R323">SUM(IF(搜索词报告!$H$2:$H$22222=L323,IF(搜索词报告!$A$2:$A$22222&gt;=$L$2,IF(搜索词报告!$A$2:$A$22222&lt;=$L$4,搜索词报告!$N$2:$N$22222,0),0),0))</f>
        <v>0</v>
      </c>
      <c r="S323">
        <f t="array" ref="S323">SUM(IF(搜索词报告!$H$2:$H$22222=L323,IF(搜索词报告!$A$2:$A$22222&gt;=$L$2,IF(搜索词报告!$A$2:$A$22222&lt;=$L$4,搜索词报告!$M$2:$M$22222,0),0),0))</f>
        <v>0</v>
      </c>
      <c r="T323" s="2" t="str">
        <f t="shared" si="38"/>
        <v/>
      </c>
      <c r="U323" t="str">
        <f t="shared" si="39"/>
        <v>点击次数少于10次没有参考性</v>
      </c>
      <c r="V323" s="4" t="str">
        <f>IFERROR(INDEX(搜索词报告!$D$2:$D$22222,MATCH(关键词词频统计!L323,搜索词报告!$H$2:$H$22222,0)),"")</f>
        <v/>
      </c>
    </row>
    <row r="324" spans="2:22" x14ac:dyDescent="0.15">
      <c r="B324">
        <f t="array" ref="B324">SUM(IF(搜索词报告!$H$2:$H$22222=A324,IF(搜索词报告!$A$2:$A$22222&gt;=关键词词频统计!$A$2,IF(搜索词报告!$A$2:$A$22222&lt;=关键词词频统计!$A$4,搜索词报告!$I$2:$I$22222,0),0),0))</f>
        <v>0</v>
      </c>
      <c r="C324">
        <f t="array" ref="C324">SUM(IF(搜索词报告!$H$2:$H$22222=A324,IF(搜索词报告!$A$2:$A$22222&gt;=关键词词频统计!$A$2,IF(搜索词报告!$A$2:$A$22222&lt;=关键词词频统计!$A$4,搜索词报告!$J$2:$J$22222,0),0),0))</f>
        <v>0</v>
      </c>
      <c r="D324" s="2">
        <f t="shared" si="32"/>
        <v>0</v>
      </c>
      <c r="E324" s="2">
        <f t="shared" si="33"/>
        <v>0</v>
      </c>
      <c r="F324">
        <f t="array" ref="F324">SUM(IF(搜索词报告!$H$2:$H$22222=A324,IF(搜索词报告!$A$2:$A$22222&gt;=关键词词频统计!$A$2,IF(搜索词报告!$A$2:$A$22222&lt;=关键词词频统计!$A$4,搜索词报告!$Q$2:$Q$22222,0),0),0))</f>
        <v>0</v>
      </c>
      <c r="G324">
        <f t="array" ref="G324">SUM(IF(搜索词报告!$H$2:$H$22222=A324,IF(搜索词报告!$A$2:$A$22222&gt;=关键词词频统计!$A$2,IF(搜索词报告!$A$2:$A$22222&lt;=关键词词频统计!$A$4,搜索词报告!$N$2:$N$22222,0),0),0))</f>
        <v>0</v>
      </c>
      <c r="H324">
        <f t="array" ref="H324">SUM(IF(搜索词报告!$H$2:$H$22222=A324,IF(搜索词报告!$A$2:$A$22222&gt;=关键词词频统计!$A$2,IF(搜索词报告!$A$2:$A$22222&lt;=关键词词频统计!$A$4,搜索词报告!$M$2:$M$22222,0),0),0))</f>
        <v>0</v>
      </c>
      <c r="I324" s="2" t="str">
        <f t="shared" si="34"/>
        <v/>
      </c>
      <c r="J324" t="str">
        <f t="shared" si="35"/>
        <v>点击次数少于10次没有参考性</v>
      </c>
      <c r="K324" s="4" t="str">
        <f>IFERROR(INDEX(搜索词报告!$D$2:$D$22222,MATCH(关键词词频统计!A324,搜索词报告!$H$2:$H$22222,0)),"")</f>
        <v/>
      </c>
      <c r="M324">
        <f t="array" ref="M324">SUM(IF(搜索词报告!$H$2:$H$22222=L324,IF(搜索词报告!$A$2:$A$22222&gt;=$L$2,IF(搜索词报告!$A$2:$A$22222&lt;=$L$4,搜索词报告!$I$2:$I$22222,0),0),0))</f>
        <v>0</v>
      </c>
      <c r="N324">
        <f t="array" ref="N324">SUM(IF(搜索词报告!$H$2:$H$22222=L324,IF(搜索词报告!$A$2:$A$22222&gt;=$L$2,IF(搜索词报告!$A$2:$A$22222&lt;=$L$4,搜索词报告!$J$2:$J$22222,0),0),0))</f>
        <v>0</v>
      </c>
      <c r="O324" s="2">
        <f t="shared" si="36"/>
        <v>0</v>
      </c>
      <c r="P324" s="2">
        <f t="shared" si="37"/>
        <v>0</v>
      </c>
      <c r="Q324">
        <f t="array" ref="Q324">SUM(IF(搜索词报告!$H$2:$H$22222=L324,IF(搜索词报告!$A$2:$A$22222&gt;=$L$2,IF(搜索词报告!$A$2:$A$22222&lt;=$L$4,搜索词报告!$Q$2:$Q$22222,0),0),0))</f>
        <v>0</v>
      </c>
      <c r="R324">
        <f t="array" ref="R324">SUM(IF(搜索词报告!$H$2:$H$22222=L324,IF(搜索词报告!$A$2:$A$22222&gt;=$L$2,IF(搜索词报告!$A$2:$A$22222&lt;=$L$4,搜索词报告!$N$2:$N$22222,0),0),0))</f>
        <v>0</v>
      </c>
      <c r="S324">
        <f t="array" ref="S324">SUM(IF(搜索词报告!$H$2:$H$22222=L324,IF(搜索词报告!$A$2:$A$22222&gt;=$L$2,IF(搜索词报告!$A$2:$A$22222&lt;=$L$4,搜索词报告!$M$2:$M$22222,0),0),0))</f>
        <v>0</v>
      </c>
      <c r="T324" s="2" t="str">
        <f t="shared" si="38"/>
        <v/>
      </c>
      <c r="U324" t="str">
        <f t="shared" si="39"/>
        <v>点击次数少于10次没有参考性</v>
      </c>
      <c r="V324" s="4" t="str">
        <f>IFERROR(INDEX(搜索词报告!$D$2:$D$22222,MATCH(关键词词频统计!L324,搜索词报告!$H$2:$H$22222,0)),"")</f>
        <v/>
      </c>
    </row>
    <row r="325" spans="2:22" x14ac:dyDescent="0.15">
      <c r="B325">
        <f t="array" ref="B325">SUM(IF(搜索词报告!$H$2:$H$22222=A325,IF(搜索词报告!$A$2:$A$22222&gt;=关键词词频统计!$A$2,IF(搜索词报告!$A$2:$A$22222&lt;=关键词词频统计!$A$4,搜索词报告!$I$2:$I$22222,0),0),0))</f>
        <v>0</v>
      </c>
      <c r="C325">
        <f t="array" ref="C325">SUM(IF(搜索词报告!$H$2:$H$22222=A325,IF(搜索词报告!$A$2:$A$22222&gt;=关键词词频统计!$A$2,IF(搜索词报告!$A$2:$A$22222&lt;=关键词词频统计!$A$4,搜索词报告!$J$2:$J$22222,0),0),0))</f>
        <v>0</v>
      </c>
      <c r="D325" s="2">
        <f t="shared" si="32"/>
        <v>0</v>
      </c>
      <c r="E325" s="2">
        <f t="shared" si="33"/>
        <v>0</v>
      </c>
      <c r="F325">
        <f t="array" ref="F325">SUM(IF(搜索词报告!$H$2:$H$22222=A325,IF(搜索词报告!$A$2:$A$22222&gt;=关键词词频统计!$A$2,IF(搜索词报告!$A$2:$A$22222&lt;=关键词词频统计!$A$4,搜索词报告!$Q$2:$Q$22222,0),0),0))</f>
        <v>0</v>
      </c>
      <c r="G325">
        <f t="array" ref="G325">SUM(IF(搜索词报告!$H$2:$H$22222=A325,IF(搜索词报告!$A$2:$A$22222&gt;=关键词词频统计!$A$2,IF(搜索词报告!$A$2:$A$22222&lt;=关键词词频统计!$A$4,搜索词报告!$N$2:$N$22222,0),0),0))</f>
        <v>0</v>
      </c>
      <c r="H325">
        <f t="array" ref="H325">SUM(IF(搜索词报告!$H$2:$H$22222=A325,IF(搜索词报告!$A$2:$A$22222&gt;=关键词词频统计!$A$2,IF(搜索词报告!$A$2:$A$22222&lt;=关键词词频统计!$A$4,搜索词报告!$M$2:$M$22222,0),0),0))</f>
        <v>0</v>
      </c>
      <c r="I325" s="2" t="str">
        <f t="shared" si="34"/>
        <v/>
      </c>
      <c r="J325" t="str">
        <f t="shared" si="35"/>
        <v>点击次数少于10次没有参考性</v>
      </c>
      <c r="K325" s="4" t="str">
        <f>IFERROR(INDEX(搜索词报告!$D$2:$D$22222,MATCH(关键词词频统计!A325,搜索词报告!$H$2:$H$22222,0)),"")</f>
        <v/>
      </c>
      <c r="M325">
        <f t="array" ref="M325">SUM(IF(搜索词报告!$H$2:$H$22222=L325,IF(搜索词报告!$A$2:$A$22222&gt;=$L$2,IF(搜索词报告!$A$2:$A$22222&lt;=$L$4,搜索词报告!$I$2:$I$22222,0),0),0))</f>
        <v>0</v>
      </c>
      <c r="N325">
        <f t="array" ref="N325">SUM(IF(搜索词报告!$H$2:$H$22222=L325,IF(搜索词报告!$A$2:$A$22222&gt;=$L$2,IF(搜索词报告!$A$2:$A$22222&lt;=$L$4,搜索词报告!$J$2:$J$22222,0),0),0))</f>
        <v>0</v>
      </c>
      <c r="O325" s="2">
        <f t="shared" si="36"/>
        <v>0</v>
      </c>
      <c r="P325" s="2">
        <f t="shared" si="37"/>
        <v>0</v>
      </c>
      <c r="Q325">
        <f t="array" ref="Q325">SUM(IF(搜索词报告!$H$2:$H$22222=L325,IF(搜索词报告!$A$2:$A$22222&gt;=$L$2,IF(搜索词报告!$A$2:$A$22222&lt;=$L$4,搜索词报告!$Q$2:$Q$22222,0),0),0))</f>
        <v>0</v>
      </c>
      <c r="R325">
        <f t="array" ref="R325">SUM(IF(搜索词报告!$H$2:$H$22222=L325,IF(搜索词报告!$A$2:$A$22222&gt;=$L$2,IF(搜索词报告!$A$2:$A$22222&lt;=$L$4,搜索词报告!$N$2:$N$22222,0),0),0))</f>
        <v>0</v>
      </c>
      <c r="S325">
        <f t="array" ref="S325">SUM(IF(搜索词报告!$H$2:$H$22222=L325,IF(搜索词报告!$A$2:$A$22222&gt;=$L$2,IF(搜索词报告!$A$2:$A$22222&lt;=$L$4,搜索词报告!$M$2:$M$22222,0),0),0))</f>
        <v>0</v>
      </c>
      <c r="T325" s="2" t="str">
        <f t="shared" si="38"/>
        <v/>
      </c>
      <c r="U325" t="str">
        <f t="shared" si="39"/>
        <v>点击次数少于10次没有参考性</v>
      </c>
      <c r="V325" s="4" t="str">
        <f>IFERROR(INDEX(搜索词报告!$D$2:$D$22222,MATCH(关键词词频统计!L325,搜索词报告!$H$2:$H$22222,0)),"")</f>
        <v/>
      </c>
    </row>
    <row r="326" spans="2:22" x14ac:dyDescent="0.15">
      <c r="B326">
        <f t="array" ref="B326">SUM(IF(搜索词报告!$H$2:$H$22222=A326,IF(搜索词报告!$A$2:$A$22222&gt;=关键词词频统计!$A$2,IF(搜索词报告!$A$2:$A$22222&lt;=关键词词频统计!$A$4,搜索词报告!$I$2:$I$22222,0),0),0))</f>
        <v>0</v>
      </c>
      <c r="C326">
        <f t="array" ref="C326">SUM(IF(搜索词报告!$H$2:$H$22222=A326,IF(搜索词报告!$A$2:$A$22222&gt;=关键词词频统计!$A$2,IF(搜索词报告!$A$2:$A$22222&lt;=关键词词频统计!$A$4,搜索词报告!$J$2:$J$22222,0),0),0))</f>
        <v>0</v>
      </c>
      <c r="D326" s="2">
        <f t="shared" si="32"/>
        <v>0</v>
      </c>
      <c r="E326" s="2">
        <f t="shared" si="33"/>
        <v>0</v>
      </c>
      <c r="F326">
        <f t="array" ref="F326">SUM(IF(搜索词报告!$H$2:$H$22222=A326,IF(搜索词报告!$A$2:$A$22222&gt;=关键词词频统计!$A$2,IF(搜索词报告!$A$2:$A$22222&lt;=关键词词频统计!$A$4,搜索词报告!$Q$2:$Q$22222,0),0),0))</f>
        <v>0</v>
      </c>
      <c r="G326">
        <f t="array" ref="G326">SUM(IF(搜索词报告!$H$2:$H$22222=A326,IF(搜索词报告!$A$2:$A$22222&gt;=关键词词频统计!$A$2,IF(搜索词报告!$A$2:$A$22222&lt;=关键词词频统计!$A$4,搜索词报告!$N$2:$N$22222,0),0),0))</f>
        <v>0</v>
      </c>
      <c r="H326">
        <f t="array" ref="H326">SUM(IF(搜索词报告!$H$2:$H$22222=A326,IF(搜索词报告!$A$2:$A$22222&gt;=关键词词频统计!$A$2,IF(搜索词报告!$A$2:$A$22222&lt;=关键词词频统计!$A$4,搜索词报告!$M$2:$M$22222,0),0),0))</f>
        <v>0</v>
      </c>
      <c r="I326" s="2" t="str">
        <f t="shared" si="34"/>
        <v/>
      </c>
      <c r="J326" t="str">
        <f t="shared" si="35"/>
        <v>点击次数少于10次没有参考性</v>
      </c>
      <c r="K326" s="4" t="str">
        <f>IFERROR(INDEX(搜索词报告!$D$2:$D$22222,MATCH(关键词词频统计!A326,搜索词报告!$H$2:$H$22222,0)),"")</f>
        <v/>
      </c>
      <c r="M326">
        <f t="array" ref="M326">SUM(IF(搜索词报告!$H$2:$H$22222=L326,IF(搜索词报告!$A$2:$A$22222&gt;=$L$2,IF(搜索词报告!$A$2:$A$22222&lt;=$L$4,搜索词报告!$I$2:$I$22222,0),0),0))</f>
        <v>0</v>
      </c>
      <c r="N326">
        <f t="array" ref="N326">SUM(IF(搜索词报告!$H$2:$H$22222=L326,IF(搜索词报告!$A$2:$A$22222&gt;=$L$2,IF(搜索词报告!$A$2:$A$22222&lt;=$L$4,搜索词报告!$J$2:$J$22222,0),0),0))</f>
        <v>0</v>
      </c>
      <c r="O326" s="2">
        <f t="shared" si="36"/>
        <v>0</v>
      </c>
      <c r="P326" s="2">
        <f t="shared" si="37"/>
        <v>0</v>
      </c>
      <c r="Q326">
        <f t="array" ref="Q326">SUM(IF(搜索词报告!$H$2:$H$22222=L326,IF(搜索词报告!$A$2:$A$22222&gt;=$L$2,IF(搜索词报告!$A$2:$A$22222&lt;=$L$4,搜索词报告!$Q$2:$Q$22222,0),0),0))</f>
        <v>0</v>
      </c>
      <c r="R326">
        <f t="array" ref="R326">SUM(IF(搜索词报告!$H$2:$H$22222=L326,IF(搜索词报告!$A$2:$A$22222&gt;=$L$2,IF(搜索词报告!$A$2:$A$22222&lt;=$L$4,搜索词报告!$N$2:$N$22222,0),0),0))</f>
        <v>0</v>
      </c>
      <c r="S326">
        <f t="array" ref="S326">SUM(IF(搜索词报告!$H$2:$H$22222=L326,IF(搜索词报告!$A$2:$A$22222&gt;=$L$2,IF(搜索词报告!$A$2:$A$22222&lt;=$L$4,搜索词报告!$M$2:$M$22222,0),0),0))</f>
        <v>0</v>
      </c>
      <c r="T326" s="2" t="str">
        <f t="shared" si="38"/>
        <v/>
      </c>
      <c r="U326" t="str">
        <f t="shared" si="39"/>
        <v>点击次数少于10次没有参考性</v>
      </c>
      <c r="V326" s="4" t="str">
        <f>IFERROR(INDEX(搜索词报告!$D$2:$D$22222,MATCH(关键词词频统计!L326,搜索词报告!$H$2:$H$22222,0)),"")</f>
        <v/>
      </c>
    </row>
    <row r="327" spans="2:22" x14ac:dyDescent="0.15">
      <c r="B327">
        <f t="array" ref="B327">SUM(IF(搜索词报告!$H$2:$H$22222=A327,IF(搜索词报告!$A$2:$A$22222&gt;=关键词词频统计!$A$2,IF(搜索词报告!$A$2:$A$22222&lt;=关键词词频统计!$A$4,搜索词报告!$I$2:$I$22222,0),0),0))</f>
        <v>0</v>
      </c>
      <c r="C327">
        <f t="array" ref="C327">SUM(IF(搜索词报告!$H$2:$H$22222=A327,IF(搜索词报告!$A$2:$A$22222&gt;=关键词词频统计!$A$2,IF(搜索词报告!$A$2:$A$22222&lt;=关键词词频统计!$A$4,搜索词报告!$J$2:$J$22222,0),0),0))</f>
        <v>0</v>
      </c>
      <c r="D327" s="2">
        <f t="shared" ref="D327:D390" si="40">IFERROR(C327/B327,0)</f>
        <v>0</v>
      </c>
      <c r="E327" s="2">
        <f t="shared" ref="E327:E390" si="41">IFERROR(F327/C327,0)</f>
        <v>0</v>
      </c>
      <c r="F327">
        <f t="array" ref="F327">SUM(IF(搜索词报告!$H$2:$H$22222=A327,IF(搜索词报告!$A$2:$A$22222&gt;=关键词词频统计!$A$2,IF(搜索词报告!$A$2:$A$22222&lt;=关键词词频统计!$A$4,搜索词报告!$Q$2:$Q$22222,0),0),0))</f>
        <v>0</v>
      </c>
      <c r="G327">
        <f t="array" ref="G327">SUM(IF(搜索词报告!$H$2:$H$22222=A327,IF(搜索词报告!$A$2:$A$22222&gt;=关键词词频统计!$A$2,IF(搜索词报告!$A$2:$A$22222&lt;=关键词词频统计!$A$4,搜索词报告!$N$2:$N$22222,0),0),0))</f>
        <v>0</v>
      </c>
      <c r="H327">
        <f t="array" ref="H327">SUM(IF(搜索词报告!$H$2:$H$22222=A327,IF(搜索词报告!$A$2:$A$22222&gt;=关键词词频统计!$A$2,IF(搜索词报告!$A$2:$A$22222&lt;=关键词词频统计!$A$4,搜索词报告!$M$2:$M$22222,0),0),0))</f>
        <v>0</v>
      </c>
      <c r="I327" s="2" t="str">
        <f t="shared" ref="I327:I390" si="42">IF(IFERROR(H327/G327,0)=0,"",IFERROR(H327/G327,0))</f>
        <v/>
      </c>
      <c r="J327" t="str">
        <f t="shared" ref="J327:J390" si="43">IF(AND(C327&gt;=10,E327&lt;=0.05),"极差",IF(AND(C327&gt;=10,0.05&lt;E327,E327&lt;=0.1),"差",IF(AND(C327&gt;=10,0.1&lt;E327,E327&lt;=0.15),"良",IF(AND(C327&gt;=10,E327&gt;0.15),"优","点击次数少于10次没有参考性"))))</f>
        <v>点击次数少于10次没有参考性</v>
      </c>
      <c r="K327" s="4" t="str">
        <f>IFERROR(INDEX(搜索词报告!$D$2:$D$22222,MATCH(关键词词频统计!A327,搜索词报告!$H$2:$H$22222,0)),"")</f>
        <v/>
      </c>
      <c r="M327">
        <f t="array" ref="M327">SUM(IF(搜索词报告!$H$2:$H$22222=L327,IF(搜索词报告!$A$2:$A$22222&gt;=$L$2,IF(搜索词报告!$A$2:$A$22222&lt;=$L$4,搜索词报告!$I$2:$I$22222,0),0),0))</f>
        <v>0</v>
      </c>
      <c r="N327">
        <f t="array" ref="N327">SUM(IF(搜索词报告!$H$2:$H$22222=L327,IF(搜索词报告!$A$2:$A$22222&gt;=$L$2,IF(搜索词报告!$A$2:$A$22222&lt;=$L$4,搜索词报告!$J$2:$J$22222,0),0),0))</f>
        <v>0</v>
      </c>
      <c r="O327" s="2">
        <f t="shared" ref="O327:O389" si="44">IFERROR(N327/M327,0)</f>
        <v>0</v>
      </c>
      <c r="P327" s="2">
        <f t="shared" ref="P327:P389" si="45">IFERROR(Q327/N327,0)</f>
        <v>0</v>
      </c>
      <c r="Q327">
        <f t="array" ref="Q327">SUM(IF(搜索词报告!$H$2:$H$22222=L327,IF(搜索词报告!$A$2:$A$22222&gt;=$L$2,IF(搜索词报告!$A$2:$A$22222&lt;=$L$4,搜索词报告!$Q$2:$Q$22222,0),0),0))</f>
        <v>0</v>
      </c>
      <c r="R327">
        <f t="array" ref="R327">SUM(IF(搜索词报告!$H$2:$H$22222=L327,IF(搜索词报告!$A$2:$A$22222&gt;=$L$2,IF(搜索词报告!$A$2:$A$22222&lt;=$L$4,搜索词报告!$N$2:$N$22222,0),0),0))</f>
        <v>0</v>
      </c>
      <c r="S327">
        <f t="array" ref="S327">SUM(IF(搜索词报告!$H$2:$H$22222=L327,IF(搜索词报告!$A$2:$A$22222&gt;=$L$2,IF(搜索词报告!$A$2:$A$22222&lt;=$L$4,搜索词报告!$M$2:$M$22222,0),0),0))</f>
        <v>0</v>
      </c>
      <c r="T327" s="2" t="str">
        <f t="shared" ref="T327:T389" si="46">IF(IFERROR(S327/R327,0)=0,"",IFERROR(S327/R327,0))</f>
        <v/>
      </c>
      <c r="U327" t="str">
        <f t="shared" ref="U327:U389" si="47">IF(AND(N327&gt;=10,P327&lt;=0.05),"极差",IF(AND(N327&gt;=10,0.05&lt;P327,P327&lt;=0.1),"差",IF(AND(N327&gt;=10,0.1&lt;P327,P327&lt;=0.15),"良",IF(AND(N327&gt;=10,P327&gt;0.15),"优","点击次数少于10次没有参考性"))))</f>
        <v>点击次数少于10次没有参考性</v>
      </c>
      <c r="V327" s="4" t="str">
        <f>IFERROR(INDEX(搜索词报告!$D$2:$D$22222,MATCH(关键词词频统计!L327,搜索词报告!$H$2:$H$22222,0)),"")</f>
        <v/>
      </c>
    </row>
    <row r="328" spans="2:22" x14ac:dyDescent="0.15">
      <c r="B328">
        <f t="array" ref="B328">SUM(IF(搜索词报告!$H$2:$H$22222=A328,IF(搜索词报告!$A$2:$A$22222&gt;=关键词词频统计!$A$2,IF(搜索词报告!$A$2:$A$22222&lt;=关键词词频统计!$A$4,搜索词报告!$I$2:$I$22222,0),0),0))</f>
        <v>0</v>
      </c>
      <c r="C328">
        <f t="array" ref="C328">SUM(IF(搜索词报告!$H$2:$H$22222=A328,IF(搜索词报告!$A$2:$A$22222&gt;=关键词词频统计!$A$2,IF(搜索词报告!$A$2:$A$22222&lt;=关键词词频统计!$A$4,搜索词报告!$J$2:$J$22222,0),0),0))</f>
        <v>0</v>
      </c>
      <c r="D328" s="2">
        <f t="shared" si="40"/>
        <v>0</v>
      </c>
      <c r="E328" s="2">
        <f t="shared" si="41"/>
        <v>0</v>
      </c>
      <c r="F328">
        <f t="array" ref="F328">SUM(IF(搜索词报告!$H$2:$H$22222=A328,IF(搜索词报告!$A$2:$A$22222&gt;=关键词词频统计!$A$2,IF(搜索词报告!$A$2:$A$22222&lt;=关键词词频统计!$A$4,搜索词报告!$Q$2:$Q$22222,0),0),0))</f>
        <v>0</v>
      </c>
      <c r="G328">
        <f t="array" ref="G328">SUM(IF(搜索词报告!$H$2:$H$22222=A328,IF(搜索词报告!$A$2:$A$22222&gt;=关键词词频统计!$A$2,IF(搜索词报告!$A$2:$A$22222&lt;=关键词词频统计!$A$4,搜索词报告!$N$2:$N$22222,0),0),0))</f>
        <v>0</v>
      </c>
      <c r="H328">
        <f t="array" ref="H328">SUM(IF(搜索词报告!$H$2:$H$22222=A328,IF(搜索词报告!$A$2:$A$22222&gt;=关键词词频统计!$A$2,IF(搜索词报告!$A$2:$A$22222&lt;=关键词词频统计!$A$4,搜索词报告!$M$2:$M$22222,0),0),0))</f>
        <v>0</v>
      </c>
      <c r="I328" s="2" t="str">
        <f t="shared" si="42"/>
        <v/>
      </c>
      <c r="J328" t="str">
        <f t="shared" si="43"/>
        <v>点击次数少于10次没有参考性</v>
      </c>
      <c r="K328" s="4" t="str">
        <f>IFERROR(INDEX(搜索词报告!$D$2:$D$22222,MATCH(关键词词频统计!A328,搜索词报告!$H$2:$H$22222,0)),"")</f>
        <v/>
      </c>
      <c r="M328">
        <f t="array" ref="M328">SUM(IF(搜索词报告!$H$2:$H$22222=L328,IF(搜索词报告!$A$2:$A$22222&gt;=$L$2,IF(搜索词报告!$A$2:$A$22222&lt;=$L$4,搜索词报告!$I$2:$I$22222,0),0),0))</f>
        <v>0</v>
      </c>
      <c r="N328">
        <f t="array" ref="N328">SUM(IF(搜索词报告!$H$2:$H$22222=L328,IF(搜索词报告!$A$2:$A$22222&gt;=$L$2,IF(搜索词报告!$A$2:$A$22222&lt;=$L$4,搜索词报告!$J$2:$J$22222,0),0),0))</f>
        <v>0</v>
      </c>
      <c r="O328" s="2">
        <f t="shared" si="44"/>
        <v>0</v>
      </c>
      <c r="P328" s="2">
        <f t="shared" si="45"/>
        <v>0</v>
      </c>
      <c r="Q328">
        <f t="array" ref="Q328">SUM(IF(搜索词报告!$H$2:$H$22222=L328,IF(搜索词报告!$A$2:$A$22222&gt;=$L$2,IF(搜索词报告!$A$2:$A$22222&lt;=$L$4,搜索词报告!$Q$2:$Q$22222,0),0),0))</f>
        <v>0</v>
      </c>
      <c r="R328">
        <f t="array" ref="R328">SUM(IF(搜索词报告!$H$2:$H$22222=L328,IF(搜索词报告!$A$2:$A$22222&gt;=$L$2,IF(搜索词报告!$A$2:$A$22222&lt;=$L$4,搜索词报告!$N$2:$N$22222,0),0),0))</f>
        <v>0</v>
      </c>
      <c r="S328">
        <f t="array" ref="S328">SUM(IF(搜索词报告!$H$2:$H$22222=L328,IF(搜索词报告!$A$2:$A$22222&gt;=$L$2,IF(搜索词报告!$A$2:$A$22222&lt;=$L$4,搜索词报告!$M$2:$M$22222,0),0),0))</f>
        <v>0</v>
      </c>
      <c r="T328" s="2" t="str">
        <f t="shared" si="46"/>
        <v/>
      </c>
      <c r="U328" t="str">
        <f t="shared" si="47"/>
        <v>点击次数少于10次没有参考性</v>
      </c>
      <c r="V328" s="4" t="str">
        <f>IFERROR(INDEX(搜索词报告!$D$2:$D$22222,MATCH(关键词词频统计!L328,搜索词报告!$H$2:$H$22222,0)),"")</f>
        <v/>
      </c>
    </row>
    <row r="329" spans="2:22" x14ac:dyDescent="0.15">
      <c r="B329">
        <f t="array" ref="B329">SUM(IF(搜索词报告!$H$2:$H$22222=A329,IF(搜索词报告!$A$2:$A$22222&gt;=关键词词频统计!$A$2,IF(搜索词报告!$A$2:$A$22222&lt;=关键词词频统计!$A$4,搜索词报告!$I$2:$I$22222,0),0),0))</f>
        <v>0</v>
      </c>
      <c r="C329">
        <f t="array" ref="C329">SUM(IF(搜索词报告!$H$2:$H$22222=A329,IF(搜索词报告!$A$2:$A$22222&gt;=关键词词频统计!$A$2,IF(搜索词报告!$A$2:$A$22222&lt;=关键词词频统计!$A$4,搜索词报告!$J$2:$J$22222,0),0),0))</f>
        <v>0</v>
      </c>
      <c r="D329" s="2">
        <f t="shared" si="40"/>
        <v>0</v>
      </c>
      <c r="E329" s="2">
        <f t="shared" si="41"/>
        <v>0</v>
      </c>
      <c r="F329">
        <f t="array" ref="F329">SUM(IF(搜索词报告!$H$2:$H$22222=A329,IF(搜索词报告!$A$2:$A$22222&gt;=关键词词频统计!$A$2,IF(搜索词报告!$A$2:$A$22222&lt;=关键词词频统计!$A$4,搜索词报告!$Q$2:$Q$22222,0),0),0))</f>
        <v>0</v>
      </c>
      <c r="G329">
        <f t="array" ref="G329">SUM(IF(搜索词报告!$H$2:$H$22222=A329,IF(搜索词报告!$A$2:$A$22222&gt;=关键词词频统计!$A$2,IF(搜索词报告!$A$2:$A$22222&lt;=关键词词频统计!$A$4,搜索词报告!$N$2:$N$22222,0),0),0))</f>
        <v>0</v>
      </c>
      <c r="H329">
        <f t="array" ref="H329">SUM(IF(搜索词报告!$H$2:$H$22222=A329,IF(搜索词报告!$A$2:$A$22222&gt;=关键词词频统计!$A$2,IF(搜索词报告!$A$2:$A$22222&lt;=关键词词频统计!$A$4,搜索词报告!$M$2:$M$22222,0),0),0))</f>
        <v>0</v>
      </c>
      <c r="I329" s="2" t="str">
        <f t="shared" si="42"/>
        <v/>
      </c>
      <c r="J329" t="str">
        <f t="shared" si="43"/>
        <v>点击次数少于10次没有参考性</v>
      </c>
      <c r="K329" s="4" t="str">
        <f>IFERROR(INDEX(搜索词报告!$D$2:$D$22222,MATCH(关键词词频统计!A329,搜索词报告!$H$2:$H$22222,0)),"")</f>
        <v/>
      </c>
      <c r="M329">
        <f t="array" ref="M329">SUM(IF(搜索词报告!$H$2:$H$22222=L329,IF(搜索词报告!$A$2:$A$22222&gt;=$L$2,IF(搜索词报告!$A$2:$A$22222&lt;=$L$4,搜索词报告!$I$2:$I$22222,0),0),0))</f>
        <v>0</v>
      </c>
      <c r="N329">
        <f t="array" ref="N329">SUM(IF(搜索词报告!$H$2:$H$22222=L329,IF(搜索词报告!$A$2:$A$22222&gt;=$L$2,IF(搜索词报告!$A$2:$A$22222&lt;=$L$4,搜索词报告!$J$2:$J$22222,0),0),0))</f>
        <v>0</v>
      </c>
      <c r="O329" s="2">
        <f t="shared" si="44"/>
        <v>0</v>
      </c>
      <c r="P329" s="2">
        <f t="shared" si="45"/>
        <v>0</v>
      </c>
      <c r="Q329">
        <f t="array" ref="Q329">SUM(IF(搜索词报告!$H$2:$H$22222=L329,IF(搜索词报告!$A$2:$A$22222&gt;=$L$2,IF(搜索词报告!$A$2:$A$22222&lt;=$L$4,搜索词报告!$Q$2:$Q$22222,0),0),0))</f>
        <v>0</v>
      </c>
      <c r="R329">
        <f t="array" ref="R329">SUM(IF(搜索词报告!$H$2:$H$22222=L329,IF(搜索词报告!$A$2:$A$22222&gt;=$L$2,IF(搜索词报告!$A$2:$A$22222&lt;=$L$4,搜索词报告!$N$2:$N$22222,0),0),0))</f>
        <v>0</v>
      </c>
      <c r="S329">
        <f t="array" ref="S329">SUM(IF(搜索词报告!$H$2:$H$22222=L329,IF(搜索词报告!$A$2:$A$22222&gt;=$L$2,IF(搜索词报告!$A$2:$A$22222&lt;=$L$4,搜索词报告!$M$2:$M$22222,0),0),0))</f>
        <v>0</v>
      </c>
      <c r="T329" s="2" t="str">
        <f t="shared" si="46"/>
        <v/>
      </c>
      <c r="U329" t="str">
        <f t="shared" si="47"/>
        <v>点击次数少于10次没有参考性</v>
      </c>
      <c r="V329" s="4" t="str">
        <f>IFERROR(INDEX(搜索词报告!$D$2:$D$22222,MATCH(关键词词频统计!L329,搜索词报告!$H$2:$H$22222,0)),"")</f>
        <v/>
      </c>
    </row>
    <row r="330" spans="2:22" x14ac:dyDescent="0.15">
      <c r="B330">
        <f t="array" ref="B330">SUM(IF(搜索词报告!$H$2:$H$22222=A330,IF(搜索词报告!$A$2:$A$22222&gt;=关键词词频统计!$A$2,IF(搜索词报告!$A$2:$A$22222&lt;=关键词词频统计!$A$4,搜索词报告!$I$2:$I$22222,0),0),0))</f>
        <v>0</v>
      </c>
      <c r="C330">
        <f t="array" ref="C330">SUM(IF(搜索词报告!$H$2:$H$22222=A330,IF(搜索词报告!$A$2:$A$22222&gt;=关键词词频统计!$A$2,IF(搜索词报告!$A$2:$A$22222&lt;=关键词词频统计!$A$4,搜索词报告!$J$2:$J$22222,0),0),0))</f>
        <v>0</v>
      </c>
      <c r="D330" s="2">
        <f t="shared" si="40"/>
        <v>0</v>
      </c>
      <c r="E330" s="2">
        <f t="shared" si="41"/>
        <v>0</v>
      </c>
      <c r="F330">
        <f t="array" ref="F330">SUM(IF(搜索词报告!$H$2:$H$22222=A330,IF(搜索词报告!$A$2:$A$22222&gt;=关键词词频统计!$A$2,IF(搜索词报告!$A$2:$A$22222&lt;=关键词词频统计!$A$4,搜索词报告!$Q$2:$Q$22222,0),0),0))</f>
        <v>0</v>
      </c>
      <c r="G330">
        <f t="array" ref="G330">SUM(IF(搜索词报告!$H$2:$H$22222=A330,IF(搜索词报告!$A$2:$A$22222&gt;=关键词词频统计!$A$2,IF(搜索词报告!$A$2:$A$22222&lt;=关键词词频统计!$A$4,搜索词报告!$N$2:$N$22222,0),0),0))</f>
        <v>0</v>
      </c>
      <c r="H330">
        <f t="array" ref="H330">SUM(IF(搜索词报告!$H$2:$H$22222=A330,IF(搜索词报告!$A$2:$A$22222&gt;=关键词词频统计!$A$2,IF(搜索词报告!$A$2:$A$22222&lt;=关键词词频统计!$A$4,搜索词报告!$M$2:$M$22222,0),0),0))</f>
        <v>0</v>
      </c>
      <c r="I330" s="2" t="str">
        <f t="shared" si="42"/>
        <v/>
      </c>
      <c r="J330" t="str">
        <f t="shared" si="43"/>
        <v>点击次数少于10次没有参考性</v>
      </c>
      <c r="K330" s="4" t="str">
        <f>IFERROR(INDEX(搜索词报告!$D$2:$D$22222,MATCH(关键词词频统计!A330,搜索词报告!$H$2:$H$22222,0)),"")</f>
        <v/>
      </c>
      <c r="M330">
        <f t="array" ref="M330">SUM(IF(搜索词报告!$H$2:$H$22222=L330,IF(搜索词报告!$A$2:$A$22222&gt;=$L$2,IF(搜索词报告!$A$2:$A$22222&lt;=$L$4,搜索词报告!$I$2:$I$22222,0),0),0))</f>
        <v>0</v>
      </c>
      <c r="N330">
        <f t="array" ref="N330">SUM(IF(搜索词报告!$H$2:$H$22222=L330,IF(搜索词报告!$A$2:$A$22222&gt;=$L$2,IF(搜索词报告!$A$2:$A$22222&lt;=$L$4,搜索词报告!$J$2:$J$22222,0),0),0))</f>
        <v>0</v>
      </c>
      <c r="O330" s="2">
        <f t="shared" si="44"/>
        <v>0</v>
      </c>
      <c r="P330" s="2">
        <f t="shared" si="45"/>
        <v>0</v>
      </c>
      <c r="Q330">
        <f t="array" ref="Q330">SUM(IF(搜索词报告!$H$2:$H$22222=L330,IF(搜索词报告!$A$2:$A$22222&gt;=$L$2,IF(搜索词报告!$A$2:$A$22222&lt;=$L$4,搜索词报告!$Q$2:$Q$22222,0),0),0))</f>
        <v>0</v>
      </c>
      <c r="R330">
        <f t="array" ref="R330">SUM(IF(搜索词报告!$H$2:$H$22222=L330,IF(搜索词报告!$A$2:$A$22222&gt;=$L$2,IF(搜索词报告!$A$2:$A$22222&lt;=$L$4,搜索词报告!$N$2:$N$22222,0),0),0))</f>
        <v>0</v>
      </c>
      <c r="S330">
        <f t="array" ref="S330">SUM(IF(搜索词报告!$H$2:$H$22222=L330,IF(搜索词报告!$A$2:$A$22222&gt;=$L$2,IF(搜索词报告!$A$2:$A$22222&lt;=$L$4,搜索词报告!$M$2:$M$22222,0),0),0))</f>
        <v>0</v>
      </c>
      <c r="T330" s="2" t="str">
        <f t="shared" si="46"/>
        <v/>
      </c>
      <c r="U330" t="str">
        <f t="shared" si="47"/>
        <v>点击次数少于10次没有参考性</v>
      </c>
      <c r="V330" s="4" t="str">
        <f>IFERROR(INDEX(搜索词报告!$D$2:$D$22222,MATCH(关键词词频统计!L330,搜索词报告!$H$2:$H$22222,0)),"")</f>
        <v/>
      </c>
    </row>
    <row r="331" spans="2:22" x14ac:dyDescent="0.15">
      <c r="B331">
        <f t="array" ref="B331">SUM(IF(搜索词报告!$H$2:$H$22222=A331,IF(搜索词报告!$A$2:$A$22222&gt;=关键词词频统计!$A$2,IF(搜索词报告!$A$2:$A$22222&lt;=关键词词频统计!$A$4,搜索词报告!$I$2:$I$22222,0),0),0))</f>
        <v>0</v>
      </c>
      <c r="C331">
        <f t="array" ref="C331">SUM(IF(搜索词报告!$H$2:$H$22222=A331,IF(搜索词报告!$A$2:$A$22222&gt;=关键词词频统计!$A$2,IF(搜索词报告!$A$2:$A$22222&lt;=关键词词频统计!$A$4,搜索词报告!$J$2:$J$22222,0),0),0))</f>
        <v>0</v>
      </c>
      <c r="D331" s="2">
        <f t="shared" si="40"/>
        <v>0</v>
      </c>
      <c r="E331" s="2">
        <f t="shared" si="41"/>
        <v>0</v>
      </c>
      <c r="F331">
        <f t="array" ref="F331">SUM(IF(搜索词报告!$H$2:$H$22222=A331,IF(搜索词报告!$A$2:$A$22222&gt;=关键词词频统计!$A$2,IF(搜索词报告!$A$2:$A$22222&lt;=关键词词频统计!$A$4,搜索词报告!$Q$2:$Q$22222,0),0),0))</f>
        <v>0</v>
      </c>
      <c r="G331">
        <f t="array" ref="G331">SUM(IF(搜索词报告!$H$2:$H$22222=A331,IF(搜索词报告!$A$2:$A$22222&gt;=关键词词频统计!$A$2,IF(搜索词报告!$A$2:$A$22222&lt;=关键词词频统计!$A$4,搜索词报告!$N$2:$N$22222,0),0),0))</f>
        <v>0</v>
      </c>
      <c r="H331">
        <f t="array" ref="H331">SUM(IF(搜索词报告!$H$2:$H$22222=A331,IF(搜索词报告!$A$2:$A$22222&gt;=关键词词频统计!$A$2,IF(搜索词报告!$A$2:$A$22222&lt;=关键词词频统计!$A$4,搜索词报告!$M$2:$M$22222,0),0),0))</f>
        <v>0</v>
      </c>
      <c r="I331" s="2" t="str">
        <f t="shared" si="42"/>
        <v/>
      </c>
      <c r="J331" t="str">
        <f t="shared" si="43"/>
        <v>点击次数少于10次没有参考性</v>
      </c>
      <c r="K331" s="4" t="str">
        <f>IFERROR(INDEX(搜索词报告!$D$2:$D$22222,MATCH(关键词词频统计!A331,搜索词报告!$H$2:$H$22222,0)),"")</f>
        <v/>
      </c>
      <c r="M331">
        <f t="array" ref="M331">SUM(IF(搜索词报告!$H$2:$H$22222=L331,IF(搜索词报告!$A$2:$A$22222&gt;=$L$2,IF(搜索词报告!$A$2:$A$22222&lt;=$L$4,搜索词报告!$I$2:$I$22222,0),0),0))</f>
        <v>0</v>
      </c>
      <c r="N331">
        <f t="array" ref="N331">SUM(IF(搜索词报告!$H$2:$H$22222=L331,IF(搜索词报告!$A$2:$A$22222&gt;=$L$2,IF(搜索词报告!$A$2:$A$22222&lt;=$L$4,搜索词报告!$J$2:$J$22222,0),0),0))</f>
        <v>0</v>
      </c>
      <c r="O331" s="2">
        <f t="shared" si="44"/>
        <v>0</v>
      </c>
      <c r="P331" s="2">
        <f t="shared" si="45"/>
        <v>0</v>
      </c>
      <c r="Q331">
        <f t="array" ref="Q331">SUM(IF(搜索词报告!$H$2:$H$22222=L331,IF(搜索词报告!$A$2:$A$22222&gt;=$L$2,IF(搜索词报告!$A$2:$A$22222&lt;=$L$4,搜索词报告!$Q$2:$Q$22222,0),0),0))</f>
        <v>0</v>
      </c>
      <c r="R331">
        <f t="array" ref="R331">SUM(IF(搜索词报告!$H$2:$H$22222=L331,IF(搜索词报告!$A$2:$A$22222&gt;=$L$2,IF(搜索词报告!$A$2:$A$22222&lt;=$L$4,搜索词报告!$N$2:$N$22222,0),0),0))</f>
        <v>0</v>
      </c>
      <c r="S331">
        <f t="array" ref="S331">SUM(IF(搜索词报告!$H$2:$H$22222=L331,IF(搜索词报告!$A$2:$A$22222&gt;=$L$2,IF(搜索词报告!$A$2:$A$22222&lt;=$L$4,搜索词报告!$M$2:$M$22222,0),0),0))</f>
        <v>0</v>
      </c>
      <c r="T331" s="2" t="str">
        <f t="shared" si="46"/>
        <v/>
      </c>
      <c r="U331" t="str">
        <f t="shared" si="47"/>
        <v>点击次数少于10次没有参考性</v>
      </c>
      <c r="V331" s="4" t="str">
        <f>IFERROR(INDEX(搜索词报告!$D$2:$D$22222,MATCH(关键词词频统计!L331,搜索词报告!$H$2:$H$22222,0)),"")</f>
        <v/>
      </c>
    </row>
    <row r="332" spans="2:22" x14ac:dyDescent="0.15">
      <c r="B332">
        <f t="array" ref="B332">SUM(IF(搜索词报告!$H$2:$H$22222=A332,IF(搜索词报告!$A$2:$A$22222&gt;=关键词词频统计!$A$2,IF(搜索词报告!$A$2:$A$22222&lt;=关键词词频统计!$A$4,搜索词报告!$I$2:$I$22222,0),0),0))</f>
        <v>0</v>
      </c>
      <c r="C332">
        <f t="array" ref="C332">SUM(IF(搜索词报告!$H$2:$H$22222=A332,IF(搜索词报告!$A$2:$A$22222&gt;=关键词词频统计!$A$2,IF(搜索词报告!$A$2:$A$22222&lt;=关键词词频统计!$A$4,搜索词报告!$J$2:$J$22222,0),0),0))</f>
        <v>0</v>
      </c>
      <c r="D332" s="2">
        <f t="shared" si="40"/>
        <v>0</v>
      </c>
      <c r="E332" s="2">
        <f t="shared" si="41"/>
        <v>0</v>
      </c>
      <c r="F332">
        <f t="array" ref="F332">SUM(IF(搜索词报告!$H$2:$H$22222=A332,IF(搜索词报告!$A$2:$A$22222&gt;=关键词词频统计!$A$2,IF(搜索词报告!$A$2:$A$22222&lt;=关键词词频统计!$A$4,搜索词报告!$Q$2:$Q$22222,0),0),0))</f>
        <v>0</v>
      </c>
      <c r="G332">
        <f t="array" ref="G332">SUM(IF(搜索词报告!$H$2:$H$22222=A332,IF(搜索词报告!$A$2:$A$22222&gt;=关键词词频统计!$A$2,IF(搜索词报告!$A$2:$A$22222&lt;=关键词词频统计!$A$4,搜索词报告!$N$2:$N$22222,0),0),0))</f>
        <v>0</v>
      </c>
      <c r="H332">
        <f t="array" ref="H332">SUM(IF(搜索词报告!$H$2:$H$22222=A332,IF(搜索词报告!$A$2:$A$22222&gt;=关键词词频统计!$A$2,IF(搜索词报告!$A$2:$A$22222&lt;=关键词词频统计!$A$4,搜索词报告!$M$2:$M$22222,0),0),0))</f>
        <v>0</v>
      </c>
      <c r="I332" s="2" t="str">
        <f t="shared" si="42"/>
        <v/>
      </c>
      <c r="J332" t="str">
        <f t="shared" si="43"/>
        <v>点击次数少于10次没有参考性</v>
      </c>
      <c r="K332" s="4" t="str">
        <f>IFERROR(INDEX(搜索词报告!$D$2:$D$22222,MATCH(关键词词频统计!A332,搜索词报告!$H$2:$H$22222,0)),"")</f>
        <v/>
      </c>
      <c r="M332">
        <f t="array" ref="M332">SUM(IF(搜索词报告!$H$2:$H$22222=L332,IF(搜索词报告!$A$2:$A$22222&gt;=$L$2,IF(搜索词报告!$A$2:$A$22222&lt;=$L$4,搜索词报告!$I$2:$I$22222,0),0),0))</f>
        <v>0</v>
      </c>
      <c r="N332">
        <f t="array" ref="N332">SUM(IF(搜索词报告!$H$2:$H$22222=L332,IF(搜索词报告!$A$2:$A$22222&gt;=$L$2,IF(搜索词报告!$A$2:$A$22222&lt;=$L$4,搜索词报告!$J$2:$J$22222,0),0),0))</f>
        <v>0</v>
      </c>
      <c r="O332" s="2">
        <f t="shared" si="44"/>
        <v>0</v>
      </c>
      <c r="P332" s="2">
        <f t="shared" si="45"/>
        <v>0</v>
      </c>
      <c r="Q332">
        <f t="array" ref="Q332">SUM(IF(搜索词报告!$H$2:$H$22222=L332,IF(搜索词报告!$A$2:$A$22222&gt;=$L$2,IF(搜索词报告!$A$2:$A$22222&lt;=$L$4,搜索词报告!$Q$2:$Q$22222,0),0),0))</f>
        <v>0</v>
      </c>
      <c r="R332">
        <f t="array" ref="R332">SUM(IF(搜索词报告!$H$2:$H$22222=L332,IF(搜索词报告!$A$2:$A$22222&gt;=$L$2,IF(搜索词报告!$A$2:$A$22222&lt;=$L$4,搜索词报告!$N$2:$N$22222,0),0),0))</f>
        <v>0</v>
      </c>
      <c r="S332">
        <f t="array" ref="S332">SUM(IF(搜索词报告!$H$2:$H$22222=L332,IF(搜索词报告!$A$2:$A$22222&gt;=$L$2,IF(搜索词报告!$A$2:$A$22222&lt;=$L$4,搜索词报告!$M$2:$M$22222,0),0),0))</f>
        <v>0</v>
      </c>
      <c r="T332" s="2" t="str">
        <f t="shared" si="46"/>
        <v/>
      </c>
      <c r="U332" t="str">
        <f t="shared" si="47"/>
        <v>点击次数少于10次没有参考性</v>
      </c>
      <c r="V332" s="4" t="str">
        <f>IFERROR(INDEX(搜索词报告!$D$2:$D$22222,MATCH(关键词词频统计!L332,搜索词报告!$H$2:$H$22222,0)),"")</f>
        <v/>
      </c>
    </row>
    <row r="333" spans="2:22" x14ac:dyDescent="0.15">
      <c r="B333">
        <f t="array" ref="B333">SUM(IF(搜索词报告!$H$2:$H$22222=A333,IF(搜索词报告!$A$2:$A$22222&gt;=关键词词频统计!$A$2,IF(搜索词报告!$A$2:$A$22222&lt;=关键词词频统计!$A$4,搜索词报告!$I$2:$I$22222,0),0),0))</f>
        <v>0</v>
      </c>
      <c r="C333">
        <f t="array" ref="C333">SUM(IF(搜索词报告!$H$2:$H$22222=A333,IF(搜索词报告!$A$2:$A$22222&gt;=关键词词频统计!$A$2,IF(搜索词报告!$A$2:$A$22222&lt;=关键词词频统计!$A$4,搜索词报告!$J$2:$J$22222,0),0),0))</f>
        <v>0</v>
      </c>
      <c r="D333" s="2">
        <f t="shared" si="40"/>
        <v>0</v>
      </c>
      <c r="E333" s="2">
        <f t="shared" si="41"/>
        <v>0</v>
      </c>
      <c r="F333">
        <f t="array" ref="F333">SUM(IF(搜索词报告!$H$2:$H$22222=A333,IF(搜索词报告!$A$2:$A$22222&gt;=关键词词频统计!$A$2,IF(搜索词报告!$A$2:$A$22222&lt;=关键词词频统计!$A$4,搜索词报告!$Q$2:$Q$22222,0),0),0))</f>
        <v>0</v>
      </c>
      <c r="G333">
        <f t="array" ref="G333">SUM(IF(搜索词报告!$H$2:$H$22222=A333,IF(搜索词报告!$A$2:$A$22222&gt;=关键词词频统计!$A$2,IF(搜索词报告!$A$2:$A$22222&lt;=关键词词频统计!$A$4,搜索词报告!$N$2:$N$22222,0),0),0))</f>
        <v>0</v>
      </c>
      <c r="H333">
        <f t="array" ref="H333">SUM(IF(搜索词报告!$H$2:$H$22222=A333,IF(搜索词报告!$A$2:$A$22222&gt;=关键词词频统计!$A$2,IF(搜索词报告!$A$2:$A$22222&lt;=关键词词频统计!$A$4,搜索词报告!$M$2:$M$22222,0),0),0))</f>
        <v>0</v>
      </c>
      <c r="I333" s="2" t="str">
        <f t="shared" si="42"/>
        <v/>
      </c>
      <c r="J333" t="str">
        <f t="shared" si="43"/>
        <v>点击次数少于10次没有参考性</v>
      </c>
      <c r="K333" s="4" t="str">
        <f>IFERROR(INDEX(搜索词报告!$D$2:$D$22222,MATCH(关键词词频统计!A333,搜索词报告!$H$2:$H$22222,0)),"")</f>
        <v/>
      </c>
      <c r="M333">
        <f t="array" ref="M333">SUM(IF(搜索词报告!$H$2:$H$22222=L333,IF(搜索词报告!$A$2:$A$22222&gt;=$L$2,IF(搜索词报告!$A$2:$A$22222&lt;=$L$4,搜索词报告!$I$2:$I$22222,0),0),0))</f>
        <v>0</v>
      </c>
      <c r="N333">
        <f t="array" ref="N333">SUM(IF(搜索词报告!$H$2:$H$22222=L333,IF(搜索词报告!$A$2:$A$22222&gt;=$L$2,IF(搜索词报告!$A$2:$A$22222&lt;=$L$4,搜索词报告!$J$2:$J$22222,0),0),0))</f>
        <v>0</v>
      </c>
      <c r="O333" s="2">
        <f t="shared" si="44"/>
        <v>0</v>
      </c>
      <c r="P333" s="2">
        <f t="shared" si="45"/>
        <v>0</v>
      </c>
      <c r="Q333">
        <f t="array" ref="Q333">SUM(IF(搜索词报告!$H$2:$H$22222=L333,IF(搜索词报告!$A$2:$A$22222&gt;=$L$2,IF(搜索词报告!$A$2:$A$22222&lt;=$L$4,搜索词报告!$Q$2:$Q$22222,0),0),0))</f>
        <v>0</v>
      </c>
      <c r="R333">
        <f t="array" ref="R333">SUM(IF(搜索词报告!$H$2:$H$22222=L333,IF(搜索词报告!$A$2:$A$22222&gt;=$L$2,IF(搜索词报告!$A$2:$A$22222&lt;=$L$4,搜索词报告!$N$2:$N$22222,0),0),0))</f>
        <v>0</v>
      </c>
      <c r="S333">
        <f t="array" ref="S333">SUM(IF(搜索词报告!$H$2:$H$22222=L333,IF(搜索词报告!$A$2:$A$22222&gt;=$L$2,IF(搜索词报告!$A$2:$A$22222&lt;=$L$4,搜索词报告!$M$2:$M$22222,0),0),0))</f>
        <v>0</v>
      </c>
      <c r="T333" s="2" t="str">
        <f t="shared" si="46"/>
        <v/>
      </c>
      <c r="U333" t="str">
        <f t="shared" si="47"/>
        <v>点击次数少于10次没有参考性</v>
      </c>
      <c r="V333" s="4" t="str">
        <f>IFERROR(INDEX(搜索词报告!$D$2:$D$22222,MATCH(关键词词频统计!L333,搜索词报告!$H$2:$H$22222,0)),"")</f>
        <v/>
      </c>
    </row>
    <row r="334" spans="2:22" x14ac:dyDescent="0.15">
      <c r="B334">
        <f t="array" ref="B334">SUM(IF(搜索词报告!$H$2:$H$22222=A334,IF(搜索词报告!$A$2:$A$22222&gt;=关键词词频统计!$A$2,IF(搜索词报告!$A$2:$A$22222&lt;=关键词词频统计!$A$4,搜索词报告!$I$2:$I$22222,0),0),0))</f>
        <v>0</v>
      </c>
      <c r="C334">
        <f t="array" ref="C334">SUM(IF(搜索词报告!$H$2:$H$22222=A334,IF(搜索词报告!$A$2:$A$22222&gt;=关键词词频统计!$A$2,IF(搜索词报告!$A$2:$A$22222&lt;=关键词词频统计!$A$4,搜索词报告!$J$2:$J$22222,0),0),0))</f>
        <v>0</v>
      </c>
      <c r="D334" s="2">
        <f t="shared" si="40"/>
        <v>0</v>
      </c>
      <c r="E334" s="2">
        <f t="shared" si="41"/>
        <v>0</v>
      </c>
      <c r="F334">
        <f t="array" ref="F334">SUM(IF(搜索词报告!$H$2:$H$22222=A334,IF(搜索词报告!$A$2:$A$22222&gt;=关键词词频统计!$A$2,IF(搜索词报告!$A$2:$A$22222&lt;=关键词词频统计!$A$4,搜索词报告!$Q$2:$Q$22222,0),0),0))</f>
        <v>0</v>
      </c>
      <c r="G334">
        <f t="array" ref="G334">SUM(IF(搜索词报告!$H$2:$H$22222=A334,IF(搜索词报告!$A$2:$A$22222&gt;=关键词词频统计!$A$2,IF(搜索词报告!$A$2:$A$22222&lt;=关键词词频统计!$A$4,搜索词报告!$N$2:$N$22222,0),0),0))</f>
        <v>0</v>
      </c>
      <c r="H334">
        <f t="array" ref="H334">SUM(IF(搜索词报告!$H$2:$H$22222=A334,IF(搜索词报告!$A$2:$A$22222&gt;=关键词词频统计!$A$2,IF(搜索词报告!$A$2:$A$22222&lt;=关键词词频统计!$A$4,搜索词报告!$M$2:$M$22222,0),0),0))</f>
        <v>0</v>
      </c>
      <c r="I334" s="2" t="str">
        <f t="shared" si="42"/>
        <v/>
      </c>
      <c r="J334" t="str">
        <f t="shared" si="43"/>
        <v>点击次数少于10次没有参考性</v>
      </c>
      <c r="K334" s="4" t="str">
        <f>IFERROR(INDEX(搜索词报告!$D$2:$D$22222,MATCH(关键词词频统计!A334,搜索词报告!$H$2:$H$22222,0)),"")</f>
        <v/>
      </c>
      <c r="M334">
        <f t="array" ref="M334">SUM(IF(搜索词报告!$H$2:$H$22222=L334,IF(搜索词报告!$A$2:$A$22222&gt;=$L$2,IF(搜索词报告!$A$2:$A$22222&lt;=$L$4,搜索词报告!$I$2:$I$22222,0),0),0))</f>
        <v>0</v>
      </c>
      <c r="N334">
        <f t="array" ref="N334">SUM(IF(搜索词报告!$H$2:$H$22222=L334,IF(搜索词报告!$A$2:$A$22222&gt;=$L$2,IF(搜索词报告!$A$2:$A$22222&lt;=$L$4,搜索词报告!$J$2:$J$22222,0),0),0))</f>
        <v>0</v>
      </c>
      <c r="O334" s="2">
        <f t="shared" si="44"/>
        <v>0</v>
      </c>
      <c r="P334" s="2">
        <f t="shared" si="45"/>
        <v>0</v>
      </c>
      <c r="Q334">
        <f t="array" ref="Q334">SUM(IF(搜索词报告!$H$2:$H$22222=L334,IF(搜索词报告!$A$2:$A$22222&gt;=$L$2,IF(搜索词报告!$A$2:$A$22222&lt;=$L$4,搜索词报告!$Q$2:$Q$22222,0),0),0))</f>
        <v>0</v>
      </c>
      <c r="R334">
        <f t="array" ref="R334">SUM(IF(搜索词报告!$H$2:$H$22222=L334,IF(搜索词报告!$A$2:$A$22222&gt;=$L$2,IF(搜索词报告!$A$2:$A$22222&lt;=$L$4,搜索词报告!$N$2:$N$22222,0),0),0))</f>
        <v>0</v>
      </c>
      <c r="S334">
        <f t="array" ref="S334">SUM(IF(搜索词报告!$H$2:$H$22222=L334,IF(搜索词报告!$A$2:$A$22222&gt;=$L$2,IF(搜索词报告!$A$2:$A$22222&lt;=$L$4,搜索词报告!$M$2:$M$22222,0),0),0))</f>
        <v>0</v>
      </c>
      <c r="T334" s="2" t="str">
        <f t="shared" si="46"/>
        <v/>
      </c>
      <c r="U334" t="str">
        <f t="shared" si="47"/>
        <v>点击次数少于10次没有参考性</v>
      </c>
      <c r="V334" s="4" t="str">
        <f>IFERROR(INDEX(搜索词报告!$D$2:$D$22222,MATCH(关键词词频统计!L334,搜索词报告!$H$2:$H$22222,0)),"")</f>
        <v/>
      </c>
    </row>
    <row r="335" spans="2:22" x14ac:dyDescent="0.15">
      <c r="B335">
        <f t="array" ref="B335">SUM(IF(搜索词报告!$H$2:$H$22222=A335,IF(搜索词报告!$A$2:$A$22222&gt;=关键词词频统计!$A$2,IF(搜索词报告!$A$2:$A$22222&lt;=关键词词频统计!$A$4,搜索词报告!$I$2:$I$22222,0),0),0))</f>
        <v>0</v>
      </c>
      <c r="C335">
        <f t="array" ref="C335">SUM(IF(搜索词报告!$H$2:$H$22222=A335,IF(搜索词报告!$A$2:$A$22222&gt;=关键词词频统计!$A$2,IF(搜索词报告!$A$2:$A$22222&lt;=关键词词频统计!$A$4,搜索词报告!$J$2:$J$22222,0),0),0))</f>
        <v>0</v>
      </c>
      <c r="D335" s="2">
        <f t="shared" si="40"/>
        <v>0</v>
      </c>
      <c r="E335" s="2">
        <f t="shared" si="41"/>
        <v>0</v>
      </c>
      <c r="F335">
        <f t="array" ref="F335">SUM(IF(搜索词报告!$H$2:$H$22222=A335,IF(搜索词报告!$A$2:$A$22222&gt;=关键词词频统计!$A$2,IF(搜索词报告!$A$2:$A$22222&lt;=关键词词频统计!$A$4,搜索词报告!$Q$2:$Q$22222,0),0),0))</f>
        <v>0</v>
      </c>
      <c r="G335">
        <f t="array" ref="G335">SUM(IF(搜索词报告!$H$2:$H$22222=A335,IF(搜索词报告!$A$2:$A$22222&gt;=关键词词频统计!$A$2,IF(搜索词报告!$A$2:$A$22222&lt;=关键词词频统计!$A$4,搜索词报告!$N$2:$N$22222,0),0),0))</f>
        <v>0</v>
      </c>
      <c r="H335">
        <f t="array" ref="H335">SUM(IF(搜索词报告!$H$2:$H$22222=A335,IF(搜索词报告!$A$2:$A$22222&gt;=关键词词频统计!$A$2,IF(搜索词报告!$A$2:$A$22222&lt;=关键词词频统计!$A$4,搜索词报告!$M$2:$M$22222,0),0),0))</f>
        <v>0</v>
      </c>
      <c r="I335" s="2" t="str">
        <f t="shared" si="42"/>
        <v/>
      </c>
      <c r="J335" t="str">
        <f t="shared" si="43"/>
        <v>点击次数少于10次没有参考性</v>
      </c>
      <c r="K335" s="4" t="str">
        <f>IFERROR(INDEX(搜索词报告!$D$2:$D$22222,MATCH(关键词词频统计!A335,搜索词报告!$H$2:$H$22222,0)),"")</f>
        <v/>
      </c>
      <c r="M335">
        <f t="array" ref="M335">SUM(IF(搜索词报告!$H$2:$H$22222=L335,IF(搜索词报告!$A$2:$A$22222&gt;=$L$2,IF(搜索词报告!$A$2:$A$22222&lt;=$L$4,搜索词报告!$I$2:$I$22222,0),0),0))</f>
        <v>0</v>
      </c>
      <c r="N335">
        <f t="array" ref="N335">SUM(IF(搜索词报告!$H$2:$H$22222=L335,IF(搜索词报告!$A$2:$A$22222&gt;=$L$2,IF(搜索词报告!$A$2:$A$22222&lt;=$L$4,搜索词报告!$J$2:$J$22222,0),0),0))</f>
        <v>0</v>
      </c>
      <c r="O335" s="2">
        <f t="shared" si="44"/>
        <v>0</v>
      </c>
      <c r="P335" s="2">
        <f t="shared" si="45"/>
        <v>0</v>
      </c>
      <c r="Q335">
        <f t="array" ref="Q335">SUM(IF(搜索词报告!$H$2:$H$22222=L335,IF(搜索词报告!$A$2:$A$22222&gt;=$L$2,IF(搜索词报告!$A$2:$A$22222&lt;=$L$4,搜索词报告!$Q$2:$Q$22222,0),0),0))</f>
        <v>0</v>
      </c>
      <c r="R335">
        <f t="array" ref="R335">SUM(IF(搜索词报告!$H$2:$H$22222=L335,IF(搜索词报告!$A$2:$A$22222&gt;=$L$2,IF(搜索词报告!$A$2:$A$22222&lt;=$L$4,搜索词报告!$N$2:$N$22222,0),0),0))</f>
        <v>0</v>
      </c>
      <c r="S335">
        <f t="array" ref="S335">SUM(IF(搜索词报告!$H$2:$H$22222=L335,IF(搜索词报告!$A$2:$A$22222&gt;=$L$2,IF(搜索词报告!$A$2:$A$22222&lt;=$L$4,搜索词报告!$M$2:$M$22222,0),0),0))</f>
        <v>0</v>
      </c>
      <c r="T335" s="2" t="str">
        <f t="shared" si="46"/>
        <v/>
      </c>
      <c r="U335" t="str">
        <f t="shared" si="47"/>
        <v>点击次数少于10次没有参考性</v>
      </c>
      <c r="V335" s="4" t="str">
        <f>IFERROR(INDEX(搜索词报告!$D$2:$D$22222,MATCH(关键词词频统计!L335,搜索词报告!$H$2:$H$22222,0)),"")</f>
        <v/>
      </c>
    </row>
    <row r="336" spans="2:22" x14ac:dyDescent="0.15">
      <c r="B336">
        <f t="array" ref="B336">SUM(IF(搜索词报告!$H$2:$H$22222=A336,IF(搜索词报告!$A$2:$A$22222&gt;=关键词词频统计!$A$2,IF(搜索词报告!$A$2:$A$22222&lt;=关键词词频统计!$A$4,搜索词报告!$I$2:$I$22222,0),0),0))</f>
        <v>0</v>
      </c>
      <c r="C336">
        <f t="array" ref="C336">SUM(IF(搜索词报告!$H$2:$H$22222=A336,IF(搜索词报告!$A$2:$A$22222&gt;=关键词词频统计!$A$2,IF(搜索词报告!$A$2:$A$22222&lt;=关键词词频统计!$A$4,搜索词报告!$J$2:$J$22222,0),0),0))</f>
        <v>0</v>
      </c>
      <c r="D336" s="2">
        <f t="shared" si="40"/>
        <v>0</v>
      </c>
      <c r="E336" s="2">
        <f t="shared" si="41"/>
        <v>0</v>
      </c>
      <c r="F336">
        <f t="array" ref="F336">SUM(IF(搜索词报告!$H$2:$H$22222=A336,IF(搜索词报告!$A$2:$A$22222&gt;=关键词词频统计!$A$2,IF(搜索词报告!$A$2:$A$22222&lt;=关键词词频统计!$A$4,搜索词报告!$Q$2:$Q$22222,0),0),0))</f>
        <v>0</v>
      </c>
      <c r="G336">
        <f t="array" ref="G336">SUM(IF(搜索词报告!$H$2:$H$22222=A336,IF(搜索词报告!$A$2:$A$22222&gt;=关键词词频统计!$A$2,IF(搜索词报告!$A$2:$A$22222&lt;=关键词词频统计!$A$4,搜索词报告!$N$2:$N$22222,0),0),0))</f>
        <v>0</v>
      </c>
      <c r="H336">
        <f t="array" ref="H336">SUM(IF(搜索词报告!$H$2:$H$22222=A336,IF(搜索词报告!$A$2:$A$22222&gt;=关键词词频统计!$A$2,IF(搜索词报告!$A$2:$A$22222&lt;=关键词词频统计!$A$4,搜索词报告!$M$2:$M$22222,0),0),0))</f>
        <v>0</v>
      </c>
      <c r="I336" s="2" t="str">
        <f t="shared" si="42"/>
        <v/>
      </c>
      <c r="J336" t="str">
        <f t="shared" si="43"/>
        <v>点击次数少于10次没有参考性</v>
      </c>
      <c r="K336" s="4" t="str">
        <f>IFERROR(INDEX(搜索词报告!$D$2:$D$22222,MATCH(关键词词频统计!A336,搜索词报告!$H$2:$H$22222,0)),"")</f>
        <v/>
      </c>
      <c r="M336">
        <f t="array" ref="M336">SUM(IF(搜索词报告!$H$2:$H$22222=L336,IF(搜索词报告!$A$2:$A$22222&gt;=$L$2,IF(搜索词报告!$A$2:$A$22222&lt;=$L$4,搜索词报告!$I$2:$I$22222,0),0),0))</f>
        <v>0</v>
      </c>
      <c r="N336">
        <f t="array" ref="N336">SUM(IF(搜索词报告!$H$2:$H$22222=L336,IF(搜索词报告!$A$2:$A$22222&gt;=$L$2,IF(搜索词报告!$A$2:$A$22222&lt;=$L$4,搜索词报告!$J$2:$J$22222,0),0),0))</f>
        <v>0</v>
      </c>
      <c r="O336" s="2">
        <f t="shared" si="44"/>
        <v>0</v>
      </c>
      <c r="P336" s="2">
        <f t="shared" si="45"/>
        <v>0</v>
      </c>
      <c r="Q336">
        <f t="array" ref="Q336">SUM(IF(搜索词报告!$H$2:$H$22222=L336,IF(搜索词报告!$A$2:$A$22222&gt;=$L$2,IF(搜索词报告!$A$2:$A$22222&lt;=$L$4,搜索词报告!$Q$2:$Q$22222,0),0),0))</f>
        <v>0</v>
      </c>
      <c r="R336">
        <f t="array" ref="R336">SUM(IF(搜索词报告!$H$2:$H$22222=L336,IF(搜索词报告!$A$2:$A$22222&gt;=$L$2,IF(搜索词报告!$A$2:$A$22222&lt;=$L$4,搜索词报告!$N$2:$N$22222,0),0),0))</f>
        <v>0</v>
      </c>
      <c r="S336">
        <f t="array" ref="S336">SUM(IF(搜索词报告!$H$2:$H$22222=L336,IF(搜索词报告!$A$2:$A$22222&gt;=$L$2,IF(搜索词报告!$A$2:$A$22222&lt;=$L$4,搜索词报告!$M$2:$M$22222,0),0),0))</f>
        <v>0</v>
      </c>
      <c r="T336" s="2" t="str">
        <f t="shared" si="46"/>
        <v/>
      </c>
      <c r="U336" t="str">
        <f t="shared" si="47"/>
        <v>点击次数少于10次没有参考性</v>
      </c>
      <c r="V336" s="4" t="str">
        <f>IFERROR(INDEX(搜索词报告!$D$2:$D$22222,MATCH(关键词词频统计!L336,搜索词报告!$H$2:$H$22222,0)),"")</f>
        <v/>
      </c>
    </row>
    <row r="337" spans="2:22" x14ac:dyDescent="0.15">
      <c r="B337">
        <f t="array" ref="B337">SUM(IF(搜索词报告!$H$2:$H$22222=A337,IF(搜索词报告!$A$2:$A$22222&gt;=关键词词频统计!$A$2,IF(搜索词报告!$A$2:$A$22222&lt;=关键词词频统计!$A$4,搜索词报告!$I$2:$I$22222,0),0),0))</f>
        <v>0</v>
      </c>
      <c r="C337">
        <f t="array" ref="C337">SUM(IF(搜索词报告!$H$2:$H$22222=A337,IF(搜索词报告!$A$2:$A$22222&gt;=关键词词频统计!$A$2,IF(搜索词报告!$A$2:$A$22222&lt;=关键词词频统计!$A$4,搜索词报告!$J$2:$J$22222,0),0),0))</f>
        <v>0</v>
      </c>
      <c r="D337" s="2">
        <f t="shared" si="40"/>
        <v>0</v>
      </c>
      <c r="E337" s="2">
        <f t="shared" si="41"/>
        <v>0</v>
      </c>
      <c r="F337">
        <f t="array" ref="F337">SUM(IF(搜索词报告!$H$2:$H$22222=A337,IF(搜索词报告!$A$2:$A$22222&gt;=关键词词频统计!$A$2,IF(搜索词报告!$A$2:$A$22222&lt;=关键词词频统计!$A$4,搜索词报告!$Q$2:$Q$22222,0),0),0))</f>
        <v>0</v>
      </c>
      <c r="G337">
        <f t="array" ref="G337">SUM(IF(搜索词报告!$H$2:$H$22222=A337,IF(搜索词报告!$A$2:$A$22222&gt;=关键词词频统计!$A$2,IF(搜索词报告!$A$2:$A$22222&lt;=关键词词频统计!$A$4,搜索词报告!$N$2:$N$22222,0),0),0))</f>
        <v>0</v>
      </c>
      <c r="H337">
        <f t="array" ref="H337">SUM(IF(搜索词报告!$H$2:$H$22222=A337,IF(搜索词报告!$A$2:$A$22222&gt;=关键词词频统计!$A$2,IF(搜索词报告!$A$2:$A$22222&lt;=关键词词频统计!$A$4,搜索词报告!$M$2:$M$22222,0),0),0))</f>
        <v>0</v>
      </c>
      <c r="I337" s="2" t="str">
        <f t="shared" si="42"/>
        <v/>
      </c>
      <c r="J337" t="str">
        <f t="shared" si="43"/>
        <v>点击次数少于10次没有参考性</v>
      </c>
      <c r="K337" s="4" t="str">
        <f>IFERROR(INDEX(搜索词报告!$D$2:$D$22222,MATCH(关键词词频统计!A337,搜索词报告!$H$2:$H$22222,0)),"")</f>
        <v/>
      </c>
      <c r="M337">
        <f t="array" ref="M337">SUM(IF(搜索词报告!$H$2:$H$22222=L337,IF(搜索词报告!$A$2:$A$22222&gt;=$L$2,IF(搜索词报告!$A$2:$A$22222&lt;=$L$4,搜索词报告!$I$2:$I$22222,0),0),0))</f>
        <v>0</v>
      </c>
      <c r="N337">
        <f t="array" ref="N337">SUM(IF(搜索词报告!$H$2:$H$22222=L337,IF(搜索词报告!$A$2:$A$22222&gt;=$L$2,IF(搜索词报告!$A$2:$A$22222&lt;=$L$4,搜索词报告!$J$2:$J$22222,0),0),0))</f>
        <v>0</v>
      </c>
      <c r="O337" s="2">
        <f t="shared" si="44"/>
        <v>0</v>
      </c>
      <c r="P337" s="2">
        <f t="shared" si="45"/>
        <v>0</v>
      </c>
      <c r="Q337">
        <f t="array" ref="Q337">SUM(IF(搜索词报告!$H$2:$H$22222=L337,IF(搜索词报告!$A$2:$A$22222&gt;=$L$2,IF(搜索词报告!$A$2:$A$22222&lt;=$L$4,搜索词报告!$Q$2:$Q$22222,0),0),0))</f>
        <v>0</v>
      </c>
      <c r="R337">
        <f t="array" ref="R337">SUM(IF(搜索词报告!$H$2:$H$22222=L337,IF(搜索词报告!$A$2:$A$22222&gt;=$L$2,IF(搜索词报告!$A$2:$A$22222&lt;=$L$4,搜索词报告!$N$2:$N$22222,0),0),0))</f>
        <v>0</v>
      </c>
      <c r="S337">
        <f t="array" ref="S337">SUM(IF(搜索词报告!$H$2:$H$22222=L337,IF(搜索词报告!$A$2:$A$22222&gt;=$L$2,IF(搜索词报告!$A$2:$A$22222&lt;=$L$4,搜索词报告!$M$2:$M$22222,0),0),0))</f>
        <v>0</v>
      </c>
      <c r="T337" s="2" t="str">
        <f t="shared" si="46"/>
        <v/>
      </c>
      <c r="U337" t="str">
        <f t="shared" si="47"/>
        <v>点击次数少于10次没有参考性</v>
      </c>
      <c r="V337" s="4" t="str">
        <f>IFERROR(INDEX(搜索词报告!$D$2:$D$22222,MATCH(关键词词频统计!L337,搜索词报告!$H$2:$H$22222,0)),"")</f>
        <v/>
      </c>
    </row>
    <row r="338" spans="2:22" x14ac:dyDescent="0.15">
      <c r="B338">
        <f t="array" ref="B338">SUM(IF(搜索词报告!$H$2:$H$22222=A338,IF(搜索词报告!$A$2:$A$22222&gt;=关键词词频统计!$A$2,IF(搜索词报告!$A$2:$A$22222&lt;=关键词词频统计!$A$4,搜索词报告!$I$2:$I$22222,0),0),0))</f>
        <v>0</v>
      </c>
      <c r="C338">
        <f t="array" ref="C338">SUM(IF(搜索词报告!$H$2:$H$22222=A338,IF(搜索词报告!$A$2:$A$22222&gt;=关键词词频统计!$A$2,IF(搜索词报告!$A$2:$A$22222&lt;=关键词词频统计!$A$4,搜索词报告!$J$2:$J$22222,0),0),0))</f>
        <v>0</v>
      </c>
      <c r="D338" s="2">
        <f t="shared" si="40"/>
        <v>0</v>
      </c>
      <c r="E338" s="2">
        <f t="shared" si="41"/>
        <v>0</v>
      </c>
      <c r="F338">
        <f t="array" ref="F338">SUM(IF(搜索词报告!$H$2:$H$22222=A338,IF(搜索词报告!$A$2:$A$22222&gt;=关键词词频统计!$A$2,IF(搜索词报告!$A$2:$A$22222&lt;=关键词词频统计!$A$4,搜索词报告!$Q$2:$Q$22222,0),0),0))</f>
        <v>0</v>
      </c>
      <c r="G338">
        <f t="array" ref="G338">SUM(IF(搜索词报告!$H$2:$H$22222=A338,IF(搜索词报告!$A$2:$A$22222&gt;=关键词词频统计!$A$2,IF(搜索词报告!$A$2:$A$22222&lt;=关键词词频统计!$A$4,搜索词报告!$N$2:$N$22222,0),0),0))</f>
        <v>0</v>
      </c>
      <c r="H338">
        <f t="array" ref="H338">SUM(IF(搜索词报告!$H$2:$H$22222=A338,IF(搜索词报告!$A$2:$A$22222&gt;=关键词词频统计!$A$2,IF(搜索词报告!$A$2:$A$22222&lt;=关键词词频统计!$A$4,搜索词报告!$M$2:$M$22222,0),0),0))</f>
        <v>0</v>
      </c>
      <c r="I338" s="2" t="str">
        <f t="shared" si="42"/>
        <v/>
      </c>
      <c r="J338" t="str">
        <f t="shared" si="43"/>
        <v>点击次数少于10次没有参考性</v>
      </c>
      <c r="K338" s="4" t="str">
        <f>IFERROR(INDEX(搜索词报告!$D$2:$D$22222,MATCH(关键词词频统计!A338,搜索词报告!$H$2:$H$22222,0)),"")</f>
        <v/>
      </c>
      <c r="M338">
        <f t="array" ref="M338">SUM(IF(搜索词报告!$H$2:$H$22222=L338,IF(搜索词报告!$A$2:$A$22222&gt;=$L$2,IF(搜索词报告!$A$2:$A$22222&lt;=$L$4,搜索词报告!$I$2:$I$22222,0),0),0))</f>
        <v>0</v>
      </c>
      <c r="N338">
        <f t="array" ref="N338">SUM(IF(搜索词报告!$H$2:$H$22222=L338,IF(搜索词报告!$A$2:$A$22222&gt;=$L$2,IF(搜索词报告!$A$2:$A$22222&lt;=$L$4,搜索词报告!$J$2:$J$22222,0),0),0))</f>
        <v>0</v>
      </c>
      <c r="O338" s="2">
        <f t="shared" si="44"/>
        <v>0</v>
      </c>
      <c r="P338" s="2">
        <f t="shared" si="45"/>
        <v>0</v>
      </c>
      <c r="Q338">
        <f t="array" ref="Q338">SUM(IF(搜索词报告!$H$2:$H$22222=L338,IF(搜索词报告!$A$2:$A$22222&gt;=$L$2,IF(搜索词报告!$A$2:$A$22222&lt;=$L$4,搜索词报告!$Q$2:$Q$22222,0),0),0))</f>
        <v>0</v>
      </c>
      <c r="R338">
        <f t="array" ref="R338">SUM(IF(搜索词报告!$H$2:$H$22222=L338,IF(搜索词报告!$A$2:$A$22222&gt;=$L$2,IF(搜索词报告!$A$2:$A$22222&lt;=$L$4,搜索词报告!$N$2:$N$22222,0),0),0))</f>
        <v>0</v>
      </c>
      <c r="S338">
        <f t="array" ref="S338">SUM(IF(搜索词报告!$H$2:$H$22222=L338,IF(搜索词报告!$A$2:$A$22222&gt;=$L$2,IF(搜索词报告!$A$2:$A$22222&lt;=$L$4,搜索词报告!$M$2:$M$22222,0),0),0))</f>
        <v>0</v>
      </c>
      <c r="T338" s="2" t="str">
        <f t="shared" si="46"/>
        <v/>
      </c>
      <c r="U338" t="str">
        <f t="shared" si="47"/>
        <v>点击次数少于10次没有参考性</v>
      </c>
      <c r="V338" s="4" t="str">
        <f>IFERROR(INDEX(搜索词报告!$D$2:$D$22222,MATCH(关键词词频统计!L338,搜索词报告!$H$2:$H$22222,0)),"")</f>
        <v/>
      </c>
    </row>
    <row r="339" spans="2:22" x14ac:dyDescent="0.15">
      <c r="B339">
        <f t="array" ref="B339">SUM(IF(搜索词报告!$H$2:$H$22222=A339,IF(搜索词报告!$A$2:$A$22222&gt;=关键词词频统计!$A$2,IF(搜索词报告!$A$2:$A$22222&lt;=关键词词频统计!$A$4,搜索词报告!$I$2:$I$22222,0),0),0))</f>
        <v>0</v>
      </c>
      <c r="C339">
        <f t="array" ref="C339">SUM(IF(搜索词报告!$H$2:$H$22222=A339,IF(搜索词报告!$A$2:$A$22222&gt;=关键词词频统计!$A$2,IF(搜索词报告!$A$2:$A$22222&lt;=关键词词频统计!$A$4,搜索词报告!$J$2:$J$22222,0),0),0))</f>
        <v>0</v>
      </c>
      <c r="D339" s="2">
        <f t="shared" si="40"/>
        <v>0</v>
      </c>
      <c r="E339" s="2">
        <f t="shared" si="41"/>
        <v>0</v>
      </c>
      <c r="F339">
        <f t="array" ref="F339">SUM(IF(搜索词报告!$H$2:$H$22222=A339,IF(搜索词报告!$A$2:$A$22222&gt;=关键词词频统计!$A$2,IF(搜索词报告!$A$2:$A$22222&lt;=关键词词频统计!$A$4,搜索词报告!$Q$2:$Q$22222,0),0),0))</f>
        <v>0</v>
      </c>
      <c r="G339">
        <f t="array" ref="G339">SUM(IF(搜索词报告!$H$2:$H$22222=A339,IF(搜索词报告!$A$2:$A$22222&gt;=关键词词频统计!$A$2,IF(搜索词报告!$A$2:$A$22222&lt;=关键词词频统计!$A$4,搜索词报告!$N$2:$N$22222,0),0),0))</f>
        <v>0</v>
      </c>
      <c r="H339">
        <f t="array" ref="H339">SUM(IF(搜索词报告!$H$2:$H$22222=A339,IF(搜索词报告!$A$2:$A$22222&gt;=关键词词频统计!$A$2,IF(搜索词报告!$A$2:$A$22222&lt;=关键词词频统计!$A$4,搜索词报告!$M$2:$M$22222,0),0),0))</f>
        <v>0</v>
      </c>
      <c r="I339" s="2" t="str">
        <f t="shared" si="42"/>
        <v/>
      </c>
      <c r="J339" t="str">
        <f t="shared" si="43"/>
        <v>点击次数少于10次没有参考性</v>
      </c>
      <c r="K339" s="4" t="str">
        <f>IFERROR(INDEX(搜索词报告!$D$2:$D$22222,MATCH(关键词词频统计!A339,搜索词报告!$H$2:$H$22222,0)),"")</f>
        <v/>
      </c>
      <c r="M339">
        <f t="array" ref="M339">SUM(IF(搜索词报告!$H$2:$H$22222=L339,IF(搜索词报告!$A$2:$A$22222&gt;=$L$2,IF(搜索词报告!$A$2:$A$22222&lt;=$L$4,搜索词报告!$I$2:$I$22222,0),0),0))</f>
        <v>0</v>
      </c>
      <c r="N339">
        <f t="array" ref="N339">SUM(IF(搜索词报告!$H$2:$H$22222=L339,IF(搜索词报告!$A$2:$A$22222&gt;=$L$2,IF(搜索词报告!$A$2:$A$22222&lt;=$L$4,搜索词报告!$J$2:$J$22222,0),0),0))</f>
        <v>0</v>
      </c>
      <c r="O339" s="2">
        <f t="shared" si="44"/>
        <v>0</v>
      </c>
      <c r="P339" s="2">
        <f t="shared" si="45"/>
        <v>0</v>
      </c>
      <c r="Q339">
        <f t="array" ref="Q339">SUM(IF(搜索词报告!$H$2:$H$22222=L339,IF(搜索词报告!$A$2:$A$22222&gt;=$L$2,IF(搜索词报告!$A$2:$A$22222&lt;=$L$4,搜索词报告!$Q$2:$Q$22222,0),0),0))</f>
        <v>0</v>
      </c>
      <c r="R339">
        <f t="array" ref="R339">SUM(IF(搜索词报告!$H$2:$H$22222=L339,IF(搜索词报告!$A$2:$A$22222&gt;=$L$2,IF(搜索词报告!$A$2:$A$22222&lt;=$L$4,搜索词报告!$N$2:$N$22222,0),0),0))</f>
        <v>0</v>
      </c>
      <c r="S339">
        <f t="array" ref="S339">SUM(IF(搜索词报告!$H$2:$H$22222=L339,IF(搜索词报告!$A$2:$A$22222&gt;=$L$2,IF(搜索词报告!$A$2:$A$22222&lt;=$L$4,搜索词报告!$M$2:$M$22222,0),0),0))</f>
        <v>0</v>
      </c>
      <c r="T339" s="2" t="str">
        <f t="shared" si="46"/>
        <v/>
      </c>
      <c r="U339" t="str">
        <f t="shared" si="47"/>
        <v>点击次数少于10次没有参考性</v>
      </c>
      <c r="V339" s="4" t="str">
        <f>IFERROR(INDEX(搜索词报告!$D$2:$D$22222,MATCH(关键词词频统计!L339,搜索词报告!$H$2:$H$22222,0)),"")</f>
        <v/>
      </c>
    </row>
    <row r="340" spans="2:22" x14ac:dyDescent="0.15">
      <c r="B340">
        <f t="array" ref="B340">SUM(IF(搜索词报告!$H$2:$H$22222=A340,IF(搜索词报告!$A$2:$A$22222&gt;=关键词词频统计!$A$2,IF(搜索词报告!$A$2:$A$22222&lt;=关键词词频统计!$A$4,搜索词报告!$I$2:$I$22222,0),0),0))</f>
        <v>0</v>
      </c>
      <c r="C340">
        <f t="array" ref="C340">SUM(IF(搜索词报告!$H$2:$H$22222=A340,IF(搜索词报告!$A$2:$A$22222&gt;=关键词词频统计!$A$2,IF(搜索词报告!$A$2:$A$22222&lt;=关键词词频统计!$A$4,搜索词报告!$J$2:$J$22222,0),0),0))</f>
        <v>0</v>
      </c>
      <c r="D340" s="2">
        <f t="shared" si="40"/>
        <v>0</v>
      </c>
      <c r="E340" s="2">
        <f t="shared" si="41"/>
        <v>0</v>
      </c>
      <c r="F340">
        <f t="array" ref="F340">SUM(IF(搜索词报告!$H$2:$H$22222=A340,IF(搜索词报告!$A$2:$A$22222&gt;=关键词词频统计!$A$2,IF(搜索词报告!$A$2:$A$22222&lt;=关键词词频统计!$A$4,搜索词报告!$Q$2:$Q$22222,0),0),0))</f>
        <v>0</v>
      </c>
      <c r="G340">
        <f t="array" ref="G340">SUM(IF(搜索词报告!$H$2:$H$22222=A340,IF(搜索词报告!$A$2:$A$22222&gt;=关键词词频统计!$A$2,IF(搜索词报告!$A$2:$A$22222&lt;=关键词词频统计!$A$4,搜索词报告!$N$2:$N$22222,0),0),0))</f>
        <v>0</v>
      </c>
      <c r="H340">
        <f t="array" ref="H340">SUM(IF(搜索词报告!$H$2:$H$22222=A340,IF(搜索词报告!$A$2:$A$22222&gt;=关键词词频统计!$A$2,IF(搜索词报告!$A$2:$A$22222&lt;=关键词词频统计!$A$4,搜索词报告!$M$2:$M$22222,0),0),0))</f>
        <v>0</v>
      </c>
      <c r="I340" s="2" t="str">
        <f t="shared" si="42"/>
        <v/>
      </c>
      <c r="J340" t="str">
        <f t="shared" si="43"/>
        <v>点击次数少于10次没有参考性</v>
      </c>
      <c r="K340" s="4" t="str">
        <f>IFERROR(INDEX(搜索词报告!$D$2:$D$22222,MATCH(关键词词频统计!A340,搜索词报告!$H$2:$H$22222,0)),"")</f>
        <v/>
      </c>
      <c r="M340">
        <f t="array" ref="M340">SUM(IF(搜索词报告!$H$2:$H$22222=L340,IF(搜索词报告!$A$2:$A$22222&gt;=$L$2,IF(搜索词报告!$A$2:$A$22222&lt;=$L$4,搜索词报告!$I$2:$I$22222,0),0),0))</f>
        <v>0</v>
      </c>
      <c r="N340">
        <f t="array" ref="N340">SUM(IF(搜索词报告!$H$2:$H$22222=L340,IF(搜索词报告!$A$2:$A$22222&gt;=$L$2,IF(搜索词报告!$A$2:$A$22222&lt;=$L$4,搜索词报告!$J$2:$J$22222,0),0),0))</f>
        <v>0</v>
      </c>
      <c r="O340" s="2">
        <f t="shared" si="44"/>
        <v>0</v>
      </c>
      <c r="P340" s="2">
        <f t="shared" si="45"/>
        <v>0</v>
      </c>
      <c r="Q340">
        <f t="array" ref="Q340">SUM(IF(搜索词报告!$H$2:$H$22222=L340,IF(搜索词报告!$A$2:$A$22222&gt;=$L$2,IF(搜索词报告!$A$2:$A$22222&lt;=$L$4,搜索词报告!$Q$2:$Q$22222,0),0),0))</f>
        <v>0</v>
      </c>
      <c r="R340">
        <f t="array" ref="R340">SUM(IF(搜索词报告!$H$2:$H$22222=L340,IF(搜索词报告!$A$2:$A$22222&gt;=$L$2,IF(搜索词报告!$A$2:$A$22222&lt;=$L$4,搜索词报告!$N$2:$N$22222,0),0),0))</f>
        <v>0</v>
      </c>
      <c r="S340">
        <f t="array" ref="S340">SUM(IF(搜索词报告!$H$2:$H$22222=L340,IF(搜索词报告!$A$2:$A$22222&gt;=$L$2,IF(搜索词报告!$A$2:$A$22222&lt;=$L$4,搜索词报告!$M$2:$M$22222,0),0),0))</f>
        <v>0</v>
      </c>
      <c r="T340" s="2" t="str">
        <f t="shared" si="46"/>
        <v/>
      </c>
      <c r="U340" t="str">
        <f t="shared" si="47"/>
        <v>点击次数少于10次没有参考性</v>
      </c>
      <c r="V340" s="4" t="str">
        <f>IFERROR(INDEX(搜索词报告!$D$2:$D$22222,MATCH(关键词词频统计!L340,搜索词报告!$H$2:$H$22222,0)),"")</f>
        <v/>
      </c>
    </row>
    <row r="341" spans="2:22" x14ac:dyDescent="0.15">
      <c r="B341">
        <f t="array" ref="B341">SUM(IF(搜索词报告!$H$2:$H$22222=A341,IF(搜索词报告!$A$2:$A$22222&gt;=关键词词频统计!$A$2,IF(搜索词报告!$A$2:$A$22222&lt;=关键词词频统计!$A$4,搜索词报告!$I$2:$I$22222,0),0),0))</f>
        <v>0</v>
      </c>
      <c r="C341">
        <f t="array" ref="C341">SUM(IF(搜索词报告!$H$2:$H$22222=A341,IF(搜索词报告!$A$2:$A$22222&gt;=关键词词频统计!$A$2,IF(搜索词报告!$A$2:$A$22222&lt;=关键词词频统计!$A$4,搜索词报告!$J$2:$J$22222,0),0),0))</f>
        <v>0</v>
      </c>
      <c r="D341" s="2">
        <f t="shared" si="40"/>
        <v>0</v>
      </c>
      <c r="E341" s="2">
        <f t="shared" si="41"/>
        <v>0</v>
      </c>
      <c r="F341">
        <f t="array" ref="F341">SUM(IF(搜索词报告!$H$2:$H$22222=A341,IF(搜索词报告!$A$2:$A$22222&gt;=关键词词频统计!$A$2,IF(搜索词报告!$A$2:$A$22222&lt;=关键词词频统计!$A$4,搜索词报告!$Q$2:$Q$22222,0),0),0))</f>
        <v>0</v>
      </c>
      <c r="G341">
        <f t="array" ref="G341">SUM(IF(搜索词报告!$H$2:$H$22222=A341,IF(搜索词报告!$A$2:$A$22222&gt;=关键词词频统计!$A$2,IF(搜索词报告!$A$2:$A$22222&lt;=关键词词频统计!$A$4,搜索词报告!$N$2:$N$22222,0),0),0))</f>
        <v>0</v>
      </c>
      <c r="H341">
        <f t="array" ref="H341">SUM(IF(搜索词报告!$H$2:$H$22222=A341,IF(搜索词报告!$A$2:$A$22222&gt;=关键词词频统计!$A$2,IF(搜索词报告!$A$2:$A$22222&lt;=关键词词频统计!$A$4,搜索词报告!$M$2:$M$22222,0),0),0))</f>
        <v>0</v>
      </c>
      <c r="I341" s="2" t="str">
        <f t="shared" si="42"/>
        <v/>
      </c>
      <c r="J341" t="str">
        <f t="shared" si="43"/>
        <v>点击次数少于10次没有参考性</v>
      </c>
      <c r="K341" s="4" t="str">
        <f>IFERROR(INDEX(搜索词报告!$D$2:$D$22222,MATCH(关键词词频统计!A341,搜索词报告!$H$2:$H$22222,0)),"")</f>
        <v/>
      </c>
      <c r="M341">
        <f t="array" ref="M341">SUM(IF(搜索词报告!$H$2:$H$22222=L341,IF(搜索词报告!$A$2:$A$22222&gt;=$L$2,IF(搜索词报告!$A$2:$A$22222&lt;=$L$4,搜索词报告!$I$2:$I$22222,0),0),0))</f>
        <v>0</v>
      </c>
      <c r="N341">
        <f t="array" ref="N341">SUM(IF(搜索词报告!$H$2:$H$22222=L341,IF(搜索词报告!$A$2:$A$22222&gt;=$L$2,IF(搜索词报告!$A$2:$A$22222&lt;=$L$4,搜索词报告!$J$2:$J$22222,0),0),0))</f>
        <v>0</v>
      </c>
      <c r="O341" s="2">
        <f t="shared" si="44"/>
        <v>0</v>
      </c>
      <c r="P341" s="2">
        <f t="shared" si="45"/>
        <v>0</v>
      </c>
      <c r="Q341">
        <f t="array" ref="Q341">SUM(IF(搜索词报告!$H$2:$H$22222=L341,IF(搜索词报告!$A$2:$A$22222&gt;=$L$2,IF(搜索词报告!$A$2:$A$22222&lt;=$L$4,搜索词报告!$Q$2:$Q$22222,0),0),0))</f>
        <v>0</v>
      </c>
      <c r="R341">
        <f t="array" ref="R341">SUM(IF(搜索词报告!$H$2:$H$22222=L341,IF(搜索词报告!$A$2:$A$22222&gt;=$L$2,IF(搜索词报告!$A$2:$A$22222&lt;=$L$4,搜索词报告!$N$2:$N$22222,0),0),0))</f>
        <v>0</v>
      </c>
      <c r="S341">
        <f t="array" ref="S341">SUM(IF(搜索词报告!$H$2:$H$22222=L341,IF(搜索词报告!$A$2:$A$22222&gt;=$L$2,IF(搜索词报告!$A$2:$A$22222&lt;=$L$4,搜索词报告!$M$2:$M$22222,0),0),0))</f>
        <v>0</v>
      </c>
      <c r="T341" s="2" t="str">
        <f t="shared" si="46"/>
        <v/>
      </c>
      <c r="U341" t="str">
        <f t="shared" si="47"/>
        <v>点击次数少于10次没有参考性</v>
      </c>
      <c r="V341" s="4" t="str">
        <f>IFERROR(INDEX(搜索词报告!$D$2:$D$22222,MATCH(关键词词频统计!L341,搜索词报告!$H$2:$H$22222,0)),"")</f>
        <v/>
      </c>
    </row>
    <row r="342" spans="2:22" x14ac:dyDescent="0.15">
      <c r="B342">
        <f t="array" ref="B342">SUM(IF(搜索词报告!$H$2:$H$22222=A342,IF(搜索词报告!$A$2:$A$22222&gt;=关键词词频统计!$A$2,IF(搜索词报告!$A$2:$A$22222&lt;=关键词词频统计!$A$4,搜索词报告!$I$2:$I$22222,0),0),0))</f>
        <v>0</v>
      </c>
      <c r="C342">
        <f t="array" ref="C342">SUM(IF(搜索词报告!$H$2:$H$22222=A342,IF(搜索词报告!$A$2:$A$22222&gt;=关键词词频统计!$A$2,IF(搜索词报告!$A$2:$A$22222&lt;=关键词词频统计!$A$4,搜索词报告!$J$2:$J$22222,0),0),0))</f>
        <v>0</v>
      </c>
      <c r="D342" s="2">
        <f t="shared" si="40"/>
        <v>0</v>
      </c>
      <c r="E342" s="2">
        <f t="shared" si="41"/>
        <v>0</v>
      </c>
      <c r="F342">
        <f t="array" ref="F342">SUM(IF(搜索词报告!$H$2:$H$22222=A342,IF(搜索词报告!$A$2:$A$22222&gt;=关键词词频统计!$A$2,IF(搜索词报告!$A$2:$A$22222&lt;=关键词词频统计!$A$4,搜索词报告!$Q$2:$Q$22222,0),0),0))</f>
        <v>0</v>
      </c>
      <c r="G342">
        <f t="array" ref="G342">SUM(IF(搜索词报告!$H$2:$H$22222=A342,IF(搜索词报告!$A$2:$A$22222&gt;=关键词词频统计!$A$2,IF(搜索词报告!$A$2:$A$22222&lt;=关键词词频统计!$A$4,搜索词报告!$N$2:$N$22222,0),0),0))</f>
        <v>0</v>
      </c>
      <c r="H342">
        <f t="array" ref="H342">SUM(IF(搜索词报告!$H$2:$H$22222=A342,IF(搜索词报告!$A$2:$A$22222&gt;=关键词词频统计!$A$2,IF(搜索词报告!$A$2:$A$22222&lt;=关键词词频统计!$A$4,搜索词报告!$M$2:$M$22222,0),0),0))</f>
        <v>0</v>
      </c>
      <c r="I342" s="2" t="str">
        <f t="shared" si="42"/>
        <v/>
      </c>
      <c r="J342" t="str">
        <f t="shared" si="43"/>
        <v>点击次数少于10次没有参考性</v>
      </c>
      <c r="K342" s="4" t="str">
        <f>IFERROR(INDEX(搜索词报告!$D$2:$D$22222,MATCH(关键词词频统计!A342,搜索词报告!$H$2:$H$22222,0)),"")</f>
        <v/>
      </c>
      <c r="M342">
        <f t="array" ref="M342">SUM(IF(搜索词报告!$H$2:$H$22222=L342,IF(搜索词报告!$A$2:$A$22222&gt;=$L$2,IF(搜索词报告!$A$2:$A$22222&lt;=$L$4,搜索词报告!$I$2:$I$22222,0),0),0))</f>
        <v>0</v>
      </c>
      <c r="N342">
        <f t="array" ref="N342">SUM(IF(搜索词报告!$H$2:$H$22222=L342,IF(搜索词报告!$A$2:$A$22222&gt;=$L$2,IF(搜索词报告!$A$2:$A$22222&lt;=$L$4,搜索词报告!$J$2:$J$22222,0),0),0))</f>
        <v>0</v>
      </c>
      <c r="O342" s="2">
        <f t="shared" si="44"/>
        <v>0</v>
      </c>
      <c r="P342" s="2">
        <f t="shared" si="45"/>
        <v>0</v>
      </c>
      <c r="Q342">
        <f t="array" ref="Q342">SUM(IF(搜索词报告!$H$2:$H$22222=L342,IF(搜索词报告!$A$2:$A$22222&gt;=$L$2,IF(搜索词报告!$A$2:$A$22222&lt;=$L$4,搜索词报告!$Q$2:$Q$22222,0),0),0))</f>
        <v>0</v>
      </c>
      <c r="R342">
        <f t="array" ref="R342">SUM(IF(搜索词报告!$H$2:$H$22222=L342,IF(搜索词报告!$A$2:$A$22222&gt;=$L$2,IF(搜索词报告!$A$2:$A$22222&lt;=$L$4,搜索词报告!$N$2:$N$22222,0),0),0))</f>
        <v>0</v>
      </c>
      <c r="S342">
        <f t="array" ref="S342">SUM(IF(搜索词报告!$H$2:$H$22222=L342,IF(搜索词报告!$A$2:$A$22222&gt;=$L$2,IF(搜索词报告!$A$2:$A$22222&lt;=$L$4,搜索词报告!$M$2:$M$22222,0),0),0))</f>
        <v>0</v>
      </c>
      <c r="T342" s="2" t="str">
        <f t="shared" si="46"/>
        <v/>
      </c>
      <c r="U342" t="str">
        <f t="shared" si="47"/>
        <v>点击次数少于10次没有参考性</v>
      </c>
      <c r="V342" s="4" t="str">
        <f>IFERROR(INDEX(搜索词报告!$D$2:$D$22222,MATCH(关键词词频统计!L342,搜索词报告!$H$2:$H$22222,0)),"")</f>
        <v/>
      </c>
    </row>
    <row r="343" spans="2:22" x14ac:dyDescent="0.15">
      <c r="B343">
        <f t="array" ref="B343">SUM(IF(搜索词报告!$H$2:$H$22222=A343,IF(搜索词报告!$A$2:$A$22222&gt;=关键词词频统计!$A$2,IF(搜索词报告!$A$2:$A$22222&lt;=关键词词频统计!$A$4,搜索词报告!$I$2:$I$22222,0),0),0))</f>
        <v>0</v>
      </c>
      <c r="C343">
        <f t="array" ref="C343">SUM(IF(搜索词报告!$H$2:$H$22222=A343,IF(搜索词报告!$A$2:$A$22222&gt;=关键词词频统计!$A$2,IF(搜索词报告!$A$2:$A$22222&lt;=关键词词频统计!$A$4,搜索词报告!$J$2:$J$22222,0),0),0))</f>
        <v>0</v>
      </c>
      <c r="D343" s="2">
        <f t="shared" si="40"/>
        <v>0</v>
      </c>
      <c r="E343" s="2">
        <f t="shared" si="41"/>
        <v>0</v>
      </c>
      <c r="F343">
        <f t="array" ref="F343">SUM(IF(搜索词报告!$H$2:$H$22222=A343,IF(搜索词报告!$A$2:$A$22222&gt;=关键词词频统计!$A$2,IF(搜索词报告!$A$2:$A$22222&lt;=关键词词频统计!$A$4,搜索词报告!$Q$2:$Q$22222,0),0),0))</f>
        <v>0</v>
      </c>
      <c r="G343">
        <f t="array" ref="G343">SUM(IF(搜索词报告!$H$2:$H$22222=A343,IF(搜索词报告!$A$2:$A$22222&gt;=关键词词频统计!$A$2,IF(搜索词报告!$A$2:$A$22222&lt;=关键词词频统计!$A$4,搜索词报告!$N$2:$N$22222,0),0),0))</f>
        <v>0</v>
      </c>
      <c r="H343">
        <f t="array" ref="H343">SUM(IF(搜索词报告!$H$2:$H$22222=A343,IF(搜索词报告!$A$2:$A$22222&gt;=关键词词频统计!$A$2,IF(搜索词报告!$A$2:$A$22222&lt;=关键词词频统计!$A$4,搜索词报告!$M$2:$M$22222,0),0),0))</f>
        <v>0</v>
      </c>
      <c r="I343" s="2" t="str">
        <f t="shared" si="42"/>
        <v/>
      </c>
      <c r="J343" t="str">
        <f t="shared" si="43"/>
        <v>点击次数少于10次没有参考性</v>
      </c>
      <c r="K343" s="4" t="str">
        <f>IFERROR(INDEX(搜索词报告!$D$2:$D$22222,MATCH(关键词词频统计!A343,搜索词报告!$H$2:$H$22222,0)),"")</f>
        <v/>
      </c>
      <c r="M343">
        <f t="array" ref="M343">SUM(IF(搜索词报告!$H$2:$H$22222=L343,IF(搜索词报告!$A$2:$A$22222&gt;=$L$2,IF(搜索词报告!$A$2:$A$22222&lt;=$L$4,搜索词报告!$I$2:$I$22222,0),0),0))</f>
        <v>0</v>
      </c>
      <c r="N343">
        <f t="array" ref="N343">SUM(IF(搜索词报告!$H$2:$H$22222=L343,IF(搜索词报告!$A$2:$A$22222&gt;=$L$2,IF(搜索词报告!$A$2:$A$22222&lt;=$L$4,搜索词报告!$J$2:$J$22222,0),0),0))</f>
        <v>0</v>
      </c>
      <c r="O343" s="2">
        <f t="shared" si="44"/>
        <v>0</v>
      </c>
      <c r="P343" s="2">
        <f t="shared" si="45"/>
        <v>0</v>
      </c>
      <c r="Q343">
        <f t="array" ref="Q343">SUM(IF(搜索词报告!$H$2:$H$22222=L343,IF(搜索词报告!$A$2:$A$22222&gt;=$L$2,IF(搜索词报告!$A$2:$A$22222&lt;=$L$4,搜索词报告!$Q$2:$Q$22222,0),0),0))</f>
        <v>0</v>
      </c>
      <c r="R343">
        <f t="array" ref="R343">SUM(IF(搜索词报告!$H$2:$H$22222=L343,IF(搜索词报告!$A$2:$A$22222&gt;=$L$2,IF(搜索词报告!$A$2:$A$22222&lt;=$L$4,搜索词报告!$N$2:$N$22222,0),0),0))</f>
        <v>0</v>
      </c>
      <c r="S343">
        <f t="array" ref="S343">SUM(IF(搜索词报告!$H$2:$H$22222=L343,IF(搜索词报告!$A$2:$A$22222&gt;=$L$2,IF(搜索词报告!$A$2:$A$22222&lt;=$L$4,搜索词报告!$M$2:$M$22222,0),0),0))</f>
        <v>0</v>
      </c>
      <c r="T343" s="2" t="str">
        <f t="shared" si="46"/>
        <v/>
      </c>
      <c r="U343" t="str">
        <f t="shared" si="47"/>
        <v>点击次数少于10次没有参考性</v>
      </c>
      <c r="V343" s="4" t="str">
        <f>IFERROR(INDEX(搜索词报告!$D$2:$D$22222,MATCH(关键词词频统计!L343,搜索词报告!$H$2:$H$22222,0)),"")</f>
        <v/>
      </c>
    </row>
    <row r="344" spans="2:22" x14ac:dyDescent="0.15">
      <c r="B344">
        <f t="array" ref="B344">SUM(IF(搜索词报告!$H$2:$H$22222=A344,IF(搜索词报告!$A$2:$A$22222&gt;=关键词词频统计!$A$2,IF(搜索词报告!$A$2:$A$22222&lt;=关键词词频统计!$A$4,搜索词报告!$I$2:$I$22222,0),0),0))</f>
        <v>0</v>
      </c>
      <c r="C344">
        <f t="array" ref="C344">SUM(IF(搜索词报告!$H$2:$H$22222=A344,IF(搜索词报告!$A$2:$A$22222&gt;=关键词词频统计!$A$2,IF(搜索词报告!$A$2:$A$22222&lt;=关键词词频统计!$A$4,搜索词报告!$J$2:$J$22222,0),0),0))</f>
        <v>0</v>
      </c>
      <c r="D344" s="2">
        <f t="shared" si="40"/>
        <v>0</v>
      </c>
      <c r="E344" s="2">
        <f t="shared" si="41"/>
        <v>0</v>
      </c>
      <c r="F344">
        <f t="array" ref="F344">SUM(IF(搜索词报告!$H$2:$H$22222=A344,IF(搜索词报告!$A$2:$A$22222&gt;=关键词词频统计!$A$2,IF(搜索词报告!$A$2:$A$22222&lt;=关键词词频统计!$A$4,搜索词报告!$Q$2:$Q$22222,0),0),0))</f>
        <v>0</v>
      </c>
      <c r="G344">
        <f t="array" ref="G344">SUM(IF(搜索词报告!$H$2:$H$22222=A344,IF(搜索词报告!$A$2:$A$22222&gt;=关键词词频统计!$A$2,IF(搜索词报告!$A$2:$A$22222&lt;=关键词词频统计!$A$4,搜索词报告!$N$2:$N$22222,0),0),0))</f>
        <v>0</v>
      </c>
      <c r="H344">
        <f t="array" ref="H344">SUM(IF(搜索词报告!$H$2:$H$22222=A344,IF(搜索词报告!$A$2:$A$22222&gt;=关键词词频统计!$A$2,IF(搜索词报告!$A$2:$A$22222&lt;=关键词词频统计!$A$4,搜索词报告!$M$2:$M$22222,0),0),0))</f>
        <v>0</v>
      </c>
      <c r="I344" s="2" t="str">
        <f t="shared" si="42"/>
        <v/>
      </c>
      <c r="J344" t="str">
        <f t="shared" si="43"/>
        <v>点击次数少于10次没有参考性</v>
      </c>
      <c r="K344" s="4" t="str">
        <f>IFERROR(INDEX(搜索词报告!$D$2:$D$22222,MATCH(关键词词频统计!A344,搜索词报告!$H$2:$H$22222,0)),"")</f>
        <v/>
      </c>
      <c r="M344">
        <f t="array" ref="M344">SUM(IF(搜索词报告!$H$2:$H$22222=L344,IF(搜索词报告!$A$2:$A$22222&gt;=$L$2,IF(搜索词报告!$A$2:$A$22222&lt;=$L$4,搜索词报告!$I$2:$I$22222,0),0),0))</f>
        <v>0</v>
      </c>
      <c r="N344">
        <f t="array" ref="N344">SUM(IF(搜索词报告!$H$2:$H$22222=L344,IF(搜索词报告!$A$2:$A$22222&gt;=$L$2,IF(搜索词报告!$A$2:$A$22222&lt;=$L$4,搜索词报告!$J$2:$J$22222,0),0),0))</f>
        <v>0</v>
      </c>
      <c r="O344" s="2">
        <f t="shared" si="44"/>
        <v>0</v>
      </c>
      <c r="P344" s="2">
        <f t="shared" si="45"/>
        <v>0</v>
      </c>
      <c r="Q344">
        <f t="array" ref="Q344">SUM(IF(搜索词报告!$H$2:$H$22222=L344,IF(搜索词报告!$A$2:$A$22222&gt;=$L$2,IF(搜索词报告!$A$2:$A$22222&lt;=$L$4,搜索词报告!$Q$2:$Q$22222,0),0),0))</f>
        <v>0</v>
      </c>
      <c r="R344">
        <f t="array" ref="R344">SUM(IF(搜索词报告!$H$2:$H$22222=L344,IF(搜索词报告!$A$2:$A$22222&gt;=$L$2,IF(搜索词报告!$A$2:$A$22222&lt;=$L$4,搜索词报告!$N$2:$N$22222,0),0),0))</f>
        <v>0</v>
      </c>
      <c r="S344">
        <f t="array" ref="S344">SUM(IF(搜索词报告!$H$2:$H$22222=L344,IF(搜索词报告!$A$2:$A$22222&gt;=$L$2,IF(搜索词报告!$A$2:$A$22222&lt;=$L$4,搜索词报告!$M$2:$M$22222,0),0),0))</f>
        <v>0</v>
      </c>
      <c r="T344" s="2" t="str">
        <f t="shared" si="46"/>
        <v/>
      </c>
      <c r="U344" t="str">
        <f t="shared" si="47"/>
        <v>点击次数少于10次没有参考性</v>
      </c>
      <c r="V344" s="4" t="str">
        <f>IFERROR(INDEX(搜索词报告!$D$2:$D$22222,MATCH(关键词词频统计!L344,搜索词报告!$H$2:$H$22222,0)),"")</f>
        <v/>
      </c>
    </row>
    <row r="345" spans="2:22" x14ac:dyDescent="0.15">
      <c r="B345">
        <f t="array" ref="B345">SUM(IF(搜索词报告!$H$2:$H$22222=A345,IF(搜索词报告!$A$2:$A$22222&gt;=关键词词频统计!$A$2,IF(搜索词报告!$A$2:$A$22222&lt;=关键词词频统计!$A$4,搜索词报告!$I$2:$I$22222,0),0),0))</f>
        <v>0</v>
      </c>
      <c r="C345">
        <f t="array" ref="C345">SUM(IF(搜索词报告!$H$2:$H$22222=A345,IF(搜索词报告!$A$2:$A$22222&gt;=关键词词频统计!$A$2,IF(搜索词报告!$A$2:$A$22222&lt;=关键词词频统计!$A$4,搜索词报告!$J$2:$J$22222,0),0),0))</f>
        <v>0</v>
      </c>
      <c r="D345" s="2">
        <f t="shared" si="40"/>
        <v>0</v>
      </c>
      <c r="E345" s="2">
        <f t="shared" si="41"/>
        <v>0</v>
      </c>
      <c r="F345">
        <f t="array" ref="F345">SUM(IF(搜索词报告!$H$2:$H$22222=A345,IF(搜索词报告!$A$2:$A$22222&gt;=关键词词频统计!$A$2,IF(搜索词报告!$A$2:$A$22222&lt;=关键词词频统计!$A$4,搜索词报告!$Q$2:$Q$22222,0),0),0))</f>
        <v>0</v>
      </c>
      <c r="G345">
        <f t="array" ref="G345">SUM(IF(搜索词报告!$H$2:$H$22222=A345,IF(搜索词报告!$A$2:$A$22222&gt;=关键词词频统计!$A$2,IF(搜索词报告!$A$2:$A$22222&lt;=关键词词频统计!$A$4,搜索词报告!$N$2:$N$22222,0),0),0))</f>
        <v>0</v>
      </c>
      <c r="H345">
        <f t="array" ref="H345">SUM(IF(搜索词报告!$H$2:$H$22222=A345,IF(搜索词报告!$A$2:$A$22222&gt;=关键词词频统计!$A$2,IF(搜索词报告!$A$2:$A$22222&lt;=关键词词频统计!$A$4,搜索词报告!$M$2:$M$22222,0),0),0))</f>
        <v>0</v>
      </c>
      <c r="I345" s="2" t="str">
        <f t="shared" si="42"/>
        <v/>
      </c>
      <c r="J345" t="str">
        <f t="shared" si="43"/>
        <v>点击次数少于10次没有参考性</v>
      </c>
      <c r="K345" s="4" t="str">
        <f>IFERROR(INDEX(搜索词报告!$D$2:$D$22222,MATCH(关键词词频统计!A345,搜索词报告!$H$2:$H$22222,0)),"")</f>
        <v/>
      </c>
      <c r="M345">
        <f t="array" ref="M345">SUM(IF(搜索词报告!$H$2:$H$22222=L345,IF(搜索词报告!$A$2:$A$22222&gt;=$L$2,IF(搜索词报告!$A$2:$A$22222&lt;=$L$4,搜索词报告!$I$2:$I$22222,0),0),0))</f>
        <v>0</v>
      </c>
      <c r="N345">
        <f t="array" ref="N345">SUM(IF(搜索词报告!$H$2:$H$22222=L345,IF(搜索词报告!$A$2:$A$22222&gt;=$L$2,IF(搜索词报告!$A$2:$A$22222&lt;=$L$4,搜索词报告!$J$2:$J$22222,0),0),0))</f>
        <v>0</v>
      </c>
      <c r="O345" s="2">
        <f t="shared" si="44"/>
        <v>0</v>
      </c>
      <c r="P345" s="2">
        <f t="shared" si="45"/>
        <v>0</v>
      </c>
      <c r="Q345">
        <f t="array" ref="Q345">SUM(IF(搜索词报告!$H$2:$H$22222=L345,IF(搜索词报告!$A$2:$A$22222&gt;=$L$2,IF(搜索词报告!$A$2:$A$22222&lt;=$L$4,搜索词报告!$Q$2:$Q$22222,0),0),0))</f>
        <v>0</v>
      </c>
      <c r="R345">
        <f t="array" ref="R345">SUM(IF(搜索词报告!$H$2:$H$22222=L345,IF(搜索词报告!$A$2:$A$22222&gt;=$L$2,IF(搜索词报告!$A$2:$A$22222&lt;=$L$4,搜索词报告!$N$2:$N$22222,0),0),0))</f>
        <v>0</v>
      </c>
      <c r="S345">
        <f t="array" ref="S345">SUM(IF(搜索词报告!$H$2:$H$22222=L345,IF(搜索词报告!$A$2:$A$22222&gt;=$L$2,IF(搜索词报告!$A$2:$A$22222&lt;=$L$4,搜索词报告!$M$2:$M$22222,0),0),0))</f>
        <v>0</v>
      </c>
      <c r="T345" s="2" t="str">
        <f t="shared" si="46"/>
        <v/>
      </c>
      <c r="U345" t="str">
        <f t="shared" si="47"/>
        <v>点击次数少于10次没有参考性</v>
      </c>
      <c r="V345" s="4" t="str">
        <f>IFERROR(INDEX(搜索词报告!$D$2:$D$22222,MATCH(关键词词频统计!L345,搜索词报告!$H$2:$H$22222,0)),"")</f>
        <v/>
      </c>
    </row>
    <row r="346" spans="2:22" x14ac:dyDescent="0.15">
      <c r="B346">
        <f t="array" ref="B346">SUM(IF(搜索词报告!$H$2:$H$22222=A346,IF(搜索词报告!$A$2:$A$22222&gt;=关键词词频统计!$A$2,IF(搜索词报告!$A$2:$A$22222&lt;=关键词词频统计!$A$4,搜索词报告!$I$2:$I$22222,0),0),0))</f>
        <v>0</v>
      </c>
      <c r="C346">
        <f t="array" ref="C346">SUM(IF(搜索词报告!$H$2:$H$22222=A346,IF(搜索词报告!$A$2:$A$22222&gt;=关键词词频统计!$A$2,IF(搜索词报告!$A$2:$A$22222&lt;=关键词词频统计!$A$4,搜索词报告!$J$2:$J$22222,0),0),0))</f>
        <v>0</v>
      </c>
      <c r="D346" s="2">
        <f t="shared" si="40"/>
        <v>0</v>
      </c>
      <c r="E346" s="2">
        <f t="shared" si="41"/>
        <v>0</v>
      </c>
      <c r="F346">
        <f t="array" ref="F346">SUM(IF(搜索词报告!$H$2:$H$22222=A346,IF(搜索词报告!$A$2:$A$22222&gt;=关键词词频统计!$A$2,IF(搜索词报告!$A$2:$A$22222&lt;=关键词词频统计!$A$4,搜索词报告!$Q$2:$Q$22222,0),0),0))</f>
        <v>0</v>
      </c>
      <c r="G346">
        <f t="array" ref="G346">SUM(IF(搜索词报告!$H$2:$H$22222=A346,IF(搜索词报告!$A$2:$A$22222&gt;=关键词词频统计!$A$2,IF(搜索词报告!$A$2:$A$22222&lt;=关键词词频统计!$A$4,搜索词报告!$N$2:$N$22222,0),0),0))</f>
        <v>0</v>
      </c>
      <c r="H346">
        <f t="array" ref="H346">SUM(IF(搜索词报告!$H$2:$H$22222=A346,IF(搜索词报告!$A$2:$A$22222&gt;=关键词词频统计!$A$2,IF(搜索词报告!$A$2:$A$22222&lt;=关键词词频统计!$A$4,搜索词报告!$M$2:$M$22222,0),0),0))</f>
        <v>0</v>
      </c>
      <c r="I346" s="2" t="str">
        <f t="shared" si="42"/>
        <v/>
      </c>
      <c r="J346" t="str">
        <f t="shared" si="43"/>
        <v>点击次数少于10次没有参考性</v>
      </c>
      <c r="K346" s="4" t="str">
        <f>IFERROR(INDEX(搜索词报告!$D$2:$D$22222,MATCH(关键词词频统计!A346,搜索词报告!$H$2:$H$22222,0)),"")</f>
        <v/>
      </c>
      <c r="M346">
        <f t="array" ref="M346">SUM(IF(搜索词报告!$H$2:$H$22222=L346,IF(搜索词报告!$A$2:$A$22222&gt;=$L$2,IF(搜索词报告!$A$2:$A$22222&lt;=$L$4,搜索词报告!$I$2:$I$22222,0),0),0))</f>
        <v>0</v>
      </c>
      <c r="N346">
        <f t="array" ref="N346">SUM(IF(搜索词报告!$H$2:$H$22222=L346,IF(搜索词报告!$A$2:$A$22222&gt;=$L$2,IF(搜索词报告!$A$2:$A$22222&lt;=$L$4,搜索词报告!$J$2:$J$22222,0),0),0))</f>
        <v>0</v>
      </c>
      <c r="O346" s="2">
        <f t="shared" si="44"/>
        <v>0</v>
      </c>
      <c r="P346" s="2">
        <f t="shared" si="45"/>
        <v>0</v>
      </c>
      <c r="Q346">
        <f t="array" ref="Q346">SUM(IF(搜索词报告!$H$2:$H$22222=L346,IF(搜索词报告!$A$2:$A$22222&gt;=$L$2,IF(搜索词报告!$A$2:$A$22222&lt;=$L$4,搜索词报告!$Q$2:$Q$22222,0),0),0))</f>
        <v>0</v>
      </c>
      <c r="R346">
        <f t="array" ref="R346">SUM(IF(搜索词报告!$H$2:$H$22222=L346,IF(搜索词报告!$A$2:$A$22222&gt;=$L$2,IF(搜索词报告!$A$2:$A$22222&lt;=$L$4,搜索词报告!$N$2:$N$22222,0),0),0))</f>
        <v>0</v>
      </c>
      <c r="S346">
        <f t="array" ref="S346">SUM(IF(搜索词报告!$H$2:$H$22222=L346,IF(搜索词报告!$A$2:$A$22222&gt;=$L$2,IF(搜索词报告!$A$2:$A$22222&lt;=$L$4,搜索词报告!$M$2:$M$22222,0),0),0))</f>
        <v>0</v>
      </c>
      <c r="T346" s="2" t="str">
        <f t="shared" si="46"/>
        <v/>
      </c>
      <c r="U346" t="str">
        <f t="shared" si="47"/>
        <v>点击次数少于10次没有参考性</v>
      </c>
      <c r="V346" s="4" t="str">
        <f>IFERROR(INDEX(搜索词报告!$D$2:$D$22222,MATCH(关键词词频统计!L346,搜索词报告!$H$2:$H$22222,0)),"")</f>
        <v/>
      </c>
    </row>
    <row r="347" spans="2:22" x14ac:dyDescent="0.15">
      <c r="B347">
        <f t="array" ref="B347">SUM(IF(搜索词报告!$H$2:$H$22222=A347,IF(搜索词报告!$A$2:$A$22222&gt;=关键词词频统计!$A$2,IF(搜索词报告!$A$2:$A$22222&lt;=关键词词频统计!$A$4,搜索词报告!$I$2:$I$22222,0),0),0))</f>
        <v>0</v>
      </c>
      <c r="C347">
        <f t="array" ref="C347">SUM(IF(搜索词报告!$H$2:$H$22222=A347,IF(搜索词报告!$A$2:$A$22222&gt;=关键词词频统计!$A$2,IF(搜索词报告!$A$2:$A$22222&lt;=关键词词频统计!$A$4,搜索词报告!$J$2:$J$22222,0),0),0))</f>
        <v>0</v>
      </c>
      <c r="D347" s="2">
        <f t="shared" si="40"/>
        <v>0</v>
      </c>
      <c r="E347" s="2">
        <f t="shared" si="41"/>
        <v>0</v>
      </c>
      <c r="F347">
        <f t="array" ref="F347">SUM(IF(搜索词报告!$H$2:$H$22222=A347,IF(搜索词报告!$A$2:$A$22222&gt;=关键词词频统计!$A$2,IF(搜索词报告!$A$2:$A$22222&lt;=关键词词频统计!$A$4,搜索词报告!$Q$2:$Q$22222,0),0),0))</f>
        <v>0</v>
      </c>
      <c r="G347">
        <f t="array" ref="G347">SUM(IF(搜索词报告!$H$2:$H$22222=A347,IF(搜索词报告!$A$2:$A$22222&gt;=关键词词频统计!$A$2,IF(搜索词报告!$A$2:$A$22222&lt;=关键词词频统计!$A$4,搜索词报告!$N$2:$N$22222,0),0),0))</f>
        <v>0</v>
      </c>
      <c r="H347">
        <f t="array" ref="H347">SUM(IF(搜索词报告!$H$2:$H$22222=A347,IF(搜索词报告!$A$2:$A$22222&gt;=关键词词频统计!$A$2,IF(搜索词报告!$A$2:$A$22222&lt;=关键词词频统计!$A$4,搜索词报告!$M$2:$M$22222,0),0),0))</f>
        <v>0</v>
      </c>
      <c r="I347" s="2" t="str">
        <f t="shared" si="42"/>
        <v/>
      </c>
      <c r="J347" t="str">
        <f t="shared" si="43"/>
        <v>点击次数少于10次没有参考性</v>
      </c>
      <c r="K347" s="4" t="str">
        <f>IFERROR(INDEX(搜索词报告!$D$2:$D$22222,MATCH(关键词词频统计!A347,搜索词报告!$H$2:$H$22222,0)),"")</f>
        <v/>
      </c>
      <c r="M347">
        <f t="array" ref="M347">SUM(IF(搜索词报告!$H$2:$H$22222=L347,IF(搜索词报告!$A$2:$A$22222&gt;=$L$2,IF(搜索词报告!$A$2:$A$22222&lt;=$L$4,搜索词报告!$I$2:$I$22222,0),0),0))</f>
        <v>0</v>
      </c>
      <c r="N347">
        <f t="array" ref="N347">SUM(IF(搜索词报告!$H$2:$H$22222=L347,IF(搜索词报告!$A$2:$A$22222&gt;=$L$2,IF(搜索词报告!$A$2:$A$22222&lt;=$L$4,搜索词报告!$J$2:$J$22222,0),0),0))</f>
        <v>0</v>
      </c>
      <c r="O347" s="2">
        <f t="shared" si="44"/>
        <v>0</v>
      </c>
      <c r="P347" s="2">
        <f t="shared" si="45"/>
        <v>0</v>
      </c>
      <c r="Q347">
        <f t="array" ref="Q347">SUM(IF(搜索词报告!$H$2:$H$22222=L347,IF(搜索词报告!$A$2:$A$22222&gt;=$L$2,IF(搜索词报告!$A$2:$A$22222&lt;=$L$4,搜索词报告!$Q$2:$Q$22222,0),0),0))</f>
        <v>0</v>
      </c>
      <c r="R347">
        <f t="array" ref="R347">SUM(IF(搜索词报告!$H$2:$H$22222=L347,IF(搜索词报告!$A$2:$A$22222&gt;=$L$2,IF(搜索词报告!$A$2:$A$22222&lt;=$L$4,搜索词报告!$N$2:$N$22222,0),0),0))</f>
        <v>0</v>
      </c>
      <c r="S347">
        <f t="array" ref="S347">SUM(IF(搜索词报告!$H$2:$H$22222=L347,IF(搜索词报告!$A$2:$A$22222&gt;=$L$2,IF(搜索词报告!$A$2:$A$22222&lt;=$L$4,搜索词报告!$M$2:$M$22222,0),0),0))</f>
        <v>0</v>
      </c>
      <c r="T347" s="2" t="str">
        <f t="shared" si="46"/>
        <v/>
      </c>
      <c r="U347" t="str">
        <f t="shared" si="47"/>
        <v>点击次数少于10次没有参考性</v>
      </c>
      <c r="V347" s="4" t="str">
        <f>IFERROR(INDEX(搜索词报告!$D$2:$D$22222,MATCH(关键词词频统计!L347,搜索词报告!$H$2:$H$22222,0)),"")</f>
        <v/>
      </c>
    </row>
    <row r="348" spans="2:22" x14ac:dyDescent="0.15">
      <c r="B348">
        <f t="array" ref="B348">SUM(IF(搜索词报告!$H$2:$H$22222=A348,IF(搜索词报告!$A$2:$A$22222&gt;=关键词词频统计!$A$2,IF(搜索词报告!$A$2:$A$22222&lt;=关键词词频统计!$A$4,搜索词报告!$I$2:$I$22222,0),0),0))</f>
        <v>0</v>
      </c>
      <c r="C348">
        <f t="array" ref="C348">SUM(IF(搜索词报告!$H$2:$H$22222=A348,IF(搜索词报告!$A$2:$A$22222&gt;=关键词词频统计!$A$2,IF(搜索词报告!$A$2:$A$22222&lt;=关键词词频统计!$A$4,搜索词报告!$J$2:$J$22222,0),0),0))</f>
        <v>0</v>
      </c>
      <c r="D348" s="2">
        <f t="shared" si="40"/>
        <v>0</v>
      </c>
      <c r="E348" s="2">
        <f t="shared" si="41"/>
        <v>0</v>
      </c>
      <c r="F348">
        <f t="array" ref="F348">SUM(IF(搜索词报告!$H$2:$H$22222=A348,IF(搜索词报告!$A$2:$A$22222&gt;=关键词词频统计!$A$2,IF(搜索词报告!$A$2:$A$22222&lt;=关键词词频统计!$A$4,搜索词报告!$Q$2:$Q$22222,0),0),0))</f>
        <v>0</v>
      </c>
      <c r="G348">
        <f t="array" ref="G348">SUM(IF(搜索词报告!$H$2:$H$22222=A348,IF(搜索词报告!$A$2:$A$22222&gt;=关键词词频统计!$A$2,IF(搜索词报告!$A$2:$A$22222&lt;=关键词词频统计!$A$4,搜索词报告!$N$2:$N$22222,0),0),0))</f>
        <v>0</v>
      </c>
      <c r="H348">
        <f t="array" ref="H348">SUM(IF(搜索词报告!$H$2:$H$22222=A348,IF(搜索词报告!$A$2:$A$22222&gt;=关键词词频统计!$A$2,IF(搜索词报告!$A$2:$A$22222&lt;=关键词词频统计!$A$4,搜索词报告!$M$2:$M$22222,0),0),0))</f>
        <v>0</v>
      </c>
      <c r="I348" s="2" t="str">
        <f t="shared" si="42"/>
        <v/>
      </c>
      <c r="J348" t="str">
        <f t="shared" si="43"/>
        <v>点击次数少于10次没有参考性</v>
      </c>
      <c r="K348" s="4" t="str">
        <f>IFERROR(INDEX(搜索词报告!$D$2:$D$22222,MATCH(关键词词频统计!A348,搜索词报告!$H$2:$H$22222,0)),"")</f>
        <v/>
      </c>
      <c r="M348">
        <f t="array" ref="M348">SUM(IF(搜索词报告!$H$2:$H$22222=L348,IF(搜索词报告!$A$2:$A$22222&gt;=$L$2,IF(搜索词报告!$A$2:$A$22222&lt;=$L$4,搜索词报告!$I$2:$I$22222,0),0),0))</f>
        <v>0</v>
      </c>
      <c r="N348">
        <f t="array" ref="N348">SUM(IF(搜索词报告!$H$2:$H$22222=L348,IF(搜索词报告!$A$2:$A$22222&gt;=$L$2,IF(搜索词报告!$A$2:$A$22222&lt;=$L$4,搜索词报告!$J$2:$J$22222,0),0),0))</f>
        <v>0</v>
      </c>
      <c r="O348" s="2">
        <f t="shared" si="44"/>
        <v>0</v>
      </c>
      <c r="P348" s="2">
        <f t="shared" si="45"/>
        <v>0</v>
      </c>
      <c r="Q348">
        <f t="array" ref="Q348">SUM(IF(搜索词报告!$H$2:$H$22222=L348,IF(搜索词报告!$A$2:$A$22222&gt;=$L$2,IF(搜索词报告!$A$2:$A$22222&lt;=$L$4,搜索词报告!$Q$2:$Q$22222,0),0),0))</f>
        <v>0</v>
      </c>
      <c r="R348">
        <f t="array" ref="R348">SUM(IF(搜索词报告!$H$2:$H$22222=L348,IF(搜索词报告!$A$2:$A$22222&gt;=$L$2,IF(搜索词报告!$A$2:$A$22222&lt;=$L$4,搜索词报告!$N$2:$N$22222,0),0),0))</f>
        <v>0</v>
      </c>
      <c r="S348">
        <f t="array" ref="S348">SUM(IF(搜索词报告!$H$2:$H$22222=L348,IF(搜索词报告!$A$2:$A$22222&gt;=$L$2,IF(搜索词报告!$A$2:$A$22222&lt;=$L$4,搜索词报告!$M$2:$M$22222,0),0),0))</f>
        <v>0</v>
      </c>
      <c r="T348" s="2" t="str">
        <f t="shared" si="46"/>
        <v/>
      </c>
      <c r="U348" t="str">
        <f t="shared" si="47"/>
        <v>点击次数少于10次没有参考性</v>
      </c>
      <c r="V348" s="4" t="str">
        <f>IFERROR(INDEX(搜索词报告!$D$2:$D$22222,MATCH(关键词词频统计!L348,搜索词报告!$H$2:$H$22222,0)),"")</f>
        <v/>
      </c>
    </row>
    <row r="349" spans="2:22" x14ac:dyDescent="0.15">
      <c r="B349">
        <f t="array" ref="B349">SUM(IF(搜索词报告!$H$2:$H$22222=A349,IF(搜索词报告!$A$2:$A$22222&gt;=关键词词频统计!$A$2,IF(搜索词报告!$A$2:$A$22222&lt;=关键词词频统计!$A$4,搜索词报告!$I$2:$I$22222,0),0),0))</f>
        <v>0</v>
      </c>
      <c r="C349">
        <f t="array" ref="C349">SUM(IF(搜索词报告!$H$2:$H$22222=A349,IF(搜索词报告!$A$2:$A$22222&gt;=关键词词频统计!$A$2,IF(搜索词报告!$A$2:$A$22222&lt;=关键词词频统计!$A$4,搜索词报告!$J$2:$J$22222,0),0),0))</f>
        <v>0</v>
      </c>
      <c r="D349" s="2">
        <f t="shared" si="40"/>
        <v>0</v>
      </c>
      <c r="E349" s="2">
        <f t="shared" si="41"/>
        <v>0</v>
      </c>
      <c r="F349">
        <f t="array" ref="F349">SUM(IF(搜索词报告!$H$2:$H$22222=A349,IF(搜索词报告!$A$2:$A$22222&gt;=关键词词频统计!$A$2,IF(搜索词报告!$A$2:$A$22222&lt;=关键词词频统计!$A$4,搜索词报告!$Q$2:$Q$22222,0),0),0))</f>
        <v>0</v>
      </c>
      <c r="G349">
        <f t="array" ref="G349">SUM(IF(搜索词报告!$H$2:$H$22222=A349,IF(搜索词报告!$A$2:$A$22222&gt;=关键词词频统计!$A$2,IF(搜索词报告!$A$2:$A$22222&lt;=关键词词频统计!$A$4,搜索词报告!$N$2:$N$22222,0),0),0))</f>
        <v>0</v>
      </c>
      <c r="H349">
        <f t="array" ref="H349">SUM(IF(搜索词报告!$H$2:$H$22222=A349,IF(搜索词报告!$A$2:$A$22222&gt;=关键词词频统计!$A$2,IF(搜索词报告!$A$2:$A$22222&lt;=关键词词频统计!$A$4,搜索词报告!$M$2:$M$22222,0),0),0))</f>
        <v>0</v>
      </c>
      <c r="I349" s="2" t="str">
        <f t="shared" si="42"/>
        <v/>
      </c>
      <c r="J349" t="str">
        <f t="shared" si="43"/>
        <v>点击次数少于10次没有参考性</v>
      </c>
      <c r="K349" s="4" t="str">
        <f>IFERROR(INDEX(搜索词报告!$D$2:$D$22222,MATCH(关键词词频统计!A349,搜索词报告!$H$2:$H$22222,0)),"")</f>
        <v/>
      </c>
      <c r="M349">
        <f t="array" ref="M349">SUM(IF(搜索词报告!$H$2:$H$22222=L349,IF(搜索词报告!$A$2:$A$22222&gt;=$L$2,IF(搜索词报告!$A$2:$A$22222&lt;=$L$4,搜索词报告!$I$2:$I$22222,0),0),0))</f>
        <v>0</v>
      </c>
      <c r="N349">
        <f t="array" ref="N349">SUM(IF(搜索词报告!$H$2:$H$22222=L349,IF(搜索词报告!$A$2:$A$22222&gt;=$L$2,IF(搜索词报告!$A$2:$A$22222&lt;=$L$4,搜索词报告!$J$2:$J$22222,0),0),0))</f>
        <v>0</v>
      </c>
      <c r="O349" s="2">
        <f t="shared" si="44"/>
        <v>0</v>
      </c>
      <c r="P349" s="2">
        <f t="shared" si="45"/>
        <v>0</v>
      </c>
      <c r="Q349">
        <f t="array" ref="Q349">SUM(IF(搜索词报告!$H$2:$H$22222=L349,IF(搜索词报告!$A$2:$A$22222&gt;=$L$2,IF(搜索词报告!$A$2:$A$22222&lt;=$L$4,搜索词报告!$Q$2:$Q$22222,0),0),0))</f>
        <v>0</v>
      </c>
      <c r="R349">
        <f t="array" ref="R349">SUM(IF(搜索词报告!$H$2:$H$22222=L349,IF(搜索词报告!$A$2:$A$22222&gt;=$L$2,IF(搜索词报告!$A$2:$A$22222&lt;=$L$4,搜索词报告!$N$2:$N$22222,0),0),0))</f>
        <v>0</v>
      </c>
      <c r="S349">
        <f t="array" ref="S349">SUM(IF(搜索词报告!$H$2:$H$22222=L349,IF(搜索词报告!$A$2:$A$22222&gt;=$L$2,IF(搜索词报告!$A$2:$A$22222&lt;=$L$4,搜索词报告!$M$2:$M$22222,0),0),0))</f>
        <v>0</v>
      </c>
      <c r="T349" s="2" t="str">
        <f t="shared" si="46"/>
        <v/>
      </c>
      <c r="U349" t="str">
        <f t="shared" si="47"/>
        <v>点击次数少于10次没有参考性</v>
      </c>
      <c r="V349" s="4" t="str">
        <f>IFERROR(INDEX(搜索词报告!$D$2:$D$22222,MATCH(关键词词频统计!L349,搜索词报告!$H$2:$H$22222,0)),"")</f>
        <v/>
      </c>
    </row>
    <row r="350" spans="2:22" x14ac:dyDescent="0.15">
      <c r="B350">
        <f t="array" ref="B350">SUM(IF(搜索词报告!$H$2:$H$22222=A350,IF(搜索词报告!$A$2:$A$22222&gt;=关键词词频统计!$A$2,IF(搜索词报告!$A$2:$A$22222&lt;=关键词词频统计!$A$4,搜索词报告!$I$2:$I$22222,0),0),0))</f>
        <v>0</v>
      </c>
      <c r="C350">
        <f t="array" ref="C350">SUM(IF(搜索词报告!$H$2:$H$22222=A350,IF(搜索词报告!$A$2:$A$22222&gt;=关键词词频统计!$A$2,IF(搜索词报告!$A$2:$A$22222&lt;=关键词词频统计!$A$4,搜索词报告!$J$2:$J$22222,0),0),0))</f>
        <v>0</v>
      </c>
      <c r="D350" s="2">
        <f t="shared" si="40"/>
        <v>0</v>
      </c>
      <c r="E350" s="2">
        <f t="shared" si="41"/>
        <v>0</v>
      </c>
      <c r="F350">
        <f t="array" ref="F350">SUM(IF(搜索词报告!$H$2:$H$22222=A350,IF(搜索词报告!$A$2:$A$22222&gt;=关键词词频统计!$A$2,IF(搜索词报告!$A$2:$A$22222&lt;=关键词词频统计!$A$4,搜索词报告!$Q$2:$Q$22222,0),0),0))</f>
        <v>0</v>
      </c>
      <c r="G350">
        <f t="array" ref="G350">SUM(IF(搜索词报告!$H$2:$H$22222=A350,IF(搜索词报告!$A$2:$A$22222&gt;=关键词词频统计!$A$2,IF(搜索词报告!$A$2:$A$22222&lt;=关键词词频统计!$A$4,搜索词报告!$N$2:$N$22222,0),0),0))</f>
        <v>0</v>
      </c>
      <c r="H350">
        <f t="array" ref="H350">SUM(IF(搜索词报告!$H$2:$H$22222=A350,IF(搜索词报告!$A$2:$A$22222&gt;=关键词词频统计!$A$2,IF(搜索词报告!$A$2:$A$22222&lt;=关键词词频统计!$A$4,搜索词报告!$M$2:$M$22222,0),0),0))</f>
        <v>0</v>
      </c>
      <c r="I350" s="2" t="str">
        <f t="shared" si="42"/>
        <v/>
      </c>
      <c r="J350" t="str">
        <f t="shared" si="43"/>
        <v>点击次数少于10次没有参考性</v>
      </c>
      <c r="K350" s="4" t="str">
        <f>IFERROR(INDEX(搜索词报告!$D$2:$D$22222,MATCH(关键词词频统计!A350,搜索词报告!$H$2:$H$22222,0)),"")</f>
        <v/>
      </c>
      <c r="M350">
        <f t="array" ref="M350">SUM(IF(搜索词报告!$H$2:$H$22222=L350,IF(搜索词报告!$A$2:$A$22222&gt;=$L$2,IF(搜索词报告!$A$2:$A$22222&lt;=$L$4,搜索词报告!$I$2:$I$22222,0),0),0))</f>
        <v>0</v>
      </c>
      <c r="N350">
        <f t="array" ref="N350">SUM(IF(搜索词报告!$H$2:$H$22222=L350,IF(搜索词报告!$A$2:$A$22222&gt;=$L$2,IF(搜索词报告!$A$2:$A$22222&lt;=$L$4,搜索词报告!$J$2:$J$22222,0),0),0))</f>
        <v>0</v>
      </c>
      <c r="O350" s="2">
        <f t="shared" si="44"/>
        <v>0</v>
      </c>
      <c r="P350" s="2">
        <f t="shared" si="45"/>
        <v>0</v>
      </c>
      <c r="Q350">
        <f t="array" ref="Q350">SUM(IF(搜索词报告!$H$2:$H$22222=L350,IF(搜索词报告!$A$2:$A$22222&gt;=$L$2,IF(搜索词报告!$A$2:$A$22222&lt;=$L$4,搜索词报告!$Q$2:$Q$22222,0),0),0))</f>
        <v>0</v>
      </c>
      <c r="R350">
        <f t="array" ref="R350">SUM(IF(搜索词报告!$H$2:$H$22222=L350,IF(搜索词报告!$A$2:$A$22222&gt;=$L$2,IF(搜索词报告!$A$2:$A$22222&lt;=$L$4,搜索词报告!$N$2:$N$22222,0),0),0))</f>
        <v>0</v>
      </c>
      <c r="S350">
        <f t="array" ref="S350">SUM(IF(搜索词报告!$H$2:$H$22222=L350,IF(搜索词报告!$A$2:$A$22222&gt;=$L$2,IF(搜索词报告!$A$2:$A$22222&lt;=$L$4,搜索词报告!$M$2:$M$22222,0),0),0))</f>
        <v>0</v>
      </c>
      <c r="T350" s="2" t="str">
        <f t="shared" si="46"/>
        <v/>
      </c>
      <c r="U350" t="str">
        <f t="shared" si="47"/>
        <v>点击次数少于10次没有参考性</v>
      </c>
      <c r="V350" s="4" t="str">
        <f>IFERROR(INDEX(搜索词报告!$D$2:$D$22222,MATCH(关键词词频统计!L350,搜索词报告!$H$2:$H$22222,0)),"")</f>
        <v/>
      </c>
    </row>
    <row r="351" spans="2:22" x14ac:dyDescent="0.15">
      <c r="B351">
        <f t="array" ref="B351">SUM(IF(搜索词报告!$H$2:$H$22222=A351,IF(搜索词报告!$A$2:$A$22222&gt;=关键词词频统计!$A$2,IF(搜索词报告!$A$2:$A$22222&lt;=关键词词频统计!$A$4,搜索词报告!$I$2:$I$22222,0),0),0))</f>
        <v>0</v>
      </c>
      <c r="C351">
        <f t="array" ref="C351">SUM(IF(搜索词报告!$H$2:$H$22222=A351,IF(搜索词报告!$A$2:$A$22222&gt;=关键词词频统计!$A$2,IF(搜索词报告!$A$2:$A$22222&lt;=关键词词频统计!$A$4,搜索词报告!$J$2:$J$22222,0),0),0))</f>
        <v>0</v>
      </c>
      <c r="D351" s="2">
        <f t="shared" si="40"/>
        <v>0</v>
      </c>
      <c r="E351" s="2">
        <f t="shared" si="41"/>
        <v>0</v>
      </c>
      <c r="F351">
        <f t="array" ref="F351">SUM(IF(搜索词报告!$H$2:$H$22222=A351,IF(搜索词报告!$A$2:$A$22222&gt;=关键词词频统计!$A$2,IF(搜索词报告!$A$2:$A$22222&lt;=关键词词频统计!$A$4,搜索词报告!$Q$2:$Q$22222,0),0),0))</f>
        <v>0</v>
      </c>
      <c r="G351">
        <f t="array" ref="G351">SUM(IF(搜索词报告!$H$2:$H$22222=A351,IF(搜索词报告!$A$2:$A$22222&gt;=关键词词频统计!$A$2,IF(搜索词报告!$A$2:$A$22222&lt;=关键词词频统计!$A$4,搜索词报告!$N$2:$N$22222,0),0),0))</f>
        <v>0</v>
      </c>
      <c r="H351">
        <f t="array" ref="H351">SUM(IF(搜索词报告!$H$2:$H$22222=A351,IF(搜索词报告!$A$2:$A$22222&gt;=关键词词频统计!$A$2,IF(搜索词报告!$A$2:$A$22222&lt;=关键词词频统计!$A$4,搜索词报告!$M$2:$M$22222,0),0),0))</f>
        <v>0</v>
      </c>
      <c r="I351" s="2" t="str">
        <f t="shared" si="42"/>
        <v/>
      </c>
      <c r="J351" t="str">
        <f t="shared" si="43"/>
        <v>点击次数少于10次没有参考性</v>
      </c>
      <c r="K351" s="4" t="str">
        <f>IFERROR(INDEX(搜索词报告!$D$2:$D$22222,MATCH(关键词词频统计!A351,搜索词报告!$H$2:$H$22222,0)),"")</f>
        <v/>
      </c>
      <c r="M351">
        <f t="array" ref="M351">SUM(IF(搜索词报告!$H$2:$H$22222=L351,IF(搜索词报告!$A$2:$A$22222&gt;=$L$2,IF(搜索词报告!$A$2:$A$22222&lt;=$L$4,搜索词报告!$I$2:$I$22222,0),0),0))</f>
        <v>0</v>
      </c>
      <c r="N351">
        <f t="array" ref="N351">SUM(IF(搜索词报告!$H$2:$H$22222=L351,IF(搜索词报告!$A$2:$A$22222&gt;=$L$2,IF(搜索词报告!$A$2:$A$22222&lt;=$L$4,搜索词报告!$J$2:$J$22222,0),0),0))</f>
        <v>0</v>
      </c>
      <c r="O351" s="2">
        <f t="shared" si="44"/>
        <v>0</v>
      </c>
      <c r="P351" s="2">
        <f t="shared" si="45"/>
        <v>0</v>
      </c>
      <c r="Q351">
        <f t="array" ref="Q351">SUM(IF(搜索词报告!$H$2:$H$22222=L351,IF(搜索词报告!$A$2:$A$22222&gt;=$L$2,IF(搜索词报告!$A$2:$A$22222&lt;=$L$4,搜索词报告!$Q$2:$Q$22222,0),0),0))</f>
        <v>0</v>
      </c>
      <c r="R351">
        <f t="array" ref="R351">SUM(IF(搜索词报告!$H$2:$H$22222=L351,IF(搜索词报告!$A$2:$A$22222&gt;=$L$2,IF(搜索词报告!$A$2:$A$22222&lt;=$L$4,搜索词报告!$N$2:$N$22222,0),0),0))</f>
        <v>0</v>
      </c>
      <c r="S351">
        <f t="array" ref="S351">SUM(IF(搜索词报告!$H$2:$H$22222=L351,IF(搜索词报告!$A$2:$A$22222&gt;=$L$2,IF(搜索词报告!$A$2:$A$22222&lt;=$L$4,搜索词报告!$M$2:$M$22222,0),0),0))</f>
        <v>0</v>
      </c>
      <c r="T351" s="2" t="str">
        <f t="shared" si="46"/>
        <v/>
      </c>
      <c r="U351" t="str">
        <f t="shared" si="47"/>
        <v>点击次数少于10次没有参考性</v>
      </c>
      <c r="V351" s="4" t="str">
        <f>IFERROR(INDEX(搜索词报告!$D$2:$D$22222,MATCH(关键词词频统计!L351,搜索词报告!$H$2:$H$22222,0)),"")</f>
        <v/>
      </c>
    </row>
    <row r="352" spans="2:22" x14ac:dyDescent="0.15">
      <c r="B352">
        <f t="array" ref="B352">SUM(IF(搜索词报告!$H$2:$H$22222=A352,IF(搜索词报告!$A$2:$A$22222&gt;=关键词词频统计!$A$2,IF(搜索词报告!$A$2:$A$22222&lt;=关键词词频统计!$A$4,搜索词报告!$I$2:$I$22222,0),0),0))</f>
        <v>0</v>
      </c>
      <c r="C352">
        <f t="array" ref="C352">SUM(IF(搜索词报告!$H$2:$H$22222=A352,IF(搜索词报告!$A$2:$A$22222&gt;=关键词词频统计!$A$2,IF(搜索词报告!$A$2:$A$22222&lt;=关键词词频统计!$A$4,搜索词报告!$J$2:$J$22222,0),0),0))</f>
        <v>0</v>
      </c>
      <c r="D352" s="2">
        <f t="shared" si="40"/>
        <v>0</v>
      </c>
      <c r="E352" s="2">
        <f t="shared" si="41"/>
        <v>0</v>
      </c>
      <c r="F352">
        <f t="array" ref="F352">SUM(IF(搜索词报告!$H$2:$H$22222=A352,IF(搜索词报告!$A$2:$A$22222&gt;=关键词词频统计!$A$2,IF(搜索词报告!$A$2:$A$22222&lt;=关键词词频统计!$A$4,搜索词报告!$Q$2:$Q$22222,0),0),0))</f>
        <v>0</v>
      </c>
      <c r="G352">
        <f t="array" ref="G352">SUM(IF(搜索词报告!$H$2:$H$22222=A352,IF(搜索词报告!$A$2:$A$22222&gt;=关键词词频统计!$A$2,IF(搜索词报告!$A$2:$A$22222&lt;=关键词词频统计!$A$4,搜索词报告!$N$2:$N$22222,0),0),0))</f>
        <v>0</v>
      </c>
      <c r="H352">
        <f t="array" ref="H352">SUM(IF(搜索词报告!$H$2:$H$22222=A352,IF(搜索词报告!$A$2:$A$22222&gt;=关键词词频统计!$A$2,IF(搜索词报告!$A$2:$A$22222&lt;=关键词词频统计!$A$4,搜索词报告!$M$2:$M$22222,0),0),0))</f>
        <v>0</v>
      </c>
      <c r="I352" s="2" t="str">
        <f t="shared" si="42"/>
        <v/>
      </c>
      <c r="J352" t="str">
        <f t="shared" si="43"/>
        <v>点击次数少于10次没有参考性</v>
      </c>
      <c r="K352" s="4" t="str">
        <f>IFERROR(INDEX(搜索词报告!$D$2:$D$22222,MATCH(关键词词频统计!A352,搜索词报告!$H$2:$H$22222,0)),"")</f>
        <v/>
      </c>
      <c r="M352">
        <f t="array" ref="M352">SUM(IF(搜索词报告!$H$2:$H$22222=L352,IF(搜索词报告!$A$2:$A$22222&gt;=$L$2,IF(搜索词报告!$A$2:$A$22222&lt;=$L$4,搜索词报告!$I$2:$I$22222,0),0),0))</f>
        <v>0</v>
      </c>
      <c r="N352">
        <f t="array" ref="N352">SUM(IF(搜索词报告!$H$2:$H$22222=L352,IF(搜索词报告!$A$2:$A$22222&gt;=$L$2,IF(搜索词报告!$A$2:$A$22222&lt;=$L$4,搜索词报告!$J$2:$J$22222,0),0),0))</f>
        <v>0</v>
      </c>
      <c r="O352" s="2">
        <f t="shared" si="44"/>
        <v>0</v>
      </c>
      <c r="P352" s="2">
        <f t="shared" si="45"/>
        <v>0</v>
      </c>
      <c r="Q352">
        <f t="array" ref="Q352">SUM(IF(搜索词报告!$H$2:$H$22222=L352,IF(搜索词报告!$A$2:$A$22222&gt;=$L$2,IF(搜索词报告!$A$2:$A$22222&lt;=$L$4,搜索词报告!$Q$2:$Q$22222,0),0),0))</f>
        <v>0</v>
      </c>
      <c r="R352">
        <f t="array" ref="R352">SUM(IF(搜索词报告!$H$2:$H$22222=L352,IF(搜索词报告!$A$2:$A$22222&gt;=$L$2,IF(搜索词报告!$A$2:$A$22222&lt;=$L$4,搜索词报告!$N$2:$N$22222,0),0),0))</f>
        <v>0</v>
      </c>
      <c r="S352">
        <f t="array" ref="S352">SUM(IF(搜索词报告!$H$2:$H$22222=L352,IF(搜索词报告!$A$2:$A$22222&gt;=$L$2,IF(搜索词报告!$A$2:$A$22222&lt;=$L$4,搜索词报告!$M$2:$M$22222,0),0),0))</f>
        <v>0</v>
      </c>
      <c r="T352" s="2" t="str">
        <f t="shared" si="46"/>
        <v/>
      </c>
      <c r="U352" t="str">
        <f t="shared" si="47"/>
        <v>点击次数少于10次没有参考性</v>
      </c>
      <c r="V352" s="4" t="str">
        <f>IFERROR(INDEX(搜索词报告!$D$2:$D$22222,MATCH(关键词词频统计!L352,搜索词报告!$H$2:$H$22222,0)),"")</f>
        <v/>
      </c>
    </row>
    <row r="353" spans="2:22" x14ac:dyDescent="0.15">
      <c r="B353">
        <f t="array" ref="B353">SUM(IF(搜索词报告!$H$2:$H$22222=A353,IF(搜索词报告!$A$2:$A$22222&gt;=关键词词频统计!$A$2,IF(搜索词报告!$A$2:$A$22222&lt;=关键词词频统计!$A$4,搜索词报告!$I$2:$I$22222,0),0),0))</f>
        <v>0</v>
      </c>
      <c r="C353">
        <f t="array" ref="C353">SUM(IF(搜索词报告!$H$2:$H$22222=A353,IF(搜索词报告!$A$2:$A$22222&gt;=关键词词频统计!$A$2,IF(搜索词报告!$A$2:$A$22222&lt;=关键词词频统计!$A$4,搜索词报告!$J$2:$J$22222,0),0),0))</f>
        <v>0</v>
      </c>
      <c r="D353" s="2">
        <f t="shared" si="40"/>
        <v>0</v>
      </c>
      <c r="E353" s="2">
        <f t="shared" si="41"/>
        <v>0</v>
      </c>
      <c r="F353">
        <f t="array" ref="F353">SUM(IF(搜索词报告!$H$2:$H$22222=A353,IF(搜索词报告!$A$2:$A$22222&gt;=关键词词频统计!$A$2,IF(搜索词报告!$A$2:$A$22222&lt;=关键词词频统计!$A$4,搜索词报告!$Q$2:$Q$22222,0),0),0))</f>
        <v>0</v>
      </c>
      <c r="G353">
        <f t="array" ref="G353">SUM(IF(搜索词报告!$H$2:$H$22222=A353,IF(搜索词报告!$A$2:$A$22222&gt;=关键词词频统计!$A$2,IF(搜索词报告!$A$2:$A$22222&lt;=关键词词频统计!$A$4,搜索词报告!$N$2:$N$22222,0),0),0))</f>
        <v>0</v>
      </c>
      <c r="H353">
        <f t="array" ref="H353">SUM(IF(搜索词报告!$H$2:$H$22222=A353,IF(搜索词报告!$A$2:$A$22222&gt;=关键词词频统计!$A$2,IF(搜索词报告!$A$2:$A$22222&lt;=关键词词频统计!$A$4,搜索词报告!$M$2:$M$22222,0),0),0))</f>
        <v>0</v>
      </c>
      <c r="I353" s="2" t="str">
        <f t="shared" si="42"/>
        <v/>
      </c>
      <c r="J353" t="str">
        <f t="shared" si="43"/>
        <v>点击次数少于10次没有参考性</v>
      </c>
      <c r="K353" s="4" t="str">
        <f>IFERROR(INDEX(搜索词报告!$D$2:$D$22222,MATCH(关键词词频统计!A353,搜索词报告!$H$2:$H$22222,0)),"")</f>
        <v/>
      </c>
      <c r="M353">
        <f t="array" ref="M353">SUM(IF(搜索词报告!$H$2:$H$22222=L353,IF(搜索词报告!$A$2:$A$22222&gt;=$L$2,IF(搜索词报告!$A$2:$A$22222&lt;=$L$4,搜索词报告!$I$2:$I$22222,0),0),0))</f>
        <v>0</v>
      </c>
      <c r="N353">
        <f t="array" ref="N353">SUM(IF(搜索词报告!$H$2:$H$22222=L353,IF(搜索词报告!$A$2:$A$22222&gt;=$L$2,IF(搜索词报告!$A$2:$A$22222&lt;=$L$4,搜索词报告!$J$2:$J$22222,0),0),0))</f>
        <v>0</v>
      </c>
      <c r="O353" s="2">
        <f t="shared" si="44"/>
        <v>0</v>
      </c>
      <c r="P353" s="2">
        <f t="shared" si="45"/>
        <v>0</v>
      </c>
      <c r="Q353">
        <f t="array" ref="Q353">SUM(IF(搜索词报告!$H$2:$H$22222=L353,IF(搜索词报告!$A$2:$A$22222&gt;=$L$2,IF(搜索词报告!$A$2:$A$22222&lt;=$L$4,搜索词报告!$Q$2:$Q$22222,0),0),0))</f>
        <v>0</v>
      </c>
      <c r="R353">
        <f t="array" ref="R353">SUM(IF(搜索词报告!$H$2:$H$22222=L353,IF(搜索词报告!$A$2:$A$22222&gt;=$L$2,IF(搜索词报告!$A$2:$A$22222&lt;=$L$4,搜索词报告!$N$2:$N$22222,0),0),0))</f>
        <v>0</v>
      </c>
      <c r="S353">
        <f t="array" ref="S353">SUM(IF(搜索词报告!$H$2:$H$22222=L353,IF(搜索词报告!$A$2:$A$22222&gt;=$L$2,IF(搜索词报告!$A$2:$A$22222&lt;=$L$4,搜索词报告!$M$2:$M$22222,0),0),0))</f>
        <v>0</v>
      </c>
      <c r="T353" s="2" t="str">
        <f t="shared" si="46"/>
        <v/>
      </c>
      <c r="U353" t="str">
        <f t="shared" si="47"/>
        <v>点击次数少于10次没有参考性</v>
      </c>
      <c r="V353" s="4" t="str">
        <f>IFERROR(INDEX(搜索词报告!$D$2:$D$22222,MATCH(关键词词频统计!L353,搜索词报告!$H$2:$H$22222,0)),"")</f>
        <v/>
      </c>
    </row>
    <row r="354" spans="2:22" x14ac:dyDescent="0.15">
      <c r="B354">
        <f t="array" ref="B354">SUM(IF(搜索词报告!$H$2:$H$22222=A354,IF(搜索词报告!$A$2:$A$22222&gt;=关键词词频统计!$A$2,IF(搜索词报告!$A$2:$A$22222&lt;=关键词词频统计!$A$4,搜索词报告!$I$2:$I$22222,0),0),0))</f>
        <v>0</v>
      </c>
      <c r="C354">
        <f t="array" ref="C354">SUM(IF(搜索词报告!$H$2:$H$22222=A354,IF(搜索词报告!$A$2:$A$22222&gt;=关键词词频统计!$A$2,IF(搜索词报告!$A$2:$A$22222&lt;=关键词词频统计!$A$4,搜索词报告!$J$2:$J$22222,0),0),0))</f>
        <v>0</v>
      </c>
      <c r="D354" s="2">
        <f t="shared" si="40"/>
        <v>0</v>
      </c>
      <c r="E354" s="2">
        <f t="shared" si="41"/>
        <v>0</v>
      </c>
      <c r="F354">
        <f t="array" ref="F354">SUM(IF(搜索词报告!$H$2:$H$22222=A354,IF(搜索词报告!$A$2:$A$22222&gt;=关键词词频统计!$A$2,IF(搜索词报告!$A$2:$A$22222&lt;=关键词词频统计!$A$4,搜索词报告!$Q$2:$Q$22222,0),0),0))</f>
        <v>0</v>
      </c>
      <c r="G354">
        <f t="array" ref="G354">SUM(IF(搜索词报告!$H$2:$H$22222=A354,IF(搜索词报告!$A$2:$A$22222&gt;=关键词词频统计!$A$2,IF(搜索词报告!$A$2:$A$22222&lt;=关键词词频统计!$A$4,搜索词报告!$N$2:$N$22222,0),0),0))</f>
        <v>0</v>
      </c>
      <c r="H354">
        <f t="array" ref="H354">SUM(IF(搜索词报告!$H$2:$H$22222=A354,IF(搜索词报告!$A$2:$A$22222&gt;=关键词词频统计!$A$2,IF(搜索词报告!$A$2:$A$22222&lt;=关键词词频统计!$A$4,搜索词报告!$M$2:$M$22222,0),0),0))</f>
        <v>0</v>
      </c>
      <c r="I354" s="2" t="str">
        <f t="shared" si="42"/>
        <v/>
      </c>
      <c r="J354" t="str">
        <f t="shared" si="43"/>
        <v>点击次数少于10次没有参考性</v>
      </c>
      <c r="K354" s="4" t="str">
        <f>IFERROR(INDEX(搜索词报告!$D$2:$D$22222,MATCH(关键词词频统计!A354,搜索词报告!$H$2:$H$22222,0)),"")</f>
        <v/>
      </c>
      <c r="M354">
        <f t="array" ref="M354">SUM(IF(搜索词报告!$H$2:$H$22222=L354,IF(搜索词报告!$A$2:$A$22222&gt;=$L$2,IF(搜索词报告!$A$2:$A$22222&lt;=$L$4,搜索词报告!$I$2:$I$22222,0),0),0))</f>
        <v>0</v>
      </c>
      <c r="N354">
        <f t="array" ref="N354">SUM(IF(搜索词报告!$H$2:$H$22222=L354,IF(搜索词报告!$A$2:$A$22222&gt;=$L$2,IF(搜索词报告!$A$2:$A$22222&lt;=$L$4,搜索词报告!$J$2:$J$22222,0),0),0))</f>
        <v>0</v>
      </c>
      <c r="O354" s="2">
        <f t="shared" si="44"/>
        <v>0</v>
      </c>
      <c r="P354" s="2">
        <f t="shared" si="45"/>
        <v>0</v>
      </c>
      <c r="Q354">
        <f t="array" ref="Q354">SUM(IF(搜索词报告!$H$2:$H$22222=L354,IF(搜索词报告!$A$2:$A$22222&gt;=$L$2,IF(搜索词报告!$A$2:$A$22222&lt;=$L$4,搜索词报告!$Q$2:$Q$22222,0),0),0))</f>
        <v>0</v>
      </c>
      <c r="R354">
        <f t="array" ref="R354">SUM(IF(搜索词报告!$H$2:$H$22222=L354,IF(搜索词报告!$A$2:$A$22222&gt;=$L$2,IF(搜索词报告!$A$2:$A$22222&lt;=$L$4,搜索词报告!$N$2:$N$22222,0),0),0))</f>
        <v>0</v>
      </c>
      <c r="S354">
        <f t="array" ref="S354">SUM(IF(搜索词报告!$H$2:$H$22222=L354,IF(搜索词报告!$A$2:$A$22222&gt;=$L$2,IF(搜索词报告!$A$2:$A$22222&lt;=$L$4,搜索词报告!$M$2:$M$22222,0),0),0))</f>
        <v>0</v>
      </c>
      <c r="T354" s="2" t="str">
        <f t="shared" si="46"/>
        <v/>
      </c>
      <c r="U354" t="str">
        <f t="shared" si="47"/>
        <v>点击次数少于10次没有参考性</v>
      </c>
      <c r="V354" s="4" t="str">
        <f>IFERROR(INDEX(搜索词报告!$D$2:$D$22222,MATCH(关键词词频统计!L354,搜索词报告!$H$2:$H$22222,0)),"")</f>
        <v/>
      </c>
    </row>
    <row r="355" spans="2:22" x14ac:dyDescent="0.15">
      <c r="B355">
        <f t="array" ref="B355">SUM(IF(搜索词报告!$H$2:$H$22222=A355,IF(搜索词报告!$A$2:$A$22222&gt;=关键词词频统计!$A$2,IF(搜索词报告!$A$2:$A$22222&lt;=关键词词频统计!$A$4,搜索词报告!$I$2:$I$22222,0),0),0))</f>
        <v>0</v>
      </c>
      <c r="C355">
        <f t="array" ref="C355">SUM(IF(搜索词报告!$H$2:$H$22222=A355,IF(搜索词报告!$A$2:$A$22222&gt;=关键词词频统计!$A$2,IF(搜索词报告!$A$2:$A$22222&lt;=关键词词频统计!$A$4,搜索词报告!$J$2:$J$22222,0),0),0))</f>
        <v>0</v>
      </c>
      <c r="D355" s="2">
        <f t="shared" si="40"/>
        <v>0</v>
      </c>
      <c r="E355" s="2">
        <f t="shared" si="41"/>
        <v>0</v>
      </c>
      <c r="F355">
        <f t="array" ref="F355">SUM(IF(搜索词报告!$H$2:$H$22222=A355,IF(搜索词报告!$A$2:$A$22222&gt;=关键词词频统计!$A$2,IF(搜索词报告!$A$2:$A$22222&lt;=关键词词频统计!$A$4,搜索词报告!$Q$2:$Q$22222,0),0),0))</f>
        <v>0</v>
      </c>
      <c r="G355">
        <f t="array" ref="G355">SUM(IF(搜索词报告!$H$2:$H$22222=A355,IF(搜索词报告!$A$2:$A$22222&gt;=关键词词频统计!$A$2,IF(搜索词报告!$A$2:$A$22222&lt;=关键词词频统计!$A$4,搜索词报告!$N$2:$N$22222,0),0),0))</f>
        <v>0</v>
      </c>
      <c r="H355">
        <f t="array" ref="H355">SUM(IF(搜索词报告!$H$2:$H$22222=A355,IF(搜索词报告!$A$2:$A$22222&gt;=关键词词频统计!$A$2,IF(搜索词报告!$A$2:$A$22222&lt;=关键词词频统计!$A$4,搜索词报告!$M$2:$M$22222,0),0),0))</f>
        <v>0</v>
      </c>
      <c r="I355" s="2" t="str">
        <f t="shared" si="42"/>
        <v/>
      </c>
      <c r="J355" t="str">
        <f t="shared" si="43"/>
        <v>点击次数少于10次没有参考性</v>
      </c>
      <c r="K355" s="4" t="str">
        <f>IFERROR(INDEX(搜索词报告!$D$2:$D$22222,MATCH(关键词词频统计!A355,搜索词报告!$H$2:$H$22222,0)),"")</f>
        <v/>
      </c>
      <c r="M355">
        <f t="array" ref="M355">SUM(IF(搜索词报告!$H$2:$H$22222=L355,IF(搜索词报告!$A$2:$A$22222&gt;=$L$2,IF(搜索词报告!$A$2:$A$22222&lt;=$L$4,搜索词报告!$I$2:$I$22222,0),0),0))</f>
        <v>0</v>
      </c>
      <c r="N355">
        <f t="array" ref="N355">SUM(IF(搜索词报告!$H$2:$H$22222=L355,IF(搜索词报告!$A$2:$A$22222&gt;=$L$2,IF(搜索词报告!$A$2:$A$22222&lt;=$L$4,搜索词报告!$J$2:$J$22222,0),0),0))</f>
        <v>0</v>
      </c>
      <c r="O355" s="2">
        <f t="shared" si="44"/>
        <v>0</v>
      </c>
      <c r="P355" s="2">
        <f t="shared" si="45"/>
        <v>0</v>
      </c>
      <c r="Q355">
        <f t="array" ref="Q355">SUM(IF(搜索词报告!$H$2:$H$22222=L355,IF(搜索词报告!$A$2:$A$22222&gt;=$L$2,IF(搜索词报告!$A$2:$A$22222&lt;=$L$4,搜索词报告!$Q$2:$Q$22222,0),0),0))</f>
        <v>0</v>
      </c>
      <c r="R355">
        <f t="array" ref="R355">SUM(IF(搜索词报告!$H$2:$H$22222=L355,IF(搜索词报告!$A$2:$A$22222&gt;=$L$2,IF(搜索词报告!$A$2:$A$22222&lt;=$L$4,搜索词报告!$N$2:$N$22222,0),0),0))</f>
        <v>0</v>
      </c>
      <c r="S355">
        <f t="array" ref="S355">SUM(IF(搜索词报告!$H$2:$H$22222=L355,IF(搜索词报告!$A$2:$A$22222&gt;=$L$2,IF(搜索词报告!$A$2:$A$22222&lt;=$L$4,搜索词报告!$M$2:$M$22222,0),0),0))</f>
        <v>0</v>
      </c>
      <c r="T355" s="2" t="str">
        <f t="shared" si="46"/>
        <v/>
      </c>
      <c r="U355" t="str">
        <f t="shared" si="47"/>
        <v>点击次数少于10次没有参考性</v>
      </c>
      <c r="V355" s="4" t="str">
        <f>IFERROR(INDEX(搜索词报告!$D$2:$D$22222,MATCH(关键词词频统计!L355,搜索词报告!$H$2:$H$22222,0)),"")</f>
        <v/>
      </c>
    </row>
    <row r="356" spans="2:22" x14ac:dyDescent="0.15">
      <c r="B356">
        <f t="array" ref="B356">SUM(IF(搜索词报告!$H$2:$H$22222=A356,IF(搜索词报告!$A$2:$A$22222&gt;=关键词词频统计!$A$2,IF(搜索词报告!$A$2:$A$22222&lt;=关键词词频统计!$A$4,搜索词报告!$I$2:$I$22222,0),0),0))</f>
        <v>0</v>
      </c>
      <c r="C356">
        <f t="array" ref="C356">SUM(IF(搜索词报告!$H$2:$H$22222=A356,IF(搜索词报告!$A$2:$A$22222&gt;=关键词词频统计!$A$2,IF(搜索词报告!$A$2:$A$22222&lt;=关键词词频统计!$A$4,搜索词报告!$J$2:$J$22222,0),0),0))</f>
        <v>0</v>
      </c>
      <c r="D356" s="2">
        <f t="shared" si="40"/>
        <v>0</v>
      </c>
      <c r="E356" s="2">
        <f t="shared" si="41"/>
        <v>0</v>
      </c>
      <c r="F356">
        <f t="array" ref="F356">SUM(IF(搜索词报告!$H$2:$H$22222=A356,IF(搜索词报告!$A$2:$A$22222&gt;=关键词词频统计!$A$2,IF(搜索词报告!$A$2:$A$22222&lt;=关键词词频统计!$A$4,搜索词报告!$Q$2:$Q$22222,0),0),0))</f>
        <v>0</v>
      </c>
      <c r="G356">
        <f t="array" ref="G356">SUM(IF(搜索词报告!$H$2:$H$22222=A356,IF(搜索词报告!$A$2:$A$22222&gt;=关键词词频统计!$A$2,IF(搜索词报告!$A$2:$A$22222&lt;=关键词词频统计!$A$4,搜索词报告!$N$2:$N$22222,0),0),0))</f>
        <v>0</v>
      </c>
      <c r="H356">
        <f t="array" ref="H356">SUM(IF(搜索词报告!$H$2:$H$22222=A356,IF(搜索词报告!$A$2:$A$22222&gt;=关键词词频统计!$A$2,IF(搜索词报告!$A$2:$A$22222&lt;=关键词词频统计!$A$4,搜索词报告!$M$2:$M$22222,0),0),0))</f>
        <v>0</v>
      </c>
      <c r="I356" s="2" t="str">
        <f t="shared" si="42"/>
        <v/>
      </c>
      <c r="J356" t="str">
        <f t="shared" si="43"/>
        <v>点击次数少于10次没有参考性</v>
      </c>
      <c r="K356" s="4" t="str">
        <f>IFERROR(INDEX(搜索词报告!$D$2:$D$22222,MATCH(关键词词频统计!A356,搜索词报告!$H$2:$H$22222,0)),"")</f>
        <v/>
      </c>
      <c r="M356">
        <f t="array" ref="M356">SUM(IF(搜索词报告!$H$2:$H$22222=L356,IF(搜索词报告!$A$2:$A$22222&gt;=$L$2,IF(搜索词报告!$A$2:$A$22222&lt;=$L$4,搜索词报告!$I$2:$I$22222,0),0),0))</f>
        <v>0</v>
      </c>
      <c r="N356">
        <f t="array" ref="N356">SUM(IF(搜索词报告!$H$2:$H$22222=L356,IF(搜索词报告!$A$2:$A$22222&gt;=$L$2,IF(搜索词报告!$A$2:$A$22222&lt;=$L$4,搜索词报告!$J$2:$J$22222,0),0),0))</f>
        <v>0</v>
      </c>
      <c r="O356" s="2">
        <f t="shared" si="44"/>
        <v>0</v>
      </c>
      <c r="P356" s="2">
        <f t="shared" si="45"/>
        <v>0</v>
      </c>
      <c r="Q356">
        <f t="array" ref="Q356">SUM(IF(搜索词报告!$H$2:$H$22222=L356,IF(搜索词报告!$A$2:$A$22222&gt;=$L$2,IF(搜索词报告!$A$2:$A$22222&lt;=$L$4,搜索词报告!$Q$2:$Q$22222,0),0),0))</f>
        <v>0</v>
      </c>
      <c r="R356">
        <f t="array" ref="R356">SUM(IF(搜索词报告!$H$2:$H$22222=L356,IF(搜索词报告!$A$2:$A$22222&gt;=$L$2,IF(搜索词报告!$A$2:$A$22222&lt;=$L$4,搜索词报告!$N$2:$N$22222,0),0),0))</f>
        <v>0</v>
      </c>
      <c r="S356">
        <f t="array" ref="S356">SUM(IF(搜索词报告!$H$2:$H$22222=L356,IF(搜索词报告!$A$2:$A$22222&gt;=$L$2,IF(搜索词报告!$A$2:$A$22222&lt;=$L$4,搜索词报告!$M$2:$M$22222,0),0),0))</f>
        <v>0</v>
      </c>
      <c r="T356" s="2" t="str">
        <f t="shared" si="46"/>
        <v/>
      </c>
      <c r="U356" t="str">
        <f t="shared" si="47"/>
        <v>点击次数少于10次没有参考性</v>
      </c>
      <c r="V356" s="4" t="str">
        <f>IFERROR(INDEX(搜索词报告!$D$2:$D$22222,MATCH(关键词词频统计!L356,搜索词报告!$H$2:$H$22222,0)),"")</f>
        <v/>
      </c>
    </row>
    <row r="357" spans="2:22" x14ac:dyDescent="0.15">
      <c r="B357">
        <f t="array" ref="B357">SUM(IF(搜索词报告!$H$2:$H$22222=A357,IF(搜索词报告!$A$2:$A$22222&gt;=关键词词频统计!$A$2,IF(搜索词报告!$A$2:$A$22222&lt;=关键词词频统计!$A$4,搜索词报告!$I$2:$I$22222,0),0),0))</f>
        <v>0</v>
      </c>
      <c r="C357">
        <f t="array" ref="C357">SUM(IF(搜索词报告!$H$2:$H$22222=A357,IF(搜索词报告!$A$2:$A$22222&gt;=关键词词频统计!$A$2,IF(搜索词报告!$A$2:$A$22222&lt;=关键词词频统计!$A$4,搜索词报告!$J$2:$J$22222,0),0),0))</f>
        <v>0</v>
      </c>
      <c r="D357" s="2">
        <f t="shared" si="40"/>
        <v>0</v>
      </c>
      <c r="E357" s="2">
        <f t="shared" si="41"/>
        <v>0</v>
      </c>
      <c r="F357">
        <f t="array" ref="F357">SUM(IF(搜索词报告!$H$2:$H$22222=A357,IF(搜索词报告!$A$2:$A$22222&gt;=关键词词频统计!$A$2,IF(搜索词报告!$A$2:$A$22222&lt;=关键词词频统计!$A$4,搜索词报告!$Q$2:$Q$22222,0),0),0))</f>
        <v>0</v>
      </c>
      <c r="G357">
        <f t="array" ref="G357">SUM(IF(搜索词报告!$H$2:$H$22222=A357,IF(搜索词报告!$A$2:$A$22222&gt;=关键词词频统计!$A$2,IF(搜索词报告!$A$2:$A$22222&lt;=关键词词频统计!$A$4,搜索词报告!$N$2:$N$22222,0),0),0))</f>
        <v>0</v>
      </c>
      <c r="H357">
        <f t="array" ref="H357">SUM(IF(搜索词报告!$H$2:$H$22222=A357,IF(搜索词报告!$A$2:$A$22222&gt;=关键词词频统计!$A$2,IF(搜索词报告!$A$2:$A$22222&lt;=关键词词频统计!$A$4,搜索词报告!$M$2:$M$22222,0),0),0))</f>
        <v>0</v>
      </c>
      <c r="I357" s="2" t="str">
        <f t="shared" si="42"/>
        <v/>
      </c>
      <c r="J357" t="str">
        <f t="shared" si="43"/>
        <v>点击次数少于10次没有参考性</v>
      </c>
      <c r="K357" s="4" t="str">
        <f>IFERROR(INDEX(搜索词报告!$D$2:$D$22222,MATCH(关键词词频统计!A357,搜索词报告!$H$2:$H$22222,0)),"")</f>
        <v/>
      </c>
      <c r="M357">
        <f t="array" ref="M357">SUM(IF(搜索词报告!$H$2:$H$22222=L357,IF(搜索词报告!$A$2:$A$22222&gt;=$L$2,IF(搜索词报告!$A$2:$A$22222&lt;=$L$4,搜索词报告!$I$2:$I$22222,0),0),0))</f>
        <v>0</v>
      </c>
      <c r="N357">
        <f t="array" ref="N357">SUM(IF(搜索词报告!$H$2:$H$22222=L357,IF(搜索词报告!$A$2:$A$22222&gt;=$L$2,IF(搜索词报告!$A$2:$A$22222&lt;=$L$4,搜索词报告!$J$2:$J$22222,0),0),0))</f>
        <v>0</v>
      </c>
      <c r="O357" s="2">
        <f t="shared" si="44"/>
        <v>0</v>
      </c>
      <c r="P357" s="2">
        <f t="shared" si="45"/>
        <v>0</v>
      </c>
      <c r="Q357">
        <f t="array" ref="Q357">SUM(IF(搜索词报告!$H$2:$H$22222=L357,IF(搜索词报告!$A$2:$A$22222&gt;=$L$2,IF(搜索词报告!$A$2:$A$22222&lt;=$L$4,搜索词报告!$Q$2:$Q$22222,0),0),0))</f>
        <v>0</v>
      </c>
      <c r="R357">
        <f t="array" ref="R357">SUM(IF(搜索词报告!$H$2:$H$22222=L357,IF(搜索词报告!$A$2:$A$22222&gt;=$L$2,IF(搜索词报告!$A$2:$A$22222&lt;=$L$4,搜索词报告!$N$2:$N$22222,0),0),0))</f>
        <v>0</v>
      </c>
      <c r="S357">
        <f t="array" ref="S357">SUM(IF(搜索词报告!$H$2:$H$22222=L357,IF(搜索词报告!$A$2:$A$22222&gt;=$L$2,IF(搜索词报告!$A$2:$A$22222&lt;=$L$4,搜索词报告!$M$2:$M$22222,0),0),0))</f>
        <v>0</v>
      </c>
      <c r="T357" s="2" t="str">
        <f t="shared" si="46"/>
        <v/>
      </c>
      <c r="U357" t="str">
        <f t="shared" si="47"/>
        <v>点击次数少于10次没有参考性</v>
      </c>
      <c r="V357" s="4" t="str">
        <f>IFERROR(INDEX(搜索词报告!$D$2:$D$22222,MATCH(关键词词频统计!L357,搜索词报告!$H$2:$H$22222,0)),"")</f>
        <v/>
      </c>
    </row>
    <row r="358" spans="2:22" x14ac:dyDescent="0.15">
      <c r="B358">
        <f t="array" ref="B358">SUM(IF(搜索词报告!$H$2:$H$22222=A358,IF(搜索词报告!$A$2:$A$22222&gt;=关键词词频统计!$A$2,IF(搜索词报告!$A$2:$A$22222&lt;=关键词词频统计!$A$4,搜索词报告!$I$2:$I$22222,0),0),0))</f>
        <v>0</v>
      </c>
      <c r="C358">
        <f t="array" ref="C358">SUM(IF(搜索词报告!$H$2:$H$22222=A358,IF(搜索词报告!$A$2:$A$22222&gt;=关键词词频统计!$A$2,IF(搜索词报告!$A$2:$A$22222&lt;=关键词词频统计!$A$4,搜索词报告!$J$2:$J$22222,0),0),0))</f>
        <v>0</v>
      </c>
      <c r="D358" s="2">
        <f t="shared" si="40"/>
        <v>0</v>
      </c>
      <c r="E358" s="2">
        <f t="shared" si="41"/>
        <v>0</v>
      </c>
      <c r="F358">
        <f t="array" ref="F358">SUM(IF(搜索词报告!$H$2:$H$22222=A358,IF(搜索词报告!$A$2:$A$22222&gt;=关键词词频统计!$A$2,IF(搜索词报告!$A$2:$A$22222&lt;=关键词词频统计!$A$4,搜索词报告!$Q$2:$Q$22222,0),0),0))</f>
        <v>0</v>
      </c>
      <c r="G358">
        <f t="array" ref="G358">SUM(IF(搜索词报告!$H$2:$H$22222=A358,IF(搜索词报告!$A$2:$A$22222&gt;=关键词词频统计!$A$2,IF(搜索词报告!$A$2:$A$22222&lt;=关键词词频统计!$A$4,搜索词报告!$N$2:$N$22222,0),0),0))</f>
        <v>0</v>
      </c>
      <c r="H358">
        <f t="array" ref="H358">SUM(IF(搜索词报告!$H$2:$H$22222=A358,IF(搜索词报告!$A$2:$A$22222&gt;=关键词词频统计!$A$2,IF(搜索词报告!$A$2:$A$22222&lt;=关键词词频统计!$A$4,搜索词报告!$M$2:$M$22222,0),0),0))</f>
        <v>0</v>
      </c>
      <c r="I358" s="2" t="str">
        <f t="shared" si="42"/>
        <v/>
      </c>
      <c r="J358" t="str">
        <f t="shared" si="43"/>
        <v>点击次数少于10次没有参考性</v>
      </c>
      <c r="K358" s="4" t="str">
        <f>IFERROR(INDEX(搜索词报告!$D$2:$D$22222,MATCH(关键词词频统计!A358,搜索词报告!$H$2:$H$22222,0)),"")</f>
        <v/>
      </c>
      <c r="M358">
        <f t="array" ref="M358">SUM(IF(搜索词报告!$H$2:$H$22222=L358,IF(搜索词报告!$A$2:$A$22222&gt;=$L$2,IF(搜索词报告!$A$2:$A$22222&lt;=$L$4,搜索词报告!$I$2:$I$22222,0),0),0))</f>
        <v>0</v>
      </c>
      <c r="N358">
        <f t="array" ref="N358">SUM(IF(搜索词报告!$H$2:$H$22222=L358,IF(搜索词报告!$A$2:$A$22222&gt;=$L$2,IF(搜索词报告!$A$2:$A$22222&lt;=$L$4,搜索词报告!$J$2:$J$22222,0),0),0))</f>
        <v>0</v>
      </c>
      <c r="O358" s="2">
        <f t="shared" si="44"/>
        <v>0</v>
      </c>
      <c r="P358" s="2">
        <f t="shared" si="45"/>
        <v>0</v>
      </c>
      <c r="Q358">
        <f t="array" ref="Q358">SUM(IF(搜索词报告!$H$2:$H$22222=L358,IF(搜索词报告!$A$2:$A$22222&gt;=$L$2,IF(搜索词报告!$A$2:$A$22222&lt;=$L$4,搜索词报告!$Q$2:$Q$22222,0),0),0))</f>
        <v>0</v>
      </c>
      <c r="R358">
        <f t="array" ref="R358">SUM(IF(搜索词报告!$H$2:$H$22222=L358,IF(搜索词报告!$A$2:$A$22222&gt;=$L$2,IF(搜索词报告!$A$2:$A$22222&lt;=$L$4,搜索词报告!$N$2:$N$22222,0),0),0))</f>
        <v>0</v>
      </c>
      <c r="S358">
        <f t="array" ref="S358">SUM(IF(搜索词报告!$H$2:$H$22222=L358,IF(搜索词报告!$A$2:$A$22222&gt;=$L$2,IF(搜索词报告!$A$2:$A$22222&lt;=$L$4,搜索词报告!$M$2:$M$22222,0),0),0))</f>
        <v>0</v>
      </c>
      <c r="T358" s="2" t="str">
        <f t="shared" si="46"/>
        <v/>
      </c>
      <c r="U358" t="str">
        <f t="shared" si="47"/>
        <v>点击次数少于10次没有参考性</v>
      </c>
      <c r="V358" s="4" t="str">
        <f>IFERROR(INDEX(搜索词报告!$D$2:$D$22222,MATCH(关键词词频统计!L358,搜索词报告!$H$2:$H$22222,0)),"")</f>
        <v/>
      </c>
    </row>
    <row r="359" spans="2:22" x14ac:dyDescent="0.15">
      <c r="B359">
        <f t="array" ref="B359">SUM(IF(搜索词报告!$H$2:$H$22222=A359,IF(搜索词报告!$A$2:$A$22222&gt;=关键词词频统计!$A$2,IF(搜索词报告!$A$2:$A$22222&lt;=关键词词频统计!$A$4,搜索词报告!$I$2:$I$22222,0),0),0))</f>
        <v>0</v>
      </c>
      <c r="C359">
        <f t="array" ref="C359">SUM(IF(搜索词报告!$H$2:$H$22222=A359,IF(搜索词报告!$A$2:$A$22222&gt;=关键词词频统计!$A$2,IF(搜索词报告!$A$2:$A$22222&lt;=关键词词频统计!$A$4,搜索词报告!$J$2:$J$22222,0),0),0))</f>
        <v>0</v>
      </c>
      <c r="D359" s="2">
        <f t="shared" si="40"/>
        <v>0</v>
      </c>
      <c r="E359" s="2">
        <f t="shared" si="41"/>
        <v>0</v>
      </c>
      <c r="F359">
        <f t="array" ref="F359">SUM(IF(搜索词报告!$H$2:$H$22222=A359,IF(搜索词报告!$A$2:$A$22222&gt;=关键词词频统计!$A$2,IF(搜索词报告!$A$2:$A$22222&lt;=关键词词频统计!$A$4,搜索词报告!$Q$2:$Q$22222,0),0),0))</f>
        <v>0</v>
      </c>
      <c r="G359">
        <f t="array" ref="G359">SUM(IF(搜索词报告!$H$2:$H$22222=A359,IF(搜索词报告!$A$2:$A$22222&gt;=关键词词频统计!$A$2,IF(搜索词报告!$A$2:$A$22222&lt;=关键词词频统计!$A$4,搜索词报告!$N$2:$N$22222,0),0),0))</f>
        <v>0</v>
      </c>
      <c r="H359">
        <f t="array" ref="H359">SUM(IF(搜索词报告!$H$2:$H$22222=A359,IF(搜索词报告!$A$2:$A$22222&gt;=关键词词频统计!$A$2,IF(搜索词报告!$A$2:$A$22222&lt;=关键词词频统计!$A$4,搜索词报告!$M$2:$M$22222,0),0),0))</f>
        <v>0</v>
      </c>
      <c r="I359" s="2" t="str">
        <f t="shared" si="42"/>
        <v/>
      </c>
      <c r="J359" t="str">
        <f t="shared" si="43"/>
        <v>点击次数少于10次没有参考性</v>
      </c>
      <c r="K359" s="4" t="str">
        <f>IFERROR(INDEX(搜索词报告!$D$2:$D$22222,MATCH(关键词词频统计!A359,搜索词报告!$H$2:$H$22222,0)),"")</f>
        <v/>
      </c>
      <c r="M359">
        <f t="array" ref="M359">SUM(IF(搜索词报告!$H$2:$H$22222=L359,IF(搜索词报告!$A$2:$A$22222&gt;=$L$2,IF(搜索词报告!$A$2:$A$22222&lt;=$L$4,搜索词报告!$I$2:$I$22222,0),0),0))</f>
        <v>0</v>
      </c>
      <c r="N359">
        <f t="array" ref="N359">SUM(IF(搜索词报告!$H$2:$H$22222=L359,IF(搜索词报告!$A$2:$A$22222&gt;=$L$2,IF(搜索词报告!$A$2:$A$22222&lt;=$L$4,搜索词报告!$J$2:$J$22222,0),0),0))</f>
        <v>0</v>
      </c>
      <c r="O359" s="2">
        <f t="shared" si="44"/>
        <v>0</v>
      </c>
      <c r="P359" s="2">
        <f t="shared" si="45"/>
        <v>0</v>
      </c>
      <c r="Q359">
        <f t="array" ref="Q359">SUM(IF(搜索词报告!$H$2:$H$22222=L359,IF(搜索词报告!$A$2:$A$22222&gt;=$L$2,IF(搜索词报告!$A$2:$A$22222&lt;=$L$4,搜索词报告!$Q$2:$Q$22222,0),0),0))</f>
        <v>0</v>
      </c>
      <c r="R359">
        <f t="array" ref="R359">SUM(IF(搜索词报告!$H$2:$H$22222=L359,IF(搜索词报告!$A$2:$A$22222&gt;=$L$2,IF(搜索词报告!$A$2:$A$22222&lt;=$L$4,搜索词报告!$N$2:$N$22222,0),0),0))</f>
        <v>0</v>
      </c>
      <c r="S359">
        <f t="array" ref="S359">SUM(IF(搜索词报告!$H$2:$H$22222=L359,IF(搜索词报告!$A$2:$A$22222&gt;=$L$2,IF(搜索词报告!$A$2:$A$22222&lt;=$L$4,搜索词报告!$M$2:$M$22222,0),0),0))</f>
        <v>0</v>
      </c>
      <c r="T359" s="2" t="str">
        <f t="shared" si="46"/>
        <v/>
      </c>
      <c r="U359" t="str">
        <f t="shared" si="47"/>
        <v>点击次数少于10次没有参考性</v>
      </c>
      <c r="V359" s="4" t="str">
        <f>IFERROR(INDEX(搜索词报告!$D$2:$D$22222,MATCH(关键词词频统计!L359,搜索词报告!$H$2:$H$22222,0)),"")</f>
        <v/>
      </c>
    </row>
    <row r="360" spans="2:22" x14ac:dyDescent="0.15">
      <c r="B360">
        <f t="array" ref="B360">SUM(IF(搜索词报告!$H$2:$H$22222=A360,IF(搜索词报告!$A$2:$A$22222&gt;=关键词词频统计!$A$2,IF(搜索词报告!$A$2:$A$22222&lt;=关键词词频统计!$A$4,搜索词报告!$I$2:$I$22222,0),0),0))</f>
        <v>0</v>
      </c>
      <c r="C360">
        <f t="array" ref="C360">SUM(IF(搜索词报告!$H$2:$H$22222=A360,IF(搜索词报告!$A$2:$A$22222&gt;=关键词词频统计!$A$2,IF(搜索词报告!$A$2:$A$22222&lt;=关键词词频统计!$A$4,搜索词报告!$J$2:$J$22222,0),0),0))</f>
        <v>0</v>
      </c>
      <c r="D360" s="2">
        <f t="shared" si="40"/>
        <v>0</v>
      </c>
      <c r="E360" s="2">
        <f t="shared" si="41"/>
        <v>0</v>
      </c>
      <c r="F360">
        <f t="array" ref="F360">SUM(IF(搜索词报告!$H$2:$H$22222=A360,IF(搜索词报告!$A$2:$A$22222&gt;=关键词词频统计!$A$2,IF(搜索词报告!$A$2:$A$22222&lt;=关键词词频统计!$A$4,搜索词报告!$Q$2:$Q$22222,0),0),0))</f>
        <v>0</v>
      </c>
      <c r="G360">
        <f t="array" ref="G360">SUM(IF(搜索词报告!$H$2:$H$22222=A360,IF(搜索词报告!$A$2:$A$22222&gt;=关键词词频统计!$A$2,IF(搜索词报告!$A$2:$A$22222&lt;=关键词词频统计!$A$4,搜索词报告!$N$2:$N$22222,0),0),0))</f>
        <v>0</v>
      </c>
      <c r="H360">
        <f t="array" ref="H360">SUM(IF(搜索词报告!$H$2:$H$22222=A360,IF(搜索词报告!$A$2:$A$22222&gt;=关键词词频统计!$A$2,IF(搜索词报告!$A$2:$A$22222&lt;=关键词词频统计!$A$4,搜索词报告!$M$2:$M$22222,0),0),0))</f>
        <v>0</v>
      </c>
      <c r="I360" s="2" t="str">
        <f t="shared" si="42"/>
        <v/>
      </c>
      <c r="J360" t="str">
        <f t="shared" si="43"/>
        <v>点击次数少于10次没有参考性</v>
      </c>
      <c r="K360" s="4" t="str">
        <f>IFERROR(INDEX(搜索词报告!$D$2:$D$22222,MATCH(关键词词频统计!A360,搜索词报告!$H$2:$H$22222,0)),"")</f>
        <v/>
      </c>
      <c r="M360">
        <f t="array" ref="M360">SUM(IF(搜索词报告!$H$2:$H$22222=L360,IF(搜索词报告!$A$2:$A$22222&gt;=$L$2,IF(搜索词报告!$A$2:$A$22222&lt;=$L$4,搜索词报告!$I$2:$I$22222,0),0),0))</f>
        <v>0</v>
      </c>
      <c r="N360">
        <f t="array" ref="N360">SUM(IF(搜索词报告!$H$2:$H$22222=L360,IF(搜索词报告!$A$2:$A$22222&gt;=$L$2,IF(搜索词报告!$A$2:$A$22222&lt;=$L$4,搜索词报告!$J$2:$J$22222,0),0),0))</f>
        <v>0</v>
      </c>
      <c r="O360" s="2">
        <f t="shared" si="44"/>
        <v>0</v>
      </c>
      <c r="P360" s="2">
        <f t="shared" si="45"/>
        <v>0</v>
      </c>
      <c r="Q360">
        <f t="array" ref="Q360">SUM(IF(搜索词报告!$H$2:$H$22222=L360,IF(搜索词报告!$A$2:$A$22222&gt;=$L$2,IF(搜索词报告!$A$2:$A$22222&lt;=$L$4,搜索词报告!$Q$2:$Q$22222,0),0),0))</f>
        <v>0</v>
      </c>
      <c r="R360">
        <f t="array" ref="R360">SUM(IF(搜索词报告!$H$2:$H$22222=L360,IF(搜索词报告!$A$2:$A$22222&gt;=$L$2,IF(搜索词报告!$A$2:$A$22222&lt;=$L$4,搜索词报告!$N$2:$N$22222,0),0),0))</f>
        <v>0</v>
      </c>
      <c r="S360">
        <f t="array" ref="S360">SUM(IF(搜索词报告!$H$2:$H$22222=L360,IF(搜索词报告!$A$2:$A$22222&gt;=$L$2,IF(搜索词报告!$A$2:$A$22222&lt;=$L$4,搜索词报告!$M$2:$M$22222,0),0),0))</f>
        <v>0</v>
      </c>
      <c r="T360" s="2" t="str">
        <f t="shared" si="46"/>
        <v/>
      </c>
      <c r="U360" t="str">
        <f t="shared" si="47"/>
        <v>点击次数少于10次没有参考性</v>
      </c>
      <c r="V360" s="4" t="str">
        <f>IFERROR(INDEX(搜索词报告!$D$2:$D$22222,MATCH(关键词词频统计!L360,搜索词报告!$H$2:$H$22222,0)),"")</f>
        <v/>
      </c>
    </row>
    <row r="361" spans="2:22" x14ac:dyDescent="0.15">
      <c r="B361">
        <f t="array" ref="B361">SUM(IF(搜索词报告!$H$2:$H$22222=A361,IF(搜索词报告!$A$2:$A$22222&gt;=关键词词频统计!$A$2,IF(搜索词报告!$A$2:$A$22222&lt;=关键词词频统计!$A$4,搜索词报告!$I$2:$I$22222,0),0),0))</f>
        <v>0</v>
      </c>
      <c r="C361">
        <f t="array" ref="C361">SUM(IF(搜索词报告!$H$2:$H$22222=A361,IF(搜索词报告!$A$2:$A$22222&gt;=关键词词频统计!$A$2,IF(搜索词报告!$A$2:$A$22222&lt;=关键词词频统计!$A$4,搜索词报告!$J$2:$J$22222,0),0),0))</f>
        <v>0</v>
      </c>
      <c r="D361" s="2">
        <f t="shared" si="40"/>
        <v>0</v>
      </c>
      <c r="E361" s="2">
        <f t="shared" si="41"/>
        <v>0</v>
      </c>
      <c r="F361">
        <f t="array" ref="F361">SUM(IF(搜索词报告!$H$2:$H$22222=A361,IF(搜索词报告!$A$2:$A$22222&gt;=关键词词频统计!$A$2,IF(搜索词报告!$A$2:$A$22222&lt;=关键词词频统计!$A$4,搜索词报告!$Q$2:$Q$22222,0),0),0))</f>
        <v>0</v>
      </c>
      <c r="G361">
        <f t="array" ref="G361">SUM(IF(搜索词报告!$H$2:$H$22222=A361,IF(搜索词报告!$A$2:$A$22222&gt;=关键词词频统计!$A$2,IF(搜索词报告!$A$2:$A$22222&lt;=关键词词频统计!$A$4,搜索词报告!$N$2:$N$22222,0),0),0))</f>
        <v>0</v>
      </c>
      <c r="H361">
        <f t="array" ref="H361">SUM(IF(搜索词报告!$H$2:$H$22222=A361,IF(搜索词报告!$A$2:$A$22222&gt;=关键词词频统计!$A$2,IF(搜索词报告!$A$2:$A$22222&lt;=关键词词频统计!$A$4,搜索词报告!$M$2:$M$22222,0),0),0))</f>
        <v>0</v>
      </c>
      <c r="I361" s="2" t="str">
        <f t="shared" si="42"/>
        <v/>
      </c>
      <c r="J361" t="str">
        <f t="shared" si="43"/>
        <v>点击次数少于10次没有参考性</v>
      </c>
      <c r="K361" s="4" t="str">
        <f>IFERROR(INDEX(搜索词报告!$D$2:$D$22222,MATCH(关键词词频统计!A361,搜索词报告!$H$2:$H$22222,0)),"")</f>
        <v/>
      </c>
      <c r="M361">
        <f t="array" ref="M361">SUM(IF(搜索词报告!$H$2:$H$22222=L361,IF(搜索词报告!$A$2:$A$22222&gt;=$L$2,IF(搜索词报告!$A$2:$A$22222&lt;=$L$4,搜索词报告!$I$2:$I$22222,0),0),0))</f>
        <v>0</v>
      </c>
      <c r="N361">
        <f t="array" ref="N361">SUM(IF(搜索词报告!$H$2:$H$22222=L361,IF(搜索词报告!$A$2:$A$22222&gt;=$L$2,IF(搜索词报告!$A$2:$A$22222&lt;=$L$4,搜索词报告!$J$2:$J$22222,0),0),0))</f>
        <v>0</v>
      </c>
      <c r="O361" s="2">
        <f t="shared" si="44"/>
        <v>0</v>
      </c>
      <c r="P361" s="2">
        <f t="shared" si="45"/>
        <v>0</v>
      </c>
      <c r="Q361">
        <f t="array" ref="Q361">SUM(IF(搜索词报告!$H$2:$H$22222=L361,IF(搜索词报告!$A$2:$A$22222&gt;=$L$2,IF(搜索词报告!$A$2:$A$22222&lt;=$L$4,搜索词报告!$Q$2:$Q$22222,0),0),0))</f>
        <v>0</v>
      </c>
      <c r="R361">
        <f t="array" ref="R361">SUM(IF(搜索词报告!$H$2:$H$22222=L361,IF(搜索词报告!$A$2:$A$22222&gt;=$L$2,IF(搜索词报告!$A$2:$A$22222&lt;=$L$4,搜索词报告!$N$2:$N$22222,0),0),0))</f>
        <v>0</v>
      </c>
      <c r="S361">
        <f t="array" ref="S361">SUM(IF(搜索词报告!$H$2:$H$22222=L361,IF(搜索词报告!$A$2:$A$22222&gt;=$L$2,IF(搜索词报告!$A$2:$A$22222&lt;=$L$4,搜索词报告!$M$2:$M$22222,0),0),0))</f>
        <v>0</v>
      </c>
      <c r="T361" s="2" t="str">
        <f t="shared" si="46"/>
        <v/>
      </c>
      <c r="U361" t="str">
        <f t="shared" si="47"/>
        <v>点击次数少于10次没有参考性</v>
      </c>
      <c r="V361" s="4" t="str">
        <f>IFERROR(INDEX(搜索词报告!$D$2:$D$22222,MATCH(关键词词频统计!L361,搜索词报告!$H$2:$H$22222,0)),"")</f>
        <v/>
      </c>
    </row>
    <row r="362" spans="2:22" x14ac:dyDescent="0.15">
      <c r="B362">
        <f t="array" ref="B362">SUM(IF(搜索词报告!$H$2:$H$22222=A362,IF(搜索词报告!$A$2:$A$22222&gt;=关键词词频统计!$A$2,IF(搜索词报告!$A$2:$A$22222&lt;=关键词词频统计!$A$4,搜索词报告!$I$2:$I$22222,0),0),0))</f>
        <v>0</v>
      </c>
      <c r="C362">
        <f t="array" ref="C362">SUM(IF(搜索词报告!$H$2:$H$22222=A362,IF(搜索词报告!$A$2:$A$22222&gt;=关键词词频统计!$A$2,IF(搜索词报告!$A$2:$A$22222&lt;=关键词词频统计!$A$4,搜索词报告!$J$2:$J$22222,0),0),0))</f>
        <v>0</v>
      </c>
      <c r="D362" s="2">
        <f t="shared" si="40"/>
        <v>0</v>
      </c>
      <c r="E362" s="2">
        <f t="shared" si="41"/>
        <v>0</v>
      </c>
      <c r="F362">
        <f t="array" ref="F362">SUM(IF(搜索词报告!$H$2:$H$22222=A362,IF(搜索词报告!$A$2:$A$22222&gt;=关键词词频统计!$A$2,IF(搜索词报告!$A$2:$A$22222&lt;=关键词词频统计!$A$4,搜索词报告!$Q$2:$Q$22222,0),0),0))</f>
        <v>0</v>
      </c>
      <c r="G362">
        <f t="array" ref="G362">SUM(IF(搜索词报告!$H$2:$H$22222=A362,IF(搜索词报告!$A$2:$A$22222&gt;=关键词词频统计!$A$2,IF(搜索词报告!$A$2:$A$22222&lt;=关键词词频统计!$A$4,搜索词报告!$N$2:$N$22222,0),0),0))</f>
        <v>0</v>
      </c>
      <c r="H362">
        <f t="array" ref="H362">SUM(IF(搜索词报告!$H$2:$H$22222=A362,IF(搜索词报告!$A$2:$A$22222&gt;=关键词词频统计!$A$2,IF(搜索词报告!$A$2:$A$22222&lt;=关键词词频统计!$A$4,搜索词报告!$M$2:$M$22222,0),0),0))</f>
        <v>0</v>
      </c>
      <c r="I362" s="2" t="str">
        <f t="shared" si="42"/>
        <v/>
      </c>
      <c r="J362" t="str">
        <f t="shared" si="43"/>
        <v>点击次数少于10次没有参考性</v>
      </c>
      <c r="K362" s="4" t="str">
        <f>IFERROR(INDEX(搜索词报告!$D$2:$D$22222,MATCH(关键词词频统计!A362,搜索词报告!$H$2:$H$22222,0)),"")</f>
        <v/>
      </c>
      <c r="M362">
        <f t="array" ref="M362">SUM(IF(搜索词报告!$H$2:$H$22222=L362,IF(搜索词报告!$A$2:$A$22222&gt;=$L$2,IF(搜索词报告!$A$2:$A$22222&lt;=$L$4,搜索词报告!$I$2:$I$22222,0),0),0))</f>
        <v>0</v>
      </c>
      <c r="N362">
        <f t="array" ref="N362">SUM(IF(搜索词报告!$H$2:$H$22222=L362,IF(搜索词报告!$A$2:$A$22222&gt;=$L$2,IF(搜索词报告!$A$2:$A$22222&lt;=$L$4,搜索词报告!$J$2:$J$22222,0),0),0))</f>
        <v>0</v>
      </c>
      <c r="O362" s="2">
        <f t="shared" si="44"/>
        <v>0</v>
      </c>
      <c r="P362" s="2">
        <f t="shared" si="45"/>
        <v>0</v>
      </c>
      <c r="Q362">
        <f t="array" ref="Q362">SUM(IF(搜索词报告!$H$2:$H$22222=L362,IF(搜索词报告!$A$2:$A$22222&gt;=$L$2,IF(搜索词报告!$A$2:$A$22222&lt;=$L$4,搜索词报告!$Q$2:$Q$22222,0),0),0))</f>
        <v>0</v>
      </c>
      <c r="R362">
        <f t="array" ref="R362">SUM(IF(搜索词报告!$H$2:$H$22222=L362,IF(搜索词报告!$A$2:$A$22222&gt;=$L$2,IF(搜索词报告!$A$2:$A$22222&lt;=$L$4,搜索词报告!$N$2:$N$22222,0),0),0))</f>
        <v>0</v>
      </c>
      <c r="S362">
        <f t="array" ref="S362">SUM(IF(搜索词报告!$H$2:$H$22222=L362,IF(搜索词报告!$A$2:$A$22222&gt;=$L$2,IF(搜索词报告!$A$2:$A$22222&lt;=$L$4,搜索词报告!$M$2:$M$22222,0),0),0))</f>
        <v>0</v>
      </c>
      <c r="T362" s="2" t="str">
        <f t="shared" si="46"/>
        <v/>
      </c>
      <c r="U362" t="str">
        <f t="shared" si="47"/>
        <v>点击次数少于10次没有参考性</v>
      </c>
      <c r="V362" s="4" t="str">
        <f>IFERROR(INDEX(搜索词报告!$D$2:$D$22222,MATCH(关键词词频统计!L362,搜索词报告!$H$2:$H$22222,0)),"")</f>
        <v/>
      </c>
    </row>
    <row r="363" spans="2:22" x14ac:dyDescent="0.15">
      <c r="B363">
        <f t="array" ref="B363">SUM(IF(搜索词报告!$H$2:$H$22222=A363,IF(搜索词报告!$A$2:$A$22222&gt;=关键词词频统计!$A$2,IF(搜索词报告!$A$2:$A$22222&lt;=关键词词频统计!$A$4,搜索词报告!$I$2:$I$22222,0),0),0))</f>
        <v>0</v>
      </c>
      <c r="C363">
        <f t="array" ref="C363">SUM(IF(搜索词报告!$H$2:$H$22222=A363,IF(搜索词报告!$A$2:$A$22222&gt;=关键词词频统计!$A$2,IF(搜索词报告!$A$2:$A$22222&lt;=关键词词频统计!$A$4,搜索词报告!$J$2:$J$22222,0),0),0))</f>
        <v>0</v>
      </c>
      <c r="D363" s="2">
        <f t="shared" si="40"/>
        <v>0</v>
      </c>
      <c r="E363" s="2">
        <f t="shared" si="41"/>
        <v>0</v>
      </c>
      <c r="F363">
        <f t="array" ref="F363">SUM(IF(搜索词报告!$H$2:$H$22222=A363,IF(搜索词报告!$A$2:$A$22222&gt;=关键词词频统计!$A$2,IF(搜索词报告!$A$2:$A$22222&lt;=关键词词频统计!$A$4,搜索词报告!$Q$2:$Q$22222,0),0),0))</f>
        <v>0</v>
      </c>
      <c r="G363">
        <f t="array" ref="G363">SUM(IF(搜索词报告!$H$2:$H$22222=A363,IF(搜索词报告!$A$2:$A$22222&gt;=关键词词频统计!$A$2,IF(搜索词报告!$A$2:$A$22222&lt;=关键词词频统计!$A$4,搜索词报告!$N$2:$N$22222,0),0),0))</f>
        <v>0</v>
      </c>
      <c r="H363">
        <f t="array" ref="H363">SUM(IF(搜索词报告!$H$2:$H$22222=A363,IF(搜索词报告!$A$2:$A$22222&gt;=关键词词频统计!$A$2,IF(搜索词报告!$A$2:$A$22222&lt;=关键词词频统计!$A$4,搜索词报告!$M$2:$M$22222,0),0),0))</f>
        <v>0</v>
      </c>
      <c r="I363" s="2" t="str">
        <f t="shared" si="42"/>
        <v/>
      </c>
      <c r="J363" t="str">
        <f t="shared" si="43"/>
        <v>点击次数少于10次没有参考性</v>
      </c>
      <c r="K363" s="4" t="str">
        <f>IFERROR(INDEX(搜索词报告!$D$2:$D$22222,MATCH(关键词词频统计!A363,搜索词报告!$H$2:$H$22222,0)),"")</f>
        <v/>
      </c>
      <c r="M363">
        <f t="array" ref="M363">SUM(IF(搜索词报告!$H$2:$H$22222=L363,IF(搜索词报告!$A$2:$A$22222&gt;=$L$2,IF(搜索词报告!$A$2:$A$22222&lt;=$L$4,搜索词报告!$I$2:$I$22222,0),0),0))</f>
        <v>0</v>
      </c>
      <c r="N363">
        <f t="array" ref="N363">SUM(IF(搜索词报告!$H$2:$H$22222=L363,IF(搜索词报告!$A$2:$A$22222&gt;=$L$2,IF(搜索词报告!$A$2:$A$22222&lt;=$L$4,搜索词报告!$J$2:$J$22222,0),0),0))</f>
        <v>0</v>
      </c>
      <c r="O363" s="2">
        <f t="shared" si="44"/>
        <v>0</v>
      </c>
      <c r="P363" s="2">
        <f t="shared" si="45"/>
        <v>0</v>
      </c>
      <c r="Q363">
        <f t="array" ref="Q363">SUM(IF(搜索词报告!$H$2:$H$22222=L363,IF(搜索词报告!$A$2:$A$22222&gt;=$L$2,IF(搜索词报告!$A$2:$A$22222&lt;=$L$4,搜索词报告!$Q$2:$Q$22222,0),0),0))</f>
        <v>0</v>
      </c>
      <c r="R363">
        <f t="array" ref="R363">SUM(IF(搜索词报告!$H$2:$H$22222=L363,IF(搜索词报告!$A$2:$A$22222&gt;=$L$2,IF(搜索词报告!$A$2:$A$22222&lt;=$L$4,搜索词报告!$N$2:$N$22222,0),0),0))</f>
        <v>0</v>
      </c>
      <c r="S363">
        <f t="array" ref="S363">SUM(IF(搜索词报告!$H$2:$H$22222=L363,IF(搜索词报告!$A$2:$A$22222&gt;=$L$2,IF(搜索词报告!$A$2:$A$22222&lt;=$L$4,搜索词报告!$M$2:$M$22222,0),0),0))</f>
        <v>0</v>
      </c>
      <c r="T363" s="2" t="str">
        <f t="shared" si="46"/>
        <v/>
      </c>
      <c r="U363" t="str">
        <f t="shared" si="47"/>
        <v>点击次数少于10次没有参考性</v>
      </c>
      <c r="V363" s="4" t="str">
        <f>IFERROR(INDEX(搜索词报告!$D$2:$D$22222,MATCH(关键词词频统计!L363,搜索词报告!$H$2:$H$22222,0)),"")</f>
        <v/>
      </c>
    </row>
    <row r="364" spans="2:22" x14ac:dyDescent="0.15">
      <c r="B364">
        <f t="array" ref="B364">SUM(IF(搜索词报告!$H$2:$H$22222=A364,IF(搜索词报告!$A$2:$A$22222&gt;=关键词词频统计!$A$2,IF(搜索词报告!$A$2:$A$22222&lt;=关键词词频统计!$A$4,搜索词报告!$I$2:$I$22222,0),0),0))</f>
        <v>0</v>
      </c>
      <c r="C364">
        <f t="array" ref="C364">SUM(IF(搜索词报告!$H$2:$H$22222=A364,IF(搜索词报告!$A$2:$A$22222&gt;=关键词词频统计!$A$2,IF(搜索词报告!$A$2:$A$22222&lt;=关键词词频统计!$A$4,搜索词报告!$J$2:$J$22222,0),0),0))</f>
        <v>0</v>
      </c>
      <c r="D364" s="2">
        <f t="shared" si="40"/>
        <v>0</v>
      </c>
      <c r="E364" s="2">
        <f t="shared" si="41"/>
        <v>0</v>
      </c>
      <c r="F364">
        <f t="array" ref="F364">SUM(IF(搜索词报告!$H$2:$H$22222=A364,IF(搜索词报告!$A$2:$A$22222&gt;=关键词词频统计!$A$2,IF(搜索词报告!$A$2:$A$22222&lt;=关键词词频统计!$A$4,搜索词报告!$Q$2:$Q$22222,0),0),0))</f>
        <v>0</v>
      </c>
      <c r="G364">
        <f t="array" ref="G364">SUM(IF(搜索词报告!$H$2:$H$22222=A364,IF(搜索词报告!$A$2:$A$22222&gt;=关键词词频统计!$A$2,IF(搜索词报告!$A$2:$A$22222&lt;=关键词词频统计!$A$4,搜索词报告!$N$2:$N$22222,0),0),0))</f>
        <v>0</v>
      </c>
      <c r="H364">
        <f t="array" ref="H364">SUM(IF(搜索词报告!$H$2:$H$22222=A364,IF(搜索词报告!$A$2:$A$22222&gt;=关键词词频统计!$A$2,IF(搜索词报告!$A$2:$A$22222&lt;=关键词词频统计!$A$4,搜索词报告!$M$2:$M$22222,0),0),0))</f>
        <v>0</v>
      </c>
      <c r="I364" s="2" t="str">
        <f t="shared" si="42"/>
        <v/>
      </c>
      <c r="J364" t="str">
        <f t="shared" si="43"/>
        <v>点击次数少于10次没有参考性</v>
      </c>
      <c r="K364" s="4" t="str">
        <f>IFERROR(INDEX(搜索词报告!$D$2:$D$22222,MATCH(关键词词频统计!A364,搜索词报告!$H$2:$H$22222,0)),"")</f>
        <v/>
      </c>
      <c r="M364">
        <f t="array" ref="M364">SUM(IF(搜索词报告!$H$2:$H$22222=L364,IF(搜索词报告!$A$2:$A$22222&gt;=$L$2,IF(搜索词报告!$A$2:$A$22222&lt;=$L$4,搜索词报告!$I$2:$I$22222,0),0),0))</f>
        <v>0</v>
      </c>
      <c r="N364">
        <f t="array" ref="N364">SUM(IF(搜索词报告!$H$2:$H$22222=L364,IF(搜索词报告!$A$2:$A$22222&gt;=$L$2,IF(搜索词报告!$A$2:$A$22222&lt;=$L$4,搜索词报告!$J$2:$J$22222,0),0),0))</f>
        <v>0</v>
      </c>
      <c r="O364" s="2">
        <f t="shared" si="44"/>
        <v>0</v>
      </c>
      <c r="P364" s="2">
        <f t="shared" si="45"/>
        <v>0</v>
      </c>
      <c r="Q364">
        <f t="array" ref="Q364">SUM(IF(搜索词报告!$H$2:$H$22222=L364,IF(搜索词报告!$A$2:$A$22222&gt;=$L$2,IF(搜索词报告!$A$2:$A$22222&lt;=$L$4,搜索词报告!$Q$2:$Q$22222,0),0),0))</f>
        <v>0</v>
      </c>
      <c r="R364">
        <f t="array" ref="R364">SUM(IF(搜索词报告!$H$2:$H$22222=L364,IF(搜索词报告!$A$2:$A$22222&gt;=$L$2,IF(搜索词报告!$A$2:$A$22222&lt;=$L$4,搜索词报告!$N$2:$N$22222,0),0),0))</f>
        <v>0</v>
      </c>
      <c r="S364">
        <f t="array" ref="S364">SUM(IF(搜索词报告!$H$2:$H$22222=L364,IF(搜索词报告!$A$2:$A$22222&gt;=$L$2,IF(搜索词报告!$A$2:$A$22222&lt;=$L$4,搜索词报告!$M$2:$M$22222,0),0),0))</f>
        <v>0</v>
      </c>
      <c r="T364" s="2" t="str">
        <f t="shared" si="46"/>
        <v/>
      </c>
      <c r="U364" t="str">
        <f t="shared" si="47"/>
        <v>点击次数少于10次没有参考性</v>
      </c>
      <c r="V364" s="4" t="str">
        <f>IFERROR(INDEX(搜索词报告!$D$2:$D$22222,MATCH(关键词词频统计!L364,搜索词报告!$H$2:$H$22222,0)),"")</f>
        <v/>
      </c>
    </row>
    <row r="365" spans="2:22" x14ac:dyDescent="0.15">
      <c r="B365">
        <f t="array" ref="B365">SUM(IF(搜索词报告!$H$2:$H$22222=A365,IF(搜索词报告!$A$2:$A$22222&gt;=关键词词频统计!$A$2,IF(搜索词报告!$A$2:$A$22222&lt;=关键词词频统计!$A$4,搜索词报告!$I$2:$I$22222,0),0),0))</f>
        <v>0</v>
      </c>
      <c r="C365">
        <f t="array" ref="C365">SUM(IF(搜索词报告!$H$2:$H$22222=A365,IF(搜索词报告!$A$2:$A$22222&gt;=关键词词频统计!$A$2,IF(搜索词报告!$A$2:$A$22222&lt;=关键词词频统计!$A$4,搜索词报告!$J$2:$J$22222,0),0),0))</f>
        <v>0</v>
      </c>
      <c r="D365" s="2">
        <f t="shared" si="40"/>
        <v>0</v>
      </c>
      <c r="E365" s="2">
        <f t="shared" si="41"/>
        <v>0</v>
      </c>
      <c r="F365">
        <f t="array" ref="F365">SUM(IF(搜索词报告!$H$2:$H$22222=A365,IF(搜索词报告!$A$2:$A$22222&gt;=关键词词频统计!$A$2,IF(搜索词报告!$A$2:$A$22222&lt;=关键词词频统计!$A$4,搜索词报告!$Q$2:$Q$22222,0),0),0))</f>
        <v>0</v>
      </c>
      <c r="G365">
        <f t="array" ref="G365">SUM(IF(搜索词报告!$H$2:$H$22222=A365,IF(搜索词报告!$A$2:$A$22222&gt;=关键词词频统计!$A$2,IF(搜索词报告!$A$2:$A$22222&lt;=关键词词频统计!$A$4,搜索词报告!$N$2:$N$22222,0),0),0))</f>
        <v>0</v>
      </c>
      <c r="H365">
        <f t="array" ref="H365">SUM(IF(搜索词报告!$H$2:$H$22222=A365,IF(搜索词报告!$A$2:$A$22222&gt;=关键词词频统计!$A$2,IF(搜索词报告!$A$2:$A$22222&lt;=关键词词频统计!$A$4,搜索词报告!$M$2:$M$22222,0),0),0))</f>
        <v>0</v>
      </c>
      <c r="I365" s="2" t="str">
        <f t="shared" si="42"/>
        <v/>
      </c>
      <c r="J365" t="str">
        <f t="shared" si="43"/>
        <v>点击次数少于10次没有参考性</v>
      </c>
      <c r="K365" s="4" t="str">
        <f>IFERROR(INDEX(搜索词报告!$D$2:$D$22222,MATCH(关键词词频统计!A365,搜索词报告!$H$2:$H$22222,0)),"")</f>
        <v/>
      </c>
      <c r="M365">
        <f t="array" ref="M365">SUM(IF(搜索词报告!$H$2:$H$22222=L365,IF(搜索词报告!$A$2:$A$22222&gt;=$L$2,IF(搜索词报告!$A$2:$A$22222&lt;=$L$4,搜索词报告!$I$2:$I$22222,0),0),0))</f>
        <v>0</v>
      </c>
      <c r="N365">
        <f t="array" ref="N365">SUM(IF(搜索词报告!$H$2:$H$22222=L365,IF(搜索词报告!$A$2:$A$22222&gt;=$L$2,IF(搜索词报告!$A$2:$A$22222&lt;=$L$4,搜索词报告!$J$2:$J$22222,0),0),0))</f>
        <v>0</v>
      </c>
      <c r="O365" s="2">
        <f t="shared" si="44"/>
        <v>0</v>
      </c>
      <c r="P365" s="2">
        <f t="shared" si="45"/>
        <v>0</v>
      </c>
      <c r="Q365">
        <f t="array" ref="Q365">SUM(IF(搜索词报告!$H$2:$H$22222=L365,IF(搜索词报告!$A$2:$A$22222&gt;=$L$2,IF(搜索词报告!$A$2:$A$22222&lt;=$L$4,搜索词报告!$Q$2:$Q$22222,0),0),0))</f>
        <v>0</v>
      </c>
      <c r="R365">
        <f t="array" ref="R365">SUM(IF(搜索词报告!$H$2:$H$22222=L365,IF(搜索词报告!$A$2:$A$22222&gt;=$L$2,IF(搜索词报告!$A$2:$A$22222&lt;=$L$4,搜索词报告!$N$2:$N$22222,0),0),0))</f>
        <v>0</v>
      </c>
      <c r="S365">
        <f t="array" ref="S365">SUM(IF(搜索词报告!$H$2:$H$22222=L365,IF(搜索词报告!$A$2:$A$22222&gt;=$L$2,IF(搜索词报告!$A$2:$A$22222&lt;=$L$4,搜索词报告!$M$2:$M$22222,0),0),0))</f>
        <v>0</v>
      </c>
      <c r="T365" s="2" t="str">
        <f t="shared" si="46"/>
        <v/>
      </c>
      <c r="U365" t="str">
        <f t="shared" si="47"/>
        <v>点击次数少于10次没有参考性</v>
      </c>
      <c r="V365" s="4" t="str">
        <f>IFERROR(INDEX(搜索词报告!$D$2:$D$22222,MATCH(关键词词频统计!L365,搜索词报告!$H$2:$H$22222,0)),"")</f>
        <v/>
      </c>
    </row>
    <row r="366" spans="2:22" x14ac:dyDescent="0.15">
      <c r="B366">
        <f t="array" ref="B366">SUM(IF(搜索词报告!$H$2:$H$22222=A366,IF(搜索词报告!$A$2:$A$22222&gt;=关键词词频统计!$A$2,IF(搜索词报告!$A$2:$A$22222&lt;=关键词词频统计!$A$4,搜索词报告!$I$2:$I$22222,0),0),0))</f>
        <v>0</v>
      </c>
      <c r="C366">
        <f t="array" ref="C366">SUM(IF(搜索词报告!$H$2:$H$22222=A366,IF(搜索词报告!$A$2:$A$22222&gt;=关键词词频统计!$A$2,IF(搜索词报告!$A$2:$A$22222&lt;=关键词词频统计!$A$4,搜索词报告!$J$2:$J$22222,0),0),0))</f>
        <v>0</v>
      </c>
      <c r="D366" s="2">
        <f t="shared" si="40"/>
        <v>0</v>
      </c>
      <c r="E366" s="2">
        <f t="shared" si="41"/>
        <v>0</v>
      </c>
      <c r="F366">
        <f t="array" ref="F366">SUM(IF(搜索词报告!$H$2:$H$22222=A366,IF(搜索词报告!$A$2:$A$22222&gt;=关键词词频统计!$A$2,IF(搜索词报告!$A$2:$A$22222&lt;=关键词词频统计!$A$4,搜索词报告!$Q$2:$Q$22222,0),0),0))</f>
        <v>0</v>
      </c>
      <c r="G366">
        <f t="array" ref="G366">SUM(IF(搜索词报告!$H$2:$H$22222=A366,IF(搜索词报告!$A$2:$A$22222&gt;=关键词词频统计!$A$2,IF(搜索词报告!$A$2:$A$22222&lt;=关键词词频统计!$A$4,搜索词报告!$N$2:$N$22222,0),0),0))</f>
        <v>0</v>
      </c>
      <c r="H366">
        <f t="array" ref="H366">SUM(IF(搜索词报告!$H$2:$H$22222=A366,IF(搜索词报告!$A$2:$A$22222&gt;=关键词词频统计!$A$2,IF(搜索词报告!$A$2:$A$22222&lt;=关键词词频统计!$A$4,搜索词报告!$M$2:$M$22222,0),0),0))</f>
        <v>0</v>
      </c>
      <c r="I366" s="2" t="str">
        <f t="shared" si="42"/>
        <v/>
      </c>
      <c r="J366" t="str">
        <f t="shared" si="43"/>
        <v>点击次数少于10次没有参考性</v>
      </c>
      <c r="K366" s="4" t="str">
        <f>IFERROR(INDEX(搜索词报告!$D$2:$D$22222,MATCH(关键词词频统计!A366,搜索词报告!$H$2:$H$22222,0)),"")</f>
        <v/>
      </c>
      <c r="M366">
        <f t="array" ref="M366">SUM(IF(搜索词报告!$H$2:$H$22222=L366,IF(搜索词报告!$A$2:$A$22222&gt;=$L$2,IF(搜索词报告!$A$2:$A$22222&lt;=$L$4,搜索词报告!$I$2:$I$22222,0),0),0))</f>
        <v>0</v>
      </c>
      <c r="N366">
        <f t="array" ref="N366">SUM(IF(搜索词报告!$H$2:$H$22222=L366,IF(搜索词报告!$A$2:$A$22222&gt;=$L$2,IF(搜索词报告!$A$2:$A$22222&lt;=$L$4,搜索词报告!$J$2:$J$22222,0),0),0))</f>
        <v>0</v>
      </c>
      <c r="O366" s="2">
        <f t="shared" si="44"/>
        <v>0</v>
      </c>
      <c r="P366" s="2">
        <f t="shared" si="45"/>
        <v>0</v>
      </c>
      <c r="Q366">
        <f t="array" ref="Q366">SUM(IF(搜索词报告!$H$2:$H$22222=L366,IF(搜索词报告!$A$2:$A$22222&gt;=$L$2,IF(搜索词报告!$A$2:$A$22222&lt;=$L$4,搜索词报告!$Q$2:$Q$22222,0),0),0))</f>
        <v>0</v>
      </c>
      <c r="R366">
        <f t="array" ref="R366">SUM(IF(搜索词报告!$H$2:$H$22222=L366,IF(搜索词报告!$A$2:$A$22222&gt;=$L$2,IF(搜索词报告!$A$2:$A$22222&lt;=$L$4,搜索词报告!$N$2:$N$22222,0),0),0))</f>
        <v>0</v>
      </c>
      <c r="S366">
        <f t="array" ref="S366">SUM(IF(搜索词报告!$H$2:$H$22222=L366,IF(搜索词报告!$A$2:$A$22222&gt;=$L$2,IF(搜索词报告!$A$2:$A$22222&lt;=$L$4,搜索词报告!$M$2:$M$22222,0),0),0))</f>
        <v>0</v>
      </c>
      <c r="T366" s="2" t="str">
        <f t="shared" si="46"/>
        <v/>
      </c>
      <c r="U366" t="str">
        <f t="shared" si="47"/>
        <v>点击次数少于10次没有参考性</v>
      </c>
      <c r="V366" s="4" t="str">
        <f>IFERROR(INDEX(搜索词报告!$D$2:$D$22222,MATCH(关键词词频统计!L366,搜索词报告!$H$2:$H$22222,0)),"")</f>
        <v/>
      </c>
    </row>
    <row r="367" spans="2:22" x14ac:dyDescent="0.15">
      <c r="B367">
        <f t="array" ref="B367">SUM(IF(搜索词报告!$H$2:$H$22222=A367,IF(搜索词报告!$A$2:$A$22222&gt;=关键词词频统计!$A$2,IF(搜索词报告!$A$2:$A$22222&lt;=关键词词频统计!$A$4,搜索词报告!$I$2:$I$22222,0),0),0))</f>
        <v>0</v>
      </c>
      <c r="C367">
        <f t="array" ref="C367">SUM(IF(搜索词报告!$H$2:$H$22222=A367,IF(搜索词报告!$A$2:$A$22222&gt;=关键词词频统计!$A$2,IF(搜索词报告!$A$2:$A$22222&lt;=关键词词频统计!$A$4,搜索词报告!$J$2:$J$22222,0),0),0))</f>
        <v>0</v>
      </c>
      <c r="D367" s="2">
        <f t="shared" si="40"/>
        <v>0</v>
      </c>
      <c r="E367" s="2">
        <f t="shared" si="41"/>
        <v>0</v>
      </c>
      <c r="F367">
        <f t="array" ref="F367">SUM(IF(搜索词报告!$H$2:$H$22222=A367,IF(搜索词报告!$A$2:$A$22222&gt;=关键词词频统计!$A$2,IF(搜索词报告!$A$2:$A$22222&lt;=关键词词频统计!$A$4,搜索词报告!$Q$2:$Q$22222,0),0),0))</f>
        <v>0</v>
      </c>
      <c r="G367">
        <f t="array" ref="G367">SUM(IF(搜索词报告!$H$2:$H$22222=A367,IF(搜索词报告!$A$2:$A$22222&gt;=关键词词频统计!$A$2,IF(搜索词报告!$A$2:$A$22222&lt;=关键词词频统计!$A$4,搜索词报告!$N$2:$N$22222,0),0),0))</f>
        <v>0</v>
      </c>
      <c r="H367">
        <f t="array" ref="H367">SUM(IF(搜索词报告!$H$2:$H$22222=A367,IF(搜索词报告!$A$2:$A$22222&gt;=关键词词频统计!$A$2,IF(搜索词报告!$A$2:$A$22222&lt;=关键词词频统计!$A$4,搜索词报告!$M$2:$M$22222,0),0),0))</f>
        <v>0</v>
      </c>
      <c r="I367" s="2" t="str">
        <f t="shared" si="42"/>
        <v/>
      </c>
      <c r="J367" t="str">
        <f t="shared" si="43"/>
        <v>点击次数少于10次没有参考性</v>
      </c>
      <c r="K367" s="4" t="str">
        <f>IFERROR(INDEX(搜索词报告!$D$2:$D$22222,MATCH(关键词词频统计!A367,搜索词报告!$H$2:$H$22222,0)),"")</f>
        <v/>
      </c>
      <c r="M367">
        <f t="array" ref="M367">SUM(IF(搜索词报告!$H$2:$H$22222=L367,IF(搜索词报告!$A$2:$A$22222&gt;=$L$2,IF(搜索词报告!$A$2:$A$22222&lt;=$L$4,搜索词报告!$I$2:$I$22222,0),0),0))</f>
        <v>0</v>
      </c>
      <c r="N367">
        <f t="array" ref="N367">SUM(IF(搜索词报告!$H$2:$H$22222=L367,IF(搜索词报告!$A$2:$A$22222&gt;=$L$2,IF(搜索词报告!$A$2:$A$22222&lt;=$L$4,搜索词报告!$J$2:$J$22222,0),0),0))</f>
        <v>0</v>
      </c>
      <c r="O367" s="2">
        <f t="shared" si="44"/>
        <v>0</v>
      </c>
      <c r="P367" s="2">
        <f t="shared" si="45"/>
        <v>0</v>
      </c>
      <c r="Q367">
        <f t="array" ref="Q367">SUM(IF(搜索词报告!$H$2:$H$22222=L367,IF(搜索词报告!$A$2:$A$22222&gt;=$L$2,IF(搜索词报告!$A$2:$A$22222&lt;=$L$4,搜索词报告!$Q$2:$Q$22222,0),0),0))</f>
        <v>0</v>
      </c>
      <c r="R367">
        <f t="array" ref="R367">SUM(IF(搜索词报告!$H$2:$H$22222=L367,IF(搜索词报告!$A$2:$A$22222&gt;=$L$2,IF(搜索词报告!$A$2:$A$22222&lt;=$L$4,搜索词报告!$N$2:$N$22222,0),0),0))</f>
        <v>0</v>
      </c>
      <c r="S367">
        <f t="array" ref="S367">SUM(IF(搜索词报告!$H$2:$H$22222=L367,IF(搜索词报告!$A$2:$A$22222&gt;=$L$2,IF(搜索词报告!$A$2:$A$22222&lt;=$L$4,搜索词报告!$M$2:$M$22222,0),0),0))</f>
        <v>0</v>
      </c>
      <c r="T367" s="2" t="str">
        <f t="shared" si="46"/>
        <v/>
      </c>
      <c r="U367" t="str">
        <f t="shared" si="47"/>
        <v>点击次数少于10次没有参考性</v>
      </c>
      <c r="V367" s="4" t="str">
        <f>IFERROR(INDEX(搜索词报告!$D$2:$D$22222,MATCH(关键词词频统计!L367,搜索词报告!$H$2:$H$22222,0)),"")</f>
        <v/>
      </c>
    </row>
    <row r="368" spans="2:22" x14ac:dyDescent="0.15">
      <c r="B368">
        <f t="array" ref="B368">SUM(IF(搜索词报告!$H$2:$H$22222=A368,IF(搜索词报告!$A$2:$A$22222&gt;=关键词词频统计!$A$2,IF(搜索词报告!$A$2:$A$22222&lt;=关键词词频统计!$A$4,搜索词报告!$I$2:$I$22222,0),0),0))</f>
        <v>0</v>
      </c>
      <c r="C368">
        <f t="array" ref="C368">SUM(IF(搜索词报告!$H$2:$H$22222=A368,IF(搜索词报告!$A$2:$A$22222&gt;=关键词词频统计!$A$2,IF(搜索词报告!$A$2:$A$22222&lt;=关键词词频统计!$A$4,搜索词报告!$J$2:$J$22222,0),0),0))</f>
        <v>0</v>
      </c>
      <c r="D368" s="2">
        <f t="shared" si="40"/>
        <v>0</v>
      </c>
      <c r="E368" s="2">
        <f t="shared" si="41"/>
        <v>0</v>
      </c>
      <c r="F368">
        <f t="array" ref="F368">SUM(IF(搜索词报告!$H$2:$H$22222=A368,IF(搜索词报告!$A$2:$A$22222&gt;=关键词词频统计!$A$2,IF(搜索词报告!$A$2:$A$22222&lt;=关键词词频统计!$A$4,搜索词报告!$Q$2:$Q$22222,0),0),0))</f>
        <v>0</v>
      </c>
      <c r="G368">
        <f t="array" ref="G368">SUM(IF(搜索词报告!$H$2:$H$22222=A368,IF(搜索词报告!$A$2:$A$22222&gt;=关键词词频统计!$A$2,IF(搜索词报告!$A$2:$A$22222&lt;=关键词词频统计!$A$4,搜索词报告!$N$2:$N$22222,0),0),0))</f>
        <v>0</v>
      </c>
      <c r="H368">
        <f t="array" ref="H368">SUM(IF(搜索词报告!$H$2:$H$22222=A368,IF(搜索词报告!$A$2:$A$22222&gt;=关键词词频统计!$A$2,IF(搜索词报告!$A$2:$A$22222&lt;=关键词词频统计!$A$4,搜索词报告!$M$2:$M$22222,0),0),0))</f>
        <v>0</v>
      </c>
      <c r="I368" s="2" t="str">
        <f t="shared" si="42"/>
        <v/>
      </c>
      <c r="J368" t="str">
        <f t="shared" si="43"/>
        <v>点击次数少于10次没有参考性</v>
      </c>
      <c r="K368" s="4" t="str">
        <f>IFERROR(INDEX(搜索词报告!$D$2:$D$22222,MATCH(关键词词频统计!A368,搜索词报告!$H$2:$H$22222,0)),"")</f>
        <v/>
      </c>
      <c r="M368">
        <f t="array" ref="M368">SUM(IF(搜索词报告!$H$2:$H$22222=L368,IF(搜索词报告!$A$2:$A$22222&gt;=$L$2,IF(搜索词报告!$A$2:$A$22222&lt;=$L$4,搜索词报告!$I$2:$I$22222,0),0),0))</f>
        <v>0</v>
      </c>
      <c r="N368">
        <f t="array" ref="N368">SUM(IF(搜索词报告!$H$2:$H$22222=L368,IF(搜索词报告!$A$2:$A$22222&gt;=$L$2,IF(搜索词报告!$A$2:$A$22222&lt;=$L$4,搜索词报告!$J$2:$J$22222,0),0),0))</f>
        <v>0</v>
      </c>
      <c r="O368" s="2">
        <f t="shared" si="44"/>
        <v>0</v>
      </c>
      <c r="P368" s="2">
        <f t="shared" si="45"/>
        <v>0</v>
      </c>
      <c r="Q368">
        <f t="array" ref="Q368">SUM(IF(搜索词报告!$H$2:$H$22222=L368,IF(搜索词报告!$A$2:$A$22222&gt;=$L$2,IF(搜索词报告!$A$2:$A$22222&lt;=$L$4,搜索词报告!$Q$2:$Q$22222,0),0),0))</f>
        <v>0</v>
      </c>
      <c r="R368">
        <f t="array" ref="R368">SUM(IF(搜索词报告!$H$2:$H$22222=L368,IF(搜索词报告!$A$2:$A$22222&gt;=$L$2,IF(搜索词报告!$A$2:$A$22222&lt;=$L$4,搜索词报告!$N$2:$N$22222,0),0),0))</f>
        <v>0</v>
      </c>
      <c r="S368">
        <f t="array" ref="S368">SUM(IF(搜索词报告!$H$2:$H$22222=L368,IF(搜索词报告!$A$2:$A$22222&gt;=$L$2,IF(搜索词报告!$A$2:$A$22222&lt;=$L$4,搜索词报告!$M$2:$M$22222,0),0),0))</f>
        <v>0</v>
      </c>
      <c r="T368" s="2" t="str">
        <f t="shared" si="46"/>
        <v/>
      </c>
      <c r="U368" t="str">
        <f t="shared" si="47"/>
        <v>点击次数少于10次没有参考性</v>
      </c>
      <c r="V368" s="4" t="str">
        <f>IFERROR(INDEX(搜索词报告!$D$2:$D$22222,MATCH(关键词词频统计!L368,搜索词报告!$H$2:$H$22222,0)),"")</f>
        <v/>
      </c>
    </row>
    <row r="369" spans="2:22" x14ac:dyDescent="0.15">
      <c r="B369">
        <f t="array" ref="B369">SUM(IF(搜索词报告!$H$2:$H$22222=A369,IF(搜索词报告!$A$2:$A$22222&gt;=关键词词频统计!$A$2,IF(搜索词报告!$A$2:$A$22222&lt;=关键词词频统计!$A$4,搜索词报告!$I$2:$I$22222,0),0),0))</f>
        <v>0</v>
      </c>
      <c r="C369">
        <f t="array" ref="C369">SUM(IF(搜索词报告!$H$2:$H$22222=A369,IF(搜索词报告!$A$2:$A$22222&gt;=关键词词频统计!$A$2,IF(搜索词报告!$A$2:$A$22222&lt;=关键词词频统计!$A$4,搜索词报告!$J$2:$J$22222,0),0),0))</f>
        <v>0</v>
      </c>
      <c r="D369" s="2">
        <f t="shared" si="40"/>
        <v>0</v>
      </c>
      <c r="E369" s="2">
        <f t="shared" si="41"/>
        <v>0</v>
      </c>
      <c r="F369">
        <f t="array" ref="F369">SUM(IF(搜索词报告!$H$2:$H$22222=A369,IF(搜索词报告!$A$2:$A$22222&gt;=关键词词频统计!$A$2,IF(搜索词报告!$A$2:$A$22222&lt;=关键词词频统计!$A$4,搜索词报告!$Q$2:$Q$22222,0),0),0))</f>
        <v>0</v>
      </c>
      <c r="G369">
        <f t="array" ref="G369">SUM(IF(搜索词报告!$H$2:$H$22222=A369,IF(搜索词报告!$A$2:$A$22222&gt;=关键词词频统计!$A$2,IF(搜索词报告!$A$2:$A$22222&lt;=关键词词频统计!$A$4,搜索词报告!$N$2:$N$22222,0),0),0))</f>
        <v>0</v>
      </c>
      <c r="H369">
        <f t="array" ref="H369">SUM(IF(搜索词报告!$H$2:$H$22222=A369,IF(搜索词报告!$A$2:$A$22222&gt;=关键词词频统计!$A$2,IF(搜索词报告!$A$2:$A$22222&lt;=关键词词频统计!$A$4,搜索词报告!$M$2:$M$22222,0),0),0))</f>
        <v>0</v>
      </c>
      <c r="I369" s="2" t="str">
        <f t="shared" si="42"/>
        <v/>
      </c>
      <c r="J369" t="str">
        <f t="shared" si="43"/>
        <v>点击次数少于10次没有参考性</v>
      </c>
      <c r="K369" s="4" t="str">
        <f>IFERROR(INDEX(搜索词报告!$D$2:$D$22222,MATCH(关键词词频统计!A369,搜索词报告!$H$2:$H$22222,0)),"")</f>
        <v/>
      </c>
      <c r="M369">
        <f t="array" ref="M369">SUM(IF(搜索词报告!$H$2:$H$22222=L369,IF(搜索词报告!$A$2:$A$22222&gt;=$L$2,IF(搜索词报告!$A$2:$A$22222&lt;=$L$4,搜索词报告!$I$2:$I$22222,0),0),0))</f>
        <v>0</v>
      </c>
      <c r="N369">
        <f t="array" ref="N369">SUM(IF(搜索词报告!$H$2:$H$22222=L369,IF(搜索词报告!$A$2:$A$22222&gt;=$L$2,IF(搜索词报告!$A$2:$A$22222&lt;=$L$4,搜索词报告!$J$2:$J$22222,0),0),0))</f>
        <v>0</v>
      </c>
      <c r="O369" s="2">
        <f t="shared" si="44"/>
        <v>0</v>
      </c>
      <c r="P369" s="2">
        <f t="shared" si="45"/>
        <v>0</v>
      </c>
      <c r="Q369">
        <f t="array" ref="Q369">SUM(IF(搜索词报告!$H$2:$H$22222=L369,IF(搜索词报告!$A$2:$A$22222&gt;=$L$2,IF(搜索词报告!$A$2:$A$22222&lt;=$L$4,搜索词报告!$Q$2:$Q$22222,0),0),0))</f>
        <v>0</v>
      </c>
      <c r="R369">
        <f t="array" ref="R369">SUM(IF(搜索词报告!$H$2:$H$22222=L369,IF(搜索词报告!$A$2:$A$22222&gt;=$L$2,IF(搜索词报告!$A$2:$A$22222&lt;=$L$4,搜索词报告!$N$2:$N$22222,0),0),0))</f>
        <v>0</v>
      </c>
      <c r="S369">
        <f t="array" ref="S369">SUM(IF(搜索词报告!$H$2:$H$22222=L369,IF(搜索词报告!$A$2:$A$22222&gt;=$L$2,IF(搜索词报告!$A$2:$A$22222&lt;=$L$4,搜索词报告!$M$2:$M$22222,0),0),0))</f>
        <v>0</v>
      </c>
      <c r="T369" s="2" t="str">
        <f t="shared" si="46"/>
        <v/>
      </c>
      <c r="U369" t="str">
        <f t="shared" si="47"/>
        <v>点击次数少于10次没有参考性</v>
      </c>
      <c r="V369" s="4" t="str">
        <f>IFERROR(INDEX(搜索词报告!$D$2:$D$22222,MATCH(关键词词频统计!L369,搜索词报告!$H$2:$H$22222,0)),"")</f>
        <v/>
      </c>
    </row>
    <row r="370" spans="2:22" x14ac:dyDescent="0.15">
      <c r="B370">
        <f t="array" ref="B370">SUM(IF(搜索词报告!$H$2:$H$22222=A370,IF(搜索词报告!$A$2:$A$22222&gt;=关键词词频统计!$A$2,IF(搜索词报告!$A$2:$A$22222&lt;=关键词词频统计!$A$4,搜索词报告!$I$2:$I$22222,0),0),0))</f>
        <v>0</v>
      </c>
      <c r="C370">
        <f t="array" ref="C370">SUM(IF(搜索词报告!$H$2:$H$22222=A370,IF(搜索词报告!$A$2:$A$22222&gt;=关键词词频统计!$A$2,IF(搜索词报告!$A$2:$A$22222&lt;=关键词词频统计!$A$4,搜索词报告!$J$2:$J$22222,0),0),0))</f>
        <v>0</v>
      </c>
      <c r="D370" s="2">
        <f t="shared" si="40"/>
        <v>0</v>
      </c>
      <c r="E370" s="2">
        <f t="shared" si="41"/>
        <v>0</v>
      </c>
      <c r="F370">
        <f t="array" ref="F370">SUM(IF(搜索词报告!$H$2:$H$22222=A370,IF(搜索词报告!$A$2:$A$22222&gt;=关键词词频统计!$A$2,IF(搜索词报告!$A$2:$A$22222&lt;=关键词词频统计!$A$4,搜索词报告!$Q$2:$Q$22222,0),0),0))</f>
        <v>0</v>
      </c>
      <c r="G370">
        <f t="array" ref="G370">SUM(IF(搜索词报告!$H$2:$H$22222=A370,IF(搜索词报告!$A$2:$A$22222&gt;=关键词词频统计!$A$2,IF(搜索词报告!$A$2:$A$22222&lt;=关键词词频统计!$A$4,搜索词报告!$N$2:$N$22222,0),0),0))</f>
        <v>0</v>
      </c>
      <c r="H370">
        <f t="array" ref="H370">SUM(IF(搜索词报告!$H$2:$H$22222=A370,IF(搜索词报告!$A$2:$A$22222&gt;=关键词词频统计!$A$2,IF(搜索词报告!$A$2:$A$22222&lt;=关键词词频统计!$A$4,搜索词报告!$M$2:$M$22222,0),0),0))</f>
        <v>0</v>
      </c>
      <c r="I370" s="2" t="str">
        <f t="shared" si="42"/>
        <v/>
      </c>
      <c r="J370" t="str">
        <f t="shared" si="43"/>
        <v>点击次数少于10次没有参考性</v>
      </c>
      <c r="K370" s="4" t="str">
        <f>IFERROR(INDEX(搜索词报告!$D$2:$D$22222,MATCH(关键词词频统计!A370,搜索词报告!$H$2:$H$22222,0)),"")</f>
        <v/>
      </c>
      <c r="M370">
        <f t="array" ref="M370">SUM(IF(搜索词报告!$H$2:$H$22222=L370,IF(搜索词报告!$A$2:$A$22222&gt;=$L$2,IF(搜索词报告!$A$2:$A$22222&lt;=$L$4,搜索词报告!$I$2:$I$22222,0),0),0))</f>
        <v>0</v>
      </c>
      <c r="N370">
        <f t="array" ref="N370">SUM(IF(搜索词报告!$H$2:$H$22222=L370,IF(搜索词报告!$A$2:$A$22222&gt;=$L$2,IF(搜索词报告!$A$2:$A$22222&lt;=$L$4,搜索词报告!$J$2:$J$22222,0),0),0))</f>
        <v>0</v>
      </c>
      <c r="O370" s="2">
        <f t="shared" si="44"/>
        <v>0</v>
      </c>
      <c r="P370" s="2">
        <f t="shared" si="45"/>
        <v>0</v>
      </c>
      <c r="Q370">
        <f t="array" ref="Q370">SUM(IF(搜索词报告!$H$2:$H$22222=L370,IF(搜索词报告!$A$2:$A$22222&gt;=$L$2,IF(搜索词报告!$A$2:$A$22222&lt;=$L$4,搜索词报告!$Q$2:$Q$22222,0),0),0))</f>
        <v>0</v>
      </c>
      <c r="R370">
        <f t="array" ref="R370">SUM(IF(搜索词报告!$H$2:$H$22222=L370,IF(搜索词报告!$A$2:$A$22222&gt;=$L$2,IF(搜索词报告!$A$2:$A$22222&lt;=$L$4,搜索词报告!$N$2:$N$22222,0),0),0))</f>
        <v>0</v>
      </c>
      <c r="S370">
        <f t="array" ref="S370">SUM(IF(搜索词报告!$H$2:$H$22222=L370,IF(搜索词报告!$A$2:$A$22222&gt;=$L$2,IF(搜索词报告!$A$2:$A$22222&lt;=$L$4,搜索词报告!$M$2:$M$22222,0),0),0))</f>
        <v>0</v>
      </c>
      <c r="T370" s="2" t="str">
        <f t="shared" si="46"/>
        <v/>
      </c>
      <c r="U370" t="str">
        <f t="shared" si="47"/>
        <v>点击次数少于10次没有参考性</v>
      </c>
      <c r="V370" s="4" t="str">
        <f>IFERROR(INDEX(搜索词报告!$D$2:$D$22222,MATCH(关键词词频统计!L370,搜索词报告!$H$2:$H$22222,0)),"")</f>
        <v/>
      </c>
    </row>
    <row r="371" spans="2:22" x14ac:dyDescent="0.15">
      <c r="B371">
        <f t="array" ref="B371">SUM(IF(搜索词报告!$H$2:$H$22222=A371,IF(搜索词报告!$A$2:$A$22222&gt;=关键词词频统计!$A$2,IF(搜索词报告!$A$2:$A$22222&lt;=关键词词频统计!$A$4,搜索词报告!$I$2:$I$22222,0),0),0))</f>
        <v>0</v>
      </c>
      <c r="C371">
        <f t="array" ref="C371">SUM(IF(搜索词报告!$H$2:$H$22222=A371,IF(搜索词报告!$A$2:$A$22222&gt;=关键词词频统计!$A$2,IF(搜索词报告!$A$2:$A$22222&lt;=关键词词频统计!$A$4,搜索词报告!$J$2:$J$22222,0),0),0))</f>
        <v>0</v>
      </c>
      <c r="D371" s="2">
        <f t="shared" si="40"/>
        <v>0</v>
      </c>
      <c r="E371" s="2">
        <f t="shared" si="41"/>
        <v>0</v>
      </c>
      <c r="F371">
        <f t="array" ref="F371">SUM(IF(搜索词报告!$H$2:$H$22222=A371,IF(搜索词报告!$A$2:$A$22222&gt;=关键词词频统计!$A$2,IF(搜索词报告!$A$2:$A$22222&lt;=关键词词频统计!$A$4,搜索词报告!$Q$2:$Q$22222,0),0),0))</f>
        <v>0</v>
      </c>
      <c r="G371">
        <f t="array" ref="G371">SUM(IF(搜索词报告!$H$2:$H$22222=A371,IF(搜索词报告!$A$2:$A$22222&gt;=关键词词频统计!$A$2,IF(搜索词报告!$A$2:$A$22222&lt;=关键词词频统计!$A$4,搜索词报告!$N$2:$N$22222,0),0),0))</f>
        <v>0</v>
      </c>
      <c r="H371">
        <f t="array" ref="H371">SUM(IF(搜索词报告!$H$2:$H$22222=A371,IF(搜索词报告!$A$2:$A$22222&gt;=关键词词频统计!$A$2,IF(搜索词报告!$A$2:$A$22222&lt;=关键词词频统计!$A$4,搜索词报告!$M$2:$M$22222,0),0),0))</f>
        <v>0</v>
      </c>
      <c r="I371" s="2" t="str">
        <f t="shared" si="42"/>
        <v/>
      </c>
      <c r="J371" t="str">
        <f t="shared" si="43"/>
        <v>点击次数少于10次没有参考性</v>
      </c>
      <c r="K371" s="4" t="str">
        <f>IFERROR(INDEX(搜索词报告!$D$2:$D$22222,MATCH(关键词词频统计!A371,搜索词报告!$H$2:$H$22222,0)),"")</f>
        <v/>
      </c>
      <c r="M371">
        <f t="array" ref="M371">SUM(IF(搜索词报告!$H$2:$H$22222=L371,IF(搜索词报告!$A$2:$A$22222&gt;=$L$2,IF(搜索词报告!$A$2:$A$22222&lt;=$L$4,搜索词报告!$I$2:$I$22222,0),0),0))</f>
        <v>0</v>
      </c>
      <c r="N371">
        <f t="array" ref="N371">SUM(IF(搜索词报告!$H$2:$H$22222=L371,IF(搜索词报告!$A$2:$A$22222&gt;=$L$2,IF(搜索词报告!$A$2:$A$22222&lt;=$L$4,搜索词报告!$J$2:$J$22222,0),0),0))</f>
        <v>0</v>
      </c>
      <c r="O371" s="2">
        <f t="shared" si="44"/>
        <v>0</v>
      </c>
      <c r="P371" s="2">
        <f t="shared" si="45"/>
        <v>0</v>
      </c>
      <c r="Q371">
        <f t="array" ref="Q371">SUM(IF(搜索词报告!$H$2:$H$22222=L371,IF(搜索词报告!$A$2:$A$22222&gt;=$L$2,IF(搜索词报告!$A$2:$A$22222&lt;=$L$4,搜索词报告!$Q$2:$Q$22222,0),0),0))</f>
        <v>0</v>
      </c>
      <c r="R371">
        <f t="array" ref="R371">SUM(IF(搜索词报告!$H$2:$H$22222=L371,IF(搜索词报告!$A$2:$A$22222&gt;=$L$2,IF(搜索词报告!$A$2:$A$22222&lt;=$L$4,搜索词报告!$N$2:$N$22222,0),0),0))</f>
        <v>0</v>
      </c>
      <c r="S371">
        <f t="array" ref="S371">SUM(IF(搜索词报告!$H$2:$H$22222=L371,IF(搜索词报告!$A$2:$A$22222&gt;=$L$2,IF(搜索词报告!$A$2:$A$22222&lt;=$L$4,搜索词报告!$M$2:$M$22222,0),0),0))</f>
        <v>0</v>
      </c>
      <c r="T371" s="2" t="str">
        <f t="shared" si="46"/>
        <v/>
      </c>
      <c r="U371" t="str">
        <f t="shared" si="47"/>
        <v>点击次数少于10次没有参考性</v>
      </c>
      <c r="V371" s="4" t="str">
        <f>IFERROR(INDEX(搜索词报告!$D$2:$D$22222,MATCH(关键词词频统计!L371,搜索词报告!$H$2:$H$22222,0)),"")</f>
        <v/>
      </c>
    </row>
    <row r="372" spans="2:22" x14ac:dyDescent="0.15">
      <c r="B372">
        <f t="array" ref="B372">SUM(IF(搜索词报告!$H$2:$H$22222=A372,IF(搜索词报告!$A$2:$A$22222&gt;=关键词词频统计!$A$2,IF(搜索词报告!$A$2:$A$22222&lt;=关键词词频统计!$A$4,搜索词报告!$I$2:$I$22222,0),0),0))</f>
        <v>0</v>
      </c>
      <c r="C372">
        <f t="array" ref="C372">SUM(IF(搜索词报告!$H$2:$H$22222=A372,IF(搜索词报告!$A$2:$A$22222&gt;=关键词词频统计!$A$2,IF(搜索词报告!$A$2:$A$22222&lt;=关键词词频统计!$A$4,搜索词报告!$J$2:$J$22222,0),0),0))</f>
        <v>0</v>
      </c>
      <c r="D372" s="2">
        <f t="shared" si="40"/>
        <v>0</v>
      </c>
      <c r="E372" s="2">
        <f t="shared" si="41"/>
        <v>0</v>
      </c>
      <c r="F372">
        <f t="array" ref="F372">SUM(IF(搜索词报告!$H$2:$H$22222=A372,IF(搜索词报告!$A$2:$A$22222&gt;=关键词词频统计!$A$2,IF(搜索词报告!$A$2:$A$22222&lt;=关键词词频统计!$A$4,搜索词报告!$Q$2:$Q$22222,0),0),0))</f>
        <v>0</v>
      </c>
      <c r="G372">
        <f t="array" ref="G372">SUM(IF(搜索词报告!$H$2:$H$22222=A372,IF(搜索词报告!$A$2:$A$22222&gt;=关键词词频统计!$A$2,IF(搜索词报告!$A$2:$A$22222&lt;=关键词词频统计!$A$4,搜索词报告!$N$2:$N$22222,0),0),0))</f>
        <v>0</v>
      </c>
      <c r="H372">
        <f t="array" ref="H372">SUM(IF(搜索词报告!$H$2:$H$22222=A372,IF(搜索词报告!$A$2:$A$22222&gt;=关键词词频统计!$A$2,IF(搜索词报告!$A$2:$A$22222&lt;=关键词词频统计!$A$4,搜索词报告!$M$2:$M$22222,0),0),0))</f>
        <v>0</v>
      </c>
      <c r="I372" s="2" t="str">
        <f t="shared" si="42"/>
        <v/>
      </c>
      <c r="J372" t="str">
        <f t="shared" si="43"/>
        <v>点击次数少于10次没有参考性</v>
      </c>
      <c r="K372" s="4" t="str">
        <f>IFERROR(INDEX(搜索词报告!$D$2:$D$22222,MATCH(关键词词频统计!A372,搜索词报告!$H$2:$H$22222,0)),"")</f>
        <v/>
      </c>
      <c r="M372">
        <f t="array" ref="M372">SUM(IF(搜索词报告!$H$2:$H$22222=L372,IF(搜索词报告!$A$2:$A$22222&gt;=$L$2,IF(搜索词报告!$A$2:$A$22222&lt;=$L$4,搜索词报告!$I$2:$I$22222,0),0),0))</f>
        <v>0</v>
      </c>
      <c r="N372">
        <f t="array" ref="N372">SUM(IF(搜索词报告!$H$2:$H$22222=L372,IF(搜索词报告!$A$2:$A$22222&gt;=$L$2,IF(搜索词报告!$A$2:$A$22222&lt;=$L$4,搜索词报告!$J$2:$J$22222,0),0),0))</f>
        <v>0</v>
      </c>
      <c r="O372" s="2">
        <f t="shared" si="44"/>
        <v>0</v>
      </c>
      <c r="P372" s="2">
        <f t="shared" si="45"/>
        <v>0</v>
      </c>
      <c r="Q372">
        <f t="array" ref="Q372">SUM(IF(搜索词报告!$H$2:$H$22222=L372,IF(搜索词报告!$A$2:$A$22222&gt;=$L$2,IF(搜索词报告!$A$2:$A$22222&lt;=$L$4,搜索词报告!$Q$2:$Q$22222,0),0),0))</f>
        <v>0</v>
      </c>
      <c r="R372">
        <f t="array" ref="R372">SUM(IF(搜索词报告!$H$2:$H$22222=L372,IF(搜索词报告!$A$2:$A$22222&gt;=$L$2,IF(搜索词报告!$A$2:$A$22222&lt;=$L$4,搜索词报告!$N$2:$N$22222,0),0),0))</f>
        <v>0</v>
      </c>
      <c r="S372">
        <f t="array" ref="S372">SUM(IF(搜索词报告!$H$2:$H$22222=L372,IF(搜索词报告!$A$2:$A$22222&gt;=$L$2,IF(搜索词报告!$A$2:$A$22222&lt;=$L$4,搜索词报告!$M$2:$M$22222,0),0),0))</f>
        <v>0</v>
      </c>
      <c r="T372" s="2" t="str">
        <f t="shared" si="46"/>
        <v/>
      </c>
      <c r="U372" t="str">
        <f t="shared" si="47"/>
        <v>点击次数少于10次没有参考性</v>
      </c>
      <c r="V372" s="4" t="str">
        <f>IFERROR(INDEX(搜索词报告!$D$2:$D$22222,MATCH(关键词词频统计!L372,搜索词报告!$H$2:$H$22222,0)),"")</f>
        <v/>
      </c>
    </row>
    <row r="373" spans="2:22" x14ac:dyDescent="0.15">
      <c r="B373">
        <f t="array" ref="B373">SUM(IF(搜索词报告!$H$2:$H$22222=A373,IF(搜索词报告!$A$2:$A$22222&gt;=关键词词频统计!$A$2,IF(搜索词报告!$A$2:$A$22222&lt;=关键词词频统计!$A$4,搜索词报告!$I$2:$I$22222,0),0),0))</f>
        <v>0</v>
      </c>
      <c r="C373">
        <f t="array" ref="C373">SUM(IF(搜索词报告!$H$2:$H$22222=A373,IF(搜索词报告!$A$2:$A$22222&gt;=关键词词频统计!$A$2,IF(搜索词报告!$A$2:$A$22222&lt;=关键词词频统计!$A$4,搜索词报告!$J$2:$J$22222,0),0),0))</f>
        <v>0</v>
      </c>
      <c r="D373" s="2">
        <f t="shared" si="40"/>
        <v>0</v>
      </c>
      <c r="E373" s="2">
        <f t="shared" si="41"/>
        <v>0</v>
      </c>
      <c r="F373">
        <f t="array" ref="F373">SUM(IF(搜索词报告!$H$2:$H$22222=A373,IF(搜索词报告!$A$2:$A$22222&gt;=关键词词频统计!$A$2,IF(搜索词报告!$A$2:$A$22222&lt;=关键词词频统计!$A$4,搜索词报告!$Q$2:$Q$22222,0),0),0))</f>
        <v>0</v>
      </c>
      <c r="G373">
        <f t="array" ref="G373">SUM(IF(搜索词报告!$H$2:$H$22222=A373,IF(搜索词报告!$A$2:$A$22222&gt;=关键词词频统计!$A$2,IF(搜索词报告!$A$2:$A$22222&lt;=关键词词频统计!$A$4,搜索词报告!$N$2:$N$22222,0),0),0))</f>
        <v>0</v>
      </c>
      <c r="H373">
        <f t="array" ref="H373">SUM(IF(搜索词报告!$H$2:$H$22222=A373,IF(搜索词报告!$A$2:$A$22222&gt;=关键词词频统计!$A$2,IF(搜索词报告!$A$2:$A$22222&lt;=关键词词频统计!$A$4,搜索词报告!$M$2:$M$22222,0),0),0))</f>
        <v>0</v>
      </c>
      <c r="I373" s="2" t="str">
        <f t="shared" si="42"/>
        <v/>
      </c>
      <c r="J373" t="str">
        <f t="shared" si="43"/>
        <v>点击次数少于10次没有参考性</v>
      </c>
      <c r="K373" s="4" t="str">
        <f>IFERROR(INDEX(搜索词报告!$D$2:$D$22222,MATCH(关键词词频统计!A373,搜索词报告!$H$2:$H$22222,0)),"")</f>
        <v/>
      </c>
      <c r="M373">
        <f t="array" ref="M373">SUM(IF(搜索词报告!$H$2:$H$22222=L373,IF(搜索词报告!$A$2:$A$22222&gt;=$L$2,IF(搜索词报告!$A$2:$A$22222&lt;=$L$4,搜索词报告!$I$2:$I$22222,0),0),0))</f>
        <v>0</v>
      </c>
      <c r="N373">
        <f t="array" ref="N373">SUM(IF(搜索词报告!$H$2:$H$22222=L373,IF(搜索词报告!$A$2:$A$22222&gt;=$L$2,IF(搜索词报告!$A$2:$A$22222&lt;=$L$4,搜索词报告!$J$2:$J$22222,0),0),0))</f>
        <v>0</v>
      </c>
      <c r="O373" s="2">
        <f t="shared" si="44"/>
        <v>0</v>
      </c>
      <c r="P373" s="2">
        <f t="shared" si="45"/>
        <v>0</v>
      </c>
      <c r="Q373">
        <f t="array" ref="Q373">SUM(IF(搜索词报告!$H$2:$H$22222=L373,IF(搜索词报告!$A$2:$A$22222&gt;=$L$2,IF(搜索词报告!$A$2:$A$22222&lt;=$L$4,搜索词报告!$Q$2:$Q$22222,0),0),0))</f>
        <v>0</v>
      </c>
      <c r="R373">
        <f t="array" ref="R373">SUM(IF(搜索词报告!$H$2:$H$22222=L373,IF(搜索词报告!$A$2:$A$22222&gt;=$L$2,IF(搜索词报告!$A$2:$A$22222&lt;=$L$4,搜索词报告!$N$2:$N$22222,0),0),0))</f>
        <v>0</v>
      </c>
      <c r="S373">
        <f t="array" ref="S373">SUM(IF(搜索词报告!$H$2:$H$22222=L373,IF(搜索词报告!$A$2:$A$22222&gt;=$L$2,IF(搜索词报告!$A$2:$A$22222&lt;=$L$4,搜索词报告!$M$2:$M$22222,0),0),0))</f>
        <v>0</v>
      </c>
      <c r="T373" s="2" t="str">
        <f t="shared" si="46"/>
        <v/>
      </c>
      <c r="U373" t="str">
        <f t="shared" si="47"/>
        <v>点击次数少于10次没有参考性</v>
      </c>
      <c r="V373" s="4" t="str">
        <f>IFERROR(INDEX(搜索词报告!$D$2:$D$22222,MATCH(关键词词频统计!L373,搜索词报告!$H$2:$H$22222,0)),"")</f>
        <v/>
      </c>
    </row>
    <row r="374" spans="2:22" x14ac:dyDescent="0.15">
      <c r="B374">
        <f t="array" ref="B374">SUM(IF(搜索词报告!$H$2:$H$22222=A374,IF(搜索词报告!$A$2:$A$22222&gt;=关键词词频统计!$A$2,IF(搜索词报告!$A$2:$A$22222&lt;=关键词词频统计!$A$4,搜索词报告!$I$2:$I$22222,0),0),0))</f>
        <v>0</v>
      </c>
      <c r="C374">
        <f t="array" ref="C374">SUM(IF(搜索词报告!$H$2:$H$22222=A374,IF(搜索词报告!$A$2:$A$22222&gt;=关键词词频统计!$A$2,IF(搜索词报告!$A$2:$A$22222&lt;=关键词词频统计!$A$4,搜索词报告!$J$2:$J$22222,0),0),0))</f>
        <v>0</v>
      </c>
      <c r="D374" s="2">
        <f t="shared" si="40"/>
        <v>0</v>
      </c>
      <c r="E374" s="2">
        <f t="shared" si="41"/>
        <v>0</v>
      </c>
      <c r="F374">
        <f t="array" ref="F374">SUM(IF(搜索词报告!$H$2:$H$22222=A374,IF(搜索词报告!$A$2:$A$22222&gt;=关键词词频统计!$A$2,IF(搜索词报告!$A$2:$A$22222&lt;=关键词词频统计!$A$4,搜索词报告!$Q$2:$Q$22222,0),0),0))</f>
        <v>0</v>
      </c>
      <c r="G374">
        <f t="array" ref="G374">SUM(IF(搜索词报告!$H$2:$H$22222=A374,IF(搜索词报告!$A$2:$A$22222&gt;=关键词词频统计!$A$2,IF(搜索词报告!$A$2:$A$22222&lt;=关键词词频统计!$A$4,搜索词报告!$N$2:$N$22222,0),0),0))</f>
        <v>0</v>
      </c>
      <c r="H374">
        <f t="array" ref="H374">SUM(IF(搜索词报告!$H$2:$H$22222=A374,IF(搜索词报告!$A$2:$A$22222&gt;=关键词词频统计!$A$2,IF(搜索词报告!$A$2:$A$22222&lt;=关键词词频统计!$A$4,搜索词报告!$M$2:$M$22222,0),0),0))</f>
        <v>0</v>
      </c>
      <c r="I374" s="2" t="str">
        <f t="shared" si="42"/>
        <v/>
      </c>
      <c r="J374" t="str">
        <f t="shared" si="43"/>
        <v>点击次数少于10次没有参考性</v>
      </c>
      <c r="K374" s="4" t="str">
        <f>IFERROR(INDEX(搜索词报告!$D$2:$D$22222,MATCH(关键词词频统计!A374,搜索词报告!$H$2:$H$22222,0)),"")</f>
        <v/>
      </c>
      <c r="M374">
        <f t="array" ref="M374">SUM(IF(搜索词报告!$H$2:$H$22222=L374,IF(搜索词报告!$A$2:$A$22222&gt;=$L$2,IF(搜索词报告!$A$2:$A$22222&lt;=$L$4,搜索词报告!$I$2:$I$22222,0),0),0))</f>
        <v>0</v>
      </c>
      <c r="N374">
        <f t="array" ref="N374">SUM(IF(搜索词报告!$H$2:$H$22222=L374,IF(搜索词报告!$A$2:$A$22222&gt;=$L$2,IF(搜索词报告!$A$2:$A$22222&lt;=$L$4,搜索词报告!$J$2:$J$22222,0),0),0))</f>
        <v>0</v>
      </c>
      <c r="O374" s="2">
        <f t="shared" si="44"/>
        <v>0</v>
      </c>
      <c r="P374" s="2">
        <f t="shared" si="45"/>
        <v>0</v>
      </c>
      <c r="Q374">
        <f t="array" ref="Q374">SUM(IF(搜索词报告!$H$2:$H$22222=L374,IF(搜索词报告!$A$2:$A$22222&gt;=$L$2,IF(搜索词报告!$A$2:$A$22222&lt;=$L$4,搜索词报告!$Q$2:$Q$22222,0),0),0))</f>
        <v>0</v>
      </c>
      <c r="R374">
        <f t="array" ref="R374">SUM(IF(搜索词报告!$H$2:$H$22222=L374,IF(搜索词报告!$A$2:$A$22222&gt;=$L$2,IF(搜索词报告!$A$2:$A$22222&lt;=$L$4,搜索词报告!$N$2:$N$22222,0),0),0))</f>
        <v>0</v>
      </c>
      <c r="S374">
        <f t="array" ref="S374">SUM(IF(搜索词报告!$H$2:$H$22222=L374,IF(搜索词报告!$A$2:$A$22222&gt;=$L$2,IF(搜索词报告!$A$2:$A$22222&lt;=$L$4,搜索词报告!$M$2:$M$22222,0),0),0))</f>
        <v>0</v>
      </c>
      <c r="T374" s="2" t="str">
        <f t="shared" si="46"/>
        <v/>
      </c>
      <c r="U374" t="str">
        <f t="shared" si="47"/>
        <v>点击次数少于10次没有参考性</v>
      </c>
      <c r="V374" s="4" t="str">
        <f>IFERROR(INDEX(搜索词报告!$D$2:$D$22222,MATCH(关键词词频统计!L374,搜索词报告!$H$2:$H$22222,0)),"")</f>
        <v/>
      </c>
    </row>
    <row r="375" spans="2:22" x14ac:dyDescent="0.15">
      <c r="B375">
        <f t="array" ref="B375">SUM(IF(搜索词报告!$H$2:$H$22222=A375,IF(搜索词报告!$A$2:$A$22222&gt;=关键词词频统计!$A$2,IF(搜索词报告!$A$2:$A$22222&lt;=关键词词频统计!$A$4,搜索词报告!$I$2:$I$22222,0),0),0))</f>
        <v>0</v>
      </c>
      <c r="C375">
        <f t="array" ref="C375">SUM(IF(搜索词报告!$H$2:$H$22222=A375,IF(搜索词报告!$A$2:$A$22222&gt;=关键词词频统计!$A$2,IF(搜索词报告!$A$2:$A$22222&lt;=关键词词频统计!$A$4,搜索词报告!$J$2:$J$22222,0),0),0))</f>
        <v>0</v>
      </c>
      <c r="D375" s="2">
        <f t="shared" si="40"/>
        <v>0</v>
      </c>
      <c r="E375" s="2">
        <f t="shared" si="41"/>
        <v>0</v>
      </c>
      <c r="F375">
        <f t="array" ref="F375">SUM(IF(搜索词报告!$H$2:$H$22222=A375,IF(搜索词报告!$A$2:$A$22222&gt;=关键词词频统计!$A$2,IF(搜索词报告!$A$2:$A$22222&lt;=关键词词频统计!$A$4,搜索词报告!$Q$2:$Q$22222,0),0),0))</f>
        <v>0</v>
      </c>
      <c r="G375">
        <f t="array" ref="G375">SUM(IF(搜索词报告!$H$2:$H$22222=A375,IF(搜索词报告!$A$2:$A$22222&gt;=关键词词频统计!$A$2,IF(搜索词报告!$A$2:$A$22222&lt;=关键词词频统计!$A$4,搜索词报告!$N$2:$N$22222,0),0),0))</f>
        <v>0</v>
      </c>
      <c r="H375">
        <f t="array" ref="H375">SUM(IF(搜索词报告!$H$2:$H$22222=A375,IF(搜索词报告!$A$2:$A$22222&gt;=关键词词频统计!$A$2,IF(搜索词报告!$A$2:$A$22222&lt;=关键词词频统计!$A$4,搜索词报告!$M$2:$M$22222,0),0),0))</f>
        <v>0</v>
      </c>
      <c r="I375" s="2" t="str">
        <f t="shared" si="42"/>
        <v/>
      </c>
      <c r="J375" t="str">
        <f t="shared" si="43"/>
        <v>点击次数少于10次没有参考性</v>
      </c>
      <c r="K375" s="4" t="str">
        <f>IFERROR(INDEX(搜索词报告!$D$2:$D$22222,MATCH(关键词词频统计!A375,搜索词报告!$H$2:$H$22222,0)),"")</f>
        <v/>
      </c>
      <c r="M375">
        <f t="array" ref="M375">SUM(IF(搜索词报告!$H$2:$H$22222=L375,IF(搜索词报告!$A$2:$A$22222&gt;=$L$2,IF(搜索词报告!$A$2:$A$22222&lt;=$L$4,搜索词报告!$I$2:$I$22222,0),0),0))</f>
        <v>0</v>
      </c>
      <c r="N375">
        <f t="array" ref="N375">SUM(IF(搜索词报告!$H$2:$H$22222=L375,IF(搜索词报告!$A$2:$A$22222&gt;=$L$2,IF(搜索词报告!$A$2:$A$22222&lt;=$L$4,搜索词报告!$J$2:$J$22222,0),0),0))</f>
        <v>0</v>
      </c>
      <c r="O375" s="2">
        <f t="shared" si="44"/>
        <v>0</v>
      </c>
      <c r="P375" s="2">
        <f t="shared" si="45"/>
        <v>0</v>
      </c>
      <c r="Q375">
        <f t="array" ref="Q375">SUM(IF(搜索词报告!$H$2:$H$22222=L375,IF(搜索词报告!$A$2:$A$22222&gt;=$L$2,IF(搜索词报告!$A$2:$A$22222&lt;=$L$4,搜索词报告!$Q$2:$Q$22222,0),0),0))</f>
        <v>0</v>
      </c>
      <c r="R375">
        <f t="array" ref="R375">SUM(IF(搜索词报告!$H$2:$H$22222=L375,IF(搜索词报告!$A$2:$A$22222&gt;=$L$2,IF(搜索词报告!$A$2:$A$22222&lt;=$L$4,搜索词报告!$N$2:$N$22222,0),0),0))</f>
        <v>0</v>
      </c>
      <c r="S375">
        <f t="array" ref="S375">SUM(IF(搜索词报告!$H$2:$H$22222=L375,IF(搜索词报告!$A$2:$A$22222&gt;=$L$2,IF(搜索词报告!$A$2:$A$22222&lt;=$L$4,搜索词报告!$M$2:$M$22222,0),0),0))</f>
        <v>0</v>
      </c>
      <c r="T375" s="2" t="str">
        <f t="shared" si="46"/>
        <v/>
      </c>
      <c r="U375" t="str">
        <f t="shared" si="47"/>
        <v>点击次数少于10次没有参考性</v>
      </c>
      <c r="V375" s="4" t="str">
        <f>IFERROR(INDEX(搜索词报告!$D$2:$D$22222,MATCH(关键词词频统计!L375,搜索词报告!$H$2:$H$22222,0)),"")</f>
        <v/>
      </c>
    </row>
    <row r="376" spans="2:22" x14ac:dyDescent="0.15">
      <c r="B376">
        <f t="array" ref="B376">SUM(IF(搜索词报告!$H$2:$H$22222=A376,IF(搜索词报告!$A$2:$A$22222&gt;=关键词词频统计!$A$2,IF(搜索词报告!$A$2:$A$22222&lt;=关键词词频统计!$A$4,搜索词报告!$I$2:$I$22222,0),0),0))</f>
        <v>0</v>
      </c>
      <c r="C376">
        <f t="array" ref="C376">SUM(IF(搜索词报告!$H$2:$H$22222=A376,IF(搜索词报告!$A$2:$A$22222&gt;=关键词词频统计!$A$2,IF(搜索词报告!$A$2:$A$22222&lt;=关键词词频统计!$A$4,搜索词报告!$J$2:$J$22222,0),0),0))</f>
        <v>0</v>
      </c>
      <c r="D376" s="2">
        <f t="shared" si="40"/>
        <v>0</v>
      </c>
      <c r="E376" s="2">
        <f t="shared" si="41"/>
        <v>0</v>
      </c>
      <c r="F376">
        <f t="array" ref="F376">SUM(IF(搜索词报告!$H$2:$H$22222=A376,IF(搜索词报告!$A$2:$A$22222&gt;=关键词词频统计!$A$2,IF(搜索词报告!$A$2:$A$22222&lt;=关键词词频统计!$A$4,搜索词报告!$Q$2:$Q$22222,0),0),0))</f>
        <v>0</v>
      </c>
      <c r="G376">
        <f t="array" ref="G376">SUM(IF(搜索词报告!$H$2:$H$22222=A376,IF(搜索词报告!$A$2:$A$22222&gt;=关键词词频统计!$A$2,IF(搜索词报告!$A$2:$A$22222&lt;=关键词词频统计!$A$4,搜索词报告!$N$2:$N$22222,0),0),0))</f>
        <v>0</v>
      </c>
      <c r="H376">
        <f t="array" ref="H376">SUM(IF(搜索词报告!$H$2:$H$22222=A376,IF(搜索词报告!$A$2:$A$22222&gt;=关键词词频统计!$A$2,IF(搜索词报告!$A$2:$A$22222&lt;=关键词词频统计!$A$4,搜索词报告!$M$2:$M$22222,0),0),0))</f>
        <v>0</v>
      </c>
      <c r="I376" s="2" t="str">
        <f t="shared" si="42"/>
        <v/>
      </c>
      <c r="J376" t="str">
        <f t="shared" si="43"/>
        <v>点击次数少于10次没有参考性</v>
      </c>
      <c r="K376" s="4" t="str">
        <f>IFERROR(INDEX(搜索词报告!$D$2:$D$22222,MATCH(关键词词频统计!A376,搜索词报告!$H$2:$H$22222,0)),"")</f>
        <v/>
      </c>
      <c r="M376">
        <f t="array" ref="M376">SUM(IF(搜索词报告!$H$2:$H$22222=L376,IF(搜索词报告!$A$2:$A$22222&gt;=$L$2,IF(搜索词报告!$A$2:$A$22222&lt;=$L$4,搜索词报告!$I$2:$I$22222,0),0),0))</f>
        <v>0</v>
      </c>
      <c r="N376">
        <f t="array" ref="N376">SUM(IF(搜索词报告!$H$2:$H$22222=L376,IF(搜索词报告!$A$2:$A$22222&gt;=$L$2,IF(搜索词报告!$A$2:$A$22222&lt;=$L$4,搜索词报告!$J$2:$J$22222,0),0),0))</f>
        <v>0</v>
      </c>
      <c r="O376" s="2">
        <f t="shared" si="44"/>
        <v>0</v>
      </c>
      <c r="P376" s="2">
        <f t="shared" si="45"/>
        <v>0</v>
      </c>
      <c r="Q376">
        <f t="array" ref="Q376">SUM(IF(搜索词报告!$H$2:$H$22222=L376,IF(搜索词报告!$A$2:$A$22222&gt;=$L$2,IF(搜索词报告!$A$2:$A$22222&lt;=$L$4,搜索词报告!$Q$2:$Q$22222,0),0),0))</f>
        <v>0</v>
      </c>
      <c r="R376">
        <f t="array" ref="R376">SUM(IF(搜索词报告!$H$2:$H$22222=L376,IF(搜索词报告!$A$2:$A$22222&gt;=$L$2,IF(搜索词报告!$A$2:$A$22222&lt;=$L$4,搜索词报告!$N$2:$N$22222,0),0),0))</f>
        <v>0</v>
      </c>
      <c r="S376">
        <f t="array" ref="S376">SUM(IF(搜索词报告!$H$2:$H$22222=L376,IF(搜索词报告!$A$2:$A$22222&gt;=$L$2,IF(搜索词报告!$A$2:$A$22222&lt;=$L$4,搜索词报告!$M$2:$M$22222,0),0),0))</f>
        <v>0</v>
      </c>
      <c r="T376" s="2" t="str">
        <f t="shared" si="46"/>
        <v/>
      </c>
      <c r="U376" t="str">
        <f t="shared" si="47"/>
        <v>点击次数少于10次没有参考性</v>
      </c>
      <c r="V376" s="4" t="str">
        <f>IFERROR(INDEX(搜索词报告!$D$2:$D$22222,MATCH(关键词词频统计!L376,搜索词报告!$H$2:$H$22222,0)),"")</f>
        <v/>
      </c>
    </row>
    <row r="377" spans="2:22" x14ac:dyDescent="0.15">
      <c r="B377">
        <f t="array" ref="B377">SUM(IF(搜索词报告!$H$2:$H$22222=A377,IF(搜索词报告!$A$2:$A$22222&gt;=关键词词频统计!$A$2,IF(搜索词报告!$A$2:$A$22222&lt;=关键词词频统计!$A$4,搜索词报告!$I$2:$I$22222,0),0),0))</f>
        <v>0</v>
      </c>
      <c r="C377">
        <f t="array" ref="C377">SUM(IF(搜索词报告!$H$2:$H$22222=A377,IF(搜索词报告!$A$2:$A$22222&gt;=关键词词频统计!$A$2,IF(搜索词报告!$A$2:$A$22222&lt;=关键词词频统计!$A$4,搜索词报告!$J$2:$J$22222,0),0),0))</f>
        <v>0</v>
      </c>
      <c r="D377" s="2">
        <f t="shared" si="40"/>
        <v>0</v>
      </c>
      <c r="E377" s="2">
        <f t="shared" si="41"/>
        <v>0</v>
      </c>
      <c r="F377">
        <f t="array" ref="F377">SUM(IF(搜索词报告!$H$2:$H$22222=A377,IF(搜索词报告!$A$2:$A$22222&gt;=关键词词频统计!$A$2,IF(搜索词报告!$A$2:$A$22222&lt;=关键词词频统计!$A$4,搜索词报告!$Q$2:$Q$22222,0),0),0))</f>
        <v>0</v>
      </c>
      <c r="G377">
        <f t="array" ref="G377">SUM(IF(搜索词报告!$H$2:$H$22222=A377,IF(搜索词报告!$A$2:$A$22222&gt;=关键词词频统计!$A$2,IF(搜索词报告!$A$2:$A$22222&lt;=关键词词频统计!$A$4,搜索词报告!$N$2:$N$22222,0),0),0))</f>
        <v>0</v>
      </c>
      <c r="H377">
        <f t="array" ref="H377">SUM(IF(搜索词报告!$H$2:$H$22222=A377,IF(搜索词报告!$A$2:$A$22222&gt;=关键词词频统计!$A$2,IF(搜索词报告!$A$2:$A$22222&lt;=关键词词频统计!$A$4,搜索词报告!$M$2:$M$22222,0),0),0))</f>
        <v>0</v>
      </c>
      <c r="I377" s="2" t="str">
        <f t="shared" si="42"/>
        <v/>
      </c>
      <c r="J377" t="str">
        <f t="shared" si="43"/>
        <v>点击次数少于10次没有参考性</v>
      </c>
      <c r="K377" s="4" t="str">
        <f>IFERROR(INDEX(搜索词报告!$D$2:$D$22222,MATCH(关键词词频统计!A377,搜索词报告!$H$2:$H$22222,0)),"")</f>
        <v/>
      </c>
      <c r="M377">
        <f t="array" ref="M377">SUM(IF(搜索词报告!$H$2:$H$22222=L377,IF(搜索词报告!$A$2:$A$22222&gt;=$L$2,IF(搜索词报告!$A$2:$A$22222&lt;=$L$4,搜索词报告!$I$2:$I$22222,0),0),0))</f>
        <v>0</v>
      </c>
      <c r="N377">
        <f t="array" ref="N377">SUM(IF(搜索词报告!$H$2:$H$22222=L377,IF(搜索词报告!$A$2:$A$22222&gt;=$L$2,IF(搜索词报告!$A$2:$A$22222&lt;=$L$4,搜索词报告!$J$2:$J$22222,0),0),0))</f>
        <v>0</v>
      </c>
      <c r="O377" s="2">
        <f t="shared" si="44"/>
        <v>0</v>
      </c>
      <c r="P377" s="2">
        <f t="shared" si="45"/>
        <v>0</v>
      </c>
      <c r="Q377">
        <f t="array" ref="Q377">SUM(IF(搜索词报告!$H$2:$H$22222=L377,IF(搜索词报告!$A$2:$A$22222&gt;=$L$2,IF(搜索词报告!$A$2:$A$22222&lt;=$L$4,搜索词报告!$Q$2:$Q$22222,0),0),0))</f>
        <v>0</v>
      </c>
      <c r="R377">
        <f t="array" ref="R377">SUM(IF(搜索词报告!$H$2:$H$22222=L377,IF(搜索词报告!$A$2:$A$22222&gt;=$L$2,IF(搜索词报告!$A$2:$A$22222&lt;=$L$4,搜索词报告!$N$2:$N$22222,0),0),0))</f>
        <v>0</v>
      </c>
      <c r="S377">
        <f t="array" ref="S377">SUM(IF(搜索词报告!$H$2:$H$22222=L377,IF(搜索词报告!$A$2:$A$22222&gt;=$L$2,IF(搜索词报告!$A$2:$A$22222&lt;=$L$4,搜索词报告!$M$2:$M$22222,0),0),0))</f>
        <v>0</v>
      </c>
      <c r="T377" s="2" t="str">
        <f t="shared" si="46"/>
        <v/>
      </c>
      <c r="U377" t="str">
        <f t="shared" si="47"/>
        <v>点击次数少于10次没有参考性</v>
      </c>
      <c r="V377" s="4" t="str">
        <f>IFERROR(INDEX(搜索词报告!$D$2:$D$22222,MATCH(关键词词频统计!L377,搜索词报告!$H$2:$H$22222,0)),"")</f>
        <v/>
      </c>
    </row>
    <row r="378" spans="2:22" x14ac:dyDescent="0.15">
      <c r="B378">
        <f t="array" ref="B378">SUM(IF(搜索词报告!$H$2:$H$22222=A378,IF(搜索词报告!$A$2:$A$22222&gt;=关键词词频统计!$A$2,IF(搜索词报告!$A$2:$A$22222&lt;=关键词词频统计!$A$4,搜索词报告!$I$2:$I$22222,0),0),0))</f>
        <v>0</v>
      </c>
      <c r="C378">
        <f t="array" ref="C378">SUM(IF(搜索词报告!$H$2:$H$22222=A378,IF(搜索词报告!$A$2:$A$22222&gt;=关键词词频统计!$A$2,IF(搜索词报告!$A$2:$A$22222&lt;=关键词词频统计!$A$4,搜索词报告!$J$2:$J$22222,0),0),0))</f>
        <v>0</v>
      </c>
      <c r="D378" s="2">
        <f t="shared" si="40"/>
        <v>0</v>
      </c>
      <c r="E378" s="2">
        <f t="shared" si="41"/>
        <v>0</v>
      </c>
      <c r="F378">
        <f t="array" ref="F378">SUM(IF(搜索词报告!$H$2:$H$22222=A378,IF(搜索词报告!$A$2:$A$22222&gt;=关键词词频统计!$A$2,IF(搜索词报告!$A$2:$A$22222&lt;=关键词词频统计!$A$4,搜索词报告!$Q$2:$Q$22222,0),0),0))</f>
        <v>0</v>
      </c>
      <c r="G378">
        <f t="array" ref="G378">SUM(IF(搜索词报告!$H$2:$H$22222=A378,IF(搜索词报告!$A$2:$A$22222&gt;=关键词词频统计!$A$2,IF(搜索词报告!$A$2:$A$22222&lt;=关键词词频统计!$A$4,搜索词报告!$N$2:$N$22222,0),0),0))</f>
        <v>0</v>
      </c>
      <c r="H378">
        <f t="array" ref="H378">SUM(IF(搜索词报告!$H$2:$H$22222=A378,IF(搜索词报告!$A$2:$A$22222&gt;=关键词词频统计!$A$2,IF(搜索词报告!$A$2:$A$22222&lt;=关键词词频统计!$A$4,搜索词报告!$M$2:$M$22222,0),0),0))</f>
        <v>0</v>
      </c>
      <c r="I378" s="2" t="str">
        <f t="shared" si="42"/>
        <v/>
      </c>
      <c r="J378" t="str">
        <f t="shared" si="43"/>
        <v>点击次数少于10次没有参考性</v>
      </c>
      <c r="K378" s="4" t="str">
        <f>IFERROR(INDEX(搜索词报告!$D$2:$D$22222,MATCH(关键词词频统计!A378,搜索词报告!$H$2:$H$22222,0)),"")</f>
        <v/>
      </c>
      <c r="M378">
        <f t="array" ref="M378">SUM(IF(搜索词报告!$H$2:$H$22222=L378,IF(搜索词报告!$A$2:$A$22222&gt;=$L$2,IF(搜索词报告!$A$2:$A$22222&lt;=$L$4,搜索词报告!$I$2:$I$22222,0),0),0))</f>
        <v>0</v>
      </c>
      <c r="N378">
        <f t="array" ref="N378">SUM(IF(搜索词报告!$H$2:$H$22222=L378,IF(搜索词报告!$A$2:$A$22222&gt;=$L$2,IF(搜索词报告!$A$2:$A$22222&lt;=$L$4,搜索词报告!$J$2:$J$22222,0),0),0))</f>
        <v>0</v>
      </c>
      <c r="O378" s="2">
        <f t="shared" si="44"/>
        <v>0</v>
      </c>
      <c r="P378" s="2">
        <f t="shared" si="45"/>
        <v>0</v>
      </c>
      <c r="Q378">
        <f t="array" ref="Q378">SUM(IF(搜索词报告!$H$2:$H$22222=L378,IF(搜索词报告!$A$2:$A$22222&gt;=$L$2,IF(搜索词报告!$A$2:$A$22222&lt;=$L$4,搜索词报告!$Q$2:$Q$22222,0),0),0))</f>
        <v>0</v>
      </c>
      <c r="R378">
        <f t="array" ref="R378">SUM(IF(搜索词报告!$H$2:$H$22222=L378,IF(搜索词报告!$A$2:$A$22222&gt;=$L$2,IF(搜索词报告!$A$2:$A$22222&lt;=$L$4,搜索词报告!$N$2:$N$22222,0),0),0))</f>
        <v>0</v>
      </c>
      <c r="S378">
        <f t="array" ref="S378">SUM(IF(搜索词报告!$H$2:$H$22222=L378,IF(搜索词报告!$A$2:$A$22222&gt;=$L$2,IF(搜索词报告!$A$2:$A$22222&lt;=$L$4,搜索词报告!$M$2:$M$22222,0),0),0))</f>
        <v>0</v>
      </c>
      <c r="T378" s="2" t="str">
        <f t="shared" si="46"/>
        <v/>
      </c>
      <c r="U378" t="str">
        <f t="shared" si="47"/>
        <v>点击次数少于10次没有参考性</v>
      </c>
      <c r="V378" s="4" t="str">
        <f>IFERROR(INDEX(搜索词报告!$D$2:$D$22222,MATCH(关键词词频统计!L378,搜索词报告!$H$2:$H$22222,0)),"")</f>
        <v/>
      </c>
    </row>
    <row r="379" spans="2:22" x14ac:dyDescent="0.15">
      <c r="B379">
        <f t="array" ref="B379">SUM(IF(搜索词报告!$H$2:$H$22222=A379,IF(搜索词报告!$A$2:$A$22222&gt;=关键词词频统计!$A$2,IF(搜索词报告!$A$2:$A$22222&lt;=关键词词频统计!$A$4,搜索词报告!$I$2:$I$22222,0),0),0))</f>
        <v>0</v>
      </c>
      <c r="C379">
        <f t="array" ref="C379">SUM(IF(搜索词报告!$H$2:$H$22222=A379,IF(搜索词报告!$A$2:$A$22222&gt;=关键词词频统计!$A$2,IF(搜索词报告!$A$2:$A$22222&lt;=关键词词频统计!$A$4,搜索词报告!$J$2:$J$22222,0),0),0))</f>
        <v>0</v>
      </c>
      <c r="D379" s="2">
        <f t="shared" si="40"/>
        <v>0</v>
      </c>
      <c r="E379" s="2">
        <f t="shared" si="41"/>
        <v>0</v>
      </c>
      <c r="F379">
        <f t="array" ref="F379">SUM(IF(搜索词报告!$H$2:$H$22222=A379,IF(搜索词报告!$A$2:$A$22222&gt;=关键词词频统计!$A$2,IF(搜索词报告!$A$2:$A$22222&lt;=关键词词频统计!$A$4,搜索词报告!$Q$2:$Q$22222,0),0),0))</f>
        <v>0</v>
      </c>
      <c r="G379">
        <f t="array" ref="G379">SUM(IF(搜索词报告!$H$2:$H$22222=A379,IF(搜索词报告!$A$2:$A$22222&gt;=关键词词频统计!$A$2,IF(搜索词报告!$A$2:$A$22222&lt;=关键词词频统计!$A$4,搜索词报告!$N$2:$N$22222,0),0),0))</f>
        <v>0</v>
      </c>
      <c r="H379">
        <f t="array" ref="H379">SUM(IF(搜索词报告!$H$2:$H$22222=A379,IF(搜索词报告!$A$2:$A$22222&gt;=关键词词频统计!$A$2,IF(搜索词报告!$A$2:$A$22222&lt;=关键词词频统计!$A$4,搜索词报告!$M$2:$M$22222,0),0),0))</f>
        <v>0</v>
      </c>
      <c r="I379" s="2" t="str">
        <f t="shared" si="42"/>
        <v/>
      </c>
      <c r="J379" t="str">
        <f t="shared" si="43"/>
        <v>点击次数少于10次没有参考性</v>
      </c>
      <c r="K379" s="4" t="str">
        <f>IFERROR(INDEX(搜索词报告!$D$2:$D$22222,MATCH(关键词词频统计!A379,搜索词报告!$H$2:$H$22222,0)),"")</f>
        <v/>
      </c>
      <c r="M379">
        <f t="array" ref="M379">SUM(IF(搜索词报告!$H$2:$H$22222=L379,IF(搜索词报告!$A$2:$A$22222&gt;=$L$2,IF(搜索词报告!$A$2:$A$22222&lt;=$L$4,搜索词报告!$I$2:$I$22222,0),0),0))</f>
        <v>0</v>
      </c>
      <c r="N379">
        <f t="array" ref="N379">SUM(IF(搜索词报告!$H$2:$H$22222=L379,IF(搜索词报告!$A$2:$A$22222&gt;=$L$2,IF(搜索词报告!$A$2:$A$22222&lt;=$L$4,搜索词报告!$J$2:$J$22222,0),0),0))</f>
        <v>0</v>
      </c>
      <c r="O379" s="2">
        <f t="shared" si="44"/>
        <v>0</v>
      </c>
      <c r="P379" s="2">
        <f t="shared" si="45"/>
        <v>0</v>
      </c>
      <c r="Q379">
        <f t="array" ref="Q379">SUM(IF(搜索词报告!$H$2:$H$22222=L379,IF(搜索词报告!$A$2:$A$22222&gt;=$L$2,IF(搜索词报告!$A$2:$A$22222&lt;=$L$4,搜索词报告!$Q$2:$Q$22222,0),0),0))</f>
        <v>0</v>
      </c>
      <c r="R379">
        <f t="array" ref="R379">SUM(IF(搜索词报告!$H$2:$H$22222=L379,IF(搜索词报告!$A$2:$A$22222&gt;=$L$2,IF(搜索词报告!$A$2:$A$22222&lt;=$L$4,搜索词报告!$N$2:$N$22222,0),0),0))</f>
        <v>0</v>
      </c>
      <c r="S379">
        <f t="array" ref="S379">SUM(IF(搜索词报告!$H$2:$H$22222=L379,IF(搜索词报告!$A$2:$A$22222&gt;=$L$2,IF(搜索词报告!$A$2:$A$22222&lt;=$L$4,搜索词报告!$M$2:$M$22222,0),0),0))</f>
        <v>0</v>
      </c>
      <c r="T379" s="2" t="str">
        <f t="shared" si="46"/>
        <v/>
      </c>
      <c r="U379" t="str">
        <f t="shared" si="47"/>
        <v>点击次数少于10次没有参考性</v>
      </c>
      <c r="V379" s="4" t="str">
        <f>IFERROR(INDEX(搜索词报告!$D$2:$D$22222,MATCH(关键词词频统计!L379,搜索词报告!$H$2:$H$22222,0)),"")</f>
        <v/>
      </c>
    </row>
    <row r="380" spans="2:22" x14ac:dyDescent="0.15">
      <c r="B380">
        <f t="array" ref="B380">SUM(IF(搜索词报告!$H$2:$H$22222=A380,IF(搜索词报告!$A$2:$A$22222&gt;=关键词词频统计!$A$2,IF(搜索词报告!$A$2:$A$22222&lt;=关键词词频统计!$A$4,搜索词报告!$I$2:$I$22222,0),0),0))</f>
        <v>0</v>
      </c>
      <c r="C380">
        <f t="array" ref="C380">SUM(IF(搜索词报告!$H$2:$H$22222=A380,IF(搜索词报告!$A$2:$A$22222&gt;=关键词词频统计!$A$2,IF(搜索词报告!$A$2:$A$22222&lt;=关键词词频统计!$A$4,搜索词报告!$J$2:$J$22222,0),0),0))</f>
        <v>0</v>
      </c>
      <c r="D380" s="2">
        <f t="shared" si="40"/>
        <v>0</v>
      </c>
      <c r="E380" s="2">
        <f t="shared" si="41"/>
        <v>0</v>
      </c>
      <c r="F380">
        <f t="array" ref="F380">SUM(IF(搜索词报告!$H$2:$H$22222=A380,IF(搜索词报告!$A$2:$A$22222&gt;=关键词词频统计!$A$2,IF(搜索词报告!$A$2:$A$22222&lt;=关键词词频统计!$A$4,搜索词报告!$Q$2:$Q$22222,0),0),0))</f>
        <v>0</v>
      </c>
      <c r="G380">
        <f t="array" ref="G380">SUM(IF(搜索词报告!$H$2:$H$22222=A380,IF(搜索词报告!$A$2:$A$22222&gt;=关键词词频统计!$A$2,IF(搜索词报告!$A$2:$A$22222&lt;=关键词词频统计!$A$4,搜索词报告!$N$2:$N$22222,0),0),0))</f>
        <v>0</v>
      </c>
      <c r="H380">
        <f t="array" ref="H380">SUM(IF(搜索词报告!$H$2:$H$22222=A380,IF(搜索词报告!$A$2:$A$22222&gt;=关键词词频统计!$A$2,IF(搜索词报告!$A$2:$A$22222&lt;=关键词词频统计!$A$4,搜索词报告!$M$2:$M$22222,0),0),0))</f>
        <v>0</v>
      </c>
      <c r="I380" s="2" t="str">
        <f t="shared" si="42"/>
        <v/>
      </c>
      <c r="J380" t="str">
        <f t="shared" si="43"/>
        <v>点击次数少于10次没有参考性</v>
      </c>
      <c r="K380" s="4" t="str">
        <f>IFERROR(INDEX(搜索词报告!$D$2:$D$22222,MATCH(关键词词频统计!A380,搜索词报告!$H$2:$H$22222,0)),"")</f>
        <v/>
      </c>
      <c r="M380">
        <f t="array" ref="M380">SUM(IF(搜索词报告!$H$2:$H$22222=L380,IF(搜索词报告!$A$2:$A$22222&gt;=$L$2,IF(搜索词报告!$A$2:$A$22222&lt;=$L$4,搜索词报告!$I$2:$I$22222,0),0),0))</f>
        <v>0</v>
      </c>
      <c r="N380">
        <f t="array" ref="N380">SUM(IF(搜索词报告!$H$2:$H$22222=L380,IF(搜索词报告!$A$2:$A$22222&gt;=$L$2,IF(搜索词报告!$A$2:$A$22222&lt;=$L$4,搜索词报告!$J$2:$J$22222,0),0),0))</f>
        <v>0</v>
      </c>
      <c r="O380" s="2">
        <f t="shared" si="44"/>
        <v>0</v>
      </c>
      <c r="P380" s="2">
        <f t="shared" si="45"/>
        <v>0</v>
      </c>
      <c r="Q380">
        <f t="array" ref="Q380">SUM(IF(搜索词报告!$H$2:$H$22222=L380,IF(搜索词报告!$A$2:$A$22222&gt;=$L$2,IF(搜索词报告!$A$2:$A$22222&lt;=$L$4,搜索词报告!$Q$2:$Q$22222,0),0),0))</f>
        <v>0</v>
      </c>
      <c r="R380">
        <f t="array" ref="R380">SUM(IF(搜索词报告!$H$2:$H$22222=L380,IF(搜索词报告!$A$2:$A$22222&gt;=$L$2,IF(搜索词报告!$A$2:$A$22222&lt;=$L$4,搜索词报告!$N$2:$N$22222,0),0),0))</f>
        <v>0</v>
      </c>
      <c r="S380">
        <f t="array" ref="S380">SUM(IF(搜索词报告!$H$2:$H$22222=L380,IF(搜索词报告!$A$2:$A$22222&gt;=$L$2,IF(搜索词报告!$A$2:$A$22222&lt;=$L$4,搜索词报告!$M$2:$M$22222,0),0),0))</f>
        <v>0</v>
      </c>
      <c r="T380" s="2" t="str">
        <f t="shared" si="46"/>
        <v/>
      </c>
      <c r="U380" t="str">
        <f t="shared" si="47"/>
        <v>点击次数少于10次没有参考性</v>
      </c>
      <c r="V380" s="4" t="str">
        <f>IFERROR(INDEX(搜索词报告!$D$2:$D$22222,MATCH(关键词词频统计!L380,搜索词报告!$H$2:$H$22222,0)),"")</f>
        <v/>
      </c>
    </row>
    <row r="381" spans="2:22" x14ac:dyDescent="0.15">
      <c r="B381">
        <f t="array" ref="B381">SUM(IF(搜索词报告!$H$2:$H$22222=A381,IF(搜索词报告!$A$2:$A$22222&gt;=关键词词频统计!$A$2,IF(搜索词报告!$A$2:$A$22222&lt;=关键词词频统计!$A$4,搜索词报告!$I$2:$I$22222,0),0),0))</f>
        <v>0</v>
      </c>
      <c r="C381">
        <f t="array" ref="C381">SUM(IF(搜索词报告!$H$2:$H$22222=A381,IF(搜索词报告!$A$2:$A$22222&gt;=关键词词频统计!$A$2,IF(搜索词报告!$A$2:$A$22222&lt;=关键词词频统计!$A$4,搜索词报告!$J$2:$J$22222,0),0),0))</f>
        <v>0</v>
      </c>
      <c r="D381" s="2">
        <f t="shared" si="40"/>
        <v>0</v>
      </c>
      <c r="E381" s="2">
        <f t="shared" si="41"/>
        <v>0</v>
      </c>
      <c r="F381">
        <f t="array" ref="F381">SUM(IF(搜索词报告!$H$2:$H$22222=A381,IF(搜索词报告!$A$2:$A$22222&gt;=关键词词频统计!$A$2,IF(搜索词报告!$A$2:$A$22222&lt;=关键词词频统计!$A$4,搜索词报告!$Q$2:$Q$22222,0),0),0))</f>
        <v>0</v>
      </c>
      <c r="G381">
        <f t="array" ref="G381">SUM(IF(搜索词报告!$H$2:$H$22222=A381,IF(搜索词报告!$A$2:$A$22222&gt;=关键词词频统计!$A$2,IF(搜索词报告!$A$2:$A$22222&lt;=关键词词频统计!$A$4,搜索词报告!$N$2:$N$22222,0),0),0))</f>
        <v>0</v>
      </c>
      <c r="H381">
        <f t="array" ref="H381">SUM(IF(搜索词报告!$H$2:$H$22222=A381,IF(搜索词报告!$A$2:$A$22222&gt;=关键词词频统计!$A$2,IF(搜索词报告!$A$2:$A$22222&lt;=关键词词频统计!$A$4,搜索词报告!$M$2:$M$22222,0),0),0))</f>
        <v>0</v>
      </c>
      <c r="I381" s="2" t="str">
        <f t="shared" si="42"/>
        <v/>
      </c>
      <c r="J381" t="str">
        <f t="shared" si="43"/>
        <v>点击次数少于10次没有参考性</v>
      </c>
      <c r="K381" s="4" t="str">
        <f>IFERROR(INDEX(搜索词报告!$D$2:$D$22222,MATCH(关键词词频统计!A381,搜索词报告!$H$2:$H$22222,0)),"")</f>
        <v/>
      </c>
      <c r="M381">
        <f t="array" ref="M381">SUM(IF(搜索词报告!$H$2:$H$22222=L381,IF(搜索词报告!$A$2:$A$22222&gt;=$L$2,IF(搜索词报告!$A$2:$A$22222&lt;=$L$4,搜索词报告!$I$2:$I$22222,0),0),0))</f>
        <v>0</v>
      </c>
      <c r="N381">
        <f t="array" ref="N381">SUM(IF(搜索词报告!$H$2:$H$22222=L381,IF(搜索词报告!$A$2:$A$22222&gt;=$L$2,IF(搜索词报告!$A$2:$A$22222&lt;=$L$4,搜索词报告!$J$2:$J$22222,0),0),0))</f>
        <v>0</v>
      </c>
      <c r="O381" s="2">
        <f t="shared" si="44"/>
        <v>0</v>
      </c>
      <c r="P381" s="2">
        <f t="shared" si="45"/>
        <v>0</v>
      </c>
      <c r="Q381">
        <f t="array" ref="Q381">SUM(IF(搜索词报告!$H$2:$H$22222=L381,IF(搜索词报告!$A$2:$A$22222&gt;=$L$2,IF(搜索词报告!$A$2:$A$22222&lt;=$L$4,搜索词报告!$Q$2:$Q$22222,0),0),0))</f>
        <v>0</v>
      </c>
      <c r="R381">
        <f t="array" ref="R381">SUM(IF(搜索词报告!$H$2:$H$22222=L381,IF(搜索词报告!$A$2:$A$22222&gt;=$L$2,IF(搜索词报告!$A$2:$A$22222&lt;=$L$4,搜索词报告!$N$2:$N$22222,0),0),0))</f>
        <v>0</v>
      </c>
      <c r="S381">
        <f t="array" ref="S381">SUM(IF(搜索词报告!$H$2:$H$22222=L381,IF(搜索词报告!$A$2:$A$22222&gt;=$L$2,IF(搜索词报告!$A$2:$A$22222&lt;=$L$4,搜索词报告!$M$2:$M$22222,0),0),0))</f>
        <v>0</v>
      </c>
      <c r="T381" s="2" t="str">
        <f t="shared" si="46"/>
        <v/>
      </c>
      <c r="U381" t="str">
        <f t="shared" si="47"/>
        <v>点击次数少于10次没有参考性</v>
      </c>
      <c r="V381" s="4" t="str">
        <f>IFERROR(INDEX(搜索词报告!$D$2:$D$22222,MATCH(关键词词频统计!L381,搜索词报告!$H$2:$H$22222,0)),"")</f>
        <v/>
      </c>
    </row>
    <row r="382" spans="2:22" x14ac:dyDescent="0.15">
      <c r="B382">
        <f t="array" ref="B382">SUM(IF(搜索词报告!$H$2:$H$22222=A382,IF(搜索词报告!$A$2:$A$22222&gt;=关键词词频统计!$A$2,IF(搜索词报告!$A$2:$A$22222&lt;=关键词词频统计!$A$4,搜索词报告!$I$2:$I$22222,0),0),0))</f>
        <v>0</v>
      </c>
      <c r="C382">
        <f t="array" ref="C382">SUM(IF(搜索词报告!$H$2:$H$22222=A382,IF(搜索词报告!$A$2:$A$22222&gt;=关键词词频统计!$A$2,IF(搜索词报告!$A$2:$A$22222&lt;=关键词词频统计!$A$4,搜索词报告!$J$2:$J$22222,0),0),0))</f>
        <v>0</v>
      </c>
      <c r="D382" s="2">
        <f t="shared" si="40"/>
        <v>0</v>
      </c>
      <c r="E382" s="2">
        <f t="shared" si="41"/>
        <v>0</v>
      </c>
      <c r="F382">
        <f t="array" ref="F382">SUM(IF(搜索词报告!$H$2:$H$22222=A382,IF(搜索词报告!$A$2:$A$22222&gt;=关键词词频统计!$A$2,IF(搜索词报告!$A$2:$A$22222&lt;=关键词词频统计!$A$4,搜索词报告!$Q$2:$Q$22222,0),0),0))</f>
        <v>0</v>
      </c>
      <c r="G382">
        <f t="array" ref="G382">SUM(IF(搜索词报告!$H$2:$H$22222=A382,IF(搜索词报告!$A$2:$A$22222&gt;=关键词词频统计!$A$2,IF(搜索词报告!$A$2:$A$22222&lt;=关键词词频统计!$A$4,搜索词报告!$N$2:$N$22222,0),0),0))</f>
        <v>0</v>
      </c>
      <c r="H382">
        <f t="array" ref="H382">SUM(IF(搜索词报告!$H$2:$H$22222=A382,IF(搜索词报告!$A$2:$A$22222&gt;=关键词词频统计!$A$2,IF(搜索词报告!$A$2:$A$22222&lt;=关键词词频统计!$A$4,搜索词报告!$M$2:$M$22222,0),0),0))</f>
        <v>0</v>
      </c>
      <c r="I382" s="2" t="str">
        <f t="shared" si="42"/>
        <v/>
      </c>
      <c r="J382" t="str">
        <f t="shared" si="43"/>
        <v>点击次数少于10次没有参考性</v>
      </c>
      <c r="K382" s="4" t="str">
        <f>IFERROR(INDEX(搜索词报告!$D$2:$D$22222,MATCH(关键词词频统计!A382,搜索词报告!$H$2:$H$22222,0)),"")</f>
        <v/>
      </c>
      <c r="M382">
        <f t="array" ref="M382">SUM(IF(搜索词报告!$H$2:$H$22222=L382,IF(搜索词报告!$A$2:$A$22222&gt;=$L$2,IF(搜索词报告!$A$2:$A$22222&lt;=$L$4,搜索词报告!$I$2:$I$22222,0),0),0))</f>
        <v>0</v>
      </c>
      <c r="N382">
        <f t="array" ref="N382">SUM(IF(搜索词报告!$H$2:$H$22222=L382,IF(搜索词报告!$A$2:$A$22222&gt;=$L$2,IF(搜索词报告!$A$2:$A$22222&lt;=$L$4,搜索词报告!$J$2:$J$22222,0),0),0))</f>
        <v>0</v>
      </c>
      <c r="O382" s="2">
        <f t="shared" si="44"/>
        <v>0</v>
      </c>
      <c r="P382" s="2">
        <f t="shared" si="45"/>
        <v>0</v>
      </c>
      <c r="Q382">
        <f t="array" ref="Q382">SUM(IF(搜索词报告!$H$2:$H$22222=L382,IF(搜索词报告!$A$2:$A$22222&gt;=$L$2,IF(搜索词报告!$A$2:$A$22222&lt;=$L$4,搜索词报告!$Q$2:$Q$22222,0),0),0))</f>
        <v>0</v>
      </c>
      <c r="R382">
        <f t="array" ref="R382">SUM(IF(搜索词报告!$H$2:$H$22222=L382,IF(搜索词报告!$A$2:$A$22222&gt;=$L$2,IF(搜索词报告!$A$2:$A$22222&lt;=$L$4,搜索词报告!$N$2:$N$22222,0),0),0))</f>
        <v>0</v>
      </c>
      <c r="S382">
        <f t="array" ref="S382">SUM(IF(搜索词报告!$H$2:$H$22222=L382,IF(搜索词报告!$A$2:$A$22222&gt;=$L$2,IF(搜索词报告!$A$2:$A$22222&lt;=$L$4,搜索词报告!$M$2:$M$22222,0),0),0))</f>
        <v>0</v>
      </c>
      <c r="T382" s="2" t="str">
        <f t="shared" si="46"/>
        <v/>
      </c>
      <c r="U382" t="str">
        <f t="shared" si="47"/>
        <v>点击次数少于10次没有参考性</v>
      </c>
      <c r="V382" s="4" t="str">
        <f>IFERROR(INDEX(搜索词报告!$D$2:$D$22222,MATCH(关键词词频统计!L382,搜索词报告!$H$2:$H$22222,0)),"")</f>
        <v/>
      </c>
    </row>
    <row r="383" spans="2:22" x14ac:dyDescent="0.15">
      <c r="B383">
        <f t="array" ref="B383">SUM(IF(搜索词报告!$H$2:$H$22222=A383,IF(搜索词报告!$A$2:$A$22222&gt;=关键词词频统计!$A$2,IF(搜索词报告!$A$2:$A$22222&lt;=关键词词频统计!$A$4,搜索词报告!$I$2:$I$22222,0),0),0))</f>
        <v>0</v>
      </c>
      <c r="C383">
        <f t="array" ref="C383">SUM(IF(搜索词报告!$H$2:$H$22222=A383,IF(搜索词报告!$A$2:$A$22222&gt;=关键词词频统计!$A$2,IF(搜索词报告!$A$2:$A$22222&lt;=关键词词频统计!$A$4,搜索词报告!$J$2:$J$22222,0),0),0))</f>
        <v>0</v>
      </c>
      <c r="D383" s="2">
        <f t="shared" si="40"/>
        <v>0</v>
      </c>
      <c r="E383" s="2">
        <f t="shared" si="41"/>
        <v>0</v>
      </c>
      <c r="F383">
        <f t="array" ref="F383">SUM(IF(搜索词报告!$H$2:$H$22222=A383,IF(搜索词报告!$A$2:$A$22222&gt;=关键词词频统计!$A$2,IF(搜索词报告!$A$2:$A$22222&lt;=关键词词频统计!$A$4,搜索词报告!$Q$2:$Q$22222,0),0),0))</f>
        <v>0</v>
      </c>
      <c r="G383">
        <f t="array" ref="G383">SUM(IF(搜索词报告!$H$2:$H$22222=A383,IF(搜索词报告!$A$2:$A$22222&gt;=关键词词频统计!$A$2,IF(搜索词报告!$A$2:$A$22222&lt;=关键词词频统计!$A$4,搜索词报告!$N$2:$N$22222,0),0),0))</f>
        <v>0</v>
      </c>
      <c r="H383">
        <f t="array" ref="H383">SUM(IF(搜索词报告!$H$2:$H$22222=A383,IF(搜索词报告!$A$2:$A$22222&gt;=关键词词频统计!$A$2,IF(搜索词报告!$A$2:$A$22222&lt;=关键词词频统计!$A$4,搜索词报告!$M$2:$M$22222,0),0),0))</f>
        <v>0</v>
      </c>
      <c r="I383" s="2" t="str">
        <f t="shared" si="42"/>
        <v/>
      </c>
      <c r="J383" t="str">
        <f t="shared" si="43"/>
        <v>点击次数少于10次没有参考性</v>
      </c>
      <c r="K383" s="4" t="str">
        <f>IFERROR(INDEX(搜索词报告!$D$2:$D$22222,MATCH(关键词词频统计!A383,搜索词报告!$H$2:$H$22222,0)),"")</f>
        <v/>
      </c>
      <c r="M383">
        <f t="array" ref="M383">SUM(IF(搜索词报告!$H$2:$H$22222=L383,IF(搜索词报告!$A$2:$A$22222&gt;=$L$2,IF(搜索词报告!$A$2:$A$22222&lt;=$L$4,搜索词报告!$I$2:$I$22222,0),0),0))</f>
        <v>0</v>
      </c>
      <c r="N383">
        <f t="array" ref="N383">SUM(IF(搜索词报告!$H$2:$H$22222=L383,IF(搜索词报告!$A$2:$A$22222&gt;=$L$2,IF(搜索词报告!$A$2:$A$22222&lt;=$L$4,搜索词报告!$J$2:$J$22222,0),0),0))</f>
        <v>0</v>
      </c>
      <c r="O383" s="2">
        <f t="shared" si="44"/>
        <v>0</v>
      </c>
      <c r="P383" s="2">
        <f t="shared" si="45"/>
        <v>0</v>
      </c>
      <c r="Q383">
        <f t="array" ref="Q383">SUM(IF(搜索词报告!$H$2:$H$22222=L383,IF(搜索词报告!$A$2:$A$22222&gt;=$L$2,IF(搜索词报告!$A$2:$A$22222&lt;=$L$4,搜索词报告!$Q$2:$Q$22222,0),0),0))</f>
        <v>0</v>
      </c>
      <c r="R383">
        <f t="array" ref="R383">SUM(IF(搜索词报告!$H$2:$H$22222=L383,IF(搜索词报告!$A$2:$A$22222&gt;=$L$2,IF(搜索词报告!$A$2:$A$22222&lt;=$L$4,搜索词报告!$N$2:$N$22222,0),0),0))</f>
        <v>0</v>
      </c>
      <c r="S383">
        <f t="array" ref="S383">SUM(IF(搜索词报告!$H$2:$H$22222=L383,IF(搜索词报告!$A$2:$A$22222&gt;=$L$2,IF(搜索词报告!$A$2:$A$22222&lt;=$L$4,搜索词报告!$M$2:$M$22222,0),0),0))</f>
        <v>0</v>
      </c>
      <c r="T383" s="2" t="str">
        <f t="shared" si="46"/>
        <v/>
      </c>
      <c r="U383" t="str">
        <f t="shared" si="47"/>
        <v>点击次数少于10次没有参考性</v>
      </c>
      <c r="V383" s="4" t="str">
        <f>IFERROR(INDEX(搜索词报告!$D$2:$D$22222,MATCH(关键词词频统计!L383,搜索词报告!$H$2:$H$22222,0)),"")</f>
        <v/>
      </c>
    </row>
    <row r="384" spans="2:22" x14ac:dyDescent="0.15">
      <c r="B384">
        <f t="array" ref="B384">SUM(IF(搜索词报告!$H$2:$H$22222=A384,IF(搜索词报告!$A$2:$A$22222&gt;=关键词词频统计!$A$2,IF(搜索词报告!$A$2:$A$22222&lt;=关键词词频统计!$A$4,搜索词报告!$I$2:$I$22222,0),0),0))</f>
        <v>0</v>
      </c>
      <c r="C384">
        <f t="array" ref="C384">SUM(IF(搜索词报告!$H$2:$H$22222=A384,IF(搜索词报告!$A$2:$A$22222&gt;=关键词词频统计!$A$2,IF(搜索词报告!$A$2:$A$22222&lt;=关键词词频统计!$A$4,搜索词报告!$J$2:$J$22222,0),0),0))</f>
        <v>0</v>
      </c>
      <c r="D384" s="2">
        <f t="shared" si="40"/>
        <v>0</v>
      </c>
      <c r="E384" s="2">
        <f t="shared" si="41"/>
        <v>0</v>
      </c>
      <c r="F384">
        <f t="array" ref="F384">SUM(IF(搜索词报告!$H$2:$H$22222=A384,IF(搜索词报告!$A$2:$A$22222&gt;=关键词词频统计!$A$2,IF(搜索词报告!$A$2:$A$22222&lt;=关键词词频统计!$A$4,搜索词报告!$Q$2:$Q$22222,0),0),0))</f>
        <v>0</v>
      </c>
      <c r="G384">
        <f t="array" ref="G384">SUM(IF(搜索词报告!$H$2:$H$22222=A384,IF(搜索词报告!$A$2:$A$22222&gt;=关键词词频统计!$A$2,IF(搜索词报告!$A$2:$A$22222&lt;=关键词词频统计!$A$4,搜索词报告!$N$2:$N$22222,0),0),0))</f>
        <v>0</v>
      </c>
      <c r="H384">
        <f t="array" ref="H384">SUM(IF(搜索词报告!$H$2:$H$22222=A384,IF(搜索词报告!$A$2:$A$22222&gt;=关键词词频统计!$A$2,IF(搜索词报告!$A$2:$A$22222&lt;=关键词词频统计!$A$4,搜索词报告!$M$2:$M$22222,0),0),0))</f>
        <v>0</v>
      </c>
      <c r="I384" s="2" t="str">
        <f t="shared" si="42"/>
        <v/>
      </c>
      <c r="J384" t="str">
        <f t="shared" si="43"/>
        <v>点击次数少于10次没有参考性</v>
      </c>
      <c r="K384" s="4" t="str">
        <f>IFERROR(INDEX(搜索词报告!$D$2:$D$22222,MATCH(关键词词频统计!A384,搜索词报告!$H$2:$H$22222,0)),"")</f>
        <v/>
      </c>
      <c r="M384">
        <f t="array" ref="M384">SUM(IF(搜索词报告!$H$2:$H$22222=L384,IF(搜索词报告!$A$2:$A$22222&gt;=$L$2,IF(搜索词报告!$A$2:$A$22222&lt;=$L$4,搜索词报告!$I$2:$I$22222,0),0),0))</f>
        <v>0</v>
      </c>
      <c r="N384">
        <f t="array" ref="N384">SUM(IF(搜索词报告!$H$2:$H$22222=L384,IF(搜索词报告!$A$2:$A$22222&gt;=$L$2,IF(搜索词报告!$A$2:$A$22222&lt;=$L$4,搜索词报告!$J$2:$J$22222,0),0),0))</f>
        <v>0</v>
      </c>
      <c r="O384" s="2">
        <f t="shared" si="44"/>
        <v>0</v>
      </c>
      <c r="P384" s="2">
        <f t="shared" si="45"/>
        <v>0</v>
      </c>
      <c r="Q384">
        <f t="array" ref="Q384">SUM(IF(搜索词报告!$H$2:$H$22222=L384,IF(搜索词报告!$A$2:$A$22222&gt;=$L$2,IF(搜索词报告!$A$2:$A$22222&lt;=$L$4,搜索词报告!$Q$2:$Q$22222,0),0),0))</f>
        <v>0</v>
      </c>
      <c r="R384">
        <f t="array" ref="R384">SUM(IF(搜索词报告!$H$2:$H$22222=L384,IF(搜索词报告!$A$2:$A$22222&gt;=$L$2,IF(搜索词报告!$A$2:$A$22222&lt;=$L$4,搜索词报告!$N$2:$N$22222,0),0),0))</f>
        <v>0</v>
      </c>
      <c r="S384">
        <f t="array" ref="S384">SUM(IF(搜索词报告!$H$2:$H$22222=L384,IF(搜索词报告!$A$2:$A$22222&gt;=$L$2,IF(搜索词报告!$A$2:$A$22222&lt;=$L$4,搜索词报告!$M$2:$M$22222,0),0),0))</f>
        <v>0</v>
      </c>
      <c r="T384" s="2" t="str">
        <f t="shared" si="46"/>
        <v/>
      </c>
      <c r="U384" t="str">
        <f t="shared" si="47"/>
        <v>点击次数少于10次没有参考性</v>
      </c>
      <c r="V384" s="4" t="str">
        <f>IFERROR(INDEX(搜索词报告!$D$2:$D$22222,MATCH(关键词词频统计!L384,搜索词报告!$H$2:$H$22222,0)),"")</f>
        <v/>
      </c>
    </row>
    <row r="385" spans="2:22" x14ac:dyDescent="0.15">
      <c r="B385">
        <f t="array" ref="B385">SUM(IF(搜索词报告!$H$2:$H$22222=A385,IF(搜索词报告!$A$2:$A$22222&gt;=关键词词频统计!$A$2,IF(搜索词报告!$A$2:$A$22222&lt;=关键词词频统计!$A$4,搜索词报告!$I$2:$I$22222,0),0),0))</f>
        <v>0</v>
      </c>
      <c r="C385">
        <f t="array" ref="C385">SUM(IF(搜索词报告!$H$2:$H$22222=A385,IF(搜索词报告!$A$2:$A$22222&gt;=关键词词频统计!$A$2,IF(搜索词报告!$A$2:$A$22222&lt;=关键词词频统计!$A$4,搜索词报告!$J$2:$J$22222,0),0),0))</f>
        <v>0</v>
      </c>
      <c r="D385" s="2">
        <f t="shared" si="40"/>
        <v>0</v>
      </c>
      <c r="E385" s="2">
        <f t="shared" si="41"/>
        <v>0</v>
      </c>
      <c r="F385">
        <f t="array" ref="F385">SUM(IF(搜索词报告!$H$2:$H$22222=A385,IF(搜索词报告!$A$2:$A$22222&gt;=关键词词频统计!$A$2,IF(搜索词报告!$A$2:$A$22222&lt;=关键词词频统计!$A$4,搜索词报告!$Q$2:$Q$22222,0),0),0))</f>
        <v>0</v>
      </c>
      <c r="G385">
        <f t="array" ref="G385">SUM(IF(搜索词报告!$H$2:$H$22222=A385,IF(搜索词报告!$A$2:$A$22222&gt;=关键词词频统计!$A$2,IF(搜索词报告!$A$2:$A$22222&lt;=关键词词频统计!$A$4,搜索词报告!$N$2:$N$22222,0),0),0))</f>
        <v>0</v>
      </c>
      <c r="H385">
        <f t="array" ref="H385">SUM(IF(搜索词报告!$H$2:$H$22222=A385,IF(搜索词报告!$A$2:$A$22222&gt;=关键词词频统计!$A$2,IF(搜索词报告!$A$2:$A$22222&lt;=关键词词频统计!$A$4,搜索词报告!$M$2:$M$22222,0),0),0))</f>
        <v>0</v>
      </c>
      <c r="I385" s="2" t="str">
        <f t="shared" si="42"/>
        <v/>
      </c>
      <c r="J385" t="str">
        <f t="shared" si="43"/>
        <v>点击次数少于10次没有参考性</v>
      </c>
      <c r="K385" s="4" t="str">
        <f>IFERROR(INDEX(搜索词报告!$D$2:$D$22222,MATCH(关键词词频统计!A385,搜索词报告!$H$2:$H$22222,0)),"")</f>
        <v/>
      </c>
      <c r="M385">
        <f t="array" ref="M385">SUM(IF(搜索词报告!$H$2:$H$22222=L385,IF(搜索词报告!$A$2:$A$22222&gt;=$L$2,IF(搜索词报告!$A$2:$A$22222&lt;=$L$4,搜索词报告!$I$2:$I$22222,0),0),0))</f>
        <v>0</v>
      </c>
      <c r="N385">
        <f t="array" ref="N385">SUM(IF(搜索词报告!$H$2:$H$22222=L385,IF(搜索词报告!$A$2:$A$22222&gt;=$L$2,IF(搜索词报告!$A$2:$A$22222&lt;=$L$4,搜索词报告!$J$2:$J$22222,0),0),0))</f>
        <v>0</v>
      </c>
      <c r="O385" s="2">
        <f t="shared" si="44"/>
        <v>0</v>
      </c>
      <c r="P385" s="2">
        <f t="shared" si="45"/>
        <v>0</v>
      </c>
      <c r="Q385">
        <f t="array" ref="Q385">SUM(IF(搜索词报告!$H$2:$H$22222=L385,IF(搜索词报告!$A$2:$A$22222&gt;=$L$2,IF(搜索词报告!$A$2:$A$22222&lt;=$L$4,搜索词报告!$Q$2:$Q$22222,0),0),0))</f>
        <v>0</v>
      </c>
      <c r="R385">
        <f t="array" ref="R385">SUM(IF(搜索词报告!$H$2:$H$22222=L385,IF(搜索词报告!$A$2:$A$22222&gt;=$L$2,IF(搜索词报告!$A$2:$A$22222&lt;=$L$4,搜索词报告!$N$2:$N$22222,0),0),0))</f>
        <v>0</v>
      </c>
      <c r="S385">
        <f t="array" ref="S385">SUM(IF(搜索词报告!$H$2:$H$22222=L385,IF(搜索词报告!$A$2:$A$22222&gt;=$L$2,IF(搜索词报告!$A$2:$A$22222&lt;=$L$4,搜索词报告!$M$2:$M$22222,0),0),0))</f>
        <v>0</v>
      </c>
      <c r="T385" s="2" t="str">
        <f t="shared" si="46"/>
        <v/>
      </c>
      <c r="U385" t="str">
        <f t="shared" si="47"/>
        <v>点击次数少于10次没有参考性</v>
      </c>
      <c r="V385" s="4" t="str">
        <f>IFERROR(INDEX(搜索词报告!$D$2:$D$22222,MATCH(关键词词频统计!L385,搜索词报告!$H$2:$H$22222,0)),"")</f>
        <v/>
      </c>
    </row>
    <row r="386" spans="2:22" x14ac:dyDescent="0.15">
      <c r="B386">
        <f t="array" ref="B386">SUM(IF(搜索词报告!$H$2:$H$22222=A386,IF(搜索词报告!$A$2:$A$22222&gt;=关键词词频统计!$A$2,IF(搜索词报告!$A$2:$A$22222&lt;=关键词词频统计!$A$4,搜索词报告!$I$2:$I$22222,0),0),0))</f>
        <v>0</v>
      </c>
      <c r="C386">
        <f t="array" ref="C386">SUM(IF(搜索词报告!$H$2:$H$22222=A386,IF(搜索词报告!$A$2:$A$22222&gt;=关键词词频统计!$A$2,IF(搜索词报告!$A$2:$A$22222&lt;=关键词词频统计!$A$4,搜索词报告!$J$2:$J$22222,0),0),0))</f>
        <v>0</v>
      </c>
      <c r="D386" s="2">
        <f t="shared" si="40"/>
        <v>0</v>
      </c>
      <c r="E386" s="2">
        <f t="shared" si="41"/>
        <v>0</v>
      </c>
      <c r="F386">
        <f t="array" ref="F386">SUM(IF(搜索词报告!$H$2:$H$22222=A386,IF(搜索词报告!$A$2:$A$22222&gt;=关键词词频统计!$A$2,IF(搜索词报告!$A$2:$A$22222&lt;=关键词词频统计!$A$4,搜索词报告!$Q$2:$Q$22222,0),0),0))</f>
        <v>0</v>
      </c>
      <c r="G386">
        <f t="array" ref="G386">SUM(IF(搜索词报告!$H$2:$H$22222=A386,IF(搜索词报告!$A$2:$A$22222&gt;=关键词词频统计!$A$2,IF(搜索词报告!$A$2:$A$22222&lt;=关键词词频统计!$A$4,搜索词报告!$N$2:$N$22222,0),0),0))</f>
        <v>0</v>
      </c>
      <c r="H386">
        <f t="array" ref="H386">SUM(IF(搜索词报告!$H$2:$H$22222=A386,IF(搜索词报告!$A$2:$A$22222&gt;=关键词词频统计!$A$2,IF(搜索词报告!$A$2:$A$22222&lt;=关键词词频统计!$A$4,搜索词报告!$M$2:$M$22222,0),0),0))</f>
        <v>0</v>
      </c>
      <c r="I386" s="2" t="str">
        <f t="shared" si="42"/>
        <v/>
      </c>
      <c r="J386" t="str">
        <f t="shared" si="43"/>
        <v>点击次数少于10次没有参考性</v>
      </c>
      <c r="K386" s="4" t="str">
        <f>IFERROR(INDEX(搜索词报告!$D$2:$D$22222,MATCH(关键词词频统计!A386,搜索词报告!$H$2:$H$22222,0)),"")</f>
        <v/>
      </c>
      <c r="M386">
        <f t="array" ref="M386">SUM(IF(搜索词报告!$H$2:$H$22222=L386,IF(搜索词报告!$A$2:$A$22222&gt;=$L$2,IF(搜索词报告!$A$2:$A$22222&lt;=$L$4,搜索词报告!$I$2:$I$22222,0),0),0))</f>
        <v>0</v>
      </c>
      <c r="N386">
        <f t="array" ref="N386">SUM(IF(搜索词报告!$H$2:$H$22222=L386,IF(搜索词报告!$A$2:$A$22222&gt;=$L$2,IF(搜索词报告!$A$2:$A$22222&lt;=$L$4,搜索词报告!$J$2:$J$22222,0),0),0))</f>
        <v>0</v>
      </c>
      <c r="O386" s="2">
        <f t="shared" si="44"/>
        <v>0</v>
      </c>
      <c r="P386" s="2">
        <f t="shared" si="45"/>
        <v>0</v>
      </c>
      <c r="Q386">
        <f t="array" ref="Q386">SUM(IF(搜索词报告!$H$2:$H$22222=L386,IF(搜索词报告!$A$2:$A$22222&gt;=$L$2,IF(搜索词报告!$A$2:$A$22222&lt;=$L$4,搜索词报告!$Q$2:$Q$22222,0),0),0))</f>
        <v>0</v>
      </c>
      <c r="R386">
        <f t="array" ref="R386">SUM(IF(搜索词报告!$H$2:$H$22222=L386,IF(搜索词报告!$A$2:$A$22222&gt;=$L$2,IF(搜索词报告!$A$2:$A$22222&lt;=$L$4,搜索词报告!$N$2:$N$22222,0),0),0))</f>
        <v>0</v>
      </c>
      <c r="S386">
        <f t="array" ref="S386">SUM(IF(搜索词报告!$H$2:$H$22222=L386,IF(搜索词报告!$A$2:$A$22222&gt;=$L$2,IF(搜索词报告!$A$2:$A$22222&lt;=$L$4,搜索词报告!$M$2:$M$22222,0),0),0))</f>
        <v>0</v>
      </c>
      <c r="T386" s="2" t="str">
        <f t="shared" si="46"/>
        <v/>
      </c>
      <c r="U386" t="str">
        <f t="shared" si="47"/>
        <v>点击次数少于10次没有参考性</v>
      </c>
      <c r="V386" s="4" t="str">
        <f>IFERROR(INDEX(搜索词报告!$D$2:$D$22222,MATCH(关键词词频统计!L386,搜索词报告!$H$2:$H$22222,0)),"")</f>
        <v/>
      </c>
    </row>
    <row r="387" spans="2:22" x14ac:dyDescent="0.15">
      <c r="B387">
        <f t="array" ref="B387">SUM(IF(搜索词报告!$H$2:$H$22222=A387,IF(搜索词报告!$A$2:$A$22222&gt;=关键词词频统计!$A$2,IF(搜索词报告!$A$2:$A$22222&lt;=关键词词频统计!$A$4,搜索词报告!$I$2:$I$22222,0),0),0))</f>
        <v>0</v>
      </c>
      <c r="C387">
        <f t="array" ref="C387">SUM(IF(搜索词报告!$H$2:$H$22222=A387,IF(搜索词报告!$A$2:$A$22222&gt;=关键词词频统计!$A$2,IF(搜索词报告!$A$2:$A$22222&lt;=关键词词频统计!$A$4,搜索词报告!$J$2:$J$22222,0),0),0))</f>
        <v>0</v>
      </c>
      <c r="D387" s="2">
        <f t="shared" si="40"/>
        <v>0</v>
      </c>
      <c r="E387" s="2">
        <f t="shared" si="41"/>
        <v>0</v>
      </c>
      <c r="F387">
        <f t="array" ref="F387">SUM(IF(搜索词报告!$H$2:$H$22222=A387,IF(搜索词报告!$A$2:$A$22222&gt;=关键词词频统计!$A$2,IF(搜索词报告!$A$2:$A$22222&lt;=关键词词频统计!$A$4,搜索词报告!$Q$2:$Q$22222,0),0),0))</f>
        <v>0</v>
      </c>
      <c r="G387">
        <f t="array" ref="G387">SUM(IF(搜索词报告!$H$2:$H$22222=A387,IF(搜索词报告!$A$2:$A$22222&gt;=关键词词频统计!$A$2,IF(搜索词报告!$A$2:$A$22222&lt;=关键词词频统计!$A$4,搜索词报告!$N$2:$N$22222,0),0),0))</f>
        <v>0</v>
      </c>
      <c r="H387">
        <f t="array" ref="H387">SUM(IF(搜索词报告!$H$2:$H$22222=A387,IF(搜索词报告!$A$2:$A$22222&gt;=关键词词频统计!$A$2,IF(搜索词报告!$A$2:$A$22222&lt;=关键词词频统计!$A$4,搜索词报告!$M$2:$M$22222,0),0),0))</f>
        <v>0</v>
      </c>
      <c r="I387" s="2" t="str">
        <f t="shared" si="42"/>
        <v/>
      </c>
      <c r="J387" t="str">
        <f t="shared" si="43"/>
        <v>点击次数少于10次没有参考性</v>
      </c>
      <c r="K387" s="4" t="str">
        <f>IFERROR(INDEX(搜索词报告!$D$2:$D$22222,MATCH(关键词词频统计!A387,搜索词报告!$H$2:$H$22222,0)),"")</f>
        <v/>
      </c>
      <c r="M387">
        <f t="array" ref="M387">SUM(IF(搜索词报告!$H$2:$H$22222=L387,IF(搜索词报告!$A$2:$A$22222&gt;=$L$2,IF(搜索词报告!$A$2:$A$22222&lt;=$L$4,搜索词报告!$I$2:$I$22222,0),0),0))</f>
        <v>0</v>
      </c>
      <c r="N387">
        <f t="array" ref="N387">SUM(IF(搜索词报告!$H$2:$H$22222=L387,IF(搜索词报告!$A$2:$A$22222&gt;=$L$2,IF(搜索词报告!$A$2:$A$22222&lt;=$L$4,搜索词报告!$J$2:$J$22222,0),0),0))</f>
        <v>0</v>
      </c>
      <c r="O387" s="2">
        <f t="shared" si="44"/>
        <v>0</v>
      </c>
      <c r="P387" s="2">
        <f t="shared" si="45"/>
        <v>0</v>
      </c>
      <c r="Q387">
        <f t="array" ref="Q387">SUM(IF(搜索词报告!$H$2:$H$22222=L387,IF(搜索词报告!$A$2:$A$22222&gt;=$L$2,IF(搜索词报告!$A$2:$A$22222&lt;=$L$4,搜索词报告!$Q$2:$Q$22222,0),0),0))</f>
        <v>0</v>
      </c>
      <c r="R387">
        <f t="array" ref="R387">SUM(IF(搜索词报告!$H$2:$H$22222=L387,IF(搜索词报告!$A$2:$A$22222&gt;=$L$2,IF(搜索词报告!$A$2:$A$22222&lt;=$L$4,搜索词报告!$N$2:$N$22222,0),0),0))</f>
        <v>0</v>
      </c>
      <c r="S387">
        <f t="array" ref="S387">SUM(IF(搜索词报告!$H$2:$H$22222=L387,IF(搜索词报告!$A$2:$A$22222&gt;=$L$2,IF(搜索词报告!$A$2:$A$22222&lt;=$L$4,搜索词报告!$M$2:$M$22222,0),0),0))</f>
        <v>0</v>
      </c>
      <c r="T387" s="2" t="str">
        <f t="shared" si="46"/>
        <v/>
      </c>
      <c r="U387" t="str">
        <f t="shared" si="47"/>
        <v>点击次数少于10次没有参考性</v>
      </c>
      <c r="V387" s="4" t="str">
        <f>IFERROR(INDEX(搜索词报告!$D$2:$D$22222,MATCH(关键词词频统计!L387,搜索词报告!$H$2:$H$22222,0)),"")</f>
        <v/>
      </c>
    </row>
    <row r="388" spans="2:22" x14ac:dyDescent="0.15">
      <c r="B388">
        <f t="array" ref="B388">SUM(IF(搜索词报告!$H$2:$H$22222=A388,IF(搜索词报告!$A$2:$A$22222&gt;=关键词词频统计!$A$2,IF(搜索词报告!$A$2:$A$22222&lt;=关键词词频统计!$A$4,搜索词报告!$I$2:$I$22222,0),0),0))</f>
        <v>0</v>
      </c>
      <c r="C388">
        <f t="array" ref="C388">SUM(IF(搜索词报告!$H$2:$H$22222=A388,IF(搜索词报告!$A$2:$A$22222&gt;=关键词词频统计!$A$2,IF(搜索词报告!$A$2:$A$22222&lt;=关键词词频统计!$A$4,搜索词报告!$J$2:$J$22222,0),0),0))</f>
        <v>0</v>
      </c>
      <c r="D388" s="2">
        <f t="shared" si="40"/>
        <v>0</v>
      </c>
      <c r="E388" s="2">
        <f t="shared" si="41"/>
        <v>0</v>
      </c>
      <c r="F388">
        <f t="array" ref="F388">SUM(IF(搜索词报告!$H$2:$H$22222=A388,IF(搜索词报告!$A$2:$A$22222&gt;=关键词词频统计!$A$2,IF(搜索词报告!$A$2:$A$22222&lt;=关键词词频统计!$A$4,搜索词报告!$Q$2:$Q$22222,0),0),0))</f>
        <v>0</v>
      </c>
      <c r="G388">
        <f t="array" ref="G388">SUM(IF(搜索词报告!$H$2:$H$22222=A388,IF(搜索词报告!$A$2:$A$22222&gt;=关键词词频统计!$A$2,IF(搜索词报告!$A$2:$A$22222&lt;=关键词词频统计!$A$4,搜索词报告!$N$2:$N$22222,0),0),0))</f>
        <v>0</v>
      </c>
      <c r="H388">
        <f t="array" ref="H388">SUM(IF(搜索词报告!$H$2:$H$22222=A388,IF(搜索词报告!$A$2:$A$22222&gt;=关键词词频统计!$A$2,IF(搜索词报告!$A$2:$A$22222&lt;=关键词词频统计!$A$4,搜索词报告!$M$2:$M$22222,0),0),0))</f>
        <v>0</v>
      </c>
      <c r="I388" s="2" t="str">
        <f t="shared" si="42"/>
        <v/>
      </c>
      <c r="J388" t="str">
        <f t="shared" si="43"/>
        <v>点击次数少于10次没有参考性</v>
      </c>
      <c r="K388" s="4" t="str">
        <f>IFERROR(INDEX(搜索词报告!$D$2:$D$22222,MATCH(关键词词频统计!A388,搜索词报告!$H$2:$H$22222,0)),"")</f>
        <v/>
      </c>
      <c r="M388">
        <f t="array" ref="M388">SUM(IF(搜索词报告!$H$2:$H$22222=L388,IF(搜索词报告!$A$2:$A$22222&gt;=$L$2,IF(搜索词报告!$A$2:$A$22222&lt;=$L$4,搜索词报告!$I$2:$I$22222,0),0),0))</f>
        <v>0</v>
      </c>
      <c r="N388">
        <f t="array" ref="N388">SUM(IF(搜索词报告!$H$2:$H$22222=L388,IF(搜索词报告!$A$2:$A$22222&gt;=$L$2,IF(搜索词报告!$A$2:$A$22222&lt;=$L$4,搜索词报告!$J$2:$J$22222,0),0),0))</f>
        <v>0</v>
      </c>
      <c r="O388" s="2">
        <f t="shared" si="44"/>
        <v>0</v>
      </c>
      <c r="P388" s="2">
        <f t="shared" si="45"/>
        <v>0</v>
      </c>
      <c r="Q388">
        <f t="array" ref="Q388">SUM(IF(搜索词报告!$H$2:$H$22222=L388,IF(搜索词报告!$A$2:$A$22222&gt;=$L$2,IF(搜索词报告!$A$2:$A$22222&lt;=$L$4,搜索词报告!$Q$2:$Q$22222,0),0),0))</f>
        <v>0</v>
      </c>
      <c r="R388">
        <f t="array" ref="R388">SUM(IF(搜索词报告!$H$2:$H$22222=L388,IF(搜索词报告!$A$2:$A$22222&gt;=$L$2,IF(搜索词报告!$A$2:$A$22222&lt;=$L$4,搜索词报告!$N$2:$N$22222,0),0),0))</f>
        <v>0</v>
      </c>
      <c r="S388">
        <f t="array" ref="S388">SUM(IF(搜索词报告!$H$2:$H$22222=L388,IF(搜索词报告!$A$2:$A$22222&gt;=$L$2,IF(搜索词报告!$A$2:$A$22222&lt;=$L$4,搜索词报告!$M$2:$M$22222,0),0),0))</f>
        <v>0</v>
      </c>
      <c r="T388" s="2" t="str">
        <f t="shared" si="46"/>
        <v/>
      </c>
      <c r="U388" t="str">
        <f t="shared" si="47"/>
        <v>点击次数少于10次没有参考性</v>
      </c>
      <c r="V388" s="4" t="str">
        <f>IFERROR(INDEX(搜索词报告!$D$2:$D$22222,MATCH(关键词词频统计!L388,搜索词报告!$H$2:$H$22222,0)),"")</f>
        <v/>
      </c>
    </row>
    <row r="389" spans="2:22" x14ac:dyDescent="0.15">
      <c r="B389">
        <f t="array" ref="B389">SUM(IF(搜索词报告!$H$2:$H$22222=A389,IF(搜索词报告!$A$2:$A$22222&gt;=关键词词频统计!$A$2,IF(搜索词报告!$A$2:$A$22222&lt;=关键词词频统计!$A$4,搜索词报告!$I$2:$I$22222,0),0),0))</f>
        <v>0</v>
      </c>
      <c r="C389">
        <f t="array" ref="C389">SUM(IF(搜索词报告!$H$2:$H$22222=A389,IF(搜索词报告!$A$2:$A$22222&gt;=关键词词频统计!$A$2,IF(搜索词报告!$A$2:$A$22222&lt;=关键词词频统计!$A$4,搜索词报告!$J$2:$J$22222,0),0),0))</f>
        <v>0</v>
      </c>
      <c r="D389" s="2">
        <f t="shared" si="40"/>
        <v>0</v>
      </c>
      <c r="E389" s="2">
        <f t="shared" si="41"/>
        <v>0</v>
      </c>
      <c r="F389">
        <f t="array" ref="F389">SUM(IF(搜索词报告!$H$2:$H$22222=A389,IF(搜索词报告!$A$2:$A$22222&gt;=关键词词频统计!$A$2,IF(搜索词报告!$A$2:$A$22222&lt;=关键词词频统计!$A$4,搜索词报告!$Q$2:$Q$22222,0),0),0))</f>
        <v>0</v>
      </c>
      <c r="G389">
        <f t="array" ref="G389">SUM(IF(搜索词报告!$H$2:$H$22222=A389,IF(搜索词报告!$A$2:$A$22222&gt;=关键词词频统计!$A$2,IF(搜索词报告!$A$2:$A$22222&lt;=关键词词频统计!$A$4,搜索词报告!$N$2:$N$22222,0),0),0))</f>
        <v>0</v>
      </c>
      <c r="H389">
        <f t="array" ref="H389">SUM(IF(搜索词报告!$H$2:$H$22222=A389,IF(搜索词报告!$A$2:$A$22222&gt;=关键词词频统计!$A$2,IF(搜索词报告!$A$2:$A$22222&lt;=关键词词频统计!$A$4,搜索词报告!$M$2:$M$22222,0),0),0))</f>
        <v>0</v>
      </c>
      <c r="I389" s="2" t="str">
        <f t="shared" si="42"/>
        <v/>
      </c>
      <c r="J389" t="str">
        <f t="shared" si="43"/>
        <v>点击次数少于10次没有参考性</v>
      </c>
      <c r="K389" s="4" t="str">
        <f>IFERROR(INDEX(搜索词报告!$D$2:$D$22222,MATCH(关键词词频统计!A389,搜索词报告!$H$2:$H$22222,0)),"")</f>
        <v/>
      </c>
      <c r="M389">
        <f t="array" ref="M389">SUM(IF(搜索词报告!$H$2:$H$22222=L389,IF(搜索词报告!$A$2:$A$22222&gt;=$L$2,IF(搜索词报告!$A$2:$A$22222&lt;=$L$4,搜索词报告!$I$2:$I$22222,0),0),0))</f>
        <v>0</v>
      </c>
      <c r="N389">
        <f t="array" ref="N389">SUM(IF(搜索词报告!$H$2:$H$22222=L389,IF(搜索词报告!$A$2:$A$22222&gt;=$L$2,IF(搜索词报告!$A$2:$A$22222&lt;=$L$4,搜索词报告!$J$2:$J$22222,0),0),0))</f>
        <v>0</v>
      </c>
      <c r="O389" s="2">
        <f t="shared" si="44"/>
        <v>0</v>
      </c>
      <c r="P389" s="2">
        <f t="shared" si="45"/>
        <v>0</v>
      </c>
      <c r="Q389">
        <f t="array" ref="Q389">SUM(IF(搜索词报告!$H$2:$H$22222=L389,IF(搜索词报告!$A$2:$A$22222&gt;=$L$2,IF(搜索词报告!$A$2:$A$22222&lt;=$L$4,搜索词报告!$Q$2:$Q$22222,0),0),0))</f>
        <v>0</v>
      </c>
      <c r="R389">
        <f t="array" ref="R389">SUM(IF(搜索词报告!$H$2:$H$22222=L389,IF(搜索词报告!$A$2:$A$22222&gt;=$L$2,IF(搜索词报告!$A$2:$A$22222&lt;=$L$4,搜索词报告!$N$2:$N$22222,0),0),0))</f>
        <v>0</v>
      </c>
      <c r="S389">
        <f t="array" ref="S389">SUM(IF(搜索词报告!$H$2:$H$22222=L389,IF(搜索词报告!$A$2:$A$22222&gt;=$L$2,IF(搜索词报告!$A$2:$A$22222&lt;=$L$4,搜索词报告!$M$2:$M$22222,0),0),0))</f>
        <v>0</v>
      </c>
      <c r="T389" s="2" t="str">
        <f t="shared" si="46"/>
        <v/>
      </c>
      <c r="U389" t="str">
        <f t="shared" si="47"/>
        <v>点击次数少于10次没有参考性</v>
      </c>
      <c r="V389" s="4" t="str">
        <f>IFERROR(INDEX(搜索词报告!$D$2:$D$22222,MATCH(关键词词频统计!L389,搜索词报告!$H$2:$H$22222,0)),"")</f>
        <v/>
      </c>
    </row>
    <row r="390" spans="2:22" x14ac:dyDescent="0.15">
      <c r="B390">
        <f t="array" ref="B390">SUM(IF(搜索词报告!$H$2:$H$22222=A390,IF(搜索词报告!$A$2:$A$22222&gt;=关键词词频统计!$A$2,IF(搜索词报告!$A$2:$A$22222&lt;=关键词词频统计!$A$4,搜索词报告!$I$2:$I$22222,0),0),0))</f>
        <v>0</v>
      </c>
      <c r="C390">
        <f t="array" ref="C390">SUM(IF(搜索词报告!$H$2:$H$22222=A390,IF(搜索词报告!$A$2:$A$22222&gt;=关键词词频统计!$A$2,IF(搜索词报告!$A$2:$A$22222&lt;=关键词词频统计!$A$4,搜索词报告!$J$2:$J$22222,0),0),0))</f>
        <v>0</v>
      </c>
      <c r="D390" s="2">
        <f t="shared" si="40"/>
        <v>0</v>
      </c>
      <c r="E390" s="2">
        <f t="shared" si="41"/>
        <v>0</v>
      </c>
      <c r="F390">
        <f t="array" ref="F390">SUM(IF(搜索词报告!$H$2:$H$22222=A390,IF(搜索词报告!$A$2:$A$22222&gt;=关键词词频统计!$A$2,IF(搜索词报告!$A$2:$A$22222&lt;=关键词词频统计!$A$4,搜索词报告!$Q$2:$Q$22222,0),0),0))</f>
        <v>0</v>
      </c>
      <c r="G390">
        <f t="array" ref="G390">SUM(IF(搜索词报告!$H$2:$H$22222=A390,IF(搜索词报告!$A$2:$A$22222&gt;=关键词词频统计!$A$2,IF(搜索词报告!$A$2:$A$22222&lt;=关键词词频统计!$A$4,搜索词报告!$N$2:$N$22222,0),0),0))</f>
        <v>0</v>
      </c>
      <c r="H390">
        <f t="array" ref="H390">SUM(IF(搜索词报告!$H$2:$H$22222=A390,IF(搜索词报告!$A$2:$A$22222&gt;=关键词词频统计!$A$2,IF(搜索词报告!$A$2:$A$22222&lt;=关键词词频统计!$A$4,搜索词报告!$M$2:$M$22222,0),0),0))</f>
        <v>0</v>
      </c>
      <c r="I390" s="2" t="str">
        <f t="shared" si="42"/>
        <v/>
      </c>
      <c r="J390" t="str">
        <f t="shared" si="43"/>
        <v>点击次数少于10次没有参考性</v>
      </c>
      <c r="K390" s="4" t="str">
        <f>IFERROR(INDEX(搜索词报告!$D$2:$D$22222,MATCH(关键词词频统计!A390,搜索词报告!$H$2:$H$22222,0)),"")</f>
        <v/>
      </c>
      <c r="V390" s="4" t="str">
        <f>IFERROR(INDEX(搜索词报告!$D$2:$D$22222,MATCH(关键词词频统计!L390,搜索词报告!$H$2:$H$22222,0)),"")</f>
        <v/>
      </c>
    </row>
    <row r="391" spans="2:22" x14ac:dyDescent="0.15">
      <c r="B391">
        <f t="array" ref="B391">SUM(IF(搜索词报告!$H$2:$H$22222=A391,IF(搜索词报告!$A$2:$A$22222&gt;=关键词词频统计!$A$2,IF(搜索词报告!$A$2:$A$22222&lt;=关键词词频统计!$A$4,搜索词报告!$I$2:$I$22222,0),0),0))</f>
        <v>0</v>
      </c>
      <c r="C391">
        <f t="array" ref="C391">SUM(IF(搜索词报告!$H$2:$H$22222=A391,IF(搜索词报告!$A$2:$A$22222&gt;=关键词词频统计!$A$2,IF(搜索词报告!$A$2:$A$22222&lt;=关键词词频统计!$A$4,搜索词报告!$J$2:$J$22222,0),0),0))</f>
        <v>0</v>
      </c>
      <c r="D391" s="2">
        <f t="shared" ref="D391:D441" si="48">IFERROR(C391/B391,0)</f>
        <v>0</v>
      </c>
      <c r="E391" s="2">
        <f t="shared" ref="E391:E441" si="49">IFERROR(F391/C391,0)</f>
        <v>0</v>
      </c>
      <c r="F391">
        <f t="array" ref="F391">SUM(IF(搜索词报告!$H$2:$H$22222=A391,IF(搜索词报告!$A$2:$A$22222&gt;=关键词词频统计!$A$2,IF(搜索词报告!$A$2:$A$22222&lt;=关键词词频统计!$A$4,搜索词报告!$Q$2:$Q$22222,0),0),0))</f>
        <v>0</v>
      </c>
      <c r="G391">
        <f t="array" ref="G391">SUM(IF(搜索词报告!$H$2:$H$22222=A391,IF(搜索词报告!$A$2:$A$22222&gt;=关键词词频统计!$A$2,IF(搜索词报告!$A$2:$A$22222&lt;=关键词词频统计!$A$4,搜索词报告!$N$2:$N$22222,0),0),0))</f>
        <v>0</v>
      </c>
      <c r="H391">
        <f t="array" ref="H391">SUM(IF(搜索词报告!$H$2:$H$22222=A391,IF(搜索词报告!$A$2:$A$22222&gt;=关键词词频统计!$A$2,IF(搜索词报告!$A$2:$A$22222&lt;=关键词词频统计!$A$4,搜索词报告!$M$2:$M$22222,0),0),0))</f>
        <v>0</v>
      </c>
      <c r="I391" s="2" t="str">
        <f t="shared" ref="I391:I441" si="50">IF(IFERROR(H391/G391,0)=0,"",IFERROR(H391/G391,0))</f>
        <v/>
      </c>
      <c r="J391" t="str">
        <f t="shared" ref="J391:J441" si="51">IF(AND(C391&gt;=10,E391&lt;=0.05),"极差",IF(AND(C391&gt;=10,0.05&lt;E391,E391&lt;=0.1),"差",IF(AND(C391&gt;=10,0.1&lt;E391,E391&lt;=0.15),"良",IF(AND(C391&gt;=10,E391&gt;0.15),"优","点击次数少于10次没有参考性"))))</f>
        <v>点击次数少于10次没有参考性</v>
      </c>
      <c r="K391" s="4" t="str">
        <f>IFERROR(INDEX(搜索词报告!$D$2:$D$22222,MATCH(关键词词频统计!A391,搜索词报告!$H$2:$H$22222,0)),"")</f>
        <v/>
      </c>
      <c r="V391" s="4" t="str">
        <f>IFERROR(INDEX(搜索词报告!$D$2:$D$22222,MATCH(关键词词频统计!L391,搜索词报告!$H$2:$H$22222,0)),"")</f>
        <v/>
      </c>
    </row>
    <row r="392" spans="2:22" x14ac:dyDescent="0.15">
      <c r="B392">
        <f t="array" ref="B392">SUM(IF(搜索词报告!$H$2:$H$22222=A392,IF(搜索词报告!$A$2:$A$22222&gt;=关键词词频统计!$A$2,IF(搜索词报告!$A$2:$A$22222&lt;=关键词词频统计!$A$4,搜索词报告!$I$2:$I$22222,0),0),0))</f>
        <v>0</v>
      </c>
      <c r="C392">
        <f t="array" ref="C392">SUM(IF(搜索词报告!$H$2:$H$22222=A392,IF(搜索词报告!$A$2:$A$22222&gt;=关键词词频统计!$A$2,IF(搜索词报告!$A$2:$A$22222&lt;=关键词词频统计!$A$4,搜索词报告!$J$2:$J$22222,0),0),0))</f>
        <v>0</v>
      </c>
      <c r="D392" s="2">
        <f t="shared" si="48"/>
        <v>0</v>
      </c>
      <c r="E392" s="2">
        <f t="shared" si="49"/>
        <v>0</v>
      </c>
      <c r="F392">
        <f t="array" ref="F392">SUM(IF(搜索词报告!$H$2:$H$22222=A392,IF(搜索词报告!$A$2:$A$22222&gt;=关键词词频统计!$A$2,IF(搜索词报告!$A$2:$A$22222&lt;=关键词词频统计!$A$4,搜索词报告!$Q$2:$Q$22222,0),0),0))</f>
        <v>0</v>
      </c>
      <c r="G392">
        <f t="array" ref="G392">SUM(IF(搜索词报告!$H$2:$H$22222=A392,IF(搜索词报告!$A$2:$A$22222&gt;=关键词词频统计!$A$2,IF(搜索词报告!$A$2:$A$22222&lt;=关键词词频统计!$A$4,搜索词报告!$N$2:$N$22222,0),0),0))</f>
        <v>0</v>
      </c>
      <c r="H392">
        <f t="array" ref="H392">SUM(IF(搜索词报告!$H$2:$H$22222=A392,IF(搜索词报告!$A$2:$A$22222&gt;=关键词词频统计!$A$2,IF(搜索词报告!$A$2:$A$22222&lt;=关键词词频统计!$A$4,搜索词报告!$M$2:$M$22222,0),0),0))</f>
        <v>0</v>
      </c>
      <c r="I392" s="2" t="str">
        <f t="shared" si="50"/>
        <v/>
      </c>
      <c r="J392" t="str">
        <f t="shared" si="51"/>
        <v>点击次数少于10次没有参考性</v>
      </c>
      <c r="K392" s="4" t="str">
        <f>IFERROR(INDEX(搜索词报告!$D$2:$D$22222,MATCH(关键词词频统计!A392,搜索词报告!$H$2:$H$22222,0)),"")</f>
        <v/>
      </c>
      <c r="V392" s="4" t="str">
        <f>IFERROR(INDEX(搜索词报告!$D$2:$D$22222,MATCH(关键词词频统计!L392,搜索词报告!$H$2:$H$22222,0)),"")</f>
        <v/>
      </c>
    </row>
    <row r="393" spans="2:22" x14ac:dyDescent="0.15">
      <c r="B393">
        <f t="array" ref="B393">SUM(IF(搜索词报告!$H$2:$H$22222=A393,IF(搜索词报告!$A$2:$A$22222&gt;=关键词词频统计!$A$2,IF(搜索词报告!$A$2:$A$22222&lt;=关键词词频统计!$A$4,搜索词报告!$I$2:$I$22222,0),0),0))</f>
        <v>0</v>
      </c>
      <c r="C393">
        <f t="array" ref="C393">SUM(IF(搜索词报告!$H$2:$H$22222=A393,IF(搜索词报告!$A$2:$A$22222&gt;=关键词词频统计!$A$2,IF(搜索词报告!$A$2:$A$22222&lt;=关键词词频统计!$A$4,搜索词报告!$J$2:$J$22222,0),0),0))</f>
        <v>0</v>
      </c>
      <c r="D393" s="2">
        <f t="shared" si="48"/>
        <v>0</v>
      </c>
      <c r="E393" s="2">
        <f t="shared" si="49"/>
        <v>0</v>
      </c>
      <c r="F393">
        <f t="array" ref="F393">SUM(IF(搜索词报告!$H$2:$H$22222=A393,IF(搜索词报告!$A$2:$A$22222&gt;=关键词词频统计!$A$2,IF(搜索词报告!$A$2:$A$22222&lt;=关键词词频统计!$A$4,搜索词报告!$Q$2:$Q$22222,0),0),0))</f>
        <v>0</v>
      </c>
      <c r="G393">
        <f t="array" ref="G393">SUM(IF(搜索词报告!$H$2:$H$22222=A393,IF(搜索词报告!$A$2:$A$22222&gt;=关键词词频统计!$A$2,IF(搜索词报告!$A$2:$A$22222&lt;=关键词词频统计!$A$4,搜索词报告!$N$2:$N$22222,0),0),0))</f>
        <v>0</v>
      </c>
      <c r="H393">
        <f t="array" ref="H393">SUM(IF(搜索词报告!$H$2:$H$22222=A393,IF(搜索词报告!$A$2:$A$22222&gt;=关键词词频统计!$A$2,IF(搜索词报告!$A$2:$A$22222&lt;=关键词词频统计!$A$4,搜索词报告!$M$2:$M$22222,0),0),0))</f>
        <v>0</v>
      </c>
      <c r="I393" s="2" t="str">
        <f t="shared" si="50"/>
        <v/>
      </c>
      <c r="J393" t="str">
        <f t="shared" si="51"/>
        <v>点击次数少于10次没有参考性</v>
      </c>
      <c r="K393" s="4" t="str">
        <f>IFERROR(INDEX(搜索词报告!$D$2:$D$22222,MATCH(关键词词频统计!A393,搜索词报告!$H$2:$H$22222,0)),"")</f>
        <v/>
      </c>
      <c r="V393" s="4" t="str">
        <f>IFERROR(INDEX(搜索词报告!$D$2:$D$22222,MATCH(关键词词频统计!L393,搜索词报告!$H$2:$H$22222,0)),"")</f>
        <v/>
      </c>
    </row>
    <row r="394" spans="2:22" x14ac:dyDescent="0.15">
      <c r="B394">
        <f t="array" ref="B394">SUM(IF(搜索词报告!$H$2:$H$22222=A394,IF(搜索词报告!$A$2:$A$22222&gt;=关键词词频统计!$A$2,IF(搜索词报告!$A$2:$A$22222&lt;=关键词词频统计!$A$4,搜索词报告!$I$2:$I$22222,0),0),0))</f>
        <v>0</v>
      </c>
      <c r="C394">
        <f t="array" ref="C394">SUM(IF(搜索词报告!$H$2:$H$22222=A394,IF(搜索词报告!$A$2:$A$22222&gt;=关键词词频统计!$A$2,IF(搜索词报告!$A$2:$A$22222&lt;=关键词词频统计!$A$4,搜索词报告!$J$2:$J$22222,0),0),0))</f>
        <v>0</v>
      </c>
      <c r="D394" s="2">
        <f t="shared" si="48"/>
        <v>0</v>
      </c>
      <c r="E394" s="2">
        <f t="shared" si="49"/>
        <v>0</v>
      </c>
      <c r="F394">
        <f t="array" ref="F394">SUM(IF(搜索词报告!$H$2:$H$22222=A394,IF(搜索词报告!$A$2:$A$22222&gt;=关键词词频统计!$A$2,IF(搜索词报告!$A$2:$A$22222&lt;=关键词词频统计!$A$4,搜索词报告!$Q$2:$Q$22222,0),0),0))</f>
        <v>0</v>
      </c>
      <c r="G394">
        <f t="array" ref="G394">SUM(IF(搜索词报告!$H$2:$H$22222=A394,IF(搜索词报告!$A$2:$A$22222&gt;=关键词词频统计!$A$2,IF(搜索词报告!$A$2:$A$22222&lt;=关键词词频统计!$A$4,搜索词报告!$N$2:$N$22222,0),0),0))</f>
        <v>0</v>
      </c>
      <c r="H394">
        <f t="array" ref="H394">SUM(IF(搜索词报告!$H$2:$H$22222=A394,IF(搜索词报告!$A$2:$A$22222&gt;=关键词词频统计!$A$2,IF(搜索词报告!$A$2:$A$22222&lt;=关键词词频统计!$A$4,搜索词报告!$M$2:$M$22222,0),0),0))</f>
        <v>0</v>
      </c>
      <c r="I394" s="2" t="str">
        <f t="shared" si="50"/>
        <v/>
      </c>
      <c r="J394" t="str">
        <f t="shared" si="51"/>
        <v>点击次数少于10次没有参考性</v>
      </c>
      <c r="K394" s="4" t="str">
        <f>IFERROR(INDEX(搜索词报告!$D$2:$D$22222,MATCH(关键词词频统计!A394,搜索词报告!$H$2:$H$22222,0)),"")</f>
        <v/>
      </c>
      <c r="V394" s="4" t="str">
        <f>IFERROR(INDEX(搜索词报告!$D$2:$D$22222,MATCH(关键词词频统计!L394,搜索词报告!$H$2:$H$22222,0)),"")</f>
        <v/>
      </c>
    </row>
    <row r="395" spans="2:22" x14ac:dyDescent="0.15">
      <c r="B395">
        <f t="array" ref="B395">SUM(IF(搜索词报告!$H$2:$H$22222=A395,IF(搜索词报告!$A$2:$A$22222&gt;=关键词词频统计!$A$2,IF(搜索词报告!$A$2:$A$22222&lt;=关键词词频统计!$A$4,搜索词报告!$I$2:$I$22222,0),0),0))</f>
        <v>0</v>
      </c>
      <c r="C395">
        <f t="array" ref="C395">SUM(IF(搜索词报告!$H$2:$H$22222=A395,IF(搜索词报告!$A$2:$A$22222&gt;=关键词词频统计!$A$2,IF(搜索词报告!$A$2:$A$22222&lt;=关键词词频统计!$A$4,搜索词报告!$J$2:$J$22222,0),0),0))</f>
        <v>0</v>
      </c>
      <c r="D395" s="2">
        <f t="shared" si="48"/>
        <v>0</v>
      </c>
      <c r="E395" s="2">
        <f t="shared" si="49"/>
        <v>0</v>
      </c>
      <c r="F395">
        <f t="array" ref="F395">SUM(IF(搜索词报告!$H$2:$H$22222=A395,IF(搜索词报告!$A$2:$A$22222&gt;=关键词词频统计!$A$2,IF(搜索词报告!$A$2:$A$22222&lt;=关键词词频统计!$A$4,搜索词报告!$Q$2:$Q$22222,0),0),0))</f>
        <v>0</v>
      </c>
      <c r="G395">
        <f t="array" ref="G395">SUM(IF(搜索词报告!$H$2:$H$22222=A395,IF(搜索词报告!$A$2:$A$22222&gt;=关键词词频统计!$A$2,IF(搜索词报告!$A$2:$A$22222&lt;=关键词词频统计!$A$4,搜索词报告!$N$2:$N$22222,0),0),0))</f>
        <v>0</v>
      </c>
      <c r="H395">
        <f t="array" ref="H395">SUM(IF(搜索词报告!$H$2:$H$22222=A395,IF(搜索词报告!$A$2:$A$22222&gt;=关键词词频统计!$A$2,IF(搜索词报告!$A$2:$A$22222&lt;=关键词词频统计!$A$4,搜索词报告!$M$2:$M$22222,0),0),0))</f>
        <v>0</v>
      </c>
      <c r="I395" s="2" t="str">
        <f t="shared" si="50"/>
        <v/>
      </c>
      <c r="J395" t="str">
        <f t="shared" si="51"/>
        <v>点击次数少于10次没有参考性</v>
      </c>
      <c r="K395" s="4" t="str">
        <f>IFERROR(INDEX(搜索词报告!$D$2:$D$22222,MATCH(关键词词频统计!A395,搜索词报告!$H$2:$H$22222,0)),"")</f>
        <v/>
      </c>
      <c r="V395" s="4" t="str">
        <f>IFERROR(INDEX(搜索词报告!$D$2:$D$22222,MATCH(关键词词频统计!L395,搜索词报告!$H$2:$H$22222,0)),"")</f>
        <v/>
      </c>
    </row>
    <row r="396" spans="2:22" x14ac:dyDescent="0.15">
      <c r="B396">
        <f t="array" ref="B396">SUM(IF(搜索词报告!$H$2:$H$22222=A396,IF(搜索词报告!$A$2:$A$22222&gt;=关键词词频统计!$A$2,IF(搜索词报告!$A$2:$A$22222&lt;=关键词词频统计!$A$4,搜索词报告!$I$2:$I$22222,0),0),0))</f>
        <v>0</v>
      </c>
      <c r="C396">
        <f t="array" ref="C396">SUM(IF(搜索词报告!$H$2:$H$22222=A396,IF(搜索词报告!$A$2:$A$22222&gt;=关键词词频统计!$A$2,IF(搜索词报告!$A$2:$A$22222&lt;=关键词词频统计!$A$4,搜索词报告!$J$2:$J$22222,0),0),0))</f>
        <v>0</v>
      </c>
      <c r="D396" s="2">
        <f t="shared" si="48"/>
        <v>0</v>
      </c>
      <c r="E396" s="2">
        <f t="shared" si="49"/>
        <v>0</v>
      </c>
      <c r="F396">
        <f t="array" ref="F396">SUM(IF(搜索词报告!$H$2:$H$22222=A396,IF(搜索词报告!$A$2:$A$22222&gt;=关键词词频统计!$A$2,IF(搜索词报告!$A$2:$A$22222&lt;=关键词词频统计!$A$4,搜索词报告!$Q$2:$Q$22222,0),0),0))</f>
        <v>0</v>
      </c>
      <c r="G396">
        <f t="array" ref="G396">SUM(IF(搜索词报告!$H$2:$H$22222=A396,IF(搜索词报告!$A$2:$A$22222&gt;=关键词词频统计!$A$2,IF(搜索词报告!$A$2:$A$22222&lt;=关键词词频统计!$A$4,搜索词报告!$N$2:$N$22222,0),0),0))</f>
        <v>0</v>
      </c>
      <c r="H396">
        <f t="array" ref="H396">SUM(IF(搜索词报告!$H$2:$H$22222=A396,IF(搜索词报告!$A$2:$A$22222&gt;=关键词词频统计!$A$2,IF(搜索词报告!$A$2:$A$22222&lt;=关键词词频统计!$A$4,搜索词报告!$M$2:$M$22222,0),0),0))</f>
        <v>0</v>
      </c>
      <c r="I396" s="2" t="str">
        <f t="shared" si="50"/>
        <v/>
      </c>
      <c r="J396" t="str">
        <f t="shared" si="51"/>
        <v>点击次数少于10次没有参考性</v>
      </c>
      <c r="K396" s="4" t="str">
        <f>IFERROR(INDEX(搜索词报告!$D$2:$D$22222,MATCH(关键词词频统计!A396,搜索词报告!$H$2:$H$22222,0)),"")</f>
        <v/>
      </c>
      <c r="V396" s="4" t="str">
        <f>IFERROR(INDEX(搜索词报告!$D$2:$D$22222,MATCH(关键词词频统计!L396,搜索词报告!$H$2:$H$22222,0)),"")</f>
        <v/>
      </c>
    </row>
    <row r="397" spans="2:22" x14ac:dyDescent="0.15">
      <c r="B397">
        <f t="array" ref="B397">SUM(IF(搜索词报告!$H$2:$H$22222=A397,IF(搜索词报告!$A$2:$A$22222&gt;=关键词词频统计!$A$2,IF(搜索词报告!$A$2:$A$22222&lt;=关键词词频统计!$A$4,搜索词报告!$I$2:$I$22222,0),0),0))</f>
        <v>0</v>
      </c>
      <c r="C397">
        <f t="array" ref="C397">SUM(IF(搜索词报告!$H$2:$H$22222=A397,IF(搜索词报告!$A$2:$A$22222&gt;=关键词词频统计!$A$2,IF(搜索词报告!$A$2:$A$22222&lt;=关键词词频统计!$A$4,搜索词报告!$J$2:$J$22222,0),0),0))</f>
        <v>0</v>
      </c>
      <c r="D397" s="2">
        <f t="shared" si="48"/>
        <v>0</v>
      </c>
      <c r="E397" s="2">
        <f t="shared" si="49"/>
        <v>0</v>
      </c>
      <c r="F397">
        <f t="array" ref="F397">SUM(IF(搜索词报告!$H$2:$H$22222=A397,IF(搜索词报告!$A$2:$A$22222&gt;=关键词词频统计!$A$2,IF(搜索词报告!$A$2:$A$22222&lt;=关键词词频统计!$A$4,搜索词报告!$Q$2:$Q$22222,0),0),0))</f>
        <v>0</v>
      </c>
      <c r="G397">
        <f t="array" ref="G397">SUM(IF(搜索词报告!$H$2:$H$22222=A397,IF(搜索词报告!$A$2:$A$22222&gt;=关键词词频统计!$A$2,IF(搜索词报告!$A$2:$A$22222&lt;=关键词词频统计!$A$4,搜索词报告!$N$2:$N$22222,0),0),0))</f>
        <v>0</v>
      </c>
      <c r="H397">
        <f t="array" ref="H397">SUM(IF(搜索词报告!$H$2:$H$22222=A397,IF(搜索词报告!$A$2:$A$22222&gt;=关键词词频统计!$A$2,IF(搜索词报告!$A$2:$A$22222&lt;=关键词词频统计!$A$4,搜索词报告!$M$2:$M$22222,0),0),0))</f>
        <v>0</v>
      </c>
      <c r="I397" s="2" t="str">
        <f t="shared" si="50"/>
        <v/>
      </c>
      <c r="J397" t="str">
        <f t="shared" si="51"/>
        <v>点击次数少于10次没有参考性</v>
      </c>
      <c r="K397" s="4" t="str">
        <f>IFERROR(INDEX(搜索词报告!$D$2:$D$22222,MATCH(关键词词频统计!A397,搜索词报告!$H$2:$H$22222,0)),"")</f>
        <v/>
      </c>
      <c r="V397" s="4" t="str">
        <f>IFERROR(INDEX(搜索词报告!$D$2:$D$22222,MATCH(关键词词频统计!L397,搜索词报告!$H$2:$H$22222,0)),"")</f>
        <v/>
      </c>
    </row>
    <row r="398" spans="2:22" x14ac:dyDescent="0.15">
      <c r="B398">
        <f t="array" ref="B398">SUM(IF(搜索词报告!$H$2:$H$22222=A398,IF(搜索词报告!$A$2:$A$22222&gt;=关键词词频统计!$A$2,IF(搜索词报告!$A$2:$A$22222&lt;=关键词词频统计!$A$4,搜索词报告!$I$2:$I$22222,0),0),0))</f>
        <v>0</v>
      </c>
      <c r="C398">
        <f t="array" ref="C398">SUM(IF(搜索词报告!$H$2:$H$22222=A398,IF(搜索词报告!$A$2:$A$22222&gt;=关键词词频统计!$A$2,IF(搜索词报告!$A$2:$A$22222&lt;=关键词词频统计!$A$4,搜索词报告!$J$2:$J$22222,0),0),0))</f>
        <v>0</v>
      </c>
      <c r="D398" s="2">
        <f t="shared" si="48"/>
        <v>0</v>
      </c>
      <c r="E398" s="2">
        <f t="shared" si="49"/>
        <v>0</v>
      </c>
      <c r="F398">
        <f t="array" ref="F398">SUM(IF(搜索词报告!$H$2:$H$22222=A398,IF(搜索词报告!$A$2:$A$22222&gt;=关键词词频统计!$A$2,IF(搜索词报告!$A$2:$A$22222&lt;=关键词词频统计!$A$4,搜索词报告!$Q$2:$Q$22222,0),0),0))</f>
        <v>0</v>
      </c>
      <c r="G398">
        <f t="array" ref="G398">SUM(IF(搜索词报告!$H$2:$H$22222=A398,IF(搜索词报告!$A$2:$A$22222&gt;=关键词词频统计!$A$2,IF(搜索词报告!$A$2:$A$22222&lt;=关键词词频统计!$A$4,搜索词报告!$N$2:$N$22222,0),0),0))</f>
        <v>0</v>
      </c>
      <c r="H398">
        <f t="array" ref="H398">SUM(IF(搜索词报告!$H$2:$H$22222=A398,IF(搜索词报告!$A$2:$A$22222&gt;=关键词词频统计!$A$2,IF(搜索词报告!$A$2:$A$22222&lt;=关键词词频统计!$A$4,搜索词报告!$M$2:$M$22222,0),0),0))</f>
        <v>0</v>
      </c>
      <c r="I398" s="2" t="str">
        <f t="shared" si="50"/>
        <v/>
      </c>
      <c r="J398" t="str">
        <f t="shared" si="51"/>
        <v>点击次数少于10次没有参考性</v>
      </c>
      <c r="K398" s="4" t="str">
        <f>IFERROR(INDEX(搜索词报告!$D$2:$D$22222,MATCH(关键词词频统计!A398,搜索词报告!$H$2:$H$22222,0)),"")</f>
        <v/>
      </c>
      <c r="V398" s="4" t="str">
        <f>IFERROR(INDEX(搜索词报告!$D$2:$D$22222,MATCH(关键词词频统计!L398,搜索词报告!$H$2:$H$22222,0)),"")</f>
        <v/>
      </c>
    </row>
    <row r="399" spans="2:22" x14ac:dyDescent="0.15">
      <c r="B399">
        <f t="array" ref="B399">SUM(IF(搜索词报告!$H$2:$H$22222=A399,IF(搜索词报告!$A$2:$A$22222&gt;=关键词词频统计!$A$2,IF(搜索词报告!$A$2:$A$22222&lt;=关键词词频统计!$A$4,搜索词报告!$I$2:$I$22222,0),0),0))</f>
        <v>0</v>
      </c>
      <c r="C399">
        <f t="array" ref="C399">SUM(IF(搜索词报告!$H$2:$H$22222=A399,IF(搜索词报告!$A$2:$A$22222&gt;=关键词词频统计!$A$2,IF(搜索词报告!$A$2:$A$22222&lt;=关键词词频统计!$A$4,搜索词报告!$J$2:$J$22222,0),0),0))</f>
        <v>0</v>
      </c>
      <c r="D399" s="2">
        <f t="shared" si="48"/>
        <v>0</v>
      </c>
      <c r="E399" s="2">
        <f t="shared" si="49"/>
        <v>0</v>
      </c>
      <c r="F399">
        <f t="array" ref="F399">SUM(IF(搜索词报告!$H$2:$H$22222=A399,IF(搜索词报告!$A$2:$A$22222&gt;=关键词词频统计!$A$2,IF(搜索词报告!$A$2:$A$22222&lt;=关键词词频统计!$A$4,搜索词报告!$Q$2:$Q$22222,0),0),0))</f>
        <v>0</v>
      </c>
      <c r="G399">
        <f t="array" ref="G399">SUM(IF(搜索词报告!$H$2:$H$22222=A399,IF(搜索词报告!$A$2:$A$22222&gt;=关键词词频统计!$A$2,IF(搜索词报告!$A$2:$A$22222&lt;=关键词词频统计!$A$4,搜索词报告!$N$2:$N$22222,0),0),0))</f>
        <v>0</v>
      </c>
      <c r="H399">
        <f t="array" ref="H399">SUM(IF(搜索词报告!$H$2:$H$22222=A399,IF(搜索词报告!$A$2:$A$22222&gt;=关键词词频统计!$A$2,IF(搜索词报告!$A$2:$A$22222&lt;=关键词词频统计!$A$4,搜索词报告!$M$2:$M$22222,0),0),0))</f>
        <v>0</v>
      </c>
      <c r="I399" s="2" t="str">
        <f t="shared" si="50"/>
        <v/>
      </c>
      <c r="J399" t="str">
        <f t="shared" si="51"/>
        <v>点击次数少于10次没有参考性</v>
      </c>
      <c r="K399" s="4" t="str">
        <f>IFERROR(INDEX(搜索词报告!$D$2:$D$22222,MATCH(关键词词频统计!A399,搜索词报告!$H$2:$H$22222,0)),"")</f>
        <v/>
      </c>
      <c r="V399" s="4" t="str">
        <f>IFERROR(INDEX(搜索词报告!$D$2:$D$22222,MATCH(关键词词频统计!L399,搜索词报告!$H$2:$H$22222,0)),"")</f>
        <v/>
      </c>
    </row>
    <row r="400" spans="2:22" x14ac:dyDescent="0.15">
      <c r="B400">
        <f t="array" ref="B400">SUM(IF(搜索词报告!$H$2:$H$22222=A400,IF(搜索词报告!$A$2:$A$22222&gt;=关键词词频统计!$A$2,IF(搜索词报告!$A$2:$A$22222&lt;=关键词词频统计!$A$4,搜索词报告!$I$2:$I$22222,0),0),0))</f>
        <v>0</v>
      </c>
      <c r="C400">
        <f t="array" ref="C400">SUM(IF(搜索词报告!$H$2:$H$22222=A400,IF(搜索词报告!$A$2:$A$22222&gt;=关键词词频统计!$A$2,IF(搜索词报告!$A$2:$A$22222&lt;=关键词词频统计!$A$4,搜索词报告!$J$2:$J$22222,0),0),0))</f>
        <v>0</v>
      </c>
      <c r="D400" s="2">
        <f t="shared" si="48"/>
        <v>0</v>
      </c>
      <c r="E400" s="2">
        <f t="shared" si="49"/>
        <v>0</v>
      </c>
      <c r="F400">
        <f t="array" ref="F400">SUM(IF(搜索词报告!$H$2:$H$22222=A400,IF(搜索词报告!$A$2:$A$22222&gt;=关键词词频统计!$A$2,IF(搜索词报告!$A$2:$A$22222&lt;=关键词词频统计!$A$4,搜索词报告!$Q$2:$Q$22222,0),0),0))</f>
        <v>0</v>
      </c>
      <c r="G400">
        <f t="array" ref="G400">SUM(IF(搜索词报告!$H$2:$H$22222=A400,IF(搜索词报告!$A$2:$A$22222&gt;=关键词词频统计!$A$2,IF(搜索词报告!$A$2:$A$22222&lt;=关键词词频统计!$A$4,搜索词报告!$N$2:$N$22222,0),0),0))</f>
        <v>0</v>
      </c>
      <c r="H400">
        <f t="array" ref="H400">SUM(IF(搜索词报告!$H$2:$H$22222=A400,IF(搜索词报告!$A$2:$A$22222&gt;=关键词词频统计!$A$2,IF(搜索词报告!$A$2:$A$22222&lt;=关键词词频统计!$A$4,搜索词报告!$M$2:$M$22222,0),0),0))</f>
        <v>0</v>
      </c>
      <c r="I400" s="2" t="str">
        <f t="shared" si="50"/>
        <v/>
      </c>
      <c r="J400" t="str">
        <f t="shared" si="51"/>
        <v>点击次数少于10次没有参考性</v>
      </c>
      <c r="K400" s="4" t="str">
        <f>IFERROR(INDEX(搜索词报告!$D$2:$D$22222,MATCH(关键词词频统计!A400,搜索词报告!$H$2:$H$22222,0)),"")</f>
        <v/>
      </c>
      <c r="V400" s="4" t="str">
        <f>IFERROR(INDEX(搜索词报告!$D$2:$D$22222,MATCH(关键词词频统计!L400,搜索词报告!$H$2:$H$22222,0)),"")</f>
        <v/>
      </c>
    </row>
    <row r="401" spans="2:22" x14ac:dyDescent="0.15">
      <c r="B401">
        <f t="array" ref="B401">SUM(IF(搜索词报告!$H$2:$H$22222=A401,IF(搜索词报告!$A$2:$A$22222&gt;=关键词词频统计!$A$2,IF(搜索词报告!$A$2:$A$22222&lt;=关键词词频统计!$A$4,搜索词报告!$I$2:$I$22222,0),0),0))</f>
        <v>0</v>
      </c>
      <c r="C401">
        <f t="array" ref="C401">SUM(IF(搜索词报告!$H$2:$H$22222=A401,IF(搜索词报告!$A$2:$A$22222&gt;=关键词词频统计!$A$2,IF(搜索词报告!$A$2:$A$22222&lt;=关键词词频统计!$A$4,搜索词报告!$J$2:$J$22222,0),0),0))</f>
        <v>0</v>
      </c>
      <c r="D401" s="2">
        <f t="shared" si="48"/>
        <v>0</v>
      </c>
      <c r="E401" s="2">
        <f t="shared" si="49"/>
        <v>0</v>
      </c>
      <c r="F401">
        <f t="array" ref="F401">SUM(IF(搜索词报告!$H$2:$H$22222=A401,IF(搜索词报告!$A$2:$A$22222&gt;=关键词词频统计!$A$2,IF(搜索词报告!$A$2:$A$22222&lt;=关键词词频统计!$A$4,搜索词报告!$Q$2:$Q$22222,0),0),0))</f>
        <v>0</v>
      </c>
      <c r="G401">
        <f t="array" ref="G401">SUM(IF(搜索词报告!$H$2:$H$22222=A401,IF(搜索词报告!$A$2:$A$22222&gt;=关键词词频统计!$A$2,IF(搜索词报告!$A$2:$A$22222&lt;=关键词词频统计!$A$4,搜索词报告!$N$2:$N$22222,0),0),0))</f>
        <v>0</v>
      </c>
      <c r="H401">
        <f t="array" ref="H401">SUM(IF(搜索词报告!$H$2:$H$22222=A401,IF(搜索词报告!$A$2:$A$22222&gt;=关键词词频统计!$A$2,IF(搜索词报告!$A$2:$A$22222&lt;=关键词词频统计!$A$4,搜索词报告!$M$2:$M$22222,0),0),0))</f>
        <v>0</v>
      </c>
      <c r="I401" s="2" t="str">
        <f t="shared" si="50"/>
        <v/>
      </c>
      <c r="J401" t="str">
        <f t="shared" si="51"/>
        <v>点击次数少于10次没有参考性</v>
      </c>
      <c r="K401" s="4" t="str">
        <f>IFERROR(INDEX(搜索词报告!$D$2:$D$22222,MATCH(关键词词频统计!A401,搜索词报告!$H$2:$H$22222,0)),"")</f>
        <v/>
      </c>
      <c r="V401" s="4" t="str">
        <f>IFERROR(INDEX(搜索词报告!$D$2:$D$22222,MATCH(关键词词频统计!L401,搜索词报告!$H$2:$H$22222,0)),"")</f>
        <v/>
      </c>
    </row>
    <row r="402" spans="2:22" x14ac:dyDescent="0.15">
      <c r="B402">
        <f t="array" ref="B402">SUM(IF(搜索词报告!$H$2:$H$22222=A402,IF(搜索词报告!$A$2:$A$22222&gt;=关键词词频统计!$A$2,IF(搜索词报告!$A$2:$A$22222&lt;=关键词词频统计!$A$4,搜索词报告!$I$2:$I$22222,0),0),0))</f>
        <v>0</v>
      </c>
      <c r="C402">
        <f t="array" ref="C402">SUM(IF(搜索词报告!$H$2:$H$22222=A402,IF(搜索词报告!$A$2:$A$22222&gt;=关键词词频统计!$A$2,IF(搜索词报告!$A$2:$A$22222&lt;=关键词词频统计!$A$4,搜索词报告!$J$2:$J$22222,0),0),0))</f>
        <v>0</v>
      </c>
      <c r="D402" s="2">
        <f t="shared" si="48"/>
        <v>0</v>
      </c>
      <c r="E402" s="2">
        <f t="shared" si="49"/>
        <v>0</v>
      </c>
      <c r="F402">
        <f t="array" ref="F402">SUM(IF(搜索词报告!$H$2:$H$22222=A402,IF(搜索词报告!$A$2:$A$22222&gt;=关键词词频统计!$A$2,IF(搜索词报告!$A$2:$A$22222&lt;=关键词词频统计!$A$4,搜索词报告!$Q$2:$Q$22222,0),0),0))</f>
        <v>0</v>
      </c>
      <c r="G402">
        <f t="array" ref="G402">SUM(IF(搜索词报告!$H$2:$H$22222=A402,IF(搜索词报告!$A$2:$A$22222&gt;=关键词词频统计!$A$2,IF(搜索词报告!$A$2:$A$22222&lt;=关键词词频统计!$A$4,搜索词报告!$N$2:$N$22222,0),0),0))</f>
        <v>0</v>
      </c>
      <c r="H402">
        <f t="array" ref="H402">SUM(IF(搜索词报告!$H$2:$H$22222=A402,IF(搜索词报告!$A$2:$A$22222&gt;=关键词词频统计!$A$2,IF(搜索词报告!$A$2:$A$22222&lt;=关键词词频统计!$A$4,搜索词报告!$M$2:$M$22222,0),0),0))</f>
        <v>0</v>
      </c>
      <c r="I402" s="2" t="str">
        <f t="shared" si="50"/>
        <v/>
      </c>
      <c r="J402" t="str">
        <f t="shared" si="51"/>
        <v>点击次数少于10次没有参考性</v>
      </c>
      <c r="K402" s="4" t="str">
        <f>IFERROR(INDEX(搜索词报告!$D$2:$D$22222,MATCH(关键词词频统计!A402,搜索词报告!$H$2:$H$22222,0)),"")</f>
        <v/>
      </c>
      <c r="V402" s="4" t="str">
        <f>IFERROR(INDEX(搜索词报告!$D$2:$D$22222,MATCH(关键词词频统计!L402,搜索词报告!$H$2:$H$22222,0)),"")</f>
        <v/>
      </c>
    </row>
    <row r="403" spans="2:22" x14ac:dyDescent="0.15">
      <c r="B403">
        <f t="array" ref="B403">SUM(IF(搜索词报告!$H$2:$H$22222=A403,IF(搜索词报告!$A$2:$A$22222&gt;=关键词词频统计!$A$2,IF(搜索词报告!$A$2:$A$22222&lt;=关键词词频统计!$A$4,搜索词报告!$I$2:$I$22222,0),0),0))</f>
        <v>0</v>
      </c>
      <c r="C403">
        <f t="array" ref="C403">SUM(IF(搜索词报告!$H$2:$H$22222=A403,IF(搜索词报告!$A$2:$A$22222&gt;=关键词词频统计!$A$2,IF(搜索词报告!$A$2:$A$22222&lt;=关键词词频统计!$A$4,搜索词报告!$J$2:$J$22222,0),0),0))</f>
        <v>0</v>
      </c>
      <c r="D403" s="2">
        <f t="shared" si="48"/>
        <v>0</v>
      </c>
      <c r="E403" s="2">
        <f t="shared" si="49"/>
        <v>0</v>
      </c>
      <c r="F403">
        <f t="array" ref="F403">SUM(IF(搜索词报告!$H$2:$H$22222=A403,IF(搜索词报告!$A$2:$A$22222&gt;=关键词词频统计!$A$2,IF(搜索词报告!$A$2:$A$22222&lt;=关键词词频统计!$A$4,搜索词报告!$Q$2:$Q$22222,0),0),0))</f>
        <v>0</v>
      </c>
      <c r="G403">
        <f t="array" ref="G403">SUM(IF(搜索词报告!$H$2:$H$22222=A403,IF(搜索词报告!$A$2:$A$22222&gt;=关键词词频统计!$A$2,IF(搜索词报告!$A$2:$A$22222&lt;=关键词词频统计!$A$4,搜索词报告!$N$2:$N$22222,0),0),0))</f>
        <v>0</v>
      </c>
      <c r="H403">
        <f t="array" ref="H403">SUM(IF(搜索词报告!$H$2:$H$22222=A403,IF(搜索词报告!$A$2:$A$22222&gt;=关键词词频统计!$A$2,IF(搜索词报告!$A$2:$A$22222&lt;=关键词词频统计!$A$4,搜索词报告!$M$2:$M$22222,0),0),0))</f>
        <v>0</v>
      </c>
      <c r="I403" s="2" t="str">
        <f t="shared" si="50"/>
        <v/>
      </c>
      <c r="J403" t="str">
        <f t="shared" si="51"/>
        <v>点击次数少于10次没有参考性</v>
      </c>
      <c r="K403" s="4" t="str">
        <f>IFERROR(INDEX(搜索词报告!$D$2:$D$22222,MATCH(关键词词频统计!A403,搜索词报告!$H$2:$H$22222,0)),"")</f>
        <v/>
      </c>
      <c r="V403" s="4" t="str">
        <f>IFERROR(INDEX(搜索词报告!$D$2:$D$22222,MATCH(关键词词频统计!L403,搜索词报告!$H$2:$H$22222,0)),"")</f>
        <v/>
      </c>
    </row>
    <row r="404" spans="2:22" x14ac:dyDescent="0.15">
      <c r="B404">
        <f t="array" ref="B404">SUM(IF(搜索词报告!$H$2:$H$22222=A404,IF(搜索词报告!$A$2:$A$22222&gt;=关键词词频统计!$A$2,IF(搜索词报告!$A$2:$A$22222&lt;=关键词词频统计!$A$4,搜索词报告!$I$2:$I$22222,0),0),0))</f>
        <v>0</v>
      </c>
      <c r="C404">
        <f t="array" ref="C404">SUM(IF(搜索词报告!$H$2:$H$22222=A404,IF(搜索词报告!$A$2:$A$22222&gt;=关键词词频统计!$A$2,IF(搜索词报告!$A$2:$A$22222&lt;=关键词词频统计!$A$4,搜索词报告!$J$2:$J$22222,0),0),0))</f>
        <v>0</v>
      </c>
      <c r="D404" s="2">
        <f t="shared" si="48"/>
        <v>0</v>
      </c>
      <c r="E404" s="2">
        <f t="shared" si="49"/>
        <v>0</v>
      </c>
      <c r="F404">
        <f t="array" ref="F404">SUM(IF(搜索词报告!$H$2:$H$22222=A404,IF(搜索词报告!$A$2:$A$22222&gt;=关键词词频统计!$A$2,IF(搜索词报告!$A$2:$A$22222&lt;=关键词词频统计!$A$4,搜索词报告!$Q$2:$Q$22222,0),0),0))</f>
        <v>0</v>
      </c>
      <c r="G404">
        <f t="array" ref="G404">SUM(IF(搜索词报告!$H$2:$H$22222=A404,IF(搜索词报告!$A$2:$A$22222&gt;=关键词词频统计!$A$2,IF(搜索词报告!$A$2:$A$22222&lt;=关键词词频统计!$A$4,搜索词报告!$N$2:$N$22222,0),0),0))</f>
        <v>0</v>
      </c>
      <c r="H404">
        <f t="array" ref="H404">SUM(IF(搜索词报告!$H$2:$H$22222=A404,IF(搜索词报告!$A$2:$A$22222&gt;=关键词词频统计!$A$2,IF(搜索词报告!$A$2:$A$22222&lt;=关键词词频统计!$A$4,搜索词报告!$M$2:$M$22222,0),0),0))</f>
        <v>0</v>
      </c>
      <c r="I404" s="2" t="str">
        <f t="shared" si="50"/>
        <v/>
      </c>
      <c r="J404" t="str">
        <f t="shared" si="51"/>
        <v>点击次数少于10次没有参考性</v>
      </c>
      <c r="K404" s="4" t="str">
        <f>IFERROR(INDEX(搜索词报告!$D$2:$D$22222,MATCH(关键词词频统计!A404,搜索词报告!$H$2:$H$22222,0)),"")</f>
        <v/>
      </c>
      <c r="V404" s="4" t="str">
        <f>IFERROR(INDEX(搜索词报告!$D$2:$D$22222,MATCH(关键词词频统计!L404,搜索词报告!$H$2:$H$22222,0)),"")</f>
        <v/>
      </c>
    </row>
    <row r="405" spans="2:22" x14ac:dyDescent="0.15">
      <c r="B405">
        <f t="array" ref="B405">SUM(IF(搜索词报告!$H$2:$H$22222=A405,IF(搜索词报告!$A$2:$A$22222&gt;=关键词词频统计!$A$2,IF(搜索词报告!$A$2:$A$22222&lt;=关键词词频统计!$A$4,搜索词报告!$I$2:$I$22222,0),0),0))</f>
        <v>0</v>
      </c>
      <c r="C405">
        <f t="array" ref="C405">SUM(IF(搜索词报告!$H$2:$H$22222=A405,IF(搜索词报告!$A$2:$A$22222&gt;=关键词词频统计!$A$2,IF(搜索词报告!$A$2:$A$22222&lt;=关键词词频统计!$A$4,搜索词报告!$J$2:$J$22222,0),0),0))</f>
        <v>0</v>
      </c>
      <c r="D405" s="2">
        <f t="shared" si="48"/>
        <v>0</v>
      </c>
      <c r="E405" s="2">
        <f t="shared" si="49"/>
        <v>0</v>
      </c>
      <c r="F405">
        <f t="array" ref="F405">SUM(IF(搜索词报告!$H$2:$H$22222=A405,IF(搜索词报告!$A$2:$A$22222&gt;=关键词词频统计!$A$2,IF(搜索词报告!$A$2:$A$22222&lt;=关键词词频统计!$A$4,搜索词报告!$Q$2:$Q$22222,0),0),0))</f>
        <v>0</v>
      </c>
      <c r="G405">
        <f t="array" ref="G405">SUM(IF(搜索词报告!$H$2:$H$22222=A405,IF(搜索词报告!$A$2:$A$22222&gt;=关键词词频统计!$A$2,IF(搜索词报告!$A$2:$A$22222&lt;=关键词词频统计!$A$4,搜索词报告!$N$2:$N$22222,0),0),0))</f>
        <v>0</v>
      </c>
      <c r="H405">
        <f t="array" ref="H405">SUM(IF(搜索词报告!$H$2:$H$22222=A405,IF(搜索词报告!$A$2:$A$22222&gt;=关键词词频统计!$A$2,IF(搜索词报告!$A$2:$A$22222&lt;=关键词词频统计!$A$4,搜索词报告!$M$2:$M$22222,0),0),0))</f>
        <v>0</v>
      </c>
      <c r="I405" s="2" t="str">
        <f t="shared" si="50"/>
        <v/>
      </c>
      <c r="J405" t="str">
        <f t="shared" si="51"/>
        <v>点击次数少于10次没有参考性</v>
      </c>
      <c r="K405" s="4" t="str">
        <f>IFERROR(INDEX(搜索词报告!$D$2:$D$22222,MATCH(关键词词频统计!A405,搜索词报告!$H$2:$H$22222,0)),"")</f>
        <v/>
      </c>
      <c r="V405" s="4" t="str">
        <f>IFERROR(INDEX(搜索词报告!$D$2:$D$22222,MATCH(关键词词频统计!L405,搜索词报告!$H$2:$H$22222,0)),"")</f>
        <v/>
      </c>
    </row>
    <row r="406" spans="2:22" x14ac:dyDescent="0.15">
      <c r="B406">
        <f t="array" ref="B406">SUM(IF(搜索词报告!$H$2:$H$22222=A406,IF(搜索词报告!$A$2:$A$22222&gt;=关键词词频统计!$A$2,IF(搜索词报告!$A$2:$A$22222&lt;=关键词词频统计!$A$4,搜索词报告!$I$2:$I$22222,0),0),0))</f>
        <v>0</v>
      </c>
      <c r="C406">
        <f t="array" ref="C406">SUM(IF(搜索词报告!$H$2:$H$22222=A406,IF(搜索词报告!$A$2:$A$22222&gt;=关键词词频统计!$A$2,IF(搜索词报告!$A$2:$A$22222&lt;=关键词词频统计!$A$4,搜索词报告!$J$2:$J$22222,0),0),0))</f>
        <v>0</v>
      </c>
      <c r="D406" s="2">
        <f t="shared" si="48"/>
        <v>0</v>
      </c>
      <c r="E406" s="2">
        <f t="shared" si="49"/>
        <v>0</v>
      </c>
      <c r="F406">
        <f t="array" ref="F406">SUM(IF(搜索词报告!$H$2:$H$22222=A406,IF(搜索词报告!$A$2:$A$22222&gt;=关键词词频统计!$A$2,IF(搜索词报告!$A$2:$A$22222&lt;=关键词词频统计!$A$4,搜索词报告!$Q$2:$Q$22222,0),0),0))</f>
        <v>0</v>
      </c>
      <c r="G406">
        <f t="array" ref="G406">SUM(IF(搜索词报告!$H$2:$H$22222=A406,IF(搜索词报告!$A$2:$A$22222&gt;=关键词词频统计!$A$2,IF(搜索词报告!$A$2:$A$22222&lt;=关键词词频统计!$A$4,搜索词报告!$N$2:$N$22222,0),0),0))</f>
        <v>0</v>
      </c>
      <c r="H406">
        <f t="array" ref="H406">SUM(IF(搜索词报告!$H$2:$H$22222=A406,IF(搜索词报告!$A$2:$A$22222&gt;=关键词词频统计!$A$2,IF(搜索词报告!$A$2:$A$22222&lt;=关键词词频统计!$A$4,搜索词报告!$M$2:$M$22222,0),0),0))</f>
        <v>0</v>
      </c>
      <c r="I406" s="2" t="str">
        <f t="shared" si="50"/>
        <v/>
      </c>
      <c r="J406" t="str">
        <f t="shared" si="51"/>
        <v>点击次数少于10次没有参考性</v>
      </c>
      <c r="K406" s="4" t="str">
        <f>IFERROR(INDEX(搜索词报告!$D$2:$D$22222,MATCH(关键词词频统计!A406,搜索词报告!$H$2:$H$22222,0)),"")</f>
        <v/>
      </c>
      <c r="V406" s="4" t="str">
        <f>IFERROR(INDEX(搜索词报告!$D$2:$D$22222,MATCH(关键词词频统计!L406,搜索词报告!$H$2:$H$22222,0)),"")</f>
        <v/>
      </c>
    </row>
    <row r="407" spans="2:22" x14ac:dyDescent="0.15">
      <c r="B407">
        <f t="array" ref="B407">SUM(IF(搜索词报告!$H$2:$H$22222=A407,IF(搜索词报告!$A$2:$A$22222&gt;=关键词词频统计!$A$2,IF(搜索词报告!$A$2:$A$22222&lt;=关键词词频统计!$A$4,搜索词报告!$I$2:$I$22222,0),0),0))</f>
        <v>0</v>
      </c>
      <c r="C407">
        <f t="array" ref="C407">SUM(IF(搜索词报告!$H$2:$H$22222=A407,IF(搜索词报告!$A$2:$A$22222&gt;=关键词词频统计!$A$2,IF(搜索词报告!$A$2:$A$22222&lt;=关键词词频统计!$A$4,搜索词报告!$J$2:$J$22222,0),0),0))</f>
        <v>0</v>
      </c>
      <c r="D407" s="2">
        <f t="shared" si="48"/>
        <v>0</v>
      </c>
      <c r="E407" s="2">
        <f t="shared" si="49"/>
        <v>0</v>
      </c>
      <c r="F407">
        <f t="array" ref="F407">SUM(IF(搜索词报告!$H$2:$H$22222=A407,IF(搜索词报告!$A$2:$A$22222&gt;=关键词词频统计!$A$2,IF(搜索词报告!$A$2:$A$22222&lt;=关键词词频统计!$A$4,搜索词报告!$Q$2:$Q$22222,0),0),0))</f>
        <v>0</v>
      </c>
      <c r="G407">
        <f t="array" ref="G407">SUM(IF(搜索词报告!$H$2:$H$22222=A407,IF(搜索词报告!$A$2:$A$22222&gt;=关键词词频统计!$A$2,IF(搜索词报告!$A$2:$A$22222&lt;=关键词词频统计!$A$4,搜索词报告!$N$2:$N$22222,0),0),0))</f>
        <v>0</v>
      </c>
      <c r="H407">
        <f t="array" ref="H407">SUM(IF(搜索词报告!$H$2:$H$22222=A407,IF(搜索词报告!$A$2:$A$22222&gt;=关键词词频统计!$A$2,IF(搜索词报告!$A$2:$A$22222&lt;=关键词词频统计!$A$4,搜索词报告!$M$2:$M$22222,0),0),0))</f>
        <v>0</v>
      </c>
      <c r="I407" s="2" t="str">
        <f t="shared" si="50"/>
        <v/>
      </c>
      <c r="J407" t="str">
        <f t="shared" si="51"/>
        <v>点击次数少于10次没有参考性</v>
      </c>
      <c r="K407" s="4" t="str">
        <f>IFERROR(INDEX(搜索词报告!$D$2:$D$22222,MATCH(关键词词频统计!A407,搜索词报告!$H$2:$H$22222,0)),"")</f>
        <v/>
      </c>
      <c r="V407" s="4" t="str">
        <f>IFERROR(INDEX(搜索词报告!$D$2:$D$22222,MATCH(关键词词频统计!L407,搜索词报告!$H$2:$H$22222,0)),"")</f>
        <v/>
      </c>
    </row>
    <row r="408" spans="2:22" x14ac:dyDescent="0.15">
      <c r="B408">
        <f t="array" ref="B408">SUM(IF(搜索词报告!$H$2:$H$22222=A408,IF(搜索词报告!$A$2:$A$22222&gt;=关键词词频统计!$A$2,IF(搜索词报告!$A$2:$A$22222&lt;=关键词词频统计!$A$4,搜索词报告!$I$2:$I$22222,0),0),0))</f>
        <v>0</v>
      </c>
      <c r="C408">
        <f t="array" ref="C408">SUM(IF(搜索词报告!$H$2:$H$22222=A408,IF(搜索词报告!$A$2:$A$22222&gt;=关键词词频统计!$A$2,IF(搜索词报告!$A$2:$A$22222&lt;=关键词词频统计!$A$4,搜索词报告!$J$2:$J$22222,0),0),0))</f>
        <v>0</v>
      </c>
      <c r="D408" s="2">
        <f t="shared" si="48"/>
        <v>0</v>
      </c>
      <c r="E408" s="2">
        <f t="shared" si="49"/>
        <v>0</v>
      </c>
      <c r="F408">
        <f t="array" ref="F408">SUM(IF(搜索词报告!$H$2:$H$22222=A408,IF(搜索词报告!$A$2:$A$22222&gt;=关键词词频统计!$A$2,IF(搜索词报告!$A$2:$A$22222&lt;=关键词词频统计!$A$4,搜索词报告!$Q$2:$Q$22222,0),0),0))</f>
        <v>0</v>
      </c>
      <c r="G408">
        <f t="array" ref="G408">SUM(IF(搜索词报告!$H$2:$H$22222=A408,IF(搜索词报告!$A$2:$A$22222&gt;=关键词词频统计!$A$2,IF(搜索词报告!$A$2:$A$22222&lt;=关键词词频统计!$A$4,搜索词报告!$N$2:$N$22222,0),0),0))</f>
        <v>0</v>
      </c>
      <c r="H408">
        <f t="array" ref="H408">SUM(IF(搜索词报告!$H$2:$H$22222=A408,IF(搜索词报告!$A$2:$A$22222&gt;=关键词词频统计!$A$2,IF(搜索词报告!$A$2:$A$22222&lt;=关键词词频统计!$A$4,搜索词报告!$M$2:$M$22222,0),0),0))</f>
        <v>0</v>
      </c>
      <c r="I408" s="2" t="str">
        <f t="shared" si="50"/>
        <v/>
      </c>
      <c r="J408" t="str">
        <f t="shared" si="51"/>
        <v>点击次数少于10次没有参考性</v>
      </c>
      <c r="K408" s="4" t="str">
        <f>IFERROR(INDEX(搜索词报告!$D$2:$D$22222,MATCH(关键词词频统计!A408,搜索词报告!$H$2:$H$22222,0)),"")</f>
        <v/>
      </c>
      <c r="V408" s="4" t="str">
        <f>IFERROR(INDEX(搜索词报告!$D$2:$D$22222,MATCH(关键词词频统计!L408,搜索词报告!$H$2:$H$22222,0)),"")</f>
        <v/>
      </c>
    </row>
    <row r="409" spans="2:22" x14ac:dyDescent="0.15">
      <c r="B409">
        <f t="array" ref="B409">SUM(IF(搜索词报告!$H$2:$H$22222=A409,IF(搜索词报告!$A$2:$A$22222&gt;=关键词词频统计!$A$2,IF(搜索词报告!$A$2:$A$22222&lt;=关键词词频统计!$A$4,搜索词报告!$I$2:$I$22222,0),0),0))</f>
        <v>0</v>
      </c>
      <c r="C409">
        <f t="array" ref="C409">SUM(IF(搜索词报告!$H$2:$H$22222=A409,IF(搜索词报告!$A$2:$A$22222&gt;=关键词词频统计!$A$2,IF(搜索词报告!$A$2:$A$22222&lt;=关键词词频统计!$A$4,搜索词报告!$J$2:$J$22222,0),0),0))</f>
        <v>0</v>
      </c>
      <c r="D409" s="2">
        <f t="shared" si="48"/>
        <v>0</v>
      </c>
      <c r="E409" s="2">
        <f t="shared" si="49"/>
        <v>0</v>
      </c>
      <c r="F409">
        <f t="array" ref="F409">SUM(IF(搜索词报告!$H$2:$H$22222=A409,IF(搜索词报告!$A$2:$A$22222&gt;=关键词词频统计!$A$2,IF(搜索词报告!$A$2:$A$22222&lt;=关键词词频统计!$A$4,搜索词报告!$Q$2:$Q$22222,0),0),0))</f>
        <v>0</v>
      </c>
      <c r="G409">
        <f t="array" ref="G409">SUM(IF(搜索词报告!$H$2:$H$22222=A409,IF(搜索词报告!$A$2:$A$22222&gt;=关键词词频统计!$A$2,IF(搜索词报告!$A$2:$A$22222&lt;=关键词词频统计!$A$4,搜索词报告!$N$2:$N$22222,0),0),0))</f>
        <v>0</v>
      </c>
      <c r="H409">
        <f t="array" ref="H409">SUM(IF(搜索词报告!$H$2:$H$22222=A409,IF(搜索词报告!$A$2:$A$22222&gt;=关键词词频统计!$A$2,IF(搜索词报告!$A$2:$A$22222&lt;=关键词词频统计!$A$4,搜索词报告!$M$2:$M$22222,0),0),0))</f>
        <v>0</v>
      </c>
      <c r="I409" s="2" t="str">
        <f t="shared" si="50"/>
        <v/>
      </c>
      <c r="J409" t="str">
        <f t="shared" si="51"/>
        <v>点击次数少于10次没有参考性</v>
      </c>
      <c r="K409" s="4" t="str">
        <f>IFERROR(INDEX(搜索词报告!$D$2:$D$22222,MATCH(关键词词频统计!A409,搜索词报告!$H$2:$H$22222,0)),"")</f>
        <v/>
      </c>
      <c r="V409" s="4" t="str">
        <f>IFERROR(INDEX(搜索词报告!$D$2:$D$22222,MATCH(关键词词频统计!L409,搜索词报告!$H$2:$H$22222,0)),"")</f>
        <v/>
      </c>
    </row>
    <row r="410" spans="2:22" x14ac:dyDescent="0.15">
      <c r="B410">
        <f t="array" ref="B410">SUM(IF(搜索词报告!$H$2:$H$22222=A410,IF(搜索词报告!$A$2:$A$22222&gt;=关键词词频统计!$A$2,IF(搜索词报告!$A$2:$A$22222&lt;=关键词词频统计!$A$4,搜索词报告!$I$2:$I$22222,0),0),0))</f>
        <v>0</v>
      </c>
      <c r="C410">
        <f t="array" ref="C410">SUM(IF(搜索词报告!$H$2:$H$22222=A410,IF(搜索词报告!$A$2:$A$22222&gt;=关键词词频统计!$A$2,IF(搜索词报告!$A$2:$A$22222&lt;=关键词词频统计!$A$4,搜索词报告!$J$2:$J$22222,0),0),0))</f>
        <v>0</v>
      </c>
      <c r="D410" s="2">
        <f t="shared" si="48"/>
        <v>0</v>
      </c>
      <c r="E410" s="2">
        <f t="shared" si="49"/>
        <v>0</v>
      </c>
      <c r="F410">
        <f t="array" ref="F410">SUM(IF(搜索词报告!$H$2:$H$22222=A410,IF(搜索词报告!$A$2:$A$22222&gt;=关键词词频统计!$A$2,IF(搜索词报告!$A$2:$A$22222&lt;=关键词词频统计!$A$4,搜索词报告!$Q$2:$Q$22222,0),0),0))</f>
        <v>0</v>
      </c>
      <c r="G410">
        <f t="array" ref="G410">SUM(IF(搜索词报告!$H$2:$H$22222=A410,IF(搜索词报告!$A$2:$A$22222&gt;=关键词词频统计!$A$2,IF(搜索词报告!$A$2:$A$22222&lt;=关键词词频统计!$A$4,搜索词报告!$N$2:$N$22222,0),0),0))</f>
        <v>0</v>
      </c>
      <c r="H410">
        <f t="array" ref="H410">SUM(IF(搜索词报告!$H$2:$H$22222=A410,IF(搜索词报告!$A$2:$A$22222&gt;=关键词词频统计!$A$2,IF(搜索词报告!$A$2:$A$22222&lt;=关键词词频统计!$A$4,搜索词报告!$M$2:$M$22222,0),0),0))</f>
        <v>0</v>
      </c>
      <c r="I410" s="2" t="str">
        <f t="shared" si="50"/>
        <v/>
      </c>
      <c r="J410" t="str">
        <f t="shared" si="51"/>
        <v>点击次数少于10次没有参考性</v>
      </c>
      <c r="K410" s="4" t="str">
        <f>IFERROR(INDEX(搜索词报告!$D$2:$D$22222,MATCH(关键词词频统计!A410,搜索词报告!$H$2:$H$22222,0)),"")</f>
        <v/>
      </c>
      <c r="V410" s="4" t="str">
        <f>IFERROR(INDEX(搜索词报告!$D$2:$D$22222,MATCH(关键词词频统计!L410,搜索词报告!$H$2:$H$22222,0)),"")</f>
        <v/>
      </c>
    </row>
    <row r="411" spans="2:22" x14ac:dyDescent="0.15">
      <c r="B411">
        <f t="array" ref="B411">SUM(IF(搜索词报告!$H$2:$H$22222=A411,IF(搜索词报告!$A$2:$A$22222&gt;=关键词词频统计!$A$2,IF(搜索词报告!$A$2:$A$22222&lt;=关键词词频统计!$A$4,搜索词报告!$I$2:$I$22222,0),0),0))</f>
        <v>0</v>
      </c>
      <c r="C411">
        <f t="array" ref="C411">SUM(IF(搜索词报告!$H$2:$H$22222=A411,IF(搜索词报告!$A$2:$A$22222&gt;=关键词词频统计!$A$2,IF(搜索词报告!$A$2:$A$22222&lt;=关键词词频统计!$A$4,搜索词报告!$J$2:$J$22222,0),0),0))</f>
        <v>0</v>
      </c>
      <c r="D411" s="2">
        <f t="shared" si="48"/>
        <v>0</v>
      </c>
      <c r="E411" s="2">
        <f t="shared" si="49"/>
        <v>0</v>
      </c>
      <c r="F411">
        <f t="array" ref="F411">SUM(IF(搜索词报告!$H$2:$H$22222=A411,IF(搜索词报告!$A$2:$A$22222&gt;=关键词词频统计!$A$2,IF(搜索词报告!$A$2:$A$22222&lt;=关键词词频统计!$A$4,搜索词报告!$Q$2:$Q$22222,0),0),0))</f>
        <v>0</v>
      </c>
      <c r="G411">
        <f t="array" ref="G411">SUM(IF(搜索词报告!$H$2:$H$22222=A411,IF(搜索词报告!$A$2:$A$22222&gt;=关键词词频统计!$A$2,IF(搜索词报告!$A$2:$A$22222&lt;=关键词词频统计!$A$4,搜索词报告!$N$2:$N$22222,0),0),0))</f>
        <v>0</v>
      </c>
      <c r="H411">
        <f t="array" ref="H411">SUM(IF(搜索词报告!$H$2:$H$22222=A411,IF(搜索词报告!$A$2:$A$22222&gt;=关键词词频统计!$A$2,IF(搜索词报告!$A$2:$A$22222&lt;=关键词词频统计!$A$4,搜索词报告!$M$2:$M$22222,0),0),0))</f>
        <v>0</v>
      </c>
      <c r="I411" s="2" t="str">
        <f t="shared" si="50"/>
        <v/>
      </c>
      <c r="J411" t="str">
        <f t="shared" si="51"/>
        <v>点击次数少于10次没有参考性</v>
      </c>
      <c r="K411" s="4" t="str">
        <f>IFERROR(INDEX(搜索词报告!$D$2:$D$22222,MATCH(关键词词频统计!A411,搜索词报告!$H$2:$H$22222,0)),"")</f>
        <v/>
      </c>
      <c r="V411" s="4" t="str">
        <f>IFERROR(INDEX(搜索词报告!$D$2:$D$22222,MATCH(关键词词频统计!L411,搜索词报告!$H$2:$H$22222,0)),"")</f>
        <v/>
      </c>
    </row>
    <row r="412" spans="2:22" x14ac:dyDescent="0.15">
      <c r="B412">
        <f t="array" ref="B412">SUM(IF(搜索词报告!$H$2:$H$22222=A412,IF(搜索词报告!$A$2:$A$22222&gt;=关键词词频统计!$A$2,IF(搜索词报告!$A$2:$A$22222&lt;=关键词词频统计!$A$4,搜索词报告!$I$2:$I$22222,0),0),0))</f>
        <v>0</v>
      </c>
      <c r="C412">
        <f t="array" ref="C412">SUM(IF(搜索词报告!$H$2:$H$22222=A412,IF(搜索词报告!$A$2:$A$22222&gt;=关键词词频统计!$A$2,IF(搜索词报告!$A$2:$A$22222&lt;=关键词词频统计!$A$4,搜索词报告!$J$2:$J$22222,0),0),0))</f>
        <v>0</v>
      </c>
      <c r="D412" s="2">
        <f t="shared" si="48"/>
        <v>0</v>
      </c>
      <c r="E412" s="2">
        <f t="shared" si="49"/>
        <v>0</v>
      </c>
      <c r="F412">
        <f t="array" ref="F412">SUM(IF(搜索词报告!$H$2:$H$22222=A412,IF(搜索词报告!$A$2:$A$22222&gt;=关键词词频统计!$A$2,IF(搜索词报告!$A$2:$A$22222&lt;=关键词词频统计!$A$4,搜索词报告!$Q$2:$Q$22222,0),0),0))</f>
        <v>0</v>
      </c>
      <c r="G412">
        <f t="array" ref="G412">SUM(IF(搜索词报告!$H$2:$H$22222=A412,IF(搜索词报告!$A$2:$A$22222&gt;=关键词词频统计!$A$2,IF(搜索词报告!$A$2:$A$22222&lt;=关键词词频统计!$A$4,搜索词报告!$N$2:$N$22222,0),0),0))</f>
        <v>0</v>
      </c>
      <c r="H412">
        <f t="array" ref="H412">SUM(IF(搜索词报告!$H$2:$H$22222=A412,IF(搜索词报告!$A$2:$A$22222&gt;=关键词词频统计!$A$2,IF(搜索词报告!$A$2:$A$22222&lt;=关键词词频统计!$A$4,搜索词报告!$M$2:$M$22222,0),0),0))</f>
        <v>0</v>
      </c>
      <c r="I412" s="2" t="str">
        <f t="shared" si="50"/>
        <v/>
      </c>
      <c r="J412" t="str">
        <f t="shared" si="51"/>
        <v>点击次数少于10次没有参考性</v>
      </c>
      <c r="K412" s="4" t="str">
        <f>IFERROR(INDEX(搜索词报告!$D$2:$D$22222,MATCH(关键词词频统计!A412,搜索词报告!$H$2:$H$22222,0)),"")</f>
        <v/>
      </c>
      <c r="V412" s="4" t="str">
        <f>IFERROR(INDEX(搜索词报告!$D$2:$D$22222,MATCH(关键词词频统计!L412,搜索词报告!$H$2:$H$22222,0)),"")</f>
        <v/>
      </c>
    </row>
    <row r="413" spans="2:22" x14ac:dyDescent="0.15">
      <c r="B413">
        <f t="array" ref="B413">SUM(IF(搜索词报告!$H$2:$H$22222=A413,IF(搜索词报告!$A$2:$A$22222&gt;=关键词词频统计!$A$2,IF(搜索词报告!$A$2:$A$22222&lt;=关键词词频统计!$A$4,搜索词报告!$I$2:$I$22222,0),0),0))</f>
        <v>0</v>
      </c>
      <c r="C413">
        <f t="array" ref="C413">SUM(IF(搜索词报告!$H$2:$H$22222=A413,IF(搜索词报告!$A$2:$A$22222&gt;=关键词词频统计!$A$2,IF(搜索词报告!$A$2:$A$22222&lt;=关键词词频统计!$A$4,搜索词报告!$J$2:$J$22222,0),0),0))</f>
        <v>0</v>
      </c>
      <c r="D413" s="2">
        <f t="shared" si="48"/>
        <v>0</v>
      </c>
      <c r="E413" s="2">
        <f t="shared" si="49"/>
        <v>0</v>
      </c>
      <c r="F413">
        <f t="array" ref="F413">SUM(IF(搜索词报告!$H$2:$H$22222=A413,IF(搜索词报告!$A$2:$A$22222&gt;=关键词词频统计!$A$2,IF(搜索词报告!$A$2:$A$22222&lt;=关键词词频统计!$A$4,搜索词报告!$Q$2:$Q$22222,0),0),0))</f>
        <v>0</v>
      </c>
      <c r="G413">
        <f t="array" ref="G413">SUM(IF(搜索词报告!$H$2:$H$22222=A413,IF(搜索词报告!$A$2:$A$22222&gt;=关键词词频统计!$A$2,IF(搜索词报告!$A$2:$A$22222&lt;=关键词词频统计!$A$4,搜索词报告!$N$2:$N$22222,0),0),0))</f>
        <v>0</v>
      </c>
      <c r="H413">
        <f t="array" ref="H413">SUM(IF(搜索词报告!$H$2:$H$22222=A413,IF(搜索词报告!$A$2:$A$22222&gt;=关键词词频统计!$A$2,IF(搜索词报告!$A$2:$A$22222&lt;=关键词词频统计!$A$4,搜索词报告!$M$2:$M$22222,0),0),0))</f>
        <v>0</v>
      </c>
      <c r="I413" s="2" t="str">
        <f t="shared" si="50"/>
        <v/>
      </c>
      <c r="J413" t="str">
        <f t="shared" si="51"/>
        <v>点击次数少于10次没有参考性</v>
      </c>
      <c r="K413" s="4" t="str">
        <f>IFERROR(INDEX(搜索词报告!$D$2:$D$22222,MATCH(关键词词频统计!A413,搜索词报告!$H$2:$H$22222,0)),"")</f>
        <v/>
      </c>
      <c r="V413" s="4" t="str">
        <f>IFERROR(INDEX(搜索词报告!$D$2:$D$22222,MATCH(关键词词频统计!L413,搜索词报告!$H$2:$H$22222,0)),"")</f>
        <v/>
      </c>
    </row>
    <row r="414" spans="2:22" x14ac:dyDescent="0.15">
      <c r="B414">
        <f t="array" ref="B414">SUM(IF(搜索词报告!$H$2:$H$22222=A414,IF(搜索词报告!$A$2:$A$22222&gt;=关键词词频统计!$A$2,IF(搜索词报告!$A$2:$A$22222&lt;=关键词词频统计!$A$4,搜索词报告!$I$2:$I$22222,0),0),0))</f>
        <v>0</v>
      </c>
      <c r="C414">
        <f t="array" ref="C414">SUM(IF(搜索词报告!$H$2:$H$22222=A414,IF(搜索词报告!$A$2:$A$22222&gt;=关键词词频统计!$A$2,IF(搜索词报告!$A$2:$A$22222&lt;=关键词词频统计!$A$4,搜索词报告!$J$2:$J$22222,0),0),0))</f>
        <v>0</v>
      </c>
      <c r="D414" s="2">
        <f t="shared" si="48"/>
        <v>0</v>
      </c>
      <c r="E414" s="2">
        <f t="shared" si="49"/>
        <v>0</v>
      </c>
      <c r="F414">
        <f t="array" ref="F414">SUM(IF(搜索词报告!$H$2:$H$22222=A414,IF(搜索词报告!$A$2:$A$22222&gt;=关键词词频统计!$A$2,IF(搜索词报告!$A$2:$A$22222&lt;=关键词词频统计!$A$4,搜索词报告!$Q$2:$Q$22222,0),0),0))</f>
        <v>0</v>
      </c>
      <c r="G414">
        <f t="array" ref="G414">SUM(IF(搜索词报告!$H$2:$H$22222=A414,IF(搜索词报告!$A$2:$A$22222&gt;=关键词词频统计!$A$2,IF(搜索词报告!$A$2:$A$22222&lt;=关键词词频统计!$A$4,搜索词报告!$N$2:$N$22222,0),0),0))</f>
        <v>0</v>
      </c>
      <c r="H414">
        <f t="array" ref="H414">SUM(IF(搜索词报告!$H$2:$H$22222=A414,IF(搜索词报告!$A$2:$A$22222&gt;=关键词词频统计!$A$2,IF(搜索词报告!$A$2:$A$22222&lt;=关键词词频统计!$A$4,搜索词报告!$M$2:$M$22222,0),0),0))</f>
        <v>0</v>
      </c>
      <c r="I414" s="2" t="str">
        <f t="shared" si="50"/>
        <v/>
      </c>
      <c r="J414" t="str">
        <f t="shared" si="51"/>
        <v>点击次数少于10次没有参考性</v>
      </c>
      <c r="K414" s="4" t="str">
        <f>IFERROR(INDEX(搜索词报告!$D$2:$D$22222,MATCH(关键词词频统计!A414,搜索词报告!$H$2:$H$22222,0)),"")</f>
        <v/>
      </c>
      <c r="V414" s="4" t="str">
        <f>IFERROR(INDEX(搜索词报告!$D$2:$D$22222,MATCH(关键词词频统计!L414,搜索词报告!$H$2:$H$22222,0)),"")</f>
        <v/>
      </c>
    </row>
    <row r="415" spans="2:22" x14ac:dyDescent="0.15">
      <c r="B415">
        <f t="array" ref="B415">SUM(IF(搜索词报告!$H$2:$H$22222=A415,IF(搜索词报告!$A$2:$A$22222&gt;=关键词词频统计!$A$2,IF(搜索词报告!$A$2:$A$22222&lt;=关键词词频统计!$A$4,搜索词报告!$I$2:$I$22222,0),0),0))</f>
        <v>0</v>
      </c>
      <c r="C415">
        <f t="array" ref="C415">SUM(IF(搜索词报告!$H$2:$H$22222=A415,IF(搜索词报告!$A$2:$A$22222&gt;=关键词词频统计!$A$2,IF(搜索词报告!$A$2:$A$22222&lt;=关键词词频统计!$A$4,搜索词报告!$J$2:$J$22222,0),0),0))</f>
        <v>0</v>
      </c>
      <c r="D415" s="2">
        <f t="shared" si="48"/>
        <v>0</v>
      </c>
      <c r="E415" s="2">
        <f t="shared" si="49"/>
        <v>0</v>
      </c>
      <c r="F415">
        <f t="array" ref="F415">SUM(IF(搜索词报告!$H$2:$H$22222=A415,IF(搜索词报告!$A$2:$A$22222&gt;=关键词词频统计!$A$2,IF(搜索词报告!$A$2:$A$22222&lt;=关键词词频统计!$A$4,搜索词报告!$Q$2:$Q$22222,0),0),0))</f>
        <v>0</v>
      </c>
      <c r="G415">
        <f t="array" ref="G415">SUM(IF(搜索词报告!$H$2:$H$22222=A415,IF(搜索词报告!$A$2:$A$22222&gt;=关键词词频统计!$A$2,IF(搜索词报告!$A$2:$A$22222&lt;=关键词词频统计!$A$4,搜索词报告!$N$2:$N$22222,0),0),0))</f>
        <v>0</v>
      </c>
      <c r="H415">
        <f t="array" ref="H415">SUM(IF(搜索词报告!$H$2:$H$22222=A415,IF(搜索词报告!$A$2:$A$22222&gt;=关键词词频统计!$A$2,IF(搜索词报告!$A$2:$A$22222&lt;=关键词词频统计!$A$4,搜索词报告!$M$2:$M$22222,0),0),0))</f>
        <v>0</v>
      </c>
      <c r="I415" s="2" t="str">
        <f t="shared" si="50"/>
        <v/>
      </c>
      <c r="J415" t="str">
        <f t="shared" si="51"/>
        <v>点击次数少于10次没有参考性</v>
      </c>
      <c r="K415" s="4" t="str">
        <f>IFERROR(INDEX(搜索词报告!$D$2:$D$22222,MATCH(关键词词频统计!A415,搜索词报告!$H$2:$H$22222,0)),"")</f>
        <v/>
      </c>
      <c r="V415" s="4" t="str">
        <f>IFERROR(INDEX(搜索词报告!$D$2:$D$22222,MATCH(关键词词频统计!L415,搜索词报告!$H$2:$H$22222,0)),"")</f>
        <v/>
      </c>
    </row>
    <row r="416" spans="2:22" x14ac:dyDescent="0.15">
      <c r="B416">
        <f t="array" ref="B416">SUM(IF(搜索词报告!$H$2:$H$22222=A416,IF(搜索词报告!$A$2:$A$22222&gt;=关键词词频统计!$A$2,IF(搜索词报告!$A$2:$A$22222&lt;=关键词词频统计!$A$4,搜索词报告!$I$2:$I$22222,0),0),0))</f>
        <v>0</v>
      </c>
      <c r="C416">
        <f t="array" ref="C416">SUM(IF(搜索词报告!$H$2:$H$22222=A416,IF(搜索词报告!$A$2:$A$22222&gt;=关键词词频统计!$A$2,IF(搜索词报告!$A$2:$A$22222&lt;=关键词词频统计!$A$4,搜索词报告!$J$2:$J$22222,0),0),0))</f>
        <v>0</v>
      </c>
      <c r="D416" s="2">
        <f t="shared" si="48"/>
        <v>0</v>
      </c>
      <c r="E416" s="2">
        <f t="shared" si="49"/>
        <v>0</v>
      </c>
      <c r="F416">
        <f t="array" ref="F416">SUM(IF(搜索词报告!$H$2:$H$22222=A416,IF(搜索词报告!$A$2:$A$22222&gt;=关键词词频统计!$A$2,IF(搜索词报告!$A$2:$A$22222&lt;=关键词词频统计!$A$4,搜索词报告!$Q$2:$Q$22222,0),0),0))</f>
        <v>0</v>
      </c>
      <c r="G416">
        <f t="array" ref="G416">SUM(IF(搜索词报告!$H$2:$H$22222=A416,IF(搜索词报告!$A$2:$A$22222&gt;=关键词词频统计!$A$2,IF(搜索词报告!$A$2:$A$22222&lt;=关键词词频统计!$A$4,搜索词报告!$N$2:$N$22222,0),0),0))</f>
        <v>0</v>
      </c>
      <c r="H416">
        <f t="array" ref="H416">SUM(IF(搜索词报告!$H$2:$H$22222=A416,IF(搜索词报告!$A$2:$A$22222&gt;=关键词词频统计!$A$2,IF(搜索词报告!$A$2:$A$22222&lt;=关键词词频统计!$A$4,搜索词报告!$M$2:$M$22222,0),0),0))</f>
        <v>0</v>
      </c>
      <c r="I416" s="2" t="str">
        <f t="shared" si="50"/>
        <v/>
      </c>
      <c r="J416" t="str">
        <f t="shared" si="51"/>
        <v>点击次数少于10次没有参考性</v>
      </c>
      <c r="K416" s="4" t="str">
        <f>IFERROR(INDEX(搜索词报告!$D$2:$D$22222,MATCH(关键词词频统计!A416,搜索词报告!$H$2:$H$22222,0)),"")</f>
        <v/>
      </c>
      <c r="V416" s="4" t="str">
        <f>IFERROR(INDEX(搜索词报告!$D$2:$D$22222,MATCH(关键词词频统计!L416,搜索词报告!$H$2:$H$22222,0)),"")</f>
        <v/>
      </c>
    </row>
    <row r="417" spans="2:22" x14ac:dyDescent="0.15">
      <c r="B417">
        <f t="array" ref="B417">SUM(IF(搜索词报告!$H$2:$H$22222=A417,IF(搜索词报告!$A$2:$A$22222&gt;=关键词词频统计!$A$2,IF(搜索词报告!$A$2:$A$22222&lt;=关键词词频统计!$A$4,搜索词报告!$I$2:$I$22222,0),0),0))</f>
        <v>0</v>
      </c>
      <c r="C417">
        <f t="array" ref="C417">SUM(IF(搜索词报告!$H$2:$H$22222=A417,IF(搜索词报告!$A$2:$A$22222&gt;=关键词词频统计!$A$2,IF(搜索词报告!$A$2:$A$22222&lt;=关键词词频统计!$A$4,搜索词报告!$J$2:$J$22222,0),0),0))</f>
        <v>0</v>
      </c>
      <c r="D417" s="2">
        <f t="shared" si="48"/>
        <v>0</v>
      </c>
      <c r="E417" s="2">
        <f t="shared" si="49"/>
        <v>0</v>
      </c>
      <c r="F417">
        <f t="array" ref="F417">SUM(IF(搜索词报告!$H$2:$H$22222=A417,IF(搜索词报告!$A$2:$A$22222&gt;=关键词词频统计!$A$2,IF(搜索词报告!$A$2:$A$22222&lt;=关键词词频统计!$A$4,搜索词报告!$Q$2:$Q$22222,0),0),0))</f>
        <v>0</v>
      </c>
      <c r="G417">
        <f t="array" ref="G417">SUM(IF(搜索词报告!$H$2:$H$22222=A417,IF(搜索词报告!$A$2:$A$22222&gt;=关键词词频统计!$A$2,IF(搜索词报告!$A$2:$A$22222&lt;=关键词词频统计!$A$4,搜索词报告!$N$2:$N$22222,0),0),0))</f>
        <v>0</v>
      </c>
      <c r="H417">
        <f t="array" ref="H417">SUM(IF(搜索词报告!$H$2:$H$22222=A417,IF(搜索词报告!$A$2:$A$22222&gt;=关键词词频统计!$A$2,IF(搜索词报告!$A$2:$A$22222&lt;=关键词词频统计!$A$4,搜索词报告!$M$2:$M$22222,0),0),0))</f>
        <v>0</v>
      </c>
      <c r="I417" s="2" t="str">
        <f t="shared" si="50"/>
        <v/>
      </c>
      <c r="J417" t="str">
        <f t="shared" si="51"/>
        <v>点击次数少于10次没有参考性</v>
      </c>
      <c r="K417" s="4" t="str">
        <f>IFERROR(INDEX(搜索词报告!$D$2:$D$22222,MATCH(关键词词频统计!A417,搜索词报告!$H$2:$H$22222,0)),"")</f>
        <v/>
      </c>
      <c r="V417" s="4" t="str">
        <f>IFERROR(INDEX(搜索词报告!$D$2:$D$22222,MATCH(关键词词频统计!L417,搜索词报告!$H$2:$H$22222,0)),"")</f>
        <v/>
      </c>
    </row>
    <row r="418" spans="2:22" x14ac:dyDescent="0.15">
      <c r="B418">
        <f t="array" ref="B418">SUM(IF(搜索词报告!$H$2:$H$22222=A418,IF(搜索词报告!$A$2:$A$22222&gt;=关键词词频统计!$A$2,IF(搜索词报告!$A$2:$A$22222&lt;=关键词词频统计!$A$4,搜索词报告!$I$2:$I$22222,0),0),0))</f>
        <v>0</v>
      </c>
      <c r="C418">
        <f t="array" ref="C418">SUM(IF(搜索词报告!$H$2:$H$22222=A418,IF(搜索词报告!$A$2:$A$22222&gt;=关键词词频统计!$A$2,IF(搜索词报告!$A$2:$A$22222&lt;=关键词词频统计!$A$4,搜索词报告!$J$2:$J$22222,0),0),0))</f>
        <v>0</v>
      </c>
      <c r="D418" s="2">
        <f t="shared" si="48"/>
        <v>0</v>
      </c>
      <c r="E418" s="2">
        <f t="shared" si="49"/>
        <v>0</v>
      </c>
      <c r="F418">
        <f t="array" ref="F418">SUM(IF(搜索词报告!$H$2:$H$22222=A418,IF(搜索词报告!$A$2:$A$22222&gt;=关键词词频统计!$A$2,IF(搜索词报告!$A$2:$A$22222&lt;=关键词词频统计!$A$4,搜索词报告!$Q$2:$Q$22222,0),0),0))</f>
        <v>0</v>
      </c>
      <c r="G418">
        <f t="array" ref="G418">SUM(IF(搜索词报告!$H$2:$H$22222=A418,IF(搜索词报告!$A$2:$A$22222&gt;=关键词词频统计!$A$2,IF(搜索词报告!$A$2:$A$22222&lt;=关键词词频统计!$A$4,搜索词报告!$N$2:$N$22222,0),0),0))</f>
        <v>0</v>
      </c>
      <c r="H418">
        <f t="array" ref="H418">SUM(IF(搜索词报告!$H$2:$H$22222=A418,IF(搜索词报告!$A$2:$A$22222&gt;=关键词词频统计!$A$2,IF(搜索词报告!$A$2:$A$22222&lt;=关键词词频统计!$A$4,搜索词报告!$M$2:$M$22222,0),0),0))</f>
        <v>0</v>
      </c>
      <c r="I418" s="2" t="str">
        <f t="shared" si="50"/>
        <v/>
      </c>
      <c r="J418" t="str">
        <f t="shared" si="51"/>
        <v>点击次数少于10次没有参考性</v>
      </c>
      <c r="K418" s="4" t="str">
        <f>IFERROR(INDEX(搜索词报告!$D$2:$D$22222,MATCH(关键词词频统计!A418,搜索词报告!$H$2:$H$22222,0)),"")</f>
        <v/>
      </c>
      <c r="V418" s="4" t="str">
        <f>IFERROR(INDEX(搜索词报告!$D$2:$D$22222,MATCH(关键词词频统计!L418,搜索词报告!$H$2:$H$22222,0)),"")</f>
        <v/>
      </c>
    </row>
    <row r="419" spans="2:22" x14ac:dyDescent="0.15">
      <c r="B419">
        <f t="array" ref="B419">SUM(IF(搜索词报告!$H$2:$H$22222=A419,IF(搜索词报告!$A$2:$A$22222&gt;=关键词词频统计!$A$2,IF(搜索词报告!$A$2:$A$22222&lt;=关键词词频统计!$A$4,搜索词报告!$I$2:$I$22222,0),0),0))</f>
        <v>0</v>
      </c>
      <c r="C419">
        <f t="array" ref="C419">SUM(IF(搜索词报告!$H$2:$H$22222=A419,IF(搜索词报告!$A$2:$A$22222&gt;=关键词词频统计!$A$2,IF(搜索词报告!$A$2:$A$22222&lt;=关键词词频统计!$A$4,搜索词报告!$J$2:$J$22222,0),0),0))</f>
        <v>0</v>
      </c>
      <c r="D419" s="2">
        <f t="shared" si="48"/>
        <v>0</v>
      </c>
      <c r="E419" s="2">
        <f t="shared" si="49"/>
        <v>0</v>
      </c>
      <c r="F419">
        <f t="array" ref="F419">SUM(IF(搜索词报告!$H$2:$H$22222=A419,IF(搜索词报告!$A$2:$A$22222&gt;=关键词词频统计!$A$2,IF(搜索词报告!$A$2:$A$22222&lt;=关键词词频统计!$A$4,搜索词报告!$Q$2:$Q$22222,0),0),0))</f>
        <v>0</v>
      </c>
      <c r="G419">
        <f t="array" ref="G419">SUM(IF(搜索词报告!$H$2:$H$22222=A419,IF(搜索词报告!$A$2:$A$22222&gt;=关键词词频统计!$A$2,IF(搜索词报告!$A$2:$A$22222&lt;=关键词词频统计!$A$4,搜索词报告!$N$2:$N$22222,0),0),0))</f>
        <v>0</v>
      </c>
      <c r="H419">
        <f t="array" ref="H419">SUM(IF(搜索词报告!$H$2:$H$22222=A419,IF(搜索词报告!$A$2:$A$22222&gt;=关键词词频统计!$A$2,IF(搜索词报告!$A$2:$A$22222&lt;=关键词词频统计!$A$4,搜索词报告!$M$2:$M$22222,0),0),0))</f>
        <v>0</v>
      </c>
      <c r="I419" s="2" t="str">
        <f t="shared" si="50"/>
        <v/>
      </c>
      <c r="J419" t="str">
        <f t="shared" si="51"/>
        <v>点击次数少于10次没有参考性</v>
      </c>
      <c r="K419" s="4" t="str">
        <f>IFERROR(INDEX(搜索词报告!$D$2:$D$22222,MATCH(关键词词频统计!A419,搜索词报告!$H$2:$H$22222,0)),"")</f>
        <v/>
      </c>
      <c r="V419" s="4" t="str">
        <f>IFERROR(INDEX(搜索词报告!$D$2:$D$22222,MATCH(关键词词频统计!L419,搜索词报告!$H$2:$H$22222,0)),"")</f>
        <v/>
      </c>
    </row>
    <row r="420" spans="2:22" x14ac:dyDescent="0.15">
      <c r="B420">
        <f t="array" ref="B420">SUM(IF(搜索词报告!$H$2:$H$22222=A420,IF(搜索词报告!$A$2:$A$22222&gt;=关键词词频统计!$A$2,IF(搜索词报告!$A$2:$A$22222&lt;=关键词词频统计!$A$4,搜索词报告!$I$2:$I$22222,0),0),0))</f>
        <v>0</v>
      </c>
      <c r="C420">
        <f t="array" ref="C420">SUM(IF(搜索词报告!$H$2:$H$22222=A420,IF(搜索词报告!$A$2:$A$22222&gt;=关键词词频统计!$A$2,IF(搜索词报告!$A$2:$A$22222&lt;=关键词词频统计!$A$4,搜索词报告!$J$2:$J$22222,0),0),0))</f>
        <v>0</v>
      </c>
      <c r="D420" s="2">
        <f t="shared" si="48"/>
        <v>0</v>
      </c>
      <c r="E420" s="2">
        <f t="shared" si="49"/>
        <v>0</v>
      </c>
      <c r="F420">
        <f t="array" ref="F420">SUM(IF(搜索词报告!$H$2:$H$22222=A420,IF(搜索词报告!$A$2:$A$22222&gt;=关键词词频统计!$A$2,IF(搜索词报告!$A$2:$A$22222&lt;=关键词词频统计!$A$4,搜索词报告!$Q$2:$Q$22222,0),0),0))</f>
        <v>0</v>
      </c>
      <c r="G420">
        <f t="array" ref="G420">SUM(IF(搜索词报告!$H$2:$H$22222=A420,IF(搜索词报告!$A$2:$A$22222&gt;=关键词词频统计!$A$2,IF(搜索词报告!$A$2:$A$22222&lt;=关键词词频统计!$A$4,搜索词报告!$N$2:$N$22222,0),0),0))</f>
        <v>0</v>
      </c>
      <c r="H420">
        <f t="array" ref="H420">SUM(IF(搜索词报告!$H$2:$H$22222=A420,IF(搜索词报告!$A$2:$A$22222&gt;=关键词词频统计!$A$2,IF(搜索词报告!$A$2:$A$22222&lt;=关键词词频统计!$A$4,搜索词报告!$M$2:$M$22222,0),0),0))</f>
        <v>0</v>
      </c>
      <c r="I420" s="2" t="str">
        <f t="shared" si="50"/>
        <v/>
      </c>
      <c r="J420" t="str">
        <f t="shared" si="51"/>
        <v>点击次数少于10次没有参考性</v>
      </c>
      <c r="K420" s="4" t="str">
        <f>IFERROR(INDEX(搜索词报告!$D$2:$D$22222,MATCH(关键词词频统计!A420,搜索词报告!$H$2:$H$22222,0)),"")</f>
        <v/>
      </c>
      <c r="V420" s="4" t="str">
        <f>IFERROR(INDEX(搜索词报告!$D$2:$D$22222,MATCH(关键词词频统计!L420,搜索词报告!$H$2:$H$22222,0)),"")</f>
        <v/>
      </c>
    </row>
    <row r="421" spans="2:22" x14ac:dyDescent="0.15">
      <c r="B421">
        <f t="array" ref="B421">SUM(IF(搜索词报告!$H$2:$H$22222=A421,IF(搜索词报告!$A$2:$A$22222&gt;=关键词词频统计!$A$2,IF(搜索词报告!$A$2:$A$22222&lt;=关键词词频统计!$A$4,搜索词报告!$I$2:$I$22222,0),0),0))</f>
        <v>0</v>
      </c>
      <c r="C421">
        <f t="array" ref="C421">SUM(IF(搜索词报告!$H$2:$H$22222=A421,IF(搜索词报告!$A$2:$A$22222&gt;=关键词词频统计!$A$2,IF(搜索词报告!$A$2:$A$22222&lt;=关键词词频统计!$A$4,搜索词报告!$J$2:$J$22222,0),0),0))</f>
        <v>0</v>
      </c>
      <c r="D421" s="2">
        <f t="shared" si="48"/>
        <v>0</v>
      </c>
      <c r="E421" s="2">
        <f t="shared" si="49"/>
        <v>0</v>
      </c>
      <c r="F421">
        <f t="array" ref="F421">SUM(IF(搜索词报告!$H$2:$H$22222=A421,IF(搜索词报告!$A$2:$A$22222&gt;=关键词词频统计!$A$2,IF(搜索词报告!$A$2:$A$22222&lt;=关键词词频统计!$A$4,搜索词报告!$Q$2:$Q$22222,0),0),0))</f>
        <v>0</v>
      </c>
      <c r="G421">
        <f t="array" ref="G421">SUM(IF(搜索词报告!$H$2:$H$22222=A421,IF(搜索词报告!$A$2:$A$22222&gt;=关键词词频统计!$A$2,IF(搜索词报告!$A$2:$A$22222&lt;=关键词词频统计!$A$4,搜索词报告!$N$2:$N$22222,0),0),0))</f>
        <v>0</v>
      </c>
      <c r="H421">
        <f t="array" ref="H421">SUM(IF(搜索词报告!$H$2:$H$22222=A421,IF(搜索词报告!$A$2:$A$22222&gt;=关键词词频统计!$A$2,IF(搜索词报告!$A$2:$A$22222&lt;=关键词词频统计!$A$4,搜索词报告!$M$2:$M$22222,0),0),0))</f>
        <v>0</v>
      </c>
      <c r="I421" s="2" t="str">
        <f t="shared" si="50"/>
        <v/>
      </c>
      <c r="J421" t="str">
        <f t="shared" si="51"/>
        <v>点击次数少于10次没有参考性</v>
      </c>
      <c r="K421" s="4" t="str">
        <f>IFERROR(INDEX(搜索词报告!$D$2:$D$22222,MATCH(关键词词频统计!A421,搜索词报告!$H$2:$H$22222,0)),"")</f>
        <v/>
      </c>
      <c r="V421" s="4" t="str">
        <f>IFERROR(INDEX(搜索词报告!$D$2:$D$22222,MATCH(关键词词频统计!L421,搜索词报告!$H$2:$H$22222,0)),"")</f>
        <v/>
      </c>
    </row>
    <row r="422" spans="2:22" x14ac:dyDescent="0.15">
      <c r="B422">
        <f t="array" ref="B422">SUM(IF(搜索词报告!$H$2:$H$22222=A422,IF(搜索词报告!$A$2:$A$22222&gt;=关键词词频统计!$A$2,IF(搜索词报告!$A$2:$A$22222&lt;=关键词词频统计!$A$4,搜索词报告!$I$2:$I$22222,0),0),0))</f>
        <v>0</v>
      </c>
      <c r="C422">
        <f t="array" ref="C422">SUM(IF(搜索词报告!$H$2:$H$22222=A422,IF(搜索词报告!$A$2:$A$22222&gt;=关键词词频统计!$A$2,IF(搜索词报告!$A$2:$A$22222&lt;=关键词词频统计!$A$4,搜索词报告!$J$2:$J$22222,0),0),0))</f>
        <v>0</v>
      </c>
      <c r="D422" s="2">
        <f t="shared" si="48"/>
        <v>0</v>
      </c>
      <c r="E422" s="2">
        <f t="shared" si="49"/>
        <v>0</v>
      </c>
      <c r="F422">
        <f t="array" ref="F422">SUM(IF(搜索词报告!$H$2:$H$22222=A422,IF(搜索词报告!$A$2:$A$22222&gt;=关键词词频统计!$A$2,IF(搜索词报告!$A$2:$A$22222&lt;=关键词词频统计!$A$4,搜索词报告!$Q$2:$Q$22222,0),0),0))</f>
        <v>0</v>
      </c>
      <c r="G422">
        <f t="array" ref="G422">SUM(IF(搜索词报告!$H$2:$H$22222=A422,IF(搜索词报告!$A$2:$A$22222&gt;=关键词词频统计!$A$2,IF(搜索词报告!$A$2:$A$22222&lt;=关键词词频统计!$A$4,搜索词报告!$N$2:$N$22222,0),0),0))</f>
        <v>0</v>
      </c>
      <c r="H422">
        <f t="array" ref="H422">SUM(IF(搜索词报告!$H$2:$H$22222=A422,IF(搜索词报告!$A$2:$A$22222&gt;=关键词词频统计!$A$2,IF(搜索词报告!$A$2:$A$22222&lt;=关键词词频统计!$A$4,搜索词报告!$M$2:$M$22222,0),0),0))</f>
        <v>0</v>
      </c>
      <c r="I422" s="2" t="str">
        <f t="shared" si="50"/>
        <v/>
      </c>
      <c r="J422" t="str">
        <f t="shared" si="51"/>
        <v>点击次数少于10次没有参考性</v>
      </c>
      <c r="K422" s="4" t="str">
        <f>IFERROR(INDEX(搜索词报告!$D$2:$D$22222,MATCH(关键词词频统计!A422,搜索词报告!$H$2:$H$22222,0)),"")</f>
        <v/>
      </c>
      <c r="V422" s="4" t="str">
        <f>IFERROR(INDEX(搜索词报告!$D$2:$D$22222,MATCH(关键词词频统计!L422,搜索词报告!$H$2:$H$22222,0)),"")</f>
        <v/>
      </c>
    </row>
    <row r="423" spans="2:22" x14ac:dyDescent="0.15">
      <c r="B423">
        <f t="array" ref="B423">SUM(IF(搜索词报告!$H$2:$H$22222=A423,IF(搜索词报告!$A$2:$A$22222&gt;=关键词词频统计!$A$2,IF(搜索词报告!$A$2:$A$22222&lt;=关键词词频统计!$A$4,搜索词报告!$I$2:$I$22222,0),0),0))</f>
        <v>0</v>
      </c>
      <c r="C423">
        <f t="array" ref="C423">SUM(IF(搜索词报告!$H$2:$H$22222=A423,IF(搜索词报告!$A$2:$A$22222&gt;=关键词词频统计!$A$2,IF(搜索词报告!$A$2:$A$22222&lt;=关键词词频统计!$A$4,搜索词报告!$J$2:$J$22222,0),0),0))</f>
        <v>0</v>
      </c>
      <c r="D423" s="2">
        <f t="shared" si="48"/>
        <v>0</v>
      </c>
      <c r="E423" s="2">
        <f t="shared" si="49"/>
        <v>0</v>
      </c>
      <c r="F423">
        <f t="array" ref="F423">SUM(IF(搜索词报告!$H$2:$H$22222=A423,IF(搜索词报告!$A$2:$A$22222&gt;=关键词词频统计!$A$2,IF(搜索词报告!$A$2:$A$22222&lt;=关键词词频统计!$A$4,搜索词报告!$Q$2:$Q$22222,0),0),0))</f>
        <v>0</v>
      </c>
      <c r="G423">
        <f t="array" ref="G423">SUM(IF(搜索词报告!$H$2:$H$22222=A423,IF(搜索词报告!$A$2:$A$22222&gt;=关键词词频统计!$A$2,IF(搜索词报告!$A$2:$A$22222&lt;=关键词词频统计!$A$4,搜索词报告!$N$2:$N$22222,0),0),0))</f>
        <v>0</v>
      </c>
      <c r="H423">
        <f t="array" ref="H423">SUM(IF(搜索词报告!$H$2:$H$22222=A423,IF(搜索词报告!$A$2:$A$22222&gt;=关键词词频统计!$A$2,IF(搜索词报告!$A$2:$A$22222&lt;=关键词词频统计!$A$4,搜索词报告!$M$2:$M$22222,0),0),0))</f>
        <v>0</v>
      </c>
      <c r="I423" s="2" t="str">
        <f t="shared" si="50"/>
        <v/>
      </c>
      <c r="J423" t="str">
        <f t="shared" si="51"/>
        <v>点击次数少于10次没有参考性</v>
      </c>
      <c r="K423" s="4" t="str">
        <f>IFERROR(INDEX(搜索词报告!$D$2:$D$22222,MATCH(关键词词频统计!A423,搜索词报告!$H$2:$H$22222,0)),"")</f>
        <v/>
      </c>
      <c r="V423" s="4" t="str">
        <f>IFERROR(INDEX(搜索词报告!$D$2:$D$22222,MATCH(关键词词频统计!L423,搜索词报告!$H$2:$H$22222,0)),"")</f>
        <v/>
      </c>
    </row>
    <row r="424" spans="2:22" x14ac:dyDescent="0.15">
      <c r="B424">
        <f t="array" ref="B424">SUM(IF(搜索词报告!$H$2:$H$22222=A424,IF(搜索词报告!$A$2:$A$22222&gt;=关键词词频统计!$A$2,IF(搜索词报告!$A$2:$A$22222&lt;=关键词词频统计!$A$4,搜索词报告!$I$2:$I$22222,0),0),0))</f>
        <v>0</v>
      </c>
      <c r="C424">
        <f t="array" ref="C424">SUM(IF(搜索词报告!$H$2:$H$22222=A424,IF(搜索词报告!$A$2:$A$22222&gt;=关键词词频统计!$A$2,IF(搜索词报告!$A$2:$A$22222&lt;=关键词词频统计!$A$4,搜索词报告!$J$2:$J$22222,0),0),0))</f>
        <v>0</v>
      </c>
      <c r="D424" s="2">
        <f t="shared" si="48"/>
        <v>0</v>
      </c>
      <c r="E424" s="2">
        <f t="shared" si="49"/>
        <v>0</v>
      </c>
      <c r="F424">
        <f t="array" ref="F424">SUM(IF(搜索词报告!$H$2:$H$22222=A424,IF(搜索词报告!$A$2:$A$22222&gt;=关键词词频统计!$A$2,IF(搜索词报告!$A$2:$A$22222&lt;=关键词词频统计!$A$4,搜索词报告!$Q$2:$Q$22222,0),0),0))</f>
        <v>0</v>
      </c>
      <c r="G424">
        <f t="array" ref="G424">SUM(IF(搜索词报告!$H$2:$H$22222=A424,IF(搜索词报告!$A$2:$A$22222&gt;=关键词词频统计!$A$2,IF(搜索词报告!$A$2:$A$22222&lt;=关键词词频统计!$A$4,搜索词报告!$N$2:$N$22222,0),0),0))</f>
        <v>0</v>
      </c>
      <c r="H424">
        <f t="array" ref="H424">SUM(IF(搜索词报告!$H$2:$H$22222=A424,IF(搜索词报告!$A$2:$A$22222&gt;=关键词词频统计!$A$2,IF(搜索词报告!$A$2:$A$22222&lt;=关键词词频统计!$A$4,搜索词报告!$M$2:$M$22222,0),0),0))</f>
        <v>0</v>
      </c>
      <c r="I424" s="2" t="str">
        <f t="shared" si="50"/>
        <v/>
      </c>
      <c r="J424" t="str">
        <f t="shared" si="51"/>
        <v>点击次数少于10次没有参考性</v>
      </c>
      <c r="K424" s="4" t="str">
        <f>IFERROR(INDEX(搜索词报告!$D$2:$D$22222,MATCH(关键词词频统计!A424,搜索词报告!$H$2:$H$22222,0)),"")</f>
        <v/>
      </c>
      <c r="V424" s="4" t="str">
        <f>IFERROR(INDEX(搜索词报告!$D$2:$D$22222,MATCH(关键词词频统计!L424,搜索词报告!$H$2:$H$22222,0)),"")</f>
        <v/>
      </c>
    </row>
    <row r="425" spans="2:22" x14ac:dyDescent="0.15">
      <c r="B425">
        <f t="array" ref="B425">SUM(IF(搜索词报告!$H$2:$H$22222=A425,IF(搜索词报告!$A$2:$A$22222&gt;=关键词词频统计!$A$2,IF(搜索词报告!$A$2:$A$22222&lt;=关键词词频统计!$A$4,搜索词报告!$I$2:$I$22222,0),0),0))</f>
        <v>0</v>
      </c>
      <c r="C425">
        <f t="array" ref="C425">SUM(IF(搜索词报告!$H$2:$H$22222=A425,IF(搜索词报告!$A$2:$A$22222&gt;=关键词词频统计!$A$2,IF(搜索词报告!$A$2:$A$22222&lt;=关键词词频统计!$A$4,搜索词报告!$J$2:$J$22222,0),0),0))</f>
        <v>0</v>
      </c>
      <c r="D425" s="2">
        <f t="shared" si="48"/>
        <v>0</v>
      </c>
      <c r="E425" s="2">
        <f t="shared" si="49"/>
        <v>0</v>
      </c>
      <c r="F425">
        <f t="array" ref="F425">SUM(IF(搜索词报告!$H$2:$H$22222=A425,IF(搜索词报告!$A$2:$A$22222&gt;=关键词词频统计!$A$2,IF(搜索词报告!$A$2:$A$22222&lt;=关键词词频统计!$A$4,搜索词报告!$Q$2:$Q$22222,0),0),0))</f>
        <v>0</v>
      </c>
      <c r="G425">
        <f t="array" ref="G425">SUM(IF(搜索词报告!$H$2:$H$22222=A425,IF(搜索词报告!$A$2:$A$22222&gt;=关键词词频统计!$A$2,IF(搜索词报告!$A$2:$A$22222&lt;=关键词词频统计!$A$4,搜索词报告!$N$2:$N$22222,0),0),0))</f>
        <v>0</v>
      </c>
      <c r="H425">
        <f t="array" ref="H425">SUM(IF(搜索词报告!$H$2:$H$22222=A425,IF(搜索词报告!$A$2:$A$22222&gt;=关键词词频统计!$A$2,IF(搜索词报告!$A$2:$A$22222&lt;=关键词词频统计!$A$4,搜索词报告!$M$2:$M$22222,0),0),0))</f>
        <v>0</v>
      </c>
      <c r="I425" s="2" t="str">
        <f t="shared" si="50"/>
        <v/>
      </c>
      <c r="J425" t="str">
        <f t="shared" si="51"/>
        <v>点击次数少于10次没有参考性</v>
      </c>
      <c r="K425" s="4" t="str">
        <f>IFERROR(INDEX(搜索词报告!$D$2:$D$22222,MATCH(关键词词频统计!A425,搜索词报告!$H$2:$H$22222,0)),"")</f>
        <v/>
      </c>
      <c r="V425" s="4" t="str">
        <f>IFERROR(INDEX(搜索词报告!$D$2:$D$22222,MATCH(关键词词频统计!L425,搜索词报告!$H$2:$H$22222,0)),"")</f>
        <v/>
      </c>
    </row>
    <row r="426" spans="2:22" x14ac:dyDescent="0.15">
      <c r="B426">
        <f t="array" ref="B426">SUM(IF(搜索词报告!$H$2:$H$22222=A426,IF(搜索词报告!$A$2:$A$22222&gt;=关键词词频统计!$A$2,IF(搜索词报告!$A$2:$A$22222&lt;=关键词词频统计!$A$4,搜索词报告!$I$2:$I$22222,0),0),0))</f>
        <v>0</v>
      </c>
      <c r="C426">
        <f t="array" ref="C426">SUM(IF(搜索词报告!$H$2:$H$22222=A426,IF(搜索词报告!$A$2:$A$22222&gt;=关键词词频统计!$A$2,IF(搜索词报告!$A$2:$A$22222&lt;=关键词词频统计!$A$4,搜索词报告!$J$2:$J$22222,0),0),0))</f>
        <v>0</v>
      </c>
      <c r="D426" s="2">
        <f t="shared" si="48"/>
        <v>0</v>
      </c>
      <c r="E426" s="2">
        <f t="shared" si="49"/>
        <v>0</v>
      </c>
      <c r="F426">
        <f t="array" ref="F426">SUM(IF(搜索词报告!$H$2:$H$22222=A426,IF(搜索词报告!$A$2:$A$22222&gt;=关键词词频统计!$A$2,IF(搜索词报告!$A$2:$A$22222&lt;=关键词词频统计!$A$4,搜索词报告!$Q$2:$Q$22222,0),0),0))</f>
        <v>0</v>
      </c>
      <c r="G426">
        <f t="array" ref="G426">SUM(IF(搜索词报告!$H$2:$H$22222=A426,IF(搜索词报告!$A$2:$A$22222&gt;=关键词词频统计!$A$2,IF(搜索词报告!$A$2:$A$22222&lt;=关键词词频统计!$A$4,搜索词报告!$N$2:$N$22222,0),0),0))</f>
        <v>0</v>
      </c>
      <c r="H426">
        <f t="array" ref="H426">SUM(IF(搜索词报告!$H$2:$H$22222=A426,IF(搜索词报告!$A$2:$A$22222&gt;=关键词词频统计!$A$2,IF(搜索词报告!$A$2:$A$22222&lt;=关键词词频统计!$A$4,搜索词报告!$M$2:$M$22222,0),0),0))</f>
        <v>0</v>
      </c>
      <c r="I426" s="2" t="str">
        <f t="shared" si="50"/>
        <v/>
      </c>
      <c r="J426" t="str">
        <f t="shared" si="51"/>
        <v>点击次数少于10次没有参考性</v>
      </c>
      <c r="K426" s="4" t="str">
        <f>IFERROR(INDEX(搜索词报告!$D$2:$D$22222,MATCH(关键词词频统计!A426,搜索词报告!$H$2:$H$22222,0)),"")</f>
        <v/>
      </c>
      <c r="V426" s="4" t="str">
        <f>IFERROR(INDEX(搜索词报告!$D$2:$D$22222,MATCH(关键词词频统计!L426,搜索词报告!$H$2:$H$22222,0)),"")</f>
        <v/>
      </c>
    </row>
    <row r="427" spans="2:22" x14ac:dyDescent="0.15">
      <c r="B427">
        <f t="array" ref="B427">SUM(IF(搜索词报告!$H$2:$H$22222=A427,IF(搜索词报告!$A$2:$A$22222&gt;=关键词词频统计!$A$2,IF(搜索词报告!$A$2:$A$22222&lt;=关键词词频统计!$A$4,搜索词报告!$I$2:$I$22222,0),0),0))</f>
        <v>0</v>
      </c>
      <c r="C427">
        <f t="array" ref="C427">SUM(IF(搜索词报告!$H$2:$H$22222=A427,IF(搜索词报告!$A$2:$A$22222&gt;=关键词词频统计!$A$2,IF(搜索词报告!$A$2:$A$22222&lt;=关键词词频统计!$A$4,搜索词报告!$J$2:$J$22222,0),0),0))</f>
        <v>0</v>
      </c>
      <c r="D427" s="2">
        <f t="shared" si="48"/>
        <v>0</v>
      </c>
      <c r="E427" s="2">
        <f t="shared" si="49"/>
        <v>0</v>
      </c>
      <c r="F427">
        <f t="array" ref="F427">SUM(IF(搜索词报告!$H$2:$H$22222=A427,IF(搜索词报告!$A$2:$A$22222&gt;=关键词词频统计!$A$2,IF(搜索词报告!$A$2:$A$22222&lt;=关键词词频统计!$A$4,搜索词报告!$Q$2:$Q$22222,0),0),0))</f>
        <v>0</v>
      </c>
      <c r="G427">
        <f t="array" ref="G427">SUM(IF(搜索词报告!$H$2:$H$22222=A427,IF(搜索词报告!$A$2:$A$22222&gt;=关键词词频统计!$A$2,IF(搜索词报告!$A$2:$A$22222&lt;=关键词词频统计!$A$4,搜索词报告!$N$2:$N$22222,0),0),0))</f>
        <v>0</v>
      </c>
      <c r="H427">
        <f t="array" ref="H427">SUM(IF(搜索词报告!$H$2:$H$22222=A427,IF(搜索词报告!$A$2:$A$22222&gt;=关键词词频统计!$A$2,IF(搜索词报告!$A$2:$A$22222&lt;=关键词词频统计!$A$4,搜索词报告!$M$2:$M$22222,0),0),0))</f>
        <v>0</v>
      </c>
      <c r="I427" s="2" t="str">
        <f t="shared" si="50"/>
        <v/>
      </c>
      <c r="J427" t="str">
        <f t="shared" si="51"/>
        <v>点击次数少于10次没有参考性</v>
      </c>
      <c r="K427" s="4" t="str">
        <f>IFERROR(INDEX(搜索词报告!$D$2:$D$22222,MATCH(关键词词频统计!A427,搜索词报告!$H$2:$H$22222,0)),"")</f>
        <v/>
      </c>
      <c r="V427" s="4" t="str">
        <f>IFERROR(INDEX(搜索词报告!$D$2:$D$22222,MATCH(关键词词频统计!L427,搜索词报告!$H$2:$H$22222,0)),"")</f>
        <v/>
      </c>
    </row>
    <row r="428" spans="2:22" x14ac:dyDescent="0.15">
      <c r="B428">
        <f t="array" ref="B428">SUM(IF(搜索词报告!$H$2:$H$22222=A428,IF(搜索词报告!$A$2:$A$22222&gt;=关键词词频统计!$A$2,IF(搜索词报告!$A$2:$A$22222&lt;=关键词词频统计!$A$4,搜索词报告!$I$2:$I$22222,0),0),0))</f>
        <v>0</v>
      </c>
      <c r="C428">
        <f t="array" ref="C428">SUM(IF(搜索词报告!$H$2:$H$22222=A428,IF(搜索词报告!$A$2:$A$22222&gt;=关键词词频统计!$A$2,IF(搜索词报告!$A$2:$A$22222&lt;=关键词词频统计!$A$4,搜索词报告!$J$2:$J$22222,0),0),0))</f>
        <v>0</v>
      </c>
      <c r="D428" s="2">
        <f t="shared" si="48"/>
        <v>0</v>
      </c>
      <c r="E428" s="2">
        <f t="shared" si="49"/>
        <v>0</v>
      </c>
      <c r="F428">
        <f t="array" ref="F428">SUM(IF(搜索词报告!$H$2:$H$22222=A428,IF(搜索词报告!$A$2:$A$22222&gt;=关键词词频统计!$A$2,IF(搜索词报告!$A$2:$A$22222&lt;=关键词词频统计!$A$4,搜索词报告!$Q$2:$Q$22222,0),0),0))</f>
        <v>0</v>
      </c>
      <c r="G428">
        <f t="array" ref="G428">SUM(IF(搜索词报告!$H$2:$H$22222=A428,IF(搜索词报告!$A$2:$A$22222&gt;=关键词词频统计!$A$2,IF(搜索词报告!$A$2:$A$22222&lt;=关键词词频统计!$A$4,搜索词报告!$N$2:$N$22222,0),0),0))</f>
        <v>0</v>
      </c>
      <c r="H428">
        <f t="array" ref="H428">SUM(IF(搜索词报告!$H$2:$H$22222=A428,IF(搜索词报告!$A$2:$A$22222&gt;=关键词词频统计!$A$2,IF(搜索词报告!$A$2:$A$22222&lt;=关键词词频统计!$A$4,搜索词报告!$M$2:$M$22222,0),0),0))</f>
        <v>0</v>
      </c>
      <c r="I428" s="2" t="str">
        <f t="shared" si="50"/>
        <v/>
      </c>
      <c r="J428" t="str">
        <f t="shared" si="51"/>
        <v>点击次数少于10次没有参考性</v>
      </c>
      <c r="K428" s="4" t="str">
        <f>IFERROR(INDEX(搜索词报告!$D$2:$D$22222,MATCH(关键词词频统计!A428,搜索词报告!$H$2:$H$22222,0)),"")</f>
        <v/>
      </c>
      <c r="V428" s="4" t="str">
        <f>IFERROR(INDEX(搜索词报告!$D$2:$D$22222,MATCH(关键词词频统计!L428,搜索词报告!$H$2:$H$22222,0)),"")</f>
        <v/>
      </c>
    </row>
    <row r="429" spans="2:22" x14ac:dyDescent="0.15">
      <c r="B429">
        <f t="array" ref="B429">SUM(IF(搜索词报告!$H$2:$H$22222=A429,IF(搜索词报告!$A$2:$A$22222&gt;=关键词词频统计!$A$2,IF(搜索词报告!$A$2:$A$22222&lt;=关键词词频统计!$A$4,搜索词报告!$I$2:$I$22222,0),0),0))</f>
        <v>0</v>
      </c>
      <c r="C429">
        <f t="array" ref="C429">SUM(IF(搜索词报告!$H$2:$H$22222=A429,IF(搜索词报告!$A$2:$A$22222&gt;=关键词词频统计!$A$2,IF(搜索词报告!$A$2:$A$22222&lt;=关键词词频统计!$A$4,搜索词报告!$J$2:$J$22222,0),0),0))</f>
        <v>0</v>
      </c>
      <c r="D429" s="2">
        <f t="shared" si="48"/>
        <v>0</v>
      </c>
      <c r="E429" s="2">
        <f t="shared" si="49"/>
        <v>0</v>
      </c>
      <c r="F429">
        <f t="array" ref="F429">SUM(IF(搜索词报告!$H$2:$H$22222=A429,IF(搜索词报告!$A$2:$A$22222&gt;=关键词词频统计!$A$2,IF(搜索词报告!$A$2:$A$22222&lt;=关键词词频统计!$A$4,搜索词报告!$Q$2:$Q$22222,0),0),0))</f>
        <v>0</v>
      </c>
      <c r="G429">
        <f t="array" ref="G429">SUM(IF(搜索词报告!$H$2:$H$22222=A429,IF(搜索词报告!$A$2:$A$22222&gt;=关键词词频统计!$A$2,IF(搜索词报告!$A$2:$A$22222&lt;=关键词词频统计!$A$4,搜索词报告!$N$2:$N$22222,0),0),0))</f>
        <v>0</v>
      </c>
      <c r="H429">
        <f t="array" ref="H429">SUM(IF(搜索词报告!$H$2:$H$22222=A429,IF(搜索词报告!$A$2:$A$22222&gt;=关键词词频统计!$A$2,IF(搜索词报告!$A$2:$A$22222&lt;=关键词词频统计!$A$4,搜索词报告!$M$2:$M$22222,0),0),0))</f>
        <v>0</v>
      </c>
      <c r="I429" s="2" t="str">
        <f t="shared" si="50"/>
        <v/>
      </c>
      <c r="J429" t="str">
        <f t="shared" si="51"/>
        <v>点击次数少于10次没有参考性</v>
      </c>
      <c r="K429" s="4" t="str">
        <f>IFERROR(INDEX(搜索词报告!$D$2:$D$22222,MATCH(关键词词频统计!A429,搜索词报告!$H$2:$H$22222,0)),"")</f>
        <v/>
      </c>
      <c r="V429" s="4" t="str">
        <f>IFERROR(INDEX(搜索词报告!$D$2:$D$22222,MATCH(关键词词频统计!L429,搜索词报告!$H$2:$H$22222,0)),"")</f>
        <v/>
      </c>
    </row>
    <row r="430" spans="2:22" x14ac:dyDescent="0.15">
      <c r="B430">
        <f t="array" ref="B430">SUM(IF(搜索词报告!$H$2:$H$22222=A430,IF(搜索词报告!$A$2:$A$22222&gt;=关键词词频统计!$A$2,IF(搜索词报告!$A$2:$A$22222&lt;=关键词词频统计!$A$4,搜索词报告!$I$2:$I$22222,0),0),0))</f>
        <v>0</v>
      </c>
      <c r="C430">
        <f t="array" ref="C430">SUM(IF(搜索词报告!$H$2:$H$22222=A430,IF(搜索词报告!$A$2:$A$22222&gt;=关键词词频统计!$A$2,IF(搜索词报告!$A$2:$A$22222&lt;=关键词词频统计!$A$4,搜索词报告!$J$2:$J$22222,0),0),0))</f>
        <v>0</v>
      </c>
      <c r="D430" s="2">
        <f t="shared" si="48"/>
        <v>0</v>
      </c>
      <c r="E430" s="2">
        <f t="shared" si="49"/>
        <v>0</v>
      </c>
      <c r="F430">
        <f t="array" ref="F430">SUM(IF(搜索词报告!$H$2:$H$22222=A430,IF(搜索词报告!$A$2:$A$22222&gt;=关键词词频统计!$A$2,IF(搜索词报告!$A$2:$A$22222&lt;=关键词词频统计!$A$4,搜索词报告!$Q$2:$Q$22222,0),0),0))</f>
        <v>0</v>
      </c>
      <c r="G430">
        <f t="array" ref="G430">SUM(IF(搜索词报告!$H$2:$H$22222=A430,IF(搜索词报告!$A$2:$A$22222&gt;=关键词词频统计!$A$2,IF(搜索词报告!$A$2:$A$22222&lt;=关键词词频统计!$A$4,搜索词报告!$N$2:$N$22222,0),0),0))</f>
        <v>0</v>
      </c>
      <c r="H430">
        <f t="array" ref="H430">SUM(IF(搜索词报告!$H$2:$H$22222=A430,IF(搜索词报告!$A$2:$A$22222&gt;=关键词词频统计!$A$2,IF(搜索词报告!$A$2:$A$22222&lt;=关键词词频统计!$A$4,搜索词报告!$M$2:$M$22222,0),0),0))</f>
        <v>0</v>
      </c>
      <c r="I430" s="2" t="str">
        <f t="shared" si="50"/>
        <v/>
      </c>
      <c r="J430" t="str">
        <f t="shared" si="51"/>
        <v>点击次数少于10次没有参考性</v>
      </c>
      <c r="K430" s="4" t="str">
        <f>IFERROR(INDEX(搜索词报告!$D$2:$D$22222,MATCH(关键词词频统计!A430,搜索词报告!$H$2:$H$22222,0)),"")</f>
        <v/>
      </c>
      <c r="V430" s="4" t="str">
        <f>IFERROR(INDEX(搜索词报告!$D$2:$D$22222,MATCH(关键词词频统计!L430,搜索词报告!$H$2:$H$22222,0)),"")</f>
        <v/>
      </c>
    </row>
    <row r="431" spans="2:22" x14ac:dyDescent="0.15">
      <c r="B431">
        <f t="array" ref="B431">SUM(IF(搜索词报告!$H$2:$H$22222=A431,IF(搜索词报告!$A$2:$A$22222&gt;=关键词词频统计!$A$2,IF(搜索词报告!$A$2:$A$22222&lt;=关键词词频统计!$A$4,搜索词报告!$I$2:$I$22222,0),0),0))</f>
        <v>0</v>
      </c>
      <c r="C431">
        <f t="array" ref="C431">SUM(IF(搜索词报告!$H$2:$H$22222=A431,IF(搜索词报告!$A$2:$A$22222&gt;=关键词词频统计!$A$2,IF(搜索词报告!$A$2:$A$22222&lt;=关键词词频统计!$A$4,搜索词报告!$J$2:$J$22222,0),0),0))</f>
        <v>0</v>
      </c>
      <c r="D431" s="2">
        <f t="shared" si="48"/>
        <v>0</v>
      </c>
      <c r="E431" s="2">
        <f t="shared" si="49"/>
        <v>0</v>
      </c>
      <c r="F431">
        <f t="array" ref="F431">SUM(IF(搜索词报告!$H$2:$H$22222=A431,IF(搜索词报告!$A$2:$A$22222&gt;=关键词词频统计!$A$2,IF(搜索词报告!$A$2:$A$22222&lt;=关键词词频统计!$A$4,搜索词报告!$Q$2:$Q$22222,0),0),0))</f>
        <v>0</v>
      </c>
      <c r="G431">
        <f t="array" ref="G431">SUM(IF(搜索词报告!$H$2:$H$22222=A431,IF(搜索词报告!$A$2:$A$22222&gt;=关键词词频统计!$A$2,IF(搜索词报告!$A$2:$A$22222&lt;=关键词词频统计!$A$4,搜索词报告!$N$2:$N$22222,0),0),0))</f>
        <v>0</v>
      </c>
      <c r="H431">
        <f t="array" ref="H431">SUM(IF(搜索词报告!$H$2:$H$22222=A431,IF(搜索词报告!$A$2:$A$22222&gt;=关键词词频统计!$A$2,IF(搜索词报告!$A$2:$A$22222&lt;=关键词词频统计!$A$4,搜索词报告!$M$2:$M$22222,0),0),0))</f>
        <v>0</v>
      </c>
      <c r="I431" s="2" t="str">
        <f t="shared" si="50"/>
        <v/>
      </c>
      <c r="J431" t="str">
        <f t="shared" si="51"/>
        <v>点击次数少于10次没有参考性</v>
      </c>
      <c r="K431" s="4" t="str">
        <f>IFERROR(INDEX(搜索词报告!$D$2:$D$22222,MATCH(关键词词频统计!A431,搜索词报告!$H$2:$H$22222,0)),"")</f>
        <v/>
      </c>
      <c r="V431" s="4" t="str">
        <f>IFERROR(INDEX(搜索词报告!$D$2:$D$22222,MATCH(关键词词频统计!L431,搜索词报告!$H$2:$H$22222,0)),"")</f>
        <v/>
      </c>
    </row>
    <row r="432" spans="2:22" x14ac:dyDescent="0.15">
      <c r="B432">
        <f t="array" ref="B432">SUM(IF(搜索词报告!$H$2:$H$22222=A432,IF(搜索词报告!$A$2:$A$22222&gt;=关键词词频统计!$A$2,IF(搜索词报告!$A$2:$A$22222&lt;=关键词词频统计!$A$4,搜索词报告!$I$2:$I$22222,0),0),0))</f>
        <v>0</v>
      </c>
      <c r="C432">
        <f t="array" ref="C432">SUM(IF(搜索词报告!$H$2:$H$22222=A432,IF(搜索词报告!$A$2:$A$22222&gt;=关键词词频统计!$A$2,IF(搜索词报告!$A$2:$A$22222&lt;=关键词词频统计!$A$4,搜索词报告!$J$2:$J$22222,0),0),0))</f>
        <v>0</v>
      </c>
      <c r="D432" s="2">
        <f t="shared" si="48"/>
        <v>0</v>
      </c>
      <c r="E432" s="2">
        <f t="shared" si="49"/>
        <v>0</v>
      </c>
      <c r="F432">
        <f t="array" ref="F432">SUM(IF(搜索词报告!$H$2:$H$22222=A432,IF(搜索词报告!$A$2:$A$22222&gt;=关键词词频统计!$A$2,IF(搜索词报告!$A$2:$A$22222&lt;=关键词词频统计!$A$4,搜索词报告!$Q$2:$Q$22222,0),0),0))</f>
        <v>0</v>
      </c>
      <c r="G432">
        <f t="array" ref="G432">SUM(IF(搜索词报告!$H$2:$H$22222=A432,IF(搜索词报告!$A$2:$A$22222&gt;=关键词词频统计!$A$2,IF(搜索词报告!$A$2:$A$22222&lt;=关键词词频统计!$A$4,搜索词报告!$N$2:$N$22222,0),0),0))</f>
        <v>0</v>
      </c>
      <c r="H432">
        <f t="array" ref="H432">SUM(IF(搜索词报告!$H$2:$H$22222=A432,IF(搜索词报告!$A$2:$A$22222&gt;=关键词词频统计!$A$2,IF(搜索词报告!$A$2:$A$22222&lt;=关键词词频统计!$A$4,搜索词报告!$M$2:$M$22222,0),0),0))</f>
        <v>0</v>
      </c>
      <c r="I432" s="2" t="str">
        <f t="shared" si="50"/>
        <v/>
      </c>
      <c r="J432" t="str">
        <f t="shared" si="51"/>
        <v>点击次数少于10次没有参考性</v>
      </c>
      <c r="K432" s="4" t="str">
        <f>IFERROR(INDEX(搜索词报告!$D$2:$D$22222,MATCH(关键词词频统计!A432,搜索词报告!$H$2:$H$22222,0)),"")</f>
        <v/>
      </c>
      <c r="V432" s="4" t="str">
        <f>IFERROR(INDEX(搜索词报告!$D$2:$D$22222,MATCH(关键词词频统计!L432,搜索词报告!$H$2:$H$22222,0)),"")</f>
        <v/>
      </c>
    </row>
    <row r="433" spans="2:22" x14ac:dyDescent="0.15">
      <c r="B433">
        <f t="array" ref="B433">SUM(IF(搜索词报告!$H$2:$H$22222=A433,IF(搜索词报告!$A$2:$A$22222&gt;=关键词词频统计!$A$2,IF(搜索词报告!$A$2:$A$22222&lt;=关键词词频统计!$A$4,搜索词报告!$I$2:$I$22222,0),0),0))</f>
        <v>0</v>
      </c>
      <c r="C433">
        <f t="array" ref="C433">SUM(IF(搜索词报告!$H$2:$H$22222=A433,IF(搜索词报告!$A$2:$A$22222&gt;=关键词词频统计!$A$2,IF(搜索词报告!$A$2:$A$22222&lt;=关键词词频统计!$A$4,搜索词报告!$J$2:$J$22222,0),0),0))</f>
        <v>0</v>
      </c>
      <c r="D433" s="2">
        <f t="shared" si="48"/>
        <v>0</v>
      </c>
      <c r="E433" s="2">
        <f t="shared" si="49"/>
        <v>0</v>
      </c>
      <c r="F433">
        <f t="array" ref="F433">SUM(IF(搜索词报告!$H$2:$H$22222=A433,IF(搜索词报告!$A$2:$A$22222&gt;=关键词词频统计!$A$2,IF(搜索词报告!$A$2:$A$22222&lt;=关键词词频统计!$A$4,搜索词报告!$Q$2:$Q$22222,0),0),0))</f>
        <v>0</v>
      </c>
      <c r="G433">
        <f t="array" ref="G433">SUM(IF(搜索词报告!$H$2:$H$22222=A433,IF(搜索词报告!$A$2:$A$22222&gt;=关键词词频统计!$A$2,IF(搜索词报告!$A$2:$A$22222&lt;=关键词词频统计!$A$4,搜索词报告!$N$2:$N$22222,0),0),0))</f>
        <v>0</v>
      </c>
      <c r="H433">
        <f t="array" ref="H433">SUM(IF(搜索词报告!$H$2:$H$22222=A433,IF(搜索词报告!$A$2:$A$22222&gt;=关键词词频统计!$A$2,IF(搜索词报告!$A$2:$A$22222&lt;=关键词词频统计!$A$4,搜索词报告!$M$2:$M$22222,0),0),0))</f>
        <v>0</v>
      </c>
      <c r="I433" s="2" t="str">
        <f t="shared" si="50"/>
        <v/>
      </c>
      <c r="J433" t="str">
        <f t="shared" si="51"/>
        <v>点击次数少于10次没有参考性</v>
      </c>
      <c r="K433" s="4" t="str">
        <f>IFERROR(INDEX(搜索词报告!$D$2:$D$22222,MATCH(关键词词频统计!A433,搜索词报告!$H$2:$H$22222,0)),"")</f>
        <v/>
      </c>
      <c r="V433" s="4" t="str">
        <f>IFERROR(INDEX(搜索词报告!$D$2:$D$22222,MATCH(关键词词频统计!L433,搜索词报告!$H$2:$H$22222,0)),"")</f>
        <v/>
      </c>
    </row>
    <row r="434" spans="2:22" x14ac:dyDescent="0.15">
      <c r="B434">
        <f t="array" ref="B434">SUM(IF(搜索词报告!$H$2:$H$22222=A434,IF(搜索词报告!$A$2:$A$22222&gt;=关键词词频统计!$A$2,IF(搜索词报告!$A$2:$A$22222&lt;=关键词词频统计!$A$4,搜索词报告!$I$2:$I$22222,0),0),0))</f>
        <v>0</v>
      </c>
      <c r="C434">
        <f t="array" ref="C434">SUM(IF(搜索词报告!$H$2:$H$22222=A434,IF(搜索词报告!$A$2:$A$22222&gt;=关键词词频统计!$A$2,IF(搜索词报告!$A$2:$A$22222&lt;=关键词词频统计!$A$4,搜索词报告!$J$2:$J$22222,0),0),0))</f>
        <v>0</v>
      </c>
      <c r="D434" s="2">
        <f t="shared" si="48"/>
        <v>0</v>
      </c>
      <c r="E434" s="2">
        <f t="shared" si="49"/>
        <v>0</v>
      </c>
      <c r="F434">
        <f t="array" ref="F434">SUM(IF(搜索词报告!$H$2:$H$22222=A434,IF(搜索词报告!$A$2:$A$22222&gt;=关键词词频统计!$A$2,IF(搜索词报告!$A$2:$A$22222&lt;=关键词词频统计!$A$4,搜索词报告!$Q$2:$Q$22222,0),0),0))</f>
        <v>0</v>
      </c>
      <c r="G434">
        <f t="array" ref="G434">SUM(IF(搜索词报告!$H$2:$H$22222=A434,IF(搜索词报告!$A$2:$A$22222&gt;=关键词词频统计!$A$2,IF(搜索词报告!$A$2:$A$22222&lt;=关键词词频统计!$A$4,搜索词报告!$N$2:$N$22222,0),0),0))</f>
        <v>0</v>
      </c>
      <c r="H434">
        <f t="array" ref="H434">SUM(IF(搜索词报告!$H$2:$H$22222=A434,IF(搜索词报告!$A$2:$A$22222&gt;=关键词词频统计!$A$2,IF(搜索词报告!$A$2:$A$22222&lt;=关键词词频统计!$A$4,搜索词报告!$M$2:$M$22222,0),0),0))</f>
        <v>0</v>
      </c>
      <c r="I434" s="2" t="str">
        <f t="shared" si="50"/>
        <v/>
      </c>
      <c r="J434" t="str">
        <f t="shared" si="51"/>
        <v>点击次数少于10次没有参考性</v>
      </c>
      <c r="K434" s="4" t="str">
        <f>IFERROR(INDEX(搜索词报告!$D$2:$D$22222,MATCH(关键词词频统计!A434,搜索词报告!$H$2:$H$22222,0)),"")</f>
        <v/>
      </c>
      <c r="V434" s="4" t="str">
        <f>IFERROR(INDEX(搜索词报告!$D$2:$D$22222,MATCH(关键词词频统计!L434,搜索词报告!$H$2:$H$22222,0)),"")</f>
        <v/>
      </c>
    </row>
    <row r="435" spans="2:22" x14ac:dyDescent="0.15">
      <c r="B435">
        <f t="array" ref="B435">SUM(IF(搜索词报告!$H$2:$H$22222=A435,IF(搜索词报告!$A$2:$A$22222&gt;=关键词词频统计!$A$2,IF(搜索词报告!$A$2:$A$22222&lt;=关键词词频统计!$A$4,搜索词报告!$I$2:$I$22222,0),0),0))</f>
        <v>0</v>
      </c>
      <c r="C435">
        <f t="array" ref="C435">SUM(IF(搜索词报告!$H$2:$H$22222=A435,IF(搜索词报告!$A$2:$A$22222&gt;=关键词词频统计!$A$2,IF(搜索词报告!$A$2:$A$22222&lt;=关键词词频统计!$A$4,搜索词报告!$J$2:$J$22222,0),0),0))</f>
        <v>0</v>
      </c>
      <c r="D435" s="2">
        <f t="shared" si="48"/>
        <v>0</v>
      </c>
      <c r="E435" s="2">
        <f t="shared" si="49"/>
        <v>0</v>
      </c>
      <c r="F435">
        <f t="array" ref="F435">SUM(IF(搜索词报告!$H$2:$H$22222=A435,IF(搜索词报告!$A$2:$A$22222&gt;=关键词词频统计!$A$2,IF(搜索词报告!$A$2:$A$22222&lt;=关键词词频统计!$A$4,搜索词报告!$Q$2:$Q$22222,0),0),0))</f>
        <v>0</v>
      </c>
      <c r="G435">
        <f t="array" ref="G435">SUM(IF(搜索词报告!$H$2:$H$22222=A435,IF(搜索词报告!$A$2:$A$22222&gt;=关键词词频统计!$A$2,IF(搜索词报告!$A$2:$A$22222&lt;=关键词词频统计!$A$4,搜索词报告!$N$2:$N$22222,0),0),0))</f>
        <v>0</v>
      </c>
      <c r="H435">
        <f t="array" ref="H435">SUM(IF(搜索词报告!$H$2:$H$22222=A435,IF(搜索词报告!$A$2:$A$22222&gt;=关键词词频统计!$A$2,IF(搜索词报告!$A$2:$A$22222&lt;=关键词词频统计!$A$4,搜索词报告!$M$2:$M$22222,0),0),0))</f>
        <v>0</v>
      </c>
      <c r="I435" s="2" t="str">
        <f t="shared" si="50"/>
        <v/>
      </c>
      <c r="J435" t="str">
        <f t="shared" si="51"/>
        <v>点击次数少于10次没有参考性</v>
      </c>
      <c r="K435" s="4" t="str">
        <f>IFERROR(INDEX(搜索词报告!$D$2:$D$22222,MATCH(关键词词频统计!A435,搜索词报告!$H$2:$H$22222,0)),"")</f>
        <v/>
      </c>
      <c r="V435" s="4" t="str">
        <f>IFERROR(INDEX(搜索词报告!$D$2:$D$22222,MATCH(关键词词频统计!L435,搜索词报告!$H$2:$H$22222,0)),"")</f>
        <v/>
      </c>
    </row>
    <row r="436" spans="2:22" x14ac:dyDescent="0.15">
      <c r="B436">
        <f t="array" ref="B436">SUM(IF(搜索词报告!$H$2:$H$22222=A436,IF(搜索词报告!$A$2:$A$22222&gt;=关键词词频统计!$A$2,IF(搜索词报告!$A$2:$A$22222&lt;=关键词词频统计!$A$4,搜索词报告!$I$2:$I$22222,0),0),0))</f>
        <v>0</v>
      </c>
      <c r="C436">
        <f t="array" ref="C436">SUM(IF(搜索词报告!$H$2:$H$22222=A436,IF(搜索词报告!$A$2:$A$22222&gt;=关键词词频统计!$A$2,IF(搜索词报告!$A$2:$A$22222&lt;=关键词词频统计!$A$4,搜索词报告!$J$2:$J$22222,0),0),0))</f>
        <v>0</v>
      </c>
      <c r="D436" s="2">
        <f t="shared" si="48"/>
        <v>0</v>
      </c>
      <c r="E436" s="2">
        <f t="shared" si="49"/>
        <v>0</v>
      </c>
      <c r="F436">
        <f t="array" ref="F436">SUM(IF(搜索词报告!$H$2:$H$22222=A436,IF(搜索词报告!$A$2:$A$22222&gt;=关键词词频统计!$A$2,IF(搜索词报告!$A$2:$A$22222&lt;=关键词词频统计!$A$4,搜索词报告!$Q$2:$Q$22222,0),0),0))</f>
        <v>0</v>
      </c>
      <c r="G436">
        <f t="array" ref="G436">SUM(IF(搜索词报告!$H$2:$H$22222=A436,IF(搜索词报告!$A$2:$A$22222&gt;=关键词词频统计!$A$2,IF(搜索词报告!$A$2:$A$22222&lt;=关键词词频统计!$A$4,搜索词报告!$N$2:$N$22222,0),0),0))</f>
        <v>0</v>
      </c>
      <c r="H436">
        <f t="array" ref="H436">SUM(IF(搜索词报告!$H$2:$H$22222=A436,IF(搜索词报告!$A$2:$A$22222&gt;=关键词词频统计!$A$2,IF(搜索词报告!$A$2:$A$22222&lt;=关键词词频统计!$A$4,搜索词报告!$M$2:$M$22222,0),0),0))</f>
        <v>0</v>
      </c>
      <c r="I436" s="2" t="str">
        <f t="shared" si="50"/>
        <v/>
      </c>
      <c r="J436" t="str">
        <f t="shared" si="51"/>
        <v>点击次数少于10次没有参考性</v>
      </c>
      <c r="K436" s="4" t="str">
        <f>IFERROR(INDEX(搜索词报告!$D$2:$D$22222,MATCH(关键词词频统计!A436,搜索词报告!$H$2:$H$22222,0)),"")</f>
        <v/>
      </c>
      <c r="V436" s="4" t="str">
        <f>IFERROR(INDEX(搜索词报告!$D$2:$D$22222,MATCH(关键词词频统计!L436,搜索词报告!$H$2:$H$22222,0)),"")</f>
        <v/>
      </c>
    </row>
    <row r="437" spans="2:22" x14ac:dyDescent="0.15">
      <c r="B437">
        <f t="array" ref="B437">SUM(IF(搜索词报告!$H$2:$H$22222=A437,IF(搜索词报告!$A$2:$A$22222&gt;=关键词词频统计!$A$2,IF(搜索词报告!$A$2:$A$22222&lt;=关键词词频统计!$A$4,搜索词报告!$I$2:$I$22222,0),0),0))</f>
        <v>0</v>
      </c>
      <c r="C437">
        <f t="array" ref="C437">SUM(IF(搜索词报告!$H$2:$H$22222=A437,IF(搜索词报告!$A$2:$A$22222&gt;=关键词词频统计!$A$2,IF(搜索词报告!$A$2:$A$22222&lt;=关键词词频统计!$A$4,搜索词报告!$J$2:$J$22222,0),0),0))</f>
        <v>0</v>
      </c>
      <c r="D437" s="2">
        <f t="shared" si="48"/>
        <v>0</v>
      </c>
      <c r="E437" s="2">
        <f t="shared" si="49"/>
        <v>0</v>
      </c>
      <c r="F437">
        <f t="array" ref="F437">SUM(IF(搜索词报告!$H$2:$H$22222=A437,IF(搜索词报告!$A$2:$A$22222&gt;=关键词词频统计!$A$2,IF(搜索词报告!$A$2:$A$22222&lt;=关键词词频统计!$A$4,搜索词报告!$Q$2:$Q$22222,0),0),0))</f>
        <v>0</v>
      </c>
      <c r="G437">
        <f t="array" ref="G437">SUM(IF(搜索词报告!$H$2:$H$22222=A437,IF(搜索词报告!$A$2:$A$22222&gt;=关键词词频统计!$A$2,IF(搜索词报告!$A$2:$A$22222&lt;=关键词词频统计!$A$4,搜索词报告!$N$2:$N$22222,0),0),0))</f>
        <v>0</v>
      </c>
      <c r="H437">
        <f t="array" ref="H437">SUM(IF(搜索词报告!$H$2:$H$22222=A437,IF(搜索词报告!$A$2:$A$22222&gt;=关键词词频统计!$A$2,IF(搜索词报告!$A$2:$A$22222&lt;=关键词词频统计!$A$4,搜索词报告!$M$2:$M$22222,0),0),0))</f>
        <v>0</v>
      </c>
      <c r="I437" s="2" t="str">
        <f t="shared" si="50"/>
        <v/>
      </c>
      <c r="J437" t="str">
        <f t="shared" si="51"/>
        <v>点击次数少于10次没有参考性</v>
      </c>
      <c r="K437" s="4" t="str">
        <f>IFERROR(INDEX(搜索词报告!$D$2:$D$22222,MATCH(关键词词频统计!A437,搜索词报告!$H$2:$H$22222,0)),"")</f>
        <v/>
      </c>
      <c r="V437" s="4" t="str">
        <f>IFERROR(INDEX(搜索词报告!$D$2:$D$22222,MATCH(关键词词频统计!L437,搜索词报告!$H$2:$H$22222,0)),"")</f>
        <v/>
      </c>
    </row>
    <row r="438" spans="2:22" x14ac:dyDescent="0.15">
      <c r="B438">
        <f t="array" ref="B438">SUM(IF(搜索词报告!$H$2:$H$22222=A438,IF(搜索词报告!$A$2:$A$22222&gt;=关键词词频统计!$A$2,IF(搜索词报告!$A$2:$A$22222&lt;=关键词词频统计!$A$4,搜索词报告!$I$2:$I$22222,0),0),0))</f>
        <v>0</v>
      </c>
      <c r="C438">
        <f t="array" ref="C438">SUM(IF(搜索词报告!$H$2:$H$22222=A438,IF(搜索词报告!$A$2:$A$22222&gt;=关键词词频统计!$A$2,IF(搜索词报告!$A$2:$A$22222&lt;=关键词词频统计!$A$4,搜索词报告!$J$2:$J$22222,0),0),0))</f>
        <v>0</v>
      </c>
      <c r="D438" s="2">
        <f t="shared" si="48"/>
        <v>0</v>
      </c>
      <c r="E438" s="2">
        <f t="shared" si="49"/>
        <v>0</v>
      </c>
      <c r="F438">
        <f t="array" ref="F438">SUM(IF(搜索词报告!$H$2:$H$22222=A438,IF(搜索词报告!$A$2:$A$22222&gt;=关键词词频统计!$A$2,IF(搜索词报告!$A$2:$A$22222&lt;=关键词词频统计!$A$4,搜索词报告!$Q$2:$Q$22222,0),0),0))</f>
        <v>0</v>
      </c>
      <c r="G438">
        <f t="array" ref="G438">SUM(IF(搜索词报告!$H$2:$H$22222=A438,IF(搜索词报告!$A$2:$A$22222&gt;=关键词词频统计!$A$2,IF(搜索词报告!$A$2:$A$22222&lt;=关键词词频统计!$A$4,搜索词报告!$N$2:$N$22222,0),0),0))</f>
        <v>0</v>
      </c>
      <c r="H438">
        <f t="array" ref="H438">SUM(IF(搜索词报告!$H$2:$H$22222=A438,IF(搜索词报告!$A$2:$A$22222&gt;=关键词词频统计!$A$2,IF(搜索词报告!$A$2:$A$22222&lt;=关键词词频统计!$A$4,搜索词报告!$M$2:$M$22222,0),0),0))</f>
        <v>0</v>
      </c>
      <c r="I438" s="2" t="str">
        <f t="shared" si="50"/>
        <v/>
      </c>
      <c r="J438" t="str">
        <f t="shared" si="51"/>
        <v>点击次数少于10次没有参考性</v>
      </c>
      <c r="K438" s="4" t="str">
        <f>IFERROR(INDEX(搜索词报告!$D$2:$D$22222,MATCH(关键词词频统计!A438,搜索词报告!$H$2:$H$22222,0)),"")</f>
        <v/>
      </c>
      <c r="V438" s="4" t="str">
        <f>IFERROR(INDEX(搜索词报告!$D$2:$D$22222,MATCH(关键词词频统计!L438,搜索词报告!$H$2:$H$22222,0)),"")</f>
        <v/>
      </c>
    </row>
    <row r="439" spans="2:22" x14ac:dyDescent="0.15">
      <c r="B439">
        <f t="array" ref="B439">SUM(IF(搜索词报告!$H$2:$H$22222=A439,IF(搜索词报告!$A$2:$A$22222&gt;=关键词词频统计!$A$2,IF(搜索词报告!$A$2:$A$22222&lt;=关键词词频统计!$A$4,搜索词报告!$I$2:$I$22222,0),0),0))</f>
        <v>0</v>
      </c>
      <c r="C439">
        <f t="array" ref="C439">SUM(IF(搜索词报告!$H$2:$H$22222=A439,IF(搜索词报告!$A$2:$A$22222&gt;=关键词词频统计!$A$2,IF(搜索词报告!$A$2:$A$22222&lt;=关键词词频统计!$A$4,搜索词报告!$J$2:$J$22222,0),0),0))</f>
        <v>0</v>
      </c>
      <c r="D439" s="2">
        <f t="shared" si="48"/>
        <v>0</v>
      </c>
      <c r="E439" s="2">
        <f t="shared" si="49"/>
        <v>0</v>
      </c>
      <c r="F439">
        <f t="array" ref="F439">SUM(IF(搜索词报告!$H$2:$H$22222=A439,IF(搜索词报告!$A$2:$A$22222&gt;=关键词词频统计!$A$2,IF(搜索词报告!$A$2:$A$22222&lt;=关键词词频统计!$A$4,搜索词报告!$Q$2:$Q$22222,0),0),0))</f>
        <v>0</v>
      </c>
      <c r="G439">
        <f t="array" ref="G439">SUM(IF(搜索词报告!$H$2:$H$22222=A439,IF(搜索词报告!$A$2:$A$22222&gt;=关键词词频统计!$A$2,IF(搜索词报告!$A$2:$A$22222&lt;=关键词词频统计!$A$4,搜索词报告!$N$2:$N$22222,0),0),0))</f>
        <v>0</v>
      </c>
      <c r="H439">
        <f t="array" ref="H439">SUM(IF(搜索词报告!$H$2:$H$22222=A439,IF(搜索词报告!$A$2:$A$22222&gt;=关键词词频统计!$A$2,IF(搜索词报告!$A$2:$A$22222&lt;=关键词词频统计!$A$4,搜索词报告!$M$2:$M$22222,0),0),0))</f>
        <v>0</v>
      </c>
      <c r="I439" s="2" t="str">
        <f t="shared" si="50"/>
        <v/>
      </c>
      <c r="J439" t="str">
        <f t="shared" si="51"/>
        <v>点击次数少于10次没有参考性</v>
      </c>
      <c r="K439" s="4" t="str">
        <f>IFERROR(INDEX(搜索词报告!$D$2:$D$22222,MATCH(关键词词频统计!A439,搜索词报告!$H$2:$H$22222,0)),"")</f>
        <v/>
      </c>
      <c r="V439" s="4" t="str">
        <f>IFERROR(INDEX(搜索词报告!$D$2:$D$22222,MATCH(关键词词频统计!L439,搜索词报告!$H$2:$H$22222,0)),"")</f>
        <v/>
      </c>
    </row>
    <row r="440" spans="2:22" x14ac:dyDescent="0.15">
      <c r="B440">
        <f t="array" ref="B440">SUM(IF(搜索词报告!$H$2:$H$22222=A440,IF(搜索词报告!$A$2:$A$22222&gt;=关键词词频统计!$A$2,IF(搜索词报告!$A$2:$A$22222&lt;=关键词词频统计!$A$4,搜索词报告!$I$2:$I$22222,0),0),0))</f>
        <v>0</v>
      </c>
      <c r="C440">
        <f t="array" ref="C440">SUM(IF(搜索词报告!$H$2:$H$22222=A440,IF(搜索词报告!$A$2:$A$22222&gt;=关键词词频统计!$A$2,IF(搜索词报告!$A$2:$A$22222&lt;=关键词词频统计!$A$4,搜索词报告!$J$2:$J$22222,0),0),0))</f>
        <v>0</v>
      </c>
      <c r="D440" s="2">
        <f t="shared" si="48"/>
        <v>0</v>
      </c>
      <c r="E440" s="2">
        <f t="shared" si="49"/>
        <v>0</v>
      </c>
      <c r="F440">
        <f t="array" ref="F440">SUM(IF(搜索词报告!$H$2:$H$22222=A440,IF(搜索词报告!$A$2:$A$22222&gt;=关键词词频统计!$A$2,IF(搜索词报告!$A$2:$A$22222&lt;=关键词词频统计!$A$4,搜索词报告!$Q$2:$Q$22222,0),0),0))</f>
        <v>0</v>
      </c>
      <c r="G440">
        <f t="array" ref="G440">SUM(IF(搜索词报告!$H$2:$H$22222=A440,IF(搜索词报告!$A$2:$A$22222&gt;=关键词词频统计!$A$2,IF(搜索词报告!$A$2:$A$22222&lt;=关键词词频统计!$A$4,搜索词报告!$N$2:$N$22222,0),0),0))</f>
        <v>0</v>
      </c>
      <c r="H440">
        <f t="array" ref="H440">SUM(IF(搜索词报告!$H$2:$H$22222=A440,IF(搜索词报告!$A$2:$A$22222&gt;=关键词词频统计!$A$2,IF(搜索词报告!$A$2:$A$22222&lt;=关键词词频统计!$A$4,搜索词报告!$M$2:$M$22222,0),0),0))</f>
        <v>0</v>
      </c>
      <c r="I440" s="2" t="str">
        <f t="shared" si="50"/>
        <v/>
      </c>
      <c r="J440" t="str">
        <f t="shared" si="51"/>
        <v>点击次数少于10次没有参考性</v>
      </c>
      <c r="K440" s="4" t="str">
        <f>IFERROR(INDEX(搜索词报告!$D$2:$D$22222,MATCH(关键词词频统计!A440,搜索词报告!$H$2:$H$22222,0)),"")</f>
        <v/>
      </c>
      <c r="V440" s="4" t="str">
        <f>IFERROR(INDEX(搜索词报告!$D$2:$D$22222,MATCH(关键词词频统计!L440,搜索词报告!$H$2:$H$22222,0)),"")</f>
        <v/>
      </c>
    </row>
    <row r="441" spans="2:22" x14ac:dyDescent="0.15">
      <c r="B441">
        <f t="array" ref="B441">SUM(IF(搜索词报告!$H$2:$H$22222=A441,IF(搜索词报告!$A$2:$A$22222&gt;=关键词词频统计!$A$2,IF(搜索词报告!$A$2:$A$22222&lt;=关键词词频统计!$A$4,搜索词报告!$I$2:$I$22222,0),0),0))</f>
        <v>0</v>
      </c>
      <c r="C441">
        <f t="array" ref="C441">SUM(IF(搜索词报告!$H$2:$H$22222=A441,IF(搜索词报告!$A$2:$A$22222&gt;=关键词词频统计!$A$2,IF(搜索词报告!$A$2:$A$22222&lt;=关键词词频统计!$A$4,搜索词报告!$J$2:$J$22222,0),0),0))</f>
        <v>0</v>
      </c>
      <c r="D441" s="2">
        <f t="shared" si="48"/>
        <v>0</v>
      </c>
      <c r="E441" s="2">
        <f t="shared" si="49"/>
        <v>0</v>
      </c>
      <c r="F441">
        <f t="array" ref="F441">SUM(IF(搜索词报告!$H$2:$H$22222=A441,IF(搜索词报告!$A$2:$A$22222&gt;=关键词词频统计!$A$2,IF(搜索词报告!$A$2:$A$22222&lt;=关键词词频统计!$A$4,搜索词报告!$Q$2:$Q$22222,0),0),0))</f>
        <v>0</v>
      </c>
      <c r="G441">
        <f t="array" ref="G441">SUM(IF(搜索词报告!$H$2:$H$22222=A441,IF(搜索词报告!$A$2:$A$22222&gt;=关键词词频统计!$A$2,IF(搜索词报告!$A$2:$A$22222&lt;=关键词词频统计!$A$4,搜索词报告!$N$2:$N$22222,0),0),0))</f>
        <v>0</v>
      </c>
      <c r="H441">
        <f t="array" ref="H441">SUM(IF(搜索词报告!$H$2:$H$22222=A441,IF(搜索词报告!$A$2:$A$22222&gt;=关键词词频统计!$A$2,IF(搜索词报告!$A$2:$A$22222&lt;=关键词词频统计!$A$4,搜索词报告!$M$2:$M$22222,0),0),0))</f>
        <v>0</v>
      </c>
      <c r="I441" s="2" t="str">
        <f t="shared" si="50"/>
        <v/>
      </c>
      <c r="J441" t="str">
        <f t="shared" si="51"/>
        <v>点击次数少于10次没有参考性</v>
      </c>
      <c r="K441" s="4" t="str">
        <f>IFERROR(INDEX(搜索词报告!$D$2:$D$22222,MATCH(关键词词频统计!A441,搜索词报告!$H$2:$H$22222,0)),"")</f>
        <v/>
      </c>
      <c r="V441" s="4" t="str">
        <f>IFERROR(INDEX(搜索词报告!$D$2:$D$22222,MATCH(关键词词频统计!L441,搜索词报告!$H$2:$H$22222,0)),"")</f>
        <v/>
      </c>
    </row>
  </sheetData>
  <autoFilter ref="U1:U441"/>
  <phoneticPr fontId="1" type="noConversion"/>
  <conditionalFormatting sqref="J1:J1048576">
    <cfRule type="containsText" dxfId="7" priority="17" operator="containsText" text="极差">
      <formula>NOT(ISERROR(SEARCH("极差",J1)))</formula>
    </cfRule>
    <cfRule type="containsText" dxfId="6" priority="16" operator="containsText" text="优">
      <formula>NOT(ISERROR(SEARCH("优",J1)))</formula>
    </cfRule>
    <cfRule type="containsText" dxfId="5" priority="15" operator="containsText" text="良">
      <formula>NOT(ISERROR(SEARCH("良",J1)))</formula>
    </cfRule>
    <cfRule type="cellIs" dxfId="4" priority="13" operator="equal">
      <formula>"差"</formula>
    </cfRule>
  </conditionalFormatting>
  <conditionalFormatting sqref="U6:U389">
    <cfRule type="cellIs" dxfId="3" priority="1" operator="equal">
      <formula>"差"</formula>
    </cfRule>
    <cfRule type="containsText" dxfId="2" priority="2" operator="containsText" text="良">
      <formula>NOT(ISERROR(SEARCH("良",U6)))</formula>
    </cfRule>
    <cfRule type="containsText" dxfId="1" priority="3" operator="containsText" text="优">
      <formula>NOT(ISERROR(SEARCH("优",U6)))</formula>
    </cfRule>
    <cfRule type="containsText" dxfId="0" priority="4" operator="containsText" text="极差">
      <formula>NOT(ISERROR(SEARCH("极差",U6)))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3:C19"/>
  <sheetViews>
    <sheetView tabSelected="1" workbookViewId="0">
      <selection activeCell="A14" sqref="A14"/>
    </sheetView>
  </sheetViews>
  <sheetFormatPr defaultRowHeight="13.5" x14ac:dyDescent="0.15"/>
  <cols>
    <col min="1" max="1" width="46.625" customWidth="1"/>
    <col min="2" max="2" width="149" customWidth="1"/>
    <col min="3" max="3" width="26" customWidth="1"/>
  </cols>
  <sheetData>
    <row r="13" spans="3:3" x14ac:dyDescent="0.15">
      <c r="C13" s="2"/>
    </row>
    <row r="19" spans="3:3" x14ac:dyDescent="0.15">
      <c r="C19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搜索词报告</vt:lpstr>
      <vt:lpstr>总体数据一览</vt:lpstr>
      <vt:lpstr>关键词词频统计</vt:lpstr>
      <vt:lpstr>草稿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xbany</cp:lastModifiedBy>
  <dcterms:created xsi:type="dcterms:W3CDTF">2019-10-14T03:24:06Z</dcterms:created>
  <dcterms:modified xsi:type="dcterms:W3CDTF">2019-12-06T06:18:18Z</dcterms:modified>
</cp:coreProperties>
</file>