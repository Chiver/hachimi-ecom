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0" yWindow="0" windowWidth="18525" windowHeight="7125" tabRatio="587" activeTab="2"/>
  </bookViews>
  <sheets>
    <sheet name="运营库存周监控表（敏感分析，环比分析）" sheetId="7" r:id="rId1"/>
    <sheet name="亚马逊站内站外运营追踪表" sheetId="6" r:id="rId2"/>
    <sheet name="横版" sheetId="8" r:id="rId3"/>
    <sheet name="库存确认汇总" sheetId="2" state="hidden" r:id="rId4"/>
    <sheet name="本周库存数据整理表" sheetId="3" state="hidden" r:id="rId5"/>
    <sheet name="库存记录数据源" sheetId="5" state="hidden" r:id="rId6"/>
  </sheets>
  <definedNames>
    <definedName name="_xlnm._FilterDatabase" localSheetId="5" hidden="1">库存记录数据源!$A$1:$O$9</definedName>
    <definedName name="_xlnm._FilterDatabase" localSheetId="1" hidden="1">亚马逊站内站外运营追踪表!$A$3:$X$16</definedName>
    <definedName name="数据">#REF!</definedName>
    <definedName name="数据名称">#REF!</definedName>
  </definedNames>
  <calcPr calcId="125725"/>
</workbook>
</file>

<file path=xl/calcChain.xml><?xml version="1.0" encoding="utf-8"?>
<calcChain xmlns="http://schemas.openxmlformats.org/spreadsheetml/2006/main">
  <c r="N10" i="3"/>
  <c r="N9"/>
  <c r="N8"/>
  <c r="N7"/>
  <c r="N6"/>
  <c r="N5"/>
  <c r="N4"/>
  <c r="N3"/>
  <c r="BJ11" i="2"/>
  <c r="BI11"/>
  <c r="BH11"/>
  <c r="BG11"/>
  <c r="BE11"/>
  <c r="BD11"/>
  <c r="Z11"/>
  <c r="Y11"/>
  <c r="X11"/>
  <c r="W11"/>
  <c r="V11"/>
  <c r="T11"/>
  <c r="S11"/>
  <c r="R11"/>
  <c r="Q11"/>
  <c r="P11"/>
  <c r="O11"/>
  <c r="N11"/>
  <c r="L11"/>
  <c r="K11"/>
  <c r="J11"/>
  <c r="I11"/>
  <c r="H11"/>
  <c r="G11"/>
  <c r="F11"/>
  <c r="D11"/>
  <c r="C11"/>
  <c r="B11"/>
  <c r="BJ10"/>
  <c r="BH10"/>
  <c r="BG10"/>
  <c r="BE10"/>
  <c r="BD10"/>
  <c r="Z10"/>
  <c r="Y10"/>
  <c r="X10"/>
  <c r="W10"/>
  <c r="V10"/>
  <c r="T10"/>
  <c r="S10"/>
  <c r="R10"/>
  <c r="Q10"/>
  <c r="P10"/>
  <c r="O10"/>
  <c r="N10"/>
  <c r="L10"/>
  <c r="K10"/>
  <c r="J10"/>
  <c r="I10"/>
  <c r="H10"/>
  <c r="G10"/>
  <c r="F10"/>
  <c r="D10"/>
  <c r="C10"/>
  <c r="B10"/>
  <c r="BJ9"/>
  <c r="BI9"/>
  <c r="BH9"/>
  <c r="BG9"/>
  <c r="BE9"/>
  <c r="BD9"/>
  <c r="Z9"/>
  <c r="Y9"/>
  <c r="X9"/>
  <c r="W9"/>
  <c r="V9"/>
  <c r="T9"/>
  <c r="S9"/>
  <c r="R9"/>
  <c r="Q9"/>
  <c r="P9"/>
  <c r="O9"/>
  <c r="N9"/>
  <c r="L9"/>
  <c r="K9"/>
  <c r="J9"/>
  <c r="I9"/>
  <c r="H9"/>
  <c r="G9"/>
  <c r="F9"/>
  <c r="D9"/>
  <c r="C9"/>
  <c r="B9"/>
  <c r="BJ8"/>
  <c r="BH8"/>
  <c r="BG8"/>
  <c r="BE8"/>
  <c r="BD8"/>
  <c r="Z8"/>
  <c r="Y8"/>
  <c r="X8"/>
  <c r="W8"/>
  <c r="V8"/>
  <c r="T8"/>
  <c r="S8"/>
  <c r="R8"/>
  <c r="Q8"/>
  <c r="P8"/>
  <c r="O8"/>
  <c r="N8"/>
  <c r="L8"/>
  <c r="K8"/>
  <c r="J8"/>
  <c r="I8"/>
  <c r="H8"/>
  <c r="G8"/>
  <c r="F8"/>
  <c r="D8"/>
  <c r="C8"/>
  <c r="B8"/>
  <c r="BJ7"/>
  <c r="BH7"/>
  <c r="BG7"/>
  <c r="BE7"/>
  <c r="BD7"/>
  <c r="Z7"/>
  <c r="Y7"/>
  <c r="X7"/>
  <c r="W7"/>
  <c r="V7"/>
  <c r="T7"/>
  <c r="S7"/>
  <c r="R7"/>
  <c r="Q7"/>
  <c r="P7"/>
  <c r="O7"/>
  <c r="N7"/>
  <c r="L7"/>
  <c r="K7"/>
  <c r="J7"/>
  <c r="I7"/>
  <c r="G7"/>
  <c r="F7"/>
  <c r="D7"/>
  <c r="C7"/>
  <c r="B7"/>
  <c r="BJ6"/>
  <c r="BI6"/>
  <c r="BH6"/>
  <c r="BG6"/>
  <c r="BE6"/>
  <c r="BD6"/>
  <c r="Z6"/>
  <c r="Y6"/>
  <c r="X6"/>
  <c r="W6"/>
  <c r="V6"/>
  <c r="T6"/>
  <c r="S6"/>
  <c r="R6"/>
  <c r="Q6"/>
  <c r="P6"/>
  <c r="O6"/>
  <c r="N6"/>
  <c r="L6"/>
  <c r="K6"/>
  <c r="J6"/>
  <c r="I6"/>
  <c r="H6"/>
  <c r="G6"/>
  <c r="F6"/>
  <c r="D6"/>
  <c r="C6"/>
  <c r="B6"/>
  <c r="BJ5"/>
  <c r="BI5"/>
  <c r="BH5"/>
  <c r="BG5"/>
  <c r="BE5"/>
  <c r="BD5"/>
  <c r="Z5"/>
  <c r="Y5"/>
  <c r="X5"/>
  <c r="W5"/>
  <c r="V5"/>
  <c r="T5"/>
  <c r="S5"/>
  <c r="R5"/>
  <c r="Q5"/>
  <c r="P5"/>
  <c r="O5"/>
  <c r="N5"/>
  <c r="L5"/>
  <c r="K5"/>
  <c r="J5"/>
  <c r="I5"/>
  <c r="H5"/>
  <c r="G5"/>
  <c r="F5"/>
  <c r="D5"/>
  <c r="C5"/>
  <c r="B5"/>
  <c r="BJ4"/>
  <c r="BI4"/>
  <c r="BH4"/>
  <c r="BG4"/>
  <c r="BE4"/>
  <c r="BD4"/>
  <c r="Z4"/>
  <c r="Y4"/>
  <c r="X4"/>
  <c r="W4"/>
  <c r="V4"/>
  <c r="T4"/>
  <c r="S4"/>
  <c r="R4"/>
  <c r="Q4"/>
  <c r="P4"/>
  <c r="O4"/>
  <c r="N4"/>
  <c r="L4"/>
  <c r="K4"/>
  <c r="J4"/>
  <c r="I4"/>
  <c r="H4"/>
  <c r="G4"/>
  <c r="F4"/>
  <c r="D4"/>
  <c r="C4"/>
  <c r="B4"/>
  <c r="N13" i="8"/>
  <c r="M13"/>
  <c r="L13"/>
  <c r="K13"/>
  <c r="J13"/>
  <c r="I13"/>
  <c r="H13"/>
  <c r="G13"/>
  <c r="F13"/>
  <c r="E13"/>
  <c r="D13"/>
  <c r="C13"/>
  <c r="B13"/>
  <c r="N7"/>
  <c r="M7"/>
  <c r="L7"/>
  <c r="K7"/>
  <c r="J7"/>
  <c r="I7"/>
  <c r="H7"/>
  <c r="G7"/>
  <c r="F7"/>
  <c r="E7"/>
  <c r="D7"/>
  <c r="C7"/>
  <c r="B7"/>
  <c r="T4" i="7"/>
  <c r="S4"/>
  <c r="Q4"/>
  <c r="N4"/>
  <c r="K4"/>
  <c r="H4"/>
</calcChain>
</file>

<file path=xl/sharedStrings.xml><?xml version="1.0" encoding="utf-8"?>
<sst xmlns="http://schemas.openxmlformats.org/spreadsheetml/2006/main" count="315" uniqueCount="129">
  <si>
    <t>运营库存周监控表（敏感分析，环比分析）</t>
  </si>
  <si>
    <t>序号</t>
  </si>
  <si>
    <t>关键词（产品名称）</t>
  </si>
  <si>
    <t>SKU</t>
  </si>
  <si>
    <t>ASIN</t>
  </si>
  <si>
    <t>记录时间</t>
  </si>
  <si>
    <t>price($)</t>
  </si>
  <si>
    <t>rank</t>
  </si>
  <si>
    <t>周库存环比</t>
  </si>
  <si>
    <t>销售环比</t>
  </si>
  <si>
    <t>月均库存</t>
  </si>
  <si>
    <t>实际月库存周转率环比</t>
  </si>
  <si>
    <t>月均周转率</t>
  </si>
  <si>
    <t>产品趋势备注（升/降，平）</t>
  </si>
  <si>
    <t>上周rank</t>
  </si>
  <si>
    <t>本周rank</t>
  </si>
  <si>
    <t>环比上周</t>
  </si>
  <si>
    <t>上周库存</t>
  </si>
  <si>
    <t>本周库存</t>
  </si>
  <si>
    <t>库存环比</t>
  </si>
  <si>
    <t>上周销量</t>
  </si>
  <si>
    <t>本周销量</t>
  </si>
  <si>
    <t>本周月周转率</t>
  </si>
  <si>
    <t>使用指导：填入价格，排名，库存，销量即可以。看价格和销量及库存是否呈现一致规律，如果销量和库存不成正比或者环比率过大则有滞销风险。（表格中绿色标志为自动公式，其他区域为填写区域）</t>
  </si>
  <si>
    <t>防止问题：1.不要找大卖家也在卖不出去的产品，这样做起来压力大。2.价值高的产品批量前先测试市场。  3.测试市场过程中刷单时候分清流量来源，如果刷单了一周或半个月都没达到理想状态，要么就是刷单力度小，要么就是产品竞争大或者没有市场</t>
  </si>
  <si>
    <t>这个方法可以第一：防止库存挤压，
第二：防止断货，第三：明确销售变化，第四：更加明确你需要投入时间的货物业务</t>
  </si>
  <si>
    <t>销量怀比是 =（本周销量-上周）/上周销量</t>
  </si>
  <si>
    <t>周转率= 销量*4 /库存</t>
  </si>
  <si>
    <r>
      <rPr>
        <sz val="36"/>
        <color theme="1"/>
        <rFont val="微软雅黑"/>
        <family val="2"/>
        <charset val="134"/>
      </rPr>
      <t>亚马逊站内站外运营追踪表</t>
    </r>
    <r>
      <rPr>
        <sz val="11"/>
        <color theme="1"/>
        <rFont val="微软雅黑"/>
        <family val="2"/>
        <charset val="134"/>
      </rPr>
      <t>（</t>
    </r>
    <r>
      <rPr>
        <b/>
        <sz val="10"/>
        <color rgb="FFFF0000"/>
        <rFont val="微软雅黑"/>
        <family val="2"/>
        <charset val="134"/>
      </rPr>
      <t>同时站外可追踪竞争对手，数据并可直接引用到运营库存周监控表中去</t>
    </r>
    <r>
      <rPr>
        <sz val="11"/>
        <color theme="1"/>
        <rFont val="微软雅黑"/>
        <family val="2"/>
        <charset val="134"/>
      </rPr>
      <t>）</t>
    </r>
  </si>
  <si>
    <t>项目</t>
  </si>
  <si>
    <t>站外追踪（可每隔7天登记一次）</t>
  </si>
  <si>
    <t>站内追踪（每日登记或定期登记皆可）可以发现上述之间关系，便于找出原因，及广告型产品，同类产品比较，各变量之间关系比较。</t>
  </si>
  <si>
    <t>日期</t>
  </si>
  <si>
    <t>Type</t>
  </si>
  <si>
    <t>Brand</t>
  </si>
  <si>
    <t>Track Date</t>
  </si>
  <si>
    <t>Price</t>
  </si>
  <si>
    <t>RANK</t>
  </si>
  <si>
    <t>product star</t>
  </si>
  <si>
    <t>review (数量）</t>
  </si>
  <si>
    <t>Note</t>
  </si>
  <si>
    <t>Inventory</t>
  </si>
  <si>
    <t>总共花费</t>
  </si>
  <si>
    <t>点击率</t>
  </si>
  <si>
    <r>
      <rPr>
        <sz val="10"/>
        <color theme="1"/>
        <rFont val="微软雅黑"/>
        <family val="2"/>
        <charset val="134"/>
      </rPr>
      <t>广告点击</t>
    </r>
    <r>
      <rPr>
        <sz val="10"/>
        <color theme="1"/>
        <rFont val="微软雅黑"/>
        <family val="2"/>
        <charset val="134"/>
      </rPr>
      <t xml:space="preserve"> </t>
    </r>
  </si>
  <si>
    <t>自然点击</t>
  </si>
  <si>
    <t>总共点击</t>
  </si>
  <si>
    <t>订单销量</t>
  </si>
  <si>
    <t>广告点击/曝光</t>
  </si>
  <si>
    <t>广告Acos（广告成本/广告收入）</t>
  </si>
  <si>
    <t>广告点击转化（广告订单量/广告点击）</t>
  </si>
  <si>
    <t>转化率</t>
  </si>
  <si>
    <t>当天排名</t>
  </si>
  <si>
    <t>发出促销code</t>
  </si>
  <si>
    <t>a</t>
  </si>
  <si>
    <t>b</t>
  </si>
  <si>
    <t>星期一</t>
  </si>
  <si>
    <t>星期二</t>
  </si>
  <si>
    <t>星期三</t>
  </si>
  <si>
    <t>星期四</t>
  </si>
  <si>
    <t>星期五</t>
  </si>
  <si>
    <t>星期六</t>
  </si>
  <si>
    <t>星期日</t>
  </si>
  <si>
    <t>曝光量</t>
  </si>
  <si>
    <t>订单</t>
  </si>
  <si>
    <t>可以发现上述之间关系，便于找出原因，及广告型产品，同类产品比较，各变量之间关系比较。</t>
  </si>
  <si>
    <t xml:space="preserve"> Product track table (模板 2016.11.10)</t>
  </si>
  <si>
    <t>单次/月均</t>
  </si>
  <si>
    <r>
      <rPr>
        <sz val="8"/>
        <color theme="1"/>
        <rFont val="宋体"/>
        <family val="3"/>
        <charset val="134"/>
      </rPr>
      <t>存货周转率：</t>
    </r>
    <r>
      <rPr>
        <sz val="8"/>
        <color indexed="10"/>
        <rFont val="宋体"/>
        <family val="3"/>
        <charset val="134"/>
      </rPr>
      <t>使用/库存数*100%</t>
    </r>
  </si>
  <si>
    <t>上周数据(无公式）</t>
  </si>
  <si>
    <t>季度/（季度初+季度末）/2=标准3，为某资金/3=可以使用的某资金流转3次，标准：120.存货周转天数=360/存货周转率</t>
  </si>
  <si>
    <t>NO.</t>
  </si>
  <si>
    <t>其它</t>
  </si>
  <si>
    <t>Rank</t>
  </si>
  <si>
    <t>Product Star</t>
  </si>
  <si>
    <t>Review (数量）</t>
  </si>
  <si>
    <t>Inventory（数量）</t>
  </si>
  <si>
    <t>Sales volume</t>
  </si>
  <si>
    <t>手动</t>
  </si>
  <si>
    <t>本周</t>
  </si>
  <si>
    <t>标准评级</t>
  </si>
  <si>
    <t>亚马逊本周</t>
  </si>
  <si>
    <t>亚马逊上周</t>
  </si>
  <si>
    <t>上周月周转率</t>
  </si>
  <si>
    <t>本次月周转率</t>
  </si>
  <si>
    <t>店铺库存量</t>
  </si>
  <si>
    <t>销量环比</t>
  </si>
  <si>
    <t>总销量</t>
  </si>
  <si>
    <t>上周</t>
  </si>
  <si>
    <t>上周周转率</t>
  </si>
  <si>
    <t>本周周转率</t>
  </si>
  <si>
    <t>店铺库存</t>
  </si>
  <si>
    <t>第1周库存使用量</t>
  </si>
  <si>
    <t>第2周库存使用量</t>
  </si>
  <si>
    <t>第3周库存使用量</t>
  </si>
  <si>
    <t>第4周库存最近使用量</t>
  </si>
  <si>
    <t>一期差异</t>
  </si>
  <si>
    <t>二期差异</t>
  </si>
  <si>
    <t>三期差异</t>
  </si>
  <si>
    <t>合计差异</t>
  </si>
  <si>
    <t>合计库存量</t>
  </si>
  <si>
    <t>库存周转率</t>
  </si>
  <si>
    <t>B0005</t>
  </si>
  <si>
    <t>iphone</t>
  </si>
  <si>
    <t>YQ5</t>
  </si>
  <si>
    <t>EAV</t>
  </si>
  <si>
    <t>无变化</t>
  </si>
  <si>
    <t>B0002</t>
  </si>
  <si>
    <t>YQ2</t>
  </si>
  <si>
    <t>B0003</t>
  </si>
  <si>
    <t>YQ3</t>
  </si>
  <si>
    <t>B0004</t>
  </si>
  <si>
    <t>YQ4</t>
  </si>
  <si>
    <t>B0001</t>
  </si>
  <si>
    <t>YQ1</t>
  </si>
  <si>
    <t>B0006</t>
  </si>
  <si>
    <t>YQ6</t>
  </si>
  <si>
    <t>B0007</t>
  </si>
  <si>
    <t>YQ7</t>
  </si>
  <si>
    <t>B0008</t>
  </si>
  <si>
    <t>YQ8</t>
  </si>
  <si>
    <t>本表自动匹配本周库存数据整理表数据进行分析环比价格和其它信息对比，本周库存数据整理表源于后台FBA库存导出数据。</t>
  </si>
  <si>
    <t>本部分数据只需要复制左边的上周数据的值和数字格式粘贴到右边即可，左边则自动计算环比和匹配数据源。</t>
  </si>
  <si>
    <t>本周库存整理表</t>
  </si>
  <si>
    <t>Inventory（上周库存）</t>
  </si>
  <si>
    <t xml:space="preserve">（上周库存）Store inventory </t>
  </si>
  <si>
    <t>Sale</t>
  </si>
  <si>
    <t>mAh</t>
  </si>
  <si>
    <t xml:space="preserve">Store inventory </t>
  </si>
</sst>
</file>

<file path=xl/styles.xml><?xml version="1.0" encoding="utf-8"?>
<styleSheet xmlns="http://schemas.openxmlformats.org/spreadsheetml/2006/main">
  <numFmts count="4">
    <numFmt numFmtId="178" formatCode="0.00_);[Red]\(0.00\)"/>
    <numFmt numFmtId="179" formatCode="0.00;[Red]0.00"/>
    <numFmt numFmtId="180" formatCode="yyyy/m/d;@"/>
    <numFmt numFmtId="181" formatCode="m&quot;月&quot;d&quot;日&quot;;@"/>
  </numFmts>
  <fonts count="32">
    <font>
      <sz val="11"/>
      <color theme="1"/>
      <name val="宋体"/>
      <charset val="134"/>
      <scheme val="minor"/>
    </font>
    <font>
      <b/>
      <sz val="10"/>
      <color theme="1"/>
      <name val="Arial Unicode MS"/>
      <family val="2"/>
      <charset val="134"/>
    </font>
    <font>
      <sz val="11"/>
      <color rgb="FF000000"/>
      <name val="宋体"/>
      <family val="3"/>
      <charset val="134"/>
      <scheme val="minor"/>
    </font>
    <font>
      <b/>
      <sz val="8"/>
      <color theme="1"/>
      <name val="Arial Unicode MS"/>
      <family val="2"/>
      <charset val="134"/>
    </font>
    <font>
      <sz val="10"/>
      <color theme="1"/>
      <name val="Arial Unicode MS"/>
      <family val="2"/>
      <charset val="134"/>
    </font>
    <font>
      <sz val="9"/>
      <color theme="1"/>
      <name val="微软雅黑"/>
      <family val="2"/>
      <charset val="134"/>
    </font>
    <font>
      <b/>
      <sz val="11"/>
      <color theme="1"/>
      <name val="宋体"/>
      <family val="3"/>
      <charset val="134"/>
      <scheme val="minor"/>
    </font>
    <font>
      <b/>
      <sz val="8"/>
      <color rgb="FF000000"/>
      <name val="Arial Unicode MS"/>
      <family val="2"/>
      <charset val="134"/>
    </font>
    <font>
      <b/>
      <sz val="16"/>
      <color theme="1"/>
      <name val="宋体"/>
      <family val="3"/>
      <charset val="134"/>
      <scheme val="minor"/>
    </font>
    <font>
      <sz val="10"/>
      <color theme="1"/>
      <name val="微软雅黑"/>
      <family val="2"/>
      <charset val="134"/>
    </font>
    <font>
      <sz val="9"/>
      <color theme="1"/>
      <name val="宋体"/>
      <family val="3"/>
      <charset val="134"/>
      <scheme val="minor"/>
    </font>
    <font>
      <b/>
      <sz val="11"/>
      <color theme="1"/>
      <name val="Arial Unicode MS"/>
      <family val="2"/>
      <charset val="134"/>
    </font>
    <font>
      <sz val="8"/>
      <color theme="1"/>
      <name val="微软雅黑"/>
      <family val="2"/>
      <charset val="134"/>
    </font>
    <font>
      <sz val="12"/>
      <color theme="1"/>
      <name val="Arial"/>
      <family val="2"/>
    </font>
    <font>
      <sz val="8"/>
      <color theme="1"/>
      <name val="宋体"/>
      <family val="3"/>
      <charset val="134"/>
      <scheme val="minor"/>
    </font>
    <font>
      <sz val="8"/>
      <color theme="1"/>
      <name val="宋体"/>
      <family val="3"/>
      <charset val="134"/>
    </font>
    <font>
      <sz val="22"/>
      <color theme="1"/>
      <name val="宋体"/>
      <family val="3"/>
      <charset val="134"/>
      <scheme val="minor"/>
    </font>
    <font>
      <sz val="11"/>
      <color rgb="FFFF0000"/>
      <name val="宋体"/>
      <family val="3"/>
      <charset val="134"/>
      <scheme val="minor"/>
    </font>
    <font>
      <b/>
      <sz val="10"/>
      <color theme="1"/>
      <name val="微软雅黑"/>
      <family val="2"/>
      <charset val="134"/>
    </font>
    <font>
      <sz val="10"/>
      <color rgb="FFFF0000"/>
      <name val="微软雅黑"/>
      <family val="2"/>
      <charset val="134"/>
    </font>
    <font>
      <sz val="36"/>
      <color theme="1"/>
      <name val="微软雅黑"/>
      <family val="2"/>
      <charset val="134"/>
    </font>
    <font>
      <b/>
      <sz val="28"/>
      <color rgb="FF7030A0"/>
      <name val="微软雅黑"/>
      <family val="2"/>
      <charset val="134"/>
    </font>
    <font>
      <sz val="28"/>
      <color rgb="FF7030A0"/>
      <name val="宋体"/>
      <family val="3"/>
      <charset val="134"/>
      <scheme val="minor"/>
    </font>
    <font>
      <sz val="10"/>
      <color theme="1"/>
      <name val="宋体"/>
      <family val="3"/>
      <charset val="134"/>
      <scheme val="minor"/>
    </font>
    <font>
      <sz val="11"/>
      <color indexed="8"/>
      <name val="Calibri"/>
      <family val="2"/>
    </font>
    <font>
      <sz val="11"/>
      <color indexed="8"/>
      <name val="宋体"/>
      <family val="3"/>
      <charset val="134"/>
    </font>
    <font>
      <sz val="11"/>
      <color indexed="8"/>
      <name val="Calibri"/>
      <family val="2"/>
    </font>
    <font>
      <sz val="8"/>
      <color indexed="10"/>
      <name val="宋体"/>
      <family val="3"/>
      <charset val="134"/>
    </font>
    <font>
      <sz val="11"/>
      <color theme="1"/>
      <name val="微软雅黑"/>
      <family val="2"/>
      <charset val="134"/>
    </font>
    <font>
      <b/>
      <sz val="10"/>
      <color rgb="FFFF0000"/>
      <name val="微软雅黑"/>
      <family val="2"/>
      <charset val="134"/>
    </font>
    <font>
      <sz val="11"/>
      <color theme="1"/>
      <name val="宋体"/>
      <family val="3"/>
      <charset val="134"/>
      <scheme val="minor"/>
    </font>
    <font>
      <sz val="9"/>
      <name val="宋体"/>
      <family val="3"/>
      <charset val="134"/>
      <scheme val="minor"/>
    </font>
  </fonts>
  <fills count="17">
    <fill>
      <patternFill patternType="none"/>
    </fill>
    <fill>
      <patternFill patternType="gray125"/>
    </fill>
    <fill>
      <patternFill patternType="solid">
        <fgColor theme="3" tint="0.59999389629810485"/>
        <bgColor indexed="64"/>
      </patternFill>
    </fill>
    <fill>
      <patternFill patternType="solid">
        <fgColor rgb="FF92D050"/>
        <bgColor indexed="64"/>
      </patternFill>
    </fill>
    <fill>
      <patternFill patternType="solid">
        <fgColor theme="7" tint="0.39985351115451523"/>
        <bgColor indexed="64"/>
      </patternFill>
    </fill>
    <fill>
      <patternFill patternType="solid">
        <fgColor theme="7" tint="0.39994506668294322"/>
        <bgColor indexed="64"/>
      </patternFill>
    </fill>
    <fill>
      <patternFill patternType="solid">
        <fgColor theme="4" tint="0.59999389629810485"/>
        <bgColor indexed="64"/>
      </patternFill>
    </fill>
    <fill>
      <patternFill patternType="solid">
        <fgColor rgb="FF7030A0"/>
        <bgColor indexed="64"/>
      </patternFill>
    </fill>
    <fill>
      <patternFill patternType="solid">
        <fgColor theme="8" tint="0.59999389629810485"/>
        <bgColor indexed="64"/>
      </patternFill>
    </fill>
    <fill>
      <patternFill patternType="solid">
        <fgColor theme="4" tint="0.39988402966399123"/>
        <bgColor indexed="64"/>
      </patternFill>
    </fill>
    <fill>
      <patternFill patternType="solid">
        <fgColor rgb="FF00B0F0"/>
        <bgColor indexed="64"/>
      </patternFill>
    </fill>
    <fill>
      <patternFill patternType="solid">
        <fgColor theme="4" tint="0.79995117038483843"/>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3" tint="0.59999389629810485"/>
        <bgColor indexed="64"/>
      </patternFill>
    </fill>
    <fill>
      <patternFill patternType="solid">
        <fgColor rgb="FFFDB7CD"/>
        <bgColor indexed="64"/>
      </patternFill>
    </fill>
  </fills>
  <borders count="53">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thin">
        <color auto="1"/>
      </top>
      <bottom style="hair">
        <color auto="1"/>
      </bottom>
      <diagonal/>
    </border>
    <border>
      <left/>
      <right/>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thick">
        <color rgb="FF7030A0"/>
      </left>
      <right style="hair">
        <color rgb="FF7030A0"/>
      </right>
      <top style="thick">
        <color rgb="FF7030A0"/>
      </top>
      <bottom style="hair">
        <color rgb="FF7030A0"/>
      </bottom>
      <diagonal/>
    </border>
    <border>
      <left style="hair">
        <color rgb="FF7030A0"/>
      </left>
      <right style="hair">
        <color rgb="FF7030A0"/>
      </right>
      <top style="thick">
        <color rgb="FF7030A0"/>
      </top>
      <bottom style="hair">
        <color rgb="FF7030A0"/>
      </bottom>
      <diagonal/>
    </border>
    <border>
      <left style="thick">
        <color rgb="FF7030A0"/>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style="thick">
        <color rgb="FF7030A0"/>
      </left>
      <right style="hair">
        <color rgb="FF7030A0"/>
      </right>
      <top style="hair">
        <color rgb="FF7030A0"/>
      </top>
      <bottom style="thick">
        <color rgb="FF7030A0"/>
      </bottom>
      <diagonal/>
    </border>
    <border>
      <left style="hair">
        <color rgb="FF7030A0"/>
      </left>
      <right style="hair">
        <color rgb="FF7030A0"/>
      </right>
      <top style="hair">
        <color rgb="FF7030A0"/>
      </top>
      <bottom style="thick">
        <color rgb="FF7030A0"/>
      </bottom>
      <diagonal/>
    </border>
    <border>
      <left/>
      <right/>
      <top/>
      <bottom style="thick">
        <color rgb="FF7030A0"/>
      </bottom>
      <diagonal/>
    </border>
    <border>
      <left style="hair">
        <color rgb="FF7030A0"/>
      </left>
      <right style="hair">
        <color rgb="FF7030A0"/>
      </right>
      <top/>
      <bottom style="hair">
        <color rgb="FF7030A0"/>
      </bottom>
      <diagonal/>
    </border>
    <border>
      <left style="hair">
        <color rgb="FF7030A0"/>
      </left>
      <right style="hair">
        <color rgb="FF7030A0"/>
      </right>
      <top style="hair">
        <color rgb="FF7030A0"/>
      </top>
      <bottom/>
      <diagonal/>
    </border>
    <border>
      <left style="hair">
        <color rgb="FF7030A0"/>
      </left>
      <right style="thick">
        <color rgb="FF7030A0"/>
      </right>
      <top style="thick">
        <color rgb="FF7030A0"/>
      </top>
      <bottom style="hair">
        <color rgb="FF7030A0"/>
      </bottom>
      <diagonal/>
    </border>
    <border>
      <left style="hair">
        <color rgb="FF7030A0"/>
      </left>
      <right style="thick">
        <color rgb="FF7030A0"/>
      </right>
      <top style="hair">
        <color rgb="FF7030A0"/>
      </top>
      <bottom style="hair">
        <color rgb="FF7030A0"/>
      </bottom>
      <diagonal/>
    </border>
    <border>
      <left/>
      <right style="hair">
        <color rgb="FF7030A0"/>
      </right>
      <top style="hair">
        <color rgb="FF7030A0"/>
      </top>
      <bottom style="hair">
        <color rgb="FF7030A0"/>
      </bottom>
      <diagonal/>
    </border>
    <border>
      <left style="hair">
        <color rgb="FF7030A0"/>
      </left>
      <right style="thick">
        <color rgb="FF7030A0"/>
      </right>
      <top style="hair">
        <color rgb="FF7030A0"/>
      </top>
      <bottom style="thick">
        <color rgb="FF7030A0"/>
      </bottom>
      <diagonal/>
    </border>
    <border>
      <left style="hair">
        <color rgb="FF7030A0"/>
      </left>
      <right/>
      <top style="hair">
        <color rgb="FF7030A0"/>
      </top>
      <bottom style="hair">
        <color rgb="FF7030A0"/>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7030A0"/>
      </left>
      <right style="hair">
        <color rgb="FF7030A0"/>
      </right>
      <top style="thin">
        <color rgb="FF7030A0"/>
      </top>
      <bottom style="hair">
        <color rgb="FF7030A0"/>
      </bottom>
      <diagonal/>
    </border>
    <border>
      <left style="hair">
        <color rgb="FF7030A0"/>
      </left>
      <right style="hair">
        <color rgb="FF7030A0"/>
      </right>
      <top style="thin">
        <color rgb="FF7030A0"/>
      </top>
      <bottom style="hair">
        <color rgb="FF7030A0"/>
      </bottom>
      <diagonal/>
    </border>
    <border>
      <left style="thin">
        <color rgb="FF7030A0"/>
      </left>
      <right style="hair">
        <color rgb="FF7030A0"/>
      </right>
      <top style="hair">
        <color rgb="FF7030A0"/>
      </top>
      <bottom style="hair">
        <color rgb="FF7030A0"/>
      </bottom>
      <diagonal/>
    </border>
    <border>
      <left style="thin">
        <color rgb="FF7030A0"/>
      </left>
      <right style="hair">
        <color rgb="FF7030A0"/>
      </right>
      <top style="hair">
        <color rgb="FF7030A0"/>
      </top>
      <bottom style="thin">
        <color rgb="FF7030A0"/>
      </bottom>
      <diagonal/>
    </border>
    <border>
      <left style="hair">
        <color rgb="FF7030A0"/>
      </left>
      <right style="hair">
        <color rgb="FF7030A0"/>
      </right>
      <top style="hair">
        <color rgb="FF7030A0"/>
      </top>
      <bottom style="thin">
        <color rgb="FF7030A0"/>
      </bottom>
      <diagonal/>
    </border>
    <border>
      <left style="hair">
        <color rgb="FF7030A0"/>
      </left>
      <right style="thin">
        <color rgb="FF7030A0"/>
      </right>
      <top style="thin">
        <color rgb="FF7030A0"/>
      </top>
      <bottom style="hair">
        <color rgb="FF7030A0"/>
      </bottom>
      <diagonal/>
    </border>
    <border>
      <left style="hair">
        <color rgb="FF7030A0"/>
      </left>
      <right style="thin">
        <color rgb="FF7030A0"/>
      </right>
      <top style="hair">
        <color rgb="FF7030A0"/>
      </top>
      <bottom style="hair">
        <color rgb="FF7030A0"/>
      </bottom>
      <diagonal/>
    </border>
    <border>
      <left style="hair">
        <color rgb="FF7030A0"/>
      </left>
      <right style="thin">
        <color rgb="FF7030A0"/>
      </right>
      <top style="hair">
        <color rgb="FF7030A0"/>
      </top>
      <bottom style="thin">
        <color rgb="FF7030A0"/>
      </bottom>
      <diagonal/>
    </border>
    <border>
      <left style="thin">
        <color theme="7"/>
      </left>
      <right style="hair">
        <color theme="7"/>
      </right>
      <top style="thin">
        <color theme="7"/>
      </top>
      <bottom style="hair">
        <color theme="7"/>
      </bottom>
      <diagonal/>
    </border>
    <border>
      <left style="hair">
        <color theme="7"/>
      </left>
      <right style="hair">
        <color theme="7"/>
      </right>
      <top style="thin">
        <color theme="7"/>
      </top>
      <bottom style="hair">
        <color theme="7"/>
      </bottom>
      <diagonal/>
    </border>
    <border>
      <left style="thin">
        <color theme="7"/>
      </left>
      <right style="hair">
        <color theme="7"/>
      </right>
      <top style="hair">
        <color theme="7"/>
      </top>
      <bottom style="hair">
        <color theme="7"/>
      </bottom>
      <diagonal/>
    </border>
    <border>
      <left style="hair">
        <color theme="7"/>
      </left>
      <right style="hair">
        <color theme="7"/>
      </right>
      <top style="hair">
        <color theme="7"/>
      </top>
      <bottom style="hair">
        <color theme="7"/>
      </bottom>
      <diagonal/>
    </border>
    <border>
      <left style="hair">
        <color theme="7"/>
      </left>
      <right style="hair">
        <color theme="7"/>
      </right>
      <top style="hair">
        <color theme="7"/>
      </top>
      <bottom style="thin">
        <color theme="7"/>
      </bottom>
      <diagonal/>
    </border>
    <border>
      <left style="hair">
        <color theme="7"/>
      </left>
      <right style="thin">
        <color theme="7"/>
      </right>
      <top style="thin">
        <color theme="7"/>
      </top>
      <bottom style="hair">
        <color theme="7"/>
      </bottom>
      <diagonal/>
    </border>
    <border>
      <left style="hair">
        <color theme="7"/>
      </left>
      <right style="thin">
        <color theme="7"/>
      </right>
      <top style="hair">
        <color theme="7"/>
      </top>
      <bottom style="hair">
        <color theme="7"/>
      </bottom>
      <diagonal/>
    </border>
    <border>
      <left style="hair">
        <color theme="7"/>
      </left>
      <right style="thin">
        <color theme="7"/>
      </right>
      <top style="hair">
        <color theme="7"/>
      </top>
      <bottom style="thin">
        <color theme="7"/>
      </bottom>
      <diagonal/>
    </border>
    <border>
      <left style="medium">
        <color rgb="FF7030A0"/>
      </left>
      <right style="hair">
        <color rgb="FF7030A0"/>
      </right>
      <top style="medium">
        <color rgb="FF7030A0"/>
      </top>
      <bottom style="hair">
        <color rgb="FF7030A0"/>
      </bottom>
      <diagonal/>
    </border>
    <border>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medium">
        <color rgb="FF7030A0"/>
      </left>
      <right style="hair">
        <color rgb="FF7030A0"/>
      </right>
      <top style="hair">
        <color rgb="FF7030A0"/>
      </top>
      <bottom/>
      <diagonal/>
    </border>
    <border>
      <left/>
      <right style="hair">
        <color rgb="FF7030A0"/>
      </right>
      <top style="hair">
        <color rgb="FF7030A0"/>
      </top>
      <bottom/>
      <diagonal/>
    </border>
    <border>
      <left style="thin">
        <color rgb="FFFFFFFF"/>
      </left>
      <right style="thin">
        <color rgb="FFFFFFFF"/>
      </right>
      <top/>
      <bottom/>
      <diagonal/>
    </border>
    <border>
      <left style="hair">
        <color rgb="FF7030A0"/>
      </left>
      <right style="medium">
        <color rgb="FF7030A0"/>
      </right>
      <top style="medium">
        <color rgb="FF7030A0"/>
      </top>
      <bottom style="hair">
        <color rgb="FF7030A0"/>
      </bottom>
      <diagonal/>
    </border>
    <border>
      <left style="hair">
        <color rgb="FF7030A0"/>
      </left>
      <right style="medium">
        <color rgb="FF7030A0"/>
      </right>
      <top style="hair">
        <color rgb="FF7030A0"/>
      </top>
      <bottom style="hair">
        <color rgb="FF7030A0"/>
      </bottom>
      <diagonal/>
    </border>
    <border>
      <left style="hair">
        <color rgb="FF7030A0"/>
      </left>
      <right style="medium">
        <color rgb="FF7030A0"/>
      </right>
      <top style="hair">
        <color rgb="FF7030A0"/>
      </top>
      <bottom/>
      <diagonal/>
    </border>
  </borders>
  <cellStyleXfs count="8">
    <xf numFmtId="0" fontId="0" fillId="0" borderId="0">
      <alignment vertical="center"/>
    </xf>
    <xf numFmtId="0" fontId="24" fillId="0" borderId="0">
      <alignment vertical="center"/>
    </xf>
    <xf numFmtId="9" fontId="30" fillId="0" borderId="0" applyFont="0" applyFill="0" applyBorder="0" applyAlignment="0" applyProtection="0">
      <alignment vertical="center"/>
    </xf>
    <xf numFmtId="9" fontId="30" fillId="0" borderId="0" applyFont="0" applyFill="0" applyBorder="0" applyAlignment="0" applyProtection="0">
      <alignment vertical="center"/>
    </xf>
    <xf numFmtId="0" fontId="25" fillId="0" borderId="0">
      <alignment vertical="center"/>
    </xf>
    <xf numFmtId="0" fontId="30" fillId="0" borderId="0">
      <alignment vertical="center"/>
    </xf>
    <xf numFmtId="0" fontId="25" fillId="0" borderId="0">
      <alignment vertical="center"/>
    </xf>
    <xf numFmtId="0" fontId="26" fillId="0" borderId="0">
      <alignment vertical="center"/>
    </xf>
  </cellStyleXfs>
  <cellXfs count="207">
    <xf numFmtId="0" fontId="0" fillId="0" borderId="0" xfId="0">
      <alignment vertical="center"/>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2" xfId="0" applyNumberFormat="1" applyFont="1" applyFill="1" applyBorder="1" applyAlignment="1">
      <alignment horizontal="center" vertical="center" wrapText="1"/>
    </xf>
    <xf numFmtId="0" fontId="0" fillId="0" borderId="0" xfId="0" applyNumberFormat="1">
      <alignment vertical="center"/>
    </xf>
    <xf numFmtId="14" fontId="0" fillId="0" borderId="0" xfId="0" applyNumberFormat="1">
      <alignment vertical="center"/>
    </xf>
    <xf numFmtId="0" fontId="0" fillId="0" borderId="3"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1" fillId="2" borderId="2" xfId="0" applyFont="1" applyFill="1" applyBorder="1" applyAlignment="1">
      <alignment horizontal="center" vertical="center" wrapText="1"/>
    </xf>
    <xf numFmtId="0" fontId="2" fillId="2" borderId="6" xfId="0" applyFont="1" applyFill="1" applyBorder="1" applyAlignment="1">
      <alignment vertical="center" wrapText="1"/>
    </xf>
    <xf numFmtId="0" fontId="0" fillId="2" borderId="0" xfId="0" applyNumberFormat="1" applyFill="1">
      <alignment vertical="center"/>
    </xf>
    <xf numFmtId="0" fontId="0" fillId="0" borderId="0" xfId="0" applyAlignment="1">
      <alignment vertical="center" wrapText="1"/>
    </xf>
    <xf numFmtId="0" fontId="1" fillId="0" borderId="7" xfId="0" applyFont="1" applyBorder="1" applyAlignment="1">
      <alignment vertical="center"/>
    </xf>
    <xf numFmtId="0" fontId="3" fillId="2" borderId="8"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0" fillId="3" borderId="0" xfId="0" applyFill="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1" fillId="0" borderId="7" xfId="0" applyFont="1" applyBorder="1" applyAlignment="1">
      <alignment vertical="center" wrapText="1"/>
    </xf>
    <xf numFmtId="0" fontId="1"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0" xfId="0" applyNumberFormat="1" applyAlignment="1">
      <alignment vertical="center" wrapText="1"/>
    </xf>
    <xf numFmtId="180" fontId="0" fillId="0" borderId="0" xfId="0" applyNumberFormat="1">
      <alignment vertical="center"/>
    </xf>
    <xf numFmtId="178" fontId="0" fillId="0" borderId="0" xfId="0" applyNumberFormat="1">
      <alignment vertical="center"/>
    </xf>
    <xf numFmtId="9" fontId="0" fillId="0" borderId="0" xfId="2">
      <alignment vertical="center"/>
    </xf>
    <xf numFmtId="0" fontId="1"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xf>
    <xf numFmtId="178" fontId="3" fillId="4" borderId="13" xfId="0" applyNumberFormat="1" applyFont="1" applyFill="1" applyBorder="1" applyAlignment="1">
      <alignment horizontal="center" vertical="center" wrapText="1"/>
    </xf>
    <xf numFmtId="0" fontId="0" fillId="0" borderId="12" xfId="0" applyBorder="1">
      <alignment vertical="center"/>
    </xf>
    <xf numFmtId="0" fontId="9" fillId="0" borderId="13" xfId="0" applyFont="1" applyBorder="1" applyAlignment="1">
      <alignment horizontal="center" vertical="center" wrapText="1"/>
    </xf>
    <xf numFmtId="180" fontId="9" fillId="0" borderId="13" xfId="0" applyNumberFormat="1" applyFont="1" applyBorder="1" applyAlignment="1">
      <alignment horizontal="center" vertical="center" wrapText="1"/>
    </xf>
    <xf numFmtId="178" fontId="9" fillId="0" borderId="13" xfId="0" applyNumberFormat="1" applyFont="1" applyBorder="1" applyAlignment="1">
      <alignment horizontal="center" vertical="center" wrapText="1"/>
    </xf>
    <xf numFmtId="0" fontId="0" fillId="0" borderId="14" xfId="0" applyBorder="1">
      <alignment vertical="center"/>
    </xf>
    <xf numFmtId="0" fontId="9" fillId="0" borderId="15" xfId="0" applyFont="1" applyBorder="1" applyAlignment="1">
      <alignment horizontal="center" vertical="center" wrapText="1"/>
    </xf>
    <xf numFmtId="0" fontId="4" fillId="0" borderId="16" xfId="0" applyFont="1" applyBorder="1">
      <alignment vertical="center"/>
    </xf>
    <xf numFmtId="180" fontId="9" fillId="0" borderId="15" xfId="0" applyNumberFormat="1" applyFont="1" applyBorder="1" applyAlignment="1">
      <alignment horizontal="center" vertical="center" wrapText="1"/>
    </xf>
    <xf numFmtId="178" fontId="9" fillId="0" borderId="15" xfId="0" applyNumberFormat="1" applyFont="1" applyBorder="1" applyAlignment="1">
      <alignment horizontal="center" vertical="center" wrapText="1"/>
    </xf>
    <xf numFmtId="9" fontId="3" fillId="6" borderId="13" xfId="2" applyFont="1" applyFill="1" applyBorder="1" applyAlignment="1">
      <alignment horizontal="center" vertical="center" wrapText="1"/>
    </xf>
    <xf numFmtId="0" fontId="3" fillId="6" borderId="13" xfId="0" applyNumberFormat="1" applyFont="1" applyFill="1" applyBorder="1" applyAlignment="1">
      <alignment horizontal="center" vertical="center" wrapText="1"/>
    </xf>
    <xf numFmtId="0" fontId="3" fillId="7" borderId="13" xfId="0" applyNumberFormat="1" applyFont="1" applyFill="1" applyBorder="1" applyAlignment="1">
      <alignment horizontal="center" vertical="center" wrapText="1"/>
    </xf>
    <xf numFmtId="9" fontId="10" fillId="0" borderId="13" xfId="2" applyFont="1" applyBorder="1">
      <alignment vertical="center"/>
    </xf>
    <xf numFmtId="0" fontId="9" fillId="0" borderId="13" xfId="0" applyNumberFormat="1" applyFont="1" applyBorder="1" applyAlignment="1">
      <alignment horizontal="center" vertical="center" wrapText="1"/>
    </xf>
    <xf numFmtId="9" fontId="0" fillId="0" borderId="13" xfId="2" applyBorder="1">
      <alignment vertical="center"/>
    </xf>
    <xf numFmtId="0" fontId="0" fillId="0" borderId="13" xfId="0" applyFill="1" applyBorder="1">
      <alignment vertical="center"/>
    </xf>
    <xf numFmtId="9" fontId="0" fillId="0" borderId="13" xfId="2" applyBorder="1" applyAlignment="1">
      <alignment horizontal="center" vertical="center"/>
    </xf>
    <xf numFmtId="0" fontId="0" fillId="0" borderId="13" xfId="0" applyBorder="1">
      <alignment vertical="center"/>
    </xf>
    <xf numFmtId="9" fontId="10" fillId="0" borderId="15" xfId="2" applyFont="1" applyBorder="1">
      <alignment vertical="center"/>
    </xf>
    <xf numFmtId="0" fontId="9" fillId="0" borderId="15" xfId="0" applyNumberFormat="1" applyFont="1" applyBorder="1" applyAlignment="1">
      <alignment horizontal="center" vertical="center" wrapText="1"/>
    </xf>
    <xf numFmtId="9" fontId="0" fillId="0" borderId="15" xfId="2" applyBorder="1">
      <alignment vertical="center"/>
    </xf>
    <xf numFmtId="0" fontId="0" fillId="0" borderId="15" xfId="0" applyBorder="1">
      <alignment vertical="center"/>
    </xf>
    <xf numFmtId="9" fontId="0" fillId="0" borderId="15" xfId="2" applyBorder="1" applyAlignment="1">
      <alignment horizontal="center" vertical="center"/>
    </xf>
    <xf numFmtId="0" fontId="3" fillId="8" borderId="13" xfId="0" applyNumberFormat="1" applyFont="1" applyFill="1" applyBorder="1" applyAlignment="1">
      <alignment horizontal="center" vertical="center" wrapText="1"/>
    </xf>
    <xf numFmtId="0" fontId="3" fillId="9" borderId="13"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0" fillId="2" borderId="13" xfId="0" applyFill="1" applyBorder="1" applyAlignment="1">
      <alignment vertical="center" wrapText="1"/>
    </xf>
    <xf numFmtId="0" fontId="12" fillId="3" borderId="13" xfId="0" applyNumberFormat="1" applyFont="1" applyFill="1" applyBorder="1" applyAlignment="1">
      <alignment horizontal="center" vertical="center" wrapText="1"/>
    </xf>
    <xf numFmtId="0" fontId="13" fillId="0" borderId="13" xfId="0" applyFont="1" applyFill="1" applyBorder="1">
      <alignment vertical="center"/>
    </xf>
    <xf numFmtId="9" fontId="0" fillId="0" borderId="13" xfId="2" applyNumberFormat="1" applyBorder="1" applyAlignment="1">
      <alignment horizontal="center" vertical="center"/>
    </xf>
    <xf numFmtId="0" fontId="9" fillId="3" borderId="13" xfId="0" applyNumberFormat="1" applyFont="1" applyFill="1" applyBorder="1" applyAlignment="1">
      <alignment horizontal="center" vertical="center" wrapText="1"/>
    </xf>
    <xf numFmtId="0" fontId="9" fillId="3" borderId="15" xfId="0" applyNumberFormat="1" applyFont="1" applyFill="1" applyBorder="1" applyAlignment="1">
      <alignment horizontal="center" vertical="center" wrapText="1"/>
    </xf>
    <xf numFmtId="0" fontId="13" fillId="0" borderId="15" xfId="0" applyFont="1" applyFill="1" applyBorder="1">
      <alignment vertical="center"/>
    </xf>
    <xf numFmtId="9" fontId="0" fillId="0" borderId="15" xfId="2" applyNumberFormat="1" applyBorder="1" applyAlignment="1">
      <alignment horizontal="center" vertical="center"/>
    </xf>
    <xf numFmtId="9" fontId="0" fillId="0" borderId="17" xfId="2" applyBorder="1" applyAlignment="1">
      <alignment horizontal="center" vertical="center"/>
    </xf>
    <xf numFmtId="0" fontId="14" fillId="0" borderId="0" xfId="0" applyFont="1">
      <alignment vertical="center"/>
    </xf>
    <xf numFmtId="0" fontId="15" fillId="0" borderId="0" xfId="0" applyFont="1">
      <alignment vertical="center"/>
    </xf>
    <xf numFmtId="0" fontId="14" fillId="0" borderId="0" xfId="0" applyFont="1" applyAlignment="1">
      <alignment vertical="center" wrapText="1"/>
    </xf>
    <xf numFmtId="0" fontId="0" fillId="2" borderId="20" xfId="0" applyFill="1" applyBorder="1" applyAlignment="1">
      <alignment vertical="center" wrapText="1"/>
    </xf>
    <xf numFmtId="9" fontId="0" fillId="10" borderId="13" xfId="2" applyFill="1" applyBorder="1">
      <alignment vertical="center"/>
    </xf>
    <xf numFmtId="0" fontId="0" fillId="0" borderId="20" xfId="0" applyBorder="1">
      <alignment vertical="center"/>
    </xf>
    <xf numFmtId="0" fontId="9" fillId="11" borderId="21" xfId="0" applyNumberFormat="1" applyFont="1" applyFill="1" applyBorder="1" applyAlignment="1">
      <alignment horizontal="center" vertical="center" wrapText="1"/>
    </xf>
    <xf numFmtId="0" fontId="9" fillId="11" borderId="13" xfId="0" applyNumberFormat="1" applyFont="1" applyFill="1" applyBorder="1">
      <alignment vertical="center"/>
    </xf>
    <xf numFmtId="0" fontId="9" fillId="11" borderId="13" xfId="0" applyNumberFormat="1" applyFont="1" applyFill="1" applyBorder="1" applyAlignment="1">
      <alignment vertical="center" wrapText="1"/>
    </xf>
    <xf numFmtId="0" fontId="0" fillId="11" borderId="13" xfId="0" applyNumberFormat="1" applyFill="1" applyBorder="1">
      <alignment vertical="center"/>
    </xf>
    <xf numFmtId="180" fontId="0" fillId="12" borderId="0" xfId="0" applyNumberFormat="1" applyFill="1">
      <alignment vertical="center"/>
    </xf>
    <xf numFmtId="9" fontId="0" fillId="10" borderId="15" xfId="2" applyFill="1" applyBorder="1">
      <alignment vertical="center"/>
    </xf>
    <xf numFmtId="0" fontId="0" fillId="0" borderId="22" xfId="0" applyBorder="1">
      <alignment vertical="center"/>
    </xf>
    <xf numFmtId="178" fontId="0" fillId="11" borderId="13" xfId="0" applyNumberFormat="1" applyFill="1" applyBorder="1">
      <alignment vertical="center"/>
    </xf>
    <xf numFmtId="9" fontId="0" fillId="11" borderId="13" xfId="2" applyNumberFormat="1" applyFill="1" applyBorder="1">
      <alignment vertical="center"/>
    </xf>
    <xf numFmtId="9" fontId="0" fillId="11" borderId="13" xfId="0" applyNumberFormat="1" applyFill="1" applyBorder="1">
      <alignment vertical="center"/>
    </xf>
    <xf numFmtId="0" fontId="7" fillId="8" borderId="23" xfId="0" applyFont="1" applyFill="1" applyBorder="1" applyAlignment="1">
      <alignment horizontal="center" vertical="center" wrapText="1"/>
    </xf>
    <xf numFmtId="0" fontId="13" fillId="11" borderId="13" xfId="0" applyNumberFormat="1" applyFont="1" applyFill="1" applyBorder="1">
      <alignment vertical="center"/>
    </xf>
    <xf numFmtId="0" fontId="0" fillId="2" borderId="24" xfId="0" applyNumberFormat="1" applyFill="1" applyBorder="1" applyAlignment="1">
      <alignment vertical="center" wrapText="1"/>
    </xf>
    <xf numFmtId="0" fontId="0" fillId="2" borderId="3" xfId="0" applyNumberFormat="1" applyFill="1" applyBorder="1" applyAlignment="1">
      <alignment vertical="center" wrapText="1"/>
    </xf>
    <xf numFmtId="0" fontId="0" fillId="2" borderId="9" xfId="0" applyNumberFormat="1" applyFill="1" applyBorder="1" applyAlignment="1">
      <alignment vertical="center" wrapText="1"/>
    </xf>
    <xf numFmtId="0" fontId="0" fillId="13" borderId="0" xfId="0" applyFill="1">
      <alignment vertical="center"/>
    </xf>
    <xf numFmtId="0" fontId="0" fillId="11" borderId="24" xfId="0" applyNumberFormat="1" applyFill="1" applyBorder="1">
      <alignment vertical="center"/>
    </xf>
    <xf numFmtId="9" fontId="0" fillId="11" borderId="3" xfId="0" applyNumberFormat="1" applyFill="1" applyBorder="1">
      <alignment vertical="center"/>
    </xf>
    <xf numFmtId="0" fontId="0" fillId="11" borderId="9" xfId="0" applyNumberFormat="1" applyFill="1" applyBorder="1">
      <alignment vertical="center"/>
    </xf>
    <xf numFmtId="0" fontId="0" fillId="11" borderId="23" xfId="0" applyNumberFormat="1" applyFill="1" applyBorder="1">
      <alignment vertical="center"/>
    </xf>
    <xf numFmtId="0" fontId="0" fillId="11" borderId="25" xfId="0" applyNumberFormat="1" applyFill="1" applyBorder="1">
      <alignment vertical="center"/>
    </xf>
    <xf numFmtId="9" fontId="0" fillId="11" borderId="4" xfId="0" applyNumberFormat="1" applyFill="1" applyBorder="1">
      <alignment vertical="center"/>
    </xf>
    <xf numFmtId="0" fontId="0" fillId="11" borderId="26" xfId="0" applyNumberFormat="1" applyFill="1" applyBorder="1">
      <alignment vertical="center"/>
    </xf>
    <xf numFmtId="0" fontId="0" fillId="11" borderId="0" xfId="0" applyNumberFormat="1" applyFill="1">
      <alignment vertical="center"/>
    </xf>
    <xf numFmtId="9" fontId="0" fillId="11" borderId="0" xfId="0" applyNumberFormat="1" applyFill="1">
      <alignment vertical="center"/>
    </xf>
    <xf numFmtId="0" fontId="0" fillId="11" borderId="0" xfId="0" applyFill="1">
      <alignment vertical="center"/>
    </xf>
    <xf numFmtId="9" fontId="0" fillId="0" borderId="0" xfId="2" applyNumberFormat="1">
      <alignment vertical="center"/>
    </xf>
    <xf numFmtId="9" fontId="0" fillId="14" borderId="13" xfId="2" applyNumberFormat="1" applyFill="1" applyBorder="1" applyAlignment="1">
      <alignment horizontal="center" vertical="center"/>
    </xf>
    <xf numFmtId="0" fontId="9" fillId="15" borderId="27" xfId="0" applyFont="1" applyFill="1" applyBorder="1" applyAlignment="1">
      <alignment horizontal="center" vertical="center"/>
    </xf>
    <xf numFmtId="0" fontId="9" fillId="15" borderId="28" xfId="0" applyFont="1" applyFill="1" applyBorder="1" applyAlignment="1">
      <alignment vertical="center"/>
    </xf>
    <xf numFmtId="0" fontId="9" fillId="0" borderId="29" xfId="0" applyFont="1" applyFill="1" applyBorder="1" applyAlignment="1">
      <alignment horizontal="center" vertical="center"/>
    </xf>
    <xf numFmtId="181" fontId="9" fillId="0" borderId="13" xfId="0" applyNumberFormat="1" applyFont="1" applyFill="1" applyBorder="1" applyAlignment="1">
      <alignment vertical="center"/>
    </xf>
    <xf numFmtId="0" fontId="9" fillId="14" borderId="29" xfId="0" applyFont="1" applyFill="1" applyBorder="1" applyAlignment="1">
      <alignment horizontal="center" vertical="center"/>
    </xf>
    <xf numFmtId="179" fontId="9" fillId="0" borderId="13" xfId="0" applyNumberFormat="1" applyFont="1" applyFill="1" applyBorder="1" applyAlignment="1">
      <alignment vertical="center"/>
    </xf>
    <xf numFmtId="10" fontId="9" fillId="0" borderId="13" xfId="0" applyNumberFormat="1" applyFont="1" applyFill="1" applyBorder="1" applyAlignment="1">
      <alignment vertical="center"/>
    </xf>
    <xf numFmtId="0" fontId="9" fillId="0" borderId="13" xfId="0" applyFont="1" applyFill="1" applyBorder="1" applyAlignment="1">
      <alignment vertical="center"/>
    </xf>
    <xf numFmtId="0" fontId="9" fillId="3" borderId="29" xfId="0" applyFont="1" applyFill="1" applyBorder="1" applyAlignment="1">
      <alignment horizontal="center" vertical="center"/>
    </xf>
    <xf numFmtId="0" fontId="9" fillId="14" borderId="29" xfId="0" applyFont="1" applyFill="1" applyBorder="1" applyAlignment="1">
      <alignment horizontal="center" vertical="center" wrapText="1"/>
    </xf>
    <xf numFmtId="0" fontId="9" fillId="14" borderId="30" xfId="0" applyFont="1" applyFill="1" applyBorder="1" applyAlignment="1">
      <alignment horizontal="center" vertical="center"/>
    </xf>
    <xf numFmtId="0" fontId="9" fillId="0" borderId="31" xfId="0" applyFont="1" applyFill="1" applyBorder="1" applyAlignment="1">
      <alignment vertical="center"/>
    </xf>
    <xf numFmtId="0" fontId="9" fillId="15" borderId="32" xfId="0" applyFont="1" applyFill="1" applyBorder="1" applyAlignment="1">
      <alignment vertical="center"/>
    </xf>
    <xf numFmtId="181" fontId="9" fillId="0" borderId="33" xfId="0" applyNumberFormat="1" applyFont="1" applyFill="1" applyBorder="1" applyAlignment="1">
      <alignment vertical="center"/>
    </xf>
    <xf numFmtId="179" fontId="9" fillId="0" borderId="33" xfId="0" applyNumberFormat="1" applyFont="1" applyFill="1" applyBorder="1" applyAlignment="1">
      <alignment vertical="center"/>
    </xf>
    <xf numFmtId="10" fontId="9" fillId="0" borderId="33" xfId="0" applyNumberFormat="1" applyFont="1" applyFill="1" applyBorder="1" applyAlignment="1">
      <alignment vertical="center"/>
    </xf>
    <xf numFmtId="0" fontId="18" fillId="0" borderId="13" xfId="0" applyFont="1" applyFill="1" applyBorder="1" applyAlignment="1">
      <alignment vertical="center"/>
    </xf>
    <xf numFmtId="0" fontId="9" fillId="0" borderId="33" xfId="0" applyFont="1" applyFill="1" applyBorder="1" applyAlignment="1">
      <alignment vertical="center"/>
    </xf>
    <xf numFmtId="0" fontId="19" fillId="0" borderId="13" xfId="0" applyFont="1" applyFill="1" applyBorder="1" applyAlignment="1">
      <alignment vertical="center"/>
    </xf>
    <xf numFmtId="0" fontId="9" fillId="0" borderId="34" xfId="0" applyFont="1" applyFill="1" applyBorder="1" applyAlignment="1">
      <alignment vertical="center"/>
    </xf>
    <xf numFmtId="0" fontId="9" fillId="0" borderId="37" xfId="0" applyFont="1" applyFill="1" applyBorder="1" applyAlignment="1">
      <alignment vertical="center"/>
    </xf>
    <xf numFmtId="0" fontId="9" fillId="0" borderId="37" xfId="0" applyFont="1" applyFill="1" applyBorder="1" applyAlignment="1">
      <alignment horizontal="center" vertical="center"/>
    </xf>
    <xf numFmtId="0" fontId="3" fillId="2" borderId="38" xfId="0" applyNumberFormat="1" applyFont="1" applyFill="1" applyBorder="1" applyAlignment="1">
      <alignment horizontal="center" vertical="center"/>
    </xf>
    <xf numFmtId="0" fontId="3" fillId="2" borderId="38" xfId="0" applyNumberFormat="1" applyFont="1" applyFill="1" applyBorder="1" applyAlignment="1">
      <alignment horizontal="center" vertical="center" wrapText="1"/>
    </xf>
    <xf numFmtId="181" fontId="9" fillId="0" borderId="37" xfId="0" applyNumberFormat="1" applyFont="1" applyFill="1" applyBorder="1" applyAlignment="1">
      <alignment vertical="center"/>
    </xf>
    <xf numFmtId="181" fontId="9" fillId="0" borderId="38" xfId="0" applyNumberFormat="1" applyFont="1" applyFill="1" applyBorder="1" applyAlignment="1">
      <alignment vertical="center"/>
    </xf>
    <xf numFmtId="0" fontId="0" fillId="0" borderId="38" xfId="0" applyFont="1" applyFill="1" applyBorder="1" applyAlignment="1">
      <alignment vertical="center"/>
    </xf>
    <xf numFmtId="181" fontId="9" fillId="0" borderId="39" xfId="0" applyNumberFormat="1" applyFont="1" applyFill="1" applyBorder="1" applyAlignment="1">
      <alignment vertical="center"/>
    </xf>
    <xf numFmtId="0" fontId="0" fillId="0" borderId="39" xfId="0" applyFont="1" applyFill="1" applyBorder="1" applyAlignment="1">
      <alignment vertical="center"/>
    </xf>
    <xf numFmtId="0" fontId="3" fillId="2" borderId="38" xfId="0" applyFont="1" applyFill="1" applyBorder="1" applyAlignment="1">
      <alignment horizontal="center" vertical="center" wrapText="1"/>
    </xf>
    <xf numFmtId="0" fontId="9" fillId="14" borderId="38" xfId="0" applyFont="1" applyFill="1" applyBorder="1" applyAlignment="1">
      <alignment horizontal="center" vertical="center"/>
    </xf>
    <xf numFmtId="0" fontId="9" fillId="3" borderId="38" xfId="0" applyFont="1" applyFill="1" applyBorder="1" applyAlignment="1">
      <alignment horizontal="center" vertical="center"/>
    </xf>
    <xf numFmtId="0" fontId="9" fillId="14" borderId="38" xfId="0" applyFont="1" applyFill="1" applyBorder="1" applyAlignment="1">
      <alignment horizontal="center" vertical="center" wrapText="1"/>
    </xf>
    <xf numFmtId="0" fontId="9" fillId="14" borderId="41" xfId="0" applyFont="1" applyFill="1" applyBorder="1" applyAlignment="1">
      <alignment horizontal="center" vertical="center"/>
    </xf>
    <xf numFmtId="0" fontId="0" fillId="0" borderId="41" xfId="0" applyFont="1" applyFill="1" applyBorder="1" applyAlignment="1">
      <alignment vertical="center"/>
    </xf>
    <xf numFmtId="0" fontId="0" fillId="0" borderId="42" xfId="0" applyFont="1" applyFill="1" applyBorder="1" applyAlignment="1">
      <alignment vertical="center"/>
    </xf>
    <xf numFmtId="0" fontId="9" fillId="16" borderId="13" xfId="0" applyNumberFormat="1" applyFont="1" applyFill="1" applyBorder="1" applyAlignment="1">
      <alignment vertical="center" wrapText="1"/>
    </xf>
    <xf numFmtId="0" fontId="9" fillId="3" borderId="13" xfId="0" applyNumberFormat="1" applyFont="1" applyFill="1" applyBorder="1" applyAlignment="1">
      <alignment vertical="center" wrapText="1"/>
    </xf>
    <xf numFmtId="0" fontId="0" fillId="0" borderId="46" xfId="0" applyBorder="1">
      <alignment vertical="center"/>
    </xf>
    <xf numFmtId="0" fontId="0" fillId="0" borderId="21" xfId="0" applyBorder="1">
      <alignment vertical="center"/>
    </xf>
    <xf numFmtId="0" fontId="9" fillId="0" borderId="13" xfId="0" applyNumberFormat="1" applyFont="1" applyFill="1" applyBorder="1" applyAlignment="1">
      <alignment vertical="center" wrapText="1"/>
    </xf>
    <xf numFmtId="9" fontId="0" fillId="0" borderId="13" xfId="2" applyFont="1" applyBorder="1">
      <alignment vertical="center"/>
    </xf>
    <xf numFmtId="0" fontId="0" fillId="0" borderId="47" xfId="0" applyBorder="1">
      <alignment vertical="center"/>
    </xf>
    <xf numFmtId="0" fontId="0" fillId="0" borderId="48" xfId="0" applyBorder="1">
      <alignment vertical="center"/>
    </xf>
    <xf numFmtId="0" fontId="0" fillId="0" borderId="18" xfId="0" applyBorder="1">
      <alignment vertical="center"/>
    </xf>
    <xf numFmtId="0" fontId="0" fillId="0" borderId="49" xfId="0" applyBorder="1">
      <alignment vertical="center"/>
    </xf>
    <xf numFmtId="9" fontId="23" fillId="0" borderId="13" xfId="2" applyFont="1" applyBorder="1">
      <alignment vertical="center"/>
    </xf>
    <xf numFmtId="0" fontId="0" fillId="0" borderId="51" xfId="0" applyBorder="1">
      <alignment vertical="center"/>
    </xf>
    <xf numFmtId="0" fontId="0" fillId="0" borderId="52" xfId="0" applyBorder="1">
      <alignment vertical="center"/>
    </xf>
    <xf numFmtId="0" fontId="21" fillId="0" borderId="43" xfId="0" applyNumberFormat="1" applyFont="1" applyBorder="1" applyAlignment="1">
      <alignment horizontal="center" vertical="center"/>
    </xf>
    <xf numFmtId="0" fontId="21" fillId="0" borderId="44" xfId="0" applyNumberFormat="1" applyFont="1" applyBorder="1" applyAlignment="1">
      <alignment horizontal="center" vertical="center"/>
    </xf>
    <xf numFmtId="0" fontId="22" fillId="0" borderId="45" xfId="0" applyNumberFormat="1" applyFont="1" applyBorder="1" applyAlignment="1">
      <alignment horizontal="center" vertical="center"/>
    </xf>
    <xf numFmtId="0" fontId="22" fillId="0" borderId="50" xfId="0" applyNumberFormat="1" applyFont="1" applyBorder="1" applyAlignment="1">
      <alignment horizontal="center" vertical="center"/>
    </xf>
    <xf numFmtId="0" fontId="9" fillId="16" borderId="13" xfId="0" applyNumberFormat="1" applyFont="1" applyFill="1" applyBorder="1" applyAlignment="1">
      <alignment horizontal="center" vertical="center"/>
    </xf>
    <xf numFmtId="0" fontId="0" fillId="0" borderId="27" xfId="0" applyNumberFormat="1" applyBorder="1" applyAlignment="1">
      <alignment horizontal="center" vertical="top" wrapText="1"/>
    </xf>
    <xf numFmtId="0" fontId="0" fillId="0" borderId="28" xfId="0" applyNumberFormat="1" applyBorder="1" applyAlignment="1">
      <alignment horizontal="center" vertical="top" wrapText="1"/>
    </xf>
    <xf numFmtId="0" fontId="0" fillId="0" borderId="32" xfId="0" applyNumberFormat="1" applyBorder="1" applyAlignment="1">
      <alignment horizontal="center" vertical="top" wrapText="1"/>
    </xf>
    <xf numFmtId="0" fontId="0" fillId="0" borderId="29" xfId="0" applyNumberFormat="1" applyBorder="1" applyAlignment="1">
      <alignment horizontal="center" vertical="top" wrapText="1"/>
    </xf>
    <xf numFmtId="0" fontId="0" fillId="0" borderId="13" xfId="0" applyNumberFormat="1" applyBorder="1" applyAlignment="1">
      <alignment horizontal="center" vertical="top" wrapText="1"/>
    </xf>
    <xf numFmtId="0" fontId="0" fillId="0" borderId="33" xfId="0" applyNumberFormat="1" applyBorder="1" applyAlignment="1">
      <alignment horizontal="center" vertical="top" wrapText="1"/>
    </xf>
    <xf numFmtId="0" fontId="0" fillId="0" borderId="30" xfId="0" applyNumberFormat="1" applyBorder="1" applyAlignment="1">
      <alignment horizontal="center" vertical="top" wrapText="1"/>
    </xf>
    <xf numFmtId="0" fontId="0" fillId="0" borderId="31" xfId="0" applyNumberFormat="1" applyBorder="1" applyAlignment="1">
      <alignment horizontal="center" vertical="top" wrapText="1"/>
    </xf>
    <xf numFmtId="0" fontId="0" fillId="0" borderId="34" xfId="0" applyNumberFormat="1" applyBorder="1" applyAlignment="1">
      <alignment horizontal="center" vertical="top" wrapText="1"/>
    </xf>
    <xf numFmtId="0" fontId="9" fillId="16" borderId="46" xfId="0" applyNumberFormat="1" applyFont="1" applyFill="1" applyBorder="1" applyAlignment="1">
      <alignment horizontal="center" vertical="center" wrapText="1"/>
    </xf>
    <xf numFmtId="0" fontId="9" fillId="16" borderId="13" xfId="0" applyNumberFormat="1" applyFont="1" applyFill="1" applyBorder="1" applyAlignment="1">
      <alignment horizontal="center" vertical="center" wrapText="1"/>
    </xf>
    <xf numFmtId="0" fontId="9" fillId="16" borderId="29" xfId="0" applyNumberFormat="1" applyFont="1" applyFill="1" applyBorder="1" applyAlignment="1">
      <alignment horizontal="center" vertical="center" wrapText="1"/>
    </xf>
    <xf numFmtId="0" fontId="9" fillId="3" borderId="13" xfId="0" applyNumberFormat="1" applyFont="1" applyFill="1" applyBorder="1" applyAlignment="1">
      <alignment horizontal="center" vertical="center" wrapText="1"/>
    </xf>
    <xf numFmtId="0" fontId="0" fillId="0" borderId="51" xfId="0" applyNumberFormat="1" applyBorder="1" applyAlignment="1">
      <alignment horizontal="center" vertical="center" wrapText="1"/>
    </xf>
    <xf numFmtId="0" fontId="20" fillId="0" borderId="35" xfId="0" applyFont="1" applyFill="1" applyBorder="1" applyAlignment="1">
      <alignment horizontal="center" vertical="center"/>
    </xf>
    <xf numFmtId="0" fontId="20" fillId="0" borderId="36" xfId="0" applyFont="1" applyFill="1" applyBorder="1" applyAlignment="1">
      <alignment horizontal="center" vertical="center"/>
    </xf>
    <xf numFmtId="0" fontId="20" fillId="0" borderId="40" xfId="0" applyFont="1" applyFill="1" applyBorder="1" applyAlignment="1">
      <alignment horizontal="center" vertical="center"/>
    </xf>
    <xf numFmtId="0" fontId="9" fillId="0" borderId="38" xfId="0" applyFont="1" applyFill="1" applyBorder="1" applyAlignment="1">
      <alignment horizontal="center" vertical="center"/>
    </xf>
    <xf numFmtId="0" fontId="9" fillId="0" borderId="38" xfId="0" applyFont="1" applyFill="1" applyBorder="1" applyAlignment="1">
      <alignment horizontal="center" vertical="center" wrapText="1"/>
    </xf>
    <xf numFmtId="0" fontId="9" fillId="0" borderId="41" xfId="0" applyFont="1" applyFill="1" applyBorder="1" applyAlignment="1">
      <alignment horizontal="center" vertical="center" wrapText="1"/>
    </xf>
    <xf numFmtId="0" fontId="0" fillId="0" borderId="0" xfId="0" applyFont="1" applyFill="1" applyAlignment="1">
      <alignment horizontal="center" vertical="center"/>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16" fillId="0" borderId="0" xfId="0" applyFont="1" applyAlignment="1">
      <alignment horizontal="center" vertical="center"/>
    </xf>
    <xf numFmtId="178" fontId="1" fillId="4" borderId="13" xfId="0" applyNumberFormat="1" applyFont="1" applyFill="1" applyBorder="1" applyAlignment="1">
      <alignment horizontal="center" vertical="center" wrapText="1"/>
    </xf>
    <xf numFmtId="9" fontId="1" fillId="4" borderId="13" xfId="2" applyFont="1" applyFill="1" applyBorder="1" applyAlignment="1">
      <alignment horizontal="center" vertical="center" wrapText="1"/>
    </xf>
    <xf numFmtId="0" fontId="1" fillId="4" borderId="13" xfId="0" applyNumberFormat="1" applyFont="1" applyFill="1" applyBorder="1" applyAlignment="1">
      <alignment horizontal="center" vertical="center" wrapText="1"/>
    </xf>
    <xf numFmtId="0" fontId="1" fillId="4" borderId="13"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23" xfId="0" applyFont="1" applyFill="1" applyBorder="1" applyAlignment="1">
      <alignment horizontal="center" vertical="center" wrapText="1"/>
    </xf>
    <xf numFmtId="0" fontId="11" fillId="8" borderId="1" xfId="0" applyNumberFormat="1" applyFont="1" applyFill="1" applyBorder="1" applyAlignment="1">
      <alignment horizontal="center" vertical="center" wrapText="1"/>
    </xf>
    <xf numFmtId="0" fontId="11" fillId="8" borderId="2" xfId="0" applyNumberFormat="1" applyFont="1" applyFill="1" applyBorder="1" applyAlignment="1">
      <alignment horizontal="center" vertical="center" wrapText="1"/>
    </xf>
    <xf numFmtId="0" fontId="11" fillId="8" borderId="6" xfId="0" applyNumberFormat="1" applyFont="1" applyFill="1" applyBorder="1" applyAlignment="1">
      <alignment horizontal="center" vertical="center" wrapText="1"/>
    </xf>
    <xf numFmtId="0" fontId="0" fillId="13" borderId="0" xfId="0" applyFill="1" applyAlignment="1">
      <alignment horizontal="center" vertical="center"/>
    </xf>
    <xf numFmtId="0" fontId="0" fillId="5" borderId="12" xfId="0" applyFill="1" applyBorder="1" applyAlignment="1">
      <alignment horizontal="center" vertical="center"/>
    </xf>
    <xf numFmtId="0" fontId="3" fillId="4" borderId="13" xfId="0" applyNumberFormat="1" applyFont="1" applyFill="1" applyBorder="1" applyAlignment="1">
      <alignment horizontal="center" vertical="center" wrapText="1"/>
    </xf>
    <xf numFmtId="0" fontId="1" fillId="4" borderId="13" xfId="0" applyNumberFormat="1" applyFont="1" applyFill="1" applyBorder="1" applyAlignment="1">
      <alignment horizontal="center" vertical="center"/>
    </xf>
    <xf numFmtId="0" fontId="3"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180" fontId="1" fillId="4" borderId="13" xfId="0" applyNumberFormat="1" applyFont="1" applyFill="1" applyBorder="1" applyAlignment="1">
      <alignment horizontal="center" vertical="center" wrapText="1"/>
    </xf>
    <xf numFmtId="180" fontId="3" fillId="4" borderId="13" xfId="0" applyNumberFormat="1" applyFont="1" applyFill="1" applyBorder="1" applyAlignment="1">
      <alignment horizontal="center" vertical="center" wrapText="1"/>
    </xf>
    <xf numFmtId="0" fontId="1" fillId="4" borderId="21" xfId="0" applyNumberFormat="1" applyFont="1" applyFill="1" applyBorder="1" applyAlignment="1">
      <alignment horizontal="center" vertical="center" wrapText="1"/>
    </xf>
    <xf numFmtId="0" fontId="3" fillId="4" borderId="21" xfId="0" applyNumberFormat="1" applyFont="1" applyFill="1" applyBorder="1" applyAlignment="1">
      <alignment horizontal="center" vertical="center" wrapText="1"/>
    </xf>
    <xf numFmtId="0" fontId="17" fillId="0" borderId="0" xfId="0" applyFont="1" applyAlignment="1">
      <alignment horizontal="left" vertical="center"/>
    </xf>
    <xf numFmtId="9" fontId="0" fillId="0" borderId="0" xfId="2" applyFont="1" applyBorder="1" applyAlignment="1">
      <alignment horizontal="center" vertical="center"/>
    </xf>
    <xf numFmtId="9" fontId="0" fillId="0" borderId="17" xfId="2" applyFont="1" applyBorder="1" applyAlignment="1">
      <alignment horizontal="center" vertical="center"/>
    </xf>
    <xf numFmtId="9" fontId="0" fillId="0" borderId="18" xfId="2" applyFont="1" applyBorder="1" applyAlignment="1">
      <alignment horizontal="center" vertical="center"/>
    </xf>
  </cellXfs>
  <cellStyles count="8">
    <cellStyle name="Normal 11 3 2 2 2 2 2" xfId="4"/>
    <cellStyle name="Normal 31" xfId="6"/>
    <cellStyle name="Normal 36" xfId="1"/>
    <cellStyle name="百分比" xfId="2" builtinId="5"/>
    <cellStyle name="百分比 2" xfId="3"/>
    <cellStyle name="常规" xfId="0" builtinId="0"/>
    <cellStyle name="常规 2" xfId="5"/>
    <cellStyle name="常规 2 12" xfId="7"/>
  </cellStyles>
  <dxfs count="0"/>
  <tableStyles count="0" defaultTableStyle="TableStyleMedium2"/>
  <colors>
    <mruColors>
      <color rgb="FFB8CCE4"/>
      <color rgb="FF8DB4E2"/>
      <color rgb="FFB7DEE8"/>
      <color rgb="FFDCE6F1"/>
      <color rgb="FF333333"/>
      <color rgb="FF800080"/>
      <color rgb="FFFFC000"/>
      <color rgb="FF000000"/>
      <color rgb="FFB1A0C7"/>
      <color rgb="FF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
  <sheetViews>
    <sheetView workbookViewId="0">
      <selection activeCell="K35" sqref="K35"/>
    </sheetView>
  </sheetViews>
  <sheetFormatPr defaultColWidth="9" defaultRowHeight="13.5"/>
  <sheetData>
    <row r="1" spans="1:21" ht="40.5">
      <c r="A1" s="153" t="s">
        <v>0</v>
      </c>
      <c r="B1" s="154"/>
      <c r="C1" s="155"/>
      <c r="D1" s="155"/>
      <c r="E1" s="155"/>
      <c r="F1" s="155"/>
      <c r="G1" s="155"/>
      <c r="H1" s="155"/>
      <c r="I1" s="155"/>
      <c r="J1" s="155"/>
      <c r="K1" s="155"/>
      <c r="L1" s="155"/>
      <c r="M1" s="155"/>
      <c r="N1" s="155"/>
      <c r="O1" s="155"/>
      <c r="P1" s="155"/>
      <c r="Q1" s="155"/>
      <c r="R1" s="155"/>
      <c r="S1" s="155"/>
      <c r="T1" s="155"/>
      <c r="U1" s="156"/>
    </row>
    <row r="2" spans="1:21" ht="16.5">
      <c r="A2" s="167" t="s">
        <v>1</v>
      </c>
      <c r="B2" s="168" t="s">
        <v>2</v>
      </c>
      <c r="C2" s="168" t="s">
        <v>3</v>
      </c>
      <c r="D2" s="169" t="s">
        <v>4</v>
      </c>
      <c r="E2" s="168" t="s">
        <v>5</v>
      </c>
      <c r="F2" s="157" t="s">
        <v>6</v>
      </c>
      <c r="G2" s="157"/>
      <c r="H2" s="157"/>
      <c r="I2" s="157" t="s">
        <v>7</v>
      </c>
      <c r="J2" s="157"/>
      <c r="K2" s="157"/>
      <c r="L2" s="157" t="s">
        <v>8</v>
      </c>
      <c r="M2" s="157"/>
      <c r="N2" s="157"/>
      <c r="O2" s="157" t="s">
        <v>9</v>
      </c>
      <c r="P2" s="157"/>
      <c r="Q2" s="157"/>
      <c r="R2" s="168" t="s">
        <v>10</v>
      </c>
      <c r="S2" s="170" t="s">
        <v>11</v>
      </c>
      <c r="T2" s="170" t="s">
        <v>12</v>
      </c>
      <c r="U2" s="171" t="s">
        <v>13</v>
      </c>
    </row>
    <row r="3" spans="1:21" ht="33">
      <c r="A3" s="167"/>
      <c r="B3" s="168"/>
      <c r="C3" s="168"/>
      <c r="D3" s="169"/>
      <c r="E3" s="168"/>
      <c r="F3" s="140" t="s">
        <v>14</v>
      </c>
      <c r="G3" s="140" t="s">
        <v>15</v>
      </c>
      <c r="H3" s="141" t="s">
        <v>16</v>
      </c>
      <c r="I3" s="140" t="s">
        <v>14</v>
      </c>
      <c r="J3" s="140" t="s">
        <v>15</v>
      </c>
      <c r="K3" s="141" t="s">
        <v>16</v>
      </c>
      <c r="L3" s="140" t="s">
        <v>17</v>
      </c>
      <c r="M3" s="140" t="s">
        <v>18</v>
      </c>
      <c r="N3" s="141" t="s">
        <v>19</v>
      </c>
      <c r="O3" s="140" t="s">
        <v>20</v>
      </c>
      <c r="P3" s="140" t="s">
        <v>21</v>
      </c>
      <c r="Q3" s="141" t="s">
        <v>22</v>
      </c>
      <c r="R3" s="168"/>
      <c r="S3" s="170"/>
      <c r="T3" s="170"/>
      <c r="U3" s="171"/>
    </row>
    <row r="4" spans="1:21" ht="16.5">
      <c r="A4" s="142">
        <v>1</v>
      </c>
      <c r="B4" s="143"/>
      <c r="C4" s="52"/>
      <c r="D4" s="144"/>
      <c r="E4" s="52"/>
      <c r="F4" s="52">
        <v>5</v>
      </c>
      <c r="G4" s="52">
        <v>4</v>
      </c>
      <c r="H4" s="145">
        <f>-(G4-F4)/F4</f>
        <v>0.2</v>
      </c>
      <c r="I4" s="52">
        <v>5000</v>
      </c>
      <c r="J4" s="52">
        <v>4000</v>
      </c>
      <c r="K4" s="145">
        <f>-(J4-I4)/I4</f>
        <v>0.2</v>
      </c>
      <c r="L4" s="52">
        <v>300</v>
      </c>
      <c r="M4" s="52">
        <v>400</v>
      </c>
      <c r="N4" s="145">
        <f>(M4-L4)/L4</f>
        <v>0.33333333333333298</v>
      </c>
      <c r="O4" s="52">
        <v>100</v>
      </c>
      <c r="P4" s="52">
        <v>110</v>
      </c>
      <c r="Q4" s="145">
        <f>(P4-O4)/O4</f>
        <v>0.1</v>
      </c>
      <c r="R4" s="52">
        <v>600</v>
      </c>
      <c r="S4" s="150">
        <f>P4*4/M4</f>
        <v>1.1000000000000001</v>
      </c>
      <c r="T4" s="150">
        <f>(P4*4)/R4</f>
        <v>0.73333333333333295</v>
      </c>
      <c r="U4" s="151"/>
    </row>
    <row r="5" spans="1:21" ht="16.5">
      <c r="A5" s="142">
        <v>2</v>
      </c>
      <c r="B5" s="143"/>
      <c r="C5" s="52"/>
      <c r="D5" s="144"/>
      <c r="E5" s="52"/>
      <c r="F5" s="52"/>
      <c r="G5" s="52"/>
      <c r="H5" s="52"/>
      <c r="I5" s="52"/>
      <c r="J5" s="52"/>
      <c r="K5" s="52"/>
      <c r="L5" s="52"/>
      <c r="M5" s="52"/>
      <c r="N5" s="52"/>
      <c r="O5" s="52"/>
      <c r="P5" s="52"/>
      <c r="Q5" s="52"/>
      <c r="R5" s="52"/>
      <c r="S5" s="52"/>
      <c r="T5" s="52"/>
      <c r="U5" s="151"/>
    </row>
    <row r="6" spans="1:21">
      <c r="A6" s="142">
        <v>3</v>
      </c>
      <c r="B6" s="143"/>
      <c r="C6" s="52"/>
      <c r="D6" s="52"/>
      <c r="E6" s="52"/>
      <c r="F6" s="52"/>
      <c r="G6" s="52"/>
      <c r="H6" s="52"/>
      <c r="I6" s="52"/>
      <c r="J6" s="52"/>
      <c r="K6" s="52"/>
      <c r="L6" s="52"/>
      <c r="M6" s="52"/>
      <c r="N6" s="52"/>
      <c r="O6" s="52"/>
      <c r="P6" s="52"/>
      <c r="Q6" s="52"/>
      <c r="R6" s="52"/>
      <c r="S6" s="52"/>
      <c r="T6" s="52"/>
      <c r="U6" s="151"/>
    </row>
    <row r="7" spans="1:21">
      <c r="A7" s="142">
        <v>4</v>
      </c>
      <c r="B7" s="143"/>
      <c r="C7" s="52"/>
      <c r="D7" s="52"/>
      <c r="E7" s="52"/>
      <c r="F7" s="52"/>
      <c r="G7" s="52"/>
      <c r="H7" s="52"/>
      <c r="I7" s="52"/>
      <c r="J7" s="52"/>
      <c r="K7" s="52"/>
      <c r="L7" s="52"/>
      <c r="M7" s="52"/>
      <c r="N7" s="52"/>
      <c r="O7" s="52"/>
      <c r="P7" s="52"/>
      <c r="Q7" s="52"/>
      <c r="R7" s="52"/>
      <c r="S7" s="52"/>
      <c r="T7" s="52"/>
      <c r="U7" s="151"/>
    </row>
    <row r="8" spans="1:21">
      <c r="A8" s="142">
        <v>5</v>
      </c>
      <c r="B8" s="143"/>
      <c r="C8" s="52"/>
      <c r="D8" s="52"/>
      <c r="E8" s="52"/>
      <c r="F8" s="52"/>
      <c r="G8" s="52"/>
      <c r="H8" s="52"/>
      <c r="I8" s="52"/>
      <c r="J8" s="52"/>
      <c r="K8" s="52"/>
      <c r="L8" s="52"/>
      <c r="M8" s="52"/>
      <c r="N8" s="52"/>
      <c r="O8" s="52"/>
      <c r="P8" s="52"/>
      <c r="Q8" s="52"/>
      <c r="R8" s="52"/>
      <c r="S8" s="52"/>
      <c r="T8" s="52"/>
      <c r="U8" s="151"/>
    </row>
    <row r="9" spans="1:21">
      <c r="A9" s="142">
        <v>6</v>
      </c>
      <c r="B9" s="143"/>
      <c r="C9" s="52"/>
      <c r="D9" s="52"/>
      <c r="E9" s="52"/>
      <c r="F9" s="52"/>
      <c r="G9" s="52"/>
      <c r="H9" s="52"/>
      <c r="I9" s="52"/>
      <c r="J9" s="52"/>
      <c r="K9" s="52"/>
      <c r="L9" s="52"/>
      <c r="M9" s="52"/>
      <c r="N9" s="52"/>
      <c r="O9" s="52"/>
      <c r="P9" s="52"/>
      <c r="Q9" s="52"/>
      <c r="R9" s="52"/>
      <c r="S9" s="52"/>
      <c r="T9" s="52"/>
      <c r="U9" s="151"/>
    </row>
    <row r="10" spans="1:21">
      <c r="A10" s="142">
        <v>7</v>
      </c>
      <c r="B10" s="143"/>
      <c r="C10" s="52"/>
      <c r="D10" s="52"/>
      <c r="E10" s="52"/>
      <c r="F10" s="52"/>
      <c r="G10" s="52"/>
      <c r="H10" s="52"/>
      <c r="I10" s="52"/>
      <c r="J10" s="52"/>
      <c r="K10" s="52"/>
      <c r="L10" s="52"/>
      <c r="M10" s="52"/>
      <c r="N10" s="52"/>
      <c r="O10" s="52"/>
      <c r="P10" s="52"/>
      <c r="Q10" s="52"/>
      <c r="R10" s="52"/>
      <c r="S10" s="52"/>
      <c r="T10" s="52"/>
      <c r="U10" s="151"/>
    </row>
    <row r="11" spans="1:21">
      <c r="A11" s="142">
        <v>8</v>
      </c>
      <c r="B11" s="143"/>
      <c r="C11" s="52"/>
      <c r="D11" s="52"/>
      <c r="E11" s="52"/>
      <c r="F11" s="52"/>
      <c r="G11" s="52"/>
      <c r="H11" s="52"/>
      <c r="I11" s="52"/>
      <c r="J11" s="52"/>
      <c r="K11" s="52"/>
      <c r="L11" s="52"/>
      <c r="M11" s="52"/>
      <c r="N11" s="52"/>
      <c r="O11" s="52"/>
      <c r="P11" s="52"/>
      <c r="Q11" s="52"/>
      <c r="R11" s="52"/>
      <c r="S11" s="52"/>
      <c r="T11" s="52"/>
      <c r="U11" s="151"/>
    </row>
    <row r="12" spans="1:21">
      <c r="A12" s="142">
        <v>9</v>
      </c>
      <c r="B12" s="143"/>
      <c r="C12" s="52"/>
      <c r="D12" s="52"/>
      <c r="E12" s="52"/>
      <c r="F12" s="52"/>
      <c r="G12" s="52"/>
      <c r="H12" s="52"/>
      <c r="I12" s="52"/>
      <c r="J12" s="52"/>
      <c r="K12" s="52"/>
      <c r="L12" s="52"/>
      <c r="M12" s="52"/>
      <c r="N12" s="52"/>
      <c r="O12" s="52"/>
      <c r="P12" s="52"/>
      <c r="Q12" s="52"/>
      <c r="R12" s="52"/>
      <c r="S12" s="52"/>
      <c r="T12" s="52"/>
      <c r="U12" s="151"/>
    </row>
    <row r="13" spans="1:21">
      <c r="A13" s="142">
        <v>10</v>
      </c>
      <c r="B13" s="143"/>
      <c r="C13" s="52"/>
      <c r="D13" s="52"/>
      <c r="E13" s="52"/>
      <c r="F13" s="52"/>
      <c r="G13" s="52"/>
      <c r="H13" s="52"/>
      <c r="I13" s="52"/>
      <c r="J13" s="52"/>
      <c r="K13" s="52"/>
      <c r="L13" s="52"/>
      <c r="M13" s="52"/>
      <c r="N13" s="52"/>
      <c r="O13" s="52"/>
      <c r="P13" s="52"/>
      <c r="Q13" s="52"/>
      <c r="R13" s="52"/>
      <c r="S13" s="52"/>
      <c r="T13" s="52"/>
      <c r="U13" s="151"/>
    </row>
    <row r="14" spans="1:21">
      <c r="A14" s="142">
        <v>11</v>
      </c>
      <c r="B14" s="143"/>
      <c r="C14" s="52"/>
      <c r="D14" s="52"/>
      <c r="E14" s="52"/>
      <c r="F14" s="52"/>
      <c r="G14" s="52"/>
      <c r="H14" s="52"/>
      <c r="I14" s="52"/>
      <c r="J14" s="52"/>
      <c r="K14" s="52"/>
      <c r="L14" s="52"/>
      <c r="M14" s="52"/>
      <c r="N14" s="52"/>
      <c r="O14" s="52"/>
      <c r="P14" s="52"/>
      <c r="Q14" s="52"/>
      <c r="R14" s="52"/>
      <c r="S14" s="52"/>
      <c r="T14" s="52"/>
      <c r="U14" s="151"/>
    </row>
    <row r="15" spans="1:21">
      <c r="A15" s="142">
        <v>12</v>
      </c>
      <c r="B15" s="143"/>
      <c r="C15" s="52"/>
      <c r="D15" s="52"/>
      <c r="E15" s="52"/>
      <c r="F15" s="52"/>
      <c r="G15" s="52"/>
      <c r="H15" s="52"/>
      <c r="I15" s="52"/>
      <c r="J15" s="52"/>
      <c r="K15" s="52"/>
      <c r="L15" s="52"/>
      <c r="M15" s="52"/>
      <c r="N15" s="52"/>
      <c r="O15" s="52"/>
      <c r="P15" s="52"/>
      <c r="Q15" s="52"/>
      <c r="R15" s="52"/>
      <c r="S15" s="52"/>
      <c r="T15" s="52"/>
      <c r="U15" s="151"/>
    </row>
    <row r="16" spans="1:21">
      <c r="A16" s="142">
        <v>13</v>
      </c>
      <c r="B16" s="143"/>
      <c r="C16" s="52"/>
      <c r="D16" s="52"/>
      <c r="E16" s="52"/>
      <c r="F16" s="52"/>
      <c r="G16" s="52"/>
      <c r="H16" s="52"/>
      <c r="I16" s="52"/>
      <c r="J16" s="52"/>
      <c r="K16" s="52"/>
      <c r="L16" s="52"/>
      <c r="M16" s="52"/>
      <c r="N16" s="52"/>
      <c r="O16" s="52"/>
      <c r="P16" s="52"/>
      <c r="Q16" s="52"/>
      <c r="R16" s="52"/>
      <c r="S16" s="52"/>
      <c r="T16" s="52"/>
      <c r="U16" s="151"/>
    </row>
    <row r="17" spans="1:21">
      <c r="A17" s="142">
        <v>14</v>
      </c>
      <c r="B17" s="143"/>
      <c r="C17" s="52"/>
      <c r="D17" s="52"/>
      <c r="E17" s="52"/>
      <c r="F17" s="52"/>
      <c r="G17" s="52"/>
      <c r="H17" s="52"/>
      <c r="I17" s="52"/>
      <c r="J17" s="52"/>
      <c r="K17" s="52"/>
      <c r="L17" s="52"/>
      <c r="M17" s="52"/>
      <c r="N17" s="52"/>
      <c r="O17" s="52"/>
      <c r="P17" s="52"/>
      <c r="Q17" s="52"/>
      <c r="R17" s="52"/>
      <c r="S17" s="52"/>
      <c r="T17" s="52"/>
      <c r="U17" s="151"/>
    </row>
    <row r="18" spans="1:21">
      <c r="A18" s="142">
        <v>15</v>
      </c>
      <c r="B18" s="143"/>
      <c r="C18" s="52"/>
      <c r="D18" s="52"/>
      <c r="E18" s="52"/>
      <c r="F18" s="52"/>
      <c r="G18" s="52"/>
      <c r="H18" s="52"/>
      <c r="I18" s="52"/>
      <c r="J18" s="52"/>
      <c r="K18" s="52"/>
      <c r="L18" s="52"/>
      <c r="M18" s="52"/>
      <c r="N18" s="52"/>
      <c r="O18" s="52"/>
      <c r="P18" s="52"/>
      <c r="Q18" s="52"/>
      <c r="R18" s="52"/>
      <c r="S18" s="52"/>
      <c r="T18" s="52"/>
      <c r="U18" s="151"/>
    </row>
    <row r="19" spans="1:21">
      <c r="A19" s="142">
        <v>16</v>
      </c>
      <c r="B19" s="143"/>
      <c r="C19" s="52"/>
      <c r="D19" s="52"/>
      <c r="E19" s="52"/>
      <c r="F19" s="52"/>
      <c r="G19" s="52"/>
      <c r="H19" s="52"/>
      <c r="I19" s="52"/>
      <c r="J19" s="52"/>
      <c r="K19" s="52"/>
      <c r="L19" s="52"/>
      <c r="M19" s="52"/>
      <c r="N19" s="52"/>
      <c r="O19" s="52"/>
      <c r="P19" s="52"/>
      <c r="Q19" s="52"/>
      <c r="R19" s="52"/>
      <c r="S19" s="52"/>
      <c r="T19" s="52"/>
      <c r="U19" s="151"/>
    </row>
    <row r="20" spans="1:21">
      <c r="A20" s="142">
        <v>17</v>
      </c>
      <c r="B20" s="143"/>
      <c r="C20" s="52"/>
      <c r="D20" s="52"/>
      <c r="E20" s="52"/>
      <c r="F20" s="52"/>
      <c r="G20" s="52"/>
      <c r="H20" s="52"/>
      <c r="I20" s="52"/>
      <c r="J20" s="52"/>
      <c r="K20" s="52"/>
      <c r="L20" s="52"/>
      <c r="M20" s="52"/>
      <c r="N20" s="52"/>
      <c r="O20" s="52"/>
      <c r="P20" s="52"/>
      <c r="Q20" s="52"/>
      <c r="R20" s="52"/>
      <c r="S20" s="52"/>
      <c r="T20" s="52"/>
      <c r="U20" s="151"/>
    </row>
    <row r="21" spans="1:21">
      <c r="A21" s="142">
        <v>18</v>
      </c>
      <c r="B21" s="143"/>
      <c r="C21" s="52"/>
      <c r="D21" s="52"/>
      <c r="E21" s="52"/>
      <c r="F21" s="52"/>
      <c r="G21" s="52"/>
      <c r="H21" s="52"/>
      <c r="I21" s="52"/>
      <c r="J21" s="52"/>
      <c r="K21" s="52"/>
      <c r="L21" s="52"/>
      <c r="M21" s="52"/>
      <c r="N21" s="52"/>
      <c r="O21" s="52"/>
      <c r="P21" s="52"/>
      <c r="Q21" s="52"/>
      <c r="R21" s="52"/>
      <c r="S21" s="52"/>
      <c r="T21" s="52"/>
      <c r="U21" s="151"/>
    </row>
    <row r="22" spans="1:21">
      <c r="A22" s="142">
        <v>19</v>
      </c>
      <c r="B22" s="143"/>
      <c r="C22" s="52"/>
      <c r="D22" s="52"/>
      <c r="E22" s="52"/>
      <c r="F22" s="52"/>
      <c r="G22" s="52"/>
      <c r="H22" s="52"/>
      <c r="I22" s="52"/>
      <c r="J22" s="52"/>
      <c r="K22" s="52"/>
      <c r="L22" s="52"/>
      <c r="M22" s="52"/>
      <c r="N22" s="52"/>
      <c r="O22" s="52"/>
      <c r="P22" s="52"/>
      <c r="Q22" s="52"/>
      <c r="R22" s="52"/>
      <c r="S22" s="52"/>
      <c r="T22" s="52"/>
      <c r="U22" s="151"/>
    </row>
    <row r="23" spans="1:21">
      <c r="A23" s="142">
        <v>20</v>
      </c>
      <c r="B23" s="143"/>
      <c r="C23" s="52"/>
      <c r="D23" s="52"/>
      <c r="E23" s="52"/>
      <c r="F23" s="52"/>
      <c r="G23" s="52"/>
      <c r="H23" s="52"/>
      <c r="I23" s="52"/>
      <c r="J23" s="52"/>
      <c r="K23" s="52"/>
      <c r="L23" s="52"/>
      <c r="M23" s="52"/>
      <c r="N23" s="52"/>
      <c r="O23" s="52"/>
      <c r="P23" s="52"/>
      <c r="Q23" s="52"/>
      <c r="R23" s="52"/>
      <c r="S23" s="52"/>
      <c r="T23" s="52"/>
      <c r="U23" s="151"/>
    </row>
    <row r="24" spans="1:21">
      <c r="A24" s="142">
        <v>21</v>
      </c>
      <c r="B24" s="143"/>
      <c r="C24" s="52"/>
      <c r="D24" s="52"/>
      <c r="E24" s="52"/>
      <c r="F24" s="52"/>
      <c r="G24" s="52"/>
      <c r="H24" s="52"/>
      <c r="I24" s="52"/>
      <c r="J24" s="52"/>
      <c r="K24" s="52"/>
      <c r="L24" s="52"/>
      <c r="M24" s="52"/>
      <c r="N24" s="52"/>
      <c r="O24" s="52"/>
      <c r="P24" s="52"/>
      <c r="Q24" s="52"/>
      <c r="R24" s="52"/>
      <c r="S24" s="52"/>
      <c r="T24" s="52"/>
      <c r="U24" s="151"/>
    </row>
    <row r="25" spans="1:21">
      <c r="A25" s="142">
        <v>22</v>
      </c>
      <c r="B25" s="143"/>
      <c r="C25" s="52"/>
      <c r="D25" s="52"/>
      <c r="E25" s="52"/>
      <c r="F25" s="52"/>
      <c r="G25" s="52"/>
      <c r="H25" s="52"/>
      <c r="I25" s="52"/>
      <c r="J25" s="52"/>
      <c r="K25" s="52"/>
      <c r="L25" s="52"/>
      <c r="M25" s="52"/>
      <c r="N25" s="52"/>
      <c r="O25" s="52"/>
      <c r="P25" s="52"/>
      <c r="Q25" s="52"/>
      <c r="R25" s="52"/>
      <c r="S25" s="52"/>
      <c r="T25" s="52"/>
      <c r="U25" s="151"/>
    </row>
    <row r="26" spans="1:21">
      <c r="A26" s="142">
        <v>23</v>
      </c>
      <c r="B26" s="143"/>
      <c r="C26" s="52"/>
      <c r="D26" s="52"/>
      <c r="E26" s="52"/>
      <c r="F26" s="52"/>
      <c r="G26" s="52"/>
      <c r="H26" s="52"/>
      <c r="I26" s="52"/>
      <c r="J26" s="52"/>
      <c r="K26" s="52"/>
      <c r="L26" s="52"/>
      <c r="M26" s="52"/>
      <c r="N26" s="52"/>
      <c r="O26" s="52"/>
      <c r="P26" s="52"/>
      <c r="Q26" s="52"/>
      <c r="R26" s="52"/>
      <c r="S26" s="52"/>
      <c r="T26" s="52"/>
      <c r="U26" s="151"/>
    </row>
    <row r="27" spans="1:21">
      <c r="A27" s="142">
        <v>24</v>
      </c>
      <c r="B27" s="143"/>
      <c r="C27" s="52"/>
      <c r="D27" s="52"/>
      <c r="E27" s="52"/>
      <c r="F27" s="52"/>
      <c r="G27" s="52"/>
      <c r="H27" s="52"/>
      <c r="I27" s="52"/>
      <c r="J27" s="52"/>
      <c r="K27" s="52"/>
      <c r="L27" s="52"/>
      <c r="M27" s="52"/>
      <c r="N27" s="52"/>
      <c r="O27" s="52"/>
      <c r="P27" s="52"/>
      <c r="Q27" s="52"/>
      <c r="R27" s="52"/>
      <c r="S27" s="52"/>
      <c r="T27" s="52"/>
      <c r="U27" s="151"/>
    </row>
    <row r="28" spans="1:21">
      <c r="A28" s="146">
        <v>25</v>
      </c>
      <c r="B28" s="147"/>
      <c r="C28" s="148"/>
      <c r="D28" s="148"/>
      <c r="E28" s="148"/>
      <c r="F28" s="148"/>
      <c r="G28" s="148"/>
      <c r="H28" s="148"/>
      <c r="I28" s="148"/>
      <c r="J28" s="148"/>
      <c r="K28" s="148"/>
      <c r="L28" s="148"/>
      <c r="M28" s="148"/>
      <c r="N28" s="148"/>
      <c r="O28" s="148"/>
      <c r="P28" s="148"/>
      <c r="Q28" s="148"/>
      <c r="R28" s="148"/>
      <c r="S28" s="148"/>
      <c r="T28" s="148"/>
      <c r="U28" s="152"/>
    </row>
    <row r="29" spans="1:21">
      <c r="A29" s="158" t="s">
        <v>23</v>
      </c>
      <c r="B29" s="159"/>
      <c r="C29" s="159"/>
      <c r="D29" s="159"/>
      <c r="E29" s="159"/>
      <c r="F29" s="159"/>
      <c r="G29" s="159"/>
      <c r="H29" s="159"/>
      <c r="I29" s="159"/>
      <c r="J29" s="159"/>
      <c r="K29" s="159"/>
      <c r="L29" s="159"/>
      <c r="M29" s="159"/>
      <c r="N29" s="159"/>
      <c r="O29" s="159"/>
      <c r="P29" s="159"/>
      <c r="Q29" s="159"/>
      <c r="R29" s="159"/>
      <c r="S29" s="159"/>
      <c r="T29" s="159"/>
      <c r="U29" s="160"/>
    </row>
    <row r="30" spans="1:21">
      <c r="A30" s="161" t="s">
        <v>24</v>
      </c>
      <c r="B30" s="162"/>
      <c r="C30" s="162"/>
      <c r="D30" s="162"/>
      <c r="E30" s="162"/>
      <c r="F30" s="162"/>
      <c r="G30" s="162"/>
      <c r="H30" s="162"/>
      <c r="I30" s="162"/>
      <c r="J30" s="162"/>
      <c r="K30" s="162"/>
      <c r="L30" s="162"/>
      <c r="M30" s="162"/>
      <c r="N30" s="162"/>
      <c r="O30" s="162"/>
      <c r="P30" s="162"/>
      <c r="Q30" s="162"/>
      <c r="R30" s="162"/>
      <c r="S30" s="162"/>
      <c r="T30" s="162"/>
      <c r="U30" s="163"/>
    </row>
    <row r="31" spans="1:21">
      <c r="A31" s="164" t="s">
        <v>25</v>
      </c>
      <c r="B31" s="165"/>
      <c r="C31" s="165"/>
      <c r="D31" s="165"/>
      <c r="E31" s="165"/>
      <c r="F31" s="165"/>
      <c r="G31" s="165"/>
      <c r="H31" s="165"/>
      <c r="I31" s="165"/>
      <c r="J31" s="165"/>
      <c r="K31" s="165"/>
      <c r="L31" s="165"/>
      <c r="M31" s="165"/>
      <c r="N31" s="165"/>
      <c r="O31" s="165"/>
      <c r="P31" s="165"/>
      <c r="Q31" s="165"/>
      <c r="R31" s="165"/>
      <c r="S31" s="165"/>
      <c r="T31" s="165"/>
      <c r="U31" s="166"/>
    </row>
    <row r="32" spans="1:21">
      <c r="A32" s="149" t="s">
        <v>26</v>
      </c>
      <c r="B32" s="149"/>
      <c r="C32" s="149"/>
      <c r="D32" s="149"/>
      <c r="E32" s="149"/>
      <c r="F32" s="149"/>
      <c r="G32" s="149"/>
      <c r="H32" s="149"/>
      <c r="I32" s="149"/>
      <c r="J32" s="149"/>
      <c r="K32" s="149"/>
      <c r="L32" s="149"/>
      <c r="M32" s="149"/>
      <c r="N32" s="149"/>
      <c r="O32" s="149"/>
      <c r="P32" s="149"/>
      <c r="Q32" s="149"/>
      <c r="R32" s="149"/>
      <c r="S32" s="149"/>
      <c r="T32" s="149"/>
      <c r="U32" s="149"/>
    </row>
    <row r="33" spans="1:21">
      <c r="A33" s="149" t="s">
        <v>27</v>
      </c>
      <c r="B33" s="149"/>
      <c r="C33" s="149"/>
      <c r="D33" s="149"/>
      <c r="E33" s="149"/>
      <c r="F33" s="149"/>
      <c r="G33" s="149"/>
      <c r="H33" s="149"/>
      <c r="I33" s="149"/>
      <c r="J33" s="149"/>
      <c r="K33" s="149"/>
      <c r="L33" s="149"/>
      <c r="M33" s="149"/>
      <c r="N33" s="149"/>
      <c r="O33" s="149"/>
      <c r="P33" s="149"/>
      <c r="Q33" s="149"/>
      <c r="R33" s="149"/>
      <c r="S33" s="149"/>
      <c r="T33" s="149"/>
      <c r="U33" s="149"/>
    </row>
  </sheetData>
  <mergeCells count="17">
    <mergeCell ref="A29:U29"/>
    <mergeCell ref="A30:U30"/>
    <mergeCell ref="A31:U31"/>
    <mergeCell ref="A2:A3"/>
    <mergeCell ref="B2:B3"/>
    <mergeCell ref="C2:C3"/>
    <mergeCell ref="D2:D3"/>
    <mergeCell ref="E2:E3"/>
    <mergeCell ref="R2:R3"/>
    <mergeCell ref="S2:S3"/>
    <mergeCell ref="T2:T3"/>
    <mergeCell ref="U2:U3"/>
    <mergeCell ref="A1:U1"/>
    <mergeCell ref="F2:H2"/>
    <mergeCell ref="I2:K2"/>
    <mergeCell ref="L2:N2"/>
    <mergeCell ref="O2:Q2"/>
  </mergeCells>
  <phoneticPr fontId="31" type="noConversion"/>
  <conditionalFormatting sqref="H2:H4">
    <cfRule type="dataBar" priority="1">
      <dataBar>
        <cfvo type="min" val="0"/>
        <cfvo type="max" val="0"/>
        <color rgb="FF008AEF"/>
      </dataBar>
      <extLst xmlns:x14="http://schemas.microsoft.com/office/spreadsheetml/2009/9/main">
        <ext uri="{B025F937-C7B1-47D3-B67F-A62EFF666E3E}">
          <x14:id>{b8a80ccd-d00d-4712-b526-994d69895ea6}</x14:id>
        </ext>
      </extLst>
    </cfRule>
  </conditionalFormatting>
  <conditionalFormatting sqref="K2:K28 K32:K33">
    <cfRule type="dataBar" priority="4">
      <dataBar>
        <cfvo type="min" val="0"/>
        <cfvo type="max" val="0"/>
        <color rgb="FF008AEF"/>
      </dataBar>
      <extLst xmlns:x14="http://schemas.microsoft.com/office/spreadsheetml/2009/9/main">
        <ext uri="{B025F937-C7B1-47D3-B67F-A62EFF666E3E}">
          <x14:id>{f47ff9fd-739a-4982-a4a3-5e397755dd48}</x14:id>
        </ext>
      </extLst>
    </cfRule>
  </conditionalFormatting>
  <conditionalFormatting sqref="N2:N28 N32:N33">
    <cfRule type="dataBar" priority="3">
      <dataBar>
        <cfvo type="min" val="0"/>
        <cfvo type="max" val="0"/>
        <color rgb="FFD6007B"/>
      </dataBar>
      <extLst xmlns:x14="http://schemas.microsoft.com/office/spreadsheetml/2009/9/main">
        <ext uri="{B025F937-C7B1-47D3-B67F-A62EFF666E3E}">
          <x14:id>{417ea145-1519-4693-8aa6-dc29f079c8eb}</x14:id>
        </ext>
      </extLst>
    </cfRule>
  </conditionalFormatting>
  <conditionalFormatting sqref="Q2:Q28 Q32:Q33">
    <cfRule type="colorScale" priority="2">
      <colorScale>
        <cfvo type="min" val="0"/>
        <cfvo type="percentile" val="50"/>
        <cfvo type="max" val="0"/>
        <color rgb="FFF8696B"/>
        <color rgb="FFFFEB84"/>
        <color rgb="FF63BE7B"/>
      </colorScale>
    </cfRule>
  </conditionalFormatting>
  <pageMargins left="0.75" right="0.75" top="1" bottom="1" header="0.51180555555555596" footer="0.51180555555555596"/>
  <extLst xmlns:x14="http://schemas.microsoft.com/office/spreadsheetml/2009/9/main">
    <ext uri="{78C0D931-6437-407d-A8EE-F0AAD7539E65}">
      <x14:conditionalFormattings>
        <x14:conditionalFormatting xmlns:xm="http://schemas.microsoft.com/office/excel/2006/main">
          <x14:cfRule type="dataBar" id="{b8a80ccd-d00d-4712-b526-994d69895ea6}">
            <x14:dataBar minLength="10" maxLength="90" negativeBarColorSameAsPositive="1" axisPosition="none">
              <x14:cfvo type="min"/>
              <x14:cfvo type="max"/>
              <x14:axisColor indexed="65"/>
            </x14:dataBar>
          </x14:cfRule>
          <xm:sqref>H2:H4</xm:sqref>
        </x14:conditionalFormatting>
        <x14:conditionalFormatting xmlns:xm="http://schemas.microsoft.com/office/excel/2006/main">
          <x14:cfRule type="dataBar" id="{f47ff9fd-739a-4982-a4a3-5e397755dd48}">
            <x14:dataBar minLength="10" maxLength="90" negativeBarColorSameAsPositive="1" axisPosition="none">
              <x14:cfvo type="min"/>
              <x14:cfvo type="max"/>
              <x14:axisColor indexed="65"/>
            </x14:dataBar>
          </x14:cfRule>
          <xm:sqref>K2:K28 K32:K33</xm:sqref>
        </x14:conditionalFormatting>
        <x14:conditionalFormatting xmlns:xm="http://schemas.microsoft.com/office/excel/2006/main">
          <x14:cfRule type="dataBar" id="{417ea145-1519-4693-8aa6-dc29f079c8eb}">
            <x14:dataBar minLength="10" maxLength="90" negativeBarColorSameAsPositive="1" axisPosition="none">
              <x14:cfvo type="min"/>
              <x14:cfvo type="max"/>
              <x14:axisColor indexed="65"/>
            </x14:dataBar>
          </x14:cfRule>
          <xm:sqref>N2:N28 N32:N33</xm:sqref>
        </x14:conditionalFormatting>
      </x14:conditionalFormattings>
    </ext>
  </extLst>
</worksheet>
</file>

<file path=xl/worksheets/sheet2.xml><?xml version="1.0" encoding="utf-8"?>
<worksheet xmlns="http://schemas.openxmlformats.org/spreadsheetml/2006/main" xmlns:r="http://schemas.openxmlformats.org/officeDocument/2006/relationships">
  <dimension ref="A1:X16"/>
  <sheetViews>
    <sheetView zoomScale="115" zoomScaleNormal="115" workbookViewId="0">
      <selection activeCell="D21" sqref="D21"/>
    </sheetView>
  </sheetViews>
  <sheetFormatPr defaultColWidth="9" defaultRowHeight="13.5"/>
  <cols>
    <col min="24" max="24" width="11.625" customWidth="1"/>
  </cols>
  <sheetData>
    <row r="1" spans="1:24" ht="51" customHeight="1">
      <c r="A1" s="172" t="s">
        <v>28</v>
      </c>
      <c r="B1" s="173"/>
      <c r="C1" s="173"/>
      <c r="D1" s="173"/>
      <c r="E1" s="173"/>
      <c r="F1" s="173"/>
      <c r="G1" s="173"/>
      <c r="H1" s="173"/>
      <c r="I1" s="173"/>
      <c r="J1" s="173"/>
      <c r="K1" s="173"/>
      <c r="L1" s="173"/>
      <c r="M1" s="173"/>
      <c r="N1" s="173"/>
      <c r="O1" s="173"/>
      <c r="P1" s="173"/>
      <c r="Q1" s="173"/>
      <c r="R1" s="173"/>
      <c r="S1" s="173"/>
      <c r="T1" s="173"/>
      <c r="U1" s="173"/>
      <c r="V1" s="173"/>
      <c r="W1" s="173"/>
      <c r="X1" s="174"/>
    </row>
    <row r="2" spans="1:24" ht="16.5">
      <c r="A2" s="124" t="s">
        <v>29</v>
      </c>
      <c r="B2" s="175" t="s">
        <v>30</v>
      </c>
      <c r="C2" s="175"/>
      <c r="D2" s="175"/>
      <c r="E2" s="175"/>
      <c r="F2" s="175"/>
      <c r="G2" s="175"/>
      <c r="H2" s="175"/>
      <c r="I2" s="175"/>
      <c r="J2" s="175"/>
      <c r="K2" s="175"/>
      <c r="L2" s="175"/>
      <c r="M2" s="176" t="s">
        <v>31</v>
      </c>
      <c r="N2" s="176"/>
      <c r="O2" s="176"/>
      <c r="P2" s="176"/>
      <c r="Q2" s="176"/>
      <c r="R2" s="176"/>
      <c r="S2" s="176"/>
      <c r="T2" s="176"/>
      <c r="U2" s="176"/>
      <c r="V2" s="176"/>
      <c r="W2" s="176"/>
      <c r="X2" s="177"/>
    </row>
    <row r="3" spans="1:24" ht="66">
      <c r="A3" s="125" t="s">
        <v>32</v>
      </c>
      <c r="B3" s="126" t="s">
        <v>33</v>
      </c>
      <c r="C3" s="126" t="s">
        <v>3</v>
      </c>
      <c r="D3" s="126" t="s">
        <v>34</v>
      </c>
      <c r="E3" s="126" t="s">
        <v>4</v>
      </c>
      <c r="F3" s="127" t="s">
        <v>35</v>
      </c>
      <c r="G3" s="127" t="s">
        <v>36</v>
      </c>
      <c r="H3" s="127" t="s">
        <v>37</v>
      </c>
      <c r="I3" s="133" t="s">
        <v>38</v>
      </c>
      <c r="J3" s="127" t="s">
        <v>39</v>
      </c>
      <c r="K3" s="127" t="s">
        <v>40</v>
      </c>
      <c r="L3" s="133" t="s">
        <v>41</v>
      </c>
      <c r="M3" s="134" t="s">
        <v>42</v>
      </c>
      <c r="N3" s="134" t="s">
        <v>43</v>
      </c>
      <c r="O3" s="134" t="s">
        <v>44</v>
      </c>
      <c r="P3" s="135" t="s">
        <v>45</v>
      </c>
      <c r="Q3" s="134" t="s">
        <v>46</v>
      </c>
      <c r="R3" s="134" t="s">
        <v>47</v>
      </c>
      <c r="S3" s="136" t="s">
        <v>48</v>
      </c>
      <c r="T3" s="136" t="s">
        <v>49</v>
      </c>
      <c r="U3" s="136" t="s">
        <v>50</v>
      </c>
      <c r="V3" s="135" t="s">
        <v>51</v>
      </c>
      <c r="W3" s="134" t="s">
        <v>52</v>
      </c>
      <c r="X3" s="137" t="s">
        <v>53</v>
      </c>
    </row>
    <row r="4" spans="1:24" ht="16.5">
      <c r="A4" s="128">
        <v>42884</v>
      </c>
      <c r="B4" s="129"/>
      <c r="C4" s="129"/>
      <c r="D4" s="129"/>
      <c r="E4" s="130" t="s">
        <v>54</v>
      </c>
      <c r="F4" s="130"/>
      <c r="G4" s="130"/>
      <c r="H4" s="130"/>
      <c r="I4" s="130"/>
      <c r="J4" s="130"/>
      <c r="K4" s="130"/>
      <c r="L4" s="130"/>
      <c r="M4" s="130"/>
      <c r="N4" s="130"/>
      <c r="O4" s="130"/>
      <c r="P4" s="130"/>
      <c r="Q4" s="130"/>
      <c r="R4" s="130"/>
      <c r="S4" s="130"/>
      <c r="T4" s="130"/>
      <c r="U4" s="130"/>
      <c r="V4" s="130"/>
      <c r="W4" s="130"/>
      <c r="X4" s="138"/>
    </row>
    <row r="5" spans="1:24" ht="16.5">
      <c r="A5" s="128">
        <v>42884</v>
      </c>
      <c r="B5" s="129"/>
      <c r="C5" s="129"/>
      <c r="D5" s="129"/>
      <c r="E5" s="130" t="s">
        <v>55</v>
      </c>
      <c r="F5" s="130"/>
      <c r="G5" s="130"/>
      <c r="H5" s="130"/>
      <c r="I5" s="130"/>
      <c r="J5" s="130"/>
      <c r="K5" s="130"/>
      <c r="L5" s="130"/>
      <c r="M5" s="130"/>
      <c r="N5" s="130"/>
      <c r="O5" s="130"/>
      <c r="P5" s="130"/>
      <c r="Q5" s="130"/>
      <c r="R5" s="130"/>
      <c r="S5" s="130"/>
      <c r="T5" s="130"/>
      <c r="U5" s="130"/>
      <c r="V5" s="130"/>
      <c r="W5" s="130"/>
      <c r="X5" s="138"/>
    </row>
    <row r="6" spans="1:24" ht="16.5">
      <c r="A6" s="128">
        <v>42884</v>
      </c>
      <c r="B6" s="129"/>
      <c r="C6" s="129"/>
      <c r="D6" s="129"/>
      <c r="E6" s="130" t="s">
        <v>54</v>
      </c>
      <c r="F6" s="130"/>
      <c r="G6" s="130"/>
      <c r="H6" s="130"/>
      <c r="I6" s="130"/>
      <c r="J6" s="130"/>
      <c r="K6" s="130"/>
      <c r="L6" s="130"/>
      <c r="M6" s="130"/>
      <c r="N6" s="130"/>
      <c r="O6" s="130"/>
      <c r="P6" s="130"/>
      <c r="Q6" s="130"/>
      <c r="R6" s="130"/>
      <c r="S6" s="130"/>
      <c r="T6" s="130"/>
      <c r="U6" s="130"/>
      <c r="V6" s="130"/>
      <c r="W6" s="130"/>
      <c r="X6" s="138"/>
    </row>
    <row r="7" spans="1:24" ht="16.5">
      <c r="A7" s="128">
        <v>42884</v>
      </c>
      <c r="B7" s="129"/>
      <c r="C7" s="129"/>
      <c r="D7" s="129"/>
      <c r="E7" s="130" t="s">
        <v>55</v>
      </c>
      <c r="F7" s="130"/>
      <c r="G7" s="130"/>
      <c r="H7" s="130"/>
      <c r="I7" s="130"/>
      <c r="J7" s="130"/>
      <c r="K7" s="130"/>
      <c r="L7" s="130"/>
      <c r="M7" s="130"/>
      <c r="N7" s="130"/>
      <c r="O7" s="130"/>
      <c r="P7" s="130"/>
      <c r="Q7" s="130"/>
      <c r="R7" s="130"/>
      <c r="S7" s="130"/>
      <c r="T7" s="130"/>
      <c r="U7" s="130"/>
      <c r="V7" s="130"/>
      <c r="W7" s="130"/>
      <c r="X7" s="138"/>
    </row>
    <row r="8" spans="1:24" ht="16.5">
      <c r="A8" s="128">
        <v>42885</v>
      </c>
      <c r="B8" s="129"/>
      <c r="C8" s="129"/>
      <c r="D8" s="129"/>
      <c r="E8" s="130" t="s">
        <v>54</v>
      </c>
      <c r="F8" s="130"/>
      <c r="G8" s="130"/>
      <c r="H8" s="130"/>
      <c r="I8" s="130"/>
      <c r="J8" s="130"/>
      <c r="K8" s="130"/>
      <c r="L8" s="130"/>
      <c r="M8" s="130"/>
      <c r="N8" s="130"/>
      <c r="O8" s="130"/>
      <c r="P8" s="130"/>
      <c r="Q8" s="130"/>
      <c r="R8" s="130"/>
      <c r="S8" s="130"/>
      <c r="T8" s="130"/>
      <c r="U8" s="130"/>
      <c r="V8" s="130"/>
      <c r="W8" s="130"/>
      <c r="X8" s="138"/>
    </row>
    <row r="9" spans="1:24" ht="16.5">
      <c r="A9" s="128">
        <v>42885</v>
      </c>
      <c r="B9" s="129"/>
      <c r="C9" s="129"/>
      <c r="D9" s="129"/>
      <c r="E9" s="130" t="s">
        <v>55</v>
      </c>
      <c r="F9" s="130"/>
      <c r="G9" s="130"/>
      <c r="H9" s="130"/>
      <c r="I9" s="130"/>
      <c r="J9" s="130"/>
      <c r="K9" s="130"/>
      <c r="L9" s="130"/>
      <c r="M9" s="130"/>
      <c r="N9" s="130"/>
      <c r="O9" s="130"/>
      <c r="P9" s="130"/>
      <c r="Q9" s="130"/>
      <c r="R9" s="130"/>
      <c r="S9" s="130"/>
      <c r="T9" s="130"/>
      <c r="U9" s="130"/>
      <c r="V9" s="130"/>
      <c r="W9" s="130"/>
      <c r="X9" s="138"/>
    </row>
    <row r="10" spans="1:24" ht="16.5">
      <c r="A10" s="128">
        <v>42885</v>
      </c>
      <c r="B10" s="129"/>
      <c r="C10" s="129"/>
      <c r="D10" s="129"/>
      <c r="E10" s="130" t="s">
        <v>54</v>
      </c>
      <c r="F10" s="130"/>
      <c r="G10" s="130"/>
      <c r="H10" s="130"/>
      <c r="I10" s="130"/>
      <c r="J10" s="130"/>
      <c r="K10" s="130"/>
      <c r="L10" s="130"/>
      <c r="M10" s="130"/>
      <c r="N10" s="130"/>
      <c r="O10" s="130"/>
      <c r="P10" s="130"/>
      <c r="Q10" s="130"/>
      <c r="R10" s="130"/>
      <c r="S10" s="130"/>
      <c r="T10" s="130"/>
      <c r="U10" s="130"/>
      <c r="V10" s="130"/>
      <c r="W10" s="130"/>
      <c r="X10" s="138"/>
    </row>
    <row r="11" spans="1:24" ht="16.5">
      <c r="A11" s="128">
        <v>42886</v>
      </c>
      <c r="B11" s="129"/>
      <c r="C11" s="129"/>
      <c r="D11" s="129"/>
      <c r="E11" s="130" t="s">
        <v>55</v>
      </c>
      <c r="F11" s="130"/>
      <c r="G11" s="130"/>
      <c r="H11" s="130"/>
      <c r="I11" s="130"/>
      <c r="J11" s="130"/>
      <c r="K11" s="130"/>
      <c r="L11" s="130"/>
      <c r="M11" s="130"/>
      <c r="N11" s="130"/>
      <c r="O11" s="130"/>
      <c r="P11" s="130"/>
      <c r="Q11" s="130"/>
      <c r="R11" s="130"/>
      <c r="S11" s="130"/>
      <c r="T11" s="130"/>
      <c r="U11" s="130"/>
      <c r="V11" s="130"/>
      <c r="W11" s="130"/>
      <c r="X11" s="138"/>
    </row>
    <row r="12" spans="1:24" ht="16.5">
      <c r="A12" s="128">
        <v>42887</v>
      </c>
      <c r="B12" s="129"/>
      <c r="C12" s="129"/>
      <c r="D12" s="129"/>
      <c r="E12" s="130" t="s">
        <v>55</v>
      </c>
      <c r="F12" s="130"/>
      <c r="G12" s="130"/>
      <c r="H12" s="130"/>
      <c r="I12" s="130"/>
      <c r="J12" s="130"/>
      <c r="K12" s="130"/>
      <c r="L12" s="130"/>
      <c r="M12" s="130"/>
      <c r="N12" s="130"/>
      <c r="O12" s="130"/>
      <c r="P12" s="130"/>
      <c r="Q12" s="130"/>
      <c r="R12" s="130"/>
      <c r="S12" s="130"/>
      <c r="T12" s="130"/>
      <c r="U12" s="130"/>
      <c r="V12" s="130"/>
      <c r="W12" s="130"/>
      <c r="X12" s="138"/>
    </row>
    <row r="13" spans="1:24" ht="16.5">
      <c r="A13" s="128">
        <v>42888</v>
      </c>
      <c r="B13" s="129"/>
      <c r="C13" s="129"/>
      <c r="D13" s="129"/>
      <c r="E13" s="130"/>
      <c r="F13" s="130"/>
      <c r="G13" s="130"/>
      <c r="H13" s="130"/>
      <c r="I13" s="130"/>
      <c r="J13" s="130"/>
      <c r="K13" s="130"/>
      <c r="L13" s="130"/>
      <c r="M13" s="130"/>
      <c r="N13" s="130"/>
      <c r="O13" s="130"/>
      <c r="P13" s="130"/>
      <c r="Q13" s="130"/>
      <c r="R13" s="130"/>
      <c r="S13" s="130"/>
      <c r="T13" s="130"/>
      <c r="U13" s="130"/>
      <c r="V13" s="130"/>
      <c r="W13" s="130"/>
      <c r="X13" s="138"/>
    </row>
    <row r="14" spans="1:24" ht="16.5">
      <c r="A14" s="128">
        <v>42889</v>
      </c>
      <c r="B14" s="129"/>
      <c r="C14" s="129"/>
      <c r="D14" s="129"/>
      <c r="E14" s="130"/>
      <c r="F14" s="130"/>
      <c r="G14" s="130"/>
      <c r="H14" s="130"/>
      <c r="I14" s="130"/>
      <c r="J14" s="130"/>
      <c r="K14" s="130"/>
      <c r="L14" s="130"/>
      <c r="M14" s="130"/>
      <c r="N14" s="130"/>
      <c r="O14" s="130"/>
      <c r="P14" s="130"/>
      <c r="Q14" s="130"/>
      <c r="R14" s="130"/>
      <c r="S14" s="130"/>
      <c r="T14" s="130"/>
      <c r="U14" s="130"/>
      <c r="V14" s="130"/>
      <c r="W14" s="130"/>
      <c r="X14" s="138"/>
    </row>
    <row r="15" spans="1:24" ht="16.5">
      <c r="A15" s="128">
        <v>42890</v>
      </c>
      <c r="B15" s="129"/>
      <c r="C15" s="129"/>
      <c r="D15" s="129"/>
      <c r="E15" s="130"/>
      <c r="F15" s="130"/>
      <c r="G15" s="130"/>
      <c r="H15" s="130"/>
      <c r="I15" s="130"/>
      <c r="J15" s="130"/>
      <c r="K15" s="130"/>
      <c r="L15" s="130"/>
      <c r="M15" s="130"/>
      <c r="N15" s="130"/>
      <c r="O15" s="130"/>
      <c r="P15" s="130"/>
      <c r="Q15" s="130"/>
      <c r="R15" s="130"/>
      <c r="S15" s="130"/>
      <c r="T15" s="130"/>
      <c r="U15" s="130"/>
      <c r="V15" s="130"/>
      <c r="W15" s="130"/>
      <c r="X15" s="138"/>
    </row>
    <row r="16" spans="1:24" ht="16.5">
      <c r="A16" s="128">
        <v>42891</v>
      </c>
      <c r="B16" s="131"/>
      <c r="C16" s="131"/>
      <c r="D16" s="131"/>
      <c r="E16" s="132"/>
      <c r="F16" s="132"/>
      <c r="G16" s="132"/>
      <c r="H16" s="132"/>
      <c r="I16" s="132"/>
      <c r="J16" s="132"/>
      <c r="K16" s="132"/>
      <c r="L16" s="132"/>
      <c r="M16" s="132"/>
      <c r="N16" s="132"/>
      <c r="O16" s="132"/>
      <c r="P16" s="132"/>
      <c r="Q16" s="132"/>
      <c r="R16" s="132"/>
      <c r="S16" s="132"/>
      <c r="T16" s="132"/>
      <c r="U16" s="132"/>
      <c r="V16" s="132"/>
      <c r="W16" s="132"/>
      <c r="X16" s="139"/>
    </row>
  </sheetData>
  <autoFilter ref="A3:X16">
    <extLst/>
  </autoFilter>
  <mergeCells count="3">
    <mergeCell ref="A1:X1"/>
    <mergeCell ref="B2:L2"/>
    <mergeCell ref="M2:X2"/>
  </mergeCells>
  <phoneticPr fontId="31"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dimension ref="A1:N16"/>
  <sheetViews>
    <sheetView tabSelected="1" workbookViewId="0">
      <selection activeCell="R11" sqref="R11"/>
    </sheetView>
  </sheetViews>
  <sheetFormatPr defaultColWidth="9" defaultRowHeight="13.5"/>
  <sheetData>
    <row r="1" spans="1:14" ht="16.5">
      <c r="A1" s="104" t="s">
        <v>29</v>
      </c>
      <c r="B1" s="105" t="s">
        <v>56</v>
      </c>
      <c r="C1" s="105" t="s">
        <v>57</v>
      </c>
      <c r="D1" s="105" t="s">
        <v>58</v>
      </c>
      <c r="E1" s="105" t="s">
        <v>59</v>
      </c>
      <c r="F1" s="105" t="s">
        <v>60</v>
      </c>
      <c r="G1" s="105" t="s">
        <v>61</v>
      </c>
      <c r="H1" s="105" t="s">
        <v>62</v>
      </c>
      <c r="I1" s="105" t="s">
        <v>56</v>
      </c>
      <c r="J1" s="105" t="s">
        <v>57</v>
      </c>
      <c r="K1" s="105" t="s">
        <v>58</v>
      </c>
      <c r="L1" s="105" t="s">
        <v>59</v>
      </c>
      <c r="M1" s="105" t="s">
        <v>60</v>
      </c>
      <c r="N1" s="116" t="s">
        <v>61</v>
      </c>
    </row>
    <row r="2" spans="1:14" ht="16.5">
      <c r="A2" s="106" t="s">
        <v>32</v>
      </c>
      <c r="B2" s="107">
        <v>42884</v>
      </c>
      <c r="C2" s="107">
        <v>42885</v>
      </c>
      <c r="D2" s="107">
        <v>42886</v>
      </c>
      <c r="E2" s="107">
        <v>42887</v>
      </c>
      <c r="F2" s="107">
        <v>42888</v>
      </c>
      <c r="G2" s="107">
        <v>42889</v>
      </c>
      <c r="H2" s="107">
        <v>42890</v>
      </c>
      <c r="I2" s="107">
        <v>42891</v>
      </c>
      <c r="J2" s="107">
        <v>42892</v>
      </c>
      <c r="K2" s="107">
        <v>42893</v>
      </c>
      <c r="L2" s="107">
        <v>42894</v>
      </c>
      <c r="M2" s="107">
        <v>42895</v>
      </c>
      <c r="N2" s="117">
        <v>42896</v>
      </c>
    </row>
    <row r="3" spans="1:14" ht="16.5">
      <c r="A3" s="108" t="s">
        <v>63</v>
      </c>
      <c r="B3" s="107"/>
      <c r="C3" s="107"/>
      <c r="D3" s="107"/>
      <c r="E3" s="107"/>
      <c r="F3" s="107"/>
      <c r="G3" s="107"/>
      <c r="H3" s="107"/>
      <c r="I3" s="107"/>
      <c r="J3" s="107"/>
      <c r="K3" s="107"/>
      <c r="L3" s="107"/>
      <c r="M3" s="107"/>
      <c r="N3" s="117"/>
    </row>
    <row r="4" spans="1:14" ht="16.5">
      <c r="A4" s="108" t="s">
        <v>42</v>
      </c>
      <c r="B4" s="109">
        <v>15</v>
      </c>
      <c r="C4" s="109"/>
      <c r="D4" s="109"/>
      <c r="E4" s="109"/>
      <c r="F4" s="109"/>
      <c r="G4" s="109"/>
      <c r="H4" s="109"/>
      <c r="I4" s="109"/>
      <c r="J4" s="111"/>
      <c r="K4" s="111"/>
      <c r="L4" s="109"/>
      <c r="M4" s="109"/>
      <c r="N4" s="118"/>
    </row>
    <row r="5" spans="1:14" ht="16.5">
      <c r="A5" s="108" t="s">
        <v>43</v>
      </c>
      <c r="B5" s="110">
        <v>0.01</v>
      </c>
      <c r="C5" s="110"/>
      <c r="D5" s="110"/>
      <c r="E5" s="110"/>
      <c r="F5" s="110"/>
      <c r="G5" s="110"/>
      <c r="H5" s="110"/>
      <c r="I5" s="110"/>
      <c r="J5" s="110"/>
      <c r="K5" s="110"/>
      <c r="L5" s="110"/>
      <c r="M5" s="110"/>
      <c r="N5" s="119"/>
    </row>
    <row r="6" spans="1:14" ht="16.5">
      <c r="A6" s="108" t="s">
        <v>44</v>
      </c>
      <c r="B6" s="111">
        <v>10</v>
      </c>
      <c r="C6" s="111"/>
      <c r="D6" s="111"/>
      <c r="E6" s="111"/>
      <c r="F6" s="111"/>
      <c r="G6" s="111"/>
      <c r="H6" s="111"/>
      <c r="I6" s="120"/>
      <c r="J6" s="111"/>
      <c r="K6" s="111"/>
      <c r="L6" s="111"/>
      <c r="M6" s="111"/>
      <c r="N6" s="121"/>
    </row>
    <row r="7" spans="1:14" ht="16.5">
      <c r="A7" s="112" t="s">
        <v>45</v>
      </c>
      <c r="B7" s="111">
        <f t="shared" ref="B7:N7" si="0">B8-B6</f>
        <v>2</v>
      </c>
      <c r="C7" s="111">
        <f t="shared" si="0"/>
        <v>0</v>
      </c>
      <c r="D7" s="111">
        <f t="shared" si="0"/>
        <v>0</v>
      </c>
      <c r="E7" s="111">
        <f t="shared" si="0"/>
        <v>0</v>
      </c>
      <c r="F7" s="111">
        <f t="shared" si="0"/>
        <v>0</v>
      </c>
      <c r="G7" s="111">
        <f t="shared" si="0"/>
        <v>0</v>
      </c>
      <c r="H7" s="111">
        <f t="shared" si="0"/>
        <v>0</v>
      </c>
      <c r="I7" s="111">
        <f t="shared" si="0"/>
        <v>0</v>
      </c>
      <c r="J7" s="111">
        <f t="shared" si="0"/>
        <v>0</v>
      </c>
      <c r="K7" s="111">
        <f t="shared" si="0"/>
        <v>0</v>
      </c>
      <c r="L7" s="111">
        <f t="shared" si="0"/>
        <v>0</v>
      </c>
      <c r="M7" s="111">
        <f t="shared" si="0"/>
        <v>0</v>
      </c>
      <c r="N7" s="121">
        <f t="shared" si="0"/>
        <v>0</v>
      </c>
    </row>
    <row r="8" spans="1:14" ht="16.5">
      <c r="A8" s="108" t="s">
        <v>46</v>
      </c>
      <c r="B8" s="111">
        <v>12</v>
      </c>
      <c r="C8" s="111"/>
      <c r="D8" s="111"/>
      <c r="E8" s="111"/>
      <c r="F8" s="111"/>
      <c r="G8" s="111"/>
      <c r="H8" s="111"/>
      <c r="I8" s="120"/>
      <c r="J8" s="122"/>
      <c r="K8" s="111"/>
      <c r="L8" s="111"/>
      <c r="M8" s="111"/>
      <c r="N8" s="121"/>
    </row>
    <row r="9" spans="1:14" ht="16.5">
      <c r="A9" s="108" t="s">
        <v>64</v>
      </c>
      <c r="B9" s="111">
        <v>10</v>
      </c>
      <c r="C9" s="111"/>
      <c r="D9" s="111"/>
      <c r="E9" s="111"/>
      <c r="F9" s="111"/>
      <c r="G9" s="111"/>
      <c r="H9" s="111"/>
      <c r="I9" s="111"/>
      <c r="J9" s="111"/>
      <c r="K9" s="111"/>
      <c r="L9" s="111"/>
      <c r="M9" s="111"/>
      <c r="N9" s="121"/>
    </row>
    <row r="10" spans="1:14" ht="16.5">
      <c r="A10" s="108" t="s">
        <v>48</v>
      </c>
      <c r="B10" s="111"/>
      <c r="C10" s="111"/>
      <c r="D10" s="111"/>
      <c r="E10" s="111"/>
      <c r="F10" s="111"/>
      <c r="G10" s="111"/>
      <c r="H10" s="111"/>
      <c r="I10" s="111"/>
      <c r="J10" s="111"/>
      <c r="K10" s="111"/>
      <c r="L10" s="111"/>
      <c r="M10" s="111"/>
      <c r="N10" s="121"/>
    </row>
    <row r="11" spans="1:14" ht="66">
      <c r="A11" s="113" t="s">
        <v>49</v>
      </c>
      <c r="B11" s="111"/>
      <c r="C11" s="111"/>
      <c r="D11" s="111"/>
      <c r="E11" s="111"/>
      <c r="F11" s="111"/>
      <c r="G11" s="111"/>
      <c r="H11" s="111"/>
      <c r="I11" s="111"/>
      <c r="J11" s="111"/>
      <c r="K11" s="111"/>
      <c r="L11" s="111"/>
      <c r="M11" s="111"/>
      <c r="N11" s="121"/>
    </row>
    <row r="12" spans="1:14" ht="66">
      <c r="A12" s="113" t="s">
        <v>50</v>
      </c>
      <c r="B12" s="111"/>
      <c r="C12" s="111"/>
      <c r="D12" s="111"/>
      <c r="E12" s="111"/>
      <c r="F12" s="111"/>
      <c r="G12" s="111"/>
      <c r="H12" s="111"/>
      <c r="I12" s="111"/>
      <c r="J12" s="111"/>
      <c r="K12" s="111"/>
      <c r="L12" s="111"/>
      <c r="M12" s="111"/>
      <c r="N12" s="121"/>
    </row>
    <row r="13" spans="1:14" ht="16.5">
      <c r="A13" s="112" t="s">
        <v>51</v>
      </c>
      <c r="B13" s="110">
        <f t="shared" ref="B13:N13" si="1">B9/B8</f>
        <v>0.83333333333333337</v>
      </c>
      <c r="C13" s="110" t="e">
        <f t="shared" si="1"/>
        <v>#DIV/0!</v>
      </c>
      <c r="D13" s="110" t="e">
        <f t="shared" si="1"/>
        <v>#DIV/0!</v>
      </c>
      <c r="E13" s="110" t="e">
        <f t="shared" si="1"/>
        <v>#DIV/0!</v>
      </c>
      <c r="F13" s="110" t="e">
        <f t="shared" si="1"/>
        <v>#DIV/0!</v>
      </c>
      <c r="G13" s="110" t="e">
        <f t="shared" si="1"/>
        <v>#DIV/0!</v>
      </c>
      <c r="H13" s="110" t="e">
        <f t="shared" si="1"/>
        <v>#DIV/0!</v>
      </c>
      <c r="I13" s="110" t="e">
        <f t="shared" si="1"/>
        <v>#DIV/0!</v>
      </c>
      <c r="J13" s="110" t="e">
        <f t="shared" si="1"/>
        <v>#DIV/0!</v>
      </c>
      <c r="K13" s="110" t="e">
        <f t="shared" si="1"/>
        <v>#DIV/0!</v>
      </c>
      <c r="L13" s="110" t="e">
        <f t="shared" si="1"/>
        <v>#DIV/0!</v>
      </c>
      <c r="M13" s="110" t="e">
        <f t="shared" si="1"/>
        <v>#DIV/0!</v>
      </c>
      <c r="N13" s="119" t="e">
        <f t="shared" si="1"/>
        <v>#DIV/0!</v>
      </c>
    </row>
    <row r="14" spans="1:14" ht="16.5">
      <c r="A14" s="108" t="s">
        <v>52</v>
      </c>
      <c r="B14" s="111">
        <v>1</v>
      </c>
      <c r="C14" s="111"/>
      <c r="D14" s="111"/>
      <c r="E14" s="111"/>
      <c r="F14" s="111"/>
      <c r="G14" s="111"/>
      <c r="H14" s="111"/>
      <c r="I14" s="111"/>
      <c r="J14" s="111"/>
      <c r="K14" s="111"/>
      <c r="L14" s="111"/>
      <c r="M14" s="111"/>
      <c r="N14" s="121"/>
    </row>
    <row r="15" spans="1:14" ht="16.5">
      <c r="A15" s="114" t="s">
        <v>53</v>
      </c>
      <c r="B15" s="115"/>
      <c r="C15" s="115"/>
      <c r="D15" s="115"/>
      <c r="E15" s="115"/>
      <c r="F15" s="115"/>
      <c r="G15" s="115"/>
      <c r="H15" s="115"/>
      <c r="I15" s="115"/>
      <c r="J15" s="115"/>
      <c r="K15" s="115"/>
      <c r="L15" s="115"/>
      <c r="M15" s="115"/>
      <c r="N15" s="123"/>
    </row>
    <row r="16" spans="1:14">
      <c r="A16" s="178" t="s">
        <v>65</v>
      </c>
      <c r="B16" s="178"/>
      <c r="C16" s="178"/>
      <c r="D16" s="178"/>
      <c r="E16" s="178"/>
      <c r="F16" s="178"/>
      <c r="G16" s="178"/>
      <c r="H16" s="178"/>
      <c r="I16" s="178"/>
      <c r="J16" s="178"/>
      <c r="K16" s="178"/>
      <c r="L16" s="178"/>
      <c r="M16" s="178"/>
      <c r="N16" s="178"/>
    </row>
  </sheetData>
  <mergeCells count="1">
    <mergeCell ref="A16:N16"/>
  </mergeCells>
  <phoneticPr fontId="31"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dimension ref="A1:BJ17"/>
  <sheetViews>
    <sheetView showZeros="0" workbookViewId="0">
      <selection activeCell="C16" sqref="C16"/>
    </sheetView>
  </sheetViews>
  <sheetFormatPr defaultColWidth="9" defaultRowHeight="13.5"/>
  <cols>
    <col min="1" max="1" width="2.75" customWidth="1"/>
    <col min="2" max="2" width="8.375" style="12" customWidth="1"/>
    <col min="4" max="4" width="5.625" customWidth="1"/>
    <col min="5" max="5" width="7.375" style="12" hidden="1" customWidth="1"/>
    <col min="6" max="6" width="6" hidden="1" customWidth="1"/>
    <col min="7" max="7" width="11" style="27"/>
    <col min="8" max="8" width="8.875" style="28" customWidth="1"/>
    <col min="9" max="9" width="5" style="29" customWidth="1"/>
    <col min="11" max="11" width="6" customWidth="1"/>
    <col min="13" max="13" width="7.125" customWidth="1"/>
    <col min="14" max="14" width="5.75" customWidth="1"/>
    <col min="15" max="15" width="6.75" customWidth="1"/>
    <col min="16" max="16" width="6.625" customWidth="1"/>
    <col min="17" max="17" width="7.375" customWidth="1"/>
    <col min="18" max="18" width="7.875" hidden="1" customWidth="1"/>
    <col min="19" max="19" width="6.5" hidden="1" customWidth="1"/>
    <col min="20" max="20" width="8.125" hidden="1" customWidth="1"/>
    <col min="21" max="21" width="8.125" customWidth="1"/>
    <col min="22" max="23" width="7.625" customWidth="1"/>
    <col min="24" max="24" width="6.25" customWidth="1"/>
    <col min="25" max="25" width="5.75" customWidth="1"/>
    <col min="26" max="26" width="5.875" hidden="1" customWidth="1"/>
    <col min="32" max="32" width="11.5"/>
    <col min="36" max="36" width="12.625"/>
    <col min="47" max="47" width="6.25" customWidth="1"/>
    <col min="52" max="52" width="13.75"/>
    <col min="55" max="55" width="12.625"/>
    <col min="59" max="60" width="12.625"/>
    <col min="61" max="61" width="10.25" customWidth="1"/>
    <col min="62" max="62" width="13.75"/>
    <col min="64" max="64" width="12.625"/>
  </cols>
  <sheetData>
    <row r="1" spans="1:62" ht="27">
      <c r="A1" s="179" t="s">
        <v>66</v>
      </c>
      <c r="B1" s="180"/>
      <c r="C1" s="180"/>
      <c r="D1" s="180"/>
      <c r="E1" s="180"/>
      <c r="F1" s="180"/>
      <c r="G1" s="180"/>
      <c r="H1" s="180"/>
      <c r="I1" s="180"/>
      <c r="J1" s="180"/>
      <c r="K1" s="180"/>
      <c r="L1" s="180"/>
      <c r="M1" s="180"/>
      <c r="N1" s="180"/>
      <c r="O1" s="180"/>
      <c r="P1" s="180"/>
      <c r="Q1" s="180"/>
      <c r="R1" s="180"/>
      <c r="S1" s="180"/>
      <c r="T1" s="180"/>
      <c r="U1" s="180"/>
      <c r="V1" s="180"/>
      <c r="W1" s="180"/>
      <c r="X1" s="180"/>
      <c r="Y1" s="180"/>
      <c r="Z1" s="181"/>
      <c r="AA1" s="70" t="s">
        <v>67</v>
      </c>
      <c r="AB1" s="71" t="s">
        <v>68</v>
      </c>
      <c r="AC1" s="72"/>
      <c r="AD1" s="182" t="s">
        <v>69</v>
      </c>
      <c r="AE1" s="182"/>
      <c r="AF1" s="182"/>
      <c r="AG1" s="182"/>
      <c r="AH1" s="182"/>
      <c r="AI1" s="182"/>
      <c r="AJ1" s="182"/>
      <c r="AK1" s="182"/>
      <c r="AL1" s="182"/>
      <c r="AM1" s="182"/>
      <c r="AN1" s="182"/>
      <c r="AO1" s="182"/>
      <c r="AP1" s="182"/>
      <c r="AQ1" t="s">
        <v>70</v>
      </c>
    </row>
    <row r="2" spans="1:62" ht="16.5">
      <c r="A2" s="194" t="s">
        <v>71</v>
      </c>
      <c r="B2" s="185" t="s">
        <v>33</v>
      </c>
      <c r="C2" s="196" t="s">
        <v>3</v>
      </c>
      <c r="D2" s="196" t="s">
        <v>34</v>
      </c>
      <c r="E2" s="198" t="s">
        <v>4</v>
      </c>
      <c r="F2" s="196" t="s">
        <v>72</v>
      </c>
      <c r="G2" s="199" t="s">
        <v>35</v>
      </c>
      <c r="H2" s="183" t="s">
        <v>36</v>
      </c>
      <c r="I2" s="184"/>
      <c r="J2" s="185" t="s">
        <v>73</v>
      </c>
      <c r="K2" s="185"/>
      <c r="L2" s="186" t="s">
        <v>74</v>
      </c>
      <c r="M2" s="186"/>
      <c r="N2" s="186"/>
      <c r="O2" s="185" t="s">
        <v>75</v>
      </c>
      <c r="P2" s="185"/>
      <c r="Q2" s="196" t="s">
        <v>40</v>
      </c>
      <c r="R2" s="187" t="s">
        <v>76</v>
      </c>
      <c r="S2" s="187"/>
      <c r="T2" s="187"/>
      <c r="U2" s="187"/>
      <c r="V2" s="187"/>
      <c r="W2" s="187"/>
      <c r="X2" s="187" t="s">
        <v>77</v>
      </c>
      <c r="Y2" s="187"/>
      <c r="Z2" s="188"/>
      <c r="AA2" s="201" t="s">
        <v>33</v>
      </c>
      <c r="AB2" s="196" t="s">
        <v>3</v>
      </c>
      <c r="AC2" s="30" t="s">
        <v>34</v>
      </c>
      <c r="AD2" s="31" t="s">
        <v>4</v>
      </c>
      <c r="AE2" s="196" t="s">
        <v>72</v>
      </c>
      <c r="AF2" s="185" t="s">
        <v>35</v>
      </c>
      <c r="AG2" s="185" t="s">
        <v>36</v>
      </c>
      <c r="AH2" s="185"/>
      <c r="AI2" s="185" t="s">
        <v>73</v>
      </c>
      <c r="AJ2" s="185"/>
      <c r="AK2" s="186" t="s">
        <v>74</v>
      </c>
      <c r="AL2" s="186"/>
      <c r="AM2" s="186"/>
      <c r="AN2" s="185" t="s">
        <v>75</v>
      </c>
      <c r="AO2" s="185"/>
      <c r="AP2" s="196" t="s">
        <v>40</v>
      </c>
      <c r="AQ2" s="187" t="s">
        <v>76</v>
      </c>
      <c r="AR2" s="187"/>
      <c r="AS2" s="187"/>
      <c r="AT2" s="187"/>
      <c r="AU2" s="187"/>
      <c r="AV2" s="189"/>
      <c r="AW2" s="190" t="s">
        <v>77</v>
      </c>
      <c r="AX2" s="191"/>
      <c r="AY2" s="192"/>
      <c r="AZ2" s="193" t="s">
        <v>78</v>
      </c>
      <c r="BA2" s="193"/>
      <c r="BB2" s="193"/>
      <c r="BC2" s="193"/>
    </row>
    <row r="3" spans="1:62" ht="27">
      <c r="A3" s="194"/>
      <c r="B3" s="195"/>
      <c r="C3" s="197"/>
      <c r="D3" s="196"/>
      <c r="E3" s="198"/>
      <c r="F3" s="197"/>
      <c r="G3" s="200"/>
      <c r="H3" s="34" t="s">
        <v>79</v>
      </c>
      <c r="I3" s="44" t="s">
        <v>16</v>
      </c>
      <c r="J3" s="32" t="s">
        <v>79</v>
      </c>
      <c r="K3" s="45" t="s">
        <v>16</v>
      </c>
      <c r="L3" s="32" t="s">
        <v>79</v>
      </c>
      <c r="M3" s="46" t="s">
        <v>80</v>
      </c>
      <c r="N3" s="45" t="s">
        <v>16</v>
      </c>
      <c r="O3" s="32" t="s">
        <v>79</v>
      </c>
      <c r="P3" s="45" t="s">
        <v>16</v>
      </c>
      <c r="Q3" s="196"/>
      <c r="R3" s="58" t="s">
        <v>81</v>
      </c>
      <c r="S3" s="58" t="s">
        <v>82</v>
      </c>
      <c r="T3" s="58" t="s">
        <v>16</v>
      </c>
      <c r="U3" s="59" t="s">
        <v>83</v>
      </c>
      <c r="V3" s="59" t="s">
        <v>84</v>
      </c>
      <c r="W3" s="60" t="s">
        <v>85</v>
      </c>
      <c r="X3" s="61" t="s">
        <v>21</v>
      </c>
      <c r="Y3" s="61" t="s">
        <v>86</v>
      </c>
      <c r="Z3" s="73" t="s">
        <v>87</v>
      </c>
      <c r="AA3" s="202"/>
      <c r="AB3" s="197"/>
      <c r="AC3" s="33"/>
      <c r="AD3" s="32"/>
      <c r="AE3" s="197"/>
      <c r="AF3" s="195"/>
      <c r="AG3" s="32" t="s">
        <v>79</v>
      </c>
      <c r="AH3" s="45" t="s">
        <v>16</v>
      </c>
      <c r="AI3" s="32" t="s">
        <v>79</v>
      </c>
      <c r="AJ3" s="45" t="s">
        <v>16</v>
      </c>
      <c r="AK3" s="32" t="s">
        <v>79</v>
      </c>
      <c r="AL3" s="32" t="s">
        <v>80</v>
      </c>
      <c r="AM3" s="45" t="s">
        <v>16</v>
      </c>
      <c r="AN3" s="32" t="s">
        <v>79</v>
      </c>
      <c r="AO3" s="45" t="s">
        <v>16</v>
      </c>
      <c r="AP3" s="196"/>
      <c r="AQ3" s="58" t="s">
        <v>79</v>
      </c>
      <c r="AR3" s="58" t="s">
        <v>88</v>
      </c>
      <c r="AS3" s="58" t="s">
        <v>16</v>
      </c>
      <c r="AT3" s="59" t="s">
        <v>89</v>
      </c>
      <c r="AU3" s="59" t="s">
        <v>90</v>
      </c>
      <c r="AV3" s="86" t="s">
        <v>91</v>
      </c>
      <c r="AW3" s="88" t="s">
        <v>21</v>
      </c>
      <c r="AX3" s="89" t="s">
        <v>86</v>
      </c>
      <c r="AY3" s="90" t="s">
        <v>87</v>
      </c>
      <c r="AZ3" s="91" t="s">
        <v>92</v>
      </c>
      <c r="BA3" s="91" t="s">
        <v>93</v>
      </c>
      <c r="BB3" s="91" t="s">
        <v>94</v>
      </c>
      <c r="BC3" s="91" t="s">
        <v>95</v>
      </c>
      <c r="BD3" s="17" t="s">
        <v>96</v>
      </c>
      <c r="BE3" s="17" t="s">
        <v>97</v>
      </c>
      <c r="BF3" s="17" t="s">
        <v>98</v>
      </c>
      <c r="BG3" s="17" t="s">
        <v>99</v>
      </c>
      <c r="BH3" s="17" t="s">
        <v>100</v>
      </c>
      <c r="BI3" s="17" t="s">
        <v>101</v>
      </c>
    </row>
    <row r="4" spans="1:62" ht="66.95" customHeight="1">
      <c r="A4" s="35">
        <v>1</v>
      </c>
      <c r="B4" s="36" t="str">
        <f>INDEX(本周库存数据整理表!A:A,MATCH($E:$E,本周库存数据整理表!$D:$D,0),1)</f>
        <v>iphone</v>
      </c>
      <c r="C4" s="36" t="str">
        <f>INDEX(本周库存数据整理表!B:B,MATCH($E:$E,本周库存数据整理表!$D:$D,0),1)</f>
        <v>YQ5</v>
      </c>
      <c r="D4" s="36" t="str">
        <f>INDEX(本周库存数据整理表!C:C,MATCH($E:$E,本周库存数据整理表!$D:$D,0),1)</f>
        <v>EAV</v>
      </c>
      <c r="E4" s="18" t="s">
        <v>102</v>
      </c>
      <c r="F4" s="36">
        <f>INDEX(本周库存数据整理表!E:E,MATCH($E:$E,本周库存数据整理表!$D:$D,0),1)</f>
        <v>0</v>
      </c>
      <c r="G4" s="37">
        <f>INDEX(本周库存数据整理表!F:F,MATCH($E:$E,本周库存数据整理表!$D:$D,0),1)</f>
        <v>42754</v>
      </c>
      <c r="H4" s="38">
        <f>INDEX(本周库存数据整理表!G:G,MATCH(E:E,本周库存数据整理表!D:D,0),1)</f>
        <v>23.99</v>
      </c>
      <c r="I4" s="47" t="str">
        <f>IF((H4-AG4)/AG4=0,"无变化",(H4-AG4)/AG4)</f>
        <v>无变化</v>
      </c>
      <c r="J4" s="48">
        <f>INDEX(本周库存数据整理表!H:H,MATCH($E:$E,本周库存数据整理表!$D:$D,0),1)</f>
        <v>3131</v>
      </c>
      <c r="K4" s="49">
        <f>-(J4-AI4)/AI4</f>
        <v>0</v>
      </c>
      <c r="L4" s="48">
        <f>INDEX(本周库存数据整理表!I:I,MATCH($E:$E,本周库存数据整理表!$D:$D,0),1)</f>
        <v>3.7</v>
      </c>
      <c r="M4" s="50">
        <v>4</v>
      </c>
      <c r="N4" s="49" t="str">
        <f t="shared" ref="N4:N11" si="0">IF((L4-AK4)/AK4=0,"无变化",(L4-AK4)/AK4)</f>
        <v>无变化</v>
      </c>
      <c r="O4" s="48">
        <f>INDEX(本周库存数据整理表!J:J,MATCH($E:$E,本周库存数据整理表!$D:$D,0),1)</f>
        <v>1004</v>
      </c>
      <c r="P4" s="51">
        <f t="shared" ref="P4:P11" si="1">(O4-AN4)/AN4</f>
        <v>0</v>
      </c>
      <c r="Q4" s="62">
        <f>IFERROR(VLOOKUP(E4,本周库存数据整理表!D:K,8,0),"")</f>
        <v>0</v>
      </c>
      <c r="R4" s="63">
        <f>IFERROR(INDEX(本周库存数据整理表!L:L,MATCH($E:$E,本周库存数据整理表!$D:$D,0),1),"无")</f>
        <v>4000</v>
      </c>
      <c r="S4" s="52">
        <f>INDEX(库存确认汇总!AQ:AQ,MATCH($E:$E,库存确认汇总!$AD:$AD,0),1)</f>
        <v>3004</v>
      </c>
      <c r="T4" s="51">
        <f>(R4-S4)/S4</f>
        <v>0.33155792276964047</v>
      </c>
      <c r="U4" s="64">
        <v>0.27206946454413899</v>
      </c>
      <c r="V4" s="51">
        <f>X4*4/W4</f>
        <v>3.9840319361277401</v>
      </c>
      <c r="W4" s="52">
        <f>IFERROR(INDEX(本周库存数据整理表!M:M,MATCH($E:$E,本周库存数据整理表!$D:$D,0),1),"无")</f>
        <v>2004</v>
      </c>
      <c r="X4" s="52">
        <f>INDEX(本周库存数据整理表!N:N,MATCH($E:$E,本周库存数据整理表!$D:$D,0),1)</f>
        <v>1996</v>
      </c>
      <c r="Y4" s="74">
        <f>(X4-AW4)/AW4</f>
        <v>0.996</v>
      </c>
      <c r="Z4" s="75" t="e">
        <f>INDEX(本周库存数据整理表!#REF!,MATCH($E:$E,本周库存数据整理表!$D:$D,0),1)</f>
        <v>#REF!</v>
      </c>
      <c r="AA4" s="76" t="s">
        <v>103</v>
      </c>
      <c r="AB4" s="77" t="s">
        <v>104</v>
      </c>
      <c r="AC4" s="77" t="s">
        <v>105</v>
      </c>
      <c r="AD4" s="78" t="s">
        <v>102</v>
      </c>
      <c r="AE4" s="79">
        <v>0</v>
      </c>
      <c r="AF4" s="80">
        <v>42754</v>
      </c>
      <c r="AG4" s="83">
        <v>23.99</v>
      </c>
      <c r="AH4" s="84">
        <v>-0.60010001666944501</v>
      </c>
      <c r="AI4" s="79">
        <v>3131</v>
      </c>
      <c r="AJ4" s="85">
        <v>0.31816202090592299</v>
      </c>
      <c r="AK4" s="79">
        <v>3.7</v>
      </c>
      <c r="AL4" s="79">
        <v>4</v>
      </c>
      <c r="AM4" s="84" t="s">
        <v>106</v>
      </c>
      <c r="AN4" s="79">
        <v>1004</v>
      </c>
      <c r="AO4" s="84">
        <v>1.3027522935779801</v>
      </c>
      <c r="AP4" s="79">
        <v>0</v>
      </c>
      <c r="AQ4" s="87">
        <v>3004</v>
      </c>
      <c r="AR4" s="79" t="e">
        <v>#N/A</v>
      </c>
      <c r="AS4" s="85" t="e">
        <v>#N/A</v>
      </c>
      <c r="AT4" s="85">
        <v>0.27206946454413899</v>
      </c>
      <c r="AU4" s="84">
        <v>1.99600798403194</v>
      </c>
      <c r="AV4">
        <v>4000</v>
      </c>
      <c r="AW4" s="92">
        <v>1000</v>
      </c>
      <c r="AX4" s="93">
        <v>7.1300813008130097</v>
      </c>
      <c r="AY4" s="94" t="e">
        <v>#DIV/0!</v>
      </c>
      <c r="AZ4" s="95">
        <v>500</v>
      </c>
      <c r="BA4" s="95">
        <v>600</v>
      </c>
      <c r="BB4">
        <v>4000</v>
      </c>
      <c r="BC4" s="95">
        <v>1163</v>
      </c>
      <c r="BD4">
        <f>AZ4-BA4</f>
        <v>-100</v>
      </c>
      <c r="BE4">
        <f>BB4-BA4</f>
        <v>3400</v>
      </c>
      <c r="BF4" s="4">
        <v>2004</v>
      </c>
      <c r="BG4">
        <f>BD4+BE4+BF4</f>
        <v>5304</v>
      </c>
      <c r="BH4">
        <f>AZ4+BA4+BB4+BC4</f>
        <v>6263</v>
      </c>
      <c r="BI4" s="102">
        <f t="shared" ref="BI4:BI6" si="2">-BG4/BC4</f>
        <v>-4.5606190885640601</v>
      </c>
      <c r="BJ4" s="29">
        <f>-BG4/BH4</f>
        <v>-0.84687849273511095</v>
      </c>
    </row>
    <row r="5" spans="1:62" ht="24" customHeight="1">
      <c r="A5" s="35">
        <v>2</v>
      </c>
      <c r="B5" s="36" t="str">
        <f>INDEX(本周库存数据整理表!A:A,MATCH(E:E,本周库存数据整理表!D:D,0),1)</f>
        <v>iphone</v>
      </c>
      <c r="C5" s="36" t="str">
        <f>INDEX(本周库存数据整理表!B:B,MATCH($E:$E,本周库存数据整理表!$D:$D,0),1)</f>
        <v>YQ2</v>
      </c>
      <c r="D5" s="36" t="str">
        <f>INDEX(本周库存数据整理表!C:C,MATCH($E:$E,本周库存数据整理表!$D:$D,0),1)</f>
        <v>EAV</v>
      </c>
      <c r="E5" s="18" t="s">
        <v>107</v>
      </c>
      <c r="F5" s="36">
        <f>INDEX(本周库存数据整理表!E:E,MATCH($E:$E,本周库存数据整理表!$D:$D,0),1)</f>
        <v>0</v>
      </c>
      <c r="G5" s="37">
        <f>INDEX(本周库存数据整理表!F:F,MATCH($E:$E,本周库存数据整理表!$D:$D,0),1)</f>
        <v>42754</v>
      </c>
      <c r="H5" s="38">
        <f>INDEX(本周库存数据整理表!G:G,MATCH(E:E,本周库存数据整理表!D:D,0),1)</f>
        <v>20.99</v>
      </c>
      <c r="I5" s="47" t="str">
        <f t="shared" ref="I5:I11" si="3">IF((H5-AG5)/AG5=0,"无变化",(H5-AG5)/AG5)</f>
        <v>无变化</v>
      </c>
      <c r="J5" s="48">
        <f>INDEX(本周库存数据整理表!H:H,MATCH($E:$E,本周库存数据整理表!$D:$D,0),1)</f>
        <v>3128</v>
      </c>
      <c r="K5" s="49">
        <f>-(J5-AI5)/AI5</f>
        <v>0</v>
      </c>
      <c r="L5" s="48">
        <f>INDEX(本周库存数据整理表!I:I,MATCH($E:$E,本周库存数据整理表!$D:$D,0),1)</f>
        <v>4.0999999999999996</v>
      </c>
      <c r="M5" s="52">
        <v>4.0999999999999996</v>
      </c>
      <c r="N5" s="49" t="str">
        <f t="shared" si="0"/>
        <v>无变化</v>
      </c>
      <c r="O5" s="48">
        <f>INDEX(本周库存数据整理表!J:J,MATCH($E:$E,本周库存数据整理表!$D:$D,0),1)</f>
        <v>1001</v>
      </c>
      <c r="P5" s="51">
        <f t="shared" si="1"/>
        <v>0</v>
      </c>
      <c r="Q5" s="65">
        <f>IFERROR(VLOOKUP(E5,本周库存数据整理表!D:K,8,0),"")</f>
        <v>0</v>
      </c>
      <c r="R5" s="63">
        <f>IFERROR(INDEX(本周库存数据整理表!L:L,MATCH($E:$E,本周库存数据整理表!$D:$D,0),1),"无")</f>
        <v>4000</v>
      </c>
      <c r="S5" s="52">
        <f>INDEX(库存确认汇总!AQ:AQ,MATCH($E:$E,库存确认汇总!$AD:$AD,0),1)</f>
        <v>3001</v>
      </c>
      <c r="T5" s="51">
        <f t="shared" ref="T5:T11" si="4">(R5-S5)/S5</f>
        <v>0.33288903698767103</v>
      </c>
      <c r="U5" s="64">
        <v>0</v>
      </c>
      <c r="V5" s="51">
        <f>X5*4/W5</f>
        <v>3.9960019990004998</v>
      </c>
      <c r="W5" s="52">
        <f>IFERROR(INDEX(本周库存数据整理表!M:M,MATCH($E:$E,本周库存数据整理表!$D:$D,0),1),"无")</f>
        <v>2001</v>
      </c>
      <c r="X5" s="52">
        <f>INDEX(本周库存数据整理表!N:N,MATCH($E:$E,本周库存数据整理表!$D:$D,0),1)</f>
        <v>1999</v>
      </c>
      <c r="Y5" s="74">
        <f t="shared" ref="Y5:Y11" si="5">(X5-AW5)/AW5</f>
        <v>0.999</v>
      </c>
      <c r="Z5" s="75" t="e">
        <f>INDEX(本周库存数据整理表!#REF!,MATCH($E:$E,本周库存数据整理表!$D:$D,0),1)</f>
        <v>#REF!</v>
      </c>
      <c r="AA5" s="76" t="s">
        <v>103</v>
      </c>
      <c r="AB5" s="77" t="s">
        <v>108</v>
      </c>
      <c r="AC5" s="77" t="s">
        <v>105</v>
      </c>
      <c r="AD5" s="78" t="s">
        <v>107</v>
      </c>
      <c r="AE5" s="79">
        <v>0</v>
      </c>
      <c r="AF5" s="80">
        <v>42754</v>
      </c>
      <c r="AG5" s="83">
        <v>20.99</v>
      </c>
      <c r="AH5" s="84">
        <v>-0.65010835139189904</v>
      </c>
      <c r="AI5" s="79">
        <v>3128</v>
      </c>
      <c r="AJ5" s="85">
        <v>-0.204930662557781</v>
      </c>
      <c r="AK5" s="79">
        <v>4.0999999999999996</v>
      </c>
      <c r="AL5" s="79">
        <v>4.0999999999999996</v>
      </c>
      <c r="AM5" s="84" t="s">
        <v>106</v>
      </c>
      <c r="AN5" s="79">
        <v>1001</v>
      </c>
      <c r="AO5" s="84">
        <v>4.3244680851063801</v>
      </c>
      <c r="AP5" s="79">
        <v>0</v>
      </c>
      <c r="AQ5" s="87">
        <v>3001</v>
      </c>
      <c r="AR5" s="79" t="e">
        <v>#N/A</v>
      </c>
      <c r="AS5" s="85" t="e">
        <v>#N/A</v>
      </c>
      <c r="AT5" s="85">
        <v>0</v>
      </c>
      <c r="AU5" s="84">
        <v>1.9990004997501201</v>
      </c>
      <c r="AV5">
        <v>4000</v>
      </c>
      <c r="AW5" s="92">
        <v>1000</v>
      </c>
      <c r="AX5" s="93">
        <v>15.9491525423729</v>
      </c>
      <c r="AY5" s="94" t="e">
        <v>#DIV/0!</v>
      </c>
      <c r="AZ5" s="95">
        <v>501</v>
      </c>
      <c r="BA5" s="95">
        <v>601</v>
      </c>
      <c r="BB5">
        <v>4000</v>
      </c>
      <c r="BC5" s="95">
        <v>288</v>
      </c>
      <c r="BD5">
        <f t="shared" ref="BD5:BD11" si="6">AZ5-BA5</f>
        <v>-100</v>
      </c>
      <c r="BE5">
        <f t="shared" ref="BE5:BE11" si="7">BB5-BA5</f>
        <v>3399</v>
      </c>
      <c r="BF5" s="4">
        <v>2001</v>
      </c>
      <c r="BG5">
        <f t="shared" ref="BG5:BG11" si="8">BD5+BE5+BF5</f>
        <v>5300</v>
      </c>
      <c r="BH5">
        <f t="shared" ref="BH5:BH11" si="9">AZ5+BA5+BB5+BC5</f>
        <v>5390</v>
      </c>
      <c r="BI5" s="102">
        <f t="shared" si="2"/>
        <v>-18.4027777777778</v>
      </c>
      <c r="BJ5" s="29">
        <f t="shared" ref="BJ5:BJ11" si="10">-BG5/BH5</f>
        <v>-0.98330241187384004</v>
      </c>
    </row>
    <row r="6" spans="1:62" ht="15.95" customHeight="1">
      <c r="A6" s="35">
        <v>3</v>
      </c>
      <c r="B6" s="36" t="str">
        <f>INDEX(本周库存数据整理表!A:A,MATCH(E:E,本周库存数据整理表!D:D,0),1)</f>
        <v>iphone</v>
      </c>
      <c r="C6" s="36" t="str">
        <f>INDEX(本周库存数据整理表!B:B,MATCH($E:$E,本周库存数据整理表!$D:$D,0),1)</f>
        <v>YQ3</v>
      </c>
      <c r="D6" s="36" t="str">
        <f>INDEX(本周库存数据整理表!C:C,MATCH($E:$E,本周库存数据整理表!$D:$D,0),1)</f>
        <v>EAV</v>
      </c>
      <c r="E6" s="18" t="s">
        <v>109</v>
      </c>
      <c r="F6" s="36">
        <f>INDEX(本周库存数据整理表!E:E,MATCH($E:$E,本周库存数据整理表!$D:$D,0),1)</f>
        <v>0</v>
      </c>
      <c r="G6" s="37">
        <f>INDEX(本周库存数据整理表!F:F,MATCH($E:$E,本周库存数据整理表!$D:$D,0),1)</f>
        <v>42754</v>
      </c>
      <c r="H6" s="38">
        <f>INDEX(本周库存数据整理表!G:G,MATCH(E:E,本周库存数据整理表!D:D,0),1)</f>
        <v>21.99</v>
      </c>
      <c r="I6" s="47" t="str">
        <f t="shared" si="3"/>
        <v>无变化</v>
      </c>
      <c r="J6" s="48">
        <f>INDEX(本周库存数据整理表!H:H,MATCH($E:$E,本周库存数据整理表!$D:$D,0),1)</f>
        <v>3129</v>
      </c>
      <c r="K6" s="49">
        <f t="shared" ref="K6:K11" si="11">-(J6-AI6)/AI6</f>
        <v>0</v>
      </c>
      <c r="L6" s="48">
        <f>INDEX(本周库存数据整理表!I:I,MATCH($E:$E,本周库存数据整理表!$D:$D,0),1)</f>
        <v>3.7</v>
      </c>
      <c r="M6" s="52">
        <v>4</v>
      </c>
      <c r="N6" s="49" t="str">
        <f t="shared" si="0"/>
        <v>无变化</v>
      </c>
      <c r="O6" s="48">
        <f>INDEX(本周库存数据整理表!J:J,MATCH($E:$E,本周库存数据整理表!$D:$D,0),1)</f>
        <v>1002</v>
      </c>
      <c r="P6" s="51">
        <f t="shared" si="1"/>
        <v>0</v>
      </c>
      <c r="Q6" s="65">
        <f>IFERROR(VLOOKUP(E6,本周库存数据整理表!D:K,8,0),"")</f>
        <v>0</v>
      </c>
      <c r="R6" s="63">
        <f>IFERROR(INDEX(本周库存数据整理表!L:L,MATCH($E:$E,本周库存数据整理表!$D:$D,0),1),"无")</f>
        <v>4000</v>
      </c>
      <c r="S6" s="52">
        <f>INDEX(库存确认汇总!AQ:AQ,MATCH($E:$E,库存确认汇总!$AD:$AD,0),1)</f>
        <v>3002</v>
      </c>
      <c r="T6" s="51">
        <f t="shared" si="4"/>
        <v>0.33244503664223901</v>
      </c>
      <c r="U6" s="64">
        <v>0</v>
      </c>
      <c r="V6" s="51">
        <f t="shared" ref="V6:V11" si="12">X6*4/W6</f>
        <v>3.9920079920079901</v>
      </c>
      <c r="W6" s="52">
        <f>IFERROR(INDEX(本周库存数据整理表!M:M,MATCH($E:$E,本周库存数据整理表!$D:$D,0),1),"无")</f>
        <v>2002</v>
      </c>
      <c r="X6" s="52">
        <f>INDEX(本周库存数据整理表!N:N,MATCH($E:$E,本周库存数据整理表!$D:$D,0),1)</f>
        <v>1998</v>
      </c>
      <c r="Y6" s="74">
        <f t="shared" si="5"/>
        <v>0.998</v>
      </c>
      <c r="Z6" s="75" t="e">
        <f>INDEX(本周库存数据整理表!#REF!,MATCH($E:$E,本周库存数据整理表!$D:$D,0),1)</f>
        <v>#REF!</v>
      </c>
      <c r="AA6" s="76" t="s">
        <v>103</v>
      </c>
      <c r="AB6" s="77" t="s">
        <v>110</v>
      </c>
      <c r="AC6" s="77" t="s">
        <v>105</v>
      </c>
      <c r="AD6" s="78" t="s">
        <v>109</v>
      </c>
      <c r="AE6" s="79">
        <v>0</v>
      </c>
      <c r="AF6" s="80">
        <v>42754</v>
      </c>
      <c r="AG6" s="83">
        <v>21.99</v>
      </c>
      <c r="AH6" s="84" t="e">
        <v>#DIV/0!</v>
      </c>
      <c r="AI6" s="79">
        <v>3129</v>
      </c>
      <c r="AJ6" s="85">
        <v>0.62201014737859395</v>
      </c>
      <c r="AK6" s="79">
        <v>3.7</v>
      </c>
      <c r="AL6" s="79">
        <v>4</v>
      </c>
      <c r="AM6" s="84">
        <v>-7.4999999999999997E-2</v>
      </c>
      <c r="AN6" s="79">
        <v>1002</v>
      </c>
      <c r="AO6" s="84">
        <v>15.9830508474576</v>
      </c>
      <c r="AP6" s="79">
        <v>0</v>
      </c>
      <c r="AQ6" s="87">
        <v>3002</v>
      </c>
      <c r="AR6" s="79" t="e">
        <v>#N/A</v>
      </c>
      <c r="AS6" s="85" t="e">
        <v>#N/A</v>
      </c>
      <c r="AT6" s="85">
        <v>0</v>
      </c>
      <c r="AU6" s="84">
        <v>1.9980019980020001</v>
      </c>
      <c r="AV6">
        <v>4000</v>
      </c>
      <c r="AW6" s="92">
        <v>1000</v>
      </c>
      <c r="AX6" s="93" t="e">
        <v>#DIV/0!</v>
      </c>
      <c r="AY6" s="94" t="e">
        <v>#DIV/0!</v>
      </c>
      <c r="AZ6" s="95">
        <v>502</v>
      </c>
      <c r="BA6" s="95">
        <v>602</v>
      </c>
      <c r="BB6">
        <v>4000</v>
      </c>
      <c r="BC6" s="95">
        <v>468</v>
      </c>
      <c r="BD6">
        <f t="shared" si="6"/>
        <v>-100</v>
      </c>
      <c r="BE6">
        <f t="shared" si="7"/>
        <v>3398</v>
      </c>
      <c r="BF6" s="4">
        <v>2002</v>
      </c>
      <c r="BG6">
        <f t="shared" si="8"/>
        <v>5300</v>
      </c>
      <c r="BH6">
        <f t="shared" si="9"/>
        <v>5572</v>
      </c>
      <c r="BI6" s="102">
        <f t="shared" si="2"/>
        <v>-11.324786324786301</v>
      </c>
      <c r="BJ6" s="29">
        <f t="shared" si="10"/>
        <v>-0.95118449389806203</v>
      </c>
    </row>
    <row r="7" spans="1:62" ht="18" customHeight="1">
      <c r="A7" s="35">
        <v>4</v>
      </c>
      <c r="B7" s="36" t="str">
        <f>INDEX(本周库存数据整理表!A:A,MATCH(E:E,本周库存数据整理表!D:D,0),1)</f>
        <v>iphone</v>
      </c>
      <c r="C7" s="36" t="str">
        <f>INDEX(本周库存数据整理表!B:B,MATCH($E:$E,本周库存数据整理表!$D:$D,0),1)</f>
        <v>YQ4</v>
      </c>
      <c r="D7" s="36" t="str">
        <f>INDEX(本周库存数据整理表!C:C,MATCH($E:$E,本周库存数据整理表!$D:$D,0),1)</f>
        <v>EAV</v>
      </c>
      <c r="E7" s="18" t="s">
        <v>111</v>
      </c>
      <c r="F7" s="36">
        <f>INDEX(本周库存数据整理表!E:E,MATCH($E:$E,本周库存数据整理表!$D:$D,0),1)</f>
        <v>0</v>
      </c>
      <c r="G7" s="37">
        <f>INDEX(本周库存数据整理表!F:F,MATCH($E:$E,本周库存数据整理表!$D:$D,0),1)</f>
        <v>42754</v>
      </c>
      <c r="H7" s="38">
        <v>9.99</v>
      </c>
      <c r="I7" s="47" t="str">
        <f t="shared" si="3"/>
        <v>无变化</v>
      </c>
      <c r="J7" s="48">
        <f>INDEX(本周库存数据整理表!H:H,MATCH($E:$E,本周库存数据整理表!$D:$D,0),1)</f>
        <v>3130</v>
      </c>
      <c r="K7" s="49">
        <f t="shared" si="11"/>
        <v>0</v>
      </c>
      <c r="L7" s="48">
        <f>INDEX(本周库存数据整理表!I:I,MATCH($E:$E,本周库存数据整理表!$D:$D,0),1)</f>
        <v>3.4</v>
      </c>
      <c r="M7" s="52">
        <v>4</v>
      </c>
      <c r="N7" s="49" t="str">
        <f t="shared" si="0"/>
        <v>无变化</v>
      </c>
      <c r="O7" s="48">
        <f>INDEX(本周库存数据整理表!J:J,MATCH($E:$E,本周库存数据整理表!$D:$D,0),1)</f>
        <v>1003</v>
      </c>
      <c r="P7" s="51">
        <f t="shared" si="1"/>
        <v>0</v>
      </c>
      <c r="Q7" s="65">
        <f>IFERROR(VLOOKUP(E7,本周库存数据整理表!D:K,8,0),"")</f>
        <v>0</v>
      </c>
      <c r="R7" s="63">
        <f>IFERROR(INDEX(本周库存数据整理表!L:L,MATCH($E:$E,本周库存数据整理表!$D:$D,0),1),"无")</f>
        <v>4000</v>
      </c>
      <c r="S7" s="52">
        <f>INDEX(库存确认汇总!AQ:AQ,MATCH($E:$E,库存确认汇总!$AD:$AD,0),1)</f>
        <v>3003</v>
      </c>
      <c r="T7" s="51">
        <f t="shared" si="4"/>
        <v>0.33200133200133197</v>
      </c>
      <c r="U7" s="64">
        <v>0.36746256576284902</v>
      </c>
      <c r="V7" s="51">
        <f t="shared" si="12"/>
        <v>3.9880179730404399</v>
      </c>
      <c r="W7" s="52">
        <f>IFERROR(INDEX(本周库存数据整理表!M:M,MATCH($E:$E,本周库存数据整理表!$D:$D,0),1),"无")</f>
        <v>2003</v>
      </c>
      <c r="X7" s="52">
        <f>INDEX(本周库存数据整理表!N:N,MATCH($E:$E,本周库存数据整理表!$D:$D,0),1)</f>
        <v>1997</v>
      </c>
      <c r="Y7" s="74">
        <f t="shared" si="5"/>
        <v>0.997</v>
      </c>
      <c r="Z7" s="75" t="e">
        <f>INDEX(本周库存数据整理表!#REF!,MATCH($E:$E,本周库存数据整理表!$D:$D,0),1)</f>
        <v>#REF!</v>
      </c>
      <c r="AA7" s="76" t="s">
        <v>103</v>
      </c>
      <c r="AB7" s="77" t="s">
        <v>112</v>
      </c>
      <c r="AC7" s="77" t="s">
        <v>105</v>
      </c>
      <c r="AD7" s="78" t="s">
        <v>111</v>
      </c>
      <c r="AE7" s="79">
        <v>0</v>
      </c>
      <c r="AF7" s="80">
        <v>42754</v>
      </c>
      <c r="AG7" s="83">
        <v>9.99</v>
      </c>
      <c r="AH7" s="84" t="s">
        <v>106</v>
      </c>
      <c r="AI7" s="79">
        <v>3130</v>
      </c>
      <c r="AJ7" s="85">
        <v>-1.2289780077619701E-2</v>
      </c>
      <c r="AK7" s="79">
        <v>3.4</v>
      </c>
      <c r="AL7" s="79">
        <v>4</v>
      </c>
      <c r="AM7" s="84">
        <v>-0.17073170731707299</v>
      </c>
      <c r="AN7" s="79">
        <v>1003</v>
      </c>
      <c r="AO7" s="84">
        <v>-0.73715932914046101</v>
      </c>
      <c r="AP7" s="79">
        <v>0</v>
      </c>
      <c r="AQ7" s="87">
        <v>3003</v>
      </c>
      <c r="AR7" s="79" t="e">
        <v>#N/A</v>
      </c>
      <c r="AS7" s="85" t="e">
        <v>#N/A</v>
      </c>
      <c r="AT7" s="85">
        <v>0.36746256576284902</v>
      </c>
      <c r="AU7" s="84">
        <v>1.9970044932601101</v>
      </c>
      <c r="AV7">
        <v>4000</v>
      </c>
      <c r="AW7" s="92">
        <v>1000</v>
      </c>
      <c r="AX7" s="93">
        <v>2.6101083032490999</v>
      </c>
      <c r="AY7" s="94" t="e">
        <v>#DIV/0!</v>
      </c>
      <c r="AZ7" s="95">
        <v>503</v>
      </c>
      <c r="BA7" s="95">
        <v>603</v>
      </c>
      <c r="BB7">
        <v>4000</v>
      </c>
      <c r="BC7" s="95">
        <v>2018</v>
      </c>
      <c r="BD7">
        <f t="shared" si="6"/>
        <v>-100</v>
      </c>
      <c r="BE7">
        <f t="shared" si="7"/>
        <v>3397</v>
      </c>
      <c r="BF7" s="4">
        <v>2003</v>
      </c>
      <c r="BG7">
        <f t="shared" si="8"/>
        <v>5300</v>
      </c>
      <c r="BH7">
        <f t="shared" si="9"/>
        <v>7124</v>
      </c>
      <c r="BI7" s="103">
        <v>0.2</v>
      </c>
      <c r="BJ7" s="29">
        <f t="shared" si="10"/>
        <v>-0.74396406513194802</v>
      </c>
    </row>
    <row r="8" spans="1:62" ht="15" customHeight="1">
      <c r="A8" s="35">
        <v>5</v>
      </c>
      <c r="B8" s="36" t="str">
        <f>INDEX(本周库存数据整理表!A:A,MATCH(E:E,本周库存数据整理表!D:D,0),1)</f>
        <v>iphone</v>
      </c>
      <c r="C8" s="36" t="str">
        <f>INDEX(本周库存数据整理表!B:B,MATCH($E:$E,本周库存数据整理表!$D:$D,0),1)</f>
        <v>YQ1</v>
      </c>
      <c r="D8" s="36" t="str">
        <f>INDEX(本周库存数据整理表!C:C,MATCH($E:$E,本周库存数据整理表!$D:$D,0),1)</f>
        <v>EAV</v>
      </c>
      <c r="E8" s="18" t="s">
        <v>113</v>
      </c>
      <c r="F8" s="36">
        <f>INDEX(本周库存数据整理表!E:E,MATCH($E:$E,本周库存数据整理表!$D:$D,0),1)</f>
        <v>0</v>
      </c>
      <c r="G8" s="37">
        <f>INDEX(本周库存数据整理表!F:F,MATCH($E:$E,本周库存数据整理表!$D:$D,0),1)</f>
        <v>42754</v>
      </c>
      <c r="H8" s="38">
        <f>INDEX(本周库存数据整理表!G:G,MATCH($E:$E,本周库存数据整理表!$D:$D,0),1)</f>
        <v>19.989999999999998</v>
      </c>
      <c r="I8" s="47" t="str">
        <f t="shared" si="3"/>
        <v>无变化</v>
      </c>
      <c r="J8" s="48">
        <f>INDEX(本周库存数据整理表!H:H,MATCH($E:$E,本周库存数据整理表!$D:$D,0),1)</f>
        <v>3127</v>
      </c>
      <c r="K8" s="49">
        <f t="shared" si="11"/>
        <v>0</v>
      </c>
      <c r="L8" s="48">
        <f>INDEX(本周库存数据整理表!I:I,MATCH($E:$E,本周库存数据整理表!$D:$D,0),1)</f>
        <v>4.0999999999999996</v>
      </c>
      <c r="M8" s="52">
        <v>4</v>
      </c>
      <c r="N8" s="49" t="str">
        <f t="shared" si="0"/>
        <v>无变化</v>
      </c>
      <c r="O8" s="48">
        <f>INDEX(本周库存数据整理表!J:J,MATCH($E:$E,本周库存数据整理表!$D:$D,0),1)</f>
        <v>1000</v>
      </c>
      <c r="P8" s="51">
        <f t="shared" si="1"/>
        <v>0</v>
      </c>
      <c r="Q8" s="65">
        <f>IFERROR(VLOOKUP(E8,本周库存数据整理表!D:K,8,0),"")</f>
        <v>0</v>
      </c>
      <c r="R8" s="63">
        <f>IFERROR(INDEX(本周库存数据整理表!L:L,MATCH($E:$E,本周库存数据整理表!$D:$D,0),1),"无")</f>
        <v>4000</v>
      </c>
      <c r="S8" s="52">
        <f>INDEX(库存确认汇总!AQ:AQ,MATCH($E:$E,库存确认汇总!$AD:$AD,0),1)</f>
        <v>3000</v>
      </c>
      <c r="T8" s="51">
        <f t="shared" si="4"/>
        <v>0.33333333333333298</v>
      </c>
      <c r="U8" s="64">
        <v>0.16462346760070101</v>
      </c>
      <c r="V8" s="51">
        <f t="shared" si="12"/>
        <v>4</v>
      </c>
      <c r="W8" s="52">
        <f>IFERROR(INDEX(本周库存数据整理表!M:M,MATCH($E:$E,本周库存数据整理表!$D:$D,0),1),"无")</f>
        <v>2000</v>
      </c>
      <c r="X8" s="52">
        <f>INDEX(本周库存数据整理表!N:N,MATCH($E:$E,本周库存数据整理表!$D:$D,0),1)</f>
        <v>2000</v>
      </c>
      <c r="Y8" s="74">
        <f t="shared" si="5"/>
        <v>1</v>
      </c>
      <c r="Z8" s="75" t="e">
        <f>INDEX(本周库存数据整理表!#REF!,MATCH($E:$E,本周库存数据整理表!$D:$D,0),1)</f>
        <v>#REF!</v>
      </c>
      <c r="AA8" s="76" t="s">
        <v>103</v>
      </c>
      <c r="AB8" s="77" t="s">
        <v>114</v>
      </c>
      <c r="AC8" s="77" t="s">
        <v>105</v>
      </c>
      <c r="AD8" s="78" t="s">
        <v>113</v>
      </c>
      <c r="AE8" s="79">
        <v>0</v>
      </c>
      <c r="AF8" s="80">
        <v>42754</v>
      </c>
      <c r="AG8" s="83">
        <v>19.989999999999998</v>
      </c>
      <c r="AH8" s="84">
        <v>1.001001001001</v>
      </c>
      <c r="AI8" s="79">
        <v>3127</v>
      </c>
      <c r="AJ8" s="85">
        <v>0.39946226233915899</v>
      </c>
      <c r="AK8" s="79">
        <v>4.0999999999999996</v>
      </c>
      <c r="AL8" s="79">
        <v>4</v>
      </c>
      <c r="AM8" s="84" t="s">
        <v>106</v>
      </c>
      <c r="AN8" s="79">
        <v>1000</v>
      </c>
      <c r="AO8" s="84">
        <v>-0.737945492662474</v>
      </c>
      <c r="AP8" s="79">
        <v>0</v>
      </c>
      <c r="AQ8" s="87">
        <v>3000</v>
      </c>
      <c r="AR8" s="79" t="e">
        <v>#N/A</v>
      </c>
      <c r="AS8" s="85" t="e">
        <v>#N/A</v>
      </c>
      <c r="AT8" s="85">
        <v>0.16462346760070101</v>
      </c>
      <c r="AU8" s="84">
        <v>2</v>
      </c>
      <c r="AV8">
        <v>4000</v>
      </c>
      <c r="AW8" s="92">
        <v>1000</v>
      </c>
      <c r="AX8" s="93">
        <v>4.4347826086956497</v>
      </c>
      <c r="AY8" s="94" t="e">
        <v>#DIV/0!</v>
      </c>
      <c r="AZ8" s="95">
        <v>504</v>
      </c>
      <c r="BA8" s="95">
        <v>604</v>
      </c>
      <c r="BB8">
        <v>4000</v>
      </c>
      <c r="BC8" s="95">
        <v>2021</v>
      </c>
      <c r="BD8">
        <f t="shared" si="6"/>
        <v>-100</v>
      </c>
      <c r="BE8">
        <f t="shared" si="7"/>
        <v>3396</v>
      </c>
      <c r="BF8" s="4">
        <v>2000</v>
      </c>
      <c r="BG8">
        <f t="shared" si="8"/>
        <v>5296</v>
      </c>
      <c r="BH8">
        <f t="shared" si="9"/>
        <v>7129</v>
      </c>
      <c r="BI8" s="103">
        <v>0.05</v>
      </c>
      <c r="BJ8" s="29">
        <f t="shared" si="10"/>
        <v>-0.74288118950764503</v>
      </c>
    </row>
    <row r="9" spans="1:62" ht="20.100000000000001" customHeight="1">
      <c r="A9" s="35">
        <v>6</v>
      </c>
      <c r="B9" s="36" t="str">
        <f>INDEX(本周库存数据整理表!A:A,MATCH(E:E,本周库存数据整理表!D:D,0),1)</f>
        <v>iphone</v>
      </c>
      <c r="C9" s="36" t="str">
        <f>INDEX(本周库存数据整理表!B:B,MATCH($E:$E,本周库存数据整理表!$D:$D,0),1)</f>
        <v>YQ6</v>
      </c>
      <c r="D9" s="36" t="str">
        <f>INDEX(本周库存数据整理表!C:C,MATCH($E:$E,本周库存数据整理表!$D:$D,0),1)</f>
        <v>EAV</v>
      </c>
      <c r="E9" s="18" t="s">
        <v>115</v>
      </c>
      <c r="F9" s="36">
        <f>INDEX(本周库存数据整理表!E:E,MATCH($E:$E,本周库存数据整理表!$D:$D,0),1)</f>
        <v>0</v>
      </c>
      <c r="G9" s="37">
        <f>INDEX(本周库存数据整理表!F:F,MATCH($E:$E,本周库存数据整理表!$D:$D,0),1)</f>
        <v>42754</v>
      </c>
      <c r="H9" s="38">
        <f>INDEX(本周库存数据整理表!G:G,MATCH($E:$E,本周库存数据整理表!$D:$D,0),1)</f>
        <v>24.99</v>
      </c>
      <c r="I9" s="47" t="str">
        <f t="shared" si="3"/>
        <v>无变化</v>
      </c>
      <c r="J9" s="48">
        <f>INDEX(本周库存数据整理表!H:H,MATCH($E:$E,本周库存数据整理表!$D:$D,0),1)</f>
        <v>3132</v>
      </c>
      <c r="K9" s="49">
        <f t="shared" si="11"/>
        <v>0</v>
      </c>
      <c r="L9" s="48">
        <f>INDEX(本周库存数据整理表!I:I,MATCH($E:$E,本周库存数据整理表!$D:$D,0),1)</f>
        <v>4</v>
      </c>
      <c r="M9" s="52">
        <v>3.7</v>
      </c>
      <c r="N9" s="49" t="str">
        <f t="shared" si="0"/>
        <v>无变化</v>
      </c>
      <c r="O9" s="48">
        <f>INDEX(本周库存数据整理表!J:J,MATCH($E:$E,本周库存数据整理表!$D:$D,0),1)</f>
        <v>1005</v>
      </c>
      <c r="P9" s="51">
        <f t="shared" si="1"/>
        <v>0</v>
      </c>
      <c r="Q9" s="65">
        <f>IFERROR(VLOOKUP(E9,本周库存数据整理表!D:K,8,0),"")</f>
        <v>0</v>
      </c>
      <c r="R9" s="63">
        <f>IFERROR(INDEX(本周库存数据整理表!L:L,MATCH($E:$E,本周库存数据整理表!$D:$D,0),1),"无")</f>
        <v>4000</v>
      </c>
      <c r="S9" s="52">
        <f>INDEX(库存确认汇总!AQ:AQ,MATCH($E:$E,库存确认汇总!$AD:$AD,0),1)</f>
        <v>3005</v>
      </c>
      <c r="T9" s="51">
        <f t="shared" si="4"/>
        <v>0.33111480865224602</v>
      </c>
      <c r="U9" s="64">
        <v>0</v>
      </c>
      <c r="V9" s="51">
        <f t="shared" si="12"/>
        <v>3.9800498753117202</v>
      </c>
      <c r="W9" s="52">
        <f>IFERROR(INDEX(本周库存数据整理表!M:M,MATCH($E:$E,本周库存数据整理表!$D:$D,0),1),"无")</f>
        <v>2005</v>
      </c>
      <c r="X9" s="52">
        <f>INDEX(本周库存数据整理表!N:N,MATCH($E:$E,本周库存数据整理表!$D:$D,0),1)</f>
        <v>1995</v>
      </c>
      <c r="Y9" s="74">
        <f t="shared" si="5"/>
        <v>0.995</v>
      </c>
      <c r="Z9" s="75" t="e">
        <f>INDEX(本周库存数据整理表!#REF!,MATCH($E:$E,本周库存数据整理表!$D:$D,0),1)</f>
        <v>#REF!</v>
      </c>
      <c r="AA9" s="76" t="s">
        <v>103</v>
      </c>
      <c r="AB9" s="77" t="s">
        <v>116</v>
      </c>
      <c r="AC9" s="77" t="s">
        <v>105</v>
      </c>
      <c r="AD9" s="78" t="s">
        <v>115</v>
      </c>
      <c r="AE9" s="79">
        <v>0</v>
      </c>
      <c r="AF9" s="80">
        <v>42754</v>
      </c>
      <c r="AG9" s="83">
        <v>24.99</v>
      </c>
      <c r="AH9" s="84">
        <v>-0.59026069847516005</v>
      </c>
      <c r="AI9" s="79">
        <v>3132</v>
      </c>
      <c r="AJ9" s="85">
        <v>0.81490455646829396</v>
      </c>
      <c r="AK9" s="79">
        <v>4</v>
      </c>
      <c r="AL9" s="79">
        <v>3.7</v>
      </c>
      <c r="AM9" s="84">
        <v>0.17647058823529399</v>
      </c>
      <c r="AN9" s="79">
        <v>1005</v>
      </c>
      <c r="AO9" s="84">
        <v>3.8317307692307701</v>
      </c>
      <c r="AP9" s="79">
        <v>0</v>
      </c>
      <c r="AQ9" s="87">
        <v>3005</v>
      </c>
      <c r="AR9" s="79" t="e">
        <v>#N/A</v>
      </c>
      <c r="AS9" s="85" t="e">
        <v>#N/A</v>
      </c>
      <c r="AT9" s="85">
        <v>0</v>
      </c>
      <c r="AU9" s="84">
        <v>1.99501246882793</v>
      </c>
      <c r="AV9">
        <v>4000</v>
      </c>
      <c r="AW9" s="92">
        <v>1000</v>
      </c>
      <c r="AX9" s="93" t="e">
        <v>#DIV/0!</v>
      </c>
      <c r="AY9" s="94" t="e">
        <v>#DIV/0!</v>
      </c>
      <c r="AZ9" s="95">
        <v>505</v>
      </c>
      <c r="BA9" s="95">
        <v>605</v>
      </c>
      <c r="BB9">
        <v>4000</v>
      </c>
      <c r="BC9" s="95">
        <v>296</v>
      </c>
      <c r="BD9">
        <f t="shared" si="6"/>
        <v>-100</v>
      </c>
      <c r="BE9">
        <f t="shared" si="7"/>
        <v>3395</v>
      </c>
      <c r="BF9" s="4">
        <v>2005</v>
      </c>
      <c r="BG9">
        <f t="shared" si="8"/>
        <v>5300</v>
      </c>
      <c r="BH9">
        <f t="shared" si="9"/>
        <v>5406</v>
      </c>
      <c r="BI9" s="102">
        <f>-BG9/BC9</f>
        <v>-17.9054054054054</v>
      </c>
      <c r="BJ9" s="29">
        <f t="shared" si="10"/>
        <v>-0.98039215686274495</v>
      </c>
    </row>
    <row r="10" spans="1:62" ht="15.95" customHeight="1">
      <c r="A10" s="35">
        <v>7</v>
      </c>
      <c r="B10" s="36" t="str">
        <f>INDEX(本周库存数据整理表!A:A,MATCH(E:E,本周库存数据整理表!D:D,0),1)</f>
        <v>iphone</v>
      </c>
      <c r="C10" s="36" t="str">
        <f>INDEX(本周库存数据整理表!B:B,MATCH($E:$E,本周库存数据整理表!$D:$D,0),1)</f>
        <v>YQ7</v>
      </c>
      <c r="D10" s="36" t="str">
        <f>INDEX(本周库存数据整理表!C:C,MATCH($E:$E,本周库存数据整理表!$D:$D,0),1)</f>
        <v>EAV</v>
      </c>
      <c r="E10" s="18" t="s">
        <v>117</v>
      </c>
      <c r="F10" s="36">
        <f>INDEX(本周库存数据整理表!E:E,MATCH($E:$E,本周库存数据整理表!$D:$D,0),1)</f>
        <v>0</v>
      </c>
      <c r="G10" s="37">
        <f>INDEX(本周库存数据整理表!F:F,MATCH($E:$E,本周库存数据整理表!$D:$D,0),1)</f>
        <v>42754</v>
      </c>
      <c r="H10" s="38">
        <f>INDEX(本周库存数据整理表!G:G,MATCH($E:$E,本周库存数据整理表!$D:$D,0),1)</f>
        <v>25.99</v>
      </c>
      <c r="I10" s="47" t="str">
        <f t="shared" si="3"/>
        <v>无变化</v>
      </c>
      <c r="J10" s="48">
        <f>INDEX(本周库存数据整理表!H:H,MATCH($E:$E,本周库存数据整理表!$D:$D,0),1)</f>
        <v>3133</v>
      </c>
      <c r="K10" s="49">
        <f t="shared" si="11"/>
        <v>0</v>
      </c>
      <c r="L10" s="48">
        <f>INDEX(本周库存数据整理表!I:I,MATCH($E:$E,本周库存数据整理表!$D:$D,0),1)</f>
        <v>3.9</v>
      </c>
      <c r="M10" s="52">
        <v>4.5999999999999996</v>
      </c>
      <c r="N10" s="49" t="str">
        <f t="shared" si="0"/>
        <v>无变化</v>
      </c>
      <c r="O10" s="48">
        <f>INDEX(本周库存数据整理表!J:J,MATCH($E:$E,本周库存数据整理表!$D:$D,0),1)</f>
        <v>1006</v>
      </c>
      <c r="P10" s="51">
        <f t="shared" si="1"/>
        <v>0</v>
      </c>
      <c r="Q10" s="65">
        <f>IFERROR(VLOOKUP(E10,本周库存数据整理表!D:K,8,0),"")</f>
        <v>0</v>
      </c>
      <c r="R10" s="63">
        <f>IFERROR(INDEX(本周库存数据整理表!L:L,MATCH($E:$E,本周库存数据整理表!$D:$D,0),1),"无")</f>
        <v>4000</v>
      </c>
      <c r="S10" s="52">
        <f>INDEX(库存确认汇总!AQ:AQ,MATCH($E:$E,库存确认汇总!$AD:$AD,0),1)</f>
        <v>3006</v>
      </c>
      <c r="T10" s="51">
        <f t="shared" si="4"/>
        <v>0.330671989354624</v>
      </c>
      <c r="U10" s="64">
        <v>0.66501240694789099</v>
      </c>
      <c r="V10" s="51">
        <f t="shared" si="12"/>
        <v>3.9760717846460598</v>
      </c>
      <c r="W10" s="52">
        <f>IFERROR(INDEX(本周库存数据整理表!M:M,MATCH($E:$E,本周库存数据整理表!$D:$D,0),1),"无")</f>
        <v>2006</v>
      </c>
      <c r="X10" s="52">
        <f>INDEX(本周库存数据整理表!N:N,MATCH($E:$E,本周库存数据整理表!$D:$D,0),1)</f>
        <v>1994</v>
      </c>
      <c r="Y10" s="74">
        <f t="shared" si="5"/>
        <v>0.99399999999999999</v>
      </c>
      <c r="Z10" s="75" t="e">
        <f>INDEX(本周库存数据整理表!#REF!,MATCH($E:$E,本周库存数据整理表!$D:$D,0),1)</f>
        <v>#REF!</v>
      </c>
      <c r="AA10" s="76" t="s">
        <v>103</v>
      </c>
      <c r="AB10" s="77" t="s">
        <v>118</v>
      </c>
      <c r="AC10" s="77" t="s">
        <v>105</v>
      </c>
      <c r="AD10" s="78" t="s">
        <v>117</v>
      </c>
      <c r="AE10" s="79">
        <v>0</v>
      </c>
      <c r="AF10" s="80">
        <v>42754</v>
      </c>
      <c r="AG10" s="83">
        <v>25.99</v>
      </c>
      <c r="AH10" s="84">
        <v>-0.62866123731961698</v>
      </c>
      <c r="AI10" s="79">
        <v>3133</v>
      </c>
      <c r="AJ10" s="85">
        <v>0.61628903857930195</v>
      </c>
      <c r="AK10" s="79">
        <v>3.9</v>
      </c>
      <c r="AL10" s="79">
        <v>4.5999999999999996</v>
      </c>
      <c r="AM10" s="84">
        <v>-0.11363636363636399</v>
      </c>
      <c r="AN10" s="79">
        <v>1006</v>
      </c>
      <c r="AO10" s="84">
        <v>3.19166666666667</v>
      </c>
      <c r="AP10" s="79">
        <v>0</v>
      </c>
      <c r="AQ10" s="87">
        <v>3006</v>
      </c>
      <c r="AR10" s="79" t="e">
        <v>#N/A</v>
      </c>
      <c r="AS10" s="85" t="e">
        <v>#N/A</v>
      </c>
      <c r="AT10" s="85">
        <v>0.66501240694789099</v>
      </c>
      <c r="AU10" s="84">
        <v>1.9940179461615199</v>
      </c>
      <c r="AV10">
        <v>4000</v>
      </c>
      <c r="AW10" s="96">
        <v>1000</v>
      </c>
      <c r="AX10" s="97">
        <v>12.5135135135135</v>
      </c>
      <c r="AY10" s="98" t="e">
        <v>#DIV/0!</v>
      </c>
      <c r="AZ10" s="95">
        <v>506</v>
      </c>
      <c r="BA10" s="95">
        <v>606</v>
      </c>
      <c r="BB10">
        <v>4000</v>
      </c>
      <c r="BC10" s="95">
        <v>2395</v>
      </c>
      <c r="BD10">
        <f t="shared" si="6"/>
        <v>-100</v>
      </c>
      <c r="BE10">
        <f t="shared" si="7"/>
        <v>3394</v>
      </c>
      <c r="BF10" s="4">
        <v>2006</v>
      </c>
      <c r="BG10">
        <f t="shared" si="8"/>
        <v>5300</v>
      </c>
      <c r="BH10">
        <f t="shared" si="9"/>
        <v>7507</v>
      </c>
      <c r="BI10" s="102">
        <v>0.86</v>
      </c>
      <c r="BJ10" s="29">
        <f t="shared" si="10"/>
        <v>-0.70600772612228602</v>
      </c>
    </row>
    <row r="11" spans="1:62" ht="18.95" customHeight="1">
      <c r="A11" s="39">
        <v>8</v>
      </c>
      <c r="B11" s="40" t="str">
        <f>INDEX(本周库存数据整理表!A:A,MATCH(E:E,本周库存数据整理表!D:D,0),1)</f>
        <v>iphone</v>
      </c>
      <c r="C11" s="40" t="str">
        <f>INDEX(本周库存数据整理表!B:B,MATCH($E:$E,本周库存数据整理表!$D:$D,0),1)</f>
        <v>YQ8</v>
      </c>
      <c r="D11" s="40" t="str">
        <f>INDEX(本周库存数据整理表!C:C,MATCH($E:$E,本周库存数据整理表!$D:$D,0),1)</f>
        <v>EAV</v>
      </c>
      <c r="E11" s="41" t="s">
        <v>119</v>
      </c>
      <c r="F11" s="40">
        <f>INDEX(本周库存数据整理表!E:E,MATCH($E:$E,本周库存数据整理表!$D:$D,0),1)</f>
        <v>0</v>
      </c>
      <c r="G11" s="42">
        <f>INDEX(本周库存数据整理表!F:F,MATCH($E:$E,本周库存数据整理表!$D:$D,0),1)</f>
        <v>42754</v>
      </c>
      <c r="H11" s="43">
        <f>INDEX(本周库存数据整理表!G:G,MATCH($E:$E,本周库存数据整理表!$D:$D,0),1)</f>
        <v>26.99</v>
      </c>
      <c r="I11" s="53" t="str">
        <f t="shared" si="3"/>
        <v>无变化</v>
      </c>
      <c r="J11" s="54">
        <f>INDEX(本周库存数据整理表!H:H,MATCH($E:$E,本周库存数据整理表!$D:$D,0),1)</f>
        <v>3134</v>
      </c>
      <c r="K11" s="55">
        <f t="shared" si="11"/>
        <v>0</v>
      </c>
      <c r="L11" s="54">
        <f>INDEX(本周库存数据整理表!I:I,MATCH($E:$E,本周库存数据整理表!$D:$D,0),1)</f>
        <v>4.4000000000000004</v>
      </c>
      <c r="M11" s="56">
        <v>4.2</v>
      </c>
      <c r="N11" s="55" t="str">
        <f t="shared" si="0"/>
        <v>无变化</v>
      </c>
      <c r="O11" s="54">
        <f>INDEX(本周库存数据整理表!J:J,MATCH($E:$E,本周库存数据整理表!$D:$D,0),1)</f>
        <v>1007</v>
      </c>
      <c r="P11" s="57">
        <f t="shared" si="1"/>
        <v>0</v>
      </c>
      <c r="Q11" s="66">
        <f>IFERROR(VLOOKUP(E11,本周库存数据整理表!D:K,8,0),"")</f>
        <v>0</v>
      </c>
      <c r="R11" s="67">
        <f>IFERROR(INDEX(本周库存数据整理表!L:L,MATCH($E:$E,本周库存数据整理表!$D:$D,0),1),"无")</f>
        <v>4000</v>
      </c>
      <c r="S11" s="56">
        <f>INDEX(库存确认汇总!AQ:AQ,MATCH($E:$E,库存确认汇总!$AD:$AD,0),1)</f>
        <v>3007</v>
      </c>
      <c r="T11" s="57">
        <f t="shared" si="4"/>
        <v>0.33022946458264102</v>
      </c>
      <c r="U11" s="68">
        <v>0.98019801980197996</v>
      </c>
      <c r="V11" s="57">
        <f t="shared" si="12"/>
        <v>3.9720976581963101</v>
      </c>
      <c r="W11" s="56">
        <f>IFERROR(INDEX(本周库存数据整理表!M:M,MATCH($E:$E,本周库存数据整理表!$D:$D,0),1),"无")</f>
        <v>2007</v>
      </c>
      <c r="X11" s="56">
        <f>INDEX(本周库存数据整理表!N:N,MATCH($E:$E,本周库存数据整理表!$D:$D,0),1)</f>
        <v>1993</v>
      </c>
      <c r="Y11" s="81">
        <f t="shared" si="5"/>
        <v>0.99299999999999999</v>
      </c>
      <c r="Z11" s="82" t="e">
        <f>INDEX(本周库存数据整理表!#REF!,MATCH($E:$E,本周库存数据整理表!$D:$D,0),1)</f>
        <v>#REF!</v>
      </c>
      <c r="AA11" s="76" t="s">
        <v>103</v>
      </c>
      <c r="AB11" s="77" t="s">
        <v>120</v>
      </c>
      <c r="AC11" s="77" t="s">
        <v>105</v>
      </c>
      <c r="AD11" s="78" t="s">
        <v>119</v>
      </c>
      <c r="AE11" s="79">
        <v>0</v>
      </c>
      <c r="AF11" s="80">
        <v>42754</v>
      </c>
      <c r="AG11" s="83">
        <v>26.99</v>
      </c>
      <c r="AH11" s="85">
        <v>-0.55009168194699098</v>
      </c>
      <c r="AI11" s="79">
        <v>3134</v>
      </c>
      <c r="AJ11" s="85">
        <v>0.60736657479328504</v>
      </c>
      <c r="AK11" s="79">
        <v>4.4000000000000004</v>
      </c>
      <c r="AL11" s="79">
        <v>4.2</v>
      </c>
      <c r="AM11" s="85">
        <v>0.18918918918918901</v>
      </c>
      <c r="AN11" s="79">
        <v>1007</v>
      </c>
      <c r="AO11" s="85">
        <v>6.4044117647058796</v>
      </c>
      <c r="AP11" s="79">
        <v>0</v>
      </c>
      <c r="AQ11" s="87">
        <v>3007</v>
      </c>
      <c r="AR11" s="79" t="e">
        <v>#N/A</v>
      </c>
      <c r="AS11" s="85" t="e">
        <v>#N/A</v>
      </c>
      <c r="AT11" s="85">
        <v>0.98019801980197996</v>
      </c>
      <c r="AU11" s="84">
        <v>1.9930244145490801</v>
      </c>
      <c r="AV11">
        <v>4000</v>
      </c>
      <c r="AW11" s="99">
        <v>1000</v>
      </c>
      <c r="AX11" s="100">
        <v>10.764705882352899</v>
      </c>
      <c r="AY11" s="101"/>
      <c r="AZ11" s="95">
        <v>507</v>
      </c>
      <c r="BA11" s="95">
        <v>607</v>
      </c>
      <c r="BB11">
        <v>4000</v>
      </c>
      <c r="BC11" s="4">
        <v>341</v>
      </c>
      <c r="BD11">
        <f t="shared" si="6"/>
        <v>-100</v>
      </c>
      <c r="BE11">
        <f t="shared" si="7"/>
        <v>3393</v>
      </c>
      <c r="BF11" s="4">
        <v>2007</v>
      </c>
      <c r="BG11">
        <f t="shared" si="8"/>
        <v>5300</v>
      </c>
      <c r="BH11">
        <f t="shared" si="9"/>
        <v>5455</v>
      </c>
      <c r="BI11" s="102">
        <f>-BG11/BC11</f>
        <v>-15.5425219941349</v>
      </c>
      <c r="BJ11" s="29">
        <f t="shared" si="10"/>
        <v>-0.97158570119156695</v>
      </c>
    </row>
    <row r="12" spans="1:62">
      <c r="A12" s="204" t="s">
        <v>121</v>
      </c>
      <c r="B12" s="204"/>
      <c r="C12" s="204"/>
      <c r="D12" s="204"/>
      <c r="E12" s="204"/>
      <c r="F12" s="204"/>
      <c r="G12" s="204"/>
      <c r="H12" s="204"/>
      <c r="I12" s="204"/>
      <c r="J12" s="204"/>
      <c r="K12" s="204"/>
      <c r="L12" s="204"/>
      <c r="M12" s="204"/>
      <c r="N12" s="204"/>
      <c r="O12" s="204"/>
      <c r="P12" s="204"/>
      <c r="Q12" s="204"/>
      <c r="R12" s="204"/>
      <c r="S12" s="204"/>
      <c r="T12" s="204"/>
      <c r="U12" s="204"/>
      <c r="V12" s="205"/>
      <c r="W12" s="204"/>
      <c r="X12" s="204"/>
      <c r="Y12" s="204"/>
      <c r="AA12" s="203" t="s">
        <v>122</v>
      </c>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row>
    <row r="13" spans="1:62">
      <c r="A13" s="204"/>
      <c r="B13" s="204"/>
      <c r="C13" s="204"/>
      <c r="D13" s="204"/>
      <c r="E13" s="204"/>
      <c r="F13" s="204"/>
      <c r="G13" s="204"/>
      <c r="H13" s="204"/>
      <c r="I13" s="204"/>
      <c r="J13" s="204"/>
      <c r="K13" s="204"/>
      <c r="L13" s="204"/>
      <c r="M13" s="204"/>
      <c r="N13" s="204"/>
      <c r="O13" s="204"/>
      <c r="P13" s="204"/>
      <c r="Q13" s="204"/>
      <c r="R13" s="204"/>
      <c r="S13" s="204"/>
      <c r="T13" s="204"/>
      <c r="U13" s="204"/>
      <c r="V13" s="206"/>
      <c r="W13" s="204"/>
      <c r="X13" s="204"/>
      <c r="Y13" s="204"/>
      <c r="AA13" s="203"/>
      <c r="AB13" s="203"/>
      <c r="AC13" s="203"/>
      <c r="AD13" s="203"/>
      <c r="AE13" s="203"/>
      <c r="AF13" s="203"/>
      <c r="AG13" s="203"/>
      <c r="AH13" s="203"/>
      <c r="AI13" s="203"/>
      <c r="AJ13" s="203"/>
      <c r="AK13" s="203"/>
      <c r="AL13" s="203"/>
      <c r="AM13" s="203"/>
      <c r="AN13" s="203"/>
      <c r="AO13" s="203"/>
      <c r="AP13" s="203"/>
      <c r="AQ13" s="203"/>
      <c r="AR13" s="203"/>
      <c r="AS13" s="203"/>
      <c r="AT13" s="203"/>
      <c r="AU13" s="203"/>
      <c r="AV13" s="203"/>
      <c r="AW13" s="203"/>
      <c r="AX13" s="203"/>
      <c r="AY13" s="203"/>
      <c r="AZ13" s="203"/>
      <c r="BA13" s="203"/>
      <c r="BB13" s="203"/>
      <c r="BC13" s="203"/>
    </row>
    <row r="14" spans="1:62">
      <c r="V14" s="69"/>
      <c r="X14" s="29"/>
    </row>
    <row r="15" spans="1:62">
      <c r="X15" s="29"/>
    </row>
    <row r="16" spans="1:62">
      <c r="X16" s="29"/>
    </row>
    <row r="17" spans="24:24">
      <c r="X17" s="29"/>
    </row>
  </sheetData>
  <mergeCells count="30">
    <mergeCell ref="AA12:BC13"/>
    <mergeCell ref="A12:Y13"/>
    <mergeCell ref="AQ2:AV2"/>
    <mergeCell ref="AW2:AY2"/>
    <mergeCell ref="AZ2:BC2"/>
    <mergeCell ref="A2:A3"/>
    <mergeCell ref="B2:B3"/>
    <mergeCell ref="C2:C3"/>
    <mergeCell ref="D2:D3"/>
    <mergeCell ref="E2:E3"/>
    <mergeCell ref="F2:F3"/>
    <mergeCell ref="G2:G3"/>
    <mergeCell ref="Q2:Q3"/>
    <mergeCell ref="AA2:AA3"/>
    <mergeCell ref="AB2:AB3"/>
    <mergeCell ref="AE2:AE3"/>
    <mergeCell ref="AF2:AF3"/>
    <mergeCell ref="AP2:AP3"/>
    <mergeCell ref="A1:Z1"/>
    <mergeCell ref="AD1:AP1"/>
    <mergeCell ref="H2:I2"/>
    <mergeCell ref="J2:K2"/>
    <mergeCell ref="L2:N2"/>
    <mergeCell ref="O2:P2"/>
    <mergeCell ref="R2:W2"/>
    <mergeCell ref="X2:Z2"/>
    <mergeCell ref="AG2:AH2"/>
    <mergeCell ref="AI2:AJ2"/>
    <mergeCell ref="AK2:AM2"/>
    <mergeCell ref="AN2:AO2"/>
  </mergeCells>
  <phoneticPr fontId="31" type="noConversion"/>
  <pageMargins left="0.75" right="0.75" top="1" bottom="1" header="0.50902777777777797" footer="0.50902777777777797"/>
  <pageSetup paperSize="9" orientation="portrait"/>
</worksheet>
</file>

<file path=xl/worksheets/sheet5.xml><?xml version="1.0" encoding="utf-8"?>
<worksheet xmlns="http://schemas.openxmlformats.org/spreadsheetml/2006/main" xmlns:r="http://schemas.openxmlformats.org/officeDocument/2006/relationships">
  <dimension ref="A1:N27"/>
  <sheetViews>
    <sheetView workbookViewId="0">
      <selection activeCell="A2" sqref="A2:N2"/>
    </sheetView>
  </sheetViews>
  <sheetFormatPr defaultColWidth="9" defaultRowHeight="13.5"/>
  <cols>
    <col min="1" max="1" width="14.875" customWidth="1"/>
    <col min="3" max="3" width="9" customWidth="1"/>
    <col min="4" max="4" width="12.625" customWidth="1"/>
    <col min="5" max="5" width="7.375" customWidth="1"/>
    <col min="6" max="6" width="11.875" customWidth="1"/>
    <col min="10" max="10" width="7.75" customWidth="1"/>
    <col min="11" max="11" width="21.25" style="12" customWidth="1"/>
    <col min="12" max="12" width="8.125" customWidth="1"/>
  </cols>
  <sheetData>
    <row r="1" spans="1:14" ht="15">
      <c r="A1" s="13" t="s">
        <v>123</v>
      </c>
      <c r="B1" s="13"/>
      <c r="C1" s="13"/>
      <c r="D1" s="13"/>
      <c r="E1" s="13"/>
      <c r="F1" s="13"/>
      <c r="G1" s="13"/>
      <c r="H1" s="13"/>
      <c r="I1" s="13"/>
      <c r="J1" s="13"/>
      <c r="K1" s="21"/>
      <c r="L1" s="13"/>
      <c r="M1" s="22"/>
    </row>
    <row r="2" spans="1:14" ht="38.25">
      <c r="A2" s="14" t="s">
        <v>33</v>
      </c>
      <c r="B2" s="15" t="s">
        <v>3</v>
      </c>
      <c r="C2" s="15" t="s">
        <v>34</v>
      </c>
      <c r="D2" s="15" t="s">
        <v>4</v>
      </c>
      <c r="E2" s="15" t="s">
        <v>72</v>
      </c>
      <c r="F2" s="16" t="s">
        <v>35</v>
      </c>
      <c r="G2" s="16" t="s">
        <v>36</v>
      </c>
      <c r="H2" s="16" t="s">
        <v>37</v>
      </c>
      <c r="I2" s="23" t="s">
        <v>38</v>
      </c>
      <c r="J2" s="16" t="s">
        <v>39</v>
      </c>
      <c r="K2" s="16" t="s">
        <v>40</v>
      </c>
      <c r="L2" s="24" t="s">
        <v>124</v>
      </c>
      <c r="M2" s="25" t="s">
        <v>125</v>
      </c>
      <c r="N2" s="11" t="s">
        <v>126</v>
      </c>
    </row>
    <row r="3" spans="1:14" ht="24" customHeight="1">
      <c r="A3" t="s">
        <v>103</v>
      </c>
      <c r="B3" s="17" t="s">
        <v>114</v>
      </c>
      <c r="C3" t="s">
        <v>105</v>
      </c>
      <c r="D3" s="18" t="s">
        <v>113</v>
      </c>
      <c r="F3" s="5">
        <v>42754</v>
      </c>
      <c r="G3">
        <v>19.989999999999998</v>
      </c>
      <c r="H3">
        <v>3127</v>
      </c>
      <c r="I3">
        <v>4.0999999999999996</v>
      </c>
      <c r="J3">
        <v>1000</v>
      </c>
      <c r="K3" s="19"/>
      <c r="L3">
        <v>4000</v>
      </c>
      <c r="M3">
        <v>2000</v>
      </c>
      <c r="N3">
        <f>L3-M3</f>
        <v>2000</v>
      </c>
    </row>
    <row r="4" spans="1:14" ht="15">
      <c r="A4" t="s">
        <v>103</v>
      </c>
      <c r="B4" s="17" t="s">
        <v>108</v>
      </c>
      <c r="C4" t="s">
        <v>105</v>
      </c>
      <c r="D4" s="18" t="s">
        <v>107</v>
      </c>
      <c r="F4" s="5">
        <v>42754</v>
      </c>
      <c r="G4">
        <v>20.99</v>
      </c>
      <c r="H4">
        <v>3128</v>
      </c>
      <c r="I4">
        <v>4.0999999999999996</v>
      </c>
      <c r="J4">
        <v>1001</v>
      </c>
      <c r="K4" s="19"/>
      <c r="L4">
        <v>4000</v>
      </c>
      <c r="M4">
        <v>2001</v>
      </c>
      <c r="N4">
        <f t="shared" ref="N4:N10" si="0">L4-M4</f>
        <v>1999</v>
      </c>
    </row>
    <row r="5" spans="1:14" ht="15">
      <c r="A5" t="s">
        <v>103</v>
      </c>
      <c r="B5" s="17" t="s">
        <v>110</v>
      </c>
      <c r="C5" t="s">
        <v>105</v>
      </c>
      <c r="D5" s="18" t="s">
        <v>109</v>
      </c>
      <c r="F5" s="5">
        <v>42754</v>
      </c>
      <c r="G5">
        <v>21.99</v>
      </c>
      <c r="H5">
        <v>3129</v>
      </c>
      <c r="I5">
        <v>3.7</v>
      </c>
      <c r="J5">
        <v>1002</v>
      </c>
      <c r="K5" s="19"/>
      <c r="L5">
        <v>4000</v>
      </c>
      <c r="M5">
        <v>2002</v>
      </c>
      <c r="N5">
        <f t="shared" si="0"/>
        <v>1998</v>
      </c>
    </row>
    <row r="6" spans="1:14" ht="15">
      <c r="A6" t="s">
        <v>103</v>
      </c>
      <c r="B6" s="17" t="s">
        <v>112</v>
      </c>
      <c r="C6" t="s">
        <v>105</v>
      </c>
      <c r="D6" s="18" t="s">
        <v>111</v>
      </c>
      <c r="F6" s="5">
        <v>42754</v>
      </c>
      <c r="G6">
        <v>22.99</v>
      </c>
      <c r="H6">
        <v>3130</v>
      </c>
      <c r="I6">
        <v>3.4</v>
      </c>
      <c r="J6">
        <v>1003</v>
      </c>
      <c r="K6" s="19"/>
      <c r="L6">
        <v>4000</v>
      </c>
      <c r="M6">
        <v>2003</v>
      </c>
      <c r="N6">
        <f t="shared" si="0"/>
        <v>1997</v>
      </c>
    </row>
    <row r="7" spans="1:14" ht="15">
      <c r="A7" t="s">
        <v>103</v>
      </c>
      <c r="B7" s="17" t="s">
        <v>104</v>
      </c>
      <c r="C7" t="s">
        <v>105</v>
      </c>
      <c r="D7" s="18" t="s">
        <v>102</v>
      </c>
      <c r="F7" s="5">
        <v>42754</v>
      </c>
      <c r="G7">
        <v>23.99</v>
      </c>
      <c r="H7">
        <v>3131</v>
      </c>
      <c r="I7">
        <v>3.7</v>
      </c>
      <c r="J7">
        <v>1004</v>
      </c>
      <c r="K7" s="19"/>
      <c r="L7">
        <v>4000</v>
      </c>
      <c r="M7">
        <v>2004</v>
      </c>
      <c r="N7">
        <f t="shared" si="0"/>
        <v>1996</v>
      </c>
    </row>
    <row r="8" spans="1:14" s="12" customFormat="1" ht="36" customHeight="1">
      <c r="A8" t="s">
        <v>103</v>
      </c>
      <c r="B8" s="17" t="s">
        <v>116</v>
      </c>
      <c r="C8" t="s">
        <v>105</v>
      </c>
      <c r="D8" s="18" t="s">
        <v>115</v>
      </c>
      <c r="F8" s="5">
        <v>42754</v>
      </c>
      <c r="G8">
        <v>24.99</v>
      </c>
      <c r="H8">
        <v>3132</v>
      </c>
      <c r="I8" s="12">
        <v>4</v>
      </c>
      <c r="J8">
        <v>1005</v>
      </c>
      <c r="K8" s="19"/>
      <c r="L8">
        <v>4000</v>
      </c>
      <c r="M8">
        <v>2005</v>
      </c>
      <c r="N8">
        <f t="shared" si="0"/>
        <v>1995</v>
      </c>
    </row>
    <row r="9" spans="1:14" ht="15">
      <c r="A9" t="s">
        <v>103</v>
      </c>
      <c r="B9" s="17" t="s">
        <v>118</v>
      </c>
      <c r="C9" t="s">
        <v>105</v>
      </c>
      <c r="D9" s="18" t="s">
        <v>117</v>
      </c>
      <c r="F9" s="5">
        <v>42754</v>
      </c>
      <c r="G9">
        <v>25.99</v>
      </c>
      <c r="H9">
        <v>3133</v>
      </c>
      <c r="I9">
        <v>3.9</v>
      </c>
      <c r="J9">
        <v>1006</v>
      </c>
      <c r="K9" s="19"/>
      <c r="L9">
        <v>4000</v>
      </c>
      <c r="M9">
        <v>2006</v>
      </c>
      <c r="N9">
        <f t="shared" si="0"/>
        <v>1994</v>
      </c>
    </row>
    <row r="10" spans="1:14" ht="15">
      <c r="A10" t="s">
        <v>103</v>
      </c>
      <c r="B10" s="17" t="s">
        <v>120</v>
      </c>
      <c r="C10" t="s">
        <v>105</v>
      </c>
      <c r="D10" s="18" t="s">
        <v>119</v>
      </c>
      <c r="F10" s="5">
        <v>42754</v>
      </c>
      <c r="G10">
        <v>26.99</v>
      </c>
      <c r="H10">
        <v>3134</v>
      </c>
      <c r="I10">
        <v>4.4000000000000004</v>
      </c>
      <c r="J10">
        <v>1007</v>
      </c>
      <c r="K10" s="19"/>
      <c r="L10">
        <v>4000</v>
      </c>
      <c r="M10">
        <v>2007</v>
      </c>
      <c r="N10">
        <f t="shared" si="0"/>
        <v>1993</v>
      </c>
    </row>
    <row r="11" spans="1:14">
      <c r="A11" s="4"/>
      <c r="B11" s="4"/>
      <c r="C11" s="4"/>
      <c r="D11" s="4"/>
      <c r="E11" s="4"/>
      <c r="F11" s="5"/>
      <c r="G11" s="4"/>
      <c r="H11" s="4"/>
      <c r="I11" s="4"/>
      <c r="J11" s="4"/>
      <c r="K11" s="26"/>
      <c r="L11" s="4"/>
      <c r="M11" s="4"/>
    </row>
    <row r="12" spans="1:14">
      <c r="A12" s="4"/>
      <c r="B12" s="4"/>
      <c r="C12" s="4"/>
      <c r="D12" s="4"/>
      <c r="E12" s="4"/>
      <c r="F12" s="5"/>
      <c r="G12" s="4"/>
      <c r="H12" s="4"/>
      <c r="I12" s="4"/>
      <c r="J12" s="4"/>
      <c r="K12" s="26"/>
      <c r="L12" s="4"/>
      <c r="M12" s="4"/>
    </row>
    <row r="13" spans="1:14">
      <c r="A13" s="4"/>
      <c r="B13" s="4"/>
      <c r="C13" s="4"/>
      <c r="D13" s="4"/>
      <c r="E13" s="4"/>
      <c r="F13" s="5"/>
      <c r="G13" s="4"/>
      <c r="H13" s="4"/>
      <c r="I13" s="4"/>
      <c r="J13" s="4"/>
      <c r="K13" s="26"/>
      <c r="L13" s="4"/>
      <c r="M13" s="4"/>
    </row>
    <row r="14" spans="1:14" ht="14.25">
      <c r="A14" s="5"/>
      <c r="F14" s="19"/>
      <c r="K14"/>
    </row>
    <row r="15" spans="1:14" ht="14.25">
      <c r="A15" s="5"/>
      <c r="F15" s="19"/>
      <c r="K15"/>
    </row>
    <row r="16" spans="1:14" ht="14.25">
      <c r="A16" s="5"/>
      <c r="E16" s="20"/>
      <c r="F16" s="19"/>
      <c r="K16"/>
    </row>
    <row r="17" spans="1:11" ht="14.25">
      <c r="A17" s="5"/>
      <c r="F17" s="19"/>
      <c r="K17"/>
    </row>
    <row r="18" spans="1:11" ht="14.25">
      <c r="A18" s="5"/>
      <c r="F18" s="19"/>
      <c r="K18"/>
    </row>
    <row r="19" spans="1:11" ht="14.25">
      <c r="A19" s="5"/>
      <c r="F19" s="19"/>
      <c r="K19"/>
    </row>
    <row r="20" spans="1:11" ht="14.25">
      <c r="A20" s="5"/>
      <c r="F20" s="19"/>
      <c r="K20"/>
    </row>
    <row r="21" spans="1:11" ht="14.25">
      <c r="A21" s="5"/>
      <c r="F21" s="19"/>
      <c r="K21"/>
    </row>
    <row r="22" spans="1:11">
      <c r="A22" s="5"/>
      <c r="F22" s="12"/>
      <c r="K22"/>
    </row>
    <row r="23" spans="1:11">
      <c r="F23" s="5"/>
    </row>
    <row r="24" spans="1:11">
      <c r="F24" s="5"/>
    </row>
    <row r="25" spans="1:11">
      <c r="F25" s="5"/>
    </row>
    <row r="26" spans="1:11">
      <c r="F26" s="5"/>
    </row>
    <row r="27" spans="1:11">
      <c r="F27" s="5"/>
    </row>
  </sheetData>
  <phoneticPr fontId="31" type="noConversion"/>
  <pageMargins left="0.75" right="0.75" top="1" bottom="1" header="0.50902777777777797" footer="0.50902777777777797"/>
</worksheet>
</file>

<file path=xl/worksheets/sheet6.xml><?xml version="1.0" encoding="utf-8"?>
<worksheet xmlns="http://schemas.openxmlformats.org/spreadsheetml/2006/main" xmlns:r="http://schemas.openxmlformats.org/officeDocument/2006/relationships">
  <dimension ref="A1:N36"/>
  <sheetViews>
    <sheetView workbookViewId="0">
      <pane ySplit="1" topLeftCell="A2" activePane="bottomLeft" state="frozen"/>
      <selection pane="bottomLeft" activeCell="D11" sqref="D11"/>
    </sheetView>
  </sheetViews>
  <sheetFormatPr defaultColWidth="9" defaultRowHeight="33" customHeight="1"/>
  <cols>
    <col min="4" max="4" width="13.375" customWidth="1"/>
    <col min="6" max="6" width="11.125" customWidth="1"/>
  </cols>
  <sheetData>
    <row r="1" spans="1:14" ht="33" customHeight="1">
      <c r="A1" s="1" t="s">
        <v>33</v>
      </c>
      <c r="B1" s="2" t="s">
        <v>3</v>
      </c>
      <c r="C1" s="2" t="s">
        <v>34</v>
      </c>
      <c r="D1" s="2" t="s">
        <v>4</v>
      </c>
      <c r="E1" s="2" t="s">
        <v>127</v>
      </c>
      <c r="F1" s="3" t="s">
        <v>35</v>
      </c>
      <c r="G1" s="3" t="s">
        <v>36</v>
      </c>
      <c r="H1" s="3" t="s">
        <v>37</v>
      </c>
      <c r="I1" s="9" t="s">
        <v>38</v>
      </c>
      <c r="J1" s="3" t="s">
        <v>39</v>
      </c>
      <c r="K1" s="2" t="s">
        <v>40</v>
      </c>
      <c r="L1" s="9" t="s">
        <v>76</v>
      </c>
      <c r="M1" s="10" t="s">
        <v>128</v>
      </c>
      <c r="N1" s="11" t="s">
        <v>126</v>
      </c>
    </row>
    <row r="2" spans="1:14" ht="33" customHeight="1">
      <c r="A2" t="s">
        <v>103</v>
      </c>
      <c r="B2" s="4" t="s">
        <v>114</v>
      </c>
      <c r="C2" t="s">
        <v>105</v>
      </c>
      <c r="D2" s="4" t="s">
        <v>113</v>
      </c>
      <c r="F2" s="5">
        <v>42754</v>
      </c>
      <c r="G2">
        <v>19.989999999999998</v>
      </c>
      <c r="H2">
        <v>3127</v>
      </c>
      <c r="I2">
        <v>4.0999999999999996</v>
      </c>
      <c r="J2">
        <v>1000</v>
      </c>
      <c r="K2" s="4"/>
      <c r="L2">
        <v>3000</v>
      </c>
      <c r="M2">
        <v>2000</v>
      </c>
      <c r="N2">
        <v>1000</v>
      </c>
    </row>
    <row r="3" spans="1:14" ht="33" customHeight="1">
      <c r="A3" t="s">
        <v>103</v>
      </c>
      <c r="B3" s="4" t="s">
        <v>108</v>
      </c>
      <c r="C3" t="s">
        <v>105</v>
      </c>
      <c r="D3" s="4" t="s">
        <v>107</v>
      </c>
      <c r="F3" s="5">
        <v>42754</v>
      </c>
      <c r="G3">
        <v>20.99</v>
      </c>
      <c r="H3">
        <v>3128</v>
      </c>
      <c r="I3">
        <v>4.0999999999999996</v>
      </c>
      <c r="J3">
        <v>1001</v>
      </c>
      <c r="K3" s="4"/>
      <c r="L3">
        <v>3001</v>
      </c>
      <c r="M3">
        <v>2001</v>
      </c>
      <c r="N3">
        <v>1000</v>
      </c>
    </row>
    <row r="4" spans="1:14" ht="33" customHeight="1">
      <c r="A4" t="s">
        <v>103</v>
      </c>
      <c r="B4" s="4" t="s">
        <v>110</v>
      </c>
      <c r="C4" t="s">
        <v>105</v>
      </c>
      <c r="D4" s="4" t="s">
        <v>109</v>
      </c>
      <c r="F4" s="5">
        <v>42754</v>
      </c>
      <c r="G4">
        <v>21.99</v>
      </c>
      <c r="H4">
        <v>3129</v>
      </c>
      <c r="I4">
        <v>3.7</v>
      </c>
      <c r="J4">
        <v>1002</v>
      </c>
      <c r="K4" s="4"/>
      <c r="L4">
        <v>3002</v>
      </c>
      <c r="M4">
        <v>2002</v>
      </c>
      <c r="N4">
        <v>1000</v>
      </c>
    </row>
    <row r="5" spans="1:14" ht="33" customHeight="1">
      <c r="A5" t="s">
        <v>103</v>
      </c>
      <c r="B5" s="4" t="s">
        <v>112</v>
      </c>
      <c r="C5" t="s">
        <v>105</v>
      </c>
      <c r="D5" s="4" t="s">
        <v>111</v>
      </c>
      <c r="F5" s="5">
        <v>42754</v>
      </c>
      <c r="G5">
        <v>22.99</v>
      </c>
      <c r="H5">
        <v>3130</v>
      </c>
      <c r="I5">
        <v>3.4</v>
      </c>
      <c r="J5">
        <v>1003</v>
      </c>
      <c r="K5" s="4"/>
      <c r="L5">
        <v>3003</v>
      </c>
      <c r="M5">
        <v>2003</v>
      </c>
      <c r="N5">
        <v>1000</v>
      </c>
    </row>
    <row r="6" spans="1:14" ht="33" customHeight="1">
      <c r="A6" t="s">
        <v>103</v>
      </c>
      <c r="B6" s="4" t="s">
        <v>104</v>
      </c>
      <c r="C6" t="s">
        <v>105</v>
      </c>
      <c r="D6" s="4" t="s">
        <v>102</v>
      </c>
      <c r="F6" s="5">
        <v>42754</v>
      </c>
      <c r="G6">
        <v>23.99</v>
      </c>
      <c r="H6">
        <v>3131</v>
      </c>
      <c r="I6">
        <v>3.7</v>
      </c>
      <c r="J6">
        <v>1004</v>
      </c>
      <c r="K6" s="4"/>
      <c r="L6">
        <v>3004</v>
      </c>
      <c r="M6">
        <v>2004</v>
      </c>
      <c r="N6">
        <v>1000</v>
      </c>
    </row>
    <row r="7" spans="1:14" ht="33" customHeight="1">
      <c r="A7" t="s">
        <v>103</v>
      </c>
      <c r="B7" s="4" t="s">
        <v>116</v>
      </c>
      <c r="C7" t="s">
        <v>105</v>
      </c>
      <c r="D7" s="4" t="s">
        <v>115</v>
      </c>
      <c r="E7" s="4"/>
      <c r="F7" s="5">
        <v>42754</v>
      </c>
      <c r="G7">
        <v>24.99</v>
      </c>
      <c r="H7">
        <v>3132</v>
      </c>
      <c r="I7" s="4">
        <v>4</v>
      </c>
      <c r="J7">
        <v>1005</v>
      </c>
      <c r="K7" s="4"/>
      <c r="L7">
        <v>3005</v>
      </c>
      <c r="M7">
        <v>2005</v>
      </c>
      <c r="N7">
        <v>1000</v>
      </c>
    </row>
    <row r="8" spans="1:14" ht="33" customHeight="1">
      <c r="A8" t="s">
        <v>103</v>
      </c>
      <c r="B8" s="4" t="s">
        <v>118</v>
      </c>
      <c r="C8" t="s">
        <v>105</v>
      </c>
      <c r="D8" s="4" t="s">
        <v>117</v>
      </c>
      <c r="F8" s="5">
        <v>42754</v>
      </c>
      <c r="G8">
        <v>25.99</v>
      </c>
      <c r="H8">
        <v>3133</v>
      </c>
      <c r="I8">
        <v>3.9</v>
      </c>
      <c r="J8">
        <v>1006</v>
      </c>
      <c r="K8" s="4"/>
      <c r="L8">
        <v>3006</v>
      </c>
      <c r="M8">
        <v>2006</v>
      </c>
      <c r="N8">
        <v>1000</v>
      </c>
    </row>
    <row r="9" spans="1:14" ht="33" customHeight="1">
      <c r="A9" t="s">
        <v>103</v>
      </c>
      <c r="B9" s="4" t="s">
        <v>120</v>
      </c>
      <c r="C9" t="s">
        <v>105</v>
      </c>
      <c r="D9" s="4" t="s">
        <v>119</v>
      </c>
      <c r="F9" s="5">
        <v>42754</v>
      </c>
      <c r="G9">
        <v>26.99</v>
      </c>
      <c r="H9">
        <v>3134</v>
      </c>
      <c r="I9">
        <v>4.4000000000000004</v>
      </c>
      <c r="J9">
        <v>1007</v>
      </c>
      <c r="K9" s="4"/>
      <c r="L9">
        <v>3007</v>
      </c>
      <c r="M9">
        <v>2007</v>
      </c>
      <c r="N9">
        <v>1000</v>
      </c>
    </row>
    <row r="29" spans="1:2" ht="33" customHeight="1">
      <c r="A29" s="6"/>
      <c r="B29" s="6"/>
    </row>
    <row r="30" spans="1:2" ht="33" customHeight="1">
      <c r="A30" s="6"/>
      <c r="B30" s="6"/>
    </row>
    <row r="31" spans="1:2" ht="33" customHeight="1">
      <c r="A31" s="6"/>
      <c r="B31" s="6"/>
    </row>
    <row r="32" spans="1:2" ht="33" customHeight="1">
      <c r="A32" s="6"/>
      <c r="B32" s="6"/>
    </row>
    <row r="33" spans="1:2" ht="33" customHeight="1">
      <c r="A33" s="6"/>
      <c r="B33" s="6"/>
    </row>
    <row r="34" spans="1:2" ht="33" customHeight="1">
      <c r="A34" s="6"/>
      <c r="B34" s="6"/>
    </row>
    <row r="35" spans="1:2" ht="33" customHeight="1">
      <c r="A35" s="7"/>
      <c r="B35" s="8"/>
    </row>
    <row r="36" spans="1:2" ht="33" customHeight="1">
      <c r="B36" s="7"/>
    </row>
  </sheetData>
  <autoFilter ref="A1:O9">
    <extLst/>
  </autoFilter>
  <phoneticPr fontId="31" type="noConversion"/>
  <pageMargins left="0.75" right="0.75" top="1" bottom="1" header="0.50902777777777797" footer="0.50902777777777797"/>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运营库存周监控表（敏感分析，环比分析）</vt:lpstr>
      <vt:lpstr>亚马逊站内站外运营追踪表</vt:lpstr>
      <vt:lpstr>横版</vt:lpstr>
      <vt:lpstr>库存确认汇总</vt:lpstr>
      <vt:lpstr>本周库存数据整理表</vt:lpstr>
      <vt:lpstr>库存记录数据源</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ZeroLemon-Admin</dc:creator>
  <cp:lastModifiedBy>user</cp:lastModifiedBy>
  <cp:revision>1</cp:revision>
  <dcterms:created xsi:type="dcterms:W3CDTF">2016-08-03T06:49:00Z</dcterms:created>
  <dcterms:modified xsi:type="dcterms:W3CDTF">2022-02-09T08:30:32Z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2052-11.1.0.10024</vt:lpwstr>
  </property>
  <property fmtid="{D5CDD505-2E9C-101B-9397-08002B2CF9AE}" pid="3" name="KSORubyTemplateID" linkTarget="0">
    <vt:lpwstr>11</vt:lpwstr>
  </property>
</Properties>
</file>