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55"/>
  </bookViews>
  <sheets>
    <sheet name="运营工作" sheetId="3" r:id="rId1"/>
    <sheet name="产品定价表" sheetId="9" r:id="rId2"/>
    <sheet name="产品上架" sheetId="11" r:id="rId3"/>
    <sheet name="单品推广表" sheetId="12" r:id="rId4"/>
    <sheet name="产品每日统计表" sheetId="2" r:id="rId5"/>
    <sheet name="周报表" sheetId="1" r:id="rId6"/>
  </sheets>
  <definedNames>
    <definedName name="_xlnm._FilterDatabase" localSheetId="1" hidden="1">产品定价表!$A$3:$BL$7</definedName>
  </definedNames>
  <calcPr calcId="144525"/>
</workbook>
</file>

<file path=xl/comments1.xml><?xml version="1.0" encoding="utf-8"?>
<comments xmlns="http://schemas.openxmlformats.org/spreadsheetml/2006/main">
  <authors>
    <author>钟晓良</author>
  </authors>
  <commentList>
    <comment ref="R2" authorId="0">
      <text>
        <r>
          <rPr>
            <b/>
            <sz val="9"/>
            <rFont val="宋体"/>
            <charset val="134"/>
          </rPr>
          <t>钟晓良:</t>
        </r>
        <r>
          <rPr>
            <sz val="9"/>
            <rFont val="宋体"/>
            <charset val="134"/>
          </rPr>
          <t xml:space="preserve">
由于汇率和售价均会发生波动，针对美国市场的即以美金为基本计算依据，如果欧州即以欧元为基本计算依据</t>
        </r>
      </text>
    </comment>
    <comment ref="H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请在对应字段填写批注信息：目标对手的LISTING信息</t>
        </r>
      </text>
    </comment>
    <comment ref="K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开发给出指导价，运营根据市场及定位，给出阶段定价</t>
        </r>
      </text>
    </comment>
    <comment ref="L3" authorId="0">
      <text>
        <r>
          <rPr>
            <b/>
            <sz val="9"/>
            <rFont val="宋体"/>
            <charset val="134"/>
          </rPr>
          <t>钟晓良:
计算值</t>
        </r>
      </text>
    </comment>
    <comment ref="M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预估值</t>
        </r>
      </text>
    </comment>
    <comment ref="R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如果是美国就是美元，如果是加拿大就是加元，如果是欧州就是欧元，依此类推</t>
        </r>
      </text>
    </comment>
    <comment ref="U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运营员依产品实际情况，精密称量、计算得出，手动输入</t>
        </r>
      </text>
    </comment>
    <comment ref="V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所有占比之和如不等于100%，说明计算错误
</t>
        </r>
      </text>
    </comment>
    <comment ref="W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X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Y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Z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AA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AB3" authorId="0">
      <text>
        <r>
          <rPr>
            <b/>
            <sz val="9"/>
            <rFont val="宋体"/>
            <charset val="134"/>
          </rPr>
          <t>张广明:</t>
        </r>
        <r>
          <rPr>
            <sz val="9"/>
            <rFont val="宋体"/>
            <charset val="134"/>
          </rPr>
          <t xml:space="preserve">
依公式计算得出，由实际核算得出</t>
        </r>
      </text>
    </comment>
    <comment ref="AC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D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E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F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G3" authorId="0">
      <text>
        <r>
          <rPr>
            <b/>
            <sz val="9"/>
            <rFont val="宋体"/>
            <charset val="134"/>
          </rPr>
          <t>张广明:
手动输入：计划占销售额的百分比
欧州价外税是20%，折算为价内税即=20%/(1+20%）=16.67%</t>
        </r>
      </text>
    </comment>
    <comment ref="AH3" authorId="0">
      <text>
        <r>
          <rPr>
            <b/>
            <sz val="9"/>
            <rFont val="宋体"/>
            <charset val="134"/>
          </rPr>
          <t>张广明:
手动输入：计划占销售额的百分比</t>
        </r>
      </text>
    </comment>
    <comment ref="AJ3" authorId="0">
      <text>
        <r>
          <rPr>
            <sz val="9"/>
            <rFont val="宋体"/>
            <charset val="134"/>
          </rPr>
          <t>此为定价计算结果，等于售价减所有成本后的毛利额占销售额比率，计算结果</t>
        </r>
      </text>
    </comment>
    <comment ref="AK3" authorId="0">
      <text>
        <r>
          <rPr>
            <sz val="9"/>
            <rFont val="宋体"/>
            <charset val="134"/>
          </rPr>
          <t>由美金定价换算得来（有公式）直拉</t>
        </r>
      </text>
    </comment>
    <comment ref="AL3" authorId="0">
      <text>
        <r>
          <rPr>
            <sz val="9"/>
            <rFont val="宋体"/>
            <charset val="134"/>
          </rPr>
          <t xml:space="preserve">
即采购进来的单价，不含国内运费</t>
        </r>
      </text>
    </comment>
    <comment ref="AM3" authorId="0">
      <text>
        <r>
          <rPr>
            <sz val="9"/>
            <rFont val="宋体"/>
            <charset val="134"/>
          </rPr>
          <t>国内采购产生的运费</t>
        </r>
      </text>
    </comment>
    <comment ref="AN3" authorId="0">
      <text>
        <r>
          <rPr>
            <sz val="9"/>
            <rFont val="宋体"/>
            <charset val="134"/>
          </rPr>
          <t>针对此产品产生的包材费</t>
        </r>
      </text>
    </comment>
    <comment ref="AO3" authorId="0">
      <text>
        <r>
          <rPr>
            <sz val="9"/>
            <rFont val="宋体"/>
            <charset val="134"/>
          </rPr>
          <t>额外产生的打包费</t>
        </r>
      </text>
    </comment>
    <comment ref="AP3" authorId="0">
      <text>
        <r>
          <rPr>
            <sz val="9"/>
            <rFont val="宋体"/>
            <charset val="134"/>
          </rPr>
          <t>=对应运输方式*单价</t>
        </r>
      </text>
    </comment>
    <comment ref="AQ3" authorId="0">
      <text>
        <r>
          <rPr>
            <sz val="9"/>
            <rFont val="宋体"/>
            <charset val="134"/>
          </rPr>
          <t>由美金计价折算而来</t>
        </r>
      </text>
    </comment>
    <comment ref="AR3" authorId="0">
      <text>
        <r>
          <rPr>
            <sz val="9"/>
            <rFont val="宋体"/>
            <charset val="134"/>
          </rPr>
          <t>由美金计价折算而来</t>
        </r>
      </text>
    </comment>
    <comment ref="AS3" authorId="0">
      <text>
        <r>
          <rPr>
            <sz val="9"/>
            <rFont val="宋体"/>
            <charset val="134"/>
          </rPr>
          <t xml:space="preserve">
由美金计价折算而来</t>
        </r>
      </text>
    </comment>
    <comment ref="AT3" authorId="0">
      <text>
        <r>
          <rPr>
            <sz val="9"/>
            <rFont val="宋体"/>
            <charset val="134"/>
          </rPr>
          <t>由美金计价折算而来</t>
        </r>
      </text>
    </comment>
    <comment ref="AU3" authorId="0">
      <text>
        <r>
          <rPr>
            <sz val="9"/>
            <rFont val="宋体"/>
            <charset val="134"/>
          </rPr>
          <t>由美金计价折算而来</t>
        </r>
      </text>
    </comment>
    <comment ref="AV3" authorId="0">
      <text>
        <r>
          <rPr>
            <sz val="9"/>
            <rFont val="宋体"/>
            <charset val="134"/>
          </rPr>
          <t>由美金计价折算而来</t>
        </r>
      </text>
    </comment>
    <comment ref="AW3" authorId="0">
      <text>
        <r>
          <rPr>
            <sz val="9"/>
            <rFont val="宋体"/>
            <charset val="134"/>
          </rPr>
          <t>由美金计价折算而</t>
        </r>
      </text>
    </comment>
    <comment ref="AX3" authorId="0">
      <text>
        <r>
          <rPr>
            <sz val="9"/>
            <rFont val="宋体"/>
            <charset val="134"/>
          </rPr>
          <t>由美金计价折算而来</t>
        </r>
      </text>
    </comment>
    <comment ref="AY3" authorId="0">
      <text>
        <r>
          <rPr>
            <sz val="9"/>
            <rFont val="宋体"/>
            <charset val="134"/>
          </rPr>
          <t xml:space="preserve">=目标销售定价
</t>
        </r>
      </text>
    </comment>
    <comment ref="AZ3" authorId="0">
      <text>
        <r>
          <rPr>
            <sz val="9"/>
            <rFont val="宋体"/>
            <charset val="134"/>
          </rPr>
          <t>由RMB计价折算而来</t>
        </r>
      </text>
    </comment>
    <comment ref="BA3" authorId="0">
      <text>
        <r>
          <rPr>
            <sz val="9"/>
            <rFont val="宋体"/>
            <charset val="134"/>
          </rPr>
          <t>由RMB计价折算而来</t>
        </r>
      </text>
    </comment>
    <comment ref="BB3" authorId="0">
      <text>
        <r>
          <rPr>
            <sz val="9"/>
            <rFont val="宋体"/>
            <charset val="134"/>
          </rPr>
          <t xml:space="preserve">
由RMB计价折算而来</t>
        </r>
      </text>
    </comment>
    <comment ref="BC3" authorId="0">
      <text>
        <r>
          <rPr>
            <sz val="9"/>
            <rFont val="宋体"/>
            <charset val="134"/>
          </rPr>
          <t>由RMB计价折算而来</t>
        </r>
      </text>
    </comment>
    <comment ref="BD3" authorId="0">
      <text>
        <r>
          <rPr>
            <sz val="9"/>
            <rFont val="宋体"/>
            <charset val="134"/>
          </rPr>
          <t>由RMB计价折算而来</t>
        </r>
      </text>
    </comment>
    <comment ref="BE3" authorId="0">
      <text>
        <r>
          <rPr>
            <sz val="9"/>
            <rFont val="宋体"/>
            <charset val="134"/>
          </rPr>
          <t xml:space="preserve">
由运营按平台规则精确计算得来，以平台结算货币为准</t>
        </r>
      </text>
    </comment>
    <comment ref="BF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G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H3" authorId="0">
      <text>
        <r>
          <rPr>
            <sz val="9"/>
            <rFont val="宋体"/>
            <charset val="134"/>
          </rPr>
          <t xml:space="preserve">
公式计算自动得出
=美金售价*对应计划占比</t>
        </r>
      </text>
    </comment>
    <comment ref="BI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J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K3" authorId="0">
      <text>
        <r>
          <rPr>
            <sz val="9"/>
            <rFont val="宋体"/>
            <charset val="134"/>
          </rPr>
          <t>公式计算自动得出
=美金售价*对应计划占比</t>
        </r>
      </text>
    </comment>
    <comment ref="BL3" authorId="0">
      <text>
        <r>
          <rPr>
            <sz val="9"/>
            <rFont val="宋体"/>
            <charset val="134"/>
          </rPr>
          <t>=售价-所有成本（含退货成本）</t>
        </r>
      </text>
    </comment>
  </commentList>
</comments>
</file>

<file path=xl/comments2.xml><?xml version="1.0" encoding="utf-8"?>
<comments xmlns="http://schemas.openxmlformats.org/spreadsheetml/2006/main">
  <authors>
    <author>钟晓良</author>
  </authors>
  <commentList>
    <comment ref="C8" authorId="0">
      <text>
        <r>
          <rPr>
            <sz val="9"/>
            <rFont val="宋体"/>
            <charset val="134"/>
          </rPr>
          <t xml:space="preserve">
推广费包含：视频拍摄费、测评费（含review\免评\rating\)、VINE费用、QA费用、秒杀费用（含LD及BD)、站外费</t>
        </r>
      </text>
    </comment>
    <comment ref="C9" authorId="0">
      <text>
        <r>
          <rPr>
            <sz val="9"/>
            <rFont val="宋体"/>
            <charset val="134"/>
          </rPr>
          <t>仅指广告占比</t>
        </r>
      </text>
    </comment>
  </commentList>
</comments>
</file>

<file path=xl/sharedStrings.xml><?xml version="1.0" encoding="utf-8"?>
<sst xmlns="http://schemas.openxmlformats.org/spreadsheetml/2006/main" count="432" uniqueCount="293">
  <si>
    <t>工作明细：</t>
  </si>
  <si>
    <t>回复Amazon后台及官网邮件，解决客人的售后，退货，补发配件等问题，并将问题反馈至主管</t>
  </si>
  <si>
    <t>跟踪之前的售后及差评处理。</t>
  </si>
  <si>
    <t>查看feedback及review差评，处理feedback汇总差评。</t>
  </si>
  <si>
    <t>发要好评邮件（请勿出现code/review/feedback/coupons/等诱导性词）</t>
  </si>
  <si>
    <t>查看正在推的产品的曝光，转化率。</t>
  </si>
  <si>
    <t>关注账号健康状况。</t>
  </si>
  <si>
    <t>查找差评，并处理差评。</t>
  </si>
  <si>
    <t>产品上架。</t>
  </si>
  <si>
    <t>广告，关键词分析，优化广告，优化关键词。</t>
  </si>
  <si>
    <t>图片及产品详情页优化处理。</t>
  </si>
  <si>
    <t>数据统计分析，完善爆款表。</t>
  </si>
  <si>
    <t>竞争对手分析。</t>
  </si>
  <si>
    <t>每周做差评汇总表。</t>
  </si>
  <si>
    <t>根据货柜发货单做发货详情及条码并提交给仓库主管。</t>
  </si>
  <si>
    <t>关注FBA到货情况</t>
  </si>
  <si>
    <t>向数据员或财务提供其所需的账号数据。</t>
  </si>
  <si>
    <t>关注库存及评价，即使调整售价及listing组合。</t>
  </si>
  <si>
    <t>发货，打标签</t>
  </si>
  <si>
    <t>新产品的拍照安排，说明书，包装制作。</t>
  </si>
  <si>
    <t>新款测款以及完成新款测款报告。</t>
  </si>
  <si>
    <t>将回款计划发给财务</t>
  </si>
  <si>
    <t>关注账号收款及其他信息是否正常。</t>
  </si>
  <si>
    <t>对于出现2次以上非常规产品质量问题，主动向主管反映。</t>
  </si>
  <si>
    <t>每月做利润表，并与财务对海运情况。</t>
  </si>
  <si>
    <t>协助主管做新产品及新类目开发，做简单的市场调查。</t>
  </si>
  <si>
    <t>注：</t>
  </si>
  <si>
    <t>此表中有“蓝色”填充区域为公式计算区，只须下拉，非填充区（即白色区）为填写输入区</t>
  </si>
  <si>
    <t>基础信息</t>
  </si>
  <si>
    <t>销售目标定价</t>
  </si>
  <si>
    <t>基本指标或计划占比</t>
  </si>
  <si>
    <t>RMB计价</t>
  </si>
  <si>
    <t>平台本位币计价（如USD\加元\欧元等）</t>
  </si>
  <si>
    <t>店铺</t>
  </si>
  <si>
    <t>组别</t>
  </si>
  <si>
    <t>运营员</t>
  </si>
  <si>
    <t>主管</t>
  </si>
  <si>
    <t>日期</t>
  </si>
  <si>
    <t>产品名称</t>
  </si>
  <si>
    <t>ASIN</t>
  </si>
  <si>
    <t>目标排名</t>
  </si>
  <si>
    <t>目标对手售价USD</t>
  </si>
  <si>
    <t>目标对手月销量</t>
  </si>
  <si>
    <t>销售定价USD</t>
  </si>
  <si>
    <t>毛利率</t>
  </si>
  <si>
    <t>日均销量</t>
  </si>
  <si>
    <t>月销量</t>
  </si>
  <si>
    <t>日营业额RMB</t>
  </si>
  <si>
    <t>月营业额RMB</t>
  </si>
  <si>
    <t>月毛利额RMB</t>
  </si>
  <si>
    <t>汇率</t>
  </si>
  <si>
    <t>运输方式</t>
  </si>
  <si>
    <t>运输预估单价（元/kg)</t>
  </si>
  <si>
    <t>重量（KG）</t>
  </si>
  <si>
    <t>售价为100%</t>
  </si>
  <si>
    <t>采购进价占比</t>
  </si>
  <si>
    <t>国内运费占比</t>
  </si>
  <si>
    <t>包材成本占比</t>
  </si>
  <si>
    <t>打包费占比</t>
  </si>
  <si>
    <t>FBA头程运费占比</t>
  </si>
  <si>
    <t>FBA配送占比</t>
  </si>
  <si>
    <t>推广费率</t>
  </si>
  <si>
    <t>广告费率</t>
  </si>
  <si>
    <t>优惠券
Coupon</t>
  </si>
  <si>
    <t>佣金占比</t>
  </si>
  <si>
    <t>VAT价内税率</t>
  </si>
  <si>
    <t>退货率</t>
  </si>
  <si>
    <t>退货成本率</t>
  </si>
  <si>
    <t>售价</t>
  </si>
  <si>
    <t>采购进价</t>
  </si>
  <si>
    <t>国内运费</t>
  </si>
  <si>
    <t>包材成本</t>
  </si>
  <si>
    <t>打包费</t>
  </si>
  <si>
    <t>FBA头程运费</t>
  </si>
  <si>
    <t>FBA配送费</t>
  </si>
  <si>
    <t>推广费</t>
  </si>
  <si>
    <t>广告费</t>
  </si>
  <si>
    <t>优惠券（Coupon）</t>
  </si>
  <si>
    <t>平台佣金</t>
  </si>
  <si>
    <t>VAT</t>
  </si>
  <si>
    <t>退货成本额</t>
  </si>
  <si>
    <t>毛利额</t>
  </si>
  <si>
    <t>前期</t>
  </si>
  <si>
    <t>US</t>
  </si>
  <si>
    <t>精品</t>
  </si>
  <si>
    <t>A1</t>
  </si>
  <si>
    <t>快船</t>
  </si>
  <si>
    <t>后期</t>
  </si>
  <si>
    <t xml:space="preserve">产品上架前准备工作 </t>
  </si>
  <si>
    <t>部门</t>
  </si>
  <si>
    <t>亚马逊</t>
  </si>
  <si>
    <t>账号</t>
  </si>
  <si>
    <t>产品</t>
  </si>
  <si>
    <t>中文名称</t>
  </si>
  <si>
    <t>立项时间</t>
  </si>
  <si>
    <t>上架时间</t>
  </si>
  <si>
    <t>图片</t>
  </si>
  <si>
    <t>#</t>
  </si>
  <si>
    <t>指标</t>
  </si>
  <si>
    <t>量化工作</t>
  </si>
  <si>
    <t>计划完成时间</t>
  </si>
  <si>
    <t>实际完成</t>
  </si>
  <si>
    <t>是否Delay</t>
  </si>
  <si>
    <t>备注（完成与否及原因）</t>
  </si>
  <si>
    <t>产品推广方案</t>
  </si>
  <si>
    <t>前期快船或者限时达发600个到美国发50个到加拿大申请VINE计划做评价壳 积累评价</t>
  </si>
  <si>
    <t>新品发票确认</t>
  </si>
  <si>
    <t>提前准备好开票信息</t>
  </si>
  <si>
    <t>节点类目或危险品审核</t>
  </si>
  <si>
    <t>无需危险品审核</t>
  </si>
  <si>
    <t>上架推广主核心词</t>
  </si>
  <si>
    <t>fishing pliers</t>
  </si>
  <si>
    <t>listing创建</t>
  </si>
  <si>
    <t>A、按照SKU命名规则在后台创建listing
B:创建货件
C、确认采购数量</t>
  </si>
  <si>
    <t>发货</t>
  </si>
  <si>
    <t>600个快船（美国）+50个空运加拿大</t>
  </si>
  <si>
    <t>测尺寸产品</t>
  </si>
  <si>
    <t>提前管控好FBA收费</t>
  </si>
  <si>
    <t>主图</t>
  </si>
  <si>
    <t>根据市场图片情况与讨论而得的思路与美工沟通主图</t>
  </si>
  <si>
    <t>附图</t>
  </si>
  <si>
    <t>6张精修附图</t>
  </si>
  <si>
    <t>A+</t>
  </si>
  <si>
    <t>A+涉及的文案和图片</t>
  </si>
  <si>
    <t>视频</t>
  </si>
  <si>
    <t>找国外模特拍摄产品测评视频</t>
  </si>
  <si>
    <t>文案</t>
  </si>
  <si>
    <t>标题、五点、描述、关键词ST</t>
  </si>
  <si>
    <t>review种子</t>
  </si>
  <si>
    <t>提前准备好至少8-15个review种子</t>
  </si>
  <si>
    <t>PPC核心词和否定词</t>
  </si>
  <si>
    <t>提前准备好最少8-15个辅助核心推广词，20-30个拓展词，10-30个否定词</t>
  </si>
  <si>
    <t>LD促销布局</t>
  </si>
  <si>
    <t>暂时不考虑做秒杀，先做站外</t>
  </si>
  <si>
    <t>旺季埋词</t>
  </si>
  <si>
    <t>全年性产品，比较固定，旺季时期周期性深挖当期热门关键词</t>
  </si>
  <si>
    <t>QA布局</t>
  </si>
  <si>
    <t>提前准备好5个首页QA</t>
  </si>
  <si>
    <t>站外促销引流</t>
  </si>
  <si>
    <t>第二（三）阶段做站外冲排名，引流</t>
  </si>
  <si>
    <t>coupon</t>
  </si>
  <si>
    <t>5%/10%</t>
  </si>
  <si>
    <t>求评邮件</t>
  </si>
  <si>
    <t>前期测评8-15单（fishing pliers），积累评价。</t>
  </si>
  <si>
    <t>产品推广计划与达成表</t>
  </si>
  <si>
    <t>运营员：</t>
  </si>
  <si>
    <t>目标工作内容及分类</t>
  </si>
  <si>
    <t>计划执行</t>
  </si>
  <si>
    <t>计划</t>
  </si>
  <si>
    <t>达成</t>
  </si>
  <si>
    <t>达成率</t>
  </si>
  <si>
    <t>说明</t>
  </si>
  <si>
    <t>日历周序</t>
  </si>
  <si>
    <t>序</t>
  </si>
  <si>
    <t>类别</t>
  </si>
  <si>
    <t>项目</t>
  </si>
  <si>
    <t>单位</t>
  </si>
  <si>
    <t>第1周</t>
  </si>
  <si>
    <t>第2周</t>
  </si>
  <si>
    <t>第3周</t>
  </si>
  <si>
    <t>第4周</t>
  </si>
  <si>
    <t>第5周</t>
  </si>
  <si>
    <t>第6周</t>
  </si>
  <si>
    <t>第7周</t>
  </si>
  <si>
    <t>第8周</t>
  </si>
  <si>
    <t>第9周</t>
  </si>
  <si>
    <t>小计</t>
  </si>
  <si>
    <t>产品定价</t>
  </si>
  <si>
    <t>路亚钳</t>
  </si>
  <si>
    <t>USD</t>
  </si>
  <si>
    <t>%</t>
  </si>
  <si>
    <t>Coupon占比</t>
  </si>
  <si>
    <t>营销费合计占比</t>
  </si>
  <si>
    <t>备货及销量</t>
  </si>
  <si>
    <t>备货：开售前（600快船+50空派-CA）</t>
  </si>
  <si>
    <t>件</t>
  </si>
  <si>
    <t>700快船+1000海运</t>
  </si>
  <si>
    <t>日销售量</t>
  </si>
  <si>
    <t>周销售量</t>
  </si>
  <si>
    <t>周销售额</t>
  </si>
  <si>
    <t>营销费合计</t>
  </si>
  <si>
    <t>周毛利额</t>
  </si>
  <si>
    <t>周毛利率</t>
  </si>
  <si>
    <t>周营销费占比</t>
  </si>
  <si>
    <t>周ACOS</t>
  </si>
  <si>
    <t>营销策划</t>
  </si>
  <si>
    <t>视频拍摄</t>
  </si>
  <si>
    <t>次</t>
  </si>
  <si>
    <t>review</t>
  </si>
  <si>
    <t>免评</t>
  </si>
  <si>
    <t>rating</t>
  </si>
  <si>
    <t>VINE</t>
  </si>
  <si>
    <t>QA</t>
  </si>
  <si>
    <t>LD</t>
  </si>
  <si>
    <t>BD</t>
  </si>
  <si>
    <t>站外</t>
  </si>
  <si>
    <t>CPC</t>
  </si>
  <si>
    <t>Coupon</t>
  </si>
  <si>
    <t>营销费</t>
  </si>
  <si>
    <t>视频拍摄费用</t>
  </si>
  <si>
    <t>测评费用</t>
  </si>
  <si>
    <r>
      <rPr>
        <sz val="8"/>
        <color theme="1"/>
        <rFont val="Arial"/>
        <charset val="134"/>
      </rPr>
      <t>VINE</t>
    </r>
    <r>
      <rPr>
        <sz val="8"/>
        <color theme="1"/>
        <rFont val="宋体"/>
        <charset val="134"/>
      </rPr>
      <t>费用</t>
    </r>
  </si>
  <si>
    <r>
      <rPr>
        <sz val="8"/>
        <color theme="1"/>
        <rFont val="Arial"/>
        <charset val="134"/>
      </rPr>
      <t>QA</t>
    </r>
    <r>
      <rPr>
        <sz val="8"/>
        <color theme="1"/>
        <rFont val="宋体"/>
        <charset val="134"/>
      </rPr>
      <t>费用</t>
    </r>
  </si>
  <si>
    <t>秒杀费用</t>
  </si>
  <si>
    <t>站外费</t>
  </si>
  <si>
    <r>
      <rPr>
        <sz val="8"/>
        <color theme="1"/>
        <rFont val="Arial"/>
        <charset val="134"/>
      </rPr>
      <t>CPC</t>
    </r>
    <r>
      <rPr>
        <sz val="8"/>
        <color theme="1"/>
        <rFont val="微软雅黑"/>
        <charset val="134"/>
      </rPr>
      <t>费用</t>
    </r>
  </si>
  <si>
    <t>Coupon折扣额</t>
  </si>
  <si>
    <t>营销费占比</t>
  </si>
  <si>
    <t>Coupon折扣占比</t>
  </si>
  <si>
    <t>SKU</t>
  </si>
  <si>
    <t>FNSKU</t>
  </si>
  <si>
    <t>周期及店铺信息</t>
  </si>
  <si>
    <r>
      <rPr>
        <b/>
        <sz val="11"/>
        <color theme="1"/>
        <rFont val="Arial"/>
        <charset val="134"/>
      </rPr>
      <t>lisitng</t>
    </r>
    <r>
      <rPr>
        <b/>
        <sz val="11"/>
        <color theme="1"/>
        <rFont val="宋体"/>
        <charset val="134"/>
      </rPr>
      <t>数据</t>
    </r>
  </si>
  <si>
    <t>广告数据</t>
  </si>
  <si>
    <t>关键词数据</t>
  </si>
  <si>
    <t>库存数据</t>
  </si>
  <si>
    <t>销售价格</t>
  </si>
  <si>
    <t>日单量</t>
  </si>
  <si>
    <t>销售额</t>
  </si>
  <si>
    <t>大类排名</t>
  </si>
  <si>
    <t>小类排名</t>
  </si>
  <si>
    <t>自然出单量</t>
  </si>
  <si>
    <t>自然排名</t>
  </si>
  <si>
    <t>评分</t>
  </si>
  <si>
    <t>放单数量</t>
  </si>
  <si>
    <r>
      <rPr>
        <b/>
        <sz val="11"/>
        <color theme="1"/>
        <rFont val="Arial"/>
        <charset val="134"/>
      </rPr>
      <t>review/QA</t>
    </r>
    <r>
      <rPr>
        <b/>
        <sz val="11"/>
        <color theme="1"/>
        <rFont val="宋体"/>
        <charset val="134"/>
      </rPr>
      <t>总数</t>
    </r>
  </si>
  <si>
    <r>
      <rPr>
        <b/>
        <sz val="11"/>
        <color theme="1"/>
        <rFont val="Arial"/>
        <charset val="134"/>
      </rPr>
      <t>5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</si>
  <si>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4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</si>
  <si>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3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</si>
  <si>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2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</si>
  <si>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1</t>
    </r>
    <r>
      <rPr>
        <b/>
        <sz val="11"/>
        <color theme="1"/>
        <rFont val="宋体"/>
        <charset val="134"/>
      </rPr>
      <t>星</t>
    </r>
  </si>
  <si>
    <r>
      <rPr>
        <b/>
        <sz val="11"/>
        <color theme="1"/>
        <rFont val="Arial"/>
        <charset val="134"/>
      </rPr>
      <t>review</t>
    </r>
    <r>
      <rPr>
        <b/>
        <sz val="11"/>
        <color theme="1"/>
        <rFont val="宋体"/>
        <charset val="134"/>
      </rPr>
      <t>数量</t>
    </r>
  </si>
  <si>
    <r>
      <rPr>
        <b/>
        <sz val="11"/>
        <color theme="1"/>
        <rFont val="Arial"/>
        <charset val="134"/>
      </rPr>
      <t>Rating</t>
    </r>
    <r>
      <rPr>
        <b/>
        <sz val="11"/>
        <color theme="1"/>
        <rFont val="宋体"/>
        <charset val="134"/>
      </rPr>
      <t>数量</t>
    </r>
  </si>
  <si>
    <t>占比</t>
  </si>
  <si>
    <r>
      <rPr>
        <b/>
        <sz val="11"/>
        <color theme="1"/>
        <rFont val="宋体"/>
        <charset val="134"/>
      </rPr>
      <t>今日</t>
    </r>
    <r>
      <rPr>
        <b/>
        <sz val="11"/>
        <color theme="1"/>
        <rFont val="Arial"/>
        <charset val="134"/>
      </rPr>
      <t>4</t>
    </r>
    <r>
      <rPr>
        <b/>
        <sz val="11"/>
        <color theme="1"/>
        <rFont val="宋体"/>
        <charset val="134"/>
      </rPr>
      <t>星</t>
    </r>
    <r>
      <rPr>
        <b/>
        <sz val="11"/>
        <color theme="1"/>
        <rFont val="Arial"/>
        <charset val="134"/>
      </rPr>
      <t>%</t>
    </r>
  </si>
  <si>
    <t>广告预算</t>
  </si>
  <si>
    <t>广告出单</t>
  </si>
  <si>
    <t>广告排名</t>
  </si>
  <si>
    <t>曝光量</t>
  </si>
  <si>
    <t>点击量</t>
  </si>
  <si>
    <t>点击率</t>
  </si>
  <si>
    <t>订单转化率</t>
  </si>
  <si>
    <t>ACoS</t>
  </si>
  <si>
    <t>点击费用</t>
  </si>
  <si>
    <t>广告花费</t>
  </si>
  <si>
    <t>推广费用</t>
  </si>
  <si>
    <t>推广费用占比</t>
  </si>
  <si>
    <r>
      <rPr>
        <b/>
        <sz val="11"/>
        <color theme="1"/>
        <rFont val="宋体"/>
        <charset val="134"/>
      </rPr>
      <t>关键词</t>
    </r>
    <r>
      <rPr>
        <b/>
        <sz val="11"/>
        <color theme="1"/>
        <rFont val="Arial"/>
        <charset val="134"/>
      </rPr>
      <t>1</t>
    </r>
  </si>
  <si>
    <t>排名</t>
  </si>
  <si>
    <r>
      <rPr>
        <b/>
        <sz val="11"/>
        <color theme="1"/>
        <rFont val="宋体"/>
        <charset val="134"/>
      </rPr>
      <t>关键词</t>
    </r>
    <r>
      <rPr>
        <b/>
        <sz val="11"/>
        <color theme="1"/>
        <rFont val="Arial"/>
        <charset val="134"/>
      </rPr>
      <t>2</t>
    </r>
  </si>
  <si>
    <r>
      <rPr>
        <b/>
        <sz val="11"/>
        <color theme="1"/>
        <rFont val="宋体"/>
        <charset val="134"/>
      </rPr>
      <t>关键词</t>
    </r>
    <r>
      <rPr>
        <b/>
        <sz val="11"/>
        <color theme="1"/>
        <rFont val="Arial"/>
        <charset val="134"/>
      </rPr>
      <t>3</t>
    </r>
  </si>
  <si>
    <r>
      <rPr>
        <b/>
        <sz val="11"/>
        <color theme="1"/>
        <rFont val="Arial"/>
        <charset val="134"/>
      </rPr>
      <t>FBA</t>
    </r>
    <r>
      <rPr>
        <b/>
        <sz val="11"/>
        <color theme="1"/>
        <rFont val="宋体"/>
        <charset val="134"/>
      </rPr>
      <t>库存</t>
    </r>
  </si>
  <si>
    <t>在途库存</t>
  </si>
  <si>
    <t>仓库库存</t>
  </si>
  <si>
    <t>催评数</t>
  </si>
  <si>
    <t>买家之声反馈</t>
  </si>
  <si>
    <t>优化操作</t>
  </si>
  <si>
    <t>店铺信息</t>
  </si>
  <si>
    <t>产品信息</t>
  </si>
  <si>
    <t>周计划</t>
  </si>
  <si>
    <t>实际反馈</t>
  </si>
  <si>
    <t>库存</t>
  </si>
  <si>
    <t>本周计划运营思路及动作</t>
  </si>
  <si>
    <t>销售表现</t>
  </si>
  <si>
    <t>推广成本</t>
  </si>
  <si>
    <t>广告表现</t>
  </si>
  <si>
    <t>周期</t>
  </si>
  <si>
    <t>秒杀活动备注</t>
  </si>
  <si>
    <t>订单数</t>
  </si>
  <si>
    <t>计划花费
(广告+优惠券+刷单+秒杀）</t>
  </si>
  <si>
    <t>刷单费用</t>
  </si>
  <si>
    <r>
      <rPr>
        <b/>
        <sz val="12"/>
        <color theme="1"/>
        <rFont val="微软雅黑"/>
        <charset val="134"/>
      </rPr>
      <t>折扣</t>
    </r>
    <r>
      <rPr>
        <b/>
        <sz val="12"/>
        <color theme="1"/>
        <rFont val="Arial"/>
        <charset val="134"/>
      </rPr>
      <t xml:space="preserve">
</t>
    </r>
    <r>
      <rPr>
        <b/>
        <sz val="12"/>
        <color theme="1"/>
        <rFont val="微软雅黑"/>
        <charset val="134"/>
      </rPr>
      <t>（优惠券</t>
    </r>
    <r>
      <rPr>
        <b/>
        <sz val="12"/>
        <color theme="1"/>
        <rFont val="Arial"/>
        <charset val="134"/>
      </rPr>
      <t>+</t>
    </r>
    <r>
      <rPr>
        <b/>
        <sz val="12"/>
        <color theme="1"/>
        <rFont val="微软雅黑"/>
        <charset val="134"/>
      </rPr>
      <t>秒杀费用）</t>
    </r>
  </si>
  <si>
    <t>站外费用</t>
  </si>
  <si>
    <t>计划毛利率</t>
  </si>
  <si>
    <r>
      <rPr>
        <b/>
        <sz val="12"/>
        <color rgb="FF000000"/>
        <rFont val="Arial"/>
        <charset val="134"/>
      </rPr>
      <t xml:space="preserve">review
</t>
    </r>
    <r>
      <rPr>
        <b/>
        <sz val="12"/>
        <color rgb="FF000000"/>
        <rFont val="微软雅黑"/>
        <charset val="134"/>
      </rPr>
      <t>数量</t>
    </r>
  </si>
  <si>
    <r>
      <rPr>
        <b/>
        <sz val="12"/>
        <color rgb="FF000000"/>
        <rFont val="Arial"/>
        <charset val="134"/>
      </rPr>
      <t xml:space="preserve">rating
</t>
    </r>
    <r>
      <rPr>
        <b/>
        <sz val="12"/>
        <color rgb="FF000000"/>
        <rFont val="微软雅黑"/>
        <charset val="134"/>
      </rPr>
      <t>数量</t>
    </r>
  </si>
  <si>
    <r>
      <rPr>
        <b/>
        <sz val="12"/>
        <color rgb="FF000000"/>
        <rFont val="微软雅黑"/>
        <charset val="134"/>
      </rPr>
      <t>免评</t>
    </r>
    <r>
      <rPr>
        <b/>
        <sz val="12"/>
        <color rgb="FF000000"/>
        <rFont val="Arial"/>
        <charset val="134"/>
      </rPr>
      <t xml:space="preserve">
</t>
    </r>
    <r>
      <rPr>
        <b/>
        <sz val="12"/>
        <color rgb="FF000000"/>
        <rFont val="微软雅黑"/>
        <charset val="134"/>
      </rPr>
      <t>数量</t>
    </r>
  </si>
  <si>
    <t>刷单占比</t>
  </si>
  <si>
    <r>
      <rPr>
        <b/>
        <sz val="12"/>
        <color rgb="FF000000"/>
        <rFont val="Arial"/>
        <charset val="134"/>
      </rPr>
      <t xml:space="preserve">QA
</t>
    </r>
    <r>
      <rPr>
        <b/>
        <sz val="12"/>
        <color rgb="FF000000"/>
        <rFont val="微软雅黑"/>
        <charset val="134"/>
      </rPr>
      <t>数量</t>
    </r>
  </si>
  <si>
    <t>广告销售额</t>
  </si>
  <si>
    <t>广告订单数</t>
  </si>
  <si>
    <t>广告费占比</t>
  </si>
  <si>
    <t>广告曝光率</t>
  </si>
  <si>
    <t>广告点击率</t>
  </si>
  <si>
    <t>广告转化率</t>
  </si>
  <si>
    <t>ACOS</t>
  </si>
  <si>
    <t>ACoAS</t>
  </si>
  <si>
    <t>实际花费
(广告+优惠券+刷单+秒杀）</t>
  </si>
  <si>
    <t>实际毛利率</t>
  </si>
  <si>
    <t>本周实际退货率</t>
  </si>
  <si>
    <t>实际放单数量</t>
  </si>
  <si>
    <t>可售库存</t>
  </si>
  <si>
    <r>
      <rPr>
        <b/>
        <sz val="12"/>
        <color theme="1"/>
        <rFont val="微软雅黑"/>
        <charset val="134"/>
      </rPr>
      <t>备货</t>
    </r>
    <r>
      <rPr>
        <b/>
        <sz val="12"/>
        <color theme="1"/>
        <rFont val="Arial"/>
        <charset val="134"/>
      </rPr>
      <t xml:space="preserve">
(</t>
    </r>
    <r>
      <rPr>
        <b/>
        <sz val="12"/>
        <color theme="1"/>
        <rFont val="微软雅黑"/>
        <charset val="134"/>
      </rPr>
      <t>未交货数量）</t>
    </r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</si>
</sst>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0_ "/>
    <numFmt numFmtId="179" formatCode="0.0%"/>
  </numFmts>
  <fonts count="65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b/>
      <sz val="12"/>
      <color theme="1"/>
      <name val="Arial"/>
      <charset val="134"/>
    </font>
    <font>
      <sz val="12"/>
      <color theme="1"/>
      <name val="Arial"/>
      <charset val="134"/>
    </font>
    <font>
      <b/>
      <sz val="14"/>
      <color theme="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000000"/>
      <name val="Arial"/>
      <charset val="134"/>
    </font>
    <font>
      <b/>
      <sz val="14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12"/>
      <color theme="0"/>
      <name val="宋体"/>
      <charset val="134"/>
      <scheme val="minor"/>
    </font>
    <font>
      <b/>
      <sz val="11"/>
      <color theme="1"/>
      <name val="Arial"/>
      <charset val="134"/>
    </font>
    <font>
      <b/>
      <sz val="11"/>
      <color theme="0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11"/>
      <color rgb="FFFF0000"/>
      <name val="Arial"/>
      <charset val="134"/>
    </font>
    <font>
      <b/>
      <sz val="11"/>
      <color rgb="FF000000"/>
      <name val="Arial"/>
      <charset val="134"/>
    </font>
    <font>
      <sz val="8"/>
      <color theme="1"/>
      <name val="宋体"/>
      <charset val="134"/>
      <scheme val="minor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b/>
      <sz val="14"/>
      <color theme="1"/>
      <name val="宋体"/>
      <charset val="134"/>
      <scheme val="minor"/>
    </font>
    <font>
      <b/>
      <sz val="8"/>
      <color theme="1"/>
      <name val="宋体"/>
      <charset val="134"/>
    </font>
    <font>
      <sz val="8"/>
      <color theme="1"/>
      <name val="宋体"/>
      <charset val="134"/>
    </font>
    <font>
      <sz val="6"/>
      <color theme="1"/>
      <name val="宋体"/>
      <charset val="134"/>
    </font>
    <font>
      <sz val="8"/>
      <color theme="1"/>
      <name val="微软雅黑"/>
      <charset val="134"/>
    </font>
    <font>
      <b/>
      <sz val="8"/>
      <color theme="1"/>
      <name val="微软雅黑"/>
      <charset val="134"/>
    </font>
    <font>
      <sz val="6"/>
      <color theme="1"/>
      <name val="Arial"/>
      <charset val="134"/>
    </font>
    <font>
      <sz val="6"/>
      <color theme="1"/>
      <name val="微软雅黑"/>
      <charset val="134"/>
    </font>
    <font>
      <sz val="12"/>
      <name val="宋体"/>
      <charset val="134"/>
    </font>
    <font>
      <b/>
      <sz val="26"/>
      <name val="宋体"/>
      <charset val="134"/>
      <scheme val="minor"/>
    </font>
    <font>
      <b/>
      <sz val="12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宋体"/>
      <charset val="134"/>
      <scheme val="minor"/>
    </font>
    <font>
      <sz val="10"/>
      <name val="宋体"/>
      <charset val="134"/>
    </font>
    <font>
      <b/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8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name val="宋体"/>
      <charset val="134"/>
      <scheme val="minor"/>
    </font>
    <font>
      <b/>
      <sz val="10"/>
      <name val="宋体"/>
      <charset val="134"/>
      <scheme val="minor"/>
    </font>
    <font>
      <b/>
      <sz val="12"/>
      <color rgb="FFFF0000"/>
      <name val="黑体"/>
      <charset val="134"/>
    </font>
    <font>
      <sz val="12"/>
      <name val="黑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AF49F"/>
        <bgColor indexed="64"/>
      </patternFill>
    </fill>
    <fill>
      <patternFill patternType="solid">
        <fgColor rgb="FFFAF49F"/>
        <bgColor theme="8" tint="0.799951170384838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51170384838"/>
        <bgColor theme="8" tint="0.799951170384838"/>
      </patternFill>
    </fill>
    <fill>
      <patternFill patternType="solid">
        <fgColor rgb="FFAAB0FB"/>
        <bgColor indexed="64"/>
      </patternFill>
    </fill>
    <fill>
      <patternFill patternType="solid">
        <fgColor rgb="FFF7DEFF"/>
        <bgColor indexed="64"/>
      </patternFill>
    </fill>
    <fill>
      <patternFill patternType="solid">
        <fgColor rgb="FFF7DEFF"/>
        <bgColor theme="8" tint="0.799951170384838"/>
      </patternFill>
    </fill>
    <fill>
      <patternFill patternType="solid">
        <fgColor theme="7" tint="0.599993896298105"/>
        <bgColor theme="8" tint="0.799951170384838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EBEEBF"/>
        <bgColor indexed="64"/>
      </patternFill>
    </fill>
    <fill>
      <patternFill patternType="solid">
        <fgColor rgb="FFFFC8B8"/>
        <bgColor indexed="64"/>
      </patternFill>
    </fill>
    <fill>
      <patternFill patternType="solid">
        <fgColor theme="0"/>
        <bgColor theme="5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FF0000"/>
      </left>
      <right/>
      <top/>
      <bottom/>
      <diagonal/>
    </border>
    <border>
      <left/>
      <right/>
      <top/>
      <bottom style="thin">
        <color rgb="FFFF000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thin">
        <color rgb="FFFF0000"/>
      </bottom>
      <diagonal/>
    </border>
    <border>
      <left style="medium">
        <color rgb="FF0070C0"/>
      </left>
      <right style="thin">
        <color rgb="FFFF000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92D050"/>
      </left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medium">
        <color rgb="FF92D050"/>
      </left>
      <right/>
      <top style="medium">
        <color rgb="FF92D050"/>
      </top>
      <bottom style="medium">
        <color rgb="FF92D050"/>
      </bottom>
      <diagonal/>
    </border>
    <border>
      <left/>
      <right/>
      <top style="medium">
        <color rgb="FF92D050"/>
      </top>
      <bottom style="medium">
        <color rgb="FF92D050"/>
      </bottom>
      <diagonal/>
    </border>
    <border>
      <left/>
      <right style="medium">
        <color rgb="FF92D050"/>
      </right>
      <top style="medium">
        <color rgb="FF92D050"/>
      </top>
      <bottom style="medium">
        <color rgb="FF92D05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5" fillId="23" borderId="2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27" borderId="29" applyNumberFormat="0" applyFont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30" applyNumberFormat="0" applyFill="0" applyAlignment="0" applyProtection="0">
      <alignment vertical="center"/>
    </xf>
    <xf numFmtId="0" fontId="55" fillId="0" borderId="30" applyNumberFormat="0" applyFill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0" borderId="31" applyNumberFormat="0" applyFill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56" fillId="31" borderId="32" applyNumberFormat="0" applyAlignment="0" applyProtection="0">
      <alignment vertical="center"/>
    </xf>
    <xf numFmtId="0" fontId="57" fillId="31" borderId="28" applyNumberFormat="0" applyAlignment="0" applyProtection="0">
      <alignment vertical="center"/>
    </xf>
    <xf numFmtId="0" fontId="58" fillId="32" borderId="33" applyNumberFormat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59" fillId="0" borderId="34" applyNumberFormat="0" applyFill="0" applyAlignment="0" applyProtection="0">
      <alignment vertical="center"/>
    </xf>
    <xf numFmtId="0" fontId="60" fillId="0" borderId="35" applyNumberFormat="0" applyFill="0" applyAlignment="0" applyProtection="0">
      <alignment vertical="center"/>
    </xf>
    <xf numFmtId="0" fontId="61" fillId="34" borderId="0" applyNumberFormat="0" applyBorder="0" applyAlignment="0" applyProtection="0">
      <alignment vertical="center"/>
    </xf>
    <xf numFmtId="0" fontId="62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7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7" fillId="45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4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>
      <alignment vertical="center"/>
    </xf>
  </cellStyleXfs>
  <cellXfs count="22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horizontal="center" vertical="center"/>
    </xf>
    <xf numFmtId="0" fontId="14" fillId="11" borderId="4" xfId="0" applyFont="1" applyFill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vertical="center"/>
    </xf>
    <xf numFmtId="0" fontId="14" fillId="1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0" fontId="12" fillId="15" borderId="1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14" fillId="11" borderId="5" xfId="0" applyFont="1" applyFill="1" applyBorder="1" applyAlignment="1">
      <alignment horizontal="center" vertical="center"/>
    </xf>
    <xf numFmtId="0" fontId="14" fillId="11" borderId="6" xfId="0" applyFont="1" applyFill="1" applyBorder="1" applyAlignment="1">
      <alignment horizontal="center" vertical="center"/>
    </xf>
    <xf numFmtId="0" fontId="14" fillId="11" borderId="7" xfId="0" applyFont="1" applyFill="1" applyBorder="1" applyAlignment="1">
      <alignment horizontal="center" vertical="center"/>
    </xf>
    <xf numFmtId="0" fontId="14" fillId="11" borderId="8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14" fillId="11" borderId="10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14" fillId="16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/>
    </xf>
    <xf numFmtId="0" fontId="18" fillId="7" borderId="0" xfId="0" applyFont="1" applyFill="1" applyBorder="1">
      <alignment vertical="center"/>
    </xf>
    <xf numFmtId="0" fontId="19" fillId="7" borderId="0" xfId="0" applyFont="1" applyFill="1" applyBorder="1" applyAlignment="1">
      <alignment horizontal="center" vertical="center"/>
    </xf>
    <xf numFmtId="0" fontId="20" fillId="7" borderId="0" xfId="0" applyFont="1" applyFill="1" applyBorder="1" applyAlignment="1">
      <alignment horizontal="center" vertical="center"/>
    </xf>
    <xf numFmtId="0" fontId="18" fillId="7" borderId="0" xfId="0" applyFont="1" applyFill="1" applyBorder="1" applyAlignment="1">
      <alignment horizontal="center" vertical="center" wrapText="1"/>
    </xf>
    <xf numFmtId="0" fontId="21" fillId="7" borderId="0" xfId="0" applyFont="1" applyFill="1" applyBorder="1" applyAlignment="1">
      <alignment horizontal="center" vertical="center" wrapText="1"/>
    </xf>
    <xf numFmtId="0" fontId="22" fillId="18" borderId="0" xfId="0" applyFont="1" applyFill="1" applyBorder="1" applyAlignment="1">
      <alignment horizontal="center" vertical="center" wrapText="1"/>
    </xf>
    <xf numFmtId="0" fontId="22" fillId="18" borderId="0" xfId="0" applyFont="1" applyFill="1" applyBorder="1" applyAlignment="1">
      <alignment horizontal="center" vertical="center"/>
    </xf>
    <xf numFmtId="0" fontId="22" fillId="18" borderId="11" xfId="0" applyFont="1" applyFill="1" applyBorder="1" applyAlignment="1">
      <alignment horizontal="center" vertical="center"/>
    </xf>
    <xf numFmtId="0" fontId="22" fillId="18" borderId="12" xfId="0" applyFont="1" applyFill="1" applyBorder="1" applyAlignment="1">
      <alignment horizontal="center" vertical="center"/>
    </xf>
    <xf numFmtId="0" fontId="22" fillId="7" borderId="13" xfId="0" applyFont="1" applyFill="1" applyBorder="1" applyAlignment="1">
      <alignment horizontal="center" vertical="center"/>
    </xf>
    <xf numFmtId="0" fontId="19" fillId="7" borderId="13" xfId="0" applyFont="1" applyFill="1" applyBorder="1" applyAlignment="1">
      <alignment horizontal="center" vertical="center"/>
    </xf>
    <xf numFmtId="0" fontId="22" fillId="18" borderId="13" xfId="0" applyFont="1" applyFill="1" applyBorder="1" applyAlignment="1">
      <alignment horizontal="center" vertical="center"/>
    </xf>
    <xf numFmtId="0" fontId="22" fillId="18" borderId="14" xfId="0" applyFont="1" applyFill="1" applyBorder="1" applyAlignment="1">
      <alignment horizontal="center" vertical="center"/>
    </xf>
    <xf numFmtId="0" fontId="23" fillId="18" borderId="13" xfId="0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18" borderId="13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/>
    </xf>
    <xf numFmtId="0" fontId="23" fillId="18" borderId="15" xfId="0" applyFont="1" applyFill="1" applyBorder="1" applyAlignment="1">
      <alignment horizontal="center" vertical="center"/>
    </xf>
    <xf numFmtId="10" fontId="23" fillId="18" borderId="13" xfId="0" applyNumberFormat="1" applyFont="1" applyFill="1" applyBorder="1" applyAlignment="1">
      <alignment horizontal="center" vertical="center"/>
    </xf>
    <xf numFmtId="10" fontId="23" fillId="18" borderId="14" xfId="0" applyNumberFormat="1" applyFont="1" applyFill="1" applyBorder="1" applyAlignment="1">
      <alignment horizontal="center" vertical="center"/>
    </xf>
    <xf numFmtId="9" fontId="23" fillId="18" borderId="13" xfId="0" applyNumberFormat="1" applyFont="1" applyFill="1" applyBorder="1" applyAlignment="1">
      <alignment horizontal="center" vertical="center"/>
    </xf>
    <xf numFmtId="0" fontId="24" fillId="18" borderId="13" xfId="0" applyFont="1" applyFill="1" applyBorder="1" applyAlignment="1">
      <alignment horizontal="center" vertical="center" wrapText="1"/>
    </xf>
    <xf numFmtId="0" fontId="24" fillId="18" borderId="13" xfId="0" applyFont="1" applyFill="1" applyBorder="1" applyAlignment="1">
      <alignment horizontal="center" vertical="center"/>
    </xf>
    <xf numFmtId="0" fontId="23" fillId="18" borderId="16" xfId="0" applyFont="1" applyFill="1" applyBorder="1" applyAlignment="1">
      <alignment horizontal="center" vertical="center"/>
    </xf>
    <xf numFmtId="0" fontId="23" fillId="18" borderId="17" xfId="0" applyFont="1" applyFill="1" applyBorder="1" applyAlignment="1">
      <alignment horizontal="center" vertical="center"/>
    </xf>
    <xf numFmtId="0" fontId="18" fillId="7" borderId="13" xfId="0" applyFont="1" applyFill="1" applyBorder="1" applyAlignment="1">
      <alignment horizontal="center" vertical="center"/>
    </xf>
    <xf numFmtId="0" fontId="18" fillId="7" borderId="13" xfId="0" applyFont="1" applyFill="1" applyBorder="1">
      <alignment vertical="center"/>
    </xf>
    <xf numFmtId="0" fontId="18" fillId="7" borderId="13" xfId="0" applyFont="1" applyFill="1" applyBorder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  <xf numFmtId="0" fontId="25" fillId="18" borderId="13" xfId="0" applyFont="1" applyFill="1" applyBorder="1" applyAlignment="1">
      <alignment horizontal="center" vertical="center" wrapText="1"/>
    </xf>
    <xf numFmtId="176" fontId="18" fillId="7" borderId="13" xfId="0" applyNumberFormat="1" applyFont="1" applyFill="1" applyBorder="1">
      <alignment vertical="center"/>
    </xf>
    <xf numFmtId="0" fontId="20" fillId="7" borderId="13" xfId="0" applyFont="1" applyFill="1" applyBorder="1" applyAlignment="1">
      <alignment horizontal="center" vertical="center" wrapText="1"/>
    </xf>
    <xf numFmtId="0" fontId="20" fillId="18" borderId="13" xfId="0" applyFont="1" applyFill="1" applyBorder="1" applyAlignment="1">
      <alignment horizontal="center" vertical="center" wrapText="1"/>
    </xf>
    <xf numFmtId="10" fontId="18" fillId="7" borderId="13" xfId="0" applyNumberFormat="1" applyFont="1" applyFill="1" applyBorder="1">
      <alignment vertical="center"/>
    </xf>
    <xf numFmtId="0" fontId="18" fillId="7" borderId="13" xfId="0" applyNumberFormat="1" applyFont="1" applyFill="1" applyBorder="1" applyAlignment="1" applyProtection="1">
      <alignment vertical="center"/>
    </xf>
    <xf numFmtId="177" fontId="26" fillId="18" borderId="0" xfId="0" applyNumberFormat="1" applyFont="1" applyFill="1" applyBorder="1" applyAlignment="1">
      <alignment horizontal="center" vertical="center" wrapText="1"/>
    </xf>
    <xf numFmtId="0" fontId="26" fillId="18" borderId="0" xfId="0" applyFont="1" applyFill="1" applyBorder="1" applyAlignment="1">
      <alignment horizontal="center" vertical="center" wrapText="1"/>
    </xf>
    <xf numFmtId="0" fontId="19" fillId="18" borderId="0" xfId="0" applyFont="1" applyFill="1" applyBorder="1" applyAlignment="1">
      <alignment horizontal="center" vertical="center" wrapText="1"/>
    </xf>
    <xf numFmtId="177" fontId="25" fillId="18" borderId="13" xfId="0" applyNumberFormat="1" applyFont="1" applyFill="1" applyBorder="1" applyAlignment="1">
      <alignment horizontal="center" vertical="center" wrapText="1"/>
    </xf>
    <xf numFmtId="178" fontId="20" fillId="18" borderId="13" xfId="0" applyNumberFormat="1" applyFont="1" applyFill="1" applyBorder="1" applyAlignment="1">
      <alignment horizontal="center" vertical="center" wrapText="1"/>
    </xf>
    <xf numFmtId="178" fontId="27" fillId="18" borderId="13" xfId="0" applyNumberFormat="1" applyFont="1" applyFill="1" applyBorder="1" applyAlignment="1">
      <alignment horizontal="center" vertical="center" wrapText="1"/>
    </xf>
    <xf numFmtId="0" fontId="27" fillId="7" borderId="0" xfId="0" applyFont="1" applyFill="1" applyBorder="1" applyAlignment="1">
      <alignment horizontal="center" vertical="center"/>
    </xf>
    <xf numFmtId="0" fontId="28" fillId="18" borderId="13" xfId="0" applyFont="1" applyFill="1" applyBorder="1" applyAlignment="1">
      <alignment horizontal="center" vertical="center" wrapText="1"/>
    </xf>
    <xf numFmtId="0" fontId="27" fillId="18" borderId="13" xfId="0" applyFont="1" applyFill="1" applyBorder="1" applyAlignment="1">
      <alignment horizontal="center" vertical="center" wrapText="1"/>
    </xf>
    <xf numFmtId="0" fontId="27" fillId="7" borderId="13" xfId="0" applyFont="1" applyFill="1" applyBorder="1" applyAlignment="1">
      <alignment horizontal="center" vertical="center" wrapText="1"/>
    </xf>
    <xf numFmtId="0" fontId="20" fillId="18" borderId="13" xfId="0" applyNumberFormat="1" applyFont="1" applyFill="1" applyBorder="1" applyAlignment="1">
      <alignment horizontal="center" vertical="center" wrapText="1"/>
    </xf>
    <xf numFmtId="176" fontId="20" fillId="18" borderId="13" xfId="0" applyNumberFormat="1" applyFont="1" applyFill="1" applyBorder="1" applyAlignment="1">
      <alignment horizontal="center" vertical="center" wrapText="1"/>
    </xf>
    <xf numFmtId="178" fontId="22" fillId="18" borderId="0" xfId="0" applyNumberFormat="1" applyFont="1" applyFill="1" applyBorder="1" applyAlignment="1">
      <alignment horizontal="center" vertical="center" wrapText="1"/>
    </xf>
    <xf numFmtId="177" fontId="22" fillId="18" borderId="0" xfId="0" applyNumberFormat="1" applyFont="1" applyFill="1" applyBorder="1" applyAlignment="1">
      <alignment horizontal="center" vertical="center" wrapText="1"/>
    </xf>
    <xf numFmtId="178" fontId="26" fillId="18" borderId="0" xfId="0" applyNumberFormat="1" applyFont="1" applyFill="1" applyBorder="1" applyAlignment="1">
      <alignment horizontal="center" vertical="center" wrapText="1"/>
    </xf>
    <xf numFmtId="0" fontId="22" fillId="7" borderId="0" xfId="0" applyFont="1" applyFill="1" applyBorder="1" applyAlignment="1">
      <alignment horizontal="center" vertical="center" wrapText="1"/>
    </xf>
    <xf numFmtId="178" fontId="23" fillId="18" borderId="13" xfId="0" applyNumberFormat="1" applyFont="1" applyFill="1" applyBorder="1" applyAlignment="1">
      <alignment horizontal="center" vertical="center" wrapText="1"/>
    </xf>
    <xf numFmtId="177" fontId="23" fillId="18" borderId="13" xfId="0" applyNumberFormat="1" applyFont="1" applyFill="1" applyBorder="1" applyAlignment="1">
      <alignment horizontal="center" vertical="center" wrapText="1"/>
    </xf>
    <xf numFmtId="178" fontId="25" fillId="18" borderId="13" xfId="0" applyNumberFormat="1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20" fillId="18" borderId="0" xfId="0" applyFont="1" applyFill="1" applyBorder="1" applyAlignment="1">
      <alignment horizontal="center" vertical="center" wrapText="1"/>
    </xf>
    <xf numFmtId="0" fontId="23" fillId="18" borderId="0" xfId="0" applyFont="1" applyFill="1" applyBorder="1" applyAlignment="1">
      <alignment horizontal="center" vertical="center" wrapText="1"/>
    </xf>
    <xf numFmtId="0" fontId="20" fillId="7" borderId="0" xfId="0" applyFont="1" applyFill="1" applyBorder="1" applyAlignment="1">
      <alignment horizontal="center" vertical="center" wrapText="1"/>
    </xf>
    <xf numFmtId="0" fontId="26" fillId="7" borderId="0" xfId="0" applyFont="1" applyFill="1" applyBorder="1" applyAlignment="1">
      <alignment horizontal="center" vertical="center" wrapText="1"/>
    </xf>
    <xf numFmtId="0" fontId="22" fillId="7" borderId="0" xfId="0" applyFont="1" applyFill="1" applyBorder="1" applyAlignment="1">
      <alignment horizontal="center" vertical="center"/>
    </xf>
    <xf numFmtId="0" fontId="23" fillId="7" borderId="0" xfId="0" applyFont="1" applyFill="1" applyBorder="1" applyAlignment="1">
      <alignment horizontal="center" vertical="center" wrapText="1"/>
    </xf>
    <xf numFmtId="0" fontId="25" fillId="7" borderId="0" xfId="0" applyFont="1" applyFill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center" vertical="center"/>
    </xf>
    <xf numFmtId="0" fontId="29" fillId="0" borderId="0" xfId="0" applyFont="1" applyFill="1" applyAlignment="1">
      <alignment vertical="center"/>
    </xf>
    <xf numFmtId="0" fontId="30" fillId="19" borderId="1" xfId="0" applyFont="1" applyFill="1" applyBorder="1" applyAlignment="1">
      <alignment horizontal="center" vertical="center" wrapText="1"/>
    </xf>
    <xf numFmtId="0" fontId="31" fillId="19" borderId="1" xfId="0" applyFont="1" applyFill="1" applyBorder="1" applyAlignment="1">
      <alignment horizontal="center" vertical="center" wrapText="1"/>
    </xf>
    <xf numFmtId="0" fontId="32" fillId="20" borderId="1" xfId="0" applyFont="1" applyFill="1" applyBorder="1" applyAlignment="1">
      <alignment horizontal="center" vertical="center" wrapText="1"/>
    </xf>
    <xf numFmtId="0" fontId="33" fillId="20" borderId="1" xfId="0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 wrapText="1"/>
    </xf>
    <xf numFmtId="0" fontId="29" fillId="0" borderId="4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 wrapText="1"/>
    </xf>
    <xf numFmtId="9" fontId="29" fillId="0" borderId="2" xfId="0" applyNumberFormat="1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29" fillId="0" borderId="2" xfId="0" applyFont="1" applyFill="1" applyBorder="1" applyAlignment="1">
      <alignment horizontal="center" vertical="center"/>
    </xf>
    <xf numFmtId="0" fontId="29" fillId="0" borderId="3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58" fontId="31" fillId="19" borderId="1" xfId="0" applyNumberFormat="1" applyFont="1" applyFill="1" applyBorder="1" applyAlignment="1">
      <alignment horizontal="center" vertical="center" wrapText="1"/>
    </xf>
    <xf numFmtId="0" fontId="29" fillId="20" borderId="1" xfId="0" applyFont="1" applyFill="1" applyBorder="1" applyAlignment="1">
      <alignment horizontal="center" vertical="center" wrapText="1"/>
    </xf>
    <xf numFmtId="0" fontId="33" fillId="20" borderId="1" xfId="0" applyFont="1" applyFill="1" applyBorder="1" applyAlignment="1">
      <alignment vertical="center" wrapText="1"/>
    </xf>
    <xf numFmtId="58" fontId="34" fillId="0" borderId="2" xfId="0" applyNumberFormat="1" applyFont="1" applyFill="1" applyBorder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58" fontId="34" fillId="0" borderId="1" xfId="0" applyNumberFormat="1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vertical="center"/>
    </xf>
    <xf numFmtId="0" fontId="36" fillId="0" borderId="0" xfId="0" applyFont="1">
      <alignment vertical="center"/>
    </xf>
    <xf numFmtId="0" fontId="37" fillId="0" borderId="0" xfId="0" applyFont="1">
      <alignment vertical="center"/>
    </xf>
    <xf numFmtId="0" fontId="36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 wrapText="1"/>
    </xf>
    <xf numFmtId="0" fontId="18" fillId="0" borderId="0" xfId="0" applyFont="1" applyFill="1">
      <alignment vertical="center"/>
    </xf>
    <xf numFmtId="0" fontId="18" fillId="0" borderId="0" xfId="0" applyFont="1">
      <alignment vertical="center"/>
    </xf>
    <xf numFmtId="0" fontId="38" fillId="20" borderId="0" xfId="0" applyFont="1" applyFill="1">
      <alignment vertical="center"/>
    </xf>
    <xf numFmtId="0" fontId="18" fillId="21" borderId="0" xfId="0" applyFont="1" applyFill="1">
      <alignment vertical="center"/>
    </xf>
    <xf numFmtId="41" fontId="18" fillId="0" borderId="0" xfId="0" applyNumberFormat="1" applyFont="1">
      <alignment vertical="center"/>
    </xf>
    <xf numFmtId="41" fontId="18" fillId="21" borderId="0" xfId="0" applyNumberFormat="1" applyFont="1" applyFill="1">
      <alignment vertical="center"/>
    </xf>
    <xf numFmtId="9" fontId="18" fillId="21" borderId="0" xfId="0" applyNumberFormat="1" applyFont="1" applyFill="1">
      <alignment vertical="center"/>
    </xf>
    <xf numFmtId="179" fontId="18" fillId="21" borderId="0" xfId="0" applyNumberFormat="1" applyFont="1" applyFill="1">
      <alignment vertical="center"/>
    </xf>
    <xf numFmtId="179" fontId="18" fillId="0" borderId="0" xfId="0" applyNumberFormat="1" applyFont="1">
      <alignment vertical="center"/>
    </xf>
    <xf numFmtId="43" fontId="18" fillId="21" borderId="0" xfId="0" applyNumberFormat="1" applyFont="1" applyFill="1">
      <alignment vertical="center"/>
    </xf>
    <xf numFmtId="43" fontId="18" fillId="0" borderId="0" xfId="0" applyNumberFormat="1" applyFont="1">
      <alignment vertical="center"/>
    </xf>
    <xf numFmtId="0" fontId="37" fillId="0" borderId="18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 wrapText="1"/>
    </xf>
    <xf numFmtId="0" fontId="39" fillId="0" borderId="20" xfId="0" applyFont="1" applyFill="1" applyBorder="1" applyAlignment="1">
      <alignment horizontal="center" vertical="center" wrapText="1"/>
    </xf>
    <xf numFmtId="0" fontId="39" fillId="0" borderId="21" xfId="0" applyFont="1" applyFill="1" applyBorder="1" applyAlignment="1">
      <alignment horizontal="center" vertical="center" wrapText="1"/>
    </xf>
    <xf numFmtId="0" fontId="39" fillId="0" borderId="22" xfId="0" applyFont="1" applyFill="1" applyBorder="1" applyAlignment="1">
      <alignment horizontal="center" vertical="center" wrapText="1"/>
    </xf>
    <xf numFmtId="0" fontId="18" fillId="0" borderId="23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/>
    </xf>
    <xf numFmtId="14" fontId="18" fillId="0" borderId="24" xfId="0" applyNumberFormat="1" applyFont="1" applyBorder="1" applyAlignment="1">
      <alignment horizontal="center" vertical="center"/>
    </xf>
    <xf numFmtId="0" fontId="18" fillId="0" borderId="24" xfId="0" applyFont="1" applyBorder="1">
      <alignment vertical="center"/>
    </xf>
    <xf numFmtId="0" fontId="39" fillId="0" borderId="25" xfId="0" applyFont="1" applyFill="1" applyBorder="1" applyAlignment="1">
      <alignment horizontal="center" vertical="center"/>
    </xf>
    <xf numFmtId="0" fontId="39" fillId="0" borderId="26" xfId="0" applyFont="1" applyFill="1" applyBorder="1" applyAlignment="1">
      <alignment horizontal="center" vertical="center"/>
    </xf>
    <xf numFmtId="0" fontId="39" fillId="0" borderId="27" xfId="0" applyFont="1" applyFill="1" applyBorder="1" applyAlignment="1">
      <alignment horizontal="center" vertical="center"/>
    </xf>
    <xf numFmtId="14" fontId="18" fillId="0" borderId="24" xfId="0" applyNumberFormat="1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24" xfId="0" applyFont="1" applyFill="1" applyBorder="1">
      <alignment vertical="center"/>
    </xf>
    <xf numFmtId="0" fontId="40" fillId="20" borderId="0" xfId="0" applyFont="1" applyFill="1">
      <alignment vertical="center"/>
    </xf>
    <xf numFmtId="0" fontId="36" fillId="21" borderId="0" xfId="0" applyFont="1" applyFill="1">
      <alignment vertical="center"/>
    </xf>
    <xf numFmtId="41" fontId="36" fillId="0" borderId="0" xfId="0" applyNumberFormat="1" applyFont="1">
      <alignment vertical="center"/>
    </xf>
    <xf numFmtId="41" fontId="36" fillId="21" borderId="0" xfId="0" applyNumberFormat="1" applyFont="1" applyFill="1">
      <alignment vertical="center"/>
    </xf>
    <xf numFmtId="0" fontId="41" fillId="20" borderId="18" xfId="0" applyFont="1" applyFill="1" applyBorder="1" applyAlignment="1">
      <alignment horizontal="center" vertical="center"/>
    </xf>
    <xf numFmtId="0" fontId="37" fillId="21" borderId="18" xfId="0" applyFont="1" applyFill="1" applyBorder="1" applyAlignment="1">
      <alignment horizontal="center" vertical="center"/>
    </xf>
    <xf numFmtId="0" fontId="40" fillId="20" borderId="19" xfId="0" applyFont="1" applyFill="1" applyBorder="1" applyAlignment="1">
      <alignment horizontal="center" vertical="center" wrapText="1"/>
    </xf>
    <xf numFmtId="0" fontId="36" fillId="21" borderId="19" xfId="0" applyFont="1" applyFill="1" applyBorder="1" applyAlignment="1">
      <alignment horizontal="center" vertical="center" wrapText="1"/>
    </xf>
    <xf numFmtId="41" fontId="36" fillId="0" borderId="19" xfId="0" applyNumberFormat="1" applyFont="1" applyBorder="1" applyAlignment="1">
      <alignment horizontal="center" vertical="center" wrapText="1"/>
    </xf>
    <xf numFmtId="41" fontId="36" fillId="21" borderId="19" xfId="0" applyNumberFormat="1" applyFont="1" applyFill="1" applyBorder="1" applyAlignment="1">
      <alignment horizontal="center" vertical="center" wrapText="1"/>
    </xf>
    <xf numFmtId="0" fontId="38" fillId="20" borderId="23" xfId="0" applyFont="1" applyFill="1" applyBorder="1" applyAlignment="1">
      <alignment horizontal="center" vertical="center" wrapText="1"/>
    </xf>
    <xf numFmtId="0" fontId="18" fillId="21" borderId="23" xfId="0" applyFont="1" applyFill="1" applyBorder="1" applyAlignment="1">
      <alignment horizontal="center" vertical="center" wrapText="1"/>
    </xf>
    <xf numFmtId="41" fontId="18" fillId="0" borderId="23" xfId="0" applyNumberFormat="1" applyFont="1" applyFill="1" applyBorder="1" applyAlignment="1">
      <alignment horizontal="center" vertical="center" wrapText="1"/>
    </xf>
    <xf numFmtId="41" fontId="18" fillId="21" borderId="23" xfId="0" applyNumberFormat="1" applyFont="1" applyFill="1" applyBorder="1" applyAlignment="1">
      <alignment horizontal="center" vertical="center" wrapText="1"/>
    </xf>
    <xf numFmtId="0" fontId="38" fillId="20" borderId="24" xfId="0" applyFont="1" applyFill="1" applyBorder="1">
      <alignment vertical="center"/>
    </xf>
    <xf numFmtId="179" fontId="18" fillId="21" borderId="24" xfId="0" applyNumberFormat="1" applyFont="1" applyFill="1" applyBorder="1">
      <alignment vertical="center"/>
    </xf>
    <xf numFmtId="41" fontId="18" fillId="0" borderId="24" xfId="0" applyNumberFormat="1" applyFont="1" applyBorder="1">
      <alignment vertical="center"/>
    </xf>
    <xf numFmtId="41" fontId="18" fillId="21" borderId="24" xfId="0" applyNumberFormat="1" applyFont="1" applyFill="1" applyBorder="1">
      <alignment vertical="center"/>
    </xf>
    <xf numFmtId="41" fontId="18" fillId="0" borderId="24" xfId="0" applyNumberFormat="1" applyFont="1" applyFill="1" applyBorder="1">
      <alignment vertical="center"/>
    </xf>
    <xf numFmtId="0" fontId="18" fillId="21" borderId="24" xfId="0" applyFont="1" applyFill="1" applyBorder="1">
      <alignment vertical="center"/>
    </xf>
    <xf numFmtId="9" fontId="36" fillId="21" borderId="0" xfId="0" applyNumberFormat="1" applyFont="1" applyFill="1">
      <alignment vertical="center"/>
    </xf>
    <xf numFmtId="179" fontId="36" fillId="21" borderId="0" xfId="0" applyNumberFormat="1" applyFont="1" applyFill="1">
      <alignment vertical="center"/>
    </xf>
    <xf numFmtId="9" fontId="36" fillId="21" borderId="19" xfId="0" applyNumberFormat="1" applyFont="1" applyFill="1" applyBorder="1" applyAlignment="1">
      <alignment horizontal="center" vertical="center" wrapText="1"/>
    </xf>
    <xf numFmtId="179" fontId="36" fillId="21" borderId="19" xfId="0" applyNumberFormat="1" applyFont="1" applyFill="1" applyBorder="1" applyAlignment="1">
      <alignment horizontal="center" vertical="center" wrapText="1"/>
    </xf>
    <xf numFmtId="9" fontId="18" fillId="21" borderId="23" xfId="0" applyNumberFormat="1" applyFont="1" applyFill="1" applyBorder="1" applyAlignment="1">
      <alignment horizontal="center" vertical="center" wrapText="1"/>
    </xf>
    <xf numFmtId="179" fontId="18" fillId="21" borderId="23" xfId="0" applyNumberFormat="1" applyFont="1" applyFill="1" applyBorder="1" applyAlignment="1">
      <alignment horizontal="center" vertical="center" wrapText="1"/>
    </xf>
    <xf numFmtId="9" fontId="18" fillId="21" borderId="24" xfId="0" applyNumberFormat="1" applyFont="1" applyFill="1" applyBorder="1">
      <alignment vertical="center"/>
    </xf>
    <xf numFmtId="179" fontId="36" fillId="0" borderId="0" xfId="0" applyNumberFormat="1" applyFont="1">
      <alignment vertical="center"/>
    </xf>
    <xf numFmtId="179" fontId="36" fillId="0" borderId="19" xfId="0" applyNumberFormat="1" applyFont="1" applyBorder="1" applyAlignment="1">
      <alignment horizontal="center" vertical="center" wrapText="1"/>
    </xf>
    <xf numFmtId="179" fontId="18" fillId="0" borderId="23" xfId="0" applyNumberFormat="1" applyFont="1" applyFill="1" applyBorder="1" applyAlignment="1">
      <alignment horizontal="center" vertical="center" wrapText="1"/>
    </xf>
    <xf numFmtId="179" fontId="18" fillId="0" borderId="24" xfId="0" applyNumberFormat="1" applyFont="1" applyBorder="1">
      <alignment vertical="center"/>
    </xf>
    <xf numFmtId="179" fontId="18" fillId="0" borderId="24" xfId="0" applyNumberFormat="1" applyFont="1" applyFill="1" applyBorder="1">
      <alignment vertical="center"/>
    </xf>
    <xf numFmtId="43" fontId="36" fillId="21" borderId="0" xfId="0" applyNumberFormat="1" applyFont="1" applyFill="1">
      <alignment vertical="center"/>
    </xf>
    <xf numFmtId="43" fontId="36" fillId="0" borderId="0" xfId="0" applyNumberFormat="1" applyFont="1">
      <alignment vertical="center"/>
    </xf>
    <xf numFmtId="43" fontId="37" fillId="21" borderId="18" xfId="0" applyNumberFormat="1" applyFont="1" applyFill="1" applyBorder="1" applyAlignment="1">
      <alignment horizontal="center" vertical="center"/>
    </xf>
    <xf numFmtId="43" fontId="37" fillId="0" borderId="18" xfId="0" applyNumberFormat="1" applyFont="1" applyBorder="1" applyAlignment="1">
      <alignment horizontal="center" vertical="center"/>
    </xf>
    <xf numFmtId="43" fontId="36" fillId="21" borderId="19" xfId="0" applyNumberFormat="1" applyFont="1" applyFill="1" applyBorder="1" applyAlignment="1">
      <alignment horizontal="center" vertical="center" wrapText="1"/>
    </xf>
    <xf numFmtId="43" fontId="36" fillId="0" borderId="19" xfId="0" applyNumberFormat="1" applyFont="1" applyBorder="1" applyAlignment="1">
      <alignment horizontal="center" vertical="center" wrapText="1"/>
    </xf>
    <xf numFmtId="43" fontId="18" fillId="21" borderId="23" xfId="0" applyNumberFormat="1" applyFont="1" applyFill="1" applyBorder="1" applyAlignment="1">
      <alignment horizontal="center" vertical="center" wrapText="1"/>
    </xf>
    <xf numFmtId="43" fontId="18" fillId="0" borderId="23" xfId="0" applyNumberFormat="1" applyFont="1" applyFill="1" applyBorder="1" applyAlignment="1">
      <alignment horizontal="center" vertical="center" wrapText="1"/>
    </xf>
    <xf numFmtId="43" fontId="18" fillId="21" borderId="24" xfId="0" applyNumberFormat="1" applyFont="1" applyFill="1" applyBorder="1">
      <alignment vertical="center"/>
    </xf>
    <xf numFmtId="43" fontId="18" fillId="0" borderId="24" xfId="0" applyNumberFormat="1" applyFont="1" applyBorder="1">
      <alignment vertical="center"/>
    </xf>
    <xf numFmtId="43" fontId="18" fillId="0" borderId="24" xfId="0" applyNumberFormat="1" applyFont="1" applyFill="1" applyBorder="1">
      <alignment vertical="center"/>
    </xf>
    <xf numFmtId="0" fontId="42" fillId="0" borderId="1" xfId="0" applyFont="1" applyBorder="1">
      <alignment vertical="center"/>
    </xf>
    <xf numFmtId="0" fontId="43" fillId="0" borderId="1" xfId="0" applyFont="1" applyFill="1" applyBorder="1" applyAlignment="1">
      <alignment vertical="center" wrapText="1"/>
    </xf>
    <xf numFmtId="0" fontId="35" fillId="0" borderId="1" xfId="0" applyFont="1" applyFill="1" applyBorder="1" applyAlignment="1">
      <alignment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2 4" xfId="50"/>
  </cellStyles>
  <tableStyles count="0" defaultTableStyle="TableStyleMedium2" defaultPivotStyle="PivotStyleLight16"/>
  <colors>
    <mruColors>
      <color rgb="00F8D3E8"/>
      <color rgb="00AAFBFE"/>
      <color rgb="00A4BAE2"/>
      <color rgb="00C9EAFD"/>
      <color rgb="00EE7171"/>
      <color rgb="00F0A5CE"/>
      <color rgb="00D9C6EF"/>
      <color rgb="00AAB0FB"/>
      <color rgb="00FAF49F"/>
      <color rgb="00F7D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abSelected="1" workbookViewId="0">
      <selection activeCell="A41" sqref="A41"/>
    </sheetView>
  </sheetViews>
  <sheetFormatPr defaultColWidth="9" defaultRowHeight="13.5"/>
  <cols>
    <col min="1" max="1" width="72.2666666666667" customWidth="1"/>
  </cols>
  <sheetData>
    <row r="1" ht="15" customHeight="1" spans="1:1">
      <c r="A1" s="219" t="s">
        <v>0</v>
      </c>
    </row>
    <row r="2" ht="15" customHeight="1" spans="1:1">
      <c r="A2" s="220" t="s">
        <v>1</v>
      </c>
    </row>
    <row r="3" ht="15" customHeight="1" spans="1:1">
      <c r="A3" s="220" t="s">
        <v>2</v>
      </c>
    </row>
    <row r="4" ht="15" customHeight="1" spans="1:1">
      <c r="A4" s="220" t="s">
        <v>3</v>
      </c>
    </row>
    <row r="5" ht="15" customHeight="1" spans="1:1">
      <c r="A5" s="220" t="s">
        <v>4</v>
      </c>
    </row>
    <row r="6" ht="15" customHeight="1" spans="1:1">
      <c r="A6" s="220" t="s">
        <v>5</v>
      </c>
    </row>
    <row r="7" ht="15" customHeight="1" spans="1:1">
      <c r="A7" s="220" t="s">
        <v>6</v>
      </c>
    </row>
    <row r="8" ht="15" customHeight="1" spans="1:1">
      <c r="A8" s="220" t="s">
        <v>7</v>
      </c>
    </row>
    <row r="9" ht="15" customHeight="1" spans="1:1">
      <c r="A9" s="220" t="s">
        <v>8</v>
      </c>
    </row>
    <row r="10" ht="15" customHeight="1" spans="1:1">
      <c r="A10" s="220" t="s">
        <v>9</v>
      </c>
    </row>
    <row r="11" ht="15" customHeight="1" spans="1:1">
      <c r="A11" s="220" t="s">
        <v>10</v>
      </c>
    </row>
    <row r="12" ht="15" customHeight="1" spans="1:1">
      <c r="A12" s="220" t="s">
        <v>11</v>
      </c>
    </row>
    <row r="13" ht="15" customHeight="1" spans="1:1">
      <c r="A13" s="220" t="s">
        <v>12</v>
      </c>
    </row>
    <row r="14" ht="15" customHeight="1" spans="1:1">
      <c r="A14" s="220" t="s">
        <v>13</v>
      </c>
    </row>
    <row r="15" ht="15" customHeight="1" spans="1:1">
      <c r="A15" s="220" t="s">
        <v>14</v>
      </c>
    </row>
    <row r="16" ht="15" customHeight="1" spans="1:1">
      <c r="A16" s="220" t="s">
        <v>15</v>
      </c>
    </row>
    <row r="17" ht="15" customHeight="1" spans="1:1">
      <c r="A17" s="220" t="s">
        <v>16</v>
      </c>
    </row>
    <row r="18" ht="15" customHeight="1" spans="1:1">
      <c r="A18" s="220" t="s">
        <v>17</v>
      </c>
    </row>
    <row r="19" ht="15" customHeight="1" spans="1:1">
      <c r="A19" s="220" t="s">
        <v>18</v>
      </c>
    </row>
    <row r="20" ht="15" customHeight="1" spans="1:1">
      <c r="A20" s="220" t="s">
        <v>19</v>
      </c>
    </row>
    <row r="21" ht="15" customHeight="1" spans="1:1">
      <c r="A21" s="220" t="s">
        <v>20</v>
      </c>
    </row>
    <row r="22" ht="15" customHeight="1" spans="1:1">
      <c r="A22" s="220" t="s">
        <v>21</v>
      </c>
    </row>
    <row r="23" ht="15" customHeight="1" spans="1:1">
      <c r="A23" s="220" t="s">
        <v>22</v>
      </c>
    </row>
    <row r="24" ht="15" customHeight="1" spans="1:1">
      <c r="A24" s="220" t="s">
        <v>23</v>
      </c>
    </row>
    <row r="25" ht="15" customHeight="1" spans="1:1">
      <c r="A25" s="220" t="s">
        <v>24</v>
      </c>
    </row>
    <row r="26" ht="15" customHeight="1" spans="1:1">
      <c r="A26" s="220" t="s">
        <v>25</v>
      </c>
    </row>
    <row r="27" spans="1:1">
      <c r="A27" s="22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L23"/>
  <sheetViews>
    <sheetView zoomScale="115" zoomScaleNormal="115" workbookViewId="0">
      <pane xSplit="7" ySplit="3" topLeftCell="H4" activePane="bottomRight" state="frozen"/>
      <selection/>
      <selection pane="topRight"/>
      <selection pane="bottomLeft"/>
      <selection pane="bottomRight" activeCell="G17" sqref="G17"/>
    </sheetView>
  </sheetViews>
  <sheetFormatPr defaultColWidth="6.6" defaultRowHeight="18" customHeight="1"/>
  <cols>
    <col min="1" max="4" width="6.6" style="151"/>
    <col min="5" max="5" width="8.875" style="151"/>
    <col min="6" max="10" width="6.6" style="151"/>
    <col min="11" max="11" width="6.6" style="152"/>
    <col min="12" max="12" width="6.625" style="153"/>
    <col min="13" max="13" width="6.6" style="154"/>
    <col min="14" max="14" width="6.625" style="155"/>
    <col min="15" max="15" width="7.375" style="155"/>
    <col min="16" max="17" width="8.125" style="155"/>
    <col min="18" max="21" width="5.6" style="151" customWidth="1"/>
    <col min="22" max="22" width="5.6" style="156" customWidth="1"/>
    <col min="23" max="28" width="4.6" style="157" customWidth="1"/>
    <col min="29" max="35" width="4.6" style="158" customWidth="1"/>
    <col min="36" max="36" width="10.325" style="157" customWidth="1"/>
    <col min="37" max="37" width="6.6" style="159" customWidth="1"/>
    <col min="38" max="41" width="6.6" style="160" customWidth="1"/>
    <col min="42" max="64" width="6.6" style="159" customWidth="1"/>
    <col min="65" max="16384" width="6.6" style="151"/>
  </cols>
  <sheetData>
    <row r="1" s="146" customFormat="1" customHeight="1" spans="1:64">
      <c r="A1" s="146" t="s">
        <v>26</v>
      </c>
      <c r="B1" s="146" t="s">
        <v>27</v>
      </c>
      <c r="K1" s="176"/>
      <c r="L1" s="177"/>
      <c r="M1" s="178"/>
      <c r="N1" s="179"/>
      <c r="O1" s="179"/>
      <c r="P1" s="179"/>
      <c r="Q1" s="179"/>
      <c r="V1" s="196"/>
      <c r="W1" s="197"/>
      <c r="X1" s="197"/>
      <c r="Y1" s="197"/>
      <c r="Z1" s="197"/>
      <c r="AA1" s="197"/>
      <c r="AB1" s="197"/>
      <c r="AC1" s="203"/>
      <c r="AD1" s="203"/>
      <c r="AE1" s="203"/>
      <c r="AF1" s="203"/>
      <c r="AG1" s="203"/>
      <c r="AH1" s="203"/>
      <c r="AI1" s="203"/>
      <c r="AJ1" s="197"/>
      <c r="AK1" s="208"/>
      <c r="AL1" s="209"/>
      <c r="AM1" s="209"/>
      <c r="AN1" s="209"/>
      <c r="AO1" s="209"/>
      <c r="AP1" s="208"/>
      <c r="AQ1" s="208"/>
      <c r="AR1" s="208"/>
      <c r="AS1" s="208"/>
      <c r="AT1" s="208"/>
      <c r="AU1" s="208"/>
      <c r="AV1" s="208"/>
      <c r="AW1" s="208"/>
      <c r="AX1" s="208"/>
      <c r="AY1" s="208"/>
      <c r="AZ1" s="208"/>
      <c r="BA1" s="208"/>
      <c r="BB1" s="208"/>
      <c r="BC1" s="208"/>
      <c r="BD1" s="208"/>
      <c r="BE1" s="208"/>
      <c r="BF1" s="208"/>
      <c r="BG1" s="208"/>
      <c r="BH1" s="208"/>
      <c r="BI1" s="208"/>
      <c r="BJ1" s="208"/>
      <c r="BK1" s="208"/>
      <c r="BL1" s="208"/>
    </row>
    <row r="2" s="147" customFormat="1" customHeight="1" spans="1:64">
      <c r="A2" s="161" t="s">
        <v>28</v>
      </c>
      <c r="B2" s="161"/>
      <c r="C2" s="161"/>
      <c r="D2" s="161"/>
      <c r="E2" s="161"/>
      <c r="F2" s="161"/>
      <c r="G2" s="161"/>
      <c r="H2" s="161" t="s">
        <v>29</v>
      </c>
      <c r="I2" s="161"/>
      <c r="J2" s="161"/>
      <c r="K2" s="180"/>
      <c r="L2" s="181"/>
      <c r="M2" s="161"/>
      <c r="N2" s="181"/>
      <c r="O2" s="181"/>
      <c r="P2" s="181"/>
      <c r="Q2" s="181"/>
      <c r="R2" s="161" t="s">
        <v>30</v>
      </c>
      <c r="S2" s="161"/>
      <c r="T2" s="161"/>
      <c r="U2" s="161"/>
      <c r="V2" s="181"/>
      <c r="W2" s="181"/>
      <c r="X2" s="181"/>
      <c r="Y2" s="181"/>
      <c r="Z2" s="181"/>
      <c r="AA2" s="181"/>
      <c r="AB2" s="181"/>
      <c r="AC2" s="161"/>
      <c r="AD2" s="161"/>
      <c r="AE2" s="161"/>
      <c r="AF2" s="161"/>
      <c r="AG2" s="161"/>
      <c r="AH2" s="161"/>
      <c r="AI2" s="161"/>
      <c r="AJ2" s="181"/>
      <c r="AK2" s="210" t="s">
        <v>31</v>
      </c>
      <c r="AL2" s="211"/>
      <c r="AM2" s="211"/>
      <c r="AN2" s="211"/>
      <c r="AO2" s="211"/>
      <c r="AP2" s="210"/>
      <c r="AQ2" s="210"/>
      <c r="AR2" s="210"/>
      <c r="AS2" s="210"/>
      <c r="AT2" s="210"/>
      <c r="AU2" s="210"/>
      <c r="AV2" s="210"/>
      <c r="AW2" s="210"/>
      <c r="AX2" s="210"/>
      <c r="AY2" s="210" t="s">
        <v>32</v>
      </c>
      <c r="AZ2" s="210"/>
      <c r="BA2" s="210"/>
      <c r="BB2" s="210"/>
      <c r="BC2" s="210"/>
      <c r="BD2" s="210"/>
      <c r="BE2" s="210"/>
      <c r="BF2" s="210"/>
      <c r="BG2" s="210"/>
      <c r="BH2" s="210"/>
      <c r="BI2" s="210"/>
      <c r="BJ2" s="210"/>
      <c r="BK2" s="210"/>
      <c r="BL2" s="210"/>
    </row>
    <row r="3" s="148" customFormat="1" ht="48" customHeight="1" spans="1:64">
      <c r="A3" s="162" t="s">
        <v>33</v>
      </c>
      <c r="B3" s="162" t="s">
        <v>34</v>
      </c>
      <c r="C3" s="162" t="s">
        <v>35</v>
      </c>
      <c r="D3" s="162" t="s">
        <v>36</v>
      </c>
      <c r="E3" s="162" t="s">
        <v>37</v>
      </c>
      <c r="F3" s="162" t="s">
        <v>38</v>
      </c>
      <c r="G3" s="162" t="s">
        <v>39</v>
      </c>
      <c r="H3" s="162" t="s">
        <v>40</v>
      </c>
      <c r="I3" s="162" t="s">
        <v>41</v>
      </c>
      <c r="J3" s="162" t="s">
        <v>42</v>
      </c>
      <c r="K3" s="182" t="s">
        <v>43</v>
      </c>
      <c r="L3" s="183" t="s">
        <v>44</v>
      </c>
      <c r="M3" s="184" t="s">
        <v>45</v>
      </c>
      <c r="N3" s="185" t="s">
        <v>46</v>
      </c>
      <c r="O3" s="185" t="s">
        <v>47</v>
      </c>
      <c r="P3" s="185" t="s">
        <v>48</v>
      </c>
      <c r="Q3" s="185" t="s">
        <v>49</v>
      </c>
      <c r="R3" s="162" t="s">
        <v>50</v>
      </c>
      <c r="S3" s="162" t="s">
        <v>51</v>
      </c>
      <c r="T3" s="162" t="s">
        <v>52</v>
      </c>
      <c r="U3" s="162" t="s">
        <v>53</v>
      </c>
      <c r="V3" s="198" t="s">
        <v>54</v>
      </c>
      <c r="W3" s="199" t="s">
        <v>55</v>
      </c>
      <c r="X3" s="199" t="s">
        <v>56</v>
      </c>
      <c r="Y3" s="199" t="s">
        <v>57</v>
      </c>
      <c r="Z3" s="199" t="s">
        <v>58</v>
      </c>
      <c r="AA3" s="199" t="s">
        <v>59</v>
      </c>
      <c r="AB3" s="199" t="s">
        <v>60</v>
      </c>
      <c r="AC3" s="204" t="s">
        <v>61</v>
      </c>
      <c r="AD3" s="204" t="s">
        <v>62</v>
      </c>
      <c r="AE3" s="204" t="s">
        <v>63</v>
      </c>
      <c r="AF3" s="204" t="s">
        <v>64</v>
      </c>
      <c r="AG3" s="204" t="s">
        <v>65</v>
      </c>
      <c r="AH3" s="204" t="s">
        <v>66</v>
      </c>
      <c r="AI3" s="204" t="s">
        <v>67</v>
      </c>
      <c r="AJ3" s="199" t="s">
        <v>44</v>
      </c>
      <c r="AK3" s="212" t="s">
        <v>68</v>
      </c>
      <c r="AL3" s="213" t="s">
        <v>69</v>
      </c>
      <c r="AM3" s="213" t="s">
        <v>70</v>
      </c>
      <c r="AN3" s="213" t="s">
        <v>71</v>
      </c>
      <c r="AO3" s="213" t="s">
        <v>72</v>
      </c>
      <c r="AP3" s="212" t="s">
        <v>73</v>
      </c>
      <c r="AQ3" s="212" t="s">
        <v>74</v>
      </c>
      <c r="AR3" s="212" t="s">
        <v>75</v>
      </c>
      <c r="AS3" s="212" t="s">
        <v>76</v>
      </c>
      <c r="AT3" s="212" t="s">
        <v>77</v>
      </c>
      <c r="AU3" s="212" t="s">
        <v>78</v>
      </c>
      <c r="AV3" s="212" t="s">
        <v>79</v>
      </c>
      <c r="AW3" s="212" t="s">
        <v>80</v>
      </c>
      <c r="AX3" s="212" t="s">
        <v>81</v>
      </c>
      <c r="AY3" s="212" t="s">
        <v>68</v>
      </c>
      <c r="AZ3" s="212" t="s">
        <v>69</v>
      </c>
      <c r="BA3" s="212" t="s">
        <v>70</v>
      </c>
      <c r="BB3" s="212" t="s">
        <v>71</v>
      </c>
      <c r="BC3" s="212" t="s">
        <v>72</v>
      </c>
      <c r="BD3" s="212" t="s">
        <v>73</v>
      </c>
      <c r="BE3" s="212" t="s">
        <v>74</v>
      </c>
      <c r="BF3" s="212" t="s">
        <v>75</v>
      </c>
      <c r="BG3" s="212" t="s">
        <v>76</v>
      </c>
      <c r="BH3" s="212" t="s">
        <v>77</v>
      </c>
      <c r="BI3" s="212" t="s">
        <v>78</v>
      </c>
      <c r="BJ3" s="212" t="s">
        <v>79</v>
      </c>
      <c r="BK3" s="212" t="s">
        <v>80</v>
      </c>
      <c r="BL3" s="212" t="s">
        <v>81</v>
      </c>
    </row>
    <row r="4" s="149" customFormat="1" ht="23" customHeight="1" spans="1:64">
      <c r="A4" s="163" t="s">
        <v>82</v>
      </c>
      <c r="B4" s="164"/>
      <c r="C4" s="164"/>
      <c r="D4" s="165"/>
      <c r="E4" s="166"/>
      <c r="F4" s="166"/>
      <c r="G4" s="166"/>
      <c r="H4" s="166"/>
      <c r="I4" s="166"/>
      <c r="J4" s="166"/>
      <c r="K4" s="186"/>
      <c r="L4" s="187"/>
      <c r="M4" s="188"/>
      <c r="N4" s="189"/>
      <c r="O4" s="189"/>
      <c r="P4" s="189"/>
      <c r="Q4" s="189"/>
      <c r="S4" s="166"/>
      <c r="T4" s="166"/>
      <c r="U4" s="166"/>
      <c r="V4" s="200"/>
      <c r="W4" s="201"/>
      <c r="X4" s="201"/>
      <c r="Y4" s="201"/>
      <c r="Z4" s="201"/>
      <c r="AA4" s="201"/>
      <c r="AB4" s="201"/>
      <c r="AC4" s="205"/>
      <c r="AD4" s="205"/>
      <c r="AE4" s="205"/>
      <c r="AF4" s="205"/>
      <c r="AG4" s="205"/>
      <c r="AH4" s="205"/>
      <c r="AI4" s="205"/>
      <c r="AJ4" s="201"/>
      <c r="AK4" s="214"/>
      <c r="AL4" s="215"/>
      <c r="AM4" s="215"/>
      <c r="AN4" s="215"/>
      <c r="AO4" s="215"/>
      <c r="AP4" s="214"/>
      <c r="AQ4" s="214"/>
      <c r="AR4" s="214"/>
      <c r="AS4" s="214"/>
      <c r="AT4" s="214"/>
      <c r="AU4" s="214"/>
      <c r="AV4" s="214"/>
      <c r="AW4" s="214"/>
      <c r="AX4" s="214"/>
      <c r="AY4" s="214"/>
      <c r="AZ4" s="214"/>
      <c r="BA4" s="214"/>
      <c r="BB4" s="214"/>
      <c r="BC4" s="214"/>
      <c r="BD4" s="214"/>
      <c r="BE4" s="214"/>
      <c r="BF4" s="214"/>
      <c r="BG4" s="214"/>
      <c r="BH4" s="214"/>
      <c r="BI4" s="214"/>
      <c r="BJ4" s="214"/>
      <c r="BK4" s="214"/>
      <c r="BL4" s="214"/>
    </row>
    <row r="5" customHeight="1" spans="1:64">
      <c r="A5" s="167" t="s">
        <v>83</v>
      </c>
      <c r="B5" s="167" t="s">
        <v>84</v>
      </c>
      <c r="C5" s="167"/>
      <c r="D5" s="167">
        <v>1</v>
      </c>
      <c r="E5" s="168">
        <f ca="1">TODAY()</f>
        <v>44865</v>
      </c>
      <c r="F5" s="167"/>
      <c r="G5" s="167" t="s">
        <v>85</v>
      </c>
      <c r="H5" s="169">
        <v>20</v>
      </c>
      <c r="I5" s="169">
        <v>19.99</v>
      </c>
      <c r="J5" s="169">
        <v>1270</v>
      </c>
      <c r="K5" s="190">
        <v>17.99</v>
      </c>
      <c r="L5" s="191">
        <f>AJ5</f>
        <v>-0.0852517370761532</v>
      </c>
      <c r="M5" s="192">
        <v>30</v>
      </c>
      <c r="N5" s="193">
        <f>M5*30</f>
        <v>900</v>
      </c>
      <c r="O5" s="193">
        <f>K5*M5*R5</f>
        <v>3454.08</v>
      </c>
      <c r="P5" s="193">
        <f>K5*N5*R5</f>
        <v>103622.4</v>
      </c>
      <c r="Q5" s="193">
        <f>P5*AJ5</f>
        <v>-8833.98959999998</v>
      </c>
      <c r="R5" s="166">
        <v>6.4</v>
      </c>
      <c r="S5" s="169" t="s">
        <v>86</v>
      </c>
      <c r="T5" s="169">
        <v>21</v>
      </c>
      <c r="U5" s="169">
        <v>0.22</v>
      </c>
      <c r="V5" s="202" t="str">
        <f>IF(SUM(W5:AJ5)-AH5=1,100%,"错")</f>
        <v>错</v>
      </c>
      <c r="W5" s="191">
        <f t="shared" ref="W5:AB5" si="0">IF($AY5=0,0,AZ5/$AY5)</f>
        <v>0.364785992217899</v>
      </c>
      <c r="X5" s="191">
        <f t="shared" si="0"/>
        <v>0</v>
      </c>
      <c r="Y5" s="191">
        <f t="shared" si="0"/>
        <v>0</v>
      </c>
      <c r="Z5" s="191">
        <f t="shared" si="0"/>
        <v>0</v>
      </c>
      <c r="AA5" s="191">
        <f t="shared" si="0"/>
        <v>0.0401264591439689</v>
      </c>
      <c r="AB5" s="191">
        <f t="shared" si="0"/>
        <v>0.269594219010561</v>
      </c>
      <c r="AC5" s="206">
        <v>0.05</v>
      </c>
      <c r="AD5" s="206">
        <v>0.15</v>
      </c>
      <c r="AE5" s="206">
        <v>0.05</v>
      </c>
      <c r="AF5" s="206">
        <v>0.15</v>
      </c>
      <c r="AG5" s="206"/>
      <c r="AH5" s="206">
        <v>0.01</v>
      </c>
      <c r="AI5" s="206">
        <v>0</v>
      </c>
      <c r="AJ5" s="191">
        <f>IF(BL5=0,0,BL5/$AY5)</f>
        <v>-0.0852517370761532</v>
      </c>
      <c r="AK5" s="216">
        <f>$AY5*$R5</f>
        <v>115.136</v>
      </c>
      <c r="AL5" s="217">
        <v>42</v>
      </c>
      <c r="AM5" s="217"/>
      <c r="AN5" s="217"/>
      <c r="AO5" s="217"/>
      <c r="AP5" s="216">
        <f>T5*U5</f>
        <v>4.62</v>
      </c>
      <c r="AQ5" s="216">
        <f t="shared" ref="AQ5:AX5" si="1">BE5*$R5</f>
        <v>31.04</v>
      </c>
      <c r="AR5" s="216">
        <f t="shared" si="1"/>
        <v>5.7568</v>
      </c>
      <c r="AS5" s="216">
        <f t="shared" si="1"/>
        <v>17.2704</v>
      </c>
      <c r="AT5" s="216">
        <f t="shared" si="1"/>
        <v>5.7568</v>
      </c>
      <c r="AU5" s="216">
        <f t="shared" si="1"/>
        <v>17.2704</v>
      </c>
      <c r="AV5" s="216">
        <f t="shared" si="1"/>
        <v>0</v>
      </c>
      <c r="AW5" s="216">
        <f t="shared" si="1"/>
        <v>1.237144</v>
      </c>
      <c r="AX5" s="216">
        <f t="shared" si="1"/>
        <v>-9.81554399999998</v>
      </c>
      <c r="AY5" s="216">
        <f>K5</f>
        <v>17.99</v>
      </c>
      <c r="AZ5" s="216">
        <f t="shared" ref="AZ5:BD5" si="2">IF($R5=0,0,AL5/$R5)</f>
        <v>6.5625</v>
      </c>
      <c r="BA5" s="216">
        <f t="shared" si="2"/>
        <v>0</v>
      </c>
      <c r="BB5" s="216">
        <f t="shared" si="2"/>
        <v>0</v>
      </c>
      <c r="BC5" s="216">
        <f t="shared" si="2"/>
        <v>0</v>
      </c>
      <c r="BD5" s="216">
        <f t="shared" si="2"/>
        <v>0.721875</v>
      </c>
      <c r="BE5" s="216">
        <v>4.85</v>
      </c>
      <c r="BF5" s="216">
        <f t="shared" ref="BF5:BJ5" si="3">$AY5*AC5</f>
        <v>0.8995</v>
      </c>
      <c r="BG5" s="216">
        <f t="shared" si="3"/>
        <v>2.6985</v>
      </c>
      <c r="BH5" s="216">
        <f t="shared" si="3"/>
        <v>0.8995</v>
      </c>
      <c r="BI5" s="216">
        <f t="shared" si="3"/>
        <v>2.6985</v>
      </c>
      <c r="BJ5" s="216">
        <f t="shared" si="3"/>
        <v>0</v>
      </c>
      <c r="BK5" s="216">
        <f>SUM(AZ5:BJ5)*AH5</f>
        <v>0.19330375</v>
      </c>
      <c r="BL5" s="216">
        <f>AY5-SUM(AZ5:BK5)</f>
        <v>-1.53367875</v>
      </c>
    </row>
    <row r="6" s="150" customFormat="1" customHeight="1" spans="1:64">
      <c r="A6" s="170" t="s">
        <v>87</v>
      </c>
      <c r="B6" s="171"/>
      <c r="C6" s="171"/>
      <c r="D6" s="172"/>
      <c r="E6" s="173"/>
      <c r="F6" s="174"/>
      <c r="G6" s="174"/>
      <c r="H6" s="175"/>
      <c r="I6" s="175"/>
      <c r="J6" s="175"/>
      <c r="K6" s="190"/>
      <c r="L6" s="191"/>
      <c r="M6" s="194"/>
      <c r="N6" s="193"/>
      <c r="O6" s="193"/>
      <c r="P6" s="193"/>
      <c r="Q6" s="193"/>
      <c r="R6" s="166"/>
      <c r="S6" s="175"/>
      <c r="T6" s="175"/>
      <c r="U6" s="175"/>
      <c r="V6" s="202"/>
      <c r="W6" s="191"/>
      <c r="X6" s="191"/>
      <c r="Y6" s="191"/>
      <c r="Z6" s="191"/>
      <c r="AA6" s="191"/>
      <c r="AB6" s="191"/>
      <c r="AC6" s="207"/>
      <c r="AD6" s="207"/>
      <c r="AE6" s="207"/>
      <c r="AF6" s="207"/>
      <c r="AG6" s="207"/>
      <c r="AH6" s="207"/>
      <c r="AI6" s="207"/>
      <c r="AJ6" s="191"/>
      <c r="AK6" s="216"/>
      <c r="AL6" s="218"/>
      <c r="AM6" s="218"/>
      <c r="AN6" s="218"/>
      <c r="AO6" s="218"/>
      <c r="AP6" s="216"/>
      <c r="AQ6" s="216"/>
      <c r="AR6" s="216"/>
      <c r="AS6" s="216"/>
      <c r="AT6" s="216"/>
      <c r="AU6" s="216"/>
      <c r="AV6" s="216"/>
      <c r="AW6" s="216"/>
      <c r="AX6" s="216"/>
      <c r="AY6" s="216"/>
      <c r="AZ6" s="216"/>
      <c r="BA6" s="216"/>
      <c r="BB6" s="216"/>
      <c r="BC6" s="216"/>
      <c r="BD6" s="216"/>
      <c r="BE6" s="216"/>
      <c r="BF6" s="216"/>
      <c r="BG6" s="216"/>
      <c r="BH6" s="216"/>
      <c r="BI6" s="216"/>
      <c r="BJ6" s="216"/>
      <c r="BK6" s="216"/>
      <c r="BL6" s="216"/>
    </row>
    <row r="7" customHeight="1" spans="1:64">
      <c r="A7" s="167" t="s">
        <v>83</v>
      </c>
      <c r="B7" s="167" t="s">
        <v>84</v>
      </c>
      <c r="C7" s="167"/>
      <c r="D7" s="167">
        <v>1</v>
      </c>
      <c r="E7" s="168">
        <f ca="1">TODAY()</f>
        <v>44865</v>
      </c>
      <c r="F7" s="167"/>
      <c r="G7" s="167" t="s">
        <v>85</v>
      </c>
      <c r="H7" s="169">
        <v>5</v>
      </c>
      <c r="I7" s="169">
        <v>23.99</v>
      </c>
      <c r="J7" s="169">
        <v>2200</v>
      </c>
      <c r="K7" s="190">
        <v>21.99</v>
      </c>
      <c r="L7" s="191">
        <f>AJ7</f>
        <v>0.159868542519327</v>
      </c>
      <c r="M7" s="192">
        <v>100</v>
      </c>
      <c r="N7" s="193">
        <f>M7*30</f>
        <v>3000</v>
      </c>
      <c r="O7" s="193">
        <f>K7*M7*R7</f>
        <v>14073.6</v>
      </c>
      <c r="P7" s="193">
        <f>K7*N7*R7</f>
        <v>422208</v>
      </c>
      <c r="Q7" s="193">
        <f>P7*AJ7</f>
        <v>67497.7776</v>
      </c>
      <c r="R7" s="166">
        <v>6.4</v>
      </c>
      <c r="S7" s="169" t="s">
        <v>86</v>
      </c>
      <c r="T7" s="169">
        <v>21</v>
      </c>
      <c r="U7" s="169">
        <v>0.22</v>
      </c>
      <c r="V7" s="202" t="str">
        <f>IF(SUM(W7:AJ7)-AH7=1,100%,"错")</f>
        <v>错</v>
      </c>
      <c r="W7" s="191">
        <f t="shared" ref="W7:AB7" si="4">IF($AY7=0,0,AZ7/$AY7)</f>
        <v>0.298431105047749</v>
      </c>
      <c r="X7" s="191">
        <f t="shared" si="4"/>
        <v>0</v>
      </c>
      <c r="Y7" s="191">
        <f t="shared" si="4"/>
        <v>0</v>
      </c>
      <c r="Z7" s="191">
        <f t="shared" si="4"/>
        <v>0</v>
      </c>
      <c r="AA7" s="191">
        <f t="shared" si="4"/>
        <v>0.0328274215552524</v>
      </c>
      <c r="AB7" s="191">
        <f t="shared" si="4"/>
        <v>0.220554797635289</v>
      </c>
      <c r="AC7" s="206">
        <v>0.02</v>
      </c>
      <c r="AD7" s="206">
        <v>0.06</v>
      </c>
      <c r="AE7" s="206">
        <v>0.05</v>
      </c>
      <c r="AF7" s="206">
        <v>0.15</v>
      </c>
      <c r="AG7" s="206"/>
      <c r="AH7" s="206">
        <v>0.01</v>
      </c>
      <c r="AI7" s="206">
        <v>0</v>
      </c>
      <c r="AJ7" s="191">
        <f>IF(BL7=0,0,BL7/$AY7)</f>
        <v>0.159868542519327</v>
      </c>
      <c r="AK7" s="216">
        <f>$AY7*$R7</f>
        <v>140.736</v>
      </c>
      <c r="AL7" s="217">
        <v>42</v>
      </c>
      <c r="AM7" s="217"/>
      <c r="AN7" s="217"/>
      <c r="AO7" s="217"/>
      <c r="AP7" s="216">
        <f>T7*U7</f>
        <v>4.62</v>
      </c>
      <c r="AQ7" s="216">
        <f t="shared" ref="AQ7:AX7" si="5">BE7*$R7</f>
        <v>31.04</v>
      </c>
      <c r="AR7" s="216">
        <f t="shared" si="5"/>
        <v>2.81472</v>
      </c>
      <c r="AS7" s="216">
        <f t="shared" si="5"/>
        <v>8.44416</v>
      </c>
      <c r="AT7" s="216">
        <f t="shared" si="5"/>
        <v>7.0368</v>
      </c>
      <c r="AU7" s="216">
        <f t="shared" si="5"/>
        <v>21.1104</v>
      </c>
      <c r="AV7" s="216">
        <f t="shared" si="5"/>
        <v>0</v>
      </c>
      <c r="AW7" s="216">
        <f t="shared" si="5"/>
        <v>1.1706608</v>
      </c>
      <c r="AX7" s="216">
        <f t="shared" si="5"/>
        <v>22.4992592</v>
      </c>
      <c r="AY7" s="216">
        <f>K7</f>
        <v>21.99</v>
      </c>
      <c r="AZ7" s="216">
        <f>IF($R7=0,0,AL7/$R7)</f>
        <v>6.5625</v>
      </c>
      <c r="BA7" s="216">
        <f t="shared" ref="BA7:BD7" si="6">IF($R7=0,0,AM7/$R7)</f>
        <v>0</v>
      </c>
      <c r="BB7" s="216">
        <f t="shared" si="6"/>
        <v>0</v>
      </c>
      <c r="BC7" s="216">
        <f t="shared" si="6"/>
        <v>0</v>
      </c>
      <c r="BD7" s="216">
        <f t="shared" si="6"/>
        <v>0.721875</v>
      </c>
      <c r="BE7" s="216">
        <v>4.85</v>
      </c>
      <c r="BF7" s="216">
        <f>$AY7*AC7</f>
        <v>0.4398</v>
      </c>
      <c r="BG7" s="216">
        <f>$AY7*AD7</f>
        <v>1.3194</v>
      </c>
      <c r="BH7" s="216">
        <f>$AY7*AE7</f>
        <v>1.0995</v>
      </c>
      <c r="BI7" s="216">
        <f>$AY7*AF7</f>
        <v>3.2985</v>
      </c>
      <c r="BJ7" s="216">
        <f>$AY7*AG7</f>
        <v>0</v>
      </c>
      <c r="BK7" s="216">
        <f>SUM(AZ7:BJ7)*AH7</f>
        <v>0.18291575</v>
      </c>
      <c r="BL7" s="216">
        <f>AY7-SUM(AZ7:BK7)</f>
        <v>3.51550925</v>
      </c>
    </row>
    <row r="8" customHeight="1" spans="1:64">
      <c r="A8" s="169"/>
      <c r="B8" s="169"/>
      <c r="C8" s="169"/>
      <c r="D8" s="169"/>
      <c r="E8" s="169"/>
      <c r="F8" s="169"/>
      <c r="G8" s="169"/>
      <c r="H8" s="169"/>
      <c r="I8" s="169"/>
      <c r="J8" s="169"/>
      <c r="K8" s="190"/>
      <c r="L8" s="195"/>
      <c r="M8" s="192"/>
      <c r="N8" s="193"/>
      <c r="O8" s="193"/>
      <c r="P8" s="193"/>
      <c r="Q8" s="193"/>
      <c r="R8" s="169"/>
      <c r="S8" s="169"/>
      <c r="T8" s="169"/>
      <c r="U8" s="169"/>
      <c r="V8" s="202"/>
      <c r="W8" s="191"/>
      <c r="X8" s="191"/>
      <c r="Y8" s="191"/>
      <c r="Z8" s="191"/>
      <c r="AA8" s="191"/>
      <c r="AB8" s="191"/>
      <c r="AC8" s="206"/>
      <c r="AD8" s="206"/>
      <c r="AE8" s="206"/>
      <c r="AF8" s="206"/>
      <c r="AG8" s="206"/>
      <c r="AH8" s="206"/>
      <c r="AI8" s="206"/>
      <c r="AJ8" s="191"/>
      <c r="AK8" s="216"/>
      <c r="AL8" s="217"/>
      <c r="AM8" s="217"/>
      <c r="AN8" s="217"/>
      <c r="AO8" s="217"/>
      <c r="AP8" s="216"/>
      <c r="AQ8" s="216"/>
      <c r="AR8" s="216"/>
      <c r="AS8" s="216"/>
      <c r="AT8" s="216"/>
      <c r="AU8" s="216"/>
      <c r="AV8" s="216"/>
      <c r="AW8" s="216"/>
      <c r="AX8" s="216"/>
      <c r="AY8" s="216"/>
      <c r="AZ8" s="216"/>
      <c r="BA8" s="216"/>
      <c r="BB8" s="216"/>
      <c r="BC8" s="216"/>
      <c r="BD8" s="216"/>
      <c r="BE8" s="216"/>
      <c r="BF8" s="216"/>
      <c r="BG8" s="216"/>
      <c r="BH8" s="216"/>
      <c r="BI8" s="216"/>
      <c r="BJ8" s="216"/>
      <c r="BK8" s="216"/>
      <c r="BL8" s="216"/>
    </row>
    <row r="9" customHeight="1" spans="1:64">
      <c r="A9" s="169"/>
      <c r="B9" s="169"/>
      <c r="C9" s="169"/>
      <c r="D9" s="169"/>
      <c r="E9" s="169"/>
      <c r="F9" s="169"/>
      <c r="G9" s="169"/>
      <c r="H9" s="169"/>
      <c r="I9" s="169"/>
      <c r="J9" s="169"/>
      <c r="K9" s="190"/>
      <c r="L9" s="195"/>
      <c r="M9" s="192"/>
      <c r="N9" s="193"/>
      <c r="O9" s="193"/>
      <c r="P9" s="193"/>
      <c r="Q9" s="193"/>
      <c r="R9" s="169"/>
      <c r="S9" s="169"/>
      <c r="T9" s="169"/>
      <c r="U9" s="169"/>
      <c r="V9" s="202"/>
      <c r="W9" s="191"/>
      <c r="X9" s="191"/>
      <c r="Y9" s="191"/>
      <c r="Z9" s="191"/>
      <c r="AA9" s="191"/>
      <c r="AB9" s="191"/>
      <c r="AC9" s="206"/>
      <c r="AD9" s="206"/>
      <c r="AE9" s="206"/>
      <c r="AF9" s="206"/>
      <c r="AG9" s="206"/>
      <c r="AH9" s="206"/>
      <c r="AI9" s="206"/>
      <c r="AJ9" s="191"/>
      <c r="AK9" s="216"/>
      <c r="AL9" s="217"/>
      <c r="AM9" s="217"/>
      <c r="AN9" s="217"/>
      <c r="AO9" s="217"/>
      <c r="AP9" s="216"/>
      <c r="AQ9" s="216"/>
      <c r="AR9" s="216"/>
      <c r="AS9" s="216"/>
      <c r="AT9" s="216"/>
      <c r="AU9" s="216"/>
      <c r="AV9" s="216"/>
      <c r="AW9" s="216"/>
      <c r="AX9" s="216"/>
      <c r="AY9" s="216"/>
      <c r="AZ9" s="216"/>
      <c r="BA9" s="216"/>
      <c r="BB9" s="216"/>
      <c r="BC9" s="216"/>
      <c r="BD9" s="216"/>
      <c r="BE9" s="216"/>
      <c r="BF9" s="216"/>
      <c r="BG9" s="216"/>
      <c r="BH9" s="216"/>
      <c r="BI9" s="216"/>
      <c r="BJ9" s="216"/>
      <c r="BK9" s="216"/>
      <c r="BL9" s="216"/>
    </row>
    <row r="10" customHeight="1" spans="1:64">
      <c r="A10" s="169"/>
      <c r="B10" s="169"/>
      <c r="C10" s="169"/>
      <c r="D10" s="169"/>
      <c r="E10" s="169"/>
      <c r="F10" s="169"/>
      <c r="G10" s="169"/>
      <c r="H10" s="169"/>
      <c r="I10" s="169"/>
      <c r="J10" s="169"/>
      <c r="K10" s="190"/>
      <c r="L10" s="195"/>
      <c r="M10" s="192"/>
      <c r="N10" s="193"/>
      <c r="O10" s="193"/>
      <c r="P10" s="193"/>
      <c r="Q10" s="193"/>
      <c r="R10" s="169"/>
      <c r="S10" s="169"/>
      <c r="T10" s="169"/>
      <c r="U10" s="169"/>
      <c r="V10" s="202"/>
      <c r="W10" s="191"/>
      <c r="X10" s="191"/>
      <c r="Y10" s="191"/>
      <c r="Z10" s="191"/>
      <c r="AA10" s="191"/>
      <c r="AB10" s="191"/>
      <c r="AC10" s="206"/>
      <c r="AD10" s="206"/>
      <c r="AE10" s="206"/>
      <c r="AF10" s="206"/>
      <c r="AG10" s="206"/>
      <c r="AH10" s="206"/>
      <c r="AI10" s="206"/>
      <c r="AJ10" s="191"/>
      <c r="AK10" s="216"/>
      <c r="AL10" s="217"/>
      <c r="AM10" s="217"/>
      <c r="AN10" s="217"/>
      <c r="AO10" s="217"/>
      <c r="AP10" s="216"/>
      <c r="AQ10" s="216"/>
      <c r="AR10" s="216"/>
      <c r="AS10" s="216"/>
      <c r="AT10" s="216"/>
      <c r="AU10" s="216"/>
      <c r="AV10" s="216"/>
      <c r="AW10" s="216"/>
      <c r="AX10" s="216"/>
      <c r="AY10" s="216"/>
      <c r="AZ10" s="216"/>
      <c r="BA10" s="216"/>
      <c r="BB10" s="216"/>
      <c r="BC10" s="216"/>
      <c r="BD10" s="216"/>
      <c r="BE10" s="216"/>
      <c r="BF10" s="216"/>
      <c r="BG10" s="216"/>
      <c r="BH10" s="216"/>
      <c r="BI10" s="216"/>
      <c r="BJ10" s="216"/>
      <c r="BK10" s="216"/>
      <c r="BL10" s="216"/>
    </row>
    <row r="11" customHeight="1" spans="1:64">
      <c r="A11" s="169"/>
      <c r="B11" s="169"/>
      <c r="C11" s="169"/>
      <c r="D11" s="169"/>
      <c r="E11" s="169"/>
      <c r="F11" s="169"/>
      <c r="G11" s="169"/>
      <c r="H11" s="169"/>
      <c r="I11" s="169"/>
      <c r="J11" s="169"/>
      <c r="K11" s="190"/>
      <c r="L11" s="195"/>
      <c r="M11" s="192"/>
      <c r="N11" s="193"/>
      <c r="O11" s="193"/>
      <c r="P11" s="193"/>
      <c r="Q11" s="193"/>
      <c r="R11" s="169"/>
      <c r="S11" s="169"/>
      <c r="T11" s="169"/>
      <c r="U11" s="169"/>
      <c r="V11" s="202"/>
      <c r="W11" s="191"/>
      <c r="X11" s="191"/>
      <c r="Y11" s="191"/>
      <c r="Z11" s="191"/>
      <c r="AA11" s="191"/>
      <c r="AB11" s="191"/>
      <c r="AC11" s="206"/>
      <c r="AD11" s="206"/>
      <c r="AE11" s="206"/>
      <c r="AF11" s="206"/>
      <c r="AG11" s="206"/>
      <c r="AH11" s="206"/>
      <c r="AI11" s="206"/>
      <c r="AJ11" s="191"/>
      <c r="AK11" s="216"/>
      <c r="AL11" s="217"/>
      <c r="AM11" s="217"/>
      <c r="AN11" s="217"/>
      <c r="AO11" s="217"/>
      <c r="AP11" s="216"/>
      <c r="AQ11" s="216"/>
      <c r="AR11" s="216"/>
      <c r="AS11" s="216"/>
      <c r="AT11" s="216"/>
      <c r="AU11" s="216"/>
      <c r="AV11" s="216"/>
      <c r="AW11" s="216"/>
      <c r="AX11" s="216"/>
      <c r="AY11" s="216"/>
      <c r="AZ11" s="216"/>
      <c r="BA11" s="216"/>
      <c r="BB11" s="216"/>
      <c r="BC11" s="216"/>
      <c r="BD11" s="216"/>
      <c r="BE11" s="216"/>
      <c r="BF11" s="216"/>
      <c r="BG11" s="216"/>
      <c r="BH11" s="216"/>
      <c r="BI11" s="216"/>
      <c r="BJ11" s="216"/>
      <c r="BK11" s="216"/>
      <c r="BL11" s="216"/>
    </row>
    <row r="12" customHeight="1" spans="1:64">
      <c r="A12" s="169"/>
      <c r="B12" s="169"/>
      <c r="C12" s="169"/>
      <c r="D12" s="169"/>
      <c r="E12" s="169"/>
      <c r="F12" s="169"/>
      <c r="G12" s="169"/>
      <c r="H12" s="169"/>
      <c r="I12" s="169"/>
      <c r="J12" s="169"/>
      <c r="K12" s="190"/>
      <c r="L12" s="195"/>
      <c r="M12" s="192"/>
      <c r="N12" s="193"/>
      <c r="O12" s="193"/>
      <c r="P12" s="193"/>
      <c r="Q12" s="193"/>
      <c r="R12" s="169"/>
      <c r="S12" s="169"/>
      <c r="T12" s="169"/>
      <c r="U12" s="169"/>
      <c r="V12" s="202"/>
      <c r="W12" s="191"/>
      <c r="X12" s="191"/>
      <c r="Y12" s="191"/>
      <c r="Z12" s="191"/>
      <c r="AA12" s="191"/>
      <c r="AB12" s="191"/>
      <c r="AC12" s="206"/>
      <c r="AD12" s="206"/>
      <c r="AE12" s="206"/>
      <c r="AF12" s="206"/>
      <c r="AG12" s="206"/>
      <c r="AH12" s="206"/>
      <c r="AI12" s="206"/>
      <c r="AJ12" s="191"/>
      <c r="AK12" s="216"/>
      <c r="AL12" s="217"/>
      <c r="AM12" s="217"/>
      <c r="AN12" s="217"/>
      <c r="AO12" s="217"/>
      <c r="AP12" s="216"/>
      <c r="AQ12" s="216"/>
      <c r="AR12" s="216"/>
      <c r="AS12" s="216"/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6"/>
      <c r="BF12" s="216"/>
      <c r="BG12" s="216"/>
      <c r="BH12" s="216"/>
      <c r="BI12" s="216"/>
      <c r="BJ12" s="216"/>
      <c r="BK12" s="216"/>
      <c r="BL12" s="216"/>
    </row>
    <row r="13" customHeight="1" spans="1:64">
      <c r="A13" s="169"/>
      <c r="B13" s="169"/>
      <c r="C13" s="169"/>
      <c r="D13" s="169"/>
      <c r="E13" s="169"/>
      <c r="F13" s="169"/>
      <c r="G13" s="169"/>
      <c r="H13" s="169"/>
      <c r="I13" s="169"/>
      <c r="J13" s="169"/>
      <c r="K13" s="190"/>
      <c r="L13" s="195"/>
      <c r="M13" s="192"/>
      <c r="N13" s="193"/>
      <c r="O13" s="193"/>
      <c r="P13" s="193"/>
      <c r="Q13" s="193"/>
      <c r="R13" s="169"/>
      <c r="S13" s="169"/>
      <c r="T13" s="169"/>
      <c r="U13" s="169"/>
      <c r="V13" s="202"/>
      <c r="W13" s="191"/>
      <c r="X13" s="191"/>
      <c r="Y13" s="191"/>
      <c r="Z13" s="191"/>
      <c r="AA13" s="191"/>
      <c r="AB13" s="191"/>
      <c r="AC13" s="206"/>
      <c r="AD13" s="206"/>
      <c r="AE13" s="206"/>
      <c r="AF13" s="206"/>
      <c r="AG13" s="206"/>
      <c r="AH13" s="206"/>
      <c r="AI13" s="206"/>
      <c r="AJ13" s="191"/>
      <c r="AK13" s="216"/>
      <c r="AL13" s="217"/>
      <c r="AM13" s="217"/>
      <c r="AN13" s="217"/>
      <c r="AO13" s="217"/>
      <c r="AP13" s="216"/>
      <c r="AQ13" s="216"/>
      <c r="AR13" s="216"/>
      <c r="AS13" s="216"/>
      <c r="AT13" s="216"/>
      <c r="AU13" s="216"/>
      <c r="AV13" s="216"/>
      <c r="AW13" s="216"/>
      <c r="AX13" s="216"/>
      <c r="AY13" s="216"/>
      <c r="AZ13" s="216"/>
      <c r="BA13" s="216"/>
      <c r="BB13" s="216"/>
      <c r="BC13" s="216"/>
      <c r="BD13" s="216"/>
      <c r="BE13" s="216"/>
      <c r="BF13" s="216"/>
      <c r="BG13" s="216"/>
      <c r="BH13" s="216"/>
      <c r="BI13" s="216"/>
      <c r="BJ13" s="216"/>
      <c r="BK13" s="216"/>
      <c r="BL13" s="216"/>
    </row>
    <row r="14" customHeight="1" spans="1:64">
      <c r="A14" s="169"/>
      <c r="B14" s="169"/>
      <c r="C14" s="169"/>
      <c r="D14" s="169"/>
      <c r="E14" s="169"/>
      <c r="F14" s="169"/>
      <c r="G14" s="169"/>
      <c r="H14" s="169"/>
      <c r="I14" s="169"/>
      <c r="J14" s="169"/>
      <c r="K14" s="190"/>
      <c r="L14" s="195"/>
      <c r="M14" s="192"/>
      <c r="N14" s="193"/>
      <c r="O14" s="193"/>
      <c r="P14" s="193"/>
      <c r="Q14" s="193"/>
      <c r="R14" s="169"/>
      <c r="S14" s="169"/>
      <c r="T14" s="169"/>
      <c r="U14" s="169"/>
      <c r="V14" s="202"/>
      <c r="W14" s="191"/>
      <c r="X14" s="191"/>
      <c r="Y14" s="191"/>
      <c r="Z14" s="191"/>
      <c r="AA14" s="191"/>
      <c r="AB14" s="191"/>
      <c r="AC14" s="206"/>
      <c r="AD14" s="206"/>
      <c r="AE14" s="206"/>
      <c r="AF14" s="206"/>
      <c r="AG14" s="206"/>
      <c r="AH14" s="206"/>
      <c r="AI14" s="206"/>
      <c r="AJ14" s="191"/>
      <c r="AK14" s="216"/>
      <c r="AL14" s="217"/>
      <c r="AM14" s="217"/>
      <c r="AN14" s="217"/>
      <c r="AO14" s="217"/>
      <c r="AP14" s="216"/>
      <c r="AQ14" s="216"/>
      <c r="AR14" s="216"/>
      <c r="AS14" s="216"/>
      <c r="AT14" s="216"/>
      <c r="AU14" s="216"/>
      <c r="AV14" s="216"/>
      <c r="AW14" s="216"/>
      <c r="AX14" s="216"/>
      <c r="AY14" s="216"/>
      <c r="AZ14" s="216"/>
      <c r="BA14" s="216"/>
      <c r="BB14" s="216"/>
      <c r="BC14" s="216"/>
      <c r="BD14" s="216"/>
      <c r="BE14" s="216"/>
      <c r="BF14" s="216"/>
      <c r="BG14" s="216"/>
      <c r="BH14" s="216"/>
      <c r="BI14" s="216"/>
      <c r="BJ14" s="216"/>
      <c r="BK14" s="216"/>
      <c r="BL14" s="216"/>
    </row>
    <row r="15" customHeight="1" spans="1:64">
      <c r="A15" s="169"/>
      <c r="B15" s="169"/>
      <c r="C15" s="169"/>
      <c r="D15" s="169"/>
      <c r="E15" s="169"/>
      <c r="F15" s="169"/>
      <c r="G15" s="169"/>
      <c r="H15" s="169"/>
      <c r="I15" s="169"/>
      <c r="J15" s="169"/>
      <c r="K15" s="190"/>
      <c r="L15" s="195"/>
      <c r="M15" s="192"/>
      <c r="N15" s="193"/>
      <c r="O15" s="193"/>
      <c r="P15" s="193"/>
      <c r="Q15" s="193"/>
      <c r="R15" s="169"/>
      <c r="S15" s="169"/>
      <c r="T15" s="169"/>
      <c r="U15" s="169"/>
      <c r="V15" s="202"/>
      <c r="W15" s="191"/>
      <c r="X15" s="191"/>
      <c r="Y15" s="191"/>
      <c r="Z15" s="191"/>
      <c r="AA15" s="191"/>
      <c r="AB15" s="191"/>
      <c r="AC15" s="206"/>
      <c r="AD15" s="206"/>
      <c r="AE15" s="206"/>
      <c r="AF15" s="206"/>
      <c r="AG15" s="206"/>
      <c r="AH15" s="206"/>
      <c r="AI15" s="206"/>
      <c r="AJ15" s="191"/>
      <c r="AK15" s="216"/>
      <c r="AL15" s="217"/>
      <c r="AM15" s="217"/>
      <c r="AN15" s="217"/>
      <c r="AO15" s="217"/>
      <c r="AP15" s="216"/>
      <c r="AQ15" s="216"/>
      <c r="AR15" s="216"/>
      <c r="AS15" s="216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6"/>
      <c r="BH15" s="216"/>
      <c r="BI15" s="216"/>
      <c r="BJ15" s="216"/>
      <c r="BK15" s="216"/>
      <c r="BL15" s="216"/>
    </row>
    <row r="16" customHeight="1" spans="1:64">
      <c r="A16" s="169"/>
      <c r="B16" s="169"/>
      <c r="C16" s="169"/>
      <c r="D16" s="169"/>
      <c r="E16" s="169"/>
      <c r="F16" s="169"/>
      <c r="G16" s="169"/>
      <c r="H16" s="169"/>
      <c r="I16" s="169"/>
      <c r="J16" s="169"/>
      <c r="K16" s="190"/>
      <c r="L16" s="195"/>
      <c r="M16" s="192"/>
      <c r="N16" s="193"/>
      <c r="O16" s="193"/>
      <c r="P16" s="193"/>
      <c r="Q16" s="193"/>
      <c r="R16" s="169"/>
      <c r="S16" s="169"/>
      <c r="T16" s="169"/>
      <c r="U16" s="169"/>
      <c r="V16" s="202"/>
      <c r="W16" s="191"/>
      <c r="X16" s="191"/>
      <c r="Y16" s="191"/>
      <c r="Z16" s="191"/>
      <c r="AA16" s="191"/>
      <c r="AB16" s="191"/>
      <c r="AC16" s="206"/>
      <c r="AD16" s="206"/>
      <c r="AE16" s="206"/>
      <c r="AF16" s="206"/>
      <c r="AG16" s="206"/>
      <c r="AH16" s="206"/>
      <c r="AI16" s="206"/>
      <c r="AJ16" s="191"/>
      <c r="AK16" s="216"/>
      <c r="AL16" s="217"/>
      <c r="AM16" s="217"/>
      <c r="AN16" s="217"/>
      <c r="AO16" s="217"/>
      <c r="AP16" s="216"/>
      <c r="AQ16" s="216"/>
      <c r="AR16" s="216"/>
      <c r="AS16" s="216"/>
      <c r="AT16" s="216"/>
      <c r="AU16" s="216"/>
      <c r="AV16" s="216"/>
      <c r="AW16" s="216"/>
      <c r="AX16" s="216"/>
      <c r="AY16" s="216"/>
      <c r="AZ16" s="216"/>
      <c r="BA16" s="216"/>
      <c r="BB16" s="216"/>
      <c r="BC16" s="216"/>
      <c r="BD16" s="216"/>
      <c r="BE16" s="216"/>
      <c r="BF16" s="216"/>
      <c r="BG16" s="216"/>
      <c r="BH16" s="216"/>
      <c r="BI16" s="216"/>
      <c r="BJ16" s="216"/>
      <c r="BK16" s="216"/>
      <c r="BL16" s="216"/>
    </row>
    <row r="17" customHeight="1" spans="1:64">
      <c r="A17" s="169"/>
      <c r="B17" s="169"/>
      <c r="C17" s="169"/>
      <c r="D17" s="169"/>
      <c r="E17" s="169"/>
      <c r="F17" s="169"/>
      <c r="G17" s="169"/>
      <c r="H17" s="169"/>
      <c r="I17" s="169"/>
      <c r="J17" s="169"/>
      <c r="K17" s="190"/>
      <c r="L17" s="195"/>
      <c r="M17" s="192"/>
      <c r="N17" s="193"/>
      <c r="O17" s="193"/>
      <c r="P17" s="193"/>
      <c r="Q17" s="193"/>
      <c r="R17" s="169"/>
      <c r="S17" s="169"/>
      <c r="T17" s="169"/>
      <c r="U17" s="169"/>
      <c r="V17" s="202"/>
      <c r="W17" s="191"/>
      <c r="X17" s="191"/>
      <c r="Y17" s="191"/>
      <c r="Z17" s="191"/>
      <c r="AA17" s="191"/>
      <c r="AB17" s="191"/>
      <c r="AC17" s="206"/>
      <c r="AD17" s="206"/>
      <c r="AE17" s="206"/>
      <c r="AF17" s="206"/>
      <c r="AG17" s="206"/>
      <c r="AH17" s="206"/>
      <c r="AI17" s="206"/>
      <c r="AJ17" s="191"/>
      <c r="AK17" s="216"/>
      <c r="AL17" s="217"/>
      <c r="AM17" s="217"/>
      <c r="AN17" s="217"/>
      <c r="AO17" s="217"/>
      <c r="AP17" s="216"/>
      <c r="AQ17" s="216"/>
      <c r="AR17" s="216"/>
      <c r="AS17" s="216"/>
      <c r="AT17" s="216"/>
      <c r="AU17" s="216"/>
      <c r="AV17" s="216"/>
      <c r="AW17" s="216"/>
      <c r="AX17" s="216"/>
      <c r="AY17" s="216"/>
      <c r="AZ17" s="216"/>
      <c r="BA17" s="216"/>
      <c r="BB17" s="216"/>
      <c r="BC17" s="216"/>
      <c r="BD17" s="216"/>
      <c r="BE17" s="216"/>
      <c r="BF17" s="216"/>
      <c r="BG17" s="216"/>
      <c r="BH17" s="216"/>
      <c r="BI17" s="216"/>
      <c r="BJ17" s="216"/>
      <c r="BK17" s="216"/>
      <c r="BL17" s="216"/>
    </row>
    <row r="18" customHeight="1" spans="1:64">
      <c r="A18" s="169"/>
      <c r="B18" s="169"/>
      <c r="C18" s="169"/>
      <c r="D18" s="169"/>
      <c r="E18" s="169"/>
      <c r="F18" s="169"/>
      <c r="G18" s="169"/>
      <c r="H18" s="169"/>
      <c r="I18" s="169"/>
      <c r="J18" s="169"/>
      <c r="K18" s="190"/>
      <c r="L18" s="195"/>
      <c r="M18" s="192"/>
      <c r="N18" s="193"/>
      <c r="O18" s="193"/>
      <c r="P18" s="193"/>
      <c r="Q18" s="193"/>
      <c r="R18" s="169"/>
      <c r="S18" s="169"/>
      <c r="T18" s="169"/>
      <c r="U18" s="169"/>
      <c r="V18" s="202"/>
      <c r="W18" s="191"/>
      <c r="X18" s="191"/>
      <c r="Y18" s="191"/>
      <c r="Z18" s="191"/>
      <c r="AA18" s="191"/>
      <c r="AB18" s="191"/>
      <c r="AC18" s="206"/>
      <c r="AD18" s="206"/>
      <c r="AE18" s="206"/>
      <c r="AF18" s="206"/>
      <c r="AG18" s="206"/>
      <c r="AH18" s="206"/>
      <c r="AI18" s="206"/>
      <c r="AJ18" s="191"/>
      <c r="AK18" s="216"/>
      <c r="AL18" s="217"/>
      <c r="AM18" s="217"/>
      <c r="AN18" s="217"/>
      <c r="AO18" s="217"/>
      <c r="AP18" s="216"/>
      <c r="AQ18" s="216"/>
      <c r="AR18" s="216"/>
      <c r="AS18" s="216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6"/>
      <c r="BH18" s="216"/>
      <c r="BI18" s="216"/>
      <c r="BJ18" s="216"/>
      <c r="BK18" s="216"/>
      <c r="BL18" s="216"/>
    </row>
    <row r="19" customHeight="1" spans="1:64">
      <c r="A19" s="169"/>
      <c r="B19" s="169"/>
      <c r="C19" s="169"/>
      <c r="D19" s="169"/>
      <c r="E19" s="169"/>
      <c r="F19" s="169"/>
      <c r="G19" s="169"/>
      <c r="H19" s="169"/>
      <c r="I19" s="169"/>
      <c r="J19" s="169"/>
      <c r="K19" s="190"/>
      <c r="L19" s="195"/>
      <c r="M19" s="192"/>
      <c r="N19" s="193"/>
      <c r="O19" s="193"/>
      <c r="P19" s="193"/>
      <c r="Q19" s="193"/>
      <c r="R19" s="169"/>
      <c r="S19" s="169"/>
      <c r="T19" s="169"/>
      <c r="U19" s="169"/>
      <c r="V19" s="202"/>
      <c r="W19" s="191"/>
      <c r="X19" s="191"/>
      <c r="Y19" s="191"/>
      <c r="Z19" s="191"/>
      <c r="AA19" s="191"/>
      <c r="AB19" s="191"/>
      <c r="AC19" s="206"/>
      <c r="AD19" s="206"/>
      <c r="AE19" s="206"/>
      <c r="AF19" s="206"/>
      <c r="AG19" s="206"/>
      <c r="AH19" s="206"/>
      <c r="AI19" s="206"/>
      <c r="AJ19" s="191"/>
      <c r="AK19" s="216"/>
      <c r="AL19" s="217"/>
      <c r="AM19" s="217"/>
      <c r="AN19" s="217"/>
      <c r="AO19" s="217"/>
      <c r="AP19" s="216"/>
      <c r="AQ19" s="216"/>
      <c r="AR19" s="216"/>
      <c r="AS19" s="216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6"/>
      <c r="BH19" s="216"/>
      <c r="BI19" s="216"/>
      <c r="BJ19" s="216"/>
      <c r="BK19" s="216"/>
      <c r="BL19" s="216"/>
    </row>
    <row r="20" customHeight="1" spans="1:64">
      <c r="A20" s="169"/>
      <c r="B20" s="169"/>
      <c r="C20" s="169"/>
      <c r="D20" s="169"/>
      <c r="E20" s="169"/>
      <c r="F20" s="169"/>
      <c r="G20" s="169"/>
      <c r="H20" s="169"/>
      <c r="I20" s="169"/>
      <c r="J20" s="169"/>
      <c r="K20" s="190"/>
      <c r="L20" s="195"/>
      <c r="M20" s="192"/>
      <c r="N20" s="193"/>
      <c r="O20" s="193"/>
      <c r="P20" s="193"/>
      <c r="Q20" s="193"/>
      <c r="R20" s="169"/>
      <c r="S20" s="169"/>
      <c r="T20" s="169"/>
      <c r="U20" s="169"/>
      <c r="V20" s="202"/>
      <c r="W20" s="191"/>
      <c r="X20" s="191"/>
      <c r="Y20" s="191"/>
      <c r="Z20" s="191"/>
      <c r="AA20" s="191"/>
      <c r="AB20" s="191"/>
      <c r="AC20" s="206"/>
      <c r="AD20" s="206"/>
      <c r="AE20" s="206"/>
      <c r="AF20" s="206"/>
      <c r="AG20" s="206"/>
      <c r="AH20" s="206"/>
      <c r="AI20" s="206"/>
      <c r="AJ20" s="191"/>
      <c r="AK20" s="216"/>
      <c r="AL20" s="217"/>
      <c r="AM20" s="217"/>
      <c r="AN20" s="217"/>
      <c r="AO20" s="217"/>
      <c r="AP20" s="216"/>
      <c r="AQ20" s="216"/>
      <c r="AR20" s="216"/>
      <c r="AS20" s="216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6"/>
      <c r="BH20" s="216"/>
      <c r="BI20" s="216"/>
      <c r="BJ20" s="216"/>
      <c r="BK20" s="216"/>
      <c r="BL20" s="216"/>
    </row>
    <row r="21" customHeight="1" spans="1:64">
      <c r="A21" s="169"/>
      <c r="B21" s="169"/>
      <c r="C21" s="169"/>
      <c r="D21" s="169"/>
      <c r="E21" s="169"/>
      <c r="F21" s="169"/>
      <c r="G21" s="169"/>
      <c r="H21" s="169"/>
      <c r="I21" s="169"/>
      <c r="J21" s="169"/>
      <c r="K21" s="190"/>
      <c r="L21" s="195"/>
      <c r="M21" s="192"/>
      <c r="N21" s="193"/>
      <c r="O21" s="193"/>
      <c r="P21" s="193"/>
      <c r="Q21" s="193"/>
      <c r="R21" s="169"/>
      <c r="S21" s="169"/>
      <c r="T21" s="169"/>
      <c r="U21" s="169"/>
      <c r="V21" s="202"/>
      <c r="W21" s="191"/>
      <c r="X21" s="191"/>
      <c r="Y21" s="191"/>
      <c r="Z21" s="191"/>
      <c r="AA21" s="191"/>
      <c r="AB21" s="191"/>
      <c r="AC21" s="206"/>
      <c r="AD21" s="206"/>
      <c r="AE21" s="206"/>
      <c r="AF21" s="206"/>
      <c r="AG21" s="206"/>
      <c r="AH21" s="206"/>
      <c r="AI21" s="206"/>
      <c r="AJ21" s="191"/>
      <c r="AK21" s="216"/>
      <c r="AL21" s="217"/>
      <c r="AM21" s="217"/>
      <c r="AN21" s="217"/>
      <c r="AO21" s="217"/>
      <c r="AP21" s="216"/>
      <c r="AQ21" s="216"/>
      <c r="AR21" s="216"/>
      <c r="AS21" s="216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6"/>
      <c r="BH21" s="216"/>
      <c r="BI21" s="216"/>
      <c r="BJ21" s="216"/>
      <c r="BK21" s="216"/>
      <c r="BL21" s="216"/>
    </row>
    <row r="22" customHeight="1" spans="1:64">
      <c r="A22" s="169"/>
      <c r="B22" s="169"/>
      <c r="C22" s="169"/>
      <c r="D22" s="169"/>
      <c r="E22" s="169"/>
      <c r="F22" s="169"/>
      <c r="G22" s="169"/>
      <c r="H22" s="169"/>
      <c r="I22" s="169"/>
      <c r="J22" s="169"/>
      <c r="K22" s="190"/>
      <c r="L22" s="195"/>
      <c r="M22" s="192"/>
      <c r="N22" s="193"/>
      <c r="O22" s="193"/>
      <c r="P22" s="193"/>
      <c r="Q22" s="193"/>
      <c r="R22" s="169"/>
      <c r="S22" s="169"/>
      <c r="T22" s="169"/>
      <c r="U22" s="169"/>
      <c r="V22" s="202"/>
      <c r="W22" s="191"/>
      <c r="X22" s="191"/>
      <c r="Y22" s="191"/>
      <c r="Z22" s="191"/>
      <c r="AA22" s="191"/>
      <c r="AB22" s="191"/>
      <c r="AC22" s="206"/>
      <c r="AD22" s="206"/>
      <c r="AE22" s="206"/>
      <c r="AF22" s="206"/>
      <c r="AG22" s="206"/>
      <c r="AH22" s="206"/>
      <c r="AI22" s="206"/>
      <c r="AJ22" s="191"/>
      <c r="AK22" s="216"/>
      <c r="AL22" s="217"/>
      <c r="AM22" s="217"/>
      <c r="AN22" s="217"/>
      <c r="AO22" s="217"/>
      <c r="AP22" s="216"/>
      <c r="AQ22" s="216"/>
      <c r="AR22" s="216"/>
      <c r="AS22" s="216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6"/>
      <c r="BH22" s="216"/>
      <c r="BI22" s="216"/>
      <c r="BJ22" s="216"/>
      <c r="BK22" s="216"/>
      <c r="BL22" s="216"/>
    </row>
    <row r="23" customHeight="1" spans="1:64">
      <c r="A23" s="169"/>
      <c r="B23" s="169"/>
      <c r="C23" s="169"/>
      <c r="D23" s="169"/>
      <c r="E23" s="169"/>
      <c r="F23" s="169"/>
      <c r="G23" s="169"/>
      <c r="H23" s="169"/>
      <c r="I23" s="169"/>
      <c r="J23" s="169"/>
      <c r="K23" s="190"/>
      <c r="L23" s="195"/>
      <c r="M23" s="192"/>
      <c r="N23" s="193"/>
      <c r="O23" s="193"/>
      <c r="P23" s="193"/>
      <c r="Q23" s="193"/>
      <c r="R23" s="169"/>
      <c r="S23" s="169"/>
      <c r="T23" s="169"/>
      <c r="U23" s="169"/>
      <c r="V23" s="202"/>
      <c r="W23" s="191"/>
      <c r="X23" s="191"/>
      <c r="Y23" s="191"/>
      <c r="Z23" s="191"/>
      <c r="AA23" s="191"/>
      <c r="AB23" s="191"/>
      <c r="AC23" s="206"/>
      <c r="AD23" s="206"/>
      <c r="AE23" s="206"/>
      <c r="AF23" s="206"/>
      <c r="AG23" s="206"/>
      <c r="AH23" s="206"/>
      <c r="AI23" s="206"/>
      <c r="AJ23" s="191"/>
      <c r="AK23" s="216"/>
      <c r="AL23" s="217"/>
      <c r="AM23" s="217"/>
      <c r="AN23" s="217"/>
      <c r="AO23" s="217"/>
      <c r="AP23" s="216"/>
      <c r="AQ23" s="216"/>
      <c r="AR23" s="216"/>
      <c r="AS23" s="216"/>
      <c r="AT23" s="216"/>
      <c r="AU23" s="216"/>
      <c r="AV23" s="216"/>
      <c r="AW23" s="216"/>
      <c r="AX23" s="216"/>
      <c r="AY23" s="216"/>
      <c r="AZ23" s="216"/>
      <c r="BA23" s="216"/>
      <c r="BB23" s="216"/>
      <c r="BC23" s="216"/>
      <c r="BD23" s="216"/>
      <c r="BE23" s="216"/>
      <c r="BF23" s="216"/>
      <c r="BG23" s="216"/>
      <c r="BH23" s="216"/>
      <c r="BI23" s="216"/>
      <c r="BJ23" s="216"/>
      <c r="BK23" s="216"/>
      <c r="BL23" s="216"/>
    </row>
  </sheetData>
  <autoFilter ref="A3:BL7">
    <extLst/>
  </autoFilter>
  <mergeCells count="7">
    <mergeCell ref="A2:G2"/>
    <mergeCell ref="H2:Q2"/>
    <mergeCell ref="R2:AJ2"/>
    <mergeCell ref="AK2:AX2"/>
    <mergeCell ref="AY2:BL2"/>
    <mergeCell ref="A4:D4"/>
    <mergeCell ref="A6:D6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"/>
  <sheetViews>
    <sheetView workbookViewId="0">
      <selection activeCell="I7" sqref="I7:J7"/>
    </sheetView>
  </sheetViews>
  <sheetFormatPr defaultColWidth="9" defaultRowHeight="14.25"/>
  <cols>
    <col min="1" max="5" width="9" style="123"/>
    <col min="6" max="6" width="13.3583333333333" style="123" customWidth="1"/>
    <col min="7" max="7" width="9.625" style="123" customWidth="1"/>
    <col min="8" max="8" width="9" style="123"/>
    <col min="9" max="9" width="9.75833333333333" style="123" customWidth="1"/>
    <col min="10" max="10" width="13.2583333333333" style="123" customWidth="1"/>
    <col min="11" max="11" width="9.625" style="123" customWidth="1"/>
    <col min="12" max="13" width="9" style="123"/>
    <col min="14" max="14" width="12.275" style="123" customWidth="1"/>
    <col min="15" max="16384" width="9" style="123"/>
  </cols>
  <sheetData>
    <row r="1" s="123" customFormat="1" ht="33.75" spans="1:14">
      <c r="A1" s="124" t="s">
        <v>88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="123" customFormat="1" ht="18" customHeight="1" spans="1:14">
      <c r="A2" s="125" t="s">
        <v>89</v>
      </c>
      <c r="B2" s="125" t="s">
        <v>90</v>
      </c>
      <c r="C2" s="125" t="s">
        <v>91</v>
      </c>
      <c r="D2" s="125"/>
      <c r="E2" s="125" t="s">
        <v>92</v>
      </c>
      <c r="F2" s="125"/>
      <c r="G2" s="125" t="s">
        <v>93</v>
      </c>
      <c r="H2" s="125"/>
      <c r="I2" s="125" t="s">
        <v>94</v>
      </c>
      <c r="J2" s="138"/>
      <c r="K2" s="125" t="s">
        <v>95</v>
      </c>
      <c r="L2" s="138"/>
      <c r="M2" s="125" t="s">
        <v>96</v>
      </c>
      <c r="N2" s="125"/>
    </row>
    <row r="3" s="123" customFormat="1" ht="28.5" spans="1:14">
      <c r="A3" s="126" t="s">
        <v>97</v>
      </c>
      <c r="B3" s="127" t="s">
        <v>98</v>
      </c>
      <c r="C3" s="127"/>
      <c r="D3" s="127" t="s">
        <v>99</v>
      </c>
      <c r="E3" s="127"/>
      <c r="F3" s="127"/>
      <c r="G3" s="127"/>
      <c r="H3" s="127"/>
      <c r="I3" s="127" t="s">
        <v>100</v>
      </c>
      <c r="J3" s="127"/>
      <c r="K3" s="127" t="s">
        <v>101</v>
      </c>
      <c r="L3" s="139" t="s">
        <v>102</v>
      </c>
      <c r="M3" s="127" t="s">
        <v>103</v>
      </c>
      <c r="N3" s="140"/>
    </row>
    <row r="4" s="123" customFormat="1" ht="28.5" customHeight="1" spans="1:14">
      <c r="A4" s="128">
        <v>1</v>
      </c>
      <c r="B4" s="129" t="s">
        <v>104</v>
      </c>
      <c r="C4" s="130"/>
      <c r="D4" s="129" t="s">
        <v>105</v>
      </c>
      <c r="E4" s="131"/>
      <c r="F4" s="131"/>
      <c r="G4" s="131"/>
      <c r="H4" s="130"/>
      <c r="I4" s="141"/>
      <c r="J4" s="142"/>
      <c r="K4" s="143"/>
      <c r="L4" s="128"/>
      <c r="M4" s="144"/>
      <c r="N4" s="142"/>
    </row>
    <row r="5" s="123" customFormat="1" ht="28.5" customHeight="1" spans="1:14">
      <c r="A5" s="128">
        <v>2</v>
      </c>
      <c r="B5" s="129" t="s">
        <v>106</v>
      </c>
      <c r="C5" s="130"/>
      <c r="D5" s="129" t="s">
        <v>107</v>
      </c>
      <c r="E5" s="131"/>
      <c r="F5" s="131"/>
      <c r="G5" s="131"/>
      <c r="H5" s="130"/>
      <c r="I5" s="141"/>
      <c r="J5" s="142"/>
      <c r="K5" s="128"/>
      <c r="L5" s="128"/>
      <c r="M5" s="144"/>
      <c r="N5" s="142"/>
    </row>
    <row r="6" s="123" customFormat="1" ht="28.5" customHeight="1" spans="1:14">
      <c r="A6" s="128">
        <v>3</v>
      </c>
      <c r="B6" s="129" t="s">
        <v>108</v>
      </c>
      <c r="C6" s="130"/>
      <c r="D6" s="129" t="s">
        <v>109</v>
      </c>
      <c r="E6" s="131"/>
      <c r="F6" s="131"/>
      <c r="G6" s="131"/>
      <c r="H6" s="130"/>
      <c r="I6" s="141"/>
      <c r="J6" s="142"/>
      <c r="K6" s="128"/>
      <c r="L6" s="128"/>
      <c r="M6" s="144"/>
      <c r="N6" s="142"/>
    </row>
    <row r="7" s="123" customFormat="1" ht="28.5" customHeight="1" spans="1:14">
      <c r="A7" s="128">
        <v>4</v>
      </c>
      <c r="B7" s="129" t="s">
        <v>110</v>
      </c>
      <c r="C7" s="130"/>
      <c r="D7" s="129" t="s">
        <v>111</v>
      </c>
      <c r="E7" s="131"/>
      <c r="F7" s="131"/>
      <c r="G7" s="131"/>
      <c r="H7" s="130"/>
      <c r="I7" s="141"/>
      <c r="J7" s="142"/>
      <c r="K7" s="128"/>
      <c r="L7" s="128"/>
      <c r="M7" s="144"/>
      <c r="N7" s="142"/>
    </row>
    <row r="8" s="123" customFormat="1" ht="46" customHeight="1" spans="1:14">
      <c r="A8" s="128">
        <v>5</v>
      </c>
      <c r="B8" s="129" t="s">
        <v>112</v>
      </c>
      <c r="C8" s="130"/>
      <c r="D8" s="132" t="s">
        <v>113</v>
      </c>
      <c r="E8" s="131"/>
      <c r="F8" s="131"/>
      <c r="G8" s="131"/>
      <c r="H8" s="130"/>
      <c r="I8" s="141"/>
      <c r="J8" s="142"/>
      <c r="K8" s="128"/>
      <c r="L8" s="128"/>
      <c r="M8" s="144"/>
      <c r="N8" s="142"/>
    </row>
    <row r="9" s="123" customFormat="1" ht="28.5" customHeight="1" spans="1:14">
      <c r="A9" s="128">
        <v>6</v>
      </c>
      <c r="B9" s="129" t="s">
        <v>114</v>
      </c>
      <c r="C9" s="130"/>
      <c r="D9" s="129" t="s">
        <v>115</v>
      </c>
      <c r="E9" s="131"/>
      <c r="F9" s="131"/>
      <c r="G9" s="131"/>
      <c r="H9" s="130"/>
      <c r="I9" s="141"/>
      <c r="J9" s="142"/>
      <c r="K9" s="128"/>
      <c r="L9" s="128"/>
      <c r="M9" s="144"/>
      <c r="N9" s="142"/>
    </row>
    <row r="10" s="123" customFormat="1" ht="28.5" customHeight="1" spans="1:14">
      <c r="A10" s="128">
        <v>7</v>
      </c>
      <c r="B10" s="129" t="s">
        <v>116</v>
      </c>
      <c r="C10" s="130"/>
      <c r="D10" s="129" t="s">
        <v>117</v>
      </c>
      <c r="E10" s="131"/>
      <c r="F10" s="131"/>
      <c r="G10" s="131"/>
      <c r="H10" s="130"/>
      <c r="I10" s="141"/>
      <c r="J10" s="142"/>
      <c r="K10" s="128"/>
      <c r="L10" s="128"/>
      <c r="M10" s="144"/>
      <c r="N10" s="142"/>
    </row>
    <row r="11" s="123" customFormat="1" ht="28.5" customHeight="1" spans="1:14">
      <c r="A11" s="128">
        <v>8</v>
      </c>
      <c r="B11" s="129" t="s">
        <v>118</v>
      </c>
      <c r="C11" s="130"/>
      <c r="D11" s="129" t="s">
        <v>119</v>
      </c>
      <c r="E11" s="131"/>
      <c r="F11" s="131"/>
      <c r="G11" s="131"/>
      <c r="H11" s="130"/>
      <c r="I11" s="141"/>
      <c r="J11" s="142"/>
      <c r="K11" s="128"/>
      <c r="L11" s="128"/>
      <c r="M11" s="144"/>
      <c r="N11" s="142"/>
    </row>
    <row r="12" s="123" customFormat="1" ht="28.5" customHeight="1" spans="1:14">
      <c r="A12" s="128">
        <v>9</v>
      </c>
      <c r="B12" s="129" t="s">
        <v>120</v>
      </c>
      <c r="C12" s="130"/>
      <c r="D12" s="129" t="s">
        <v>121</v>
      </c>
      <c r="E12" s="131"/>
      <c r="F12" s="131"/>
      <c r="G12" s="131"/>
      <c r="H12" s="130"/>
      <c r="I12" s="141"/>
      <c r="J12" s="142"/>
      <c r="K12" s="128"/>
      <c r="L12" s="128"/>
      <c r="M12" s="144"/>
      <c r="N12" s="142"/>
    </row>
    <row r="13" s="123" customFormat="1" ht="28.5" customHeight="1" spans="1:14">
      <c r="A13" s="128">
        <v>10</v>
      </c>
      <c r="B13" s="129" t="s">
        <v>122</v>
      </c>
      <c r="C13" s="130"/>
      <c r="D13" s="129" t="s">
        <v>123</v>
      </c>
      <c r="E13" s="131"/>
      <c r="F13" s="131"/>
      <c r="G13" s="131"/>
      <c r="H13" s="130"/>
      <c r="I13" s="141"/>
      <c r="J13" s="142"/>
      <c r="K13" s="128"/>
      <c r="L13" s="128"/>
      <c r="M13" s="144"/>
      <c r="N13" s="142"/>
    </row>
    <row r="14" s="123" customFormat="1" ht="28.5" customHeight="1" spans="1:14">
      <c r="A14" s="128">
        <v>11</v>
      </c>
      <c r="B14" s="129" t="s">
        <v>124</v>
      </c>
      <c r="C14" s="130"/>
      <c r="D14" s="129" t="s">
        <v>125</v>
      </c>
      <c r="E14" s="131"/>
      <c r="F14" s="131"/>
      <c r="G14" s="131"/>
      <c r="H14" s="130"/>
      <c r="I14" s="141"/>
      <c r="J14" s="142"/>
      <c r="K14" s="128"/>
      <c r="L14" s="128"/>
      <c r="M14" s="144"/>
      <c r="N14" s="142"/>
    </row>
    <row r="15" s="123" customFormat="1" ht="28.5" customHeight="1" spans="1:14">
      <c r="A15" s="128">
        <v>12</v>
      </c>
      <c r="B15" s="129" t="s">
        <v>126</v>
      </c>
      <c r="C15" s="130"/>
      <c r="D15" s="129" t="s">
        <v>127</v>
      </c>
      <c r="E15" s="131"/>
      <c r="F15" s="131"/>
      <c r="G15" s="131"/>
      <c r="H15" s="130"/>
      <c r="I15" s="141"/>
      <c r="J15" s="142"/>
      <c r="K15" s="128"/>
      <c r="L15" s="128"/>
      <c r="M15" s="144"/>
      <c r="N15" s="142"/>
    </row>
    <row r="16" s="123" customFormat="1" ht="28.5" customHeight="1" spans="1:14">
      <c r="A16" s="128">
        <v>13</v>
      </c>
      <c r="B16" s="129" t="s">
        <v>128</v>
      </c>
      <c r="C16" s="130"/>
      <c r="D16" s="129" t="s">
        <v>129</v>
      </c>
      <c r="E16" s="131"/>
      <c r="F16" s="131"/>
      <c r="G16" s="131"/>
      <c r="H16" s="130"/>
      <c r="I16" s="141"/>
      <c r="J16" s="142"/>
      <c r="K16" s="128"/>
      <c r="L16" s="128"/>
      <c r="M16" s="144"/>
      <c r="N16" s="142"/>
    </row>
    <row r="17" s="123" customFormat="1" ht="28.5" customHeight="1" spans="1:14">
      <c r="A17" s="128">
        <v>14</v>
      </c>
      <c r="B17" s="129" t="s">
        <v>130</v>
      </c>
      <c r="C17" s="130"/>
      <c r="D17" s="129" t="s">
        <v>131</v>
      </c>
      <c r="E17" s="131"/>
      <c r="F17" s="131"/>
      <c r="G17" s="131"/>
      <c r="H17" s="130"/>
      <c r="I17" s="141"/>
      <c r="J17" s="142"/>
      <c r="K17" s="128"/>
      <c r="L17" s="128"/>
      <c r="M17" s="144"/>
      <c r="N17" s="142"/>
    </row>
    <row r="18" s="123" customFormat="1" ht="28.5" customHeight="1" spans="1:14">
      <c r="A18" s="128">
        <v>16</v>
      </c>
      <c r="B18" s="129" t="s">
        <v>132</v>
      </c>
      <c r="C18" s="130"/>
      <c r="D18" s="129" t="s">
        <v>133</v>
      </c>
      <c r="E18" s="131"/>
      <c r="F18" s="131"/>
      <c r="G18" s="131"/>
      <c r="H18" s="130"/>
      <c r="I18" s="141"/>
      <c r="J18" s="142"/>
      <c r="K18" s="128"/>
      <c r="L18" s="128"/>
      <c r="M18" s="144"/>
      <c r="N18" s="142"/>
    </row>
    <row r="19" s="123" customFormat="1" ht="28.5" customHeight="1" spans="1:14">
      <c r="A19" s="128">
        <v>17</v>
      </c>
      <c r="B19" s="129" t="s">
        <v>134</v>
      </c>
      <c r="C19" s="130"/>
      <c r="D19" s="129" t="s">
        <v>135</v>
      </c>
      <c r="E19" s="131"/>
      <c r="F19" s="131"/>
      <c r="G19" s="131"/>
      <c r="H19" s="130"/>
      <c r="I19" s="141"/>
      <c r="J19" s="142"/>
      <c r="K19" s="128"/>
      <c r="L19" s="128"/>
      <c r="M19" s="144"/>
      <c r="N19" s="142"/>
    </row>
    <row r="20" s="123" customFormat="1" ht="28.5" customHeight="1" spans="1:14">
      <c r="A20" s="128">
        <v>18</v>
      </c>
      <c r="B20" s="129" t="s">
        <v>136</v>
      </c>
      <c r="C20" s="130"/>
      <c r="D20" s="129" t="s">
        <v>137</v>
      </c>
      <c r="E20" s="131"/>
      <c r="F20" s="131"/>
      <c r="G20" s="131"/>
      <c r="H20" s="130"/>
      <c r="I20" s="141"/>
      <c r="J20" s="142"/>
      <c r="K20" s="128"/>
      <c r="L20" s="128"/>
      <c r="M20" s="144"/>
      <c r="N20" s="142"/>
    </row>
    <row r="21" s="123" customFormat="1" ht="28.5" customHeight="1" spans="1:14">
      <c r="A21" s="128">
        <v>19</v>
      </c>
      <c r="B21" s="129" t="s">
        <v>138</v>
      </c>
      <c r="C21" s="130"/>
      <c r="D21" s="129" t="s">
        <v>139</v>
      </c>
      <c r="E21" s="131"/>
      <c r="F21" s="131"/>
      <c r="G21" s="131"/>
      <c r="H21" s="130"/>
      <c r="I21" s="141"/>
      <c r="J21" s="142"/>
      <c r="K21" s="128"/>
      <c r="L21" s="128"/>
      <c r="M21" s="144"/>
      <c r="N21" s="142"/>
    </row>
    <row r="22" s="123" customFormat="1" ht="28.5" customHeight="1" spans="1:14">
      <c r="A22" s="128">
        <v>20</v>
      </c>
      <c r="B22" s="129" t="s">
        <v>140</v>
      </c>
      <c r="C22" s="130"/>
      <c r="D22" s="133" t="s">
        <v>141</v>
      </c>
      <c r="E22" s="131"/>
      <c r="F22" s="131"/>
      <c r="G22" s="131"/>
      <c r="H22" s="130"/>
      <c r="I22" s="141"/>
      <c r="J22" s="142"/>
      <c r="K22" s="128"/>
      <c r="L22" s="128"/>
      <c r="M22" s="144"/>
      <c r="N22" s="142"/>
    </row>
    <row r="23" s="123" customFormat="1" ht="27.75" customHeight="1" spans="1:14">
      <c r="A23" s="128">
        <v>21</v>
      </c>
      <c r="B23" s="134" t="s">
        <v>142</v>
      </c>
      <c r="C23" s="134"/>
      <c r="D23" s="135" t="s">
        <v>143</v>
      </c>
      <c r="E23" s="136"/>
      <c r="F23" s="136"/>
      <c r="G23" s="136"/>
      <c r="H23" s="137"/>
      <c r="I23" s="141"/>
      <c r="J23" s="142"/>
      <c r="K23" s="145"/>
      <c r="L23" s="145"/>
      <c r="M23" s="144"/>
      <c r="N23" s="142"/>
    </row>
  </sheetData>
  <mergeCells count="85">
    <mergeCell ref="A1:N1"/>
    <mergeCell ref="B3:C3"/>
    <mergeCell ref="D3:H3"/>
    <mergeCell ref="I3:J3"/>
    <mergeCell ref="M3:N3"/>
    <mergeCell ref="B4:C4"/>
    <mergeCell ref="D4:H4"/>
    <mergeCell ref="I4:J4"/>
    <mergeCell ref="M4:N4"/>
    <mergeCell ref="B5:C5"/>
    <mergeCell ref="D5:H5"/>
    <mergeCell ref="I5:J5"/>
    <mergeCell ref="M5:N5"/>
    <mergeCell ref="B6:C6"/>
    <mergeCell ref="D6:H6"/>
    <mergeCell ref="I6:J6"/>
    <mergeCell ref="M6:N6"/>
    <mergeCell ref="B7:C7"/>
    <mergeCell ref="D7:H7"/>
    <mergeCell ref="I7:J7"/>
    <mergeCell ref="M7:N7"/>
    <mergeCell ref="B8:C8"/>
    <mergeCell ref="D8:H8"/>
    <mergeCell ref="I8:J8"/>
    <mergeCell ref="M8:N8"/>
    <mergeCell ref="B9:C9"/>
    <mergeCell ref="D9:H9"/>
    <mergeCell ref="I9:J9"/>
    <mergeCell ref="M9:N9"/>
    <mergeCell ref="B10:C10"/>
    <mergeCell ref="D10:H10"/>
    <mergeCell ref="I10:J10"/>
    <mergeCell ref="M10:N10"/>
    <mergeCell ref="B11:C11"/>
    <mergeCell ref="D11:H11"/>
    <mergeCell ref="I11:J11"/>
    <mergeCell ref="M11:N11"/>
    <mergeCell ref="B12:C12"/>
    <mergeCell ref="D12:H12"/>
    <mergeCell ref="I12:J12"/>
    <mergeCell ref="M12:N12"/>
    <mergeCell ref="B13:C13"/>
    <mergeCell ref="D13:H13"/>
    <mergeCell ref="I13:J13"/>
    <mergeCell ref="M13:N13"/>
    <mergeCell ref="B14:C14"/>
    <mergeCell ref="D14:H14"/>
    <mergeCell ref="I14:J14"/>
    <mergeCell ref="M14:N14"/>
    <mergeCell ref="B15:C15"/>
    <mergeCell ref="D15:H15"/>
    <mergeCell ref="I15:J15"/>
    <mergeCell ref="M15:N15"/>
    <mergeCell ref="B16:C16"/>
    <mergeCell ref="D16:H16"/>
    <mergeCell ref="I16:J16"/>
    <mergeCell ref="M16:N16"/>
    <mergeCell ref="B17:C17"/>
    <mergeCell ref="D17:H17"/>
    <mergeCell ref="I17:J17"/>
    <mergeCell ref="M17:N17"/>
    <mergeCell ref="B18:C18"/>
    <mergeCell ref="D18:H18"/>
    <mergeCell ref="I18:J18"/>
    <mergeCell ref="M18:N18"/>
    <mergeCell ref="B19:C19"/>
    <mergeCell ref="D19:H19"/>
    <mergeCell ref="I19:J19"/>
    <mergeCell ref="M19:N19"/>
    <mergeCell ref="B20:C20"/>
    <mergeCell ref="D20:H20"/>
    <mergeCell ref="I20:J20"/>
    <mergeCell ref="M20:N20"/>
    <mergeCell ref="B21:C21"/>
    <mergeCell ref="D21:H21"/>
    <mergeCell ref="I21:J21"/>
    <mergeCell ref="M21:N21"/>
    <mergeCell ref="B22:C22"/>
    <mergeCell ref="D22:H22"/>
    <mergeCell ref="I22:J22"/>
    <mergeCell ref="M22:N22"/>
    <mergeCell ref="B23:C23"/>
    <mergeCell ref="D23:H23"/>
    <mergeCell ref="I23:J23"/>
    <mergeCell ref="M23:N23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7"/>
  <sheetViews>
    <sheetView zoomScale="145" zoomScaleNormal="145" topLeftCell="A22" workbookViewId="0">
      <selection activeCell="A1" sqref="$A1:$XFD1048576"/>
    </sheetView>
  </sheetViews>
  <sheetFormatPr defaultColWidth="6.6" defaultRowHeight="14" customHeight="1"/>
  <cols>
    <col min="1" max="1" width="3.06666666666667" style="60" customWidth="1"/>
    <col min="2" max="2" width="3.86666666666667" style="63" customWidth="1"/>
    <col min="3" max="3" width="22.125" style="60" customWidth="1"/>
    <col min="4" max="4" width="7.06666666666667" style="60" customWidth="1"/>
    <col min="5" max="5" width="9.48333333333333" style="60"/>
    <col min="6" max="6" width="8.875" style="60"/>
    <col min="7" max="7" width="8.125" style="60"/>
    <col min="8" max="9" width="9.48333333333333" style="60"/>
    <col min="10" max="10" width="9.91666666666667" style="60" customWidth="1"/>
    <col min="11" max="11" width="8.18333333333333" style="60"/>
    <col min="12" max="12" width="7.375" style="60"/>
    <col min="13" max="13" width="8.125" style="60"/>
    <col min="14" max="14" width="12.3583333333333" style="60" customWidth="1"/>
    <col min="15" max="15" width="9.625" style="60"/>
    <col min="16" max="16" width="6.625" style="60"/>
    <col min="17" max="16384" width="6.6" style="60"/>
  </cols>
  <sheetData>
    <row r="1" s="60" customFormat="1" ht="23.25" customHeight="1" spans="1:26">
      <c r="A1" s="64" t="s">
        <v>144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="61" customFormat="1" ht="27" customHeight="1" spans="2:42">
      <c r="B2" s="65" t="s">
        <v>33</v>
      </c>
      <c r="C2" s="66" t="s">
        <v>83</v>
      </c>
      <c r="D2" s="67" t="s">
        <v>38</v>
      </c>
      <c r="E2" s="68"/>
      <c r="F2" s="66"/>
      <c r="G2" s="66"/>
      <c r="H2" s="66"/>
      <c r="I2" s="66"/>
      <c r="J2" s="66" t="s">
        <v>145</v>
      </c>
      <c r="K2" s="95" t="s">
        <v>84</v>
      </c>
      <c r="L2" s="95"/>
      <c r="M2" s="96" t="s">
        <v>36</v>
      </c>
      <c r="N2" s="65"/>
      <c r="O2" s="97"/>
      <c r="P2" s="97"/>
      <c r="Q2" s="97"/>
      <c r="R2" s="97"/>
      <c r="S2" s="97"/>
      <c r="T2" s="96"/>
      <c r="U2" s="107"/>
      <c r="V2" s="108"/>
      <c r="W2" s="109"/>
      <c r="X2" s="110"/>
      <c r="Y2" s="96"/>
      <c r="Z2" s="114"/>
      <c r="AA2" s="97"/>
      <c r="AB2" s="65"/>
      <c r="AC2" s="65"/>
      <c r="AD2" s="114"/>
      <c r="AE2" s="65"/>
      <c r="AF2" s="65"/>
      <c r="AG2" s="65"/>
      <c r="AH2" s="110"/>
      <c r="AI2" s="118"/>
      <c r="AJ2" s="118"/>
      <c r="AK2" s="118"/>
      <c r="AL2" s="118"/>
      <c r="AM2" s="119"/>
      <c r="AN2" s="119"/>
      <c r="AO2" s="119"/>
      <c r="AP2" s="118"/>
    </row>
    <row r="3" s="61" customFormat="1" ht="16.9" customHeight="1" spans="1:42">
      <c r="A3" s="69" t="s">
        <v>146</v>
      </c>
      <c r="B3" s="70"/>
      <c r="C3" s="70"/>
      <c r="D3" s="71" t="s">
        <v>147</v>
      </c>
      <c r="E3" s="72" t="s">
        <v>148</v>
      </c>
      <c r="F3" s="71"/>
      <c r="G3" s="71"/>
      <c r="H3" s="71"/>
      <c r="I3" s="71"/>
      <c r="J3" s="71"/>
      <c r="K3" s="71"/>
      <c r="L3" s="71"/>
      <c r="M3" s="71"/>
      <c r="N3" s="71"/>
      <c r="O3" s="71" t="s">
        <v>149</v>
      </c>
      <c r="P3" s="71"/>
      <c r="Q3" s="71"/>
      <c r="R3" s="71"/>
      <c r="S3" s="71"/>
      <c r="T3" s="71"/>
      <c r="U3" s="71"/>
      <c r="V3" s="71"/>
      <c r="W3" s="71"/>
      <c r="X3" s="71"/>
      <c r="Y3" s="89" t="s">
        <v>150</v>
      </c>
      <c r="Z3" s="88" t="s">
        <v>151</v>
      </c>
      <c r="AA3" s="97"/>
      <c r="AB3" s="65"/>
      <c r="AC3" s="65"/>
      <c r="AD3" s="114"/>
      <c r="AE3" s="65"/>
      <c r="AF3" s="65"/>
      <c r="AG3" s="65"/>
      <c r="AH3" s="110"/>
      <c r="AI3" s="118"/>
      <c r="AJ3" s="118"/>
      <c r="AK3" s="118"/>
      <c r="AL3" s="118"/>
      <c r="AM3" s="119"/>
      <c r="AN3" s="119"/>
      <c r="AO3" s="119"/>
      <c r="AP3" s="118"/>
    </row>
    <row r="4" s="62" customFormat="1" ht="13.5" customHeight="1" spans="1:42">
      <c r="A4" s="70"/>
      <c r="B4" s="70"/>
      <c r="C4" s="70"/>
      <c r="D4" s="73" t="s">
        <v>152</v>
      </c>
      <c r="E4" s="73"/>
      <c r="F4" s="73"/>
      <c r="G4" s="73"/>
      <c r="H4" s="73"/>
      <c r="I4" s="73"/>
      <c r="J4" s="73"/>
      <c r="K4" s="98"/>
      <c r="L4" s="99"/>
      <c r="M4" s="89"/>
      <c r="N4" s="92"/>
      <c r="O4" s="91"/>
      <c r="P4" s="92"/>
      <c r="Q4" s="92"/>
      <c r="R4" s="92"/>
      <c r="S4" s="92"/>
      <c r="T4" s="89"/>
      <c r="U4" s="111"/>
      <c r="V4" s="112"/>
      <c r="W4" s="113"/>
      <c r="X4" s="88"/>
      <c r="Y4" s="89"/>
      <c r="Z4" s="88"/>
      <c r="AA4" s="115"/>
      <c r="AB4" s="116"/>
      <c r="AC4" s="116"/>
      <c r="AD4" s="117"/>
      <c r="AE4" s="116"/>
      <c r="AF4" s="116"/>
      <c r="AG4" s="116"/>
      <c r="AH4" s="120"/>
      <c r="AI4" s="121"/>
      <c r="AJ4" s="121"/>
      <c r="AK4" s="121"/>
      <c r="AL4" s="121"/>
      <c r="AM4" s="122"/>
      <c r="AN4" s="122"/>
      <c r="AO4" s="122"/>
      <c r="AP4" s="121"/>
    </row>
    <row r="5" s="62" customFormat="1" customHeight="1" spans="1:42">
      <c r="A5" s="74" t="s">
        <v>153</v>
      </c>
      <c r="B5" s="75" t="s">
        <v>154</v>
      </c>
      <c r="C5" s="73" t="s">
        <v>155</v>
      </c>
      <c r="D5" s="73" t="s">
        <v>156</v>
      </c>
      <c r="E5" s="73" t="s">
        <v>157</v>
      </c>
      <c r="F5" s="73" t="s">
        <v>158</v>
      </c>
      <c r="G5" s="73" t="s">
        <v>159</v>
      </c>
      <c r="H5" s="73" t="s">
        <v>160</v>
      </c>
      <c r="I5" s="73" t="s">
        <v>161</v>
      </c>
      <c r="J5" s="73" t="s">
        <v>162</v>
      </c>
      <c r="K5" s="73" t="s">
        <v>163</v>
      </c>
      <c r="L5" s="73" t="s">
        <v>164</v>
      </c>
      <c r="M5" s="73" t="s">
        <v>165</v>
      </c>
      <c r="N5" s="73" t="s">
        <v>166</v>
      </c>
      <c r="O5" s="73" t="s">
        <v>157</v>
      </c>
      <c r="P5" s="73" t="s">
        <v>158</v>
      </c>
      <c r="Q5" s="73" t="s">
        <v>159</v>
      </c>
      <c r="R5" s="73" t="s">
        <v>160</v>
      </c>
      <c r="S5" s="73" t="s">
        <v>161</v>
      </c>
      <c r="T5" s="73" t="s">
        <v>162</v>
      </c>
      <c r="U5" s="73" t="s">
        <v>163</v>
      </c>
      <c r="V5" s="73" t="s">
        <v>164</v>
      </c>
      <c r="W5" s="73" t="s">
        <v>165</v>
      </c>
      <c r="X5" s="73" t="s">
        <v>166</v>
      </c>
      <c r="Y5" s="89"/>
      <c r="Z5" s="88"/>
      <c r="AA5" s="115"/>
      <c r="AB5" s="116"/>
      <c r="AC5" s="116"/>
      <c r="AD5" s="117"/>
      <c r="AE5" s="116"/>
      <c r="AF5" s="116"/>
      <c r="AG5" s="116"/>
      <c r="AH5" s="120"/>
      <c r="AI5" s="121"/>
      <c r="AJ5" s="121"/>
      <c r="AK5" s="121"/>
      <c r="AL5" s="121"/>
      <c r="AM5" s="122"/>
      <c r="AN5" s="122"/>
      <c r="AO5" s="122"/>
      <c r="AP5" s="121"/>
    </row>
    <row r="6" s="62" customFormat="1" customHeight="1" spans="1:42">
      <c r="A6" s="76">
        <v>3</v>
      </c>
      <c r="B6" s="75" t="s">
        <v>167</v>
      </c>
      <c r="C6" s="75" t="s">
        <v>168</v>
      </c>
      <c r="D6" s="73" t="s">
        <v>169</v>
      </c>
      <c r="E6" s="73">
        <v>23.99</v>
      </c>
      <c r="F6" s="73">
        <v>23.99</v>
      </c>
      <c r="G6" s="77">
        <v>23.99</v>
      </c>
      <c r="H6" s="73">
        <v>17.99</v>
      </c>
      <c r="I6" s="73">
        <v>17.99</v>
      </c>
      <c r="J6" s="73">
        <v>18.99</v>
      </c>
      <c r="K6" s="73">
        <v>18.99</v>
      </c>
      <c r="L6" s="73">
        <v>19.99</v>
      </c>
      <c r="M6" s="73">
        <v>19.99</v>
      </c>
      <c r="N6" s="92"/>
      <c r="O6" s="91"/>
      <c r="P6" s="92"/>
      <c r="Q6" s="92"/>
      <c r="R6" s="92"/>
      <c r="S6" s="92"/>
      <c r="T6" s="89"/>
      <c r="U6" s="111"/>
      <c r="V6" s="112"/>
      <c r="W6" s="113"/>
      <c r="X6" s="88"/>
      <c r="Y6" s="89"/>
      <c r="Z6" s="91"/>
      <c r="AA6" s="115"/>
      <c r="AB6" s="116"/>
      <c r="AC6" s="116"/>
      <c r="AD6" s="117"/>
      <c r="AE6" s="116"/>
      <c r="AF6" s="116"/>
      <c r="AG6" s="116"/>
      <c r="AH6" s="120"/>
      <c r="AI6" s="121"/>
      <c r="AJ6" s="121"/>
      <c r="AK6" s="121"/>
      <c r="AL6" s="121"/>
      <c r="AM6" s="122"/>
      <c r="AN6" s="122"/>
      <c r="AO6" s="122"/>
      <c r="AP6" s="121"/>
    </row>
    <row r="7" s="62" customFormat="1" customHeight="1" spans="1:42">
      <c r="A7" s="76">
        <v>4</v>
      </c>
      <c r="B7" s="75"/>
      <c r="C7" s="73" t="s">
        <v>44</v>
      </c>
      <c r="D7" s="73" t="s">
        <v>170</v>
      </c>
      <c r="E7" s="78">
        <v>0.382</v>
      </c>
      <c r="F7" s="78">
        <v>0.382</v>
      </c>
      <c r="G7" s="79">
        <v>0.2</v>
      </c>
      <c r="H7" s="78">
        <v>0.25</v>
      </c>
      <c r="I7" s="78">
        <v>0.25</v>
      </c>
      <c r="J7" s="78">
        <v>0.25</v>
      </c>
      <c r="K7" s="78">
        <v>0.25</v>
      </c>
      <c r="L7" s="78">
        <v>0.25</v>
      </c>
      <c r="M7" s="78">
        <v>0.25</v>
      </c>
      <c r="N7" s="92"/>
      <c r="O7" s="91"/>
      <c r="P7" s="92"/>
      <c r="Q7" s="92"/>
      <c r="R7" s="92"/>
      <c r="S7" s="92"/>
      <c r="T7" s="89"/>
      <c r="U7" s="111"/>
      <c r="V7" s="112"/>
      <c r="W7" s="113"/>
      <c r="X7" s="88"/>
      <c r="Y7" s="89"/>
      <c r="Z7" s="91"/>
      <c r="AA7" s="115"/>
      <c r="AB7" s="116"/>
      <c r="AC7" s="116"/>
      <c r="AD7" s="117"/>
      <c r="AE7" s="116"/>
      <c r="AF7" s="116"/>
      <c r="AG7" s="116"/>
      <c r="AH7" s="120"/>
      <c r="AI7" s="121"/>
      <c r="AJ7" s="121"/>
      <c r="AK7" s="121"/>
      <c r="AL7" s="121"/>
      <c r="AM7" s="122"/>
      <c r="AN7" s="122"/>
      <c r="AO7" s="122"/>
      <c r="AP7" s="121"/>
    </row>
    <row r="8" s="62" customFormat="1" customHeight="1" spans="1:42">
      <c r="A8" s="76">
        <v>5</v>
      </c>
      <c r="B8" s="75"/>
      <c r="C8" s="73" t="s">
        <v>61</v>
      </c>
      <c r="D8" s="73" t="s">
        <v>170</v>
      </c>
      <c r="E8" s="78">
        <f>SUM(E32:E38)/E15</f>
        <v>0.77255999523611</v>
      </c>
      <c r="F8" s="78">
        <f t="shared" ref="E8:M8" si="0">SUM(F32:F38)/F15</f>
        <v>0.463375045724834</v>
      </c>
      <c r="G8" s="78">
        <f t="shared" si="0"/>
        <v>0.325072947061276</v>
      </c>
      <c r="H8" s="78">
        <f t="shared" si="0"/>
        <v>0.425814605998041</v>
      </c>
      <c r="I8" s="78">
        <f t="shared" si="0"/>
        <v>0.268823949813388</v>
      </c>
      <c r="J8" s="78">
        <f t="shared" si="0"/>
        <v>0.1</v>
      </c>
      <c r="K8" s="78">
        <f t="shared" si="0"/>
        <v>0.120300480381726</v>
      </c>
      <c r="L8" s="78">
        <f t="shared" si="0"/>
        <v>0.08</v>
      </c>
      <c r="M8" s="78">
        <f t="shared" si="0"/>
        <v>0.08</v>
      </c>
      <c r="N8" s="92"/>
      <c r="O8" s="91"/>
      <c r="P8" s="92"/>
      <c r="Q8" s="92"/>
      <c r="R8" s="92"/>
      <c r="S8" s="92"/>
      <c r="T8" s="89"/>
      <c r="U8" s="111"/>
      <c r="V8" s="112"/>
      <c r="W8" s="113"/>
      <c r="X8" s="88"/>
      <c r="Y8" s="89"/>
      <c r="Z8" s="91"/>
      <c r="AA8" s="115"/>
      <c r="AB8" s="116"/>
      <c r="AC8" s="116"/>
      <c r="AD8" s="117"/>
      <c r="AE8" s="116"/>
      <c r="AF8" s="116"/>
      <c r="AG8" s="116"/>
      <c r="AH8" s="120"/>
      <c r="AI8" s="121"/>
      <c r="AJ8" s="121"/>
      <c r="AK8" s="121"/>
      <c r="AL8" s="121"/>
      <c r="AM8" s="122"/>
      <c r="AN8" s="122"/>
      <c r="AO8" s="122"/>
      <c r="AP8" s="121"/>
    </row>
    <row r="9" s="62" customFormat="1" customHeight="1" spans="1:42">
      <c r="A9" s="76">
        <v>6</v>
      </c>
      <c r="B9" s="75"/>
      <c r="C9" s="73" t="s">
        <v>62</v>
      </c>
      <c r="D9" s="73" t="s">
        <v>170</v>
      </c>
      <c r="E9" s="78">
        <v>0.2</v>
      </c>
      <c r="F9" s="78">
        <v>0.2</v>
      </c>
      <c r="G9" s="78">
        <v>0.15</v>
      </c>
      <c r="H9" s="78">
        <v>0.15</v>
      </c>
      <c r="I9" s="78">
        <v>0.1</v>
      </c>
      <c r="J9" s="78">
        <v>0.1</v>
      </c>
      <c r="K9" s="78">
        <v>0.08</v>
      </c>
      <c r="L9" s="78">
        <v>0.08</v>
      </c>
      <c r="M9" s="78">
        <v>0.08</v>
      </c>
      <c r="N9" s="92"/>
      <c r="O9" s="91"/>
      <c r="P9" s="92"/>
      <c r="Q9" s="92"/>
      <c r="R9" s="92"/>
      <c r="S9" s="92"/>
      <c r="T9" s="89"/>
      <c r="U9" s="111"/>
      <c r="V9" s="112"/>
      <c r="W9" s="113"/>
      <c r="X9" s="88"/>
      <c r="Y9" s="89"/>
      <c r="Z9" s="91"/>
      <c r="AA9" s="115"/>
      <c r="AB9" s="116"/>
      <c r="AC9" s="116"/>
      <c r="AD9" s="117"/>
      <c r="AE9" s="116"/>
      <c r="AF9" s="116"/>
      <c r="AG9" s="116"/>
      <c r="AH9" s="120"/>
      <c r="AI9" s="121"/>
      <c r="AJ9" s="121"/>
      <c r="AK9" s="121"/>
      <c r="AL9" s="121"/>
      <c r="AM9" s="122"/>
      <c r="AN9" s="122"/>
      <c r="AO9" s="122"/>
      <c r="AP9" s="121"/>
    </row>
    <row r="10" s="62" customFormat="1" customHeight="1" spans="1:42">
      <c r="A10" s="76">
        <v>7</v>
      </c>
      <c r="B10" s="75"/>
      <c r="C10" s="73" t="s">
        <v>171</v>
      </c>
      <c r="D10" s="73" t="s">
        <v>170</v>
      </c>
      <c r="E10" s="78">
        <v>0.05</v>
      </c>
      <c r="F10" s="78">
        <v>0.05</v>
      </c>
      <c r="G10" s="78">
        <v>0.05</v>
      </c>
      <c r="H10" s="80">
        <v>0.05</v>
      </c>
      <c r="I10" s="80">
        <v>0.05</v>
      </c>
      <c r="J10" s="80">
        <v>0</v>
      </c>
      <c r="K10" s="80">
        <v>0</v>
      </c>
      <c r="L10" s="80">
        <v>0</v>
      </c>
      <c r="M10" s="80">
        <v>0</v>
      </c>
      <c r="N10" s="92"/>
      <c r="O10" s="91"/>
      <c r="P10" s="92"/>
      <c r="Q10" s="92"/>
      <c r="R10" s="92"/>
      <c r="S10" s="92"/>
      <c r="T10" s="89"/>
      <c r="U10" s="111"/>
      <c r="V10" s="112"/>
      <c r="W10" s="113"/>
      <c r="X10" s="88"/>
      <c r="Y10" s="89"/>
      <c r="Z10" s="91"/>
      <c r="AA10" s="115"/>
      <c r="AB10" s="116"/>
      <c r="AC10" s="116"/>
      <c r="AD10" s="117"/>
      <c r="AE10" s="116"/>
      <c r="AF10" s="116"/>
      <c r="AG10" s="116"/>
      <c r="AH10" s="120"/>
      <c r="AI10" s="121"/>
      <c r="AJ10" s="121"/>
      <c r="AK10" s="121"/>
      <c r="AL10" s="121"/>
      <c r="AM10" s="122"/>
      <c r="AN10" s="122"/>
      <c r="AO10" s="122"/>
      <c r="AP10" s="121"/>
    </row>
    <row r="11" s="62" customFormat="1" customHeight="1" spans="1:42">
      <c r="A11" s="76">
        <v>8</v>
      </c>
      <c r="B11" s="75"/>
      <c r="C11" s="73" t="s">
        <v>172</v>
      </c>
      <c r="D11" s="73" t="s">
        <v>170</v>
      </c>
      <c r="E11" s="78">
        <f>E16/E15</f>
        <v>0.82255999523611</v>
      </c>
      <c r="F11" s="78">
        <f t="shared" ref="E11:M11" si="1">F16/F15</f>
        <v>0.513375045724834</v>
      </c>
      <c r="G11" s="78">
        <f t="shared" si="1"/>
        <v>0.375072947061276</v>
      </c>
      <c r="H11" s="78">
        <f t="shared" si="1"/>
        <v>0.475814605998041</v>
      </c>
      <c r="I11" s="78">
        <f t="shared" si="1"/>
        <v>0.318823949813388</v>
      </c>
      <c r="J11" s="78">
        <f t="shared" si="1"/>
        <v>0.1</v>
      </c>
      <c r="K11" s="78">
        <f t="shared" si="1"/>
        <v>0.120300480381726</v>
      </c>
      <c r="L11" s="78">
        <f t="shared" si="1"/>
        <v>0.08</v>
      </c>
      <c r="M11" s="78">
        <f t="shared" si="1"/>
        <v>0.08</v>
      </c>
      <c r="N11" s="92"/>
      <c r="O11" s="91"/>
      <c r="P11" s="92"/>
      <c r="Q11" s="92"/>
      <c r="R11" s="92"/>
      <c r="S11" s="92"/>
      <c r="T11" s="89"/>
      <c r="U11" s="111"/>
      <c r="V11" s="112"/>
      <c r="W11" s="113"/>
      <c r="X11" s="88"/>
      <c r="Y11" s="89"/>
      <c r="Z11" s="91"/>
      <c r="AA11" s="115"/>
      <c r="AB11" s="116"/>
      <c r="AC11" s="116"/>
      <c r="AD11" s="117"/>
      <c r="AE11" s="116"/>
      <c r="AF11" s="116"/>
      <c r="AG11" s="116"/>
      <c r="AH11" s="120"/>
      <c r="AI11" s="121"/>
      <c r="AJ11" s="121"/>
      <c r="AK11" s="121"/>
      <c r="AL11" s="121"/>
      <c r="AM11" s="122"/>
      <c r="AN11" s="122"/>
      <c r="AO11" s="122"/>
      <c r="AP11" s="121"/>
    </row>
    <row r="12" s="62" customFormat="1" ht="33" customHeight="1" spans="1:42">
      <c r="A12" s="76">
        <v>9</v>
      </c>
      <c r="B12" s="75" t="s">
        <v>173</v>
      </c>
      <c r="C12" s="73" t="s">
        <v>174</v>
      </c>
      <c r="D12" s="73" t="s">
        <v>175</v>
      </c>
      <c r="E12" s="81"/>
      <c r="F12" s="82"/>
      <c r="G12" s="75" t="s">
        <v>176</v>
      </c>
      <c r="I12" s="82"/>
      <c r="J12" s="82"/>
      <c r="K12" s="100"/>
      <c r="L12" s="101"/>
      <c r="M12" s="102"/>
      <c r="N12" s="103"/>
      <c r="O12" s="104"/>
      <c r="P12" s="103"/>
      <c r="Q12" s="103"/>
      <c r="R12" s="92"/>
      <c r="S12" s="92"/>
      <c r="T12" s="89"/>
      <c r="U12" s="111"/>
      <c r="V12" s="112"/>
      <c r="W12" s="113"/>
      <c r="X12" s="88"/>
      <c r="Y12" s="89"/>
      <c r="Z12" s="91"/>
      <c r="AA12" s="115"/>
      <c r="AB12" s="116"/>
      <c r="AC12" s="116"/>
      <c r="AD12" s="117"/>
      <c r="AE12" s="116"/>
      <c r="AF12" s="116"/>
      <c r="AG12" s="116"/>
      <c r="AH12" s="120"/>
      <c r="AI12" s="121"/>
      <c r="AJ12" s="121"/>
      <c r="AK12" s="121"/>
      <c r="AL12" s="121"/>
      <c r="AM12" s="122"/>
      <c r="AN12" s="122"/>
      <c r="AO12" s="122"/>
      <c r="AP12" s="121"/>
    </row>
    <row r="13" s="62" customFormat="1" customHeight="1" spans="1:42">
      <c r="A13" s="76">
        <v>10</v>
      </c>
      <c r="B13" s="75"/>
      <c r="C13" s="73" t="s">
        <v>177</v>
      </c>
      <c r="D13" s="73" t="s">
        <v>175</v>
      </c>
      <c r="E13" s="83">
        <v>4</v>
      </c>
      <c r="F13" s="84">
        <v>7</v>
      </c>
      <c r="G13" s="73">
        <v>9</v>
      </c>
      <c r="H13" s="73">
        <v>9</v>
      </c>
      <c r="I13" s="73">
        <v>10</v>
      </c>
      <c r="J13" s="73">
        <v>15</v>
      </c>
      <c r="K13" s="73">
        <v>28</v>
      </c>
      <c r="L13" s="73">
        <v>35</v>
      </c>
      <c r="M13" s="73">
        <v>46</v>
      </c>
      <c r="N13" s="92"/>
      <c r="O13" s="91"/>
      <c r="P13" s="92"/>
      <c r="Q13" s="92"/>
      <c r="R13" s="92"/>
      <c r="S13" s="92"/>
      <c r="T13" s="89"/>
      <c r="U13" s="111"/>
      <c r="V13" s="112"/>
      <c r="W13" s="113"/>
      <c r="X13" s="88"/>
      <c r="Y13" s="89"/>
      <c r="Z13" s="91"/>
      <c r="AA13" s="115"/>
      <c r="AB13" s="116"/>
      <c r="AC13" s="116"/>
      <c r="AD13" s="117"/>
      <c r="AE13" s="116"/>
      <c r="AF13" s="116"/>
      <c r="AG13" s="116"/>
      <c r="AH13" s="120"/>
      <c r="AI13" s="121"/>
      <c r="AJ13" s="121"/>
      <c r="AK13" s="121"/>
      <c r="AL13" s="121"/>
      <c r="AM13" s="122"/>
      <c r="AN13" s="122"/>
      <c r="AO13" s="122"/>
      <c r="AP13" s="121"/>
    </row>
    <row r="14" s="62" customFormat="1" customHeight="1" spans="1:42">
      <c r="A14" s="76">
        <v>11</v>
      </c>
      <c r="B14" s="75"/>
      <c r="C14" s="73" t="s">
        <v>178</v>
      </c>
      <c r="D14" s="73" t="s">
        <v>175</v>
      </c>
      <c r="E14" s="73">
        <f>E13*7</f>
        <v>28</v>
      </c>
      <c r="F14" s="73">
        <f t="shared" ref="E14:M14" si="2">F13*7</f>
        <v>49</v>
      </c>
      <c r="G14" s="73">
        <f t="shared" si="2"/>
        <v>63</v>
      </c>
      <c r="H14" s="73">
        <f t="shared" si="2"/>
        <v>63</v>
      </c>
      <c r="I14" s="73">
        <f t="shared" si="2"/>
        <v>70</v>
      </c>
      <c r="J14" s="73">
        <f t="shared" si="2"/>
        <v>105</v>
      </c>
      <c r="K14" s="73">
        <f t="shared" si="2"/>
        <v>196</v>
      </c>
      <c r="L14" s="73">
        <f t="shared" si="2"/>
        <v>245</v>
      </c>
      <c r="M14" s="73">
        <f t="shared" si="2"/>
        <v>322</v>
      </c>
      <c r="N14" s="105">
        <f t="shared" ref="N14:N17" si="3">SUM(E14:M14)</f>
        <v>1141</v>
      </c>
      <c r="O14" s="91"/>
      <c r="P14" s="92"/>
      <c r="Q14" s="92"/>
      <c r="R14" s="92"/>
      <c r="S14" s="92"/>
      <c r="T14" s="89"/>
      <c r="U14" s="111"/>
      <c r="V14" s="112"/>
      <c r="W14" s="113"/>
      <c r="X14" s="88"/>
      <c r="Y14" s="89"/>
      <c r="Z14" s="91"/>
      <c r="AA14" s="115"/>
      <c r="AB14" s="116"/>
      <c r="AC14" s="116"/>
      <c r="AD14" s="117"/>
      <c r="AE14" s="116"/>
      <c r="AF14" s="116"/>
      <c r="AG14" s="116"/>
      <c r="AH14" s="120"/>
      <c r="AI14" s="121"/>
      <c r="AJ14" s="121"/>
      <c r="AK14" s="121"/>
      <c r="AL14" s="121"/>
      <c r="AM14" s="122"/>
      <c r="AN14" s="122"/>
      <c r="AO14" s="122"/>
      <c r="AP14" s="121"/>
    </row>
    <row r="15" s="62" customFormat="1" customHeight="1" spans="1:42">
      <c r="A15" s="76">
        <v>12</v>
      </c>
      <c r="B15" s="75"/>
      <c r="C15" s="73" t="s">
        <v>179</v>
      </c>
      <c r="D15" s="73" t="s">
        <v>169</v>
      </c>
      <c r="E15" s="73">
        <f>E14*E6</f>
        <v>671.72</v>
      </c>
      <c r="F15" s="73">
        <f t="shared" ref="F15:M15" si="4">F14*F6</f>
        <v>1175.51</v>
      </c>
      <c r="G15" s="73">
        <f t="shared" si="4"/>
        <v>1511.37</v>
      </c>
      <c r="H15" s="73">
        <f t="shared" si="4"/>
        <v>1133.37</v>
      </c>
      <c r="I15" s="73">
        <f t="shared" si="4"/>
        <v>1259.3</v>
      </c>
      <c r="J15" s="73">
        <f t="shared" si="4"/>
        <v>1993.95</v>
      </c>
      <c r="K15" s="73">
        <f t="shared" si="4"/>
        <v>3722.04</v>
      </c>
      <c r="L15" s="73">
        <f t="shared" si="4"/>
        <v>4897.55</v>
      </c>
      <c r="M15" s="73">
        <f t="shared" si="4"/>
        <v>6436.78</v>
      </c>
      <c r="N15" s="105">
        <f t="shared" si="3"/>
        <v>22801.59</v>
      </c>
      <c r="O15" s="91"/>
      <c r="P15" s="92"/>
      <c r="Q15" s="92"/>
      <c r="R15" s="92"/>
      <c r="S15" s="92"/>
      <c r="T15" s="89"/>
      <c r="U15" s="111"/>
      <c r="V15" s="112"/>
      <c r="W15" s="113"/>
      <c r="X15" s="88"/>
      <c r="Y15" s="89"/>
      <c r="Z15" s="91"/>
      <c r="AA15" s="115"/>
      <c r="AB15" s="116"/>
      <c r="AC15" s="116"/>
      <c r="AD15" s="117"/>
      <c r="AE15" s="116"/>
      <c r="AF15" s="116"/>
      <c r="AG15" s="116"/>
      <c r="AH15" s="120"/>
      <c r="AI15" s="121"/>
      <c r="AJ15" s="121"/>
      <c r="AK15" s="121"/>
      <c r="AL15" s="121"/>
      <c r="AM15" s="122"/>
      <c r="AN15" s="122"/>
      <c r="AO15" s="122"/>
      <c r="AP15" s="121"/>
    </row>
    <row r="16" s="62" customFormat="1" customHeight="1" spans="1:42">
      <c r="A16" s="76">
        <v>13</v>
      </c>
      <c r="B16" s="75"/>
      <c r="C16" s="73" t="s">
        <v>180</v>
      </c>
      <c r="D16" s="73" t="s">
        <v>169</v>
      </c>
      <c r="E16" s="73">
        <f>SUM(E32:E39)</f>
        <v>552.53</v>
      </c>
      <c r="F16" s="73">
        <f t="shared" ref="E16:M16" si="5">SUM(F32:F39)</f>
        <v>603.4775</v>
      </c>
      <c r="G16" s="73">
        <f t="shared" si="5"/>
        <v>566.874</v>
      </c>
      <c r="H16" s="73">
        <f t="shared" si="5"/>
        <v>539.274</v>
      </c>
      <c r="I16" s="73">
        <f t="shared" si="5"/>
        <v>401.495</v>
      </c>
      <c r="J16" s="73">
        <f t="shared" si="5"/>
        <v>199.395</v>
      </c>
      <c r="K16" s="73">
        <f t="shared" si="5"/>
        <v>447.7632</v>
      </c>
      <c r="L16" s="73">
        <f t="shared" si="5"/>
        <v>391.804</v>
      </c>
      <c r="M16" s="73">
        <f t="shared" si="5"/>
        <v>514.9424</v>
      </c>
      <c r="N16" s="106">
        <f t="shared" si="3"/>
        <v>4217.5551</v>
      </c>
      <c r="O16" s="91"/>
      <c r="P16" s="92"/>
      <c r="Q16" s="92"/>
      <c r="R16" s="92"/>
      <c r="S16" s="92"/>
      <c r="T16" s="89"/>
      <c r="U16" s="111"/>
      <c r="V16" s="112"/>
      <c r="W16" s="113"/>
      <c r="X16" s="88"/>
      <c r="Y16" s="89"/>
      <c r="Z16" s="91"/>
      <c r="AA16" s="115"/>
      <c r="AB16" s="116"/>
      <c r="AC16" s="116"/>
      <c r="AD16" s="117"/>
      <c r="AE16" s="116"/>
      <c r="AF16" s="116"/>
      <c r="AG16" s="116"/>
      <c r="AH16" s="120"/>
      <c r="AI16" s="121"/>
      <c r="AJ16" s="121"/>
      <c r="AK16" s="121"/>
      <c r="AL16" s="121"/>
      <c r="AM16" s="122"/>
      <c r="AN16" s="122"/>
      <c r="AO16" s="122"/>
      <c r="AP16" s="121"/>
    </row>
    <row r="17" s="62" customFormat="1" customHeight="1" spans="1:42">
      <c r="A17" s="76">
        <v>14</v>
      </c>
      <c r="B17" s="75"/>
      <c r="C17" s="73" t="s">
        <v>181</v>
      </c>
      <c r="D17" s="73" t="s">
        <v>169</v>
      </c>
      <c r="E17" s="73">
        <f>E15*E18</f>
        <v>-295.93296</v>
      </c>
      <c r="F17" s="73">
        <f t="shared" ref="E17:M17" si="6">F15*F18</f>
        <v>-154.43268</v>
      </c>
      <c r="G17" s="73">
        <f t="shared" si="6"/>
        <v>-264.6</v>
      </c>
      <c r="H17" s="73">
        <f t="shared" si="6"/>
        <v>-255.9315</v>
      </c>
      <c r="I17" s="73">
        <f t="shared" si="6"/>
        <v>-86.67</v>
      </c>
      <c r="J17" s="73">
        <f t="shared" si="6"/>
        <v>299.0925</v>
      </c>
      <c r="K17" s="73">
        <f t="shared" si="6"/>
        <v>482.7468</v>
      </c>
      <c r="L17" s="73">
        <f t="shared" si="6"/>
        <v>832.5835</v>
      </c>
      <c r="M17" s="73">
        <f t="shared" si="6"/>
        <v>1094.2526</v>
      </c>
      <c r="N17" s="106">
        <f t="shared" si="3"/>
        <v>1651.10826</v>
      </c>
      <c r="O17" s="91"/>
      <c r="P17" s="92"/>
      <c r="Q17" s="92"/>
      <c r="R17" s="92"/>
      <c r="S17" s="92"/>
      <c r="T17" s="89"/>
      <c r="U17" s="111"/>
      <c r="V17" s="112"/>
      <c r="W17" s="113"/>
      <c r="X17" s="88"/>
      <c r="Y17" s="89"/>
      <c r="Z17" s="91"/>
      <c r="AA17" s="115"/>
      <c r="AB17" s="116"/>
      <c r="AC17" s="116"/>
      <c r="AD17" s="117"/>
      <c r="AE17" s="116"/>
      <c r="AF17" s="116"/>
      <c r="AG17" s="116"/>
      <c r="AH17" s="120"/>
      <c r="AI17" s="121"/>
      <c r="AJ17" s="121"/>
      <c r="AK17" s="121"/>
      <c r="AL17" s="121"/>
      <c r="AM17" s="122"/>
      <c r="AN17" s="122"/>
      <c r="AO17" s="122"/>
      <c r="AP17" s="121"/>
    </row>
    <row r="18" s="62" customFormat="1" customHeight="1" spans="1:42">
      <c r="A18" s="76">
        <v>15</v>
      </c>
      <c r="B18" s="75"/>
      <c r="C18" s="73" t="s">
        <v>182</v>
      </c>
      <c r="D18" s="73" t="s">
        <v>170</v>
      </c>
      <c r="E18" s="78">
        <f>E7-E11</f>
        <v>-0.44055999523611</v>
      </c>
      <c r="F18" s="78">
        <f t="shared" ref="F18:M18" si="7">F7-F11</f>
        <v>-0.131375045724834</v>
      </c>
      <c r="G18" s="78">
        <f t="shared" si="7"/>
        <v>-0.175072947061276</v>
      </c>
      <c r="H18" s="78">
        <f t="shared" si="7"/>
        <v>-0.225814605998041</v>
      </c>
      <c r="I18" s="78">
        <f t="shared" si="7"/>
        <v>-0.0688239498133884</v>
      </c>
      <c r="J18" s="78">
        <f t="shared" si="7"/>
        <v>0.15</v>
      </c>
      <c r="K18" s="78">
        <f t="shared" si="7"/>
        <v>0.129699519618274</v>
      </c>
      <c r="L18" s="78">
        <f t="shared" si="7"/>
        <v>0.17</v>
      </c>
      <c r="M18" s="78">
        <f t="shared" si="7"/>
        <v>0.17</v>
      </c>
      <c r="N18" s="92"/>
      <c r="O18" s="91"/>
      <c r="P18" s="92"/>
      <c r="Q18" s="92"/>
      <c r="R18" s="92"/>
      <c r="S18" s="92"/>
      <c r="T18" s="89"/>
      <c r="U18" s="111"/>
      <c r="V18" s="112"/>
      <c r="W18" s="113"/>
      <c r="X18" s="88"/>
      <c r="Y18" s="89"/>
      <c r="Z18" s="91"/>
      <c r="AA18" s="115"/>
      <c r="AB18" s="116"/>
      <c r="AC18" s="116"/>
      <c r="AD18" s="117"/>
      <c r="AE18" s="116"/>
      <c r="AF18" s="116"/>
      <c r="AG18" s="116"/>
      <c r="AH18" s="120"/>
      <c r="AI18" s="121"/>
      <c r="AJ18" s="121"/>
      <c r="AK18" s="121"/>
      <c r="AL18" s="121"/>
      <c r="AM18" s="122"/>
      <c r="AN18" s="122"/>
      <c r="AO18" s="122"/>
      <c r="AP18" s="121"/>
    </row>
    <row r="19" s="62" customFormat="1" customHeight="1" spans="1:42">
      <c r="A19" s="76">
        <v>16</v>
      </c>
      <c r="B19" s="75"/>
      <c r="C19" s="73" t="s">
        <v>183</v>
      </c>
      <c r="D19" s="73" t="s">
        <v>170</v>
      </c>
      <c r="E19" s="78">
        <f t="shared" ref="E19:M19" si="8">E16/E15</f>
        <v>0.82255999523611</v>
      </c>
      <c r="F19" s="78">
        <f t="shared" si="8"/>
        <v>0.513375045724834</v>
      </c>
      <c r="G19" s="78">
        <f t="shared" si="8"/>
        <v>0.375072947061276</v>
      </c>
      <c r="H19" s="78">
        <f t="shared" si="8"/>
        <v>0.475814605998041</v>
      </c>
      <c r="I19" s="78">
        <f t="shared" si="8"/>
        <v>0.318823949813388</v>
      </c>
      <c r="J19" s="78">
        <f t="shared" si="8"/>
        <v>0.1</v>
      </c>
      <c r="K19" s="78">
        <f t="shared" si="8"/>
        <v>0.120300480381726</v>
      </c>
      <c r="L19" s="78">
        <f t="shared" si="8"/>
        <v>0.08</v>
      </c>
      <c r="M19" s="78">
        <f t="shared" si="8"/>
        <v>0.08</v>
      </c>
      <c r="N19" s="92"/>
      <c r="O19" s="91"/>
      <c r="P19" s="92"/>
      <c r="Q19" s="92"/>
      <c r="R19" s="92"/>
      <c r="S19" s="92"/>
      <c r="T19" s="89"/>
      <c r="U19" s="111"/>
      <c r="V19" s="112"/>
      <c r="W19" s="113"/>
      <c r="X19" s="88"/>
      <c r="Y19" s="89"/>
      <c r="Z19" s="91"/>
      <c r="AA19" s="115"/>
      <c r="AB19" s="116"/>
      <c r="AC19" s="116"/>
      <c r="AD19" s="117"/>
      <c r="AE19" s="116"/>
      <c r="AF19" s="116"/>
      <c r="AG19" s="116"/>
      <c r="AH19" s="120"/>
      <c r="AI19" s="121"/>
      <c r="AJ19" s="121"/>
      <c r="AK19" s="121"/>
      <c r="AL19" s="121"/>
      <c r="AM19" s="122"/>
      <c r="AN19" s="122"/>
      <c r="AO19" s="122"/>
      <c r="AP19" s="121"/>
    </row>
    <row r="20" s="62" customFormat="1" customHeight="1" spans="1:42">
      <c r="A20" s="76">
        <v>17</v>
      </c>
      <c r="B20" s="75"/>
      <c r="C20" s="73" t="s">
        <v>184</v>
      </c>
      <c r="D20" s="73" t="s">
        <v>170</v>
      </c>
      <c r="E20" s="80">
        <v>0.8</v>
      </c>
      <c r="F20" s="80">
        <v>0.8</v>
      </c>
      <c r="G20" s="80">
        <v>0.7</v>
      </c>
      <c r="H20" s="80">
        <v>0.6</v>
      </c>
      <c r="I20" s="80">
        <v>0.5</v>
      </c>
      <c r="J20" s="80">
        <v>0.5</v>
      </c>
      <c r="K20" s="80">
        <v>0.4</v>
      </c>
      <c r="L20" s="80">
        <v>0.3</v>
      </c>
      <c r="M20" s="80">
        <v>0.25</v>
      </c>
      <c r="N20" s="92"/>
      <c r="O20" s="91"/>
      <c r="P20" s="92"/>
      <c r="Q20" s="92"/>
      <c r="R20" s="92"/>
      <c r="S20" s="92"/>
      <c r="T20" s="89"/>
      <c r="U20" s="111"/>
      <c r="V20" s="112"/>
      <c r="W20" s="113"/>
      <c r="X20" s="88"/>
      <c r="Y20" s="89"/>
      <c r="Z20" s="91"/>
      <c r="AA20" s="115"/>
      <c r="AB20" s="116"/>
      <c r="AC20" s="116"/>
      <c r="AD20" s="117"/>
      <c r="AE20" s="116"/>
      <c r="AF20" s="116"/>
      <c r="AG20" s="116"/>
      <c r="AH20" s="120"/>
      <c r="AI20" s="121"/>
      <c r="AJ20" s="121"/>
      <c r="AK20" s="121"/>
      <c r="AL20" s="121"/>
      <c r="AM20" s="122"/>
      <c r="AN20" s="122"/>
      <c r="AO20" s="122"/>
      <c r="AP20" s="121"/>
    </row>
    <row r="21" s="62" customFormat="1" customHeight="1" spans="1:42">
      <c r="A21" s="76">
        <v>18</v>
      </c>
      <c r="B21" s="75" t="s">
        <v>185</v>
      </c>
      <c r="C21" s="73" t="s">
        <v>186</v>
      </c>
      <c r="D21" s="73" t="s">
        <v>187</v>
      </c>
      <c r="E21" s="73"/>
      <c r="F21" s="73"/>
      <c r="G21" s="73"/>
      <c r="H21" s="73">
        <v>1</v>
      </c>
      <c r="I21" s="73"/>
      <c r="J21" s="73">
        <v>1</v>
      </c>
      <c r="K21" s="98"/>
      <c r="L21" s="99"/>
      <c r="M21" s="89"/>
      <c r="N21" s="92"/>
      <c r="O21" s="91"/>
      <c r="P21" s="92"/>
      <c r="Q21" s="92"/>
      <c r="R21" s="92"/>
      <c r="S21" s="92"/>
      <c r="T21" s="89"/>
      <c r="U21" s="111"/>
      <c r="V21" s="112"/>
      <c r="W21" s="113"/>
      <c r="X21" s="88"/>
      <c r="Y21" s="89"/>
      <c r="Z21" s="91"/>
      <c r="AA21" s="115"/>
      <c r="AB21" s="116"/>
      <c r="AC21" s="116"/>
      <c r="AD21" s="117"/>
      <c r="AE21" s="116"/>
      <c r="AF21" s="116"/>
      <c r="AG21" s="116"/>
      <c r="AH21" s="120"/>
      <c r="AI21" s="121"/>
      <c r="AJ21" s="121"/>
      <c r="AK21" s="121"/>
      <c r="AL21" s="121"/>
      <c r="AM21" s="122"/>
      <c r="AN21" s="122"/>
      <c r="AO21" s="122"/>
      <c r="AP21" s="121"/>
    </row>
    <row r="22" s="62" customFormat="1" customHeight="1" spans="1:42">
      <c r="A22" s="76">
        <v>19</v>
      </c>
      <c r="B22" s="75"/>
      <c r="C22" s="73" t="s">
        <v>188</v>
      </c>
      <c r="D22" s="73" t="s">
        <v>187</v>
      </c>
      <c r="E22" s="73">
        <v>10</v>
      </c>
      <c r="F22" s="73">
        <v>5</v>
      </c>
      <c r="G22" s="73">
        <v>2</v>
      </c>
      <c r="H22" s="73">
        <v>2</v>
      </c>
      <c r="I22" s="73">
        <v>2</v>
      </c>
      <c r="J22" s="73"/>
      <c r="K22" s="98"/>
      <c r="L22" s="99"/>
      <c r="M22" s="89"/>
      <c r="N22" s="92"/>
      <c r="O22" s="91"/>
      <c r="P22" s="92"/>
      <c r="Q22" s="92"/>
      <c r="R22" s="92"/>
      <c r="S22" s="92"/>
      <c r="T22" s="89"/>
      <c r="U22" s="111"/>
      <c r="V22" s="112"/>
      <c r="W22" s="113"/>
      <c r="X22" s="88"/>
      <c r="Y22" s="89"/>
      <c r="Z22" s="91"/>
      <c r="AA22" s="115"/>
      <c r="AB22" s="116"/>
      <c r="AC22" s="116"/>
      <c r="AD22" s="117"/>
      <c r="AE22" s="116"/>
      <c r="AF22" s="116"/>
      <c r="AG22" s="116"/>
      <c r="AH22" s="120"/>
      <c r="AI22" s="121"/>
      <c r="AJ22" s="121"/>
      <c r="AK22" s="121"/>
      <c r="AL22" s="121"/>
      <c r="AM22" s="122"/>
      <c r="AN22" s="122"/>
      <c r="AO22" s="122"/>
      <c r="AP22" s="121"/>
    </row>
    <row r="23" s="62" customFormat="1" customHeight="1" spans="1:42">
      <c r="A23" s="76">
        <v>20</v>
      </c>
      <c r="B23" s="75"/>
      <c r="C23" s="73" t="s">
        <v>189</v>
      </c>
      <c r="D23" s="73" t="s">
        <v>187</v>
      </c>
      <c r="E23" s="73"/>
      <c r="F23" s="73"/>
      <c r="G23" s="73"/>
      <c r="H23" s="73"/>
      <c r="I23" s="73"/>
      <c r="J23" s="73"/>
      <c r="K23" s="98"/>
      <c r="L23" s="99"/>
      <c r="M23" s="89"/>
      <c r="N23" s="92"/>
      <c r="O23" s="91"/>
      <c r="P23" s="92"/>
      <c r="Q23" s="92"/>
      <c r="R23" s="92"/>
      <c r="S23" s="92"/>
      <c r="T23" s="89"/>
      <c r="U23" s="111"/>
      <c r="V23" s="112"/>
      <c r="W23" s="113"/>
      <c r="X23" s="88"/>
      <c r="Y23" s="89"/>
      <c r="Z23" s="91"/>
      <c r="AA23" s="115"/>
      <c r="AB23" s="116"/>
      <c r="AC23" s="116"/>
      <c r="AD23" s="117"/>
      <c r="AE23" s="116"/>
      <c r="AF23" s="116"/>
      <c r="AG23" s="116"/>
      <c r="AH23" s="120"/>
      <c r="AI23" s="121"/>
      <c r="AJ23" s="121"/>
      <c r="AK23" s="121"/>
      <c r="AL23" s="121"/>
      <c r="AM23" s="122"/>
      <c r="AN23" s="122"/>
      <c r="AO23" s="122"/>
      <c r="AP23" s="121"/>
    </row>
    <row r="24" s="62" customFormat="1" customHeight="1" spans="1:42">
      <c r="A24" s="76">
        <v>21</v>
      </c>
      <c r="B24" s="75"/>
      <c r="C24" s="73" t="s">
        <v>190</v>
      </c>
      <c r="D24" s="73" t="s">
        <v>187</v>
      </c>
      <c r="E24" s="73"/>
      <c r="F24" s="73"/>
      <c r="G24" s="73"/>
      <c r="H24" s="73"/>
      <c r="I24" s="73"/>
      <c r="J24" s="73"/>
      <c r="K24" s="98"/>
      <c r="L24" s="99"/>
      <c r="M24" s="89"/>
      <c r="N24" s="92"/>
      <c r="O24" s="91"/>
      <c r="P24" s="92"/>
      <c r="Q24" s="92"/>
      <c r="R24" s="92"/>
      <c r="S24" s="92"/>
      <c r="T24" s="89"/>
      <c r="U24" s="111"/>
      <c r="V24" s="112"/>
      <c r="W24" s="113"/>
      <c r="X24" s="88"/>
      <c r="Y24" s="89"/>
      <c r="Z24" s="91"/>
      <c r="AA24" s="115"/>
      <c r="AB24" s="116"/>
      <c r="AC24" s="116"/>
      <c r="AD24" s="117"/>
      <c r="AE24" s="116"/>
      <c r="AF24" s="116"/>
      <c r="AG24" s="116"/>
      <c r="AH24" s="120"/>
      <c r="AI24" s="121"/>
      <c r="AJ24" s="121"/>
      <c r="AK24" s="121"/>
      <c r="AL24" s="121"/>
      <c r="AM24" s="122"/>
      <c r="AN24" s="122"/>
      <c r="AO24" s="122"/>
      <c r="AP24" s="121"/>
    </row>
    <row r="25" s="62" customFormat="1" customHeight="1" spans="1:42">
      <c r="A25" s="76">
        <v>22</v>
      </c>
      <c r="B25" s="75"/>
      <c r="C25" s="75" t="s">
        <v>191</v>
      </c>
      <c r="D25" s="73" t="s">
        <v>187</v>
      </c>
      <c r="E25" s="73">
        <v>10</v>
      </c>
      <c r="F25" s="73">
        <v>10</v>
      </c>
      <c r="G25" s="73">
        <v>10</v>
      </c>
      <c r="H25" s="73">
        <v>10</v>
      </c>
      <c r="I25" s="73">
        <v>10</v>
      </c>
      <c r="J25" s="73"/>
      <c r="K25" s="98"/>
      <c r="L25" s="99"/>
      <c r="M25" s="89"/>
      <c r="N25" s="92"/>
      <c r="O25" s="91"/>
      <c r="P25" s="92"/>
      <c r="Q25" s="92"/>
      <c r="R25" s="92"/>
      <c r="S25" s="92"/>
      <c r="T25" s="89"/>
      <c r="U25" s="111"/>
      <c r="V25" s="112"/>
      <c r="W25" s="113"/>
      <c r="X25" s="88"/>
      <c r="Y25" s="89"/>
      <c r="Z25" s="91"/>
      <c r="AA25" s="115"/>
      <c r="AB25" s="116"/>
      <c r="AC25" s="116"/>
      <c r="AD25" s="117"/>
      <c r="AE25" s="116"/>
      <c r="AF25" s="116"/>
      <c r="AG25" s="116"/>
      <c r="AH25" s="120"/>
      <c r="AI25" s="121"/>
      <c r="AJ25" s="121"/>
      <c r="AK25" s="121"/>
      <c r="AL25" s="121"/>
      <c r="AM25" s="122"/>
      <c r="AN25" s="122"/>
      <c r="AO25" s="122"/>
      <c r="AP25" s="121"/>
    </row>
    <row r="26" s="62" customFormat="1" customHeight="1" spans="1:42">
      <c r="A26" s="76">
        <v>23</v>
      </c>
      <c r="B26" s="75"/>
      <c r="C26" s="73" t="s">
        <v>192</v>
      </c>
      <c r="D26" s="73" t="s">
        <v>187</v>
      </c>
      <c r="E26" s="73">
        <v>10</v>
      </c>
      <c r="F26" s="73">
        <v>5</v>
      </c>
      <c r="G26" s="73"/>
      <c r="H26" s="73"/>
      <c r="I26" s="73"/>
      <c r="J26" s="73"/>
      <c r="K26" s="98"/>
      <c r="L26" s="99"/>
      <c r="M26" s="89"/>
      <c r="N26" s="92"/>
      <c r="O26" s="91"/>
      <c r="P26" s="92"/>
      <c r="Q26" s="92"/>
      <c r="R26" s="92"/>
      <c r="S26" s="92"/>
      <c r="T26" s="89"/>
      <c r="U26" s="111"/>
      <c r="V26" s="112"/>
      <c r="W26" s="113"/>
      <c r="X26" s="88"/>
      <c r="Y26" s="89"/>
      <c r="Z26" s="91"/>
      <c r="AA26" s="115"/>
      <c r="AB26" s="116"/>
      <c r="AC26" s="116"/>
      <c r="AD26" s="117"/>
      <c r="AE26" s="116"/>
      <c r="AF26" s="116"/>
      <c r="AG26" s="116"/>
      <c r="AH26" s="120"/>
      <c r="AI26" s="121"/>
      <c r="AJ26" s="121"/>
      <c r="AK26" s="121"/>
      <c r="AL26" s="121"/>
      <c r="AM26" s="122"/>
      <c r="AN26" s="122"/>
      <c r="AO26" s="122"/>
      <c r="AP26" s="121"/>
    </row>
    <row r="27" s="62" customFormat="1" customHeight="1" spans="1:42">
      <c r="A27" s="76">
        <v>24</v>
      </c>
      <c r="B27" s="75"/>
      <c r="C27" s="73" t="s">
        <v>193</v>
      </c>
      <c r="D27" s="73" t="s">
        <v>187</v>
      </c>
      <c r="E27" s="73"/>
      <c r="F27" s="73"/>
      <c r="G27" s="73"/>
      <c r="H27" s="73"/>
      <c r="I27" s="73"/>
      <c r="J27" s="73"/>
      <c r="K27" s="73">
        <v>1</v>
      </c>
      <c r="L27" s="73"/>
      <c r="M27" s="73">
        <v>1</v>
      </c>
      <c r="N27" s="92"/>
      <c r="O27" s="91"/>
      <c r="P27" s="92"/>
      <c r="Q27" s="92"/>
      <c r="R27" s="92"/>
      <c r="S27" s="92"/>
      <c r="T27" s="89"/>
      <c r="U27" s="111"/>
      <c r="V27" s="112"/>
      <c r="W27" s="113"/>
      <c r="X27" s="88"/>
      <c r="Y27" s="89"/>
      <c r="Z27" s="91"/>
      <c r="AA27" s="115"/>
      <c r="AB27" s="116"/>
      <c r="AC27" s="116"/>
      <c r="AD27" s="117"/>
      <c r="AE27" s="116"/>
      <c r="AF27" s="116"/>
      <c r="AG27" s="116"/>
      <c r="AH27" s="120"/>
      <c r="AI27" s="121"/>
      <c r="AJ27" s="121"/>
      <c r="AK27" s="121"/>
      <c r="AL27" s="121"/>
      <c r="AM27" s="122"/>
      <c r="AN27" s="122"/>
      <c r="AO27" s="122"/>
      <c r="AP27" s="121"/>
    </row>
    <row r="28" s="62" customFormat="1" customHeight="1" spans="1:42">
      <c r="A28" s="76">
        <v>25</v>
      </c>
      <c r="B28" s="75"/>
      <c r="C28" s="73" t="s">
        <v>194</v>
      </c>
      <c r="D28" s="73" t="s">
        <v>187</v>
      </c>
      <c r="E28" s="73"/>
      <c r="F28" s="73"/>
      <c r="G28" s="73"/>
      <c r="H28" s="73"/>
      <c r="I28" s="73"/>
      <c r="J28" s="73"/>
      <c r="K28" s="98"/>
      <c r="L28" s="99"/>
      <c r="M28" s="89"/>
      <c r="N28" s="92"/>
      <c r="O28" s="91"/>
      <c r="P28" s="92"/>
      <c r="Q28" s="92"/>
      <c r="R28" s="92"/>
      <c r="S28" s="92"/>
      <c r="T28" s="89"/>
      <c r="U28" s="111"/>
      <c r="V28" s="112"/>
      <c r="W28" s="113"/>
      <c r="X28" s="88"/>
      <c r="Y28" s="89"/>
      <c r="Z28" s="91"/>
      <c r="AA28" s="115"/>
      <c r="AB28" s="116"/>
      <c r="AC28" s="116"/>
      <c r="AD28" s="117"/>
      <c r="AE28" s="116"/>
      <c r="AF28" s="116"/>
      <c r="AG28" s="116"/>
      <c r="AH28" s="120"/>
      <c r="AI28" s="121"/>
      <c r="AJ28" s="121"/>
      <c r="AK28" s="121"/>
      <c r="AL28" s="121"/>
      <c r="AM28" s="122"/>
      <c r="AN28" s="122"/>
      <c r="AO28" s="122"/>
      <c r="AP28" s="121"/>
    </row>
    <row r="29" s="60" customFormat="1" customHeight="1" spans="1:26">
      <c r="A29" s="76">
        <v>26</v>
      </c>
      <c r="B29" s="75"/>
      <c r="C29" s="85" t="s">
        <v>195</v>
      </c>
      <c r="D29" s="86"/>
      <c r="E29" s="86"/>
      <c r="F29" s="86">
        <v>1</v>
      </c>
      <c r="G29" s="86">
        <v>1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="60" customFormat="1" customHeight="1" spans="1:26">
      <c r="A30" s="76">
        <v>27</v>
      </c>
      <c r="B30" s="75"/>
      <c r="C30" s="85" t="s">
        <v>196</v>
      </c>
      <c r="D30" s="86"/>
      <c r="E30" s="86">
        <v>1.3</v>
      </c>
      <c r="F30" s="86">
        <v>1.2</v>
      </c>
      <c r="G30" s="86">
        <v>1</v>
      </c>
      <c r="H30" s="86">
        <v>1</v>
      </c>
      <c r="I30" s="86">
        <v>1</v>
      </c>
      <c r="J30" s="86">
        <v>0.8</v>
      </c>
      <c r="K30" s="86">
        <v>0.8</v>
      </c>
      <c r="L30" s="86">
        <v>0.6</v>
      </c>
      <c r="M30" s="86">
        <v>0.6</v>
      </c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="62" customFormat="1" customHeight="1" spans="1:42">
      <c r="A31" s="76">
        <v>28</v>
      </c>
      <c r="B31" s="75"/>
      <c r="C31" s="73" t="s">
        <v>197</v>
      </c>
      <c r="D31" s="73"/>
      <c r="E31" s="78">
        <v>0.05</v>
      </c>
      <c r="F31" s="78">
        <v>0.05</v>
      </c>
      <c r="G31" s="78">
        <v>0.05</v>
      </c>
      <c r="H31" s="80">
        <v>0.05</v>
      </c>
      <c r="I31" s="80">
        <f t="shared" ref="I31:M31" si="9">I10</f>
        <v>0.05</v>
      </c>
      <c r="J31" s="80">
        <f t="shared" si="9"/>
        <v>0</v>
      </c>
      <c r="K31" s="80">
        <f t="shared" si="9"/>
        <v>0</v>
      </c>
      <c r="L31" s="80">
        <f t="shared" si="9"/>
        <v>0</v>
      </c>
      <c r="M31" s="80">
        <f t="shared" si="9"/>
        <v>0</v>
      </c>
      <c r="N31" s="92"/>
      <c r="O31" s="91"/>
      <c r="P31" s="92"/>
      <c r="Q31" s="92"/>
      <c r="R31" s="92"/>
      <c r="S31" s="92"/>
      <c r="T31" s="89"/>
      <c r="U31" s="111"/>
      <c r="V31" s="112"/>
      <c r="W31" s="113"/>
      <c r="X31" s="88"/>
      <c r="Y31" s="89"/>
      <c r="Z31" s="91"/>
      <c r="AA31" s="115"/>
      <c r="AB31" s="116"/>
      <c r="AC31" s="116"/>
      <c r="AD31" s="117"/>
      <c r="AE31" s="116"/>
      <c r="AF31" s="116"/>
      <c r="AG31" s="116"/>
      <c r="AH31" s="120"/>
      <c r="AI31" s="121"/>
      <c r="AJ31" s="121"/>
      <c r="AK31" s="121"/>
      <c r="AL31" s="121"/>
      <c r="AM31" s="122"/>
      <c r="AN31" s="122"/>
      <c r="AO31" s="122"/>
      <c r="AP31" s="121"/>
    </row>
    <row r="32" s="60" customFormat="1" customHeight="1" spans="1:26">
      <c r="A32" s="76">
        <v>29</v>
      </c>
      <c r="B32" s="87" t="s">
        <v>198</v>
      </c>
      <c r="C32" s="88" t="s">
        <v>199</v>
      </c>
      <c r="D32" s="88" t="s">
        <v>169</v>
      </c>
      <c r="E32" s="86"/>
      <c r="F32" s="86"/>
      <c r="G32" s="86"/>
      <c r="H32" s="86">
        <v>100</v>
      </c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="60" customFormat="1" customHeight="1" spans="1:26">
      <c r="A33" s="76">
        <v>30</v>
      </c>
      <c r="B33" s="87"/>
      <c r="C33" s="89" t="s">
        <v>200</v>
      </c>
      <c r="D33" s="88" t="s">
        <v>169</v>
      </c>
      <c r="E33" s="90">
        <f>15*E22</f>
        <v>150</v>
      </c>
      <c r="F33" s="90">
        <f t="shared" ref="F33:M33" si="10">15*F22</f>
        <v>75</v>
      </c>
      <c r="G33" s="90">
        <f t="shared" si="10"/>
        <v>30</v>
      </c>
      <c r="H33" s="90">
        <f t="shared" si="10"/>
        <v>30</v>
      </c>
      <c r="I33" s="90">
        <f t="shared" si="10"/>
        <v>30</v>
      </c>
      <c r="J33" s="90">
        <f t="shared" si="10"/>
        <v>0</v>
      </c>
      <c r="K33" s="90">
        <f t="shared" si="10"/>
        <v>0</v>
      </c>
      <c r="L33" s="90">
        <f t="shared" si="10"/>
        <v>0</v>
      </c>
      <c r="M33" s="90">
        <f t="shared" si="10"/>
        <v>0</v>
      </c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="60" customFormat="1" customHeight="1" spans="1:26">
      <c r="A34" s="76">
        <v>31</v>
      </c>
      <c r="B34" s="87"/>
      <c r="C34" s="91" t="s">
        <v>201</v>
      </c>
      <c r="D34" s="88" t="s">
        <v>169</v>
      </c>
      <c r="E34" s="86">
        <f>18.26*E25</f>
        <v>182.6</v>
      </c>
      <c r="F34" s="86">
        <f t="shared" ref="E34:M34" si="11">18.26*F25</f>
        <v>182.6</v>
      </c>
      <c r="G34" s="86">
        <f t="shared" si="11"/>
        <v>182.6</v>
      </c>
      <c r="H34" s="86">
        <f t="shared" si="11"/>
        <v>182.6</v>
      </c>
      <c r="I34" s="86">
        <f t="shared" si="11"/>
        <v>182.6</v>
      </c>
      <c r="J34" s="86">
        <f t="shared" si="11"/>
        <v>0</v>
      </c>
      <c r="K34" s="86">
        <f t="shared" si="11"/>
        <v>0</v>
      </c>
      <c r="L34" s="86">
        <f t="shared" si="11"/>
        <v>0</v>
      </c>
      <c r="M34" s="86">
        <f t="shared" si="11"/>
        <v>0</v>
      </c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="60" customFormat="1" customHeight="1" spans="1:26">
      <c r="A35" s="76">
        <v>32</v>
      </c>
      <c r="B35" s="87"/>
      <c r="C35" s="92" t="s">
        <v>202</v>
      </c>
      <c r="D35" s="88" t="s">
        <v>169</v>
      </c>
      <c r="E35" s="86">
        <v>2</v>
      </c>
      <c r="F35" s="86">
        <v>2</v>
      </c>
      <c r="G35" s="86">
        <v>2</v>
      </c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="60" customFormat="1" customHeight="1" spans="1:26">
      <c r="A36" s="76">
        <v>33</v>
      </c>
      <c r="B36" s="87"/>
      <c r="C36" s="75" t="s">
        <v>203</v>
      </c>
      <c r="D36" s="88" t="s">
        <v>169</v>
      </c>
      <c r="E36" s="86"/>
      <c r="F36" s="86"/>
      <c r="G36" s="86"/>
      <c r="H36" s="86"/>
      <c r="I36" s="86"/>
      <c r="J36" s="86"/>
      <c r="K36" s="86">
        <v>150</v>
      </c>
      <c r="L36" s="86">
        <v>0</v>
      </c>
      <c r="M36" s="86">
        <v>0</v>
      </c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="60" customFormat="1" customHeight="1" spans="1:26">
      <c r="A37" s="76">
        <v>34</v>
      </c>
      <c r="B37" s="87"/>
      <c r="C37" s="75" t="s">
        <v>204</v>
      </c>
      <c r="D37" s="88" t="s">
        <v>169</v>
      </c>
      <c r="E37" s="86">
        <v>50</v>
      </c>
      <c r="F37" s="86">
        <v>50</v>
      </c>
      <c r="G37" s="86">
        <v>50</v>
      </c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="60" customFormat="1" customHeight="1" spans="1:26">
      <c r="A38" s="76">
        <v>35</v>
      </c>
      <c r="B38" s="87"/>
      <c r="C38" s="91" t="s">
        <v>205</v>
      </c>
      <c r="D38" s="88" t="s">
        <v>169</v>
      </c>
      <c r="E38" s="86">
        <f>E15*E9</f>
        <v>134.344</v>
      </c>
      <c r="F38" s="86">
        <f t="shared" ref="F38:M38" si="12">F15*F9</f>
        <v>235.102</v>
      </c>
      <c r="G38" s="86">
        <f t="shared" si="12"/>
        <v>226.7055</v>
      </c>
      <c r="H38" s="86">
        <f t="shared" si="12"/>
        <v>170.0055</v>
      </c>
      <c r="I38" s="86">
        <f t="shared" si="12"/>
        <v>125.93</v>
      </c>
      <c r="J38" s="86">
        <f t="shared" si="12"/>
        <v>199.395</v>
      </c>
      <c r="K38" s="86">
        <f t="shared" si="12"/>
        <v>297.7632</v>
      </c>
      <c r="L38" s="86">
        <f t="shared" si="12"/>
        <v>391.804</v>
      </c>
      <c r="M38" s="86">
        <f t="shared" si="12"/>
        <v>514.9424</v>
      </c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="60" customFormat="1" customHeight="1" spans="1:26">
      <c r="A39" s="76">
        <v>36</v>
      </c>
      <c r="B39" s="87"/>
      <c r="C39" s="73" t="s">
        <v>206</v>
      </c>
      <c r="D39" s="88" t="s">
        <v>169</v>
      </c>
      <c r="E39" s="86">
        <f t="shared" ref="E39:M39" si="13">E15*E31</f>
        <v>33.586</v>
      </c>
      <c r="F39" s="86">
        <f t="shared" si="13"/>
        <v>58.7755</v>
      </c>
      <c r="G39" s="86">
        <f t="shared" si="13"/>
        <v>75.5685</v>
      </c>
      <c r="H39" s="86">
        <f t="shared" si="13"/>
        <v>56.6685</v>
      </c>
      <c r="I39" s="86">
        <f t="shared" si="13"/>
        <v>62.965</v>
      </c>
      <c r="J39" s="86">
        <f t="shared" si="13"/>
        <v>0</v>
      </c>
      <c r="K39" s="86">
        <f t="shared" si="13"/>
        <v>0</v>
      </c>
      <c r="L39" s="86">
        <f t="shared" si="13"/>
        <v>0</v>
      </c>
      <c r="M39" s="86">
        <f t="shared" si="13"/>
        <v>0</v>
      </c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="60" customFormat="1" customHeight="1" spans="1:26">
      <c r="A40" s="76">
        <v>37</v>
      </c>
      <c r="B40" s="87" t="s">
        <v>207</v>
      </c>
      <c r="C40" s="88" t="s">
        <v>199</v>
      </c>
      <c r="D40" s="75" t="s">
        <v>170</v>
      </c>
      <c r="E40" s="93">
        <f t="shared" ref="E40:M40" si="14">E32/E15</f>
        <v>0</v>
      </c>
      <c r="F40" s="93">
        <f t="shared" si="14"/>
        <v>0</v>
      </c>
      <c r="G40" s="93">
        <f t="shared" si="14"/>
        <v>0</v>
      </c>
      <c r="H40" s="93">
        <f t="shared" si="14"/>
        <v>0.0882324395387208</v>
      </c>
      <c r="I40" s="93">
        <f t="shared" si="14"/>
        <v>0</v>
      </c>
      <c r="J40" s="93">
        <f t="shared" si="14"/>
        <v>0</v>
      </c>
      <c r="K40" s="93">
        <f t="shared" si="14"/>
        <v>0</v>
      </c>
      <c r="L40" s="93">
        <f t="shared" si="14"/>
        <v>0</v>
      </c>
      <c r="M40" s="93">
        <f t="shared" si="14"/>
        <v>0</v>
      </c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="60" customFormat="1" customHeight="1" spans="1:26">
      <c r="A41" s="76">
        <v>38</v>
      </c>
      <c r="B41" s="87"/>
      <c r="C41" s="89" t="s">
        <v>200</v>
      </c>
      <c r="D41" s="75" t="s">
        <v>170</v>
      </c>
      <c r="E41" s="93">
        <f t="shared" ref="E41:M41" si="15">E33/E15</f>
        <v>0.2233073304353</v>
      </c>
      <c r="F41" s="93">
        <f t="shared" si="15"/>
        <v>0.0638020944100858</v>
      </c>
      <c r="G41" s="93">
        <f t="shared" si="15"/>
        <v>0.0198495404831378</v>
      </c>
      <c r="H41" s="93">
        <f t="shared" si="15"/>
        <v>0.0264697318616162</v>
      </c>
      <c r="I41" s="93">
        <f t="shared" si="15"/>
        <v>0.0238227586754546</v>
      </c>
      <c r="J41" s="93">
        <f t="shared" si="15"/>
        <v>0</v>
      </c>
      <c r="K41" s="93">
        <f t="shared" si="15"/>
        <v>0</v>
      </c>
      <c r="L41" s="93">
        <f t="shared" si="15"/>
        <v>0</v>
      </c>
      <c r="M41" s="93">
        <f t="shared" si="15"/>
        <v>0</v>
      </c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="60" customFormat="1" customHeight="1" spans="1:26">
      <c r="A42" s="76">
        <v>39</v>
      </c>
      <c r="B42" s="87"/>
      <c r="C42" s="91" t="s">
        <v>201</v>
      </c>
      <c r="D42" s="75" t="s">
        <v>170</v>
      </c>
      <c r="E42" s="93">
        <f t="shared" ref="E42:M42" si="16">E34/E15</f>
        <v>0.271839456916572</v>
      </c>
      <c r="F42" s="93">
        <f t="shared" si="16"/>
        <v>0.155336832523756</v>
      </c>
      <c r="G42" s="93">
        <f t="shared" si="16"/>
        <v>0.120817536407366</v>
      </c>
      <c r="H42" s="93">
        <f t="shared" si="16"/>
        <v>0.161112434597704</v>
      </c>
      <c r="I42" s="93">
        <f t="shared" si="16"/>
        <v>0.145001191137934</v>
      </c>
      <c r="J42" s="93">
        <f t="shared" si="16"/>
        <v>0</v>
      </c>
      <c r="K42" s="93">
        <f t="shared" si="16"/>
        <v>0</v>
      </c>
      <c r="L42" s="93">
        <f t="shared" si="16"/>
        <v>0</v>
      </c>
      <c r="M42" s="93">
        <f t="shared" si="16"/>
        <v>0</v>
      </c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="60" customFormat="1" customHeight="1" spans="1:26">
      <c r="A43" s="76">
        <v>40</v>
      </c>
      <c r="B43" s="87"/>
      <c r="C43" s="92" t="s">
        <v>202</v>
      </c>
      <c r="D43" s="75" t="s">
        <v>170</v>
      </c>
      <c r="E43" s="93">
        <f t="shared" ref="E43:M43" si="17">E35/E15</f>
        <v>0.00297743107247067</v>
      </c>
      <c r="F43" s="93">
        <f t="shared" si="17"/>
        <v>0.00170138918426896</v>
      </c>
      <c r="G43" s="93">
        <f t="shared" si="17"/>
        <v>0.00132330269887585</v>
      </c>
      <c r="H43" s="93">
        <f t="shared" si="17"/>
        <v>0</v>
      </c>
      <c r="I43" s="93">
        <f t="shared" si="17"/>
        <v>0</v>
      </c>
      <c r="J43" s="93">
        <f t="shared" si="17"/>
        <v>0</v>
      </c>
      <c r="K43" s="93">
        <f t="shared" si="17"/>
        <v>0</v>
      </c>
      <c r="L43" s="93">
        <f t="shared" si="17"/>
        <v>0</v>
      </c>
      <c r="M43" s="93">
        <f t="shared" si="17"/>
        <v>0</v>
      </c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="60" customFormat="1" customHeight="1" spans="1:26">
      <c r="A44" s="76">
        <v>41</v>
      </c>
      <c r="B44" s="87"/>
      <c r="C44" s="75" t="s">
        <v>203</v>
      </c>
      <c r="D44" s="75" t="s">
        <v>170</v>
      </c>
      <c r="E44" s="94">
        <v>0</v>
      </c>
      <c r="F44" s="93">
        <v>0</v>
      </c>
      <c r="G44" s="93">
        <v>0</v>
      </c>
      <c r="H44" s="93">
        <v>0</v>
      </c>
      <c r="I44" s="93">
        <f t="shared" ref="I44:M44" si="18">150/I15</f>
        <v>0.119113793377273</v>
      </c>
      <c r="J44" s="93">
        <f t="shared" si="18"/>
        <v>0.0752275633792222</v>
      </c>
      <c r="K44" s="93">
        <f t="shared" si="18"/>
        <v>0.0403004803817262</v>
      </c>
      <c r="L44" s="93">
        <f t="shared" si="18"/>
        <v>0.0306275586772978</v>
      </c>
      <c r="M44" s="93">
        <f t="shared" si="18"/>
        <v>0.0233035772544657</v>
      </c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="60" customFormat="1" customHeight="1" spans="1:26">
      <c r="A45" s="76">
        <v>42</v>
      </c>
      <c r="B45" s="87"/>
      <c r="C45" s="75" t="s">
        <v>204</v>
      </c>
      <c r="D45" s="75" t="s">
        <v>170</v>
      </c>
      <c r="E45" s="93">
        <f t="shared" ref="E45:M45" si="19">E37/E15</f>
        <v>0.0744357768117668</v>
      </c>
      <c r="F45" s="93">
        <f t="shared" si="19"/>
        <v>0.0425347296067239</v>
      </c>
      <c r="G45" s="93">
        <f t="shared" si="19"/>
        <v>0.0330825674718964</v>
      </c>
      <c r="H45" s="93">
        <f t="shared" si="19"/>
        <v>0</v>
      </c>
      <c r="I45" s="93">
        <f t="shared" si="19"/>
        <v>0</v>
      </c>
      <c r="J45" s="93">
        <f t="shared" si="19"/>
        <v>0</v>
      </c>
      <c r="K45" s="93">
        <f t="shared" si="19"/>
        <v>0</v>
      </c>
      <c r="L45" s="93">
        <f t="shared" si="19"/>
        <v>0</v>
      </c>
      <c r="M45" s="93">
        <f t="shared" si="19"/>
        <v>0</v>
      </c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="60" customFormat="1" customHeight="1" spans="1:26">
      <c r="A46" s="76">
        <v>43</v>
      </c>
      <c r="B46" s="87"/>
      <c r="C46" s="91" t="s">
        <v>205</v>
      </c>
      <c r="D46" s="75" t="s">
        <v>170</v>
      </c>
      <c r="E46" s="93">
        <f>E38/E15</f>
        <v>0.2</v>
      </c>
      <c r="F46" s="93">
        <f t="shared" ref="E46:M46" si="20">F38/F15</f>
        <v>0.2</v>
      </c>
      <c r="G46" s="93">
        <f t="shared" si="20"/>
        <v>0.15</v>
      </c>
      <c r="H46" s="93">
        <f t="shared" si="20"/>
        <v>0.15</v>
      </c>
      <c r="I46" s="93">
        <f t="shared" si="20"/>
        <v>0.1</v>
      </c>
      <c r="J46" s="93">
        <f t="shared" si="20"/>
        <v>0.1</v>
      </c>
      <c r="K46" s="93">
        <f t="shared" si="20"/>
        <v>0.08</v>
      </c>
      <c r="L46" s="93">
        <f t="shared" si="20"/>
        <v>0.08</v>
      </c>
      <c r="M46" s="93">
        <f t="shared" si="20"/>
        <v>0.08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="60" customFormat="1" customHeight="1" spans="1:26">
      <c r="A47" s="76">
        <v>44</v>
      </c>
      <c r="B47" s="87"/>
      <c r="C47" s="73" t="s">
        <v>208</v>
      </c>
      <c r="D47" s="75" t="s">
        <v>170</v>
      </c>
      <c r="E47" s="93">
        <f t="shared" ref="E47:M47" si="21">E39/E15</f>
        <v>0.05</v>
      </c>
      <c r="F47" s="93">
        <f t="shared" si="21"/>
        <v>0.05</v>
      </c>
      <c r="G47" s="93">
        <f t="shared" si="21"/>
        <v>0.05</v>
      </c>
      <c r="H47" s="93">
        <f t="shared" si="21"/>
        <v>0.05</v>
      </c>
      <c r="I47" s="93">
        <f t="shared" si="21"/>
        <v>0.05</v>
      </c>
      <c r="J47" s="93">
        <f t="shared" si="21"/>
        <v>0</v>
      </c>
      <c r="K47" s="93">
        <f t="shared" si="21"/>
        <v>0</v>
      </c>
      <c r="L47" s="93">
        <f t="shared" si="21"/>
        <v>0</v>
      </c>
      <c r="M47" s="93">
        <f t="shared" si="21"/>
        <v>0</v>
      </c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</sheetData>
  <mergeCells count="14">
    <mergeCell ref="A1:Z1"/>
    <mergeCell ref="E2:I2"/>
    <mergeCell ref="K2:L2"/>
    <mergeCell ref="N2:O2"/>
    <mergeCell ref="E3:N3"/>
    <mergeCell ref="O3:X3"/>
    <mergeCell ref="B6:B11"/>
    <mergeCell ref="B12:B20"/>
    <mergeCell ref="B21:B31"/>
    <mergeCell ref="B32:B39"/>
    <mergeCell ref="B40:B47"/>
    <mergeCell ref="Y3:Y5"/>
    <mergeCell ref="Z3:Z5"/>
    <mergeCell ref="A3:C4"/>
  </mergeCell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D13"/>
  <sheetViews>
    <sheetView workbookViewId="0">
      <selection activeCell="E18" sqref="E18"/>
    </sheetView>
  </sheetViews>
  <sheetFormatPr defaultColWidth="9" defaultRowHeight="15"/>
  <cols>
    <col min="1" max="1" width="9.6" style="21" customWidth="1"/>
    <col min="2" max="3" width="7.6" style="21" customWidth="1"/>
    <col min="4" max="4" width="9" style="21"/>
    <col min="5" max="5" width="9" style="21" customWidth="1"/>
    <col min="6" max="8" width="9" style="21"/>
    <col min="9" max="9" width="10.4666666666667" style="21" customWidth="1"/>
    <col min="10" max="10" width="8.46666666666667" style="21" customWidth="1"/>
    <col min="11" max="11" width="11.8666666666667" style="21" customWidth="1"/>
    <col min="12" max="12" width="8.86666666666667" style="21" customWidth="1"/>
    <col min="13" max="13" width="9" style="21" customWidth="1"/>
    <col min="14" max="14" width="9" style="21"/>
    <col min="15" max="15" width="11" style="21" customWidth="1"/>
    <col min="16" max="18" width="9" style="21"/>
    <col min="19" max="19" width="10.8666666666667" style="21" customWidth="1"/>
    <col min="20" max="30" width="9" style="21"/>
    <col min="31" max="31" width="11" style="21" customWidth="1"/>
    <col min="32" max="32" width="11.4" style="21" customWidth="1"/>
    <col min="33" max="33" width="10.6" style="21" customWidth="1"/>
    <col min="34" max="34" width="9" style="21"/>
    <col min="35" max="35" width="10" style="21" customWidth="1"/>
    <col min="36" max="36" width="9" style="21"/>
    <col min="37" max="37" width="11.4666666666667" style="21" customWidth="1"/>
    <col min="38" max="38" width="9.26666666666667" style="21" customWidth="1"/>
    <col min="39" max="39" width="15" style="21" customWidth="1"/>
    <col min="40" max="40" width="9.4" style="21" customWidth="1"/>
    <col min="41" max="41" width="11.2666666666667" style="21" customWidth="1"/>
    <col min="42" max="42" width="14.4666666666667" style="21" customWidth="1"/>
    <col min="43" max="44" width="9.13333333333333" style="21" customWidth="1"/>
    <col min="45" max="47" width="10.7333333333333" style="21" customWidth="1"/>
    <col min="48" max="48" width="12.4666666666667" style="21" customWidth="1"/>
    <col min="49" max="49" width="13.2666666666667" style="21" customWidth="1"/>
    <col min="50" max="51" width="9.46666666666667" style="21" customWidth="1"/>
    <col min="52" max="52" width="9" style="21"/>
    <col min="53" max="53" width="16.1333333333333" style="21" customWidth="1"/>
    <col min="54" max="54" width="22.8666666666667" style="21" customWidth="1"/>
    <col min="55" max="16384" width="9" style="21"/>
  </cols>
  <sheetData>
    <row r="1" ht="46.05" customHeight="1" spans="1:134">
      <c r="A1" s="22" t="s">
        <v>38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  <c r="EA1" s="54"/>
      <c r="EB1" s="54"/>
      <c r="EC1" s="54"/>
      <c r="ED1" s="54"/>
    </row>
    <row r="2" ht="34.05" customHeight="1" spans="1:134">
      <c r="A2" s="23" t="s">
        <v>209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  <c r="EA2" s="54"/>
      <c r="EB2" s="54"/>
      <c r="EC2" s="54"/>
      <c r="ED2" s="54"/>
    </row>
    <row r="3" ht="38" customHeight="1" spans="1:134">
      <c r="A3" s="24" t="s">
        <v>39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  <c r="EA3" s="54"/>
      <c r="EB3" s="54"/>
      <c r="EC3" s="54"/>
      <c r="ED3" s="54"/>
    </row>
    <row r="4" ht="33" customHeight="1" spans="1:134">
      <c r="A4" s="25" t="s">
        <v>210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4"/>
      <c r="EC4" s="54"/>
      <c r="ED4" s="54"/>
    </row>
    <row r="5" ht="25.05" customHeight="1" spans="1:134">
      <c r="A5" s="26" t="s">
        <v>211</v>
      </c>
      <c r="B5" s="27"/>
      <c r="C5" s="27"/>
      <c r="D5" s="27"/>
      <c r="E5" s="28"/>
      <c r="F5" s="29" t="s">
        <v>212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42"/>
      <c r="AE5" s="43" t="s">
        <v>213</v>
      </c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51"/>
      <c r="AQ5" s="43" t="s">
        <v>214</v>
      </c>
      <c r="AR5" s="44"/>
      <c r="AS5" s="44"/>
      <c r="AT5" s="44"/>
      <c r="AU5" s="44"/>
      <c r="AV5" s="51"/>
      <c r="AW5" s="55" t="s">
        <v>215</v>
      </c>
      <c r="AX5" s="56"/>
      <c r="AY5" s="56"/>
      <c r="AZ5" s="56"/>
      <c r="BA5" s="56"/>
      <c r="BB5" s="56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  <c r="EA5" s="54"/>
      <c r="EB5" s="54"/>
      <c r="EC5" s="54"/>
      <c r="ED5" s="54"/>
    </row>
    <row r="6" ht="24" customHeight="1" spans="1:54">
      <c r="A6" s="31" t="s">
        <v>33</v>
      </c>
      <c r="B6" s="31" t="s">
        <v>34</v>
      </c>
      <c r="C6" s="31" t="s">
        <v>35</v>
      </c>
      <c r="D6" s="31" t="s">
        <v>36</v>
      </c>
      <c r="E6" s="32" t="s">
        <v>37</v>
      </c>
      <c r="F6" s="25" t="s">
        <v>216</v>
      </c>
      <c r="G6" s="25" t="s">
        <v>217</v>
      </c>
      <c r="H6" s="25" t="s">
        <v>218</v>
      </c>
      <c r="I6" s="25" t="s">
        <v>219</v>
      </c>
      <c r="J6" s="25" t="s">
        <v>220</v>
      </c>
      <c r="K6" s="25" t="s">
        <v>221</v>
      </c>
      <c r="L6" s="25" t="s">
        <v>222</v>
      </c>
      <c r="M6" s="25" t="s">
        <v>223</v>
      </c>
      <c r="N6" s="36" t="s">
        <v>224</v>
      </c>
      <c r="O6" s="37" t="s">
        <v>225</v>
      </c>
      <c r="P6" s="38" t="s">
        <v>226</v>
      </c>
      <c r="Q6" s="38"/>
      <c r="R6" s="38"/>
      <c r="S6" s="38" t="s">
        <v>227</v>
      </c>
      <c r="T6" s="38"/>
      <c r="U6" s="38"/>
      <c r="V6" s="38" t="s">
        <v>228</v>
      </c>
      <c r="W6" s="38"/>
      <c r="X6" s="38"/>
      <c r="Y6" s="38" t="s">
        <v>229</v>
      </c>
      <c r="Z6" s="38"/>
      <c r="AA6" s="38"/>
      <c r="AB6" s="38" t="s">
        <v>230</v>
      </c>
      <c r="AC6" s="38"/>
      <c r="AD6" s="38"/>
      <c r="AE6" s="45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52"/>
      <c r="AQ6" s="45"/>
      <c r="AR6" s="46"/>
      <c r="AS6" s="46"/>
      <c r="AT6" s="46"/>
      <c r="AU6" s="46"/>
      <c r="AV6" s="52"/>
      <c r="AW6" s="56"/>
      <c r="AX6" s="56"/>
      <c r="AY6" s="56"/>
      <c r="AZ6" s="56"/>
      <c r="BA6" s="56"/>
      <c r="BB6" s="56"/>
    </row>
    <row r="7" ht="43.05" customHeight="1" spans="1:134">
      <c r="A7" s="31"/>
      <c r="B7" s="31"/>
      <c r="C7" s="31"/>
      <c r="D7" s="31"/>
      <c r="E7" s="33"/>
      <c r="F7" s="23"/>
      <c r="G7" s="23"/>
      <c r="H7" s="23"/>
      <c r="I7" s="23"/>
      <c r="J7" s="23"/>
      <c r="K7" s="23"/>
      <c r="L7" s="23"/>
      <c r="M7" s="23"/>
      <c r="N7" s="37"/>
      <c r="O7" s="37"/>
      <c r="P7" s="39" t="s">
        <v>231</v>
      </c>
      <c r="Q7" s="39" t="s">
        <v>232</v>
      </c>
      <c r="R7" s="40" t="s">
        <v>233</v>
      </c>
      <c r="S7" s="41" t="s">
        <v>231</v>
      </c>
      <c r="T7" s="39" t="s">
        <v>232</v>
      </c>
      <c r="U7" s="40" t="s">
        <v>234</v>
      </c>
      <c r="V7" s="39" t="s">
        <v>231</v>
      </c>
      <c r="W7" s="39" t="s">
        <v>232</v>
      </c>
      <c r="X7" s="40" t="s">
        <v>233</v>
      </c>
      <c r="Y7" s="39" t="s">
        <v>231</v>
      </c>
      <c r="Z7" s="39" t="s">
        <v>232</v>
      </c>
      <c r="AA7" s="40" t="s">
        <v>233</v>
      </c>
      <c r="AB7" s="39" t="s">
        <v>231</v>
      </c>
      <c r="AC7" s="39" t="s">
        <v>232</v>
      </c>
      <c r="AD7" s="40" t="s">
        <v>233</v>
      </c>
      <c r="AE7" s="47" t="s">
        <v>235</v>
      </c>
      <c r="AF7" s="47" t="s">
        <v>236</v>
      </c>
      <c r="AG7" s="47" t="s">
        <v>237</v>
      </c>
      <c r="AH7" s="47" t="s">
        <v>238</v>
      </c>
      <c r="AI7" s="47" t="s">
        <v>239</v>
      </c>
      <c r="AJ7" s="47" t="s">
        <v>240</v>
      </c>
      <c r="AK7" s="47" t="s">
        <v>241</v>
      </c>
      <c r="AL7" s="50" t="s">
        <v>242</v>
      </c>
      <c r="AM7" s="47" t="s">
        <v>243</v>
      </c>
      <c r="AN7" s="47" t="s">
        <v>244</v>
      </c>
      <c r="AO7" s="53" t="s">
        <v>245</v>
      </c>
      <c r="AP7" s="53" t="s">
        <v>246</v>
      </c>
      <c r="AQ7" s="47" t="s">
        <v>247</v>
      </c>
      <c r="AR7" s="47" t="s">
        <v>248</v>
      </c>
      <c r="AS7" s="47" t="s">
        <v>249</v>
      </c>
      <c r="AT7" s="47" t="s">
        <v>248</v>
      </c>
      <c r="AU7" s="47" t="s">
        <v>250</v>
      </c>
      <c r="AV7" s="47" t="s">
        <v>248</v>
      </c>
      <c r="AW7" s="57" t="s">
        <v>251</v>
      </c>
      <c r="AX7" s="58" t="s">
        <v>252</v>
      </c>
      <c r="AY7" s="58" t="s">
        <v>253</v>
      </c>
      <c r="AZ7" s="58" t="s">
        <v>254</v>
      </c>
      <c r="BA7" s="58" t="s">
        <v>255</v>
      </c>
      <c r="BB7" s="58" t="s">
        <v>256</v>
      </c>
      <c r="DV7" s="59"/>
      <c r="DW7" s="59"/>
      <c r="DX7" s="59"/>
      <c r="DY7" s="59"/>
      <c r="DZ7" s="59"/>
      <c r="EA7" s="59"/>
      <c r="EB7" s="59"/>
      <c r="EC7" s="59"/>
      <c r="ED7" s="59"/>
    </row>
    <row r="9" spans="31:48">
      <c r="AE9" s="48"/>
      <c r="AF9" s="49"/>
      <c r="AG9" s="49"/>
      <c r="AH9" s="48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</row>
    <row r="11" spans="6:7">
      <c r="F11" s="34"/>
      <c r="G11" s="34"/>
    </row>
    <row r="12" spans="6:7">
      <c r="F12" s="34"/>
      <c r="G12" s="34"/>
    </row>
    <row r="13" spans="6:7">
      <c r="F13" s="35"/>
      <c r="G13" s="35"/>
    </row>
  </sheetData>
  <mergeCells count="29">
    <mergeCell ref="B1:BB1"/>
    <mergeCell ref="B2:BB2"/>
    <mergeCell ref="B3:BB3"/>
    <mergeCell ref="B4:BB4"/>
    <mergeCell ref="A5:E5"/>
    <mergeCell ref="F5:AD5"/>
    <mergeCell ref="P6:R6"/>
    <mergeCell ref="S6:U6"/>
    <mergeCell ref="V6:X6"/>
    <mergeCell ref="Y6:AA6"/>
    <mergeCell ref="AB6:AD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AQ5:AV6"/>
    <mergeCell ref="AW5:BB6"/>
    <mergeCell ref="AE5:AP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R3"/>
  <sheetViews>
    <sheetView zoomScale="70" zoomScaleNormal="70" workbookViewId="0">
      <selection activeCell="F15" sqref="F15"/>
    </sheetView>
  </sheetViews>
  <sheetFormatPr defaultColWidth="9" defaultRowHeight="30" customHeight="1" outlineLevelRow="2"/>
  <cols>
    <col min="1" max="3" width="9" style="3"/>
    <col min="4" max="4" width="10.8666666666667" style="3" customWidth="1"/>
    <col min="5" max="5" width="12.3333333333333" style="3" customWidth="1"/>
    <col min="6" max="6" width="15.3333333333333" style="3" customWidth="1"/>
    <col min="7" max="7" width="12.3333333333333" style="3" customWidth="1"/>
    <col min="8" max="8" width="15.7333333333333" style="3" customWidth="1"/>
    <col min="9" max="9" width="14.2666666666667" style="3" customWidth="1"/>
    <col min="10" max="10" width="10.5333333333333" style="3" customWidth="1"/>
    <col min="11" max="11" width="10.7333333333333" style="3" customWidth="1"/>
    <col min="12" max="12" width="11.2666666666667" style="3" customWidth="1"/>
    <col min="13" max="13" width="11.9333333333333" style="3" customWidth="1"/>
    <col min="14" max="14" width="18.5333333333333" style="3" customWidth="1"/>
    <col min="15" max="15" width="12.6666666666667" style="3" customWidth="1"/>
    <col min="16" max="16" width="15.5333333333333" style="3" customWidth="1"/>
    <col min="17" max="17" width="11.2666666666667" style="3" customWidth="1"/>
    <col min="18" max="18" width="11.8" style="3" customWidth="1"/>
    <col min="19" max="19" width="14.2666666666667" style="3" customWidth="1"/>
    <col min="20" max="20" width="10.7333333333333" style="3" customWidth="1"/>
    <col min="21" max="22" width="13" style="3" customWidth="1"/>
    <col min="23" max="23" width="11.4" style="3" customWidth="1"/>
    <col min="24" max="24" width="9.66666666666667" style="3" customWidth="1"/>
    <col min="25" max="25" width="12.4666666666667" style="3" customWidth="1"/>
    <col min="26" max="26" width="10.5333333333333" style="3" customWidth="1"/>
    <col min="27" max="28" width="12.4666666666667" style="3" customWidth="1"/>
    <col min="29" max="29" width="12.3333333333333" style="3" customWidth="1"/>
    <col min="30" max="30" width="11.9333333333333" style="3" customWidth="1"/>
    <col min="31" max="33" width="11.6" style="3" customWidth="1"/>
    <col min="34" max="34" width="12.1333333333333" style="3" customWidth="1"/>
    <col min="35" max="35" width="13.7333333333333" style="3" customWidth="1"/>
    <col min="36" max="37" width="13.4" style="3" customWidth="1"/>
    <col min="38" max="38" width="16.0666666666667" style="3" customWidth="1"/>
    <col min="39" max="39" width="10.6" style="3" customWidth="1"/>
    <col min="40" max="40" width="11" style="3" customWidth="1"/>
    <col min="41" max="41" width="12.8666666666667" style="3" customWidth="1"/>
    <col min="42" max="42" width="12.1333333333333" style="3" customWidth="1"/>
    <col min="43" max="43" width="9.06666666666667" style="3" customWidth="1"/>
    <col min="44" max="44" width="13.4" style="3" customWidth="1"/>
    <col min="45" max="45" width="10.4666666666667" style="3" customWidth="1"/>
    <col min="46" max="46" width="10.7333333333333" style="3" customWidth="1"/>
    <col min="47" max="47" width="10" style="3" customWidth="1"/>
    <col min="48" max="48" width="11.8" style="3" customWidth="1"/>
    <col min="49" max="49" width="10.8666666666667" style="3" customWidth="1"/>
    <col min="50" max="51" width="9.6" style="3" customWidth="1"/>
    <col min="52" max="52" width="12.3333333333333" style="3" customWidth="1"/>
    <col min="53" max="54" width="11.6" style="3" customWidth="1"/>
    <col min="55" max="55" width="11.4" style="3" customWidth="1"/>
    <col min="56" max="56" width="13.2" style="3" customWidth="1"/>
    <col min="57" max="57" width="16.0666666666667" style="3" customWidth="1"/>
    <col min="58" max="59" width="12.4666666666667" style="3" customWidth="1"/>
    <col min="60" max="60" width="17.6666666666667" style="3" customWidth="1"/>
    <col min="61" max="61" width="11.6" style="3" customWidth="1"/>
    <col min="62" max="63" width="9" style="3"/>
    <col min="64" max="64" width="14.0666666666667" style="3" customWidth="1"/>
    <col min="65" max="65" width="31.6" style="3" customWidth="1"/>
    <col min="66" max="16384" width="9" style="3"/>
  </cols>
  <sheetData>
    <row r="1" s="1" customFormat="1" ht="62" customHeight="1" spans="1:125">
      <c r="A1" s="4" t="s">
        <v>257</v>
      </c>
      <c r="B1" s="4"/>
      <c r="C1" s="4"/>
      <c r="D1" s="4"/>
      <c r="E1" s="4"/>
      <c r="F1" s="4" t="s">
        <v>258</v>
      </c>
      <c r="G1" s="4"/>
      <c r="H1" s="4"/>
      <c r="I1" s="4"/>
      <c r="J1" s="10" t="s">
        <v>259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 t="s">
        <v>260</v>
      </c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 t="s">
        <v>261</v>
      </c>
      <c r="BJ1" s="10"/>
      <c r="BK1" s="10"/>
      <c r="BL1" s="10"/>
      <c r="BM1" s="10" t="s">
        <v>262</v>
      </c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</row>
    <row r="2" s="1" customFormat="1" ht="62" customHeight="1" spans="1:125">
      <c r="A2" s="4"/>
      <c r="B2" s="4"/>
      <c r="C2" s="4"/>
      <c r="D2" s="4"/>
      <c r="E2" s="4"/>
      <c r="F2" s="4"/>
      <c r="G2" s="4"/>
      <c r="H2" s="4"/>
      <c r="I2" s="4"/>
      <c r="J2" s="11" t="s">
        <v>263</v>
      </c>
      <c r="K2" s="11"/>
      <c r="L2" s="11"/>
      <c r="M2" s="11"/>
      <c r="N2" s="11" t="s">
        <v>264</v>
      </c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4" t="s">
        <v>265</v>
      </c>
      <c r="AA2" s="14"/>
      <c r="AB2" s="14"/>
      <c r="AC2" s="14"/>
      <c r="AD2" s="14"/>
      <c r="AE2" s="14"/>
      <c r="AF2" s="14"/>
      <c r="AG2" s="14"/>
      <c r="AH2" s="14"/>
      <c r="AI2" s="15" t="s">
        <v>263</v>
      </c>
      <c r="AJ2" s="15"/>
      <c r="AK2" s="15"/>
      <c r="AL2" s="15"/>
      <c r="AM2" s="15" t="s">
        <v>264</v>
      </c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6" t="s">
        <v>265</v>
      </c>
      <c r="BA2" s="16"/>
      <c r="BB2" s="16"/>
      <c r="BC2" s="16"/>
      <c r="BD2" s="16"/>
      <c r="BE2" s="16"/>
      <c r="BF2" s="16"/>
      <c r="BG2" s="16"/>
      <c r="BH2" s="16"/>
      <c r="BI2" s="10"/>
      <c r="BJ2" s="10"/>
      <c r="BK2" s="10"/>
      <c r="BL2" s="10"/>
      <c r="BM2" s="10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</row>
    <row r="3" s="2" customFormat="1" ht="48" customHeight="1" spans="1:148">
      <c r="A3" s="5" t="s">
        <v>33</v>
      </c>
      <c r="B3" s="5" t="s">
        <v>34</v>
      </c>
      <c r="C3" s="5" t="s">
        <v>35</v>
      </c>
      <c r="D3" s="5" t="s">
        <v>36</v>
      </c>
      <c r="E3" s="6" t="s">
        <v>266</v>
      </c>
      <c r="F3" s="7" t="s">
        <v>38</v>
      </c>
      <c r="G3" s="8" t="s">
        <v>39</v>
      </c>
      <c r="H3" s="9" t="s">
        <v>267</v>
      </c>
      <c r="I3" s="9" t="s">
        <v>216</v>
      </c>
      <c r="J3" s="9" t="s">
        <v>219</v>
      </c>
      <c r="K3" s="9" t="s">
        <v>220</v>
      </c>
      <c r="L3" s="9" t="s">
        <v>268</v>
      </c>
      <c r="M3" s="9" t="s">
        <v>218</v>
      </c>
      <c r="N3" s="12" t="s">
        <v>269</v>
      </c>
      <c r="O3" s="12" t="s">
        <v>270</v>
      </c>
      <c r="P3" s="12" t="s">
        <v>271</v>
      </c>
      <c r="Q3" s="12" t="s">
        <v>272</v>
      </c>
      <c r="R3" s="12" t="s">
        <v>273</v>
      </c>
      <c r="S3" s="9" t="s">
        <v>224</v>
      </c>
      <c r="T3" s="13" t="s">
        <v>274</v>
      </c>
      <c r="U3" s="13" t="s">
        <v>275</v>
      </c>
      <c r="V3" s="9" t="s">
        <v>276</v>
      </c>
      <c r="W3" s="9" t="s">
        <v>277</v>
      </c>
      <c r="X3" s="13" t="s">
        <v>278</v>
      </c>
      <c r="Y3" s="9" t="s">
        <v>223</v>
      </c>
      <c r="Z3" s="12" t="s">
        <v>244</v>
      </c>
      <c r="AA3" s="12" t="s">
        <v>279</v>
      </c>
      <c r="AB3" s="12" t="s">
        <v>280</v>
      </c>
      <c r="AC3" s="12" t="s">
        <v>281</v>
      </c>
      <c r="AD3" s="12" t="s">
        <v>282</v>
      </c>
      <c r="AE3" s="12" t="s">
        <v>283</v>
      </c>
      <c r="AF3" s="12" t="s">
        <v>284</v>
      </c>
      <c r="AG3" s="12" t="s">
        <v>285</v>
      </c>
      <c r="AH3" s="12" t="s">
        <v>286</v>
      </c>
      <c r="AI3" s="9" t="s">
        <v>219</v>
      </c>
      <c r="AJ3" s="9" t="s">
        <v>220</v>
      </c>
      <c r="AK3" s="9" t="s">
        <v>268</v>
      </c>
      <c r="AL3" s="9" t="s">
        <v>218</v>
      </c>
      <c r="AM3" s="12" t="s">
        <v>287</v>
      </c>
      <c r="AN3" s="12" t="s">
        <v>270</v>
      </c>
      <c r="AO3" s="12" t="s">
        <v>271</v>
      </c>
      <c r="AP3" s="12" t="s">
        <v>272</v>
      </c>
      <c r="AQ3" s="12" t="s">
        <v>288</v>
      </c>
      <c r="AR3" s="12" t="s">
        <v>289</v>
      </c>
      <c r="AS3" s="9" t="s">
        <v>290</v>
      </c>
      <c r="AT3" s="13" t="s">
        <v>274</v>
      </c>
      <c r="AU3" s="13" t="s">
        <v>275</v>
      </c>
      <c r="AV3" s="9" t="s">
        <v>276</v>
      </c>
      <c r="AW3" s="9" t="s">
        <v>277</v>
      </c>
      <c r="AX3" s="13" t="s">
        <v>278</v>
      </c>
      <c r="AY3" s="9" t="s">
        <v>223</v>
      </c>
      <c r="AZ3" s="12" t="s">
        <v>244</v>
      </c>
      <c r="BA3" s="12" t="s">
        <v>279</v>
      </c>
      <c r="BB3" s="12" t="s">
        <v>280</v>
      </c>
      <c r="BC3" s="12" t="s">
        <v>281</v>
      </c>
      <c r="BD3" s="12" t="s">
        <v>282</v>
      </c>
      <c r="BE3" s="12" t="s">
        <v>283</v>
      </c>
      <c r="BF3" s="12" t="s">
        <v>284</v>
      </c>
      <c r="BG3" s="12" t="s">
        <v>285</v>
      </c>
      <c r="BH3" s="12" t="s">
        <v>286</v>
      </c>
      <c r="BI3" s="12" t="s">
        <v>291</v>
      </c>
      <c r="BJ3" s="12" t="s">
        <v>252</v>
      </c>
      <c r="BK3" s="12" t="s">
        <v>253</v>
      </c>
      <c r="BL3" s="12" t="s">
        <v>292</v>
      </c>
      <c r="BM3" s="17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</row>
  </sheetData>
  <mergeCells count="12">
    <mergeCell ref="J1:AH1"/>
    <mergeCell ref="AI1:BH1"/>
    <mergeCell ref="J2:M2"/>
    <mergeCell ref="N2:Y2"/>
    <mergeCell ref="Z2:AH2"/>
    <mergeCell ref="AI2:AL2"/>
    <mergeCell ref="AM2:AY2"/>
    <mergeCell ref="AZ2:BH2"/>
    <mergeCell ref="BM1:BM3"/>
    <mergeCell ref="A1:E2"/>
    <mergeCell ref="F1:I2"/>
    <mergeCell ref="BI1:B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运营工作</vt:lpstr>
      <vt:lpstr>产品定价表</vt:lpstr>
      <vt:lpstr>产品上架</vt:lpstr>
      <vt:lpstr>单品推广表</vt:lpstr>
      <vt:lpstr>产品每日统计表</vt:lpstr>
      <vt:lpstr>周报表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Caden</cp:lastModifiedBy>
  <dcterms:created xsi:type="dcterms:W3CDTF">2021-05-15T01:19:00Z</dcterms:created>
  <dcterms:modified xsi:type="dcterms:W3CDTF">2022-10-31T05:58:58Z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45646515FE354E1993E07BB5368A36BC</vt:lpwstr>
  </property>
</Properties>
</file>