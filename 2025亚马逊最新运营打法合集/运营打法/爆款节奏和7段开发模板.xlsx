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新品推广计划" sheetId="4" r:id="rId1"/>
    <sheet name="七段式风险评估" sheetId="9" r:id="rId2"/>
    <sheet name="推广运营计划周报" sheetId="5" r:id="rId3"/>
    <sheet name="年度备货销售计划" sheetId="6" r:id="rId4"/>
    <sheet name="mode" sheetId="8" r:id="rId5"/>
    <sheet name="销售计划" sheetId="1" state="hidden" r:id="rId6"/>
    <sheet name="测评测算案例" sheetId="3" r:id="rId7"/>
    <sheet name="成本利润核算" sheetId="2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<sst xmlns="http://schemas.openxmlformats.org/spreadsheetml/2006/main" count="454" uniqueCount="356">
  <si>
    <t>百晓生爆款打造推广计划</t>
  </si>
  <si>
    <t>序号</t>
  </si>
  <si>
    <t>项目名称</t>
  </si>
  <si>
    <t>项目解释</t>
  </si>
  <si>
    <t>推广目标</t>
  </si>
  <si>
    <t>测评数量</t>
  </si>
  <si>
    <t>预算金额-$</t>
  </si>
  <si>
    <t>时间周期(days)</t>
  </si>
  <si>
    <t>实施细节</t>
  </si>
  <si>
    <t>vine voice</t>
  </si>
  <si>
    <t>30个产品计划</t>
  </si>
  <si>
    <t>rank10000</t>
  </si>
  <si>
    <t>新品期30天</t>
  </si>
  <si>
    <t>测评人计划</t>
  </si>
  <si>
    <t>60美金</t>
  </si>
  <si>
    <t>giveaway、coupon</t>
  </si>
  <si>
    <t>Product descriptionA+、
From the manufacturer</t>
  </si>
  <si>
    <t>主图视频</t>
  </si>
  <si>
    <t>图片建模</t>
  </si>
  <si>
    <t>CPC、ams广告、ARA及对手广告数据获取出单词竞价标准</t>
  </si>
  <si>
    <t>长期</t>
  </si>
  <si>
    <t>预算季度20%，前期控制排名，曝光优化图片，acos不管理，刷单刷广告词，中期转化率20%控制。后期CTR千分之5-1%,CR转化率10%合格,CR行业转化率15%.</t>
  </si>
  <si>
    <t>TopReviewer</t>
  </si>
  <si>
    <t>亚马逊职业测评师对产品做专业评测上传视频或文字测评内容，提供给消费者说服力和引导力，是最终形成购买的关键因素</t>
  </si>
  <si>
    <t>RANK30000</t>
  </si>
  <si>
    <t>5-10个优质Top reviewer,2个视频，3个图片，2个文字评字数50字</t>
  </si>
  <si>
    <t>超链和权威链接分享</t>
  </si>
  <si>
    <t>邮件分享或超链提高转化</t>
  </si>
  <si>
    <t>刷单（真实购买）</t>
  </si>
  <si>
    <t>第一周1-5个左右一天，看产品，自然销量增加后2-4个，刷关键转化率，保持持续出单，提升排名；增加好评维护评分提高转化</t>
  </si>
  <si>
    <t>rank20000</t>
  </si>
  <si>
    <t>看竞争对手</t>
  </si>
  <si>
    <t>螺旋式刷，配合广告曝光</t>
  </si>
  <si>
    <t>真实Reviewer评论+评论图片和视频</t>
  </si>
  <si>
    <t>找中介</t>
  </si>
  <si>
    <t>10—20</t>
  </si>
  <si>
    <t>监控差评增加好评10-20，依据行业定，做好评论跟进。</t>
  </si>
  <si>
    <t>直评论、qa、feedback</t>
  </si>
  <si>
    <t>每周增加2-3个直评</t>
  </si>
  <si>
    <t>每周1-3，埋词引导</t>
  </si>
  <si>
    <t>老账号购买</t>
  </si>
  <si>
    <t>社交红人推广、FaceBook、youtube红人、tomoson红人、刷促销量</t>
  </si>
  <si>
    <t xml:space="preserve">http://www.baixiaotangtop.com/BBS/Detail/10066 </t>
  </si>
  <si>
    <t>通过Yotube外部流量，通过reviewer测评最终形成购买</t>
  </si>
  <si>
    <t>确定推广日期，预算好推广数量，最好红人可以再购买产品，确认发帖时间，辅助红人留言</t>
  </si>
  <si>
    <t>加购物车</t>
  </si>
  <si>
    <t>每2天1次、中介</t>
  </si>
  <si>
    <t>增加权重</t>
  </si>
  <si>
    <t>15-30</t>
  </si>
  <si>
    <t>feedback及点赞跟进</t>
  </si>
  <si>
    <t>增加权重、点好评</t>
  </si>
  <si>
    <t>LD、LD加购、天天秒杀</t>
  </si>
  <si>
    <t>增加权重曝光</t>
  </si>
  <si>
    <t>月4次</t>
  </si>
  <si>
    <t>确定好秒杀时间</t>
  </si>
  <si>
    <t>BD</t>
  </si>
  <si>
    <t>sd类型平台促销、各个国外电子类或reddit类型网站发帖、可品牌合作</t>
  </si>
  <si>
    <t>http://www.baixiaotangtop.com/BBS/Detail/10066</t>
  </si>
  <si>
    <t>发帖sd50-150美金，品牌合作最低20美金</t>
  </si>
  <si>
    <t>电台、电视广告、bbc类型媒体、新闻网站</t>
  </si>
  <si>
    <t>联系发稿上新闻</t>
  </si>
  <si>
    <t>独立站引流到亚马逊+亚马逊联盟</t>
  </si>
  <si>
    <t>做透明计划或独家计划、限购、防断货、调价等等</t>
  </si>
  <si>
    <t>其他</t>
  </si>
  <si>
    <t>7段式维度调研分值风险评估表</t>
  </si>
  <si>
    <t>使用方法举例</t>
  </si>
  <si>
    <t>列</t>
  </si>
  <si>
    <t>项目</t>
  </si>
  <si>
    <t>项目编号</t>
  </si>
  <si>
    <t>详细项目</t>
  </si>
  <si>
    <t>分值备注</t>
  </si>
  <si>
    <t>分值标准</t>
  </si>
  <si>
    <t>实际分值举例</t>
  </si>
  <si>
    <t>选品维度</t>
  </si>
  <si>
    <t>说明比如  car seat prototector，案例开发链接：http://www.baixiaotangtop.com/bbs/detail/10817，分值标准为参考最高分，实际分值为产品需要填写的分值。</t>
  </si>
  <si>
    <t>一.产品供需分析</t>
  </si>
  <si>
    <t>产品通用搜索词，月搜索量大于5万</t>
  </si>
  <si>
    <t>维度1</t>
  </si>
  <si>
    <t>关键词热度900,000，这里给15分，如果需求热度小于5万大于1万，则给5分</t>
  </si>
  <si>
    <t>产品通用搜索词，月搜索量大于3万</t>
  </si>
  <si>
    <t>产品通用搜索词，月搜索量大于1万</t>
  </si>
  <si>
    <t>需产品竞争低于5万且低于需求2倍以上。</t>
  </si>
  <si>
    <t>维度2</t>
  </si>
  <si>
    <t>竞争量40000，这里给15分，这里竞争4W，需求是竞争的22倍，符合需产品竞争低于5万且低于需求热度2倍。如果需竞争量大于产品需求热度，则这里实际分值扣50分。</t>
  </si>
  <si>
    <t>产品竞争低于1万且低于需求</t>
  </si>
  <si>
    <t>产品竞争低于3万且低于需求</t>
  </si>
  <si>
    <t>产品竞争大于需求</t>
  </si>
  <si>
    <t>选品评分大于4分且与市面评分一致</t>
  </si>
  <si>
    <t>维度3</t>
  </si>
  <si>
    <t>按照实际填写。如我们一般开发的产品高于4分，则这里给评分填写2。</t>
  </si>
  <si>
    <t>选品评分低于3.6</t>
  </si>
  <si>
    <t>样品功能或差异优于市面产品</t>
  </si>
  <si>
    <t>维度4</t>
  </si>
  <si>
    <t>如果是差异化好或者功能高于行业平均，按照2-5分随意评分。</t>
  </si>
  <si>
    <t>选品平均月销量大于300</t>
  </si>
  <si>
    <t>维度5</t>
  </si>
  <si>
    <t>销量越高越好，这里可以参考行业平均销量，该产品平均销量2000+，所以得分10分。</t>
  </si>
  <si>
    <t>选品平均月销量大于1000</t>
  </si>
  <si>
    <t>二.产品生命周期</t>
  </si>
  <si>
    <t>无淡季</t>
  </si>
  <si>
    <t>维度6</t>
  </si>
  <si>
    <t>无淡季，得分5分，如果有淡季，这样得分为零或者不填写即可。</t>
  </si>
  <si>
    <t>选品生命周期大于1年</t>
  </si>
  <si>
    <t>维度7</t>
  </si>
  <si>
    <t>改产品生命周期大于1年，所以得分5分，如果发现选品在生命周期末期销量是会下降的。则扣50分</t>
  </si>
  <si>
    <t>选品生命周期处于衰退期</t>
  </si>
  <si>
    <t>选品排名最近3个月下降变差</t>
  </si>
  <si>
    <t>维度8</t>
  </si>
  <si>
    <t>竞争目标产品需要排名持续变好，如果选择产品3个月</t>
  </si>
  <si>
    <t>选品排名最近3个月上升变好</t>
  </si>
  <si>
    <t>选品价格最近3个月下降剧烈</t>
  </si>
  <si>
    <t>选品最近销量持续低于10单1天</t>
  </si>
  <si>
    <t>三.产品风险</t>
  </si>
  <si>
    <t>成本低于100元，且日销量高于5单</t>
  </si>
  <si>
    <t>维度9</t>
  </si>
  <si>
    <t>成本越低风险越低，符合者加分。</t>
  </si>
  <si>
    <t>成本低于100元，且跟踪产品日均销量低于5单</t>
  </si>
  <si>
    <t>重量低于1磅</t>
  </si>
  <si>
    <t>维度10</t>
  </si>
  <si>
    <t>重量越低风险越低，符合者加分。</t>
  </si>
  <si>
    <t>体积小于8x8x8inch</t>
  </si>
  <si>
    <t>维度11</t>
  </si>
  <si>
    <t>尺寸越低风险越低，符合者加分。</t>
  </si>
  <si>
    <t>产品采购成本加运费＜售价的50%</t>
  </si>
  <si>
    <t>维度12</t>
  </si>
  <si>
    <t>产品净利润率&gt;50%</t>
  </si>
  <si>
    <t>维度13</t>
  </si>
  <si>
    <t>利润越高得分越高，否则低于2成扣分10分。</t>
  </si>
  <si>
    <t>产品净利润率&gt;20%</t>
  </si>
  <si>
    <t>产品净利润率&lt;20%</t>
  </si>
  <si>
    <t>产品无专利，无需改模</t>
  </si>
  <si>
    <t>维度14</t>
  </si>
  <si>
    <t>不需改模加分</t>
  </si>
  <si>
    <t>产品有专利，需改模</t>
  </si>
  <si>
    <t>四.推广难度</t>
  </si>
  <si>
    <t>选品评论量大于800</t>
  </si>
  <si>
    <t>维度15</t>
  </si>
  <si>
    <t>关键词行业或竞品asin评论越低越好,如评论属于100-800之间评分为零或无需填写。</t>
  </si>
  <si>
    <t>选品评论量大于2000</t>
  </si>
  <si>
    <t>选品评论量低于100</t>
  </si>
  <si>
    <t>选品排名&lt;10000</t>
  </si>
  <si>
    <t>维度16</t>
  </si>
  <si>
    <t>选品排名低于10000加10分，否则5分，排名高于30000名扣10分。</t>
  </si>
  <si>
    <t>选品排名&gt;10000</t>
  </si>
  <si>
    <t>选品排名&gt;30000</t>
  </si>
  <si>
    <t>五.运营因素</t>
  </si>
  <si>
    <t>选品店铺FEEDBACK月&gt;100</t>
  </si>
  <si>
    <t>维度17</t>
  </si>
  <si>
    <t>竞争对手月均feedback越低越好。</t>
  </si>
  <si>
    <t>选品店铺FEEDBACK月&gt;30</t>
  </si>
  <si>
    <t>选品店铺FEEDBACK月&lt;30</t>
  </si>
  <si>
    <t>选品店铺排名&lt;10000</t>
  </si>
  <si>
    <t>维度18</t>
  </si>
  <si>
    <t>选品店铺排名势力越差越好，按照feebak估算，若无法查品牌店铺排名或不会估算feedbak则此处不填写不计分。</t>
  </si>
  <si>
    <t>选品店铺排名&gt;30000</t>
  </si>
  <si>
    <t>选品店铺使用黑科技技术</t>
  </si>
  <si>
    <t>维度19</t>
  </si>
  <si>
    <t>判断对手是否黑科技或者运营技术很强，敌强我弱这里扣分10，否则反之。</t>
  </si>
  <si>
    <t>选品店铺运营优化技术比自己高</t>
  </si>
  <si>
    <t>选品都是大店铺</t>
  </si>
  <si>
    <t>自己店铺运营资金或技术比较多</t>
  </si>
  <si>
    <t>六.产品营销方式</t>
  </si>
  <si>
    <t>易操作，易使用</t>
  </si>
  <si>
    <t>维度20</t>
  </si>
  <si>
    <t>从营销角度考虑，符合者加分。</t>
  </si>
  <si>
    <t>可作为礼品赠送</t>
  </si>
  <si>
    <t>维度21</t>
  </si>
  <si>
    <t>广告花费高于100美金1天</t>
  </si>
  <si>
    <t>维度22</t>
  </si>
  <si>
    <t>广告花费低于30美金1天</t>
  </si>
  <si>
    <t>维度23</t>
  </si>
  <si>
    <t>价格稳定没有明显下调</t>
  </si>
  <si>
    <t>维度24</t>
  </si>
  <si>
    <t>站外推广促销用的少</t>
  </si>
  <si>
    <t>维度25</t>
  </si>
  <si>
    <t>站外推广促销用的多</t>
  </si>
  <si>
    <t>维度26</t>
  </si>
  <si>
    <t>可做产品组合搭配销售</t>
  </si>
  <si>
    <t>维度27</t>
  </si>
  <si>
    <t>七.产品特点</t>
  </si>
  <si>
    <t>产品通用性强，不需改模</t>
  </si>
  <si>
    <t>维度28</t>
  </si>
  <si>
    <t>从产品特色角度考虑，符合者加分。</t>
  </si>
  <si>
    <t>非易碎品，非易变形品</t>
  </si>
  <si>
    <t>维度29</t>
  </si>
  <si>
    <t>复购率高，属于快消品</t>
  </si>
  <si>
    <t>维度30</t>
  </si>
  <si>
    <t>无儿童安全隐患</t>
  </si>
  <si>
    <t>维度31</t>
  </si>
  <si>
    <t>技术更新</t>
  </si>
  <si>
    <t>维度32</t>
  </si>
  <si>
    <t>差评已解决</t>
  </si>
  <si>
    <t>维度33</t>
  </si>
  <si>
    <r>
      <rPr>
        <b/>
        <sz val="9"/>
        <color rgb="FFFF0000"/>
        <rFont val="微软雅黑"/>
        <charset val="134"/>
      </rPr>
      <t xml:space="preserve"> 建议及说明：</t>
    </r>
    <r>
      <rPr>
        <b/>
        <sz val="9"/>
        <rFont val="微软雅黑"/>
        <charset val="134"/>
      </rPr>
      <t xml:space="preserve">产品供需分析,产品生命周期,产品风险,推广难度,运营因素,产品营销方式,产品特点/A9敏感性等7个以上维度进行考虑，0分以下，果断放弃；50分，风险比较大，；51-60分，风险一般，61-80分风险低，81-100分，强烈推荐。
</t>
    </r>
  </si>
  <si>
    <t>求和</t>
  </si>
  <si>
    <t>标准差（越低则离散程度相对小）</t>
  </si>
  <si>
    <t>风险评级</t>
  </si>
  <si>
    <t>跟踪表部分asin数据状态和登记日期</t>
  </si>
  <si>
    <t>备货计划</t>
  </si>
  <si>
    <t>推广计划周报</t>
  </si>
  <si>
    <t>推广计划本月报</t>
  </si>
  <si>
    <t>推广计划下月预计报</t>
  </si>
  <si>
    <t>Type</t>
  </si>
  <si>
    <t>Brand</t>
  </si>
  <si>
    <t>SKU</t>
  </si>
  <si>
    <t>product-name</t>
  </si>
  <si>
    <t>ASIN</t>
  </si>
  <si>
    <t>Track Date</t>
  </si>
  <si>
    <t>Price</t>
  </si>
  <si>
    <t>RANK</t>
  </si>
  <si>
    <t>product star</t>
  </si>
  <si>
    <t>review (数量）</t>
  </si>
  <si>
    <t>Sales</t>
  </si>
  <si>
    <t>Inventory</t>
  </si>
  <si>
    <t>本月底预计剩余库存余量</t>
  </si>
  <si>
    <t>预计下月所需库存量</t>
  </si>
  <si>
    <t>在途库存量1</t>
  </si>
  <si>
    <t>本月发货时间</t>
  </si>
  <si>
    <t>预计库存到货时间</t>
  </si>
  <si>
    <t>预计产品到货时间当天在仓余量</t>
  </si>
  <si>
    <t>预计库存到货后合计库存在仓余量(减去预估销量后剩余的库存）</t>
  </si>
  <si>
    <t>预计下月底亚马逊库存在仓余量</t>
  </si>
  <si>
    <t>是否会缺货？填写是或否</t>
  </si>
  <si>
    <t>本周计划上评</t>
  </si>
  <si>
    <t>上评完成率</t>
  </si>
  <si>
    <t>本周计划销量</t>
  </si>
  <si>
    <t>本周销量完成率（均按照实际完成填写）</t>
  </si>
  <si>
    <t>本周推广计划费用$（广告/站内站外推广加刷单刷评论，含刷单中介佣金+刷单产品成本、fba佣金、fba物流费）</t>
  </si>
  <si>
    <t>本周推广计划花费完成率</t>
  </si>
  <si>
    <t>本月计划上评</t>
  </si>
  <si>
    <t>本月完成率</t>
  </si>
  <si>
    <t>本月计划销量</t>
  </si>
  <si>
    <t>本月销量完成率</t>
  </si>
  <si>
    <t>本月推广计划费用$（广告/站内站外推广加刷单刷评论，含刷单中介佣金+刷单产品成本、fba佣金、fba物流费）</t>
  </si>
  <si>
    <t>本月推广计划花费完成率</t>
  </si>
  <si>
    <t>下月计划上评</t>
  </si>
  <si>
    <t>下月完成率</t>
  </si>
  <si>
    <t>下月计划销量</t>
  </si>
  <si>
    <t>下月销量完成率</t>
  </si>
  <si>
    <t>下月推广计划费用$（广告/站内站外推广加刷单刷评论，含刷单中介佣金+刷单产品成本、fba佣金、fba物流费）</t>
  </si>
  <si>
    <t>下月推广计划花费完成率</t>
  </si>
  <si>
    <t>a18</t>
  </si>
  <si>
    <t>A</t>
  </si>
  <si>
    <t>Q00046</t>
  </si>
  <si>
    <t>6DAAD7U</t>
  </si>
  <si>
    <t>A产品asin12335bo销售美国推广计划</t>
  </si>
  <si>
    <t>进度计划</t>
  </si>
  <si>
    <t>备注</t>
  </si>
  <si>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</si>
  <si>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ahoma"/>
        <charset val="134"/>
      </rPr>
      <t>5月</t>
    </r>
  </si>
  <si>
    <r>
      <rPr>
        <sz val="11"/>
        <color theme="1"/>
        <rFont val="Tahoma"/>
        <charset val="134"/>
      </rPr>
      <t>6月</t>
    </r>
  </si>
  <si>
    <r>
      <rPr>
        <sz val="11"/>
        <color theme="1"/>
        <rFont val="Tahoma"/>
        <charset val="134"/>
      </rPr>
      <t>7月</t>
    </r>
  </si>
  <si>
    <r>
      <rPr>
        <sz val="11"/>
        <color theme="1"/>
        <rFont val="Tahoma"/>
        <charset val="134"/>
      </rPr>
      <t>8月</t>
    </r>
  </si>
  <si>
    <r>
      <rPr>
        <sz val="11"/>
        <color theme="1"/>
        <rFont val="Tahoma"/>
        <charset val="134"/>
      </rPr>
      <t>9月</t>
    </r>
  </si>
  <si>
    <r>
      <rPr>
        <sz val="11"/>
        <color theme="1"/>
        <rFont val="Tahoma"/>
        <charset val="134"/>
      </rPr>
      <t>10月</t>
    </r>
  </si>
  <si>
    <r>
      <rPr>
        <sz val="11"/>
        <color theme="1"/>
        <rFont val="Tahoma"/>
        <charset val="134"/>
      </rPr>
      <t>11月</t>
    </r>
  </si>
  <si>
    <r>
      <rPr>
        <sz val="11"/>
        <color theme="1"/>
        <rFont val="Tahoma"/>
        <charset val="134"/>
      </rPr>
      <t>12月</t>
    </r>
  </si>
  <si>
    <r>
      <rPr>
        <sz val="11"/>
        <color theme="1"/>
        <rFont val="Tahoma"/>
        <charset val="134"/>
      </rPr>
      <t>1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</si>
  <si>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ahoma"/>
        <charset val="134"/>
      </rPr>
      <t>2月</t>
    </r>
  </si>
  <si>
    <r>
      <rPr>
        <sz val="11"/>
        <color theme="1"/>
        <rFont val="Tahoma"/>
        <charset val="134"/>
      </rPr>
      <t>3月</t>
    </r>
  </si>
  <si>
    <t>总计</t>
  </si>
  <si>
    <t>销量</t>
  </si>
  <si>
    <t>价格</t>
  </si>
  <si>
    <t>销售额</t>
  </si>
  <si>
    <t>产品成本</t>
  </si>
  <si>
    <t>产品总成本</t>
  </si>
  <si>
    <t>亚马逊佣金</t>
  </si>
  <si>
    <t>FBA物流</t>
  </si>
  <si>
    <t>退货</t>
  </si>
  <si>
    <t>站内广告</t>
  </si>
  <si>
    <t>测评费用（含测评亚马逊佣金、fba物流费和中介佣金）</t>
  </si>
  <si>
    <t>头程</t>
  </si>
  <si>
    <r>
      <rPr>
        <b/>
        <sz val="11"/>
        <color theme="1"/>
        <rFont val="宋体"/>
        <charset val="134"/>
      </rPr>
      <t>站内</t>
    </r>
    <r>
      <rPr>
        <b/>
        <sz val="11"/>
        <color theme="1"/>
        <rFont val="Tahoma"/>
        <charset val="134"/>
      </rPr>
      <t>deal</t>
    </r>
  </si>
  <si>
    <r>
      <rPr>
        <b/>
        <sz val="11"/>
        <color theme="1"/>
        <rFont val="宋体"/>
        <charset val="134"/>
      </rPr>
      <t>站外</t>
    </r>
    <r>
      <rPr>
        <b/>
        <sz val="11"/>
        <color theme="1"/>
        <rFont val="Tahoma"/>
        <charset val="134"/>
      </rPr>
      <t>deal</t>
    </r>
  </si>
  <si>
    <t>推广</t>
  </si>
  <si>
    <t>备注其他推广手段</t>
  </si>
  <si>
    <t>利润</t>
  </si>
  <si>
    <r>
      <rPr>
        <sz val="16"/>
        <color theme="1"/>
        <rFont val="Tahoma"/>
        <charset val="134"/>
      </rPr>
      <t xml:space="preserve">1. </t>
    </r>
    <r>
      <rPr>
        <sz val="16"/>
        <color theme="1"/>
        <rFont val="宋体"/>
        <charset val="134"/>
      </rPr>
      <t>英国年度销量预计：</t>
    </r>
    <r>
      <rPr>
        <sz val="16"/>
        <color theme="1"/>
        <rFont val="Tahoma"/>
        <charset val="134"/>
      </rPr>
      <t xml:space="preserve">pcs    </t>
    </r>
    <r>
      <rPr>
        <sz val="16"/>
        <color theme="1"/>
        <rFont val="宋体"/>
        <charset val="134"/>
      </rPr>
      <t>销售额预计：</t>
    </r>
    <r>
      <rPr>
        <sz val="16"/>
        <color theme="1"/>
        <rFont val="Tahoma"/>
        <charset val="134"/>
      </rPr>
      <t xml:space="preserve">   
2. </t>
    </r>
    <r>
      <rPr>
        <sz val="16"/>
        <rFont val="宋体"/>
        <charset val="134"/>
      </rPr>
      <t>年度毛利润额（除去退货广告推广测评</t>
    </r>
    <r>
      <rPr>
        <sz val="16"/>
        <rFont val="Tahoma"/>
        <charset val="134"/>
      </rPr>
      <t>deal</t>
    </r>
    <r>
      <rPr>
        <sz val="16"/>
        <rFont val="宋体"/>
        <charset val="134"/>
      </rPr>
      <t>等）：</t>
    </r>
    <r>
      <rPr>
        <sz val="16"/>
        <rFont val="Tahoma"/>
        <charset val="134"/>
      </rPr>
      <t xml:space="preserve"> </t>
    </r>
    <r>
      <rPr>
        <sz val="16"/>
        <color rgb="FFFF0000"/>
        <rFont val="Tahoma"/>
        <charset val="134"/>
      </rPr>
      <t xml:space="preserve">
</t>
    </r>
    <r>
      <rPr>
        <sz val="16"/>
        <rFont val="Tahoma"/>
        <charset val="134"/>
      </rPr>
      <t xml:space="preserve">3. </t>
    </r>
    <r>
      <rPr>
        <sz val="16"/>
        <rFont val="宋体"/>
        <charset val="134"/>
      </rPr>
      <t>毛利润率</t>
    </r>
    <r>
      <rPr>
        <sz val="16"/>
        <rFont val="Tahoma"/>
        <charset val="134"/>
      </rPr>
      <t>:</t>
    </r>
  </si>
  <si>
    <t>brank</t>
  </si>
  <si>
    <t>year</t>
  </si>
  <si>
    <t>product name</t>
  </si>
  <si>
    <t>asin</t>
  </si>
  <si>
    <t>mode  price</t>
  </si>
  <si>
    <t>estimation sales quantity</t>
  </si>
  <si>
    <t>earning</t>
  </si>
  <si>
    <t>handling fee(15%+5)</t>
  </si>
  <si>
    <t>profit</t>
  </si>
  <si>
    <t>quantity*handling fee</t>
  </si>
  <si>
    <t>cost</t>
  </si>
  <si>
    <r>
      <rPr>
        <sz val="9"/>
        <color rgb="FF333333"/>
        <rFont val="Tahoma"/>
        <charset val="134"/>
      </rPr>
      <t>fba</t>
    </r>
    <r>
      <rPr>
        <sz val="9"/>
        <color rgb="FF333333"/>
        <rFont val="宋体"/>
        <charset val="134"/>
      </rPr>
      <t>佣金</t>
    </r>
  </si>
  <si>
    <t>物流费</t>
  </si>
  <si>
    <t>promo sale profit</t>
  </si>
  <si>
    <t>promo quantity</t>
  </si>
  <si>
    <t>profit total</t>
  </si>
  <si>
    <t>Amy Garden</t>
  </si>
  <si>
    <t>iphonex11</t>
  </si>
  <si>
    <t>bo00239948</t>
  </si>
  <si>
    <t>A产品销售英国推广计划</t>
  </si>
  <si>
    <t>测评费用</t>
  </si>
  <si>
    <t>总结：</t>
  </si>
  <si>
    <r>
      <rPr>
        <sz val="16"/>
        <color theme="1"/>
        <rFont val="Tahoma"/>
        <charset val="134"/>
      </rPr>
      <t xml:space="preserve">1. </t>
    </r>
    <r>
      <rPr>
        <sz val="16"/>
        <color theme="1"/>
        <rFont val="宋体"/>
        <charset val="134"/>
      </rPr>
      <t>英国年度销量预计：</t>
    </r>
    <r>
      <rPr>
        <sz val="16"/>
        <color theme="1"/>
        <rFont val="Tahoma"/>
        <charset val="134"/>
      </rPr>
      <t xml:space="preserve">4850-5000pcs    </t>
    </r>
    <r>
      <rPr>
        <sz val="16"/>
        <color theme="1"/>
        <rFont val="宋体"/>
        <charset val="134"/>
      </rPr>
      <t>销售额预计：</t>
    </r>
    <r>
      <rPr>
        <sz val="16"/>
        <color theme="1"/>
        <rFont val="Tahoma"/>
        <charset val="134"/>
      </rPr>
      <t xml:space="preserve"> 22W-23W  GBP    
2. </t>
    </r>
    <r>
      <rPr>
        <sz val="16"/>
        <rFont val="宋体"/>
        <charset val="134"/>
      </rPr>
      <t>年度毛利润额（除去退货广告推广测评</t>
    </r>
    <r>
      <rPr>
        <sz val="16"/>
        <rFont val="Tahoma"/>
        <charset val="134"/>
      </rPr>
      <t>deal</t>
    </r>
    <r>
      <rPr>
        <sz val="16"/>
        <rFont val="宋体"/>
        <charset val="134"/>
      </rPr>
      <t>等）：</t>
    </r>
    <r>
      <rPr>
        <sz val="16"/>
        <rFont val="Tahoma"/>
        <charset val="134"/>
      </rPr>
      <t xml:space="preserve"> </t>
    </r>
    <r>
      <rPr>
        <sz val="16"/>
        <color rgb="FFFF0000"/>
        <rFont val="Tahoma"/>
        <charset val="134"/>
      </rPr>
      <t xml:space="preserve">
   </t>
    </r>
    <r>
      <rPr>
        <sz val="16"/>
        <rFont val="Tahoma"/>
        <charset val="134"/>
      </rPr>
      <t>15.44*4850-22305.15-11152.58-12417.3-800-200-1200</t>
    </r>
    <r>
      <rPr>
        <sz val="16"/>
        <color rgb="FFFF0000"/>
        <rFont val="Tahoma"/>
        <charset val="134"/>
      </rPr>
      <t xml:space="preserve">=2.7W GBP = 23W RMB
</t>
    </r>
    <r>
      <rPr>
        <sz val="16"/>
        <rFont val="Tahoma"/>
        <charset val="134"/>
      </rPr>
      <t xml:space="preserve">3. </t>
    </r>
    <r>
      <rPr>
        <sz val="16"/>
        <rFont val="宋体"/>
        <charset val="134"/>
      </rPr>
      <t>毛利润率</t>
    </r>
    <r>
      <rPr>
        <sz val="16"/>
        <rFont val="Tahoma"/>
        <charset val="134"/>
      </rPr>
      <t xml:space="preserve">=12%  
4. </t>
    </r>
    <r>
      <rPr>
        <sz val="16"/>
        <rFont val="宋体"/>
        <charset val="134"/>
      </rPr>
      <t>综上所述预计欧洲五国年度销量：</t>
    </r>
    <r>
      <rPr>
        <sz val="16"/>
        <rFont val="Tahoma"/>
        <charset val="134"/>
      </rPr>
      <t xml:space="preserve"> 1.3W pcs   </t>
    </r>
    <r>
      <rPr>
        <sz val="16"/>
        <rFont val="宋体"/>
        <charset val="134"/>
      </rPr>
      <t>销售额预计：</t>
    </r>
    <r>
      <rPr>
        <sz val="16"/>
        <rFont val="Tahoma"/>
        <charset val="134"/>
      </rPr>
      <t xml:space="preserve"> 600W RMB   </t>
    </r>
    <r>
      <rPr>
        <sz val="16"/>
        <rFont val="宋体"/>
        <charset val="134"/>
      </rPr>
      <t>毛利：</t>
    </r>
    <r>
      <rPr>
        <sz val="16"/>
        <rFont val="Tahoma"/>
        <charset val="134"/>
      </rPr>
      <t xml:space="preserve"> 70W RMB</t>
    </r>
  </si>
  <si>
    <t>英国</t>
  </si>
  <si>
    <t>日期</t>
  </si>
  <si>
    <t>自然单</t>
  </si>
  <si>
    <t>测评单</t>
  </si>
  <si>
    <t>总出单</t>
  </si>
  <si>
    <t>客单价</t>
  </si>
  <si>
    <t>Review</t>
  </si>
  <si>
    <t>QA</t>
  </si>
  <si>
    <t>Feedback</t>
  </si>
  <si>
    <t>No.1</t>
  </si>
  <si>
    <t>No.2</t>
  </si>
  <si>
    <t>No.3</t>
  </si>
  <si>
    <t>No.4</t>
  </si>
  <si>
    <t>No.5</t>
  </si>
  <si>
    <t>No.6</t>
  </si>
  <si>
    <t>No.7</t>
  </si>
  <si>
    <t>No.8</t>
  </si>
  <si>
    <t>No.9</t>
  </si>
  <si>
    <t>No.10</t>
  </si>
  <si>
    <t>No.11</t>
  </si>
  <si>
    <t>No.12</t>
  </si>
  <si>
    <t>No.13</t>
  </si>
  <si>
    <t>No.14</t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</si>
  <si>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</si>
  <si>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</si>
  <si>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</si>
  <si>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</si>
  <si>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</si>
  <si>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</si>
  <si>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</si>
  <si>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</si>
  <si>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</si>
  <si>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</si>
  <si>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</si>
  <si>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</si>
  <si>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</si>
  <si>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</si>
  <si>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</si>
  <si>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</si>
  <si>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</si>
  <si>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共计：</t>
  </si>
  <si>
    <t>汇率：</t>
  </si>
  <si>
    <r>
      <rPr>
        <sz val="11"/>
        <color theme="1"/>
        <rFont val="宋体"/>
        <charset val="134"/>
      </rPr>
      <t>产品名称</t>
    </r>
  </si>
  <si>
    <t>国家</t>
  </si>
  <si>
    <r>
      <rPr>
        <sz val="11"/>
        <color theme="1"/>
        <rFont val="宋体"/>
        <charset val="134"/>
      </rPr>
      <t>售价</t>
    </r>
  </si>
  <si>
    <r>
      <rPr>
        <sz val="11"/>
        <color theme="1"/>
        <rFont val="宋体"/>
        <charset val="134"/>
      </rPr>
      <t>佣金比例</t>
    </r>
  </si>
  <si>
    <r>
      <rPr>
        <sz val="11"/>
        <color theme="1"/>
        <rFont val="宋体"/>
        <charset val="134"/>
      </rPr>
      <t>佣金</t>
    </r>
  </si>
  <si>
    <r>
      <rPr>
        <sz val="11"/>
        <color theme="1"/>
        <rFont val="宋体"/>
        <charset val="134"/>
      </rPr>
      <t>平台运费</t>
    </r>
  </si>
  <si>
    <r>
      <rPr>
        <sz val="11"/>
        <color theme="1"/>
        <rFont val="宋体"/>
        <charset val="134"/>
      </rPr>
      <t>空运</t>
    </r>
  </si>
  <si>
    <r>
      <rPr>
        <sz val="11"/>
        <color theme="1"/>
        <rFont val="宋体"/>
        <charset val="134"/>
      </rPr>
      <t>最低售价</t>
    </r>
  </si>
  <si>
    <r>
      <rPr>
        <sz val="11"/>
        <color theme="1"/>
        <rFont val="宋体"/>
        <charset val="134"/>
      </rPr>
      <t>成本（</t>
    </r>
    <r>
      <rPr>
        <sz val="11"/>
        <color theme="1"/>
        <rFont val="Calibri"/>
        <charset val="134"/>
      </rPr>
      <t>RMB</t>
    </r>
    <r>
      <rPr>
        <sz val="11"/>
        <color theme="1"/>
        <rFont val="宋体"/>
        <charset val="134"/>
      </rPr>
      <t>）</t>
    </r>
  </si>
  <si>
    <t>成本</t>
  </si>
  <si>
    <r>
      <rPr>
        <sz val="11"/>
        <color theme="1"/>
        <rFont val="宋体"/>
        <charset val="134"/>
      </rPr>
      <t>毛利</t>
    </r>
  </si>
  <si>
    <r>
      <rPr>
        <sz val="11"/>
        <color theme="1"/>
        <rFont val="宋体"/>
        <charset val="134"/>
      </rPr>
      <t>毛利润率</t>
    </r>
  </si>
  <si>
    <t>欧四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</si>
</sst>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\¥#,##0.00;\¥\-#,##0.00"/>
    <numFmt numFmtId="179" formatCode="\$#,##0.00;\-\$#,##0.00"/>
    <numFmt numFmtId="180" formatCode="m/d;@"/>
    <numFmt numFmtId="181" formatCode="[$-409]d\-mmm;@"/>
    <numFmt numFmtId="182" formatCode="0_ "/>
    <numFmt numFmtId="183" formatCode="m&quot;月&quot;d&quot;日&quot;;@"/>
    <numFmt numFmtId="184" formatCode="0.0_ "/>
  </numFmts>
  <fonts count="63">
    <font>
      <sz val="11"/>
      <color theme="1"/>
      <name val="Tahoma"/>
      <charset val="134"/>
    </font>
    <font>
      <sz val="26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Calibri"/>
      <charset val="134"/>
    </font>
    <font>
      <sz val="14"/>
      <color theme="1"/>
      <name val="宋体"/>
      <charset val="134"/>
    </font>
    <font>
      <sz val="14"/>
      <color theme="1"/>
      <name val="Times New Roman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Tahoma"/>
      <charset val="134"/>
    </font>
    <font>
      <sz val="16"/>
      <color theme="1"/>
      <name val="Tahoma"/>
      <charset val="134"/>
    </font>
    <font>
      <b/>
      <sz val="26"/>
      <color theme="1"/>
      <name val="宋体"/>
      <charset val="134"/>
    </font>
    <font>
      <b/>
      <sz val="26"/>
      <color theme="1"/>
      <name val="Tahoma"/>
      <charset val="134"/>
    </font>
    <font>
      <sz val="10"/>
      <color theme="1"/>
      <name val="Arial Unicode MS"/>
      <charset val="134"/>
    </font>
    <font>
      <sz val="9"/>
      <color rgb="FF333333"/>
      <name val="Tahoma"/>
      <charset val="134"/>
    </font>
    <font>
      <sz val="9"/>
      <color rgb="FF333333"/>
      <name val="宋体"/>
      <charset val="134"/>
    </font>
    <font>
      <b/>
      <sz val="8"/>
      <color theme="1"/>
      <name val="Arial Unicode MS"/>
      <charset val="134"/>
    </font>
    <font>
      <sz val="10"/>
      <color theme="1"/>
      <name val="微软雅黑"/>
      <charset val="134"/>
    </font>
    <font>
      <b/>
      <sz val="8"/>
      <color rgb="FF000000"/>
      <name val="Arial Unicode MS"/>
      <charset val="134"/>
    </font>
    <font>
      <sz val="9"/>
      <color theme="1"/>
      <name val="宋体"/>
      <charset val="134"/>
    </font>
    <font>
      <sz val="10"/>
      <color rgb="FFFF0000"/>
      <name val="微软雅黑"/>
      <charset val="134"/>
    </font>
    <font>
      <sz val="20"/>
      <color theme="1"/>
      <name val="微软雅黑"/>
      <charset val="134"/>
    </font>
    <font>
      <sz val="20"/>
      <color rgb="FFFF0000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sz val="16"/>
      <color rgb="FFFF0000"/>
      <name val="微软雅黑"/>
      <charset val="134"/>
    </font>
    <font>
      <b/>
      <sz val="9"/>
      <color rgb="FFFF000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800080"/>
      <name val="宋体"/>
      <charset val="134"/>
      <scheme val="minor"/>
    </font>
    <font>
      <u/>
      <sz val="10"/>
      <color rgb="FF0000FF"/>
      <name val="微软雅黑"/>
      <charset val="134"/>
    </font>
    <font>
      <sz val="11"/>
      <color rgb="FF000000"/>
      <name val="DengXian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sz val="16"/>
      <color theme="1"/>
      <name val="宋体"/>
      <charset val="134"/>
    </font>
    <font>
      <sz val="16"/>
      <name val="宋体"/>
      <charset val="134"/>
    </font>
    <font>
      <sz val="16"/>
      <name val="Tahoma"/>
      <charset val="134"/>
    </font>
    <font>
      <sz val="16"/>
      <color rgb="FFFF0000"/>
      <name val="Tahoma"/>
      <charset val="134"/>
    </font>
    <font>
      <b/>
      <sz val="9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medium">
        <color rgb="FF7030A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theme="7"/>
      </left>
      <right style="hair">
        <color theme="7"/>
      </right>
      <top/>
      <bottom style="hair">
        <color theme="7"/>
      </bottom>
      <diagonal/>
    </border>
    <border>
      <left style="hair">
        <color rgb="FF7030A0"/>
      </left>
      <right style="thick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/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 style="hair">
        <color rgb="FF7030A0"/>
      </top>
      <bottom style="hair">
        <color rgb="FF7030A0"/>
      </bottom>
      <diagonal/>
    </border>
    <border>
      <left style="hair">
        <color rgb="FF7030A0"/>
      </left>
      <right/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ck">
        <color rgb="FF7030A0"/>
      </top>
      <bottom style="thin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n">
        <color rgb="FF7030A0"/>
      </bottom>
      <diagonal/>
    </border>
    <border>
      <left style="thick">
        <color rgb="FF7030A0"/>
      </left>
      <right/>
      <top style="hair">
        <color rgb="FF7030A0"/>
      </top>
      <bottom/>
      <diagonal/>
    </border>
    <border>
      <left/>
      <right style="hair">
        <color rgb="FF7030A0"/>
      </right>
      <top style="hair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hair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 style="hair">
        <color rgb="FF7030A0"/>
      </right>
      <top/>
      <bottom style="thick">
        <color rgb="FF7030A0"/>
      </bottom>
      <diagonal/>
    </border>
    <border>
      <left style="hair">
        <color rgb="FF7030A0"/>
      </left>
      <right/>
      <top style="hair">
        <color rgb="FF7030A0"/>
      </top>
      <bottom style="thick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ck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/>
      <bottom style="hair">
        <color rgb="FF703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" fillId="17" borderId="4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49" applyNumberFormat="0" applyFill="0" applyAlignment="0" applyProtection="0">
      <alignment vertical="center"/>
    </xf>
    <xf numFmtId="0" fontId="42" fillId="0" borderId="49" applyNumberFormat="0" applyFill="0" applyAlignment="0" applyProtection="0">
      <alignment vertical="center"/>
    </xf>
    <xf numFmtId="0" fontId="43" fillId="0" borderId="5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8" borderId="51" applyNumberFormat="0" applyAlignment="0" applyProtection="0">
      <alignment vertical="center"/>
    </xf>
    <xf numFmtId="0" fontId="45" fillId="19" borderId="52" applyNumberFormat="0" applyAlignment="0" applyProtection="0">
      <alignment vertical="center"/>
    </xf>
    <xf numFmtId="0" fontId="46" fillId="19" borderId="51" applyNumberFormat="0" applyAlignment="0" applyProtection="0">
      <alignment vertical="center"/>
    </xf>
    <xf numFmtId="0" fontId="47" fillId="20" borderId="53" applyNumberFormat="0" applyAlignment="0" applyProtection="0">
      <alignment vertical="center"/>
    </xf>
    <xf numFmtId="0" fontId="48" fillId="0" borderId="54" applyNumberFormat="0" applyFill="0" applyAlignment="0" applyProtection="0">
      <alignment vertical="center"/>
    </xf>
    <xf numFmtId="0" fontId="49" fillId="0" borderId="55" applyNumberFormat="0" applyFill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5" fillId="0" borderId="0">
      <alignment vertical="center"/>
    </xf>
    <xf numFmtId="0" fontId="56" fillId="0" borderId="0" applyFont="0" applyAlignment="0">
      <alignment vertical="center"/>
    </xf>
    <xf numFmtId="0" fontId="5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</cellStyleXfs>
  <cellXfs count="176">
    <xf numFmtId="0" fontId="0" fillId="0" borderId="0" xfId="0"/>
    <xf numFmtId="176" fontId="0" fillId="0" borderId="0" xfId="0" applyNumberFormat="1"/>
    <xf numFmtId="40" fontId="0" fillId="0" borderId="0" xfId="0" applyNumberFormat="1"/>
    <xf numFmtId="10" fontId="0" fillId="0" borderId="0" xfId="0" applyNumberFormat="1"/>
    <xf numFmtId="0" fontId="1" fillId="2" borderId="1" xfId="53" applyFont="1" applyFill="1" applyBorder="1" applyAlignment="1">
      <alignment horizontal="center" vertical="center"/>
    </xf>
    <xf numFmtId="9" fontId="1" fillId="2" borderId="1" xfId="53" applyNumberFormat="1" applyFont="1" applyFill="1" applyBorder="1" applyAlignment="1">
      <alignment horizontal="center" vertical="center"/>
    </xf>
    <xf numFmtId="177" fontId="1" fillId="2" borderId="1" xfId="53" applyNumberFormat="1" applyFont="1" applyFill="1" applyBorder="1" applyAlignment="1">
      <alignment horizontal="center" vertical="center"/>
    </xf>
    <xf numFmtId="0" fontId="2" fillId="3" borderId="2" xfId="53" applyFont="1" applyFill="1" applyBorder="1" applyAlignment="1">
      <alignment horizontal="left" vertical="center" wrapText="1"/>
    </xf>
    <xf numFmtId="0" fontId="3" fillId="3" borderId="2" xfId="53" applyFont="1" applyFill="1" applyBorder="1" applyAlignment="1">
      <alignment horizontal="left" vertical="center" wrapText="1"/>
    </xf>
    <xf numFmtId="9" fontId="2" fillId="3" borderId="2" xfId="53" applyNumberFormat="1" applyFont="1" applyFill="1" applyBorder="1" applyAlignment="1">
      <alignment horizontal="left" vertical="center" wrapText="1"/>
    </xf>
    <xf numFmtId="176" fontId="2" fillId="3" borderId="2" xfId="53" applyNumberFormat="1" applyFont="1" applyFill="1" applyBorder="1" applyAlignment="1">
      <alignment horizontal="left" vertical="center" wrapText="1"/>
    </xf>
    <xf numFmtId="40" fontId="2" fillId="3" borderId="2" xfId="53" applyNumberFormat="1" applyFont="1" applyFill="1" applyBorder="1" applyAlignment="1">
      <alignment horizontal="left" vertical="center" wrapText="1"/>
    </xf>
    <xf numFmtId="0" fontId="3" fillId="0" borderId="0" xfId="0" applyFont="1"/>
    <xf numFmtId="9" fontId="0" fillId="0" borderId="0" xfId="0" applyNumberFormat="1"/>
    <xf numFmtId="178" fontId="1" fillId="2" borderId="1" xfId="53" applyNumberFormat="1" applyFont="1" applyFill="1" applyBorder="1" applyAlignment="1">
      <alignment horizontal="center" vertical="center"/>
    </xf>
    <xf numFmtId="179" fontId="1" fillId="2" borderId="1" xfId="53" applyNumberFormat="1" applyFont="1" applyFill="1" applyBorder="1" applyAlignment="1">
      <alignment horizontal="center" vertical="center"/>
    </xf>
    <xf numFmtId="10" fontId="1" fillId="2" borderId="3" xfId="53" applyNumberFormat="1" applyFont="1" applyFill="1" applyBorder="1" applyAlignment="1">
      <alignment horizontal="center" vertical="center"/>
    </xf>
    <xf numFmtId="0" fontId="3" fillId="4" borderId="2" xfId="53" applyFont="1" applyFill="1" applyBorder="1" applyAlignment="1">
      <alignment horizontal="left" vertical="center"/>
    </xf>
    <xf numFmtId="0" fontId="4" fillId="0" borderId="0" xfId="53">
      <alignment vertical="center"/>
    </xf>
    <xf numFmtId="178" fontId="2" fillId="3" borderId="2" xfId="53" applyNumberFormat="1" applyFont="1" applyFill="1" applyBorder="1" applyAlignment="1">
      <alignment horizontal="left" vertical="center" wrapText="1"/>
    </xf>
    <xf numFmtId="176" fontId="3" fillId="3" borderId="2" xfId="53" applyNumberFormat="1" applyFont="1" applyFill="1" applyBorder="1" applyAlignment="1">
      <alignment horizontal="left" vertical="center" wrapText="1"/>
    </xf>
    <xf numFmtId="10" fontId="2" fillId="3" borderId="2" xfId="53" applyNumberFormat="1" applyFont="1" applyFill="1" applyBorder="1" applyAlignment="1">
      <alignment horizontal="left" vertical="center" wrapText="1"/>
    </xf>
    <xf numFmtId="0" fontId="5" fillId="3" borderId="2" xfId="49" applyFont="1" applyFill="1" applyBorder="1" applyAlignment="1">
      <alignment horizontal="left" vertical="center" wrapText="1"/>
    </xf>
    <xf numFmtId="0" fontId="0" fillId="0" borderId="2" xfId="0" applyBorder="1"/>
    <xf numFmtId="180" fontId="6" fillId="0" borderId="2" xfId="54" applyNumberFormat="1" applyFont="1" applyBorder="1" applyAlignment="1">
      <alignment vertical="center"/>
    </xf>
    <xf numFmtId="180" fontId="7" fillId="5" borderId="2" xfId="54" applyNumberFormat="1" applyFont="1" applyFill="1" applyBorder="1" applyAlignment="1">
      <alignment horizontal="center" vertical="center"/>
    </xf>
    <xf numFmtId="181" fontId="4" fillId="0" borderId="2" xfId="54" applyNumberFormat="1" applyBorder="1" applyAlignment="1">
      <alignment horizontal="center" vertical="center" wrapText="1"/>
    </xf>
    <xf numFmtId="0" fontId="8" fillId="0" borderId="2" xfId="54" applyFont="1" applyBorder="1" applyAlignment="1">
      <alignment horizontal="center" vertical="center" wrapText="1"/>
    </xf>
    <xf numFmtId="0" fontId="9" fillId="0" borderId="2" xfId="54" applyFont="1" applyBorder="1" applyAlignment="1">
      <alignment horizontal="center" vertical="center" wrapText="1"/>
    </xf>
    <xf numFmtId="0" fontId="10" fillId="0" borderId="2" xfId="54" applyFont="1" applyBorder="1" applyAlignment="1">
      <alignment horizontal="center" vertical="center" wrapText="1"/>
    </xf>
    <xf numFmtId="179" fontId="10" fillId="0" borderId="2" xfId="54" applyNumberFormat="1" applyFont="1" applyBorder="1" applyAlignment="1">
      <alignment horizontal="center" vertical="center" wrapText="1"/>
    </xf>
    <xf numFmtId="181" fontId="4" fillId="0" borderId="2" xfId="54" applyNumberFormat="1" applyBorder="1" applyAlignment="1">
      <alignment horizontal="center" vertical="center"/>
    </xf>
    <xf numFmtId="0" fontId="4" fillId="0" borderId="2" xfId="54" applyBorder="1"/>
    <xf numFmtId="0" fontId="11" fillId="0" borderId="2" xfId="54" applyFont="1" applyBorder="1" applyAlignment="1">
      <alignment horizontal="center" vertical="center"/>
    </xf>
    <xf numFmtId="0" fontId="12" fillId="0" borderId="2" xfId="54" applyFont="1" applyBorder="1" applyAlignment="1">
      <alignment horizontal="center" vertical="center"/>
    </xf>
    <xf numFmtId="0" fontId="4" fillId="0" borderId="2" xfId="54" applyBorder="1" applyAlignment="1">
      <alignment horizontal="center" vertical="center" wrapText="1"/>
    </xf>
    <xf numFmtId="179" fontId="4" fillId="0" borderId="2" xfId="54" applyNumberFormat="1" applyBorder="1" applyAlignment="1">
      <alignment horizontal="center" vertical="center"/>
    </xf>
    <xf numFmtId="0" fontId="4" fillId="0" borderId="2" xfId="54" applyBorder="1" applyAlignment="1">
      <alignment horizontal="center" vertical="center"/>
    </xf>
    <xf numFmtId="181" fontId="4" fillId="4" borderId="2" xfId="54" applyNumberFormat="1" applyFill="1" applyBorder="1" applyAlignment="1">
      <alignment horizontal="center" vertical="center"/>
    </xf>
    <xf numFmtId="0" fontId="11" fillId="4" borderId="2" xfId="54" applyFont="1" applyFill="1" applyBorder="1" applyAlignment="1">
      <alignment horizontal="center" vertical="center"/>
    </xf>
    <xf numFmtId="0" fontId="4" fillId="4" borderId="2" xfId="54" applyFill="1" applyBorder="1"/>
    <xf numFmtId="179" fontId="4" fillId="4" borderId="2" xfId="54" applyNumberFormat="1" applyFill="1" applyBorder="1" applyAlignment="1">
      <alignment horizontal="center" vertical="center"/>
    </xf>
    <xf numFmtId="0" fontId="4" fillId="4" borderId="2" xfId="54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6" borderId="6" xfId="0" applyFont="1" applyFill="1" applyBorder="1"/>
    <xf numFmtId="0" fontId="3" fillId="6" borderId="7" xfId="0" applyFont="1" applyFill="1" applyBorder="1"/>
    <xf numFmtId="0" fontId="0" fillId="6" borderId="7" xfId="0" applyFill="1" applyBorder="1"/>
    <xf numFmtId="0" fontId="13" fillId="0" borderId="6" xfId="0" applyFont="1" applyBorder="1"/>
    <xf numFmtId="0" fontId="14" fillId="0" borderId="6" xfId="0" applyFont="1" applyBorder="1"/>
    <xf numFmtId="0" fontId="15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/>
    <xf numFmtId="0" fontId="0" fillId="0" borderId="9" xfId="0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4" fillId="6" borderId="13" xfId="0" applyFont="1" applyFill="1" applyBorder="1" applyAlignment="1">
      <alignment vertical="center"/>
    </xf>
    <xf numFmtId="0" fontId="18" fillId="6" borderId="14" xfId="0" applyFont="1" applyFill="1" applyBorder="1" applyAlignment="1">
      <alignment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17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/>
    </xf>
    <xf numFmtId="182" fontId="4" fillId="2" borderId="0" xfId="0" applyNumberFormat="1" applyFont="1" applyFill="1" applyAlignment="1">
      <alignment horizontal="center"/>
    </xf>
    <xf numFmtId="182" fontId="4" fillId="0" borderId="0" xfId="0" applyNumberFormat="1" applyFont="1" applyAlignment="1">
      <alignment vertical="center"/>
    </xf>
    <xf numFmtId="18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8" fillId="7" borderId="14" xfId="0" applyFont="1" applyFill="1" applyBorder="1" applyAlignment="1">
      <alignment vertical="center" wrapText="1"/>
    </xf>
    <xf numFmtId="0" fontId="19" fillId="7" borderId="14" xfId="0" applyFont="1" applyFill="1" applyBorder="1" applyAlignment="1">
      <alignment vertical="center"/>
    </xf>
    <xf numFmtId="0" fontId="20" fillId="7" borderId="14" xfId="0" applyFont="1" applyFill="1" applyBorder="1" applyAlignment="1">
      <alignment vertical="center"/>
    </xf>
    <xf numFmtId="182" fontId="4" fillId="0" borderId="16" xfId="0" applyNumberFormat="1" applyFont="1" applyBorder="1" applyAlignment="1">
      <alignment horizontal="center" vertical="center"/>
    </xf>
    <xf numFmtId="0" fontId="3" fillId="7" borderId="6" xfId="0" applyFont="1" applyFill="1" applyBorder="1"/>
    <xf numFmtId="0" fontId="3" fillId="7" borderId="7" xfId="0" applyFont="1" applyFill="1" applyBorder="1"/>
    <xf numFmtId="0" fontId="0" fillId="7" borderId="7" xfId="0" applyFill="1" applyBorder="1"/>
    <xf numFmtId="0" fontId="13" fillId="3" borderId="6" xfId="0" applyFont="1" applyFill="1" applyBorder="1"/>
    <xf numFmtId="0" fontId="13" fillId="6" borderId="6" xfId="0" applyFont="1" applyFill="1" applyBorder="1"/>
    <xf numFmtId="0" fontId="13" fillId="6" borderId="6" xfId="0" applyFont="1" applyFill="1" applyBorder="1" applyAlignment="1">
      <alignment wrapText="1"/>
    </xf>
    <xf numFmtId="0" fontId="3" fillId="6" borderId="0" xfId="0" applyFont="1" applyFill="1"/>
    <xf numFmtId="0" fontId="14" fillId="6" borderId="6" xfId="0" applyFont="1" applyFill="1" applyBorder="1"/>
    <xf numFmtId="0" fontId="3" fillId="7" borderId="17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21" fillId="8" borderId="19" xfId="0" applyFont="1" applyFill="1" applyBorder="1" applyAlignment="1">
      <alignment horizontal="center" vertical="center" wrapText="1"/>
    </xf>
    <xf numFmtId="0" fontId="21" fillId="8" borderId="20" xfId="0" applyFont="1" applyFill="1" applyBorder="1" applyAlignment="1">
      <alignment horizontal="center" vertical="center" wrapText="1"/>
    </xf>
    <xf numFmtId="183" fontId="22" fillId="0" borderId="21" xfId="0" applyNumberFormat="1" applyFont="1" applyBorder="1" applyAlignment="1">
      <alignment vertical="center"/>
    </xf>
    <xf numFmtId="14" fontId="4" fillId="0" borderId="0" xfId="0" applyNumberFormat="1" applyFont="1" applyAlignment="1">
      <alignment vertical="center"/>
    </xf>
    <xf numFmtId="0" fontId="3" fillId="9" borderId="18" xfId="0" applyFont="1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21" fillId="3" borderId="20" xfId="0" applyFont="1" applyFill="1" applyBorder="1" applyAlignment="1">
      <alignment horizontal="center" vertical="center" wrapText="1"/>
    </xf>
    <xf numFmtId="0" fontId="23" fillId="10" borderId="2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vertical="center"/>
    </xf>
    <xf numFmtId="0" fontId="3" fillId="11" borderId="18" xfId="0" applyFont="1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24" fillId="3" borderId="20" xfId="0" applyFont="1" applyFill="1" applyBorder="1" applyAlignment="1">
      <alignment horizontal="center" vertical="center" wrapText="1"/>
    </xf>
    <xf numFmtId="0" fontId="3" fillId="12" borderId="18" xfId="0" applyFont="1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3" fillId="13" borderId="18" xfId="0" applyFont="1" applyFill="1" applyBorder="1" applyAlignment="1">
      <alignment horizontal="center"/>
    </xf>
    <xf numFmtId="0" fontId="3" fillId="1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6" borderId="4" xfId="0" applyFont="1" applyFill="1" applyBorder="1" applyAlignment="1">
      <alignment horizontal="center" vertical="center"/>
    </xf>
    <xf numFmtId="0" fontId="26" fillId="6" borderId="24" xfId="0" applyFont="1" applyFill="1" applyBorder="1" applyAlignment="1">
      <alignment horizontal="center" vertical="center"/>
    </xf>
    <xf numFmtId="0" fontId="27" fillId="6" borderId="25" xfId="0" applyFont="1" applyFill="1" applyBorder="1" applyAlignment="1">
      <alignment horizontal="center" vertical="center"/>
    </xf>
    <xf numFmtId="0" fontId="22" fillId="14" borderId="26" xfId="0" applyFont="1" applyFill="1" applyBorder="1" applyAlignment="1">
      <alignment horizontal="center" vertical="center" wrapText="1"/>
    </xf>
    <xf numFmtId="0" fontId="28" fillId="14" borderId="17" xfId="0" applyFont="1" applyFill="1" applyBorder="1" applyAlignment="1">
      <alignment horizontal="center" vertical="center" wrapText="1"/>
    </xf>
    <xf numFmtId="0" fontId="29" fillId="14" borderId="18" xfId="0" applyFont="1" applyFill="1" applyBorder="1" applyAlignment="1">
      <alignment horizontal="center" vertical="center" wrapText="1"/>
    </xf>
    <xf numFmtId="0" fontId="28" fillId="14" borderId="27" xfId="0" applyFont="1" applyFill="1" applyBorder="1" applyAlignment="1">
      <alignment horizontal="center" vertical="center" wrapText="1"/>
    </xf>
    <xf numFmtId="0" fontId="29" fillId="14" borderId="28" xfId="0" applyFont="1" applyFill="1" applyBorder="1" applyAlignment="1">
      <alignment horizontal="center" vertical="center" wrapText="1"/>
    </xf>
    <xf numFmtId="0" fontId="28" fillId="14" borderId="29" xfId="0" applyFont="1" applyFill="1" applyBorder="1" applyAlignment="1">
      <alignment horizontal="center" vertical="center" wrapText="1"/>
    </xf>
    <xf numFmtId="0" fontId="30" fillId="14" borderId="30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22" fillId="0" borderId="26" xfId="0" applyFont="1" applyBorder="1" applyAlignment="1">
      <alignment horizontal="center" vertical="center"/>
    </xf>
    <xf numFmtId="0" fontId="22" fillId="15" borderId="31" xfId="0" applyFont="1" applyFill="1" applyBorder="1" applyAlignment="1">
      <alignment horizontal="center" vertical="center"/>
    </xf>
    <xf numFmtId="0" fontId="22" fillId="15" borderId="7" xfId="0" applyFont="1" applyFill="1" applyBorder="1" applyAlignment="1">
      <alignment horizontal="center" vertical="center"/>
    </xf>
    <xf numFmtId="0" fontId="22" fillId="15" borderId="32" xfId="0" applyFont="1" applyFill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31" fillId="6" borderId="36" xfId="0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 wrapText="1"/>
    </xf>
    <xf numFmtId="0" fontId="22" fillId="16" borderId="32" xfId="0" applyFont="1" applyFill="1" applyBorder="1" applyAlignment="1">
      <alignment horizontal="center" vertical="center" wrapText="1"/>
    </xf>
    <xf numFmtId="0" fontId="22" fillId="16" borderId="33" xfId="0" applyFont="1" applyFill="1" applyBorder="1" applyAlignment="1">
      <alignment horizontal="center" vertical="center"/>
    </xf>
    <xf numFmtId="0" fontId="22" fillId="16" borderId="34" xfId="0" applyFont="1" applyFill="1" applyBorder="1" applyAlignment="1">
      <alignment horizontal="center" vertical="center"/>
    </xf>
    <xf numFmtId="0" fontId="25" fillId="16" borderId="35" xfId="0" applyFont="1" applyFill="1" applyBorder="1" applyAlignment="1">
      <alignment horizontal="center" vertical="center"/>
    </xf>
    <xf numFmtId="0" fontId="31" fillId="6" borderId="38" xfId="0" applyFont="1" applyFill="1" applyBorder="1" applyAlignment="1">
      <alignment horizontal="center" vertical="center" wrapText="1"/>
    </xf>
    <xf numFmtId="0" fontId="31" fillId="6" borderId="39" xfId="0" applyFont="1" applyFill="1" applyBorder="1" applyAlignment="1">
      <alignment horizontal="center" vertical="center" wrapText="1"/>
    </xf>
    <xf numFmtId="184" fontId="22" fillId="16" borderId="33" xfId="0" applyNumberFormat="1" applyFont="1" applyFill="1" applyBorder="1" applyAlignment="1">
      <alignment horizontal="center" vertical="center"/>
    </xf>
    <xf numFmtId="184" fontId="22" fillId="16" borderId="34" xfId="0" applyNumberFormat="1" applyFont="1" applyFill="1" applyBorder="1" applyAlignment="1">
      <alignment horizontal="center" vertical="center"/>
    </xf>
    <xf numFmtId="184" fontId="25" fillId="16" borderId="35" xfId="0" applyNumberFormat="1" applyFont="1" applyFill="1" applyBorder="1" applyAlignment="1">
      <alignment horizontal="center" vertical="center"/>
    </xf>
    <xf numFmtId="0" fontId="31" fillId="6" borderId="40" xfId="0" applyFont="1" applyFill="1" applyBorder="1" applyAlignment="1">
      <alignment horizontal="center" vertical="center" wrapText="1"/>
    </xf>
    <xf numFmtId="0" fontId="31" fillId="6" borderId="41" xfId="0" applyFont="1" applyFill="1" applyBorder="1" applyAlignment="1">
      <alignment horizontal="center" vertical="center" wrapText="1"/>
    </xf>
    <xf numFmtId="0" fontId="22" fillId="16" borderId="42" xfId="0" applyFont="1" applyFill="1" applyBorder="1" applyAlignment="1">
      <alignment horizontal="center" vertical="center" wrapText="1"/>
    </xf>
    <xf numFmtId="0" fontId="22" fillId="16" borderId="43" xfId="0" applyFont="1" applyFill="1" applyBorder="1" applyAlignment="1">
      <alignment horizontal="center" vertical="center"/>
    </xf>
    <xf numFmtId="0" fontId="22" fillId="16" borderId="44" xfId="0" applyFont="1" applyFill="1" applyBorder="1" applyAlignment="1">
      <alignment horizontal="center" vertical="center"/>
    </xf>
    <xf numFmtId="0" fontId="25" fillId="16" borderId="45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32" fillId="7" borderId="17" xfId="0" applyFont="1" applyFill="1" applyBorder="1" applyAlignment="1">
      <alignment horizontal="center" wrapText="1"/>
    </xf>
    <xf numFmtId="0" fontId="32" fillId="7" borderId="18" xfId="0" applyFont="1" applyFill="1" applyBorder="1" applyAlignment="1">
      <alignment horizontal="center" wrapText="1"/>
    </xf>
    <xf numFmtId="0" fontId="32" fillId="7" borderId="22" xfId="0" applyFont="1" applyFill="1" applyBorder="1" applyAlignment="1">
      <alignment horizontal="center" wrapText="1"/>
    </xf>
    <xf numFmtId="0" fontId="32" fillId="7" borderId="31" xfId="0" applyFont="1" applyFill="1" applyBorder="1" applyAlignment="1">
      <alignment horizontal="center" wrapText="1"/>
    </xf>
    <xf numFmtId="0" fontId="32" fillId="7" borderId="7" xfId="0" applyFont="1" applyFill="1" applyBorder="1" applyAlignment="1">
      <alignment vertical="center" wrapText="1"/>
    </xf>
    <xf numFmtId="0" fontId="32" fillId="7" borderId="7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vertical="center" wrapText="1"/>
    </xf>
    <xf numFmtId="0" fontId="22" fillId="0" borderId="31" xfId="0" applyFont="1" applyBorder="1" applyAlignment="1">
      <alignment horizontal="center" wrapText="1"/>
    </xf>
    <xf numFmtId="0" fontId="22" fillId="0" borderId="7" xfId="0" applyFont="1" applyBorder="1" applyAlignment="1">
      <alignment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46" xfId="0" applyFont="1" applyBorder="1" applyAlignment="1">
      <alignment vertical="center" wrapText="1"/>
    </xf>
    <xf numFmtId="0" fontId="22" fillId="0" borderId="7" xfId="0" applyFont="1" applyBorder="1" applyAlignment="1">
      <alignment wrapText="1"/>
    </xf>
    <xf numFmtId="0" fontId="33" fillId="0" borderId="7" xfId="6" applyFont="1" applyFill="1" applyBorder="1" applyAlignment="1">
      <alignment vertical="center" wrapText="1"/>
    </xf>
    <xf numFmtId="0" fontId="34" fillId="0" borderId="7" xfId="6" applyFont="1" applyFill="1" applyBorder="1" applyAlignment="1">
      <alignment vertical="center" wrapText="1"/>
    </xf>
    <xf numFmtId="0" fontId="22" fillId="0" borderId="19" xfId="0" applyFont="1" applyBorder="1" applyAlignment="1">
      <alignment horizontal="center" wrapText="1"/>
    </xf>
    <xf numFmtId="0" fontId="22" fillId="0" borderId="20" xfId="0" applyFont="1" applyBorder="1" applyAlignment="1">
      <alignment wrapText="1"/>
    </xf>
    <xf numFmtId="0" fontId="22" fillId="0" borderId="20" xfId="0" applyFont="1" applyBorder="1" applyAlignment="1">
      <alignment horizontal="center" vertical="center" wrapText="1"/>
    </xf>
    <xf numFmtId="0" fontId="22" fillId="0" borderId="20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35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6" fillId="0" borderId="0" xfId="6" applyAlignment="1">
      <alignment vertical="center"/>
    </xf>
    <xf numFmtId="0" fontId="22" fillId="0" borderId="47" xfId="0" applyFont="1" applyBorder="1" applyAlignment="1">
      <alignment horizont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6" xfId="51"/>
    <cellStyle name="常规 3" xfId="52"/>
    <cellStyle name="常规 4" xfId="53"/>
    <cellStyle name="常规 5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xiaotangtop.com/BBS/Detail/10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B34" sqref="B34"/>
    </sheetView>
  </sheetViews>
  <sheetFormatPr defaultColWidth="10.6666666666667" defaultRowHeight="12" customHeight="1" outlineLevelCol="7"/>
  <cols>
    <col min="1" max="1" width="10.6666666666667" style="150" customWidth="1"/>
    <col min="2" max="2" width="27.6666666666667" style="151" customWidth="1"/>
    <col min="3" max="3" width="55.1666666666667" style="151" customWidth="1"/>
    <col min="4" max="4" width="14" style="151" customWidth="1"/>
    <col min="5" max="5" width="10.6666666666667" style="150" customWidth="1"/>
    <col min="6" max="7" width="10.6666666666667" style="151" customWidth="1"/>
    <col min="8" max="8" width="13.1666666666667" style="151" customWidth="1"/>
    <col min="9" max="9" width="10.6666666666667" style="151" customWidth="1"/>
    <col min="10" max="16384" width="10.6666666666667" style="151"/>
  </cols>
  <sheetData>
    <row r="1" ht="34" customHeight="1" spans="1:8">
      <c r="A1" s="152" t="s">
        <v>0</v>
      </c>
      <c r="B1" s="153"/>
      <c r="C1" s="153"/>
      <c r="D1" s="153"/>
      <c r="E1" s="153"/>
      <c r="F1" s="153"/>
      <c r="G1" s="153"/>
      <c r="H1" s="154"/>
    </row>
    <row r="2" customHeight="1" spans="1:8">
      <c r="A2" s="155" t="s">
        <v>1</v>
      </c>
      <c r="B2" s="156" t="s">
        <v>2</v>
      </c>
      <c r="C2" s="156" t="s">
        <v>3</v>
      </c>
      <c r="D2" s="156" t="s">
        <v>4</v>
      </c>
      <c r="E2" s="157" t="s">
        <v>5</v>
      </c>
      <c r="F2" s="156" t="s">
        <v>6</v>
      </c>
      <c r="G2" s="156" t="s">
        <v>7</v>
      </c>
      <c r="H2" s="158" t="s">
        <v>8</v>
      </c>
    </row>
    <row r="3" ht="15" customHeight="1" spans="1:8">
      <c r="A3" s="159">
        <v>1</v>
      </c>
      <c r="B3" s="160" t="s">
        <v>9</v>
      </c>
      <c r="C3" s="160" t="s">
        <v>10</v>
      </c>
      <c r="D3" s="160" t="s">
        <v>11</v>
      </c>
      <c r="E3" s="161">
        <v>30</v>
      </c>
      <c r="F3" s="160">
        <v>2500</v>
      </c>
      <c r="G3" s="160" t="s">
        <v>12</v>
      </c>
      <c r="H3" s="162"/>
    </row>
    <row r="4" ht="14" customHeight="1" spans="1:8">
      <c r="A4" s="159">
        <v>2</v>
      </c>
      <c r="B4" s="160" t="s">
        <v>13</v>
      </c>
      <c r="C4" s="160" t="s">
        <v>14</v>
      </c>
      <c r="D4" s="160"/>
      <c r="E4" s="161">
        <v>3</v>
      </c>
      <c r="F4" s="160"/>
      <c r="G4" s="160" t="s">
        <v>12</v>
      </c>
      <c r="H4" s="162"/>
    </row>
    <row r="5" customHeight="1" spans="1:8">
      <c r="A5" s="159">
        <v>3</v>
      </c>
      <c r="B5" s="160" t="s">
        <v>15</v>
      </c>
      <c r="C5" s="160"/>
      <c r="D5" s="160"/>
      <c r="E5" s="161"/>
      <c r="F5" s="160"/>
      <c r="G5" s="160" t="s">
        <v>12</v>
      </c>
      <c r="H5" s="162"/>
    </row>
    <row r="6" customHeight="1" spans="1:8">
      <c r="A6" s="159">
        <v>4</v>
      </c>
      <c r="B6" s="160" t="s">
        <v>16</v>
      </c>
      <c r="C6" s="160"/>
      <c r="D6" s="160"/>
      <c r="E6" s="161"/>
      <c r="F6" s="160"/>
      <c r="G6" s="160" t="s">
        <v>12</v>
      </c>
      <c r="H6" s="162"/>
    </row>
    <row r="7" ht="18" customHeight="1" spans="1:8">
      <c r="A7" s="159">
        <v>5</v>
      </c>
      <c r="B7" s="160" t="s">
        <v>17</v>
      </c>
      <c r="C7" s="160"/>
      <c r="D7" s="160"/>
      <c r="E7" s="161">
        <v>1</v>
      </c>
      <c r="F7" s="160"/>
      <c r="G7" s="160" t="s">
        <v>12</v>
      </c>
      <c r="H7" s="162"/>
    </row>
    <row r="8" ht="18" customHeight="1" spans="1:8">
      <c r="A8" s="159">
        <v>6</v>
      </c>
      <c r="B8" s="160" t="s">
        <v>18</v>
      </c>
      <c r="C8" s="163"/>
      <c r="D8" s="160"/>
      <c r="E8" s="161">
        <v>2</v>
      </c>
      <c r="F8" s="160"/>
      <c r="G8" s="160" t="s">
        <v>12</v>
      </c>
      <c r="H8" s="162"/>
    </row>
    <row r="9" ht="143" customHeight="1" spans="1:8">
      <c r="A9" s="159">
        <v>7</v>
      </c>
      <c r="B9" s="160" t="s">
        <v>19</v>
      </c>
      <c r="C9" s="160"/>
      <c r="D9" s="160" t="s">
        <v>11</v>
      </c>
      <c r="E9" s="161"/>
      <c r="F9" s="160"/>
      <c r="G9" s="160" t="s">
        <v>20</v>
      </c>
      <c r="H9" s="162" t="s">
        <v>21</v>
      </c>
    </row>
    <row r="10" ht="110" customHeight="1" spans="1:8">
      <c r="A10" s="159">
        <v>8</v>
      </c>
      <c r="B10" s="160" t="s">
        <v>22</v>
      </c>
      <c r="C10" s="160" t="s">
        <v>23</v>
      </c>
      <c r="D10" s="160" t="s">
        <v>24</v>
      </c>
      <c r="E10" s="161">
        <v>5</v>
      </c>
      <c r="F10" s="160"/>
      <c r="G10" s="160" t="s">
        <v>12</v>
      </c>
      <c r="H10" s="162" t="s">
        <v>25</v>
      </c>
    </row>
    <row r="11" ht="18" customHeight="1" spans="1:8">
      <c r="A11" s="159">
        <v>9</v>
      </c>
      <c r="B11" s="160" t="s">
        <v>26</v>
      </c>
      <c r="C11" s="160" t="s">
        <v>27</v>
      </c>
      <c r="D11" s="160"/>
      <c r="E11" s="161">
        <v>20</v>
      </c>
      <c r="F11" s="160"/>
      <c r="G11" s="160" t="s">
        <v>20</v>
      </c>
      <c r="H11" s="162"/>
    </row>
    <row r="12" ht="48" customHeight="1" spans="1:8">
      <c r="A12" s="159">
        <v>10</v>
      </c>
      <c r="B12" s="160" t="s">
        <v>28</v>
      </c>
      <c r="C12" s="160" t="s">
        <v>29</v>
      </c>
      <c r="D12" s="160" t="s">
        <v>30</v>
      </c>
      <c r="E12" s="161" t="s">
        <v>31</v>
      </c>
      <c r="F12" s="160"/>
      <c r="G12" s="160" t="s">
        <v>12</v>
      </c>
      <c r="H12" s="162" t="s">
        <v>32</v>
      </c>
    </row>
    <row r="13" ht="73" customHeight="1" spans="1:8">
      <c r="A13" s="159">
        <v>11</v>
      </c>
      <c r="B13" s="160" t="s">
        <v>33</v>
      </c>
      <c r="C13" s="160" t="s">
        <v>34</v>
      </c>
      <c r="D13" s="160"/>
      <c r="E13" s="161" t="s">
        <v>35</v>
      </c>
      <c r="F13" s="160"/>
      <c r="G13" s="160" t="s">
        <v>20</v>
      </c>
      <c r="H13" s="162" t="s">
        <v>36</v>
      </c>
    </row>
    <row r="14" ht="18" customHeight="1" spans="1:8">
      <c r="A14" s="159">
        <v>12</v>
      </c>
      <c r="B14" s="160" t="s">
        <v>37</v>
      </c>
      <c r="C14" s="160" t="s">
        <v>38</v>
      </c>
      <c r="D14" s="160" t="s">
        <v>39</v>
      </c>
      <c r="E14" s="161">
        <v>8</v>
      </c>
      <c r="F14" s="160"/>
      <c r="G14" s="160" t="s">
        <v>12</v>
      </c>
      <c r="H14" s="162" t="s">
        <v>40</v>
      </c>
    </row>
    <row r="15" ht="135" customHeight="1" spans="1:8">
      <c r="A15" s="159">
        <v>13</v>
      </c>
      <c r="B15" s="160" t="s">
        <v>41</v>
      </c>
      <c r="C15" s="164" t="s">
        <v>42</v>
      </c>
      <c r="D15" s="160" t="s">
        <v>43</v>
      </c>
      <c r="E15" s="161"/>
      <c r="F15" s="160"/>
      <c r="G15" s="160" t="s">
        <v>12</v>
      </c>
      <c r="H15" s="162" t="s">
        <v>44</v>
      </c>
    </row>
    <row r="16" ht="18" customHeight="1" spans="1:8">
      <c r="A16" s="159">
        <v>14</v>
      </c>
      <c r="B16" s="160" t="s">
        <v>45</v>
      </c>
      <c r="C16" s="160" t="s">
        <v>46</v>
      </c>
      <c r="D16" s="160" t="s">
        <v>47</v>
      </c>
      <c r="E16" s="161" t="s">
        <v>48</v>
      </c>
      <c r="F16" s="160"/>
      <c r="G16" s="160" t="s">
        <v>12</v>
      </c>
      <c r="H16" s="162"/>
    </row>
    <row r="17" ht="18" customHeight="1" spans="1:8">
      <c r="A17" s="159">
        <v>15</v>
      </c>
      <c r="B17" s="160" t="s">
        <v>49</v>
      </c>
      <c r="C17" s="160" t="s">
        <v>34</v>
      </c>
      <c r="D17" s="160" t="s">
        <v>50</v>
      </c>
      <c r="E17" s="161"/>
      <c r="F17" s="160"/>
      <c r="G17" s="160" t="s">
        <v>12</v>
      </c>
      <c r="H17" s="162"/>
    </row>
    <row r="18" ht="18" customHeight="1" spans="1:8">
      <c r="A18" s="159">
        <v>16</v>
      </c>
      <c r="B18" s="160" t="s">
        <v>51</v>
      </c>
      <c r="C18" s="160" t="s">
        <v>34</v>
      </c>
      <c r="D18" s="160" t="s">
        <v>52</v>
      </c>
      <c r="E18" s="161" t="s">
        <v>53</v>
      </c>
      <c r="F18" s="160">
        <v>150</v>
      </c>
      <c r="G18" s="160" t="s">
        <v>20</v>
      </c>
      <c r="H18" s="162" t="s">
        <v>54</v>
      </c>
    </row>
    <row r="19" ht="18" customHeight="1" spans="1:8">
      <c r="A19" s="159">
        <v>17</v>
      </c>
      <c r="B19" s="160" t="s">
        <v>55</v>
      </c>
      <c r="C19" s="160" t="s">
        <v>34</v>
      </c>
      <c r="D19" s="160"/>
      <c r="E19" s="161"/>
      <c r="F19" s="160"/>
      <c r="G19" s="160" t="s">
        <v>20</v>
      </c>
      <c r="H19" s="162"/>
    </row>
    <row r="20" ht="105" customHeight="1" spans="1:8">
      <c r="A20" s="159">
        <v>18</v>
      </c>
      <c r="B20" s="160" t="s">
        <v>56</v>
      </c>
      <c r="C20" s="160" t="s">
        <v>34</v>
      </c>
      <c r="D20" s="165" t="s">
        <v>57</v>
      </c>
      <c r="E20" s="161"/>
      <c r="F20" s="160"/>
      <c r="G20" s="160" t="s">
        <v>20</v>
      </c>
      <c r="H20" s="162" t="s">
        <v>58</v>
      </c>
    </row>
    <row r="21" customHeight="1" spans="1:8">
      <c r="A21" s="159">
        <v>19</v>
      </c>
      <c r="B21" s="160" t="s">
        <v>59</v>
      </c>
      <c r="C21" s="160" t="s">
        <v>60</v>
      </c>
      <c r="D21" s="160"/>
      <c r="E21" s="161"/>
      <c r="F21" s="160"/>
      <c r="G21" s="160" t="s">
        <v>20</v>
      </c>
      <c r="H21" s="162"/>
    </row>
    <row r="22" customHeight="1" spans="1:8">
      <c r="A22" s="159">
        <v>20</v>
      </c>
      <c r="B22" s="160" t="s">
        <v>61</v>
      </c>
      <c r="C22" s="160"/>
      <c r="D22" s="160"/>
      <c r="E22" s="161"/>
      <c r="F22" s="160"/>
      <c r="G22" s="160"/>
      <c r="H22" s="162"/>
    </row>
    <row r="23" customHeight="1" spans="1:8">
      <c r="A23" s="166">
        <v>21</v>
      </c>
      <c r="B23" s="167" t="s">
        <v>62</v>
      </c>
      <c r="C23" s="167"/>
      <c r="D23" s="167"/>
      <c r="E23" s="168"/>
      <c r="F23" s="169"/>
      <c r="G23" s="169" t="s">
        <v>12</v>
      </c>
      <c r="H23" s="170" t="s">
        <v>63</v>
      </c>
    </row>
    <row r="24" ht="18" customHeight="1" spans="1:8">
      <c r="A24" s="171"/>
      <c r="E24" s="172"/>
      <c r="F24" s="148"/>
      <c r="G24" s="148"/>
      <c r="H24" s="148"/>
    </row>
    <row r="25" customHeight="1" spans="1:8">
      <c r="A25" s="173"/>
      <c r="E25" s="172"/>
      <c r="F25" s="148"/>
      <c r="G25" s="148"/>
      <c r="H25" s="148"/>
    </row>
    <row r="26" customHeight="1" spans="1:8">
      <c r="A26" s="171"/>
      <c r="E26" s="172"/>
      <c r="F26" s="148"/>
      <c r="G26" s="148"/>
      <c r="H26" s="148"/>
    </row>
    <row r="27" customHeight="1" spans="1:8">
      <c r="A27" s="174"/>
      <c r="E27" s="172"/>
      <c r="F27" s="148"/>
      <c r="G27" s="148"/>
      <c r="H27" s="148"/>
    </row>
    <row r="28" customHeight="1" spans="1:8">
      <c r="A28" s="175"/>
      <c r="E28" s="172"/>
      <c r="F28" s="148"/>
      <c r="G28" s="148"/>
      <c r="H28" s="148"/>
    </row>
    <row r="29" customHeight="1" spans="1:8">
      <c r="A29" s="175"/>
      <c r="E29" s="172"/>
      <c r="F29" s="148"/>
      <c r="G29" s="148"/>
      <c r="H29" s="148"/>
    </row>
    <row r="30" customHeight="1" spans="1:8">
      <c r="A30" s="175"/>
      <c r="E30" s="172"/>
      <c r="F30" s="148"/>
      <c r="G30" s="148"/>
      <c r="H30" s="148"/>
    </row>
    <row r="31" customHeight="1" spans="1:1">
      <c r="A31" s="175"/>
    </row>
    <row r="32" customHeight="1" spans="1:1">
      <c r="A32" s="175"/>
    </row>
    <row r="33" customHeight="1" spans="1:1">
      <c r="A33" s="175"/>
    </row>
    <row r="34" customHeight="1" spans="1:1">
      <c r="A34" s="175"/>
    </row>
    <row r="35" customHeight="1" spans="1:1">
      <c r="A35" s="175"/>
    </row>
    <row r="36" customHeight="1" spans="1:1">
      <c r="A36" s="175"/>
    </row>
  </sheetData>
  <mergeCells count="1">
    <mergeCell ref="A1:H1"/>
  </mergeCells>
  <hyperlinks>
    <hyperlink ref="D20" r:id="rId1" display="http://www.baixiaotangtop.com/BBS/Detail/10066"/>
    <hyperlink ref="C15" r:id="rId1" display="http://www.baixiaotangtop.com/BBS/Detail/10066 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"/>
  <sheetViews>
    <sheetView topLeftCell="A51" workbookViewId="0">
      <selection activeCell="D72" sqref="D72"/>
    </sheetView>
  </sheetViews>
  <sheetFormatPr defaultColWidth="8" defaultRowHeight="16.5"/>
  <cols>
    <col min="1" max="1" width="3.33333333333333" style="106" customWidth="1"/>
    <col min="2" max="2" width="26.5" style="107" customWidth="1"/>
    <col min="3" max="3" width="4.83333333333333" style="107" customWidth="1"/>
    <col min="4" max="4" width="29.3333333333333" style="106" customWidth="1"/>
    <col min="5" max="5" width="9.33333333333333" style="106" customWidth="1"/>
    <col min="6" max="6" width="7.5" style="106" customWidth="1"/>
    <col min="7" max="7" width="9.5" style="108" customWidth="1"/>
    <col min="8" max="8" width="5.5" style="109" customWidth="1"/>
    <col min="9" max="9" width="8" style="109"/>
    <col min="10" max="12" width="8" style="108"/>
    <col min="13" max="16384" width="8" style="106"/>
  </cols>
  <sheetData>
    <row r="1" ht="28.5" spans="1:14">
      <c r="A1" s="110" t="s">
        <v>64</v>
      </c>
      <c r="B1" s="111"/>
      <c r="C1" s="111"/>
      <c r="D1" s="111"/>
      <c r="E1" s="111"/>
      <c r="F1" s="111"/>
      <c r="G1" s="112"/>
      <c r="H1" s="109" t="s">
        <v>65</v>
      </c>
      <c r="J1" s="109"/>
      <c r="K1" s="109"/>
      <c r="L1" s="109"/>
      <c r="M1" s="107"/>
      <c r="N1" s="107"/>
    </row>
    <row r="2" ht="43" customHeight="1" spans="1:14">
      <c r="A2" s="113" t="s">
        <v>66</v>
      </c>
      <c r="B2" s="114" t="s">
        <v>67</v>
      </c>
      <c r="C2" s="115" t="s">
        <v>68</v>
      </c>
      <c r="D2" s="116" t="s">
        <v>69</v>
      </c>
      <c r="E2" s="117" t="s">
        <v>70</v>
      </c>
      <c r="F2" s="118" t="s">
        <v>71</v>
      </c>
      <c r="G2" s="119" t="s">
        <v>72</v>
      </c>
      <c r="H2" s="120" t="s">
        <v>73</v>
      </c>
      <c r="I2" s="145" t="s">
        <v>74</v>
      </c>
      <c r="J2" s="146"/>
      <c r="K2" s="146"/>
      <c r="L2" s="146"/>
      <c r="M2" s="147"/>
      <c r="N2" s="147"/>
    </row>
    <row r="3" spans="1:14">
      <c r="A3" s="121">
        <v>1</v>
      </c>
      <c r="B3" s="122" t="s">
        <v>75</v>
      </c>
      <c r="C3" s="123">
        <v>1</v>
      </c>
      <c r="D3" s="124" t="s">
        <v>76</v>
      </c>
      <c r="E3" s="125">
        <v>15</v>
      </c>
      <c r="F3" s="126">
        <v>15</v>
      </c>
      <c r="G3" s="127">
        <v>10</v>
      </c>
      <c r="H3" s="120" t="s">
        <v>77</v>
      </c>
      <c r="I3" s="145" t="s">
        <v>78</v>
      </c>
      <c r="J3" s="146"/>
      <c r="K3" s="146"/>
      <c r="L3" s="146"/>
      <c r="M3" s="146"/>
      <c r="N3" s="146"/>
    </row>
    <row r="4" spans="1:14">
      <c r="A4" s="121">
        <v>2</v>
      </c>
      <c r="B4" s="122"/>
      <c r="C4" s="123"/>
      <c r="D4" s="124" t="s">
        <v>79</v>
      </c>
      <c r="E4" s="125">
        <v>10</v>
      </c>
      <c r="F4" s="126"/>
      <c r="G4" s="127"/>
      <c r="H4" s="120"/>
      <c r="I4" s="145"/>
      <c r="J4" s="146"/>
      <c r="K4" s="146"/>
      <c r="L4" s="146"/>
      <c r="M4" s="146"/>
      <c r="N4" s="146"/>
    </row>
    <row r="5" spans="1:14">
      <c r="A5" s="121">
        <v>3</v>
      </c>
      <c r="B5" s="122"/>
      <c r="C5" s="123"/>
      <c r="D5" s="124" t="s">
        <v>80</v>
      </c>
      <c r="E5" s="125">
        <v>5</v>
      </c>
      <c r="F5" s="126"/>
      <c r="G5" s="127"/>
      <c r="H5" s="120"/>
      <c r="I5" s="145"/>
      <c r="J5" s="146"/>
      <c r="K5" s="146"/>
      <c r="L5" s="146"/>
      <c r="M5" s="146"/>
      <c r="N5" s="146"/>
    </row>
    <row r="6" spans="1:14">
      <c r="A6" s="121">
        <v>4</v>
      </c>
      <c r="B6" s="122"/>
      <c r="C6" s="123">
        <v>2</v>
      </c>
      <c r="D6" s="124" t="s">
        <v>81</v>
      </c>
      <c r="E6" s="125">
        <v>15</v>
      </c>
      <c r="F6" s="126">
        <v>15</v>
      </c>
      <c r="G6" s="127">
        <v>15</v>
      </c>
      <c r="H6" s="120" t="s">
        <v>82</v>
      </c>
      <c r="I6" s="145" t="s">
        <v>83</v>
      </c>
      <c r="J6" s="146"/>
      <c r="K6" s="146"/>
      <c r="L6" s="146"/>
      <c r="M6" s="146"/>
      <c r="N6" s="146"/>
    </row>
    <row r="7" spans="1:14">
      <c r="A7" s="121">
        <v>5</v>
      </c>
      <c r="B7" s="122"/>
      <c r="C7" s="123"/>
      <c r="D7" s="124" t="s">
        <v>84</v>
      </c>
      <c r="E7" s="125">
        <v>10</v>
      </c>
      <c r="F7" s="126"/>
      <c r="G7" s="127"/>
      <c r="H7" s="120"/>
      <c r="I7" s="145"/>
      <c r="J7" s="146"/>
      <c r="K7" s="146"/>
      <c r="L7" s="146"/>
      <c r="M7" s="146"/>
      <c r="N7" s="146"/>
    </row>
    <row r="8" spans="1:14">
      <c r="A8" s="121">
        <v>6</v>
      </c>
      <c r="B8" s="122"/>
      <c r="C8" s="123"/>
      <c r="D8" s="124" t="s">
        <v>85</v>
      </c>
      <c r="E8" s="125">
        <v>5</v>
      </c>
      <c r="F8" s="126"/>
      <c r="G8" s="127"/>
      <c r="H8" s="120"/>
      <c r="I8" s="145"/>
      <c r="J8" s="146"/>
      <c r="K8" s="146"/>
      <c r="L8" s="146"/>
      <c r="M8" s="146"/>
      <c r="N8" s="146"/>
    </row>
    <row r="9" spans="1:14">
      <c r="A9" s="121">
        <v>7</v>
      </c>
      <c r="B9" s="122"/>
      <c r="C9" s="123"/>
      <c r="D9" s="124" t="s">
        <v>86</v>
      </c>
      <c r="E9" s="125">
        <v>-50</v>
      </c>
      <c r="F9" s="126"/>
      <c r="G9" s="127"/>
      <c r="H9" s="120"/>
      <c r="I9" s="145"/>
      <c r="J9" s="146"/>
      <c r="K9" s="146"/>
      <c r="L9" s="146"/>
      <c r="M9" s="146"/>
      <c r="N9" s="146"/>
    </row>
    <row r="10" spans="1:14">
      <c r="A10" s="121">
        <v>8</v>
      </c>
      <c r="B10" s="122"/>
      <c r="C10" s="123">
        <v>3</v>
      </c>
      <c r="D10" s="124" t="s">
        <v>87</v>
      </c>
      <c r="E10" s="125">
        <v>2</v>
      </c>
      <c r="F10" s="126">
        <v>2</v>
      </c>
      <c r="G10" s="127">
        <v>2</v>
      </c>
      <c r="H10" s="120" t="s">
        <v>88</v>
      </c>
      <c r="I10" s="145" t="s">
        <v>89</v>
      </c>
      <c r="J10" s="146"/>
      <c r="K10" s="146"/>
      <c r="L10" s="146"/>
      <c r="M10" s="147"/>
      <c r="N10" s="147"/>
    </row>
    <row r="11" spans="1:14">
      <c r="A11" s="121">
        <v>9</v>
      </c>
      <c r="B11" s="122"/>
      <c r="C11" s="123"/>
      <c r="D11" s="124" t="s">
        <v>90</v>
      </c>
      <c r="E11" s="125">
        <v>-10</v>
      </c>
      <c r="F11" s="126"/>
      <c r="G11" s="127"/>
      <c r="H11" s="120"/>
      <c r="I11" s="145"/>
      <c r="J11" s="146"/>
      <c r="K11" s="146"/>
      <c r="L11" s="146"/>
      <c r="M11" s="147"/>
      <c r="N11" s="147"/>
    </row>
    <row r="12" spans="1:15">
      <c r="A12" s="121">
        <v>10</v>
      </c>
      <c r="B12" s="122"/>
      <c r="C12" s="123">
        <v>4</v>
      </c>
      <c r="D12" s="124" t="s">
        <v>91</v>
      </c>
      <c r="E12" s="125">
        <v>5</v>
      </c>
      <c r="F12" s="126">
        <v>5</v>
      </c>
      <c r="G12" s="127">
        <v>2</v>
      </c>
      <c r="H12" s="120" t="s">
        <v>92</v>
      </c>
      <c r="I12" s="145" t="s">
        <v>93</v>
      </c>
      <c r="J12" s="146"/>
      <c r="K12" s="146"/>
      <c r="L12" s="146"/>
      <c r="M12" s="147"/>
      <c r="N12" s="147"/>
      <c r="O12" s="148"/>
    </row>
    <row r="13" spans="1:14">
      <c r="A13" s="121">
        <v>11</v>
      </c>
      <c r="B13" s="122"/>
      <c r="C13" s="123">
        <v>5</v>
      </c>
      <c r="D13" s="124" t="s">
        <v>94</v>
      </c>
      <c r="E13" s="125">
        <v>5</v>
      </c>
      <c r="F13" s="126">
        <v>10</v>
      </c>
      <c r="G13" s="127">
        <v>10</v>
      </c>
      <c r="H13" s="120" t="s">
        <v>95</v>
      </c>
      <c r="I13" s="109" t="s">
        <v>96</v>
      </c>
      <c r="J13" s="120"/>
      <c r="K13" s="120"/>
      <c r="L13" s="120"/>
      <c r="M13" s="149"/>
      <c r="N13" s="149"/>
    </row>
    <row r="14" spans="1:14">
      <c r="A14" s="121">
        <v>12</v>
      </c>
      <c r="B14" s="122"/>
      <c r="C14" s="123"/>
      <c r="D14" s="124" t="s">
        <v>97</v>
      </c>
      <c r="E14" s="125">
        <v>10</v>
      </c>
      <c r="F14" s="126"/>
      <c r="G14" s="127"/>
      <c r="H14" s="120"/>
      <c r="J14" s="120"/>
      <c r="K14" s="120"/>
      <c r="L14" s="120"/>
      <c r="M14" s="149"/>
      <c r="N14" s="149"/>
    </row>
    <row r="15" spans="1:14">
      <c r="A15" s="121">
        <v>13</v>
      </c>
      <c r="B15" s="122" t="s">
        <v>98</v>
      </c>
      <c r="C15" s="123">
        <v>6</v>
      </c>
      <c r="D15" s="124" t="s">
        <v>99</v>
      </c>
      <c r="E15" s="125">
        <v>5</v>
      </c>
      <c r="F15" s="126">
        <v>5</v>
      </c>
      <c r="G15" s="127">
        <v>5</v>
      </c>
      <c r="H15" s="120" t="s">
        <v>100</v>
      </c>
      <c r="I15" s="145" t="s">
        <v>101</v>
      </c>
      <c r="J15" s="146"/>
      <c r="K15" s="146"/>
      <c r="L15" s="146"/>
      <c r="M15" s="147"/>
      <c r="N15" s="147"/>
    </row>
    <row r="16" spans="1:14">
      <c r="A16" s="121">
        <v>14</v>
      </c>
      <c r="B16" s="122"/>
      <c r="C16" s="123">
        <v>7</v>
      </c>
      <c r="D16" s="124" t="s">
        <v>102</v>
      </c>
      <c r="E16" s="125">
        <v>5</v>
      </c>
      <c r="F16" s="126">
        <v>5</v>
      </c>
      <c r="G16" s="127">
        <v>5</v>
      </c>
      <c r="H16" s="120" t="s">
        <v>103</v>
      </c>
      <c r="I16" s="145" t="s">
        <v>104</v>
      </c>
      <c r="J16" s="146"/>
      <c r="K16" s="146"/>
      <c r="L16" s="146"/>
      <c r="M16" s="147"/>
      <c r="N16" s="147"/>
    </row>
    <row r="17" spans="1:14">
      <c r="A17" s="121">
        <v>15</v>
      </c>
      <c r="B17" s="122"/>
      <c r="C17" s="123"/>
      <c r="D17" s="124" t="s">
        <v>105</v>
      </c>
      <c r="E17" s="125">
        <v>-50</v>
      </c>
      <c r="F17" s="126"/>
      <c r="G17" s="127"/>
      <c r="H17" s="120"/>
      <c r="I17" s="145"/>
      <c r="J17" s="146"/>
      <c r="K17" s="146"/>
      <c r="L17" s="146"/>
      <c r="M17" s="147"/>
      <c r="N17" s="147"/>
    </row>
    <row r="18" spans="1:14">
      <c r="A18" s="121">
        <v>16</v>
      </c>
      <c r="B18" s="122"/>
      <c r="C18" s="123">
        <v>8</v>
      </c>
      <c r="D18" s="124" t="s">
        <v>106</v>
      </c>
      <c r="E18" s="125">
        <v>-20</v>
      </c>
      <c r="F18" s="126">
        <v>2</v>
      </c>
      <c r="G18" s="127">
        <v>2</v>
      </c>
      <c r="H18" s="120" t="s">
        <v>107</v>
      </c>
      <c r="I18" s="109" t="s">
        <v>108</v>
      </c>
      <c r="J18" s="120"/>
      <c r="K18" s="120"/>
      <c r="L18" s="120"/>
      <c r="M18" s="149"/>
      <c r="N18" s="149"/>
    </row>
    <row r="19" spans="1:14">
      <c r="A19" s="121">
        <v>17</v>
      </c>
      <c r="B19" s="122"/>
      <c r="C19" s="123"/>
      <c r="D19" s="124" t="s">
        <v>109</v>
      </c>
      <c r="E19" s="125">
        <v>2</v>
      </c>
      <c r="F19" s="126"/>
      <c r="G19" s="127"/>
      <c r="H19" s="120"/>
      <c r="J19" s="120"/>
      <c r="K19" s="120"/>
      <c r="L19" s="120"/>
      <c r="M19" s="149"/>
      <c r="N19" s="149"/>
    </row>
    <row r="20" spans="1:14">
      <c r="A20" s="121">
        <v>18</v>
      </c>
      <c r="B20" s="122"/>
      <c r="C20" s="123"/>
      <c r="D20" s="124" t="s">
        <v>110</v>
      </c>
      <c r="E20" s="125">
        <v>-30</v>
      </c>
      <c r="F20" s="126"/>
      <c r="G20" s="127"/>
      <c r="H20" s="120"/>
      <c r="J20" s="120"/>
      <c r="K20" s="120"/>
      <c r="L20" s="120"/>
      <c r="M20" s="149"/>
      <c r="N20" s="149"/>
    </row>
    <row r="21" spans="1:14">
      <c r="A21" s="121">
        <v>19</v>
      </c>
      <c r="B21" s="122"/>
      <c r="C21" s="123"/>
      <c r="D21" s="124" t="s">
        <v>111</v>
      </c>
      <c r="E21" s="125">
        <v>-20</v>
      </c>
      <c r="F21" s="126"/>
      <c r="G21" s="127"/>
      <c r="H21" s="120"/>
      <c r="J21" s="120"/>
      <c r="K21" s="120"/>
      <c r="L21" s="120"/>
      <c r="M21" s="149"/>
      <c r="N21" s="149"/>
    </row>
    <row r="22" spans="1:14">
      <c r="A22" s="121">
        <v>20</v>
      </c>
      <c r="B22" s="122" t="s">
        <v>112</v>
      </c>
      <c r="C22" s="123">
        <v>9</v>
      </c>
      <c r="D22" s="124" t="s">
        <v>113</v>
      </c>
      <c r="E22" s="125">
        <v>5</v>
      </c>
      <c r="F22" s="126">
        <v>2</v>
      </c>
      <c r="G22" s="127">
        <v>2</v>
      </c>
      <c r="H22" s="120" t="s">
        <v>114</v>
      </c>
      <c r="I22" s="109" t="s">
        <v>115</v>
      </c>
      <c r="J22" s="120"/>
      <c r="K22" s="120"/>
      <c r="L22" s="120"/>
      <c r="M22" s="149"/>
      <c r="N22" s="149"/>
    </row>
    <row r="23" spans="1:14">
      <c r="A23" s="121">
        <v>21</v>
      </c>
      <c r="B23" s="122"/>
      <c r="C23" s="123"/>
      <c r="D23" s="124" t="s">
        <v>116</v>
      </c>
      <c r="E23" s="125">
        <v>-15</v>
      </c>
      <c r="F23" s="126"/>
      <c r="G23" s="127"/>
      <c r="H23" s="120"/>
      <c r="J23" s="120"/>
      <c r="K23" s="120"/>
      <c r="L23" s="120"/>
      <c r="M23" s="149"/>
      <c r="N23" s="149"/>
    </row>
    <row r="24" spans="1:14">
      <c r="A24" s="121">
        <v>22</v>
      </c>
      <c r="B24" s="122"/>
      <c r="C24" s="123">
        <v>10</v>
      </c>
      <c r="D24" s="124" t="s">
        <v>117</v>
      </c>
      <c r="E24" s="125">
        <v>1</v>
      </c>
      <c r="F24" s="126">
        <v>1</v>
      </c>
      <c r="G24" s="127">
        <v>1</v>
      </c>
      <c r="H24" s="120" t="s">
        <v>118</v>
      </c>
      <c r="I24" s="109" t="s">
        <v>119</v>
      </c>
      <c r="J24" s="120"/>
      <c r="K24" s="120"/>
      <c r="L24" s="120"/>
      <c r="M24" s="149"/>
      <c r="N24" s="149"/>
    </row>
    <row r="25" spans="1:14">
      <c r="A25" s="121">
        <v>23</v>
      </c>
      <c r="B25" s="122"/>
      <c r="C25" s="123">
        <v>11</v>
      </c>
      <c r="D25" s="124" t="s">
        <v>120</v>
      </c>
      <c r="E25" s="125">
        <v>1</v>
      </c>
      <c r="F25" s="126">
        <v>1</v>
      </c>
      <c r="G25" s="127">
        <v>1</v>
      </c>
      <c r="H25" s="120" t="s">
        <v>121</v>
      </c>
      <c r="I25" s="109" t="s">
        <v>122</v>
      </c>
      <c r="J25" s="120"/>
      <c r="K25" s="120"/>
      <c r="L25" s="120"/>
      <c r="M25" s="149"/>
      <c r="N25" s="149"/>
    </row>
    <row r="26" spans="1:14">
      <c r="A26" s="121">
        <v>24</v>
      </c>
      <c r="B26" s="122"/>
      <c r="C26" s="123">
        <v>12</v>
      </c>
      <c r="D26" s="124" t="s">
        <v>123</v>
      </c>
      <c r="E26" s="125">
        <v>2</v>
      </c>
      <c r="F26" s="126">
        <v>2</v>
      </c>
      <c r="G26" s="127">
        <v>2</v>
      </c>
      <c r="H26" s="120" t="s">
        <v>124</v>
      </c>
      <c r="I26" s="109" t="s">
        <v>115</v>
      </c>
      <c r="J26" s="120"/>
      <c r="K26" s="120"/>
      <c r="L26" s="120"/>
      <c r="M26" s="149"/>
      <c r="N26" s="149"/>
    </row>
    <row r="27" spans="1:14">
      <c r="A27" s="121">
        <v>25</v>
      </c>
      <c r="B27" s="122"/>
      <c r="C27" s="123">
        <v>13</v>
      </c>
      <c r="D27" s="124" t="s">
        <v>125</v>
      </c>
      <c r="E27" s="125">
        <v>5</v>
      </c>
      <c r="F27" s="126">
        <v>2</v>
      </c>
      <c r="G27" s="127">
        <v>2</v>
      </c>
      <c r="H27" s="120" t="s">
        <v>126</v>
      </c>
      <c r="I27" s="109" t="s">
        <v>127</v>
      </c>
      <c r="J27" s="120"/>
      <c r="K27" s="120"/>
      <c r="L27" s="120"/>
      <c r="M27" s="149"/>
      <c r="N27" s="149"/>
    </row>
    <row r="28" spans="1:14">
      <c r="A28" s="121">
        <v>26</v>
      </c>
      <c r="B28" s="122"/>
      <c r="C28" s="123"/>
      <c r="D28" s="124" t="s">
        <v>128</v>
      </c>
      <c r="E28" s="125">
        <v>2</v>
      </c>
      <c r="F28" s="126"/>
      <c r="G28" s="127"/>
      <c r="H28" s="120"/>
      <c r="J28" s="120"/>
      <c r="K28" s="120"/>
      <c r="L28" s="120"/>
      <c r="M28" s="149"/>
      <c r="N28" s="149"/>
    </row>
    <row r="29" spans="1:14">
      <c r="A29" s="121">
        <v>27</v>
      </c>
      <c r="B29" s="122"/>
      <c r="C29" s="123"/>
      <c r="D29" s="124" t="s">
        <v>129</v>
      </c>
      <c r="E29" s="125">
        <v>-10</v>
      </c>
      <c r="F29" s="126"/>
      <c r="G29" s="127"/>
      <c r="H29" s="120"/>
      <c r="J29" s="120"/>
      <c r="K29" s="120"/>
      <c r="L29" s="120"/>
      <c r="M29" s="149"/>
      <c r="N29" s="149"/>
    </row>
    <row r="30" spans="1:14">
      <c r="A30" s="121">
        <v>28</v>
      </c>
      <c r="B30" s="122"/>
      <c r="C30" s="123">
        <v>14</v>
      </c>
      <c r="D30" s="124" t="s">
        <v>130</v>
      </c>
      <c r="E30" s="125">
        <v>2</v>
      </c>
      <c r="F30" s="126">
        <v>2</v>
      </c>
      <c r="G30" s="127">
        <v>2</v>
      </c>
      <c r="H30" s="120" t="s">
        <v>131</v>
      </c>
      <c r="I30" s="109" t="s">
        <v>132</v>
      </c>
      <c r="J30" s="120"/>
      <c r="K30" s="120"/>
      <c r="L30" s="120"/>
      <c r="M30" s="149"/>
      <c r="N30" s="149"/>
    </row>
    <row r="31" spans="1:14">
      <c r="A31" s="121">
        <v>29</v>
      </c>
      <c r="B31" s="122"/>
      <c r="C31" s="123"/>
      <c r="D31" s="124" t="s">
        <v>133</v>
      </c>
      <c r="E31" s="125">
        <v>-2</v>
      </c>
      <c r="F31" s="126"/>
      <c r="G31" s="127"/>
      <c r="H31" s="120"/>
      <c r="J31" s="120"/>
      <c r="K31" s="120"/>
      <c r="L31" s="120"/>
      <c r="M31" s="149"/>
      <c r="N31" s="149"/>
    </row>
    <row r="32" spans="1:14">
      <c r="A32" s="121">
        <v>30</v>
      </c>
      <c r="B32" s="122" t="s">
        <v>134</v>
      </c>
      <c r="C32" s="123">
        <v>15</v>
      </c>
      <c r="D32" s="124" t="s">
        <v>135</v>
      </c>
      <c r="E32" s="125">
        <v>-10</v>
      </c>
      <c r="F32" s="126">
        <v>10</v>
      </c>
      <c r="G32" s="127">
        <v>0</v>
      </c>
      <c r="H32" s="120" t="s">
        <v>136</v>
      </c>
      <c r="I32" s="145" t="s">
        <v>137</v>
      </c>
      <c r="J32" s="146"/>
      <c r="K32" s="146"/>
      <c r="L32" s="146"/>
      <c r="M32" s="147"/>
      <c r="N32" s="147"/>
    </row>
    <row r="33" spans="1:14">
      <c r="A33" s="121">
        <v>31</v>
      </c>
      <c r="B33" s="122"/>
      <c r="C33" s="123"/>
      <c r="D33" s="124" t="s">
        <v>138</v>
      </c>
      <c r="E33" s="125">
        <v>-20</v>
      </c>
      <c r="F33" s="126"/>
      <c r="G33" s="127"/>
      <c r="H33" s="120"/>
      <c r="I33" s="145"/>
      <c r="J33" s="146"/>
      <c r="K33" s="146"/>
      <c r="L33" s="146"/>
      <c r="M33" s="147"/>
      <c r="N33" s="147"/>
    </row>
    <row r="34" spans="1:14">
      <c r="A34" s="121">
        <v>32</v>
      </c>
      <c r="B34" s="122"/>
      <c r="C34" s="123"/>
      <c r="D34" s="124" t="s">
        <v>139</v>
      </c>
      <c r="E34" s="125">
        <v>10</v>
      </c>
      <c r="F34" s="126"/>
      <c r="G34" s="127"/>
      <c r="H34" s="120"/>
      <c r="I34" s="145"/>
      <c r="J34" s="146"/>
      <c r="K34" s="146"/>
      <c r="L34" s="146"/>
      <c r="M34" s="147"/>
      <c r="N34" s="147"/>
    </row>
    <row r="35" spans="1:14">
      <c r="A35" s="121">
        <v>33</v>
      </c>
      <c r="B35" s="122"/>
      <c r="C35" s="123">
        <v>16</v>
      </c>
      <c r="D35" s="124" t="s">
        <v>140</v>
      </c>
      <c r="E35" s="125">
        <v>10</v>
      </c>
      <c r="F35" s="126">
        <v>10</v>
      </c>
      <c r="G35" s="127">
        <v>10</v>
      </c>
      <c r="H35" s="120" t="s">
        <v>141</v>
      </c>
      <c r="I35" s="145" t="s">
        <v>142</v>
      </c>
      <c r="J35" s="146"/>
      <c r="K35" s="146"/>
      <c r="L35" s="146"/>
      <c r="M35" s="147"/>
      <c r="N35" s="147"/>
    </row>
    <row r="36" spans="1:14">
      <c r="A36" s="121">
        <v>34</v>
      </c>
      <c r="B36" s="122"/>
      <c r="C36" s="123"/>
      <c r="D36" s="124" t="s">
        <v>143</v>
      </c>
      <c r="E36" s="125">
        <v>5</v>
      </c>
      <c r="F36" s="126"/>
      <c r="G36" s="127"/>
      <c r="H36" s="120"/>
      <c r="I36" s="145"/>
      <c r="J36" s="146"/>
      <c r="K36" s="146"/>
      <c r="L36" s="146"/>
      <c r="M36" s="147"/>
      <c r="N36" s="147"/>
    </row>
    <row r="37" spans="1:14">
      <c r="A37" s="121">
        <v>35</v>
      </c>
      <c r="B37" s="122"/>
      <c r="C37" s="123"/>
      <c r="D37" s="124" t="s">
        <v>144</v>
      </c>
      <c r="E37" s="125">
        <v>-10</v>
      </c>
      <c r="F37" s="126"/>
      <c r="G37" s="127"/>
      <c r="H37" s="120"/>
      <c r="I37" s="145"/>
      <c r="J37" s="146"/>
      <c r="K37" s="146"/>
      <c r="L37" s="146"/>
      <c r="M37" s="147"/>
      <c r="N37" s="147"/>
    </row>
    <row r="38" spans="1:14">
      <c r="A38" s="121">
        <v>36</v>
      </c>
      <c r="B38" s="122" t="s">
        <v>145</v>
      </c>
      <c r="C38" s="123">
        <v>17</v>
      </c>
      <c r="D38" s="124" t="s">
        <v>146</v>
      </c>
      <c r="E38" s="125">
        <v>-20</v>
      </c>
      <c r="F38" s="126">
        <v>5</v>
      </c>
      <c r="G38" s="127">
        <v>5</v>
      </c>
      <c r="H38" s="120" t="s">
        <v>147</v>
      </c>
      <c r="I38" s="109" t="s">
        <v>148</v>
      </c>
      <c r="J38" s="120"/>
      <c r="K38" s="120"/>
      <c r="L38" s="120"/>
      <c r="M38" s="149"/>
      <c r="N38" s="149"/>
    </row>
    <row r="39" spans="1:14">
      <c r="A39" s="121">
        <v>37</v>
      </c>
      <c r="B39" s="122"/>
      <c r="C39" s="123"/>
      <c r="D39" s="124" t="s">
        <v>149</v>
      </c>
      <c r="E39" s="125">
        <v>-5</v>
      </c>
      <c r="F39" s="126"/>
      <c r="G39" s="127"/>
      <c r="H39" s="120"/>
      <c r="J39" s="120"/>
      <c r="K39" s="120"/>
      <c r="L39" s="120"/>
      <c r="M39" s="149"/>
      <c r="N39" s="149"/>
    </row>
    <row r="40" spans="1:14">
      <c r="A40" s="121">
        <v>38</v>
      </c>
      <c r="B40" s="122"/>
      <c r="C40" s="123"/>
      <c r="D40" s="124" t="s">
        <v>150</v>
      </c>
      <c r="E40" s="125">
        <v>5</v>
      </c>
      <c r="F40" s="126"/>
      <c r="G40" s="127"/>
      <c r="H40" s="120"/>
      <c r="J40" s="120"/>
      <c r="K40" s="120"/>
      <c r="L40" s="120"/>
      <c r="M40" s="149"/>
      <c r="N40" s="149"/>
    </row>
    <row r="41" spans="1:14">
      <c r="A41" s="121">
        <v>39</v>
      </c>
      <c r="B41" s="122"/>
      <c r="C41" s="123">
        <v>18</v>
      </c>
      <c r="D41" s="124" t="s">
        <v>151</v>
      </c>
      <c r="E41" s="125">
        <v>-10</v>
      </c>
      <c r="F41" s="126">
        <v>10</v>
      </c>
      <c r="G41" s="127">
        <v>10</v>
      </c>
      <c r="H41" s="120" t="s">
        <v>152</v>
      </c>
      <c r="I41" s="145" t="s">
        <v>153</v>
      </c>
      <c r="J41" s="146"/>
      <c r="K41" s="146"/>
      <c r="L41" s="146"/>
      <c r="M41" s="147"/>
      <c r="N41" s="147"/>
    </row>
    <row r="42" spans="1:14">
      <c r="A42" s="121">
        <v>40</v>
      </c>
      <c r="B42" s="122"/>
      <c r="C42" s="123"/>
      <c r="D42" s="124" t="s">
        <v>154</v>
      </c>
      <c r="E42" s="125">
        <v>10</v>
      </c>
      <c r="F42" s="126"/>
      <c r="G42" s="127"/>
      <c r="H42" s="120"/>
      <c r="I42" s="145"/>
      <c r="J42" s="146"/>
      <c r="K42" s="146"/>
      <c r="L42" s="146"/>
      <c r="M42" s="147"/>
      <c r="N42" s="147"/>
    </row>
    <row r="43" spans="1:14">
      <c r="A43" s="121">
        <v>41</v>
      </c>
      <c r="B43" s="122"/>
      <c r="C43" s="123">
        <v>19</v>
      </c>
      <c r="D43" s="124" t="s">
        <v>155</v>
      </c>
      <c r="E43" s="125">
        <v>-10</v>
      </c>
      <c r="F43" s="126">
        <v>5</v>
      </c>
      <c r="G43" s="127">
        <v>5</v>
      </c>
      <c r="H43" s="120" t="s">
        <v>156</v>
      </c>
      <c r="I43" s="145" t="s">
        <v>157</v>
      </c>
      <c r="J43" s="146"/>
      <c r="K43" s="146"/>
      <c r="L43" s="146"/>
      <c r="M43" s="147"/>
      <c r="N43" s="147"/>
    </row>
    <row r="44" spans="1:14">
      <c r="A44" s="121">
        <v>42</v>
      </c>
      <c r="B44" s="122"/>
      <c r="C44" s="123"/>
      <c r="D44" s="124" t="s">
        <v>158</v>
      </c>
      <c r="E44" s="125">
        <v>-10</v>
      </c>
      <c r="F44" s="126"/>
      <c r="G44" s="127"/>
      <c r="H44" s="120"/>
      <c r="I44" s="145"/>
      <c r="J44" s="146"/>
      <c r="K44" s="146"/>
      <c r="L44" s="146"/>
      <c r="M44" s="147"/>
      <c r="N44" s="147"/>
    </row>
    <row r="45" spans="1:14">
      <c r="A45" s="121"/>
      <c r="B45" s="122"/>
      <c r="C45" s="123"/>
      <c r="D45" s="124" t="s">
        <v>159</v>
      </c>
      <c r="E45" s="125">
        <v>-10</v>
      </c>
      <c r="F45" s="126"/>
      <c r="G45" s="127"/>
      <c r="H45" s="120"/>
      <c r="I45" s="145"/>
      <c r="J45" s="146"/>
      <c r="K45" s="146"/>
      <c r="L45" s="146"/>
      <c r="M45" s="147"/>
      <c r="N45" s="147"/>
    </row>
    <row r="46" spans="1:14">
      <c r="A46" s="121">
        <v>43</v>
      </c>
      <c r="B46" s="122"/>
      <c r="C46" s="123"/>
      <c r="D46" s="124" t="s">
        <v>160</v>
      </c>
      <c r="E46" s="125">
        <v>5</v>
      </c>
      <c r="F46" s="126"/>
      <c r="G46" s="127"/>
      <c r="H46" s="120"/>
      <c r="I46" s="145"/>
      <c r="J46" s="146"/>
      <c r="K46" s="146"/>
      <c r="L46" s="146"/>
      <c r="M46" s="147"/>
      <c r="N46" s="147"/>
    </row>
    <row r="47" spans="1:14">
      <c r="A47" s="121">
        <v>44</v>
      </c>
      <c r="B47" s="122" t="s">
        <v>161</v>
      </c>
      <c r="C47" s="123">
        <v>20</v>
      </c>
      <c r="D47" s="124" t="s">
        <v>162</v>
      </c>
      <c r="E47" s="125">
        <v>1</v>
      </c>
      <c r="F47" s="126">
        <v>1</v>
      </c>
      <c r="G47" s="127">
        <v>1</v>
      </c>
      <c r="H47" s="120" t="s">
        <v>163</v>
      </c>
      <c r="I47" s="109" t="s">
        <v>164</v>
      </c>
      <c r="J47" s="120"/>
      <c r="K47" s="120"/>
      <c r="L47" s="120"/>
      <c r="M47" s="149"/>
      <c r="N47" s="149"/>
    </row>
    <row r="48" spans="1:14">
      <c r="A48" s="121">
        <v>45</v>
      </c>
      <c r="B48" s="122"/>
      <c r="C48" s="123">
        <v>21</v>
      </c>
      <c r="D48" s="124" t="s">
        <v>165</v>
      </c>
      <c r="E48" s="125">
        <v>1</v>
      </c>
      <c r="F48" s="126">
        <v>1</v>
      </c>
      <c r="G48" s="127">
        <v>1</v>
      </c>
      <c r="H48" s="120" t="s">
        <v>166</v>
      </c>
      <c r="I48" s="109" t="s">
        <v>164</v>
      </c>
      <c r="J48" s="120"/>
      <c r="K48" s="120"/>
      <c r="L48" s="120"/>
      <c r="M48" s="149"/>
      <c r="N48" s="149"/>
    </row>
    <row r="49" spans="1:14">
      <c r="A49" s="121">
        <v>46</v>
      </c>
      <c r="B49" s="122"/>
      <c r="C49" s="123">
        <v>22</v>
      </c>
      <c r="D49" s="124" t="s">
        <v>167</v>
      </c>
      <c r="E49" s="125">
        <v>1</v>
      </c>
      <c r="F49" s="126">
        <v>1</v>
      </c>
      <c r="G49" s="127">
        <v>1</v>
      </c>
      <c r="H49" s="120" t="s">
        <v>168</v>
      </c>
      <c r="I49" s="109" t="s">
        <v>164</v>
      </c>
      <c r="J49" s="120"/>
      <c r="K49" s="120"/>
      <c r="L49" s="120"/>
      <c r="M49" s="149"/>
      <c r="N49" s="149"/>
    </row>
    <row r="50" spans="1:14">
      <c r="A50" s="121">
        <v>47</v>
      </c>
      <c r="B50" s="122"/>
      <c r="C50" s="123">
        <v>23</v>
      </c>
      <c r="D50" s="124" t="s">
        <v>169</v>
      </c>
      <c r="E50" s="125">
        <v>1</v>
      </c>
      <c r="F50" s="126">
        <v>1</v>
      </c>
      <c r="G50" s="127">
        <v>1</v>
      </c>
      <c r="H50" s="120" t="s">
        <v>170</v>
      </c>
      <c r="I50" s="109" t="s">
        <v>164</v>
      </c>
      <c r="J50" s="120"/>
      <c r="K50" s="120"/>
      <c r="L50" s="120"/>
      <c r="M50" s="149"/>
      <c r="N50" s="149"/>
    </row>
    <row r="51" spans="1:14">
      <c r="A51" s="121">
        <v>48</v>
      </c>
      <c r="B51" s="122"/>
      <c r="C51" s="123">
        <v>24</v>
      </c>
      <c r="D51" s="124" t="s">
        <v>171</v>
      </c>
      <c r="E51" s="125">
        <v>1</v>
      </c>
      <c r="F51" s="126">
        <v>1</v>
      </c>
      <c r="G51" s="127">
        <v>1</v>
      </c>
      <c r="H51" s="120" t="s">
        <v>172</v>
      </c>
      <c r="I51" s="109" t="s">
        <v>164</v>
      </c>
      <c r="J51" s="120"/>
      <c r="K51" s="120"/>
      <c r="L51" s="120"/>
      <c r="M51" s="149"/>
      <c r="N51" s="149"/>
    </row>
    <row r="52" spans="1:14">
      <c r="A52" s="121">
        <v>49</v>
      </c>
      <c r="B52" s="122"/>
      <c r="C52" s="123">
        <v>25</v>
      </c>
      <c r="D52" s="124" t="s">
        <v>173</v>
      </c>
      <c r="E52" s="125">
        <v>1</v>
      </c>
      <c r="F52" s="126">
        <v>1</v>
      </c>
      <c r="G52" s="127">
        <v>1</v>
      </c>
      <c r="H52" s="120" t="s">
        <v>174</v>
      </c>
      <c r="I52" s="109" t="s">
        <v>164</v>
      </c>
      <c r="J52" s="120"/>
      <c r="K52" s="120"/>
      <c r="L52" s="120"/>
      <c r="M52" s="149"/>
      <c r="N52" s="149"/>
    </row>
    <row r="53" spans="1:14">
      <c r="A53" s="121">
        <v>50</v>
      </c>
      <c r="B53" s="122"/>
      <c r="C53" s="123">
        <v>26</v>
      </c>
      <c r="D53" s="124" t="s">
        <v>175</v>
      </c>
      <c r="E53" s="125">
        <v>1</v>
      </c>
      <c r="F53" s="126">
        <v>1</v>
      </c>
      <c r="G53" s="127">
        <v>1</v>
      </c>
      <c r="H53" s="120" t="s">
        <v>176</v>
      </c>
      <c r="I53" s="109" t="s">
        <v>164</v>
      </c>
      <c r="J53" s="120"/>
      <c r="K53" s="120"/>
      <c r="L53" s="120"/>
      <c r="M53" s="149"/>
      <c r="N53" s="149"/>
    </row>
    <row r="54" spans="1:14">
      <c r="A54" s="121">
        <v>51</v>
      </c>
      <c r="B54" s="122"/>
      <c r="C54" s="123">
        <v>27</v>
      </c>
      <c r="D54" s="124" t="s">
        <v>177</v>
      </c>
      <c r="E54" s="125">
        <v>1</v>
      </c>
      <c r="F54" s="126">
        <v>1</v>
      </c>
      <c r="G54" s="127">
        <v>1</v>
      </c>
      <c r="H54" s="120" t="s">
        <v>178</v>
      </c>
      <c r="I54" s="109" t="s">
        <v>164</v>
      </c>
      <c r="J54" s="120"/>
      <c r="K54" s="120"/>
      <c r="L54" s="120"/>
      <c r="M54" s="149"/>
      <c r="N54" s="149"/>
    </row>
    <row r="55" spans="1:14">
      <c r="A55" s="121">
        <v>52</v>
      </c>
      <c r="B55" s="122" t="s">
        <v>179</v>
      </c>
      <c r="C55" s="123">
        <v>28</v>
      </c>
      <c r="D55" s="124" t="s">
        <v>180</v>
      </c>
      <c r="E55" s="125">
        <v>1</v>
      </c>
      <c r="F55" s="126">
        <v>1</v>
      </c>
      <c r="G55" s="127">
        <v>1</v>
      </c>
      <c r="H55" s="120" t="s">
        <v>181</v>
      </c>
      <c r="I55" s="109" t="s">
        <v>182</v>
      </c>
      <c r="J55" s="120"/>
      <c r="K55" s="120"/>
      <c r="L55" s="120"/>
      <c r="M55" s="149"/>
      <c r="N55" s="149"/>
    </row>
    <row r="56" spans="1:14">
      <c r="A56" s="121">
        <v>53</v>
      </c>
      <c r="B56" s="122"/>
      <c r="C56" s="123">
        <v>29</v>
      </c>
      <c r="D56" s="124" t="s">
        <v>183</v>
      </c>
      <c r="E56" s="125">
        <v>1</v>
      </c>
      <c r="F56" s="126">
        <v>1</v>
      </c>
      <c r="G56" s="127">
        <v>1</v>
      </c>
      <c r="H56" s="120" t="s">
        <v>184</v>
      </c>
      <c r="I56" s="109" t="s">
        <v>182</v>
      </c>
      <c r="J56" s="120"/>
      <c r="K56" s="120"/>
      <c r="L56" s="120"/>
      <c r="M56" s="149"/>
      <c r="N56" s="149"/>
    </row>
    <row r="57" spans="1:14">
      <c r="A57" s="121">
        <v>54</v>
      </c>
      <c r="B57" s="122"/>
      <c r="C57" s="123">
        <v>30</v>
      </c>
      <c r="D57" s="124" t="s">
        <v>185</v>
      </c>
      <c r="E57" s="125">
        <v>1</v>
      </c>
      <c r="F57" s="126">
        <v>1</v>
      </c>
      <c r="G57" s="127">
        <v>1</v>
      </c>
      <c r="H57" s="120" t="s">
        <v>186</v>
      </c>
      <c r="I57" s="109" t="s">
        <v>182</v>
      </c>
      <c r="J57" s="120"/>
      <c r="K57" s="120"/>
      <c r="L57" s="120"/>
      <c r="M57" s="149"/>
      <c r="N57" s="149"/>
    </row>
    <row r="58" spans="1:14">
      <c r="A58" s="121">
        <v>55</v>
      </c>
      <c r="B58" s="122"/>
      <c r="C58" s="123">
        <v>31</v>
      </c>
      <c r="D58" s="124" t="s">
        <v>187</v>
      </c>
      <c r="E58" s="125">
        <v>1</v>
      </c>
      <c r="F58" s="126">
        <v>1</v>
      </c>
      <c r="G58" s="127">
        <v>1</v>
      </c>
      <c r="H58" s="120" t="s">
        <v>188</v>
      </c>
      <c r="I58" s="109" t="s">
        <v>182</v>
      </c>
      <c r="J58" s="120"/>
      <c r="K58" s="120"/>
      <c r="L58" s="120"/>
      <c r="M58" s="149"/>
      <c r="N58" s="149"/>
    </row>
    <row r="59" spans="1:14">
      <c r="A59" s="121">
        <v>56</v>
      </c>
      <c r="B59" s="122"/>
      <c r="C59" s="123">
        <v>32</v>
      </c>
      <c r="D59" s="124" t="s">
        <v>189</v>
      </c>
      <c r="E59" s="125">
        <v>1</v>
      </c>
      <c r="F59" s="126">
        <v>1</v>
      </c>
      <c r="G59" s="127">
        <v>1</v>
      </c>
      <c r="H59" s="120" t="s">
        <v>190</v>
      </c>
      <c r="I59" s="109" t="s">
        <v>182</v>
      </c>
      <c r="J59" s="120"/>
      <c r="K59" s="120"/>
      <c r="L59" s="120"/>
      <c r="M59" s="149"/>
      <c r="N59" s="149"/>
    </row>
    <row r="60" spans="1:14">
      <c r="A60" s="121">
        <v>57</v>
      </c>
      <c r="B60" s="122"/>
      <c r="C60" s="123">
        <v>33</v>
      </c>
      <c r="D60" s="124" t="s">
        <v>191</v>
      </c>
      <c r="E60" s="125">
        <v>3</v>
      </c>
      <c r="F60" s="126">
        <v>3</v>
      </c>
      <c r="G60" s="127">
        <v>3</v>
      </c>
      <c r="H60" s="120" t="s">
        <v>192</v>
      </c>
      <c r="I60" s="109" t="s">
        <v>182</v>
      </c>
      <c r="J60" s="120"/>
      <c r="K60" s="120"/>
      <c r="L60" s="120"/>
      <c r="M60" s="149"/>
      <c r="N60" s="149"/>
    </row>
    <row r="61" ht="34" customHeight="1" spans="1:7">
      <c r="A61" s="121">
        <v>58</v>
      </c>
      <c r="B61" s="128" t="s">
        <v>193</v>
      </c>
      <c r="C61" s="129"/>
      <c r="D61" s="130" t="s">
        <v>194</v>
      </c>
      <c r="E61" s="131">
        <f t="shared" ref="E61:G61" si="0">SUM(E1:E60)</f>
        <v>-139</v>
      </c>
      <c r="F61" s="132">
        <f t="shared" si="0"/>
        <v>125</v>
      </c>
      <c r="G61" s="133">
        <f t="shared" si="0"/>
        <v>107</v>
      </c>
    </row>
    <row r="62" ht="24" customHeight="1" spans="1:7">
      <c r="A62" s="121">
        <v>59</v>
      </c>
      <c r="B62" s="134"/>
      <c r="C62" s="135"/>
      <c r="D62" s="130" t="s">
        <v>195</v>
      </c>
      <c r="E62" s="136">
        <f t="shared" ref="E62:G62" si="1">STDEVP(E3:E60)</f>
        <v>12.8585670558614</v>
      </c>
      <c r="F62" s="137">
        <f t="shared" si="1"/>
        <v>4.08068306639194</v>
      </c>
      <c r="G62" s="138">
        <f t="shared" si="1"/>
        <v>3.61000548165707</v>
      </c>
    </row>
    <row r="63" ht="37" customHeight="1" spans="1:7">
      <c r="A63" s="121">
        <v>60</v>
      </c>
      <c r="B63" s="139"/>
      <c r="C63" s="140"/>
      <c r="D63" s="141" t="s">
        <v>196</v>
      </c>
      <c r="E63" s="142" t="str">
        <f>IF(E61&lt;0,"果断放弃",IF(E61&lt;50,"风险大",IF(E61&lt;70,"风险一般",IF(E61&lt;100,"风险低",IF(E61&lt;=125,"强烈推荐")))))</f>
        <v>果断放弃</v>
      </c>
      <c r="F63" s="143" t="str">
        <f>IF(F61&lt;0,"果断放弃",IF(F61&lt;50,"风险大",IF(F61&lt;70,"风险一般",IF(F61&lt;100,"风险低",IF(F61&lt;=125,"强烈推荐")))))</f>
        <v>强烈推荐</v>
      </c>
      <c r="G63" s="144" t="str">
        <f>IF(G61&lt;0,"果断放弃",IF(G61&lt;50,"风险大",IF(G61&lt;70,"风险一般",IF(G61&lt;100,"风险低",IF(G61&lt;=125,"强烈推荐")))))</f>
        <v>强烈推荐</v>
      </c>
    </row>
  </sheetData>
  <mergeCells count="100">
    <mergeCell ref="A1:G1"/>
    <mergeCell ref="H1:N1"/>
    <mergeCell ref="I2:N2"/>
    <mergeCell ref="I12:N12"/>
    <mergeCell ref="I15:N15"/>
    <mergeCell ref="I24:N24"/>
    <mergeCell ref="I25:N25"/>
    <mergeCell ref="I26:N26"/>
    <mergeCell ref="I47:N47"/>
    <mergeCell ref="I48:N48"/>
    <mergeCell ref="I49:N49"/>
    <mergeCell ref="I50:N50"/>
    <mergeCell ref="I51:N51"/>
    <mergeCell ref="I52:N52"/>
    <mergeCell ref="I53:N53"/>
    <mergeCell ref="I54:N54"/>
    <mergeCell ref="I55:N55"/>
    <mergeCell ref="I56:N56"/>
    <mergeCell ref="I57:N57"/>
    <mergeCell ref="I58:N58"/>
    <mergeCell ref="I59:N59"/>
    <mergeCell ref="I60:N60"/>
    <mergeCell ref="B3:B14"/>
    <mergeCell ref="B15:B21"/>
    <mergeCell ref="B22:B31"/>
    <mergeCell ref="B32:B37"/>
    <mergeCell ref="B38:B46"/>
    <mergeCell ref="B47:B54"/>
    <mergeCell ref="B55:B60"/>
    <mergeCell ref="C3:C5"/>
    <mergeCell ref="C6:C9"/>
    <mergeCell ref="C10:C11"/>
    <mergeCell ref="C13:C14"/>
    <mergeCell ref="C16:C17"/>
    <mergeCell ref="C18:C21"/>
    <mergeCell ref="C22:C23"/>
    <mergeCell ref="C27:C29"/>
    <mergeCell ref="C30:C31"/>
    <mergeCell ref="C32:C34"/>
    <mergeCell ref="C35:C37"/>
    <mergeCell ref="C38:C40"/>
    <mergeCell ref="C41:C42"/>
    <mergeCell ref="C43:C46"/>
    <mergeCell ref="F3:F5"/>
    <mergeCell ref="F6:F9"/>
    <mergeCell ref="F10:F11"/>
    <mergeCell ref="F13:F14"/>
    <mergeCell ref="F16:F17"/>
    <mergeCell ref="F18:F21"/>
    <mergeCell ref="F22:F23"/>
    <mergeCell ref="F27:F29"/>
    <mergeCell ref="F30:F31"/>
    <mergeCell ref="F32:F34"/>
    <mergeCell ref="F35:F37"/>
    <mergeCell ref="F38:F40"/>
    <mergeCell ref="F41:F42"/>
    <mergeCell ref="F43:F46"/>
    <mergeCell ref="G3:G5"/>
    <mergeCell ref="G6:G9"/>
    <mergeCell ref="G10:G11"/>
    <mergeCell ref="G13:G14"/>
    <mergeCell ref="G16:G17"/>
    <mergeCell ref="G18:G21"/>
    <mergeCell ref="G22:G23"/>
    <mergeCell ref="G27:G29"/>
    <mergeCell ref="G30:G31"/>
    <mergeCell ref="G32:G34"/>
    <mergeCell ref="G35:G37"/>
    <mergeCell ref="G38:G40"/>
    <mergeCell ref="G41:G42"/>
    <mergeCell ref="G43:G46"/>
    <mergeCell ref="H3:H5"/>
    <mergeCell ref="H6:H9"/>
    <mergeCell ref="H10:H11"/>
    <mergeCell ref="H13:H14"/>
    <mergeCell ref="H16:H17"/>
    <mergeCell ref="H18:H21"/>
    <mergeCell ref="H22:H23"/>
    <mergeCell ref="H27:H29"/>
    <mergeCell ref="H30:H31"/>
    <mergeCell ref="H32:H34"/>
    <mergeCell ref="H35:H37"/>
    <mergeCell ref="H38:H40"/>
    <mergeCell ref="H41:H42"/>
    <mergeCell ref="H43:H46"/>
    <mergeCell ref="I13:N14"/>
    <mergeCell ref="I10:N11"/>
    <mergeCell ref="I6:N9"/>
    <mergeCell ref="I3:N5"/>
    <mergeCell ref="B61:C63"/>
    <mergeCell ref="I16:N17"/>
    <mergeCell ref="I18:N21"/>
    <mergeCell ref="I22:N23"/>
    <mergeCell ref="I27:N29"/>
    <mergeCell ref="I30:N31"/>
    <mergeCell ref="I32:N34"/>
    <mergeCell ref="I35:N37"/>
    <mergeCell ref="I38:N40"/>
    <mergeCell ref="I41:N42"/>
    <mergeCell ref="I43:N46"/>
  </mergeCells>
  <pageMargins left="0.75" right="0.75" top="1" bottom="1" header="0.5" footer="0.5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workbookViewId="0">
      <selection activeCell="F30" sqref="F30"/>
    </sheetView>
  </sheetViews>
  <sheetFormatPr defaultColWidth="3.83333333333333" defaultRowHeight="14.25" outlineLevelRow="2"/>
  <cols>
    <col min="1" max="5" width="3.83333333333333" customWidth="1"/>
    <col min="6" max="6" width="8.16666666666667" customWidth="1"/>
    <col min="7" max="7" width="3.83333333333333" customWidth="1"/>
    <col min="8" max="8" width="7" customWidth="1"/>
    <col min="9" max="12" width="3.83333333333333" customWidth="1"/>
    <col min="13" max="13" width="5.33333333333333" customWidth="1"/>
    <col min="14" max="17" width="3.83333333333333" customWidth="1"/>
    <col min="18" max="21" width="5.83333333333333" customWidth="1"/>
    <col min="22" max="25" width="7.16666666666667" customWidth="1"/>
    <col min="26" max="26" width="10" customWidth="1"/>
    <col min="27" max="38" width="7.16666666666667" customWidth="1"/>
    <col min="39" max="39" width="3.83333333333333" customWidth="1"/>
    <col min="40" max="40" width="6.16666666666667" customWidth="1"/>
    <col min="41" max="16383" width="3.83333333333333" customWidth="1"/>
  </cols>
  <sheetData>
    <row r="1" ht="15" spans="1:41">
      <c r="A1" s="86" t="s">
        <v>197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92" t="s">
        <v>198</v>
      </c>
      <c r="N1" s="93"/>
      <c r="O1" s="93"/>
      <c r="P1" s="93"/>
      <c r="Q1" s="93"/>
      <c r="R1" s="93"/>
      <c r="S1" s="93"/>
      <c r="T1" s="93"/>
      <c r="U1" s="93"/>
      <c r="V1" s="98" t="s">
        <v>199</v>
      </c>
      <c r="W1" s="99"/>
      <c r="X1" s="99"/>
      <c r="Y1" s="99"/>
      <c r="Z1" s="99"/>
      <c r="AA1" s="99"/>
      <c r="AB1" s="101" t="s">
        <v>200</v>
      </c>
      <c r="AC1" s="102"/>
      <c r="AD1" s="102"/>
      <c r="AE1" s="102"/>
      <c r="AF1" s="102"/>
      <c r="AG1" s="102"/>
      <c r="AH1" s="103" t="s">
        <v>201</v>
      </c>
      <c r="AI1" s="103"/>
      <c r="AJ1" s="103"/>
      <c r="AK1" s="103"/>
      <c r="AL1" s="103"/>
      <c r="AM1" s="103"/>
      <c r="AN1" s="103"/>
      <c r="AO1" s="104"/>
    </row>
    <row r="2" ht="82" customHeight="1" spans="1:41">
      <c r="A2" s="88" t="s">
        <v>202</v>
      </c>
      <c r="B2" s="89" t="s">
        <v>203</v>
      </c>
      <c r="C2" s="89" t="s">
        <v>204</v>
      </c>
      <c r="D2" s="89" t="s">
        <v>205</v>
      </c>
      <c r="E2" s="89" t="s">
        <v>206</v>
      </c>
      <c r="F2" s="89" t="s">
        <v>207</v>
      </c>
      <c r="G2" s="89" t="s">
        <v>208</v>
      </c>
      <c r="H2" s="89" t="s">
        <v>209</v>
      </c>
      <c r="I2" s="89" t="s">
        <v>210</v>
      </c>
      <c r="J2" s="89" t="s">
        <v>211</v>
      </c>
      <c r="K2" s="94" t="s">
        <v>212</v>
      </c>
      <c r="L2" s="95" t="s">
        <v>213</v>
      </c>
      <c r="M2" s="96" t="s">
        <v>214</v>
      </c>
      <c r="N2" s="96" t="s">
        <v>215</v>
      </c>
      <c r="O2" s="96" t="s">
        <v>216</v>
      </c>
      <c r="P2" s="96" t="s">
        <v>217</v>
      </c>
      <c r="Q2" s="96" t="s">
        <v>218</v>
      </c>
      <c r="R2" s="96" t="s">
        <v>219</v>
      </c>
      <c r="S2" s="96" t="s">
        <v>220</v>
      </c>
      <c r="T2" s="96" t="s">
        <v>221</v>
      </c>
      <c r="U2" s="96" t="s">
        <v>222</v>
      </c>
      <c r="V2" s="100" t="s">
        <v>223</v>
      </c>
      <c r="W2" s="100" t="s">
        <v>224</v>
      </c>
      <c r="X2" s="100" t="s">
        <v>225</v>
      </c>
      <c r="Y2" s="100" t="s">
        <v>226</v>
      </c>
      <c r="Z2" s="100" t="s">
        <v>227</v>
      </c>
      <c r="AA2" s="100" t="s">
        <v>228</v>
      </c>
      <c r="AB2" s="100" t="s">
        <v>229</v>
      </c>
      <c r="AC2" s="100" t="s">
        <v>230</v>
      </c>
      <c r="AD2" s="100" t="s">
        <v>231</v>
      </c>
      <c r="AE2" s="100" t="s">
        <v>232</v>
      </c>
      <c r="AF2" s="100" t="s">
        <v>233</v>
      </c>
      <c r="AG2" s="100" t="s">
        <v>234</v>
      </c>
      <c r="AH2" s="100" t="s">
        <v>235</v>
      </c>
      <c r="AI2" s="100" t="s">
        <v>236</v>
      </c>
      <c r="AJ2" s="100" t="s">
        <v>237</v>
      </c>
      <c r="AK2" s="100" t="s">
        <v>238</v>
      </c>
      <c r="AL2" s="100" t="s">
        <v>235</v>
      </c>
      <c r="AM2" s="100" t="s">
        <v>238</v>
      </c>
      <c r="AN2" s="100" t="s">
        <v>239</v>
      </c>
      <c r="AO2" s="105" t="s">
        <v>240</v>
      </c>
    </row>
    <row r="3" ht="17.25" spans="1:21">
      <c r="A3" s="90" t="s">
        <v>241</v>
      </c>
      <c r="B3" s="90" t="s">
        <v>242</v>
      </c>
      <c r="C3" s="73" t="s">
        <v>243</v>
      </c>
      <c r="D3" s="73">
        <v>7</v>
      </c>
      <c r="E3" s="73" t="s">
        <v>244</v>
      </c>
      <c r="F3" s="91">
        <v>42981</v>
      </c>
      <c r="G3" s="73">
        <v>59.99</v>
      </c>
      <c r="H3" s="73">
        <v>5220</v>
      </c>
      <c r="I3" s="73">
        <v>3.7</v>
      </c>
      <c r="J3" s="73">
        <v>386</v>
      </c>
      <c r="K3" s="97"/>
      <c r="L3" s="73">
        <v>110</v>
      </c>
      <c r="M3" s="73"/>
      <c r="N3" s="73"/>
      <c r="O3" s="73"/>
      <c r="P3" s="73"/>
      <c r="Q3" s="73"/>
      <c r="R3" s="73"/>
      <c r="S3" s="73"/>
      <c r="T3" s="73"/>
      <c r="U3" s="73"/>
    </row>
  </sheetData>
  <mergeCells count="5">
    <mergeCell ref="A1:L1"/>
    <mergeCell ref="M1:U1"/>
    <mergeCell ref="V1:AA1"/>
    <mergeCell ref="AB1:AG1"/>
    <mergeCell ref="AH1:AO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topLeftCell="A4" workbookViewId="0">
      <selection activeCell="C7" sqref="C7"/>
    </sheetView>
  </sheetViews>
  <sheetFormatPr defaultColWidth="8.83333333333333" defaultRowHeight="14.25"/>
  <cols>
    <col min="9" max="9" width="9.5"/>
    <col min="15" max="15" width="10.5"/>
  </cols>
  <sheetData>
    <row r="1" spans="1:16">
      <c r="A1" s="43"/>
      <c r="B1" s="44"/>
      <c r="C1" s="44"/>
      <c r="D1" s="44"/>
      <c r="E1" s="56" t="s">
        <v>245</v>
      </c>
      <c r="F1" s="57"/>
      <c r="G1" s="57"/>
      <c r="H1" s="57"/>
      <c r="I1" s="57"/>
      <c r="J1" s="57"/>
      <c r="K1" s="57"/>
      <c r="L1" s="57"/>
      <c r="M1" s="44"/>
      <c r="N1" s="44"/>
      <c r="O1" s="44"/>
      <c r="P1" s="59"/>
    </row>
    <row r="2" spans="1:16">
      <c r="A2" s="45"/>
      <c r="B2" s="46"/>
      <c r="C2" s="46"/>
      <c r="D2" s="46"/>
      <c r="E2" s="58"/>
      <c r="F2" s="58"/>
      <c r="G2" s="58"/>
      <c r="H2" s="58"/>
      <c r="I2" s="58"/>
      <c r="J2" s="58"/>
      <c r="K2" s="58"/>
      <c r="L2" s="58"/>
      <c r="M2" s="46"/>
      <c r="N2" s="46"/>
      <c r="O2" s="46"/>
      <c r="P2" s="60"/>
    </row>
    <row r="3" spans="1:16">
      <c r="A3" s="45"/>
      <c r="B3" s="46"/>
      <c r="C3" s="46"/>
      <c r="D3" s="46"/>
      <c r="E3" s="58"/>
      <c r="F3" s="58"/>
      <c r="G3" s="58"/>
      <c r="H3" s="58"/>
      <c r="I3" s="58"/>
      <c r="J3" s="58"/>
      <c r="K3" s="58"/>
      <c r="L3" s="58"/>
      <c r="M3" s="46"/>
      <c r="N3" s="46"/>
      <c r="O3" s="46"/>
      <c r="P3" s="60"/>
    </row>
    <row r="4" spans="1:16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60"/>
    </row>
    <row r="5" ht="19.5" customHeight="1" spans="1:16">
      <c r="A5" s="78" t="s">
        <v>246</v>
      </c>
      <c r="B5" s="79" t="s">
        <v>247</v>
      </c>
      <c r="C5" s="80" t="s">
        <v>248</v>
      </c>
      <c r="D5" s="80" t="s">
        <v>249</v>
      </c>
      <c r="E5" s="80" t="s">
        <v>250</v>
      </c>
      <c r="F5" s="80" t="s">
        <v>251</v>
      </c>
      <c r="G5" s="80" t="s">
        <v>252</v>
      </c>
      <c r="H5" s="80" t="s">
        <v>253</v>
      </c>
      <c r="I5" s="80" t="s">
        <v>254</v>
      </c>
      <c r="J5" s="80" t="s">
        <v>255</v>
      </c>
      <c r="K5" s="80" t="s">
        <v>256</v>
      </c>
      <c r="L5" s="80" t="s">
        <v>257</v>
      </c>
      <c r="M5" s="80" t="s">
        <v>258</v>
      </c>
      <c r="N5" s="80" t="s">
        <v>259</v>
      </c>
      <c r="O5" s="79" t="s">
        <v>260</v>
      </c>
      <c r="P5" s="60"/>
    </row>
    <row r="6" ht="19.5" customHeight="1" spans="1:16">
      <c r="A6" s="81" t="s">
        <v>261</v>
      </c>
      <c r="B6" s="46"/>
      <c r="C6" s="46">
        <v>300</v>
      </c>
      <c r="D6" s="46">
        <v>300</v>
      </c>
      <c r="E6" s="46">
        <v>500</v>
      </c>
      <c r="F6" s="46">
        <v>600</v>
      </c>
      <c r="G6" s="46">
        <v>500</v>
      </c>
      <c r="H6" s="46">
        <v>500</v>
      </c>
      <c r="I6" s="46">
        <v>450</v>
      </c>
      <c r="J6" s="46">
        <v>800</v>
      </c>
      <c r="K6" s="46">
        <v>500</v>
      </c>
      <c r="L6" s="46">
        <v>500</v>
      </c>
      <c r="M6" s="46">
        <v>400</v>
      </c>
      <c r="N6" s="46">
        <v>400</v>
      </c>
      <c r="O6" s="46">
        <v>4850</v>
      </c>
      <c r="P6" s="60"/>
    </row>
    <row r="7" ht="19.5" customHeight="1" spans="1:15">
      <c r="A7" s="82" t="s">
        <v>262</v>
      </c>
      <c r="B7" s="46"/>
      <c r="C7" s="46">
        <v>45.99</v>
      </c>
      <c r="D7" s="46">
        <v>45.99</v>
      </c>
      <c r="E7" s="46">
        <v>45.99</v>
      </c>
      <c r="F7" s="46">
        <v>45.99</v>
      </c>
      <c r="G7" s="46">
        <v>45.99</v>
      </c>
      <c r="H7" s="46">
        <v>45.99</v>
      </c>
      <c r="I7" s="46">
        <v>45.99</v>
      </c>
      <c r="J7" s="46">
        <v>45.99</v>
      </c>
      <c r="K7" s="46">
        <v>45.99</v>
      </c>
      <c r="L7" s="46">
        <v>45.99</v>
      </c>
      <c r="M7" s="46">
        <v>45.99</v>
      </c>
      <c r="N7" s="46">
        <v>45.99</v>
      </c>
      <c r="O7" s="46">
        <v>45.99</v>
      </c>
    </row>
    <row r="8" spans="1:15">
      <c r="A8" s="82" t="s">
        <v>263</v>
      </c>
      <c r="B8" s="46"/>
      <c r="C8" s="46">
        <f>C6*C7</f>
        <v>13797</v>
      </c>
      <c r="D8" s="46">
        <f t="shared" ref="D8:O8" si="0">D6*D7</f>
        <v>13797</v>
      </c>
      <c r="E8" s="46">
        <f t="shared" si="0"/>
        <v>22995</v>
      </c>
      <c r="F8" s="46">
        <f t="shared" si="0"/>
        <v>27594</v>
      </c>
      <c r="G8" s="46">
        <f t="shared" si="0"/>
        <v>22995</v>
      </c>
      <c r="H8" s="46">
        <f t="shared" si="0"/>
        <v>22995</v>
      </c>
      <c r="I8" s="46">
        <f t="shared" si="0"/>
        <v>20695.5</v>
      </c>
      <c r="J8" s="46">
        <f t="shared" si="0"/>
        <v>36792</v>
      </c>
      <c r="K8" s="46">
        <f t="shared" si="0"/>
        <v>22995</v>
      </c>
      <c r="L8" s="46">
        <f t="shared" si="0"/>
        <v>22995</v>
      </c>
      <c r="M8" s="46">
        <f t="shared" si="0"/>
        <v>18396</v>
      </c>
      <c r="N8" s="46">
        <f t="shared" si="0"/>
        <v>18396</v>
      </c>
      <c r="O8" s="46">
        <f t="shared" si="0"/>
        <v>223051.5</v>
      </c>
    </row>
    <row r="9" spans="1:15">
      <c r="A9" s="82" t="s">
        <v>264</v>
      </c>
      <c r="B9" s="46"/>
      <c r="C9" s="46">
        <v>15</v>
      </c>
      <c r="D9" s="46">
        <v>15</v>
      </c>
      <c r="E9" s="46">
        <v>15</v>
      </c>
      <c r="F9" s="46">
        <v>15</v>
      </c>
      <c r="G9" s="46">
        <v>15</v>
      </c>
      <c r="H9" s="46">
        <v>15</v>
      </c>
      <c r="I9" s="46">
        <v>15</v>
      </c>
      <c r="J9" s="46">
        <v>15</v>
      </c>
      <c r="K9" s="46">
        <v>15</v>
      </c>
      <c r="L9" s="46">
        <v>15</v>
      </c>
      <c r="M9" s="46">
        <v>15</v>
      </c>
      <c r="N9" s="46">
        <v>15</v>
      </c>
      <c r="O9" s="46">
        <v>15</v>
      </c>
    </row>
    <row r="10" spans="1:15">
      <c r="A10" s="82" t="s">
        <v>265</v>
      </c>
      <c r="B10" s="46"/>
      <c r="C10" s="46">
        <f>C9*C6</f>
        <v>4500</v>
      </c>
      <c r="D10" s="46">
        <f t="shared" ref="D10:O10" si="1">D9*D6</f>
        <v>4500</v>
      </c>
      <c r="E10" s="46">
        <f t="shared" si="1"/>
        <v>7500</v>
      </c>
      <c r="F10" s="46">
        <f t="shared" si="1"/>
        <v>9000</v>
      </c>
      <c r="G10" s="46">
        <f t="shared" si="1"/>
        <v>7500</v>
      </c>
      <c r="H10" s="46">
        <f t="shared" si="1"/>
        <v>7500</v>
      </c>
      <c r="I10" s="46">
        <f t="shared" si="1"/>
        <v>6750</v>
      </c>
      <c r="J10" s="46">
        <f t="shared" si="1"/>
        <v>12000</v>
      </c>
      <c r="K10" s="46">
        <f t="shared" si="1"/>
        <v>7500</v>
      </c>
      <c r="L10" s="46">
        <f t="shared" si="1"/>
        <v>7500</v>
      </c>
      <c r="M10" s="46">
        <f t="shared" si="1"/>
        <v>6000</v>
      </c>
      <c r="N10" s="46">
        <f t="shared" si="1"/>
        <v>6000</v>
      </c>
      <c r="O10" s="46">
        <f t="shared" si="1"/>
        <v>72750</v>
      </c>
    </row>
    <row r="11" spans="1:15">
      <c r="A11" s="82" t="s">
        <v>266</v>
      </c>
      <c r="B11" s="46"/>
      <c r="C11" s="46">
        <f>C8*0.15</f>
        <v>2069.55</v>
      </c>
      <c r="D11" s="46">
        <f t="shared" ref="D11:O11" si="2">D8*0.15</f>
        <v>2069.55</v>
      </c>
      <c r="E11" s="46">
        <f t="shared" si="2"/>
        <v>3449.25</v>
      </c>
      <c r="F11" s="46">
        <f t="shared" si="2"/>
        <v>4139.1</v>
      </c>
      <c r="G11" s="46">
        <f t="shared" si="2"/>
        <v>3449.25</v>
      </c>
      <c r="H11" s="46">
        <f t="shared" si="2"/>
        <v>3449.25</v>
      </c>
      <c r="I11" s="46">
        <f t="shared" si="2"/>
        <v>3104.325</v>
      </c>
      <c r="J11" s="46">
        <f t="shared" si="2"/>
        <v>5518.8</v>
      </c>
      <c r="K11" s="46">
        <f t="shared" si="2"/>
        <v>3449.25</v>
      </c>
      <c r="L11" s="46">
        <f t="shared" si="2"/>
        <v>3449.25</v>
      </c>
      <c r="M11" s="46">
        <f t="shared" si="2"/>
        <v>2759.4</v>
      </c>
      <c r="N11" s="46">
        <f t="shared" si="2"/>
        <v>2759.4</v>
      </c>
      <c r="O11" s="46">
        <f t="shared" si="2"/>
        <v>33457.725</v>
      </c>
    </row>
    <row r="12" spans="1:15">
      <c r="A12" s="82" t="s">
        <v>267</v>
      </c>
      <c r="B12" s="46"/>
      <c r="C12" s="46">
        <f>4.17*C6</f>
        <v>1251</v>
      </c>
      <c r="D12" s="46">
        <f t="shared" ref="D12:O12" si="3">4.17*D6</f>
        <v>1251</v>
      </c>
      <c r="E12" s="46">
        <f t="shared" si="3"/>
        <v>2085</v>
      </c>
      <c r="F12" s="46">
        <f t="shared" si="3"/>
        <v>2502</v>
      </c>
      <c r="G12" s="46">
        <f t="shared" si="3"/>
        <v>2085</v>
      </c>
      <c r="H12" s="46">
        <f t="shared" si="3"/>
        <v>2085</v>
      </c>
      <c r="I12" s="46">
        <f t="shared" si="3"/>
        <v>1876.5</v>
      </c>
      <c r="J12" s="46">
        <f t="shared" si="3"/>
        <v>3336</v>
      </c>
      <c r="K12" s="46">
        <f t="shared" si="3"/>
        <v>2085</v>
      </c>
      <c r="L12" s="46">
        <f t="shared" si="3"/>
        <v>2085</v>
      </c>
      <c r="M12" s="46">
        <f t="shared" si="3"/>
        <v>1668</v>
      </c>
      <c r="N12" s="46">
        <f t="shared" si="3"/>
        <v>1668</v>
      </c>
      <c r="O12" s="46">
        <f t="shared" si="3"/>
        <v>20224.5</v>
      </c>
    </row>
    <row r="13" spans="1:15">
      <c r="A13" s="82" t="s">
        <v>268</v>
      </c>
      <c r="B13" s="46"/>
      <c r="C13" s="46">
        <f>C8*0.05</f>
        <v>689.85</v>
      </c>
      <c r="D13" s="46">
        <f t="shared" ref="D13:O13" si="4">D8*0.05</f>
        <v>689.85</v>
      </c>
      <c r="E13" s="46">
        <f t="shared" si="4"/>
        <v>1149.75</v>
      </c>
      <c r="F13" s="46">
        <f t="shared" si="4"/>
        <v>1379.7</v>
      </c>
      <c r="G13" s="46">
        <f t="shared" si="4"/>
        <v>1149.75</v>
      </c>
      <c r="H13" s="46">
        <f t="shared" si="4"/>
        <v>1149.75</v>
      </c>
      <c r="I13" s="46">
        <f t="shared" si="4"/>
        <v>1034.775</v>
      </c>
      <c r="J13" s="46">
        <f t="shared" si="4"/>
        <v>1839.6</v>
      </c>
      <c r="K13" s="46">
        <f t="shared" si="4"/>
        <v>1149.75</v>
      </c>
      <c r="L13" s="46">
        <f t="shared" si="4"/>
        <v>1149.75</v>
      </c>
      <c r="M13" s="46">
        <f t="shared" si="4"/>
        <v>919.8</v>
      </c>
      <c r="N13" s="46">
        <f t="shared" si="4"/>
        <v>919.8</v>
      </c>
      <c r="O13" s="46">
        <f t="shared" si="4"/>
        <v>11152.575</v>
      </c>
    </row>
    <row r="14" spans="1:15">
      <c r="A14" s="82" t="s">
        <v>269</v>
      </c>
      <c r="B14" s="46"/>
      <c r="C14" s="46">
        <f>C8*0.1</f>
        <v>1379.7</v>
      </c>
      <c r="D14" s="46">
        <f t="shared" ref="D14:O14" si="5">D8*0.1</f>
        <v>1379.7</v>
      </c>
      <c r="E14" s="46">
        <f t="shared" si="5"/>
        <v>2299.5</v>
      </c>
      <c r="F14" s="46">
        <f t="shared" si="5"/>
        <v>2759.4</v>
      </c>
      <c r="G14" s="46">
        <f t="shared" si="5"/>
        <v>2299.5</v>
      </c>
      <c r="H14" s="46">
        <f t="shared" si="5"/>
        <v>2299.5</v>
      </c>
      <c r="I14" s="46">
        <f t="shared" si="5"/>
        <v>2069.55</v>
      </c>
      <c r="J14" s="46">
        <f t="shared" si="5"/>
        <v>3679.2</v>
      </c>
      <c r="K14" s="46">
        <f t="shared" si="5"/>
        <v>2299.5</v>
      </c>
      <c r="L14" s="46">
        <f t="shared" si="5"/>
        <v>2299.5</v>
      </c>
      <c r="M14" s="46">
        <f t="shared" si="5"/>
        <v>1839.6</v>
      </c>
      <c r="N14" s="46">
        <f t="shared" si="5"/>
        <v>1839.6</v>
      </c>
      <c r="O14" s="46">
        <f t="shared" si="5"/>
        <v>22305.15</v>
      </c>
    </row>
    <row r="15" ht="25" customHeight="1" spans="1:15">
      <c r="A15" s="83" t="s">
        <v>270</v>
      </c>
      <c r="B15" s="46"/>
      <c r="C15" s="46">
        <f>C8*0.1</f>
        <v>1379.7</v>
      </c>
      <c r="D15" s="46">
        <f t="shared" ref="D15:O15" si="6">D8*0.1</f>
        <v>1379.7</v>
      </c>
      <c r="E15" s="46">
        <f t="shared" si="6"/>
        <v>2299.5</v>
      </c>
      <c r="F15" s="46">
        <f t="shared" si="6"/>
        <v>2759.4</v>
      </c>
      <c r="G15" s="46">
        <f t="shared" si="6"/>
        <v>2299.5</v>
      </c>
      <c r="H15" s="46">
        <f t="shared" si="6"/>
        <v>2299.5</v>
      </c>
      <c r="I15" s="46">
        <f t="shared" si="6"/>
        <v>2069.55</v>
      </c>
      <c r="J15" s="46">
        <f t="shared" si="6"/>
        <v>3679.2</v>
      </c>
      <c r="K15" s="46">
        <f t="shared" si="6"/>
        <v>2299.5</v>
      </c>
      <c r="L15" s="46">
        <f t="shared" si="6"/>
        <v>2299.5</v>
      </c>
      <c r="M15" s="46">
        <f t="shared" si="6"/>
        <v>1839.6</v>
      </c>
      <c r="N15" s="46">
        <f t="shared" si="6"/>
        <v>1839.6</v>
      </c>
      <c r="O15" s="46">
        <f t="shared" si="6"/>
        <v>22305.15</v>
      </c>
    </row>
    <row r="16" spans="1:15">
      <c r="A16" s="84" t="s">
        <v>271</v>
      </c>
      <c r="C16">
        <f>1.5*C6</f>
        <v>450</v>
      </c>
      <c r="D16">
        <f t="shared" ref="D16:O16" si="7">1.5*D6</f>
        <v>450</v>
      </c>
      <c r="E16">
        <f t="shared" si="7"/>
        <v>750</v>
      </c>
      <c r="F16">
        <f t="shared" si="7"/>
        <v>900</v>
      </c>
      <c r="G16">
        <f t="shared" si="7"/>
        <v>750</v>
      </c>
      <c r="H16">
        <f t="shared" si="7"/>
        <v>750</v>
      </c>
      <c r="I16">
        <f t="shared" si="7"/>
        <v>675</v>
      </c>
      <c r="J16">
        <f t="shared" si="7"/>
        <v>1200</v>
      </c>
      <c r="K16">
        <f t="shared" si="7"/>
        <v>750</v>
      </c>
      <c r="L16">
        <f t="shared" si="7"/>
        <v>750</v>
      </c>
      <c r="M16">
        <f t="shared" si="7"/>
        <v>600</v>
      </c>
      <c r="N16">
        <f t="shared" si="7"/>
        <v>600</v>
      </c>
      <c r="O16">
        <f t="shared" si="7"/>
        <v>7275</v>
      </c>
    </row>
    <row r="17" spans="1:15">
      <c r="A17" s="85" t="s">
        <v>272</v>
      </c>
      <c r="B17" s="46"/>
      <c r="C17" s="46">
        <v>50</v>
      </c>
      <c r="D17" s="46">
        <v>50</v>
      </c>
      <c r="E17" s="46">
        <v>50</v>
      </c>
      <c r="F17" s="46">
        <v>75</v>
      </c>
      <c r="G17" s="46">
        <v>25</v>
      </c>
      <c r="H17" s="46">
        <v>50</v>
      </c>
      <c r="I17" s="46">
        <v>50</v>
      </c>
      <c r="J17" s="46">
        <v>150</v>
      </c>
      <c r="K17" s="46">
        <v>150</v>
      </c>
      <c r="L17" s="46">
        <v>50</v>
      </c>
      <c r="M17" s="46">
        <v>50</v>
      </c>
      <c r="N17" s="46">
        <v>50</v>
      </c>
      <c r="O17" s="46">
        <f t="shared" ref="O17:O19" si="8">SUM(C17:N17)</f>
        <v>800</v>
      </c>
    </row>
    <row r="18" spans="1:15">
      <c r="A18" s="85" t="s">
        <v>273</v>
      </c>
      <c r="B18" s="46"/>
      <c r="C18" s="46"/>
      <c r="D18" s="46"/>
      <c r="E18" s="46">
        <v>100</v>
      </c>
      <c r="F18" s="46"/>
      <c r="G18" s="46"/>
      <c r="H18" s="46"/>
      <c r="I18" s="46">
        <v>100</v>
      </c>
      <c r="J18" s="46"/>
      <c r="K18" s="46"/>
      <c r="L18" s="46"/>
      <c r="M18" s="46"/>
      <c r="N18" s="46"/>
      <c r="O18" s="46">
        <f t="shared" si="8"/>
        <v>200</v>
      </c>
    </row>
    <row r="19" spans="1:15">
      <c r="A19" s="82" t="s">
        <v>274</v>
      </c>
      <c r="B19" s="46"/>
      <c r="C19" s="46">
        <v>100</v>
      </c>
      <c r="D19" s="46">
        <v>100</v>
      </c>
      <c r="E19" s="46">
        <v>100</v>
      </c>
      <c r="F19" s="46">
        <v>100</v>
      </c>
      <c r="G19" s="46">
        <v>100</v>
      </c>
      <c r="H19" s="46">
        <v>100</v>
      </c>
      <c r="I19" s="46">
        <v>100</v>
      </c>
      <c r="J19" s="46">
        <v>100</v>
      </c>
      <c r="K19" s="46">
        <v>100</v>
      </c>
      <c r="L19" s="46">
        <v>100</v>
      </c>
      <c r="M19" s="46">
        <v>100</v>
      </c>
      <c r="N19" s="46">
        <v>100</v>
      </c>
      <c r="O19" s="46">
        <f t="shared" si="8"/>
        <v>1200</v>
      </c>
    </row>
    <row r="20" spans="1:1">
      <c r="A20" s="82" t="s">
        <v>275</v>
      </c>
    </row>
    <row r="21" spans="1:15">
      <c r="A21" s="84" t="s">
        <v>276</v>
      </c>
      <c r="C21">
        <f>C8-C11-C12-C13-C14-C15-C16-C17-C18-C19-C10-C20</f>
        <v>1927.2</v>
      </c>
      <c r="D21">
        <f t="shared" ref="D21:O21" si="9">D8-D11-D12-D13-D14-D15-D16-D17-D18-D19-D10-D20</f>
        <v>1927.2</v>
      </c>
      <c r="E21">
        <f t="shared" si="9"/>
        <v>3212</v>
      </c>
      <c r="F21">
        <f t="shared" si="9"/>
        <v>3979.4</v>
      </c>
      <c r="G21">
        <f t="shared" si="9"/>
        <v>3337</v>
      </c>
      <c r="H21">
        <f t="shared" si="9"/>
        <v>3312</v>
      </c>
      <c r="I21">
        <f t="shared" si="9"/>
        <v>2865.8</v>
      </c>
      <c r="J21">
        <f t="shared" si="9"/>
        <v>5289.2</v>
      </c>
      <c r="K21">
        <f t="shared" si="9"/>
        <v>3212</v>
      </c>
      <c r="L21">
        <f t="shared" si="9"/>
        <v>3312</v>
      </c>
      <c r="M21">
        <f t="shared" si="9"/>
        <v>2619.6</v>
      </c>
      <c r="N21">
        <f t="shared" si="9"/>
        <v>2619.6</v>
      </c>
      <c r="O21">
        <f t="shared" si="9"/>
        <v>31381.4</v>
      </c>
    </row>
    <row r="22" spans="1:13">
      <c r="A22" s="52" t="s">
        <v>277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spans="1:1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spans="1:13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</row>
    <row r="25" spans="1:13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</row>
    <row r="26" spans="1:13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</row>
    <row r="27" spans="1:13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</row>
    <row r="28" spans="1:13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</row>
    <row r="29" spans="1:13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</row>
    <row r="30" spans="1:13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spans="1:13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spans="1:13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spans="1:1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</row>
    <row r="34" spans="1:13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15" spans="1:13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</row>
  </sheetData>
  <mergeCells count="2">
    <mergeCell ref="E1:L3"/>
    <mergeCell ref="A22:M3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E2" sqref="E2"/>
    </sheetView>
  </sheetViews>
  <sheetFormatPr defaultColWidth="8.83333333333333" defaultRowHeight="14.25"/>
  <sheetData>
    <row r="1" ht="36" spans="1:17">
      <c r="A1" s="63" t="s">
        <v>278</v>
      </c>
      <c r="B1" s="64" t="s">
        <v>279</v>
      </c>
      <c r="C1" s="64" t="s">
        <v>280</v>
      </c>
      <c r="D1" s="64" t="s">
        <v>281</v>
      </c>
      <c r="E1" s="65" t="s">
        <v>282</v>
      </c>
      <c r="F1" s="65" t="s">
        <v>283</v>
      </c>
      <c r="G1" s="66" t="s">
        <v>284</v>
      </c>
      <c r="H1" s="66" t="s">
        <v>285</v>
      </c>
      <c r="I1" s="66" t="s">
        <v>286</v>
      </c>
      <c r="J1" s="74" t="s">
        <v>287</v>
      </c>
      <c r="K1" s="75" t="s">
        <v>288</v>
      </c>
      <c r="L1" s="75" t="s">
        <v>289</v>
      </c>
      <c r="M1" s="76" t="s">
        <v>290</v>
      </c>
      <c r="N1" s="76" t="s">
        <v>271</v>
      </c>
      <c r="O1" s="74" t="s">
        <v>291</v>
      </c>
      <c r="P1" s="74" t="s">
        <v>292</v>
      </c>
      <c r="Q1" s="74" t="s">
        <v>293</v>
      </c>
    </row>
    <row r="2" spans="1:17">
      <c r="A2" s="67" t="s">
        <v>294</v>
      </c>
      <c r="B2" s="68">
        <v>43160</v>
      </c>
      <c r="C2" s="68" t="s">
        <v>295</v>
      </c>
      <c r="D2" s="68" t="s">
        <v>296</v>
      </c>
      <c r="E2" s="69">
        <v>69.8</v>
      </c>
      <c r="F2" s="70">
        <f>77</f>
        <v>77</v>
      </c>
      <c r="G2" s="71">
        <f t="shared" ref="G2:G9" si="0">E2*F2</f>
        <v>5374.6</v>
      </c>
      <c r="H2" s="72">
        <f t="shared" ref="H2:H9" si="1">E2*0.15+5</f>
        <v>15.47</v>
      </c>
      <c r="I2" s="72">
        <f t="shared" ref="I2:I9" si="2">G2-J2-K2-L2-M2-N2</f>
        <v>1393.55</v>
      </c>
      <c r="J2" s="72">
        <f t="shared" ref="J2:J9" si="3">H2*F2</f>
        <v>1191.19</v>
      </c>
      <c r="K2" s="72">
        <f t="shared" ref="K2:K9" si="4">F2*20</f>
        <v>1540</v>
      </c>
      <c r="L2" s="72">
        <f t="shared" ref="L2:L9" si="5">E2*0.15*F2</f>
        <v>806.19</v>
      </c>
      <c r="M2" s="72">
        <f t="shared" ref="M2:M9" si="6">E2*4.15</f>
        <v>289.67</v>
      </c>
      <c r="N2" s="72">
        <f t="shared" ref="N2:N9" si="7">2*F2</f>
        <v>154</v>
      </c>
      <c r="O2" s="72"/>
      <c r="P2" s="72"/>
      <c r="Q2" s="77">
        <f t="shared" ref="Q2:Q9" si="8">I2+O2</f>
        <v>1393.55</v>
      </c>
    </row>
    <row r="3" spans="1:17">
      <c r="A3" s="67" t="s">
        <v>294</v>
      </c>
      <c r="B3" s="68">
        <v>43191</v>
      </c>
      <c r="C3" s="68" t="s">
        <v>295</v>
      </c>
      <c r="D3" s="68" t="s">
        <v>296</v>
      </c>
      <c r="E3" s="69">
        <v>65.8</v>
      </c>
      <c r="F3" s="70">
        <f>120</f>
        <v>120</v>
      </c>
      <c r="G3" s="71">
        <f t="shared" si="0"/>
        <v>7896</v>
      </c>
      <c r="H3" s="72">
        <f t="shared" si="1"/>
        <v>14.87</v>
      </c>
      <c r="I3" s="72">
        <f t="shared" si="2"/>
        <v>2014.13</v>
      </c>
      <c r="J3" s="72">
        <f t="shared" si="3"/>
        <v>1784.4</v>
      </c>
      <c r="K3" s="72">
        <f t="shared" si="4"/>
        <v>2400</v>
      </c>
      <c r="L3" s="72">
        <f t="shared" si="5"/>
        <v>1184.4</v>
      </c>
      <c r="M3" s="72">
        <f t="shared" si="6"/>
        <v>273.07</v>
      </c>
      <c r="N3" s="72">
        <f t="shared" si="7"/>
        <v>240</v>
      </c>
      <c r="O3" s="72"/>
      <c r="P3" s="72"/>
      <c r="Q3" s="77">
        <f t="shared" si="8"/>
        <v>2014.13</v>
      </c>
    </row>
    <row r="4" spans="1:17">
      <c r="A4" s="67" t="s">
        <v>294</v>
      </c>
      <c r="B4" s="68">
        <v>43221</v>
      </c>
      <c r="C4" s="68" t="s">
        <v>295</v>
      </c>
      <c r="D4" s="68" t="s">
        <v>296</v>
      </c>
      <c r="E4" s="69">
        <v>65.8</v>
      </c>
      <c r="F4" s="70">
        <f>60</f>
        <v>60</v>
      </c>
      <c r="G4" s="71">
        <f t="shared" si="0"/>
        <v>3948</v>
      </c>
      <c r="H4" s="72">
        <f t="shared" si="1"/>
        <v>14.87</v>
      </c>
      <c r="I4" s="72">
        <f t="shared" si="2"/>
        <v>870.53</v>
      </c>
      <c r="J4" s="72">
        <f t="shared" si="3"/>
        <v>892.2</v>
      </c>
      <c r="K4" s="72">
        <f t="shared" si="4"/>
        <v>1200</v>
      </c>
      <c r="L4" s="72">
        <f t="shared" si="5"/>
        <v>592.2</v>
      </c>
      <c r="M4" s="72">
        <f t="shared" si="6"/>
        <v>273.07</v>
      </c>
      <c r="N4" s="72">
        <f t="shared" si="7"/>
        <v>120</v>
      </c>
      <c r="O4" s="72"/>
      <c r="P4" s="72"/>
      <c r="Q4" s="77">
        <f t="shared" si="8"/>
        <v>870.53</v>
      </c>
    </row>
    <row r="5" spans="1:17">
      <c r="A5" s="67" t="s">
        <v>294</v>
      </c>
      <c r="B5" s="68">
        <v>43252</v>
      </c>
      <c r="C5" s="68" t="s">
        <v>295</v>
      </c>
      <c r="D5" s="68" t="s">
        <v>296</v>
      </c>
      <c r="E5" s="69">
        <v>65.8</v>
      </c>
      <c r="F5" s="70">
        <f>30</f>
        <v>30</v>
      </c>
      <c r="G5" s="71">
        <f t="shared" si="0"/>
        <v>1974</v>
      </c>
      <c r="H5" s="72">
        <f t="shared" si="1"/>
        <v>14.87</v>
      </c>
      <c r="I5" s="72">
        <f t="shared" si="2"/>
        <v>298.73</v>
      </c>
      <c r="J5" s="72">
        <f t="shared" si="3"/>
        <v>446.1</v>
      </c>
      <c r="K5" s="72">
        <f t="shared" si="4"/>
        <v>600</v>
      </c>
      <c r="L5" s="72">
        <f t="shared" si="5"/>
        <v>296.1</v>
      </c>
      <c r="M5" s="72">
        <f t="shared" si="6"/>
        <v>273.07</v>
      </c>
      <c r="N5" s="72">
        <f t="shared" si="7"/>
        <v>60</v>
      </c>
      <c r="O5" s="72"/>
      <c r="P5" s="72"/>
      <c r="Q5" s="77">
        <f t="shared" si="8"/>
        <v>298.73</v>
      </c>
    </row>
    <row r="6" spans="1:17">
      <c r="A6" s="67" t="s">
        <v>294</v>
      </c>
      <c r="B6" s="68">
        <v>43282</v>
      </c>
      <c r="C6" s="68" t="s">
        <v>295</v>
      </c>
      <c r="D6" s="68" t="s">
        <v>296</v>
      </c>
      <c r="E6" s="69">
        <v>59</v>
      </c>
      <c r="F6" s="70">
        <f>400</f>
        <v>400</v>
      </c>
      <c r="G6" s="71">
        <f t="shared" si="0"/>
        <v>23600</v>
      </c>
      <c r="H6" s="72">
        <f t="shared" si="1"/>
        <v>13.85</v>
      </c>
      <c r="I6" s="72">
        <f t="shared" si="2"/>
        <v>5475.15</v>
      </c>
      <c r="J6" s="72">
        <f t="shared" si="3"/>
        <v>5540</v>
      </c>
      <c r="K6" s="72">
        <f t="shared" si="4"/>
        <v>8000</v>
      </c>
      <c r="L6" s="72">
        <f t="shared" si="5"/>
        <v>3540</v>
      </c>
      <c r="M6" s="72">
        <f t="shared" si="6"/>
        <v>244.85</v>
      </c>
      <c r="N6" s="72">
        <f t="shared" si="7"/>
        <v>800</v>
      </c>
      <c r="O6" s="72"/>
      <c r="P6" s="72"/>
      <c r="Q6" s="77">
        <f t="shared" si="8"/>
        <v>5475.15</v>
      </c>
    </row>
    <row r="7" spans="1:17">
      <c r="A7" s="67" t="s">
        <v>294</v>
      </c>
      <c r="B7" s="68">
        <v>43313</v>
      </c>
      <c r="C7" s="68" t="s">
        <v>295</v>
      </c>
      <c r="D7" s="68" t="s">
        <v>296</v>
      </c>
      <c r="E7" s="69">
        <v>61.8</v>
      </c>
      <c r="F7" s="70">
        <f>800</f>
        <v>800</v>
      </c>
      <c r="G7" s="71">
        <f t="shared" si="0"/>
        <v>49440</v>
      </c>
      <c r="H7" s="72">
        <f t="shared" si="1"/>
        <v>14.27</v>
      </c>
      <c r="I7" s="72">
        <f t="shared" si="2"/>
        <v>12751.53</v>
      </c>
      <c r="J7" s="72">
        <f t="shared" si="3"/>
        <v>11416</v>
      </c>
      <c r="K7" s="72">
        <f t="shared" si="4"/>
        <v>16000</v>
      </c>
      <c r="L7" s="72">
        <f t="shared" si="5"/>
        <v>7416</v>
      </c>
      <c r="M7" s="72">
        <f t="shared" si="6"/>
        <v>256.47</v>
      </c>
      <c r="N7" s="72">
        <f t="shared" si="7"/>
        <v>1600</v>
      </c>
      <c r="O7" s="72"/>
      <c r="P7" s="72"/>
      <c r="Q7" s="77">
        <f t="shared" si="8"/>
        <v>12751.53</v>
      </c>
    </row>
    <row r="8" spans="1:17">
      <c r="A8" s="67" t="s">
        <v>294</v>
      </c>
      <c r="B8" s="68">
        <v>43344</v>
      </c>
      <c r="C8" s="68" t="s">
        <v>295</v>
      </c>
      <c r="D8" s="68" t="s">
        <v>296</v>
      </c>
      <c r="E8" s="69">
        <v>61.8</v>
      </c>
      <c r="F8" s="70">
        <f>1200</f>
        <v>1200</v>
      </c>
      <c r="G8" s="71">
        <f t="shared" si="0"/>
        <v>74160</v>
      </c>
      <c r="H8" s="72">
        <f t="shared" si="1"/>
        <v>14.27</v>
      </c>
      <c r="I8" s="72">
        <f t="shared" si="2"/>
        <v>19255.53</v>
      </c>
      <c r="J8" s="72">
        <f t="shared" si="3"/>
        <v>17124</v>
      </c>
      <c r="K8" s="72">
        <f t="shared" si="4"/>
        <v>24000</v>
      </c>
      <c r="L8" s="72">
        <f t="shared" si="5"/>
        <v>11124</v>
      </c>
      <c r="M8" s="72">
        <f t="shared" si="6"/>
        <v>256.47</v>
      </c>
      <c r="N8" s="72">
        <f t="shared" si="7"/>
        <v>2400</v>
      </c>
      <c r="O8" s="72"/>
      <c r="P8" s="72"/>
      <c r="Q8" s="77">
        <f t="shared" si="8"/>
        <v>19255.53</v>
      </c>
    </row>
    <row r="9" spans="1:17">
      <c r="A9" s="67" t="s">
        <v>294</v>
      </c>
      <c r="B9" s="68">
        <v>43374</v>
      </c>
      <c r="C9" s="68" t="s">
        <v>295</v>
      </c>
      <c r="D9" s="68" t="s">
        <v>296</v>
      </c>
      <c r="E9" s="69">
        <v>54.3</v>
      </c>
      <c r="F9" s="70">
        <f t="shared" ref="F9:F11" si="9">1400</f>
        <v>1400</v>
      </c>
      <c r="G9" s="71">
        <f t="shared" si="0"/>
        <v>76020</v>
      </c>
      <c r="H9" s="72">
        <f t="shared" si="1"/>
        <v>13.145</v>
      </c>
      <c r="I9" s="72">
        <f t="shared" si="2"/>
        <v>15188.655</v>
      </c>
      <c r="J9" s="72">
        <f t="shared" si="3"/>
        <v>18403</v>
      </c>
      <c r="K9" s="72">
        <f t="shared" si="4"/>
        <v>28000</v>
      </c>
      <c r="L9" s="72">
        <f t="shared" si="5"/>
        <v>11403</v>
      </c>
      <c r="M9" s="72">
        <f t="shared" si="6"/>
        <v>225.345</v>
      </c>
      <c r="N9" s="72">
        <f t="shared" si="7"/>
        <v>2800</v>
      </c>
      <c r="O9" s="72"/>
      <c r="P9" s="72"/>
      <c r="Q9" s="77">
        <f t="shared" si="8"/>
        <v>15188.655</v>
      </c>
    </row>
    <row r="10" spans="1:17">
      <c r="A10" s="67" t="s">
        <v>294</v>
      </c>
      <c r="B10" s="68">
        <v>43405</v>
      </c>
      <c r="C10" s="68" t="s">
        <v>295</v>
      </c>
      <c r="D10" s="68" t="s">
        <v>296</v>
      </c>
      <c r="E10" s="69">
        <v>62.8</v>
      </c>
      <c r="F10" s="70">
        <f t="shared" si="9"/>
        <v>1400</v>
      </c>
      <c r="G10" s="73"/>
      <c r="H10" s="73"/>
      <c r="I10" s="72"/>
      <c r="J10" s="73"/>
      <c r="K10" s="73"/>
      <c r="L10" s="73"/>
      <c r="M10" s="73"/>
      <c r="N10" s="73"/>
      <c r="O10" s="73"/>
      <c r="P10" s="73"/>
      <c r="Q10" s="73"/>
    </row>
    <row r="11" spans="1:17">
      <c r="A11" s="67" t="s">
        <v>294</v>
      </c>
      <c r="B11" s="68">
        <v>43435</v>
      </c>
      <c r="C11" s="68" t="s">
        <v>295</v>
      </c>
      <c r="D11" s="68" t="s">
        <v>296</v>
      </c>
      <c r="E11" s="69">
        <v>75.8</v>
      </c>
      <c r="F11" s="70">
        <f t="shared" si="9"/>
        <v>1400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</row>
    <row r="12" spans="1:17">
      <c r="A12" s="67" t="s">
        <v>294</v>
      </c>
      <c r="B12" s="68">
        <v>43466</v>
      </c>
      <c r="C12" s="68" t="s">
        <v>295</v>
      </c>
      <c r="D12" s="68" t="s">
        <v>296</v>
      </c>
      <c r="E12" s="69">
        <v>75.8</v>
      </c>
      <c r="F12" s="70">
        <f>480</f>
        <v>480</v>
      </c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</row>
    <row r="13" spans="1:17">
      <c r="A13" s="67" t="s">
        <v>294</v>
      </c>
      <c r="B13" s="68">
        <v>43497</v>
      </c>
      <c r="C13" s="68" t="s">
        <v>295</v>
      </c>
      <c r="D13" s="68" t="s">
        <v>296</v>
      </c>
      <c r="E13" s="69">
        <v>65.8</v>
      </c>
      <c r="F13" s="70">
        <f>400</f>
        <v>400</v>
      </c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</row>
    <row r="14" spans="1:17">
      <c r="A14" s="73">
        <v>5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5:U42"/>
  <sheetViews>
    <sheetView zoomScale="85" zoomScaleNormal="85" topLeftCell="D19" workbookViewId="0">
      <selection activeCell="G29" sqref="G29:S42"/>
    </sheetView>
  </sheetViews>
  <sheetFormatPr defaultColWidth="9" defaultRowHeight="14.25"/>
  <cols>
    <col min="6" max="6" width="21" customWidth="1"/>
    <col min="14" max="14" width="9.5"/>
    <col min="20" max="20" width="10.5"/>
    <col min="22" max="22" width="10.5" customWidth="1"/>
  </cols>
  <sheetData>
    <row r="5" ht="15"/>
    <row r="6" spans="6:21">
      <c r="F6" s="43"/>
      <c r="G6" s="44"/>
      <c r="H6" s="44"/>
      <c r="I6" s="44"/>
      <c r="J6" s="56" t="s">
        <v>297</v>
      </c>
      <c r="K6" s="57"/>
      <c r="L6" s="57"/>
      <c r="M6" s="57"/>
      <c r="N6" s="57"/>
      <c r="O6" s="57"/>
      <c r="P6" s="57"/>
      <c r="Q6" s="57"/>
      <c r="R6" s="44"/>
      <c r="S6" s="44"/>
      <c r="T6" s="44"/>
      <c r="U6" s="59"/>
    </row>
    <row r="7" spans="6:21">
      <c r="F7" s="45"/>
      <c r="G7" s="46"/>
      <c r="H7" s="46"/>
      <c r="I7" s="46"/>
      <c r="J7" s="58"/>
      <c r="K7" s="58"/>
      <c r="L7" s="58"/>
      <c r="M7" s="58"/>
      <c r="N7" s="58"/>
      <c r="O7" s="58"/>
      <c r="P7" s="58"/>
      <c r="Q7" s="58"/>
      <c r="R7" s="46"/>
      <c r="S7" s="46"/>
      <c r="T7" s="46"/>
      <c r="U7" s="60"/>
    </row>
    <row r="8" spans="6:21">
      <c r="F8" s="45"/>
      <c r="G8" s="46"/>
      <c r="H8" s="46"/>
      <c r="I8" s="46"/>
      <c r="J8" s="58"/>
      <c r="K8" s="58"/>
      <c r="L8" s="58"/>
      <c r="M8" s="58"/>
      <c r="N8" s="58"/>
      <c r="O8" s="58"/>
      <c r="P8" s="58"/>
      <c r="Q8" s="58"/>
      <c r="R8" s="46"/>
      <c r="S8" s="46"/>
      <c r="T8" s="46"/>
      <c r="U8" s="60"/>
    </row>
    <row r="9" spans="6:21">
      <c r="F9" s="45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60"/>
    </row>
    <row r="10" ht="19.5" customHeight="1" spans="6:21">
      <c r="F10" s="47" t="s">
        <v>246</v>
      </c>
      <c r="G10" s="48" t="s">
        <v>247</v>
      </c>
      <c r="H10" s="49" t="s">
        <v>248</v>
      </c>
      <c r="I10" s="49" t="s">
        <v>249</v>
      </c>
      <c r="J10" s="49" t="s">
        <v>250</v>
      </c>
      <c r="K10" s="49" t="s">
        <v>251</v>
      </c>
      <c r="L10" s="49" t="s">
        <v>252</v>
      </c>
      <c r="M10" s="49" t="s">
        <v>253</v>
      </c>
      <c r="N10" s="49" t="s">
        <v>254</v>
      </c>
      <c r="O10" s="49" t="s">
        <v>255</v>
      </c>
      <c r="P10" s="49" t="s">
        <v>256</v>
      </c>
      <c r="Q10" s="49" t="s">
        <v>257</v>
      </c>
      <c r="R10" s="49" t="s">
        <v>258</v>
      </c>
      <c r="S10" s="49" t="s">
        <v>259</v>
      </c>
      <c r="T10" s="48" t="s">
        <v>260</v>
      </c>
      <c r="U10" s="60"/>
    </row>
    <row r="11" ht="19.5" customHeight="1" spans="6:21">
      <c r="F11" s="45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60"/>
    </row>
    <row r="12" ht="19.5" customHeight="1" spans="6:21">
      <c r="F12" s="50" t="s">
        <v>261</v>
      </c>
      <c r="G12" s="46"/>
      <c r="H12" s="46">
        <v>300</v>
      </c>
      <c r="I12" s="46">
        <v>300</v>
      </c>
      <c r="J12" s="46">
        <v>500</v>
      </c>
      <c r="K12" s="46">
        <v>600</v>
      </c>
      <c r="L12" s="46">
        <v>500</v>
      </c>
      <c r="M12" s="46">
        <v>500</v>
      </c>
      <c r="N12" s="46">
        <v>450</v>
      </c>
      <c r="O12" s="46">
        <v>800</v>
      </c>
      <c r="P12" s="46">
        <v>500</v>
      </c>
      <c r="Q12" s="46">
        <v>500</v>
      </c>
      <c r="R12" s="46">
        <v>400</v>
      </c>
      <c r="S12" s="46">
        <v>400</v>
      </c>
      <c r="T12" s="46">
        <v>4850</v>
      </c>
      <c r="U12" s="60"/>
    </row>
    <row r="13" ht="8.25" customHeight="1" spans="6:21">
      <c r="F13" s="51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60"/>
    </row>
    <row r="14" ht="19.5" customHeight="1" spans="6:21">
      <c r="F14" s="50" t="s">
        <v>263</v>
      </c>
      <c r="G14" s="46"/>
      <c r="H14" s="46">
        <f>H12*45.99</f>
        <v>13797</v>
      </c>
      <c r="I14" s="46">
        <f t="shared" ref="I14:S14" si="0">I12*45.99</f>
        <v>13797</v>
      </c>
      <c r="J14" s="46">
        <f t="shared" si="0"/>
        <v>22995</v>
      </c>
      <c r="K14" s="46">
        <f t="shared" si="0"/>
        <v>27594</v>
      </c>
      <c r="L14" s="46">
        <f t="shared" si="0"/>
        <v>22995</v>
      </c>
      <c r="M14" s="46">
        <f t="shared" si="0"/>
        <v>22995</v>
      </c>
      <c r="N14" s="46">
        <f t="shared" si="0"/>
        <v>20695.5</v>
      </c>
      <c r="O14" s="46">
        <f t="shared" si="0"/>
        <v>36792</v>
      </c>
      <c r="P14" s="46">
        <f t="shared" si="0"/>
        <v>22995</v>
      </c>
      <c r="Q14" s="46">
        <f t="shared" si="0"/>
        <v>22995</v>
      </c>
      <c r="R14" s="46">
        <f t="shared" si="0"/>
        <v>18396</v>
      </c>
      <c r="S14" s="46">
        <f t="shared" si="0"/>
        <v>18396</v>
      </c>
      <c r="T14" s="46">
        <f>SUM(H14:S14)</f>
        <v>264442.5</v>
      </c>
      <c r="U14" s="60"/>
    </row>
    <row r="15" ht="9" customHeight="1" spans="6:21">
      <c r="F15" s="51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60"/>
    </row>
    <row r="16" ht="19.5" customHeight="1" spans="6:21">
      <c r="F16" s="50" t="s">
        <v>268</v>
      </c>
      <c r="G16" s="46"/>
      <c r="H16" s="46">
        <f>H14*0.05</f>
        <v>689.85</v>
      </c>
      <c r="I16" s="46">
        <f t="shared" ref="I16:S16" si="1">I14*0.05</f>
        <v>689.85</v>
      </c>
      <c r="J16" s="46">
        <f t="shared" si="1"/>
        <v>1149.75</v>
      </c>
      <c r="K16" s="46">
        <f t="shared" si="1"/>
        <v>1379.7</v>
      </c>
      <c r="L16" s="46">
        <f t="shared" si="1"/>
        <v>1149.75</v>
      </c>
      <c r="M16" s="46">
        <f t="shared" si="1"/>
        <v>1149.75</v>
      </c>
      <c r="N16" s="46">
        <f t="shared" si="1"/>
        <v>1034.775</v>
      </c>
      <c r="O16" s="46">
        <f t="shared" si="1"/>
        <v>1839.6</v>
      </c>
      <c r="P16" s="46">
        <f t="shared" si="1"/>
        <v>1149.75</v>
      </c>
      <c r="Q16" s="46">
        <f t="shared" si="1"/>
        <v>1149.75</v>
      </c>
      <c r="R16" s="46">
        <f t="shared" si="1"/>
        <v>919.8</v>
      </c>
      <c r="S16" s="46">
        <f t="shared" si="1"/>
        <v>919.8</v>
      </c>
      <c r="T16" s="46">
        <f t="shared" ref="T16" si="2">SUM(H16:S16)</f>
        <v>13222.125</v>
      </c>
      <c r="U16" s="60"/>
    </row>
    <row r="17" ht="9.75" customHeight="1" spans="6:21">
      <c r="F17" s="51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60"/>
    </row>
    <row r="18" ht="19.5" customHeight="1" spans="6:21">
      <c r="F18" s="50" t="s">
        <v>269</v>
      </c>
      <c r="G18" s="46"/>
      <c r="H18" s="46">
        <f>H14*0.1</f>
        <v>1379.7</v>
      </c>
      <c r="I18" s="46">
        <f t="shared" ref="I18:S18" si="3">I14*0.1</f>
        <v>1379.7</v>
      </c>
      <c r="J18" s="46">
        <f t="shared" si="3"/>
        <v>2299.5</v>
      </c>
      <c r="K18" s="46">
        <f t="shared" si="3"/>
        <v>2759.4</v>
      </c>
      <c r="L18" s="46">
        <f t="shared" si="3"/>
        <v>2299.5</v>
      </c>
      <c r="M18" s="46">
        <f t="shared" si="3"/>
        <v>2299.5</v>
      </c>
      <c r="N18" s="46">
        <f t="shared" si="3"/>
        <v>2069.55</v>
      </c>
      <c r="O18" s="46">
        <f t="shared" si="3"/>
        <v>3679.2</v>
      </c>
      <c r="P18" s="46">
        <f t="shared" si="3"/>
        <v>2299.5</v>
      </c>
      <c r="Q18" s="46">
        <f t="shared" si="3"/>
        <v>2299.5</v>
      </c>
      <c r="R18" s="46">
        <f t="shared" si="3"/>
        <v>1839.6</v>
      </c>
      <c r="S18" s="46">
        <f t="shared" si="3"/>
        <v>1839.6</v>
      </c>
      <c r="T18" s="46">
        <f>SUM(H18:S18)</f>
        <v>26444.25</v>
      </c>
      <c r="U18" s="60"/>
    </row>
    <row r="19" ht="11.25" customHeight="1" spans="6:21">
      <c r="F19" s="51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60"/>
    </row>
    <row r="20" ht="19.5" customHeight="1" spans="6:21">
      <c r="F20" s="50" t="s">
        <v>298</v>
      </c>
      <c r="G20" s="46"/>
      <c r="H20" s="46">
        <f>H14*0.1</f>
        <v>1379.7</v>
      </c>
      <c r="I20" s="46">
        <f>I14*0.1</f>
        <v>1379.7</v>
      </c>
      <c r="J20" s="46">
        <f>J14*0.05</f>
        <v>1149.75</v>
      </c>
      <c r="K20" s="46">
        <f t="shared" ref="K20:S20" si="4">K14*0.05</f>
        <v>1379.7</v>
      </c>
      <c r="L20" s="46">
        <f t="shared" si="4"/>
        <v>1149.75</v>
      </c>
      <c r="M20" s="46">
        <f t="shared" si="4"/>
        <v>1149.75</v>
      </c>
      <c r="N20" s="46">
        <f t="shared" si="4"/>
        <v>1034.775</v>
      </c>
      <c r="O20" s="46">
        <f t="shared" si="4"/>
        <v>1839.6</v>
      </c>
      <c r="P20" s="46">
        <f t="shared" si="4"/>
        <v>1149.75</v>
      </c>
      <c r="Q20" s="46">
        <f t="shared" si="4"/>
        <v>1149.75</v>
      </c>
      <c r="R20" s="46">
        <f t="shared" si="4"/>
        <v>919.8</v>
      </c>
      <c r="S20" s="46">
        <f t="shared" si="4"/>
        <v>919.8</v>
      </c>
      <c r="T20" s="46">
        <f>SUM(H20:S20)</f>
        <v>14601.825</v>
      </c>
      <c r="U20" s="60"/>
    </row>
    <row r="21" ht="8.25" customHeight="1" spans="6:21">
      <c r="F21" s="51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60"/>
    </row>
    <row r="22" ht="19.5" customHeight="1" spans="6:21">
      <c r="F22" s="51" t="s">
        <v>272</v>
      </c>
      <c r="G22" s="46"/>
      <c r="H22" s="46">
        <v>50</v>
      </c>
      <c r="I22" s="46">
        <v>50</v>
      </c>
      <c r="J22" s="46">
        <v>50</v>
      </c>
      <c r="K22" s="46">
        <v>75</v>
      </c>
      <c r="L22" s="46">
        <v>25</v>
      </c>
      <c r="M22" s="46">
        <v>50</v>
      </c>
      <c r="N22" s="46">
        <v>50</v>
      </c>
      <c r="O22" s="46">
        <v>150</v>
      </c>
      <c r="P22" s="46">
        <v>150</v>
      </c>
      <c r="Q22" s="46">
        <v>50</v>
      </c>
      <c r="R22" s="46">
        <v>50</v>
      </c>
      <c r="S22" s="46">
        <v>50</v>
      </c>
      <c r="T22" s="46">
        <f>SUM(H22:S22)</f>
        <v>800</v>
      </c>
      <c r="U22" s="60"/>
    </row>
    <row r="23" ht="8.25" customHeight="1" spans="6:21">
      <c r="F23" s="51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60"/>
    </row>
    <row r="24" ht="19.5" customHeight="1" spans="6:21">
      <c r="F24" s="51" t="s">
        <v>273</v>
      </c>
      <c r="G24" s="46"/>
      <c r="H24" s="46"/>
      <c r="I24" s="46"/>
      <c r="J24" s="46">
        <v>100</v>
      </c>
      <c r="K24" s="46"/>
      <c r="L24" s="46"/>
      <c r="M24" s="46"/>
      <c r="N24" s="46">
        <v>100</v>
      </c>
      <c r="O24" s="46"/>
      <c r="P24" s="46"/>
      <c r="Q24" s="46"/>
      <c r="R24" s="46"/>
      <c r="S24" s="46"/>
      <c r="T24" s="46">
        <f>SUM(H24:S24)</f>
        <v>200</v>
      </c>
      <c r="U24" s="60"/>
    </row>
    <row r="25" ht="9.75" customHeight="1" spans="6:21">
      <c r="F25" s="51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60"/>
    </row>
    <row r="26" ht="19.5" customHeight="1" spans="6:21">
      <c r="F26" s="50" t="s">
        <v>274</v>
      </c>
      <c r="G26" s="46"/>
      <c r="H26" s="46">
        <v>100</v>
      </c>
      <c r="I26" s="46">
        <v>100</v>
      </c>
      <c r="J26" s="46">
        <v>100</v>
      </c>
      <c r="K26" s="46">
        <v>100</v>
      </c>
      <c r="L26" s="46">
        <v>100</v>
      </c>
      <c r="M26" s="46">
        <v>100</v>
      </c>
      <c r="N26" s="46">
        <v>100</v>
      </c>
      <c r="O26" s="46">
        <v>100</v>
      </c>
      <c r="P26" s="46">
        <v>100</v>
      </c>
      <c r="Q26" s="46">
        <v>100</v>
      </c>
      <c r="R26" s="46">
        <v>100</v>
      </c>
      <c r="S26" s="46">
        <v>100</v>
      </c>
      <c r="T26" s="46">
        <f>SUM(H26:S26)</f>
        <v>1200</v>
      </c>
      <c r="U26" s="60"/>
    </row>
    <row r="27" ht="19.5" customHeight="1" spans="6:21">
      <c r="F27" s="50" t="s">
        <v>275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60"/>
    </row>
    <row r="28" ht="9.75" customHeight="1" spans="6:21">
      <c r="F28" s="51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60"/>
    </row>
    <row r="29" spans="6:21">
      <c r="F29" s="50" t="s">
        <v>299</v>
      </c>
      <c r="G29" s="52" t="s">
        <v>300</v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46"/>
      <c r="U29" s="60"/>
    </row>
    <row r="30" spans="6:21">
      <c r="F30" s="45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46"/>
      <c r="U30" s="60"/>
    </row>
    <row r="31" spans="6:21">
      <c r="F31" s="45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46"/>
      <c r="U31" s="60"/>
    </row>
    <row r="32" spans="6:21">
      <c r="F32" s="45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46"/>
      <c r="U32" s="60"/>
    </row>
    <row r="33" spans="6:21">
      <c r="F33" s="45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46"/>
      <c r="U33" s="60"/>
    </row>
    <row r="34" spans="6:21">
      <c r="F34" s="45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46"/>
      <c r="U34" s="60"/>
    </row>
    <row r="35" spans="6:21">
      <c r="F35" s="45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46"/>
      <c r="U35" s="60"/>
    </row>
    <row r="36" spans="6:21">
      <c r="F36" s="45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46"/>
      <c r="U36" s="60"/>
    </row>
    <row r="37" spans="6:21">
      <c r="F37" s="45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46"/>
      <c r="U37" s="60"/>
    </row>
    <row r="38" spans="6:21">
      <c r="F38" s="45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46"/>
      <c r="U38" s="60"/>
    </row>
    <row r="39" spans="6:21">
      <c r="F39" s="45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46"/>
      <c r="U39" s="60"/>
    </row>
    <row r="40" spans="6:21">
      <c r="F40" s="45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46"/>
      <c r="U40" s="60"/>
    </row>
    <row r="41" spans="6:21">
      <c r="F41" s="45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46"/>
      <c r="U41" s="60"/>
    </row>
    <row r="42" ht="15" spans="6:21">
      <c r="F42" s="54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61"/>
      <c r="U42" s="62"/>
    </row>
  </sheetData>
  <mergeCells count="2">
    <mergeCell ref="J6:Q8"/>
    <mergeCell ref="G29:S42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F4" sqref="F4"/>
    </sheetView>
  </sheetViews>
  <sheetFormatPr defaultColWidth="9" defaultRowHeight="14.25"/>
  <cols>
    <col min="1" max="5" width="9" style="23"/>
    <col min="6" max="6" width="13.5" style="23" customWidth="1"/>
    <col min="7" max="16384" width="9" style="23"/>
  </cols>
  <sheetData>
    <row r="1" ht="18.75" spans="1:9">
      <c r="A1" s="24" t="s">
        <v>301</v>
      </c>
      <c r="B1" s="25"/>
      <c r="C1" s="25"/>
      <c r="D1" s="25"/>
      <c r="E1" s="25"/>
      <c r="F1" s="25"/>
      <c r="G1" s="25"/>
      <c r="H1" s="25"/>
      <c r="I1" s="32"/>
    </row>
    <row r="2" ht="27" spans="1:9">
      <c r="A2" s="26" t="s">
        <v>302</v>
      </c>
      <c r="B2" s="27" t="s">
        <v>303</v>
      </c>
      <c r="C2" s="28" t="s">
        <v>304</v>
      </c>
      <c r="D2" s="28" t="s">
        <v>305</v>
      </c>
      <c r="E2" s="29" t="s">
        <v>306</v>
      </c>
      <c r="F2" s="30" t="s">
        <v>263</v>
      </c>
      <c r="G2" s="28" t="s">
        <v>307</v>
      </c>
      <c r="H2" s="28" t="s">
        <v>308</v>
      </c>
      <c r="I2" s="28" t="s">
        <v>309</v>
      </c>
    </row>
    <row r="3" spans="1:9">
      <c r="A3" s="31" t="s">
        <v>310</v>
      </c>
      <c r="B3" s="32"/>
      <c r="C3" s="33">
        <v>5</v>
      </c>
      <c r="D3" s="34">
        <f>B3+C3</f>
        <v>5</v>
      </c>
      <c r="E3" s="35">
        <v>45.99</v>
      </c>
      <c r="F3" s="36">
        <f>D3*E3</f>
        <v>229.95</v>
      </c>
      <c r="G3" s="32"/>
      <c r="H3" s="32"/>
      <c r="I3" s="32"/>
    </row>
    <row r="4" spans="1:9">
      <c r="A4" s="31" t="s">
        <v>311</v>
      </c>
      <c r="B4" s="32"/>
      <c r="C4" s="33">
        <v>5</v>
      </c>
      <c r="D4" s="34">
        <f t="shared" ref="D4:D33" si="0">B4+C4</f>
        <v>5</v>
      </c>
      <c r="E4" s="35">
        <v>45.99</v>
      </c>
      <c r="F4" s="36">
        <f t="shared" ref="F4:F33" si="1">D4*E4</f>
        <v>229.95</v>
      </c>
      <c r="G4" s="32"/>
      <c r="H4" s="32"/>
      <c r="I4" s="37"/>
    </row>
    <row r="5" spans="1:9">
      <c r="A5" s="31" t="s">
        <v>312</v>
      </c>
      <c r="B5" s="32"/>
      <c r="C5" s="33">
        <v>5</v>
      </c>
      <c r="D5" s="34">
        <f t="shared" si="0"/>
        <v>5</v>
      </c>
      <c r="E5" s="35">
        <v>45.99</v>
      </c>
      <c r="F5" s="36">
        <f t="shared" si="1"/>
        <v>229.95</v>
      </c>
      <c r="G5" s="32"/>
      <c r="H5" s="37">
        <v>1</v>
      </c>
      <c r="I5" s="37"/>
    </row>
    <row r="6" spans="1:9">
      <c r="A6" s="31" t="s">
        <v>313</v>
      </c>
      <c r="B6" s="32"/>
      <c r="C6" s="33">
        <v>5</v>
      </c>
      <c r="D6" s="34">
        <f t="shared" si="0"/>
        <v>5</v>
      </c>
      <c r="E6" s="35">
        <v>45.99</v>
      </c>
      <c r="F6" s="36">
        <f t="shared" si="1"/>
        <v>229.95</v>
      </c>
      <c r="G6" s="32"/>
      <c r="H6" s="37">
        <v>0</v>
      </c>
      <c r="I6" s="37"/>
    </row>
    <row r="7" spans="1:9">
      <c r="A7" s="31" t="s">
        <v>314</v>
      </c>
      <c r="B7" s="32"/>
      <c r="C7" s="33">
        <v>5</v>
      </c>
      <c r="D7" s="34">
        <f t="shared" si="0"/>
        <v>5</v>
      </c>
      <c r="E7" s="35">
        <v>45.99</v>
      </c>
      <c r="F7" s="36">
        <f t="shared" si="1"/>
        <v>229.95</v>
      </c>
      <c r="G7" s="32"/>
      <c r="H7" s="37">
        <v>1</v>
      </c>
      <c r="I7" s="37"/>
    </row>
    <row r="8" spans="1:9">
      <c r="A8" s="31" t="s">
        <v>315</v>
      </c>
      <c r="B8" s="32"/>
      <c r="C8" s="33">
        <v>5</v>
      </c>
      <c r="D8" s="34">
        <f t="shared" si="0"/>
        <v>5</v>
      </c>
      <c r="E8" s="35">
        <v>45.99</v>
      </c>
      <c r="F8" s="36">
        <f t="shared" si="1"/>
        <v>229.95</v>
      </c>
      <c r="G8" s="32"/>
      <c r="H8" s="37">
        <v>2</v>
      </c>
      <c r="I8" s="37"/>
    </row>
    <row r="9" spans="1:9">
      <c r="A9" s="31" t="s">
        <v>316</v>
      </c>
      <c r="B9" s="32"/>
      <c r="C9" s="33">
        <v>5</v>
      </c>
      <c r="D9" s="34">
        <f t="shared" si="0"/>
        <v>5</v>
      </c>
      <c r="E9" s="35">
        <v>45.99</v>
      </c>
      <c r="F9" s="36">
        <f t="shared" si="1"/>
        <v>229.95</v>
      </c>
      <c r="G9" s="32"/>
      <c r="H9" s="37">
        <v>0</v>
      </c>
      <c r="I9" s="37"/>
    </row>
    <row r="10" spans="1:9">
      <c r="A10" s="31" t="s">
        <v>317</v>
      </c>
      <c r="B10" s="32"/>
      <c r="C10" s="33">
        <v>5</v>
      </c>
      <c r="D10" s="34">
        <f t="shared" si="0"/>
        <v>5</v>
      </c>
      <c r="E10" s="35">
        <v>45.99</v>
      </c>
      <c r="F10" s="36">
        <f t="shared" si="1"/>
        <v>229.95</v>
      </c>
      <c r="G10" s="32"/>
      <c r="H10" s="37">
        <v>2</v>
      </c>
      <c r="I10" s="37"/>
    </row>
    <row r="11" spans="1:9">
      <c r="A11" s="31" t="s">
        <v>318</v>
      </c>
      <c r="B11" s="32"/>
      <c r="C11" s="33">
        <v>5</v>
      </c>
      <c r="D11" s="34">
        <f t="shared" si="0"/>
        <v>5</v>
      </c>
      <c r="E11" s="35">
        <v>45.99</v>
      </c>
      <c r="F11" s="36">
        <f t="shared" si="1"/>
        <v>229.95</v>
      </c>
      <c r="G11" s="32"/>
      <c r="H11" s="37">
        <v>0</v>
      </c>
      <c r="I11" s="37"/>
    </row>
    <row r="12" spans="1:9">
      <c r="A12" s="31" t="s">
        <v>319</v>
      </c>
      <c r="B12" s="32"/>
      <c r="C12" s="33">
        <v>5</v>
      </c>
      <c r="D12" s="34">
        <f t="shared" si="0"/>
        <v>5</v>
      </c>
      <c r="E12" s="35">
        <v>45.99</v>
      </c>
      <c r="F12" s="36">
        <f t="shared" si="1"/>
        <v>229.95</v>
      </c>
      <c r="G12" s="37">
        <v>1</v>
      </c>
      <c r="H12" s="37">
        <v>2</v>
      </c>
      <c r="I12" s="37">
        <v>2</v>
      </c>
    </row>
    <row r="13" spans="1:9">
      <c r="A13" s="31" t="s">
        <v>320</v>
      </c>
      <c r="B13" s="32"/>
      <c r="C13" s="33">
        <v>5</v>
      </c>
      <c r="D13" s="34">
        <f t="shared" si="0"/>
        <v>5</v>
      </c>
      <c r="E13" s="35">
        <v>45.99</v>
      </c>
      <c r="F13" s="36">
        <f t="shared" si="1"/>
        <v>229.95</v>
      </c>
      <c r="G13" s="37">
        <v>1</v>
      </c>
      <c r="H13" s="37">
        <v>0</v>
      </c>
      <c r="I13" s="37">
        <v>2</v>
      </c>
    </row>
    <row r="14" spans="1:9">
      <c r="A14" s="31" t="s">
        <v>321</v>
      </c>
      <c r="B14" s="32"/>
      <c r="C14" s="33">
        <v>5</v>
      </c>
      <c r="D14" s="34">
        <f t="shared" si="0"/>
        <v>5</v>
      </c>
      <c r="E14" s="35">
        <v>45.99</v>
      </c>
      <c r="F14" s="36">
        <f t="shared" si="1"/>
        <v>229.95</v>
      </c>
      <c r="G14" s="37">
        <v>1</v>
      </c>
      <c r="H14" s="37">
        <v>2</v>
      </c>
      <c r="I14" s="37">
        <v>2</v>
      </c>
    </row>
    <row r="15" spans="1:9">
      <c r="A15" s="31" t="s">
        <v>322</v>
      </c>
      <c r="B15" s="32"/>
      <c r="C15" s="33">
        <v>5</v>
      </c>
      <c r="D15" s="34">
        <f t="shared" si="0"/>
        <v>5</v>
      </c>
      <c r="E15" s="35">
        <v>45.99</v>
      </c>
      <c r="F15" s="36">
        <f t="shared" si="1"/>
        <v>229.95</v>
      </c>
      <c r="G15" s="37">
        <v>1</v>
      </c>
      <c r="H15" s="37">
        <v>0</v>
      </c>
      <c r="I15" s="37">
        <v>2</v>
      </c>
    </row>
    <row r="16" spans="1:9">
      <c r="A16" s="31" t="s">
        <v>323</v>
      </c>
      <c r="B16" s="32"/>
      <c r="C16" s="33">
        <v>5</v>
      </c>
      <c r="D16" s="34">
        <f t="shared" si="0"/>
        <v>5</v>
      </c>
      <c r="E16" s="35">
        <v>45.99</v>
      </c>
      <c r="F16" s="36">
        <f t="shared" si="1"/>
        <v>229.95</v>
      </c>
      <c r="G16" s="37">
        <v>1</v>
      </c>
      <c r="H16" s="37">
        <v>1</v>
      </c>
      <c r="I16" s="37">
        <v>2</v>
      </c>
    </row>
    <row r="17" spans="1:9">
      <c r="A17" s="31" t="s">
        <v>324</v>
      </c>
      <c r="B17" s="32"/>
      <c r="C17" s="33">
        <v>5</v>
      </c>
      <c r="D17" s="34">
        <f t="shared" si="0"/>
        <v>5</v>
      </c>
      <c r="E17" s="35">
        <v>45.99</v>
      </c>
      <c r="F17" s="36">
        <f t="shared" si="1"/>
        <v>229.95</v>
      </c>
      <c r="G17" s="37">
        <v>1</v>
      </c>
      <c r="H17" s="37">
        <v>0</v>
      </c>
      <c r="I17" s="37">
        <v>2</v>
      </c>
    </row>
    <row r="18" spans="1:9">
      <c r="A18" s="31" t="s">
        <v>325</v>
      </c>
      <c r="B18" s="32"/>
      <c r="C18" s="33">
        <v>5</v>
      </c>
      <c r="D18" s="34">
        <f t="shared" si="0"/>
        <v>5</v>
      </c>
      <c r="E18" s="35">
        <v>45.99</v>
      </c>
      <c r="F18" s="36">
        <f t="shared" si="1"/>
        <v>229.95</v>
      </c>
      <c r="G18" s="37">
        <v>1</v>
      </c>
      <c r="H18" s="37">
        <v>1</v>
      </c>
      <c r="I18" s="37">
        <v>2</v>
      </c>
    </row>
    <row r="19" spans="1:9">
      <c r="A19" s="31" t="s">
        <v>326</v>
      </c>
      <c r="B19" s="32"/>
      <c r="C19" s="33">
        <v>5</v>
      </c>
      <c r="D19" s="34">
        <f t="shared" si="0"/>
        <v>5</v>
      </c>
      <c r="E19" s="35">
        <v>45.99</v>
      </c>
      <c r="F19" s="36">
        <f t="shared" si="1"/>
        <v>229.95</v>
      </c>
      <c r="G19" s="37">
        <v>1</v>
      </c>
      <c r="H19" s="37">
        <v>0</v>
      </c>
      <c r="I19" s="37">
        <v>2</v>
      </c>
    </row>
    <row r="20" spans="1:9">
      <c r="A20" s="31" t="s">
        <v>327</v>
      </c>
      <c r="B20" s="32"/>
      <c r="C20" s="33">
        <v>5</v>
      </c>
      <c r="D20" s="34">
        <f t="shared" si="0"/>
        <v>5</v>
      </c>
      <c r="E20" s="35">
        <v>45.99</v>
      </c>
      <c r="F20" s="36">
        <f t="shared" si="1"/>
        <v>229.95</v>
      </c>
      <c r="G20" s="37">
        <v>1</v>
      </c>
      <c r="H20" s="37">
        <v>1</v>
      </c>
      <c r="I20" s="37">
        <v>2</v>
      </c>
    </row>
    <row r="21" spans="1:9">
      <c r="A21" s="31" t="s">
        <v>328</v>
      </c>
      <c r="B21" s="32"/>
      <c r="C21" s="33">
        <v>5</v>
      </c>
      <c r="D21" s="34">
        <f t="shared" si="0"/>
        <v>5</v>
      </c>
      <c r="E21" s="35">
        <v>45.99</v>
      </c>
      <c r="F21" s="36">
        <f t="shared" si="1"/>
        <v>229.95</v>
      </c>
      <c r="G21" s="37">
        <v>1</v>
      </c>
      <c r="H21" s="37">
        <v>0</v>
      </c>
      <c r="I21" s="37">
        <v>2</v>
      </c>
    </row>
    <row r="22" spans="1:9">
      <c r="A22" s="31" t="s">
        <v>329</v>
      </c>
      <c r="B22" s="32"/>
      <c r="C22" s="33">
        <v>5</v>
      </c>
      <c r="D22" s="34">
        <f t="shared" si="0"/>
        <v>5</v>
      </c>
      <c r="E22" s="35">
        <v>45.99</v>
      </c>
      <c r="F22" s="36">
        <f t="shared" si="1"/>
        <v>229.95</v>
      </c>
      <c r="G22" s="37">
        <v>1</v>
      </c>
      <c r="H22" s="37">
        <v>1</v>
      </c>
      <c r="I22" s="37">
        <v>2</v>
      </c>
    </row>
    <row r="23" spans="1:9">
      <c r="A23" s="31" t="s">
        <v>330</v>
      </c>
      <c r="B23" s="32"/>
      <c r="C23" s="33">
        <v>5</v>
      </c>
      <c r="D23" s="34">
        <f t="shared" si="0"/>
        <v>5</v>
      </c>
      <c r="E23" s="35">
        <v>45.99</v>
      </c>
      <c r="F23" s="36">
        <f t="shared" si="1"/>
        <v>229.95</v>
      </c>
      <c r="G23" s="37">
        <v>1</v>
      </c>
      <c r="H23" s="37">
        <v>0</v>
      </c>
      <c r="I23" s="37">
        <v>2</v>
      </c>
    </row>
    <row r="24" spans="1:9">
      <c r="A24" s="31" t="s">
        <v>331</v>
      </c>
      <c r="B24" s="32"/>
      <c r="C24" s="33">
        <v>5</v>
      </c>
      <c r="D24" s="34">
        <f t="shared" si="0"/>
        <v>5</v>
      </c>
      <c r="E24" s="35">
        <v>45.99</v>
      </c>
      <c r="F24" s="36">
        <f t="shared" si="1"/>
        <v>229.95</v>
      </c>
      <c r="G24" s="37">
        <v>1</v>
      </c>
      <c r="H24" s="37">
        <v>2</v>
      </c>
      <c r="I24" s="37">
        <v>2</v>
      </c>
    </row>
    <row r="25" spans="1:9">
      <c r="A25" s="31" t="s">
        <v>332</v>
      </c>
      <c r="B25" s="32"/>
      <c r="C25" s="33">
        <v>5</v>
      </c>
      <c r="D25" s="34">
        <f t="shared" si="0"/>
        <v>5</v>
      </c>
      <c r="E25" s="35">
        <v>45.99</v>
      </c>
      <c r="F25" s="36">
        <f t="shared" si="1"/>
        <v>229.95</v>
      </c>
      <c r="G25" s="37">
        <v>1</v>
      </c>
      <c r="H25" s="37">
        <v>0</v>
      </c>
      <c r="I25" s="37">
        <v>2</v>
      </c>
    </row>
    <row r="26" spans="1:9">
      <c r="A26" s="31" t="s">
        <v>333</v>
      </c>
      <c r="B26" s="32"/>
      <c r="C26" s="33">
        <v>5</v>
      </c>
      <c r="D26" s="34">
        <f t="shared" si="0"/>
        <v>5</v>
      </c>
      <c r="E26" s="35">
        <v>45.99</v>
      </c>
      <c r="F26" s="36">
        <f t="shared" si="1"/>
        <v>229.95</v>
      </c>
      <c r="G26" s="37">
        <v>1</v>
      </c>
      <c r="H26" s="37">
        <v>1</v>
      </c>
      <c r="I26" s="37">
        <v>2</v>
      </c>
    </row>
    <row r="27" spans="1:9">
      <c r="A27" s="31" t="s">
        <v>334</v>
      </c>
      <c r="B27" s="32"/>
      <c r="C27" s="33">
        <v>5</v>
      </c>
      <c r="D27" s="34">
        <f t="shared" si="0"/>
        <v>5</v>
      </c>
      <c r="E27" s="35">
        <v>45.99</v>
      </c>
      <c r="F27" s="36">
        <f t="shared" si="1"/>
        <v>229.95</v>
      </c>
      <c r="G27" s="37">
        <v>1</v>
      </c>
      <c r="H27" s="37">
        <v>0</v>
      </c>
      <c r="I27" s="37">
        <v>2</v>
      </c>
    </row>
    <row r="28" spans="1:9">
      <c r="A28" s="31" t="s">
        <v>335</v>
      </c>
      <c r="B28" s="32"/>
      <c r="C28" s="33">
        <v>5</v>
      </c>
      <c r="D28" s="34">
        <f t="shared" si="0"/>
        <v>5</v>
      </c>
      <c r="E28" s="35">
        <v>45.99</v>
      </c>
      <c r="F28" s="36">
        <f t="shared" si="1"/>
        <v>229.95</v>
      </c>
      <c r="G28" s="37">
        <v>1</v>
      </c>
      <c r="H28" s="37">
        <v>1</v>
      </c>
      <c r="I28" s="37">
        <v>2</v>
      </c>
    </row>
    <row r="29" spans="1:9">
      <c r="A29" s="31" t="s">
        <v>336</v>
      </c>
      <c r="B29" s="32"/>
      <c r="C29" s="33">
        <v>5</v>
      </c>
      <c r="D29" s="34">
        <f t="shared" si="0"/>
        <v>5</v>
      </c>
      <c r="E29" s="35">
        <v>45.99</v>
      </c>
      <c r="F29" s="36">
        <f t="shared" si="1"/>
        <v>229.95</v>
      </c>
      <c r="G29" s="37">
        <v>1</v>
      </c>
      <c r="H29" s="37">
        <v>0</v>
      </c>
      <c r="I29" s="37">
        <v>2</v>
      </c>
    </row>
    <row r="30" spans="1:9">
      <c r="A30" s="31" t="s">
        <v>337</v>
      </c>
      <c r="B30" s="32"/>
      <c r="C30" s="33">
        <v>5</v>
      </c>
      <c r="D30" s="34">
        <f t="shared" si="0"/>
        <v>5</v>
      </c>
      <c r="E30" s="35">
        <v>45.99</v>
      </c>
      <c r="F30" s="36">
        <f t="shared" si="1"/>
        <v>229.95</v>
      </c>
      <c r="G30" s="37">
        <v>1</v>
      </c>
      <c r="H30" s="37">
        <v>1</v>
      </c>
      <c r="I30" s="37">
        <v>1</v>
      </c>
    </row>
    <row r="31" spans="1:9">
      <c r="A31" s="31" t="s">
        <v>338</v>
      </c>
      <c r="B31" s="32"/>
      <c r="C31" s="33">
        <v>5</v>
      </c>
      <c r="D31" s="34">
        <f t="shared" si="0"/>
        <v>5</v>
      </c>
      <c r="E31" s="35">
        <v>45.99</v>
      </c>
      <c r="F31" s="36">
        <f t="shared" si="1"/>
        <v>229.95</v>
      </c>
      <c r="G31" s="37">
        <v>1</v>
      </c>
      <c r="H31" s="37">
        <v>0</v>
      </c>
      <c r="I31" s="37">
        <v>1</v>
      </c>
    </row>
    <row r="32" spans="1:9">
      <c r="A32" s="31" t="s">
        <v>339</v>
      </c>
      <c r="B32" s="32"/>
      <c r="C32" s="33">
        <v>5</v>
      </c>
      <c r="D32" s="34">
        <f t="shared" si="0"/>
        <v>5</v>
      </c>
      <c r="E32" s="35">
        <v>45.99</v>
      </c>
      <c r="F32" s="36">
        <f t="shared" si="1"/>
        <v>229.95</v>
      </c>
      <c r="G32" s="37">
        <v>1</v>
      </c>
      <c r="H32" s="37">
        <v>1</v>
      </c>
      <c r="I32" s="37">
        <v>1</v>
      </c>
    </row>
    <row r="33" spans="1:9">
      <c r="A33" s="31" t="s">
        <v>340</v>
      </c>
      <c r="B33" s="32"/>
      <c r="C33" s="33">
        <v>5</v>
      </c>
      <c r="D33" s="34">
        <f t="shared" si="0"/>
        <v>5</v>
      </c>
      <c r="E33" s="35">
        <v>45.99</v>
      </c>
      <c r="F33" s="36">
        <f t="shared" si="1"/>
        <v>229.95</v>
      </c>
      <c r="G33" s="37">
        <v>1</v>
      </c>
      <c r="H33" s="37">
        <v>0</v>
      </c>
      <c r="I33" s="37">
        <v>1</v>
      </c>
    </row>
    <row r="34" ht="35.25" customHeight="1" spans="1:9">
      <c r="A34" s="38" t="s">
        <v>341</v>
      </c>
      <c r="B34" s="39" t="s">
        <v>303</v>
      </c>
      <c r="C34" s="39">
        <f>SUM(C3:C33)</f>
        <v>155</v>
      </c>
      <c r="D34" s="39">
        <v>250</v>
      </c>
      <c r="E34" s="40"/>
      <c r="F34" s="41">
        <f>SUM(F3:F33)</f>
        <v>7128.45</v>
      </c>
      <c r="G34" s="42">
        <v>20</v>
      </c>
      <c r="H34" s="42">
        <v>20</v>
      </c>
      <c r="I34" s="42">
        <v>60</v>
      </c>
    </row>
  </sheetData>
  <mergeCells count="1">
    <mergeCell ref="B1:H1"/>
  </mergeCell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workbookViewId="0">
      <selection activeCell="L4" sqref="L4"/>
    </sheetView>
  </sheetViews>
  <sheetFormatPr defaultColWidth="9" defaultRowHeight="14.25" outlineLevelRow="3"/>
  <cols>
    <col min="1" max="1" width="13.1666666666667" customWidth="1"/>
    <col min="5" max="5" width="9" style="1"/>
    <col min="7" max="7" width="9" style="2"/>
    <col min="10" max="10" width="9" style="1"/>
    <col min="12" max="12" width="9" style="3"/>
  </cols>
  <sheetData>
    <row r="1" ht="33.75" spans="1:18">
      <c r="A1" s="4"/>
      <c r="B1" s="4"/>
      <c r="C1" s="4"/>
      <c r="D1" s="5"/>
      <c r="E1" s="6"/>
      <c r="F1" s="4"/>
      <c r="G1" s="4"/>
      <c r="H1" s="4"/>
      <c r="I1" s="14"/>
      <c r="J1" s="15"/>
      <c r="K1" s="4"/>
      <c r="L1" s="16"/>
      <c r="M1" s="17" t="s">
        <v>342</v>
      </c>
      <c r="N1" s="18">
        <v>8.7236</v>
      </c>
      <c r="O1" s="18">
        <v>7.5506</v>
      </c>
      <c r="P1" s="18"/>
      <c r="Q1" s="18"/>
      <c r="R1" s="18"/>
    </row>
    <row r="2" ht="28.5" spans="1:18">
      <c r="A2" s="7" t="s">
        <v>343</v>
      </c>
      <c r="B2" s="8" t="s">
        <v>344</v>
      </c>
      <c r="C2" s="7" t="s">
        <v>345</v>
      </c>
      <c r="D2" s="9" t="s">
        <v>346</v>
      </c>
      <c r="E2" s="10" t="s">
        <v>347</v>
      </c>
      <c r="F2" s="7" t="s">
        <v>348</v>
      </c>
      <c r="G2" s="11" t="s">
        <v>349</v>
      </c>
      <c r="H2" s="7" t="s">
        <v>350</v>
      </c>
      <c r="I2" s="19" t="s">
        <v>351</v>
      </c>
      <c r="J2" s="20" t="s">
        <v>352</v>
      </c>
      <c r="K2" s="7" t="s">
        <v>353</v>
      </c>
      <c r="L2" s="21" t="s">
        <v>354</v>
      </c>
      <c r="M2" s="22"/>
      <c r="N2" s="22"/>
      <c r="O2" s="22"/>
      <c r="P2" s="22"/>
      <c r="Q2" s="22"/>
      <c r="R2" s="22"/>
    </row>
    <row r="3" ht="30.75" customHeight="1" spans="2:13">
      <c r="B3" s="12" t="s">
        <v>301</v>
      </c>
      <c r="C3">
        <v>45.99</v>
      </c>
      <c r="D3" s="13">
        <v>0.15</v>
      </c>
      <c r="E3" s="1">
        <f>D3*C3</f>
        <v>6.8985</v>
      </c>
      <c r="F3">
        <v>2.41</v>
      </c>
      <c r="G3" s="2">
        <f>G4*O1/N1</f>
        <v>1.982080104544</v>
      </c>
      <c r="H3" s="1">
        <f>J3+E3+F3+G3</f>
        <v>30.5486845568343</v>
      </c>
      <c r="I3">
        <v>168</v>
      </c>
      <c r="J3" s="1">
        <f>I3/N1</f>
        <v>19.2581044522903</v>
      </c>
      <c r="K3" s="1">
        <f>C3-E3-F3-G3-J3</f>
        <v>15.4413154431657</v>
      </c>
      <c r="L3" s="3">
        <f>K3/C3</f>
        <v>0.335753760451526</v>
      </c>
      <c r="M3">
        <f>K3*4850</f>
        <v>74890.3798993535</v>
      </c>
    </row>
    <row r="4" ht="30.75" customHeight="1" spans="2:12">
      <c r="B4" s="12" t="s">
        <v>355</v>
      </c>
      <c r="C4">
        <v>69.99</v>
      </c>
      <c r="D4" s="13">
        <v>0.15</v>
      </c>
      <c r="E4" s="1">
        <f>D4*C4</f>
        <v>10.4985</v>
      </c>
      <c r="F4">
        <v>3.74</v>
      </c>
      <c r="G4" s="2">
        <v>2.29</v>
      </c>
      <c r="H4" s="1">
        <f>J4+E4+F4+G4</f>
        <v>38.7783874261648</v>
      </c>
      <c r="I4">
        <v>168</v>
      </c>
      <c r="J4" s="1">
        <f>I4/O1</f>
        <v>22.2498874261648</v>
      </c>
      <c r="K4" s="1">
        <f>C4-E4-F4-G4-J4</f>
        <v>31.2116125738352</v>
      </c>
      <c r="L4" s="3">
        <f>K4/C4</f>
        <v>0.445943885895631</v>
      </c>
    </row>
  </sheetData>
  <mergeCells count="1">
    <mergeCell ref="A1:L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新品推广计划</vt:lpstr>
      <vt:lpstr>七段式风险评估</vt:lpstr>
      <vt:lpstr>推广运营计划周报</vt:lpstr>
      <vt:lpstr>年度备货销售计划</vt:lpstr>
      <vt:lpstr>mode</vt:lpstr>
      <vt:lpstr>销售计划</vt:lpstr>
      <vt:lpstr>测评测算案例</vt:lpstr>
      <vt:lpstr>成本利润核算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家国</cp:lastModifiedBy>
  <dcterms:created xsi:type="dcterms:W3CDTF">2008-09-11T17:22:00Z</dcterms:created>
  <dcterms:modified xsi:type="dcterms:W3CDTF">2024-03-21T03:37:01Z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2052-12.1.0.16388</vt:lpwstr>
  </property>
  <property fmtid="{D5CDD505-2E9C-101B-9397-08002B2CF9AE}" pid="4" name="ICV">
    <vt:lpwstr>F495B71CE69A4B5398BE952FBCA40FE5_13</vt:lpwstr>
  </property>
</Properties>
</file>